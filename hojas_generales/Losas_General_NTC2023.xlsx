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ATOS" sheetId="2" state="visible" r:id="rId2"/>
    <sheet xmlns:r="http://schemas.openxmlformats.org/officeDocument/2006/relationships" name="NERVADAS" sheetId="3" state="visible" r:id="rId3"/>
    <sheet xmlns:r="http://schemas.openxmlformats.org/officeDocument/2006/relationships" name="MACIZAS" sheetId="4" state="visible" r:id="rId4"/>
    <sheet xmlns:r="http://schemas.openxmlformats.org/officeDocument/2006/relationships" name="DETALLE" sheetId="5" state="visible" r:id="rId5"/>
    <sheet xmlns:r="http://schemas.openxmlformats.org/officeDocument/2006/relationships" name="CROQUIS" sheetId="6" state="visible" r:id="rId6"/>
    <sheet xmlns:r="http://schemas.openxmlformats.org/officeDocument/2006/relationships" name="TABLAS" sheetId="7" state="visible" r:id="rId7"/>
    <sheet xmlns:r="http://schemas.openxmlformats.org/officeDocument/2006/relationships" name="CROQUIS_DATOS" sheetId="8" state="visible" r:id="rId8"/>
  </sheets>
  <definedNames>
    <definedName name="LST_CASO">TABLAS!$B$72:$B$79</definedName>
    <definedName name="LST_TIPO">TABLAS!$C$72:$C$73</definedName>
    <definedName name="LST_BORDE">TABLAS!$D$72:$D$73</definedName>
    <definedName name="LST_COLADO">TABLAS!$E$72:$E$73</definedName>
    <definedName name="LST_SINO">TABLAS!$F$72:$F$73</definedName>
    <definedName name="LST_AGR">TABLAS!$G$72:$G$73</definedName>
    <definedName name="LST_DEST">DATOS!$B$46:$B$58</definedName>
    <definedName name="LST_MALLA">TABLAS!$B$63:$B$66</definedName>
    <definedName name="LST_TAB">TABLAS!$C$86:$C$165</definedName>
    <definedName name="_xlnm.Print_Area" localSheetId="0">'INSTRUCCIONES'!$B$1:$F$47</definedName>
    <definedName name="_xlnm.Print_Area" localSheetId="1">'DATOS'!$B$1:$F$147</definedName>
    <definedName name="_xlnm.Print_Titles" localSheetId="2">'NERVADAS'!$5:$8</definedName>
    <definedName name="_xlnm.Print_Area" localSheetId="2">'NERVADAS'!$A$1:$EC$48</definedName>
    <definedName name="_xlnm.Print_Titles" localSheetId="3">'MACIZAS'!$5:$8</definedName>
    <definedName name="_xlnm.Print_Area" localSheetId="3">'MACIZAS'!$A$1:$DJ$48</definedName>
    <definedName name="_xlnm.Print_Area" localSheetId="4">'DETALLE'!$B$1:$F$126</definedName>
    <definedName name="_xlnm.Print_Area" localSheetId="5">'CROQUIS'!$B$1:$F$82</definedName>
    <definedName name="_xlnm.Print_Area" localSheetId="6">'TABLAS'!$B$1:$K$67</definedName>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0.00000"/>
  </numFmts>
  <fonts count="20">
    <font>
      <name val="Calibri"/>
      <family val="2"/>
      <color theme="1"/>
      <sz val="11"/>
      <scheme val="minor"/>
    </font>
    <font>
      <name val="Arial"/>
      <b val="1"/>
      <color rgb="00FFFFFF"/>
      <sz val="13"/>
    </font>
    <font>
      <name val="Arial"/>
      <i val="1"/>
      <color rgb="00595959"/>
      <sz val="9"/>
    </font>
    <font>
      <name val="Arial"/>
      <b val="1"/>
      <color rgb="00FFFFFF"/>
      <sz val="10"/>
    </font>
    <font>
      <name val="Arial"/>
      <color rgb="001A1A1A"/>
      <sz val="9"/>
    </font>
    <font>
      <name val="Arial"/>
      <b val="1"/>
      <color rgb="000000CC"/>
      <sz val="10"/>
    </font>
    <font>
      <name val="Arial"/>
      <color rgb="001A1A1A"/>
      <sz val="10"/>
    </font>
    <font>
      <name val="Arial"/>
      <b val="1"/>
      <color rgb="001F3864"/>
      <sz val="10"/>
    </font>
    <font>
      <name val="Arial"/>
      <b val="1"/>
      <color rgb="00843C0C"/>
      <sz val="9"/>
    </font>
    <font>
      <name val="Arial"/>
      <b val="1"/>
      <color rgb="001F3864"/>
      <sz val="9"/>
    </font>
    <font>
      <name val="Arial"/>
      <color rgb="00595959"/>
      <sz val="9"/>
    </font>
    <font>
      <name val="Arial"/>
      <i val="1"/>
      <color rgb="001F4E79"/>
      <sz val="8"/>
    </font>
    <font>
      <name val="Arial"/>
      <b val="1"/>
      <color rgb="000000CC"/>
      <sz val="9"/>
    </font>
    <font>
      <name val="Arial"/>
      <b val="1"/>
      <color rgb="00FFFFFF"/>
      <sz val="9"/>
    </font>
    <font>
      <name val="Arial"/>
      <i val="1"/>
      <color rgb="00595959"/>
      <sz val="7.5"/>
    </font>
    <font>
      <name val="Arial"/>
      <i val="1"/>
      <color rgb="00595959"/>
      <sz val="8"/>
    </font>
    <font>
      <name val="Arial"/>
      <color rgb="00A6A6A6"/>
      <sz val="7"/>
    </font>
    <font>
      <name val="Arial"/>
      <b val="1"/>
      <color rgb="00FFFFFF"/>
      <sz val="11"/>
    </font>
    <font>
      <name val="Arial"/>
      <color rgb="001A1A1A"/>
      <sz val="8"/>
    </font>
    <font>
      <name val="Arial"/>
      <b val="1"/>
      <color rgb="001F3864"/>
      <sz val="12"/>
    </font>
  </fonts>
  <fills count="10">
    <fill>
      <patternFill/>
    </fill>
    <fill>
      <patternFill patternType="gray125"/>
    </fill>
    <fill>
      <patternFill patternType="solid">
        <fgColor rgb="001F3864"/>
      </patternFill>
    </fill>
    <fill>
      <patternFill patternType="solid">
        <fgColor rgb="002E5C9A"/>
      </patternFill>
    </fill>
    <fill>
      <patternFill patternType="solid">
        <fgColor rgb="00FFF2CC"/>
      </patternFill>
    </fill>
    <fill>
      <patternFill patternType="solid">
        <fgColor rgb="00D9E2F3"/>
      </patternFill>
    </fill>
    <fill>
      <patternFill patternType="solid">
        <fgColor rgb="00FFF0E0"/>
      </patternFill>
    </fill>
    <fill>
      <patternFill patternType="solid">
        <fgColor rgb="00F2F2F2"/>
      </patternFill>
    </fill>
    <fill>
      <patternFill patternType="solid">
        <fgColor rgb="007F6000"/>
      </patternFill>
    </fill>
    <fill>
      <patternFill patternType="solid">
        <fgColor rgb="00EEF2F9"/>
      </patternFill>
    </fill>
  </fills>
  <borders count="9">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top style="thin">
        <color rgb="00A6A6A6"/>
      </top>
      <bottom style="thin">
        <color rgb="00A6A6A6"/>
      </bottom>
      <diagonal/>
    </border>
    <border>
      <left/>
      <right style="thin">
        <color rgb="00A6A6A6"/>
      </right>
      <top style="thin">
        <color rgb="00A6A6A6"/>
      </top>
      <bottom style="thin">
        <color rgb="00A6A6A6"/>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7">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0" applyAlignment="1" pivotButton="0" quotePrefix="0" xfId="0">
      <alignment horizontal="left" vertical="center"/>
    </xf>
    <xf numFmtId="0" fontId="4" fillId="0" borderId="0" applyAlignment="1" pivotButton="0" quotePrefix="0" xfId="0">
      <alignment horizontal="left" vertical="top" wrapText="1"/>
    </xf>
    <xf numFmtId="0" fontId="5" fillId="4" borderId="1" applyAlignment="1" pivotButton="0" quotePrefix="0" xfId="0">
      <alignment horizontal="left" vertical="center"/>
    </xf>
    <xf numFmtId="0" fontId="4" fillId="0" borderId="1" applyAlignment="1" pivotButton="0" quotePrefix="0" xfId="0">
      <alignment horizontal="left" vertical="center"/>
    </xf>
    <xf numFmtId="0" fontId="6" fillId="0" borderId="1" applyAlignment="1" pivotButton="0" quotePrefix="0" xfId="0">
      <alignment horizontal="left" vertical="center"/>
    </xf>
    <xf numFmtId="0" fontId="7" fillId="5" borderId="1" applyAlignment="1" pivotButton="0" quotePrefix="0" xfId="0">
      <alignment horizontal="left" vertical="center"/>
    </xf>
    <xf numFmtId="0" fontId="8" fillId="6" borderId="1" applyAlignment="1" pivotButton="0" quotePrefix="0" xfId="0">
      <alignment horizontal="left" vertical="top" wrapText="1"/>
    </xf>
    <xf numFmtId="0" fontId="0" fillId="6" borderId="1" pivotButton="0" quotePrefix="0" xfId="0"/>
    <xf numFmtId="0" fontId="9" fillId="5" borderId="2" applyAlignment="1" pivotButton="0" quotePrefix="0" xfId="0">
      <alignment horizontal="center" vertical="center" wrapText="1"/>
    </xf>
    <xf numFmtId="0" fontId="6" fillId="0" borderId="1" applyAlignment="1" pivotButton="0" quotePrefix="0" xfId="0">
      <alignment horizontal="left" vertical="center" wrapText="1"/>
    </xf>
    <xf numFmtId="49" fontId="5" fillId="4"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1"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3" fontId="6" fillId="0" borderId="1" applyAlignment="1" pivotButton="0" quotePrefix="0" xfId="0">
      <alignment horizontal="center" vertical="center" wrapText="1"/>
    </xf>
    <xf numFmtId="3" fontId="5" fillId="4" borderId="1" applyAlignment="1" pivotButton="0" quotePrefix="0" xfId="0">
      <alignment horizontal="center" vertical="center" wrapText="1"/>
    </xf>
    <xf numFmtId="165"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0" fontId="2" fillId="7" borderId="1" applyAlignment="1" pivotButton="0" quotePrefix="0" xfId="0">
      <alignment horizontal="left" vertical="top" wrapText="1"/>
    </xf>
    <xf numFmtId="0" fontId="0" fillId="7" borderId="1" pivotButton="0" quotePrefix="0" xfId="0"/>
    <xf numFmtId="49" fontId="5" fillId="4" borderId="1" applyAlignment="1" pivotButton="0" quotePrefix="0" xfId="0">
      <alignment horizontal="left" vertical="center"/>
    </xf>
    <xf numFmtId="1" fontId="5" fillId="4" borderId="1" applyAlignment="1" pivotButton="0" quotePrefix="0" xfId="0">
      <alignment horizontal="center" vertical="center"/>
    </xf>
    <xf numFmtId="49" fontId="5" fillId="4" borderId="1" applyAlignment="1" pivotButton="0" quotePrefix="0" xfId="0">
      <alignment horizontal="center" vertical="center"/>
    </xf>
    <xf numFmtId="49" fontId="12" fillId="4" borderId="1" applyAlignment="1" pivotButton="0" quotePrefix="0" xfId="0">
      <alignment horizontal="left" vertical="center"/>
    </xf>
    <xf numFmtId="165" fontId="5" fillId="4" borderId="1" applyAlignment="1" pivotButton="0" quotePrefix="0" xfId="0">
      <alignment horizontal="center" vertical="center" wrapText="1"/>
    </xf>
    <xf numFmtId="49" fontId="6" fillId="0" borderId="1" applyAlignment="1" pivotButton="0" quotePrefix="0" xfId="0">
      <alignment horizontal="center" vertical="center" wrapText="1"/>
    </xf>
    <xf numFmtId="0" fontId="5" fillId="4" borderId="1" applyAlignment="1" pivotButton="0" quotePrefix="0" xfId="0">
      <alignment horizontal="center" vertical="center" wrapText="1"/>
    </xf>
    <xf numFmtId="1" fontId="7" fillId="5" borderId="1" applyAlignment="1" pivotButton="0" quotePrefix="0" xfId="0">
      <alignment horizontal="center" vertical="center" wrapText="1"/>
    </xf>
    <xf numFmtId="49" fontId="7" fillId="5" borderId="1" applyAlignment="1" pivotButton="0" quotePrefix="0" xfId="0">
      <alignment horizontal="center" vertical="center" wrapText="1"/>
    </xf>
    <xf numFmtId="166" fontId="6" fillId="0" borderId="1" applyAlignment="1" pivotButton="0" quotePrefix="0" xfId="0">
      <alignment horizontal="center" vertical="center" wrapText="1"/>
    </xf>
    <xf numFmtId="165" fontId="7" fillId="5" borderId="1" applyAlignment="1" pivotButton="0" quotePrefix="0" xfId="0">
      <alignment horizontal="center" vertical="center" wrapText="1"/>
    </xf>
    <xf numFmtId="2" fontId="7" fillId="5" borderId="1" applyAlignment="1" pivotButton="0" quotePrefix="0" xfId="0">
      <alignment horizontal="center" vertical="center" wrapText="1"/>
    </xf>
    <xf numFmtId="164" fontId="6" fillId="0" borderId="1" applyAlignment="1" pivotButton="0" quotePrefix="0" xfId="0">
      <alignment horizontal="center" vertical="center" wrapText="1"/>
    </xf>
    <xf numFmtId="166" fontId="7" fillId="5" borderId="1" applyAlignment="1" pivotButton="0" quotePrefix="0" xfId="0">
      <alignment horizontal="center" vertical="center" wrapText="1"/>
    </xf>
    <xf numFmtId="167"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6" fontId="5" fillId="4" borderId="1" applyAlignment="1" pivotButton="0" quotePrefix="0" xfId="0">
      <alignment horizontal="center" vertical="center"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8" fillId="6" borderId="0" applyAlignment="1" pivotButton="0" quotePrefix="0" xfId="0">
      <alignment vertical="top" wrapText="1"/>
    </xf>
    <xf numFmtId="0" fontId="14" fillId="7" borderId="0" applyAlignment="1" pivotButton="0" quotePrefix="0" xfId="0">
      <alignment vertical="top" wrapText="1"/>
    </xf>
    <xf numFmtId="0" fontId="13" fillId="8" borderId="0" applyAlignment="1" pivotButton="0" quotePrefix="0" xfId="0">
      <alignment horizontal="center" vertical="center" wrapText="1"/>
    </xf>
    <xf numFmtId="0" fontId="13" fillId="3" borderId="0" applyAlignment="1" pivotButton="0" quotePrefix="0" xfId="0">
      <alignment horizontal="center" vertical="center" wrapText="1"/>
    </xf>
    <xf numFmtId="0" fontId="15" fillId="9" borderId="1" applyAlignment="1" pivotButton="0" quotePrefix="0" xfId="0">
      <alignment horizontal="center" vertical="center" wrapText="1"/>
    </xf>
    <xf numFmtId="0" fontId="16" fillId="0" borderId="0" applyAlignment="1" pivotButton="0" quotePrefix="0" xfId="0">
      <alignment horizontal="center"/>
    </xf>
    <xf numFmtId="49" fontId="12" fillId="4" borderId="1" applyAlignment="1" pivotButton="0" quotePrefix="0" xfId="0">
      <alignment horizontal="center" vertical="center"/>
    </xf>
    <xf numFmtId="164" fontId="12" fillId="4" borderId="1" applyAlignment="1" pivotButton="0" quotePrefix="0" xfId="0">
      <alignment horizontal="center" vertical="center"/>
    </xf>
    <xf numFmtId="0" fontId="12" fillId="4" borderId="1" applyAlignment="1" pivotButton="0" quotePrefix="0" xfId="0">
      <alignment horizontal="center" vertical="center"/>
    </xf>
    <xf numFmtId="165" fontId="12" fillId="4" borderId="1" applyAlignment="1" pivotButton="0" quotePrefix="0" xfId="0">
      <alignment horizontal="center" vertical="center"/>
    </xf>
    <xf numFmtId="49"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2" fontId="4" fillId="0" borderId="1" applyAlignment="1" pivotButton="0" quotePrefix="0" xfId="0">
      <alignment horizontal="center" vertical="center"/>
    </xf>
    <xf numFmtId="1" fontId="4" fillId="0" borderId="1" applyAlignment="1" pivotButton="0" quotePrefix="0" xfId="0">
      <alignment horizontal="center" vertical="center"/>
    </xf>
    <xf numFmtId="1" fontId="9" fillId="5" borderId="1" applyAlignment="1" pivotButton="0" quotePrefix="0" xfId="0">
      <alignment horizontal="center" vertical="center"/>
    </xf>
    <xf numFmtId="49" fontId="9" fillId="5" borderId="1" applyAlignment="1" pivotButton="0" quotePrefix="0" xfId="0">
      <alignment horizontal="center" vertical="center"/>
    </xf>
    <xf numFmtId="164" fontId="9" fillId="5" borderId="1" applyAlignment="1" pivotButton="0" quotePrefix="0" xfId="0">
      <alignment horizontal="center" vertical="center"/>
    </xf>
    <xf numFmtId="49" fontId="4" fillId="0" borderId="1" applyAlignment="1" pivotButton="0" quotePrefix="0" xfId="0">
      <alignment horizontal="left" vertical="center"/>
    </xf>
    <xf numFmtId="0" fontId="4" fillId="0" borderId="1" applyAlignment="1" pivotButton="0" quotePrefix="0" xfId="0">
      <alignment horizontal="center" vertical="center"/>
    </xf>
    <xf numFmtId="2" fontId="9" fillId="5" borderId="1" applyAlignment="1" pivotButton="0" quotePrefix="0" xfId="0">
      <alignment horizontal="center" vertical="center"/>
    </xf>
    <xf numFmtId="166" fontId="4" fillId="0" borderId="1" applyAlignment="1" pivotButton="0" quotePrefix="0" xfId="0">
      <alignment horizontal="center" vertical="center"/>
    </xf>
    <xf numFmtId="49" fontId="9" fillId="5" borderId="1" applyAlignment="1" pivotButton="0" quotePrefix="0" xfId="0">
      <alignment horizontal="left" vertical="center"/>
    </xf>
    <xf numFmtId="3" fontId="4" fillId="0" borderId="1" applyAlignment="1" pivotButton="0" quotePrefix="0" xfId="0">
      <alignment horizontal="center" vertical="center"/>
    </xf>
    <xf numFmtId="49" fontId="9" fillId="5" borderId="1" applyAlignment="1" pivotButton="0" quotePrefix="0" xfId="0">
      <alignment horizontal="left" vertical="center" wrapText="1"/>
    </xf>
    <xf numFmtId="49" fontId="4" fillId="0" borderId="1" applyAlignment="1" pivotButton="0" quotePrefix="0" xfId="0">
      <alignment horizontal="left" vertical="center" wrapText="1"/>
    </xf>
    <xf numFmtId="165" fontId="9" fillId="5" borderId="1" applyAlignment="1" pivotButton="0" quotePrefix="0" xfId="0">
      <alignment horizontal="center" vertical="center"/>
    </xf>
    <xf numFmtId="164" fontId="7" fillId="5" borderId="1" applyAlignment="1" pivotButton="0" quotePrefix="0" xfId="0">
      <alignment horizontal="center" vertical="center" wrapText="1"/>
    </xf>
    <xf numFmtId="49" fontId="6" fillId="0" borderId="1" applyAlignment="1" pivotButton="0" quotePrefix="0" xfId="0">
      <alignment horizontal="left" vertical="top" wrapText="1"/>
    </xf>
    <xf numFmtId="0" fontId="0" fillId="0" borderId="5" pivotButton="0" quotePrefix="0" xfId="0"/>
    <xf numFmtId="0" fontId="0" fillId="0" borderId="6" pivotButton="0" quotePrefix="0" xfId="0"/>
    <xf numFmtId="0" fontId="5" fillId="0" borderId="0" pivotButton="0" quotePrefix="0" xfId="0"/>
    <xf numFmtId="0" fontId="17" fillId="3" borderId="0" applyAlignment="1" pivotButton="0" quotePrefix="0" xfId="0">
      <alignment vertical="center"/>
    </xf>
    <xf numFmtId="0" fontId="6" fillId="0" borderId="1" applyAlignment="1" pivotButton="0" quotePrefix="0" xfId="0">
      <alignment horizontal="center" vertical="center" wrapText="1"/>
    </xf>
    <xf numFmtId="165" fontId="9" fillId="5" borderId="2" applyAlignment="1" pivotButton="0" quotePrefix="0" xfId="0">
      <alignment horizontal="center" vertical="center" wrapText="1"/>
    </xf>
    <xf numFmtId="0" fontId="18" fillId="0" borderId="1" applyAlignment="1" pivotButton="0" quotePrefix="0" xfId="0">
      <alignment horizontal="left" vertical="center"/>
    </xf>
    <xf numFmtId="0" fontId="11" fillId="0" borderId="1" applyAlignment="1" pivotButton="0" quotePrefix="0" xfId="0">
      <alignment horizontal="left" vertical="center"/>
    </xf>
    <xf numFmtId="0" fontId="0" fillId="0" borderId="7" pivotButton="0" quotePrefix="0" xfId="0"/>
    <xf numFmtId="0" fontId="0" fillId="0" borderId="8" pivotButton="0" quotePrefix="0" xfId="0"/>
    <xf numFmtId="0" fontId="19" fillId="0" borderId="0" pivotButton="0" quotePrefix="0" xfId="0"/>
    <xf numFmtId="0" fontId="2" fillId="0" borderId="0" pivotButton="0" quotePrefix="0" xfId="0"/>
    <xf numFmtId="0" fontId="7"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PLANTA DEL TABLERO — CASETONES, NERVADURAS Y ARMADO POR NERVADURA</a:t>
            </a:r>
          </a:p>
        </rich>
      </tx>
      <overlay val="0"/>
    </title>
    <plotArea>
      <layout>
        <manualLayout>
          <layoutTarget val="inner"/>
          <xMode val="edge"/>
          <yMode val="edge"/>
          <wMode val="factor"/>
          <hMode val="factor"/>
          <x val="0.1131578947368421"/>
          <y val="0.07000000000000001"/>
          <w val="0.7736842105263159"/>
          <h val="0.6"/>
        </manualLayout>
      </layout>
      <scatterChart>
        <scatterStyle val="lineMarker"/>
        <ser>
          <idx val="0"/>
          <order val="0"/>
          <tx>
            <strRef>
              <f>CROQUIS_DATOS!$A$603</f>
            </strRef>
          </tx>
          <spPr>
            <a:ln xmlns:a="http://schemas.openxmlformats.org/drawingml/2006/main" w="12700">
              <a:solidFill>
                <a:srgbClr val="7F7F7F"/>
              </a:solidFill>
              <a:prstDash val="dash"/>
            </a:ln>
          </spPr>
          <marker>
            <symbol val="none"/>
            <spPr>
              <a:ln xmlns:a="http://schemas.openxmlformats.org/drawingml/2006/main">
                <a:prstDash val="solid"/>
              </a:ln>
            </spPr>
          </marker>
          <xVal>
            <numRef>
              <f>'CROQUIS_DATOS'!$H$8:$H$12</f>
            </numRef>
          </xVal>
          <yVal>
            <numRef>
              <f>'CROQUIS_DATOS'!$I$8:$I$12</f>
            </numRef>
          </yVal>
          <smooth val="0"/>
        </ser>
        <ser>
          <idx val="1"/>
          <order val="1"/>
          <tx>
            <strRef>
              <f>CROQUIS_DATOS!$A$604</f>
            </strRef>
          </tx>
          <spPr>
            <a:ln xmlns:a="http://schemas.openxmlformats.org/drawingml/2006/main" w="19050">
              <a:solidFill>
                <a:srgbClr val="7F7F7F"/>
              </a:solidFill>
              <a:prstDash val="solid"/>
            </a:ln>
          </spPr>
          <marker>
            <symbol val="none"/>
            <spPr>
              <a:ln xmlns:a="http://schemas.openxmlformats.org/drawingml/2006/main">
                <a:prstDash val="solid"/>
              </a:ln>
            </spPr>
          </marker>
          <xVal>
            <numRef>
              <f>'CROQUIS_DATOS'!$J$8:$J$12</f>
            </numRef>
          </xVal>
          <yVal>
            <numRef>
              <f>'CROQUIS_DATOS'!$K$8:$K$12</f>
            </numRef>
          </yVal>
          <smooth val="0"/>
        </ser>
        <ser>
          <idx val="2"/>
          <order val="2"/>
          <tx>
            <strRef>
              <f>CROQUIS_DATOS!$A$616</f>
            </strRef>
          </tx>
          <spPr>
            <a:ln xmlns:a="http://schemas.openxmlformats.org/drawingml/2006/main" w="19050">
              <a:solidFill>
                <a:srgbClr val="ED7D31"/>
              </a:solidFill>
              <a:prstDash val="dash"/>
            </a:ln>
          </spPr>
          <marker>
            <symbol val="none"/>
            <spPr>
              <a:ln xmlns:a="http://schemas.openxmlformats.org/drawingml/2006/main">
                <a:prstDash val="solid"/>
              </a:ln>
            </spPr>
          </marker>
          <xVal>
            <numRef>
              <f>'CROQUIS_DATOS'!$AH$8:$AH$12</f>
            </numRef>
          </xVal>
          <yVal>
            <numRef>
              <f>'CROQUIS_DATOS'!$AI$8:$AI$12</f>
            </numRef>
          </yVal>
          <smooth val="0"/>
        </ser>
        <ser>
          <idx val="3"/>
          <order val="3"/>
          <tx>
            <strRef>
              <f>CROQUIS_DATOS!$A$600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'CROQUIS_DATOS'!$B$8:$B$12</f>
            </numRef>
          </xVal>
          <yVal>
            <numRef>
              <f>'CROQUIS_DATOS'!$C$8:$C$12</f>
            </numRef>
          </yVal>
          <smooth val="0"/>
        </ser>
        <ser>
          <idx val="4"/>
          <order val="4"/>
          <tx>
            <strRef>
              <f>CROQUIS_DATOS!$A$601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'CROQUIS_DATOS'!$D$8:$D$12</f>
            </numRef>
          </xVal>
          <yVal>
            <numRef>
              <f>'CROQUIS_DATOS'!$E$8:$E$12</f>
            </numRef>
          </yVal>
          <smooth val="0"/>
        </ser>
        <ser>
          <idx val="5"/>
          <order val="5"/>
          <tx>
            <strRef>
              <f>CROQUIS_DATOS!$A$602</f>
            </strRef>
          </tx>
          <spPr>
            <a:ln xmlns:a="http://schemas.openxmlformats.org/drawingml/2006/main" w="9525">
              <a:solidFill>
                <a:srgbClr val="595959"/>
              </a:solidFill>
              <a:prstDash val="solid"/>
            </a:ln>
          </spPr>
          <marker>
            <symbol val="none"/>
            <spPr>
              <a:ln xmlns:a="http://schemas.openxmlformats.org/drawingml/2006/main">
                <a:prstDash val="solid"/>
              </a:ln>
            </spPr>
          </marker>
          <xVal>
            <numRef>
              <f>'CROQUIS_DATOS'!$F$8:$F$48</f>
            </numRef>
          </xVal>
          <yVal>
            <numRef>
              <f>'CROQUIS_DATOS'!$G$8:$G$48</f>
            </numRef>
          </yVal>
          <smooth val="0"/>
        </ser>
        <ser>
          <idx val="6"/>
          <order val="6"/>
          <tx>
            <strRef>
              <f>CROQUIS_DATOS!$A$617</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'CROQUIS_DATOS'!$AJ$8:$AJ$107</f>
            </numRef>
          </xVal>
          <yVal>
            <numRef>
              <f>'CROQUIS_DATOS'!$AK$8:$AK$107</f>
            </numRef>
          </yVal>
          <smooth val="0"/>
        </ser>
        <ser>
          <idx val="7"/>
          <order val="7"/>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'CROQUIS_DATOS'!$AL$8:$AL$107</f>
            </numRef>
          </xVal>
          <yVal>
            <numRef>
              <f>'CROQUIS_DATOS'!$AM$8:$AM$107</f>
            </numRef>
          </yVal>
          <smooth val="0"/>
        </ser>
        <ser>
          <idx val="8"/>
          <order val="8"/>
          <tx>
            <strRef>
              <f>CROQUIS_DATOS!$A$618</f>
            </strRef>
          </tx>
          <spPr>
            <a:ln xmlns:a="http://schemas.openxmlformats.org/drawingml/2006/main" w="6350">
              <a:solidFill>
                <a:srgbClr val="BDD7EE"/>
              </a:solidFill>
              <a:prstDash val="sysDot"/>
            </a:ln>
          </spPr>
          <marker>
            <symbol val="none"/>
            <spPr>
              <a:ln xmlns:a="http://schemas.openxmlformats.org/drawingml/2006/main">
                <a:prstDash val="solid"/>
              </a:ln>
            </spPr>
          </marker>
          <xVal>
            <numRef>
              <f>'CROQUIS_DATOS'!$AN$8:$AN$67</f>
            </numRef>
          </xVal>
          <yVal>
            <numRef>
              <f>'CROQUIS_DATOS'!$AO$8:$AO$67</f>
            </numRef>
          </yVal>
          <smooth val="0"/>
        </ser>
        <ser>
          <idx val="9"/>
          <order val="9"/>
          <spPr>
            <a:ln xmlns:a="http://schemas.openxmlformats.org/drawingml/2006/main" w="6350">
              <a:solidFill>
                <a:srgbClr val="BDD7EE"/>
              </a:solidFill>
              <a:prstDash val="sysDot"/>
            </a:ln>
          </spPr>
          <marker>
            <symbol val="none"/>
            <spPr>
              <a:ln xmlns:a="http://schemas.openxmlformats.org/drawingml/2006/main">
                <a:prstDash val="solid"/>
              </a:ln>
            </spPr>
          </marker>
          <xVal>
            <numRef>
              <f>'CROQUIS_DATOS'!$AP$8:$AP$67</f>
            </numRef>
          </xVal>
          <yVal>
            <numRef>
              <f>'CROQUIS_DATOS'!$AQ$8:$AQ$67</f>
            </numRef>
          </yVal>
          <smooth val="0"/>
        </ser>
        <ser>
          <idx val="10"/>
          <order val="10"/>
          <tx>
            <strRef>
              <f>CROQUIS_DATOS!$A$619</f>
            </strRef>
          </tx>
          <spPr>
            <a:ln xmlns:a="http://schemas.openxmlformats.org/drawingml/2006/main" w="15875">
              <a:solidFill>
                <a:srgbClr val="ED7D31"/>
              </a:solidFill>
              <a:prstDash val="dash"/>
            </a:ln>
          </spPr>
          <marker>
            <symbol val="none"/>
            <spPr>
              <a:ln xmlns:a="http://schemas.openxmlformats.org/drawingml/2006/main">
                <a:prstDash val="solid"/>
              </a:ln>
            </spPr>
          </marker>
          <xVal>
            <numRef>
              <f>'CROQUIS_DATOS'!$AR$8:$AR$17</f>
            </numRef>
          </xVal>
          <yVal>
            <numRef>
              <f>'CROQUIS_DATOS'!$AS$8:$AS$17</f>
            </numRef>
          </yVal>
          <smooth val="0"/>
        </ser>
        <ser>
          <idx val="11"/>
          <order val="11"/>
          <tx>
            <strRef>
              <f>CROQUIS_DATOS!$A$620</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'CROQUIS_DATOS'!$AT$8:$AT$9</f>
            </numRef>
          </xVal>
          <yVal>
            <numRef>
              <f>'CROQUIS_DATOS'!$AU$8:$AU$9</f>
            </numRef>
          </yVal>
          <smooth val="0"/>
        </ser>
        <ser>
          <idx val="12"/>
          <order val="12"/>
          <tx>
            <strRef>
              <f>CROQUIS_DATOS!$A$621</f>
            </strRef>
          </tx>
          <spPr>
            <a:ln xmlns:a="http://schemas.openxmlformats.org/drawingml/2006/main" w="22225">
              <a:solidFill>
                <a:srgbClr val="7F4F00"/>
              </a:solidFill>
              <a:prstDash val="solid"/>
            </a:ln>
          </spPr>
          <marker>
            <symbol val="none"/>
            <spPr>
              <a:ln xmlns:a="http://schemas.openxmlformats.org/drawingml/2006/main">
                <a:prstDash val="solid"/>
              </a:ln>
            </spPr>
          </marker>
          <xVal>
            <numRef>
              <f>'CROQUIS_DATOS'!$AV$8:$AV$9</f>
            </numRef>
          </xVal>
          <yVal>
            <numRef>
              <f>'CROQUIS_DATOS'!$AW$8:$AW$9</f>
            </numRef>
          </yVal>
          <smooth val="0"/>
        </ser>
        <ser>
          <idx val="13"/>
          <order val="13"/>
          <tx>
            <strRef>
              <f>CROQUIS_DATOS!$A$622</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'CROQUIS_DATOS'!$AX$8:$AX$9</f>
            </numRef>
          </xVal>
          <yVal>
            <numRef>
              <f>'CROQUIS_DATOS'!$AY$8:$AY$9</f>
            </numRef>
          </yVal>
          <smooth val="0"/>
        </ser>
        <ser>
          <idx val="14"/>
          <order val="14"/>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'CROQUIS_DATOS'!$AZ$8:$AZ$9</f>
            </numRef>
          </xVal>
          <yVal>
            <numRef>
              <f>'CROQUIS_DATOS'!$BA$8:$BA$9</f>
            </numRef>
          </yVal>
          <smooth val="0"/>
        </ser>
        <ser>
          <idx val="15"/>
          <order val="15"/>
          <tx>
            <strRef>
              <f>CROQUIS_DATOS!$A$623</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'CROQUIS_DATOS'!$BB$8:$BB$9</f>
            </numRef>
          </xVal>
          <yVal>
            <numRef>
              <f>'CROQUIS_DATOS'!$BC$8:$BC$9</f>
            </numRef>
          </yVal>
          <smooth val="0"/>
        </ser>
        <ser>
          <idx val="16"/>
          <order val="16"/>
          <tx>
            <strRef>
              <f>CROQUIS_DATOS!$A$624</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'CROQUIS_DATOS'!$BD$8:$BD$9</f>
            </numRef>
          </xVal>
          <yVal>
            <numRef>
              <f>'CROQUIS_DATOS'!$BE$8:$BE$9</f>
            </numRef>
          </yVal>
          <smooth val="0"/>
        </ser>
        <ser>
          <idx val="17"/>
          <order val="17"/>
          <tx>
            <strRef>
              <f>CROQUIS_DATOS!$A$625</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'CROQUIS_DATOS'!$BF$8:$BF$9</f>
            </numRef>
          </xVal>
          <yVal>
            <numRef>
              <f>'CROQUIS_DATOS'!$BG$8:$BG$9</f>
            </numRef>
          </yVal>
          <smooth val="0"/>
        </ser>
        <ser>
          <idx val="18"/>
          <order val="18"/>
          <tx>
            <strRef>
              <f>CROQUIS_DATOS!$A$626</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'CROQUIS_DATOS'!$BH$8:$BH$9</f>
            </numRef>
          </xVal>
          <yVal>
            <numRef>
              <f>'CROQUIS_DATOS'!$BI$8:$BI$9</f>
            </numRef>
          </yVal>
          <smooth val="0"/>
        </ser>
        <ser>
          <idx val="19"/>
          <order val="19"/>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'CROQUIS_DATOS'!$BJ$8:$BJ$9</f>
            </numRef>
          </xVal>
          <yVal>
            <numRef>
              <f>'CROQUIS_DATOS'!$BK$8:$BK$9</f>
            </numRef>
          </yVal>
          <smooth val="0"/>
        </ser>
        <ser>
          <idx val="20"/>
          <order val="20"/>
          <tx>
            <strRef>
              <f>CROQUIS_DATOS!$A$627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'CROQUIS_DATOS'!$BL$8:$BL$14</f>
            </numRef>
          </xVal>
          <yVal>
            <numRef>
              <f>'CROQUIS_DATOS'!$BM$8:$BM$14</f>
            </numRef>
          </yVal>
          <smooth val="0"/>
        </ser>
        <ser>
          <idx val="21"/>
          <order val="21"/>
          <tx>
            <strRef>
              <f>CROQUIS_DATOS!$A$600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'CROQUIS_DATOS'!$B$8:$B$12</f>
            </numRef>
          </xVal>
          <yVal>
            <numRef>
              <f>'CROQUIS_DATOS'!$C$8:$C$12</f>
            </numRef>
          </yVal>
          <smooth val="0"/>
        </ser>
        <ser>
          <idx val="22"/>
          <order val="22"/>
          <tx>
            <strRef>
              <f>CROQUIS_DATOS!$A$605</f>
            </strRef>
          </tx>
          <spPr>
            <a:ln xmlns:a="http://schemas.openxmlformats.org/drawingml/2006/main" w="44450">
              <a:solidFill>
                <a:srgbClr val="7030A0"/>
              </a:solidFill>
              <a:prstDash val="solid"/>
            </a:ln>
          </spPr>
          <marker>
            <symbol val="none"/>
            <spPr>
              <a:ln xmlns:a="http://schemas.openxmlformats.org/drawingml/2006/main">
                <a:prstDash val="solid"/>
              </a:ln>
            </spPr>
          </marker>
          <xVal>
            <numRef>
              <f>'CROQUIS_DATOS'!$L$8:$L$10</f>
            </numRef>
          </xVal>
          <yVal>
            <numRef>
              <f>'CROQUIS_DATOS'!$M$8:$M$10</f>
            </numRef>
          </yVal>
          <smooth val="0"/>
        </ser>
        <ser>
          <idx val="23"/>
          <order val="23"/>
          <tx>
            <strRef>
              <f>CROQUIS_DATOS!$A$606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'CROQUIS_DATOS'!$N$8:$N$14</f>
            </numRef>
          </xVal>
          <yVal>
            <numRef>
              <f>'CROQUIS_DATOS'!$O$8:$O$14</f>
            </numRef>
          </yVal>
          <smooth val="0"/>
        </ser>
        <ser>
          <idx val="24"/>
          <order val="24"/>
          <tx>
            <strRef>
              <f>CROQUIS_DATOS!$A$607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'CROQUIS_DATOS'!$P$8:$P$14</f>
            </numRef>
          </xVal>
          <yVal>
            <numRef>
              <f>'CROQUIS_DATOS'!$Q$8:$Q$14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7"/>
        <delete val="1"/>
      </legendEntry>
      <legendEntry>
        <idx val="9"/>
        <delete val="1"/>
      </legendEntry>
      <legendEntry>
        <idx val="14"/>
        <delete val="1"/>
      </legendEntry>
      <legendEntry>
        <idx val="19"/>
        <delete val="1"/>
      </legendEntry>
      <legendEntry>
        <idx val="20"/>
        <delete val="1"/>
      </legendEntry>
      <legendEntry>
        <idx val="21"/>
        <delete val="1"/>
      </legendEntry>
      <legendEntry>
        <idx val="23"/>
        <delete val="1"/>
      </legendEntry>
      <legendEntry>
        <idx val="24"/>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CORTE DE LA NERVADURA ‖ CORTO (cm)</a:t>
            </a:r>
          </a:p>
        </rich>
      </tx>
      <overlay val="0"/>
    </title>
    <plotArea>
      <layout>
        <manualLayout>
          <layoutTarget val="inner"/>
          <xMode val="edge"/>
          <yMode val="edge"/>
          <wMode val="factor"/>
          <hMode val="factor"/>
          <x val="0.07971014492753625"/>
          <y val="0.12"/>
          <w val="0.8405797101449275"/>
          <h val="0.58"/>
        </manualLayout>
      </layout>
      <scatterChart>
        <scatterStyle val="lineMarker"/>
        <ser>
          <idx val="0"/>
          <order val="0"/>
          <tx>
            <strRef>
              <f>CROQUIS_DATOS!$A$633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'CROQUIS_DATOS'!$CB$8:$CB$16</f>
            </numRef>
          </xVal>
          <yVal>
            <numRef>
              <f>'CROQUIS_DATOS'!$CC$8:$CC$16</f>
            </numRef>
          </yVal>
          <smooth val="0"/>
        </ser>
        <ser>
          <idx val="1"/>
          <order val="1"/>
          <tx>
            <strRef>
              <f>CROQUIS_DATOS!$A$634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'CROQUIS_DATOS'!$CD$8:$CD$12</f>
            </numRef>
          </xVal>
          <yVal>
            <numRef>
              <f>'CROQUIS_DATOS'!$CE$8:$CE$12</f>
            </numRef>
          </yVal>
          <smooth val="0"/>
        </ser>
        <ser>
          <idx val="2"/>
          <order val="2"/>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'CROQUIS_DATOS'!$CF$8:$CF$12</f>
            </numRef>
          </xVal>
          <yVal>
            <numRef>
              <f>'CROQUIS_DATOS'!$CG$8:$CG$12</f>
            </numRef>
          </yVal>
          <smooth val="0"/>
        </ser>
        <ser>
          <idx val="3"/>
          <order val="3"/>
          <tx>
            <strRef>
              <f>CROQUIS_DATOS!$A$635</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'CROQUIS_DATOS'!$CH$8:$CH$9</f>
            </numRef>
          </xVal>
          <yVal>
            <numRef>
              <f>'CROQUIS_DATOS'!$CI$8:$CI$9</f>
            </numRef>
          </yVal>
          <smooth val="0"/>
        </ser>
        <ser>
          <idx val="4"/>
          <order val="4"/>
          <tx>
            <strRef>
              <f>CROQUIS_DATOS!$A$636</f>
            </strRef>
          </tx>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'CROQUIS_DATOS'!$CJ$8:$CJ$20</f>
            </numRef>
          </xVal>
          <yVal>
            <numRef>
              <f>'CROQUIS_DATOS'!$CK$8:$CK$20</f>
            </numRef>
          </yVal>
          <smooth val="0"/>
        </ser>
        <ser>
          <idx val="5"/>
          <order val="5"/>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'CROQUIS_DATOS'!$CL$8:$CL$20</f>
            </numRef>
          </xVal>
          <yVal>
            <numRef>
              <f>'CROQUIS_DATOS'!$CM$8:$CM$20</f>
            </numRef>
          </yVal>
          <smooth val="0"/>
        </ser>
        <ser>
          <idx val="6"/>
          <order val="6"/>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'CROQUIS_DATOS'!$CN$8:$CN$20</f>
            </numRef>
          </xVal>
          <yVal>
            <numRef>
              <f>'CROQUIS_DATOS'!$CO$8:$CO$20</f>
            </numRef>
          </yVal>
          <smooth val="0"/>
        </ser>
        <ser>
          <idx val="7"/>
          <order val="7"/>
          <tx>
            <strRef>
              <f>CROQUIS_DATOS!$A$637</f>
            </strRef>
          </tx>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'CROQUIS_DATOS'!$CP$8:$CP$20</f>
            </numRef>
          </xVal>
          <yVal>
            <numRef>
              <f>'CROQUIS_DATOS'!$CQ$8:$CQ$20</f>
            </numRef>
          </yVal>
          <smooth val="0"/>
        </ser>
        <ser>
          <idx val="8"/>
          <order val="8"/>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'CROQUIS_DATOS'!$CR$8:$CR$20</f>
            </numRef>
          </xVal>
          <yVal>
            <numRef>
              <f>'CROQUIS_DATOS'!$CS$8:$CS$20</f>
            </numRef>
          </yVal>
          <smooth val="0"/>
        </ser>
        <ser>
          <idx val="9"/>
          <order val="9"/>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'CROQUIS_DATOS'!$CT$8:$CT$20</f>
            </numRef>
          </xVal>
          <yVal>
            <numRef>
              <f>'CROQUIS_DATOS'!$CU$8:$CU$20</f>
            </numRef>
          </yVal>
          <smooth val="0"/>
        </ser>
        <ser>
          <idx val="10"/>
          <order val="10"/>
          <tx>
            <strRef>
              <f>CROQUIS_DATOS!$A$638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b"/>
              <showLegendKey val="0"/>
              <showVal val="0"/>
              <showCatName val="0"/>
              <showSerName val="1"/>
              <showPercent val="0"/>
            </dLbl>
            <showLegendKey val="0"/>
            <showVal val="0"/>
            <showCatName val="0"/>
            <showSerName val="0"/>
          </dLbls>
          <xVal>
            <numRef>
              <f>'CROQUIS_DATOS'!$CV$8:$CV$14</f>
            </numRef>
          </xVal>
          <yVal>
            <numRef>
              <f>'CROQUIS_DATOS'!$CW$8:$CW$14</f>
            </numRef>
          </yVal>
          <smooth val="0"/>
        </ser>
        <ser>
          <idx val="11"/>
          <order val="11"/>
          <tx>
            <strRef>
              <f>CROQUIS_DATOS!$A$639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'CROQUIS_DATOS'!$CX$8:$CX$14</f>
            </numRef>
          </xVal>
          <yVal>
            <numRef>
              <f>'CROQUIS_DATOS'!$CY$8:$CY$14</f>
            </numRef>
          </yVal>
          <smooth val="0"/>
        </ser>
        <ser>
          <idx val="12"/>
          <order val="12"/>
          <tx>
            <strRef>
              <f>CROQUIS_DATOS!$A$640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r"/>
              <showLegendKey val="0"/>
              <showVal val="0"/>
              <showCatName val="0"/>
              <showSerName val="1"/>
              <showPercent val="0"/>
            </dLbl>
            <showLegendKey val="0"/>
            <showVal val="0"/>
            <showCatName val="0"/>
            <showSerName val="0"/>
          </dLbls>
          <xVal>
            <numRef>
              <f>'CROQUIS_DATOS'!$CZ$8:$CZ$14</f>
            </numRef>
          </xVal>
          <yVal>
            <numRef>
              <f>'CROQUIS_DATOS'!$DA$8:$DA$14</f>
            </numRef>
          </yVal>
          <smooth val="0"/>
        </ser>
        <ser>
          <idx val="13"/>
          <order val="13"/>
          <tx>
            <strRef>
              <f>CROQUIS_DATOS!$A$641</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'CROQUIS_DATOS'!$DB$8:$DB$14</f>
            </numRef>
          </xVal>
          <yVal>
            <numRef>
              <f>'CROQUIS_DATOS'!$DC$8:$DC$14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48"/>
          <min val="0"/>
        </scaling>
        <delete val="1"/>
        <axPos val="l"/>
        <majorTickMark val="none"/>
        <minorTickMark val="none"/>
        <crossAx val="10"/>
      </valAx>
    </plotArea>
    <legend>
      <legendPos val="b"/>
      <legendEntry>
        <idx val="2"/>
        <delete val="1"/>
      </legendEntry>
      <legendEntry>
        <idx val="5"/>
        <delete val="1"/>
      </legendEntry>
      <legendEntry>
        <idx val="6"/>
        <delete val="1"/>
      </legendEntry>
      <legendEntry>
        <idx val="8"/>
        <delete val="1"/>
      </legendEntry>
      <legendEntry>
        <idx val="9"/>
        <delete val="1"/>
      </legendEntry>
      <legendEntry>
        <idx val="10"/>
        <delete val="1"/>
      </legendEntry>
      <legendEntry>
        <idx val="11"/>
        <delete val="1"/>
      </legendEntry>
      <legendEntry>
        <idx val="12"/>
        <delete val="1"/>
      </legendEntry>
      <legendEntry>
        <idx val="13"/>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ALZADO ‖ CLARO CORTO DE LA NERVADURA</a:t>
            </a:r>
          </a:p>
        </rich>
      </tx>
      <overlay val="0"/>
    </title>
    <plotArea>
      <layout>
        <manualLayout>
          <layoutTarget val="inner"/>
          <xMode val="edge"/>
          <yMode val="edge"/>
          <wMode val="factor"/>
          <hMode val="factor"/>
          <x val="0.178215579710145"/>
          <y val="0.12"/>
          <w val="0.6435688405797101"/>
          <h val="0.58"/>
        </manualLayout>
      </layout>
      <scatterChart>
        <scatterStyle val="lineMarker"/>
        <ser>
          <idx val="0"/>
          <order val="0"/>
          <tx>
            <strRef>
              <f>CROQUIS_DATOS!$A$651</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'CROQUIS_DATOS'!$DV$8:$DV$12</f>
            </numRef>
          </xVal>
          <yVal>
            <numRef>
              <f>'CROQUIS_DATOS'!$DW$8:$DW$12</f>
            </numRef>
          </yVal>
          <smooth val="0"/>
        </ser>
        <ser>
          <idx val="1"/>
          <order val="1"/>
          <tx>
            <strRef>
              <f>CROQUIS_DATOS!$A$652</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'CROQUIS_DATOS'!$DX$8:$DX$17</f>
            </numRef>
          </xVal>
          <yVal>
            <numRef>
              <f>'CROQUIS_DATOS'!$DY$8:$DY$17</f>
            </numRef>
          </yVal>
          <smooth val="0"/>
        </ser>
        <ser>
          <idx val="2"/>
          <order val="2"/>
          <tx>
            <strRef>
              <f>CROQUIS_DATOS!$A$653</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'CROQUIS_DATOS'!$DZ$8:$DZ$12</f>
            </numRef>
          </xVal>
          <yVal>
            <numRef>
              <f>'CROQUIS_DATOS'!$EA$8:$EA$12</f>
            </numRef>
          </yVal>
          <smooth val="0"/>
        </ser>
        <ser>
          <idx val="3"/>
          <order val="3"/>
          <tx>
            <strRef>
              <f>CROQUIS_DATOS!$A$658</f>
            </strRef>
          </tx>
          <spPr>
            <a:ln xmlns:a="http://schemas.openxmlformats.org/drawingml/2006/main" w="9525">
              <a:solidFill>
                <a:srgbClr val="A6A6A6"/>
              </a:solidFill>
              <a:prstDash val="dash"/>
            </a:ln>
          </spPr>
          <marker>
            <symbol val="none"/>
            <spPr>
              <a:ln xmlns:a="http://schemas.openxmlformats.org/drawingml/2006/main">
                <a:prstDash val="solid"/>
              </a:ln>
            </spPr>
          </marker>
          <xVal>
            <numRef>
              <f>'CROQUIS_DATOS'!$EL$8:$EL$12</f>
            </numRef>
          </xVal>
          <yVal>
            <numRef>
              <f>'CROQUIS_DATOS'!$EM$8:$EM$12</f>
            </numRef>
          </yVal>
          <smooth val="0"/>
        </ser>
        <ser>
          <idx val="4"/>
          <order val="4"/>
          <tx>
            <strRef>
              <f>CROQUIS_DATOS!$A$659</f>
            </strRef>
          </tx>
          <spPr>
            <a:ln xmlns:a="http://schemas.openxmlformats.org/drawingml/2006/main" w="15875">
              <a:solidFill>
                <a:srgbClr val="ED7D31"/>
              </a:solidFill>
              <a:prstDash val="dash"/>
            </a:ln>
          </spPr>
          <marker>
            <symbol val="none"/>
            <spPr>
              <a:ln xmlns:a="http://schemas.openxmlformats.org/drawingml/2006/main">
                <a:prstDash val="solid"/>
              </a:ln>
            </spPr>
          </marker>
          <xVal>
            <numRef>
              <f>'CROQUIS_DATOS'!$EN$8:$EN$11</f>
            </numRef>
          </xVal>
          <yVal>
            <numRef>
              <f>'CROQUIS_DATOS'!$EO$8:$EO$11</f>
            </numRef>
          </yVal>
          <smooth val="0"/>
        </ser>
        <ser>
          <idx val="5"/>
          <order val="5"/>
          <tx>
            <strRef>
              <f>CROQUIS_DATOS!$A$654</f>
            </strRef>
          </tx>
          <spPr>
            <a:ln xmlns:a="http://schemas.openxmlformats.org/drawingml/2006/main" w="28575">
              <a:solidFill>
                <a:srgbClr val="0070C0"/>
              </a:solidFill>
              <a:prstDash val="solid"/>
            </a:ln>
          </spPr>
          <marker>
            <symbol val="none"/>
            <spPr>
              <a:ln xmlns:a="http://schemas.openxmlformats.org/drawingml/2006/main">
                <a:prstDash val="solid"/>
              </a:ln>
            </spPr>
          </marker>
          <xVal>
            <numRef>
              <f>'CROQUIS_DATOS'!$EB$8:$EB$13</f>
            </numRef>
          </xVal>
          <yVal>
            <numRef>
              <f>'CROQUIS_DATOS'!$EC$8:$EC$13</f>
            </numRef>
          </yVal>
          <smooth val="0"/>
        </ser>
        <ser>
          <idx val="6"/>
          <order val="6"/>
          <tx>
            <strRef>
              <f>CROQUIS_DATOS!$A$655</f>
            </strRef>
          </tx>
          <spPr>
            <a:ln xmlns:a="http://schemas.openxmlformats.org/drawingml/2006/main" w="22225">
              <a:solidFill>
                <a:srgbClr val="7F4F00"/>
              </a:solidFill>
              <a:prstDash val="solid"/>
            </a:ln>
          </spPr>
          <marker>
            <symbol val="none"/>
            <spPr>
              <a:ln xmlns:a="http://schemas.openxmlformats.org/drawingml/2006/main">
                <a:prstDash val="solid"/>
              </a:ln>
            </spPr>
          </marker>
          <xVal>
            <numRef>
              <f>'CROQUIS_DATOS'!$ED$8:$ED$13</f>
            </numRef>
          </xVal>
          <yVal>
            <numRef>
              <f>'CROQUIS_DATOS'!$EE$8:$EE$13</f>
            </numRef>
          </yVal>
          <smooth val="0"/>
        </ser>
        <ser>
          <idx val="7"/>
          <order val="7"/>
          <tx>
            <strRef>
              <f>CROQUIS_DATOS!$A$656</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'CROQUIS_DATOS'!$EF$8:$EF$11</f>
            </numRef>
          </xVal>
          <yVal>
            <numRef>
              <f>'CROQUIS_DATOS'!$EG$8:$EG$11</f>
            </numRef>
          </yVal>
          <smooth val="0"/>
        </ser>
        <ser>
          <idx val="8"/>
          <order val="8"/>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'CROQUIS_DATOS'!$EH$8:$EH$11</f>
            </numRef>
          </xVal>
          <yVal>
            <numRef>
              <f>'CROQUIS_DATOS'!$EI$8:$EI$11</f>
            </numRef>
          </yVal>
          <smooth val="0"/>
        </ser>
        <ser>
          <idx val="9"/>
          <order val="9"/>
          <tx>
            <strRef>
              <f>CROQUIS_DATOS!$A$657</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'CROQUIS_DATOS'!$EJ$8:$EJ$9</f>
            </numRef>
          </xVal>
          <yVal>
            <numRef>
              <f>'CROQUIS_DATOS'!$EK$8:$EK$9</f>
            </numRef>
          </yVal>
          <smooth val="0"/>
        </ser>
        <ser>
          <idx val="10"/>
          <order val="10"/>
          <tx>
            <strRef>
              <f>CROQUIS_DATOS!$A$660</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'CROQUIS_DATOS'!$EP$8:$EP$14</f>
            </numRef>
          </xVal>
          <yVal>
            <numRef>
              <f>'CROQUIS_DATOS'!$EQ$8:$EQ$14</f>
            </numRef>
          </yVal>
          <smooth val="0"/>
        </ser>
        <ser>
          <idx val="11"/>
          <order val="11"/>
          <tx>
            <strRef>
              <f>CROQUIS_DATOS!$A$661</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'CROQUIS_DATOS'!$ER$8:$ER$14</f>
            </numRef>
          </xVal>
          <yVal>
            <numRef>
              <f>'CROQUIS_DATOS'!$ES$8:$ES$14</f>
            </numRef>
          </yVal>
          <smooth val="0"/>
        </ser>
        <ser>
          <idx val="12"/>
          <order val="12"/>
          <tx>
            <strRef>
              <f>CROQUIS_DATOS!$A$662</f>
            </strRef>
          </tx>
          <spPr>
            <a:ln xmlns:a="http://schemas.openxmlformats.org/drawingml/2006/main" w="25400">
              <a:solidFill>
                <a:srgbClr val="7030A0"/>
              </a:solidFill>
              <a:prstDash val="solid"/>
            </a:ln>
          </spPr>
          <marker>
            <symbol val="none"/>
            <spPr>
              <a:ln xmlns:a="http://schemas.openxmlformats.org/drawingml/2006/main">
                <a:prstDash val="solid"/>
              </a:ln>
            </spPr>
          </marker>
          <dLbls>
            <dLbl>
              <idx val="0"/>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'CROQUIS_DATOS'!$ET$8:$ET$12</f>
            </numRef>
          </xVal>
          <yVal>
            <numRef>
              <f>'CROQUIS_DATOS'!$EU$8:$EU$12</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64"/>
          <min val="0"/>
        </scaling>
        <delete val="1"/>
        <axPos val="l"/>
        <majorTickMark val="none"/>
        <minorTickMark val="none"/>
        <crossAx val="10"/>
      </valAx>
    </plotArea>
    <legend>
      <legendPos val="b"/>
      <legendEntry>
        <idx val="8"/>
        <delete val="1"/>
      </legendEntry>
      <legendEntry>
        <idx val="10"/>
        <delete val="1"/>
      </legendEntry>
      <legendEntry>
        <idx val="11"/>
        <delete val="1"/>
      </legendEntry>
      <legendEntry>
        <idx val="12"/>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PLANTA DEL TABLERO — ARMADO POR METRO</a:t>
            </a:r>
          </a:p>
        </rich>
      </tx>
      <overlay val="0"/>
    </title>
    <plotArea>
      <layout>
        <manualLayout>
          <layoutTarget val="inner"/>
          <xMode val="edge"/>
          <yMode val="edge"/>
          <wMode val="factor"/>
          <hMode val="factor"/>
          <x val="0.1131578947368421"/>
          <y val="0.07000000000000001"/>
          <w val="0.7736842105263159"/>
          <h val="0.6"/>
        </manualLayout>
      </layout>
      <scatterChart>
        <scatterStyle val="lineMarker"/>
        <ser>
          <idx val="0"/>
          <order val="0"/>
          <tx>
            <strRef>
              <f>CROQUIS_DATOS!$A$611</f>
            </strRef>
          </tx>
          <spPr>
            <a:ln xmlns:a="http://schemas.openxmlformats.org/drawingml/2006/main" w="12700">
              <a:solidFill>
                <a:srgbClr val="7F7F7F"/>
              </a:solidFill>
              <a:prstDash val="dash"/>
            </a:ln>
          </spPr>
          <marker>
            <symbol val="none"/>
            <spPr>
              <a:ln xmlns:a="http://schemas.openxmlformats.org/drawingml/2006/main">
                <a:prstDash val="solid"/>
              </a:ln>
            </spPr>
          </marker>
          <xVal>
            <numRef>
              <f>'CROQUIS_DATOS'!$X$8:$X$12</f>
            </numRef>
          </xVal>
          <yVal>
            <numRef>
              <f>'CROQUIS_DATOS'!$Y$8:$Y$12</f>
            </numRef>
          </yVal>
          <smooth val="0"/>
        </ser>
        <ser>
          <idx val="1"/>
          <order val="1"/>
          <tx>
            <strRef>
              <f>CROQUIS_DATOS!$A$612</f>
            </strRef>
          </tx>
          <spPr>
            <a:ln xmlns:a="http://schemas.openxmlformats.org/drawingml/2006/main" w="19050">
              <a:solidFill>
                <a:srgbClr val="7F7F7F"/>
              </a:solidFill>
              <a:prstDash val="solid"/>
            </a:ln>
          </spPr>
          <marker>
            <symbol val="none"/>
            <spPr>
              <a:ln xmlns:a="http://schemas.openxmlformats.org/drawingml/2006/main">
                <a:prstDash val="solid"/>
              </a:ln>
            </spPr>
          </marker>
          <xVal>
            <numRef>
              <f>'CROQUIS_DATOS'!$Z$8:$Z$12</f>
            </numRef>
          </xVal>
          <yVal>
            <numRef>
              <f>'CROQUIS_DATOS'!$AA$8:$AA$12</f>
            </numRef>
          </yVal>
          <smooth val="0"/>
        </ser>
        <ser>
          <idx val="2"/>
          <order val="2"/>
          <tx>
            <strRef>
              <f>CROQUIS_DATOS!$A$608</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'CROQUIS_DATOS'!$R$8:$R$12</f>
            </numRef>
          </xVal>
          <yVal>
            <numRef>
              <f>'CROQUIS_DATOS'!$S$8:$S$12</f>
            </numRef>
          </yVal>
          <smooth val="0"/>
        </ser>
        <ser>
          <idx val="3"/>
          <order val="3"/>
          <tx>
            <strRef>
              <f>CROQUIS_DATOS!$A$609</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'CROQUIS_DATOS'!$T$8:$T$12</f>
            </numRef>
          </xVal>
          <yVal>
            <numRef>
              <f>'CROQUIS_DATOS'!$U$8:$U$12</f>
            </numRef>
          </yVal>
          <smooth val="0"/>
        </ser>
        <ser>
          <idx val="4"/>
          <order val="4"/>
          <tx>
            <strRef>
              <f>CROQUIS_DATOS!$A$610</f>
            </strRef>
          </tx>
          <spPr>
            <a:ln xmlns:a="http://schemas.openxmlformats.org/drawingml/2006/main" w="9525">
              <a:solidFill>
                <a:srgbClr val="595959"/>
              </a:solidFill>
              <a:prstDash val="solid"/>
            </a:ln>
          </spPr>
          <marker>
            <symbol val="none"/>
            <spPr>
              <a:ln xmlns:a="http://schemas.openxmlformats.org/drawingml/2006/main">
                <a:prstDash val="solid"/>
              </a:ln>
            </spPr>
          </marker>
          <xVal>
            <numRef>
              <f>'CROQUIS_DATOS'!$V$8:$V$48</f>
            </numRef>
          </xVal>
          <yVal>
            <numRef>
              <f>'CROQUIS_DATOS'!$W$8:$W$48</f>
            </numRef>
          </yVal>
          <smooth val="0"/>
        </ser>
        <ser>
          <idx val="5"/>
          <order val="5"/>
          <tx>
            <strRef>
              <f>CROQUIS_DATOS!$A$628</f>
            </strRef>
          </tx>
          <spPr>
            <a:ln xmlns:a="http://schemas.openxmlformats.org/drawingml/2006/main" w="9525">
              <a:solidFill>
                <a:srgbClr val="0070C0"/>
              </a:solidFill>
              <a:prstDash val="solid"/>
            </a:ln>
          </spPr>
          <marker>
            <symbol val="none"/>
            <spPr>
              <a:ln xmlns:a="http://schemas.openxmlformats.org/drawingml/2006/main">
                <a:prstDash val="solid"/>
              </a:ln>
            </spPr>
          </marker>
          <xVal>
            <numRef>
              <f>'CROQUIS_DATOS'!$BN$8:$BN$407</f>
            </numRef>
          </xVal>
          <yVal>
            <numRef>
              <f>'CROQUIS_DATOS'!$BO$8:$BO$407</f>
            </numRef>
          </yVal>
          <smooth val="0"/>
        </ser>
        <ser>
          <idx val="6"/>
          <order val="6"/>
          <tx>
            <strRef>
              <f>CROQUIS_DATOS!$A$629</f>
            </strRef>
          </tx>
          <spPr>
            <a:ln xmlns:a="http://schemas.openxmlformats.org/drawingml/2006/main" w="9525">
              <a:solidFill>
                <a:srgbClr val="00B050"/>
              </a:solidFill>
              <a:prstDash val="solid"/>
            </a:ln>
          </spPr>
          <marker>
            <symbol val="none"/>
            <spPr>
              <a:ln xmlns:a="http://schemas.openxmlformats.org/drawingml/2006/main">
                <a:prstDash val="solid"/>
              </a:ln>
            </spPr>
          </marker>
          <xVal>
            <numRef>
              <f>'CROQUIS_DATOS'!$BP$8:$BP$407</f>
            </numRef>
          </xVal>
          <yVal>
            <numRef>
              <f>'CROQUIS_DATOS'!$BQ$8:$BQ$407</f>
            </numRef>
          </yVal>
          <smooth val="0"/>
        </ser>
        <ser>
          <idx val="7"/>
          <order val="7"/>
          <tx>
            <strRef>
              <f>CROQUIS_DATOS!$A$630</f>
            </strRef>
          </tx>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'CROQUIS_DATOS'!$BR$8:$BR$407</f>
            </numRef>
          </xVal>
          <yVal>
            <numRef>
              <f>'CROQUIS_DATOS'!$BS$8:$BS$407</f>
            </numRef>
          </yVal>
          <smooth val="0"/>
        </ser>
        <ser>
          <idx val="8"/>
          <order val="8"/>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'CROQUIS_DATOS'!$BT$8:$BT$407</f>
            </numRef>
          </xVal>
          <yVal>
            <numRef>
              <f>'CROQUIS_DATOS'!$BU$8:$BU$407</f>
            </numRef>
          </yVal>
          <smooth val="0"/>
        </ser>
        <ser>
          <idx val="9"/>
          <order val="9"/>
          <tx>
            <strRef>
              <f>CROQUIS_DATOS!$A$631</f>
            </strRef>
          </tx>
          <spPr>
            <a:ln xmlns:a="http://schemas.openxmlformats.org/drawingml/2006/main" w="15875">
              <a:solidFill>
                <a:srgbClr val="ED7D31"/>
              </a:solidFill>
              <a:prstDash val="solid"/>
            </a:ln>
          </spPr>
          <marker>
            <symbol val="none"/>
            <spPr>
              <a:ln xmlns:a="http://schemas.openxmlformats.org/drawingml/2006/main">
                <a:prstDash val="solid"/>
              </a:ln>
            </spPr>
          </marker>
          <xVal>
            <numRef>
              <f>'CROQUIS_DATOS'!$BV$8:$BV$407</f>
            </numRef>
          </xVal>
          <yVal>
            <numRef>
              <f>'CROQUIS_DATOS'!$BW$8:$BW$407</f>
            </numRef>
          </yVal>
          <smooth val="0"/>
        </ser>
        <ser>
          <idx val="10"/>
          <order val="10"/>
          <spPr>
            <a:ln xmlns:a="http://schemas.openxmlformats.org/drawingml/2006/main" w="15875">
              <a:solidFill>
                <a:srgbClr val="ED7D31"/>
              </a:solidFill>
              <a:prstDash val="solid"/>
            </a:ln>
          </spPr>
          <marker>
            <symbol val="none"/>
            <spPr>
              <a:ln xmlns:a="http://schemas.openxmlformats.org/drawingml/2006/main">
                <a:prstDash val="solid"/>
              </a:ln>
            </spPr>
          </marker>
          <xVal>
            <numRef>
              <f>'CROQUIS_DATOS'!$BX$8:$BX$407</f>
            </numRef>
          </xVal>
          <yVal>
            <numRef>
              <f>'CROQUIS_DATOS'!$BY$8:$BY$407</f>
            </numRef>
          </yVal>
          <smooth val="0"/>
        </ser>
        <ser>
          <idx val="11"/>
          <order val="11"/>
          <tx>
            <strRef>
              <f>CROQUIS_DATOS!$A$632</f>
            </strRef>
          </tx>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'CROQUIS_DATOS'!$BZ$8:$BZ$407</f>
            </numRef>
          </xVal>
          <yVal>
            <numRef>
              <f>'CROQUIS_DATOS'!$CA$8:$CA$407</f>
            </numRef>
          </yVal>
          <smooth val="0"/>
        </ser>
        <ser>
          <idx val="12"/>
          <order val="12"/>
          <tx>
            <strRef>
              <f>CROQUIS_DATOS!$A$608</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'CROQUIS_DATOS'!$R$8:$R$12</f>
            </numRef>
          </xVal>
          <yVal>
            <numRef>
              <f>'CROQUIS_DATOS'!$S$8:$S$12</f>
            </numRef>
          </yVal>
          <smooth val="0"/>
        </ser>
        <ser>
          <idx val="13"/>
          <order val="13"/>
          <tx>
            <strRef>
              <f>CROQUIS_DATOS!$A$613</f>
            </strRef>
          </tx>
          <spPr>
            <a:ln xmlns:a="http://schemas.openxmlformats.org/drawingml/2006/main" w="44450">
              <a:solidFill>
                <a:srgbClr val="7030A0"/>
              </a:solidFill>
              <a:prstDash val="solid"/>
            </a:ln>
          </spPr>
          <marker>
            <symbol val="none"/>
            <spPr>
              <a:ln xmlns:a="http://schemas.openxmlformats.org/drawingml/2006/main">
                <a:prstDash val="solid"/>
              </a:ln>
            </spPr>
          </marker>
          <xVal>
            <numRef>
              <f>'CROQUIS_DATOS'!$AB$8:$AB$10</f>
            </numRef>
          </xVal>
          <yVal>
            <numRef>
              <f>'CROQUIS_DATOS'!$AC$8:$AC$10</f>
            </numRef>
          </yVal>
          <smooth val="0"/>
        </ser>
        <ser>
          <idx val="14"/>
          <order val="14"/>
          <tx>
            <strRef>
              <f>CROQUIS_DATOS!$A$614</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'CROQUIS_DATOS'!$AD$8:$AD$14</f>
            </numRef>
          </xVal>
          <yVal>
            <numRef>
              <f>'CROQUIS_DATOS'!$AE$8:$AE$14</f>
            </numRef>
          </yVal>
          <smooth val="0"/>
        </ser>
        <ser>
          <idx val="15"/>
          <order val="15"/>
          <tx>
            <strRef>
              <f>CROQUIS_DATOS!$A$615</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'CROQUIS_DATOS'!$AF$8:$AF$14</f>
            </numRef>
          </xVal>
          <yVal>
            <numRef>
              <f>'CROQUIS_DATOS'!$AG$8:$AG$14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4"/>
        <delete val="1"/>
      </legendEntry>
      <legendEntry>
        <idx val="8"/>
        <delete val="1"/>
      </legendEntry>
      <legendEntry>
        <idx val="10"/>
        <delete val="1"/>
      </legendEntry>
      <legendEntry>
        <idx val="12"/>
        <delete val="1"/>
      </legendEntry>
      <legendEntry>
        <idx val="14"/>
        <delete val="1"/>
      </legendEntry>
      <legendEntry>
        <idx val="15"/>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CORTE DE LA LOSA JUNTO AL APOYO (cm)</a:t>
            </a:r>
          </a:p>
        </rich>
      </tx>
      <overlay val="0"/>
    </title>
    <plotArea>
      <layout>
        <manualLayout>
          <layoutTarget val="inner"/>
          <xMode val="edge"/>
          <yMode val="edge"/>
          <wMode val="factor"/>
          <hMode val="factor"/>
          <x val="0.07971014492753625"/>
          <y val="0.12"/>
          <w val="0.8405797101449275"/>
          <h val="0.58"/>
        </manualLayout>
      </layout>
      <scatterChart>
        <scatterStyle val="lineMarker"/>
        <ser>
          <idx val="0"/>
          <order val="0"/>
          <tx>
            <strRef>
              <f>CROQUIS_DATOS!$A$642</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'CROQUIS_DATOS'!$DD$8:$DD$12</f>
            </numRef>
          </xVal>
          <yVal>
            <numRef>
              <f>'CROQUIS_DATOS'!$DE$8:$DE$12</f>
            </numRef>
          </yVal>
          <smooth val="0"/>
        </ser>
        <ser>
          <idx val="1"/>
          <order val="1"/>
          <tx>
            <strRef>
              <f>CROQUIS_DATOS!$A$643</f>
            </strRef>
          </tx>
          <spPr>
            <a:ln xmlns:a="http://schemas.openxmlformats.org/drawingml/2006/main" w="25400">
              <a:solidFill>
                <a:srgbClr val="0070C0"/>
              </a:solidFill>
              <a:prstDash val="solid"/>
            </a:ln>
          </spPr>
          <marker>
            <symbol val="none"/>
            <spPr>
              <a:ln xmlns:a="http://schemas.openxmlformats.org/drawingml/2006/main">
                <a:prstDash val="solid"/>
              </a:ln>
            </spPr>
          </marker>
          <xVal>
            <numRef>
              <f>'CROQUIS_DATOS'!$DF$8:$DF$9</f>
            </numRef>
          </xVal>
          <yVal>
            <numRef>
              <f>'CROQUIS_DATOS'!$DG$8:$DG$9</f>
            </numRef>
          </yVal>
          <smooth val="0"/>
        </ser>
        <ser>
          <idx val="2"/>
          <order val="2"/>
          <tx>
            <strRef>
              <f>CROQUIS_DATOS!$A$646</f>
            </strRef>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'CROQUIS_DATOS'!$DL$8:$DL$9</f>
            </numRef>
          </xVal>
          <yVal>
            <numRef>
              <f>'CROQUIS_DATOS'!$DM$8:$DM$9</f>
            </numRef>
          </yVal>
          <smooth val="0"/>
        </ser>
        <ser>
          <idx val="3"/>
          <order val="3"/>
          <tx>
            <strRef>
              <f>CROQUIS_DATOS!$A$644</f>
            </strRef>
          </tx>
          <spPr>
            <a:ln xmlns:a="http://schemas.openxmlformats.org/drawingml/2006/main">
              <a:noFill/>
              <a:prstDash val="solid"/>
            </a:ln>
          </spPr>
          <marker>
            <symbol val="circle"/>
            <size val="5"/>
            <spPr>
              <a:solidFill xmlns:a="http://schemas.openxmlformats.org/drawingml/2006/main">
                <a:srgbClr val="00B050"/>
              </a:solidFill>
              <a:ln xmlns:a="http://schemas.openxmlformats.org/drawingml/2006/main">
                <a:solidFill>
                  <a:srgbClr val="00B050"/>
                </a:solidFill>
                <a:prstDash val="solid"/>
              </a:ln>
            </spPr>
          </marker>
          <xVal>
            <numRef>
              <f>'CROQUIS_DATOS'!$DH$8:$DH$19</f>
            </numRef>
          </xVal>
          <yVal>
            <numRef>
              <f>'CROQUIS_DATOS'!$DI$8:$DI$19</f>
            </numRef>
          </yVal>
          <smooth val="0"/>
        </ser>
        <ser>
          <idx val="4"/>
          <order val="4"/>
          <tx>
            <strRef>
              <f>CROQUIS_DATOS!$A$645</f>
            </strRef>
          </tx>
          <spPr>
            <a:ln xmlns:a="http://schemas.openxmlformats.org/drawingml/2006/main">
              <a:noFill/>
              <a:prstDash val="solid"/>
            </a:ln>
          </spPr>
          <marker>
            <symbol val="circle"/>
            <size val="5"/>
            <spPr>
              <a:solidFill xmlns:a="http://schemas.openxmlformats.org/drawingml/2006/main">
                <a:srgbClr val="ED7D31"/>
              </a:solidFill>
              <a:ln xmlns:a="http://schemas.openxmlformats.org/drawingml/2006/main">
                <a:solidFill>
                  <a:srgbClr val="ED7D31"/>
                </a:solidFill>
                <a:prstDash val="solid"/>
              </a:ln>
            </spPr>
          </marker>
          <xVal>
            <numRef>
              <f>'CROQUIS_DATOS'!$DJ$8:$DJ$19</f>
            </numRef>
          </xVal>
          <yVal>
            <numRef>
              <f>'CROQUIS_DATOS'!$DK$8:$DK$19</f>
            </numRef>
          </yVal>
          <smooth val="0"/>
        </ser>
        <ser>
          <idx val="5"/>
          <order val="5"/>
          <tx>
            <strRef>
              <f>CROQUIS_DATOS!$A$647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r"/>
              <showLegendKey val="0"/>
              <showVal val="0"/>
              <showCatName val="0"/>
              <showSerName val="1"/>
              <showPercent val="0"/>
            </dLbl>
            <showLegendKey val="0"/>
            <showVal val="0"/>
            <showCatName val="0"/>
            <showSerName val="0"/>
          </dLbls>
          <xVal>
            <numRef>
              <f>'CROQUIS_DATOS'!$DN$8:$DN$14</f>
            </numRef>
          </xVal>
          <yVal>
            <numRef>
              <f>'CROQUIS_DATOS'!$DO$8:$DO$14</f>
            </numRef>
          </yVal>
          <smooth val="0"/>
        </ser>
        <ser>
          <idx val="6"/>
          <order val="6"/>
          <tx>
            <strRef>
              <f>CROQUIS_DATOS!$A$648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'CROQUIS_DATOS'!$DP$8:$DP$14</f>
            </numRef>
          </xVal>
          <yVal>
            <numRef>
              <f>'CROQUIS_DATOS'!$DQ$8:$DQ$14</f>
            </numRef>
          </yVal>
          <smooth val="0"/>
        </ser>
        <ser>
          <idx val="7"/>
          <order val="7"/>
          <tx>
            <strRef>
              <f>CROQUIS_DATOS!$A$649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'CROQUIS_DATOS'!$DR$8:$DR$14</f>
            </numRef>
          </xVal>
          <yVal>
            <numRef>
              <f>'CROQUIS_DATOS'!$DS$8:$DS$14</f>
            </numRef>
          </yVal>
          <smooth val="0"/>
        </ser>
        <ser>
          <idx val="8"/>
          <order val="8"/>
          <tx>
            <strRef>
              <f>CROQUIS_DATOS!$A$650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b"/>
              <showLegendKey val="0"/>
              <showVal val="0"/>
              <showCatName val="0"/>
              <showSerName val="1"/>
              <showPercent val="0"/>
            </dLbl>
            <showLegendKey val="0"/>
            <showVal val="0"/>
            <showCatName val="0"/>
            <showSerName val="0"/>
          </dLbls>
          <xVal>
            <numRef>
              <f>'CROQUIS_DATOS'!$DT$8:$DT$14</f>
            </numRef>
          </xVal>
          <yVal>
            <numRef>
              <f>'CROQUIS_DATOS'!$DU$8:$DU$14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48"/>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8"/>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ALZADO ‖ CLARO CORTO (FRANJA DE 1 m)</a:t>
            </a:r>
          </a:p>
        </rich>
      </tx>
      <overlay val="0"/>
    </title>
    <plotArea>
      <layout>
        <manualLayout>
          <layoutTarget val="inner"/>
          <xMode val="edge"/>
          <yMode val="edge"/>
          <wMode val="factor"/>
          <hMode val="factor"/>
          <x val="0.178215579710145"/>
          <y val="0.12"/>
          <w val="0.6435688405797101"/>
          <h val="0.58"/>
        </manualLayout>
      </layout>
      <scatterChart>
        <scatterStyle val="lineMarker"/>
        <ser>
          <idx val="0"/>
          <order val="0"/>
          <tx>
            <strRef>
              <f>CROQUIS_DATOS!$A$663</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'CROQUIS_DATOS'!$EV$8:$EV$12</f>
            </numRef>
          </xVal>
          <yVal>
            <numRef>
              <f>'CROQUIS_DATOS'!$EW$8:$EW$12</f>
            </numRef>
          </yVal>
          <smooth val="0"/>
        </ser>
        <ser>
          <idx val="1"/>
          <order val="1"/>
          <tx>
            <strRef>
              <f>CROQUIS_DATOS!$A$664</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'CROQUIS_DATOS'!$EX$8:$EX$17</f>
            </numRef>
          </xVal>
          <yVal>
            <numRef>
              <f>'CROQUIS_DATOS'!$EY$8:$EY$17</f>
            </numRef>
          </yVal>
          <smooth val="0"/>
        </ser>
        <ser>
          <idx val="2"/>
          <order val="2"/>
          <tx>
            <strRef>
              <f>CROQUIS_DATOS!$A$665</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'CROQUIS_DATOS'!$EZ$8:$EZ$12</f>
            </numRef>
          </xVal>
          <yVal>
            <numRef>
              <f>'CROQUIS_DATOS'!$FA$8:$FA$12</f>
            </numRef>
          </yVal>
          <smooth val="0"/>
        </ser>
        <ser>
          <idx val="3"/>
          <order val="3"/>
          <tx>
            <strRef>
              <f>CROQUIS_DATOS!$A$666</f>
            </strRef>
          </tx>
          <spPr>
            <a:ln xmlns:a="http://schemas.openxmlformats.org/drawingml/2006/main" w="28575">
              <a:solidFill>
                <a:srgbClr val="0070C0"/>
              </a:solidFill>
              <a:prstDash val="solid"/>
            </a:ln>
          </spPr>
          <marker>
            <symbol val="none"/>
            <spPr>
              <a:ln xmlns:a="http://schemas.openxmlformats.org/drawingml/2006/main">
                <a:prstDash val="solid"/>
              </a:ln>
            </spPr>
          </marker>
          <xVal>
            <numRef>
              <f>'CROQUIS_DATOS'!$FB$8:$FB$13</f>
            </numRef>
          </xVal>
          <yVal>
            <numRef>
              <f>'CROQUIS_DATOS'!$FC$8:$FC$13</f>
            </numRef>
          </yVal>
          <smooth val="0"/>
        </ser>
        <ser>
          <idx val="4"/>
          <order val="4"/>
          <tx>
            <strRef>
              <f>CROQUIS_DATOS!$A$667</f>
            </strRef>
          </tx>
          <spPr>
            <a:ln xmlns:a="http://schemas.openxmlformats.org/drawingml/2006/main" w="22225">
              <a:solidFill>
                <a:srgbClr val="C00000"/>
              </a:solidFill>
              <a:prstDash val="solid"/>
            </a:ln>
          </spPr>
          <marker>
            <symbol val="none"/>
            <spPr>
              <a:ln xmlns:a="http://schemas.openxmlformats.org/drawingml/2006/main">
                <a:prstDash val="solid"/>
              </a:ln>
            </spPr>
          </marker>
          <xVal>
            <numRef>
              <f>'CROQUIS_DATOS'!$FD$8:$FD$13</f>
            </numRef>
          </xVal>
          <yVal>
            <numRef>
              <f>'CROQUIS_DATOS'!$FE$8:$FE$13</f>
            </numRef>
          </yVal>
          <smooth val="0"/>
        </ser>
        <ser>
          <idx val="5"/>
          <order val="5"/>
          <tx>
            <strRef>
              <f>CROQUIS_DATOS!$A$668</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'CROQUIS_DATOS'!$FF$8:$FF$11</f>
            </numRef>
          </xVal>
          <yVal>
            <numRef>
              <f>'CROQUIS_DATOS'!$FG$8:$FG$11</f>
            </numRef>
          </yVal>
          <smooth val="0"/>
        </ser>
        <ser>
          <idx val="6"/>
          <order val="6"/>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'CROQUIS_DATOS'!$FH$8:$FH$11</f>
            </numRef>
          </xVal>
          <yVal>
            <numRef>
              <f>'CROQUIS_DATOS'!$FI$8:$FI$11</f>
            </numRef>
          </yVal>
          <smooth val="0"/>
        </ser>
        <ser>
          <idx val="7"/>
          <order val="7"/>
          <tx>
            <strRef>
              <f>CROQUIS_DATOS!$A$669</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'CROQUIS_DATOS'!$FJ$8:$FJ$14</f>
            </numRef>
          </xVal>
          <yVal>
            <numRef>
              <f>'CROQUIS_DATOS'!$FK$8:$FK$14</f>
            </numRef>
          </yVal>
          <smooth val="0"/>
        </ser>
        <ser>
          <idx val="8"/>
          <order val="8"/>
          <tx>
            <strRef>
              <f>CROQUIS_DATOS!$A$670</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'CROQUIS_DATOS'!$FL$8:$FL$14</f>
            </numRef>
          </xVal>
          <yVal>
            <numRef>
              <f>'CROQUIS_DATOS'!$FM$8:$FM$14</f>
            </numRef>
          </yVal>
          <smooth val="0"/>
        </ser>
        <ser>
          <idx val="9"/>
          <order val="9"/>
          <tx>
            <strRef>
              <f>CROQUIS_DATOS!$A$671</f>
            </strRef>
          </tx>
          <spPr>
            <a:ln xmlns:a="http://schemas.openxmlformats.org/drawingml/2006/main" w="25400">
              <a:solidFill>
                <a:srgbClr val="7030A0"/>
              </a:solidFill>
              <a:prstDash val="solid"/>
            </a:ln>
          </spPr>
          <marker>
            <symbol val="none"/>
            <spPr>
              <a:ln xmlns:a="http://schemas.openxmlformats.org/drawingml/2006/main">
                <a:prstDash val="solid"/>
              </a:ln>
            </spPr>
          </marker>
          <dLbls>
            <dLbl>
              <idx val="0"/>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'CROQUIS_DATOS'!$FN$8:$FN$12</f>
            </numRef>
          </xVal>
          <yVal>
            <numRef>
              <f>'CROQUIS_DATOS'!$FO$8:$FO$12</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64"/>
          <min val="0"/>
        </scaling>
        <delete val="1"/>
        <axPos val="l"/>
        <majorTickMark val="none"/>
        <minorTickMark val="none"/>
        <crossAx val="10"/>
      </valAx>
    </plotArea>
    <legend>
      <legendPos val="b"/>
      <legendEntry>
        <idx val="6"/>
        <delete val="1"/>
      </legendEntry>
      <legendEntry>
        <idx val="7"/>
        <delete val="1"/>
      </legendEntry>
      <legendEntry>
        <idx val="8"/>
        <delete val="1"/>
      </legendEntry>
      <legendEntry>
        <idx val="9"/>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5</row>
      <rowOff>0</rowOff>
    </from>
    <ext cx="5472000" cy="705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636524</colOff>
      <row>5</row>
      <rowOff>0</rowOff>
    </from>
    <ext cx="4968000" cy="345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636524</colOff>
      <row>5</row>
      <rowOff>3528000</rowOff>
    </from>
    <ext cx="4968000" cy="3528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44</row>
      <rowOff>0</rowOff>
    </from>
    <ext cx="5472000" cy="70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636524</colOff>
      <row>44</row>
      <rowOff>0</rowOff>
    </from>
    <ext cx="4968000" cy="345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636524</colOff>
      <row>44</row>
      <rowOff>3528000</rowOff>
    </from>
    <ext cx="4968000" cy="3528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46"/>
  <sheetViews>
    <sheetView showGridLines="0" zoomScale="100" workbookViewId="0">
      <selection activeCell="A1" sqref="A1"/>
    </sheetView>
  </sheetViews>
  <sheetFormatPr baseColWidth="8" defaultRowHeight="15"/>
  <cols>
    <col width="1.78" customWidth="1" min="1" max="1"/>
    <col width="30" customWidth="1" min="2" max="2"/>
    <col width="16" customWidth="1" min="3" max="3"/>
    <col width="9" customWidth="1" min="4" max="4"/>
    <col width="54" customWidth="1" min="5" max="5"/>
    <col width="40" customWidth="1" min="6" max="6"/>
  </cols>
  <sheetData>
    <row r="1" ht="26" customHeight="1">
      <c r="B1" s="1" t="inlineStr">
        <is>
          <t>LOSAS NERVADAS Y MACIZAS — NTC 2023 (CDMX) · HOJA GENERAL</t>
        </is>
      </c>
    </row>
    <row r="2" ht="30" customHeight="1">
      <c r="B2" s="2" t="inlineStr">
        <is>
          <t>Diseño por flexión y cortante de tableros de losa con el método de coeficientes de la NTC-Concreto 2023 (Tabla 3.4.2.1), para cualquier proyecto. Sale de la hoja auditada de Casa Rocha: mismas ecuaciones, mismas citas («NTC-Concreto 2023 (CDMX) 6.7.8.1.4, p. 187»).</t>
        </is>
      </c>
    </row>
    <row r="3" ht="6" customHeight="1"/>
    <row r="4" ht="21" customHeight="1">
      <c r="B4" s="3" t="inlineStr">
        <is>
          <t>1. QUÉ HACE</t>
        </is>
      </c>
    </row>
    <row r="5" ht="41" customHeight="1">
      <c r="B5" s="4" t="inlineStr">
        <is>
          <t>• NERVADAS: hasta 40 tableros de losa nervada (encasetonada). Por tablero: caso de la tabla, coeficientes interpolados en m = a1/a2, momentos por nervadura en las dos direcciones, As, número y cantidad de varillas (sube de número si no cabe), M_R, ε_t ≥ 0.005, cortante con V_cR (×1.1 sólo si cumple 6.7.8.1.4), hileras de casetones a macizar, espesor mínimo contra h_eq, bastones y estado.</t>
        </is>
      </c>
    </row>
    <row r="6" ht="28" customHeight="1">
      <c r="B6" s="4" t="inlineStr">
        <is>
          <t>• MACIZAS: hasta 40 tableros de losa maciza, por franja de 1 m: los mismos pasos, con As mínima 0.0018·b·h, varilla y separación («No. 3 @ 20 cm»), cortante de losa y h mínimo.</t>
        </is>
      </c>
    </row>
    <row r="7" ht="41" customHeight="1">
      <c r="B7" s="4" t="inlineStr">
        <is>
          <t>• VOLADOS (en las dos hojas): momento y cortante en el paño del apoyo con la carga lineal en la orilla y el peso de los macizos (nervadas), y acero superior que entra al tablero de respaldo. En nervadas, si el volado lleva nervaduras más anchas, cuántas hileras del respaldo siguen con ellas (decisión D10 de Casa Rocha).</t>
        </is>
      </c>
    </row>
    <row r="8" ht="15" customHeight="1">
      <c r="B8" s="4" t="inlineStr">
        <is>
          <t>• DETALLE: memoria paso a paso del tablero que escojas (fórmula y referencia de cada paso), lista para imprimir.</t>
        </is>
      </c>
    </row>
    <row r="9" ht="15" customHeight="1">
      <c r="B9" s="4" t="inlineStr">
        <is>
          <t>• CROQUIS: planta, corte y alzado del tablero escogido, a escala, que se redibujan solos al cambiar de tablero.</t>
        </is>
      </c>
    </row>
    <row r="10" ht="6" customHeight="1"/>
    <row r="11" ht="21" customHeight="1">
      <c r="B11" s="3" t="inlineStr">
        <is>
          <t>2. ALCANCE Y LÍMITES — LÉELO</t>
        </is>
      </c>
    </row>
    <row r="12" ht="28" customHeight="1">
      <c r="B12" s="4" t="inlineStr">
        <is>
          <t>• Método de coeficientes (NTC-Concreto 2023, 3.4.2 y Tabla 3.4.2.1) para tableros rectangulares APOYADOS EN SU PERÍMETRO sobre muros o trabes. Sólo está transcrito el CASO I (losa colada monolíticamente con sus apoyos); un tablero marcado como caso II sale FUERA DE ALCANCE.</t>
        </is>
      </c>
    </row>
    <row r="13" ht="41" customHeight="1">
      <c r="B13" s="4" t="inlineStr">
        <is>
          <t>• Condición 3.4.2.1 c): los momentos negativos de tableros vecinos en un borde común no deben diferir más de 50 % del menor. La hoja NO conoce a los vecinos: captura el M⁻ del vecino (columna opcional) y la hoja arma con el mayor y te avisa si difieren más de 50 %. Si es así, distribuye el desequilibrio (3.4.3.1) o confirma con un modelo.</t>
        </is>
      </c>
    </row>
    <row r="14" ht="28" customHeight="1">
      <c r="B14" s="4" t="inlineStr">
        <is>
          <t>• Condición 3.4.2.1 d) (W_m ≤ 2.5·CM aprox.) y las demás de 3.4.2.1: revísalas tú; la hoja supone tableros rectangulares de cargas uniformes. Para tableros irregulares usa un rectángulo representativo.</t>
        </is>
      </c>
    </row>
    <row r="15" ht="28" customHeight="1">
      <c r="B15" s="4" t="inlineStr">
        <is>
          <t>• Claros A EJES (a_x, a_y), del lado seguro: la tabla permite claros libres en el caso I. Los claros libres (L_n = a − b_p) se usan en cortante, patín, espesor mínimo y bastones.</t>
        </is>
      </c>
    </row>
    <row r="16" ht="28" customHeight="1">
      <c r="B16" s="4" t="inlineStr">
        <is>
          <t>• VOLADO: un solo borde empotrado (márcalo CONTINUO; los otros tres DISCONTINUO). Su largo es el claro perpendicular a ese borde, del eje del apoyo a la orilla. El bastón entra al tablero de respaldo hasta pasar el punto donde se anula el momento con 0.9·PP y sin carga viva.</t>
        </is>
      </c>
    </row>
    <row r="17" ht="28" customHeight="1">
      <c r="B17" s="4" t="inlineStr">
        <is>
          <t>• No incluye: trabes y nervaduras principales, flechas calculadas (sólo el espesor mínimo que permite omitirlas), vibración, sismo, losas postensadas, cargas concentradas grandes (tinacos, equipos) ni huecos dentro del tablero.</t>
        </is>
      </c>
    </row>
    <row r="18" ht="6" customHeight="1"/>
    <row r="19" ht="21" customHeight="1">
      <c r="B19" s="3" t="inlineStr">
        <is>
          <t>3. COLORES</t>
        </is>
      </c>
    </row>
    <row r="20">
      <c r="B20" s="5" t="inlineStr">
        <is>
          <t>Celda de captura</t>
        </is>
      </c>
      <c r="C20" s="6" t="inlineStr">
        <is>
          <t>Amarillo con número azul: aquí se escribe. Todo lo demás es fórmula.</t>
        </is>
      </c>
    </row>
    <row r="21">
      <c r="B21" s="7" t="inlineStr">
        <is>
          <t>Fórmula</t>
        </is>
      </c>
      <c r="C21" s="6" t="inlineStr">
        <is>
          <t>Negro: calculado. No se escribe encima.</t>
        </is>
      </c>
    </row>
    <row r="22">
      <c r="B22" s="8" t="inlineStr">
        <is>
          <t>Resultado clave</t>
        </is>
      </c>
      <c r="C22" s="6" t="inlineStr">
        <is>
          <t>Azul pálido: resultado que importa (w_u, Mu/M_R, armado).</t>
        </is>
      </c>
    </row>
    <row r="23">
      <c r="B23" s="7" t="inlineStr">
        <is>
          <t>CUMPLE</t>
        </is>
      </c>
      <c r="C23" s="6" t="inlineStr">
        <is>
          <t>Verde: pasa.</t>
        </is>
      </c>
    </row>
    <row r="24">
      <c r="B24" s="7" t="inlineStr">
        <is>
          <t>MACIZAR 1 hilera(s)</t>
        </is>
      </c>
      <c r="C24" s="6" t="inlineStr">
        <is>
          <t>Ámbar: pasa con una acción (macizar, calcular flecha).</t>
        </is>
      </c>
    </row>
    <row r="25">
      <c r="B25" s="7" t="inlineStr">
        <is>
          <t>NO CUMPLE</t>
        </is>
      </c>
      <c r="C25" s="6" t="inlineStr">
        <is>
          <t>Rojo: no pasa, faltan datos o está fuera de alcance.</t>
        </is>
      </c>
    </row>
    <row r="26" ht="6" customHeight="1"/>
    <row r="27" ht="21" customHeight="1">
      <c r="B27" s="3" t="inlineStr">
        <is>
          <t>4. CÓMO SE USA, PASO A PASO</t>
        </is>
      </c>
    </row>
    <row r="28" ht="28" customHeight="1">
      <c r="B28" s="4" t="inlineStr">
        <is>
          <t>1) DATOS: captura materiales, factores, recubrimientos, la sección nervada (a_c, h_c, b_w, t), la malla y los valores por omisión de macizas. Revisa la lista de destinos (cargas vivas).</t>
        </is>
      </c>
    </row>
    <row r="29" ht="41" customHeight="1">
      <c r="B29" s="4" t="inlineStr">
        <is>
          <t>2) NERVADAS o MACIZAS: un renglón por tablero. Borra o sobrescribe los renglones «EJEMPLO». Captura nombre, tipo (PERIMETRAL o VOLADO), destino, a_x y a_y a ejes, y cada borde como CONTINUO (sigue losa del otro lado) o DISCONTINUO (orilla, hueco o losa que no sigue). El caso de la tabla sale solo (puedes forzarlo).</t>
        </is>
      </c>
    </row>
    <row r="30" ht="28" customHeight="1">
      <c r="B30" s="4" t="inlineStr">
        <is>
          <t>3) Captura la sobrecarga muerta SCM (acabados, rellenos, plafón, muros divisorios repartidos). La carga viva sale del destino; si quieres otra, escríbela en «CV propia».</t>
        </is>
      </c>
    </row>
    <row r="31" ht="41" customHeight="1">
      <c r="B31" s="4" t="inlineStr">
        <is>
          <t>4) Volados: carga lineal en la orilla (barandal, pretil) y claro del tablero de respaldo L_b. En nervadas puedes darle al volado otra b_w (20 cm suele hacer falta): la columna «Respaldo del volado» dice cuántas hileras del tablero de respaldo siguen con esa nervadura; anótalas también en el renglón de ese tablero.</t>
        </is>
      </c>
    </row>
    <row r="32" ht="15" customHeight="1">
      <c r="B32" s="4" t="inlineStr">
        <is>
          <t>5) Lee ESTADO y NOTA. Si dice NO CUMPLE, la nota y las columnas en rojo dicen qué falla (flexión, no caben, ε_t, cortante, peralte).</t>
        </is>
      </c>
    </row>
    <row r="33" ht="15" customHeight="1">
      <c r="B33" s="4" t="inlineStr">
        <is>
          <t>6) DETALLE: escoge el tablero en la celda amarilla y obtén la memoria paso a paso. CROQUIS dibuja ese mismo tablero.</t>
        </is>
      </c>
    </row>
    <row r="34" ht="15" customHeight="1">
      <c r="B34" s="4" t="inlineStr">
        <is>
          <t>7) Imprime DETALLE y CROQUIS (ya tienen área de impresión) y pasa a planos el armado de la columna «ARMADO».</t>
        </is>
      </c>
    </row>
    <row r="35" ht="6" customHeight="1"/>
    <row r="36" ht="21" customHeight="1">
      <c r="B36" s="3" t="inlineStr">
        <is>
          <t>5. REVISIONES QUE HACE CADA RENGLÓN</t>
        </is>
      </c>
    </row>
    <row r="37" ht="28" customHeight="1">
      <c r="B37" s="4" t="inlineStr">
        <is>
          <t>• Flexión en los cuatro lechos (inferior y superior, claro corto y largo): Mu ≤ M_R, As ≥ mínima, p ≤ p_max y ε_t ≥ 0.005 (F_R = 0.9) — 3.8.2, 6.3.5, 6.7.6.1.</t>
        </is>
      </c>
    </row>
    <row r="38" ht="15" customHeight="1">
      <c r="B38" s="4" t="inlineStr">
        <is>
          <t>• Que las varillas quepan con la separación libre mínima (nervadas) o que la separación no pase de la máxima (macizas) — 14.2.1.</t>
        </is>
      </c>
    </row>
    <row r="39" ht="15" customHeight="1">
      <c r="B39" s="4" t="inlineStr">
        <is>
          <t>• Cortante a d del paño: V_u ≤ V_cR (ec. 5.5.3.2.1); en nervadas, hileras de casetones a macizar si no alcanza; ×1.1 sólo si cumple 6.7.8.1.4.</t>
        </is>
      </c>
    </row>
    <row r="40" ht="28" customHeight="1">
      <c r="B40" s="4" t="inlineStr">
        <is>
          <t>• Losa encasetonada (6.7.8.1.2 a 6.7.8.1.4): si a_c &gt; claro corto/6 el tablero se diseña como losa apoyada en vigas (6.7.8.1.9): recubrimiento de viga y sin ×1.1.</t>
        </is>
      </c>
    </row>
    <row r="41" ht="15" customHeight="1">
      <c r="B41" s="4" t="inlineStr">
        <is>
          <t>• Espesor mínimo para omitir flechas (Tabla 6.7.3.1.2 con α_fm; h_eq en nervadas); volados L/8 (nervadas) y L/10 (macizas, criterio de esta hoja).</t>
        </is>
      </c>
    </row>
    <row r="42" ht="28" customHeight="1">
      <c r="B42" s="4" t="inlineStr">
        <is>
          <t>• Capa de compresión y malla al centro de la capa (DATOS sección 7): temperatura, diafragma, que quepa, punzonamiento y flexión con 1 000 kg. Las varillas superiores pasan debajo de la malla.</t>
        </is>
      </c>
    </row>
    <row r="43" ht="28" customHeight="1">
      <c r="B43" s="4" t="inlineStr">
        <is>
          <t>• Anclaje en bordes discontinuos en la dala de borde de DATOS: 1.25·L_dh de la varilla inferior, L_dh del bastón y gancho de 180° que quepa en su peralte (6.7.8.1.7, 6.7.7.4.1.1 y Tabla 14.3.1).</t>
        </is>
      </c>
    </row>
    <row r="44" ht="15" customHeight="1">
      <c r="B44" s="4" t="inlineStr">
        <is>
          <t>• 3.4.2.1 c) contra el M⁻ del vecino, si lo capturas.</t>
        </is>
      </c>
    </row>
    <row r="45" ht="6" customHeight="1"/>
    <row r="46" ht="42" customHeight="1">
      <c r="B46" s="9" t="inlineStr">
        <is>
          <t>RESPONSABILIDAD: la hoja es una herramienta de cálculo; el Director Responsable de Obra / Corresponsable revisa datos, hipótesis y resultados. Los renglones EJEMPLO vienen de la hoja de Casa Rocha (nervadas) y de tableros típicos (macizas) sólo para mostrar cómo se llena.</t>
        </is>
      </c>
      <c r="C46" s="10" t="n"/>
      <c r="D46" s="10" t="n"/>
      <c r="E46" s="10" t="n"/>
      <c r="F46" s="10" t="n"/>
    </row>
  </sheetData>
  <mergeCells count="40">
    <mergeCell ref="B4:F4"/>
    <mergeCell ref="B7:F7"/>
    <mergeCell ref="C23:F23"/>
    <mergeCell ref="B16:F16"/>
    <mergeCell ref="B31:F31"/>
    <mergeCell ref="B46:F46"/>
    <mergeCell ref="B27:F27"/>
    <mergeCell ref="B43:F43"/>
    <mergeCell ref="B12:F12"/>
    <mergeCell ref="B39:F39"/>
    <mergeCell ref="B2:F2"/>
    <mergeCell ref="B11:F11"/>
    <mergeCell ref="B42:F42"/>
    <mergeCell ref="B1:F1"/>
    <mergeCell ref="B14:F14"/>
    <mergeCell ref="B8:F8"/>
    <mergeCell ref="C24:F24"/>
    <mergeCell ref="B17:F17"/>
    <mergeCell ref="B13:F13"/>
    <mergeCell ref="B44:F44"/>
    <mergeCell ref="B29:F29"/>
    <mergeCell ref="B38:F38"/>
    <mergeCell ref="B34:F34"/>
    <mergeCell ref="C20:F20"/>
    <mergeCell ref="B28:F28"/>
    <mergeCell ref="B19:F19"/>
    <mergeCell ref="B37:F37"/>
    <mergeCell ref="C25:F25"/>
    <mergeCell ref="B40:F40"/>
    <mergeCell ref="B9:F9"/>
    <mergeCell ref="C22:F22"/>
    <mergeCell ref="B30:F30"/>
    <mergeCell ref="B6:F6"/>
    <mergeCell ref="B15:F15"/>
    <mergeCell ref="B33:F33"/>
    <mergeCell ref="B5:F5"/>
    <mergeCell ref="C21:F21"/>
    <mergeCell ref="B36:F36"/>
    <mergeCell ref="B32:F32"/>
    <mergeCell ref="B41:F41"/>
  </mergeCells>
  <conditionalFormatting sqref="B23">
    <cfRule type="expression" priority="1" dxfId="0" stopIfTrue="1">
      <formula>OR(ISNUMBER(FIND("NO CUMPLE",B23)),ISNUMBER(FIND("REVISAR",B23)),ISNUMBER(FIND("NO CABE",B23)),ISNUMBER(FIND("FUERA",B23)),ISNUMBER(FIND("FALTA",B23)),ISNUMBER(FIND("INSUFICIENTE",B23)),ISNUMBER(FIND("PENDIENTE",B23)))</formula>
    </cfRule>
    <cfRule type="expression" priority="2" dxfId="1" stopIfTrue="1">
      <formula>OR(ISNUMBER(FIND("CUMPLE",B23)),ISNUMBER(FIND("SÍ aplica",B23)),ISNUMBER(FIND("MANDA",B23)))</formula>
    </cfRule>
    <cfRule type="expression" priority="3" dxfId="2" stopIfTrue="1">
      <formula>OR(ISNUMBER(FIND("MACIZAR",B23)),ISNUMBER(FIND("CALCULAR",B23)),ISNUMBER(FIND("PROPUESTO",B23)),ISNUMBER(FIND("VER ",B23)))</formula>
    </cfRule>
  </conditionalFormatting>
  <conditionalFormatting sqref="B24">
    <cfRule type="expression" priority="4" dxfId="0" stopIfTrue="1">
      <formula>OR(ISNUMBER(FIND("NO CUMPLE",B24)),ISNUMBER(FIND("REVISAR",B24)),ISNUMBER(FIND("NO CABE",B24)),ISNUMBER(FIND("FUERA",B24)),ISNUMBER(FIND("FALTA",B24)),ISNUMBER(FIND("INSUFICIENTE",B24)),ISNUMBER(FIND("PENDIENTE",B24)))</formula>
    </cfRule>
    <cfRule type="expression" priority="5" dxfId="1" stopIfTrue="1">
      <formula>OR(ISNUMBER(FIND("CUMPLE",B24)),ISNUMBER(FIND("SÍ aplica",B24)),ISNUMBER(FIND("MANDA",B24)))</formula>
    </cfRule>
    <cfRule type="expression" priority="6" dxfId="2" stopIfTrue="1">
      <formula>OR(ISNUMBER(FIND("MACIZAR",B24)),ISNUMBER(FIND("CALCULAR",B24)),ISNUMBER(FIND("PROPUESTO",B24)),ISNUMBER(FIND("VER ",B24)))</formula>
    </cfRule>
  </conditionalFormatting>
  <conditionalFormatting sqref="B25">
    <cfRule type="expression" priority="7" dxfId="0" stopIfTrue="1">
      <formula>OR(ISNUMBER(FIND("NO CUMPLE",B25)),ISNUMBER(FIND("REVISAR",B25)),ISNUMBER(FIND("NO CABE",B25)),ISNUMBER(FIND("FUERA",B25)),ISNUMBER(FIND("FALTA",B25)),ISNUMBER(FIND("INSUFICIENTE",B25)),ISNUMBER(FIND("PENDIENTE",B25)))</formula>
    </cfRule>
    <cfRule type="expression" priority="8" dxfId="1" stopIfTrue="1">
      <formula>OR(ISNUMBER(FIND("CUMPLE",B25)),ISNUMBER(FIND("SÍ aplica",B25)),ISNUMBER(FIND("MANDA",B25)))</formula>
    </cfRule>
    <cfRule type="expression" priority="9" dxfId="2" stopIfTrue="1">
      <formula>OR(ISNUMBER(FIND("MACIZAR",B25)),ISNUMBER(FIND("CALCULAR",B25)),ISNUMBER(FIND("PROPUESTO",B25)),ISNUMBER(FIND("VER ",B25)))</formula>
    </cfRule>
  </conditionalFormatting>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B1:F145"/>
  <sheetViews>
    <sheetView showGridLines="0" zoomScale="90" workbookViewId="0">
      <pane ySplit="3" topLeftCell="A4" activePane="bottomLeft" state="frozen"/>
      <selection pane="bottomLeft"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DATOS GENERALES — LOSAS NERVADAS Y MACIZAS, NTC 2023 (CDMX)</t>
        </is>
      </c>
    </row>
    <row r="2" ht="30" customHeight="1">
      <c r="B2" s="2" t="inlineStr">
        <is>
          <t>Datos que valen para todo el libro. Lo de cada tablero va en NERVADAS y MACIZAS. Cada número capturado dice de dónde sale (columna «Referencia»); lo que es criterio de esta hoja y no de la norma se dice así.</t>
        </is>
      </c>
    </row>
    <row r="3" ht="6" customHeight="1"/>
    <row r="4" ht="42" customHeight="1">
      <c r="B4" s="9" t="inlineStr">
        <is>
          <t>CÓMO SE USA: sólo se tocan las celdas AMARILLAS con número AZUL. Lo demás está calculado y se rompe si lo escribes encima. Los valores que trae la hoja son un punto de partida (los de la hoja auditada de Casa Rocha): cámbialos por los de tu proyecto.</t>
        </is>
      </c>
      <c r="C4" s="10" t="n"/>
      <c r="D4" s="10" t="n"/>
      <c r="E4" s="10" t="n"/>
      <c r="F4" s="10" t="n"/>
    </row>
    <row r="5" ht="6" customHeight="1"/>
    <row r="6" ht="21" customHeight="1">
      <c r="B6" s="3" t="inlineStr">
        <is>
          <t>0. PROYECTO</t>
        </is>
      </c>
    </row>
    <row r="7" ht="30" customHeight="1">
      <c r="B7" s="11" t="inlineStr">
        <is>
          <t>Concepto</t>
        </is>
      </c>
      <c r="C7" s="11" t="inlineStr">
        <is>
          <t>Valor</t>
        </is>
      </c>
      <c r="D7" s="11" t="inlineStr">
        <is>
          <t>Unidad</t>
        </is>
      </c>
      <c r="E7" s="11" t="inlineStr">
        <is>
          <t>Cómo se calcula / de dónde sale</t>
        </is>
      </c>
      <c r="F7" s="11" t="inlineStr">
        <is>
          <t>Referencia</t>
        </is>
      </c>
    </row>
    <row r="8" ht="19.5" customHeight="1">
      <c r="B8" s="12" t="inlineStr">
        <is>
          <t>Proyecto</t>
        </is>
      </c>
      <c r="C8" s="13" t="inlineStr">
        <is>
          <t>NOMBRE DEL PROYECTO</t>
        </is>
      </c>
      <c r="D8" s="14" t="inlineStr">
        <is>
          <t>—</t>
        </is>
      </c>
      <c r="E8" s="15" t="inlineStr">
        <is>
          <t>CAPTURA. Sale en DETALLE y en CROQUIS.</t>
        </is>
      </c>
      <c r="F8" s="16" t="inlineStr">
        <is>
          <t>—</t>
        </is>
      </c>
    </row>
    <row r="9" ht="19.5" customHeight="1">
      <c r="B9" s="12" t="inlineStr">
        <is>
          <t>Elaboró / revisó</t>
        </is>
      </c>
      <c r="C9" s="13" t="inlineStr">
        <is>
          <t>—</t>
        </is>
      </c>
      <c r="D9" s="14" t="inlineStr">
        <is>
          <t>—</t>
        </is>
      </c>
      <c r="E9" s="15" t="inlineStr">
        <is>
          <t>CAPTURA.</t>
        </is>
      </c>
      <c r="F9" s="16" t="inlineStr">
        <is>
          <t>—</t>
        </is>
      </c>
    </row>
    <row r="10" ht="6" customHeight="1"/>
    <row r="11" ht="21" customHeight="1">
      <c r="B11" s="3" t="inlineStr">
        <is>
          <t>1. MATERIALES</t>
        </is>
      </c>
    </row>
    <row r="12" ht="30" customHeight="1">
      <c r="B12" s="11" t="inlineStr">
        <is>
          <t>Concepto</t>
        </is>
      </c>
      <c r="C12" s="11" t="inlineStr">
        <is>
          <t>Valor</t>
        </is>
      </c>
      <c r="D12" s="11" t="inlineStr">
        <is>
          <t>Unidad</t>
        </is>
      </c>
      <c r="E12" s="11" t="inlineStr">
        <is>
          <t>Cómo se calcula / de dónde sale</t>
        </is>
      </c>
      <c r="F12" s="11" t="inlineStr">
        <is>
          <t>Referencia</t>
        </is>
      </c>
    </row>
    <row r="13" ht="30" customHeight="1">
      <c r="B13" s="12" t="inlineStr">
        <is>
          <t>f'c — resistencia del concreto</t>
        </is>
      </c>
      <c r="C13" s="17" t="n">
        <v>250</v>
      </c>
      <c r="D13" s="14" t="inlineStr">
        <is>
          <t>kg/cm²</t>
        </is>
      </c>
      <c r="E13" s="15" t="inlineStr">
        <is>
          <t>CAPTURA. Clase 1A (250 ≤ f'c &lt; 400). Mínimo para exposición A1, A2 y B1.</t>
        </is>
      </c>
      <c r="F13" s="16" t="inlineStr">
        <is>
          <t>NTC-Concreto 2023 (CDMX) 2.2.2 a), p. 30 · Tabla 2.2.6.3, p. 33 · 4.4.1.1 y 4.5.2 a), p. 78</t>
        </is>
      </c>
    </row>
    <row r="14" ht="19.5" customHeight="1">
      <c r="B14" s="12" t="inlineStr">
        <is>
          <t>fy — fluencia de la varilla corrugada</t>
        </is>
      </c>
      <c r="C14" s="17" t="n">
        <v>4200</v>
      </c>
      <c r="D14" s="14" t="inlineStr">
        <is>
          <t>kg/cm²</t>
        </is>
      </c>
      <c r="E14" s="15" t="inlineStr">
        <is>
          <t>CAPTURA. Grado 42, NMX-B-506.</t>
        </is>
      </c>
      <c r="F14" s="16" t="inlineStr">
        <is>
          <t>NTC-Concreto 2023 (CDMX) Tabla 2.4.2.1.2.a, p. 43</t>
        </is>
      </c>
    </row>
    <row r="15" ht="30" customHeight="1">
      <c r="B15" s="12" t="inlineStr">
        <is>
          <t>fy de la malla electrosoldada</t>
        </is>
      </c>
      <c r="C15" s="17" t="n">
        <v>5000</v>
      </c>
      <c r="D15" s="14" t="inlineStr">
        <is>
          <t>kg/cm²</t>
        </is>
      </c>
      <c r="E15" s="15" t="inlineStr">
        <is>
          <t>CAPTURA. Alambre de malla NMX-B-290. Sólo se usa en la capa de compresión.</t>
        </is>
      </c>
      <c r="F15" s="16" t="inlineStr">
        <is>
          <t>NTC-Concreto 2023 (CDMX) 2.4.2.1.6 y 2.4.2.1.7, p. 44</t>
        </is>
      </c>
    </row>
    <row r="16" ht="30" customHeight="1">
      <c r="B16" s="12" t="inlineStr">
        <is>
          <t>γc — peso volumétrico del concreto reforzado</t>
        </is>
      </c>
      <c r="C16" s="18" t="n">
        <v>2.4</v>
      </c>
      <c r="D16" s="14" t="inlineStr">
        <is>
          <t>t/m³</t>
        </is>
      </c>
      <c r="E16" s="15" t="inlineStr">
        <is>
          <t>CAPTURA. Valor máximo probable. Si tu modelo usa otro (Casa Rocha: 2.44), pon el del modelo.</t>
        </is>
      </c>
      <c r="F16" s="16" t="inlineStr">
        <is>
          <t>NTC-Criterios y Acciones 2023 (CDMX) 5.1.1.2, p. 9</t>
        </is>
      </c>
    </row>
    <row r="17" ht="30" customHeight="1">
      <c r="B17" s="12" t="inlineStr">
        <is>
          <t>γ del casetón (poliestireno)</t>
        </is>
      </c>
      <c r="C17" s="19" t="n">
        <v>0.015</v>
      </c>
      <c r="D17" s="14" t="inlineStr">
        <is>
          <t>t/m³</t>
        </is>
      </c>
      <c r="E17" s="15" t="inlineStr">
        <is>
          <t>CAPTURA. Poliestireno expandido de 15 kg/m³. Si el casetón es recuperable (de plástico), pon 0.</t>
        </is>
      </c>
      <c r="F17" s="16" t="inlineStr">
        <is>
          <t>Criterio de esta hoja (dato del fabricante)</t>
        </is>
      </c>
    </row>
    <row r="18" ht="30" customHeight="1">
      <c r="B18" s="12" t="inlineStr">
        <is>
          <t>Agregado grueso del concreto</t>
        </is>
      </c>
      <c r="C18" s="13" t="inlineStr">
        <is>
          <t>CALIZO</t>
        </is>
      </c>
      <c r="D18" s="14" t="inlineStr">
        <is>
          <t>—</t>
        </is>
      </c>
      <c r="E18" s="15" t="inlineStr">
        <is>
          <t>SELECTOR. Cambia Ec: calizo 14 000·√f'c, basáltico 11 000·√f'c. Especificarlo en planos.</t>
        </is>
      </c>
      <c r="F18" s="16" t="inlineStr">
        <is>
          <t>NTC-Concreto 2023 (CDMX) Tabla 2.2.1, p. 31 · 2.2.8.4, p. 34</t>
        </is>
      </c>
    </row>
    <row r="19" ht="30" customHeight="1">
      <c r="B19" s="12" t="inlineStr">
        <is>
          <t>Ec — módulo de elasticidad</t>
        </is>
      </c>
      <c r="C19" s="20">
        <f>IF(DATOS!$C$18="BASALTO",11000,14000)*SQRT(DATOS!$C$13)</f>
        <v>221359.436211787</v>
      </c>
      <c r="D19" s="14" t="inlineStr">
        <is>
          <t>kg/cm²</t>
        </is>
      </c>
      <c r="E19" s="15" t="inlineStr">
        <is>
          <t>CALCULADA = 14 000·√f'c (calizo) u 11 000·√f'c (basalto). Informativa (flechas).</t>
        </is>
      </c>
      <c r="F19" s="16" t="inlineStr">
        <is>
          <t>NTC-Concreto 2023 (CDMX) Tabla 2.2.1, p. 31</t>
        </is>
      </c>
    </row>
    <row r="20" ht="19.5" customHeight="1">
      <c r="B20" s="12" t="inlineStr">
        <is>
          <t>Es — módulo de elasticidad del acero</t>
        </is>
      </c>
      <c r="C20" s="21" t="n">
        <v>2000000</v>
      </c>
      <c r="D20" s="14" t="inlineStr">
        <is>
          <t>kg/cm²</t>
        </is>
      </c>
      <c r="E20" s="15" t="inlineStr">
        <is>
          <t>CAPTURA.</t>
        </is>
      </c>
      <c r="F20" s="16" t="inlineStr">
        <is>
          <t>NTC-Concreto 2023 (CDMX) 2.4.2.2.2, p. 45</t>
        </is>
      </c>
    </row>
    <row r="21" ht="19.5" customHeight="1">
      <c r="B21" s="12" t="inlineStr">
        <is>
          <t>f''c — esfuerzo del bloque equivalente</t>
        </is>
      </c>
      <c r="C21" s="22">
        <f>0.85*DATOS!$C$13</f>
        <v>212.5</v>
      </c>
      <c r="D21" s="14" t="inlineStr">
        <is>
          <t>kg/cm²</t>
        </is>
      </c>
      <c r="E21" s="15" t="inlineStr">
        <is>
          <t>CALCULADA = 0.85·f'c.</t>
        </is>
      </c>
      <c r="F21" s="16" t="inlineStr">
        <is>
          <t>NTC-Concreto 2023 (CDMX) 3.6.1 e), p. 68</t>
        </is>
      </c>
    </row>
    <row r="22" ht="19.5" customHeight="1">
      <c r="B22" s="12" t="inlineStr">
        <is>
          <t>β1 — profundidad del bloque</t>
        </is>
      </c>
      <c r="C22" s="23">
        <f>IF(DATOS!$C$13&lt;=300,0.85,MAX(0.65,1.05-DATOS!$C$13/1400))</f>
        <v>0.85</v>
      </c>
      <c r="D22" s="14" t="inlineStr">
        <is>
          <t>—</t>
        </is>
      </c>
      <c r="E22" s="15" t="inlineStr">
        <is>
          <t>CALCULADA. 0.85 hasta f'c = 300 kg/cm².</t>
        </is>
      </c>
      <c r="F22" s="16" t="inlineStr">
        <is>
          <t>NTC-Concreto 2023 (CDMX) ec. 3.6.1, p. 68</t>
        </is>
      </c>
    </row>
    <row r="23" ht="6" customHeight="1"/>
    <row r="24" ht="21" customHeight="1">
      <c r="B24" s="3" t="inlineStr">
        <is>
          <t>2. FACTORES DE CARGA Y DE RESISTENCIA</t>
        </is>
      </c>
    </row>
    <row r="25" ht="30" customHeight="1">
      <c r="B25" s="11" t="inlineStr">
        <is>
          <t>Concepto</t>
        </is>
      </c>
      <c r="C25" s="11" t="inlineStr">
        <is>
          <t>Valor</t>
        </is>
      </c>
      <c r="D25" s="11" t="inlineStr">
        <is>
          <t>Unidad</t>
        </is>
      </c>
      <c r="E25" s="11" t="inlineStr">
        <is>
          <t>Cómo se calcula / de dónde sale</t>
        </is>
      </c>
      <c r="F25" s="11" t="inlineStr">
        <is>
          <t>Referencia</t>
        </is>
      </c>
    </row>
    <row r="26" ht="30" customHeight="1">
      <c r="B26" s="12" t="inlineStr">
        <is>
          <t>FC_CM — factor de carga muerta</t>
        </is>
      </c>
      <c r="C26" s="18" t="n">
        <v>1.3</v>
      </c>
      <c r="D26" s="14" t="inlineStr">
        <is>
          <t>—</t>
        </is>
      </c>
      <c r="E26" s="15" t="inlineStr">
        <is>
          <t>CAPTURA. Grupo B (Grupo A: 1.5).</t>
        </is>
      </c>
      <c r="F26" s="16" t="inlineStr">
        <is>
          <t>NTC-Criterios y Acciones 2023 (CDMX) 3.4.1 a), p. 7 (combinación 2.3.1 a), p. 5)</t>
        </is>
      </c>
    </row>
    <row r="27" ht="19.5" customHeight="1">
      <c r="B27" s="12" t="inlineStr">
        <is>
          <t>FC_CV — factor de carga viva</t>
        </is>
      </c>
      <c r="C27" s="18" t="n">
        <v>1.5</v>
      </c>
      <c r="D27" s="14" t="inlineStr">
        <is>
          <t>—</t>
        </is>
      </c>
      <c r="E27" s="15" t="inlineStr">
        <is>
          <t>CAPTURA. Grupo B (Grupo A: 1.7).</t>
        </is>
      </c>
      <c r="F27" s="16" t="inlineStr">
        <is>
          <t>NTC-Criterios y Acciones 2023 (CDMX) 3.4.1 a), p. 7</t>
        </is>
      </c>
    </row>
    <row r="28" ht="30" customHeight="1">
      <c r="B28" s="12" t="inlineStr">
        <is>
          <t>FC_acc — factor en combinaciones con acciones accidentales</t>
        </is>
      </c>
      <c r="C28" s="18" t="n">
        <v>1.1</v>
      </c>
      <c r="D28" s="14" t="inlineStr">
        <is>
          <t>—</t>
        </is>
      </c>
      <c r="E28" s="15" t="inlineStr">
        <is>
          <t>CAPTURA. Combinación de granizo en azotea: 1.1·(CM + W_g), sin carga viva.</t>
        </is>
      </c>
      <c r="F28" s="16" t="inlineStr">
        <is>
          <t>NTC-Criterios y Acciones 2023 (CDMX) 3.4.1 b), p. 7 · 7.3.1.3, p. 17</t>
        </is>
      </c>
    </row>
    <row r="29" ht="43.5" customHeight="1">
      <c r="B29" s="12" t="inlineStr">
        <is>
          <t>F_R — flexión</t>
        </is>
      </c>
      <c r="C29" s="18" t="n">
        <v>0.9</v>
      </c>
      <c r="D29" s="14" t="inlineStr">
        <is>
          <t>—</t>
        </is>
      </c>
      <c r="E29" s="15" t="inlineStr">
        <is>
          <t>CAPTURA. Vale si la sección es controlada por tensión (ε_t ≥ 0.005); la hoja limita el acero para garantizarlo (p_max).</t>
        </is>
      </c>
      <c r="F29" s="16" t="inlineStr">
        <is>
          <t>NTC-Concreto 2023 (CDMX) Tabla 3.8.2.1 a) y Tabla 3.8.2.2, p. 70 · 3.8.2.4, p. 71 · 6.7.3.3.1, p. 169</t>
        </is>
      </c>
    </row>
    <row r="30" ht="19.5" customHeight="1">
      <c r="B30" s="12" t="inlineStr">
        <is>
          <t>F_R — cortante</t>
        </is>
      </c>
      <c r="C30" s="18" t="n">
        <v>0.75</v>
      </c>
      <c r="D30" s="14" t="inlineStr">
        <is>
          <t>—</t>
        </is>
      </c>
      <c r="E30" s="15" t="inlineStr">
        <is>
          <t>CAPTURA.</t>
        </is>
      </c>
      <c r="F30" s="16" t="inlineStr">
        <is>
          <t>NTC-Concreto 2023 (CDMX) Tabla 3.8.2.1 b), p. 70</t>
        </is>
      </c>
    </row>
    <row r="31" ht="30" customHeight="1">
      <c r="B31" s="12" t="inlineStr">
        <is>
          <t>Fracción de la cuantía balanceada que se permite</t>
        </is>
      </c>
      <c r="C31" s="18" t="n">
        <v>0.9</v>
      </c>
      <c r="D31" s="14" t="inlineStr">
        <is>
          <t>—</t>
        </is>
      </c>
      <c r="E31" s="15" t="inlineStr">
        <is>
          <t>CAPTURA. Tope de ductilidad baja; en la práctica manda antes ε_t ≥ 0.005.</t>
        </is>
      </c>
      <c r="F31" s="16" t="inlineStr">
        <is>
          <t>NTC-Concreto 2023 (CDMX) 6.3.5.2.1, p. 122</t>
        </is>
      </c>
    </row>
    <row r="32" ht="43.5" customHeight="1">
      <c r="B32" s="12" t="inlineStr">
        <is>
          <t>Incremento de V_cR en losas encasetonadas</t>
        </is>
      </c>
      <c r="C32" s="18" t="n">
        <v>1.1</v>
      </c>
      <c r="D32" s="14" t="inlineStr">
        <is>
          <t>—</t>
        </is>
      </c>
      <c r="E32" s="15" t="inlineStr">
        <is>
          <t>CAPTURA. Sólo en tableros que cumplen 6.7.8.1.4 (claro corto ≥ 6·a_c); en los demás vale 1.0. No aplica a losas macizas.</t>
        </is>
      </c>
      <c r="F32" s="16" t="inlineStr">
        <is>
          <t>NTC-Concreto 2023 (CDMX) 6.7.8.1.5, p. 187 · 6.7.8.1.9, p. 188</t>
        </is>
      </c>
    </row>
    <row r="33" ht="43.5" customHeight="1">
      <c r="B33" s="12" t="inlineStr">
        <is>
          <t>Incremento de cortante con bordes continuos y discontinuos</t>
        </is>
      </c>
      <c r="C33" s="18" t="n">
        <v>1.15</v>
      </c>
      <c r="D33" s="14" t="inlineStr">
        <is>
          <t>—</t>
        </is>
      </c>
      <c r="E33" s="15" t="inlineStr">
        <is>
          <t>CAPTURA. De la fórmula de cortante de losas apoyadas en su perímetro de la NTC 2017, que la 2023 ya no trae; se conserva como «método reconocido».</t>
        </is>
      </c>
      <c r="F33" s="16" t="inlineStr">
        <is>
          <t>NTC-Concreto 2023 (CDMX) 3.4.1.1, p. 64 (métodos reconocidos) · NTC-Concreto 2017</t>
        </is>
      </c>
    </row>
    <row r="34" ht="6" customHeight="1"/>
    <row r="35" ht="21" customHeight="1">
      <c r="B35" s="3" t="inlineStr">
        <is>
          <t>3. CARGA MUERTA ADICIONAL Y GRANIZO</t>
        </is>
      </c>
    </row>
    <row r="36" ht="30" customHeight="1">
      <c r="B36" s="11" t="inlineStr">
        <is>
          <t>Concepto</t>
        </is>
      </c>
      <c r="C36" s="11" t="inlineStr">
        <is>
          <t>Valor</t>
        </is>
      </c>
      <c r="D36" s="11" t="inlineStr">
        <is>
          <t>Unidad</t>
        </is>
      </c>
      <c r="E36" s="11" t="inlineStr">
        <is>
          <t>Cómo se calcula / de dónde sale</t>
        </is>
      </c>
      <c r="F36" s="11" t="inlineStr">
        <is>
          <t>Referencia</t>
        </is>
      </c>
    </row>
    <row r="37" ht="30" customHeight="1">
      <c r="B37" s="12" t="inlineStr">
        <is>
          <t>Incremento del peso propio por losa colada en el lugar</t>
        </is>
      </c>
      <c r="C37" s="17" t="n">
        <v>20</v>
      </c>
      <c r="D37" s="14" t="inlineStr">
        <is>
          <t>kg/m²</t>
        </is>
      </c>
      <c r="E37" s="15" t="inlineStr">
        <is>
          <t>CAPTURA. Se suma al peso propio de todos los tableros.</t>
        </is>
      </c>
      <c r="F37" s="16" t="inlineStr">
        <is>
          <t>NTC-Criterios y Acciones 2023 (CDMX) 5.1.2.1, p. 9</t>
        </is>
      </c>
    </row>
    <row r="38" ht="43.5" customHeight="1">
      <c r="B38" s="12" t="inlineStr">
        <is>
          <t>Incremento por capa de mortero sobre la losa (pegapiso, firme o entortado)</t>
        </is>
      </c>
      <c r="C38" s="17" t="n">
        <v>20</v>
      </c>
      <c r="D38" s="14" t="inlineStr">
        <is>
          <t>kg/m²</t>
        </is>
      </c>
      <c r="E38" s="15" t="inlineStr">
        <is>
          <t>CAPTURA. Si tu sobrecarga ya trae estos 20 kg/m², pon 0 para no contarlos dos veces. No se aplica donde la carga muerta es favorable.</t>
        </is>
      </c>
      <c r="F38" s="16" t="inlineStr">
        <is>
          <t>NTC-Criterios y Acciones 2023 (CDMX) 5.1.2.1 y 5.1.2.2, p. 9</t>
        </is>
      </c>
    </row>
    <row r="39" ht="30" customHeight="1">
      <c r="B39" s="12" t="inlineStr">
        <is>
          <t>H_s — altura de granizo</t>
        </is>
      </c>
      <c r="C39" s="19" t="n">
        <v>0.125</v>
      </c>
      <c r="D39" s="14" t="inlineStr">
        <is>
          <t>m</t>
        </is>
      </c>
      <c r="E39" s="15" t="inlineStr">
        <is>
          <t>CAPTURA. Azotea con pendiente &lt; 5°, Grupo B.</t>
        </is>
      </c>
      <c r="F39" s="16" t="inlineStr">
        <is>
          <t>NTC-Criterios y Acciones 2023 (CDMX) Tabla 7.3.2.2, p. 18</t>
        </is>
      </c>
    </row>
    <row r="40" ht="30" customHeight="1">
      <c r="B40" s="12" t="inlineStr">
        <is>
          <t>C_s — coeficiente de forma</t>
        </is>
      </c>
      <c r="C40" s="18" t="n">
        <v>1</v>
      </c>
      <c r="D40" s="14" t="inlineStr">
        <is>
          <t>—</t>
        </is>
      </c>
      <c r="E40" s="15" t="inlineStr">
        <is>
          <t>CAPTURA.</t>
        </is>
      </c>
      <c r="F40" s="16" t="inlineStr">
        <is>
          <t>NTC-Criterios y Acciones 2023 (CDMX) Tabla 7.3.2.3, p. 18</t>
        </is>
      </c>
    </row>
    <row r="41" ht="57" customHeight="1">
      <c r="B41" s="12" t="inlineStr">
        <is>
          <t>W_g — granizo en azotea = 900·H_s·C_s ≥ 25</t>
        </is>
      </c>
      <c r="C41" s="22">
        <f>MAX(25,900*DATOS!$C$39*DATOS!$C$40)</f>
        <v>112.5</v>
      </c>
      <c r="D41" s="14" t="inlineStr">
        <is>
          <t>kg/m²</t>
        </is>
      </c>
      <c r="E41" s="15" t="inlineStr">
        <is>
          <t>CALCULADA, no menos que 25 kg/m² (7.3.2.1). Va con FC = 1.1 y sin carga viva; la hoja toma el mayor de esa combinación y la gravitacional en los destinos marcados como azotea.</t>
        </is>
      </c>
      <c r="F41" s="16" t="inlineStr">
        <is>
          <t>NTC-Criterios y Acciones 2023 (CDMX) ec. 7.3.2.1, p. 17 · 3.4.1 b), p. 7</t>
        </is>
      </c>
    </row>
    <row r="42" ht="6" customHeight="1"/>
    <row r="43" ht="21" customHeight="1">
      <c r="B43" s="3" t="inlineStr">
        <is>
          <t>4. CARGAS VIVAS UNITARIAS (lista de destinos)</t>
        </is>
      </c>
    </row>
    <row r="44" ht="42" customHeight="1">
      <c r="B44" s="24" t="inlineStr">
        <is>
          <t>Los tableros escogen su destino de esta lista. W_m (máxima) es la de diseño por gravedad; W_a y W son informativas. «¿Azotea?» = SÍ activa la combinación con granizo. Los valores están cotejados contra la Tabla 6.1.2.2 de la NTC-Criterios 2023 (p. 11). Puedes cambiar nombres y valores.</t>
        </is>
      </c>
      <c r="C44" s="25" t="n"/>
      <c r="D44" s="25" t="n"/>
      <c r="E44" s="25" t="n"/>
      <c r="F44" s="25" t="n"/>
    </row>
    <row r="45" ht="30" customHeight="1">
      <c r="B45" s="11" t="inlineStr">
        <is>
          <t>Destino</t>
        </is>
      </c>
      <c r="C45" s="11" t="inlineStr">
        <is>
          <t>W_m</t>
        </is>
      </c>
      <c r="D45" s="11" t="inlineStr">
        <is>
          <t>¿Azotea? (granizo)</t>
        </is>
      </c>
      <c r="E45" s="11" t="inlineStr">
        <is>
          <t>W_a / W (informativos)</t>
        </is>
      </c>
      <c r="F45" s="11" t="inlineStr">
        <is>
          <t>Referencia</t>
        </is>
      </c>
    </row>
    <row r="46" ht="24" customHeight="1">
      <c r="B46" s="26" t="inlineStr">
        <is>
          <t>HABITACIÓN</t>
        </is>
      </c>
      <c r="C46" s="27" t="n">
        <v>190</v>
      </c>
      <c r="D46" s="28" t="inlineStr">
        <is>
          <t>NO</t>
        </is>
      </c>
      <c r="E46" s="29" t="inlineStr">
        <is>
          <t>100 / 80</t>
        </is>
      </c>
      <c r="F46" s="16" t="inlineStr">
        <is>
          <t>NTC-Criterios y Acciones 2023 (CDMX) Tabla 6.1.2.2 a), p. 11</t>
        </is>
      </c>
    </row>
    <row r="47" ht="24" customHeight="1">
      <c r="B47" s="26" t="inlineStr">
        <is>
          <t>OFICINAS Y DESPACHOS</t>
        </is>
      </c>
      <c r="C47" s="27" t="n">
        <v>250</v>
      </c>
      <c r="D47" s="28" t="inlineStr">
        <is>
          <t>NO</t>
        </is>
      </c>
      <c r="E47" s="29" t="inlineStr">
        <is>
          <t>180 / 100</t>
        </is>
      </c>
      <c r="F47" s="16" t="inlineStr">
        <is>
          <t>NTC-Criterios y Acciones 2023 (CDMX) Tabla 6.1.2.2 b), p. 11</t>
        </is>
      </c>
    </row>
    <row r="48" ht="24" customHeight="1">
      <c r="B48" s="26" t="inlineStr">
        <is>
          <t>AULAS</t>
        </is>
      </c>
      <c r="C48" s="27" t="n">
        <v>250</v>
      </c>
      <c r="D48" s="28" t="inlineStr">
        <is>
          <t>NO</t>
        </is>
      </c>
      <c r="E48" s="29" t="inlineStr">
        <is>
          <t>180 / 100</t>
        </is>
      </c>
      <c r="F48" s="16" t="inlineStr">
        <is>
          <t>NTC-Criterios y Acciones 2023 (CDMX) Tabla 6.1.2.2 c), p. 11</t>
        </is>
      </c>
    </row>
    <row r="49" ht="24" customHeight="1">
      <c r="B49" s="26" t="inlineStr">
        <is>
          <t>PASILLOS, ESCALERAS Y VESTÍBULOS</t>
        </is>
      </c>
      <c r="C49" s="27" t="n">
        <v>350</v>
      </c>
      <c r="D49" s="28" t="inlineStr">
        <is>
          <t>NO</t>
        </is>
      </c>
      <c r="E49" s="29" t="inlineStr">
        <is>
          <t>150 / 40</t>
        </is>
      </c>
      <c r="F49" s="16" t="inlineStr">
        <is>
          <t>NTC-Criterios y Acciones 2023 (CDMX) Tabla 6.1.2.2 d), p. 11</t>
        </is>
      </c>
    </row>
    <row r="50" ht="24" customHeight="1">
      <c r="B50" s="26" t="inlineStr">
        <is>
          <t>LUGARES DE REUNIÓN SIN ASIENTOS INDIVIDUALES</t>
        </is>
      </c>
      <c r="C50" s="27" t="n">
        <v>450</v>
      </c>
      <c r="D50" s="28" t="inlineStr">
        <is>
          <t>NO</t>
        </is>
      </c>
      <c r="E50" s="29" t="inlineStr">
        <is>
          <t>350 / 40</t>
        </is>
      </c>
      <c r="F50" s="16" t="inlineStr">
        <is>
          <t>NTC-Criterios y Acciones 2023 (CDMX) Tabla 6.1.2.2 e), p. 11</t>
        </is>
      </c>
    </row>
    <row r="51" ht="24" customHeight="1">
      <c r="B51" s="26" t="inlineStr">
        <is>
          <t>OTROS LUGARES DE REUNIÓN (bibliotecas, templos, restaurantes…)</t>
        </is>
      </c>
      <c r="C51" s="27" t="n">
        <v>350</v>
      </c>
      <c r="D51" s="28" t="inlineStr">
        <is>
          <t>NO</t>
        </is>
      </c>
      <c r="E51" s="29" t="inlineStr">
        <is>
          <t>250 / 40</t>
        </is>
      </c>
      <c r="F51" s="16" t="inlineStr">
        <is>
          <t>NTC-Criterios y Acciones 2023 (CDMX) Tabla 6.1.2.2 f), p. 11</t>
        </is>
      </c>
    </row>
    <row r="52" ht="24" customHeight="1">
      <c r="B52" s="26" t="inlineStr">
        <is>
          <t>AZOTEA (pendiente ≤ 5 %)</t>
        </is>
      </c>
      <c r="C52" s="27" t="n">
        <v>100</v>
      </c>
      <c r="D52" s="28" t="inlineStr">
        <is>
          <t>SÍ</t>
        </is>
      </c>
      <c r="E52" s="29" t="inlineStr">
        <is>
          <t>70 / 15</t>
        </is>
      </c>
      <c r="F52" s="16" t="inlineStr">
        <is>
          <t>NTC-Criterios y Acciones 2023 (CDMX) Tabla 6.1.2.2 h), p. 11</t>
        </is>
      </c>
    </row>
    <row r="53" ht="24" customHeight="1">
      <c r="B53" s="26" t="inlineStr">
        <is>
          <t>AZOTEA (pendiente de 6 a 10 %)</t>
        </is>
      </c>
      <c r="C53" s="27" t="n">
        <v>60</v>
      </c>
      <c r="D53" s="28" t="inlineStr">
        <is>
          <t>SÍ</t>
        </is>
      </c>
      <c r="E53" s="29" t="inlineStr">
        <is>
          <t>30 / 10</t>
        </is>
      </c>
      <c r="F53" s="16" t="inlineStr">
        <is>
          <t>NTC-Criterios y Acciones 2023 (CDMX) Tabla 6.1.2.2 h), p. 11</t>
        </is>
      </c>
    </row>
    <row r="54" ht="24" customHeight="1">
      <c r="B54" s="26" t="inlineStr">
        <is>
          <t>AZOTEA (pendiente de 11 a 20 %)</t>
        </is>
      </c>
      <c r="C54" s="27" t="n">
        <v>40</v>
      </c>
      <c r="D54" s="28" t="inlineStr">
        <is>
          <t>SÍ</t>
        </is>
      </c>
      <c r="E54" s="29" t="inlineStr">
        <is>
          <t>20 / 5</t>
        </is>
      </c>
      <c r="F54" s="16" t="inlineStr">
        <is>
          <t>NTC-Criterios y Acciones 2023 (CDMX) Tabla 6.1.2.2 h), p. 11</t>
        </is>
      </c>
    </row>
    <row r="55" ht="24" customHeight="1">
      <c r="B55" s="26" t="inlineStr">
        <is>
          <t>AZOTEA (pendiente &gt; 20 %)</t>
        </is>
      </c>
      <c r="C55" s="27" t="n">
        <v>30</v>
      </c>
      <c r="D55" s="28" t="inlineStr">
        <is>
          <t>SÍ</t>
        </is>
      </c>
      <c r="E55" s="29" t="inlineStr">
        <is>
          <t>20 / 5</t>
        </is>
      </c>
      <c r="F55" s="16" t="inlineStr">
        <is>
          <t>NTC-Criterios y Acciones 2023 (CDMX) Tabla 6.1.2.2 h), p. 11</t>
        </is>
      </c>
    </row>
    <row r="56" ht="24" customHeight="1">
      <c r="B56" s="26" t="inlineStr">
        <is>
          <t>VOLADOS EN VÍA PÚBLICA (balcones)</t>
        </is>
      </c>
      <c r="C56" s="27" t="n">
        <v>300</v>
      </c>
      <c r="D56" s="28" t="inlineStr">
        <is>
          <t>NO</t>
        </is>
      </c>
      <c r="E56" s="29" t="inlineStr">
        <is>
          <t>70 / 15</t>
        </is>
      </c>
      <c r="F56" s="16" t="inlineStr">
        <is>
          <t>NTC-Criterios y Acciones 2023 (CDMX) Tabla 6.1.2.2 j), p. 11</t>
        </is>
      </c>
    </row>
    <row r="57" ht="24" customHeight="1">
      <c r="B57" s="26" t="inlineStr">
        <is>
          <t>ESTACIONAMIENTO (sólo autos)</t>
        </is>
      </c>
      <c r="C57" s="27" t="n">
        <v>250</v>
      </c>
      <c r="D57" s="28" t="inlineStr">
        <is>
          <t>NO</t>
        </is>
      </c>
      <c r="E57" s="29" t="inlineStr">
        <is>
          <t>100 / 40</t>
        </is>
      </c>
      <c r="F57" s="16" t="inlineStr">
        <is>
          <t>NTC-Criterios y Acciones 2023 (CDMX) Tabla 6.1.2.2 k), p. 11</t>
        </is>
      </c>
    </row>
    <row r="58" ht="24" customHeight="1">
      <c r="B58" s="26" t="inlineStr">
        <is>
          <t>OTRO (captura del usuario)</t>
        </is>
      </c>
      <c r="C58" s="27" t="n">
        <v>190</v>
      </c>
      <c r="D58" s="28" t="inlineStr">
        <is>
          <t>NO</t>
        </is>
      </c>
      <c r="E58" s="29" t="inlineStr">
        <is>
          <t>— / —</t>
        </is>
      </c>
      <c r="F58" s="16" t="inlineStr">
        <is>
          <t>CAPTURA del usuario: cambia el nombre y los valores</t>
        </is>
      </c>
    </row>
    <row r="59" ht="6" customHeight="1"/>
    <row r="60" ht="21" customHeight="1">
      <c r="B60" s="3" t="inlineStr">
        <is>
          <t>5. RECUBRIMIENTOS, EXPOSICIÓN Y DETALLADO</t>
        </is>
      </c>
    </row>
    <row r="61" ht="30" customHeight="1">
      <c r="B61" s="11" t="inlineStr">
        <is>
          <t>Concepto</t>
        </is>
      </c>
      <c r="C61" s="11" t="inlineStr">
        <is>
          <t>Valor</t>
        </is>
      </c>
      <c r="D61" s="11" t="inlineStr">
        <is>
          <t>Unidad</t>
        </is>
      </c>
      <c r="E61" s="11" t="inlineStr">
        <is>
          <t>Cómo se calcula / de dónde sale</t>
        </is>
      </c>
      <c r="F61" s="11" t="inlineStr">
        <is>
          <t>Referencia</t>
        </is>
      </c>
    </row>
    <row r="62" ht="43.5" customHeight="1">
      <c r="B62" s="12" t="inlineStr">
        <is>
          <t>r — recubrimiento libre en losas y nervaduras (interior, A1)</t>
        </is>
      </c>
      <c r="C62" s="30" t="n">
        <v>2</v>
      </c>
      <c r="D62" s="14" t="inlineStr">
        <is>
          <t>cm</t>
        </is>
      </c>
      <c r="E62" s="15" t="inlineStr">
        <is>
          <t>CAPTURA. El mayor de 15 mm (colocación), 0.75 × 25 mm = 19 mm (A1) y 20 mm (losas y viguetas no expuestas). Lo usan las losas macizas y las nervaduras que cumplen 6.7.8.1.4.</t>
        </is>
      </c>
      <c r="F62" s="16" t="inlineStr">
        <is>
          <t>NTC-Concreto 2023 (CDMX) 4.13.1.1 y 4.13.2.2 b), p. 83 · Tabla 4.14.16.a, p. 85</t>
        </is>
      </c>
    </row>
    <row r="63" ht="70.5" customHeight="1">
      <c r="B63" s="12" t="inlineStr">
        <is>
          <t>r de viga — nervaduras de tableros que no cumplen 6.7.8.1.4</t>
        </is>
      </c>
      <c r="C63" s="30" t="n">
        <v>4</v>
      </c>
      <c r="D63" s="14" t="inlineStr">
        <is>
          <t>cm</t>
        </is>
      </c>
      <c r="E63" s="15" t="inlineStr">
        <is>
          <t>CAPTURA. Si a_c &gt; claro corto/6 la losa se diseña como losa apoyada en vigas (6.7.8.1.9): sus nervaduras ya no son «viguetas» y llevan el recubrimiento de viga (40 mm). También es el que se descuenta del ancho del apoyo al revisar anclajes.</t>
        </is>
      </c>
      <c r="F63" s="16" t="inlineStr">
        <is>
          <t>NTC-Concreto 2023 (CDMX) Tabla 4.14.16.a, p. 85 · 6.7.8.1.9, p. 188</t>
        </is>
      </c>
    </row>
    <row r="64" ht="43.5" customHeight="1">
      <c r="B64" s="12" t="inlineStr">
        <is>
          <t>r_ext — recubrimiento de caras a la intemperie (barras ≤ No. 5)</t>
        </is>
      </c>
      <c r="C64" s="30" t="n">
        <v>4</v>
      </c>
      <c r="D64" s="14" t="inlineStr">
        <is>
          <t>cm</t>
        </is>
      </c>
      <c r="E64" s="15" t="inlineStr">
        <is>
          <t>CAPTURA. Lecho inferior de todo volado y lecho superior de volados y azoteas si así lo indican los selectores de abajo. Con No. 6 o mayor son 5 cm.</t>
        </is>
      </c>
      <c r="F64" s="16" t="inlineStr">
        <is>
          <t>NTC-Concreto 2023 (CDMX) Tabla 4.14.16.a, p. 85 · Tabla 4.3.1, p. 76</t>
        </is>
      </c>
    </row>
    <row r="65" ht="43.5" customHeight="1">
      <c r="B65" s="12" t="inlineStr">
        <is>
          <t>¿Se anotan en planos las precauciones de 3.9.2? (casetón de medida fija y silletas que fijan el lecho superior)</t>
        </is>
      </c>
      <c r="C65" s="13" t="inlineStr">
        <is>
          <t>SÍ</t>
        </is>
      </c>
      <c r="D65" s="14" t="inlineStr">
        <is>
          <t>—</t>
        </is>
      </c>
      <c r="E65" s="15" t="inlineStr">
        <is>
          <t>SELECTOR. Si dices NO: b_w − 2 cm en flexión negativa y cortante cuando b_w &lt; 20 cm, y d − 2 cm en el lecho superior donde d ≤ 20 cm (nervadas y macizas).</t>
        </is>
      </c>
      <c r="F65" s="16" t="inlineStr">
        <is>
          <t>NTC-Concreto 2023 (CDMX) 3.9.1 d) y e) y 3.9.2, p. 74</t>
        </is>
      </c>
    </row>
    <row r="66" ht="43.5" customHeight="1">
      <c r="B66" s="12" t="inlineStr">
        <is>
          <t>¿La cara superior de las AZOTEAS queda expuesta directo a la intemperie?</t>
        </is>
      </c>
      <c r="C66" s="13" t="inlineStr">
        <is>
          <t>NO</t>
        </is>
      </c>
      <c r="D66" s="14" t="inlineStr">
        <is>
          <t>—</t>
        </is>
      </c>
      <c r="E66" s="15" t="inlineStr">
        <is>
          <t>SELECTOR. Con relleno, entortado e impermeabilizante se toma como protegida (criterio del Responsable). Si dices SÍ, el lecho superior de azotea usa r_ext.</t>
        </is>
      </c>
      <c r="F66" s="16" t="inlineStr">
        <is>
          <t>NTC-Concreto 2023 (CDMX) 4.3.2 y Tabla 4.3.1, p. 76</t>
        </is>
      </c>
    </row>
    <row r="67" ht="84" customHeight="1">
      <c r="B67" s="12" t="inlineStr">
        <is>
          <t>¿La cara superior de los VOLADOS queda a la intemperie?</t>
        </is>
      </c>
      <c r="C67" s="13" t="inlineStr">
        <is>
          <t>NO</t>
        </is>
      </c>
      <c r="D67" s="14" t="inlineStr">
        <is>
          <t>—</t>
        </is>
      </c>
      <c r="E67" s="15" t="inlineStr">
        <is>
          <t>SELECTOR. NO = terraza o balcón con impermeabilizante y piso (decisión D12 de Casa Rocha). Si el volado queda sin protección recibe la lluvia (A2): pon SÍ y su lecho superior lleva r_ext (la malla al centro de una capa de 6 cm no alcanza ese recubrimiento: la sección 7 lo marca). Su lecho inferior siempre lleva r_ext.</t>
        </is>
      </c>
      <c r="F67" s="16" t="inlineStr">
        <is>
          <t>NTC-Concreto 2023 (CDMX) Tabla 4.3.1 c), p. 76 · Tabla 4.14.16.a, p. 85</t>
        </is>
      </c>
    </row>
    <row r="68" ht="30" customHeight="1">
      <c r="B68" s="12" t="inlineStr">
        <is>
          <t>Tamaño máximo del agregado grueso (TMA)</t>
        </is>
      </c>
      <c r="C68" s="18" t="n">
        <v>1.27</v>
      </c>
      <c r="D68" s="14" t="inlineStr">
        <is>
          <t>cm</t>
        </is>
      </c>
      <c r="E68" s="15" t="inlineStr">
        <is>
          <t>CAPTURA. No más de 2/3 del recubrimiento ni de la separación libre entre barras.</t>
        </is>
      </c>
      <c r="F68" s="16" t="inlineStr">
        <is>
          <t>NTC-Concreto 2023 (CDMX) 2.2.5.2.1, p. 32</t>
        </is>
      </c>
    </row>
    <row r="69" ht="30" customHeight="1">
      <c r="B69" s="12" t="inlineStr">
        <is>
          <t>¿El agregado cabe? (≤ 2/3 de r y de la separación libre)</t>
        </is>
      </c>
      <c r="C69" s="31" t="str">
        <f>IF(DATOS!$C$68&lt;=2/3*MIN(DATOS!$C$62,MAX(2.5,1.5*DATOS!$C$68)),"CUMPLE","NO CUMPLE — usa agregado más chico")</f>
        <v>CUMPLE</v>
      </c>
      <c r="D69" s="14" t="inlineStr">
        <is>
          <t>—</t>
        </is>
      </c>
      <c r="E69" s="15" t="inlineStr">
        <is>
          <t>CALCULADA.</t>
        </is>
      </c>
      <c r="F69" s="16" t="inlineStr">
        <is>
          <t>NTC-Concreto 2023 (CDMX) 2.2.5.2.1, p. 32</t>
        </is>
      </c>
    </row>
    <row r="70" ht="30" customHeight="1">
      <c r="B70" s="12" t="inlineStr">
        <is>
          <t>Separación libre mínima entre varillas</t>
        </is>
      </c>
      <c r="C70" s="23">
        <f>MAX(2.5,1.5*DATOS!$C$68)</f>
        <v>2.5</v>
      </c>
      <c r="D70" s="14" t="inlineStr">
        <is>
          <t>cm</t>
        </is>
      </c>
      <c r="E70" s="15" t="inlineStr">
        <is>
          <t>CALCULADA = el mayor de 25 mm, d_b y 1.5·TMA (d_b se revisa barra por barra).</t>
        </is>
      </c>
      <c r="F70" s="16" t="inlineStr">
        <is>
          <t>NTC-Concreto 2023 (CDMX) 14.2.1, p. 347</t>
        </is>
      </c>
    </row>
    <row r="71" ht="57" customHeight="1">
      <c r="B71" s="12" t="inlineStr">
        <is>
          <t>No. de varilla preferida — lecho INFERIOR de nervaduras</t>
        </is>
      </c>
      <c r="C71" s="32" t="n">
        <v>4</v>
      </c>
      <c r="D71" s="14" t="inlineStr">
        <is>
          <t>—</t>
        </is>
      </c>
      <c r="E71" s="15" t="inlineStr">
        <is>
          <t>CAPTURA. Mínimo No. 4: toda nervadura lleva al menos 1 No. 4 abajo y 1 No. 4 arriba, corridas (si capturas menos, NERVADAS usa No. 4). Si no alcanza, la hoja sube sola de número.</t>
        </is>
      </c>
      <c r="F71" s="16" t="inlineStr">
        <is>
          <t>NTC-Concreto 2023 (CDMX) 6.7.6.1.3, p. 175</t>
        </is>
      </c>
    </row>
    <row r="72" ht="43.5" customHeight="1">
      <c r="B72" s="12" t="inlineStr">
        <is>
          <t>No. de varilla preferida — lecho SUPERIOR de nervaduras</t>
        </is>
      </c>
      <c r="C72" s="32" t="n">
        <v>4</v>
      </c>
      <c r="D72" s="14" t="inlineStr">
        <is>
          <t>—</t>
        </is>
      </c>
      <c r="E72" s="15" t="inlineStr">
        <is>
          <t>CAPTURA. Mínimo No. 4 (si capturas menos, NERVADAS usa No. 4). Una varilla superior es corrida y las demás son bastones.</t>
        </is>
      </c>
      <c r="F72" s="16" t="inlineStr">
        <is>
          <t>NTC-Concreto 2023 (CDMX) 6.7.6.1.3, p. 175</t>
        </is>
      </c>
    </row>
    <row r="73" ht="30" customHeight="1">
      <c r="B73" s="12" t="inlineStr">
        <is>
          <t>Máximo de varillas por lecho en una nervadura</t>
        </is>
      </c>
      <c r="C73" s="17" t="n">
        <v>2</v>
      </c>
      <c r="D73" s="14" t="inlineStr">
        <is>
          <t>pzas</t>
        </is>
      </c>
      <c r="E73" s="15" t="inlineStr">
        <is>
          <t>CAPTURA. Además se revisa que quepan con la separación libre mínima.</t>
        </is>
      </c>
      <c r="F73" s="16" t="inlineStr">
        <is>
          <t>NTC-Concreto 2023 (CDMX) 14.2.1, p. 347</t>
        </is>
      </c>
    </row>
    <row r="74" ht="30" customHeight="1">
      <c r="B74" s="12" t="inlineStr">
        <is>
          <t>Mínimo de varillas por lecho y por nervadura</t>
        </is>
      </c>
      <c r="C74" s="17" t="n">
        <v>1</v>
      </c>
      <c r="D74" s="14" t="inlineStr">
        <is>
          <t>pzas</t>
        </is>
      </c>
      <c r="E74" s="15" t="inlineStr">
        <is>
          <t>CAPTURA. 1 corrida. Si As colocada &lt; 4/3 de la requerida, la hoja pide 2 (As mín de viga).</t>
        </is>
      </c>
      <c r="F74" s="16" t="inlineStr">
        <is>
          <t>NTC-Concreto 2023 (CDMX) 6.7.6.1.3, p. 175 · 6.3.5.1.1 y 6.3.5.1.3, p. 122</t>
        </is>
      </c>
    </row>
    <row r="75" ht="84" customHeight="1">
      <c r="B75" s="12" t="inlineStr">
        <is>
          <t>Ancho del apoyo en bordes DISCONTINUOS (para anclar)</t>
        </is>
      </c>
      <c r="C75" s="17" t="n">
        <v>40</v>
      </c>
      <c r="D75" s="14" t="inlineStr">
        <is>
          <t>cm</t>
        </is>
      </c>
      <c r="E75" s="15" t="inlineStr">
        <is>
          <t>CAPTURA. Dala de borde armada (o macizo de borde) donde rematan con gancho de 180° la varilla inferior (1.25 fy en el paño interior, ≥ 15 cm dentro) y el bastón superior (fy), como en la decisión D9 de Casa Rocha. Con un muro de 15 cm sin dala ancha, pon 15: la hoja pedirá una dala más ancha.</t>
        </is>
      </c>
      <c r="F75" s="16" t="inlineStr">
        <is>
          <t>NTC-Concreto 2023 (CDMX) 6.7.8.1.7, p. 188 · 6.7.7.4.1.1 a) y b), p. 179 · 14.4.3.1, p. 355</t>
        </is>
      </c>
    </row>
    <row r="76" ht="57" customHeight="1">
      <c r="B76" s="12" t="inlineStr">
        <is>
          <t>Peralte de la dala de borde</t>
        </is>
      </c>
      <c r="C76" s="17" t="n">
        <v>25</v>
      </c>
      <c r="D76" s="14" t="inlineStr">
        <is>
          <t>cm</t>
        </is>
      </c>
      <c r="E76" s="15" t="inlineStr">
        <is>
          <t>CAPTURA. Donde se dobla el gancho de 180° (alto 8·d_b) entre los recubrimientos de viga arriba y abajo. En nervadas suele ser h; bajo una losa maciza, la dala suele bajar más que la losa.</t>
        </is>
      </c>
      <c r="F76" s="16" t="inlineStr">
        <is>
          <t>NTC-Concreto 2023 (CDMX) Tabla 14.3.1, p. 349 · 14.4.3.1, p. 355</t>
        </is>
      </c>
    </row>
    <row r="77" ht="6" customHeight="1"/>
    <row r="78" ht="21" customHeight="1">
      <c r="B78" s="3" t="inlineStr">
        <is>
          <t>6. LOSA NERVADA — SECCIÓN TIPO</t>
        </is>
      </c>
    </row>
    <row r="79" ht="30" customHeight="1">
      <c r="B79" s="24" t="inlineStr">
        <is>
          <t>Casetón a_c × a_c × h_c, nervadura b_w y capa t. Cada tablero de NERVADAS puede usar otro b_w (p. ej. 20 cm en volados): entonces conserva la separación s y el casetón se angosta a s − b_w.</t>
        </is>
      </c>
      <c r="C79" s="25" t="n"/>
      <c r="D79" s="25" t="n"/>
      <c r="E79" s="25" t="n"/>
      <c r="F79" s="25" t="n"/>
    </row>
    <row r="80" ht="30" customHeight="1">
      <c r="B80" s="11" t="inlineStr">
        <is>
          <t>Concepto</t>
        </is>
      </c>
      <c r="C80" s="11" t="inlineStr">
        <is>
          <t>Valor</t>
        </is>
      </c>
      <c r="D80" s="11" t="inlineStr">
        <is>
          <t>Unidad</t>
        </is>
      </c>
      <c r="E80" s="11" t="inlineStr">
        <is>
          <t>Cómo se calcula / de dónde sale</t>
        </is>
      </c>
      <c r="F80" s="11" t="inlineStr">
        <is>
          <t>Referencia</t>
        </is>
      </c>
    </row>
    <row r="81" ht="30" customHeight="1">
      <c r="B81" s="12" t="inlineStr">
        <is>
          <t>a_c — lado del casetón (separación libre entre nervaduras)</t>
        </is>
      </c>
      <c r="C81" s="17" t="n">
        <v>60</v>
      </c>
      <c r="D81" s="14" t="inlineStr">
        <is>
          <t>cm</t>
        </is>
      </c>
      <c r="E81" s="15" t="inlineStr">
        <is>
          <t>CAPTURA. ≤ 80 cm y ≤ claro corto/6 para que cuente como encasetonada (se revisa por tablero).</t>
        </is>
      </c>
      <c r="F81" s="16" t="inlineStr">
        <is>
          <t>NTC-Concreto 2023 (CDMX) 6.7.8.1.4, p. 187</t>
        </is>
      </c>
    </row>
    <row r="82" ht="30" customHeight="1">
      <c r="B82" s="12" t="inlineStr">
        <is>
          <t>h_c — altura del casetón</t>
        </is>
      </c>
      <c r="C82" s="17" t="n">
        <v>19</v>
      </c>
      <c r="D82" s="14" t="inlineStr">
        <is>
          <t>cm</t>
        </is>
      </c>
      <c r="E82" s="15" t="inlineStr">
        <is>
          <t>CAPTURA. Con t = 6 cm da h = 25 cm (LR-25, casetón 60×60×19 de la hoja de Casa Rocha, decisión D3).</t>
        </is>
      </c>
      <c r="F82" s="16" t="inlineStr">
        <is>
          <t>Dato del proyecto</t>
        </is>
      </c>
    </row>
    <row r="83" ht="19.5" customHeight="1">
      <c r="B83" s="12" t="inlineStr">
        <is>
          <t>b_w — ancho de la nervadura</t>
        </is>
      </c>
      <c r="C83" s="17" t="n">
        <v>10</v>
      </c>
      <c r="D83" s="14" t="inlineStr">
        <is>
          <t>cm</t>
        </is>
      </c>
      <c r="E83" s="15" t="inlineStr">
        <is>
          <t>CAPTURA. Mínimo 10 cm en cualquier punto del peralte.</t>
        </is>
      </c>
      <c r="F83" s="16" t="inlineStr">
        <is>
          <t>NTC-Concreto 2023 (CDMX) 6.7.8.1.2, p. 187</t>
        </is>
      </c>
    </row>
    <row r="84" ht="30" customHeight="1">
      <c r="B84" s="12" t="inlineStr">
        <is>
          <t>t — espesor de la capa de compresión</t>
        </is>
      </c>
      <c r="C84" s="17" t="n">
        <v>6</v>
      </c>
      <c r="D84" s="14" t="inlineStr">
        <is>
          <t>cm</t>
        </is>
      </c>
      <c r="E84" s="15" t="inlineStr">
        <is>
          <t>CAPTURA. Mínimo el mayor de a_c/13 y 5 cm; 6 cm si algún claro es ≥ 6 m (diafragma).</t>
        </is>
      </c>
      <c r="F84" s="16" t="inlineStr">
        <is>
          <t>NTC-Concreto 2023 (CDMX) 6.7.8.3.1, p. 188 · 6.8.3.1.2, p. 189</t>
        </is>
      </c>
    </row>
    <row r="85" ht="19.5" customHeight="1">
      <c r="B85" s="12" t="inlineStr">
        <is>
          <t>h — peralte total</t>
        </is>
      </c>
      <c r="C85" s="33">
        <f>DATOS!$C$82+DATOS!$C$84</f>
        <v>25</v>
      </c>
      <c r="D85" s="14" t="inlineStr">
        <is>
          <t>cm</t>
        </is>
      </c>
      <c r="E85" s="15" t="inlineStr">
        <is>
          <t>CALCULADA = h_c + t. Máximo 3.5·b_w.</t>
        </is>
      </c>
      <c r="F85" s="16" t="inlineStr">
        <is>
          <t>NTC-Concreto 2023 (CDMX) 6.7.8.1.3, p. 187</t>
        </is>
      </c>
    </row>
    <row r="86" ht="19.5" customHeight="1">
      <c r="B86" s="12" t="inlineStr">
        <is>
          <t>s — separación entre ejes de nervaduras</t>
        </is>
      </c>
      <c r="C86" s="33">
        <f>DATOS!$C$81+DATOS!$C$83</f>
        <v>70</v>
      </c>
      <c r="D86" s="14" t="inlineStr">
        <is>
          <t>cm</t>
        </is>
      </c>
      <c r="E86" s="15" t="inlineStr">
        <is>
          <t>CALCULADA = a_c + b_w. Ancho tributario de cada nervadura.</t>
        </is>
      </c>
      <c r="F86" s="16" t="inlineStr">
        <is>
          <t>Geometría</t>
        </is>
      </c>
    </row>
    <row r="87" ht="30" customHeight="1">
      <c r="B87" s="12" t="inlineStr">
        <is>
          <t>b_p — ancho del apoyo (muro, dala o trabe) en los bordes</t>
        </is>
      </c>
      <c r="C87" s="17" t="n">
        <v>15</v>
      </c>
      <c r="D87" s="14" t="inlineStr">
        <is>
          <t>cm</t>
        </is>
      </c>
      <c r="E87" s="15" t="inlineStr">
        <is>
          <t>CAPTURA. Claro libre L_n = claro a ejes − b_p (en volados − b_p/2). Lo usan nervadas y macizas.</t>
        </is>
      </c>
      <c r="F87" s="16" t="inlineStr">
        <is>
          <t>NTC-Concreto 2023 (CDMX) 6.3.2.1, p. 117</t>
        </is>
      </c>
    </row>
    <row r="88" ht="30" customHeight="1">
      <c r="B88" s="12" t="inlineStr">
        <is>
          <t>¿La sección cumple las limitaciones de losa encasetonada? (b_w, h, t)</t>
        </is>
      </c>
      <c r="C88" s="34" t="str">
        <f>IF(AND(DATOS!$C$83&gt;=10,DATOS!$C$85&lt;=3.5*DATOS!$C$83,DATOS!$C$84&gt;=MAX(DATOS!$C$81/13,5),DATOS!$C$81&lt;=80),"CUMPLE","NO CUMPLE")</f>
        <v>CUMPLE</v>
      </c>
      <c r="D88" s="14" t="inlineStr">
        <is>
          <t>—</t>
        </is>
      </c>
      <c r="E88" s="15" t="inlineStr">
        <is>
          <t>CALCULADA: b_w ≥ 10 cm, h ≤ 3.5·b_w, t ≥ máx(a_c/13, 5 cm), a_c ≤ 80 cm. El claro ≥ 6·a_c se revisa por tablero.</t>
        </is>
      </c>
      <c r="F88" s="16" t="inlineStr">
        <is>
          <t>NTC-Concreto 2023 (CDMX) 6.7.8.1.2 a 6.7.8.1.4, p. 187 · 6.7.8.3.1, p. 188</t>
        </is>
      </c>
    </row>
    <row r="89" ht="19.5" customHeight="1">
      <c r="B89" s="12" t="inlineStr">
        <is>
          <t>Volumen de concreto por m²</t>
        </is>
      </c>
      <c r="C89" s="35">
        <f>DATOS!$C$85/100-(DATOS!$C$81/100)^2*(DATOS!$C$82/100)/(DATOS!$C$86/100)^2</f>
        <v>0.110408163265306</v>
      </c>
      <c r="D89" s="14" t="inlineStr">
        <is>
          <t>m³/m²</t>
        </is>
      </c>
      <c r="E89" s="15" t="inlineStr">
        <is>
          <t>CALCULADA = h − a_c²·h_c/s².</t>
        </is>
      </c>
      <c r="F89" s="16" t="inlineStr">
        <is>
          <t>Geometría</t>
        </is>
      </c>
    </row>
    <row r="90" ht="19.5" customHeight="1">
      <c r="B90" s="12" t="inlineStr">
        <is>
          <t>Peso propio geométrico</t>
        </is>
      </c>
      <c r="C90" s="36">
        <f>(DATOS!$C$89*DATOS!$C$16+(DATOS!$C$81/100)^2*(DATOS!$C$82/100)/(DATOS!$C$86/100)^2*DATOS!$C$17)*1000</f>
        <v>267.073469387755</v>
      </c>
      <c r="D90" s="14" t="inlineStr">
        <is>
          <t>kg/m²</t>
        </is>
      </c>
      <c r="E90" s="15" t="inlineStr">
        <is>
          <t>CALCULADA = V·γc + casetón·γ_casetón.</t>
        </is>
      </c>
      <c r="F90" s="16" t="inlineStr">
        <is>
          <t>Geometría</t>
        </is>
      </c>
    </row>
    <row r="91" ht="30" customHeight="1">
      <c r="B91" s="12" t="inlineStr">
        <is>
          <t>Peso propio de diseño (+ incrementos de la sección 3)</t>
        </is>
      </c>
      <c r="C91" s="36">
        <f>DATOS!$C$90+DATOS!$C$37+DATOS!$C$38</f>
        <v>307.073469387755</v>
      </c>
      <c r="D91" s="14" t="inlineStr">
        <is>
          <t>kg/m²</t>
        </is>
      </c>
      <c r="E91" s="15" t="inlineStr">
        <is>
          <t>CALCULADA. Con b_w propio en un tablero, NERVADAS lo recalcula en ese renglón.</t>
        </is>
      </c>
      <c r="F91" s="16" t="inlineStr">
        <is>
          <t>NTC-Criterios y Acciones 2023 (CDMX) 5.1.2.1, p. 9</t>
        </is>
      </c>
    </row>
    <row r="92" ht="19.5" customHeight="1">
      <c r="B92" s="12" t="inlineStr">
        <is>
          <t>A_T — área de la sección T de una nervadura</t>
        </is>
      </c>
      <c r="C92" s="22">
        <f>DATOS!$C$86*DATOS!$C$84+DATOS!$C$83*DATOS!$C$82</f>
        <v>610</v>
      </c>
      <c r="D92" s="14" t="inlineStr">
        <is>
          <t>cm²</t>
        </is>
      </c>
      <c r="E92" s="15" t="inlineStr">
        <is>
          <t>CALCULADA = s·t + b_w·h_c.</t>
        </is>
      </c>
      <c r="F92" s="16" t="inlineStr">
        <is>
          <t>Geometría</t>
        </is>
      </c>
    </row>
    <row r="93" ht="19.5" customHeight="1">
      <c r="B93" s="12" t="inlineStr">
        <is>
          <t>ȳ — centroide medido desde arriba</t>
        </is>
      </c>
      <c r="C93" s="23">
        <f>(DATOS!$C$86*DATOS!$C$84*DATOS!$C$84/2+DATOS!$C$83*DATOS!$C$82*(DATOS!$C$84+DATOS!$C$82/2))/DATOS!$C$92</f>
        <v>6.89344262295082</v>
      </c>
      <c r="D93" s="14" t="inlineStr">
        <is>
          <t>cm</t>
        </is>
      </c>
      <c r="E93" s="15" t="inlineStr">
        <is>
          <t>CALCULADA.</t>
        </is>
      </c>
      <c r="F93" s="16" t="inlineStr">
        <is>
          <t>Geometría</t>
        </is>
      </c>
    </row>
    <row r="94" ht="30" customHeight="1">
      <c r="B94" s="12" t="inlineStr">
        <is>
          <t>I_T — inercia bruta de una nervadura con su patín</t>
        </is>
      </c>
      <c r="C94" s="20">
        <f>DATOS!$C$86*DATOS!$C$84^3/12+DATOS!$C$86*DATOS!$C$84*(DATOS!$C$93-DATOS!$C$84/2)^2+DATOS!$C$83*DATOS!$C$82^3/12+DATOS!$C$83*DATOS!$C$82*(DATOS!$C$84+DATOS!$C$82/2-DATOS!$C$93)^2</f>
        <v>27416.4071038251</v>
      </c>
      <c r="D94" s="14" t="inlineStr">
        <is>
          <t>cm⁴</t>
        </is>
      </c>
      <c r="E94" s="15" t="inlineStr">
        <is>
          <t>CALCULADA (Steiner).</t>
        </is>
      </c>
      <c r="F94" s="16" t="inlineStr">
        <is>
          <t>Geometría</t>
        </is>
      </c>
    </row>
    <row r="95" ht="30" customHeight="1">
      <c r="B95" s="12" t="inlineStr">
        <is>
          <t>h_eq — losa maciza de la misma inercia</t>
        </is>
      </c>
      <c r="C95" s="37">
        <f>(12*DATOS!$C$94/DATOS!$C$86)^(1/3)</f>
        <v>16.7506339743859</v>
      </c>
      <c r="D95" s="14" t="inlineStr">
        <is>
          <t>cm</t>
        </is>
      </c>
      <c r="E95" s="15" t="inlineStr">
        <is>
          <t>CALCULADA = ∛(12·I_T/s). La hoja compara h_eq (no h) contra el espesor mínimo, del lado seguro.</t>
        </is>
      </c>
      <c r="F95" s="16" t="inlineStr">
        <is>
          <t>Criterio de esta hoja · NTC-Concreto 2023 (CDMX) 6.7.3.1, p. 167–168</t>
        </is>
      </c>
    </row>
    <row r="96" ht="30" customHeight="1">
      <c r="B96" s="12" t="inlineStr">
        <is>
          <t>Malla electrosoldada de la capa</t>
        </is>
      </c>
      <c r="C96" s="13" t="inlineStr">
        <is>
          <t>6x6-4/4</t>
        </is>
      </c>
      <c r="D96" s="14" t="inlineStr">
        <is>
          <t>—</t>
        </is>
      </c>
      <c r="E96" s="15" t="inlineStr">
        <is>
          <t>SELECTOR (lista en TABLAS). Sus revisiones están en la sección 7.</t>
        </is>
      </c>
      <c r="F96" s="16" t="inlineStr">
        <is>
          <t>NTC-Concreto 2023 (CDMX) 13.8.2.1.1, p. 345 · 6.7.8.1.8, p. 188 · 6.8.6.4, p. 196</t>
        </is>
      </c>
    </row>
    <row r="97" ht="30" customHeight="1">
      <c r="B97" s="12" t="inlineStr">
        <is>
          <t>Ø del alambre de la malla</t>
        </is>
      </c>
      <c r="C97" s="38">
        <f>INDEX(TABLAS!$C$63:$C$66,MATCH(DATOS!$C$96,TABLAS!$B$63:$B$66,0))/10</f>
        <v>0.572</v>
      </c>
      <c r="D97" s="14" t="inlineStr">
        <is>
          <t>cm</t>
        </is>
      </c>
      <c r="E97" s="15" t="inlineStr">
        <is>
          <t>CALCULADA. La malla va al centro de la capa y las varillas superiores pasan DEBAJO de ella: su d pierde 2·Ø.</t>
        </is>
      </c>
      <c r="F97" s="16" t="inlineStr">
        <is>
          <t>TABLAS sección C</t>
        </is>
      </c>
    </row>
    <row r="98" ht="30" customHeight="1">
      <c r="B98" s="12" t="inlineStr">
        <is>
          <t>d inferior típico (varilla preferida)</t>
        </is>
      </c>
      <c r="C98" s="23">
        <f>DATOS!$C$85-DATOS!$C$62-INDEX(TABLAS!$C$52:$C$58,MATCH(DATOS!$C$71,TABLAS!$B$52:$B$58,0))/2</f>
        <v>22.365</v>
      </c>
      <c r="D98" s="14" t="inlineStr">
        <is>
          <t>cm</t>
        </is>
      </c>
      <c r="E98" s="15" t="inlineStr">
        <is>
          <t>CALCULADA = h − r − d_b/2. NERVADAS lo recalcula con la varilla real, la dirección y el r de cada tablero.</t>
        </is>
      </c>
      <c r="F98" s="16" t="inlineStr">
        <is>
          <t>Geometría</t>
        </is>
      </c>
    </row>
    <row r="99" ht="43.5" customHeight="1">
      <c r="B99" s="12" t="inlineStr">
        <is>
          <t>d superior típico (varilla preferida)</t>
        </is>
      </c>
      <c r="C99" s="23">
        <f>DATOS!$C$85-MAX(DATOS!$C$62,(DATOS!$C$84-2*DATOS!$C$97)/2)-2*DATOS!$C$97-INDEX(TABLAS!$C$52:$C$58,MATCH(DATOS!$C$72,TABLAS!$B$52:$B$58,0))/2</f>
        <v>20.793</v>
      </c>
      <c r="D99" s="14" t="inlineStr">
        <is>
          <t>cm</t>
        </is>
      </c>
      <c r="E99" s="15" t="inlineStr">
        <is>
          <t>CALCULADA = h − máx(r, (t − 2Ø)/2) − 2·Ø malla − d_b/2: la malla va al centro de la capa y la varilla pasa debajo; si r es mayor, manda r.</t>
        </is>
      </c>
      <c r="F99" s="16" t="inlineStr">
        <is>
          <t>Geometría · NTC-Concreto 2023 (CDMX) 3.9.1 d), p. 74</t>
        </is>
      </c>
    </row>
    <row r="100" ht="19.5" customHeight="1">
      <c r="B100" s="12" t="inlineStr">
        <is>
          <t>p_b — cuantía balanceada</t>
        </is>
      </c>
      <c r="C100" s="35">
        <f>DATOS!$C$21/DATOS!$C$14*6000*DATOS!$C$22/(DATOS!$C$14+6000)</f>
        <v>0.025297619047619</v>
      </c>
      <c r="D100" s="14" t="inlineStr">
        <is>
          <t>—</t>
        </is>
      </c>
      <c r="E100" s="15" t="inlineStr">
        <is>
          <t>CALCULADA = (f''c/fy)·6000β1/(fy + 6000).</t>
        </is>
      </c>
      <c r="F100" s="16" t="inlineStr">
        <is>
          <t>NTC-Concreto 2023 (CDMX) ec. 5.2.1.3.1, p. 88</t>
        </is>
      </c>
    </row>
    <row r="101" ht="30" customHeight="1">
      <c r="B101" s="12" t="inlineStr">
        <is>
          <t>p para ε_t = 0.005 (sección controlada por tensión)</t>
        </is>
      </c>
      <c r="C101" s="35">
        <f>0.375*DATOS!$C$22*DATOS!$C$21/DATOS!$C$14</f>
        <v>0.0161272321428571</v>
      </c>
      <c r="D101" s="14" t="inlineStr">
        <is>
          <t>—</t>
        </is>
      </c>
      <c r="E101" s="15" t="inlineStr">
        <is>
          <t>CALCULADA: c ≤ 0.375·d ⇒ p ≤ 0.375·β1·f''c/fy sobre el ancho a compresión.</t>
        </is>
      </c>
      <c r="F101" s="16" t="inlineStr">
        <is>
          <t>NTC-Concreto 2023 (CDMX) Tabla 3.8.2.2, p. 70 · 3.8.2.4, p. 71 · 6.3.3.3.1, p. 121</t>
        </is>
      </c>
    </row>
    <row r="102" ht="30" customHeight="1">
      <c r="B102" s="12" t="inlineStr">
        <is>
          <t>p_max — cuantía máxima</t>
        </is>
      </c>
      <c r="C102" s="39">
        <f>MIN(DATOS!$C$31*DATOS!$C$100,DATOS!$C$101)</f>
        <v>0.0161272321428571</v>
      </c>
      <c r="D102" s="14" t="inlineStr">
        <is>
          <t>—</t>
        </is>
      </c>
      <c r="E102" s="15" t="inlineStr">
        <is>
          <t>CALCULADA = el menor de 0.90·p_b y el de ε_t = 0.005. Vale para nervadas y macizas.</t>
        </is>
      </c>
      <c r="F102" s="16" t="inlineStr">
        <is>
          <t>NTC-Concreto 2023 (CDMX) 6.3.5.2.1, p. 122 · 6.7.3.3.1, p. 169</t>
        </is>
      </c>
    </row>
    <row r="103" ht="30" customHeight="1">
      <c r="B103" s="12" t="inlineStr">
        <is>
          <t>p_min — cuantía mínima por flexión de nervaduras</t>
        </is>
      </c>
      <c r="C103" s="40">
        <f>MAX(0.8*SQRT(DATOS!$C$13),14)/DATOS!$C$14</f>
        <v>0.00333333333333333</v>
      </c>
      <c r="D103" s="14" t="inlineStr">
        <is>
          <t>—</t>
        </is>
      </c>
      <c r="E103" s="15" t="inlineStr">
        <is>
          <t>CALCULADA = el mayor de 0.80·√f'c/fy y 14/fy, sobre b_w·d. Se dispensa si As colocada ≥ 4/3 de la requerida.</t>
        </is>
      </c>
      <c r="F103" s="16" t="inlineStr">
        <is>
          <t>NTC-Concreto 2023 (CDMX) 6.3.5.1.2 y 6.3.5.1.3, p. 122</t>
        </is>
      </c>
    </row>
    <row r="104" ht="43.5" customHeight="1">
      <c r="B104" s="12" t="inlineStr">
        <is>
          <t>α_fm por omisión (rigidez de los apoyos del tablero)</t>
        </is>
      </c>
      <c r="C104" s="18" t="n">
        <v>99</v>
      </c>
      <c r="D104" s="14" t="inlineStr">
        <is>
          <t>—</t>
        </is>
      </c>
      <c r="E104" s="15" t="inlineStr">
        <is>
          <t>CAPTURA. 99 = muros o trabes muy rígidas en los cuatro bordes (α_f → ∞). Con trabes de concreto calcula α_f = I_b/I_s por borde, promedia y ponlo en el tablero.</t>
        </is>
      </c>
      <c r="F104" s="16" t="inlineStr">
        <is>
          <t>NTC-Concreto 2023 (CDMX) Tabla 6.7.3.1.2 nota [1], p. 168</t>
        </is>
      </c>
    </row>
    <row r="105" ht="43.5" customHeight="1">
      <c r="B105" s="12" t="inlineStr">
        <is>
          <t>¿Los bordes discontinuos tienen muro o viga con α_f ≥ 0.8?</t>
        </is>
      </c>
      <c r="C105" s="13" t="inlineStr">
        <is>
          <t>SÍ</t>
        </is>
      </c>
      <c r="D105" s="14" t="inlineStr">
        <is>
          <t>—</t>
        </is>
      </c>
      <c r="E105" s="15" t="inlineStr">
        <is>
          <t>SELECTOR. Si dices NO, el espesor mínimo de la Tabla 6.7.3.1.2 se aumenta 10 % en los tableros con algún borde discontinuo.</t>
        </is>
      </c>
      <c r="F105" s="16" t="inlineStr">
        <is>
          <t>NTC-Concreto 2023 (CDMX) 6.7.3.1.2.1, p. 168</t>
        </is>
      </c>
    </row>
    <row r="106" ht="6" customHeight="1"/>
    <row r="107" ht="21" customHeight="1">
      <c r="B107" s="3" t="inlineStr">
        <is>
          <t>7. CAPA DE COMPRESIÓN Y MALLA (IGUAL PARA TODOS LOS TABLEROS NERVADOS)</t>
        </is>
      </c>
    </row>
    <row r="108" ht="30" customHeight="1">
      <c r="B108" s="11" t="inlineStr">
        <is>
          <t>Concepto</t>
        </is>
      </c>
      <c r="C108" s="11" t="inlineStr">
        <is>
          <t>Valor</t>
        </is>
      </c>
      <c r="D108" s="11" t="inlineStr">
        <is>
          <t>Unidad</t>
        </is>
      </c>
      <c r="E108" s="11" t="inlineStr">
        <is>
          <t>Cómo se calcula / de dónde sale</t>
        </is>
      </c>
      <c r="F108" s="11" t="inlineStr">
        <is>
          <t>Referencia</t>
        </is>
      </c>
    </row>
    <row r="109" ht="19.5" customHeight="1">
      <c r="B109" s="12" t="inlineStr">
        <is>
          <t>As de la malla</t>
        </is>
      </c>
      <c r="C109" s="38">
        <f>INDEX(TABLAS!$D$63:$D$66,MATCH(DATOS!$C$96,TABLAS!$B$63:$B$66,0))</f>
        <v>1.68615297042671</v>
      </c>
      <c r="D109" s="14" t="inlineStr">
        <is>
          <t>cm²/m</t>
        </is>
      </c>
      <c r="E109" s="15" t="inlineStr">
        <is>
          <t>TABLAS sección C.</t>
        </is>
      </c>
      <c r="F109" s="16" t="inlineStr">
        <is>
          <t>TABLAS</t>
        </is>
      </c>
    </row>
    <row r="110" ht="30" customHeight="1">
      <c r="B110" s="12" t="inlineStr">
        <is>
          <t>Temperatura: As mín = 0.0018·t·100</t>
        </is>
      </c>
      <c r="C110" s="38">
        <f>0.0018*DATOS!$C$84*100</f>
        <v>1.08</v>
      </c>
      <c r="D110" s="14" t="inlineStr">
        <is>
          <t>cm²/m</t>
        </is>
      </c>
      <c r="E110" s="15" t="inlineStr">
        <is>
          <t>Ya no depende de fy.</t>
        </is>
      </c>
      <c r="F110" s="16" t="inlineStr">
        <is>
          <t>NTC-Concreto 2023 (CDMX) 13.8.2.1.1, p. 345 · 6.7.8.1.8, p. 188</t>
        </is>
      </c>
    </row>
    <row r="111" ht="30" customHeight="1">
      <c r="B111" s="12" t="inlineStr">
        <is>
          <t>Estado (temperatura)</t>
        </is>
      </c>
      <c r="C111" s="34" t="str">
        <f>IF(DATOS!$C$109&gt;=DATOS!$C$110,"CUMPLE","NO CUMPLE")</f>
        <v>CUMPLE</v>
      </c>
      <c r="D111" s="14" t="inlineStr">
        <is>
          <t>—</t>
        </is>
      </c>
      <c r="E111" s="15" t="inlineStr">
        <is>
          <t>—</t>
        </is>
      </c>
      <c r="F111" s="16" t="inlineStr">
        <is>
          <t>—</t>
        </is>
      </c>
    </row>
    <row r="112" ht="30" customHeight="1">
      <c r="B112" s="12" t="inlineStr">
        <is>
          <t>Diafragma: cuantía mínima por cortante = 0.0025·t·100</t>
        </is>
      </c>
      <c r="C112" s="38">
        <f>0.0025*DATOS!$C$84*100</f>
        <v>1.5</v>
      </c>
      <c r="D112" s="14" t="inlineStr">
        <is>
          <t>cm²/m</t>
        </is>
      </c>
      <c r="E112" s="15" t="inlineStr">
        <is>
          <t>Sólo cuenta el acero de la capa.</t>
        </is>
      </c>
      <c r="F112" s="16" t="inlineStr">
        <is>
          <t>NTC-Concreto 2023 (CDMX) 6.8.6.4 y 6.8.6.3, p. 196</t>
        </is>
      </c>
    </row>
    <row r="113" ht="30" customHeight="1">
      <c r="B113" s="12" t="inlineStr">
        <is>
          <t>Estado (diafragma)</t>
        </is>
      </c>
      <c r="C113" s="34" t="str">
        <f>IF(DATOS!$C$109&gt;=DATOS!$C$112-0.0005,"CUMPLE","NO CUMPLE: "&amp;TEXT(DATOS!$C$109/DATOS!$C$112,"0%")&amp;" — sube la malla o la capa")</f>
        <v>CUMPLE</v>
      </c>
      <c r="D113" s="14" t="inlineStr">
        <is>
          <t>—</t>
        </is>
      </c>
      <c r="E113" s="15" t="inlineStr">
        <is>
          <t>—</t>
        </is>
      </c>
      <c r="F113" s="16" t="inlineStr">
        <is>
          <t>—</t>
        </is>
      </c>
    </row>
    <row r="114" ht="30" customHeight="1">
      <c r="B114" s="12" t="inlineStr">
        <is>
          <t>Recubrimiento de la malla centrada en la capa (¿cabe?)</t>
        </is>
      </c>
      <c r="C114" s="23">
        <f>(DATOS!$C$84-2*DATOS!$C$97)/2</f>
        <v>2.428</v>
      </c>
      <c r="D114" s="14" t="inlineStr">
        <is>
          <t>cm</t>
        </is>
      </c>
      <c r="E114" s="15" t="inlineStr">
        <is>
          <t>(t − 2Ø)/2 ≥ r (≥ r_ext donde la cara superior queda expuesta).</t>
        </is>
      </c>
      <c r="F114" s="16" t="inlineStr">
        <is>
          <t>NTC-Concreto 2023 (CDMX) Tabla 4.14.16.a, p. 85 · 4.3.2, p. 76</t>
        </is>
      </c>
    </row>
    <row r="115" ht="30" customHeight="1">
      <c r="B115" s="12" t="inlineStr">
        <is>
          <t>Estado (cabe con su recubrimiento)</t>
        </is>
      </c>
      <c r="C115" s="34" t="str">
        <f>IF(DATOS!$C$114&gt;=IF(OR(DATOS!$C$66="SÍ",DATOS!$C$67="SÍ"),DATOS!$C$64,DATOS!$C$62)-0.005,"CUMPLE",IF(DATOS!$C$114&gt;=DATOS!$C$62-0.005,"NO CUMPLE en zonas expuestas: protegerlas o engrosar ahí la capa","NO CUMPLE: no cabe"))</f>
        <v>CUMPLE</v>
      </c>
      <c r="D115" s="14" t="inlineStr">
        <is>
          <t>—</t>
        </is>
      </c>
      <c r="E115" s="15" t="inlineStr">
        <is>
          <t>—</t>
        </is>
      </c>
      <c r="F115" s="16" t="inlineStr">
        <is>
          <t>—</t>
        </is>
      </c>
    </row>
    <row r="116" ht="30" customHeight="1">
      <c r="B116" s="12" t="inlineStr">
        <is>
          <t>Separación de la malla (15.24 cm) ≤ máx. permitida</t>
        </is>
      </c>
      <c r="C116" s="31" t="str">
        <f>IF(15.24&lt;=MIN(5*DATOS!$C$84,45,30),"CUMPLE","NO CUMPLE")</f>
        <v>CUMPLE</v>
      </c>
      <c r="D116" s="14" t="inlineStr">
        <is>
          <t>—</t>
        </is>
      </c>
      <c r="E116" s="15" t="inlineStr">
        <is>
          <t>El menor de 5t, 45 cm y 30 cm entre alambres soldados.</t>
        </is>
      </c>
      <c r="F116" s="16" t="inlineStr">
        <is>
          <t>NTC-Concreto 2023 (CDMX) 6.8.7.3, p. 196 · 2.4.2.1.6.3, p. 44</t>
        </is>
      </c>
    </row>
    <row r="117" ht="30" customHeight="1">
      <c r="B117" s="12" t="inlineStr">
        <is>
          <t>Espesor de piso y rellenos que reparten la carga concentrada</t>
        </is>
      </c>
      <c r="C117" s="30" t="n">
        <v>0</v>
      </c>
      <c r="D117" s="14" t="inlineStr">
        <is>
          <t>cm</t>
        </is>
      </c>
      <c r="E117" s="15" t="inlineStr">
        <is>
          <t>CAPTURA. 0 = la carga actúa directo sobre la capa (lo más estricto).</t>
        </is>
      </c>
      <c r="F117" s="16" t="inlineStr">
        <is>
          <t>Criterio de esta hoja</t>
        </is>
      </c>
    </row>
    <row r="118" ht="30" customHeight="1">
      <c r="B118" s="12" t="inlineStr">
        <is>
          <t>Carga concentrada en la capa entre nervaduras (10 × 10 cm)</t>
        </is>
      </c>
      <c r="C118" s="17" t="n">
        <v>1000</v>
      </c>
      <c r="D118" s="14" t="inlineStr">
        <is>
          <t>kg</t>
        </is>
      </c>
      <c r="E118" s="15" t="inlineStr">
        <is>
          <t>CAPTURA. Mínimo de la norma en la posición más desfavorable.</t>
        </is>
      </c>
      <c r="F118" s="16" t="inlineStr">
        <is>
          <t>NTC-Concreto 2023 (CDMX) 6.7.8.1.6, p. 187</t>
        </is>
      </c>
    </row>
    <row r="119" ht="19.5" customHeight="1">
      <c r="B119" s="12" t="inlineStr">
        <is>
          <t>P_u = FC_CV × P</t>
        </is>
      </c>
      <c r="C119" s="41">
        <f>DATOS!$C$27*DATOS!$C$118</f>
        <v>1500</v>
      </c>
      <c r="D119" s="14" t="inlineStr">
        <is>
          <t>kg</t>
        </is>
      </c>
      <c r="E119" s="15" t="inlineStr">
        <is>
          <t>CALCULADA.</t>
        </is>
      </c>
      <c r="F119" s="16" t="inlineStr">
        <is>
          <t>NTC-Criterios y Acciones 2023 (CDMX) 3.4.1 a), p. 7</t>
        </is>
      </c>
    </row>
    <row r="120" ht="19.5" customHeight="1">
      <c r="B120" s="12" t="inlineStr">
        <is>
          <t>d de la capa (malla al centro)</t>
        </is>
      </c>
      <c r="C120" s="23">
        <f>DATOS!$C$84/2</f>
        <v>3</v>
      </c>
      <c r="D120" s="14" t="inlineStr">
        <is>
          <t>cm</t>
        </is>
      </c>
      <c r="E120" s="15" t="inlineStr">
        <is>
          <t>—</t>
        </is>
      </c>
      <c r="F120" s="16" t="inlineStr">
        <is>
          <t>Geometría</t>
        </is>
      </c>
    </row>
    <row r="121" ht="19.5" customHeight="1">
      <c r="B121" s="12" t="inlineStr">
        <is>
          <t>b₀ — perímetro crítico a d/2</t>
        </is>
      </c>
      <c r="C121" s="22">
        <f>4*(10+2*DATOS!$C$117+DATOS!$C$120)</f>
        <v>52</v>
      </c>
      <c r="D121" s="14" t="inlineStr">
        <is>
          <t>cm</t>
        </is>
      </c>
      <c r="E121" s="15" t="inlineStr">
        <is>
          <t>4·(c + d).</t>
        </is>
      </c>
      <c r="F121" s="16" t="inlineStr">
        <is>
          <t>NTC-Concreto 2023 (CDMX) 5.6, p. 99–100</t>
        </is>
      </c>
    </row>
    <row r="122" ht="30" customHeight="1">
      <c r="B122" s="12" t="inlineStr">
        <is>
          <t>V_cR punzonamiento de la capa</t>
        </is>
      </c>
      <c r="C122" s="41">
        <f>DATOS!$C$30*MIN(1,0.27*(2+40*DATOS!$C$120/DATOS!$C$121))*MIN(1,SQRT(2/(1+0.04*DATOS!$C$120)))*SQRT(DATOS!$C$13)*DATOS!$C$121*DATOS!$C$120</f>
        <v>1849.9324311985</v>
      </c>
      <c r="D122" s="14" t="inlineStr">
        <is>
          <t>kg</t>
        </is>
      </c>
      <c r="E122" s="15" t="inlineStr">
        <is>
          <t>F_R·(el menor de 1.0, 0.5(1 + 2/β) y 0.27(2 + α_s·d/b₀))·λs·√f'c·b₀·d, β = 1, α_s = 40.</t>
        </is>
      </c>
      <c r="F122" s="16" t="inlineStr">
        <is>
          <t>NTC-Concreto 2023 (CDMX) Tabla 5.6.2.1.1, p. 100</t>
        </is>
      </c>
    </row>
    <row r="123" ht="30" customHeight="1">
      <c r="B123" s="12" t="inlineStr">
        <is>
          <t>Estado (punzonamiento con 1 000 kg)</t>
        </is>
      </c>
      <c r="C123" s="34" t="str">
        <f>IF(DATOS!$C$119&lt;=DATOS!$C$122,"CUMPLE","NO CUMPLE: P_u/V_cR = "&amp;TEXT(DATOS!$C$119/DATOS!$C$122,"0.00"))</f>
        <v>CUMPLE</v>
      </c>
      <c r="D123" s="14" t="inlineStr">
        <is>
          <t>—</t>
        </is>
      </c>
      <c r="E123" s="15" t="inlineStr">
        <is>
          <t>—</t>
        </is>
      </c>
      <c r="F123" s="16" t="inlineStr">
        <is>
          <t>—</t>
        </is>
      </c>
    </row>
    <row r="124" ht="19.5" customHeight="1">
      <c r="B124" s="12" t="inlineStr">
        <is>
          <t>v_uv — esfuerzo cortante en la sección crítica</t>
        </is>
      </c>
      <c r="C124" s="23">
        <f>DATOS!$C$119/(DATOS!$C$121*DATOS!$C$120)</f>
        <v>9.61538461538462</v>
      </c>
      <c r="D124" s="14" t="inlineStr">
        <is>
          <t>kg/cm²</t>
        </is>
      </c>
      <c r="E124" s="15" t="inlineStr">
        <is>
          <t>P_u/(b₀·d).</t>
        </is>
      </c>
      <c r="F124" s="16" t="inlineStr">
        <is>
          <t>NTC-Concreto 2023 (CDMX) 6.7.6.1.2, p. 175</t>
        </is>
      </c>
    </row>
    <row r="125" ht="30" customHeight="1">
      <c r="B125" s="12" t="inlineStr">
        <is>
          <t>Límite 0.5·F_R·λs·√f'c</t>
        </is>
      </c>
      <c r="C125" s="23">
        <f>0.5*DATOS!$C$30*MIN(1,SQRT(2/(1+0.04*DATOS!$C$120)))*SQRT(DATOS!$C$13)</f>
        <v>5.92927061281571</v>
      </c>
      <c r="D125" s="14" t="inlineStr">
        <is>
          <t>kg/cm²</t>
        </is>
      </c>
      <c r="E125" s="15" t="inlineStr">
        <is>
          <t>Si v_uv lo rebasa se pide acero mínimo alrededor de la carga.</t>
        </is>
      </c>
      <c r="F125" s="16" t="inlineStr">
        <is>
          <t>NTC-Concreto 2023 (CDMX) 6.7.6.1.2, p. 175</t>
        </is>
      </c>
    </row>
    <row r="126" ht="19.5" customHeight="1">
      <c r="B126" s="12" t="inlineStr">
        <is>
          <t>b_losa — ancho donde va ese acero</t>
        </is>
      </c>
      <c r="C126" s="22">
        <f>10+2*DATOS!$C$117+2*1.5*DATOS!$C$84</f>
        <v>28</v>
      </c>
      <c r="D126" s="14" t="inlineStr">
        <is>
          <t>cm</t>
        </is>
      </c>
      <c r="E126" s="15" t="inlineStr">
        <is>
          <t>Ancho cargado + 1.5h a cada lado.</t>
        </is>
      </c>
      <c r="F126" s="16" t="inlineStr">
        <is>
          <t>NTC-Concreto 2023 (CDMX) Tabla 6.7.4.2.2.3, p. 171</t>
        </is>
      </c>
    </row>
    <row r="127" ht="30" customHeight="1">
      <c r="B127" s="12" t="inlineStr">
        <is>
          <t>As,mín alrededor de la carga = 5·v_uv·b_losa·b₀/(F_R·α_s·fy)</t>
        </is>
      </c>
      <c r="C127" s="38">
        <f>IF(DATOS!$C$124&gt;DATOS!$C$125,5*DATOS!$C$124*DATOS!$C$126*DATOS!$C$121/(DATOS!$C$30*40*DATOS!$C$15),0)</f>
        <v>0.466666666666667</v>
      </c>
      <c r="D127" s="14" t="inlineStr">
        <is>
          <t>cm²</t>
        </is>
      </c>
      <c r="E127" s="15" t="inlineStr">
        <is>
          <t>α_s = 40; fy de la malla.</t>
        </is>
      </c>
      <c r="F127" s="16" t="inlineStr">
        <is>
          <t>NTC-Concreto 2023 (CDMX) ec. 6.7.6.1.2, p. 175</t>
        </is>
      </c>
    </row>
    <row r="128" ht="30" customHeight="1">
      <c r="B128" s="12" t="inlineStr">
        <is>
          <t>Estado (acero alrededor de la carga)</t>
        </is>
      </c>
      <c r="C128" s="34" t="str">
        <f>IF(DATOS!$C$109/100*DATOS!$C$126&gt;=DATOS!$C$127-0.0005,"CUMPLE","NO CUMPLE: la malla da "&amp;TEXT(DATOS!$C$109/100*DATOS!$C$126,"0.00")&amp;" de "&amp;TEXT(DATOS!$C$127,"0.00")&amp;" cm²")</f>
        <v>CUMPLE</v>
      </c>
      <c r="D128" s="14" t="inlineStr">
        <is>
          <t>—</t>
        </is>
      </c>
      <c r="E128" s="15" t="inlineStr">
        <is>
          <t>—</t>
        </is>
      </c>
      <c r="F128" s="16" t="inlineStr">
        <is>
          <t>—</t>
        </is>
      </c>
    </row>
    <row r="129" ht="19.5" customHeight="1">
      <c r="B129" s="12" t="inlineStr">
        <is>
          <t>m_R de la capa por unidad de ancho</t>
        </is>
      </c>
      <c r="C129" s="22">
        <f>DATOS!$C$29*DATOS!$C$109/100*DATOS!$C$15*(DATOS!$C$120-DATOS!$C$109/100*DATOS!$C$15/DATOS!$C$21/2)</f>
        <v>212.5788824446</v>
      </c>
      <c r="D129" s="14" t="inlineStr">
        <is>
          <t>kg·cm/cm</t>
        </is>
      </c>
      <c r="E129" s="15" t="inlineStr">
        <is>
          <t>F_R·As·fy·(d − a/2) por cm.</t>
        </is>
      </c>
      <c r="F129" s="16" t="inlineStr">
        <is>
          <t>NTC-Concreto 2023 (CDMX) ec. 5.2.2.1.1.1.b, p. 89</t>
        </is>
      </c>
    </row>
    <row r="130" ht="30" customHeight="1">
      <c r="B130" s="12" t="inlineStr">
        <is>
          <t>m requerido = P_u/(4π) (abanico de líneas de fluencia)</t>
        </is>
      </c>
      <c r="C130" s="22">
        <f>DATOS!$C$119/(4*PI())</f>
        <v>119.366207318922</v>
      </c>
      <c r="D130" s="14" t="inlineStr">
        <is>
          <t>kg·cm/cm</t>
        </is>
      </c>
      <c r="E130" s="15" t="inlineStr">
        <is>
          <t>Malla al centro: m = m′. Ignorar el área cargada queda del lado seguro.</t>
        </is>
      </c>
      <c r="F130" s="16" t="inlineStr">
        <is>
          <t>Criterio de esta hoja · NTC-Concreto 2023 (CDMX) 3.4.1.1, p. 64</t>
        </is>
      </c>
    </row>
    <row r="131" ht="30" customHeight="1">
      <c r="B131" s="12" t="inlineStr">
        <is>
          <t>Estado (flexión de la capa)</t>
        </is>
      </c>
      <c r="C131" s="34" t="str">
        <f>IF(DATOS!$C$130&lt;=DATOS!$C$129,"CUMPLE","NO CUMPLE")</f>
        <v>CUMPLE</v>
      </c>
      <c r="D131" s="14" t="inlineStr">
        <is>
          <t>—</t>
        </is>
      </c>
      <c r="E131" s="15" t="inlineStr">
        <is>
          <t>—</t>
        </is>
      </c>
      <c r="F131" s="16" t="inlineStr">
        <is>
          <t>—</t>
        </is>
      </c>
    </row>
    <row r="132" ht="30" customHeight="1">
      <c r="B132" s="12" t="inlineStr">
        <is>
          <t>RESUMEN DE LA CAPA</t>
        </is>
      </c>
      <c r="C132" s="34" t="str">
        <f>IF(AND(LEFT(DATOS!$C$111,6)="CUMPLE",LEFT(DATOS!$C$113,6)="CUMPLE",LEFT(DATOS!$C$115,6)="CUMPLE",LEFT(DATOS!$C$116,6)="CUMPLE",LEFT(DATOS!$C$123,6)="CUMPLE",LEFT(DATOS!$C$128,6)="CUMPLE",LEFT(DATOS!$C$131,6)="CUMPLE"),"CUMPLE","REVISAR: capa o malla (ver renglones de arriba)")</f>
        <v>CUMPLE</v>
      </c>
      <c r="D132" s="14" t="inlineStr">
        <is>
          <t>—</t>
        </is>
      </c>
      <c r="E132" s="15" t="inlineStr">
        <is>
          <t>Si no cumple: capa de 6 cm o malla más gruesa (y que quepa).</t>
        </is>
      </c>
      <c r="F132" s="16" t="inlineStr">
        <is>
          <t>—</t>
        </is>
      </c>
    </row>
    <row r="133" ht="6" customHeight="1"/>
    <row r="134" ht="21" customHeight="1">
      <c r="B134" s="3" t="inlineStr">
        <is>
          <t>8. LOSA MACIZA — VALORES POR OMISIÓN</t>
        </is>
      </c>
    </row>
    <row r="135" ht="42" customHeight="1">
      <c r="B135" s="24" t="inlineStr">
        <is>
          <t>MACIZAS usa estos valores cuando el renglón deja vacía la celda correspondiente. La separación máxima es CRITERIO DE ESTA HOJA y está para que la ajustes: la hoja no pudo cotejar el numeral de separación máxima de refuerzo en losas de la NTC 2023; los valores son los del ACI 318-19, del que deriva.</t>
        </is>
      </c>
      <c r="C135" s="25" t="n"/>
      <c r="D135" s="25" t="n"/>
      <c r="E135" s="25" t="n"/>
      <c r="F135" s="25" t="n"/>
    </row>
    <row r="136" ht="30" customHeight="1">
      <c r="B136" s="11" t="inlineStr">
        <is>
          <t>Concepto</t>
        </is>
      </c>
      <c r="C136" s="11" t="inlineStr">
        <is>
          <t>Valor</t>
        </is>
      </c>
      <c r="D136" s="11" t="inlineStr">
        <is>
          <t>Unidad</t>
        </is>
      </c>
      <c r="E136" s="11" t="inlineStr">
        <is>
          <t>Cómo se calcula / de dónde sale</t>
        </is>
      </c>
      <c r="F136" s="11" t="inlineStr">
        <is>
          <t>Referencia</t>
        </is>
      </c>
    </row>
    <row r="137" ht="19.5" customHeight="1">
      <c r="B137" s="12" t="inlineStr">
        <is>
          <t>h — espesor de la losa maciza por omisión</t>
        </is>
      </c>
      <c r="C137" s="17" t="n">
        <v>12</v>
      </c>
      <c r="D137" s="14" t="inlineStr">
        <is>
          <t>cm</t>
        </is>
      </c>
      <c r="E137" s="15" t="inlineStr">
        <is>
          <t>CAPTURA. Cada tablero puede llevar su propio h.</t>
        </is>
      </c>
      <c r="F137" s="16" t="inlineStr">
        <is>
          <t>Dato del proyecto</t>
        </is>
      </c>
    </row>
    <row r="138" ht="30" customHeight="1">
      <c r="B138" s="12" t="inlineStr">
        <is>
          <t>No. de varilla preferida en losa maciza</t>
        </is>
      </c>
      <c r="C138" s="32" t="n">
        <v>3</v>
      </c>
      <c r="D138" s="14" t="inlineStr">
        <is>
          <t>—</t>
        </is>
      </c>
      <c r="E138" s="15" t="inlineStr">
        <is>
          <t>CAPTURA. Si con la separación mínima no alcanza, la hoja sube de número.</t>
        </is>
      </c>
      <c r="F138" s="16" t="inlineStr">
        <is>
          <t>Dato del proyecto</t>
        </is>
      </c>
    </row>
    <row r="139" ht="30" customHeight="1">
      <c r="B139" s="12" t="inlineStr">
        <is>
          <t>Cuantía de As mínima por lecho (temperatura y losa)</t>
        </is>
      </c>
      <c r="C139" s="42" t="n">
        <v>0.0018</v>
      </c>
      <c r="D139" s="14" t="inlineStr">
        <is>
          <t>—</t>
        </is>
      </c>
      <c r="E139" s="15" t="inlineStr">
        <is>
          <t>CAPTURA. As mín = 0.0018·b·h en cada lecho y dirección (del lado seguro: la norma la pide sobre el área total).</t>
        </is>
      </c>
      <c r="F139" s="16" t="inlineStr">
        <is>
          <t>NTC-Concreto 2023 (CDMX) 6.7.6.1.1, p. 175 · 13.8.2.1.1, p. 345</t>
        </is>
      </c>
    </row>
    <row r="140" ht="30" customHeight="1">
      <c r="B140" s="12" t="inlineStr">
        <is>
          <t>Separación máxima — tableros perimetrales: múltiplo de h</t>
        </is>
      </c>
      <c r="C140" s="30" t="n">
        <v>2</v>
      </c>
      <c r="D140" s="14" t="inlineStr">
        <is>
          <t>× h</t>
        </is>
      </c>
      <c r="E140" s="15" t="inlineStr">
        <is>
          <t>CAPTURA. Secciones críticas de losas en dos direcciones: 2h.</t>
        </is>
      </c>
      <c r="F140" s="16" t="inlineStr">
        <is>
          <t>Criterio de esta hoja = ACI 318-19 8.7.2.2 · confirmar con la NTC-Concreto 2023</t>
        </is>
      </c>
    </row>
    <row r="141" ht="30" customHeight="1">
      <c r="B141" s="12" t="inlineStr">
        <is>
          <t>Separación máxima — volados: múltiplo de h</t>
        </is>
      </c>
      <c r="C141" s="30" t="n">
        <v>3</v>
      </c>
      <c r="D141" s="14" t="inlineStr">
        <is>
          <t>× h</t>
        </is>
      </c>
      <c r="E141" s="15" t="inlineStr">
        <is>
          <t>CAPTURA. Losas en una dirección: 3h.</t>
        </is>
      </c>
      <c r="F141" s="16" t="inlineStr">
        <is>
          <t>Criterio de esta hoja = ACI 318-19 7.7.2.3 · confirmar con la NTC-Concreto 2023</t>
        </is>
      </c>
    </row>
    <row r="142" ht="30" customHeight="1">
      <c r="B142" s="12" t="inlineStr">
        <is>
          <t>Separación máxima absoluta</t>
        </is>
      </c>
      <c r="C142" s="17" t="n">
        <v>45</v>
      </c>
      <c r="D142" s="14" t="inlineStr">
        <is>
          <t>cm</t>
        </is>
      </c>
      <c r="E142" s="15" t="inlineStr">
        <is>
          <t>CAPTURA.</t>
        </is>
      </c>
      <c r="F142" s="16" t="inlineStr">
        <is>
          <t>Criterio de esta hoja = ACI 318-19 7.7.2.3 y 8.7.2.2 (450 mm)</t>
        </is>
      </c>
    </row>
    <row r="143" ht="19.5" customHeight="1">
      <c r="B143" s="12" t="inlineStr">
        <is>
          <t>Separación mínima práctica</t>
        </is>
      </c>
      <c r="C143" s="17" t="n">
        <v>10</v>
      </c>
      <c r="D143" s="14" t="inlineStr">
        <is>
          <t>cm</t>
        </is>
      </c>
      <c r="E143" s="15" t="inlineStr">
        <is>
          <t>CAPTURA. Debajo de esto la hoja sube de número de varilla.</t>
        </is>
      </c>
      <c r="F143" s="16" t="inlineStr">
        <is>
          <t>Criterio de esta hoja (práctica de obra)</t>
        </is>
      </c>
    </row>
    <row r="144" ht="30" customHeight="1">
      <c r="B144" s="12" t="inlineStr">
        <is>
          <t>Redondeo de la separación</t>
        </is>
      </c>
      <c r="C144" s="30" t="n">
        <v>2.5</v>
      </c>
      <c r="D144" s="14" t="inlineStr">
        <is>
          <t>cm</t>
        </is>
      </c>
      <c r="E144" s="15" t="inlineStr">
        <is>
          <t>CAPTURA. La separación se redondea hacia abajo a múltiplos de este valor.</t>
        </is>
      </c>
      <c r="F144" s="16" t="inlineStr">
        <is>
          <t>Criterio de esta hoja (práctica de obra)</t>
        </is>
      </c>
    </row>
    <row r="145" ht="43.5" customHeight="1">
      <c r="B145" s="12" t="inlineStr">
        <is>
          <t>h mínimo de volados macizos = L / …</t>
        </is>
      </c>
      <c r="C145" s="17" t="n">
        <v>10</v>
      </c>
      <c r="D145" s="14" t="inlineStr">
        <is>
          <t>—</t>
        </is>
      </c>
      <c r="E145" s="15" t="inlineStr">
        <is>
          <t>CAPTURA. Losa en voladizo sin elementos frágiles: L/10 (L = longitud del volado a ejes). Si carga pretil o muro frágil, calcula la flecha.</t>
        </is>
      </c>
      <c r="F145" s="16" t="inlineStr">
        <is>
          <t>Criterio de esta hoja = ACI 318-19 Tabla 7.3.1.1 · confirmar con la NTC-Concreto 2023</t>
        </is>
      </c>
    </row>
    <row r="146" ht="6" customHeight="1"/>
  </sheetData>
  <mergeCells count="15">
    <mergeCell ref="B4:F4"/>
    <mergeCell ref="B44:F44"/>
    <mergeCell ref="B43:F43"/>
    <mergeCell ref="B6:F6"/>
    <mergeCell ref="B24:F24"/>
    <mergeCell ref="B2:F2"/>
    <mergeCell ref="B78:F78"/>
    <mergeCell ref="B11:F11"/>
    <mergeCell ref="B134:F134"/>
    <mergeCell ref="B60:F60"/>
    <mergeCell ref="B107:F107"/>
    <mergeCell ref="B79:F79"/>
    <mergeCell ref="B1:F1"/>
    <mergeCell ref="B135:F135"/>
    <mergeCell ref="B35:F35"/>
  </mergeCells>
  <conditionalFormatting sqref="C1:F147">
    <cfRule type="expression" priority="1" dxfId="0" stopIfTrue="1">
      <formula>OR(ISNUMBER(FIND("NO CUMPLE",C1)),ISNUMBER(FIND("REVISAR",C1)),ISNUMBER(FIND("NO CABE",C1)),ISNUMBER(FIND("FUERA",C1)),ISNUMBER(FIND("FALTA",C1)),ISNUMBER(FIND("INSUFICIENTE",C1)),ISNUMBER(FIND("PENDIENTE",C1)))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OR(ISNUMBER(FIND("MACIZAR",C1)),ISNUMBER(FIND("CALCULAR",C1)),ISNUMBER(FIND("PROPUESTO",C1)),ISNUMBER(FIND("VER ",C1)))</formula>
    </cfRule>
  </conditionalFormatting>
  <dataValidations count="7">
    <dataValidation sqref="D46:D58" showDropDown="0" showInputMessage="0" showErrorMessage="1" allowBlank="1" errorTitle="Valor no válido" error="Escoge un valor de la lista" type="list">
      <formula1>LST_SINO</formula1>
    </dataValidation>
    <dataValidation sqref="C18" showDropDown="0" showInputMessage="0" showErrorMessage="1" allowBlank="1" errorTitle="Valor no válido" error="Escoge un valor de la lista" type="list">
      <formula1>LST_AGR</formula1>
    </dataValidation>
    <dataValidation sqref="C65" showDropDown="0" showInputMessage="0" showErrorMessage="1" allowBlank="1" errorTitle="Valor no válido" error="Escoge un valor de la lista" type="list">
      <formula1>LST_SINO</formula1>
    </dataValidation>
    <dataValidation sqref="C66" showDropDown="0" showInputMessage="0" showErrorMessage="1" allowBlank="1" errorTitle="Valor no válido" error="Escoge un valor de la lista" type="list">
      <formula1>LST_SINO</formula1>
    </dataValidation>
    <dataValidation sqref="C67" showDropDown="0" showInputMessage="0" showErrorMessage="1" allowBlank="1" errorTitle="Valor no válido" error="Escoge un valor de la lista" type="list">
      <formula1>LST_SINO</formula1>
    </dataValidation>
    <dataValidation sqref="C105" showDropDown="0" showInputMessage="0" showErrorMessage="1" allowBlank="1" errorTitle="Valor no válido" error="Escoge un valor de la lista" type="list">
      <formula1>LST_SINO</formula1>
    </dataValidation>
    <dataValidation sqref="C96" showDropDown="0" showInputMessage="0" showErrorMessage="1" allowBlank="1" errorTitle="Valor no válido" error="Escoge un valor de la lista" type="list">
      <formula1>LST_MALLA</formula1>
    </dataValidation>
  </dataValidations>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C48"/>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3.2" customWidth="1" min="1" max="1"/>
    <col width="22" customWidth="1" min="2" max="2"/>
    <col width="11.5" customWidth="1" min="3" max="3"/>
    <col width="19" customWidth="1" min="4" max="4"/>
    <col width="7.5" customWidth="1" min="5" max="5"/>
    <col width="7.5" customWidth="1" min="6" max="6"/>
    <col width="11" customWidth="1" min="7" max="7"/>
    <col width="11" customWidth="1" min="8" max="8"/>
    <col width="11" customWidth="1" min="9" max="9"/>
    <col width="11" customWidth="1" min="10" max="10"/>
    <col width="12" customWidth="1" min="11" max="11"/>
    <col width="13" customWidth="1" min="12" max="12"/>
    <col width="7.5" customWidth="1" min="13" max="13"/>
    <col width="7.5" customWidth="1" min="14" max="14"/>
    <col width="8" customWidth="1" min="15" max="15"/>
    <col width="8" customWidth="1" min="16" max="16"/>
    <col width="8" customWidth="1" min="17" max="17"/>
    <col width="7" customWidth="1" min="18" max="18"/>
    <col width="7" customWidth="1" min="19" max="19"/>
    <col width="8.5" customWidth="1" min="20" max="20"/>
    <col width="8.5" customWidth="1" min="21" max="21"/>
    <col width="7.5" customWidth="1" min="22" max="22"/>
    <col width="10" customWidth="1" min="23" max="23"/>
    <col width="5.5" customWidth="1" min="24" max="24"/>
    <col width="7" customWidth="1" min="25" max="25"/>
    <col width="7" customWidth="1" min="26" max="26"/>
    <col width="6.5" customWidth="1" min="27" max="27"/>
    <col width="6.5" customWidth="1" min="28" max="28"/>
    <col width="6.5" customWidth="1" min="29" max="29"/>
    <col width="6" customWidth="1" min="30" max="30"/>
    <col width="7" customWidth="1" min="31" max="31"/>
    <col width="7" customWidth="1" min="32" max="32"/>
    <col width="7" customWidth="1" min="33" max="33"/>
    <col width="7" customWidth="1" min="34" max="34"/>
    <col width="7" customWidth="1" min="35" max="35"/>
    <col width="7" customWidth="1" min="36" max="36"/>
    <col width="6" customWidth="1" min="37" max="37"/>
    <col width="6" customWidth="1" min="38" max="38"/>
    <col width="6.5" customWidth="1" min="39" max="39"/>
    <col width="6.5" customWidth="1" min="40" max="40"/>
    <col width="6.5" customWidth="1" min="41" max="41"/>
    <col width="7" customWidth="1" min="42" max="42"/>
    <col width="6.5" customWidth="1" min="43" max="43"/>
    <col width="7" customWidth="1" min="44" max="44"/>
    <col width="6.5" customWidth="1" min="45" max="45"/>
    <col width="6" customWidth="1" min="46" max="46"/>
    <col width="14" customWidth="1" min="47" max="47"/>
    <col width="14" customWidth="1" min="48" max="48"/>
    <col width="5" customWidth="1" min="49" max="49"/>
    <col width="5.5" customWidth="1" min="50" max="50"/>
    <col width="7" customWidth="1" min="51" max="51"/>
    <col width="7" customWidth="1" min="52" max="52"/>
    <col width="7" customWidth="1" min="53" max="53"/>
    <col width="7" customWidth="1" min="54" max="54"/>
    <col width="7" customWidth="1" min="55" max="55"/>
    <col width="7" customWidth="1" min="56" max="56"/>
    <col width="7.5" customWidth="1" min="57" max="57"/>
    <col width="7.5" customWidth="1" min="58" max="58"/>
    <col width="7" customWidth="1" min="59" max="59"/>
    <col width="7" customWidth="1" min="60" max="60"/>
    <col width="7" customWidth="1" min="61" max="61"/>
    <col width="7" customWidth="1" min="62" max="62"/>
    <col width="15" customWidth="1" min="63" max="63"/>
    <col width="7" customWidth="1" min="64" max="64"/>
    <col width="6.5" customWidth="1" min="65" max="65"/>
    <col width="5.5" customWidth="1" min="66" max="66"/>
    <col width="5" customWidth="1" min="67" max="67"/>
    <col width="6" customWidth="1" min="68" max="68"/>
    <col width="6.5" customWidth="1" min="69" max="69"/>
    <col width="6.5" customWidth="1" min="70" max="70"/>
    <col width="6.5" customWidth="1" min="71" max="71"/>
    <col width="7" customWidth="1" min="72" max="72"/>
    <col width="6.5" customWidth="1" min="73" max="73"/>
    <col width="5.5" customWidth="1" min="74" max="74"/>
    <col width="5" customWidth="1" min="75" max="75"/>
    <col width="6" customWidth="1" min="76" max="76"/>
    <col width="6.5" customWidth="1" min="77" max="77"/>
    <col width="6.5" customWidth="1" min="78" max="78"/>
    <col width="6.5" customWidth="1" min="79" max="79"/>
    <col width="7" customWidth="1" min="80" max="80"/>
    <col width="6.5" customWidth="1" min="81" max="81"/>
    <col width="5.5" customWidth="1" min="82" max="82"/>
    <col width="5" customWidth="1" min="83" max="83"/>
    <col width="6" customWidth="1" min="84" max="84"/>
    <col width="6.5" customWidth="1" min="85" max="85"/>
    <col width="6.5" customWidth="1" min="86" max="86"/>
    <col width="6.5" customWidth="1" min="87" max="87"/>
    <col width="7" customWidth="1" min="88" max="88"/>
    <col width="6.5" customWidth="1" min="89" max="89"/>
    <col width="5.5" customWidth="1" min="90" max="90"/>
    <col width="5" customWidth="1" min="91" max="91"/>
    <col width="6" customWidth="1" min="92" max="92"/>
    <col width="6.5" customWidth="1" min="93" max="93"/>
    <col width="6.5" customWidth="1" min="94" max="94"/>
    <col width="6.5" customWidth="1" min="95" max="95"/>
    <col width="7" customWidth="1" min="96" max="96"/>
    <col width="7" customWidth="1" min="97" max="97"/>
    <col width="6.5" customWidth="1" min="98" max="98"/>
    <col width="17" customWidth="1" min="99" max="99"/>
    <col width="6" customWidth="1" min="100" max="100"/>
    <col width="8" customWidth="1" min="101" max="101"/>
    <col width="6.5" customWidth="1" min="102" max="102"/>
    <col width="6" customWidth="1" min="103" max="103"/>
    <col width="8.5" customWidth="1" min="104" max="104"/>
    <col width="13" customWidth="1" min="105" max="105"/>
    <col width="10" customWidth="1" min="106" max="106"/>
    <col width="8" customWidth="1" min="107" max="107"/>
    <col width="8" customWidth="1" min="108" max="108"/>
    <col width="8" customWidth="1" min="109" max="109"/>
    <col width="8" customWidth="1" min="110" max="110"/>
    <col width="16" customWidth="1" min="111" max="111"/>
    <col width="6.5" customWidth="1" min="112" max="112"/>
    <col width="6.5" customWidth="1" min="113" max="113"/>
    <col width="6.5" customWidth="1" min="114" max="114"/>
    <col width="6.5" customWidth="1" min="115" max="115"/>
    <col width="6.5" customWidth="1" min="116" max="116"/>
    <col width="6.5" customWidth="1" min="117" max="117"/>
    <col width="8" customWidth="1" min="118" max="118"/>
    <col width="6.5" customWidth="1" min="119" max="119"/>
    <col width="7" customWidth="1" min="120" max="120"/>
    <col width="7" customWidth="1" min="121" max="121"/>
    <col width="7" customWidth="1" min="122" max="122"/>
    <col width="7" customWidth="1" min="123" max="123"/>
    <col width="7.5" customWidth="1" min="124" max="124"/>
    <col width="7.5" customWidth="1" min="125" max="125"/>
    <col width="7" customWidth="1" min="126" max="126"/>
    <col width="24" customWidth="1" min="127" max="127"/>
    <col width="16" customWidth="1" min="128" max="128"/>
    <col width="28" customWidth="1" min="129" max="129"/>
    <col width="16" customWidth="1" min="130" max="130"/>
    <col width="28" customWidth="1" min="131" max="131"/>
    <col width="30" customWidth="1" min="132" max="132"/>
    <col width="70" customWidth="1" min="133" max="133"/>
  </cols>
  <sheetData>
    <row r="1" ht="26" customHeight="1">
      <c r="B1" s="43" t="inlineStr">
        <is>
          <t>NERVADAS — LOSA NERVADA (ENCASETONADA), UN RENGLÓN POR TABLERO · MÉTODO DE COEFICIENTES NTC-CONCRETO 2023, TABLA 3.4.2.1 (CASO I)</t>
        </is>
      </c>
    </row>
    <row r="2" ht="30" customHeight="1">
      <c r="B2" s="44" t="inlineStr">
        <is>
          <t>Momentos por nervadura = coef·10⁻⁴·w_u·a1²·s. Abajo trabaja la sección T (patín b_f); arriba sólo la nervadura (b_w de cálculo). Toda nervadura lleva al menos 1 varilla corrida abajo y 1 arriba (6.7.6.1.3); arriba las demás son bastones. Sólo se captura lo AMARILLO; los renglones vacíos quedan en blanco. La memoria paso a paso de un tablero está en DETALLE y su dibujo en CROQUIS.</t>
        </is>
      </c>
    </row>
    <row r="3" ht="42" customHeight="1">
      <c r="B3" s="45" t="inlineStr">
        <is>
          <t>ESTADO: «CUMPLE» = flexión, cupo, ε_t ≥ 0.005, cortante, peralte, capa y anclaje bien. «MACIZAR n hilera(s)» = quitar casetones junto a cada apoyo por cortante. «REVISAR: calcular flecha» = h_eq menor que el mínimo de la Tabla 6.7.3.1.2. «No cumple 6.7.8.1.4» (nota) = a_c &gt; claro corto/6: losa apoyada en vigas (6.7.8.1.9). «FUERA de 3.4.2.1 c)» = el M⁻ del vecino capturado difiere más de 50 %.</t>
        </is>
      </c>
    </row>
    <row r="4" ht="6" customHeight="1"/>
    <row r="5" ht="118" customHeight="1">
      <c r="B5" s="46" t="inlineStr">
        <is>
          <t>CAPTURA. Claros A EJES (del lado seguro; la tabla admite claros libres en el caso I). Borde CONTINUO = sigue losa del otro lado; DISCONTINUO = orilla, hueco o losa que no sigue. VOLADO: marca CONTINUO sólo el borde empotrado. CV propia, b_w propio y α_fm propio: vacío = el de DATOS. M⁻ del vecino: por nervadura, en el borde común; la hoja arma con el mayor.</t>
        </is>
      </c>
      <c r="V5" s="46" t="inlineStr">
        <is>
          <t>a1 = claro corto, a2 = largo (volado: a1 = largo perpendicular al borde empotrado). L_n = a − b_p (volado a − b_p/2) (NTC-Concreto 6.3.2.1, p. 117). Patín b_f = b_w + 2·mín(8t, a_c/2, L_n/8) ≤ s (Tabla 5.2.1.4.2, p. 89). 6.7.8: claro corto ≥ 6·a_c, a_c ≤ 80, b_w ≥ 10, h ≤ 3.5·b_w, t ≥ máx(a_c/13, 5) (6.7.8.1.2 a 6.7.8.1.4, p. 187); si NO: losa sobre vigas, r de viga, sin ×1.1 (6.7.8.1.9, p. 188). b_w − 2 cm si b_w &lt; 20 sin 3.9.2 (3.9.1 e), p. 74).</t>
        </is>
      </c>
      <c r="AN5" s="46" t="inlineStr">
        <is>
          <t>PP = (h − a_c²·h_c/s²)·γc + casetón + 20 + 20 (NTC-Criterios 5.1.2.1, p. 9). CM = PP + SCM. w_u = máx(1.3·CM + 1.5·W_m; azotea: 1.1·(CM + W_g)) (NTC-Criterios 3.4.1 a) y b), p. 7; ec. 7.3.2.1, p. 17).</t>
        </is>
      </c>
      <c r="AS5" s="46" t="inlineStr">
        <is>
          <t>Se cuentan los bordes DISCONTINUOS; «corto» = borde de largo a1. Mismo criterio que la hoja de Casa Rocha; dos bordes opuestos discontinuos se toman como «extremo» (del lado seguro). Tabla 3.4.2.1, p. 65.</t>
        </is>
      </c>
      <c r="AW5" s="46" t="inlineStr">
        <is>
          <t>Interpolación lineal en m entre las columnas de la Tabla 3.4.2.1, caso I (TABLAS sección A).</t>
        </is>
      </c>
      <c r="BE5" s="46" t="inlineStr">
        <is>
          <t>M = coef·10⁻⁴·w_u·a1²·s, por nervadura (NTC-Concreto 3.4.2.1, p. 64). M⁻ = el mayor de borde continuo, discontinuo y el del vecino capturado. Volado: M⁻ = (w_u·L_n²/2 + 1.3·P·L_n)·s + M de los macizos (el PP promedio no cuenta el concreto que llena los casetones en el macizo de la punta, de ancho macizo de orilla + b_p/2, ni en el de la raíz: 1.3·γc·s·(vacío/m²)·ancho·brazo, como en la hoja de Casa Rocha). 3.4.2.1 c): M⁻ propio y del vecino no deben diferir más de 50 % (p. 64).</t>
        </is>
      </c>
      <c r="BL5" s="46" t="inlineStr">
        <is>
          <t>b = patín b_f. d con la varilla preferida para As; con la real para M_R. q = 1 − √(1 − 2Mu/(F_R·b·d²·f''c)), As = q·f''c·b·d/fy (ecs. 5.2.2.1.1.1, p. 89); As ≥ mín(p_min·b_w·d, 4/3·As) (6.3.5.1.3, p. 122); −1 = no alcanza o rebasa p_max. Varilla: la preferida o la siguiente que quepa (14.2.1, p. 347). ε_t = 0.003(d − c)/c ≥ 0.005 (Tabla 3.8.2.2, p. 70).</t>
        </is>
      </c>
      <c r="BT5" s="46" t="inlineStr">
        <is>
          <t>b = b_w de cálculo. d = h − máx(r, (t − 2Ø)/2) − 2·Ø malla − d_b/2 (la malla va al centro de la capa y la varilla pasa debajo), − 2 cm si d ≤ 20 cm sin la precaución de 3.9.2 (3.9.1 d), p. 74). 1 varilla corrida + bastones (6.7.6.1.3, p. 175). En volado el patín trabaja a tensión: As mín sobre 2·b_w.</t>
        </is>
      </c>
      <c r="CB5" s="46" t="inlineStr">
        <is>
          <t>Igual que el lecho inferior corto; el lecho del claro largo va encima del corto: d = h − r − d_b,corto − d_b/2.</t>
        </is>
      </c>
      <c r="CJ5" s="46" t="inlineStr">
        <is>
          <t>Igual que el lecho superior corto; va debajo del lecho superior corto.</t>
        </is>
      </c>
      <c r="CR5" s="46" t="inlineStr">
        <is>
          <t>V_u a d del paño = (L_n/2 − d)(0.95 − 0.5m)·w_u·s, ×1.15 con bordes continuos y discontinuos (método reconocido, 3.4.1.1, p. 64; 6.7.4.3.2, p. 172). Volado: (w_u(L_n − d) + 1.3P)·s. V_cR = F_R·2·λs·p^⅓·√f'c·b_w·d (ec. 5.5.3.2.1, p. 95), ×1.1 si cumple 6.7.8 (6.7.8.1.5, p. 187). Sin estribos (5.5.3.8.1, p. 97): lo que falte se cubre macizando hileras de casetones.</t>
        </is>
      </c>
      <c r="CV5" s="46" t="inlineStr">
        <is>
          <t>Tabla 6.7.3.1.2 (p. 168), α_fm &gt; 2: L_n(0.8 + fy/14 000)/(36 + 9β) ≥ 9; 0.2–2: …/(36 + 5β(α_fm − 0.2)) ≥ 13; ≤ 0.2: Tabla 6.7.3.1.1 (L_n/30 ó /33, ≥ 13). +10 % con borde discontinuo sin viga (6.7.3.1.2.1). Se compara h_eq = ∛(12·I_T/s). Volado: L/8 contra h (Tabla 6.3.3.1.1, p. 120). Capa ≥ 6 cm si el claro es ≥ 6 m (6.8.3.1.2, p. 189).</t>
        </is>
      </c>
      <c r="DC5" s="46" t="inlineStr">
        <is>
          <t>Bastón desde el paño = punto de inflexión + máx(d, 12d_b, L_n/16), ≥ L_d (6.3.7.3.4, p. 127; 6.3.7.3.10.4, p. 129; Tabla 14.4.2.4, p. 353). Volado: entra al respaldo hasta M = 0 con 0.9·PP y sin CV. Anclaje en bordes discontinuos (dala de borde armada, D9 de Casa Rocha): 1.25·L_dh ≤ ancho − r_np y ≥ 15 cm (6.7.8.1.7, p. 188); L_dh del bastón (6.7.7.4.1.1 b), p. 179); gancho de 180° con alto 8·d_b ≤ peralte de la dala − 2·r_np (Tabla 14.3.1, p. 349). Respaldo de un volado con b_w propio: sus nervaduras anchas siguen en el respaldo hasta donde la nervadura de b_w de DATOS resiste el M⁻ (con 0.9·PP, sin CV) y el cortante del volado.</t>
        </is>
      </c>
      <c r="DN5" s="46" t="inlineStr">
        <is>
          <t>Sólo volados con b_w propio mayor que el de DATOS (decisión D10 de Casa Rocha). Del otro lado del apoyo el M⁻ del volado lo toman las nervaduras del tablero de respaldo: sus primeras hileras siguen con el b_w del volado (casetón s − b_w) hasta donde la nervadura normal (con r de viga, del lado seguro), con la varilla corrida del volado, resiste M(x) = M⁻(1 − x/L_b) − 0.9·PP·s·x(L_b − x)/2 (sin CV) y el cortante V(x) = M⁻/L_n + (0.95 − 0.5·m_b)·1.15·w_u·s·(L_n/2 − x), con L_n = L_b − b_p y m_b del respaldo (sin su otro claro, m_b = 0); sin ×1.1 y con ×1.15 porque aquí no se sabe si el respaldo cumple 6.7.8 ni si tiene bordes discontinuos, del lado seguro. Las demás varillas del volado son bastones que terminan ahí, más máx(d, 12d_b) y no menos que L_d. La nervadura ancha se revisa a cortante junto al apoyo con el V_cR del volado (ec. 5.5.3.2.1, p. 95; 6.3.7.3.10.4, p. 129).</t>
        </is>
      </c>
      <c r="DX5" s="46" t="inlineStr">
        <is>
          <t>Armado por NERVADURA. Superior: 1 corrida + bastones a cada lado de los bordes continuos (y de los discontinuos si la columna lo pide). ESTADO junta flexión, cupo, ε_t, cortante, peralte, capa y anclaje.</t>
        </is>
      </c>
    </row>
    <row r="6" ht="18" customHeight="1">
      <c r="B6" s="47" t="inlineStr">
        <is>
          <t>DATOS DEL TABLERO — CAPTURA (amarillo)</t>
        </is>
      </c>
      <c r="V6" s="48" t="inlineStr">
        <is>
          <t>GEOMETRÍA</t>
        </is>
      </c>
      <c r="AN6" s="48" t="inlineStr">
        <is>
          <t>CARGAS</t>
        </is>
      </c>
      <c r="AS6" s="48" t="inlineStr">
        <is>
          <t>CASO DE LA TABLA</t>
        </is>
      </c>
      <c r="AW6" s="48" t="inlineStr">
        <is>
          <t>COEFICIENTES ×10⁻⁴ (Tabla 3.4.2.1)</t>
        </is>
      </c>
      <c r="BE6" s="48" t="inlineStr">
        <is>
          <t>MOMENTOS POR NERVADURA</t>
        </is>
      </c>
      <c r="BL6" s="48" t="inlineStr">
        <is>
          <t>LECHO INFERIOR ‖ CLARO CORTO</t>
        </is>
      </c>
      <c r="BT6" s="48" t="inlineStr">
        <is>
          <t>LECHO SUPERIOR ‖ CLARO CORTO</t>
        </is>
      </c>
      <c r="CB6" s="48" t="inlineStr">
        <is>
          <t>LECHO INFERIOR ‖ CLARO LARGO</t>
        </is>
      </c>
      <c r="CJ6" s="48" t="inlineStr">
        <is>
          <t>LECHO SUPERIOR ‖ CLARO LARGO</t>
        </is>
      </c>
      <c r="CR6" s="48" t="inlineStr">
        <is>
          <t>CORTANTE</t>
        </is>
      </c>
      <c r="CV6" s="48" t="inlineStr">
        <is>
          <t>ESPESOR MÍNIMO Y CAPA</t>
        </is>
      </c>
      <c r="DC6" s="48" t="inlineStr">
        <is>
          <t>BASTONES, ANCLAJE Y CASETONES</t>
        </is>
      </c>
      <c r="DN6" s="48" t="inlineStr">
        <is>
          <t>RESPALDO DE UN VOLADO CON b_w PROPIO</t>
        </is>
      </c>
      <c r="DX6" s="48" t="inlineStr">
        <is>
          <t>RESULTADO</t>
        </is>
      </c>
    </row>
    <row r="7" ht="54" customHeight="1">
      <c r="A7" s="11" t="inlineStr">
        <is>
          <t>#</t>
        </is>
      </c>
      <c r="B7" s="11" t="inlineStr">
        <is>
          <t>Tablero</t>
        </is>
      </c>
      <c r="C7" s="11" t="inlineStr">
        <is>
          <t>Tipo</t>
        </is>
      </c>
      <c r="D7" s="11" t="inlineStr">
        <is>
          <t>Destino (lista de DATOS)</t>
        </is>
      </c>
      <c r="E7" s="11" t="inlineStr">
        <is>
          <t>a_x — claro en X a ejes</t>
        </is>
      </c>
      <c r="F7" s="11" t="inlineStr">
        <is>
          <t>a_y — claro en Y a ejes</t>
        </is>
      </c>
      <c r="G7" s="11" t="inlineStr">
        <is>
          <t>Borde inferior (‖ X)</t>
        </is>
      </c>
      <c r="H7" s="11" t="inlineStr">
        <is>
          <t>Borde superior (‖ X)</t>
        </is>
      </c>
      <c r="I7" s="11" t="inlineStr">
        <is>
          <t>Borde izquierdo (‖ Y)</t>
        </is>
      </c>
      <c r="J7" s="11" t="inlineStr">
        <is>
          <t>Borde derecho (‖ Y)</t>
        </is>
      </c>
      <c r="K7" s="11" t="inlineStr">
        <is>
          <t>Forzar caso</t>
        </is>
      </c>
      <c r="L7" s="11" t="inlineStr">
        <is>
          <t>Colado con los apoyos</t>
        </is>
      </c>
      <c r="M7" s="11" t="inlineStr">
        <is>
          <t>SCM — sobrecarga muerta</t>
        </is>
      </c>
      <c r="N7" s="11" t="inlineStr">
        <is>
          <t>CV propia (opcional)</t>
        </is>
      </c>
      <c r="O7" s="11" t="inlineStr">
        <is>
          <t>Carga en la orilla del volado</t>
        </is>
      </c>
      <c r="P7" s="11" t="inlineStr">
        <is>
          <t>L_b — claro de respaldo (volado)</t>
        </is>
      </c>
      <c r="Q7" s="11" t="inlineStr">
        <is>
          <t>Claro del respaldo ‖ al apoyo (opcional; vacío = losa en una dirección, del lado seguro)</t>
        </is>
      </c>
      <c r="R7" s="11" t="inlineStr">
        <is>
          <t>b_w propio (opcional)</t>
        </is>
      </c>
      <c r="S7" s="11" t="inlineStr">
        <is>
          <t>α_fm propio (opcional)</t>
        </is>
      </c>
      <c r="T7" s="11" t="inlineStr">
        <is>
          <t>M⁻ del vecino ‖ corto (opcional)</t>
        </is>
      </c>
      <c r="U7" s="11" t="inlineStr">
        <is>
          <t>M⁻ del vecino ‖ largo (opcional)</t>
        </is>
      </c>
      <c r="V7" s="11" t="inlineStr">
        <is>
          <t>¿Datos completos?</t>
        </is>
      </c>
      <c r="W7" s="11" t="inlineStr">
        <is>
          <t>Borde empotrado (volado)</t>
        </is>
      </c>
      <c r="X7" s="11" t="inlineStr">
        <is>
          <t>Claro corto ‖</t>
        </is>
      </c>
      <c r="Y7" s="11" t="inlineStr">
        <is>
          <t>a1 corto (volado: largo)</t>
        </is>
      </c>
      <c r="Z7" s="11" t="inlineStr">
        <is>
          <t>a2 largo</t>
        </is>
      </c>
      <c r="AA7" s="11" t="inlineStr">
        <is>
          <t>m = a1/a2</t>
        </is>
      </c>
      <c r="AB7" s="11" t="inlineStr">
        <is>
          <t>L_n corto</t>
        </is>
      </c>
      <c r="AC7" s="11" t="inlineStr">
        <is>
          <t>L_n largo</t>
        </is>
      </c>
      <c r="AD7" s="11" t="inlineStr">
        <is>
          <t>b_w nerv. ‖ corto</t>
        </is>
      </c>
      <c r="AE7" s="11" t="inlineStr">
        <is>
          <t>Casetón entre nerv. ‖ corto = s − b_w</t>
        </is>
      </c>
      <c r="AF7" s="11" t="inlineStr">
        <is>
          <t>b_w cálculo ‖ corto (M⁻ y V)</t>
        </is>
      </c>
      <c r="AG7" s="11" t="inlineStr">
        <is>
          <t>b_w cálculo ‖ largo (M⁻)</t>
        </is>
      </c>
      <c r="AH7" s="11" t="inlineStr">
        <is>
          <t>Patín b_f ‖ corto</t>
        </is>
      </c>
      <c r="AI7" s="11" t="inlineStr">
        <is>
          <t>Patín b_f ‖ largo</t>
        </is>
      </c>
      <c r="AJ7" s="11" t="inlineStr">
        <is>
          <t>6.7.8 cumple</t>
        </is>
      </c>
      <c r="AK7" s="11" t="inlineStr">
        <is>
          <t>r inferior</t>
        </is>
      </c>
      <c r="AL7" s="11" t="inlineStr">
        <is>
          <t>r superior</t>
        </is>
      </c>
      <c r="AM7" s="11" t="inlineStr">
        <is>
          <t>r hasta la malla (al centro de la capa)</t>
        </is>
      </c>
      <c r="AN7" s="11" t="inlineStr">
        <is>
          <t>¿Azotea?</t>
        </is>
      </c>
      <c r="AO7" s="11" t="inlineStr">
        <is>
          <t>CV W_m</t>
        </is>
      </c>
      <c r="AP7" s="11" t="inlineStr">
        <is>
          <t>PP de diseño</t>
        </is>
      </c>
      <c r="AQ7" s="11" t="inlineStr">
        <is>
          <t>CM</t>
        </is>
      </c>
      <c r="AR7" s="11" t="inlineStr">
        <is>
          <t>w_u</t>
        </is>
      </c>
      <c r="AS7" s="11" t="inlineStr">
        <is>
          <t>Bordes discont.</t>
        </is>
      </c>
      <c r="AT7" s="11" t="inlineStr">
        <is>
          <t>… cortos</t>
        </is>
      </c>
      <c r="AU7" s="11" t="inlineStr">
        <is>
          <t>Caso automático</t>
        </is>
      </c>
      <c r="AV7" s="11" t="inlineStr">
        <is>
          <t>Caso usado</t>
        </is>
      </c>
      <c r="AW7" s="11" t="inlineStr">
        <is>
          <t>col. m</t>
        </is>
      </c>
      <c r="AX7" s="11" t="inlineStr">
        <is>
          <t>interp.</t>
        </is>
      </c>
      <c r="AY7" s="11" t="inlineStr">
        <is>
          <t>M⁻ cont. corto</t>
        </is>
      </c>
      <c r="AZ7" s="11" t="inlineStr">
        <is>
          <t>M⁻ cont. largo</t>
        </is>
      </c>
      <c r="BA7" s="11" t="inlineStr">
        <is>
          <t>M⁻ disc. corto</t>
        </is>
      </c>
      <c r="BB7" s="11" t="inlineStr">
        <is>
          <t>M⁻ disc. largo</t>
        </is>
      </c>
      <c r="BC7" s="11" t="inlineStr">
        <is>
          <t>M⁺ corto</t>
        </is>
      </c>
      <c r="BD7" s="11" t="inlineStr">
        <is>
          <t>M⁺ largo</t>
        </is>
      </c>
      <c r="BE7" s="11" t="inlineStr">
        <is>
          <t>M⁻ extra de los macizos del volado</t>
        </is>
      </c>
      <c r="BF7" s="11" t="inlineStr">
        <is>
          <t>V extra de los macizos del volado</t>
        </is>
      </c>
      <c r="BG7" s="11" t="inlineStr">
        <is>
          <t>M⁺ corto</t>
        </is>
      </c>
      <c r="BH7" s="11" t="inlineStr">
        <is>
          <t>M⁻ corto</t>
        </is>
      </c>
      <c r="BI7" s="11" t="inlineStr">
        <is>
          <t>M⁺ largo</t>
        </is>
      </c>
      <c r="BJ7" s="11" t="inlineStr">
        <is>
          <t>M⁻ largo</t>
        </is>
      </c>
      <c r="BK7" s="11" t="inlineStr">
        <is>
          <t>3.4.2.1 c) con el vecino</t>
        </is>
      </c>
      <c r="BL7" s="11" t="inlineStr">
        <is>
          <t>d para As (var. preferida)</t>
        </is>
      </c>
      <c r="BM7" s="11" t="inlineStr">
        <is>
          <t>As req.</t>
        </is>
      </c>
      <c r="BN7" s="11" t="inlineStr">
        <is>
          <t>Var. No.</t>
        </is>
      </c>
      <c r="BO7" s="11" t="inlineStr">
        <is>
          <t>Pzas</t>
        </is>
      </c>
      <c r="BP7" s="11" t="inlineStr">
        <is>
          <t>d real</t>
        </is>
      </c>
      <c r="BQ7" s="11" t="inlineStr">
        <is>
          <t>M_R</t>
        </is>
      </c>
      <c r="BR7" s="11" t="inlineStr">
        <is>
          <t>Mu/M_R</t>
        </is>
      </c>
      <c r="BS7" s="11" t="inlineStr">
        <is>
          <t>ε_t</t>
        </is>
      </c>
      <c r="BT7" s="11" t="inlineStr">
        <is>
          <t>d para As (var. preferida)</t>
        </is>
      </c>
      <c r="BU7" s="11" t="inlineStr">
        <is>
          <t>As req.</t>
        </is>
      </c>
      <c r="BV7" s="11" t="inlineStr">
        <is>
          <t>Var. No.</t>
        </is>
      </c>
      <c r="BW7" s="11" t="inlineStr">
        <is>
          <t>Pzas</t>
        </is>
      </c>
      <c r="BX7" s="11" t="inlineStr">
        <is>
          <t>d real</t>
        </is>
      </c>
      <c r="BY7" s="11" t="inlineStr">
        <is>
          <t>M_R</t>
        </is>
      </c>
      <c r="BZ7" s="11" t="inlineStr">
        <is>
          <t>Mu/M_R</t>
        </is>
      </c>
      <c r="CA7" s="11" t="inlineStr">
        <is>
          <t>ε_t</t>
        </is>
      </c>
      <c r="CB7" s="11" t="inlineStr">
        <is>
          <t>d para As (var. preferida)</t>
        </is>
      </c>
      <c r="CC7" s="11" t="inlineStr">
        <is>
          <t>As req.</t>
        </is>
      </c>
      <c r="CD7" s="11" t="inlineStr">
        <is>
          <t>Var. No.</t>
        </is>
      </c>
      <c r="CE7" s="11" t="inlineStr">
        <is>
          <t>Pzas</t>
        </is>
      </c>
      <c r="CF7" s="11" t="inlineStr">
        <is>
          <t>d real</t>
        </is>
      </c>
      <c r="CG7" s="11" t="inlineStr">
        <is>
          <t>M_R</t>
        </is>
      </c>
      <c r="CH7" s="11" t="inlineStr">
        <is>
          <t>Mu/M_R</t>
        </is>
      </c>
      <c r="CI7" s="11" t="inlineStr">
        <is>
          <t>ε_t</t>
        </is>
      </c>
      <c r="CJ7" s="11" t="inlineStr">
        <is>
          <t>d para As (var. preferida)</t>
        </is>
      </c>
      <c r="CK7" s="11" t="inlineStr">
        <is>
          <t>As req.</t>
        </is>
      </c>
      <c r="CL7" s="11" t="inlineStr">
        <is>
          <t>Var. No.</t>
        </is>
      </c>
      <c r="CM7" s="11" t="inlineStr">
        <is>
          <t>Pzas</t>
        </is>
      </c>
      <c r="CN7" s="11" t="inlineStr">
        <is>
          <t>d real</t>
        </is>
      </c>
      <c r="CO7" s="11" t="inlineStr">
        <is>
          <t>M_R</t>
        </is>
      </c>
      <c r="CP7" s="11" t="inlineStr">
        <is>
          <t>Mu/M_R</t>
        </is>
      </c>
      <c r="CQ7" s="11" t="inlineStr">
        <is>
          <t>ε_t</t>
        </is>
      </c>
      <c r="CR7" s="11" t="inlineStr">
        <is>
          <t>V_u por nerv.</t>
        </is>
      </c>
      <c r="CS7" s="11" t="inlineStr">
        <is>
          <t>V_cR</t>
        </is>
      </c>
      <c r="CT7" s="11" t="inlineStr">
        <is>
          <t>Hileras a macizar</t>
        </is>
      </c>
      <c r="CU7" s="11" t="inlineStr">
        <is>
          <t>Estado cortante</t>
        </is>
      </c>
      <c r="CV7" s="11" t="inlineStr">
        <is>
          <t>ȳ de la T</t>
        </is>
      </c>
      <c r="CW7" s="11" t="inlineStr">
        <is>
          <t>I_T de la T</t>
        </is>
      </c>
      <c r="CX7" s="11" t="inlineStr">
        <is>
          <t>h_eq</t>
        </is>
      </c>
      <c r="CY7" s="11" t="inlineStr">
        <is>
          <t>α_fm</t>
        </is>
      </c>
      <c r="CZ7" s="11" t="inlineStr">
        <is>
          <t>h mín. (Tabla 6.7.3.1.2 / volado L/8)</t>
        </is>
      </c>
      <c r="DA7" s="11" t="inlineStr">
        <is>
          <t>Estado peralte</t>
        </is>
      </c>
      <c r="DB7" s="11" t="inlineStr">
        <is>
          <t>Capa (diafragma)</t>
        </is>
      </c>
      <c r="DC7" s="11" t="inlineStr">
        <is>
          <t>Bastón ‖ corto desde el paño</t>
        </is>
      </c>
      <c r="DD7" s="11" t="inlineStr">
        <is>
          <t>Bastón ‖ largo desde el paño</t>
        </is>
      </c>
      <c r="DE7" s="11" t="inlineStr">
        <is>
          <t>Bastón también en borde disc. ‖ corto</t>
        </is>
      </c>
      <c r="DF7" s="11" t="inlineStr">
        <is>
          <t>Bastón también en borde disc. ‖ largo</t>
        </is>
      </c>
      <c r="DG7" s="11" t="inlineStr">
        <is>
          <t>Anclaje en bordes discontinuos</t>
        </is>
      </c>
      <c r="DH7" s="11" t="inlineStr">
        <is>
          <t>Casetones ‖ X</t>
        </is>
      </c>
      <c r="DI7" s="11" t="inlineStr">
        <is>
          <t>Casetones ‖ Y</t>
        </is>
      </c>
      <c r="DJ7" s="11" t="inlineStr">
        <is>
          <t>Macizo de orilla izq.</t>
        </is>
      </c>
      <c r="DK7" s="11" t="inlineStr">
        <is>
          <t>Macizo de orilla der.</t>
        </is>
      </c>
      <c r="DL7" s="11" t="inlineStr">
        <is>
          <t>Macizo de orilla inf.</t>
        </is>
      </c>
      <c r="DM7" s="11" t="inlineStr">
        <is>
          <t>Macizo de orilla sup.</t>
        </is>
      </c>
      <c r="DN7" s="11" t="inlineStr">
        <is>
          <t>Varillas del volado que siguen en la nervadura de b_w de DATOS (la corrida)</t>
        </is>
      </c>
      <c r="DO7" s="11" t="inlineStr">
        <is>
          <t>d de esa nervadura</t>
        </is>
      </c>
      <c r="DP7" s="11" t="inlineStr">
        <is>
          <t>M_R de esa nervadura</t>
        </is>
      </c>
      <c r="DQ7" s="11" t="inlineStr">
        <is>
          <t>V_cR de esa nervadura</t>
        </is>
      </c>
      <c r="DR7" s="11" t="inlineStr">
        <is>
          <t>Donde M baja a ese M_R</t>
        </is>
      </c>
      <c r="DS7" s="11" t="inlineStr">
        <is>
          <t>Donde V baja a ese V_cR</t>
        </is>
      </c>
      <c r="DT7" s="11" t="inlineStr">
        <is>
          <t>V_u del respaldo junto al apoyo (nerv. ancha)</t>
        </is>
      </c>
      <c r="DU7" s="11" t="inlineStr">
        <is>
          <t>Nervadura ancha en el respaldo hasta</t>
        </is>
      </c>
      <c r="DV7" s="11" t="inlineStr">
        <is>
          <t>Hileras del respaldo con b_w del volado</t>
        </is>
      </c>
      <c r="DW7" s="11" t="inlineStr">
        <is>
          <t>Respaldo del volado</t>
        </is>
      </c>
      <c r="DX7" s="11" t="inlineStr">
        <is>
          <t>ARMADO inferior ‖ corto (por nervadura)</t>
        </is>
      </c>
      <c r="DY7" s="11" t="inlineStr">
        <is>
          <t>ARMADO superior ‖ corto</t>
        </is>
      </c>
      <c r="DZ7" s="11" t="inlineStr">
        <is>
          <t>ARMADO inferior ‖ largo</t>
        </is>
      </c>
      <c r="EA7" s="11" t="inlineStr">
        <is>
          <t>ARMADO superior ‖ largo</t>
        </is>
      </c>
      <c r="EB7" s="11" t="inlineStr">
        <is>
          <t>ESTADO</t>
        </is>
      </c>
      <c r="EC7" s="11" t="inlineStr">
        <is>
          <t>NOTA</t>
        </is>
      </c>
    </row>
    <row r="8">
      <c r="A8" s="49" t="inlineStr">
        <is>
          <t>cuenta</t>
        </is>
      </c>
      <c r="B8" s="49" t="inlineStr"/>
      <c r="C8" s="49" t="inlineStr"/>
      <c r="D8" s="49" t="inlineStr"/>
      <c r="E8" s="49" t="inlineStr">
        <is>
          <t>m</t>
        </is>
      </c>
      <c r="F8" s="49" t="inlineStr">
        <is>
          <t>m</t>
        </is>
      </c>
      <c r="G8" s="49" t="inlineStr">
        <is>
          <t>CONT./DISC.</t>
        </is>
      </c>
      <c r="H8" s="49" t="inlineStr">
        <is>
          <t>CONT./DISC.</t>
        </is>
      </c>
      <c r="I8" s="49" t="inlineStr">
        <is>
          <t>CONT./DISC.</t>
        </is>
      </c>
      <c r="J8" s="49" t="inlineStr">
        <is>
          <t>CONT./DISC.</t>
        </is>
      </c>
      <c r="K8" s="49" t="inlineStr">
        <is>
          <t>AUTO = sale solo</t>
        </is>
      </c>
      <c r="L8" s="49" t="inlineStr">
        <is>
          <t>caso I / II</t>
        </is>
      </c>
      <c r="M8" s="49" t="inlineStr">
        <is>
          <t>kg/m²</t>
        </is>
      </c>
      <c r="N8" s="49" t="inlineStr">
        <is>
          <t>kg/m²</t>
        </is>
      </c>
      <c r="O8" s="49" t="inlineStr">
        <is>
          <t>kg/m serv.</t>
        </is>
      </c>
      <c r="P8" s="49" t="inlineStr">
        <is>
          <t>m</t>
        </is>
      </c>
      <c r="Q8" s="49" t="inlineStr">
        <is>
          <t>m</t>
        </is>
      </c>
      <c r="R8" s="49" t="inlineStr">
        <is>
          <t>cm</t>
        </is>
      </c>
      <c r="S8" s="49" t="inlineStr">
        <is>
          <t>—</t>
        </is>
      </c>
      <c r="T8" s="49" t="inlineStr">
        <is>
          <t>t·m/nerv.</t>
        </is>
      </c>
      <c r="U8" s="49" t="inlineStr">
        <is>
          <t>t·m/nerv.</t>
        </is>
      </c>
      <c r="V8" s="49" t="inlineStr"/>
      <c r="W8" s="49" t="inlineStr"/>
      <c r="X8" s="49" t="inlineStr"/>
      <c r="Y8" s="49" t="inlineStr">
        <is>
          <t>m</t>
        </is>
      </c>
      <c r="Z8" s="49" t="inlineStr">
        <is>
          <t>m</t>
        </is>
      </c>
      <c r="AA8" s="49" t="inlineStr"/>
      <c r="AB8" s="49" t="inlineStr">
        <is>
          <t>cm</t>
        </is>
      </c>
      <c r="AC8" s="49" t="inlineStr">
        <is>
          <t>cm</t>
        </is>
      </c>
      <c r="AD8" s="49" t="inlineStr">
        <is>
          <t>cm</t>
        </is>
      </c>
      <c r="AE8" s="49" t="inlineStr">
        <is>
          <t>cm</t>
        </is>
      </c>
      <c r="AF8" s="49" t="inlineStr">
        <is>
          <t>cm</t>
        </is>
      </c>
      <c r="AG8" s="49" t="inlineStr">
        <is>
          <t>cm</t>
        </is>
      </c>
      <c r="AH8" s="49" t="inlineStr">
        <is>
          <t>cm</t>
        </is>
      </c>
      <c r="AI8" s="49" t="inlineStr">
        <is>
          <t>cm</t>
        </is>
      </c>
      <c r="AJ8" s="49" t="inlineStr"/>
      <c r="AK8" s="49" t="inlineStr">
        <is>
          <t>cm</t>
        </is>
      </c>
      <c r="AL8" s="49" t="inlineStr">
        <is>
          <t>cm</t>
        </is>
      </c>
      <c r="AM8" s="49" t="inlineStr">
        <is>
          <t>cm</t>
        </is>
      </c>
      <c r="AN8" s="49" t="inlineStr"/>
      <c r="AO8" s="49" t="inlineStr">
        <is>
          <t>kg/m²</t>
        </is>
      </c>
      <c r="AP8" s="49" t="inlineStr">
        <is>
          <t>kg/m²</t>
        </is>
      </c>
      <c r="AQ8" s="49" t="inlineStr">
        <is>
          <t>kg/m²</t>
        </is>
      </c>
      <c r="AR8" s="49" t="inlineStr">
        <is>
          <t>kg/m²</t>
        </is>
      </c>
      <c r="AS8" s="49" t="inlineStr"/>
      <c r="AT8" s="49" t="inlineStr"/>
      <c r="AU8" s="49" t="inlineStr"/>
      <c r="AV8" s="49" t="inlineStr"/>
      <c r="AW8" s="49" t="inlineStr"/>
      <c r="AX8" s="49" t="inlineStr"/>
      <c r="AY8" s="49" t="inlineStr">
        <is>
          <t>×10⁻⁴</t>
        </is>
      </c>
      <c r="AZ8" s="49" t="inlineStr">
        <is>
          <t>×10⁻⁴</t>
        </is>
      </c>
      <c r="BA8" s="49" t="inlineStr">
        <is>
          <t>×10⁻⁴</t>
        </is>
      </c>
      <c r="BB8" s="49" t="inlineStr">
        <is>
          <t>×10⁻⁴</t>
        </is>
      </c>
      <c r="BC8" s="49" t="inlineStr">
        <is>
          <t>×10⁻⁴</t>
        </is>
      </c>
      <c r="BD8" s="49" t="inlineStr">
        <is>
          <t>×10⁻⁴</t>
        </is>
      </c>
      <c r="BE8" s="49" t="inlineStr">
        <is>
          <t>t·m/nerv.</t>
        </is>
      </c>
      <c r="BF8" s="49" t="inlineStr">
        <is>
          <t>t/nerv.</t>
        </is>
      </c>
      <c r="BG8" s="49" t="inlineStr">
        <is>
          <t>t·m/nerv.</t>
        </is>
      </c>
      <c r="BH8" s="49" t="inlineStr">
        <is>
          <t>t·m/nerv.</t>
        </is>
      </c>
      <c r="BI8" s="49" t="inlineStr">
        <is>
          <t>t·m/nerv.</t>
        </is>
      </c>
      <c r="BJ8" s="49" t="inlineStr">
        <is>
          <t>t·m/nerv.</t>
        </is>
      </c>
      <c r="BK8" s="49" t="inlineStr"/>
      <c r="BL8" s="49" t="inlineStr">
        <is>
          <t>cm</t>
        </is>
      </c>
      <c r="BM8" s="49" t="inlineStr">
        <is>
          <t>cm²</t>
        </is>
      </c>
      <c r="BN8" s="49" t="inlineStr"/>
      <c r="BO8" s="49" t="inlineStr"/>
      <c r="BP8" s="49" t="inlineStr">
        <is>
          <t>cm</t>
        </is>
      </c>
      <c r="BQ8" s="49" t="inlineStr">
        <is>
          <t>t·m</t>
        </is>
      </c>
      <c r="BR8" s="49" t="inlineStr">
        <is>
          <t>≤ 1</t>
        </is>
      </c>
      <c r="BS8" s="49" t="inlineStr">
        <is>
          <t>≥ 0.005</t>
        </is>
      </c>
      <c r="BT8" s="49" t="inlineStr">
        <is>
          <t>cm</t>
        </is>
      </c>
      <c r="BU8" s="49" t="inlineStr">
        <is>
          <t>cm²</t>
        </is>
      </c>
      <c r="BV8" s="49" t="inlineStr"/>
      <c r="BW8" s="49" t="inlineStr"/>
      <c r="BX8" s="49" t="inlineStr">
        <is>
          <t>cm</t>
        </is>
      </c>
      <c r="BY8" s="49" t="inlineStr">
        <is>
          <t>t·m</t>
        </is>
      </c>
      <c r="BZ8" s="49" t="inlineStr">
        <is>
          <t>≤ 1</t>
        </is>
      </c>
      <c r="CA8" s="49" t="inlineStr">
        <is>
          <t>≥ 0.005</t>
        </is>
      </c>
      <c r="CB8" s="49" t="inlineStr">
        <is>
          <t>cm</t>
        </is>
      </c>
      <c r="CC8" s="49" t="inlineStr">
        <is>
          <t>cm²</t>
        </is>
      </c>
      <c r="CD8" s="49" t="inlineStr"/>
      <c r="CE8" s="49" t="inlineStr"/>
      <c r="CF8" s="49" t="inlineStr">
        <is>
          <t>cm</t>
        </is>
      </c>
      <c r="CG8" s="49" t="inlineStr">
        <is>
          <t>t·m</t>
        </is>
      </c>
      <c r="CH8" s="49" t="inlineStr">
        <is>
          <t>≤ 1</t>
        </is>
      </c>
      <c r="CI8" s="49" t="inlineStr">
        <is>
          <t>≥ 0.005</t>
        </is>
      </c>
      <c r="CJ8" s="49" t="inlineStr">
        <is>
          <t>cm</t>
        </is>
      </c>
      <c r="CK8" s="49" t="inlineStr">
        <is>
          <t>cm²</t>
        </is>
      </c>
      <c r="CL8" s="49" t="inlineStr"/>
      <c r="CM8" s="49" t="inlineStr"/>
      <c r="CN8" s="49" t="inlineStr">
        <is>
          <t>cm</t>
        </is>
      </c>
      <c r="CO8" s="49" t="inlineStr">
        <is>
          <t>t·m</t>
        </is>
      </c>
      <c r="CP8" s="49" t="inlineStr">
        <is>
          <t>≤ 1</t>
        </is>
      </c>
      <c r="CQ8" s="49" t="inlineStr">
        <is>
          <t>≥ 0.005</t>
        </is>
      </c>
      <c r="CR8" s="49" t="inlineStr">
        <is>
          <t>t</t>
        </is>
      </c>
      <c r="CS8" s="49" t="inlineStr">
        <is>
          <t>t</t>
        </is>
      </c>
      <c r="CT8" s="49" t="inlineStr">
        <is>
          <t>por apoyo</t>
        </is>
      </c>
      <c r="CU8" s="49" t="inlineStr"/>
      <c r="CV8" s="49" t="inlineStr">
        <is>
          <t>cm</t>
        </is>
      </c>
      <c r="CW8" s="49" t="inlineStr">
        <is>
          <t>cm⁴</t>
        </is>
      </c>
      <c r="CX8" s="49" t="inlineStr">
        <is>
          <t>cm</t>
        </is>
      </c>
      <c r="CY8" s="49" t="inlineStr"/>
      <c r="CZ8" s="49" t="inlineStr">
        <is>
          <t>cm</t>
        </is>
      </c>
      <c r="DA8" s="49" t="inlineStr"/>
      <c r="DB8" s="49" t="inlineStr"/>
      <c r="DC8" s="49" t="inlineStr">
        <is>
          <t>cm</t>
        </is>
      </c>
      <c r="DD8" s="49" t="inlineStr">
        <is>
          <t>cm</t>
        </is>
      </c>
      <c r="DE8" s="49" t="inlineStr"/>
      <c r="DF8" s="49" t="inlineStr"/>
      <c r="DG8" s="49" t="inlineStr"/>
      <c r="DH8" s="49" t="inlineStr">
        <is>
          <t>pzas</t>
        </is>
      </c>
      <c r="DI8" s="49" t="inlineStr">
        <is>
          <t>pzas</t>
        </is>
      </c>
      <c r="DJ8" s="49" t="inlineStr">
        <is>
          <t>cm</t>
        </is>
      </c>
      <c r="DK8" s="49" t="inlineStr">
        <is>
          <t>cm</t>
        </is>
      </c>
      <c r="DL8" s="49" t="inlineStr">
        <is>
          <t>cm</t>
        </is>
      </c>
      <c r="DM8" s="49" t="inlineStr">
        <is>
          <t>cm</t>
        </is>
      </c>
      <c r="DN8" s="49" t="inlineStr">
        <is>
          <t>pzas</t>
        </is>
      </c>
      <c r="DO8" s="49" t="inlineStr">
        <is>
          <t>cm</t>
        </is>
      </c>
      <c r="DP8" s="49" t="inlineStr">
        <is>
          <t>t·m</t>
        </is>
      </c>
      <c r="DQ8" s="49" t="inlineStr">
        <is>
          <t>t</t>
        </is>
      </c>
      <c r="DR8" s="49" t="inlineStr">
        <is>
          <t>m desde el paño</t>
        </is>
      </c>
      <c r="DS8" s="49" t="inlineStr">
        <is>
          <t>m desde el paño</t>
        </is>
      </c>
      <c r="DT8" s="49" t="inlineStr">
        <is>
          <t>t</t>
        </is>
      </c>
      <c r="DU8" s="49" t="inlineStr">
        <is>
          <t>cm desde el paño</t>
        </is>
      </c>
      <c r="DV8" s="49" t="inlineStr">
        <is>
          <t>hileras</t>
        </is>
      </c>
      <c r="DW8" s="49" t="inlineStr"/>
      <c r="DX8" s="49" t="inlineStr"/>
      <c r="DY8" s="49" t="inlineStr"/>
      <c r="DZ8" s="49" t="inlineStr"/>
      <c r="EA8" s="49" t="inlineStr"/>
      <c r="EB8" s="49" t="inlineStr"/>
      <c r="EC8" s="49" t="inlineStr"/>
    </row>
    <row r="9" ht="33" customHeight="1">
      <c r="A9" s="50">
        <f>IF(B9="",0,1)</f>
        <v>1</v>
      </c>
      <c r="B9" s="29" t="inlineStr">
        <is>
          <t>EJEMPLO F80014 (interior)</t>
        </is>
      </c>
      <c r="C9" s="51" t="inlineStr">
        <is>
          <t>PERIMETRAL</t>
        </is>
      </c>
      <c r="D9" s="29" t="inlineStr">
        <is>
          <t>HABITACIÓN</t>
        </is>
      </c>
      <c r="E9" s="52" t="n">
        <v>3.029</v>
      </c>
      <c r="F9" s="52" t="n">
        <v>1.6</v>
      </c>
      <c r="G9" s="51" t="inlineStr">
        <is>
          <t>CONTINUO</t>
        </is>
      </c>
      <c r="H9" s="51" t="inlineStr">
        <is>
          <t>CONTINUO</t>
        </is>
      </c>
      <c r="I9" s="51" t="inlineStr">
        <is>
          <t>CONTINUO</t>
        </is>
      </c>
      <c r="J9" s="51" t="inlineStr">
        <is>
          <t>CONTINUO</t>
        </is>
      </c>
      <c r="K9" s="51" t="inlineStr">
        <is>
          <t>AUTO</t>
        </is>
      </c>
      <c r="L9" s="51" t="inlineStr">
        <is>
          <t>MONOLÍTICO (caso I)</t>
        </is>
      </c>
      <c r="M9" s="53" t="n">
        <v>230</v>
      </c>
      <c r="N9" s="53" t="n"/>
      <c r="O9" s="54" t="n"/>
      <c r="P9" s="52" t="n"/>
      <c r="Q9" s="52" t="n"/>
      <c r="R9" s="53" t="n"/>
      <c r="S9" s="54" t="n"/>
      <c r="T9" s="52" t="n"/>
      <c r="U9" s="52" t="n"/>
      <c r="V9" s="55" t="str">
        <f>IF(B9="","",IF(AND(OR(C9="PERIMETRAL",C9="VOLADO"),ISNUMBER(E9),ISNUMBER(F9),E9&gt;0,F9&gt;0,OR(ISNUMBER(N9),ISNUMBER(MATCH(D9,DATOS!$B$46:$B$58,0))),OR(C9&lt;&gt;"VOLADO",N(P9)&gt;0)),"SÍ","NO"))</f>
        <v>SÍ</v>
      </c>
      <c r="W9" s="55" t="str">
        <f>IF(V9&lt;&gt;"SÍ","",IF(C9&lt;&gt;"VOLADO","—",IF(COUNTIF(G9:J9,"CONTINUO")&lt;&gt;1,"?",IF(G9="CONTINUO","INFERIOR",IF(H9="CONTINUO","SUPERIOR",IF(I9="CONTINUO","IZQUIERDO","DERECHO"))))))</f>
        <v>—</v>
      </c>
      <c r="X9" s="55" t="str">
        <f>IF(V9&lt;&gt;"SÍ","",IF(C9="VOLADO",IF(OR(W9="IZQUIERDO",W9="DERECHO"),"X","Y"),IF(E9&lt;=F9,"X","Y")))</f>
        <v>Y</v>
      </c>
      <c r="Y9" s="56">
        <f>IF(V9&lt;&gt;"SÍ","",IF(C9="VOLADO",IF(X9="X",E9,F9),MIN(E9,F9)))</f>
        <v>1.6</v>
      </c>
      <c r="Z9" s="56">
        <f>IF(V9&lt;&gt;"SÍ","",IF(C9="VOLADO",IF(X9="X",F9,E9),MAX(E9,F9)))</f>
        <v>3.029</v>
      </c>
      <c r="AA9" s="56">
        <f>IF(V9&lt;&gt;"SÍ","",MIN(Y9,Z9)/MAX(Y9,Z9))</f>
        <v>0.528227137669198</v>
      </c>
      <c r="AB9" s="57">
        <f>IF(V9&lt;&gt;"SÍ","",MAX(1,Y9*100-IF(C9="VOLADO",DATOS!$C$87/2,DATOS!$C$87)))</f>
        <v>145</v>
      </c>
      <c r="AC9" s="57">
        <f>IF(V9&lt;&gt;"SÍ","",MAX(1,Z9*100-DATOS!$C$87))</f>
        <v>287.9</v>
      </c>
      <c r="AD9" s="57">
        <f>IF(V9&lt;&gt;"SÍ","",IF(ISNUMBER(R9),R9,DATOS!$C$83))</f>
        <v>10</v>
      </c>
      <c r="AE9" s="57">
        <f>IF(V9&lt;&gt;"SÍ","",MAX(0,DATOS!$C$86-AD9))</f>
        <v>60</v>
      </c>
      <c r="AF9" s="57">
        <f>IF(V9&lt;&gt;"SÍ","",IF(OR(DATOS!$C$65="SÍ",AD9&gt;=20),AD9,AD9-2))</f>
        <v>10</v>
      </c>
      <c r="AG9" s="57">
        <f>IF(V9&lt;&gt;"SÍ","",IF(OR(DATOS!$C$65="SÍ",DATOS!$C$83&gt;=20),DATOS!$C$83,DATOS!$C$83-2))</f>
        <v>10</v>
      </c>
      <c r="AH9" s="57">
        <f>IF(V9&lt;&gt;"SÍ","",MIN(DATOS!$C$86,AD9+2*MIN(8*DATOS!$C$84,AE9/2,AB9/8)))</f>
        <v>46.25</v>
      </c>
      <c r="AI9" s="57">
        <f>IF(V9&lt;&gt;"SÍ","",MIN(DATOS!$C$86,DATOS!$C$83+2*MIN(8*DATOS!$C$84,DATOS!$C$81/2,AC9/8)))</f>
        <v>70</v>
      </c>
      <c r="AJ9" s="55" t="str">
        <f>IF(V9&lt;&gt;"SÍ","",IF(AND(C9="PERIMETRAL",Y9*100&gt;=6*MAX(DATOS!$C$81,AE9),MAX(DATOS!$C$81,AE9)&lt;=80,MIN(DATOS!$C$83,AD9)&gt;=10,DATOS!$C$85&lt;=3.5*MIN(DATOS!$C$83,AD9),DATOS!$C$84&gt;=MAX(MAX(DATOS!$C$81,AE9)/13,5)),"SÍ","NO"))</f>
        <v>NO</v>
      </c>
      <c r="AK9" s="57">
        <f>IF(V9&lt;&gt;"SÍ","",IF(C9="VOLADO",DATOS!$C$64,IF(AJ9="NO",DATOS!$C$63,DATOS!$C$62)))</f>
        <v>4</v>
      </c>
      <c r="AL9" s="57">
        <f>IF(V9&lt;&gt;"SÍ","",IF(OR(AND(AN9="SÍ",DATOS!$C$66="SÍ"),AND(C9="VOLADO",DATOS!$C$67="SÍ")),DATOS!$C$64,IF(AJ9="NO",DATOS!$C$63,DATOS!$C$62)))</f>
        <v>4</v>
      </c>
      <c r="AM9" s="58">
        <f>IF(V9&lt;&gt;"SÍ","",MAX(AL9,(DATOS!$C$84-2*DATOS!$C$97)/2))</f>
        <v>4</v>
      </c>
      <c r="AN9" s="55" t="str">
        <f>IF(V9&lt;&gt;"SÍ","",IFERROR(INDEX(DATOS!$D$46:$D$58,MATCH(D9,DATOS!$B$46:$B$58,0)),"NO"))</f>
        <v>NO</v>
      </c>
      <c r="AO9" s="59">
        <f>IF(V9&lt;&gt;"SÍ","",IF(ISNUMBER(N9),N9,IFERROR(INDEX(DATOS!$C$46:$C$58,MATCH(D9,DATOS!$B$46:$B$58,0)),0)))</f>
        <v>190</v>
      </c>
      <c r="AP9" s="59">
        <f>IF(V9&lt;&gt;"SÍ","",IF(MIN(DH9,DI9)=0,DATOS!$C$85/100*DATOS!$C$16*1000,(DATOS!$C$85/100-(AE9*DATOS!$C$81/DATOS!$C$86^2)*DATOS!$C$82/100)*DATOS!$C$16*1000+(AE9*DATOS!$C$81/DATOS!$C$86^2)*DATOS!$C$82/100*DATOS!$C$17*1000)+DATOS!$C$37+DATOS!$C$38)</f>
        <v>307.073469387755</v>
      </c>
      <c r="AQ9" s="59">
        <f>IF(V9&lt;&gt;"SÍ","",AP9+N(M9))</f>
        <v>537.073469387755</v>
      </c>
      <c r="AR9" s="60">
        <f>IF(V9&lt;&gt;"SÍ","",MAX(DATOS!$C$26*AQ9+DATOS!$C$27*AO9,IF(AN9="SÍ",DATOS!$C$28*(AQ9+DATOS!$C$41),0)))</f>
        <v>983.195510204082</v>
      </c>
      <c r="AS9" s="59">
        <f>IF(V9&lt;&gt;"SÍ","",(G9="DISCONTINUO")+(H9="DISCONTINUO")+(I9="DISCONTINUO")+(J9="DISCONTINUO"))</f>
        <v>0</v>
      </c>
      <c r="AT9" s="59">
        <f>IF(V9&lt;&gt;"SÍ","",IF(X9="X",(G9="DISCONTINUO")+(H9="DISCONTINUO"),(I9="DISCONTINUO")+(J9="DISCONTINUO")))</f>
        <v>0</v>
      </c>
      <c r="AU9" s="55" t="str">
        <f>IF(V9&lt;&gt;"SÍ","",IF(AS9=0,"INTERIOR",IF(AS9=1,IF(AT9=1,"BORDE-CORTO","BORDE-LARGO"),IF(AS9=2,IF(AT9=1,"ESQUINA",IF(AT9=2,"EXTREMO-LARGO","EXTREMO-CORTO")),IF(AS9=3,IF(AT9=2,"EXTREMO-LARGO","EXTREMO-CORTO"),"AISLADO")))))</f>
        <v>INTERIOR</v>
      </c>
      <c r="AV9" s="61" t="str">
        <f>IF(V9&lt;&gt;"SÍ","",IF(OR(K9="",K9="AUTO"),AU9,K9))</f>
        <v>INTERIOR</v>
      </c>
      <c r="AW9" s="59">
        <f>IF(V9&lt;&gt;"SÍ","",MATCH(AA9,TABLAS!$D$5:$J$5,1))</f>
        <v>2</v>
      </c>
      <c r="AX9" s="58">
        <f>IF(V9&lt;&gt;"SÍ","",IF(AW9&gt;=7,0,(AA9-INDEX(TABLAS!$D$5:$J$5,AW9))/(INDEX(TABLAS!$D$5:$J$5,AW9+1)-INDEX(TABLAS!$D$5:$J$5,AW9))))</f>
        <v>0.282271376691978</v>
      </c>
      <c r="AY9" s="59">
        <f>IF(V9&lt;&gt;"SÍ","",INDEX(TABLAS!$D$6:$J$47,MATCH(AV9&amp;"|NIC",TABLAS!$B$6:$B$47,0),AW9)+AX9*(INDEX(TABLAS!$D$6:$J$47,MATCH(AV9&amp;"|NIC",TABLAS!$B$6:$B$47,0),MIN(AW9+1,7))-INDEX(TABLAS!$D$6:$J$47,MATCH(AV9&amp;"|NIC",TABLAS!$B$6:$B$47,0),AW9)))</f>
        <v>1088.58534169693</v>
      </c>
      <c r="AZ9" s="59">
        <f>IF(V9&lt;&gt;"SÍ","",INDEX(TABLAS!$D$6:$J$47,MATCH(AV9&amp;"|NIL",TABLAS!$B$6:$B$47,0),AW9)+AX9*(INDEX(TABLAS!$D$6:$J$47,MATCH(AV9&amp;"|NIL",TABLAS!$B$6:$B$47,0),MIN(AW9+1,7))-INDEX(TABLAS!$D$6:$J$47,MATCH(AV9&amp;"|NIL",TABLAS!$B$6:$B$47,0),AW9)))</f>
        <v>540.685044569165</v>
      </c>
      <c r="BA9" s="59">
        <f>IF(V9&lt;&gt;"SÍ","",INDEX(TABLAS!$D$6:$J$47,MATCH(AV9&amp;"|NDC",TABLAS!$B$6:$B$47,0),AW9)+AX9*(INDEX(TABLAS!$D$6:$J$47,MATCH(AV9&amp;"|NDC",TABLAS!$B$6:$B$47,0),MIN(AW9+1,7))-INDEX(TABLAS!$D$6:$J$47,MATCH(AV9&amp;"|NDC",TABLAS!$B$6:$B$47,0),AW9)))</f>
        <v>0</v>
      </c>
      <c r="BB9" s="59">
        <f>IF(V9&lt;&gt;"SÍ","",INDEX(TABLAS!$D$6:$J$47,MATCH(AV9&amp;"|NDL",TABLAS!$B$6:$B$47,0),AW9)+AX9*(INDEX(TABLAS!$D$6:$J$47,MATCH(AV9&amp;"|NDL",TABLAS!$B$6:$B$47,0),MIN(AW9+1,7))-INDEX(TABLAS!$D$6:$J$47,MATCH(AV9&amp;"|NDL",TABLAS!$B$6:$B$47,0),AW9)))</f>
        <v>0</v>
      </c>
      <c r="BC9" s="59">
        <f>IF(V9&lt;&gt;"SÍ","",INDEX(TABLAS!$D$6:$J$47,MATCH(AV9&amp;"|PC",TABLAS!$B$6:$B$47,0),AW9)+AX9*(INDEX(TABLAS!$D$6:$J$47,MATCH(AV9&amp;"|PC",TABLAS!$B$6:$B$47,0),MIN(AW9+1,7))-INDEX(TABLAS!$D$6:$J$47,MATCH(AV9&amp;"|PC",TABLAS!$B$6:$B$47,0),AW9)))</f>
        <v>317.363156157148</v>
      </c>
      <c r="BD9" s="59">
        <f>IF(V9&lt;&gt;"SÍ","",INDEX(TABLAS!$D$6:$J$47,MATCH(AV9&amp;"|PL",TABLAS!$B$6:$B$47,0),AW9)+AX9*(INDEX(TABLAS!$D$6:$J$47,MATCH(AV9&amp;"|PL",TABLAS!$B$6:$B$47,0),MIN(AW9+1,7))-INDEX(TABLAS!$D$6:$J$47,MATCH(AV9&amp;"|PL",TABLAS!$B$6:$B$47,0),AW9)))</f>
        <v>148.879498184219</v>
      </c>
      <c r="BE9" s="56">
        <f>IF(V9&lt;&gt;"SÍ","",IF(OR(C9&lt;&gt;"VOLADO",MIN(DH9,DI9)=0),0,DATOS!$C$26*DATOS!$C$16*DATOS!$C$86/100*(((AE9*DATOS!$C$81/DATOS!$C$86^2)*DATOS!$C$82/100)*(IF(X9="X",DJ9,DL9)+DATOS!$C$87/2)/100*(AB9-(IF(X9="X",DJ9,DL9)+DATOS!$C$87/2)/2)/100+((AE9*DATOS!$C$81/DATOS!$C$86^2)*DATOS!$C$82/100)*IF(X9="X",DJ9,DL9)/100*IF(X9="X",DJ9,DL9)/200)))</f>
        <v>0</v>
      </c>
      <c r="BF9" s="56">
        <f>IF(V9&lt;&gt;"SÍ","",IF(OR(C9&lt;&gt;"VOLADO",MIN(DH9,DI9)=0),0,DATOS!$C$26*DATOS!$C$16*DATOS!$C$86/100*((AE9*DATOS!$C$81/DATOS!$C$86^2)*DATOS!$C$82/100)*(IF(X9="X",DJ9,DL9)+DATOS!$C$87/2)/100))</f>
        <v>0</v>
      </c>
      <c r="BG9" s="56">
        <f>IF(V9&lt;&gt;"SÍ","",IF(C9="PERIMETRAL",BC9*AR9*Y9^2*1E-4*DATOS!$C$86/100/1000,0))</f>
        <v>0.0559157814186325</v>
      </c>
      <c r="BH9" s="62">
        <f>IF(V9&lt;&gt;"SÍ","",IF(C9="PERIMETRAL",MAX(MAX(AY9,BA9)*AR9*Y9^2*1E-4*DATOS!$C$86/100/1000,N(T9)),(AR9*(AB9/100)^2/2+DATOS!$C$26*N(O9)*AB9/100)*DATOS!$C$86/100/1000+BE9))</f>
        <v>0.191796365901127</v>
      </c>
      <c r="BI9" s="56">
        <f>IF(V9&lt;&gt;"SÍ","",IF(C9="PERIMETRAL",BD9*AR9*Y9^2*1E-4*DATOS!$C$86/100/1000,0))</f>
        <v>0.0262308756283681</v>
      </c>
      <c r="BJ9" s="56">
        <f>IF(V9&lt;&gt;"SÍ","",IF(C9="PERIMETRAL",MAX(MAX(AZ9,BB9)*AR9*Y9^2*1E-4*DATOS!$C$86/100/1000,N(U9)),0))</f>
        <v>0.0952625601992775</v>
      </c>
      <c r="BK9" s="63" t="str">
        <f>IF(V9&lt;&gt;"SÍ","",IF(C9&lt;&gt;"PERIMETRAL","—",IF(AND(N(T9)=0,N(U9)=0),"— (sin M⁻ del vecino)",IF(OR(AND(N(T9)&gt;0,ABS(MAX(AY9,BA9)*AR9*Y9^2*1E-4*DATOS!$C$86/100/1000-N(T9))&gt;0.5*MIN(MAX(AY9,BA9)*AR9*Y9^2*1E-4*DATOS!$C$86/100/1000,N(T9))),AND(N(U9)&gt;0,ABS(MAX(AZ9,BB9)*AR9*Y9^2*1E-4*DATOS!$C$86/100/1000-N(U9))&gt;0.5*MIN(MAX(AZ9,BB9)*AR9*Y9^2*1E-4*DATOS!$C$86/100/1000,N(U9)))),"FUERA: difieren &gt; 50 %"&amp;IF(AND(N(T9)&gt;0,ABS(MAX(AY9,BA9)*AR9*Y9^2*1E-4*DATOS!$C$86/100/1000-N(T9))&gt;0.5*MIN(MAX(AY9,BA9)*AR9*Y9^2*1E-4*DATOS!$C$86/100/1000,N(T9)))," ‖ corto","")&amp;IF(AND(N(U9)&gt;0,ABS(MAX(AZ9,BB9)*AR9*Y9^2*1E-4*DATOS!$C$86/100/1000-N(U9))&gt;0.5*MIN(MAX(AZ9,BB9)*AR9*Y9^2*1E-4*DATOS!$C$86/100/1000,N(U9)))," ‖ largo",""),"CUMPLE"))))</f>
        <v>— (sin M⁻ del vecino)</v>
      </c>
      <c r="BL9" s="58">
        <f>IF(V9&lt;&gt;"SÍ","",(DATOS!$C$85-AK9-INDEX(TABLAS!$C$52:$C$58,MATCH(MAX(4,DATOS!$C$71),TABLAS!$B$52:$B$58,0))/2))</f>
        <v>20.365</v>
      </c>
      <c r="BM9" s="58">
        <f>IF(V9&lt;&gt;"SÍ","",IF(IF(BG9&lt;=0,0,IF((1-2*BG9*1E5/(DATOS!$C$29*AH9*BL9^2*DATOS!$C$21))&lt;0,-1,IF((1-SQRT((1-2*BG9*1E5/(DATOS!$C$29*AH9*BL9^2*DATOS!$C$21))))*DATOS!$C$21*AH9*BL9/DATOS!$C$14&gt;DATOS!$C$102*AH9*BL9,-1,(1-SQRT((1-2*BG9*1E5/(DATOS!$C$29*AH9*BL9^2*DATOS!$C$21))))*DATOS!$C$21*AH9*BL9/DATOS!$C$14)))&lt;0,-1,MAX(IF(BG9&lt;=0,0,IF((1-2*BG9*1E5/(DATOS!$C$29*AH9*BL9^2*DATOS!$C$21))&lt;0,-1,IF((1-SQRT((1-2*BG9*1E5/(DATOS!$C$29*AH9*BL9^2*DATOS!$C$21))))*DATOS!$C$21*AH9*BL9/DATOS!$C$14&gt;DATOS!$C$102*AH9*BL9,-1,(1-SQRT((1-2*BG9*1E5/(DATOS!$C$29*AH9*BL9^2*DATOS!$C$21))))*DATOS!$C$21*AH9*BL9/DATOS!$C$14))),MIN(DATOS!$C$103*AD9*BL9,4/3*IF(BG9&lt;=0,0,IF((1-2*BG9*1E5/(DATOS!$C$29*AH9*BL9^2*DATOS!$C$21))&lt;0,-1,IF((1-SQRT((1-2*BG9*1E5/(DATOS!$C$29*AH9*BL9^2*DATOS!$C$21))))*DATOS!$C$21*AH9*BL9/DATOS!$C$14&gt;DATOS!$C$102*AH9*BL9,-1,(1-SQRT((1-2*BG9*1E5/(DATOS!$C$29*AH9*BL9^2*DATOS!$C$21))))*DATOS!$C$21*AH9*BL9/DATOS!$C$14)))))))</f>
        <v>0.0969233203692672</v>
      </c>
      <c r="BN9" s="64">
        <f>IF(V9&lt;&gt;"SÍ","",IF(AND(BM9&gt;=0,IF(MAX(DATOS!$C$74,CEILING(BM9/INDEX(TABLAS!$D$52:$D$58,MIN(MATCH(MAX(4,DATOS!$C$71),TABLAS!$B$52:$B$58,0)+0,7)),1))*INDEX(TABLAS!$D$52:$D$58,MIN(MATCH(MAX(4,DATOS!$C$71),TABLAS!$B$52:$B$58,0)+0,7))&gt;=4/3*IF(BG9&lt;=0,0,IF((1-2*BG9*1E5/(DATOS!$C$29*AH9*BL9^2*DATOS!$C$21))&lt;0,-1,IF((1-SQRT((1-2*BG9*1E5/(DATOS!$C$29*AH9*BL9^2*DATOS!$C$21))))*DATOS!$C$21*AH9*BL9/DATOS!$C$14&gt;DATOS!$C$102*AH9*BL9,-1,(1-SQRT((1-2*BG9*1E5/(DATOS!$C$29*AH9*BL9^2*DATOS!$C$21))))*DATOS!$C$21*AH9*BL9/DATOS!$C$14)))-0.0001,MAX(DATOS!$C$74,CEILING(BM9/INDEX(TABLAS!$D$52:$D$58,MIN(MATCH(MAX(4,DATOS!$C$71),TABLAS!$B$52:$B$58,0)+0,7)),1)),MAX(MAX(DATOS!$C$74,CEILING(BM9/INDEX(TABLAS!$D$52:$D$58,MIN(MATCH(MAX(4,DATOS!$C$71),TABLAS!$B$52:$B$58,0)+0,7)),1)),2))&lt;=MIN(DATOS!$C$73,INT(((AD9-2*AK9)+MAX(DATOS!$C$70,INDEX(TABLAS!$C$52:$C$58,MIN(MATCH(MAX(4,DATOS!$C$71),TABLAS!$B$52:$B$58,0)+0,7))))/(INDEX(TABLAS!$C$52:$C$58,MIN(MATCH(MAX(4,DATOS!$C$71),TABLAS!$B$52:$B$58,0)+0,7))+MAX(DATOS!$C$70,INDEX(TABLAS!$C$52:$C$58,MIN(MATCH(MAX(4,DATOS!$C$71),TABLAS!$B$52:$B$58,0)+0,7))))))),INDEX(TABLAS!$B$52:$B$58,MIN(MATCH(MAX(4,DATOS!$C$71),TABLAS!$B$52:$B$58,0)+0,7)),IF(AND(BM9&gt;=0,IF(MAX(DATOS!$C$74,CEILING(BM9/INDEX(TABLAS!$D$52:$D$58,MIN(MATCH(MAX(4,DATOS!$C$71),TABLAS!$B$52:$B$58,0)+1,7)),1))*INDEX(TABLAS!$D$52:$D$58,MIN(MATCH(MAX(4,DATOS!$C$71),TABLAS!$B$52:$B$58,0)+1,7))&gt;=4/3*IF(BG9&lt;=0,0,IF((1-2*BG9*1E5/(DATOS!$C$29*AH9*BL9^2*DATOS!$C$21))&lt;0,-1,IF((1-SQRT((1-2*BG9*1E5/(DATOS!$C$29*AH9*BL9^2*DATOS!$C$21))))*DATOS!$C$21*AH9*BL9/DATOS!$C$14&gt;DATOS!$C$102*AH9*BL9,-1,(1-SQRT((1-2*BG9*1E5/(DATOS!$C$29*AH9*BL9^2*DATOS!$C$21))))*DATOS!$C$21*AH9*BL9/DATOS!$C$14)))-0.0001,MAX(DATOS!$C$74,CEILING(BM9/INDEX(TABLAS!$D$52:$D$58,MIN(MATCH(MAX(4,DATOS!$C$71),TABLAS!$B$52:$B$58,0)+1,7)),1)),MAX(MAX(DATOS!$C$74,CEILING(BM9/INDEX(TABLAS!$D$52:$D$58,MIN(MATCH(MAX(4,DATOS!$C$71),TABLAS!$B$52:$B$58,0)+1,7)),1)),2))&lt;=MIN(DATOS!$C$73,INT(((AD9-2*AK9)+MAX(DATOS!$C$70,INDEX(TABLAS!$C$52:$C$58,MIN(MATCH(MAX(4,DATOS!$C$71),TABLAS!$B$52:$B$58,0)+1,7))))/(INDEX(TABLAS!$C$52:$C$58,MIN(MATCH(MAX(4,DATOS!$C$71),TABLAS!$B$52:$B$58,0)+1,7))+MAX(DATOS!$C$70,INDEX(TABLAS!$C$52:$C$58,MIN(MATCH(MAX(4,DATOS!$C$71),TABLAS!$B$52:$B$58,0)+1,7))))))),INDEX(TABLAS!$B$52:$B$58,MIN(MATCH(MAX(4,DATOS!$C$71),TABLAS!$B$52:$B$58,0)+1,7)),IF(AND(BM9&gt;=0,IF(MAX(DATOS!$C$74,CEILING(BM9/INDEX(TABLAS!$D$52:$D$58,MIN(MATCH(MAX(4,DATOS!$C$71),TABLAS!$B$52:$B$58,0)+2,7)),1))*INDEX(TABLAS!$D$52:$D$58,MIN(MATCH(MAX(4,DATOS!$C$71),TABLAS!$B$52:$B$58,0)+2,7))&gt;=4/3*IF(BG9&lt;=0,0,IF((1-2*BG9*1E5/(DATOS!$C$29*AH9*BL9^2*DATOS!$C$21))&lt;0,-1,IF((1-SQRT((1-2*BG9*1E5/(DATOS!$C$29*AH9*BL9^2*DATOS!$C$21))))*DATOS!$C$21*AH9*BL9/DATOS!$C$14&gt;DATOS!$C$102*AH9*BL9,-1,(1-SQRT((1-2*BG9*1E5/(DATOS!$C$29*AH9*BL9^2*DATOS!$C$21))))*DATOS!$C$21*AH9*BL9/DATOS!$C$14)))-0.0001,MAX(DATOS!$C$74,CEILING(BM9/INDEX(TABLAS!$D$52:$D$58,MIN(MATCH(MAX(4,DATOS!$C$71),TABLAS!$B$52:$B$58,0)+2,7)),1)),MAX(MAX(DATOS!$C$74,CEILING(BM9/INDEX(TABLAS!$D$52:$D$58,MIN(MATCH(MAX(4,DATOS!$C$71),TABLAS!$B$52:$B$58,0)+2,7)),1)),2))&lt;=MIN(DATOS!$C$73,INT(((AD9-2*AK9)+MAX(DATOS!$C$70,INDEX(TABLAS!$C$52:$C$58,MIN(MATCH(MAX(4,DATOS!$C$71),TABLAS!$B$52:$B$58,0)+2,7))))/(INDEX(TABLAS!$C$52:$C$58,MIN(MATCH(MAX(4,DATOS!$C$71),TABLAS!$B$52:$B$58,0)+2,7))+MAX(DATOS!$C$70,INDEX(TABLAS!$C$52:$C$58,MIN(MATCH(MAX(4,DATOS!$C$71),TABLAS!$B$52:$B$58,0)+2,7))))))),INDEX(TABLAS!$B$52:$B$58,MIN(MATCH(MAX(4,DATOS!$C$71),TABLAS!$B$52:$B$58,0)+2,7)),IF(AND(BM9&gt;=0,IF(MAX(DATOS!$C$74,CEILING(BM9/INDEX(TABLAS!$D$52:$D$58,MIN(MATCH(MAX(4,DATOS!$C$71),TABLAS!$B$52:$B$58,0)+3,7)),1))*INDEX(TABLAS!$D$52:$D$58,MIN(MATCH(MAX(4,DATOS!$C$71),TABLAS!$B$52:$B$58,0)+3,7))&gt;=4/3*IF(BG9&lt;=0,0,IF((1-2*BG9*1E5/(DATOS!$C$29*AH9*BL9^2*DATOS!$C$21))&lt;0,-1,IF((1-SQRT((1-2*BG9*1E5/(DATOS!$C$29*AH9*BL9^2*DATOS!$C$21))))*DATOS!$C$21*AH9*BL9/DATOS!$C$14&gt;DATOS!$C$102*AH9*BL9,-1,(1-SQRT((1-2*BG9*1E5/(DATOS!$C$29*AH9*BL9^2*DATOS!$C$21))))*DATOS!$C$21*AH9*BL9/DATOS!$C$14)))-0.0001,MAX(DATOS!$C$74,CEILING(BM9/INDEX(TABLAS!$D$52:$D$58,MIN(MATCH(MAX(4,DATOS!$C$71),TABLAS!$B$52:$B$58,0)+3,7)),1)),MAX(MAX(DATOS!$C$74,CEILING(BM9/INDEX(TABLAS!$D$52:$D$58,MIN(MATCH(MAX(4,DATOS!$C$71),TABLAS!$B$52:$B$58,0)+3,7)),1)),2))&lt;=MIN(DATOS!$C$73,INT(((AD9-2*AK9)+MAX(DATOS!$C$70,INDEX(TABLAS!$C$52:$C$58,MIN(MATCH(MAX(4,DATOS!$C$71),TABLAS!$B$52:$B$58,0)+3,7))))/(INDEX(TABLAS!$C$52:$C$58,MIN(MATCH(MAX(4,DATOS!$C$71),TABLAS!$B$52:$B$58,0)+3,7))+MAX(DATOS!$C$70,INDEX(TABLAS!$C$52:$C$58,MIN(MATCH(MAX(4,DATOS!$C$71),TABLAS!$B$52:$B$58,0)+3,7))))))),INDEX(TABLAS!$B$52:$B$58,MIN(MATCH(MAX(4,DATOS!$C$71),TABLAS!$B$52:$B$58,0)+3,7)),IF(AND(BM9&gt;=0,IF(MAX(DATOS!$C$74,CEILING(BM9/INDEX(TABLAS!$D$52:$D$58,MIN(MATCH(MAX(4,DATOS!$C$71),TABLAS!$B$52:$B$58,0)+4,7)),1))*INDEX(TABLAS!$D$52:$D$58,MIN(MATCH(MAX(4,DATOS!$C$71),TABLAS!$B$52:$B$58,0)+4,7))&gt;=4/3*IF(BG9&lt;=0,0,IF((1-2*BG9*1E5/(DATOS!$C$29*AH9*BL9^2*DATOS!$C$21))&lt;0,-1,IF((1-SQRT((1-2*BG9*1E5/(DATOS!$C$29*AH9*BL9^2*DATOS!$C$21))))*DATOS!$C$21*AH9*BL9/DATOS!$C$14&gt;DATOS!$C$102*AH9*BL9,-1,(1-SQRT((1-2*BG9*1E5/(DATOS!$C$29*AH9*BL9^2*DATOS!$C$21))))*DATOS!$C$21*AH9*BL9/DATOS!$C$14)))-0.0001,MAX(DATOS!$C$74,CEILING(BM9/INDEX(TABLAS!$D$52:$D$58,MIN(MATCH(MAX(4,DATOS!$C$71),TABLAS!$B$52:$B$58,0)+4,7)),1)),MAX(MAX(DATOS!$C$74,CEILING(BM9/INDEX(TABLAS!$D$52:$D$58,MIN(MATCH(MAX(4,DATOS!$C$71),TABLAS!$B$52:$B$58,0)+4,7)),1)),2))&lt;=MIN(DATOS!$C$73,INT(((AD9-2*AK9)+MAX(DATOS!$C$70,INDEX(TABLAS!$C$52:$C$58,MIN(MATCH(MAX(4,DATOS!$C$71),TABLAS!$B$52:$B$58,0)+4,7))))/(INDEX(TABLAS!$C$52:$C$58,MIN(MATCH(MAX(4,DATOS!$C$71),TABLAS!$B$52:$B$58,0)+4,7))+MAX(DATOS!$C$70,INDEX(TABLAS!$C$52:$C$58,MIN(MATCH(MAX(4,DATOS!$C$71),TABLAS!$B$52:$B$58,0)+4,7))))))),INDEX(TABLAS!$B$52:$B$58,MIN(MATCH(MAX(4,DATOS!$C$71),TABLAS!$B$52:$B$58,0)+4,7)),INDEX(TABLAS!$B$52:$B$58,7)))))))</f>
        <v>4</v>
      </c>
      <c r="BO9" s="59">
        <f>IF(V9&lt;&gt;"SÍ","",IF(BM9&lt;0,0,IF(MAX(DATOS!$C$74,CEILING(MAX(BM9,0)/INDEX(TABLAS!$D$52:$D$58,MATCH(BN9,TABLAS!$B$52:$B$58,0)),1))*INDEX(TABLAS!$D$52:$D$58,MATCH(BN9,TABLAS!$B$52:$B$58,0))&gt;=4/3*IF(BG9&lt;=0,0,IF((1-2*BG9*1E5/(DATOS!$C$29*AH9*BL9^2*DATOS!$C$21))&lt;0,-1,IF((1-SQRT((1-2*BG9*1E5/(DATOS!$C$29*AH9*BL9^2*DATOS!$C$21))))*DATOS!$C$21*AH9*BL9/DATOS!$C$14&gt;DATOS!$C$102*AH9*BL9,-1,(1-SQRT((1-2*BG9*1E5/(DATOS!$C$29*AH9*BL9^2*DATOS!$C$21))))*DATOS!$C$21*AH9*BL9/DATOS!$C$14)))-0.0001,MAX(DATOS!$C$74,CEILING(MAX(BM9,0)/INDEX(TABLAS!$D$52:$D$58,MATCH(BN9,TABLAS!$B$52:$B$58,0)),1)),MAX(MAX(DATOS!$C$74,CEILING(MAX(BM9,0)/INDEX(TABLAS!$D$52:$D$58,MATCH(BN9,TABLAS!$B$52:$B$58,0)),1)),2))))</f>
        <v>1</v>
      </c>
      <c r="BP9" s="58">
        <f>IF(V9&lt;&gt;"SÍ","",DATOS!$C$85-AK9-INDEX(TABLAS!$C$52:$C$58,MATCH(BN9,TABLAS!$B$52:$B$58,0))/2)</f>
        <v>20.365</v>
      </c>
      <c r="BQ9" s="56">
        <f>IF(V9&lt;&gt;"SÍ","",IF(BO9=0,0,DATOS!$C$29*BO9*INDEX(TABLAS!$D$52:$D$58,MATCH(BN9,TABLAS!$B$52:$B$58,0))*DATOS!$C$14*(BP9-BO9*INDEX(TABLAS!$D$52:$D$58,MATCH(BN9,TABLAS!$B$52:$B$58,0))*DATOS!$C$14/(DATOS!$C$21*AH9)/2)/1E5))</f>
        <v>0.96461508645787</v>
      </c>
      <c r="BR9" s="65">
        <f>IF(V9&lt;&gt;"SÍ","",IF(BM9&lt;0,9.99,IF(BQ9&gt;0,BG9/BQ9,0)))</f>
        <v>0.0579669364533359</v>
      </c>
      <c r="BS9" s="66">
        <f>IF(V9&lt;&gt;"SÍ","",IF(BO9=0,"—",0.003*(BP9-(BO9*INDEX(TABLAS!$D$52:$D$58,MATCH(BN9,TABLAS!$B$52:$B$58,0))*DATOS!$C$14/(DATOS!$C$21*AH9)/DATOS!$C$22))/(BO9*INDEX(TABLAS!$D$52:$D$58,MATCH(BN9,TABLAS!$B$52:$B$58,0))*DATOS!$C$14/(DATOS!$C$21*AH9)/DATOS!$C$22)))</f>
        <v>0.0926846461086895</v>
      </c>
      <c r="BT9" s="58">
        <f>IF(V9&lt;&gt;"SÍ","",((DATOS!$C$85-AM9-2*DATOS!$C$97-INDEX(TABLAS!$C$52:$C$58,MATCH(MAX(4,DATOS!$C$72),TABLAS!$B$52:$B$58,0))/2)-IF(AND((DATOS!$C$85-AM9-2*DATOS!$C$97-INDEX(TABLAS!$C$52:$C$58,MATCH(MAX(4,DATOS!$C$72),TABLAS!$B$52:$B$58,0))/2)&lt;=20,DATOS!$C$65&lt;&gt;"SÍ"),2,0)))</f>
        <v>19.221</v>
      </c>
      <c r="BU9" s="58">
        <f>IF(V9&lt;&gt;"SÍ","",IF(IF(BH9&lt;=0,0,IF((1-2*BH9*1E5/(DATOS!$C$29*AF9*BT9^2*DATOS!$C$21))&lt;0,-1,IF((1-SQRT((1-2*BH9*1E5/(DATOS!$C$29*AF9*BT9^2*DATOS!$C$21))))*DATOS!$C$21*AF9*BT9/DATOS!$C$14&gt;DATOS!$C$102*AF9*BT9,-1,(1-SQRT((1-2*BH9*1E5/(DATOS!$C$29*AF9*BT9^2*DATOS!$C$21))))*DATOS!$C$21*AF9*BT9/DATOS!$C$14)))&lt;0,-1,MAX(IF(BH9&lt;=0,0,IF((1-2*BH9*1E5/(DATOS!$C$29*AF9*BT9^2*DATOS!$C$21))&lt;0,-1,IF((1-SQRT((1-2*BH9*1E5/(DATOS!$C$29*AF9*BT9^2*DATOS!$C$21))))*DATOS!$C$21*AF9*BT9/DATOS!$C$14&gt;DATOS!$C$102*AF9*BT9,-1,(1-SQRT((1-2*BH9*1E5/(DATOS!$C$29*AF9*BT9^2*DATOS!$C$21))))*DATOS!$C$21*AF9*BT9/DATOS!$C$14))),MIN(DATOS!$C$103*IF(C9="VOLADO",MIN(AH9,2*AD9),AD9)*BT9,4/3*IF(BH9&lt;=0,0,IF((1-2*BH9*1E5/(DATOS!$C$29*AF9*BT9^2*DATOS!$C$21))&lt;0,-1,IF((1-SQRT((1-2*BH9*1E5/(DATOS!$C$29*AF9*BT9^2*DATOS!$C$21))))*DATOS!$C$21*AF9*BT9/DATOS!$C$14&gt;DATOS!$C$102*AF9*BT9,-1,(1-SQRT((1-2*BH9*1E5/(DATOS!$C$29*AF9*BT9^2*DATOS!$C$21))))*DATOS!$C$21*AF9*BT9/DATOS!$C$14)))))))</f>
        <v>0.356885999287858</v>
      </c>
      <c r="BV9" s="64">
        <f>IF(V9&lt;&gt;"SÍ","",IF(AND(BU9&gt;=0,IF(MAX(DATOS!$C$74,CEILING(BU9/INDEX(TABLAS!$D$52:$D$58,MIN(MATCH(MAX(4,DATOS!$C$72),TABLAS!$B$52:$B$58,0)+0,7)),1))*INDEX(TABLAS!$D$52:$D$58,MIN(MATCH(MAX(4,DATOS!$C$72),TABLAS!$B$52:$B$58,0)+0,7))&gt;=4/3*IF(BH9&lt;=0,0,IF((1-2*BH9*1E5/(DATOS!$C$29*AF9*BT9^2*DATOS!$C$21))&lt;0,-1,IF((1-SQRT((1-2*BH9*1E5/(DATOS!$C$29*AF9*BT9^2*DATOS!$C$21))))*DATOS!$C$21*AF9*BT9/DATOS!$C$14&gt;DATOS!$C$102*AF9*BT9,-1,(1-SQRT((1-2*BH9*1E5/(DATOS!$C$29*AF9*BT9^2*DATOS!$C$21))))*DATOS!$C$21*AF9*BT9/DATOS!$C$14)))-0.0001,MAX(DATOS!$C$74,CEILING(BU9/INDEX(TABLAS!$D$52:$D$58,MIN(MATCH(MAX(4,DATOS!$C$72),TABLAS!$B$52:$B$58,0)+0,7)),1)),MAX(MAX(DATOS!$C$74,CEILING(BU9/INDEX(TABLAS!$D$52:$D$58,MIN(MATCH(MAX(4,DATOS!$C$72),TABLAS!$B$52:$B$58,0)+0,7)),1)),2))&lt;=MIN(DATOS!$C$73,INT(((AD9-2*AL9)+MAX(DATOS!$C$70,INDEX(TABLAS!$C$52:$C$58,MIN(MATCH(MAX(4,DATOS!$C$72),TABLAS!$B$52:$B$58,0)+0,7))))/(INDEX(TABLAS!$C$52:$C$58,MIN(MATCH(MAX(4,DATOS!$C$72),TABLAS!$B$52:$B$58,0)+0,7))+MAX(DATOS!$C$70,INDEX(TABLAS!$C$52:$C$58,MIN(MATCH(MAX(4,DATOS!$C$72),TABLAS!$B$52:$B$58,0)+0,7))))))),INDEX(TABLAS!$B$52:$B$58,MIN(MATCH(MAX(4,DATOS!$C$72),TABLAS!$B$52:$B$58,0)+0,7)),IF(AND(BU9&gt;=0,IF(MAX(DATOS!$C$74,CEILING(BU9/INDEX(TABLAS!$D$52:$D$58,MIN(MATCH(MAX(4,DATOS!$C$72),TABLAS!$B$52:$B$58,0)+1,7)),1))*INDEX(TABLAS!$D$52:$D$58,MIN(MATCH(MAX(4,DATOS!$C$72),TABLAS!$B$52:$B$58,0)+1,7))&gt;=4/3*IF(BH9&lt;=0,0,IF((1-2*BH9*1E5/(DATOS!$C$29*AF9*BT9^2*DATOS!$C$21))&lt;0,-1,IF((1-SQRT((1-2*BH9*1E5/(DATOS!$C$29*AF9*BT9^2*DATOS!$C$21))))*DATOS!$C$21*AF9*BT9/DATOS!$C$14&gt;DATOS!$C$102*AF9*BT9,-1,(1-SQRT((1-2*BH9*1E5/(DATOS!$C$29*AF9*BT9^2*DATOS!$C$21))))*DATOS!$C$21*AF9*BT9/DATOS!$C$14)))-0.0001,MAX(DATOS!$C$74,CEILING(BU9/INDEX(TABLAS!$D$52:$D$58,MIN(MATCH(MAX(4,DATOS!$C$72),TABLAS!$B$52:$B$58,0)+1,7)),1)),MAX(MAX(DATOS!$C$74,CEILING(BU9/INDEX(TABLAS!$D$52:$D$58,MIN(MATCH(MAX(4,DATOS!$C$72),TABLAS!$B$52:$B$58,0)+1,7)),1)),2))&lt;=MIN(DATOS!$C$73,INT(((AD9-2*AL9)+MAX(DATOS!$C$70,INDEX(TABLAS!$C$52:$C$58,MIN(MATCH(MAX(4,DATOS!$C$72),TABLAS!$B$52:$B$58,0)+1,7))))/(INDEX(TABLAS!$C$52:$C$58,MIN(MATCH(MAX(4,DATOS!$C$72),TABLAS!$B$52:$B$58,0)+1,7))+MAX(DATOS!$C$70,INDEX(TABLAS!$C$52:$C$58,MIN(MATCH(MAX(4,DATOS!$C$72),TABLAS!$B$52:$B$58,0)+1,7))))))),INDEX(TABLAS!$B$52:$B$58,MIN(MATCH(MAX(4,DATOS!$C$72),TABLAS!$B$52:$B$58,0)+1,7)),IF(AND(BU9&gt;=0,IF(MAX(DATOS!$C$74,CEILING(BU9/INDEX(TABLAS!$D$52:$D$58,MIN(MATCH(MAX(4,DATOS!$C$72),TABLAS!$B$52:$B$58,0)+2,7)),1))*INDEX(TABLAS!$D$52:$D$58,MIN(MATCH(MAX(4,DATOS!$C$72),TABLAS!$B$52:$B$58,0)+2,7))&gt;=4/3*IF(BH9&lt;=0,0,IF((1-2*BH9*1E5/(DATOS!$C$29*AF9*BT9^2*DATOS!$C$21))&lt;0,-1,IF((1-SQRT((1-2*BH9*1E5/(DATOS!$C$29*AF9*BT9^2*DATOS!$C$21))))*DATOS!$C$21*AF9*BT9/DATOS!$C$14&gt;DATOS!$C$102*AF9*BT9,-1,(1-SQRT((1-2*BH9*1E5/(DATOS!$C$29*AF9*BT9^2*DATOS!$C$21))))*DATOS!$C$21*AF9*BT9/DATOS!$C$14)))-0.0001,MAX(DATOS!$C$74,CEILING(BU9/INDEX(TABLAS!$D$52:$D$58,MIN(MATCH(MAX(4,DATOS!$C$72),TABLAS!$B$52:$B$58,0)+2,7)),1)),MAX(MAX(DATOS!$C$74,CEILING(BU9/INDEX(TABLAS!$D$52:$D$58,MIN(MATCH(MAX(4,DATOS!$C$72),TABLAS!$B$52:$B$58,0)+2,7)),1)),2))&lt;=MIN(DATOS!$C$73,INT(((AD9-2*AL9)+MAX(DATOS!$C$70,INDEX(TABLAS!$C$52:$C$58,MIN(MATCH(MAX(4,DATOS!$C$72),TABLAS!$B$52:$B$58,0)+2,7))))/(INDEX(TABLAS!$C$52:$C$58,MIN(MATCH(MAX(4,DATOS!$C$72),TABLAS!$B$52:$B$58,0)+2,7))+MAX(DATOS!$C$70,INDEX(TABLAS!$C$52:$C$58,MIN(MATCH(MAX(4,DATOS!$C$72),TABLAS!$B$52:$B$58,0)+2,7))))))),INDEX(TABLAS!$B$52:$B$58,MIN(MATCH(MAX(4,DATOS!$C$72),TABLAS!$B$52:$B$58,0)+2,7)),IF(AND(BU9&gt;=0,IF(MAX(DATOS!$C$74,CEILING(BU9/INDEX(TABLAS!$D$52:$D$58,MIN(MATCH(MAX(4,DATOS!$C$72),TABLAS!$B$52:$B$58,0)+3,7)),1))*INDEX(TABLAS!$D$52:$D$58,MIN(MATCH(MAX(4,DATOS!$C$72),TABLAS!$B$52:$B$58,0)+3,7))&gt;=4/3*IF(BH9&lt;=0,0,IF((1-2*BH9*1E5/(DATOS!$C$29*AF9*BT9^2*DATOS!$C$21))&lt;0,-1,IF((1-SQRT((1-2*BH9*1E5/(DATOS!$C$29*AF9*BT9^2*DATOS!$C$21))))*DATOS!$C$21*AF9*BT9/DATOS!$C$14&gt;DATOS!$C$102*AF9*BT9,-1,(1-SQRT((1-2*BH9*1E5/(DATOS!$C$29*AF9*BT9^2*DATOS!$C$21))))*DATOS!$C$21*AF9*BT9/DATOS!$C$14)))-0.0001,MAX(DATOS!$C$74,CEILING(BU9/INDEX(TABLAS!$D$52:$D$58,MIN(MATCH(MAX(4,DATOS!$C$72),TABLAS!$B$52:$B$58,0)+3,7)),1)),MAX(MAX(DATOS!$C$74,CEILING(BU9/INDEX(TABLAS!$D$52:$D$58,MIN(MATCH(MAX(4,DATOS!$C$72),TABLAS!$B$52:$B$58,0)+3,7)),1)),2))&lt;=MIN(DATOS!$C$73,INT(((AD9-2*AL9)+MAX(DATOS!$C$70,INDEX(TABLAS!$C$52:$C$58,MIN(MATCH(MAX(4,DATOS!$C$72),TABLAS!$B$52:$B$58,0)+3,7))))/(INDEX(TABLAS!$C$52:$C$58,MIN(MATCH(MAX(4,DATOS!$C$72),TABLAS!$B$52:$B$58,0)+3,7))+MAX(DATOS!$C$70,INDEX(TABLAS!$C$52:$C$58,MIN(MATCH(MAX(4,DATOS!$C$72),TABLAS!$B$52:$B$58,0)+3,7))))))),INDEX(TABLAS!$B$52:$B$58,MIN(MATCH(MAX(4,DATOS!$C$72),TABLAS!$B$52:$B$58,0)+3,7)),IF(AND(BU9&gt;=0,IF(MAX(DATOS!$C$74,CEILING(BU9/INDEX(TABLAS!$D$52:$D$58,MIN(MATCH(MAX(4,DATOS!$C$72),TABLAS!$B$52:$B$58,0)+4,7)),1))*INDEX(TABLAS!$D$52:$D$58,MIN(MATCH(MAX(4,DATOS!$C$72),TABLAS!$B$52:$B$58,0)+4,7))&gt;=4/3*IF(BH9&lt;=0,0,IF((1-2*BH9*1E5/(DATOS!$C$29*AF9*BT9^2*DATOS!$C$21))&lt;0,-1,IF((1-SQRT((1-2*BH9*1E5/(DATOS!$C$29*AF9*BT9^2*DATOS!$C$21))))*DATOS!$C$21*AF9*BT9/DATOS!$C$14&gt;DATOS!$C$102*AF9*BT9,-1,(1-SQRT((1-2*BH9*1E5/(DATOS!$C$29*AF9*BT9^2*DATOS!$C$21))))*DATOS!$C$21*AF9*BT9/DATOS!$C$14)))-0.0001,MAX(DATOS!$C$74,CEILING(BU9/INDEX(TABLAS!$D$52:$D$58,MIN(MATCH(MAX(4,DATOS!$C$72),TABLAS!$B$52:$B$58,0)+4,7)),1)),MAX(MAX(DATOS!$C$74,CEILING(BU9/INDEX(TABLAS!$D$52:$D$58,MIN(MATCH(MAX(4,DATOS!$C$72),TABLAS!$B$52:$B$58,0)+4,7)),1)),2))&lt;=MIN(DATOS!$C$73,INT(((AD9-2*AL9)+MAX(DATOS!$C$70,INDEX(TABLAS!$C$52:$C$58,MIN(MATCH(MAX(4,DATOS!$C$72),TABLAS!$B$52:$B$58,0)+4,7))))/(INDEX(TABLAS!$C$52:$C$58,MIN(MATCH(MAX(4,DATOS!$C$72),TABLAS!$B$52:$B$58,0)+4,7))+MAX(DATOS!$C$70,INDEX(TABLAS!$C$52:$C$58,MIN(MATCH(MAX(4,DATOS!$C$72),TABLAS!$B$52:$B$58,0)+4,7))))))),INDEX(TABLAS!$B$52:$B$58,MIN(MATCH(MAX(4,DATOS!$C$72),TABLAS!$B$52:$B$58,0)+4,7)),INDEX(TABLAS!$B$52:$B$58,7)))))))</f>
        <v>4</v>
      </c>
      <c r="BW9" s="59">
        <f>IF(V9&lt;&gt;"SÍ","",IF(BU9&lt;0,0,IF(MAX(DATOS!$C$74,CEILING(MAX(BU9,0)/INDEX(TABLAS!$D$52:$D$58,MATCH(BV9,TABLAS!$B$52:$B$58,0)),1))*INDEX(TABLAS!$D$52:$D$58,MATCH(BV9,TABLAS!$B$52:$B$58,0))&gt;=4/3*IF(BH9&lt;=0,0,IF((1-2*BH9*1E5/(DATOS!$C$29*AF9*BT9^2*DATOS!$C$21))&lt;0,-1,IF((1-SQRT((1-2*BH9*1E5/(DATOS!$C$29*AF9*BT9^2*DATOS!$C$21))))*DATOS!$C$21*AF9*BT9/DATOS!$C$14&gt;DATOS!$C$102*AF9*BT9,-1,(1-SQRT((1-2*BH9*1E5/(DATOS!$C$29*AF9*BT9^2*DATOS!$C$21))))*DATOS!$C$21*AF9*BT9/DATOS!$C$14)))-0.0001,MAX(DATOS!$C$74,CEILING(MAX(BU9,0)/INDEX(TABLAS!$D$52:$D$58,MATCH(BV9,TABLAS!$B$52:$B$58,0)),1)),MAX(MAX(DATOS!$C$74,CEILING(MAX(BU9,0)/INDEX(TABLAS!$D$52:$D$58,MATCH(BV9,TABLAS!$B$52:$B$58,0)),1)),2))))</f>
        <v>1</v>
      </c>
      <c r="BX9" s="58">
        <f>IF(V9&lt;&gt;"SÍ","",((DATOS!$C$85-AM9-2*DATOS!$C$97-INDEX(TABLAS!$C$52:$C$58,MATCH(BV9,TABLAS!$B$52:$B$58,0))/2)-IF(AND((DATOS!$C$85-AM9-2*DATOS!$C$97-INDEX(TABLAS!$C$52:$C$58,MATCH(BV9,TABLAS!$B$52:$B$58,0))/2)&lt;=20,DATOS!$C$65&lt;&gt;"SÍ"),2,0)))</f>
        <v>19.221</v>
      </c>
      <c r="BY9" s="56">
        <f>IF(V9&lt;&gt;"SÍ","",IF(BW9=0,0,DATOS!$C$29*BW9*INDEX(TABLAS!$D$52:$D$58,MATCH(BV9,TABLAS!$B$52:$B$58,0))*DATOS!$C$14*(BX9-BW9*INDEX(TABLAS!$D$52:$D$58,MATCH(BV9,TABLAS!$B$52:$B$58,0))*DATOS!$C$14/(DATOS!$C$21*AF9)/2)/1E5))</f>
        <v>0.862472972117647</v>
      </c>
      <c r="BZ9" s="65">
        <f>IF(V9&lt;&gt;"SÍ","",IF(BU9&lt;0,9.99,IF(BY9&gt;0,BH9/BY9,0)))</f>
        <v>0.222379566782488</v>
      </c>
      <c r="CA9" s="66">
        <f>IF(V9&lt;&gt;"SÍ","",IF(BW9=0,"—",0.003*(BX9-(BW9*INDEX(TABLAS!$D$52:$D$58,MATCH(BV9,TABLAS!$B$52:$B$58,0))*DATOS!$C$14/(DATOS!$C$21*AF9)/DATOS!$C$22))/(BW9*INDEX(TABLAS!$D$52:$D$58,MATCH(BV9,TABLAS!$B$52:$B$58,0))*DATOS!$C$14/(DATOS!$C$21*AF9)/DATOS!$C$22)))</f>
        <v>0.0165263955286839</v>
      </c>
      <c r="CB9" s="58">
        <f>IF(V9&lt;&gt;"SÍ","",(DATOS!$C$85-AK9-INDEX(TABLAS!$C$52:$C$58,MATCH(MAX(4,DATOS!$C$71),TABLAS!$B$52:$B$58,0))-INDEX(TABLAS!$C$52:$C$58,MATCH(MAX(4,DATOS!$C$71),TABLAS!$B$52:$B$58,0))/2))</f>
        <v>19.095</v>
      </c>
      <c r="CC9" s="58">
        <f>IF(V9&lt;&gt;"SÍ","",IF(IF(BI9&lt;=0,0,IF((1-2*BI9*1E5/(DATOS!$C$29*AI9*CB9^2*DATOS!$C$21))&lt;0,-1,IF((1-SQRT((1-2*BI9*1E5/(DATOS!$C$29*AI9*CB9^2*DATOS!$C$21))))*DATOS!$C$21*AI9*CB9/DATOS!$C$14&gt;DATOS!$C$102*AI9*CB9,-1,(1-SQRT((1-2*BI9*1E5/(DATOS!$C$29*AI9*CB9^2*DATOS!$C$21))))*DATOS!$C$21*AI9*CB9/DATOS!$C$14)))&lt;0,-1,MAX(IF(BI9&lt;=0,0,IF((1-2*BI9*1E5/(DATOS!$C$29*AI9*CB9^2*DATOS!$C$21))&lt;0,-1,IF((1-SQRT((1-2*BI9*1E5/(DATOS!$C$29*AI9*CB9^2*DATOS!$C$21))))*DATOS!$C$21*AI9*CB9/DATOS!$C$14&gt;DATOS!$C$102*AI9*CB9,-1,(1-SQRT((1-2*BI9*1E5/(DATOS!$C$29*AI9*CB9^2*DATOS!$C$21))))*DATOS!$C$21*AI9*CB9/DATOS!$C$14))),MIN(DATOS!$C$103*DATOS!$C$83*CB9,4/3*IF(BI9&lt;=0,0,IF((1-2*BI9*1E5/(DATOS!$C$29*AI9*CB9^2*DATOS!$C$21))&lt;0,-1,IF((1-SQRT((1-2*BI9*1E5/(DATOS!$C$29*AI9*CB9^2*DATOS!$C$21))))*DATOS!$C$21*AI9*CB9/DATOS!$C$14&gt;DATOS!$C$102*AI9*CB9,-1,(1-SQRT((1-2*BI9*1E5/(DATOS!$C$29*AI9*CB9^2*DATOS!$C$21))))*DATOS!$C$21*AI9*CB9/DATOS!$C$14)))))))</f>
        <v>0.0484681895824149</v>
      </c>
      <c r="CD9" s="64">
        <f>IF(V9&lt;&gt;"SÍ","",IF(AND(CC9&gt;=0,IF(MAX(DATOS!$C$74,CEILING(CC9/INDEX(TABLAS!$D$52:$D$58,MIN(MATCH(MAX(4,DATOS!$C$71),TABLAS!$B$52:$B$58,0)+0,7)),1))*INDEX(TABLAS!$D$52:$D$58,MIN(MATCH(MAX(4,DATOS!$C$71),TABLAS!$B$52:$B$58,0)+0,7))&gt;=4/3*IF(BI9&lt;=0,0,IF((1-2*BI9*1E5/(DATOS!$C$29*AI9*CB9^2*DATOS!$C$21))&lt;0,-1,IF((1-SQRT((1-2*BI9*1E5/(DATOS!$C$29*AI9*CB9^2*DATOS!$C$21))))*DATOS!$C$21*AI9*CB9/DATOS!$C$14&gt;DATOS!$C$102*AI9*CB9,-1,(1-SQRT((1-2*BI9*1E5/(DATOS!$C$29*AI9*CB9^2*DATOS!$C$21))))*DATOS!$C$21*AI9*CB9/DATOS!$C$14)))-0.0001,MAX(DATOS!$C$74,CEILING(CC9/INDEX(TABLAS!$D$52:$D$58,MIN(MATCH(MAX(4,DATOS!$C$71),TABLAS!$B$52:$B$58,0)+0,7)),1)),MAX(MAX(DATOS!$C$74,CEILING(CC9/INDEX(TABLAS!$D$52:$D$58,MIN(MATCH(MAX(4,DATOS!$C$71),TABLAS!$B$52:$B$58,0)+0,7)),1)),2))&lt;=MIN(DATOS!$C$73,INT(((DATOS!$C$83-2*AK9)+MAX(DATOS!$C$70,INDEX(TABLAS!$C$52:$C$58,MIN(MATCH(MAX(4,DATOS!$C$71),TABLAS!$B$52:$B$58,0)+0,7))))/(INDEX(TABLAS!$C$52:$C$58,MIN(MATCH(MAX(4,DATOS!$C$71),TABLAS!$B$52:$B$58,0)+0,7))+MAX(DATOS!$C$70,INDEX(TABLAS!$C$52:$C$58,MIN(MATCH(MAX(4,DATOS!$C$71),TABLAS!$B$52:$B$58,0)+0,7))))))),INDEX(TABLAS!$B$52:$B$58,MIN(MATCH(MAX(4,DATOS!$C$71),TABLAS!$B$52:$B$58,0)+0,7)),IF(AND(CC9&gt;=0,IF(MAX(DATOS!$C$74,CEILING(CC9/INDEX(TABLAS!$D$52:$D$58,MIN(MATCH(MAX(4,DATOS!$C$71),TABLAS!$B$52:$B$58,0)+1,7)),1))*INDEX(TABLAS!$D$52:$D$58,MIN(MATCH(MAX(4,DATOS!$C$71),TABLAS!$B$52:$B$58,0)+1,7))&gt;=4/3*IF(BI9&lt;=0,0,IF((1-2*BI9*1E5/(DATOS!$C$29*AI9*CB9^2*DATOS!$C$21))&lt;0,-1,IF((1-SQRT((1-2*BI9*1E5/(DATOS!$C$29*AI9*CB9^2*DATOS!$C$21))))*DATOS!$C$21*AI9*CB9/DATOS!$C$14&gt;DATOS!$C$102*AI9*CB9,-1,(1-SQRT((1-2*BI9*1E5/(DATOS!$C$29*AI9*CB9^2*DATOS!$C$21))))*DATOS!$C$21*AI9*CB9/DATOS!$C$14)))-0.0001,MAX(DATOS!$C$74,CEILING(CC9/INDEX(TABLAS!$D$52:$D$58,MIN(MATCH(MAX(4,DATOS!$C$71),TABLAS!$B$52:$B$58,0)+1,7)),1)),MAX(MAX(DATOS!$C$74,CEILING(CC9/INDEX(TABLAS!$D$52:$D$58,MIN(MATCH(MAX(4,DATOS!$C$71),TABLAS!$B$52:$B$58,0)+1,7)),1)),2))&lt;=MIN(DATOS!$C$73,INT(((DATOS!$C$83-2*AK9)+MAX(DATOS!$C$70,INDEX(TABLAS!$C$52:$C$58,MIN(MATCH(MAX(4,DATOS!$C$71),TABLAS!$B$52:$B$58,0)+1,7))))/(INDEX(TABLAS!$C$52:$C$58,MIN(MATCH(MAX(4,DATOS!$C$71),TABLAS!$B$52:$B$58,0)+1,7))+MAX(DATOS!$C$70,INDEX(TABLAS!$C$52:$C$58,MIN(MATCH(MAX(4,DATOS!$C$71),TABLAS!$B$52:$B$58,0)+1,7))))))),INDEX(TABLAS!$B$52:$B$58,MIN(MATCH(MAX(4,DATOS!$C$71),TABLAS!$B$52:$B$58,0)+1,7)),IF(AND(CC9&gt;=0,IF(MAX(DATOS!$C$74,CEILING(CC9/INDEX(TABLAS!$D$52:$D$58,MIN(MATCH(MAX(4,DATOS!$C$71),TABLAS!$B$52:$B$58,0)+2,7)),1))*INDEX(TABLAS!$D$52:$D$58,MIN(MATCH(MAX(4,DATOS!$C$71),TABLAS!$B$52:$B$58,0)+2,7))&gt;=4/3*IF(BI9&lt;=0,0,IF((1-2*BI9*1E5/(DATOS!$C$29*AI9*CB9^2*DATOS!$C$21))&lt;0,-1,IF((1-SQRT((1-2*BI9*1E5/(DATOS!$C$29*AI9*CB9^2*DATOS!$C$21))))*DATOS!$C$21*AI9*CB9/DATOS!$C$14&gt;DATOS!$C$102*AI9*CB9,-1,(1-SQRT((1-2*BI9*1E5/(DATOS!$C$29*AI9*CB9^2*DATOS!$C$21))))*DATOS!$C$21*AI9*CB9/DATOS!$C$14)))-0.0001,MAX(DATOS!$C$74,CEILING(CC9/INDEX(TABLAS!$D$52:$D$58,MIN(MATCH(MAX(4,DATOS!$C$71),TABLAS!$B$52:$B$58,0)+2,7)),1)),MAX(MAX(DATOS!$C$74,CEILING(CC9/INDEX(TABLAS!$D$52:$D$58,MIN(MATCH(MAX(4,DATOS!$C$71),TABLAS!$B$52:$B$58,0)+2,7)),1)),2))&lt;=MIN(DATOS!$C$73,INT(((DATOS!$C$83-2*AK9)+MAX(DATOS!$C$70,INDEX(TABLAS!$C$52:$C$58,MIN(MATCH(MAX(4,DATOS!$C$71),TABLAS!$B$52:$B$58,0)+2,7))))/(INDEX(TABLAS!$C$52:$C$58,MIN(MATCH(MAX(4,DATOS!$C$71),TABLAS!$B$52:$B$58,0)+2,7))+MAX(DATOS!$C$70,INDEX(TABLAS!$C$52:$C$58,MIN(MATCH(MAX(4,DATOS!$C$71),TABLAS!$B$52:$B$58,0)+2,7))))))),INDEX(TABLAS!$B$52:$B$58,MIN(MATCH(MAX(4,DATOS!$C$71),TABLAS!$B$52:$B$58,0)+2,7)),IF(AND(CC9&gt;=0,IF(MAX(DATOS!$C$74,CEILING(CC9/INDEX(TABLAS!$D$52:$D$58,MIN(MATCH(MAX(4,DATOS!$C$71),TABLAS!$B$52:$B$58,0)+3,7)),1))*INDEX(TABLAS!$D$52:$D$58,MIN(MATCH(MAX(4,DATOS!$C$71),TABLAS!$B$52:$B$58,0)+3,7))&gt;=4/3*IF(BI9&lt;=0,0,IF((1-2*BI9*1E5/(DATOS!$C$29*AI9*CB9^2*DATOS!$C$21))&lt;0,-1,IF((1-SQRT((1-2*BI9*1E5/(DATOS!$C$29*AI9*CB9^2*DATOS!$C$21))))*DATOS!$C$21*AI9*CB9/DATOS!$C$14&gt;DATOS!$C$102*AI9*CB9,-1,(1-SQRT((1-2*BI9*1E5/(DATOS!$C$29*AI9*CB9^2*DATOS!$C$21))))*DATOS!$C$21*AI9*CB9/DATOS!$C$14)))-0.0001,MAX(DATOS!$C$74,CEILING(CC9/INDEX(TABLAS!$D$52:$D$58,MIN(MATCH(MAX(4,DATOS!$C$71),TABLAS!$B$52:$B$58,0)+3,7)),1)),MAX(MAX(DATOS!$C$74,CEILING(CC9/INDEX(TABLAS!$D$52:$D$58,MIN(MATCH(MAX(4,DATOS!$C$71),TABLAS!$B$52:$B$58,0)+3,7)),1)),2))&lt;=MIN(DATOS!$C$73,INT(((DATOS!$C$83-2*AK9)+MAX(DATOS!$C$70,INDEX(TABLAS!$C$52:$C$58,MIN(MATCH(MAX(4,DATOS!$C$71),TABLAS!$B$52:$B$58,0)+3,7))))/(INDEX(TABLAS!$C$52:$C$58,MIN(MATCH(MAX(4,DATOS!$C$71),TABLAS!$B$52:$B$58,0)+3,7))+MAX(DATOS!$C$70,INDEX(TABLAS!$C$52:$C$58,MIN(MATCH(MAX(4,DATOS!$C$71),TABLAS!$B$52:$B$58,0)+3,7))))))),INDEX(TABLAS!$B$52:$B$58,MIN(MATCH(MAX(4,DATOS!$C$71),TABLAS!$B$52:$B$58,0)+3,7)),IF(AND(CC9&gt;=0,IF(MAX(DATOS!$C$74,CEILING(CC9/INDEX(TABLAS!$D$52:$D$58,MIN(MATCH(MAX(4,DATOS!$C$71),TABLAS!$B$52:$B$58,0)+4,7)),1))*INDEX(TABLAS!$D$52:$D$58,MIN(MATCH(MAX(4,DATOS!$C$71),TABLAS!$B$52:$B$58,0)+4,7))&gt;=4/3*IF(BI9&lt;=0,0,IF((1-2*BI9*1E5/(DATOS!$C$29*AI9*CB9^2*DATOS!$C$21))&lt;0,-1,IF((1-SQRT((1-2*BI9*1E5/(DATOS!$C$29*AI9*CB9^2*DATOS!$C$21))))*DATOS!$C$21*AI9*CB9/DATOS!$C$14&gt;DATOS!$C$102*AI9*CB9,-1,(1-SQRT((1-2*BI9*1E5/(DATOS!$C$29*AI9*CB9^2*DATOS!$C$21))))*DATOS!$C$21*AI9*CB9/DATOS!$C$14)))-0.0001,MAX(DATOS!$C$74,CEILING(CC9/INDEX(TABLAS!$D$52:$D$58,MIN(MATCH(MAX(4,DATOS!$C$71),TABLAS!$B$52:$B$58,0)+4,7)),1)),MAX(MAX(DATOS!$C$74,CEILING(CC9/INDEX(TABLAS!$D$52:$D$58,MIN(MATCH(MAX(4,DATOS!$C$71),TABLAS!$B$52:$B$58,0)+4,7)),1)),2))&lt;=MIN(DATOS!$C$73,INT(((DATOS!$C$83-2*AK9)+MAX(DATOS!$C$70,INDEX(TABLAS!$C$52:$C$58,MIN(MATCH(MAX(4,DATOS!$C$71),TABLAS!$B$52:$B$58,0)+4,7))))/(INDEX(TABLAS!$C$52:$C$58,MIN(MATCH(MAX(4,DATOS!$C$71),TABLAS!$B$52:$B$58,0)+4,7))+MAX(DATOS!$C$70,INDEX(TABLAS!$C$52:$C$58,MIN(MATCH(MAX(4,DATOS!$C$71),TABLAS!$B$52:$B$58,0)+4,7))))))),INDEX(TABLAS!$B$52:$B$58,MIN(MATCH(MAX(4,DATOS!$C$71),TABLAS!$B$52:$B$58,0)+4,7)),INDEX(TABLAS!$B$52:$B$58,7)))))))</f>
        <v>4</v>
      </c>
      <c r="CE9" s="59">
        <f>IF(V9&lt;&gt;"SÍ","",IF(CC9&lt;0,0,IF(MAX(DATOS!$C$74,CEILING(MAX(CC9,0)/INDEX(TABLAS!$D$52:$D$58,MATCH(CD9,TABLAS!$B$52:$B$58,0)),1))*INDEX(TABLAS!$D$52:$D$58,MATCH(CD9,TABLAS!$B$52:$B$58,0))&gt;=4/3*IF(BI9&lt;=0,0,IF((1-2*BI9*1E5/(DATOS!$C$29*AI9*CB9^2*DATOS!$C$21))&lt;0,-1,IF((1-SQRT((1-2*BI9*1E5/(DATOS!$C$29*AI9*CB9^2*DATOS!$C$21))))*DATOS!$C$21*AI9*CB9/DATOS!$C$14&gt;DATOS!$C$102*AI9*CB9,-1,(1-SQRT((1-2*BI9*1E5/(DATOS!$C$29*AI9*CB9^2*DATOS!$C$21))))*DATOS!$C$21*AI9*CB9/DATOS!$C$14)))-0.0001,MAX(DATOS!$C$74,CEILING(MAX(CC9,0)/INDEX(TABLAS!$D$52:$D$58,MATCH(CD9,TABLAS!$B$52:$B$58,0)),1)),MAX(MAX(DATOS!$C$74,CEILING(MAX(CC9,0)/INDEX(TABLAS!$D$52:$D$58,MATCH(CD9,TABLAS!$B$52:$B$58,0)),1)),2))))</f>
        <v>1</v>
      </c>
      <c r="CF9" s="58">
        <f>IF(V9&lt;&gt;"SÍ","",DATOS!$C$85-AK9-INDEX(TABLAS!$C$52:$C$58,MATCH(BN9,TABLAS!$B$52:$B$58,0))-INDEX(TABLAS!$C$52:$C$58,MATCH(CD9,TABLAS!$B$52:$B$58,0))/2)</f>
        <v>19.095</v>
      </c>
      <c r="CG9" s="56">
        <f>IF(V9&lt;&gt;"SÍ","",IF(CE9=0,0,DATOS!$C$29*CE9*INDEX(TABLAS!$D$52:$D$58,MATCH(CD9,TABLAS!$B$52:$B$58,0))*DATOS!$C$14*(CF9-CE9*INDEX(TABLAS!$D$52:$D$58,MATCH(CD9,TABLAS!$B$52:$B$58,0))*DATOS!$C$14/(DATOS!$C$21*AI9)/2)/1E5))</f>
        <v>0.908067376588235</v>
      </c>
      <c r="CH9" s="65">
        <f>IF(V9&lt;&gt;"SÍ","",IF(CC9&lt;0,9.99,IF(CG9&gt;0,BI9/CG9,0)))</f>
        <v>0.0288864860743285</v>
      </c>
      <c r="CI9" s="66">
        <f>IF(V9&lt;&gt;"SÍ","",IF(CE9=0,"—",0.003*(CF9-(CE9*INDEX(TABLAS!$D$52:$D$58,MATCH(CD9,TABLAS!$B$52:$B$58,0))*DATOS!$C$14/(DATOS!$C$21*AI9)/DATOS!$C$22))/(CE9*INDEX(TABLAS!$D$52:$D$58,MATCH(CD9,TABLAS!$B$52:$B$58,0))*DATOS!$C$14/(DATOS!$C$21*AI9)/DATOS!$C$22)))</f>
        <v>0.13278875492126</v>
      </c>
      <c r="CJ9" s="58">
        <f>IF(V9&lt;&gt;"SÍ","",((DATOS!$C$85-AM9-2*DATOS!$C$97-INDEX(TABLAS!$C$52:$C$58,MATCH(MAX(4,DATOS!$C$72),TABLAS!$B$52:$B$58,0))-INDEX(TABLAS!$C$52:$C$58,MATCH(MAX(4,DATOS!$C$72),TABLAS!$B$52:$B$58,0))/2)-IF(AND((DATOS!$C$85-AM9-2*DATOS!$C$97-INDEX(TABLAS!$C$52:$C$58,MATCH(MAX(4,DATOS!$C$72),TABLAS!$B$52:$B$58,0))-INDEX(TABLAS!$C$52:$C$58,MATCH(MAX(4,DATOS!$C$72),TABLAS!$B$52:$B$58,0))/2)&lt;=20,DATOS!$C$65&lt;&gt;"SÍ"),2,0)))</f>
        <v>17.951</v>
      </c>
      <c r="CK9" s="58">
        <f>IF(V9&lt;&gt;"SÍ","",IF(IF(BJ9&lt;=0,0,IF((1-2*BJ9*1E5/(DATOS!$C$29*AG9*CJ9^2*DATOS!$C$21))&lt;0,-1,IF((1-SQRT((1-2*BJ9*1E5/(DATOS!$C$29*AG9*CJ9^2*DATOS!$C$21))))*DATOS!$C$21*AG9*CJ9/DATOS!$C$14&gt;DATOS!$C$102*AG9*CJ9,-1,(1-SQRT((1-2*BJ9*1E5/(DATOS!$C$29*AG9*CJ9^2*DATOS!$C$21))))*DATOS!$C$21*AG9*CJ9/DATOS!$C$14)))&lt;0,-1,MAX(IF(BJ9&lt;=0,0,IF((1-2*BJ9*1E5/(DATOS!$C$29*AG9*CJ9^2*DATOS!$C$21))&lt;0,-1,IF((1-SQRT((1-2*BJ9*1E5/(DATOS!$C$29*AG9*CJ9^2*DATOS!$C$21))))*DATOS!$C$21*AG9*CJ9/DATOS!$C$14&gt;DATOS!$C$102*AG9*CJ9,-1,(1-SQRT((1-2*BJ9*1E5/(DATOS!$C$29*AG9*CJ9^2*DATOS!$C$21))))*DATOS!$C$21*AG9*CJ9/DATOS!$C$14))),MIN(DATOS!$C$103*DATOS!$C$83*CJ9,4/3*IF(BJ9&lt;=0,0,IF((1-2*BJ9*1E5/(DATOS!$C$29*AG9*CJ9^2*DATOS!$C$21))&lt;0,-1,IF((1-SQRT((1-2*BJ9*1E5/(DATOS!$C$29*AG9*CJ9^2*DATOS!$C$21))))*DATOS!$C$21*AG9*CJ9/DATOS!$C$14&gt;DATOS!$C$102*AG9*CJ9,-1,(1-SQRT((1-2*BJ9*1E5/(DATOS!$C$29*AG9*CJ9^2*DATOS!$C$21))))*DATOS!$C$21*AG9*CJ9/DATOS!$C$14)))))))</f>
        <v>0.188658649491976</v>
      </c>
      <c r="CL9" s="64">
        <f>IF(V9&lt;&gt;"SÍ","",IF(AND(CK9&gt;=0,IF(MAX(DATOS!$C$74,CEILING(CK9/INDEX(TABLAS!$D$52:$D$58,MIN(MATCH(MAX(4,DATOS!$C$72),TABLAS!$B$52:$B$58,0)+0,7)),1))*INDEX(TABLAS!$D$52:$D$58,MIN(MATCH(MAX(4,DATOS!$C$72),TABLAS!$B$52:$B$58,0)+0,7))&gt;=4/3*IF(BJ9&lt;=0,0,IF((1-2*BJ9*1E5/(DATOS!$C$29*AG9*CJ9^2*DATOS!$C$21))&lt;0,-1,IF((1-SQRT((1-2*BJ9*1E5/(DATOS!$C$29*AG9*CJ9^2*DATOS!$C$21))))*DATOS!$C$21*AG9*CJ9/DATOS!$C$14&gt;DATOS!$C$102*AG9*CJ9,-1,(1-SQRT((1-2*BJ9*1E5/(DATOS!$C$29*AG9*CJ9^2*DATOS!$C$21))))*DATOS!$C$21*AG9*CJ9/DATOS!$C$14)))-0.0001,MAX(DATOS!$C$74,CEILING(CK9/INDEX(TABLAS!$D$52:$D$58,MIN(MATCH(MAX(4,DATOS!$C$72),TABLAS!$B$52:$B$58,0)+0,7)),1)),MAX(MAX(DATOS!$C$74,CEILING(CK9/INDEX(TABLAS!$D$52:$D$58,MIN(MATCH(MAX(4,DATOS!$C$72),TABLAS!$B$52:$B$58,0)+0,7)),1)),2))&lt;=MIN(DATOS!$C$73,INT(((DATOS!$C$83-2*AL9)+MAX(DATOS!$C$70,INDEX(TABLAS!$C$52:$C$58,MIN(MATCH(MAX(4,DATOS!$C$72),TABLAS!$B$52:$B$58,0)+0,7))))/(INDEX(TABLAS!$C$52:$C$58,MIN(MATCH(MAX(4,DATOS!$C$72),TABLAS!$B$52:$B$58,0)+0,7))+MAX(DATOS!$C$70,INDEX(TABLAS!$C$52:$C$58,MIN(MATCH(MAX(4,DATOS!$C$72),TABLAS!$B$52:$B$58,0)+0,7))))))),INDEX(TABLAS!$B$52:$B$58,MIN(MATCH(MAX(4,DATOS!$C$72),TABLAS!$B$52:$B$58,0)+0,7)),IF(AND(CK9&gt;=0,IF(MAX(DATOS!$C$74,CEILING(CK9/INDEX(TABLAS!$D$52:$D$58,MIN(MATCH(MAX(4,DATOS!$C$72),TABLAS!$B$52:$B$58,0)+1,7)),1))*INDEX(TABLAS!$D$52:$D$58,MIN(MATCH(MAX(4,DATOS!$C$72),TABLAS!$B$52:$B$58,0)+1,7))&gt;=4/3*IF(BJ9&lt;=0,0,IF((1-2*BJ9*1E5/(DATOS!$C$29*AG9*CJ9^2*DATOS!$C$21))&lt;0,-1,IF((1-SQRT((1-2*BJ9*1E5/(DATOS!$C$29*AG9*CJ9^2*DATOS!$C$21))))*DATOS!$C$21*AG9*CJ9/DATOS!$C$14&gt;DATOS!$C$102*AG9*CJ9,-1,(1-SQRT((1-2*BJ9*1E5/(DATOS!$C$29*AG9*CJ9^2*DATOS!$C$21))))*DATOS!$C$21*AG9*CJ9/DATOS!$C$14)))-0.0001,MAX(DATOS!$C$74,CEILING(CK9/INDEX(TABLAS!$D$52:$D$58,MIN(MATCH(MAX(4,DATOS!$C$72),TABLAS!$B$52:$B$58,0)+1,7)),1)),MAX(MAX(DATOS!$C$74,CEILING(CK9/INDEX(TABLAS!$D$52:$D$58,MIN(MATCH(MAX(4,DATOS!$C$72),TABLAS!$B$52:$B$58,0)+1,7)),1)),2))&lt;=MIN(DATOS!$C$73,INT(((DATOS!$C$83-2*AL9)+MAX(DATOS!$C$70,INDEX(TABLAS!$C$52:$C$58,MIN(MATCH(MAX(4,DATOS!$C$72),TABLAS!$B$52:$B$58,0)+1,7))))/(INDEX(TABLAS!$C$52:$C$58,MIN(MATCH(MAX(4,DATOS!$C$72),TABLAS!$B$52:$B$58,0)+1,7))+MAX(DATOS!$C$70,INDEX(TABLAS!$C$52:$C$58,MIN(MATCH(MAX(4,DATOS!$C$72),TABLAS!$B$52:$B$58,0)+1,7))))))),INDEX(TABLAS!$B$52:$B$58,MIN(MATCH(MAX(4,DATOS!$C$72),TABLAS!$B$52:$B$58,0)+1,7)),IF(AND(CK9&gt;=0,IF(MAX(DATOS!$C$74,CEILING(CK9/INDEX(TABLAS!$D$52:$D$58,MIN(MATCH(MAX(4,DATOS!$C$72),TABLAS!$B$52:$B$58,0)+2,7)),1))*INDEX(TABLAS!$D$52:$D$58,MIN(MATCH(MAX(4,DATOS!$C$72),TABLAS!$B$52:$B$58,0)+2,7))&gt;=4/3*IF(BJ9&lt;=0,0,IF((1-2*BJ9*1E5/(DATOS!$C$29*AG9*CJ9^2*DATOS!$C$21))&lt;0,-1,IF((1-SQRT((1-2*BJ9*1E5/(DATOS!$C$29*AG9*CJ9^2*DATOS!$C$21))))*DATOS!$C$21*AG9*CJ9/DATOS!$C$14&gt;DATOS!$C$102*AG9*CJ9,-1,(1-SQRT((1-2*BJ9*1E5/(DATOS!$C$29*AG9*CJ9^2*DATOS!$C$21))))*DATOS!$C$21*AG9*CJ9/DATOS!$C$14)))-0.0001,MAX(DATOS!$C$74,CEILING(CK9/INDEX(TABLAS!$D$52:$D$58,MIN(MATCH(MAX(4,DATOS!$C$72),TABLAS!$B$52:$B$58,0)+2,7)),1)),MAX(MAX(DATOS!$C$74,CEILING(CK9/INDEX(TABLAS!$D$52:$D$58,MIN(MATCH(MAX(4,DATOS!$C$72),TABLAS!$B$52:$B$58,0)+2,7)),1)),2))&lt;=MIN(DATOS!$C$73,INT(((DATOS!$C$83-2*AL9)+MAX(DATOS!$C$70,INDEX(TABLAS!$C$52:$C$58,MIN(MATCH(MAX(4,DATOS!$C$72),TABLAS!$B$52:$B$58,0)+2,7))))/(INDEX(TABLAS!$C$52:$C$58,MIN(MATCH(MAX(4,DATOS!$C$72),TABLAS!$B$52:$B$58,0)+2,7))+MAX(DATOS!$C$70,INDEX(TABLAS!$C$52:$C$58,MIN(MATCH(MAX(4,DATOS!$C$72),TABLAS!$B$52:$B$58,0)+2,7))))))),INDEX(TABLAS!$B$52:$B$58,MIN(MATCH(MAX(4,DATOS!$C$72),TABLAS!$B$52:$B$58,0)+2,7)),IF(AND(CK9&gt;=0,IF(MAX(DATOS!$C$74,CEILING(CK9/INDEX(TABLAS!$D$52:$D$58,MIN(MATCH(MAX(4,DATOS!$C$72),TABLAS!$B$52:$B$58,0)+3,7)),1))*INDEX(TABLAS!$D$52:$D$58,MIN(MATCH(MAX(4,DATOS!$C$72),TABLAS!$B$52:$B$58,0)+3,7))&gt;=4/3*IF(BJ9&lt;=0,0,IF((1-2*BJ9*1E5/(DATOS!$C$29*AG9*CJ9^2*DATOS!$C$21))&lt;0,-1,IF((1-SQRT((1-2*BJ9*1E5/(DATOS!$C$29*AG9*CJ9^2*DATOS!$C$21))))*DATOS!$C$21*AG9*CJ9/DATOS!$C$14&gt;DATOS!$C$102*AG9*CJ9,-1,(1-SQRT((1-2*BJ9*1E5/(DATOS!$C$29*AG9*CJ9^2*DATOS!$C$21))))*DATOS!$C$21*AG9*CJ9/DATOS!$C$14)))-0.0001,MAX(DATOS!$C$74,CEILING(CK9/INDEX(TABLAS!$D$52:$D$58,MIN(MATCH(MAX(4,DATOS!$C$72),TABLAS!$B$52:$B$58,0)+3,7)),1)),MAX(MAX(DATOS!$C$74,CEILING(CK9/INDEX(TABLAS!$D$52:$D$58,MIN(MATCH(MAX(4,DATOS!$C$72),TABLAS!$B$52:$B$58,0)+3,7)),1)),2))&lt;=MIN(DATOS!$C$73,INT(((DATOS!$C$83-2*AL9)+MAX(DATOS!$C$70,INDEX(TABLAS!$C$52:$C$58,MIN(MATCH(MAX(4,DATOS!$C$72),TABLAS!$B$52:$B$58,0)+3,7))))/(INDEX(TABLAS!$C$52:$C$58,MIN(MATCH(MAX(4,DATOS!$C$72),TABLAS!$B$52:$B$58,0)+3,7))+MAX(DATOS!$C$70,INDEX(TABLAS!$C$52:$C$58,MIN(MATCH(MAX(4,DATOS!$C$72),TABLAS!$B$52:$B$58,0)+3,7))))))),INDEX(TABLAS!$B$52:$B$58,MIN(MATCH(MAX(4,DATOS!$C$72),TABLAS!$B$52:$B$58,0)+3,7)),IF(AND(CK9&gt;=0,IF(MAX(DATOS!$C$74,CEILING(CK9/INDEX(TABLAS!$D$52:$D$58,MIN(MATCH(MAX(4,DATOS!$C$72),TABLAS!$B$52:$B$58,0)+4,7)),1))*INDEX(TABLAS!$D$52:$D$58,MIN(MATCH(MAX(4,DATOS!$C$72),TABLAS!$B$52:$B$58,0)+4,7))&gt;=4/3*IF(BJ9&lt;=0,0,IF((1-2*BJ9*1E5/(DATOS!$C$29*AG9*CJ9^2*DATOS!$C$21))&lt;0,-1,IF((1-SQRT((1-2*BJ9*1E5/(DATOS!$C$29*AG9*CJ9^2*DATOS!$C$21))))*DATOS!$C$21*AG9*CJ9/DATOS!$C$14&gt;DATOS!$C$102*AG9*CJ9,-1,(1-SQRT((1-2*BJ9*1E5/(DATOS!$C$29*AG9*CJ9^2*DATOS!$C$21))))*DATOS!$C$21*AG9*CJ9/DATOS!$C$14)))-0.0001,MAX(DATOS!$C$74,CEILING(CK9/INDEX(TABLAS!$D$52:$D$58,MIN(MATCH(MAX(4,DATOS!$C$72),TABLAS!$B$52:$B$58,0)+4,7)),1)),MAX(MAX(DATOS!$C$74,CEILING(CK9/INDEX(TABLAS!$D$52:$D$58,MIN(MATCH(MAX(4,DATOS!$C$72),TABLAS!$B$52:$B$58,0)+4,7)),1)),2))&lt;=MIN(DATOS!$C$73,INT(((DATOS!$C$83-2*AL9)+MAX(DATOS!$C$70,INDEX(TABLAS!$C$52:$C$58,MIN(MATCH(MAX(4,DATOS!$C$72),TABLAS!$B$52:$B$58,0)+4,7))))/(INDEX(TABLAS!$C$52:$C$58,MIN(MATCH(MAX(4,DATOS!$C$72),TABLAS!$B$52:$B$58,0)+4,7))+MAX(DATOS!$C$70,INDEX(TABLAS!$C$52:$C$58,MIN(MATCH(MAX(4,DATOS!$C$72),TABLAS!$B$52:$B$58,0)+4,7))))))),INDEX(TABLAS!$B$52:$B$58,MIN(MATCH(MAX(4,DATOS!$C$72),TABLAS!$B$52:$B$58,0)+4,7)),INDEX(TABLAS!$B$52:$B$58,7)))))))</f>
        <v>4</v>
      </c>
      <c r="CM9" s="59">
        <f>IF(V9&lt;&gt;"SÍ","",IF(CK9&lt;0,0,IF(MAX(DATOS!$C$74,CEILING(MAX(CK9,0)/INDEX(TABLAS!$D$52:$D$58,MATCH(CL9,TABLAS!$B$52:$B$58,0)),1))*INDEX(TABLAS!$D$52:$D$58,MATCH(CL9,TABLAS!$B$52:$B$58,0))&gt;=4/3*IF(BJ9&lt;=0,0,IF((1-2*BJ9*1E5/(DATOS!$C$29*AG9*CJ9^2*DATOS!$C$21))&lt;0,-1,IF((1-SQRT((1-2*BJ9*1E5/(DATOS!$C$29*AG9*CJ9^2*DATOS!$C$21))))*DATOS!$C$21*AG9*CJ9/DATOS!$C$14&gt;DATOS!$C$102*AG9*CJ9,-1,(1-SQRT((1-2*BJ9*1E5/(DATOS!$C$29*AG9*CJ9^2*DATOS!$C$21))))*DATOS!$C$21*AG9*CJ9/DATOS!$C$14)))-0.0001,MAX(DATOS!$C$74,CEILING(MAX(CK9,0)/INDEX(TABLAS!$D$52:$D$58,MATCH(CL9,TABLAS!$B$52:$B$58,0)),1)),MAX(MAX(DATOS!$C$74,CEILING(MAX(CK9,0)/INDEX(TABLAS!$D$52:$D$58,MATCH(CL9,TABLAS!$B$52:$B$58,0)),1)),2))))</f>
        <v>1</v>
      </c>
      <c r="CN9" s="58">
        <f>IF(V9&lt;&gt;"SÍ","",((DATOS!$C$85-AM9-2*DATOS!$C$97-INDEX(TABLAS!$C$52:$C$58,MATCH(BV9,TABLAS!$B$52:$B$58,0))-INDEX(TABLAS!$C$52:$C$58,MATCH(CL9,TABLAS!$B$52:$B$58,0))/2)-IF(AND((DATOS!$C$85-AM9-2*DATOS!$C$97-INDEX(TABLAS!$C$52:$C$58,MATCH(BV9,TABLAS!$B$52:$B$58,0))-INDEX(TABLAS!$C$52:$C$58,MATCH(CL9,TABLAS!$B$52:$B$58,0))/2)&lt;=20,DATOS!$C$65&lt;&gt;"SÍ"),2,0)))</f>
        <v>17.951</v>
      </c>
      <c r="CO9" s="56">
        <f>IF(V9&lt;&gt;"SÍ","",IF(CM9=0,0,DATOS!$C$29*CM9*INDEX(TABLAS!$D$52:$D$58,MATCH(CL9,TABLAS!$B$52:$B$58,0))*DATOS!$C$14*(CN9-CM9*INDEX(TABLAS!$D$52:$D$58,MATCH(CL9,TABLAS!$B$52:$B$58,0))*DATOS!$C$14/(DATOS!$C$21*AG9)/2)/1E5))</f>
        <v>0.801505352117647</v>
      </c>
      <c r="CP9" s="65">
        <f>IF(V9&lt;&gt;"SÍ","",IF(CK9&lt;0,9.99,IF(CO9&gt;0,BJ9/CO9,0)))</f>
        <v>0.118854552808145</v>
      </c>
      <c r="CQ9" s="66">
        <f>IF(V9&lt;&gt;"SÍ","",IF(CM9=0,"—",0.003*(CN9-(CM9*INDEX(TABLAS!$D$52:$D$58,MATCH(CL9,TABLAS!$B$52:$B$58,0))*DATOS!$C$14/(DATOS!$C$21*AG9)/DATOS!$C$22))/(CM9*INDEX(TABLAS!$D$52:$D$58,MATCH(CL9,TABLAS!$B$52:$B$58,0))*DATOS!$C$14/(DATOS!$C$21*AG9)/DATOS!$C$22)))</f>
        <v>0.0152362169572553</v>
      </c>
      <c r="CR9" s="56">
        <f>IF(V9&lt;&gt;"SÍ","",IF(C9="PERIMETRAL",MAX(0,(AB9/2-BX9)/100)*(0.95-0.5*AA9)*AR9*IF(AND(AS9&gt;0,AS9&lt;4),DATOS!$C$33,1)*DATOS!$C$86/100/1000,(AR9*MAX(0,AB9-BX9)/100+DATOS!$C$26*N(O9))*DATOS!$C$86/100/1000+BF9))</f>
        <v>0.25150475650103</v>
      </c>
      <c r="CS9" s="56">
        <f>IF(V9&lt;&gt;"SÍ","",DATOS!$C$30*2*MIN(1,SQRT(2/(1+0.04*BX9)))*(BW9*INDEX(TABLAS!$D$52:$D$58,MATCH(BV9,TABLAS!$B$52:$B$58,0))/(AF9*BX9))^(1/3)*SQRT(DATOS!$C$13)*AF9*BX9*IF(AJ9="SÍ",DATOS!$C$32,1)/1000)</f>
        <v>0.855420832907082</v>
      </c>
      <c r="CT9" s="59">
        <f>IF(V9&lt;&gt;"SÍ","",IF(CR9&lt;=CS9,0,CEILING(MAX(0,IF(C9="VOLADO",(AB9-((CS9-BF9)*1E5/DATOS!$C$86-DATOS!$C$26*N(O9))*100/AR9),IF(CS9&lt;=0,AB9,AB9/2-CS9/MAX(CR9,1E-9)*(AB9/2-BX9)))-IF(X9="X",MIN(DJ9,DK9),MIN(DL9,DM9)))/DATOS!$C$86,1)))</f>
        <v>0</v>
      </c>
      <c r="CU9" s="67" t="str">
        <f>IF(V9&lt;&gt;"SÍ","",IF(CR9&lt;=CS9,"CUMPLE",IF(CT9&lt;=0,"CUMPLE (basta el macizo de orilla)",IF(CT9*DATOS!$C$86*IF(C9="VOLADO",1,2)&gt;=Y9*100-DATOS!$C$87,"NO CUMPLE: no alcanza ni macizando todo","MACIZAR "&amp;CT9&amp;" hilera(s)"))))</f>
        <v>CUMPLE</v>
      </c>
      <c r="CV9" s="58">
        <f>IF(V9&lt;&gt;"SÍ","",(DATOS!$C$86*DATOS!$C$84^2/2+MIN(DATOS!$C$83,AD9)*DATOS!$C$82*(DATOS!$C$84+DATOS!$C$82/2))/(DATOS!$C$86*DATOS!$C$84+MIN(DATOS!$C$83,AD9)*DATOS!$C$82))</f>
        <v>6.89344262295082</v>
      </c>
      <c r="CW9" s="68">
        <f>IF(V9&lt;&gt;"SÍ","",DATOS!$C$86*DATOS!$C$84^3/12+DATOS!$C$86*DATOS!$C$84*(CV9-DATOS!$C$84/2)^2+MIN(DATOS!$C$83,AD9)*DATOS!$C$82^3/12+MIN(DATOS!$C$83,AD9)*DATOS!$C$82*(DATOS!$C$84+DATOS!$C$82/2-CV9)^2)</f>
        <v>27416.4071038251</v>
      </c>
      <c r="CX9" s="58">
        <f>IF(V9&lt;&gt;"SÍ","",(12*CW9/DATOS!$C$86)^(1/3))</f>
        <v>16.7506339743859</v>
      </c>
      <c r="CY9" s="58">
        <f>IF(V9&lt;&gt;"SÍ","",IF(C9="PERIMETRAL",IF(ISNUMBER(S9),S9,DATOS!$C$104),0))</f>
        <v>99</v>
      </c>
      <c r="CZ9" s="57">
        <f>IF(V9&lt;&gt;"SÍ","",IF(C9="PERIMETRAL",IF(CY9&gt;2,MAX(9,AC9*(0.8+DATOS!$C$14/14000)/(36+9*(AC9/MAX(AB9,1)))),IF(CY9&gt;0.2,MAX(13,AC9*(0.8+DATOS!$C$14/14000)/(36+5*(AC9/MAX(AB9,1))*(CY9-0.2))),MAX(13,AC9/IF(AS9&gt;0,30,33))))*IF(AND(CY9&gt;0.2,AS9&gt;0,DATOS!$C$105="NO"),1.1,1),MAX(25,Y9*100/8*(0.4+DATOS!$C$14/7000))))</f>
        <v>9</v>
      </c>
      <c r="DA9" s="61" t="str">
        <f>IF(V9&lt;&gt;"SÍ","",IF(IF(C9="VOLADO",DATOS!$C$85,CX9)&gt;=CZ9,"CUMPLE",IF(C9="VOLADO","NO CUMPLE","CALCULAR FLECHA")))</f>
        <v>CUMPLE</v>
      </c>
      <c r="DB9" s="55" t="str">
        <f>IF(V9&lt;&gt;"SÍ","",IF(DATOS!$C$84&gt;=IF(IF(C9="VOLADO",Y9,Z9)&gt;=6,6,5),"CUMPLE","CAPA ≥ 6 cm"))</f>
        <v>CUMPLE</v>
      </c>
      <c r="DC9" s="60">
        <f>IF(V9&lt;&gt;"SÍ","",IF(C9="VOLADO",MIN(FLOOR(IF(ISNUMBER(P9),P9,Y9)*100-DATOS!$C$63,5),CEILING(MAX(IF((0.5*(0.9*DATOS!$C$90*DATOS!$C$86/100/1000)*IF(ISNUMBER(P9),P9,Y9)+BH9/IF(ISNUMBER(P9),P9,Y9))^2-4*(0.5*(0.9*DATOS!$C$90*DATOS!$C$86/100/1000))*BH9&lt;0,IF(ISNUMBER(P9),P9,Y9),MIN(IF(ISNUMBER(P9),P9,Y9),((0.5*(0.9*DATOS!$C$90*DATOS!$C$86/100/1000)*IF(ISNUMBER(P9),P9,Y9)+BH9/IF(ISNUMBER(P9),P9,Y9))-SQRT((0.5*(0.9*DATOS!$C$90*DATOS!$C$86/100/1000)*IF(ISNUMBER(P9),P9,Y9)+BH9/IF(ISNUMBER(P9),P9,Y9))^2-4*(0.5*(0.9*DATOS!$C$90*DATOS!$C$86/100/1000))*BH9))/(2*(0.5*(0.9*DATOS!$C$90*DATOS!$C$86/100/1000)))))*100+MAX(BX9,12*INDEX(TABLAS!$C$52:$C$58,MATCH(BV9,TABLAS!$B$52:$B$58,0)),IF(ISNUMBER(P9),P9,Y9)*100/16),IF(OR(AL9&lt;INDEX(TABLAS!$C$52:$C$58,MATCH(BV9,TABLAS!$B$52:$B$58,0)),AND(BW9&gt;=2,(AD9-2*AL9-BW9*INDEX(TABLAS!$C$52:$C$58,MATCH(BV9,TABLAS!$B$52:$B$58,0)))/MAX(BW9-1,1)&lt;2*INDEX(TABLAS!$C$52:$C$58,MATCH(BV9,TABLAS!$B$52:$B$58,0)))),INDEX(TABLAS!$I$52:$I$58,MATCH(BV9,TABLAS!$B$52:$B$58,0)),INDEX(TABLAS!$F$52:$F$58,MATCH(BV9,TABLAS!$B$52:$B$58,0)))),5)),IF(((4*((BC9*AR9*Y9^2*1E-4*DATOS!$C$86/100/1000)+((MAX(AY9,BA9)*AR9*Y9^2*1E-4*DATOS!$C$86/100/1000)+(IF(AND(AY9&gt;0,BA9&gt;0),MIN(AY9,BA9),MAX(AY9,BA9))*AR9*Y9^2*1E-4*DATOS!$C$86/100/1000))/2)+BH9-(IF(AND(AY9&gt;0,BA9&gt;0),MIN(AY9,BA9),MAX(AY9,BA9))*AR9*Y9^2*1E-4*DATOS!$C$86/100/1000))^2-16*((BC9*AR9*Y9^2*1E-4*DATOS!$C$86/100/1000)+((MAX(AY9,BA9)*AR9*Y9^2*1E-4*DATOS!$C$86/100/1000)+(IF(AND(AY9&gt;0,BA9&gt;0),MIN(AY9,BA9),MAX(AY9,BA9))*AR9*Y9^2*1E-4*DATOS!$C$86/100/1000))/2)*BH9)&lt;0,CEILING(AB9,5),CEILING(MAX(AB9*((4*((BC9*AR9*Y9^2*1E-4*DATOS!$C$86/100/1000)+((MAX(AY9,BA9)*AR9*Y9^2*1E-4*DATOS!$C$86/100/1000)+(IF(AND(AY9&gt;0,BA9&gt;0),MIN(AY9,BA9),MAX(AY9,BA9))*AR9*Y9^2*1E-4*DATOS!$C$86/100/1000))/2)+BH9-(IF(AND(AY9&gt;0,BA9&gt;0),MIN(AY9,BA9),MAX(AY9,BA9))*AR9*Y9^2*1E-4*DATOS!$C$86/100/1000))-SQRT(MAX(0,((4*((BC9*AR9*Y9^2*1E-4*DATOS!$C$86/100/1000)+((MAX(AY9,BA9)*AR9*Y9^2*1E-4*DATOS!$C$86/100/1000)+(IF(AND(AY9&gt;0,BA9&gt;0),MIN(AY9,BA9),MAX(AY9,BA9))*AR9*Y9^2*1E-4*DATOS!$C$86/100/1000))/2)+BH9-(IF(AND(AY9&gt;0,BA9&gt;0),MIN(AY9,BA9),MAX(AY9,BA9))*AR9*Y9^2*1E-4*DATOS!$C$86/100/1000))^2-16*((BC9*AR9*Y9^2*1E-4*DATOS!$C$86/100/1000)+((MAX(AY9,BA9)*AR9*Y9^2*1E-4*DATOS!$C$86/100/1000)+(IF(AND(AY9&gt;0,BA9&gt;0),MIN(AY9,BA9),MAX(AY9,BA9))*AR9*Y9^2*1E-4*DATOS!$C$86/100/1000))/2)*BH9))))/(8*MAX(((BC9*AR9*Y9^2*1E-4*DATOS!$C$86/100/1000)+((MAX(AY9,BA9)*AR9*Y9^2*1E-4*DATOS!$C$86/100/1000)+(IF(AND(AY9&gt;0,BA9&gt;0),MIN(AY9,BA9),MAX(AY9,BA9))*AR9*Y9^2*1E-4*DATOS!$C$86/100/1000))/2),1E-9))+MAX(BX9,12*INDEX(TABLAS!$C$52:$C$58,MATCH(BV9,TABLAS!$B$52:$B$58,0)),AB9/16),IF(OR(AL9&lt;INDEX(TABLAS!$C$52:$C$58,MATCH(BV9,TABLAS!$B$52:$B$58,0)),AND(BW9&gt;=2,(AD9-2*AL9-BW9*INDEX(TABLAS!$C$52:$C$58,MATCH(BV9,TABLAS!$B$52:$B$58,0)))/MAX(BW9-1,1)&lt;2*INDEX(TABLAS!$C$52:$C$58,MATCH(BV9,TABLAS!$B$52:$B$58,0)))),INDEX(TABLAS!$I$52:$I$58,MATCH(BV9,TABLAS!$B$52:$B$58,0)),INDEX(TABLAS!$F$52:$F$58,MATCH(BV9,TABLAS!$B$52:$B$58,0)))),5))))</f>
        <v>60</v>
      </c>
      <c r="DD9" s="60">
        <f>IF(V9&lt;&gt;"SÍ","",IF(C9="VOLADO",0,IF(((4*((BD9*AR9*Y9^2*1E-4*DATOS!$C$86/100/1000)+((MAX(AZ9,BB9)*AR9*Y9^2*1E-4*DATOS!$C$86/100/1000)+(IF(AND(AZ9&gt;0,BB9&gt;0),MIN(AZ9,BB9),MAX(AZ9,BB9))*AR9*Y9^2*1E-4*DATOS!$C$86/100/1000))/2)+BJ9-(IF(AND(AZ9&gt;0,BB9&gt;0),MIN(AZ9,BB9),MAX(AZ9,BB9))*AR9*Y9^2*1E-4*DATOS!$C$86/100/1000))^2-16*((BD9*AR9*Y9^2*1E-4*DATOS!$C$86/100/1000)+((MAX(AZ9,BB9)*AR9*Y9^2*1E-4*DATOS!$C$86/100/1000)+(IF(AND(AZ9&gt;0,BB9&gt;0),MIN(AZ9,BB9),MAX(AZ9,BB9))*AR9*Y9^2*1E-4*DATOS!$C$86/100/1000))/2)*BJ9)&lt;0,CEILING(AC9,5),CEILING(MAX(AC9*((4*((BD9*AR9*Y9^2*1E-4*DATOS!$C$86/100/1000)+((MAX(AZ9,BB9)*AR9*Y9^2*1E-4*DATOS!$C$86/100/1000)+(IF(AND(AZ9&gt;0,BB9&gt;0),MIN(AZ9,BB9),MAX(AZ9,BB9))*AR9*Y9^2*1E-4*DATOS!$C$86/100/1000))/2)+BJ9-(IF(AND(AZ9&gt;0,BB9&gt;0),MIN(AZ9,BB9),MAX(AZ9,BB9))*AR9*Y9^2*1E-4*DATOS!$C$86/100/1000))-SQRT(MAX(0,((4*((BD9*AR9*Y9^2*1E-4*DATOS!$C$86/100/1000)+((MAX(AZ9,BB9)*AR9*Y9^2*1E-4*DATOS!$C$86/100/1000)+(IF(AND(AZ9&gt;0,BB9&gt;0),MIN(AZ9,BB9),MAX(AZ9,BB9))*AR9*Y9^2*1E-4*DATOS!$C$86/100/1000))/2)+BJ9-(IF(AND(AZ9&gt;0,BB9&gt;0),MIN(AZ9,BB9),MAX(AZ9,BB9))*AR9*Y9^2*1E-4*DATOS!$C$86/100/1000))^2-16*((BD9*AR9*Y9^2*1E-4*DATOS!$C$86/100/1000)+((MAX(AZ9,BB9)*AR9*Y9^2*1E-4*DATOS!$C$86/100/1000)+(IF(AND(AZ9&gt;0,BB9&gt;0),MIN(AZ9,BB9),MAX(AZ9,BB9))*AR9*Y9^2*1E-4*DATOS!$C$86/100/1000))/2)*BJ9))))/(8*MAX(((BD9*AR9*Y9^2*1E-4*DATOS!$C$86/100/1000)+((MAX(AZ9,BB9)*AR9*Y9^2*1E-4*DATOS!$C$86/100/1000)+(IF(AND(AZ9&gt;0,BB9&gt;0),MIN(AZ9,BB9),MAX(AZ9,BB9))*AR9*Y9^2*1E-4*DATOS!$C$86/100/1000))/2),1E-9))+MAX(CN9,12*INDEX(TABLAS!$C$52:$C$58,MATCH(CL9,TABLAS!$B$52:$B$58,0)),AC9/16),IF(OR(AL9&lt;INDEX(TABLAS!$C$52:$C$58,MATCH(CL9,TABLAS!$B$52:$B$58,0)),AND(CM9&gt;=2,(DATOS!$C$83-2*AL9-CM9*INDEX(TABLAS!$C$52:$C$58,MATCH(CL9,TABLAS!$B$52:$B$58,0)))/MAX(CM9-1,1)&lt;2*INDEX(TABLAS!$C$52:$C$58,MATCH(CL9,TABLAS!$B$52:$B$58,0)))),INDEX(TABLAS!$I$52:$I$58,MATCH(CL9,TABLAS!$B$52:$B$58,0)),INDEX(TABLAS!$F$52:$F$58,MATCH(CL9,TABLAS!$B$52:$B$58,0)))),5))))</f>
        <v>100</v>
      </c>
      <c r="DE9" s="55" t="str">
        <f>IF(V9&lt;&gt;"SÍ","",IF(AND(C9="PERIMETRAL",BW9&gt;=2,AS9-AT9&gt;0,BA9*AR9*Y9^2*1E-4*DATOS!$C$86/100/1000&gt;DATOS!$C$29*INDEX(TABLAS!$D$52:$D$58,MATCH(BV9,TABLAS!$B$52:$B$58,0))*DATOS!$C$14*(BX9-INDEX(TABLAS!$D$52:$D$58,MATCH(BV9,TABLAS!$B$52:$B$58,0))*DATOS!$C$14/(DATOS!$C$21*AF9)/2)/1E5),"SÍ","NO"))</f>
        <v>NO</v>
      </c>
      <c r="DF9" s="55" t="str">
        <f>IF(V9&lt;&gt;"SÍ","",IF(AND(C9="PERIMETRAL",CM9&gt;=2,AT9&gt;0,BB9*AR9*Y9^2*1E-4*DATOS!$C$86/100/1000&gt;DATOS!$C$29*INDEX(TABLAS!$D$52:$D$58,MATCH(CL9,TABLAS!$B$52:$B$58,0))*DATOS!$C$14*(CN9-INDEX(TABLAS!$D$52:$D$58,MATCH(CL9,TABLAS!$B$52:$B$58,0))*DATOS!$C$14/(DATOS!$C$21*AG9)/2)/1E5),"SÍ","NO"))</f>
        <v>NO</v>
      </c>
      <c r="DG9" s="63" t="str">
        <f>IF(V9&lt;&gt;"SÍ","",IF(OR(C9="VOLADO",AS9=0),"—",IF(AND(AND(1.25*INDEX(TABLAS!$G$52:$G$58,MATCH(MAX(BN9,CD9),TABLAS!$B$52:$B$58,0))&lt;=(DATOS!$C$75-DATOS!$C$63),(DATOS!$C$75-DATOS!$C$63)&gt;=15,INDEX(TABLAS!$G$52:$G$58,MATCH(MAX(BV9,CL9),TABLAS!$B$52:$B$58,0))&lt;=(DATOS!$C$75-DATOS!$C$63)),8*INDEX(TABLAS!$C$52:$C$58,MATCH(MAX(MAX(BN9,CD9),MAX(BV9,CL9)),TABLAS!$B$52:$B$58,0))&lt;=DATOS!$C$76-2*DATOS!$C$63),"CUMPLE (gancho de 180°)",IF(AND(1.25*INDEX(TABLAS!$G$52:$G$58,MATCH(MAX(BN9,CD9),TABLAS!$B$52:$B$58,0))&lt;=(DATOS!$C$75-DATOS!$C$63),(DATOS!$C$75-DATOS!$C$63)&gt;=15,INDEX(TABLAS!$G$52:$G$58,MATCH(MAX(BV9,CL9),TABLAS!$B$52:$B$58,0))&lt;=(DATOS!$C$75-DATOS!$C$63)),"NO CUMPLE: el gancho de 180° (8·d_b) no cabe en el peralte de la dala de borde","NO CUMPLE: dala de borde ≥ "&amp;TEXT(CEILING(MAX(1.25*INDEX(TABLAS!$G$52:$G$58,MATCH(MAX(BN9,CD9),TABLAS!$B$52:$B$58,0)),15,INDEX(TABLAS!$G$52:$G$58,MATCH(MAX(BV9,CL9),TABLAS!$B$52:$B$58,0)))+DATOS!$C$63,5),"0")&amp;" cm de ancho"&amp;IF(8*INDEX(TABLAS!$C$52:$C$58,MATCH(MAX(MAX(BN9,CD9),MAX(BV9,CL9)),TABLAS!$B$52:$B$58,0))&lt;=DATOS!$C$76-2*DATOS!$C$63,""," y más peralte para el gancho")))))</f>
        <v>—</v>
      </c>
      <c r="DH9" s="59">
        <f>IF(V9&lt;&gt;"SÍ","",MAX(0,INT((E9*100-DATOS!$C$87-IF(AND(C9="PERIMETRAL",I9="DISCONTINUO"),MAX(0,DATOS!$C$75-DATOS!$C$87),0)-IF(AND(C9="PERIMETRAL",J9="DISCONTINUO"),MAX(0,DATOS!$C$75-DATOS!$C$87),0)+DATOS!$C$86-IF(X9="X",DATOS!$C$81,AE9))/DATOS!$C$86)))</f>
        <v>4</v>
      </c>
      <c r="DI9" s="59">
        <f>IF(V9&lt;&gt;"SÍ","",MAX(0,INT((F9*100-DATOS!$C$87-IF(AND(C9="PERIMETRAL",G9="DISCONTINUO"),MAX(0,DATOS!$C$75-DATOS!$C$87),0)-IF(AND(C9="PERIMETRAL",H9="DISCONTINUO"),MAX(0,DATOS!$C$75-DATOS!$C$87),0)+DATOS!$C$86-IF(X9="Y",DATOS!$C$81,AE9))/DATOS!$C$86)))</f>
        <v>2</v>
      </c>
      <c r="DJ9" s="57">
        <f>IF(V9&lt;&gt;"SÍ","",IF(DH9&gt;0,IF(AND(C9="PERIMETRAL",I9="DISCONTINUO"),MAX(0,DATOS!$C$75-DATOS!$C$87),0)+(E9*100-DATOS!$C$87-IF(AND(C9="PERIMETRAL",I9="DISCONTINUO"),MAX(0,DATOS!$C$75-DATOS!$C$87),0)-IF(AND(C9="PERIMETRAL",J9="DISCONTINUO"),MAX(0,DATOS!$C$75-DATOS!$C$87),0)-(DH9*IF(X9="X",DATOS!$C$81,AE9)+(DH9-1)*(DATOS!$C$86-IF(X9="X",DATOS!$C$81,AE9))))/2,E9*100/2))</f>
        <v>8.94999999999999</v>
      </c>
      <c r="DK9" s="57">
        <f>IF(V9&lt;&gt;"SÍ","",IF(DH9&gt;0,IF(AND(C9="PERIMETRAL",J9="DISCONTINUO"),MAX(0,DATOS!$C$75-DATOS!$C$87),0)+(E9*100-DATOS!$C$87-IF(AND(C9="PERIMETRAL",I9="DISCONTINUO"),MAX(0,DATOS!$C$75-DATOS!$C$87),0)-IF(AND(C9="PERIMETRAL",J9="DISCONTINUO"),MAX(0,DATOS!$C$75-DATOS!$C$87),0)-(DH9*IF(X9="X",DATOS!$C$81,AE9)+(DH9-1)*(DATOS!$C$86-IF(X9="X",DATOS!$C$81,AE9))))/2,E9*100/2))</f>
        <v>8.94999999999999</v>
      </c>
      <c r="DL9" s="57">
        <f>IF(V9&lt;&gt;"SÍ","",IF(DI9&gt;0,IF(AND(C9="PERIMETRAL",G9="DISCONTINUO"),MAX(0,DATOS!$C$75-DATOS!$C$87),0)+(F9*100-DATOS!$C$87-IF(AND(C9="PERIMETRAL",G9="DISCONTINUO"),MAX(0,DATOS!$C$75-DATOS!$C$87),0)-IF(AND(C9="PERIMETRAL",H9="DISCONTINUO"),MAX(0,DATOS!$C$75-DATOS!$C$87),0)-(DI9*IF(X9="Y",DATOS!$C$81,AE9)+(DI9-1)*(DATOS!$C$86-IF(X9="Y",DATOS!$C$81,AE9))))/2,F9*100/2))</f>
        <v>7.5</v>
      </c>
      <c r="DM9" s="57">
        <f>IF(V9&lt;&gt;"SÍ","",IF(DI9&gt;0,IF(AND(C9="PERIMETRAL",H9="DISCONTINUO"),MAX(0,DATOS!$C$75-DATOS!$C$87),0)+(F9*100-DATOS!$C$87-IF(AND(C9="PERIMETRAL",G9="DISCONTINUO"),MAX(0,DATOS!$C$75-DATOS!$C$87),0)-IF(AND(C9="PERIMETRAL",H9="DISCONTINUO"),MAX(0,DATOS!$C$75-DATOS!$C$87),0)-(DI9*IF(X9="Y",DATOS!$C$81,AE9)+(DI9-1)*(DATOS!$C$86-IF(X9="Y",DATOS!$C$81,AE9))))/2,F9*100/2))</f>
        <v>7.5</v>
      </c>
      <c r="DN9" s="59">
        <f>IF(V9&lt;&gt;"SÍ","",IF(NOT(AND(C9="VOLADO",AD9&gt;DATOS!$C$83)),0,IF(INDEX(TABLAS!$C$52:$C$58,MATCH(BV9,TABLAS!$B$52:$B$58,0))&lt;=DATOS!$C$83-2*DATOS!$C$63,1,0)))</f>
        <v>0</v>
      </c>
      <c r="DO9" s="58">
        <f>IF(V9&lt;&gt;"SÍ","",IF(NOT(AND(C9="VOLADO",AD9&gt;DATOS!$C$83)),0,((DATOS!$C$85-MAX(DATOS!$C$63,(DATOS!$C$84-2*DATOS!$C$97)/2)-2*DATOS!$C$97-INDEX(TABLAS!$C$52:$C$58,MATCH(MAX(4,DATOS!$C$72),TABLAS!$B$52:$B$58,0))-INDEX(TABLAS!$C$52:$C$58,MATCH(BV9,TABLAS!$B$52:$B$58,0))/2)-IF(AND((DATOS!$C$85-MAX(DATOS!$C$63,(DATOS!$C$84-2*DATOS!$C$97)/2)-2*DATOS!$C$97-INDEX(TABLAS!$C$52:$C$58,MATCH(MAX(4,DATOS!$C$72),TABLAS!$B$52:$B$58,0))-INDEX(TABLAS!$C$52:$C$58,MATCH(BV9,TABLAS!$B$52:$B$58,0))/2)&lt;=20,DATOS!$C$65&lt;&gt;"SÍ"),2,0))))</f>
        <v>0</v>
      </c>
      <c r="DP9" s="56">
        <f>IF(V9&lt;&gt;"SÍ","",IF(OR(NOT(AND(C9="VOLADO",AD9&gt;DATOS!$C$83)),DN9&lt;1),0,IF(0.003*(DO9-((DN9*INDEX(TABLAS!$D$52:$D$58,MATCH(BV9,TABLAS!$B$52:$B$58,0)))*DATOS!$C$14/(DATOS!$C$21*AG9)/DATOS!$C$22))/((DN9*INDEX(TABLAS!$D$52:$D$58,MATCH(BV9,TABLAS!$B$52:$B$58,0)))*DATOS!$C$14/(DATOS!$C$21*AG9)/DATOS!$C$22)&lt;0.005,0,DATOS!$C$29*(DN9*INDEX(TABLAS!$D$52:$D$58,MATCH(BV9,TABLAS!$B$52:$B$58,0)))*DATOS!$C$14*(DO9-(DN9*INDEX(TABLAS!$D$52:$D$58,MATCH(BV9,TABLAS!$B$52:$B$58,0)))*DATOS!$C$14/(DATOS!$C$21*AG9)/2)/1E5)))</f>
        <v>0</v>
      </c>
      <c r="DQ9" s="56">
        <f>IF(V9&lt;&gt;"SÍ","",IF(OR(NOT(AND(C9="VOLADO",AD9&gt;DATOS!$C$83)),DN9&lt;1),0,DATOS!$C$30*2*MIN(1,SQRT(2/(1+0.04*DO9)))*((DN9*INDEX(TABLAS!$D$52:$D$58,MATCH(BV9,TABLAS!$B$52:$B$58,0)))/(AG9*DO9))^(1/3)*SQRT(DATOS!$C$13)*AG9*DO9/1000))</f>
        <v>0</v>
      </c>
      <c r="DR9" s="56">
        <f>IF(V9&lt;&gt;"SÍ","",IF(NOT(AND(C9="VOLADO",AD9&gt;DATOS!$C$83)),0,IF((BH9-DP9)&lt;=0,0,IF(DP9&lt;=0,IF(ISNUMBER(P9),P9,Y9),IF(((0.9*DATOS!$C$90*DATOS!$C$86/100/1000)*IF(ISNUMBER(P9),P9,Y9)/2+BH9/IF(ISNUMBER(P9),P9,Y9))^2-4*((0.9*DATOS!$C$90*DATOS!$C$86/100/1000)/2)*(BH9-DP9)&lt;0,IF(ISNUMBER(P9),P9,Y9),MIN(IF(ISNUMBER(P9),P9,Y9),(((0.9*DATOS!$C$90*DATOS!$C$86/100/1000)*IF(ISNUMBER(P9),P9,Y9)/2+BH9/IF(ISNUMBER(P9),P9,Y9))-SQRT(((0.9*DATOS!$C$90*DATOS!$C$86/100/1000)*IF(ISNUMBER(P9),P9,Y9)/2+BH9/IF(ISNUMBER(P9),P9,Y9))^2-4*((0.9*DATOS!$C$90*DATOS!$C$86/100/1000)/2)*(BH9-DP9)))/(2*((0.9*DATOS!$C$90*DATOS!$C$86/100/1000)/2))))))))</f>
        <v>0</v>
      </c>
      <c r="DS9" s="56">
        <f>IF(V9&lt;&gt;"SÍ","",IF(NOT(AND(C9="VOLADO",AD9&gt;DATOS!$C$83)),0,IF(DQ9&lt;=(BH9/((IF(ISNUMBER(P9),P9,Y9)*100-DATOS!$C$87)/100)),IF(ISNUMBER(P9),P9,Y9),MIN(IF(ISNUMBER(P9),P9,Y9),MAX(0,(IF(ISNUMBER(P9),P9,Y9)*100-DATOS!$C$87)/200-(DQ9-(BH9/((IF(ISNUMBER(P9),P9,Y9)*100-DATOS!$C$87)/100)))/((0.95-0.5*IF(N(Q9)&gt;0,MIN(IF(ISNUMBER(P9),P9,Y9),Q9)/MAX(IF(ISNUMBER(P9),P9,Y9),Q9),0))*DATOS!$C$33*AR9*DATOS!$C$86/100/1000))))))</f>
        <v>0</v>
      </c>
      <c r="DT9" s="56">
        <f>IF(V9&lt;&gt;"SÍ","",IF(NOT(AND(C9="VOLADO",AD9&gt;DATOS!$C$83)),0,(BH9/((IF(ISNUMBER(P9),P9,Y9)*100-DATOS!$C$87)/100))+((0.95-0.5*IF(N(Q9)&gt;0,MIN(IF(ISNUMBER(P9),P9,Y9),Q9)/MAX(IF(ISNUMBER(P9),P9,Y9),Q9),0))*DATOS!$C$33*AR9*DATOS!$C$86/100/1000)*MAX(0,(IF(ISNUMBER(P9),P9,Y9)*100-DATOS!$C$87)/200-BX9/100)))</f>
        <v>0</v>
      </c>
      <c r="DU9" s="59">
        <f>IF(V9&lt;&gt;"SÍ","",IF(NOT(AND(C9="VOLADO",AD9&gt;DATOS!$C$83)),0,MIN(FLOOR(100*IF(ISNUMBER(P9),P9,Y9)-DATOS!$C$63,5),CEILING(100*MIN(IF(ISNUMBER(P9),P9,Y9),MAX(IF(DR9&gt;0,DR9+IF(BW9&gt;=2,MAX(DO9,12*INDEX(TABLAS!$C$52:$C$58,MATCH(BV9,TABLAS!$B$52:$B$58,0)))/100,0),0),DS9,IF(BW9&gt;=2,INDEX(TABLAS!$F$52:$F$58,MATCH(BV9,TABLAS!$B$52:$B$58,0))/100,0))),5))))</f>
        <v>0</v>
      </c>
      <c r="DV9" s="60">
        <f>IF(V9&lt;&gt;"SÍ","",IF(NOT(AND(C9="VOLADO",AD9&gt;DATOS!$C$83)),0,IF(DU9&lt;=0,0,CEILING(DU9/DATOS!$C$86,1))))</f>
        <v>0</v>
      </c>
      <c r="DW9" s="61" t="str">
        <f>IF(V9&lt;&gt;"SÍ","",IF(C9&lt;&gt;"VOLADO","—",IF(AD9&lt;=DATOS!$C$83,"— (mismo b_w que el respaldo)",IF(DT9&gt;CS9,"NO CUMPLE: cortante de la nervadura ancha junto al apoyo ("&amp;TEXT(DT9,"0.00")&amp;" &gt; "&amp;TEXT(CS9,"0.00")&amp;" t)",IF(DU9&gt;=100*IF(ISNUMBER(P9),P9,Y9),"CUMPLE — todas las nervaduras del respaldo ‖ al volado con b_w = "&amp;AD9&amp;" cm","CUMPLE — "&amp;DV9&amp;" hilera(s) del respaldo con nervaduras de b_w = "&amp;AD9&amp;" cm (casetón "&amp;AE9&amp;" cm), hasta "&amp;TEXT(DU9/100,"0.00")&amp;" m del paño")))))</f>
        <v>—</v>
      </c>
      <c r="DX9" s="69" t="str">
        <f>IF(V9&lt;&gt;"SÍ","",IF(BO9=0,"NO ALCANZA",BO9&amp;" No. "&amp;BN9&amp;IF(BO9&gt;1," corridas"," corrida")))</f>
        <v>1 No. 4 corrida</v>
      </c>
      <c r="DY9" s="69" t="str">
        <f>IF(V9&lt;&gt;"SÍ","",IF(BW9=0,"NO ALCANZA",IF(AND(C9="VOLADO",AD9&gt;DATOS!$C$83,BW9&gt;=2),"1 No. "&amp;BV9&amp;" corrida de la orilla al respaldo ("&amp;IF(DC9&gt;=FLOOR(100*IF(ISNUMBER(P9),P9,Y9)-DATOS!$C$63,5),"hasta su apoyo lejano, con gancho","entra "&amp;TEXT(DC9/100,"0.00")&amp;" m desde el paño")&amp;") + "&amp;(BW9-1)&amp;" bastón No. "&amp;BV9&amp;" hasta "&amp;TEXT(DU9/100,"0.00")&amp;" m del paño (fin de la nervadura ancha)",IF(C9="VOLADO",BW9&amp;" No. "&amp;BV9&amp;" de la orilla al respaldo ("&amp;IF(DC9&gt;=FLOOR(100*IF(ISNUMBER(P9),P9,Y9)-DATOS!$C$63,5),"hasta su apoyo lejano, con gancho","entran "&amp;TEXT(DC9/100,"0.00")&amp;" m desde el paño")&amp;")","1 No. "&amp;BV9&amp;" corrida"&amp;IF(BW9&gt;1," + "&amp;(BW9-1)&amp;" bastón No. "&amp;BV9&amp;" L = "&amp;TEXT(DC9/100,"0.00")&amp;" m desde el paño","")))))</f>
        <v>1 No. 4 corrida</v>
      </c>
      <c r="DZ9" s="69" t="str">
        <f>IF(V9&lt;&gt;"SÍ","",IF(CE9=0,"NO ALCANZA",CE9&amp;" No. "&amp;CD9&amp;IF(CE9&gt;1," corridas"," corrida")))</f>
        <v>1 No. 4 corrida</v>
      </c>
      <c r="EA9" s="69" t="str">
        <f>IF(V9&lt;&gt;"SÍ","",IF(CM9=0,"NO ALCANZA",IF(C9="VOLADO","1 No. "&amp;CL9&amp;" corrida (repartición)","1 No. "&amp;CL9&amp;" corrida"&amp;IF(CM9&gt;1," + "&amp;(CM9-1)&amp;" bastón No. "&amp;CL9&amp;" L = "&amp;TEXT(DD9/100,"0.00")&amp;" m desde el paño",""))))</f>
        <v>1 No. 4 corrida</v>
      </c>
      <c r="EB9" s="67" t="str">
        <f>IF(B9="","",IF(V9&lt;&gt;"SÍ","FALTAN DATOS: tipo, a_x, a_y, destino y, en volados, L_b",IF(L9="NO MONOLÍTICO (caso II)","FUERA DE ALCANCE: caso II no transcrito",IF(AND(C9="VOLADO",W9="?"),"REVISAR: el volado lleva UN solo borde CONTINUO (el empotrado)",IF(MIN(DH9,DI9)=0,"REVISAR: no cabe un casetón (tablero macizo): diséñalo en MACIZAS",IF(AND(MAX(BR9,BZ9,CH9,CP9)&lt;=1,NOT(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T(OR(AND(ISNUMBER(BS9),BS9&lt;0.005),AND(ISNUMBER(CA9),CA9&lt;0.005),AND(ISNUMBER(CI9),CI9&lt;0.005),AND(ISNUMBER(CQ9),CQ9&lt;0.005))),NOT(LEFT(DW9,2)="NO"),DA9="CUMPLE",DB9="CUMPLE",LEFT(CU9,2)&lt;&gt;"NO",LEFT(DATOS!$C$132,6)="CUMPLE"),IF(LEFT(CU9,6)="CUMPLE","CUMPLE","CUMPLE — "&amp;CU9)&amp;IF(LEFT(BK9,5)="FUERA"," · fuera de 3.4.2.1 c)","")&amp;IF(LEFT(DG9,2)="NO"," · REVISAR anclaje en borde discontinuo","")&amp;IF(DV9&gt;0," · respaldo: "&amp;DV9&amp;" hilera(s) de b_w "&amp;AD9&amp;" cm",""),IF(AND(MAX(BR9,BZ9,CH9,CP9)&lt;=1,NOT(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T(OR(AND(ISNUMBER(BS9),BS9&lt;0.005),AND(ISNUMBER(CA9),CA9&lt;0.005),AND(ISNUMBER(CI9),CI9&lt;0.005),AND(ISNUMBER(CQ9),CQ9&lt;0.005))),NOT(LEFT(DW9,2)="NO"),DA9="CALCULAR FLECHA",LEFT(CU9,2)&lt;&gt;"NO",LEFT(DATOS!$C$132,6)="CUMPLE"),"REVISAR: calcular flecha (h_eq &lt; h mín.)"&amp;IF(LEFT(BK9,5)="FUERA"," · fuera de 3.4.2.1 c)","")&amp;IF(LEFT(DG9,2)="NO"," · REVISAR anclaje en borde discontinuo","")&amp;IF(DV9&gt;0," · respaldo: "&amp;DV9&amp;" hilera(s) de b_w "&amp;AD9&amp;" cm",""),"NO CUMPLE: "&amp;IF(MAX(BR9,BZ9,CH9,CP9)&gt;1,"flexión ","")&amp;IF(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 caben ","")&amp;IF(OR(AND(ISNUMBER(BS9),BS9&lt;0.005),AND(ISNUMBER(CA9),CA9&lt;0.005),AND(ISNUMBER(CI9),CI9&lt;0.005),AND(ISNUMBER(CQ9),CQ9&lt;0.005)),"ε_t &lt; 0.005 ","")&amp;IF(LEFT(CU9,2)="NO","cortante ","")&amp;IF(DA9="NO CUMPLE","peralte ","")&amp;IF(DB9&lt;&gt;"CUMPLE","capa &lt; 6 cm ","")&amp;IF(LEFT(DATOS!$C$132,6)&lt;&gt;"CUMPLE","capa o malla (DATOS sección 7) ","")&amp;IF(LEFT(DW9,2)="NO","respaldo del volado",""))))))))</f>
        <v>CUMPLE</v>
      </c>
      <c r="EC9" s="70" t="str">
        <f>IF(V9&lt;&gt;"SÍ","",IF(LEFT(B9,7)="EJEMPLO","EJEMPLO de la hoja de Casa Rocha: bórralo o sobrescríbelo. ","")&amp;IF(AND(C9="PERIMETRAL",MIN(DH9,DI9)=0),"No cabe un casetón en el claro corto: es un tablero macizo, diséñalo en MACIZAS. ","")&amp;IF(AND(AJ9="NO",C9="PERIMETRAL"),"No cumple 6.7.8.1.4 (a_c = "&amp;MAX(DATOS!$C$81,AE9)&amp;" cm &gt; claro corto/6 = "&amp;TEXT(Y9*100/6,"0")&amp;" cm): se diseña como losa apoyada en vigas (6.7.8.1.9): r de viga = "&amp;DATOS!$C$63&amp;" cm y V_cR sin ×1.1. Para que cuente como encasetonada: casetón de "&amp;TEXT(FLOOR(MIN(80,Y9*100/6),1),"0")&amp;" cm o menor. ","")&amp;IF(C9="VOLADO","Volado de "&amp;TEXT(Y9,"0.00")&amp;" m empotrado en el borde "&amp;LOWER(W9)&amp;IF(N(O9)&gt;0,", con "&amp;TEXT(O9,"0.0")&amp;" kg/m en la orilla","")&amp;". Lecho inferior con r_ext. Si la orilla carga pretil u otro elemento frágil, calcula la flecha (13.4). El acero superior entra al respaldo de "&amp;TEXT(IF(ISNUMBER(P9),P9,Y9),"0.00")&amp;" m"&amp;" hasta pasar M = 0 con 0.9·PP sin carga viva; si ahí no se anula, llega al apoyo lejano y se ancla con gancho (NTC-Criterios 3.4.1 c y 5.1.2.2). "&amp;IF(AD9&gt;DATOS!$C$83,"Respaldo: "&amp;DW9&amp;". ",""),"")&amp;IF(AND(C9="VOLADO",((0.9*DATOS!$C$90*DATOS!$C$86/100/1000)*IF(ISNUMBER(P9),P9,Y9)/2-BH9/IF(ISNUMBER(P9),P9,Y9))&lt;0),"Con 0.9·PP y sin carga viva el apoyo lejano del respaldo levanta (R = "&amp;TEXT(-((0.9*DATOS!$C$90*DATOS!$C$86/100/1000)*IF(ISNUMBER(P9),P9,Y9)/2-BH9/IF(ISNUMBER(P9),P9,Y9)),"0.00")&amp;" t por nervadura): ancla ahí la corrida con gancho y revisa ese apoyo a tensión. ","")&amp;IF(LEFT(BK9,5)="FUERA","El M⁻ del vecino difiere más de 50 % (3.4.2.1 c): distribuye el desequilibrio (3.4.3.1) o confirma con un modelo; se arma con el mayor. ","")&amp;IF(OR(DE9="SÍ",DF9="SÍ"),"El M⁻ del borde discontinuo pide bastón también ahí (con gancho). ","")&amp;IF(LEFT(DG9,2)="NO","Anclaje: "&amp;DG9&amp;" (6.7.8.1.7). ","")&amp;IF(AND(C9="PERIMETRAL",AT9&gt;=1,AS9-AT9&gt;=1),"Esquinas exteriores sobre muro: refuerzo de esquina arriba y abajo en L_largo/5 (6.7.7.3.1). ",""))</f>
        <v>EJEMPLO de la hoja de Casa Rocha: bórralo o sobrescríbelo. No cumple 6.7.8.1.4 (a_c = 60 cm &gt; claro corto/6 = 27 cm): se diseña como losa apoyada en vigas (6.7.8.1.9): r de viga = 4 cm y V_cR sin ×1.1. Para que cuente como encasetonada: casetón de 26 cm o menor. </v>
      </c>
    </row>
    <row r="10" ht="33" customHeight="1">
      <c r="A10" s="50">
        <f>IF(B10="",0,1)+A9</f>
        <v>2</v>
      </c>
      <c r="B10" s="29" t="inlineStr">
        <is>
          <t>EJEMPLO F80016 (de borde)</t>
        </is>
      </c>
      <c r="C10" s="51" t="inlineStr">
        <is>
          <t>PERIMETRAL</t>
        </is>
      </c>
      <c r="D10" s="29" t="inlineStr">
        <is>
          <t>HABITACIÓN</t>
        </is>
      </c>
      <c r="E10" s="52" t="n">
        <v>4.426</v>
      </c>
      <c r="F10" s="52" t="n">
        <v>4</v>
      </c>
      <c r="G10" s="51" t="inlineStr">
        <is>
          <t>CONTINUO</t>
        </is>
      </c>
      <c r="H10" s="51" t="inlineStr">
        <is>
          <t>CONTINUO</t>
        </is>
      </c>
      <c r="I10" s="51" t="inlineStr">
        <is>
          <t>DISCONTINUO</t>
        </is>
      </c>
      <c r="J10" s="51" t="inlineStr">
        <is>
          <t>CONTINUO</t>
        </is>
      </c>
      <c r="K10" s="51" t="inlineStr">
        <is>
          <t>AUTO</t>
        </is>
      </c>
      <c r="L10" s="51" t="inlineStr">
        <is>
          <t>MONOLÍTICO (caso I)</t>
        </is>
      </c>
      <c r="M10" s="53" t="n">
        <v>160</v>
      </c>
      <c r="N10" s="53" t="n"/>
      <c r="O10" s="54" t="n"/>
      <c r="P10" s="52" t="n"/>
      <c r="Q10" s="52" t="n"/>
      <c r="R10" s="53" t="n"/>
      <c r="S10" s="54" t="n"/>
      <c r="T10" s="52" t="n"/>
      <c r="U10" s="52" t="n"/>
      <c r="V10" s="55" t="str">
        <f>IF(B10="","",IF(AND(OR(C10="PERIMETRAL",C10="VOLADO"),ISNUMBER(E10),ISNUMBER(F10),E10&gt;0,F10&gt;0,OR(ISNUMBER(N10),ISNUMBER(MATCH(D10,DATOS!$B$46:$B$58,0))),OR(C10&lt;&gt;"VOLADO",N(P10)&gt;0)),"SÍ","NO"))</f>
        <v>SÍ</v>
      </c>
      <c r="W10" s="55" t="str">
        <f>IF(V10&lt;&gt;"SÍ","",IF(C10&lt;&gt;"VOLADO","—",IF(COUNTIF(G10:J10,"CONTINUO")&lt;&gt;1,"?",IF(G10="CONTINUO","INFERIOR",IF(H10="CONTINUO","SUPERIOR",IF(I10="CONTINUO","IZQUIERDO","DERECHO"))))))</f>
        <v>—</v>
      </c>
      <c r="X10" s="55" t="str">
        <f>IF(V10&lt;&gt;"SÍ","",IF(C10="VOLADO",IF(OR(W10="IZQUIERDO",W10="DERECHO"),"X","Y"),IF(E10&lt;=F10,"X","Y")))</f>
        <v>Y</v>
      </c>
      <c r="Y10" s="56">
        <f>IF(V10&lt;&gt;"SÍ","",IF(C10="VOLADO",IF(X10="X",E10,F10),MIN(E10,F10)))</f>
        <v>4</v>
      </c>
      <c r="Z10" s="56">
        <f>IF(V10&lt;&gt;"SÍ","",IF(C10="VOLADO",IF(X10="X",F10,E10),MAX(E10,F10)))</f>
        <v>4.426</v>
      </c>
      <c r="AA10" s="56">
        <f>IF(V10&lt;&gt;"SÍ","",MIN(Y10,Z10)/MAX(Y10,Z10))</f>
        <v>0.903750564844103</v>
      </c>
      <c r="AB10" s="57">
        <f>IF(V10&lt;&gt;"SÍ","",MAX(1,Y10*100-IF(C10="VOLADO",DATOS!$C$87/2,DATOS!$C$87)))</f>
        <v>385</v>
      </c>
      <c r="AC10" s="57">
        <f>IF(V10&lt;&gt;"SÍ","",MAX(1,Z10*100-DATOS!$C$87))</f>
        <v>427.6</v>
      </c>
      <c r="AD10" s="57">
        <f>IF(V10&lt;&gt;"SÍ","",IF(ISNUMBER(R10),R10,DATOS!$C$83))</f>
        <v>10</v>
      </c>
      <c r="AE10" s="57">
        <f>IF(V10&lt;&gt;"SÍ","",MAX(0,DATOS!$C$86-AD10))</f>
        <v>60</v>
      </c>
      <c r="AF10" s="57">
        <f>IF(V10&lt;&gt;"SÍ","",IF(OR(DATOS!$C$65="SÍ",AD10&gt;=20),AD10,AD10-2))</f>
        <v>10</v>
      </c>
      <c r="AG10" s="57">
        <f>IF(V10&lt;&gt;"SÍ","",IF(OR(DATOS!$C$65="SÍ",DATOS!$C$83&gt;=20),DATOS!$C$83,DATOS!$C$83-2))</f>
        <v>10</v>
      </c>
      <c r="AH10" s="57">
        <f>IF(V10&lt;&gt;"SÍ","",MIN(DATOS!$C$86,AD10+2*MIN(8*DATOS!$C$84,AE10/2,AB10/8)))</f>
        <v>70</v>
      </c>
      <c r="AI10" s="57">
        <f>IF(V10&lt;&gt;"SÍ","",MIN(DATOS!$C$86,DATOS!$C$83+2*MIN(8*DATOS!$C$84,DATOS!$C$81/2,AC10/8)))</f>
        <v>70</v>
      </c>
      <c r="AJ10" s="55" t="str">
        <f>IF(V10&lt;&gt;"SÍ","",IF(AND(C10="PERIMETRAL",Y10*100&gt;=6*MAX(DATOS!$C$81,AE10),MAX(DATOS!$C$81,AE10)&lt;=80,MIN(DATOS!$C$83,AD10)&gt;=10,DATOS!$C$85&lt;=3.5*MIN(DATOS!$C$83,AD10),DATOS!$C$84&gt;=MAX(MAX(DATOS!$C$81,AE10)/13,5)),"SÍ","NO"))</f>
        <v>SÍ</v>
      </c>
      <c r="AK10" s="57">
        <f>IF(V10&lt;&gt;"SÍ","",IF(C10="VOLADO",DATOS!$C$64,IF(AJ10="NO",DATOS!$C$63,DATOS!$C$62)))</f>
        <v>2</v>
      </c>
      <c r="AL10" s="57">
        <f>IF(V10&lt;&gt;"SÍ","",IF(OR(AND(AN10="SÍ",DATOS!$C$66="SÍ"),AND(C10="VOLADO",DATOS!$C$67="SÍ")),DATOS!$C$64,IF(AJ10="NO",DATOS!$C$63,DATOS!$C$62)))</f>
        <v>2</v>
      </c>
      <c r="AM10" s="58">
        <f>IF(V10&lt;&gt;"SÍ","",MAX(AL10,(DATOS!$C$84-2*DATOS!$C$97)/2))</f>
        <v>2.428</v>
      </c>
      <c r="AN10" s="55" t="str">
        <f>IF(V10&lt;&gt;"SÍ","",IFERROR(INDEX(DATOS!$D$46:$D$58,MATCH(D10,DATOS!$B$46:$B$58,0)),"NO"))</f>
        <v>NO</v>
      </c>
      <c r="AO10" s="59">
        <f>IF(V10&lt;&gt;"SÍ","",IF(ISNUMBER(N10),N10,IFERROR(INDEX(DATOS!$C$46:$C$58,MATCH(D10,DATOS!$B$46:$B$58,0)),0)))</f>
        <v>190</v>
      </c>
      <c r="AP10" s="59">
        <f>IF(V10&lt;&gt;"SÍ","",IF(MIN(DH10,DI10)=0,DATOS!$C$85/100*DATOS!$C$16*1000,(DATOS!$C$85/100-(AE10*DATOS!$C$81/DATOS!$C$86^2)*DATOS!$C$82/100)*DATOS!$C$16*1000+(AE10*DATOS!$C$81/DATOS!$C$86^2)*DATOS!$C$82/100*DATOS!$C$17*1000)+DATOS!$C$37+DATOS!$C$38)</f>
        <v>307.073469387755</v>
      </c>
      <c r="AQ10" s="59">
        <f>IF(V10&lt;&gt;"SÍ","",AP10+N(M10))</f>
        <v>467.073469387755</v>
      </c>
      <c r="AR10" s="60">
        <f>IF(V10&lt;&gt;"SÍ","",MAX(DATOS!$C$26*AQ10+DATOS!$C$27*AO10,IF(AN10="SÍ",DATOS!$C$28*(AQ10+DATOS!$C$41),0)))</f>
        <v>892.195510204082</v>
      </c>
      <c r="AS10" s="59">
        <f>IF(V10&lt;&gt;"SÍ","",(G10="DISCONTINUO")+(H10="DISCONTINUO")+(I10="DISCONTINUO")+(J10="DISCONTINUO"))</f>
        <v>1</v>
      </c>
      <c r="AT10" s="59">
        <f>IF(V10&lt;&gt;"SÍ","",IF(X10="X",(G10="DISCONTINUO")+(H10="DISCONTINUO"),(I10="DISCONTINUO")+(J10="DISCONTINUO")))</f>
        <v>1</v>
      </c>
      <c r="AU10" s="55" t="str">
        <f>IF(V10&lt;&gt;"SÍ","",IF(AS10=0,"INTERIOR",IF(AS10=1,IF(AT10=1,"BORDE-CORTO","BORDE-LARGO"),IF(AS10=2,IF(AT10=1,"ESQUINA",IF(AT10=2,"EXTREMO-LARGO","EXTREMO-CORTO")),IF(AS10=3,IF(AT10=2,"EXTREMO-LARGO","EXTREMO-CORTO"),"AISLADO")))))</f>
        <v>BORDE-CORTO</v>
      </c>
      <c r="AV10" s="61" t="str">
        <f>IF(V10&lt;&gt;"SÍ","",IF(OR(K10="",K10="AUTO"),AU10,K10))</f>
        <v>BORDE-CORTO</v>
      </c>
      <c r="AW10" s="59">
        <f>IF(V10&lt;&gt;"SÍ","",MATCH(AA10,TABLAS!$D$5:$J$5,1))</f>
        <v>6</v>
      </c>
      <c r="AX10" s="58">
        <f>IF(V10&lt;&gt;"SÍ","",IF(AW10&gt;=7,0,(AA10-INDEX(TABLAS!$D$5:$J$5,AW10))/(INDEX(TABLAS!$D$5:$J$5,AW10+1)-INDEX(TABLAS!$D$5:$J$5,AW10))))</f>
        <v>0.0375056484410297</v>
      </c>
      <c r="AY10" s="59">
        <f>IF(V10&lt;&gt;"SÍ","",INDEX(TABLAS!$D$6:$J$47,MATCH(AV10&amp;"|NIC",TABLAS!$B$6:$B$47,0),AW10)+AX10*(INDEX(TABLAS!$D$6:$J$47,MATCH(AV10&amp;"|NIC",TABLAS!$B$6:$B$47,0),MIN(AW10+1,7))-INDEX(TABLAS!$D$6:$J$47,MATCH(AV10&amp;"|NIC",TABLAS!$B$6:$B$47,0),AW10)))</f>
        <v>542.774514234072</v>
      </c>
      <c r="AZ10" s="59">
        <f>IF(V10&lt;&gt;"SÍ","",INDEX(TABLAS!$D$6:$J$47,MATCH(AV10&amp;"|NIL",TABLAS!$B$6:$B$47,0),AW10)+AX10*(INDEX(TABLAS!$D$6:$J$47,MATCH(AV10&amp;"|NIL",TABLAS!$B$6:$B$47,0),MIN(AW10+1,7))-INDEX(TABLAS!$D$6:$J$47,MATCH(AV10&amp;"|NIL",TABLAS!$B$6:$B$47,0),AW10)))</f>
        <v>439.28739267962</v>
      </c>
      <c r="BA10" s="59">
        <f>IF(V10&lt;&gt;"SÍ","",INDEX(TABLAS!$D$6:$J$47,MATCH(AV10&amp;"|NDC",TABLAS!$B$6:$B$47,0),AW10)+AX10*(INDEX(TABLAS!$D$6:$J$47,MATCH(AV10&amp;"|NDC",TABLAS!$B$6:$B$47,0),MIN(AW10+1,7))-INDEX(TABLAS!$D$6:$J$47,MATCH(AV10&amp;"|NDC",TABLAS!$B$6:$B$47,0),AW10)))</f>
        <v>0</v>
      </c>
      <c r="BB10" s="59">
        <f>IF(V10&lt;&gt;"SÍ","",INDEX(TABLAS!$D$6:$J$47,MATCH(AV10&amp;"|NDL",TABLAS!$B$6:$B$47,0),AW10)+AX10*(INDEX(TABLAS!$D$6:$J$47,MATCH(AV10&amp;"|NDL",TABLAS!$B$6:$B$47,0),MIN(AW10+1,7))-INDEX(TABLAS!$D$6:$J$47,MATCH(AV10&amp;"|NDL",TABLAS!$B$6:$B$47,0),AW10)))</f>
        <v>205.399909624944</v>
      </c>
      <c r="BC10" s="59">
        <f>IF(V10&lt;&gt;"SÍ","",INDEX(TABLAS!$D$6:$J$47,MATCH(AV10&amp;"|PC",TABLAS!$B$6:$B$47,0),AW10)+AX10*(INDEX(TABLAS!$D$6:$J$47,MATCH(AV10&amp;"|PC",TABLAS!$B$6:$B$47,0),MIN(AW10+1,7))-INDEX(TABLAS!$D$6:$J$47,MATCH(AV10&amp;"|PC",TABLAS!$B$6:$B$47,0),AW10)))</f>
        <v>274.574785359241</v>
      </c>
      <c r="BD10" s="59">
        <f>IF(V10&lt;&gt;"SÍ","",INDEX(TABLAS!$D$6:$J$47,MATCH(AV10&amp;"|PL",TABLAS!$B$6:$B$47,0),AW10)+AX10*(INDEX(TABLAS!$D$6:$J$47,MATCH(AV10&amp;"|PL",TABLAS!$B$6:$B$47,0),MIN(AW10+1,7))-INDEX(TABLAS!$D$6:$J$47,MATCH(AV10&amp;"|PL",TABLAS!$B$6:$B$47,0),AW10)))</f>
        <v>263.862629914144</v>
      </c>
      <c r="BE10" s="56">
        <f>IF(V10&lt;&gt;"SÍ","",IF(OR(C10&lt;&gt;"VOLADO",MIN(DH10,DI10)=0),0,DATOS!$C$26*DATOS!$C$16*DATOS!$C$86/100*(((AE10*DATOS!$C$81/DATOS!$C$86^2)*DATOS!$C$82/100)*(IF(X10="X",DJ10,DL10)+DATOS!$C$87/2)/100*(AB10-(IF(X10="X",DJ10,DL10)+DATOS!$C$87/2)/2)/100+((AE10*DATOS!$C$81/DATOS!$C$86^2)*DATOS!$C$82/100)*IF(X10="X",DJ10,DL10)/100*IF(X10="X",DJ10,DL10)/200)))</f>
        <v>0</v>
      </c>
      <c r="BF10" s="56">
        <f>IF(V10&lt;&gt;"SÍ","",IF(OR(C10&lt;&gt;"VOLADO",MIN(DH10,DI10)=0),0,DATOS!$C$26*DATOS!$C$16*DATOS!$C$86/100*((AE10*DATOS!$C$81/DATOS!$C$86^2)*DATOS!$C$82/100)*(IF(X10="X",DJ10,DL10)+DATOS!$C$87/2)/100))</f>
        <v>0</v>
      </c>
      <c r="BG10" s="56">
        <f>IF(V10&lt;&gt;"SÍ","",IF(C10="PERIMETRAL",BC10*AR10*Y10^2*1E-4*DATOS!$C$86/100/1000,0))</f>
        <v>0.274371317598296</v>
      </c>
      <c r="BH10" s="62">
        <f>IF(V10&lt;&gt;"SÍ","",IF(C10="PERIMETRAL",MAX(MAX(AY10,BA10)*AR10*Y10^2*1E-4*DATOS!$C$86/100/1000,N(T10)),(AR10*(AB10/100)^2/2+DATOS!$C$26*N(O10)*AB10/100)*DATOS!$C$86/100/1000+BE10))</f>
        <v>0.542372302811181</v>
      </c>
      <c r="BI10" s="56">
        <f>IF(V10&lt;&gt;"SÍ","",IF(C10="PERIMETRAL",BD10*AR10*Y10^2*1E-4*DATOS!$C$86/100/1000,0))</f>
        <v>0.263667100166445</v>
      </c>
      <c r="BJ10" s="56">
        <f>IF(V10&lt;&gt;"SÍ","",IF(C10="PERIMETRAL",MAX(MAX(AZ10,BB10)*AR10*Y10^2*1E-4*DATOS!$C$86/100/1000,N(U10)),0))</f>
        <v>0.438961868170577</v>
      </c>
      <c r="BK10" s="63" t="str">
        <f>IF(V10&lt;&gt;"SÍ","",IF(C10&lt;&gt;"PERIMETRAL","—",IF(AND(N(T10)=0,N(U10)=0),"— (sin M⁻ del vecino)",IF(OR(AND(N(T10)&gt;0,ABS(MAX(AY10,BA10)*AR10*Y10^2*1E-4*DATOS!$C$86/100/1000-N(T10))&gt;0.5*MIN(MAX(AY10,BA10)*AR10*Y10^2*1E-4*DATOS!$C$86/100/1000,N(T10))),AND(N(U10)&gt;0,ABS(MAX(AZ10,BB10)*AR10*Y10^2*1E-4*DATOS!$C$86/100/1000-N(U10))&gt;0.5*MIN(MAX(AZ10,BB10)*AR10*Y10^2*1E-4*DATOS!$C$86/100/1000,N(U10)))),"FUERA: difieren &gt; 50 %"&amp;IF(AND(N(T10)&gt;0,ABS(MAX(AY10,BA10)*AR10*Y10^2*1E-4*DATOS!$C$86/100/1000-N(T10))&gt;0.5*MIN(MAX(AY10,BA10)*AR10*Y10^2*1E-4*DATOS!$C$86/100/1000,N(T10)))," ‖ corto","")&amp;IF(AND(N(U10)&gt;0,ABS(MAX(AZ10,BB10)*AR10*Y10^2*1E-4*DATOS!$C$86/100/1000-N(U10))&gt;0.5*MIN(MAX(AZ10,BB10)*AR10*Y10^2*1E-4*DATOS!$C$86/100/1000,N(U10)))," ‖ largo",""),"CUMPLE"))))</f>
        <v>— (sin M⁻ del vecino)</v>
      </c>
      <c r="BL10" s="58">
        <f>IF(V10&lt;&gt;"SÍ","",(DATOS!$C$85-AK10-INDEX(TABLAS!$C$52:$C$58,MATCH(MAX(4,DATOS!$C$71),TABLAS!$B$52:$B$58,0))/2))</f>
        <v>22.365</v>
      </c>
      <c r="BM10" s="58">
        <f>IF(V10&lt;&gt;"SÍ","",IF(IF(BG10&lt;=0,0,IF((1-2*BG10*1E5/(DATOS!$C$29*AH10*BL10^2*DATOS!$C$21))&lt;0,-1,IF((1-SQRT((1-2*BG10*1E5/(DATOS!$C$29*AH10*BL10^2*DATOS!$C$21))))*DATOS!$C$21*AH10*BL10/DATOS!$C$14&gt;DATOS!$C$102*AH10*BL10,-1,(1-SQRT((1-2*BG10*1E5/(DATOS!$C$29*AH10*BL10^2*DATOS!$C$21))))*DATOS!$C$21*AH10*BL10/DATOS!$C$14)))&lt;0,-1,MAX(IF(BG10&lt;=0,0,IF((1-2*BG10*1E5/(DATOS!$C$29*AH10*BL10^2*DATOS!$C$21))&lt;0,-1,IF((1-SQRT((1-2*BG10*1E5/(DATOS!$C$29*AH10*BL10^2*DATOS!$C$21))))*DATOS!$C$21*AH10*BL10/DATOS!$C$14&gt;DATOS!$C$102*AH10*BL10,-1,(1-SQRT((1-2*BG10*1E5/(DATOS!$C$29*AH10*BL10^2*DATOS!$C$21))))*DATOS!$C$21*AH10*BL10/DATOS!$C$14))),MIN(DATOS!$C$103*AD10*BL10,4/3*IF(BG10&lt;=0,0,IF((1-2*BG10*1E5/(DATOS!$C$29*AH10*BL10^2*DATOS!$C$21))&lt;0,-1,IF((1-SQRT((1-2*BG10*1E5/(DATOS!$C$29*AH10*BL10^2*DATOS!$C$21))))*DATOS!$C$21*AH10*BL10/DATOS!$C$14&gt;DATOS!$C$102*AH10*BL10,-1,(1-SQRT((1-2*BG10*1E5/(DATOS!$C$29*AH10*BL10^2*DATOS!$C$21))))*DATOS!$C$21*AH10*BL10/DATOS!$C$14)))))))</f>
        <v>0.433619909679508</v>
      </c>
      <c r="BN10" s="64">
        <f>IF(V10&lt;&gt;"SÍ","",IF(AND(BM10&gt;=0,IF(MAX(DATOS!$C$74,CEILING(BM10/INDEX(TABLAS!$D$52:$D$58,MIN(MATCH(MAX(4,DATOS!$C$71),TABLAS!$B$52:$B$58,0)+0,7)),1))*INDEX(TABLAS!$D$52:$D$58,MIN(MATCH(MAX(4,DATOS!$C$71),TABLAS!$B$52:$B$58,0)+0,7)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+0,7)),1)),MAX(MAX(DATOS!$C$74,CEILING(BM10/INDEX(TABLAS!$D$52:$D$58,MIN(MATCH(MAX(4,DATOS!$C$71),TABLAS!$B$52:$B$58,0)+0,7)),1)),2))&lt;=MIN(DATOS!$C$73,INT(((AD10-2*AK10)+MAX(DATOS!$C$70,INDEX(TABLAS!$C$52:$C$58,MIN(MATCH(MAX(4,DATOS!$C$71),TABLAS!$B$52:$B$58,0)+0,7))))/(INDEX(TABLAS!$C$52:$C$58,MIN(MATCH(MAX(4,DATOS!$C$71),TABLAS!$B$52:$B$58,0)+0,7))+MAX(DATOS!$C$70,INDEX(TABLAS!$C$52:$C$58,MIN(MATCH(MAX(4,DATOS!$C$71),TABLAS!$B$52:$B$58,0)+0,7))))))),INDEX(TABLAS!$B$52:$B$58,MIN(MATCH(MAX(4,DATOS!$C$71),TABLAS!$B$52:$B$58,0)+0,7)),IF(AND(BM10&gt;=0,IF(MAX(DATOS!$C$74,CEILING(BM10/INDEX(TABLAS!$D$52:$D$58,MIN(MATCH(MAX(4,DATOS!$C$71),TABLAS!$B$52:$B$58,0)+1,7)),1))*INDEX(TABLAS!$D$52:$D$58,MIN(MATCH(MAX(4,DATOS!$C$71),TABLAS!$B$52:$B$58,0)+1,7)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+1,7)),1)),MAX(MAX(DATOS!$C$74,CEILING(BM10/INDEX(TABLAS!$D$52:$D$58,MIN(MATCH(MAX(4,DATOS!$C$71),TABLAS!$B$52:$B$58,0)+1,7)),1)),2))&lt;=MIN(DATOS!$C$73,INT(((AD10-2*AK10)+MAX(DATOS!$C$70,INDEX(TABLAS!$C$52:$C$58,MIN(MATCH(MAX(4,DATOS!$C$71),TABLAS!$B$52:$B$58,0)+1,7))))/(INDEX(TABLAS!$C$52:$C$58,MIN(MATCH(MAX(4,DATOS!$C$71),TABLAS!$B$52:$B$58,0)+1,7))+MAX(DATOS!$C$70,INDEX(TABLAS!$C$52:$C$58,MIN(MATCH(MAX(4,DATOS!$C$71),TABLAS!$B$52:$B$58,0)+1,7))))))),INDEX(TABLAS!$B$52:$B$58,MIN(MATCH(MAX(4,DATOS!$C$71),TABLAS!$B$52:$B$58,0)+1,7)),IF(AND(BM10&gt;=0,IF(MAX(DATOS!$C$74,CEILING(BM10/INDEX(TABLAS!$D$52:$D$58,MIN(MATCH(MAX(4,DATOS!$C$71),TABLAS!$B$52:$B$58,0)+2,7)),1))*INDEX(TABLAS!$D$52:$D$58,MIN(MATCH(MAX(4,DATOS!$C$71),TABLAS!$B$52:$B$58,0)+2,7)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+2,7)),1)),MAX(MAX(DATOS!$C$74,CEILING(BM10/INDEX(TABLAS!$D$52:$D$58,MIN(MATCH(MAX(4,DATOS!$C$71),TABLAS!$B$52:$B$58,0)+2,7)),1)),2))&lt;=MIN(DATOS!$C$73,INT(((AD10-2*AK10)+MAX(DATOS!$C$70,INDEX(TABLAS!$C$52:$C$58,MIN(MATCH(MAX(4,DATOS!$C$71),TABLAS!$B$52:$B$58,0)+2,7))))/(INDEX(TABLAS!$C$52:$C$58,MIN(MATCH(MAX(4,DATOS!$C$71),TABLAS!$B$52:$B$58,0)+2,7))+MAX(DATOS!$C$70,INDEX(TABLAS!$C$52:$C$58,MIN(MATCH(MAX(4,DATOS!$C$71),TABLAS!$B$52:$B$58,0)+2,7))))))),INDEX(TABLAS!$B$52:$B$58,MIN(MATCH(MAX(4,DATOS!$C$71),TABLAS!$B$52:$B$58,0)+2,7)),IF(AND(BM10&gt;=0,IF(MAX(DATOS!$C$74,CEILING(BM10/INDEX(TABLAS!$D$52:$D$58,MIN(MATCH(MAX(4,DATOS!$C$71),TABLAS!$B$52:$B$58,0)+3,7)),1))*INDEX(TABLAS!$D$52:$D$58,MIN(MATCH(MAX(4,DATOS!$C$71),TABLAS!$B$52:$B$58,0)+3,7)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+3,7)),1)),MAX(MAX(DATOS!$C$74,CEILING(BM10/INDEX(TABLAS!$D$52:$D$58,MIN(MATCH(MAX(4,DATOS!$C$71),TABLAS!$B$52:$B$58,0)+3,7)),1)),2))&lt;=MIN(DATOS!$C$73,INT(((AD10-2*AK10)+MAX(DATOS!$C$70,INDEX(TABLAS!$C$52:$C$58,MIN(MATCH(MAX(4,DATOS!$C$71),TABLAS!$B$52:$B$58,0)+3,7))))/(INDEX(TABLAS!$C$52:$C$58,MIN(MATCH(MAX(4,DATOS!$C$71),TABLAS!$B$52:$B$58,0)+3,7))+MAX(DATOS!$C$70,INDEX(TABLAS!$C$52:$C$58,MIN(MATCH(MAX(4,DATOS!$C$71),TABLAS!$B$52:$B$58,0)+3,7))))))),INDEX(TABLAS!$B$52:$B$58,MIN(MATCH(MAX(4,DATOS!$C$71),TABLAS!$B$52:$B$58,0)+3,7)),IF(AND(BM10&gt;=0,IF(MAX(DATOS!$C$74,CEILING(BM10/INDEX(TABLAS!$D$52:$D$58,MIN(MATCH(MAX(4,DATOS!$C$71),TABLAS!$B$52:$B$58,0)+4,7)),1))*INDEX(TABLAS!$D$52:$D$58,MIN(MATCH(MAX(4,DATOS!$C$71),TABLAS!$B$52:$B$58,0)+4,7)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+4,7)),1)),MAX(MAX(DATOS!$C$74,CEILING(BM10/INDEX(TABLAS!$D$52:$D$58,MIN(MATCH(MAX(4,DATOS!$C$71),TABLAS!$B$52:$B$58,0)+4,7)),1)),2))&lt;=MIN(DATOS!$C$73,INT(((AD10-2*AK10)+MAX(DATOS!$C$70,INDEX(TABLAS!$C$52:$C$58,MIN(MATCH(MAX(4,DATOS!$C$71),TABLAS!$B$52:$B$58,0)+4,7))))/(INDEX(TABLAS!$C$52:$C$58,MIN(MATCH(MAX(4,DATOS!$C$71),TABLAS!$B$52:$B$58,0)+4,7))+MAX(DATOS!$C$70,INDEX(TABLAS!$C$52:$C$58,MIN(MATCH(MAX(4,DATOS!$C$71),TABLAS!$B$52:$B$58,0)+4,7))))))),INDEX(TABLAS!$B$52:$B$58,MIN(MATCH(MAX(4,DATOS!$C$71),TABLAS!$B$52:$B$58,0)+4,7)),INDEX(TABLAS!$B$52:$B$58,7)))))))</f>
        <v>4</v>
      </c>
      <c r="BO10" s="59">
        <f>IF(V10&lt;&gt;"SÍ","",IF(BM10&lt;0,0,IF(MAX(DATOS!$C$74,CEILING(MAX(BM10,0)/INDEX(TABLAS!$D$52:$D$58,MATCH(BN10,TABLAS!$B$52:$B$58,0)),1))*INDEX(TABLAS!$D$52:$D$58,MATCH(BN10,TABLAS!$B$52:$B$58,0))&gt;=4/3*IF(BG10&lt;=0,0,IF((1-2*BG10*1E5/(DATOS!$C$29*AH10*BL10^2*DATOS!$C$21))&lt;0,-1,IF((1-SQRT((1-2*BG10*1E5/(DATOS!$C$29*AH10*BL10^2*DATOS!$C$21))))*DATOS!$C$21*AH10*BL10/DATOS!$C$14&gt;DATOS!$C$102*AH10*BL10,-1,(1-SQRT((1-2*BG10*1E5/(DATOS!$C$29*AH10*BL10^2*DATOS!$C$21))))*DATOS!$C$21*AH10*BL10/DATOS!$C$14)))-0.0001,MAX(DATOS!$C$74,CEILING(MAX(BM10,0)/INDEX(TABLAS!$D$52:$D$58,MATCH(BN10,TABLAS!$B$52:$B$58,0)),1)),MAX(MAX(DATOS!$C$74,CEILING(MAX(BM10,0)/INDEX(TABLAS!$D$52:$D$58,MATCH(BN10,TABLAS!$B$52:$B$58,0)),1)),2))))</f>
        <v>1</v>
      </c>
      <c r="BP10" s="58">
        <f>IF(V10&lt;&gt;"SÍ","",DATOS!$C$85-AK10-INDEX(TABLAS!$C$52:$C$58,MATCH(BN10,TABLAS!$B$52:$B$58,0))/2)</f>
        <v>22.365</v>
      </c>
      <c r="BQ10" s="56">
        <f>IF(V10&lt;&gt;"SÍ","",IF(BO10=0,0,DATOS!$C$29*BO10*INDEX(TABLAS!$D$52:$D$58,MATCH(BN10,TABLAS!$B$52:$B$58,0))*DATOS!$C$14*(BP10-BO10*INDEX(TABLAS!$D$52:$D$58,MATCH(BN10,TABLAS!$B$52:$B$58,0))*DATOS!$C$14/(DATOS!$C$21*AH10)/2)/1E5))</f>
        <v>1.06504699658824</v>
      </c>
      <c r="BR10" s="65">
        <f>IF(V10&lt;&gt;"SÍ","",IF(BM10&lt;0,9.99,IF(BQ10&gt;0,BG10/BQ10,0)))</f>
        <v>0.257614282259107</v>
      </c>
      <c r="BS10" s="66">
        <f>IF(V10&lt;&gt;"SÍ","",IF(BO10=0,"—",0.003*(BP10-(BO10*INDEX(TABLAS!$D$52:$D$58,MATCH(BN10,TABLAS!$B$52:$B$58,0))*DATOS!$C$14/(DATOS!$C$21*AH10)/DATOS!$C$22))/(BO10*INDEX(TABLAS!$D$52:$D$58,MATCH(BN10,TABLAS!$B$52:$B$58,0))*DATOS!$C$14/(DATOS!$C$21*AH10)/DATOS!$C$22)))</f>
        <v>0.156042445866142</v>
      </c>
      <c r="BT10" s="58">
        <f>IF(V10&lt;&gt;"SÍ","",((DATOS!$C$85-AM10-2*DATOS!$C$97-INDEX(TABLAS!$C$52:$C$58,MATCH(MAX(4,DATOS!$C$72),TABLAS!$B$52:$B$58,0))/2)-IF(AND((DATOS!$C$85-AM10-2*DATOS!$C$97-INDEX(TABLAS!$C$52:$C$58,MATCH(MAX(4,DATOS!$C$72),TABLAS!$B$52:$B$58,0))/2)&lt;=20,DATOS!$C$65&lt;&gt;"SÍ"),2,0)))</f>
        <v>20.793</v>
      </c>
      <c r="BU10" s="58">
        <f>IF(V10&lt;&gt;"SÍ","",IF(IF(BH10&lt;=0,0,IF((1-2*BH10*1E5/(DATOS!$C$29*AF10*BT10^2*DATOS!$C$21))&lt;0,-1,IF((1-SQRT((1-2*BH10*1E5/(DATOS!$C$29*AF10*BT10^2*DATOS!$C$21))))*DATOS!$C$21*AF10*BT10/DATOS!$C$14&gt;DATOS!$C$102*AF10*BT10,-1,(1-SQRT((1-2*BH10*1E5/(DATOS!$C$29*AF10*BT10^2*DATOS!$C$21))))*DATOS!$C$21*AF10*BT10/DATOS!$C$14)))&lt;0,-1,MAX(IF(BH10&lt;=0,0,IF((1-2*BH10*1E5/(DATOS!$C$29*AF10*BT10^2*DATOS!$C$21))&lt;0,-1,IF((1-SQRT((1-2*BH10*1E5/(DATOS!$C$29*AF10*BT10^2*DATOS!$C$21))))*DATOS!$C$21*AF10*BT10/DATOS!$C$14&gt;DATOS!$C$102*AF10*BT10,-1,(1-SQRT((1-2*BH10*1E5/(DATOS!$C$29*AF10*BT10^2*DATOS!$C$21))))*DATOS!$C$21*AF10*BT10/DATOS!$C$14))),MIN(DATOS!$C$103*IF(C10="VOLADO",MIN(AH10,2*AD10),AD10)*BT10,4/3*IF(BH10&lt;=0,0,IF((1-2*BH10*1E5/(DATOS!$C$29*AF10*BT10^2*DATOS!$C$21))&lt;0,-1,IF((1-SQRT((1-2*BH10*1E5/(DATOS!$C$29*AF10*BT10^2*DATOS!$C$21))))*DATOS!$C$21*AF10*BT10/DATOS!$C$14&gt;DATOS!$C$102*AF10*BT10,-1,(1-SQRT((1-2*BH10*1E5/(DATOS!$C$29*AF10*BT10^2*DATOS!$C$21))))*DATOS!$C$21*AF10*BT10/DATOS!$C$14)))))))</f>
        <v>0.714313186405555</v>
      </c>
      <c r="BV10" s="64">
        <f>IF(V10&lt;&gt;"SÍ","",IF(AND(BU10&gt;=0,IF(MAX(DATOS!$C$74,CEILING(BU10/INDEX(TABLAS!$D$52:$D$58,MIN(MATCH(MAX(4,DATOS!$C$72),TABLAS!$B$52:$B$58,0)+0,7)),1))*INDEX(TABLAS!$D$52:$D$58,MIN(MATCH(MAX(4,DATOS!$C$72),TABLAS!$B$52:$B$58,0)+0,7)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+0,7)),1)),MAX(MAX(DATOS!$C$74,CEILING(BU10/INDEX(TABLAS!$D$52:$D$58,MIN(MATCH(MAX(4,DATOS!$C$72),TABLAS!$B$52:$B$58,0)+0,7)),1)),2))&lt;=MIN(DATOS!$C$73,INT(((AD10-2*AL10)+MAX(DATOS!$C$70,INDEX(TABLAS!$C$52:$C$58,MIN(MATCH(MAX(4,DATOS!$C$72),TABLAS!$B$52:$B$58,0)+0,7))))/(INDEX(TABLAS!$C$52:$C$58,MIN(MATCH(MAX(4,DATOS!$C$72),TABLAS!$B$52:$B$58,0)+0,7))+MAX(DATOS!$C$70,INDEX(TABLAS!$C$52:$C$58,MIN(MATCH(MAX(4,DATOS!$C$72),TABLAS!$B$52:$B$58,0)+0,7))))))),INDEX(TABLAS!$B$52:$B$58,MIN(MATCH(MAX(4,DATOS!$C$72),TABLAS!$B$52:$B$58,0)+0,7)),IF(AND(BU10&gt;=0,IF(MAX(DATOS!$C$74,CEILING(BU10/INDEX(TABLAS!$D$52:$D$58,MIN(MATCH(MAX(4,DATOS!$C$72),TABLAS!$B$52:$B$58,0)+1,7)),1))*INDEX(TABLAS!$D$52:$D$58,MIN(MATCH(MAX(4,DATOS!$C$72),TABLAS!$B$52:$B$58,0)+1,7)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+1,7)),1)),MAX(MAX(DATOS!$C$74,CEILING(BU10/INDEX(TABLAS!$D$52:$D$58,MIN(MATCH(MAX(4,DATOS!$C$72),TABLAS!$B$52:$B$58,0)+1,7)),1)),2))&lt;=MIN(DATOS!$C$73,INT(((AD10-2*AL10)+MAX(DATOS!$C$70,INDEX(TABLAS!$C$52:$C$58,MIN(MATCH(MAX(4,DATOS!$C$72),TABLAS!$B$52:$B$58,0)+1,7))))/(INDEX(TABLAS!$C$52:$C$58,MIN(MATCH(MAX(4,DATOS!$C$72),TABLAS!$B$52:$B$58,0)+1,7))+MAX(DATOS!$C$70,INDEX(TABLAS!$C$52:$C$58,MIN(MATCH(MAX(4,DATOS!$C$72),TABLAS!$B$52:$B$58,0)+1,7))))))),INDEX(TABLAS!$B$52:$B$58,MIN(MATCH(MAX(4,DATOS!$C$72),TABLAS!$B$52:$B$58,0)+1,7)),IF(AND(BU10&gt;=0,IF(MAX(DATOS!$C$74,CEILING(BU10/INDEX(TABLAS!$D$52:$D$58,MIN(MATCH(MAX(4,DATOS!$C$72),TABLAS!$B$52:$B$58,0)+2,7)),1))*INDEX(TABLAS!$D$52:$D$58,MIN(MATCH(MAX(4,DATOS!$C$72),TABLAS!$B$52:$B$58,0)+2,7)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+2,7)),1)),MAX(MAX(DATOS!$C$74,CEILING(BU10/INDEX(TABLAS!$D$52:$D$58,MIN(MATCH(MAX(4,DATOS!$C$72),TABLAS!$B$52:$B$58,0)+2,7)),1)),2))&lt;=MIN(DATOS!$C$73,INT(((AD10-2*AL10)+MAX(DATOS!$C$70,INDEX(TABLAS!$C$52:$C$58,MIN(MATCH(MAX(4,DATOS!$C$72),TABLAS!$B$52:$B$58,0)+2,7))))/(INDEX(TABLAS!$C$52:$C$58,MIN(MATCH(MAX(4,DATOS!$C$72),TABLAS!$B$52:$B$58,0)+2,7))+MAX(DATOS!$C$70,INDEX(TABLAS!$C$52:$C$58,MIN(MATCH(MAX(4,DATOS!$C$72),TABLAS!$B$52:$B$58,0)+2,7))))))),INDEX(TABLAS!$B$52:$B$58,MIN(MATCH(MAX(4,DATOS!$C$72),TABLAS!$B$52:$B$58,0)+2,7)),IF(AND(BU10&gt;=0,IF(MAX(DATOS!$C$74,CEILING(BU10/INDEX(TABLAS!$D$52:$D$58,MIN(MATCH(MAX(4,DATOS!$C$72),TABLAS!$B$52:$B$58,0)+3,7)),1))*INDEX(TABLAS!$D$52:$D$58,MIN(MATCH(MAX(4,DATOS!$C$72),TABLAS!$B$52:$B$58,0)+3,7)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+3,7)),1)),MAX(MAX(DATOS!$C$74,CEILING(BU10/INDEX(TABLAS!$D$52:$D$58,MIN(MATCH(MAX(4,DATOS!$C$72),TABLAS!$B$52:$B$58,0)+3,7)),1)),2))&lt;=MIN(DATOS!$C$73,INT(((AD10-2*AL10)+MAX(DATOS!$C$70,INDEX(TABLAS!$C$52:$C$58,MIN(MATCH(MAX(4,DATOS!$C$72),TABLAS!$B$52:$B$58,0)+3,7))))/(INDEX(TABLAS!$C$52:$C$58,MIN(MATCH(MAX(4,DATOS!$C$72),TABLAS!$B$52:$B$58,0)+3,7))+MAX(DATOS!$C$70,INDEX(TABLAS!$C$52:$C$58,MIN(MATCH(MAX(4,DATOS!$C$72),TABLAS!$B$52:$B$58,0)+3,7))))))),INDEX(TABLAS!$B$52:$B$58,MIN(MATCH(MAX(4,DATOS!$C$72),TABLAS!$B$52:$B$58,0)+3,7)),IF(AND(BU10&gt;=0,IF(MAX(DATOS!$C$74,CEILING(BU10/INDEX(TABLAS!$D$52:$D$58,MIN(MATCH(MAX(4,DATOS!$C$72),TABLAS!$B$52:$B$58,0)+4,7)),1))*INDEX(TABLAS!$D$52:$D$58,MIN(MATCH(MAX(4,DATOS!$C$72),TABLAS!$B$52:$B$58,0)+4,7)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+4,7)),1)),MAX(MAX(DATOS!$C$74,CEILING(BU10/INDEX(TABLAS!$D$52:$D$58,MIN(MATCH(MAX(4,DATOS!$C$72),TABLAS!$B$52:$B$58,0)+4,7)),1)),2))&lt;=MIN(DATOS!$C$73,INT(((AD10-2*AL10)+MAX(DATOS!$C$70,INDEX(TABLAS!$C$52:$C$58,MIN(MATCH(MAX(4,DATOS!$C$72),TABLAS!$B$52:$B$58,0)+4,7))))/(INDEX(TABLAS!$C$52:$C$58,MIN(MATCH(MAX(4,DATOS!$C$72),TABLAS!$B$52:$B$58,0)+4,7))+MAX(DATOS!$C$70,INDEX(TABLAS!$C$52:$C$58,MIN(MATCH(MAX(4,DATOS!$C$72),TABLAS!$B$52:$B$58,0)+4,7))))))),INDEX(TABLAS!$B$52:$B$58,MIN(MATCH(MAX(4,DATOS!$C$72),TABLAS!$B$52:$B$58,0)+4,7)),INDEX(TABLAS!$B$52:$B$58,7)))))))</f>
        <v>4</v>
      </c>
      <c r="BW10" s="59">
        <f>IF(V10&lt;&gt;"SÍ","",IF(BU10&lt;0,0,IF(MAX(DATOS!$C$74,CEILING(MAX(BU10,0)/INDEX(TABLAS!$D$52:$D$58,MATCH(BV10,TABLAS!$B$52:$B$58,0)),1))*INDEX(TABLAS!$D$52:$D$58,MATCH(BV10,TABLAS!$B$52:$B$58,0))&gt;=4/3*IF(BH10&lt;=0,0,IF((1-2*BH10*1E5/(DATOS!$C$29*AF10*BT10^2*DATOS!$C$21))&lt;0,-1,IF((1-SQRT((1-2*BH10*1E5/(DATOS!$C$29*AF10*BT10^2*DATOS!$C$21))))*DATOS!$C$21*AF10*BT10/DATOS!$C$14&gt;DATOS!$C$102*AF10*BT10,-1,(1-SQRT((1-2*BH10*1E5/(DATOS!$C$29*AF10*BT10^2*DATOS!$C$21))))*DATOS!$C$21*AF10*BT10/DATOS!$C$14)))-0.0001,MAX(DATOS!$C$74,CEILING(MAX(BU10,0)/INDEX(TABLAS!$D$52:$D$58,MATCH(BV10,TABLAS!$B$52:$B$58,0)),1)),MAX(MAX(DATOS!$C$74,CEILING(MAX(BU10,0)/INDEX(TABLAS!$D$52:$D$58,MATCH(BV10,TABLAS!$B$52:$B$58,0)),1)),2))))</f>
        <v>1</v>
      </c>
      <c r="BX10" s="58">
        <f>IF(V10&lt;&gt;"SÍ","",((DATOS!$C$85-AM10-2*DATOS!$C$97-INDEX(TABLAS!$C$52:$C$58,MATCH(BV10,TABLAS!$B$52:$B$58,0))/2)-IF(AND((DATOS!$C$85-AM10-2*DATOS!$C$97-INDEX(TABLAS!$C$52:$C$58,MATCH(BV10,TABLAS!$B$52:$B$58,0))/2)&lt;=20,DATOS!$C$65&lt;&gt;"SÍ"),2,0)))</f>
        <v>20.793</v>
      </c>
      <c r="BY10" s="56">
        <f>IF(V10&lt;&gt;"SÍ","",IF(BW10=0,0,DATOS!$C$29*BW10*INDEX(TABLAS!$D$52:$D$58,MATCH(BV10,TABLAS!$B$52:$B$58,0))*DATOS!$C$14*(BX10-BW10*INDEX(TABLAS!$D$52:$D$58,MATCH(BV10,TABLAS!$B$52:$B$58,0))*DATOS!$C$14/(DATOS!$C$21*AF10)/2)/1E5))</f>
        <v>0.937938404117647</v>
      </c>
      <c r="BZ10" s="65">
        <f>IF(V10&lt;&gt;"SÍ","",IF(BU10&lt;0,9.99,IF(BY10&gt;0,BH10/BY10,0)))</f>
        <v>0.578260043975287</v>
      </c>
      <c r="CA10" s="66">
        <f>IF(V10&lt;&gt;"SÍ","",IF(BW10=0,"—",0.003*(BX10-(BW10*INDEX(TABLAS!$D$52:$D$58,MATCH(BV10,TABLAS!$B$52:$B$58,0))*DATOS!$C$14/(DATOS!$C$21*AF10)/DATOS!$C$22))/(BW10*INDEX(TABLAS!$D$52:$D$58,MATCH(BV10,TABLAS!$B$52:$B$58,0))*DATOS!$C$14/(DATOS!$C$21*AF10)/DATOS!$C$22)))</f>
        <v>0.0181233724690664</v>
      </c>
      <c r="CB10" s="58">
        <f>IF(V10&lt;&gt;"SÍ","",(DATOS!$C$85-AK10-INDEX(TABLAS!$C$52:$C$58,MATCH(MAX(4,DATOS!$C$71),TABLAS!$B$52:$B$58,0))-INDEX(TABLAS!$C$52:$C$58,MATCH(MAX(4,DATOS!$C$71),TABLAS!$B$52:$B$58,0))/2))</f>
        <v>21.095</v>
      </c>
      <c r="CC10" s="58">
        <f>IF(V10&lt;&gt;"SÍ","",IF(IF(BI10&lt;=0,0,IF((1-2*BI10*1E5/(DATOS!$C$29*AI10*CB10^2*DATOS!$C$21))&lt;0,-1,IF((1-SQRT((1-2*BI10*1E5/(DATOS!$C$29*AI10*CB10^2*DATOS!$C$21))))*DATOS!$C$21*AI10*CB10/DATOS!$C$14&gt;DATOS!$C$102*AI10*CB10,-1,(1-SQRT((1-2*BI10*1E5/(DATOS!$C$29*AI10*CB10^2*DATOS!$C$21))))*DATOS!$C$21*AI10*CB10/DATOS!$C$14)))&lt;0,-1,MAX(IF(BI10&lt;=0,0,IF((1-2*BI10*1E5/(DATOS!$C$29*AI10*CB10^2*DATOS!$C$21))&lt;0,-1,IF((1-SQRT((1-2*BI10*1E5/(DATOS!$C$29*AI10*CB10^2*DATOS!$C$21))))*DATOS!$C$21*AI10*CB10/DATOS!$C$14&gt;DATOS!$C$102*AI10*CB10,-1,(1-SQRT((1-2*BI10*1E5/(DATOS!$C$29*AI10*CB10^2*DATOS!$C$21))))*DATOS!$C$21*AI10*CB10/DATOS!$C$14))),MIN(DATOS!$C$103*DATOS!$C$83*CB10,4/3*IF(BI10&lt;=0,0,IF((1-2*BI10*1E5/(DATOS!$C$29*AI10*CB10^2*DATOS!$C$21))&lt;0,-1,IF((1-SQRT((1-2*BI10*1E5/(DATOS!$C$29*AI10*CB10^2*DATOS!$C$21))))*DATOS!$C$21*AI10*CB10/DATOS!$C$14&gt;DATOS!$C$102*AI10*CB10,-1,(1-SQRT((1-2*BI10*1E5/(DATOS!$C$29*AI10*CB10^2*DATOS!$C$21))))*DATOS!$C$21*AI10*CB10/DATOS!$C$14)))))))</f>
        <v>0.44186298130692</v>
      </c>
      <c r="CD10" s="64">
        <f>IF(V10&lt;&gt;"SÍ","",IF(AND(CC10&gt;=0,IF(MAX(DATOS!$C$74,CEILING(CC10/INDEX(TABLAS!$D$52:$D$58,MIN(MATCH(MAX(4,DATOS!$C$71),TABLAS!$B$52:$B$58,0)+0,7)),1))*INDEX(TABLAS!$D$52:$D$58,MIN(MATCH(MAX(4,DATOS!$C$71),TABLAS!$B$52:$B$58,0)+0,7)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+0,7)),1)),MAX(MAX(DATOS!$C$74,CEILING(CC10/INDEX(TABLAS!$D$52:$D$58,MIN(MATCH(MAX(4,DATOS!$C$71),TABLAS!$B$52:$B$58,0)+0,7)),1)),2))&lt;=MIN(DATOS!$C$73,INT(((DATOS!$C$83-2*AK10)+MAX(DATOS!$C$70,INDEX(TABLAS!$C$52:$C$58,MIN(MATCH(MAX(4,DATOS!$C$71),TABLAS!$B$52:$B$58,0)+0,7))))/(INDEX(TABLAS!$C$52:$C$58,MIN(MATCH(MAX(4,DATOS!$C$71),TABLAS!$B$52:$B$58,0)+0,7))+MAX(DATOS!$C$70,INDEX(TABLAS!$C$52:$C$58,MIN(MATCH(MAX(4,DATOS!$C$71),TABLAS!$B$52:$B$58,0)+0,7))))))),INDEX(TABLAS!$B$52:$B$58,MIN(MATCH(MAX(4,DATOS!$C$71),TABLAS!$B$52:$B$58,0)+0,7)),IF(AND(CC10&gt;=0,IF(MAX(DATOS!$C$74,CEILING(CC10/INDEX(TABLAS!$D$52:$D$58,MIN(MATCH(MAX(4,DATOS!$C$71),TABLAS!$B$52:$B$58,0)+1,7)),1))*INDEX(TABLAS!$D$52:$D$58,MIN(MATCH(MAX(4,DATOS!$C$71),TABLAS!$B$52:$B$58,0)+1,7)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+1,7)),1)),MAX(MAX(DATOS!$C$74,CEILING(CC10/INDEX(TABLAS!$D$52:$D$58,MIN(MATCH(MAX(4,DATOS!$C$71),TABLAS!$B$52:$B$58,0)+1,7)),1)),2))&lt;=MIN(DATOS!$C$73,INT(((DATOS!$C$83-2*AK10)+MAX(DATOS!$C$70,INDEX(TABLAS!$C$52:$C$58,MIN(MATCH(MAX(4,DATOS!$C$71),TABLAS!$B$52:$B$58,0)+1,7))))/(INDEX(TABLAS!$C$52:$C$58,MIN(MATCH(MAX(4,DATOS!$C$71),TABLAS!$B$52:$B$58,0)+1,7))+MAX(DATOS!$C$70,INDEX(TABLAS!$C$52:$C$58,MIN(MATCH(MAX(4,DATOS!$C$71),TABLAS!$B$52:$B$58,0)+1,7))))))),INDEX(TABLAS!$B$52:$B$58,MIN(MATCH(MAX(4,DATOS!$C$71),TABLAS!$B$52:$B$58,0)+1,7)),IF(AND(CC10&gt;=0,IF(MAX(DATOS!$C$74,CEILING(CC10/INDEX(TABLAS!$D$52:$D$58,MIN(MATCH(MAX(4,DATOS!$C$71),TABLAS!$B$52:$B$58,0)+2,7)),1))*INDEX(TABLAS!$D$52:$D$58,MIN(MATCH(MAX(4,DATOS!$C$71),TABLAS!$B$52:$B$58,0)+2,7)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+2,7)),1)),MAX(MAX(DATOS!$C$74,CEILING(CC10/INDEX(TABLAS!$D$52:$D$58,MIN(MATCH(MAX(4,DATOS!$C$71),TABLAS!$B$52:$B$58,0)+2,7)),1)),2))&lt;=MIN(DATOS!$C$73,INT(((DATOS!$C$83-2*AK10)+MAX(DATOS!$C$70,INDEX(TABLAS!$C$52:$C$58,MIN(MATCH(MAX(4,DATOS!$C$71),TABLAS!$B$52:$B$58,0)+2,7))))/(INDEX(TABLAS!$C$52:$C$58,MIN(MATCH(MAX(4,DATOS!$C$71),TABLAS!$B$52:$B$58,0)+2,7))+MAX(DATOS!$C$70,INDEX(TABLAS!$C$52:$C$58,MIN(MATCH(MAX(4,DATOS!$C$71),TABLAS!$B$52:$B$58,0)+2,7))))))),INDEX(TABLAS!$B$52:$B$58,MIN(MATCH(MAX(4,DATOS!$C$71),TABLAS!$B$52:$B$58,0)+2,7)),IF(AND(CC10&gt;=0,IF(MAX(DATOS!$C$74,CEILING(CC10/INDEX(TABLAS!$D$52:$D$58,MIN(MATCH(MAX(4,DATOS!$C$71),TABLAS!$B$52:$B$58,0)+3,7)),1))*INDEX(TABLAS!$D$52:$D$58,MIN(MATCH(MAX(4,DATOS!$C$71),TABLAS!$B$52:$B$58,0)+3,7)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+3,7)),1)),MAX(MAX(DATOS!$C$74,CEILING(CC10/INDEX(TABLAS!$D$52:$D$58,MIN(MATCH(MAX(4,DATOS!$C$71),TABLAS!$B$52:$B$58,0)+3,7)),1)),2))&lt;=MIN(DATOS!$C$73,INT(((DATOS!$C$83-2*AK10)+MAX(DATOS!$C$70,INDEX(TABLAS!$C$52:$C$58,MIN(MATCH(MAX(4,DATOS!$C$71),TABLAS!$B$52:$B$58,0)+3,7))))/(INDEX(TABLAS!$C$52:$C$58,MIN(MATCH(MAX(4,DATOS!$C$71),TABLAS!$B$52:$B$58,0)+3,7))+MAX(DATOS!$C$70,INDEX(TABLAS!$C$52:$C$58,MIN(MATCH(MAX(4,DATOS!$C$71),TABLAS!$B$52:$B$58,0)+3,7))))))),INDEX(TABLAS!$B$52:$B$58,MIN(MATCH(MAX(4,DATOS!$C$71),TABLAS!$B$52:$B$58,0)+3,7)),IF(AND(CC10&gt;=0,IF(MAX(DATOS!$C$74,CEILING(CC10/INDEX(TABLAS!$D$52:$D$58,MIN(MATCH(MAX(4,DATOS!$C$71),TABLAS!$B$52:$B$58,0)+4,7)),1))*INDEX(TABLAS!$D$52:$D$58,MIN(MATCH(MAX(4,DATOS!$C$71),TABLAS!$B$52:$B$58,0)+4,7)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+4,7)),1)),MAX(MAX(DATOS!$C$74,CEILING(CC10/INDEX(TABLAS!$D$52:$D$58,MIN(MATCH(MAX(4,DATOS!$C$71),TABLAS!$B$52:$B$58,0)+4,7)),1)),2))&lt;=MIN(DATOS!$C$73,INT(((DATOS!$C$83-2*AK10)+MAX(DATOS!$C$70,INDEX(TABLAS!$C$52:$C$58,MIN(MATCH(MAX(4,DATOS!$C$71),TABLAS!$B$52:$B$58,0)+4,7))))/(INDEX(TABLAS!$C$52:$C$58,MIN(MATCH(MAX(4,DATOS!$C$71),TABLAS!$B$52:$B$58,0)+4,7))+MAX(DATOS!$C$70,INDEX(TABLAS!$C$52:$C$58,MIN(MATCH(MAX(4,DATOS!$C$71),TABLAS!$B$52:$B$58,0)+4,7))))))),INDEX(TABLAS!$B$52:$B$58,MIN(MATCH(MAX(4,DATOS!$C$71),TABLAS!$B$52:$B$58,0)+4,7)),INDEX(TABLAS!$B$52:$B$58,7)))))))</f>
        <v>4</v>
      </c>
      <c r="CE10" s="59">
        <f>IF(V10&lt;&gt;"SÍ","",IF(CC10&lt;0,0,IF(MAX(DATOS!$C$74,CEILING(MAX(CC10,0)/INDEX(TABLAS!$D$52:$D$58,MATCH(CD10,TABLAS!$B$52:$B$58,0)),1))*INDEX(TABLAS!$D$52:$D$58,MATCH(CD10,TABLAS!$B$52:$B$58,0))&gt;=4/3*IF(BI10&lt;=0,0,IF((1-2*BI10*1E5/(DATOS!$C$29*AI10*CB10^2*DATOS!$C$21))&lt;0,-1,IF((1-SQRT((1-2*BI10*1E5/(DATOS!$C$29*AI10*CB10^2*DATOS!$C$21))))*DATOS!$C$21*AI10*CB10/DATOS!$C$14&gt;DATOS!$C$102*AI10*CB10,-1,(1-SQRT((1-2*BI10*1E5/(DATOS!$C$29*AI10*CB10^2*DATOS!$C$21))))*DATOS!$C$21*AI10*CB10/DATOS!$C$14)))-0.0001,MAX(DATOS!$C$74,CEILING(MAX(CC10,0)/INDEX(TABLAS!$D$52:$D$58,MATCH(CD10,TABLAS!$B$52:$B$58,0)),1)),MAX(MAX(DATOS!$C$74,CEILING(MAX(CC10,0)/INDEX(TABLAS!$D$52:$D$58,MATCH(CD10,TABLAS!$B$52:$B$58,0)),1)),2))))</f>
        <v>1</v>
      </c>
      <c r="CF10" s="58">
        <f>IF(V10&lt;&gt;"SÍ","",DATOS!$C$85-AK10-INDEX(TABLAS!$C$52:$C$58,MATCH(BN10,TABLAS!$B$52:$B$58,0))-INDEX(TABLAS!$C$52:$C$58,MATCH(CD10,TABLAS!$B$52:$B$58,0))/2)</f>
        <v>21.095</v>
      </c>
      <c r="CG10" s="56">
        <f>IF(V10&lt;&gt;"SÍ","",IF(CE10=0,0,DATOS!$C$29*CE10*INDEX(TABLAS!$D$52:$D$58,MATCH(CD10,TABLAS!$B$52:$B$58,0))*DATOS!$C$14*(CF10-CE10*INDEX(TABLAS!$D$52:$D$58,MATCH(CD10,TABLAS!$B$52:$B$58,0))*DATOS!$C$14/(DATOS!$C$21*AI10)/2)/1E5))</f>
        <v>1.00407937658824</v>
      </c>
      <c r="CH10" s="65">
        <f>IF(V10&lt;&gt;"SÍ","",IF(CC10&lt;0,9.99,IF(CG10&gt;0,BI10/CG10,0)))</f>
        <v>0.26259587271114</v>
      </c>
      <c r="CI10" s="66">
        <f>IF(V10&lt;&gt;"SÍ","",IF(CE10=0,"—",0.003*(CF10-(CE10*INDEX(TABLAS!$D$52:$D$58,MATCH(CD10,TABLAS!$B$52:$B$58,0))*DATOS!$C$14/(DATOS!$C$21*AI10)/DATOS!$C$22))/(CE10*INDEX(TABLAS!$D$52:$D$58,MATCH(CD10,TABLAS!$B$52:$B$58,0))*DATOS!$C$14/(DATOS!$C$21*AI10)/DATOS!$C$22)))</f>
        <v>0.147011195866142</v>
      </c>
      <c r="CJ10" s="58">
        <f>IF(V10&lt;&gt;"SÍ","",((DATOS!$C$85-AM10-2*DATOS!$C$97-INDEX(TABLAS!$C$52:$C$58,MATCH(MAX(4,DATOS!$C$72),TABLAS!$B$52:$B$58,0))-INDEX(TABLAS!$C$52:$C$58,MATCH(MAX(4,DATOS!$C$72),TABLAS!$B$52:$B$58,0))/2)-IF(AND((DATOS!$C$85-AM10-2*DATOS!$C$97-INDEX(TABLAS!$C$52:$C$58,MATCH(MAX(4,DATOS!$C$72),TABLAS!$B$52:$B$58,0))-INDEX(TABLAS!$C$52:$C$58,MATCH(MAX(4,DATOS!$C$72),TABLAS!$B$52:$B$58,0))/2)&lt;=20,DATOS!$C$65&lt;&gt;"SÍ"),2,0)))</f>
        <v>19.523</v>
      </c>
      <c r="CK10" s="58">
        <f>IF(V10&lt;&gt;"SÍ","",IF(IF(BJ10&lt;=0,0,IF((1-2*BJ10*1E5/(DATOS!$C$29*AG10*CJ10^2*DATOS!$C$21))&lt;0,-1,IF((1-SQRT((1-2*BJ10*1E5/(DATOS!$C$29*AG10*CJ10^2*DATOS!$C$21))))*DATOS!$C$21*AG10*CJ10/DATOS!$C$14&gt;DATOS!$C$102*AG10*CJ10,-1,(1-SQRT((1-2*BJ10*1E5/(DATOS!$C$29*AG10*CJ10^2*DATOS!$C$21))))*DATOS!$C$21*AG10*CJ10/DATOS!$C$14)))&lt;0,-1,MAX(IF(BJ10&lt;=0,0,IF((1-2*BJ10*1E5/(DATOS!$C$29*AG10*CJ10^2*DATOS!$C$21))&lt;0,-1,IF((1-SQRT((1-2*BJ10*1E5/(DATOS!$C$29*AG10*CJ10^2*DATOS!$C$21))))*DATOS!$C$21*AG10*CJ10/DATOS!$C$14&gt;DATOS!$C$102*AG10*CJ10,-1,(1-SQRT((1-2*BJ10*1E5/(DATOS!$C$29*AG10*CJ10^2*DATOS!$C$21))))*DATOS!$C$21*AG10*CJ10/DATOS!$C$14))),MIN(DATOS!$C$103*DATOS!$C$83*CJ10,4/3*IF(BJ10&lt;=0,0,IF((1-2*BJ10*1E5/(DATOS!$C$29*AG10*CJ10^2*DATOS!$C$21))&lt;0,-1,IF((1-SQRT((1-2*BJ10*1E5/(DATOS!$C$29*AG10*CJ10^2*DATOS!$C$21))))*DATOS!$C$21*AG10*CJ10/DATOS!$C$14&gt;DATOS!$C$102*AG10*CJ10,-1,(1-SQRT((1-2*BJ10*1E5/(DATOS!$C$29*AG10*CJ10^2*DATOS!$C$21))))*DATOS!$C$21*AG10*CJ10/DATOS!$C$14)))))))</f>
        <v>0.650766666666667</v>
      </c>
      <c r="CL10" s="64">
        <f>IF(V10&lt;&gt;"SÍ","",IF(AND(CK10&gt;=0,IF(MAX(DATOS!$C$74,CEILING(CK10/INDEX(TABLAS!$D$52:$D$58,MIN(MATCH(MAX(4,DATOS!$C$72),TABLAS!$B$52:$B$58,0)+0,7)),1))*INDEX(TABLAS!$D$52:$D$58,MIN(MATCH(MAX(4,DATOS!$C$72),TABLAS!$B$52:$B$58,0)+0,7)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+0,7)),1)),MAX(MAX(DATOS!$C$74,CEILING(CK10/INDEX(TABLAS!$D$52:$D$58,MIN(MATCH(MAX(4,DATOS!$C$72),TABLAS!$B$52:$B$58,0)+0,7)),1)),2))&lt;=MIN(DATOS!$C$73,INT(((DATOS!$C$83-2*AL10)+MAX(DATOS!$C$70,INDEX(TABLAS!$C$52:$C$58,MIN(MATCH(MAX(4,DATOS!$C$72),TABLAS!$B$52:$B$58,0)+0,7))))/(INDEX(TABLAS!$C$52:$C$58,MIN(MATCH(MAX(4,DATOS!$C$72),TABLAS!$B$52:$B$58,0)+0,7))+MAX(DATOS!$C$70,INDEX(TABLAS!$C$52:$C$58,MIN(MATCH(MAX(4,DATOS!$C$72),TABLAS!$B$52:$B$58,0)+0,7))))))),INDEX(TABLAS!$B$52:$B$58,MIN(MATCH(MAX(4,DATOS!$C$72),TABLAS!$B$52:$B$58,0)+0,7)),IF(AND(CK10&gt;=0,IF(MAX(DATOS!$C$74,CEILING(CK10/INDEX(TABLAS!$D$52:$D$58,MIN(MATCH(MAX(4,DATOS!$C$72),TABLAS!$B$52:$B$58,0)+1,7)),1))*INDEX(TABLAS!$D$52:$D$58,MIN(MATCH(MAX(4,DATOS!$C$72),TABLAS!$B$52:$B$58,0)+1,7)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+1,7)),1)),MAX(MAX(DATOS!$C$74,CEILING(CK10/INDEX(TABLAS!$D$52:$D$58,MIN(MATCH(MAX(4,DATOS!$C$72),TABLAS!$B$52:$B$58,0)+1,7)),1)),2))&lt;=MIN(DATOS!$C$73,INT(((DATOS!$C$83-2*AL10)+MAX(DATOS!$C$70,INDEX(TABLAS!$C$52:$C$58,MIN(MATCH(MAX(4,DATOS!$C$72),TABLAS!$B$52:$B$58,0)+1,7))))/(INDEX(TABLAS!$C$52:$C$58,MIN(MATCH(MAX(4,DATOS!$C$72),TABLAS!$B$52:$B$58,0)+1,7))+MAX(DATOS!$C$70,INDEX(TABLAS!$C$52:$C$58,MIN(MATCH(MAX(4,DATOS!$C$72),TABLAS!$B$52:$B$58,0)+1,7))))))),INDEX(TABLAS!$B$52:$B$58,MIN(MATCH(MAX(4,DATOS!$C$72),TABLAS!$B$52:$B$58,0)+1,7)),IF(AND(CK10&gt;=0,IF(MAX(DATOS!$C$74,CEILING(CK10/INDEX(TABLAS!$D$52:$D$58,MIN(MATCH(MAX(4,DATOS!$C$72),TABLAS!$B$52:$B$58,0)+2,7)),1))*INDEX(TABLAS!$D$52:$D$58,MIN(MATCH(MAX(4,DATOS!$C$72),TABLAS!$B$52:$B$58,0)+2,7)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+2,7)),1)),MAX(MAX(DATOS!$C$74,CEILING(CK10/INDEX(TABLAS!$D$52:$D$58,MIN(MATCH(MAX(4,DATOS!$C$72),TABLAS!$B$52:$B$58,0)+2,7)),1)),2))&lt;=MIN(DATOS!$C$73,INT(((DATOS!$C$83-2*AL10)+MAX(DATOS!$C$70,INDEX(TABLAS!$C$52:$C$58,MIN(MATCH(MAX(4,DATOS!$C$72),TABLAS!$B$52:$B$58,0)+2,7))))/(INDEX(TABLAS!$C$52:$C$58,MIN(MATCH(MAX(4,DATOS!$C$72),TABLAS!$B$52:$B$58,0)+2,7))+MAX(DATOS!$C$70,INDEX(TABLAS!$C$52:$C$58,MIN(MATCH(MAX(4,DATOS!$C$72),TABLAS!$B$52:$B$58,0)+2,7))))))),INDEX(TABLAS!$B$52:$B$58,MIN(MATCH(MAX(4,DATOS!$C$72),TABLAS!$B$52:$B$58,0)+2,7)),IF(AND(CK10&gt;=0,IF(MAX(DATOS!$C$74,CEILING(CK10/INDEX(TABLAS!$D$52:$D$58,MIN(MATCH(MAX(4,DATOS!$C$72),TABLAS!$B$52:$B$58,0)+3,7)),1))*INDEX(TABLAS!$D$52:$D$58,MIN(MATCH(MAX(4,DATOS!$C$72),TABLAS!$B$52:$B$58,0)+3,7)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+3,7)),1)),MAX(MAX(DATOS!$C$74,CEILING(CK10/INDEX(TABLAS!$D$52:$D$58,MIN(MATCH(MAX(4,DATOS!$C$72),TABLAS!$B$52:$B$58,0)+3,7)),1)),2))&lt;=MIN(DATOS!$C$73,INT(((DATOS!$C$83-2*AL10)+MAX(DATOS!$C$70,INDEX(TABLAS!$C$52:$C$58,MIN(MATCH(MAX(4,DATOS!$C$72),TABLAS!$B$52:$B$58,0)+3,7))))/(INDEX(TABLAS!$C$52:$C$58,MIN(MATCH(MAX(4,DATOS!$C$72),TABLAS!$B$52:$B$58,0)+3,7))+MAX(DATOS!$C$70,INDEX(TABLAS!$C$52:$C$58,MIN(MATCH(MAX(4,DATOS!$C$72),TABLAS!$B$52:$B$58,0)+3,7))))))),INDEX(TABLAS!$B$52:$B$58,MIN(MATCH(MAX(4,DATOS!$C$72),TABLAS!$B$52:$B$58,0)+3,7)),IF(AND(CK10&gt;=0,IF(MAX(DATOS!$C$74,CEILING(CK10/INDEX(TABLAS!$D$52:$D$58,MIN(MATCH(MAX(4,DATOS!$C$72),TABLAS!$B$52:$B$58,0)+4,7)),1))*INDEX(TABLAS!$D$52:$D$58,MIN(MATCH(MAX(4,DATOS!$C$72),TABLAS!$B$52:$B$58,0)+4,7)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+4,7)),1)),MAX(MAX(DATOS!$C$74,CEILING(CK10/INDEX(TABLAS!$D$52:$D$58,MIN(MATCH(MAX(4,DATOS!$C$72),TABLAS!$B$52:$B$58,0)+4,7)),1)),2))&lt;=MIN(DATOS!$C$73,INT(((DATOS!$C$83-2*AL10)+MAX(DATOS!$C$70,INDEX(TABLAS!$C$52:$C$58,MIN(MATCH(MAX(4,DATOS!$C$72),TABLAS!$B$52:$B$58,0)+4,7))))/(INDEX(TABLAS!$C$52:$C$58,MIN(MATCH(MAX(4,DATOS!$C$72),TABLAS!$B$52:$B$58,0)+4,7))+MAX(DATOS!$C$70,INDEX(TABLAS!$C$52:$C$58,MIN(MATCH(MAX(4,DATOS!$C$72),TABLAS!$B$52:$B$58,0)+4,7))))))),INDEX(TABLAS!$B$52:$B$58,MIN(MATCH(MAX(4,DATOS!$C$72),TABLAS!$B$52:$B$58,0)+4,7)),INDEX(TABLAS!$B$52:$B$58,7)))))))</f>
        <v>4</v>
      </c>
      <c r="CM10" s="59">
        <f>IF(V10&lt;&gt;"SÍ","",IF(CK10&lt;0,0,IF(MAX(DATOS!$C$74,CEILING(MAX(CK10,0)/INDEX(TABLAS!$D$52:$D$58,MATCH(CL10,TABLAS!$B$52:$B$58,0)),1))*INDEX(TABLAS!$D$52:$D$58,MATCH(CL10,TABLAS!$B$52:$B$58,0))&gt;=4/3*IF(BJ10&lt;=0,0,IF((1-2*BJ10*1E5/(DATOS!$C$29*AG10*CJ10^2*DATOS!$C$21))&lt;0,-1,IF((1-SQRT((1-2*BJ10*1E5/(DATOS!$C$29*AG10*CJ10^2*DATOS!$C$21))))*DATOS!$C$21*AG10*CJ10/DATOS!$C$14&gt;DATOS!$C$102*AG10*CJ10,-1,(1-SQRT((1-2*BJ10*1E5/(DATOS!$C$29*AG10*CJ10^2*DATOS!$C$21))))*DATOS!$C$21*AG10*CJ10/DATOS!$C$14)))-0.0001,MAX(DATOS!$C$74,CEILING(MAX(CK10,0)/INDEX(TABLAS!$D$52:$D$58,MATCH(CL10,TABLAS!$B$52:$B$58,0)),1)),MAX(MAX(DATOS!$C$74,CEILING(MAX(CK10,0)/INDEX(TABLAS!$D$52:$D$58,MATCH(CL10,TABLAS!$B$52:$B$58,0)),1)),2))))</f>
        <v>1</v>
      </c>
      <c r="CN10" s="58">
        <f>IF(V10&lt;&gt;"SÍ","",((DATOS!$C$85-AM10-2*DATOS!$C$97-INDEX(TABLAS!$C$52:$C$58,MATCH(BV10,TABLAS!$B$52:$B$58,0))-INDEX(TABLAS!$C$52:$C$58,MATCH(CL10,TABLAS!$B$52:$B$58,0))/2)-IF(AND((DATOS!$C$85-AM10-2*DATOS!$C$97-INDEX(TABLAS!$C$52:$C$58,MATCH(BV10,TABLAS!$B$52:$B$58,0))-INDEX(TABLAS!$C$52:$C$58,MATCH(CL10,TABLAS!$B$52:$B$58,0))/2)&lt;=20,DATOS!$C$65&lt;&gt;"SÍ"),2,0)))</f>
        <v>19.523</v>
      </c>
      <c r="CO10" s="56">
        <f>IF(V10&lt;&gt;"SÍ","",IF(CM10=0,0,DATOS!$C$29*CM10*INDEX(TABLAS!$D$52:$D$58,MATCH(CL10,TABLAS!$B$52:$B$58,0))*DATOS!$C$14*(CN10-CM10*INDEX(TABLAS!$D$52:$D$58,MATCH(CL10,TABLAS!$B$52:$B$58,0))*DATOS!$C$14/(DATOS!$C$21*AG10)/2)/1E5))</f>
        <v>0.876970784117647</v>
      </c>
      <c r="CP10" s="65">
        <f>IF(V10&lt;&gt;"SÍ","",IF(CK10&lt;0,9.99,IF(CO10&gt;0,BJ10/CO10,0)))</f>
        <v>0.500543320393772</v>
      </c>
      <c r="CQ10" s="66">
        <f>IF(V10&lt;&gt;"SÍ","",IF(CM10=0,"—",0.003*(CN10-(CM10*INDEX(TABLAS!$D$52:$D$58,MATCH(CL10,TABLAS!$B$52:$B$58,0))*DATOS!$C$14/(DATOS!$C$21*AG10)/DATOS!$C$22))/(CM10*INDEX(TABLAS!$D$52:$D$58,MATCH(CL10,TABLAS!$B$52:$B$58,0))*DATOS!$C$14/(DATOS!$C$21*AG10)/DATOS!$C$22)))</f>
        <v>0.0168331938976378</v>
      </c>
      <c r="CR10" s="56">
        <f>IF(V10&lt;&gt;"SÍ","",IF(C10="PERIMETRAL",MAX(0,(AB10/2-BX10)/100)*(0.95-0.5*AA10)*AR10*IF(AND(AS10&gt;0,AS10&lt;4),DATOS!$C$33,1)*DATOS!$C$86/100/1000,(AR10*MAX(0,AB10-BX10)/100+DATOS!$C$26*N(O10))*DATOS!$C$86/100/1000+BF10))</f>
        <v>0.614302109590835</v>
      </c>
      <c r="CS10" s="56">
        <f>IF(V10&lt;&gt;"SÍ","",DATOS!$C$30*2*MIN(1,SQRT(2/(1+0.04*BX10)))*(BW10*INDEX(TABLAS!$D$52:$D$58,MATCH(BV10,TABLAS!$B$52:$B$58,0))/(AF10*BX10))^(1/3)*SQRT(DATOS!$C$13)*AF10*BX10*IF(AJ10="SÍ",DATOS!$C$32,1)/1000)</f>
        <v>0.991592632344917</v>
      </c>
      <c r="CT10" s="59">
        <f>IF(V10&lt;&gt;"SÍ","",IF(CR10&lt;=CS10,0,CEILING(MAX(0,IF(C10="VOLADO",(AB10-((CS10-BF10)*1E5/DATOS!$C$86-DATOS!$C$26*N(O10))*100/AR10),IF(CS10&lt;=0,AB10,AB10/2-CS10/MAX(CR10,1E-9)*(AB10/2-BX10)))-IF(X10="X",MIN(DJ10,DK10),MIN(DL10,DM10)))/DATOS!$C$86,1)))</f>
        <v>0</v>
      </c>
      <c r="CU10" s="67" t="str">
        <f>IF(V10&lt;&gt;"SÍ","",IF(CR10&lt;=CS10,"CUMPLE",IF(CT10&lt;=0,"CUMPLE (basta el macizo de orilla)",IF(CT10*DATOS!$C$86*IF(C10="VOLADO",1,2)&gt;=Y10*100-DATOS!$C$87,"NO CUMPLE: no alcanza ni macizando todo","MACIZAR "&amp;CT10&amp;" hilera(s)"))))</f>
        <v>CUMPLE</v>
      </c>
      <c r="CV10" s="58">
        <f>IF(V10&lt;&gt;"SÍ","",(DATOS!$C$86*DATOS!$C$84^2/2+MIN(DATOS!$C$83,AD10)*DATOS!$C$82*(DATOS!$C$84+DATOS!$C$82/2))/(DATOS!$C$86*DATOS!$C$84+MIN(DATOS!$C$83,AD10)*DATOS!$C$82))</f>
        <v>6.89344262295082</v>
      </c>
      <c r="CW10" s="68">
        <f>IF(V10&lt;&gt;"SÍ","",DATOS!$C$86*DATOS!$C$84^3/12+DATOS!$C$86*DATOS!$C$84*(CV10-DATOS!$C$84/2)^2+MIN(DATOS!$C$83,AD10)*DATOS!$C$82^3/12+MIN(DATOS!$C$83,AD10)*DATOS!$C$82*(DATOS!$C$84+DATOS!$C$82/2-CV10)^2)</f>
        <v>27416.4071038251</v>
      </c>
      <c r="CX10" s="58">
        <f>IF(V10&lt;&gt;"SÍ","",(12*CW10/DATOS!$C$86)^(1/3))</f>
        <v>16.7506339743859</v>
      </c>
      <c r="CY10" s="58">
        <f>IF(V10&lt;&gt;"SÍ","",IF(C10="PERIMETRAL",IF(ISNUMBER(S10),S10,DATOS!$C$104),0))</f>
        <v>99</v>
      </c>
      <c r="CZ10" s="57">
        <f>IF(V10&lt;&gt;"SÍ","",IF(C10="PERIMETRAL",IF(CY10&gt;2,MAX(9,AC10*(0.8+DATOS!$C$14/14000)/(36+9*(AC10/MAX(AB10,1)))),IF(CY10&gt;0.2,MAX(13,AC10*(0.8+DATOS!$C$14/14000)/(36+5*(AC10/MAX(AB10,1))*(CY10-0.2))),MAX(13,AC10/IF(AS10&gt;0,30,33))))*IF(AND(CY10&gt;0.2,AS10&gt;0,DATOS!$C$105="NO"),1.1,1),MAX(25,Y10*100/8*(0.4+DATOS!$C$14/7000))))</f>
        <v>10.2261412662917</v>
      </c>
      <c r="DA10" s="61" t="str">
        <f>IF(V10&lt;&gt;"SÍ","",IF(IF(C10="VOLADO",DATOS!$C$85,CX10)&gt;=CZ10,"CUMPLE",IF(C10="VOLADO","NO CUMPLE","CALCULAR FLECHA")))</f>
        <v>CUMPLE</v>
      </c>
      <c r="DB10" s="55" t="str">
        <f>IF(V10&lt;&gt;"SÍ","",IF(DATOS!$C$84&gt;=IF(IF(C10="VOLADO",Y10,Z10)&gt;=6,6,5),"CUMPLE","CAPA ≥ 6 cm"))</f>
        <v>CUMPLE</v>
      </c>
      <c r="DC10" s="60">
        <f>IF(V10&lt;&gt;"SÍ","",IF(C10="VOLADO",MIN(FLOOR(IF(ISNUMBER(P10),P10,Y10)*100-DATOS!$C$63,5),CEILING(MAX(IF((0.5*(0.9*DATOS!$C$90*DATOS!$C$86/100/1000)*IF(ISNUMBER(P10),P10,Y10)+BH10/IF(ISNUMBER(P10),P10,Y10))^2-4*(0.5*(0.9*DATOS!$C$90*DATOS!$C$86/100/1000))*BH10&lt;0,IF(ISNUMBER(P10),P10,Y10),MIN(IF(ISNUMBER(P10),P10,Y10),((0.5*(0.9*DATOS!$C$90*DATOS!$C$86/100/1000)*IF(ISNUMBER(P10),P10,Y10)+BH10/IF(ISNUMBER(P10),P10,Y10))-SQRT((0.5*(0.9*DATOS!$C$90*DATOS!$C$86/100/1000)*IF(ISNUMBER(P10),P10,Y10)+BH10/IF(ISNUMBER(P10),P10,Y10))^2-4*(0.5*(0.9*DATOS!$C$90*DATOS!$C$86/100/1000))*BH10))/(2*(0.5*(0.9*DATOS!$C$90*DATOS!$C$86/100/1000)))))*100+MAX(BX10,12*INDEX(TABLAS!$C$52:$C$58,MATCH(BV10,TABLAS!$B$52:$B$58,0)),IF(ISNUMBER(P10),P10,Y10)*100/16),IF(OR(AL10&lt;INDEX(TABLAS!$C$52:$C$58,MATCH(BV10,TABLAS!$B$52:$B$58,0)),AND(BW10&gt;=2,(AD10-2*AL10-BW10*INDEX(TABLAS!$C$52:$C$58,MATCH(BV10,TABLAS!$B$52:$B$58,0)))/MAX(BW10-1,1)&lt;2*INDEX(TABLAS!$C$52:$C$58,MATCH(BV10,TABLAS!$B$52:$B$58,0)))),INDEX(TABLAS!$I$52:$I$58,MATCH(BV10,TABLAS!$B$52:$B$58,0)),INDEX(TABLAS!$F$52:$F$58,MATCH(BV10,TABLAS!$B$52:$B$58,0)))),5)),IF(((4*((BC10*AR10*Y10^2*1E-4*DATOS!$C$86/100/1000)+((MAX(AY10,BA10)*AR10*Y10^2*1E-4*DATOS!$C$86/100/1000)+(IF(AND(AY10&gt;0,BA10&gt;0),MIN(AY10,BA10),MAX(AY10,BA10))*AR10*Y10^2*1E-4*DATOS!$C$86/100/1000))/2)+BH10-(IF(AND(AY10&gt;0,BA10&gt;0),MIN(AY10,BA10),MAX(AY10,BA10))*AR10*Y10^2*1E-4*DATOS!$C$86/100/1000))^2-16*((BC10*AR10*Y10^2*1E-4*DATOS!$C$86/100/1000)+((MAX(AY10,BA10)*AR10*Y10^2*1E-4*DATOS!$C$86/100/1000)+(IF(AND(AY10&gt;0,BA10&gt;0),MIN(AY10,BA10),MAX(AY10,BA10))*AR10*Y10^2*1E-4*DATOS!$C$86/100/1000))/2)*BH10)&lt;0,CEILING(AB10,5),CEILING(MAX(AB10*((4*((BC10*AR10*Y10^2*1E-4*DATOS!$C$86/100/1000)+((MAX(AY10,BA10)*AR10*Y10^2*1E-4*DATOS!$C$86/100/1000)+(IF(AND(AY10&gt;0,BA10&gt;0),MIN(AY10,BA10),MAX(AY10,BA10))*AR10*Y10^2*1E-4*DATOS!$C$86/100/1000))/2)+BH10-(IF(AND(AY10&gt;0,BA10&gt;0),MIN(AY10,BA10),MAX(AY10,BA10))*AR10*Y10^2*1E-4*DATOS!$C$86/100/1000))-SQRT(MAX(0,((4*((BC10*AR10*Y10^2*1E-4*DATOS!$C$86/100/1000)+((MAX(AY10,BA10)*AR10*Y10^2*1E-4*DATOS!$C$86/100/1000)+(IF(AND(AY10&gt;0,BA10&gt;0),MIN(AY10,BA10),MAX(AY10,BA10))*AR10*Y10^2*1E-4*DATOS!$C$86/100/1000))/2)+BH10-(IF(AND(AY10&gt;0,BA10&gt;0),MIN(AY10,BA10),MAX(AY10,BA10))*AR10*Y10^2*1E-4*DATOS!$C$86/100/1000))^2-16*((BC10*AR10*Y10^2*1E-4*DATOS!$C$86/100/1000)+((MAX(AY10,BA10)*AR10*Y10^2*1E-4*DATOS!$C$86/100/1000)+(IF(AND(AY10&gt;0,BA10&gt;0),MIN(AY10,BA10),MAX(AY10,BA10))*AR10*Y10^2*1E-4*DATOS!$C$86/100/1000))/2)*BH10))))/(8*MAX(((BC10*AR10*Y10^2*1E-4*DATOS!$C$86/100/1000)+((MAX(AY10,BA10)*AR10*Y10^2*1E-4*DATOS!$C$86/100/1000)+(IF(AND(AY10&gt;0,BA10&gt;0),MIN(AY10,BA10),MAX(AY10,BA10))*AR10*Y10^2*1E-4*DATOS!$C$86/100/1000))/2),1E-9))+MAX(BX10,12*INDEX(TABLAS!$C$52:$C$58,MATCH(BV10,TABLAS!$B$52:$B$58,0)),AB10/16),IF(OR(AL10&lt;INDEX(TABLAS!$C$52:$C$58,MATCH(BV10,TABLAS!$B$52:$B$58,0)),AND(BW10&gt;=2,(AD10-2*AL10-BW10*INDEX(TABLAS!$C$52:$C$58,MATCH(BV10,TABLAS!$B$52:$B$58,0)))/MAX(BW10-1,1)&lt;2*INDEX(TABLAS!$C$52:$C$58,MATCH(BV10,TABLAS!$B$52:$B$58,0)))),INDEX(TABLAS!$I$52:$I$58,MATCH(BV10,TABLAS!$B$52:$B$58,0)),INDEX(TABLAS!$F$52:$F$58,MATCH(BV10,TABLAS!$B$52:$B$58,0)))),5))))</f>
        <v>105</v>
      </c>
      <c r="DD10" s="60">
        <f>IF(V10&lt;&gt;"SÍ","",IF(C10="VOLADO",0,IF(((4*((BD10*AR10*Y10^2*1E-4*DATOS!$C$86/100/1000)+((MAX(AZ10,BB10)*AR10*Y10^2*1E-4*DATOS!$C$86/100/1000)+(IF(AND(AZ10&gt;0,BB10&gt;0),MIN(AZ10,BB10),MAX(AZ10,BB10))*AR10*Y10^2*1E-4*DATOS!$C$86/100/1000))/2)+BJ10-(IF(AND(AZ10&gt;0,BB10&gt;0),MIN(AZ10,BB10),MAX(AZ10,BB10))*AR10*Y10^2*1E-4*DATOS!$C$86/100/1000))^2-16*((BD10*AR10*Y10^2*1E-4*DATOS!$C$86/100/1000)+((MAX(AZ10,BB10)*AR10*Y10^2*1E-4*DATOS!$C$86/100/1000)+(IF(AND(AZ10&gt;0,BB10&gt;0),MIN(AZ10,BB10),MAX(AZ10,BB10))*AR10*Y10^2*1E-4*DATOS!$C$86/100/1000))/2)*BJ10)&lt;0,CEILING(AC10,5),CEILING(MAX(AC10*((4*((BD10*AR10*Y10^2*1E-4*DATOS!$C$86/100/1000)+((MAX(AZ10,BB10)*AR10*Y10^2*1E-4*DATOS!$C$86/100/1000)+(IF(AND(AZ10&gt;0,BB10&gt;0),MIN(AZ10,BB10),MAX(AZ10,BB10))*AR10*Y10^2*1E-4*DATOS!$C$86/100/1000))/2)+BJ10-(IF(AND(AZ10&gt;0,BB10&gt;0),MIN(AZ10,BB10),MAX(AZ10,BB10))*AR10*Y10^2*1E-4*DATOS!$C$86/100/1000))-SQRT(MAX(0,((4*((BD10*AR10*Y10^2*1E-4*DATOS!$C$86/100/1000)+((MAX(AZ10,BB10)*AR10*Y10^2*1E-4*DATOS!$C$86/100/1000)+(IF(AND(AZ10&gt;0,BB10&gt;0),MIN(AZ10,BB10),MAX(AZ10,BB10))*AR10*Y10^2*1E-4*DATOS!$C$86/100/1000))/2)+BJ10-(IF(AND(AZ10&gt;0,BB10&gt;0),MIN(AZ10,BB10),MAX(AZ10,BB10))*AR10*Y10^2*1E-4*DATOS!$C$86/100/1000))^2-16*((BD10*AR10*Y10^2*1E-4*DATOS!$C$86/100/1000)+((MAX(AZ10,BB10)*AR10*Y10^2*1E-4*DATOS!$C$86/100/1000)+(IF(AND(AZ10&gt;0,BB10&gt;0),MIN(AZ10,BB10),MAX(AZ10,BB10))*AR10*Y10^2*1E-4*DATOS!$C$86/100/1000))/2)*BJ10))))/(8*MAX(((BD10*AR10*Y10^2*1E-4*DATOS!$C$86/100/1000)+((MAX(AZ10,BB10)*AR10*Y10^2*1E-4*DATOS!$C$86/100/1000)+(IF(AND(AZ10&gt;0,BB10&gt;0),MIN(AZ10,BB10),MAX(AZ10,BB10))*AR10*Y10^2*1E-4*DATOS!$C$86/100/1000))/2),1E-9))+MAX(CN10,12*INDEX(TABLAS!$C$52:$C$58,MATCH(CL10,TABLAS!$B$52:$B$58,0)),AC10/16),IF(OR(AL10&lt;INDEX(TABLAS!$C$52:$C$58,MATCH(CL10,TABLAS!$B$52:$B$58,0)),AND(CM10&gt;=2,(DATOS!$C$83-2*AL10-CM10*INDEX(TABLAS!$C$52:$C$58,MATCH(CL10,TABLAS!$B$52:$B$58,0)))/MAX(CM10-1,1)&lt;2*INDEX(TABLAS!$C$52:$C$58,MATCH(CL10,TABLAS!$B$52:$B$58,0)))),INDEX(TABLAS!$I$52:$I$58,MATCH(CL10,TABLAS!$B$52:$B$58,0)),INDEX(TABLAS!$F$52:$F$58,MATCH(CL10,TABLAS!$B$52:$B$58,0)))),5))))</f>
        <v>120</v>
      </c>
      <c r="DE10" s="55" t="str">
        <f>IF(V10&lt;&gt;"SÍ","",IF(AND(C10="PERIMETRAL",BW10&gt;=2,AS10-AT10&gt;0,BA10*AR10*Y10^2*1E-4*DATOS!$C$86/100/1000&gt;DATOS!$C$29*INDEX(TABLAS!$D$52:$D$58,MATCH(BV10,TABLAS!$B$52:$B$58,0))*DATOS!$C$14*(BX10-INDEX(TABLAS!$D$52:$D$58,MATCH(BV10,TABLAS!$B$52:$B$58,0))*DATOS!$C$14/(DATOS!$C$21*AF10)/2)/1E5),"SÍ","NO"))</f>
        <v>NO</v>
      </c>
      <c r="DF10" s="55" t="str">
        <f>IF(V10&lt;&gt;"SÍ","",IF(AND(C10="PERIMETRAL",CM10&gt;=2,AT10&gt;0,BB10*AR10*Y10^2*1E-4*DATOS!$C$86/100/1000&gt;DATOS!$C$29*INDEX(TABLAS!$D$52:$D$58,MATCH(CL10,TABLAS!$B$52:$B$58,0))*DATOS!$C$14*(CN10-INDEX(TABLAS!$D$52:$D$58,MATCH(CL10,TABLAS!$B$52:$B$58,0))*DATOS!$C$14/(DATOS!$C$21*AG10)/2)/1E5),"SÍ","NO"))</f>
        <v>NO</v>
      </c>
      <c r="DG10" s="63" t="str">
        <f>IF(V10&lt;&gt;"SÍ","",IF(OR(C10="VOLADO",AS10=0),"—",IF(AND(AND(1.25*INDEX(TABLAS!$G$52:$G$58,MATCH(MAX(BN10,CD10),TABLAS!$B$52:$B$58,0))&lt;=(DATOS!$C$75-DATOS!$C$63),(DATOS!$C$75-DATOS!$C$63)&gt;=15,INDEX(TABLAS!$G$52:$G$58,MATCH(MAX(BV10,CL10),TABLAS!$B$52:$B$58,0))&lt;=(DATOS!$C$75-DATOS!$C$63)),8*INDEX(TABLAS!$C$52:$C$58,MATCH(MAX(MAX(BN10,CD10),MAX(BV10,CL10)),TABLAS!$B$52:$B$58,0))&lt;=DATOS!$C$76-2*DATOS!$C$63),"CUMPLE (gancho de 180°)",IF(AND(1.25*INDEX(TABLAS!$G$52:$G$58,MATCH(MAX(BN10,CD10),TABLAS!$B$52:$B$58,0))&lt;=(DATOS!$C$75-DATOS!$C$63),(DATOS!$C$75-DATOS!$C$63)&gt;=15,INDEX(TABLAS!$G$52:$G$58,MATCH(MAX(BV10,CL10),TABLAS!$B$52:$B$58,0))&lt;=(DATOS!$C$75-DATOS!$C$63)),"NO CUMPLE: el gancho de 180° (8·d_b) no cabe en el peralte de la dala de borde","NO CUMPLE: dala de borde ≥ "&amp;TEXT(CEILING(MAX(1.25*INDEX(TABLAS!$G$52:$G$58,MATCH(MAX(BN10,CD10),TABLAS!$B$52:$B$58,0)),15,INDEX(TABLAS!$G$52:$G$58,MATCH(MAX(BV10,CL10),TABLAS!$B$52:$B$58,0)))+DATOS!$C$63,5),"0")&amp;" cm de ancho"&amp;IF(8*INDEX(TABLAS!$C$52:$C$58,MATCH(MAX(MAX(BN10,CD10),MAX(BV10,CL10)),TABLAS!$B$52:$B$58,0))&lt;=DATOS!$C$76-2*DATOS!$C$63,""," y más peralte para el gancho")))))</f>
        <v>CUMPLE (gancho de 180°)</v>
      </c>
      <c r="DH10" s="59">
        <f>IF(V10&lt;&gt;"SÍ","",MAX(0,INT((E10*100-DATOS!$C$87-IF(AND(C10="PERIMETRAL",I10="DISCONTINUO"),MAX(0,DATOS!$C$75-DATOS!$C$87),0)-IF(AND(C10="PERIMETRAL",J10="DISCONTINUO"),MAX(0,DATOS!$C$75-DATOS!$C$87),0)+DATOS!$C$86-IF(X10="X",DATOS!$C$81,AE10))/DATOS!$C$86)))</f>
        <v>5</v>
      </c>
      <c r="DI10" s="59">
        <f>IF(V10&lt;&gt;"SÍ","",MAX(0,INT((F10*100-DATOS!$C$87-IF(AND(C10="PERIMETRAL",G10="DISCONTINUO"),MAX(0,DATOS!$C$75-DATOS!$C$87),0)-IF(AND(C10="PERIMETRAL",H10="DISCONTINUO"),MAX(0,DATOS!$C$75-DATOS!$C$87),0)+DATOS!$C$86-IF(X10="Y",DATOS!$C$81,AE10))/DATOS!$C$86)))</f>
        <v>5</v>
      </c>
      <c r="DJ10" s="57">
        <f>IF(V10&lt;&gt;"SÍ","",IF(DH10&gt;0,IF(AND(C10="PERIMETRAL",I10="DISCONTINUO"),MAX(0,DATOS!$C$75-DATOS!$C$87),0)+(E10*100-DATOS!$C$87-IF(AND(C10="PERIMETRAL",I10="DISCONTINUO"),MAX(0,DATOS!$C$75-DATOS!$C$87),0)-IF(AND(C10="PERIMETRAL",J10="DISCONTINUO"),MAX(0,DATOS!$C$75-DATOS!$C$87),0)-(DH10*IF(X10="X",DATOS!$C$81,AE10)+(DH10-1)*(DATOS!$C$86-IF(X10="X",DATOS!$C$81,AE10))))/2,E10*100/2))</f>
        <v>56.3</v>
      </c>
      <c r="DK10" s="57">
        <f>IF(V10&lt;&gt;"SÍ","",IF(DH10&gt;0,IF(AND(C10="PERIMETRAL",J10="DISCONTINUO"),MAX(0,DATOS!$C$75-DATOS!$C$87),0)+(E10*100-DATOS!$C$87-IF(AND(C10="PERIMETRAL",I10="DISCONTINUO"),MAX(0,DATOS!$C$75-DATOS!$C$87),0)-IF(AND(C10="PERIMETRAL",J10="DISCONTINUO"),MAX(0,DATOS!$C$75-DATOS!$C$87),0)-(DH10*IF(X10="X",DATOS!$C$81,AE10)+(DH10-1)*(DATOS!$C$86-IF(X10="X",DATOS!$C$81,AE10))))/2,E10*100/2))</f>
        <v>31.3</v>
      </c>
      <c r="DL10" s="57">
        <f>IF(V10&lt;&gt;"SÍ","",IF(DI10&gt;0,IF(AND(C10="PERIMETRAL",G10="DISCONTINUO"),MAX(0,DATOS!$C$75-DATOS!$C$87),0)+(F10*100-DATOS!$C$87-IF(AND(C10="PERIMETRAL",G10="DISCONTINUO"),MAX(0,DATOS!$C$75-DATOS!$C$87),0)-IF(AND(C10="PERIMETRAL",H10="DISCONTINUO"),MAX(0,DATOS!$C$75-DATOS!$C$87),0)-(DI10*IF(X10="Y",DATOS!$C$81,AE10)+(DI10-1)*(DATOS!$C$86-IF(X10="Y",DATOS!$C$81,AE10))))/2,F10*100/2))</f>
        <v>22.5</v>
      </c>
      <c r="DM10" s="57">
        <f>IF(V10&lt;&gt;"SÍ","",IF(DI10&gt;0,IF(AND(C10="PERIMETRAL",H10="DISCONTINUO"),MAX(0,DATOS!$C$75-DATOS!$C$87),0)+(F10*100-DATOS!$C$87-IF(AND(C10="PERIMETRAL",G10="DISCONTINUO"),MAX(0,DATOS!$C$75-DATOS!$C$87),0)-IF(AND(C10="PERIMETRAL",H10="DISCONTINUO"),MAX(0,DATOS!$C$75-DATOS!$C$87),0)-(DI10*IF(X10="Y",DATOS!$C$81,AE10)+(DI10-1)*(DATOS!$C$86-IF(X10="Y",DATOS!$C$81,AE10))))/2,F10*100/2))</f>
        <v>22.5</v>
      </c>
      <c r="DN10" s="59">
        <f>IF(V10&lt;&gt;"SÍ","",IF(NOT(AND(C10="VOLADO",AD10&gt;DATOS!$C$83)),0,IF(INDEX(TABLAS!$C$52:$C$58,MATCH(BV10,TABLAS!$B$52:$B$58,0))&lt;=DATOS!$C$83-2*DATOS!$C$63,1,0)))</f>
        <v>0</v>
      </c>
      <c r="DO10" s="58">
        <f>IF(V10&lt;&gt;"SÍ","",IF(NOT(AND(C10="VOLADO",AD10&gt;DATOS!$C$83)),0,((DATOS!$C$85-MAX(DATOS!$C$63,(DATOS!$C$84-2*DATOS!$C$97)/2)-2*DATOS!$C$97-INDEX(TABLAS!$C$52:$C$58,MATCH(MAX(4,DATOS!$C$72),TABLAS!$B$52:$B$58,0))-INDEX(TABLAS!$C$52:$C$58,MATCH(BV10,TABLAS!$B$52:$B$58,0))/2)-IF(AND((DATOS!$C$85-MAX(DATOS!$C$63,(DATOS!$C$84-2*DATOS!$C$97)/2)-2*DATOS!$C$97-INDEX(TABLAS!$C$52:$C$58,MATCH(MAX(4,DATOS!$C$72),TABLAS!$B$52:$B$58,0))-INDEX(TABLAS!$C$52:$C$58,MATCH(BV10,TABLAS!$B$52:$B$58,0))/2)&lt;=20,DATOS!$C$65&lt;&gt;"SÍ"),2,0))))</f>
        <v>0</v>
      </c>
      <c r="DP10" s="56">
        <f>IF(V10&lt;&gt;"SÍ","",IF(OR(NOT(AND(C10="VOLADO",AD10&gt;DATOS!$C$83)),DN10&lt;1),0,IF(0.003*(DO10-((DN10*INDEX(TABLAS!$D$52:$D$58,MATCH(BV10,TABLAS!$B$52:$B$58,0)))*DATOS!$C$14/(DATOS!$C$21*AG10)/DATOS!$C$22))/((DN10*INDEX(TABLAS!$D$52:$D$58,MATCH(BV10,TABLAS!$B$52:$B$58,0)))*DATOS!$C$14/(DATOS!$C$21*AG10)/DATOS!$C$22)&lt;0.005,0,DATOS!$C$29*(DN10*INDEX(TABLAS!$D$52:$D$58,MATCH(BV10,TABLAS!$B$52:$B$58,0)))*DATOS!$C$14*(DO10-(DN10*INDEX(TABLAS!$D$52:$D$58,MATCH(BV10,TABLAS!$B$52:$B$58,0)))*DATOS!$C$14/(DATOS!$C$21*AG10)/2)/1E5)))</f>
        <v>0</v>
      </c>
      <c r="DQ10" s="56">
        <f>IF(V10&lt;&gt;"SÍ","",IF(OR(NOT(AND(C10="VOLADO",AD10&gt;DATOS!$C$83)),DN10&lt;1),0,DATOS!$C$30*2*MIN(1,SQRT(2/(1+0.04*DO10)))*((DN10*INDEX(TABLAS!$D$52:$D$58,MATCH(BV10,TABLAS!$B$52:$B$58,0)))/(AG10*DO10))^(1/3)*SQRT(DATOS!$C$13)*AG10*DO10/1000))</f>
        <v>0</v>
      </c>
      <c r="DR10" s="56">
        <f>IF(V10&lt;&gt;"SÍ","",IF(NOT(AND(C10="VOLADO",AD10&gt;DATOS!$C$83)),0,IF((BH10-DP10)&lt;=0,0,IF(DP10&lt;=0,IF(ISNUMBER(P10),P10,Y10),IF(((0.9*DATOS!$C$90*DATOS!$C$86/100/1000)*IF(ISNUMBER(P10),P10,Y10)/2+BH10/IF(ISNUMBER(P10),P10,Y10))^2-4*((0.9*DATOS!$C$90*DATOS!$C$86/100/1000)/2)*(BH10-DP10)&lt;0,IF(ISNUMBER(P10),P10,Y10),MIN(IF(ISNUMBER(P10),P10,Y10),(((0.9*DATOS!$C$90*DATOS!$C$86/100/1000)*IF(ISNUMBER(P10),P10,Y10)/2+BH10/IF(ISNUMBER(P10),P10,Y10))-SQRT(((0.9*DATOS!$C$90*DATOS!$C$86/100/1000)*IF(ISNUMBER(P10),P10,Y10)/2+BH10/IF(ISNUMBER(P10),P10,Y10))^2-4*((0.9*DATOS!$C$90*DATOS!$C$86/100/1000)/2)*(BH10-DP10)))/(2*((0.9*DATOS!$C$90*DATOS!$C$86/100/1000)/2))))))))</f>
        <v>0</v>
      </c>
      <c r="DS10" s="56">
        <f>IF(V10&lt;&gt;"SÍ","",IF(NOT(AND(C10="VOLADO",AD10&gt;DATOS!$C$83)),0,IF(DQ10&lt;=(BH10/((IF(ISNUMBER(P10),P10,Y10)*100-DATOS!$C$87)/100)),IF(ISNUMBER(P10),P10,Y10),MIN(IF(ISNUMBER(P10),P10,Y10),MAX(0,(IF(ISNUMBER(P10),P10,Y10)*100-DATOS!$C$87)/200-(DQ10-(BH10/((IF(ISNUMBER(P10),P10,Y10)*100-DATOS!$C$87)/100)))/((0.95-0.5*IF(N(Q10)&gt;0,MIN(IF(ISNUMBER(P10),P10,Y10),Q10)/MAX(IF(ISNUMBER(P10),P10,Y10),Q10),0))*DATOS!$C$33*AR10*DATOS!$C$86/100/1000))))))</f>
        <v>0</v>
      </c>
      <c r="DT10" s="56">
        <f>IF(V10&lt;&gt;"SÍ","",IF(NOT(AND(C10="VOLADO",AD10&gt;DATOS!$C$83)),0,(BH10/((IF(ISNUMBER(P10),P10,Y10)*100-DATOS!$C$87)/100))+((0.95-0.5*IF(N(Q10)&gt;0,MIN(IF(ISNUMBER(P10),P10,Y10),Q10)/MAX(IF(ISNUMBER(P10),P10,Y10),Q10),0))*DATOS!$C$33*AR10*DATOS!$C$86/100/1000)*MAX(0,(IF(ISNUMBER(P10),P10,Y10)*100-DATOS!$C$87)/200-BX10/100)))</f>
        <v>0</v>
      </c>
      <c r="DU10" s="59">
        <f>IF(V10&lt;&gt;"SÍ","",IF(NOT(AND(C10="VOLADO",AD10&gt;DATOS!$C$83)),0,MIN(FLOOR(100*IF(ISNUMBER(P10),P10,Y10)-DATOS!$C$63,5),CEILING(100*MIN(IF(ISNUMBER(P10),P10,Y10),MAX(IF(DR10&gt;0,DR10+IF(BW10&gt;=2,MAX(DO10,12*INDEX(TABLAS!$C$52:$C$58,MATCH(BV10,TABLAS!$B$52:$B$58,0)))/100,0),0),DS10,IF(BW10&gt;=2,INDEX(TABLAS!$F$52:$F$58,MATCH(BV10,TABLAS!$B$52:$B$58,0))/100,0))),5))))</f>
        <v>0</v>
      </c>
      <c r="DV10" s="60">
        <f>IF(V10&lt;&gt;"SÍ","",IF(NOT(AND(C10="VOLADO",AD10&gt;DATOS!$C$83)),0,IF(DU10&lt;=0,0,CEILING(DU10/DATOS!$C$86,1))))</f>
        <v>0</v>
      </c>
      <c r="DW10" s="61" t="str">
        <f>IF(V10&lt;&gt;"SÍ","",IF(C10&lt;&gt;"VOLADO","—",IF(AD10&lt;=DATOS!$C$83,"— (mismo b_w que el respaldo)",IF(DT10&gt;CS10,"NO CUMPLE: cortante de la nervadura ancha junto al apoyo ("&amp;TEXT(DT10,"0.00")&amp;" &gt; "&amp;TEXT(CS10,"0.00")&amp;" t)",IF(DU10&gt;=100*IF(ISNUMBER(P10),P10,Y10),"CUMPLE — todas las nervaduras del respaldo ‖ al volado con b_w = "&amp;AD10&amp;" cm","CUMPLE — "&amp;DV10&amp;" hilera(s) del respaldo con nervaduras de b_w = "&amp;AD10&amp;" cm (casetón "&amp;AE10&amp;" cm), hasta "&amp;TEXT(DU10/100,"0.00")&amp;" m del paño")))))</f>
        <v>—</v>
      </c>
      <c r="DX10" s="69" t="str">
        <f>IF(V10&lt;&gt;"SÍ","",IF(BO10=0,"NO ALCANZA",BO10&amp;" No. "&amp;BN10&amp;IF(BO10&gt;1," corridas"," corrida")))</f>
        <v>1 No. 4 corrida</v>
      </c>
      <c r="DY10" s="69" t="str">
        <f>IF(V10&lt;&gt;"SÍ","",IF(BW10=0,"NO ALCANZA",IF(AND(C10="VOLADO",AD10&gt;DATOS!$C$83,BW10&gt;=2),"1 No. "&amp;BV10&amp;" corrida de la orilla al respaldo ("&amp;IF(DC10&gt;=FLOOR(100*IF(ISNUMBER(P10),P10,Y10)-DATOS!$C$63,5),"hasta su apoyo lejano, con gancho","entra "&amp;TEXT(DC10/100,"0.00")&amp;" m desde el paño")&amp;") + "&amp;(BW10-1)&amp;" bastón No. "&amp;BV10&amp;" hasta "&amp;TEXT(DU10/100,"0.00")&amp;" m del paño (fin de la nervadura ancha)",IF(C10="VOLADO",BW10&amp;" No. "&amp;BV10&amp;" de la orilla al respaldo ("&amp;IF(DC10&gt;=FLOOR(100*IF(ISNUMBER(P10),P10,Y10)-DATOS!$C$63,5),"hasta su apoyo lejano, con gancho","entran "&amp;TEXT(DC10/100,"0.00")&amp;" m desde el paño")&amp;")","1 No. "&amp;BV10&amp;" corrida"&amp;IF(BW10&gt;1," + "&amp;(BW10-1)&amp;" bastón No. "&amp;BV10&amp;" L = "&amp;TEXT(DC10/100,"0.00")&amp;" m desde el paño","")))))</f>
        <v>1 No. 4 corrida</v>
      </c>
      <c r="DZ10" s="69" t="str">
        <f>IF(V10&lt;&gt;"SÍ","",IF(CE10=0,"NO ALCANZA",CE10&amp;" No. "&amp;CD10&amp;IF(CE10&gt;1," corridas"," corrida")))</f>
        <v>1 No. 4 corrida</v>
      </c>
      <c r="EA10" s="69" t="str">
        <f>IF(V10&lt;&gt;"SÍ","",IF(CM10=0,"NO ALCANZA",IF(C10="VOLADO","1 No. "&amp;CL10&amp;" corrida (repartición)","1 No. "&amp;CL10&amp;" corrida"&amp;IF(CM10&gt;1," + "&amp;(CM10-1)&amp;" bastón No. "&amp;CL10&amp;" L = "&amp;TEXT(DD10/100,"0.00")&amp;" m desde el paño",""))))</f>
        <v>1 No. 4 corrida</v>
      </c>
      <c r="EB10" s="67" t="str">
        <f>IF(B10="","",IF(V10&lt;&gt;"SÍ","FALTAN DATOS: tipo, a_x, a_y, destino y, en volados, L_b",IF(L10="NO MONOLÍTICO (caso II)","FUERA DE ALCANCE: caso II no transcrito",IF(AND(C10="VOLADO",W10="?"),"REVISAR: el volado lleva UN solo borde CONTINUO (el empotrado)",IF(MIN(DH10,DI10)=0,"REVISAR: no cabe un casetón (tablero macizo): diséñalo en MACIZAS",IF(AND(MAX(BR10,BZ10,CH10,CP10)&lt;=1,NOT(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T(OR(AND(ISNUMBER(BS10),BS10&lt;0.005),AND(ISNUMBER(CA10),CA10&lt;0.005),AND(ISNUMBER(CI10),CI10&lt;0.005),AND(ISNUMBER(CQ10),CQ10&lt;0.005))),NOT(LEFT(DW10,2)="NO"),DA10="CUMPLE",DB10="CUMPLE",LEFT(CU10,2)&lt;&gt;"NO",LEFT(DATOS!$C$132,6)="CUMPLE"),IF(LEFT(CU10,6)="CUMPLE","CUMPLE","CUMPLE — "&amp;CU10)&amp;IF(LEFT(BK10,5)="FUERA"," · fuera de 3.4.2.1 c)","")&amp;IF(LEFT(DG10,2)="NO"," · REVISAR anclaje en borde discontinuo","")&amp;IF(DV10&gt;0," · respaldo: "&amp;DV10&amp;" hilera(s) de b_w "&amp;AD10&amp;" cm",""),IF(AND(MAX(BR10,BZ10,CH10,CP10)&lt;=1,NOT(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T(OR(AND(ISNUMBER(BS10),BS10&lt;0.005),AND(ISNUMBER(CA10),CA10&lt;0.005),AND(ISNUMBER(CI10),CI10&lt;0.005),AND(ISNUMBER(CQ10),CQ10&lt;0.005))),NOT(LEFT(DW10,2)="NO"),DA10="CALCULAR FLECHA",LEFT(CU10,2)&lt;&gt;"NO",LEFT(DATOS!$C$132,6)="CUMPLE"),"REVISAR: calcular flecha (h_eq &lt; h mín.)"&amp;IF(LEFT(BK10,5)="FUERA"," · fuera de 3.4.2.1 c)","")&amp;IF(LEFT(DG10,2)="NO"," · REVISAR anclaje en borde discontinuo","")&amp;IF(DV10&gt;0," · respaldo: "&amp;DV10&amp;" hilera(s) de b_w "&amp;AD10&amp;" cm",""),"NO CUMPLE: "&amp;IF(MAX(BR10,BZ10,CH10,CP10)&gt;1,"flexión ","")&amp;IF(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 caben ","")&amp;IF(OR(AND(ISNUMBER(BS10),BS10&lt;0.005),AND(ISNUMBER(CA10),CA10&lt;0.005),AND(ISNUMBER(CI10),CI10&lt;0.005),AND(ISNUMBER(CQ10),CQ10&lt;0.005)),"ε_t &lt; 0.005 ","")&amp;IF(LEFT(CU10,2)="NO","cortante ","")&amp;IF(DA10="NO CUMPLE","peralte ","")&amp;IF(DB10&lt;&gt;"CUMPLE","capa &lt; 6 cm ","")&amp;IF(LEFT(DATOS!$C$132,6)&lt;&gt;"CUMPLE","capa o malla (DATOS sección 7) ","")&amp;IF(LEFT(DW10,2)="NO","respaldo del volado",""))))))))</f>
        <v>CUMPLE</v>
      </c>
      <c r="EC10" s="70" t="str">
        <f>IF(V10&lt;&gt;"SÍ","",IF(LEFT(B10,7)="EJEMPLO","EJEMPLO de la hoja de Casa Rocha: bórralo o sobrescríbelo. ","")&amp;IF(AND(C10="PERIMETRAL",MIN(DH10,DI10)=0),"No cabe un casetón en el claro corto: es un tablero macizo, diséñalo en MACIZAS. ","")&amp;IF(AND(AJ10="NO",C10="PERIMETRAL"),"No cumple 6.7.8.1.4 (a_c = "&amp;MAX(DATOS!$C$81,AE10)&amp;" cm &gt; claro corto/6 = "&amp;TEXT(Y10*100/6,"0")&amp;" cm): se diseña como losa apoyada en vigas (6.7.8.1.9): r de viga = "&amp;DATOS!$C$63&amp;" cm y V_cR sin ×1.1. Para que cuente como encasetonada: casetón de "&amp;TEXT(FLOOR(MIN(80,Y10*100/6),1),"0")&amp;" cm o menor. ","")&amp;IF(C10="VOLADO","Volado de "&amp;TEXT(Y10,"0.00")&amp;" m empotrado en el borde "&amp;LOWER(W10)&amp;IF(N(O10)&gt;0,", con "&amp;TEXT(O10,"0.0")&amp;" kg/m en la orilla","")&amp;". Lecho inferior con r_ext. Si la orilla carga pretil u otro elemento frágil, calcula la flecha (13.4). El acero superior entra al respaldo de "&amp;TEXT(IF(ISNUMBER(P10),P10,Y10),"0.00")&amp;" m"&amp;" hasta pasar M = 0 con 0.9·PP sin carga viva; si ahí no se anula, llega al apoyo lejano y se ancla con gancho (NTC-Criterios 3.4.1 c y 5.1.2.2). "&amp;IF(AD10&gt;DATOS!$C$83,"Respaldo: "&amp;DW10&amp;". ",""),"")&amp;IF(AND(C10="VOLADO",((0.9*DATOS!$C$90*DATOS!$C$86/100/1000)*IF(ISNUMBER(P10),P10,Y10)/2-BH10/IF(ISNUMBER(P10),P10,Y10))&lt;0),"Con 0.9·PP y sin carga viva el apoyo lejano del respaldo levanta (R = "&amp;TEXT(-((0.9*DATOS!$C$90*DATOS!$C$86/100/1000)*IF(ISNUMBER(P10),P10,Y10)/2-BH10/IF(ISNUMBER(P10),P10,Y10)),"0.00")&amp;" t por nervadura): ancla ahí la corrida con gancho y revisa ese apoyo a tensión. ","")&amp;IF(LEFT(BK10,5)="FUERA","El M⁻ del vecino difiere más de 50 % (3.4.2.1 c): distribuye el desequilibrio (3.4.3.1) o confirma con un modelo; se arma con el mayor. ","")&amp;IF(OR(DE10="SÍ",DF10="SÍ"),"El M⁻ del borde discontinuo pide bastón también ahí (con gancho). ","")&amp;IF(LEFT(DG10,2)="NO","Anclaje: "&amp;DG10&amp;" (6.7.8.1.7). ","")&amp;IF(AND(C10="PERIMETRAL",AT10&gt;=1,AS10-AT10&gt;=1),"Esquinas exteriores sobre muro: refuerzo de esquina arriba y abajo en L_largo/5 (6.7.7.3.1). ",""))</f>
        <v>EJEMPLO de la hoja de Casa Rocha: bórralo o sobrescríbelo. </v>
      </c>
    </row>
    <row r="11" ht="33" customHeight="1">
      <c r="A11" s="50">
        <f>IF(B11="",0,1)+A10</f>
        <v>3</v>
      </c>
      <c r="B11" s="29" t="inlineStr">
        <is>
          <t>EJEMPLO F80024 (esquina, azotea)</t>
        </is>
      </c>
      <c r="C11" s="51" t="inlineStr">
        <is>
          <t>PERIMETRAL</t>
        </is>
      </c>
      <c r="D11" s="29" t="inlineStr">
        <is>
          <t>AZOTEA (pendiente ≤ 5 %)</t>
        </is>
      </c>
      <c r="E11" s="52" t="n">
        <v>4.327</v>
      </c>
      <c r="F11" s="52" t="n">
        <v>4.95</v>
      </c>
      <c r="G11" s="51" t="inlineStr">
        <is>
          <t>CONTINUO</t>
        </is>
      </c>
      <c r="H11" s="51" t="inlineStr">
        <is>
          <t>DISCONTINUO</t>
        </is>
      </c>
      <c r="I11" s="51" t="inlineStr">
        <is>
          <t>DISCONTINUO</t>
        </is>
      </c>
      <c r="J11" s="51" t="inlineStr">
        <is>
          <t>CONTINUO</t>
        </is>
      </c>
      <c r="K11" s="51" t="inlineStr">
        <is>
          <t>AUTO</t>
        </is>
      </c>
      <c r="L11" s="51" t="inlineStr">
        <is>
          <t>MONOLÍTICO (caso I)</t>
        </is>
      </c>
      <c r="M11" s="53" t="n">
        <v>315</v>
      </c>
      <c r="N11" s="53" t="n"/>
      <c r="O11" s="54" t="n"/>
      <c r="P11" s="52" t="n"/>
      <c r="Q11" s="52" t="n"/>
      <c r="R11" s="53" t="n"/>
      <c r="S11" s="54" t="n"/>
      <c r="T11" s="52" t="n"/>
      <c r="U11" s="52" t="n"/>
      <c r="V11" s="55" t="str">
        <f>IF(B11="","",IF(AND(OR(C11="PERIMETRAL",C11="VOLADO"),ISNUMBER(E11),ISNUMBER(F11),E11&gt;0,F11&gt;0,OR(ISNUMBER(N11),ISNUMBER(MATCH(D11,DATOS!$B$46:$B$58,0))),OR(C11&lt;&gt;"VOLADO",N(P11)&gt;0)),"SÍ","NO"))</f>
        <v>SÍ</v>
      </c>
      <c r="W11" s="55" t="str">
        <f>IF(V11&lt;&gt;"SÍ","",IF(C11&lt;&gt;"VOLADO","—",IF(COUNTIF(G11:J11,"CONTINUO")&lt;&gt;1,"?",IF(G11="CONTINUO","INFERIOR",IF(H11="CONTINUO","SUPERIOR",IF(I11="CONTINUO","IZQUIERDO","DERECHO"))))))</f>
        <v>—</v>
      </c>
      <c r="X11" s="55" t="str">
        <f>IF(V11&lt;&gt;"SÍ","",IF(C11="VOLADO",IF(OR(W11="IZQUIERDO",W11="DERECHO"),"X","Y"),IF(E11&lt;=F11,"X","Y")))</f>
        <v>X</v>
      </c>
      <c r="Y11" s="56">
        <f>IF(V11&lt;&gt;"SÍ","",IF(C11="VOLADO",IF(X11="X",E11,F11),MIN(E11,F11)))</f>
        <v>4.327</v>
      </c>
      <c r="Z11" s="56">
        <f>IF(V11&lt;&gt;"SÍ","",IF(C11="VOLADO",IF(X11="X",F11,E11),MAX(E11,F11)))</f>
        <v>4.95</v>
      </c>
      <c r="AA11" s="56">
        <f>IF(V11&lt;&gt;"SÍ","",MIN(Y11,Z11)/MAX(Y11,Z11))</f>
        <v>0.874141414141414</v>
      </c>
      <c r="AB11" s="57">
        <f>IF(V11&lt;&gt;"SÍ","",MAX(1,Y11*100-IF(C11="VOLADO",DATOS!$C$87/2,DATOS!$C$87)))</f>
        <v>417.7</v>
      </c>
      <c r="AC11" s="57">
        <f>IF(V11&lt;&gt;"SÍ","",MAX(1,Z11*100-DATOS!$C$87))</f>
        <v>480</v>
      </c>
      <c r="AD11" s="57">
        <f>IF(V11&lt;&gt;"SÍ","",IF(ISNUMBER(R11),R11,DATOS!$C$83))</f>
        <v>10</v>
      </c>
      <c r="AE11" s="57">
        <f>IF(V11&lt;&gt;"SÍ","",MAX(0,DATOS!$C$86-AD11))</f>
        <v>60</v>
      </c>
      <c r="AF11" s="57">
        <f>IF(V11&lt;&gt;"SÍ","",IF(OR(DATOS!$C$65="SÍ",AD11&gt;=20),AD11,AD11-2))</f>
        <v>10</v>
      </c>
      <c r="AG11" s="57">
        <f>IF(V11&lt;&gt;"SÍ","",IF(OR(DATOS!$C$65="SÍ",DATOS!$C$83&gt;=20),DATOS!$C$83,DATOS!$C$83-2))</f>
        <v>10</v>
      </c>
      <c r="AH11" s="57">
        <f>IF(V11&lt;&gt;"SÍ","",MIN(DATOS!$C$86,AD11+2*MIN(8*DATOS!$C$84,AE11/2,AB11/8)))</f>
        <v>70</v>
      </c>
      <c r="AI11" s="57">
        <f>IF(V11&lt;&gt;"SÍ","",MIN(DATOS!$C$86,DATOS!$C$83+2*MIN(8*DATOS!$C$84,DATOS!$C$81/2,AC11/8)))</f>
        <v>70</v>
      </c>
      <c r="AJ11" s="55" t="str">
        <f>IF(V11&lt;&gt;"SÍ","",IF(AND(C11="PERIMETRAL",Y11*100&gt;=6*MAX(DATOS!$C$81,AE11),MAX(DATOS!$C$81,AE11)&lt;=80,MIN(DATOS!$C$83,AD11)&gt;=10,DATOS!$C$85&lt;=3.5*MIN(DATOS!$C$83,AD11),DATOS!$C$84&gt;=MAX(MAX(DATOS!$C$81,AE11)/13,5)),"SÍ","NO"))</f>
        <v>SÍ</v>
      </c>
      <c r="AK11" s="57">
        <f>IF(V11&lt;&gt;"SÍ","",IF(C11="VOLADO",DATOS!$C$64,IF(AJ11="NO",DATOS!$C$63,DATOS!$C$62)))</f>
        <v>2</v>
      </c>
      <c r="AL11" s="57">
        <f>IF(V11&lt;&gt;"SÍ","",IF(OR(AND(AN11="SÍ",DATOS!$C$66="SÍ"),AND(C11="VOLADO",DATOS!$C$67="SÍ")),DATOS!$C$64,IF(AJ11="NO",DATOS!$C$63,DATOS!$C$62)))</f>
        <v>2</v>
      </c>
      <c r="AM11" s="58">
        <f>IF(V11&lt;&gt;"SÍ","",MAX(AL11,(DATOS!$C$84-2*DATOS!$C$97)/2))</f>
        <v>2.428</v>
      </c>
      <c r="AN11" s="55" t="str">
        <f>IF(V11&lt;&gt;"SÍ","",IFERROR(INDEX(DATOS!$D$46:$D$58,MATCH(D11,DATOS!$B$46:$B$58,0)),"NO"))</f>
        <v>SÍ</v>
      </c>
      <c r="AO11" s="59">
        <f>IF(V11&lt;&gt;"SÍ","",IF(ISNUMBER(N11),N11,IFERROR(INDEX(DATOS!$C$46:$C$58,MATCH(D11,DATOS!$B$46:$B$58,0)),0)))</f>
        <v>100</v>
      </c>
      <c r="AP11" s="59">
        <f>IF(V11&lt;&gt;"SÍ","",IF(MIN(DH11,DI11)=0,DATOS!$C$85/100*DATOS!$C$16*1000,(DATOS!$C$85/100-(AE11*DATOS!$C$81/DATOS!$C$86^2)*DATOS!$C$82/100)*DATOS!$C$16*1000+(AE11*DATOS!$C$81/DATOS!$C$86^2)*DATOS!$C$82/100*DATOS!$C$17*1000)+DATOS!$C$37+DATOS!$C$38)</f>
        <v>307.073469387755</v>
      </c>
      <c r="AQ11" s="59">
        <f>IF(V11&lt;&gt;"SÍ","",AP11+N(M11))</f>
        <v>622.073469387755</v>
      </c>
      <c r="AR11" s="60">
        <f>IF(V11&lt;&gt;"SÍ","",MAX(DATOS!$C$26*AQ11+DATOS!$C$27*AO11,IF(AN11="SÍ",DATOS!$C$28*(AQ11+DATOS!$C$41),0)))</f>
        <v>958.695510204082</v>
      </c>
      <c r="AS11" s="59">
        <f>IF(V11&lt;&gt;"SÍ","",(G11="DISCONTINUO")+(H11="DISCONTINUO")+(I11="DISCONTINUO")+(J11="DISCONTINUO"))</f>
        <v>2</v>
      </c>
      <c r="AT11" s="59">
        <f>IF(V11&lt;&gt;"SÍ","",IF(X11="X",(G11="DISCONTINUO")+(H11="DISCONTINUO"),(I11="DISCONTINUO")+(J11="DISCONTINUO")))</f>
        <v>1</v>
      </c>
      <c r="AU11" s="55" t="str">
        <f>IF(V11&lt;&gt;"SÍ","",IF(AS11=0,"INTERIOR",IF(AS11=1,IF(AT11=1,"BORDE-CORTO","BORDE-LARGO"),IF(AS11=2,IF(AT11=1,"ESQUINA",IF(AT11=2,"EXTREMO-LARGO","EXTREMO-CORTO")),IF(AS11=3,IF(AT11=2,"EXTREMO-LARGO","EXTREMO-CORTO"),"AISLADO")))))</f>
        <v>ESQUINA</v>
      </c>
      <c r="AV11" s="61" t="str">
        <f>IF(V11&lt;&gt;"SÍ","",IF(OR(K11="",K11="AUTO"),AU11,K11))</f>
        <v>ESQUINA</v>
      </c>
      <c r="AW11" s="59">
        <f>IF(V11&lt;&gt;"SÍ","",MATCH(AA11,TABLAS!$D$5:$J$5,1))</f>
        <v>5</v>
      </c>
      <c r="AX11" s="58">
        <f>IF(V11&lt;&gt;"SÍ","",IF(AW11&gt;=7,0,(AA11-INDEX(TABLAS!$D$5:$J$5,AW11))/(INDEX(TABLAS!$D$5:$J$5,AW11+1)-INDEX(TABLAS!$D$5:$J$5,AW11))))</f>
        <v>0.741414141414141</v>
      </c>
      <c r="AY11" s="59">
        <f>IF(V11&lt;&gt;"SÍ","",INDEX(TABLAS!$D$6:$J$47,MATCH(AV11&amp;"|NIC",TABLAS!$B$6:$B$47,0),AW11)+AX11*(INDEX(TABLAS!$D$6:$J$47,MATCH(AV11&amp;"|NIC",TABLAS!$B$6:$B$47,0),MIN(AW11+1,7))-INDEX(TABLAS!$D$6:$J$47,MATCH(AV11&amp;"|NIC",TABLAS!$B$6:$B$47,0),AW11)))</f>
        <v>587.513131313132</v>
      </c>
      <c r="AZ11" s="59">
        <f>IF(V11&lt;&gt;"SÍ","",INDEX(TABLAS!$D$6:$J$47,MATCH(AV11&amp;"|NIL",TABLAS!$B$6:$B$47,0),AW11)+AX11*(INDEX(TABLAS!$D$6:$J$47,MATCH(AV11&amp;"|NIL",TABLAS!$B$6:$B$47,0),MIN(AW11+1,7))-INDEX(TABLAS!$D$6:$J$47,MATCH(AV11&amp;"|NIL",TABLAS!$B$6:$B$47,0),AW11)))</f>
        <v>485.482828282828</v>
      </c>
      <c r="BA11" s="59">
        <f>IF(V11&lt;&gt;"SÍ","",INDEX(TABLAS!$D$6:$J$47,MATCH(AV11&amp;"|NDC",TABLAS!$B$6:$B$47,0),AW11)+AX11*(INDEX(TABLAS!$D$6:$J$47,MATCH(AV11&amp;"|NDC",TABLAS!$B$6:$B$47,0),MIN(AW11+1,7))-INDEX(TABLAS!$D$6:$J$47,MATCH(AV11&amp;"|NDC",TABLAS!$B$6:$B$47,0),AW11)))</f>
        <v>227.016161616162</v>
      </c>
      <c r="BB11" s="59">
        <f>IF(V11&lt;&gt;"SÍ","",INDEX(TABLAS!$D$6:$J$47,MATCH(AV11&amp;"|NDL",TABLAS!$B$6:$B$47,0),AW11)+AX11*(INDEX(TABLAS!$D$6:$J$47,MATCH(AV11&amp;"|NDL",TABLAS!$B$6:$B$47,0),MIN(AW11+1,7))-INDEX(TABLAS!$D$6:$J$47,MATCH(AV11&amp;"|NDL",TABLAS!$B$6:$B$47,0),AW11)))</f>
        <v>248.49898989899</v>
      </c>
      <c r="BC11" s="59">
        <f>IF(V11&lt;&gt;"SÍ","",INDEX(TABLAS!$D$6:$J$47,MATCH(AV11&amp;"|PC",TABLAS!$B$6:$B$47,0),AW11)+AX11*(INDEX(TABLAS!$D$6:$J$47,MATCH(AV11&amp;"|PC",TABLAS!$B$6:$B$47,0),MIN(AW11+1,7))-INDEX(TABLAS!$D$6:$J$47,MATCH(AV11&amp;"|PC",TABLAS!$B$6:$B$47,0),AW11)))</f>
        <v>314.274747474747</v>
      </c>
      <c r="BD11" s="59">
        <f>IF(V11&lt;&gt;"SÍ","",INDEX(TABLAS!$D$6:$J$47,MATCH(AV11&amp;"|PL",TABLAS!$B$6:$B$47,0),AW11)+AX11*(INDEX(TABLAS!$D$6:$J$47,MATCH(AV11&amp;"|PL",TABLAS!$B$6:$B$47,0),MIN(AW11+1,7))-INDEX(TABLAS!$D$6:$J$47,MATCH(AV11&amp;"|PL",TABLAS!$B$6:$B$47,0),AW11)))</f>
        <v>277.620202020202</v>
      </c>
      <c r="BE11" s="56">
        <f>IF(V11&lt;&gt;"SÍ","",IF(OR(C11&lt;&gt;"VOLADO",MIN(DH11,DI11)=0),0,DATOS!$C$26*DATOS!$C$16*DATOS!$C$86/100*(((AE11*DATOS!$C$81/DATOS!$C$86^2)*DATOS!$C$82/100)*(IF(X11="X",DJ11,DL11)+DATOS!$C$87/2)/100*(AB11-(IF(X11="X",DJ11,DL11)+DATOS!$C$87/2)/2)/100+((AE11*DATOS!$C$81/DATOS!$C$86^2)*DATOS!$C$82/100)*IF(X11="X",DJ11,DL11)/100*IF(X11="X",DJ11,DL11)/200)))</f>
        <v>0</v>
      </c>
      <c r="BF11" s="56">
        <f>IF(V11&lt;&gt;"SÍ","",IF(OR(C11&lt;&gt;"VOLADO",MIN(DH11,DI11)=0),0,DATOS!$C$26*DATOS!$C$16*DATOS!$C$86/100*((AE11*DATOS!$C$81/DATOS!$C$86^2)*DATOS!$C$82/100)*(IF(X11="X",DJ11,DL11)+DATOS!$C$87/2)/100))</f>
        <v>0</v>
      </c>
      <c r="BG11" s="56">
        <f>IF(V11&lt;&gt;"SÍ","",IF(C11="PERIMETRAL",BC11*AR11*Y11^2*1E-4*DATOS!$C$86/100/1000,0))</f>
        <v>0.394877155862061</v>
      </c>
      <c r="BH11" s="62">
        <f>IF(V11&lt;&gt;"SÍ","",IF(C11="PERIMETRAL",MAX(MAX(AY11,BA11)*AR11*Y11^2*1E-4*DATOS!$C$86/100/1000,N(T11)),(AR11*(AB11/100)^2/2+DATOS!$C$26*N(O11)*AB11/100)*DATOS!$C$86/100/1000+BE11))</f>
        <v>0.738193304389448</v>
      </c>
      <c r="BI11" s="56">
        <f>IF(V11&lt;&gt;"SÍ","",IF(C11="PERIMETRAL",BD11*AR11*Y11^2*1E-4*DATOS!$C$86/100/1000,0))</f>
        <v>0.348821776692055</v>
      </c>
      <c r="BJ11" s="56">
        <f>IF(V11&lt;&gt;"SÍ","",IF(C11="PERIMETRAL",MAX(MAX(AZ11,BB11)*AR11*Y11^2*1E-4*DATOS!$C$86/100/1000,N(U11)),0))</f>
        <v>0.609995171398863</v>
      </c>
      <c r="BK11" s="63" t="str">
        <f>IF(V11&lt;&gt;"SÍ","",IF(C11&lt;&gt;"PERIMETRAL","—",IF(AND(N(T11)=0,N(U11)=0),"— (sin M⁻ del vecino)",IF(OR(AND(N(T11)&gt;0,ABS(MAX(AY11,BA11)*AR11*Y11^2*1E-4*DATOS!$C$86/100/1000-N(T11))&gt;0.5*MIN(MAX(AY11,BA11)*AR11*Y11^2*1E-4*DATOS!$C$86/100/1000,N(T11))),AND(N(U11)&gt;0,ABS(MAX(AZ11,BB11)*AR11*Y11^2*1E-4*DATOS!$C$86/100/1000-N(U11))&gt;0.5*MIN(MAX(AZ11,BB11)*AR11*Y11^2*1E-4*DATOS!$C$86/100/1000,N(U11)))),"FUERA: difieren &gt; 50 %"&amp;IF(AND(N(T11)&gt;0,ABS(MAX(AY11,BA11)*AR11*Y11^2*1E-4*DATOS!$C$86/100/1000-N(T11))&gt;0.5*MIN(MAX(AY11,BA11)*AR11*Y11^2*1E-4*DATOS!$C$86/100/1000,N(T11)))," ‖ corto","")&amp;IF(AND(N(U11)&gt;0,ABS(MAX(AZ11,BB11)*AR11*Y11^2*1E-4*DATOS!$C$86/100/1000-N(U11))&gt;0.5*MIN(MAX(AZ11,BB11)*AR11*Y11^2*1E-4*DATOS!$C$86/100/1000,N(U11)))," ‖ largo",""),"CUMPLE"))))</f>
        <v>— (sin M⁻ del vecino)</v>
      </c>
      <c r="BL11" s="58">
        <f>IF(V11&lt;&gt;"SÍ","",(DATOS!$C$85-AK11-INDEX(TABLAS!$C$52:$C$58,MATCH(MAX(4,DATOS!$C$71),TABLAS!$B$52:$B$58,0))/2))</f>
        <v>22.365</v>
      </c>
      <c r="BM11" s="58">
        <f>IF(V11&lt;&gt;"SÍ","",IF(IF(BG11&lt;=0,0,IF((1-2*BG11*1E5/(DATOS!$C$29*AH11*BL11^2*DATOS!$C$21))&lt;0,-1,IF((1-SQRT((1-2*BG11*1E5/(DATOS!$C$29*AH11*BL11^2*DATOS!$C$21))))*DATOS!$C$21*AH11*BL11/DATOS!$C$14&gt;DATOS!$C$102*AH11*BL11,-1,(1-SQRT((1-2*BG11*1E5/(DATOS!$C$29*AH11*BL11^2*DATOS!$C$21))))*DATOS!$C$21*AH11*BL11/DATOS!$C$14)))&lt;0,-1,MAX(IF(BG11&lt;=0,0,IF((1-2*BG11*1E5/(DATOS!$C$29*AH11*BL11^2*DATOS!$C$21))&lt;0,-1,IF((1-SQRT((1-2*BG11*1E5/(DATOS!$C$29*AH11*BL11^2*DATOS!$C$21))))*DATOS!$C$21*AH11*BL11/DATOS!$C$14&gt;DATOS!$C$102*AH11*BL11,-1,(1-SQRT((1-2*BG11*1E5/(DATOS!$C$29*AH11*BL11^2*DATOS!$C$21))))*DATOS!$C$21*AH11*BL11/DATOS!$C$14))),MIN(DATOS!$C$103*AD11*BL11,4/3*IF(BG11&lt;=0,0,IF((1-2*BG11*1E5/(DATOS!$C$29*AH11*BL11^2*DATOS!$C$21))&lt;0,-1,IF((1-SQRT((1-2*BG11*1E5/(DATOS!$C$29*AH11*BL11^2*DATOS!$C$21))))*DATOS!$C$21*AH11*BL11/DATOS!$C$14&gt;DATOS!$C$102*AH11*BL11,-1,(1-SQRT((1-2*BG11*1E5/(DATOS!$C$29*AH11*BL11^2*DATOS!$C$21))))*DATOS!$C$21*AH11*BL11/DATOS!$C$14)))))))</f>
        <v>0.624634896435949</v>
      </c>
      <c r="BN11" s="64">
        <f>IF(V11&lt;&gt;"SÍ","",IF(AND(BM11&gt;=0,IF(MAX(DATOS!$C$74,CEILING(BM11/INDEX(TABLAS!$D$52:$D$58,MIN(MATCH(MAX(4,DATOS!$C$71),TABLAS!$B$52:$B$58,0)+0,7)),1))*INDEX(TABLAS!$D$52:$D$58,MIN(MATCH(MAX(4,DATOS!$C$71),TABLAS!$B$52:$B$58,0)+0,7)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+0,7)),1)),MAX(MAX(DATOS!$C$74,CEILING(BM11/INDEX(TABLAS!$D$52:$D$58,MIN(MATCH(MAX(4,DATOS!$C$71),TABLAS!$B$52:$B$58,0)+0,7)),1)),2))&lt;=MIN(DATOS!$C$73,INT(((AD11-2*AK11)+MAX(DATOS!$C$70,INDEX(TABLAS!$C$52:$C$58,MIN(MATCH(MAX(4,DATOS!$C$71),TABLAS!$B$52:$B$58,0)+0,7))))/(INDEX(TABLAS!$C$52:$C$58,MIN(MATCH(MAX(4,DATOS!$C$71),TABLAS!$B$52:$B$58,0)+0,7))+MAX(DATOS!$C$70,INDEX(TABLAS!$C$52:$C$58,MIN(MATCH(MAX(4,DATOS!$C$71),TABLAS!$B$52:$B$58,0)+0,7))))))),INDEX(TABLAS!$B$52:$B$58,MIN(MATCH(MAX(4,DATOS!$C$71),TABLAS!$B$52:$B$58,0)+0,7)),IF(AND(BM11&gt;=0,IF(MAX(DATOS!$C$74,CEILING(BM11/INDEX(TABLAS!$D$52:$D$58,MIN(MATCH(MAX(4,DATOS!$C$71),TABLAS!$B$52:$B$58,0)+1,7)),1))*INDEX(TABLAS!$D$52:$D$58,MIN(MATCH(MAX(4,DATOS!$C$71),TABLAS!$B$52:$B$58,0)+1,7)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+1,7)),1)),MAX(MAX(DATOS!$C$74,CEILING(BM11/INDEX(TABLAS!$D$52:$D$58,MIN(MATCH(MAX(4,DATOS!$C$71),TABLAS!$B$52:$B$58,0)+1,7)),1)),2))&lt;=MIN(DATOS!$C$73,INT(((AD11-2*AK11)+MAX(DATOS!$C$70,INDEX(TABLAS!$C$52:$C$58,MIN(MATCH(MAX(4,DATOS!$C$71),TABLAS!$B$52:$B$58,0)+1,7))))/(INDEX(TABLAS!$C$52:$C$58,MIN(MATCH(MAX(4,DATOS!$C$71),TABLAS!$B$52:$B$58,0)+1,7))+MAX(DATOS!$C$70,INDEX(TABLAS!$C$52:$C$58,MIN(MATCH(MAX(4,DATOS!$C$71),TABLAS!$B$52:$B$58,0)+1,7))))))),INDEX(TABLAS!$B$52:$B$58,MIN(MATCH(MAX(4,DATOS!$C$71),TABLAS!$B$52:$B$58,0)+1,7)),IF(AND(BM11&gt;=0,IF(MAX(DATOS!$C$74,CEILING(BM11/INDEX(TABLAS!$D$52:$D$58,MIN(MATCH(MAX(4,DATOS!$C$71),TABLAS!$B$52:$B$58,0)+2,7)),1))*INDEX(TABLAS!$D$52:$D$58,MIN(MATCH(MAX(4,DATOS!$C$71),TABLAS!$B$52:$B$58,0)+2,7)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+2,7)),1)),MAX(MAX(DATOS!$C$74,CEILING(BM11/INDEX(TABLAS!$D$52:$D$58,MIN(MATCH(MAX(4,DATOS!$C$71),TABLAS!$B$52:$B$58,0)+2,7)),1)),2))&lt;=MIN(DATOS!$C$73,INT(((AD11-2*AK11)+MAX(DATOS!$C$70,INDEX(TABLAS!$C$52:$C$58,MIN(MATCH(MAX(4,DATOS!$C$71),TABLAS!$B$52:$B$58,0)+2,7))))/(INDEX(TABLAS!$C$52:$C$58,MIN(MATCH(MAX(4,DATOS!$C$71),TABLAS!$B$52:$B$58,0)+2,7))+MAX(DATOS!$C$70,INDEX(TABLAS!$C$52:$C$58,MIN(MATCH(MAX(4,DATOS!$C$71),TABLAS!$B$52:$B$58,0)+2,7))))))),INDEX(TABLAS!$B$52:$B$58,MIN(MATCH(MAX(4,DATOS!$C$71),TABLAS!$B$52:$B$58,0)+2,7)),IF(AND(BM11&gt;=0,IF(MAX(DATOS!$C$74,CEILING(BM11/INDEX(TABLAS!$D$52:$D$58,MIN(MATCH(MAX(4,DATOS!$C$71),TABLAS!$B$52:$B$58,0)+3,7)),1))*INDEX(TABLAS!$D$52:$D$58,MIN(MATCH(MAX(4,DATOS!$C$71),TABLAS!$B$52:$B$58,0)+3,7)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+3,7)),1)),MAX(MAX(DATOS!$C$74,CEILING(BM11/INDEX(TABLAS!$D$52:$D$58,MIN(MATCH(MAX(4,DATOS!$C$71),TABLAS!$B$52:$B$58,0)+3,7)),1)),2))&lt;=MIN(DATOS!$C$73,INT(((AD11-2*AK11)+MAX(DATOS!$C$70,INDEX(TABLAS!$C$52:$C$58,MIN(MATCH(MAX(4,DATOS!$C$71),TABLAS!$B$52:$B$58,0)+3,7))))/(INDEX(TABLAS!$C$52:$C$58,MIN(MATCH(MAX(4,DATOS!$C$71),TABLAS!$B$52:$B$58,0)+3,7))+MAX(DATOS!$C$70,INDEX(TABLAS!$C$52:$C$58,MIN(MATCH(MAX(4,DATOS!$C$71),TABLAS!$B$52:$B$58,0)+3,7))))))),INDEX(TABLAS!$B$52:$B$58,MIN(MATCH(MAX(4,DATOS!$C$71),TABLAS!$B$52:$B$58,0)+3,7)),IF(AND(BM11&gt;=0,IF(MAX(DATOS!$C$74,CEILING(BM11/INDEX(TABLAS!$D$52:$D$58,MIN(MATCH(MAX(4,DATOS!$C$71),TABLAS!$B$52:$B$58,0)+4,7)),1))*INDEX(TABLAS!$D$52:$D$58,MIN(MATCH(MAX(4,DATOS!$C$71),TABLAS!$B$52:$B$58,0)+4,7)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+4,7)),1)),MAX(MAX(DATOS!$C$74,CEILING(BM11/INDEX(TABLAS!$D$52:$D$58,MIN(MATCH(MAX(4,DATOS!$C$71),TABLAS!$B$52:$B$58,0)+4,7)),1)),2))&lt;=MIN(DATOS!$C$73,INT(((AD11-2*AK11)+MAX(DATOS!$C$70,INDEX(TABLAS!$C$52:$C$58,MIN(MATCH(MAX(4,DATOS!$C$71),TABLAS!$B$52:$B$58,0)+4,7))))/(INDEX(TABLAS!$C$52:$C$58,MIN(MATCH(MAX(4,DATOS!$C$71),TABLAS!$B$52:$B$58,0)+4,7))+MAX(DATOS!$C$70,INDEX(TABLAS!$C$52:$C$58,MIN(MATCH(MAX(4,DATOS!$C$71),TABLAS!$B$52:$B$58,0)+4,7))))))),INDEX(TABLAS!$B$52:$B$58,MIN(MATCH(MAX(4,DATOS!$C$71),TABLAS!$B$52:$B$58,0)+4,7)),INDEX(TABLAS!$B$52:$B$58,7)))))))</f>
        <v>4</v>
      </c>
      <c r="BO11" s="59">
        <f>IF(V11&lt;&gt;"SÍ","",IF(BM11&lt;0,0,IF(MAX(DATOS!$C$74,CEILING(MAX(BM11,0)/INDEX(TABLAS!$D$52:$D$58,MATCH(BN11,TABLAS!$B$52:$B$58,0)),1))*INDEX(TABLAS!$D$52:$D$58,MATCH(BN11,TABLAS!$B$52:$B$58,0))&gt;=4/3*IF(BG11&lt;=0,0,IF((1-2*BG11*1E5/(DATOS!$C$29*AH11*BL11^2*DATOS!$C$21))&lt;0,-1,IF((1-SQRT((1-2*BG11*1E5/(DATOS!$C$29*AH11*BL11^2*DATOS!$C$21))))*DATOS!$C$21*AH11*BL11/DATOS!$C$14&gt;DATOS!$C$102*AH11*BL11,-1,(1-SQRT((1-2*BG11*1E5/(DATOS!$C$29*AH11*BL11^2*DATOS!$C$21))))*DATOS!$C$21*AH11*BL11/DATOS!$C$14)))-0.0001,MAX(DATOS!$C$74,CEILING(MAX(BM11,0)/INDEX(TABLAS!$D$52:$D$58,MATCH(BN11,TABLAS!$B$52:$B$58,0)),1)),MAX(MAX(DATOS!$C$74,CEILING(MAX(BM11,0)/INDEX(TABLAS!$D$52:$D$58,MATCH(BN11,TABLAS!$B$52:$B$58,0)),1)),2))))</f>
        <v>1</v>
      </c>
      <c r="BP11" s="58">
        <f>IF(V11&lt;&gt;"SÍ","",DATOS!$C$85-AK11-INDEX(TABLAS!$C$52:$C$58,MATCH(BN11,TABLAS!$B$52:$B$58,0))/2)</f>
        <v>22.365</v>
      </c>
      <c r="BQ11" s="56">
        <f>IF(V11&lt;&gt;"SÍ","",IF(BO11=0,0,DATOS!$C$29*BO11*INDEX(TABLAS!$D$52:$D$58,MATCH(BN11,TABLAS!$B$52:$B$58,0))*DATOS!$C$14*(BP11-BO11*INDEX(TABLAS!$D$52:$D$58,MATCH(BN11,TABLAS!$B$52:$B$58,0))*DATOS!$C$14/(DATOS!$C$21*AH11)/2)/1E5))</f>
        <v>1.06504699658824</v>
      </c>
      <c r="BR11" s="65">
        <f>IF(V11&lt;&gt;"SÍ","",IF(BM11&lt;0,9.99,IF(BQ11&gt;0,BG11/BQ11,0)))</f>
        <v>0.370760311166557</v>
      </c>
      <c r="BS11" s="66">
        <f>IF(V11&lt;&gt;"SÍ","",IF(BO11=0,"—",0.003*(BP11-(BO11*INDEX(TABLAS!$D$52:$D$58,MATCH(BN11,TABLAS!$B$52:$B$58,0))*DATOS!$C$14/(DATOS!$C$21*AH11)/DATOS!$C$22))/(BO11*INDEX(TABLAS!$D$52:$D$58,MATCH(BN11,TABLAS!$B$52:$B$58,0))*DATOS!$C$14/(DATOS!$C$21*AH11)/DATOS!$C$22)))</f>
        <v>0.156042445866142</v>
      </c>
      <c r="BT11" s="58">
        <f>IF(V11&lt;&gt;"SÍ","",((DATOS!$C$85-AM11-2*DATOS!$C$97-INDEX(TABLAS!$C$52:$C$58,MATCH(MAX(4,DATOS!$C$72),TABLAS!$B$52:$B$58,0))/2)-IF(AND((DATOS!$C$85-AM11-2*DATOS!$C$97-INDEX(TABLAS!$C$52:$C$58,MATCH(MAX(4,DATOS!$C$72),TABLAS!$B$52:$B$58,0))/2)&lt;=20,DATOS!$C$65&lt;&gt;"SÍ"),2,0)))</f>
        <v>20.793</v>
      </c>
      <c r="BU11" s="58">
        <f>IF(V11&lt;&gt;"SÍ","",IF(IF(BH11&lt;=0,0,IF((1-2*BH11*1E5/(DATOS!$C$29*AF11*BT11^2*DATOS!$C$21))&lt;0,-1,IF((1-SQRT((1-2*BH11*1E5/(DATOS!$C$29*AF11*BT11^2*DATOS!$C$21))))*DATOS!$C$21*AF11*BT11/DATOS!$C$14&gt;DATOS!$C$102*AF11*BT11,-1,(1-SQRT((1-2*BH11*1E5/(DATOS!$C$29*AF11*BT11^2*DATOS!$C$21))))*DATOS!$C$21*AF11*BT11/DATOS!$C$14)))&lt;0,-1,MAX(IF(BH11&lt;=0,0,IF((1-2*BH11*1E5/(DATOS!$C$29*AF11*BT11^2*DATOS!$C$21))&lt;0,-1,IF((1-SQRT((1-2*BH11*1E5/(DATOS!$C$29*AF11*BT11^2*DATOS!$C$21))))*DATOS!$C$21*AF11*BT11/DATOS!$C$14&gt;DATOS!$C$102*AF11*BT11,-1,(1-SQRT((1-2*BH11*1E5/(DATOS!$C$29*AF11*BT11^2*DATOS!$C$21))))*DATOS!$C$21*AF11*BT11/DATOS!$C$14))),MIN(DATOS!$C$103*IF(C11="VOLADO",MIN(AH11,2*AD11),AD11)*BT11,4/3*IF(BH11&lt;=0,0,IF((1-2*BH11*1E5/(DATOS!$C$29*AF11*BT11^2*DATOS!$C$21))&lt;0,-1,IF((1-SQRT((1-2*BH11*1E5/(DATOS!$C$29*AF11*BT11^2*DATOS!$C$21))))*DATOS!$C$21*AF11*BT11/DATOS!$C$14&gt;DATOS!$C$102*AF11*BT11,-1,(1-SQRT((1-2*BH11*1E5/(DATOS!$C$29*AF11*BT11^2*DATOS!$C$21))))*DATOS!$C$21*AF11*BT11/DATOS!$C$14)))))))</f>
        <v>0.985351748115221</v>
      </c>
      <c r="BV11" s="64">
        <f>IF(V11&lt;&gt;"SÍ","",IF(AND(BU11&gt;=0,IF(MAX(DATOS!$C$74,CEILING(BU11/INDEX(TABLAS!$D$52:$D$58,MIN(MATCH(MAX(4,DATOS!$C$72),TABLAS!$B$52:$B$58,0)+0,7)),1))*INDEX(TABLAS!$D$52:$D$58,MIN(MATCH(MAX(4,DATOS!$C$72),TABLAS!$B$52:$B$58,0)+0,7)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+0,7)),1)),MAX(MAX(DATOS!$C$74,CEILING(BU11/INDEX(TABLAS!$D$52:$D$58,MIN(MATCH(MAX(4,DATOS!$C$72),TABLAS!$B$52:$B$58,0)+0,7)),1)),2))&lt;=MIN(DATOS!$C$73,INT(((AD11-2*AL11)+MAX(DATOS!$C$70,INDEX(TABLAS!$C$52:$C$58,MIN(MATCH(MAX(4,DATOS!$C$72),TABLAS!$B$52:$B$58,0)+0,7))))/(INDEX(TABLAS!$C$52:$C$58,MIN(MATCH(MAX(4,DATOS!$C$72),TABLAS!$B$52:$B$58,0)+0,7))+MAX(DATOS!$C$70,INDEX(TABLAS!$C$52:$C$58,MIN(MATCH(MAX(4,DATOS!$C$72),TABLAS!$B$52:$B$58,0)+0,7))))))),INDEX(TABLAS!$B$52:$B$58,MIN(MATCH(MAX(4,DATOS!$C$72),TABLAS!$B$52:$B$58,0)+0,7)),IF(AND(BU11&gt;=0,IF(MAX(DATOS!$C$74,CEILING(BU11/INDEX(TABLAS!$D$52:$D$58,MIN(MATCH(MAX(4,DATOS!$C$72),TABLAS!$B$52:$B$58,0)+1,7)),1))*INDEX(TABLAS!$D$52:$D$58,MIN(MATCH(MAX(4,DATOS!$C$72),TABLAS!$B$52:$B$58,0)+1,7)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+1,7)),1)),MAX(MAX(DATOS!$C$74,CEILING(BU11/INDEX(TABLAS!$D$52:$D$58,MIN(MATCH(MAX(4,DATOS!$C$72),TABLAS!$B$52:$B$58,0)+1,7)),1)),2))&lt;=MIN(DATOS!$C$73,INT(((AD11-2*AL11)+MAX(DATOS!$C$70,INDEX(TABLAS!$C$52:$C$58,MIN(MATCH(MAX(4,DATOS!$C$72),TABLAS!$B$52:$B$58,0)+1,7))))/(INDEX(TABLAS!$C$52:$C$58,MIN(MATCH(MAX(4,DATOS!$C$72),TABLAS!$B$52:$B$58,0)+1,7))+MAX(DATOS!$C$70,INDEX(TABLAS!$C$52:$C$58,MIN(MATCH(MAX(4,DATOS!$C$72),TABLAS!$B$52:$B$58,0)+1,7))))))),INDEX(TABLAS!$B$52:$B$58,MIN(MATCH(MAX(4,DATOS!$C$72),TABLAS!$B$52:$B$58,0)+1,7)),IF(AND(BU11&gt;=0,IF(MAX(DATOS!$C$74,CEILING(BU11/INDEX(TABLAS!$D$52:$D$58,MIN(MATCH(MAX(4,DATOS!$C$72),TABLAS!$B$52:$B$58,0)+2,7)),1))*INDEX(TABLAS!$D$52:$D$58,MIN(MATCH(MAX(4,DATOS!$C$72),TABLAS!$B$52:$B$58,0)+2,7)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+2,7)),1)),MAX(MAX(DATOS!$C$74,CEILING(BU11/INDEX(TABLAS!$D$52:$D$58,MIN(MATCH(MAX(4,DATOS!$C$72),TABLAS!$B$52:$B$58,0)+2,7)),1)),2))&lt;=MIN(DATOS!$C$73,INT(((AD11-2*AL11)+MAX(DATOS!$C$70,INDEX(TABLAS!$C$52:$C$58,MIN(MATCH(MAX(4,DATOS!$C$72),TABLAS!$B$52:$B$58,0)+2,7))))/(INDEX(TABLAS!$C$52:$C$58,MIN(MATCH(MAX(4,DATOS!$C$72),TABLAS!$B$52:$B$58,0)+2,7))+MAX(DATOS!$C$70,INDEX(TABLAS!$C$52:$C$58,MIN(MATCH(MAX(4,DATOS!$C$72),TABLAS!$B$52:$B$58,0)+2,7))))))),INDEX(TABLAS!$B$52:$B$58,MIN(MATCH(MAX(4,DATOS!$C$72),TABLAS!$B$52:$B$58,0)+2,7)),IF(AND(BU11&gt;=0,IF(MAX(DATOS!$C$74,CEILING(BU11/INDEX(TABLAS!$D$52:$D$58,MIN(MATCH(MAX(4,DATOS!$C$72),TABLAS!$B$52:$B$58,0)+3,7)),1))*INDEX(TABLAS!$D$52:$D$58,MIN(MATCH(MAX(4,DATOS!$C$72),TABLAS!$B$52:$B$58,0)+3,7)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+3,7)),1)),MAX(MAX(DATOS!$C$74,CEILING(BU11/INDEX(TABLAS!$D$52:$D$58,MIN(MATCH(MAX(4,DATOS!$C$72),TABLAS!$B$52:$B$58,0)+3,7)),1)),2))&lt;=MIN(DATOS!$C$73,INT(((AD11-2*AL11)+MAX(DATOS!$C$70,INDEX(TABLAS!$C$52:$C$58,MIN(MATCH(MAX(4,DATOS!$C$72),TABLAS!$B$52:$B$58,0)+3,7))))/(INDEX(TABLAS!$C$52:$C$58,MIN(MATCH(MAX(4,DATOS!$C$72),TABLAS!$B$52:$B$58,0)+3,7))+MAX(DATOS!$C$70,INDEX(TABLAS!$C$52:$C$58,MIN(MATCH(MAX(4,DATOS!$C$72),TABLAS!$B$52:$B$58,0)+3,7))))))),INDEX(TABLAS!$B$52:$B$58,MIN(MATCH(MAX(4,DATOS!$C$72),TABLAS!$B$52:$B$58,0)+3,7)),IF(AND(BU11&gt;=0,IF(MAX(DATOS!$C$74,CEILING(BU11/INDEX(TABLAS!$D$52:$D$58,MIN(MATCH(MAX(4,DATOS!$C$72),TABLAS!$B$52:$B$58,0)+4,7)),1))*INDEX(TABLAS!$D$52:$D$58,MIN(MATCH(MAX(4,DATOS!$C$72),TABLAS!$B$52:$B$58,0)+4,7)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+4,7)),1)),MAX(MAX(DATOS!$C$74,CEILING(BU11/INDEX(TABLAS!$D$52:$D$58,MIN(MATCH(MAX(4,DATOS!$C$72),TABLAS!$B$52:$B$58,0)+4,7)),1)),2))&lt;=MIN(DATOS!$C$73,INT(((AD11-2*AL11)+MAX(DATOS!$C$70,INDEX(TABLAS!$C$52:$C$58,MIN(MATCH(MAX(4,DATOS!$C$72),TABLAS!$B$52:$B$58,0)+4,7))))/(INDEX(TABLAS!$C$52:$C$58,MIN(MATCH(MAX(4,DATOS!$C$72),TABLAS!$B$52:$B$58,0)+4,7))+MAX(DATOS!$C$70,INDEX(TABLAS!$C$52:$C$58,MIN(MATCH(MAX(4,DATOS!$C$72),TABLAS!$B$52:$B$58,0)+4,7))))))),INDEX(TABLAS!$B$52:$B$58,MIN(MATCH(MAX(4,DATOS!$C$72),TABLAS!$B$52:$B$58,0)+4,7)),INDEX(TABLAS!$B$52:$B$58,7)))))))</f>
        <v>4</v>
      </c>
      <c r="BW11" s="59">
        <f>IF(V11&lt;&gt;"SÍ","",IF(BU11&lt;0,0,IF(MAX(DATOS!$C$74,CEILING(MAX(BU11,0)/INDEX(TABLAS!$D$52:$D$58,MATCH(BV11,TABLAS!$B$52:$B$58,0)),1))*INDEX(TABLAS!$D$52:$D$58,MATCH(BV11,TABLAS!$B$52:$B$58,0))&gt;=4/3*IF(BH11&lt;=0,0,IF((1-2*BH11*1E5/(DATOS!$C$29*AF11*BT11^2*DATOS!$C$21))&lt;0,-1,IF((1-SQRT((1-2*BH11*1E5/(DATOS!$C$29*AF11*BT11^2*DATOS!$C$21))))*DATOS!$C$21*AF11*BT11/DATOS!$C$14&gt;DATOS!$C$102*AF11*BT11,-1,(1-SQRT((1-2*BH11*1E5/(DATOS!$C$29*AF11*BT11^2*DATOS!$C$21))))*DATOS!$C$21*AF11*BT11/DATOS!$C$14)))-0.0001,MAX(DATOS!$C$74,CEILING(MAX(BU11,0)/INDEX(TABLAS!$D$52:$D$58,MATCH(BV11,TABLAS!$B$52:$B$58,0)),1)),MAX(MAX(DATOS!$C$74,CEILING(MAX(BU11,0)/INDEX(TABLAS!$D$52:$D$58,MATCH(BV11,TABLAS!$B$52:$B$58,0)),1)),2))))</f>
        <v>2</v>
      </c>
      <c r="BX11" s="58">
        <f>IF(V11&lt;&gt;"SÍ","",((DATOS!$C$85-AM11-2*DATOS!$C$97-INDEX(TABLAS!$C$52:$C$58,MATCH(BV11,TABLAS!$B$52:$B$58,0))/2)-IF(AND((DATOS!$C$85-AM11-2*DATOS!$C$97-INDEX(TABLAS!$C$52:$C$58,MATCH(BV11,TABLAS!$B$52:$B$58,0))/2)&lt;=20,DATOS!$C$65&lt;&gt;"SÍ"),2,0)))</f>
        <v>20.793</v>
      </c>
      <c r="BY11" s="56">
        <f>IF(V11&lt;&gt;"SÍ","",IF(BW11=0,0,DATOS!$C$29*BW11*INDEX(TABLAS!$D$52:$D$58,MATCH(BV11,TABLAS!$B$52:$B$58,0))*DATOS!$C$14*(BX11-BW11*INDEX(TABLAS!$D$52:$D$58,MATCH(BV11,TABLAS!$B$52:$B$58,0))*DATOS!$C$14/(DATOS!$C$21*AF11)/2)/1E5))</f>
        <v>1.75537610047059</v>
      </c>
      <c r="BZ11" s="65">
        <f>IF(V11&lt;&gt;"SÍ","",IF(BU11&lt;0,9.99,IF(BY11&gt;0,BH11/BY11,0)))</f>
        <v>0.420532844324103</v>
      </c>
      <c r="CA11" s="66">
        <f>IF(V11&lt;&gt;"SÍ","",IF(BW11=0,"—",0.003*(BX11-(BW11*INDEX(TABLAS!$D$52:$D$58,MATCH(BV11,TABLAS!$B$52:$B$58,0))*DATOS!$C$14/(DATOS!$C$21*AF11)/DATOS!$C$22))/(BW11*INDEX(TABLAS!$D$52:$D$58,MATCH(BV11,TABLAS!$B$52:$B$58,0))*DATOS!$C$14/(DATOS!$C$21*AF11)/DATOS!$C$22)))</f>
        <v>0.00756168623453318</v>
      </c>
      <c r="CB11" s="58">
        <f>IF(V11&lt;&gt;"SÍ","",(DATOS!$C$85-AK11-INDEX(TABLAS!$C$52:$C$58,MATCH(MAX(4,DATOS!$C$71),TABLAS!$B$52:$B$58,0))-INDEX(TABLAS!$C$52:$C$58,MATCH(MAX(4,DATOS!$C$71),TABLAS!$B$52:$B$58,0))/2))</f>
        <v>21.095</v>
      </c>
      <c r="CC11" s="58">
        <f>IF(V11&lt;&gt;"SÍ","",IF(IF(BI11&lt;=0,0,IF((1-2*BI11*1E5/(DATOS!$C$29*AI11*CB11^2*DATOS!$C$21))&lt;0,-1,IF((1-SQRT((1-2*BI11*1E5/(DATOS!$C$29*AI11*CB11^2*DATOS!$C$21))))*DATOS!$C$21*AI11*CB11/DATOS!$C$14&gt;DATOS!$C$102*AI11*CB11,-1,(1-SQRT((1-2*BI11*1E5/(DATOS!$C$29*AI11*CB11^2*DATOS!$C$21))))*DATOS!$C$21*AI11*CB11/DATOS!$C$14)))&lt;0,-1,MAX(IF(BI11&lt;=0,0,IF((1-2*BI11*1E5/(DATOS!$C$29*AI11*CB11^2*DATOS!$C$21))&lt;0,-1,IF((1-SQRT((1-2*BI11*1E5/(DATOS!$C$29*AI11*CB11^2*DATOS!$C$21))))*DATOS!$C$21*AI11*CB11/DATOS!$C$14&gt;DATOS!$C$102*AI11*CB11,-1,(1-SQRT((1-2*BI11*1E5/(DATOS!$C$29*AI11*CB11^2*DATOS!$C$21))))*DATOS!$C$21*AI11*CB11/DATOS!$C$14))),MIN(DATOS!$C$103*DATOS!$C$83*CB11,4/3*IF(BI11&lt;=0,0,IF((1-2*BI11*1E5/(DATOS!$C$29*AI11*CB11^2*DATOS!$C$21))&lt;0,-1,IF((1-SQRT((1-2*BI11*1E5/(DATOS!$C$29*AI11*CB11^2*DATOS!$C$21))))*DATOS!$C$21*AI11*CB11/DATOS!$C$14&gt;DATOS!$C$102*AI11*CB11,-1,(1-SQRT((1-2*BI11*1E5/(DATOS!$C$29*AI11*CB11^2*DATOS!$C$21))))*DATOS!$C$21*AI11*CB11/DATOS!$C$14)))))))</f>
        <v>0.584989494863686</v>
      </c>
      <c r="CD11" s="64">
        <f>IF(V11&lt;&gt;"SÍ","",IF(AND(CC11&gt;=0,IF(MAX(DATOS!$C$74,CEILING(CC11/INDEX(TABLAS!$D$52:$D$58,MIN(MATCH(MAX(4,DATOS!$C$71),TABLAS!$B$52:$B$58,0)+0,7)),1))*INDEX(TABLAS!$D$52:$D$58,MIN(MATCH(MAX(4,DATOS!$C$71),TABLAS!$B$52:$B$58,0)+0,7)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+0,7)),1)),MAX(MAX(DATOS!$C$74,CEILING(CC11/INDEX(TABLAS!$D$52:$D$58,MIN(MATCH(MAX(4,DATOS!$C$71),TABLAS!$B$52:$B$58,0)+0,7)),1)),2))&lt;=MIN(DATOS!$C$73,INT(((DATOS!$C$83-2*AK11)+MAX(DATOS!$C$70,INDEX(TABLAS!$C$52:$C$58,MIN(MATCH(MAX(4,DATOS!$C$71),TABLAS!$B$52:$B$58,0)+0,7))))/(INDEX(TABLAS!$C$52:$C$58,MIN(MATCH(MAX(4,DATOS!$C$71),TABLAS!$B$52:$B$58,0)+0,7))+MAX(DATOS!$C$70,INDEX(TABLAS!$C$52:$C$58,MIN(MATCH(MAX(4,DATOS!$C$71),TABLAS!$B$52:$B$58,0)+0,7))))))),INDEX(TABLAS!$B$52:$B$58,MIN(MATCH(MAX(4,DATOS!$C$71),TABLAS!$B$52:$B$58,0)+0,7)),IF(AND(CC11&gt;=0,IF(MAX(DATOS!$C$74,CEILING(CC11/INDEX(TABLAS!$D$52:$D$58,MIN(MATCH(MAX(4,DATOS!$C$71),TABLAS!$B$52:$B$58,0)+1,7)),1))*INDEX(TABLAS!$D$52:$D$58,MIN(MATCH(MAX(4,DATOS!$C$71),TABLAS!$B$52:$B$58,0)+1,7)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+1,7)),1)),MAX(MAX(DATOS!$C$74,CEILING(CC11/INDEX(TABLAS!$D$52:$D$58,MIN(MATCH(MAX(4,DATOS!$C$71),TABLAS!$B$52:$B$58,0)+1,7)),1)),2))&lt;=MIN(DATOS!$C$73,INT(((DATOS!$C$83-2*AK11)+MAX(DATOS!$C$70,INDEX(TABLAS!$C$52:$C$58,MIN(MATCH(MAX(4,DATOS!$C$71),TABLAS!$B$52:$B$58,0)+1,7))))/(INDEX(TABLAS!$C$52:$C$58,MIN(MATCH(MAX(4,DATOS!$C$71),TABLAS!$B$52:$B$58,0)+1,7))+MAX(DATOS!$C$70,INDEX(TABLAS!$C$52:$C$58,MIN(MATCH(MAX(4,DATOS!$C$71),TABLAS!$B$52:$B$58,0)+1,7))))))),INDEX(TABLAS!$B$52:$B$58,MIN(MATCH(MAX(4,DATOS!$C$71),TABLAS!$B$52:$B$58,0)+1,7)),IF(AND(CC11&gt;=0,IF(MAX(DATOS!$C$74,CEILING(CC11/INDEX(TABLAS!$D$52:$D$58,MIN(MATCH(MAX(4,DATOS!$C$71),TABLAS!$B$52:$B$58,0)+2,7)),1))*INDEX(TABLAS!$D$52:$D$58,MIN(MATCH(MAX(4,DATOS!$C$71),TABLAS!$B$52:$B$58,0)+2,7)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+2,7)),1)),MAX(MAX(DATOS!$C$74,CEILING(CC11/INDEX(TABLAS!$D$52:$D$58,MIN(MATCH(MAX(4,DATOS!$C$71),TABLAS!$B$52:$B$58,0)+2,7)),1)),2))&lt;=MIN(DATOS!$C$73,INT(((DATOS!$C$83-2*AK11)+MAX(DATOS!$C$70,INDEX(TABLAS!$C$52:$C$58,MIN(MATCH(MAX(4,DATOS!$C$71),TABLAS!$B$52:$B$58,0)+2,7))))/(INDEX(TABLAS!$C$52:$C$58,MIN(MATCH(MAX(4,DATOS!$C$71),TABLAS!$B$52:$B$58,0)+2,7))+MAX(DATOS!$C$70,INDEX(TABLAS!$C$52:$C$58,MIN(MATCH(MAX(4,DATOS!$C$71),TABLAS!$B$52:$B$58,0)+2,7))))))),INDEX(TABLAS!$B$52:$B$58,MIN(MATCH(MAX(4,DATOS!$C$71),TABLAS!$B$52:$B$58,0)+2,7)),IF(AND(CC11&gt;=0,IF(MAX(DATOS!$C$74,CEILING(CC11/INDEX(TABLAS!$D$52:$D$58,MIN(MATCH(MAX(4,DATOS!$C$71),TABLAS!$B$52:$B$58,0)+3,7)),1))*INDEX(TABLAS!$D$52:$D$58,MIN(MATCH(MAX(4,DATOS!$C$71),TABLAS!$B$52:$B$58,0)+3,7)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+3,7)),1)),MAX(MAX(DATOS!$C$74,CEILING(CC11/INDEX(TABLAS!$D$52:$D$58,MIN(MATCH(MAX(4,DATOS!$C$71),TABLAS!$B$52:$B$58,0)+3,7)),1)),2))&lt;=MIN(DATOS!$C$73,INT(((DATOS!$C$83-2*AK11)+MAX(DATOS!$C$70,INDEX(TABLAS!$C$52:$C$58,MIN(MATCH(MAX(4,DATOS!$C$71),TABLAS!$B$52:$B$58,0)+3,7))))/(INDEX(TABLAS!$C$52:$C$58,MIN(MATCH(MAX(4,DATOS!$C$71),TABLAS!$B$52:$B$58,0)+3,7))+MAX(DATOS!$C$70,INDEX(TABLAS!$C$52:$C$58,MIN(MATCH(MAX(4,DATOS!$C$71),TABLAS!$B$52:$B$58,0)+3,7))))))),INDEX(TABLAS!$B$52:$B$58,MIN(MATCH(MAX(4,DATOS!$C$71),TABLAS!$B$52:$B$58,0)+3,7)),IF(AND(CC11&gt;=0,IF(MAX(DATOS!$C$74,CEILING(CC11/INDEX(TABLAS!$D$52:$D$58,MIN(MATCH(MAX(4,DATOS!$C$71),TABLAS!$B$52:$B$58,0)+4,7)),1))*INDEX(TABLAS!$D$52:$D$58,MIN(MATCH(MAX(4,DATOS!$C$71),TABLAS!$B$52:$B$58,0)+4,7)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+4,7)),1)),MAX(MAX(DATOS!$C$74,CEILING(CC11/INDEX(TABLAS!$D$52:$D$58,MIN(MATCH(MAX(4,DATOS!$C$71),TABLAS!$B$52:$B$58,0)+4,7)),1)),2))&lt;=MIN(DATOS!$C$73,INT(((DATOS!$C$83-2*AK11)+MAX(DATOS!$C$70,INDEX(TABLAS!$C$52:$C$58,MIN(MATCH(MAX(4,DATOS!$C$71),TABLAS!$B$52:$B$58,0)+4,7))))/(INDEX(TABLAS!$C$52:$C$58,MIN(MATCH(MAX(4,DATOS!$C$71),TABLAS!$B$52:$B$58,0)+4,7))+MAX(DATOS!$C$70,INDEX(TABLAS!$C$52:$C$58,MIN(MATCH(MAX(4,DATOS!$C$71),TABLAS!$B$52:$B$58,0)+4,7))))))),INDEX(TABLAS!$B$52:$B$58,MIN(MATCH(MAX(4,DATOS!$C$71),TABLAS!$B$52:$B$58,0)+4,7)),INDEX(TABLAS!$B$52:$B$58,7)))))))</f>
        <v>4</v>
      </c>
      <c r="CE11" s="59">
        <f>IF(V11&lt;&gt;"SÍ","",IF(CC11&lt;0,0,IF(MAX(DATOS!$C$74,CEILING(MAX(CC11,0)/INDEX(TABLAS!$D$52:$D$58,MATCH(CD11,TABLAS!$B$52:$B$58,0)),1))*INDEX(TABLAS!$D$52:$D$58,MATCH(CD11,TABLAS!$B$52:$B$58,0))&gt;=4/3*IF(BI11&lt;=0,0,IF((1-2*BI11*1E5/(DATOS!$C$29*AI11*CB11^2*DATOS!$C$21))&lt;0,-1,IF((1-SQRT((1-2*BI11*1E5/(DATOS!$C$29*AI11*CB11^2*DATOS!$C$21))))*DATOS!$C$21*AI11*CB11/DATOS!$C$14&gt;DATOS!$C$102*AI11*CB11,-1,(1-SQRT((1-2*BI11*1E5/(DATOS!$C$29*AI11*CB11^2*DATOS!$C$21))))*DATOS!$C$21*AI11*CB11/DATOS!$C$14)))-0.0001,MAX(DATOS!$C$74,CEILING(MAX(CC11,0)/INDEX(TABLAS!$D$52:$D$58,MATCH(CD11,TABLAS!$B$52:$B$58,0)),1)),MAX(MAX(DATOS!$C$74,CEILING(MAX(CC11,0)/INDEX(TABLAS!$D$52:$D$58,MATCH(CD11,TABLAS!$B$52:$B$58,0)),1)),2))))</f>
        <v>1</v>
      </c>
      <c r="CF11" s="58">
        <f>IF(V11&lt;&gt;"SÍ","",DATOS!$C$85-AK11-INDEX(TABLAS!$C$52:$C$58,MATCH(BN11,TABLAS!$B$52:$B$58,0))-INDEX(TABLAS!$C$52:$C$58,MATCH(CD11,TABLAS!$B$52:$B$58,0))/2)</f>
        <v>21.095</v>
      </c>
      <c r="CG11" s="56">
        <f>IF(V11&lt;&gt;"SÍ","",IF(CE11=0,0,DATOS!$C$29*CE11*INDEX(TABLAS!$D$52:$D$58,MATCH(CD11,TABLAS!$B$52:$B$58,0))*DATOS!$C$14*(CF11-CE11*INDEX(TABLAS!$D$52:$D$58,MATCH(CD11,TABLAS!$B$52:$B$58,0))*DATOS!$C$14/(DATOS!$C$21*AI11)/2)/1E5))</f>
        <v>1.00407937658824</v>
      </c>
      <c r="CH11" s="65">
        <f>IF(V11&lt;&gt;"SÍ","",IF(CC11&lt;0,9.99,IF(CG11&gt;0,BI11/CG11,0)))</f>
        <v>0.347404582571268</v>
      </c>
      <c r="CI11" s="66">
        <f>IF(V11&lt;&gt;"SÍ","",IF(CE11=0,"—",0.003*(CF11-(CE11*INDEX(TABLAS!$D$52:$D$58,MATCH(CD11,TABLAS!$B$52:$B$58,0))*DATOS!$C$14/(DATOS!$C$21*AI11)/DATOS!$C$22))/(CE11*INDEX(TABLAS!$D$52:$D$58,MATCH(CD11,TABLAS!$B$52:$B$58,0))*DATOS!$C$14/(DATOS!$C$21*AI11)/DATOS!$C$22)))</f>
        <v>0.147011195866142</v>
      </c>
      <c r="CJ11" s="58">
        <f>IF(V11&lt;&gt;"SÍ","",((DATOS!$C$85-AM11-2*DATOS!$C$97-INDEX(TABLAS!$C$52:$C$58,MATCH(MAX(4,DATOS!$C$72),TABLAS!$B$52:$B$58,0))-INDEX(TABLAS!$C$52:$C$58,MATCH(MAX(4,DATOS!$C$72),TABLAS!$B$52:$B$58,0))/2)-IF(AND((DATOS!$C$85-AM11-2*DATOS!$C$97-INDEX(TABLAS!$C$52:$C$58,MATCH(MAX(4,DATOS!$C$72),TABLAS!$B$52:$B$58,0))-INDEX(TABLAS!$C$52:$C$58,MATCH(MAX(4,DATOS!$C$72),TABLAS!$B$52:$B$58,0))/2)&lt;=20,DATOS!$C$65&lt;&gt;"SÍ"),2,0)))</f>
        <v>19.523</v>
      </c>
      <c r="CK11" s="58">
        <f>IF(V11&lt;&gt;"SÍ","",IF(IF(BJ11&lt;=0,0,IF((1-2*BJ11*1E5/(DATOS!$C$29*AG11*CJ11^2*DATOS!$C$21))&lt;0,-1,IF((1-SQRT((1-2*BJ11*1E5/(DATOS!$C$29*AG11*CJ11^2*DATOS!$C$21))))*DATOS!$C$21*AG11*CJ11/DATOS!$C$14&gt;DATOS!$C$102*AG11*CJ11,-1,(1-SQRT((1-2*BJ11*1E5/(DATOS!$C$29*AG11*CJ11^2*DATOS!$C$21))))*DATOS!$C$21*AG11*CJ11/DATOS!$C$14)))&lt;0,-1,MAX(IF(BJ11&lt;=0,0,IF((1-2*BJ11*1E5/(DATOS!$C$29*AG11*CJ11^2*DATOS!$C$21))&lt;0,-1,IF((1-SQRT((1-2*BJ11*1E5/(DATOS!$C$29*AG11*CJ11^2*DATOS!$C$21))))*DATOS!$C$21*AG11*CJ11/DATOS!$C$14&gt;DATOS!$C$102*AG11*CJ11,-1,(1-SQRT((1-2*BJ11*1E5/(DATOS!$C$29*AG11*CJ11^2*DATOS!$C$21))))*DATOS!$C$21*AG11*CJ11/DATOS!$C$14))),MIN(DATOS!$C$103*DATOS!$C$83*CJ11,4/3*IF(BJ11&lt;=0,0,IF((1-2*BJ11*1E5/(DATOS!$C$29*AG11*CJ11^2*DATOS!$C$21))&lt;0,-1,IF((1-SQRT((1-2*BJ11*1E5/(DATOS!$C$29*AG11*CJ11^2*DATOS!$C$21))))*DATOS!$C$21*AG11*CJ11/DATOS!$C$14&gt;DATOS!$C$102*AG11*CJ11,-1,(1-SQRT((1-2*BJ11*1E5/(DATOS!$C$29*AG11*CJ11^2*DATOS!$C$21))))*DATOS!$C$21*AG11*CJ11/DATOS!$C$14)))))))</f>
        <v>0.864408651211316</v>
      </c>
      <c r="CL11" s="64">
        <f>IF(V11&lt;&gt;"SÍ","",IF(AND(CK11&gt;=0,IF(MAX(DATOS!$C$74,CEILING(CK11/INDEX(TABLAS!$D$52:$D$58,MIN(MATCH(MAX(4,DATOS!$C$72),TABLAS!$B$52:$B$58,0)+0,7)),1))*INDEX(TABLAS!$D$52:$D$58,MIN(MATCH(MAX(4,DATOS!$C$72),TABLAS!$B$52:$B$58,0)+0,7)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+0,7)),1)),MAX(MAX(DATOS!$C$74,CEILING(CK11/INDEX(TABLAS!$D$52:$D$58,MIN(MATCH(MAX(4,DATOS!$C$72),TABLAS!$B$52:$B$58,0)+0,7)),1)),2))&lt;=MIN(DATOS!$C$73,INT(((DATOS!$C$83-2*AL11)+MAX(DATOS!$C$70,INDEX(TABLAS!$C$52:$C$58,MIN(MATCH(MAX(4,DATOS!$C$72),TABLAS!$B$52:$B$58,0)+0,7))))/(INDEX(TABLAS!$C$52:$C$58,MIN(MATCH(MAX(4,DATOS!$C$72),TABLAS!$B$52:$B$58,0)+0,7))+MAX(DATOS!$C$70,INDEX(TABLAS!$C$52:$C$58,MIN(MATCH(MAX(4,DATOS!$C$72),TABLAS!$B$52:$B$58,0)+0,7))))))),INDEX(TABLAS!$B$52:$B$58,MIN(MATCH(MAX(4,DATOS!$C$72),TABLAS!$B$52:$B$58,0)+0,7)),IF(AND(CK11&gt;=0,IF(MAX(DATOS!$C$74,CEILING(CK11/INDEX(TABLAS!$D$52:$D$58,MIN(MATCH(MAX(4,DATOS!$C$72),TABLAS!$B$52:$B$58,0)+1,7)),1))*INDEX(TABLAS!$D$52:$D$58,MIN(MATCH(MAX(4,DATOS!$C$72),TABLAS!$B$52:$B$58,0)+1,7)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+1,7)),1)),MAX(MAX(DATOS!$C$74,CEILING(CK11/INDEX(TABLAS!$D$52:$D$58,MIN(MATCH(MAX(4,DATOS!$C$72),TABLAS!$B$52:$B$58,0)+1,7)),1)),2))&lt;=MIN(DATOS!$C$73,INT(((DATOS!$C$83-2*AL11)+MAX(DATOS!$C$70,INDEX(TABLAS!$C$52:$C$58,MIN(MATCH(MAX(4,DATOS!$C$72),TABLAS!$B$52:$B$58,0)+1,7))))/(INDEX(TABLAS!$C$52:$C$58,MIN(MATCH(MAX(4,DATOS!$C$72),TABLAS!$B$52:$B$58,0)+1,7))+MAX(DATOS!$C$70,INDEX(TABLAS!$C$52:$C$58,MIN(MATCH(MAX(4,DATOS!$C$72),TABLAS!$B$52:$B$58,0)+1,7))))))),INDEX(TABLAS!$B$52:$B$58,MIN(MATCH(MAX(4,DATOS!$C$72),TABLAS!$B$52:$B$58,0)+1,7)),IF(AND(CK11&gt;=0,IF(MAX(DATOS!$C$74,CEILING(CK11/INDEX(TABLAS!$D$52:$D$58,MIN(MATCH(MAX(4,DATOS!$C$72),TABLAS!$B$52:$B$58,0)+2,7)),1))*INDEX(TABLAS!$D$52:$D$58,MIN(MATCH(MAX(4,DATOS!$C$72),TABLAS!$B$52:$B$58,0)+2,7)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+2,7)),1)),MAX(MAX(DATOS!$C$74,CEILING(CK11/INDEX(TABLAS!$D$52:$D$58,MIN(MATCH(MAX(4,DATOS!$C$72),TABLAS!$B$52:$B$58,0)+2,7)),1)),2))&lt;=MIN(DATOS!$C$73,INT(((DATOS!$C$83-2*AL11)+MAX(DATOS!$C$70,INDEX(TABLAS!$C$52:$C$58,MIN(MATCH(MAX(4,DATOS!$C$72),TABLAS!$B$52:$B$58,0)+2,7))))/(INDEX(TABLAS!$C$52:$C$58,MIN(MATCH(MAX(4,DATOS!$C$72),TABLAS!$B$52:$B$58,0)+2,7))+MAX(DATOS!$C$70,INDEX(TABLAS!$C$52:$C$58,MIN(MATCH(MAX(4,DATOS!$C$72),TABLAS!$B$52:$B$58,0)+2,7))))))),INDEX(TABLAS!$B$52:$B$58,MIN(MATCH(MAX(4,DATOS!$C$72),TABLAS!$B$52:$B$58,0)+2,7)),IF(AND(CK11&gt;=0,IF(MAX(DATOS!$C$74,CEILING(CK11/INDEX(TABLAS!$D$52:$D$58,MIN(MATCH(MAX(4,DATOS!$C$72),TABLAS!$B$52:$B$58,0)+3,7)),1))*INDEX(TABLAS!$D$52:$D$58,MIN(MATCH(MAX(4,DATOS!$C$72),TABLAS!$B$52:$B$58,0)+3,7)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+3,7)),1)),MAX(MAX(DATOS!$C$74,CEILING(CK11/INDEX(TABLAS!$D$52:$D$58,MIN(MATCH(MAX(4,DATOS!$C$72),TABLAS!$B$52:$B$58,0)+3,7)),1)),2))&lt;=MIN(DATOS!$C$73,INT(((DATOS!$C$83-2*AL11)+MAX(DATOS!$C$70,INDEX(TABLAS!$C$52:$C$58,MIN(MATCH(MAX(4,DATOS!$C$72),TABLAS!$B$52:$B$58,0)+3,7))))/(INDEX(TABLAS!$C$52:$C$58,MIN(MATCH(MAX(4,DATOS!$C$72),TABLAS!$B$52:$B$58,0)+3,7))+MAX(DATOS!$C$70,INDEX(TABLAS!$C$52:$C$58,MIN(MATCH(MAX(4,DATOS!$C$72),TABLAS!$B$52:$B$58,0)+3,7))))))),INDEX(TABLAS!$B$52:$B$58,MIN(MATCH(MAX(4,DATOS!$C$72),TABLAS!$B$52:$B$58,0)+3,7)),IF(AND(CK11&gt;=0,IF(MAX(DATOS!$C$74,CEILING(CK11/INDEX(TABLAS!$D$52:$D$58,MIN(MATCH(MAX(4,DATOS!$C$72),TABLAS!$B$52:$B$58,0)+4,7)),1))*INDEX(TABLAS!$D$52:$D$58,MIN(MATCH(MAX(4,DATOS!$C$72),TABLAS!$B$52:$B$58,0)+4,7)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+4,7)),1)),MAX(MAX(DATOS!$C$74,CEILING(CK11/INDEX(TABLAS!$D$52:$D$58,MIN(MATCH(MAX(4,DATOS!$C$72),TABLAS!$B$52:$B$58,0)+4,7)),1)),2))&lt;=MIN(DATOS!$C$73,INT(((DATOS!$C$83-2*AL11)+MAX(DATOS!$C$70,INDEX(TABLAS!$C$52:$C$58,MIN(MATCH(MAX(4,DATOS!$C$72),TABLAS!$B$52:$B$58,0)+4,7))))/(INDEX(TABLAS!$C$52:$C$58,MIN(MATCH(MAX(4,DATOS!$C$72),TABLAS!$B$52:$B$58,0)+4,7))+MAX(DATOS!$C$70,INDEX(TABLAS!$C$52:$C$58,MIN(MATCH(MAX(4,DATOS!$C$72),TABLAS!$B$52:$B$58,0)+4,7))))))),INDEX(TABLAS!$B$52:$B$58,MIN(MATCH(MAX(4,DATOS!$C$72),TABLAS!$B$52:$B$58,0)+4,7)),INDEX(TABLAS!$B$52:$B$58,7)))))))</f>
        <v>4</v>
      </c>
      <c r="CM11" s="59">
        <f>IF(V11&lt;&gt;"SÍ","",IF(CK11&lt;0,0,IF(MAX(DATOS!$C$74,CEILING(MAX(CK11,0)/INDEX(TABLAS!$D$52:$D$58,MATCH(CL11,TABLAS!$B$52:$B$58,0)),1))*INDEX(TABLAS!$D$52:$D$58,MATCH(CL11,TABLAS!$B$52:$B$58,0))&gt;=4/3*IF(BJ11&lt;=0,0,IF((1-2*BJ11*1E5/(DATOS!$C$29*AG11*CJ11^2*DATOS!$C$21))&lt;0,-1,IF((1-SQRT((1-2*BJ11*1E5/(DATOS!$C$29*AG11*CJ11^2*DATOS!$C$21))))*DATOS!$C$21*AG11*CJ11/DATOS!$C$14&gt;DATOS!$C$102*AG11*CJ11,-1,(1-SQRT((1-2*BJ11*1E5/(DATOS!$C$29*AG11*CJ11^2*DATOS!$C$21))))*DATOS!$C$21*AG11*CJ11/DATOS!$C$14)))-0.0001,MAX(DATOS!$C$74,CEILING(MAX(CK11,0)/INDEX(TABLAS!$D$52:$D$58,MATCH(CL11,TABLAS!$B$52:$B$58,0)),1)),MAX(MAX(DATOS!$C$74,CEILING(MAX(CK11,0)/INDEX(TABLAS!$D$52:$D$58,MATCH(CL11,TABLAS!$B$52:$B$58,0)),1)),2))))</f>
        <v>1</v>
      </c>
      <c r="CN11" s="58">
        <f>IF(V11&lt;&gt;"SÍ","",((DATOS!$C$85-AM11-2*DATOS!$C$97-INDEX(TABLAS!$C$52:$C$58,MATCH(BV11,TABLAS!$B$52:$B$58,0))-INDEX(TABLAS!$C$52:$C$58,MATCH(CL11,TABLAS!$B$52:$B$58,0))/2)-IF(AND((DATOS!$C$85-AM11-2*DATOS!$C$97-INDEX(TABLAS!$C$52:$C$58,MATCH(BV11,TABLAS!$B$52:$B$58,0))-INDEX(TABLAS!$C$52:$C$58,MATCH(CL11,TABLAS!$B$52:$B$58,0))/2)&lt;=20,DATOS!$C$65&lt;&gt;"SÍ"),2,0)))</f>
        <v>19.523</v>
      </c>
      <c r="CO11" s="56">
        <f>IF(V11&lt;&gt;"SÍ","",IF(CM11=0,0,DATOS!$C$29*CM11*INDEX(TABLAS!$D$52:$D$58,MATCH(CL11,TABLAS!$B$52:$B$58,0))*DATOS!$C$14*(CN11-CM11*INDEX(TABLAS!$D$52:$D$58,MATCH(CL11,TABLAS!$B$52:$B$58,0))*DATOS!$C$14/(DATOS!$C$21*AG11)/2)/1E5))</f>
        <v>0.876970784117647</v>
      </c>
      <c r="CP11" s="65">
        <f>IF(V11&lt;&gt;"SÍ","",IF(CK11&lt;0,9.99,IF(CO11&gt;0,BJ11/CO11,0)))</f>
        <v>0.69557068769697</v>
      </c>
      <c r="CQ11" s="66">
        <f>IF(V11&lt;&gt;"SÍ","",IF(CM11=0,"—",0.003*(CN11-(CM11*INDEX(TABLAS!$D$52:$D$58,MATCH(CL11,TABLAS!$B$52:$B$58,0))*DATOS!$C$14/(DATOS!$C$21*AG11)/DATOS!$C$22))/(CM11*INDEX(TABLAS!$D$52:$D$58,MATCH(CL11,TABLAS!$B$52:$B$58,0))*DATOS!$C$14/(DATOS!$C$21*AG11)/DATOS!$C$22)))</f>
        <v>0.0168331938976378</v>
      </c>
      <c r="CR11" s="56">
        <f>IF(V11&lt;&gt;"SÍ","",IF(C11="PERIMETRAL",MAX(0,(AB11/2-BX11)/100)*(0.95-0.5*AA11)*AR11*IF(AND(AS11&gt;0,AS11&lt;4),DATOS!$C$33,1)*DATOS!$C$86/100/1000,(AR11*MAX(0,AB11-BX11)/100+DATOS!$C$26*N(O11))*DATOS!$C$86/100/1000+BF11))</f>
        <v>0.744429507891882</v>
      </c>
      <c r="CS11" s="56">
        <f>IF(V11&lt;&gt;"SÍ","",DATOS!$C$30*2*MIN(1,SQRT(2/(1+0.04*BX11)))*(BW11*INDEX(TABLAS!$D$52:$D$58,MATCH(BV11,TABLAS!$B$52:$B$58,0))/(AF11*BX11))^(1/3)*SQRT(DATOS!$C$13)*AF11*BX11*IF(AJ11="SÍ",DATOS!$C$32,1)/1000)</f>
        <v>1.24932843041203</v>
      </c>
      <c r="CT11" s="59">
        <f>IF(V11&lt;&gt;"SÍ","",IF(CR11&lt;=CS11,0,CEILING(MAX(0,IF(C11="VOLADO",(AB11-((CS11-BF11)*1E5/DATOS!$C$86-DATOS!$C$26*N(O11))*100/AR11),IF(CS11&lt;=0,AB11,AB11/2-CS11/MAX(CR11,1E-9)*(AB11/2-BX11)))-IF(X11="X",MIN(DJ11,DK11),MIN(DL11,DM11)))/DATOS!$C$86,1)))</f>
        <v>0</v>
      </c>
      <c r="CU11" s="67" t="str">
        <f>IF(V11&lt;&gt;"SÍ","",IF(CR11&lt;=CS11,"CUMPLE",IF(CT11&lt;=0,"CUMPLE (basta el macizo de orilla)",IF(CT11*DATOS!$C$86*IF(C11="VOLADO",1,2)&gt;=Y11*100-DATOS!$C$87,"NO CUMPLE: no alcanza ni macizando todo","MACIZAR "&amp;CT11&amp;" hilera(s)"))))</f>
        <v>CUMPLE</v>
      </c>
      <c r="CV11" s="58">
        <f>IF(V11&lt;&gt;"SÍ","",(DATOS!$C$86*DATOS!$C$84^2/2+MIN(DATOS!$C$83,AD11)*DATOS!$C$82*(DATOS!$C$84+DATOS!$C$82/2))/(DATOS!$C$86*DATOS!$C$84+MIN(DATOS!$C$83,AD11)*DATOS!$C$82))</f>
        <v>6.89344262295082</v>
      </c>
      <c r="CW11" s="68">
        <f>IF(V11&lt;&gt;"SÍ","",DATOS!$C$86*DATOS!$C$84^3/12+DATOS!$C$86*DATOS!$C$84*(CV11-DATOS!$C$84/2)^2+MIN(DATOS!$C$83,AD11)*DATOS!$C$82^3/12+MIN(DATOS!$C$83,AD11)*DATOS!$C$82*(DATOS!$C$84+DATOS!$C$82/2-CV11)^2)</f>
        <v>27416.4071038251</v>
      </c>
      <c r="CX11" s="58">
        <f>IF(V11&lt;&gt;"SÍ","",(12*CW11/DATOS!$C$86)^(1/3))</f>
        <v>16.7506339743859</v>
      </c>
      <c r="CY11" s="58">
        <f>IF(V11&lt;&gt;"SÍ","",IF(C11="PERIMETRAL",IF(ISNUMBER(S11),S11,DATOS!$C$104),0))</f>
        <v>99</v>
      </c>
      <c r="CZ11" s="57">
        <f>IF(V11&lt;&gt;"SÍ","",IF(C11="PERIMETRAL",IF(CY11&gt;2,MAX(9,AC11*(0.8+DATOS!$C$14/14000)/(36+9*(AC11/MAX(AB11,1)))),IF(CY11&gt;0.2,MAX(13,AC11*(0.8+DATOS!$C$14/14000)/(36+5*(AC11/MAX(AB11,1))*(CY11-0.2))),MAX(13,AC11/IF(AS11&gt;0,30,33))))*IF(AND(CY11&gt;0.2,AS11&gt;0,DATOS!$C$105="NO"),1.1,1),MAX(25,Y11*100/8*(0.4+DATOS!$C$14/7000))))</f>
        <v>11.3934659971483</v>
      </c>
      <c r="DA11" s="61" t="str">
        <f>IF(V11&lt;&gt;"SÍ","",IF(IF(C11="VOLADO",DATOS!$C$85,CX11)&gt;=CZ11,"CUMPLE",IF(C11="VOLADO","NO CUMPLE","CALCULAR FLECHA")))</f>
        <v>CUMPLE</v>
      </c>
      <c r="DB11" s="55" t="str">
        <f>IF(V11&lt;&gt;"SÍ","",IF(DATOS!$C$84&gt;=IF(IF(C11="VOLADO",Y11,Z11)&gt;=6,6,5),"CUMPLE","CAPA ≥ 6 cm"))</f>
        <v>CUMPLE</v>
      </c>
      <c r="DC11" s="60">
        <f>IF(V11&lt;&gt;"SÍ","",IF(C11="VOLADO",MIN(FLOOR(IF(ISNUMBER(P11),P11,Y11)*100-DATOS!$C$63,5),CEILING(MAX(IF((0.5*(0.9*DATOS!$C$90*DATOS!$C$86/100/1000)*IF(ISNUMBER(P11),P11,Y11)+BH11/IF(ISNUMBER(P11),P11,Y11))^2-4*(0.5*(0.9*DATOS!$C$90*DATOS!$C$86/100/1000))*BH11&lt;0,IF(ISNUMBER(P11),P11,Y11),MIN(IF(ISNUMBER(P11),P11,Y11),((0.5*(0.9*DATOS!$C$90*DATOS!$C$86/100/1000)*IF(ISNUMBER(P11),P11,Y11)+BH11/IF(ISNUMBER(P11),P11,Y11))-SQRT((0.5*(0.9*DATOS!$C$90*DATOS!$C$86/100/1000)*IF(ISNUMBER(P11),P11,Y11)+BH11/IF(ISNUMBER(P11),P11,Y11))^2-4*(0.5*(0.9*DATOS!$C$90*DATOS!$C$86/100/1000))*BH11))/(2*(0.5*(0.9*DATOS!$C$90*DATOS!$C$86/100/1000)))))*100+MAX(BX11,12*INDEX(TABLAS!$C$52:$C$58,MATCH(BV11,TABLAS!$B$52:$B$58,0)),IF(ISNUMBER(P11),P11,Y11)*100/16),IF(OR(AL11&lt;INDEX(TABLAS!$C$52:$C$58,MATCH(BV11,TABLAS!$B$52:$B$58,0)),AND(BW11&gt;=2,(AD11-2*AL11-BW11*INDEX(TABLAS!$C$52:$C$58,MATCH(BV11,TABLAS!$B$52:$B$58,0)))/MAX(BW11-1,1)&lt;2*INDEX(TABLAS!$C$52:$C$58,MATCH(BV11,TABLAS!$B$52:$B$58,0)))),INDEX(TABLAS!$I$52:$I$58,MATCH(BV11,TABLAS!$B$52:$B$58,0)),INDEX(TABLAS!$F$52:$F$58,MATCH(BV11,TABLAS!$B$52:$B$58,0)))),5)),IF(((4*((BC11*AR11*Y11^2*1E-4*DATOS!$C$86/100/1000)+((MAX(AY11,BA11)*AR11*Y11^2*1E-4*DATOS!$C$86/100/1000)+(IF(AND(AY11&gt;0,BA11&gt;0),MIN(AY11,BA11),MAX(AY11,BA11))*AR11*Y11^2*1E-4*DATOS!$C$86/100/1000))/2)+BH11-(IF(AND(AY11&gt;0,BA11&gt;0),MIN(AY11,BA11),MAX(AY11,BA11))*AR11*Y11^2*1E-4*DATOS!$C$86/100/1000))^2-16*((BC11*AR11*Y11^2*1E-4*DATOS!$C$86/100/1000)+((MAX(AY11,BA11)*AR11*Y11^2*1E-4*DATOS!$C$86/100/1000)+(IF(AND(AY11&gt;0,BA11&gt;0),MIN(AY11,BA11),MAX(AY11,BA11))*AR11*Y11^2*1E-4*DATOS!$C$86/100/1000))/2)*BH11)&lt;0,CEILING(AB11,5),CEILING(MAX(AB11*((4*((BC11*AR11*Y11^2*1E-4*DATOS!$C$86/100/1000)+((MAX(AY11,BA11)*AR11*Y11^2*1E-4*DATOS!$C$86/100/1000)+(IF(AND(AY11&gt;0,BA11&gt;0),MIN(AY11,BA11),MAX(AY11,BA11))*AR11*Y11^2*1E-4*DATOS!$C$86/100/1000))/2)+BH11-(IF(AND(AY11&gt;0,BA11&gt;0),MIN(AY11,BA11),MAX(AY11,BA11))*AR11*Y11^2*1E-4*DATOS!$C$86/100/1000))-SQRT(MAX(0,((4*((BC11*AR11*Y11^2*1E-4*DATOS!$C$86/100/1000)+((MAX(AY11,BA11)*AR11*Y11^2*1E-4*DATOS!$C$86/100/1000)+(IF(AND(AY11&gt;0,BA11&gt;0),MIN(AY11,BA11),MAX(AY11,BA11))*AR11*Y11^2*1E-4*DATOS!$C$86/100/1000))/2)+BH11-(IF(AND(AY11&gt;0,BA11&gt;0),MIN(AY11,BA11),MAX(AY11,BA11))*AR11*Y11^2*1E-4*DATOS!$C$86/100/1000))^2-16*((BC11*AR11*Y11^2*1E-4*DATOS!$C$86/100/1000)+((MAX(AY11,BA11)*AR11*Y11^2*1E-4*DATOS!$C$86/100/1000)+(IF(AND(AY11&gt;0,BA11&gt;0),MIN(AY11,BA11),MAX(AY11,BA11))*AR11*Y11^2*1E-4*DATOS!$C$86/100/1000))/2)*BH11))))/(8*MAX(((BC11*AR11*Y11^2*1E-4*DATOS!$C$86/100/1000)+((MAX(AY11,BA11)*AR11*Y11^2*1E-4*DATOS!$C$86/100/1000)+(IF(AND(AY11&gt;0,BA11&gt;0),MIN(AY11,BA11),MAX(AY11,BA11))*AR11*Y11^2*1E-4*DATOS!$C$86/100/1000))/2),1E-9))+MAX(BX11,12*INDEX(TABLAS!$C$52:$C$58,MATCH(BV11,TABLAS!$B$52:$B$58,0)),AB11/16),IF(OR(AL11&lt;INDEX(TABLAS!$C$52:$C$58,MATCH(BV11,TABLAS!$B$52:$B$58,0)),AND(BW11&gt;=2,(AD11-2*AL11-BW11*INDEX(TABLAS!$C$52:$C$58,MATCH(BV11,TABLAS!$B$52:$B$58,0)))/MAX(BW11-1,1)&lt;2*INDEX(TABLAS!$C$52:$C$58,MATCH(BV11,TABLAS!$B$52:$B$58,0)))),INDEX(TABLAS!$I$52:$I$58,MATCH(BV11,TABLAS!$B$52:$B$58,0)),INDEX(TABLAS!$F$52:$F$58,MATCH(BV11,TABLAS!$B$52:$B$58,0)))),5))))</f>
        <v>125</v>
      </c>
      <c r="DD11" s="60">
        <f>IF(V11&lt;&gt;"SÍ","",IF(C11="VOLADO",0,IF(((4*((BD11*AR11*Y11^2*1E-4*DATOS!$C$86/100/1000)+((MAX(AZ11,BB11)*AR11*Y11^2*1E-4*DATOS!$C$86/100/1000)+(IF(AND(AZ11&gt;0,BB11&gt;0),MIN(AZ11,BB11),MAX(AZ11,BB11))*AR11*Y11^2*1E-4*DATOS!$C$86/100/1000))/2)+BJ11-(IF(AND(AZ11&gt;0,BB11&gt;0),MIN(AZ11,BB11),MAX(AZ11,BB11))*AR11*Y11^2*1E-4*DATOS!$C$86/100/1000))^2-16*((BD11*AR11*Y11^2*1E-4*DATOS!$C$86/100/1000)+((MAX(AZ11,BB11)*AR11*Y11^2*1E-4*DATOS!$C$86/100/1000)+(IF(AND(AZ11&gt;0,BB11&gt;0),MIN(AZ11,BB11),MAX(AZ11,BB11))*AR11*Y11^2*1E-4*DATOS!$C$86/100/1000))/2)*BJ11)&lt;0,CEILING(AC11,5),CEILING(MAX(AC11*((4*((BD11*AR11*Y11^2*1E-4*DATOS!$C$86/100/1000)+((MAX(AZ11,BB11)*AR11*Y11^2*1E-4*DATOS!$C$86/100/1000)+(IF(AND(AZ11&gt;0,BB11&gt;0),MIN(AZ11,BB11),MAX(AZ11,BB11))*AR11*Y11^2*1E-4*DATOS!$C$86/100/1000))/2)+BJ11-(IF(AND(AZ11&gt;0,BB11&gt;0),MIN(AZ11,BB11),MAX(AZ11,BB11))*AR11*Y11^2*1E-4*DATOS!$C$86/100/1000))-SQRT(MAX(0,((4*((BD11*AR11*Y11^2*1E-4*DATOS!$C$86/100/1000)+((MAX(AZ11,BB11)*AR11*Y11^2*1E-4*DATOS!$C$86/100/1000)+(IF(AND(AZ11&gt;0,BB11&gt;0),MIN(AZ11,BB11),MAX(AZ11,BB11))*AR11*Y11^2*1E-4*DATOS!$C$86/100/1000))/2)+BJ11-(IF(AND(AZ11&gt;0,BB11&gt;0),MIN(AZ11,BB11),MAX(AZ11,BB11))*AR11*Y11^2*1E-4*DATOS!$C$86/100/1000))^2-16*((BD11*AR11*Y11^2*1E-4*DATOS!$C$86/100/1000)+((MAX(AZ11,BB11)*AR11*Y11^2*1E-4*DATOS!$C$86/100/1000)+(IF(AND(AZ11&gt;0,BB11&gt;0),MIN(AZ11,BB11),MAX(AZ11,BB11))*AR11*Y11^2*1E-4*DATOS!$C$86/100/1000))/2)*BJ11))))/(8*MAX(((BD11*AR11*Y11^2*1E-4*DATOS!$C$86/100/1000)+((MAX(AZ11,BB11)*AR11*Y11^2*1E-4*DATOS!$C$86/100/1000)+(IF(AND(AZ11&gt;0,BB11&gt;0),MIN(AZ11,BB11),MAX(AZ11,BB11))*AR11*Y11^2*1E-4*DATOS!$C$86/100/1000))/2),1E-9))+MAX(CN11,12*INDEX(TABLAS!$C$52:$C$58,MATCH(CL11,TABLAS!$B$52:$B$58,0)),AC11/16),IF(OR(AL11&lt;INDEX(TABLAS!$C$52:$C$58,MATCH(CL11,TABLAS!$B$52:$B$58,0)),AND(CM11&gt;=2,(DATOS!$C$83-2*AL11-CM11*INDEX(TABLAS!$C$52:$C$58,MATCH(CL11,TABLAS!$B$52:$B$58,0)))/MAX(CM11-1,1)&lt;2*INDEX(TABLAS!$C$52:$C$58,MATCH(CL11,TABLAS!$B$52:$B$58,0)))),INDEX(TABLAS!$I$52:$I$58,MATCH(CL11,TABLAS!$B$52:$B$58,0)),INDEX(TABLAS!$F$52:$F$58,MATCH(CL11,TABLAS!$B$52:$B$58,0)))),5))))</f>
        <v>135</v>
      </c>
      <c r="DE11" s="55" t="str">
        <f>IF(V11&lt;&gt;"SÍ","",IF(AND(C11="PERIMETRAL",BW11&gt;=2,AS11-AT11&gt;0,BA11*AR11*Y11^2*1E-4*DATOS!$C$86/100/1000&gt;DATOS!$C$29*INDEX(TABLAS!$D$52:$D$58,MATCH(BV11,TABLAS!$B$52:$B$58,0))*DATOS!$C$14*(BX11-INDEX(TABLAS!$D$52:$D$58,MATCH(BV11,TABLAS!$B$52:$B$58,0))*DATOS!$C$14/(DATOS!$C$21*AF11)/2)/1E5),"SÍ","NO"))</f>
        <v>NO</v>
      </c>
      <c r="DF11" s="55" t="str">
        <f>IF(V11&lt;&gt;"SÍ","",IF(AND(C11="PERIMETRAL",CM11&gt;=2,AT11&gt;0,BB11*AR11*Y11^2*1E-4*DATOS!$C$86/100/1000&gt;DATOS!$C$29*INDEX(TABLAS!$D$52:$D$58,MATCH(CL11,TABLAS!$B$52:$B$58,0))*DATOS!$C$14*(CN11-INDEX(TABLAS!$D$52:$D$58,MATCH(CL11,TABLAS!$B$52:$B$58,0))*DATOS!$C$14/(DATOS!$C$21*AG11)/2)/1E5),"SÍ","NO"))</f>
        <v>NO</v>
      </c>
      <c r="DG11" s="63" t="str">
        <f>IF(V11&lt;&gt;"SÍ","",IF(OR(C11="VOLADO",AS11=0),"—",IF(AND(AND(1.25*INDEX(TABLAS!$G$52:$G$58,MATCH(MAX(BN11,CD11),TABLAS!$B$52:$B$58,0))&lt;=(DATOS!$C$75-DATOS!$C$63),(DATOS!$C$75-DATOS!$C$63)&gt;=15,INDEX(TABLAS!$G$52:$G$58,MATCH(MAX(BV11,CL11),TABLAS!$B$52:$B$58,0))&lt;=(DATOS!$C$75-DATOS!$C$63)),8*INDEX(TABLAS!$C$52:$C$58,MATCH(MAX(MAX(BN11,CD11),MAX(BV11,CL11)),TABLAS!$B$52:$B$58,0))&lt;=DATOS!$C$76-2*DATOS!$C$63),"CUMPLE (gancho de 180°)",IF(AND(1.25*INDEX(TABLAS!$G$52:$G$58,MATCH(MAX(BN11,CD11),TABLAS!$B$52:$B$58,0))&lt;=(DATOS!$C$75-DATOS!$C$63),(DATOS!$C$75-DATOS!$C$63)&gt;=15,INDEX(TABLAS!$G$52:$G$58,MATCH(MAX(BV11,CL11),TABLAS!$B$52:$B$58,0))&lt;=(DATOS!$C$75-DATOS!$C$63)),"NO CUMPLE: el gancho de 180° (8·d_b) no cabe en el peralte de la dala de borde","NO CUMPLE: dala de borde ≥ "&amp;TEXT(CEILING(MAX(1.25*INDEX(TABLAS!$G$52:$G$58,MATCH(MAX(BN11,CD11),TABLAS!$B$52:$B$58,0)),15,INDEX(TABLAS!$G$52:$G$58,MATCH(MAX(BV11,CL11),TABLAS!$B$52:$B$58,0)))+DATOS!$C$63,5),"0")&amp;" cm de ancho"&amp;IF(8*INDEX(TABLAS!$C$52:$C$58,MATCH(MAX(MAX(BN11,CD11),MAX(BV11,CL11)),TABLAS!$B$52:$B$58,0))&lt;=DATOS!$C$76-2*DATOS!$C$63,""," y más peralte para el gancho")))))</f>
        <v>CUMPLE (gancho de 180°)</v>
      </c>
      <c r="DH11" s="59">
        <f>IF(V11&lt;&gt;"SÍ","",MAX(0,INT((E11*100-DATOS!$C$87-IF(AND(C11="PERIMETRAL",I11="DISCONTINUO"),MAX(0,DATOS!$C$75-DATOS!$C$87),0)-IF(AND(C11="PERIMETRAL",J11="DISCONTINUO"),MAX(0,DATOS!$C$75-DATOS!$C$87),0)+DATOS!$C$86-IF(X11="X",DATOS!$C$81,AE11))/DATOS!$C$86)))</f>
        <v>5</v>
      </c>
      <c r="DI11" s="59">
        <f>IF(V11&lt;&gt;"SÍ","",MAX(0,INT((F11*100-DATOS!$C$87-IF(AND(C11="PERIMETRAL",G11="DISCONTINUO"),MAX(0,DATOS!$C$75-DATOS!$C$87),0)-IF(AND(C11="PERIMETRAL",H11="DISCONTINUO"),MAX(0,DATOS!$C$75-DATOS!$C$87),0)+DATOS!$C$86-IF(X11="Y",DATOS!$C$81,AE11))/DATOS!$C$86)))</f>
        <v>6</v>
      </c>
      <c r="DJ11" s="57">
        <f>IF(V11&lt;&gt;"SÍ","",IF(DH11&gt;0,IF(AND(C11="PERIMETRAL",I11="DISCONTINUO"),MAX(0,DATOS!$C$75-DATOS!$C$87),0)+(E11*100-DATOS!$C$87-IF(AND(C11="PERIMETRAL",I11="DISCONTINUO"),MAX(0,DATOS!$C$75-DATOS!$C$87),0)-IF(AND(C11="PERIMETRAL",J11="DISCONTINUO"),MAX(0,DATOS!$C$75-DATOS!$C$87),0)-(DH11*IF(X11="X",DATOS!$C$81,AE11)+(DH11-1)*(DATOS!$C$86-IF(X11="X",DATOS!$C$81,AE11))))/2,E11*100/2))</f>
        <v>51.35</v>
      </c>
      <c r="DK11" s="57">
        <f>IF(V11&lt;&gt;"SÍ","",IF(DH11&gt;0,IF(AND(C11="PERIMETRAL",J11="DISCONTINUO"),MAX(0,DATOS!$C$75-DATOS!$C$87),0)+(E11*100-DATOS!$C$87-IF(AND(C11="PERIMETRAL",I11="DISCONTINUO"),MAX(0,DATOS!$C$75-DATOS!$C$87),0)-IF(AND(C11="PERIMETRAL",J11="DISCONTINUO"),MAX(0,DATOS!$C$75-DATOS!$C$87),0)-(DH11*IF(X11="X",DATOS!$C$81,AE11)+(DH11-1)*(DATOS!$C$86-IF(X11="X",DATOS!$C$81,AE11))))/2,E11*100/2))</f>
        <v>26.35</v>
      </c>
      <c r="DL11" s="57">
        <f>IF(V11&lt;&gt;"SÍ","",IF(DI11&gt;0,IF(AND(C11="PERIMETRAL",G11="DISCONTINUO"),MAX(0,DATOS!$C$75-DATOS!$C$87),0)+(F11*100-DATOS!$C$87-IF(AND(C11="PERIMETRAL",G11="DISCONTINUO"),MAX(0,DATOS!$C$75-DATOS!$C$87),0)-IF(AND(C11="PERIMETRAL",H11="DISCONTINUO"),MAX(0,DATOS!$C$75-DATOS!$C$87),0)-(DI11*IF(X11="Y",DATOS!$C$81,AE11)+(DI11-1)*(DATOS!$C$86-IF(X11="Y",DATOS!$C$81,AE11))))/2,F11*100/2))</f>
        <v>22.5</v>
      </c>
      <c r="DM11" s="57">
        <f>IF(V11&lt;&gt;"SÍ","",IF(DI11&gt;0,IF(AND(C11="PERIMETRAL",H11="DISCONTINUO"),MAX(0,DATOS!$C$75-DATOS!$C$87),0)+(F11*100-DATOS!$C$87-IF(AND(C11="PERIMETRAL",G11="DISCONTINUO"),MAX(0,DATOS!$C$75-DATOS!$C$87),0)-IF(AND(C11="PERIMETRAL",H11="DISCONTINUO"),MAX(0,DATOS!$C$75-DATOS!$C$87),0)-(DI11*IF(X11="Y",DATOS!$C$81,AE11)+(DI11-1)*(DATOS!$C$86-IF(X11="Y",DATOS!$C$81,AE11))))/2,F11*100/2))</f>
        <v>47.5</v>
      </c>
      <c r="DN11" s="59">
        <f>IF(V11&lt;&gt;"SÍ","",IF(NOT(AND(C11="VOLADO",AD11&gt;DATOS!$C$83)),0,IF(INDEX(TABLAS!$C$52:$C$58,MATCH(BV11,TABLAS!$B$52:$B$58,0))&lt;=DATOS!$C$83-2*DATOS!$C$63,1,0)))</f>
        <v>0</v>
      </c>
      <c r="DO11" s="58">
        <f>IF(V11&lt;&gt;"SÍ","",IF(NOT(AND(C11="VOLADO",AD11&gt;DATOS!$C$83)),0,((DATOS!$C$85-MAX(DATOS!$C$63,(DATOS!$C$84-2*DATOS!$C$97)/2)-2*DATOS!$C$97-INDEX(TABLAS!$C$52:$C$58,MATCH(MAX(4,DATOS!$C$72),TABLAS!$B$52:$B$58,0))-INDEX(TABLAS!$C$52:$C$58,MATCH(BV11,TABLAS!$B$52:$B$58,0))/2)-IF(AND((DATOS!$C$85-MAX(DATOS!$C$63,(DATOS!$C$84-2*DATOS!$C$97)/2)-2*DATOS!$C$97-INDEX(TABLAS!$C$52:$C$58,MATCH(MAX(4,DATOS!$C$72),TABLAS!$B$52:$B$58,0))-INDEX(TABLAS!$C$52:$C$58,MATCH(BV11,TABLAS!$B$52:$B$58,0))/2)&lt;=20,DATOS!$C$65&lt;&gt;"SÍ"),2,0))))</f>
        <v>0</v>
      </c>
      <c r="DP11" s="56">
        <f>IF(V11&lt;&gt;"SÍ","",IF(OR(NOT(AND(C11="VOLADO",AD11&gt;DATOS!$C$83)),DN11&lt;1),0,IF(0.003*(DO11-((DN11*INDEX(TABLAS!$D$52:$D$58,MATCH(BV11,TABLAS!$B$52:$B$58,0)))*DATOS!$C$14/(DATOS!$C$21*AG11)/DATOS!$C$22))/((DN11*INDEX(TABLAS!$D$52:$D$58,MATCH(BV11,TABLAS!$B$52:$B$58,0)))*DATOS!$C$14/(DATOS!$C$21*AG11)/DATOS!$C$22)&lt;0.005,0,DATOS!$C$29*(DN11*INDEX(TABLAS!$D$52:$D$58,MATCH(BV11,TABLAS!$B$52:$B$58,0)))*DATOS!$C$14*(DO11-(DN11*INDEX(TABLAS!$D$52:$D$58,MATCH(BV11,TABLAS!$B$52:$B$58,0)))*DATOS!$C$14/(DATOS!$C$21*AG11)/2)/1E5)))</f>
        <v>0</v>
      </c>
      <c r="DQ11" s="56">
        <f>IF(V11&lt;&gt;"SÍ","",IF(OR(NOT(AND(C11="VOLADO",AD11&gt;DATOS!$C$83)),DN11&lt;1),0,DATOS!$C$30*2*MIN(1,SQRT(2/(1+0.04*DO11)))*((DN11*INDEX(TABLAS!$D$52:$D$58,MATCH(BV11,TABLAS!$B$52:$B$58,0)))/(AG11*DO11))^(1/3)*SQRT(DATOS!$C$13)*AG11*DO11/1000))</f>
        <v>0</v>
      </c>
      <c r="DR11" s="56">
        <f>IF(V11&lt;&gt;"SÍ","",IF(NOT(AND(C11="VOLADO",AD11&gt;DATOS!$C$83)),0,IF((BH11-DP11)&lt;=0,0,IF(DP11&lt;=0,IF(ISNUMBER(P11),P11,Y11),IF(((0.9*DATOS!$C$90*DATOS!$C$86/100/1000)*IF(ISNUMBER(P11),P11,Y11)/2+BH11/IF(ISNUMBER(P11),P11,Y11))^2-4*((0.9*DATOS!$C$90*DATOS!$C$86/100/1000)/2)*(BH11-DP11)&lt;0,IF(ISNUMBER(P11),P11,Y11),MIN(IF(ISNUMBER(P11),P11,Y11),(((0.9*DATOS!$C$90*DATOS!$C$86/100/1000)*IF(ISNUMBER(P11),P11,Y11)/2+BH11/IF(ISNUMBER(P11),P11,Y11))-SQRT(((0.9*DATOS!$C$90*DATOS!$C$86/100/1000)*IF(ISNUMBER(P11),P11,Y11)/2+BH11/IF(ISNUMBER(P11),P11,Y11))^2-4*((0.9*DATOS!$C$90*DATOS!$C$86/100/1000)/2)*(BH11-DP11)))/(2*((0.9*DATOS!$C$90*DATOS!$C$86/100/1000)/2))))))))</f>
        <v>0</v>
      </c>
      <c r="DS11" s="56">
        <f>IF(V11&lt;&gt;"SÍ","",IF(NOT(AND(C11="VOLADO",AD11&gt;DATOS!$C$83)),0,IF(DQ11&lt;=(BH11/((IF(ISNUMBER(P11),P11,Y11)*100-DATOS!$C$87)/100)),IF(ISNUMBER(P11),P11,Y11),MIN(IF(ISNUMBER(P11),P11,Y11),MAX(0,(IF(ISNUMBER(P11),P11,Y11)*100-DATOS!$C$87)/200-(DQ11-(BH11/((IF(ISNUMBER(P11),P11,Y11)*100-DATOS!$C$87)/100)))/((0.95-0.5*IF(N(Q11)&gt;0,MIN(IF(ISNUMBER(P11),P11,Y11),Q11)/MAX(IF(ISNUMBER(P11),P11,Y11),Q11),0))*DATOS!$C$33*AR11*DATOS!$C$86/100/1000))))))</f>
        <v>0</v>
      </c>
      <c r="DT11" s="56">
        <f>IF(V11&lt;&gt;"SÍ","",IF(NOT(AND(C11="VOLADO",AD11&gt;DATOS!$C$83)),0,(BH11/((IF(ISNUMBER(P11),P11,Y11)*100-DATOS!$C$87)/100))+((0.95-0.5*IF(N(Q11)&gt;0,MIN(IF(ISNUMBER(P11),P11,Y11),Q11)/MAX(IF(ISNUMBER(P11),P11,Y11),Q11),0))*DATOS!$C$33*AR11*DATOS!$C$86/100/1000)*MAX(0,(IF(ISNUMBER(P11),P11,Y11)*100-DATOS!$C$87)/200-BX11/100)))</f>
        <v>0</v>
      </c>
      <c r="DU11" s="59">
        <f>IF(V11&lt;&gt;"SÍ","",IF(NOT(AND(C11="VOLADO",AD11&gt;DATOS!$C$83)),0,MIN(FLOOR(100*IF(ISNUMBER(P11),P11,Y11)-DATOS!$C$63,5),CEILING(100*MIN(IF(ISNUMBER(P11),P11,Y11),MAX(IF(DR11&gt;0,DR11+IF(BW11&gt;=2,MAX(DO11,12*INDEX(TABLAS!$C$52:$C$58,MATCH(BV11,TABLAS!$B$52:$B$58,0)))/100,0),0),DS11,IF(BW11&gt;=2,INDEX(TABLAS!$F$52:$F$58,MATCH(BV11,TABLAS!$B$52:$B$58,0))/100,0))),5))))</f>
        <v>0</v>
      </c>
      <c r="DV11" s="60">
        <f>IF(V11&lt;&gt;"SÍ","",IF(NOT(AND(C11="VOLADO",AD11&gt;DATOS!$C$83)),0,IF(DU11&lt;=0,0,CEILING(DU11/DATOS!$C$86,1))))</f>
        <v>0</v>
      </c>
      <c r="DW11" s="61" t="str">
        <f>IF(V11&lt;&gt;"SÍ","",IF(C11&lt;&gt;"VOLADO","—",IF(AD11&lt;=DATOS!$C$83,"— (mismo b_w que el respaldo)",IF(DT11&gt;CS11,"NO CUMPLE: cortante de la nervadura ancha junto al apoyo ("&amp;TEXT(DT11,"0.00")&amp;" &gt; "&amp;TEXT(CS11,"0.00")&amp;" t)",IF(DU11&gt;=100*IF(ISNUMBER(P11),P11,Y11),"CUMPLE — todas las nervaduras del respaldo ‖ al volado con b_w = "&amp;AD11&amp;" cm","CUMPLE — "&amp;DV11&amp;" hilera(s) del respaldo con nervaduras de b_w = "&amp;AD11&amp;" cm (casetón "&amp;AE11&amp;" cm), hasta "&amp;TEXT(DU11/100,"0.00")&amp;" m del paño")))))</f>
        <v>—</v>
      </c>
      <c r="DX11" s="69" t="str">
        <f>IF(V11&lt;&gt;"SÍ","",IF(BO11=0,"NO ALCANZA",BO11&amp;" No. "&amp;BN11&amp;IF(BO11&gt;1," corridas"," corrida")))</f>
        <v>1 No. 4 corrida</v>
      </c>
      <c r="DY11" s="69" t="str">
        <f>IF(V11&lt;&gt;"SÍ","",IF(BW11=0,"NO ALCANZA",IF(AND(C11="VOLADO",AD11&gt;DATOS!$C$83,BW11&gt;=2),"1 No. "&amp;BV11&amp;" corrida de la orilla al respaldo ("&amp;IF(DC11&gt;=FLOOR(100*IF(ISNUMBER(P11),P11,Y11)-DATOS!$C$63,5),"hasta su apoyo lejano, con gancho","entra "&amp;TEXT(DC11/100,"0.00")&amp;" m desde el paño")&amp;") + "&amp;(BW11-1)&amp;" bastón No. "&amp;BV11&amp;" hasta "&amp;TEXT(DU11/100,"0.00")&amp;" m del paño (fin de la nervadura ancha)",IF(C11="VOLADO",BW11&amp;" No. "&amp;BV11&amp;" de la orilla al respaldo ("&amp;IF(DC11&gt;=FLOOR(100*IF(ISNUMBER(P11),P11,Y11)-DATOS!$C$63,5),"hasta su apoyo lejano, con gancho","entran "&amp;TEXT(DC11/100,"0.00")&amp;" m desde el paño")&amp;")","1 No. "&amp;BV11&amp;" corrida"&amp;IF(BW11&gt;1," + "&amp;(BW11-1)&amp;" bastón No. "&amp;BV11&amp;" L = "&amp;TEXT(DC11/100,"0.00")&amp;" m desde el paño","")))))</f>
        <v>1 No. 4 corrida + 1 bastón No. 4 L = 1.25 m desde el paño</v>
      </c>
      <c r="DZ11" s="69" t="str">
        <f>IF(V11&lt;&gt;"SÍ","",IF(CE11=0,"NO ALCANZA",CE11&amp;" No. "&amp;CD11&amp;IF(CE11&gt;1," corridas"," corrida")))</f>
        <v>1 No. 4 corrida</v>
      </c>
      <c r="EA11" s="69" t="str">
        <f>IF(V11&lt;&gt;"SÍ","",IF(CM11=0,"NO ALCANZA",IF(C11="VOLADO","1 No. "&amp;CL11&amp;" corrida (repartición)","1 No. "&amp;CL11&amp;" corrida"&amp;IF(CM11&gt;1," + "&amp;(CM11-1)&amp;" bastón No. "&amp;CL11&amp;" L = "&amp;TEXT(DD11/100,"0.00")&amp;" m desde el paño",""))))</f>
        <v>1 No. 4 corrida</v>
      </c>
      <c r="EB11" s="67" t="str">
        <f>IF(B11="","",IF(V11&lt;&gt;"SÍ","FALTAN DATOS: tipo, a_x, a_y, destino y, en volados, L_b",IF(L11="NO MONOLÍTICO (caso II)","FUERA DE ALCANCE: caso II no transcrito",IF(AND(C11="VOLADO",W11="?"),"REVISAR: el volado lleva UN solo borde CONTINUO (el empotrado)",IF(MIN(DH11,DI11)=0,"REVISAR: no cabe un casetón (tablero macizo): diséñalo en MACIZAS",IF(AND(MAX(BR11,BZ11,CH11,CP11)&lt;=1,NOT(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T(OR(AND(ISNUMBER(BS11),BS11&lt;0.005),AND(ISNUMBER(CA11),CA11&lt;0.005),AND(ISNUMBER(CI11),CI11&lt;0.005),AND(ISNUMBER(CQ11),CQ11&lt;0.005))),NOT(LEFT(DW11,2)="NO"),DA11="CUMPLE",DB11="CUMPLE",LEFT(CU11,2)&lt;&gt;"NO",LEFT(DATOS!$C$132,6)="CUMPLE"),IF(LEFT(CU11,6)="CUMPLE","CUMPLE","CUMPLE — "&amp;CU11)&amp;IF(LEFT(BK11,5)="FUERA"," · fuera de 3.4.2.1 c)","")&amp;IF(LEFT(DG11,2)="NO"," · REVISAR anclaje en borde discontinuo","")&amp;IF(DV11&gt;0," · respaldo: "&amp;DV11&amp;" hilera(s) de b_w "&amp;AD11&amp;" cm",""),IF(AND(MAX(BR11,BZ11,CH11,CP11)&lt;=1,NOT(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T(OR(AND(ISNUMBER(BS11),BS11&lt;0.005),AND(ISNUMBER(CA11),CA11&lt;0.005),AND(ISNUMBER(CI11),CI11&lt;0.005),AND(ISNUMBER(CQ11),CQ11&lt;0.005))),NOT(LEFT(DW11,2)="NO"),DA11="CALCULAR FLECHA",LEFT(CU11,2)&lt;&gt;"NO",LEFT(DATOS!$C$132,6)="CUMPLE"),"REVISAR: calcular flecha (h_eq &lt; h mín.)"&amp;IF(LEFT(BK11,5)="FUERA"," · fuera de 3.4.2.1 c)","")&amp;IF(LEFT(DG11,2)="NO"," · REVISAR anclaje en borde discontinuo","")&amp;IF(DV11&gt;0," · respaldo: "&amp;DV11&amp;" hilera(s) de b_w "&amp;AD11&amp;" cm",""),"NO CUMPLE: "&amp;IF(MAX(BR11,BZ11,CH11,CP11)&gt;1,"flexión ","")&amp;IF(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 caben ","")&amp;IF(OR(AND(ISNUMBER(BS11),BS11&lt;0.005),AND(ISNUMBER(CA11),CA11&lt;0.005),AND(ISNUMBER(CI11),CI11&lt;0.005),AND(ISNUMBER(CQ11),CQ11&lt;0.005)),"ε_t &lt; 0.005 ","")&amp;IF(LEFT(CU11,2)="NO","cortante ","")&amp;IF(DA11="NO CUMPLE","peralte ","")&amp;IF(DB11&lt;&gt;"CUMPLE","capa &lt; 6 cm ","")&amp;IF(LEFT(DATOS!$C$132,6)&lt;&gt;"CUMPLE","capa o malla (DATOS sección 7) ","")&amp;IF(LEFT(DW11,2)="NO","respaldo del volado",""))))))))</f>
        <v>CUMPLE</v>
      </c>
      <c r="EC11" s="70" t="str">
        <f>IF(V11&lt;&gt;"SÍ","",IF(LEFT(B11,7)="EJEMPLO","EJEMPLO de la hoja de Casa Rocha: bórralo o sobrescríbelo. ","")&amp;IF(AND(C11="PERIMETRAL",MIN(DH11,DI11)=0),"No cabe un casetón en el claro corto: es un tablero macizo, diséñalo en MACIZAS. ","")&amp;IF(AND(AJ11="NO",C11="PERIMETRAL"),"No cumple 6.7.8.1.4 (a_c = "&amp;MAX(DATOS!$C$81,AE11)&amp;" cm &gt; claro corto/6 = "&amp;TEXT(Y11*100/6,"0")&amp;" cm): se diseña como losa apoyada en vigas (6.7.8.1.9): r de viga = "&amp;DATOS!$C$63&amp;" cm y V_cR sin ×1.1. Para que cuente como encasetonada: casetón de "&amp;TEXT(FLOOR(MIN(80,Y11*100/6),1),"0")&amp;" cm o menor. ","")&amp;IF(C11="VOLADO","Volado de "&amp;TEXT(Y11,"0.00")&amp;" m empotrado en el borde "&amp;LOWER(W11)&amp;IF(N(O11)&gt;0,", con "&amp;TEXT(O11,"0.0")&amp;" kg/m en la orilla","")&amp;". Lecho inferior con r_ext. Si la orilla carga pretil u otro elemento frágil, calcula la flecha (13.4). El acero superior entra al respaldo de "&amp;TEXT(IF(ISNUMBER(P11),P11,Y11),"0.00")&amp;" m"&amp;" hasta pasar M = 0 con 0.9·PP sin carga viva; si ahí no se anula, llega al apoyo lejano y se ancla con gancho (NTC-Criterios 3.4.1 c y 5.1.2.2). "&amp;IF(AD11&gt;DATOS!$C$83,"Respaldo: "&amp;DW11&amp;". ",""),"")&amp;IF(AND(C11="VOLADO",((0.9*DATOS!$C$90*DATOS!$C$86/100/1000)*IF(ISNUMBER(P11),P11,Y11)/2-BH11/IF(ISNUMBER(P11),P11,Y11))&lt;0),"Con 0.9·PP y sin carga viva el apoyo lejano del respaldo levanta (R = "&amp;TEXT(-((0.9*DATOS!$C$90*DATOS!$C$86/100/1000)*IF(ISNUMBER(P11),P11,Y11)/2-BH11/IF(ISNUMBER(P11),P11,Y11)),"0.00")&amp;" t por nervadura): ancla ahí la corrida con gancho y revisa ese apoyo a tensión. ","")&amp;IF(LEFT(BK11,5)="FUERA","El M⁻ del vecino difiere más de 50 % (3.4.2.1 c): distribuye el desequilibrio (3.4.3.1) o confirma con un modelo; se arma con el mayor. ","")&amp;IF(OR(DE11="SÍ",DF11="SÍ"),"El M⁻ del borde discontinuo pide bastón también ahí (con gancho). ","")&amp;IF(LEFT(DG11,2)="NO","Anclaje: "&amp;DG11&amp;" (6.7.8.1.7). ","")&amp;IF(AND(C11="PERIMETRAL",AT11&gt;=1,AS11-AT11&gt;=1),"Esquinas exteriores sobre muro: refuerzo de esquina arriba y abajo en L_largo/5 (6.7.7.3.1). ",""))</f>
        <v>EJEMPLO de la hoja de Casa Rocha: bórralo o sobrescríbelo. Esquinas exteriores sobre muro: refuerzo de esquina arriba y abajo en L_largo/5 (6.7.7.3.1). </v>
      </c>
    </row>
    <row r="12" ht="33" customHeight="1">
      <c r="A12" s="50">
        <f>IF(B12="",0,1)+A11</f>
        <v>4</v>
      </c>
      <c r="B12" s="29" t="inlineStr">
        <is>
          <t>EJEMPLO F80012 (volado)</t>
        </is>
      </c>
      <c r="C12" s="51" t="inlineStr">
        <is>
          <t>VOLADO</t>
        </is>
      </c>
      <c r="D12" s="29" t="inlineStr">
        <is>
          <t>HABITACIÓN</t>
        </is>
      </c>
      <c r="E12" s="52" t="n">
        <v>2</v>
      </c>
      <c r="F12" s="52" t="n">
        <v>3.425</v>
      </c>
      <c r="G12" s="51" t="inlineStr">
        <is>
          <t>DISCONTINUO</t>
        </is>
      </c>
      <c r="H12" s="51" t="inlineStr">
        <is>
          <t>DISCONTINUO</t>
        </is>
      </c>
      <c r="I12" s="51" t="inlineStr">
        <is>
          <t>DISCONTINUO</t>
        </is>
      </c>
      <c r="J12" s="51" t="inlineStr">
        <is>
          <t>CONTINUO</t>
        </is>
      </c>
      <c r="K12" s="51" t="inlineStr">
        <is>
          <t>AUTO</t>
        </is>
      </c>
      <c r="L12" s="51" t="inlineStr">
        <is>
          <t>MONOLÍTICO (caso I)</t>
        </is>
      </c>
      <c r="M12" s="53" t="n">
        <v>210</v>
      </c>
      <c r="N12" s="53" t="n"/>
      <c r="O12" s="54" t="n">
        <v>333.7</v>
      </c>
      <c r="P12" s="52" t="n">
        <v>3.029</v>
      </c>
      <c r="Q12" s="52" t="n"/>
      <c r="R12" s="53" t="n">
        <v>20</v>
      </c>
      <c r="S12" s="54" t="n"/>
      <c r="T12" s="52" t="n"/>
      <c r="U12" s="52" t="n"/>
      <c r="V12" s="55" t="str">
        <f>IF(B12="","",IF(AND(OR(C12="PERIMETRAL",C12="VOLADO"),ISNUMBER(E12),ISNUMBER(F12),E12&gt;0,F12&gt;0,OR(ISNUMBER(N12),ISNUMBER(MATCH(D12,DATOS!$B$46:$B$58,0))),OR(C12&lt;&gt;"VOLADO",N(P12)&gt;0)),"SÍ","NO"))</f>
        <v>SÍ</v>
      </c>
      <c r="W12" s="55" t="str">
        <f>IF(V12&lt;&gt;"SÍ","",IF(C12&lt;&gt;"VOLADO","—",IF(COUNTIF(G12:J12,"CONTINUO")&lt;&gt;1,"?",IF(G12="CONTINUO","INFERIOR",IF(H12="CONTINUO","SUPERIOR",IF(I12="CONTINUO","IZQUIERDO","DERECHO"))))))</f>
        <v>DERECHO</v>
      </c>
      <c r="X12" s="55" t="str">
        <f>IF(V12&lt;&gt;"SÍ","",IF(C12="VOLADO",IF(OR(W12="IZQUIERDO",W12="DERECHO"),"X","Y"),IF(E12&lt;=F12,"X","Y")))</f>
        <v>X</v>
      </c>
      <c r="Y12" s="56">
        <f>IF(V12&lt;&gt;"SÍ","",IF(C12="VOLADO",IF(X12="X",E12,F12),MIN(E12,F12)))</f>
        <v>2</v>
      </c>
      <c r="Z12" s="56">
        <f>IF(V12&lt;&gt;"SÍ","",IF(C12="VOLADO",IF(X12="X",F12,E12),MAX(E12,F12)))</f>
        <v>3.425</v>
      </c>
      <c r="AA12" s="56">
        <f>IF(V12&lt;&gt;"SÍ","",MIN(Y12,Z12)/MAX(Y12,Z12))</f>
        <v>0.583941605839416</v>
      </c>
      <c r="AB12" s="57">
        <f>IF(V12&lt;&gt;"SÍ","",MAX(1,Y12*100-IF(C12="VOLADO",DATOS!$C$87/2,DATOS!$C$87)))</f>
        <v>192.5</v>
      </c>
      <c r="AC12" s="57">
        <f>IF(V12&lt;&gt;"SÍ","",MAX(1,Z12*100-DATOS!$C$87))</f>
        <v>327.5</v>
      </c>
      <c r="AD12" s="57">
        <f>IF(V12&lt;&gt;"SÍ","",IF(ISNUMBER(R12),R12,DATOS!$C$83))</f>
        <v>20</v>
      </c>
      <c r="AE12" s="57">
        <f>IF(V12&lt;&gt;"SÍ","",MAX(0,DATOS!$C$86-AD12))</f>
        <v>50</v>
      </c>
      <c r="AF12" s="57">
        <f>IF(V12&lt;&gt;"SÍ","",IF(OR(DATOS!$C$65="SÍ",AD12&gt;=20),AD12,AD12-2))</f>
        <v>20</v>
      </c>
      <c r="AG12" s="57">
        <f>IF(V12&lt;&gt;"SÍ","",IF(OR(DATOS!$C$65="SÍ",DATOS!$C$83&gt;=20),DATOS!$C$83,DATOS!$C$83-2))</f>
        <v>10</v>
      </c>
      <c r="AH12" s="57">
        <f>IF(V12&lt;&gt;"SÍ","",MIN(DATOS!$C$86,AD12+2*MIN(8*DATOS!$C$84,AE12/2,AB12/8)))</f>
        <v>68.125</v>
      </c>
      <c r="AI12" s="57">
        <f>IF(V12&lt;&gt;"SÍ","",MIN(DATOS!$C$86,DATOS!$C$83+2*MIN(8*DATOS!$C$84,DATOS!$C$81/2,AC12/8)))</f>
        <v>70</v>
      </c>
      <c r="AJ12" s="55" t="str">
        <f>IF(V12&lt;&gt;"SÍ","",IF(AND(C12="PERIMETRAL",Y12*100&gt;=6*MAX(DATOS!$C$81,AE12),MAX(DATOS!$C$81,AE12)&lt;=80,MIN(DATOS!$C$83,AD12)&gt;=10,DATOS!$C$85&lt;=3.5*MIN(DATOS!$C$83,AD12),DATOS!$C$84&gt;=MAX(MAX(DATOS!$C$81,AE12)/13,5)),"SÍ","NO"))</f>
        <v>NO</v>
      </c>
      <c r="AK12" s="57">
        <f>IF(V12&lt;&gt;"SÍ","",IF(C12="VOLADO",DATOS!$C$64,IF(AJ12="NO",DATOS!$C$63,DATOS!$C$62)))</f>
        <v>4</v>
      </c>
      <c r="AL12" s="57">
        <f>IF(V12&lt;&gt;"SÍ","",IF(OR(AND(AN12="SÍ",DATOS!$C$66="SÍ"),AND(C12="VOLADO",DATOS!$C$67="SÍ")),DATOS!$C$64,IF(AJ12="NO",DATOS!$C$63,DATOS!$C$62)))</f>
        <v>4</v>
      </c>
      <c r="AM12" s="58">
        <f>IF(V12&lt;&gt;"SÍ","",MAX(AL12,(DATOS!$C$84-2*DATOS!$C$97)/2))</f>
        <v>4</v>
      </c>
      <c r="AN12" s="55" t="str">
        <f>IF(V12&lt;&gt;"SÍ","",IFERROR(INDEX(DATOS!$D$46:$D$58,MATCH(D12,DATOS!$B$46:$B$58,0)),"NO"))</f>
        <v>NO</v>
      </c>
      <c r="AO12" s="59">
        <f>IF(V12&lt;&gt;"SÍ","",IF(ISNUMBER(N12),N12,IFERROR(INDEX(DATOS!$C$46:$C$58,MATCH(D12,DATOS!$B$46:$B$58,0)),0)))</f>
        <v>190</v>
      </c>
      <c r="AP12" s="59">
        <f>IF(V12&lt;&gt;"SÍ","",IF(MIN(DH12,DI12)=0,DATOS!$C$85/100*DATOS!$C$16*1000,(DATOS!$C$85/100-(AE12*DATOS!$C$81/DATOS!$C$86^2)*DATOS!$C$82/100)*DATOS!$C$16*1000+(AE12*DATOS!$C$81/DATOS!$C$86^2)*DATOS!$C$82/100*DATOS!$C$17*1000)+DATOS!$C$37+DATOS!$C$38)</f>
        <v>362.561224489796</v>
      </c>
      <c r="AQ12" s="59">
        <f>IF(V12&lt;&gt;"SÍ","",AP12+N(M12))</f>
        <v>572.561224489796</v>
      </c>
      <c r="AR12" s="60">
        <f>IF(V12&lt;&gt;"SÍ","",MAX(DATOS!$C$26*AQ12+DATOS!$C$27*AO12,IF(AN12="SÍ",DATOS!$C$28*(AQ12+DATOS!$C$41),0)))</f>
        <v>1029.32959183673</v>
      </c>
      <c r="AS12" s="59">
        <f>IF(V12&lt;&gt;"SÍ","",(G12="DISCONTINUO")+(H12="DISCONTINUO")+(I12="DISCONTINUO")+(J12="DISCONTINUO"))</f>
        <v>3</v>
      </c>
      <c r="AT12" s="59">
        <f>IF(V12&lt;&gt;"SÍ","",IF(X12="X",(G12="DISCONTINUO")+(H12="DISCONTINUO"),(I12="DISCONTINUO")+(J12="DISCONTINUO")))</f>
        <v>2</v>
      </c>
      <c r="AU12" s="55" t="str">
        <f>IF(V12&lt;&gt;"SÍ","",IF(AS12=0,"INTERIOR",IF(AS12=1,IF(AT12=1,"BORDE-CORTO","BORDE-LARGO"),IF(AS12=2,IF(AT12=1,"ESQUINA",IF(AT12=2,"EXTREMO-LARGO","EXTREMO-CORTO")),IF(AS12=3,IF(AT12=2,"EXTREMO-LARGO","EXTREMO-CORTO"),"AISLADO")))))</f>
        <v>EXTREMO-LARGO</v>
      </c>
      <c r="AV12" s="61" t="str">
        <f>IF(V12&lt;&gt;"SÍ","",IF(OR(K12="",K12="AUTO"),AU12,K12))</f>
        <v>EXTREMO-LARGO</v>
      </c>
      <c r="AW12" s="59">
        <f>IF(V12&lt;&gt;"SÍ","",MATCH(AA12,TABLAS!$D$5:$J$5,1))</f>
        <v>2</v>
      </c>
      <c r="AX12" s="58">
        <f>IF(V12&lt;&gt;"SÍ","",IF(AW12&gt;=7,0,(AA12-INDEX(TABLAS!$D$5:$J$5,AW12))/(INDEX(TABLAS!$D$5:$J$5,AW12+1)-INDEX(TABLAS!$D$5:$J$5,AW12))))</f>
        <v>0.839416058394161</v>
      </c>
      <c r="AY12" s="59">
        <f>IF(V12&lt;&gt;"SÍ","",INDEX(TABLAS!$D$6:$J$47,MATCH(AV12&amp;"|NIC",TABLAS!$B$6:$B$47,0),AW12)+AX12*(INDEX(TABLAS!$D$6:$J$47,MATCH(AV12&amp;"|NIC",TABLAS!$B$6:$B$47,0),MIN(AW12+1,7))-INDEX(TABLAS!$D$6:$J$47,MATCH(AV12&amp;"|NIC",TABLAS!$B$6:$B$47,0),AW12)))</f>
        <v>1166.13138686131</v>
      </c>
      <c r="AZ12" s="59">
        <f>IF(V12&lt;&gt;"SÍ","",INDEX(TABLAS!$D$6:$J$47,MATCH(AV12&amp;"|NIL",TABLAS!$B$6:$B$47,0),AW12)+AX12*(INDEX(TABLAS!$D$6:$J$47,MATCH(AV12&amp;"|NIL",TABLAS!$B$6:$B$47,0),MIN(AW12+1,7))-INDEX(TABLAS!$D$6:$J$47,MATCH(AV12&amp;"|NIL",TABLAS!$B$6:$B$47,0),AW12)))</f>
        <v>0</v>
      </c>
      <c r="BA12" s="59">
        <f>IF(V12&lt;&gt;"SÍ","",INDEX(TABLAS!$D$6:$J$47,MATCH(AV12&amp;"|NDC",TABLAS!$B$6:$B$47,0),AW12)+AX12*(INDEX(TABLAS!$D$6:$J$47,MATCH(AV12&amp;"|NDC",TABLAS!$B$6:$B$47,0),MIN(AW12+1,7))-INDEX(TABLAS!$D$6:$J$47,MATCH(AV12&amp;"|NDC",TABLAS!$B$6:$B$47,0),AW12)))</f>
        <v>344.817518248175</v>
      </c>
      <c r="BB12" s="59">
        <f>IF(V12&lt;&gt;"SÍ","",INDEX(TABLAS!$D$6:$J$47,MATCH(AV12&amp;"|NDL",TABLAS!$B$6:$B$47,0),AW12)+AX12*(INDEX(TABLAS!$D$6:$J$47,MATCH(AV12&amp;"|NDL",TABLAS!$B$6:$B$47,0),MIN(AW12+1,7))-INDEX(TABLAS!$D$6:$J$47,MATCH(AV12&amp;"|NDL",TABLAS!$B$6:$B$47,0),AW12)))</f>
        <v>340.85401459854</v>
      </c>
      <c r="BC12" s="59">
        <f>IF(V12&lt;&gt;"SÍ","",INDEX(TABLAS!$D$6:$J$47,MATCH(AV12&amp;"|PC",TABLAS!$B$6:$B$47,0),AW12)+AX12*(INDEX(TABLAS!$D$6:$J$47,MATCH(AV12&amp;"|PC",TABLAS!$B$6:$B$47,0),MIN(AW12+1,7))-INDEX(TABLAS!$D$6:$J$47,MATCH(AV12&amp;"|PC",TABLAS!$B$6:$B$47,0),AW12)))</f>
        <v>679.63503649635</v>
      </c>
      <c r="BD12" s="59">
        <f>IF(V12&lt;&gt;"SÍ","",INDEX(TABLAS!$D$6:$J$47,MATCH(AV12&amp;"|PL",TABLAS!$B$6:$B$47,0),AW12)+AX12*(INDEX(TABLAS!$D$6:$J$47,MATCH(AV12&amp;"|PL",TABLAS!$B$6:$B$47,0),MIN(AW12+1,7))-INDEX(TABLAS!$D$6:$J$47,MATCH(AV12&amp;"|PL",TABLAS!$B$6:$B$47,0),AW12)))</f>
        <v>430</v>
      </c>
      <c r="BE12" s="56">
        <f>IF(V12&lt;&gt;"SÍ","",IF(OR(C12&lt;&gt;"VOLADO",MIN(DH12,DI12)=0),0,DATOS!$C$26*DATOS!$C$16*DATOS!$C$86/100*(((AE12*DATOS!$C$81/DATOS!$C$86^2)*DATOS!$C$82/100)*(IF(X12="X",DJ12,DL12)+DATOS!$C$87/2)/100*(AB12-(IF(X12="X",DJ12,DL12)+DATOS!$C$87/2)/2)/100+((AE12*DATOS!$C$81/DATOS!$C$86^2)*DATOS!$C$82/100)*IF(X12="X",DJ12,DL12)/100*IF(X12="X",DJ12,DL12)/200)))</f>
        <v>0.165216535714286</v>
      </c>
      <c r="BF12" s="56">
        <f>IF(V12&lt;&gt;"SÍ","",IF(OR(C12&lt;&gt;"VOLADO",MIN(DH12,DI12)=0),0,DATOS!$C$26*DATOS!$C$16*DATOS!$C$86/100*((AE12*DATOS!$C$81/DATOS!$C$86^2)*DATOS!$C$82/100)*(IF(X12="X",DJ12,DL12)+DATOS!$C$87/2)/100))</f>
        <v>0.08892</v>
      </c>
      <c r="BG12" s="56">
        <f>IF(V12&lt;&gt;"SÍ","",IF(C12="PERIMETRAL",BC12*AR12*Y12^2*1E-4*DATOS!$C$86/100/1000,0))</f>
        <v>0</v>
      </c>
      <c r="BH12" s="62">
        <f>IF(V12&lt;&gt;"SÍ","",IF(C12="PERIMETRAL",MAX(MAX(AY12,BA12)*AR12*Y12^2*1E-4*DATOS!$C$86/100/1000,N(T12)),(AR12*(AB12/100)^2/2+DATOS!$C$26*N(O12)*AB12/100)*DATOS!$C$86/100/1000+BE12))</f>
        <v>2.08478382477679</v>
      </c>
      <c r="BI12" s="56">
        <f>IF(V12&lt;&gt;"SÍ","",IF(C12="PERIMETRAL",BD12*AR12*Y12^2*1E-4*DATOS!$C$86/100/1000,0))</f>
        <v>0</v>
      </c>
      <c r="BJ12" s="56">
        <f>IF(V12&lt;&gt;"SÍ","",IF(C12="PERIMETRAL",MAX(MAX(AZ12,BB12)*AR12*Y12^2*1E-4*DATOS!$C$86/100/1000,N(U12)),0))</f>
        <v>0</v>
      </c>
      <c r="BK12" s="63" t="str">
        <f>IF(V12&lt;&gt;"SÍ","",IF(C12&lt;&gt;"PERIMETRAL","—",IF(AND(N(T12)=0,N(U12)=0),"— (sin M⁻ del vecino)",IF(OR(AND(N(T12)&gt;0,ABS(MAX(AY12,BA12)*AR12*Y12^2*1E-4*DATOS!$C$86/100/1000-N(T12))&gt;0.5*MIN(MAX(AY12,BA12)*AR12*Y12^2*1E-4*DATOS!$C$86/100/1000,N(T12))),AND(N(U12)&gt;0,ABS(MAX(AZ12,BB12)*AR12*Y12^2*1E-4*DATOS!$C$86/100/1000-N(U12))&gt;0.5*MIN(MAX(AZ12,BB12)*AR12*Y12^2*1E-4*DATOS!$C$86/100/1000,N(U12)))),"FUERA: difieren &gt; 50 %"&amp;IF(AND(N(T12)&gt;0,ABS(MAX(AY12,BA12)*AR12*Y12^2*1E-4*DATOS!$C$86/100/1000-N(T12))&gt;0.5*MIN(MAX(AY12,BA12)*AR12*Y12^2*1E-4*DATOS!$C$86/100/1000,N(T12)))," ‖ corto","")&amp;IF(AND(N(U12)&gt;0,ABS(MAX(AZ12,BB12)*AR12*Y12^2*1E-4*DATOS!$C$86/100/1000-N(U12))&gt;0.5*MIN(MAX(AZ12,BB12)*AR12*Y12^2*1E-4*DATOS!$C$86/100/1000,N(U12)))," ‖ largo",""),"CUMPLE"))))</f>
        <v>—</v>
      </c>
      <c r="BL12" s="58">
        <f>IF(V12&lt;&gt;"SÍ","",(DATOS!$C$85-AK12-INDEX(TABLAS!$C$52:$C$58,MATCH(MAX(4,DATOS!$C$71),TABLAS!$B$52:$B$58,0))/2))</f>
        <v>20.365</v>
      </c>
      <c r="BM12" s="58">
        <f>IF(V12&lt;&gt;"SÍ","",IF(IF(BG12&lt;=0,0,IF((1-2*BG12*1E5/(DATOS!$C$29*AH12*BL12^2*DATOS!$C$21))&lt;0,-1,IF((1-SQRT((1-2*BG12*1E5/(DATOS!$C$29*AH12*BL12^2*DATOS!$C$21))))*DATOS!$C$21*AH12*BL12/DATOS!$C$14&gt;DATOS!$C$102*AH12*BL12,-1,(1-SQRT((1-2*BG12*1E5/(DATOS!$C$29*AH12*BL12^2*DATOS!$C$21))))*DATOS!$C$21*AH12*BL12/DATOS!$C$14)))&lt;0,-1,MAX(IF(BG12&lt;=0,0,IF((1-2*BG12*1E5/(DATOS!$C$29*AH12*BL12^2*DATOS!$C$21))&lt;0,-1,IF((1-SQRT((1-2*BG12*1E5/(DATOS!$C$29*AH12*BL12^2*DATOS!$C$21))))*DATOS!$C$21*AH12*BL12/DATOS!$C$14&gt;DATOS!$C$102*AH12*BL12,-1,(1-SQRT((1-2*BG12*1E5/(DATOS!$C$29*AH12*BL12^2*DATOS!$C$21))))*DATOS!$C$21*AH12*BL12/DATOS!$C$14))),MIN(DATOS!$C$103*AD12*BL12,4/3*IF(BG12&lt;=0,0,IF((1-2*BG12*1E5/(DATOS!$C$29*AH12*BL12^2*DATOS!$C$21))&lt;0,-1,IF((1-SQRT((1-2*BG12*1E5/(DATOS!$C$29*AH12*BL12^2*DATOS!$C$21))))*DATOS!$C$21*AH12*BL12/DATOS!$C$14&gt;DATOS!$C$102*AH12*BL12,-1,(1-SQRT((1-2*BG12*1E5/(DATOS!$C$29*AH12*BL12^2*DATOS!$C$21))))*DATOS!$C$21*AH12*BL12/DATOS!$C$14)))))))</f>
        <v>0</v>
      </c>
      <c r="BN12" s="64">
        <f>IF(V12&lt;&gt;"SÍ","",IF(AND(BM12&gt;=0,IF(MAX(DATOS!$C$74,CEILING(BM12/INDEX(TABLAS!$D$52:$D$58,MIN(MATCH(MAX(4,DATOS!$C$71),TABLAS!$B$52:$B$58,0)+0,7)),1))*INDEX(TABLAS!$D$52:$D$58,MIN(MATCH(MAX(4,DATOS!$C$71),TABLAS!$B$52:$B$58,0)+0,7)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+0,7)),1)),MAX(MAX(DATOS!$C$74,CEILING(BM12/INDEX(TABLAS!$D$52:$D$58,MIN(MATCH(MAX(4,DATOS!$C$71),TABLAS!$B$52:$B$58,0)+0,7)),1)),2))&lt;=MIN(DATOS!$C$73,INT(((AD12-2*AK12)+MAX(DATOS!$C$70,INDEX(TABLAS!$C$52:$C$58,MIN(MATCH(MAX(4,DATOS!$C$71),TABLAS!$B$52:$B$58,0)+0,7))))/(INDEX(TABLAS!$C$52:$C$58,MIN(MATCH(MAX(4,DATOS!$C$71),TABLAS!$B$52:$B$58,0)+0,7))+MAX(DATOS!$C$70,INDEX(TABLAS!$C$52:$C$58,MIN(MATCH(MAX(4,DATOS!$C$71),TABLAS!$B$52:$B$58,0)+0,7))))))),INDEX(TABLAS!$B$52:$B$58,MIN(MATCH(MAX(4,DATOS!$C$71),TABLAS!$B$52:$B$58,0)+0,7)),IF(AND(BM12&gt;=0,IF(MAX(DATOS!$C$74,CEILING(BM12/INDEX(TABLAS!$D$52:$D$58,MIN(MATCH(MAX(4,DATOS!$C$71),TABLAS!$B$52:$B$58,0)+1,7)),1))*INDEX(TABLAS!$D$52:$D$58,MIN(MATCH(MAX(4,DATOS!$C$71),TABLAS!$B$52:$B$58,0)+1,7)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+1,7)),1)),MAX(MAX(DATOS!$C$74,CEILING(BM12/INDEX(TABLAS!$D$52:$D$58,MIN(MATCH(MAX(4,DATOS!$C$71),TABLAS!$B$52:$B$58,0)+1,7)),1)),2))&lt;=MIN(DATOS!$C$73,INT(((AD12-2*AK12)+MAX(DATOS!$C$70,INDEX(TABLAS!$C$52:$C$58,MIN(MATCH(MAX(4,DATOS!$C$71),TABLAS!$B$52:$B$58,0)+1,7))))/(INDEX(TABLAS!$C$52:$C$58,MIN(MATCH(MAX(4,DATOS!$C$71),TABLAS!$B$52:$B$58,0)+1,7))+MAX(DATOS!$C$70,INDEX(TABLAS!$C$52:$C$58,MIN(MATCH(MAX(4,DATOS!$C$71),TABLAS!$B$52:$B$58,0)+1,7))))))),INDEX(TABLAS!$B$52:$B$58,MIN(MATCH(MAX(4,DATOS!$C$71),TABLAS!$B$52:$B$58,0)+1,7)),IF(AND(BM12&gt;=0,IF(MAX(DATOS!$C$74,CEILING(BM12/INDEX(TABLAS!$D$52:$D$58,MIN(MATCH(MAX(4,DATOS!$C$71),TABLAS!$B$52:$B$58,0)+2,7)),1))*INDEX(TABLAS!$D$52:$D$58,MIN(MATCH(MAX(4,DATOS!$C$71),TABLAS!$B$52:$B$58,0)+2,7)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+2,7)),1)),MAX(MAX(DATOS!$C$74,CEILING(BM12/INDEX(TABLAS!$D$52:$D$58,MIN(MATCH(MAX(4,DATOS!$C$71),TABLAS!$B$52:$B$58,0)+2,7)),1)),2))&lt;=MIN(DATOS!$C$73,INT(((AD12-2*AK12)+MAX(DATOS!$C$70,INDEX(TABLAS!$C$52:$C$58,MIN(MATCH(MAX(4,DATOS!$C$71),TABLAS!$B$52:$B$58,0)+2,7))))/(INDEX(TABLAS!$C$52:$C$58,MIN(MATCH(MAX(4,DATOS!$C$71),TABLAS!$B$52:$B$58,0)+2,7))+MAX(DATOS!$C$70,INDEX(TABLAS!$C$52:$C$58,MIN(MATCH(MAX(4,DATOS!$C$71),TABLAS!$B$52:$B$58,0)+2,7))))))),INDEX(TABLAS!$B$52:$B$58,MIN(MATCH(MAX(4,DATOS!$C$71),TABLAS!$B$52:$B$58,0)+2,7)),IF(AND(BM12&gt;=0,IF(MAX(DATOS!$C$74,CEILING(BM12/INDEX(TABLAS!$D$52:$D$58,MIN(MATCH(MAX(4,DATOS!$C$71),TABLAS!$B$52:$B$58,0)+3,7)),1))*INDEX(TABLAS!$D$52:$D$58,MIN(MATCH(MAX(4,DATOS!$C$71),TABLAS!$B$52:$B$58,0)+3,7)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+3,7)),1)),MAX(MAX(DATOS!$C$74,CEILING(BM12/INDEX(TABLAS!$D$52:$D$58,MIN(MATCH(MAX(4,DATOS!$C$71),TABLAS!$B$52:$B$58,0)+3,7)),1)),2))&lt;=MIN(DATOS!$C$73,INT(((AD12-2*AK12)+MAX(DATOS!$C$70,INDEX(TABLAS!$C$52:$C$58,MIN(MATCH(MAX(4,DATOS!$C$71),TABLAS!$B$52:$B$58,0)+3,7))))/(INDEX(TABLAS!$C$52:$C$58,MIN(MATCH(MAX(4,DATOS!$C$71),TABLAS!$B$52:$B$58,0)+3,7))+MAX(DATOS!$C$70,INDEX(TABLAS!$C$52:$C$58,MIN(MATCH(MAX(4,DATOS!$C$71),TABLAS!$B$52:$B$58,0)+3,7))))))),INDEX(TABLAS!$B$52:$B$58,MIN(MATCH(MAX(4,DATOS!$C$71),TABLAS!$B$52:$B$58,0)+3,7)),IF(AND(BM12&gt;=0,IF(MAX(DATOS!$C$74,CEILING(BM12/INDEX(TABLAS!$D$52:$D$58,MIN(MATCH(MAX(4,DATOS!$C$71),TABLAS!$B$52:$B$58,0)+4,7)),1))*INDEX(TABLAS!$D$52:$D$58,MIN(MATCH(MAX(4,DATOS!$C$71),TABLAS!$B$52:$B$58,0)+4,7)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+4,7)),1)),MAX(MAX(DATOS!$C$74,CEILING(BM12/INDEX(TABLAS!$D$52:$D$58,MIN(MATCH(MAX(4,DATOS!$C$71),TABLAS!$B$52:$B$58,0)+4,7)),1)),2))&lt;=MIN(DATOS!$C$73,INT(((AD12-2*AK12)+MAX(DATOS!$C$70,INDEX(TABLAS!$C$52:$C$58,MIN(MATCH(MAX(4,DATOS!$C$71),TABLAS!$B$52:$B$58,0)+4,7))))/(INDEX(TABLAS!$C$52:$C$58,MIN(MATCH(MAX(4,DATOS!$C$71),TABLAS!$B$52:$B$58,0)+4,7))+MAX(DATOS!$C$70,INDEX(TABLAS!$C$52:$C$58,MIN(MATCH(MAX(4,DATOS!$C$71),TABLAS!$B$52:$B$58,0)+4,7))))))),INDEX(TABLAS!$B$52:$B$58,MIN(MATCH(MAX(4,DATOS!$C$71),TABLAS!$B$52:$B$58,0)+4,7)),INDEX(TABLAS!$B$52:$B$58,7)))))))</f>
        <v>4</v>
      </c>
      <c r="BO12" s="59">
        <f>IF(V12&lt;&gt;"SÍ","",IF(BM12&lt;0,0,IF(MAX(DATOS!$C$74,CEILING(MAX(BM12,0)/INDEX(TABLAS!$D$52:$D$58,MATCH(BN12,TABLAS!$B$52:$B$58,0)),1))*INDEX(TABLAS!$D$52:$D$58,MATCH(BN12,TABLAS!$B$52:$B$58,0))&gt;=4/3*IF(BG12&lt;=0,0,IF((1-2*BG12*1E5/(DATOS!$C$29*AH12*BL12^2*DATOS!$C$21))&lt;0,-1,IF((1-SQRT((1-2*BG12*1E5/(DATOS!$C$29*AH12*BL12^2*DATOS!$C$21))))*DATOS!$C$21*AH12*BL12/DATOS!$C$14&gt;DATOS!$C$102*AH12*BL12,-1,(1-SQRT((1-2*BG12*1E5/(DATOS!$C$29*AH12*BL12^2*DATOS!$C$21))))*DATOS!$C$21*AH12*BL12/DATOS!$C$14)))-0.0001,MAX(DATOS!$C$74,CEILING(MAX(BM12,0)/INDEX(TABLAS!$D$52:$D$58,MATCH(BN12,TABLAS!$B$52:$B$58,0)),1)),MAX(MAX(DATOS!$C$74,CEILING(MAX(BM12,0)/INDEX(TABLAS!$D$52:$D$58,MATCH(BN12,TABLAS!$B$52:$B$58,0)),1)),2))))</f>
        <v>1</v>
      </c>
      <c r="BP12" s="58">
        <f>IF(V12&lt;&gt;"SÍ","",DATOS!$C$85-AK12-INDEX(TABLAS!$C$52:$C$58,MATCH(BN12,TABLAS!$B$52:$B$58,0))/2)</f>
        <v>20.365</v>
      </c>
      <c r="BQ12" s="56">
        <f>IF(V12&lt;&gt;"SÍ","",IF(BO12=0,0,DATOS!$C$29*BO12*INDEX(TABLAS!$D$52:$D$58,MATCH(BN12,TABLAS!$B$52:$B$58,0))*DATOS!$C$14*(BP12-BO12*INDEX(TABLAS!$D$52:$D$58,MATCH(BN12,TABLAS!$B$52:$B$58,0))*DATOS!$C$14/(DATOS!$C$21*AH12)/2)/1E5))</f>
        <v>0.968798101356719</v>
      </c>
      <c r="BR12" s="65">
        <f>IF(V12&lt;&gt;"SÍ","",IF(BM12&lt;0,9.99,IF(BQ12&gt;0,BG12/BQ12,0)))</f>
        <v>0</v>
      </c>
      <c r="BS12" s="66">
        <f>IF(V12&lt;&gt;"SÍ","",IF(BO12=0,"—",0.003*(BP12-(BO12*INDEX(TABLAS!$D$52:$D$58,MATCH(BN12,TABLAS!$B$52:$B$58,0))*DATOS!$C$14/(DATOS!$C$21*AH12)/DATOS!$C$22))/(BO12*INDEX(TABLAS!$D$52:$D$58,MATCH(BN12,TABLAS!$B$52:$B$58,0))*DATOS!$C$14/(DATOS!$C$21*AH12)/DATOS!$C$22)))</f>
        <v>0.137940897646583</v>
      </c>
      <c r="BT12" s="58">
        <f>IF(V12&lt;&gt;"SÍ","",((DATOS!$C$85-AM12-2*DATOS!$C$97-INDEX(TABLAS!$C$52:$C$58,MATCH(MAX(4,DATOS!$C$72),TABLAS!$B$52:$B$58,0))/2)-IF(AND((DATOS!$C$85-AM12-2*DATOS!$C$97-INDEX(TABLAS!$C$52:$C$58,MATCH(MAX(4,DATOS!$C$72),TABLAS!$B$52:$B$58,0))/2)&lt;=20,DATOS!$C$65&lt;&gt;"SÍ"),2,0)))</f>
        <v>19.221</v>
      </c>
      <c r="BU12" s="58">
        <f>IF(V12&lt;&gt;"SÍ","",IF(IF(BH12&lt;=0,0,IF((1-2*BH12*1E5/(DATOS!$C$29*AF12*BT12^2*DATOS!$C$21))&lt;0,-1,IF((1-SQRT((1-2*BH12*1E5/(DATOS!$C$29*AF12*BT12^2*DATOS!$C$21))))*DATOS!$C$21*AF12*BT12/DATOS!$C$14&gt;DATOS!$C$102*AF12*BT12,-1,(1-SQRT((1-2*BH12*1E5/(DATOS!$C$29*AF12*BT12^2*DATOS!$C$21))))*DATOS!$C$21*AF12*BT12/DATOS!$C$14)))&lt;0,-1,MAX(IF(BH12&lt;=0,0,IF((1-2*BH12*1E5/(DATOS!$C$29*AF12*BT12^2*DATOS!$C$21))&lt;0,-1,IF((1-SQRT((1-2*BH12*1E5/(DATOS!$C$29*AF12*BT12^2*DATOS!$C$21))))*DATOS!$C$21*AF12*BT12/DATOS!$C$14&gt;DATOS!$C$102*AF12*BT12,-1,(1-SQRT((1-2*BH12*1E5/(DATOS!$C$29*AF12*BT12^2*DATOS!$C$21))))*DATOS!$C$21*AF12*BT12/DATOS!$C$14))),MIN(DATOS!$C$103*IF(C12="VOLADO",MIN(AH12,2*AD12),AD12)*BT12,4/3*IF(BH12&lt;=0,0,IF((1-2*BH12*1E5/(DATOS!$C$29*AF12*BT12^2*DATOS!$C$21))&lt;0,-1,IF((1-SQRT((1-2*BH12*1E5/(DATOS!$C$29*AF12*BT12^2*DATOS!$C$21))))*DATOS!$C$21*AF12*BT12/DATOS!$C$14&gt;DATOS!$C$102*AF12*BT12,-1,(1-SQRT((1-2*BH12*1E5/(DATOS!$C$29*AF12*BT12^2*DATOS!$C$21))))*DATOS!$C$21*AF12*BT12/DATOS!$C$14)))))))</f>
        <v>3.11959288779074</v>
      </c>
      <c r="BV12" s="64">
        <f>IF(V12&lt;&gt;"SÍ","",IF(AND(BU12&gt;=0,IF(MAX(DATOS!$C$74,CEILING(BU12/INDEX(TABLAS!$D$52:$D$58,MIN(MATCH(MAX(4,DATOS!$C$72),TABLAS!$B$52:$B$58,0)+0,7)),1))*INDEX(TABLAS!$D$52:$D$58,MIN(MATCH(MAX(4,DATOS!$C$72),TABLAS!$B$52:$B$58,0)+0,7)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+0,7)),1)),MAX(MAX(DATOS!$C$74,CEILING(BU12/INDEX(TABLAS!$D$52:$D$58,MIN(MATCH(MAX(4,DATOS!$C$72),TABLAS!$B$52:$B$58,0)+0,7)),1)),2))&lt;=MIN(DATOS!$C$73,INT(((AD12-2*AL12)+MAX(DATOS!$C$70,INDEX(TABLAS!$C$52:$C$58,MIN(MATCH(MAX(4,DATOS!$C$72),TABLAS!$B$52:$B$58,0)+0,7))))/(INDEX(TABLAS!$C$52:$C$58,MIN(MATCH(MAX(4,DATOS!$C$72),TABLAS!$B$52:$B$58,0)+0,7))+MAX(DATOS!$C$70,INDEX(TABLAS!$C$52:$C$58,MIN(MATCH(MAX(4,DATOS!$C$72),TABLAS!$B$52:$B$58,0)+0,7))))))),INDEX(TABLAS!$B$52:$B$58,MIN(MATCH(MAX(4,DATOS!$C$72),TABLAS!$B$52:$B$58,0)+0,7)),IF(AND(BU12&gt;=0,IF(MAX(DATOS!$C$74,CEILING(BU12/INDEX(TABLAS!$D$52:$D$58,MIN(MATCH(MAX(4,DATOS!$C$72),TABLAS!$B$52:$B$58,0)+1,7)),1))*INDEX(TABLAS!$D$52:$D$58,MIN(MATCH(MAX(4,DATOS!$C$72),TABLAS!$B$52:$B$58,0)+1,7)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+1,7)),1)),MAX(MAX(DATOS!$C$74,CEILING(BU12/INDEX(TABLAS!$D$52:$D$58,MIN(MATCH(MAX(4,DATOS!$C$72),TABLAS!$B$52:$B$58,0)+1,7)),1)),2))&lt;=MIN(DATOS!$C$73,INT(((AD12-2*AL12)+MAX(DATOS!$C$70,INDEX(TABLAS!$C$52:$C$58,MIN(MATCH(MAX(4,DATOS!$C$72),TABLAS!$B$52:$B$58,0)+1,7))))/(INDEX(TABLAS!$C$52:$C$58,MIN(MATCH(MAX(4,DATOS!$C$72),TABLAS!$B$52:$B$58,0)+1,7))+MAX(DATOS!$C$70,INDEX(TABLAS!$C$52:$C$58,MIN(MATCH(MAX(4,DATOS!$C$72),TABLAS!$B$52:$B$58,0)+1,7))))))),INDEX(TABLAS!$B$52:$B$58,MIN(MATCH(MAX(4,DATOS!$C$72),TABLAS!$B$52:$B$58,0)+1,7)),IF(AND(BU12&gt;=0,IF(MAX(DATOS!$C$74,CEILING(BU12/INDEX(TABLAS!$D$52:$D$58,MIN(MATCH(MAX(4,DATOS!$C$72),TABLAS!$B$52:$B$58,0)+2,7)),1))*INDEX(TABLAS!$D$52:$D$58,MIN(MATCH(MAX(4,DATOS!$C$72),TABLAS!$B$52:$B$58,0)+2,7)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+2,7)),1)),MAX(MAX(DATOS!$C$74,CEILING(BU12/INDEX(TABLAS!$D$52:$D$58,MIN(MATCH(MAX(4,DATOS!$C$72),TABLAS!$B$52:$B$58,0)+2,7)),1)),2))&lt;=MIN(DATOS!$C$73,INT(((AD12-2*AL12)+MAX(DATOS!$C$70,INDEX(TABLAS!$C$52:$C$58,MIN(MATCH(MAX(4,DATOS!$C$72),TABLAS!$B$52:$B$58,0)+2,7))))/(INDEX(TABLAS!$C$52:$C$58,MIN(MATCH(MAX(4,DATOS!$C$72),TABLAS!$B$52:$B$58,0)+2,7))+MAX(DATOS!$C$70,INDEX(TABLAS!$C$52:$C$58,MIN(MATCH(MAX(4,DATOS!$C$72),TABLAS!$B$52:$B$58,0)+2,7))))))),INDEX(TABLAS!$B$52:$B$58,MIN(MATCH(MAX(4,DATOS!$C$72),TABLAS!$B$52:$B$58,0)+2,7)),IF(AND(BU12&gt;=0,IF(MAX(DATOS!$C$74,CEILING(BU12/INDEX(TABLAS!$D$52:$D$58,MIN(MATCH(MAX(4,DATOS!$C$72),TABLAS!$B$52:$B$58,0)+3,7)),1))*INDEX(TABLAS!$D$52:$D$58,MIN(MATCH(MAX(4,DATOS!$C$72),TABLAS!$B$52:$B$58,0)+3,7)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+3,7)),1)),MAX(MAX(DATOS!$C$74,CEILING(BU12/INDEX(TABLAS!$D$52:$D$58,MIN(MATCH(MAX(4,DATOS!$C$72),TABLAS!$B$52:$B$58,0)+3,7)),1)),2))&lt;=MIN(DATOS!$C$73,INT(((AD12-2*AL12)+MAX(DATOS!$C$70,INDEX(TABLAS!$C$52:$C$58,MIN(MATCH(MAX(4,DATOS!$C$72),TABLAS!$B$52:$B$58,0)+3,7))))/(INDEX(TABLAS!$C$52:$C$58,MIN(MATCH(MAX(4,DATOS!$C$72),TABLAS!$B$52:$B$58,0)+3,7))+MAX(DATOS!$C$70,INDEX(TABLAS!$C$52:$C$58,MIN(MATCH(MAX(4,DATOS!$C$72),TABLAS!$B$52:$B$58,0)+3,7))))))),INDEX(TABLAS!$B$52:$B$58,MIN(MATCH(MAX(4,DATOS!$C$72),TABLAS!$B$52:$B$58,0)+3,7)),IF(AND(BU12&gt;=0,IF(MAX(DATOS!$C$74,CEILING(BU12/INDEX(TABLAS!$D$52:$D$58,MIN(MATCH(MAX(4,DATOS!$C$72),TABLAS!$B$52:$B$58,0)+4,7)),1))*INDEX(TABLAS!$D$52:$D$58,MIN(MATCH(MAX(4,DATOS!$C$72),TABLAS!$B$52:$B$58,0)+4,7)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+4,7)),1)),MAX(MAX(DATOS!$C$74,CEILING(BU12/INDEX(TABLAS!$D$52:$D$58,MIN(MATCH(MAX(4,DATOS!$C$72),TABLAS!$B$52:$B$58,0)+4,7)),1)),2))&lt;=MIN(DATOS!$C$73,INT(((AD12-2*AL12)+MAX(DATOS!$C$70,INDEX(TABLAS!$C$52:$C$58,MIN(MATCH(MAX(4,DATOS!$C$72),TABLAS!$B$52:$B$58,0)+4,7))))/(INDEX(TABLAS!$C$52:$C$58,MIN(MATCH(MAX(4,DATOS!$C$72),TABLAS!$B$52:$B$58,0)+4,7))+MAX(DATOS!$C$70,INDEX(TABLAS!$C$52:$C$58,MIN(MATCH(MAX(4,DATOS!$C$72),TABLAS!$B$52:$B$58,0)+4,7))))))),INDEX(TABLAS!$B$52:$B$58,MIN(MATCH(MAX(4,DATOS!$C$72),TABLAS!$B$52:$B$58,0)+4,7)),INDEX(TABLAS!$B$52:$B$58,7)))))))</f>
        <v>5</v>
      </c>
      <c r="BW12" s="59">
        <f>IF(V12&lt;&gt;"SÍ","",IF(BU12&lt;0,0,IF(MAX(DATOS!$C$74,CEILING(MAX(BU12,0)/INDEX(TABLAS!$D$52:$D$58,MATCH(BV12,TABLAS!$B$52:$B$58,0)),1))*INDEX(TABLAS!$D$52:$D$58,MATCH(BV12,TABLAS!$B$52:$B$58,0))&gt;=4/3*IF(BH12&lt;=0,0,IF((1-2*BH12*1E5/(DATOS!$C$29*AF12*BT12^2*DATOS!$C$21))&lt;0,-1,IF((1-SQRT((1-2*BH12*1E5/(DATOS!$C$29*AF12*BT12^2*DATOS!$C$21))))*DATOS!$C$21*AF12*BT12/DATOS!$C$14&gt;DATOS!$C$102*AF12*BT12,-1,(1-SQRT((1-2*BH12*1E5/(DATOS!$C$29*AF12*BT12^2*DATOS!$C$21))))*DATOS!$C$21*AF12*BT12/DATOS!$C$14)))-0.0001,MAX(DATOS!$C$74,CEILING(MAX(BU12,0)/INDEX(TABLAS!$D$52:$D$58,MATCH(BV12,TABLAS!$B$52:$B$58,0)),1)),MAX(MAX(DATOS!$C$74,CEILING(MAX(BU12,0)/INDEX(TABLAS!$D$52:$D$58,MATCH(BV12,TABLAS!$B$52:$B$58,0)),1)),2))))</f>
        <v>2</v>
      </c>
      <c r="BX12" s="58">
        <f>IF(V12&lt;&gt;"SÍ","",((DATOS!$C$85-AM12-2*DATOS!$C$97-INDEX(TABLAS!$C$52:$C$58,MATCH(BV12,TABLAS!$B$52:$B$58,0))/2)-IF(AND((DATOS!$C$85-AM12-2*DATOS!$C$97-INDEX(TABLAS!$C$52:$C$58,MATCH(BV12,TABLAS!$B$52:$B$58,0))/2)&lt;=20,DATOS!$C$65&lt;&gt;"SÍ"),2,0)))</f>
        <v>19.061</v>
      </c>
      <c r="BY12" s="56">
        <f>IF(V12&lt;&gt;"SÍ","",IF(BW12=0,0,DATOS!$C$29*BW12*INDEX(TABLAS!$D$52:$D$58,MATCH(BV12,TABLAS!$B$52:$B$58,0))*DATOS!$C$14*(BX12-BW12*INDEX(TABLAS!$D$52:$D$58,MATCH(BV12,TABLAS!$B$52:$B$58,0))*DATOS!$C$14/(DATOS!$C$21*AF12)/2)/1E5))</f>
        <v>2.56030757788235</v>
      </c>
      <c r="BZ12" s="65">
        <f>IF(V12&lt;&gt;"SÍ","",IF(BU12&lt;0,9.99,IF(BY12&gt;0,BH12/BY12,0)))</f>
        <v>0.81427084885681</v>
      </c>
      <c r="CA12" s="66">
        <f>IF(V12&lt;&gt;"SÍ","",IF(BW12=0,"—",0.003*(BX12-(BW12*INDEX(TABLAS!$D$52:$D$58,MATCH(BV12,TABLAS!$B$52:$B$58,0))*DATOS!$C$14/(DATOS!$C$21*AF12)/DATOS!$C$22))/(BW12*INDEX(TABLAS!$D$52:$D$58,MATCH(BV12,TABLAS!$B$52:$B$58,0))*DATOS!$C$14/(DATOS!$C$21*AF12)/DATOS!$C$22)))</f>
        <v>0.00942024936868687</v>
      </c>
      <c r="CB12" s="58">
        <f>IF(V12&lt;&gt;"SÍ","",(DATOS!$C$85-AK12-INDEX(TABLAS!$C$52:$C$58,MATCH(MAX(4,DATOS!$C$71),TABLAS!$B$52:$B$58,0))-INDEX(TABLAS!$C$52:$C$58,MATCH(MAX(4,DATOS!$C$71),TABLAS!$B$52:$B$58,0))/2))</f>
        <v>19.095</v>
      </c>
      <c r="CC12" s="58">
        <f>IF(V12&lt;&gt;"SÍ","",IF(IF(BI12&lt;=0,0,IF((1-2*BI12*1E5/(DATOS!$C$29*AI12*CB12^2*DATOS!$C$21))&lt;0,-1,IF((1-SQRT((1-2*BI12*1E5/(DATOS!$C$29*AI12*CB12^2*DATOS!$C$21))))*DATOS!$C$21*AI12*CB12/DATOS!$C$14&gt;DATOS!$C$102*AI12*CB12,-1,(1-SQRT((1-2*BI12*1E5/(DATOS!$C$29*AI12*CB12^2*DATOS!$C$21))))*DATOS!$C$21*AI12*CB12/DATOS!$C$14)))&lt;0,-1,MAX(IF(BI12&lt;=0,0,IF((1-2*BI12*1E5/(DATOS!$C$29*AI12*CB12^2*DATOS!$C$21))&lt;0,-1,IF((1-SQRT((1-2*BI12*1E5/(DATOS!$C$29*AI12*CB12^2*DATOS!$C$21))))*DATOS!$C$21*AI12*CB12/DATOS!$C$14&gt;DATOS!$C$102*AI12*CB12,-1,(1-SQRT((1-2*BI12*1E5/(DATOS!$C$29*AI12*CB12^2*DATOS!$C$21))))*DATOS!$C$21*AI12*CB12/DATOS!$C$14))),MIN(DATOS!$C$103*DATOS!$C$83*CB12,4/3*IF(BI12&lt;=0,0,IF((1-2*BI12*1E5/(DATOS!$C$29*AI12*CB12^2*DATOS!$C$21))&lt;0,-1,IF((1-SQRT((1-2*BI12*1E5/(DATOS!$C$29*AI12*CB12^2*DATOS!$C$21))))*DATOS!$C$21*AI12*CB12/DATOS!$C$14&gt;DATOS!$C$102*AI12*CB12,-1,(1-SQRT((1-2*BI12*1E5/(DATOS!$C$29*AI12*CB12^2*DATOS!$C$21))))*DATOS!$C$21*AI12*CB12/DATOS!$C$14)))))))</f>
        <v>0</v>
      </c>
      <c r="CD12" s="64">
        <f>IF(V12&lt;&gt;"SÍ","",IF(AND(CC12&gt;=0,IF(MAX(DATOS!$C$74,CEILING(CC12/INDEX(TABLAS!$D$52:$D$58,MIN(MATCH(MAX(4,DATOS!$C$71),TABLAS!$B$52:$B$58,0)+0,7)),1))*INDEX(TABLAS!$D$52:$D$58,MIN(MATCH(MAX(4,DATOS!$C$71),TABLAS!$B$52:$B$58,0)+0,7)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+0,7)),1)),MAX(MAX(DATOS!$C$74,CEILING(CC12/INDEX(TABLAS!$D$52:$D$58,MIN(MATCH(MAX(4,DATOS!$C$71),TABLAS!$B$52:$B$58,0)+0,7)),1)),2))&lt;=MIN(DATOS!$C$73,INT(((DATOS!$C$83-2*AK12)+MAX(DATOS!$C$70,INDEX(TABLAS!$C$52:$C$58,MIN(MATCH(MAX(4,DATOS!$C$71),TABLAS!$B$52:$B$58,0)+0,7))))/(INDEX(TABLAS!$C$52:$C$58,MIN(MATCH(MAX(4,DATOS!$C$71),TABLAS!$B$52:$B$58,0)+0,7))+MAX(DATOS!$C$70,INDEX(TABLAS!$C$52:$C$58,MIN(MATCH(MAX(4,DATOS!$C$71),TABLAS!$B$52:$B$58,0)+0,7))))))),INDEX(TABLAS!$B$52:$B$58,MIN(MATCH(MAX(4,DATOS!$C$71),TABLAS!$B$52:$B$58,0)+0,7)),IF(AND(CC12&gt;=0,IF(MAX(DATOS!$C$74,CEILING(CC12/INDEX(TABLAS!$D$52:$D$58,MIN(MATCH(MAX(4,DATOS!$C$71),TABLAS!$B$52:$B$58,0)+1,7)),1))*INDEX(TABLAS!$D$52:$D$58,MIN(MATCH(MAX(4,DATOS!$C$71),TABLAS!$B$52:$B$58,0)+1,7)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+1,7)),1)),MAX(MAX(DATOS!$C$74,CEILING(CC12/INDEX(TABLAS!$D$52:$D$58,MIN(MATCH(MAX(4,DATOS!$C$71),TABLAS!$B$52:$B$58,0)+1,7)),1)),2))&lt;=MIN(DATOS!$C$73,INT(((DATOS!$C$83-2*AK12)+MAX(DATOS!$C$70,INDEX(TABLAS!$C$52:$C$58,MIN(MATCH(MAX(4,DATOS!$C$71),TABLAS!$B$52:$B$58,0)+1,7))))/(INDEX(TABLAS!$C$52:$C$58,MIN(MATCH(MAX(4,DATOS!$C$71),TABLAS!$B$52:$B$58,0)+1,7))+MAX(DATOS!$C$70,INDEX(TABLAS!$C$52:$C$58,MIN(MATCH(MAX(4,DATOS!$C$71),TABLAS!$B$52:$B$58,0)+1,7))))))),INDEX(TABLAS!$B$52:$B$58,MIN(MATCH(MAX(4,DATOS!$C$71),TABLAS!$B$52:$B$58,0)+1,7)),IF(AND(CC12&gt;=0,IF(MAX(DATOS!$C$74,CEILING(CC12/INDEX(TABLAS!$D$52:$D$58,MIN(MATCH(MAX(4,DATOS!$C$71),TABLAS!$B$52:$B$58,0)+2,7)),1))*INDEX(TABLAS!$D$52:$D$58,MIN(MATCH(MAX(4,DATOS!$C$71),TABLAS!$B$52:$B$58,0)+2,7)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+2,7)),1)),MAX(MAX(DATOS!$C$74,CEILING(CC12/INDEX(TABLAS!$D$52:$D$58,MIN(MATCH(MAX(4,DATOS!$C$71),TABLAS!$B$52:$B$58,0)+2,7)),1)),2))&lt;=MIN(DATOS!$C$73,INT(((DATOS!$C$83-2*AK12)+MAX(DATOS!$C$70,INDEX(TABLAS!$C$52:$C$58,MIN(MATCH(MAX(4,DATOS!$C$71),TABLAS!$B$52:$B$58,0)+2,7))))/(INDEX(TABLAS!$C$52:$C$58,MIN(MATCH(MAX(4,DATOS!$C$71),TABLAS!$B$52:$B$58,0)+2,7))+MAX(DATOS!$C$70,INDEX(TABLAS!$C$52:$C$58,MIN(MATCH(MAX(4,DATOS!$C$71),TABLAS!$B$52:$B$58,0)+2,7))))))),INDEX(TABLAS!$B$52:$B$58,MIN(MATCH(MAX(4,DATOS!$C$71),TABLAS!$B$52:$B$58,0)+2,7)),IF(AND(CC12&gt;=0,IF(MAX(DATOS!$C$74,CEILING(CC12/INDEX(TABLAS!$D$52:$D$58,MIN(MATCH(MAX(4,DATOS!$C$71),TABLAS!$B$52:$B$58,0)+3,7)),1))*INDEX(TABLAS!$D$52:$D$58,MIN(MATCH(MAX(4,DATOS!$C$71),TABLAS!$B$52:$B$58,0)+3,7)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+3,7)),1)),MAX(MAX(DATOS!$C$74,CEILING(CC12/INDEX(TABLAS!$D$52:$D$58,MIN(MATCH(MAX(4,DATOS!$C$71),TABLAS!$B$52:$B$58,0)+3,7)),1)),2))&lt;=MIN(DATOS!$C$73,INT(((DATOS!$C$83-2*AK12)+MAX(DATOS!$C$70,INDEX(TABLAS!$C$52:$C$58,MIN(MATCH(MAX(4,DATOS!$C$71),TABLAS!$B$52:$B$58,0)+3,7))))/(INDEX(TABLAS!$C$52:$C$58,MIN(MATCH(MAX(4,DATOS!$C$71),TABLAS!$B$52:$B$58,0)+3,7))+MAX(DATOS!$C$70,INDEX(TABLAS!$C$52:$C$58,MIN(MATCH(MAX(4,DATOS!$C$71),TABLAS!$B$52:$B$58,0)+3,7))))))),INDEX(TABLAS!$B$52:$B$58,MIN(MATCH(MAX(4,DATOS!$C$71),TABLAS!$B$52:$B$58,0)+3,7)),IF(AND(CC12&gt;=0,IF(MAX(DATOS!$C$74,CEILING(CC12/INDEX(TABLAS!$D$52:$D$58,MIN(MATCH(MAX(4,DATOS!$C$71),TABLAS!$B$52:$B$58,0)+4,7)),1))*INDEX(TABLAS!$D$52:$D$58,MIN(MATCH(MAX(4,DATOS!$C$71),TABLAS!$B$52:$B$58,0)+4,7)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+4,7)),1)),MAX(MAX(DATOS!$C$74,CEILING(CC12/INDEX(TABLAS!$D$52:$D$58,MIN(MATCH(MAX(4,DATOS!$C$71),TABLAS!$B$52:$B$58,0)+4,7)),1)),2))&lt;=MIN(DATOS!$C$73,INT(((DATOS!$C$83-2*AK12)+MAX(DATOS!$C$70,INDEX(TABLAS!$C$52:$C$58,MIN(MATCH(MAX(4,DATOS!$C$71),TABLAS!$B$52:$B$58,0)+4,7))))/(INDEX(TABLAS!$C$52:$C$58,MIN(MATCH(MAX(4,DATOS!$C$71),TABLAS!$B$52:$B$58,0)+4,7))+MAX(DATOS!$C$70,INDEX(TABLAS!$C$52:$C$58,MIN(MATCH(MAX(4,DATOS!$C$71),TABLAS!$B$52:$B$58,0)+4,7))))))),INDEX(TABLAS!$B$52:$B$58,MIN(MATCH(MAX(4,DATOS!$C$71),TABLAS!$B$52:$B$58,0)+4,7)),INDEX(TABLAS!$B$52:$B$58,7)))))))</f>
        <v>4</v>
      </c>
      <c r="CE12" s="59">
        <f>IF(V12&lt;&gt;"SÍ","",IF(CC12&lt;0,0,IF(MAX(DATOS!$C$74,CEILING(MAX(CC12,0)/INDEX(TABLAS!$D$52:$D$58,MATCH(CD12,TABLAS!$B$52:$B$58,0)),1))*INDEX(TABLAS!$D$52:$D$58,MATCH(CD12,TABLAS!$B$52:$B$58,0))&gt;=4/3*IF(BI12&lt;=0,0,IF((1-2*BI12*1E5/(DATOS!$C$29*AI12*CB12^2*DATOS!$C$21))&lt;0,-1,IF((1-SQRT((1-2*BI12*1E5/(DATOS!$C$29*AI12*CB12^2*DATOS!$C$21))))*DATOS!$C$21*AI12*CB12/DATOS!$C$14&gt;DATOS!$C$102*AI12*CB12,-1,(1-SQRT((1-2*BI12*1E5/(DATOS!$C$29*AI12*CB12^2*DATOS!$C$21))))*DATOS!$C$21*AI12*CB12/DATOS!$C$14)))-0.0001,MAX(DATOS!$C$74,CEILING(MAX(CC12,0)/INDEX(TABLAS!$D$52:$D$58,MATCH(CD12,TABLAS!$B$52:$B$58,0)),1)),MAX(MAX(DATOS!$C$74,CEILING(MAX(CC12,0)/INDEX(TABLAS!$D$52:$D$58,MATCH(CD12,TABLAS!$B$52:$B$58,0)),1)),2))))</f>
        <v>1</v>
      </c>
      <c r="CF12" s="58">
        <f>IF(V12&lt;&gt;"SÍ","",DATOS!$C$85-AK12-INDEX(TABLAS!$C$52:$C$58,MATCH(BN12,TABLAS!$B$52:$B$58,0))-INDEX(TABLAS!$C$52:$C$58,MATCH(CD12,TABLAS!$B$52:$B$58,0))/2)</f>
        <v>19.095</v>
      </c>
      <c r="CG12" s="56">
        <f>IF(V12&lt;&gt;"SÍ","",IF(CE12=0,0,DATOS!$C$29*CE12*INDEX(TABLAS!$D$52:$D$58,MATCH(CD12,TABLAS!$B$52:$B$58,0))*DATOS!$C$14*(CF12-CE12*INDEX(TABLAS!$D$52:$D$58,MATCH(CD12,TABLAS!$B$52:$B$58,0))*DATOS!$C$14/(DATOS!$C$21*AI12)/2)/1E5))</f>
        <v>0.908067376588235</v>
      </c>
      <c r="CH12" s="65">
        <f>IF(V12&lt;&gt;"SÍ","",IF(CC12&lt;0,9.99,IF(CG12&gt;0,BI12/CG12,0)))</f>
        <v>0</v>
      </c>
      <c r="CI12" s="66">
        <f>IF(V12&lt;&gt;"SÍ","",IF(CE12=0,"—",0.003*(CF12-(CE12*INDEX(TABLAS!$D$52:$D$58,MATCH(CD12,TABLAS!$B$52:$B$58,0))*DATOS!$C$14/(DATOS!$C$21*AI12)/DATOS!$C$22))/(CE12*INDEX(TABLAS!$D$52:$D$58,MATCH(CD12,TABLAS!$B$52:$B$58,0))*DATOS!$C$14/(DATOS!$C$21*AI12)/DATOS!$C$22)))</f>
        <v>0.13278875492126</v>
      </c>
      <c r="CJ12" s="58">
        <f>IF(V12&lt;&gt;"SÍ","",((DATOS!$C$85-AM12-2*DATOS!$C$97-INDEX(TABLAS!$C$52:$C$58,MATCH(MAX(4,DATOS!$C$72),TABLAS!$B$52:$B$58,0))-INDEX(TABLAS!$C$52:$C$58,MATCH(MAX(4,DATOS!$C$72),TABLAS!$B$52:$B$58,0))/2)-IF(AND((DATOS!$C$85-AM12-2*DATOS!$C$97-INDEX(TABLAS!$C$52:$C$58,MATCH(MAX(4,DATOS!$C$72),TABLAS!$B$52:$B$58,0))-INDEX(TABLAS!$C$52:$C$58,MATCH(MAX(4,DATOS!$C$72),TABLAS!$B$52:$B$58,0))/2)&lt;=20,DATOS!$C$65&lt;&gt;"SÍ"),2,0)))</f>
        <v>17.951</v>
      </c>
      <c r="CK12" s="58">
        <f>IF(V12&lt;&gt;"SÍ","",IF(IF(BJ12&lt;=0,0,IF((1-2*BJ12*1E5/(DATOS!$C$29*AG12*CJ12^2*DATOS!$C$21))&lt;0,-1,IF((1-SQRT((1-2*BJ12*1E5/(DATOS!$C$29*AG12*CJ12^2*DATOS!$C$21))))*DATOS!$C$21*AG12*CJ12/DATOS!$C$14&gt;DATOS!$C$102*AG12*CJ12,-1,(1-SQRT((1-2*BJ12*1E5/(DATOS!$C$29*AG12*CJ12^2*DATOS!$C$21))))*DATOS!$C$21*AG12*CJ12/DATOS!$C$14)))&lt;0,-1,MAX(IF(BJ12&lt;=0,0,IF((1-2*BJ12*1E5/(DATOS!$C$29*AG12*CJ12^2*DATOS!$C$21))&lt;0,-1,IF((1-SQRT((1-2*BJ12*1E5/(DATOS!$C$29*AG12*CJ12^2*DATOS!$C$21))))*DATOS!$C$21*AG12*CJ12/DATOS!$C$14&gt;DATOS!$C$102*AG12*CJ12,-1,(1-SQRT((1-2*BJ12*1E5/(DATOS!$C$29*AG12*CJ12^2*DATOS!$C$21))))*DATOS!$C$21*AG12*CJ12/DATOS!$C$14))),MIN(DATOS!$C$103*DATOS!$C$83*CJ12,4/3*IF(BJ12&lt;=0,0,IF((1-2*BJ12*1E5/(DATOS!$C$29*AG12*CJ12^2*DATOS!$C$21))&lt;0,-1,IF((1-SQRT((1-2*BJ12*1E5/(DATOS!$C$29*AG12*CJ12^2*DATOS!$C$21))))*DATOS!$C$21*AG12*CJ12/DATOS!$C$14&gt;DATOS!$C$102*AG12*CJ12,-1,(1-SQRT((1-2*BJ12*1E5/(DATOS!$C$29*AG12*CJ12^2*DATOS!$C$21))))*DATOS!$C$21*AG12*CJ12/DATOS!$C$14)))))))</f>
        <v>0</v>
      </c>
      <c r="CL12" s="64">
        <f>IF(V12&lt;&gt;"SÍ","",IF(AND(CK12&gt;=0,IF(MAX(DATOS!$C$74,CEILING(CK12/INDEX(TABLAS!$D$52:$D$58,MIN(MATCH(MAX(4,DATOS!$C$72),TABLAS!$B$52:$B$58,0)+0,7)),1))*INDEX(TABLAS!$D$52:$D$58,MIN(MATCH(MAX(4,DATOS!$C$72),TABLAS!$B$52:$B$58,0)+0,7)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+0,7)),1)),MAX(MAX(DATOS!$C$74,CEILING(CK12/INDEX(TABLAS!$D$52:$D$58,MIN(MATCH(MAX(4,DATOS!$C$72),TABLAS!$B$52:$B$58,0)+0,7)),1)),2))&lt;=MIN(DATOS!$C$73,INT(((DATOS!$C$83-2*AL12)+MAX(DATOS!$C$70,INDEX(TABLAS!$C$52:$C$58,MIN(MATCH(MAX(4,DATOS!$C$72),TABLAS!$B$52:$B$58,0)+0,7))))/(INDEX(TABLAS!$C$52:$C$58,MIN(MATCH(MAX(4,DATOS!$C$72),TABLAS!$B$52:$B$58,0)+0,7))+MAX(DATOS!$C$70,INDEX(TABLAS!$C$52:$C$58,MIN(MATCH(MAX(4,DATOS!$C$72),TABLAS!$B$52:$B$58,0)+0,7))))))),INDEX(TABLAS!$B$52:$B$58,MIN(MATCH(MAX(4,DATOS!$C$72),TABLAS!$B$52:$B$58,0)+0,7)),IF(AND(CK12&gt;=0,IF(MAX(DATOS!$C$74,CEILING(CK12/INDEX(TABLAS!$D$52:$D$58,MIN(MATCH(MAX(4,DATOS!$C$72),TABLAS!$B$52:$B$58,0)+1,7)),1))*INDEX(TABLAS!$D$52:$D$58,MIN(MATCH(MAX(4,DATOS!$C$72),TABLAS!$B$52:$B$58,0)+1,7)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+1,7)),1)),MAX(MAX(DATOS!$C$74,CEILING(CK12/INDEX(TABLAS!$D$52:$D$58,MIN(MATCH(MAX(4,DATOS!$C$72),TABLAS!$B$52:$B$58,0)+1,7)),1)),2))&lt;=MIN(DATOS!$C$73,INT(((DATOS!$C$83-2*AL12)+MAX(DATOS!$C$70,INDEX(TABLAS!$C$52:$C$58,MIN(MATCH(MAX(4,DATOS!$C$72),TABLAS!$B$52:$B$58,0)+1,7))))/(INDEX(TABLAS!$C$52:$C$58,MIN(MATCH(MAX(4,DATOS!$C$72),TABLAS!$B$52:$B$58,0)+1,7))+MAX(DATOS!$C$70,INDEX(TABLAS!$C$52:$C$58,MIN(MATCH(MAX(4,DATOS!$C$72),TABLAS!$B$52:$B$58,0)+1,7))))))),INDEX(TABLAS!$B$52:$B$58,MIN(MATCH(MAX(4,DATOS!$C$72),TABLAS!$B$52:$B$58,0)+1,7)),IF(AND(CK12&gt;=0,IF(MAX(DATOS!$C$74,CEILING(CK12/INDEX(TABLAS!$D$52:$D$58,MIN(MATCH(MAX(4,DATOS!$C$72),TABLAS!$B$52:$B$58,0)+2,7)),1))*INDEX(TABLAS!$D$52:$D$58,MIN(MATCH(MAX(4,DATOS!$C$72),TABLAS!$B$52:$B$58,0)+2,7)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+2,7)),1)),MAX(MAX(DATOS!$C$74,CEILING(CK12/INDEX(TABLAS!$D$52:$D$58,MIN(MATCH(MAX(4,DATOS!$C$72),TABLAS!$B$52:$B$58,0)+2,7)),1)),2))&lt;=MIN(DATOS!$C$73,INT(((DATOS!$C$83-2*AL12)+MAX(DATOS!$C$70,INDEX(TABLAS!$C$52:$C$58,MIN(MATCH(MAX(4,DATOS!$C$72),TABLAS!$B$52:$B$58,0)+2,7))))/(INDEX(TABLAS!$C$52:$C$58,MIN(MATCH(MAX(4,DATOS!$C$72),TABLAS!$B$52:$B$58,0)+2,7))+MAX(DATOS!$C$70,INDEX(TABLAS!$C$52:$C$58,MIN(MATCH(MAX(4,DATOS!$C$72),TABLAS!$B$52:$B$58,0)+2,7))))))),INDEX(TABLAS!$B$52:$B$58,MIN(MATCH(MAX(4,DATOS!$C$72),TABLAS!$B$52:$B$58,0)+2,7)),IF(AND(CK12&gt;=0,IF(MAX(DATOS!$C$74,CEILING(CK12/INDEX(TABLAS!$D$52:$D$58,MIN(MATCH(MAX(4,DATOS!$C$72),TABLAS!$B$52:$B$58,0)+3,7)),1))*INDEX(TABLAS!$D$52:$D$58,MIN(MATCH(MAX(4,DATOS!$C$72),TABLAS!$B$52:$B$58,0)+3,7)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+3,7)),1)),MAX(MAX(DATOS!$C$74,CEILING(CK12/INDEX(TABLAS!$D$52:$D$58,MIN(MATCH(MAX(4,DATOS!$C$72),TABLAS!$B$52:$B$58,0)+3,7)),1)),2))&lt;=MIN(DATOS!$C$73,INT(((DATOS!$C$83-2*AL12)+MAX(DATOS!$C$70,INDEX(TABLAS!$C$52:$C$58,MIN(MATCH(MAX(4,DATOS!$C$72),TABLAS!$B$52:$B$58,0)+3,7))))/(INDEX(TABLAS!$C$52:$C$58,MIN(MATCH(MAX(4,DATOS!$C$72),TABLAS!$B$52:$B$58,0)+3,7))+MAX(DATOS!$C$70,INDEX(TABLAS!$C$52:$C$58,MIN(MATCH(MAX(4,DATOS!$C$72),TABLAS!$B$52:$B$58,0)+3,7))))))),INDEX(TABLAS!$B$52:$B$58,MIN(MATCH(MAX(4,DATOS!$C$72),TABLAS!$B$52:$B$58,0)+3,7)),IF(AND(CK12&gt;=0,IF(MAX(DATOS!$C$74,CEILING(CK12/INDEX(TABLAS!$D$52:$D$58,MIN(MATCH(MAX(4,DATOS!$C$72),TABLAS!$B$52:$B$58,0)+4,7)),1))*INDEX(TABLAS!$D$52:$D$58,MIN(MATCH(MAX(4,DATOS!$C$72),TABLAS!$B$52:$B$58,0)+4,7)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+4,7)),1)),MAX(MAX(DATOS!$C$74,CEILING(CK12/INDEX(TABLAS!$D$52:$D$58,MIN(MATCH(MAX(4,DATOS!$C$72),TABLAS!$B$52:$B$58,0)+4,7)),1)),2))&lt;=MIN(DATOS!$C$73,INT(((DATOS!$C$83-2*AL12)+MAX(DATOS!$C$70,INDEX(TABLAS!$C$52:$C$58,MIN(MATCH(MAX(4,DATOS!$C$72),TABLAS!$B$52:$B$58,0)+4,7))))/(INDEX(TABLAS!$C$52:$C$58,MIN(MATCH(MAX(4,DATOS!$C$72),TABLAS!$B$52:$B$58,0)+4,7))+MAX(DATOS!$C$70,INDEX(TABLAS!$C$52:$C$58,MIN(MATCH(MAX(4,DATOS!$C$72),TABLAS!$B$52:$B$58,0)+4,7))))))),INDEX(TABLAS!$B$52:$B$58,MIN(MATCH(MAX(4,DATOS!$C$72),TABLAS!$B$52:$B$58,0)+4,7)),INDEX(TABLAS!$B$52:$B$58,7)))))))</f>
        <v>4</v>
      </c>
      <c r="CM12" s="59">
        <f>IF(V12&lt;&gt;"SÍ","",IF(CK12&lt;0,0,IF(MAX(DATOS!$C$74,CEILING(MAX(CK12,0)/INDEX(TABLAS!$D$52:$D$58,MATCH(CL12,TABLAS!$B$52:$B$58,0)),1))*INDEX(TABLAS!$D$52:$D$58,MATCH(CL12,TABLAS!$B$52:$B$58,0))&gt;=4/3*IF(BJ12&lt;=0,0,IF((1-2*BJ12*1E5/(DATOS!$C$29*AG12*CJ12^2*DATOS!$C$21))&lt;0,-1,IF((1-SQRT((1-2*BJ12*1E5/(DATOS!$C$29*AG12*CJ12^2*DATOS!$C$21))))*DATOS!$C$21*AG12*CJ12/DATOS!$C$14&gt;DATOS!$C$102*AG12*CJ12,-1,(1-SQRT((1-2*BJ12*1E5/(DATOS!$C$29*AG12*CJ12^2*DATOS!$C$21))))*DATOS!$C$21*AG12*CJ12/DATOS!$C$14)))-0.0001,MAX(DATOS!$C$74,CEILING(MAX(CK12,0)/INDEX(TABLAS!$D$52:$D$58,MATCH(CL12,TABLAS!$B$52:$B$58,0)),1)),MAX(MAX(DATOS!$C$74,CEILING(MAX(CK12,0)/INDEX(TABLAS!$D$52:$D$58,MATCH(CL12,TABLAS!$B$52:$B$58,0)),1)),2))))</f>
        <v>1</v>
      </c>
      <c r="CN12" s="58">
        <f>IF(V12&lt;&gt;"SÍ","",((DATOS!$C$85-AM12-2*DATOS!$C$97-INDEX(TABLAS!$C$52:$C$58,MATCH(BV12,TABLAS!$B$52:$B$58,0))-INDEX(TABLAS!$C$52:$C$58,MATCH(CL12,TABLAS!$B$52:$B$58,0))/2)-IF(AND((DATOS!$C$85-AM12-2*DATOS!$C$97-INDEX(TABLAS!$C$52:$C$58,MATCH(BV12,TABLAS!$B$52:$B$58,0))-INDEX(TABLAS!$C$52:$C$58,MATCH(CL12,TABLAS!$B$52:$B$58,0))/2)&lt;=20,DATOS!$C$65&lt;&gt;"SÍ"),2,0)))</f>
        <v>17.631</v>
      </c>
      <c r="CO12" s="56">
        <f>IF(V12&lt;&gt;"SÍ","",IF(CM12=0,0,DATOS!$C$29*CM12*INDEX(TABLAS!$D$52:$D$58,MATCH(CL12,TABLAS!$B$52:$B$58,0))*DATOS!$C$14*(CN12-CM12*INDEX(TABLAS!$D$52:$D$58,MATCH(CL12,TABLAS!$B$52:$B$58,0))*DATOS!$C$14/(DATOS!$C$21*AG12)/2)/1E5))</f>
        <v>0.786143432117647</v>
      </c>
      <c r="CP12" s="65">
        <f>IF(V12&lt;&gt;"SÍ","",IF(CK12&lt;0,9.99,IF(CO12&gt;0,BJ12/CO12,0)))</f>
        <v>0</v>
      </c>
      <c r="CQ12" s="66">
        <f>IF(V12&lt;&gt;"SÍ","",IF(CM12=0,"—",0.003*(CN12-(CM12*INDEX(TABLAS!$D$52:$D$58,MATCH(CL12,TABLAS!$B$52:$B$58,0))*DATOS!$C$14/(DATOS!$C$21*AG12)/DATOS!$C$22))/(CM12*INDEX(TABLAS!$D$52:$D$58,MATCH(CL12,TABLAS!$B$52:$B$58,0))*DATOS!$C$14/(DATOS!$C$21*AG12)/DATOS!$C$22)))</f>
        <v>0.0149111325928009</v>
      </c>
      <c r="CR12" s="56">
        <f>IF(V12&lt;&gt;"SÍ","",IF(C12="PERIMETRAL",MAX(0,(AB12/2-BX12)/100)*(0.95-0.5*AA12)*AR12*IF(AND(AS12&gt;0,AS12&lt;4),DATOS!$C$33,1)*DATOS!$C$86/100/1000,(AR12*MAX(0,AB12-BX12)/100+DATOS!$C$26*N(O12))*DATOS!$C$86/100/1000+BF12))</f>
        <v>1.64226826555</v>
      </c>
      <c r="CS12" s="56">
        <f>IF(V12&lt;&gt;"SÍ","",DATOS!$C$30*2*MIN(1,SQRT(2/(1+0.04*BX12)))*(BW12*INDEX(TABLAS!$D$52:$D$58,MATCH(BV12,TABLAS!$B$52:$B$58,0))/(AF12*BX12))^(1/3)*SQRT(DATOS!$C$13)*AF12*BX12*IF(AJ12="SÍ",DATOS!$C$32,1)/1000)</f>
        <v>1.97277146152108</v>
      </c>
      <c r="CT12" s="59">
        <f>IF(V12&lt;&gt;"SÍ","",IF(CR12&lt;=CS12,0,CEILING(MAX(0,IF(C12="VOLADO",(AB12-((CS12-BF12)*1E5/DATOS!$C$86-DATOS!$C$26*N(O12))*100/AR12),IF(CS12&lt;=0,AB12,AB12/2-CS12/MAX(CR12,1E-9)*(AB12/2-BX12)))-IF(X12="X",MIN(DJ12,DK12),MIN(DL12,DM12)))/DATOS!$C$86,1)))</f>
        <v>0</v>
      </c>
      <c r="CU12" s="67" t="str">
        <f>IF(V12&lt;&gt;"SÍ","",IF(CR12&lt;=CS12,"CUMPLE",IF(CT12&lt;=0,"CUMPLE (basta el macizo de orilla)",IF(CT12*DATOS!$C$86*IF(C12="VOLADO",1,2)&gt;=Y12*100-DATOS!$C$87,"NO CUMPLE: no alcanza ni macizando todo","MACIZAR "&amp;CT12&amp;" hilera(s)"))))</f>
        <v>CUMPLE</v>
      </c>
      <c r="CV12" s="58">
        <f>IF(V12&lt;&gt;"SÍ","",(DATOS!$C$86*DATOS!$C$84^2/2+MIN(DATOS!$C$83,AD12)*DATOS!$C$82*(DATOS!$C$84+DATOS!$C$82/2))/(DATOS!$C$86*DATOS!$C$84+MIN(DATOS!$C$83,AD12)*DATOS!$C$82))</f>
        <v>6.89344262295082</v>
      </c>
      <c r="CW12" s="68">
        <f>IF(V12&lt;&gt;"SÍ","",DATOS!$C$86*DATOS!$C$84^3/12+DATOS!$C$86*DATOS!$C$84*(CV12-DATOS!$C$84/2)^2+MIN(DATOS!$C$83,AD12)*DATOS!$C$82^3/12+MIN(DATOS!$C$83,AD12)*DATOS!$C$82*(DATOS!$C$84+DATOS!$C$82/2-CV12)^2)</f>
        <v>27416.4071038251</v>
      </c>
      <c r="CX12" s="58">
        <f>IF(V12&lt;&gt;"SÍ","",(12*CW12/DATOS!$C$86)^(1/3))</f>
        <v>16.7506339743859</v>
      </c>
      <c r="CY12" s="58">
        <f>IF(V12&lt;&gt;"SÍ","",IF(C12="PERIMETRAL",IF(ISNUMBER(S12),S12,DATOS!$C$104),0))</f>
        <v>0</v>
      </c>
      <c r="CZ12" s="57">
        <f>IF(V12&lt;&gt;"SÍ","",IF(C12="PERIMETRAL",IF(CY12&gt;2,MAX(9,AC12*(0.8+DATOS!$C$14/14000)/(36+9*(AC12/MAX(AB12,1)))),IF(CY12&gt;0.2,MAX(13,AC12*(0.8+DATOS!$C$14/14000)/(36+5*(AC12/MAX(AB12,1))*(CY12-0.2))),MAX(13,AC12/IF(AS12&gt;0,30,33))))*IF(AND(CY12&gt;0.2,AS12&gt;0,DATOS!$C$105="NO"),1.1,1),MAX(25,Y12*100/8*(0.4+DATOS!$C$14/7000))))</f>
        <v>25</v>
      </c>
      <c r="DA12" s="61" t="str">
        <f>IF(V12&lt;&gt;"SÍ","",IF(IF(C12="VOLADO",DATOS!$C$85,CX12)&gt;=CZ12,"CUMPLE",IF(C12="VOLADO","NO CUMPLE","CALCULAR FLECHA")))</f>
        <v>CUMPLE</v>
      </c>
      <c r="DB12" s="55" t="str">
        <f>IF(V12&lt;&gt;"SÍ","",IF(DATOS!$C$84&gt;=IF(IF(C12="VOLADO",Y12,Z12)&gt;=6,6,5),"CUMPLE","CAPA ≥ 6 cm"))</f>
        <v>CUMPLE</v>
      </c>
      <c r="DC12" s="60">
        <f>IF(V12&lt;&gt;"SÍ","",IF(C12="VOLADO",MIN(FLOOR(IF(ISNUMBER(P12),P12,Y12)*100-DATOS!$C$63,5),CEILING(MAX(IF((0.5*(0.9*DATOS!$C$90*DATOS!$C$86/100/1000)*IF(ISNUMBER(P12),P12,Y12)+BH12/IF(ISNUMBER(P12),P12,Y12))^2-4*(0.5*(0.9*DATOS!$C$90*DATOS!$C$86/100/1000))*BH12&lt;0,IF(ISNUMBER(P12),P12,Y12),MIN(IF(ISNUMBER(P12),P12,Y12),((0.5*(0.9*DATOS!$C$90*DATOS!$C$86/100/1000)*IF(ISNUMBER(P12),P12,Y12)+BH12/IF(ISNUMBER(P12),P12,Y12))-SQRT((0.5*(0.9*DATOS!$C$90*DATOS!$C$86/100/1000)*IF(ISNUMBER(P12),P12,Y12)+BH12/IF(ISNUMBER(P12),P12,Y12))^2-4*(0.5*(0.9*DATOS!$C$90*DATOS!$C$86/100/1000))*BH12))/(2*(0.5*(0.9*DATOS!$C$90*DATOS!$C$86/100/1000)))))*100+MAX(BX12,12*INDEX(TABLAS!$C$52:$C$58,MATCH(BV12,TABLAS!$B$52:$B$58,0)),IF(ISNUMBER(P12),P12,Y12)*100/16),IF(OR(AL12&lt;INDEX(TABLAS!$C$52:$C$58,MATCH(BV12,TABLAS!$B$52:$B$58,0)),AND(BW12&gt;=2,(AD12-2*AL12-BW12*INDEX(TABLAS!$C$52:$C$58,MATCH(BV12,TABLAS!$B$52:$B$58,0)))/MAX(BW12-1,1)&lt;2*INDEX(TABLAS!$C$52:$C$58,MATCH(BV12,TABLAS!$B$52:$B$58,0)))),INDEX(TABLAS!$I$52:$I$58,MATCH(BV12,TABLAS!$B$52:$B$58,0)),INDEX(TABLAS!$F$52:$F$58,MATCH(BV12,TABLAS!$B$52:$B$58,0)))),5)),IF(((4*((BC12*AR12*Y12^2*1E-4*DATOS!$C$86/100/1000)+((MAX(AY12,BA12)*AR12*Y12^2*1E-4*DATOS!$C$86/100/1000)+(IF(AND(AY12&gt;0,BA12&gt;0),MIN(AY12,BA12),MAX(AY12,BA12))*AR12*Y12^2*1E-4*DATOS!$C$86/100/1000))/2)+BH12-(IF(AND(AY12&gt;0,BA12&gt;0),MIN(AY12,BA12),MAX(AY12,BA12))*AR12*Y12^2*1E-4*DATOS!$C$86/100/1000))^2-16*((BC12*AR12*Y12^2*1E-4*DATOS!$C$86/100/1000)+((MAX(AY12,BA12)*AR12*Y12^2*1E-4*DATOS!$C$86/100/1000)+(IF(AND(AY12&gt;0,BA12&gt;0),MIN(AY12,BA12),MAX(AY12,BA12))*AR12*Y12^2*1E-4*DATOS!$C$86/100/1000))/2)*BH12)&lt;0,CEILING(AB12,5),CEILING(MAX(AB12*((4*((BC12*AR12*Y12^2*1E-4*DATOS!$C$86/100/1000)+((MAX(AY12,BA12)*AR12*Y12^2*1E-4*DATOS!$C$86/100/1000)+(IF(AND(AY12&gt;0,BA12&gt;0),MIN(AY12,BA12),MAX(AY12,BA12))*AR12*Y12^2*1E-4*DATOS!$C$86/100/1000))/2)+BH12-(IF(AND(AY12&gt;0,BA12&gt;0),MIN(AY12,BA12),MAX(AY12,BA12))*AR12*Y12^2*1E-4*DATOS!$C$86/100/1000))-SQRT(MAX(0,((4*((BC12*AR12*Y12^2*1E-4*DATOS!$C$86/100/1000)+((MAX(AY12,BA12)*AR12*Y12^2*1E-4*DATOS!$C$86/100/1000)+(IF(AND(AY12&gt;0,BA12&gt;0),MIN(AY12,BA12),MAX(AY12,BA12))*AR12*Y12^2*1E-4*DATOS!$C$86/100/1000))/2)+BH12-(IF(AND(AY12&gt;0,BA12&gt;0),MIN(AY12,BA12),MAX(AY12,BA12))*AR12*Y12^2*1E-4*DATOS!$C$86/100/1000))^2-16*((BC12*AR12*Y12^2*1E-4*DATOS!$C$86/100/1000)+((MAX(AY12,BA12)*AR12*Y12^2*1E-4*DATOS!$C$86/100/1000)+(IF(AND(AY12&gt;0,BA12&gt;0),MIN(AY12,BA12),MAX(AY12,BA12))*AR12*Y12^2*1E-4*DATOS!$C$86/100/1000))/2)*BH12))))/(8*MAX(((BC12*AR12*Y12^2*1E-4*DATOS!$C$86/100/1000)+((MAX(AY12,BA12)*AR12*Y12^2*1E-4*DATOS!$C$86/100/1000)+(IF(AND(AY12&gt;0,BA12&gt;0),MIN(AY12,BA12),MAX(AY12,BA12))*AR12*Y12^2*1E-4*DATOS!$C$86/100/1000))/2),1E-9))+MAX(BX12,12*INDEX(TABLAS!$C$52:$C$58,MATCH(BV12,TABLAS!$B$52:$B$58,0)),AB12/16),IF(OR(AL12&lt;INDEX(TABLAS!$C$52:$C$58,MATCH(BV12,TABLAS!$B$52:$B$58,0)),AND(BW12&gt;=2,(AD12-2*AL12-BW12*INDEX(TABLAS!$C$52:$C$58,MATCH(BV12,TABLAS!$B$52:$B$58,0)))/MAX(BW12-1,1)&lt;2*INDEX(TABLAS!$C$52:$C$58,MATCH(BV12,TABLAS!$B$52:$B$58,0)))),INDEX(TABLAS!$I$52:$I$58,MATCH(BV12,TABLAS!$B$52:$B$58,0)),INDEX(TABLAS!$F$52:$F$58,MATCH(BV12,TABLAS!$B$52:$B$58,0)))),5))))</f>
        <v>295</v>
      </c>
      <c r="DD12" s="60">
        <f>IF(V12&lt;&gt;"SÍ","",IF(C12="VOLADO",0,IF(((4*((BD12*AR12*Y12^2*1E-4*DATOS!$C$86/100/1000)+((MAX(AZ12,BB12)*AR12*Y12^2*1E-4*DATOS!$C$86/100/1000)+(IF(AND(AZ12&gt;0,BB12&gt;0),MIN(AZ12,BB12),MAX(AZ12,BB12))*AR12*Y12^2*1E-4*DATOS!$C$86/100/1000))/2)+BJ12-(IF(AND(AZ12&gt;0,BB12&gt;0),MIN(AZ12,BB12),MAX(AZ12,BB12))*AR12*Y12^2*1E-4*DATOS!$C$86/100/1000))^2-16*((BD12*AR12*Y12^2*1E-4*DATOS!$C$86/100/1000)+((MAX(AZ12,BB12)*AR12*Y12^2*1E-4*DATOS!$C$86/100/1000)+(IF(AND(AZ12&gt;0,BB12&gt;0),MIN(AZ12,BB12),MAX(AZ12,BB12))*AR12*Y12^2*1E-4*DATOS!$C$86/100/1000))/2)*BJ12)&lt;0,CEILING(AC12,5),CEILING(MAX(AC12*((4*((BD12*AR12*Y12^2*1E-4*DATOS!$C$86/100/1000)+((MAX(AZ12,BB12)*AR12*Y12^2*1E-4*DATOS!$C$86/100/1000)+(IF(AND(AZ12&gt;0,BB12&gt;0),MIN(AZ12,BB12),MAX(AZ12,BB12))*AR12*Y12^2*1E-4*DATOS!$C$86/100/1000))/2)+BJ12-(IF(AND(AZ12&gt;0,BB12&gt;0),MIN(AZ12,BB12),MAX(AZ12,BB12))*AR12*Y12^2*1E-4*DATOS!$C$86/100/1000))-SQRT(MAX(0,((4*((BD12*AR12*Y12^2*1E-4*DATOS!$C$86/100/1000)+((MAX(AZ12,BB12)*AR12*Y12^2*1E-4*DATOS!$C$86/100/1000)+(IF(AND(AZ12&gt;0,BB12&gt;0),MIN(AZ12,BB12),MAX(AZ12,BB12))*AR12*Y12^2*1E-4*DATOS!$C$86/100/1000))/2)+BJ12-(IF(AND(AZ12&gt;0,BB12&gt;0),MIN(AZ12,BB12),MAX(AZ12,BB12))*AR12*Y12^2*1E-4*DATOS!$C$86/100/1000))^2-16*((BD12*AR12*Y12^2*1E-4*DATOS!$C$86/100/1000)+((MAX(AZ12,BB12)*AR12*Y12^2*1E-4*DATOS!$C$86/100/1000)+(IF(AND(AZ12&gt;0,BB12&gt;0),MIN(AZ12,BB12),MAX(AZ12,BB12))*AR12*Y12^2*1E-4*DATOS!$C$86/100/1000))/2)*BJ12))))/(8*MAX(((BD12*AR12*Y12^2*1E-4*DATOS!$C$86/100/1000)+((MAX(AZ12,BB12)*AR12*Y12^2*1E-4*DATOS!$C$86/100/1000)+(IF(AND(AZ12&gt;0,BB12&gt;0),MIN(AZ12,BB12),MAX(AZ12,BB12))*AR12*Y12^2*1E-4*DATOS!$C$86/100/1000))/2),1E-9))+MAX(CN12,12*INDEX(TABLAS!$C$52:$C$58,MATCH(CL12,TABLAS!$B$52:$B$58,0)),AC12/16),IF(OR(AL12&lt;INDEX(TABLAS!$C$52:$C$58,MATCH(CL12,TABLAS!$B$52:$B$58,0)),AND(CM12&gt;=2,(DATOS!$C$83-2*AL12-CM12*INDEX(TABLAS!$C$52:$C$58,MATCH(CL12,TABLAS!$B$52:$B$58,0)))/MAX(CM12-1,1)&lt;2*INDEX(TABLAS!$C$52:$C$58,MATCH(CL12,TABLAS!$B$52:$B$58,0)))),INDEX(TABLAS!$I$52:$I$58,MATCH(CL12,TABLAS!$B$52:$B$58,0)),INDEX(TABLAS!$F$52:$F$58,MATCH(CL12,TABLAS!$B$52:$B$58,0)))),5))))</f>
        <v>0</v>
      </c>
      <c r="DE12" s="55" t="str">
        <f>IF(V12&lt;&gt;"SÍ","",IF(AND(C12="PERIMETRAL",BW12&gt;=2,AS12-AT12&gt;0,BA12*AR12*Y12^2*1E-4*DATOS!$C$86/100/1000&gt;DATOS!$C$29*INDEX(TABLAS!$D$52:$D$58,MATCH(BV12,TABLAS!$B$52:$B$58,0))*DATOS!$C$14*(BX12-INDEX(TABLAS!$D$52:$D$58,MATCH(BV12,TABLAS!$B$52:$B$58,0))*DATOS!$C$14/(DATOS!$C$21*AF12)/2)/1E5),"SÍ","NO"))</f>
        <v>NO</v>
      </c>
      <c r="DF12" s="55" t="str">
        <f>IF(V12&lt;&gt;"SÍ","",IF(AND(C12="PERIMETRAL",CM12&gt;=2,AT12&gt;0,BB12*AR12*Y12^2*1E-4*DATOS!$C$86/100/1000&gt;DATOS!$C$29*INDEX(TABLAS!$D$52:$D$58,MATCH(CL12,TABLAS!$B$52:$B$58,0))*DATOS!$C$14*(CN12-INDEX(TABLAS!$D$52:$D$58,MATCH(CL12,TABLAS!$B$52:$B$58,0))*DATOS!$C$14/(DATOS!$C$21*AG12)/2)/1E5),"SÍ","NO"))</f>
        <v>NO</v>
      </c>
      <c r="DG12" s="63" t="str">
        <f>IF(V12&lt;&gt;"SÍ","",IF(OR(C12="VOLADO",AS12=0),"—",IF(AND(AND(1.25*INDEX(TABLAS!$G$52:$G$58,MATCH(MAX(BN12,CD12),TABLAS!$B$52:$B$58,0))&lt;=(DATOS!$C$75-DATOS!$C$63),(DATOS!$C$75-DATOS!$C$63)&gt;=15,INDEX(TABLAS!$G$52:$G$58,MATCH(MAX(BV12,CL12),TABLAS!$B$52:$B$58,0))&lt;=(DATOS!$C$75-DATOS!$C$63)),8*INDEX(TABLAS!$C$52:$C$58,MATCH(MAX(MAX(BN12,CD12),MAX(BV12,CL12)),TABLAS!$B$52:$B$58,0))&lt;=DATOS!$C$76-2*DATOS!$C$63),"CUMPLE (gancho de 180°)",IF(AND(1.25*INDEX(TABLAS!$G$52:$G$58,MATCH(MAX(BN12,CD12),TABLAS!$B$52:$B$58,0))&lt;=(DATOS!$C$75-DATOS!$C$63),(DATOS!$C$75-DATOS!$C$63)&gt;=15,INDEX(TABLAS!$G$52:$G$58,MATCH(MAX(BV12,CL12),TABLAS!$B$52:$B$58,0))&lt;=(DATOS!$C$75-DATOS!$C$63)),"NO CUMPLE: el gancho de 180° (8·d_b) no cabe en el peralte de la dala de borde","NO CUMPLE: dala de borde ≥ "&amp;TEXT(CEILING(MAX(1.25*INDEX(TABLAS!$G$52:$G$58,MATCH(MAX(BN12,CD12),TABLAS!$B$52:$B$58,0)),15,INDEX(TABLAS!$G$52:$G$58,MATCH(MAX(BV12,CL12),TABLAS!$B$52:$B$58,0)))+DATOS!$C$63,5),"0")&amp;" cm de ancho"&amp;IF(8*INDEX(TABLAS!$C$52:$C$58,MATCH(MAX(MAX(BN12,CD12),MAX(BV12,CL12)),TABLAS!$B$52:$B$58,0))&lt;=DATOS!$C$76-2*DATOS!$C$63,""," y más peralte para el gancho")))))</f>
        <v>—</v>
      </c>
      <c r="DH12" s="59">
        <f>IF(V12&lt;&gt;"SÍ","",MAX(0,INT((E12*100-DATOS!$C$87-IF(AND(C12="PERIMETRAL",I12="DISCONTINUO"),MAX(0,DATOS!$C$75-DATOS!$C$87),0)-IF(AND(C12="PERIMETRAL",J12="DISCONTINUO"),MAX(0,DATOS!$C$75-DATOS!$C$87),0)+DATOS!$C$86-IF(X12="X",DATOS!$C$81,AE12))/DATOS!$C$86)))</f>
        <v>2</v>
      </c>
      <c r="DI12" s="59">
        <f>IF(V12&lt;&gt;"SÍ","",MAX(0,INT((F12*100-DATOS!$C$87-IF(AND(C12="PERIMETRAL",G12="DISCONTINUO"),MAX(0,DATOS!$C$75-DATOS!$C$87),0)-IF(AND(C12="PERIMETRAL",H12="DISCONTINUO"),MAX(0,DATOS!$C$75-DATOS!$C$87),0)+DATOS!$C$86-IF(X12="Y",DATOS!$C$81,AE12))/DATOS!$C$86)))</f>
        <v>4</v>
      </c>
      <c r="DJ12" s="57">
        <f>IF(V12&lt;&gt;"SÍ","",IF(DH12&gt;0,IF(AND(C12="PERIMETRAL",I12="DISCONTINUO"),MAX(0,DATOS!$C$75-DATOS!$C$87),0)+(E12*100-DATOS!$C$87-IF(AND(C12="PERIMETRAL",I12="DISCONTINUO"),MAX(0,DATOS!$C$75-DATOS!$C$87),0)-IF(AND(C12="PERIMETRAL",J12="DISCONTINUO"),MAX(0,DATOS!$C$75-DATOS!$C$87),0)-(DH12*IF(X12="X",DATOS!$C$81,AE12)+(DH12-1)*(DATOS!$C$86-IF(X12="X",DATOS!$C$81,AE12))))/2,E12*100/2))</f>
        <v>27.5</v>
      </c>
      <c r="DK12" s="57">
        <f>IF(V12&lt;&gt;"SÍ","",IF(DH12&gt;0,IF(AND(C12="PERIMETRAL",J12="DISCONTINUO"),MAX(0,DATOS!$C$75-DATOS!$C$87),0)+(E12*100-DATOS!$C$87-IF(AND(C12="PERIMETRAL",I12="DISCONTINUO"),MAX(0,DATOS!$C$75-DATOS!$C$87),0)-IF(AND(C12="PERIMETRAL",J12="DISCONTINUO"),MAX(0,DATOS!$C$75-DATOS!$C$87),0)-(DH12*IF(X12="X",DATOS!$C$81,AE12)+(DH12-1)*(DATOS!$C$86-IF(X12="X",DATOS!$C$81,AE12))))/2,E12*100/2))</f>
        <v>27.5</v>
      </c>
      <c r="DL12" s="57">
        <f>IF(V12&lt;&gt;"SÍ","",IF(DI12&gt;0,IF(AND(C12="PERIMETRAL",G12="DISCONTINUO"),MAX(0,DATOS!$C$75-DATOS!$C$87),0)+(F12*100-DATOS!$C$87-IF(AND(C12="PERIMETRAL",G12="DISCONTINUO"),MAX(0,DATOS!$C$75-DATOS!$C$87),0)-IF(AND(C12="PERIMETRAL",H12="DISCONTINUO"),MAX(0,DATOS!$C$75-DATOS!$C$87),0)-(DI12*IF(X12="Y",DATOS!$C$81,AE12)+(DI12-1)*(DATOS!$C$86-IF(X12="Y",DATOS!$C$81,AE12))))/2,F12*100/2))</f>
        <v>33.75</v>
      </c>
      <c r="DM12" s="57">
        <f>IF(V12&lt;&gt;"SÍ","",IF(DI12&gt;0,IF(AND(C12="PERIMETRAL",H12="DISCONTINUO"),MAX(0,DATOS!$C$75-DATOS!$C$87),0)+(F12*100-DATOS!$C$87-IF(AND(C12="PERIMETRAL",G12="DISCONTINUO"),MAX(0,DATOS!$C$75-DATOS!$C$87),0)-IF(AND(C12="PERIMETRAL",H12="DISCONTINUO"),MAX(0,DATOS!$C$75-DATOS!$C$87),0)-(DI12*IF(X12="Y",DATOS!$C$81,AE12)+(DI12-1)*(DATOS!$C$86-IF(X12="Y",DATOS!$C$81,AE12))))/2,F12*100/2))</f>
        <v>33.75</v>
      </c>
      <c r="DN12" s="59">
        <f>IF(V12&lt;&gt;"SÍ","",IF(NOT(AND(C12="VOLADO",AD12&gt;DATOS!$C$83)),0,IF(INDEX(TABLAS!$C$52:$C$58,MATCH(BV12,TABLAS!$B$52:$B$58,0))&lt;=DATOS!$C$83-2*DATOS!$C$63,1,0)))</f>
        <v>1</v>
      </c>
      <c r="DO12" s="58">
        <f>IF(V12&lt;&gt;"SÍ","",IF(NOT(AND(C12="VOLADO",AD12&gt;DATOS!$C$83)),0,((DATOS!$C$85-MAX(DATOS!$C$63,(DATOS!$C$84-2*DATOS!$C$97)/2)-2*DATOS!$C$97-INDEX(TABLAS!$C$52:$C$58,MATCH(MAX(4,DATOS!$C$72),TABLAS!$B$52:$B$58,0))-INDEX(TABLAS!$C$52:$C$58,MATCH(BV12,TABLAS!$B$52:$B$58,0))/2)-IF(AND((DATOS!$C$85-MAX(DATOS!$C$63,(DATOS!$C$84-2*DATOS!$C$97)/2)-2*DATOS!$C$97-INDEX(TABLAS!$C$52:$C$58,MATCH(MAX(4,DATOS!$C$72),TABLAS!$B$52:$B$58,0))-INDEX(TABLAS!$C$52:$C$58,MATCH(BV12,TABLAS!$B$52:$B$58,0))/2)&lt;=20,DATOS!$C$65&lt;&gt;"SÍ"),2,0))))</f>
        <v>17.791</v>
      </c>
      <c r="DP12" s="56">
        <f>IF(V12&lt;&gt;"SÍ","",IF(OR(NOT(AND(C12="VOLADO",AD12&gt;DATOS!$C$83)),DN12&lt;1),0,IF(0.003*(DO12-((DN12*INDEX(TABLAS!$D$52:$D$58,MATCH(BV12,TABLAS!$B$52:$B$58,0)))*DATOS!$C$14/(DATOS!$C$21*AG12)/DATOS!$C$22))/((DN12*INDEX(TABLAS!$D$52:$D$58,MATCH(BV12,TABLAS!$B$52:$B$58,0)))*DATOS!$C$14/(DATOS!$C$21*AG12)/DATOS!$C$22)&lt;0.005,0,DATOS!$C$29*(DN12*INDEX(TABLAS!$D$52:$D$58,MATCH(BV12,TABLAS!$B$52:$B$58,0)))*DATOS!$C$14*(DO12-(DN12*INDEX(TABLAS!$D$52:$D$58,MATCH(BV12,TABLAS!$B$52:$B$58,0)))*DATOS!$C$14/(DATOS!$C$21*AG12)/2)/1E5)))</f>
        <v>1.18510190894118</v>
      </c>
      <c r="DQ12" s="56">
        <f>IF(V12&lt;&gt;"SÍ","",IF(OR(NOT(AND(C12="VOLADO",AD12&gt;DATOS!$C$83)),DN12&lt;1),0,DATOS!$C$30*2*MIN(1,SQRT(2/(1+0.04*DO12)))*((DN12*INDEX(TABLAS!$D$52:$D$58,MATCH(BV12,TABLAS!$B$52:$B$58,0)))/(AG12*DO12))^(1/3)*SQRT(DATOS!$C$13)*AG12*DO12/1000))</f>
        <v>0.942070128540696</v>
      </c>
      <c r="DR12" s="56">
        <f>IF(V12&lt;&gt;"SÍ","",IF(NOT(AND(C12="VOLADO",AD12&gt;DATOS!$C$83)),0,IF((BH12-DP12)&lt;=0,0,IF(DP12&lt;=0,IF(ISNUMBER(P12),P12,Y12),IF(((0.9*DATOS!$C$90*DATOS!$C$86/100/1000)*IF(ISNUMBER(P12),P12,Y12)/2+BH12/IF(ISNUMBER(P12),P12,Y12))^2-4*((0.9*DATOS!$C$90*DATOS!$C$86/100/1000)/2)*(BH12-DP12)&lt;0,IF(ISNUMBER(P12),P12,Y12),MIN(IF(ISNUMBER(P12),P12,Y12),(((0.9*DATOS!$C$90*DATOS!$C$86/100/1000)*IF(ISNUMBER(P12),P12,Y12)/2+BH12/IF(ISNUMBER(P12),P12,Y12))-SQRT(((0.9*DATOS!$C$90*DATOS!$C$86/100/1000)*IF(ISNUMBER(P12),P12,Y12)/2+BH12/IF(ISNUMBER(P12),P12,Y12))^2-4*((0.9*DATOS!$C$90*DATOS!$C$86/100/1000)/2)*(BH12-DP12)))/(2*((0.9*DATOS!$C$90*DATOS!$C$86/100/1000)/2))))))))</f>
        <v>1.05284458045337</v>
      </c>
      <c r="DS12" s="56">
        <f>IF(V12&lt;&gt;"SÍ","",IF(NOT(AND(C12="VOLADO",AD12&gt;DATOS!$C$83)),0,IF(DQ12&lt;=(BH12/((IF(ISNUMBER(P12),P12,Y12)*100-DATOS!$C$87)/100)),IF(ISNUMBER(P12),P12,Y12),MIN(IF(ISNUMBER(P12),P12,Y12),MAX(0,(IF(ISNUMBER(P12),P12,Y12)*100-DATOS!$C$87)/200-(DQ12-(BH12/((IF(ISNUMBER(P12),P12,Y12)*100-DATOS!$C$87)/100)))/((0.95-0.5*IF(N(Q12)&gt;0,MIN(IF(ISNUMBER(P12),P12,Y12),Q12)/MAX(IF(ISNUMBER(P12),P12,Y12),Q12),0))*DATOS!$C$33*AR12*DATOS!$C$86/100/1000))))))</f>
        <v>1.16264404040469</v>
      </c>
      <c r="DT12" s="56">
        <f>IF(V12&lt;&gt;"SÍ","",IF(NOT(AND(C12="VOLADO",AD12&gt;DATOS!$C$83)),0,(BH12/((IF(ISNUMBER(P12),P12,Y12)*100-DATOS!$C$87)/100))+((0.95-0.5*IF(N(Q12)&gt;0,MIN(IF(ISNUMBER(P12),P12,Y12),Q12)/MAX(IF(ISNUMBER(P12),P12,Y12),Q12),0))*DATOS!$C$33*AR12*DATOS!$C$86/100/1000)*MAX(0,(IF(ISNUMBER(P12),P12,Y12)*100-DATOS!$C$87)/200-BX12/100)))</f>
        <v>1.70723569526698</v>
      </c>
      <c r="DU12" s="59">
        <f>IF(V12&lt;&gt;"SÍ","",IF(NOT(AND(C12="VOLADO",AD12&gt;DATOS!$C$83)),0,MIN(FLOOR(100*IF(ISNUMBER(P12),P12,Y12)-DATOS!$C$63,5),CEILING(100*MIN(IF(ISNUMBER(P12),P12,Y12),MAX(IF(DR12&gt;0,DR12+IF(BW12&gt;=2,MAX(DO12,12*INDEX(TABLAS!$C$52:$C$58,MATCH(BV12,TABLAS!$B$52:$B$58,0)))/100,0),0),DS12,IF(BW12&gt;=2,INDEX(TABLAS!$F$52:$F$58,MATCH(BV12,TABLAS!$B$52:$B$58,0))/100,0))),5))))</f>
        <v>125</v>
      </c>
      <c r="DV12" s="60">
        <f>IF(V12&lt;&gt;"SÍ","",IF(NOT(AND(C12="VOLADO",AD12&gt;DATOS!$C$83)),0,IF(DU12&lt;=0,0,CEILING(DU12/DATOS!$C$86,1))))</f>
        <v>2</v>
      </c>
      <c r="DW12" s="61" t="str">
        <f>IF(V12&lt;&gt;"SÍ","",IF(C12&lt;&gt;"VOLADO","—",IF(AD12&lt;=DATOS!$C$83,"— (mismo b_w que el respaldo)",IF(DT12&gt;CS12,"NO CUMPLE: cortante de la nervadura ancha junto al apoyo ("&amp;TEXT(DT12,"0.00")&amp;" &gt; "&amp;TEXT(CS12,"0.00")&amp;" t)",IF(DU12&gt;=100*IF(ISNUMBER(P12),P12,Y12),"CUMPLE — todas las nervaduras del respaldo ‖ al volado con b_w = "&amp;AD12&amp;" cm","CUMPLE — "&amp;DV12&amp;" hilera(s) del respaldo con nervaduras de b_w = "&amp;AD12&amp;" cm (casetón "&amp;AE12&amp;" cm), hasta "&amp;TEXT(DU12/100,"0.00")&amp;" m del paño")))))</f>
        <v>CUMPLE — 2 hilera(s) del respaldo con nervaduras de b_w = 20 cm (casetón 50 cm), hasta 1.25 m del paño</v>
      </c>
      <c r="DX12" s="69" t="str">
        <f>IF(V12&lt;&gt;"SÍ","",IF(BO12=0,"NO ALCANZA",BO12&amp;" No. "&amp;BN12&amp;IF(BO12&gt;1," corridas"," corrida")))</f>
        <v>1 No. 4 corrida</v>
      </c>
      <c r="DY12" s="69" t="str">
        <f>IF(V12&lt;&gt;"SÍ","",IF(BW12=0,"NO ALCANZA",IF(AND(C12="VOLADO",AD12&gt;DATOS!$C$83,BW12&gt;=2),"1 No. "&amp;BV12&amp;" corrida de la orilla al respaldo ("&amp;IF(DC12&gt;=FLOOR(100*IF(ISNUMBER(P12),P12,Y12)-DATOS!$C$63,5),"hasta su apoyo lejano, con gancho","entra "&amp;TEXT(DC12/100,"0.00")&amp;" m desde el paño")&amp;") + "&amp;(BW12-1)&amp;" bastón No. "&amp;BV12&amp;" hasta "&amp;TEXT(DU12/100,"0.00")&amp;" m del paño (fin de la nervadura ancha)",IF(C12="VOLADO",BW12&amp;" No. "&amp;BV12&amp;" de la orilla al respaldo ("&amp;IF(DC12&gt;=FLOOR(100*IF(ISNUMBER(P12),P12,Y12)-DATOS!$C$63,5),"hasta su apoyo lejano, con gancho","entran "&amp;TEXT(DC12/100,"0.00")&amp;" m desde el paño")&amp;")","1 No. "&amp;BV12&amp;" corrida"&amp;IF(BW12&gt;1," + "&amp;(BW12-1)&amp;" bastón No. "&amp;BV12&amp;" L = "&amp;TEXT(DC12/100,"0.00")&amp;" m desde el paño","")))))</f>
        <v>1 No. 5 corrida de la orilla al respaldo (hasta su apoyo lejano, con gancho) + 1 bastón No. 5 hasta 1.25 m del paño (fin de la nervadura ancha)</v>
      </c>
      <c r="DZ12" s="69" t="str">
        <f>IF(V12&lt;&gt;"SÍ","",IF(CE12=0,"NO ALCANZA",CE12&amp;" No. "&amp;CD12&amp;IF(CE12&gt;1," corridas"," corrida")))</f>
        <v>1 No. 4 corrida</v>
      </c>
      <c r="EA12" s="69" t="str">
        <f>IF(V12&lt;&gt;"SÍ","",IF(CM12=0,"NO ALCANZA",IF(C12="VOLADO","1 No. "&amp;CL12&amp;" corrida (repartición)","1 No. "&amp;CL12&amp;" corrida"&amp;IF(CM12&gt;1," + "&amp;(CM12-1)&amp;" bastón No. "&amp;CL12&amp;" L = "&amp;TEXT(DD12/100,"0.00")&amp;" m desde el paño",""))))</f>
        <v>1 No. 4 corrida (repartición)</v>
      </c>
      <c r="EB12" s="67" t="str">
        <f>IF(B12="","",IF(V12&lt;&gt;"SÍ","FALTAN DATOS: tipo, a_x, a_y, destino y, en volados, L_b",IF(L12="NO MONOLÍTICO (caso II)","FUERA DE ALCANCE: caso II no transcrito",IF(AND(C12="VOLADO",W12="?"),"REVISAR: el volado lleva UN solo borde CONTINUO (el empotrado)",IF(MIN(DH12,DI12)=0,"REVISAR: no cabe un casetón (tablero macizo): diséñalo en MACIZAS",IF(AND(MAX(BR12,BZ12,CH12,CP12)&lt;=1,NOT(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T(OR(AND(ISNUMBER(BS12),BS12&lt;0.005),AND(ISNUMBER(CA12),CA12&lt;0.005),AND(ISNUMBER(CI12),CI12&lt;0.005),AND(ISNUMBER(CQ12),CQ12&lt;0.005))),NOT(LEFT(DW12,2)="NO"),DA12="CUMPLE",DB12="CUMPLE",LEFT(CU12,2)&lt;&gt;"NO",LEFT(DATOS!$C$132,6)="CUMPLE"),IF(LEFT(CU12,6)="CUMPLE","CUMPLE","CUMPLE — "&amp;CU12)&amp;IF(LEFT(BK12,5)="FUERA"," · fuera de 3.4.2.1 c)","")&amp;IF(LEFT(DG12,2)="NO"," · REVISAR anclaje en borde discontinuo","")&amp;IF(DV12&gt;0," · respaldo: "&amp;DV12&amp;" hilera(s) de b_w "&amp;AD12&amp;" cm",""),IF(AND(MAX(BR12,BZ12,CH12,CP12)&lt;=1,NOT(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T(OR(AND(ISNUMBER(BS12),BS12&lt;0.005),AND(ISNUMBER(CA12),CA12&lt;0.005),AND(ISNUMBER(CI12),CI12&lt;0.005),AND(ISNUMBER(CQ12),CQ12&lt;0.005))),NOT(LEFT(DW12,2)="NO"),DA12="CALCULAR FLECHA",LEFT(CU12,2)&lt;&gt;"NO",LEFT(DATOS!$C$132,6)="CUMPLE"),"REVISAR: calcular flecha (h_eq &lt; h mín.)"&amp;IF(LEFT(BK12,5)="FUERA"," · fuera de 3.4.2.1 c)","")&amp;IF(LEFT(DG12,2)="NO"," · REVISAR anclaje en borde discontinuo","")&amp;IF(DV12&gt;0," · respaldo: "&amp;DV12&amp;" hilera(s) de b_w "&amp;AD12&amp;" cm",""),"NO CUMPLE: "&amp;IF(MAX(BR12,BZ12,CH12,CP12)&gt;1,"flexión ","")&amp;IF(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 caben ","")&amp;IF(OR(AND(ISNUMBER(BS12),BS12&lt;0.005),AND(ISNUMBER(CA12),CA12&lt;0.005),AND(ISNUMBER(CI12),CI12&lt;0.005),AND(ISNUMBER(CQ12),CQ12&lt;0.005)),"ε_t &lt; 0.005 ","")&amp;IF(LEFT(CU12,2)="NO","cortante ","")&amp;IF(DA12="NO CUMPLE","peralte ","")&amp;IF(DB12&lt;&gt;"CUMPLE","capa &lt; 6 cm ","")&amp;IF(LEFT(DATOS!$C$132,6)&lt;&gt;"CUMPLE","capa o malla (DATOS sección 7) ","")&amp;IF(LEFT(DW12,2)="NO","respaldo del volado",""))))))))</f>
        <v>CUMPLE · respaldo: 2 hilera(s) de b_w 20 cm</v>
      </c>
      <c r="EC12" s="70" t="str">
        <f>IF(V12&lt;&gt;"SÍ","",IF(LEFT(B12,7)="EJEMPLO","EJEMPLO de la hoja de Casa Rocha: bórralo o sobrescríbelo. ","")&amp;IF(AND(C12="PERIMETRAL",MIN(DH12,DI12)=0),"No cabe un casetón en el claro corto: es un tablero macizo, diséñalo en MACIZAS. ","")&amp;IF(AND(AJ12="NO",C12="PERIMETRAL"),"No cumple 6.7.8.1.4 (a_c = "&amp;MAX(DATOS!$C$81,AE12)&amp;" cm &gt; claro corto/6 = "&amp;TEXT(Y12*100/6,"0")&amp;" cm): se diseña como losa apoyada en vigas (6.7.8.1.9): r de viga = "&amp;DATOS!$C$63&amp;" cm y V_cR sin ×1.1. Para que cuente como encasetonada: casetón de "&amp;TEXT(FLOOR(MIN(80,Y12*100/6),1),"0")&amp;" cm o menor. ","")&amp;IF(C12="VOLADO","Volado de "&amp;TEXT(Y12,"0.00")&amp;" m empotrado en el borde "&amp;LOWER(W12)&amp;IF(N(O12)&gt;0,", con "&amp;TEXT(O12,"0.0")&amp;" kg/m en la orilla","")&amp;". Lecho inferior con r_ext. Si la orilla carga pretil u otro elemento frágil, calcula la flecha (13.4). El acero superior entra al respaldo de "&amp;TEXT(IF(ISNUMBER(P12),P12,Y12),"0.00")&amp;" m"&amp;" hasta pasar M = 0 con 0.9·PP sin carga viva; si ahí no se anula, llega al apoyo lejano y se ancla con gancho (NTC-Criterios 3.4.1 c y 5.1.2.2). "&amp;IF(AD12&gt;DATOS!$C$83,"Respaldo: "&amp;DW12&amp;". ",""),"")&amp;IF(AND(C12="VOLADO",((0.9*DATOS!$C$90*DATOS!$C$86/100/1000)*IF(ISNUMBER(P12),P12,Y12)/2-BH12/IF(ISNUMBER(P12),P12,Y12))&lt;0),"Con 0.9·PP y sin carga viva el apoyo lejano del respaldo levanta (R = "&amp;TEXT(-((0.9*DATOS!$C$90*DATOS!$C$86/100/1000)*IF(ISNUMBER(P12),P12,Y12)/2-BH12/IF(ISNUMBER(P12),P12,Y12)),"0.00")&amp;" t por nervadura): ancla ahí la corrida con gancho y revisa ese apoyo a tensión. ","")&amp;IF(LEFT(BK12,5)="FUERA","El M⁻ del vecino difiere más de 50 % (3.4.2.1 c): distribuye el desequilibrio (3.4.3.1) o confirma con un modelo; se arma con el mayor. ","")&amp;IF(OR(DE12="SÍ",DF12="SÍ"),"El M⁻ del borde discontinuo pide bastón también ahí (con gancho). ","")&amp;IF(LEFT(DG12,2)="NO","Anclaje: "&amp;DG12&amp;" (6.7.8.1.7). ","")&amp;IF(AND(C12="PERIMETRAL",AT12&gt;=1,AS12-AT12&gt;=1),"Esquinas exteriores sobre muro: refuerzo de esquina arriba y abajo en L_largo/5 (6.7.7.3.1). ",""))</f>
        <v>EJEMPLO de la hoja de Casa Rocha: bórralo o sobrescríbelo. Volado de 2.00 m empotrado en el borde derecho, con 333.7 kg/m en la orilla. Lecho inferior con r_ext. Si la orilla carga pretil u otro elemento frágil, calcula la flecha (13.4). El acero superior entra al respaldo de 3.03 m hasta pasar M = 0 con 0.9·PP sin carga viva; si ahí no se anula, llega al apoyo lejano y se ancla con gancho (NTC-Criterios 3.4.1 c y 5.1.2.2). Respaldo: CUMPLE — 2 hilera(s) del respaldo con nervaduras de b_w = 20 cm (casetón 50 cm), hasta 1.25 m del paño. Con 0.9·PP y sin carga viva el apoyo lejano del respaldo levanta (R = 0.43 t por nervadura): ancla ahí la corrida con gancho y revisa ese apoyo a tensión. </v>
      </c>
    </row>
    <row r="13" ht="33" customHeight="1">
      <c r="A13" s="50">
        <f>IF(B13="",0,1)+A12</f>
        <v>4</v>
      </c>
      <c r="B13" s="29" t="n"/>
      <c r="C13" s="51" t="n"/>
      <c r="D13" s="29" t="n"/>
      <c r="E13" s="52" t="n"/>
      <c r="F13" s="52" t="n"/>
      <c r="G13" s="51" t="n"/>
      <c r="H13" s="51" t="n"/>
      <c r="I13" s="51" t="n"/>
      <c r="J13" s="51" t="n"/>
      <c r="K13" s="51" t="n"/>
      <c r="L13" s="51" t="n"/>
      <c r="M13" s="53" t="n"/>
      <c r="N13" s="53" t="n"/>
      <c r="O13" s="54" t="n"/>
      <c r="P13" s="52" t="n"/>
      <c r="Q13" s="52" t="n"/>
      <c r="R13" s="53" t="n"/>
      <c r="S13" s="54" t="n"/>
      <c r="T13" s="52" t="n"/>
      <c r="U13" s="52" t="n"/>
      <c r="V13" s="55" t="str">
        <f>IF(B13="","",IF(AND(OR(C13="PERIMETRAL",C13="VOLADO"),ISNUMBER(E13),ISNUMBER(F13),E13&gt;0,F13&gt;0,OR(ISNUMBER(N13),ISNUMBER(MATCH(D13,DATOS!$B$46:$B$58,0))),OR(C13&lt;&gt;"VOLADO",N(P13)&gt;0)),"SÍ","NO"))</f>
        <v/>
      </c>
      <c r="W13" s="55" t="str">
        <f>IF(V13&lt;&gt;"SÍ","",IF(C13&lt;&gt;"VOLADO","—",IF(COUNTIF(G13:J13,"CONTINUO")&lt;&gt;1,"?",IF(G13="CONTINUO","INFERIOR",IF(H13="CONTINUO","SUPERIOR",IF(I13="CONTINUO","IZQUIERDO","DERECHO"))))))</f>
        <v/>
      </c>
      <c r="X13" s="55" t="str">
        <f>IF(V13&lt;&gt;"SÍ","",IF(C13="VOLADO",IF(OR(W13="IZQUIERDO",W13="DERECHO"),"X","Y"),IF(E13&lt;=F13,"X","Y")))</f>
        <v/>
      </c>
      <c r="Y13" s="56" t="str">
        <f>IF(V13&lt;&gt;"SÍ","",IF(C13="VOLADO",IF(X13="X",E13,F13),MIN(E13,F13)))</f>
        <v/>
      </c>
      <c r="Z13" s="56" t="str">
        <f>IF(V13&lt;&gt;"SÍ","",IF(C13="VOLADO",IF(X13="X",F13,E13),MAX(E13,F13)))</f>
        <v/>
      </c>
      <c r="AA13" s="56" t="str">
        <f>IF(V13&lt;&gt;"SÍ","",MIN(Y13,Z13)/MAX(Y13,Z13))</f>
        <v/>
      </c>
      <c r="AB13" s="57" t="str">
        <f>IF(V13&lt;&gt;"SÍ","",MAX(1,Y13*100-IF(C13="VOLADO",DATOS!$C$87/2,DATOS!$C$87)))</f>
        <v/>
      </c>
      <c r="AC13" s="57" t="str">
        <f>IF(V13&lt;&gt;"SÍ","",MAX(1,Z13*100-DATOS!$C$87))</f>
        <v/>
      </c>
      <c r="AD13" s="57" t="str">
        <f>IF(V13&lt;&gt;"SÍ","",IF(ISNUMBER(R13),R13,DATOS!$C$83))</f>
        <v/>
      </c>
      <c r="AE13" s="57" t="str">
        <f>IF(V13&lt;&gt;"SÍ","",MAX(0,DATOS!$C$86-AD13))</f>
        <v/>
      </c>
      <c r="AF13" s="57" t="str">
        <f>IF(V13&lt;&gt;"SÍ","",IF(OR(DATOS!$C$65="SÍ",AD13&gt;=20),AD13,AD13-2))</f>
        <v/>
      </c>
      <c r="AG13" s="57" t="str">
        <f>IF(V13&lt;&gt;"SÍ","",IF(OR(DATOS!$C$65="SÍ",DATOS!$C$83&gt;=20),DATOS!$C$83,DATOS!$C$83-2))</f>
        <v/>
      </c>
      <c r="AH13" s="57" t="str">
        <f>IF(V13&lt;&gt;"SÍ","",MIN(DATOS!$C$86,AD13+2*MIN(8*DATOS!$C$84,AE13/2,AB13/8)))</f>
        <v/>
      </c>
      <c r="AI13" s="57" t="str">
        <f>IF(V13&lt;&gt;"SÍ","",MIN(DATOS!$C$86,DATOS!$C$83+2*MIN(8*DATOS!$C$84,DATOS!$C$81/2,AC13/8)))</f>
        <v/>
      </c>
      <c r="AJ13" s="55" t="str">
        <f>IF(V13&lt;&gt;"SÍ","",IF(AND(C13="PERIMETRAL",Y13*100&gt;=6*MAX(DATOS!$C$81,AE13),MAX(DATOS!$C$81,AE13)&lt;=80,MIN(DATOS!$C$83,AD13)&gt;=10,DATOS!$C$85&lt;=3.5*MIN(DATOS!$C$83,AD13),DATOS!$C$84&gt;=MAX(MAX(DATOS!$C$81,AE13)/13,5)),"SÍ","NO"))</f>
        <v/>
      </c>
      <c r="AK13" s="57" t="str">
        <f>IF(V13&lt;&gt;"SÍ","",IF(C13="VOLADO",DATOS!$C$64,IF(AJ13="NO",DATOS!$C$63,DATOS!$C$62)))</f>
        <v/>
      </c>
      <c r="AL13" s="57" t="str">
        <f>IF(V13&lt;&gt;"SÍ","",IF(OR(AND(AN13="SÍ",DATOS!$C$66="SÍ"),AND(C13="VOLADO",DATOS!$C$67="SÍ")),DATOS!$C$64,IF(AJ13="NO",DATOS!$C$63,DATOS!$C$62)))</f>
        <v/>
      </c>
      <c r="AM13" s="58" t="str">
        <f>IF(V13&lt;&gt;"SÍ","",MAX(AL13,(DATOS!$C$84-2*DATOS!$C$97)/2))</f>
        <v/>
      </c>
      <c r="AN13" s="55" t="str">
        <f>IF(V13&lt;&gt;"SÍ","",IFERROR(INDEX(DATOS!$D$46:$D$58,MATCH(D13,DATOS!$B$46:$B$58,0)),"NO"))</f>
        <v/>
      </c>
      <c r="AO13" s="59" t="str">
        <f>IF(V13&lt;&gt;"SÍ","",IF(ISNUMBER(N13),N13,IFERROR(INDEX(DATOS!$C$46:$C$58,MATCH(D13,DATOS!$B$46:$B$58,0)),0)))</f>
        <v/>
      </c>
      <c r="AP13" s="59" t="str">
        <f>IF(V13&lt;&gt;"SÍ","",IF(MIN(DH13,DI13)=0,DATOS!$C$85/100*DATOS!$C$16*1000,(DATOS!$C$85/100-(AE13*DATOS!$C$81/DATOS!$C$86^2)*DATOS!$C$82/100)*DATOS!$C$16*1000+(AE13*DATOS!$C$81/DATOS!$C$86^2)*DATOS!$C$82/100*DATOS!$C$17*1000)+DATOS!$C$37+DATOS!$C$38)</f>
        <v/>
      </c>
      <c r="AQ13" s="59" t="str">
        <f>IF(V13&lt;&gt;"SÍ","",AP13+N(M13))</f>
        <v/>
      </c>
      <c r="AR13" s="60" t="str">
        <f>IF(V13&lt;&gt;"SÍ","",MAX(DATOS!$C$26*AQ13+DATOS!$C$27*AO13,IF(AN13="SÍ",DATOS!$C$28*(AQ13+DATOS!$C$41),0)))</f>
        <v/>
      </c>
      <c r="AS13" s="59" t="str">
        <f>IF(V13&lt;&gt;"SÍ","",(G13="DISCONTINUO")+(H13="DISCONTINUO")+(I13="DISCONTINUO")+(J13="DISCONTINUO"))</f>
        <v/>
      </c>
      <c r="AT13" s="59" t="str">
        <f>IF(V13&lt;&gt;"SÍ","",IF(X13="X",(G13="DISCONTINUO")+(H13="DISCONTINUO"),(I13="DISCONTINUO")+(J13="DISCONTINUO")))</f>
        <v/>
      </c>
      <c r="AU13" s="55" t="str">
        <f>IF(V13&lt;&gt;"SÍ","",IF(AS13=0,"INTERIOR",IF(AS13=1,IF(AT13=1,"BORDE-CORTO","BORDE-LARGO"),IF(AS13=2,IF(AT13=1,"ESQUINA",IF(AT13=2,"EXTREMO-LARGO","EXTREMO-CORTO")),IF(AS13=3,IF(AT13=2,"EXTREMO-LARGO","EXTREMO-CORTO"),"AISLADO")))))</f>
        <v/>
      </c>
      <c r="AV13" s="61" t="str">
        <f>IF(V13&lt;&gt;"SÍ","",IF(OR(K13="",K13="AUTO"),AU13,K13))</f>
        <v/>
      </c>
      <c r="AW13" s="59" t="str">
        <f>IF(V13&lt;&gt;"SÍ","",MATCH(AA13,TABLAS!$D$5:$J$5,1))</f>
        <v/>
      </c>
      <c r="AX13" s="58" t="str">
        <f>IF(V13&lt;&gt;"SÍ","",IF(AW13&gt;=7,0,(AA13-INDEX(TABLAS!$D$5:$J$5,AW13))/(INDEX(TABLAS!$D$5:$J$5,AW13+1)-INDEX(TABLAS!$D$5:$J$5,AW13))))</f>
        <v/>
      </c>
      <c r="AY13" s="59" t="str">
        <f>IF(V13&lt;&gt;"SÍ","",INDEX(TABLAS!$D$6:$J$47,MATCH(AV13&amp;"|NIC",TABLAS!$B$6:$B$47,0),AW13)+AX13*(INDEX(TABLAS!$D$6:$J$47,MATCH(AV13&amp;"|NIC",TABLAS!$B$6:$B$47,0),MIN(AW13+1,7))-INDEX(TABLAS!$D$6:$J$47,MATCH(AV13&amp;"|NIC",TABLAS!$B$6:$B$47,0),AW13)))</f>
        <v/>
      </c>
      <c r="AZ13" s="59" t="str">
        <f>IF(V13&lt;&gt;"SÍ","",INDEX(TABLAS!$D$6:$J$47,MATCH(AV13&amp;"|NIL",TABLAS!$B$6:$B$47,0),AW13)+AX13*(INDEX(TABLAS!$D$6:$J$47,MATCH(AV13&amp;"|NIL",TABLAS!$B$6:$B$47,0),MIN(AW13+1,7))-INDEX(TABLAS!$D$6:$J$47,MATCH(AV13&amp;"|NIL",TABLAS!$B$6:$B$47,0),AW13)))</f>
        <v/>
      </c>
      <c r="BA13" s="59" t="str">
        <f>IF(V13&lt;&gt;"SÍ","",INDEX(TABLAS!$D$6:$J$47,MATCH(AV13&amp;"|NDC",TABLAS!$B$6:$B$47,0),AW13)+AX13*(INDEX(TABLAS!$D$6:$J$47,MATCH(AV13&amp;"|NDC",TABLAS!$B$6:$B$47,0),MIN(AW13+1,7))-INDEX(TABLAS!$D$6:$J$47,MATCH(AV13&amp;"|NDC",TABLAS!$B$6:$B$47,0),AW13)))</f>
        <v/>
      </c>
      <c r="BB13" s="59" t="str">
        <f>IF(V13&lt;&gt;"SÍ","",INDEX(TABLAS!$D$6:$J$47,MATCH(AV13&amp;"|NDL",TABLAS!$B$6:$B$47,0),AW13)+AX13*(INDEX(TABLAS!$D$6:$J$47,MATCH(AV13&amp;"|NDL",TABLAS!$B$6:$B$47,0),MIN(AW13+1,7))-INDEX(TABLAS!$D$6:$J$47,MATCH(AV13&amp;"|NDL",TABLAS!$B$6:$B$47,0),AW13)))</f>
        <v/>
      </c>
      <c r="BC13" s="59" t="str">
        <f>IF(V13&lt;&gt;"SÍ","",INDEX(TABLAS!$D$6:$J$47,MATCH(AV13&amp;"|PC",TABLAS!$B$6:$B$47,0),AW13)+AX13*(INDEX(TABLAS!$D$6:$J$47,MATCH(AV13&amp;"|PC",TABLAS!$B$6:$B$47,0),MIN(AW13+1,7))-INDEX(TABLAS!$D$6:$J$47,MATCH(AV13&amp;"|PC",TABLAS!$B$6:$B$47,0),AW13)))</f>
        <v/>
      </c>
      <c r="BD13" s="59" t="str">
        <f>IF(V13&lt;&gt;"SÍ","",INDEX(TABLAS!$D$6:$J$47,MATCH(AV13&amp;"|PL",TABLAS!$B$6:$B$47,0),AW13)+AX13*(INDEX(TABLAS!$D$6:$J$47,MATCH(AV13&amp;"|PL",TABLAS!$B$6:$B$47,0),MIN(AW13+1,7))-INDEX(TABLAS!$D$6:$J$47,MATCH(AV13&amp;"|PL",TABLAS!$B$6:$B$47,0),AW13)))</f>
        <v/>
      </c>
      <c r="BE13" s="56" t="str">
        <f>IF(V13&lt;&gt;"SÍ","",IF(OR(C13&lt;&gt;"VOLADO",MIN(DH13,DI13)=0),0,DATOS!$C$26*DATOS!$C$16*DATOS!$C$86/100*(((AE13*DATOS!$C$81/DATOS!$C$86^2)*DATOS!$C$82/100)*(IF(X13="X",DJ13,DL13)+DATOS!$C$87/2)/100*(AB13-(IF(X13="X",DJ13,DL13)+DATOS!$C$87/2)/2)/100+((AE13*DATOS!$C$81/DATOS!$C$86^2)*DATOS!$C$82/100)*IF(X13="X",DJ13,DL13)/100*IF(X13="X",DJ13,DL13)/200)))</f>
        <v/>
      </c>
      <c r="BF13" s="56" t="str">
        <f>IF(V13&lt;&gt;"SÍ","",IF(OR(C13&lt;&gt;"VOLADO",MIN(DH13,DI13)=0),0,DATOS!$C$26*DATOS!$C$16*DATOS!$C$86/100*((AE13*DATOS!$C$81/DATOS!$C$86^2)*DATOS!$C$82/100)*(IF(X13="X",DJ13,DL13)+DATOS!$C$87/2)/100))</f>
        <v/>
      </c>
      <c r="BG13" s="56" t="str">
        <f>IF(V13&lt;&gt;"SÍ","",IF(C13="PERIMETRAL",BC13*AR13*Y13^2*1E-4*DATOS!$C$86/100/1000,0))</f>
        <v/>
      </c>
      <c r="BH13" s="62" t="str">
        <f>IF(V13&lt;&gt;"SÍ","",IF(C13="PERIMETRAL",MAX(MAX(AY13,BA13)*AR13*Y13^2*1E-4*DATOS!$C$86/100/1000,N(T13)),(AR13*(AB13/100)^2/2+DATOS!$C$26*N(O13)*AB13/100)*DATOS!$C$86/100/1000+BE13))</f>
        <v/>
      </c>
      <c r="BI13" s="56" t="str">
        <f>IF(V13&lt;&gt;"SÍ","",IF(C13="PERIMETRAL",BD13*AR13*Y13^2*1E-4*DATOS!$C$86/100/1000,0))</f>
        <v/>
      </c>
      <c r="BJ13" s="56" t="str">
        <f>IF(V13&lt;&gt;"SÍ","",IF(C13="PERIMETRAL",MAX(MAX(AZ13,BB13)*AR13*Y13^2*1E-4*DATOS!$C$86/100/1000,N(U13)),0))</f>
        <v/>
      </c>
      <c r="BK13" s="63" t="str">
        <f>IF(V13&lt;&gt;"SÍ","",IF(C13&lt;&gt;"PERIMETRAL","—",IF(AND(N(T13)=0,N(U13)=0),"— (sin M⁻ del vecino)",IF(OR(AND(N(T13)&gt;0,ABS(MAX(AY13,BA13)*AR13*Y13^2*1E-4*DATOS!$C$86/100/1000-N(T13))&gt;0.5*MIN(MAX(AY13,BA13)*AR13*Y13^2*1E-4*DATOS!$C$86/100/1000,N(T13))),AND(N(U13)&gt;0,ABS(MAX(AZ13,BB13)*AR13*Y13^2*1E-4*DATOS!$C$86/100/1000-N(U13))&gt;0.5*MIN(MAX(AZ13,BB13)*AR13*Y13^2*1E-4*DATOS!$C$86/100/1000,N(U13)))),"FUERA: difieren &gt; 50 %"&amp;IF(AND(N(T13)&gt;0,ABS(MAX(AY13,BA13)*AR13*Y13^2*1E-4*DATOS!$C$86/100/1000-N(T13))&gt;0.5*MIN(MAX(AY13,BA13)*AR13*Y13^2*1E-4*DATOS!$C$86/100/1000,N(T13)))," ‖ corto","")&amp;IF(AND(N(U13)&gt;0,ABS(MAX(AZ13,BB13)*AR13*Y13^2*1E-4*DATOS!$C$86/100/1000-N(U13))&gt;0.5*MIN(MAX(AZ13,BB13)*AR13*Y13^2*1E-4*DATOS!$C$86/100/1000,N(U13)))," ‖ largo",""),"CUMPLE"))))</f>
        <v/>
      </c>
      <c r="BL13" s="58" t="str">
        <f>IF(V13&lt;&gt;"SÍ","",(DATOS!$C$85-AK13-INDEX(TABLAS!$C$52:$C$58,MATCH(MAX(4,DATOS!$C$71),TABLAS!$B$52:$B$58,0))/2))</f>
        <v/>
      </c>
      <c r="BM13" s="58" t="str">
        <f>IF(V13&lt;&gt;"SÍ","",IF(IF(BG13&lt;=0,0,IF((1-2*BG13*1E5/(DATOS!$C$29*AH13*BL13^2*DATOS!$C$21))&lt;0,-1,IF((1-SQRT((1-2*BG13*1E5/(DATOS!$C$29*AH13*BL13^2*DATOS!$C$21))))*DATOS!$C$21*AH13*BL13/DATOS!$C$14&gt;DATOS!$C$102*AH13*BL13,-1,(1-SQRT((1-2*BG13*1E5/(DATOS!$C$29*AH13*BL13^2*DATOS!$C$21))))*DATOS!$C$21*AH13*BL13/DATOS!$C$14)))&lt;0,-1,MAX(IF(BG13&lt;=0,0,IF((1-2*BG13*1E5/(DATOS!$C$29*AH13*BL13^2*DATOS!$C$21))&lt;0,-1,IF((1-SQRT((1-2*BG13*1E5/(DATOS!$C$29*AH13*BL13^2*DATOS!$C$21))))*DATOS!$C$21*AH13*BL13/DATOS!$C$14&gt;DATOS!$C$102*AH13*BL13,-1,(1-SQRT((1-2*BG13*1E5/(DATOS!$C$29*AH13*BL13^2*DATOS!$C$21))))*DATOS!$C$21*AH13*BL13/DATOS!$C$14))),MIN(DATOS!$C$103*AD13*BL13,4/3*IF(BG13&lt;=0,0,IF((1-2*BG13*1E5/(DATOS!$C$29*AH13*BL13^2*DATOS!$C$21))&lt;0,-1,IF((1-SQRT((1-2*BG13*1E5/(DATOS!$C$29*AH13*BL13^2*DATOS!$C$21))))*DATOS!$C$21*AH13*BL13/DATOS!$C$14&gt;DATOS!$C$102*AH13*BL13,-1,(1-SQRT((1-2*BG13*1E5/(DATOS!$C$29*AH13*BL13^2*DATOS!$C$21))))*DATOS!$C$21*AH13*BL13/DATOS!$C$14)))))))</f>
        <v/>
      </c>
      <c r="BN13" s="64" t="str">
        <f>IF(V13&lt;&gt;"SÍ","",IF(AND(BM13&gt;=0,IF(MAX(DATOS!$C$74,CEILING(BM13/INDEX(TABLAS!$D$52:$D$58,MIN(MATCH(MAX(4,DATOS!$C$71),TABLAS!$B$52:$B$58,0)+0,7)),1))*INDEX(TABLAS!$D$52:$D$58,MIN(MATCH(MAX(4,DATOS!$C$71),TABLAS!$B$52:$B$58,0)+0,7)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+0,7)),1)),MAX(MAX(DATOS!$C$74,CEILING(BM13/INDEX(TABLAS!$D$52:$D$58,MIN(MATCH(MAX(4,DATOS!$C$71),TABLAS!$B$52:$B$58,0)+0,7)),1)),2))&lt;=MIN(DATOS!$C$73,INT(((AD13-2*AK13)+MAX(DATOS!$C$70,INDEX(TABLAS!$C$52:$C$58,MIN(MATCH(MAX(4,DATOS!$C$71),TABLAS!$B$52:$B$58,0)+0,7))))/(INDEX(TABLAS!$C$52:$C$58,MIN(MATCH(MAX(4,DATOS!$C$71),TABLAS!$B$52:$B$58,0)+0,7))+MAX(DATOS!$C$70,INDEX(TABLAS!$C$52:$C$58,MIN(MATCH(MAX(4,DATOS!$C$71),TABLAS!$B$52:$B$58,0)+0,7))))))),INDEX(TABLAS!$B$52:$B$58,MIN(MATCH(MAX(4,DATOS!$C$71),TABLAS!$B$52:$B$58,0)+0,7)),IF(AND(BM13&gt;=0,IF(MAX(DATOS!$C$74,CEILING(BM13/INDEX(TABLAS!$D$52:$D$58,MIN(MATCH(MAX(4,DATOS!$C$71),TABLAS!$B$52:$B$58,0)+1,7)),1))*INDEX(TABLAS!$D$52:$D$58,MIN(MATCH(MAX(4,DATOS!$C$71),TABLAS!$B$52:$B$58,0)+1,7)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+1,7)),1)),MAX(MAX(DATOS!$C$74,CEILING(BM13/INDEX(TABLAS!$D$52:$D$58,MIN(MATCH(MAX(4,DATOS!$C$71),TABLAS!$B$52:$B$58,0)+1,7)),1)),2))&lt;=MIN(DATOS!$C$73,INT(((AD13-2*AK13)+MAX(DATOS!$C$70,INDEX(TABLAS!$C$52:$C$58,MIN(MATCH(MAX(4,DATOS!$C$71),TABLAS!$B$52:$B$58,0)+1,7))))/(INDEX(TABLAS!$C$52:$C$58,MIN(MATCH(MAX(4,DATOS!$C$71),TABLAS!$B$52:$B$58,0)+1,7))+MAX(DATOS!$C$70,INDEX(TABLAS!$C$52:$C$58,MIN(MATCH(MAX(4,DATOS!$C$71),TABLAS!$B$52:$B$58,0)+1,7))))))),INDEX(TABLAS!$B$52:$B$58,MIN(MATCH(MAX(4,DATOS!$C$71),TABLAS!$B$52:$B$58,0)+1,7)),IF(AND(BM13&gt;=0,IF(MAX(DATOS!$C$74,CEILING(BM13/INDEX(TABLAS!$D$52:$D$58,MIN(MATCH(MAX(4,DATOS!$C$71),TABLAS!$B$52:$B$58,0)+2,7)),1))*INDEX(TABLAS!$D$52:$D$58,MIN(MATCH(MAX(4,DATOS!$C$71),TABLAS!$B$52:$B$58,0)+2,7)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+2,7)),1)),MAX(MAX(DATOS!$C$74,CEILING(BM13/INDEX(TABLAS!$D$52:$D$58,MIN(MATCH(MAX(4,DATOS!$C$71),TABLAS!$B$52:$B$58,0)+2,7)),1)),2))&lt;=MIN(DATOS!$C$73,INT(((AD13-2*AK13)+MAX(DATOS!$C$70,INDEX(TABLAS!$C$52:$C$58,MIN(MATCH(MAX(4,DATOS!$C$71),TABLAS!$B$52:$B$58,0)+2,7))))/(INDEX(TABLAS!$C$52:$C$58,MIN(MATCH(MAX(4,DATOS!$C$71),TABLAS!$B$52:$B$58,0)+2,7))+MAX(DATOS!$C$70,INDEX(TABLAS!$C$52:$C$58,MIN(MATCH(MAX(4,DATOS!$C$71),TABLAS!$B$52:$B$58,0)+2,7))))))),INDEX(TABLAS!$B$52:$B$58,MIN(MATCH(MAX(4,DATOS!$C$71),TABLAS!$B$52:$B$58,0)+2,7)),IF(AND(BM13&gt;=0,IF(MAX(DATOS!$C$74,CEILING(BM13/INDEX(TABLAS!$D$52:$D$58,MIN(MATCH(MAX(4,DATOS!$C$71),TABLAS!$B$52:$B$58,0)+3,7)),1))*INDEX(TABLAS!$D$52:$D$58,MIN(MATCH(MAX(4,DATOS!$C$71),TABLAS!$B$52:$B$58,0)+3,7)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+3,7)),1)),MAX(MAX(DATOS!$C$74,CEILING(BM13/INDEX(TABLAS!$D$52:$D$58,MIN(MATCH(MAX(4,DATOS!$C$71),TABLAS!$B$52:$B$58,0)+3,7)),1)),2))&lt;=MIN(DATOS!$C$73,INT(((AD13-2*AK13)+MAX(DATOS!$C$70,INDEX(TABLAS!$C$52:$C$58,MIN(MATCH(MAX(4,DATOS!$C$71),TABLAS!$B$52:$B$58,0)+3,7))))/(INDEX(TABLAS!$C$52:$C$58,MIN(MATCH(MAX(4,DATOS!$C$71),TABLAS!$B$52:$B$58,0)+3,7))+MAX(DATOS!$C$70,INDEX(TABLAS!$C$52:$C$58,MIN(MATCH(MAX(4,DATOS!$C$71),TABLAS!$B$52:$B$58,0)+3,7))))))),INDEX(TABLAS!$B$52:$B$58,MIN(MATCH(MAX(4,DATOS!$C$71),TABLAS!$B$52:$B$58,0)+3,7)),IF(AND(BM13&gt;=0,IF(MAX(DATOS!$C$74,CEILING(BM13/INDEX(TABLAS!$D$52:$D$58,MIN(MATCH(MAX(4,DATOS!$C$71),TABLAS!$B$52:$B$58,0)+4,7)),1))*INDEX(TABLAS!$D$52:$D$58,MIN(MATCH(MAX(4,DATOS!$C$71),TABLAS!$B$52:$B$58,0)+4,7)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+4,7)),1)),MAX(MAX(DATOS!$C$74,CEILING(BM13/INDEX(TABLAS!$D$52:$D$58,MIN(MATCH(MAX(4,DATOS!$C$71),TABLAS!$B$52:$B$58,0)+4,7)),1)),2))&lt;=MIN(DATOS!$C$73,INT(((AD13-2*AK13)+MAX(DATOS!$C$70,INDEX(TABLAS!$C$52:$C$58,MIN(MATCH(MAX(4,DATOS!$C$71),TABLAS!$B$52:$B$58,0)+4,7))))/(INDEX(TABLAS!$C$52:$C$58,MIN(MATCH(MAX(4,DATOS!$C$71),TABLAS!$B$52:$B$58,0)+4,7))+MAX(DATOS!$C$70,INDEX(TABLAS!$C$52:$C$58,MIN(MATCH(MAX(4,DATOS!$C$71),TABLAS!$B$52:$B$58,0)+4,7))))))),INDEX(TABLAS!$B$52:$B$58,MIN(MATCH(MAX(4,DATOS!$C$71),TABLAS!$B$52:$B$58,0)+4,7)),INDEX(TABLAS!$B$52:$B$58,7)))))))</f>
        <v/>
      </c>
      <c r="BO13" s="59" t="str">
        <f>IF(V13&lt;&gt;"SÍ","",IF(BM13&lt;0,0,IF(MAX(DATOS!$C$74,CEILING(MAX(BM13,0)/INDEX(TABLAS!$D$52:$D$58,MATCH(BN13,TABLAS!$B$52:$B$58,0)),1))*INDEX(TABLAS!$D$52:$D$58,MATCH(BN13,TABLAS!$B$52:$B$58,0))&gt;=4/3*IF(BG13&lt;=0,0,IF((1-2*BG13*1E5/(DATOS!$C$29*AH13*BL13^2*DATOS!$C$21))&lt;0,-1,IF((1-SQRT((1-2*BG13*1E5/(DATOS!$C$29*AH13*BL13^2*DATOS!$C$21))))*DATOS!$C$21*AH13*BL13/DATOS!$C$14&gt;DATOS!$C$102*AH13*BL13,-1,(1-SQRT((1-2*BG13*1E5/(DATOS!$C$29*AH13*BL13^2*DATOS!$C$21))))*DATOS!$C$21*AH13*BL13/DATOS!$C$14)))-0.0001,MAX(DATOS!$C$74,CEILING(MAX(BM13,0)/INDEX(TABLAS!$D$52:$D$58,MATCH(BN13,TABLAS!$B$52:$B$58,0)),1)),MAX(MAX(DATOS!$C$74,CEILING(MAX(BM13,0)/INDEX(TABLAS!$D$52:$D$58,MATCH(BN13,TABLAS!$B$52:$B$58,0)),1)),2))))</f>
        <v/>
      </c>
      <c r="BP13" s="58" t="str">
        <f>IF(V13&lt;&gt;"SÍ","",DATOS!$C$85-AK13-INDEX(TABLAS!$C$52:$C$58,MATCH(BN13,TABLAS!$B$52:$B$58,0))/2)</f>
        <v/>
      </c>
      <c r="BQ13" s="56" t="str">
        <f>IF(V13&lt;&gt;"SÍ","",IF(BO13=0,0,DATOS!$C$29*BO13*INDEX(TABLAS!$D$52:$D$58,MATCH(BN13,TABLAS!$B$52:$B$58,0))*DATOS!$C$14*(BP13-BO13*INDEX(TABLAS!$D$52:$D$58,MATCH(BN13,TABLAS!$B$52:$B$58,0))*DATOS!$C$14/(DATOS!$C$21*AH13)/2)/1E5))</f>
        <v/>
      </c>
      <c r="BR13" s="65" t="str">
        <f>IF(V13&lt;&gt;"SÍ","",IF(BM13&lt;0,9.99,IF(BQ13&gt;0,BG13/BQ13,0)))</f>
        <v/>
      </c>
      <c r="BS13" s="66" t="str">
        <f>IF(V13&lt;&gt;"SÍ","",IF(BO13=0,"—",0.003*(BP13-(BO13*INDEX(TABLAS!$D$52:$D$58,MATCH(BN13,TABLAS!$B$52:$B$58,0))*DATOS!$C$14/(DATOS!$C$21*AH13)/DATOS!$C$22))/(BO13*INDEX(TABLAS!$D$52:$D$58,MATCH(BN13,TABLAS!$B$52:$B$58,0))*DATOS!$C$14/(DATOS!$C$21*AH13)/DATOS!$C$22)))</f>
        <v/>
      </c>
      <c r="BT13" s="58" t="str">
        <f>IF(V13&lt;&gt;"SÍ","",((DATOS!$C$85-AM13-2*DATOS!$C$97-INDEX(TABLAS!$C$52:$C$58,MATCH(MAX(4,DATOS!$C$72),TABLAS!$B$52:$B$58,0))/2)-IF(AND((DATOS!$C$85-AM13-2*DATOS!$C$97-INDEX(TABLAS!$C$52:$C$58,MATCH(MAX(4,DATOS!$C$72),TABLAS!$B$52:$B$58,0))/2)&lt;=20,DATOS!$C$65&lt;&gt;"SÍ"),2,0)))</f>
        <v/>
      </c>
      <c r="BU13" s="58" t="str">
        <f>IF(V13&lt;&gt;"SÍ","",IF(IF(BH13&lt;=0,0,IF((1-2*BH13*1E5/(DATOS!$C$29*AF13*BT13^2*DATOS!$C$21))&lt;0,-1,IF((1-SQRT((1-2*BH13*1E5/(DATOS!$C$29*AF13*BT13^2*DATOS!$C$21))))*DATOS!$C$21*AF13*BT13/DATOS!$C$14&gt;DATOS!$C$102*AF13*BT13,-1,(1-SQRT((1-2*BH13*1E5/(DATOS!$C$29*AF13*BT13^2*DATOS!$C$21))))*DATOS!$C$21*AF13*BT13/DATOS!$C$14)))&lt;0,-1,MAX(IF(BH13&lt;=0,0,IF((1-2*BH13*1E5/(DATOS!$C$29*AF13*BT13^2*DATOS!$C$21))&lt;0,-1,IF((1-SQRT((1-2*BH13*1E5/(DATOS!$C$29*AF13*BT13^2*DATOS!$C$21))))*DATOS!$C$21*AF13*BT13/DATOS!$C$14&gt;DATOS!$C$102*AF13*BT13,-1,(1-SQRT((1-2*BH13*1E5/(DATOS!$C$29*AF13*BT13^2*DATOS!$C$21))))*DATOS!$C$21*AF13*BT13/DATOS!$C$14))),MIN(DATOS!$C$103*IF(C13="VOLADO",MIN(AH13,2*AD13),AD13)*BT13,4/3*IF(BH13&lt;=0,0,IF((1-2*BH13*1E5/(DATOS!$C$29*AF13*BT13^2*DATOS!$C$21))&lt;0,-1,IF((1-SQRT((1-2*BH13*1E5/(DATOS!$C$29*AF13*BT13^2*DATOS!$C$21))))*DATOS!$C$21*AF13*BT13/DATOS!$C$14&gt;DATOS!$C$102*AF13*BT13,-1,(1-SQRT((1-2*BH13*1E5/(DATOS!$C$29*AF13*BT13^2*DATOS!$C$21))))*DATOS!$C$21*AF13*BT13/DATOS!$C$14)))))))</f>
        <v/>
      </c>
      <c r="BV13" s="64" t="str">
        <f>IF(V13&lt;&gt;"SÍ","",IF(AND(BU13&gt;=0,IF(MAX(DATOS!$C$74,CEILING(BU13/INDEX(TABLAS!$D$52:$D$58,MIN(MATCH(MAX(4,DATOS!$C$72),TABLAS!$B$52:$B$58,0)+0,7)),1))*INDEX(TABLAS!$D$52:$D$58,MIN(MATCH(MAX(4,DATOS!$C$72),TABLAS!$B$52:$B$58,0)+0,7)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+0,7)),1)),MAX(MAX(DATOS!$C$74,CEILING(BU13/INDEX(TABLAS!$D$52:$D$58,MIN(MATCH(MAX(4,DATOS!$C$72),TABLAS!$B$52:$B$58,0)+0,7)),1)),2))&lt;=MIN(DATOS!$C$73,INT(((AD13-2*AL13)+MAX(DATOS!$C$70,INDEX(TABLAS!$C$52:$C$58,MIN(MATCH(MAX(4,DATOS!$C$72),TABLAS!$B$52:$B$58,0)+0,7))))/(INDEX(TABLAS!$C$52:$C$58,MIN(MATCH(MAX(4,DATOS!$C$72),TABLAS!$B$52:$B$58,0)+0,7))+MAX(DATOS!$C$70,INDEX(TABLAS!$C$52:$C$58,MIN(MATCH(MAX(4,DATOS!$C$72),TABLAS!$B$52:$B$58,0)+0,7))))))),INDEX(TABLAS!$B$52:$B$58,MIN(MATCH(MAX(4,DATOS!$C$72),TABLAS!$B$52:$B$58,0)+0,7)),IF(AND(BU13&gt;=0,IF(MAX(DATOS!$C$74,CEILING(BU13/INDEX(TABLAS!$D$52:$D$58,MIN(MATCH(MAX(4,DATOS!$C$72),TABLAS!$B$52:$B$58,0)+1,7)),1))*INDEX(TABLAS!$D$52:$D$58,MIN(MATCH(MAX(4,DATOS!$C$72),TABLAS!$B$52:$B$58,0)+1,7)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+1,7)),1)),MAX(MAX(DATOS!$C$74,CEILING(BU13/INDEX(TABLAS!$D$52:$D$58,MIN(MATCH(MAX(4,DATOS!$C$72),TABLAS!$B$52:$B$58,0)+1,7)),1)),2))&lt;=MIN(DATOS!$C$73,INT(((AD13-2*AL13)+MAX(DATOS!$C$70,INDEX(TABLAS!$C$52:$C$58,MIN(MATCH(MAX(4,DATOS!$C$72),TABLAS!$B$52:$B$58,0)+1,7))))/(INDEX(TABLAS!$C$52:$C$58,MIN(MATCH(MAX(4,DATOS!$C$72),TABLAS!$B$52:$B$58,0)+1,7))+MAX(DATOS!$C$70,INDEX(TABLAS!$C$52:$C$58,MIN(MATCH(MAX(4,DATOS!$C$72),TABLAS!$B$52:$B$58,0)+1,7))))))),INDEX(TABLAS!$B$52:$B$58,MIN(MATCH(MAX(4,DATOS!$C$72),TABLAS!$B$52:$B$58,0)+1,7)),IF(AND(BU13&gt;=0,IF(MAX(DATOS!$C$74,CEILING(BU13/INDEX(TABLAS!$D$52:$D$58,MIN(MATCH(MAX(4,DATOS!$C$72),TABLAS!$B$52:$B$58,0)+2,7)),1))*INDEX(TABLAS!$D$52:$D$58,MIN(MATCH(MAX(4,DATOS!$C$72),TABLAS!$B$52:$B$58,0)+2,7)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+2,7)),1)),MAX(MAX(DATOS!$C$74,CEILING(BU13/INDEX(TABLAS!$D$52:$D$58,MIN(MATCH(MAX(4,DATOS!$C$72),TABLAS!$B$52:$B$58,0)+2,7)),1)),2))&lt;=MIN(DATOS!$C$73,INT(((AD13-2*AL13)+MAX(DATOS!$C$70,INDEX(TABLAS!$C$52:$C$58,MIN(MATCH(MAX(4,DATOS!$C$72),TABLAS!$B$52:$B$58,0)+2,7))))/(INDEX(TABLAS!$C$52:$C$58,MIN(MATCH(MAX(4,DATOS!$C$72),TABLAS!$B$52:$B$58,0)+2,7))+MAX(DATOS!$C$70,INDEX(TABLAS!$C$52:$C$58,MIN(MATCH(MAX(4,DATOS!$C$72),TABLAS!$B$52:$B$58,0)+2,7))))))),INDEX(TABLAS!$B$52:$B$58,MIN(MATCH(MAX(4,DATOS!$C$72),TABLAS!$B$52:$B$58,0)+2,7)),IF(AND(BU13&gt;=0,IF(MAX(DATOS!$C$74,CEILING(BU13/INDEX(TABLAS!$D$52:$D$58,MIN(MATCH(MAX(4,DATOS!$C$72),TABLAS!$B$52:$B$58,0)+3,7)),1))*INDEX(TABLAS!$D$52:$D$58,MIN(MATCH(MAX(4,DATOS!$C$72),TABLAS!$B$52:$B$58,0)+3,7)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+3,7)),1)),MAX(MAX(DATOS!$C$74,CEILING(BU13/INDEX(TABLAS!$D$52:$D$58,MIN(MATCH(MAX(4,DATOS!$C$72),TABLAS!$B$52:$B$58,0)+3,7)),1)),2))&lt;=MIN(DATOS!$C$73,INT(((AD13-2*AL13)+MAX(DATOS!$C$70,INDEX(TABLAS!$C$52:$C$58,MIN(MATCH(MAX(4,DATOS!$C$72),TABLAS!$B$52:$B$58,0)+3,7))))/(INDEX(TABLAS!$C$52:$C$58,MIN(MATCH(MAX(4,DATOS!$C$72),TABLAS!$B$52:$B$58,0)+3,7))+MAX(DATOS!$C$70,INDEX(TABLAS!$C$52:$C$58,MIN(MATCH(MAX(4,DATOS!$C$72),TABLAS!$B$52:$B$58,0)+3,7))))))),INDEX(TABLAS!$B$52:$B$58,MIN(MATCH(MAX(4,DATOS!$C$72),TABLAS!$B$52:$B$58,0)+3,7)),IF(AND(BU13&gt;=0,IF(MAX(DATOS!$C$74,CEILING(BU13/INDEX(TABLAS!$D$52:$D$58,MIN(MATCH(MAX(4,DATOS!$C$72),TABLAS!$B$52:$B$58,0)+4,7)),1))*INDEX(TABLAS!$D$52:$D$58,MIN(MATCH(MAX(4,DATOS!$C$72),TABLAS!$B$52:$B$58,0)+4,7)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+4,7)),1)),MAX(MAX(DATOS!$C$74,CEILING(BU13/INDEX(TABLAS!$D$52:$D$58,MIN(MATCH(MAX(4,DATOS!$C$72),TABLAS!$B$52:$B$58,0)+4,7)),1)),2))&lt;=MIN(DATOS!$C$73,INT(((AD13-2*AL13)+MAX(DATOS!$C$70,INDEX(TABLAS!$C$52:$C$58,MIN(MATCH(MAX(4,DATOS!$C$72),TABLAS!$B$52:$B$58,0)+4,7))))/(INDEX(TABLAS!$C$52:$C$58,MIN(MATCH(MAX(4,DATOS!$C$72),TABLAS!$B$52:$B$58,0)+4,7))+MAX(DATOS!$C$70,INDEX(TABLAS!$C$52:$C$58,MIN(MATCH(MAX(4,DATOS!$C$72),TABLAS!$B$52:$B$58,0)+4,7))))))),INDEX(TABLAS!$B$52:$B$58,MIN(MATCH(MAX(4,DATOS!$C$72),TABLAS!$B$52:$B$58,0)+4,7)),INDEX(TABLAS!$B$52:$B$58,7)))))))</f>
        <v/>
      </c>
      <c r="BW13" s="59" t="str">
        <f>IF(V13&lt;&gt;"SÍ","",IF(BU13&lt;0,0,IF(MAX(DATOS!$C$74,CEILING(MAX(BU13,0)/INDEX(TABLAS!$D$52:$D$58,MATCH(BV13,TABLAS!$B$52:$B$58,0)),1))*INDEX(TABLAS!$D$52:$D$58,MATCH(BV13,TABLAS!$B$52:$B$58,0))&gt;=4/3*IF(BH13&lt;=0,0,IF((1-2*BH13*1E5/(DATOS!$C$29*AF13*BT13^2*DATOS!$C$21))&lt;0,-1,IF((1-SQRT((1-2*BH13*1E5/(DATOS!$C$29*AF13*BT13^2*DATOS!$C$21))))*DATOS!$C$21*AF13*BT13/DATOS!$C$14&gt;DATOS!$C$102*AF13*BT13,-1,(1-SQRT((1-2*BH13*1E5/(DATOS!$C$29*AF13*BT13^2*DATOS!$C$21))))*DATOS!$C$21*AF13*BT13/DATOS!$C$14)))-0.0001,MAX(DATOS!$C$74,CEILING(MAX(BU13,0)/INDEX(TABLAS!$D$52:$D$58,MATCH(BV13,TABLAS!$B$52:$B$58,0)),1)),MAX(MAX(DATOS!$C$74,CEILING(MAX(BU13,0)/INDEX(TABLAS!$D$52:$D$58,MATCH(BV13,TABLAS!$B$52:$B$58,0)),1)),2))))</f>
        <v/>
      </c>
      <c r="BX13" s="58" t="str">
        <f>IF(V13&lt;&gt;"SÍ","",((DATOS!$C$85-AM13-2*DATOS!$C$97-INDEX(TABLAS!$C$52:$C$58,MATCH(BV13,TABLAS!$B$52:$B$58,0))/2)-IF(AND((DATOS!$C$85-AM13-2*DATOS!$C$97-INDEX(TABLAS!$C$52:$C$58,MATCH(BV13,TABLAS!$B$52:$B$58,0))/2)&lt;=20,DATOS!$C$65&lt;&gt;"SÍ"),2,0)))</f>
        <v/>
      </c>
      <c r="BY13" s="56" t="str">
        <f>IF(V13&lt;&gt;"SÍ","",IF(BW13=0,0,DATOS!$C$29*BW13*INDEX(TABLAS!$D$52:$D$58,MATCH(BV13,TABLAS!$B$52:$B$58,0))*DATOS!$C$14*(BX13-BW13*INDEX(TABLAS!$D$52:$D$58,MATCH(BV13,TABLAS!$B$52:$B$58,0))*DATOS!$C$14/(DATOS!$C$21*AF13)/2)/1E5))</f>
        <v/>
      </c>
      <c r="BZ13" s="65" t="str">
        <f>IF(V13&lt;&gt;"SÍ","",IF(BU13&lt;0,9.99,IF(BY13&gt;0,BH13/BY13,0)))</f>
        <v/>
      </c>
      <c r="CA13" s="66" t="str">
        <f>IF(V13&lt;&gt;"SÍ","",IF(BW13=0,"—",0.003*(BX13-(BW13*INDEX(TABLAS!$D$52:$D$58,MATCH(BV13,TABLAS!$B$52:$B$58,0))*DATOS!$C$14/(DATOS!$C$21*AF13)/DATOS!$C$22))/(BW13*INDEX(TABLAS!$D$52:$D$58,MATCH(BV13,TABLAS!$B$52:$B$58,0))*DATOS!$C$14/(DATOS!$C$21*AF13)/DATOS!$C$22)))</f>
        <v/>
      </c>
      <c r="CB13" s="58" t="str">
        <f>IF(V13&lt;&gt;"SÍ","",(DATOS!$C$85-AK13-INDEX(TABLAS!$C$52:$C$58,MATCH(MAX(4,DATOS!$C$71),TABLAS!$B$52:$B$58,0))-INDEX(TABLAS!$C$52:$C$58,MATCH(MAX(4,DATOS!$C$71),TABLAS!$B$52:$B$58,0))/2))</f>
        <v/>
      </c>
      <c r="CC13" s="58" t="str">
        <f>IF(V13&lt;&gt;"SÍ","",IF(IF(BI13&lt;=0,0,IF((1-2*BI13*1E5/(DATOS!$C$29*AI13*CB13^2*DATOS!$C$21))&lt;0,-1,IF((1-SQRT((1-2*BI13*1E5/(DATOS!$C$29*AI13*CB13^2*DATOS!$C$21))))*DATOS!$C$21*AI13*CB13/DATOS!$C$14&gt;DATOS!$C$102*AI13*CB13,-1,(1-SQRT((1-2*BI13*1E5/(DATOS!$C$29*AI13*CB13^2*DATOS!$C$21))))*DATOS!$C$21*AI13*CB13/DATOS!$C$14)))&lt;0,-1,MAX(IF(BI13&lt;=0,0,IF((1-2*BI13*1E5/(DATOS!$C$29*AI13*CB13^2*DATOS!$C$21))&lt;0,-1,IF((1-SQRT((1-2*BI13*1E5/(DATOS!$C$29*AI13*CB13^2*DATOS!$C$21))))*DATOS!$C$21*AI13*CB13/DATOS!$C$14&gt;DATOS!$C$102*AI13*CB13,-1,(1-SQRT((1-2*BI13*1E5/(DATOS!$C$29*AI13*CB13^2*DATOS!$C$21))))*DATOS!$C$21*AI13*CB13/DATOS!$C$14))),MIN(DATOS!$C$103*DATOS!$C$83*CB13,4/3*IF(BI13&lt;=0,0,IF((1-2*BI13*1E5/(DATOS!$C$29*AI13*CB13^2*DATOS!$C$21))&lt;0,-1,IF((1-SQRT((1-2*BI13*1E5/(DATOS!$C$29*AI13*CB13^2*DATOS!$C$21))))*DATOS!$C$21*AI13*CB13/DATOS!$C$14&gt;DATOS!$C$102*AI13*CB13,-1,(1-SQRT((1-2*BI13*1E5/(DATOS!$C$29*AI13*CB13^2*DATOS!$C$21))))*DATOS!$C$21*AI13*CB13/DATOS!$C$14)))))))</f>
        <v/>
      </c>
      <c r="CD13" s="64" t="str">
        <f>IF(V13&lt;&gt;"SÍ","",IF(AND(CC13&gt;=0,IF(MAX(DATOS!$C$74,CEILING(CC13/INDEX(TABLAS!$D$52:$D$58,MIN(MATCH(MAX(4,DATOS!$C$71),TABLAS!$B$52:$B$58,0)+0,7)),1))*INDEX(TABLAS!$D$52:$D$58,MIN(MATCH(MAX(4,DATOS!$C$71),TABLAS!$B$52:$B$58,0)+0,7)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+0,7)),1)),MAX(MAX(DATOS!$C$74,CEILING(CC13/INDEX(TABLAS!$D$52:$D$58,MIN(MATCH(MAX(4,DATOS!$C$71),TABLAS!$B$52:$B$58,0)+0,7)),1)),2))&lt;=MIN(DATOS!$C$73,INT(((DATOS!$C$83-2*AK13)+MAX(DATOS!$C$70,INDEX(TABLAS!$C$52:$C$58,MIN(MATCH(MAX(4,DATOS!$C$71),TABLAS!$B$52:$B$58,0)+0,7))))/(INDEX(TABLAS!$C$52:$C$58,MIN(MATCH(MAX(4,DATOS!$C$71),TABLAS!$B$52:$B$58,0)+0,7))+MAX(DATOS!$C$70,INDEX(TABLAS!$C$52:$C$58,MIN(MATCH(MAX(4,DATOS!$C$71),TABLAS!$B$52:$B$58,0)+0,7))))))),INDEX(TABLAS!$B$52:$B$58,MIN(MATCH(MAX(4,DATOS!$C$71),TABLAS!$B$52:$B$58,0)+0,7)),IF(AND(CC13&gt;=0,IF(MAX(DATOS!$C$74,CEILING(CC13/INDEX(TABLAS!$D$52:$D$58,MIN(MATCH(MAX(4,DATOS!$C$71),TABLAS!$B$52:$B$58,0)+1,7)),1))*INDEX(TABLAS!$D$52:$D$58,MIN(MATCH(MAX(4,DATOS!$C$71),TABLAS!$B$52:$B$58,0)+1,7)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+1,7)),1)),MAX(MAX(DATOS!$C$74,CEILING(CC13/INDEX(TABLAS!$D$52:$D$58,MIN(MATCH(MAX(4,DATOS!$C$71),TABLAS!$B$52:$B$58,0)+1,7)),1)),2))&lt;=MIN(DATOS!$C$73,INT(((DATOS!$C$83-2*AK13)+MAX(DATOS!$C$70,INDEX(TABLAS!$C$52:$C$58,MIN(MATCH(MAX(4,DATOS!$C$71),TABLAS!$B$52:$B$58,0)+1,7))))/(INDEX(TABLAS!$C$52:$C$58,MIN(MATCH(MAX(4,DATOS!$C$71),TABLAS!$B$52:$B$58,0)+1,7))+MAX(DATOS!$C$70,INDEX(TABLAS!$C$52:$C$58,MIN(MATCH(MAX(4,DATOS!$C$71),TABLAS!$B$52:$B$58,0)+1,7))))))),INDEX(TABLAS!$B$52:$B$58,MIN(MATCH(MAX(4,DATOS!$C$71),TABLAS!$B$52:$B$58,0)+1,7)),IF(AND(CC13&gt;=0,IF(MAX(DATOS!$C$74,CEILING(CC13/INDEX(TABLAS!$D$52:$D$58,MIN(MATCH(MAX(4,DATOS!$C$71),TABLAS!$B$52:$B$58,0)+2,7)),1))*INDEX(TABLAS!$D$52:$D$58,MIN(MATCH(MAX(4,DATOS!$C$71),TABLAS!$B$52:$B$58,0)+2,7)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+2,7)),1)),MAX(MAX(DATOS!$C$74,CEILING(CC13/INDEX(TABLAS!$D$52:$D$58,MIN(MATCH(MAX(4,DATOS!$C$71),TABLAS!$B$52:$B$58,0)+2,7)),1)),2))&lt;=MIN(DATOS!$C$73,INT(((DATOS!$C$83-2*AK13)+MAX(DATOS!$C$70,INDEX(TABLAS!$C$52:$C$58,MIN(MATCH(MAX(4,DATOS!$C$71),TABLAS!$B$52:$B$58,0)+2,7))))/(INDEX(TABLAS!$C$52:$C$58,MIN(MATCH(MAX(4,DATOS!$C$71),TABLAS!$B$52:$B$58,0)+2,7))+MAX(DATOS!$C$70,INDEX(TABLAS!$C$52:$C$58,MIN(MATCH(MAX(4,DATOS!$C$71),TABLAS!$B$52:$B$58,0)+2,7))))))),INDEX(TABLAS!$B$52:$B$58,MIN(MATCH(MAX(4,DATOS!$C$71),TABLAS!$B$52:$B$58,0)+2,7)),IF(AND(CC13&gt;=0,IF(MAX(DATOS!$C$74,CEILING(CC13/INDEX(TABLAS!$D$52:$D$58,MIN(MATCH(MAX(4,DATOS!$C$71),TABLAS!$B$52:$B$58,0)+3,7)),1))*INDEX(TABLAS!$D$52:$D$58,MIN(MATCH(MAX(4,DATOS!$C$71),TABLAS!$B$52:$B$58,0)+3,7)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+3,7)),1)),MAX(MAX(DATOS!$C$74,CEILING(CC13/INDEX(TABLAS!$D$52:$D$58,MIN(MATCH(MAX(4,DATOS!$C$71),TABLAS!$B$52:$B$58,0)+3,7)),1)),2))&lt;=MIN(DATOS!$C$73,INT(((DATOS!$C$83-2*AK13)+MAX(DATOS!$C$70,INDEX(TABLAS!$C$52:$C$58,MIN(MATCH(MAX(4,DATOS!$C$71),TABLAS!$B$52:$B$58,0)+3,7))))/(INDEX(TABLAS!$C$52:$C$58,MIN(MATCH(MAX(4,DATOS!$C$71),TABLAS!$B$52:$B$58,0)+3,7))+MAX(DATOS!$C$70,INDEX(TABLAS!$C$52:$C$58,MIN(MATCH(MAX(4,DATOS!$C$71),TABLAS!$B$52:$B$58,0)+3,7))))))),INDEX(TABLAS!$B$52:$B$58,MIN(MATCH(MAX(4,DATOS!$C$71),TABLAS!$B$52:$B$58,0)+3,7)),IF(AND(CC13&gt;=0,IF(MAX(DATOS!$C$74,CEILING(CC13/INDEX(TABLAS!$D$52:$D$58,MIN(MATCH(MAX(4,DATOS!$C$71),TABLAS!$B$52:$B$58,0)+4,7)),1))*INDEX(TABLAS!$D$52:$D$58,MIN(MATCH(MAX(4,DATOS!$C$71),TABLAS!$B$52:$B$58,0)+4,7)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+4,7)),1)),MAX(MAX(DATOS!$C$74,CEILING(CC13/INDEX(TABLAS!$D$52:$D$58,MIN(MATCH(MAX(4,DATOS!$C$71),TABLAS!$B$52:$B$58,0)+4,7)),1)),2))&lt;=MIN(DATOS!$C$73,INT(((DATOS!$C$83-2*AK13)+MAX(DATOS!$C$70,INDEX(TABLAS!$C$52:$C$58,MIN(MATCH(MAX(4,DATOS!$C$71),TABLAS!$B$52:$B$58,0)+4,7))))/(INDEX(TABLAS!$C$52:$C$58,MIN(MATCH(MAX(4,DATOS!$C$71),TABLAS!$B$52:$B$58,0)+4,7))+MAX(DATOS!$C$70,INDEX(TABLAS!$C$52:$C$58,MIN(MATCH(MAX(4,DATOS!$C$71),TABLAS!$B$52:$B$58,0)+4,7))))))),INDEX(TABLAS!$B$52:$B$58,MIN(MATCH(MAX(4,DATOS!$C$71),TABLAS!$B$52:$B$58,0)+4,7)),INDEX(TABLAS!$B$52:$B$58,7)))))))</f>
        <v/>
      </c>
      <c r="CE13" s="59" t="str">
        <f>IF(V13&lt;&gt;"SÍ","",IF(CC13&lt;0,0,IF(MAX(DATOS!$C$74,CEILING(MAX(CC13,0)/INDEX(TABLAS!$D$52:$D$58,MATCH(CD13,TABLAS!$B$52:$B$58,0)),1))*INDEX(TABLAS!$D$52:$D$58,MATCH(CD13,TABLAS!$B$52:$B$58,0))&gt;=4/3*IF(BI13&lt;=0,0,IF((1-2*BI13*1E5/(DATOS!$C$29*AI13*CB13^2*DATOS!$C$21))&lt;0,-1,IF((1-SQRT((1-2*BI13*1E5/(DATOS!$C$29*AI13*CB13^2*DATOS!$C$21))))*DATOS!$C$21*AI13*CB13/DATOS!$C$14&gt;DATOS!$C$102*AI13*CB13,-1,(1-SQRT((1-2*BI13*1E5/(DATOS!$C$29*AI13*CB13^2*DATOS!$C$21))))*DATOS!$C$21*AI13*CB13/DATOS!$C$14)))-0.0001,MAX(DATOS!$C$74,CEILING(MAX(CC13,0)/INDEX(TABLAS!$D$52:$D$58,MATCH(CD13,TABLAS!$B$52:$B$58,0)),1)),MAX(MAX(DATOS!$C$74,CEILING(MAX(CC13,0)/INDEX(TABLAS!$D$52:$D$58,MATCH(CD13,TABLAS!$B$52:$B$58,0)),1)),2))))</f>
        <v/>
      </c>
      <c r="CF13" s="58" t="str">
        <f>IF(V13&lt;&gt;"SÍ","",DATOS!$C$85-AK13-INDEX(TABLAS!$C$52:$C$58,MATCH(BN13,TABLAS!$B$52:$B$58,0))-INDEX(TABLAS!$C$52:$C$58,MATCH(CD13,TABLAS!$B$52:$B$58,0))/2)</f>
        <v/>
      </c>
      <c r="CG13" s="56" t="str">
        <f>IF(V13&lt;&gt;"SÍ","",IF(CE13=0,0,DATOS!$C$29*CE13*INDEX(TABLAS!$D$52:$D$58,MATCH(CD13,TABLAS!$B$52:$B$58,0))*DATOS!$C$14*(CF13-CE13*INDEX(TABLAS!$D$52:$D$58,MATCH(CD13,TABLAS!$B$52:$B$58,0))*DATOS!$C$14/(DATOS!$C$21*AI13)/2)/1E5))</f>
        <v/>
      </c>
      <c r="CH13" s="65" t="str">
        <f>IF(V13&lt;&gt;"SÍ","",IF(CC13&lt;0,9.99,IF(CG13&gt;0,BI13/CG13,0)))</f>
        <v/>
      </c>
      <c r="CI13" s="66" t="str">
        <f>IF(V13&lt;&gt;"SÍ","",IF(CE13=0,"—",0.003*(CF13-(CE13*INDEX(TABLAS!$D$52:$D$58,MATCH(CD13,TABLAS!$B$52:$B$58,0))*DATOS!$C$14/(DATOS!$C$21*AI13)/DATOS!$C$22))/(CE13*INDEX(TABLAS!$D$52:$D$58,MATCH(CD13,TABLAS!$B$52:$B$58,0))*DATOS!$C$14/(DATOS!$C$21*AI13)/DATOS!$C$22)))</f>
        <v/>
      </c>
      <c r="CJ13" s="58" t="str">
        <f>IF(V13&lt;&gt;"SÍ","",((DATOS!$C$85-AM13-2*DATOS!$C$97-INDEX(TABLAS!$C$52:$C$58,MATCH(MAX(4,DATOS!$C$72),TABLAS!$B$52:$B$58,0))-INDEX(TABLAS!$C$52:$C$58,MATCH(MAX(4,DATOS!$C$72),TABLAS!$B$52:$B$58,0))/2)-IF(AND((DATOS!$C$85-AM13-2*DATOS!$C$97-INDEX(TABLAS!$C$52:$C$58,MATCH(MAX(4,DATOS!$C$72),TABLAS!$B$52:$B$58,0))-INDEX(TABLAS!$C$52:$C$58,MATCH(MAX(4,DATOS!$C$72),TABLAS!$B$52:$B$58,0))/2)&lt;=20,DATOS!$C$65&lt;&gt;"SÍ"),2,0)))</f>
        <v/>
      </c>
      <c r="CK13" s="58" t="str">
        <f>IF(V13&lt;&gt;"SÍ","",IF(IF(BJ13&lt;=0,0,IF((1-2*BJ13*1E5/(DATOS!$C$29*AG13*CJ13^2*DATOS!$C$21))&lt;0,-1,IF((1-SQRT((1-2*BJ13*1E5/(DATOS!$C$29*AG13*CJ13^2*DATOS!$C$21))))*DATOS!$C$21*AG13*CJ13/DATOS!$C$14&gt;DATOS!$C$102*AG13*CJ13,-1,(1-SQRT((1-2*BJ13*1E5/(DATOS!$C$29*AG13*CJ13^2*DATOS!$C$21))))*DATOS!$C$21*AG13*CJ13/DATOS!$C$14)))&lt;0,-1,MAX(IF(BJ13&lt;=0,0,IF((1-2*BJ13*1E5/(DATOS!$C$29*AG13*CJ13^2*DATOS!$C$21))&lt;0,-1,IF((1-SQRT((1-2*BJ13*1E5/(DATOS!$C$29*AG13*CJ13^2*DATOS!$C$21))))*DATOS!$C$21*AG13*CJ13/DATOS!$C$14&gt;DATOS!$C$102*AG13*CJ13,-1,(1-SQRT((1-2*BJ13*1E5/(DATOS!$C$29*AG13*CJ13^2*DATOS!$C$21))))*DATOS!$C$21*AG13*CJ13/DATOS!$C$14))),MIN(DATOS!$C$103*DATOS!$C$83*CJ13,4/3*IF(BJ13&lt;=0,0,IF((1-2*BJ13*1E5/(DATOS!$C$29*AG13*CJ13^2*DATOS!$C$21))&lt;0,-1,IF((1-SQRT((1-2*BJ13*1E5/(DATOS!$C$29*AG13*CJ13^2*DATOS!$C$21))))*DATOS!$C$21*AG13*CJ13/DATOS!$C$14&gt;DATOS!$C$102*AG13*CJ13,-1,(1-SQRT((1-2*BJ13*1E5/(DATOS!$C$29*AG13*CJ13^2*DATOS!$C$21))))*DATOS!$C$21*AG13*CJ13/DATOS!$C$14)))))))</f>
        <v/>
      </c>
      <c r="CL13" s="64" t="str">
        <f>IF(V13&lt;&gt;"SÍ","",IF(AND(CK13&gt;=0,IF(MAX(DATOS!$C$74,CEILING(CK13/INDEX(TABLAS!$D$52:$D$58,MIN(MATCH(MAX(4,DATOS!$C$72),TABLAS!$B$52:$B$58,0)+0,7)),1))*INDEX(TABLAS!$D$52:$D$58,MIN(MATCH(MAX(4,DATOS!$C$72),TABLAS!$B$52:$B$58,0)+0,7)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+0,7)),1)),MAX(MAX(DATOS!$C$74,CEILING(CK13/INDEX(TABLAS!$D$52:$D$58,MIN(MATCH(MAX(4,DATOS!$C$72),TABLAS!$B$52:$B$58,0)+0,7)),1)),2))&lt;=MIN(DATOS!$C$73,INT(((DATOS!$C$83-2*AL13)+MAX(DATOS!$C$70,INDEX(TABLAS!$C$52:$C$58,MIN(MATCH(MAX(4,DATOS!$C$72),TABLAS!$B$52:$B$58,0)+0,7))))/(INDEX(TABLAS!$C$52:$C$58,MIN(MATCH(MAX(4,DATOS!$C$72),TABLAS!$B$52:$B$58,0)+0,7))+MAX(DATOS!$C$70,INDEX(TABLAS!$C$52:$C$58,MIN(MATCH(MAX(4,DATOS!$C$72),TABLAS!$B$52:$B$58,0)+0,7))))))),INDEX(TABLAS!$B$52:$B$58,MIN(MATCH(MAX(4,DATOS!$C$72),TABLAS!$B$52:$B$58,0)+0,7)),IF(AND(CK13&gt;=0,IF(MAX(DATOS!$C$74,CEILING(CK13/INDEX(TABLAS!$D$52:$D$58,MIN(MATCH(MAX(4,DATOS!$C$72),TABLAS!$B$52:$B$58,0)+1,7)),1))*INDEX(TABLAS!$D$52:$D$58,MIN(MATCH(MAX(4,DATOS!$C$72),TABLAS!$B$52:$B$58,0)+1,7)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+1,7)),1)),MAX(MAX(DATOS!$C$74,CEILING(CK13/INDEX(TABLAS!$D$52:$D$58,MIN(MATCH(MAX(4,DATOS!$C$72),TABLAS!$B$52:$B$58,0)+1,7)),1)),2))&lt;=MIN(DATOS!$C$73,INT(((DATOS!$C$83-2*AL13)+MAX(DATOS!$C$70,INDEX(TABLAS!$C$52:$C$58,MIN(MATCH(MAX(4,DATOS!$C$72),TABLAS!$B$52:$B$58,0)+1,7))))/(INDEX(TABLAS!$C$52:$C$58,MIN(MATCH(MAX(4,DATOS!$C$72),TABLAS!$B$52:$B$58,0)+1,7))+MAX(DATOS!$C$70,INDEX(TABLAS!$C$52:$C$58,MIN(MATCH(MAX(4,DATOS!$C$72),TABLAS!$B$52:$B$58,0)+1,7))))))),INDEX(TABLAS!$B$52:$B$58,MIN(MATCH(MAX(4,DATOS!$C$72),TABLAS!$B$52:$B$58,0)+1,7)),IF(AND(CK13&gt;=0,IF(MAX(DATOS!$C$74,CEILING(CK13/INDEX(TABLAS!$D$52:$D$58,MIN(MATCH(MAX(4,DATOS!$C$72),TABLAS!$B$52:$B$58,0)+2,7)),1))*INDEX(TABLAS!$D$52:$D$58,MIN(MATCH(MAX(4,DATOS!$C$72),TABLAS!$B$52:$B$58,0)+2,7)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+2,7)),1)),MAX(MAX(DATOS!$C$74,CEILING(CK13/INDEX(TABLAS!$D$52:$D$58,MIN(MATCH(MAX(4,DATOS!$C$72),TABLAS!$B$52:$B$58,0)+2,7)),1)),2))&lt;=MIN(DATOS!$C$73,INT(((DATOS!$C$83-2*AL13)+MAX(DATOS!$C$70,INDEX(TABLAS!$C$52:$C$58,MIN(MATCH(MAX(4,DATOS!$C$72),TABLAS!$B$52:$B$58,0)+2,7))))/(INDEX(TABLAS!$C$52:$C$58,MIN(MATCH(MAX(4,DATOS!$C$72),TABLAS!$B$52:$B$58,0)+2,7))+MAX(DATOS!$C$70,INDEX(TABLAS!$C$52:$C$58,MIN(MATCH(MAX(4,DATOS!$C$72),TABLAS!$B$52:$B$58,0)+2,7))))))),INDEX(TABLAS!$B$52:$B$58,MIN(MATCH(MAX(4,DATOS!$C$72),TABLAS!$B$52:$B$58,0)+2,7)),IF(AND(CK13&gt;=0,IF(MAX(DATOS!$C$74,CEILING(CK13/INDEX(TABLAS!$D$52:$D$58,MIN(MATCH(MAX(4,DATOS!$C$72),TABLAS!$B$52:$B$58,0)+3,7)),1))*INDEX(TABLAS!$D$52:$D$58,MIN(MATCH(MAX(4,DATOS!$C$72),TABLAS!$B$52:$B$58,0)+3,7)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+3,7)),1)),MAX(MAX(DATOS!$C$74,CEILING(CK13/INDEX(TABLAS!$D$52:$D$58,MIN(MATCH(MAX(4,DATOS!$C$72),TABLAS!$B$52:$B$58,0)+3,7)),1)),2))&lt;=MIN(DATOS!$C$73,INT(((DATOS!$C$83-2*AL13)+MAX(DATOS!$C$70,INDEX(TABLAS!$C$52:$C$58,MIN(MATCH(MAX(4,DATOS!$C$72),TABLAS!$B$52:$B$58,0)+3,7))))/(INDEX(TABLAS!$C$52:$C$58,MIN(MATCH(MAX(4,DATOS!$C$72),TABLAS!$B$52:$B$58,0)+3,7))+MAX(DATOS!$C$70,INDEX(TABLAS!$C$52:$C$58,MIN(MATCH(MAX(4,DATOS!$C$72),TABLAS!$B$52:$B$58,0)+3,7))))))),INDEX(TABLAS!$B$52:$B$58,MIN(MATCH(MAX(4,DATOS!$C$72),TABLAS!$B$52:$B$58,0)+3,7)),IF(AND(CK13&gt;=0,IF(MAX(DATOS!$C$74,CEILING(CK13/INDEX(TABLAS!$D$52:$D$58,MIN(MATCH(MAX(4,DATOS!$C$72),TABLAS!$B$52:$B$58,0)+4,7)),1))*INDEX(TABLAS!$D$52:$D$58,MIN(MATCH(MAX(4,DATOS!$C$72),TABLAS!$B$52:$B$58,0)+4,7)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+4,7)),1)),MAX(MAX(DATOS!$C$74,CEILING(CK13/INDEX(TABLAS!$D$52:$D$58,MIN(MATCH(MAX(4,DATOS!$C$72),TABLAS!$B$52:$B$58,0)+4,7)),1)),2))&lt;=MIN(DATOS!$C$73,INT(((DATOS!$C$83-2*AL13)+MAX(DATOS!$C$70,INDEX(TABLAS!$C$52:$C$58,MIN(MATCH(MAX(4,DATOS!$C$72),TABLAS!$B$52:$B$58,0)+4,7))))/(INDEX(TABLAS!$C$52:$C$58,MIN(MATCH(MAX(4,DATOS!$C$72),TABLAS!$B$52:$B$58,0)+4,7))+MAX(DATOS!$C$70,INDEX(TABLAS!$C$52:$C$58,MIN(MATCH(MAX(4,DATOS!$C$72),TABLAS!$B$52:$B$58,0)+4,7))))))),INDEX(TABLAS!$B$52:$B$58,MIN(MATCH(MAX(4,DATOS!$C$72),TABLAS!$B$52:$B$58,0)+4,7)),INDEX(TABLAS!$B$52:$B$58,7)))))))</f>
        <v/>
      </c>
      <c r="CM13" s="59" t="str">
        <f>IF(V13&lt;&gt;"SÍ","",IF(CK13&lt;0,0,IF(MAX(DATOS!$C$74,CEILING(MAX(CK13,0)/INDEX(TABLAS!$D$52:$D$58,MATCH(CL13,TABLAS!$B$52:$B$58,0)),1))*INDEX(TABLAS!$D$52:$D$58,MATCH(CL13,TABLAS!$B$52:$B$58,0))&gt;=4/3*IF(BJ13&lt;=0,0,IF((1-2*BJ13*1E5/(DATOS!$C$29*AG13*CJ13^2*DATOS!$C$21))&lt;0,-1,IF((1-SQRT((1-2*BJ13*1E5/(DATOS!$C$29*AG13*CJ13^2*DATOS!$C$21))))*DATOS!$C$21*AG13*CJ13/DATOS!$C$14&gt;DATOS!$C$102*AG13*CJ13,-1,(1-SQRT((1-2*BJ13*1E5/(DATOS!$C$29*AG13*CJ13^2*DATOS!$C$21))))*DATOS!$C$21*AG13*CJ13/DATOS!$C$14)))-0.0001,MAX(DATOS!$C$74,CEILING(MAX(CK13,0)/INDEX(TABLAS!$D$52:$D$58,MATCH(CL13,TABLAS!$B$52:$B$58,0)),1)),MAX(MAX(DATOS!$C$74,CEILING(MAX(CK13,0)/INDEX(TABLAS!$D$52:$D$58,MATCH(CL13,TABLAS!$B$52:$B$58,0)),1)),2))))</f>
        <v/>
      </c>
      <c r="CN13" s="58" t="str">
        <f>IF(V13&lt;&gt;"SÍ","",((DATOS!$C$85-AM13-2*DATOS!$C$97-INDEX(TABLAS!$C$52:$C$58,MATCH(BV13,TABLAS!$B$52:$B$58,0))-INDEX(TABLAS!$C$52:$C$58,MATCH(CL13,TABLAS!$B$52:$B$58,0))/2)-IF(AND((DATOS!$C$85-AM13-2*DATOS!$C$97-INDEX(TABLAS!$C$52:$C$58,MATCH(BV13,TABLAS!$B$52:$B$58,0))-INDEX(TABLAS!$C$52:$C$58,MATCH(CL13,TABLAS!$B$52:$B$58,0))/2)&lt;=20,DATOS!$C$65&lt;&gt;"SÍ"),2,0)))</f>
        <v/>
      </c>
      <c r="CO13" s="56" t="str">
        <f>IF(V13&lt;&gt;"SÍ","",IF(CM13=0,0,DATOS!$C$29*CM13*INDEX(TABLAS!$D$52:$D$58,MATCH(CL13,TABLAS!$B$52:$B$58,0))*DATOS!$C$14*(CN13-CM13*INDEX(TABLAS!$D$52:$D$58,MATCH(CL13,TABLAS!$B$52:$B$58,0))*DATOS!$C$14/(DATOS!$C$21*AG13)/2)/1E5))</f>
        <v/>
      </c>
      <c r="CP13" s="65" t="str">
        <f>IF(V13&lt;&gt;"SÍ","",IF(CK13&lt;0,9.99,IF(CO13&gt;0,BJ13/CO13,0)))</f>
        <v/>
      </c>
      <c r="CQ13" s="66" t="str">
        <f>IF(V13&lt;&gt;"SÍ","",IF(CM13=0,"—",0.003*(CN13-(CM13*INDEX(TABLAS!$D$52:$D$58,MATCH(CL13,TABLAS!$B$52:$B$58,0))*DATOS!$C$14/(DATOS!$C$21*AG13)/DATOS!$C$22))/(CM13*INDEX(TABLAS!$D$52:$D$58,MATCH(CL13,TABLAS!$B$52:$B$58,0))*DATOS!$C$14/(DATOS!$C$21*AG13)/DATOS!$C$22)))</f>
        <v/>
      </c>
      <c r="CR13" s="56" t="str">
        <f>IF(V13&lt;&gt;"SÍ","",IF(C13="PERIMETRAL",MAX(0,(AB13/2-BX13)/100)*(0.95-0.5*AA13)*AR13*IF(AND(AS13&gt;0,AS13&lt;4),DATOS!$C$33,1)*DATOS!$C$86/100/1000,(AR13*MAX(0,AB13-BX13)/100+DATOS!$C$26*N(O13))*DATOS!$C$86/100/1000+BF13))</f>
        <v/>
      </c>
      <c r="CS13" s="56" t="str">
        <f>IF(V13&lt;&gt;"SÍ","",DATOS!$C$30*2*MIN(1,SQRT(2/(1+0.04*BX13)))*(BW13*INDEX(TABLAS!$D$52:$D$58,MATCH(BV13,TABLAS!$B$52:$B$58,0))/(AF13*BX13))^(1/3)*SQRT(DATOS!$C$13)*AF13*BX13*IF(AJ13="SÍ",DATOS!$C$32,1)/1000)</f>
        <v/>
      </c>
      <c r="CT13" s="59" t="str">
        <f>IF(V13&lt;&gt;"SÍ","",IF(CR13&lt;=CS13,0,CEILING(MAX(0,IF(C13="VOLADO",(AB13-((CS13-BF13)*1E5/DATOS!$C$86-DATOS!$C$26*N(O13))*100/AR13),IF(CS13&lt;=0,AB13,AB13/2-CS13/MAX(CR13,1E-9)*(AB13/2-BX13)))-IF(X13="X",MIN(DJ13,DK13),MIN(DL13,DM13)))/DATOS!$C$86,1)))</f>
        <v/>
      </c>
      <c r="CU13" s="67" t="str">
        <f>IF(V13&lt;&gt;"SÍ","",IF(CR13&lt;=CS13,"CUMPLE",IF(CT13&lt;=0,"CUMPLE (basta el macizo de orilla)",IF(CT13*DATOS!$C$86*IF(C13="VOLADO",1,2)&gt;=Y13*100-DATOS!$C$87,"NO CUMPLE: no alcanza ni macizando todo","MACIZAR "&amp;CT13&amp;" hilera(s)"))))</f>
        <v/>
      </c>
      <c r="CV13" s="58" t="str">
        <f>IF(V13&lt;&gt;"SÍ","",(DATOS!$C$86*DATOS!$C$84^2/2+MIN(DATOS!$C$83,AD13)*DATOS!$C$82*(DATOS!$C$84+DATOS!$C$82/2))/(DATOS!$C$86*DATOS!$C$84+MIN(DATOS!$C$83,AD13)*DATOS!$C$82))</f>
        <v/>
      </c>
      <c r="CW13" s="68" t="str">
        <f>IF(V13&lt;&gt;"SÍ","",DATOS!$C$86*DATOS!$C$84^3/12+DATOS!$C$86*DATOS!$C$84*(CV13-DATOS!$C$84/2)^2+MIN(DATOS!$C$83,AD13)*DATOS!$C$82^3/12+MIN(DATOS!$C$83,AD13)*DATOS!$C$82*(DATOS!$C$84+DATOS!$C$82/2-CV13)^2)</f>
        <v/>
      </c>
      <c r="CX13" s="58" t="str">
        <f>IF(V13&lt;&gt;"SÍ","",(12*CW13/DATOS!$C$86)^(1/3))</f>
        <v/>
      </c>
      <c r="CY13" s="58" t="str">
        <f>IF(V13&lt;&gt;"SÍ","",IF(C13="PERIMETRAL",IF(ISNUMBER(S13),S13,DATOS!$C$104),0))</f>
        <v/>
      </c>
      <c r="CZ13" s="57" t="str">
        <f>IF(V13&lt;&gt;"SÍ","",IF(C13="PERIMETRAL",IF(CY13&gt;2,MAX(9,AC13*(0.8+DATOS!$C$14/14000)/(36+9*(AC13/MAX(AB13,1)))),IF(CY13&gt;0.2,MAX(13,AC13*(0.8+DATOS!$C$14/14000)/(36+5*(AC13/MAX(AB13,1))*(CY13-0.2))),MAX(13,AC13/IF(AS13&gt;0,30,33))))*IF(AND(CY13&gt;0.2,AS13&gt;0,DATOS!$C$105="NO"),1.1,1),MAX(25,Y13*100/8*(0.4+DATOS!$C$14/7000))))</f>
        <v/>
      </c>
      <c r="DA13" s="61" t="str">
        <f>IF(V13&lt;&gt;"SÍ","",IF(IF(C13="VOLADO",DATOS!$C$85,CX13)&gt;=CZ13,"CUMPLE",IF(C13="VOLADO","NO CUMPLE","CALCULAR FLECHA")))</f>
        <v/>
      </c>
      <c r="DB13" s="55" t="str">
        <f>IF(V13&lt;&gt;"SÍ","",IF(DATOS!$C$84&gt;=IF(IF(C13="VOLADO",Y13,Z13)&gt;=6,6,5),"CUMPLE","CAPA ≥ 6 cm"))</f>
        <v/>
      </c>
      <c r="DC13" s="60" t="str">
        <f>IF(V13&lt;&gt;"SÍ","",IF(C13="VOLADO",MIN(FLOOR(IF(ISNUMBER(P13),P13,Y13)*100-DATOS!$C$63,5),CEILING(MAX(IF((0.5*(0.9*DATOS!$C$90*DATOS!$C$86/100/1000)*IF(ISNUMBER(P13),P13,Y13)+BH13/IF(ISNUMBER(P13),P13,Y13))^2-4*(0.5*(0.9*DATOS!$C$90*DATOS!$C$86/100/1000))*BH13&lt;0,IF(ISNUMBER(P13),P13,Y13),MIN(IF(ISNUMBER(P13),P13,Y13),((0.5*(0.9*DATOS!$C$90*DATOS!$C$86/100/1000)*IF(ISNUMBER(P13),P13,Y13)+BH13/IF(ISNUMBER(P13),P13,Y13))-SQRT((0.5*(0.9*DATOS!$C$90*DATOS!$C$86/100/1000)*IF(ISNUMBER(P13),P13,Y13)+BH13/IF(ISNUMBER(P13),P13,Y13))^2-4*(0.5*(0.9*DATOS!$C$90*DATOS!$C$86/100/1000))*BH13))/(2*(0.5*(0.9*DATOS!$C$90*DATOS!$C$86/100/1000)))))*100+MAX(BX13,12*INDEX(TABLAS!$C$52:$C$58,MATCH(BV13,TABLAS!$B$52:$B$58,0)),IF(ISNUMBER(P13),P13,Y13)*100/16),IF(OR(AL13&lt;INDEX(TABLAS!$C$52:$C$58,MATCH(BV13,TABLAS!$B$52:$B$58,0)),AND(BW13&gt;=2,(AD13-2*AL13-BW13*INDEX(TABLAS!$C$52:$C$58,MATCH(BV13,TABLAS!$B$52:$B$58,0)))/MAX(BW13-1,1)&lt;2*INDEX(TABLAS!$C$52:$C$58,MATCH(BV13,TABLAS!$B$52:$B$58,0)))),INDEX(TABLAS!$I$52:$I$58,MATCH(BV13,TABLAS!$B$52:$B$58,0)),INDEX(TABLAS!$F$52:$F$58,MATCH(BV13,TABLAS!$B$52:$B$58,0)))),5)),IF(((4*((BC13*AR13*Y13^2*1E-4*DATOS!$C$86/100/1000)+((MAX(AY13,BA13)*AR13*Y13^2*1E-4*DATOS!$C$86/100/1000)+(IF(AND(AY13&gt;0,BA13&gt;0),MIN(AY13,BA13),MAX(AY13,BA13))*AR13*Y13^2*1E-4*DATOS!$C$86/100/1000))/2)+BH13-(IF(AND(AY13&gt;0,BA13&gt;0),MIN(AY13,BA13),MAX(AY13,BA13))*AR13*Y13^2*1E-4*DATOS!$C$86/100/1000))^2-16*((BC13*AR13*Y13^2*1E-4*DATOS!$C$86/100/1000)+((MAX(AY13,BA13)*AR13*Y13^2*1E-4*DATOS!$C$86/100/1000)+(IF(AND(AY13&gt;0,BA13&gt;0),MIN(AY13,BA13),MAX(AY13,BA13))*AR13*Y13^2*1E-4*DATOS!$C$86/100/1000))/2)*BH13)&lt;0,CEILING(AB13,5),CEILING(MAX(AB13*((4*((BC13*AR13*Y13^2*1E-4*DATOS!$C$86/100/1000)+((MAX(AY13,BA13)*AR13*Y13^2*1E-4*DATOS!$C$86/100/1000)+(IF(AND(AY13&gt;0,BA13&gt;0),MIN(AY13,BA13),MAX(AY13,BA13))*AR13*Y13^2*1E-4*DATOS!$C$86/100/1000))/2)+BH13-(IF(AND(AY13&gt;0,BA13&gt;0),MIN(AY13,BA13),MAX(AY13,BA13))*AR13*Y13^2*1E-4*DATOS!$C$86/100/1000))-SQRT(MAX(0,((4*((BC13*AR13*Y13^2*1E-4*DATOS!$C$86/100/1000)+((MAX(AY13,BA13)*AR13*Y13^2*1E-4*DATOS!$C$86/100/1000)+(IF(AND(AY13&gt;0,BA13&gt;0),MIN(AY13,BA13),MAX(AY13,BA13))*AR13*Y13^2*1E-4*DATOS!$C$86/100/1000))/2)+BH13-(IF(AND(AY13&gt;0,BA13&gt;0),MIN(AY13,BA13),MAX(AY13,BA13))*AR13*Y13^2*1E-4*DATOS!$C$86/100/1000))^2-16*((BC13*AR13*Y13^2*1E-4*DATOS!$C$86/100/1000)+((MAX(AY13,BA13)*AR13*Y13^2*1E-4*DATOS!$C$86/100/1000)+(IF(AND(AY13&gt;0,BA13&gt;0),MIN(AY13,BA13),MAX(AY13,BA13))*AR13*Y13^2*1E-4*DATOS!$C$86/100/1000))/2)*BH13))))/(8*MAX(((BC13*AR13*Y13^2*1E-4*DATOS!$C$86/100/1000)+((MAX(AY13,BA13)*AR13*Y13^2*1E-4*DATOS!$C$86/100/1000)+(IF(AND(AY13&gt;0,BA13&gt;0),MIN(AY13,BA13),MAX(AY13,BA13))*AR13*Y13^2*1E-4*DATOS!$C$86/100/1000))/2),1E-9))+MAX(BX13,12*INDEX(TABLAS!$C$52:$C$58,MATCH(BV13,TABLAS!$B$52:$B$58,0)),AB13/16),IF(OR(AL13&lt;INDEX(TABLAS!$C$52:$C$58,MATCH(BV13,TABLAS!$B$52:$B$58,0)),AND(BW13&gt;=2,(AD13-2*AL13-BW13*INDEX(TABLAS!$C$52:$C$58,MATCH(BV13,TABLAS!$B$52:$B$58,0)))/MAX(BW13-1,1)&lt;2*INDEX(TABLAS!$C$52:$C$58,MATCH(BV13,TABLAS!$B$52:$B$58,0)))),INDEX(TABLAS!$I$52:$I$58,MATCH(BV13,TABLAS!$B$52:$B$58,0)),INDEX(TABLAS!$F$52:$F$58,MATCH(BV13,TABLAS!$B$52:$B$58,0)))),5))))</f>
        <v/>
      </c>
      <c r="DD13" s="60" t="str">
        <f>IF(V13&lt;&gt;"SÍ","",IF(C13="VOLADO",0,IF(((4*((BD13*AR13*Y13^2*1E-4*DATOS!$C$86/100/1000)+((MAX(AZ13,BB13)*AR13*Y13^2*1E-4*DATOS!$C$86/100/1000)+(IF(AND(AZ13&gt;0,BB13&gt;0),MIN(AZ13,BB13),MAX(AZ13,BB13))*AR13*Y13^2*1E-4*DATOS!$C$86/100/1000))/2)+BJ13-(IF(AND(AZ13&gt;0,BB13&gt;0),MIN(AZ13,BB13),MAX(AZ13,BB13))*AR13*Y13^2*1E-4*DATOS!$C$86/100/1000))^2-16*((BD13*AR13*Y13^2*1E-4*DATOS!$C$86/100/1000)+((MAX(AZ13,BB13)*AR13*Y13^2*1E-4*DATOS!$C$86/100/1000)+(IF(AND(AZ13&gt;0,BB13&gt;0),MIN(AZ13,BB13),MAX(AZ13,BB13))*AR13*Y13^2*1E-4*DATOS!$C$86/100/1000))/2)*BJ13)&lt;0,CEILING(AC13,5),CEILING(MAX(AC13*((4*((BD13*AR13*Y13^2*1E-4*DATOS!$C$86/100/1000)+((MAX(AZ13,BB13)*AR13*Y13^2*1E-4*DATOS!$C$86/100/1000)+(IF(AND(AZ13&gt;0,BB13&gt;0),MIN(AZ13,BB13),MAX(AZ13,BB13))*AR13*Y13^2*1E-4*DATOS!$C$86/100/1000))/2)+BJ13-(IF(AND(AZ13&gt;0,BB13&gt;0),MIN(AZ13,BB13),MAX(AZ13,BB13))*AR13*Y13^2*1E-4*DATOS!$C$86/100/1000))-SQRT(MAX(0,((4*((BD13*AR13*Y13^2*1E-4*DATOS!$C$86/100/1000)+((MAX(AZ13,BB13)*AR13*Y13^2*1E-4*DATOS!$C$86/100/1000)+(IF(AND(AZ13&gt;0,BB13&gt;0),MIN(AZ13,BB13),MAX(AZ13,BB13))*AR13*Y13^2*1E-4*DATOS!$C$86/100/1000))/2)+BJ13-(IF(AND(AZ13&gt;0,BB13&gt;0),MIN(AZ13,BB13),MAX(AZ13,BB13))*AR13*Y13^2*1E-4*DATOS!$C$86/100/1000))^2-16*((BD13*AR13*Y13^2*1E-4*DATOS!$C$86/100/1000)+((MAX(AZ13,BB13)*AR13*Y13^2*1E-4*DATOS!$C$86/100/1000)+(IF(AND(AZ13&gt;0,BB13&gt;0),MIN(AZ13,BB13),MAX(AZ13,BB13))*AR13*Y13^2*1E-4*DATOS!$C$86/100/1000))/2)*BJ13))))/(8*MAX(((BD13*AR13*Y13^2*1E-4*DATOS!$C$86/100/1000)+((MAX(AZ13,BB13)*AR13*Y13^2*1E-4*DATOS!$C$86/100/1000)+(IF(AND(AZ13&gt;0,BB13&gt;0),MIN(AZ13,BB13),MAX(AZ13,BB13))*AR13*Y13^2*1E-4*DATOS!$C$86/100/1000))/2),1E-9))+MAX(CN13,12*INDEX(TABLAS!$C$52:$C$58,MATCH(CL13,TABLAS!$B$52:$B$58,0)),AC13/16),IF(OR(AL13&lt;INDEX(TABLAS!$C$52:$C$58,MATCH(CL13,TABLAS!$B$52:$B$58,0)),AND(CM13&gt;=2,(DATOS!$C$83-2*AL13-CM13*INDEX(TABLAS!$C$52:$C$58,MATCH(CL13,TABLAS!$B$52:$B$58,0)))/MAX(CM13-1,1)&lt;2*INDEX(TABLAS!$C$52:$C$58,MATCH(CL13,TABLAS!$B$52:$B$58,0)))),INDEX(TABLAS!$I$52:$I$58,MATCH(CL13,TABLAS!$B$52:$B$58,0)),INDEX(TABLAS!$F$52:$F$58,MATCH(CL13,TABLAS!$B$52:$B$58,0)))),5))))</f>
        <v/>
      </c>
      <c r="DE13" s="55" t="str">
        <f>IF(V13&lt;&gt;"SÍ","",IF(AND(C13="PERIMETRAL",BW13&gt;=2,AS13-AT13&gt;0,BA13*AR13*Y13^2*1E-4*DATOS!$C$86/100/1000&gt;DATOS!$C$29*INDEX(TABLAS!$D$52:$D$58,MATCH(BV13,TABLAS!$B$52:$B$58,0))*DATOS!$C$14*(BX13-INDEX(TABLAS!$D$52:$D$58,MATCH(BV13,TABLAS!$B$52:$B$58,0))*DATOS!$C$14/(DATOS!$C$21*AF13)/2)/1E5),"SÍ","NO"))</f>
        <v/>
      </c>
      <c r="DF13" s="55" t="str">
        <f>IF(V13&lt;&gt;"SÍ","",IF(AND(C13="PERIMETRAL",CM13&gt;=2,AT13&gt;0,BB13*AR13*Y13^2*1E-4*DATOS!$C$86/100/1000&gt;DATOS!$C$29*INDEX(TABLAS!$D$52:$D$58,MATCH(CL13,TABLAS!$B$52:$B$58,0))*DATOS!$C$14*(CN13-INDEX(TABLAS!$D$52:$D$58,MATCH(CL13,TABLAS!$B$52:$B$58,0))*DATOS!$C$14/(DATOS!$C$21*AG13)/2)/1E5),"SÍ","NO"))</f>
        <v/>
      </c>
      <c r="DG13" s="63" t="str">
        <f>IF(V13&lt;&gt;"SÍ","",IF(OR(C13="VOLADO",AS13=0),"—",IF(AND(AND(1.25*INDEX(TABLAS!$G$52:$G$58,MATCH(MAX(BN13,CD13),TABLAS!$B$52:$B$58,0))&lt;=(DATOS!$C$75-DATOS!$C$63),(DATOS!$C$75-DATOS!$C$63)&gt;=15,INDEX(TABLAS!$G$52:$G$58,MATCH(MAX(BV13,CL13),TABLAS!$B$52:$B$58,0))&lt;=(DATOS!$C$75-DATOS!$C$63)),8*INDEX(TABLAS!$C$52:$C$58,MATCH(MAX(MAX(BN13,CD13),MAX(BV13,CL13)),TABLAS!$B$52:$B$58,0))&lt;=DATOS!$C$76-2*DATOS!$C$63),"CUMPLE (gancho de 180°)",IF(AND(1.25*INDEX(TABLAS!$G$52:$G$58,MATCH(MAX(BN13,CD13),TABLAS!$B$52:$B$58,0))&lt;=(DATOS!$C$75-DATOS!$C$63),(DATOS!$C$75-DATOS!$C$63)&gt;=15,INDEX(TABLAS!$G$52:$G$58,MATCH(MAX(BV13,CL13),TABLAS!$B$52:$B$58,0))&lt;=(DATOS!$C$75-DATOS!$C$63)),"NO CUMPLE: el gancho de 180° (8·d_b) no cabe en el peralte de la dala de borde","NO CUMPLE: dala de borde ≥ "&amp;TEXT(CEILING(MAX(1.25*INDEX(TABLAS!$G$52:$G$58,MATCH(MAX(BN13,CD13),TABLAS!$B$52:$B$58,0)),15,INDEX(TABLAS!$G$52:$G$58,MATCH(MAX(BV13,CL13),TABLAS!$B$52:$B$58,0)))+DATOS!$C$63,5),"0")&amp;" cm de ancho"&amp;IF(8*INDEX(TABLAS!$C$52:$C$58,MATCH(MAX(MAX(BN13,CD13),MAX(BV13,CL13)),TABLAS!$B$52:$B$58,0))&lt;=DATOS!$C$76-2*DATOS!$C$63,""," y más peralte para el gancho")))))</f>
        <v/>
      </c>
      <c r="DH13" s="59" t="str">
        <f>IF(V13&lt;&gt;"SÍ","",MAX(0,INT((E13*100-DATOS!$C$87-IF(AND(C13="PERIMETRAL",I13="DISCONTINUO"),MAX(0,DATOS!$C$75-DATOS!$C$87),0)-IF(AND(C13="PERIMETRAL",J13="DISCONTINUO"),MAX(0,DATOS!$C$75-DATOS!$C$87),0)+DATOS!$C$86-IF(X13="X",DATOS!$C$81,AE13))/DATOS!$C$86)))</f>
        <v/>
      </c>
      <c r="DI13" s="59" t="str">
        <f>IF(V13&lt;&gt;"SÍ","",MAX(0,INT((F13*100-DATOS!$C$87-IF(AND(C13="PERIMETRAL",G13="DISCONTINUO"),MAX(0,DATOS!$C$75-DATOS!$C$87),0)-IF(AND(C13="PERIMETRAL",H13="DISCONTINUO"),MAX(0,DATOS!$C$75-DATOS!$C$87),0)+DATOS!$C$86-IF(X13="Y",DATOS!$C$81,AE13))/DATOS!$C$86)))</f>
        <v/>
      </c>
      <c r="DJ13" s="57" t="str">
        <f>IF(V13&lt;&gt;"SÍ","",IF(DH13&gt;0,IF(AND(C13="PERIMETRAL",I13="DISCONTINUO"),MAX(0,DATOS!$C$75-DATOS!$C$87),0)+(E13*100-DATOS!$C$87-IF(AND(C13="PERIMETRAL",I13="DISCONTINUO"),MAX(0,DATOS!$C$75-DATOS!$C$87),0)-IF(AND(C13="PERIMETRAL",J13="DISCONTINUO"),MAX(0,DATOS!$C$75-DATOS!$C$87),0)-(DH13*IF(X13="X",DATOS!$C$81,AE13)+(DH13-1)*(DATOS!$C$86-IF(X13="X",DATOS!$C$81,AE13))))/2,E13*100/2))</f>
        <v/>
      </c>
      <c r="DK13" s="57" t="str">
        <f>IF(V13&lt;&gt;"SÍ","",IF(DH13&gt;0,IF(AND(C13="PERIMETRAL",J13="DISCONTINUO"),MAX(0,DATOS!$C$75-DATOS!$C$87),0)+(E13*100-DATOS!$C$87-IF(AND(C13="PERIMETRAL",I13="DISCONTINUO"),MAX(0,DATOS!$C$75-DATOS!$C$87),0)-IF(AND(C13="PERIMETRAL",J13="DISCONTINUO"),MAX(0,DATOS!$C$75-DATOS!$C$87),0)-(DH13*IF(X13="X",DATOS!$C$81,AE13)+(DH13-1)*(DATOS!$C$86-IF(X13="X",DATOS!$C$81,AE13))))/2,E13*100/2))</f>
        <v/>
      </c>
      <c r="DL13" s="57" t="str">
        <f>IF(V13&lt;&gt;"SÍ","",IF(DI13&gt;0,IF(AND(C13="PERIMETRAL",G13="DISCONTINUO"),MAX(0,DATOS!$C$75-DATOS!$C$87),0)+(F13*100-DATOS!$C$87-IF(AND(C13="PERIMETRAL",G13="DISCONTINUO"),MAX(0,DATOS!$C$75-DATOS!$C$87),0)-IF(AND(C13="PERIMETRAL",H13="DISCONTINUO"),MAX(0,DATOS!$C$75-DATOS!$C$87),0)-(DI13*IF(X13="Y",DATOS!$C$81,AE13)+(DI13-1)*(DATOS!$C$86-IF(X13="Y",DATOS!$C$81,AE13))))/2,F13*100/2))</f>
        <v/>
      </c>
      <c r="DM13" s="57" t="str">
        <f>IF(V13&lt;&gt;"SÍ","",IF(DI13&gt;0,IF(AND(C13="PERIMETRAL",H13="DISCONTINUO"),MAX(0,DATOS!$C$75-DATOS!$C$87),0)+(F13*100-DATOS!$C$87-IF(AND(C13="PERIMETRAL",G13="DISCONTINUO"),MAX(0,DATOS!$C$75-DATOS!$C$87),0)-IF(AND(C13="PERIMETRAL",H13="DISCONTINUO"),MAX(0,DATOS!$C$75-DATOS!$C$87),0)-(DI13*IF(X13="Y",DATOS!$C$81,AE13)+(DI13-1)*(DATOS!$C$86-IF(X13="Y",DATOS!$C$81,AE13))))/2,F13*100/2))</f>
        <v/>
      </c>
      <c r="DN13" s="59" t="str">
        <f>IF(V13&lt;&gt;"SÍ","",IF(NOT(AND(C13="VOLADO",AD13&gt;DATOS!$C$83)),0,IF(INDEX(TABLAS!$C$52:$C$58,MATCH(BV13,TABLAS!$B$52:$B$58,0))&lt;=DATOS!$C$83-2*DATOS!$C$63,1,0)))</f>
        <v/>
      </c>
      <c r="DO13" s="58" t="str">
        <f>IF(V13&lt;&gt;"SÍ","",IF(NOT(AND(C13="VOLADO",AD13&gt;DATOS!$C$83)),0,((DATOS!$C$85-MAX(DATOS!$C$63,(DATOS!$C$84-2*DATOS!$C$97)/2)-2*DATOS!$C$97-INDEX(TABLAS!$C$52:$C$58,MATCH(MAX(4,DATOS!$C$72),TABLAS!$B$52:$B$58,0))-INDEX(TABLAS!$C$52:$C$58,MATCH(BV13,TABLAS!$B$52:$B$58,0))/2)-IF(AND((DATOS!$C$85-MAX(DATOS!$C$63,(DATOS!$C$84-2*DATOS!$C$97)/2)-2*DATOS!$C$97-INDEX(TABLAS!$C$52:$C$58,MATCH(MAX(4,DATOS!$C$72),TABLAS!$B$52:$B$58,0))-INDEX(TABLAS!$C$52:$C$58,MATCH(BV13,TABLAS!$B$52:$B$58,0))/2)&lt;=20,DATOS!$C$65&lt;&gt;"SÍ"),2,0))))</f>
        <v/>
      </c>
      <c r="DP13" s="56" t="str">
        <f>IF(V13&lt;&gt;"SÍ","",IF(OR(NOT(AND(C13="VOLADO",AD13&gt;DATOS!$C$83)),DN13&lt;1),0,IF(0.003*(DO13-((DN13*INDEX(TABLAS!$D$52:$D$58,MATCH(BV13,TABLAS!$B$52:$B$58,0)))*DATOS!$C$14/(DATOS!$C$21*AG13)/DATOS!$C$22))/((DN13*INDEX(TABLAS!$D$52:$D$58,MATCH(BV13,TABLAS!$B$52:$B$58,0)))*DATOS!$C$14/(DATOS!$C$21*AG13)/DATOS!$C$22)&lt;0.005,0,DATOS!$C$29*(DN13*INDEX(TABLAS!$D$52:$D$58,MATCH(BV13,TABLAS!$B$52:$B$58,0)))*DATOS!$C$14*(DO13-(DN13*INDEX(TABLAS!$D$52:$D$58,MATCH(BV13,TABLAS!$B$52:$B$58,0)))*DATOS!$C$14/(DATOS!$C$21*AG13)/2)/1E5)))</f>
        <v/>
      </c>
      <c r="DQ13" s="56" t="str">
        <f>IF(V13&lt;&gt;"SÍ","",IF(OR(NOT(AND(C13="VOLADO",AD13&gt;DATOS!$C$83)),DN13&lt;1),0,DATOS!$C$30*2*MIN(1,SQRT(2/(1+0.04*DO13)))*((DN13*INDEX(TABLAS!$D$52:$D$58,MATCH(BV13,TABLAS!$B$52:$B$58,0)))/(AG13*DO13))^(1/3)*SQRT(DATOS!$C$13)*AG13*DO13/1000))</f>
        <v/>
      </c>
      <c r="DR13" s="56" t="str">
        <f>IF(V13&lt;&gt;"SÍ","",IF(NOT(AND(C13="VOLADO",AD13&gt;DATOS!$C$83)),0,IF((BH13-DP13)&lt;=0,0,IF(DP13&lt;=0,IF(ISNUMBER(P13),P13,Y13),IF(((0.9*DATOS!$C$90*DATOS!$C$86/100/1000)*IF(ISNUMBER(P13),P13,Y13)/2+BH13/IF(ISNUMBER(P13),P13,Y13))^2-4*((0.9*DATOS!$C$90*DATOS!$C$86/100/1000)/2)*(BH13-DP13)&lt;0,IF(ISNUMBER(P13),P13,Y13),MIN(IF(ISNUMBER(P13),P13,Y13),(((0.9*DATOS!$C$90*DATOS!$C$86/100/1000)*IF(ISNUMBER(P13),P13,Y13)/2+BH13/IF(ISNUMBER(P13),P13,Y13))-SQRT(((0.9*DATOS!$C$90*DATOS!$C$86/100/1000)*IF(ISNUMBER(P13),P13,Y13)/2+BH13/IF(ISNUMBER(P13),P13,Y13))^2-4*((0.9*DATOS!$C$90*DATOS!$C$86/100/1000)/2)*(BH13-DP13)))/(2*((0.9*DATOS!$C$90*DATOS!$C$86/100/1000)/2))))))))</f>
        <v/>
      </c>
      <c r="DS13" s="56" t="str">
        <f>IF(V13&lt;&gt;"SÍ","",IF(NOT(AND(C13="VOLADO",AD13&gt;DATOS!$C$83)),0,IF(DQ13&lt;=(BH13/((IF(ISNUMBER(P13),P13,Y13)*100-DATOS!$C$87)/100)),IF(ISNUMBER(P13),P13,Y13),MIN(IF(ISNUMBER(P13),P13,Y13),MAX(0,(IF(ISNUMBER(P13),P13,Y13)*100-DATOS!$C$87)/200-(DQ13-(BH13/((IF(ISNUMBER(P13),P13,Y13)*100-DATOS!$C$87)/100)))/((0.95-0.5*IF(N(Q13)&gt;0,MIN(IF(ISNUMBER(P13),P13,Y13),Q13)/MAX(IF(ISNUMBER(P13),P13,Y13),Q13),0))*DATOS!$C$33*AR13*DATOS!$C$86/100/1000))))))</f>
        <v/>
      </c>
      <c r="DT13" s="56" t="str">
        <f>IF(V13&lt;&gt;"SÍ","",IF(NOT(AND(C13="VOLADO",AD13&gt;DATOS!$C$83)),0,(BH13/((IF(ISNUMBER(P13),P13,Y13)*100-DATOS!$C$87)/100))+((0.95-0.5*IF(N(Q13)&gt;0,MIN(IF(ISNUMBER(P13),P13,Y13),Q13)/MAX(IF(ISNUMBER(P13),P13,Y13),Q13),0))*DATOS!$C$33*AR13*DATOS!$C$86/100/1000)*MAX(0,(IF(ISNUMBER(P13),P13,Y13)*100-DATOS!$C$87)/200-BX13/100)))</f>
        <v/>
      </c>
      <c r="DU13" s="59" t="str">
        <f>IF(V13&lt;&gt;"SÍ","",IF(NOT(AND(C13="VOLADO",AD13&gt;DATOS!$C$83)),0,MIN(FLOOR(100*IF(ISNUMBER(P13),P13,Y13)-DATOS!$C$63,5),CEILING(100*MIN(IF(ISNUMBER(P13),P13,Y13),MAX(IF(DR13&gt;0,DR13+IF(BW13&gt;=2,MAX(DO13,12*INDEX(TABLAS!$C$52:$C$58,MATCH(BV13,TABLAS!$B$52:$B$58,0)))/100,0),0),DS13,IF(BW13&gt;=2,INDEX(TABLAS!$F$52:$F$58,MATCH(BV13,TABLAS!$B$52:$B$58,0))/100,0))),5))))</f>
        <v/>
      </c>
      <c r="DV13" s="60" t="str">
        <f>IF(V13&lt;&gt;"SÍ","",IF(NOT(AND(C13="VOLADO",AD13&gt;DATOS!$C$83)),0,IF(DU13&lt;=0,0,CEILING(DU13/DATOS!$C$86,1))))</f>
        <v/>
      </c>
      <c r="DW13" s="61" t="str">
        <f>IF(V13&lt;&gt;"SÍ","",IF(C13&lt;&gt;"VOLADO","—",IF(AD13&lt;=DATOS!$C$83,"— (mismo b_w que el respaldo)",IF(DT13&gt;CS13,"NO CUMPLE: cortante de la nervadura ancha junto al apoyo ("&amp;TEXT(DT13,"0.00")&amp;" &gt; "&amp;TEXT(CS13,"0.00")&amp;" t)",IF(DU13&gt;=100*IF(ISNUMBER(P13),P13,Y13),"CUMPLE — todas las nervaduras del respaldo ‖ al volado con b_w = "&amp;AD13&amp;" cm","CUMPLE — "&amp;DV13&amp;" hilera(s) del respaldo con nervaduras de b_w = "&amp;AD13&amp;" cm (casetón "&amp;AE13&amp;" cm), hasta "&amp;TEXT(DU13/100,"0.00")&amp;" m del paño")))))</f>
        <v/>
      </c>
      <c r="DX13" s="69" t="str">
        <f>IF(V13&lt;&gt;"SÍ","",IF(BO13=0,"NO ALCANZA",BO13&amp;" No. "&amp;BN13&amp;IF(BO13&gt;1," corridas"," corrida")))</f>
        <v/>
      </c>
      <c r="DY13" s="69" t="str">
        <f>IF(V13&lt;&gt;"SÍ","",IF(BW13=0,"NO ALCANZA",IF(AND(C13="VOLADO",AD13&gt;DATOS!$C$83,BW13&gt;=2),"1 No. "&amp;BV13&amp;" corrida de la orilla al respaldo ("&amp;IF(DC13&gt;=FLOOR(100*IF(ISNUMBER(P13),P13,Y13)-DATOS!$C$63,5),"hasta su apoyo lejano, con gancho","entra "&amp;TEXT(DC13/100,"0.00")&amp;" m desde el paño")&amp;") + "&amp;(BW13-1)&amp;" bastón No. "&amp;BV13&amp;" hasta "&amp;TEXT(DU13/100,"0.00")&amp;" m del paño (fin de la nervadura ancha)",IF(C13="VOLADO",BW13&amp;" No. "&amp;BV13&amp;" de la orilla al respaldo ("&amp;IF(DC13&gt;=FLOOR(100*IF(ISNUMBER(P13),P13,Y13)-DATOS!$C$63,5),"hasta su apoyo lejano, con gancho","entran "&amp;TEXT(DC13/100,"0.00")&amp;" m desde el paño")&amp;")","1 No. "&amp;BV13&amp;" corrida"&amp;IF(BW13&gt;1," + "&amp;(BW13-1)&amp;" bastón No. "&amp;BV13&amp;" L = "&amp;TEXT(DC13/100,"0.00")&amp;" m desde el paño","")))))</f>
        <v/>
      </c>
      <c r="DZ13" s="69" t="str">
        <f>IF(V13&lt;&gt;"SÍ","",IF(CE13=0,"NO ALCANZA",CE13&amp;" No. "&amp;CD13&amp;IF(CE13&gt;1," corridas"," corrida")))</f>
        <v/>
      </c>
      <c r="EA13" s="69" t="str">
        <f>IF(V13&lt;&gt;"SÍ","",IF(CM13=0,"NO ALCANZA",IF(C13="VOLADO","1 No. "&amp;CL13&amp;" corrida (repartición)","1 No. "&amp;CL13&amp;" corrida"&amp;IF(CM13&gt;1," + "&amp;(CM13-1)&amp;" bastón No. "&amp;CL13&amp;" L = "&amp;TEXT(DD13/100,"0.00")&amp;" m desde el paño",""))))</f>
        <v/>
      </c>
      <c r="EB13" s="67" t="str">
        <f>IF(B13="","",IF(V13&lt;&gt;"SÍ","FALTAN DATOS: tipo, a_x, a_y, destino y, en volados, L_b",IF(L13="NO MONOLÍTICO (caso II)","FUERA DE ALCANCE: caso II no transcrito",IF(AND(C13="VOLADO",W13="?"),"REVISAR: el volado lleva UN solo borde CONTINUO (el empotrado)",IF(MIN(DH13,DI13)=0,"REVISAR: no cabe un casetón (tablero macizo): diséñalo en MACIZAS",IF(AND(MAX(BR13,BZ13,CH13,CP13)&lt;=1,NOT(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T(OR(AND(ISNUMBER(BS13),BS13&lt;0.005),AND(ISNUMBER(CA13),CA13&lt;0.005),AND(ISNUMBER(CI13),CI13&lt;0.005),AND(ISNUMBER(CQ13),CQ13&lt;0.005))),NOT(LEFT(DW13,2)="NO"),DA13="CUMPLE",DB13="CUMPLE",LEFT(CU13,2)&lt;&gt;"NO",LEFT(DATOS!$C$132,6)="CUMPLE"),IF(LEFT(CU13,6)="CUMPLE","CUMPLE","CUMPLE — "&amp;CU13)&amp;IF(LEFT(BK13,5)="FUERA"," · fuera de 3.4.2.1 c)","")&amp;IF(LEFT(DG13,2)="NO"," · REVISAR anclaje en borde discontinuo","")&amp;IF(DV13&gt;0," · respaldo: "&amp;DV13&amp;" hilera(s) de b_w "&amp;AD13&amp;" cm",""),IF(AND(MAX(BR13,BZ13,CH13,CP13)&lt;=1,NOT(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T(OR(AND(ISNUMBER(BS13),BS13&lt;0.005),AND(ISNUMBER(CA13),CA13&lt;0.005),AND(ISNUMBER(CI13),CI13&lt;0.005),AND(ISNUMBER(CQ13),CQ13&lt;0.005))),NOT(LEFT(DW13,2)="NO"),DA13="CALCULAR FLECHA",LEFT(CU13,2)&lt;&gt;"NO",LEFT(DATOS!$C$132,6)="CUMPLE"),"REVISAR: calcular flecha (h_eq &lt; h mín.)"&amp;IF(LEFT(BK13,5)="FUERA"," · fuera de 3.4.2.1 c)","")&amp;IF(LEFT(DG13,2)="NO"," · REVISAR anclaje en borde discontinuo","")&amp;IF(DV13&gt;0," · respaldo: "&amp;DV13&amp;" hilera(s) de b_w "&amp;AD13&amp;" cm",""),"NO CUMPLE: "&amp;IF(MAX(BR13,BZ13,CH13,CP13)&gt;1,"flexión ","")&amp;IF(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 caben ","")&amp;IF(OR(AND(ISNUMBER(BS13),BS13&lt;0.005),AND(ISNUMBER(CA13),CA13&lt;0.005),AND(ISNUMBER(CI13),CI13&lt;0.005),AND(ISNUMBER(CQ13),CQ13&lt;0.005)),"ε_t &lt; 0.005 ","")&amp;IF(LEFT(CU13,2)="NO","cortante ","")&amp;IF(DA13="NO CUMPLE","peralte ","")&amp;IF(DB13&lt;&gt;"CUMPLE","capa &lt; 6 cm ","")&amp;IF(LEFT(DATOS!$C$132,6)&lt;&gt;"CUMPLE","capa o malla (DATOS sección 7) ","")&amp;IF(LEFT(DW13,2)="NO","respaldo del volado",""))))))))</f>
        <v/>
      </c>
      <c r="EC13" s="70" t="str">
        <f>IF(V13&lt;&gt;"SÍ","",IF(LEFT(B13,7)="EJEMPLO","EJEMPLO de la hoja de Casa Rocha: bórralo o sobrescríbelo. ","")&amp;IF(AND(C13="PERIMETRAL",MIN(DH13,DI13)=0),"No cabe un casetón en el claro corto: es un tablero macizo, diséñalo en MACIZAS. ","")&amp;IF(AND(AJ13="NO",C13="PERIMETRAL"),"No cumple 6.7.8.1.4 (a_c = "&amp;MAX(DATOS!$C$81,AE13)&amp;" cm &gt; claro corto/6 = "&amp;TEXT(Y13*100/6,"0")&amp;" cm): se diseña como losa apoyada en vigas (6.7.8.1.9): r de viga = "&amp;DATOS!$C$63&amp;" cm y V_cR sin ×1.1. Para que cuente como encasetonada: casetón de "&amp;TEXT(FLOOR(MIN(80,Y13*100/6),1),"0")&amp;" cm o menor. ","")&amp;IF(C13="VOLADO","Volado de "&amp;TEXT(Y13,"0.00")&amp;" m empotrado en el borde "&amp;LOWER(W13)&amp;IF(N(O13)&gt;0,", con "&amp;TEXT(O13,"0.0")&amp;" kg/m en la orilla","")&amp;". Lecho inferior con r_ext. Si la orilla carga pretil u otro elemento frágil, calcula la flecha (13.4). El acero superior entra al respaldo de "&amp;TEXT(IF(ISNUMBER(P13),P13,Y13),"0.00")&amp;" m"&amp;" hasta pasar M = 0 con 0.9·PP sin carga viva; si ahí no se anula, llega al apoyo lejano y se ancla con gancho (NTC-Criterios 3.4.1 c y 5.1.2.2). "&amp;IF(AD13&gt;DATOS!$C$83,"Respaldo: "&amp;DW13&amp;". ",""),"")&amp;IF(AND(C13="VOLADO",((0.9*DATOS!$C$90*DATOS!$C$86/100/1000)*IF(ISNUMBER(P13),P13,Y13)/2-BH13/IF(ISNUMBER(P13),P13,Y13))&lt;0),"Con 0.9·PP y sin carga viva el apoyo lejano del respaldo levanta (R = "&amp;TEXT(-((0.9*DATOS!$C$90*DATOS!$C$86/100/1000)*IF(ISNUMBER(P13),P13,Y13)/2-BH13/IF(ISNUMBER(P13),P13,Y13)),"0.00")&amp;" t por nervadura): ancla ahí la corrida con gancho y revisa ese apoyo a tensión. ","")&amp;IF(LEFT(BK13,5)="FUERA","El M⁻ del vecino difiere más de 50 % (3.4.2.1 c): distribuye el desequilibrio (3.4.3.1) o confirma con un modelo; se arma con el mayor. ","")&amp;IF(OR(DE13="SÍ",DF13="SÍ"),"El M⁻ del borde discontinuo pide bastón también ahí (con gancho). ","")&amp;IF(LEFT(DG13,2)="NO","Anclaje: "&amp;DG13&amp;" (6.7.8.1.7). ","")&amp;IF(AND(C13="PERIMETRAL",AT13&gt;=1,AS13-AT13&gt;=1),"Esquinas exteriores sobre muro: refuerzo de esquina arriba y abajo en L_largo/5 (6.7.7.3.1). ",""))</f>
        <v/>
      </c>
    </row>
    <row r="14" ht="33" customHeight="1">
      <c r="A14" s="50">
        <f>IF(B14="",0,1)+A13</f>
        <v>4</v>
      </c>
      <c r="B14" s="29" t="n"/>
      <c r="C14" s="51" t="n"/>
      <c r="D14" s="29" t="n"/>
      <c r="E14" s="52" t="n"/>
      <c r="F14" s="52" t="n"/>
      <c r="G14" s="51" t="n"/>
      <c r="H14" s="51" t="n"/>
      <c r="I14" s="51" t="n"/>
      <c r="J14" s="51" t="n"/>
      <c r="K14" s="51" t="n"/>
      <c r="L14" s="51" t="n"/>
      <c r="M14" s="53" t="n"/>
      <c r="N14" s="53" t="n"/>
      <c r="O14" s="54" t="n"/>
      <c r="P14" s="52" t="n"/>
      <c r="Q14" s="52" t="n"/>
      <c r="R14" s="53" t="n"/>
      <c r="S14" s="54" t="n"/>
      <c r="T14" s="52" t="n"/>
      <c r="U14" s="52" t="n"/>
      <c r="V14" s="55" t="str">
        <f>IF(B14="","",IF(AND(OR(C14="PERIMETRAL",C14="VOLADO"),ISNUMBER(E14),ISNUMBER(F14),E14&gt;0,F14&gt;0,OR(ISNUMBER(N14),ISNUMBER(MATCH(D14,DATOS!$B$46:$B$58,0))),OR(C14&lt;&gt;"VOLADO",N(P14)&gt;0)),"SÍ","NO"))</f>
        <v/>
      </c>
      <c r="W14" s="55" t="str">
        <f>IF(V14&lt;&gt;"SÍ","",IF(C14&lt;&gt;"VOLADO","—",IF(COUNTIF(G14:J14,"CONTINUO")&lt;&gt;1,"?",IF(G14="CONTINUO","INFERIOR",IF(H14="CONTINUO","SUPERIOR",IF(I14="CONTINUO","IZQUIERDO","DERECHO"))))))</f>
        <v/>
      </c>
      <c r="X14" s="55" t="str">
        <f>IF(V14&lt;&gt;"SÍ","",IF(C14="VOLADO",IF(OR(W14="IZQUIERDO",W14="DERECHO"),"X","Y"),IF(E14&lt;=F14,"X","Y")))</f>
        <v/>
      </c>
      <c r="Y14" s="56" t="str">
        <f>IF(V14&lt;&gt;"SÍ","",IF(C14="VOLADO",IF(X14="X",E14,F14),MIN(E14,F14)))</f>
        <v/>
      </c>
      <c r="Z14" s="56" t="str">
        <f>IF(V14&lt;&gt;"SÍ","",IF(C14="VOLADO",IF(X14="X",F14,E14),MAX(E14,F14)))</f>
        <v/>
      </c>
      <c r="AA14" s="56" t="str">
        <f>IF(V14&lt;&gt;"SÍ","",MIN(Y14,Z14)/MAX(Y14,Z14))</f>
        <v/>
      </c>
      <c r="AB14" s="57" t="str">
        <f>IF(V14&lt;&gt;"SÍ","",MAX(1,Y14*100-IF(C14="VOLADO",DATOS!$C$87/2,DATOS!$C$87)))</f>
        <v/>
      </c>
      <c r="AC14" s="57" t="str">
        <f>IF(V14&lt;&gt;"SÍ","",MAX(1,Z14*100-DATOS!$C$87))</f>
        <v/>
      </c>
      <c r="AD14" s="57" t="str">
        <f>IF(V14&lt;&gt;"SÍ","",IF(ISNUMBER(R14),R14,DATOS!$C$83))</f>
        <v/>
      </c>
      <c r="AE14" s="57" t="str">
        <f>IF(V14&lt;&gt;"SÍ","",MAX(0,DATOS!$C$86-AD14))</f>
        <v/>
      </c>
      <c r="AF14" s="57" t="str">
        <f>IF(V14&lt;&gt;"SÍ","",IF(OR(DATOS!$C$65="SÍ",AD14&gt;=20),AD14,AD14-2))</f>
        <v/>
      </c>
      <c r="AG14" s="57" t="str">
        <f>IF(V14&lt;&gt;"SÍ","",IF(OR(DATOS!$C$65="SÍ",DATOS!$C$83&gt;=20),DATOS!$C$83,DATOS!$C$83-2))</f>
        <v/>
      </c>
      <c r="AH14" s="57" t="str">
        <f>IF(V14&lt;&gt;"SÍ","",MIN(DATOS!$C$86,AD14+2*MIN(8*DATOS!$C$84,AE14/2,AB14/8)))</f>
        <v/>
      </c>
      <c r="AI14" s="57" t="str">
        <f>IF(V14&lt;&gt;"SÍ","",MIN(DATOS!$C$86,DATOS!$C$83+2*MIN(8*DATOS!$C$84,DATOS!$C$81/2,AC14/8)))</f>
        <v/>
      </c>
      <c r="AJ14" s="55" t="str">
        <f>IF(V14&lt;&gt;"SÍ","",IF(AND(C14="PERIMETRAL",Y14*100&gt;=6*MAX(DATOS!$C$81,AE14),MAX(DATOS!$C$81,AE14)&lt;=80,MIN(DATOS!$C$83,AD14)&gt;=10,DATOS!$C$85&lt;=3.5*MIN(DATOS!$C$83,AD14),DATOS!$C$84&gt;=MAX(MAX(DATOS!$C$81,AE14)/13,5)),"SÍ","NO"))</f>
        <v/>
      </c>
      <c r="AK14" s="57" t="str">
        <f>IF(V14&lt;&gt;"SÍ","",IF(C14="VOLADO",DATOS!$C$64,IF(AJ14="NO",DATOS!$C$63,DATOS!$C$62)))</f>
        <v/>
      </c>
      <c r="AL14" s="57" t="str">
        <f>IF(V14&lt;&gt;"SÍ","",IF(OR(AND(AN14="SÍ",DATOS!$C$66="SÍ"),AND(C14="VOLADO",DATOS!$C$67="SÍ")),DATOS!$C$64,IF(AJ14="NO",DATOS!$C$63,DATOS!$C$62)))</f>
        <v/>
      </c>
      <c r="AM14" s="58" t="str">
        <f>IF(V14&lt;&gt;"SÍ","",MAX(AL14,(DATOS!$C$84-2*DATOS!$C$97)/2))</f>
        <v/>
      </c>
      <c r="AN14" s="55" t="str">
        <f>IF(V14&lt;&gt;"SÍ","",IFERROR(INDEX(DATOS!$D$46:$D$58,MATCH(D14,DATOS!$B$46:$B$58,0)),"NO"))</f>
        <v/>
      </c>
      <c r="AO14" s="59" t="str">
        <f>IF(V14&lt;&gt;"SÍ","",IF(ISNUMBER(N14),N14,IFERROR(INDEX(DATOS!$C$46:$C$58,MATCH(D14,DATOS!$B$46:$B$58,0)),0)))</f>
        <v/>
      </c>
      <c r="AP14" s="59" t="str">
        <f>IF(V14&lt;&gt;"SÍ","",IF(MIN(DH14,DI14)=0,DATOS!$C$85/100*DATOS!$C$16*1000,(DATOS!$C$85/100-(AE14*DATOS!$C$81/DATOS!$C$86^2)*DATOS!$C$82/100)*DATOS!$C$16*1000+(AE14*DATOS!$C$81/DATOS!$C$86^2)*DATOS!$C$82/100*DATOS!$C$17*1000)+DATOS!$C$37+DATOS!$C$38)</f>
        <v/>
      </c>
      <c r="AQ14" s="59" t="str">
        <f>IF(V14&lt;&gt;"SÍ","",AP14+N(M14))</f>
        <v/>
      </c>
      <c r="AR14" s="60" t="str">
        <f>IF(V14&lt;&gt;"SÍ","",MAX(DATOS!$C$26*AQ14+DATOS!$C$27*AO14,IF(AN14="SÍ",DATOS!$C$28*(AQ14+DATOS!$C$41),0)))</f>
        <v/>
      </c>
      <c r="AS14" s="59" t="str">
        <f>IF(V14&lt;&gt;"SÍ","",(G14="DISCONTINUO")+(H14="DISCONTINUO")+(I14="DISCONTINUO")+(J14="DISCONTINUO"))</f>
        <v/>
      </c>
      <c r="AT14" s="59" t="str">
        <f>IF(V14&lt;&gt;"SÍ","",IF(X14="X",(G14="DISCONTINUO")+(H14="DISCONTINUO"),(I14="DISCONTINUO")+(J14="DISCONTINUO")))</f>
        <v/>
      </c>
      <c r="AU14" s="55" t="str">
        <f>IF(V14&lt;&gt;"SÍ","",IF(AS14=0,"INTERIOR",IF(AS14=1,IF(AT14=1,"BORDE-CORTO","BORDE-LARGO"),IF(AS14=2,IF(AT14=1,"ESQUINA",IF(AT14=2,"EXTREMO-LARGO","EXTREMO-CORTO")),IF(AS14=3,IF(AT14=2,"EXTREMO-LARGO","EXTREMO-CORTO"),"AISLADO")))))</f>
        <v/>
      </c>
      <c r="AV14" s="61" t="str">
        <f>IF(V14&lt;&gt;"SÍ","",IF(OR(K14="",K14="AUTO"),AU14,K14))</f>
        <v/>
      </c>
      <c r="AW14" s="59" t="str">
        <f>IF(V14&lt;&gt;"SÍ","",MATCH(AA14,TABLAS!$D$5:$J$5,1))</f>
        <v/>
      </c>
      <c r="AX14" s="58" t="str">
        <f>IF(V14&lt;&gt;"SÍ","",IF(AW14&gt;=7,0,(AA14-INDEX(TABLAS!$D$5:$J$5,AW14))/(INDEX(TABLAS!$D$5:$J$5,AW14+1)-INDEX(TABLAS!$D$5:$J$5,AW14))))</f>
        <v/>
      </c>
      <c r="AY14" s="59" t="str">
        <f>IF(V14&lt;&gt;"SÍ","",INDEX(TABLAS!$D$6:$J$47,MATCH(AV14&amp;"|NIC",TABLAS!$B$6:$B$47,0),AW14)+AX14*(INDEX(TABLAS!$D$6:$J$47,MATCH(AV14&amp;"|NIC",TABLAS!$B$6:$B$47,0),MIN(AW14+1,7))-INDEX(TABLAS!$D$6:$J$47,MATCH(AV14&amp;"|NIC",TABLAS!$B$6:$B$47,0),AW14)))</f>
        <v/>
      </c>
      <c r="AZ14" s="59" t="str">
        <f>IF(V14&lt;&gt;"SÍ","",INDEX(TABLAS!$D$6:$J$47,MATCH(AV14&amp;"|NIL",TABLAS!$B$6:$B$47,0),AW14)+AX14*(INDEX(TABLAS!$D$6:$J$47,MATCH(AV14&amp;"|NIL",TABLAS!$B$6:$B$47,0),MIN(AW14+1,7))-INDEX(TABLAS!$D$6:$J$47,MATCH(AV14&amp;"|NIL",TABLAS!$B$6:$B$47,0),AW14)))</f>
        <v/>
      </c>
      <c r="BA14" s="59" t="str">
        <f>IF(V14&lt;&gt;"SÍ","",INDEX(TABLAS!$D$6:$J$47,MATCH(AV14&amp;"|NDC",TABLAS!$B$6:$B$47,0),AW14)+AX14*(INDEX(TABLAS!$D$6:$J$47,MATCH(AV14&amp;"|NDC",TABLAS!$B$6:$B$47,0),MIN(AW14+1,7))-INDEX(TABLAS!$D$6:$J$47,MATCH(AV14&amp;"|NDC",TABLAS!$B$6:$B$47,0),AW14)))</f>
        <v/>
      </c>
      <c r="BB14" s="59" t="str">
        <f>IF(V14&lt;&gt;"SÍ","",INDEX(TABLAS!$D$6:$J$47,MATCH(AV14&amp;"|NDL",TABLAS!$B$6:$B$47,0),AW14)+AX14*(INDEX(TABLAS!$D$6:$J$47,MATCH(AV14&amp;"|NDL",TABLAS!$B$6:$B$47,0),MIN(AW14+1,7))-INDEX(TABLAS!$D$6:$J$47,MATCH(AV14&amp;"|NDL",TABLAS!$B$6:$B$47,0),AW14)))</f>
        <v/>
      </c>
      <c r="BC14" s="59" t="str">
        <f>IF(V14&lt;&gt;"SÍ","",INDEX(TABLAS!$D$6:$J$47,MATCH(AV14&amp;"|PC",TABLAS!$B$6:$B$47,0),AW14)+AX14*(INDEX(TABLAS!$D$6:$J$47,MATCH(AV14&amp;"|PC",TABLAS!$B$6:$B$47,0),MIN(AW14+1,7))-INDEX(TABLAS!$D$6:$J$47,MATCH(AV14&amp;"|PC",TABLAS!$B$6:$B$47,0),AW14)))</f>
        <v/>
      </c>
      <c r="BD14" s="59" t="str">
        <f>IF(V14&lt;&gt;"SÍ","",INDEX(TABLAS!$D$6:$J$47,MATCH(AV14&amp;"|PL",TABLAS!$B$6:$B$47,0),AW14)+AX14*(INDEX(TABLAS!$D$6:$J$47,MATCH(AV14&amp;"|PL",TABLAS!$B$6:$B$47,0),MIN(AW14+1,7))-INDEX(TABLAS!$D$6:$J$47,MATCH(AV14&amp;"|PL",TABLAS!$B$6:$B$47,0),AW14)))</f>
        <v/>
      </c>
      <c r="BE14" s="56" t="str">
        <f>IF(V14&lt;&gt;"SÍ","",IF(OR(C14&lt;&gt;"VOLADO",MIN(DH14,DI14)=0),0,DATOS!$C$26*DATOS!$C$16*DATOS!$C$86/100*(((AE14*DATOS!$C$81/DATOS!$C$86^2)*DATOS!$C$82/100)*(IF(X14="X",DJ14,DL14)+DATOS!$C$87/2)/100*(AB14-(IF(X14="X",DJ14,DL14)+DATOS!$C$87/2)/2)/100+((AE14*DATOS!$C$81/DATOS!$C$86^2)*DATOS!$C$82/100)*IF(X14="X",DJ14,DL14)/100*IF(X14="X",DJ14,DL14)/200)))</f>
        <v/>
      </c>
      <c r="BF14" s="56" t="str">
        <f>IF(V14&lt;&gt;"SÍ","",IF(OR(C14&lt;&gt;"VOLADO",MIN(DH14,DI14)=0),0,DATOS!$C$26*DATOS!$C$16*DATOS!$C$86/100*((AE14*DATOS!$C$81/DATOS!$C$86^2)*DATOS!$C$82/100)*(IF(X14="X",DJ14,DL14)+DATOS!$C$87/2)/100))</f>
        <v/>
      </c>
      <c r="BG14" s="56" t="str">
        <f>IF(V14&lt;&gt;"SÍ","",IF(C14="PERIMETRAL",BC14*AR14*Y14^2*1E-4*DATOS!$C$86/100/1000,0))</f>
        <v/>
      </c>
      <c r="BH14" s="62" t="str">
        <f>IF(V14&lt;&gt;"SÍ","",IF(C14="PERIMETRAL",MAX(MAX(AY14,BA14)*AR14*Y14^2*1E-4*DATOS!$C$86/100/1000,N(T14)),(AR14*(AB14/100)^2/2+DATOS!$C$26*N(O14)*AB14/100)*DATOS!$C$86/100/1000+BE14))</f>
        <v/>
      </c>
      <c r="BI14" s="56" t="str">
        <f>IF(V14&lt;&gt;"SÍ","",IF(C14="PERIMETRAL",BD14*AR14*Y14^2*1E-4*DATOS!$C$86/100/1000,0))</f>
        <v/>
      </c>
      <c r="BJ14" s="56" t="str">
        <f>IF(V14&lt;&gt;"SÍ","",IF(C14="PERIMETRAL",MAX(MAX(AZ14,BB14)*AR14*Y14^2*1E-4*DATOS!$C$86/100/1000,N(U14)),0))</f>
        <v/>
      </c>
      <c r="BK14" s="63" t="str">
        <f>IF(V14&lt;&gt;"SÍ","",IF(C14&lt;&gt;"PERIMETRAL","—",IF(AND(N(T14)=0,N(U14)=0),"— (sin M⁻ del vecino)",IF(OR(AND(N(T14)&gt;0,ABS(MAX(AY14,BA14)*AR14*Y14^2*1E-4*DATOS!$C$86/100/1000-N(T14))&gt;0.5*MIN(MAX(AY14,BA14)*AR14*Y14^2*1E-4*DATOS!$C$86/100/1000,N(T14))),AND(N(U14)&gt;0,ABS(MAX(AZ14,BB14)*AR14*Y14^2*1E-4*DATOS!$C$86/100/1000-N(U14))&gt;0.5*MIN(MAX(AZ14,BB14)*AR14*Y14^2*1E-4*DATOS!$C$86/100/1000,N(U14)))),"FUERA: difieren &gt; 50 %"&amp;IF(AND(N(T14)&gt;0,ABS(MAX(AY14,BA14)*AR14*Y14^2*1E-4*DATOS!$C$86/100/1000-N(T14))&gt;0.5*MIN(MAX(AY14,BA14)*AR14*Y14^2*1E-4*DATOS!$C$86/100/1000,N(T14)))," ‖ corto","")&amp;IF(AND(N(U14)&gt;0,ABS(MAX(AZ14,BB14)*AR14*Y14^2*1E-4*DATOS!$C$86/100/1000-N(U14))&gt;0.5*MIN(MAX(AZ14,BB14)*AR14*Y14^2*1E-4*DATOS!$C$86/100/1000,N(U14)))," ‖ largo",""),"CUMPLE"))))</f>
        <v/>
      </c>
      <c r="BL14" s="58" t="str">
        <f>IF(V14&lt;&gt;"SÍ","",(DATOS!$C$85-AK14-INDEX(TABLAS!$C$52:$C$58,MATCH(MAX(4,DATOS!$C$71),TABLAS!$B$52:$B$58,0))/2))</f>
        <v/>
      </c>
      <c r="BM14" s="58" t="str">
        <f>IF(V14&lt;&gt;"SÍ","",IF(IF(BG14&lt;=0,0,IF((1-2*BG14*1E5/(DATOS!$C$29*AH14*BL14^2*DATOS!$C$21))&lt;0,-1,IF((1-SQRT((1-2*BG14*1E5/(DATOS!$C$29*AH14*BL14^2*DATOS!$C$21))))*DATOS!$C$21*AH14*BL14/DATOS!$C$14&gt;DATOS!$C$102*AH14*BL14,-1,(1-SQRT((1-2*BG14*1E5/(DATOS!$C$29*AH14*BL14^2*DATOS!$C$21))))*DATOS!$C$21*AH14*BL14/DATOS!$C$14)))&lt;0,-1,MAX(IF(BG14&lt;=0,0,IF((1-2*BG14*1E5/(DATOS!$C$29*AH14*BL14^2*DATOS!$C$21))&lt;0,-1,IF((1-SQRT((1-2*BG14*1E5/(DATOS!$C$29*AH14*BL14^2*DATOS!$C$21))))*DATOS!$C$21*AH14*BL14/DATOS!$C$14&gt;DATOS!$C$102*AH14*BL14,-1,(1-SQRT((1-2*BG14*1E5/(DATOS!$C$29*AH14*BL14^2*DATOS!$C$21))))*DATOS!$C$21*AH14*BL14/DATOS!$C$14))),MIN(DATOS!$C$103*AD14*BL14,4/3*IF(BG14&lt;=0,0,IF((1-2*BG14*1E5/(DATOS!$C$29*AH14*BL14^2*DATOS!$C$21))&lt;0,-1,IF((1-SQRT((1-2*BG14*1E5/(DATOS!$C$29*AH14*BL14^2*DATOS!$C$21))))*DATOS!$C$21*AH14*BL14/DATOS!$C$14&gt;DATOS!$C$102*AH14*BL14,-1,(1-SQRT((1-2*BG14*1E5/(DATOS!$C$29*AH14*BL14^2*DATOS!$C$21))))*DATOS!$C$21*AH14*BL14/DATOS!$C$14)))))))</f>
        <v/>
      </c>
      <c r="BN14" s="64" t="str">
        <f>IF(V14&lt;&gt;"SÍ","",IF(AND(BM14&gt;=0,IF(MAX(DATOS!$C$74,CEILING(BM14/INDEX(TABLAS!$D$52:$D$58,MIN(MATCH(MAX(4,DATOS!$C$71),TABLAS!$B$52:$B$58,0)+0,7)),1))*INDEX(TABLAS!$D$52:$D$58,MIN(MATCH(MAX(4,DATOS!$C$71),TABLAS!$B$52:$B$58,0)+0,7)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+0,7)),1)),MAX(MAX(DATOS!$C$74,CEILING(BM14/INDEX(TABLAS!$D$52:$D$58,MIN(MATCH(MAX(4,DATOS!$C$71),TABLAS!$B$52:$B$58,0)+0,7)),1)),2))&lt;=MIN(DATOS!$C$73,INT(((AD14-2*AK14)+MAX(DATOS!$C$70,INDEX(TABLAS!$C$52:$C$58,MIN(MATCH(MAX(4,DATOS!$C$71),TABLAS!$B$52:$B$58,0)+0,7))))/(INDEX(TABLAS!$C$52:$C$58,MIN(MATCH(MAX(4,DATOS!$C$71),TABLAS!$B$52:$B$58,0)+0,7))+MAX(DATOS!$C$70,INDEX(TABLAS!$C$52:$C$58,MIN(MATCH(MAX(4,DATOS!$C$71),TABLAS!$B$52:$B$58,0)+0,7))))))),INDEX(TABLAS!$B$52:$B$58,MIN(MATCH(MAX(4,DATOS!$C$71),TABLAS!$B$52:$B$58,0)+0,7)),IF(AND(BM14&gt;=0,IF(MAX(DATOS!$C$74,CEILING(BM14/INDEX(TABLAS!$D$52:$D$58,MIN(MATCH(MAX(4,DATOS!$C$71),TABLAS!$B$52:$B$58,0)+1,7)),1))*INDEX(TABLAS!$D$52:$D$58,MIN(MATCH(MAX(4,DATOS!$C$71),TABLAS!$B$52:$B$58,0)+1,7)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+1,7)),1)),MAX(MAX(DATOS!$C$74,CEILING(BM14/INDEX(TABLAS!$D$52:$D$58,MIN(MATCH(MAX(4,DATOS!$C$71),TABLAS!$B$52:$B$58,0)+1,7)),1)),2))&lt;=MIN(DATOS!$C$73,INT(((AD14-2*AK14)+MAX(DATOS!$C$70,INDEX(TABLAS!$C$52:$C$58,MIN(MATCH(MAX(4,DATOS!$C$71),TABLAS!$B$52:$B$58,0)+1,7))))/(INDEX(TABLAS!$C$52:$C$58,MIN(MATCH(MAX(4,DATOS!$C$71),TABLAS!$B$52:$B$58,0)+1,7))+MAX(DATOS!$C$70,INDEX(TABLAS!$C$52:$C$58,MIN(MATCH(MAX(4,DATOS!$C$71),TABLAS!$B$52:$B$58,0)+1,7))))))),INDEX(TABLAS!$B$52:$B$58,MIN(MATCH(MAX(4,DATOS!$C$71),TABLAS!$B$52:$B$58,0)+1,7)),IF(AND(BM14&gt;=0,IF(MAX(DATOS!$C$74,CEILING(BM14/INDEX(TABLAS!$D$52:$D$58,MIN(MATCH(MAX(4,DATOS!$C$71),TABLAS!$B$52:$B$58,0)+2,7)),1))*INDEX(TABLAS!$D$52:$D$58,MIN(MATCH(MAX(4,DATOS!$C$71),TABLAS!$B$52:$B$58,0)+2,7)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+2,7)),1)),MAX(MAX(DATOS!$C$74,CEILING(BM14/INDEX(TABLAS!$D$52:$D$58,MIN(MATCH(MAX(4,DATOS!$C$71),TABLAS!$B$52:$B$58,0)+2,7)),1)),2))&lt;=MIN(DATOS!$C$73,INT(((AD14-2*AK14)+MAX(DATOS!$C$70,INDEX(TABLAS!$C$52:$C$58,MIN(MATCH(MAX(4,DATOS!$C$71),TABLAS!$B$52:$B$58,0)+2,7))))/(INDEX(TABLAS!$C$52:$C$58,MIN(MATCH(MAX(4,DATOS!$C$71),TABLAS!$B$52:$B$58,0)+2,7))+MAX(DATOS!$C$70,INDEX(TABLAS!$C$52:$C$58,MIN(MATCH(MAX(4,DATOS!$C$71),TABLAS!$B$52:$B$58,0)+2,7))))))),INDEX(TABLAS!$B$52:$B$58,MIN(MATCH(MAX(4,DATOS!$C$71),TABLAS!$B$52:$B$58,0)+2,7)),IF(AND(BM14&gt;=0,IF(MAX(DATOS!$C$74,CEILING(BM14/INDEX(TABLAS!$D$52:$D$58,MIN(MATCH(MAX(4,DATOS!$C$71),TABLAS!$B$52:$B$58,0)+3,7)),1))*INDEX(TABLAS!$D$52:$D$58,MIN(MATCH(MAX(4,DATOS!$C$71),TABLAS!$B$52:$B$58,0)+3,7)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+3,7)),1)),MAX(MAX(DATOS!$C$74,CEILING(BM14/INDEX(TABLAS!$D$52:$D$58,MIN(MATCH(MAX(4,DATOS!$C$71),TABLAS!$B$52:$B$58,0)+3,7)),1)),2))&lt;=MIN(DATOS!$C$73,INT(((AD14-2*AK14)+MAX(DATOS!$C$70,INDEX(TABLAS!$C$52:$C$58,MIN(MATCH(MAX(4,DATOS!$C$71),TABLAS!$B$52:$B$58,0)+3,7))))/(INDEX(TABLAS!$C$52:$C$58,MIN(MATCH(MAX(4,DATOS!$C$71),TABLAS!$B$52:$B$58,0)+3,7))+MAX(DATOS!$C$70,INDEX(TABLAS!$C$52:$C$58,MIN(MATCH(MAX(4,DATOS!$C$71),TABLAS!$B$52:$B$58,0)+3,7))))))),INDEX(TABLAS!$B$52:$B$58,MIN(MATCH(MAX(4,DATOS!$C$71),TABLAS!$B$52:$B$58,0)+3,7)),IF(AND(BM14&gt;=0,IF(MAX(DATOS!$C$74,CEILING(BM14/INDEX(TABLAS!$D$52:$D$58,MIN(MATCH(MAX(4,DATOS!$C$71),TABLAS!$B$52:$B$58,0)+4,7)),1))*INDEX(TABLAS!$D$52:$D$58,MIN(MATCH(MAX(4,DATOS!$C$71),TABLAS!$B$52:$B$58,0)+4,7)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+4,7)),1)),MAX(MAX(DATOS!$C$74,CEILING(BM14/INDEX(TABLAS!$D$52:$D$58,MIN(MATCH(MAX(4,DATOS!$C$71),TABLAS!$B$52:$B$58,0)+4,7)),1)),2))&lt;=MIN(DATOS!$C$73,INT(((AD14-2*AK14)+MAX(DATOS!$C$70,INDEX(TABLAS!$C$52:$C$58,MIN(MATCH(MAX(4,DATOS!$C$71),TABLAS!$B$52:$B$58,0)+4,7))))/(INDEX(TABLAS!$C$52:$C$58,MIN(MATCH(MAX(4,DATOS!$C$71),TABLAS!$B$52:$B$58,0)+4,7))+MAX(DATOS!$C$70,INDEX(TABLAS!$C$52:$C$58,MIN(MATCH(MAX(4,DATOS!$C$71),TABLAS!$B$52:$B$58,0)+4,7))))))),INDEX(TABLAS!$B$52:$B$58,MIN(MATCH(MAX(4,DATOS!$C$71),TABLAS!$B$52:$B$58,0)+4,7)),INDEX(TABLAS!$B$52:$B$58,7)))))))</f>
        <v/>
      </c>
      <c r="BO14" s="59" t="str">
        <f>IF(V14&lt;&gt;"SÍ","",IF(BM14&lt;0,0,IF(MAX(DATOS!$C$74,CEILING(MAX(BM14,0)/INDEX(TABLAS!$D$52:$D$58,MATCH(BN14,TABLAS!$B$52:$B$58,0)),1))*INDEX(TABLAS!$D$52:$D$58,MATCH(BN14,TABLAS!$B$52:$B$58,0))&gt;=4/3*IF(BG14&lt;=0,0,IF((1-2*BG14*1E5/(DATOS!$C$29*AH14*BL14^2*DATOS!$C$21))&lt;0,-1,IF((1-SQRT((1-2*BG14*1E5/(DATOS!$C$29*AH14*BL14^2*DATOS!$C$21))))*DATOS!$C$21*AH14*BL14/DATOS!$C$14&gt;DATOS!$C$102*AH14*BL14,-1,(1-SQRT((1-2*BG14*1E5/(DATOS!$C$29*AH14*BL14^2*DATOS!$C$21))))*DATOS!$C$21*AH14*BL14/DATOS!$C$14)))-0.0001,MAX(DATOS!$C$74,CEILING(MAX(BM14,0)/INDEX(TABLAS!$D$52:$D$58,MATCH(BN14,TABLAS!$B$52:$B$58,0)),1)),MAX(MAX(DATOS!$C$74,CEILING(MAX(BM14,0)/INDEX(TABLAS!$D$52:$D$58,MATCH(BN14,TABLAS!$B$52:$B$58,0)),1)),2))))</f>
        <v/>
      </c>
      <c r="BP14" s="58" t="str">
        <f>IF(V14&lt;&gt;"SÍ","",DATOS!$C$85-AK14-INDEX(TABLAS!$C$52:$C$58,MATCH(BN14,TABLAS!$B$52:$B$58,0))/2)</f>
        <v/>
      </c>
      <c r="BQ14" s="56" t="str">
        <f>IF(V14&lt;&gt;"SÍ","",IF(BO14=0,0,DATOS!$C$29*BO14*INDEX(TABLAS!$D$52:$D$58,MATCH(BN14,TABLAS!$B$52:$B$58,0))*DATOS!$C$14*(BP14-BO14*INDEX(TABLAS!$D$52:$D$58,MATCH(BN14,TABLAS!$B$52:$B$58,0))*DATOS!$C$14/(DATOS!$C$21*AH14)/2)/1E5))</f>
        <v/>
      </c>
      <c r="BR14" s="65" t="str">
        <f>IF(V14&lt;&gt;"SÍ","",IF(BM14&lt;0,9.99,IF(BQ14&gt;0,BG14/BQ14,0)))</f>
        <v/>
      </c>
      <c r="BS14" s="66" t="str">
        <f>IF(V14&lt;&gt;"SÍ","",IF(BO14=0,"—",0.003*(BP14-(BO14*INDEX(TABLAS!$D$52:$D$58,MATCH(BN14,TABLAS!$B$52:$B$58,0))*DATOS!$C$14/(DATOS!$C$21*AH14)/DATOS!$C$22))/(BO14*INDEX(TABLAS!$D$52:$D$58,MATCH(BN14,TABLAS!$B$52:$B$58,0))*DATOS!$C$14/(DATOS!$C$21*AH14)/DATOS!$C$22)))</f>
        <v/>
      </c>
      <c r="BT14" s="58" t="str">
        <f>IF(V14&lt;&gt;"SÍ","",((DATOS!$C$85-AM14-2*DATOS!$C$97-INDEX(TABLAS!$C$52:$C$58,MATCH(MAX(4,DATOS!$C$72),TABLAS!$B$52:$B$58,0))/2)-IF(AND((DATOS!$C$85-AM14-2*DATOS!$C$97-INDEX(TABLAS!$C$52:$C$58,MATCH(MAX(4,DATOS!$C$72),TABLAS!$B$52:$B$58,0))/2)&lt;=20,DATOS!$C$65&lt;&gt;"SÍ"),2,0)))</f>
        <v/>
      </c>
      <c r="BU14" s="58" t="str">
        <f>IF(V14&lt;&gt;"SÍ","",IF(IF(BH14&lt;=0,0,IF((1-2*BH14*1E5/(DATOS!$C$29*AF14*BT14^2*DATOS!$C$21))&lt;0,-1,IF((1-SQRT((1-2*BH14*1E5/(DATOS!$C$29*AF14*BT14^2*DATOS!$C$21))))*DATOS!$C$21*AF14*BT14/DATOS!$C$14&gt;DATOS!$C$102*AF14*BT14,-1,(1-SQRT((1-2*BH14*1E5/(DATOS!$C$29*AF14*BT14^2*DATOS!$C$21))))*DATOS!$C$21*AF14*BT14/DATOS!$C$14)))&lt;0,-1,MAX(IF(BH14&lt;=0,0,IF((1-2*BH14*1E5/(DATOS!$C$29*AF14*BT14^2*DATOS!$C$21))&lt;0,-1,IF((1-SQRT((1-2*BH14*1E5/(DATOS!$C$29*AF14*BT14^2*DATOS!$C$21))))*DATOS!$C$21*AF14*BT14/DATOS!$C$14&gt;DATOS!$C$102*AF14*BT14,-1,(1-SQRT((1-2*BH14*1E5/(DATOS!$C$29*AF14*BT14^2*DATOS!$C$21))))*DATOS!$C$21*AF14*BT14/DATOS!$C$14))),MIN(DATOS!$C$103*IF(C14="VOLADO",MIN(AH14,2*AD14),AD14)*BT14,4/3*IF(BH14&lt;=0,0,IF((1-2*BH14*1E5/(DATOS!$C$29*AF14*BT14^2*DATOS!$C$21))&lt;0,-1,IF((1-SQRT((1-2*BH14*1E5/(DATOS!$C$29*AF14*BT14^2*DATOS!$C$21))))*DATOS!$C$21*AF14*BT14/DATOS!$C$14&gt;DATOS!$C$102*AF14*BT14,-1,(1-SQRT((1-2*BH14*1E5/(DATOS!$C$29*AF14*BT14^2*DATOS!$C$21))))*DATOS!$C$21*AF14*BT14/DATOS!$C$14)))))))</f>
        <v/>
      </c>
      <c r="BV14" s="64" t="str">
        <f>IF(V14&lt;&gt;"SÍ","",IF(AND(BU14&gt;=0,IF(MAX(DATOS!$C$74,CEILING(BU14/INDEX(TABLAS!$D$52:$D$58,MIN(MATCH(MAX(4,DATOS!$C$72),TABLAS!$B$52:$B$58,0)+0,7)),1))*INDEX(TABLAS!$D$52:$D$58,MIN(MATCH(MAX(4,DATOS!$C$72),TABLAS!$B$52:$B$58,0)+0,7)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+0,7)),1)),MAX(MAX(DATOS!$C$74,CEILING(BU14/INDEX(TABLAS!$D$52:$D$58,MIN(MATCH(MAX(4,DATOS!$C$72),TABLAS!$B$52:$B$58,0)+0,7)),1)),2))&lt;=MIN(DATOS!$C$73,INT(((AD14-2*AL14)+MAX(DATOS!$C$70,INDEX(TABLAS!$C$52:$C$58,MIN(MATCH(MAX(4,DATOS!$C$72),TABLAS!$B$52:$B$58,0)+0,7))))/(INDEX(TABLAS!$C$52:$C$58,MIN(MATCH(MAX(4,DATOS!$C$72),TABLAS!$B$52:$B$58,0)+0,7))+MAX(DATOS!$C$70,INDEX(TABLAS!$C$52:$C$58,MIN(MATCH(MAX(4,DATOS!$C$72),TABLAS!$B$52:$B$58,0)+0,7))))))),INDEX(TABLAS!$B$52:$B$58,MIN(MATCH(MAX(4,DATOS!$C$72),TABLAS!$B$52:$B$58,0)+0,7)),IF(AND(BU14&gt;=0,IF(MAX(DATOS!$C$74,CEILING(BU14/INDEX(TABLAS!$D$52:$D$58,MIN(MATCH(MAX(4,DATOS!$C$72),TABLAS!$B$52:$B$58,0)+1,7)),1))*INDEX(TABLAS!$D$52:$D$58,MIN(MATCH(MAX(4,DATOS!$C$72),TABLAS!$B$52:$B$58,0)+1,7)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+1,7)),1)),MAX(MAX(DATOS!$C$74,CEILING(BU14/INDEX(TABLAS!$D$52:$D$58,MIN(MATCH(MAX(4,DATOS!$C$72),TABLAS!$B$52:$B$58,0)+1,7)),1)),2))&lt;=MIN(DATOS!$C$73,INT(((AD14-2*AL14)+MAX(DATOS!$C$70,INDEX(TABLAS!$C$52:$C$58,MIN(MATCH(MAX(4,DATOS!$C$72),TABLAS!$B$52:$B$58,0)+1,7))))/(INDEX(TABLAS!$C$52:$C$58,MIN(MATCH(MAX(4,DATOS!$C$72),TABLAS!$B$52:$B$58,0)+1,7))+MAX(DATOS!$C$70,INDEX(TABLAS!$C$52:$C$58,MIN(MATCH(MAX(4,DATOS!$C$72),TABLAS!$B$52:$B$58,0)+1,7))))))),INDEX(TABLAS!$B$52:$B$58,MIN(MATCH(MAX(4,DATOS!$C$72),TABLAS!$B$52:$B$58,0)+1,7)),IF(AND(BU14&gt;=0,IF(MAX(DATOS!$C$74,CEILING(BU14/INDEX(TABLAS!$D$52:$D$58,MIN(MATCH(MAX(4,DATOS!$C$72),TABLAS!$B$52:$B$58,0)+2,7)),1))*INDEX(TABLAS!$D$52:$D$58,MIN(MATCH(MAX(4,DATOS!$C$72),TABLAS!$B$52:$B$58,0)+2,7)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+2,7)),1)),MAX(MAX(DATOS!$C$74,CEILING(BU14/INDEX(TABLAS!$D$52:$D$58,MIN(MATCH(MAX(4,DATOS!$C$72),TABLAS!$B$52:$B$58,0)+2,7)),1)),2))&lt;=MIN(DATOS!$C$73,INT(((AD14-2*AL14)+MAX(DATOS!$C$70,INDEX(TABLAS!$C$52:$C$58,MIN(MATCH(MAX(4,DATOS!$C$72),TABLAS!$B$52:$B$58,0)+2,7))))/(INDEX(TABLAS!$C$52:$C$58,MIN(MATCH(MAX(4,DATOS!$C$72),TABLAS!$B$52:$B$58,0)+2,7))+MAX(DATOS!$C$70,INDEX(TABLAS!$C$52:$C$58,MIN(MATCH(MAX(4,DATOS!$C$72),TABLAS!$B$52:$B$58,0)+2,7))))))),INDEX(TABLAS!$B$52:$B$58,MIN(MATCH(MAX(4,DATOS!$C$72),TABLAS!$B$52:$B$58,0)+2,7)),IF(AND(BU14&gt;=0,IF(MAX(DATOS!$C$74,CEILING(BU14/INDEX(TABLAS!$D$52:$D$58,MIN(MATCH(MAX(4,DATOS!$C$72),TABLAS!$B$52:$B$58,0)+3,7)),1))*INDEX(TABLAS!$D$52:$D$58,MIN(MATCH(MAX(4,DATOS!$C$72),TABLAS!$B$52:$B$58,0)+3,7)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+3,7)),1)),MAX(MAX(DATOS!$C$74,CEILING(BU14/INDEX(TABLAS!$D$52:$D$58,MIN(MATCH(MAX(4,DATOS!$C$72),TABLAS!$B$52:$B$58,0)+3,7)),1)),2))&lt;=MIN(DATOS!$C$73,INT(((AD14-2*AL14)+MAX(DATOS!$C$70,INDEX(TABLAS!$C$52:$C$58,MIN(MATCH(MAX(4,DATOS!$C$72),TABLAS!$B$52:$B$58,0)+3,7))))/(INDEX(TABLAS!$C$52:$C$58,MIN(MATCH(MAX(4,DATOS!$C$72),TABLAS!$B$52:$B$58,0)+3,7))+MAX(DATOS!$C$70,INDEX(TABLAS!$C$52:$C$58,MIN(MATCH(MAX(4,DATOS!$C$72),TABLAS!$B$52:$B$58,0)+3,7))))))),INDEX(TABLAS!$B$52:$B$58,MIN(MATCH(MAX(4,DATOS!$C$72),TABLAS!$B$52:$B$58,0)+3,7)),IF(AND(BU14&gt;=0,IF(MAX(DATOS!$C$74,CEILING(BU14/INDEX(TABLAS!$D$52:$D$58,MIN(MATCH(MAX(4,DATOS!$C$72),TABLAS!$B$52:$B$58,0)+4,7)),1))*INDEX(TABLAS!$D$52:$D$58,MIN(MATCH(MAX(4,DATOS!$C$72),TABLAS!$B$52:$B$58,0)+4,7)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+4,7)),1)),MAX(MAX(DATOS!$C$74,CEILING(BU14/INDEX(TABLAS!$D$52:$D$58,MIN(MATCH(MAX(4,DATOS!$C$72),TABLAS!$B$52:$B$58,0)+4,7)),1)),2))&lt;=MIN(DATOS!$C$73,INT(((AD14-2*AL14)+MAX(DATOS!$C$70,INDEX(TABLAS!$C$52:$C$58,MIN(MATCH(MAX(4,DATOS!$C$72),TABLAS!$B$52:$B$58,0)+4,7))))/(INDEX(TABLAS!$C$52:$C$58,MIN(MATCH(MAX(4,DATOS!$C$72),TABLAS!$B$52:$B$58,0)+4,7))+MAX(DATOS!$C$70,INDEX(TABLAS!$C$52:$C$58,MIN(MATCH(MAX(4,DATOS!$C$72),TABLAS!$B$52:$B$58,0)+4,7))))))),INDEX(TABLAS!$B$52:$B$58,MIN(MATCH(MAX(4,DATOS!$C$72),TABLAS!$B$52:$B$58,0)+4,7)),INDEX(TABLAS!$B$52:$B$58,7)))))))</f>
        <v/>
      </c>
      <c r="BW14" s="59" t="str">
        <f>IF(V14&lt;&gt;"SÍ","",IF(BU14&lt;0,0,IF(MAX(DATOS!$C$74,CEILING(MAX(BU14,0)/INDEX(TABLAS!$D$52:$D$58,MATCH(BV14,TABLAS!$B$52:$B$58,0)),1))*INDEX(TABLAS!$D$52:$D$58,MATCH(BV14,TABLAS!$B$52:$B$58,0))&gt;=4/3*IF(BH14&lt;=0,0,IF((1-2*BH14*1E5/(DATOS!$C$29*AF14*BT14^2*DATOS!$C$21))&lt;0,-1,IF((1-SQRT((1-2*BH14*1E5/(DATOS!$C$29*AF14*BT14^2*DATOS!$C$21))))*DATOS!$C$21*AF14*BT14/DATOS!$C$14&gt;DATOS!$C$102*AF14*BT14,-1,(1-SQRT((1-2*BH14*1E5/(DATOS!$C$29*AF14*BT14^2*DATOS!$C$21))))*DATOS!$C$21*AF14*BT14/DATOS!$C$14)))-0.0001,MAX(DATOS!$C$74,CEILING(MAX(BU14,0)/INDEX(TABLAS!$D$52:$D$58,MATCH(BV14,TABLAS!$B$52:$B$58,0)),1)),MAX(MAX(DATOS!$C$74,CEILING(MAX(BU14,0)/INDEX(TABLAS!$D$52:$D$58,MATCH(BV14,TABLAS!$B$52:$B$58,0)),1)),2))))</f>
        <v/>
      </c>
      <c r="BX14" s="58" t="str">
        <f>IF(V14&lt;&gt;"SÍ","",((DATOS!$C$85-AM14-2*DATOS!$C$97-INDEX(TABLAS!$C$52:$C$58,MATCH(BV14,TABLAS!$B$52:$B$58,0))/2)-IF(AND((DATOS!$C$85-AM14-2*DATOS!$C$97-INDEX(TABLAS!$C$52:$C$58,MATCH(BV14,TABLAS!$B$52:$B$58,0))/2)&lt;=20,DATOS!$C$65&lt;&gt;"SÍ"),2,0)))</f>
        <v/>
      </c>
      <c r="BY14" s="56" t="str">
        <f>IF(V14&lt;&gt;"SÍ","",IF(BW14=0,0,DATOS!$C$29*BW14*INDEX(TABLAS!$D$52:$D$58,MATCH(BV14,TABLAS!$B$52:$B$58,0))*DATOS!$C$14*(BX14-BW14*INDEX(TABLAS!$D$52:$D$58,MATCH(BV14,TABLAS!$B$52:$B$58,0))*DATOS!$C$14/(DATOS!$C$21*AF14)/2)/1E5))</f>
        <v/>
      </c>
      <c r="BZ14" s="65" t="str">
        <f>IF(V14&lt;&gt;"SÍ","",IF(BU14&lt;0,9.99,IF(BY14&gt;0,BH14/BY14,0)))</f>
        <v/>
      </c>
      <c r="CA14" s="66" t="str">
        <f>IF(V14&lt;&gt;"SÍ","",IF(BW14=0,"—",0.003*(BX14-(BW14*INDEX(TABLAS!$D$52:$D$58,MATCH(BV14,TABLAS!$B$52:$B$58,0))*DATOS!$C$14/(DATOS!$C$21*AF14)/DATOS!$C$22))/(BW14*INDEX(TABLAS!$D$52:$D$58,MATCH(BV14,TABLAS!$B$52:$B$58,0))*DATOS!$C$14/(DATOS!$C$21*AF14)/DATOS!$C$22)))</f>
        <v/>
      </c>
      <c r="CB14" s="58" t="str">
        <f>IF(V14&lt;&gt;"SÍ","",(DATOS!$C$85-AK14-INDEX(TABLAS!$C$52:$C$58,MATCH(MAX(4,DATOS!$C$71),TABLAS!$B$52:$B$58,0))-INDEX(TABLAS!$C$52:$C$58,MATCH(MAX(4,DATOS!$C$71),TABLAS!$B$52:$B$58,0))/2))</f>
        <v/>
      </c>
      <c r="CC14" s="58" t="str">
        <f>IF(V14&lt;&gt;"SÍ","",IF(IF(BI14&lt;=0,0,IF((1-2*BI14*1E5/(DATOS!$C$29*AI14*CB14^2*DATOS!$C$21))&lt;0,-1,IF((1-SQRT((1-2*BI14*1E5/(DATOS!$C$29*AI14*CB14^2*DATOS!$C$21))))*DATOS!$C$21*AI14*CB14/DATOS!$C$14&gt;DATOS!$C$102*AI14*CB14,-1,(1-SQRT((1-2*BI14*1E5/(DATOS!$C$29*AI14*CB14^2*DATOS!$C$21))))*DATOS!$C$21*AI14*CB14/DATOS!$C$14)))&lt;0,-1,MAX(IF(BI14&lt;=0,0,IF((1-2*BI14*1E5/(DATOS!$C$29*AI14*CB14^2*DATOS!$C$21))&lt;0,-1,IF((1-SQRT((1-2*BI14*1E5/(DATOS!$C$29*AI14*CB14^2*DATOS!$C$21))))*DATOS!$C$21*AI14*CB14/DATOS!$C$14&gt;DATOS!$C$102*AI14*CB14,-1,(1-SQRT((1-2*BI14*1E5/(DATOS!$C$29*AI14*CB14^2*DATOS!$C$21))))*DATOS!$C$21*AI14*CB14/DATOS!$C$14))),MIN(DATOS!$C$103*DATOS!$C$83*CB14,4/3*IF(BI14&lt;=0,0,IF((1-2*BI14*1E5/(DATOS!$C$29*AI14*CB14^2*DATOS!$C$21))&lt;0,-1,IF((1-SQRT((1-2*BI14*1E5/(DATOS!$C$29*AI14*CB14^2*DATOS!$C$21))))*DATOS!$C$21*AI14*CB14/DATOS!$C$14&gt;DATOS!$C$102*AI14*CB14,-1,(1-SQRT((1-2*BI14*1E5/(DATOS!$C$29*AI14*CB14^2*DATOS!$C$21))))*DATOS!$C$21*AI14*CB14/DATOS!$C$14)))))))</f>
        <v/>
      </c>
      <c r="CD14" s="64" t="str">
        <f>IF(V14&lt;&gt;"SÍ","",IF(AND(CC14&gt;=0,IF(MAX(DATOS!$C$74,CEILING(CC14/INDEX(TABLAS!$D$52:$D$58,MIN(MATCH(MAX(4,DATOS!$C$71),TABLAS!$B$52:$B$58,0)+0,7)),1))*INDEX(TABLAS!$D$52:$D$58,MIN(MATCH(MAX(4,DATOS!$C$71),TABLAS!$B$52:$B$58,0)+0,7)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+0,7)),1)),MAX(MAX(DATOS!$C$74,CEILING(CC14/INDEX(TABLAS!$D$52:$D$58,MIN(MATCH(MAX(4,DATOS!$C$71),TABLAS!$B$52:$B$58,0)+0,7)),1)),2))&lt;=MIN(DATOS!$C$73,INT(((DATOS!$C$83-2*AK14)+MAX(DATOS!$C$70,INDEX(TABLAS!$C$52:$C$58,MIN(MATCH(MAX(4,DATOS!$C$71),TABLAS!$B$52:$B$58,0)+0,7))))/(INDEX(TABLAS!$C$52:$C$58,MIN(MATCH(MAX(4,DATOS!$C$71),TABLAS!$B$52:$B$58,0)+0,7))+MAX(DATOS!$C$70,INDEX(TABLAS!$C$52:$C$58,MIN(MATCH(MAX(4,DATOS!$C$71),TABLAS!$B$52:$B$58,0)+0,7))))))),INDEX(TABLAS!$B$52:$B$58,MIN(MATCH(MAX(4,DATOS!$C$71),TABLAS!$B$52:$B$58,0)+0,7)),IF(AND(CC14&gt;=0,IF(MAX(DATOS!$C$74,CEILING(CC14/INDEX(TABLAS!$D$52:$D$58,MIN(MATCH(MAX(4,DATOS!$C$71),TABLAS!$B$52:$B$58,0)+1,7)),1))*INDEX(TABLAS!$D$52:$D$58,MIN(MATCH(MAX(4,DATOS!$C$71),TABLAS!$B$52:$B$58,0)+1,7)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+1,7)),1)),MAX(MAX(DATOS!$C$74,CEILING(CC14/INDEX(TABLAS!$D$52:$D$58,MIN(MATCH(MAX(4,DATOS!$C$71),TABLAS!$B$52:$B$58,0)+1,7)),1)),2))&lt;=MIN(DATOS!$C$73,INT(((DATOS!$C$83-2*AK14)+MAX(DATOS!$C$70,INDEX(TABLAS!$C$52:$C$58,MIN(MATCH(MAX(4,DATOS!$C$71),TABLAS!$B$52:$B$58,0)+1,7))))/(INDEX(TABLAS!$C$52:$C$58,MIN(MATCH(MAX(4,DATOS!$C$71),TABLAS!$B$52:$B$58,0)+1,7))+MAX(DATOS!$C$70,INDEX(TABLAS!$C$52:$C$58,MIN(MATCH(MAX(4,DATOS!$C$71),TABLAS!$B$52:$B$58,0)+1,7))))))),INDEX(TABLAS!$B$52:$B$58,MIN(MATCH(MAX(4,DATOS!$C$71),TABLAS!$B$52:$B$58,0)+1,7)),IF(AND(CC14&gt;=0,IF(MAX(DATOS!$C$74,CEILING(CC14/INDEX(TABLAS!$D$52:$D$58,MIN(MATCH(MAX(4,DATOS!$C$71),TABLAS!$B$52:$B$58,0)+2,7)),1))*INDEX(TABLAS!$D$52:$D$58,MIN(MATCH(MAX(4,DATOS!$C$71),TABLAS!$B$52:$B$58,0)+2,7)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+2,7)),1)),MAX(MAX(DATOS!$C$74,CEILING(CC14/INDEX(TABLAS!$D$52:$D$58,MIN(MATCH(MAX(4,DATOS!$C$71),TABLAS!$B$52:$B$58,0)+2,7)),1)),2))&lt;=MIN(DATOS!$C$73,INT(((DATOS!$C$83-2*AK14)+MAX(DATOS!$C$70,INDEX(TABLAS!$C$52:$C$58,MIN(MATCH(MAX(4,DATOS!$C$71),TABLAS!$B$52:$B$58,0)+2,7))))/(INDEX(TABLAS!$C$52:$C$58,MIN(MATCH(MAX(4,DATOS!$C$71),TABLAS!$B$52:$B$58,0)+2,7))+MAX(DATOS!$C$70,INDEX(TABLAS!$C$52:$C$58,MIN(MATCH(MAX(4,DATOS!$C$71),TABLAS!$B$52:$B$58,0)+2,7))))))),INDEX(TABLAS!$B$52:$B$58,MIN(MATCH(MAX(4,DATOS!$C$71),TABLAS!$B$52:$B$58,0)+2,7)),IF(AND(CC14&gt;=0,IF(MAX(DATOS!$C$74,CEILING(CC14/INDEX(TABLAS!$D$52:$D$58,MIN(MATCH(MAX(4,DATOS!$C$71),TABLAS!$B$52:$B$58,0)+3,7)),1))*INDEX(TABLAS!$D$52:$D$58,MIN(MATCH(MAX(4,DATOS!$C$71),TABLAS!$B$52:$B$58,0)+3,7)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+3,7)),1)),MAX(MAX(DATOS!$C$74,CEILING(CC14/INDEX(TABLAS!$D$52:$D$58,MIN(MATCH(MAX(4,DATOS!$C$71),TABLAS!$B$52:$B$58,0)+3,7)),1)),2))&lt;=MIN(DATOS!$C$73,INT(((DATOS!$C$83-2*AK14)+MAX(DATOS!$C$70,INDEX(TABLAS!$C$52:$C$58,MIN(MATCH(MAX(4,DATOS!$C$71),TABLAS!$B$52:$B$58,0)+3,7))))/(INDEX(TABLAS!$C$52:$C$58,MIN(MATCH(MAX(4,DATOS!$C$71),TABLAS!$B$52:$B$58,0)+3,7))+MAX(DATOS!$C$70,INDEX(TABLAS!$C$52:$C$58,MIN(MATCH(MAX(4,DATOS!$C$71),TABLAS!$B$52:$B$58,0)+3,7))))))),INDEX(TABLAS!$B$52:$B$58,MIN(MATCH(MAX(4,DATOS!$C$71),TABLAS!$B$52:$B$58,0)+3,7)),IF(AND(CC14&gt;=0,IF(MAX(DATOS!$C$74,CEILING(CC14/INDEX(TABLAS!$D$52:$D$58,MIN(MATCH(MAX(4,DATOS!$C$71),TABLAS!$B$52:$B$58,0)+4,7)),1))*INDEX(TABLAS!$D$52:$D$58,MIN(MATCH(MAX(4,DATOS!$C$71),TABLAS!$B$52:$B$58,0)+4,7)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+4,7)),1)),MAX(MAX(DATOS!$C$74,CEILING(CC14/INDEX(TABLAS!$D$52:$D$58,MIN(MATCH(MAX(4,DATOS!$C$71),TABLAS!$B$52:$B$58,0)+4,7)),1)),2))&lt;=MIN(DATOS!$C$73,INT(((DATOS!$C$83-2*AK14)+MAX(DATOS!$C$70,INDEX(TABLAS!$C$52:$C$58,MIN(MATCH(MAX(4,DATOS!$C$71),TABLAS!$B$52:$B$58,0)+4,7))))/(INDEX(TABLAS!$C$52:$C$58,MIN(MATCH(MAX(4,DATOS!$C$71),TABLAS!$B$52:$B$58,0)+4,7))+MAX(DATOS!$C$70,INDEX(TABLAS!$C$52:$C$58,MIN(MATCH(MAX(4,DATOS!$C$71),TABLAS!$B$52:$B$58,0)+4,7))))))),INDEX(TABLAS!$B$52:$B$58,MIN(MATCH(MAX(4,DATOS!$C$71),TABLAS!$B$52:$B$58,0)+4,7)),INDEX(TABLAS!$B$52:$B$58,7)))))))</f>
        <v/>
      </c>
      <c r="CE14" s="59" t="str">
        <f>IF(V14&lt;&gt;"SÍ","",IF(CC14&lt;0,0,IF(MAX(DATOS!$C$74,CEILING(MAX(CC14,0)/INDEX(TABLAS!$D$52:$D$58,MATCH(CD14,TABLAS!$B$52:$B$58,0)),1))*INDEX(TABLAS!$D$52:$D$58,MATCH(CD14,TABLAS!$B$52:$B$58,0))&gt;=4/3*IF(BI14&lt;=0,0,IF((1-2*BI14*1E5/(DATOS!$C$29*AI14*CB14^2*DATOS!$C$21))&lt;0,-1,IF((1-SQRT((1-2*BI14*1E5/(DATOS!$C$29*AI14*CB14^2*DATOS!$C$21))))*DATOS!$C$21*AI14*CB14/DATOS!$C$14&gt;DATOS!$C$102*AI14*CB14,-1,(1-SQRT((1-2*BI14*1E5/(DATOS!$C$29*AI14*CB14^2*DATOS!$C$21))))*DATOS!$C$21*AI14*CB14/DATOS!$C$14)))-0.0001,MAX(DATOS!$C$74,CEILING(MAX(CC14,0)/INDEX(TABLAS!$D$52:$D$58,MATCH(CD14,TABLAS!$B$52:$B$58,0)),1)),MAX(MAX(DATOS!$C$74,CEILING(MAX(CC14,0)/INDEX(TABLAS!$D$52:$D$58,MATCH(CD14,TABLAS!$B$52:$B$58,0)),1)),2))))</f>
        <v/>
      </c>
      <c r="CF14" s="58" t="str">
        <f>IF(V14&lt;&gt;"SÍ","",DATOS!$C$85-AK14-INDEX(TABLAS!$C$52:$C$58,MATCH(BN14,TABLAS!$B$52:$B$58,0))-INDEX(TABLAS!$C$52:$C$58,MATCH(CD14,TABLAS!$B$52:$B$58,0))/2)</f>
        <v/>
      </c>
      <c r="CG14" s="56" t="str">
        <f>IF(V14&lt;&gt;"SÍ","",IF(CE14=0,0,DATOS!$C$29*CE14*INDEX(TABLAS!$D$52:$D$58,MATCH(CD14,TABLAS!$B$52:$B$58,0))*DATOS!$C$14*(CF14-CE14*INDEX(TABLAS!$D$52:$D$58,MATCH(CD14,TABLAS!$B$52:$B$58,0))*DATOS!$C$14/(DATOS!$C$21*AI14)/2)/1E5))</f>
        <v/>
      </c>
      <c r="CH14" s="65" t="str">
        <f>IF(V14&lt;&gt;"SÍ","",IF(CC14&lt;0,9.99,IF(CG14&gt;0,BI14/CG14,0)))</f>
        <v/>
      </c>
      <c r="CI14" s="66" t="str">
        <f>IF(V14&lt;&gt;"SÍ","",IF(CE14=0,"—",0.003*(CF14-(CE14*INDEX(TABLAS!$D$52:$D$58,MATCH(CD14,TABLAS!$B$52:$B$58,0))*DATOS!$C$14/(DATOS!$C$21*AI14)/DATOS!$C$22))/(CE14*INDEX(TABLAS!$D$52:$D$58,MATCH(CD14,TABLAS!$B$52:$B$58,0))*DATOS!$C$14/(DATOS!$C$21*AI14)/DATOS!$C$22)))</f>
        <v/>
      </c>
      <c r="CJ14" s="58" t="str">
        <f>IF(V14&lt;&gt;"SÍ","",((DATOS!$C$85-AM14-2*DATOS!$C$97-INDEX(TABLAS!$C$52:$C$58,MATCH(MAX(4,DATOS!$C$72),TABLAS!$B$52:$B$58,0))-INDEX(TABLAS!$C$52:$C$58,MATCH(MAX(4,DATOS!$C$72),TABLAS!$B$52:$B$58,0))/2)-IF(AND((DATOS!$C$85-AM14-2*DATOS!$C$97-INDEX(TABLAS!$C$52:$C$58,MATCH(MAX(4,DATOS!$C$72),TABLAS!$B$52:$B$58,0))-INDEX(TABLAS!$C$52:$C$58,MATCH(MAX(4,DATOS!$C$72),TABLAS!$B$52:$B$58,0))/2)&lt;=20,DATOS!$C$65&lt;&gt;"SÍ"),2,0)))</f>
        <v/>
      </c>
      <c r="CK14" s="58" t="str">
        <f>IF(V14&lt;&gt;"SÍ","",IF(IF(BJ14&lt;=0,0,IF((1-2*BJ14*1E5/(DATOS!$C$29*AG14*CJ14^2*DATOS!$C$21))&lt;0,-1,IF((1-SQRT((1-2*BJ14*1E5/(DATOS!$C$29*AG14*CJ14^2*DATOS!$C$21))))*DATOS!$C$21*AG14*CJ14/DATOS!$C$14&gt;DATOS!$C$102*AG14*CJ14,-1,(1-SQRT((1-2*BJ14*1E5/(DATOS!$C$29*AG14*CJ14^2*DATOS!$C$21))))*DATOS!$C$21*AG14*CJ14/DATOS!$C$14)))&lt;0,-1,MAX(IF(BJ14&lt;=0,0,IF((1-2*BJ14*1E5/(DATOS!$C$29*AG14*CJ14^2*DATOS!$C$21))&lt;0,-1,IF((1-SQRT((1-2*BJ14*1E5/(DATOS!$C$29*AG14*CJ14^2*DATOS!$C$21))))*DATOS!$C$21*AG14*CJ14/DATOS!$C$14&gt;DATOS!$C$102*AG14*CJ14,-1,(1-SQRT((1-2*BJ14*1E5/(DATOS!$C$29*AG14*CJ14^2*DATOS!$C$21))))*DATOS!$C$21*AG14*CJ14/DATOS!$C$14))),MIN(DATOS!$C$103*DATOS!$C$83*CJ14,4/3*IF(BJ14&lt;=0,0,IF((1-2*BJ14*1E5/(DATOS!$C$29*AG14*CJ14^2*DATOS!$C$21))&lt;0,-1,IF((1-SQRT((1-2*BJ14*1E5/(DATOS!$C$29*AG14*CJ14^2*DATOS!$C$21))))*DATOS!$C$21*AG14*CJ14/DATOS!$C$14&gt;DATOS!$C$102*AG14*CJ14,-1,(1-SQRT((1-2*BJ14*1E5/(DATOS!$C$29*AG14*CJ14^2*DATOS!$C$21))))*DATOS!$C$21*AG14*CJ14/DATOS!$C$14)))))))</f>
        <v/>
      </c>
      <c r="CL14" s="64" t="str">
        <f>IF(V14&lt;&gt;"SÍ","",IF(AND(CK14&gt;=0,IF(MAX(DATOS!$C$74,CEILING(CK14/INDEX(TABLAS!$D$52:$D$58,MIN(MATCH(MAX(4,DATOS!$C$72),TABLAS!$B$52:$B$58,0)+0,7)),1))*INDEX(TABLAS!$D$52:$D$58,MIN(MATCH(MAX(4,DATOS!$C$72),TABLAS!$B$52:$B$58,0)+0,7)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+0,7)),1)),MAX(MAX(DATOS!$C$74,CEILING(CK14/INDEX(TABLAS!$D$52:$D$58,MIN(MATCH(MAX(4,DATOS!$C$72),TABLAS!$B$52:$B$58,0)+0,7)),1)),2))&lt;=MIN(DATOS!$C$73,INT(((DATOS!$C$83-2*AL14)+MAX(DATOS!$C$70,INDEX(TABLAS!$C$52:$C$58,MIN(MATCH(MAX(4,DATOS!$C$72),TABLAS!$B$52:$B$58,0)+0,7))))/(INDEX(TABLAS!$C$52:$C$58,MIN(MATCH(MAX(4,DATOS!$C$72),TABLAS!$B$52:$B$58,0)+0,7))+MAX(DATOS!$C$70,INDEX(TABLAS!$C$52:$C$58,MIN(MATCH(MAX(4,DATOS!$C$72),TABLAS!$B$52:$B$58,0)+0,7))))))),INDEX(TABLAS!$B$52:$B$58,MIN(MATCH(MAX(4,DATOS!$C$72),TABLAS!$B$52:$B$58,0)+0,7)),IF(AND(CK14&gt;=0,IF(MAX(DATOS!$C$74,CEILING(CK14/INDEX(TABLAS!$D$52:$D$58,MIN(MATCH(MAX(4,DATOS!$C$72),TABLAS!$B$52:$B$58,0)+1,7)),1))*INDEX(TABLAS!$D$52:$D$58,MIN(MATCH(MAX(4,DATOS!$C$72),TABLAS!$B$52:$B$58,0)+1,7)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+1,7)),1)),MAX(MAX(DATOS!$C$74,CEILING(CK14/INDEX(TABLAS!$D$52:$D$58,MIN(MATCH(MAX(4,DATOS!$C$72),TABLAS!$B$52:$B$58,0)+1,7)),1)),2))&lt;=MIN(DATOS!$C$73,INT(((DATOS!$C$83-2*AL14)+MAX(DATOS!$C$70,INDEX(TABLAS!$C$52:$C$58,MIN(MATCH(MAX(4,DATOS!$C$72),TABLAS!$B$52:$B$58,0)+1,7))))/(INDEX(TABLAS!$C$52:$C$58,MIN(MATCH(MAX(4,DATOS!$C$72),TABLAS!$B$52:$B$58,0)+1,7))+MAX(DATOS!$C$70,INDEX(TABLAS!$C$52:$C$58,MIN(MATCH(MAX(4,DATOS!$C$72),TABLAS!$B$52:$B$58,0)+1,7))))))),INDEX(TABLAS!$B$52:$B$58,MIN(MATCH(MAX(4,DATOS!$C$72),TABLAS!$B$52:$B$58,0)+1,7)),IF(AND(CK14&gt;=0,IF(MAX(DATOS!$C$74,CEILING(CK14/INDEX(TABLAS!$D$52:$D$58,MIN(MATCH(MAX(4,DATOS!$C$72),TABLAS!$B$52:$B$58,0)+2,7)),1))*INDEX(TABLAS!$D$52:$D$58,MIN(MATCH(MAX(4,DATOS!$C$72),TABLAS!$B$52:$B$58,0)+2,7)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+2,7)),1)),MAX(MAX(DATOS!$C$74,CEILING(CK14/INDEX(TABLAS!$D$52:$D$58,MIN(MATCH(MAX(4,DATOS!$C$72),TABLAS!$B$52:$B$58,0)+2,7)),1)),2))&lt;=MIN(DATOS!$C$73,INT(((DATOS!$C$83-2*AL14)+MAX(DATOS!$C$70,INDEX(TABLAS!$C$52:$C$58,MIN(MATCH(MAX(4,DATOS!$C$72),TABLAS!$B$52:$B$58,0)+2,7))))/(INDEX(TABLAS!$C$52:$C$58,MIN(MATCH(MAX(4,DATOS!$C$72),TABLAS!$B$52:$B$58,0)+2,7))+MAX(DATOS!$C$70,INDEX(TABLAS!$C$52:$C$58,MIN(MATCH(MAX(4,DATOS!$C$72),TABLAS!$B$52:$B$58,0)+2,7))))))),INDEX(TABLAS!$B$52:$B$58,MIN(MATCH(MAX(4,DATOS!$C$72),TABLAS!$B$52:$B$58,0)+2,7)),IF(AND(CK14&gt;=0,IF(MAX(DATOS!$C$74,CEILING(CK14/INDEX(TABLAS!$D$52:$D$58,MIN(MATCH(MAX(4,DATOS!$C$72),TABLAS!$B$52:$B$58,0)+3,7)),1))*INDEX(TABLAS!$D$52:$D$58,MIN(MATCH(MAX(4,DATOS!$C$72),TABLAS!$B$52:$B$58,0)+3,7)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+3,7)),1)),MAX(MAX(DATOS!$C$74,CEILING(CK14/INDEX(TABLAS!$D$52:$D$58,MIN(MATCH(MAX(4,DATOS!$C$72),TABLAS!$B$52:$B$58,0)+3,7)),1)),2))&lt;=MIN(DATOS!$C$73,INT(((DATOS!$C$83-2*AL14)+MAX(DATOS!$C$70,INDEX(TABLAS!$C$52:$C$58,MIN(MATCH(MAX(4,DATOS!$C$72),TABLAS!$B$52:$B$58,0)+3,7))))/(INDEX(TABLAS!$C$52:$C$58,MIN(MATCH(MAX(4,DATOS!$C$72),TABLAS!$B$52:$B$58,0)+3,7))+MAX(DATOS!$C$70,INDEX(TABLAS!$C$52:$C$58,MIN(MATCH(MAX(4,DATOS!$C$72),TABLAS!$B$52:$B$58,0)+3,7))))))),INDEX(TABLAS!$B$52:$B$58,MIN(MATCH(MAX(4,DATOS!$C$72),TABLAS!$B$52:$B$58,0)+3,7)),IF(AND(CK14&gt;=0,IF(MAX(DATOS!$C$74,CEILING(CK14/INDEX(TABLAS!$D$52:$D$58,MIN(MATCH(MAX(4,DATOS!$C$72),TABLAS!$B$52:$B$58,0)+4,7)),1))*INDEX(TABLAS!$D$52:$D$58,MIN(MATCH(MAX(4,DATOS!$C$72),TABLAS!$B$52:$B$58,0)+4,7)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+4,7)),1)),MAX(MAX(DATOS!$C$74,CEILING(CK14/INDEX(TABLAS!$D$52:$D$58,MIN(MATCH(MAX(4,DATOS!$C$72),TABLAS!$B$52:$B$58,0)+4,7)),1)),2))&lt;=MIN(DATOS!$C$73,INT(((DATOS!$C$83-2*AL14)+MAX(DATOS!$C$70,INDEX(TABLAS!$C$52:$C$58,MIN(MATCH(MAX(4,DATOS!$C$72),TABLAS!$B$52:$B$58,0)+4,7))))/(INDEX(TABLAS!$C$52:$C$58,MIN(MATCH(MAX(4,DATOS!$C$72),TABLAS!$B$52:$B$58,0)+4,7))+MAX(DATOS!$C$70,INDEX(TABLAS!$C$52:$C$58,MIN(MATCH(MAX(4,DATOS!$C$72),TABLAS!$B$52:$B$58,0)+4,7))))))),INDEX(TABLAS!$B$52:$B$58,MIN(MATCH(MAX(4,DATOS!$C$72),TABLAS!$B$52:$B$58,0)+4,7)),INDEX(TABLAS!$B$52:$B$58,7)))))))</f>
        <v/>
      </c>
      <c r="CM14" s="59" t="str">
        <f>IF(V14&lt;&gt;"SÍ","",IF(CK14&lt;0,0,IF(MAX(DATOS!$C$74,CEILING(MAX(CK14,0)/INDEX(TABLAS!$D$52:$D$58,MATCH(CL14,TABLAS!$B$52:$B$58,0)),1))*INDEX(TABLAS!$D$52:$D$58,MATCH(CL14,TABLAS!$B$52:$B$58,0))&gt;=4/3*IF(BJ14&lt;=0,0,IF((1-2*BJ14*1E5/(DATOS!$C$29*AG14*CJ14^2*DATOS!$C$21))&lt;0,-1,IF((1-SQRT((1-2*BJ14*1E5/(DATOS!$C$29*AG14*CJ14^2*DATOS!$C$21))))*DATOS!$C$21*AG14*CJ14/DATOS!$C$14&gt;DATOS!$C$102*AG14*CJ14,-1,(1-SQRT((1-2*BJ14*1E5/(DATOS!$C$29*AG14*CJ14^2*DATOS!$C$21))))*DATOS!$C$21*AG14*CJ14/DATOS!$C$14)))-0.0001,MAX(DATOS!$C$74,CEILING(MAX(CK14,0)/INDEX(TABLAS!$D$52:$D$58,MATCH(CL14,TABLAS!$B$52:$B$58,0)),1)),MAX(MAX(DATOS!$C$74,CEILING(MAX(CK14,0)/INDEX(TABLAS!$D$52:$D$58,MATCH(CL14,TABLAS!$B$52:$B$58,0)),1)),2))))</f>
        <v/>
      </c>
      <c r="CN14" s="58" t="str">
        <f>IF(V14&lt;&gt;"SÍ","",((DATOS!$C$85-AM14-2*DATOS!$C$97-INDEX(TABLAS!$C$52:$C$58,MATCH(BV14,TABLAS!$B$52:$B$58,0))-INDEX(TABLAS!$C$52:$C$58,MATCH(CL14,TABLAS!$B$52:$B$58,0))/2)-IF(AND((DATOS!$C$85-AM14-2*DATOS!$C$97-INDEX(TABLAS!$C$52:$C$58,MATCH(BV14,TABLAS!$B$52:$B$58,0))-INDEX(TABLAS!$C$52:$C$58,MATCH(CL14,TABLAS!$B$52:$B$58,0))/2)&lt;=20,DATOS!$C$65&lt;&gt;"SÍ"),2,0)))</f>
        <v/>
      </c>
      <c r="CO14" s="56" t="str">
        <f>IF(V14&lt;&gt;"SÍ","",IF(CM14=0,0,DATOS!$C$29*CM14*INDEX(TABLAS!$D$52:$D$58,MATCH(CL14,TABLAS!$B$52:$B$58,0))*DATOS!$C$14*(CN14-CM14*INDEX(TABLAS!$D$52:$D$58,MATCH(CL14,TABLAS!$B$52:$B$58,0))*DATOS!$C$14/(DATOS!$C$21*AG14)/2)/1E5))</f>
        <v/>
      </c>
      <c r="CP14" s="65" t="str">
        <f>IF(V14&lt;&gt;"SÍ","",IF(CK14&lt;0,9.99,IF(CO14&gt;0,BJ14/CO14,0)))</f>
        <v/>
      </c>
      <c r="CQ14" s="66" t="str">
        <f>IF(V14&lt;&gt;"SÍ","",IF(CM14=0,"—",0.003*(CN14-(CM14*INDEX(TABLAS!$D$52:$D$58,MATCH(CL14,TABLAS!$B$52:$B$58,0))*DATOS!$C$14/(DATOS!$C$21*AG14)/DATOS!$C$22))/(CM14*INDEX(TABLAS!$D$52:$D$58,MATCH(CL14,TABLAS!$B$52:$B$58,0))*DATOS!$C$14/(DATOS!$C$21*AG14)/DATOS!$C$22)))</f>
        <v/>
      </c>
      <c r="CR14" s="56" t="str">
        <f>IF(V14&lt;&gt;"SÍ","",IF(C14="PERIMETRAL",MAX(0,(AB14/2-BX14)/100)*(0.95-0.5*AA14)*AR14*IF(AND(AS14&gt;0,AS14&lt;4),DATOS!$C$33,1)*DATOS!$C$86/100/1000,(AR14*MAX(0,AB14-BX14)/100+DATOS!$C$26*N(O14))*DATOS!$C$86/100/1000+BF14))</f>
        <v/>
      </c>
      <c r="CS14" s="56" t="str">
        <f>IF(V14&lt;&gt;"SÍ","",DATOS!$C$30*2*MIN(1,SQRT(2/(1+0.04*BX14)))*(BW14*INDEX(TABLAS!$D$52:$D$58,MATCH(BV14,TABLAS!$B$52:$B$58,0))/(AF14*BX14))^(1/3)*SQRT(DATOS!$C$13)*AF14*BX14*IF(AJ14="SÍ",DATOS!$C$32,1)/1000)</f>
        <v/>
      </c>
      <c r="CT14" s="59" t="str">
        <f>IF(V14&lt;&gt;"SÍ","",IF(CR14&lt;=CS14,0,CEILING(MAX(0,IF(C14="VOLADO",(AB14-((CS14-BF14)*1E5/DATOS!$C$86-DATOS!$C$26*N(O14))*100/AR14),IF(CS14&lt;=0,AB14,AB14/2-CS14/MAX(CR14,1E-9)*(AB14/2-BX14)))-IF(X14="X",MIN(DJ14,DK14),MIN(DL14,DM14)))/DATOS!$C$86,1)))</f>
        <v/>
      </c>
      <c r="CU14" s="67" t="str">
        <f>IF(V14&lt;&gt;"SÍ","",IF(CR14&lt;=CS14,"CUMPLE",IF(CT14&lt;=0,"CUMPLE (basta el macizo de orilla)",IF(CT14*DATOS!$C$86*IF(C14="VOLADO",1,2)&gt;=Y14*100-DATOS!$C$87,"NO CUMPLE: no alcanza ni macizando todo","MACIZAR "&amp;CT14&amp;" hilera(s)"))))</f>
        <v/>
      </c>
      <c r="CV14" s="58" t="str">
        <f>IF(V14&lt;&gt;"SÍ","",(DATOS!$C$86*DATOS!$C$84^2/2+MIN(DATOS!$C$83,AD14)*DATOS!$C$82*(DATOS!$C$84+DATOS!$C$82/2))/(DATOS!$C$86*DATOS!$C$84+MIN(DATOS!$C$83,AD14)*DATOS!$C$82))</f>
        <v/>
      </c>
      <c r="CW14" s="68" t="str">
        <f>IF(V14&lt;&gt;"SÍ","",DATOS!$C$86*DATOS!$C$84^3/12+DATOS!$C$86*DATOS!$C$84*(CV14-DATOS!$C$84/2)^2+MIN(DATOS!$C$83,AD14)*DATOS!$C$82^3/12+MIN(DATOS!$C$83,AD14)*DATOS!$C$82*(DATOS!$C$84+DATOS!$C$82/2-CV14)^2)</f>
        <v/>
      </c>
      <c r="CX14" s="58" t="str">
        <f>IF(V14&lt;&gt;"SÍ","",(12*CW14/DATOS!$C$86)^(1/3))</f>
        <v/>
      </c>
      <c r="CY14" s="58" t="str">
        <f>IF(V14&lt;&gt;"SÍ","",IF(C14="PERIMETRAL",IF(ISNUMBER(S14),S14,DATOS!$C$104),0))</f>
        <v/>
      </c>
      <c r="CZ14" s="57" t="str">
        <f>IF(V14&lt;&gt;"SÍ","",IF(C14="PERIMETRAL",IF(CY14&gt;2,MAX(9,AC14*(0.8+DATOS!$C$14/14000)/(36+9*(AC14/MAX(AB14,1)))),IF(CY14&gt;0.2,MAX(13,AC14*(0.8+DATOS!$C$14/14000)/(36+5*(AC14/MAX(AB14,1))*(CY14-0.2))),MAX(13,AC14/IF(AS14&gt;0,30,33))))*IF(AND(CY14&gt;0.2,AS14&gt;0,DATOS!$C$105="NO"),1.1,1),MAX(25,Y14*100/8*(0.4+DATOS!$C$14/7000))))</f>
        <v/>
      </c>
      <c r="DA14" s="61" t="str">
        <f>IF(V14&lt;&gt;"SÍ","",IF(IF(C14="VOLADO",DATOS!$C$85,CX14)&gt;=CZ14,"CUMPLE",IF(C14="VOLADO","NO CUMPLE","CALCULAR FLECHA")))</f>
        <v/>
      </c>
      <c r="DB14" s="55" t="str">
        <f>IF(V14&lt;&gt;"SÍ","",IF(DATOS!$C$84&gt;=IF(IF(C14="VOLADO",Y14,Z14)&gt;=6,6,5),"CUMPLE","CAPA ≥ 6 cm"))</f>
        <v/>
      </c>
      <c r="DC14" s="60" t="str">
        <f>IF(V14&lt;&gt;"SÍ","",IF(C14="VOLADO",MIN(FLOOR(IF(ISNUMBER(P14),P14,Y14)*100-DATOS!$C$63,5),CEILING(MAX(IF((0.5*(0.9*DATOS!$C$90*DATOS!$C$86/100/1000)*IF(ISNUMBER(P14),P14,Y14)+BH14/IF(ISNUMBER(P14),P14,Y14))^2-4*(0.5*(0.9*DATOS!$C$90*DATOS!$C$86/100/1000))*BH14&lt;0,IF(ISNUMBER(P14),P14,Y14),MIN(IF(ISNUMBER(P14),P14,Y14),((0.5*(0.9*DATOS!$C$90*DATOS!$C$86/100/1000)*IF(ISNUMBER(P14),P14,Y14)+BH14/IF(ISNUMBER(P14),P14,Y14))-SQRT((0.5*(0.9*DATOS!$C$90*DATOS!$C$86/100/1000)*IF(ISNUMBER(P14),P14,Y14)+BH14/IF(ISNUMBER(P14),P14,Y14))^2-4*(0.5*(0.9*DATOS!$C$90*DATOS!$C$86/100/1000))*BH14))/(2*(0.5*(0.9*DATOS!$C$90*DATOS!$C$86/100/1000)))))*100+MAX(BX14,12*INDEX(TABLAS!$C$52:$C$58,MATCH(BV14,TABLAS!$B$52:$B$58,0)),IF(ISNUMBER(P14),P14,Y14)*100/16),IF(OR(AL14&lt;INDEX(TABLAS!$C$52:$C$58,MATCH(BV14,TABLAS!$B$52:$B$58,0)),AND(BW14&gt;=2,(AD14-2*AL14-BW14*INDEX(TABLAS!$C$52:$C$58,MATCH(BV14,TABLAS!$B$52:$B$58,0)))/MAX(BW14-1,1)&lt;2*INDEX(TABLAS!$C$52:$C$58,MATCH(BV14,TABLAS!$B$52:$B$58,0)))),INDEX(TABLAS!$I$52:$I$58,MATCH(BV14,TABLAS!$B$52:$B$58,0)),INDEX(TABLAS!$F$52:$F$58,MATCH(BV14,TABLAS!$B$52:$B$58,0)))),5)),IF(((4*((BC14*AR14*Y14^2*1E-4*DATOS!$C$86/100/1000)+((MAX(AY14,BA14)*AR14*Y14^2*1E-4*DATOS!$C$86/100/1000)+(IF(AND(AY14&gt;0,BA14&gt;0),MIN(AY14,BA14),MAX(AY14,BA14))*AR14*Y14^2*1E-4*DATOS!$C$86/100/1000))/2)+BH14-(IF(AND(AY14&gt;0,BA14&gt;0),MIN(AY14,BA14),MAX(AY14,BA14))*AR14*Y14^2*1E-4*DATOS!$C$86/100/1000))^2-16*((BC14*AR14*Y14^2*1E-4*DATOS!$C$86/100/1000)+((MAX(AY14,BA14)*AR14*Y14^2*1E-4*DATOS!$C$86/100/1000)+(IF(AND(AY14&gt;0,BA14&gt;0),MIN(AY14,BA14),MAX(AY14,BA14))*AR14*Y14^2*1E-4*DATOS!$C$86/100/1000))/2)*BH14)&lt;0,CEILING(AB14,5),CEILING(MAX(AB14*((4*((BC14*AR14*Y14^2*1E-4*DATOS!$C$86/100/1000)+((MAX(AY14,BA14)*AR14*Y14^2*1E-4*DATOS!$C$86/100/1000)+(IF(AND(AY14&gt;0,BA14&gt;0),MIN(AY14,BA14),MAX(AY14,BA14))*AR14*Y14^2*1E-4*DATOS!$C$86/100/1000))/2)+BH14-(IF(AND(AY14&gt;0,BA14&gt;0),MIN(AY14,BA14),MAX(AY14,BA14))*AR14*Y14^2*1E-4*DATOS!$C$86/100/1000))-SQRT(MAX(0,((4*((BC14*AR14*Y14^2*1E-4*DATOS!$C$86/100/1000)+((MAX(AY14,BA14)*AR14*Y14^2*1E-4*DATOS!$C$86/100/1000)+(IF(AND(AY14&gt;0,BA14&gt;0),MIN(AY14,BA14),MAX(AY14,BA14))*AR14*Y14^2*1E-4*DATOS!$C$86/100/1000))/2)+BH14-(IF(AND(AY14&gt;0,BA14&gt;0),MIN(AY14,BA14),MAX(AY14,BA14))*AR14*Y14^2*1E-4*DATOS!$C$86/100/1000))^2-16*((BC14*AR14*Y14^2*1E-4*DATOS!$C$86/100/1000)+((MAX(AY14,BA14)*AR14*Y14^2*1E-4*DATOS!$C$86/100/1000)+(IF(AND(AY14&gt;0,BA14&gt;0),MIN(AY14,BA14),MAX(AY14,BA14))*AR14*Y14^2*1E-4*DATOS!$C$86/100/1000))/2)*BH14))))/(8*MAX(((BC14*AR14*Y14^2*1E-4*DATOS!$C$86/100/1000)+((MAX(AY14,BA14)*AR14*Y14^2*1E-4*DATOS!$C$86/100/1000)+(IF(AND(AY14&gt;0,BA14&gt;0),MIN(AY14,BA14),MAX(AY14,BA14))*AR14*Y14^2*1E-4*DATOS!$C$86/100/1000))/2),1E-9))+MAX(BX14,12*INDEX(TABLAS!$C$52:$C$58,MATCH(BV14,TABLAS!$B$52:$B$58,0)),AB14/16),IF(OR(AL14&lt;INDEX(TABLAS!$C$52:$C$58,MATCH(BV14,TABLAS!$B$52:$B$58,0)),AND(BW14&gt;=2,(AD14-2*AL14-BW14*INDEX(TABLAS!$C$52:$C$58,MATCH(BV14,TABLAS!$B$52:$B$58,0)))/MAX(BW14-1,1)&lt;2*INDEX(TABLAS!$C$52:$C$58,MATCH(BV14,TABLAS!$B$52:$B$58,0)))),INDEX(TABLAS!$I$52:$I$58,MATCH(BV14,TABLAS!$B$52:$B$58,0)),INDEX(TABLAS!$F$52:$F$58,MATCH(BV14,TABLAS!$B$52:$B$58,0)))),5))))</f>
        <v/>
      </c>
      <c r="DD14" s="60" t="str">
        <f>IF(V14&lt;&gt;"SÍ","",IF(C14="VOLADO",0,IF(((4*((BD14*AR14*Y14^2*1E-4*DATOS!$C$86/100/1000)+((MAX(AZ14,BB14)*AR14*Y14^2*1E-4*DATOS!$C$86/100/1000)+(IF(AND(AZ14&gt;0,BB14&gt;0),MIN(AZ14,BB14),MAX(AZ14,BB14))*AR14*Y14^2*1E-4*DATOS!$C$86/100/1000))/2)+BJ14-(IF(AND(AZ14&gt;0,BB14&gt;0),MIN(AZ14,BB14),MAX(AZ14,BB14))*AR14*Y14^2*1E-4*DATOS!$C$86/100/1000))^2-16*((BD14*AR14*Y14^2*1E-4*DATOS!$C$86/100/1000)+((MAX(AZ14,BB14)*AR14*Y14^2*1E-4*DATOS!$C$86/100/1000)+(IF(AND(AZ14&gt;0,BB14&gt;0),MIN(AZ14,BB14),MAX(AZ14,BB14))*AR14*Y14^2*1E-4*DATOS!$C$86/100/1000))/2)*BJ14)&lt;0,CEILING(AC14,5),CEILING(MAX(AC14*((4*((BD14*AR14*Y14^2*1E-4*DATOS!$C$86/100/1000)+((MAX(AZ14,BB14)*AR14*Y14^2*1E-4*DATOS!$C$86/100/1000)+(IF(AND(AZ14&gt;0,BB14&gt;0),MIN(AZ14,BB14),MAX(AZ14,BB14))*AR14*Y14^2*1E-4*DATOS!$C$86/100/1000))/2)+BJ14-(IF(AND(AZ14&gt;0,BB14&gt;0),MIN(AZ14,BB14),MAX(AZ14,BB14))*AR14*Y14^2*1E-4*DATOS!$C$86/100/1000))-SQRT(MAX(0,((4*((BD14*AR14*Y14^2*1E-4*DATOS!$C$86/100/1000)+((MAX(AZ14,BB14)*AR14*Y14^2*1E-4*DATOS!$C$86/100/1000)+(IF(AND(AZ14&gt;0,BB14&gt;0),MIN(AZ14,BB14),MAX(AZ14,BB14))*AR14*Y14^2*1E-4*DATOS!$C$86/100/1000))/2)+BJ14-(IF(AND(AZ14&gt;0,BB14&gt;0),MIN(AZ14,BB14),MAX(AZ14,BB14))*AR14*Y14^2*1E-4*DATOS!$C$86/100/1000))^2-16*((BD14*AR14*Y14^2*1E-4*DATOS!$C$86/100/1000)+((MAX(AZ14,BB14)*AR14*Y14^2*1E-4*DATOS!$C$86/100/1000)+(IF(AND(AZ14&gt;0,BB14&gt;0),MIN(AZ14,BB14),MAX(AZ14,BB14))*AR14*Y14^2*1E-4*DATOS!$C$86/100/1000))/2)*BJ14))))/(8*MAX(((BD14*AR14*Y14^2*1E-4*DATOS!$C$86/100/1000)+((MAX(AZ14,BB14)*AR14*Y14^2*1E-4*DATOS!$C$86/100/1000)+(IF(AND(AZ14&gt;0,BB14&gt;0),MIN(AZ14,BB14),MAX(AZ14,BB14))*AR14*Y14^2*1E-4*DATOS!$C$86/100/1000))/2),1E-9))+MAX(CN14,12*INDEX(TABLAS!$C$52:$C$58,MATCH(CL14,TABLAS!$B$52:$B$58,0)),AC14/16),IF(OR(AL14&lt;INDEX(TABLAS!$C$52:$C$58,MATCH(CL14,TABLAS!$B$52:$B$58,0)),AND(CM14&gt;=2,(DATOS!$C$83-2*AL14-CM14*INDEX(TABLAS!$C$52:$C$58,MATCH(CL14,TABLAS!$B$52:$B$58,0)))/MAX(CM14-1,1)&lt;2*INDEX(TABLAS!$C$52:$C$58,MATCH(CL14,TABLAS!$B$52:$B$58,0)))),INDEX(TABLAS!$I$52:$I$58,MATCH(CL14,TABLAS!$B$52:$B$58,0)),INDEX(TABLAS!$F$52:$F$58,MATCH(CL14,TABLAS!$B$52:$B$58,0)))),5))))</f>
        <v/>
      </c>
      <c r="DE14" s="55" t="str">
        <f>IF(V14&lt;&gt;"SÍ","",IF(AND(C14="PERIMETRAL",BW14&gt;=2,AS14-AT14&gt;0,BA14*AR14*Y14^2*1E-4*DATOS!$C$86/100/1000&gt;DATOS!$C$29*INDEX(TABLAS!$D$52:$D$58,MATCH(BV14,TABLAS!$B$52:$B$58,0))*DATOS!$C$14*(BX14-INDEX(TABLAS!$D$52:$D$58,MATCH(BV14,TABLAS!$B$52:$B$58,0))*DATOS!$C$14/(DATOS!$C$21*AF14)/2)/1E5),"SÍ","NO"))</f>
        <v/>
      </c>
      <c r="DF14" s="55" t="str">
        <f>IF(V14&lt;&gt;"SÍ","",IF(AND(C14="PERIMETRAL",CM14&gt;=2,AT14&gt;0,BB14*AR14*Y14^2*1E-4*DATOS!$C$86/100/1000&gt;DATOS!$C$29*INDEX(TABLAS!$D$52:$D$58,MATCH(CL14,TABLAS!$B$52:$B$58,0))*DATOS!$C$14*(CN14-INDEX(TABLAS!$D$52:$D$58,MATCH(CL14,TABLAS!$B$52:$B$58,0))*DATOS!$C$14/(DATOS!$C$21*AG14)/2)/1E5),"SÍ","NO"))</f>
        <v/>
      </c>
      <c r="DG14" s="63" t="str">
        <f>IF(V14&lt;&gt;"SÍ","",IF(OR(C14="VOLADO",AS14=0),"—",IF(AND(AND(1.25*INDEX(TABLAS!$G$52:$G$58,MATCH(MAX(BN14,CD14),TABLAS!$B$52:$B$58,0))&lt;=(DATOS!$C$75-DATOS!$C$63),(DATOS!$C$75-DATOS!$C$63)&gt;=15,INDEX(TABLAS!$G$52:$G$58,MATCH(MAX(BV14,CL14),TABLAS!$B$52:$B$58,0))&lt;=(DATOS!$C$75-DATOS!$C$63)),8*INDEX(TABLAS!$C$52:$C$58,MATCH(MAX(MAX(BN14,CD14),MAX(BV14,CL14)),TABLAS!$B$52:$B$58,0))&lt;=DATOS!$C$76-2*DATOS!$C$63),"CUMPLE (gancho de 180°)",IF(AND(1.25*INDEX(TABLAS!$G$52:$G$58,MATCH(MAX(BN14,CD14),TABLAS!$B$52:$B$58,0))&lt;=(DATOS!$C$75-DATOS!$C$63),(DATOS!$C$75-DATOS!$C$63)&gt;=15,INDEX(TABLAS!$G$52:$G$58,MATCH(MAX(BV14,CL14),TABLAS!$B$52:$B$58,0))&lt;=(DATOS!$C$75-DATOS!$C$63)),"NO CUMPLE: el gancho de 180° (8·d_b) no cabe en el peralte de la dala de borde","NO CUMPLE: dala de borde ≥ "&amp;TEXT(CEILING(MAX(1.25*INDEX(TABLAS!$G$52:$G$58,MATCH(MAX(BN14,CD14),TABLAS!$B$52:$B$58,0)),15,INDEX(TABLAS!$G$52:$G$58,MATCH(MAX(BV14,CL14),TABLAS!$B$52:$B$58,0)))+DATOS!$C$63,5),"0")&amp;" cm de ancho"&amp;IF(8*INDEX(TABLAS!$C$52:$C$58,MATCH(MAX(MAX(BN14,CD14),MAX(BV14,CL14)),TABLAS!$B$52:$B$58,0))&lt;=DATOS!$C$76-2*DATOS!$C$63,""," y más peralte para el gancho")))))</f>
        <v/>
      </c>
      <c r="DH14" s="59" t="str">
        <f>IF(V14&lt;&gt;"SÍ","",MAX(0,INT((E14*100-DATOS!$C$87-IF(AND(C14="PERIMETRAL",I14="DISCONTINUO"),MAX(0,DATOS!$C$75-DATOS!$C$87),0)-IF(AND(C14="PERIMETRAL",J14="DISCONTINUO"),MAX(0,DATOS!$C$75-DATOS!$C$87),0)+DATOS!$C$86-IF(X14="X",DATOS!$C$81,AE14))/DATOS!$C$86)))</f>
        <v/>
      </c>
      <c r="DI14" s="59" t="str">
        <f>IF(V14&lt;&gt;"SÍ","",MAX(0,INT((F14*100-DATOS!$C$87-IF(AND(C14="PERIMETRAL",G14="DISCONTINUO"),MAX(0,DATOS!$C$75-DATOS!$C$87),0)-IF(AND(C14="PERIMETRAL",H14="DISCONTINUO"),MAX(0,DATOS!$C$75-DATOS!$C$87),0)+DATOS!$C$86-IF(X14="Y",DATOS!$C$81,AE14))/DATOS!$C$86)))</f>
        <v/>
      </c>
      <c r="DJ14" s="57" t="str">
        <f>IF(V14&lt;&gt;"SÍ","",IF(DH14&gt;0,IF(AND(C14="PERIMETRAL",I14="DISCONTINUO"),MAX(0,DATOS!$C$75-DATOS!$C$87),0)+(E14*100-DATOS!$C$87-IF(AND(C14="PERIMETRAL",I14="DISCONTINUO"),MAX(0,DATOS!$C$75-DATOS!$C$87),0)-IF(AND(C14="PERIMETRAL",J14="DISCONTINUO"),MAX(0,DATOS!$C$75-DATOS!$C$87),0)-(DH14*IF(X14="X",DATOS!$C$81,AE14)+(DH14-1)*(DATOS!$C$86-IF(X14="X",DATOS!$C$81,AE14))))/2,E14*100/2))</f>
        <v/>
      </c>
      <c r="DK14" s="57" t="str">
        <f>IF(V14&lt;&gt;"SÍ","",IF(DH14&gt;0,IF(AND(C14="PERIMETRAL",J14="DISCONTINUO"),MAX(0,DATOS!$C$75-DATOS!$C$87),0)+(E14*100-DATOS!$C$87-IF(AND(C14="PERIMETRAL",I14="DISCONTINUO"),MAX(0,DATOS!$C$75-DATOS!$C$87),0)-IF(AND(C14="PERIMETRAL",J14="DISCONTINUO"),MAX(0,DATOS!$C$75-DATOS!$C$87),0)-(DH14*IF(X14="X",DATOS!$C$81,AE14)+(DH14-1)*(DATOS!$C$86-IF(X14="X",DATOS!$C$81,AE14))))/2,E14*100/2))</f>
        <v/>
      </c>
      <c r="DL14" s="57" t="str">
        <f>IF(V14&lt;&gt;"SÍ","",IF(DI14&gt;0,IF(AND(C14="PERIMETRAL",G14="DISCONTINUO"),MAX(0,DATOS!$C$75-DATOS!$C$87),0)+(F14*100-DATOS!$C$87-IF(AND(C14="PERIMETRAL",G14="DISCONTINUO"),MAX(0,DATOS!$C$75-DATOS!$C$87),0)-IF(AND(C14="PERIMETRAL",H14="DISCONTINUO"),MAX(0,DATOS!$C$75-DATOS!$C$87),0)-(DI14*IF(X14="Y",DATOS!$C$81,AE14)+(DI14-1)*(DATOS!$C$86-IF(X14="Y",DATOS!$C$81,AE14))))/2,F14*100/2))</f>
        <v/>
      </c>
      <c r="DM14" s="57" t="str">
        <f>IF(V14&lt;&gt;"SÍ","",IF(DI14&gt;0,IF(AND(C14="PERIMETRAL",H14="DISCONTINUO"),MAX(0,DATOS!$C$75-DATOS!$C$87),0)+(F14*100-DATOS!$C$87-IF(AND(C14="PERIMETRAL",G14="DISCONTINUO"),MAX(0,DATOS!$C$75-DATOS!$C$87),0)-IF(AND(C14="PERIMETRAL",H14="DISCONTINUO"),MAX(0,DATOS!$C$75-DATOS!$C$87),0)-(DI14*IF(X14="Y",DATOS!$C$81,AE14)+(DI14-1)*(DATOS!$C$86-IF(X14="Y",DATOS!$C$81,AE14))))/2,F14*100/2))</f>
        <v/>
      </c>
      <c r="DN14" s="59" t="str">
        <f>IF(V14&lt;&gt;"SÍ","",IF(NOT(AND(C14="VOLADO",AD14&gt;DATOS!$C$83)),0,IF(INDEX(TABLAS!$C$52:$C$58,MATCH(BV14,TABLAS!$B$52:$B$58,0))&lt;=DATOS!$C$83-2*DATOS!$C$63,1,0)))</f>
        <v/>
      </c>
      <c r="DO14" s="58" t="str">
        <f>IF(V14&lt;&gt;"SÍ","",IF(NOT(AND(C14="VOLADO",AD14&gt;DATOS!$C$83)),0,((DATOS!$C$85-MAX(DATOS!$C$63,(DATOS!$C$84-2*DATOS!$C$97)/2)-2*DATOS!$C$97-INDEX(TABLAS!$C$52:$C$58,MATCH(MAX(4,DATOS!$C$72),TABLAS!$B$52:$B$58,0))-INDEX(TABLAS!$C$52:$C$58,MATCH(BV14,TABLAS!$B$52:$B$58,0))/2)-IF(AND((DATOS!$C$85-MAX(DATOS!$C$63,(DATOS!$C$84-2*DATOS!$C$97)/2)-2*DATOS!$C$97-INDEX(TABLAS!$C$52:$C$58,MATCH(MAX(4,DATOS!$C$72),TABLAS!$B$52:$B$58,0))-INDEX(TABLAS!$C$52:$C$58,MATCH(BV14,TABLAS!$B$52:$B$58,0))/2)&lt;=20,DATOS!$C$65&lt;&gt;"SÍ"),2,0))))</f>
        <v/>
      </c>
      <c r="DP14" s="56" t="str">
        <f>IF(V14&lt;&gt;"SÍ","",IF(OR(NOT(AND(C14="VOLADO",AD14&gt;DATOS!$C$83)),DN14&lt;1),0,IF(0.003*(DO14-((DN14*INDEX(TABLAS!$D$52:$D$58,MATCH(BV14,TABLAS!$B$52:$B$58,0)))*DATOS!$C$14/(DATOS!$C$21*AG14)/DATOS!$C$22))/((DN14*INDEX(TABLAS!$D$52:$D$58,MATCH(BV14,TABLAS!$B$52:$B$58,0)))*DATOS!$C$14/(DATOS!$C$21*AG14)/DATOS!$C$22)&lt;0.005,0,DATOS!$C$29*(DN14*INDEX(TABLAS!$D$52:$D$58,MATCH(BV14,TABLAS!$B$52:$B$58,0)))*DATOS!$C$14*(DO14-(DN14*INDEX(TABLAS!$D$52:$D$58,MATCH(BV14,TABLAS!$B$52:$B$58,0)))*DATOS!$C$14/(DATOS!$C$21*AG14)/2)/1E5)))</f>
        <v/>
      </c>
      <c r="DQ14" s="56" t="str">
        <f>IF(V14&lt;&gt;"SÍ","",IF(OR(NOT(AND(C14="VOLADO",AD14&gt;DATOS!$C$83)),DN14&lt;1),0,DATOS!$C$30*2*MIN(1,SQRT(2/(1+0.04*DO14)))*((DN14*INDEX(TABLAS!$D$52:$D$58,MATCH(BV14,TABLAS!$B$52:$B$58,0)))/(AG14*DO14))^(1/3)*SQRT(DATOS!$C$13)*AG14*DO14/1000))</f>
        <v/>
      </c>
      <c r="DR14" s="56" t="str">
        <f>IF(V14&lt;&gt;"SÍ","",IF(NOT(AND(C14="VOLADO",AD14&gt;DATOS!$C$83)),0,IF((BH14-DP14)&lt;=0,0,IF(DP14&lt;=0,IF(ISNUMBER(P14),P14,Y14),IF(((0.9*DATOS!$C$90*DATOS!$C$86/100/1000)*IF(ISNUMBER(P14),P14,Y14)/2+BH14/IF(ISNUMBER(P14),P14,Y14))^2-4*((0.9*DATOS!$C$90*DATOS!$C$86/100/1000)/2)*(BH14-DP14)&lt;0,IF(ISNUMBER(P14),P14,Y14),MIN(IF(ISNUMBER(P14),P14,Y14),(((0.9*DATOS!$C$90*DATOS!$C$86/100/1000)*IF(ISNUMBER(P14),P14,Y14)/2+BH14/IF(ISNUMBER(P14),P14,Y14))-SQRT(((0.9*DATOS!$C$90*DATOS!$C$86/100/1000)*IF(ISNUMBER(P14),P14,Y14)/2+BH14/IF(ISNUMBER(P14),P14,Y14))^2-4*((0.9*DATOS!$C$90*DATOS!$C$86/100/1000)/2)*(BH14-DP14)))/(2*((0.9*DATOS!$C$90*DATOS!$C$86/100/1000)/2))))))))</f>
        <v/>
      </c>
      <c r="DS14" s="56" t="str">
        <f>IF(V14&lt;&gt;"SÍ","",IF(NOT(AND(C14="VOLADO",AD14&gt;DATOS!$C$83)),0,IF(DQ14&lt;=(BH14/((IF(ISNUMBER(P14),P14,Y14)*100-DATOS!$C$87)/100)),IF(ISNUMBER(P14),P14,Y14),MIN(IF(ISNUMBER(P14),P14,Y14),MAX(0,(IF(ISNUMBER(P14),P14,Y14)*100-DATOS!$C$87)/200-(DQ14-(BH14/((IF(ISNUMBER(P14),P14,Y14)*100-DATOS!$C$87)/100)))/((0.95-0.5*IF(N(Q14)&gt;0,MIN(IF(ISNUMBER(P14),P14,Y14),Q14)/MAX(IF(ISNUMBER(P14),P14,Y14),Q14),0))*DATOS!$C$33*AR14*DATOS!$C$86/100/1000))))))</f>
        <v/>
      </c>
      <c r="DT14" s="56" t="str">
        <f>IF(V14&lt;&gt;"SÍ","",IF(NOT(AND(C14="VOLADO",AD14&gt;DATOS!$C$83)),0,(BH14/((IF(ISNUMBER(P14),P14,Y14)*100-DATOS!$C$87)/100))+((0.95-0.5*IF(N(Q14)&gt;0,MIN(IF(ISNUMBER(P14),P14,Y14),Q14)/MAX(IF(ISNUMBER(P14),P14,Y14),Q14),0))*DATOS!$C$33*AR14*DATOS!$C$86/100/1000)*MAX(0,(IF(ISNUMBER(P14),P14,Y14)*100-DATOS!$C$87)/200-BX14/100)))</f>
        <v/>
      </c>
      <c r="DU14" s="59" t="str">
        <f>IF(V14&lt;&gt;"SÍ","",IF(NOT(AND(C14="VOLADO",AD14&gt;DATOS!$C$83)),0,MIN(FLOOR(100*IF(ISNUMBER(P14),P14,Y14)-DATOS!$C$63,5),CEILING(100*MIN(IF(ISNUMBER(P14),P14,Y14),MAX(IF(DR14&gt;0,DR14+IF(BW14&gt;=2,MAX(DO14,12*INDEX(TABLAS!$C$52:$C$58,MATCH(BV14,TABLAS!$B$52:$B$58,0)))/100,0),0),DS14,IF(BW14&gt;=2,INDEX(TABLAS!$F$52:$F$58,MATCH(BV14,TABLAS!$B$52:$B$58,0))/100,0))),5))))</f>
        <v/>
      </c>
      <c r="DV14" s="60" t="str">
        <f>IF(V14&lt;&gt;"SÍ","",IF(NOT(AND(C14="VOLADO",AD14&gt;DATOS!$C$83)),0,IF(DU14&lt;=0,0,CEILING(DU14/DATOS!$C$86,1))))</f>
        <v/>
      </c>
      <c r="DW14" s="61" t="str">
        <f>IF(V14&lt;&gt;"SÍ","",IF(C14&lt;&gt;"VOLADO","—",IF(AD14&lt;=DATOS!$C$83,"— (mismo b_w que el respaldo)",IF(DT14&gt;CS14,"NO CUMPLE: cortante de la nervadura ancha junto al apoyo ("&amp;TEXT(DT14,"0.00")&amp;" &gt; "&amp;TEXT(CS14,"0.00")&amp;" t)",IF(DU14&gt;=100*IF(ISNUMBER(P14),P14,Y14),"CUMPLE — todas las nervaduras del respaldo ‖ al volado con b_w = "&amp;AD14&amp;" cm","CUMPLE — "&amp;DV14&amp;" hilera(s) del respaldo con nervaduras de b_w = "&amp;AD14&amp;" cm (casetón "&amp;AE14&amp;" cm), hasta "&amp;TEXT(DU14/100,"0.00")&amp;" m del paño")))))</f>
        <v/>
      </c>
      <c r="DX14" s="69" t="str">
        <f>IF(V14&lt;&gt;"SÍ","",IF(BO14=0,"NO ALCANZA",BO14&amp;" No. "&amp;BN14&amp;IF(BO14&gt;1," corridas"," corrida")))</f>
        <v/>
      </c>
      <c r="DY14" s="69" t="str">
        <f>IF(V14&lt;&gt;"SÍ","",IF(BW14=0,"NO ALCANZA",IF(AND(C14="VOLADO",AD14&gt;DATOS!$C$83,BW14&gt;=2),"1 No. "&amp;BV14&amp;" corrida de la orilla al respaldo ("&amp;IF(DC14&gt;=FLOOR(100*IF(ISNUMBER(P14),P14,Y14)-DATOS!$C$63,5),"hasta su apoyo lejano, con gancho","entra "&amp;TEXT(DC14/100,"0.00")&amp;" m desde el paño")&amp;") + "&amp;(BW14-1)&amp;" bastón No. "&amp;BV14&amp;" hasta "&amp;TEXT(DU14/100,"0.00")&amp;" m del paño (fin de la nervadura ancha)",IF(C14="VOLADO",BW14&amp;" No. "&amp;BV14&amp;" de la orilla al respaldo ("&amp;IF(DC14&gt;=FLOOR(100*IF(ISNUMBER(P14),P14,Y14)-DATOS!$C$63,5),"hasta su apoyo lejano, con gancho","entran "&amp;TEXT(DC14/100,"0.00")&amp;" m desde el paño")&amp;")","1 No. "&amp;BV14&amp;" corrida"&amp;IF(BW14&gt;1," + "&amp;(BW14-1)&amp;" bastón No. "&amp;BV14&amp;" L = "&amp;TEXT(DC14/100,"0.00")&amp;" m desde el paño","")))))</f>
        <v/>
      </c>
      <c r="DZ14" s="69" t="str">
        <f>IF(V14&lt;&gt;"SÍ","",IF(CE14=0,"NO ALCANZA",CE14&amp;" No. "&amp;CD14&amp;IF(CE14&gt;1," corridas"," corrida")))</f>
        <v/>
      </c>
      <c r="EA14" s="69" t="str">
        <f>IF(V14&lt;&gt;"SÍ","",IF(CM14=0,"NO ALCANZA",IF(C14="VOLADO","1 No. "&amp;CL14&amp;" corrida (repartición)","1 No. "&amp;CL14&amp;" corrida"&amp;IF(CM14&gt;1," + "&amp;(CM14-1)&amp;" bastón No. "&amp;CL14&amp;" L = "&amp;TEXT(DD14/100,"0.00")&amp;" m desde el paño",""))))</f>
        <v/>
      </c>
      <c r="EB14" s="67" t="str">
        <f>IF(B14="","",IF(V14&lt;&gt;"SÍ","FALTAN DATOS: tipo, a_x, a_y, destino y, en volados, L_b",IF(L14="NO MONOLÍTICO (caso II)","FUERA DE ALCANCE: caso II no transcrito",IF(AND(C14="VOLADO",W14="?"),"REVISAR: el volado lleva UN solo borde CONTINUO (el empotrado)",IF(MIN(DH14,DI14)=0,"REVISAR: no cabe un casetón (tablero macizo): diséñalo en MACIZAS",IF(AND(MAX(BR14,BZ14,CH14,CP14)&lt;=1,NOT(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T(OR(AND(ISNUMBER(BS14),BS14&lt;0.005),AND(ISNUMBER(CA14),CA14&lt;0.005),AND(ISNUMBER(CI14),CI14&lt;0.005),AND(ISNUMBER(CQ14),CQ14&lt;0.005))),NOT(LEFT(DW14,2)="NO"),DA14="CUMPLE",DB14="CUMPLE",LEFT(CU14,2)&lt;&gt;"NO",LEFT(DATOS!$C$132,6)="CUMPLE"),IF(LEFT(CU14,6)="CUMPLE","CUMPLE","CUMPLE — "&amp;CU14)&amp;IF(LEFT(BK14,5)="FUERA"," · fuera de 3.4.2.1 c)","")&amp;IF(LEFT(DG14,2)="NO"," · REVISAR anclaje en borde discontinuo","")&amp;IF(DV14&gt;0," · respaldo: "&amp;DV14&amp;" hilera(s) de b_w "&amp;AD14&amp;" cm",""),IF(AND(MAX(BR14,BZ14,CH14,CP14)&lt;=1,NOT(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T(OR(AND(ISNUMBER(BS14),BS14&lt;0.005),AND(ISNUMBER(CA14),CA14&lt;0.005),AND(ISNUMBER(CI14),CI14&lt;0.005),AND(ISNUMBER(CQ14),CQ14&lt;0.005))),NOT(LEFT(DW14,2)="NO"),DA14="CALCULAR FLECHA",LEFT(CU14,2)&lt;&gt;"NO",LEFT(DATOS!$C$132,6)="CUMPLE"),"REVISAR: calcular flecha (h_eq &lt; h mín.)"&amp;IF(LEFT(BK14,5)="FUERA"," · fuera de 3.4.2.1 c)","")&amp;IF(LEFT(DG14,2)="NO"," · REVISAR anclaje en borde discontinuo","")&amp;IF(DV14&gt;0," · respaldo: "&amp;DV14&amp;" hilera(s) de b_w "&amp;AD14&amp;" cm",""),"NO CUMPLE: "&amp;IF(MAX(BR14,BZ14,CH14,CP14)&gt;1,"flexión ","")&amp;IF(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 caben ","")&amp;IF(OR(AND(ISNUMBER(BS14),BS14&lt;0.005),AND(ISNUMBER(CA14),CA14&lt;0.005),AND(ISNUMBER(CI14),CI14&lt;0.005),AND(ISNUMBER(CQ14),CQ14&lt;0.005)),"ε_t &lt; 0.005 ","")&amp;IF(LEFT(CU14,2)="NO","cortante ","")&amp;IF(DA14="NO CUMPLE","peralte ","")&amp;IF(DB14&lt;&gt;"CUMPLE","capa &lt; 6 cm ","")&amp;IF(LEFT(DATOS!$C$132,6)&lt;&gt;"CUMPLE","capa o malla (DATOS sección 7) ","")&amp;IF(LEFT(DW14,2)="NO","respaldo del volado",""))))))))</f>
        <v/>
      </c>
      <c r="EC14" s="70" t="str">
        <f>IF(V14&lt;&gt;"SÍ","",IF(LEFT(B14,7)="EJEMPLO","EJEMPLO de la hoja de Casa Rocha: bórralo o sobrescríbelo. ","")&amp;IF(AND(C14="PERIMETRAL",MIN(DH14,DI14)=0),"No cabe un casetón en el claro corto: es un tablero macizo, diséñalo en MACIZAS. ","")&amp;IF(AND(AJ14="NO",C14="PERIMETRAL"),"No cumple 6.7.8.1.4 (a_c = "&amp;MAX(DATOS!$C$81,AE14)&amp;" cm &gt; claro corto/6 = "&amp;TEXT(Y14*100/6,"0")&amp;" cm): se diseña como losa apoyada en vigas (6.7.8.1.9): r de viga = "&amp;DATOS!$C$63&amp;" cm y V_cR sin ×1.1. Para que cuente como encasetonada: casetón de "&amp;TEXT(FLOOR(MIN(80,Y14*100/6),1),"0")&amp;" cm o menor. ","")&amp;IF(C14="VOLADO","Volado de "&amp;TEXT(Y14,"0.00")&amp;" m empotrado en el borde "&amp;LOWER(W14)&amp;IF(N(O14)&gt;0,", con "&amp;TEXT(O14,"0.0")&amp;" kg/m en la orilla","")&amp;". Lecho inferior con r_ext. Si la orilla carga pretil u otro elemento frágil, calcula la flecha (13.4). El acero superior entra al respaldo de "&amp;TEXT(IF(ISNUMBER(P14),P14,Y14),"0.00")&amp;" m"&amp;" hasta pasar M = 0 con 0.9·PP sin carga viva; si ahí no se anula, llega al apoyo lejano y se ancla con gancho (NTC-Criterios 3.4.1 c y 5.1.2.2). "&amp;IF(AD14&gt;DATOS!$C$83,"Respaldo: "&amp;DW14&amp;". ",""),"")&amp;IF(AND(C14="VOLADO",((0.9*DATOS!$C$90*DATOS!$C$86/100/1000)*IF(ISNUMBER(P14),P14,Y14)/2-BH14/IF(ISNUMBER(P14),P14,Y14))&lt;0),"Con 0.9·PP y sin carga viva el apoyo lejano del respaldo levanta (R = "&amp;TEXT(-((0.9*DATOS!$C$90*DATOS!$C$86/100/1000)*IF(ISNUMBER(P14),P14,Y14)/2-BH14/IF(ISNUMBER(P14),P14,Y14)),"0.00")&amp;" t por nervadura): ancla ahí la corrida con gancho y revisa ese apoyo a tensión. ","")&amp;IF(LEFT(BK14,5)="FUERA","El M⁻ del vecino difiere más de 50 % (3.4.2.1 c): distribuye el desequilibrio (3.4.3.1) o confirma con un modelo; se arma con el mayor. ","")&amp;IF(OR(DE14="SÍ",DF14="SÍ"),"El M⁻ del borde discontinuo pide bastón también ahí (con gancho). ","")&amp;IF(LEFT(DG14,2)="NO","Anclaje: "&amp;DG14&amp;" (6.7.8.1.7). ","")&amp;IF(AND(C14="PERIMETRAL",AT14&gt;=1,AS14-AT14&gt;=1),"Esquinas exteriores sobre muro: refuerzo de esquina arriba y abajo en L_largo/5 (6.7.7.3.1). ",""))</f>
        <v/>
      </c>
    </row>
    <row r="15" ht="33" customHeight="1">
      <c r="A15" s="50">
        <f>IF(B15="",0,1)+A14</f>
        <v>4</v>
      </c>
      <c r="B15" s="29" t="n"/>
      <c r="C15" s="51" t="n"/>
      <c r="D15" s="29" t="n"/>
      <c r="E15" s="52" t="n"/>
      <c r="F15" s="52" t="n"/>
      <c r="G15" s="51" t="n"/>
      <c r="H15" s="51" t="n"/>
      <c r="I15" s="51" t="n"/>
      <c r="J15" s="51" t="n"/>
      <c r="K15" s="51" t="n"/>
      <c r="L15" s="51" t="n"/>
      <c r="M15" s="53" t="n"/>
      <c r="N15" s="53" t="n"/>
      <c r="O15" s="54" t="n"/>
      <c r="P15" s="52" t="n"/>
      <c r="Q15" s="52" t="n"/>
      <c r="R15" s="53" t="n"/>
      <c r="S15" s="54" t="n"/>
      <c r="T15" s="52" t="n"/>
      <c r="U15" s="52" t="n"/>
      <c r="V15" s="55" t="str">
        <f>IF(B15="","",IF(AND(OR(C15="PERIMETRAL",C15="VOLADO"),ISNUMBER(E15),ISNUMBER(F15),E15&gt;0,F15&gt;0,OR(ISNUMBER(N15),ISNUMBER(MATCH(D15,DATOS!$B$46:$B$58,0))),OR(C15&lt;&gt;"VOLADO",N(P15)&gt;0)),"SÍ","NO"))</f>
        <v/>
      </c>
      <c r="W15" s="55" t="str">
        <f>IF(V15&lt;&gt;"SÍ","",IF(C15&lt;&gt;"VOLADO","—",IF(COUNTIF(G15:J15,"CONTINUO")&lt;&gt;1,"?",IF(G15="CONTINUO","INFERIOR",IF(H15="CONTINUO","SUPERIOR",IF(I15="CONTINUO","IZQUIERDO","DERECHO"))))))</f>
        <v/>
      </c>
      <c r="X15" s="55" t="str">
        <f>IF(V15&lt;&gt;"SÍ","",IF(C15="VOLADO",IF(OR(W15="IZQUIERDO",W15="DERECHO"),"X","Y"),IF(E15&lt;=F15,"X","Y")))</f>
        <v/>
      </c>
      <c r="Y15" s="56" t="str">
        <f>IF(V15&lt;&gt;"SÍ","",IF(C15="VOLADO",IF(X15="X",E15,F15),MIN(E15,F15)))</f>
        <v/>
      </c>
      <c r="Z15" s="56" t="str">
        <f>IF(V15&lt;&gt;"SÍ","",IF(C15="VOLADO",IF(X15="X",F15,E15),MAX(E15,F15)))</f>
        <v/>
      </c>
      <c r="AA15" s="56" t="str">
        <f>IF(V15&lt;&gt;"SÍ","",MIN(Y15,Z15)/MAX(Y15,Z15))</f>
        <v/>
      </c>
      <c r="AB15" s="57" t="str">
        <f>IF(V15&lt;&gt;"SÍ","",MAX(1,Y15*100-IF(C15="VOLADO",DATOS!$C$87/2,DATOS!$C$87)))</f>
        <v/>
      </c>
      <c r="AC15" s="57" t="str">
        <f>IF(V15&lt;&gt;"SÍ","",MAX(1,Z15*100-DATOS!$C$87))</f>
        <v/>
      </c>
      <c r="AD15" s="57" t="str">
        <f>IF(V15&lt;&gt;"SÍ","",IF(ISNUMBER(R15),R15,DATOS!$C$83))</f>
        <v/>
      </c>
      <c r="AE15" s="57" t="str">
        <f>IF(V15&lt;&gt;"SÍ","",MAX(0,DATOS!$C$86-AD15))</f>
        <v/>
      </c>
      <c r="AF15" s="57" t="str">
        <f>IF(V15&lt;&gt;"SÍ","",IF(OR(DATOS!$C$65="SÍ",AD15&gt;=20),AD15,AD15-2))</f>
        <v/>
      </c>
      <c r="AG15" s="57" t="str">
        <f>IF(V15&lt;&gt;"SÍ","",IF(OR(DATOS!$C$65="SÍ",DATOS!$C$83&gt;=20),DATOS!$C$83,DATOS!$C$83-2))</f>
        <v/>
      </c>
      <c r="AH15" s="57" t="str">
        <f>IF(V15&lt;&gt;"SÍ","",MIN(DATOS!$C$86,AD15+2*MIN(8*DATOS!$C$84,AE15/2,AB15/8)))</f>
        <v/>
      </c>
      <c r="AI15" s="57" t="str">
        <f>IF(V15&lt;&gt;"SÍ","",MIN(DATOS!$C$86,DATOS!$C$83+2*MIN(8*DATOS!$C$84,DATOS!$C$81/2,AC15/8)))</f>
        <v/>
      </c>
      <c r="AJ15" s="55" t="str">
        <f>IF(V15&lt;&gt;"SÍ","",IF(AND(C15="PERIMETRAL",Y15*100&gt;=6*MAX(DATOS!$C$81,AE15),MAX(DATOS!$C$81,AE15)&lt;=80,MIN(DATOS!$C$83,AD15)&gt;=10,DATOS!$C$85&lt;=3.5*MIN(DATOS!$C$83,AD15),DATOS!$C$84&gt;=MAX(MAX(DATOS!$C$81,AE15)/13,5)),"SÍ","NO"))</f>
        <v/>
      </c>
      <c r="AK15" s="57" t="str">
        <f>IF(V15&lt;&gt;"SÍ","",IF(C15="VOLADO",DATOS!$C$64,IF(AJ15="NO",DATOS!$C$63,DATOS!$C$62)))</f>
        <v/>
      </c>
      <c r="AL15" s="57" t="str">
        <f>IF(V15&lt;&gt;"SÍ","",IF(OR(AND(AN15="SÍ",DATOS!$C$66="SÍ"),AND(C15="VOLADO",DATOS!$C$67="SÍ")),DATOS!$C$64,IF(AJ15="NO",DATOS!$C$63,DATOS!$C$62)))</f>
        <v/>
      </c>
      <c r="AM15" s="58" t="str">
        <f>IF(V15&lt;&gt;"SÍ","",MAX(AL15,(DATOS!$C$84-2*DATOS!$C$97)/2))</f>
        <v/>
      </c>
      <c r="AN15" s="55" t="str">
        <f>IF(V15&lt;&gt;"SÍ","",IFERROR(INDEX(DATOS!$D$46:$D$58,MATCH(D15,DATOS!$B$46:$B$58,0)),"NO"))</f>
        <v/>
      </c>
      <c r="AO15" s="59" t="str">
        <f>IF(V15&lt;&gt;"SÍ","",IF(ISNUMBER(N15),N15,IFERROR(INDEX(DATOS!$C$46:$C$58,MATCH(D15,DATOS!$B$46:$B$58,0)),0)))</f>
        <v/>
      </c>
      <c r="AP15" s="59" t="str">
        <f>IF(V15&lt;&gt;"SÍ","",IF(MIN(DH15,DI15)=0,DATOS!$C$85/100*DATOS!$C$16*1000,(DATOS!$C$85/100-(AE15*DATOS!$C$81/DATOS!$C$86^2)*DATOS!$C$82/100)*DATOS!$C$16*1000+(AE15*DATOS!$C$81/DATOS!$C$86^2)*DATOS!$C$82/100*DATOS!$C$17*1000)+DATOS!$C$37+DATOS!$C$38)</f>
        <v/>
      </c>
      <c r="AQ15" s="59" t="str">
        <f>IF(V15&lt;&gt;"SÍ","",AP15+N(M15))</f>
        <v/>
      </c>
      <c r="AR15" s="60" t="str">
        <f>IF(V15&lt;&gt;"SÍ","",MAX(DATOS!$C$26*AQ15+DATOS!$C$27*AO15,IF(AN15="SÍ",DATOS!$C$28*(AQ15+DATOS!$C$41),0)))</f>
        <v/>
      </c>
      <c r="AS15" s="59" t="str">
        <f>IF(V15&lt;&gt;"SÍ","",(G15="DISCONTINUO")+(H15="DISCONTINUO")+(I15="DISCONTINUO")+(J15="DISCONTINUO"))</f>
        <v/>
      </c>
      <c r="AT15" s="59" t="str">
        <f>IF(V15&lt;&gt;"SÍ","",IF(X15="X",(G15="DISCONTINUO")+(H15="DISCONTINUO"),(I15="DISCONTINUO")+(J15="DISCONTINUO")))</f>
        <v/>
      </c>
      <c r="AU15" s="55" t="str">
        <f>IF(V15&lt;&gt;"SÍ","",IF(AS15=0,"INTERIOR",IF(AS15=1,IF(AT15=1,"BORDE-CORTO","BORDE-LARGO"),IF(AS15=2,IF(AT15=1,"ESQUINA",IF(AT15=2,"EXTREMO-LARGO","EXTREMO-CORTO")),IF(AS15=3,IF(AT15=2,"EXTREMO-LARGO","EXTREMO-CORTO"),"AISLADO")))))</f>
        <v/>
      </c>
      <c r="AV15" s="61" t="str">
        <f>IF(V15&lt;&gt;"SÍ","",IF(OR(K15="",K15="AUTO"),AU15,K15))</f>
        <v/>
      </c>
      <c r="AW15" s="59" t="str">
        <f>IF(V15&lt;&gt;"SÍ","",MATCH(AA15,TABLAS!$D$5:$J$5,1))</f>
        <v/>
      </c>
      <c r="AX15" s="58" t="str">
        <f>IF(V15&lt;&gt;"SÍ","",IF(AW15&gt;=7,0,(AA15-INDEX(TABLAS!$D$5:$J$5,AW15))/(INDEX(TABLAS!$D$5:$J$5,AW15+1)-INDEX(TABLAS!$D$5:$J$5,AW15))))</f>
        <v/>
      </c>
      <c r="AY15" s="59" t="str">
        <f>IF(V15&lt;&gt;"SÍ","",INDEX(TABLAS!$D$6:$J$47,MATCH(AV15&amp;"|NIC",TABLAS!$B$6:$B$47,0),AW15)+AX15*(INDEX(TABLAS!$D$6:$J$47,MATCH(AV15&amp;"|NIC",TABLAS!$B$6:$B$47,0),MIN(AW15+1,7))-INDEX(TABLAS!$D$6:$J$47,MATCH(AV15&amp;"|NIC",TABLAS!$B$6:$B$47,0),AW15)))</f>
        <v/>
      </c>
      <c r="AZ15" s="59" t="str">
        <f>IF(V15&lt;&gt;"SÍ","",INDEX(TABLAS!$D$6:$J$47,MATCH(AV15&amp;"|NIL",TABLAS!$B$6:$B$47,0),AW15)+AX15*(INDEX(TABLAS!$D$6:$J$47,MATCH(AV15&amp;"|NIL",TABLAS!$B$6:$B$47,0),MIN(AW15+1,7))-INDEX(TABLAS!$D$6:$J$47,MATCH(AV15&amp;"|NIL",TABLAS!$B$6:$B$47,0),AW15)))</f>
        <v/>
      </c>
      <c r="BA15" s="59" t="str">
        <f>IF(V15&lt;&gt;"SÍ","",INDEX(TABLAS!$D$6:$J$47,MATCH(AV15&amp;"|NDC",TABLAS!$B$6:$B$47,0),AW15)+AX15*(INDEX(TABLAS!$D$6:$J$47,MATCH(AV15&amp;"|NDC",TABLAS!$B$6:$B$47,0),MIN(AW15+1,7))-INDEX(TABLAS!$D$6:$J$47,MATCH(AV15&amp;"|NDC",TABLAS!$B$6:$B$47,0),AW15)))</f>
        <v/>
      </c>
      <c r="BB15" s="59" t="str">
        <f>IF(V15&lt;&gt;"SÍ","",INDEX(TABLAS!$D$6:$J$47,MATCH(AV15&amp;"|NDL",TABLAS!$B$6:$B$47,0),AW15)+AX15*(INDEX(TABLAS!$D$6:$J$47,MATCH(AV15&amp;"|NDL",TABLAS!$B$6:$B$47,0),MIN(AW15+1,7))-INDEX(TABLAS!$D$6:$J$47,MATCH(AV15&amp;"|NDL",TABLAS!$B$6:$B$47,0),AW15)))</f>
        <v/>
      </c>
      <c r="BC15" s="59" t="str">
        <f>IF(V15&lt;&gt;"SÍ","",INDEX(TABLAS!$D$6:$J$47,MATCH(AV15&amp;"|PC",TABLAS!$B$6:$B$47,0),AW15)+AX15*(INDEX(TABLAS!$D$6:$J$47,MATCH(AV15&amp;"|PC",TABLAS!$B$6:$B$47,0),MIN(AW15+1,7))-INDEX(TABLAS!$D$6:$J$47,MATCH(AV15&amp;"|PC",TABLAS!$B$6:$B$47,0),AW15)))</f>
        <v/>
      </c>
      <c r="BD15" s="59" t="str">
        <f>IF(V15&lt;&gt;"SÍ","",INDEX(TABLAS!$D$6:$J$47,MATCH(AV15&amp;"|PL",TABLAS!$B$6:$B$47,0),AW15)+AX15*(INDEX(TABLAS!$D$6:$J$47,MATCH(AV15&amp;"|PL",TABLAS!$B$6:$B$47,0),MIN(AW15+1,7))-INDEX(TABLAS!$D$6:$J$47,MATCH(AV15&amp;"|PL",TABLAS!$B$6:$B$47,0),AW15)))</f>
        <v/>
      </c>
      <c r="BE15" s="56" t="str">
        <f>IF(V15&lt;&gt;"SÍ","",IF(OR(C15&lt;&gt;"VOLADO",MIN(DH15,DI15)=0),0,DATOS!$C$26*DATOS!$C$16*DATOS!$C$86/100*(((AE15*DATOS!$C$81/DATOS!$C$86^2)*DATOS!$C$82/100)*(IF(X15="X",DJ15,DL15)+DATOS!$C$87/2)/100*(AB15-(IF(X15="X",DJ15,DL15)+DATOS!$C$87/2)/2)/100+((AE15*DATOS!$C$81/DATOS!$C$86^2)*DATOS!$C$82/100)*IF(X15="X",DJ15,DL15)/100*IF(X15="X",DJ15,DL15)/200)))</f>
        <v/>
      </c>
      <c r="BF15" s="56" t="str">
        <f>IF(V15&lt;&gt;"SÍ","",IF(OR(C15&lt;&gt;"VOLADO",MIN(DH15,DI15)=0),0,DATOS!$C$26*DATOS!$C$16*DATOS!$C$86/100*((AE15*DATOS!$C$81/DATOS!$C$86^2)*DATOS!$C$82/100)*(IF(X15="X",DJ15,DL15)+DATOS!$C$87/2)/100))</f>
        <v/>
      </c>
      <c r="BG15" s="56" t="str">
        <f>IF(V15&lt;&gt;"SÍ","",IF(C15="PERIMETRAL",BC15*AR15*Y15^2*1E-4*DATOS!$C$86/100/1000,0))</f>
        <v/>
      </c>
      <c r="BH15" s="62" t="str">
        <f>IF(V15&lt;&gt;"SÍ","",IF(C15="PERIMETRAL",MAX(MAX(AY15,BA15)*AR15*Y15^2*1E-4*DATOS!$C$86/100/1000,N(T15)),(AR15*(AB15/100)^2/2+DATOS!$C$26*N(O15)*AB15/100)*DATOS!$C$86/100/1000+BE15))</f>
        <v/>
      </c>
      <c r="BI15" s="56" t="str">
        <f>IF(V15&lt;&gt;"SÍ","",IF(C15="PERIMETRAL",BD15*AR15*Y15^2*1E-4*DATOS!$C$86/100/1000,0))</f>
        <v/>
      </c>
      <c r="BJ15" s="56" t="str">
        <f>IF(V15&lt;&gt;"SÍ","",IF(C15="PERIMETRAL",MAX(MAX(AZ15,BB15)*AR15*Y15^2*1E-4*DATOS!$C$86/100/1000,N(U15)),0))</f>
        <v/>
      </c>
      <c r="BK15" s="63" t="str">
        <f>IF(V15&lt;&gt;"SÍ","",IF(C15&lt;&gt;"PERIMETRAL","—",IF(AND(N(T15)=0,N(U15)=0),"— (sin M⁻ del vecino)",IF(OR(AND(N(T15)&gt;0,ABS(MAX(AY15,BA15)*AR15*Y15^2*1E-4*DATOS!$C$86/100/1000-N(T15))&gt;0.5*MIN(MAX(AY15,BA15)*AR15*Y15^2*1E-4*DATOS!$C$86/100/1000,N(T15))),AND(N(U15)&gt;0,ABS(MAX(AZ15,BB15)*AR15*Y15^2*1E-4*DATOS!$C$86/100/1000-N(U15))&gt;0.5*MIN(MAX(AZ15,BB15)*AR15*Y15^2*1E-4*DATOS!$C$86/100/1000,N(U15)))),"FUERA: difieren &gt; 50 %"&amp;IF(AND(N(T15)&gt;0,ABS(MAX(AY15,BA15)*AR15*Y15^2*1E-4*DATOS!$C$86/100/1000-N(T15))&gt;0.5*MIN(MAX(AY15,BA15)*AR15*Y15^2*1E-4*DATOS!$C$86/100/1000,N(T15)))," ‖ corto","")&amp;IF(AND(N(U15)&gt;0,ABS(MAX(AZ15,BB15)*AR15*Y15^2*1E-4*DATOS!$C$86/100/1000-N(U15))&gt;0.5*MIN(MAX(AZ15,BB15)*AR15*Y15^2*1E-4*DATOS!$C$86/100/1000,N(U15)))," ‖ largo",""),"CUMPLE"))))</f>
        <v/>
      </c>
      <c r="BL15" s="58" t="str">
        <f>IF(V15&lt;&gt;"SÍ","",(DATOS!$C$85-AK15-INDEX(TABLAS!$C$52:$C$58,MATCH(MAX(4,DATOS!$C$71),TABLAS!$B$52:$B$58,0))/2))</f>
        <v/>
      </c>
      <c r="BM15" s="58" t="str">
        <f>IF(V15&lt;&gt;"SÍ","",IF(IF(BG15&lt;=0,0,IF((1-2*BG15*1E5/(DATOS!$C$29*AH15*BL15^2*DATOS!$C$21))&lt;0,-1,IF((1-SQRT((1-2*BG15*1E5/(DATOS!$C$29*AH15*BL15^2*DATOS!$C$21))))*DATOS!$C$21*AH15*BL15/DATOS!$C$14&gt;DATOS!$C$102*AH15*BL15,-1,(1-SQRT((1-2*BG15*1E5/(DATOS!$C$29*AH15*BL15^2*DATOS!$C$21))))*DATOS!$C$21*AH15*BL15/DATOS!$C$14)))&lt;0,-1,MAX(IF(BG15&lt;=0,0,IF((1-2*BG15*1E5/(DATOS!$C$29*AH15*BL15^2*DATOS!$C$21))&lt;0,-1,IF((1-SQRT((1-2*BG15*1E5/(DATOS!$C$29*AH15*BL15^2*DATOS!$C$21))))*DATOS!$C$21*AH15*BL15/DATOS!$C$14&gt;DATOS!$C$102*AH15*BL15,-1,(1-SQRT((1-2*BG15*1E5/(DATOS!$C$29*AH15*BL15^2*DATOS!$C$21))))*DATOS!$C$21*AH15*BL15/DATOS!$C$14))),MIN(DATOS!$C$103*AD15*BL15,4/3*IF(BG15&lt;=0,0,IF((1-2*BG15*1E5/(DATOS!$C$29*AH15*BL15^2*DATOS!$C$21))&lt;0,-1,IF((1-SQRT((1-2*BG15*1E5/(DATOS!$C$29*AH15*BL15^2*DATOS!$C$21))))*DATOS!$C$21*AH15*BL15/DATOS!$C$14&gt;DATOS!$C$102*AH15*BL15,-1,(1-SQRT((1-2*BG15*1E5/(DATOS!$C$29*AH15*BL15^2*DATOS!$C$21))))*DATOS!$C$21*AH15*BL15/DATOS!$C$14)))))))</f>
        <v/>
      </c>
      <c r="BN15" s="64" t="str">
        <f>IF(V15&lt;&gt;"SÍ","",IF(AND(BM15&gt;=0,IF(MAX(DATOS!$C$74,CEILING(BM15/INDEX(TABLAS!$D$52:$D$58,MIN(MATCH(MAX(4,DATOS!$C$71),TABLAS!$B$52:$B$58,0)+0,7)),1))*INDEX(TABLAS!$D$52:$D$58,MIN(MATCH(MAX(4,DATOS!$C$71),TABLAS!$B$52:$B$58,0)+0,7)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+0,7)),1)),MAX(MAX(DATOS!$C$74,CEILING(BM15/INDEX(TABLAS!$D$52:$D$58,MIN(MATCH(MAX(4,DATOS!$C$71),TABLAS!$B$52:$B$58,0)+0,7)),1)),2))&lt;=MIN(DATOS!$C$73,INT(((AD15-2*AK15)+MAX(DATOS!$C$70,INDEX(TABLAS!$C$52:$C$58,MIN(MATCH(MAX(4,DATOS!$C$71),TABLAS!$B$52:$B$58,0)+0,7))))/(INDEX(TABLAS!$C$52:$C$58,MIN(MATCH(MAX(4,DATOS!$C$71),TABLAS!$B$52:$B$58,0)+0,7))+MAX(DATOS!$C$70,INDEX(TABLAS!$C$52:$C$58,MIN(MATCH(MAX(4,DATOS!$C$71),TABLAS!$B$52:$B$58,0)+0,7))))))),INDEX(TABLAS!$B$52:$B$58,MIN(MATCH(MAX(4,DATOS!$C$71),TABLAS!$B$52:$B$58,0)+0,7)),IF(AND(BM15&gt;=0,IF(MAX(DATOS!$C$74,CEILING(BM15/INDEX(TABLAS!$D$52:$D$58,MIN(MATCH(MAX(4,DATOS!$C$71),TABLAS!$B$52:$B$58,0)+1,7)),1))*INDEX(TABLAS!$D$52:$D$58,MIN(MATCH(MAX(4,DATOS!$C$71),TABLAS!$B$52:$B$58,0)+1,7)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+1,7)),1)),MAX(MAX(DATOS!$C$74,CEILING(BM15/INDEX(TABLAS!$D$52:$D$58,MIN(MATCH(MAX(4,DATOS!$C$71),TABLAS!$B$52:$B$58,0)+1,7)),1)),2))&lt;=MIN(DATOS!$C$73,INT(((AD15-2*AK15)+MAX(DATOS!$C$70,INDEX(TABLAS!$C$52:$C$58,MIN(MATCH(MAX(4,DATOS!$C$71),TABLAS!$B$52:$B$58,0)+1,7))))/(INDEX(TABLAS!$C$52:$C$58,MIN(MATCH(MAX(4,DATOS!$C$71),TABLAS!$B$52:$B$58,0)+1,7))+MAX(DATOS!$C$70,INDEX(TABLAS!$C$52:$C$58,MIN(MATCH(MAX(4,DATOS!$C$71),TABLAS!$B$52:$B$58,0)+1,7))))))),INDEX(TABLAS!$B$52:$B$58,MIN(MATCH(MAX(4,DATOS!$C$71),TABLAS!$B$52:$B$58,0)+1,7)),IF(AND(BM15&gt;=0,IF(MAX(DATOS!$C$74,CEILING(BM15/INDEX(TABLAS!$D$52:$D$58,MIN(MATCH(MAX(4,DATOS!$C$71),TABLAS!$B$52:$B$58,0)+2,7)),1))*INDEX(TABLAS!$D$52:$D$58,MIN(MATCH(MAX(4,DATOS!$C$71),TABLAS!$B$52:$B$58,0)+2,7)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+2,7)),1)),MAX(MAX(DATOS!$C$74,CEILING(BM15/INDEX(TABLAS!$D$52:$D$58,MIN(MATCH(MAX(4,DATOS!$C$71),TABLAS!$B$52:$B$58,0)+2,7)),1)),2))&lt;=MIN(DATOS!$C$73,INT(((AD15-2*AK15)+MAX(DATOS!$C$70,INDEX(TABLAS!$C$52:$C$58,MIN(MATCH(MAX(4,DATOS!$C$71),TABLAS!$B$52:$B$58,0)+2,7))))/(INDEX(TABLAS!$C$52:$C$58,MIN(MATCH(MAX(4,DATOS!$C$71),TABLAS!$B$52:$B$58,0)+2,7))+MAX(DATOS!$C$70,INDEX(TABLAS!$C$52:$C$58,MIN(MATCH(MAX(4,DATOS!$C$71),TABLAS!$B$52:$B$58,0)+2,7))))))),INDEX(TABLAS!$B$52:$B$58,MIN(MATCH(MAX(4,DATOS!$C$71),TABLAS!$B$52:$B$58,0)+2,7)),IF(AND(BM15&gt;=0,IF(MAX(DATOS!$C$74,CEILING(BM15/INDEX(TABLAS!$D$52:$D$58,MIN(MATCH(MAX(4,DATOS!$C$71),TABLAS!$B$52:$B$58,0)+3,7)),1))*INDEX(TABLAS!$D$52:$D$58,MIN(MATCH(MAX(4,DATOS!$C$71),TABLAS!$B$52:$B$58,0)+3,7)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+3,7)),1)),MAX(MAX(DATOS!$C$74,CEILING(BM15/INDEX(TABLAS!$D$52:$D$58,MIN(MATCH(MAX(4,DATOS!$C$71),TABLAS!$B$52:$B$58,0)+3,7)),1)),2))&lt;=MIN(DATOS!$C$73,INT(((AD15-2*AK15)+MAX(DATOS!$C$70,INDEX(TABLAS!$C$52:$C$58,MIN(MATCH(MAX(4,DATOS!$C$71),TABLAS!$B$52:$B$58,0)+3,7))))/(INDEX(TABLAS!$C$52:$C$58,MIN(MATCH(MAX(4,DATOS!$C$71),TABLAS!$B$52:$B$58,0)+3,7))+MAX(DATOS!$C$70,INDEX(TABLAS!$C$52:$C$58,MIN(MATCH(MAX(4,DATOS!$C$71),TABLAS!$B$52:$B$58,0)+3,7))))))),INDEX(TABLAS!$B$52:$B$58,MIN(MATCH(MAX(4,DATOS!$C$71),TABLAS!$B$52:$B$58,0)+3,7)),IF(AND(BM15&gt;=0,IF(MAX(DATOS!$C$74,CEILING(BM15/INDEX(TABLAS!$D$52:$D$58,MIN(MATCH(MAX(4,DATOS!$C$71),TABLAS!$B$52:$B$58,0)+4,7)),1))*INDEX(TABLAS!$D$52:$D$58,MIN(MATCH(MAX(4,DATOS!$C$71),TABLAS!$B$52:$B$58,0)+4,7)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+4,7)),1)),MAX(MAX(DATOS!$C$74,CEILING(BM15/INDEX(TABLAS!$D$52:$D$58,MIN(MATCH(MAX(4,DATOS!$C$71),TABLAS!$B$52:$B$58,0)+4,7)),1)),2))&lt;=MIN(DATOS!$C$73,INT(((AD15-2*AK15)+MAX(DATOS!$C$70,INDEX(TABLAS!$C$52:$C$58,MIN(MATCH(MAX(4,DATOS!$C$71),TABLAS!$B$52:$B$58,0)+4,7))))/(INDEX(TABLAS!$C$52:$C$58,MIN(MATCH(MAX(4,DATOS!$C$71),TABLAS!$B$52:$B$58,0)+4,7))+MAX(DATOS!$C$70,INDEX(TABLAS!$C$52:$C$58,MIN(MATCH(MAX(4,DATOS!$C$71),TABLAS!$B$52:$B$58,0)+4,7))))))),INDEX(TABLAS!$B$52:$B$58,MIN(MATCH(MAX(4,DATOS!$C$71),TABLAS!$B$52:$B$58,0)+4,7)),INDEX(TABLAS!$B$52:$B$58,7)))))))</f>
        <v/>
      </c>
      <c r="BO15" s="59" t="str">
        <f>IF(V15&lt;&gt;"SÍ","",IF(BM15&lt;0,0,IF(MAX(DATOS!$C$74,CEILING(MAX(BM15,0)/INDEX(TABLAS!$D$52:$D$58,MATCH(BN15,TABLAS!$B$52:$B$58,0)),1))*INDEX(TABLAS!$D$52:$D$58,MATCH(BN15,TABLAS!$B$52:$B$58,0))&gt;=4/3*IF(BG15&lt;=0,0,IF((1-2*BG15*1E5/(DATOS!$C$29*AH15*BL15^2*DATOS!$C$21))&lt;0,-1,IF((1-SQRT((1-2*BG15*1E5/(DATOS!$C$29*AH15*BL15^2*DATOS!$C$21))))*DATOS!$C$21*AH15*BL15/DATOS!$C$14&gt;DATOS!$C$102*AH15*BL15,-1,(1-SQRT((1-2*BG15*1E5/(DATOS!$C$29*AH15*BL15^2*DATOS!$C$21))))*DATOS!$C$21*AH15*BL15/DATOS!$C$14)))-0.0001,MAX(DATOS!$C$74,CEILING(MAX(BM15,0)/INDEX(TABLAS!$D$52:$D$58,MATCH(BN15,TABLAS!$B$52:$B$58,0)),1)),MAX(MAX(DATOS!$C$74,CEILING(MAX(BM15,0)/INDEX(TABLAS!$D$52:$D$58,MATCH(BN15,TABLAS!$B$52:$B$58,0)),1)),2))))</f>
        <v/>
      </c>
      <c r="BP15" s="58" t="str">
        <f>IF(V15&lt;&gt;"SÍ","",DATOS!$C$85-AK15-INDEX(TABLAS!$C$52:$C$58,MATCH(BN15,TABLAS!$B$52:$B$58,0))/2)</f>
        <v/>
      </c>
      <c r="BQ15" s="56" t="str">
        <f>IF(V15&lt;&gt;"SÍ","",IF(BO15=0,0,DATOS!$C$29*BO15*INDEX(TABLAS!$D$52:$D$58,MATCH(BN15,TABLAS!$B$52:$B$58,0))*DATOS!$C$14*(BP15-BO15*INDEX(TABLAS!$D$52:$D$58,MATCH(BN15,TABLAS!$B$52:$B$58,0))*DATOS!$C$14/(DATOS!$C$21*AH15)/2)/1E5))</f>
        <v/>
      </c>
      <c r="BR15" s="65" t="str">
        <f>IF(V15&lt;&gt;"SÍ","",IF(BM15&lt;0,9.99,IF(BQ15&gt;0,BG15/BQ15,0)))</f>
        <v/>
      </c>
      <c r="BS15" s="66" t="str">
        <f>IF(V15&lt;&gt;"SÍ","",IF(BO15=0,"—",0.003*(BP15-(BO15*INDEX(TABLAS!$D$52:$D$58,MATCH(BN15,TABLAS!$B$52:$B$58,0))*DATOS!$C$14/(DATOS!$C$21*AH15)/DATOS!$C$22))/(BO15*INDEX(TABLAS!$D$52:$D$58,MATCH(BN15,TABLAS!$B$52:$B$58,0))*DATOS!$C$14/(DATOS!$C$21*AH15)/DATOS!$C$22)))</f>
        <v/>
      </c>
      <c r="BT15" s="58" t="str">
        <f>IF(V15&lt;&gt;"SÍ","",((DATOS!$C$85-AM15-2*DATOS!$C$97-INDEX(TABLAS!$C$52:$C$58,MATCH(MAX(4,DATOS!$C$72),TABLAS!$B$52:$B$58,0))/2)-IF(AND((DATOS!$C$85-AM15-2*DATOS!$C$97-INDEX(TABLAS!$C$52:$C$58,MATCH(MAX(4,DATOS!$C$72),TABLAS!$B$52:$B$58,0))/2)&lt;=20,DATOS!$C$65&lt;&gt;"SÍ"),2,0)))</f>
        <v/>
      </c>
      <c r="BU15" s="58" t="str">
        <f>IF(V15&lt;&gt;"SÍ","",IF(IF(BH15&lt;=0,0,IF((1-2*BH15*1E5/(DATOS!$C$29*AF15*BT15^2*DATOS!$C$21))&lt;0,-1,IF((1-SQRT((1-2*BH15*1E5/(DATOS!$C$29*AF15*BT15^2*DATOS!$C$21))))*DATOS!$C$21*AF15*BT15/DATOS!$C$14&gt;DATOS!$C$102*AF15*BT15,-1,(1-SQRT((1-2*BH15*1E5/(DATOS!$C$29*AF15*BT15^2*DATOS!$C$21))))*DATOS!$C$21*AF15*BT15/DATOS!$C$14)))&lt;0,-1,MAX(IF(BH15&lt;=0,0,IF((1-2*BH15*1E5/(DATOS!$C$29*AF15*BT15^2*DATOS!$C$21))&lt;0,-1,IF((1-SQRT((1-2*BH15*1E5/(DATOS!$C$29*AF15*BT15^2*DATOS!$C$21))))*DATOS!$C$21*AF15*BT15/DATOS!$C$14&gt;DATOS!$C$102*AF15*BT15,-1,(1-SQRT((1-2*BH15*1E5/(DATOS!$C$29*AF15*BT15^2*DATOS!$C$21))))*DATOS!$C$21*AF15*BT15/DATOS!$C$14))),MIN(DATOS!$C$103*IF(C15="VOLADO",MIN(AH15,2*AD15),AD15)*BT15,4/3*IF(BH15&lt;=0,0,IF((1-2*BH15*1E5/(DATOS!$C$29*AF15*BT15^2*DATOS!$C$21))&lt;0,-1,IF((1-SQRT((1-2*BH15*1E5/(DATOS!$C$29*AF15*BT15^2*DATOS!$C$21))))*DATOS!$C$21*AF15*BT15/DATOS!$C$14&gt;DATOS!$C$102*AF15*BT15,-1,(1-SQRT((1-2*BH15*1E5/(DATOS!$C$29*AF15*BT15^2*DATOS!$C$21))))*DATOS!$C$21*AF15*BT15/DATOS!$C$14)))))))</f>
        <v/>
      </c>
      <c r="BV15" s="64" t="str">
        <f>IF(V15&lt;&gt;"SÍ","",IF(AND(BU15&gt;=0,IF(MAX(DATOS!$C$74,CEILING(BU15/INDEX(TABLAS!$D$52:$D$58,MIN(MATCH(MAX(4,DATOS!$C$72),TABLAS!$B$52:$B$58,0)+0,7)),1))*INDEX(TABLAS!$D$52:$D$58,MIN(MATCH(MAX(4,DATOS!$C$72),TABLAS!$B$52:$B$58,0)+0,7)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+0,7)),1)),MAX(MAX(DATOS!$C$74,CEILING(BU15/INDEX(TABLAS!$D$52:$D$58,MIN(MATCH(MAX(4,DATOS!$C$72),TABLAS!$B$52:$B$58,0)+0,7)),1)),2))&lt;=MIN(DATOS!$C$73,INT(((AD15-2*AL15)+MAX(DATOS!$C$70,INDEX(TABLAS!$C$52:$C$58,MIN(MATCH(MAX(4,DATOS!$C$72),TABLAS!$B$52:$B$58,0)+0,7))))/(INDEX(TABLAS!$C$52:$C$58,MIN(MATCH(MAX(4,DATOS!$C$72),TABLAS!$B$52:$B$58,0)+0,7))+MAX(DATOS!$C$70,INDEX(TABLAS!$C$52:$C$58,MIN(MATCH(MAX(4,DATOS!$C$72),TABLAS!$B$52:$B$58,0)+0,7))))))),INDEX(TABLAS!$B$52:$B$58,MIN(MATCH(MAX(4,DATOS!$C$72),TABLAS!$B$52:$B$58,0)+0,7)),IF(AND(BU15&gt;=0,IF(MAX(DATOS!$C$74,CEILING(BU15/INDEX(TABLAS!$D$52:$D$58,MIN(MATCH(MAX(4,DATOS!$C$72),TABLAS!$B$52:$B$58,0)+1,7)),1))*INDEX(TABLAS!$D$52:$D$58,MIN(MATCH(MAX(4,DATOS!$C$72),TABLAS!$B$52:$B$58,0)+1,7)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+1,7)),1)),MAX(MAX(DATOS!$C$74,CEILING(BU15/INDEX(TABLAS!$D$52:$D$58,MIN(MATCH(MAX(4,DATOS!$C$72),TABLAS!$B$52:$B$58,0)+1,7)),1)),2))&lt;=MIN(DATOS!$C$73,INT(((AD15-2*AL15)+MAX(DATOS!$C$70,INDEX(TABLAS!$C$52:$C$58,MIN(MATCH(MAX(4,DATOS!$C$72),TABLAS!$B$52:$B$58,0)+1,7))))/(INDEX(TABLAS!$C$52:$C$58,MIN(MATCH(MAX(4,DATOS!$C$72),TABLAS!$B$52:$B$58,0)+1,7))+MAX(DATOS!$C$70,INDEX(TABLAS!$C$52:$C$58,MIN(MATCH(MAX(4,DATOS!$C$72),TABLAS!$B$52:$B$58,0)+1,7))))))),INDEX(TABLAS!$B$52:$B$58,MIN(MATCH(MAX(4,DATOS!$C$72),TABLAS!$B$52:$B$58,0)+1,7)),IF(AND(BU15&gt;=0,IF(MAX(DATOS!$C$74,CEILING(BU15/INDEX(TABLAS!$D$52:$D$58,MIN(MATCH(MAX(4,DATOS!$C$72),TABLAS!$B$52:$B$58,0)+2,7)),1))*INDEX(TABLAS!$D$52:$D$58,MIN(MATCH(MAX(4,DATOS!$C$72),TABLAS!$B$52:$B$58,0)+2,7)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+2,7)),1)),MAX(MAX(DATOS!$C$74,CEILING(BU15/INDEX(TABLAS!$D$52:$D$58,MIN(MATCH(MAX(4,DATOS!$C$72),TABLAS!$B$52:$B$58,0)+2,7)),1)),2))&lt;=MIN(DATOS!$C$73,INT(((AD15-2*AL15)+MAX(DATOS!$C$70,INDEX(TABLAS!$C$52:$C$58,MIN(MATCH(MAX(4,DATOS!$C$72),TABLAS!$B$52:$B$58,0)+2,7))))/(INDEX(TABLAS!$C$52:$C$58,MIN(MATCH(MAX(4,DATOS!$C$72),TABLAS!$B$52:$B$58,0)+2,7))+MAX(DATOS!$C$70,INDEX(TABLAS!$C$52:$C$58,MIN(MATCH(MAX(4,DATOS!$C$72),TABLAS!$B$52:$B$58,0)+2,7))))))),INDEX(TABLAS!$B$52:$B$58,MIN(MATCH(MAX(4,DATOS!$C$72),TABLAS!$B$52:$B$58,0)+2,7)),IF(AND(BU15&gt;=0,IF(MAX(DATOS!$C$74,CEILING(BU15/INDEX(TABLAS!$D$52:$D$58,MIN(MATCH(MAX(4,DATOS!$C$72),TABLAS!$B$52:$B$58,0)+3,7)),1))*INDEX(TABLAS!$D$52:$D$58,MIN(MATCH(MAX(4,DATOS!$C$72),TABLAS!$B$52:$B$58,0)+3,7)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+3,7)),1)),MAX(MAX(DATOS!$C$74,CEILING(BU15/INDEX(TABLAS!$D$52:$D$58,MIN(MATCH(MAX(4,DATOS!$C$72),TABLAS!$B$52:$B$58,0)+3,7)),1)),2))&lt;=MIN(DATOS!$C$73,INT(((AD15-2*AL15)+MAX(DATOS!$C$70,INDEX(TABLAS!$C$52:$C$58,MIN(MATCH(MAX(4,DATOS!$C$72),TABLAS!$B$52:$B$58,0)+3,7))))/(INDEX(TABLAS!$C$52:$C$58,MIN(MATCH(MAX(4,DATOS!$C$72),TABLAS!$B$52:$B$58,0)+3,7))+MAX(DATOS!$C$70,INDEX(TABLAS!$C$52:$C$58,MIN(MATCH(MAX(4,DATOS!$C$72),TABLAS!$B$52:$B$58,0)+3,7))))))),INDEX(TABLAS!$B$52:$B$58,MIN(MATCH(MAX(4,DATOS!$C$72),TABLAS!$B$52:$B$58,0)+3,7)),IF(AND(BU15&gt;=0,IF(MAX(DATOS!$C$74,CEILING(BU15/INDEX(TABLAS!$D$52:$D$58,MIN(MATCH(MAX(4,DATOS!$C$72),TABLAS!$B$52:$B$58,0)+4,7)),1))*INDEX(TABLAS!$D$52:$D$58,MIN(MATCH(MAX(4,DATOS!$C$72),TABLAS!$B$52:$B$58,0)+4,7)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+4,7)),1)),MAX(MAX(DATOS!$C$74,CEILING(BU15/INDEX(TABLAS!$D$52:$D$58,MIN(MATCH(MAX(4,DATOS!$C$72),TABLAS!$B$52:$B$58,0)+4,7)),1)),2))&lt;=MIN(DATOS!$C$73,INT(((AD15-2*AL15)+MAX(DATOS!$C$70,INDEX(TABLAS!$C$52:$C$58,MIN(MATCH(MAX(4,DATOS!$C$72),TABLAS!$B$52:$B$58,0)+4,7))))/(INDEX(TABLAS!$C$52:$C$58,MIN(MATCH(MAX(4,DATOS!$C$72),TABLAS!$B$52:$B$58,0)+4,7))+MAX(DATOS!$C$70,INDEX(TABLAS!$C$52:$C$58,MIN(MATCH(MAX(4,DATOS!$C$72),TABLAS!$B$52:$B$58,0)+4,7))))))),INDEX(TABLAS!$B$52:$B$58,MIN(MATCH(MAX(4,DATOS!$C$72),TABLAS!$B$52:$B$58,0)+4,7)),INDEX(TABLAS!$B$52:$B$58,7)))))))</f>
        <v/>
      </c>
      <c r="BW15" s="59" t="str">
        <f>IF(V15&lt;&gt;"SÍ","",IF(BU15&lt;0,0,IF(MAX(DATOS!$C$74,CEILING(MAX(BU15,0)/INDEX(TABLAS!$D$52:$D$58,MATCH(BV15,TABLAS!$B$52:$B$58,0)),1))*INDEX(TABLAS!$D$52:$D$58,MATCH(BV15,TABLAS!$B$52:$B$58,0))&gt;=4/3*IF(BH15&lt;=0,0,IF((1-2*BH15*1E5/(DATOS!$C$29*AF15*BT15^2*DATOS!$C$21))&lt;0,-1,IF((1-SQRT((1-2*BH15*1E5/(DATOS!$C$29*AF15*BT15^2*DATOS!$C$21))))*DATOS!$C$21*AF15*BT15/DATOS!$C$14&gt;DATOS!$C$102*AF15*BT15,-1,(1-SQRT((1-2*BH15*1E5/(DATOS!$C$29*AF15*BT15^2*DATOS!$C$21))))*DATOS!$C$21*AF15*BT15/DATOS!$C$14)))-0.0001,MAX(DATOS!$C$74,CEILING(MAX(BU15,0)/INDEX(TABLAS!$D$52:$D$58,MATCH(BV15,TABLAS!$B$52:$B$58,0)),1)),MAX(MAX(DATOS!$C$74,CEILING(MAX(BU15,0)/INDEX(TABLAS!$D$52:$D$58,MATCH(BV15,TABLAS!$B$52:$B$58,0)),1)),2))))</f>
        <v/>
      </c>
      <c r="BX15" s="58" t="str">
        <f>IF(V15&lt;&gt;"SÍ","",((DATOS!$C$85-AM15-2*DATOS!$C$97-INDEX(TABLAS!$C$52:$C$58,MATCH(BV15,TABLAS!$B$52:$B$58,0))/2)-IF(AND((DATOS!$C$85-AM15-2*DATOS!$C$97-INDEX(TABLAS!$C$52:$C$58,MATCH(BV15,TABLAS!$B$52:$B$58,0))/2)&lt;=20,DATOS!$C$65&lt;&gt;"SÍ"),2,0)))</f>
        <v/>
      </c>
      <c r="BY15" s="56" t="str">
        <f>IF(V15&lt;&gt;"SÍ","",IF(BW15=0,0,DATOS!$C$29*BW15*INDEX(TABLAS!$D$52:$D$58,MATCH(BV15,TABLAS!$B$52:$B$58,0))*DATOS!$C$14*(BX15-BW15*INDEX(TABLAS!$D$52:$D$58,MATCH(BV15,TABLAS!$B$52:$B$58,0))*DATOS!$C$14/(DATOS!$C$21*AF15)/2)/1E5))</f>
        <v/>
      </c>
      <c r="BZ15" s="65" t="str">
        <f>IF(V15&lt;&gt;"SÍ","",IF(BU15&lt;0,9.99,IF(BY15&gt;0,BH15/BY15,0)))</f>
        <v/>
      </c>
      <c r="CA15" s="66" t="str">
        <f>IF(V15&lt;&gt;"SÍ","",IF(BW15=0,"—",0.003*(BX15-(BW15*INDEX(TABLAS!$D$52:$D$58,MATCH(BV15,TABLAS!$B$52:$B$58,0))*DATOS!$C$14/(DATOS!$C$21*AF15)/DATOS!$C$22))/(BW15*INDEX(TABLAS!$D$52:$D$58,MATCH(BV15,TABLAS!$B$52:$B$58,0))*DATOS!$C$14/(DATOS!$C$21*AF15)/DATOS!$C$22)))</f>
        <v/>
      </c>
      <c r="CB15" s="58" t="str">
        <f>IF(V15&lt;&gt;"SÍ","",(DATOS!$C$85-AK15-INDEX(TABLAS!$C$52:$C$58,MATCH(MAX(4,DATOS!$C$71),TABLAS!$B$52:$B$58,0))-INDEX(TABLAS!$C$52:$C$58,MATCH(MAX(4,DATOS!$C$71),TABLAS!$B$52:$B$58,0))/2))</f>
        <v/>
      </c>
      <c r="CC15" s="58" t="str">
        <f>IF(V15&lt;&gt;"SÍ","",IF(IF(BI15&lt;=0,0,IF((1-2*BI15*1E5/(DATOS!$C$29*AI15*CB15^2*DATOS!$C$21))&lt;0,-1,IF((1-SQRT((1-2*BI15*1E5/(DATOS!$C$29*AI15*CB15^2*DATOS!$C$21))))*DATOS!$C$21*AI15*CB15/DATOS!$C$14&gt;DATOS!$C$102*AI15*CB15,-1,(1-SQRT((1-2*BI15*1E5/(DATOS!$C$29*AI15*CB15^2*DATOS!$C$21))))*DATOS!$C$21*AI15*CB15/DATOS!$C$14)))&lt;0,-1,MAX(IF(BI15&lt;=0,0,IF((1-2*BI15*1E5/(DATOS!$C$29*AI15*CB15^2*DATOS!$C$21))&lt;0,-1,IF((1-SQRT((1-2*BI15*1E5/(DATOS!$C$29*AI15*CB15^2*DATOS!$C$21))))*DATOS!$C$21*AI15*CB15/DATOS!$C$14&gt;DATOS!$C$102*AI15*CB15,-1,(1-SQRT((1-2*BI15*1E5/(DATOS!$C$29*AI15*CB15^2*DATOS!$C$21))))*DATOS!$C$21*AI15*CB15/DATOS!$C$14))),MIN(DATOS!$C$103*DATOS!$C$83*CB15,4/3*IF(BI15&lt;=0,0,IF((1-2*BI15*1E5/(DATOS!$C$29*AI15*CB15^2*DATOS!$C$21))&lt;0,-1,IF((1-SQRT((1-2*BI15*1E5/(DATOS!$C$29*AI15*CB15^2*DATOS!$C$21))))*DATOS!$C$21*AI15*CB15/DATOS!$C$14&gt;DATOS!$C$102*AI15*CB15,-1,(1-SQRT((1-2*BI15*1E5/(DATOS!$C$29*AI15*CB15^2*DATOS!$C$21))))*DATOS!$C$21*AI15*CB15/DATOS!$C$14)))))))</f>
        <v/>
      </c>
      <c r="CD15" s="64" t="str">
        <f>IF(V15&lt;&gt;"SÍ","",IF(AND(CC15&gt;=0,IF(MAX(DATOS!$C$74,CEILING(CC15/INDEX(TABLAS!$D$52:$D$58,MIN(MATCH(MAX(4,DATOS!$C$71),TABLAS!$B$52:$B$58,0)+0,7)),1))*INDEX(TABLAS!$D$52:$D$58,MIN(MATCH(MAX(4,DATOS!$C$71),TABLAS!$B$52:$B$58,0)+0,7)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+0,7)),1)),MAX(MAX(DATOS!$C$74,CEILING(CC15/INDEX(TABLAS!$D$52:$D$58,MIN(MATCH(MAX(4,DATOS!$C$71),TABLAS!$B$52:$B$58,0)+0,7)),1)),2))&lt;=MIN(DATOS!$C$73,INT(((DATOS!$C$83-2*AK15)+MAX(DATOS!$C$70,INDEX(TABLAS!$C$52:$C$58,MIN(MATCH(MAX(4,DATOS!$C$71),TABLAS!$B$52:$B$58,0)+0,7))))/(INDEX(TABLAS!$C$52:$C$58,MIN(MATCH(MAX(4,DATOS!$C$71),TABLAS!$B$52:$B$58,0)+0,7))+MAX(DATOS!$C$70,INDEX(TABLAS!$C$52:$C$58,MIN(MATCH(MAX(4,DATOS!$C$71),TABLAS!$B$52:$B$58,0)+0,7))))))),INDEX(TABLAS!$B$52:$B$58,MIN(MATCH(MAX(4,DATOS!$C$71),TABLAS!$B$52:$B$58,0)+0,7)),IF(AND(CC15&gt;=0,IF(MAX(DATOS!$C$74,CEILING(CC15/INDEX(TABLAS!$D$52:$D$58,MIN(MATCH(MAX(4,DATOS!$C$71),TABLAS!$B$52:$B$58,0)+1,7)),1))*INDEX(TABLAS!$D$52:$D$58,MIN(MATCH(MAX(4,DATOS!$C$71),TABLAS!$B$52:$B$58,0)+1,7)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+1,7)),1)),MAX(MAX(DATOS!$C$74,CEILING(CC15/INDEX(TABLAS!$D$52:$D$58,MIN(MATCH(MAX(4,DATOS!$C$71),TABLAS!$B$52:$B$58,0)+1,7)),1)),2))&lt;=MIN(DATOS!$C$73,INT(((DATOS!$C$83-2*AK15)+MAX(DATOS!$C$70,INDEX(TABLAS!$C$52:$C$58,MIN(MATCH(MAX(4,DATOS!$C$71),TABLAS!$B$52:$B$58,0)+1,7))))/(INDEX(TABLAS!$C$52:$C$58,MIN(MATCH(MAX(4,DATOS!$C$71),TABLAS!$B$52:$B$58,0)+1,7))+MAX(DATOS!$C$70,INDEX(TABLAS!$C$52:$C$58,MIN(MATCH(MAX(4,DATOS!$C$71),TABLAS!$B$52:$B$58,0)+1,7))))))),INDEX(TABLAS!$B$52:$B$58,MIN(MATCH(MAX(4,DATOS!$C$71),TABLAS!$B$52:$B$58,0)+1,7)),IF(AND(CC15&gt;=0,IF(MAX(DATOS!$C$74,CEILING(CC15/INDEX(TABLAS!$D$52:$D$58,MIN(MATCH(MAX(4,DATOS!$C$71),TABLAS!$B$52:$B$58,0)+2,7)),1))*INDEX(TABLAS!$D$52:$D$58,MIN(MATCH(MAX(4,DATOS!$C$71),TABLAS!$B$52:$B$58,0)+2,7)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+2,7)),1)),MAX(MAX(DATOS!$C$74,CEILING(CC15/INDEX(TABLAS!$D$52:$D$58,MIN(MATCH(MAX(4,DATOS!$C$71),TABLAS!$B$52:$B$58,0)+2,7)),1)),2))&lt;=MIN(DATOS!$C$73,INT(((DATOS!$C$83-2*AK15)+MAX(DATOS!$C$70,INDEX(TABLAS!$C$52:$C$58,MIN(MATCH(MAX(4,DATOS!$C$71),TABLAS!$B$52:$B$58,0)+2,7))))/(INDEX(TABLAS!$C$52:$C$58,MIN(MATCH(MAX(4,DATOS!$C$71),TABLAS!$B$52:$B$58,0)+2,7))+MAX(DATOS!$C$70,INDEX(TABLAS!$C$52:$C$58,MIN(MATCH(MAX(4,DATOS!$C$71),TABLAS!$B$52:$B$58,0)+2,7))))))),INDEX(TABLAS!$B$52:$B$58,MIN(MATCH(MAX(4,DATOS!$C$71),TABLAS!$B$52:$B$58,0)+2,7)),IF(AND(CC15&gt;=0,IF(MAX(DATOS!$C$74,CEILING(CC15/INDEX(TABLAS!$D$52:$D$58,MIN(MATCH(MAX(4,DATOS!$C$71),TABLAS!$B$52:$B$58,0)+3,7)),1))*INDEX(TABLAS!$D$52:$D$58,MIN(MATCH(MAX(4,DATOS!$C$71),TABLAS!$B$52:$B$58,0)+3,7)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+3,7)),1)),MAX(MAX(DATOS!$C$74,CEILING(CC15/INDEX(TABLAS!$D$52:$D$58,MIN(MATCH(MAX(4,DATOS!$C$71),TABLAS!$B$52:$B$58,0)+3,7)),1)),2))&lt;=MIN(DATOS!$C$73,INT(((DATOS!$C$83-2*AK15)+MAX(DATOS!$C$70,INDEX(TABLAS!$C$52:$C$58,MIN(MATCH(MAX(4,DATOS!$C$71),TABLAS!$B$52:$B$58,0)+3,7))))/(INDEX(TABLAS!$C$52:$C$58,MIN(MATCH(MAX(4,DATOS!$C$71),TABLAS!$B$52:$B$58,0)+3,7))+MAX(DATOS!$C$70,INDEX(TABLAS!$C$52:$C$58,MIN(MATCH(MAX(4,DATOS!$C$71),TABLAS!$B$52:$B$58,0)+3,7))))))),INDEX(TABLAS!$B$52:$B$58,MIN(MATCH(MAX(4,DATOS!$C$71),TABLAS!$B$52:$B$58,0)+3,7)),IF(AND(CC15&gt;=0,IF(MAX(DATOS!$C$74,CEILING(CC15/INDEX(TABLAS!$D$52:$D$58,MIN(MATCH(MAX(4,DATOS!$C$71),TABLAS!$B$52:$B$58,0)+4,7)),1))*INDEX(TABLAS!$D$52:$D$58,MIN(MATCH(MAX(4,DATOS!$C$71),TABLAS!$B$52:$B$58,0)+4,7)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+4,7)),1)),MAX(MAX(DATOS!$C$74,CEILING(CC15/INDEX(TABLAS!$D$52:$D$58,MIN(MATCH(MAX(4,DATOS!$C$71),TABLAS!$B$52:$B$58,0)+4,7)),1)),2))&lt;=MIN(DATOS!$C$73,INT(((DATOS!$C$83-2*AK15)+MAX(DATOS!$C$70,INDEX(TABLAS!$C$52:$C$58,MIN(MATCH(MAX(4,DATOS!$C$71),TABLAS!$B$52:$B$58,0)+4,7))))/(INDEX(TABLAS!$C$52:$C$58,MIN(MATCH(MAX(4,DATOS!$C$71),TABLAS!$B$52:$B$58,0)+4,7))+MAX(DATOS!$C$70,INDEX(TABLAS!$C$52:$C$58,MIN(MATCH(MAX(4,DATOS!$C$71),TABLAS!$B$52:$B$58,0)+4,7))))))),INDEX(TABLAS!$B$52:$B$58,MIN(MATCH(MAX(4,DATOS!$C$71),TABLAS!$B$52:$B$58,0)+4,7)),INDEX(TABLAS!$B$52:$B$58,7)))))))</f>
        <v/>
      </c>
      <c r="CE15" s="59" t="str">
        <f>IF(V15&lt;&gt;"SÍ","",IF(CC15&lt;0,0,IF(MAX(DATOS!$C$74,CEILING(MAX(CC15,0)/INDEX(TABLAS!$D$52:$D$58,MATCH(CD15,TABLAS!$B$52:$B$58,0)),1))*INDEX(TABLAS!$D$52:$D$58,MATCH(CD15,TABLAS!$B$52:$B$58,0))&gt;=4/3*IF(BI15&lt;=0,0,IF((1-2*BI15*1E5/(DATOS!$C$29*AI15*CB15^2*DATOS!$C$21))&lt;0,-1,IF((1-SQRT((1-2*BI15*1E5/(DATOS!$C$29*AI15*CB15^2*DATOS!$C$21))))*DATOS!$C$21*AI15*CB15/DATOS!$C$14&gt;DATOS!$C$102*AI15*CB15,-1,(1-SQRT((1-2*BI15*1E5/(DATOS!$C$29*AI15*CB15^2*DATOS!$C$21))))*DATOS!$C$21*AI15*CB15/DATOS!$C$14)))-0.0001,MAX(DATOS!$C$74,CEILING(MAX(CC15,0)/INDEX(TABLAS!$D$52:$D$58,MATCH(CD15,TABLAS!$B$52:$B$58,0)),1)),MAX(MAX(DATOS!$C$74,CEILING(MAX(CC15,0)/INDEX(TABLAS!$D$52:$D$58,MATCH(CD15,TABLAS!$B$52:$B$58,0)),1)),2))))</f>
        <v/>
      </c>
      <c r="CF15" s="58" t="str">
        <f>IF(V15&lt;&gt;"SÍ","",DATOS!$C$85-AK15-INDEX(TABLAS!$C$52:$C$58,MATCH(BN15,TABLAS!$B$52:$B$58,0))-INDEX(TABLAS!$C$52:$C$58,MATCH(CD15,TABLAS!$B$52:$B$58,0))/2)</f>
        <v/>
      </c>
      <c r="CG15" s="56" t="str">
        <f>IF(V15&lt;&gt;"SÍ","",IF(CE15=0,0,DATOS!$C$29*CE15*INDEX(TABLAS!$D$52:$D$58,MATCH(CD15,TABLAS!$B$52:$B$58,0))*DATOS!$C$14*(CF15-CE15*INDEX(TABLAS!$D$52:$D$58,MATCH(CD15,TABLAS!$B$52:$B$58,0))*DATOS!$C$14/(DATOS!$C$21*AI15)/2)/1E5))</f>
        <v/>
      </c>
      <c r="CH15" s="65" t="str">
        <f>IF(V15&lt;&gt;"SÍ","",IF(CC15&lt;0,9.99,IF(CG15&gt;0,BI15/CG15,0)))</f>
        <v/>
      </c>
      <c r="CI15" s="66" t="str">
        <f>IF(V15&lt;&gt;"SÍ","",IF(CE15=0,"—",0.003*(CF15-(CE15*INDEX(TABLAS!$D$52:$D$58,MATCH(CD15,TABLAS!$B$52:$B$58,0))*DATOS!$C$14/(DATOS!$C$21*AI15)/DATOS!$C$22))/(CE15*INDEX(TABLAS!$D$52:$D$58,MATCH(CD15,TABLAS!$B$52:$B$58,0))*DATOS!$C$14/(DATOS!$C$21*AI15)/DATOS!$C$22)))</f>
        <v/>
      </c>
      <c r="CJ15" s="58" t="str">
        <f>IF(V15&lt;&gt;"SÍ","",((DATOS!$C$85-AM15-2*DATOS!$C$97-INDEX(TABLAS!$C$52:$C$58,MATCH(MAX(4,DATOS!$C$72),TABLAS!$B$52:$B$58,0))-INDEX(TABLAS!$C$52:$C$58,MATCH(MAX(4,DATOS!$C$72),TABLAS!$B$52:$B$58,0))/2)-IF(AND((DATOS!$C$85-AM15-2*DATOS!$C$97-INDEX(TABLAS!$C$52:$C$58,MATCH(MAX(4,DATOS!$C$72),TABLAS!$B$52:$B$58,0))-INDEX(TABLAS!$C$52:$C$58,MATCH(MAX(4,DATOS!$C$72),TABLAS!$B$52:$B$58,0))/2)&lt;=20,DATOS!$C$65&lt;&gt;"SÍ"),2,0)))</f>
        <v/>
      </c>
      <c r="CK15" s="58" t="str">
        <f>IF(V15&lt;&gt;"SÍ","",IF(IF(BJ15&lt;=0,0,IF((1-2*BJ15*1E5/(DATOS!$C$29*AG15*CJ15^2*DATOS!$C$21))&lt;0,-1,IF((1-SQRT((1-2*BJ15*1E5/(DATOS!$C$29*AG15*CJ15^2*DATOS!$C$21))))*DATOS!$C$21*AG15*CJ15/DATOS!$C$14&gt;DATOS!$C$102*AG15*CJ15,-1,(1-SQRT((1-2*BJ15*1E5/(DATOS!$C$29*AG15*CJ15^2*DATOS!$C$21))))*DATOS!$C$21*AG15*CJ15/DATOS!$C$14)))&lt;0,-1,MAX(IF(BJ15&lt;=0,0,IF((1-2*BJ15*1E5/(DATOS!$C$29*AG15*CJ15^2*DATOS!$C$21))&lt;0,-1,IF((1-SQRT((1-2*BJ15*1E5/(DATOS!$C$29*AG15*CJ15^2*DATOS!$C$21))))*DATOS!$C$21*AG15*CJ15/DATOS!$C$14&gt;DATOS!$C$102*AG15*CJ15,-1,(1-SQRT((1-2*BJ15*1E5/(DATOS!$C$29*AG15*CJ15^2*DATOS!$C$21))))*DATOS!$C$21*AG15*CJ15/DATOS!$C$14))),MIN(DATOS!$C$103*DATOS!$C$83*CJ15,4/3*IF(BJ15&lt;=0,0,IF((1-2*BJ15*1E5/(DATOS!$C$29*AG15*CJ15^2*DATOS!$C$21))&lt;0,-1,IF((1-SQRT((1-2*BJ15*1E5/(DATOS!$C$29*AG15*CJ15^2*DATOS!$C$21))))*DATOS!$C$21*AG15*CJ15/DATOS!$C$14&gt;DATOS!$C$102*AG15*CJ15,-1,(1-SQRT((1-2*BJ15*1E5/(DATOS!$C$29*AG15*CJ15^2*DATOS!$C$21))))*DATOS!$C$21*AG15*CJ15/DATOS!$C$14)))))))</f>
        <v/>
      </c>
      <c r="CL15" s="64" t="str">
        <f>IF(V15&lt;&gt;"SÍ","",IF(AND(CK15&gt;=0,IF(MAX(DATOS!$C$74,CEILING(CK15/INDEX(TABLAS!$D$52:$D$58,MIN(MATCH(MAX(4,DATOS!$C$72),TABLAS!$B$52:$B$58,0)+0,7)),1))*INDEX(TABLAS!$D$52:$D$58,MIN(MATCH(MAX(4,DATOS!$C$72),TABLAS!$B$52:$B$58,0)+0,7)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+0,7)),1)),MAX(MAX(DATOS!$C$74,CEILING(CK15/INDEX(TABLAS!$D$52:$D$58,MIN(MATCH(MAX(4,DATOS!$C$72),TABLAS!$B$52:$B$58,0)+0,7)),1)),2))&lt;=MIN(DATOS!$C$73,INT(((DATOS!$C$83-2*AL15)+MAX(DATOS!$C$70,INDEX(TABLAS!$C$52:$C$58,MIN(MATCH(MAX(4,DATOS!$C$72),TABLAS!$B$52:$B$58,0)+0,7))))/(INDEX(TABLAS!$C$52:$C$58,MIN(MATCH(MAX(4,DATOS!$C$72),TABLAS!$B$52:$B$58,0)+0,7))+MAX(DATOS!$C$70,INDEX(TABLAS!$C$52:$C$58,MIN(MATCH(MAX(4,DATOS!$C$72),TABLAS!$B$52:$B$58,0)+0,7))))))),INDEX(TABLAS!$B$52:$B$58,MIN(MATCH(MAX(4,DATOS!$C$72),TABLAS!$B$52:$B$58,0)+0,7)),IF(AND(CK15&gt;=0,IF(MAX(DATOS!$C$74,CEILING(CK15/INDEX(TABLAS!$D$52:$D$58,MIN(MATCH(MAX(4,DATOS!$C$72),TABLAS!$B$52:$B$58,0)+1,7)),1))*INDEX(TABLAS!$D$52:$D$58,MIN(MATCH(MAX(4,DATOS!$C$72),TABLAS!$B$52:$B$58,0)+1,7)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+1,7)),1)),MAX(MAX(DATOS!$C$74,CEILING(CK15/INDEX(TABLAS!$D$52:$D$58,MIN(MATCH(MAX(4,DATOS!$C$72),TABLAS!$B$52:$B$58,0)+1,7)),1)),2))&lt;=MIN(DATOS!$C$73,INT(((DATOS!$C$83-2*AL15)+MAX(DATOS!$C$70,INDEX(TABLAS!$C$52:$C$58,MIN(MATCH(MAX(4,DATOS!$C$72),TABLAS!$B$52:$B$58,0)+1,7))))/(INDEX(TABLAS!$C$52:$C$58,MIN(MATCH(MAX(4,DATOS!$C$72),TABLAS!$B$52:$B$58,0)+1,7))+MAX(DATOS!$C$70,INDEX(TABLAS!$C$52:$C$58,MIN(MATCH(MAX(4,DATOS!$C$72),TABLAS!$B$52:$B$58,0)+1,7))))))),INDEX(TABLAS!$B$52:$B$58,MIN(MATCH(MAX(4,DATOS!$C$72),TABLAS!$B$52:$B$58,0)+1,7)),IF(AND(CK15&gt;=0,IF(MAX(DATOS!$C$74,CEILING(CK15/INDEX(TABLAS!$D$52:$D$58,MIN(MATCH(MAX(4,DATOS!$C$72),TABLAS!$B$52:$B$58,0)+2,7)),1))*INDEX(TABLAS!$D$52:$D$58,MIN(MATCH(MAX(4,DATOS!$C$72),TABLAS!$B$52:$B$58,0)+2,7)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+2,7)),1)),MAX(MAX(DATOS!$C$74,CEILING(CK15/INDEX(TABLAS!$D$52:$D$58,MIN(MATCH(MAX(4,DATOS!$C$72),TABLAS!$B$52:$B$58,0)+2,7)),1)),2))&lt;=MIN(DATOS!$C$73,INT(((DATOS!$C$83-2*AL15)+MAX(DATOS!$C$70,INDEX(TABLAS!$C$52:$C$58,MIN(MATCH(MAX(4,DATOS!$C$72),TABLAS!$B$52:$B$58,0)+2,7))))/(INDEX(TABLAS!$C$52:$C$58,MIN(MATCH(MAX(4,DATOS!$C$72),TABLAS!$B$52:$B$58,0)+2,7))+MAX(DATOS!$C$70,INDEX(TABLAS!$C$52:$C$58,MIN(MATCH(MAX(4,DATOS!$C$72),TABLAS!$B$52:$B$58,0)+2,7))))))),INDEX(TABLAS!$B$52:$B$58,MIN(MATCH(MAX(4,DATOS!$C$72),TABLAS!$B$52:$B$58,0)+2,7)),IF(AND(CK15&gt;=0,IF(MAX(DATOS!$C$74,CEILING(CK15/INDEX(TABLAS!$D$52:$D$58,MIN(MATCH(MAX(4,DATOS!$C$72),TABLAS!$B$52:$B$58,0)+3,7)),1))*INDEX(TABLAS!$D$52:$D$58,MIN(MATCH(MAX(4,DATOS!$C$72),TABLAS!$B$52:$B$58,0)+3,7)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+3,7)),1)),MAX(MAX(DATOS!$C$74,CEILING(CK15/INDEX(TABLAS!$D$52:$D$58,MIN(MATCH(MAX(4,DATOS!$C$72),TABLAS!$B$52:$B$58,0)+3,7)),1)),2))&lt;=MIN(DATOS!$C$73,INT(((DATOS!$C$83-2*AL15)+MAX(DATOS!$C$70,INDEX(TABLAS!$C$52:$C$58,MIN(MATCH(MAX(4,DATOS!$C$72),TABLAS!$B$52:$B$58,0)+3,7))))/(INDEX(TABLAS!$C$52:$C$58,MIN(MATCH(MAX(4,DATOS!$C$72),TABLAS!$B$52:$B$58,0)+3,7))+MAX(DATOS!$C$70,INDEX(TABLAS!$C$52:$C$58,MIN(MATCH(MAX(4,DATOS!$C$72),TABLAS!$B$52:$B$58,0)+3,7))))))),INDEX(TABLAS!$B$52:$B$58,MIN(MATCH(MAX(4,DATOS!$C$72),TABLAS!$B$52:$B$58,0)+3,7)),IF(AND(CK15&gt;=0,IF(MAX(DATOS!$C$74,CEILING(CK15/INDEX(TABLAS!$D$52:$D$58,MIN(MATCH(MAX(4,DATOS!$C$72),TABLAS!$B$52:$B$58,0)+4,7)),1))*INDEX(TABLAS!$D$52:$D$58,MIN(MATCH(MAX(4,DATOS!$C$72),TABLAS!$B$52:$B$58,0)+4,7)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+4,7)),1)),MAX(MAX(DATOS!$C$74,CEILING(CK15/INDEX(TABLAS!$D$52:$D$58,MIN(MATCH(MAX(4,DATOS!$C$72),TABLAS!$B$52:$B$58,0)+4,7)),1)),2))&lt;=MIN(DATOS!$C$73,INT(((DATOS!$C$83-2*AL15)+MAX(DATOS!$C$70,INDEX(TABLAS!$C$52:$C$58,MIN(MATCH(MAX(4,DATOS!$C$72),TABLAS!$B$52:$B$58,0)+4,7))))/(INDEX(TABLAS!$C$52:$C$58,MIN(MATCH(MAX(4,DATOS!$C$72),TABLAS!$B$52:$B$58,0)+4,7))+MAX(DATOS!$C$70,INDEX(TABLAS!$C$52:$C$58,MIN(MATCH(MAX(4,DATOS!$C$72),TABLAS!$B$52:$B$58,0)+4,7))))))),INDEX(TABLAS!$B$52:$B$58,MIN(MATCH(MAX(4,DATOS!$C$72),TABLAS!$B$52:$B$58,0)+4,7)),INDEX(TABLAS!$B$52:$B$58,7)))))))</f>
        <v/>
      </c>
      <c r="CM15" s="59" t="str">
        <f>IF(V15&lt;&gt;"SÍ","",IF(CK15&lt;0,0,IF(MAX(DATOS!$C$74,CEILING(MAX(CK15,0)/INDEX(TABLAS!$D$52:$D$58,MATCH(CL15,TABLAS!$B$52:$B$58,0)),1))*INDEX(TABLAS!$D$52:$D$58,MATCH(CL15,TABLAS!$B$52:$B$58,0))&gt;=4/3*IF(BJ15&lt;=0,0,IF((1-2*BJ15*1E5/(DATOS!$C$29*AG15*CJ15^2*DATOS!$C$21))&lt;0,-1,IF((1-SQRT((1-2*BJ15*1E5/(DATOS!$C$29*AG15*CJ15^2*DATOS!$C$21))))*DATOS!$C$21*AG15*CJ15/DATOS!$C$14&gt;DATOS!$C$102*AG15*CJ15,-1,(1-SQRT((1-2*BJ15*1E5/(DATOS!$C$29*AG15*CJ15^2*DATOS!$C$21))))*DATOS!$C$21*AG15*CJ15/DATOS!$C$14)))-0.0001,MAX(DATOS!$C$74,CEILING(MAX(CK15,0)/INDEX(TABLAS!$D$52:$D$58,MATCH(CL15,TABLAS!$B$52:$B$58,0)),1)),MAX(MAX(DATOS!$C$74,CEILING(MAX(CK15,0)/INDEX(TABLAS!$D$52:$D$58,MATCH(CL15,TABLAS!$B$52:$B$58,0)),1)),2))))</f>
        <v/>
      </c>
      <c r="CN15" s="58" t="str">
        <f>IF(V15&lt;&gt;"SÍ","",((DATOS!$C$85-AM15-2*DATOS!$C$97-INDEX(TABLAS!$C$52:$C$58,MATCH(BV15,TABLAS!$B$52:$B$58,0))-INDEX(TABLAS!$C$52:$C$58,MATCH(CL15,TABLAS!$B$52:$B$58,0))/2)-IF(AND((DATOS!$C$85-AM15-2*DATOS!$C$97-INDEX(TABLAS!$C$52:$C$58,MATCH(BV15,TABLAS!$B$52:$B$58,0))-INDEX(TABLAS!$C$52:$C$58,MATCH(CL15,TABLAS!$B$52:$B$58,0))/2)&lt;=20,DATOS!$C$65&lt;&gt;"SÍ"),2,0)))</f>
        <v/>
      </c>
      <c r="CO15" s="56" t="str">
        <f>IF(V15&lt;&gt;"SÍ","",IF(CM15=0,0,DATOS!$C$29*CM15*INDEX(TABLAS!$D$52:$D$58,MATCH(CL15,TABLAS!$B$52:$B$58,0))*DATOS!$C$14*(CN15-CM15*INDEX(TABLAS!$D$52:$D$58,MATCH(CL15,TABLAS!$B$52:$B$58,0))*DATOS!$C$14/(DATOS!$C$21*AG15)/2)/1E5))</f>
        <v/>
      </c>
      <c r="CP15" s="65" t="str">
        <f>IF(V15&lt;&gt;"SÍ","",IF(CK15&lt;0,9.99,IF(CO15&gt;0,BJ15/CO15,0)))</f>
        <v/>
      </c>
      <c r="CQ15" s="66" t="str">
        <f>IF(V15&lt;&gt;"SÍ","",IF(CM15=0,"—",0.003*(CN15-(CM15*INDEX(TABLAS!$D$52:$D$58,MATCH(CL15,TABLAS!$B$52:$B$58,0))*DATOS!$C$14/(DATOS!$C$21*AG15)/DATOS!$C$22))/(CM15*INDEX(TABLAS!$D$52:$D$58,MATCH(CL15,TABLAS!$B$52:$B$58,0))*DATOS!$C$14/(DATOS!$C$21*AG15)/DATOS!$C$22)))</f>
        <v/>
      </c>
      <c r="CR15" s="56" t="str">
        <f>IF(V15&lt;&gt;"SÍ","",IF(C15="PERIMETRAL",MAX(0,(AB15/2-BX15)/100)*(0.95-0.5*AA15)*AR15*IF(AND(AS15&gt;0,AS15&lt;4),DATOS!$C$33,1)*DATOS!$C$86/100/1000,(AR15*MAX(0,AB15-BX15)/100+DATOS!$C$26*N(O15))*DATOS!$C$86/100/1000+BF15))</f>
        <v/>
      </c>
      <c r="CS15" s="56" t="str">
        <f>IF(V15&lt;&gt;"SÍ","",DATOS!$C$30*2*MIN(1,SQRT(2/(1+0.04*BX15)))*(BW15*INDEX(TABLAS!$D$52:$D$58,MATCH(BV15,TABLAS!$B$52:$B$58,0))/(AF15*BX15))^(1/3)*SQRT(DATOS!$C$13)*AF15*BX15*IF(AJ15="SÍ",DATOS!$C$32,1)/1000)</f>
        <v/>
      </c>
      <c r="CT15" s="59" t="str">
        <f>IF(V15&lt;&gt;"SÍ","",IF(CR15&lt;=CS15,0,CEILING(MAX(0,IF(C15="VOLADO",(AB15-((CS15-BF15)*1E5/DATOS!$C$86-DATOS!$C$26*N(O15))*100/AR15),IF(CS15&lt;=0,AB15,AB15/2-CS15/MAX(CR15,1E-9)*(AB15/2-BX15)))-IF(X15="X",MIN(DJ15,DK15),MIN(DL15,DM15)))/DATOS!$C$86,1)))</f>
        <v/>
      </c>
      <c r="CU15" s="67" t="str">
        <f>IF(V15&lt;&gt;"SÍ","",IF(CR15&lt;=CS15,"CUMPLE",IF(CT15&lt;=0,"CUMPLE (basta el macizo de orilla)",IF(CT15*DATOS!$C$86*IF(C15="VOLADO",1,2)&gt;=Y15*100-DATOS!$C$87,"NO CUMPLE: no alcanza ni macizando todo","MACIZAR "&amp;CT15&amp;" hilera(s)"))))</f>
        <v/>
      </c>
      <c r="CV15" s="58" t="str">
        <f>IF(V15&lt;&gt;"SÍ","",(DATOS!$C$86*DATOS!$C$84^2/2+MIN(DATOS!$C$83,AD15)*DATOS!$C$82*(DATOS!$C$84+DATOS!$C$82/2))/(DATOS!$C$86*DATOS!$C$84+MIN(DATOS!$C$83,AD15)*DATOS!$C$82))</f>
        <v/>
      </c>
      <c r="CW15" s="68" t="str">
        <f>IF(V15&lt;&gt;"SÍ","",DATOS!$C$86*DATOS!$C$84^3/12+DATOS!$C$86*DATOS!$C$84*(CV15-DATOS!$C$84/2)^2+MIN(DATOS!$C$83,AD15)*DATOS!$C$82^3/12+MIN(DATOS!$C$83,AD15)*DATOS!$C$82*(DATOS!$C$84+DATOS!$C$82/2-CV15)^2)</f>
        <v/>
      </c>
      <c r="CX15" s="58" t="str">
        <f>IF(V15&lt;&gt;"SÍ","",(12*CW15/DATOS!$C$86)^(1/3))</f>
        <v/>
      </c>
      <c r="CY15" s="58" t="str">
        <f>IF(V15&lt;&gt;"SÍ","",IF(C15="PERIMETRAL",IF(ISNUMBER(S15),S15,DATOS!$C$104),0))</f>
        <v/>
      </c>
      <c r="CZ15" s="57" t="str">
        <f>IF(V15&lt;&gt;"SÍ","",IF(C15="PERIMETRAL",IF(CY15&gt;2,MAX(9,AC15*(0.8+DATOS!$C$14/14000)/(36+9*(AC15/MAX(AB15,1)))),IF(CY15&gt;0.2,MAX(13,AC15*(0.8+DATOS!$C$14/14000)/(36+5*(AC15/MAX(AB15,1))*(CY15-0.2))),MAX(13,AC15/IF(AS15&gt;0,30,33))))*IF(AND(CY15&gt;0.2,AS15&gt;0,DATOS!$C$105="NO"),1.1,1),MAX(25,Y15*100/8*(0.4+DATOS!$C$14/7000))))</f>
        <v/>
      </c>
      <c r="DA15" s="61" t="str">
        <f>IF(V15&lt;&gt;"SÍ","",IF(IF(C15="VOLADO",DATOS!$C$85,CX15)&gt;=CZ15,"CUMPLE",IF(C15="VOLADO","NO CUMPLE","CALCULAR FLECHA")))</f>
        <v/>
      </c>
      <c r="DB15" s="55" t="str">
        <f>IF(V15&lt;&gt;"SÍ","",IF(DATOS!$C$84&gt;=IF(IF(C15="VOLADO",Y15,Z15)&gt;=6,6,5),"CUMPLE","CAPA ≥ 6 cm"))</f>
        <v/>
      </c>
      <c r="DC15" s="60" t="str">
        <f>IF(V15&lt;&gt;"SÍ","",IF(C15="VOLADO",MIN(FLOOR(IF(ISNUMBER(P15),P15,Y15)*100-DATOS!$C$63,5),CEILING(MAX(IF((0.5*(0.9*DATOS!$C$90*DATOS!$C$86/100/1000)*IF(ISNUMBER(P15),P15,Y15)+BH15/IF(ISNUMBER(P15),P15,Y15))^2-4*(0.5*(0.9*DATOS!$C$90*DATOS!$C$86/100/1000))*BH15&lt;0,IF(ISNUMBER(P15),P15,Y15),MIN(IF(ISNUMBER(P15),P15,Y15),((0.5*(0.9*DATOS!$C$90*DATOS!$C$86/100/1000)*IF(ISNUMBER(P15),P15,Y15)+BH15/IF(ISNUMBER(P15),P15,Y15))-SQRT((0.5*(0.9*DATOS!$C$90*DATOS!$C$86/100/1000)*IF(ISNUMBER(P15),P15,Y15)+BH15/IF(ISNUMBER(P15),P15,Y15))^2-4*(0.5*(0.9*DATOS!$C$90*DATOS!$C$86/100/1000))*BH15))/(2*(0.5*(0.9*DATOS!$C$90*DATOS!$C$86/100/1000)))))*100+MAX(BX15,12*INDEX(TABLAS!$C$52:$C$58,MATCH(BV15,TABLAS!$B$52:$B$58,0)),IF(ISNUMBER(P15),P15,Y15)*100/16),IF(OR(AL15&lt;INDEX(TABLAS!$C$52:$C$58,MATCH(BV15,TABLAS!$B$52:$B$58,0)),AND(BW15&gt;=2,(AD15-2*AL15-BW15*INDEX(TABLAS!$C$52:$C$58,MATCH(BV15,TABLAS!$B$52:$B$58,0)))/MAX(BW15-1,1)&lt;2*INDEX(TABLAS!$C$52:$C$58,MATCH(BV15,TABLAS!$B$52:$B$58,0)))),INDEX(TABLAS!$I$52:$I$58,MATCH(BV15,TABLAS!$B$52:$B$58,0)),INDEX(TABLAS!$F$52:$F$58,MATCH(BV15,TABLAS!$B$52:$B$58,0)))),5)),IF(((4*((BC15*AR15*Y15^2*1E-4*DATOS!$C$86/100/1000)+((MAX(AY15,BA15)*AR15*Y15^2*1E-4*DATOS!$C$86/100/1000)+(IF(AND(AY15&gt;0,BA15&gt;0),MIN(AY15,BA15),MAX(AY15,BA15))*AR15*Y15^2*1E-4*DATOS!$C$86/100/1000))/2)+BH15-(IF(AND(AY15&gt;0,BA15&gt;0),MIN(AY15,BA15),MAX(AY15,BA15))*AR15*Y15^2*1E-4*DATOS!$C$86/100/1000))^2-16*((BC15*AR15*Y15^2*1E-4*DATOS!$C$86/100/1000)+((MAX(AY15,BA15)*AR15*Y15^2*1E-4*DATOS!$C$86/100/1000)+(IF(AND(AY15&gt;0,BA15&gt;0),MIN(AY15,BA15),MAX(AY15,BA15))*AR15*Y15^2*1E-4*DATOS!$C$86/100/1000))/2)*BH15)&lt;0,CEILING(AB15,5),CEILING(MAX(AB15*((4*((BC15*AR15*Y15^2*1E-4*DATOS!$C$86/100/1000)+((MAX(AY15,BA15)*AR15*Y15^2*1E-4*DATOS!$C$86/100/1000)+(IF(AND(AY15&gt;0,BA15&gt;0),MIN(AY15,BA15),MAX(AY15,BA15))*AR15*Y15^2*1E-4*DATOS!$C$86/100/1000))/2)+BH15-(IF(AND(AY15&gt;0,BA15&gt;0),MIN(AY15,BA15),MAX(AY15,BA15))*AR15*Y15^2*1E-4*DATOS!$C$86/100/1000))-SQRT(MAX(0,((4*((BC15*AR15*Y15^2*1E-4*DATOS!$C$86/100/1000)+((MAX(AY15,BA15)*AR15*Y15^2*1E-4*DATOS!$C$86/100/1000)+(IF(AND(AY15&gt;0,BA15&gt;0),MIN(AY15,BA15),MAX(AY15,BA15))*AR15*Y15^2*1E-4*DATOS!$C$86/100/1000))/2)+BH15-(IF(AND(AY15&gt;0,BA15&gt;0),MIN(AY15,BA15),MAX(AY15,BA15))*AR15*Y15^2*1E-4*DATOS!$C$86/100/1000))^2-16*((BC15*AR15*Y15^2*1E-4*DATOS!$C$86/100/1000)+((MAX(AY15,BA15)*AR15*Y15^2*1E-4*DATOS!$C$86/100/1000)+(IF(AND(AY15&gt;0,BA15&gt;0),MIN(AY15,BA15),MAX(AY15,BA15))*AR15*Y15^2*1E-4*DATOS!$C$86/100/1000))/2)*BH15))))/(8*MAX(((BC15*AR15*Y15^2*1E-4*DATOS!$C$86/100/1000)+((MAX(AY15,BA15)*AR15*Y15^2*1E-4*DATOS!$C$86/100/1000)+(IF(AND(AY15&gt;0,BA15&gt;0),MIN(AY15,BA15),MAX(AY15,BA15))*AR15*Y15^2*1E-4*DATOS!$C$86/100/1000))/2),1E-9))+MAX(BX15,12*INDEX(TABLAS!$C$52:$C$58,MATCH(BV15,TABLAS!$B$52:$B$58,0)),AB15/16),IF(OR(AL15&lt;INDEX(TABLAS!$C$52:$C$58,MATCH(BV15,TABLAS!$B$52:$B$58,0)),AND(BW15&gt;=2,(AD15-2*AL15-BW15*INDEX(TABLAS!$C$52:$C$58,MATCH(BV15,TABLAS!$B$52:$B$58,0)))/MAX(BW15-1,1)&lt;2*INDEX(TABLAS!$C$52:$C$58,MATCH(BV15,TABLAS!$B$52:$B$58,0)))),INDEX(TABLAS!$I$52:$I$58,MATCH(BV15,TABLAS!$B$52:$B$58,0)),INDEX(TABLAS!$F$52:$F$58,MATCH(BV15,TABLAS!$B$52:$B$58,0)))),5))))</f>
        <v/>
      </c>
      <c r="DD15" s="60" t="str">
        <f>IF(V15&lt;&gt;"SÍ","",IF(C15="VOLADO",0,IF(((4*((BD15*AR15*Y15^2*1E-4*DATOS!$C$86/100/1000)+((MAX(AZ15,BB15)*AR15*Y15^2*1E-4*DATOS!$C$86/100/1000)+(IF(AND(AZ15&gt;0,BB15&gt;0),MIN(AZ15,BB15),MAX(AZ15,BB15))*AR15*Y15^2*1E-4*DATOS!$C$86/100/1000))/2)+BJ15-(IF(AND(AZ15&gt;0,BB15&gt;0),MIN(AZ15,BB15),MAX(AZ15,BB15))*AR15*Y15^2*1E-4*DATOS!$C$86/100/1000))^2-16*((BD15*AR15*Y15^2*1E-4*DATOS!$C$86/100/1000)+((MAX(AZ15,BB15)*AR15*Y15^2*1E-4*DATOS!$C$86/100/1000)+(IF(AND(AZ15&gt;0,BB15&gt;0),MIN(AZ15,BB15),MAX(AZ15,BB15))*AR15*Y15^2*1E-4*DATOS!$C$86/100/1000))/2)*BJ15)&lt;0,CEILING(AC15,5),CEILING(MAX(AC15*((4*((BD15*AR15*Y15^2*1E-4*DATOS!$C$86/100/1000)+((MAX(AZ15,BB15)*AR15*Y15^2*1E-4*DATOS!$C$86/100/1000)+(IF(AND(AZ15&gt;0,BB15&gt;0),MIN(AZ15,BB15),MAX(AZ15,BB15))*AR15*Y15^2*1E-4*DATOS!$C$86/100/1000))/2)+BJ15-(IF(AND(AZ15&gt;0,BB15&gt;0),MIN(AZ15,BB15),MAX(AZ15,BB15))*AR15*Y15^2*1E-4*DATOS!$C$86/100/1000))-SQRT(MAX(0,((4*((BD15*AR15*Y15^2*1E-4*DATOS!$C$86/100/1000)+((MAX(AZ15,BB15)*AR15*Y15^2*1E-4*DATOS!$C$86/100/1000)+(IF(AND(AZ15&gt;0,BB15&gt;0),MIN(AZ15,BB15),MAX(AZ15,BB15))*AR15*Y15^2*1E-4*DATOS!$C$86/100/1000))/2)+BJ15-(IF(AND(AZ15&gt;0,BB15&gt;0),MIN(AZ15,BB15),MAX(AZ15,BB15))*AR15*Y15^2*1E-4*DATOS!$C$86/100/1000))^2-16*((BD15*AR15*Y15^2*1E-4*DATOS!$C$86/100/1000)+((MAX(AZ15,BB15)*AR15*Y15^2*1E-4*DATOS!$C$86/100/1000)+(IF(AND(AZ15&gt;0,BB15&gt;0),MIN(AZ15,BB15),MAX(AZ15,BB15))*AR15*Y15^2*1E-4*DATOS!$C$86/100/1000))/2)*BJ15))))/(8*MAX(((BD15*AR15*Y15^2*1E-4*DATOS!$C$86/100/1000)+((MAX(AZ15,BB15)*AR15*Y15^2*1E-4*DATOS!$C$86/100/1000)+(IF(AND(AZ15&gt;0,BB15&gt;0),MIN(AZ15,BB15),MAX(AZ15,BB15))*AR15*Y15^2*1E-4*DATOS!$C$86/100/1000))/2),1E-9))+MAX(CN15,12*INDEX(TABLAS!$C$52:$C$58,MATCH(CL15,TABLAS!$B$52:$B$58,0)),AC15/16),IF(OR(AL15&lt;INDEX(TABLAS!$C$52:$C$58,MATCH(CL15,TABLAS!$B$52:$B$58,0)),AND(CM15&gt;=2,(DATOS!$C$83-2*AL15-CM15*INDEX(TABLAS!$C$52:$C$58,MATCH(CL15,TABLAS!$B$52:$B$58,0)))/MAX(CM15-1,1)&lt;2*INDEX(TABLAS!$C$52:$C$58,MATCH(CL15,TABLAS!$B$52:$B$58,0)))),INDEX(TABLAS!$I$52:$I$58,MATCH(CL15,TABLAS!$B$52:$B$58,0)),INDEX(TABLAS!$F$52:$F$58,MATCH(CL15,TABLAS!$B$52:$B$58,0)))),5))))</f>
        <v/>
      </c>
      <c r="DE15" s="55" t="str">
        <f>IF(V15&lt;&gt;"SÍ","",IF(AND(C15="PERIMETRAL",BW15&gt;=2,AS15-AT15&gt;0,BA15*AR15*Y15^2*1E-4*DATOS!$C$86/100/1000&gt;DATOS!$C$29*INDEX(TABLAS!$D$52:$D$58,MATCH(BV15,TABLAS!$B$52:$B$58,0))*DATOS!$C$14*(BX15-INDEX(TABLAS!$D$52:$D$58,MATCH(BV15,TABLAS!$B$52:$B$58,0))*DATOS!$C$14/(DATOS!$C$21*AF15)/2)/1E5),"SÍ","NO"))</f>
        <v/>
      </c>
      <c r="DF15" s="55" t="str">
        <f>IF(V15&lt;&gt;"SÍ","",IF(AND(C15="PERIMETRAL",CM15&gt;=2,AT15&gt;0,BB15*AR15*Y15^2*1E-4*DATOS!$C$86/100/1000&gt;DATOS!$C$29*INDEX(TABLAS!$D$52:$D$58,MATCH(CL15,TABLAS!$B$52:$B$58,0))*DATOS!$C$14*(CN15-INDEX(TABLAS!$D$52:$D$58,MATCH(CL15,TABLAS!$B$52:$B$58,0))*DATOS!$C$14/(DATOS!$C$21*AG15)/2)/1E5),"SÍ","NO"))</f>
        <v/>
      </c>
      <c r="DG15" s="63" t="str">
        <f>IF(V15&lt;&gt;"SÍ","",IF(OR(C15="VOLADO",AS15=0),"—",IF(AND(AND(1.25*INDEX(TABLAS!$G$52:$G$58,MATCH(MAX(BN15,CD15),TABLAS!$B$52:$B$58,0))&lt;=(DATOS!$C$75-DATOS!$C$63),(DATOS!$C$75-DATOS!$C$63)&gt;=15,INDEX(TABLAS!$G$52:$G$58,MATCH(MAX(BV15,CL15),TABLAS!$B$52:$B$58,0))&lt;=(DATOS!$C$75-DATOS!$C$63)),8*INDEX(TABLAS!$C$52:$C$58,MATCH(MAX(MAX(BN15,CD15),MAX(BV15,CL15)),TABLAS!$B$52:$B$58,0))&lt;=DATOS!$C$76-2*DATOS!$C$63),"CUMPLE (gancho de 180°)",IF(AND(1.25*INDEX(TABLAS!$G$52:$G$58,MATCH(MAX(BN15,CD15),TABLAS!$B$52:$B$58,0))&lt;=(DATOS!$C$75-DATOS!$C$63),(DATOS!$C$75-DATOS!$C$63)&gt;=15,INDEX(TABLAS!$G$52:$G$58,MATCH(MAX(BV15,CL15),TABLAS!$B$52:$B$58,0))&lt;=(DATOS!$C$75-DATOS!$C$63)),"NO CUMPLE: el gancho de 180° (8·d_b) no cabe en el peralte de la dala de borde","NO CUMPLE: dala de borde ≥ "&amp;TEXT(CEILING(MAX(1.25*INDEX(TABLAS!$G$52:$G$58,MATCH(MAX(BN15,CD15),TABLAS!$B$52:$B$58,0)),15,INDEX(TABLAS!$G$52:$G$58,MATCH(MAX(BV15,CL15),TABLAS!$B$52:$B$58,0)))+DATOS!$C$63,5),"0")&amp;" cm de ancho"&amp;IF(8*INDEX(TABLAS!$C$52:$C$58,MATCH(MAX(MAX(BN15,CD15),MAX(BV15,CL15)),TABLAS!$B$52:$B$58,0))&lt;=DATOS!$C$76-2*DATOS!$C$63,""," y más peralte para el gancho")))))</f>
        <v/>
      </c>
      <c r="DH15" s="59" t="str">
        <f>IF(V15&lt;&gt;"SÍ","",MAX(0,INT((E15*100-DATOS!$C$87-IF(AND(C15="PERIMETRAL",I15="DISCONTINUO"),MAX(0,DATOS!$C$75-DATOS!$C$87),0)-IF(AND(C15="PERIMETRAL",J15="DISCONTINUO"),MAX(0,DATOS!$C$75-DATOS!$C$87),0)+DATOS!$C$86-IF(X15="X",DATOS!$C$81,AE15))/DATOS!$C$86)))</f>
        <v/>
      </c>
      <c r="DI15" s="59" t="str">
        <f>IF(V15&lt;&gt;"SÍ","",MAX(0,INT((F15*100-DATOS!$C$87-IF(AND(C15="PERIMETRAL",G15="DISCONTINUO"),MAX(0,DATOS!$C$75-DATOS!$C$87),0)-IF(AND(C15="PERIMETRAL",H15="DISCONTINUO"),MAX(0,DATOS!$C$75-DATOS!$C$87),0)+DATOS!$C$86-IF(X15="Y",DATOS!$C$81,AE15))/DATOS!$C$86)))</f>
        <v/>
      </c>
      <c r="DJ15" s="57" t="str">
        <f>IF(V15&lt;&gt;"SÍ","",IF(DH15&gt;0,IF(AND(C15="PERIMETRAL",I15="DISCONTINUO"),MAX(0,DATOS!$C$75-DATOS!$C$87),0)+(E15*100-DATOS!$C$87-IF(AND(C15="PERIMETRAL",I15="DISCONTINUO"),MAX(0,DATOS!$C$75-DATOS!$C$87),0)-IF(AND(C15="PERIMETRAL",J15="DISCONTINUO"),MAX(0,DATOS!$C$75-DATOS!$C$87),0)-(DH15*IF(X15="X",DATOS!$C$81,AE15)+(DH15-1)*(DATOS!$C$86-IF(X15="X",DATOS!$C$81,AE15))))/2,E15*100/2))</f>
        <v/>
      </c>
      <c r="DK15" s="57" t="str">
        <f>IF(V15&lt;&gt;"SÍ","",IF(DH15&gt;0,IF(AND(C15="PERIMETRAL",J15="DISCONTINUO"),MAX(0,DATOS!$C$75-DATOS!$C$87),0)+(E15*100-DATOS!$C$87-IF(AND(C15="PERIMETRAL",I15="DISCONTINUO"),MAX(0,DATOS!$C$75-DATOS!$C$87),0)-IF(AND(C15="PERIMETRAL",J15="DISCONTINUO"),MAX(0,DATOS!$C$75-DATOS!$C$87),0)-(DH15*IF(X15="X",DATOS!$C$81,AE15)+(DH15-1)*(DATOS!$C$86-IF(X15="X",DATOS!$C$81,AE15))))/2,E15*100/2))</f>
        <v/>
      </c>
      <c r="DL15" s="57" t="str">
        <f>IF(V15&lt;&gt;"SÍ","",IF(DI15&gt;0,IF(AND(C15="PERIMETRAL",G15="DISCONTINUO"),MAX(0,DATOS!$C$75-DATOS!$C$87),0)+(F15*100-DATOS!$C$87-IF(AND(C15="PERIMETRAL",G15="DISCONTINUO"),MAX(0,DATOS!$C$75-DATOS!$C$87),0)-IF(AND(C15="PERIMETRAL",H15="DISCONTINUO"),MAX(0,DATOS!$C$75-DATOS!$C$87),0)-(DI15*IF(X15="Y",DATOS!$C$81,AE15)+(DI15-1)*(DATOS!$C$86-IF(X15="Y",DATOS!$C$81,AE15))))/2,F15*100/2))</f>
        <v/>
      </c>
      <c r="DM15" s="57" t="str">
        <f>IF(V15&lt;&gt;"SÍ","",IF(DI15&gt;0,IF(AND(C15="PERIMETRAL",H15="DISCONTINUO"),MAX(0,DATOS!$C$75-DATOS!$C$87),0)+(F15*100-DATOS!$C$87-IF(AND(C15="PERIMETRAL",G15="DISCONTINUO"),MAX(0,DATOS!$C$75-DATOS!$C$87),0)-IF(AND(C15="PERIMETRAL",H15="DISCONTINUO"),MAX(0,DATOS!$C$75-DATOS!$C$87),0)-(DI15*IF(X15="Y",DATOS!$C$81,AE15)+(DI15-1)*(DATOS!$C$86-IF(X15="Y",DATOS!$C$81,AE15))))/2,F15*100/2))</f>
        <v/>
      </c>
      <c r="DN15" s="59" t="str">
        <f>IF(V15&lt;&gt;"SÍ","",IF(NOT(AND(C15="VOLADO",AD15&gt;DATOS!$C$83)),0,IF(INDEX(TABLAS!$C$52:$C$58,MATCH(BV15,TABLAS!$B$52:$B$58,0))&lt;=DATOS!$C$83-2*DATOS!$C$63,1,0)))</f>
        <v/>
      </c>
      <c r="DO15" s="58" t="str">
        <f>IF(V15&lt;&gt;"SÍ","",IF(NOT(AND(C15="VOLADO",AD15&gt;DATOS!$C$83)),0,((DATOS!$C$85-MAX(DATOS!$C$63,(DATOS!$C$84-2*DATOS!$C$97)/2)-2*DATOS!$C$97-INDEX(TABLAS!$C$52:$C$58,MATCH(MAX(4,DATOS!$C$72),TABLAS!$B$52:$B$58,0))-INDEX(TABLAS!$C$52:$C$58,MATCH(BV15,TABLAS!$B$52:$B$58,0))/2)-IF(AND((DATOS!$C$85-MAX(DATOS!$C$63,(DATOS!$C$84-2*DATOS!$C$97)/2)-2*DATOS!$C$97-INDEX(TABLAS!$C$52:$C$58,MATCH(MAX(4,DATOS!$C$72),TABLAS!$B$52:$B$58,0))-INDEX(TABLAS!$C$52:$C$58,MATCH(BV15,TABLAS!$B$52:$B$58,0))/2)&lt;=20,DATOS!$C$65&lt;&gt;"SÍ"),2,0))))</f>
        <v/>
      </c>
      <c r="DP15" s="56" t="str">
        <f>IF(V15&lt;&gt;"SÍ","",IF(OR(NOT(AND(C15="VOLADO",AD15&gt;DATOS!$C$83)),DN15&lt;1),0,IF(0.003*(DO15-((DN15*INDEX(TABLAS!$D$52:$D$58,MATCH(BV15,TABLAS!$B$52:$B$58,0)))*DATOS!$C$14/(DATOS!$C$21*AG15)/DATOS!$C$22))/((DN15*INDEX(TABLAS!$D$52:$D$58,MATCH(BV15,TABLAS!$B$52:$B$58,0)))*DATOS!$C$14/(DATOS!$C$21*AG15)/DATOS!$C$22)&lt;0.005,0,DATOS!$C$29*(DN15*INDEX(TABLAS!$D$52:$D$58,MATCH(BV15,TABLAS!$B$52:$B$58,0)))*DATOS!$C$14*(DO15-(DN15*INDEX(TABLAS!$D$52:$D$58,MATCH(BV15,TABLAS!$B$52:$B$58,0)))*DATOS!$C$14/(DATOS!$C$21*AG15)/2)/1E5)))</f>
        <v/>
      </c>
      <c r="DQ15" s="56" t="str">
        <f>IF(V15&lt;&gt;"SÍ","",IF(OR(NOT(AND(C15="VOLADO",AD15&gt;DATOS!$C$83)),DN15&lt;1),0,DATOS!$C$30*2*MIN(1,SQRT(2/(1+0.04*DO15)))*((DN15*INDEX(TABLAS!$D$52:$D$58,MATCH(BV15,TABLAS!$B$52:$B$58,0)))/(AG15*DO15))^(1/3)*SQRT(DATOS!$C$13)*AG15*DO15/1000))</f>
        <v/>
      </c>
      <c r="DR15" s="56" t="str">
        <f>IF(V15&lt;&gt;"SÍ","",IF(NOT(AND(C15="VOLADO",AD15&gt;DATOS!$C$83)),0,IF((BH15-DP15)&lt;=0,0,IF(DP15&lt;=0,IF(ISNUMBER(P15),P15,Y15),IF(((0.9*DATOS!$C$90*DATOS!$C$86/100/1000)*IF(ISNUMBER(P15),P15,Y15)/2+BH15/IF(ISNUMBER(P15),P15,Y15))^2-4*((0.9*DATOS!$C$90*DATOS!$C$86/100/1000)/2)*(BH15-DP15)&lt;0,IF(ISNUMBER(P15),P15,Y15),MIN(IF(ISNUMBER(P15),P15,Y15),(((0.9*DATOS!$C$90*DATOS!$C$86/100/1000)*IF(ISNUMBER(P15),P15,Y15)/2+BH15/IF(ISNUMBER(P15),P15,Y15))-SQRT(((0.9*DATOS!$C$90*DATOS!$C$86/100/1000)*IF(ISNUMBER(P15),P15,Y15)/2+BH15/IF(ISNUMBER(P15),P15,Y15))^2-4*((0.9*DATOS!$C$90*DATOS!$C$86/100/1000)/2)*(BH15-DP15)))/(2*((0.9*DATOS!$C$90*DATOS!$C$86/100/1000)/2))))))))</f>
        <v/>
      </c>
      <c r="DS15" s="56" t="str">
        <f>IF(V15&lt;&gt;"SÍ","",IF(NOT(AND(C15="VOLADO",AD15&gt;DATOS!$C$83)),0,IF(DQ15&lt;=(BH15/((IF(ISNUMBER(P15),P15,Y15)*100-DATOS!$C$87)/100)),IF(ISNUMBER(P15),P15,Y15),MIN(IF(ISNUMBER(P15),P15,Y15),MAX(0,(IF(ISNUMBER(P15),P15,Y15)*100-DATOS!$C$87)/200-(DQ15-(BH15/((IF(ISNUMBER(P15),P15,Y15)*100-DATOS!$C$87)/100)))/((0.95-0.5*IF(N(Q15)&gt;0,MIN(IF(ISNUMBER(P15),P15,Y15),Q15)/MAX(IF(ISNUMBER(P15),P15,Y15),Q15),0))*DATOS!$C$33*AR15*DATOS!$C$86/100/1000))))))</f>
        <v/>
      </c>
      <c r="DT15" s="56" t="str">
        <f>IF(V15&lt;&gt;"SÍ","",IF(NOT(AND(C15="VOLADO",AD15&gt;DATOS!$C$83)),0,(BH15/((IF(ISNUMBER(P15),P15,Y15)*100-DATOS!$C$87)/100))+((0.95-0.5*IF(N(Q15)&gt;0,MIN(IF(ISNUMBER(P15),P15,Y15),Q15)/MAX(IF(ISNUMBER(P15),P15,Y15),Q15),0))*DATOS!$C$33*AR15*DATOS!$C$86/100/1000)*MAX(0,(IF(ISNUMBER(P15),P15,Y15)*100-DATOS!$C$87)/200-BX15/100)))</f>
        <v/>
      </c>
      <c r="DU15" s="59" t="str">
        <f>IF(V15&lt;&gt;"SÍ","",IF(NOT(AND(C15="VOLADO",AD15&gt;DATOS!$C$83)),0,MIN(FLOOR(100*IF(ISNUMBER(P15),P15,Y15)-DATOS!$C$63,5),CEILING(100*MIN(IF(ISNUMBER(P15),P15,Y15),MAX(IF(DR15&gt;0,DR15+IF(BW15&gt;=2,MAX(DO15,12*INDEX(TABLAS!$C$52:$C$58,MATCH(BV15,TABLAS!$B$52:$B$58,0)))/100,0),0),DS15,IF(BW15&gt;=2,INDEX(TABLAS!$F$52:$F$58,MATCH(BV15,TABLAS!$B$52:$B$58,0))/100,0))),5))))</f>
        <v/>
      </c>
      <c r="DV15" s="60" t="str">
        <f>IF(V15&lt;&gt;"SÍ","",IF(NOT(AND(C15="VOLADO",AD15&gt;DATOS!$C$83)),0,IF(DU15&lt;=0,0,CEILING(DU15/DATOS!$C$86,1))))</f>
        <v/>
      </c>
      <c r="DW15" s="61" t="str">
        <f>IF(V15&lt;&gt;"SÍ","",IF(C15&lt;&gt;"VOLADO","—",IF(AD15&lt;=DATOS!$C$83,"— (mismo b_w que el respaldo)",IF(DT15&gt;CS15,"NO CUMPLE: cortante de la nervadura ancha junto al apoyo ("&amp;TEXT(DT15,"0.00")&amp;" &gt; "&amp;TEXT(CS15,"0.00")&amp;" t)",IF(DU15&gt;=100*IF(ISNUMBER(P15),P15,Y15),"CUMPLE — todas las nervaduras del respaldo ‖ al volado con b_w = "&amp;AD15&amp;" cm","CUMPLE — "&amp;DV15&amp;" hilera(s) del respaldo con nervaduras de b_w = "&amp;AD15&amp;" cm (casetón "&amp;AE15&amp;" cm), hasta "&amp;TEXT(DU15/100,"0.00")&amp;" m del paño")))))</f>
        <v/>
      </c>
      <c r="DX15" s="69" t="str">
        <f>IF(V15&lt;&gt;"SÍ","",IF(BO15=0,"NO ALCANZA",BO15&amp;" No. "&amp;BN15&amp;IF(BO15&gt;1," corridas"," corrida")))</f>
        <v/>
      </c>
      <c r="DY15" s="69" t="str">
        <f>IF(V15&lt;&gt;"SÍ","",IF(BW15=0,"NO ALCANZA",IF(AND(C15="VOLADO",AD15&gt;DATOS!$C$83,BW15&gt;=2),"1 No. "&amp;BV15&amp;" corrida de la orilla al respaldo ("&amp;IF(DC15&gt;=FLOOR(100*IF(ISNUMBER(P15),P15,Y15)-DATOS!$C$63,5),"hasta su apoyo lejano, con gancho","entra "&amp;TEXT(DC15/100,"0.00")&amp;" m desde el paño")&amp;") + "&amp;(BW15-1)&amp;" bastón No. "&amp;BV15&amp;" hasta "&amp;TEXT(DU15/100,"0.00")&amp;" m del paño (fin de la nervadura ancha)",IF(C15="VOLADO",BW15&amp;" No. "&amp;BV15&amp;" de la orilla al respaldo ("&amp;IF(DC15&gt;=FLOOR(100*IF(ISNUMBER(P15),P15,Y15)-DATOS!$C$63,5),"hasta su apoyo lejano, con gancho","entran "&amp;TEXT(DC15/100,"0.00")&amp;" m desde el paño")&amp;")","1 No. "&amp;BV15&amp;" corrida"&amp;IF(BW15&gt;1," + "&amp;(BW15-1)&amp;" bastón No. "&amp;BV15&amp;" L = "&amp;TEXT(DC15/100,"0.00")&amp;" m desde el paño","")))))</f>
        <v/>
      </c>
      <c r="DZ15" s="69" t="str">
        <f>IF(V15&lt;&gt;"SÍ","",IF(CE15=0,"NO ALCANZA",CE15&amp;" No. "&amp;CD15&amp;IF(CE15&gt;1," corridas"," corrida")))</f>
        <v/>
      </c>
      <c r="EA15" s="69" t="str">
        <f>IF(V15&lt;&gt;"SÍ","",IF(CM15=0,"NO ALCANZA",IF(C15="VOLADO","1 No. "&amp;CL15&amp;" corrida (repartición)","1 No. "&amp;CL15&amp;" corrida"&amp;IF(CM15&gt;1," + "&amp;(CM15-1)&amp;" bastón No. "&amp;CL15&amp;" L = "&amp;TEXT(DD15/100,"0.00")&amp;" m desde el paño",""))))</f>
        <v/>
      </c>
      <c r="EB15" s="67" t="str">
        <f>IF(B15="","",IF(V15&lt;&gt;"SÍ","FALTAN DATOS: tipo, a_x, a_y, destino y, en volados, L_b",IF(L15="NO MONOLÍTICO (caso II)","FUERA DE ALCANCE: caso II no transcrito",IF(AND(C15="VOLADO",W15="?"),"REVISAR: el volado lleva UN solo borde CONTINUO (el empotrado)",IF(MIN(DH15,DI15)=0,"REVISAR: no cabe un casetón (tablero macizo): diséñalo en MACIZAS",IF(AND(MAX(BR15,BZ15,CH15,CP15)&lt;=1,NOT(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T(OR(AND(ISNUMBER(BS15),BS15&lt;0.005),AND(ISNUMBER(CA15),CA15&lt;0.005),AND(ISNUMBER(CI15),CI15&lt;0.005),AND(ISNUMBER(CQ15),CQ15&lt;0.005))),NOT(LEFT(DW15,2)="NO"),DA15="CUMPLE",DB15="CUMPLE",LEFT(CU15,2)&lt;&gt;"NO",LEFT(DATOS!$C$132,6)="CUMPLE"),IF(LEFT(CU15,6)="CUMPLE","CUMPLE","CUMPLE — "&amp;CU15)&amp;IF(LEFT(BK15,5)="FUERA"," · fuera de 3.4.2.1 c)","")&amp;IF(LEFT(DG15,2)="NO"," · REVISAR anclaje en borde discontinuo","")&amp;IF(DV15&gt;0," · respaldo: "&amp;DV15&amp;" hilera(s) de b_w "&amp;AD15&amp;" cm",""),IF(AND(MAX(BR15,BZ15,CH15,CP15)&lt;=1,NOT(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T(OR(AND(ISNUMBER(BS15),BS15&lt;0.005),AND(ISNUMBER(CA15),CA15&lt;0.005),AND(ISNUMBER(CI15),CI15&lt;0.005),AND(ISNUMBER(CQ15),CQ15&lt;0.005))),NOT(LEFT(DW15,2)="NO"),DA15="CALCULAR FLECHA",LEFT(CU15,2)&lt;&gt;"NO",LEFT(DATOS!$C$132,6)="CUMPLE"),"REVISAR: calcular flecha (h_eq &lt; h mín.)"&amp;IF(LEFT(BK15,5)="FUERA"," · fuera de 3.4.2.1 c)","")&amp;IF(LEFT(DG15,2)="NO"," · REVISAR anclaje en borde discontinuo","")&amp;IF(DV15&gt;0," · respaldo: "&amp;DV15&amp;" hilera(s) de b_w "&amp;AD15&amp;" cm",""),"NO CUMPLE: "&amp;IF(MAX(BR15,BZ15,CH15,CP15)&gt;1,"flexión ","")&amp;IF(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 caben ","")&amp;IF(OR(AND(ISNUMBER(BS15),BS15&lt;0.005),AND(ISNUMBER(CA15),CA15&lt;0.005),AND(ISNUMBER(CI15),CI15&lt;0.005),AND(ISNUMBER(CQ15),CQ15&lt;0.005)),"ε_t &lt; 0.005 ","")&amp;IF(LEFT(CU15,2)="NO","cortante ","")&amp;IF(DA15="NO CUMPLE","peralte ","")&amp;IF(DB15&lt;&gt;"CUMPLE","capa &lt; 6 cm ","")&amp;IF(LEFT(DATOS!$C$132,6)&lt;&gt;"CUMPLE","capa o malla (DATOS sección 7) ","")&amp;IF(LEFT(DW15,2)="NO","respaldo del volado",""))))))))</f>
        <v/>
      </c>
      <c r="EC15" s="70" t="str">
        <f>IF(V15&lt;&gt;"SÍ","",IF(LEFT(B15,7)="EJEMPLO","EJEMPLO de la hoja de Casa Rocha: bórralo o sobrescríbelo. ","")&amp;IF(AND(C15="PERIMETRAL",MIN(DH15,DI15)=0),"No cabe un casetón en el claro corto: es un tablero macizo, diséñalo en MACIZAS. ","")&amp;IF(AND(AJ15="NO",C15="PERIMETRAL"),"No cumple 6.7.8.1.4 (a_c = "&amp;MAX(DATOS!$C$81,AE15)&amp;" cm &gt; claro corto/6 = "&amp;TEXT(Y15*100/6,"0")&amp;" cm): se diseña como losa apoyada en vigas (6.7.8.1.9): r de viga = "&amp;DATOS!$C$63&amp;" cm y V_cR sin ×1.1. Para que cuente como encasetonada: casetón de "&amp;TEXT(FLOOR(MIN(80,Y15*100/6),1),"0")&amp;" cm o menor. ","")&amp;IF(C15="VOLADO","Volado de "&amp;TEXT(Y15,"0.00")&amp;" m empotrado en el borde "&amp;LOWER(W15)&amp;IF(N(O15)&gt;0,", con "&amp;TEXT(O15,"0.0")&amp;" kg/m en la orilla","")&amp;". Lecho inferior con r_ext. Si la orilla carga pretil u otro elemento frágil, calcula la flecha (13.4). El acero superior entra al respaldo de "&amp;TEXT(IF(ISNUMBER(P15),P15,Y15),"0.00")&amp;" m"&amp;" hasta pasar M = 0 con 0.9·PP sin carga viva; si ahí no se anula, llega al apoyo lejano y se ancla con gancho (NTC-Criterios 3.4.1 c y 5.1.2.2). "&amp;IF(AD15&gt;DATOS!$C$83,"Respaldo: "&amp;DW15&amp;". ",""),"")&amp;IF(AND(C15="VOLADO",((0.9*DATOS!$C$90*DATOS!$C$86/100/1000)*IF(ISNUMBER(P15),P15,Y15)/2-BH15/IF(ISNUMBER(P15),P15,Y15))&lt;0),"Con 0.9·PP y sin carga viva el apoyo lejano del respaldo levanta (R = "&amp;TEXT(-((0.9*DATOS!$C$90*DATOS!$C$86/100/1000)*IF(ISNUMBER(P15),P15,Y15)/2-BH15/IF(ISNUMBER(P15),P15,Y15)),"0.00")&amp;" t por nervadura): ancla ahí la corrida con gancho y revisa ese apoyo a tensión. ","")&amp;IF(LEFT(BK15,5)="FUERA","El M⁻ del vecino difiere más de 50 % (3.4.2.1 c): distribuye el desequilibrio (3.4.3.1) o confirma con un modelo; se arma con el mayor. ","")&amp;IF(OR(DE15="SÍ",DF15="SÍ"),"El M⁻ del borde discontinuo pide bastón también ahí (con gancho). ","")&amp;IF(LEFT(DG15,2)="NO","Anclaje: "&amp;DG15&amp;" (6.7.8.1.7). ","")&amp;IF(AND(C15="PERIMETRAL",AT15&gt;=1,AS15-AT15&gt;=1),"Esquinas exteriores sobre muro: refuerzo de esquina arriba y abajo en L_largo/5 (6.7.7.3.1). ",""))</f>
        <v/>
      </c>
    </row>
    <row r="16" ht="33" customHeight="1">
      <c r="A16" s="50">
        <f>IF(B16="",0,1)+A15</f>
        <v>4</v>
      </c>
      <c r="B16" s="29" t="n"/>
      <c r="C16" s="51" t="n"/>
      <c r="D16" s="29" t="n"/>
      <c r="E16" s="52" t="n"/>
      <c r="F16" s="52" t="n"/>
      <c r="G16" s="51" t="n"/>
      <c r="H16" s="51" t="n"/>
      <c r="I16" s="51" t="n"/>
      <c r="J16" s="51" t="n"/>
      <c r="K16" s="51" t="n"/>
      <c r="L16" s="51" t="n"/>
      <c r="M16" s="53" t="n"/>
      <c r="N16" s="53" t="n"/>
      <c r="O16" s="54" t="n"/>
      <c r="P16" s="52" t="n"/>
      <c r="Q16" s="52" t="n"/>
      <c r="R16" s="53" t="n"/>
      <c r="S16" s="54" t="n"/>
      <c r="T16" s="52" t="n"/>
      <c r="U16" s="52" t="n"/>
      <c r="V16" s="55" t="str">
        <f>IF(B16="","",IF(AND(OR(C16="PERIMETRAL",C16="VOLADO"),ISNUMBER(E16),ISNUMBER(F16),E16&gt;0,F16&gt;0,OR(ISNUMBER(N16),ISNUMBER(MATCH(D16,DATOS!$B$46:$B$58,0))),OR(C16&lt;&gt;"VOLADO",N(P16)&gt;0)),"SÍ","NO"))</f>
        <v/>
      </c>
      <c r="W16" s="55" t="str">
        <f>IF(V16&lt;&gt;"SÍ","",IF(C16&lt;&gt;"VOLADO","—",IF(COUNTIF(G16:J16,"CONTINUO")&lt;&gt;1,"?",IF(G16="CONTINUO","INFERIOR",IF(H16="CONTINUO","SUPERIOR",IF(I16="CONTINUO","IZQUIERDO","DERECHO"))))))</f>
        <v/>
      </c>
      <c r="X16" s="55" t="str">
        <f>IF(V16&lt;&gt;"SÍ","",IF(C16="VOLADO",IF(OR(W16="IZQUIERDO",W16="DERECHO"),"X","Y"),IF(E16&lt;=F16,"X","Y")))</f>
        <v/>
      </c>
      <c r="Y16" s="56" t="str">
        <f>IF(V16&lt;&gt;"SÍ","",IF(C16="VOLADO",IF(X16="X",E16,F16),MIN(E16,F16)))</f>
        <v/>
      </c>
      <c r="Z16" s="56" t="str">
        <f>IF(V16&lt;&gt;"SÍ","",IF(C16="VOLADO",IF(X16="X",F16,E16),MAX(E16,F16)))</f>
        <v/>
      </c>
      <c r="AA16" s="56" t="str">
        <f>IF(V16&lt;&gt;"SÍ","",MIN(Y16,Z16)/MAX(Y16,Z16))</f>
        <v/>
      </c>
      <c r="AB16" s="57" t="str">
        <f>IF(V16&lt;&gt;"SÍ","",MAX(1,Y16*100-IF(C16="VOLADO",DATOS!$C$87/2,DATOS!$C$87)))</f>
        <v/>
      </c>
      <c r="AC16" s="57" t="str">
        <f>IF(V16&lt;&gt;"SÍ","",MAX(1,Z16*100-DATOS!$C$87))</f>
        <v/>
      </c>
      <c r="AD16" s="57" t="str">
        <f>IF(V16&lt;&gt;"SÍ","",IF(ISNUMBER(R16),R16,DATOS!$C$83))</f>
        <v/>
      </c>
      <c r="AE16" s="57" t="str">
        <f>IF(V16&lt;&gt;"SÍ","",MAX(0,DATOS!$C$86-AD16))</f>
        <v/>
      </c>
      <c r="AF16" s="57" t="str">
        <f>IF(V16&lt;&gt;"SÍ","",IF(OR(DATOS!$C$65="SÍ",AD16&gt;=20),AD16,AD16-2))</f>
        <v/>
      </c>
      <c r="AG16" s="57" t="str">
        <f>IF(V16&lt;&gt;"SÍ","",IF(OR(DATOS!$C$65="SÍ",DATOS!$C$83&gt;=20),DATOS!$C$83,DATOS!$C$83-2))</f>
        <v/>
      </c>
      <c r="AH16" s="57" t="str">
        <f>IF(V16&lt;&gt;"SÍ","",MIN(DATOS!$C$86,AD16+2*MIN(8*DATOS!$C$84,AE16/2,AB16/8)))</f>
        <v/>
      </c>
      <c r="AI16" s="57" t="str">
        <f>IF(V16&lt;&gt;"SÍ","",MIN(DATOS!$C$86,DATOS!$C$83+2*MIN(8*DATOS!$C$84,DATOS!$C$81/2,AC16/8)))</f>
        <v/>
      </c>
      <c r="AJ16" s="55" t="str">
        <f>IF(V16&lt;&gt;"SÍ","",IF(AND(C16="PERIMETRAL",Y16*100&gt;=6*MAX(DATOS!$C$81,AE16),MAX(DATOS!$C$81,AE16)&lt;=80,MIN(DATOS!$C$83,AD16)&gt;=10,DATOS!$C$85&lt;=3.5*MIN(DATOS!$C$83,AD16),DATOS!$C$84&gt;=MAX(MAX(DATOS!$C$81,AE16)/13,5)),"SÍ","NO"))</f>
        <v/>
      </c>
      <c r="AK16" s="57" t="str">
        <f>IF(V16&lt;&gt;"SÍ","",IF(C16="VOLADO",DATOS!$C$64,IF(AJ16="NO",DATOS!$C$63,DATOS!$C$62)))</f>
        <v/>
      </c>
      <c r="AL16" s="57" t="str">
        <f>IF(V16&lt;&gt;"SÍ","",IF(OR(AND(AN16="SÍ",DATOS!$C$66="SÍ"),AND(C16="VOLADO",DATOS!$C$67="SÍ")),DATOS!$C$64,IF(AJ16="NO",DATOS!$C$63,DATOS!$C$62)))</f>
        <v/>
      </c>
      <c r="AM16" s="58" t="str">
        <f>IF(V16&lt;&gt;"SÍ","",MAX(AL16,(DATOS!$C$84-2*DATOS!$C$97)/2))</f>
        <v/>
      </c>
      <c r="AN16" s="55" t="str">
        <f>IF(V16&lt;&gt;"SÍ","",IFERROR(INDEX(DATOS!$D$46:$D$58,MATCH(D16,DATOS!$B$46:$B$58,0)),"NO"))</f>
        <v/>
      </c>
      <c r="AO16" s="59" t="str">
        <f>IF(V16&lt;&gt;"SÍ","",IF(ISNUMBER(N16),N16,IFERROR(INDEX(DATOS!$C$46:$C$58,MATCH(D16,DATOS!$B$46:$B$58,0)),0)))</f>
        <v/>
      </c>
      <c r="AP16" s="59" t="str">
        <f>IF(V16&lt;&gt;"SÍ","",IF(MIN(DH16,DI16)=0,DATOS!$C$85/100*DATOS!$C$16*1000,(DATOS!$C$85/100-(AE16*DATOS!$C$81/DATOS!$C$86^2)*DATOS!$C$82/100)*DATOS!$C$16*1000+(AE16*DATOS!$C$81/DATOS!$C$86^2)*DATOS!$C$82/100*DATOS!$C$17*1000)+DATOS!$C$37+DATOS!$C$38)</f>
        <v/>
      </c>
      <c r="AQ16" s="59" t="str">
        <f>IF(V16&lt;&gt;"SÍ","",AP16+N(M16))</f>
        <v/>
      </c>
      <c r="AR16" s="60" t="str">
        <f>IF(V16&lt;&gt;"SÍ","",MAX(DATOS!$C$26*AQ16+DATOS!$C$27*AO16,IF(AN16="SÍ",DATOS!$C$28*(AQ16+DATOS!$C$41),0)))</f>
        <v/>
      </c>
      <c r="AS16" s="59" t="str">
        <f>IF(V16&lt;&gt;"SÍ","",(G16="DISCONTINUO")+(H16="DISCONTINUO")+(I16="DISCONTINUO")+(J16="DISCONTINUO"))</f>
        <v/>
      </c>
      <c r="AT16" s="59" t="str">
        <f>IF(V16&lt;&gt;"SÍ","",IF(X16="X",(G16="DISCONTINUO")+(H16="DISCONTINUO"),(I16="DISCONTINUO")+(J16="DISCONTINUO")))</f>
        <v/>
      </c>
      <c r="AU16" s="55" t="str">
        <f>IF(V16&lt;&gt;"SÍ","",IF(AS16=0,"INTERIOR",IF(AS16=1,IF(AT16=1,"BORDE-CORTO","BORDE-LARGO"),IF(AS16=2,IF(AT16=1,"ESQUINA",IF(AT16=2,"EXTREMO-LARGO","EXTREMO-CORTO")),IF(AS16=3,IF(AT16=2,"EXTREMO-LARGO","EXTREMO-CORTO"),"AISLADO")))))</f>
        <v/>
      </c>
      <c r="AV16" s="61" t="str">
        <f>IF(V16&lt;&gt;"SÍ","",IF(OR(K16="",K16="AUTO"),AU16,K16))</f>
        <v/>
      </c>
      <c r="AW16" s="59" t="str">
        <f>IF(V16&lt;&gt;"SÍ","",MATCH(AA16,TABLAS!$D$5:$J$5,1))</f>
        <v/>
      </c>
      <c r="AX16" s="58" t="str">
        <f>IF(V16&lt;&gt;"SÍ","",IF(AW16&gt;=7,0,(AA16-INDEX(TABLAS!$D$5:$J$5,AW16))/(INDEX(TABLAS!$D$5:$J$5,AW16+1)-INDEX(TABLAS!$D$5:$J$5,AW16))))</f>
        <v/>
      </c>
      <c r="AY16" s="59" t="str">
        <f>IF(V16&lt;&gt;"SÍ","",INDEX(TABLAS!$D$6:$J$47,MATCH(AV16&amp;"|NIC",TABLAS!$B$6:$B$47,0),AW16)+AX16*(INDEX(TABLAS!$D$6:$J$47,MATCH(AV16&amp;"|NIC",TABLAS!$B$6:$B$47,0),MIN(AW16+1,7))-INDEX(TABLAS!$D$6:$J$47,MATCH(AV16&amp;"|NIC",TABLAS!$B$6:$B$47,0),AW16)))</f>
        <v/>
      </c>
      <c r="AZ16" s="59" t="str">
        <f>IF(V16&lt;&gt;"SÍ","",INDEX(TABLAS!$D$6:$J$47,MATCH(AV16&amp;"|NIL",TABLAS!$B$6:$B$47,0),AW16)+AX16*(INDEX(TABLAS!$D$6:$J$47,MATCH(AV16&amp;"|NIL",TABLAS!$B$6:$B$47,0),MIN(AW16+1,7))-INDEX(TABLAS!$D$6:$J$47,MATCH(AV16&amp;"|NIL",TABLAS!$B$6:$B$47,0),AW16)))</f>
        <v/>
      </c>
      <c r="BA16" s="59" t="str">
        <f>IF(V16&lt;&gt;"SÍ","",INDEX(TABLAS!$D$6:$J$47,MATCH(AV16&amp;"|NDC",TABLAS!$B$6:$B$47,0),AW16)+AX16*(INDEX(TABLAS!$D$6:$J$47,MATCH(AV16&amp;"|NDC",TABLAS!$B$6:$B$47,0),MIN(AW16+1,7))-INDEX(TABLAS!$D$6:$J$47,MATCH(AV16&amp;"|NDC",TABLAS!$B$6:$B$47,0),AW16)))</f>
        <v/>
      </c>
      <c r="BB16" s="59" t="str">
        <f>IF(V16&lt;&gt;"SÍ","",INDEX(TABLAS!$D$6:$J$47,MATCH(AV16&amp;"|NDL",TABLAS!$B$6:$B$47,0),AW16)+AX16*(INDEX(TABLAS!$D$6:$J$47,MATCH(AV16&amp;"|NDL",TABLAS!$B$6:$B$47,0),MIN(AW16+1,7))-INDEX(TABLAS!$D$6:$J$47,MATCH(AV16&amp;"|NDL",TABLAS!$B$6:$B$47,0),AW16)))</f>
        <v/>
      </c>
      <c r="BC16" s="59" t="str">
        <f>IF(V16&lt;&gt;"SÍ","",INDEX(TABLAS!$D$6:$J$47,MATCH(AV16&amp;"|PC",TABLAS!$B$6:$B$47,0),AW16)+AX16*(INDEX(TABLAS!$D$6:$J$47,MATCH(AV16&amp;"|PC",TABLAS!$B$6:$B$47,0),MIN(AW16+1,7))-INDEX(TABLAS!$D$6:$J$47,MATCH(AV16&amp;"|PC",TABLAS!$B$6:$B$47,0),AW16)))</f>
        <v/>
      </c>
      <c r="BD16" s="59" t="str">
        <f>IF(V16&lt;&gt;"SÍ","",INDEX(TABLAS!$D$6:$J$47,MATCH(AV16&amp;"|PL",TABLAS!$B$6:$B$47,0),AW16)+AX16*(INDEX(TABLAS!$D$6:$J$47,MATCH(AV16&amp;"|PL",TABLAS!$B$6:$B$47,0),MIN(AW16+1,7))-INDEX(TABLAS!$D$6:$J$47,MATCH(AV16&amp;"|PL",TABLAS!$B$6:$B$47,0),AW16)))</f>
        <v/>
      </c>
      <c r="BE16" s="56" t="str">
        <f>IF(V16&lt;&gt;"SÍ","",IF(OR(C16&lt;&gt;"VOLADO",MIN(DH16,DI16)=0),0,DATOS!$C$26*DATOS!$C$16*DATOS!$C$86/100*(((AE16*DATOS!$C$81/DATOS!$C$86^2)*DATOS!$C$82/100)*(IF(X16="X",DJ16,DL16)+DATOS!$C$87/2)/100*(AB16-(IF(X16="X",DJ16,DL16)+DATOS!$C$87/2)/2)/100+((AE16*DATOS!$C$81/DATOS!$C$86^2)*DATOS!$C$82/100)*IF(X16="X",DJ16,DL16)/100*IF(X16="X",DJ16,DL16)/200)))</f>
        <v/>
      </c>
      <c r="BF16" s="56" t="str">
        <f>IF(V16&lt;&gt;"SÍ","",IF(OR(C16&lt;&gt;"VOLADO",MIN(DH16,DI16)=0),0,DATOS!$C$26*DATOS!$C$16*DATOS!$C$86/100*((AE16*DATOS!$C$81/DATOS!$C$86^2)*DATOS!$C$82/100)*(IF(X16="X",DJ16,DL16)+DATOS!$C$87/2)/100))</f>
        <v/>
      </c>
      <c r="BG16" s="56" t="str">
        <f>IF(V16&lt;&gt;"SÍ","",IF(C16="PERIMETRAL",BC16*AR16*Y16^2*1E-4*DATOS!$C$86/100/1000,0))</f>
        <v/>
      </c>
      <c r="BH16" s="62" t="str">
        <f>IF(V16&lt;&gt;"SÍ","",IF(C16="PERIMETRAL",MAX(MAX(AY16,BA16)*AR16*Y16^2*1E-4*DATOS!$C$86/100/1000,N(T16)),(AR16*(AB16/100)^2/2+DATOS!$C$26*N(O16)*AB16/100)*DATOS!$C$86/100/1000+BE16))</f>
        <v/>
      </c>
      <c r="BI16" s="56" t="str">
        <f>IF(V16&lt;&gt;"SÍ","",IF(C16="PERIMETRAL",BD16*AR16*Y16^2*1E-4*DATOS!$C$86/100/1000,0))</f>
        <v/>
      </c>
      <c r="BJ16" s="56" t="str">
        <f>IF(V16&lt;&gt;"SÍ","",IF(C16="PERIMETRAL",MAX(MAX(AZ16,BB16)*AR16*Y16^2*1E-4*DATOS!$C$86/100/1000,N(U16)),0))</f>
        <v/>
      </c>
      <c r="BK16" s="63" t="str">
        <f>IF(V16&lt;&gt;"SÍ","",IF(C16&lt;&gt;"PERIMETRAL","—",IF(AND(N(T16)=0,N(U16)=0),"— (sin M⁻ del vecino)",IF(OR(AND(N(T16)&gt;0,ABS(MAX(AY16,BA16)*AR16*Y16^2*1E-4*DATOS!$C$86/100/1000-N(T16))&gt;0.5*MIN(MAX(AY16,BA16)*AR16*Y16^2*1E-4*DATOS!$C$86/100/1000,N(T16))),AND(N(U16)&gt;0,ABS(MAX(AZ16,BB16)*AR16*Y16^2*1E-4*DATOS!$C$86/100/1000-N(U16))&gt;0.5*MIN(MAX(AZ16,BB16)*AR16*Y16^2*1E-4*DATOS!$C$86/100/1000,N(U16)))),"FUERA: difieren &gt; 50 %"&amp;IF(AND(N(T16)&gt;0,ABS(MAX(AY16,BA16)*AR16*Y16^2*1E-4*DATOS!$C$86/100/1000-N(T16))&gt;0.5*MIN(MAX(AY16,BA16)*AR16*Y16^2*1E-4*DATOS!$C$86/100/1000,N(T16)))," ‖ corto","")&amp;IF(AND(N(U16)&gt;0,ABS(MAX(AZ16,BB16)*AR16*Y16^2*1E-4*DATOS!$C$86/100/1000-N(U16))&gt;0.5*MIN(MAX(AZ16,BB16)*AR16*Y16^2*1E-4*DATOS!$C$86/100/1000,N(U16)))," ‖ largo",""),"CUMPLE"))))</f>
        <v/>
      </c>
      <c r="BL16" s="58" t="str">
        <f>IF(V16&lt;&gt;"SÍ","",(DATOS!$C$85-AK16-INDEX(TABLAS!$C$52:$C$58,MATCH(MAX(4,DATOS!$C$71),TABLAS!$B$52:$B$58,0))/2))</f>
        <v/>
      </c>
      <c r="BM16" s="58" t="str">
        <f>IF(V16&lt;&gt;"SÍ","",IF(IF(BG16&lt;=0,0,IF((1-2*BG16*1E5/(DATOS!$C$29*AH16*BL16^2*DATOS!$C$21))&lt;0,-1,IF((1-SQRT((1-2*BG16*1E5/(DATOS!$C$29*AH16*BL16^2*DATOS!$C$21))))*DATOS!$C$21*AH16*BL16/DATOS!$C$14&gt;DATOS!$C$102*AH16*BL16,-1,(1-SQRT((1-2*BG16*1E5/(DATOS!$C$29*AH16*BL16^2*DATOS!$C$21))))*DATOS!$C$21*AH16*BL16/DATOS!$C$14)))&lt;0,-1,MAX(IF(BG16&lt;=0,0,IF((1-2*BG16*1E5/(DATOS!$C$29*AH16*BL16^2*DATOS!$C$21))&lt;0,-1,IF((1-SQRT((1-2*BG16*1E5/(DATOS!$C$29*AH16*BL16^2*DATOS!$C$21))))*DATOS!$C$21*AH16*BL16/DATOS!$C$14&gt;DATOS!$C$102*AH16*BL16,-1,(1-SQRT((1-2*BG16*1E5/(DATOS!$C$29*AH16*BL16^2*DATOS!$C$21))))*DATOS!$C$21*AH16*BL16/DATOS!$C$14))),MIN(DATOS!$C$103*AD16*BL16,4/3*IF(BG16&lt;=0,0,IF((1-2*BG16*1E5/(DATOS!$C$29*AH16*BL16^2*DATOS!$C$21))&lt;0,-1,IF((1-SQRT((1-2*BG16*1E5/(DATOS!$C$29*AH16*BL16^2*DATOS!$C$21))))*DATOS!$C$21*AH16*BL16/DATOS!$C$14&gt;DATOS!$C$102*AH16*BL16,-1,(1-SQRT((1-2*BG16*1E5/(DATOS!$C$29*AH16*BL16^2*DATOS!$C$21))))*DATOS!$C$21*AH16*BL16/DATOS!$C$14)))))))</f>
        <v/>
      </c>
      <c r="BN16" s="64" t="str">
        <f>IF(V16&lt;&gt;"SÍ","",IF(AND(BM16&gt;=0,IF(MAX(DATOS!$C$74,CEILING(BM16/INDEX(TABLAS!$D$52:$D$58,MIN(MATCH(MAX(4,DATOS!$C$71),TABLAS!$B$52:$B$58,0)+0,7)),1))*INDEX(TABLAS!$D$52:$D$58,MIN(MATCH(MAX(4,DATOS!$C$71),TABLAS!$B$52:$B$58,0)+0,7)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+0,7)),1)),MAX(MAX(DATOS!$C$74,CEILING(BM16/INDEX(TABLAS!$D$52:$D$58,MIN(MATCH(MAX(4,DATOS!$C$71),TABLAS!$B$52:$B$58,0)+0,7)),1)),2))&lt;=MIN(DATOS!$C$73,INT(((AD16-2*AK16)+MAX(DATOS!$C$70,INDEX(TABLAS!$C$52:$C$58,MIN(MATCH(MAX(4,DATOS!$C$71),TABLAS!$B$52:$B$58,0)+0,7))))/(INDEX(TABLAS!$C$52:$C$58,MIN(MATCH(MAX(4,DATOS!$C$71),TABLAS!$B$52:$B$58,0)+0,7))+MAX(DATOS!$C$70,INDEX(TABLAS!$C$52:$C$58,MIN(MATCH(MAX(4,DATOS!$C$71),TABLAS!$B$52:$B$58,0)+0,7))))))),INDEX(TABLAS!$B$52:$B$58,MIN(MATCH(MAX(4,DATOS!$C$71),TABLAS!$B$52:$B$58,0)+0,7)),IF(AND(BM16&gt;=0,IF(MAX(DATOS!$C$74,CEILING(BM16/INDEX(TABLAS!$D$52:$D$58,MIN(MATCH(MAX(4,DATOS!$C$71),TABLAS!$B$52:$B$58,0)+1,7)),1))*INDEX(TABLAS!$D$52:$D$58,MIN(MATCH(MAX(4,DATOS!$C$71),TABLAS!$B$52:$B$58,0)+1,7)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+1,7)),1)),MAX(MAX(DATOS!$C$74,CEILING(BM16/INDEX(TABLAS!$D$52:$D$58,MIN(MATCH(MAX(4,DATOS!$C$71),TABLAS!$B$52:$B$58,0)+1,7)),1)),2))&lt;=MIN(DATOS!$C$73,INT(((AD16-2*AK16)+MAX(DATOS!$C$70,INDEX(TABLAS!$C$52:$C$58,MIN(MATCH(MAX(4,DATOS!$C$71),TABLAS!$B$52:$B$58,0)+1,7))))/(INDEX(TABLAS!$C$52:$C$58,MIN(MATCH(MAX(4,DATOS!$C$71),TABLAS!$B$52:$B$58,0)+1,7))+MAX(DATOS!$C$70,INDEX(TABLAS!$C$52:$C$58,MIN(MATCH(MAX(4,DATOS!$C$71),TABLAS!$B$52:$B$58,0)+1,7))))))),INDEX(TABLAS!$B$52:$B$58,MIN(MATCH(MAX(4,DATOS!$C$71),TABLAS!$B$52:$B$58,0)+1,7)),IF(AND(BM16&gt;=0,IF(MAX(DATOS!$C$74,CEILING(BM16/INDEX(TABLAS!$D$52:$D$58,MIN(MATCH(MAX(4,DATOS!$C$71),TABLAS!$B$52:$B$58,0)+2,7)),1))*INDEX(TABLAS!$D$52:$D$58,MIN(MATCH(MAX(4,DATOS!$C$71),TABLAS!$B$52:$B$58,0)+2,7)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+2,7)),1)),MAX(MAX(DATOS!$C$74,CEILING(BM16/INDEX(TABLAS!$D$52:$D$58,MIN(MATCH(MAX(4,DATOS!$C$71),TABLAS!$B$52:$B$58,0)+2,7)),1)),2))&lt;=MIN(DATOS!$C$73,INT(((AD16-2*AK16)+MAX(DATOS!$C$70,INDEX(TABLAS!$C$52:$C$58,MIN(MATCH(MAX(4,DATOS!$C$71),TABLAS!$B$52:$B$58,0)+2,7))))/(INDEX(TABLAS!$C$52:$C$58,MIN(MATCH(MAX(4,DATOS!$C$71),TABLAS!$B$52:$B$58,0)+2,7))+MAX(DATOS!$C$70,INDEX(TABLAS!$C$52:$C$58,MIN(MATCH(MAX(4,DATOS!$C$71),TABLAS!$B$52:$B$58,0)+2,7))))))),INDEX(TABLAS!$B$52:$B$58,MIN(MATCH(MAX(4,DATOS!$C$71),TABLAS!$B$52:$B$58,0)+2,7)),IF(AND(BM16&gt;=0,IF(MAX(DATOS!$C$74,CEILING(BM16/INDEX(TABLAS!$D$52:$D$58,MIN(MATCH(MAX(4,DATOS!$C$71),TABLAS!$B$52:$B$58,0)+3,7)),1))*INDEX(TABLAS!$D$52:$D$58,MIN(MATCH(MAX(4,DATOS!$C$71),TABLAS!$B$52:$B$58,0)+3,7)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+3,7)),1)),MAX(MAX(DATOS!$C$74,CEILING(BM16/INDEX(TABLAS!$D$52:$D$58,MIN(MATCH(MAX(4,DATOS!$C$71),TABLAS!$B$52:$B$58,0)+3,7)),1)),2))&lt;=MIN(DATOS!$C$73,INT(((AD16-2*AK16)+MAX(DATOS!$C$70,INDEX(TABLAS!$C$52:$C$58,MIN(MATCH(MAX(4,DATOS!$C$71),TABLAS!$B$52:$B$58,0)+3,7))))/(INDEX(TABLAS!$C$52:$C$58,MIN(MATCH(MAX(4,DATOS!$C$71),TABLAS!$B$52:$B$58,0)+3,7))+MAX(DATOS!$C$70,INDEX(TABLAS!$C$52:$C$58,MIN(MATCH(MAX(4,DATOS!$C$71),TABLAS!$B$52:$B$58,0)+3,7))))))),INDEX(TABLAS!$B$52:$B$58,MIN(MATCH(MAX(4,DATOS!$C$71),TABLAS!$B$52:$B$58,0)+3,7)),IF(AND(BM16&gt;=0,IF(MAX(DATOS!$C$74,CEILING(BM16/INDEX(TABLAS!$D$52:$D$58,MIN(MATCH(MAX(4,DATOS!$C$71),TABLAS!$B$52:$B$58,0)+4,7)),1))*INDEX(TABLAS!$D$52:$D$58,MIN(MATCH(MAX(4,DATOS!$C$71),TABLAS!$B$52:$B$58,0)+4,7)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+4,7)),1)),MAX(MAX(DATOS!$C$74,CEILING(BM16/INDEX(TABLAS!$D$52:$D$58,MIN(MATCH(MAX(4,DATOS!$C$71),TABLAS!$B$52:$B$58,0)+4,7)),1)),2))&lt;=MIN(DATOS!$C$73,INT(((AD16-2*AK16)+MAX(DATOS!$C$70,INDEX(TABLAS!$C$52:$C$58,MIN(MATCH(MAX(4,DATOS!$C$71),TABLAS!$B$52:$B$58,0)+4,7))))/(INDEX(TABLAS!$C$52:$C$58,MIN(MATCH(MAX(4,DATOS!$C$71),TABLAS!$B$52:$B$58,0)+4,7))+MAX(DATOS!$C$70,INDEX(TABLAS!$C$52:$C$58,MIN(MATCH(MAX(4,DATOS!$C$71),TABLAS!$B$52:$B$58,0)+4,7))))))),INDEX(TABLAS!$B$52:$B$58,MIN(MATCH(MAX(4,DATOS!$C$71),TABLAS!$B$52:$B$58,0)+4,7)),INDEX(TABLAS!$B$52:$B$58,7)))))))</f>
        <v/>
      </c>
      <c r="BO16" s="59" t="str">
        <f>IF(V16&lt;&gt;"SÍ","",IF(BM16&lt;0,0,IF(MAX(DATOS!$C$74,CEILING(MAX(BM16,0)/INDEX(TABLAS!$D$52:$D$58,MATCH(BN16,TABLAS!$B$52:$B$58,0)),1))*INDEX(TABLAS!$D$52:$D$58,MATCH(BN16,TABLAS!$B$52:$B$58,0))&gt;=4/3*IF(BG16&lt;=0,0,IF((1-2*BG16*1E5/(DATOS!$C$29*AH16*BL16^2*DATOS!$C$21))&lt;0,-1,IF((1-SQRT((1-2*BG16*1E5/(DATOS!$C$29*AH16*BL16^2*DATOS!$C$21))))*DATOS!$C$21*AH16*BL16/DATOS!$C$14&gt;DATOS!$C$102*AH16*BL16,-1,(1-SQRT((1-2*BG16*1E5/(DATOS!$C$29*AH16*BL16^2*DATOS!$C$21))))*DATOS!$C$21*AH16*BL16/DATOS!$C$14)))-0.0001,MAX(DATOS!$C$74,CEILING(MAX(BM16,0)/INDEX(TABLAS!$D$52:$D$58,MATCH(BN16,TABLAS!$B$52:$B$58,0)),1)),MAX(MAX(DATOS!$C$74,CEILING(MAX(BM16,0)/INDEX(TABLAS!$D$52:$D$58,MATCH(BN16,TABLAS!$B$52:$B$58,0)),1)),2))))</f>
        <v/>
      </c>
      <c r="BP16" s="58" t="str">
        <f>IF(V16&lt;&gt;"SÍ","",DATOS!$C$85-AK16-INDEX(TABLAS!$C$52:$C$58,MATCH(BN16,TABLAS!$B$52:$B$58,0))/2)</f>
        <v/>
      </c>
      <c r="BQ16" s="56" t="str">
        <f>IF(V16&lt;&gt;"SÍ","",IF(BO16=0,0,DATOS!$C$29*BO16*INDEX(TABLAS!$D$52:$D$58,MATCH(BN16,TABLAS!$B$52:$B$58,0))*DATOS!$C$14*(BP16-BO16*INDEX(TABLAS!$D$52:$D$58,MATCH(BN16,TABLAS!$B$52:$B$58,0))*DATOS!$C$14/(DATOS!$C$21*AH16)/2)/1E5))</f>
        <v/>
      </c>
      <c r="BR16" s="65" t="str">
        <f>IF(V16&lt;&gt;"SÍ","",IF(BM16&lt;0,9.99,IF(BQ16&gt;0,BG16/BQ16,0)))</f>
        <v/>
      </c>
      <c r="BS16" s="66" t="str">
        <f>IF(V16&lt;&gt;"SÍ","",IF(BO16=0,"—",0.003*(BP16-(BO16*INDEX(TABLAS!$D$52:$D$58,MATCH(BN16,TABLAS!$B$52:$B$58,0))*DATOS!$C$14/(DATOS!$C$21*AH16)/DATOS!$C$22))/(BO16*INDEX(TABLAS!$D$52:$D$58,MATCH(BN16,TABLAS!$B$52:$B$58,0))*DATOS!$C$14/(DATOS!$C$21*AH16)/DATOS!$C$22)))</f>
        <v/>
      </c>
      <c r="BT16" s="58" t="str">
        <f>IF(V16&lt;&gt;"SÍ","",((DATOS!$C$85-AM16-2*DATOS!$C$97-INDEX(TABLAS!$C$52:$C$58,MATCH(MAX(4,DATOS!$C$72),TABLAS!$B$52:$B$58,0))/2)-IF(AND((DATOS!$C$85-AM16-2*DATOS!$C$97-INDEX(TABLAS!$C$52:$C$58,MATCH(MAX(4,DATOS!$C$72),TABLAS!$B$52:$B$58,0))/2)&lt;=20,DATOS!$C$65&lt;&gt;"SÍ"),2,0)))</f>
        <v/>
      </c>
      <c r="BU16" s="58" t="str">
        <f>IF(V16&lt;&gt;"SÍ","",IF(IF(BH16&lt;=0,0,IF((1-2*BH16*1E5/(DATOS!$C$29*AF16*BT16^2*DATOS!$C$21))&lt;0,-1,IF((1-SQRT((1-2*BH16*1E5/(DATOS!$C$29*AF16*BT16^2*DATOS!$C$21))))*DATOS!$C$21*AF16*BT16/DATOS!$C$14&gt;DATOS!$C$102*AF16*BT16,-1,(1-SQRT((1-2*BH16*1E5/(DATOS!$C$29*AF16*BT16^2*DATOS!$C$21))))*DATOS!$C$21*AF16*BT16/DATOS!$C$14)))&lt;0,-1,MAX(IF(BH16&lt;=0,0,IF((1-2*BH16*1E5/(DATOS!$C$29*AF16*BT16^2*DATOS!$C$21))&lt;0,-1,IF((1-SQRT((1-2*BH16*1E5/(DATOS!$C$29*AF16*BT16^2*DATOS!$C$21))))*DATOS!$C$21*AF16*BT16/DATOS!$C$14&gt;DATOS!$C$102*AF16*BT16,-1,(1-SQRT((1-2*BH16*1E5/(DATOS!$C$29*AF16*BT16^2*DATOS!$C$21))))*DATOS!$C$21*AF16*BT16/DATOS!$C$14))),MIN(DATOS!$C$103*IF(C16="VOLADO",MIN(AH16,2*AD16),AD16)*BT16,4/3*IF(BH16&lt;=0,0,IF((1-2*BH16*1E5/(DATOS!$C$29*AF16*BT16^2*DATOS!$C$21))&lt;0,-1,IF((1-SQRT((1-2*BH16*1E5/(DATOS!$C$29*AF16*BT16^2*DATOS!$C$21))))*DATOS!$C$21*AF16*BT16/DATOS!$C$14&gt;DATOS!$C$102*AF16*BT16,-1,(1-SQRT((1-2*BH16*1E5/(DATOS!$C$29*AF16*BT16^2*DATOS!$C$21))))*DATOS!$C$21*AF16*BT16/DATOS!$C$14)))))))</f>
        <v/>
      </c>
      <c r="BV16" s="64" t="str">
        <f>IF(V16&lt;&gt;"SÍ","",IF(AND(BU16&gt;=0,IF(MAX(DATOS!$C$74,CEILING(BU16/INDEX(TABLAS!$D$52:$D$58,MIN(MATCH(MAX(4,DATOS!$C$72),TABLAS!$B$52:$B$58,0)+0,7)),1))*INDEX(TABLAS!$D$52:$D$58,MIN(MATCH(MAX(4,DATOS!$C$72),TABLAS!$B$52:$B$58,0)+0,7)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+0,7)),1)),MAX(MAX(DATOS!$C$74,CEILING(BU16/INDEX(TABLAS!$D$52:$D$58,MIN(MATCH(MAX(4,DATOS!$C$72),TABLAS!$B$52:$B$58,0)+0,7)),1)),2))&lt;=MIN(DATOS!$C$73,INT(((AD16-2*AL16)+MAX(DATOS!$C$70,INDEX(TABLAS!$C$52:$C$58,MIN(MATCH(MAX(4,DATOS!$C$72),TABLAS!$B$52:$B$58,0)+0,7))))/(INDEX(TABLAS!$C$52:$C$58,MIN(MATCH(MAX(4,DATOS!$C$72),TABLAS!$B$52:$B$58,0)+0,7))+MAX(DATOS!$C$70,INDEX(TABLAS!$C$52:$C$58,MIN(MATCH(MAX(4,DATOS!$C$72),TABLAS!$B$52:$B$58,0)+0,7))))))),INDEX(TABLAS!$B$52:$B$58,MIN(MATCH(MAX(4,DATOS!$C$72),TABLAS!$B$52:$B$58,0)+0,7)),IF(AND(BU16&gt;=0,IF(MAX(DATOS!$C$74,CEILING(BU16/INDEX(TABLAS!$D$52:$D$58,MIN(MATCH(MAX(4,DATOS!$C$72),TABLAS!$B$52:$B$58,0)+1,7)),1))*INDEX(TABLAS!$D$52:$D$58,MIN(MATCH(MAX(4,DATOS!$C$72),TABLAS!$B$52:$B$58,0)+1,7)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+1,7)),1)),MAX(MAX(DATOS!$C$74,CEILING(BU16/INDEX(TABLAS!$D$52:$D$58,MIN(MATCH(MAX(4,DATOS!$C$72),TABLAS!$B$52:$B$58,0)+1,7)),1)),2))&lt;=MIN(DATOS!$C$73,INT(((AD16-2*AL16)+MAX(DATOS!$C$70,INDEX(TABLAS!$C$52:$C$58,MIN(MATCH(MAX(4,DATOS!$C$72),TABLAS!$B$52:$B$58,0)+1,7))))/(INDEX(TABLAS!$C$52:$C$58,MIN(MATCH(MAX(4,DATOS!$C$72),TABLAS!$B$52:$B$58,0)+1,7))+MAX(DATOS!$C$70,INDEX(TABLAS!$C$52:$C$58,MIN(MATCH(MAX(4,DATOS!$C$72),TABLAS!$B$52:$B$58,0)+1,7))))))),INDEX(TABLAS!$B$52:$B$58,MIN(MATCH(MAX(4,DATOS!$C$72),TABLAS!$B$52:$B$58,0)+1,7)),IF(AND(BU16&gt;=0,IF(MAX(DATOS!$C$74,CEILING(BU16/INDEX(TABLAS!$D$52:$D$58,MIN(MATCH(MAX(4,DATOS!$C$72),TABLAS!$B$52:$B$58,0)+2,7)),1))*INDEX(TABLAS!$D$52:$D$58,MIN(MATCH(MAX(4,DATOS!$C$72),TABLAS!$B$52:$B$58,0)+2,7)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+2,7)),1)),MAX(MAX(DATOS!$C$74,CEILING(BU16/INDEX(TABLAS!$D$52:$D$58,MIN(MATCH(MAX(4,DATOS!$C$72),TABLAS!$B$52:$B$58,0)+2,7)),1)),2))&lt;=MIN(DATOS!$C$73,INT(((AD16-2*AL16)+MAX(DATOS!$C$70,INDEX(TABLAS!$C$52:$C$58,MIN(MATCH(MAX(4,DATOS!$C$72),TABLAS!$B$52:$B$58,0)+2,7))))/(INDEX(TABLAS!$C$52:$C$58,MIN(MATCH(MAX(4,DATOS!$C$72),TABLAS!$B$52:$B$58,0)+2,7))+MAX(DATOS!$C$70,INDEX(TABLAS!$C$52:$C$58,MIN(MATCH(MAX(4,DATOS!$C$72),TABLAS!$B$52:$B$58,0)+2,7))))))),INDEX(TABLAS!$B$52:$B$58,MIN(MATCH(MAX(4,DATOS!$C$72),TABLAS!$B$52:$B$58,0)+2,7)),IF(AND(BU16&gt;=0,IF(MAX(DATOS!$C$74,CEILING(BU16/INDEX(TABLAS!$D$52:$D$58,MIN(MATCH(MAX(4,DATOS!$C$72),TABLAS!$B$52:$B$58,0)+3,7)),1))*INDEX(TABLAS!$D$52:$D$58,MIN(MATCH(MAX(4,DATOS!$C$72),TABLAS!$B$52:$B$58,0)+3,7)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+3,7)),1)),MAX(MAX(DATOS!$C$74,CEILING(BU16/INDEX(TABLAS!$D$52:$D$58,MIN(MATCH(MAX(4,DATOS!$C$72),TABLAS!$B$52:$B$58,0)+3,7)),1)),2))&lt;=MIN(DATOS!$C$73,INT(((AD16-2*AL16)+MAX(DATOS!$C$70,INDEX(TABLAS!$C$52:$C$58,MIN(MATCH(MAX(4,DATOS!$C$72),TABLAS!$B$52:$B$58,0)+3,7))))/(INDEX(TABLAS!$C$52:$C$58,MIN(MATCH(MAX(4,DATOS!$C$72),TABLAS!$B$52:$B$58,0)+3,7))+MAX(DATOS!$C$70,INDEX(TABLAS!$C$52:$C$58,MIN(MATCH(MAX(4,DATOS!$C$72),TABLAS!$B$52:$B$58,0)+3,7))))))),INDEX(TABLAS!$B$52:$B$58,MIN(MATCH(MAX(4,DATOS!$C$72),TABLAS!$B$52:$B$58,0)+3,7)),IF(AND(BU16&gt;=0,IF(MAX(DATOS!$C$74,CEILING(BU16/INDEX(TABLAS!$D$52:$D$58,MIN(MATCH(MAX(4,DATOS!$C$72),TABLAS!$B$52:$B$58,0)+4,7)),1))*INDEX(TABLAS!$D$52:$D$58,MIN(MATCH(MAX(4,DATOS!$C$72),TABLAS!$B$52:$B$58,0)+4,7)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+4,7)),1)),MAX(MAX(DATOS!$C$74,CEILING(BU16/INDEX(TABLAS!$D$52:$D$58,MIN(MATCH(MAX(4,DATOS!$C$72),TABLAS!$B$52:$B$58,0)+4,7)),1)),2))&lt;=MIN(DATOS!$C$73,INT(((AD16-2*AL16)+MAX(DATOS!$C$70,INDEX(TABLAS!$C$52:$C$58,MIN(MATCH(MAX(4,DATOS!$C$72),TABLAS!$B$52:$B$58,0)+4,7))))/(INDEX(TABLAS!$C$52:$C$58,MIN(MATCH(MAX(4,DATOS!$C$72),TABLAS!$B$52:$B$58,0)+4,7))+MAX(DATOS!$C$70,INDEX(TABLAS!$C$52:$C$58,MIN(MATCH(MAX(4,DATOS!$C$72),TABLAS!$B$52:$B$58,0)+4,7))))))),INDEX(TABLAS!$B$52:$B$58,MIN(MATCH(MAX(4,DATOS!$C$72),TABLAS!$B$52:$B$58,0)+4,7)),INDEX(TABLAS!$B$52:$B$58,7)))))))</f>
        <v/>
      </c>
      <c r="BW16" s="59" t="str">
        <f>IF(V16&lt;&gt;"SÍ","",IF(BU16&lt;0,0,IF(MAX(DATOS!$C$74,CEILING(MAX(BU16,0)/INDEX(TABLAS!$D$52:$D$58,MATCH(BV16,TABLAS!$B$52:$B$58,0)),1))*INDEX(TABLAS!$D$52:$D$58,MATCH(BV16,TABLAS!$B$52:$B$58,0))&gt;=4/3*IF(BH16&lt;=0,0,IF((1-2*BH16*1E5/(DATOS!$C$29*AF16*BT16^2*DATOS!$C$21))&lt;0,-1,IF((1-SQRT((1-2*BH16*1E5/(DATOS!$C$29*AF16*BT16^2*DATOS!$C$21))))*DATOS!$C$21*AF16*BT16/DATOS!$C$14&gt;DATOS!$C$102*AF16*BT16,-1,(1-SQRT((1-2*BH16*1E5/(DATOS!$C$29*AF16*BT16^2*DATOS!$C$21))))*DATOS!$C$21*AF16*BT16/DATOS!$C$14)))-0.0001,MAX(DATOS!$C$74,CEILING(MAX(BU16,0)/INDEX(TABLAS!$D$52:$D$58,MATCH(BV16,TABLAS!$B$52:$B$58,0)),1)),MAX(MAX(DATOS!$C$74,CEILING(MAX(BU16,0)/INDEX(TABLAS!$D$52:$D$58,MATCH(BV16,TABLAS!$B$52:$B$58,0)),1)),2))))</f>
        <v/>
      </c>
      <c r="BX16" s="58" t="str">
        <f>IF(V16&lt;&gt;"SÍ","",((DATOS!$C$85-AM16-2*DATOS!$C$97-INDEX(TABLAS!$C$52:$C$58,MATCH(BV16,TABLAS!$B$52:$B$58,0))/2)-IF(AND((DATOS!$C$85-AM16-2*DATOS!$C$97-INDEX(TABLAS!$C$52:$C$58,MATCH(BV16,TABLAS!$B$52:$B$58,0))/2)&lt;=20,DATOS!$C$65&lt;&gt;"SÍ"),2,0)))</f>
        <v/>
      </c>
      <c r="BY16" s="56" t="str">
        <f>IF(V16&lt;&gt;"SÍ","",IF(BW16=0,0,DATOS!$C$29*BW16*INDEX(TABLAS!$D$52:$D$58,MATCH(BV16,TABLAS!$B$52:$B$58,0))*DATOS!$C$14*(BX16-BW16*INDEX(TABLAS!$D$52:$D$58,MATCH(BV16,TABLAS!$B$52:$B$58,0))*DATOS!$C$14/(DATOS!$C$21*AF16)/2)/1E5))</f>
        <v/>
      </c>
      <c r="BZ16" s="65" t="str">
        <f>IF(V16&lt;&gt;"SÍ","",IF(BU16&lt;0,9.99,IF(BY16&gt;0,BH16/BY16,0)))</f>
        <v/>
      </c>
      <c r="CA16" s="66" t="str">
        <f>IF(V16&lt;&gt;"SÍ","",IF(BW16=0,"—",0.003*(BX16-(BW16*INDEX(TABLAS!$D$52:$D$58,MATCH(BV16,TABLAS!$B$52:$B$58,0))*DATOS!$C$14/(DATOS!$C$21*AF16)/DATOS!$C$22))/(BW16*INDEX(TABLAS!$D$52:$D$58,MATCH(BV16,TABLAS!$B$52:$B$58,0))*DATOS!$C$14/(DATOS!$C$21*AF16)/DATOS!$C$22)))</f>
        <v/>
      </c>
      <c r="CB16" s="58" t="str">
        <f>IF(V16&lt;&gt;"SÍ","",(DATOS!$C$85-AK16-INDEX(TABLAS!$C$52:$C$58,MATCH(MAX(4,DATOS!$C$71),TABLAS!$B$52:$B$58,0))-INDEX(TABLAS!$C$52:$C$58,MATCH(MAX(4,DATOS!$C$71),TABLAS!$B$52:$B$58,0))/2))</f>
        <v/>
      </c>
      <c r="CC16" s="58" t="str">
        <f>IF(V16&lt;&gt;"SÍ","",IF(IF(BI16&lt;=0,0,IF((1-2*BI16*1E5/(DATOS!$C$29*AI16*CB16^2*DATOS!$C$21))&lt;0,-1,IF((1-SQRT((1-2*BI16*1E5/(DATOS!$C$29*AI16*CB16^2*DATOS!$C$21))))*DATOS!$C$21*AI16*CB16/DATOS!$C$14&gt;DATOS!$C$102*AI16*CB16,-1,(1-SQRT((1-2*BI16*1E5/(DATOS!$C$29*AI16*CB16^2*DATOS!$C$21))))*DATOS!$C$21*AI16*CB16/DATOS!$C$14)))&lt;0,-1,MAX(IF(BI16&lt;=0,0,IF((1-2*BI16*1E5/(DATOS!$C$29*AI16*CB16^2*DATOS!$C$21))&lt;0,-1,IF((1-SQRT((1-2*BI16*1E5/(DATOS!$C$29*AI16*CB16^2*DATOS!$C$21))))*DATOS!$C$21*AI16*CB16/DATOS!$C$14&gt;DATOS!$C$102*AI16*CB16,-1,(1-SQRT((1-2*BI16*1E5/(DATOS!$C$29*AI16*CB16^2*DATOS!$C$21))))*DATOS!$C$21*AI16*CB16/DATOS!$C$14))),MIN(DATOS!$C$103*DATOS!$C$83*CB16,4/3*IF(BI16&lt;=0,0,IF((1-2*BI16*1E5/(DATOS!$C$29*AI16*CB16^2*DATOS!$C$21))&lt;0,-1,IF((1-SQRT((1-2*BI16*1E5/(DATOS!$C$29*AI16*CB16^2*DATOS!$C$21))))*DATOS!$C$21*AI16*CB16/DATOS!$C$14&gt;DATOS!$C$102*AI16*CB16,-1,(1-SQRT((1-2*BI16*1E5/(DATOS!$C$29*AI16*CB16^2*DATOS!$C$21))))*DATOS!$C$21*AI16*CB16/DATOS!$C$14)))))))</f>
        <v/>
      </c>
      <c r="CD16" s="64" t="str">
        <f>IF(V16&lt;&gt;"SÍ","",IF(AND(CC16&gt;=0,IF(MAX(DATOS!$C$74,CEILING(CC16/INDEX(TABLAS!$D$52:$D$58,MIN(MATCH(MAX(4,DATOS!$C$71),TABLAS!$B$52:$B$58,0)+0,7)),1))*INDEX(TABLAS!$D$52:$D$58,MIN(MATCH(MAX(4,DATOS!$C$71),TABLAS!$B$52:$B$58,0)+0,7)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+0,7)),1)),MAX(MAX(DATOS!$C$74,CEILING(CC16/INDEX(TABLAS!$D$52:$D$58,MIN(MATCH(MAX(4,DATOS!$C$71),TABLAS!$B$52:$B$58,0)+0,7)),1)),2))&lt;=MIN(DATOS!$C$73,INT(((DATOS!$C$83-2*AK16)+MAX(DATOS!$C$70,INDEX(TABLAS!$C$52:$C$58,MIN(MATCH(MAX(4,DATOS!$C$71),TABLAS!$B$52:$B$58,0)+0,7))))/(INDEX(TABLAS!$C$52:$C$58,MIN(MATCH(MAX(4,DATOS!$C$71),TABLAS!$B$52:$B$58,0)+0,7))+MAX(DATOS!$C$70,INDEX(TABLAS!$C$52:$C$58,MIN(MATCH(MAX(4,DATOS!$C$71),TABLAS!$B$52:$B$58,0)+0,7))))))),INDEX(TABLAS!$B$52:$B$58,MIN(MATCH(MAX(4,DATOS!$C$71),TABLAS!$B$52:$B$58,0)+0,7)),IF(AND(CC16&gt;=0,IF(MAX(DATOS!$C$74,CEILING(CC16/INDEX(TABLAS!$D$52:$D$58,MIN(MATCH(MAX(4,DATOS!$C$71),TABLAS!$B$52:$B$58,0)+1,7)),1))*INDEX(TABLAS!$D$52:$D$58,MIN(MATCH(MAX(4,DATOS!$C$71),TABLAS!$B$52:$B$58,0)+1,7)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+1,7)),1)),MAX(MAX(DATOS!$C$74,CEILING(CC16/INDEX(TABLAS!$D$52:$D$58,MIN(MATCH(MAX(4,DATOS!$C$71),TABLAS!$B$52:$B$58,0)+1,7)),1)),2))&lt;=MIN(DATOS!$C$73,INT(((DATOS!$C$83-2*AK16)+MAX(DATOS!$C$70,INDEX(TABLAS!$C$52:$C$58,MIN(MATCH(MAX(4,DATOS!$C$71),TABLAS!$B$52:$B$58,0)+1,7))))/(INDEX(TABLAS!$C$52:$C$58,MIN(MATCH(MAX(4,DATOS!$C$71),TABLAS!$B$52:$B$58,0)+1,7))+MAX(DATOS!$C$70,INDEX(TABLAS!$C$52:$C$58,MIN(MATCH(MAX(4,DATOS!$C$71),TABLAS!$B$52:$B$58,0)+1,7))))))),INDEX(TABLAS!$B$52:$B$58,MIN(MATCH(MAX(4,DATOS!$C$71),TABLAS!$B$52:$B$58,0)+1,7)),IF(AND(CC16&gt;=0,IF(MAX(DATOS!$C$74,CEILING(CC16/INDEX(TABLAS!$D$52:$D$58,MIN(MATCH(MAX(4,DATOS!$C$71),TABLAS!$B$52:$B$58,0)+2,7)),1))*INDEX(TABLAS!$D$52:$D$58,MIN(MATCH(MAX(4,DATOS!$C$71),TABLAS!$B$52:$B$58,0)+2,7)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+2,7)),1)),MAX(MAX(DATOS!$C$74,CEILING(CC16/INDEX(TABLAS!$D$52:$D$58,MIN(MATCH(MAX(4,DATOS!$C$71),TABLAS!$B$52:$B$58,0)+2,7)),1)),2))&lt;=MIN(DATOS!$C$73,INT(((DATOS!$C$83-2*AK16)+MAX(DATOS!$C$70,INDEX(TABLAS!$C$52:$C$58,MIN(MATCH(MAX(4,DATOS!$C$71),TABLAS!$B$52:$B$58,0)+2,7))))/(INDEX(TABLAS!$C$52:$C$58,MIN(MATCH(MAX(4,DATOS!$C$71),TABLAS!$B$52:$B$58,0)+2,7))+MAX(DATOS!$C$70,INDEX(TABLAS!$C$52:$C$58,MIN(MATCH(MAX(4,DATOS!$C$71),TABLAS!$B$52:$B$58,0)+2,7))))))),INDEX(TABLAS!$B$52:$B$58,MIN(MATCH(MAX(4,DATOS!$C$71),TABLAS!$B$52:$B$58,0)+2,7)),IF(AND(CC16&gt;=0,IF(MAX(DATOS!$C$74,CEILING(CC16/INDEX(TABLAS!$D$52:$D$58,MIN(MATCH(MAX(4,DATOS!$C$71),TABLAS!$B$52:$B$58,0)+3,7)),1))*INDEX(TABLAS!$D$52:$D$58,MIN(MATCH(MAX(4,DATOS!$C$71),TABLAS!$B$52:$B$58,0)+3,7)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+3,7)),1)),MAX(MAX(DATOS!$C$74,CEILING(CC16/INDEX(TABLAS!$D$52:$D$58,MIN(MATCH(MAX(4,DATOS!$C$71),TABLAS!$B$52:$B$58,0)+3,7)),1)),2))&lt;=MIN(DATOS!$C$73,INT(((DATOS!$C$83-2*AK16)+MAX(DATOS!$C$70,INDEX(TABLAS!$C$52:$C$58,MIN(MATCH(MAX(4,DATOS!$C$71),TABLAS!$B$52:$B$58,0)+3,7))))/(INDEX(TABLAS!$C$52:$C$58,MIN(MATCH(MAX(4,DATOS!$C$71),TABLAS!$B$52:$B$58,0)+3,7))+MAX(DATOS!$C$70,INDEX(TABLAS!$C$52:$C$58,MIN(MATCH(MAX(4,DATOS!$C$71),TABLAS!$B$52:$B$58,0)+3,7))))))),INDEX(TABLAS!$B$52:$B$58,MIN(MATCH(MAX(4,DATOS!$C$71),TABLAS!$B$52:$B$58,0)+3,7)),IF(AND(CC16&gt;=0,IF(MAX(DATOS!$C$74,CEILING(CC16/INDEX(TABLAS!$D$52:$D$58,MIN(MATCH(MAX(4,DATOS!$C$71),TABLAS!$B$52:$B$58,0)+4,7)),1))*INDEX(TABLAS!$D$52:$D$58,MIN(MATCH(MAX(4,DATOS!$C$71),TABLAS!$B$52:$B$58,0)+4,7)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+4,7)),1)),MAX(MAX(DATOS!$C$74,CEILING(CC16/INDEX(TABLAS!$D$52:$D$58,MIN(MATCH(MAX(4,DATOS!$C$71),TABLAS!$B$52:$B$58,0)+4,7)),1)),2))&lt;=MIN(DATOS!$C$73,INT(((DATOS!$C$83-2*AK16)+MAX(DATOS!$C$70,INDEX(TABLAS!$C$52:$C$58,MIN(MATCH(MAX(4,DATOS!$C$71),TABLAS!$B$52:$B$58,0)+4,7))))/(INDEX(TABLAS!$C$52:$C$58,MIN(MATCH(MAX(4,DATOS!$C$71),TABLAS!$B$52:$B$58,0)+4,7))+MAX(DATOS!$C$70,INDEX(TABLAS!$C$52:$C$58,MIN(MATCH(MAX(4,DATOS!$C$71),TABLAS!$B$52:$B$58,0)+4,7))))))),INDEX(TABLAS!$B$52:$B$58,MIN(MATCH(MAX(4,DATOS!$C$71),TABLAS!$B$52:$B$58,0)+4,7)),INDEX(TABLAS!$B$52:$B$58,7)))))))</f>
        <v/>
      </c>
      <c r="CE16" s="59" t="str">
        <f>IF(V16&lt;&gt;"SÍ","",IF(CC16&lt;0,0,IF(MAX(DATOS!$C$74,CEILING(MAX(CC16,0)/INDEX(TABLAS!$D$52:$D$58,MATCH(CD16,TABLAS!$B$52:$B$58,0)),1))*INDEX(TABLAS!$D$52:$D$58,MATCH(CD16,TABLAS!$B$52:$B$58,0))&gt;=4/3*IF(BI16&lt;=0,0,IF((1-2*BI16*1E5/(DATOS!$C$29*AI16*CB16^2*DATOS!$C$21))&lt;0,-1,IF((1-SQRT((1-2*BI16*1E5/(DATOS!$C$29*AI16*CB16^2*DATOS!$C$21))))*DATOS!$C$21*AI16*CB16/DATOS!$C$14&gt;DATOS!$C$102*AI16*CB16,-1,(1-SQRT((1-2*BI16*1E5/(DATOS!$C$29*AI16*CB16^2*DATOS!$C$21))))*DATOS!$C$21*AI16*CB16/DATOS!$C$14)))-0.0001,MAX(DATOS!$C$74,CEILING(MAX(CC16,0)/INDEX(TABLAS!$D$52:$D$58,MATCH(CD16,TABLAS!$B$52:$B$58,0)),1)),MAX(MAX(DATOS!$C$74,CEILING(MAX(CC16,0)/INDEX(TABLAS!$D$52:$D$58,MATCH(CD16,TABLAS!$B$52:$B$58,0)),1)),2))))</f>
        <v/>
      </c>
      <c r="CF16" s="58" t="str">
        <f>IF(V16&lt;&gt;"SÍ","",DATOS!$C$85-AK16-INDEX(TABLAS!$C$52:$C$58,MATCH(BN16,TABLAS!$B$52:$B$58,0))-INDEX(TABLAS!$C$52:$C$58,MATCH(CD16,TABLAS!$B$52:$B$58,0))/2)</f>
        <v/>
      </c>
      <c r="CG16" s="56" t="str">
        <f>IF(V16&lt;&gt;"SÍ","",IF(CE16=0,0,DATOS!$C$29*CE16*INDEX(TABLAS!$D$52:$D$58,MATCH(CD16,TABLAS!$B$52:$B$58,0))*DATOS!$C$14*(CF16-CE16*INDEX(TABLAS!$D$52:$D$58,MATCH(CD16,TABLAS!$B$52:$B$58,0))*DATOS!$C$14/(DATOS!$C$21*AI16)/2)/1E5))</f>
        <v/>
      </c>
      <c r="CH16" s="65" t="str">
        <f>IF(V16&lt;&gt;"SÍ","",IF(CC16&lt;0,9.99,IF(CG16&gt;0,BI16/CG16,0)))</f>
        <v/>
      </c>
      <c r="CI16" s="66" t="str">
        <f>IF(V16&lt;&gt;"SÍ","",IF(CE16=0,"—",0.003*(CF16-(CE16*INDEX(TABLAS!$D$52:$D$58,MATCH(CD16,TABLAS!$B$52:$B$58,0))*DATOS!$C$14/(DATOS!$C$21*AI16)/DATOS!$C$22))/(CE16*INDEX(TABLAS!$D$52:$D$58,MATCH(CD16,TABLAS!$B$52:$B$58,0))*DATOS!$C$14/(DATOS!$C$21*AI16)/DATOS!$C$22)))</f>
        <v/>
      </c>
      <c r="CJ16" s="58" t="str">
        <f>IF(V16&lt;&gt;"SÍ","",((DATOS!$C$85-AM16-2*DATOS!$C$97-INDEX(TABLAS!$C$52:$C$58,MATCH(MAX(4,DATOS!$C$72),TABLAS!$B$52:$B$58,0))-INDEX(TABLAS!$C$52:$C$58,MATCH(MAX(4,DATOS!$C$72),TABLAS!$B$52:$B$58,0))/2)-IF(AND((DATOS!$C$85-AM16-2*DATOS!$C$97-INDEX(TABLAS!$C$52:$C$58,MATCH(MAX(4,DATOS!$C$72),TABLAS!$B$52:$B$58,0))-INDEX(TABLAS!$C$52:$C$58,MATCH(MAX(4,DATOS!$C$72),TABLAS!$B$52:$B$58,0))/2)&lt;=20,DATOS!$C$65&lt;&gt;"SÍ"),2,0)))</f>
        <v/>
      </c>
      <c r="CK16" s="58" t="str">
        <f>IF(V16&lt;&gt;"SÍ","",IF(IF(BJ16&lt;=0,0,IF((1-2*BJ16*1E5/(DATOS!$C$29*AG16*CJ16^2*DATOS!$C$21))&lt;0,-1,IF((1-SQRT((1-2*BJ16*1E5/(DATOS!$C$29*AG16*CJ16^2*DATOS!$C$21))))*DATOS!$C$21*AG16*CJ16/DATOS!$C$14&gt;DATOS!$C$102*AG16*CJ16,-1,(1-SQRT((1-2*BJ16*1E5/(DATOS!$C$29*AG16*CJ16^2*DATOS!$C$21))))*DATOS!$C$21*AG16*CJ16/DATOS!$C$14)))&lt;0,-1,MAX(IF(BJ16&lt;=0,0,IF((1-2*BJ16*1E5/(DATOS!$C$29*AG16*CJ16^2*DATOS!$C$21))&lt;0,-1,IF((1-SQRT((1-2*BJ16*1E5/(DATOS!$C$29*AG16*CJ16^2*DATOS!$C$21))))*DATOS!$C$21*AG16*CJ16/DATOS!$C$14&gt;DATOS!$C$102*AG16*CJ16,-1,(1-SQRT((1-2*BJ16*1E5/(DATOS!$C$29*AG16*CJ16^2*DATOS!$C$21))))*DATOS!$C$21*AG16*CJ16/DATOS!$C$14))),MIN(DATOS!$C$103*DATOS!$C$83*CJ16,4/3*IF(BJ16&lt;=0,0,IF((1-2*BJ16*1E5/(DATOS!$C$29*AG16*CJ16^2*DATOS!$C$21))&lt;0,-1,IF((1-SQRT((1-2*BJ16*1E5/(DATOS!$C$29*AG16*CJ16^2*DATOS!$C$21))))*DATOS!$C$21*AG16*CJ16/DATOS!$C$14&gt;DATOS!$C$102*AG16*CJ16,-1,(1-SQRT((1-2*BJ16*1E5/(DATOS!$C$29*AG16*CJ16^2*DATOS!$C$21))))*DATOS!$C$21*AG16*CJ16/DATOS!$C$14)))))))</f>
        <v/>
      </c>
      <c r="CL16" s="64" t="str">
        <f>IF(V16&lt;&gt;"SÍ","",IF(AND(CK16&gt;=0,IF(MAX(DATOS!$C$74,CEILING(CK16/INDEX(TABLAS!$D$52:$D$58,MIN(MATCH(MAX(4,DATOS!$C$72),TABLAS!$B$52:$B$58,0)+0,7)),1))*INDEX(TABLAS!$D$52:$D$58,MIN(MATCH(MAX(4,DATOS!$C$72),TABLAS!$B$52:$B$58,0)+0,7)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+0,7)),1)),MAX(MAX(DATOS!$C$74,CEILING(CK16/INDEX(TABLAS!$D$52:$D$58,MIN(MATCH(MAX(4,DATOS!$C$72),TABLAS!$B$52:$B$58,0)+0,7)),1)),2))&lt;=MIN(DATOS!$C$73,INT(((DATOS!$C$83-2*AL16)+MAX(DATOS!$C$70,INDEX(TABLAS!$C$52:$C$58,MIN(MATCH(MAX(4,DATOS!$C$72),TABLAS!$B$52:$B$58,0)+0,7))))/(INDEX(TABLAS!$C$52:$C$58,MIN(MATCH(MAX(4,DATOS!$C$72),TABLAS!$B$52:$B$58,0)+0,7))+MAX(DATOS!$C$70,INDEX(TABLAS!$C$52:$C$58,MIN(MATCH(MAX(4,DATOS!$C$72),TABLAS!$B$52:$B$58,0)+0,7))))))),INDEX(TABLAS!$B$52:$B$58,MIN(MATCH(MAX(4,DATOS!$C$72),TABLAS!$B$52:$B$58,0)+0,7)),IF(AND(CK16&gt;=0,IF(MAX(DATOS!$C$74,CEILING(CK16/INDEX(TABLAS!$D$52:$D$58,MIN(MATCH(MAX(4,DATOS!$C$72),TABLAS!$B$52:$B$58,0)+1,7)),1))*INDEX(TABLAS!$D$52:$D$58,MIN(MATCH(MAX(4,DATOS!$C$72),TABLAS!$B$52:$B$58,0)+1,7)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+1,7)),1)),MAX(MAX(DATOS!$C$74,CEILING(CK16/INDEX(TABLAS!$D$52:$D$58,MIN(MATCH(MAX(4,DATOS!$C$72),TABLAS!$B$52:$B$58,0)+1,7)),1)),2))&lt;=MIN(DATOS!$C$73,INT(((DATOS!$C$83-2*AL16)+MAX(DATOS!$C$70,INDEX(TABLAS!$C$52:$C$58,MIN(MATCH(MAX(4,DATOS!$C$72),TABLAS!$B$52:$B$58,0)+1,7))))/(INDEX(TABLAS!$C$52:$C$58,MIN(MATCH(MAX(4,DATOS!$C$72),TABLAS!$B$52:$B$58,0)+1,7))+MAX(DATOS!$C$70,INDEX(TABLAS!$C$52:$C$58,MIN(MATCH(MAX(4,DATOS!$C$72),TABLAS!$B$52:$B$58,0)+1,7))))))),INDEX(TABLAS!$B$52:$B$58,MIN(MATCH(MAX(4,DATOS!$C$72),TABLAS!$B$52:$B$58,0)+1,7)),IF(AND(CK16&gt;=0,IF(MAX(DATOS!$C$74,CEILING(CK16/INDEX(TABLAS!$D$52:$D$58,MIN(MATCH(MAX(4,DATOS!$C$72),TABLAS!$B$52:$B$58,0)+2,7)),1))*INDEX(TABLAS!$D$52:$D$58,MIN(MATCH(MAX(4,DATOS!$C$72),TABLAS!$B$52:$B$58,0)+2,7)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+2,7)),1)),MAX(MAX(DATOS!$C$74,CEILING(CK16/INDEX(TABLAS!$D$52:$D$58,MIN(MATCH(MAX(4,DATOS!$C$72),TABLAS!$B$52:$B$58,0)+2,7)),1)),2))&lt;=MIN(DATOS!$C$73,INT(((DATOS!$C$83-2*AL16)+MAX(DATOS!$C$70,INDEX(TABLAS!$C$52:$C$58,MIN(MATCH(MAX(4,DATOS!$C$72),TABLAS!$B$52:$B$58,0)+2,7))))/(INDEX(TABLAS!$C$52:$C$58,MIN(MATCH(MAX(4,DATOS!$C$72),TABLAS!$B$52:$B$58,0)+2,7))+MAX(DATOS!$C$70,INDEX(TABLAS!$C$52:$C$58,MIN(MATCH(MAX(4,DATOS!$C$72),TABLAS!$B$52:$B$58,0)+2,7))))))),INDEX(TABLAS!$B$52:$B$58,MIN(MATCH(MAX(4,DATOS!$C$72),TABLAS!$B$52:$B$58,0)+2,7)),IF(AND(CK16&gt;=0,IF(MAX(DATOS!$C$74,CEILING(CK16/INDEX(TABLAS!$D$52:$D$58,MIN(MATCH(MAX(4,DATOS!$C$72),TABLAS!$B$52:$B$58,0)+3,7)),1))*INDEX(TABLAS!$D$52:$D$58,MIN(MATCH(MAX(4,DATOS!$C$72),TABLAS!$B$52:$B$58,0)+3,7)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+3,7)),1)),MAX(MAX(DATOS!$C$74,CEILING(CK16/INDEX(TABLAS!$D$52:$D$58,MIN(MATCH(MAX(4,DATOS!$C$72),TABLAS!$B$52:$B$58,0)+3,7)),1)),2))&lt;=MIN(DATOS!$C$73,INT(((DATOS!$C$83-2*AL16)+MAX(DATOS!$C$70,INDEX(TABLAS!$C$52:$C$58,MIN(MATCH(MAX(4,DATOS!$C$72),TABLAS!$B$52:$B$58,0)+3,7))))/(INDEX(TABLAS!$C$52:$C$58,MIN(MATCH(MAX(4,DATOS!$C$72),TABLAS!$B$52:$B$58,0)+3,7))+MAX(DATOS!$C$70,INDEX(TABLAS!$C$52:$C$58,MIN(MATCH(MAX(4,DATOS!$C$72),TABLAS!$B$52:$B$58,0)+3,7))))))),INDEX(TABLAS!$B$52:$B$58,MIN(MATCH(MAX(4,DATOS!$C$72),TABLAS!$B$52:$B$58,0)+3,7)),IF(AND(CK16&gt;=0,IF(MAX(DATOS!$C$74,CEILING(CK16/INDEX(TABLAS!$D$52:$D$58,MIN(MATCH(MAX(4,DATOS!$C$72),TABLAS!$B$52:$B$58,0)+4,7)),1))*INDEX(TABLAS!$D$52:$D$58,MIN(MATCH(MAX(4,DATOS!$C$72),TABLAS!$B$52:$B$58,0)+4,7)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+4,7)),1)),MAX(MAX(DATOS!$C$74,CEILING(CK16/INDEX(TABLAS!$D$52:$D$58,MIN(MATCH(MAX(4,DATOS!$C$72),TABLAS!$B$52:$B$58,0)+4,7)),1)),2))&lt;=MIN(DATOS!$C$73,INT(((DATOS!$C$83-2*AL16)+MAX(DATOS!$C$70,INDEX(TABLAS!$C$52:$C$58,MIN(MATCH(MAX(4,DATOS!$C$72),TABLAS!$B$52:$B$58,0)+4,7))))/(INDEX(TABLAS!$C$52:$C$58,MIN(MATCH(MAX(4,DATOS!$C$72),TABLAS!$B$52:$B$58,0)+4,7))+MAX(DATOS!$C$70,INDEX(TABLAS!$C$52:$C$58,MIN(MATCH(MAX(4,DATOS!$C$72),TABLAS!$B$52:$B$58,0)+4,7))))))),INDEX(TABLAS!$B$52:$B$58,MIN(MATCH(MAX(4,DATOS!$C$72),TABLAS!$B$52:$B$58,0)+4,7)),INDEX(TABLAS!$B$52:$B$58,7)))))))</f>
        <v/>
      </c>
      <c r="CM16" s="59" t="str">
        <f>IF(V16&lt;&gt;"SÍ","",IF(CK16&lt;0,0,IF(MAX(DATOS!$C$74,CEILING(MAX(CK16,0)/INDEX(TABLAS!$D$52:$D$58,MATCH(CL16,TABLAS!$B$52:$B$58,0)),1))*INDEX(TABLAS!$D$52:$D$58,MATCH(CL16,TABLAS!$B$52:$B$58,0))&gt;=4/3*IF(BJ16&lt;=0,0,IF((1-2*BJ16*1E5/(DATOS!$C$29*AG16*CJ16^2*DATOS!$C$21))&lt;0,-1,IF((1-SQRT((1-2*BJ16*1E5/(DATOS!$C$29*AG16*CJ16^2*DATOS!$C$21))))*DATOS!$C$21*AG16*CJ16/DATOS!$C$14&gt;DATOS!$C$102*AG16*CJ16,-1,(1-SQRT((1-2*BJ16*1E5/(DATOS!$C$29*AG16*CJ16^2*DATOS!$C$21))))*DATOS!$C$21*AG16*CJ16/DATOS!$C$14)))-0.0001,MAX(DATOS!$C$74,CEILING(MAX(CK16,0)/INDEX(TABLAS!$D$52:$D$58,MATCH(CL16,TABLAS!$B$52:$B$58,0)),1)),MAX(MAX(DATOS!$C$74,CEILING(MAX(CK16,0)/INDEX(TABLAS!$D$52:$D$58,MATCH(CL16,TABLAS!$B$52:$B$58,0)),1)),2))))</f>
        <v/>
      </c>
      <c r="CN16" s="58" t="str">
        <f>IF(V16&lt;&gt;"SÍ","",((DATOS!$C$85-AM16-2*DATOS!$C$97-INDEX(TABLAS!$C$52:$C$58,MATCH(BV16,TABLAS!$B$52:$B$58,0))-INDEX(TABLAS!$C$52:$C$58,MATCH(CL16,TABLAS!$B$52:$B$58,0))/2)-IF(AND((DATOS!$C$85-AM16-2*DATOS!$C$97-INDEX(TABLAS!$C$52:$C$58,MATCH(BV16,TABLAS!$B$52:$B$58,0))-INDEX(TABLAS!$C$52:$C$58,MATCH(CL16,TABLAS!$B$52:$B$58,0))/2)&lt;=20,DATOS!$C$65&lt;&gt;"SÍ"),2,0)))</f>
        <v/>
      </c>
      <c r="CO16" s="56" t="str">
        <f>IF(V16&lt;&gt;"SÍ","",IF(CM16=0,0,DATOS!$C$29*CM16*INDEX(TABLAS!$D$52:$D$58,MATCH(CL16,TABLAS!$B$52:$B$58,0))*DATOS!$C$14*(CN16-CM16*INDEX(TABLAS!$D$52:$D$58,MATCH(CL16,TABLAS!$B$52:$B$58,0))*DATOS!$C$14/(DATOS!$C$21*AG16)/2)/1E5))</f>
        <v/>
      </c>
      <c r="CP16" s="65" t="str">
        <f>IF(V16&lt;&gt;"SÍ","",IF(CK16&lt;0,9.99,IF(CO16&gt;0,BJ16/CO16,0)))</f>
        <v/>
      </c>
      <c r="CQ16" s="66" t="str">
        <f>IF(V16&lt;&gt;"SÍ","",IF(CM16=0,"—",0.003*(CN16-(CM16*INDEX(TABLAS!$D$52:$D$58,MATCH(CL16,TABLAS!$B$52:$B$58,0))*DATOS!$C$14/(DATOS!$C$21*AG16)/DATOS!$C$22))/(CM16*INDEX(TABLAS!$D$52:$D$58,MATCH(CL16,TABLAS!$B$52:$B$58,0))*DATOS!$C$14/(DATOS!$C$21*AG16)/DATOS!$C$22)))</f>
        <v/>
      </c>
      <c r="CR16" s="56" t="str">
        <f>IF(V16&lt;&gt;"SÍ","",IF(C16="PERIMETRAL",MAX(0,(AB16/2-BX16)/100)*(0.95-0.5*AA16)*AR16*IF(AND(AS16&gt;0,AS16&lt;4),DATOS!$C$33,1)*DATOS!$C$86/100/1000,(AR16*MAX(0,AB16-BX16)/100+DATOS!$C$26*N(O16))*DATOS!$C$86/100/1000+BF16))</f>
        <v/>
      </c>
      <c r="CS16" s="56" t="str">
        <f>IF(V16&lt;&gt;"SÍ","",DATOS!$C$30*2*MIN(1,SQRT(2/(1+0.04*BX16)))*(BW16*INDEX(TABLAS!$D$52:$D$58,MATCH(BV16,TABLAS!$B$52:$B$58,0))/(AF16*BX16))^(1/3)*SQRT(DATOS!$C$13)*AF16*BX16*IF(AJ16="SÍ",DATOS!$C$32,1)/1000)</f>
        <v/>
      </c>
      <c r="CT16" s="59" t="str">
        <f>IF(V16&lt;&gt;"SÍ","",IF(CR16&lt;=CS16,0,CEILING(MAX(0,IF(C16="VOLADO",(AB16-((CS16-BF16)*1E5/DATOS!$C$86-DATOS!$C$26*N(O16))*100/AR16),IF(CS16&lt;=0,AB16,AB16/2-CS16/MAX(CR16,1E-9)*(AB16/2-BX16)))-IF(X16="X",MIN(DJ16,DK16),MIN(DL16,DM16)))/DATOS!$C$86,1)))</f>
        <v/>
      </c>
      <c r="CU16" s="67" t="str">
        <f>IF(V16&lt;&gt;"SÍ","",IF(CR16&lt;=CS16,"CUMPLE",IF(CT16&lt;=0,"CUMPLE (basta el macizo de orilla)",IF(CT16*DATOS!$C$86*IF(C16="VOLADO",1,2)&gt;=Y16*100-DATOS!$C$87,"NO CUMPLE: no alcanza ni macizando todo","MACIZAR "&amp;CT16&amp;" hilera(s)"))))</f>
        <v/>
      </c>
      <c r="CV16" s="58" t="str">
        <f>IF(V16&lt;&gt;"SÍ","",(DATOS!$C$86*DATOS!$C$84^2/2+MIN(DATOS!$C$83,AD16)*DATOS!$C$82*(DATOS!$C$84+DATOS!$C$82/2))/(DATOS!$C$86*DATOS!$C$84+MIN(DATOS!$C$83,AD16)*DATOS!$C$82))</f>
        <v/>
      </c>
      <c r="CW16" s="68" t="str">
        <f>IF(V16&lt;&gt;"SÍ","",DATOS!$C$86*DATOS!$C$84^3/12+DATOS!$C$86*DATOS!$C$84*(CV16-DATOS!$C$84/2)^2+MIN(DATOS!$C$83,AD16)*DATOS!$C$82^3/12+MIN(DATOS!$C$83,AD16)*DATOS!$C$82*(DATOS!$C$84+DATOS!$C$82/2-CV16)^2)</f>
        <v/>
      </c>
      <c r="CX16" s="58" t="str">
        <f>IF(V16&lt;&gt;"SÍ","",(12*CW16/DATOS!$C$86)^(1/3))</f>
        <v/>
      </c>
      <c r="CY16" s="58" t="str">
        <f>IF(V16&lt;&gt;"SÍ","",IF(C16="PERIMETRAL",IF(ISNUMBER(S16),S16,DATOS!$C$104),0))</f>
        <v/>
      </c>
      <c r="CZ16" s="57" t="str">
        <f>IF(V16&lt;&gt;"SÍ","",IF(C16="PERIMETRAL",IF(CY16&gt;2,MAX(9,AC16*(0.8+DATOS!$C$14/14000)/(36+9*(AC16/MAX(AB16,1)))),IF(CY16&gt;0.2,MAX(13,AC16*(0.8+DATOS!$C$14/14000)/(36+5*(AC16/MAX(AB16,1))*(CY16-0.2))),MAX(13,AC16/IF(AS16&gt;0,30,33))))*IF(AND(CY16&gt;0.2,AS16&gt;0,DATOS!$C$105="NO"),1.1,1),MAX(25,Y16*100/8*(0.4+DATOS!$C$14/7000))))</f>
        <v/>
      </c>
      <c r="DA16" s="61" t="str">
        <f>IF(V16&lt;&gt;"SÍ","",IF(IF(C16="VOLADO",DATOS!$C$85,CX16)&gt;=CZ16,"CUMPLE",IF(C16="VOLADO","NO CUMPLE","CALCULAR FLECHA")))</f>
        <v/>
      </c>
      <c r="DB16" s="55" t="str">
        <f>IF(V16&lt;&gt;"SÍ","",IF(DATOS!$C$84&gt;=IF(IF(C16="VOLADO",Y16,Z16)&gt;=6,6,5),"CUMPLE","CAPA ≥ 6 cm"))</f>
        <v/>
      </c>
      <c r="DC16" s="60" t="str">
        <f>IF(V16&lt;&gt;"SÍ","",IF(C16="VOLADO",MIN(FLOOR(IF(ISNUMBER(P16),P16,Y16)*100-DATOS!$C$63,5),CEILING(MAX(IF((0.5*(0.9*DATOS!$C$90*DATOS!$C$86/100/1000)*IF(ISNUMBER(P16),P16,Y16)+BH16/IF(ISNUMBER(P16),P16,Y16))^2-4*(0.5*(0.9*DATOS!$C$90*DATOS!$C$86/100/1000))*BH16&lt;0,IF(ISNUMBER(P16),P16,Y16),MIN(IF(ISNUMBER(P16),P16,Y16),((0.5*(0.9*DATOS!$C$90*DATOS!$C$86/100/1000)*IF(ISNUMBER(P16),P16,Y16)+BH16/IF(ISNUMBER(P16),P16,Y16))-SQRT((0.5*(0.9*DATOS!$C$90*DATOS!$C$86/100/1000)*IF(ISNUMBER(P16),P16,Y16)+BH16/IF(ISNUMBER(P16),P16,Y16))^2-4*(0.5*(0.9*DATOS!$C$90*DATOS!$C$86/100/1000))*BH16))/(2*(0.5*(0.9*DATOS!$C$90*DATOS!$C$86/100/1000)))))*100+MAX(BX16,12*INDEX(TABLAS!$C$52:$C$58,MATCH(BV16,TABLAS!$B$52:$B$58,0)),IF(ISNUMBER(P16),P16,Y16)*100/16),IF(OR(AL16&lt;INDEX(TABLAS!$C$52:$C$58,MATCH(BV16,TABLAS!$B$52:$B$58,0)),AND(BW16&gt;=2,(AD16-2*AL16-BW16*INDEX(TABLAS!$C$52:$C$58,MATCH(BV16,TABLAS!$B$52:$B$58,0)))/MAX(BW16-1,1)&lt;2*INDEX(TABLAS!$C$52:$C$58,MATCH(BV16,TABLAS!$B$52:$B$58,0)))),INDEX(TABLAS!$I$52:$I$58,MATCH(BV16,TABLAS!$B$52:$B$58,0)),INDEX(TABLAS!$F$52:$F$58,MATCH(BV16,TABLAS!$B$52:$B$58,0)))),5)),IF(((4*((BC16*AR16*Y16^2*1E-4*DATOS!$C$86/100/1000)+((MAX(AY16,BA16)*AR16*Y16^2*1E-4*DATOS!$C$86/100/1000)+(IF(AND(AY16&gt;0,BA16&gt;0),MIN(AY16,BA16),MAX(AY16,BA16))*AR16*Y16^2*1E-4*DATOS!$C$86/100/1000))/2)+BH16-(IF(AND(AY16&gt;0,BA16&gt;0),MIN(AY16,BA16),MAX(AY16,BA16))*AR16*Y16^2*1E-4*DATOS!$C$86/100/1000))^2-16*((BC16*AR16*Y16^2*1E-4*DATOS!$C$86/100/1000)+((MAX(AY16,BA16)*AR16*Y16^2*1E-4*DATOS!$C$86/100/1000)+(IF(AND(AY16&gt;0,BA16&gt;0),MIN(AY16,BA16),MAX(AY16,BA16))*AR16*Y16^2*1E-4*DATOS!$C$86/100/1000))/2)*BH16)&lt;0,CEILING(AB16,5),CEILING(MAX(AB16*((4*((BC16*AR16*Y16^2*1E-4*DATOS!$C$86/100/1000)+((MAX(AY16,BA16)*AR16*Y16^2*1E-4*DATOS!$C$86/100/1000)+(IF(AND(AY16&gt;0,BA16&gt;0),MIN(AY16,BA16),MAX(AY16,BA16))*AR16*Y16^2*1E-4*DATOS!$C$86/100/1000))/2)+BH16-(IF(AND(AY16&gt;0,BA16&gt;0),MIN(AY16,BA16),MAX(AY16,BA16))*AR16*Y16^2*1E-4*DATOS!$C$86/100/1000))-SQRT(MAX(0,((4*((BC16*AR16*Y16^2*1E-4*DATOS!$C$86/100/1000)+((MAX(AY16,BA16)*AR16*Y16^2*1E-4*DATOS!$C$86/100/1000)+(IF(AND(AY16&gt;0,BA16&gt;0),MIN(AY16,BA16),MAX(AY16,BA16))*AR16*Y16^2*1E-4*DATOS!$C$86/100/1000))/2)+BH16-(IF(AND(AY16&gt;0,BA16&gt;0),MIN(AY16,BA16),MAX(AY16,BA16))*AR16*Y16^2*1E-4*DATOS!$C$86/100/1000))^2-16*((BC16*AR16*Y16^2*1E-4*DATOS!$C$86/100/1000)+((MAX(AY16,BA16)*AR16*Y16^2*1E-4*DATOS!$C$86/100/1000)+(IF(AND(AY16&gt;0,BA16&gt;0),MIN(AY16,BA16),MAX(AY16,BA16))*AR16*Y16^2*1E-4*DATOS!$C$86/100/1000))/2)*BH16))))/(8*MAX(((BC16*AR16*Y16^2*1E-4*DATOS!$C$86/100/1000)+((MAX(AY16,BA16)*AR16*Y16^2*1E-4*DATOS!$C$86/100/1000)+(IF(AND(AY16&gt;0,BA16&gt;0),MIN(AY16,BA16),MAX(AY16,BA16))*AR16*Y16^2*1E-4*DATOS!$C$86/100/1000))/2),1E-9))+MAX(BX16,12*INDEX(TABLAS!$C$52:$C$58,MATCH(BV16,TABLAS!$B$52:$B$58,0)),AB16/16),IF(OR(AL16&lt;INDEX(TABLAS!$C$52:$C$58,MATCH(BV16,TABLAS!$B$52:$B$58,0)),AND(BW16&gt;=2,(AD16-2*AL16-BW16*INDEX(TABLAS!$C$52:$C$58,MATCH(BV16,TABLAS!$B$52:$B$58,0)))/MAX(BW16-1,1)&lt;2*INDEX(TABLAS!$C$52:$C$58,MATCH(BV16,TABLAS!$B$52:$B$58,0)))),INDEX(TABLAS!$I$52:$I$58,MATCH(BV16,TABLAS!$B$52:$B$58,0)),INDEX(TABLAS!$F$52:$F$58,MATCH(BV16,TABLAS!$B$52:$B$58,0)))),5))))</f>
        <v/>
      </c>
      <c r="DD16" s="60" t="str">
        <f>IF(V16&lt;&gt;"SÍ","",IF(C16="VOLADO",0,IF(((4*((BD16*AR16*Y16^2*1E-4*DATOS!$C$86/100/1000)+((MAX(AZ16,BB16)*AR16*Y16^2*1E-4*DATOS!$C$86/100/1000)+(IF(AND(AZ16&gt;0,BB16&gt;0),MIN(AZ16,BB16),MAX(AZ16,BB16))*AR16*Y16^2*1E-4*DATOS!$C$86/100/1000))/2)+BJ16-(IF(AND(AZ16&gt;0,BB16&gt;0),MIN(AZ16,BB16),MAX(AZ16,BB16))*AR16*Y16^2*1E-4*DATOS!$C$86/100/1000))^2-16*((BD16*AR16*Y16^2*1E-4*DATOS!$C$86/100/1000)+((MAX(AZ16,BB16)*AR16*Y16^2*1E-4*DATOS!$C$86/100/1000)+(IF(AND(AZ16&gt;0,BB16&gt;0),MIN(AZ16,BB16),MAX(AZ16,BB16))*AR16*Y16^2*1E-4*DATOS!$C$86/100/1000))/2)*BJ16)&lt;0,CEILING(AC16,5),CEILING(MAX(AC16*((4*((BD16*AR16*Y16^2*1E-4*DATOS!$C$86/100/1000)+((MAX(AZ16,BB16)*AR16*Y16^2*1E-4*DATOS!$C$86/100/1000)+(IF(AND(AZ16&gt;0,BB16&gt;0),MIN(AZ16,BB16),MAX(AZ16,BB16))*AR16*Y16^2*1E-4*DATOS!$C$86/100/1000))/2)+BJ16-(IF(AND(AZ16&gt;0,BB16&gt;0),MIN(AZ16,BB16),MAX(AZ16,BB16))*AR16*Y16^2*1E-4*DATOS!$C$86/100/1000))-SQRT(MAX(0,((4*((BD16*AR16*Y16^2*1E-4*DATOS!$C$86/100/1000)+((MAX(AZ16,BB16)*AR16*Y16^2*1E-4*DATOS!$C$86/100/1000)+(IF(AND(AZ16&gt;0,BB16&gt;0),MIN(AZ16,BB16),MAX(AZ16,BB16))*AR16*Y16^2*1E-4*DATOS!$C$86/100/1000))/2)+BJ16-(IF(AND(AZ16&gt;0,BB16&gt;0),MIN(AZ16,BB16),MAX(AZ16,BB16))*AR16*Y16^2*1E-4*DATOS!$C$86/100/1000))^2-16*((BD16*AR16*Y16^2*1E-4*DATOS!$C$86/100/1000)+((MAX(AZ16,BB16)*AR16*Y16^2*1E-4*DATOS!$C$86/100/1000)+(IF(AND(AZ16&gt;0,BB16&gt;0),MIN(AZ16,BB16),MAX(AZ16,BB16))*AR16*Y16^2*1E-4*DATOS!$C$86/100/1000))/2)*BJ16))))/(8*MAX(((BD16*AR16*Y16^2*1E-4*DATOS!$C$86/100/1000)+((MAX(AZ16,BB16)*AR16*Y16^2*1E-4*DATOS!$C$86/100/1000)+(IF(AND(AZ16&gt;0,BB16&gt;0),MIN(AZ16,BB16),MAX(AZ16,BB16))*AR16*Y16^2*1E-4*DATOS!$C$86/100/1000))/2),1E-9))+MAX(CN16,12*INDEX(TABLAS!$C$52:$C$58,MATCH(CL16,TABLAS!$B$52:$B$58,0)),AC16/16),IF(OR(AL16&lt;INDEX(TABLAS!$C$52:$C$58,MATCH(CL16,TABLAS!$B$52:$B$58,0)),AND(CM16&gt;=2,(DATOS!$C$83-2*AL16-CM16*INDEX(TABLAS!$C$52:$C$58,MATCH(CL16,TABLAS!$B$52:$B$58,0)))/MAX(CM16-1,1)&lt;2*INDEX(TABLAS!$C$52:$C$58,MATCH(CL16,TABLAS!$B$52:$B$58,0)))),INDEX(TABLAS!$I$52:$I$58,MATCH(CL16,TABLAS!$B$52:$B$58,0)),INDEX(TABLAS!$F$52:$F$58,MATCH(CL16,TABLAS!$B$52:$B$58,0)))),5))))</f>
        <v/>
      </c>
      <c r="DE16" s="55" t="str">
        <f>IF(V16&lt;&gt;"SÍ","",IF(AND(C16="PERIMETRAL",BW16&gt;=2,AS16-AT16&gt;0,BA16*AR16*Y16^2*1E-4*DATOS!$C$86/100/1000&gt;DATOS!$C$29*INDEX(TABLAS!$D$52:$D$58,MATCH(BV16,TABLAS!$B$52:$B$58,0))*DATOS!$C$14*(BX16-INDEX(TABLAS!$D$52:$D$58,MATCH(BV16,TABLAS!$B$52:$B$58,0))*DATOS!$C$14/(DATOS!$C$21*AF16)/2)/1E5),"SÍ","NO"))</f>
        <v/>
      </c>
      <c r="DF16" s="55" t="str">
        <f>IF(V16&lt;&gt;"SÍ","",IF(AND(C16="PERIMETRAL",CM16&gt;=2,AT16&gt;0,BB16*AR16*Y16^2*1E-4*DATOS!$C$86/100/1000&gt;DATOS!$C$29*INDEX(TABLAS!$D$52:$D$58,MATCH(CL16,TABLAS!$B$52:$B$58,0))*DATOS!$C$14*(CN16-INDEX(TABLAS!$D$52:$D$58,MATCH(CL16,TABLAS!$B$52:$B$58,0))*DATOS!$C$14/(DATOS!$C$21*AG16)/2)/1E5),"SÍ","NO"))</f>
        <v/>
      </c>
      <c r="DG16" s="63" t="str">
        <f>IF(V16&lt;&gt;"SÍ","",IF(OR(C16="VOLADO",AS16=0),"—",IF(AND(AND(1.25*INDEX(TABLAS!$G$52:$G$58,MATCH(MAX(BN16,CD16),TABLAS!$B$52:$B$58,0))&lt;=(DATOS!$C$75-DATOS!$C$63),(DATOS!$C$75-DATOS!$C$63)&gt;=15,INDEX(TABLAS!$G$52:$G$58,MATCH(MAX(BV16,CL16),TABLAS!$B$52:$B$58,0))&lt;=(DATOS!$C$75-DATOS!$C$63)),8*INDEX(TABLAS!$C$52:$C$58,MATCH(MAX(MAX(BN16,CD16),MAX(BV16,CL16)),TABLAS!$B$52:$B$58,0))&lt;=DATOS!$C$76-2*DATOS!$C$63),"CUMPLE (gancho de 180°)",IF(AND(1.25*INDEX(TABLAS!$G$52:$G$58,MATCH(MAX(BN16,CD16),TABLAS!$B$52:$B$58,0))&lt;=(DATOS!$C$75-DATOS!$C$63),(DATOS!$C$75-DATOS!$C$63)&gt;=15,INDEX(TABLAS!$G$52:$G$58,MATCH(MAX(BV16,CL16),TABLAS!$B$52:$B$58,0))&lt;=(DATOS!$C$75-DATOS!$C$63)),"NO CUMPLE: el gancho de 180° (8·d_b) no cabe en el peralte de la dala de borde","NO CUMPLE: dala de borde ≥ "&amp;TEXT(CEILING(MAX(1.25*INDEX(TABLAS!$G$52:$G$58,MATCH(MAX(BN16,CD16),TABLAS!$B$52:$B$58,0)),15,INDEX(TABLAS!$G$52:$G$58,MATCH(MAX(BV16,CL16),TABLAS!$B$52:$B$58,0)))+DATOS!$C$63,5),"0")&amp;" cm de ancho"&amp;IF(8*INDEX(TABLAS!$C$52:$C$58,MATCH(MAX(MAX(BN16,CD16),MAX(BV16,CL16)),TABLAS!$B$52:$B$58,0))&lt;=DATOS!$C$76-2*DATOS!$C$63,""," y más peralte para el gancho")))))</f>
        <v/>
      </c>
      <c r="DH16" s="59" t="str">
        <f>IF(V16&lt;&gt;"SÍ","",MAX(0,INT((E16*100-DATOS!$C$87-IF(AND(C16="PERIMETRAL",I16="DISCONTINUO"),MAX(0,DATOS!$C$75-DATOS!$C$87),0)-IF(AND(C16="PERIMETRAL",J16="DISCONTINUO"),MAX(0,DATOS!$C$75-DATOS!$C$87),0)+DATOS!$C$86-IF(X16="X",DATOS!$C$81,AE16))/DATOS!$C$86)))</f>
        <v/>
      </c>
      <c r="DI16" s="59" t="str">
        <f>IF(V16&lt;&gt;"SÍ","",MAX(0,INT((F16*100-DATOS!$C$87-IF(AND(C16="PERIMETRAL",G16="DISCONTINUO"),MAX(0,DATOS!$C$75-DATOS!$C$87),0)-IF(AND(C16="PERIMETRAL",H16="DISCONTINUO"),MAX(0,DATOS!$C$75-DATOS!$C$87),0)+DATOS!$C$86-IF(X16="Y",DATOS!$C$81,AE16))/DATOS!$C$86)))</f>
        <v/>
      </c>
      <c r="DJ16" s="57" t="str">
        <f>IF(V16&lt;&gt;"SÍ","",IF(DH16&gt;0,IF(AND(C16="PERIMETRAL",I16="DISCONTINUO"),MAX(0,DATOS!$C$75-DATOS!$C$87),0)+(E16*100-DATOS!$C$87-IF(AND(C16="PERIMETRAL",I16="DISCONTINUO"),MAX(0,DATOS!$C$75-DATOS!$C$87),0)-IF(AND(C16="PERIMETRAL",J16="DISCONTINUO"),MAX(0,DATOS!$C$75-DATOS!$C$87),0)-(DH16*IF(X16="X",DATOS!$C$81,AE16)+(DH16-1)*(DATOS!$C$86-IF(X16="X",DATOS!$C$81,AE16))))/2,E16*100/2))</f>
        <v/>
      </c>
      <c r="DK16" s="57" t="str">
        <f>IF(V16&lt;&gt;"SÍ","",IF(DH16&gt;0,IF(AND(C16="PERIMETRAL",J16="DISCONTINUO"),MAX(0,DATOS!$C$75-DATOS!$C$87),0)+(E16*100-DATOS!$C$87-IF(AND(C16="PERIMETRAL",I16="DISCONTINUO"),MAX(0,DATOS!$C$75-DATOS!$C$87),0)-IF(AND(C16="PERIMETRAL",J16="DISCONTINUO"),MAX(0,DATOS!$C$75-DATOS!$C$87),0)-(DH16*IF(X16="X",DATOS!$C$81,AE16)+(DH16-1)*(DATOS!$C$86-IF(X16="X",DATOS!$C$81,AE16))))/2,E16*100/2))</f>
        <v/>
      </c>
      <c r="DL16" s="57" t="str">
        <f>IF(V16&lt;&gt;"SÍ","",IF(DI16&gt;0,IF(AND(C16="PERIMETRAL",G16="DISCONTINUO"),MAX(0,DATOS!$C$75-DATOS!$C$87),0)+(F16*100-DATOS!$C$87-IF(AND(C16="PERIMETRAL",G16="DISCONTINUO"),MAX(0,DATOS!$C$75-DATOS!$C$87),0)-IF(AND(C16="PERIMETRAL",H16="DISCONTINUO"),MAX(0,DATOS!$C$75-DATOS!$C$87),0)-(DI16*IF(X16="Y",DATOS!$C$81,AE16)+(DI16-1)*(DATOS!$C$86-IF(X16="Y",DATOS!$C$81,AE16))))/2,F16*100/2))</f>
        <v/>
      </c>
      <c r="DM16" s="57" t="str">
        <f>IF(V16&lt;&gt;"SÍ","",IF(DI16&gt;0,IF(AND(C16="PERIMETRAL",H16="DISCONTINUO"),MAX(0,DATOS!$C$75-DATOS!$C$87),0)+(F16*100-DATOS!$C$87-IF(AND(C16="PERIMETRAL",G16="DISCONTINUO"),MAX(0,DATOS!$C$75-DATOS!$C$87),0)-IF(AND(C16="PERIMETRAL",H16="DISCONTINUO"),MAX(0,DATOS!$C$75-DATOS!$C$87),0)-(DI16*IF(X16="Y",DATOS!$C$81,AE16)+(DI16-1)*(DATOS!$C$86-IF(X16="Y",DATOS!$C$81,AE16))))/2,F16*100/2))</f>
        <v/>
      </c>
      <c r="DN16" s="59" t="str">
        <f>IF(V16&lt;&gt;"SÍ","",IF(NOT(AND(C16="VOLADO",AD16&gt;DATOS!$C$83)),0,IF(INDEX(TABLAS!$C$52:$C$58,MATCH(BV16,TABLAS!$B$52:$B$58,0))&lt;=DATOS!$C$83-2*DATOS!$C$63,1,0)))</f>
        <v/>
      </c>
      <c r="DO16" s="58" t="str">
        <f>IF(V16&lt;&gt;"SÍ","",IF(NOT(AND(C16="VOLADO",AD16&gt;DATOS!$C$83)),0,((DATOS!$C$85-MAX(DATOS!$C$63,(DATOS!$C$84-2*DATOS!$C$97)/2)-2*DATOS!$C$97-INDEX(TABLAS!$C$52:$C$58,MATCH(MAX(4,DATOS!$C$72),TABLAS!$B$52:$B$58,0))-INDEX(TABLAS!$C$52:$C$58,MATCH(BV16,TABLAS!$B$52:$B$58,0))/2)-IF(AND((DATOS!$C$85-MAX(DATOS!$C$63,(DATOS!$C$84-2*DATOS!$C$97)/2)-2*DATOS!$C$97-INDEX(TABLAS!$C$52:$C$58,MATCH(MAX(4,DATOS!$C$72),TABLAS!$B$52:$B$58,0))-INDEX(TABLAS!$C$52:$C$58,MATCH(BV16,TABLAS!$B$52:$B$58,0))/2)&lt;=20,DATOS!$C$65&lt;&gt;"SÍ"),2,0))))</f>
        <v/>
      </c>
      <c r="DP16" s="56" t="str">
        <f>IF(V16&lt;&gt;"SÍ","",IF(OR(NOT(AND(C16="VOLADO",AD16&gt;DATOS!$C$83)),DN16&lt;1),0,IF(0.003*(DO16-((DN16*INDEX(TABLAS!$D$52:$D$58,MATCH(BV16,TABLAS!$B$52:$B$58,0)))*DATOS!$C$14/(DATOS!$C$21*AG16)/DATOS!$C$22))/((DN16*INDEX(TABLAS!$D$52:$D$58,MATCH(BV16,TABLAS!$B$52:$B$58,0)))*DATOS!$C$14/(DATOS!$C$21*AG16)/DATOS!$C$22)&lt;0.005,0,DATOS!$C$29*(DN16*INDEX(TABLAS!$D$52:$D$58,MATCH(BV16,TABLAS!$B$52:$B$58,0)))*DATOS!$C$14*(DO16-(DN16*INDEX(TABLAS!$D$52:$D$58,MATCH(BV16,TABLAS!$B$52:$B$58,0)))*DATOS!$C$14/(DATOS!$C$21*AG16)/2)/1E5)))</f>
        <v/>
      </c>
      <c r="DQ16" s="56" t="str">
        <f>IF(V16&lt;&gt;"SÍ","",IF(OR(NOT(AND(C16="VOLADO",AD16&gt;DATOS!$C$83)),DN16&lt;1),0,DATOS!$C$30*2*MIN(1,SQRT(2/(1+0.04*DO16)))*((DN16*INDEX(TABLAS!$D$52:$D$58,MATCH(BV16,TABLAS!$B$52:$B$58,0)))/(AG16*DO16))^(1/3)*SQRT(DATOS!$C$13)*AG16*DO16/1000))</f>
        <v/>
      </c>
      <c r="DR16" s="56" t="str">
        <f>IF(V16&lt;&gt;"SÍ","",IF(NOT(AND(C16="VOLADO",AD16&gt;DATOS!$C$83)),0,IF((BH16-DP16)&lt;=0,0,IF(DP16&lt;=0,IF(ISNUMBER(P16),P16,Y16),IF(((0.9*DATOS!$C$90*DATOS!$C$86/100/1000)*IF(ISNUMBER(P16),P16,Y16)/2+BH16/IF(ISNUMBER(P16),P16,Y16))^2-4*((0.9*DATOS!$C$90*DATOS!$C$86/100/1000)/2)*(BH16-DP16)&lt;0,IF(ISNUMBER(P16),P16,Y16),MIN(IF(ISNUMBER(P16),P16,Y16),(((0.9*DATOS!$C$90*DATOS!$C$86/100/1000)*IF(ISNUMBER(P16),P16,Y16)/2+BH16/IF(ISNUMBER(P16),P16,Y16))-SQRT(((0.9*DATOS!$C$90*DATOS!$C$86/100/1000)*IF(ISNUMBER(P16),P16,Y16)/2+BH16/IF(ISNUMBER(P16),P16,Y16))^2-4*((0.9*DATOS!$C$90*DATOS!$C$86/100/1000)/2)*(BH16-DP16)))/(2*((0.9*DATOS!$C$90*DATOS!$C$86/100/1000)/2))))))))</f>
        <v/>
      </c>
      <c r="DS16" s="56" t="str">
        <f>IF(V16&lt;&gt;"SÍ","",IF(NOT(AND(C16="VOLADO",AD16&gt;DATOS!$C$83)),0,IF(DQ16&lt;=(BH16/((IF(ISNUMBER(P16),P16,Y16)*100-DATOS!$C$87)/100)),IF(ISNUMBER(P16),P16,Y16),MIN(IF(ISNUMBER(P16),P16,Y16),MAX(0,(IF(ISNUMBER(P16),P16,Y16)*100-DATOS!$C$87)/200-(DQ16-(BH16/((IF(ISNUMBER(P16),P16,Y16)*100-DATOS!$C$87)/100)))/((0.95-0.5*IF(N(Q16)&gt;0,MIN(IF(ISNUMBER(P16),P16,Y16),Q16)/MAX(IF(ISNUMBER(P16),P16,Y16),Q16),0))*DATOS!$C$33*AR16*DATOS!$C$86/100/1000))))))</f>
        <v/>
      </c>
      <c r="DT16" s="56" t="str">
        <f>IF(V16&lt;&gt;"SÍ","",IF(NOT(AND(C16="VOLADO",AD16&gt;DATOS!$C$83)),0,(BH16/((IF(ISNUMBER(P16),P16,Y16)*100-DATOS!$C$87)/100))+((0.95-0.5*IF(N(Q16)&gt;0,MIN(IF(ISNUMBER(P16),P16,Y16),Q16)/MAX(IF(ISNUMBER(P16),P16,Y16),Q16),0))*DATOS!$C$33*AR16*DATOS!$C$86/100/1000)*MAX(0,(IF(ISNUMBER(P16),P16,Y16)*100-DATOS!$C$87)/200-BX16/100)))</f>
        <v/>
      </c>
      <c r="DU16" s="59" t="str">
        <f>IF(V16&lt;&gt;"SÍ","",IF(NOT(AND(C16="VOLADO",AD16&gt;DATOS!$C$83)),0,MIN(FLOOR(100*IF(ISNUMBER(P16),P16,Y16)-DATOS!$C$63,5),CEILING(100*MIN(IF(ISNUMBER(P16),P16,Y16),MAX(IF(DR16&gt;0,DR16+IF(BW16&gt;=2,MAX(DO16,12*INDEX(TABLAS!$C$52:$C$58,MATCH(BV16,TABLAS!$B$52:$B$58,0)))/100,0),0),DS16,IF(BW16&gt;=2,INDEX(TABLAS!$F$52:$F$58,MATCH(BV16,TABLAS!$B$52:$B$58,0))/100,0))),5))))</f>
        <v/>
      </c>
      <c r="DV16" s="60" t="str">
        <f>IF(V16&lt;&gt;"SÍ","",IF(NOT(AND(C16="VOLADO",AD16&gt;DATOS!$C$83)),0,IF(DU16&lt;=0,0,CEILING(DU16/DATOS!$C$86,1))))</f>
        <v/>
      </c>
      <c r="DW16" s="61" t="str">
        <f>IF(V16&lt;&gt;"SÍ","",IF(C16&lt;&gt;"VOLADO","—",IF(AD16&lt;=DATOS!$C$83,"— (mismo b_w que el respaldo)",IF(DT16&gt;CS16,"NO CUMPLE: cortante de la nervadura ancha junto al apoyo ("&amp;TEXT(DT16,"0.00")&amp;" &gt; "&amp;TEXT(CS16,"0.00")&amp;" t)",IF(DU16&gt;=100*IF(ISNUMBER(P16),P16,Y16),"CUMPLE — todas las nervaduras del respaldo ‖ al volado con b_w = "&amp;AD16&amp;" cm","CUMPLE — "&amp;DV16&amp;" hilera(s) del respaldo con nervaduras de b_w = "&amp;AD16&amp;" cm (casetón "&amp;AE16&amp;" cm), hasta "&amp;TEXT(DU16/100,"0.00")&amp;" m del paño")))))</f>
        <v/>
      </c>
      <c r="DX16" s="69" t="str">
        <f>IF(V16&lt;&gt;"SÍ","",IF(BO16=0,"NO ALCANZA",BO16&amp;" No. "&amp;BN16&amp;IF(BO16&gt;1," corridas"," corrida")))</f>
        <v/>
      </c>
      <c r="DY16" s="69" t="str">
        <f>IF(V16&lt;&gt;"SÍ","",IF(BW16=0,"NO ALCANZA",IF(AND(C16="VOLADO",AD16&gt;DATOS!$C$83,BW16&gt;=2),"1 No. "&amp;BV16&amp;" corrida de la orilla al respaldo ("&amp;IF(DC16&gt;=FLOOR(100*IF(ISNUMBER(P16),P16,Y16)-DATOS!$C$63,5),"hasta su apoyo lejano, con gancho","entra "&amp;TEXT(DC16/100,"0.00")&amp;" m desde el paño")&amp;") + "&amp;(BW16-1)&amp;" bastón No. "&amp;BV16&amp;" hasta "&amp;TEXT(DU16/100,"0.00")&amp;" m del paño (fin de la nervadura ancha)",IF(C16="VOLADO",BW16&amp;" No. "&amp;BV16&amp;" de la orilla al respaldo ("&amp;IF(DC16&gt;=FLOOR(100*IF(ISNUMBER(P16),P16,Y16)-DATOS!$C$63,5),"hasta su apoyo lejano, con gancho","entran "&amp;TEXT(DC16/100,"0.00")&amp;" m desde el paño")&amp;")","1 No. "&amp;BV16&amp;" corrida"&amp;IF(BW16&gt;1," + "&amp;(BW16-1)&amp;" bastón No. "&amp;BV16&amp;" L = "&amp;TEXT(DC16/100,"0.00")&amp;" m desde el paño","")))))</f>
        <v/>
      </c>
      <c r="DZ16" s="69" t="str">
        <f>IF(V16&lt;&gt;"SÍ","",IF(CE16=0,"NO ALCANZA",CE16&amp;" No. "&amp;CD16&amp;IF(CE16&gt;1," corridas"," corrida")))</f>
        <v/>
      </c>
      <c r="EA16" s="69" t="str">
        <f>IF(V16&lt;&gt;"SÍ","",IF(CM16=0,"NO ALCANZA",IF(C16="VOLADO","1 No. "&amp;CL16&amp;" corrida (repartición)","1 No. "&amp;CL16&amp;" corrida"&amp;IF(CM16&gt;1," + "&amp;(CM16-1)&amp;" bastón No. "&amp;CL16&amp;" L = "&amp;TEXT(DD16/100,"0.00")&amp;" m desde el paño",""))))</f>
        <v/>
      </c>
      <c r="EB16" s="67" t="str">
        <f>IF(B16="","",IF(V16&lt;&gt;"SÍ","FALTAN DATOS: tipo, a_x, a_y, destino y, en volados, L_b",IF(L16="NO MONOLÍTICO (caso II)","FUERA DE ALCANCE: caso II no transcrito",IF(AND(C16="VOLADO",W16="?"),"REVISAR: el volado lleva UN solo borde CONTINUO (el empotrado)",IF(MIN(DH16,DI16)=0,"REVISAR: no cabe un casetón (tablero macizo): diséñalo en MACIZAS",IF(AND(MAX(BR16,BZ16,CH16,CP16)&lt;=1,NOT(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T(OR(AND(ISNUMBER(BS16),BS16&lt;0.005),AND(ISNUMBER(CA16),CA16&lt;0.005),AND(ISNUMBER(CI16),CI16&lt;0.005),AND(ISNUMBER(CQ16),CQ16&lt;0.005))),NOT(LEFT(DW16,2)="NO"),DA16="CUMPLE",DB16="CUMPLE",LEFT(CU16,2)&lt;&gt;"NO",LEFT(DATOS!$C$132,6)="CUMPLE"),IF(LEFT(CU16,6)="CUMPLE","CUMPLE","CUMPLE — "&amp;CU16)&amp;IF(LEFT(BK16,5)="FUERA"," · fuera de 3.4.2.1 c)","")&amp;IF(LEFT(DG16,2)="NO"," · REVISAR anclaje en borde discontinuo","")&amp;IF(DV16&gt;0," · respaldo: "&amp;DV16&amp;" hilera(s) de b_w "&amp;AD16&amp;" cm",""),IF(AND(MAX(BR16,BZ16,CH16,CP16)&lt;=1,NOT(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T(OR(AND(ISNUMBER(BS16),BS16&lt;0.005),AND(ISNUMBER(CA16),CA16&lt;0.005),AND(ISNUMBER(CI16),CI16&lt;0.005),AND(ISNUMBER(CQ16),CQ16&lt;0.005))),NOT(LEFT(DW16,2)="NO"),DA16="CALCULAR FLECHA",LEFT(CU16,2)&lt;&gt;"NO",LEFT(DATOS!$C$132,6)="CUMPLE"),"REVISAR: calcular flecha (h_eq &lt; h mín.)"&amp;IF(LEFT(BK16,5)="FUERA"," · fuera de 3.4.2.1 c)","")&amp;IF(LEFT(DG16,2)="NO"," · REVISAR anclaje en borde discontinuo","")&amp;IF(DV16&gt;0," · respaldo: "&amp;DV16&amp;" hilera(s) de b_w "&amp;AD16&amp;" cm",""),"NO CUMPLE: "&amp;IF(MAX(BR16,BZ16,CH16,CP16)&gt;1,"flexión ","")&amp;IF(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 caben ","")&amp;IF(OR(AND(ISNUMBER(BS16),BS16&lt;0.005),AND(ISNUMBER(CA16),CA16&lt;0.005),AND(ISNUMBER(CI16),CI16&lt;0.005),AND(ISNUMBER(CQ16),CQ16&lt;0.005)),"ε_t &lt; 0.005 ","")&amp;IF(LEFT(CU16,2)="NO","cortante ","")&amp;IF(DA16="NO CUMPLE","peralte ","")&amp;IF(DB16&lt;&gt;"CUMPLE","capa &lt; 6 cm ","")&amp;IF(LEFT(DATOS!$C$132,6)&lt;&gt;"CUMPLE","capa o malla (DATOS sección 7) ","")&amp;IF(LEFT(DW16,2)="NO","respaldo del volado",""))))))))</f>
        <v/>
      </c>
      <c r="EC16" s="70" t="str">
        <f>IF(V16&lt;&gt;"SÍ","",IF(LEFT(B16,7)="EJEMPLO","EJEMPLO de la hoja de Casa Rocha: bórralo o sobrescríbelo. ","")&amp;IF(AND(C16="PERIMETRAL",MIN(DH16,DI16)=0),"No cabe un casetón en el claro corto: es un tablero macizo, diséñalo en MACIZAS. ","")&amp;IF(AND(AJ16="NO",C16="PERIMETRAL"),"No cumple 6.7.8.1.4 (a_c = "&amp;MAX(DATOS!$C$81,AE16)&amp;" cm &gt; claro corto/6 = "&amp;TEXT(Y16*100/6,"0")&amp;" cm): se diseña como losa apoyada en vigas (6.7.8.1.9): r de viga = "&amp;DATOS!$C$63&amp;" cm y V_cR sin ×1.1. Para que cuente como encasetonada: casetón de "&amp;TEXT(FLOOR(MIN(80,Y16*100/6),1),"0")&amp;" cm o menor. ","")&amp;IF(C16="VOLADO","Volado de "&amp;TEXT(Y16,"0.00")&amp;" m empotrado en el borde "&amp;LOWER(W16)&amp;IF(N(O16)&gt;0,", con "&amp;TEXT(O16,"0.0")&amp;" kg/m en la orilla","")&amp;". Lecho inferior con r_ext. Si la orilla carga pretil u otro elemento frágil, calcula la flecha (13.4). El acero superior entra al respaldo de "&amp;TEXT(IF(ISNUMBER(P16),P16,Y16),"0.00")&amp;" m"&amp;" hasta pasar M = 0 con 0.9·PP sin carga viva; si ahí no se anula, llega al apoyo lejano y se ancla con gancho (NTC-Criterios 3.4.1 c y 5.1.2.2). "&amp;IF(AD16&gt;DATOS!$C$83,"Respaldo: "&amp;DW16&amp;". ",""),"")&amp;IF(AND(C16="VOLADO",((0.9*DATOS!$C$90*DATOS!$C$86/100/1000)*IF(ISNUMBER(P16),P16,Y16)/2-BH16/IF(ISNUMBER(P16),P16,Y16))&lt;0),"Con 0.9·PP y sin carga viva el apoyo lejano del respaldo levanta (R = "&amp;TEXT(-((0.9*DATOS!$C$90*DATOS!$C$86/100/1000)*IF(ISNUMBER(P16),P16,Y16)/2-BH16/IF(ISNUMBER(P16),P16,Y16)),"0.00")&amp;" t por nervadura): ancla ahí la corrida con gancho y revisa ese apoyo a tensión. ","")&amp;IF(LEFT(BK16,5)="FUERA","El M⁻ del vecino difiere más de 50 % (3.4.2.1 c): distribuye el desequilibrio (3.4.3.1) o confirma con un modelo; se arma con el mayor. ","")&amp;IF(OR(DE16="SÍ",DF16="SÍ"),"El M⁻ del borde discontinuo pide bastón también ahí (con gancho). ","")&amp;IF(LEFT(DG16,2)="NO","Anclaje: "&amp;DG16&amp;" (6.7.8.1.7). ","")&amp;IF(AND(C16="PERIMETRAL",AT16&gt;=1,AS16-AT16&gt;=1),"Esquinas exteriores sobre muro: refuerzo de esquina arriba y abajo en L_largo/5 (6.7.7.3.1). ",""))</f>
        <v/>
      </c>
    </row>
    <row r="17" ht="33" customHeight="1">
      <c r="A17" s="50">
        <f>IF(B17="",0,1)+A16</f>
        <v>4</v>
      </c>
      <c r="B17" s="29" t="n"/>
      <c r="C17" s="51" t="n"/>
      <c r="D17" s="29" t="n"/>
      <c r="E17" s="52" t="n"/>
      <c r="F17" s="52" t="n"/>
      <c r="G17" s="51" t="n"/>
      <c r="H17" s="51" t="n"/>
      <c r="I17" s="51" t="n"/>
      <c r="J17" s="51" t="n"/>
      <c r="K17" s="51" t="n"/>
      <c r="L17" s="51" t="n"/>
      <c r="M17" s="53" t="n"/>
      <c r="N17" s="53" t="n"/>
      <c r="O17" s="54" t="n"/>
      <c r="P17" s="52" t="n"/>
      <c r="Q17" s="52" t="n"/>
      <c r="R17" s="53" t="n"/>
      <c r="S17" s="54" t="n"/>
      <c r="T17" s="52" t="n"/>
      <c r="U17" s="52" t="n"/>
      <c r="V17" s="55" t="str">
        <f>IF(B17="","",IF(AND(OR(C17="PERIMETRAL",C17="VOLADO"),ISNUMBER(E17),ISNUMBER(F17),E17&gt;0,F17&gt;0,OR(ISNUMBER(N17),ISNUMBER(MATCH(D17,DATOS!$B$46:$B$58,0))),OR(C17&lt;&gt;"VOLADO",N(P17)&gt;0)),"SÍ","NO"))</f>
        <v/>
      </c>
      <c r="W17" s="55" t="str">
        <f>IF(V17&lt;&gt;"SÍ","",IF(C17&lt;&gt;"VOLADO","—",IF(COUNTIF(G17:J17,"CONTINUO")&lt;&gt;1,"?",IF(G17="CONTINUO","INFERIOR",IF(H17="CONTINUO","SUPERIOR",IF(I17="CONTINUO","IZQUIERDO","DERECHO"))))))</f>
        <v/>
      </c>
      <c r="X17" s="55" t="str">
        <f>IF(V17&lt;&gt;"SÍ","",IF(C17="VOLADO",IF(OR(W17="IZQUIERDO",W17="DERECHO"),"X","Y"),IF(E17&lt;=F17,"X","Y")))</f>
        <v/>
      </c>
      <c r="Y17" s="56" t="str">
        <f>IF(V17&lt;&gt;"SÍ","",IF(C17="VOLADO",IF(X17="X",E17,F17),MIN(E17,F17)))</f>
        <v/>
      </c>
      <c r="Z17" s="56" t="str">
        <f>IF(V17&lt;&gt;"SÍ","",IF(C17="VOLADO",IF(X17="X",F17,E17),MAX(E17,F17)))</f>
        <v/>
      </c>
      <c r="AA17" s="56" t="str">
        <f>IF(V17&lt;&gt;"SÍ","",MIN(Y17,Z17)/MAX(Y17,Z17))</f>
        <v/>
      </c>
      <c r="AB17" s="57" t="str">
        <f>IF(V17&lt;&gt;"SÍ","",MAX(1,Y17*100-IF(C17="VOLADO",DATOS!$C$87/2,DATOS!$C$87)))</f>
        <v/>
      </c>
      <c r="AC17" s="57" t="str">
        <f>IF(V17&lt;&gt;"SÍ","",MAX(1,Z17*100-DATOS!$C$87))</f>
        <v/>
      </c>
      <c r="AD17" s="57" t="str">
        <f>IF(V17&lt;&gt;"SÍ","",IF(ISNUMBER(R17),R17,DATOS!$C$83))</f>
        <v/>
      </c>
      <c r="AE17" s="57" t="str">
        <f>IF(V17&lt;&gt;"SÍ","",MAX(0,DATOS!$C$86-AD17))</f>
        <v/>
      </c>
      <c r="AF17" s="57" t="str">
        <f>IF(V17&lt;&gt;"SÍ","",IF(OR(DATOS!$C$65="SÍ",AD17&gt;=20),AD17,AD17-2))</f>
        <v/>
      </c>
      <c r="AG17" s="57" t="str">
        <f>IF(V17&lt;&gt;"SÍ","",IF(OR(DATOS!$C$65="SÍ",DATOS!$C$83&gt;=20),DATOS!$C$83,DATOS!$C$83-2))</f>
        <v/>
      </c>
      <c r="AH17" s="57" t="str">
        <f>IF(V17&lt;&gt;"SÍ","",MIN(DATOS!$C$86,AD17+2*MIN(8*DATOS!$C$84,AE17/2,AB17/8)))</f>
        <v/>
      </c>
      <c r="AI17" s="57" t="str">
        <f>IF(V17&lt;&gt;"SÍ","",MIN(DATOS!$C$86,DATOS!$C$83+2*MIN(8*DATOS!$C$84,DATOS!$C$81/2,AC17/8)))</f>
        <v/>
      </c>
      <c r="AJ17" s="55" t="str">
        <f>IF(V17&lt;&gt;"SÍ","",IF(AND(C17="PERIMETRAL",Y17*100&gt;=6*MAX(DATOS!$C$81,AE17),MAX(DATOS!$C$81,AE17)&lt;=80,MIN(DATOS!$C$83,AD17)&gt;=10,DATOS!$C$85&lt;=3.5*MIN(DATOS!$C$83,AD17),DATOS!$C$84&gt;=MAX(MAX(DATOS!$C$81,AE17)/13,5)),"SÍ","NO"))</f>
        <v/>
      </c>
      <c r="AK17" s="57" t="str">
        <f>IF(V17&lt;&gt;"SÍ","",IF(C17="VOLADO",DATOS!$C$64,IF(AJ17="NO",DATOS!$C$63,DATOS!$C$62)))</f>
        <v/>
      </c>
      <c r="AL17" s="57" t="str">
        <f>IF(V17&lt;&gt;"SÍ","",IF(OR(AND(AN17="SÍ",DATOS!$C$66="SÍ"),AND(C17="VOLADO",DATOS!$C$67="SÍ")),DATOS!$C$64,IF(AJ17="NO",DATOS!$C$63,DATOS!$C$62)))</f>
        <v/>
      </c>
      <c r="AM17" s="58" t="str">
        <f>IF(V17&lt;&gt;"SÍ","",MAX(AL17,(DATOS!$C$84-2*DATOS!$C$97)/2))</f>
        <v/>
      </c>
      <c r="AN17" s="55" t="str">
        <f>IF(V17&lt;&gt;"SÍ","",IFERROR(INDEX(DATOS!$D$46:$D$58,MATCH(D17,DATOS!$B$46:$B$58,0)),"NO"))</f>
        <v/>
      </c>
      <c r="AO17" s="59" t="str">
        <f>IF(V17&lt;&gt;"SÍ","",IF(ISNUMBER(N17),N17,IFERROR(INDEX(DATOS!$C$46:$C$58,MATCH(D17,DATOS!$B$46:$B$58,0)),0)))</f>
        <v/>
      </c>
      <c r="AP17" s="59" t="str">
        <f>IF(V17&lt;&gt;"SÍ","",IF(MIN(DH17,DI17)=0,DATOS!$C$85/100*DATOS!$C$16*1000,(DATOS!$C$85/100-(AE17*DATOS!$C$81/DATOS!$C$86^2)*DATOS!$C$82/100)*DATOS!$C$16*1000+(AE17*DATOS!$C$81/DATOS!$C$86^2)*DATOS!$C$82/100*DATOS!$C$17*1000)+DATOS!$C$37+DATOS!$C$38)</f>
        <v/>
      </c>
      <c r="AQ17" s="59" t="str">
        <f>IF(V17&lt;&gt;"SÍ","",AP17+N(M17))</f>
        <v/>
      </c>
      <c r="AR17" s="60" t="str">
        <f>IF(V17&lt;&gt;"SÍ","",MAX(DATOS!$C$26*AQ17+DATOS!$C$27*AO17,IF(AN17="SÍ",DATOS!$C$28*(AQ17+DATOS!$C$41),0)))</f>
        <v/>
      </c>
      <c r="AS17" s="59" t="str">
        <f>IF(V17&lt;&gt;"SÍ","",(G17="DISCONTINUO")+(H17="DISCONTINUO")+(I17="DISCONTINUO")+(J17="DISCONTINUO"))</f>
        <v/>
      </c>
      <c r="AT17" s="59" t="str">
        <f>IF(V17&lt;&gt;"SÍ","",IF(X17="X",(G17="DISCONTINUO")+(H17="DISCONTINUO"),(I17="DISCONTINUO")+(J17="DISCONTINUO")))</f>
        <v/>
      </c>
      <c r="AU17" s="55" t="str">
        <f>IF(V17&lt;&gt;"SÍ","",IF(AS17=0,"INTERIOR",IF(AS17=1,IF(AT17=1,"BORDE-CORTO","BORDE-LARGO"),IF(AS17=2,IF(AT17=1,"ESQUINA",IF(AT17=2,"EXTREMO-LARGO","EXTREMO-CORTO")),IF(AS17=3,IF(AT17=2,"EXTREMO-LARGO","EXTREMO-CORTO"),"AISLADO")))))</f>
        <v/>
      </c>
      <c r="AV17" s="61" t="str">
        <f>IF(V17&lt;&gt;"SÍ","",IF(OR(K17="",K17="AUTO"),AU17,K17))</f>
        <v/>
      </c>
      <c r="AW17" s="59" t="str">
        <f>IF(V17&lt;&gt;"SÍ","",MATCH(AA17,TABLAS!$D$5:$J$5,1))</f>
        <v/>
      </c>
      <c r="AX17" s="58" t="str">
        <f>IF(V17&lt;&gt;"SÍ","",IF(AW17&gt;=7,0,(AA17-INDEX(TABLAS!$D$5:$J$5,AW17))/(INDEX(TABLAS!$D$5:$J$5,AW17+1)-INDEX(TABLAS!$D$5:$J$5,AW17))))</f>
        <v/>
      </c>
      <c r="AY17" s="59" t="str">
        <f>IF(V17&lt;&gt;"SÍ","",INDEX(TABLAS!$D$6:$J$47,MATCH(AV17&amp;"|NIC",TABLAS!$B$6:$B$47,0),AW17)+AX17*(INDEX(TABLAS!$D$6:$J$47,MATCH(AV17&amp;"|NIC",TABLAS!$B$6:$B$47,0),MIN(AW17+1,7))-INDEX(TABLAS!$D$6:$J$47,MATCH(AV17&amp;"|NIC",TABLAS!$B$6:$B$47,0),AW17)))</f>
        <v/>
      </c>
      <c r="AZ17" s="59" t="str">
        <f>IF(V17&lt;&gt;"SÍ","",INDEX(TABLAS!$D$6:$J$47,MATCH(AV17&amp;"|NIL",TABLAS!$B$6:$B$47,0),AW17)+AX17*(INDEX(TABLAS!$D$6:$J$47,MATCH(AV17&amp;"|NIL",TABLAS!$B$6:$B$47,0),MIN(AW17+1,7))-INDEX(TABLAS!$D$6:$J$47,MATCH(AV17&amp;"|NIL",TABLAS!$B$6:$B$47,0),AW17)))</f>
        <v/>
      </c>
      <c r="BA17" s="59" t="str">
        <f>IF(V17&lt;&gt;"SÍ","",INDEX(TABLAS!$D$6:$J$47,MATCH(AV17&amp;"|NDC",TABLAS!$B$6:$B$47,0),AW17)+AX17*(INDEX(TABLAS!$D$6:$J$47,MATCH(AV17&amp;"|NDC",TABLAS!$B$6:$B$47,0),MIN(AW17+1,7))-INDEX(TABLAS!$D$6:$J$47,MATCH(AV17&amp;"|NDC",TABLAS!$B$6:$B$47,0),AW17)))</f>
        <v/>
      </c>
      <c r="BB17" s="59" t="str">
        <f>IF(V17&lt;&gt;"SÍ","",INDEX(TABLAS!$D$6:$J$47,MATCH(AV17&amp;"|NDL",TABLAS!$B$6:$B$47,0),AW17)+AX17*(INDEX(TABLAS!$D$6:$J$47,MATCH(AV17&amp;"|NDL",TABLAS!$B$6:$B$47,0),MIN(AW17+1,7))-INDEX(TABLAS!$D$6:$J$47,MATCH(AV17&amp;"|NDL",TABLAS!$B$6:$B$47,0),AW17)))</f>
        <v/>
      </c>
      <c r="BC17" s="59" t="str">
        <f>IF(V17&lt;&gt;"SÍ","",INDEX(TABLAS!$D$6:$J$47,MATCH(AV17&amp;"|PC",TABLAS!$B$6:$B$47,0),AW17)+AX17*(INDEX(TABLAS!$D$6:$J$47,MATCH(AV17&amp;"|PC",TABLAS!$B$6:$B$47,0),MIN(AW17+1,7))-INDEX(TABLAS!$D$6:$J$47,MATCH(AV17&amp;"|PC",TABLAS!$B$6:$B$47,0),AW17)))</f>
        <v/>
      </c>
      <c r="BD17" s="59" t="str">
        <f>IF(V17&lt;&gt;"SÍ","",INDEX(TABLAS!$D$6:$J$47,MATCH(AV17&amp;"|PL",TABLAS!$B$6:$B$47,0),AW17)+AX17*(INDEX(TABLAS!$D$6:$J$47,MATCH(AV17&amp;"|PL",TABLAS!$B$6:$B$47,0),MIN(AW17+1,7))-INDEX(TABLAS!$D$6:$J$47,MATCH(AV17&amp;"|PL",TABLAS!$B$6:$B$47,0),AW17)))</f>
        <v/>
      </c>
      <c r="BE17" s="56" t="str">
        <f>IF(V17&lt;&gt;"SÍ","",IF(OR(C17&lt;&gt;"VOLADO",MIN(DH17,DI17)=0),0,DATOS!$C$26*DATOS!$C$16*DATOS!$C$86/100*(((AE17*DATOS!$C$81/DATOS!$C$86^2)*DATOS!$C$82/100)*(IF(X17="X",DJ17,DL17)+DATOS!$C$87/2)/100*(AB17-(IF(X17="X",DJ17,DL17)+DATOS!$C$87/2)/2)/100+((AE17*DATOS!$C$81/DATOS!$C$86^2)*DATOS!$C$82/100)*IF(X17="X",DJ17,DL17)/100*IF(X17="X",DJ17,DL17)/200)))</f>
        <v/>
      </c>
      <c r="BF17" s="56" t="str">
        <f>IF(V17&lt;&gt;"SÍ","",IF(OR(C17&lt;&gt;"VOLADO",MIN(DH17,DI17)=0),0,DATOS!$C$26*DATOS!$C$16*DATOS!$C$86/100*((AE17*DATOS!$C$81/DATOS!$C$86^2)*DATOS!$C$82/100)*(IF(X17="X",DJ17,DL17)+DATOS!$C$87/2)/100))</f>
        <v/>
      </c>
      <c r="BG17" s="56" t="str">
        <f>IF(V17&lt;&gt;"SÍ","",IF(C17="PERIMETRAL",BC17*AR17*Y17^2*1E-4*DATOS!$C$86/100/1000,0))</f>
        <v/>
      </c>
      <c r="BH17" s="62" t="str">
        <f>IF(V17&lt;&gt;"SÍ","",IF(C17="PERIMETRAL",MAX(MAX(AY17,BA17)*AR17*Y17^2*1E-4*DATOS!$C$86/100/1000,N(T17)),(AR17*(AB17/100)^2/2+DATOS!$C$26*N(O17)*AB17/100)*DATOS!$C$86/100/1000+BE17))</f>
        <v/>
      </c>
      <c r="BI17" s="56" t="str">
        <f>IF(V17&lt;&gt;"SÍ","",IF(C17="PERIMETRAL",BD17*AR17*Y17^2*1E-4*DATOS!$C$86/100/1000,0))</f>
        <v/>
      </c>
      <c r="BJ17" s="56" t="str">
        <f>IF(V17&lt;&gt;"SÍ","",IF(C17="PERIMETRAL",MAX(MAX(AZ17,BB17)*AR17*Y17^2*1E-4*DATOS!$C$86/100/1000,N(U17)),0))</f>
        <v/>
      </c>
      <c r="BK17" s="63" t="str">
        <f>IF(V17&lt;&gt;"SÍ","",IF(C17&lt;&gt;"PERIMETRAL","—",IF(AND(N(T17)=0,N(U17)=0),"— (sin M⁻ del vecino)",IF(OR(AND(N(T17)&gt;0,ABS(MAX(AY17,BA17)*AR17*Y17^2*1E-4*DATOS!$C$86/100/1000-N(T17))&gt;0.5*MIN(MAX(AY17,BA17)*AR17*Y17^2*1E-4*DATOS!$C$86/100/1000,N(T17))),AND(N(U17)&gt;0,ABS(MAX(AZ17,BB17)*AR17*Y17^2*1E-4*DATOS!$C$86/100/1000-N(U17))&gt;0.5*MIN(MAX(AZ17,BB17)*AR17*Y17^2*1E-4*DATOS!$C$86/100/1000,N(U17)))),"FUERA: difieren &gt; 50 %"&amp;IF(AND(N(T17)&gt;0,ABS(MAX(AY17,BA17)*AR17*Y17^2*1E-4*DATOS!$C$86/100/1000-N(T17))&gt;0.5*MIN(MAX(AY17,BA17)*AR17*Y17^2*1E-4*DATOS!$C$86/100/1000,N(T17)))," ‖ corto","")&amp;IF(AND(N(U17)&gt;0,ABS(MAX(AZ17,BB17)*AR17*Y17^2*1E-4*DATOS!$C$86/100/1000-N(U17))&gt;0.5*MIN(MAX(AZ17,BB17)*AR17*Y17^2*1E-4*DATOS!$C$86/100/1000,N(U17)))," ‖ largo",""),"CUMPLE"))))</f>
        <v/>
      </c>
      <c r="BL17" s="58" t="str">
        <f>IF(V17&lt;&gt;"SÍ","",(DATOS!$C$85-AK17-INDEX(TABLAS!$C$52:$C$58,MATCH(MAX(4,DATOS!$C$71),TABLAS!$B$52:$B$58,0))/2))</f>
        <v/>
      </c>
      <c r="BM17" s="58" t="str">
        <f>IF(V17&lt;&gt;"SÍ","",IF(IF(BG17&lt;=0,0,IF((1-2*BG17*1E5/(DATOS!$C$29*AH17*BL17^2*DATOS!$C$21))&lt;0,-1,IF((1-SQRT((1-2*BG17*1E5/(DATOS!$C$29*AH17*BL17^2*DATOS!$C$21))))*DATOS!$C$21*AH17*BL17/DATOS!$C$14&gt;DATOS!$C$102*AH17*BL17,-1,(1-SQRT((1-2*BG17*1E5/(DATOS!$C$29*AH17*BL17^2*DATOS!$C$21))))*DATOS!$C$21*AH17*BL17/DATOS!$C$14)))&lt;0,-1,MAX(IF(BG17&lt;=0,0,IF((1-2*BG17*1E5/(DATOS!$C$29*AH17*BL17^2*DATOS!$C$21))&lt;0,-1,IF((1-SQRT((1-2*BG17*1E5/(DATOS!$C$29*AH17*BL17^2*DATOS!$C$21))))*DATOS!$C$21*AH17*BL17/DATOS!$C$14&gt;DATOS!$C$102*AH17*BL17,-1,(1-SQRT((1-2*BG17*1E5/(DATOS!$C$29*AH17*BL17^2*DATOS!$C$21))))*DATOS!$C$21*AH17*BL17/DATOS!$C$14))),MIN(DATOS!$C$103*AD17*BL17,4/3*IF(BG17&lt;=0,0,IF((1-2*BG17*1E5/(DATOS!$C$29*AH17*BL17^2*DATOS!$C$21))&lt;0,-1,IF((1-SQRT((1-2*BG17*1E5/(DATOS!$C$29*AH17*BL17^2*DATOS!$C$21))))*DATOS!$C$21*AH17*BL17/DATOS!$C$14&gt;DATOS!$C$102*AH17*BL17,-1,(1-SQRT((1-2*BG17*1E5/(DATOS!$C$29*AH17*BL17^2*DATOS!$C$21))))*DATOS!$C$21*AH17*BL17/DATOS!$C$14)))))))</f>
        <v/>
      </c>
      <c r="BN17" s="64" t="str">
        <f>IF(V17&lt;&gt;"SÍ","",IF(AND(BM17&gt;=0,IF(MAX(DATOS!$C$74,CEILING(BM17/INDEX(TABLAS!$D$52:$D$58,MIN(MATCH(MAX(4,DATOS!$C$71),TABLAS!$B$52:$B$58,0)+0,7)),1))*INDEX(TABLAS!$D$52:$D$58,MIN(MATCH(MAX(4,DATOS!$C$71),TABLAS!$B$52:$B$58,0)+0,7)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+0,7)),1)),MAX(MAX(DATOS!$C$74,CEILING(BM17/INDEX(TABLAS!$D$52:$D$58,MIN(MATCH(MAX(4,DATOS!$C$71),TABLAS!$B$52:$B$58,0)+0,7)),1)),2))&lt;=MIN(DATOS!$C$73,INT(((AD17-2*AK17)+MAX(DATOS!$C$70,INDEX(TABLAS!$C$52:$C$58,MIN(MATCH(MAX(4,DATOS!$C$71),TABLAS!$B$52:$B$58,0)+0,7))))/(INDEX(TABLAS!$C$52:$C$58,MIN(MATCH(MAX(4,DATOS!$C$71),TABLAS!$B$52:$B$58,0)+0,7))+MAX(DATOS!$C$70,INDEX(TABLAS!$C$52:$C$58,MIN(MATCH(MAX(4,DATOS!$C$71),TABLAS!$B$52:$B$58,0)+0,7))))))),INDEX(TABLAS!$B$52:$B$58,MIN(MATCH(MAX(4,DATOS!$C$71),TABLAS!$B$52:$B$58,0)+0,7)),IF(AND(BM17&gt;=0,IF(MAX(DATOS!$C$74,CEILING(BM17/INDEX(TABLAS!$D$52:$D$58,MIN(MATCH(MAX(4,DATOS!$C$71),TABLAS!$B$52:$B$58,0)+1,7)),1))*INDEX(TABLAS!$D$52:$D$58,MIN(MATCH(MAX(4,DATOS!$C$71),TABLAS!$B$52:$B$58,0)+1,7)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+1,7)),1)),MAX(MAX(DATOS!$C$74,CEILING(BM17/INDEX(TABLAS!$D$52:$D$58,MIN(MATCH(MAX(4,DATOS!$C$71),TABLAS!$B$52:$B$58,0)+1,7)),1)),2))&lt;=MIN(DATOS!$C$73,INT(((AD17-2*AK17)+MAX(DATOS!$C$70,INDEX(TABLAS!$C$52:$C$58,MIN(MATCH(MAX(4,DATOS!$C$71),TABLAS!$B$52:$B$58,0)+1,7))))/(INDEX(TABLAS!$C$52:$C$58,MIN(MATCH(MAX(4,DATOS!$C$71),TABLAS!$B$52:$B$58,0)+1,7))+MAX(DATOS!$C$70,INDEX(TABLAS!$C$52:$C$58,MIN(MATCH(MAX(4,DATOS!$C$71),TABLAS!$B$52:$B$58,0)+1,7))))))),INDEX(TABLAS!$B$52:$B$58,MIN(MATCH(MAX(4,DATOS!$C$71),TABLAS!$B$52:$B$58,0)+1,7)),IF(AND(BM17&gt;=0,IF(MAX(DATOS!$C$74,CEILING(BM17/INDEX(TABLAS!$D$52:$D$58,MIN(MATCH(MAX(4,DATOS!$C$71),TABLAS!$B$52:$B$58,0)+2,7)),1))*INDEX(TABLAS!$D$52:$D$58,MIN(MATCH(MAX(4,DATOS!$C$71),TABLAS!$B$52:$B$58,0)+2,7)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+2,7)),1)),MAX(MAX(DATOS!$C$74,CEILING(BM17/INDEX(TABLAS!$D$52:$D$58,MIN(MATCH(MAX(4,DATOS!$C$71),TABLAS!$B$52:$B$58,0)+2,7)),1)),2))&lt;=MIN(DATOS!$C$73,INT(((AD17-2*AK17)+MAX(DATOS!$C$70,INDEX(TABLAS!$C$52:$C$58,MIN(MATCH(MAX(4,DATOS!$C$71),TABLAS!$B$52:$B$58,0)+2,7))))/(INDEX(TABLAS!$C$52:$C$58,MIN(MATCH(MAX(4,DATOS!$C$71),TABLAS!$B$52:$B$58,0)+2,7))+MAX(DATOS!$C$70,INDEX(TABLAS!$C$52:$C$58,MIN(MATCH(MAX(4,DATOS!$C$71),TABLAS!$B$52:$B$58,0)+2,7))))))),INDEX(TABLAS!$B$52:$B$58,MIN(MATCH(MAX(4,DATOS!$C$71),TABLAS!$B$52:$B$58,0)+2,7)),IF(AND(BM17&gt;=0,IF(MAX(DATOS!$C$74,CEILING(BM17/INDEX(TABLAS!$D$52:$D$58,MIN(MATCH(MAX(4,DATOS!$C$71),TABLAS!$B$52:$B$58,0)+3,7)),1))*INDEX(TABLAS!$D$52:$D$58,MIN(MATCH(MAX(4,DATOS!$C$71),TABLAS!$B$52:$B$58,0)+3,7)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+3,7)),1)),MAX(MAX(DATOS!$C$74,CEILING(BM17/INDEX(TABLAS!$D$52:$D$58,MIN(MATCH(MAX(4,DATOS!$C$71),TABLAS!$B$52:$B$58,0)+3,7)),1)),2))&lt;=MIN(DATOS!$C$73,INT(((AD17-2*AK17)+MAX(DATOS!$C$70,INDEX(TABLAS!$C$52:$C$58,MIN(MATCH(MAX(4,DATOS!$C$71),TABLAS!$B$52:$B$58,0)+3,7))))/(INDEX(TABLAS!$C$52:$C$58,MIN(MATCH(MAX(4,DATOS!$C$71),TABLAS!$B$52:$B$58,0)+3,7))+MAX(DATOS!$C$70,INDEX(TABLAS!$C$52:$C$58,MIN(MATCH(MAX(4,DATOS!$C$71),TABLAS!$B$52:$B$58,0)+3,7))))))),INDEX(TABLAS!$B$52:$B$58,MIN(MATCH(MAX(4,DATOS!$C$71),TABLAS!$B$52:$B$58,0)+3,7)),IF(AND(BM17&gt;=0,IF(MAX(DATOS!$C$74,CEILING(BM17/INDEX(TABLAS!$D$52:$D$58,MIN(MATCH(MAX(4,DATOS!$C$71),TABLAS!$B$52:$B$58,0)+4,7)),1))*INDEX(TABLAS!$D$52:$D$58,MIN(MATCH(MAX(4,DATOS!$C$71),TABLAS!$B$52:$B$58,0)+4,7)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+4,7)),1)),MAX(MAX(DATOS!$C$74,CEILING(BM17/INDEX(TABLAS!$D$52:$D$58,MIN(MATCH(MAX(4,DATOS!$C$71),TABLAS!$B$52:$B$58,0)+4,7)),1)),2))&lt;=MIN(DATOS!$C$73,INT(((AD17-2*AK17)+MAX(DATOS!$C$70,INDEX(TABLAS!$C$52:$C$58,MIN(MATCH(MAX(4,DATOS!$C$71),TABLAS!$B$52:$B$58,0)+4,7))))/(INDEX(TABLAS!$C$52:$C$58,MIN(MATCH(MAX(4,DATOS!$C$71),TABLAS!$B$52:$B$58,0)+4,7))+MAX(DATOS!$C$70,INDEX(TABLAS!$C$52:$C$58,MIN(MATCH(MAX(4,DATOS!$C$71),TABLAS!$B$52:$B$58,0)+4,7))))))),INDEX(TABLAS!$B$52:$B$58,MIN(MATCH(MAX(4,DATOS!$C$71),TABLAS!$B$52:$B$58,0)+4,7)),INDEX(TABLAS!$B$52:$B$58,7)))))))</f>
        <v/>
      </c>
      <c r="BO17" s="59" t="str">
        <f>IF(V17&lt;&gt;"SÍ","",IF(BM17&lt;0,0,IF(MAX(DATOS!$C$74,CEILING(MAX(BM17,0)/INDEX(TABLAS!$D$52:$D$58,MATCH(BN17,TABLAS!$B$52:$B$58,0)),1))*INDEX(TABLAS!$D$52:$D$58,MATCH(BN17,TABLAS!$B$52:$B$58,0))&gt;=4/3*IF(BG17&lt;=0,0,IF((1-2*BG17*1E5/(DATOS!$C$29*AH17*BL17^2*DATOS!$C$21))&lt;0,-1,IF((1-SQRT((1-2*BG17*1E5/(DATOS!$C$29*AH17*BL17^2*DATOS!$C$21))))*DATOS!$C$21*AH17*BL17/DATOS!$C$14&gt;DATOS!$C$102*AH17*BL17,-1,(1-SQRT((1-2*BG17*1E5/(DATOS!$C$29*AH17*BL17^2*DATOS!$C$21))))*DATOS!$C$21*AH17*BL17/DATOS!$C$14)))-0.0001,MAX(DATOS!$C$74,CEILING(MAX(BM17,0)/INDEX(TABLAS!$D$52:$D$58,MATCH(BN17,TABLAS!$B$52:$B$58,0)),1)),MAX(MAX(DATOS!$C$74,CEILING(MAX(BM17,0)/INDEX(TABLAS!$D$52:$D$58,MATCH(BN17,TABLAS!$B$52:$B$58,0)),1)),2))))</f>
        <v/>
      </c>
      <c r="BP17" s="58" t="str">
        <f>IF(V17&lt;&gt;"SÍ","",DATOS!$C$85-AK17-INDEX(TABLAS!$C$52:$C$58,MATCH(BN17,TABLAS!$B$52:$B$58,0))/2)</f>
        <v/>
      </c>
      <c r="BQ17" s="56" t="str">
        <f>IF(V17&lt;&gt;"SÍ","",IF(BO17=0,0,DATOS!$C$29*BO17*INDEX(TABLAS!$D$52:$D$58,MATCH(BN17,TABLAS!$B$52:$B$58,0))*DATOS!$C$14*(BP17-BO17*INDEX(TABLAS!$D$52:$D$58,MATCH(BN17,TABLAS!$B$52:$B$58,0))*DATOS!$C$14/(DATOS!$C$21*AH17)/2)/1E5))</f>
        <v/>
      </c>
      <c r="BR17" s="65" t="str">
        <f>IF(V17&lt;&gt;"SÍ","",IF(BM17&lt;0,9.99,IF(BQ17&gt;0,BG17/BQ17,0)))</f>
        <v/>
      </c>
      <c r="BS17" s="66" t="str">
        <f>IF(V17&lt;&gt;"SÍ","",IF(BO17=0,"—",0.003*(BP17-(BO17*INDEX(TABLAS!$D$52:$D$58,MATCH(BN17,TABLAS!$B$52:$B$58,0))*DATOS!$C$14/(DATOS!$C$21*AH17)/DATOS!$C$22))/(BO17*INDEX(TABLAS!$D$52:$D$58,MATCH(BN17,TABLAS!$B$52:$B$58,0))*DATOS!$C$14/(DATOS!$C$21*AH17)/DATOS!$C$22)))</f>
        <v/>
      </c>
      <c r="BT17" s="58" t="str">
        <f>IF(V17&lt;&gt;"SÍ","",((DATOS!$C$85-AM17-2*DATOS!$C$97-INDEX(TABLAS!$C$52:$C$58,MATCH(MAX(4,DATOS!$C$72),TABLAS!$B$52:$B$58,0))/2)-IF(AND((DATOS!$C$85-AM17-2*DATOS!$C$97-INDEX(TABLAS!$C$52:$C$58,MATCH(MAX(4,DATOS!$C$72),TABLAS!$B$52:$B$58,0))/2)&lt;=20,DATOS!$C$65&lt;&gt;"SÍ"),2,0)))</f>
        <v/>
      </c>
      <c r="BU17" s="58" t="str">
        <f>IF(V17&lt;&gt;"SÍ","",IF(IF(BH17&lt;=0,0,IF((1-2*BH17*1E5/(DATOS!$C$29*AF17*BT17^2*DATOS!$C$21))&lt;0,-1,IF((1-SQRT((1-2*BH17*1E5/(DATOS!$C$29*AF17*BT17^2*DATOS!$C$21))))*DATOS!$C$21*AF17*BT17/DATOS!$C$14&gt;DATOS!$C$102*AF17*BT17,-1,(1-SQRT((1-2*BH17*1E5/(DATOS!$C$29*AF17*BT17^2*DATOS!$C$21))))*DATOS!$C$21*AF17*BT17/DATOS!$C$14)))&lt;0,-1,MAX(IF(BH17&lt;=0,0,IF((1-2*BH17*1E5/(DATOS!$C$29*AF17*BT17^2*DATOS!$C$21))&lt;0,-1,IF((1-SQRT((1-2*BH17*1E5/(DATOS!$C$29*AF17*BT17^2*DATOS!$C$21))))*DATOS!$C$21*AF17*BT17/DATOS!$C$14&gt;DATOS!$C$102*AF17*BT17,-1,(1-SQRT((1-2*BH17*1E5/(DATOS!$C$29*AF17*BT17^2*DATOS!$C$21))))*DATOS!$C$21*AF17*BT17/DATOS!$C$14))),MIN(DATOS!$C$103*IF(C17="VOLADO",MIN(AH17,2*AD17),AD17)*BT17,4/3*IF(BH17&lt;=0,0,IF((1-2*BH17*1E5/(DATOS!$C$29*AF17*BT17^2*DATOS!$C$21))&lt;0,-1,IF((1-SQRT((1-2*BH17*1E5/(DATOS!$C$29*AF17*BT17^2*DATOS!$C$21))))*DATOS!$C$21*AF17*BT17/DATOS!$C$14&gt;DATOS!$C$102*AF17*BT17,-1,(1-SQRT((1-2*BH17*1E5/(DATOS!$C$29*AF17*BT17^2*DATOS!$C$21))))*DATOS!$C$21*AF17*BT17/DATOS!$C$14)))))))</f>
        <v/>
      </c>
      <c r="BV17" s="64" t="str">
        <f>IF(V17&lt;&gt;"SÍ","",IF(AND(BU17&gt;=0,IF(MAX(DATOS!$C$74,CEILING(BU17/INDEX(TABLAS!$D$52:$D$58,MIN(MATCH(MAX(4,DATOS!$C$72),TABLAS!$B$52:$B$58,0)+0,7)),1))*INDEX(TABLAS!$D$52:$D$58,MIN(MATCH(MAX(4,DATOS!$C$72),TABLAS!$B$52:$B$58,0)+0,7)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+0,7)),1)),MAX(MAX(DATOS!$C$74,CEILING(BU17/INDEX(TABLAS!$D$52:$D$58,MIN(MATCH(MAX(4,DATOS!$C$72),TABLAS!$B$52:$B$58,0)+0,7)),1)),2))&lt;=MIN(DATOS!$C$73,INT(((AD17-2*AL17)+MAX(DATOS!$C$70,INDEX(TABLAS!$C$52:$C$58,MIN(MATCH(MAX(4,DATOS!$C$72),TABLAS!$B$52:$B$58,0)+0,7))))/(INDEX(TABLAS!$C$52:$C$58,MIN(MATCH(MAX(4,DATOS!$C$72),TABLAS!$B$52:$B$58,0)+0,7))+MAX(DATOS!$C$70,INDEX(TABLAS!$C$52:$C$58,MIN(MATCH(MAX(4,DATOS!$C$72),TABLAS!$B$52:$B$58,0)+0,7))))))),INDEX(TABLAS!$B$52:$B$58,MIN(MATCH(MAX(4,DATOS!$C$72),TABLAS!$B$52:$B$58,0)+0,7)),IF(AND(BU17&gt;=0,IF(MAX(DATOS!$C$74,CEILING(BU17/INDEX(TABLAS!$D$52:$D$58,MIN(MATCH(MAX(4,DATOS!$C$72),TABLAS!$B$52:$B$58,0)+1,7)),1))*INDEX(TABLAS!$D$52:$D$58,MIN(MATCH(MAX(4,DATOS!$C$72),TABLAS!$B$52:$B$58,0)+1,7)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+1,7)),1)),MAX(MAX(DATOS!$C$74,CEILING(BU17/INDEX(TABLAS!$D$52:$D$58,MIN(MATCH(MAX(4,DATOS!$C$72),TABLAS!$B$52:$B$58,0)+1,7)),1)),2))&lt;=MIN(DATOS!$C$73,INT(((AD17-2*AL17)+MAX(DATOS!$C$70,INDEX(TABLAS!$C$52:$C$58,MIN(MATCH(MAX(4,DATOS!$C$72),TABLAS!$B$52:$B$58,0)+1,7))))/(INDEX(TABLAS!$C$52:$C$58,MIN(MATCH(MAX(4,DATOS!$C$72),TABLAS!$B$52:$B$58,0)+1,7))+MAX(DATOS!$C$70,INDEX(TABLAS!$C$52:$C$58,MIN(MATCH(MAX(4,DATOS!$C$72),TABLAS!$B$52:$B$58,0)+1,7))))))),INDEX(TABLAS!$B$52:$B$58,MIN(MATCH(MAX(4,DATOS!$C$72),TABLAS!$B$52:$B$58,0)+1,7)),IF(AND(BU17&gt;=0,IF(MAX(DATOS!$C$74,CEILING(BU17/INDEX(TABLAS!$D$52:$D$58,MIN(MATCH(MAX(4,DATOS!$C$72),TABLAS!$B$52:$B$58,0)+2,7)),1))*INDEX(TABLAS!$D$52:$D$58,MIN(MATCH(MAX(4,DATOS!$C$72),TABLAS!$B$52:$B$58,0)+2,7)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+2,7)),1)),MAX(MAX(DATOS!$C$74,CEILING(BU17/INDEX(TABLAS!$D$52:$D$58,MIN(MATCH(MAX(4,DATOS!$C$72),TABLAS!$B$52:$B$58,0)+2,7)),1)),2))&lt;=MIN(DATOS!$C$73,INT(((AD17-2*AL17)+MAX(DATOS!$C$70,INDEX(TABLAS!$C$52:$C$58,MIN(MATCH(MAX(4,DATOS!$C$72),TABLAS!$B$52:$B$58,0)+2,7))))/(INDEX(TABLAS!$C$52:$C$58,MIN(MATCH(MAX(4,DATOS!$C$72),TABLAS!$B$52:$B$58,0)+2,7))+MAX(DATOS!$C$70,INDEX(TABLAS!$C$52:$C$58,MIN(MATCH(MAX(4,DATOS!$C$72),TABLAS!$B$52:$B$58,0)+2,7))))))),INDEX(TABLAS!$B$52:$B$58,MIN(MATCH(MAX(4,DATOS!$C$72),TABLAS!$B$52:$B$58,0)+2,7)),IF(AND(BU17&gt;=0,IF(MAX(DATOS!$C$74,CEILING(BU17/INDEX(TABLAS!$D$52:$D$58,MIN(MATCH(MAX(4,DATOS!$C$72),TABLAS!$B$52:$B$58,0)+3,7)),1))*INDEX(TABLAS!$D$52:$D$58,MIN(MATCH(MAX(4,DATOS!$C$72),TABLAS!$B$52:$B$58,0)+3,7)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+3,7)),1)),MAX(MAX(DATOS!$C$74,CEILING(BU17/INDEX(TABLAS!$D$52:$D$58,MIN(MATCH(MAX(4,DATOS!$C$72),TABLAS!$B$52:$B$58,0)+3,7)),1)),2))&lt;=MIN(DATOS!$C$73,INT(((AD17-2*AL17)+MAX(DATOS!$C$70,INDEX(TABLAS!$C$52:$C$58,MIN(MATCH(MAX(4,DATOS!$C$72),TABLAS!$B$52:$B$58,0)+3,7))))/(INDEX(TABLAS!$C$52:$C$58,MIN(MATCH(MAX(4,DATOS!$C$72),TABLAS!$B$52:$B$58,0)+3,7))+MAX(DATOS!$C$70,INDEX(TABLAS!$C$52:$C$58,MIN(MATCH(MAX(4,DATOS!$C$72),TABLAS!$B$52:$B$58,0)+3,7))))))),INDEX(TABLAS!$B$52:$B$58,MIN(MATCH(MAX(4,DATOS!$C$72),TABLAS!$B$52:$B$58,0)+3,7)),IF(AND(BU17&gt;=0,IF(MAX(DATOS!$C$74,CEILING(BU17/INDEX(TABLAS!$D$52:$D$58,MIN(MATCH(MAX(4,DATOS!$C$72),TABLAS!$B$52:$B$58,0)+4,7)),1))*INDEX(TABLAS!$D$52:$D$58,MIN(MATCH(MAX(4,DATOS!$C$72),TABLAS!$B$52:$B$58,0)+4,7)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+4,7)),1)),MAX(MAX(DATOS!$C$74,CEILING(BU17/INDEX(TABLAS!$D$52:$D$58,MIN(MATCH(MAX(4,DATOS!$C$72),TABLAS!$B$52:$B$58,0)+4,7)),1)),2))&lt;=MIN(DATOS!$C$73,INT(((AD17-2*AL17)+MAX(DATOS!$C$70,INDEX(TABLAS!$C$52:$C$58,MIN(MATCH(MAX(4,DATOS!$C$72),TABLAS!$B$52:$B$58,0)+4,7))))/(INDEX(TABLAS!$C$52:$C$58,MIN(MATCH(MAX(4,DATOS!$C$72),TABLAS!$B$52:$B$58,0)+4,7))+MAX(DATOS!$C$70,INDEX(TABLAS!$C$52:$C$58,MIN(MATCH(MAX(4,DATOS!$C$72),TABLAS!$B$52:$B$58,0)+4,7))))))),INDEX(TABLAS!$B$52:$B$58,MIN(MATCH(MAX(4,DATOS!$C$72),TABLAS!$B$52:$B$58,0)+4,7)),INDEX(TABLAS!$B$52:$B$58,7)))))))</f>
        <v/>
      </c>
      <c r="BW17" s="59" t="str">
        <f>IF(V17&lt;&gt;"SÍ","",IF(BU17&lt;0,0,IF(MAX(DATOS!$C$74,CEILING(MAX(BU17,0)/INDEX(TABLAS!$D$52:$D$58,MATCH(BV17,TABLAS!$B$52:$B$58,0)),1))*INDEX(TABLAS!$D$52:$D$58,MATCH(BV17,TABLAS!$B$52:$B$58,0))&gt;=4/3*IF(BH17&lt;=0,0,IF((1-2*BH17*1E5/(DATOS!$C$29*AF17*BT17^2*DATOS!$C$21))&lt;0,-1,IF((1-SQRT((1-2*BH17*1E5/(DATOS!$C$29*AF17*BT17^2*DATOS!$C$21))))*DATOS!$C$21*AF17*BT17/DATOS!$C$14&gt;DATOS!$C$102*AF17*BT17,-1,(1-SQRT((1-2*BH17*1E5/(DATOS!$C$29*AF17*BT17^2*DATOS!$C$21))))*DATOS!$C$21*AF17*BT17/DATOS!$C$14)))-0.0001,MAX(DATOS!$C$74,CEILING(MAX(BU17,0)/INDEX(TABLAS!$D$52:$D$58,MATCH(BV17,TABLAS!$B$52:$B$58,0)),1)),MAX(MAX(DATOS!$C$74,CEILING(MAX(BU17,0)/INDEX(TABLAS!$D$52:$D$58,MATCH(BV17,TABLAS!$B$52:$B$58,0)),1)),2))))</f>
        <v/>
      </c>
      <c r="BX17" s="58" t="str">
        <f>IF(V17&lt;&gt;"SÍ","",((DATOS!$C$85-AM17-2*DATOS!$C$97-INDEX(TABLAS!$C$52:$C$58,MATCH(BV17,TABLAS!$B$52:$B$58,0))/2)-IF(AND((DATOS!$C$85-AM17-2*DATOS!$C$97-INDEX(TABLAS!$C$52:$C$58,MATCH(BV17,TABLAS!$B$52:$B$58,0))/2)&lt;=20,DATOS!$C$65&lt;&gt;"SÍ"),2,0)))</f>
        <v/>
      </c>
      <c r="BY17" s="56" t="str">
        <f>IF(V17&lt;&gt;"SÍ","",IF(BW17=0,0,DATOS!$C$29*BW17*INDEX(TABLAS!$D$52:$D$58,MATCH(BV17,TABLAS!$B$52:$B$58,0))*DATOS!$C$14*(BX17-BW17*INDEX(TABLAS!$D$52:$D$58,MATCH(BV17,TABLAS!$B$52:$B$58,0))*DATOS!$C$14/(DATOS!$C$21*AF17)/2)/1E5))</f>
        <v/>
      </c>
      <c r="BZ17" s="65" t="str">
        <f>IF(V17&lt;&gt;"SÍ","",IF(BU17&lt;0,9.99,IF(BY17&gt;0,BH17/BY17,0)))</f>
        <v/>
      </c>
      <c r="CA17" s="66" t="str">
        <f>IF(V17&lt;&gt;"SÍ","",IF(BW17=0,"—",0.003*(BX17-(BW17*INDEX(TABLAS!$D$52:$D$58,MATCH(BV17,TABLAS!$B$52:$B$58,0))*DATOS!$C$14/(DATOS!$C$21*AF17)/DATOS!$C$22))/(BW17*INDEX(TABLAS!$D$52:$D$58,MATCH(BV17,TABLAS!$B$52:$B$58,0))*DATOS!$C$14/(DATOS!$C$21*AF17)/DATOS!$C$22)))</f>
        <v/>
      </c>
      <c r="CB17" s="58" t="str">
        <f>IF(V17&lt;&gt;"SÍ","",(DATOS!$C$85-AK17-INDEX(TABLAS!$C$52:$C$58,MATCH(MAX(4,DATOS!$C$71),TABLAS!$B$52:$B$58,0))-INDEX(TABLAS!$C$52:$C$58,MATCH(MAX(4,DATOS!$C$71),TABLAS!$B$52:$B$58,0))/2))</f>
        <v/>
      </c>
      <c r="CC17" s="58" t="str">
        <f>IF(V17&lt;&gt;"SÍ","",IF(IF(BI17&lt;=0,0,IF((1-2*BI17*1E5/(DATOS!$C$29*AI17*CB17^2*DATOS!$C$21))&lt;0,-1,IF((1-SQRT((1-2*BI17*1E5/(DATOS!$C$29*AI17*CB17^2*DATOS!$C$21))))*DATOS!$C$21*AI17*CB17/DATOS!$C$14&gt;DATOS!$C$102*AI17*CB17,-1,(1-SQRT((1-2*BI17*1E5/(DATOS!$C$29*AI17*CB17^2*DATOS!$C$21))))*DATOS!$C$21*AI17*CB17/DATOS!$C$14)))&lt;0,-1,MAX(IF(BI17&lt;=0,0,IF((1-2*BI17*1E5/(DATOS!$C$29*AI17*CB17^2*DATOS!$C$21))&lt;0,-1,IF((1-SQRT((1-2*BI17*1E5/(DATOS!$C$29*AI17*CB17^2*DATOS!$C$21))))*DATOS!$C$21*AI17*CB17/DATOS!$C$14&gt;DATOS!$C$102*AI17*CB17,-1,(1-SQRT((1-2*BI17*1E5/(DATOS!$C$29*AI17*CB17^2*DATOS!$C$21))))*DATOS!$C$21*AI17*CB17/DATOS!$C$14))),MIN(DATOS!$C$103*DATOS!$C$83*CB17,4/3*IF(BI17&lt;=0,0,IF((1-2*BI17*1E5/(DATOS!$C$29*AI17*CB17^2*DATOS!$C$21))&lt;0,-1,IF((1-SQRT((1-2*BI17*1E5/(DATOS!$C$29*AI17*CB17^2*DATOS!$C$21))))*DATOS!$C$21*AI17*CB17/DATOS!$C$14&gt;DATOS!$C$102*AI17*CB17,-1,(1-SQRT((1-2*BI17*1E5/(DATOS!$C$29*AI17*CB17^2*DATOS!$C$21))))*DATOS!$C$21*AI17*CB17/DATOS!$C$14)))))))</f>
        <v/>
      </c>
      <c r="CD17" s="64" t="str">
        <f>IF(V17&lt;&gt;"SÍ","",IF(AND(CC17&gt;=0,IF(MAX(DATOS!$C$74,CEILING(CC17/INDEX(TABLAS!$D$52:$D$58,MIN(MATCH(MAX(4,DATOS!$C$71),TABLAS!$B$52:$B$58,0)+0,7)),1))*INDEX(TABLAS!$D$52:$D$58,MIN(MATCH(MAX(4,DATOS!$C$71),TABLAS!$B$52:$B$58,0)+0,7)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+0,7)),1)),MAX(MAX(DATOS!$C$74,CEILING(CC17/INDEX(TABLAS!$D$52:$D$58,MIN(MATCH(MAX(4,DATOS!$C$71),TABLAS!$B$52:$B$58,0)+0,7)),1)),2))&lt;=MIN(DATOS!$C$73,INT(((DATOS!$C$83-2*AK17)+MAX(DATOS!$C$70,INDEX(TABLAS!$C$52:$C$58,MIN(MATCH(MAX(4,DATOS!$C$71),TABLAS!$B$52:$B$58,0)+0,7))))/(INDEX(TABLAS!$C$52:$C$58,MIN(MATCH(MAX(4,DATOS!$C$71),TABLAS!$B$52:$B$58,0)+0,7))+MAX(DATOS!$C$70,INDEX(TABLAS!$C$52:$C$58,MIN(MATCH(MAX(4,DATOS!$C$71),TABLAS!$B$52:$B$58,0)+0,7))))))),INDEX(TABLAS!$B$52:$B$58,MIN(MATCH(MAX(4,DATOS!$C$71),TABLAS!$B$52:$B$58,0)+0,7)),IF(AND(CC17&gt;=0,IF(MAX(DATOS!$C$74,CEILING(CC17/INDEX(TABLAS!$D$52:$D$58,MIN(MATCH(MAX(4,DATOS!$C$71),TABLAS!$B$52:$B$58,0)+1,7)),1))*INDEX(TABLAS!$D$52:$D$58,MIN(MATCH(MAX(4,DATOS!$C$71),TABLAS!$B$52:$B$58,0)+1,7)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+1,7)),1)),MAX(MAX(DATOS!$C$74,CEILING(CC17/INDEX(TABLAS!$D$52:$D$58,MIN(MATCH(MAX(4,DATOS!$C$71),TABLAS!$B$52:$B$58,0)+1,7)),1)),2))&lt;=MIN(DATOS!$C$73,INT(((DATOS!$C$83-2*AK17)+MAX(DATOS!$C$70,INDEX(TABLAS!$C$52:$C$58,MIN(MATCH(MAX(4,DATOS!$C$71),TABLAS!$B$52:$B$58,0)+1,7))))/(INDEX(TABLAS!$C$52:$C$58,MIN(MATCH(MAX(4,DATOS!$C$71),TABLAS!$B$52:$B$58,0)+1,7))+MAX(DATOS!$C$70,INDEX(TABLAS!$C$52:$C$58,MIN(MATCH(MAX(4,DATOS!$C$71),TABLAS!$B$52:$B$58,0)+1,7))))))),INDEX(TABLAS!$B$52:$B$58,MIN(MATCH(MAX(4,DATOS!$C$71),TABLAS!$B$52:$B$58,0)+1,7)),IF(AND(CC17&gt;=0,IF(MAX(DATOS!$C$74,CEILING(CC17/INDEX(TABLAS!$D$52:$D$58,MIN(MATCH(MAX(4,DATOS!$C$71),TABLAS!$B$52:$B$58,0)+2,7)),1))*INDEX(TABLAS!$D$52:$D$58,MIN(MATCH(MAX(4,DATOS!$C$71),TABLAS!$B$52:$B$58,0)+2,7)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+2,7)),1)),MAX(MAX(DATOS!$C$74,CEILING(CC17/INDEX(TABLAS!$D$52:$D$58,MIN(MATCH(MAX(4,DATOS!$C$71),TABLAS!$B$52:$B$58,0)+2,7)),1)),2))&lt;=MIN(DATOS!$C$73,INT(((DATOS!$C$83-2*AK17)+MAX(DATOS!$C$70,INDEX(TABLAS!$C$52:$C$58,MIN(MATCH(MAX(4,DATOS!$C$71),TABLAS!$B$52:$B$58,0)+2,7))))/(INDEX(TABLAS!$C$52:$C$58,MIN(MATCH(MAX(4,DATOS!$C$71),TABLAS!$B$52:$B$58,0)+2,7))+MAX(DATOS!$C$70,INDEX(TABLAS!$C$52:$C$58,MIN(MATCH(MAX(4,DATOS!$C$71),TABLAS!$B$52:$B$58,0)+2,7))))))),INDEX(TABLAS!$B$52:$B$58,MIN(MATCH(MAX(4,DATOS!$C$71),TABLAS!$B$52:$B$58,0)+2,7)),IF(AND(CC17&gt;=0,IF(MAX(DATOS!$C$74,CEILING(CC17/INDEX(TABLAS!$D$52:$D$58,MIN(MATCH(MAX(4,DATOS!$C$71),TABLAS!$B$52:$B$58,0)+3,7)),1))*INDEX(TABLAS!$D$52:$D$58,MIN(MATCH(MAX(4,DATOS!$C$71),TABLAS!$B$52:$B$58,0)+3,7)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+3,7)),1)),MAX(MAX(DATOS!$C$74,CEILING(CC17/INDEX(TABLAS!$D$52:$D$58,MIN(MATCH(MAX(4,DATOS!$C$71),TABLAS!$B$52:$B$58,0)+3,7)),1)),2))&lt;=MIN(DATOS!$C$73,INT(((DATOS!$C$83-2*AK17)+MAX(DATOS!$C$70,INDEX(TABLAS!$C$52:$C$58,MIN(MATCH(MAX(4,DATOS!$C$71),TABLAS!$B$52:$B$58,0)+3,7))))/(INDEX(TABLAS!$C$52:$C$58,MIN(MATCH(MAX(4,DATOS!$C$71),TABLAS!$B$52:$B$58,0)+3,7))+MAX(DATOS!$C$70,INDEX(TABLAS!$C$52:$C$58,MIN(MATCH(MAX(4,DATOS!$C$71),TABLAS!$B$52:$B$58,0)+3,7))))))),INDEX(TABLAS!$B$52:$B$58,MIN(MATCH(MAX(4,DATOS!$C$71),TABLAS!$B$52:$B$58,0)+3,7)),IF(AND(CC17&gt;=0,IF(MAX(DATOS!$C$74,CEILING(CC17/INDEX(TABLAS!$D$52:$D$58,MIN(MATCH(MAX(4,DATOS!$C$71),TABLAS!$B$52:$B$58,0)+4,7)),1))*INDEX(TABLAS!$D$52:$D$58,MIN(MATCH(MAX(4,DATOS!$C$71),TABLAS!$B$52:$B$58,0)+4,7)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+4,7)),1)),MAX(MAX(DATOS!$C$74,CEILING(CC17/INDEX(TABLAS!$D$52:$D$58,MIN(MATCH(MAX(4,DATOS!$C$71),TABLAS!$B$52:$B$58,0)+4,7)),1)),2))&lt;=MIN(DATOS!$C$73,INT(((DATOS!$C$83-2*AK17)+MAX(DATOS!$C$70,INDEX(TABLAS!$C$52:$C$58,MIN(MATCH(MAX(4,DATOS!$C$71),TABLAS!$B$52:$B$58,0)+4,7))))/(INDEX(TABLAS!$C$52:$C$58,MIN(MATCH(MAX(4,DATOS!$C$71),TABLAS!$B$52:$B$58,0)+4,7))+MAX(DATOS!$C$70,INDEX(TABLAS!$C$52:$C$58,MIN(MATCH(MAX(4,DATOS!$C$71),TABLAS!$B$52:$B$58,0)+4,7))))))),INDEX(TABLAS!$B$52:$B$58,MIN(MATCH(MAX(4,DATOS!$C$71),TABLAS!$B$52:$B$58,0)+4,7)),INDEX(TABLAS!$B$52:$B$58,7)))))))</f>
        <v/>
      </c>
      <c r="CE17" s="59" t="str">
        <f>IF(V17&lt;&gt;"SÍ","",IF(CC17&lt;0,0,IF(MAX(DATOS!$C$74,CEILING(MAX(CC17,0)/INDEX(TABLAS!$D$52:$D$58,MATCH(CD17,TABLAS!$B$52:$B$58,0)),1))*INDEX(TABLAS!$D$52:$D$58,MATCH(CD17,TABLAS!$B$52:$B$58,0))&gt;=4/3*IF(BI17&lt;=0,0,IF((1-2*BI17*1E5/(DATOS!$C$29*AI17*CB17^2*DATOS!$C$21))&lt;0,-1,IF((1-SQRT((1-2*BI17*1E5/(DATOS!$C$29*AI17*CB17^2*DATOS!$C$21))))*DATOS!$C$21*AI17*CB17/DATOS!$C$14&gt;DATOS!$C$102*AI17*CB17,-1,(1-SQRT((1-2*BI17*1E5/(DATOS!$C$29*AI17*CB17^2*DATOS!$C$21))))*DATOS!$C$21*AI17*CB17/DATOS!$C$14)))-0.0001,MAX(DATOS!$C$74,CEILING(MAX(CC17,0)/INDEX(TABLAS!$D$52:$D$58,MATCH(CD17,TABLAS!$B$52:$B$58,0)),1)),MAX(MAX(DATOS!$C$74,CEILING(MAX(CC17,0)/INDEX(TABLAS!$D$52:$D$58,MATCH(CD17,TABLAS!$B$52:$B$58,0)),1)),2))))</f>
        <v/>
      </c>
      <c r="CF17" s="58" t="str">
        <f>IF(V17&lt;&gt;"SÍ","",DATOS!$C$85-AK17-INDEX(TABLAS!$C$52:$C$58,MATCH(BN17,TABLAS!$B$52:$B$58,0))-INDEX(TABLAS!$C$52:$C$58,MATCH(CD17,TABLAS!$B$52:$B$58,0))/2)</f>
        <v/>
      </c>
      <c r="CG17" s="56" t="str">
        <f>IF(V17&lt;&gt;"SÍ","",IF(CE17=0,0,DATOS!$C$29*CE17*INDEX(TABLAS!$D$52:$D$58,MATCH(CD17,TABLAS!$B$52:$B$58,0))*DATOS!$C$14*(CF17-CE17*INDEX(TABLAS!$D$52:$D$58,MATCH(CD17,TABLAS!$B$52:$B$58,0))*DATOS!$C$14/(DATOS!$C$21*AI17)/2)/1E5))</f>
        <v/>
      </c>
      <c r="CH17" s="65" t="str">
        <f>IF(V17&lt;&gt;"SÍ","",IF(CC17&lt;0,9.99,IF(CG17&gt;0,BI17/CG17,0)))</f>
        <v/>
      </c>
      <c r="CI17" s="66" t="str">
        <f>IF(V17&lt;&gt;"SÍ","",IF(CE17=0,"—",0.003*(CF17-(CE17*INDEX(TABLAS!$D$52:$D$58,MATCH(CD17,TABLAS!$B$52:$B$58,0))*DATOS!$C$14/(DATOS!$C$21*AI17)/DATOS!$C$22))/(CE17*INDEX(TABLAS!$D$52:$D$58,MATCH(CD17,TABLAS!$B$52:$B$58,0))*DATOS!$C$14/(DATOS!$C$21*AI17)/DATOS!$C$22)))</f>
        <v/>
      </c>
      <c r="CJ17" s="58" t="str">
        <f>IF(V17&lt;&gt;"SÍ","",((DATOS!$C$85-AM17-2*DATOS!$C$97-INDEX(TABLAS!$C$52:$C$58,MATCH(MAX(4,DATOS!$C$72),TABLAS!$B$52:$B$58,0))-INDEX(TABLAS!$C$52:$C$58,MATCH(MAX(4,DATOS!$C$72),TABLAS!$B$52:$B$58,0))/2)-IF(AND((DATOS!$C$85-AM17-2*DATOS!$C$97-INDEX(TABLAS!$C$52:$C$58,MATCH(MAX(4,DATOS!$C$72),TABLAS!$B$52:$B$58,0))-INDEX(TABLAS!$C$52:$C$58,MATCH(MAX(4,DATOS!$C$72),TABLAS!$B$52:$B$58,0))/2)&lt;=20,DATOS!$C$65&lt;&gt;"SÍ"),2,0)))</f>
        <v/>
      </c>
      <c r="CK17" s="58" t="str">
        <f>IF(V17&lt;&gt;"SÍ","",IF(IF(BJ17&lt;=0,0,IF((1-2*BJ17*1E5/(DATOS!$C$29*AG17*CJ17^2*DATOS!$C$21))&lt;0,-1,IF((1-SQRT((1-2*BJ17*1E5/(DATOS!$C$29*AG17*CJ17^2*DATOS!$C$21))))*DATOS!$C$21*AG17*CJ17/DATOS!$C$14&gt;DATOS!$C$102*AG17*CJ17,-1,(1-SQRT((1-2*BJ17*1E5/(DATOS!$C$29*AG17*CJ17^2*DATOS!$C$21))))*DATOS!$C$21*AG17*CJ17/DATOS!$C$14)))&lt;0,-1,MAX(IF(BJ17&lt;=0,0,IF((1-2*BJ17*1E5/(DATOS!$C$29*AG17*CJ17^2*DATOS!$C$21))&lt;0,-1,IF((1-SQRT((1-2*BJ17*1E5/(DATOS!$C$29*AG17*CJ17^2*DATOS!$C$21))))*DATOS!$C$21*AG17*CJ17/DATOS!$C$14&gt;DATOS!$C$102*AG17*CJ17,-1,(1-SQRT((1-2*BJ17*1E5/(DATOS!$C$29*AG17*CJ17^2*DATOS!$C$21))))*DATOS!$C$21*AG17*CJ17/DATOS!$C$14))),MIN(DATOS!$C$103*DATOS!$C$83*CJ17,4/3*IF(BJ17&lt;=0,0,IF((1-2*BJ17*1E5/(DATOS!$C$29*AG17*CJ17^2*DATOS!$C$21))&lt;0,-1,IF((1-SQRT((1-2*BJ17*1E5/(DATOS!$C$29*AG17*CJ17^2*DATOS!$C$21))))*DATOS!$C$21*AG17*CJ17/DATOS!$C$14&gt;DATOS!$C$102*AG17*CJ17,-1,(1-SQRT((1-2*BJ17*1E5/(DATOS!$C$29*AG17*CJ17^2*DATOS!$C$21))))*DATOS!$C$21*AG17*CJ17/DATOS!$C$14)))))))</f>
        <v/>
      </c>
      <c r="CL17" s="64" t="str">
        <f>IF(V17&lt;&gt;"SÍ","",IF(AND(CK17&gt;=0,IF(MAX(DATOS!$C$74,CEILING(CK17/INDEX(TABLAS!$D$52:$D$58,MIN(MATCH(MAX(4,DATOS!$C$72),TABLAS!$B$52:$B$58,0)+0,7)),1))*INDEX(TABLAS!$D$52:$D$58,MIN(MATCH(MAX(4,DATOS!$C$72),TABLAS!$B$52:$B$58,0)+0,7)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+0,7)),1)),MAX(MAX(DATOS!$C$74,CEILING(CK17/INDEX(TABLAS!$D$52:$D$58,MIN(MATCH(MAX(4,DATOS!$C$72),TABLAS!$B$52:$B$58,0)+0,7)),1)),2))&lt;=MIN(DATOS!$C$73,INT(((DATOS!$C$83-2*AL17)+MAX(DATOS!$C$70,INDEX(TABLAS!$C$52:$C$58,MIN(MATCH(MAX(4,DATOS!$C$72),TABLAS!$B$52:$B$58,0)+0,7))))/(INDEX(TABLAS!$C$52:$C$58,MIN(MATCH(MAX(4,DATOS!$C$72),TABLAS!$B$52:$B$58,0)+0,7))+MAX(DATOS!$C$70,INDEX(TABLAS!$C$52:$C$58,MIN(MATCH(MAX(4,DATOS!$C$72),TABLAS!$B$52:$B$58,0)+0,7))))))),INDEX(TABLAS!$B$52:$B$58,MIN(MATCH(MAX(4,DATOS!$C$72),TABLAS!$B$52:$B$58,0)+0,7)),IF(AND(CK17&gt;=0,IF(MAX(DATOS!$C$74,CEILING(CK17/INDEX(TABLAS!$D$52:$D$58,MIN(MATCH(MAX(4,DATOS!$C$72),TABLAS!$B$52:$B$58,0)+1,7)),1))*INDEX(TABLAS!$D$52:$D$58,MIN(MATCH(MAX(4,DATOS!$C$72),TABLAS!$B$52:$B$58,0)+1,7)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+1,7)),1)),MAX(MAX(DATOS!$C$74,CEILING(CK17/INDEX(TABLAS!$D$52:$D$58,MIN(MATCH(MAX(4,DATOS!$C$72),TABLAS!$B$52:$B$58,0)+1,7)),1)),2))&lt;=MIN(DATOS!$C$73,INT(((DATOS!$C$83-2*AL17)+MAX(DATOS!$C$70,INDEX(TABLAS!$C$52:$C$58,MIN(MATCH(MAX(4,DATOS!$C$72),TABLAS!$B$52:$B$58,0)+1,7))))/(INDEX(TABLAS!$C$52:$C$58,MIN(MATCH(MAX(4,DATOS!$C$72),TABLAS!$B$52:$B$58,0)+1,7))+MAX(DATOS!$C$70,INDEX(TABLAS!$C$52:$C$58,MIN(MATCH(MAX(4,DATOS!$C$72),TABLAS!$B$52:$B$58,0)+1,7))))))),INDEX(TABLAS!$B$52:$B$58,MIN(MATCH(MAX(4,DATOS!$C$72),TABLAS!$B$52:$B$58,0)+1,7)),IF(AND(CK17&gt;=0,IF(MAX(DATOS!$C$74,CEILING(CK17/INDEX(TABLAS!$D$52:$D$58,MIN(MATCH(MAX(4,DATOS!$C$72),TABLAS!$B$52:$B$58,0)+2,7)),1))*INDEX(TABLAS!$D$52:$D$58,MIN(MATCH(MAX(4,DATOS!$C$72),TABLAS!$B$52:$B$58,0)+2,7)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+2,7)),1)),MAX(MAX(DATOS!$C$74,CEILING(CK17/INDEX(TABLAS!$D$52:$D$58,MIN(MATCH(MAX(4,DATOS!$C$72),TABLAS!$B$52:$B$58,0)+2,7)),1)),2))&lt;=MIN(DATOS!$C$73,INT(((DATOS!$C$83-2*AL17)+MAX(DATOS!$C$70,INDEX(TABLAS!$C$52:$C$58,MIN(MATCH(MAX(4,DATOS!$C$72),TABLAS!$B$52:$B$58,0)+2,7))))/(INDEX(TABLAS!$C$52:$C$58,MIN(MATCH(MAX(4,DATOS!$C$72),TABLAS!$B$52:$B$58,0)+2,7))+MAX(DATOS!$C$70,INDEX(TABLAS!$C$52:$C$58,MIN(MATCH(MAX(4,DATOS!$C$72),TABLAS!$B$52:$B$58,0)+2,7))))))),INDEX(TABLAS!$B$52:$B$58,MIN(MATCH(MAX(4,DATOS!$C$72),TABLAS!$B$52:$B$58,0)+2,7)),IF(AND(CK17&gt;=0,IF(MAX(DATOS!$C$74,CEILING(CK17/INDEX(TABLAS!$D$52:$D$58,MIN(MATCH(MAX(4,DATOS!$C$72),TABLAS!$B$52:$B$58,0)+3,7)),1))*INDEX(TABLAS!$D$52:$D$58,MIN(MATCH(MAX(4,DATOS!$C$72),TABLAS!$B$52:$B$58,0)+3,7)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+3,7)),1)),MAX(MAX(DATOS!$C$74,CEILING(CK17/INDEX(TABLAS!$D$52:$D$58,MIN(MATCH(MAX(4,DATOS!$C$72),TABLAS!$B$52:$B$58,0)+3,7)),1)),2))&lt;=MIN(DATOS!$C$73,INT(((DATOS!$C$83-2*AL17)+MAX(DATOS!$C$70,INDEX(TABLAS!$C$52:$C$58,MIN(MATCH(MAX(4,DATOS!$C$72),TABLAS!$B$52:$B$58,0)+3,7))))/(INDEX(TABLAS!$C$52:$C$58,MIN(MATCH(MAX(4,DATOS!$C$72),TABLAS!$B$52:$B$58,0)+3,7))+MAX(DATOS!$C$70,INDEX(TABLAS!$C$52:$C$58,MIN(MATCH(MAX(4,DATOS!$C$72),TABLAS!$B$52:$B$58,0)+3,7))))))),INDEX(TABLAS!$B$52:$B$58,MIN(MATCH(MAX(4,DATOS!$C$72),TABLAS!$B$52:$B$58,0)+3,7)),IF(AND(CK17&gt;=0,IF(MAX(DATOS!$C$74,CEILING(CK17/INDEX(TABLAS!$D$52:$D$58,MIN(MATCH(MAX(4,DATOS!$C$72),TABLAS!$B$52:$B$58,0)+4,7)),1))*INDEX(TABLAS!$D$52:$D$58,MIN(MATCH(MAX(4,DATOS!$C$72),TABLAS!$B$52:$B$58,0)+4,7)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+4,7)),1)),MAX(MAX(DATOS!$C$74,CEILING(CK17/INDEX(TABLAS!$D$52:$D$58,MIN(MATCH(MAX(4,DATOS!$C$72),TABLAS!$B$52:$B$58,0)+4,7)),1)),2))&lt;=MIN(DATOS!$C$73,INT(((DATOS!$C$83-2*AL17)+MAX(DATOS!$C$70,INDEX(TABLAS!$C$52:$C$58,MIN(MATCH(MAX(4,DATOS!$C$72),TABLAS!$B$52:$B$58,0)+4,7))))/(INDEX(TABLAS!$C$52:$C$58,MIN(MATCH(MAX(4,DATOS!$C$72),TABLAS!$B$52:$B$58,0)+4,7))+MAX(DATOS!$C$70,INDEX(TABLAS!$C$52:$C$58,MIN(MATCH(MAX(4,DATOS!$C$72),TABLAS!$B$52:$B$58,0)+4,7))))))),INDEX(TABLAS!$B$52:$B$58,MIN(MATCH(MAX(4,DATOS!$C$72),TABLAS!$B$52:$B$58,0)+4,7)),INDEX(TABLAS!$B$52:$B$58,7)))))))</f>
        <v/>
      </c>
      <c r="CM17" s="59" t="str">
        <f>IF(V17&lt;&gt;"SÍ","",IF(CK17&lt;0,0,IF(MAX(DATOS!$C$74,CEILING(MAX(CK17,0)/INDEX(TABLAS!$D$52:$D$58,MATCH(CL17,TABLAS!$B$52:$B$58,0)),1))*INDEX(TABLAS!$D$52:$D$58,MATCH(CL17,TABLAS!$B$52:$B$58,0))&gt;=4/3*IF(BJ17&lt;=0,0,IF((1-2*BJ17*1E5/(DATOS!$C$29*AG17*CJ17^2*DATOS!$C$21))&lt;0,-1,IF((1-SQRT((1-2*BJ17*1E5/(DATOS!$C$29*AG17*CJ17^2*DATOS!$C$21))))*DATOS!$C$21*AG17*CJ17/DATOS!$C$14&gt;DATOS!$C$102*AG17*CJ17,-1,(1-SQRT((1-2*BJ17*1E5/(DATOS!$C$29*AG17*CJ17^2*DATOS!$C$21))))*DATOS!$C$21*AG17*CJ17/DATOS!$C$14)))-0.0001,MAX(DATOS!$C$74,CEILING(MAX(CK17,0)/INDEX(TABLAS!$D$52:$D$58,MATCH(CL17,TABLAS!$B$52:$B$58,0)),1)),MAX(MAX(DATOS!$C$74,CEILING(MAX(CK17,0)/INDEX(TABLAS!$D$52:$D$58,MATCH(CL17,TABLAS!$B$52:$B$58,0)),1)),2))))</f>
        <v/>
      </c>
      <c r="CN17" s="58" t="str">
        <f>IF(V17&lt;&gt;"SÍ","",((DATOS!$C$85-AM17-2*DATOS!$C$97-INDEX(TABLAS!$C$52:$C$58,MATCH(BV17,TABLAS!$B$52:$B$58,0))-INDEX(TABLAS!$C$52:$C$58,MATCH(CL17,TABLAS!$B$52:$B$58,0))/2)-IF(AND((DATOS!$C$85-AM17-2*DATOS!$C$97-INDEX(TABLAS!$C$52:$C$58,MATCH(BV17,TABLAS!$B$52:$B$58,0))-INDEX(TABLAS!$C$52:$C$58,MATCH(CL17,TABLAS!$B$52:$B$58,0))/2)&lt;=20,DATOS!$C$65&lt;&gt;"SÍ"),2,0)))</f>
        <v/>
      </c>
      <c r="CO17" s="56" t="str">
        <f>IF(V17&lt;&gt;"SÍ","",IF(CM17=0,0,DATOS!$C$29*CM17*INDEX(TABLAS!$D$52:$D$58,MATCH(CL17,TABLAS!$B$52:$B$58,0))*DATOS!$C$14*(CN17-CM17*INDEX(TABLAS!$D$52:$D$58,MATCH(CL17,TABLAS!$B$52:$B$58,0))*DATOS!$C$14/(DATOS!$C$21*AG17)/2)/1E5))</f>
        <v/>
      </c>
      <c r="CP17" s="65" t="str">
        <f>IF(V17&lt;&gt;"SÍ","",IF(CK17&lt;0,9.99,IF(CO17&gt;0,BJ17/CO17,0)))</f>
        <v/>
      </c>
      <c r="CQ17" s="66" t="str">
        <f>IF(V17&lt;&gt;"SÍ","",IF(CM17=0,"—",0.003*(CN17-(CM17*INDEX(TABLAS!$D$52:$D$58,MATCH(CL17,TABLAS!$B$52:$B$58,0))*DATOS!$C$14/(DATOS!$C$21*AG17)/DATOS!$C$22))/(CM17*INDEX(TABLAS!$D$52:$D$58,MATCH(CL17,TABLAS!$B$52:$B$58,0))*DATOS!$C$14/(DATOS!$C$21*AG17)/DATOS!$C$22)))</f>
        <v/>
      </c>
      <c r="CR17" s="56" t="str">
        <f>IF(V17&lt;&gt;"SÍ","",IF(C17="PERIMETRAL",MAX(0,(AB17/2-BX17)/100)*(0.95-0.5*AA17)*AR17*IF(AND(AS17&gt;0,AS17&lt;4),DATOS!$C$33,1)*DATOS!$C$86/100/1000,(AR17*MAX(0,AB17-BX17)/100+DATOS!$C$26*N(O17))*DATOS!$C$86/100/1000+BF17))</f>
        <v/>
      </c>
      <c r="CS17" s="56" t="str">
        <f>IF(V17&lt;&gt;"SÍ","",DATOS!$C$30*2*MIN(1,SQRT(2/(1+0.04*BX17)))*(BW17*INDEX(TABLAS!$D$52:$D$58,MATCH(BV17,TABLAS!$B$52:$B$58,0))/(AF17*BX17))^(1/3)*SQRT(DATOS!$C$13)*AF17*BX17*IF(AJ17="SÍ",DATOS!$C$32,1)/1000)</f>
        <v/>
      </c>
      <c r="CT17" s="59" t="str">
        <f>IF(V17&lt;&gt;"SÍ","",IF(CR17&lt;=CS17,0,CEILING(MAX(0,IF(C17="VOLADO",(AB17-((CS17-BF17)*1E5/DATOS!$C$86-DATOS!$C$26*N(O17))*100/AR17),IF(CS17&lt;=0,AB17,AB17/2-CS17/MAX(CR17,1E-9)*(AB17/2-BX17)))-IF(X17="X",MIN(DJ17,DK17),MIN(DL17,DM17)))/DATOS!$C$86,1)))</f>
        <v/>
      </c>
      <c r="CU17" s="67" t="str">
        <f>IF(V17&lt;&gt;"SÍ","",IF(CR17&lt;=CS17,"CUMPLE",IF(CT17&lt;=0,"CUMPLE (basta el macizo de orilla)",IF(CT17*DATOS!$C$86*IF(C17="VOLADO",1,2)&gt;=Y17*100-DATOS!$C$87,"NO CUMPLE: no alcanza ni macizando todo","MACIZAR "&amp;CT17&amp;" hilera(s)"))))</f>
        <v/>
      </c>
      <c r="CV17" s="58" t="str">
        <f>IF(V17&lt;&gt;"SÍ","",(DATOS!$C$86*DATOS!$C$84^2/2+MIN(DATOS!$C$83,AD17)*DATOS!$C$82*(DATOS!$C$84+DATOS!$C$82/2))/(DATOS!$C$86*DATOS!$C$84+MIN(DATOS!$C$83,AD17)*DATOS!$C$82))</f>
        <v/>
      </c>
      <c r="CW17" s="68" t="str">
        <f>IF(V17&lt;&gt;"SÍ","",DATOS!$C$86*DATOS!$C$84^3/12+DATOS!$C$86*DATOS!$C$84*(CV17-DATOS!$C$84/2)^2+MIN(DATOS!$C$83,AD17)*DATOS!$C$82^3/12+MIN(DATOS!$C$83,AD17)*DATOS!$C$82*(DATOS!$C$84+DATOS!$C$82/2-CV17)^2)</f>
        <v/>
      </c>
      <c r="CX17" s="58" t="str">
        <f>IF(V17&lt;&gt;"SÍ","",(12*CW17/DATOS!$C$86)^(1/3))</f>
        <v/>
      </c>
      <c r="CY17" s="58" t="str">
        <f>IF(V17&lt;&gt;"SÍ","",IF(C17="PERIMETRAL",IF(ISNUMBER(S17),S17,DATOS!$C$104),0))</f>
        <v/>
      </c>
      <c r="CZ17" s="57" t="str">
        <f>IF(V17&lt;&gt;"SÍ","",IF(C17="PERIMETRAL",IF(CY17&gt;2,MAX(9,AC17*(0.8+DATOS!$C$14/14000)/(36+9*(AC17/MAX(AB17,1)))),IF(CY17&gt;0.2,MAX(13,AC17*(0.8+DATOS!$C$14/14000)/(36+5*(AC17/MAX(AB17,1))*(CY17-0.2))),MAX(13,AC17/IF(AS17&gt;0,30,33))))*IF(AND(CY17&gt;0.2,AS17&gt;0,DATOS!$C$105="NO"),1.1,1),MAX(25,Y17*100/8*(0.4+DATOS!$C$14/7000))))</f>
        <v/>
      </c>
      <c r="DA17" s="61" t="str">
        <f>IF(V17&lt;&gt;"SÍ","",IF(IF(C17="VOLADO",DATOS!$C$85,CX17)&gt;=CZ17,"CUMPLE",IF(C17="VOLADO","NO CUMPLE","CALCULAR FLECHA")))</f>
        <v/>
      </c>
      <c r="DB17" s="55" t="str">
        <f>IF(V17&lt;&gt;"SÍ","",IF(DATOS!$C$84&gt;=IF(IF(C17="VOLADO",Y17,Z17)&gt;=6,6,5),"CUMPLE","CAPA ≥ 6 cm"))</f>
        <v/>
      </c>
      <c r="DC17" s="60" t="str">
        <f>IF(V17&lt;&gt;"SÍ","",IF(C17="VOLADO",MIN(FLOOR(IF(ISNUMBER(P17),P17,Y17)*100-DATOS!$C$63,5),CEILING(MAX(IF((0.5*(0.9*DATOS!$C$90*DATOS!$C$86/100/1000)*IF(ISNUMBER(P17),P17,Y17)+BH17/IF(ISNUMBER(P17),P17,Y17))^2-4*(0.5*(0.9*DATOS!$C$90*DATOS!$C$86/100/1000))*BH17&lt;0,IF(ISNUMBER(P17),P17,Y17),MIN(IF(ISNUMBER(P17),P17,Y17),((0.5*(0.9*DATOS!$C$90*DATOS!$C$86/100/1000)*IF(ISNUMBER(P17),P17,Y17)+BH17/IF(ISNUMBER(P17),P17,Y17))-SQRT((0.5*(0.9*DATOS!$C$90*DATOS!$C$86/100/1000)*IF(ISNUMBER(P17),P17,Y17)+BH17/IF(ISNUMBER(P17),P17,Y17))^2-4*(0.5*(0.9*DATOS!$C$90*DATOS!$C$86/100/1000))*BH17))/(2*(0.5*(0.9*DATOS!$C$90*DATOS!$C$86/100/1000)))))*100+MAX(BX17,12*INDEX(TABLAS!$C$52:$C$58,MATCH(BV17,TABLAS!$B$52:$B$58,0)),IF(ISNUMBER(P17),P17,Y17)*100/16),IF(OR(AL17&lt;INDEX(TABLAS!$C$52:$C$58,MATCH(BV17,TABLAS!$B$52:$B$58,0)),AND(BW17&gt;=2,(AD17-2*AL17-BW17*INDEX(TABLAS!$C$52:$C$58,MATCH(BV17,TABLAS!$B$52:$B$58,0)))/MAX(BW17-1,1)&lt;2*INDEX(TABLAS!$C$52:$C$58,MATCH(BV17,TABLAS!$B$52:$B$58,0)))),INDEX(TABLAS!$I$52:$I$58,MATCH(BV17,TABLAS!$B$52:$B$58,0)),INDEX(TABLAS!$F$52:$F$58,MATCH(BV17,TABLAS!$B$52:$B$58,0)))),5)),IF(((4*((BC17*AR17*Y17^2*1E-4*DATOS!$C$86/100/1000)+((MAX(AY17,BA17)*AR17*Y17^2*1E-4*DATOS!$C$86/100/1000)+(IF(AND(AY17&gt;0,BA17&gt;0),MIN(AY17,BA17),MAX(AY17,BA17))*AR17*Y17^2*1E-4*DATOS!$C$86/100/1000))/2)+BH17-(IF(AND(AY17&gt;0,BA17&gt;0),MIN(AY17,BA17),MAX(AY17,BA17))*AR17*Y17^2*1E-4*DATOS!$C$86/100/1000))^2-16*((BC17*AR17*Y17^2*1E-4*DATOS!$C$86/100/1000)+((MAX(AY17,BA17)*AR17*Y17^2*1E-4*DATOS!$C$86/100/1000)+(IF(AND(AY17&gt;0,BA17&gt;0),MIN(AY17,BA17),MAX(AY17,BA17))*AR17*Y17^2*1E-4*DATOS!$C$86/100/1000))/2)*BH17)&lt;0,CEILING(AB17,5),CEILING(MAX(AB17*((4*((BC17*AR17*Y17^2*1E-4*DATOS!$C$86/100/1000)+((MAX(AY17,BA17)*AR17*Y17^2*1E-4*DATOS!$C$86/100/1000)+(IF(AND(AY17&gt;0,BA17&gt;0),MIN(AY17,BA17),MAX(AY17,BA17))*AR17*Y17^2*1E-4*DATOS!$C$86/100/1000))/2)+BH17-(IF(AND(AY17&gt;0,BA17&gt;0),MIN(AY17,BA17),MAX(AY17,BA17))*AR17*Y17^2*1E-4*DATOS!$C$86/100/1000))-SQRT(MAX(0,((4*((BC17*AR17*Y17^2*1E-4*DATOS!$C$86/100/1000)+((MAX(AY17,BA17)*AR17*Y17^2*1E-4*DATOS!$C$86/100/1000)+(IF(AND(AY17&gt;0,BA17&gt;0),MIN(AY17,BA17),MAX(AY17,BA17))*AR17*Y17^2*1E-4*DATOS!$C$86/100/1000))/2)+BH17-(IF(AND(AY17&gt;0,BA17&gt;0),MIN(AY17,BA17),MAX(AY17,BA17))*AR17*Y17^2*1E-4*DATOS!$C$86/100/1000))^2-16*((BC17*AR17*Y17^2*1E-4*DATOS!$C$86/100/1000)+((MAX(AY17,BA17)*AR17*Y17^2*1E-4*DATOS!$C$86/100/1000)+(IF(AND(AY17&gt;0,BA17&gt;0),MIN(AY17,BA17),MAX(AY17,BA17))*AR17*Y17^2*1E-4*DATOS!$C$86/100/1000))/2)*BH17))))/(8*MAX(((BC17*AR17*Y17^2*1E-4*DATOS!$C$86/100/1000)+((MAX(AY17,BA17)*AR17*Y17^2*1E-4*DATOS!$C$86/100/1000)+(IF(AND(AY17&gt;0,BA17&gt;0),MIN(AY17,BA17),MAX(AY17,BA17))*AR17*Y17^2*1E-4*DATOS!$C$86/100/1000))/2),1E-9))+MAX(BX17,12*INDEX(TABLAS!$C$52:$C$58,MATCH(BV17,TABLAS!$B$52:$B$58,0)),AB17/16),IF(OR(AL17&lt;INDEX(TABLAS!$C$52:$C$58,MATCH(BV17,TABLAS!$B$52:$B$58,0)),AND(BW17&gt;=2,(AD17-2*AL17-BW17*INDEX(TABLAS!$C$52:$C$58,MATCH(BV17,TABLAS!$B$52:$B$58,0)))/MAX(BW17-1,1)&lt;2*INDEX(TABLAS!$C$52:$C$58,MATCH(BV17,TABLAS!$B$52:$B$58,0)))),INDEX(TABLAS!$I$52:$I$58,MATCH(BV17,TABLAS!$B$52:$B$58,0)),INDEX(TABLAS!$F$52:$F$58,MATCH(BV17,TABLAS!$B$52:$B$58,0)))),5))))</f>
        <v/>
      </c>
      <c r="DD17" s="60" t="str">
        <f>IF(V17&lt;&gt;"SÍ","",IF(C17="VOLADO",0,IF(((4*((BD17*AR17*Y17^2*1E-4*DATOS!$C$86/100/1000)+((MAX(AZ17,BB17)*AR17*Y17^2*1E-4*DATOS!$C$86/100/1000)+(IF(AND(AZ17&gt;0,BB17&gt;0),MIN(AZ17,BB17),MAX(AZ17,BB17))*AR17*Y17^2*1E-4*DATOS!$C$86/100/1000))/2)+BJ17-(IF(AND(AZ17&gt;0,BB17&gt;0),MIN(AZ17,BB17),MAX(AZ17,BB17))*AR17*Y17^2*1E-4*DATOS!$C$86/100/1000))^2-16*((BD17*AR17*Y17^2*1E-4*DATOS!$C$86/100/1000)+((MAX(AZ17,BB17)*AR17*Y17^2*1E-4*DATOS!$C$86/100/1000)+(IF(AND(AZ17&gt;0,BB17&gt;0),MIN(AZ17,BB17),MAX(AZ17,BB17))*AR17*Y17^2*1E-4*DATOS!$C$86/100/1000))/2)*BJ17)&lt;0,CEILING(AC17,5),CEILING(MAX(AC17*((4*((BD17*AR17*Y17^2*1E-4*DATOS!$C$86/100/1000)+((MAX(AZ17,BB17)*AR17*Y17^2*1E-4*DATOS!$C$86/100/1000)+(IF(AND(AZ17&gt;0,BB17&gt;0),MIN(AZ17,BB17),MAX(AZ17,BB17))*AR17*Y17^2*1E-4*DATOS!$C$86/100/1000))/2)+BJ17-(IF(AND(AZ17&gt;0,BB17&gt;0),MIN(AZ17,BB17),MAX(AZ17,BB17))*AR17*Y17^2*1E-4*DATOS!$C$86/100/1000))-SQRT(MAX(0,((4*((BD17*AR17*Y17^2*1E-4*DATOS!$C$86/100/1000)+((MAX(AZ17,BB17)*AR17*Y17^2*1E-4*DATOS!$C$86/100/1000)+(IF(AND(AZ17&gt;0,BB17&gt;0),MIN(AZ17,BB17),MAX(AZ17,BB17))*AR17*Y17^2*1E-4*DATOS!$C$86/100/1000))/2)+BJ17-(IF(AND(AZ17&gt;0,BB17&gt;0),MIN(AZ17,BB17),MAX(AZ17,BB17))*AR17*Y17^2*1E-4*DATOS!$C$86/100/1000))^2-16*((BD17*AR17*Y17^2*1E-4*DATOS!$C$86/100/1000)+((MAX(AZ17,BB17)*AR17*Y17^2*1E-4*DATOS!$C$86/100/1000)+(IF(AND(AZ17&gt;0,BB17&gt;0),MIN(AZ17,BB17),MAX(AZ17,BB17))*AR17*Y17^2*1E-4*DATOS!$C$86/100/1000))/2)*BJ17))))/(8*MAX(((BD17*AR17*Y17^2*1E-4*DATOS!$C$86/100/1000)+((MAX(AZ17,BB17)*AR17*Y17^2*1E-4*DATOS!$C$86/100/1000)+(IF(AND(AZ17&gt;0,BB17&gt;0),MIN(AZ17,BB17),MAX(AZ17,BB17))*AR17*Y17^2*1E-4*DATOS!$C$86/100/1000))/2),1E-9))+MAX(CN17,12*INDEX(TABLAS!$C$52:$C$58,MATCH(CL17,TABLAS!$B$52:$B$58,0)),AC17/16),IF(OR(AL17&lt;INDEX(TABLAS!$C$52:$C$58,MATCH(CL17,TABLAS!$B$52:$B$58,0)),AND(CM17&gt;=2,(DATOS!$C$83-2*AL17-CM17*INDEX(TABLAS!$C$52:$C$58,MATCH(CL17,TABLAS!$B$52:$B$58,0)))/MAX(CM17-1,1)&lt;2*INDEX(TABLAS!$C$52:$C$58,MATCH(CL17,TABLAS!$B$52:$B$58,0)))),INDEX(TABLAS!$I$52:$I$58,MATCH(CL17,TABLAS!$B$52:$B$58,0)),INDEX(TABLAS!$F$52:$F$58,MATCH(CL17,TABLAS!$B$52:$B$58,0)))),5))))</f>
        <v/>
      </c>
      <c r="DE17" s="55" t="str">
        <f>IF(V17&lt;&gt;"SÍ","",IF(AND(C17="PERIMETRAL",BW17&gt;=2,AS17-AT17&gt;0,BA17*AR17*Y17^2*1E-4*DATOS!$C$86/100/1000&gt;DATOS!$C$29*INDEX(TABLAS!$D$52:$D$58,MATCH(BV17,TABLAS!$B$52:$B$58,0))*DATOS!$C$14*(BX17-INDEX(TABLAS!$D$52:$D$58,MATCH(BV17,TABLAS!$B$52:$B$58,0))*DATOS!$C$14/(DATOS!$C$21*AF17)/2)/1E5),"SÍ","NO"))</f>
        <v/>
      </c>
      <c r="DF17" s="55" t="str">
        <f>IF(V17&lt;&gt;"SÍ","",IF(AND(C17="PERIMETRAL",CM17&gt;=2,AT17&gt;0,BB17*AR17*Y17^2*1E-4*DATOS!$C$86/100/1000&gt;DATOS!$C$29*INDEX(TABLAS!$D$52:$D$58,MATCH(CL17,TABLAS!$B$52:$B$58,0))*DATOS!$C$14*(CN17-INDEX(TABLAS!$D$52:$D$58,MATCH(CL17,TABLAS!$B$52:$B$58,0))*DATOS!$C$14/(DATOS!$C$21*AG17)/2)/1E5),"SÍ","NO"))</f>
        <v/>
      </c>
      <c r="DG17" s="63" t="str">
        <f>IF(V17&lt;&gt;"SÍ","",IF(OR(C17="VOLADO",AS17=0),"—",IF(AND(AND(1.25*INDEX(TABLAS!$G$52:$G$58,MATCH(MAX(BN17,CD17),TABLAS!$B$52:$B$58,0))&lt;=(DATOS!$C$75-DATOS!$C$63),(DATOS!$C$75-DATOS!$C$63)&gt;=15,INDEX(TABLAS!$G$52:$G$58,MATCH(MAX(BV17,CL17),TABLAS!$B$52:$B$58,0))&lt;=(DATOS!$C$75-DATOS!$C$63)),8*INDEX(TABLAS!$C$52:$C$58,MATCH(MAX(MAX(BN17,CD17),MAX(BV17,CL17)),TABLAS!$B$52:$B$58,0))&lt;=DATOS!$C$76-2*DATOS!$C$63),"CUMPLE (gancho de 180°)",IF(AND(1.25*INDEX(TABLAS!$G$52:$G$58,MATCH(MAX(BN17,CD17),TABLAS!$B$52:$B$58,0))&lt;=(DATOS!$C$75-DATOS!$C$63),(DATOS!$C$75-DATOS!$C$63)&gt;=15,INDEX(TABLAS!$G$52:$G$58,MATCH(MAX(BV17,CL17),TABLAS!$B$52:$B$58,0))&lt;=(DATOS!$C$75-DATOS!$C$63)),"NO CUMPLE: el gancho de 180° (8·d_b) no cabe en el peralte de la dala de borde","NO CUMPLE: dala de borde ≥ "&amp;TEXT(CEILING(MAX(1.25*INDEX(TABLAS!$G$52:$G$58,MATCH(MAX(BN17,CD17),TABLAS!$B$52:$B$58,0)),15,INDEX(TABLAS!$G$52:$G$58,MATCH(MAX(BV17,CL17),TABLAS!$B$52:$B$58,0)))+DATOS!$C$63,5),"0")&amp;" cm de ancho"&amp;IF(8*INDEX(TABLAS!$C$52:$C$58,MATCH(MAX(MAX(BN17,CD17),MAX(BV17,CL17)),TABLAS!$B$52:$B$58,0))&lt;=DATOS!$C$76-2*DATOS!$C$63,""," y más peralte para el gancho")))))</f>
        <v/>
      </c>
      <c r="DH17" s="59" t="str">
        <f>IF(V17&lt;&gt;"SÍ","",MAX(0,INT((E17*100-DATOS!$C$87-IF(AND(C17="PERIMETRAL",I17="DISCONTINUO"),MAX(0,DATOS!$C$75-DATOS!$C$87),0)-IF(AND(C17="PERIMETRAL",J17="DISCONTINUO"),MAX(0,DATOS!$C$75-DATOS!$C$87),0)+DATOS!$C$86-IF(X17="X",DATOS!$C$81,AE17))/DATOS!$C$86)))</f>
        <v/>
      </c>
      <c r="DI17" s="59" t="str">
        <f>IF(V17&lt;&gt;"SÍ","",MAX(0,INT((F17*100-DATOS!$C$87-IF(AND(C17="PERIMETRAL",G17="DISCONTINUO"),MAX(0,DATOS!$C$75-DATOS!$C$87),0)-IF(AND(C17="PERIMETRAL",H17="DISCONTINUO"),MAX(0,DATOS!$C$75-DATOS!$C$87),0)+DATOS!$C$86-IF(X17="Y",DATOS!$C$81,AE17))/DATOS!$C$86)))</f>
        <v/>
      </c>
      <c r="DJ17" s="57" t="str">
        <f>IF(V17&lt;&gt;"SÍ","",IF(DH17&gt;0,IF(AND(C17="PERIMETRAL",I17="DISCONTINUO"),MAX(0,DATOS!$C$75-DATOS!$C$87),0)+(E17*100-DATOS!$C$87-IF(AND(C17="PERIMETRAL",I17="DISCONTINUO"),MAX(0,DATOS!$C$75-DATOS!$C$87),0)-IF(AND(C17="PERIMETRAL",J17="DISCONTINUO"),MAX(0,DATOS!$C$75-DATOS!$C$87),0)-(DH17*IF(X17="X",DATOS!$C$81,AE17)+(DH17-1)*(DATOS!$C$86-IF(X17="X",DATOS!$C$81,AE17))))/2,E17*100/2))</f>
        <v/>
      </c>
      <c r="DK17" s="57" t="str">
        <f>IF(V17&lt;&gt;"SÍ","",IF(DH17&gt;0,IF(AND(C17="PERIMETRAL",J17="DISCONTINUO"),MAX(0,DATOS!$C$75-DATOS!$C$87),0)+(E17*100-DATOS!$C$87-IF(AND(C17="PERIMETRAL",I17="DISCONTINUO"),MAX(0,DATOS!$C$75-DATOS!$C$87),0)-IF(AND(C17="PERIMETRAL",J17="DISCONTINUO"),MAX(0,DATOS!$C$75-DATOS!$C$87),0)-(DH17*IF(X17="X",DATOS!$C$81,AE17)+(DH17-1)*(DATOS!$C$86-IF(X17="X",DATOS!$C$81,AE17))))/2,E17*100/2))</f>
        <v/>
      </c>
      <c r="DL17" s="57" t="str">
        <f>IF(V17&lt;&gt;"SÍ","",IF(DI17&gt;0,IF(AND(C17="PERIMETRAL",G17="DISCONTINUO"),MAX(0,DATOS!$C$75-DATOS!$C$87),0)+(F17*100-DATOS!$C$87-IF(AND(C17="PERIMETRAL",G17="DISCONTINUO"),MAX(0,DATOS!$C$75-DATOS!$C$87),0)-IF(AND(C17="PERIMETRAL",H17="DISCONTINUO"),MAX(0,DATOS!$C$75-DATOS!$C$87),0)-(DI17*IF(X17="Y",DATOS!$C$81,AE17)+(DI17-1)*(DATOS!$C$86-IF(X17="Y",DATOS!$C$81,AE17))))/2,F17*100/2))</f>
        <v/>
      </c>
      <c r="DM17" s="57" t="str">
        <f>IF(V17&lt;&gt;"SÍ","",IF(DI17&gt;0,IF(AND(C17="PERIMETRAL",H17="DISCONTINUO"),MAX(0,DATOS!$C$75-DATOS!$C$87),0)+(F17*100-DATOS!$C$87-IF(AND(C17="PERIMETRAL",G17="DISCONTINUO"),MAX(0,DATOS!$C$75-DATOS!$C$87),0)-IF(AND(C17="PERIMETRAL",H17="DISCONTINUO"),MAX(0,DATOS!$C$75-DATOS!$C$87),0)-(DI17*IF(X17="Y",DATOS!$C$81,AE17)+(DI17-1)*(DATOS!$C$86-IF(X17="Y",DATOS!$C$81,AE17))))/2,F17*100/2))</f>
        <v/>
      </c>
      <c r="DN17" s="59" t="str">
        <f>IF(V17&lt;&gt;"SÍ","",IF(NOT(AND(C17="VOLADO",AD17&gt;DATOS!$C$83)),0,IF(INDEX(TABLAS!$C$52:$C$58,MATCH(BV17,TABLAS!$B$52:$B$58,0))&lt;=DATOS!$C$83-2*DATOS!$C$63,1,0)))</f>
        <v/>
      </c>
      <c r="DO17" s="58" t="str">
        <f>IF(V17&lt;&gt;"SÍ","",IF(NOT(AND(C17="VOLADO",AD17&gt;DATOS!$C$83)),0,((DATOS!$C$85-MAX(DATOS!$C$63,(DATOS!$C$84-2*DATOS!$C$97)/2)-2*DATOS!$C$97-INDEX(TABLAS!$C$52:$C$58,MATCH(MAX(4,DATOS!$C$72),TABLAS!$B$52:$B$58,0))-INDEX(TABLAS!$C$52:$C$58,MATCH(BV17,TABLAS!$B$52:$B$58,0))/2)-IF(AND((DATOS!$C$85-MAX(DATOS!$C$63,(DATOS!$C$84-2*DATOS!$C$97)/2)-2*DATOS!$C$97-INDEX(TABLAS!$C$52:$C$58,MATCH(MAX(4,DATOS!$C$72),TABLAS!$B$52:$B$58,0))-INDEX(TABLAS!$C$52:$C$58,MATCH(BV17,TABLAS!$B$52:$B$58,0))/2)&lt;=20,DATOS!$C$65&lt;&gt;"SÍ"),2,0))))</f>
        <v/>
      </c>
      <c r="DP17" s="56" t="str">
        <f>IF(V17&lt;&gt;"SÍ","",IF(OR(NOT(AND(C17="VOLADO",AD17&gt;DATOS!$C$83)),DN17&lt;1),0,IF(0.003*(DO17-((DN17*INDEX(TABLAS!$D$52:$D$58,MATCH(BV17,TABLAS!$B$52:$B$58,0)))*DATOS!$C$14/(DATOS!$C$21*AG17)/DATOS!$C$22))/((DN17*INDEX(TABLAS!$D$52:$D$58,MATCH(BV17,TABLAS!$B$52:$B$58,0)))*DATOS!$C$14/(DATOS!$C$21*AG17)/DATOS!$C$22)&lt;0.005,0,DATOS!$C$29*(DN17*INDEX(TABLAS!$D$52:$D$58,MATCH(BV17,TABLAS!$B$52:$B$58,0)))*DATOS!$C$14*(DO17-(DN17*INDEX(TABLAS!$D$52:$D$58,MATCH(BV17,TABLAS!$B$52:$B$58,0)))*DATOS!$C$14/(DATOS!$C$21*AG17)/2)/1E5)))</f>
        <v/>
      </c>
      <c r="DQ17" s="56" t="str">
        <f>IF(V17&lt;&gt;"SÍ","",IF(OR(NOT(AND(C17="VOLADO",AD17&gt;DATOS!$C$83)),DN17&lt;1),0,DATOS!$C$30*2*MIN(1,SQRT(2/(1+0.04*DO17)))*((DN17*INDEX(TABLAS!$D$52:$D$58,MATCH(BV17,TABLAS!$B$52:$B$58,0)))/(AG17*DO17))^(1/3)*SQRT(DATOS!$C$13)*AG17*DO17/1000))</f>
        <v/>
      </c>
      <c r="DR17" s="56" t="str">
        <f>IF(V17&lt;&gt;"SÍ","",IF(NOT(AND(C17="VOLADO",AD17&gt;DATOS!$C$83)),0,IF((BH17-DP17)&lt;=0,0,IF(DP17&lt;=0,IF(ISNUMBER(P17),P17,Y17),IF(((0.9*DATOS!$C$90*DATOS!$C$86/100/1000)*IF(ISNUMBER(P17),P17,Y17)/2+BH17/IF(ISNUMBER(P17),P17,Y17))^2-4*((0.9*DATOS!$C$90*DATOS!$C$86/100/1000)/2)*(BH17-DP17)&lt;0,IF(ISNUMBER(P17),P17,Y17),MIN(IF(ISNUMBER(P17),P17,Y17),(((0.9*DATOS!$C$90*DATOS!$C$86/100/1000)*IF(ISNUMBER(P17),P17,Y17)/2+BH17/IF(ISNUMBER(P17),P17,Y17))-SQRT(((0.9*DATOS!$C$90*DATOS!$C$86/100/1000)*IF(ISNUMBER(P17),P17,Y17)/2+BH17/IF(ISNUMBER(P17),P17,Y17))^2-4*((0.9*DATOS!$C$90*DATOS!$C$86/100/1000)/2)*(BH17-DP17)))/(2*((0.9*DATOS!$C$90*DATOS!$C$86/100/1000)/2))))))))</f>
        <v/>
      </c>
      <c r="DS17" s="56" t="str">
        <f>IF(V17&lt;&gt;"SÍ","",IF(NOT(AND(C17="VOLADO",AD17&gt;DATOS!$C$83)),0,IF(DQ17&lt;=(BH17/((IF(ISNUMBER(P17),P17,Y17)*100-DATOS!$C$87)/100)),IF(ISNUMBER(P17),P17,Y17),MIN(IF(ISNUMBER(P17),P17,Y17),MAX(0,(IF(ISNUMBER(P17),P17,Y17)*100-DATOS!$C$87)/200-(DQ17-(BH17/((IF(ISNUMBER(P17),P17,Y17)*100-DATOS!$C$87)/100)))/((0.95-0.5*IF(N(Q17)&gt;0,MIN(IF(ISNUMBER(P17),P17,Y17),Q17)/MAX(IF(ISNUMBER(P17),P17,Y17),Q17),0))*DATOS!$C$33*AR17*DATOS!$C$86/100/1000))))))</f>
        <v/>
      </c>
      <c r="DT17" s="56" t="str">
        <f>IF(V17&lt;&gt;"SÍ","",IF(NOT(AND(C17="VOLADO",AD17&gt;DATOS!$C$83)),0,(BH17/((IF(ISNUMBER(P17),P17,Y17)*100-DATOS!$C$87)/100))+((0.95-0.5*IF(N(Q17)&gt;0,MIN(IF(ISNUMBER(P17),P17,Y17),Q17)/MAX(IF(ISNUMBER(P17),P17,Y17),Q17),0))*DATOS!$C$33*AR17*DATOS!$C$86/100/1000)*MAX(0,(IF(ISNUMBER(P17),P17,Y17)*100-DATOS!$C$87)/200-BX17/100)))</f>
        <v/>
      </c>
      <c r="DU17" s="59" t="str">
        <f>IF(V17&lt;&gt;"SÍ","",IF(NOT(AND(C17="VOLADO",AD17&gt;DATOS!$C$83)),0,MIN(FLOOR(100*IF(ISNUMBER(P17),P17,Y17)-DATOS!$C$63,5),CEILING(100*MIN(IF(ISNUMBER(P17),P17,Y17),MAX(IF(DR17&gt;0,DR17+IF(BW17&gt;=2,MAX(DO17,12*INDEX(TABLAS!$C$52:$C$58,MATCH(BV17,TABLAS!$B$52:$B$58,0)))/100,0),0),DS17,IF(BW17&gt;=2,INDEX(TABLAS!$F$52:$F$58,MATCH(BV17,TABLAS!$B$52:$B$58,0))/100,0))),5))))</f>
        <v/>
      </c>
      <c r="DV17" s="60" t="str">
        <f>IF(V17&lt;&gt;"SÍ","",IF(NOT(AND(C17="VOLADO",AD17&gt;DATOS!$C$83)),0,IF(DU17&lt;=0,0,CEILING(DU17/DATOS!$C$86,1))))</f>
        <v/>
      </c>
      <c r="DW17" s="61" t="str">
        <f>IF(V17&lt;&gt;"SÍ","",IF(C17&lt;&gt;"VOLADO","—",IF(AD17&lt;=DATOS!$C$83,"— (mismo b_w que el respaldo)",IF(DT17&gt;CS17,"NO CUMPLE: cortante de la nervadura ancha junto al apoyo ("&amp;TEXT(DT17,"0.00")&amp;" &gt; "&amp;TEXT(CS17,"0.00")&amp;" t)",IF(DU17&gt;=100*IF(ISNUMBER(P17),P17,Y17),"CUMPLE — todas las nervaduras del respaldo ‖ al volado con b_w = "&amp;AD17&amp;" cm","CUMPLE — "&amp;DV17&amp;" hilera(s) del respaldo con nervaduras de b_w = "&amp;AD17&amp;" cm (casetón "&amp;AE17&amp;" cm), hasta "&amp;TEXT(DU17/100,"0.00")&amp;" m del paño")))))</f>
        <v/>
      </c>
      <c r="DX17" s="69" t="str">
        <f>IF(V17&lt;&gt;"SÍ","",IF(BO17=0,"NO ALCANZA",BO17&amp;" No. "&amp;BN17&amp;IF(BO17&gt;1," corridas"," corrida")))</f>
        <v/>
      </c>
      <c r="DY17" s="69" t="str">
        <f>IF(V17&lt;&gt;"SÍ","",IF(BW17=0,"NO ALCANZA",IF(AND(C17="VOLADO",AD17&gt;DATOS!$C$83,BW17&gt;=2),"1 No. "&amp;BV17&amp;" corrida de la orilla al respaldo ("&amp;IF(DC17&gt;=FLOOR(100*IF(ISNUMBER(P17),P17,Y17)-DATOS!$C$63,5),"hasta su apoyo lejano, con gancho","entra "&amp;TEXT(DC17/100,"0.00")&amp;" m desde el paño")&amp;") + "&amp;(BW17-1)&amp;" bastón No. "&amp;BV17&amp;" hasta "&amp;TEXT(DU17/100,"0.00")&amp;" m del paño (fin de la nervadura ancha)",IF(C17="VOLADO",BW17&amp;" No. "&amp;BV17&amp;" de la orilla al respaldo ("&amp;IF(DC17&gt;=FLOOR(100*IF(ISNUMBER(P17),P17,Y17)-DATOS!$C$63,5),"hasta su apoyo lejano, con gancho","entran "&amp;TEXT(DC17/100,"0.00")&amp;" m desde el paño")&amp;")","1 No. "&amp;BV17&amp;" corrida"&amp;IF(BW17&gt;1," + "&amp;(BW17-1)&amp;" bastón No. "&amp;BV17&amp;" L = "&amp;TEXT(DC17/100,"0.00")&amp;" m desde el paño","")))))</f>
        <v/>
      </c>
      <c r="DZ17" s="69" t="str">
        <f>IF(V17&lt;&gt;"SÍ","",IF(CE17=0,"NO ALCANZA",CE17&amp;" No. "&amp;CD17&amp;IF(CE17&gt;1," corridas"," corrida")))</f>
        <v/>
      </c>
      <c r="EA17" s="69" t="str">
        <f>IF(V17&lt;&gt;"SÍ","",IF(CM17=0,"NO ALCANZA",IF(C17="VOLADO","1 No. "&amp;CL17&amp;" corrida (repartición)","1 No. "&amp;CL17&amp;" corrida"&amp;IF(CM17&gt;1," + "&amp;(CM17-1)&amp;" bastón No. "&amp;CL17&amp;" L = "&amp;TEXT(DD17/100,"0.00")&amp;" m desde el paño",""))))</f>
        <v/>
      </c>
      <c r="EB17" s="67" t="str">
        <f>IF(B17="","",IF(V17&lt;&gt;"SÍ","FALTAN DATOS: tipo, a_x, a_y, destino y, en volados, L_b",IF(L17="NO MONOLÍTICO (caso II)","FUERA DE ALCANCE: caso II no transcrito",IF(AND(C17="VOLADO",W17="?"),"REVISAR: el volado lleva UN solo borde CONTINUO (el empotrado)",IF(MIN(DH17,DI17)=0,"REVISAR: no cabe un casetón (tablero macizo): diséñalo en MACIZAS",IF(AND(MAX(BR17,BZ17,CH17,CP17)&lt;=1,NOT(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T(OR(AND(ISNUMBER(BS17),BS17&lt;0.005),AND(ISNUMBER(CA17),CA17&lt;0.005),AND(ISNUMBER(CI17),CI17&lt;0.005),AND(ISNUMBER(CQ17),CQ17&lt;0.005))),NOT(LEFT(DW17,2)="NO"),DA17="CUMPLE",DB17="CUMPLE",LEFT(CU17,2)&lt;&gt;"NO",LEFT(DATOS!$C$132,6)="CUMPLE"),IF(LEFT(CU17,6)="CUMPLE","CUMPLE","CUMPLE — "&amp;CU17)&amp;IF(LEFT(BK17,5)="FUERA"," · fuera de 3.4.2.1 c)","")&amp;IF(LEFT(DG17,2)="NO"," · REVISAR anclaje en borde discontinuo","")&amp;IF(DV17&gt;0," · respaldo: "&amp;DV17&amp;" hilera(s) de b_w "&amp;AD17&amp;" cm",""),IF(AND(MAX(BR17,BZ17,CH17,CP17)&lt;=1,NOT(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T(OR(AND(ISNUMBER(BS17),BS17&lt;0.005),AND(ISNUMBER(CA17),CA17&lt;0.005),AND(ISNUMBER(CI17),CI17&lt;0.005),AND(ISNUMBER(CQ17),CQ17&lt;0.005))),NOT(LEFT(DW17,2)="NO"),DA17="CALCULAR FLECHA",LEFT(CU17,2)&lt;&gt;"NO",LEFT(DATOS!$C$132,6)="CUMPLE"),"REVISAR: calcular flecha (h_eq &lt; h mín.)"&amp;IF(LEFT(BK17,5)="FUERA"," · fuera de 3.4.2.1 c)","")&amp;IF(LEFT(DG17,2)="NO"," · REVISAR anclaje en borde discontinuo","")&amp;IF(DV17&gt;0," · respaldo: "&amp;DV17&amp;" hilera(s) de b_w "&amp;AD17&amp;" cm",""),"NO CUMPLE: "&amp;IF(MAX(BR17,BZ17,CH17,CP17)&gt;1,"flexión ","")&amp;IF(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 caben ","")&amp;IF(OR(AND(ISNUMBER(BS17),BS17&lt;0.005),AND(ISNUMBER(CA17),CA17&lt;0.005),AND(ISNUMBER(CI17),CI17&lt;0.005),AND(ISNUMBER(CQ17),CQ17&lt;0.005)),"ε_t &lt; 0.005 ","")&amp;IF(LEFT(CU17,2)="NO","cortante ","")&amp;IF(DA17="NO CUMPLE","peralte ","")&amp;IF(DB17&lt;&gt;"CUMPLE","capa &lt; 6 cm ","")&amp;IF(LEFT(DATOS!$C$132,6)&lt;&gt;"CUMPLE","capa o malla (DATOS sección 7) ","")&amp;IF(LEFT(DW17,2)="NO","respaldo del volado",""))))))))</f>
        <v/>
      </c>
      <c r="EC17" s="70" t="str">
        <f>IF(V17&lt;&gt;"SÍ","",IF(LEFT(B17,7)="EJEMPLO","EJEMPLO de la hoja de Casa Rocha: bórralo o sobrescríbelo. ","")&amp;IF(AND(C17="PERIMETRAL",MIN(DH17,DI17)=0),"No cabe un casetón en el claro corto: es un tablero macizo, diséñalo en MACIZAS. ","")&amp;IF(AND(AJ17="NO",C17="PERIMETRAL"),"No cumple 6.7.8.1.4 (a_c = "&amp;MAX(DATOS!$C$81,AE17)&amp;" cm &gt; claro corto/6 = "&amp;TEXT(Y17*100/6,"0")&amp;" cm): se diseña como losa apoyada en vigas (6.7.8.1.9): r de viga = "&amp;DATOS!$C$63&amp;" cm y V_cR sin ×1.1. Para que cuente como encasetonada: casetón de "&amp;TEXT(FLOOR(MIN(80,Y17*100/6),1),"0")&amp;" cm o menor. ","")&amp;IF(C17="VOLADO","Volado de "&amp;TEXT(Y17,"0.00")&amp;" m empotrado en el borde "&amp;LOWER(W17)&amp;IF(N(O17)&gt;0,", con "&amp;TEXT(O17,"0.0")&amp;" kg/m en la orilla","")&amp;". Lecho inferior con r_ext. Si la orilla carga pretil u otro elemento frágil, calcula la flecha (13.4). El acero superior entra al respaldo de "&amp;TEXT(IF(ISNUMBER(P17),P17,Y17),"0.00")&amp;" m"&amp;" hasta pasar M = 0 con 0.9·PP sin carga viva; si ahí no se anula, llega al apoyo lejano y se ancla con gancho (NTC-Criterios 3.4.1 c y 5.1.2.2). "&amp;IF(AD17&gt;DATOS!$C$83,"Respaldo: "&amp;DW17&amp;". ",""),"")&amp;IF(AND(C17="VOLADO",((0.9*DATOS!$C$90*DATOS!$C$86/100/1000)*IF(ISNUMBER(P17),P17,Y17)/2-BH17/IF(ISNUMBER(P17),P17,Y17))&lt;0),"Con 0.9·PP y sin carga viva el apoyo lejano del respaldo levanta (R = "&amp;TEXT(-((0.9*DATOS!$C$90*DATOS!$C$86/100/1000)*IF(ISNUMBER(P17),P17,Y17)/2-BH17/IF(ISNUMBER(P17),P17,Y17)),"0.00")&amp;" t por nervadura): ancla ahí la corrida con gancho y revisa ese apoyo a tensión. ","")&amp;IF(LEFT(BK17,5)="FUERA","El M⁻ del vecino difiere más de 50 % (3.4.2.1 c): distribuye el desequilibrio (3.4.3.1) o confirma con un modelo; se arma con el mayor. ","")&amp;IF(OR(DE17="SÍ",DF17="SÍ"),"El M⁻ del borde discontinuo pide bastón también ahí (con gancho). ","")&amp;IF(LEFT(DG17,2)="NO","Anclaje: "&amp;DG17&amp;" (6.7.8.1.7). ","")&amp;IF(AND(C17="PERIMETRAL",AT17&gt;=1,AS17-AT17&gt;=1),"Esquinas exteriores sobre muro: refuerzo de esquina arriba y abajo en L_largo/5 (6.7.7.3.1). ",""))</f>
        <v/>
      </c>
    </row>
    <row r="18" ht="33" customHeight="1">
      <c r="A18" s="50">
        <f>IF(B18="",0,1)+A17</f>
        <v>4</v>
      </c>
      <c r="B18" s="29" t="n"/>
      <c r="C18" s="51" t="n"/>
      <c r="D18" s="29" t="n"/>
      <c r="E18" s="52" t="n"/>
      <c r="F18" s="52" t="n"/>
      <c r="G18" s="51" t="n"/>
      <c r="H18" s="51" t="n"/>
      <c r="I18" s="51" t="n"/>
      <c r="J18" s="51" t="n"/>
      <c r="K18" s="51" t="n"/>
      <c r="L18" s="51" t="n"/>
      <c r="M18" s="53" t="n"/>
      <c r="N18" s="53" t="n"/>
      <c r="O18" s="54" t="n"/>
      <c r="P18" s="52" t="n"/>
      <c r="Q18" s="52" t="n"/>
      <c r="R18" s="53" t="n"/>
      <c r="S18" s="54" t="n"/>
      <c r="T18" s="52" t="n"/>
      <c r="U18" s="52" t="n"/>
      <c r="V18" s="55" t="str">
        <f>IF(B18="","",IF(AND(OR(C18="PERIMETRAL",C18="VOLADO"),ISNUMBER(E18),ISNUMBER(F18),E18&gt;0,F18&gt;0,OR(ISNUMBER(N18),ISNUMBER(MATCH(D18,DATOS!$B$46:$B$58,0))),OR(C18&lt;&gt;"VOLADO",N(P18)&gt;0)),"SÍ","NO"))</f>
        <v/>
      </c>
      <c r="W18" s="55" t="str">
        <f>IF(V18&lt;&gt;"SÍ","",IF(C18&lt;&gt;"VOLADO","—",IF(COUNTIF(G18:J18,"CONTINUO")&lt;&gt;1,"?",IF(G18="CONTINUO","INFERIOR",IF(H18="CONTINUO","SUPERIOR",IF(I18="CONTINUO","IZQUIERDO","DERECHO"))))))</f>
        <v/>
      </c>
      <c r="X18" s="55" t="str">
        <f>IF(V18&lt;&gt;"SÍ","",IF(C18="VOLADO",IF(OR(W18="IZQUIERDO",W18="DERECHO"),"X","Y"),IF(E18&lt;=F18,"X","Y")))</f>
        <v/>
      </c>
      <c r="Y18" s="56" t="str">
        <f>IF(V18&lt;&gt;"SÍ","",IF(C18="VOLADO",IF(X18="X",E18,F18),MIN(E18,F18)))</f>
        <v/>
      </c>
      <c r="Z18" s="56" t="str">
        <f>IF(V18&lt;&gt;"SÍ","",IF(C18="VOLADO",IF(X18="X",F18,E18),MAX(E18,F18)))</f>
        <v/>
      </c>
      <c r="AA18" s="56" t="str">
        <f>IF(V18&lt;&gt;"SÍ","",MIN(Y18,Z18)/MAX(Y18,Z18))</f>
        <v/>
      </c>
      <c r="AB18" s="57" t="str">
        <f>IF(V18&lt;&gt;"SÍ","",MAX(1,Y18*100-IF(C18="VOLADO",DATOS!$C$87/2,DATOS!$C$87)))</f>
        <v/>
      </c>
      <c r="AC18" s="57" t="str">
        <f>IF(V18&lt;&gt;"SÍ","",MAX(1,Z18*100-DATOS!$C$87))</f>
        <v/>
      </c>
      <c r="AD18" s="57" t="str">
        <f>IF(V18&lt;&gt;"SÍ","",IF(ISNUMBER(R18),R18,DATOS!$C$83))</f>
        <v/>
      </c>
      <c r="AE18" s="57" t="str">
        <f>IF(V18&lt;&gt;"SÍ","",MAX(0,DATOS!$C$86-AD18))</f>
        <v/>
      </c>
      <c r="AF18" s="57" t="str">
        <f>IF(V18&lt;&gt;"SÍ","",IF(OR(DATOS!$C$65="SÍ",AD18&gt;=20),AD18,AD18-2))</f>
        <v/>
      </c>
      <c r="AG18" s="57" t="str">
        <f>IF(V18&lt;&gt;"SÍ","",IF(OR(DATOS!$C$65="SÍ",DATOS!$C$83&gt;=20),DATOS!$C$83,DATOS!$C$83-2))</f>
        <v/>
      </c>
      <c r="AH18" s="57" t="str">
        <f>IF(V18&lt;&gt;"SÍ","",MIN(DATOS!$C$86,AD18+2*MIN(8*DATOS!$C$84,AE18/2,AB18/8)))</f>
        <v/>
      </c>
      <c r="AI18" s="57" t="str">
        <f>IF(V18&lt;&gt;"SÍ","",MIN(DATOS!$C$86,DATOS!$C$83+2*MIN(8*DATOS!$C$84,DATOS!$C$81/2,AC18/8)))</f>
        <v/>
      </c>
      <c r="AJ18" s="55" t="str">
        <f>IF(V18&lt;&gt;"SÍ","",IF(AND(C18="PERIMETRAL",Y18*100&gt;=6*MAX(DATOS!$C$81,AE18),MAX(DATOS!$C$81,AE18)&lt;=80,MIN(DATOS!$C$83,AD18)&gt;=10,DATOS!$C$85&lt;=3.5*MIN(DATOS!$C$83,AD18),DATOS!$C$84&gt;=MAX(MAX(DATOS!$C$81,AE18)/13,5)),"SÍ","NO"))</f>
        <v/>
      </c>
      <c r="AK18" s="57" t="str">
        <f>IF(V18&lt;&gt;"SÍ","",IF(C18="VOLADO",DATOS!$C$64,IF(AJ18="NO",DATOS!$C$63,DATOS!$C$62)))</f>
        <v/>
      </c>
      <c r="AL18" s="57" t="str">
        <f>IF(V18&lt;&gt;"SÍ","",IF(OR(AND(AN18="SÍ",DATOS!$C$66="SÍ"),AND(C18="VOLADO",DATOS!$C$67="SÍ")),DATOS!$C$64,IF(AJ18="NO",DATOS!$C$63,DATOS!$C$62)))</f>
        <v/>
      </c>
      <c r="AM18" s="58" t="str">
        <f>IF(V18&lt;&gt;"SÍ","",MAX(AL18,(DATOS!$C$84-2*DATOS!$C$97)/2))</f>
        <v/>
      </c>
      <c r="AN18" s="55" t="str">
        <f>IF(V18&lt;&gt;"SÍ","",IFERROR(INDEX(DATOS!$D$46:$D$58,MATCH(D18,DATOS!$B$46:$B$58,0)),"NO"))</f>
        <v/>
      </c>
      <c r="AO18" s="59" t="str">
        <f>IF(V18&lt;&gt;"SÍ","",IF(ISNUMBER(N18),N18,IFERROR(INDEX(DATOS!$C$46:$C$58,MATCH(D18,DATOS!$B$46:$B$58,0)),0)))</f>
        <v/>
      </c>
      <c r="AP18" s="59" t="str">
        <f>IF(V18&lt;&gt;"SÍ","",IF(MIN(DH18,DI18)=0,DATOS!$C$85/100*DATOS!$C$16*1000,(DATOS!$C$85/100-(AE18*DATOS!$C$81/DATOS!$C$86^2)*DATOS!$C$82/100)*DATOS!$C$16*1000+(AE18*DATOS!$C$81/DATOS!$C$86^2)*DATOS!$C$82/100*DATOS!$C$17*1000)+DATOS!$C$37+DATOS!$C$38)</f>
        <v/>
      </c>
      <c r="AQ18" s="59" t="str">
        <f>IF(V18&lt;&gt;"SÍ","",AP18+N(M18))</f>
        <v/>
      </c>
      <c r="AR18" s="60" t="str">
        <f>IF(V18&lt;&gt;"SÍ","",MAX(DATOS!$C$26*AQ18+DATOS!$C$27*AO18,IF(AN18="SÍ",DATOS!$C$28*(AQ18+DATOS!$C$41),0)))</f>
        <v/>
      </c>
      <c r="AS18" s="59" t="str">
        <f>IF(V18&lt;&gt;"SÍ","",(G18="DISCONTINUO")+(H18="DISCONTINUO")+(I18="DISCONTINUO")+(J18="DISCONTINUO"))</f>
        <v/>
      </c>
      <c r="AT18" s="59" t="str">
        <f>IF(V18&lt;&gt;"SÍ","",IF(X18="X",(G18="DISCONTINUO")+(H18="DISCONTINUO"),(I18="DISCONTINUO")+(J18="DISCONTINUO")))</f>
        <v/>
      </c>
      <c r="AU18" s="55" t="str">
        <f>IF(V18&lt;&gt;"SÍ","",IF(AS18=0,"INTERIOR",IF(AS18=1,IF(AT18=1,"BORDE-CORTO","BORDE-LARGO"),IF(AS18=2,IF(AT18=1,"ESQUINA",IF(AT18=2,"EXTREMO-LARGO","EXTREMO-CORTO")),IF(AS18=3,IF(AT18=2,"EXTREMO-LARGO","EXTREMO-CORTO"),"AISLADO")))))</f>
        <v/>
      </c>
      <c r="AV18" s="61" t="str">
        <f>IF(V18&lt;&gt;"SÍ","",IF(OR(K18="",K18="AUTO"),AU18,K18))</f>
        <v/>
      </c>
      <c r="AW18" s="59" t="str">
        <f>IF(V18&lt;&gt;"SÍ","",MATCH(AA18,TABLAS!$D$5:$J$5,1))</f>
        <v/>
      </c>
      <c r="AX18" s="58" t="str">
        <f>IF(V18&lt;&gt;"SÍ","",IF(AW18&gt;=7,0,(AA18-INDEX(TABLAS!$D$5:$J$5,AW18))/(INDEX(TABLAS!$D$5:$J$5,AW18+1)-INDEX(TABLAS!$D$5:$J$5,AW18))))</f>
        <v/>
      </c>
      <c r="AY18" s="59" t="str">
        <f>IF(V18&lt;&gt;"SÍ","",INDEX(TABLAS!$D$6:$J$47,MATCH(AV18&amp;"|NIC",TABLAS!$B$6:$B$47,0),AW18)+AX18*(INDEX(TABLAS!$D$6:$J$47,MATCH(AV18&amp;"|NIC",TABLAS!$B$6:$B$47,0),MIN(AW18+1,7))-INDEX(TABLAS!$D$6:$J$47,MATCH(AV18&amp;"|NIC",TABLAS!$B$6:$B$47,0),AW18)))</f>
        <v/>
      </c>
      <c r="AZ18" s="59" t="str">
        <f>IF(V18&lt;&gt;"SÍ","",INDEX(TABLAS!$D$6:$J$47,MATCH(AV18&amp;"|NIL",TABLAS!$B$6:$B$47,0),AW18)+AX18*(INDEX(TABLAS!$D$6:$J$47,MATCH(AV18&amp;"|NIL",TABLAS!$B$6:$B$47,0),MIN(AW18+1,7))-INDEX(TABLAS!$D$6:$J$47,MATCH(AV18&amp;"|NIL",TABLAS!$B$6:$B$47,0),AW18)))</f>
        <v/>
      </c>
      <c r="BA18" s="59" t="str">
        <f>IF(V18&lt;&gt;"SÍ","",INDEX(TABLAS!$D$6:$J$47,MATCH(AV18&amp;"|NDC",TABLAS!$B$6:$B$47,0),AW18)+AX18*(INDEX(TABLAS!$D$6:$J$47,MATCH(AV18&amp;"|NDC",TABLAS!$B$6:$B$47,0),MIN(AW18+1,7))-INDEX(TABLAS!$D$6:$J$47,MATCH(AV18&amp;"|NDC",TABLAS!$B$6:$B$47,0),AW18)))</f>
        <v/>
      </c>
      <c r="BB18" s="59" t="str">
        <f>IF(V18&lt;&gt;"SÍ","",INDEX(TABLAS!$D$6:$J$47,MATCH(AV18&amp;"|NDL",TABLAS!$B$6:$B$47,0),AW18)+AX18*(INDEX(TABLAS!$D$6:$J$47,MATCH(AV18&amp;"|NDL",TABLAS!$B$6:$B$47,0),MIN(AW18+1,7))-INDEX(TABLAS!$D$6:$J$47,MATCH(AV18&amp;"|NDL",TABLAS!$B$6:$B$47,0),AW18)))</f>
        <v/>
      </c>
      <c r="BC18" s="59" t="str">
        <f>IF(V18&lt;&gt;"SÍ","",INDEX(TABLAS!$D$6:$J$47,MATCH(AV18&amp;"|PC",TABLAS!$B$6:$B$47,0),AW18)+AX18*(INDEX(TABLAS!$D$6:$J$47,MATCH(AV18&amp;"|PC",TABLAS!$B$6:$B$47,0),MIN(AW18+1,7))-INDEX(TABLAS!$D$6:$J$47,MATCH(AV18&amp;"|PC",TABLAS!$B$6:$B$47,0),AW18)))</f>
        <v/>
      </c>
      <c r="BD18" s="59" t="str">
        <f>IF(V18&lt;&gt;"SÍ","",INDEX(TABLAS!$D$6:$J$47,MATCH(AV18&amp;"|PL",TABLAS!$B$6:$B$47,0),AW18)+AX18*(INDEX(TABLAS!$D$6:$J$47,MATCH(AV18&amp;"|PL",TABLAS!$B$6:$B$47,0),MIN(AW18+1,7))-INDEX(TABLAS!$D$6:$J$47,MATCH(AV18&amp;"|PL",TABLAS!$B$6:$B$47,0),AW18)))</f>
        <v/>
      </c>
      <c r="BE18" s="56" t="str">
        <f>IF(V18&lt;&gt;"SÍ","",IF(OR(C18&lt;&gt;"VOLADO",MIN(DH18,DI18)=0),0,DATOS!$C$26*DATOS!$C$16*DATOS!$C$86/100*(((AE18*DATOS!$C$81/DATOS!$C$86^2)*DATOS!$C$82/100)*(IF(X18="X",DJ18,DL18)+DATOS!$C$87/2)/100*(AB18-(IF(X18="X",DJ18,DL18)+DATOS!$C$87/2)/2)/100+((AE18*DATOS!$C$81/DATOS!$C$86^2)*DATOS!$C$82/100)*IF(X18="X",DJ18,DL18)/100*IF(X18="X",DJ18,DL18)/200)))</f>
        <v/>
      </c>
      <c r="BF18" s="56" t="str">
        <f>IF(V18&lt;&gt;"SÍ","",IF(OR(C18&lt;&gt;"VOLADO",MIN(DH18,DI18)=0),0,DATOS!$C$26*DATOS!$C$16*DATOS!$C$86/100*((AE18*DATOS!$C$81/DATOS!$C$86^2)*DATOS!$C$82/100)*(IF(X18="X",DJ18,DL18)+DATOS!$C$87/2)/100))</f>
        <v/>
      </c>
      <c r="BG18" s="56" t="str">
        <f>IF(V18&lt;&gt;"SÍ","",IF(C18="PERIMETRAL",BC18*AR18*Y18^2*1E-4*DATOS!$C$86/100/1000,0))</f>
        <v/>
      </c>
      <c r="BH18" s="62" t="str">
        <f>IF(V18&lt;&gt;"SÍ","",IF(C18="PERIMETRAL",MAX(MAX(AY18,BA18)*AR18*Y18^2*1E-4*DATOS!$C$86/100/1000,N(T18)),(AR18*(AB18/100)^2/2+DATOS!$C$26*N(O18)*AB18/100)*DATOS!$C$86/100/1000+BE18))</f>
        <v/>
      </c>
      <c r="BI18" s="56" t="str">
        <f>IF(V18&lt;&gt;"SÍ","",IF(C18="PERIMETRAL",BD18*AR18*Y18^2*1E-4*DATOS!$C$86/100/1000,0))</f>
        <v/>
      </c>
      <c r="BJ18" s="56" t="str">
        <f>IF(V18&lt;&gt;"SÍ","",IF(C18="PERIMETRAL",MAX(MAX(AZ18,BB18)*AR18*Y18^2*1E-4*DATOS!$C$86/100/1000,N(U18)),0))</f>
        <v/>
      </c>
      <c r="BK18" s="63" t="str">
        <f>IF(V18&lt;&gt;"SÍ","",IF(C18&lt;&gt;"PERIMETRAL","—",IF(AND(N(T18)=0,N(U18)=0),"— (sin M⁻ del vecino)",IF(OR(AND(N(T18)&gt;0,ABS(MAX(AY18,BA18)*AR18*Y18^2*1E-4*DATOS!$C$86/100/1000-N(T18))&gt;0.5*MIN(MAX(AY18,BA18)*AR18*Y18^2*1E-4*DATOS!$C$86/100/1000,N(T18))),AND(N(U18)&gt;0,ABS(MAX(AZ18,BB18)*AR18*Y18^2*1E-4*DATOS!$C$86/100/1000-N(U18))&gt;0.5*MIN(MAX(AZ18,BB18)*AR18*Y18^2*1E-4*DATOS!$C$86/100/1000,N(U18)))),"FUERA: difieren &gt; 50 %"&amp;IF(AND(N(T18)&gt;0,ABS(MAX(AY18,BA18)*AR18*Y18^2*1E-4*DATOS!$C$86/100/1000-N(T18))&gt;0.5*MIN(MAX(AY18,BA18)*AR18*Y18^2*1E-4*DATOS!$C$86/100/1000,N(T18)))," ‖ corto","")&amp;IF(AND(N(U18)&gt;0,ABS(MAX(AZ18,BB18)*AR18*Y18^2*1E-4*DATOS!$C$86/100/1000-N(U18))&gt;0.5*MIN(MAX(AZ18,BB18)*AR18*Y18^2*1E-4*DATOS!$C$86/100/1000,N(U18)))," ‖ largo",""),"CUMPLE"))))</f>
        <v/>
      </c>
      <c r="BL18" s="58" t="str">
        <f>IF(V18&lt;&gt;"SÍ","",(DATOS!$C$85-AK18-INDEX(TABLAS!$C$52:$C$58,MATCH(MAX(4,DATOS!$C$71),TABLAS!$B$52:$B$58,0))/2))</f>
        <v/>
      </c>
      <c r="BM18" s="58" t="str">
        <f>IF(V18&lt;&gt;"SÍ","",IF(IF(BG18&lt;=0,0,IF((1-2*BG18*1E5/(DATOS!$C$29*AH18*BL18^2*DATOS!$C$21))&lt;0,-1,IF((1-SQRT((1-2*BG18*1E5/(DATOS!$C$29*AH18*BL18^2*DATOS!$C$21))))*DATOS!$C$21*AH18*BL18/DATOS!$C$14&gt;DATOS!$C$102*AH18*BL18,-1,(1-SQRT((1-2*BG18*1E5/(DATOS!$C$29*AH18*BL18^2*DATOS!$C$21))))*DATOS!$C$21*AH18*BL18/DATOS!$C$14)))&lt;0,-1,MAX(IF(BG18&lt;=0,0,IF((1-2*BG18*1E5/(DATOS!$C$29*AH18*BL18^2*DATOS!$C$21))&lt;0,-1,IF((1-SQRT((1-2*BG18*1E5/(DATOS!$C$29*AH18*BL18^2*DATOS!$C$21))))*DATOS!$C$21*AH18*BL18/DATOS!$C$14&gt;DATOS!$C$102*AH18*BL18,-1,(1-SQRT((1-2*BG18*1E5/(DATOS!$C$29*AH18*BL18^2*DATOS!$C$21))))*DATOS!$C$21*AH18*BL18/DATOS!$C$14))),MIN(DATOS!$C$103*AD18*BL18,4/3*IF(BG18&lt;=0,0,IF((1-2*BG18*1E5/(DATOS!$C$29*AH18*BL18^2*DATOS!$C$21))&lt;0,-1,IF((1-SQRT((1-2*BG18*1E5/(DATOS!$C$29*AH18*BL18^2*DATOS!$C$21))))*DATOS!$C$21*AH18*BL18/DATOS!$C$14&gt;DATOS!$C$102*AH18*BL18,-1,(1-SQRT((1-2*BG18*1E5/(DATOS!$C$29*AH18*BL18^2*DATOS!$C$21))))*DATOS!$C$21*AH18*BL18/DATOS!$C$14)))))))</f>
        <v/>
      </c>
      <c r="BN18" s="64" t="str">
        <f>IF(V18&lt;&gt;"SÍ","",IF(AND(BM18&gt;=0,IF(MAX(DATOS!$C$74,CEILING(BM18/INDEX(TABLAS!$D$52:$D$58,MIN(MATCH(MAX(4,DATOS!$C$71),TABLAS!$B$52:$B$58,0)+0,7)),1))*INDEX(TABLAS!$D$52:$D$58,MIN(MATCH(MAX(4,DATOS!$C$71),TABLAS!$B$52:$B$58,0)+0,7)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+0,7)),1)),MAX(MAX(DATOS!$C$74,CEILING(BM18/INDEX(TABLAS!$D$52:$D$58,MIN(MATCH(MAX(4,DATOS!$C$71),TABLAS!$B$52:$B$58,0)+0,7)),1)),2))&lt;=MIN(DATOS!$C$73,INT(((AD18-2*AK18)+MAX(DATOS!$C$70,INDEX(TABLAS!$C$52:$C$58,MIN(MATCH(MAX(4,DATOS!$C$71),TABLAS!$B$52:$B$58,0)+0,7))))/(INDEX(TABLAS!$C$52:$C$58,MIN(MATCH(MAX(4,DATOS!$C$71),TABLAS!$B$52:$B$58,0)+0,7))+MAX(DATOS!$C$70,INDEX(TABLAS!$C$52:$C$58,MIN(MATCH(MAX(4,DATOS!$C$71),TABLAS!$B$52:$B$58,0)+0,7))))))),INDEX(TABLAS!$B$52:$B$58,MIN(MATCH(MAX(4,DATOS!$C$71),TABLAS!$B$52:$B$58,0)+0,7)),IF(AND(BM18&gt;=0,IF(MAX(DATOS!$C$74,CEILING(BM18/INDEX(TABLAS!$D$52:$D$58,MIN(MATCH(MAX(4,DATOS!$C$71),TABLAS!$B$52:$B$58,0)+1,7)),1))*INDEX(TABLAS!$D$52:$D$58,MIN(MATCH(MAX(4,DATOS!$C$71),TABLAS!$B$52:$B$58,0)+1,7)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+1,7)),1)),MAX(MAX(DATOS!$C$74,CEILING(BM18/INDEX(TABLAS!$D$52:$D$58,MIN(MATCH(MAX(4,DATOS!$C$71),TABLAS!$B$52:$B$58,0)+1,7)),1)),2))&lt;=MIN(DATOS!$C$73,INT(((AD18-2*AK18)+MAX(DATOS!$C$70,INDEX(TABLAS!$C$52:$C$58,MIN(MATCH(MAX(4,DATOS!$C$71),TABLAS!$B$52:$B$58,0)+1,7))))/(INDEX(TABLAS!$C$52:$C$58,MIN(MATCH(MAX(4,DATOS!$C$71),TABLAS!$B$52:$B$58,0)+1,7))+MAX(DATOS!$C$70,INDEX(TABLAS!$C$52:$C$58,MIN(MATCH(MAX(4,DATOS!$C$71),TABLAS!$B$52:$B$58,0)+1,7))))))),INDEX(TABLAS!$B$52:$B$58,MIN(MATCH(MAX(4,DATOS!$C$71),TABLAS!$B$52:$B$58,0)+1,7)),IF(AND(BM18&gt;=0,IF(MAX(DATOS!$C$74,CEILING(BM18/INDEX(TABLAS!$D$52:$D$58,MIN(MATCH(MAX(4,DATOS!$C$71),TABLAS!$B$52:$B$58,0)+2,7)),1))*INDEX(TABLAS!$D$52:$D$58,MIN(MATCH(MAX(4,DATOS!$C$71),TABLAS!$B$52:$B$58,0)+2,7)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+2,7)),1)),MAX(MAX(DATOS!$C$74,CEILING(BM18/INDEX(TABLAS!$D$52:$D$58,MIN(MATCH(MAX(4,DATOS!$C$71),TABLAS!$B$52:$B$58,0)+2,7)),1)),2))&lt;=MIN(DATOS!$C$73,INT(((AD18-2*AK18)+MAX(DATOS!$C$70,INDEX(TABLAS!$C$52:$C$58,MIN(MATCH(MAX(4,DATOS!$C$71),TABLAS!$B$52:$B$58,0)+2,7))))/(INDEX(TABLAS!$C$52:$C$58,MIN(MATCH(MAX(4,DATOS!$C$71),TABLAS!$B$52:$B$58,0)+2,7))+MAX(DATOS!$C$70,INDEX(TABLAS!$C$52:$C$58,MIN(MATCH(MAX(4,DATOS!$C$71),TABLAS!$B$52:$B$58,0)+2,7))))))),INDEX(TABLAS!$B$52:$B$58,MIN(MATCH(MAX(4,DATOS!$C$71),TABLAS!$B$52:$B$58,0)+2,7)),IF(AND(BM18&gt;=0,IF(MAX(DATOS!$C$74,CEILING(BM18/INDEX(TABLAS!$D$52:$D$58,MIN(MATCH(MAX(4,DATOS!$C$71),TABLAS!$B$52:$B$58,0)+3,7)),1))*INDEX(TABLAS!$D$52:$D$58,MIN(MATCH(MAX(4,DATOS!$C$71),TABLAS!$B$52:$B$58,0)+3,7)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+3,7)),1)),MAX(MAX(DATOS!$C$74,CEILING(BM18/INDEX(TABLAS!$D$52:$D$58,MIN(MATCH(MAX(4,DATOS!$C$71),TABLAS!$B$52:$B$58,0)+3,7)),1)),2))&lt;=MIN(DATOS!$C$73,INT(((AD18-2*AK18)+MAX(DATOS!$C$70,INDEX(TABLAS!$C$52:$C$58,MIN(MATCH(MAX(4,DATOS!$C$71),TABLAS!$B$52:$B$58,0)+3,7))))/(INDEX(TABLAS!$C$52:$C$58,MIN(MATCH(MAX(4,DATOS!$C$71),TABLAS!$B$52:$B$58,0)+3,7))+MAX(DATOS!$C$70,INDEX(TABLAS!$C$52:$C$58,MIN(MATCH(MAX(4,DATOS!$C$71),TABLAS!$B$52:$B$58,0)+3,7))))))),INDEX(TABLAS!$B$52:$B$58,MIN(MATCH(MAX(4,DATOS!$C$71),TABLAS!$B$52:$B$58,0)+3,7)),IF(AND(BM18&gt;=0,IF(MAX(DATOS!$C$74,CEILING(BM18/INDEX(TABLAS!$D$52:$D$58,MIN(MATCH(MAX(4,DATOS!$C$71),TABLAS!$B$52:$B$58,0)+4,7)),1))*INDEX(TABLAS!$D$52:$D$58,MIN(MATCH(MAX(4,DATOS!$C$71),TABLAS!$B$52:$B$58,0)+4,7)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+4,7)),1)),MAX(MAX(DATOS!$C$74,CEILING(BM18/INDEX(TABLAS!$D$52:$D$58,MIN(MATCH(MAX(4,DATOS!$C$71),TABLAS!$B$52:$B$58,0)+4,7)),1)),2))&lt;=MIN(DATOS!$C$73,INT(((AD18-2*AK18)+MAX(DATOS!$C$70,INDEX(TABLAS!$C$52:$C$58,MIN(MATCH(MAX(4,DATOS!$C$71),TABLAS!$B$52:$B$58,0)+4,7))))/(INDEX(TABLAS!$C$52:$C$58,MIN(MATCH(MAX(4,DATOS!$C$71),TABLAS!$B$52:$B$58,0)+4,7))+MAX(DATOS!$C$70,INDEX(TABLAS!$C$52:$C$58,MIN(MATCH(MAX(4,DATOS!$C$71),TABLAS!$B$52:$B$58,0)+4,7))))))),INDEX(TABLAS!$B$52:$B$58,MIN(MATCH(MAX(4,DATOS!$C$71),TABLAS!$B$52:$B$58,0)+4,7)),INDEX(TABLAS!$B$52:$B$58,7)))))))</f>
        <v/>
      </c>
      <c r="BO18" s="59" t="str">
        <f>IF(V18&lt;&gt;"SÍ","",IF(BM18&lt;0,0,IF(MAX(DATOS!$C$74,CEILING(MAX(BM18,0)/INDEX(TABLAS!$D$52:$D$58,MATCH(BN18,TABLAS!$B$52:$B$58,0)),1))*INDEX(TABLAS!$D$52:$D$58,MATCH(BN18,TABLAS!$B$52:$B$58,0))&gt;=4/3*IF(BG18&lt;=0,0,IF((1-2*BG18*1E5/(DATOS!$C$29*AH18*BL18^2*DATOS!$C$21))&lt;0,-1,IF((1-SQRT((1-2*BG18*1E5/(DATOS!$C$29*AH18*BL18^2*DATOS!$C$21))))*DATOS!$C$21*AH18*BL18/DATOS!$C$14&gt;DATOS!$C$102*AH18*BL18,-1,(1-SQRT((1-2*BG18*1E5/(DATOS!$C$29*AH18*BL18^2*DATOS!$C$21))))*DATOS!$C$21*AH18*BL18/DATOS!$C$14)))-0.0001,MAX(DATOS!$C$74,CEILING(MAX(BM18,0)/INDEX(TABLAS!$D$52:$D$58,MATCH(BN18,TABLAS!$B$52:$B$58,0)),1)),MAX(MAX(DATOS!$C$74,CEILING(MAX(BM18,0)/INDEX(TABLAS!$D$52:$D$58,MATCH(BN18,TABLAS!$B$52:$B$58,0)),1)),2))))</f>
        <v/>
      </c>
      <c r="BP18" s="58" t="str">
        <f>IF(V18&lt;&gt;"SÍ","",DATOS!$C$85-AK18-INDEX(TABLAS!$C$52:$C$58,MATCH(BN18,TABLAS!$B$52:$B$58,0))/2)</f>
        <v/>
      </c>
      <c r="BQ18" s="56" t="str">
        <f>IF(V18&lt;&gt;"SÍ","",IF(BO18=0,0,DATOS!$C$29*BO18*INDEX(TABLAS!$D$52:$D$58,MATCH(BN18,TABLAS!$B$52:$B$58,0))*DATOS!$C$14*(BP18-BO18*INDEX(TABLAS!$D$52:$D$58,MATCH(BN18,TABLAS!$B$52:$B$58,0))*DATOS!$C$14/(DATOS!$C$21*AH18)/2)/1E5))</f>
        <v/>
      </c>
      <c r="BR18" s="65" t="str">
        <f>IF(V18&lt;&gt;"SÍ","",IF(BM18&lt;0,9.99,IF(BQ18&gt;0,BG18/BQ18,0)))</f>
        <v/>
      </c>
      <c r="BS18" s="66" t="str">
        <f>IF(V18&lt;&gt;"SÍ","",IF(BO18=0,"—",0.003*(BP18-(BO18*INDEX(TABLAS!$D$52:$D$58,MATCH(BN18,TABLAS!$B$52:$B$58,0))*DATOS!$C$14/(DATOS!$C$21*AH18)/DATOS!$C$22))/(BO18*INDEX(TABLAS!$D$52:$D$58,MATCH(BN18,TABLAS!$B$52:$B$58,0))*DATOS!$C$14/(DATOS!$C$21*AH18)/DATOS!$C$22)))</f>
        <v/>
      </c>
      <c r="BT18" s="58" t="str">
        <f>IF(V18&lt;&gt;"SÍ","",((DATOS!$C$85-AM18-2*DATOS!$C$97-INDEX(TABLAS!$C$52:$C$58,MATCH(MAX(4,DATOS!$C$72),TABLAS!$B$52:$B$58,0))/2)-IF(AND((DATOS!$C$85-AM18-2*DATOS!$C$97-INDEX(TABLAS!$C$52:$C$58,MATCH(MAX(4,DATOS!$C$72),TABLAS!$B$52:$B$58,0))/2)&lt;=20,DATOS!$C$65&lt;&gt;"SÍ"),2,0)))</f>
        <v/>
      </c>
      <c r="BU18" s="58" t="str">
        <f>IF(V18&lt;&gt;"SÍ","",IF(IF(BH18&lt;=0,0,IF((1-2*BH18*1E5/(DATOS!$C$29*AF18*BT18^2*DATOS!$C$21))&lt;0,-1,IF((1-SQRT((1-2*BH18*1E5/(DATOS!$C$29*AF18*BT18^2*DATOS!$C$21))))*DATOS!$C$21*AF18*BT18/DATOS!$C$14&gt;DATOS!$C$102*AF18*BT18,-1,(1-SQRT((1-2*BH18*1E5/(DATOS!$C$29*AF18*BT18^2*DATOS!$C$21))))*DATOS!$C$21*AF18*BT18/DATOS!$C$14)))&lt;0,-1,MAX(IF(BH18&lt;=0,0,IF((1-2*BH18*1E5/(DATOS!$C$29*AF18*BT18^2*DATOS!$C$21))&lt;0,-1,IF((1-SQRT((1-2*BH18*1E5/(DATOS!$C$29*AF18*BT18^2*DATOS!$C$21))))*DATOS!$C$21*AF18*BT18/DATOS!$C$14&gt;DATOS!$C$102*AF18*BT18,-1,(1-SQRT((1-2*BH18*1E5/(DATOS!$C$29*AF18*BT18^2*DATOS!$C$21))))*DATOS!$C$21*AF18*BT18/DATOS!$C$14))),MIN(DATOS!$C$103*IF(C18="VOLADO",MIN(AH18,2*AD18),AD18)*BT18,4/3*IF(BH18&lt;=0,0,IF((1-2*BH18*1E5/(DATOS!$C$29*AF18*BT18^2*DATOS!$C$21))&lt;0,-1,IF((1-SQRT((1-2*BH18*1E5/(DATOS!$C$29*AF18*BT18^2*DATOS!$C$21))))*DATOS!$C$21*AF18*BT18/DATOS!$C$14&gt;DATOS!$C$102*AF18*BT18,-1,(1-SQRT((1-2*BH18*1E5/(DATOS!$C$29*AF18*BT18^2*DATOS!$C$21))))*DATOS!$C$21*AF18*BT18/DATOS!$C$14)))))))</f>
        <v/>
      </c>
      <c r="BV18" s="64" t="str">
        <f>IF(V18&lt;&gt;"SÍ","",IF(AND(BU18&gt;=0,IF(MAX(DATOS!$C$74,CEILING(BU18/INDEX(TABLAS!$D$52:$D$58,MIN(MATCH(MAX(4,DATOS!$C$72),TABLAS!$B$52:$B$58,0)+0,7)),1))*INDEX(TABLAS!$D$52:$D$58,MIN(MATCH(MAX(4,DATOS!$C$72),TABLAS!$B$52:$B$58,0)+0,7)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+0,7)),1)),MAX(MAX(DATOS!$C$74,CEILING(BU18/INDEX(TABLAS!$D$52:$D$58,MIN(MATCH(MAX(4,DATOS!$C$72),TABLAS!$B$52:$B$58,0)+0,7)),1)),2))&lt;=MIN(DATOS!$C$73,INT(((AD18-2*AL18)+MAX(DATOS!$C$70,INDEX(TABLAS!$C$52:$C$58,MIN(MATCH(MAX(4,DATOS!$C$72),TABLAS!$B$52:$B$58,0)+0,7))))/(INDEX(TABLAS!$C$52:$C$58,MIN(MATCH(MAX(4,DATOS!$C$72),TABLAS!$B$52:$B$58,0)+0,7))+MAX(DATOS!$C$70,INDEX(TABLAS!$C$52:$C$58,MIN(MATCH(MAX(4,DATOS!$C$72),TABLAS!$B$52:$B$58,0)+0,7))))))),INDEX(TABLAS!$B$52:$B$58,MIN(MATCH(MAX(4,DATOS!$C$72),TABLAS!$B$52:$B$58,0)+0,7)),IF(AND(BU18&gt;=0,IF(MAX(DATOS!$C$74,CEILING(BU18/INDEX(TABLAS!$D$52:$D$58,MIN(MATCH(MAX(4,DATOS!$C$72),TABLAS!$B$52:$B$58,0)+1,7)),1))*INDEX(TABLAS!$D$52:$D$58,MIN(MATCH(MAX(4,DATOS!$C$72),TABLAS!$B$52:$B$58,0)+1,7)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+1,7)),1)),MAX(MAX(DATOS!$C$74,CEILING(BU18/INDEX(TABLAS!$D$52:$D$58,MIN(MATCH(MAX(4,DATOS!$C$72),TABLAS!$B$52:$B$58,0)+1,7)),1)),2))&lt;=MIN(DATOS!$C$73,INT(((AD18-2*AL18)+MAX(DATOS!$C$70,INDEX(TABLAS!$C$52:$C$58,MIN(MATCH(MAX(4,DATOS!$C$72),TABLAS!$B$52:$B$58,0)+1,7))))/(INDEX(TABLAS!$C$52:$C$58,MIN(MATCH(MAX(4,DATOS!$C$72),TABLAS!$B$52:$B$58,0)+1,7))+MAX(DATOS!$C$70,INDEX(TABLAS!$C$52:$C$58,MIN(MATCH(MAX(4,DATOS!$C$72),TABLAS!$B$52:$B$58,0)+1,7))))))),INDEX(TABLAS!$B$52:$B$58,MIN(MATCH(MAX(4,DATOS!$C$72),TABLAS!$B$52:$B$58,0)+1,7)),IF(AND(BU18&gt;=0,IF(MAX(DATOS!$C$74,CEILING(BU18/INDEX(TABLAS!$D$52:$D$58,MIN(MATCH(MAX(4,DATOS!$C$72),TABLAS!$B$52:$B$58,0)+2,7)),1))*INDEX(TABLAS!$D$52:$D$58,MIN(MATCH(MAX(4,DATOS!$C$72),TABLAS!$B$52:$B$58,0)+2,7)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+2,7)),1)),MAX(MAX(DATOS!$C$74,CEILING(BU18/INDEX(TABLAS!$D$52:$D$58,MIN(MATCH(MAX(4,DATOS!$C$72),TABLAS!$B$52:$B$58,0)+2,7)),1)),2))&lt;=MIN(DATOS!$C$73,INT(((AD18-2*AL18)+MAX(DATOS!$C$70,INDEX(TABLAS!$C$52:$C$58,MIN(MATCH(MAX(4,DATOS!$C$72),TABLAS!$B$52:$B$58,0)+2,7))))/(INDEX(TABLAS!$C$52:$C$58,MIN(MATCH(MAX(4,DATOS!$C$72),TABLAS!$B$52:$B$58,0)+2,7))+MAX(DATOS!$C$70,INDEX(TABLAS!$C$52:$C$58,MIN(MATCH(MAX(4,DATOS!$C$72),TABLAS!$B$52:$B$58,0)+2,7))))))),INDEX(TABLAS!$B$52:$B$58,MIN(MATCH(MAX(4,DATOS!$C$72),TABLAS!$B$52:$B$58,0)+2,7)),IF(AND(BU18&gt;=0,IF(MAX(DATOS!$C$74,CEILING(BU18/INDEX(TABLAS!$D$52:$D$58,MIN(MATCH(MAX(4,DATOS!$C$72),TABLAS!$B$52:$B$58,0)+3,7)),1))*INDEX(TABLAS!$D$52:$D$58,MIN(MATCH(MAX(4,DATOS!$C$72),TABLAS!$B$52:$B$58,0)+3,7)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+3,7)),1)),MAX(MAX(DATOS!$C$74,CEILING(BU18/INDEX(TABLAS!$D$52:$D$58,MIN(MATCH(MAX(4,DATOS!$C$72),TABLAS!$B$52:$B$58,0)+3,7)),1)),2))&lt;=MIN(DATOS!$C$73,INT(((AD18-2*AL18)+MAX(DATOS!$C$70,INDEX(TABLAS!$C$52:$C$58,MIN(MATCH(MAX(4,DATOS!$C$72),TABLAS!$B$52:$B$58,0)+3,7))))/(INDEX(TABLAS!$C$52:$C$58,MIN(MATCH(MAX(4,DATOS!$C$72),TABLAS!$B$52:$B$58,0)+3,7))+MAX(DATOS!$C$70,INDEX(TABLAS!$C$52:$C$58,MIN(MATCH(MAX(4,DATOS!$C$72),TABLAS!$B$52:$B$58,0)+3,7))))))),INDEX(TABLAS!$B$52:$B$58,MIN(MATCH(MAX(4,DATOS!$C$72),TABLAS!$B$52:$B$58,0)+3,7)),IF(AND(BU18&gt;=0,IF(MAX(DATOS!$C$74,CEILING(BU18/INDEX(TABLAS!$D$52:$D$58,MIN(MATCH(MAX(4,DATOS!$C$72),TABLAS!$B$52:$B$58,0)+4,7)),1))*INDEX(TABLAS!$D$52:$D$58,MIN(MATCH(MAX(4,DATOS!$C$72),TABLAS!$B$52:$B$58,0)+4,7)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+4,7)),1)),MAX(MAX(DATOS!$C$74,CEILING(BU18/INDEX(TABLAS!$D$52:$D$58,MIN(MATCH(MAX(4,DATOS!$C$72),TABLAS!$B$52:$B$58,0)+4,7)),1)),2))&lt;=MIN(DATOS!$C$73,INT(((AD18-2*AL18)+MAX(DATOS!$C$70,INDEX(TABLAS!$C$52:$C$58,MIN(MATCH(MAX(4,DATOS!$C$72),TABLAS!$B$52:$B$58,0)+4,7))))/(INDEX(TABLAS!$C$52:$C$58,MIN(MATCH(MAX(4,DATOS!$C$72),TABLAS!$B$52:$B$58,0)+4,7))+MAX(DATOS!$C$70,INDEX(TABLAS!$C$52:$C$58,MIN(MATCH(MAX(4,DATOS!$C$72),TABLAS!$B$52:$B$58,0)+4,7))))))),INDEX(TABLAS!$B$52:$B$58,MIN(MATCH(MAX(4,DATOS!$C$72),TABLAS!$B$52:$B$58,0)+4,7)),INDEX(TABLAS!$B$52:$B$58,7)))))))</f>
        <v/>
      </c>
      <c r="BW18" s="59" t="str">
        <f>IF(V18&lt;&gt;"SÍ","",IF(BU18&lt;0,0,IF(MAX(DATOS!$C$74,CEILING(MAX(BU18,0)/INDEX(TABLAS!$D$52:$D$58,MATCH(BV18,TABLAS!$B$52:$B$58,0)),1))*INDEX(TABLAS!$D$52:$D$58,MATCH(BV18,TABLAS!$B$52:$B$58,0))&gt;=4/3*IF(BH18&lt;=0,0,IF((1-2*BH18*1E5/(DATOS!$C$29*AF18*BT18^2*DATOS!$C$21))&lt;0,-1,IF((1-SQRT((1-2*BH18*1E5/(DATOS!$C$29*AF18*BT18^2*DATOS!$C$21))))*DATOS!$C$21*AF18*BT18/DATOS!$C$14&gt;DATOS!$C$102*AF18*BT18,-1,(1-SQRT((1-2*BH18*1E5/(DATOS!$C$29*AF18*BT18^2*DATOS!$C$21))))*DATOS!$C$21*AF18*BT18/DATOS!$C$14)))-0.0001,MAX(DATOS!$C$74,CEILING(MAX(BU18,0)/INDEX(TABLAS!$D$52:$D$58,MATCH(BV18,TABLAS!$B$52:$B$58,0)),1)),MAX(MAX(DATOS!$C$74,CEILING(MAX(BU18,0)/INDEX(TABLAS!$D$52:$D$58,MATCH(BV18,TABLAS!$B$52:$B$58,0)),1)),2))))</f>
        <v/>
      </c>
      <c r="BX18" s="58" t="str">
        <f>IF(V18&lt;&gt;"SÍ","",((DATOS!$C$85-AM18-2*DATOS!$C$97-INDEX(TABLAS!$C$52:$C$58,MATCH(BV18,TABLAS!$B$52:$B$58,0))/2)-IF(AND((DATOS!$C$85-AM18-2*DATOS!$C$97-INDEX(TABLAS!$C$52:$C$58,MATCH(BV18,TABLAS!$B$52:$B$58,0))/2)&lt;=20,DATOS!$C$65&lt;&gt;"SÍ"),2,0)))</f>
        <v/>
      </c>
      <c r="BY18" s="56" t="str">
        <f>IF(V18&lt;&gt;"SÍ","",IF(BW18=0,0,DATOS!$C$29*BW18*INDEX(TABLAS!$D$52:$D$58,MATCH(BV18,TABLAS!$B$52:$B$58,0))*DATOS!$C$14*(BX18-BW18*INDEX(TABLAS!$D$52:$D$58,MATCH(BV18,TABLAS!$B$52:$B$58,0))*DATOS!$C$14/(DATOS!$C$21*AF18)/2)/1E5))</f>
        <v/>
      </c>
      <c r="BZ18" s="65" t="str">
        <f>IF(V18&lt;&gt;"SÍ","",IF(BU18&lt;0,9.99,IF(BY18&gt;0,BH18/BY18,0)))</f>
        <v/>
      </c>
      <c r="CA18" s="66" t="str">
        <f>IF(V18&lt;&gt;"SÍ","",IF(BW18=0,"—",0.003*(BX18-(BW18*INDEX(TABLAS!$D$52:$D$58,MATCH(BV18,TABLAS!$B$52:$B$58,0))*DATOS!$C$14/(DATOS!$C$21*AF18)/DATOS!$C$22))/(BW18*INDEX(TABLAS!$D$52:$D$58,MATCH(BV18,TABLAS!$B$52:$B$58,0))*DATOS!$C$14/(DATOS!$C$21*AF18)/DATOS!$C$22)))</f>
        <v/>
      </c>
      <c r="CB18" s="58" t="str">
        <f>IF(V18&lt;&gt;"SÍ","",(DATOS!$C$85-AK18-INDEX(TABLAS!$C$52:$C$58,MATCH(MAX(4,DATOS!$C$71),TABLAS!$B$52:$B$58,0))-INDEX(TABLAS!$C$52:$C$58,MATCH(MAX(4,DATOS!$C$71),TABLAS!$B$52:$B$58,0))/2))</f>
        <v/>
      </c>
      <c r="CC18" s="58" t="str">
        <f>IF(V18&lt;&gt;"SÍ","",IF(IF(BI18&lt;=0,0,IF((1-2*BI18*1E5/(DATOS!$C$29*AI18*CB18^2*DATOS!$C$21))&lt;0,-1,IF((1-SQRT((1-2*BI18*1E5/(DATOS!$C$29*AI18*CB18^2*DATOS!$C$21))))*DATOS!$C$21*AI18*CB18/DATOS!$C$14&gt;DATOS!$C$102*AI18*CB18,-1,(1-SQRT((1-2*BI18*1E5/(DATOS!$C$29*AI18*CB18^2*DATOS!$C$21))))*DATOS!$C$21*AI18*CB18/DATOS!$C$14)))&lt;0,-1,MAX(IF(BI18&lt;=0,0,IF((1-2*BI18*1E5/(DATOS!$C$29*AI18*CB18^2*DATOS!$C$21))&lt;0,-1,IF((1-SQRT((1-2*BI18*1E5/(DATOS!$C$29*AI18*CB18^2*DATOS!$C$21))))*DATOS!$C$21*AI18*CB18/DATOS!$C$14&gt;DATOS!$C$102*AI18*CB18,-1,(1-SQRT((1-2*BI18*1E5/(DATOS!$C$29*AI18*CB18^2*DATOS!$C$21))))*DATOS!$C$21*AI18*CB18/DATOS!$C$14))),MIN(DATOS!$C$103*DATOS!$C$83*CB18,4/3*IF(BI18&lt;=0,0,IF((1-2*BI18*1E5/(DATOS!$C$29*AI18*CB18^2*DATOS!$C$21))&lt;0,-1,IF((1-SQRT((1-2*BI18*1E5/(DATOS!$C$29*AI18*CB18^2*DATOS!$C$21))))*DATOS!$C$21*AI18*CB18/DATOS!$C$14&gt;DATOS!$C$102*AI18*CB18,-1,(1-SQRT((1-2*BI18*1E5/(DATOS!$C$29*AI18*CB18^2*DATOS!$C$21))))*DATOS!$C$21*AI18*CB18/DATOS!$C$14)))))))</f>
        <v/>
      </c>
      <c r="CD18" s="64" t="str">
        <f>IF(V18&lt;&gt;"SÍ","",IF(AND(CC18&gt;=0,IF(MAX(DATOS!$C$74,CEILING(CC18/INDEX(TABLAS!$D$52:$D$58,MIN(MATCH(MAX(4,DATOS!$C$71),TABLAS!$B$52:$B$58,0)+0,7)),1))*INDEX(TABLAS!$D$52:$D$58,MIN(MATCH(MAX(4,DATOS!$C$71),TABLAS!$B$52:$B$58,0)+0,7)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+0,7)),1)),MAX(MAX(DATOS!$C$74,CEILING(CC18/INDEX(TABLAS!$D$52:$D$58,MIN(MATCH(MAX(4,DATOS!$C$71),TABLAS!$B$52:$B$58,0)+0,7)),1)),2))&lt;=MIN(DATOS!$C$73,INT(((DATOS!$C$83-2*AK18)+MAX(DATOS!$C$70,INDEX(TABLAS!$C$52:$C$58,MIN(MATCH(MAX(4,DATOS!$C$71),TABLAS!$B$52:$B$58,0)+0,7))))/(INDEX(TABLAS!$C$52:$C$58,MIN(MATCH(MAX(4,DATOS!$C$71),TABLAS!$B$52:$B$58,0)+0,7))+MAX(DATOS!$C$70,INDEX(TABLAS!$C$52:$C$58,MIN(MATCH(MAX(4,DATOS!$C$71),TABLAS!$B$52:$B$58,0)+0,7))))))),INDEX(TABLAS!$B$52:$B$58,MIN(MATCH(MAX(4,DATOS!$C$71),TABLAS!$B$52:$B$58,0)+0,7)),IF(AND(CC18&gt;=0,IF(MAX(DATOS!$C$74,CEILING(CC18/INDEX(TABLAS!$D$52:$D$58,MIN(MATCH(MAX(4,DATOS!$C$71),TABLAS!$B$52:$B$58,0)+1,7)),1))*INDEX(TABLAS!$D$52:$D$58,MIN(MATCH(MAX(4,DATOS!$C$71),TABLAS!$B$52:$B$58,0)+1,7)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+1,7)),1)),MAX(MAX(DATOS!$C$74,CEILING(CC18/INDEX(TABLAS!$D$52:$D$58,MIN(MATCH(MAX(4,DATOS!$C$71),TABLAS!$B$52:$B$58,0)+1,7)),1)),2))&lt;=MIN(DATOS!$C$73,INT(((DATOS!$C$83-2*AK18)+MAX(DATOS!$C$70,INDEX(TABLAS!$C$52:$C$58,MIN(MATCH(MAX(4,DATOS!$C$71),TABLAS!$B$52:$B$58,0)+1,7))))/(INDEX(TABLAS!$C$52:$C$58,MIN(MATCH(MAX(4,DATOS!$C$71),TABLAS!$B$52:$B$58,0)+1,7))+MAX(DATOS!$C$70,INDEX(TABLAS!$C$52:$C$58,MIN(MATCH(MAX(4,DATOS!$C$71),TABLAS!$B$52:$B$58,0)+1,7))))))),INDEX(TABLAS!$B$52:$B$58,MIN(MATCH(MAX(4,DATOS!$C$71),TABLAS!$B$52:$B$58,0)+1,7)),IF(AND(CC18&gt;=0,IF(MAX(DATOS!$C$74,CEILING(CC18/INDEX(TABLAS!$D$52:$D$58,MIN(MATCH(MAX(4,DATOS!$C$71),TABLAS!$B$52:$B$58,0)+2,7)),1))*INDEX(TABLAS!$D$52:$D$58,MIN(MATCH(MAX(4,DATOS!$C$71),TABLAS!$B$52:$B$58,0)+2,7)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+2,7)),1)),MAX(MAX(DATOS!$C$74,CEILING(CC18/INDEX(TABLAS!$D$52:$D$58,MIN(MATCH(MAX(4,DATOS!$C$71),TABLAS!$B$52:$B$58,0)+2,7)),1)),2))&lt;=MIN(DATOS!$C$73,INT(((DATOS!$C$83-2*AK18)+MAX(DATOS!$C$70,INDEX(TABLAS!$C$52:$C$58,MIN(MATCH(MAX(4,DATOS!$C$71),TABLAS!$B$52:$B$58,0)+2,7))))/(INDEX(TABLAS!$C$52:$C$58,MIN(MATCH(MAX(4,DATOS!$C$71),TABLAS!$B$52:$B$58,0)+2,7))+MAX(DATOS!$C$70,INDEX(TABLAS!$C$52:$C$58,MIN(MATCH(MAX(4,DATOS!$C$71),TABLAS!$B$52:$B$58,0)+2,7))))))),INDEX(TABLAS!$B$52:$B$58,MIN(MATCH(MAX(4,DATOS!$C$71),TABLAS!$B$52:$B$58,0)+2,7)),IF(AND(CC18&gt;=0,IF(MAX(DATOS!$C$74,CEILING(CC18/INDEX(TABLAS!$D$52:$D$58,MIN(MATCH(MAX(4,DATOS!$C$71),TABLAS!$B$52:$B$58,0)+3,7)),1))*INDEX(TABLAS!$D$52:$D$58,MIN(MATCH(MAX(4,DATOS!$C$71),TABLAS!$B$52:$B$58,0)+3,7)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+3,7)),1)),MAX(MAX(DATOS!$C$74,CEILING(CC18/INDEX(TABLAS!$D$52:$D$58,MIN(MATCH(MAX(4,DATOS!$C$71),TABLAS!$B$52:$B$58,0)+3,7)),1)),2))&lt;=MIN(DATOS!$C$73,INT(((DATOS!$C$83-2*AK18)+MAX(DATOS!$C$70,INDEX(TABLAS!$C$52:$C$58,MIN(MATCH(MAX(4,DATOS!$C$71),TABLAS!$B$52:$B$58,0)+3,7))))/(INDEX(TABLAS!$C$52:$C$58,MIN(MATCH(MAX(4,DATOS!$C$71),TABLAS!$B$52:$B$58,0)+3,7))+MAX(DATOS!$C$70,INDEX(TABLAS!$C$52:$C$58,MIN(MATCH(MAX(4,DATOS!$C$71),TABLAS!$B$52:$B$58,0)+3,7))))))),INDEX(TABLAS!$B$52:$B$58,MIN(MATCH(MAX(4,DATOS!$C$71),TABLAS!$B$52:$B$58,0)+3,7)),IF(AND(CC18&gt;=0,IF(MAX(DATOS!$C$74,CEILING(CC18/INDEX(TABLAS!$D$52:$D$58,MIN(MATCH(MAX(4,DATOS!$C$71),TABLAS!$B$52:$B$58,0)+4,7)),1))*INDEX(TABLAS!$D$52:$D$58,MIN(MATCH(MAX(4,DATOS!$C$71),TABLAS!$B$52:$B$58,0)+4,7)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+4,7)),1)),MAX(MAX(DATOS!$C$74,CEILING(CC18/INDEX(TABLAS!$D$52:$D$58,MIN(MATCH(MAX(4,DATOS!$C$71),TABLAS!$B$52:$B$58,0)+4,7)),1)),2))&lt;=MIN(DATOS!$C$73,INT(((DATOS!$C$83-2*AK18)+MAX(DATOS!$C$70,INDEX(TABLAS!$C$52:$C$58,MIN(MATCH(MAX(4,DATOS!$C$71),TABLAS!$B$52:$B$58,0)+4,7))))/(INDEX(TABLAS!$C$52:$C$58,MIN(MATCH(MAX(4,DATOS!$C$71),TABLAS!$B$52:$B$58,0)+4,7))+MAX(DATOS!$C$70,INDEX(TABLAS!$C$52:$C$58,MIN(MATCH(MAX(4,DATOS!$C$71),TABLAS!$B$52:$B$58,0)+4,7))))))),INDEX(TABLAS!$B$52:$B$58,MIN(MATCH(MAX(4,DATOS!$C$71),TABLAS!$B$52:$B$58,0)+4,7)),INDEX(TABLAS!$B$52:$B$58,7)))))))</f>
        <v/>
      </c>
      <c r="CE18" s="59" t="str">
        <f>IF(V18&lt;&gt;"SÍ","",IF(CC18&lt;0,0,IF(MAX(DATOS!$C$74,CEILING(MAX(CC18,0)/INDEX(TABLAS!$D$52:$D$58,MATCH(CD18,TABLAS!$B$52:$B$58,0)),1))*INDEX(TABLAS!$D$52:$D$58,MATCH(CD18,TABLAS!$B$52:$B$58,0))&gt;=4/3*IF(BI18&lt;=0,0,IF((1-2*BI18*1E5/(DATOS!$C$29*AI18*CB18^2*DATOS!$C$21))&lt;0,-1,IF((1-SQRT((1-2*BI18*1E5/(DATOS!$C$29*AI18*CB18^2*DATOS!$C$21))))*DATOS!$C$21*AI18*CB18/DATOS!$C$14&gt;DATOS!$C$102*AI18*CB18,-1,(1-SQRT((1-2*BI18*1E5/(DATOS!$C$29*AI18*CB18^2*DATOS!$C$21))))*DATOS!$C$21*AI18*CB18/DATOS!$C$14)))-0.0001,MAX(DATOS!$C$74,CEILING(MAX(CC18,0)/INDEX(TABLAS!$D$52:$D$58,MATCH(CD18,TABLAS!$B$52:$B$58,0)),1)),MAX(MAX(DATOS!$C$74,CEILING(MAX(CC18,0)/INDEX(TABLAS!$D$52:$D$58,MATCH(CD18,TABLAS!$B$52:$B$58,0)),1)),2))))</f>
        <v/>
      </c>
      <c r="CF18" s="58" t="str">
        <f>IF(V18&lt;&gt;"SÍ","",DATOS!$C$85-AK18-INDEX(TABLAS!$C$52:$C$58,MATCH(BN18,TABLAS!$B$52:$B$58,0))-INDEX(TABLAS!$C$52:$C$58,MATCH(CD18,TABLAS!$B$52:$B$58,0))/2)</f>
        <v/>
      </c>
      <c r="CG18" s="56" t="str">
        <f>IF(V18&lt;&gt;"SÍ","",IF(CE18=0,0,DATOS!$C$29*CE18*INDEX(TABLAS!$D$52:$D$58,MATCH(CD18,TABLAS!$B$52:$B$58,0))*DATOS!$C$14*(CF18-CE18*INDEX(TABLAS!$D$52:$D$58,MATCH(CD18,TABLAS!$B$52:$B$58,0))*DATOS!$C$14/(DATOS!$C$21*AI18)/2)/1E5))</f>
        <v/>
      </c>
      <c r="CH18" s="65" t="str">
        <f>IF(V18&lt;&gt;"SÍ","",IF(CC18&lt;0,9.99,IF(CG18&gt;0,BI18/CG18,0)))</f>
        <v/>
      </c>
      <c r="CI18" s="66" t="str">
        <f>IF(V18&lt;&gt;"SÍ","",IF(CE18=0,"—",0.003*(CF18-(CE18*INDEX(TABLAS!$D$52:$D$58,MATCH(CD18,TABLAS!$B$52:$B$58,0))*DATOS!$C$14/(DATOS!$C$21*AI18)/DATOS!$C$22))/(CE18*INDEX(TABLAS!$D$52:$D$58,MATCH(CD18,TABLAS!$B$52:$B$58,0))*DATOS!$C$14/(DATOS!$C$21*AI18)/DATOS!$C$22)))</f>
        <v/>
      </c>
      <c r="CJ18" s="58" t="str">
        <f>IF(V18&lt;&gt;"SÍ","",((DATOS!$C$85-AM18-2*DATOS!$C$97-INDEX(TABLAS!$C$52:$C$58,MATCH(MAX(4,DATOS!$C$72),TABLAS!$B$52:$B$58,0))-INDEX(TABLAS!$C$52:$C$58,MATCH(MAX(4,DATOS!$C$72),TABLAS!$B$52:$B$58,0))/2)-IF(AND((DATOS!$C$85-AM18-2*DATOS!$C$97-INDEX(TABLAS!$C$52:$C$58,MATCH(MAX(4,DATOS!$C$72),TABLAS!$B$52:$B$58,0))-INDEX(TABLAS!$C$52:$C$58,MATCH(MAX(4,DATOS!$C$72),TABLAS!$B$52:$B$58,0))/2)&lt;=20,DATOS!$C$65&lt;&gt;"SÍ"),2,0)))</f>
        <v/>
      </c>
      <c r="CK18" s="58" t="str">
        <f>IF(V18&lt;&gt;"SÍ","",IF(IF(BJ18&lt;=0,0,IF((1-2*BJ18*1E5/(DATOS!$C$29*AG18*CJ18^2*DATOS!$C$21))&lt;0,-1,IF((1-SQRT((1-2*BJ18*1E5/(DATOS!$C$29*AG18*CJ18^2*DATOS!$C$21))))*DATOS!$C$21*AG18*CJ18/DATOS!$C$14&gt;DATOS!$C$102*AG18*CJ18,-1,(1-SQRT((1-2*BJ18*1E5/(DATOS!$C$29*AG18*CJ18^2*DATOS!$C$21))))*DATOS!$C$21*AG18*CJ18/DATOS!$C$14)))&lt;0,-1,MAX(IF(BJ18&lt;=0,0,IF((1-2*BJ18*1E5/(DATOS!$C$29*AG18*CJ18^2*DATOS!$C$21))&lt;0,-1,IF((1-SQRT((1-2*BJ18*1E5/(DATOS!$C$29*AG18*CJ18^2*DATOS!$C$21))))*DATOS!$C$21*AG18*CJ18/DATOS!$C$14&gt;DATOS!$C$102*AG18*CJ18,-1,(1-SQRT((1-2*BJ18*1E5/(DATOS!$C$29*AG18*CJ18^2*DATOS!$C$21))))*DATOS!$C$21*AG18*CJ18/DATOS!$C$14))),MIN(DATOS!$C$103*DATOS!$C$83*CJ18,4/3*IF(BJ18&lt;=0,0,IF((1-2*BJ18*1E5/(DATOS!$C$29*AG18*CJ18^2*DATOS!$C$21))&lt;0,-1,IF((1-SQRT((1-2*BJ18*1E5/(DATOS!$C$29*AG18*CJ18^2*DATOS!$C$21))))*DATOS!$C$21*AG18*CJ18/DATOS!$C$14&gt;DATOS!$C$102*AG18*CJ18,-1,(1-SQRT((1-2*BJ18*1E5/(DATOS!$C$29*AG18*CJ18^2*DATOS!$C$21))))*DATOS!$C$21*AG18*CJ18/DATOS!$C$14)))))))</f>
        <v/>
      </c>
      <c r="CL18" s="64" t="str">
        <f>IF(V18&lt;&gt;"SÍ","",IF(AND(CK18&gt;=0,IF(MAX(DATOS!$C$74,CEILING(CK18/INDEX(TABLAS!$D$52:$D$58,MIN(MATCH(MAX(4,DATOS!$C$72),TABLAS!$B$52:$B$58,0)+0,7)),1))*INDEX(TABLAS!$D$52:$D$58,MIN(MATCH(MAX(4,DATOS!$C$72),TABLAS!$B$52:$B$58,0)+0,7)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+0,7)),1)),MAX(MAX(DATOS!$C$74,CEILING(CK18/INDEX(TABLAS!$D$52:$D$58,MIN(MATCH(MAX(4,DATOS!$C$72),TABLAS!$B$52:$B$58,0)+0,7)),1)),2))&lt;=MIN(DATOS!$C$73,INT(((DATOS!$C$83-2*AL18)+MAX(DATOS!$C$70,INDEX(TABLAS!$C$52:$C$58,MIN(MATCH(MAX(4,DATOS!$C$72),TABLAS!$B$52:$B$58,0)+0,7))))/(INDEX(TABLAS!$C$52:$C$58,MIN(MATCH(MAX(4,DATOS!$C$72),TABLAS!$B$52:$B$58,0)+0,7))+MAX(DATOS!$C$70,INDEX(TABLAS!$C$52:$C$58,MIN(MATCH(MAX(4,DATOS!$C$72),TABLAS!$B$52:$B$58,0)+0,7))))))),INDEX(TABLAS!$B$52:$B$58,MIN(MATCH(MAX(4,DATOS!$C$72),TABLAS!$B$52:$B$58,0)+0,7)),IF(AND(CK18&gt;=0,IF(MAX(DATOS!$C$74,CEILING(CK18/INDEX(TABLAS!$D$52:$D$58,MIN(MATCH(MAX(4,DATOS!$C$72),TABLAS!$B$52:$B$58,0)+1,7)),1))*INDEX(TABLAS!$D$52:$D$58,MIN(MATCH(MAX(4,DATOS!$C$72),TABLAS!$B$52:$B$58,0)+1,7)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+1,7)),1)),MAX(MAX(DATOS!$C$74,CEILING(CK18/INDEX(TABLAS!$D$52:$D$58,MIN(MATCH(MAX(4,DATOS!$C$72),TABLAS!$B$52:$B$58,0)+1,7)),1)),2))&lt;=MIN(DATOS!$C$73,INT(((DATOS!$C$83-2*AL18)+MAX(DATOS!$C$70,INDEX(TABLAS!$C$52:$C$58,MIN(MATCH(MAX(4,DATOS!$C$72),TABLAS!$B$52:$B$58,0)+1,7))))/(INDEX(TABLAS!$C$52:$C$58,MIN(MATCH(MAX(4,DATOS!$C$72),TABLAS!$B$52:$B$58,0)+1,7))+MAX(DATOS!$C$70,INDEX(TABLAS!$C$52:$C$58,MIN(MATCH(MAX(4,DATOS!$C$72),TABLAS!$B$52:$B$58,0)+1,7))))))),INDEX(TABLAS!$B$52:$B$58,MIN(MATCH(MAX(4,DATOS!$C$72),TABLAS!$B$52:$B$58,0)+1,7)),IF(AND(CK18&gt;=0,IF(MAX(DATOS!$C$74,CEILING(CK18/INDEX(TABLAS!$D$52:$D$58,MIN(MATCH(MAX(4,DATOS!$C$72),TABLAS!$B$52:$B$58,0)+2,7)),1))*INDEX(TABLAS!$D$52:$D$58,MIN(MATCH(MAX(4,DATOS!$C$72),TABLAS!$B$52:$B$58,0)+2,7)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+2,7)),1)),MAX(MAX(DATOS!$C$74,CEILING(CK18/INDEX(TABLAS!$D$52:$D$58,MIN(MATCH(MAX(4,DATOS!$C$72),TABLAS!$B$52:$B$58,0)+2,7)),1)),2))&lt;=MIN(DATOS!$C$73,INT(((DATOS!$C$83-2*AL18)+MAX(DATOS!$C$70,INDEX(TABLAS!$C$52:$C$58,MIN(MATCH(MAX(4,DATOS!$C$72),TABLAS!$B$52:$B$58,0)+2,7))))/(INDEX(TABLAS!$C$52:$C$58,MIN(MATCH(MAX(4,DATOS!$C$72),TABLAS!$B$52:$B$58,0)+2,7))+MAX(DATOS!$C$70,INDEX(TABLAS!$C$52:$C$58,MIN(MATCH(MAX(4,DATOS!$C$72),TABLAS!$B$52:$B$58,0)+2,7))))))),INDEX(TABLAS!$B$52:$B$58,MIN(MATCH(MAX(4,DATOS!$C$72),TABLAS!$B$52:$B$58,0)+2,7)),IF(AND(CK18&gt;=0,IF(MAX(DATOS!$C$74,CEILING(CK18/INDEX(TABLAS!$D$52:$D$58,MIN(MATCH(MAX(4,DATOS!$C$72),TABLAS!$B$52:$B$58,0)+3,7)),1))*INDEX(TABLAS!$D$52:$D$58,MIN(MATCH(MAX(4,DATOS!$C$72),TABLAS!$B$52:$B$58,0)+3,7)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+3,7)),1)),MAX(MAX(DATOS!$C$74,CEILING(CK18/INDEX(TABLAS!$D$52:$D$58,MIN(MATCH(MAX(4,DATOS!$C$72),TABLAS!$B$52:$B$58,0)+3,7)),1)),2))&lt;=MIN(DATOS!$C$73,INT(((DATOS!$C$83-2*AL18)+MAX(DATOS!$C$70,INDEX(TABLAS!$C$52:$C$58,MIN(MATCH(MAX(4,DATOS!$C$72),TABLAS!$B$52:$B$58,0)+3,7))))/(INDEX(TABLAS!$C$52:$C$58,MIN(MATCH(MAX(4,DATOS!$C$72),TABLAS!$B$52:$B$58,0)+3,7))+MAX(DATOS!$C$70,INDEX(TABLAS!$C$52:$C$58,MIN(MATCH(MAX(4,DATOS!$C$72),TABLAS!$B$52:$B$58,0)+3,7))))))),INDEX(TABLAS!$B$52:$B$58,MIN(MATCH(MAX(4,DATOS!$C$72),TABLAS!$B$52:$B$58,0)+3,7)),IF(AND(CK18&gt;=0,IF(MAX(DATOS!$C$74,CEILING(CK18/INDEX(TABLAS!$D$52:$D$58,MIN(MATCH(MAX(4,DATOS!$C$72),TABLAS!$B$52:$B$58,0)+4,7)),1))*INDEX(TABLAS!$D$52:$D$58,MIN(MATCH(MAX(4,DATOS!$C$72),TABLAS!$B$52:$B$58,0)+4,7)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+4,7)),1)),MAX(MAX(DATOS!$C$74,CEILING(CK18/INDEX(TABLAS!$D$52:$D$58,MIN(MATCH(MAX(4,DATOS!$C$72),TABLAS!$B$52:$B$58,0)+4,7)),1)),2))&lt;=MIN(DATOS!$C$73,INT(((DATOS!$C$83-2*AL18)+MAX(DATOS!$C$70,INDEX(TABLAS!$C$52:$C$58,MIN(MATCH(MAX(4,DATOS!$C$72),TABLAS!$B$52:$B$58,0)+4,7))))/(INDEX(TABLAS!$C$52:$C$58,MIN(MATCH(MAX(4,DATOS!$C$72),TABLAS!$B$52:$B$58,0)+4,7))+MAX(DATOS!$C$70,INDEX(TABLAS!$C$52:$C$58,MIN(MATCH(MAX(4,DATOS!$C$72),TABLAS!$B$52:$B$58,0)+4,7))))))),INDEX(TABLAS!$B$52:$B$58,MIN(MATCH(MAX(4,DATOS!$C$72),TABLAS!$B$52:$B$58,0)+4,7)),INDEX(TABLAS!$B$52:$B$58,7)))))))</f>
        <v/>
      </c>
      <c r="CM18" s="59" t="str">
        <f>IF(V18&lt;&gt;"SÍ","",IF(CK18&lt;0,0,IF(MAX(DATOS!$C$74,CEILING(MAX(CK18,0)/INDEX(TABLAS!$D$52:$D$58,MATCH(CL18,TABLAS!$B$52:$B$58,0)),1))*INDEX(TABLAS!$D$52:$D$58,MATCH(CL18,TABLAS!$B$52:$B$58,0))&gt;=4/3*IF(BJ18&lt;=0,0,IF((1-2*BJ18*1E5/(DATOS!$C$29*AG18*CJ18^2*DATOS!$C$21))&lt;0,-1,IF((1-SQRT((1-2*BJ18*1E5/(DATOS!$C$29*AG18*CJ18^2*DATOS!$C$21))))*DATOS!$C$21*AG18*CJ18/DATOS!$C$14&gt;DATOS!$C$102*AG18*CJ18,-1,(1-SQRT((1-2*BJ18*1E5/(DATOS!$C$29*AG18*CJ18^2*DATOS!$C$21))))*DATOS!$C$21*AG18*CJ18/DATOS!$C$14)))-0.0001,MAX(DATOS!$C$74,CEILING(MAX(CK18,0)/INDEX(TABLAS!$D$52:$D$58,MATCH(CL18,TABLAS!$B$52:$B$58,0)),1)),MAX(MAX(DATOS!$C$74,CEILING(MAX(CK18,0)/INDEX(TABLAS!$D$52:$D$58,MATCH(CL18,TABLAS!$B$52:$B$58,0)),1)),2))))</f>
        <v/>
      </c>
      <c r="CN18" s="58" t="str">
        <f>IF(V18&lt;&gt;"SÍ","",((DATOS!$C$85-AM18-2*DATOS!$C$97-INDEX(TABLAS!$C$52:$C$58,MATCH(BV18,TABLAS!$B$52:$B$58,0))-INDEX(TABLAS!$C$52:$C$58,MATCH(CL18,TABLAS!$B$52:$B$58,0))/2)-IF(AND((DATOS!$C$85-AM18-2*DATOS!$C$97-INDEX(TABLAS!$C$52:$C$58,MATCH(BV18,TABLAS!$B$52:$B$58,0))-INDEX(TABLAS!$C$52:$C$58,MATCH(CL18,TABLAS!$B$52:$B$58,0))/2)&lt;=20,DATOS!$C$65&lt;&gt;"SÍ"),2,0)))</f>
        <v/>
      </c>
      <c r="CO18" s="56" t="str">
        <f>IF(V18&lt;&gt;"SÍ","",IF(CM18=0,0,DATOS!$C$29*CM18*INDEX(TABLAS!$D$52:$D$58,MATCH(CL18,TABLAS!$B$52:$B$58,0))*DATOS!$C$14*(CN18-CM18*INDEX(TABLAS!$D$52:$D$58,MATCH(CL18,TABLAS!$B$52:$B$58,0))*DATOS!$C$14/(DATOS!$C$21*AG18)/2)/1E5))</f>
        <v/>
      </c>
      <c r="CP18" s="65" t="str">
        <f>IF(V18&lt;&gt;"SÍ","",IF(CK18&lt;0,9.99,IF(CO18&gt;0,BJ18/CO18,0)))</f>
        <v/>
      </c>
      <c r="CQ18" s="66" t="str">
        <f>IF(V18&lt;&gt;"SÍ","",IF(CM18=0,"—",0.003*(CN18-(CM18*INDEX(TABLAS!$D$52:$D$58,MATCH(CL18,TABLAS!$B$52:$B$58,0))*DATOS!$C$14/(DATOS!$C$21*AG18)/DATOS!$C$22))/(CM18*INDEX(TABLAS!$D$52:$D$58,MATCH(CL18,TABLAS!$B$52:$B$58,0))*DATOS!$C$14/(DATOS!$C$21*AG18)/DATOS!$C$22)))</f>
        <v/>
      </c>
      <c r="CR18" s="56" t="str">
        <f>IF(V18&lt;&gt;"SÍ","",IF(C18="PERIMETRAL",MAX(0,(AB18/2-BX18)/100)*(0.95-0.5*AA18)*AR18*IF(AND(AS18&gt;0,AS18&lt;4),DATOS!$C$33,1)*DATOS!$C$86/100/1000,(AR18*MAX(0,AB18-BX18)/100+DATOS!$C$26*N(O18))*DATOS!$C$86/100/1000+BF18))</f>
        <v/>
      </c>
      <c r="CS18" s="56" t="str">
        <f>IF(V18&lt;&gt;"SÍ","",DATOS!$C$30*2*MIN(1,SQRT(2/(1+0.04*BX18)))*(BW18*INDEX(TABLAS!$D$52:$D$58,MATCH(BV18,TABLAS!$B$52:$B$58,0))/(AF18*BX18))^(1/3)*SQRT(DATOS!$C$13)*AF18*BX18*IF(AJ18="SÍ",DATOS!$C$32,1)/1000)</f>
        <v/>
      </c>
      <c r="CT18" s="59" t="str">
        <f>IF(V18&lt;&gt;"SÍ","",IF(CR18&lt;=CS18,0,CEILING(MAX(0,IF(C18="VOLADO",(AB18-((CS18-BF18)*1E5/DATOS!$C$86-DATOS!$C$26*N(O18))*100/AR18),IF(CS18&lt;=0,AB18,AB18/2-CS18/MAX(CR18,1E-9)*(AB18/2-BX18)))-IF(X18="X",MIN(DJ18,DK18),MIN(DL18,DM18)))/DATOS!$C$86,1)))</f>
        <v/>
      </c>
      <c r="CU18" s="67" t="str">
        <f>IF(V18&lt;&gt;"SÍ","",IF(CR18&lt;=CS18,"CUMPLE",IF(CT18&lt;=0,"CUMPLE (basta el macizo de orilla)",IF(CT18*DATOS!$C$86*IF(C18="VOLADO",1,2)&gt;=Y18*100-DATOS!$C$87,"NO CUMPLE: no alcanza ni macizando todo","MACIZAR "&amp;CT18&amp;" hilera(s)"))))</f>
        <v/>
      </c>
      <c r="CV18" s="58" t="str">
        <f>IF(V18&lt;&gt;"SÍ","",(DATOS!$C$86*DATOS!$C$84^2/2+MIN(DATOS!$C$83,AD18)*DATOS!$C$82*(DATOS!$C$84+DATOS!$C$82/2))/(DATOS!$C$86*DATOS!$C$84+MIN(DATOS!$C$83,AD18)*DATOS!$C$82))</f>
        <v/>
      </c>
      <c r="CW18" s="68" t="str">
        <f>IF(V18&lt;&gt;"SÍ","",DATOS!$C$86*DATOS!$C$84^3/12+DATOS!$C$86*DATOS!$C$84*(CV18-DATOS!$C$84/2)^2+MIN(DATOS!$C$83,AD18)*DATOS!$C$82^3/12+MIN(DATOS!$C$83,AD18)*DATOS!$C$82*(DATOS!$C$84+DATOS!$C$82/2-CV18)^2)</f>
        <v/>
      </c>
      <c r="CX18" s="58" t="str">
        <f>IF(V18&lt;&gt;"SÍ","",(12*CW18/DATOS!$C$86)^(1/3))</f>
        <v/>
      </c>
      <c r="CY18" s="58" t="str">
        <f>IF(V18&lt;&gt;"SÍ","",IF(C18="PERIMETRAL",IF(ISNUMBER(S18),S18,DATOS!$C$104),0))</f>
        <v/>
      </c>
      <c r="CZ18" s="57" t="str">
        <f>IF(V18&lt;&gt;"SÍ","",IF(C18="PERIMETRAL",IF(CY18&gt;2,MAX(9,AC18*(0.8+DATOS!$C$14/14000)/(36+9*(AC18/MAX(AB18,1)))),IF(CY18&gt;0.2,MAX(13,AC18*(0.8+DATOS!$C$14/14000)/(36+5*(AC18/MAX(AB18,1))*(CY18-0.2))),MAX(13,AC18/IF(AS18&gt;0,30,33))))*IF(AND(CY18&gt;0.2,AS18&gt;0,DATOS!$C$105="NO"),1.1,1),MAX(25,Y18*100/8*(0.4+DATOS!$C$14/7000))))</f>
        <v/>
      </c>
      <c r="DA18" s="61" t="str">
        <f>IF(V18&lt;&gt;"SÍ","",IF(IF(C18="VOLADO",DATOS!$C$85,CX18)&gt;=CZ18,"CUMPLE",IF(C18="VOLADO","NO CUMPLE","CALCULAR FLECHA")))</f>
        <v/>
      </c>
      <c r="DB18" s="55" t="str">
        <f>IF(V18&lt;&gt;"SÍ","",IF(DATOS!$C$84&gt;=IF(IF(C18="VOLADO",Y18,Z18)&gt;=6,6,5),"CUMPLE","CAPA ≥ 6 cm"))</f>
        <v/>
      </c>
      <c r="DC18" s="60" t="str">
        <f>IF(V18&lt;&gt;"SÍ","",IF(C18="VOLADO",MIN(FLOOR(IF(ISNUMBER(P18),P18,Y18)*100-DATOS!$C$63,5),CEILING(MAX(IF((0.5*(0.9*DATOS!$C$90*DATOS!$C$86/100/1000)*IF(ISNUMBER(P18),P18,Y18)+BH18/IF(ISNUMBER(P18),P18,Y18))^2-4*(0.5*(0.9*DATOS!$C$90*DATOS!$C$86/100/1000))*BH18&lt;0,IF(ISNUMBER(P18),P18,Y18),MIN(IF(ISNUMBER(P18),P18,Y18),((0.5*(0.9*DATOS!$C$90*DATOS!$C$86/100/1000)*IF(ISNUMBER(P18),P18,Y18)+BH18/IF(ISNUMBER(P18),P18,Y18))-SQRT((0.5*(0.9*DATOS!$C$90*DATOS!$C$86/100/1000)*IF(ISNUMBER(P18),P18,Y18)+BH18/IF(ISNUMBER(P18),P18,Y18))^2-4*(0.5*(0.9*DATOS!$C$90*DATOS!$C$86/100/1000))*BH18))/(2*(0.5*(0.9*DATOS!$C$90*DATOS!$C$86/100/1000)))))*100+MAX(BX18,12*INDEX(TABLAS!$C$52:$C$58,MATCH(BV18,TABLAS!$B$52:$B$58,0)),IF(ISNUMBER(P18),P18,Y18)*100/16),IF(OR(AL18&lt;INDEX(TABLAS!$C$52:$C$58,MATCH(BV18,TABLAS!$B$52:$B$58,0)),AND(BW18&gt;=2,(AD18-2*AL18-BW18*INDEX(TABLAS!$C$52:$C$58,MATCH(BV18,TABLAS!$B$52:$B$58,0)))/MAX(BW18-1,1)&lt;2*INDEX(TABLAS!$C$52:$C$58,MATCH(BV18,TABLAS!$B$52:$B$58,0)))),INDEX(TABLAS!$I$52:$I$58,MATCH(BV18,TABLAS!$B$52:$B$58,0)),INDEX(TABLAS!$F$52:$F$58,MATCH(BV18,TABLAS!$B$52:$B$58,0)))),5)),IF(((4*((BC18*AR18*Y18^2*1E-4*DATOS!$C$86/100/1000)+((MAX(AY18,BA18)*AR18*Y18^2*1E-4*DATOS!$C$86/100/1000)+(IF(AND(AY18&gt;0,BA18&gt;0),MIN(AY18,BA18),MAX(AY18,BA18))*AR18*Y18^2*1E-4*DATOS!$C$86/100/1000))/2)+BH18-(IF(AND(AY18&gt;0,BA18&gt;0),MIN(AY18,BA18),MAX(AY18,BA18))*AR18*Y18^2*1E-4*DATOS!$C$86/100/1000))^2-16*((BC18*AR18*Y18^2*1E-4*DATOS!$C$86/100/1000)+((MAX(AY18,BA18)*AR18*Y18^2*1E-4*DATOS!$C$86/100/1000)+(IF(AND(AY18&gt;0,BA18&gt;0),MIN(AY18,BA18),MAX(AY18,BA18))*AR18*Y18^2*1E-4*DATOS!$C$86/100/1000))/2)*BH18)&lt;0,CEILING(AB18,5),CEILING(MAX(AB18*((4*((BC18*AR18*Y18^2*1E-4*DATOS!$C$86/100/1000)+((MAX(AY18,BA18)*AR18*Y18^2*1E-4*DATOS!$C$86/100/1000)+(IF(AND(AY18&gt;0,BA18&gt;0),MIN(AY18,BA18),MAX(AY18,BA18))*AR18*Y18^2*1E-4*DATOS!$C$86/100/1000))/2)+BH18-(IF(AND(AY18&gt;0,BA18&gt;0),MIN(AY18,BA18),MAX(AY18,BA18))*AR18*Y18^2*1E-4*DATOS!$C$86/100/1000))-SQRT(MAX(0,((4*((BC18*AR18*Y18^2*1E-4*DATOS!$C$86/100/1000)+((MAX(AY18,BA18)*AR18*Y18^2*1E-4*DATOS!$C$86/100/1000)+(IF(AND(AY18&gt;0,BA18&gt;0),MIN(AY18,BA18),MAX(AY18,BA18))*AR18*Y18^2*1E-4*DATOS!$C$86/100/1000))/2)+BH18-(IF(AND(AY18&gt;0,BA18&gt;0),MIN(AY18,BA18),MAX(AY18,BA18))*AR18*Y18^2*1E-4*DATOS!$C$86/100/1000))^2-16*((BC18*AR18*Y18^2*1E-4*DATOS!$C$86/100/1000)+((MAX(AY18,BA18)*AR18*Y18^2*1E-4*DATOS!$C$86/100/1000)+(IF(AND(AY18&gt;0,BA18&gt;0),MIN(AY18,BA18),MAX(AY18,BA18))*AR18*Y18^2*1E-4*DATOS!$C$86/100/1000))/2)*BH18))))/(8*MAX(((BC18*AR18*Y18^2*1E-4*DATOS!$C$86/100/1000)+((MAX(AY18,BA18)*AR18*Y18^2*1E-4*DATOS!$C$86/100/1000)+(IF(AND(AY18&gt;0,BA18&gt;0),MIN(AY18,BA18),MAX(AY18,BA18))*AR18*Y18^2*1E-4*DATOS!$C$86/100/1000))/2),1E-9))+MAX(BX18,12*INDEX(TABLAS!$C$52:$C$58,MATCH(BV18,TABLAS!$B$52:$B$58,0)),AB18/16),IF(OR(AL18&lt;INDEX(TABLAS!$C$52:$C$58,MATCH(BV18,TABLAS!$B$52:$B$58,0)),AND(BW18&gt;=2,(AD18-2*AL18-BW18*INDEX(TABLAS!$C$52:$C$58,MATCH(BV18,TABLAS!$B$52:$B$58,0)))/MAX(BW18-1,1)&lt;2*INDEX(TABLAS!$C$52:$C$58,MATCH(BV18,TABLAS!$B$52:$B$58,0)))),INDEX(TABLAS!$I$52:$I$58,MATCH(BV18,TABLAS!$B$52:$B$58,0)),INDEX(TABLAS!$F$52:$F$58,MATCH(BV18,TABLAS!$B$52:$B$58,0)))),5))))</f>
        <v/>
      </c>
      <c r="DD18" s="60" t="str">
        <f>IF(V18&lt;&gt;"SÍ","",IF(C18="VOLADO",0,IF(((4*((BD18*AR18*Y18^2*1E-4*DATOS!$C$86/100/1000)+((MAX(AZ18,BB18)*AR18*Y18^2*1E-4*DATOS!$C$86/100/1000)+(IF(AND(AZ18&gt;0,BB18&gt;0),MIN(AZ18,BB18),MAX(AZ18,BB18))*AR18*Y18^2*1E-4*DATOS!$C$86/100/1000))/2)+BJ18-(IF(AND(AZ18&gt;0,BB18&gt;0),MIN(AZ18,BB18),MAX(AZ18,BB18))*AR18*Y18^2*1E-4*DATOS!$C$86/100/1000))^2-16*((BD18*AR18*Y18^2*1E-4*DATOS!$C$86/100/1000)+((MAX(AZ18,BB18)*AR18*Y18^2*1E-4*DATOS!$C$86/100/1000)+(IF(AND(AZ18&gt;0,BB18&gt;0),MIN(AZ18,BB18),MAX(AZ18,BB18))*AR18*Y18^2*1E-4*DATOS!$C$86/100/1000))/2)*BJ18)&lt;0,CEILING(AC18,5),CEILING(MAX(AC18*((4*((BD18*AR18*Y18^2*1E-4*DATOS!$C$86/100/1000)+((MAX(AZ18,BB18)*AR18*Y18^2*1E-4*DATOS!$C$86/100/1000)+(IF(AND(AZ18&gt;0,BB18&gt;0),MIN(AZ18,BB18),MAX(AZ18,BB18))*AR18*Y18^2*1E-4*DATOS!$C$86/100/1000))/2)+BJ18-(IF(AND(AZ18&gt;0,BB18&gt;0),MIN(AZ18,BB18),MAX(AZ18,BB18))*AR18*Y18^2*1E-4*DATOS!$C$86/100/1000))-SQRT(MAX(0,((4*((BD18*AR18*Y18^2*1E-4*DATOS!$C$86/100/1000)+((MAX(AZ18,BB18)*AR18*Y18^2*1E-4*DATOS!$C$86/100/1000)+(IF(AND(AZ18&gt;0,BB18&gt;0),MIN(AZ18,BB18),MAX(AZ18,BB18))*AR18*Y18^2*1E-4*DATOS!$C$86/100/1000))/2)+BJ18-(IF(AND(AZ18&gt;0,BB18&gt;0),MIN(AZ18,BB18),MAX(AZ18,BB18))*AR18*Y18^2*1E-4*DATOS!$C$86/100/1000))^2-16*((BD18*AR18*Y18^2*1E-4*DATOS!$C$86/100/1000)+((MAX(AZ18,BB18)*AR18*Y18^2*1E-4*DATOS!$C$86/100/1000)+(IF(AND(AZ18&gt;0,BB18&gt;0),MIN(AZ18,BB18),MAX(AZ18,BB18))*AR18*Y18^2*1E-4*DATOS!$C$86/100/1000))/2)*BJ18))))/(8*MAX(((BD18*AR18*Y18^2*1E-4*DATOS!$C$86/100/1000)+((MAX(AZ18,BB18)*AR18*Y18^2*1E-4*DATOS!$C$86/100/1000)+(IF(AND(AZ18&gt;0,BB18&gt;0),MIN(AZ18,BB18),MAX(AZ18,BB18))*AR18*Y18^2*1E-4*DATOS!$C$86/100/1000))/2),1E-9))+MAX(CN18,12*INDEX(TABLAS!$C$52:$C$58,MATCH(CL18,TABLAS!$B$52:$B$58,0)),AC18/16),IF(OR(AL18&lt;INDEX(TABLAS!$C$52:$C$58,MATCH(CL18,TABLAS!$B$52:$B$58,0)),AND(CM18&gt;=2,(DATOS!$C$83-2*AL18-CM18*INDEX(TABLAS!$C$52:$C$58,MATCH(CL18,TABLAS!$B$52:$B$58,0)))/MAX(CM18-1,1)&lt;2*INDEX(TABLAS!$C$52:$C$58,MATCH(CL18,TABLAS!$B$52:$B$58,0)))),INDEX(TABLAS!$I$52:$I$58,MATCH(CL18,TABLAS!$B$52:$B$58,0)),INDEX(TABLAS!$F$52:$F$58,MATCH(CL18,TABLAS!$B$52:$B$58,0)))),5))))</f>
        <v/>
      </c>
      <c r="DE18" s="55" t="str">
        <f>IF(V18&lt;&gt;"SÍ","",IF(AND(C18="PERIMETRAL",BW18&gt;=2,AS18-AT18&gt;0,BA18*AR18*Y18^2*1E-4*DATOS!$C$86/100/1000&gt;DATOS!$C$29*INDEX(TABLAS!$D$52:$D$58,MATCH(BV18,TABLAS!$B$52:$B$58,0))*DATOS!$C$14*(BX18-INDEX(TABLAS!$D$52:$D$58,MATCH(BV18,TABLAS!$B$52:$B$58,0))*DATOS!$C$14/(DATOS!$C$21*AF18)/2)/1E5),"SÍ","NO"))</f>
        <v/>
      </c>
      <c r="DF18" s="55" t="str">
        <f>IF(V18&lt;&gt;"SÍ","",IF(AND(C18="PERIMETRAL",CM18&gt;=2,AT18&gt;0,BB18*AR18*Y18^2*1E-4*DATOS!$C$86/100/1000&gt;DATOS!$C$29*INDEX(TABLAS!$D$52:$D$58,MATCH(CL18,TABLAS!$B$52:$B$58,0))*DATOS!$C$14*(CN18-INDEX(TABLAS!$D$52:$D$58,MATCH(CL18,TABLAS!$B$52:$B$58,0))*DATOS!$C$14/(DATOS!$C$21*AG18)/2)/1E5),"SÍ","NO"))</f>
        <v/>
      </c>
      <c r="DG18" s="63" t="str">
        <f>IF(V18&lt;&gt;"SÍ","",IF(OR(C18="VOLADO",AS18=0),"—",IF(AND(AND(1.25*INDEX(TABLAS!$G$52:$G$58,MATCH(MAX(BN18,CD18),TABLAS!$B$52:$B$58,0))&lt;=(DATOS!$C$75-DATOS!$C$63),(DATOS!$C$75-DATOS!$C$63)&gt;=15,INDEX(TABLAS!$G$52:$G$58,MATCH(MAX(BV18,CL18),TABLAS!$B$52:$B$58,0))&lt;=(DATOS!$C$75-DATOS!$C$63)),8*INDEX(TABLAS!$C$52:$C$58,MATCH(MAX(MAX(BN18,CD18),MAX(BV18,CL18)),TABLAS!$B$52:$B$58,0))&lt;=DATOS!$C$76-2*DATOS!$C$63),"CUMPLE (gancho de 180°)",IF(AND(1.25*INDEX(TABLAS!$G$52:$G$58,MATCH(MAX(BN18,CD18),TABLAS!$B$52:$B$58,0))&lt;=(DATOS!$C$75-DATOS!$C$63),(DATOS!$C$75-DATOS!$C$63)&gt;=15,INDEX(TABLAS!$G$52:$G$58,MATCH(MAX(BV18,CL18),TABLAS!$B$52:$B$58,0))&lt;=(DATOS!$C$75-DATOS!$C$63)),"NO CUMPLE: el gancho de 180° (8·d_b) no cabe en el peralte de la dala de borde","NO CUMPLE: dala de borde ≥ "&amp;TEXT(CEILING(MAX(1.25*INDEX(TABLAS!$G$52:$G$58,MATCH(MAX(BN18,CD18),TABLAS!$B$52:$B$58,0)),15,INDEX(TABLAS!$G$52:$G$58,MATCH(MAX(BV18,CL18),TABLAS!$B$52:$B$58,0)))+DATOS!$C$63,5),"0")&amp;" cm de ancho"&amp;IF(8*INDEX(TABLAS!$C$52:$C$58,MATCH(MAX(MAX(BN18,CD18),MAX(BV18,CL18)),TABLAS!$B$52:$B$58,0))&lt;=DATOS!$C$76-2*DATOS!$C$63,""," y más peralte para el gancho")))))</f>
        <v/>
      </c>
      <c r="DH18" s="59" t="str">
        <f>IF(V18&lt;&gt;"SÍ","",MAX(0,INT((E18*100-DATOS!$C$87-IF(AND(C18="PERIMETRAL",I18="DISCONTINUO"),MAX(0,DATOS!$C$75-DATOS!$C$87),0)-IF(AND(C18="PERIMETRAL",J18="DISCONTINUO"),MAX(0,DATOS!$C$75-DATOS!$C$87),0)+DATOS!$C$86-IF(X18="X",DATOS!$C$81,AE18))/DATOS!$C$86)))</f>
        <v/>
      </c>
      <c r="DI18" s="59" t="str">
        <f>IF(V18&lt;&gt;"SÍ","",MAX(0,INT((F18*100-DATOS!$C$87-IF(AND(C18="PERIMETRAL",G18="DISCONTINUO"),MAX(0,DATOS!$C$75-DATOS!$C$87),0)-IF(AND(C18="PERIMETRAL",H18="DISCONTINUO"),MAX(0,DATOS!$C$75-DATOS!$C$87),0)+DATOS!$C$86-IF(X18="Y",DATOS!$C$81,AE18))/DATOS!$C$86)))</f>
        <v/>
      </c>
      <c r="DJ18" s="57" t="str">
        <f>IF(V18&lt;&gt;"SÍ","",IF(DH18&gt;0,IF(AND(C18="PERIMETRAL",I18="DISCONTINUO"),MAX(0,DATOS!$C$75-DATOS!$C$87),0)+(E18*100-DATOS!$C$87-IF(AND(C18="PERIMETRAL",I18="DISCONTINUO"),MAX(0,DATOS!$C$75-DATOS!$C$87),0)-IF(AND(C18="PERIMETRAL",J18="DISCONTINUO"),MAX(0,DATOS!$C$75-DATOS!$C$87),0)-(DH18*IF(X18="X",DATOS!$C$81,AE18)+(DH18-1)*(DATOS!$C$86-IF(X18="X",DATOS!$C$81,AE18))))/2,E18*100/2))</f>
        <v/>
      </c>
      <c r="DK18" s="57" t="str">
        <f>IF(V18&lt;&gt;"SÍ","",IF(DH18&gt;0,IF(AND(C18="PERIMETRAL",J18="DISCONTINUO"),MAX(0,DATOS!$C$75-DATOS!$C$87),0)+(E18*100-DATOS!$C$87-IF(AND(C18="PERIMETRAL",I18="DISCONTINUO"),MAX(0,DATOS!$C$75-DATOS!$C$87),0)-IF(AND(C18="PERIMETRAL",J18="DISCONTINUO"),MAX(0,DATOS!$C$75-DATOS!$C$87),0)-(DH18*IF(X18="X",DATOS!$C$81,AE18)+(DH18-1)*(DATOS!$C$86-IF(X18="X",DATOS!$C$81,AE18))))/2,E18*100/2))</f>
        <v/>
      </c>
      <c r="DL18" s="57" t="str">
        <f>IF(V18&lt;&gt;"SÍ","",IF(DI18&gt;0,IF(AND(C18="PERIMETRAL",G18="DISCONTINUO"),MAX(0,DATOS!$C$75-DATOS!$C$87),0)+(F18*100-DATOS!$C$87-IF(AND(C18="PERIMETRAL",G18="DISCONTINUO"),MAX(0,DATOS!$C$75-DATOS!$C$87),0)-IF(AND(C18="PERIMETRAL",H18="DISCONTINUO"),MAX(0,DATOS!$C$75-DATOS!$C$87),0)-(DI18*IF(X18="Y",DATOS!$C$81,AE18)+(DI18-1)*(DATOS!$C$86-IF(X18="Y",DATOS!$C$81,AE18))))/2,F18*100/2))</f>
        <v/>
      </c>
      <c r="DM18" s="57" t="str">
        <f>IF(V18&lt;&gt;"SÍ","",IF(DI18&gt;0,IF(AND(C18="PERIMETRAL",H18="DISCONTINUO"),MAX(0,DATOS!$C$75-DATOS!$C$87),0)+(F18*100-DATOS!$C$87-IF(AND(C18="PERIMETRAL",G18="DISCONTINUO"),MAX(0,DATOS!$C$75-DATOS!$C$87),0)-IF(AND(C18="PERIMETRAL",H18="DISCONTINUO"),MAX(0,DATOS!$C$75-DATOS!$C$87),0)-(DI18*IF(X18="Y",DATOS!$C$81,AE18)+(DI18-1)*(DATOS!$C$86-IF(X18="Y",DATOS!$C$81,AE18))))/2,F18*100/2))</f>
        <v/>
      </c>
      <c r="DN18" s="59" t="str">
        <f>IF(V18&lt;&gt;"SÍ","",IF(NOT(AND(C18="VOLADO",AD18&gt;DATOS!$C$83)),0,IF(INDEX(TABLAS!$C$52:$C$58,MATCH(BV18,TABLAS!$B$52:$B$58,0))&lt;=DATOS!$C$83-2*DATOS!$C$63,1,0)))</f>
        <v/>
      </c>
      <c r="DO18" s="58" t="str">
        <f>IF(V18&lt;&gt;"SÍ","",IF(NOT(AND(C18="VOLADO",AD18&gt;DATOS!$C$83)),0,((DATOS!$C$85-MAX(DATOS!$C$63,(DATOS!$C$84-2*DATOS!$C$97)/2)-2*DATOS!$C$97-INDEX(TABLAS!$C$52:$C$58,MATCH(MAX(4,DATOS!$C$72),TABLAS!$B$52:$B$58,0))-INDEX(TABLAS!$C$52:$C$58,MATCH(BV18,TABLAS!$B$52:$B$58,0))/2)-IF(AND((DATOS!$C$85-MAX(DATOS!$C$63,(DATOS!$C$84-2*DATOS!$C$97)/2)-2*DATOS!$C$97-INDEX(TABLAS!$C$52:$C$58,MATCH(MAX(4,DATOS!$C$72),TABLAS!$B$52:$B$58,0))-INDEX(TABLAS!$C$52:$C$58,MATCH(BV18,TABLAS!$B$52:$B$58,0))/2)&lt;=20,DATOS!$C$65&lt;&gt;"SÍ"),2,0))))</f>
        <v/>
      </c>
      <c r="DP18" s="56" t="str">
        <f>IF(V18&lt;&gt;"SÍ","",IF(OR(NOT(AND(C18="VOLADO",AD18&gt;DATOS!$C$83)),DN18&lt;1),0,IF(0.003*(DO18-((DN18*INDEX(TABLAS!$D$52:$D$58,MATCH(BV18,TABLAS!$B$52:$B$58,0)))*DATOS!$C$14/(DATOS!$C$21*AG18)/DATOS!$C$22))/((DN18*INDEX(TABLAS!$D$52:$D$58,MATCH(BV18,TABLAS!$B$52:$B$58,0)))*DATOS!$C$14/(DATOS!$C$21*AG18)/DATOS!$C$22)&lt;0.005,0,DATOS!$C$29*(DN18*INDEX(TABLAS!$D$52:$D$58,MATCH(BV18,TABLAS!$B$52:$B$58,0)))*DATOS!$C$14*(DO18-(DN18*INDEX(TABLAS!$D$52:$D$58,MATCH(BV18,TABLAS!$B$52:$B$58,0)))*DATOS!$C$14/(DATOS!$C$21*AG18)/2)/1E5)))</f>
        <v/>
      </c>
      <c r="DQ18" s="56" t="str">
        <f>IF(V18&lt;&gt;"SÍ","",IF(OR(NOT(AND(C18="VOLADO",AD18&gt;DATOS!$C$83)),DN18&lt;1),0,DATOS!$C$30*2*MIN(1,SQRT(2/(1+0.04*DO18)))*((DN18*INDEX(TABLAS!$D$52:$D$58,MATCH(BV18,TABLAS!$B$52:$B$58,0)))/(AG18*DO18))^(1/3)*SQRT(DATOS!$C$13)*AG18*DO18/1000))</f>
        <v/>
      </c>
      <c r="DR18" s="56" t="str">
        <f>IF(V18&lt;&gt;"SÍ","",IF(NOT(AND(C18="VOLADO",AD18&gt;DATOS!$C$83)),0,IF((BH18-DP18)&lt;=0,0,IF(DP18&lt;=0,IF(ISNUMBER(P18),P18,Y18),IF(((0.9*DATOS!$C$90*DATOS!$C$86/100/1000)*IF(ISNUMBER(P18),P18,Y18)/2+BH18/IF(ISNUMBER(P18),P18,Y18))^2-4*((0.9*DATOS!$C$90*DATOS!$C$86/100/1000)/2)*(BH18-DP18)&lt;0,IF(ISNUMBER(P18),P18,Y18),MIN(IF(ISNUMBER(P18),P18,Y18),(((0.9*DATOS!$C$90*DATOS!$C$86/100/1000)*IF(ISNUMBER(P18),P18,Y18)/2+BH18/IF(ISNUMBER(P18),P18,Y18))-SQRT(((0.9*DATOS!$C$90*DATOS!$C$86/100/1000)*IF(ISNUMBER(P18),P18,Y18)/2+BH18/IF(ISNUMBER(P18),P18,Y18))^2-4*((0.9*DATOS!$C$90*DATOS!$C$86/100/1000)/2)*(BH18-DP18)))/(2*((0.9*DATOS!$C$90*DATOS!$C$86/100/1000)/2))))))))</f>
        <v/>
      </c>
      <c r="DS18" s="56" t="str">
        <f>IF(V18&lt;&gt;"SÍ","",IF(NOT(AND(C18="VOLADO",AD18&gt;DATOS!$C$83)),0,IF(DQ18&lt;=(BH18/((IF(ISNUMBER(P18),P18,Y18)*100-DATOS!$C$87)/100)),IF(ISNUMBER(P18),P18,Y18),MIN(IF(ISNUMBER(P18),P18,Y18),MAX(0,(IF(ISNUMBER(P18),P18,Y18)*100-DATOS!$C$87)/200-(DQ18-(BH18/((IF(ISNUMBER(P18),P18,Y18)*100-DATOS!$C$87)/100)))/((0.95-0.5*IF(N(Q18)&gt;0,MIN(IF(ISNUMBER(P18),P18,Y18),Q18)/MAX(IF(ISNUMBER(P18),P18,Y18),Q18),0))*DATOS!$C$33*AR18*DATOS!$C$86/100/1000))))))</f>
        <v/>
      </c>
      <c r="DT18" s="56" t="str">
        <f>IF(V18&lt;&gt;"SÍ","",IF(NOT(AND(C18="VOLADO",AD18&gt;DATOS!$C$83)),0,(BH18/((IF(ISNUMBER(P18),P18,Y18)*100-DATOS!$C$87)/100))+((0.95-0.5*IF(N(Q18)&gt;0,MIN(IF(ISNUMBER(P18),P18,Y18),Q18)/MAX(IF(ISNUMBER(P18),P18,Y18),Q18),0))*DATOS!$C$33*AR18*DATOS!$C$86/100/1000)*MAX(0,(IF(ISNUMBER(P18),P18,Y18)*100-DATOS!$C$87)/200-BX18/100)))</f>
        <v/>
      </c>
      <c r="DU18" s="59" t="str">
        <f>IF(V18&lt;&gt;"SÍ","",IF(NOT(AND(C18="VOLADO",AD18&gt;DATOS!$C$83)),0,MIN(FLOOR(100*IF(ISNUMBER(P18),P18,Y18)-DATOS!$C$63,5),CEILING(100*MIN(IF(ISNUMBER(P18),P18,Y18),MAX(IF(DR18&gt;0,DR18+IF(BW18&gt;=2,MAX(DO18,12*INDEX(TABLAS!$C$52:$C$58,MATCH(BV18,TABLAS!$B$52:$B$58,0)))/100,0),0),DS18,IF(BW18&gt;=2,INDEX(TABLAS!$F$52:$F$58,MATCH(BV18,TABLAS!$B$52:$B$58,0))/100,0))),5))))</f>
        <v/>
      </c>
      <c r="DV18" s="60" t="str">
        <f>IF(V18&lt;&gt;"SÍ","",IF(NOT(AND(C18="VOLADO",AD18&gt;DATOS!$C$83)),0,IF(DU18&lt;=0,0,CEILING(DU18/DATOS!$C$86,1))))</f>
        <v/>
      </c>
      <c r="DW18" s="61" t="str">
        <f>IF(V18&lt;&gt;"SÍ","",IF(C18&lt;&gt;"VOLADO","—",IF(AD18&lt;=DATOS!$C$83,"— (mismo b_w que el respaldo)",IF(DT18&gt;CS18,"NO CUMPLE: cortante de la nervadura ancha junto al apoyo ("&amp;TEXT(DT18,"0.00")&amp;" &gt; "&amp;TEXT(CS18,"0.00")&amp;" t)",IF(DU18&gt;=100*IF(ISNUMBER(P18),P18,Y18),"CUMPLE — todas las nervaduras del respaldo ‖ al volado con b_w = "&amp;AD18&amp;" cm","CUMPLE — "&amp;DV18&amp;" hilera(s) del respaldo con nervaduras de b_w = "&amp;AD18&amp;" cm (casetón "&amp;AE18&amp;" cm), hasta "&amp;TEXT(DU18/100,"0.00")&amp;" m del paño")))))</f>
        <v/>
      </c>
      <c r="DX18" s="69" t="str">
        <f>IF(V18&lt;&gt;"SÍ","",IF(BO18=0,"NO ALCANZA",BO18&amp;" No. "&amp;BN18&amp;IF(BO18&gt;1," corridas"," corrida")))</f>
        <v/>
      </c>
      <c r="DY18" s="69" t="str">
        <f>IF(V18&lt;&gt;"SÍ","",IF(BW18=0,"NO ALCANZA",IF(AND(C18="VOLADO",AD18&gt;DATOS!$C$83,BW18&gt;=2),"1 No. "&amp;BV18&amp;" corrida de la orilla al respaldo ("&amp;IF(DC18&gt;=FLOOR(100*IF(ISNUMBER(P18),P18,Y18)-DATOS!$C$63,5),"hasta su apoyo lejano, con gancho","entra "&amp;TEXT(DC18/100,"0.00")&amp;" m desde el paño")&amp;") + "&amp;(BW18-1)&amp;" bastón No. "&amp;BV18&amp;" hasta "&amp;TEXT(DU18/100,"0.00")&amp;" m del paño (fin de la nervadura ancha)",IF(C18="VOLADO",BW18&amp;" No. "&amp;BV18&amp;" de la orilla al respaldo ("&amp;IF(DC18&gt;=FLOOR(100*IF(ISNUMBER(P18),P18,Y18)-DATOS!$C$63,5),"hasta su apoyo lejano, con gancho","entran "&amp;TEXT(DC18/100,"0.00")&amp;" m desde el paño")&amp;")","1 No. "&amp;BV18&amp;" corrida"&amp;IF(BW18&gt;1," + "&amp;(BW18-1)&amp;" bastón No. "&amp;BV18&amp;" L = "&amp;TEXT(DC18/100,"0.00")&amp;" m desde el paño","")))))</f>
        <v/>
      </c>
      <c r="DZ18" s="69" t="str">
        <f>IF(V18&lt;&gt;"SÍ","",IF(CE18=0,"NO ALCANZA",CE18&amp;" No. "&amp;CD18&amp;IF(CE18&gt;1," corridas"," corrida")))</f>
        <v/>
      </c>
      <c r="EA18" s="69" t="str">
        <f>IF(V18&lt;&gt;"SÍ","",IF(CM18=0,"NO ALCANZA",IF(C18="VOLADO","1 No. "&amp;CL18&amp;" corrida (repartición)","1 No. "&amp;CL18&amp;" corrida"&amp;IF(CM18&gt;1," + "&amp;(CM18-1)&amp;" bastón No. "&amp;CL18&amp;" L = "&amp;TEXT(DD18/100,"0.00")&amp;" m desde el paño",""))))</f>
        <v/>
      </c>
      <c r="EB18" s="67" t="str">
        <f>IF(B18="","",IF(V18&lt;&gt;"SÍ","FALTAN DATOS: tipo, a_x, a_y, destino y, en volados, L_b",IF(L18="NO MONOLÍTICO (caso II)","FUERA DE ALCANCE: caso II no transcrito",IF(AND(C18="VOLADO",W18="?"),"REVISAR: el volado lleva UN solo borde CONTINUO (el empotrado)",IF(MIN(DH18,DI18)=0,"REVISAR: no cabe un casetón (tablero macizo): diséñalo en MACIZAS",IF(AND(MAX(BR18,BZ18,CH18,CP18)&lt;=1,NOT(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T(OR(AND(ISNUMBER(BS18),BS18&lt;0.005),AND(ISNUMBER(CA18),CA18&lt;0.005),AND(ISNUMBER(CI18),CI18&lt;0.005),AND(ISNUMBER(CQ18),CQ18&lt;0.005))),NOT(LEFT(DW18,2)="NO"),DA18="CUMPLE",DB18="CUMPLE",LEFT(CU18,2)&lt;&gt;"NO",LEFT(DATOS!$C$132,6)="CUMPLE"),IF(LEFT(CU18,6)="CUMPLE","CUMPLE","CUMPLE — "&amp;CU18)&amp;IF(LEFT(BK18,5)="FUERA"," · fuera de 3.4.2.1 c)","")&amp;IF(LEFT(DG18,2)="NO"," · REVISAR anclaje en borde discontinuo","")&amp;IF(DV18&gt;0," · respaldo: "&amp;DV18&amp;" hilera(s) de b_w "&amp;AD18&amp;" cm",""),IF(AND(MAX(BR18,BZ18,CH18,CP18)&lt;=1,NOT(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T(OR(AND(ISNUMBER(BS18),BS18&lt;0.005),AND(ISNUMBER(CA18),CA18&lt;0.005),AND(ISNUMBER(CI18),CI18&lt;0.005),AND(ISNUMBER(CQ18),CQ18&lt;0.005))),NOT(LEFT(DW18,2)="NO"),DA18="CALCULAR FLECHA",LEFT(CU18,2)&lt;&gt;"NO",LEFT(DATOS!$C$132,6)="CUMPLE"),"REVISAR: calcular flecha (h_eq &lt; h mín.)"&amp;IF(LEFT(BK18,5)="FUERA"," · fuera de 3.4.2.1 c)","")&amp;IF(LEFT(DG18,2)="NO"," · REVISAR anclaje en borde discontinuo","")&amp;IF(DV18&gt;0," · respaldo: "&amp;DV18&amp;" hilera(s) de b_w "&amp;AD18&amp;" cm",""),"NO CUMPLE: "&amp;IF(MAX(BR18,BZ18,CH18,CP18)&gt;1,"flexión ","")&amp;IF(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 caben ","")&amp;IF(OR(AND(ISNUMBER(BS18),BS18&lt;0.005),AND(ISNUMBER(CA18),CA18&lt;0.005),AND(ISNUMBER(CI18),CI18&lt;0.005),AND(ISNUMBER(CQ18),CQ18&lt;0.005)),"ε_t &lt; 0.005 ","")&amp;IF(LEFT(CU18,2)="NO","cortante ","")&amp;IF(DA18="NO CUMPLE","peralte ","")&amp;IF(DB18&lt;&gt;"CUMPLE","capa &lt; 6 cm ","")&amp;IF(LEFT(DATOS!$C$132,6)&lt;&gt;"CUMPLE","capa o malla (DATOS sección 7) ","")&amp;IF(LEFT(DW18,2)="NO","respaldo del volado",""))))))))</f>
        <v/>
      </c>
      <c r="EC18" s="70" t="str">
        <f>IF(V18&lt;&gt;"SÍ","",IF(LEFT(B18,7)="EJEMPLO","EJEMPLO de la hoja de Casa Rocha: bórralo o sobrescríbelo. ","")&amp;IF(AND(C18="PERIMETRAL",MIN(DH18,DI18)=0),"No cabe un casetón en el claro corto: es un tablero macizo, diséñalo en MACIZAS. ","")&amp;IF(AND(AJ18="NO",C18="PERIMETRAL"),"No cumple 6.7.8.1.4 (a_c = "&amp;MAX(DATOS!$C$81,AE18)&amp;" cm &gt; claro corto/6 = "&amp;TEXT(Y18*100/6,"0")&amp;" cm): se diseña como losa apoyada en vigas (6.7.8.1.9): r de viga = "&amp;DATOS!$C$63&amp;" cm y V_cR sin ×1.1. Para que cuente como encasetonada: casetón de "&amp;TEXT(FLOOR(MIN(80,Y18*100/6),1),"0")&amp;" cm o menor. ","")&amp;IF(C18="VOLADO","Volado de "&amp;TEXT(Y18,"0.00")&amp;" m empotrado en el borde "&amp;LOWER(W18)&amp;IF(N(O18)&gt;0,", con "&amp;TEXT(O18,"0.0")&amp;" kg/m en la orilla","")&amp;". Lecho inferior con r_ext. Si la orilla carga pretil u otro elemento frágil, calcula la flecha (13.4). El acero superior entra al respaldo de "&amp;TEXT(IF(ISNUMBER(P18),P18,Y18),"0.00")&amp;" m"&amp;" hasta pasar M = 0 con 0.9·PP sin carga viva; si ahí no se anula, llega al apoyo lejano y se ancla con gancho (NTC-Criterios 3.4.1 c y 5.1.2.2). "&amp;IF(AD18&gt;DATOS!$C$83,"Respaldo: "&amp;DW18&amp;". ",""),"")&amp;IF(AND(C18="VOLADO",((0.9*DATOS!$C$90*DATOS!$C$86/100/1000)*IF(ISNUMBER(P18),P18,Y18)/2-BH18/IF(ISNUMBER(P18),P18,Y18))&lt;0),"Con 0.9·PP y sin carga viva el apoyo lejano del respaldo levanta (R = "&amp;TEXT(-((0.9*DATOS!$C$90*DATOS!$C$86/100/1000)*IF(ISNUMBER(P18),P18,Y18)/2-BH18/IF(ISNUMBER(P18),P18,Y18)),"0.00")&amp;" t por nervadura): ancla ahí la corrida con gancho y revisa ese apoyo a tensión. ","")&amp;IF(LEFT(BK18,5)="FUERA","El M⁻ del vecino difiere más de 50 % (3.4.2.1 c): distribuye el desequilibrio (3.4.3.1) o confirma con un modelo; se arma con el mayor. ","")&amp;IF(OR(DE18="SÍ",DF18="SÍ"),"El M⁻ del borde discontinuo pide bastón también ahí (con gancho). ","")&amp;IF(LEFT(DG18,2)="NO","Anclaje: "&amp;DG18&amp;" (6.7.8.1.7). ","")&amp;IF(AND(C18="PERIMETRAL",AT18&gt;=1,AS18-AT18&gt;=1),"Esquinas exteriores sobre muro: refuerzo de esquina arriba y abajo en L_largo/5 (6.7.7.3.1). ",""))</f>
        <v/>
      </c>
    </row>
    <row r="19" ht="33" customHeight="1">
      <c r="A19" s="50">
        <f>IF(B19="",0,1)+A18</f>
        <v>4</v>
      </c>
      <c r="B19" s="29" t="n"/>
      <c r="C19" s="51" t="n"/>
      <c r="D19" s="29" t="n"/>
      <c r="E19" s="52" t="n"/>
      <c r="F19" s="52" t="n"/>
      <c r="G19" s="51" t="n"/>
      <c r="H19" s="51" t="n"/>
      <c r="I19" s="51" t="n"/>
      <c r="J19" s="51" t="n"/>
      <c r="K19" s="51" t="n"/>
      <c r="L19" s="51" t="n"/>
      <c r="M19" s="53" t="n"/>
      <c r="N19" s="53" t="n"/>
      <c r="O19" s="54" t="n"/>
      <c r="P19" s="52" t="n"/>
      <c r="Q19" s="52" t="n"/>
      <c r="R19" s="53" t="n"/>
      <c r="S19" s="54" t="n"/>
      <c r="T19" s="52" t="n"/>
      <c r="U19" s="52" t="n"/>
      <c r="V19" s="55" t="str">
        <f>IF(B19="","",IF(AND(OR(C19="PERIMETRAL",C19="VOLADO"),ISNUMBER(E19),ISNUMBER(F19),E19&gt;0,F19&gt;0,OR(ISNUMBER(N19),ISNUMBER(MATCH(D19,DATOS!$B$46:$B$58,0))),OR(C19&lt;&gt;"VOLADO",N(P19)&gt;0)),"SÍ","NO"))</f>
        <v/>
      </c>
      <c r="W19" s="55" t="str">
        <f>IF(V19&lt;&gt;"SÍ","",IF(C19&lt;&gt;"VOLADO","—",IF(COUNTIF(G19:J19,"CONTINUO")&lt;&gt;1,"?",IF(G19="CONTINUO","INFERIOR",IF(H19="CONTINUO","SUPERIOR",IF(I19="CONTINUO","IZQUIERDO","DERECHO"))))))</f>
        <v/>
      </c>
      <c r="X19" s="55" t="str">
        <f>IF(V19&lt;&gt;"SÍ","",IF(C19="VOLADO",IF(OR(W19="IZQUIERDO",W19="DERECHO"),"X","Y"),IF(E19&lt;=F19,"X","Y")))</f>
        <v/>
      </c>
      <c r="Y19" s="56" t="str">
        <f>IF(V19&lt;&gt;"SÍ","",IF(C19="VOLADO",IF(X19="X",E19,F19),MIN(E19,F19)))</f>
        <v/>
      </c>
      <c r="Z19" s="56" t="str">
        <f>IF(V19&lt;&gt;"SÍ","",IF(C19="VOLADO",IF(X19="X",F19,E19),MAX(E19,F19)))</f>
        <v/>
      </c>
      <c r="AA19" s="56" t="str">
        <f>IF(V19&lt;&gt;"SÍ","",MIN(Y19,Z19)/MAX(Y19,Z19))</f>
        <v/>
      </c>
      <c r="AB19" s="57" t="str">
        <f>IF(V19&lt;&gt;"SÍ","",MAX(1,Y19*100-IF(C19="VOLADO",DATOS!$C$87/2,DATOS!$C$87)))</f>
        <v/>
      </c>
      <c r="AC19" s="57" t="str">
        <f>IF(V19&lt;&gt;"SÍ","",MAX(1,Z19*100-DATOS!$C$87))</f>
        <v/>
      </c>
      <c r="AD19" s="57" t="str">
        <f>IF(V19&lt;&gt;"SÍ","",IF(ISNUMBER(R19),R19,DATOS!$C$83))</f>
        <v/>
      </c>
      <c r="AE19" s="57" t="str">
        <f>IF(V19&lt;&gt;"SÍ","",MAX(0,DATOS!$C$86-AD19))</f>
        <v/>
      </c>
      <c r="AF19" s="57" t="str">
        <f>IF(V19&lt;&gt;"SÍ","",IF(OR(DATOS!$C$65="SÍ",AD19&gt;=20),AD19,AD19-2))</f>
        <v/>
      </c>
      <c r="AG19" s="57" t="str">
        <f>IF(V19&lt;&gt;"SÍ","",IF(OR(DATOS!$C$65="SÍ",DATOS!$C$83&gt;=20),DATOS!$C$83,DATOS!$C$83-2))</f>
        <v/>
      </c>
      <c r="AH19" s="57" t="str">
        <f>IF(V19&lt;&gt;"SÍ","",MIN(DATOS!$C$86,AD19+2*MIN(8*DATOS!$C$84,AE19/2,AB19/8)))</f>
        <v/>
      </c>
      <c r="AI19" s="57" t="str">
        <f>IF(V19&lt;&gt;"SÍ","",MIN(DATOS!$C$86,DATOS!$C$83+2*MIN(8*DATOS!$C$84,DATOS!$C$81/2,AC19/8)))</f>
        <v/>
      </c>
      <c r="AJ19" s="55" t="str">
        <f>IF(V19&lt;&gt;"SÍ","",IF(AND(C19="PERIMETRAL",Y19*100&gt;=6*MAX(DATOS!$C$81,AE19),MAX(DATOS!$C$81,AE19)&lt;=80,MIN(DATOS!$C$83,AD19)&gt;=10,DATOS!$C$85&lt;=3.5*MIN(DATOS!$C$83,AD19),DATOS!$C$84&gt;=MAX(MAX(DATOS!$C$81,AE19)/13,5)),"SÍ","NO"))</f>
        <v/>
      </c>
      <c r="AK19" s="57" t="str">
        <f>IF(V19&lt;&gt;"SÍ","",IF(C19="VOLADO",DATOS!$C$64,IF(AJ19="NO",DATOS!$C$63,DATOS!$C$62)))</f>
        <v/>
      </c>
      <c r="AL19" s="57" t="str">
        <f>IF(V19&lt;&gt;"SÍ","",IF(OR(AND(AN19="SÍ",DATOS!$C$66="SÍ"),AND(C19="VOLADO",DATOS!$C$67="SÍ")),DATOS!$C$64,IF(AJ19="NO",DATOS!$C$63,DATOS!$C$62)))</f>
        <v/>
      </c>
      <c r="AM19" s="58" t="str">
        <f>IF(V19&lt;&gt;"SÍ","",MAX(AL19,(DATOS!$C$84-2*DATOS!$C$97)/2))</f>
        <v/>
      </c>
      <c r="AN19" s="55" t="str">
        <f>IF(V19&lt;&gt;"SÍ","",IFERROR(INDEX(DATOS!$D$46:$D$58,MATCH(D19,DATOS!$B$46:$B$58,0)),"NO"))</f>
        <v/>
      </c>
      <c r="AO19" s="59" t="str">
        <f>IF(V19&lt;&gt;"SÍ","",IF(ISNUMBER(N19),N19,IFERROR(INDEX(DATOS!$C$46:$C$58,MATCH(D19,DATOS!$B$46:$B$58,0)),0)))</f>
        <v/>
      </c>
      <c r="AP19" s="59" t="str">
        <f>IF(V19&lt;&gt;"SÍ","",IF(MIN(DH19,DI19)=0,DATOS!$C$85/100*DATOS!$C$16*1000,(DATOS!$C$85/100-(AE19*DATOS!$C$81/DATOS!$C$86^2)*DATOS!$C$82/100)*DATOS!$C$16*1000+(AE19*DATOS!$C$81/DATOS!$C$86^2)*DATOS!$C$82/100*DATOS!$C$17*1000)+DATOS!$C$37+DATOS!$C$38)</f>
        <v/>
      </c>
      <c r="AQ19" s="59" t="str">
        <f>IF(V19&lt;&gt;"SÍ","",AP19+N(M19))</f>
        <v/>
      </c>
      <c r="AR19" s="60" t="str">
        <f>IF(V19&lt;&gt;"SÍ","",MAX(DATOS!$C$26*AQ19+DATOS!$C$27*AO19,IF(AN19="SÍ",DATOS!$C$28*(AQ19+DATOS!$C$41),0)))</f>
        <v/>
      </c>
      <c r="AS19" s="59" t="str">
        <f>IF(V19&lt;&gt;"SÍ","",(G19="DISCONTINUO")+(H19="DISCONTINUO")+(I19="DISCONTINUO")+(J19="DISCONTINUO"))</f>
        <v/>
      </c>
      <c r="AT19" s="59" t="str">
        <f>IF(V19&lt;&gt;"SÍ","",IF(X19="X",(G19="DISCONTINUO")+(H19="DISCONTINUO"),(I19="DISCONTINUO")+(J19="DISCONTINUO")))</f>
        <v/>
      </c>
      <c r="AU19" s="55" t="str">
        <f>IF(V19&lt;&gt;"SÍ","",IF(AS19=0,"INTERIOR",IF(AS19=1,IF(AT19=1,"BORDE-CORTO","BORDE-LARGO"),IF(AS19=2,IF(AT19=1,"ESQUINA",IF(AT19=2,"EXTREMO-LARGO","EXTREMO-CORTO")),IF(AS19=3,IF(AT19=2,"EXTREMO-LARGO","EXTREMO-CORTO"),"AISLADO")))))</f>
        <v/>
      </c>
      <c r="AV19" s="61" t="str">
        <f>IF(V19&lt;&gt;"SÍ","",IF(OR(K19="",K19="AUTO"),AU19,K19))</f>
        <v/>
      </c>
      <c r="AW19" s="59" t="str">
        <f>IF(V19&lt;&gt;"SÍ","",MATCH(AA19,TABLAS!$D$5:$J$5,1))</f>
        <v/>
      </c>
      <c r="AX19" s="58" t="str">
        <f>IF(V19&lt;&gt;"SÍ","",IF(AW19&gt;=7,0,(AA19-INDEX(TABLAS!$D$5:$J$5,AW19))/(INDEX(TABLAS!$D$5:$J$5,AW19+1)-INDEX(TABLAS!$D$5:$J$5,AW19))))</f>
        <v/>
      </c>
      <c r="AY19" s="59" t="str">
        <f>IF(V19&lt;&gt;"SÍ","",INDEX(TABLAS!$D$6:$J$47,MATCH(AV19&amp;"|NIC",TABLAS!$B$6:$B$47,0),AW19)+AX19*(INDEX(TABLAS!$D$6:$J$47,MATCH(AV19&amp;"|NIC",TABLAS!$B$6:$B$47,0),MIN(AW19+1,7))-INDEX(TABLAS!$D$6:$J$47,MATCH(AV19&amp;"|NIC",TABLAS!$B$6:$B$47,0),AW19)))</f>
        <v/>
      </c>
      <c r="AZ19" s="59" t="str">
        <f>IF(V19&lt;&gt;"SÍ","",INDEX(TABLAS!$D$6:$J$47,MATCH(AV19&amp;"|NIL",TABLAS!$B$6:$B$47,0),AW19)+AX19*(INDEX(TABLAS!$D$6:$J$47,MATCH(AV19&amp;"|NIL",TABLAS!$B$6:$B$47,0),MIN(AW19+1,7))-INDEX(TABLAS!$D$6:$J$47,MATCH(AV19&amp;"|NIL",TABLAS!$B$6:$B$47,0),AW19)))</f>
        <v/>
      </c>
      <c r="BA19" s="59" t="str">
        <f>IF(V19&lt;&gt;"SÍ","",INDEX(TABLAS!$D$6:$J$47,MATCH(AV19&amp;"|NDC",TABLAS!$B$6:$B$47,0),AW19)+AX19*(INDEX(TABLAS!$D$6:$J$47,MATCH(AV19&amp;"|NDC",TABLAS!$B$6:$B$47,0),MIN(AW19+1,7))-INDEX(TABLAS!$D$6:$J$47,MATCH(AV19&amp;"|NDC",TABLAS!$B$6:$B$47,0),AW19)))</f>
        <v/>
      </c>
      <c r="BB19" s="59" t="str">
        <f>IF(V19&lt;&gt;"SÍ","",INDEX(TABLAS!$D$6:$J$47,MATCH(AV19&amp;"|NDL",TABLAS!$B$6:$B$47,0),AW19)+AX19*(INDEX(TABLAS!$D$6:$J$47,MATCH(AV19&amp;"|NDL",TABLAS!$B$6:$B$47,0),MIN(AW19+1,7))-INDEX(TABLAS!$D$6:$J$47,MATCH(AV19&amp;"|NDL",TABLAS!$B$6:$B$47,0),AW19)))</f>
        <v/>
      </c>
      <c r="BC19" s="59" t="str">
        <f>IF(V19&lt;&gt;"SÍ","",INDEX(TABLAS!$D$6:$J$47,MATCH(AV19&amp;"|PC",TABLAS!$B$6:$B$47,0),AW19)+AX19*(INDEX(TABLAS!$D$6:$J$47,MATCH(AV19&amp;"|PC",TABLAS!$B$6:$B$47,0),MIN(AW19+1,7))-INDEX(TABLAS!$D$6:$J$47,MATCH(AV19&amp;"|PC",TABLAS!$B$6:$B$47,0),AW19)))</f>
        <v/>
      </c>
      <c r="BD19" s="59" t="str">
        <f>IF(V19&lt;&gt;"SÍ","",INDEX(TABLAS!$D$6:$J$47,MATCH(AV19&amp;"|PL",TABLAS!$B$6:$B$47,0),AW19)+AX19*(INDEX(TABLAS!$D$6:$J$47,MATCH(AV19&amp;"|PL",TABLAS!$B$6:$B$47,0),MIN(AW19+1,7))-INDEX(TABLAS!$D$6:$J$47,MATCH(AV19&amp;"|PL",TABLAS!$B$6:$B$47,0),AW19)))</f>
        <v/>
      </c>
      <c r="BE19" s="56" t="str">
        <f>IF(V19&lt;&gt;"SÍ","",IF(OR(C19&lt;&gt;"VOLADO",MIN(DH19,DI19)=0),0,DATOS!$C$26*DATOS!$C$16*DATOS!$C$86/100*(((AE19*DATOS!$C$81/DATOS!$C$86^2)*DATOS!$C$82/100)*(IF(X19="X",DJ19,DL19)+DATOS!$C$87/2)/100*(AB19-(IF(X19="X",DJ19,DL19)+DATOS!$C$87/2)/2)/100+((AE19*DATOS!$C$81/DATOS!$C$86^2)*DATOS!$C$82/100)*IF(X19="X",DJ19,DL19)/100*IF(X19="X",DJ19,DL19)/200)))</f>
        <v/>
      </c>
      <c r="BF19" s="56" t="str">
        <f>IF(V19&lt;&gt;"SÍ","",IF(OR(C19&lt;&gt;"VOLADO",MIN(DH19,DI19)=0),0,DATOS!$C$26*DATOS!$C$16*DATOS!$C$86/100*((AE19*DATOS!$C$81/DATOS!$C$86^2)*DATOS!$C$82/100)*(IF(X19="X",DJ19,DL19)+DATOS!$C$87/2)/100))</f>
        <v/>
      </c>
      <c r="BG19" s="56" t="str">
        <f>IF(V19&lt;&gt;"SÍ","",IF(C19="PERIMETRAL",BC19*AR19*Y19^2*1E-4*DATOS!$C$86/100/1000,0))</f>
        <v/>
      </c>
      <c r="BH19" s="62" t="str">
        <f>IF(V19&lt;&gt;"SÍ","",IF(C19="PERIMETRAL",MAX(MAX(AY19,BA19)*AR19*Y19^2*1E-4*DATOS!$C$86/100/1000,N(T19)),(AR19*(AB19/100)^2/2+DATOS!$C$26*N(O19)*AB19/100)*DATOS!$C$86/100/1000+BE19))</f>
        <v/>
      </c>
      <c r="BI19" s="56" t="str">
        <f>IF(V19&lt;&gt;"SÍ","",IF(C19="PERIMETRAL",BD19*AR19*Y19^2*1E-4*DATOS!$C$86/100/1000,0))</f>
        <v/>
      </c>
      <c r="BJ19" s="56" t="str">
        <f>IF(V19&lt;&gt;"SÍ","",IF(C19="PERIMETRAL",MAX(MAX(AZ19,BB19)*AR19*Y19^2*1E-4*DATOS!$C$86/100/1000,N(U19)),0))</f>
        <v/>
      </c>
      <c r="BK19" s="63" t="str">
        <f>IF(V19&lt;&gt;"SÍ","",IF(C19&lt;&gt;"PERIMETRAL","—",IF(AND(N(T19)=0,N(U19)=0),"— (sin M⁻ del vecino)",IF(OR(AND(N(T19)&gt;0,ABS(MAX(AY19,BA19)*AR19*Y19^2*1E-4*DATOS!$C$86/100/1000-N(T19))&gt;0.5*MIN(MAX(AY19,BA19)*AR19*Y19^2*1E-4*DATOS!$C$86/100/1000,N(T19))),AND(N(U19)&gt;0,ABS(MAX(AZ19,BB19)*AR19*Y19^2*1E-4*DATOS!$C$86/100/1000-N(U19))&gt;0.5*MIN(MAX(AZ19,BB19)*AR19*Y19^2*1E-4*DATOS!$C$86/100/1000,N(U19)))),"FUERA: difieren &gt; 50 %"&amp;IF(AND(N(T19)&gt;0,ABS(MAX(AY19,BA19)*AR19*Y19^2*1E-4*DATOS!$C$86/100/1000-N(T19))&gt;0.5*MIN(MAX(AY19,BA19)*AR19*Y19^2*1E-4*DATOS!$C$86/100/1000,N(T19)))," ‖ corto","")&amp;IF(AND(N(U19)&gt;0,ABS(MAX(AZ19,BB19)*AR19*Y19^2*1E-4*DATOS!$C$86/100/1000-N(U19))&gt;0.5*MIN(MAX(AZ19,BB19)*AR19*Y19^2*1E-4*DATOS!$C$86/100/1000,N(U19)))," ‖ largo",""),"CUMPLE"))))</f>
        <v/>
      </c>
      <c r="BL19" s="58" t="str">
        <f>IF(V19&lt;&gt;"SÍ","",(DATOS!$C$85-AK19-INDEX(TABLAS!$C$52:$C$58,MATCH(MAX(4,DATOS!$C$71),TABLAS!$B$52:$B$58,0))/2))</f>
        <v/>
      </c>
      <c r="BM19" s="58" t="str">
        <f>IF(V19&lt;&gt;"SÍ","",IF(IF(BG19&lt;=0,0,IF((1-2*BG19*1E5/(DATOS!$C$29*AH19*BL19^2*DATOS!$C$21))&lt;0,-1,IF((1-SQRT((1-2*BG19*1E5/(DATOS!$C$29*AH19*BL19^2*DATOS!$C$21))))*DATOS!$C$21*AH19*BL19/DATOS!$C$14&gt;DATOS!$C$102*AH19*BL19,-1,(1-SQRT((1-2*BG19*1E5/(DATOS!$C$29*AH19*BL19^2*DATOS!$C$21))))*DATOS!$C$21*AH19*BL19/DATOS!$C$14)))&lt;0,-1,MAX(IF(BG19&lt;=0,0,IF((1-2*BG19*1E5/(DATOS!$C$29*AH19*BL19^2*DATOS!$C$21))&lt;0,-1,IF((1-SQRT((1-2*BG19*1E5/(DATOS!$C$29*AH19*BL19^2*DATOS!$C$21))))*DATOS!$C$21*AH19*BL19/DATOS!$C$14&gt;DATOS!$C$102*AH19*BL19,-1,(1-SQRT((1-2*BG19*1E5/(DATOS!$C$29*AH19*BL19^2*DATOS!$C$21))))*DATOS!$C$21*AH19*BL19/DATOS!$C$14))),MIN(DATOS!$C$103*AD19*BL19,4/3*IF(BG19&lt;=0,0,IF((1-2*BG19*1E5/(DATOS!$C$29*AH19*BL19^2*DATOS!$C$21))&lt;0,-1,IF((1-SQRT((1-2*BG19*1E5/(DATOS!$C$29*AH19*BL19^2*DATOS!$C$21))))*DATOS!$C$21*AH19*BL19/DATOS!$C$14&gt;DATOS!$C$102*AH19*BL19,-1,(1-SQRT((1-2*BG19*1E5/(DATOS!$C$29*AH19*BL19^2*DATOS!$C$21))))*DATOS!$C$21*AH19*BL19/DATOS!$C$14)))))))</f>
        <v/>
      </c>
      <c r="BN19" s="64" t="str">
        <f>IF(V19&lt;&gt;"SÍ","",IF(AND(BM19&gt;=0,IF(MAX(DATOS!$C$74,CEILING(BM19/INDEX(TABLAS!$D$52:$D$58,MIN(MATCH(MAX(4,DATOS!$C$71),TABLAS!$B$52:$B$58,0)+0,7)),1))*INDEX(TABLAS!$D$52:$D$58,MIN(MATCH(MAX(4,DATOS!$C$71),TABLAS!$B$52:$B$58,0)+0,7)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+0,7)),1)),MAX(MAX(DATOS!$C$74,CEILING(BM19/INDEX(TABLAS!$D$52:$D$58,MIN(MATCH(MAX(4,DATOS!$C$71),TABLAS!$B$52:$B$58,0)+0,7)),1)),2))&lt;=MIN(DATOS!$C$73,INT(((AD19-2*AK19)+MAX(DATOS!$C$70,INDEX(TABLAS!$C$52:$C$58,MIN(MATCH(MAX(4,DATOS!$C$71),TABLAS!$B$52:$B$58,0)+0,7))))/(INDEX(TABLAS!$C$52:$C$58,MIN(MATCH(MAX(4,DATOS!$C$71),TABLAS!$B$52:$B$58,0)+0,7))+MAX(DATOS!$C$70,INDEX(TABLAS!$C$52:$C$58,MIN(MATCH(MAX(4,DATOS!$C$71),TABLAS!$B$52:$B$58,0)+0,7))))))),INDEX(TABLAS!$B$52:$B$58,MIN(MATCH(MAX(4,DATOS!$C$71),TABLAS!$B$52:$B$58,0)+0,7)),IF(AND(BM19&gt;=0,IF(MAX(DATOS!$C$74,CEILING(BM19/INDEX(TABLAS!$D$52:$D$58,MIN(MATCH(MAX(4,DATOS!$C$71),TABLAS!$B$52:$B$58,0)+1,7)),1))*INDEX(TABLAS!$D$52:$D$58,MIN(MATCH(MAX(4,DATOS!$C$71),TABLAS!$B$52:$B$58,0)+1,7)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+1,7)),1)),MAX(MAX(DATOS!$C$74,CEILING(BM19/INDEX(TABLAS!$D$52:$D$58,MIN(MATCH(MAX(4,DATOS!$C$71),TABLAS!$B$52:$B$58,0)+1,7)),1)),2))&lt;=MIN(DATOS!$C$73,INT(((AD19-2*AK19)+MAX(DATOS!$C$70,INDEX(TABLAS!$C$52:$C$58,MIN(MATCH(MAX(4,DATOS!$C$71),TABLAS!$B$52:$B$58,0)+1,7))))/(INDEX(TABLAS!$C$52:$C$58,MIN(MATCH(MAX(4,DATOS!$C$71),TABLAS!$B$52:$B$58,0)+1,7))+MAX(DATOS!$C$70,INDEX(TABLAS!$C$52:$C$58,MIN(MATCH(MAX(4,DATOS!$C$71),TABLAS!$B$52:$B$58,0)+1,7))))))),INDEX(TABLAS!$B$52:$B$58,MIN(MATCH(MAX(4,DATOS!$C$71),TABLAS!$B$52:$B$58,0)+1,7)),IF(AND(BM19&gt;=0,IF(MAX(DATOS!$C$74,CEILING(BM19/INDEX(TABLAS!$D$52:$D$58,MIN(MATCH(MAX(4,DATOS!$C$71),TABLAS!$B$52:$B$58,0)+2,7)),1))*INDEX(TABLAS!$D$52:$D$58,MIN(MATCH(MAX(4,DATOS!$C$71),TABLAS!$B$52:$B$58,0)+2,7)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+2,7)),1)),MAX(MAX(DATOS!$C$74,CEILING(BM19/INDEX(TABLAS!$D$52:$D$58,MIN(MATCH(MAX(4,DATOS!$C$71),TABLAS!$B$52:$B$58,0)+2,7)),1)),2))&lt;=MIN(DATOS!$C$73,INT(((AD19-2*AK19)+MAX(DATOS!$C$70,INDEX(TABLAS!$C$52:$C$58,MIN(MATCH(MAX(4,DATOS!$C$71),TABLAS!$B$52:$B$58,0)+2,7))))/(INDEX(TABLAS!$C$52:$C$58,MIN(MATCH(MAX(4,DATOS!$C$71),TABLAS!$B$52:$B$58,0)+2,7))+MAX(DATOS!$C$70,INDEX(TABLAS!$C$52:$C$58,MIN(MATCH(MAX(4,DATOS!$C$71),TABLAS!$B$52:$B$58,0)+2,7))))))),INDEX(TABLAS!$B$52:$B$58,MIN(MATCH(MAX(4,DATOS!$C$71),TABLAS!$B$52:$B$58,0)+2,7)),IF(AND(BM19&gt;=0,IF(MAX(DATOS!$C$74,CEILING(BM19/INDEX(TABLAS!$D$52:$D$58,MIN(MATCH(MAX(4,DATOS!$C$71),TABLAS!$B$52:$B$58,0)+3,7)),1))*INDEX(TABLAS!$D$52:$D$58,MIN(MATCH(MAX(4,DATOS!$C$71),TABLAS!$B$52:$B$58,0)+3,7)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+3,7)),1)),MAX(MAX(DATOS!$C$74,CEILING(BM19/INDEX(TABLAS!$D$52:$D$58,MIN(MATCH(MAX(4,DATOS!$C$71),TABLAS!$B$52:$B$58,0)+3,7)),1)),2))&lt;=MIN(DATOS!$C$73,INT(((AD19-2*AK19)+MAX(DATOS!$C$70,INDEX(TABLAS!$C$52:$C$58,MIN(MATCH(MAX(4,DATOS!$C$71),TABLAS!$B$52:$B$58,0)+3,7))))/(INDEX(TABLAS!$C$52:$C$58,MIN(MATCH(MAX(4,DATOS!$C$71),TABLAS!$B$52:$B$58,0)+3,7))+MAX(DATOS!$C$70,INDEX(TABLAS!$C$52:$C$58,MIN(MATCH(MAX(4,DATOS!$C$71),TABLAS!$B$52:$B$58,0)+3,7))))))),INDEX(TABLAS!$B$52:$B$58,MIN(MATCH(MAX(4,DATOS!$C$71),TABLAS!$B$52:$B$58,0)+3,7)),IF(AND(BM19&gt;=0,IF(MAX(DATOS!$C$74,CEILING(BM19/INDEX(TABLAS!$D$52:$D$58,MIN(MATCH(MAX(4,DATOS!$C$71),TABLAS!$B$52:$B$58,0)+4,7)),1))*INDEX(TABLAS!$D$52:$D$58,MIN(MATCH(MAX(4,DATOS!$C$71),TABLAS!$B$52:$B$58,0)+4,7)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+4,7)),1)),MAX(MAX(DATOS!$C$74,CEILING(BM19/INDEX(TABLAS!$D$52:$D$58,MIN(MATCH(MAX(4,DATOS!$C$71),TABLAS!$B$52:$B$58,0)+4,7)),1)),2))&lt;=MIN(DATOS!$C$73,INT(((AD19-2*AK19)+MAX(DATOS!$C$70,INDEX(TABLAS!$C$52:$C$58,MIN(MATCH(MAX(4,DATOS!$C$71),TABLAS!$B$52:$B$58,0)+4,7))))/(INDEX(TABLAS!$C$52:$C$58,MIN(MATCH(MAX(4,DATOS!$C$71),TABLAS!$B$52:$B$58,0)+4,7))+MAX(DATOS!$C$70,INDEX(TABLAS!$C$52:$C$58,MIN(MATCH(MAX(4,DATOS!$C$71),TABLAS!$B$52:$B$58,0)+4,7))))))),INDEX(TABLAS!$B$52:$B$58,MIN(MATCH(MAX(4,DATOS!$C$71),TABLAS!$B$52:$B$58,0)+4,7)),INDEX(TABLAS!$B$52:$B$58,7)))))))</f>
        <v/>
      </c>
      <c r="BO19" s="59" t="str">
        <f>IF(V19&lt;&gt;"SÍ","",IF(BM19&lt;0,0,IF(MAX(DATOS!$C$74,CEILING(MAX(BM19,0)/INDEX(TABLAS!$D$52:$D$58,MATCH(BN19,TABLAS!$B$52:$B$58,0)),1))*INDEX(TABLAS!$D$52:$D$58,MATCH(BN19,TABLAS!$B$52:$B$58,0))&gt;=4/3*IF(BG19&lt;=0,0,IF((1-2*BG19*1E5/(DATOS!$C$29*AH19*BL19^2*DATOS!$C$21))&lt;0,-1,IF((1-SQRT((1-2*BG19*1E5/(DATOS!$C$29*AH19*BL19^2*DATOS!$C$21))))*DATOS!$C$21*AH19*BL19/DATOS!$C$14&gt;DATOS!$C$102*AH19*BL19,-1,(1-SQRT((1-2*BG19*1E5/(DATOS!$C$29*AH19*BL19^2*DATOS!$C$21))))*DATOS!$C$21*AH19*BL19/DATOS!$C$14)))-0.0001,MAX(DATOS!$C$74,CEILING(MAX(BM19,0)/INDEX(TABLAS!$D$52:$D$58,MATCH(BN19,TABLAS!$B$52:$B$58,0)),1)),MAX(MAX(DATOS!$C$74,CEILING(MAX(BM19,0)/INDEX(TABLAS!$D$52:$D$58,MATCH(BN19,TABLAS!$B$52:$B$58,0)),1)),2))))</f>
        <v/>
      </c>
      <c r="BP19" s="58" t="str">
        <f>IF(V19&lt;&gt;"SÍ","",DATOS!$C$85-AK19-INDEX(TABLAS!$C$52:$C$58,MATCH(BN19,TABLAS!$B$52:$B$58,0))/2)</f>
        <v/>
      </c>
      <c r="BQ19" s="56" t="str">
        <f>IF(V19&lt;&gt;"SÍ","",IF(BO19=0,0,DATOS!$C$29*BO19*INDEX(TABLAS!$D$52:$D$58,MATCH(BN19,TABLAS!$B$52:$B$58,0))*DATOS!$C$14*(BP19-BO19*INDEX(TABLAS!$D$52:$D$58,MATCH(BN19,TABLAS!$B$52:$B$58,0))*DATOS!$C$14/(DATOS!$C$21*AH19)/2)/1E5))</f>
        <v/>
      </c>
      <c r="BR19" s="65" t="str">
        <f>IF(V19&lt;&gt;"SÍ","",IF(BM19&lt;0,9.99,IF(BQ19&gt;0,BG19/BQ19,0)))</f>
        <v/>
      </c>
      <c r="BS19" s="66" t="str">
        <f>IF(V19&lt;&gt;"SÍ","",IF(BO19=0,"—",0.003*(BP19-(BO19*INDEX(TABLAS!$D$52:$D$58,MATCH(BN19,TABLAS!$B$52:$B$58,0))*DATOS!$C$14/(DATOS!$C$21*AH19)/DATOS!$C$22))/(BO19*INDEX(TABLAS!$D$52:$D$58,MATCH(BN19,TABLAS!$B$52:$B$58,0))*DATOS!$C$14/(DATOS!$C$21*AH19)/DATOS!$C$22)))</f>
        <v/>
      </c>
      <c r="BT19" s="58" t="str">
        <f>IF(V19&lt;&gt;"SÍ","",((DATOS!$C$85-AM19-2*DATOS!$C$97-INDEX(TABLAS!$C$52:$C$58,MATCH(MAX(4,DATOS!$C$72),TABLAS!$B$52:$B$58,0))/2)-IF(AND((DATOS!$C$85-AM19-2*DATOS!$C$97-INDEX(TABLAS!$C$52:$C$58,MATCH(MAX(4,DATOS!$C$72),TABLAS!$B$52:$B$58,0))/2)&lt;=20,DATOS!$C$65&lt;&gt;"SÍ"),2,0)))</f>
        <v/>
      </c>
      <c r="BU19" s="58" t="str">
        <f>IF(V19&lt;&gt;"SÍ","",IF(IF(BH19&lt;=0,0,IF((1-2*BH19*1E5/(DATOS!$C$29*AF19*BT19^2*DATOS!$C$21))&lt;0,-1,IF((1-SQRT((1-2*BH19*1E5/(DATOS!$C$29*AF19*BT19^2*DATOS!$C$21))))*DATOS!$C$21*AF19*BT19/DATOS!$C$14&gt;DATOS!$C$102*AF19*BT19,-1,(1-SQRT((1-2*BH19*1E5/(DATOS!$C$29*AF19*BT19^2*DATOS!$C$21))))*DATOS!$C$21*AF19*BT19/DATOS!$C$14)))&lt;0,-1,MAX(IF(BH19&lt;=0,0,IF((1-2*BH19*1E5/(DATOS!$C$29*AF19*BT19^2*DATOS!$C$21))&lt;0,-1,IF((1-SQRT((1-2*BH19*1E5/(DATOS!$C$29*AF19*BT19^2*DATOS!$C$21))))*DATOS!$C$21*AF19*BT19/DATOS!$C$14&gt;DATOS!$C$102*AF19*BT19,-1,(1-SQRT((1-2*BH19*1E5/(DATOS!$C$29*AF19*BT19^2*DATOS!$C$21))))*DATOS!$C$21*AF19*BT19/DATOS!$C$14))),MIN(DATOS!$C$103*IF(C19="VOLADO",MIN(AH19,2*AD19),AD19)*BT19,4/3*IF(BH19&lt;=0,0,IF((1-2*BH19*1E5/(DATOS!$C$29*AF19*BT19^2*DATOS!$C$21))&lt;0,-1,IF((1-SQRT((1-2*BH19*1E5/(DATOS!$C$29*AF19*BT19^2*DATOS!$C$21))))*DATOS!$C$21*AF19*BT19/DATOS!$C$14&gt;DATOS!$C$102*AF19*BT19,-1,(1-SQRT((1-2*BH19*1E5/(DATOS!$C$29*AF19*BT19^2*DATOS!$C$21))))*DATOS!$C$21*AF19*BT19/DATOS!$C$14)))))))</f>
        <v/>
      </c>
      <c r="BV19" s="64" t="str">
        <f>IF(V19&lt;&gt;"SÍ","",IF(AND(BU19&gt;=0,IF(MAX(DATOS!$C$74,CEILING(BU19/INDEX(TABLAS!$D$52:$D$58,MIN(MATCH(MAX(4,DATOS!$C$72),TABLAS!$B$52:$B$58,0)+0,7)),1))*INDEX(TABLAS!$D$52:$D$58,MIN(MATCH(MAX(4,DATOS!$C$72),TABLAS!$B$52:$B$58,0)+0,7)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+0,7)),1)),MAX(MAX(DATOS!$C$74,CEILING(BU19/INDEX(TABLAS!$D$52:$D$58,MIN(MATCH(MAX(4,DATOS!$C$72),TABLAS!$B$52:$B$58,0)+0,7)),1)),2))&lt;=MIN(DATOS!$C$73,INT(((AD19-2*AL19)+MAX(DATOS!$C$70,INDEX(TABLAS!$C$52:$C$58,MIN(MATCH(MAX(4,DATOS!$C$72),TABLAS!$B$52:$B$58,0)+0,7))))/(INDEX(TABLAS!$C$52:$C$58,MIN(MATCH(MAX(4,DATOS!$C$72),TABLAS!$B$52:$B$58,0)+0,7))+MAX(DATOS!$C$70,INDEX(TABLAS!$C$52:$C$58,MIN(MATCH(MAX(4,DATOS!$C$72),TABLAS!$B$52:$B$58,0)+0,7))))))),INDEX(TABLAS!$B$52:$B$58,MIN(MATCH(MAX(4,DATOS!$C$72),TABLAS!$B$52:$B$58,0)+0,7)),IF(AND(BU19&gt;=0,IF(MAX(DATOS!$C$74,CEILING(BU19/INDEX(TABLAS!$D$52:$D$58,MIN(MATCH(MAX(4,DATOS!$C$72),TABLAS!$B$52:$B$58,0)+1,7)),1))*INDEX(TABLAS!$D$52:$D$58,MIN(MATCH(MAX(4,DATOS!$C$72),TABLAS!$B$52:$B$58,0)+1,7)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+1,7)),1)),MAX(MAX(DATOS!$C$74,CEILING(BU19/INDEX(TABLAS!$D$52:$D$58,MIN(MATCH(MAX(4,DATOS!$C$72),TABLAS!$B$52:$B$58,0)+1,7)),1)),2))&lt;=MIN(DATOS!$C$73,INT(((AD19-2*AL19)+MAX(DATOS!$C$70,INDEX(TABLAS!$C$52:$C$58,MIN(MATCH(MAX(4,DATOS!$C$72),TABLAS!$B$52:$B$58,0)+1,7))))/(INDEX(TABLAS!$C$52:$C$58,MIN(MATCH(MAX(4,DATOS!$C$72),TABLAS!$B$52:$B$58,0)+1,7))+MAX(DATOS!$C$70,INDEX(TABLAS!$C$52:$C$58,MIN(MATCH(MAX(4,DATOS!$C$72),TABLAS!$B$52:$B$58,0)+1,7))))))),INDEX(TABLAS!$B$52:$B$58,MIN(MATCH(MAX(4,DATOS!$C$72),TABLAS!$B$52:$B$58,0)+1,7)),IF(AND(BU19&gt;=0,IF(MAX(DATOS!$C$74,CEILING(BU19/INDEX(TABLAS!$D$52:$D$58,MIN(MATCH(MAX(4,DATOS!$C$72),TABLAS!$B$52:$B$58,0)+2,7)),1))*INDEX(TABLAS!$D$52:$D$58,MIN(MATCH(MAX(4,DATOS!$C$72),TABLAS!$B$52:$B$58,0)+2,7)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+2,7)),1)),MAX(MAX(DATOS!$C$74,CEILING(BU19/INDEX(TABLAS!$D$52:$D$58,MIN(MATCH(MAX(4,DATOS!$C$72),TABLAS!$B$52:$B$58,0)+2,7)),1)),2))&lt;=MIN(DATOS!$C$73,INT(((AD19-2*AL19)+MAX(DATOS!$C$70,INDEX(TABLAS!$C$52:$C$58,MIN(MATCH(MAX(4,DATOS!$C$72),TABLAS!$B$52:$B$58,0)+2,7))))/(INDEX(TABLAS!$C$52:$C$58,MIN(MATCH(MAX(4,DATOS!$C$72),TABLAS!$B$52:$B$58,0)+2,7))+MAX(DATOS!$C$70,INDEX(TABLAS!$C$52:$C$58,MIN(MATCH(MAX(4,DATOS!$C$72),TABLAS!$B$52:$B$58,0)+2,7))))))),INDEX(TABLAS!$B$52:$B$58,MIN(MATCH(MAX(4,DATOS!$C$72),TABLAS!$B$52:$B$58,0)+2,7)),IF(AND(BU19&gt;=0,IF(MAX(DATOS!$C$74,CEILING(BU19/INDEX(TABLAS!$D$52:$D$58,MIN(MATCH(MAX(4,DATOS!$C$72),TABLAS!$B$52:$B$58,0)+3,7)),1))*INDEX(TABLAS!$D$52:$D$58,MIN(MATCH(MAX(4,DATOS!$C$72),TABLAS!$B$52:$B$58,0)+3,7)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+3,7)),1)),MAX(MAX(DATOS!$C$74,CEILING(BU19/INDEX(TABLAS!$D$52:$D$58,MIN(MATCH(MAX(4,DATOS!$C$72),TABLAS!$B$52:$B$58,0)+3,7)),1)),2))&lt;=MIN(DATOS!$C$73,INT(((AD19-2*AL19)+MAX(DATOS!$C$70,INDEX(TABLAS!$C$52:$C$58,MIN(MATCH(MAX(4,DATOS!$C$72),TABLAS!$B$52:$B$58,0)+3,7))))/(INDEX(TABLAS!$C$52:$C$58,MIN(MATCH(MAX(4,DATOS!$C$72),TABLAS!$B$52:$B$58,0)+3,7))+MAX(DATOS!$C$70,INDEX(TABLAS!$C$52:$C$58,MIN(MATCH(MAX(4,DATOS!$C$72),TABLAS!$B$52:$B$58,0)+3,7))))))),INDEX(TABLAS!$B$52:$B$58,MIN(MATCH(MAX(4,DATOS!$C$72),TABLAS!$B$52:$B$58,0)+3,7)),IF(AND(BU19&gt;=0,IF(MAX(DATOS!$C$74,CEILING(BU19/INDEX(TABLAS!$D$52:$D$58,MIN(MATCH(MAX(4,DATOS!$C$72),TABLAS!$B$52:$B$58,0)+4,7)),1))*INDEX(TABLAS!$D$52:$D$58,MIN(MATCH(MAX(4,DATOS!$C$72),TABLAS!$B$52:$B$58,0)+4,7)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+4,7)),1)),MAX(MAX(DATOS!$C$74,CEILING(BU19/INDEX(TABLAS!$D$52:$D$58,MIN(MATCH(MAX(4,DATOS!$C$72),TABLAS!$B$52:$B$58,0)+4,7)),1)),2))&lt;=MIN(DATOS!$C$73,INT(((AD19-2*AL19)+MAX(DATOS!$C$70,INDEX(TABLAS!$C$52:$C$58,MIN(MATCH(MAX(4,DATOS!$C$72),TABLAS!$B$52:$B$58,0)+4,7))))/(INDEX(TABLAS!$C$52:$C$58,MIN(MATCH(MAX(4,DATOS!$C$72),TABLAS!$B$52:$B$58,0)+4,7))+MAX(DATOS!$C$70,INDEX(TABLAS!$C$52:$C$58,MIN(MATCH(MAX(4,DATOS!$C$72),TABLAS!$B$52:$B$58,0)+4,7))))))),INDEX(TABLAS!$B$52:$B$58,MIN(MATCH(MAX(4,DATOS!$C$72),TABLAS!$B$52:$B$58,0)+4,7)),INDEX(TABLAS!$B$52:$B$58,7)))))))</f>
        <v/>
      </c>
      <c r="BW19" s="59" t="str">
        <f>IF(V19&lt;&gt;"SÍ","",IF(BU19&lt;0,0,IF(MAX(DATOS!$C$74,CEILING(MAX(BU19,0)/INDEX(TABLAS!$D$52:$D$58,MATCH(BV19,TABLAS!$B$52:$B$58,0)),1))*INDEX(TABLAS!$D$52:$D$58,MATCH(BV19,TABLAS!$B$52:$B$58,0))&gt;=4/3*IF(BH19&lt;=0,0,IF((1-2*BH19*1E5/(DATOS!$C$29*AF19*BT19^2*DATOS!$C$21))&lt;0,-1,IF((1-SQRT((1-2*BH19*1E5/(DATOS!$C$29*AF19*BT19^2*DATOS!$C$21))))*DATOS!$C$21*AF19*BT19/DATOS!$C$14&gt;DATOS!$C$102*AF19*BT19,-1,(1-SQRT((1-2*BH19*1E5/(DATOS!$C$29*AF19*BT19^2*DATOS!$C$21))))*DATOS!$C$21*AF19*BT19/DATOS!$C$14)))-0.0001,MAX(DATOS!$C$74,CEILING(MAX(BU19,0)/INDEX(TABLAS!$D$52:$D$58,MATCH(BV19,TABLAS!$B$52:$B$58,0)),1)),MAX(MAX(DATOS!$C$74,CEILING(MAX(BU19,0)/INDEX(TABLAS!$D$52:$D$58,MATCH(BV19,TABLAS!$B$52:$B$58,0)),1)),2))))</f>
        <v/>
      </c>
      <c r="BX19" s="58" t="str">
        <f>IF(V19&lt;&gt;"SÍ","",((DATOS!$C$85-AM19-2*DATOS!$C$97-INDEX(TABLAS!$C$52:$C$58,MATCH(BV19,TABLAS!$B$52:$B$58,0))/2)-IF(AND((DATOS!$C$85-AM19-2*DATOS!$C$97-INDEX(TABLAS!$C$52:$C$58,MATCH(BV19,TABLAS!$B$52:$B$58,0))/2)&lt;=20,DATOS!$C$65&lt;&gt;"SÍ"),2,0)))</f>
        <v/>
      </c>
      <c r="BY19" s="56" t="str">
        <f>IF(V19&lt;&gt;"SÍ","",IF(BW19=0,0,DATOS!$C$29*BW19*INDEX(TABLAS!$D$52:$D$58,MATCH(BV19,TABLAS!$B$52:$B$58,0))*DATOS!$C$14*(BX19-BW19*INDEX(TABLAS!$D$52:$D$58,MATCH(BV19,TABLAS!$B$52:$B$58,0))*DATOS!$C$14/(DATOS!$C$21*AF19)/2)/1E5))</f>
        <v/>
      </c>
      <c r="BZ19" s="65" t="str">
        <f>IF(V19&lt;&gt;"SÍ","",IF(BU19&lt;0,9.99,IF(BY19&gt;0,BH19/BY19,0)))</f>
        <v/>
      </c>
      <c r="CA19" s="66" t="str">
        <f>IF(V19&lt;&gt;"SÍ","",IF(BW19=0,"—",0.003*(BX19-(BW19*INDEX(TABLAS!$D$52:$D$58,MATCH(BV19,TABLAS!$B$52:$B$58,0))*DATOS!$C$14/(DATOS!$C$21*AF19)/DATOS!$C$22))/(BW19*INDEX(TABLAS!$D$52:$D$58,MATCH(BV19,TABLAS!$B$52:$B$58,0))*DATOS!$C$14/(DATOS!$C$21*AF19)/DATOS!$C$22)))</f>
        <v/>
      </c>
      <c r="CB19" s="58" t="str">
        <f>IF(V19&lt;&gt;"SÍ","",(DATOS!$C$85-AK19-INDEX(TABLAS!$C$52:$C$58,MATCH(MAX(4,DATOS!$C$71),TABLAS!$B$52:$B$58,0))-INDEX(TABLAS!$C$52:$C$58,MATCH(MAX(4,DATOS!$C$71),TABLAS!$B$52:$B$58,0))/2))</f>
        <v/>
      </c>
      <c r="CC19" s="58" t="str">
        <f>IF(V19&lt;&gt;"SÍ","",IF(IF(BI19&lt;=0,0,IF((1-2*BI19*1E5/(DATOS!$C$29*AI19*CB19^2*DATOS!$C$21))&lt;0,-1,IF((1-SQRT((1-2*BI19*1E5/(DATOS!$C$29*AI19*CB19^2*DATOS!$C$21))))*DATOS!$C$21*AI19*CB19/DATOS!$C$14&gt;DATOS!$C$102*AI19*CB19,-1,(1-SQRT((1-2*BI19*1E5/(DATOS!$C$29*AI19*CB19^2*DATOS!$C$21))))*DATOS!$C$21*AI19*CB19/DATOS!$C$14)))&lt;0,-1,MAX(IF(BI19&lt;=0,0,IF((1-2*BI19*1E5/(DATOS!$C$29*AI19*CB19^2*DATOS!$C$21))&lt;0,-1,IF((1-SQRT((1-2*BI19*1E5/(DATOS!$C$29*AI19*CB19^2*DATOS!$C$21))))*DATOS!$C$21*AI19*CB19/DATOS!$C$14&gt;DATOS!$C$102*AI19*CB19,-1,(1-SQRT((1-2*BI19*1E5/(DATOS!$C$29*AI19*CB19^2*DATOS!$C$21))))*DATOS!$C$21*AI19*CB19/DATOS!$C$14))),MIN(DATOS!$C$103*DATOS!$C$83*CB19,4/3*IF(BI19&lt;=0,0,IF((1-2*BI19*1E5/(DATOS!$C$29*AI19*CB19^2*DATOS!$C$21))&lt;0,-1,IF((1-SQRT((1-2*BI19*1E5/(DATOS!$C$29*AI19*CB19^2*DATOS!$C$21))))*DATOS!$C$21*AI19*CB19/DATOS!$C$14&gt;DATOS!$C$102*AI19*CB19,-1,(1-SQRT((1-2*BI19*1E5/(DATOS!$C$29*AI19*CB19^2*DATOS!$C$21))))*DATOS!$C$21*AI19*CB19/DATOS!$C$14)))))))</f>
        <v/>
      </c>
      <c r="CD19" s="64" t="str">
        <f>IF(V19&lt;&gt;"SÍ","",IF(AND(CC19&gt;=0,IF(MAX(DATOS!$C$74,CEILING(CC19/INDEX(TABLAS!$D$52:$D$58,MIN(MATCH(MAX(4,DATOS!$C$71),TABLAS!$B$52:$B$58,0)+0,7)),1))*INDEX(TABLAS!$D$52:$D$58,MIN(MATCH(MAX(4,DATOS!$C$71),TABLAS!$B$52:$B$58,0)+0,7)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+0,7)),1)),MAX(MAX(DATOS!$C$74,CEILING(CC19/INDEX(TABLAS!$D$52:$D$58,MIN(MATCH(MAX(4,DATOS!$C$71),TABLAS!$B$52:$B$58,0)+0,7)),1)),2))&lt;=MIN(DATOS!$C$73,INT(((DATOS!$C$83-2*AK19)+MAX(DATOS!$C$70,INDEX(TABLAS!$C$52:$C$58,MIN(MATCH(MAX(4,DATOS!$C$71),TABLAS!$B$52:$B$58,0)+0,7))))/(INDEX(TABLAS!$C$52:$C$58,MIN(MATCH(MAX(4,DATOS!$C$71),TABLAS!$B$52:$B$58,0)+0,7))+MAX(DATOS!$C$70,INDEX(TABLAS!$C$52:$C$58,MIN(MATCH(MAX(4,DATOS!$C$71),TABLAS!$B$52:$B$58,0)+0,7))))))),INDEX(TABLAS!$B$52:$B$58,MIN(MATCH(MAX(4,DATOS!$C$71),TABLAS!$B$52:$B$58,0)+0,7)),IF(AND(CC19&gt;=0,IF(MAX(DATOS!$C$74,CEILING(CC19/INDEX(TABLAS!$D$52:$D$58,MIN(MATCH(MAX(4,DATOS!$C$71),TABLAS!$B$52:$B$58,0)+1,7)),1))*INDEX(TABLAS!$D$52:$D$58,MIN(MATCH(MAX(4,DATOS!$C$71),TABLAS!$B$52:$B$58,0)+1,7)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+1,7)),1)),MAX(MAX(DATOS!$C$74,CEILING(CC19/INDEX(TABLAS!$D$52:$D$58,MIN(MATCH(MAX(4,DATOS!$C$71),TABLAS!$B$52:$B$58,0)+1,7)),1)),2))&lt;=MIN(DATOS!$C$73,INT(((DATOS!$C$83-2*AK19)+MAX(DATOS!$C$70,INDEX(TABLAS!$C$52:$C$58,MIN(MATCH(MAX(4,DATOS!$C$71),TABLAS!$B$52:$B$58,0)+1,7))))/(INDEX(TABLAS!$C$52:$C$58,MIN(MATCH(MAX(4,DATOS!$C$71),TABLAS!$B$52:$B$58,0)+1,7))+MAX(DATOS!$C$70,INDEX(TABLAS!$C$52:$C$58,MIN(MATCH(MAX(4,DATOS!$C$71),TABLAS!$B$52:$B$58,0)+1,7))))))),INDEX(TABLAS!$B$52:$B$58,MIN(MATCH(MAX(4,DATOS!$C$71),TABLAS!$B$52:$B$58,0)+1,7)),IF(AND(CC19&gt;=0,IF(MAX(DATOS!$C$74,CEILING(CC19/INDEX(TABLAS!$D$52:$D$58,MIN(MATCH(MAX(4,DATOS!$C$71),TABLAS!$B$52:$B$58,0)+2,7)),1))*INDEX(TABLAS!$D$52:$D$58,MIN(MATCH(MAX(4,DATOS!$C$71),TABLAS!$B$52:$B$58,0)+2,7)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+2,7)),1)),MAX(MAX(DATOS!$C$74,CEILING(CC19/INDEX(TABLAS!$D$52:$D$58,MIN(MATCH(MAX(4,DATOS!$C$71),TABLAS!$B$52:$B$58,0)+2,7)),1)),2))&lt;=MIN(DATOS!$C$73,INT(((DATOS!$C$83-2*AK19)+MAX(DATOS!$C$70,INDEX(TABLAS!$C$52:$C$58,MIN(MATCH(MAX(4,DATOS!$C$71),TABLAS!$B$52:$B$58,0)+2,7))))/(INDEX(TABLAS!$C$52:$C$58,MIN(MATCH(MAX(4,DATOS!$C$71),TABLAS!$B$52:$B$58,0)+2,7))+MAX(DATOS!$C$70,INDEX(TABLAS!$C$52:$C$58,MIN(MATCH(MAX(4,DATOS!$C$71),TABLAS!$B$52:$B$58,0)+2,7))))))),INDEX(TABLAS!$B$52:$B$58,MIN(MATCH(MAX(4,DATOS!$C$71),TABLAS!$B$52:$B$58,0)+2,7)),IF(AND(CC19&gt;=0,IF(MAX(DATOS!$C$74,CEILING(CC19/INDEX(TABLAS!$D$52:$D$58,MIN(MATCH(MAX(4,DATOS!$C$71),TABLAS!$B$52:$B$58,0)+3,7)),1))*INDEX(TABLAS!$D$52:$D$58,MIN(MATCH(MAX(4,DATOS!$C$71),TABLAS!$B$52:$B$58,0)+3,7)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+3,7)),1)),MAX(MAX(DATOS!$C$74,CEILING(CC19/INDEX(TABLAS!$D$52:$D$58,MIN(MATCH(MAX(4,DATOS!$C$71),TABLAS!$B$52:$B$58,0)+3,7)),1)),2))&lt;=MIN(DATOS!$C$73,INT(((DATOS!$C$83-2*AK19)+MAX(DATOS!$C$70,INDEX(TABLAS!$C$52:$C$58,MIN(MATCH(MAX(4,DATOS!$C$71),TABLAS!$B$52:$B$58,0)+3,7))))/(INDEX(TABLAS!$C$52:$C$58,MIN(MATCH(MAX(4,DATOS!$C$71),TABLAS!$B$52:$B$58,0)+3,7))+MAX(DATOS!$C$70,INDEX(TABLAS!$C$52:$C$58,MIN(MATCH(MAX(4,DATOS!$C$71),TABLAS!$B$52:$B$58,0)+3,7))))))),INDEX(TABLAS!$B$52:$B$58,MIN(MATCH(MAX(4,DATOS!$C$71),TABLAS!$B$52:$B$58,0)+3,7)),IF(AND(CC19&gt;=0,IF(MAX(DATOS!$C$74,CEILING(CC19/INDEX(TABLAS!$D$52:$D$58,MIN(MATCH(MAX(4,DATOS!$C$71),TABLAS!$B$52:$B$58,0)+4,7)),1))*INDEX(TABLAS!$D$52:$D$58,MIN(MATCH(MAX(4,DATOS!$C$71),TABLAS!$B$52:$B$58,0)+4,7)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+4,7)),1)),MAX(MAX(DATOS!$C$74,CEILING(CC19/INDEX(TABLAS!$D$52:$D$58,MIN(MATCH(MAX(4,DATOS!$C$71),TABLAS!$B$52:$B$58,0)+4,7)),1)),2))&lt;=MIN(DATOS!$C$73,INT(((DATOS!$C$83-2*AK19)+MAX(DATOS!$C$70,INDEX(TABLAS!$C$52:$C$58,MIN(MATCH(MAX(4,DATOS!$C$71),TABLAS!$B$52:$B$58,0)+4,7))))/(INDEX(TABLAS!$C$52:$C$58,MIN(MATCH(MAX(4,DATOS!$C$71),TABLAS!$B$52:$B$58,0)+4,7))+MAX(DATOS!$C$70,INDEX(TABLAS!$C$52:$C$58,MIN(MATCH(MAX(4,DATOS!$C$71),TABLAS!$B$52:$B$58,0)+4,7))))))),INDEX(TABLAS!$B$52:$B$58,MIN(MATCH(MAX(4,DATOS!$C$71),TABLAS!$B$52:$B$58,0)+4,7)),INDEX(TABLAS!$B$52:$B$58,7)))))))</f>
        <v/>
      </c>
      <c r="CE19" s="59" t="str">
        <f>IF(V19&lt;&gt;"SÍ","",IF(CC19&lt;0,0,IF(MAX(DATOS!$C$74,CEILING(MAX(CC19,0)/INDEX(TABLAS!$D$52:$D$58,MATCH(CD19,TABLAS!$B$52:$B$58,0)),1))*INDEX(TABLAS!$D$52:$D$58,MATCH(CD19,TABLAS!$B$52:$B$58,0))&gt;=4/3*IF(BI19&lt;=0,0,IF((1-2*BI19*1E5/(DATOS!$C$29*AI19*CB19^2*DATOS!$C$21))&lt;0,-1,IF((1-SQRT((1-2*BI19*1E5/(DATOS!$C$29*AI19*CB19^2*DATOS!$C$21))))*DATOS!$C$21*AI19*CB19/DATOS!$C$14&gt;DATOS!$C$102*AI19*CB19,-1,(1-SQRT((1-2*BI19*1E5/(DATOS!$C$29*AI19*CB19^2*DATOS!$C$21))))*DATOS!$C$21*AI19*CB19/DATOS!$C$14)))-0.0001,MAX(DATOS!$C$74,CEILING(MAX(CC19,0)/INDEX(TABLAS!$D$52:$D$58,MATCH(CD19,TABLAS!$B$52:$B$58,0)),1)),MAX(MAX(DATOS!$C$74,CEILING(MAX(CC19,0)/INDEX(TABLAS!$D$52:$D$58,MATCH(CD19,TABLAS!$B$52:$B$58,0)),1)),2))))</f>
        <v/>
      </c>
      <c r="CF19" s="58" t="str">
        <f>IF(V19&lt;&gt;"SÍ","",DATOS!$C$85-AK19-INDEX(TABLAS!$C$52:$C$58,MATCH(BN19,TABLAS!$B$52:$B$58,0))-INDEX(TABLAS!$C$52:$C$58,MATCH(CD19,TABLAS!$B$52:$B$58,0))/2)</f>
        <v/>
      </c>
      <c r="CG19" s="56" t="str">
        <f>IF(V19&lt;&gt;"SÍ","",IF(CE19=0,0,DATOS!$C$29*CE19*INDEX(TABLAS!$D$52:$D$58,MATCH(CD19,TABLAS!$B$52:$B$58,0))*DATOS!$C$14*(CF19-CE19*INDEX(TABLAS!$D$52:$D$58,MATCH(CD19,TABLAS!$B$52:$B$58,0))*DATOS!$C$14/(DATOS!$C$21*AI19)/2)/1E5))</f>
        <v/>
      </c>
      <c r="CH19" s="65" t="str">
        <f>IF(V19&lt;&gt;"SÍ","",IF(CC19&lt;0,9.99,IF(CG19&gt;0,BI19/CG19,0)))</f>
        <v/>
      </c>
      <c r="CI19" s="66" t="str">
        <f>IF(V19&lt;&gt;"SÍ","",IF(CE19=0,"—",0.003*(CF19-(CE19*INDEX(TABLAS!$D$52:$D$58,MATCH(CD19,TABLAS!$B$52:$B$58,0))*DATOS!$C$14/(DATOS!$C$21*AI19)/DATOS!$C$22))/(CE19*INDEX(TABLAS!$D$52:$D$58,MATCH(CD19,TABLAS!$B$52:$B$58,0))*DATOS!$C$14/(DATOS!$C$21*AI19)/DATOS!$C$22)))</f>
        <v/>
      </c>
      <c r="CJ19" s="58" t="str">
        <f>IF(V19&lt;&gt;"SÍ","",((DATOS!$C$85-AM19-2*DATOS!$C$97-INDEX(TABLAS!$C$52:$C$58,MATCH(MAX(4,DATOS!$C$72),TABLAS!$B$52:$B$58,0))-INDEX(TABLAS!$C$52:$C$58,MATCH(MAX(4,DATOS!$C$72),TABLAS!$B$52:$B$58,0))/2)-IF(AND((DATOS!$C$85-AM19-2*DATOS!$C$97-INDEX(TABLAS!$C$52:$C$58,MATCH(MAX(4,DATOS!$C$72),TABLAS!$B$52:$B$58,0))-INDEX(TABLAS!$C$52:$C$58,MATCH(MAX(4,DATOS!$C$72),TABLAS!$B$52:$B$58,0))/2)&lt;=20,DATOS!$C$65&lt;&gt;"SÍ"),2,0)))</f>
        <v/>
      </c>
      <c r="CK19" s="58" t="str">
        <f>IF(V19&lt;&gt;"SÍ","",IF(IF(BJ19&lt;=0,0,IF((1-2*BJ19*1E5/(DATOS!$C$29*AG19*CJ19^2*DATOS!$C$21))&lt;0,-1,IF((1-SQRT((1-2*BJ19*1E5/(DATOS!$C$29*AG19*CJ19^2*DATOS!$C$21))))*DATOS!$C$21*AG19*CJ19/DATOS!$C$14&gt;DATOS!$C$102*AG19*CJ19,-1,(1-SQRT((1-2*BJ19*1E5/(DATOS!$C$29*AG19*CJ19^2*DATOS!$C$21))))*DATOS!$C$21*AG19*CJ19/DATOS!$C$14)))&lt;0,-1,MAX(IF(BJ19&lt;=0,0,IF((1-2*BJ19*1E5/(DATOS!$C$29*AG19*CJ19^2*DATOS!$C$21))&lt;0,-1,IF((1-SQRT((1-2*BJ19*1E5/(DATOS!$C$29*AG19*CJ19^2*DATOS!$C$21))))*DATOS!$C$21*AG19*CJ19/DATOS!$C$14&gt;DATOS!$C$102*AG19*CJ19,-1,(1-SQRT((1-2*BJ19*1E5/(DATOS!$C$29*AG19*CJ19^2*DATOS!$C$21))))*DATOS!$C$21*AG19*CJ19/DATOS!$C$14))),MIN(DATOS!$C$103*DATOS!$C$83*CJ19,4/3*IF(BJ19&lt;=0,0,IF((1-2*BJ19*1E5/(DATOS!$C$29*AG19*CJ19^2*DATOS!$C$21))&lt;0,-1,IF((1-SQRT((1-2*BJ19*1E5/(DATOS!$C$29*AG19*CJ19^2*DATOS!$C$21))))*DATOS!$C$21*AG19*CJ19/DATOS!$C$14&gt;DATOS!$C$102*AG19*CJ19,-1,(1-SQRT((1-2*BJ19*1E5/(DATOS!$C$29*AG19*CJ19^2*DATOS!$C$21))))*DATOS!$C$21*AG19*CJ19/DATOS!$C$14)))))))</f>
        <v/>
      </c>
      <c r="CL19" s="64" t="str">
        <f>IF(V19&lt;&gt;"SÍ","",IF(AND(CK19&gt;=0,IF(MAX(DATOS!$C$74,CEILING(CK19/INDEX(TABLAS!$D$52:$D$58,MIN(MATCH(MAX(4,DATOS!$C$72),TABLAS!$B$52:$B$58,0)+0,7)),1))*INDEX(TABLAS!$D$52:$D$58,MIN(MATCH(MAX(4,DATOS!$C$72),TABLAS!$B$52:$B$58,0)+0,7)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+0,7)),1)),MAX(MAX(DATOS!$C$74,CEILING(CK19/INDEX(TABLAS!$D$52:$D$58,MIN(MATCH(MAX(4,DATOS!$C$72),TABLAS!$B$52:$B$58,0)+0,7)),1)),2))&lt;=MIN(DATOS!$C$73,INT(((DATOS!$C$83-2*AL19)+MAX(DATOS!$C$70,INDEX(TABLAS!$C$52:$C$58,MIN(MATCH(MAX(4,DATOS!$C$72),TABLAS!$B$52:$B$58,0)+0,7))))/(INDEX(TABLAS!$C$52:$C$58,MIN(MATCH(MAX(4,DATOS!$C$72),TABLAS!$B$52:$B$58,0)+0,7))+MAX(DATOS!$C$70,INDEX(TABLAS!$C$52:$C$58,MIN(MATCH(MAX(4,DATOS!$C$72),TABLAS!$B$52:$B$58,0)+0,7))))))),INDEX(TABLAS!$B$52:$B$58,MIN(MATCH(MAX(4,DATOS!$C$72),TABLAS!$B$52:$B$58,0)+0,7)),IF(AND(CK19&gt;=0,IF(MAX(DATOS!$C$74,CEILING(CK19/INDEX(TABLAS!$D$52:$D$58,MIN(MATCH(MAX(4,DATOS!$C$72),TABLAS!$B$52:$B$58,0)+1,7)),1))*INDEX(TABLAS!$D$52:$D$58,MIN(MATCH(MAX(4,DATOS!$C$72),TABLAS!$B$52:$B$58,0)+1,7)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+1,7)),1)),MAX(MAX(DATOS!$C$74,CEILING(CK19/INDEX(TABLAS!$D$52:$D$58,MIN(MATCH(MAX(4,DATOS!$C$72),TABLAS!$B$52:$B$58,0)+1,7)),1)),2))&lt;=MIN(DATOS!$C$73,INT(((DATOS!$C$83-2*AL19)+MAX(DATOS!$C$70,INDEX(TABLAS!$C$52:$C$58,MIN(MATCH(MAX(4,DATOS!$C$72),TABLAS!$B$52:$B$58,0)+1,7))))/(INDEX(TABLAS!$C$52:$C$58,MIN(MATCH(MAX(4,DATOS!$C$72),TABLAS!$B$52:$B$58,0)+1,7))+MAX(DATOS!$C$70,INDEX(TABLAS!$C$52:$C$58,MIN(MATCH(MAX(4,DATOS!$C$72),TABLAS!$B$52:$B$58,0)+1,7))))))),INDEX(TABLAS!$B$52:$B$58,MIN(MATCH(MAX(4,DATOS!$C$72),TABLAS!$B$52:$B$58,0)+1,7)),IF(AND(CK19&gt;=0,IF(MAX(DATOS!$C$74,CEILING(CK19/INDEX(TABLAS!$D$52:$D$58,MIN(MATCH(MAX(4,DATOS!$C$72),TABLAS!$B$52:$B$58,0)+2,7)),1))*INDEX(TABLAS!$D$52:$D$58,MIN(MATCH(MAX(4,DATOS!$C$72),TABLAS!$B$52:$B$58,0)+2,7)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+2,7)),1)),MAX(MAX(DATOS!$C$74,CEILING(CK19/INDEX(TABLAS!$D$52:$D$58,MIN(MATCH(MAX(4,DATOS!$C$72),TABLAS!$B$52:$B$58,0)+2,7)),1)),2))&lt;=MIN(DATOS!$C$73,INT(((DATOS!$C$83-2*AL19)+MAX(DATOS!$C$70,INDEX(TABLAS!$C$52:$C$58,MIN(MATCH(MAX(4,DATOS!$C$72),TABLAS!$B$52:$B$58,0)+2,7))))/(INDEX(TABLAS!$C$52:$C$58,MIN(MATCH(MAX(4,DATOS!$C$72),TABLAS!$B$52:$B$58,0)+2,7))+MAX(DATOS!$C$70,INDEX(TABLAS!$C$52:$C$58,MIN(MATCH(MAX(4,DATOS!$C$72),TABLAS!$B$52:$B$58,0)+2,7))))))),INDEX(TABLAS!$B$52:$B$58,MIN(MATCH(MAX(4,DATOS!$C$72),TABLAS!$B$52:$B$58,0)+2,7)),IF(AND(CK19&gt;=0,IF(MAX(DATOS!$C$74,CEILING(CK19/INDEX(TABLAS!$D$52:$D$58,MIN(MATCH(MAX(4,DATOS!$C$72),TABLAS!$B$52:$B$58,0)+3,7)),1))*INDEX(TABLAS!$D$52:$D$58,MIN(MATCH(MAX(4,DATOS!$C$72),TABLAS!$B$52:$B$58,0)+3,7)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+3,7)),1)),MAX(MAX(DATOS!$C$74,CEILING(CK19/INDEX(TABLAS!$D$52:$D$58,MIN(MATCH(MAX(4,DATOS!$C$72),TABLAS!$B$52:$B$58,0)+3,7)),1)),2))&lt;=MIN(DATOS!$C$73,INT(((DATOS!$C$83-2*AL19)+MAX(DATOS!$C$70,INDEX(TABLAS!$C$52:$C$58,MIN(MATCH(MAX(4,DATOS!$C$72),TABLAS!$B$52:$B$58,0)+3,7))))/(INDEX(TABLAS!$C$52:$C$58,MIN(MATCH(MAX(4,DATOS!$C$72),TABLAS!$B$52:$B$58,0)+3,7))+MAX(DATOS!$C$70,INDEX(TABLAS!$C$52:$C$58,MIN(MATCH(MAX(4,DATOS!$C$72),TABLAS!$B$52:$B$58,0)+3,7))))))),INDEX(TABLAS!$B$52:$B$58,MIN(MATCH(MAX(4,DATOS!$C$72),TABLAS!$B$52:$B$58,0)+3,7)),IF(AND(CK19&gt;=0,IF(MAX(DATOS!$C$74,CEILING(CK19/INDEX(TABLAS!$D$52:$D$58,MIN(MATCH(MAX(4,DATOS!$C$72),TABLAS!$B$52:$B$58,0)+4,7)),1))*INDEX(TABLAS!$D$52:$D$58,MIN(MATCH(MAX(4,DATOS!$C$72),TABLAS!$B$52:$B$58,0)+4,7)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+4,7)),1)),MAX(MAX(DATOS!$C$74,CEILING(CK19/INDEX(TABLAS!$D$52:$D$58,MIN(MATCH(MAX(4,DATOS!$C$72),TABLAS!$B$52:$B$58,0)+4,7)),1)),2))&lt;=MIN(DATOS!$C$73,INT(((DATOS!$C$83-2*AL19)+MAX(DATOS!$C$70,INDEX(TABLAS!$C$52:$C$58,MIN(MATCH(MAX(4,DATOS!$C$72),TABLAS!$B$52:$B$58,0)+4,7))))/(INDEX(TABLAS!$C$52:$C$58,MIN(MATCH(MAX(4,DATOS!$C$72),TABLAS!$B$52:$B$58,0)+4,7))+MAX(DATOS!$C$70,INDEX(TABLAS!$C$52:$C$58,MIN(MATCH(MAX(4,DATOS!$C$72),TABLAS!$B$52:$B$58,0)+4,7))))))),INDEX(TABLAS!$B$52:$B$58,MIN(MATCH(MAX(4,DATOS!$C$72),TABLAS!$B$52:$B$58,0)+4,7)),INDEX(TABLAS!$B$52:$B$58,7)))))))</f>
        <v/>
      </c>
      <c r="CM19" s="59" t="str">
        <f>IF(V19&lt;&gt;"SÍ","",IF(CK19&lt;0,0,IF(MAX(DATOS!$C$74,CEILING(MAX(CK19,0)/INDEX(TABLAS!$D$52:$D$58,MATCH(CL19,TABLAS!$B$52:$B$58,0)),1))*INDEX(TABLAS!$D$52:$D$58,MATCH(CL19,TABLAS!$B$52:$B$58,0))&gt;=4/3*IF(BJ19&lt;=0,0,IF((1-2*BJ19*1E5/(DATOS!$C$29*AG19*CJ19^2*DATOS!$C$21))&lt;0,-1,IF((1-SQRT((1-2*BJ19*1E5/(DATOS!$C$29*AG19*CJ19^2*DATOS!$C$21))))*DATOS!$C$21*AG19*CJ19/DATOS!$C$14&gt;DATOS!$C$102*AG19*CJ19,-1,(1-SQRT((1-2*BJ19*1E5/(DATOS!$C$29*AG19*CJ19^2*DATOS!$C$21))))*DATOS!$C$21*AG19*CJ19/DATOS!$C$14)))-0.0001,MAX(DATOS!$C$74,CEILING(MAX(CK19,0)/INDEX(TABLAS!$D$52:$D$58,MATCH(CL19,TABLAS!$B$52:$B$58,0)),1)),MAX(MAX(DATOS!$C$74,CEILING(MAX(CK19,0)/INDEX(TABLAS!$D$52:$D$58,MATCH(CL19,TABLAS!$B$52:$B$58,0)),1)),2))))</f>
        <v/>
      </c>
      <c r="CN19" s="58" t="str">
        <f>IF(V19&lt;&gt;"SÍ","",((DATOS!$C$85-AM19-2*DATOS!$C$97-INDEX(TABLAS!$C$52:$C$58,MATCH(BV19,TABLAS!$B$52:$B$58,0))-INDEX(TABLAS!$C$52:$C$58,MATCH(CL19,TABLAS!$B$52:$B$58,0))/2)-IF(AND((DATOS!$C$85-AM19-2*DATOS!$C$97-INDEX(TABLAS!$C$52:$C$58,MATCH(BV19,TABLAS!$B$52:$B$58,0))-INDEX(TABLAS!$C$52:$C$58,MATCH(CL19,TABLAS!$B$52:$B$58,0))/2)&lt;=20,DATOS!$C$65&lt;&gt;"SÍ"),2,0)))</f>
        <v/>
      </c>
      <c r="CO19" s="56" t="str">
        <f>IF(V19&lt;&gt;"SÍ","",IF(CM19=0,0,DATOS!$C$29*CM19*INDEX(TABLAS!$D$52:$D$58,MATCH(CL19,TABLAS!$B$52:$B$58,0))*DATOS!$C$14*(CN19-CM19*INDEX(TABLAS!$D$52:$D$58,MATCH(CL19,TABLAS!$B$52:$B$58,0))*DATOS!$C$14/(DATOS!$C$21*AG19)/2)/1E5))</f>
        <v/>
      </c>
      <c r="CP19" s="65" t="str">
        <f>IF(V19&lt;&gt;"SÍ","",IF(CK19&lt;0,9.99,IF(CO19&gt;0,BJ19/CO19,0)))</f>
        <v/>
      </c>
      <c r="CQ19" s="66" t="str">
        <f>IF(V19&lt;&gt;"SÍ","",IF(CM19=0,"—",0.003*(CN19-(CM19*INDEX(TABLAS!$D$52:$D$58,MATCH(CL19,TABLAS!$B$52:$B$58,0))*DATOS!$C$14/(DATOS!$C$21*AG19)/DATOS!$C$22))/(CM19*INDEX(TABLAS!$D$52:$D$58,MATCH(CL19,TABLAS!$B$52:$B$58,0))*DATOS!$C$14/(DATOS!$C$21*AG19)/DATOS!$C$22)))</f>
        <v/>
      </c>
      <c r="CR19" s="56" t="str">
        <f>IF(V19&lt;&gt;"SÍ","",IF(C19="PERIMETRAL",MAX(0,(AB19/2-BX19)/100)*(0.95-0.5*AA19)*AR19*IF(AND(AS19&gt;0,AS19&lt;4),DATOS!$C$33,1)*DATOS!$C$86/100/1000,(AR19*MAX(0,AB19-BX19)/100+DATOS!$C$26*N(O19))*DATOS!$C$86/100/1000+BF19))</f>
        <v/>
      </c>
      <c r="CS19" s="56" t="str">
        <f>IF(V19&lt;&gt;"SÍ","",DATOS!$C$30*2*MIN(1,SQRT(2/(1+0.04*BX19)))*(BW19*INDEX(TABLAS!$D$52:$D$58,MATCH(BV19,TABLAS!$B$52:$B$58,0))/(AF19*BX19))^(1/3)*SQRT(DATOS!$C$13)*AF19*BX19*IF(AJ19="SÍ",DATOS!$C$32,1)/1000)</f>
        <v/>
      </c>
      <c r="CT19" s="59" t="str">
        <f>IF(V19&lt;&gt;"SÍ","",IF(CR19&lt;=CS19,0,CEILING(MAX(0,IF(C19="VOLADO",(AB19-((CS19-BF19)*1E5/DATOS!$C$86-DATOS!$C$26*N(O19))*100/AR19),IF(CS19&lt;=0,AB19,AB19/2-CS19/MAX(CR19,1E-9)*(AB19/2-BX19)))-IF(X19="X",MIN(DJ19,DK19),MIN(DL19,DM19)))/DATOS!$C$86,1)))</f>
        <v/>
      </c>
      <c r="CU19" s="67" t="str">
        <f>IF(V19&lt;&gt;"SÍ","",IF(CR19&lt;=CS19,"CUMPLE",IF(CT19&lt;=0,"CUMPLE (basta el macizo de orilla)",IF(CT19*DATOS!$C$86*IF(C19="VOLADO",1,2)&gt;=Y19*100-DATOS!$C$87,"NO CUMPLE: no alcanza ni macizando todo","MACIZAR "&amp;CT19&amp;" hilera(s)"))))</f>
        <v/>
      </c>
      <c r="CV19" s="58" t="str">
        <f>IF(V19&lt;&gt;"SÍ","",(DATOS!$C$86*DATOS!$C$84^2/2+MIN(DATOS!$C$83,AD19)*DATOS!$C$82*(DATOS!$C$84+DATOS!$C$82/2))/(DATOS!$C$86*DATOS!$C$84+MIN(DATOS!$C$83,AD19)*DATOS!$C$82))</f>
        <v/>
      </c>
      <c r="CW19" s="68" t="str">
        <f>IF(V19&lt;&gt;"SÍ","",DATOS!$C$86*DATOS!$C$84^3/12+DATOS!$C$86*DATOS!$C$84*(CV19-DATOS!$C$84/2)^2+MIN(DATOS!$C$83,AD19)*DATOS!$C$82^3/12+MIN(DATOS!$C$83,AD19)*DATOS!$C$82*(DATOS!$C$84+DATOS!$C$82/2-CV19)^2)</f>
        <v/>
      </c>
      <c r="CX19" s="58" t="str">
        <f>IF(V19&lt;&gt;"SÍ","",(12*CW19/DATOS!$C$86)^(1/3))</f>
        <v/>
      </c>
      <c r="CY19" s="58" t="str">
        <f>IF(V19&lt;&gt;"SÍ","",IF(C19="PERIMETRAL",IF(ISNUMBER(S19),S19,DATOS!$C$104),0))</f>
        <v/>
      </c>
      <c r="CZ19" s="57" t="str">
        <f>IF(V19&lt;&gt;"SÍ","",IF(C19="PERIMETRAL",IF(CY19&gt;2,MAX(9,AC19*(0.8+DATOS!$C$14/14000)/(36+9*(AC19/MAX(AB19,1)))),IF(CY19&gt;0.2,MAX(13,AC19*(0.8+DATOS!$C$14/14000)/(36+5*(AC19/MAX(AB19,1))*(CY19-0.2))),MAX(13,AC19/IF(AS19&gt;0,30,33))))*IF(AND(CY19&gt;0.2,AS19&gt;0,DATOS!$C$105="NO"),1.1,1),MAX(25,Y19*100/8*(0.4+DATOS!$C$14/7000))))</f>
        <v/>
      </c>
      <c r="DA19" s="61" t="str">
        <f>IF(V19&lt;&gt;"SÍ","",IF(IF(C19="VOLADO",DATOS!$C$85,CX19)&gt;=CZ19,"CUMPLE",IF(C19="VOLADO","NO CUMPLE","CALCULAR FLECHA")))</f>
        <v/>
      </c>
      <c r="DB19" s="55" t="str">
        <f>IF(V19&lt;&gt;"SÍ","",IF(DATOS!$C$84&gt;=IF(IF(C19="VOLADO",Y19,Z19)&gt;=6,6,5),"CUMPLE","CAPA ≥ 6 cm"))</f>
        <v/>
      </c>
      <c r="DC19" s="60" t="str">
        <f>IF(V19&lt;&gt;"SÍ","",IF(C19="VOLADO",MIN(FLOOR(IF(ISNUMBER(P19),P19,Y19)*100-DATOS!$C$63,5),CEILING(MAX(IF((0.5*(0.9*DATOS!$C$90*DATOS!$C$86/100/1000)*IF(ISNUMBER(P19),P19,Y19)+BH19/IF(ISNUMBER(P19),P19,Y19))^2-4*(0.5*(0.9*DATOS!$C$90*DATOS!$C$86/100/1000))*BH19&lt;0,IF(ISNUMBER(P19),P19,Y19),MIN(IF(ISNUMBER(P19),P19,Y19),((0.5*(0.9*DATOS!$C$90*DATOS!$C$86/100/1000)*IF(ISNUMBER(P19),P19,Y19)+BH19/IF(ISNUMBER(P19),P19,Y19))-SQRT((0.5*(0.9*DATOS!$C$90*DATOS!$C$86/100/1000)*IF(ISNUMBER(P19),P19,Y19)+BH19/IF(ISNUMBER(P19),P19,Y19))^2-4*(0.5*(0.9*DATOS!$C$90*DATOS!$C$86/100/1000))*BH19))/(2*(0.5*(0.9*DATOS!$C$90*DATOS!$C$86/100/1000)))))*100+MAX(BX19,12*INDEX(TABLAS!$C$52:$C$58,MATCH(BV19,TABLAS!$B$52:$B$58,0)),IF(ISNUMBER(P19),P19,Y19)*100/16),IF(OR(AL19&lt;INDEX(TABLAS!$C$52:$C$58,MATCH(BV19,TABLAS!$B$52:$B$58,0)),AND(BW19&gt;=2,(AD19-2*AL19-BW19*INDEX(TABLAS!$C$52:$C$58,MATCH(BV19,TABLAS!$B$52:$B$58,0)))/MAX(BW19-1,1)&lt;2*INDEX(TABLAS!$C$52:$C$58,MATCH(BV19,TABLAS!$B$52:$B$58,0)))),INDEX(TABLAS!$I$52:$I$58,MATCH(BV19,TABLAS!$B$52:$B$58,0)),INDEX(TABLAS!$F$52:$F$58,MATCH(BV19,TABLAS!$B$52:$B$58,0)))),5)),IF(((4*((BC19*AR19*Y19^2*1E-4*DATOS!$C$86/100/1000)+((MAX(AY19,BA19)*AR19*Y19^2*1E-4*DATOS!$C$86/100/1000)+(IF(AND(AY19&gt;0,BA19&gt;0),MIN(AY19,BA19),MAX(AY19,BA19))*AR19*Y19^2*1E-4*DATOS!$C$86/100/1000))/2)+BH19-(IF(AND(AY19&gt;0,BA19&gt;0),MIN(AY19,BA19),MAX(AY19,BA19))*AR19*Y19^2*1E-4*DATOS!$C$86/100/1000))^2-16*((BC19*AR19*Y19^2*1E-4*DATOS!$C$86/100/1000)+((MAX(AY19,BA19)*AR19*Y19^2*1E-4*DATOS!$C$86/100/1000)+(IF(AND(AY19&gt;0,BA19&gt;0),MIN(AY19,BA19),MAX(AY19,BA19))*AR19*Y19^2*1E-4*DATOS!$C$86/100/1000))/2)*BH19)&lt;0,CEILING(AB19,5),CEILING(MAX(AB19*((4*((BC19*AR19*Y19^2*1E-4*DATOS!$C$86/100/1000)+((MAX(AY19,BA19)*AR19*Y19^2*1E-4*DATOS!$C$86/100/1000)+(IF(AND(AY19&gt;0,BA19&gt;0),MIN(AY19,BA19),MAX(AY19,BA19))*AR19*Y19^2*1E-4*DATOS!$C$86/100/1000))/2)+BH19-(IF(AND(AY19&gt;0,BA19&gt;0),MIN(AY19,BA19),MAX(AY19,BA19))*AR19*Y19^2*1E-4*DATOS!$C$86/100/1000))-SQRT(MAX(0,((4*((BC19*AR19*Y19^2*1E-4*DATOS!$C$86/100/1000)+((MAX(AY19,BA19)*AR19*Y19^2*1E-4*DATOS!$C$86/100/1000)+(IF(AND(AY19&gt;0,BA19&gt;0),MIN(AY19,BA19),MAX(AY19,BA19))*AR19*Y19^2*1E-4*DATOS!$C$86/100/1000))/2)+BH19-(IF(AND(AY19&gt;0,BA19&gt;0),MIN(AY19,BA19),MAX(AY19,BA19))*AR19*Y19^2*1E-4*DATOS!$C$86/100/1000))^2-16*((BC19*AR19*Y19^2*1E-4*DATOS!$C$86/100/1000)+((MAX(AY19,BA19)*AR19*Y19^2*1E-4*DATOS!$C$86/100/1000)+(IF(AND(AY19&gt;0,BA19&gt;0),MIN(AY19,BA19),MAX(AY19,BA19))*AR19*Y19^2*1E-4*DATOS!$C$86/100/1000))/2)*BH19))))/(8*MAX(((BC19*AR19*Y19^2*1E-4*DATOS!$C$86/100/1000)+((MAX(AY19,BA19)*AR19*Y19^2*1E-4*DATOS!$C$86/100/1000)+(IF(AND(AY19&gt;0,BA19&gt;0),MIN(AY19,BA19),MAX(AY19,BA19))*AR19*Y19^2*1E-4*DATOS!$C$86/100/1000))/2),1E-9))+MAX(BX19,12*INDEX(TABLAS!$C$52:$C$58,MATCH(BV19,TABLAS!$B$52:$B$58,0)),AB19/16),IF(OR(AL19&lt;INDEX(TABLAS!$C$52:$C$58,MATCH(BV19,TABLAS!$B$52:$B$58,0)),AND(BW19&gt;=2,(AD19-2*AL19-BW19*INDEX(TABLAS!$C$52:$C$58,MATCH(BV19,TABLAS!$B$52:$B$58,0)))/MAX(BW19-1,1)&lt;2*INDEX(TABLAS!$C$52:$C$58,MATCH(BV19,TABLAS!$B$52:$B$58,0)))),INDEX(TABLAS!$I$52:$I$58,MATCH(BV19,TABLAS!$B$52:$B$58,0)),INDEX(TABLAS!$F$52:$F$58,MATCH(BV19,TABLAS!$B$52:$B$58,0)))),5))))</f>
        <v/>
      </c>
      <c r="DD19" s="60" t="str">
        <f>IF(V19&lt;&gt;"SÍ","",IF(C19="VOLADO",0,IF(((4*((BD19*AR19*Y19^2*1E-4*DATOS!$C$86/100/1000)+((MAX(AZ19,BB19)*AR19*Y19^2*1E-4*DATOS!$C$86/100/1000)+(IF(AND(AZ19&gt;0,BB19&gt;0),MIN(AZ19,BB19),MAX(AZ19,BB19))*AR19*Y19^2*1E-4*DATOS!$C$86/100/1000))/2)+BJ19-(IF(AND(AZ19&gt;0,BB19&gt;0),MIN(AZ19,BB19),MAX(AZ19,BB19))*AR19*Y19^2*1E-4*DATOS!$C$86/100/1000))^2-16*((BD19*AR19*Y19^2*1E-4*DATOS!$C$86/100/1000)+((MAX(AZ19,BB19)*AR19*Y19^2*1E-4*DATOS!$C$86/100/1000)+(IF(AND(AZ19&gt;0,BB19&gt;0),MIN(AZ19,BB19),MAX(AZ19,BB19))*AR19*Y19^2*1E-4*DATOS!$C$86/100/1000))/2)*BJ19)&lt;0,CEILING(AC19,5),CEILING(MAX(AC19*((4*((BD19*AR19*Y19^2*1E-4*DATOS!$C$86/100/1000)+((MAX(AZ19,BB19)*AR19*Y19^2*1E-4*DATOS!$C$86/100/1000)+(IF(AND(AZ19&gt;0,BB19&gt;0),MIN(AZ19,BB19),MAX(AZ19,BB19))*AR19*Y19^2*1E-4*DATOS!$C$86/100/1000))/2)+BJ19-(IF(AND(AZ19&gt;0,BB19&gt;0),MIN(AZ19,BB19),MAX(AZ19,BB19))*AR19*Y19^2*1E-4*DATOS!$C$86/100/1000))-SQRT(MAX(0,((4*((BD19*AR19*Y19^2*1E-4*DATOS!$C$86/100/1000)+((MAX(AZ19,BB19)*AR19*Y19^2*1E-4*DATOS!$C$86/100/1000)+(IF(AND(AZ19&gt;0,BB19&gt;0),MIN(AZ19,BB19),MAX(AZ19,BB19))*AR19*Y19^2*1E-4*DATOS!$C$86/100/1000))/2)+BJ19-(IF(AND(AZ19&gt;0,BB19&gt;0),MIN(AZ19,BB19),MAX(AZ19,BB19))*AR19*Y19^2*1E-4*DATOS!$C$86/100/1000))^2-16*((BD19*AR19*Y19^2*1E-4*DATOS!$C$86/100/1000)+((MAX(AZ19,BB19)*AR19*Y19^2*1E-4*DATOS!$C$86/100/1000)+(IF(AND(AZ19&gt;0,BB19&gt;0),MIN(AZ19,BB19),MAX(AZ19,BB19))*AR19*Y19^2*1E-4*DATOS!$C$86/100/1000))/2)*BJ19))))/(8*MAX(((BD19*AR19*Y19^2*1E-4*DATOS!$C$86/100/1000)+((MAX(AZ19,BB19)*AR19*Y19^2*1E-4*DATOS!$C$86/100/1000)+(IF(AND(AZ19&gt;0,BB19&gt;0),MIN(AZ19,BB19),MAX(AZ19,BB19))*AR19*Y19^2*1E-4*DATOS!$C$86/100/1000))/2),1E-9))+MAX(CN19,12*INDEX(TABLAS!$C$52:$C$58,MATCH(CL19,TABLAS!$B$52:$B$58,0)),AC19/16),IF(OR(AL19&lt;INDEX(TABLAS!$C$52:$C$58,MATCH(CL19,TABLAS!$B$52:$B$58,0)),AND(CM19&gt;=2,(DATOS!$C$83-2*AL19-CM19*INDEX(TABLAS!$C$52:$C$58,MATCH(CL19,TABLAS!$B$52:$B$58,0)))/MAX(CM19-1,1)&lt;2*INDEX(TABLAS!$C$52:$C$58,MATCH(CL19,TABLAS!$B$52:$B$58,0)))),INDEX(TABLAS!$I$52:$I$58,MATCH(CL19,TABLAS!$B$52:$B$58,0)),INDEX(TABLAS!$F$52:$F$58,MATCH(CL19,TABLAS!$B$52:$B$58,0)))),5))))</f>
        <v/>
      </c>
      <c r="DE19" s="55" t="str">
        <f>IF(V19&lt;&gt;"SÍ","",IF(AND(C19="PERIMETRAL",BW19&gt;=2,AS19-AT19&gt;0,BA19*AR19*Y19^2*1E-4*DATOS!$C$86/100/1000&gt;DATOS!$C$29*INDEX(TABLAS!$D$52:$D$58,MATCH(BV19,TABLAS!$B$52:$B$58,0))*DATOS!$C$14*(BX19-INDEX(TABLAS!$D$52:$D$58,MATCH(BV19,TABLAS!$B$52:$B$58,0))*DATOS!$C$14/(DATOS!$C$21*AF19)/2)/1E5),"SÍ","NO"))</f>
        <v/>
      </c>
      <c r="DF19" s="55" t="str">
        <f>IF(V19&lt;&gt;"SÍ","",IF(AND(C19="PERIMETRAL",CM19&gt;=2,AT19&gt;0,BB19*AR19*Y19^2*1E-4*DATOS!$C$86/100/1000&gt;DATOS!$C$29*INDEX(TABLAS!$D$52:$D$58,MATCH(CL19,TABLAS!$B$52:$B$58,0))*DATOS!$C$14*(CN19-INDEX(TABLAS!$D$52:$D$58,MATCH(CL19,TABLAS!$B$52:$B$58,0))*DATOS!$C$14/(DATOS!$C$21*AG19)/2)/1E5),"SÍ","NO"))</f>
        <v/>
      </c>
      <c r="DG19" s="63" t="str">
        <f>IF(V19&lt;&gt;"SÍ","",IF(OR(C19="VOLADO",AS19=0),"—",IF(AND(AND(1.25*INDEX(TABLAS!$G$52:$G$58,MATCH(MAX(BN19,CD19),TABLAS!$B$52:$B$58,0))&lt;=(DATOS!$C$75-DATOS!$C$63),(DATOS!$C$75-DATOS!$C$63)&gt;=15,INDEX(TABLAS!$G$52:$G$58,MATCH(MAX(BV19,CL19),TABLAS!$B$52:$B$58,0))&lt;=(DATOS!$C$75-DATOS!$C$63)),8*INDEX(TABLAS!$C$52:$C$58,MATCH(MAX(MAX(BN19,CD19),MAX(BV19,CL19)),TABLAS!$B$52:$B$58,0))&lt;=DATOS!$C$76-2*DATOS!$C$63),"CUMPLE (gancho de 180°)",IF(AND(1.25*INDEX(TABLAS!$G$52:$G$58,MATCH(MAX(BN19,CD19),TABLAS!$B$52:$B$58,0))&lt;=(DATOS!$C$75-DATOS!$C$63),(DATOS!$C$75-DATOS!$C$63)&gt;=15,INDEX(TABLAS!$G$52:$G$58,MATCH(MAX(BV19,CL19),TABLAS!$B$52:$B$58,0))&lt;=(DATOS!$C$75-DATOS!$C$63)),"NO CUMPLE: el gancho de 180° (8·d_b) no cabe en el peralte de la dala de borde","NO CUMPLE: dala de borde ≥ "&amp;TEXT(CEILING(MAX(1.25*INDEX(TABLAS!$G$52:$G$58,MATCH(MAX(BN19,CD19),TABLAS!$B$52:$B$58,0)),15,INDEX(TABLAS!$G$52:$G$58,MATCH(MAX(BV19,CL19),TABLAS!$B$52:$B$58,0)))+DATOS!$C$63,5),"0")&amp;" cm de ancho"&amp;IF(8*INDEX(TABLAS!$C$52:$C$58,MATCH(MAX(MAX(BN19,CD19),MAX(BV19,CL19)),TABLAS!$B$52:$B$58,0))&lt;=DATOS!$C$76-2*DATOS!$C$63,""," y más peralte para el gancho")))))</f>
        <v/>
      </c>
      <c r="DH19" s="59" t="str">
        <f>IF(V19&lt;&gt;"SÍ","",MAX(0,INT((E19*100-DATOS!$C$87-IF(AND(C19="PERIMETRAL",I19="DISCONTINUO"),MAX(0,DATOS!$C$75-DATOS!$C$87),0)-IF(AND(C19="PERIMETRAL",J19="DISCONTINUO"),MAX(0,DATOS!$C$75-DATOS!$C$87),0)+DATOS!$C$86-IF(X19="X",DATOS!$C$81,AE19))/DATOS!$C$86)))</f>
        <v/>
      </c>
      <c r="DI19" s="59" t="str">
        <f>IF(V19&lt;&gt;"SÍ","",MAX(0,INT((F19*100-DATOS!$C$87-IF(AND(C19="PERIMETRAL",G19="DISCONTINUO"),MAX(0,DATOS!$C$75-DATOS!$C$87),0)-IF(AND(C19="PERIMETRAL",H19="DISCONTINUO"),MAX(0,DATOS!$C$75-DATOS!$C$87),0)+DATOS!$C$86-IF(X19="Y",DATOS!$C$81,AE19))/DATOS!$C$86)))</f>
        <v/>
      </c>
      <c r="DJ19" s="57" t="str">
        <f>IF(V19&lt;&gt;"SÍ","",IF(DH19&gt;0,IF(AND(C19="PERIMETRAL",I19="DISCONTINUO"),MAX(0,DATOS!$C$75-DATOS!$C$87),0)+(E19*100-DATOS!$C$87-IF(AND(C19="PERIMETRAL",I19="DISCONTINUO"),MAX(0,DATOS!$C$75-DATOS!$C$87),0)-IF(AND(C19="PERIMETRAL",J19="DISCONTINUO"),MAX(0,DATOS!$C$75-DATOS!$C$87),0)-(DH19*IF(X19="X",DATOS!$C$81,AE19)+(DH19-1)*(DATOS!$C$86-IF(X19="X",DATOS!$C$81,AE19))))/2,E19*100/2))</f>
        <v/>
      </c>
      <c r="DK19" s="57" t="str">
        <f>IF(V19&lt;&gt;"SÍ","",IF(DH19&gt;0,IF(AND(C19="PERIMETRAL",J19="DISCONTINUO"),MAX(0,DATOS!$C$75-DATOS!$C$87),0)+(E19*100-DATOS!$C$87-IF(AND(C19="PERIMETRAL",I19="DISCONTINUO"),MAX(0,DATOS!$C$75-DATOS!$C$87),0)-IF(AND(C19="PERIMETRAL",J19="DISCONTINUO"),MAX(0,DATOS!$C$75-DATOS!$C$87),0)-(DH19*IF(X19="X",DATOS!$C$81,AE19)+(DH19-1)*(DATOS!$C$86-IF(X19="X",DATOS!$C$81,AE19))))/2,E19*100/2))</f>
        <v/>
      </c>
      <c r="DL19" s="57" t="str">
        <f>IF(V19&lt;&gt;"SÍ","",IF(DI19&gt;0,IF(AND(C19="PERIMETRAL",G19="DISCONTINUO"),MAX(0,DATOS!$C$75-DATOS!$C$87),0)+(F19*100-DATOS!$C$87-IF(AND(C19="PERIMETRAL",G19="DISCONTINUO"),MAX(0,DATOS!$C$75-DATOS!$C$87),0)-IF(AND(C19="PERIMETRAL",H19="DISCONTINUO"),MAX(0,DATOS!$C$75-DATOS!$C$87),0)-(DI19*IF(X19="Y",DATOS!$C$81,AE19)+(DI19-1)*(DATOS!$C$86-IF(X19="Y",DATOS!$C$81,AE19))))/2,F19*100/2))</f>
        <v/>
      </c>
      <c r="DM19" s="57" t="str">
        <f>IF(V19&lt;&gt;"SÍ","",IF(DI19&gt;0,IF(AND(C19="PERIMETRAL",H19="DISCONTINUO"),MAX(0,DATOS!$C$75-DATOS!$C$87),0)+(F19*100-DATOS!$C$87-IF(AND(C19="PERIMETRAL",G19="DISCONTINUO"),MAX(0,DATOS!$C$75-DATOS!$C$87),0)-IF(AND(C19="PERIMETRAL",H19="DISCONTINUO"),MAX(0,DATOS!$C$75-DATOS!$C$87),0)-(DI19*IF(X19="Y",DATOS!$C$81,AE19)+(DI19-1)*(DATOS!$C$86-IF(X19="Y",DATOS!$C$81,AE19))))/2,F19*100/2))</f>
        <v/>
      </c>
      <c r="DN19" s="59" t="str">
        <f>IF(V19&lt;&gt;"SÍ","",IF(NOT(AND(C19="VOLADO",AD19&gt;DATOS!$C$83)),0,IF(INDEX(TABLAS!$C$52:$C$58,MATCH(BV19,TABLAS!$B$52:$B$58,0))&lt;=DATOS!$C$83-2*DATOS!$C$63,1,0)))</f>
        <v/>
      </c>
      <c r="DO19" s="58" t="str">
        <f>IF(V19&lt;&gt;"SÍ","",IF(NOT(AND(C19="VOLADO",AD19&gt;DATOS!$C$83)),0,((DATOS!$C$85-MAX(DATOS!$C$63,(DATOS!$C$84-2*DATOS!$C$97)/2)-2*DATOS!$C$97-INDEX(TABLAS!$C$52:$C$58,MATCH(MAX(4,DATOS!$C$72),TABLAS!$B$52:$B$58,0))-INDEX(TABLAS!$C$52:$C$58,MATCH(BV19,TABLAS!$B$52:$B$58,0))/2)-IF(AND((DATOS!$C$85-MAX(DATOS!$C$63,(DATOS!$C$84-2*DATOS!$C$97)/2)-2*DATOS!$C$97-INDEX(TABLAS!$C$52:$C$58,MATCH(MAX(4,DATOS!$C$72),TABLAS!$B$52:$B$58,0))-INDEX(TABLAS!$C$52:$C$58,MATCH(BV19,TABLAS!$B$52:$B$58,0))/2)&lt;=20,DATOS!$C$65&lt;&gt;"SÍ"),2,0))))</f>
        <v/>
      </c>
      <c r="DP19" s="56" t="str">
        <f>IF(V19&lt;&gt;"SÍ","",IF(OR(NOT(AND(C19="VOLADO",AD19&gt;DATOS!$C$83)),DN19&lt;1),0,IF(0.003*(DO19-((DN19*INDEX(TABLAS!$D$52:$D$58,MATCH(BV19,TABLAS!$B$52:$B$58,0)))*DATOS!$C$14/(DATOS!$C$21*AG19)/DATOS!$C$22))/((DN19*INDEX(TABLAS!$D$52:$D$58,MATCH(BV19,TABLAS!$B$52:$B$58,0)))*DATOS!$C$14/(DATOS!$C$21*AG19)/DATOS!$C$22)&lt;0.005,0,DATOS!$C$29*(DN19*INDEX(TABLAS!$D$52:$D$58,MATCH(BV19,TABLAS!$B$52:$B$58,0)))*DATOS!$C$14*(DO19-(DN19*INDEX(TABLAS!$D$52:$D$58,MATCH(BV19,TABLAS!$B$52:$B$58,0)))*DATOS!$C$14/(DATOS!$C$21*AG19)/2)/1E5)))</f>
        <v/>
      </c>
      <c r="DQ19" s="56" t="str">
        <f>IF(V19&lt;&gt;"SÍ","",IF(OR(NOT(AND(C19="VOLADO",AD19&gt;DATOS!$C$83)),DN19&lt;1),0,DATOS!$C$30*2*MIN(1,SQRT(2/(1+0.04*DO19)))*((DN19*INDEX(TABLAS!$D$52:$D$58,MATCH(BV19,TABLAS!$B$52:$B$58,0)))/(AG19*DO19))^(1/3)*SQRT(DATOS!$C$13)*AG19*DO19/1000))</f>
        <v/>
      </c>
      <c r="DR19" s="56" t="str">
        <f>IF(V19&lt;&gt;"SÍ","",IF(NOT(AND(C19="VOLADO",AD19&gt;DATOS!$C$83)),0,IF((BH19-DP19)&lt;=0,0,IF(DP19&lt;=0,IF(ISNUMBER(P19),P19,Y19),IF(((0.9*DATOS!$C$90*DATOS!$C$86/100/1000)*IF(ISNUMBER(P19),P19,Y19)/2+BH19/IF(ISNUMBER(P19),P19,Y19))^2-4*((0.9*DATOS!$C$90*DATOS!$C$86/100/1000)/2)*(BH19-DP19)&lt;0,IF(ISNUMBER(P19),P19,Y19),MIN(IF(ISNUMBER(P19),P19,Y19),(((0.9*DATOS!$C$90*DATOS!$C$86/100/1000)*IF(ISNUMBER(P19),P19,Y19)/2+BH19/IF(ISNUMBER(P19),P19,Y19))-SQRT(((0.9*DATOS!$C$90*DATOS!$C$86/100/1000)*IF(ISNUMBER(P19),P19,Y19)/2+BH19/IF(ISNUMBER(P19),P19,Y19))^2-4*((0.9*DATOS!$C$90*DATOS!$C$86/100/1000)/2)*(BH19-DP19)))/(2*((0.9*DATOS!$C$90*DATOS!$C$86/100/1000)/2))))))))</f>
        <v/>
      </c>
      <c r="DS19" s="56" t="str">
        <f>IF(V19&lt;&gt;"SÍ","",IF(NOT(AND(C19="VOLADO",AD19&gt;DATOS!$C$83)),0,IF(DQ19&lt;=(BH19/((IF(ISNUMBER(P19),P19,Y19)*100-DATOS!$C$87)/100)),IF(ISNUMBER(P19),P19,Y19),MIN(IF(ISNUMBER(P19),P19,Y19),MAX(0,(IF(ISNUMBER(P19),P19,Y19)*100-DATOS!$C$87)/200-(DQ19-(BH19/((IF(ISNUMBER(P19),P19,Y19)*100-DATOS!$C$87)/100)))/((0.95-0.5*IF(N(Q19)&gt;0,MIN(IF(ISNUMBER(P19),P19,Y19),Q19)/MAX(IF(ISNUMBER(P19),P19,Y19),Q19),0))*DATOS!$C$33*AR19*DATOS!$C$86/100/1000))))))</f>
        <v/>
      </c>
      <c r="DT19" s="56" t="str">
        <f>IF(V19&lt;&gt;"SÍ","",IF(NOT(AND(C19="VOLADO",AD19&gt;DATOS!$C$83)),0,(BH19/((IF(ISNUMBER(P19),P19,Y19)*100-DATOS!$C$87)/100))+((0.95-0.5*IF(N(Q19)&gt;0,MIN(IF(ISNUMBER(P19),P19,Y19),Q19)/MAX(IF(ISNUMBER(P19),P19,Y19),Q19),0))*DATOS!$C$33*AR19*DATOS!$C$86/100/1000)*MAX(0,(IF(ISNUMBER(P19),P19,Y19)*100-DATOS!$C$87)/200-BX19/100)))</f>
        <v/>
      </c>
      <c r="DU19" s="59" t="str">
        <f>IF(V19&lt;&gt;"SÍ","",IF(NOT(AND(C19="VOLADO",AD19&gt;DATOS!$C$83)),0,MIN(FLOOR(100*IF(ISNUMBER(P19),P19,Y19)-DATOS!$C$63,5),CEILING(100*MIN(IF(ISNUMBER(P19),P19,Y19),MAX(IF(DR19&gt;0,DR19+IF(BW19&gt;=2,MAX(DO19,12*INDEX(TABLAS!$C$52:$C$58,MATCH(BV19,TABLAS!$B$52:$B$58,0)))/100,0),0),DS19,IF(BW19&gt;=2,INDEX(TABLAS!$F$52:$F$58,MATCH(BV19,TABLAS!$B$52:$B$58,0))/100,0))),5))))</f>
        <v/>
      </c>
      <c r="DV19" s="60" t="str">
        <f>IF(V19&lt;&gt;"SÍ","",IF(NOT(AND(C19="VOLADO",AD19&gt;DATOS!$C$83)),0,IF(DU19&lt;=0,0,CEILING(DU19/DATOS!$C$86,1))))</f>
        <v/>
      </c>
      <c r="DW19" s="61" t="str">
        <f>IF(V19&lt;&gt;"SÍ","",IF(C19&lt;&gt;"VOLADO","—",IF(AD19&lt;=DATOS!$C$83,"— (mismo b_w que el respaldo)",IF(DT19&gt;CS19,"NO CUMPLE: cortante de la nervadura ancha junto al apoyo ("&amp;TEXT(DT19,"0.00")&amp;" &gt; "&amp;TEXT(CS19,"0.00")&amp;" t)",IF(DU19&gt;=100*IF(ISNUMBER(P19),P19,Y19),"CUMPLE — todas las nervaduras del respaldo ‖ al volado con b_w = "&amp;AD19&amp;" cm","CUMPLE — "&amp;DV19&amp;" hilera(s) del respaldo con nervaduras de b_w = "&amp;AD19&amp;" cm (casetón "&amp;AE19&amp;" cm), hasta "&amp;TEXT(DU19/100,"0.00")&amp;" m del paño")))))</f>
        <v/>
      </c>
      <c r="DX19" s="69" t="str">
        <f>IF(V19&lt;&gt;"SÍ","",IF(BO19=0,"NO ALCANZA",BO19&amp;" No. "&amp;BN19&amp;IF(BO19&gt;1," corridas"," corrida")))</f>
        <v/>
      </c>
      <c r="DY19" s="69" t="str">
        <f>IF(V19&lt;&gt;"SÍ","",IF(BW19=0,"NO ALCANZA",IF(AND(C19="VOLADO",AD19&gt;DATOS!$C$83,BW19&gt;=2),"1 No. "&amp;BV19&amp;" corrida de la orilla al respaldo ("&amp;IF(DC19&gt;=FLOOR(100*IF(ISNUMBER(P19),P19,Y19)-DATOS!$C$63,5),"hasta su apoyo lejano, con gancho","entra "&amp;TEXT(DC19/100,"0.00")&amp;" m desde el paño")&amp;") + "&amp;(BW19-1)&amp;" bastón No. "&amp;BV19&amp;" hasta "&amp;TEXT(DU19/100,"0.00")&amp;" m del paño (fin de la nervadura ancha)",IF(C19="VOLADO",BW19&amp;" No. "&amp;BV19&amp;" de la orilla al respaldo ("&amp;IF(DC19&gt;=FLOOR(100*IF(ISNUMBER(P19),P19,Y19)-DATOS!$C$63,5),"hasta su apoyo lejano, con gancho","entran "&amp;TEXT(DC19/100,"0.00")&amp;" m desde el paño")&amp;")","1 No. "&amp;BV19&amp;" corrida"&amp;IF(BW19&gt;1," + "&amp;(BW19-1)&amp;" bastón No. "&amp;BV19&amp;" L = "&amp;TEXT(DC19/100,"0.00")&amp;" m desde el paño","")))))</f>
        <v/>
      </c>
      <c r="DZ19" s="69" t="str">
        <f>IF(V19&lt;&gt;"SÍ","",IF(CE19=0,"NO ALCANZA",CE19&amp;" No. "&amp;CD19&amp;IF(CE19&gt;1," corridas"," corrida")))</f>
        <v/>
      </c>
      <c r="EA19" s="69" t="str">
        <f>IF(V19&lt;&gt;"SÍ","",IF(CM19=0,"NO ALCANZA",IF(C19="VOLADO","1 No. "&amp;CL19&amp;" corrida (repartición)","1 No. "&amp;CL19&amp;" corrida"&amp;IF(CM19&gt;1," + "&amp;(CM19-1)&amp;" bastón No. "&amp;CL19&amp;" L = "&amp;TEXT(DD19/100,"0.00")&amp;" m desde el paño",""))))</f>
        <v/>
      </c>
      <c r="EB19" s="67" t="str">
        <f>IF(B19="","",IF(V19&lt;&gt;"SÍ","FALTAN DATOS: tipo, a_x, a_y, destino y, en volados, L_b",IF(L19="NO MONOLÍTICO (caso II)","FUERA DE ALCANCE: caso II no transcrito",IF(AND(C19="VOLADO",W19="?"),"REVISAR: el volado lleva UN solo borde CONTINUO (el empotrado)",IF(MIN(DH19,DI19)=0,"REVISAR: no cabe un casetón (tablero macizo): diséñalo en MACIZAS",IF(AND(MAX(BR19,BZ19,CH19,CP19)&lt;=1,NOT(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T(OR(AND(ISNUMBER(BS19),BS19&lt;0.005),AND(ISNUMBER(CA19),CA19&lt;0.005),AND(ISNUMBER(CI19),CI19&lt;0.005),AND(ISNUMBER(CQ19),CQ19&lt;0.005))),NOT(LEFT(DW19,2)="NO"),DA19="CUMPLE",DB19="CUMPLE",LEFT(CU19,2)&lt;&gt;"NO",LEFT(DATOS!$C$132,6)="CUMPLE"),IF(LEFT(CU19,6)="CUMPLE","CUMPLE","CUMPLE — "&amp;CU19)&amp;IF(LEFT(BK19,5)="FUERA"," · fuera de 3.4.2.1 c)","")&amp;IF(LEFT(DG19,2)="NO"," · REVISAR anclaje en borde discontinuo","")&amp;IF(DV19&gt;0," · respaldo: "&amp;DV19&amp;" hilera(s) de b_w "&amp;AD19&amp;" cm",""),IF(AND(MAX(BR19,BZ19,CH19,CP19)&lt;=1,NOT(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T(OR(AND(ISNUMBER(BS19),BS19&lt;0.005),AND(ISNUMBER(CA19),CA19&lt;0.005),AND(ISNUMBER(CI19),CI19&lt;0.005),AND(ISNUMBER(CQ19),CQ19&lt;0.005))),NOT(LEFT(DW19,2)="NO"),DA19="CALCULAR FLECHA",LEFT(CU19,2)&lt;&gt;"NO",LEFT(DATOS!$C$132,6)="CUMPLE"),"REVISAR: calcular flecha (h_eq &lt; h mín.)"&amp;IF(LEFT(BK19,5)="FUERA"," · fuera de 3.4.2.1 c)","")&amp;IF(LEFT(DG19,2)="NO"," · REVISAR anclaje en borde discontinuo","")&amp;IF(DV19&gt;0," · respaldo: "&amp;DV19&amp;" hilera(s) de b_w "&amp;AD19&amp;" cm",""),"NO CUMPLE: "&amp;IF(MAX(BR19,BZ19,CH19,CP19)&gt;1,"flexión ","")&amp;IF(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 caben ","")&amp;IF(OR(AND(ISNUMBER(BS19),BS19&lt;0.005),AND(ISNUMBER(CA19),CA19&lt;0.005),AND(ISNUMBER(CI19),CI19&lt;0.005),AND(ISNUMBER(CQ19),CQ19&lt;0.005)),"ε_t &lt; 0.005 ","")&amp;IF(LEFT(CU19,2)="NO","cortante ","")&amp;IF(DA19="NO CUMPLE","peralte ","")&amp;IF(DB19&lt;&gt;"CUMPLE","capa &lt; 6 cm ","")&amp;IF(LEFT(DATOS!$C$132,6)&lt;&gt;"CUMPLE","capa o malla (DATOS sección 7) ","")&amp;IF(LEFT(DW19,2)="NO","respaldo del volado",""))))))))</f>
        <v/>
      </c>
      <c r="EC19" s="70" t="str">
        <f>IF(V19&lt;&gt;"SÍ","",IF(LEFT(B19,7)="EJEMPLO","EJEMPLO de la hoja de Casa Rocha: bórralo o sobrescríbelo. ","")&amp;IF(AND(C19="PERIMETRAL",MIN(DH19,DI19)=0),"No cabe un casetón en el claro corto: es un tablero macizo, diséñalo en MACIZAS. ","")&amp;IF(AND(AJ19="NO",C19="PERIMETRAL"),"No cumple 6.7.8.1.4 (a_c = "&amp;MAX(DATOS!$C$81,AE19)&amp;" cm &gt; claro corto/6 = "&amp;TEXT(Y19*100/6,"0")&amp;" cm): se diseña como losa apoyada en vigas (6.7.8.1.9): r de viga = "&amp;DATOS!$C$63&amp;" cm y V_cR sin ×1.1. Para que cuente como encasetonada: casetón de "&amp;TEXT(FLOOR(MIN(80,Y19*100/6),1),"0")&amp;" cm o menor. ","")&amp;IF(C19="VOLADO","Volado de "&amp;TEXT(Y19,"0.00")&amp;" m empotrado en el borde "&amp;LOWER(W19)&amp;IF(N(O19)&gt;0,", con "&amp;TEXT(O19,"0.0")&amp;" kg/m en la orilla","")&amp;". Lecho inferior con r_ext. Si la orilla carga pretil u otro elemento frágil, calcula la flecha (13.4). El acero superior entra al respaldo de "&amp;TEXT(IF(ISNUMBER(P19),P19,Y19),"0.00")&amp;" m"&amp;" hasta pasar M = 0 con 0.9·PP sin carga viva; si ahí no se anula, llega al apoyo lejano y se ancla con gancho (NTC-Criterios 3.4.1 c y 5.1.2.2). "&amp;IF(AD19&gt;DATOS!$C$83,"Respaldo: "&amp;DW19&amp;". ",""),"")&amp;IF(AND(C19="VOLADO",((0.9*DATOS!$C$90*DATOS!$C$86/100/1000)*IF(ISNUMBER(P19),P19,Y19)/2-BH19/IF(ISNUMBER(P19),P19,Y19))&lt;0),"Con 0.9·PP y sin carga viva el apoyo lejano del respaldo levanta (R = "&amp;TEXT(-((0.9*DATOS!$C$90*DATOS!$C$86/100/1000)*IF(ISNUMBER(P19),P19,Y19)/2-BH19/IF(ISNUMBER(P19),P19,Y19)),"0.00")&amp;" t por nervadura): ancla ahí la corrida con gancho y revisa ese apoyo a tensión. ","")&amp;IF(LEFT(BK19,5)="FUERA","El M⁻ del vecino difiere más de 50 % (3.4.2.1 c): distribuye el desequilibrio (3.4.3.1) o confirma con un modelo; se arma con el mayor. ","")&amp;IF(OR(DE19="SÍ",DF19="SÍ"),"El M⁻ del borde discontinuo pide bastón también ahí (con gancho). ","")&amp;IF(LEFT(DG19,2)="NO","Anclaje: "&amp;DG19&amp;" (6.7.8.1.7). ","")&amp;IF(AND(C19="PERIMETRAL",AT19&gt;=1,AS19-AT19&gt;=1),"Esquinas exteriores sobre muro: refuerzo de esquina arriba y abajo en L_largo/5 (6.7.7.3.1). ",""))</f>
        <v/>
      </c>
    </row>
    <row r="20" ht="33" customHeight="1">
      <c r="A20" s="50">
        <f>IF(B20="",0,1)+A19</f>
        <v>4</v>
      </c>
      <c r="B20" s="29" t="n"/>
      <c r="C20" s="51" t="n"/>
      <c r="D20" s="29" t="n"/>
      <c r="E20" s="52" t="n"/>
      <c r="F20" s="52" t="n"/>
      <c r="G20" s="51" t="n"/>
      <c r="H20" s="51" t="n"/>
      <c r="I20" s="51" t="n"/>
      <c r="J20" s="51" t="n"/>
      <c r="K20" s="51" t="n"/>
      <c r="L20" s="51" t="n"/>
      <c r="M20" s="53" t="n"/>
      <c r="N20" s="53" t="n"/>
      <c r="O20" s="54" t="n"/>
      <c r="P20" s="52" t="n"/>
      <c r="Q20" s="52" t="n"/>
      <c r="R20" s="53" t="n"/>
      <c r="S20" s="54" t="n"/>
      <c r="T20" s="52" t="n"/>
      <c r="U20" s="52" t="n"/>
      <c r="V20" s="55" t="str">
        <f>IF(B20="","",IF(AND(OR(C20="PERIMETRAL",C20="VOLADO"),ISNUMBER(E20),ISNUMBER(F20),E20&gt;0,F20&gt;0,OR(ISNUMBER(N20),ISNUMBER(MATCH(D20,DATOS!$B$46:$B$58,0))),OR(C20&lt;&gt;"VOLADO",N(P20)&gt;0)),"SÍ","NO"))</f>
        <v/>
      </c>
      <c r="W20" s="55" t="str">
        <f>IF(V20&lt;&gt;"SÍ","",IF(C20&lt;&gt;"VOLADO","—",IF(COUNTIF(G20:J20,"CONTINUO")&lt;&gt;1,"?",IF(G20="CONTINUO","INFERIOR",IF(H20="CONTINUO","SUPERIOR",IF(I20="CONTINUO","IZQUIERDO","DERECHO"))))))</f>
        <v/>
      </c>
      <c r="X20" s="55" t="str">
        <f>IF(V20&lt;&gt;"SÍ","",IF(C20="VOLADO",IF(OR(W20="IZQUIERDO",W20="DERECHO"),"X","Y"),IF(E20&lt;=F20,"X","Y")))</f>
        <v/>
      </c>
      <c r="Y20" s="56" t="str">
        <f>IF(V20&lt;&gt;"SÍ","",IF(C20="VOLADO",IF(X20="X",E20,F20),MIN(E20,F20)))</f>
        <v/>
      </c>
      <c r="Z20" s="56" t="str">
        <f>IF(V20&lt;&gt;"SÍ","",IF(C20="VOLADO",IF(X20="X",F20,E20),MAX(E20,F20)))</f>
        <v/>
      </c>
      <c r="AA20" s="56" t="str">
        <f>IF(V20&lt;&gt;"SÍ","",MIN(Y20,Z20)/MAX(Y20,Z20))</f>
        <v/>
      </c>
      <c r="AB20" s="57" t="str">
        <f>IF(V20&lt;&gt;"SÍ","",MAX(1,Y20*100-IF(C20="VOLADO",DATOS!$C$87/2,DATOS!$C$87)))</f>
        <v/>
      </c>
      <c r="AC20" s="57" t="str">
        <f>IF(V20&lt;&gt;"SÍ","",MAX(1,Z20*100-DATOS!$C$87))</f>
        <v/>
      </c>
      <c r="AD20" s="57" t="str">
        <f>IF(V20&lt;&gt;"SÍ","",IF(ISNUMBER(R20),R20,DATOS!$C$83))</f>
        <v/>
      </c>
      <c r="AE20" s="57" t="str">
        <f>IF(V20&lt;&gt;"SÍ","",MAX(0,DATOS!$C$86-AD20))</f>
        <v/>
      </c>
      <c r="AF20" s="57" t="str">
        <f>IF(V20&lt;&gt;"SÍ","",IF(OR(DATOS!$C$65="SÍ",AD20&gt;=20),AD20,AD20-2))</f>
        <v/>
      </c>
      <c r="AG20" s="57" t="str">
        <f>IF(V20&lt;&gt;"SÍ","",IF(OR(DATOS!$C$65="SÍ",DATOS!$C$83&gt;=20),DATOS!$C$83,DATOS!$C$83-2))</f>
        <v/>
      </c>
      <c r="AH20" s="57" t="str">
        <f>IF(V20&lt;&gt;"SÍ","",MIN(DATOS!$C$86,AD20+2*MIN(8*DATOS!$C$84,AE20/2,AB20/8)))</f>
        <v/>
      </c>
      <c r="AI20" s="57" t="str">
        <f>IF(V20&lt;&gt;"SÍ","",MIN(DATOS!$C$86,DATOS!$C$83+2*MIN(8*DATOS!$C$84,DATOS!$C$81/2,AC20/8)))</f>
        <v/>
      </c>
      <c r="AJ20" s="55" t="str">
        <f>IF(V20&lt;&gt;"SÍ","",IF(AND(C20="PERIMETRAL",Y20*100&gt;=6*MAX(DATOS!$C$81,AE20),MAX(DATOS!$C$81,AE20)&lt;=80,MIN(DATOS!$C$83,AD20)&gt;=10,DATOS!$C$85&lt;=3.5*MIN(DATOS!$C$83,AD20),DATOS!$C$84&gt;=MAX(MAX(DATOS!$C$81,AE20)/13,5)),"SÍ","NO"))</f>
        <v/>
      </c>
      <c r="AK20" s="57" t="str">
        <f>IF(V20&lt;&gt;"SÍ","",IF(C20="VOLADO",DATOS!$C$64,IF(AJ20="NO",DATOS!$C$63,DATOS!$C$62)))</f>
        <v/>
      </c>
      <c r="AL20" s="57" t="str">
        <f>IF(V20&lt;&gt;"SÍ","",IF(OR(AND(AN20="SÍ",DATOS!$C$66="SÍ"),AND(C20="VOLADO",DATOS!$C$67="SÍ")),DATOS!$C$64,IF(AJ20="NO",DATOS!$C$63,DATOS!$C$62)))</f>
        <v/>
      </c>
      <c r="AM20" s="58" t="str">
        <f>IF(V20&lt;&gt;"SÍ","",MAX(AL20,(DATOS!$C$84-2*DATOS!$C$97)/2))</f>
        <v/>
      </c>
      <c r="AN20" s="55" t="str">
        <f>IF(V20&lt;&gt;"SÍ","",IFERROR(INDEX(DATOS!$D$46:$D$58,MATCH(D20,DATOS!$B$46:$B$58,0)),"NO"))</f>
        <v/>
      </c>
      <c r="AO20" s="59" t="str">
        <f>IF(V20&lt;&gt;"SÍ","",IF(ISNUMBER(N20),N20,IFERROR(INDEX(DATOS!$C$46:$C$58,MATCH(D20,DATOS!$B$46:$B$58,0)),0)))</f>
        <v/>
      </c>
      <c r="AP20" s="59" t="str">
        <f>IF(V20&lt;&gt;"SÍ","",IF(MIN(DH20,DI20)=0,DATOS!$C$85/100*DATOS!$C$16*1000,(DATOS!$C$85/100-(AE20*DATOS!$C$81/DATOS!$C$86^2)*DATOS!$C$82/100)*DATOS!$C$16*1000+(AE20*DATOS!$C$81/DATOS!$C$86^2)*DATOS!$C$82/100*DATOS!$C$17*1000)+DATOS!$C$37+DATOS!$C$38)</f>
        <v/>
      </c>
      <c r="AQ20" s="59" t="str">
        <f>IF(V20&lt;&gt;"SÍ","",AP20+N(M20))</f>
        <v/>
      </c>
      <c r="AR20" s="60" t="str">
        <f>IF(V20&lt;&gt;"SÍ","",MAX(DATOS!$C$26*AQ20+DATOS!$C$27*AO20,IF(AN20="SÍ",DATOS!$C$28*(AQ20+DATOS!$C$41),0)))</f>
        <v/>
      </c>
      <c r="AS20" s="59" t="str">
        <f>IF(V20&lt;&gt;"SÍ","",(G20="DISCONTINUO")+(H20="DISCONTINUO")+(I20="DISCONTINUO")+(J20="DISCONTINUO"))</f>
        <v/>
      </c>
      <c r="AT20" s="59" t="str">
        <f>IF(V20&lt;&gt;"SÍ","",IF(X20="X",(G20="DISCONTINUO")+(H20="DISCONTINUO"),(I20="DISCONTINUO")+(J20="DISCONTINUO")))</f>
        <v/>
      </c>
      <c r="AU20" s="55" t="str">
        <f>IF(V20&lt;&gt;"SÍ","",IF(AS20=0,"INTERIOR",IF(AS20=1,IF(AT20=1,"BORDE-CORTO","BORDE-LARGO"),IF(AS20=2,IF(AT20=1,"ESQUINA",IF(AT20=2,"EXTREMO-LARGO","EXTREMO-CORTO")),IF(AS20=3,IF(AT20=2,"EXTREMO-LARGO","EXTREMO-CORTO"),"AISLADO")))))</f>
        <v/>
      </c>
      <c r="AV20" s="61" t="str">
        <f>IF(V20&lt;&gt;"SÍ","",IF(OR(K20="",K20="AUTO"),AU20,K20))</f>
        <v/>
      </c>
      <c r="AW20" s="59" t="str">
        <f>IF(V20&lt;&gt;"SÍ","",MATCH(AA20,TABLAS!$D$5:$J$5,1))</f>
        <v/>
      </c>
      <c r="AX20" s="58" t="str">
        <f>IF(V20&lt;&gt;"SÍ","",IF(AW20&gt;=7,0,(AA20-INDEX(TABLAS!$D$5:$J$5,AW20))/(INDEX(TABLAS!$D$5:$J$5,AW20+1)-INDEX(TABLAS!$D$5:$J$5,AW20))))</f>
        <v/>
      </c>
      <c r="AY20" s="59" t="str">
        <f>IF(V20&lt;&gt;"SÍ","",INDEX(TABLAS!$D$6:$J$47,MATCH(AV20&amp;"|NIC",TABLAS!$B$6:$B$47,0),AW20)+AX20*(INDEX(TABLAS!$D$6:$J$47,MATCH(AV20&amp;"|NIC",TABLAS!$B$6:$B$47,0),MIN(AW20+1,7))-INDEX(TABLAS!$D$6:$J$47,MATCH(AV20&amp;"|NIC",TABLAS!$B$6:$B$47,0),AW20)))</f>
        <v/>
      </c>
      <c r="AZ20" s="59" t="str">
        <f>IF(V20&lt;&gt;"SÍ","",INDEX(TABLAS!$D$6:$J$47,MATCH(AV20&amp;"|NIL",TABLAS!$B$6:$B$47,0),AW20)+AX20*(INDEX(TABLAS!$D$6:$J$47,MATCH(AV20&amp;"|NIL",TABLAS!$B$6:$B$47,0),MIN(AW20+1,7))-INDEX(TABLAS!$D$6:$J$47,MATCH(AV20&amp;"|NIL",TABLAS!$B$6:$B$47,0),AW20)))</f>
        <v/>
      </c>
      <c r="BA20" s="59" t="str">
        <f>IF(V20&lt;&gt;"SÍ","",INDEX(TABLAS!$D$6:$J$47,MATCH(AV20&amp;"|NDC",TABLAS!$B$6:$B$47,0),AW20)+AX20*(INDEX(TABLAS!$D$6:$J$47,MATCH(AV20&amp;"|NDC",TABLAS!$B$6:$B$47,0),MIN(AW20+1,7))-INDEX(TABLAS!$D$6:$J$47,MATCH(AV20&amp;"|NDC",TABLAS!$B$6:$B$47,0),AW20)))</f>
        <v/>
      </c>
      <c r="BB20" s="59" t="str">
        <f>IF(V20&lt;&gt;"SÍ","",INDEX(TABLAS!$D$6:$J$47,MATCH(AV20&amp;"|NDL",TABLAS!$B$6:$B$47,0),AW20)+AX20*(INDEX(TABLAS!$D$6:$J$47,MATCH(AV20&amp;"|NDL",TABLAS!$B$6:$B$47,0),MIN(AW20+1,7))-INDEX(TABLAS!$D$6:$J$47,MATCH(AV20&amp;"|NDL",TABLAS!$B$6:$B$47,0),AW20)))</f>
        <v/>
      </c>
      <c r="BC20" s="59" t="str">
        <f>IF(V20&lt;&gt;"SÍ","",INDEX(TABLAS!$D$6:$J$47,MATCH(AV20&amp;"|PC",TABLAS!$B$6:$B$47,0),AW20)+AX20*(INDEX(TABLAS!$D$6:$J$47,MATCH(AV20&amp;"|PC",TABLAS!$B$6:$B$47,0),MIN(AW20+1,7))-INDEX(TABLAS!$D$6:$J$47,MATCH(AV20&amp;"|PC",TABLAS!$B$6:$B$47,0),AW20)))</f>
        <v/>
      </c>
      <c r="BD20" s="59" t="str">
        <f>IF(V20&lt;&gt;"SÍ","",INDEX(TABLAS!$D$6:$J$47,MATCH(AV20&amp;"|PL",TABLAS!$B$6:$B$47,0),AW20)+AX20*(INDEX(TABLAS!$D$6:$J$47,MATCH(AV20&amp;"|PL",TABLAS!$B$6:$B$47,0),MIN(AW20+1,7))-INDEX(TABLAS!$D$6:$J$47,MATCH(AV20&amp;"|PL",TABLAS!$B$6:$B$47,0),AW20)))</f>
        <v/>
      </c>
      <c r="BE20" s="56" t="str">
        <f>IF(V20&lt;&gt;"SÍ","",IF(OR(C20&lt;&gt;"VOLADO",MIN(DH20,DI20)=0),0,DATOS!$C$26*DATOS!$C$16*DATOS!$C$86/100*(((AE20*DATOS!$C$81/DATOS!$C$86^2)*DATOS!$C$82/100)*(IF(X20="X",DJ20,DL20)+DATOS!$C$87/2)/100*(AB20-(IF(X20="X",DJ20,DL20)+DATOS!$C$87/2)/2)/100+((AE20*DATOS!$C$81/DATOS!$C$86^2)*DATOS!$C$82/100)*IF(X20="X",DJ20,DL20)/100*IF(X20="X",DJ20,DL20)/200)))</f>
        <v/>
      </c>
      <c r="BF20" s="56" t="str">
        <f>IF(V20&lt;&gt;"SÍ","",IF(OR(C20&lt;&gt;"VOLADO",MIN(DH20,DI20)=0),0,DATOS!$C$26*DATOS!$C$16*DATOS!$C$86/100*((AE20*DATOS!$C$81/DATOS!$C$86^2)*DATOS!$C$82/100)*(IF(X20="X",DJ20,DL20)+DATOS!$C$87/2)/100))</f>
        <v/>
      </c>
      <c r="BG20" s="56" t="str">
        <f>IF(V20&lt;&gt;"SÍ","",IF(C20="PERIMETRAL",BC20*AR20*Y20^2*1E-4*DATOS!$C$86/100/1000,0))</f>
        <v/>
      </c>
      <c r="BH20" s="62" t="str">
        <f>IF(V20&lt;&gt;"SÍ","",IF(C20="PERIMETRAL",MAX(MAX(AY20,BA20)*AR20*Y20^2*1E-4*DATOS!$C$86/100/1000,N(T20)),(AR20*(AB20/100)^2/2+DATOS!$C$26*N(O20)*AB20/100)*DATOS!$C$86/100/1000+BE20))</f>
        <v/>
      </c>
      <c r="BI20" s="56" t="str">
        <f>IF(V20&lt;&gt;"SÍ","",IF(C20="PERIMETRAL",BD20*AR20*Y20^2*1E-4*DATOS!$C$86/100/1000,0))</f>
        <v/>
      </c>
      <c r="BJ20" s="56" t="str">
        <f>IF(V20&lt;&gt;"SÍ","",IF(C20="PERIMETRAL",MAX(MAX(AZ20,BB20)*AR20*Y20^2*1E-4*DATOS!$C$86/100/1000,N(U20)),0))</f>
        <v/>
      </c>
      <c r="BK20" s="63" t="str">
        <f>IF(V20&lt;&gt;"SÍ","",IF(C20&lt;&gt;"PERIMETRAL","—",IF(AND(N(T20)=0,N(U20)=0),"— (sin M⁻ del vecino)",IF(OR(AND(N(T20)&gt;0,ABS(MAX(AY20,BA20)*AR20*Y20^2*1E-4*DATOS!$C$86/100/1000-N(T20))&gt;0.5*MIN(MAX(AY20,BA20)*AR20*Y20^2*1E-4*DATOS!$C$86/100/1000,N(T20))),AND(N(U20)&gt;0,ABS(MAX(AZ20,BB20)*AR20*Y20^2*1E-4*DATOS!$C$86/100/1000-N(U20))&gt;0.5*MIN(MAX(AZ20,BB20)*AR20*Y20^2*1E-4*DATOS!$C$86/100/1000,N(U20)))),"FUERA: difieren &gt; 50 %"&amp;IF(AND(N(T20)&gt;0,ABS(MAX(AY20,BA20)*AR20*Y20^2*1E-4*DATOS!$C$86/100/1000-N(T20))&gt;0.5*MIN(MAX(AY20,BA20)*AR20*Y20^2*1E-4*DATOS!$C$86/100/1000,N(T20)))," ‖ corto","")&amp;IF(AND(N(U20)&gt;0,ABS(MAX(AZ20,BB20)*AR20*Y20^2*1E-4*DATOS!$C$86/100/1000-N(U20))&gt;0.5*MIN(MAX(AZ20,BB20)*AR20*Y20^2*1E-4*DATOS!$C$86/100/1000,N(U20)))," ‖ largo",""),"CUMPLE"))))</f>
        <v/>
      </c>
      <c r="BL20" s="58" t="str">
        <f>IF(V20&lt;&gt;"SÍ","",(DATOS!$C$85-AK20-INDEX(TABLAS!$C$52:$C$58,MATCH(MAX(4,DATOS!$C$71),TABLAS!$B$52:$B$58,0))/2))</f>
        <v/>
      </c>
      <c r="BM20" s="58" t="str">
        <f>IF(V20&lt;&gt;"SÍ","",IF(IF(BG20&lt;=0,0,IF((1-2*BG20*1E5/(DATOS!$C$29*AH20*BL20^2*DATOS!$C$21))&lt;0,-1,IF((1-SQRT((1-2*BG20*1E5/(DATOS!$C$29*AH20*BL20^2*DATOS!$C$21))))*DATOS!$C$21*AH20*BL20/DATOS!$C$14&gt;DATOS!$C$102*AH20*BL20,-1,(1-SQRT((1-2*BG20*1E5/(DATOS!$C$29*AH20*BL20^2*DATOS!$C$21))))*DATOS!$C$21*AH20*BL20/DATOS!$C$14)))&lt;0,-1,MAX(IF(BG20&lt;=0,0,IF((1-2*BG20*1E5/(DATOS!$C$29*AH20*BL20^2*DATOS!$C$21))&lt;0,-1,IF((1-SQRT((1-2*BG20*1E5/(DATOS!$C$29*AH20*BL20^2*DATOS!$C$21))))*DATOS!$C$21*AH20*BL20/DATOS!$C$14&gt;DATOS!$C$102*AH20*BL20,-1,(1-SQRT((1-2*BG20*1E5/(DATOS!$C$29*AH20*BL20^2*DATOS!$C$21))))*DATOS!$C$21*AH20*BL20/DATOS!$C$14))),MIN(DATOS!$C$103*AD20*BL20,4/3*IF(BG20&lt;=0,0,IF((1-2*BG20*1E5/(DATOS!$C$29*AH20*BL20^2*DATOS!$C$21))&lt;0,-1,IF((1-SQRT((1-2*BG20*1E5/(DATOS!$C$29*AH20*BL20^2*DATOS!$C$21))))*DATOS!$C$21*AH20*BL20/DATOS!$C$14&gt;DATOS!$C$102*AH20*BL20,-1,(1-SQRT((1-2*BG20*1E5/(DATOS!$C$29*AH20*BL20^2*DATOS!$C$21))))*DATOS!$C$21*AH20*BL20/DATOS!$C$14)))))))</f>
        <v/>
      </c>
      <c r="BN20" s="64" t="str">
        <f>IF(V20&lt;&gt;"SÍ","",IF(AND(BM20&gt;=0,IF(MAX(DATOS!$C$74,CEILING(BM20/INDEX(TABLAS!$D$52:$D$58,MIN(MATCH(MAX(4,DATOS!$C$71),TABLAS!$B$52:$B$58,0)+0,7)),1))*INDEX(TABLAS!$D$52:$D$58,MIN(MATCH(MAX(4,DATOS!$C$71),TABLAS!$B$52:$B$58,0)+0,7)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+0,7)),1)),MAX(MAX(DATOS!$C$74,CEILING(BM20/INDEX(TABLAS!$D$52:$D$58,MIN(MATCH(MAX(4,DATOS!$C$71),TABLAS!$B$52:$B$58,0)+0,7)),1)),2))&lt;=MIN(DATOS!$C$73,INT(((AD20-2*AK20)+MAX(DATOS!$C$70,INDEX(TABLAS!$C$52:$C$58,MIN(MATCH(MAX(4,DATOS!$C$71),TABLAS!$B$52:$B$58,0)+0,7))))/(INDEX(TABLAS!$C$52:$C$58,MIN(MATCH(MAX(4,DATOS!$C$71),TABLAS!$B$52:$B$58,0)+0,7))+MAX(DATOS!$C$70,INDEX(TABLAS!$C$52:$C$58,MIN(MATCH(MAX(4,DATOS!$C$71),TABLAS!$B$52:$B$58,0)+0,7))))))),INDEX(TABLAS!$B$52:$B$58,MIN(MATCH(MAX(4,DATOS!$C$71),TABLAS!$B$52:$B$58,0)+0,7)),IF(AND(BM20&gt;=0,IF(MAX(DATOS!$C$74,CEILING(BM20/INDEX(TABLAS!$D$52:$D$58,MIN(MATCH(MAX(4,DATOS!$C$71),TABLAS!$B$52:$B$58,0)+1,7)),1))*INDEX(TABLAS!$D$52:$D$58,MIN(MATCH(MAX(4,DATOS!$C$71),TABLAS!$B$52:$B$58,0)+1,7)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+1,7)),1)),MAX(MAX(DATOS!$C$74,CEILING(BM20/INDEX(TABLAS!$D$52:$D$58,MIN(MATCH(MAX(4,DATOS!$C$71),TABLAS!$B$52:$B$58,0)+1,7)),1)),2))&lt;=MIN(DATOS!$C$73,INT(((AD20-2*AK20)+MAX(DATOS!$C$70,INDEX(TABLAS!$C$52:$C$58,MIN(MATCH(MAX(4,DATOS!$C$71),TABLAS!$B$52:$B$58,0)+1,7))))/(INDEX(TABLAS!$C$52:$C$58,MIN(MATCH(MAX(4,DATOS!$C$71),TABLAS!$B$52:$B$58,0)+1,7))+MAX(DATOS!$C$70,INDEX(TABLAS!$C$52:$C$58,MIN(MATCH(MAX(4,DATOS!$C$71),TABLAS!$B$52:$B$58,0)+1,7))))))),INDEX(TABLAS!$B$52:$B$58,MIN(MATCH(MAX(4,DATOS!$C$71),TABLAS!$B$52:$B$58,0)+1,7)),IF(AND(BM20&gt;=0,IF(MAX(DATOS!$C$74,CEILING(BM20/INDEX(TABLAS!$D$52:$D$58,MIN(MATCH(MAX(4,DATOS!$C$71),TABLAS!$B$52:$B$58,0)+2,7)),1))*INDEX(TABLAS!$D$52:$D$58,MIN(MATCH(MAX(4,DATOS!$C$71),TABLAS!$B$52:$B$58,0)+2,7)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+2,7)),1)),MAX(MAX(DATOS!$C$74,CEILING(BM20/INDEX(TABLAS!$D$52:$D$58,MIN(MATCH(MAX(4,DATOS!$C$71),TABLAS!$B$52:$B$58,0)+2,7)),1)),2))&lt;=MIN(DATOS!$C$73,INT(((AD20-2*AK20)+MAX(DATOS!$C$70,INDEX(TABLAS!$C$52:$C$58,MIN(MATCH(MAX(4,DATOS!$C$71),TABLAS!$B$52:$B$58,0)+2,7))))/(INDEX(TABLAS!$C$52:$C$58,MIN(MATCH(MAX(4,DATOS!$C$71),TABLAS!$B$52:$B$58,0)+2,7))+MAX(DATOS!$C$70,INDEX(TABLAS!$C$52:$C$58,MIN(MATCH(MAX(4,DATOS!$C$71),TABLAS!$B$52:$B$58,0)+2,7))))))),INDEX(TABLAS!$B$52:$B$58,MIN(MATCH(MAX(4,DATOS!$C$71),TABLAS!$B$52:$B$58,0)+2,7)),IF(AND(BM20&gt;=0,IF(MAX(DATOS!$C$74,CEILING(BM20/INDEX(TABLAS!$D$52:$D$58,MIN(MATCH(MAX(4,DATOS!$C$71),TABLAS!$B$52:$B$58,0)+3,7)),1))*INDEX(TABLAS!$D$52:$D$58,MIN(MATCH(MAX(4,DATOS!$C$71),TABLAS!$B$52:$B$58,0)+3,7)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+3,7)),1)),MAX(MAX(DATOS!$C$74,CEILING(BM20/INDEX(TABLAS!$D$52:$D$58,MIN(MATCH(MAX(4,DATOS!$C$71),TABLAS!$B$52:$B$58,0)+3,7)),1)),2))&lt;=MIN(DATOS!$C$73,INT(((AD20-2*AK20)+MAX(DATOS!$C$70,INDEX(TABLAS!$C$52:$C$58,MIN(MATCH(MAX(4,DATOS!$C$71),TABLAS!$B$52:$B$58,0)+3,7))))/(INDEX(TABLAS!$C$52:$C$58,MIN(MATCH(MAX(4,DATOS!$C$71),TABLAS!$B$52:$B$58,0)+3,7))+MAX(DATOS!$C$70,INDEX(TABLAS!$C$52:$C$58,MIN(MATCH(MAX(4,DATOS!$C$71),TABLAS!$B$52:$B$58,0)+3,7))))))),INDEX(TABLAS!$B$52:$B$58,MIN(MATCH(MAX(4,DATOS!$C$71),TABLAS!$B$52:$B$58,0)+3,7)),IF(AND(BM20&gt;=0,IF(MAX(DATOS!$C$74,CEILING(BM20/INDEX(TABLAS!$D$52:$D$58,MIN(MATCH(MAX(4,DATOS!$C$71),TABLAS!$B$52:$B$58,0)+4,7)),1))*INDEX(TABLAS!$D$52:$D$58,MIN(MATCH(MAX(4,DATOS!$C$71),TABLAS!$B$52:$B$58,0)+4,7)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+4,7)),1)),MAX(MAX(DATOS!$C$74,CEILING(BM20/INDEX(TABLAS!$D$52:$D$58,MIN(MATCH(MAX(4,DATOS!$C$71),TABLAS!$B$52:$B$58,0)+4,7)),1)),2))&lt;=MIN(DATOS!$C$73,INT(((AD20-2*AK20)+MAX(DATOS!$C$70,INDEX(TABLAS!$C$52:$C$58,MIN(MATCH(MAX(4,DATOS!$C$71),TABLAS!$B$52:$B$58,0)+4,7))))/(INDEX(TABLAS!$C$52:$C$58,MIN(MATCH(MAX(4,DATOS!$C$71),TABLAS!$B$52:$B$58,0)+4,7))+MAX(DATOS!$C$70,INDEX(TABLAS!$C$52:$C$58,MIN(MATCH(MAX(4,DATOS!$C$71),TABLAS!$B$52:$B$58,0)+4,7))))))),INDEX(TABLAS!$B$52:$B$58,MIN(MATCH(MAX(4,DATOS!$C$71),TABLAS!$B$52:$B$58,0)+4,7)),INDEX(TABLAS!$B$52:$B$58,7)))))))</f>
        <v/>
      </c>
      <c r="BO20" s="59" t="str">
        <f>IF(V20&lt;&gt;"SÍ","",IF(BM20&lt;0,0,IF(MAX(DATOS!$C$74,CEILING(MAX(BM20,0)/INDEX(TABLAS!$D$52:$D$58,MATCH(BN20,TABLAS!$B$52:$B$58,0)),1))*INDEX(TABLAS!$D$52:$D$58,MATCH(BN20,TABLAS!$B$52:$B$58,0))&gt;=4/3*IF(BG20&lt;=0,0,IF((1-2*BG20*1E5/(DATOS!$C$29*AH20*BL20^2*DATOS!$C$21))&lt;0,-1,IF((1-SQRT((1-2*BG20*1E5/(DATOS!$C$29*AH20*BL20^2*DATOS!$C$21))))*DATOS!$C$21*AH20*BL20/DATOS!$C$14&gt;DATOS!$C$102*AH20*BL20,-1,(1-SQRT((1-2*BG20*1E5/(DATOS!$C$29*AH20*BL20^2*DATOS!$C$21))))*DATOS!$C$21*AH20*BL20/DATOS!$C$14)))-0.0001,MAX(DATOS!$C$74,CEILING(MAX(BM20,0)/INDEX(TABLAS!$D$52:$D$58,MATCH(BN20,TABLAS!$B$52:$B$58,0)),1)),MAX(MAX(DATOS!$C$74,CEILING(MAX(BM20,0)/INDEX(TABLAS!$D$52:$D$58,MATCH(BN20,TABLAS!$B$52:$B$58,0)),1)),2))))</f>
        <v/>
      </c>
      <c r="BP20" s="58" t="str">
        <f>IF(V20&lt;&gt;"SÍ","",DATOS!$C$85-AK20-INDEX(TABLAS!$C$52:$C$58,MATCH(BN20,TABLAS!$B$52:$B$58,0))/2)</f>
        <v/>
      </c>
      <c r="BQ20" s="56" t="str">
        <f>IF(V20&lt;&gt;"SÍ","",IF(BO20=0,0,DATOS!$C$29*BO20*INDEX(TABLAS!$D$52:$D$58,MATCH(BN20,TABLAS!$B$52:$B$58,0))*DATOS!$C$14*(BP20-BO20*INDEX(TABLAS!$D$52:$D$58,MATCH(BN20,TABLAS!$B$52:$B$58,0))*DATOS!$C$14/(DATOS!$C$21*AH20)/2)/1E5))</f>
        <v/>
      </c>
      <c r="BR20" s="65" t="str">
        <f>IF(V20&lt;&gt;"SÍ","",IF(BM20&lt;0,9.99,IF(BQ20&gt;0,BG20/BQ20,0)))</f>
        <v/>
      </c>
      <c r="BS20" s="66" t="str">
        <f>IF(V20&lt;&gt;"SÍ","",IF(BO20=0,"—",0.003*(BP20-(BO20*INDEX(TABLAS!$D$52:$D$58,MATCH(BN20,TABLAS!$B$52:$B$58,0))*DATOS!$C$14/(DATOS!$C$21*AH20)/DATOS!$C$22))/(BO20*INDEX(TABLAS!$D$52:$D$58,MATCH(BN20,TABLAS!$B$52:$B$58,0))*DATOS!$C$14/(DATOS!$C$21*AH20)/DATOS!$C$22)))</f>
        <v/>
      </c>
      <c r="BT20" s="58" t="str">
        <f>IF(V20&lt;&gt;"SÍ","",((DATOS!$C$85-AM20-2*DATOS!$C$97-INDEX(TABLAS!$C$52:$C$58,MATCH(MAX(4,DATOS!$C$72),TABLAS!$B$52:$B$58,0))/2)-IF(AND((DATOS!$C$85-AM20-2*DATOS!$C$97-INDEX(TABLAS!$C$52:$C$58,MATCH(MAX(4,DATOS!$C$72),TABLAS!$B$52:$B$58,0))/2)&lt;=20,DATOS!$C$65&lt;&gt;"SÍ"),2,0)))</f>
        <v/>
      </c>
      <c r="BU20" s="58" t="str">
        <f>IF(V20&lt;&gt;"SÍ","",IF(IF(BH20&lt;=0,0,IF((1-2*BH20*1E5/(DATOS!$C$29*AF20*BT20^2*DATOS!$C$21))&lt;0,-1,IF((1-SQRT((1-2*BH20*1E5/(DATOS!$C$29*AF20*BT20^2*DATOS!$C$21))))*DATOS!$C$21*AF20*BT20/DATOS!$C$14&gt;DATOS!$C$102*AF20*BT20,-1,(1-SQRT((1-2*BH20*1E5/(DATOS!$C$29*AF20*BT20^2*DATOS!$C$21))))*DATOS!$C$21*AF20*BT20/DATOS!$C$14)))&lt;0,-1,MAX(IF(BH20&lt;=0,0,IF((1-2*BH20*1E5/(DATOS!$C$29*AF20*BT20^2*DATOS!$C$21))&lt;0,-1,IF((1-SQRT((1-2*BH20*1E5/(DATOS!$C$29*AF20*BT20^2*DATOS!$C$21))))*DATOS!$C$21*AF20*BT20/DATOS!$C$14&gt;DATOS!$C$102*AF20*BT20,-1,(1-SQRT((1-2*BH20*1E5/(DATOS!$C$29*AF20*BT20^2*DATOS!$C$21))))*DATOS!$C$21*AF20*BT20/DATOS!$C$14))),MIN(DATOS!$C$103*IF(C20="VOLADO",MIN(AH20,2*AD20),AD20)*BT20,4/3*IF(BH20&lt;=0,0,IF((1-2*BH20*1E5/(DATOS!$C$29*AF20*BT20^2*DATOS!$C$21))&lt;0,-1,IF((1-SQRT((1-2*BH20*1E5/(DATOS!$C$29*AF20*BT20^2*DATOS!$C$21))))*DATOS!$C$21*AF20*BT20/DATOS!$C$14&gt;DATOS!$C$102*AF20*BT20,-1,(1-SQRT((1-2*BH20*1E5/(DATOS!$C$29*AF20*BT20^2*DATOS!$C$21))))*DATOS!$C$21*AF20*BT20/DATOS!$C$14)))))))</f>
        <v/>
      </c>
      <c r="BV20" s="64" t="str">
        <f>IF(V20&lt;&gt;"SÍ","",IF(AND(BU20&gt;=0,IF(MAX(DATOS!$C$74,CEILING(BU20/INDEX(TABLAS!$D$52:$D$58,MIN(MATCH(MAX(4,DATOS!$C$72),TABLAS!$B$52:$B$58,0)+0,7)),1))*INDEX(TABLAS!$D$52:$D$58,MIN(MATCH(MAX(4,DATOS!$C$72),TABLAS!$B$52:$B$58,0)+0,7)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+0,7)),1)),MAX(MAX(DATOS!$C$74,CEILING(BU20/INDEX(TABLAS!$D$52:$D$58,MIN(MATCH(MAX(4,DATOS!$C$72),TABLAS!$B$52:$B$58,0)+0,7)),1)),2))&lt;=MIN(DATOS!$C$73,INT(((AD20-2*AL20)+MAX(DATOS!$C$70,INDEX(TABLAS!$C$52:$C$58,MIN(MATCH(MAX(4,DATOS!$C$72),TABLAS!$B$52:$B$58,0)+0,7))))/(INDEX(TABLAS!$C$52:$C$58,MIN(MATCH(MAX(4,DATOS!$C$72),TABLAS!$B$52:$B$58,0)+0,7))+MAX(DATOS!$C$70,INDEX(TABLAS!$C$52:$C$58,MIN(MATCH(MAX(4,DATOS!$C$72),TABLAS!$B$52:$B$58,0)+0,7))))))),INDEX(TABLAS!$B$52:$B$58,MIN(MATCH(MAX(4,DATOS!$C$72),TABLAS!$B$52:$B$58,0)+0,7)),IF(AND(BU20&gt;=0,IF(MAX(DATOS!$C$74,CEILING(BU20/INDEX(TABLAS!$D$52:$D$58,MIN(MATCH(MAX(4,DATOS!$C$72),TABLAS!$B$52:$B$58,0)+1,7)),1))*INDEX(TABLAS!$D$52:$D$58,MIN(MATCH(MAX(4,DATOS!$C$72),TABLAS!$B$52:$B$58,0)+1,7)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+1,7)),1)),MAX(MAX(DATOS!$C$74,CEILING(BU20/INDEX(TABLAS!$D$52:$D$58,MIN(MATCH(MAX(4,DATOS!$C$72),TABLAS!$B$52:$B$58,0)+1,7)),1)),2))&lt;=MIN(DATOS!$C$73,INT(((AD20-2*AL20)+MAX(DATOS!$C$70,INDEX(TABLAS!$C$52:$C$58,MIN(MATCH(MAX(4,DATOS!$C$72),TABLAS!$B$52:$B$58,0)+1,7))))/(INDEX(TABLAS!$C$52:$C$58,MIN(MATCH(MAX(4,DATOS!$C$72),TABLAS!$B$52:$B$58,0)+1,7))+MAX(DATOS!$C$70,INDEX(TABLAS!$C$52:$C$58,MIN(MATCH(MAX(4,DATOS!$C$72),TABLAS!$B$52:$B$58,0)+1,7))))))),INDEX(TABLAS!$B$52:$B$58,MIN(MATCH(MAX(4,DATOS!$C$72),TABLAS!$B$52:$B$58,0)+1,7)),IF(AND(BU20&gt;=0,IF(MAX(DATOS!$C$74,CEILING(BU20/INDEX(TABLAS!$D$52:$D$58,MIN(MATCH(MAX(4,DATOS!$C$72),TABLAS!$B$52:$B$58,0)+2,7)),1))*INDEX(TABLAS!$D$52:$D$58,MIN(MATCH(MAX(4,DATOS!$C$72),TABLAS!$B$52:$B$58,0)+2,7)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+2,7)),1)),MAX(MAX(DATOS!$C$74,CEILING(BU20/INDEX(TABLAS!$D$52:$D$58,MIN(MATCH(MAX(4,DATOS!$C$72),TABLAS!$B$52:$B$58,0)+2,7)),1)),2))&lt;=MIN(DATOS!$C$73,INT(((AD20-2*AL20)+MAX(DATOS!$C$70,INDEX(TABLAS!$C$52:$C$58,MIN(MATCH(MAX(4,DATOS!$C$72),TABLAS!$B$52:$B$58,0)+2,7))))/(INDEX(TABLAS!$C$52:$C$58,MIN(MATCH(MAX(4,DATOS!$C$72),TABLAS!$B$52:$B$58,0)+2,7))+MAX(DATOS!$C$70,INDEX(TABLAS!$C$52:$C$58,MIN(MATCH(MAX(4,DATOS!$C$72),TABLAS!$B$52:$B$58,0)+2,7))))))),INDEX(TABLAS!$B$52:$B$58,MIN(MATCH(MAX(4,DATOS!$C$72),TABLAS!$B$52:$B$58,0)+2,7)),IF(AND(BU20&gt;=0,IF(MAX(DATOS!$C$74,CEILING(BU20/INDEX(TABLAS!$D$52:$D$58,MIN(MATCH(MAX(4,DATOS!$C$72),TABLAS!$B$52:$B$58,0)+3,7)),1))*INDEX(TABLAS!$D$52:$D$58,MIN(MATCH(MAX(4,DATOS!$C$72),TABLAS!$B$52:$B$58,0)+3,7)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+3,7)),1)),MAX(MAX(DATOS!$C$74,CEILING(BU20/INDEX(TABLAS!$D$52:$D$58,MIN(MATCH(MAX(4,DATOS!$C$72),TABLAS!$B$52:$B$58,0)+3,7)),1)),2))&lt;=MIN(DATOS!$C$73,INT(((AD20-2*AL20)+MAX(DATOS!$C$70,INDEX(TABLAS!$C$52:$C$58,MIN(MATCH(MAX(4,DATOS!$C$72),TABLAS!$B$52:$B$58,0)+3,7))))/(INDEX(TABLAS!$C$52:$C$58,MIN(MATCH(MAX(4,DATOS!$C$72),TABLAS!$B$52:$B$58,0)+3,7))+MAX(DATOS!$C$70,INDEX(TABLAS!$C$52:$C$58,MIN(MATCH(MAX(4,DATOS!$C$72),TABLAS!$B$52:$B$58,0)+3,7))))))),INDEX(TABLAS!$B$52:$B$58,MIN(MATCH(MAX(4,DATOS!$C$72),TABLAS!$B$52:$B$58,0)+3,7)),IF(AND(BU20&gt;=0,IF(MAX(DATOS!$C$74,CEILING(BU20/INDEX(TABLAS!$D$52:$D$58,MIN(MATCH(MAX(4,DATOS!$C$72),TABLAS!$B$52:$B$58,0)+4,7)),1))*INDEX(TABLAS!$D$52:$D$58,MIN(MATCH(MAX(4,DATOS!$C$72),TABLAS!$B$52:$B$58,0)+4,7)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+4,7)),1)),MAX(MAX(DATOS!$C$74,CEILING(BU20/INDEX(TABLAS!$D$52:$D$58,MIN(MATCH(MAX(4,DATOS!$C$72),TABLAS!$B$52:$B$58,0)+4,7)),1)),2))&lt;=MIN(DATOS!$C$73,INT(((AD20-2*AL20)+MAX(DATOS!$C$70,INDEX(TABLAS!$C$52:$C$58,MIN(MATCH(MAX(4,DATOS!$C$72),TABLAS!$B$52:$B$58,0)+4,7))))/(INDEX(TABLAS!$C$52:$C$58,MIN(MATCH(MAX(4,DATOS!$C$72),TABLAS!$B$52:$B$58,0)+4,7))+MAX(DATOS!$C$70,INDEX(TABLAS!$C$52:$C$58,MIN(MATCH(MAX(4,DATOS!$C$72),TABLAS!$B$52:$B$58,0)+4,7))))))),INDEX(TABLAS!$B$52:$B$58,MIN(MATCH(MAX(4,DATOS!$C$72),TABLAS!$B$52:$B$58,0)+4,7)),INDEX(TABLAS!$B$52:$B$58,7)))))))</f>
        <v/>
      </c>
      <c r="BW20" s="59" t="str">
        <f>IF(V20&lt;&gt;"SÍ","",IF(BU20&lt;0,0,IF(MAX(DATOS!$C$74,CEILING(MAX(BU20,0)/INDEX(TABLAS!$D$52:$D$58,MATCH(BV20,TABLAS!$B$52:$B$58,0)),1))*INDEX(TABLAS!$D$52:$D$58,MATCH(BV20,TABLAS!$B$52:$B$58,0))&gt;=4/3*IF(BH20&lt;=0,0,IF((1-2*BH20*1E5/(DATOS!$C$29*AF20*BT20^2*DATOS!$C$21))&lt;0,-1,IF((1-SQRT((1-2*BH20*1E5/(DATOS!$C$29*AF20*BT20^2*DATOS!$C$21))))*DATOS!$C$21*AF20*BT20/DATOS!$C$14&gt;DATOS!$C$102*AF20*BT20,-1,(1-SQRT((1-2*BH20*1E5/(DATOS!$C$29*AF20*BT20^2*DATOS!$C$21))))*DATOS!$C$21*AF20*BT20/DATOS!$C$14)))-0.0001,MAX(DATOS!$C$74,CEILING(MAX(BU20,0)/INDEX(TABLAS!$D$52:$D$58,MATCH(BV20,TABLAS!$B$52:$B$58,0)),1)),MAX(MAX(DATOS!$C$74,CEILING(MAX(BU20,0)/INDEX(TABLAS!$D$52:$D$58,MATCH(BV20,TABLAS!$B$52:$B$58,0)),1)),2))))</f>
        <v/>
      </c>
      <c r="BX20" s="58" t="str">
        <f>IF(V20&lt;&gt;"SÍ","",((DATOS!$C$85-AM20-2*DATOS!$C$97-INDEX(TABLAS!$C$52:$C$58,MATCH(BV20,TABLAS!$B$52:$B$58,0))/2)-IF(AND((DATOS!$C$85-AM20-2*DATOS!$C$97-INDEX(TABLAS!$C$52:$C$58,MATCH(BV20,TABLAS!$B$52:$B$58,0))/2)&lt;=20,DATOS!$C$65&lt;&gt;"SÍ"),2,0)))</f>
        <v/>
      </c>
      <c r="BY20" s="56" t="str">
        <f>IF(V20&lt;&gt;"SÍ","",IF(BW20=0,0,DATOS!$C$29*BW20*INDEX(TABLAS!$D$52:$D$58,MATCH(BV20,TABLAS!$B$52:$B$58,0))*DATOS!$C$14*(BX20-BW20*INDEX(TABLAS!$D$52:$D$58,MATCH(BV20,TABLAS!$B$52:$B$58,0))*DATOS!$C$14/(DATOS!$C$21*AF20)/2)/1E5))</f>
        <v/>
      </c>
      <c r="BZ20" s="65" t="str">
        <f>IF(V20&lt;&gt;"SÍ","",IF(BU20&lt;0,9.99,IF(BY20&gt;0,BH20/BY20,0)))</f>
        <v/>
      </c>
      <c r="CA20" s="66" t="str">
        <f>IF(V20&lt;&gt;"SÍ","",IF(BW20=0,"—",0.003*(BX20-(BW20*INDEX(TABLAS!$D$52:$D$58,MATCH(BV20,TABLAS!$B$52:$B$58,0))*DATOS!$C$14/(DATOS!$C$21*AF20)/DATOS!$C$22))/(BW20*INDEX(TABLAS!$D$52:$D$58,MATCH(BV20,TABLAS!$B$52:$B$58,0))*DATOS!$C$14/(DATOS!$C$21*AF20)/DATOS!$C$22)))</f>
        <v/>
      </c>
      <c r="CB20" s="58" t="str">
        <f>IF(V20&lt;&gt;"SÍ","",(DATOS!$C$85-AK20-INDEX(TABLAS!$C$52:$C$58,MATCH(MAX(4,DATOS!$C$71),TABLAS!$B$52:$B$58,0))-INDEX(TABLAS!$C$52:$C$58,MATCH(MAX(4,DATOS!$C$71),TABLAS!$B$52:$B$58,0))/2))</f>
        <v/>
      </c>
      <c r="CC20" s="58" t="str">
        <f>IF(V20&lt;&gt;"SÍ","",IF(IF(BI20&lt;=0,0,IF((1-2*BI20*1E5/(DATOS!$C$29*AI20*CB20^2*DATOS!$C$21))&lt;0,-1,IF((1-SQRT((1-2*BI20*1E5/(DATOS!$C$29*AI20*CB20^2*DATOS!$C$21))))*DATOS!$C$21*AI20*CB20/DATOS!$C$14&gt;DATOS!$C$102*AI20*CB20,-1,(1-SQRT((1-2*BI20*1E5/(DATOS!$C$29*AI20*CB20^2*DATOS!$C$21))))*DATOS!$C$21*AI20*CB20/DATOS!$C$14)))&lt;0,-1,MAX(IF(BI20&lt;=0,0,IF((1-2*BI20*1E5/(DATOS!$C$29*AI20*CB20^2*DATOS!$C$21))&lt;0,-1,IF((1-SQRT((1-2*BI20*1E5/(DATOS!$C$29*AI20*CB20^2*DATOS!$C$21))))*DATOS!$C$21*AI20*CB20/DATOS!$C$14&gt;DATOS!$C$102*AI20*CB20,-1,(1-SQRT((1-2*BI20*1E5/(DATOS!$C$29*AI20*CB20^2*DATOS!$C$21))))*DATOS!$C$21*AI20*CB20/DATOS!$C$14))),MIN(DATOS!$C$103*DATOS!$C$83*CB20,4/3*IF(BI20&lt;=0,0,IF((1-2*BI20*1E5/(DATOS!$C$29*AI20*CB20^2*DATOS!$C$21))&lt;0,-1,IF((1-SQRT((1-2*BI20*1E5/(DATOS!$C$29*AI20*CB20^2*DATOS!$C$21))))*DATOS!$C$21*AI20*CB20/DATOS!$C$14&gt;DATOS!$C$102*AI20*CB20,-1,(1-SQRT((1-2*BI20*1E5/(DATOS!$C$29*AI20*CB20^2*DATOS!$C$21))))*DATOS!$C$21*AI20*CB20/DATOS!$C$14)))))))</f>
        <v/>
      </c>
      <c r="CD20" s="64" t="str">
        <f>IF(V20&lt;&gt;"SÍ","",IF(AND(CC20&gt;=0,IF(MAX(DATOS!$C$74,CEILING(CC20/INDEX(TABLAS!$D$52:$D$58,MIN(MATCH(MAX(4,DATOS!$C$71),TABLAS!$B$52:$B$58,0)+0,7)),1))*INDEX(TABLAS!$D$52:$D$58,MIN(MATCH(MAX(4,DATOS!$C$71),TABLAS!$B$52:$B$58,0)+0,7)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+0,7)),1)),MAX(MAX(DATOS!$C$74,CEILING(CC20/INDEX(TABLAS!$D$52:$D$58,MIN(MATCH(MAX(4,DATOS!$C$71),TABLAS!$B$52:$B$58,0)+0,7)),1)),2))&lt;=MIN(DATOS!$C$73,INT(((DATOS!$C$83-2*AK20)+MAX(DATOS!$C$70,INDEX(TABLAS!$C$52:$C$58,MIN(MATCH(MAX(4,DATOS!$C$71),TABLAS!$B$52:$B$58,0)+0,7))))/(INDEX(TABLAS!$C$52:$C$58,MIN(MATCH(MAX(4,DATOS!$C$71),TABLAS!$B$52:$B$58,0)+0,7))+MAX(DATOS!$C$70,INDEX(TABLAS!$C$52:$C$58,MIN(MATCH(MAX(4,DATOS!$C$71),TABLAS!$B$52:$B$58,0)+0,7))))))),INDEX(TABLAS!$B$52:$B$58,MIN(MATCH(MAX(4,DATOS!$C$71),TABLAS!$B$52:$B$58,0)+0,7)),IF(AND(CC20&gt;=0,IF(MAX(DATOS!$C$74,CEILING(CC20/INDEX(TABLAS!$D$52:$D$58,MIN(MATCH(MAX(4,DATOS!$C$71),TABLAS!$B$52:$B$58,0)+1,7)),1))*INDEX(TABLAS!$D$52:$D$58,MIN(MATCH(MAX(4,DATOS!$C$71),TABLAS!$B$52:$B$58,0)+1,7)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+1,7)),1)),MAX(MAX(DATOS!$C$74,CEILING(CC20/INDEX(TABLAS!$D$52:$D$58,MIN(MATCH(MAX(4,DATOS!$C$71),TABLAS!$B$52:$B$58,0)+1,7)),1)),2))&lt;=MIN(DATOS!$C$73,INT(((DATOS!$C$83-2*AK20)+MAX(DATOS!$C$70,INDEX(TABLAS!$C$52:$C$58,MIN(MATCH(MAX(4,DATOS!$C$71),TABLAS!$B$52:$B$58,0)+1,7))))/(INDEX(TABLAS!$C$52:$C$58,MIN(MATCH(MAX(4,DATOS!$C$71),TABLAS!$B$52:$B$58,0)+1,7))+MAX(DATOS!$C$70,INDEX(TABLAS!$C$52:$C$58,MIN(MATCH(MAX(4,DATOS!$C$71),TABLAS!$B$52:$B$58,0)+1,7))))))),INDEX(TABLAS!$B$52:$B$58,MIN(MATCH(MAX(4,DATOS!$C$71),TABLAS!$B$52:$B$58,0)+1,7)),IF(AND(CC20&gt;=0,IF(MAX(DATOS!$C$74,CEILING(CC20/INDEX(TABLAS!$D$52:$D$58,MIN(MATCH(MAX(4,DATOS!$C$71),TABLAS!$B$52:$B$58,0)+2,7)),1))*INDEX(TABLAS!$D$52:$D$58,MIN(MATCH(MAX(4,DATOS!$C$71),TABLAS!$B$52:$B$58,0)+2,7)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+2,7)),1)),MAX(MAX(DATOS!$C$74,CEILING(CC20/INDEX(TABLAS!$D$52:$D$58,MIN(MATCH(MAX(4,DATOS!$C$71),TABLAS!$B$52:$B$58,0)+2,7)),1)),2))&lt;=MIN(DATOS!$C$73,INT(((DATOS!$C$83-2*AK20)+MAX(DATOS!$C$70,INDEX(TABLAS!$C$52:$C$58,MIN(MATCH(MAX(4,DATOS!$C$71),TABLAS!$B$52:$B$58,0)+2,7))))/(INDEX(TABLAS!$C$52:$C$58,MIN(MATCH(MAX(4,DATOS!$C$71),TABLAS!$B$52:$B$58,0)+2,7))+MAX(DATOS!$C$70,INDEX(TABLAS!$C$52:$C$58,MIN(MATCH(MAX(4,DATOS!$C$71),TABLAS!$B$52:$B$58,0)+2,7))))))),INDEX(TABLAS!$B$52:$B$58,MIN(MATCH(MAX(4,DATOS!$C$71),TABLAS!$B$52:$B$58,0)+2,7)),IF(AND(CC20&gt;=0,IF(MAX(DATOS!$C$74,CEILING(CC20/INDEX(TABLAS!$D$52:$D$58,MIN(MATCH(MAX(4,DATOS!$C$71),TABLAS!$B$52:$B$58,0)+3,7)),1))*INDEX(TABLAS!$D$52:$D$58,MIN(MATCH(MAX(4,DATOS!$C$71),TABLAS!$B$52:$B$58,0)+3,7)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+3,7)),1)),MAX(MAX(DATOS!$C$74,CEILING(CC20/INDEX(TABLAS!$D$52:$D$58,MIN(MATCH(MAX(4,DATOS!$C$71),TABLAS!$B$52:$B$58,0)+3,7)),1)),2))&lt;=MIN(DATOS!$C$73,INT(((DATOS!$C$83-2*AK20)+MAX(DATOS!$C$70,INDEX(TABLAS!$C$52:$C$58,MIN(MATCH(MAX(4,DATOS!$C$71),TABLAS!$B$52:$B$58,0)+3,7))))/(INDEX(TABLAS!$C$52:$C$58,MIN(MATCH(MAX(4,DATOS!$C$71),TABLAS!$B$52:$B$58,0)+3,7))+MAX(DATOS!$C$70,INDEX(TABLAS!$C$52:$C$58,MIN(MATCH(MAX(4,DATOS!$C$71),TABLAS!$B$52:$B$58,0)+3,7))))))),INDEX(TABLAS!$B$52:$B$58,MIN(MATCH(MAX(4,DATOS!$C$71),TABLAS!$B$52:$B$58,0)+3,7)),IF(AND(CC20&gt;=0,IF(MAX(DATOS!$C$74,CEILING(CC20/INDEX(TABLAS!$D$52:$D$58,MIN(MATCH(MAX(4,DATOS!$C$71),TABLAS!$B$52:$B$58,0)+4,7)),1))*INDEX(TABLAS!$D$52:$D$58,MIN(MATCH(MAX(4,DATOS!$C$71),TABLAS!$B$52:$B$58,0)+4,7)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+4,7)),1)),MAX(MAX(DATOS!$C$74,CEILING(CC20/INDEX(TABLAS!$D$52:$D$58,MIN(MATCH(MAX(4,DATOS!$C$71),TABLAS!$B$52:$B$58,0)+4,7)),1)),2))&lt;=MIN(DATOS!$C$73,INT(((DATOS!$C$83-2*AK20)+MAX(DATOS!$C$70,INDEX(TABLAS!$C$52:$C$58,MIN(MATCH(MAX(4,DATOS!$C$71),TABLAS!$B$52:$B$58,0)+4,7))))/(INDEX(TABLAS!$C$52:$C$58,MIN(MATCH(MAX(4,DATOS!$C$71),TABLAS!$B$52:$B$58,0)+4,7))+MAX(DATOS!$C$70,INDEX(TABLAS!$C$52:$C$58,MIN(MATCH(MAX(4,DATOS!$C$71),TABLAS!$B$52:$B$58,0)+4,7))))))),INDEX(TABLAS!$B$52:$B$58,MIN(MATCH(MAX(4,DATOS!$C$71),TABLAS!$B$52:$B$58,0)+4,7)),INDEX(TABLAS!$B$52:$B$58,7)))))))</f>
        <v/>
      </c>
      <c r="CE20" s="59" t="str">
        <f>IF(V20&lt;&gt;"SÍ","",IF(CC20&lt;0,0,IF(MAX(DATOS!$C$74,CEILING(MAX(CC20,0)/INDEX(TABLAS!$D$52:$D$58,MATCH(CD20,TABLAS!$B$52:$B$58,0)),1))*INDEX(TABLAS!$D$52:$D$58,MATCH(CD20,TABLAS!$B$52:$B$58,0))&gt;=4/3*IF(BI20&lt;=0,0,IF((1-2*BI20*1E5/(DATOS!$C$29*AI20*CB20^2*DATOS!$C$21))&lt;0,-1,IF((1-SQRT((1-2*BI20*1E5/(DATOS!$C$29*AI20*CB20^2*DATOS!$C$21))))*DATOS!$C$21*AI20*CB20/DATOS!$C$14&gt;DATOS!$C$102*AI20*CB20,-1,(1-SQRT((1-2*BI20*1E5/(DATOS!$C$29*AI20*CB20^2*DATOS!$C$21))))*DATOS!$C$21*AI20*CB20/DATOS!$C$14)))-0.0001,MAX(DATOS!$C$74,CEILING(MAX(CC20,0)/INDEX(TABLAS!$D$52:$D$58,MATCH(CD20,TABLAS!$B$52:$B$58,0)),1)),MAX(MAX(DATOS!$C$74,CEILING(MAX(CC20,0)/INDEX(TABLAS!$D$52:$D$58,MATCH(CD20,TABLAS!$B$52:$B$58,0)),1)),2))))</f>
        <v/>
      </c>
      <c r="CF20" s="58" t="str">
        <f>IF(V20&lt;&gt;"SÍ","",DATOS!$C$85-AK20-INDEX(TABLAS!$C$52:$C$58,MATCH(BN20,TABLAS!$B$52:$B$58,0))-INDEX(TABLAS!$C$52:$C$58,MATCH(CD20,TABLAS!$B$52:$B$58,0))/2)</f>
        <v/>
      </c>
      <c r="CG20" s="56" t="str">
        <f>IF(V20&lt;&gt;"SÍ","",IF(CE20=0,0,DATOS!$C$29*CE20*INDEX(TABLAS!$D$52:$D$58,MATCH(CD20,TABLAS!$B$52:$B$58,0))*DATOS!$C$14*(CF20-CE20*INDEX(TABLAS!$D$52:$D$58,MATCH(CD20,TABLAS!$B$52:$B$58,0))*DATOS!$C$14/(DATOS!$C$21*AI20)/2)/1E5))</f>
        <v/>
      </c>
      <c r="CH20" s="65" t="str">
        <f>IF(V20&lt;&gt;"SÍ","",IF(CC20&lt;0,9.99,IF(CG20&gt;0,BI20/CG20,0)))</f>
        <v/>
      </c>
      <c r="CI20" s="66" t="str">
        <f>IF(V20&lt;&gt;"SÍ","",IF(CE20=0,"—",0.003*(CF20-(CE20*INDEX(TABLAS!$D$52:$D$58,MATCH(CD20,TABLAS!$B$52:$B$58,0))*DATOS!$C$14/(DATOS!$C$21*AI20)/DATOS!$C$22))/(CE20*INDEX(TABLAS!$D$52:$D$58,MATCH(CD20,TABLAS!$B$52:$B$58,0))*DATOS!$C$14/(DATOS!$C$21*AI20)/DATOS!$C$22)))</f>
        <v/>
      </c>
      <c r="CJ20" s="58" t="str">
        <f>IF(V20&lt;&gt;"SÍ","",((DATOS!$C$85-AM20-2*DATOS!$C$97-INDEX(TABLAS!$C$52:$C$58,MATCH(MAX(4,DATOS!$C$72),TABLAS!$B$52:$B$58,0))-INDEX(TABLAS!$C$52:$C$58,MATCH(MAX(4,DATOS!$C$72),TABLAS!$B$52:$B$58,0))/2)-IF(AND((DATOS!$C$85-AM20-2*DATOS!$C$97-INDEX(TABLAS!$C$52:$C$58,MATCH(MAX(4,DATOS!$C$72),TABLAS!$B$52:$B$58,0))-INDEX(TABLAS!$C$52:$C$58,MATCH(MAX(4,DATOS!$C$72),TABLAS!$B$52:$B$58,0))/2)&lt;=20,DATOS!$C$65&lt;&gt;"SÍ"),2,0)))</f>
        <v/>
      </c>
      <c r="CK20" s="58" t="str">
        <f>IF(V20&lt;&gt;"SÍ","",IF(IF(BJ20&lt;=0,0,IF((1-2*BJ20*1E5/(DATOS!$C$29*AG20*CJ20^2*DATOS!$C$21))&lt;0,-1,IF((1-SQRT((1-2*BJ20*1E5/(DATOS!$C$29*AG20*CJ20^2*DATOS!$C$21))))*DATOS!$C$21*AG20*CJ20/DATOS!$C$14&gt;DATOS!$C$102*AG20*CJ20,-1,(1-SQRT((1-2*BJ20*1E5/(DATOS!$C$29*AG20*CJ20^2*DATOS!$C$21))))*DATOS!$C$21*AG20*CJ20/DATOS!$C$14)))&lt;0,-1,MAX(IF(BJ20&lt;=0,0,IF((1-2*BJ20*1E5/(DATOS!$C$29*AG20*CJ20^2*DATOS!$C$21))&lt;0,-1,IF((1-SQRT((1-2*BJ20*1E5/(DATOS!$C$29*AG20*CJ20^2*DATOS!$C$21))))*DATOS!$C$21*AG20*CJ20/DATOS!$C$14&gt;DATOS!$C$102*AG20*CJ20,-1,(1-SQRT((1-2*BJ20*1E5/(DATOS!$C$29*AG20*CJ20^2*DATOS!$C$21))))*DATOS!$C$21*AG20*CJ20/DATOS!$C$14))),MIN(DATOS!$C$103*DATOS!$C$83*CJ20,4/3*IF(BJ20&lt;=0,0,IF((1-2*BJ20*1E5/(DATOS!$C$29*AG20*CJ20^2*DATOS!$C$21))&lt;0,-1,IF((1-SQRT((1-2*BJ20*1E5/(DATOS!$C$29*AG20*CJ20^2*DATOS!$C$21))))*DATOS!$C$21*AG20*CJ20/DATOS!$C$14&gt;DATOS!$C$102*AG20*CJ20,-1,(1-SQRT((1-2*BJ20*1E5/(DATOS!$C$29*AG20*CJ20^2*DATOS!$C$21))))*DATOS!$C$21*AG20*CJ20/DATOS!$C$14)))))))</f>
        <v/>
      </c>
      <c r="CL20" s="64" t="str">
        <f>IF(V20&lt;&gt;"SÍ","",IF(AND(CK20&gt;=0,IF(MAX(DATOS!$C$74,CEILING(CK20/INDEX(TABLAS!$D$52:$D$58,MIN(MATCH(MAX(4,DATOS!$C$72),TABLAS!$B$52:$B$58,0)+0,7)),1))*INDEX(TABLAS!$D$52:$D$58,MIN(MATCH(MAX(4,DATOS!$C$72),TABLAS!$B$52:$B$58,0)+0,7)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+0,7)),1)),MAX(MAX(DATOS!$C$74,CEILING(CK20/INDEX(TABLAS!$D$52:$D$58,MIN(MATCH(MAX(4,DATOS!$C$72),TABLAS!$B$52:$B$58,0)+0,7)),1)),2))&lt;=MIN(DATOS!$C$73,INT(((DATOS!$C$83-2*AL20)+MAX(DATOS!$C$70,INDEX(TABLAS!$C$52:$C$58,MIN(MATCH(MAX(4,DATOS!$C$72),TABLAS!$B$52:$B$58,0)+0,7))))/(INDEX(TABLAS!$C$52:$C$58,MIN(MATCH(MAX(4,DATOS!$C$72),TABLAS!$B$52:$B$58,0)+0,7))+MAX(DATOS!$C$70,INDEX(TABLAS!$C$52:$C$58,MIN(MATCH(MAX(4,DATOS!$C$72),TABLAS!$B$52:$B$58,0)+0,7))))))),INDEX(TABLAS!$B$52:$B$58,MIN(MATCH(MAX(4,DATOS!$C$72),TABLAS!$B$52:$B$58,0)+0,7)),IF(AND(CK20&gt;=0,IF(MAX(DATOS!$C$74,CEILING(CK20/INDEX(TABLAS!$D$52:$D$58,MIN(MATCH(MAX(4,DATOS!$C$72),TABLAS!$B$52:$B$58,0)+1,7)),1))*INDEX(TABLAS!$D$52:$D$58,MIN(MATCH(MAX(4,DATOS!$C$72),TABLAS!$B$52:$B$58,0)+1,7)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+1,7)),1)),MAX(MAX(DATOS!$C$74,CEILING(CK20/INDEX(TABLAS!$D$52:$D$58,MIN(MATCH(MAX(4,DATOS!$C$72),TABLAS!$B$52:$B$58,0)+1,7)),1)),2))&lt;=MIN(DATOS!$C$73,INT(((DATOS!$C$83-2*AL20)+MAX(DATOS!$C$70,INDEX(TABLAS!$C$52:$C$58,MIN(MATCH(MAX(4,DATOS!$C$72),TABLAS!$B$52:$B$58,0)+1,7))))/(INDEX(TABLAS!$C$52:$C$58,MIN(MATCH(MAX(4,DATOS!$C$72),TABLAS!$B$52:$B$58,0)+1,7))+MAX(DATOS!$C$70,INDEX(TABLAS!$C$52:$C$58,MIN(MATCH(MAX(4,DATOS!$C$72),TABLAS!$B$52:$B$58,0)+1,7))))))),INDEX(TABLAS!$B$52:$B$58,MIN(MATCH(MAX(4,DATOS!$C$72),TABLAS!$B$52:$B$58,0)+1,7)),IF(AND(CK20&gt;=0,IF(MAX(DATOS!$C$74,CEILING(CK20/INDEX(TABLAS!$D$52:$D$58,MIN(MATCH(MAX(4,DATOS!$C$72),TABLAS!$B$52:$B$58,0)+2,7)),1))*INDEX(TABLAS!$D$52:$D$58,MIN(MATCH(MAX(4,DATOS!$C$72),TABLAS!$B$52:$B$58,0)+2,7)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+2,7)),1)),MAX(MAX(DATOS!$C$74,CEILING(CK20/INDEX(TABLAS!$D$52:$D$58,MIN(MATCH(MAX(4,DATOS!$C$72),TABLAS!$B$52:$B$58,0)+2,7)),1)),2))&lt;=MIN(DATOS!$C$73,INT(((DATOS!$C$83-2*AL20)+MAX(DATOS!$C$70,INDEX(TABLAS!$C$52:$C$58,MIN(MATCH(MAX(4,DATOS!$C$72),TABLAS!$B$52:$B$58,0)+2,7))))/(INDEX(TABLAS!$C$52:$C$58,MIN(MATCH(MAX(4,DATOS!$C$72),TABLAS!$B$52:$B$58,0)+2,7))+MAX(DATOS!$C$70,INDEX(TABLAS!$C$52:$C$58,MIN(MATCH(MAX(4,DATOS!$C$72),TABLAS!$B$52:$B$58,0)+2,7))))))),INDEX(TABLAS!$B$52:$B$58,MIN(MATCH(MAX(4,DATOS!$C$72),TABLAS!$B$52:$B$58,0)+2,7)),IF(AND(CK20&gt;=0,IF(MAX(DATOS!$C$74,CEILING(CK20/INDEX(TABLAS!$D$52:$D$58,MIN(MATCH(MAX(4,DATOS!$C$72),TABLAS!$B$52:$B$58,0)+3,7)),1))*INDEX(TABLAS!$D$52:$D$58,MIN(MATCH(MAX(4,DATOS!$C$72),TABLAS!$B$52:$B$58,0)+3,7)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+3,7)),1)),MAX(MAX(DATOS!$C$74,CEILING(CK20/INDEX(TABLAS!$D$52:$D$58,MIN(MATCH(MAX(4,DATOS!$C$72),TABLAS!$B$52:$B$58,0)+3,7)),1)),2))&lt;=MIN(DATOS!$C$73,INT(((DATOS!$C$83-2*AL20)+MAX(DATOS!$C$70,INDEX(TABLAS!$C$52:$C$58,MIN(MATCH(MAX(4,DATOS!$C$72),TABLAS!$B$52:$B$58,0)+3,7))))/(INDEX(TABLAS!$C$52:$C$58,MIN(MATCH(MAX(4,DATOS!$C$72),TABLAS!$B$52:$B$58,0)+3,7))+MAX(DATOS!$C$70,INDEX(TABLAS!$C$52:$C$58,MIN(MATCH(MAX(4,DATOS!$C$72),TABLAS!$B$52:$B$58,0)+3,7))))))),INDEX(TABLAS!$B$52:$B$58,MIN(MATCH(MAX(4,DATOS!$C$72),TABLAS!$B$52:$B$58,0)+3,7)),IF(AND(CK20&gt;=0,IF(MAX(DATOS!$C$74,CEILING(CK20/INDEX(TABLAS!$D$52:$D$58,MIN(MATCH(MAX(4,DATOS!$C$72),TABLAS!$B$52:$B$58,0)+4,7)),1))*INDEX(TABLAS!$D$52:$D$58,MIN(MATCH(MAX(4,DATOS!$C$72),TABLAS!$B$52:$B$58,0)+4,7)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+4,7)),1)),MAX(MAX(DATOS!$C$74,CEILING(CK20/INDEX(TABLAS!$D$52:$D$58,MIN(MATCH(MAX(4,DATOS!$C$72),TABLAS!$B$52:$B$58,0)+4,7)),1)),2))&lt;=MIN(DATOS!$C$73,INT(((DATOS!$C$83-2*AL20)+MAX(DATOS!$C$70,INDEX(TABLAS!$C$52:$C$58,MIN(MATCH(MAX(4,DATOS!$C$72),TABLAS!$B$52:$B$58,0)+4,7))))/(INDEX(TABLAS!$C$52:$C$58,MIN(MATCH(MAX(4,DATOS!$C$72),TABLAS!$B$52:$B$58,0)+4,7))+MAX(DATOS!$C$70,INDEX(TABLAS!$C$52:$C$58,MIN(MATCH(MAX(4,DATOS!$C$72),TABLAS!$B$52:$B$58,0)+4,7))))))),INDEX(TABLAS!$B$52:$B$58,MIN(MATCH(MAX(4,DATOS!$C$72),TABLAS!$B$52:$B$58,0)+4,7)),INDEX(TABLAS!$B$52:$B$58,7)))))))</f>
        <v/>
      </c>
      <c r="CM20" s="59" t="str">
        <f>IF(V20&lt;&gt;"SÍ","",IF(CK20&lt;0,0,IF(MAX(DATOS!$C$74,CEILING(MAX(CK20,0)/INDEX(TABLAS!$D$52:$D$58,MATCH(CL20,TABLAS!$B$52:$B$58,0)),1))*INDEX(TABLAS!$D$52:$D$58,MATCH(CL20,TABLAS!$B$52:$B$58,0))&gt;=4/3*IF(BJ20&lt;=0,0,IF((1-2*BJ20*1E5/(DATOS!$C$29*AG20*CJ20^2*DATOS!$C$21))&lt;0,-1,IF((1-SQRT((1-2*BJ20*1E5/(DATOS!$C$29*AG20*CJ20^2*DATOS!$C$21))))*DATOS!$C$21*AG20*CJ20/DATOS!$C$14&gt;DATOS!$C$102*AG20*CJ20,-1,(1-SQRT((1-2*BJ20*1E5/(DATOS!$C$29*AG20*CJ20^2*DATOS!$C$21))))*DATOS!$C$21*AG20*CJ20/DATOS!$C$14)))-0.0001,MAX(DATOS!$C$74,CEILING(MAX(CK20,0)/INDEX(TABLAS!$D$52:$D$58,MATCH(CL20,TABLAS!$B$52:$B$58,0)),1)),MAX(MAX(DATOS!$C$74,CEILING(MAX(CK20,0)/INDEX(TABLAS!$D$52:$D$58,MATCH(CL20,TABLAS!$B$52:$B$58,0)),1)),2))))</f>
        <v/>
      </c>
      <c r="CN20" s="58" t="str">
        <f>IF(V20&lt;&gt;"SÍ","",((DATOS!$C$85-AM20-2*DATOS!$C$97-INDEX(TABLAS!$C$52:$C$58,MATCH(BV20,TABLAS!$B$52:$B$58,0))-INDEX(TABLAS!$C$52:$C$58,MATCH(CL20,TABLAS!$B$52:$B$58,0))/2)-IF(AND((DATOS!$C$85-AM20-2*DATOS!$C$97-INDEX(TABLAS!$C$52:$C$58,MATCH(BV20,TABLAS!$B$52:$B$58,0))-INDEX(TABLAS!$C$52:$C$58,MATCH(CL20,TABLAS!$B$52:$B$58,0))/2)&lt;=20,DATOS!$C$65&lt;&gt;"SÍ"),2,0)))</f>
        <v/>
      </c>
      <c r="CO20" s="56" t="str">
        <f>IF(V20&lt;&gt;"SÍ","",IF(CM20=0,0,DATOS!$C$29*CM20*INDEX(TABLAS!$D$52:$D$58,MATCH(CL20,TABLAS!$B$52:$B$58,0))*DATOS!$C$14*(CN20-CM20*INDEX(TABLAS!$D$52:$D$58,MATCH(CL20,TABLAS!$B$52:$B$58,0))*DATOS!$C$14/(DATOS!$C$21*AG20)/2)/1E5))</f>
        <v/>
      </c>
      <c r="CP20" s="65" t="str">
        <f>IF(V20&lt;&gt;"SÍ","",IF(CK20&lt;0,9.99,IF(CO20&gt;0,BJ20/CO20,0)))</f>
        <v/>
      </c>
      <c r="CQ20" s="66" t="str">
        <f>IF(V20&lt;&gt;"SÍ","",IF(CM20=0,"—",0.003*(CN20-(CM20*INDEX(TABLAS!$D$52:$D$58,MATCH(CL20,TABLAS!$B$52:$B$58,0))*DATOS!$C$14/(DATOS!$C$21*AG20)/DATOS!$C$22))/(CM20*INDEX(TABLAS!$D$52:$D$58,MATCH(CL20,TABLAS!$B$52:$B$58,0))*DATOS!$C$14/(DATOS!$C$21*AG20)/DATOS!$C$22)))</f>
        <v/>
      </c>
      <c r="CR20" s="56" t="str">
        <f>IF(V20&lt;&gt;"SÍ","",IF(C20="PERIMETRAL",MAX(0,(AB20/2-BX20)/100)*(0.95-0.5*AA20)*AR20*IF(AND(AS20&gt;0,AS20&lt;4),DATOS!$C$33,1)*DATOS!$C$86/100/1000,(AR20*MAX(0,AB20-BX20)/100+DATOS!$C$26*N(O20))*DATOS!$C$86/100/1000+BF20))</f>
        <v/>
      </c>
      <c r="CS20" s="56" t="str">
        <f>IF(V20&lt;&gt;"SÍ","",DATOS!$C$30*2*MIN(1,SQRT(2/(1+0.04*BX20)))*(BW20*INDEX(TABLAS!$D$52:$D$58,MATCH(BV20,TABLAS!$B$52:$B$58,0))/(AF20*BX20))^(1/3)*SQRT(DATOS!$C$13)*AF20*BX20*IF(AJ20="SÍ",DATOS!$C$32,1)/1000)</f>
        <v/>
      </c>
      <c r="CT20" s="59" t="str">
        <f>IF(V20&lt;&gt;"SÍ","",IF(CR20&lt;=CS20,0,CEILING(MAX(0,IF(C20="VOLADO",(AB20-((CS20-BF20)*1E5/DATOS!$C$86-DATOS!$C$26*N(O20))*100/AR20),IF(CS20&lt;=0,AB20,AB20/2-CS20/MAX(CR20,1E-9)*(AB20/2-BX20)))-IF(X20="X",MIN(DJ20,DK20),MIN(DL20,DM20)))/DATOS!$C$86,1)))</f>
        <v/>
      </c>
      <c r="CU20" s="67" t="str">
        <f>IF(V20&lt;&gt;"SÍ","",IF(CR20&lt;=CS20,"CUMPLE",IF(CT20&lt;=0,"CUMPLE (basta el macizo de orilla)",IF(CT20*DATOS!$C$86*IF(C20="VOLADO",1,2)&gt;=Y20*100-DATOS!$C$87,"NO CUMPLE: no alcanza ni macizando todo","MACIZAR "&amp;CT20&amp;" hilera(s)"))))</f>
        <v/>
      </c>
      <c r="CV20" s="58" t="str">
        <f>IF(V20&lt;&gt;"SÍ","",(DATOS!$C$86*DATOS!$C$84^2/2+MIN(DATOS!$C$83,AD20)*DATOS!$C$82*(DATOS!$C$84+DATOS!$C$82/2))/(DATOS!$C$86*DATOS!$C$84+MIN(DATOS!$C$83,AD20)*DATOS!$C$82))</f>
        <v/>
      </c>
      <c r="CW20" s="68" t="str">
        <f>IF(V20&lt;&gt;"SÍ","",DATOS!$C$86*DATOS!$C$84^3/12+DATOS!$C$86*DATOS!$C$84*(CV20-DATOS!$C$84/2)^2+MIN(DATOS!$C$83,AD20)*DATOS!$C$82^3/12+MIN(DATOS!$C$83,AD20)*DATOS!$C$82*(DATOS!$C$84+DATOS!$C$82/2-CV20)^2)</f>
        <v/>
      </c>
      <c r="CX20" s="58" t="str">
        <f>IF(V20&lt;&gt;"SÍ","",(12*CW20/DATOS!$C$86)^(1/3))</f>
        <v/>
      </c>
      <c r="CY20" s="58" t="str">
        <f>IF(V20&lt;&gt;"SÍ","",IF(C20="PERIMETRAL",IF(ISNUMBER(S20),S20,DATOS!$C$104),0))</f>
        <v/>
      </c>
      <c r="CZ20" s="57" t="str">
        <f>IF(V20&lt;&gt;"SÍ","",IF(C20="PERIMETRAL",IF(CY20&gt;2,MAX(9,AC20*(0.8+DATOS!$C$14/14000)/(36+9*(AC20/MAX(AB20,1)))),IF(CY20&gt;0.2,MAX(13,AC20*(0.8+DATOS!$C$14/14000)/(36+5*(AC20/MAX(AB20,1))*(CY20-0.2))),MAX(13,AC20/IF(AS20&gt;0,30,33))))*IF(AND(CY20&gt;0.2,AS20&gt;0,DATOS!$C$105="NO"),1.1,1),MAX(25,Y20*100/8*(0.4+DATOS!$C$14/7000))))</f>
        <v/>
      </c>
      <c r="DA20" s="61" t="str">
        <f>IF(V20&lt;&gt;"SÍ","",IF(IF(C20="VOLADO",DATOS!$C$85,CX20)&gt;=CZ20,"CUMPLE",IF(C20="VOLADO","NO CUMPLE","CALCULAR FLECHA")))</f>
        <v/>
      </c>
      <c r="DB20" s="55" t="str">
        <f>IF(V20&lt;&gt;"SÍ","",IF(DATOS!$C$84&gt;=IF(IF(C20="VOLADO",Y20,Z20)&gt;=6,6,5),"CUMPLE","CAPA ≥ 6 cm"))</f>
        <v/>
      </c>
      <c r="DC20" s="60" t="str">
        <f>IF(V20&lt;&gt;"SÍ","",IF(C20="VOLADO",MIN(FLOOR(IF(ISNUMBER(P20),P20,Y20)*100-DATOS!$C$63,5),CEILING(MAX(IF((0.5*(0.9*DATOS!$C$90*DATOS!$C$86/100/1000)*IF(ISNUMBER(P20),P20,Y20)+BH20/IF(ISNUMBER(P20),P20,Y20))^2-4*(0.5*(0.9*DATOS!$C$90*DATOS!$C$86/100/1000))*BH20&lt;0,IF(ISNUMBER(P20),P20,Y20),MIN(IF(ISNUMBER(P20),P20,Y20),((0.5*(0.9*DATOS!$C$90*DATOS!$C$86/100/1000)*IF(ISNUMBER(P20),P20,Y20)+BH20/IF(ISNUMBER(P20),P20,Y20))-SQRT((0.5*(0.9*DATOS!$C$90*DATOS!$C$86/100/1000)*IF(ISNUMBER(P20),P20,Y20)+BH20/IF(ISNUMBER(P20),P20,Y20))^2-4*(0.5*(0.9*DATOS!$C$90*DATOS!$C$86/100/1000))*BH20))/(2*(0.5*(0.9*DATOS!$C$90*DATOS!$C$86/100/1000)))))*100+MAX(BX20,12*INDEX(TABLAS!$C$52:$C$58,MATCH(BV20,TABLAS!$B$52:$B$58,0)),IF(ISNUMBER(P20),P20,Y20)*100/16),IF(OR(AL20&lt;INDEX(TABLAS!$C$52:$C$58,MATCH(BV20,TABLAS!$B$52:$B$58,0)),AND(BW20&gt;=2,(AD20-2*AL20-BW20*INDEX(TABLAS!$C$52:$C$58,MATCH(BV20,TABLAS!$B$52:$B$58,0)))/MAX(BW20-1,1)&lt;2*INDEX(TABLAS!$C$52:$C$58,MATCH(BV20,TABLAS!$B$52:$B$58,0)))),INDEX(TABLAS!$I$52:$I$58,MATCH(BV20,TABLAS!$B$52:$B$58,0)),INDEX(TABLAS!$F$52:$F$58,MATCH(BV20,TABLAS!$B$52:$B$58,0)))),5)),IF(((4*((BC20*AR20*Y20^2*1E-4*DATOS!$C$86/100/1000)+((MAX(AY20,BA20)*AR20*Y20^2*1E-4*DATOS!$C$86/100/1000)+(IF(AND(AY20&gt;0,BA20&gt;0),MIN(AY20,BA20),MAX(AY20,BA20))*AR20*Y20^2*1E-4*DATOS!$C$86/100/1000))/2)+BH20-(IF(AND(AY20&gt;0,BA20&gt;0),MIN(AY20,BA20),MAX(AY20,BA20))*AR20*Y20^2*1E-4*DATOS!$C$86/100/1000))^2-16*((BC20*AR20*Y20^2*1E-4*DATOS!$C$86/100/1000)+((MAX(AY20,BA20)*AR20*Y20^2*1E-4*DATOS!$C$86/100/1000)+(IF(AND(AY20&gt;0,BA20&gt;0),MIN(AY20,BA20),MAX(AY20,BA20))*AR20*Y20^2*1E-4*DATOS!$C$86/100/1000))/2)*BH20)&lt;0,CEILING(AB20,5),CEILING(MAX(AB20*((4*((BC20*AR20*Y20^2*1E-4*DATOS!$C$86/100/1000)+((MAX(AY20,BA20)*AR20*Y20^2*1E-4*DATOS!$C$86/100/1000)+(IF(AND(AY20&gt;0,BA20&gt;0),MIN(AY20,BA20),MAX(AY20,BA20))*AR20*Y20^2*1E-4*DATOS!$C$86/100/1000))/2)+BH20-(IF(AND(AY20&gt;0,BA20&gt;0),MIN(AY20,BA20),MAX(AY20,BA20))*AR20*Y20^2*1E-4*DATOS!$C$86/100/1000))-SQRT(MAX(0,((4*((BC20*AR20*Y20^2*1E-4*DATOS!$C$86/100/1000)+((MAX(AY20,BA20)*AR20*Y20^2*1E-4*DATOS!$C$86/100/1000)+(IF(AND(AY20&gt;0,BA20&gt;0),MIN(AY20,BA20),MAX(AY20,BA20))*AR20*Y20^2*1E-4*DATOS!$C$86/100/1000))/2)+BH20-(IF(AND(AY20&gt;0,BA20&gt;0),MIN(AY20,BA20),MAX(AY20,BA20))*AR20*Y20^2*1E-4*DATOS!$C$86/100/1000))^2-16*((BC20*AR20*Y20^2*1E-4*DATOS!$C$86/100/1000)+((MAX(AY20,BA20)*AR20*Y20^2*1E-4*DATOS!$C$86/100/1000)+(IF(AND(AY20&gt;0,BA20&gt;0),MIN(AY20,BA20),MAX(AY20,BA20))*AR20*Y20^2*1E-4*DATOS!$C$86/100/1000))/2)*BH20))))/(8*MAX(((BC20*AR20*Y20^2*1E-4*DATOS!$C$86/100/1000)+((MAX(AY20,BA20)*AR20*Y20^2*1E-4*DATOS!$C$86/100/1000)+(IF(AND(AY20&gt;0,BA20&gt;0),MIN(AY20,BA20),MAX(AY20,BA20))*AR20*Y20^2*1E-4*DATOS!$C$86/100/1000))/2),1E-9))+MAX(BX20,12*INDEX(TABLAS!$C$52:$C$58,MATCH(BV20,TABLAS!$B$52:$B$58,0)),AB20/16),IF(OR(AL20&lt;INDEX(TABLAS!$C$52:$C$58,MATCH(BV20,TABLAS!$B$52:$B$58,0)),AND(BW20&gt;=2,(AD20-2*AL20-BW20*INDEX(TABLAS!$C$52:$C$58,MATCH(BV20,TABLAS!$B$52:$B$58,0)))/MAX(BW20-1,1)&lt;2*INDEX(TABLAS!$C$52:$C$58,MATCH(BV20,TABLAS!$B$52:$B$58,0)))),INDEX(TABLAS!$I$52:$I$58,MATCH(BV20,TABLAS!$B$52:$B$58,0)),INDEX(TABLAS!$F$52:$F$58,MATCH(BV20,TABLAS!$B$52:$B$58,0)))),5))))</f>
        <v/>
      </c>
      <c r="DD20" s="60" t="str">
        <f>IF(V20&lt;&gt;"SÍ","",IF(C20="VOLADO",0,IF(((4*((BD20*AR20*Y20^2*1E-4*DATOS!$C$86/100/1000)+((MAX(AZ20,BB20)*AR20*Y20^2*1E-4*DATOS!$C$86/100/1000)+(IF(AND(AZ20&gt;0,BB20&gt;0),MIN(AZ20,BB20),MAX(AZ20,BB20))*AR20*Y20^2*1E-4*DATOS!$C$86/100/1000))/2)+BJ20-(IF(AND(AZ20&gt;0,BB20&gt;0),MIN(AZ20,BB20),MAX(AZ20,BB20))*AR20*Y20^2*1E-4*DATOS!$C$86/100/1000))^2-16*((BD20*AR20*Y20^2*1E-4*DATOS!$C$86/100/1000)+((MAX(AZ20,BB20)*AR20*Y20^2*1E-4*DATOS!$C$86/100/1000)+(IF(AND(AZ20&gt;0,BB20&gt;0),MIN(AZ20,BB20),MAX(AZ20,BB20))*AR20*Y20^2*1E-4*DATOS!$C$86/100/1000))/2)*BJ20)&lt;0,CEILING(AC20,5),CEILING(MAX(AC20*((4*((BD20*AR20*Y20^2*1E-4*DATOS!$C$86/100/1000)+((MAX(AZ20,BB20)*AR20*Y20^2*1E-4*DATOS!$C$86/100/1000)+(IF(AND(AZ20&gt;0,BB20&gt;0),MIN(AZ20,BB20),MAX(AZ20,BB20))*AR20*Y20^2*1E-4*DATOS!$C$86/100/1000))/2)+BJ20-(IF(AND(AZ20&gt;0,BB20&gt;0),MIN(AZ20,BB20),MAX(AZ20,BB20))*AR20*Y20^2*1E-4*DATOS!$C$86/100/1000))-SQRT(MAX(0,((4*((BD20*AR20*Y20^2*1E-4*DATOS!$C$86/100/1000)+((MAX(AZ20,BB20)*AR20*Y20^2*1E-4*DATOS!$C$86/100/1000)+(IF(AND(AZ20&gt;0,BB20&gt;0),MIN(AZ20,BB20),MAX(AZ20,BB20))*AR20*Y20^2*1E-4*DATOS!$C$86/100/1000))/2)+BJ20-(IF(AND(AZ20&gt;0,BB20&gt;0),MIN(AZ20,BB20),MAX(AZ20,BB20))*AR20*Y20^2*1E-4*DATOS!$C$86/100/1000))^2-16*((BD20*AR20*Y20^2*1E-4*DATOS!$C$86/100/1000)+((MAX(AZ20,BB20)*AR20*Y20^2*1E-4*DATOS!$C$86/100/1000)+(IF(AND(AZ20&gt;0,BB20&gt;0),MIN(AZ20,BB20),MAX(AZ20,BB20))*AR20*Y20^2*1E-4*DATOS!$C$86/100/1000))/2)*BJ20))))/(8*MAX(((BD20*AR20*Y20^2*1E-4*DATOS!$C$86/100/1000)+((MAX(AZ20,BB20)*AR20*Y20^2*1E-4*DATOS!$C$86/100/1000)+(IF(AND(AZ20&gt;0,BB20&gt;0),MIN(AZ20,BB20),MAX(AZ20,BB20))*AR20*Y20^2*1E-4*DATOS!$C$86/100/1000))/2),1E-9))+MAX(CN20,12*INDEX(TABLAS!$C$52:$C$58,MATCH(CL20,TABLAS!$B$52:$B$58,0)),AC20/16),IF(OR(AL20&lt;INDEX(TABLAS!$C$52:$C$58,MATCH(CL20,TABLAS!$B$52:$B$58,0)),AND(CM20&gt;=2,(DATOS!$C$83-2*AL20-CM20*INDEX(TABLAS!$C$52:$C$58,MATCH(CL20,TABLAS!$B$52:$B$58,0)))/MAX(CM20-1,1)&lt;2*INDEX(TABLAS!$C$52:$C$58,MATCH(CL20,TABLAS!$B$52:$B$58,0)))),INDEX(TABLAS!$I$52:$I$58,MATCH(CL20,TABLAS!$B$52:$B$58,0)),INDEX(TABLAS!$F$52:$F$58,MATCH(CL20,TABLAS!$B$52:$B$58,0)))),5))))</f>
        <v/>
      </c>
      <c r="DE20" s="55" t="str">
        <f>IF(V20&lt;&gt;"SÍ","",IF(AND(C20="PERIMETRAL",BW20&gt;=2,AS20-AT20&gt;0,BA20*AR20*Y20^2*1E-4*DATOS!$C$86/100/1000&gt;DATOS!$C$29*INDEX(TABLAS!$D$52:$D$58,MATCH(BV20,TABLAS!$B$52:$B$58,0))*DATOS!$C$14*(BX20-INDEX(TABLAS!$D$52:$D$58,MATCH(BV20,TABLAS!$B$52:$B$58,0))*DATOS!$C$14/(DATOS!$C$21*AF20)/2)/1E5),"SÍ","NO"))</f>
        <v/>
      </c>
      <c r="DF20" s="55" t="str">
        <f>IF(V20&lt;&gt;"SÍ","",IF(AND(C20="PERIMETRAL",CM20&gt;=2,AT20&gt;0,BB20*AR20*Y20^2*1E-4*DATOS!$C$86/100/1000&gt;DATOS!$C$29*INDEX(TABLAS!$D$52:$D$58,MATCH(CL20,TABLAS!$B$52:$B$58,0))*DATOS!$C$14*(CN20-INDEX(TABLAS!$D$52:$D$58,MATCH(CL20,TABLAS!$B$52:$B$58,0))*DATOS!$C$14/(DATOS!$C$21*AG20)/2)/1E5),"SÍ","NO"))</f>
        <v/>
      </c>
      <c r="DG20" s="63" t="str">
        <f>IF(V20&lt;&gt;"SÍ","",IF(OR(C20="VOLADO",AS20=0),"—",IF(AND(AND(1.25*INDEX(TABLAS!$G$52:$G$58,MATCH(MAX(BN20,CD20),TABLAS!$B$52:$B$58,0))&lt;=(DATOS!$C$75-DATOS!$C$63),(DATOS!$C$75-DATOS!$C$63)&gt;=15,INDEX(TABLAS!$G$52:$G$58,MATCH(MAX(BV20,CL20),TABLAS!$B$52:$B$58,0))&lt;=(DATOS!$C$75-DATOS!$C$63)),8*INDEX(TABLAS!$C$52:$C$58,MATCH(MAX(MAX(BN20,CD20),MAX(BV20,CL20)),TABLAS!$B$52:$B$58,0))&lt;=DATOS!$C$76-2*DATOS!$C$63),"CUMPLE (gancho de 180°)",IF(AND(1.25*INDEX(TABLAS!$G$52:$G$58,MATCH(MAX(BN20,CD20),TABLAS!$B$52:$B$58,0))&lt;=(DATOS!$C$75-DATOS!$C$63),(DATOS!$C$75-DATOS!$C$63)&gt;=15,INDEX(TABLAS!$G$52:$G$58,MATCH(MAX(BV20,CL20),TABLAS!$B$52:$B$58,0))&lt;=(DATOS!$C$75-DATOS!$C$63)),"NO CUMPLE: el gancho de 180° (8·d_b) no cabe en el peralte de la dala de borde","NO CUMPLE: dala de borde ≥ "&amp;TEXT(CEILING(MAX(1.25*INDEX(TABLAS!$G$52:$G$58,MATCH(MAX(BN20,CD20),TABLAS!$B$52:$B$58,0)),15,INDEX(TABLAS!$G$52:$G$58,MATCH(MAX(BV20,CL20),TABLAS!$B$52:$B$58,0)))+DATOS!$C$63,5),"0")&amp;" cm de ancho"&amp;IF(8*INDEX(TABLAS!$C$52:$C$58,MATCH(MAX(MAX(BN20,CD20),MAX(BV20,CL20)),TABLAS!$B$52:$B$58,0))&lt;=DATOS!$C$76-2*DATOS!$C$63,""," y más peralte para el gancho")))))</f>
        <v/>
      </c>
      <c r="DH20" s="59" t="str">
        <f>IF(V20&lt;&gt;"SÍ","",MAX(0,INT((E20*100-DATOS!$C$87-IF(AND(C20="PERIMETRAL",I20="DISCONTINUO"),MAX(0,DATOS!$C$75-DATOS!$C$87),0)-IF(AND(C20="PERIMETRAL",J20="DISCONTINUO"),MAX(0,DATOS!$C$75-DATOS!$C$87),0)+DATOS!$C$86-IF(X20="X",DATOS!$C$81,AE20))/DATOS!$C$86)))</f>
        <v/>
      </c>
      <c r="DI20" s="59" t="str">
        <f>IF(V20&lt;&gt;"SÍ","",MAX(0,INT((F20*100-DATOS!$C$87-IF(AND(C20="PERIMETRAL",G20="DISCONTINUO"),MAX(0,DATOS!$C$75-DATOS!$C$87),0)-IF(AND(C20="PERIMETRAL",H20="DISCONTINUO"),MAX(0,DATOS!$C$75-DATOS!$C$87),0)+DATOS!$C$86-IF(X20="Y",DATOS!$C$81,AE20))/DATOS!$C$86)))</f>
        <v/>
      </c>
      <c r="DJ20" s="57" t="str">
        <f>IF(V20&lt;&gt;"SÍ","",IF(DH20&gt;0,IF(AND(C20="PERIMETRAL",I20="DISCONTINUO"),MAX(0,DATOS!$C$75-DATOS!$C$87),0)+(E20*100-DATOS!$C$87-IF(AND(C20="PERIMETRAL",I20="DISCONTINUO"),MAX(0,DATOS!$C$75-DATOS!$C$87),0)-IF(AND(C20="PERIMETRAL",J20="DISCONTINUO"),MAX(0,DATOS!$C$75-DATOS!$C$87),0)-(DH20*IF(X20="X",DATOS!$C$81,AE20)+(DH20-1)*(DATOS!$C$86-IF(X20="X",DATOS!$C$81,AE20))))/2,E20*100/2))</f>
        <v/>
      </c>
      <c r="DK20" s="57" t="str">
        <f>IF(V20&lt;&gt;"SÍ","",IF(DH20&gt;0,IF(AND(C20="PERIMETRAL",J20="DISCONTINUO"),MAX(0,DATOS!$C$75-DATOS!$C$87),0)+(E20*100-DATOS!$C$87-IF(AND(C20="PERIMETRAL",I20="DISCONTINUO"),MAX(0,DATOS!$C$75-DATOS!$C$87),0)-IF(AND(C20="PERIMETRAL",J20="DISCONTINUO"),MAX(0,DATOS!$C$75-DATOS!$C$87),0)-(DH20*IF(X20="X",DATOS!$C$81,AE20)+(DH20-1)*(DATOS!$C$86-IF(X20="X",DATOS!$C$81,AE20))))/2,E20*100/2))</f>
        <v/>
      </c>
      <c r="DL20" s="57" t="str">
        <f>IF(V20&lt;&gt;"SÍ","",IF(DI20&gt;0,IF(AND(C20="PERIMETRAL",G20="DISCONTINUO"),MAX(0,DATOS!$C$75-DATOS!$C$87),0)+(F20*100-DATOS!$C$87-IF(AND(C20="PERIMETRAL",G20="DISCONTINUO"),MAX(0,DATOS!$C$75-DATOS!$C$87),0)-IF(AND(C20="PERIMETRAL",H20="DISCONTINUO"),MAX(0,DATOS!$C$75-DATOS!$C$87),0)-(DI20*IF(X20="Y",DATOS!$C$81,AE20)+(DI20-1)*(DATOS!$C$86-IF(X20="Y",DATOS!$C$81,AE20))))/2,F20*100/2))</f>
        <v/>
      </c>
      <c r="DM20" s="57" t="str">
        <f>IF(V20&lt;&gt;"SÍ","",IF(DI20&gt;0,IF(AND(C20="PERIMETRAL",H20="DISCONTINUO"),MAX(0,DATOS!$C$75-DATOS!$C$87),0)+(F20*100-DATOS!$C$87-IF(AND(C20="PERIMETRAL",G20="DISCONTINUO"),MAX(0,DATOS!$C$75-DATOS!$C$87),0)-IF(AND(C20="PERIMETRAL",H20="DISCONTINUO"),MAX(0,DATOS!$C$75-DATOS!$C$87),0)-(DI20*IF(X20="Y",DATOS!$C$81,AE20)+(DI20-1)*(DATOS!$C$86-IF(X20="Y",DATOS!$C$81,AE20))))/2,F20*100/2))</f>
        <v/>
      </c>
      <c r="DN20" s="59" t="str">
        <f>IF(V20&lt;&gt;"SÍ","",IF(NOT(AND(C20="VOLADO",AD20&gt;DATOS!$C$83)),0,IF(INDEX(TABLAS!$C$52:$C$58,MATCH(BV20,TABLAS!$B$52:$B$58,0))&lt;=DATOS!$C$83-2*DATOS!$C$63,1,0)))</f>
        <v/>
      </c>
      <c r="DO20" s="58" t="str">
        <f>IF(V20&lt;&gt;"SÍ","",IF(NOT(AND(C20="VOLADO",AD20&gt;DATOS!$C$83)),0,((DATOS!$C$85-MAX(DATOS!$C$63,(DATOS!$C$84-2*DATOS!$C$97)/2)-2*DATOS!$C$97-INDEX(TABLAS!$C$52:$C$58,MATCH(MAX(4,DATOS!$C$72),TABLAS!$B$52:$B$58,0))-INDEX(TABLAS!$C$52:$C$58,MATCH(BV20,TABLAS!$B$52:$B$58,0))/2)-IF(AND((DATOS!$C$85-MAX(DATOS!$C$63,(DATOS!$C$84-2*DATOS!$C$97)/2)-2*DATOS!$C$97-INDEX(TABLAS!$C$52:$C$58,MATCH(MAX(4,DATOS!$C$72),TABLAS!$B$52:$B$58,0))-INDEX(TABLAS!$C$52:$C$58,MATCH(BV20,TABLAS!$B$52:$B$58,0))/2)&lt;=20,DATOS!$C$65&lt;&gt;"SÍ"),2,0))))</f>
        <v/>
      </c>
      <c r="DP20" s="56" t="str">
        <f>IF(V20&lt;&gt;"SÍ","",IF(OR(NOT(AND(C20="VOLADO",AD20&gt;DATOS!$C$83)),DN20&lt;1),0,IF(0.003*(DO20-((DN20*INDEX(TABLAS!$D$52:$D$58,MATCH(BV20,TABLAS!$B$52:$B$58,0)))*DATOS!$C$14/(DATOS!$C$21*AG20)/DATOS!$C$22))/((DN20*INDEX(TABLAS!$D$52:$D$58,MATCH(BV20,TABLAS!$B$52:$B$58,0)))*DATOS!$C$14/(DATOS!$C$21*AG20)/DATOS!$C$22)&lt;0.005,0,DATOS!$C$29*(DN20*INDEX(TABLAS!$D$52:$D$58,MATCH(BV20,TABLAS!$B$52:$B$58,0)))*DATOS!$C$14*(DO20-(DN20*INDEX(TABLAS!$D$52:$D$58,MATCH(BV20,TABLAS!$B$52:$B$58,0)))*DATOS!$C$14/(DATOS!$C$21*AG20)/2)/1E5)))</f>
        <v/>
      </c>
      <c r="DQ20" s="56" t="str">
        <f>IF(V20&lt;&gt;"SÍ","",IF(OR(NOT(AND(C20="VOLADO",AD20&gt;DATOS!$C$83)),DN20&lt;1),0,DATOS!$C$30*2*MIN(1,SQRT(2/(1+0.04*DO20)))*((DN20*INDEX(TABLAS!$D$52:$D$58,MATCH(BV20,TABLAS!$B$52:$B$58,0)))/(AG20*DO20))^(1/3)*SQRT(DATOS!$C$13)*AG20*DO20/1000))</f>
        <v/>
      </c>
      <c r="DR20" s="56" t="str">
        <f>IF(V20&lt;&gt;"SÍ","",IF(NOT(AND(C20="VOLADO",AD20&gt;DATOS!$C$83)),0,IF((BH20-DP20)&lt;=0,0,IF(DP20&lt;=0,IF(ISNUMBER(P20),P20,Y20),IF(((0.9*DATOS!$C$90*DATOS!$C$86/100/1000)*IF(ISNUMBER(P20),P20,Y20)/2+BH20/IF(ISNUMBER(P20),P20,Y20))^2-4*((0.9*DATOS!$C$90*DATOS!$C$86/100/1000)/2)*(BH20-DP20)&lt;0,IF(ISNUMBER(P20),P20,Y20),MIN(IF(ISNUMBER(P20),P20,Y20),(((0.9*DATOS!$C$90*DATOS!$C$86/100/1000)*IF(ISNUMBER(P20),P20,Y20)/2+BH20/IF(ISNUMBER(P20),P20,Y20))-SQRT(((0.9*DATOS!$C$90*DATOS!$C$86/100/1000)*IF(ISNUMBER(P20),P20,Y20)/2+BH20/IF(ISNUMBER(P20),P20,Y20))^2-4*((0.9*DATOS!$C$90*DATOS!$C$86/100/1000)/2)*(BH20-DP20)))/(2*((0.9*DATOS!$C$90*DATOS!$C$86/100/1000)/2))))))))</f>
        <v/>
      </c>
      <c r="DS20" s="56" t="str">
        <f>IF(V20&lt;&gt;"SÍ","",IF(NOT(AND(C20="VOLADO",AD20&gt;DATOS!$C$83)),0,IF(DQ20&lt;=(BH20/((IF(ISNUMBER(P20),P20,Y20)*100-DATOS!$C$87)/100)),IF(ISNUMBER(P20),P20,Y20),MIN(IF(ISNUMBER(P20),P20,Y20),MAX(0,(IF(ISNUMBER(P20),P20,Y20)*100-DATOS!$C$87)/200-(DQ20-(BH20/((IF(ISNUMBER(P20),P20,Y20)*100-DATOS!$C$87)/100)))/((0.95-0.5*IF(N(Q20)&gt;0,MIN(IF(ISNUMBER(P20),P20,Y20),Q20)/MAX(IF(ISNUMBER(P20),P20,Y20),Q20),0))*DATOS!$C$33*AR20*DATOS!$C$86/100/1000))))))</f>
        <v/>
      </c>
      <c r="DT20" s="56" t="str">
        <f>IF(V20&lt;&gt;"SÍ","",IF(NOT(AND(C20="VOLADO",AD20&gt;DATOS!$C$83)),0,(BH20/((IF(ISNUMBER(P20),P20,Y20)*100-DATOS!$C$87)/100))+((0.95-0.5*IF(N(Q20)&gt;0,MIN(IF(ISNUMBER(P20),P20,Y20),Q20)/MAX(IF(ISNUMBER(P20),P20,Y20),Q20),0))*DATOS!$C$33*AR20*DATOS!$C$86/100/1000)*MAX(0,(IF(ISNUMBER(P20),P20,Y20)*100-DATOS!$C$87)/200-BX20/100)))</f>
        <v/>
      </c>
      <c r="DU20" s="59" t="str">
        <f>IF(V20&lt;&gt;"SÍ","",IF(NOT(AND(C20="VOLADO",AD20&gt;DATOS!$C$83)),0,MIN(FLOOR(100*IF(ISNUMBER(P20),P20,Y20)-DATOS!$C$63,5),CEILING(100*MIN(IF(ISNUMBER(P20),P20,Y20),MAX(IF(DR20&gt;0,DR20+IF(BW20&gt;=2,MAX(DO20,12*INDEX(TABLAS!$C$52:$C$58,MATCH(BV20,TABLAS!$B$52:$B$58,0)))/100,0),0),DS20,IF(BW20&gt;=2,INDEX(TABLAS!$F$52:$F$58,MATCH(BV20,TABLAS!$B$52:$B$58,0))/100,0))),5))))</f>
        <v/>
      </c>
      <c r="DV20" s="60" t="str">
        <f>IF(V20&lt;&gt;"SÍ","",IF(NOT(AND(C20="VOLADO",AD20&gt;DATOS!$C$83)),0,IF(DU20&lt;=0,0,CEILING(DU20/DATOS!$C$86,1))))</f>
        <v/>
      </c>
      <c r="DW20" s="61" t="str">
        <f>IF(V20&lt;&gt;"SÍ","",IF(C20&lt;&gt;"VOLADO","—",IF(AD20&lt;=DATOS!$C$83,"— (mismo b_w que el respaldo)",IF(DT20&gt;CS20,"NO CUMPLE: cortante de la nervadura ancha junto al apoyo ("&amp;TEXT(DT20,"0.00")&amp;" &gt; "&amp;TEXT(CS20,"0.00")&amp;" t)",IF(DU20&gt;=100*IF(ISNUMBER(P20),P20,Y20),"CUMPLE — todas las nervaduras del respaldo ‖ al volado con b_w = "&amp;AD20&amp;" cm","CUMPLE — "&amp;DV20&amp;" hilera(s) del respaldo con nervaduras de b_w = "&amp;AD20&amp;" cm (casetón "&amp;AE20&amp;" cm), hasta "&amp;TEXT(DU20/100,"0.00")&amp;" m del paño")))))</f>
        <v/>
      </c>
      <c r="DX20" s="69" t="str">
        <f>IF(V20&lt;&gt;"SÍ","",IF(BO20=0,"NO ALCANZA",BO20&amp;" No. "&amp;BN20&amp;IF(BO20&gt;1," corridas"," corrida")))</f>
        <v/>
      </c>
      <c r="DY20" s="69" t="str">
        <f>IF(V20&lt;&gt;"SÍ","",IF(BW20=0,"NO ALCANZA",IF(AND(C20="VOLADO",AD20&gt;DATOS!$C$83,BW20&gt;=2),"1 No. "&amp;BV20&amp;" corrida de la orilla al respaldo ("&amp;IF(DC20&gt;=FLOOR(100*IF(ISNUMBER(P20),P20,Y20)-DATOS!$C$63,5),"hasta su apoyo lejano, con gancho","entra "&amp;TEXT(DC20/100,"0.00")&amp;" m desde el paño")&amp;") + "&amp;(BW20-1)&amp;" bastón No. "&amp;BV20&amp;" hasta "&amp;TEXT(DU20/100,"0.00")&amp;" m del paño (fin de la nervadura ancha)",IF(C20="VOLADO",BW20&amp;" No. "&amp;BV20&amp;" de la orilla al respaldo ("&amp;IF(DC20&gt;=FLOOR(100*IF(ISNUMBER(P20),P20,Y20)-DATOS!$C$63,5),"hasta su apoyo lejano, con gancho","entran "&amp;TEXT(DC20/100,"0.00")&amp;" m desde el paño")&amp;")","1 No. "&amp;BV20&amp;" corrida"&amp;IF(BW20&gt;1," + "&amp;(BW20-1)&amp;" bastón No. "&amp;BV20&amp;" L = "&amp;TEXT(DC20/100,"0.00")&amp;" m desde el paño","")))))</f>
        <v/>
      </c>
      <c r="DZ20" s="69" t="str">
        <f>IF(V20&lt;&gt;"SÍ","",IF(CE20=0,"NO ALCANZA",CE20&amp;" No. "&amp;CD20&amp;IF(CE20&gt;1," corridas"," corrida")))</f>
        <v/>
      </c>
      <c r="EA20" s="69" t="str">
        <f>IF(V20&lt;&gt;"SÍ","",IF(CM20=0,"NO ALCANZA",IF(C20="VOLADO","1 No. "&amp;CL20&amp;" corrida (repartición)","1 No. "&amp;CL20&amp;" corrida"&amp;IF(CM20&gt;1," + "&amp;(CM20-1)&amp;" bastón No. "&amp;CL20&amp;" L = "&amp;TEXT(DD20/100,"0.00")&amp;" m desde el paño",""))))</f>
        <v/>
      </c>
      <c r="EB20" s="67" t="str">
        <f>IF(B20="","",IF(V20&lt;&gt;"SÍ","FALTAN DATOS: tipo, a_x, a_y, destino y, en volados, L_b",IF(L20="NO MONOLÍTICO (caso II)","FUERA DE ALCANCE: caso II no transcrito",IF(AND(C20="VOLADO",W20="?"),"REVISAR: el volado lleva UN solo borde CONTINUO (el empotrado)",IF(MIN(DH20,DI20)=0,"REVISAR: no cabe un casetón (tablero macizo): diséñalo en MACIZAS",IF(AND(MAX(BR20,BZ20,CH20,CP20)&lt;=1,NOT(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T(OR(AND(ISNUMBER(BS20),BS20&lt;0.005),AND(ISNUMBER(CA20),CA20&lt;0.005),AND(ISNUMBER(CI20),CI20&lt;0.005),AND(ISNUMBER(CQ20),CQ20&lt;0.005))),NOT(LEFT(DW20,2)="NO"),DA20="CUMPLE",DB20="CUMPLE",LEFT(CU20,2)&lt;&gt;"NO",LEFT(DATOS!$C$132,6)="CUMPLE"),IF(LEFT(CU20,6)="CUMPLE","CUMPLE","CUMPLE — "&amp;CU20)&amp;IF(LEFT(BK20,5)="FUERA"," · fuera de 3.4.2.1 c)","")&amp;IF(LEFT(DG20,2)="NO"," · REVISAR anclaje en borde discontinuo","")&amp;IF(DV20&gt;0," · respaldo: "&amp;DV20&amp;" hilera(s) de b_w "&amp;AD20&amp;" cm",""),IF(AND(MAX(BR20,BZ20,CH20,CP20)&lt;=1,NOT(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T(OR(AND(ISNUMBER(BS20),BS20&lt;0.005),AND(ISNUMBER(CA20),CA20&lt;0.005),AND(ISNUMBER(CI20),CI20&lt;0.005),AND(ISNUMBER(CQ20),CQ20&lt;0.005))),NOT(LEFT(DW20,2)="NO"),DA20="CALCULAR FLECHA",LEFT(CU20,2)&lt;&gt;"NO",LEFT(DATOS!$C$132,6)="CUMPLE"),"REVISAR: calcular flecha (h_eq &lt; h mín.)"&amp;IF(LEFT(BK20,5)="FUERA"," · fuera de 3.4.2.1 c)","")&amp;IF(LEFT(DG20,2)="NO"," · REVISAR anclaje en borde discontinuo","")&amp;IF(DV20&gt;0," · respaldo: "&amp;DV20&amp;" hilera(s) de b_w "&amp;AD20&amp;" cm",""),"NO CUMPLE: "&amp;IF(MAX(BR20,BZ20,CH20,CP20)&gt;1,"flexión ","")&amp;IF(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 caben ","")&amp;IF(OR(AND(ISNUMBER(BS20),BS20&lt;0.005),AND(ISNUMBER(CA20),CA20&lt;0.005),AND(ISNUMBER(CI20),CI20&lt;0.005),AND(ISNUMBER(CQ20),CQ20&lt;0.005)),"ε_t &lt; 0.005 ","")&amp;IF(LEFT(CU20,2)="NO","cortante ","")&amp;IF(DA20="NO CUMPLE","peralte ","")&amp;IF(DB20&lt;&gt;"CUMPLE","capa &lt; 6 cm ","")&amp;IF(LEFT(DATOS!$C$132,6)&lt;&gt;"CUMPLE","capa o malla (DATOS sección 7) ","")&amp;IF(LEFT(DW20,2)="NO","respaldo del volado",""))))))))</f>
        <v/>
      </c>
      <c r="EC20" s="70" t="str">
        <f>IF(V20&lt;&gt;"SÍ","",IF(LEFT(B20,7)="EJEMPLO","EJEMPLO de la hoja de Casa Rocha: bórralo o sobrescríbelo. ","")&amp;IF(AND(C20="PERIMETRAL",MIN(DH20,DI20)=0),"No cabe un casetón en el claro corto: es un tablero macizo, diséñalo en MACIZAS. ","")&amp;IF(AND(AJ20="NO",C20="PERIMETRAL"),"No cumple 6.7.8.1.4 (a_c = "&amp;MAX(DATOS!$C$81,AE20)&amp;" cm &gt; claro corto/6 = "&amp;TEXT(Y20*100/6,"0")&amp;" cm): se diseña como losa apoyada en vigas (6.7.8.1.9): r de viga = "&amp;DATOS!$C$63&amp;" cm y V_cR sin ×1.1. Para que cuente como encasetonada: casetón de "&amp;TEXT(FLOOR(MIN(80,Y20*100/6),1),"0")&amp;" cm o menor. ","")&amp;IF(C20="VOLADO","Volado de "&amp;TEXT(Y20,"0.00")&amp;" m empotrado en el borde "&amp;LOWER(W20)&amp;IF(N(O20)&gt;0,", con "&amp;TEXT(O20,"0.0")&amp;" kg/m en la orilla","")&amp;". Lecho inferior con r_ext. Si la orilla carga pretil u otro elemento frágil, calcula la flecha (13.4). El acero superior entra al respaldo de "&amp;TEXT(IF(ISNUMBER(P20),P20,Y20),"0.00")&amp;" m"&amp;" hasta pasar M = 0 con 0.9·PP sin carga viva; si ahí no se anula, llega al apoyo lejano y se ancla con gancho (NTC-Criterios 3.4.1 c y 5.1.2.2). "&amp;IF(AD20&gt;DATOS!$C$83,"Respaldo: "&amp;DW20&amp;". ",""),"")&amp;IF(AND(C20="VOLADO",((0.9*DATOS!$C$90*DATOS!$C$86/100/1000)*IF(ISNUMBER(P20),P20,Y20)/2-BH20/IF(ISNUMBER(P20),P20,Y20))&lt;0),"Con 0.9·PP y sin carga viva el apoyo lejano del respaldo levanta (R = "&amp;TEXT(-((0.9*DATOS!$C$90*DATOS!$C$86/100/1000)*IF(ISNUMBER(P20),P20,Y20)/2-BH20/IF(ISNUMBER(P20),P20,Y20)),"0.00")&amp;" t por nervadura): ancla ahí la corrida con gancho y revisa ese apoyo a tensión. ","")&amp;IF(LEFT(BK20,5)="FUERA","El M⁻ del vecino difiere más de 50 % (3.4.2.1 c): distribuye el desequilibrio (3.4.3.1) o confirma con un modelo; se arma con el mayor. ","")&amp;IF(OR(DE20="SÍ",DF20="SÍ"),"El M⁻ del borde discontinuo pide bastón también ahí (con gancho). ","")&amp;IF(LEFT(DG20,2)="NO","Anclaje: "&amp;DG20&amp;" (6.7.8.1.7). ","")&amp;IF(AND(C20="PERIMETRAL",AT20&gt;=1,AS20-AT20&gt;=1),"Esquinas exteriores sobre muro: refuerzo de esquina arriba y abajo en L_largo/5 (6.7.7.3.1). ",""))</f>
        <v/>
      </c>
    </row>
    <row r="21" ht="33" customHeight="1">
      <c r="A21" s="50">
        <f>IF(B21="",0,1)+A20</f>
        <v>4</v>
      </c>
      <c r="B21" s="29" t="n"/>
      <c r="C21" s="51" t="n"/>
      <c r="D21" s="29" t="n"/>
      <c r="E21" s="52" t="n"/>
      <c r="F21" s="52" t="n"/>
      <c r="G21" s="51" t="n"/>
      <c r="H21" s="51" t="n"/>
      <c r="I21" s="51" t="n"/>
      <c r="J21" s="51" t="n"/>
      <c r="K21" s="51" t="n"/>
      <c r="L21" s="51" t="n"/>
      <c r="M21" s="53" t="n"/>
      <c r="N21" s="53" t="n"/>
      <c r="O21" s="54" t="n"/>
      <c r="P21" s="52" t="n"/>
      <c r="Q21" s="52" t="n"/>
      <c r="R21" s="53" t="n"/>
      <c r="S21" s="54" t="n"/>
      <c r="T21" s="52" t="n"/>
      <c r="U21" s="52" t="n"/>
      <c r="V21" s="55" t="str">
        <f>IF(B21="","",IF(AND(OR(C21="PERIMETRAL",C21="VOLADO"),ISNUMBER(E21),ISNUMBER(F21),E21&gt;0,F21&gt;0,OR(ISNUMBER(N21),ISNUMBER(MATCH(D21,DATOS!$B$46:$B$58,0))),OR(C21&lt;&gt;"VOLADO",N(P21)&gt;0)),"SÍ","NO"))</f>
        <v/>
      </c>
      <c r="W21" s="55" t="str">
        <f>IF(V21&lt;&gt;"SÍ","",IF(C21&lt;&gt;"VOLADO","—",IF(COUNTIF(G21:J21,"CONTINUO")&lt;&gt;1,"?",IF(G21="CONTINUO","INFERIOR",IF(H21="CONTINUO","SUPERIOR",IF(I21="CONTINUO","IZQUIERDO","DERECHO"))))))</f>
        <v/>
      </c>
      <c r="X21" s="55" t="str">
        <f>IF(V21&lt;&gt;"SÍ","",IF(C21="VOLADO",IF(OR(W21="IZQUIERDO",W21="DERECHO"),"X","Y"),IF(E21&lt;=F21,"X","Y")))</f>
        <v/>
      </c>
      <c r="Y21" s="56" t="str">
        <f>IF(V21&lt;&gt;"SÍ","",IF(C21="VOLADO",IF(X21="X",E21,F21),MIN(E21,F21)))</f>
        <v/>
      </c>
      <c r="Z21" s="56" t="str">
        <f>IF(V21&lt;&gt;"SÍ","",IF(C21="VOLADO",IF(X21="X",F21,E21),MAX(E21,F21)))</f>
        <v/>
      </c>
      <c r="AA21" s="56" t="str">
        <f>IF(V21&lt;&gt;"SÍ","",MIN(Y21,Z21)/MAX(Y21,Z21))</f>
        <v/>
      </c>
      <c r="AB21" s="57" t="str">
        <f>IF(V21&lt;&gt;"SÍ","",MAX(1,Y21*100-IF(C21="VOLADO",DATOS!$C$87/2,DATOS!$C$87)))</f>
        <v/>
      </c>
      <c r="AC21" s="57" t="str">
        <f>IF(V21&lt;&gt;"SÍ","",MAX(1,Z21*100-DATOS!$C$87))</f>
        <v/>
      </c>
      <c r="AD21" s="57" t="str">
        <f>IF(V21&lt;&gt;"SÍ","",IF(ISNUMBER(R21),R21,DATOS!$C$83))</f>
        <v/>
      </c>
      <c r="AE21" s="57" t="str">
        <f>IF(V21&lt;&gt;"SÍ","",MAX(0,DATOS!$C$86-AD21))</f>
        <v/>
      </c>
      <c r="AF21" s="57" t="str">
        <f>IF(V21&lt;&gt;"SÍ","",IF(OR(DATOS!$C$65="SÍ",AD21&gt;=20),AD21,AD21-2))</f>
        <v/>
      </c>
      <c r="AG21" s="57" t="str">
        <f>IF(V21&lt;&gt;"SÍ","",IF(OR(DATOS!$C$65="SÍ",DATOS!$C$83&gt;=20),DATOS!$C$83,DATOS!$C$83-2))</f>
        <v/>
      </c>
      <c r="AH21" s="57" t="str">
        <f>IF(V21&lt;&gt;"SÍ","",MIN(DATOS!$C$86,AD21+2*MIN(8*DATOS!$C$84,AE21/2,AB21/8)))</f>
        <v/>
      </c>
      <c r="AI21" s="57" t="str">
        <f>IF(V21&lt;&gt;"SÍ","",MIN(DATOS!$C$86,DATOS!$C$83+2*MIN(8*DATOS!$C$84,DATOS!$C$81/2,AC21/8)))</f>
        <v/>
      </c>
      <c r="AJ21" s="55" t="str">
        <f>IF(V21&lt;&gt;"SÍ","",IF(AND(C21="PERIMETRAL",Y21*100&gt;=6*MAX(DATOS!$C$81,AE21),MAX(DATOS!$C$81,AE21)&lt;=80,MIN(DATOS!$C$83,AD21)&gt;=10,DATOS!$C$85&lt;=3.5*MIN(DATOS!$C$83,AD21),DATOS!$C$84&gt;=MAX(MAX(DATOS!$C$81,AE21)/13,5)),"SÍ","NO"))</f>
        <v/>
      </c>
      <c r="AK21" s="57" t="str">
        <f>IF(V21&lt;&gt;"SÍ","",IF(C21="VOLADO",DATOS!$C$64,IF(AJ21="NO",DATOS!$C$63,DATOS!$C$62)))</f>
        <v/>
      </c>
      <c r="AL21" s="57" t="str">
        <f>IF(V21&lt;&gt;"SÍ","",IF(OR(AND(AN21="SÍ",DATOS!$C$66="SÍ"),AND(C21="VOLADO",DATOS!$C$67="SÍ")),DATOS!$C$64,IF(AJ21="NO",DATOS!$C$63,DATOS!$C$62)))</f>
        <v/>
      </c>
      <c r="AM21" s="58" t="str">
        <f>IF(V21&lt;&gt;"SÍ","",MAX(AL21,(DATOS!$C$84-2*DATOS!$C$97)/2))</f>
        <v/>
      </c>
      <c r="AN21" s="55" t="str">
        <f>IF(V21&lt;&gt;"SÍ","",IFERROR(INDEX(DATOS!$D$46:$D$58,MATCH(D21,DATOS!$B$46:$B$58,0)),"NO"))</f>
        <v/>
      </c>
      <c r="AO21" s="59" t="str">
        <f>IF(V21&lt;&gt;"SÍ","",IF(ISNUMBER(N21),N21,IFERROR(INDEX(DATOS!$C$46:$C$58,MATCH(D21,DATOS!$B$46:$B$58,0)),0)))</f>
        <v/>
      </c>
      <c r="AP21" s="59" t="str">
        <f>IF(V21&lt;&gt;"SÍ","",IF(MIN(DH21,DI21)=0,DATOS!$C$85/100*DATOS!$C$16*1000,(DATOS!$C$85/100-(AE21*DATOS!$C$81/DATOS!$C$86^2)*DATOS!$C$82/100)*DATOS!$C$16*1000+(AE21*DATOS!$C$81/DATOS!$C$86^2)*DATOS!$C$82/100*DATOS!$C$17*1000)+DATOS!$C$37+DATOS!$C$38)</f>
        <v/>
      </c>
      <c r="AQ21" s="59" t="str">
        <f>IF(V21&lt;&gt;"SÍ","",AP21+N(M21))</f>
        <v/>
      </c>
      <c r="AR21" s="60" t="str">
        <f>IF(V21&lt;&gt;"SÍ","",MAX(DATOS!$C$26*AQ21+DATOS!$C$27*AO21,IF(AN21="SÍ",DATOS!$C$28*(AQ21+DATOS!$C$41),0)))</f>
        <v/>
      </c>
      <c r="AS21" s="59" t="str">
        <f>IF(V21&lt;&gt;"SÍ","",(G21="DISCONTINUO")+(H21="DISCONTINUO")+(I21="DISCONTINUO")+(J21="DISCONTINUO"))</f>
        <v/>
      </c>
      <c r="AT21" s="59" t="str">
        <f>IF(V21&lt;&gt;"SÍ","",IF(X21="X",(G21="DISCONTINUO")+(H21="DISCONTINUO"),(I21="DISCONTINUO")+(J21="DISCONTINUO")))</f>
        <v/>
      </c>
      <c r="AU21" s="55" t="str">
        <f>IF(V21&lt;&gt;"SÍ","",IF(AS21=0,"INTERIOR",IF(AS21=1,IF(AT21=1,"BORDE-CORTO","BORDE-LARGO"),IF(AS21=2,IF(AT21=1,"ESQUINA",IF(AT21=2,"EXTREMO-LARGO","EXTREMO-CORTO")),IF(AS21=3,IF(AT21=2,"EXTREMO-LARGO","EXTREMO-CORTO"),"AISLADO")))))</f>
        <v/>
      </c>
      <c r="AV21" s="61" t="str">
        <f>IF(V21&lt;&gt;"SÍ","",IF(OR(K21="",K21="AUTO"),AU21,K21))</f>
        <v/>
      </c>
      <c r="AW21" s="59" t="str">
        <f>IF(V21&lt;&gt;"SÍ","",MATCH(AA21,TABLAS!$D$5:$J$5,1))</f>
        <v/>
      </c>
      <c r="AX21" s="58" t="str">
        <f>IF(V21&lt;&gt;"SÍ","",IF(AW21&gt;=7,0,(AA21-INDEX(TABLAS!$D$5:$J$5,AW21))/(INDEX(TABLAS!$D$5:$J$5,AW21+1)-INDEX(TABLAS!$D$5:$J$5,AW21))))</f>
        <v/>
      </c>
      <c r="AY21" s="59" t="str">
        <f>IF(V21&lt;&gt;"SÍ","",INDEX(TABLAS!$D$6:$J$47,MATCH(AV21&amp;"|NIC",TABLAS!$B$6:$B$47,0),AW21)+AX21*(INDEX(TABLAS!$D$6:$J$47,MATCH(AV21&amp;"|NIC",TABLAS!$B$6:$B$47,0),MIN(AW21+1,7))-INDEX(TABLAS!$D$6:$J$47,MATCH(AV21&amp;"|NIC",TABLAS!$B$6:$B$47,0),AW21)))</f>
        <v/>
      </c>
      <c r="AZ21" s="59" t="str">
        <f>IF(V21&lt;&gt;"SÍ","",INDEX(TABLAS!$D$6:$J$47,MATCH(AV21&amp;"|NIL",TABLAS!$B$6:$B$47,0),AW21)+AX21*(INDEX(TABLAS!$D$6:$J$47,MATCH(AV21&amp;"|NIL",TABLAS!$B$6:$B$47,0),MIN(AW21+1,7))-INDEX(TABLAS!$D$6:$J$47,MATCH(AV21&amp;"|NIL",TABLAS!$B$6:$B$47,0),AW21)))</f>
        <v/>
      </c>
      <c r="BA21" s="59" t="str">
        <f>IF(V21&lt;&gt;"SÍ","",INDEX(TABLAS!$D$6:$J$47,MATCH(AV21&amp;"|NDC",TABLAS!$B$6:$B$47,0),AW21)+AX21*(INDEX(TABLAS!$D$6:$J$47,MATCH(AV21&amp;"|NDC",TABLAS!$B$6:$B$47,0),MIN(AW21+1,7))-INDEX(TABLAS!$D$6:$J$47,MATCH(AV21&amp;"|NDC",TABLAS!$B$6:$B$47,0),AW21)))</f>
        <v/>
      </c>
      <c r="BB21" s="59" t="str">
        <f>IF(V21&lt;&gt;"SÍ","",INDEX(TABLAS!$D$6:$J$47,MATCH(AV21&amp;"|NDL",TABLAS!$B$6:$B$47,0),AW21)+AX21*(INDEX(TABLAS!$D$6:$J$47,MATCH(AV21&amp;"|NDL",TABLAS!$B$6:$B$47,0),MIN(AW21+1,7))-INDEX(TABLAS!$D$6:$J$47,MATCH(AV21&amp;"|NDL",TABLAS!$B$6:$B$47,0),AW21)))</f>
        <v/>
      </c>
      <c r="BC21" s="59" t="str">
        <f>IF(V21&lt;&gt;"SÍ","",INDEX(TABLAS!$D$6:$J$47,MATCH(AV21&amp;"|PC",TABLAS!$B$6:$B$47,0),AW21)+AX21*(INDEX(TABLAS!$D$6:$J$47,MATCH(AV21&amp;"|PC",TABLAS!$B$6:$B$47,0),MIN(AW21+1,7))-INDEX(TABLAS!$D$6:$J$47,MATCH(AV21&amp;"|PC",TABLAS!$B$6:$B$47,0),AW21)))</f>
        <v/>
      </c>
      <c r="BD21" s="59" t="str">
        <f>IF(V21&lt;&gt;"SÍ","",INDEX(TABLAS!$D$6:$J$47,MATCH(AV21&amp;"|PL",TABLAS!$B$6:$B$47,0),AW21)+AX21*(INDEX(TABLAS!$D$6:$J$47,MATCH(AV21&amp;"|PL",TABLAS!$B$6:$B$47,0),MIN(AW21+1,7))-INDEX(TABLAS!$D$6:$J$47,MATCH(AV21&amp;"|PL",TABLAS!$B$6:$B$47,0),AW21)))</f>
        <v/>
      </c>
      <c r="BE21" s="56" t="str">
        <f>IF(V21&lt;&gt;"SÍ","",IF(OR(C21&lt;&gt;"VOLADO",MIN(DH21,DI21)=0),0,DATOS!$C$26*DATOS!$C$16*DATOS!$C$86/100*(((AE21*DATOS!$C$81/DATOS!$C$86^2)*DATOS!$C$82/100)*(IF(X21="X",DJ21,DL21)+DATOS!$C$87/2)/100*(AB21-(IF(X21="X",DJ21,DL21)+DATOS!$C$87/2)/2)/100+((AE21*DATOS!$C$81/DATOS!$C$86^2)*DATOS!$C$82/100)*IF(X21="X",DJ21,DL21)/100*IF(X21="X",DJ21,DL21)/200)))</f>
        <v/>
      </c>
      <c r="BF21" s="56" t="str">
        <f>IF(V21&lt;&gt;"SÍ","",IF(OR(C21&lt;&gt;"VOLADO",MIN(DH21,DI21)=0),0,DATOS!$C$26*DATOS!$C$16*DATOS!$C$86/100*((AE21*DATOS!$C$81/DATOS!$C$86^2)*DATOS!$C$82/100)*(IF(X21="X",DJ21,DL21)+DATOS!$C$87/2)/100))</f>
        <v/>
      </c>
      <c r="BG21" s="56" t="str">
        <f>IF(V21&lt;&gt;"SÍ","",IF(C21="PERIMETRAL",BC21*AR21*Y21^2*1E-4*DATOS!$C$86/100/1000,0))</f>
        <v/>
      </c>
      <c r="BH21" s="62" t="str">
        <f>IF(V21&lt;&gt;"SÍ","",IF(C21="PERIMETRAL",MAX(MAX(AY21,BA21)*AR21*Y21^2*1E-4*DATOS!$C$86/100/1000,N(T21)),(AR21*(AB21/100)^2/2+DATOS!$C$26*N(O21)*AB21/100)*DATOS!$C$86/100/1000+BE21))</f>
        <v/>
      </c>
      <c r="BI21" s="56" t="str">
        <f>IF(V21&lt;&gt;"SÍ","",IF(C21="PERIMETRAL",BD21*AR21*Y21^2*1E-4*DATOS!$C$86/100/1000,0))</f>
        <v/>
      </c>
      <c r="BJ21" s="56" t="str">
        <f>IF(V21&lt;&gt;"SÍ","",IF(C21="PERIMETRAL",MAX(MAX(AZ21,BB21)*AR21*Y21^2*1E-4*DATOS!$C$86/100/1000,N(U21)),0))</f>
        <v/>
      </c>
      <c r="BK21" s="63" t="str">
        <f>IF(V21&lt;&gt;"SÍ","",IF(C21&lt;&gt;"PERIMETRAL","—",IF(AND(N(T21)=0,N(U21)=0),"— (sin M⁻ del vecino)",IF(OR(AND(N(T21)&gt;0,ABS(MAX(AY21,BA21)*AR21*Y21^2*1E-4*DATOS!$C$86/100/1000-N(T21))&gt;0.5*MIN(MAX(AY21,BA21)*AR21*Y21^2*1E-4*DATOS!$C$86/100/1000,N(T21))),AND(N(U21)&gt;0,ABS(MAX(AZ21,BB21)*AR21*Y21^2*1E-4*DATOS!$C$86/100/1000-N(U21))&gt;0.5*MIN(MAX(AZ21,BB21)*AR21*Y21^2*1E-4*DATOS!$C$86/100/1000,N(U21)))),"FUERA: difieren &gt; 50 %"&amp;IF(AND(N(T21)&gt;0,ABS(MAX(AY21,BA21)*AR21*Y21^2*1E-4*DATOS!$C$86/100/1000-N(T21))&gt;0.5*MIN(MAX(AY21,BA21)*AR21*Y21^2*1E-4*DATOS!$C$86/100/1000,N(T21)))," ‖ corto","")&amp;IF(AND(N(U21)&gt;0,ABS(MAX(AZ21,BB21)*AR21*Y21^2*1E-4*DATOS!$C$86/100/1000-N(U21))&gt;0.5*MIN(MAX(AZ21,BB21)*AR21*Y21^2*1E-4*DATOS!$C$86/100/1000,N(U21)))," ‖ largo",""),"CUMPLE"))))</f>
        <v/>
      </c>
      <c r="BL21" s="58" t="str">
        <f>IF(V21&lt;&gt;"SÍ","",(DATOS!$C$85-AK21-INDEX(TABLAS!$C$52:$C$58,MATCH(MAX(4,DATOS!$C$71),TABLAS!$B$52:$B$58,0))/2))</f>
        <v/>
      </c>
      <c r="BM21" s="58" t="str">
        <f>IF(V21&lt;&gt;"SÍ","",IF(IF(BG21&lt;=0,0,IF((1-2*BG21*1E5/(DATOS!$C$29*AH21*BL21^2*DATOS!$C$21))&lt;0,-1,IF((1-SQRT((1-2*BG21*1E5/(DATOS!$C$29*AH21*BL21^2*DATOS!$C$21))))*DATOS!$C$21*AH21*BL21/DATOS!$C$14&gt;DATOS!$C$102*AH21*BL21,-1,(1-SQRT((1-2*BG21*1E5/(DATOS!$C$29*AH21*BL21^2*DATOS!$C$21))))*DATOS!$C$21*AH21*BL21/DATOS!$C$14)))&lt;0,-1,MAX(IF(BG21&lt;=0,0,IF((1-2*BG21*1E5/(DATOS!$C$29*AH21*BL21^2*DATOS!$C$21))&lt;0,-1,IF((1-SQRT((1-2*BG21*1E5/(DATOS!$C$29*AH21*BL21^2*DATOS!$C$21))))*DATOS!$C$21*AH21*BL21/DATOS!$C$14&gt;DATOS!$C$102*AH21*BL21,-1,(1-SQRT((1-2*BG21*1E5/(DATOS!$C$29*AH21*BL21^2*DATOS!$C$21))))*DATOS!$C$21*AH21*BL21/DATOS!$C$14))),MIN(DATOS!$C$103*AD21*BL21,4/3*IF(BG21&lt;=0,0,IF((1-2*BG21*1E5/(DATOS!$C$29*AH21*BL21^2*DATOS!$C$21))&lt;0,-1,IF((1-SQRT((1-2*BG21*1E5/(DATOS!$C$29*AH21*BL21^2*DATOS!$C$21))))*DATOS!$C$21*AH21*BL21/DATOS!$C$14&gt;DATOS!$C$102*AH21*BL21,-1,(1-SQRT((1-2*BG21*1E5/(DATOS!$C$29*AH21*BL21^2*DATOS!$C$21))))*DATOS!$C$21*AH21*BL21/DATOS!$C$14)))))))</f>
        <v/>
      </c>
      <c r="BN21" s="64" t="str">
        <f>IF(V21&lt;&gt;"SÍ","",IF(AND(BM21&gt;=0,IF(MAX(DATOS!$C$74,CEILING(BM21/INDEX(TABLAS!$D$52:$D$58,MIN(MATCH(MAX(4,DATOS!$C$71),TABLAS!$B$52:$B$58,0)+0,7)),1))*INDEX(TABLAS!$D$52:$D$58,MIN(MATCH(MAX(4,DATOS!$C$71),TABLAS!$B$52:$B$58,0)+0,7)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+0,7)),1)),MAX(MAX(DATOS!$C$74,CEILING(BM21/INDEX(TABLAS!$D$52:$D$58,MIN(MATCH(MAX(4,DATOS!$C$71),TABLAS!$B$52:$B$58,0)+0,7)),1)),2))&lt;=MIN(DATOS!$C$73,INT(((AD21-2*AK21)+MAX(DATOS!$C$70,INDEX(TABLAS!$C$52:$C$58,MIN(MATCH(MAX(4,DATOS!$C$71),TABLAS!$B$52:$B$58,0)+0,7))))/(INDEX(TABLAS!$C$52:$C$58,MIN(MATCH(MAX(4,DATOS!$C$71),TABLAS!$B$52:$B$58,0)+0,7))+MAX(DATOS!$C$70,INDEX(TABLAS!$C$52:$C$58,MIN(MATCH(MAX(4,DATOS!$C$71),TABLAS!$B$52:$B$58,0)+0,7))))))),INDEX(TABLAS!$B$52:$B$58,MIN(MATCH(MAX(4,DATOS!$C$71),TABLAS!$B$52:$B$58,0)+0,7)),IF(AND(BM21&gt;=0,IF(MAX(DATOS!$C$74,CEILING(BM21/INDEX(TABLAS!$D$52:$D$58,MIN(MATCH(MAX(4,DATOS!$C$71),TABLAS!$B$52:$B$58,0)+1,7)),1))*INDEX(TABLAS!$D$52:$D$58,MIN(MATCH(MAX(4,DATOS!$C$71),TABLAS!$B$52:$B$58,0)+1,7)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+1,7)),1)),MAX(MAX(DATOS!$C$74,CEILING(BM21/INDEX(TABLAS!$D$52:$D$58,MIN(MATCH(MAX(4,DATOS!$C$71),TABLAS!$B$52:$B$58,0)+1,7)),1)),2))&lt;=MIN(DATOS!$C$73,INT(((AD21-2*AK21)+MAX(DATOS!$C$70,INDEX(TABLAS!$C$52:$C$58,MIN(MATCH(MAX(4,DATOS!$C$71),TABLAS!$B$52:$B$58,0)+1,7))))/(INDEX(TABLAS!$C$52:$C$58,MIN(MATCH(MAX(4,DATOS!$C$71),TABLAS!$B$52:$B$58,0)+1,7))+MAX(DATOS!$C$70,INDEX(TABLAS!$C$52:$C$58,MIN(MATCH(MAX(4,DATOS!$C$71),TABLAS!$B$52:$B$58,0)+1,7))))))),INDEX(TABLAS!$B$52:$B$58,MIN(MATCH(MAX(4,DATOS!$C$71),TABLAS!$B$52:$B$58,0)+1,7)),IF(AND(BM21&gt;=0,IF(MAX(DATOS!$C$74,CEILING(BM21/INDEX(TABLAS!$D$52:$D$58,MIN(MATCH(MAX(4,DATOS!$C$71),TABLAS!$B$52:$B$58,0)+2,7)),1))*INDEX(TABLAS!$D$52:$D$58,MIN(MATCH(MAX(4,DATOS!$C$71),TABLAS!$B$52:$B$58,0)+2,7)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+2,7)),1)),MAX(MAX(DATOS!$C$74,CEILING(BM21/INDEX(TABLAS!$D$52:$D$58,MIN(MATCH(MAX(4,DATOS!$C$71),TABLAS!$B$52:$B$58,0)+2,7)),1)),2))&lt;=MIN(DATOS!$C$73,INT(((AD21-2*AK21)+MAX(DATOS!$C$70,INDEX(TABLAS!$C$52:$C$58,MIN(MATCH(MAX(4,DATOS!$C$71),TABLAS!$B$52:$B$58,0)+2,7))))/(INDEX(TABLAS!$C$52:$C$58,MIN(MATCH(MAX(4,DATOS!$C$71),TABLAS!$B$52:$B$58,0)+2,7))+MAX(DATOS!$C$70,INDEX(TABLAS!$C$52:$C$58,MIN(MATCH(MAX(4,DATOS!$C$71),TABLAS!$B$52:$B$58,0)+2,7))))))),INDEX(TABLAS!$B$52:$B$58,MIN(MATCH(MAX(4,DATOS!$C$71),TABLAS!$B$52:$B$58,0)+2,7)),IF(AND(BM21&gt;=0,IF(MAX(DATOS!$C$74,CEILING(BM21/INDEX(TABLAS!$D$52:$D$58,MIN(MATCH(MAX(4,DATOS!$C$71),TABLAS!$B$52:$B$58,0)+3,7)),1))*INDEX(TABLAS!$D$52:$D$58,MIN(MATCH(MAX(4,DATOS!$C$71),TABLAS!$B$52:$B$58,0)+3,7)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+3,7)),1)),MAX(MAX(DATOS!$C$74,CEILING(BM21/INDEX(TABLAS!$D$52:$D$58,MIN(MATCH(MAX(4,DATOS!$C$71),TABLAS!$B$52:$B$58,0)+3,7)),1)),2))&lt;=MIN(DATOS!$C$73,INT(((AD21-2*AK21)+MAX(DATOS!$C$70,INDEX(TABLAS!$C$52:$C$58,MIN(MATCH(MAX(4,DATOS!$C$71),TABLAS!$B$52:$B$58,0)+3,7))))/(INDEX(TABLAS!$C$52:$C$58,MIN(MATCH(MAX(4,DATOS!$C$71),TABLAS!$B$52:$B$58,0)+3,7))+MAX(DATOS!$C$70,INDEX(TABLAS!$C$52:$C$58,MIN(MATCH(MAX(4,DATOS!$C$71),TABLAS!$B$52:$B$58,0)+3,7))))))),INDEX(TABLAS!$B$52:$B$58,MIN(MATCH(MAX(4,DATOS!$C$71),TABLAS!$B$52:$B$58,0)+3,7)),IF(AND(BM21&gt;=0,IF(MAX(DATOS!$C$74,CEILING(BM21/INDEX(TABLAS!$D$52:$D$58,MIN(MATCH(MAX(4,DATOS!$C$71),TABLAS!$B$52:$B$58,0)+4,7)),1))*INDEX(TABLAS!$D$52:$D$58,MIN(MATCH(MAX(4,DATOS!$C$71),TABLAS!$B$52:$B$58,0)+4,7)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+4,7)),1)),MAX(MAX(DATOS!$C$74,CEILING(BM21/INDEX(TABLAS!$D$52:$D$58,MIN(MATCH(MAX(4,DATOS!$C$71),TABLAS!$B$52:$B$58,0)+4,7)),1)),2))&lt;=MIN(DATOS!$C$73,INT(((AD21-2*AK21)+MAX(DATOS!$C$70,INDEX(TABLAS!$C$52:$C$58,MIN(MATCH(MAX(4,DATOS!$C$71),TABLAS!$B$52:$B$58,0)+4,7))))/(INDEX(TABLAS!$C$52:$C$58,MIN(MATCH(MAX(4,DATOS!$C$71),TABLAS!$B$52:$B$58,0)+4,7))+MAX(DATOS!$C$70,INDEX(TABLAS!$C$52:$C$58,MIN(MATCH(MAX(4,DATOS!$C$71),TABLAS!$B$52:$B$58,0)+4,7))))))),INDEX(TABLAS!$B$52:$B$58,MIN(MATCH(MAX(4,DATOS!$C$71),TABLAS!$B$52:$B$58,0)+4,7)),INDEX(TABLAS!$B$52:$B$58,7)))))))</f>
        <v/>
      </c>
      <c r="BO21" s="59" t="str">
        <f>IF(V21&lt;&gt;"SÍ","",IF(BM21&lt;0,0,IF(MAX(DATOS!$C$74,CEILING(MAX(BM21,0)/INDEX(TABLAS!$D$52:$D$58,MATCH(BN21,TABLAS!$B$52:$B$58,0)),1))*INDEX(TABLAS!$D$52:$D$58,MATCH(BN21,TABLAS!$B$52:$B$58,0))&gt;=4/3*IF(BG21&lt;=0,0,IF((1-2*BG21*1E5/(DATOS!$C$29*AH21*BL21^2*DATOS!$C$21))&lt;0,-1,IF((1-SQRT((1-2*BG21*1E5/(DATOS!$C$29*AH21*BL21^2*DATOS!$C$21))))*DATOS!$C$21*AH21*BL21/DATOS!$C$14&gt;DATOS!$C$102*AH21*BL21,-1,(1-SQRT((1-2*BG21*1E5/(DATOS!$C$29*AH21*BL21^2*DATOS!$C$21))))*DATOS!$C$21*AH21*BL21/DATOS!$C$14)))-0.0001,MAX(DATOS!$C$74,CEILING(MAX(BM21,0)/INDEX(TABLAS!$D$52:$D$58,MATCH(BN21,TABLAS!$B$52:$B$58,0)),1)),MAX(MAX(DATOS!$C$74,CEILING(MAX(BM21,0)/INDEX(TABLAS!$D$52:$D$58,MATCH(BN21,TABLAS!$B$52:$B$58,0)),1)),2))))</f>
        <v/>
      </c>
      <c r="BP21" s="58" t="str">
        <f>IF(V21&lt;&gt;"SÍ","",DATOS!$C$85-AK21-INDEX(TABLAS!$C$52:$C$58,MATCH(BN21,TABLAS!$B$52:$B$58,0))/2)</f>
        <v/>
      </c>
      <c r="BQ21" s="56" t="str">
        <f>IF(V21&lt;&gt;"SÍ","",IF(BO21=0,0,DATOS!$C$29*BO21*INDEX(TABLAS!$D$52:$D$58,MATCH(BN21,TABLAS!$B$52:$B$58,0))*DATOS!$C$14*(BP21-BO21*INDEX(TABLAS!$D$52:$D$58,MATCH(BN21,TABLAS!$B$52:$B$58,0))*DATOS!$C$14/(DATOS!$C$21*AH21)/2)/1E5))</f>
        <v/>
      </c>
      <c r="BR21" s="65" t="str">
        <f>IF(V21&lt;&gt;"SÍ","",IF(BM21&lt;0,9.99,IF(BQ21&gt;0,BG21/BQ21,0)))</f>
        <v/>
      </c>
      <c r="BS21" s="66" t="str">
        <f>IF(V21&lt;&gt;"SÍ","",IF(BO21=0,"—",0.003*(BP21-(BO21*INDEX(TABLAS!$D$52:$D$58,MATCH(BN21,TABLAS!$B$52:$B$58,0))*DATOS!$C$14/(DATOS!$C$21*AH21)/DATOS!$C$22))/(BO21*INDEX(TABLAS!$D$52:$D$58,MATCH(BN21,TABLAS!$B$52:$B$58,0))*DATOS!$C$14/(DATOS!$C$21*AH21)/DATOS!$C$22)))</f>
        <v/>
      </c>
      <c r="BT21" s="58" t="str">
        <f>IF(V21&lt;&gt;"SÍ","",((DATOS!$C$85-AM21-2*DATOS!$C$97-INDEX(TABLAS!$C$52:$C$58,MATCH(MAX(4,DATOS!$C$72),TABLAS!$B$52:$B$58,0))/2)-IF(AND((DATOS!$C$85-AM21-2*DATOS!$C$97-INDEX(TABLAS!$C$52:$C$58,MATCH(MAX(4,DATOS!$C$72),TABLAS!$B$52:$B$58,0))/2)&lt;=20,DATOS!$C$65&lt;&gt;"SÍ"),2,0)))</f>
        <v/>
      </c>
      <c r="BU21" s="58" t="str">
        <f>IF(V21&lt;&gt;"SÍ","",IF(IF(BH21&lt;=0,0,IF((1-2*BH21*1E5/(DATOS!$C$29*AF21*BT21^2*DATOS!$C$21))&lt;0,-1,IF((1-SQRT((1-2*BH21*1E5/(DATOS!$C$29*AF21*BT21^2*DATOS!$C$21))))*DATOS!$C$21*AF21*BT21/DATOS!$C$14&gt;DATOS!$C$102*AF21*BT21,-1,(1-SQRT((1-2*BH21*1E5/(DATOS!$C$29*AF21*BT21^2*DATOS!$C$21))))*DATOS!$C$21*AF21*BT21/DATOS!$C$14)))&lt;0,-1,MAX(IF(BH21&lt;=0,0,IF((1-2*BH21*1E5/(DATOS!$C$29*AF21*BT21^2*DATOS!$C$21))&lt;0,-1,IF((1-SQRT((1-2*BH21*1E5/(DATOS!$C$29*AF21*BT21^2*DATOS!$C$21))))*DATOS!$C$21*AF21*BT21/DATOS!$C$14&gt;DATOS!$C$102*AF21*BT21,-1,(1-SQRT((1-2*BH21*1E5/(DATOS!$C$29*AF21*BT21^2*DATOS!$C$21))))*DATOS!$C$21*AF21*BT21/DATOS!$C$14))),MIN(DATOS!$C$103*IF(C21="VOLADO",MIN(AH21,2*AD21),AD21)*BT21,4/3*IF(BH21&lt;=0,0,IF((1-2*BH21*1E5/(DATOS!$C$29*AF21*BT21^2*DATOS!$C$21))&lt;0,-1,IF((1-SQRT((1-2*BH21*1E5/(DATOS!$C$29*AF21*BT21^2*DATOS!$C$21))))*DATOS!$C$21*AF21*BT21/DATOS!$C$14&gt;DATOS!$C$102*AF21*BT21,-1,(1-SQRT((1-2*BH21*1E5/(DATOS!$C$29*AF21*BT21^2*DATOS!$C$21))))*DATOS!$C$21*AF21*BT21/DATOS!$C$14)))))))</f>
        <v/>
      </c>
      <c r="BV21" s="64" t="str">
        <f>IF(V21&lt;&gt;"SÍ","",IF(AND(BU21&gt;=0,IF(MAX(DATOS!$C$74,CEILING(BU21/INDEX(TABLAS!$D$52:$D$58,MIN(MATCH(MAX(4,DATOS!$C$72),TABLAS!$B$52:$B$58,0)+0,7)),1))*INDEX(TABLAS!$D$52:$D$58,MIN(MATCH(MAX(4,DATOS!$C$72),TABLAS!$B$52:$B$58,0)+0,7)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+0,7)),1)),MAX(MAX(DATOS!$C$74,CEILING(BU21/INDEX(TABLAS!$D$52:$D$58,MIN(MATCH(MAX(4,DATOS!$C$72),TABLAS!$B$52:$B$58,0)+0,7)),1)),2))&lt;=MIN(DATOS!$C$73,INT(((AD21-2*AL21)+MAX(DATOS!$C$70,INDEX(TABLAS!$C$52:$C$58,MIN(MATCH(MAX(4,DATOS!$C$72),TABLAS!$B$52:$B$58,0)+0,7))))/(INDEX(TABLAS!$C$52:$C$58,MIN(MATCH(MAX(4,DATOS!$C$72),TABLAS!$B$52:$B$58,0)+0,7))+MAX(DATOS!$C$70,INDEX(TABLAS!$C$52:$C$58,MIN(MATCH(MAX(4,DATOS!$C$72),TABLAS!$B$52:$B$58,0)+0,7))))))),INDEX(TABLAS!$B$52:$B$58,MIN(MATCH(MAX(4,DATOS!$C$72),TABLAS!$B$52:$B$58,0)+0,7)),IF(AND(BU21&gt;=0,IF(MAX(DATOS!$C$74,CEILING(BU21/INDEX(TABLAS!$D$52:$D$58,MIN(MATCH(MAX(4,DATOS!$C$72),TABLAS!$B$52:$B$58,0)+1,7)),1))*INDEX(TABLAS!$D$52:$D$58,MIN(MATCH(MAX(4,DATOS!$C$72),TABLAS!$B$52:$B$58,0)+1,7)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+1,7)),1)),MAX(MAX(DATOS!$C$74,CEILING(BU21/INDEX(TABLAS!$D$52:$D$58,MIN(MATCH(MAX(4,DATOS!$C$72),TABLAS!$B$52:$B$58,0)+1,7)),1)),2))&lt;=MIN(DATOS!$C$73,INT(((AD21-2*AL21)+MAX(DATOS!$C$70,INDEX(TABLAS!$C$52:$C$58,MIN(MATCH(MAX(4,DATOS!$C$72),TABLAS!$B$52:$B$58,0)+1,7))))/(INDEX(TABLAS!$C$52:$C$58,MIN(MATCH(MAX(4,DATOS!$C$72),TABLAS!$B$52:$B$58,0)+1,7))+MAX(DATOS!$C$70,INDEX(TABLAS!$C$52:$C$58,MIN(MATCH(MAX(4,DATOS!$C$72),TABLAS!$B$52:$B$58,0)+1,7))))))),INDEX(TABLAS!$B$52:$B$58,MIN(MATCH(MAX(4,DATOS!$C$72),TABLAS!$B$52:$B$58,0)+1,7)),IF(AND(BU21&gt;=0,IF(MAX(DATOS!$C$74,CEILING(BU21/INDEX(TABLAS!$D$52:$D$58,MIN(MATCH(MAX(4,DATOS!$C$72),TABLAS!$B$52:$B$58,0)+2,7)),1))*INDEX(TABLAS!$D$52:$D$58,MIN(MATCH(MAX(4,DATOS!$C$72),TABLAS!$B$52:$B$58,0)+2,7)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+2,7)),1)),MAX(MAX(DATOS!$C$74,CEILING(BU21/INDEX(TABLAS!$D$52:$D$58,MIN(MATCH(MAX(4,DATOS!$C$72),TABLAS!$B$52:$B$58,0)+2,7)),1)),2))&lt;=MIN(DATOS!$C$73,INT(((AD21-2*AL21)+MAX(DATOS!$C$70,INDEX(TABLAS!$C$52:$C$58,MIN(MATCH(MAX(4,DATOS!$C$72),TABLAS!$B$52:$B$58,0)+2,7))))/(INDEX(TABLAS!$C$52:$C$58,MIN(MATCH(MAX(4,DATOS!$C$72),TABLAS!$B$52:$B$58,0)+2,7))+MAX(DATOS!$C$70,INDEX(TABLAS!$C$52:$C$58,MIN(MATCH(MAX(4,DATOS!$C$72),TABLAS!$B$52:$B$58,0)+2,7))))))),INDEX(TABLAS!$B$52:$B$58,MIN(MATCH(MAX(4,DATOS!$C$72),TABLAS!$B$52:$B$58,0)+2,7)),IF(AND(BU21&gt;=0,IF(MAX(DATOS!$C$74,CEILING(BU21/INDEX(TABLAS!$D$52:$D$58,MIN(MATCH(MAX(4,DATOS!$C$72),TABLAS!$B$52:$B$58,0)+3,7)),1))*INDEX(TABLAS!$D$52:$D$58,MIN(MATCH(MAX(4,DATOS!$C$72),TABLAS!$B$52:$B$58,0)+3,7)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+3,7)),1)),MAX(MAX(DATOS!$C$74,CEILING(BU21/INDEX(TABLAS!$D$52:$D$58,MIN(MATCH(MAX(4,DATOS!$C$72),TABLAS!$B$52:$B$58,0)+3,7)),1)),2))&lt;=MIN(DATOS!$C$73,INT(((AD21-2*AL21)+MAX(DATOS!$C$70,INDEX(TABLAS!$C$52:$C$58,MIN(MATCH(MAX(4,DATOS!$C$72),TABLAS!$B$52:$B$58,0)+3,7))))/(INDEX(TABLAS!$C$52:$C$58,MIN(MATCH(MAX(4,DATOS!$C$72),TABLAS!$B$52:$B$58,0)+3,7))+MAX(DATOS!$C$70,INDEX(TABLAS!$C$52:$C$58,MIN(MATCH(MAX(4,DATOS!$C$72),TABLAS!$B$52:$B$58,0)+3,7))))))),INDEX(TABLAS!$B$52:$B$58,MIN(MATCH(MAX(4,DATOS!$C$72),TABLAS!$B$52:$B$58,0)+3,7)),IF(AND(BU21&gt;=0,IF(MAX(DATOS!$C$74,CEILING(BU21/INDEX(TABLAS!$D$52:$D$58,MIN(MATCH(MAX(4,DATOS!$C$72),TABLAS!$B$52:$B$58,0)+4,7)),1))*INDEX(TABLAS!$D$52:$D$58,MIN(MATCH(MAX(4,DATOS!$C$72),TABLAS!$B$52:$B$58,0)+4,7)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+4,7)),1)),MAX(MAX(DATOS!$C$74,CEILING(BU21/INDEX(TABLAS!$D$52:$D$58,MIN(MATCH(MAX(4,DATOS!$C$72),TABLAS!$B$52:$B$58,0)+4,7)),1)),2))&lt;=MIN(DATOS!$C$73,INT(((AD21-2*AL21)+MAX(DATOS!$C$70,INDEX(TABLAS!$C$52:$C$58,MIN(MATCH(MAX(4,DATOS!$C$72),TABLAS!$B$52:$B$58,0)+4,7))))/(INDEX(TABLAS!$C$52:$C$58,MIN(MATCH(MAX(4,DATOS!$C$72),TABLAS!$B$52:$B$58,0)+4,7))+MAX(DATOS!$C$70,INDEX(TABLAS!$C$52:$C$58,MIN(MATCH(MAX(4,DATOS!$C$72),TABLAS!$B$52:$B$58,0)+4,7))))))),INDEX(TABLAS!$B$52:$B$58,MIN(MATCH(MAX(4,DATOS!$C$72),TABLAS!$B$52:$B$58,0)+4,7)),INDEX(TABLAS!$B$52:$B$58,7)))))))</f>
        <v/>
      </c>
      <c r="BW21" s="59" t="str">
        <f>IF(V21&lt;&gt;"SÍ","",IF(BU21&lt;0,0,IF(MAX(DATOS!$C$74,CEILING(MAX(BU21,0)/INDEX(TABLAS!$D$52:$D$58,MATCH(BV21,TABLAS!$B$52:$B$58,0)),1))*INDEX(TABLAS!$D$52:$D$58,MATCH(BV21,TABLAS!$B$52:$B$58,0))&gt;=4/3*IF(BH21&lt;=0,0,IF((1-2*BH21*1E5/(DATOS!$C$29*AF21*BT21^2*DATOS!$C$21))&lt;0,-1,IF((1-SQRT((1-2*BH21*1E5/(DATOS!$C$29*AF21*BT21^2*DATOS!$C$21))))*DATOS!$C$21*AF21*BT21/DATOS!$C$14&gt;DATOS!$C$102*AF21*BT21,-1,(1-SQRT((1-2*BH21*1E5/(DATOS!$C$29*AF21*BT21^2*DATOS!$C$21))))*DATOS!$C$21*AF21*BT21/DATOS!$C$14)))-0.0001,MAX(DATOS!$C$74,CEILING(MAX(BU21,0)/INDEX(TABLAS!$D$52:$D$58,MATCH(BV21,TABLAS!$B$52:$B$58,0)),1)),MAX(MAX(DATOS!$C$74,CEILING(MAX(BU21,0)/INDEX(TABLAS!$D$52:$D$58,MATCH(BV21,TABLAS!$B$52:$B$58,0)),1)),2))))</f>
        <v/>
      </c>
      <c r="BX21" s="58" t="str">
        <f>IF(V21&lt;&gt;"SÍ","",((DATOS!$C$85-AM21-2*DATOS!$C$97-INDEX(TABLAS!$C$52:$C$58,MATCH(BV21,TABLAS!$B$52:$B$58,0))/2)-IF(AND((DATOS!$C$85-AM21-2*DATOS!$C$97-INDEX(TABLAS!$C$52:$C$58,MATCH(BV21,TABLAS!$B$52:$B$58,0))/2)&lt;=20,DATOS!$C$65&lt;&gt;"SÍ"),2,0)))</f>
        <v/>
      </c>
      <c r="BY21" s="56" t="str">
        <f>IF(V21&lt;&gt;"SÍ","",IF(BW21=0,0,DATOS!$C$29*BW21*INDEX(TABLAS!$D$52:$D$58,MATCH(BV21,TABLAS!$B$52:$B$58,0))*DATOS!$C$14*(BX21-BW21*INDEX(TABLAS!$D$52:$D$58,MATCH(BV21,TABLAS!$B$52:$B$58,0))*DATOS!$C$14/(DATOS!$C$21*AF21)/2)/1E5))</f>
        <v/>
      </c>
      <c r="BZ21" s="65" t="str">
        <f>IF(V21&lt;&gt;"SÍ","",IF(BU21&lt;0,9.99,IF(BY21&gt;0,BH21/BY21,0)))</f>
        <v/>
      </c>
      <c r="CA21" s="66" t="str">
        <f>IF(V21&lt;&gt;"SÍ","",IF(BW21=0,"—",0.003*(BX21-(BW21*INDEX(TABLAS!$D$52:$D$58,MATCH(BV21,TABLAS!$B$52:$B$58,0))*DATOS!$C$14/(DATOS!$C$21*AF21)/DATOS!$C$22))/(BW21*INDEX(TABLAS!$D$52:$D$58,MATCH(BV21,TABLAS!$B$52:$B$58,0))*DATOS!$C$14/(DATOS!$C$21*AF21)/DATOS!$C$22)))</f>
        <v/>
      </c>
      <c r="CB21" s="58" t="str">
        <f>IF(V21&lt;&gt;"SÍ","",(DATOS!$C$85-AK21-INDEX(TABLAS!$C$52:$C$58,MATCH(MAX(4,DATOS!$C$71),TABLAS!$B$52:$B$58,0))-INDEX(TABLAS!$C$52:$C$58,MATCH(MAX(4,DATOS!$C$71),TABLAS!$B$52:$B$58,0))/2))</f>
        <v/>
      </c>
      <c r="CC21" s="58" t="str">
        <f>IF(V21&lt;&gt;"SÍ","",IF(IF(BI21&lt;=0,0,IF((1-2*BI21*1E5/(DATOS!$C$29*AI21*CB21^2*DATOS!$C$21))&lt;0,-1,IF((1-SQRT((1-2*BI21*1E5/(DATOS!$C$29*AI21*CB21^2*DATOS!$C$21))))*DATOS!$C$21*AI21*CB21/DATOS!$C$14&gt;DATOS!$C$102*AI21*CB21,-1,(1-SQRT((1-2*BI21*1E5/(DATOS!$C$29*AI21*CB21^2*DATOS!$C$21))))*DATOS!$C$21*AI21*CB21/DATOS!$C$14)))&lt;0,-1,MAX(IF(BI21&lt;=0,0,IF((1-2*BI21*1E5/(DATOS!$C$29*AI21*CB21^2*DATOS!$C$21))&lt;0,-1,IF((1-SQRT((1-2*BI21*1E5/(DATOS!$C$29*AI21*CB21^2*DATOS!$C$21))))*DATOS!$C$21*AI21*CB21/DATOS!$C$14&gt;DATOS!$C$102*AI21*CB21,-1,(1-SQRT((1-2*BI21*1E5/(DATOS!$C$29*AI21*CB21^2*DATOS!$C$21))))*DATOS!$C$21*AI21*CB21/DATOS!$C$14))),MIN(DATOS!$C$103*DATOS!$C$83*CB21,4/3*IF(BI21&lt;=0,0,IF((1-2*BI21*1E5/(DATOS!$C$29*AI21*CB21^2*DATOS!$C$21))&lt;0,-1,IF((1-SQRT((1-2*BI21*1E5/(DATOS!$C$29*AI21*CB21^2*DATOS!$C$21))))*DATOS!$C$21*AI21*CB21/DATOS!$C$14&gt;DATOS!$C$102*AI21*CB21,-1,(1-SQRT((1-2*BI21*1E5/(DATOS!$C$29*AI21*CB21^2*DATOS!$C$21))))*DATOS!$C$21*AI21*CB21/DATOS!$C$14)))))))</f>
        <v/>
      </c>
      <c r="CD21" s="64" t="str">
        <f>IF(V21&lt;&gt;"SÍ","",IF(AND(CC21&gt;=0,IF(MAX(DATOS!$C$74,CEILING(CC21/INDEX(TABLAS!$D$52:$D$58,MIN(MATCH(MAX(4,DATOS!$C$71),TABLAS!$B$52:$B$58,0)+0,7)),1))*INDEX(TABLAS!$D$52:$D$58,MIN(MATCH(MAX(4,DATOS!$C$71),TABLAS!$B$52:$B$58,0)+0,7)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+0,7)),1)),MAX(MAX(DATOS!$C$74,CEILING(CC21/INDEX(TABLAS!$D$52:$D$58,MIN(MATCH(MAX(4,DATOS!$C$71),TABLAS!$B$52:$B$58,0)+0,7)),1)),2))&lt;=MIN(DATOS!$C$73,INT(((DATOS!$C$83-2*AK21)+MAX(DATOS!$C$70,INDEX(TABLAS!$C$52:$C$58,MIN(MATCH(MAX(4,DATOS!$C$71),TABLAS!$B$52:$B$58,0)+0,7))))/(INDEX(TABLAS!$C$52:$C$58,MIN(MATCH(MAX(4,DATOS!$C$71),TABLAS!$B$52:$B$58,0)+0,7))+MAX(DATOS!$C$70,INDEX(TABLAS!$C$52:$C$58,MIN(MATCH(MAX(4,DATOS!$C$71),TABLAS!$B$52:$B$58,0)+0,7))))))),INDEX(TABLAS!$B$52:$B$58,MIN(MATCH(MAX(4,DATOS!$C$71),TABLAS!$B$52:$B$58,0)+0,7)),IF(AND(CC21&gt;=0,IF(MAX(DATOS!$C$74,CEILING(CC21/INDEX(TABLAS!$D$52:$D$58,MIN(MATCH(MAX(4,DATOS!$C$71),TABLAS!$B$52:$B$58,0)+1,7)),1))*INDEX(TABLAS!$D$52:$D$58,MIN(MATCH(MAX(4,DATOS!$C$71),TABLAS!$B$52:$B$58,0)+1,7)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+1,7)),1)),MAX(MAX(DATOS!$C$74,CEILING(CC21/INDEX(TABLAS!$D$52:$D$58,MIN(MATCH(MAX(4,DATOS!$C$71),TABLAS!$B$52:$B$58,0)+1,7)),1)),2))&lt;=MIN(DATOS!$C$73,INT(((DATOS!$C$83-2*AK21)+MAX(DATOS!$C$70,INDEX(TABLAS!$C$52:$C$58,MIN(MATCH(MAX(4,DATOS!$C$71),TABLAS!$B$52:$B$58,0)+1,7))))/(INDEX(TABLAS!$C$52:$C$58,MIN(MATCH(MAX(4,DATOS!$C$71),TABLAS!$B$52:$B$58,0)+1,7))+MAX(DATOS!$C$70,INDEX(TABLAS!$C$52:$C$58,MIN(MATCH(MAX(4,DATOS!$C$71),TABLAS!$B$52:$B$58,0)+1,7))))))),INDEX(TABLAS!$B$52:$B$58,MIN(MATCH(MAX(4,DATOS!$C$71),TABLAS!$B$52:$B$58,0)+1,7)),IF(AND(CC21&gt;=0,IF(MAX(DATOS!$C$74,CEILING(CC21/INDEX(TABLAS!$D$52:$D$58,MIN(MATCH(MAX(4,DATOS!$C$71),TABLAS!$B$52:$B$58,0)+2,7)),1))*INDEX(TABLAS!$D$52:$D$58,MIN(MATCH(MAX(4,DATOS!$C$71),TABLAS!$B$52:$B$58,0)+2,7)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+2,7)),1)),MAX(MAX(DATOS!$C$74,CEILING(CC21/INDEX(TABLAS!$D$52:$D$58,MIN(MATCH(MAX(4,DATOS!$C$71),TABLAS!$B$52:$B$58,0)+2,7)),1)),2))&lt;=MIN(DATOS!$C$73,INT(((DATOS!$C$83-2*AK21)+MAX(DATOS!$C$70,INDEX(TABLAS!$C$52:$C$58,MIN(MATCH(MAX(4,DATOS!$C$71),TABLAS!$B$52:$B$58,0)+2,7))))/(INDEX(TABLAS!$C$52:$C$58,MIN(MATCH(MAX(4,DATOS!$C$71),TABLAS!$B$52:$B$58,0)+2,7))+MAX(DATOS!$C$70,INDEX(TABLAS!$C$52:$C$58,MIN(MATCH(MAX(4,DATOS!$C$71),TABLAS!$B$52:$B$58,0)+2,7))))))),INDEX(TABLAS!$B$52:$B$58,MIN(MATCH(MAX(4,DATOS!$C$71),TABLAS!$B$52:$B$58,0)+2,7)),IF(AND(CC21&gt;=0,IF(MAX(DATOS!$C$74,CEILING(CC21/INDEX(TABLAS!$D$52:$D$58,MIN(MATCH(MAX(4,DATOS!$C$71),TABLAS!$B$52:$B$58,0)+3,7)),1))*INDEX(TABLAS!$D$52:$D$58,MIN(MATCH(MAX(4,DATOS!$C$71),TABLAS!$B$52:$B$58,0)+3,7)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+3,7)),1)),MAX(MAX(DATOS!$C$74,CEILING(CC21/INDEX(TABLAS!$D$52:$D$58,MIN(MATCH(MAX(4,DATOS!$C$71),TABLAS!$B$52:$B$58,0)+3,7)),1)),2))&lt;=MIN(DATOS!$C$73,INT(((DATOS!$C$83-2*AK21)+MAX(DATOS!$C$70,INDEX(TABLAS!$C$52:$C$58,MIN(MATCH(MAX(4,DATOS!$C$71),TABLAS!$B$52:$B$58,0)+3,7))))/(INDEX(TABLAS!$C$52:$C$58,MIN(MATCH(MAX(4,DATOS!$C$71),TABLAS!$B$52:$B$58,0)+3,7))+MAX(DATOS!$C$70,INDEX(TABLAS!$C$52:$C$58,MIN(MATCH(MAX(4,DATOS!$C$71),TABLAS!$B$52:$B$58,0)+3,7))))))),INDEX(TABLAS!$B$52:$B$58,MIN(MATCH(MAX(4,DATOS!$C$71),TABLAS!$B$52:$B$58,0)+3,7)),IF(AND(CC21&gt;=0,IF(MAX(DATOS!$C$74,CEILING(CC21/INDEX(TABLAS!$D$52:$D$58,MIN(MATCH(MAX(4,DATOS!$C$71),TABLAS!$B$52:$B$58,0)+4,7)),1))*INDEX(TABLAS!$D$52:$D$58,MIN(MATCH(MAX(4,DATOS!$C$71),TABLAS!$B$52:$B$58,0)+4,7)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+4,7)),1)),MAX(MAX(DATOS!$C$74,CEILING(CC21/INDEX(TABLAS!$D$52:$D$58,MIN(MATCH(MAX(4,DATOS!$C$71),TABLAS!$B$52:$B$58,0)+4,7)),1)),2))&lt;=MIN(DATOS!$C$73,INT(((DATOS!$C$83-2*AK21)+MAX(DATOS!$C$70,INDEX(TABLAS!$C$52:$C$58,MIN(MATCH(MAX(4,DATOS!$C$71),TABLAS!$B$52:$B$58,0)+4,7))))/(INDEX(TABLAS!$C$52:$C$58,MIN(MATCH(MAX(4,DATOS!$C$71),TABLAS!$B$52:$B$58,0)+4,7))+MAX(DATOS!$C$70,INDEX(TABLAS!$C$52:$C$58,MIN(MATCH(MAX(4,DATOS!$C$71),TABLAS!$B$52:$B$58,0)+4,7))))))),INDEX(TABLAS!$B$52:$B$58,MIN(MATCH(MAX(4,DATOS!$C$71),TABLAS!$B$52:$B$58,0)+4,7)),INDEX(TABLAS!$B$52:$B$58,7)))))))</f>
        <v/>
      </c>
      <c r="CE21" s="59" t="str">
        <f>IF(V21&lt;&gt;"SÍ","",IF(CC21&lt;0,0,IF(MAX(DATOS!$C$74,CEILING(MAX(CC21,0)/INDEX(TABLAS!$D$52:$D$58,MATCH(CD21,TABLAS!$B$52:$B$58,0)),1))*INDEX(TABLAS!$D$52:$D$58,MATCH(CD21,TABLAS!$B$52:$B$58,0))&gt;=4/3*IF(BI21&lt;=0,0,IF((1-2*BI21*1E5/(DATOS!$C$29*AI21*CB21^2*DATOS!$C$21))&lt;0,-1,IF((1-SQRT((1-2*BI21*1E5/(DATOS!$C$29*AI21*CB21^2*DATOS!$C$21))))*DATOS!$C$21*AI21*CB21/DATOS!$C$14&gt;DATOS!$C$102*AI21*CB21,-1,(1-SQRT((1-2*BI21*1E5/(DATOS!$C$29*AI21*CB21^2*DATOS!$C$21))))*DATOS!$C$21*AI21*CB21/DATOS!$C$14)))-0.0001,MAX(DATOS!$C$74,CEILING(MAX(CC21,0)/INDEX(TABLAS!$D$52:$D$58,MATCH(CD21,TABLAS!$B$52:$B$58,0)),1)),MAX(MAX(DATOS!$C$74,CEILING(MAX(CC21,0)/INDEX(TABLAS!$D$52:$D$58,MATCH(CD21,TABLAS!$B$52:$B$58,0)),1)),2))))</f>
        <v/>
      </c>
      <c r="CF21" s="58" t="str">
        <f>IF(V21&lt;&gt;"SÍ","",DATOS!$C$85-AK21-INDEX(TABLAS!$C$52:$C$58,MATCH(BN21,TABLAS!$B$52:$B$58,0))-INDEX(TABLAS!$C$52:$C$58,MATCH(CD21,TABLAS!$B$52:$B$58,0))/2)</f>
        <v/>
      </c>
      <c r="CG21" s="56" t="str">
        <f>IF(V21&lt;&gt;"SÍ","",IF(CE21=0,0,DATOS!$C$29*CE21*INDEX(TABLAS!$D$52:$D$58,MATCH(CD21,TABLAS!$B$52:$B$58,0))*DATOS!$C$14*(CF21-CE21*INDEX(TABLAS!$D$52:$D$58,MATCH(CD21,TABLAS!$B$52:$B$58,0))*DATOS!$C$14/(DATOS!$C$21*AI21)/2)/1E5))</f>
        <v/>
      </c>
      <c r="CH21" s="65" t="str">
        <f>IF(V21&lt;&gt;"SÍ","",IF(CC21&lt;0,9.99,IF(CG21&gt;0,BI21/CG21,0)))</f>
        <v/>
      </c>
      <c r="CI21" s="66" t="str">
        <f>IF(V21&lt;&gt;"SÍ","",IF(CE21=0,"—",0.003*(CF21-(CE21*INDEX(TABLAS!$D$52:$D$58,MATCH(CD21,TABLAS!$B$52:$B$58,0))*DATOS!$C$14/(DATOS!$C$21*AI21)/DATOS!$C$22))/(CE21*INDEX(TABLAS!$D$52:$D$58,MATCH(CD21,TABLAS!$B$52:$B$58,0))*DATOS!$C$14/(DATOS!$C$21*AI21)/DATOS!$C$22)))</f>
        <v/>
      </c>
      <c r="CJ21" s="58" t="str">
        <f>IF(V21&lt;&gt;"SÍ","",((DATOS!$C$85-AM21-2*DATOS!$C$97-INDEX(TABLAS!$C$52:$C$58,MATCH(MAX(4,DATOS!$C$72),TABLAS!$B$52:$B$58,0))-INDEX(TABLAS!$C$52:$C$58,MATCH(MAX(4,DATOS!$C$72),TABLAS!$B$52:$B$58,0))/2)-IF(AND((DATOS!$C$85-AM21-2*DATOS!$C$97-INDEX(TABLAS!$C$52:$C$58,MATCH(MAX(4,DATOS!$C$72),TABLAS!$B$52:$B$58,0))-INDEX(TABLAS!$C$52:$C$58,MATCH(MAX(4,DATOS!$C$72),TABLAS!$B$52:$B$58,0))/2)&lt;=20,DATOS!$C$65&lt;&gt;"SÍ"),2,0)))</f>
        <v/>
      </c>
      <c r="CK21" s="58" t="str">
        <f>IF(V21&lt;&gt;"SÍ","",IF(IF(BJ21&lt;=0,0,IF((1-2*BJ21*1E5/(DATOS!$C$29*AG21*CJ21^2*DATOS!$C$21))&lt;0,-1,IF((1-SQRT((1-2*BJ21*1E5/(DATOS!$C$29*AG21*CJ21^2*DATOS!$C$21))))*DATOS!$C$21*AG21*CJ21/DATOS!$C$14&gt;DATOS!$C$102*AG21*CJ21,-1,(1-SQRT((1-2*BJ21*1E5/(DATOS!$C$29*AG21*CJ21^2*DATOS!$C$21))))*DATOS!$C$21*AG21*CJ21/DATOS!$C$14)))&lt;0,-1,MAX(IF(BJ21&lt;=0,0,IF((1-2*BJ21*1E5/(DATOS!$C$29*AG21*CJ21^2*DATOS!$C$21))&lt;0,-1,IF((1-SQRT((1-2*BJ21*1E5/(DATOS!$C$29*AG21*CJ21^2*DATOS!$C$21))))*DATOS!$C$21*AG21*CJ21/DATOS!$C$14&gt;DATOS!$C$102*AG21*CJ21,-1,(1-SQRT((1-2*BJ21*1E5/(DATOS!$C$29*AG21*CJ21^2*DATOS!$C$21))))*DATOS!$C$21*AG21*CJ21/DATOS!$C$14))),MIN(DATOS!$C$103*DATOS!$C$83*CJ21,4/3*IF(BJ21&lt;=0,0,IF((1-2*BJ21*1E5/(DATOS!$C$29*AG21*CJ21^2*DATOS!$C$21))&lt;0,-1,IF((1-SQRT((1-2*BJ21*1E5/(DATOS!$C$29*AG21*CJ21^2*DATOS!$C$21))))*DATOS!$C$21*AG21*CJ21/DATOS!$C$14&gt;DATOS!$C$102*AG21*CJ21,-1,(1-SQRT((1-2*BJ21*1E5/(DATOS!$C$29*AG21*CJ21^2*DATOS!$C$21))))*DATOS!$C$21*AG21*CJ21/DATOS!$C$14)))))))</f>
        <v/>
      </c>
      <c r="CL21" s="64" t="str">
        <f>IF(V21&lt;&gt;"SÍ","",IF(AND(CK21&gt;=0,IF(MAX(DATOS!$C$74,CEILING(CK21/INDEX(TABLAS!$D$52:$D$58,MIN(MATCH(MAX(4,DATOS!$C$72),TABLAS!$B$52:$B$58,0)+0,7)),1))*INDEX(TABLAS!$D$52:$D$58,MIN(MATCH(MAX(4,DATOS!$C$72),TABLAS!$B$52:$B$58,0)+0,7)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+0,7)),1)),MAX(MAX(DATOS!$C$74,CEILING(CK21/INDEX(TABLAS!$D$52:$D$58,MIN(MATCH(MAX(4,DATOS!$C$72),TABLAS!$B$52:$B$58,0)+0,7)),1)),2))&lt;=MIN(DATOS!$C$73,INT(((DATOS!$C$83-2*AL21)+MAX(DATOS!$C$70,INDEX(TABLAS!$C$52:$C$58,MIN(MATCH(MAX(4,DATOS!$C$72),TABLAS!$B$52:$B$58,0)+0,7))))/(INDEX(TABLAS!$C$52:$C$58,MIN(MATCH(MAX(4,DATOS!$C$72),TABLAS!$B$52:$B$58,0)+0,7))+MAX(DATOS!$C$70,INDEX(TABLAS!$C$52:$C$58,MIN(MATCH(MAX(4,DATOS!$C$72),TABLAS!$B$52:$B$58,0)+0,7))))))),INDEX(TABLAS!$B$52:$B$58,MIN(MATCH(MAX(4,DATOS!$C$72),TABLAS!$B$52:$B$58,0)+0,7)),IF(AND(CK21&gt;=0,IF(MAX(DATOS!$C$74,CEILING(CK21/INDEX(TABLAS!$D$52:$D$58,MIN(MATCH(MAX(4,DATOS!$C$72),TABLAS!$B$52:$B$58,0)+1,7)),1))*INDEX(TABLAS!$D$52:$D$58,MIN(MATCH(MAX(4,DATOS!$C$72),TABLAS!$B$52:$B$58,0)+1,7)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+1,7)),1)),MAX(MAX(DATOS!$C$74,CEILING(CK21/INDEX(TABLAS!$D$52:$D$58,MIN(MATCH(MAX(4,DATOS!$C$72),TABLAS!$B$52:$B$58,0)+1,7)),1)),2))&lt;=MIN(DATOS!$C$73,INT(((DATOS!$C$83-2*AL21)+MAX(DATOS!$C$70,INDEX(TABLAS!$C$52:$C$58,MIN(MATCH(MAX(4,DATOS!$C$72),TABLAS!$B$52:$B$58,0)+1,7))))/(INDEX(TABLAS!$C$52:$C$58,MIN(MATCH(MAX(4,DATOS!$C$72),TABLAS!$B$52:$B$58,0)+1,7))+MAX(DATOS!$C$70,INDEX(TABLAS!$C$52:$C$58,MIN(MATCH(MAX(4,DATOS!$C$72),TABLAS!$B$52:$B$58,0)+1,7))))))),INDEX(TABLAS!$B$52:$B$58,MIN(MATCH(MAX(4,DATOS!$C$72),TABLAS!$B$52:$B$58,0)+1,7)),IF(AND(CK21&gt;=0,IF(MAX(DATOS!$C$74,CEILING(CK21/INDEX(TABLAS!$D$52:$D$58,MIN(MATCH(MAX(4,DATOS!$C$72),TABLAS!$B$52:$B$58,0)+2,7)),1))*INDEX(TABLAS!$D$52:$D$58,MIN(MATCH(MAX(4,DATOS!$C$72),TABLAS!$B$52:$B$58,0)+2,7)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+2,7)),1)),MAX(MAX(DATOS!$C$74,CEILING(CK21/INDEX(TABLAS!$D$52:$D$58,MIN(MATCH(MAX(4,DATOS!$C$72),TABLAS!$B$52:$B$58,0)+2,7)),1)),2))&lt;=MIN(DATOS!$C$73,INT(((DATOS!$C$83-2*AL21)+MAX(DATOS!$C$70,INDEX(TABLAS!$C$52:$C$58,MIN(MATCH(MAX(4,DATOS!$C$72),TABLAS!$B$52:$B$58,0)+2,7))))/(INDEX(TABLAS!$C$52:$C$58,MIN(MATCH(MAX(4,DATOS!$C$72),TABLAS!$B$52:$B$58,0)+2,7))+MAX(DATOS!$C$70,INDEX(TABLAS!$C$52:$C$58,MIN(MATCH(MAX(4,DATOS!$C$72),TABLAS!$B$52:$B$58,0)+2,7))))))),INDEX(TABLAS!$B$52:$B$58,MIN(MATCH(MAX(4,DATOS!$C$72),TABLAS!$B$52:$B$58,0)+2,7)),IF(AND(CK21&gt;=0,IF(MAX(DATOS!$C$74,CEILING(CK21/INDEX(TABLAS!$D$52:$D$58,MIN(MATCH(MAX(4,DATOS!$C$72),TABLAS!$B$52:$B$58,0)+3,7)),1))*INDEX(TABLAS!$D$52:$D$58,MIN(MATCH(MAX(4,DATOS!$C$72),TABLAS!$B$52:$B$58,0)+3,7)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+3,7)),1)),MAX(MAX(DATOS!$C$74,CEILING(CK21/INDEX(TABLAS!$D$52:$D$58,MIN(MATCH(MAX(4,DATOS!$C$72),TABLAS!$B$52:$B$58,0)+3,7)),1)),2))&lt;=MIN(DATOS!$C$73,INT(((DATOS!$C$83-2*AL21)+MAX(DATOS!$C$70,INDEX(TABLAS!$C$52:$C$58,MIN(MATCH(MAX(4,DATOS!$C$72),TABLAS!$B$52:$B$58,0)+3,7))))/(INDEX(TABLAS!$C$52:$C$58,MIN(MATCH(MAX(4,DATOS!$C$72),TABLAS!$B$52:$B$58,0)+3,7))+MAX(DATOS!$C$70,INDEX(TABLAS!$C$52:$C$58,MIN(MATCH(MAX(4,DATOS!$C$72),TABLAS!$B$52:$B$58,0)+3,7))))))),INDEX(TABLAS!$B$52:$B$58,MIN(MATCH(MAX(4,DATOS!$C$72),TABLAS!$B$52:$B$58,0)+3,7)),IF(AND(CK21&gt;=0,IF(MAX(DATOS!$C$74,CEILING(CK21/INDEX(TABLAS!$D$52:$D$58,MIN(MATCH(MAX(4,DATOS!$C$72),TABLAS!$B$52:$B$58,0)+4,7)),1))*INDEX(TABLAS!$D$52:$D$58,MIN(MATCH(MAX(4,DATOS!$C$72),TABLAS!$B$52:$B$58,0)+4,7)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+4,7)),1)),MAX(MAX(DATOS!$C$74,CEILING(CK21/INDEX(TABLAS!$D$52:$D$58,MIN(MATCH(MAX(4,DATOS!$C$72),TABLAS!$B$52:$B$58,0)+4,7)),1)),2))&lt;=MIN(DATOS!$C$73,INT(((DATOS!$C$83-2*AL21)+MAX(DATOS!$C$70,INDEX(TABLAS!$C$52:$C$58,MIN(MATCH(MAX(4,DATOS!$C$72),TABLAS!$B$52:$B$58,0)+4,7))))/(INDEX(TABLAS!$C$52:$C$58,MIN(MATCH(MAX(4,DATOS!$C$72),TABLAS!$B$52:$B$58,0)+4,7))+MAX(DATOS!$C$70,INDEX(TABLAS!$C$52:$C$58,MIN(MATCH(MAX(4,DATOS!$C$72),TABLAS!$B$52:$B$58,0)+4,7))))))),INDEX(TABLAS!$B$52:$B$58,MIN(MATCH(MAX(4,DATOS!$C$72),TABLAS!$B$52:$B$58,0)+4,7)),INDEX(TABLAS!$B$52:$B$58,7)))))))</f>
        <v/>
      </c>
      <c r="CM21" s="59" t="str">
        <f>IF(V21&lt;&gt;"SÍ","",IF(CK21&lt;0,0,IF(MAX(DATOS!$C$74,CEILING(MAX(CK21,0)/INDEX(TABLAS!$D$52:$D$58,MATCH(CL21,TABLAS!$B$52:$B$58,0)),1))*INDEX(TABLAS!$D$52:$D$58,MATCH(CL21,TABLAS!$B$52:$B$58,0))&gt;=4/3*IF(BJ21&lt;=0,0,IF((1-2*BJ21*1E5/(DATOS!$C$29*AG21*CJ21^2*DATOS!$C$21))&lt;0,-1,IF((1-SQRT((1-2*BJ21*1E5/(DATOS!$C$29*AG21*CJ21^2*DATOS!$C$21))))*DATOS!$C$21*AG21*CJ21/DATOS!$C$14&gt;DATOS!$C$102*AG21*CJ21,-1,(1-SQRT((1-2*BJ21*1E5/(DATOS!$C$29*AG21*CJ21^2*DATOS!$C$21))))*DATOS!$C$21*AG21*CJ21/DATOS!$C$14)))-0.0001,MAX(DATOS!$C$74,CEILING(MAX(CK21,0)/INDEX(TABLAS!$D$52:$D$58,MATCH(CL21,TABLAS!$B$52:$B$58,0)),1)),MAX(MAX(DATOS!$C$74,CEILING(MAX(CK21,0)/INDEX(TABLAS!$D$52:$D$58,MATCH(CL21,TABLAS!$B$52:$B$58,0)),1)),2))))</f>
        <v/>
      </c>
      <c r="CN21" s="58" t="str">
        <f>IF(V21&lt;&gt;"SÍ","",((DATOS!$C$85-AM21-2*DATOS!$C$97-INDEX(TABLAS!$C$52:$C$58,MATCH(BV21,TABLAS!$B$52:$B$58,0))-INDEX(TABLAS!$C$52:$C$58,MATCH(CL21,TABLAS!$B$52:$B$58,0))/2)-IF(AND((DATOS!$C$85-AM21-2*DATOS!$C$97-INDEX(TABLAS!$C$52:$C$58,MATCH(BV21,TABLAS!$B$52:$B$58,0))-INDEX(TABLAS!$C$52:$C$58,MATCH(CL21,TABLAS!$B$52:$B$58,0))/2)&lt;=20,DATOS!$C$65&lt;&gt;"SÍ"),2,0)))</f>
        <v/>
      </c>
      <c r="CO21" s="56" t="str">
        <f>IF(V21&lt;&gt;"SÍ","",IF(CM21=0,0,DATOS!$C$29*CM21*INDEX(TABLAS!$D$52:$D$58,MATCH(CL21,TABLAS!$B$52:$B$58,0))*DATOS!$C$14*(CN21-CM21*INDEX(TABLAS!$D$52:$D$58,MATCH(CL21,TABLAS!$B$52:$B$58,0))*DATOS!$C$14/(DATOS!$C$21*AG21)/2)/1E5))</f>
        <v/>
      </c>
      <c r="CP21" s="65" t="str">
        <f>IF(V21&lt;&gt;"SÍ","",IF(CK21&lt;0,9.99,IF(CO21&gt;0,BJ21/CO21,0)))</f>
        <v/>
      </c>
      <c r="CQ21" s="66" t="str">
        <f>IF(V21&lt;&gt;"SÍ","",IF(CM21=0,"—",0.003*(CN21-(CM21*INDEX(TABLAS!$D$52:$D$58,MATCH(CL21,TABLAS!$B$52:$B$58,0))*DATOS!$C$14/(DATOS!$C$21*AG21)/DATOS!$C$22))/(CM21*INDEX(TABLAS!$D$52:$D$58,MATCH(CL21,TABLAS!$B$52:$B$58,0))*DATOS!$C$14/(DATOS!$C$21*AG21)/DATOS!$C$22)))</f>
        <v/>
      </c>
      <c r="CR21" s="56" t="str">
        <f>IF(V21&lt;&gt;"SÍ","",IF(C21="PERIMETRAL",MAX(0,(AB21/2-BX21)/100)*(0.95-0.5*AA21)*AR21*IF(AND(AS21&gt;0,AS21&lt;4),DATOS!$C$33,1)*DATOS!$C$86/100/1000,(AR21*MAX(0,AB21-BX21)/100+DATOS!$C$26*N(O21))*DATOS!$C$86/100/1000+BF21))</f>
        <v/>
      </c>
      <c r="CS21" s="56" t="str">
        <f>IF(V21&lt;&gt;"SÍ","",DATOS!$C$30*2*MIN(1,SQRT(2/(1+0.04*BX21)))*(BW21*INDEX(TABLAS!$D$52:$D$58,MATCH(BV21,TABLAS!$B$52:$B$58,0))/(AF21*BX21))^(1/3)*SQRT(DATOS!$C$13)*AF21*BX21*IF(AJ21="SÍ",DATOS!$C$32,1)/1000)</f>
        <v/>
      </c>
      <c r="CT21" s="59" t="str">
        <f>IF(V21&lt;&gt;"SÍ","",IF(CR21&lt;=CS21,0,CEILING(MAX(0,IF(C21="VOLADO",(AB21-((CS21-BF21)*1E5/DATOS!$C$86-DATOS!$C$26*N(O21))*100/AR21),IF(CS21&lt;=0,AB21,AB21/2-CS21/MAX(CR21,1E-9)*(AB21/2-BX21)))-IF(X21="X",MIN(DJ21,DK21),MIN(DL21,DM21)))/DATOS!$C$86,1)))</f>
        <v/>
      </c>
      <c r="CU21" s="67" t="str">
        <f>IF(V21&lt;&gt;"SÍ","",IF(CR21&lt;=CS21,"CUMPLE",IF(CT21&lt;=0,"CUMPLE (basta el macizo de orilla)",IF(CT21*DATOS!$C$86*IF(C21="VOLADO",1,2)&gt;=Y21*100-DATOS!$C$87,"NO CUMPLE: no alcanza ni macizando todo","MACIZAR "&amp;CT21&amp;" hilera(s)"))))</f>
        <v/>
      </c>
      <c r="CV21" s="58" t="str">
        <f>IF(V21&lt;&gt;"SÍ","",(DATOS!$C$86*DATOS!$C$84^2/2+MIN(DATOS!$C$83,AD21)*DATOS!$C$82*(DATOS!$C$84+DATOS!$C$82/2))/(DATOS!$C$86*DATOS!$C$84+MIN(DATOS!$C$83,AD21)*DATOS!$C$82))</f>
        <v/>
      </c>
      <c r="CW21" s="68" t="str">
        <f>IF(V21&lt;&gt;"SÍ","",DATOS!$C$86*DATOS!$C$84^3/12+DATOS!$C$86*DATOS!$C$84*(CV21-DATOS!$C$84/2)^2+MIN(DATOS!$C$83,AD21)*DATOS!$C$82^3/12+MIN(DATOS!$C$83,AD21)*DATOS!$C$82*(DATOS!$C$84+DATOS!$C$82/2-CV21)^2)</f>
        <v/>
      </c>
      <c r="CX21" s="58" t="str">
        <f>IF(V21&lt;&gt;"SÍ","",(12*CW21/DATOS!$C$86)^(1/3))</f>
        <v/>
      </c>
      <c r="CY21" s="58" t="str">
        <f>IF(V21&lt;&gt;"SÍ","",IF(C21="PERIMETRAL",IF(ISNUMBER(S21),S21,DATOS!$C$104),0))</f>
        <v/>
      </c>
      <c r="CZ21" s="57" t="str">
        <f>IF(V21&lt;&gt;"SÍ","",IF(C21="PERIMETRAL",IF(CY21&gt;2,MAX(9,AC21*(0.8+DATOS!$C$14/14000)/(36+9*(AC21/MAX(AB21,1)))),IF(CY21&gt;0.2,MAX(13,AC21*(0.8+DATOS!$C$14/14000)/(36+5*(AC21/MAX(AB21,1))*(CY21-0.2))),MAX(13,AC21/IF(AS21&gt;0,30,33))))*IF(AND(CY21&gt;0.2,AS21&gt;0,DATOS!$C$105="NO"),1.1,1),MAX(25,Y21*100/8*(0.4+DATOS!$C$14/7000))))</f>
        <v/>
      </c>
      <c r="DA21" s="61" t="str">
        <f>IF(V21&lt;&gt;"SÍ","",IF(IF(C21="VOLADO",DATOS!$C$85,CX21)&gt;=CZ21,"CUMPLE",IF(C21="VOLADO","NO CUMPLE","CALCULAR FLECHA")))</f>
        <v/>
      </c>
      <c r="DB21" s="55" t="str">
        <f>IF(V21&lt;&gt;"SÍ","",IF(DATOS!$C$84&gt;=IF(IF(C21="VOLADO",Y21,Z21)&gt;=6,6,5),"CUMPLE","CAPA ≥ 6 cm"))</f>
        <v/>
      </c>
      <c r="DC21" s="60" t="str">
        <f>IF(V21&lt;&gt;"SÍ","",IF(C21="VOLADO",MIN(FLOOR(IF(ISNUMBER(P21),P21,Y21)*100-DATOS!$C$63,5),CEILING(MAX(IF((0.5*(0.9*DATOS!$C$90*DATOS!$C$86/100/1000)*IF(ISNUMBER(P21),P21,Y21)+BH21/IF(ISNUMBER(P21),P21,Y21))^2-4*(0.5*(0.9*DATOS!$C$90*DATOS!$C$86/100/1000))*BH21&lt;0,IF(ISNUMBER(P21),P21,Y21),MIN(IF(ISNUMBER(P21),P21,Y21),((0.5*(0.9*DATOS!$C$90*DATOS!$C$86/100/1000)*IF(ISNUMBER(P21),P21,Y21)+BH21/IF(ISNUMBER(P21),P21,Y21))-SQRT((0.5*(0.9*DATOS!$C$90*DATOS!$C$86/100/1000)*IF(ISNUMBER(P21),P21,Y21)+BH21/IF(ISNUMBER(P21),P21,Y21))^2-4*(0.5*(0.9*DATOS!$C$90*DATOS!$C$86/100/1000))*BH21))/(2*(0.5*(0.9*DATOS!$C$90*DATOS!$C$86/100/1000)))))*100+MAX(BX21,12*INDEX(TABLAS!$C$52:$C$58,MATCH(BV21,TABLAS!$B$52:$B$58,0)),IF(ISNUMBER(P21),P21,Y21)*100/16),IF(OR(AL21&lt;INDEX(TABLAS!$C$52:$C$58,MATCH(BV21,TABLAS!$B$52:$B$58,0)),AND(BW21&gt;=2,(AD21-2*AL21-BW21*INDEX(TABLAS!$C$52:$C$58,MATCH(BV21,TABLAS!$B$52:$B$58,0)))/MAX(BW21-1,1)&lt;2*INDEX(TABLAS!$C$52:$C$58,MATCH(BV21,TABLAS!$B$52:$B$58,0)))),INDEX(TABLAS!$I$52:$I$58,MATCH(BV21,TABLAS!$B$52:$B$58,0)),INDEX(TABLAS!$F$52:$F$58,MATCH(BV21,TABLAS!$B$52:$B$58,0)))),5)),IF(((4*((BC21*AR21*Y21^2*1E-4*DATOS!$C$86/100/1000)+((MAX(AY21,BA21)*AR21*Y21^2*1E-4*DATOS!$C$86/100/1000)+(IF(AND(AY21&gt;0,BA21&gt;0),MIN(AY21,BA21),MAX(AY21,BA21))*AR21*Y21^2*1E-4*DATOS!$C$86/100/1000))/2)+BH21-(IF(AND(AY21&gt;0,BA21&gt;0),MIN(AY21,BA21),MAX(AY21,BA21))*AR21*Y21^2*1E-4*DATOS!$C$86/100/1000))^2-16*((BC21*AR21*Y21^2*1E-4*DATOS!$C$86/100/1000)+((MAX(AY21,BA21)*AR21*Y21^2*1E-4*DATOS!$C$86/100/1000)+(IF(AND(AY21&gt;0,BA21&gt;0),MIN(AY21,BA21),MAX(AY21,BA21))*AR21*Y21^2*1E-4*DATOS!$C$86/100/1000))/2)*BH21)&lt;0,CEILING(AB21,5),CEILING(MAX(AB21*((4*((BC21*AR21*Y21^2*1E-4*DATOS!$C$86/100/1000)+((MAX(AY21,BA21)*AR21*Y21^2*1E-4*DATOS!$C$86/100/1000)+(IF(AND(AY21&gt;0,BA21&gt;0),MIN(AY21,BA21),MAX(AY21,BA21))*AR21*Y21^2*1E-4*DATOS!$C$86/100/1000))/2)+BH21-(IF(AND(AY21&gt;0,BA21&gt;0),MIN(AY21,BA21),MAX(AY21,BA21))*AR21*Y21^2*1E-4*DATOS!$C$86/100/1000))-SQRT(MAX(0,((4*((BC21*AR21*Y21^2*1E-4*DATOS!$C$86/100/1000)+((MAX(AY21,BA21)*AR21*Y21^2*1E-4*DATOS!$C$86/100/1000)+(IF(AND(AY21&gt;0,BA21&gt;0),MIN(AY21,BA21),MAX(AY21,BA21))*AR21*Y21^2*1E-4*DATOS!$C$86/100/1000))/2)+BH21-(IF(AND(AY21&gt;0,BA21&gt;0),MIN(AY21,BA21),MAX(AY21,BA21))*AR21*Y21^2*1E-4*DATOS!$C$86/100/1000))^2-16*((BC21*AR21*Y21^2*1E-4*DATOS!$C$86/100/1000)+((MAX(AY21,BA21)*AR21*Y21^2*1E-4*DATOS!$C$86/100/1000)+(IF(AND(AY21&gt;0,BA21&gt;0),MIN(AY21,BA21),MAX(AY21,BA21))*AR21*Y21^2*1E-4*DATOS!$C$86/100/1000))/2)*BH21))))/(8*MAX(((BC21*AR21*Y21^2*1E-4*DATOS!$C$86/100/1000)+((MAX(AY21,BA21)*AR21*Y21^2*1E-4*DATOS!$C$86/100/1000)+(IF(AND(AY21&gt;0,BA21&gt;0),MIN(AY21,BA21),MAX(AY21,BA21))*AR21*Y21^2*1E-4*DATOS!$C$86/100/1000))/2),1E-9))+MAX(BX21,12*INDEX(TABLAS!$C$52:$C$58,MATCH(BV21,TABLAS!$B$52:$B$58,0)),AB21/16),IF(OR(AL21&lt;INDEX(TABLAS!$C$52:$C$58,MATCH(BV21,TABLAS!$B$52:$B$58,0)),AND(BW21&gt;=2,(AD21-2*AL21-BW21*INDEX(TABLAS!$C$52:$C$58,MATCH(BV21,TABLAS!$B$52:$B$58,0)))/MAX(BW21-1,1)&lt;2*INDEX(TABLAS!$C$52:$C$58,MATCH(BV21,TABLAS!$B$52:$B$58,0)))),INDEX(TABLAS!$I$52:$I$58,MATCH(BV21,TABLAS!$B$52:$B$58,0)),INDEX(TABLAS!$F$52:$F$58,MATCH(BV21,TABLAS!$B$52:$B$58,0)))),5))))</f>
        <v/>
      </c>
      <c r="DD21" s="60" t="str">
        <f>IF(V21&lt;&gt;"SÍ","",IF(C21="VOLADO",0,IF(((4*((BD21*AR21*Y21^2*1E-4*DATOS!$C$86/100/1000)+((MAX(AZ21,BB21)*AR21*Y21^2*1E-4*DATOS!$C$86/100/1000)+(IF(AND(AZ21&gt;0,BB21&gt;0),MIN(AZ21,BB21),MAX(AZ21,BB21))*AR21*Y21^2*1E-4*DATOS!$C$86/100/1000))/2)+BJ21-(IF(AND(AZ21&gt;0,BB21&gt;0),MIN(AZ21,BB21),MAX(AZ21,BB21))*AR21*Y21^2*1E-4*DATOS!$C$86/100/1000))^2-16*((BD21*AR21*Y21^2*1E-4*DATOS!$C$86/100/1000)+((MAX(AZ21,BB21)*AR21*Y21^2*1E-4*DATOS!$C$86/100/1000)+(IF(AND(AZ21&gt;0,BB21&gt;0),MIN(AZ21,BB21),MAX(AZ21,BB21))*AR21*Y21^2*1E-4*DATOS!$C$86/100/1000))/2)*BJ21)&lt;0,CEILING(AC21,5),CEILING(MAX(AC21*((4*((BD21*AR21*Y21^2*1E-4*DATOS!$C$86/100/1000)+((MAX(AZ21,BB21)*AR21*Y21^2*1E-4*DATOS!$C$86/100/1000)+(IF(AND(AZ21&gt;0,BB21&gt;0),MIN(AZ21,BB21),MAX(AZ21,BB21))*AR21*Y21^2*1E-4*DATOS!$C$86/100/1000))/2)+BJ21-(IF(AND(AZ21&gt;0,BB21&gt;0),MIN(AZ21,BB21),MAX(AZ21,BB21))*AR21*Y21^2*1E-4*DATOS!$C$86/100/1000))-SQRT(MAX(0,((4*((BD21*AR21*Y21^2*1E-4*DATOS!$C$86/100/1000)+((MAX(AZ21,BB21)*AR21*Y21^2*1E-4*DATOS!$C$86/100/1000)+(IF(AND(AZ21&gt;0,BB21&gt;0),MIN(AZ21,BB21),MAX(AZ21,BB21))*AR21*Y21^2*1E-4*DATOS!$C$86/100/1000))/2)+BJ21-(IF(AND(AZ21&gt;0,BB21&gt;0),MIN(AZ21,BB21),MAX(AZ21,BB21))*AR21*Y21^2*1E-4*DATOS!$C$86/100/1000))^2-16*((BD21*AR21*Y21^2*1E-4*DATOS!$C$86/100/1000)+((MAX(AZ21,BB21)*AR21*Y21^2*1E-4*DATOS!$C$86/100/1000)+(IF(AND(AZ21&gt;0,BB21&gt;0),MIN(AZ21,BB21),MAX(AZ21,BB21))*AR21*Y21^2*1E-4*DATOS!$C$86/100/1000))/2)*BJ21))))/(8*MAX(((BD21*AR21*Y21^2*1E-4*DATOS!$C$86/100/1000)+((MAX(AZ21,BB21)*AR21*Y21^2*1E-4*DATOS!$C$86/100/1000)+(IF(AND(AZ21&gt;0,BB21&gt;0),MIN(AZ21,BB21),MAX(AZ21,BB21))*AR21*Y21^2*1E-4*DATOS!$C$86/100/1000))/2),1E-9))+MAX(CN21,12*INDEX(TABLAS!$C$52:$C$58,MATCH(CL21,TABLAS!$B$52:$B$58,0)),AC21/16),IF(OR(AL21&lt;INDEX(TABLAS!$C$52:$C$58,MATCH(CL21,TABLAS!$B$52:$B$58,0)),AND(CM21&gt;=2,(DATOS!$C$83-2*AL21-CM21*INDEX(TABLAS!$C$52:$C$58,MATCH(CL21,TABLAS!$B$52:$B$58,0)))/MAX(CM21-1,1)&lt;2*INDEX(TABLAS!$C$52:$C$58,MATCH(CL21,TABLAS!$B$52:$B$58,0)))),INDEX(TABLAS!$I$52:$I$58,MATCH(CL21,TABLAS!$B$52:$B$58,0)),INDEX(TABLAS!$F$52:$F$58,MATCH(CL21,TABLAS!$B$52:$B$58,0)))),5))))</f>
        <v/>
      </c>
      <c r="DE21" s="55" t="str">
        <f>IF(V21&lt;&gt;"SÍ","",IF(AND(C21="PERIMETRAL",BW21&gt;=2,AS21-AT21&gt;0,BA21*AR21*Y21^2*1E-4*DATOS!$C$86/100/1000&gt;DATOS!$C$29*INDEX(TABLAS!$D$52:$D$58,MATCH(BV21,TABLAS!$B$52:$B$58,0))*DATOS!$C$14*(BX21-INDEX(TABLAS!$D$52:$D$58,MATCH(BV21,TABLAS!$B$52:$B$58,0))*DATOS!$C$14/(DATOS!$C$21*AF21)/2)/1E5),"SÍ","NO"))</f>
        <v/>
      </c>
      <c r="DF21" s="55" t="str">
        <f>IF(V21&lt;&gt;"SÍ","",IF(AND(C21="PERIMETRAL",CM21&gt;=2,AT21&gt;0,BB21*AR21*Y21^2*1E-4*DATOS!$C$86/100/1000&gt;DATOS!$C$29*INDEX(TABLAS!$D$52:$D$58,MATCH(CL21,TABLAS!$B$52:$B$58,0))*DATOS!$C$14*(CN21-INDEX(TABLAS!$D$52:$D$58,MATCH(CL21,TABLAS!$B$52:$B$58,0))*DATOS!$C$14/(DATOS!$C$21*AG21)/2)/1E5),"SÍ","NO"))</f>
        <v/>
      </c>
      <c r="DG21" s="63" t="str">
        <f>IF(V21&lt;&gt;"SÍ","",IF(OR(C21="VOLADO",AS21=0),"—",IF(AND(AND(1.25*INDEX(TABLAS!$G$52:$G$58,MATCH(MAX(BN21,CD21),TABLAS!$B$52:$B$58,0))&lt;=(DATOS!$C$75-DATOS!$C$63),(DATOS!$C$75-DATOS!$C$63)&gt;=15,INDEX(TABLAS!$G$52:$G$58,MATCH(MAX(BV21,CL21),TABLAS!$B$52:$B$58,0))&lt;=(DATOS!$C$75-DATOS!$C$63)),8*INDEX(TABLAS!$C$52:$C$58,MATCH(MAX(MAX(BN21,CD21),MAX(BV21,CL21)),TABLAS!$B$52:$B$58,0))&lt;=DATOS!$C$76-2*DATOS!$C$63),"CUMPLE (gancho de 180°)",IF(AND(1.25*INDEX(TABLAS!$G$52:$G$58,MATCH(MAX(BN21,CD21),TABLAS!$B$52:$B$58,0))&lt;=(DATOS!$C$75-DATOS!$C$63),(DATOS!$C$75-DATOS!$C$63)&gt;=15,INDEX(TABLAS!$G$52:$G$58,MATCH(MAX(BV21,CL21),TABLAS!$B$52:$B$58,0))&lt;=(DATOS!$C$75-DATOS!$C$63)),"NO CUMPLE: el gancho de 180° (8·d_b) no cabe en el peralte de la dala de borde","NO CUMPLE: dala de borde ≥ "&amp;TEXT(CEILING(MAX(1.25*INDEX(TABLAS!$G$52:$G$58,MATCH(MAX(BN21,CD21),TABLAS!$B$52:$B$58,0)),15,INDEX(TABLAS!$G$52:$G$58,MATCH(MAX(BV21,CL21),TABLAS!$B$52:$B$58,0)))+DATOS!$C$63,5),"0")&amp;" cm de ancho"&amp;IF(8*INDEX(TABLAS!$C$52:$C$58,MATCH(MAX(MAX(BN21,CD21),MAX(BV21,CL21)),TABLAS!$B$52:$B$58,0))&lt;=DATOS!$C$76-2*DATOS!$C$63,""," y más peralte para el gancho")))))</f>
        <v/>
      </c>
      <c r="DH21" s="59" t="str">
        <f>IF(V21&lt;&gt;"SÍ","",MAX(0,INT((E21*100-DATOS!$C$87-IF(AND(C21="PERIMETRAL",I21="DISCONTINUO"),MAX(0,DATOS!$C$75-DATOS!$C$87),0)-IF(AND(C21="PERIMETRAL",J21="DISCONTINUO"),MAX(0,DATOS!$C$75-DATOS!$C$87),0)+DATOS!$C$86-IF(X21="X",DATOS!$C$81,AE21))/DATOS!$C$86)))</f>
        <v/>
      </c>
      <c r="DI21" s="59" t="str">
        <f>IF(V21&lt;&gt;"SÍ","",MAX(0,INT((F21*100-DATOS!$C$87-IF(AND(C21="PERIMETRAL",G21="DISCONTINUO"),MAX(0,DATOS!$C$75-DATOS!$C$87),0)-IF(AND(C21="PERIMETRAL",H21="DISCONTINUO"),MAX(0,DATOS!$C$75-DATOS!$C$87),0)+DATOS!$C$86-IF(X21="Y",DATOS!$C$81,AE21))/DATOS!$C$86)))</f>
        <v/>
      </c>
      <c r="DJ21" s="57" t="str">
        <f>IF(V21&lt;&gt;"SÍ","",IF(DH21&gt;0,IF(AND(C21="PERIMETRAL",I21="DISCONTINUO"),MAX(0,DATOS!$C$75-DATOS!$C$87),0)+(E21*100-DATOS!$C$87-IF(AND(C21="PERIMETRAL",I21="DISCONTINUO"),MAX(0,DATOS!$C$75-DATOS!$C$87),0)-IF(AND(C21="PERIMETRAL",J21="DISCONTINUO"),MAX(0,DATOS!$C$75-DATOS!$C$87),0)-(DH21*IF(X21="X",DATOS!$C$81,AE21)+(DH21-1)*(DATOS!$C$86-IF(X21="X",DATOS!$C$81,AE21))))/2,E21*100/2))</f>
        <v/>
      </c>
      <c r="DK21" s="57" t="str">
        <f>IF(V21&lt;&gt;"SÍ","",IF(DH21&gt;0,IF(AND(C21="PERIMETRAL",J21="DISCONTINUO"),MAX(0,DATOS!$C$75-DATOS!$C$87),0)+(E21*100-DATOS!$C$87-IF(AND(C21="PERIMETRAL",I21="DISCONTINUO"),MAX(0,DATOS!$C$75-DATOS!$C$87),0)-IF(AND(C21="PERIMETRAL",J21="DISCONTINUO"),MAX(0,DATOS!$C$75-DATOS!$C$87),0)-(DH21*IF(X21="X",DATOS!$C$81,AE21)+(DH21-1)*(DATOS!$C$86-IF(X21="X",DATOS!$C$81,AE21))))/2,E21*100/2))</f>
        <v/>
      </c>
      <c r="DL21" s="57" t="str">
        <f>IF(V21&lt;&gt;"SÍ","",IF(DI21&gt;0,IF(AND(C21="PERIMETRAL",G21="DISCONTINUO"),MAX(0,DATOS!$C$75-DATOS!$C$87),0)+(F21*100-DATOS!$C$87-IF(AND(C21="PERIMETRAL",G21="DISCONTINUO"),MAX(0,DATOS!$C$75-DATOS!$C$87),0)-IF(AND(C21="PERIMETRAL",H21="DISCONTINUO"),MAX(0,DATOS!$C$75-DATOS!$C$87),0)-(DI21*IF(X21="Y",DATOS!$C$81,AE21)+(DI21-1)*(DATOS!$C$86-IF(X21="Y",DATOS!$C$81,AE21))))/2,F21*100/2))</f>
        <v/>
      </c>
      <c r="DM21" s="57" t="str">
        <f>IF(V21&lt;&gt;"SÍ","",IF(DI21&gt;0,IF(AND(C21="PERIMETRAL",H21="DISCONTINUO"),MAX(0,DATOS!$C$75-DATOS!$C$87),0)+(F21*100-DATOS!$C$87-IF(AND(C21="PERIMETRAL",G21="DISCONTINUO"),MAX(0,DATOS!$C$75-DATOS!$C$87),0)-IF(AND(C21="PERIMETRAL",H21="DISCONTINUO"),MAX(0,DATOS!$C$75-DATOS!$C$87),0)-(DI21*IF(X21="Y",DATOS!$C$81,AE21)+(DI21-1)*(DATOS!$C$86-IF(X21="Y",DATOS!$C$81,AE21))))/2,F21*100/2))</f>
        <v/>
      </c>
      <c r="DN21" s="59" t="str">
        <f>IF(V21&lt;&gt;"SÍ","",IF(NOT(AND(C21="VOLADO",AD21&gt;DATOS!$C$83)),0,IF(INDEX(TABLAS!$C$52:$C$58,MATCH(BV21,TABLAS!$B$52:$B$58,0))&lt;=DATOS!$C$83-2*DATOS!$C$63,1,0)))</f>
        <v/>
      </c>
      <c r="DO21" s="58" t="str">
        <f>IF(V21&lt;&gt;"SÍ","",IF(NOT(AND(C21="VOLADO",AD21&gt;DATOS!$C$83)),0,((DATOS!$C$85-MAX(DATOS!$C$63,(DATOS!$C$84-2*DATOS!$C$97)/2)-2*DATOS!$C$97-INDEX(TABLAS!$C$52:$C$58,MATCH(MAX(4,DATOS!$C$72),TABLAS!$B$52:$B$58,0))-INDEX(TABLAS!$C$52:$C$58,MATCH(BV21,TABLAS!$B$52:$B$58,0))/2)-IF(AND((DATOS!$C$85-MAX(DATOS!$C$63,(DATOS!$C$84-2*DATOS!$C$97)/2)-2*DATOS!$C$97-INDEX(TABLAS!$C$52:$C$58,MATCH(MAX(4,DATOS!$C$72),TABLAS!$B$52:$B$58,0))-INDEX(TABLAS!$C$52:$C$58,MATCH(BV21,TABLAS!$B$52:$B$58,0))/2)&lt;=20,DATOS!$C$65&lt;&gt;"SÍ"),2,0))))</f>
        <v/>
      </c>
      <c r="DP21" s="56" t="str">
        <f>IF(V21&lt;&gt;"SÍ","",IF(OR(NOT(AND(C21="VOLADO",AD21&gt;DATOS!$C$83)),DN21&lt;1),0,IF(0.003*(DO21-((DN21*INDEX(TABLAS!$D$52:$D$58,MATCH(BV21,TABLAS!$B$52:$B$58,0)))*DATOS!$C$14/(DATOS!$C$21*AG21)/DATOS!$C$22))/((DN21*INDEX(TABLAS!$D$52:$D$58,MATCH(BV21,TABLAS!$B$52:$B$58,0)))*DATOS!$C$14/(DATOS!$C$21*AG21)/DATOS!$C$22)&lt;0.005,0,DATOS!$C$29*(DN21*INDEX(TABLAS!$D$52:$D$58,MATCH(BV21,TABLAS!$B$52:$B$58,0)))*DATOS!$C$14*(DO21-(DN21*INDEX(TABLAS!$D$52:$D$58,MATCH(BV21,TABLAS!$B$52:$B$58,0)))*DATOS!$C$14/(DATOS!$C$21*AG21)/2)/1E5)))</f>
        <v/>
      </c>
      <c r="DQ21" s="56" t="str">
        <f>IF(V21&lt;&gt;"SÍ","",IF(OR(NOT(AND(C21="VOLADO",AD21&gt;DATOS!$C$83)),DN21&lt;1),0,DATOS!$C$30*2*MIN(1,SQRT(2/(1+0.04*DO21)))*((DN21*INDEX(TABLAS!$D$52:$D$58,MATCH(BV21,TABLAS!$B$52:$B$58,0)))/(AG21*DO21))^(1/3)*SQRT(DATOS!$C$13)*AG21*DO21/1000))</f>
        <v/>
      </c>
      <c r="DR21" s="56" t="str">
        <f>IF(V21&lt;&gt;"SÍ","",IF(NOT(AND(C21="VOLADO",AD21&gt;DATOS!$C$83)),0,IF((BH21-DP21)&lt;=0,0,IF(DP21&lt;=0,IF(ISNUMBER(P21),P21,Y21),IF(((0.9*DATOS!$C$90*DATOS!$C$86/100/1000)*IF(ISNUMBER(P21),P21,Y21)/2+BH21/IF(ISNUMBER(P21),P21,Y21))^2-4*((0.9*DATOS!$C$90*DATOS!$C$86/100/1000)/2)*(BH21-DP21)&lt;0,IF(ISNUMBER(P21),P21,Y21),MIN(IF(ISNUMBER(P21),P21,Y21),(((0.9*DATOS!$C$90*DATOS!$C$86/100/1000)*IF(ISNUMBER(P21),P21,Y21)/2+BH21/IF(ISNUMBER(P21),P21,Y21))-SQRT(((0.9*DATOS!$C$90*DATOS!$C$86/100/1000)*IF(ISNUMBER(P21),P21,Y21)/2+BH21/IF(ISNUMBER(P21),P21,Y21))^2-4*((0.9*DATOS!$C$90*DATOS!$C$86/100/1000)/2)*(BH21-DP21)))/(2*((0.9*DATOS!$C$90*DATOS!$C$86/100/1000)/2))))))))</f>
        <v/>
      </c>
      <c r="DS21" s="56" t="str">
        <f>IF(V21&lt;&gt;"SÍ","",IF(NOT(AND(C21="VOLADO",AD21&gt;DATOS!$C$83)),0,IF(DQ21&lt;=(BH21/((IF(ISNUMBER(P21),P21,Y21)*100-DATOS!$C$87)/100)),IF(ISNUMBER(P21),P21,Y21),MIN(IF(ISNUMBER(P21),P21,Y21),MAX(0,(IF(ISNUMBER(P21),P21,Y21)*100-DATOS!$C$87)/200-(DQ21-(BH21/((IF(ISNUMBER(P21),P21,Y21)*100-DATOS!$C$87)/100)))/((0.95-0.5*IF(N(Q21)&gt;0,MIN(IF(ISNUMBER(P21),P21,Y21),Q21)/MAX(IF(ISNUMBER(P21),P21,Y21),Q21),0))*DATOS!$C$33*AR21*DATOS!$C$86/100/1000))))))</f>
        <v/>
      </c>
      <c r="DT21" s="56" t="str">
        <f>IF(V21&lt;&gt;"SÍ","",IF(NOT(AND(C21="VOLADO",AD21&gt;DATOS!$C$83)),0,(BH21/((IF(ISNUMBER(P21),P21,Y21)*100-DATOS!$C$87)/100))+((0.95-0.5*IF(N(Q21)&gt;0,MIN(IF(ISNUMBER(P21),P21,Y21),Q21)/MAX(IF(ISNUMBER(P21),P21,Y21),Q21),0))*DATOS!$C$33*AR21*DATOS!$C$86/100/1000)*MAX(0,(IF(ISNUMBER(P21),P21,Y21)*100-DATOS!$C$87)/200-BX21/100)))</f>
        <v/>
      </c>
      <c r="DU21" s="59" t="str">
        <f>IF(V21&lt;&gt;"SÍ","",IF(NOT(AND(C21="VOLADO",AD21&gt;DATOS!$C$83)),0,MIN(FLOOR(100*IF(ISNUMBER(P21),P21,Y21)-DATOS!$C$63,5),CEILING(100*MIN(IF(ISNUMBER(P21),P21,Y21),MAX(IF(DR21&gt;0,DR21+IF(BW21&gt;=2,MAX(DO21,12*INDEX(TABLAS!$C$52:$C$58,MATCH(BV21,TABLAS!$B$52:$B$58,0)))/100,0),0),DS21,IF(BW21&gt;=2,INDEX(TABLAS!$F$52:$F$58,MATCH(BV21,TABLAS!$B$52:$B$58,0))/100,0))),5))))</f>
        <v/>
      </c>
      <c r="DV21" s="60" t="str">
        <f>IF(V21&lt;&gt;"SÍ","",IF(NOT(AND(C21="VOLADO",AD21&gt;DATOS!$C$83)),0,IF(DU21&lt;=0,0,CEILING(DU21/DATOS!$C$86,1))))</f>
        <v/>
      </c>
      <c r="DW21" s="61" t="str">
        <f>IF(V21&lt;&gt;"SÍ","",IF(C21&lt;&gt;"VOLADO","—",IF(AD21&lt;=DATOS!$C$83,"— (mismo b_w que el respaldo)",IF(DT21&gt;CS21,"NO CUMPLE: cortante de la nervadura ancha junto al apoyo ("&amp;TEXT(DT21,"0.00")&amp;" &gt; "&amp;TEXT(CS21,"0.00")&amp;" t)",IF(DU21&gt;=100*IF(ISNUMBER(P21),P21,Y21),"CUMPLE — todas las nervaduras del respaldo ‖ al volado con b_w = "&amp;AD21&amp;" cm","CUMPLE — "&amp;DV21&amp;" hilera(s) del respaldo con nervaduras de b_w = "&amp;AD21&amp;" cm (casetón "&amp;AE21&amp;" cm), hasta "&amp;TEXT(DU21/100,"0.00")&amp;" m del paño")))))</f>
        <v/>
      </c>
      <c r="DX21" s="69" t="str">
        <f>IF(V21&lt;&gt;"SÍ","",IF(BO21=0,"NO ALCANZA",BO21&amp;" No. "&amp;BN21&amp;IF(BO21&gt;1," corridas"," corrida")))</f>
        <v/>
      </c>
      <c r="DY21" s="69" t="str">
        <f>IF(V21&lt;&gt;"SÍ","",IF(BW21=0,"NO ALCANZA",IF(AND(C21="VOLADO",AD21&gt;DATOS!$C$83,BW21&gt;=2),"1 No. "&amp;BV21&amp;" corrida de la orilla al respaldo ("&amp;IF(DC21&gt;=FLOOR(100*IF(ISNUMBER(P21),P21,Y21)-DATOS!$C$63,5),"hasta su apoyo lejano, con gancho","entra "&amp;TEXT(DC21/100,"0.00")&amp;" m desde el paño")&amp;") + "&amp;(BW21-1)&amp;" bastón No. "&amp;BV21&amp;" hasta "&amp;TEXT(DU21/100,"0.00")&amp;" m del paño (fin de la nervadura ancha)",IF(C21="VOLADO",BW21&amp;" No. "&amp;BV21&amp;" de la orilla al respaldo ("&amp;IF(DC21&gt;=FLOOR(100*IF(ISNUMBER(P21),P21,Y21)-DATOS!$C$63,5),"hasta su apoyo lejano, con gancho","entran "&amp;TEXT(DC21/100,"0.00")&amp;" m desde el paño")&amp;")","1 No. "&amp;BV21&amp;" corrida"&amp;IF(BW21&gt;1," + "&amp;(BW21-1)&amp;" bastón No. "&amp;BV21&amp;" L = "&amp;TEXT(DC21/100,"0.00")&amp;" m desde el paño","")))))</f>
        <v/>
      </c>
      <c r="DZ21" s="69" t="str">
        <f>IF(V21&lt;&gt;"SÍ","",IF(CE21=0,"NO ALCANZA",CE21&amp;" No. "&amp;CD21&amp;IF(CE21&gt;1," corridas"," corrida")))</f>
        <v/>
      </c>
      <c r="EA21" s="69" t="str">
        <f>IF(V21&lt;&gt;"SÍ","",IF(CM21=0,"NO ALCANZA",IF(C21="VOLADO","1 No. "&amp;CL21&amp;" corrida (repartición)","1 No. "&amp;CL21&amp;" corrida"&amp;IF(CM21&gt;1," + "&amp;(CM21-1)&amp;" bastón No. "&amp;CL21&amp;" L = "&amp;TEXT(DD21/100,"0.00")&amp;" m desde el paño",""))))</f>
        <v/>
      </c>
      <c r="EB21" s="67" t="str">
        <f>IF(B21="","",IF(V21&lt;&gt;"SÍ","FALTAN DATOS: tipo, a_x, a_y, destino y, en volados, L_b",IF(L21="NO MONOLÍTICO (caso II)","FUERA DE ALCANCE: caso II no transcrito",IF(AND(C21="VOLADO",W21="?"),"REVISAR: el volado lleva UN solo borde CONTINUO (el empotrado)",IF(MIN(DH21,DI21)=0,"REVISAR: no cabe un casetón (tablero macizo): diséñalo en MACIZAS",IF(AND(MAX(BR21,BZ21,CH21,CP21)&lt;=1,NOT(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T(OR(AND(ISNUMBER(BS21),BS21&lt;0.005),AND(ISNUMBER(CA21),CA21&lt;0.005),AND(ISNUMBER(CI21),CI21&lt;0.005),AND(ISNUMBER(CQ21),CQ21&lt;0.005))),NOT(LEFT(DW21,2)="NO"),DA21="CUMPLE",DB21="CUMPLE",LEFT(CU21,2)&lt;&gt;"NO",LEFT(DATOS!$C$132,6)="CUMPLE"),IF(LEFT(CU21,6)="CUMPLE","CUMPLE","CUMPLE — "&amp;CU21)&amp;IF(LEFT(BK21,5)="FUERA"," · fuera de 3.4.2.1 c)","")&amp;IF(LEFT(DG21,2)="NO"," · REVISAR anclaje en borde discontinuo","")&amp;IF(DV21&gt;0," · respaldo: "&amp;DV21&amp;" hilera(s) de b_w "&amp;AD21&amp;" cm",""),IF(AND(MAX(BR21,BZ21,CH21,CP21)&lt;=1,NOT(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T(OR(AND(ISNUMBER(BS21),BS21&lt;0.005),AND(ISNUMBER(CA21),CA21&lt;0.005),AND(ISNUMBER(CI21),CI21&lt;0.005),AND(ISNUMBER(CQ21),CQ21&lt;0.005))),NOT(LEFT(DW21,2)="NO"),DA21="CALCULAR FLECHA",LEFT(CU21,2)&lt;&gt;"NO",LEFT(DATOS!$C$132,6)="CUMPLE"),"REVISAR: calcular flecha (h_eq &lt; h mín.)"&amp;IF(LEFT(BK21,5)="FUERA"," · fuera de 3.4.2.1 c)","")&amp;IF(LEFT(DG21,2)="NO"," · REVISAR anclaje en borde discontinuo","")&amp;IF(DV21&gt;0," · respaldo: "&amp;DV21&amp;" hilera(s) de b_w "&amp;AD21&amp;" cm",""),"NO CUMPLE: "&amp;IF(MAX(BR21,BZ21,CH21,CP21)&gt;1,"flexión ","")&amp;IF(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 caben ","")&amp;IF(OR(AND(ISNUMBER(BS21),BS21&lt;0.005),AND(ISNUMBER(CA21),CA21&lt;0.005),AND(ISNUMBER(CI21),CI21&lt;0.005),AND(ISNUMBER(CQ21),CQ21&lt;0.005)),"ε_t &lt; 0.005 ","")&amp;IF(LEFT(CU21,2)="NO","cortante ","")&amp;IF(DA21="NO CUMPLE","peralte ","")&amp;IF(DB21&lt;&gt;"CUMPLE","capa &lt; 6 cm ","")&amp;IF(LEFT(DATOS!$C$132,6)&lt;&gt;"CUMPLE","capa o malla (DATOS sección 7) ","")&amp;IF(LEFT(DW21,2)="NO","respaldo del volado",""))))))))</f>
        <v/>
      </c>
      <c r="EC21" s="70" t="str">
        <f>IF(V21&lt;&gt;"SÍ","",IF(LEFT(B21,7)="EJEMPLO","EJEMPLO de la hoja de Casa Rocha: bórralo o sobrescríbelo. ","")&amp;IF(AND(C21="PERIMETRAL",MIN(DH21,DI21)=0),"No cabe un casetón en el claro corto: es un tablero macizo, diséñalo en MACIZAS. ","")&amp;IF(AND(AJ21="NO",C21="PERIMETRAL"),"No cumple 6.7.8.1.4 (a_c = "&amp;MAX(DATOS!$C$81,AE21)&amp;" cm &gt; claro corto/6 = "&amp;TEXT(Y21*100/6,"0")&amp;" cm): se diseña como losa apoyada en vigas (6.7.8.1.9): r de viga = "&amp;DATOS!$C$63&amp;" cm y V_cR sin ×1.1. Para que cuente como encasetonada: casetón de "&amp;TEXT(FLOOR(MIN(80,Y21*100/6),1),"0")&amp;" cm o menor. ","")&amp;IF(C21="VOLADO","Volado de "&amp;TEXT(Y21,"0.00")&amp;" m empotrado en el borde "&amp;LOWER(W21)&amp;IF(N(O21)&gt;0,", con "&amp;TEXT(O21,"0.0")&amp;" kg/m en la orilla","")&amp;". Lecho inferior con r_ext. Si la orilla carga pretil u otro elemento frágil, calcula la flecha (13.4). El acero superior entra al respaldo de "&amp;TEXT(IF(ISNUMBER(P21),P21,Y21),"0.00")&amp;" m"&amp;" hasta pasar M = 0 con 0.9·PP sin carga viva; si ahí no se anula, llega al apoyo lejano y se ancla con gancho (NTC-Criterios 3.4.1 c y 5.1.2.2). "&amp;IF(AD21&gt;DATOS!$C$83,"Respaldo: "&amp;DW21&amp;". ",""),"")&amp;IF(AND(C21="VOLADO",((0.9*DATOS!$C$90*DATOS!$C$86/100/1000)*IF(ISNUMBER(P21),P21,Y21)/2-BH21/IF(ISNUMBER(P21),P21,Y21))&lt;0),"Con 0.9·PP y sin carga viva el apoyo lejano del respaldo levanta (R = "&amp;TEXT(-((0.9*DATOS!$C$90*DATOS!$C$86/100/1000)*IF(ISNUMBER(P21),P21,Y21)/2-BH21/IF(ISNUMBER(P21),P21,Y21)),"0.00")&amp;" t por nervadura): ancla ahí la corrida con gancho y revisa ese apoyo a tensión. ","")&amp;IF(LEFT(BK21,5)="FUERA","El M⁻ del vecino difiere más de 50 % (3.4.2.1 c): distribuye el desequilibrio (3.4.3.1) o confirma con un modelo; se arma con el mayor. ","")&amp;IF(OR(DE21="SÍ",DF21="SÍ"),"El M⁻ del borde discontinuo pide bastón también ahí (con gancho). ","")&amp;IF(LEFT(DG21,2)="NO","Anclaje: "&amp;DG21&amp;" (6.7.8.1.7). ","")&amp;IF(AND(C21="PERIMETRAL",AT21&gt;=1,AS21-AT21&gt;=1),"Esquinas exteriores sobre muro: refuerzo de esquina arriba y abajo en L_largo/5 (6.7.7.3.1). ",""))</f>
        <v/>
      </c>
    </row>
    <row r="22" ht="33" customHeight="1">
      <c r="A22" s="50">
        <f>IF(B22="",0,1)+A21</f>
        <v>4</v>
      </c>
      <c r="B22" s="29" t="n"/>
      <c r="C22" s="51" t="n"/>
      <c r="D22" s="29" t="n"/>
      <c r="E22" s="52" t="n"/>
      <c r="F22" s="52" t="n"/>
      <c r="G22" s="51" t="n"/>
      <c r="H22" s="51" t="n"/>
      <c r="I22" s="51" t="n"/>
      <c r="J22" s="51" t="n"/>
      <c r="K22" s="51" t="n"/>
      <c r="L22" s="51" t="n"/>
      <c r="M22" s="53" t="n"/>
      <c r="N22" s="53" t="n"/>
      <c r="O22" s="54" t="n"/>
      <c r="P22" s="52" t="n"/>
      <c r="Q22" s="52" t="n"/>
      <c r="R22" s="53" t="n"/>
      <c r="S22" s="54" t="n"/>
      <c r="T22" s="52" t="n"/>
      <c r="U22" s="52" t="n"/>
      <c r="V22" s="55" t="str">
        <f>IF(B22="","",IF(AND(OR(C22="PERIMETRAL",C22="VOLADO"),ISNUMBER(E22),ISNUMBER(F22),E22&gt;0,F22&gt;0,OR(ISNUMBER(N22),ISNUMBER(MATCH(D22,DATOS!$B$46:$B$58,0))),OR(C22&lt;&gt;"VOLADO",N(P22)&gt;0)),"SÍ","NO"))</f>
        <v/>
      </c>
      <c r="W22" s="55" t="str">
        <f>IF(V22&lt;&gt;"SÍ","",IF(C22&lt;&gt;"VOLADO","—",IF(COUNTIF(G22:J22,"CONTINUO")&lt;&gt;1,"?",IF(G22="CONTINUO","INFERIOR",IF(H22="CONTINUO","SUPERIOR",IF(I22="CONTINUO","IZQUIERDO","DERECHO"))))))</f>
        <v/>
      </c>
      <c r="X22" s="55" t="str">
        <f>IF(V22&lt;&gt;"SÍ","",IF(C22="VOLADO",IF(OR(W22="IZQUIERDO",W22="DERECHO"),"X","Y"),IF(E22&lt;=F22,"X","Y")))</f>
        <v/>
      </c>
      <c r="Y22" s="56" t="str">
        <f>IF(V22&lt;&gt;"SÍ","",IF(C22="VOLADO",IF(X22="X",E22,F22),MIN(E22,F22)))</f>
        <v/>
      </c>
      <c r="Z22" s="56" t="str">
        <f>IF(V22&lt;&gt;"SÍ","",IF(C22="VOLADO",IF(X22="X",F22,E22),MAX(E22,F22)))</f>
        <v/>
      </c>
      <c r="AA22" s="56" t="str">
        <f>IF(V22&lt;&gt;"SÍ","",MIN(Y22,Z22)/MAX(Y22,Z22))</f>
        <v/>
      </c>
      <c r="AB22" s="57" t="str">
        <f>IF(V22&lt;&gt;"SÍ","",MAX(1,Y22*100-IF(C22="VOLADO",DATOS!$C$87/2,DATOS!$C$87)))</f>
        <v/>
      </c>
      <c r="AC22" s="57" t="str">
        <f>IF(V22&lt;&gt;"SÍ","",MAX(1,Z22*100-DATOS!$C$87))</f>
        <v/>
      </c>
      <c r="AD22" s="57" t="str">
        <f>IF(V22&lt;&gt;"SÍ","",IF(ISNUMBER(R22),R22,DATOS!$C$83))</f>
        <v/>
      </c>
      <c r="AE22" s="57" t="str">
        <f>IF(V22&lt;&gt;"SÍ","",MAX(0,DATOS!$C$86-AD22))</f>
        <v/>
      </c>
      <c r="AF22" s="57" t="str">
        <f>IF(V22&lt;&gt;"SÍ","",IF(OR(DATOS!$C$65="SÍ",AD22&gt;=20),AD22,AD22-2))</f>
        <v/>
      </c>
      <c r="AG22" s="57" t="str">
        <f>IF(V22&lt;&gt;"SÍ","",IF(OR(DATOS!$C$65="SÍ",DATOS!$C$83&gt;=20),DATOS!$C$83,DATOS!$C$83-2))</f>
        <v/>
      </c>
      <c r="AH22" s="57" t="str">
        <f>IF(V22&lt;&gt;"SÍ","",MIN(DATOS!$C$86,AD22+2*MIN(8*DATOS!$C$84,AE22/2,AB22/8)))</f>
        <v/>
      </c>
      <c r="AI22" s="57" t="str">
        <f>IF(V22&lt;&gt;"SÍ","",MIN(DATOS!$C$86,DATOS!$C$83+2*MIN(8*DATOS!$C$84,DATOS!$C$81/2,AC22/8)))</f>
        <v/>
      </c>
      <c r="AJ22" s="55" t="str">
        <f>IF(V22&lt;&gt;"SÍ","",IF(AND(C22="PERIMETRAL",Y22*100&gt;=6*MAX(DATOS!$C$81,AE22),MAX(DATOS!$C$81,AE22)&lt;=80,MIN(DATOS!$C$83,AD22)&gt;=10,DATOS!$C$85&lt;=3.5*MIN(DATOS!$C$83,AD22),DATOS!$C$84&gt;=MAX(MAX(DATOS!$C$81,AE22)/13,5)),"SÍ","NO"))</f>
        <v/>
      </c>
      <c r="AK22" s="57" t="str">
        <f>IF(V22&lt;&gt;"SÍ","",IF(C22="VOLADO",DATOS!$C$64,IF(AJ22="NO",DATOS!$C$63,DATOS!$C$62)))</f>
        <v/>
      </c>
      <c r="AL22" s="57" t="str">
        <f>IF(V22&lt;&gt;"SÍ","",IF(OR(AND(AN22="SÍ",DATOS!$C$66="SÍ"),AND(C22="VOLADO",DATOS!$C$67="SÍ")),DATOS!$C$64,IF(AJ22="NO",DATOS!$C$63,DATOS!$C$62)))</f>
        <v/>
      </c>
      <c r="AM22" s="58" t="str">
        <f>IF(V22&lt;&gt;"SÍ","",MAX(AL22,(DATOS!$C$84-2*DATOS!$C$97)/2))</f>
        <v/>
      </c>
      <c r="AN22" s="55" t="str">
        <f>IF(V22&lt;&gt;"SÍ","",IFERROR(INDEX(DATOS!$D$46:$D$58,MATCH(D22,DATOS!$B$46:$B$58,0)),"NO"))</f>
        <v/>
      </c>
      <c r="AO22" s="59" t="str">
        <f>IF(V22&lt;&gt;"SÍ","",IF(ISNUMBER(N22),N22,IFERROR(INDEX(DATOS!$C$46:$C$58,MATCH(D22,DATOS!$B$46:$B$58,0)),0)))</f>
        <v/>
      </c>
      <c r="AP22" s="59" t="str">
        <f>IF(V22&lt;&gt;"SÍ","",IF(MIN(DH22,DI22)=0,DATOS!$C$85/100*DATOS!$C$16*1000,(DATOS!$C$85/100-(AE22*DATOS!$C$81/DATOS!$C$86^2)*DATOS!$C$82/100)*DATOS!$C$16*1000+(AE22*DATOS!$C$81/DATOS!$C$86^2)*DATOS!$C$82/100*DATOS!$C$17*1000)+DATOS!$C$37+DATOS!$C$38)</f>
        <v/>
      </c>
      <c r="AQ22" s="59" t="str">
        <f>IF(V22&lt;&gt;"SÍ","",AP22+N(M22))</f>
        <v/>
      </c>
      <c r="AR22" s="60" t="str">
        <f>IF(V22&lt;&gt;"SÍ","",MAX(DATOS!$C$26*AQ22+DATOS!$C$27*AO22,IF(AN22="SÍ",DATOS!$C$28*(AQ22+DATOS!$C$41),0)))</f>
        <v/>
      </c>
      <c r="AS22" s="59" t="str">
        <f>IF(V22&lt;&gt;"SÍ","",(G22="DISCONTINUO")+(H22="DISCONTINUO")+(I22="DISCONTINUO")+(J22="DISCONTINUO"))</f>
        <v/>
      </c>
      <c r="AT22" s="59" t="str">
        <f>IF(V22&lt;&gt;"SÍ","",IF(X22="X",(G22="DISCONTINUO")+(H22="DISCONTINUO"),(I22="DISCONTINUO")+(J22="DISCONTINUO")))</f>
        <v/>
      </c>
      <c r="AU22" s="55" t="str">
        <f>IF(V22&lt;&gt;"SÍ","",IF(AS22=0,"INTERIOR",IF(AS22=1,IF(AT22=1,"BORDE-CORTO","BORDE-LARGO"),IF(AS22=2,IF(AT22=1,"ESQUINA",IF(AT22=2,"EXTREMO-LARGO","EXTREMO-CORTO")),IF(AS22=3,IF(AT22=2,"EXTREMO-LARGO","EXTREMO-CORTO"),"AISLADO")))))</f>
        <v/>
      </c>
      <c r="AV22" s="61" t="str">
        <f>IF(V22&lt;&gt;"SÍ","",IF(OR(K22="",K22="AUTO"),AU22,K22))</f>
        <v/>
      </c>
      <c r="AW22" s="59" t="str">
        <f>IF(V22&lt;&gt;"SÍ","",MATCH(AA22,TABLAS!$D$5:$J$5,1))</f>
        <v/>
      </c>
      <c r="AX22" s="58" t="str">
        <f>IF(V22&lt;&gt;"SÍ","",IF(AW22&gt;=7,0,(AA22-INDEX(TABLAS!$D$5:$J$5,AW22))/(INDEX(TABLAS!$D$5:$J$5,AW22+1)-INDEX(TABLAS!$D$5:$J$5,AW22))))</f>
        <v/>
      </c>
      <c r="AY22" s="59" t="str">
        <f>IF(V22&lt;&gt;"SÍ","",INDEX(TABLAS!$D$6:$J$47,MATCH(AV22&amp;"|NIC",TABLAS!$B$6:$B$47,0),AW22)+AX22*(INDEX(TABLAS!$D$6:$J$47,MATCH(AV22&amp;"|NIC",TABLAS!$B$6:$B$47,0),MIN(AW22+1,7))-INDEX(TABLAS!$D$6:$J$47,MATCH(AV22&amp;"|NIC",TABLAS!$B$6:$B$47,0),AW22)))</f>
        <v/>
      </c>
      <c r="AZ22" s="59" t="str">
        <f>IF(V22&lt;&gt;"SÍ","",INDEX(TABLAS!$D$6:$J$47,MATCH(AV22&amp;"|NIL",TABLAS!$B$6:$B$47,0),AW22)+AX22*(INDEX(TABLAS!$D$6:$J$47,MATCH(AV22&amp;"|NIL",TABLAS!$B$6:$B$47,0),MIN(AW22+1,7))-INDEX(TABLAS!$D$6:$J$47,MATCH(AV22&amp;"|NIL",TABLAS!$B$6:$B$47,0),AW22)))</f>
        <v/>
      </c>
      <c r="BA22" s="59" t="str">
        <f>IF(V22&lt;&gt;"SÍ","",INDEX(TABLAS!$D$6:$J$47,MATCH(AV22&amp;"|NDC",TABLAS!$B$6:$B$47,0),AW22)+AX22*(INDEX(TABLAS!$D$6:$J$47,MATCH(AV22&amp;"|NDC",TABLAS!$B$6:$B$47,0),MIN(AW22+1,7))-INDEX(TABLAS!$D$6:$J$47,MATCH(AV22&amp;"|NDC",TABLAS!$B$6:$B$47,0),AW22)))</f>
        <v/>
      </c>
      <c r="BB22" s="59" t="str">
        <f>IF(V22&lt;&gt;"SÍ","",INDEX(TABLAS!$D$6:$J$47,MATCH(AV22&amp;"|NDL",TABLAS!$B$6:$B$47,0),AW22)+AX22*(INDEX(TABLAS!$D$6:$J$47,MATCH(AV22&amp;"|NDL",TABLAS!$B$6:$B$47,0),MIN(AW22+1,7))-INDEX(TABLAS!$D$6:$J$47,MATCH(AV22&amp;"|NDL",TABLAS!$B$6:$B$47,0),AW22)))</f>
        <v/>
      </c>
      <c r="BC22" s="59" t="str">
        <f>IF(V22&lt;&gt;"SÍ","",INDEX(TABLAS!$D$6:$J$47,MATCH(AV22&amp;"|PC",TABLAS!$B$6:$B$47,0),AW22)+AX22*(INDEX(TABLAS!$D$6:$J$47,MATCH(AV22&amp;"|PC",TABLAS!$B$6:$B$47,0),MIN(AW22+1,7))-INDEX(TABLAS!$D$6:$J$47,MATCH(AV22&amp;"|PC",TABLAS!$B$6:$B$47,0),AW22)))</f>
        <v/>
      </c>
      <c r="BD22" s="59" t="str">
        <f>IF(V22&lt;&gt;"SÍ","",INDEX(TABLAS!$D$6:$J$47,MATCH(AV22&amp;"|PL",TABLAS!$B$6:$B$47,0),AW22)+AX22*(INDEX(TABLAS!$D$6:$J$47,MATCH(AV22&amp;"|PL",TABLAS!$B$6:$B$47,0),MIN(AW22+1,7))-INDEX(TABLAS!$D$6:$J$47,MATCH(AV22&amp;"|PL",TABLAS!$B$6:$B$47,0),AW22)))</f>
        <v/>
      </c>
      <c r="BE22" s="56" t="str">
        <f>IF(V22&lt;&gt;"SÍ","",IF(OR(C22&lt;&gt;"VOLADO",MIN(DH22,DI22)=0),0,DATOS!$C$26*DATOS!$C$16*DATOS!$C$86/100*(((AE22*DATOS!$C$81/DATOS!$C$86^2)*DATOS!$C$82/100)*(IF(X22="X",DJ22,DL22)+DATOS!$C$87/2)/100*(AB22-(IF(X22="X",DJ22,DL22)+DATOS!$C$87/2)/2)/100+((AE22*DATOS!$C$81/DATOS!$C$86^2)*DATOS!$C$82/100)*IF(X22="X",DJ22,DL22)/100*IF(X22="X",DJ22,DL22)/200)))</f>
        <v/>
      </c>
      <c r="BF22" s="56" t="str">
        <f>IF(V22&lt;&gt;"SÍ","",IF(OR(C22&lt;&gt;"VOLADO",MIN(DH22,DI22)=0),0,DATOS!$C$26*DATOS!$C$16*DATOS!$C$86/100*((AE22*DATOS!$C$81/DATOS!$C$86^2)*DATOS!$C$82/100)*(IF(X22="X",DJ22,DL22)+DATOS!$C$87/2)/100))</f>
        <v/>
      </c>
      <c r="BG22" s="56" t="str">
        <f>IF(V22&lt;&gt;"SÍ","",IF(C22="PERIMETRAL",BC22*AR22*Y22^2*1E-4*DATOS!$C$86/100/1000,0))</f>
        <v/>
      </c>
      <c r="BH22" s="62" t="str">
        <f>IF(V22&lt;&gt;"SÍ","",IF(C22="PERIMETRAL",MAX(MAX(AY22,BA22)*AR22*Y22^2*1E-4*DATOS!$C$86/100/1000,N(T22)),(AR22*(AB22/100)^2/2+DATOS!$C$26*N(O22)*AB22/100)*DATOS!$C$86/100/1000+BE22))</f>
        <v/>
      </c>
      <c r="BI22" s="56" t="str">
        <f>IF(V22&lt;&gt;"SÍ","",IF(C22="PERIMETRAL",BD22*AR22*Y22^2*1E-4*DATOS!$C$86/100/1000,0))</f>
        <v/>
      </c>
      <c r="BJ22" s="56" t="str">
        <f>IF(V22&lt;&gt;"SÍ","",IF(C22="PERIMETRAL",MAX(MAX(AZ22,BB22)*AR22*Y22^2*1E-4*DATOS!$C$86/100/1000,N(U22)),0))</f>
        <v/>
      </c>
      <c r="BK22" s="63" t="str">
        <f>IF(V22&lt;&gt;"SÍ","",IF(C22&lt;&gt;"PERIMETRAL","—",IF(AND(N(T22)=0,N(U22)=0),"— (sin M⁻ del vecino)",IF(OR(AND(N(T22)&gt;0,ABS(MAX(AY22,BA22)*AR22*Y22^2*1E-4*DATOS!$C$86/100/1000-N(T22))&gt;0.5*MIN(MAX(AY22,BA22)*AR22*Y22^2*1E-4*DATOS!$C$86/100/1000,N(T22))),AND(N(U22)&gt;0,ABS(MAX(AZ22,BB22)*AR22*Y22^2*1E-4*DATOS!$C$86/100/1000-N(U22))&gt;0.5*MIN(MAX(AZ22,BB22)*AR22*Y22^2*1E-4*DATOS!$C$86/100/1000,N(U22)))),"FUERA: difieren &gt; 50 %"&amp;IF(AND(N(T22)&gt;0,ABS(MAX(AY22,BA22)*AR22*Y22^2*1E-4*DATOS!$C$86/100/1000-N(T22))&gt;0.5*MIN(MAX(AY22,BA22)*AR22*Y22^2*1E-4*DATOS!$C$86/100/1000,N(T22)))," ‖ corto","")&amp;IF(AND(N(U22)&gt;0,ABS(MAX(AZ22,BB22)*AR22*Y22^2*1E-4*DATOS!$C$86/100/1000-N(U22))&gt;0.5*MIN(MAX(AZ22,BB22)*AR22*Y22^2*1E-4*DATOS!$C$86/100/1000,N(U22)))," ‖ largo",""),"CUMPLE"))))</f>
        <v/>
      </c>
      <c r="BL22" s="58" t="str">
        <f>IF(V22&lt;&gt;"SÍ","",(DATOS!$C$85-AK22-INDEX(TABLAS!$C$52:$C$58,MATCH(MAX(4,DATOS!$C$71),TABLAS!$B$52:$B$58,0))/2))</f>
        <v/>
      </c>
      <c r="BM22" s="58" t="str">
        <f>IF(V22&lt;&gt;"SÍ","",IF(IF(BG22&lt;=0,0,IF((1-2*BG22*1E5/(DATOS!$C$29*AH22*BL22^2*DATOS!$C$21))&lt;0,-1,IF((1-SQRT((1-2*BG22*1E5/(DATOS!$C$29*AH22*BL22^2*DATOS!$C$21))))*DATOS!$C$21*AH22*BL22/DATOS!$C$14&gt;DATOS!$C$102*AH22*BL22,-1,(1-SQRT((1-2*BG22*1E5/(DATOS!$C$29*AH22*BL22^2*DATOS!$C$21))))*DATOS!$C$21*AH22*BL22/DATOS!$C$14)))&lt;0,-1,MAX(IF(BG22&lt;=0,0,IF((1-2*BG22*1E5/(DATOS!$C$29*AH22*BL22^2*DATOS!$C$21))&lt;0,-1,IF((1-SQRT((1-2*BG22*1E5/(DATOS!$C$29*AH22*BL22^2*DATOS!$C$21))))*DATOS!$C$21*AH22*BL22/DATOS!$C$14&gt;DATOS!$C$102*AH22*BL22,-1,(1-SQRT((1-2*BG22*1E5/(DATOS!$C$29*AH22*BL22^2*DATOS!$C$21))))*DATOS!$C$21*AH22*BL22/DATOS!$C$14))),MIN(DATOS!$C$103*AD22*BL22,4/3*IF(BG22&lt;=0,0,IF((1-2*BG22*1E5/(DATOS!$C$29*AH22*BL22^2*DATOS!$C$21))&lt;0,-1,IF((1-SQRT((1-2*BG22*1E5/(DATOS!$C$29*AH22*BL22^2*DATOS!$C$21))))*DATOS!$C$21*AH22*BL22/DATOS!$C$14&gt;DATOS!$C$102*AH22*BL22,-1,(1-SQRT((1-2*BG22*1E5/(DATOS!$C$29*AH22*BL22^2*DATOS!$C$21))))*DATOS!$C$21*AH22*BL22/DATOS!$C$14)))))))</f>
        <v/>
      </c>
      <c r="BN22" s="64" t="str">
        <f>IF(V22&lt;&gt;"SÍ","",IF(AND(BM22&gt;=0,IF(MAX(DATOS!$C$74,CEILING(BM22/INDEX(TABLAS!$D$52:$D$58,MIN(MATCH(MAX(4,DATOS!$C$71),TABLAS!$B$52:$B$58,0)+0,7)),1))*INDEX(TABLAS!$D$52:$D$58,MIN(MATCH(MAX(4,DATOS!$C$71),TABLAS!$B$52:$B$58,0)+0,7)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+0,7)),1)),MAX(MAX(DATOS!$C$74,CEILING(BM22/INDEX(TABLAS!$D$52:$D$58,MIN(MATCH(MAX(4,DATOS!$C$71),TABLAS!$B$52:$B$58,0)+0,7)),1)),2))&lt;=MIN(DATOS!$C$73,INT(((AD22-2*AK22)+MAX(DATOS!$C$70,INDEX(TABLAS!$C$52:$C$58,MIN(MATCH(MAX(4,DATOS!$C$71),TABLAS!$B$52:$B$58,0)+0,7))))/(INDEX(TABLAS!$C$52:$C$58,MIN(MATCH(MAX(4,DATOS!$C$71),TABLAS!$B$52:$B$58,0)+0,7))+MAX(DATOS!$C$70,INDEX(TABLAS!$C$52:$C$58,MIN(MATCH(MAX(4,DATOS!$C$71),TABLAS!$B$52:$B$58,0)+0,7))))))),INDEX(TABLAS!$B$52:$B$58,MIN(MATCH(MAX(4,DATOS!$C$71),TABLAS!$B$52:$B$58,0)+0,7)),IF(AND(BM22&gt;=0,IF(MAX(DATOS!$C$74,CEILING(BM22/INDEX(TABLAS!$D$52:$D$58,MIN(MATCH(MAX(4,DATOS!$C$71),TABLAS!$B$52:$B$58,0)+1,7)),1))*INDEX(TABLAS!$D$52:$D$58,MIN(MATCH(MAX(4,DATOS!$C$71),TABLAS!$B$52:$B$58,0)+1,7)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+1,7)),1)),MAX(MAX(DATOS!$C$74,CEILING(BM22/INDEX(TABLAS!$D$52:$D$58,MIN(MATCH(MAX(4,DATOS!$C$71),TABLAS!$B$52:$B$58,0)+1,7)),1)),2))&lt;=MIN(DATOS!$C$73,INT(((AD22-2*AK22)+MAX(DATOS!$C$70,INDEX(TABLAS!$C$52:$C$58,MIN(MATCH(MAX(4,DATOS!$C$71),TABLAS!$B$52:$B$58,0)+1,7))))/(INDEX(TABLAS!$C$52:$C$58,MIN(MATCH(MAX(4,DATOS!$C$71),TABLAS!$B$52:$B$58,0)+1,7))+MAX(DATOS!$C$70,INDEX(TABLAS!$C$52:$C$58,MIN(MATCH(MAX(4,DATOS!$C$71),TABLAS!$B$52:$B$58,0)+1,7))))))),INDEX(TABLAS!$B$52:$B$58,MIN(MATCH(MAX(4,DATOS!$C$71),TABLAS!$B$52:$B$58,0)+1,7)),IF(AND(BM22&gt;=0,IF(MAX(DATOS!$C$74,CEILING(BM22/INDEX(TABLAS!$D$52:$D$58,MIN(MATCH(MAX(4,DATOS!$C$71),TABLAS!$B$52:$B$58,0)+2,7)),1))*INDEX(TABLAS!$D$52:$D$58,MIN(MATCH(MAX(4,DATOS!$C$71),TABLAS!$B$52:$B$58,0)+2,7)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+2,7)),1)),MAX(MAX(DATOS!$C$74,CEILING(BM22/INDEX(TABLAS!$D$52:$D$58,MIN(MATCH(MAX(4,DATOS!$C$71),TABLAS!$B$52:$B$58,0)+2,7)),1)),2))&lt;=MIN(DATOS!$C$73,INT(((AD22-2*AK22)+MAX(DATOS!$C$70,INDEX(TABLAS!$C$52:$C$58,MIN(MATCH(MAX(4,DATOS!$C$71),TABLAS!$B$52:$B$58,0)+2,7))))/(INDEX(TABLAS!$C$52:$C$58,MIN(MATCH(MAX(4,DATOS!$C$71),TABLAS!$B$52:$B$58,0)+2,7))+MAX(DATOS!$C$70,INDEX(TABLAS!$C$52:$C$58,MIN(MATCH(MAX(4,DATOS!$C$71),TABLAS!$B$52:$B$58,0)+2,7))))))),INDEX(TABLAS!$B$52:$B$58,MIN(MATCH(MAX(4,DATOS!$C$71),TABLAS!$B$52:$B$58,0)+2,7)),IF(AND(BM22&gt;=0,IF(MAX(DATOS!$C$74,CEILING(BM22/INDEX(TABLAS!$D$52:$D$58,MIN(MATCH(MAX(4,DATOS!$C$71),TABLAS!$B$52:$B$58,0)+3,7)),1))*INDEX(TABLAS!$D$52:$D$58,MIN(MATCH(MAX(4,DATOS!$C$71),TABLAS!$B$52:$B$58,0)+3,7)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+3,7)),1)),MAX(MAX(DATOS!$C$74,CEILING(BM22/INDEX(TABLAS!$D$52:$D$58,MIN(MATCH(MAX(4,DATOS!$C$71),TABLAS!$B$52:$B$58,0)+3,7)),1)),2))&lt;=MIN(DATOS!$C$73,INT(((AD22-2*AK22)+MAX(DATOS!$C$70,INDEX(TABLAS!$C$52:$C$58,MIN(MATCH(MAX(4,DATOS!$C$71),TABLAS!$B$52:$B$58,0)+3,7))))/(INDEX(TABLAS!$C$52:$C$58,MIN(MATCH(MAX(4,DATOS!$C$71),TABLAS!$B$52:$B$58,0)+3,7))+MAX(DATOS!$C$70,INDEX(TABLAS!$C$52:$C$58,MIN(MATCH(MAX(4,DATOS!$C$71),TABLAS!$B$52:$B$58,0)+3,7))))))),INDEX(TABLAS!$B$52:$B$58,MIN(MATCH(MAX(4,DATOS!$C$71),TABLAS!$B$52:$B$58,0)+3,7)),IF(AND(BM22&gt;=0,IF(MAX(DATOS!$C$74,CEILING(BM22/INDEX(TABLAS!$D$52:$D$58,MIN(MATCH(MAX(4,DATOS!$C$71),TABLAS!$B$52:$B$58,0)+4,7)),1))*INDEX(TABLAS!$D$52:$D$58,MIN(MATCH(MAX(4,DATOS!$C$71),TABLAS!$B$52:$B$58,0)+4,7)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+4,7)),1)),MAX(MAX(DATOS!$C$74,CEILING(BM22/INDEX(TABLAS!$D$52:$D$58,MIN(MATCH(MAX(4,DATOS!$C$71),TABLAS!$B$52:$B$58,0)+4,7)),1)),2))&lt;=MIN(DATOS!$C$73,INT(((AD22-2*AK22)+MAX(DATOS!$C$70,INDEX(TABLAS!$C$52:$C$58,MIN(MATCH(MAX(4,DATOS!$C$71),TABLAS!$B$52:$B$58,0)+4,7))))/(INDEX(TABLAS!$C$52:$C$58,MIN(MATCH(MAX(4,DATOS!$C$71),TABLAS!$B$52:$B$58,0)+4,7))+MAX(DATOS!$C$70,INDEX(TABLAS!$C$52:$C$58,MIN(MATCH(MAX(4,DATOS!$C$71),TABLAS!$B$52:$B$58,0)+4,7))))))),INDEX(TABLAS!$B$52:$B$58,MIN(MATCH(MAX(4,DATOS!$C$71),TABLAS!$B$52:$B$58,0)+4,7)),INDEX(TABLAS!$B$52:$B$58,7)))))))</f>
        <v/>
      </c>
      <c r="BO22" s="59" t="str">
        <f>IF(V22&lt;&gt;"SÍ","",IF(BM22&lt;0,0,IF(MAX(DATOS!$C$74,CEILING(MAX(BM22,0)/INDEX(TABLAS!$D$52:$D$58,MATCH(BN22,TABLAS!$B$52:$B$58,0)),1))*INDEX(TABLAS!$D$52:$D$58,MATCH(BN22,TABLAS!$B$52:$B$58,0))&gt;=4/3*IF(BG22&lt;=0,0,IF((1-2*BG22*1E5/(DATOS!$C$29*AH22*BL22^2*DATOS!$C$21))&lt;0,-1,IF((1-SQRT((1-2*BG22*1E5/(DATOS!$C$29*AH22*BL22^2*DATOS!$C$21))))*DATOS!$C$21*AH22*BL22/DATOS!$C$14&gt;DATOS!$C$102*AH22*BL22,-1,(1-SQRT((1-2*BG22*1E5/(DATOS!$C$29*AH22*BL22^2*DATOS!$C$21))))*DATOS!$C$21*AH22*BL22/DATOS!$C$14)))-0.0001,MAX(DATOS!$C$74,CEILING(MAX(BM22,0)/INDEX(TABLAS!$D$52:$D$58,MATCH(BN22,TABLAS!$B$52:$B$58,0)),1)),MAX(MAX(DATOS!$C$74,CEILING(MAX(BM22,0)/INDEX(TABLAS!$D$52:$D$58,MATCH(BN22,TABLAS!$B$52:$B$58,0)),1)),2))))</f>
        <v/>
      </c>
      <c r="BP22" s="58" t="str">
        <f>IF(V22&lt;&gt;"SÍ","",DATOS!$C$85-AK22-INDEX(TABLAS!$C$52:$C$58,MATCH(BN22,TABLAS!$B$52:$B$58,0))/2)</f>
        <v/>
      </c>
      <c r="BQ22" s="56" t="str">
        <f>IF(V22&lt;&gt;"SÍ","",IF(BO22=0,0,DATOS!$C$29*BO22*INDEX(TABLAS!$D$52:$D$58,MATCH(BN22,TABLAS!$B$52:$B$58,0))*DATOS!$C$14*(BP22-BO22*INDEX(TABLAS!$D$52:$D$58,MATCH(BN22,TABLAS!$B$52:$B$58,0))*DATOS!$C$14/(DATOS!$C$21*AH22)/2)/1E5))</f>
        <v/>
      </c>
      <c r="BR22" s="65" t="str">
        <f>IF(V22&lt;&gt;"SÍ","",IF(BM22&lt;0,9.99,IF(BQ22&gt;0,BG22/BQ22,0)))</f>
        <v/>
      </c>
      <c r="BS22" s="66" t="str">
        <f>IF(V22&lt;&gt;"SÍ","",IF(BO22=0,"—",0.003*(BP22-(BO22*INDEX(TABLAS!$D$52:$D$58,MATCH(BN22,TABLAS!$B$52:$B$58,0))*DATOS!$C$14/(DATOS!$C$21*AH22)/DATOS!$C$22))/(BO22*INDEX(TABLAS!$D$52:$D$58,MATCH(BN22,TABLAS!$B$52:$B$58,0))*DATOS!$C$14/(DATOS!$C$21*AH22)/DATOS!$C$22)))</f>
        <v/>
      </c>
      <c r="BT22" s="58" t="str">
        <f>IF(V22&lt;&gt;"SÍ","",((DATOS!$C$85-AM22-2*DATOS!$C$97-INDEX(TABLAS!$C$52:$C$58,MATCH(MAX(4,DATOS!$C$72),TABLAS!$B$52:$B$58,0))/2)-IF(AND((DATOS!$C$85-AM22-2*DATOS!$C$97-INDEX(TABLAS!$C$52:$C$58,MATCH(MAX(4,DATOS!$C$72),TABLAS!$B$52:$B$58,0))/2)&lt;=20,DATOS!$C$65&lt;&gt;"SÍ"),2,0)))</f>
        <v/>
      </c>
      <c r="BU22" s="58" t="str">
        <f>IF(V22&lt;&gt;"SÍ","",IF(IF(BH22&lt;=0,0,IF((1-2*BH22*1E5/(DATOS!$C$29*AF22*BT22^2*DATOS!$C$21))&lt;0,-1,IF((1-SQRT((1-2*BH22*1E5/(DATOS!$C$29*AF22*BT22^2*DATOS!$C$21))))*DATOS!$C$21*AF22*BT22/DATOS!$C$14&gt;DATOS!$C$102*AF22*BT22,-1,(1-SQRT((1-2*BH22*1E5/(DATOS!$C$29*AF22*BT22^2*DATOS!$C$21))))*DATOS!$C$21*AF22*BT22/DATOS!$C$14)))&lt;0,-1,MAX(IF(BH22&lt;=0,0,IF((1-2*BH22*1E5/(DATOS!$C$29*AF22*BT22^2*DATOS!$C$21))&lt;0,-1,IF((1-SQRT((1-2*BH22*1E5/(DATOS!$C$29*AF22*BT22^2*DATOS!$C$21))))*DATOS!$C$21*AF22*BT22/DATOS!$C$14&gt;DATOS!$C$102*AF22*BT22,-1,(1-SQRT((1-2*BH22*1E5/(DATOS!$C$29*AF22*BT22^2*DATOS!$C$21))))*DATOS!$C$21*AF22*BT22/DATOS!$C$14))),MIN(DATOS!$C$103*IF(C22="VOLADO",MIN(AH22,2*AD22),AD22)*BT22,4/3*IF(BH22&lt;=0,0,IF((1-2*BH22*1E5/(DATOS!$C$29*AF22*BT22^2*DATOS!$C$21))&lt;0,-1,IF((1-SQRT((1-2*BH22*1E5/(DATOS!$C$29*AF22*BT22^2*DATOS!$C$21))))*DATOS!$C$21*AF22*BT22/DATOS!$C$14&gt;DATOS!$C$102*AF22*BT22,-1,(1-SQRT((1-2*BH22*1E5/(DATOS!$C$29*AF22*BT22^2*DATOS!$C$21))))*DATOS!$C$21*AF22*BT22/DATOS!$C$14)))))))</f>
        <v/>
      </c>
      <c r="BV22" s="64" t="str">
        <f>IF(V22&lt;&gt;"SÍ","",IF(AND(BU22&gt;=0,IF(MAX(DATOS!$C$74,CEILING(BU22/INDEX(TABLAS!$D$52:$D$58,MIN(MATCH(MAX(4,DATOS!$C$72),TABLAS!$B$52:$B$58,0)+0,7)),1))*INDEX(TABLAS!$D$52:$D$58,MIN(MATCH(MAX(4,DATOS!$C$72),TABLAS!$B$52:$B$58,0)+0,7)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+0,7)),1)),MAX(MAX(DATOS!$C$74,CEILING(BU22/INDEX(TABLAS!$D$52:$D$58,MIN(MATCH(MAX(4,DATOS!$C$72),TABLAS!$B$52:$B$58,0)+0,7)),1)),2))&lt;=MIN(DATOS!$C$73,INT(((AD22-2*AL22)+MAX(DATOS!$C$70,INDEX(TABLAS!$C$52:$C$58,MIN(MATCH(MAX(4,DATOS!$C$72),TABLAS!$B$52:$B$58,0)+0,7))))/(INDEX(TABLAS!$C$52:$C$58,MIN(MATCH(MAX(4,DATOS!$C$72),TABLAS!$B$52:$B$58,0)+0,7))+MAX(DATOS!$C$70,INDEX(TABLAS!$C$52:$C$58,MIN(MATCH(MAX(4,DATOS!$C$72),TABLAS!$B$52:$B$58,0)+0,7))))))),INDEX(TABLAS!$B$52:$B$58,MIN(MATCH(MAX(4,DATOS!$C$72),TABLAS!$B$52:$B$58,0)+0,7)),IF(AND(BU22&gt;=0,IF(MAX(DATOS!$C$74,CEILING(BU22/INDEX(TABLAS!$D$52:$D$58,MIN(MATCH(MAX(4,DATOS!$C$72),TABLAS!$B$52:$B$58,0)+1,7)),1))*INDEX(TABLAS!$D$52:$D$58,MIN(MATCH(MAX(4,DATOS!$C$72),TABLAS!$B$52:$B$58,0)+1,7)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+1,7)),1)),MAX(MAX(DATOS!$C$74,CEILING(BU22/INDEX(TABLAS!$D$52:$D$58,MIN(MATCH(MAX(4,DATOS!$C$72),TABLAS!$B$52:$B$58,0)+1,7)),1)),2))&lt;=MIN(DATOS!$C$73,INT(((AD22-2*AL22)+MAX(DATOS!$C$70,INDEX(TABLAS!$C$52:$C$58,MIN(MATCH(MAX(4,DATOS!$C$72),TABLAS!$B$52:$B$58,0)+1,7))))/(INDEX(TABLAS!$C$52:$C$58,MIN(MATCH(MAX(4,DATOS!$C$72),TABLAS!$B$52:$B$58,0)+1,7))+MAX(DATOS!$C$70,INDEX(TABLAS!$C$52:$C$58,MIN(MATCH(MAX(4,DATOS!$C$72),TABLAS!$B$52:$B$58,0)+1,7))))))),INDEX(TABLAS!$B$52:$B$58,MIN(MATCH(MAX(4,DATOS!$C$72),TABLAS!$B$52:$B$58,0)+1,7)),IF(AND(BU22&gt;=0,IF(MAX(DATOS!$C$74,CEILING(BU22/INDEX(TABLAS!$D$52:$D$58,MIN(MATCH(MAX(4,DATOS!$C$72),TABLAS!$B$52:$B$58,0)+2,7)),1))*INDEX(TABLAS!$D$52:$D$58,MIN(MATCH(MAX(4,DATOS!$C$72),TABLAS!$B$52:$B$58,0)+2,7)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+2,7)),1)),MAX(MAX(DATOS!$C$74,CEILING(BU22/INDEX(TABLAS!$D$52:$D$58,MIN(MATCH(MAX(4,DATOS!$C$72),TABLAS!$B$52:$B$58,0)+2,7)),1)),2))&lt;=MIN(DATOS!$C$73,INT(((AD22-2*AL22)+MAX(DATOS!$C$70,INDEX(TABLAS!$C$52:$C$58,MIN(MATCH(MAX(4,DATOS!$C$72),TABLAS!$B$52:$B$58,0)+2,7))))/(INDEX(TABLAS!$C$52:$C$58,MIN(MATCH(MAX(4,DATOS!$C$72),TABLAS!$B$52:$B$58,0)+2,7))+MAX(DATOS!$C$70,INDEX(TABLAS!$C$52:$C$58,MIN(MATCH(MAX(4,DATOS!$C$72),TABLAS!$B$52:$B$58,0)+2,7))))))),INDEX(TABLAS!$B$52:$B$58,MIN(MATCH(MAX(4,DATOS!$C$72),TABLAS!$B$52:$B$58,0)+2,7)),IF(AND(BU22&gt;=0,IF(MAX(DATOS!$C$74,CEILING(BU22/INDEX(TABLAS!$D$52:$D$58,MIN(MATCH(MAX(4,DATOS!$C$72),TABLAS!$B$52:$B$58,0)+3,7)),1))*INDEX(TABLAS!$D$52:$D$58,MIN(MATCH(MAX(4,DATOS!$C$72),TABLAS!$B$52:$B$58,0)+3,7)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+3,7)),1)),MAX(MAX(DATOS!$C$74,CEILING(BU22/INDEX(TABLAS!$D$52:$D$58,MIN(MATCH(MAX(4,DATOS!$C$72),TABLAS!$B$52:$B$58,0)+3,7)),1)),2))&lt;=MIN(DATOS!$C$73,INT(((AD22-2*AL22)+MAX(DATOS!$C$70,INDEX(TABLAS!$C$52:$C$58,MIN(MATCH(MAX(4,DATOS!$C$72),TABLAS!$B$52:$B$58,0)+3,7))))/(INDEX(TABLAS!$C$52:$C$58,MIN(MATCH(MAX(4,DATOS!$C$72),TABLAS!$B$52:$B$58,0)+3,7))+MAX(DATOS!$C$70,INDEX(TABLAS!$C$52:$C$58,MIN(MATCH(MAX(4,DATOS!$C$72),TABLAS!$B$52:$B$58,0)+3,7))))))),INDEX(TABLAS!$B$52:$B$58,MIN(MATCH(MAX(4,DATOS!$C$72),TABLAS!$B$52:$B$58,0)+3,7)),IF(AND(BU22&gt;=0,IF(MAX(DATOS!$C$74,CEILING(BU22/INDEX(TABLAS!$D$52:$D$58,MIN(MATCH(MAX(4,DATOS!$C$72),TABLAS!$B$52:$B$58,0)+4,7)),1))*INDEX(TABLAS!$D$52:$D$58,MIN(MATCH(MAX(4,DATOS!$C$72),TABLAS!$B$52:$B$58,0)+4,7)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+4,7)),1)),MAX(MAX(DATOS!$C$74,CEILING(BU22/INDEX(TABLAS!$D$52:$D$58,MIN(MATCH(MAX(4,DATOS!$C$72),TABLAS!$B$52:$B$58,0)+4,7)),1)),2))&lt;=MIN(DATOS!$C$73,INT(((AD22-2*AL22)+MAX(DATOS!$C$70,INDEX(TABLAS!$C$52:$C$58,MIN(MATCH(MAX(4,DATOS!$C$72),TABLAS!$B$52:$B$58,0)+4,7))))/(INDEX(TABLAS!$C$52:$C$58,MIN(MATCH(MAX(4,DATOS!$C$72),TABLAS!$B$52:$B$58,0)+4,7))+MAX(DATOS!$C$70,INDEX(TABLAS!$C$52:$C$58,MIN(MATCH(MAX(4,DATOS!$C$72),TABLAS!$B$52:$B$58,0)+4,7))))))),INDEX(TABLAS!$B$52:$B$58,MIN(MATCH(MAX(4,DATOS!$C$72),TABLAS!$B$52:$B$58,0)+4,7)),INDEX(TABLAS!$B$52:$B$58,7)))))))</f>
        <v/>
      </c>
      <c r="BW22" s="59" t="str">
        <f>IF(V22&lt;&gt;"SÍ","",IF(BU22&lt;0,0,IF(MAX(DATOS!$C$74,CEILING(MAX(BU22,0)/INDEX(TABLAS!$D$52:$D$58,MATCH(BV22,TABLAS!$B$52:$B$58,0)),1))*INDEX(TABLAS!$D$52:$D$58,MATCH(BV22,TABLAS!$B$52:$B$58,0))&gt;=4/3*IF(BH22&lt;=0,0,IF((1-2*BH22*1E5/(DATOS!$C$29*AF22*BT22^2*DATOS!$C$21))&lt;0,-1,IF((1-SQRT((1-2*BH22*1E5/(DATOS!$C$29*AF22*BT22^2*DATOS!$C$21))))*DATOS!$C$21*AF22*BT22/DATOS!$C$14&gt;DATOS!$C$102*AF22*BT22,-1,(1-SQRT((1-2*BH22*1E5/(DATOS!$C$29*AF22*BT22^2*DATOS!$C$21))))*DATOS!$C$21*AF22*BT22/DATOS!$C$14)))-0.0001,MAX(DATOS!$C$74,CEILING(MAX(BU22,0)/INDEX(TABLAS!$D$52:$D$58,MATCH(BV22,TABLAS!$B$52:$B$58,0)),1)),MAX(MAX(DATOS!$C$74,CEILING(MAX(BU22,0)/INDEX(TABLAS!$D$52:$D$58,MATCH(BV22,TABLAS!$B$52:$B$58,0)),1)),2))))</f>
        <v/>
      </c>
      <c r="BX22" s="58" t="str">
        <f>IF(V22&lt;&gt;"SÍ","",((DATOS!$C$85-AM22-2*DATOS!$C$97-INDEX(TABLAS!$C$52:$C$58,MATCH(BV22,TABLAS!$B$52:$B$58,0))/2)-IF(AND((DATOS!$C$85-AM22-2*DATOS!$C$97-INDEX(TABLAS!$C$52:$C$58,MATCH(BV22,TABLAS!$B$52:$B$58,0))/2)&lt;=20,DATOS!$C$65&lt;&gt;"SÍ"),2,0)))</f>
        <v/>
      </c>
      <c r="BY22" s="56" t="str">
        <f>IF(V22&lt;&gt;"SÍ","",IF(BW22=0,0,DATOS!$C$29*BW22*INDEX(TABLAS!$D$52:$D$58,MATCH(BV22,TABLAS!$B$52:$B$58,0))*DATOS!$C$14*(BX22-BW22*INDEX(TABLAS!$D$52:$D$58,MATCH(BV22,TABLAS!$B$52:$B$58,0))*DATOS!$C$14/(DATOS!$C$21*AF22)/2)/1E5))</f>
        <v/>
      </c>
      <c r="BZ22" s="65" t="str">
        <f>IF(V22&lt;&gt;"SÍ","",IF(BU22&lt;0,9.99,IF(BY22&gt;0,BH22/BY22,0)))</f>
        <v/>
      </c>
      <c r="CA22" s="66" t="str">
        <f>IF(V22&lt;&gt;"SÍ","",IF(BW22=0,"—",0.003*(BX22-(BW22*INDEX(TABLAS!$D$52:$D$58,MATCH(BV22,TABLAS!$B$52:$B$58,0))*DATOS!$C$14/(DATOS!$C$21*AF22)/DATOS!$C$22))/(BW22*INDEX(TABLAS!$D$52:$D$58,MATCH(BV22,TABLAS!$B$52:$B$58,0))*DATOS!$C$14/(DATOS!$C$21*AF22)/DATOS!$C$22)))</f>
        <v/>
      </c>
      <c r="CB22" s="58" t="str">
        <f>IF(V22&lt;&gt;"SÍ","",(DATOS!$C$85-AK22-INDEX(TABLAS!$C$52:$C$58,MATCH(MAX(4,DATOS!$C$71),TABLAS!$B$52:$B$58,0))-INDEX(TABLAS!$C$52:$C$58,MATCH(MAX(4,DATOS!$C$71),TABLAS!$B$52:$B$58,0))/2))</f>
        <v/>
      </c>
      <c r="CC22" s="58" t="str">
        <f>IF(V22&lt;&gt;"SÍ","",IF(IF(BI22&lt;=0,0,IF((1-2*BI22*1E5/(DATOS!$C$29*AI22*CB22^2*DATOS!$C$21))&lt;0,-1,IF((1-SQRT((1-2*BI22*1E5/(DATOS!$C$29*AI22*CB22^2*DATOS!$C$21))))*DATOS!$C$21*AI22*CB22/DATOS!$C$14&gt;DATOS!$C$102*AI22*CB22,-1,(1-SQRT((1-2*BI22*1E5/(DATOS!$C$29*AI22*CB22^2*DATOS!$C$21))))*DATOS!$C$21*AI22*CB22/DATOS!$C$14)))&lt;0,-1,MAX(IF(BI22&lt;=0,0,IF((1-2*BI22*1E5/(DATOS!$C$29*AI22*CB22^2*DATOS!$C$21))&lt;0,-1,IF((1-SQRT((1-2*BI22*1E5/(DATOS!$C$29*AI22*CB22^2*DATOS!$C$21))))*DATOS!$C$21*AI22*CB22/DATOS!$C$14&gt;DATOS!$C$102*AI22*CB22,-1,(1-SQRT((1-2*BI22*1E5/(DATOS!$C$29*AI22*CB22^2*DATOS!$C$21))))*DATOS!$C$21*AI22*CB22/DATOS!$C$14))),MIN(DATOS!$C$103*DATOS!$C$83*CB22,4/3*IF(BI22&lt;=0,0,IF((1-2*BI22*1E5/(DATOS!$C$29*AI22*CB22^2*DATOS!$C$21))&lt;0,-1,IF((1-SQRT((1-2*BI22*1E5/(DATOS!$C$29*AI22*CB22^2*DATOS!$C$21))))*DATOS!$C$21*AI22*CB22/DATOS!$C$14&gt;DATOS!$C$102*AI22*CB22,-1,(1-SQRT((1-2*BI22*1E5/(DATOS!$C$29*AI22*CB22^2*DATOS!$C$21))))*DATOS!$C$21*AI22*CB22/DATOS!$C$14)))))))</f>
        <v/>
      </c>
      <c r="CD22" s="64" t="str">
        <f>IF(V22&lt;&gt;"SÍ","",IF(AND(CC22&gt;=0,IF(MAX(DATOS!$C$74,CEILING(CC22/INDEX(TABLAS!$D$52:$D$58,MIN(MATCH(MAX(4,DATOS!$C$71),TABLAS!$B$52:$B$58,0)+0,7)),1))*INDEX(TABLAS!$D$52:$D$58,MIN(MATCH(MAX(4,DATOS!$C$71),TABLAS!$B$52:$B$58,0)+0,7)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+0,7)),1)),MAX(MAX(DATOS!$C$74,CEILING(CC22/INDEX(TABLAS!$D$52:$D$58,MIN(MATCH(MAX(4,DATOS!$C$71),TABLAS!$B$52:$B$58,0)+0,7)),1)),2))&lt;=MIN(DATOS!$C$73,INT(((DATOS!$C$83-2*AK22)+MAX(DATOS!$C$70,INDEX(TABLAS!$C$52:$C$58,MIN(MATCH(MAX(4,DATOS!$C$71),TABLAS!$B$52:$B$58,0)+0,7))))/(INDEX(TABLAS!$C$52:$C$58,MIN(MATCH(MAX(4,DATOS!$C$71),TABLAS!$B$52:$B$58,0)+0,7))+MAX(DATOS!$C$70,INDEX(TABLAS!$C$52:$C$58,MIN(MATCH(MAX(4,DATOS!$C$71),TABLAS!$B$52:$B$58,0)+0,7))))))),INDEX(TABLAS!$B$52:$B$58,MIN(MATCH(MAX(4,DATOS!$C$71),TABLAS!$B$52:$B$58,0)+0,7)),IF(AND(CC22&gt;=0,IF(MAX(DATOS!$C$74,CEILING(CC22/INDEX(TABLAS!$D$52:$D$58,MIN(MATCH(MAX(4,DATOS!$C$71),TABLAS!$B$52:$B$58,0)+1,7)),1))*INDEX(TABLAS!$D$52:$D$58,MIN(MATCH(MAX(4,DATOS!$C$71),TABLAS!$B$52:$B$58,0)+1,7)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+1,7)),1)),MAX(MAX(DATOS!$C$74,CEILING(CC22/INDEX(TABLAS!$D$52:$D$58,MIN(MATCH(MAX(4,DATOS!$C$71),TABLAS!$B$52:$B$58,0)+1,7)),1)),2))&lt;=MIN(DATOS!$C$73,INT(((DATOS!$C$83-2*AK22)+MAX(DATOS!$C$70,INDEX(TABLAS!$C$52:$C$58,MIN(MATCH(MAX(4,DATOS!$C$71),TABLAS!$B$52:$B$58,0)+1,7))))/(INDEX(TABLAS!$C$52:$C$58,MIN(MATCH(MAX(4,DATOS!$C$71),TABLAS!$B$52:$B$58,0)+1,7))+MAX(DATOS!$C$70,INDEX(TABLAS!$C$52:$C$58,MIN(MATCH(MAX(4,DATOS!$C$71),TABLAS!$B$52:$B$58,0)+1,7))))))),INDEX(TABLAS!$B$52:$B$58,MIN(MATCH(MAX(4,DATOS!$C$71),TABLAS!$B$52:$B$58,0)+1,7)),IF(AND(CC22&gt;=0,IF(MAX(DATOS!$C$74,CEILING(CC22/INDEX(TABLAS!$D$52:$D$58,MIN(MATCH(MAX(4,DATOS!$C$71),TABLAS!$B$52:$B$58,0)+2,7)),1))*INDEX(TABLAS!$D$52:$D$58,MIN(MATCH(MAX(4,DATOS!$C$71),TABLAS!$B$52:$B$58,0)+2,7)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+2,7)),1)),MAX(MAX(DATOS!$C$74,CEILING(CC22/INDEX(TABLAS!$D$52:$D$58,MIN(MATCH(MAX(4,DATOS!$C$71),TABLAS!$B$52:$B$58,0)+2,7)),1)),2))&lt;=MIN(DATOS!$C$73,INT(((DATOS!$C$83-2*AK22)+MAX(DATOS!$C$70,INDEX(TABLAS!$C$52:$C$58,MIN(MATCH(MAX(4,DATOS!$C$71),TABLAS!$B$52:$B$58,0)+2,7))))/(INDEX(TABLAS!$C$52:$C$58,MIN(MATCH(MAX(4,DATOS!$C$71),TABLAS!$B$52:$B$58,0)+2,7))+MAX(DATOS!$C$70,INDEX(TABLAS!$C$52:$C$58,MIN(MATCH(MAX(4,DATOS!$C$71),TABLAS!$B$52:$B$58,0)+2,7))))))),INDEX(TABLAS!$B$52:$B$58,MIN(MATCH(MAX(4,DATOS!$C$71),TABLAS!$B$52:$B$58,0)+2,7)),IF(AND(CC22&gt;=0,IF(MAX(DATOS!$C$74,CEILING(CC22/INDEX(TABLAS!$D$52:$D$58,MIN(MATCH(MAX(4,DATOS!$C$71),TABLAS!$B$52:$B$58,0)+3,7)),1))*INDEX(TABLAS!$D$52:$D$58,MIN(MATCH(MAX(4,DATOS!$C$71),TABLAS!$B$52:$B$58,0)+3,7)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+3,7)),1)),MAX(MAX(DATOS!$C$74,CEILING(CC22/INDEX(TABLAS!$D$52:$D$58,MIN(MATCH(MAX(4,DATOS!$C$71),TABLAS!$B$52:$B$58,0)+3,7)),1)),2))&lt;=MIN(DATOS!$C$73,INT(((DATOS!$C$83-2*AK22)+MAX(DATOS!$C$70,INDEX(TABLAS!$C$52:$C$58,MIN(MATCH(MAX(4,DATOS!$C$71),TABLAS!$B$52:$B$58,0)+3,7))))/(INDEX(TABLAS!$C$52:$C$58,MIN(MATCH(MAX(4,DATOS!$C$71),TABLAS!$B$52:$B$58,0)+3,7))+MAX(DATOS!$C$70,INDEX(TABLAS!$C$52:$C$58,MIN(MATCH(MAX(4,DATOS!$C$71),TABLAS!$B$52:$B$58,0)+3,7))))))),INDEX(TABLAS!$B$52:$B$58,MIN(MATCH(MAX(4,DATOS!$C$71),TABLAS!$B$52:$B$58,0)+3,7)),IF(AND(CC22&gt;=0,IF(MAX(DATOS!$C$74,CEILING(CC22/INDEX(TABLAS!$D$52:$D$58,MIN(MATCH(MAX(4,DATOS!$C$71),TABLAS!$B$52:$B$58,0)+4,7)),1))*INDEX(TABLAS!$D$52:$D$58,MIN(MATCH(MAX(4,DATOS!$C$71),TABLAS!$B$52:$B$58,0)+4,7)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+4,7)),1)),MAX(MAX(DATOS!$C$74,CEILING(CC22/INDEX(TABLAS!$D$52:$D$58,MIN(MATCH(MAX(4,DATOS!$C$71),TABLAS!$B$52:$B$58,0)+4,7)),1)),2))&lt;=MIN(DATOS!$C$73,INT(((DATOS!$C$83-2*AK22)+MAX(DATOS!$C$70,INDEX(TABLAS!$C$52:$C$58,MIN(MATCH(MAX(4,DATOS!$C$71),TABLAS!$B$52:$B$58,0)+4,7))))/(INDEX(TABLAS!$C$52:$C$58,MIN(MATCH(MAX(4,DATOS!$C$71),TABLAS!$B$52:$B$58,0)+4,7))+MAX(DATOS!$C$70,INDEX(TABLAS!$C$52:$C$58,MIN(MATCH(MAX(4,DATOS!$C$71),TABLAS!$B$52:$B$58,0)+4,7))))))),INDEX(TABLAS!$B$52:$B$58,MIN(MATCH(MAX(4,DATOS!$C$71),TABLAS!$B$52:$B$58,0)+4,7)),INDEX(TABLAS!$B$52:$B$58,7)))))))</f>
        <v/>
      </c>
      <c r="CE22" s="59" t="str">
        <f>IF(V22&lt;&gt;"SÍ","",IF(CC22&lt;0,0,IF(MAX(DATOS!$C$74,CEILING(MAX(CC22,0)/INDEX(TABLAS!$D$52:$D$58,MATCH(CD22,TABLAS!$B$52:$B$58,0)),1))*INDEX(TABLAS!$D$52:$D$58,MATCH(CD22,TABLAS!$B$52:$B$58,0))&gt;=4/3*IF(BI22&lt;=0,0,IF((1-2*BI22*1E5/(DATOS!$C$29*AI22*CB22^2*DATOS!$C$21))&lt;0,-1,IF((1-SQRT((1-2*BI22*1E5/(DATOS!$C$29*AI22*CB22^2*DATOS!$C$21))))*DATOS!$C$21*AI22*CB22/DATOS!$C$14&gt;DATOS!$C$102*AI22*CB22,-1,(1-SQRT((1-2*BI22*1E5/(DATOS!$C$29*AI22*CB22^2*DATOS!$C$21))))*DATOS!$C$21*AI22*CB22/DATOS!$C$14)))-0.0001,MAX(DATOS!$C$74,CEILING(MAX(CC22,0)/INDEX(TABLAS!$D$52:$D$58,MATCH(CD22,TABLAS!$B$52:$B$58,0)),1)),MAX(MAX(DATOS!$C$74,CEILING(MAX(CC22,0)/INDEX(TABLAS!$D$52:$D$58,MATCH(CD22,TABLAS!$B$52:$B$58,0)),1)),2))))</f>
        <v/>
      </c>
      <c r="CF22" s="58" t="str">
        <f>IF(V22&lt;&gt;"SÍ","",DATOS!$C$85-AK22-INDEX(TABLAS!$C$52:$C$58,MATCH(BN22,TABLAS!$B$52:$B$58,0))-INDEX(TABLAS!$C$52:$C$58,MATCH(CD22,TABLAS!$B$52:$B$58,0))/2)</f>
        <v/>
      </c>
      <c r="CG22" s="56" t="str">
        <f>IF(V22&lt;&gt;"SÍ","",IF(CE22=0,0,DATOS!$C$29*CE22*INDEX(TABLAS!$D$52:$D$58,MATCH(CD22,TABLAS!$B$52:$B$58,0))*DATOS!$C$14*(CF22-CE22*INDEX(TABLAS!$D$52:$D$58,MATCH(CD22,TABLAS!$B$52:$B$58,0))*DATOS!$C$14/(DATOS!$C$21*AI22)/2)/1E5))</f>
        <v/>
      </c>
      <c r="CH22" s="65" t="str">
        <f>IF(V22&lt;&gt;"SÍ","",IF(CC22&lt;0,9.99,IF(CG22&gt;0,BI22/CG22,0)))</f>
        <v/>
      </c>
      <c r="CI22" s="66" t="str">
        <f>IF(V22&lt;&gt;"SÍ","",IF(CE22=0,"—",0.003*(CF22-(CE22*INDEX(TABLAS!$D$52:$D$58,MATCH(CD22,TABLAS!$B$52:$B$58,0))*DATOS!$C$14/(DATOS!$C$21*AI22)/DATOS!$C$22))/(CE22*INDEX(TABLAS!$D$52:$D$58,MATCH(CD22,TABLAS!$B$52:$B$58,0))*DATOS!$C$14/(DATOS!$C$21*AI22)/DATOS!$C$22)))</f>
        <v/>
      </c>
      <c r="CJ22" s="58" t="str">
        <f>IF(V22&lt;&gt;"SÍ","",((DATOS!$C$85-AM22-2*DATOS!$C$97-INDEX(TABLAS!$C$52:$C$58,MATCH(MAX(4,DATOS!$C$72),TABLAS!$B$52:$B$58,0))-INDEX(TABLAS!$C$52:$C$58,MATCH(MAX(4,DATOS!$C$72),TABLAS!$B$52:$B$58,0))/2)-IF(AND((DATOS!$C$85-AM22-2*DATOS!$C$97-INDEX(TABLAS!$C$52:$C$58,MATCH(MAX(4,DATOS!$C$72),TABLAS!$B$52:$B$58,0))-INDEX(TABLAS!$C$52:$C$58,MATCH(MAX(4,DATOS!$C$72),TABLAS!$B$52:$B$58,0))/2)&lt;=20,DATOS!$C$65&lt;&gt;"SÍ"),2,0)))</f>
        <v/>
      </c>
      <c r="CK22" s="58" t="str">
        <f>IF(V22&lt;&gt;"SÍ","",IF(IF(BJ22&lt;=0,0,IF((1-2*BJ22*1E5/(DATOS!$C$29*AG22*CJ22^2*DATOS!$C$21))&lt;0,-1,IF((1-SQRT((1-2*BJ22*1E5/(DATOS!$C$29*AG22*CJ22^2*DATOS!$C$21))))*DATOS!$C$21*AG22*CJ22/DATOS!$C$14&gt;DATOS!$C$102*AG22*CJ22,-1,(1-SQRT((1-2*BJ22*1E5/(DATOS!$C$29*AG22*CJ22^2*DATOS!$C$21))))*DATOS!$C$21*AG22*CJ22/DATOS!$C$14)))&lt;0,-1,MAX(IF(BJ22&lt;=0,0,IF((1-2*BJ22*1E5/(DATOS!$C$29*AG22*CJ22^2*DATOS!$C$21))&lt;0,-1,IF((1-SQRT((1-2*BJ22*1E5/(DATOS!$C$29*AG22*CJ22^2*DATOS!$C$21))))*DATOS!$C$21*AG22*CJ22/DATOS!$C$14&gt;DATOS!$C$102*AG22*CJ22,-1,(1-SQRT((1-2*BJ22*1E5/(DATOS!$C$29*AG22*CJ22^2*DATOS!$C$21))))*DATOS!$C$21*AG22*CJ22/DATOS!$C$14))),MIN(DATOS!$C$103*DATOS!$C$83*CJ22,4/3*IF(BJ22&lt;=0,0,IF((1-2*BJ22*1E5/(DATOS!$C$29*AG22*CJ22^2*DATOS!$C$21))&lt;0,-1,IF((1-SQRT((1-2*BJ22*1E5/(DATOS!$C$29*AG22*CJ22^2*DATOS!$C$21))))*DATOS!$C$21*AG22*CJ22/DATOS!$C$14&gt;DATOS!$C$102*AG22*CJ22,-1,(1-SQRT((1-2*BJ22*1E5/(DATOS!$C$29*AG22*CJ22^2*DATOS!$C$21))))*DATOS!$C$21*AG22*CJ22/DATOS!$C$14)))))))</f>
        <v/>
      </c>
      <c r="CL22" s="64" t="str">
        <f>IF(V22&lt;&gt;"SÍ","",IF(AND(CK22&gt;=0,IF(MAX(DATOS!$C$74,CEILING(CK22/INDEX(TABLAS!$D$52:$D$58,MIN(MATCH(MAX(4,DATOS!$C$72),TABLAS!$B$52:$B$58,0)+0,7)),1))*INDEX(TABLAS!$D$52:$D$58,MIN(MATCH(MAX(4,DATOS!$C$72),TABLAS!$B$52:$B$58,0)+0,7)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+0,7)),1)),MAX(MAX(DATOS!$C$74,CEILING(CK22/INDEX(TABLAS!$D$52:$D$58,MIN(MATCH(MAX(4,DATOS!$C$72),TABLAS!$B$52:$B$58,0)+0,7)),1)),2))&lt;=MIN(DATOS!$C$73,INT(((DATOS!$C$83-2*AL22)+MAX(DATOS!$C$70,INDEX(TABLAS!$C$52:$C$58,MIN(MATCH(MAX(4,DATOS!$C$72),TABLAS!$B$52:$B$58,0)+0,7))))/(INDEX(TABLAS!$C$52:$C$58,MIN(MATCH(MAX(4,DATOS!$C$72),TABLAS!$B$52:$B$58,0)+0,7))+MAX(DATOS!$C$70,INDEX(TABLAS!$C$52:$C$58,MIN(MATCH(MAX(4,DATOS!$C$72),TABLAS!$B$52:$B$58,0)+0,7))))))),INDEX(TABLAS!$B$52:$B$58,MIN(MATCH(MAX(4,DATOS!$C$72),TABLAS!$B$52:$B$58,0)+0,7)),IF(AND(CK22&gt;=0,IF(MAX(DATOS!$C$74,CEILING(CK22/INDEX(TABLAS!$D$52:$D$58,MIN(MATCH(MAX(4,DATOS!$C$72),TABLAS!$B$52:$B$58,0)+1,7)),1))*INDEX(TABLAS!$D$52:$D$58,MIN(MATCH(MAX(4,DATOS!$C$72),TABLAS!$B$52:$B$58,0)+1,7)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+1,7)),1)),MAX(MAX(DATOS!$C$74,CEILING(CK22/INDEX(TABLAS!$D$52:$D$58,MIN(MATCH(MAX(4,DATOS!$C$72),TABLAS!$B$52:$B$58,0)+1,7)),1)),2))&lt;=MIN(DATOS!$C$73,INT(((DATOS!$C$83-2*AL22)+MAX(DATOS!$C$70,INDEX(TABLAS!$C$52:$C$58,MIN(MATCH(MAX(4,DATOS!$C$72),TABLAS!$B$52:$B$58,0)+1,7))))/(INDEX(TABLAS!$C$52:$C$58,MIN(MATCH(MAX(4,DATOS!$C$72),TABLAS!$B$52:$B$58,0)+1,7))+MAX(DATOS!$C$70,INDEX(TABLAS!$C$52:$C$58,MIN(MATCH(MAX(4,DATOS!$C$72),TABLAS!$B$52:$B$58,0)+1,7))))))),INDEX(TABLAS!$B$52:$B$58,MIN(MATCH(MAX(4,DATOS!$C$72),TABLAS!$B$52:$B$58,0)+1,7)),IF(AND(CK22&gt;=0,IF(MAX(DATOS!$C$74,CEILING(CK22/INDEX(TABLAS!$D$52:$D$58,MIN(MATCH(MAX(4,DATOS!$C$72),TABLAS!$B$52:$B$58,0)+2,7)),1))*INDEX(TABLAS!$D$52:$D$58,MIN(MATCH(MAX(4,DATOS!$C$72),TABLAS!$B$52:$B$58,0)+2,7)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+2,7)),1)),MAX(MAX(DATOS!$C$74,CEILING(CK22/INDEX(TABLAS!$D$52:$D$58,MIN(MATCH(MAX(4,DATOS!$C$72),TABLAS!$B$52:$B$58,0)+2,7)),1)),2))&lt;=MIN(DATOS!$C$73,INT(((DATOS!$C$83-2*AL22)+MAX(DATOS!$C$70,INDEX(TABLAS!$C$52:$C$58,MIN(MATCH(MAX(4,DATOS!$C$72),TABLAS!$B$52:$B$58,0)+2,7))))/(INDEX(TABLAS!$C$52:$C$58,MIN(MATCH(MAX(4,DATOS!$C$72),TABLAS!$B$52:$B$58,0)+2,7))+MAX(DATOS!$C$70,INDEX(TABLAS!$C$52:$C$58,MIN(MATCH(MAX(4,DATOS!$C$72),TABLAS!$B$52:$B$58,0)+2,7))))))),INDEX(TABLAS!$B$52:$B$58,MIN(MATCH(MAX(4,DATOS!$C$72),TABLAS!$B$52:$B$58,0)+2,7)),IF(AND(CK22&gt;=0,IF(MAX(DATOS!$C$74,CEILING(CK22/INDEX(TABLAS!$D$52:$D$58,MIN(MATCH(MAX(4,DATOS!$C$72),TABLAS!$B$52:$B$58,0)+3,7)),1))*INDEX(TABLAS!$D$52:$D$58,MIN(MATCH(MAX(4,DATOS!$C$72),TABLAS!$B$52:$B$58,0)+3,7)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+3,7)),1)),MAX(MAX(DATOS!$C$74,CEILING(CK22/INDEX(TABLAS!$D$52:$D$58,MIN(MATCH(MAX(4,DATOS!$C$72),TABLAS!$B$52:$B$58,0)+3,7)),1)),2))&lt;=MIN(DATOS!$C$73,INT(((DATOS!$C$83-2*AL22)+MAX(DATOS!$C$70,INDEX(TABLAS!$C$52:$C$58,MIN(MATCH(MAX(4,DATOS!$C$72),TABLAS!$B$52:$B$58,0)+3,7))))/(INDEX(TABLAS!$C$52:$C$58,MIN(MATCH(MAX(4,DATOS!$C$72),TABLAS!$B$52:$B$58,0)+3,7))+MAX(DATOS!$C$70,INDEX(TABLAS!$C$52:$C$58,MIN(MATCH(MAX(4,DATOS!$C$72),TABLAS!$B$52:$B$58,0)+3,7))))))),INDEX(TABLAS!$B$52:$B$58,MIN(MATCH(MAX(4,DATOS!$C$72),TABLAS!$B$52:$B$58,0)+3,7)),IF(AND(CK22&gt;=0,IF(MAX(DATOS!$C$74,CEILING(CK22/INDEX(TABLAS!$D$52:$D$58,MIN(MATCH(MAX(4,DATOS!$C$72),TABLAS!$B$52:$B$58,0)+4,7)),1))*INDEX(TABLAS!$D$52:$D$58,MIN(MATCH(MAX(4,DATOS!$C$72),TABLAS!$B$52:$B$58,0)+4,7)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+4,7)),1)),MAX(MAX(DATOS!$C$74,CEILING(CK22/INDEX(TABLAS!$D$52:$D$58,MIN(MATCH(MAX(4,DATOS!$C$72),TABLAS!$B$52:$B$58,0)+4,7)),1)),2))&lt;=MIN(DATOS!$C$73,INT(((DATOS!$C$83-2*AL22)+MAX(DATOS!$C$70,INDEX(TABLAS!$C$52:$C$58,MIN(MATCH(MAX(4,DATOS!$C$72),TABLAS!$B$52:$B$58,0)+4,7))))/(INDEX(TABLAS!$C$52:$C$58,MIN(MATCH(MAX(4,DATOS!$C$72),TABLAS!$B$52:$B$58,0)+4,7))+MAX(DATOS!$C$70,INDEX(TABLAS!$C$52:$C$58,MIN(MATCH(MAX(4,DATOS!$C$72),TABLAS!$B$52:$B$58,0)+4,7))))))),INDEX(TABLAS!$B$52:$B$58,MIN(MATCH(MAX(4,DATOS!$C$72),TABLAS!$B$52:$B$58,0)+4,7)),INDEX(TABLAS!$B$52:$B$58,7)))))))</f>
        <v/>
      </c>
      <c r="CM22" s="59" t="str">
        <f>IF(V22&lt;&gt;"SÍ","",IF(CK22&lt;0,0,IF(MAX(DATOS!$C$74,CEILING(MAX(CK22,0)/INDEX(TABLAS!$D$52:$D$58,MATCH(CL22,TABLAS!$B$52:$B$58,0)),1))*INDEX(TABLAS!$D$52:$D$58,MATCH(CL22,TABLAS!$B$52:$B$58,0))&gt;=4/3*IF(BJ22&lt;=0,0,IF((1-2*BJ22*1E5/(DATOS!$C$29*AG22*CJ22^2*DATOS!$C$21))&lt;0,-1,IF((1-SQRT((1-2*BJ22*1E5/(DATOS!$C$29*AG22*CJ22^2*DATOS!$C$21))))*DATOS!$C$21*AG22*CJ22/DATOS!$C$14&gt;DATOS!$C$102*AG22*CJ22,-1,(1-SQRT((1-2*BJ22*1E5/(DATOS!$C$29*AG22*CJ22^2*DATOS!$C$21))))*DATOS!$C$21*AG22*CJ22/DATOS!$C$14)))-0.0001,MAX(DATOS!$C$74,CEILING(MAX(CK22,0)/INDEX(TABLAS!$D$52:$D$58,MATCH(CL22,TABLAS!$B$52:$B$58,0)),1)),MAX(MAX(DATOS!$C$74,CEILING(MAX(CK22,0)/INDEX(TABLAS!$D$52:$D$58,MATCH(CL22,TABLAS!$B$52:$B$58,0)),1)),2))))</f>
        <v/>
      </c>
      <c r="CN22" s="58" t="str">
        <f>IF(V22&lt;&gt;"SÍ","",((DATOS!$C$85-AM22-2*DATOS!$C$97-INDEX(TABLAS!$C$52:$C$58,MATCH(BV22,TABLAS!$B$52:$B$58,0))-INDEX(TABLAS!$C$52:$C$58,MATCH(CL22,TABLAS!$B$52:$B$58,0))/2)-IF(AND((DATOS!$C$85-AM22-2*DATOS!$C$97-INDEX(TABLAS!$C$52:$C$58,MATCH(BV22,TABLAS!$B$52:$B$58,0))-INDEX(TABLAS!$C$52:$C$58,MATCH(CL22,TABLAS!$B$52:$B$58,0))/2)&lt;=20,DATOS!$C$65&lt;&gt;"SÍ"),2,0)))</f>
        <v/>
      </c>
      <c r="CO22" s="56" t="str">
        <f>IF(V22&lt;&gt;"SÍ","",IF(CM22=0,0,DATOS!$C$29*CM22*INDEX(TABLAS!$D$52:$D$58,MATCH(CL22,TABLAS!$B$52:$B$58,0))*DATOS!$C$14*(CN22-CM22*INDEX(TABLAS!$D$52:$D$58,MATCH(CL22,TABLAS!$B$52:$B$58,0))*DATOS!$C$14/(DATOS!$C$21*AG22)/2)/1E5))</f>
        <v/>
      </c>
      <c r="CP22" s="65" t="str">
        <f>IF(V22&lt;&gt;"SÍ","",IF(CK22&lt;0,9.99,IF(CO22&gt;0,BJ22/CO22,0)))</f>
        <v/>
      </c>
      <c r="CQ22" s="66" t="str">
        <f>IF(V22&lt;&gt;"SÍ","",IF(CM22=0,"—",0.003*(CN22-(CM22*INDEX(TABLAS!$D$52:$D$58,MATCH(CL22,TABLAS!$B$52:$B$58,0))*DATOS!$C$14/(DATOS!$C$21*AG22)/DATOS!$C$22))/(CM22*INDEX(TABLAS!$D$52:$D$58,MATCH(CL22,TABLAS!$B$52:$B$58,0))*DATOS!$C$14/(DATOS!$C$21*AG22)/DATOS!$C$22)))</f>
        <v/>
      </c>
      <c r="CR22" s="56" t="str">
        <f>IF(V22&lt;&gt;"SÍ","",IF(C22="PERIMETRAL",MAX(0,(AB22/2-BX22)/100)*(0.95-0.5*AA22)*AR22*IF(AND(AS22&gt;0,AS22&lt;4),DATOS!$C$33,1)*DATOS!$C$86/100/1000,(AR22*MAX(0,AB22-BX22)/100+DATOS!$C$26*N(O22))*DATOS!$C$86/100/1000+BF22))</f>
        <v/>
      </c>
      <c r="CS22" s="56" t="str">
        <f>IF(V22&lt;&gt;"SÍ","",DATOS!$C$30*2*MIN(1,SQRT(2/(1+0.04*BX22)))*(BW22*INDEX(TABLAS!$D$52:$D$58,MATCH(BV22,TABLAS!$B$52:$B$58,0))/(AF22*BX22))^(1/3)*SQRT(DATOS!$C$13)*AF22*BX22*IF(AJ22="SÍ",DATOS!$C$32,1)/1000)</f>
        <v/>
      </c>
      <c r="CT22" s="59" t="str">
        <f>IF(V22&lt;&gt;"SÍ","",IF(CR22&lt;=CS22,0,CEILING(MAX(0,IF(C22="VOLADO",(AB22-((CS22-BF22)*1E5/DATOS!$C$86-DATOS!$C$26*N(O22))*100/AR22),IF(CS22&lt;=0,AB22,AB22/2-CS22/MAX(CR22,1E-9)*(AB22/2-BX22)))-IF(X22="X",MIN(DJ22,DK22),MIN(DL22,DM22)))/DATOS!$C$86,1)))</f>
        <v/>
      </c>
      <c r="CU22" s="67" t="str">
        <f>IF(V22&lt;&gt;"SÍ","",IF(CR22&lt;=CS22,"CUMPLE",IF(CT22&lt;=0,"CUMPLE (basta el macizo de orilla)",IF(CT22*DATOS!$C$86*IF(C22="VOLADO",1,2)&gt;=Y22*100-DATOS!$C$87,"NO CUMPLE: no alcanza ni macizando todo","MACIZAR "&amp;CT22&amp;" hilera(s)"))))</f>
        <v/>
      </c>
      <c r="CV22" s="58" t="str">
        <f>IF(V22&lt;&gt;"SÍ","",(DATOS!$C$86*DATOS!$C$84^2/2+MIN(DATOS!$C$83,AD22)*DATOS!$C$82*(DATOS!$C$84+DATOS!$C$82/2))/(DATOS!$C$86*DATOS!$C$84+MIN(DATOS!$C$83,AD22)*DATOS!$C$82))</f>
        <v/>
      </c>
      <c r="CW22" s="68" t="str">
        <f>IF(V22&lt;&gt;"SÍ","",DATOS!$C$86*DATOS!$C$84^3/12+DATOS!$C$86*DATOS!$C$84*(CV22-DATOS!$C$84/2)^2+MIN(DATOS!$C$83,AD22)*DATOS!$C$82^3/12+MIN(DATOS!$C$83,AD22)*DATOS!$C$82*(DATOS!$C$84+DATOS!$C$82/2-CV22)^2)</f>
        <v/>
      </c>
      <c r="CX22" s="58" t="str">
        <f>IF(V22&lt;&gt;"SÍ","",(12*CW22/DATOS!$C$86)^(1/3))</f>
        <v/>
      </c>
      <c r="CY22" s="58" t="str">
        <f>IF(V22&lt;&gt;"SÍ","",IF(C22="PERIMETRAL",IF(ISNUMBER(S22),S22,DATOS!$C$104),0))</f>
        <v/>
      </c>
      <c r="CZ22" s="57" t="str">
        <f>IF(V22&lt;&gt;"SÍ","",IF(C22="PERIMETRAL",IF(CY22&gt;2,MAX(9,AC22*(0.8+DATOS!$C$14/14000)/(36+9*(AC22/MAX(AB22,1)))),IF(CY22&gt;0.2,MAX(13,AC22*(0.8+DATOS!$C$14/14000)/(36+5*(AC22/MAX(AB22,1))*(CY22-0.2))),MAX(13,AC22/IF(AS22&gt;0,30,33))))*IF(AND(CY22&gt;0.2,AS22&gt;0,DATOS!$C$105="NO"),1.1,1),MAX(25,Y22*100/8*(0.4+DATOS!$C$14/7000))))</f>
        <v/>
      </c>
      <c r="DA22" s="61" t="str">
        <f>IF(V22&lt;&gt;"SÍ","",IF(IF(C22="VOLADO",DATOS!$C$85,CX22)&gt;=CZ22,"CUMPLE",IF(C22="VOLADO","NO CUMPLE","CALCULAR FLECHA")))</f>
        <v/>
      </c>
      <c r="DB22" s="55" t="str">
        <f>IF(V22&lt;&gt;"SÍ","",IF(DATOS!$C$84&gt;=IF(IF(C22="VOLADO",Y22,Z22)&gt;=6,6,5),"CUMPLE","CAPA ≥ 6 cm"))</f>
        <v/>
      </c>
      <c r="DC22" s="60" t="str">
        <f>IF(V22&lt;&gt;"SÍ","",IF(C22="VOLADO",MIN(FLOOR(IF(ISNUMBER(P22),P22,Y22)*100-DATOS!$C$63,5),CEILING(MAX(IF((0.5*(0.9*DATOS!$C$90*DATOS!$C$86/100/1000)*IF(ISNUMBER(P22),P22,Y22)+BH22/IF(ISNUMBER(P22),P22,Y22))^2-4*(0.5*(0.9*DATOS!$C$90*DATOS!$C$86/100/1000))*BH22&lt;0,IF(ISNUMBER(P22),P22,Y22),MIN(IF(ISNUMBER(P22),P22,Y22),((0.5*(0.9*DATOS!$C$90*DATOS!$C$86/100/1000)*IF(ISNUMBER(P22),P22,Y22)+BH22/IF(ISNUMBER(P22),P22,Y22))-SQRT((0.5*(0.9*DATOS!$C$90*DATOS!$C$86/100/1000)*IF(ISNUMBER(P22),P22,Y22)+BH22/IF(ISNUMBER(P22),P22,Y22))^2-4*(0.5*(0.9*DATOS!$C$90*DATOS!$C$86/100/1000))*BH22))/(2*(0.5*(0.9*DATOS!$C$90*DATOS!$C$86/100/1000)))))*100+MAX(BX22,12*INDEX(TABLAS!$C$52:$C$58,MATCH(BV22,TABLAS!$B$52:$B$58,0)),IF(ISNUMBER(P22),P22,Y22)*100/16),IF(OR(AL22&lt;INDEX(TABLAS!$C$52:$C$58,MATCH(BV22,TABLAS!$B$52:$B$58,0)),AND(BW22&gt;=2,(AD22-2*AL22-BW22*INDEX(TABLAS!$C$52:$C$58,MATCH(BV22,TABLAS!$B$52:$B$58,0)))/MAX(BW22-1,1)&lt;2*INDEX(TABLAS!$C$52:$C$58,MATCH(BV22,TABLAS!$B$52:$B$58,0)))),INDEX(TABLAS!$I$52:$I$58,MATCH(BV22,TABLAS!$B$52:$B$58,0)),INDEX(TABLAS!$F$52:$F$58,MATCH(BV22,TABLAS!$B$52:$B$58,0)))),5)),IF(((4*((BC22*AR22*Y22^2*1E-4*DATOS!$C$86/100/1000)+((MAX(AY22,BA22)*AR22*Y22^2*1E-4*DATOS!$C$86/100/1000)+(IF(AND(AY22&gt;0,BA22&gt;0),MIN(AY22,BA22),MAX(AY22,BA22))*AR22*Y22^2*1E-4*DATOS!$C$86/100/1000))/2)+BH22-(IF(AND(AY22&gt;0,BA22&gt;0),MIN(AY22,BA22),MAX(AY22,BA22))*AR22*Y22^2*1E-4*DATOS!$C$86/100/1000))^2-16*((BC22*AR22*Y22^2*1E-4*DATOS!$C$86/100/1000)+((MAX(AY22,BA22)*AR22*Y22^2*1E-4*DATOS!$C$86/100/1000)+(IF(AND(AY22&gt;0,BA22&gt;0),MIN(AY22,BA22),MAX(AY22,BA22))*AR22*Y22^2*1E-4*DATOS!$C$86/100/1000))/2)*BH22)&lt;0,CEILING(AB22,5),CEILING(MAX(AB22*((4*((BC22*AR22*Y22^2*1E-4*DATOS!$C$86/100/1000)+((MAX(AY22,BA22)*AR22*Y22^2*1E-4*DATOS!$C$86/100/1000)+(IF(AND(AY22&gt;0,BA22&gt;0),MIN(AY22,BA22),MAX(AY22,BA22))*AR22*Y22^2*1E-4*DATOS!$C$86/100/1000))/2)+BH22-(IF(AND(AY22&gt;0,BA22&gt;0),MIN(AY22,BA22),MAX(AY22,BA22))*AR22*Y22^2*1E-4*DATOS!$C$86/100/1000))-SQRT(MAX(0,((4*((BC22*AR22*Y22^2*1E-4*DATOS!$C$86/100/1000)+((MAX(AY22,BA22)*AR22*Y22^2*1E-4*DATOS!$C$86/100/1000)+(IF(AND(AY22&gt;0,BA22&gt;0),MIN(AY22,BA22),MAX(AY22,BA22))*AR22*Y22^2*1E-4*DATOS!$C$86/100/1000))/2)+BH22-(IF(AND(AY22&gt;0,BA22&gt;0),MIN(AY22,BA22),MAX(AY22,BA22))*AR22*Y22^2*1E-4*DATOS!$C$86/100/1000))^2-16*((BC22*AR22*Y22^2*1E-4*DATOS!$C$86/100/1000)+((MAX(AY22,BA22)*AR22*Y22^2*1E-4*DATOS!$C$86/100/1000)+(IF(AND(AY22&gt;0,BA22&gt;0),MIN(AY22,BA22),MAX(AY22,BA22))*AR22*Y22^2*1E-4*DATOS!$C$86/100/1000))/2)*BH22))))/(8*MAX(((BC22*AR22*Y22^2*1E-4*DATOS!$C$86/100/1000)+((MAX(AY22,BA22)*AR22*Y22^2*1E-4*DATOS!$C$86/100/1000)+(IF(AND(AY22&gt;0,BA22&gt;0),MIN(AY22,BA22),MAX(AY22,BA22))*AR22*Y22^2*1E-4*DATOS!$C$86/100/1000))/2),1E-9))+MAX(BX22,12*INDEX(TABLAS!$C$52:$C$58,MATCH(BV22,TABLAS!$B$52:$B$58,0)),AB22/16),IF(OR(AL22&lt;INDEX(TABLAS!$C$52:$C$58,MATCH(BV22,TABLAS!$B$52:$B$58,0)),AND(BW22&gt;=2,(AD22-2*AL22-BW22*INDEX(TABLAS!$C$52:$C$58,MATCH(BV22,TABLAS!$B$52:$B$58,0)))/MAX(BW22-1,1)&lt;2*INDEX(TABLAS!$C$52:$C$58,MATCH(BV22,TABLAS!$B$52:$B$58,0)))),INDEX(TABLAS!$I$52:$I$58,MATCH(BV22,TABLAS!$B$52:$B$58,0)),INDEX(TABLAS!$F$52:$F$58,MATCH(BV22,TABLAS!$B$52:$B$58,0)))),5))))</f>
        <v/>
      </c>
      <c r="DD22" s="60" t="str">
        <f>IF(V22&lt;&gt;"SÍ","",IF(C22="VOLADO",0,IF(((4*((BD22*AR22*Y22^2*1E-4*DATOS!$C$86/100/1000)+((MAX(AZ22,BB22)*AR22*Y22^2*1E-4*DATOS!$C$86/100/1000)+(IF(AND(AZ22&gt;0,BB22&gt;0),MIN(AZ22,BB22),MAX(AZ22,BB22))*AR22*Y22^2*1E-4*DATOS!$C$86/100/1000))/2)+BJ22-(IF(AND(AZ22&gt;0,BB22&gt;0),MIN(AZ22,BB22),MAX(AZ22,BB22))*AR22*Y22^2*1E-4*DATOS!$C$86/100/1000))^2-16*((BD22*AR22*Y22^2*1E-4*DATOS!$C$86/100/1000)+((MAX(AZ22,BB22)*AR22*Y22^2*1E-4*DATOS!$C$86/100/1000)+(IF(AND(AZ22&gt;0,BB22&gt;0),MIN(AZ22,BB22),MAX(AZ22,BB22))*AR22*Y22^2*1E-4*DATOS!$C$86/100/1000))/2)*BJ22)&lt;0,CEILING(AC22,5),CEILING(MAX(AC22*((4*((BD22*AR22*Y22^2*1E-4*DATOS!$C$86/100/1000)+((MAX(AZ22,BB22)*AR22*Y22^2*1E-4*DATOS!$C$86/100/1000)+(IF(AND(AZ22&gt;0,BB22&gt;0),MIN(AZ22,BB22),MAX(AZ22,BB22))*AR22*Y22^2*1E-4*DATOS!$C$86/100/1000))/2)+BJ22-(IF(AND(AZ22&gt;0,BB22&gt;0),MIN(AZ22,BB22),MAX(AZ22,BB22))*AR22*Y22^2*1E-4*DATOS!$C$86/100/1000))-SQRT(MAX(0,((4*((BD22*AR22*Y22^2*1E-4*DATOS!$C$86/100/1000)+((MAX(AZ22,BB22)*AR22*Y22^2*1E-4*DATOS!$C$86/100/1000)+(IF(AND(AZ22&gt;0,BB22&gt;0),MIN(AZ22,BB22),MAX(AZ22,BB22))*AR22*Y22^2*1E-4*DATOS!$C$86/100/1000))/2)+BJ22-(IF(AND(AZ22&gt;0,BB22&gt;0),MIN(AZ22,BB22),MAX(AZ22,BB22))*AR22*Y22^2*1E-4*DATOS!$C$86/100/1000))^2-16*((BD22*AR22*Y22^2*1E-4*DATOS!$C$86/100/1000)+((MAX(AZ22,BB22)*AR22*Y22^2*1E-4*DATOS!$C$86/100/1000)+(IF(AND(AZ22&gt;0,BB22&gt;0),MIN(AZ22,BB22),MAX(AZ22,BB22))*AR22*Y22^2*1E-4*DATOS!$C$86/100/1000))/2)*BJ22))))/(8*MAX(((BD22*AR22*Y22^2*1E-4*DATOS!$C$86/100/1000)+((MAX(AZ22,BB22)*AR22*Y22^2*1E-4*DATOS!$C$86/100/1000)+(IF(AND(AZ22&gt;0,BB22&gt;0),MIN(AZ22,BB22),MAX(AZ22,BB22))*AR22*Y22^2*1E-4*DATOS!$C$86/100/1000))/2),1E-9))+MAX(CN22,12*INDEX(TABLAS!$C$52:$C$58,MATCH(CL22,TABLAS!$B$52:$B$58,0)),AC22/16),IF(OR(AL22&lt;INDEX(TABLAS!$C$52:$C$58,MATCH(CL22,TABLAS!$B$52:$B$58,0)),AND(CM22&gt;=2,(DATOS!$C$83-2*AL22-CM22*INDEX(TABLAS!$C$52:$C$58,MATCH(CL22,TABLAS!$B$52:$B$58,0)))/MAX(CM22-1,1)&lt;2*INDEX(TABLAS!$C$52:$C$58,MATCH(CL22,TABLAS!$B$52:$B$58,0)))),INDEX(TABLAS!$I$52:$I$58,MATCH(CL22,TABLAS!$B$52:$B$58,0)),INDEX(TABLAS!$F$52:$F$58,MATCH(CL22,TABLAS!$B$52:$B$58,0)))),5))))</f>
        <v/>
      </c>
      <c r="DE22" s="55" t="str">
        <f>IF(V22&lt;&gt;"SÍ","",IF(AND(C22="PERIMETRAL",BW22&gt;=2,AS22-AT22&gt;0,BA22*AR22*Y22^2*1E-4*DATOS!$C$86/100/1000&gt;DATOS!$C$29*INDEX(TABLAS!$D$52:$D$58,MATCH(BV22,TABLAS!$B$52:$B$58,0))*DATOS!$C$14*(BX22-INDEX(TABLAS!$D$52:$D$58,MATCH(BV22,TABLAS!$B$52:$B$58,0))*DATOS!$C$14/(DATOS!$C$21*AF22)/2)/1E5),"SÍ","NO"))</f>
        <v/>
      </c>
      <c r="DF22" s="55" t="str">
        <f>IF(V22&lt;&gt;"SÍ","",IF(AND(C22="PERIMETRAL",CM22&gt;=2,AT22&gt;0,BB22*AR22*Y22^2*1E-4*DATOS!$C$86/100/1000&gt;DATOS!$C$29*INDEX(TABLAS!$D$52:$D$58,MATCH(CL22,TABLAS!$B$52:$B$58,0))*DATOS!$C$14*(CN22-INDEX(TABLAS!$D$52:$D$58,MATCH(CL22,TABLAS!$B$52:$B$58,0))*DATOS!$C$14/(DATOS!$C$21*AG22)/2)/1E5),"SÍ","NO"))</f>
        <v/>
      </c>
      <c r="DG22" s="63" t="str">
        <f>IF(V22&lt;&gt;"SÍ","",IF(OR(C22="VOLADO",AS22=0),"—",IF(AND(AND(1.25*INDEX(TABLAS!$G$52:$G$58,MATCH(MAX(BN22,CD22),TABLAS!$B$52:$B$58,0))&lt;=(DATOS!$C$75-DATOS!$C$63),(DATOS!$C$75-DATOS!$C$63)&gt;=15,INDEX(TABLAS!$G$52:$G$58,MATCH(MAX(BV22,CL22),TABLAS!$B$52:$B$58,0))&lt;=(DATOS!$C$75-DATOS!$C$63)),8*INDEX(TABLAS!$C$52:$C$58,MATCH(MAX(MAX(BN22,CD22),MAX(BV22,CL22)),TABLAS!$B$52:$B$58,0))&lt;=DATOS!$C$76-2*DATOS!$C$63),"CUMPLE (gancho de 180°)",IF(AND(1.25*INDEX(TABLAS!$G$52:$G$58,MATCH(MAX(BN22,CD22),TABLAS!$B$52:$B$58,0))&lt;=(DATOS!$C$75-DATOS!$C$63),(DATOS!$C$75-DATOS!$C$63)&gt;=15,INDEX(TABLAS!$G$52:$G$58,MATCH(MAX(BV22,CL22),TABLAS!$B$52:$B$58,0))&lt;=(DATOS!$C$75-DATOS!$C$63)),"NO CUMPLE: el gancho de 180° (8·d_b) no cabe en el peralte de la dala de borde","NO CUMPLE: dala de borde ≥ "&amp;TEXT(CEILING(MAX(1.25*INDEX(TABLAS!$G$52:$G$58,MATCH(MAX(BN22,CD22),TABLAS!$B$52:$B$58,0)),15,INDEX(TABLAS!$G$52:$G$58,MATCH(MAX(BV22,CL22),TABLAS!$B$52:$B$58,0)))+DATOS!$C$63,5),"0")&amp;" cm de ancho"&amp;IF(8*INDEX(TABLAS!$C$52:$C$58,MATCH(MAX(MAX(BN22,CD22),MAX(BV22,CL22)),TABLAS!$B$52:$B$58,0))&lt;=DATOS!$C$76-2*DATOS!$C$63,""," y más peralte para el gancho")))))</f>
        <v/>
      </c>
      <c r="DH22" s="59" t="str">
        <f>IF(V22&lt;&gt;"SÍ","",MAX(0,INT((E22*100-DATOS!$C$87-IF(AND(C22="PERIMETRAL",I22="DISCONTINUO"),MAX(0,DATOS!$C$75-DATOS!$C$87),0)-IF(AND(C22="PERIMETRAL",J22="DISCONTINUO"),MAX(0,DATOS!$C$75-DATOS!$C$87),0)+DATOS!$C$86-IF(X22="X",DATOS!$C$81,AE22))/DATOS!$C$86)))</f>
        <v/>
      </c>
      <c r="DI22" s="59" t="str">
        <f>IF(V22&lt;&gt;"SÍ","",MAX(0,INT((F22*100-DATOS!$C$87-IF(AND(C22="PERIMETRAL",G22="DISCONTINUO"),MAX(0,DATOS!$C$75-DATOS!$C$87),0)-IF(AND(C22="PERIMETRAL",H22="DISCONTINUO"),MAX(0,DATOS!$C$75-DATOS!$C$87),0)+DATOS!$C$86-IF(X22="Y",DATOS!$C$81,AE22))/DATOS!$C$86)))</f>
        <v/>
      </c>
      <c r="DJ22" s="57" t="str">
        <f>IF(V22&lt;&gt;"SÍ","",IF(DH22&gt;0,IF(AND(C22="PERIMETRAL",I22="DISCONTINUO"),MAX(0,DATOS!$C$75-DATOS!$C$87),0)+(E22*100-DATOS!$C$87-IF(AND(C22="PERIMETRAL",I22="DISCONTINUO"),MAX(0,DATOS!$C$75-DATOS!$C$87),0)-IF(AND(C22="PERIMETRAL",J22="DISCONTINUO"),MAX(0,DATOS!$C$75-DATOS!$C$87),0)-(DH22*IF(X22="X",DATOS!$C$81,AE22)+(DH22-1)*(DATOS!$C$86-IF(X22="X",DATOS!$C$81,AE22))))/2,E22*100/2))</f>
        <v/>
      </c>
      <c r="DK22" s="57" t="str">
        <f>IF(V22&lt;&gt;"SÍ","",IF(DH22&gt;0,IF(AND(C22="PERIMETRAL",J22="DISCONTINUO"),MAX(0,DATOS!$C$75-DATOS!$C$87),0)+(E22*100-DATOS!$C$87-IF(AND(C22="PERIMETRAL",I22="DISCONTINUO"),MAX(0,DATOS!$C$75-DATOS!$C$87),0)-IF(AND(C22="PERIMETRAL",J22="DISCONTINUO"),MAX(0,DATOS!$C$75-DATOS!$C$87),0)-(DH22*IF(X22="X",DATOS!$C$81,AE22)+(DH22-1)*(DATOS!$C$86-IF(X22="X",DATOS!$C$81,AE22))))/2,E22*100/2))</f>
        <v/>
      </c>
      <c r="DL22" s="57" t="str">
        <f>IF(V22&lt;&gt;"SÍ","",IF(DI22&gt;0,IF(AND(C22="PERIMETRAL",G22="DISCONTINUO"),MAX(0,DATOS!$C$75-DATOS!$C$87),0)+(F22*100-DATOS!$C$87-IF(AND(C22="PERIMETRAL",G22="DISCONTINUO"),MAX(0,DATOS!$C$75-DATOS!$C$87),0)-IF(AND(C22="PERIMETRAL",H22="DISCONTINUO"),MAX(0,DATOS!$C$75-DATOS!$C$87),0)-(DI22*IF(X22="Y",DATOS!$C$81,AE22)+(DI22-1)*(DATOS!$C$86-IF(X22="Y",DATOS!$C$81,AE22))))/2,F22*100/2))</f>
        <v/>
      </c>
      <c r="DM22" s="57" t="str">
        <f>IF(V22&lt;&gt;"SÍ","",IF(DI22&gt;0,IF(AND(C22="PERIMETRAL",H22="DISCONTINUO"),MAX(0,DATOS!$C$75-DATOS!$C$87),0)+(F22*100-DATOS!$C$87-IF(AND(C22="PERIMETRAL",G22="DISCONTINUO"),MAX(0,DATOS!$C$75-DATOS!$C$87),0)-IF(AND(C22="PERIMETRAL",H22="DISCONTINUO"),MAX(0,DATOS!$C$75-DATOS!$C$87),0)-(DI22*IF(X22="Y",DATOS!$C$81,AE22)+(DI22-1)*(DATOS!$C$86-IF(X22="Y",DATOS!$C$81,AE22))))/2,F22*100/2))</f>
        <v/>
      </c>
      <c r="DN22" s="59" t="str">
        <f>IF(V22&lt;&gt;"SÍ","",IF(NOT(AND(C22="VOLADO",AD22&gt;DATOS!$C$83)),0,IF(INDEX(TABLAS!$C$52:$C$58,MATCH(BV22,TABLAS!$B$52:$B$58,0))&lt;=DATOS!$C$83-2*DATOS!$C$63,1,0)))</f>
        <v/>
      </c>
      <c r="DO22" s="58" t="str">
        <f>IF(V22&lt;&gt;"SÍ","",IF(NOT(AND(C22="VOLADO",AD22&gt;DATOS!$C$83)),0,((DATOS!$C$85-MAX(DATOS!$C$63,(DATOS!$C$84-2*DATOS!$C$97)/2)-2*DATOS!$C$97-INDEX(TABLAS!$C$52:$C$58,MATCH(MAX(4,DATOS!$C$72),TABLAS!$B$52:$B$58,0))-INDEX(TABLAS!$C$52:$C$58,MATCH(BV22,TABLAS!$B$52:$B$58,0))/2)-IF(AND((DATOS!$C$85-MAX(DATOS!$C$63,(DATOS!$C$84-2*DATOS!$C$97)/2)-2*DATOS!$C$97-INDEX(TABLAS!$C$52:$C$58,MATCH(MAX(4,DATOS!$C$72),TABLAS!$B$52:$B$58,0))-INDEX(TABLAS!$C$52:$C$58,MATCH(BV22,TABLAS!$B$52:$B$58,0))/2)&lt;=20,DATOS!$C$65&lt;&gt;"SÍ"),2,0))))</f>
        <v/>
      </c>
      <c r="DP22" s="56" t="str">
        <f>IF(V22&lt;&gt;"SÍ","",IF(OR(NOT(AND(C22="VOLADO",AD22&gt;DATOS!$C$83)),DN22&lt;1),0,IF(0.003*(DO22-((DN22*INDEX(TABLAS!$D$52:$D$58,MATCH(BV22,TABLAS!$B$52:$B$58,0)))*DATOS!$C$14/(DATOS!$C$21*AG22)/DATOS!$C$22))/((DN22*INDEX(TABLAS!$D$52:$D$58,MATCH(BV22,TABLAS!$B$52:$B$58,0)))*DATOS!$C$14/(DATOS!$C$21*AG22)/DATOS!$C$22)&lt;0.005,0,DATOS!$C$29*(DN22*INDEX(TABLAS!$D$52:$D$58,MATCH(BV22,TABLAS!$B$52:$B$58,0)))*DATOS!$C$14*(DO22-(DN22*INDEX(TABLAS!$D$52:$D$58,MATCH(BV22,TABLAS!$B$52:$B$58,0)))*DATOS!$C$14/(DATOS!$C$21*AG22)/2)/1E5)))</f>
        <v/>
      </c>
      <c r="DQ22" s="56" t="str">
        <f>IF(V22&lt;&gt;"SÍ","",IF(OR(NOT(AND(C22="VOLADO",AD22&gt;DATOS!$C$83)),DN22&lt;1),0,DATOS!$C$30*2*MIN(1,SQRT(2/(1+0.04*DO22)))*((DN22*INDEX(TABLAS!$D$52:$D$58,MATCH(BV22,TABLAS!$B$52:$B$58,0)))/(AG22*DO22))^(1/3)*SQRT(DATOS!$C$13)*AG22*DO22/1000))</f>
        <v/>
      </c>
      <c r="DR22" s="56" t="str">
        <f>IF(V22&lt;&gt;"SÍ","",IF(NOT(AND(C22="VOLADO",AD22&gt;DATOS!$C$83)),0,IF((BH22-DP22)&lt;=0,0,IF(DP22&lt;=0,IF(ISNUMBER(P22),P22,Y22),IF(((0.9*DATOS!$C$90*DATOS!$C$86/100/1000)*IF(ISNUMBER(P22),P22,Y22)/2+BH22/IF(ISNUMBER(P22),P22,Y22))^2-4*((0.9*DATOS!$C$90*DATOS!$C$86/100/1000)/2)*(BH22-DP22)&lt;0,IF(ISNUMBER(P22),P22,Y22),MIN(IF(ISNUMBER(P22),P22,Y22),(((0.9*DATOS!$C$90*DATOS!$C$86/100/1000)*IF(ISNUMBER(P22),P22,Y22)/2+BH22/IF(ISNUMBER(P22),P22,Y22))-SQRT(((0.9*DATOS!$C$90*DATOS!$C$86/100/1000)*IF(ISNUMBER(P22),P22,Y22)/2+BH22/IF(ISNUMBER(P22),P22,Y22))^2-4*((0.9*DATOS!$C$90*DATOS!$C$86/100/1000)/2)*(BH22-DP22)))/(2*((0.9*DATOS!$C$90*DATOS!$C$86/100/1000)/2))))))))</f>
        <v/>
      </c>
      <c r="DS22" s="56" t="str">
        <f>IF(V22&lt;&gt;"SÍ","",IF(NOT(AND(C22="VOLADO",AD22&gt;DATOS!$C$83)),0,IF(DQ22&lt;=(BH22/((IF(ISNUMBER(P22),P22,Y22)*100-DATOS!$C$87)/100)),IF(ISNUMBER(P22),P22,Y22),MIN(IF(ISNUMBER(P22),P22,Y22),MAX(0,(IF(ISNUMBER(P22),P22,Y22)*100-DATOS!$C$87)/200-(DQ22-(BH22/((IF(ISNUMBER(P22),P22,Y22)*100-DATOS!$C$87)/100)))/((0.95-0.5*IF(N(Q22)&gt;0,MIN(IF(ISNUMBER(P22),P22,Y22),Q22)/MAX(IF(ISNUMBER(P22),P22,Y22),Q22),0))*DATOS!$C$33*AR22*DATOS!$C$86/100/1000))))))</f>
        <v/>
      </c>
      <c r="DT22" s="56" t="str">
        <f>IF(V22&lt;&gt;"SÍ","",IF(NOT(AND(C22="VOLADO",AD22&gt;DATOS!$C$83)),0,(BH22/((IF(ISNUMBER(P22),P22,Y22)*100-DATOS!$C$87)/100))+((0.95-0.5*IF(N(Q22)&gt;0,MIN(IF(ISNUMBER(P22),P22,Y22),Q22)/MAX(IF(ISNUMBER(P22),P22,Y22),Q22),0))*DATOS!$C$33*AR22*DATOS!$C$86/100/1000)*MAX(0,(IF(ISNUMBER(P22),P22,Y22)*100-DATOS!$C$87)/200-BX22/100)))</f>
        <v/>
      </c>
      <c r="DU22" s="59" t="str">
        <f>IF(V22&lt;&gt;"SÍ","",IF(NOT(AND(C22="VOLADO",AD22&gt;DATOS!$C$83)),0,MIN(FLOOR(100*IF(ISNUMBER(P22),P22,Y22)-DATOS!$C$63,5),CEILING(100*MIN(IF(ISNUMBER(P22),P22,Y22),MAX(IF(DR22&gt;0,DR22+IF(BW22&gt;=2,MAX(DO22,12*INDEX(TABLAS!$C$52:$C$58,MATCH(BV22,TABLAS!$B$52:$B$58,0)))/100,0),0),DS22,IF(BW22&gt;=2,INDEX(TABLAS!$F$52:$F$58,MATCH(BV22,TABLAS!$B$52:$B$58,0))/100,0))),5))))</f>
        <v/>
      </c>
      <c r="DV22" s="60" t="str">
        <f>IF(V22&lt;&gt;"SÍ","",IF(NOT(AND(C22="VOLADO",AD22&gt;DATOS!$C$83)),0,IF(DU22&lt;=0,0,CEILING(DU22/DATOS!$C$86,1))))</f>
        <v/>
      </c>
      <c r="DW22" s="61" t="str">
        <f>IF(V22&lt;&gt;"SÍ","",IF(C22&lt;&gt;"VOLADO","—",IF(AD22&lt;=DATOS!$C$83,"— (mismo b_w que el respaldo)",IF(DT22&gt;CS22,"NO CUMPLE: cortante de la nervadura ancha junto al apoyo ("&amp;TEXT(DT22,"0.00")&amp;" &gt; "&amp;TEXT(CS22,"0.00")&amp;" t)",IF(DU22&gt;=100*IF(ISNUMBER(P22),P22,Y22),"CUMPLE — todas las nervaduras del respaldo ‖ al volado con b_w = "&amp;AD22&amp;" cm","CUMPLE — "&amp;DV22&amp;" hilera(s) del respaldo con nervaduras de b_w = "&amp;AD22&amp;" cm (casetón "&amp;AE22&amp;" cm), hasta "&amp;TEXT(DU22/100,"0.00")&amp;" m del paño")))))</f>
        <v/>
      </c>
      <c r="DX22" s="69" t="str">
        <f>IF(V22&lt;&gt;"SÍ","",IF(BO22=0,"NO ALCANZA",BO22&amp;" No. "&amp;BN22&amp;IF(BO22&gt;1," corridas"," corrida")))</f>
        <v/>
      </c>
      <c r="DY22" s="69" t="str">
        <f>IF(V22&lt;&gt;"SÍ","",IF(BW22=0,"NO ALCANZA",IF(AND(C22="VOLADO",AD22&gt;DATOS!$C$83,BW22&gt;=2),"1 No. "&amp;BV22&amp;" corrida de la orilla al respaldo ("&amp;IF(DC22&gt;=FLOOR(100*IF(ISNUMBER(P22),P22,Y22)-DATOS!$C$63,5),"hasta su apoyo lejano, con gancho","entra "&amp;TEXT(DC22/100,"0.00")&amp;" m desde el paño")&amp;") + "&amp;(BW22-1)&amp;" bastón No. "&amp;BV22&amp;" hasta "&amp;TEXT(DU22/100,"0.00")&amp;" m del paño (fin de la nervadura ancha)",IF(C22="VOLADO",BW22&amp;" No. "&amp;BV22&amp;" de la orilla al respaldo ("&amp;IF(DC22&gt;=FLOOR(100*IF(ISNUMBER(P22),P22,Y22)-DATOS!$C$63,5),"hasta su apoyo lejano, con gancho","entran "&amp;TEXT(DC22/100,"0.00")&amp;" m desde el paño")&amp;")","1 No. "&amp;BV22&amp;" corrida"&amp;IF(BW22&gt;1," + "&amp;(BW22-1)&amp;" bastón No. "&amp;BV22&amp;" L = "&amp;TEXT(DC22/100,"0.00")&amp;" m desde el paño","")))))</f>
        <v/>
      </c>
      <c r="DZ22" s="69" t="str">
        <f>IF(V22&lt;&gt;"SÍ","",IF(CE22=0,"NO ALCANZA",CE22&amp;" No. "&amp;CD22&amp;IF(CE22&gt;1," corridas"," corrida")))</f>
        <v/>
      </c>
      <c r="EA22" s="69" t="str">
        <f>IF(V22&lt;&gt;"SÍ","",IF(CM22=0,"NO ALCANZA",IF(C22="VOLADO","1 No. "&amp;CL22&amp;" corrida (repartición)","1 No. "&amp;CL22&amp;" corrida"&amp;IF(CM22&gt;1," + "&amp;(CM22-1)&amp;" bastón No. "&amp;CL22&amp;" L = "&amp;TEXT(DD22/100,"0.00")&amp;" m desde el paño",""))))</f>
        <v/>
      </c>
      <c r="EB22" s="67" t="str">
        <f>IF(B22="","",IF(V22&lt;&gt;"SÍ","FALTAN DATOS: tipo, a_x, a_y, destino y, en volados, L_b",IF(L22="NO MONOLÍTICO (caso II)","FUERA DE ALCANCE: caso II no transcrito",IF(AND(C22="VOLADO",W22="?"),"REVISAR: el volado lleva UN solo borde CONTINUO (el empotrado)",IF(MIN(DH22,DI22)=0,"REVISAR: no cabe un casetón (tablero macizo): diséñalo en MACIZAS",IF(AND(MAX(BR22,BZ22,CH22,CP22)&lt;=1,NOT(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T(OR(AND(ISNUMBER(BS22),BS22&lt;0.005),AND(ISNUMBER(CA22),CA22&lt;0.005),AND(ISNUMBER(CI22),CI22&lt;0.005),AND(ISNUMBER(CQ22),CQ22&lt;0.005))),NOT(LEFT(DW22,2)="NO"),DA22="CUMPLE",DB22="CUMPLE",LEFT(CU22,2)&lt;&gt;"NO",LEFT(DATOS!$C$132,6)="CUMPLE"),IF(LEFT(CU22,6)="CUMPLE","CUMPLE","CUMPLE — "&amp;CU22)&amp;IF(LEFT(BK22,5)="FUERA"," · fuera de 3.4.2.1 c)","")&amp;IF(LEFT(DG22,2)="NO"," · REVISAR anclaje en borde discontinuo","")&amp;IF(DV22&gt;0," · respaldo: "&amp;DV22&amp;" hilera(s) de b_w "&amp;AD22&amp;" cm",""),IF(AND(MAX(BR22,BZ22,CH22,CP22)&lt;=1,NOT(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T(OR(AND(ISNUMBER(BS22),BS22&lt;0.005),AND(ISNUMBER(CA22),CA22&lt;0.005),AND(ISNUMBER(CI22),CI22&lt;0.005),AND(ISNUMBER(CQ22),CQ22&lt;0.005))),NOT(LEFT(DW22,2)="NO"),DA22="CALCULAR FLECHA",LEFT(CU22,2)&lt;&gt;"NO",LEFT(DATOS!$C$132,6)="CUMPLE"),"REVISAR: calcular flecha (h_eq &lt; h mín.)"&amp;IF(LEFT(BK22,5)="FUERA"," · fuera de 3.4.2.1 c)","")&amp;IF(LEFT(DG22,2)="NO"," · REVISAR anclaje en borde discontinuo","")&amp;IF(DV22&gt;0," · respaldo: "&amp;DV22&amp;" hilera(s) de b_w "&amp;AD22&amp;" cm",""),"NO CUMPLE: "&amp;IF(MAX(BR22,BZ22,CH22,CP22)&gt;1,"flexión ","")&amp;IF(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 caben ","")&amp;IF(OR(AND(ISNUMBER(BS22),BS22&lt;0.005),AND(ISNUMBER(CA22),CA22&lt;0.005),AND(ISNUMBER(CI22),CI22&lt;0.005),AND(ISNUMBER(CQ22),CQ22&lt;0.005)),"ε_t &lt; 0.005 ","")&amp;IF(LEFT(CU22,2)="NO","cortante ","")&amp;IF(DA22="NO CUMPLE","peralte ","")&amp;IF(DB22&lt;&gt;"CUMPLE","capa &lt; 6 cm ","")&amp;IF(LEFT(DATOS!$C$132,6)&lt;&gt;"CUMPLE","capa o malla (DATOS sección 7) ","")&amp;IF(LEFT(DW22,2)="NO","respaldo del volado",""))))))))</f>
        <v/>
      </c>
      <c r="EC22" s="70" t="str">
        <f>IF(V22&lt;&gt;"SÍ","",IF(LEFT(B22,7)="EJEMPLO","EJEMPLO de la hoja de Casa Rocha: bórralo o sobrescríbelo. ","")&amp;IF(AND(C22="PERIMETRAL",MIN(DH22,DI22)=0),"No cabe un casetón en el claro corto: es un tablero macizo, diséñalo en MACIZAS. ","")&amp;IF(AND(AJ22="NO",C22="PERIMETRAL"),"No cumple 6.7.8.1.4 (a_c = "&amp;MAX(DATOS!$C$81,AE22)&amp;" cm &gt; claro corto/6 = "&amp;TEXT(Y22*100/6,"0")&amp;" cm): se diseña como losa apoyada en vigas (6.7.8.1.9): r de viga = "&amp;DATOS!$C$63&amp;" cm y V_cR sin ×1.1. Para que cuente como encasetonada: casetón de "&amp;TEXT(FLOOR(MIN(80,Y22*100/6),1),"0")&amp;" cm o menor. ","")&amp;IF(C22="VOLADO","Volado de "&amp;TEXT(Y22,"0.00")&amp;" m empotrado en el borde "&amp;LOWER(W22)&amp;IF(N(O22)&gt;0,", con "&amp;TEXT(O22,"0.0")&amp;" kg/m en la orilla","")&amp;". Lecho inferior con r_ext. Si la orilla carga pretil u otro elemento frágil, calcula la flecha (13.4). El acero superior entra al respaldo de "&amp;TEXT(IF(ISNUMBER(P22),P22,Y22),"0.00")&amp;" m"&amp;" hasta pasar M = 0 con 0.9·PP sin carga viva; si ahí no se anula, llega al apoyo lejano y se ancla con gancho (NTC-Criterios 3.4.1 c y 5.1.2.2). "&amp;IF(AD22&gt;DATOS!$C$83,"Respaldo: "&amp;DW22&amp;". ",""),"")&amp;IF(AND(C22="VOLADO",((0.9*DATOS!$C$90*DATOS!$C$86/100/1000)*IF(ISNUMBER(P22),P22,Y22)/2-BH22/IF(ISNUMBER(P22),P22,Y22))&lt;0),"Con 0.9·PP y sin carga viva el apoyo lejano del respaldo levanta (R = "&amp;TEXT(-((0.9*DATOS!$C$90*DATOS!$C$86/100/1000)*IF(ISNUMBER(P22),P22,Y22)/2-BH22/IF(ISNUMBER(P22),P22,Y22)),"0.00")&amp;" t por nervadura): ancla ahí la corrida con gancho y revisa ese apoyo a tensión. ","")&amp;IF(LEFT(BK22,5)="FUERA","El M⁻ del vecino difiere más de 50 % (3.4.2.1 c): distribuye el desequilibrio (3.4.3.1) o confirma con un modelo; se arma con el mayor. ","")&amp;IF(OR(DE22="SÍ",DF22="SÍ"),"El M⁻ del borde discontinuo pide bastón también ahí (con gancho). ","")&amp;IF(LEFT(DG22,2)="NO","Anclaje: "&amp;DG22&amp;" (6.7.8.1.7). ","")&amp;IF(AND(C22="PERIMETRAL",AT22&gt;=1,AS22-AT22&gt;=1),"Esquinas exteriores sobre muro: refuerzo de esquina arriba y abajo en L_largo/5 (6.7.7.3.1). ",""))</f>
        <v/>
      </c>
    </row>
    <row r="23" ht="33" customHeight="1">
      <c r="A23" s="50">
        <f>IF(B23="",0,1)+A22</f>
        <v>4</v>
      </c>
      <c r="B23" s="29" t="n"/>
      <c r="C23" s="51" t="n"/>
      <c r="D23" s="29" t="n"/>
      <c r="E23" s="52" t="n"/>
      <c r="F23" s="52" t="n"/>
      <c r="G23" s="51" t="n"/>
      <c r="H23" s="51" t="n"/>
      <c r="I23" s="51" t="n"/>
      <c r="J23" s="51" t="n"/>
      <c r="K23" s="51" t="n"/>
      <c r="L23" s="51" t="n"/>
      <c r="M23" s="53" t="n"/>
      <c r="N23" s="53" t="n"/>
      <c r="O23" s="54" t="n"/>
      <c r="P23" s="52" t="n"/>
      <c r="Q23" s="52" t="n"/>
      <c r="R23" s="53" t="n"/>
      <c r="S23" s="54" t="n"/>
      <c r="T23" s="52" t="n"/>
      <c r="U23" s="52" t="n"/>
      <c r="V23" s="55" t="str">
        <f>IF(B23="","",IF(AND(OR(C23="PERIMETRAL",C23="VOLADO"),ISNUMBER(E23),ISNUMBER(F23),E23&gt;0,F23&gt;0,OR(ISNUMBER(N23),ISNUMBER(MATCH(D23,DATOS!$B$46:$B$58,0))),OR(C23&lt;&gt;"VOLADO",N(P23)&gt;0)),"SÍ","NO"))</f>
        <v/>
      </c>
      <c r="W23" s="55" t="str">
        <f>IF(V23&lt;&gt;"SÍ","",IF(C23&lt;&gt;"VOLADO","—",IF(COUNTIF(G23:J23,"CONTINUO")&lt;&gt;1,"?",IF(G23="CONTINUO","INFERIOR",IF(H23="CONTINUO","SUPERIOR",IF(I23="CONTINUO","IZQUIERDO","DERECHO"))))))</f>
        <v/>
      </c>
      <c r="X23" s="55" t="str">
        <f>IF(V23&lt;&gt;"SÍ","",IF(C23="VOLADO",IF(OR(W23="IZQUIERDO",W23="DERECHO"),"X","Y"),IF(E23&lt;=F23,"X","Y")))</f>
        <v/>
      </c>
      <c r="Y23" s="56" t="str">
        <f>IF(V23&lt;&gt;"SÍ","",IF(C23="VOLADO",IF(X23="X",E23,F23),MIN(E23,F23)))</f>
        <v/>
      </c>
      <c r="Z23" s="56" t="str">
        <f>IF(V23&lt;&gt;"SÍ","",IF(C23="VOLADO",IF(X23="X",F23,E23),MAX(E23,F23)))</f>
        <v/>
      </c>
      <c r="AA23" s="56" t="str">
        <f>IF(V23&lt;&gt;"SÍ","",MIN(Y23,Z23)/MAX(Y23,Z23))</f>
        <v/>
      </c>
      <c r="AB23" s="57" t="str">
        <f>IF(V23&lt;&gt;"SÍ","",MAX(1,Y23*100-IF(C23="VOLADO",DATOS!$C$87/2,DATOS!$C$87)))</f>
        <v/>
      </c>
      <c r="AC23" s="57" t="str">
        <f>IF(V23&lt;&gt;"SÍ","",MAX(1,Z23*100-DATOS!$C$87))</f>
        <v/>
      </c>
      <c r="AD23" s="57" t="str">
        <f>IF(V23&lt;&gt;"SÍ","",IF(ISNUMBER(R23),R23,DATOS!$C$83))</f>
        <v/>
      </c>
      <c r="AE23" s="57" t="str">
        <f>IF(V23&lt;&gt;"SÍ","",MAX(0,DATOS!$C$86-AD23))</f>
        <v/>
      </c>
      <c r="AF23" s="57" t="str">
        <f>IF(V23&lt;&gt;"SÍ","",IF(OR(DATOS!$C$65="SÍ",AD23&gt;=20),AD23,AD23-2))</f>
        <v/>
      </c>
      <c r="AG23" s="57" t="str">
        <f>IF(V23&lt;&gt;"SÍ","",IF(OR(DATOS!$C$65="SÍ",DATOS!$C$83&gt;=20),DATOS!$C$83,DATOS!$C$83-2))</f>
        <v/>
      </c>
      <c r="AH23" s="57" t="str">
        <f>IF(V23&lt;&gt;"SÍ","",MIN(DATOS!$C$86,AD23+2*MIN(8*DATOS!$C$84,AE23/2,AB23/8)))</f>
        <v/>
      </c>
      <c r="AI23" s="57" t="str">
        <f>IF(V23&lt;&gt;"SÍ","",MIN(DATOS!$C$86,DATOS!$C$83+2*MIN(8*DATOS!$C$84,DATOS!$C$81/2,AC23/8)))</f>
        <v/>
      </c>
      <c r="AJ23" s="55" t="str">
        <f>IF(V23&lt;&gt;"SÍ","",IF(AND(C23="PERIMETRAL",Y23*100&gt;=6*MAX(DATOS!$C$81,AE23),MAX(DATOS!$C$81,AE23)&lt;=80,MIN(DATOS!$C$83,AD23)&gt;=10,DATOS!$C$85&lt;=3.5*MIN(DATOS!$C$83,AD23),DATOS!$C$84&gt;=MAX(MAX(DATOS!$C$81,AE23)/13,5)),"SÍ","NO"))</f>
        <v/>
      </c>
      <c r="AK23" s="57" t="str">
        <f>IF(V23&lt;&gt;"SÍ","",IF(C23="VOLADO",DATOS!$C$64,IF(AJ23="NO",DATOS!$C$63,DATOS!$C$62)))</f>
        <v/>
      </c>
      <c r="AL23" s="57" t="str">
        <f>IF(V23&lt;&gt;"SÍ","",IF(OR(AND(AN23="SÍ",DATOS!$C$66="SÍ"),AND(C23="VOLADO",DATOS!$C$67="SÍ")),DATOS!$C$64,IF(AJ23="NO",DATOS!$C$63,DATOS!$C$62)))</f>
        <v/>
      </c>
      <c r="AM23" s="58" t="str">
        <f>IF(V23&lt;&gt;"SÍ","",MAX(AL23,(DATOS!$C$84-2*DATOS!$C$97)/2))</f>
        <v/>
      </c>
      <c r="AN23" s="55" t="str">
        <f>IF(V23&lt;&gt;"SÍ","",IFERROR(INDEX(DATOS!$D$46:$D$58,MATCH(D23,DATOS!$B$46:$B$58,0)),"NO"))</f>
        <v/>
      </c>
      <c r="AO23" s="59" t="str">
        <f>IF(V23&lt;&gt;"SÍ","",IF(ISNUMBER(N23),N23,IFERROR(INDEX(DATOS!$C$46:$C$58,MATCH(D23,DATOS!$B$46:$B$58,0)),0)))</f>
        <v/>
      </c>
      <c r="AP23" s="59" t="str">
        <f>IF(V23&lt;&gt;"SÍ","",IF(MIN(DH23,DI23)=0,DATOS!$C$85/100*DATOS!$C$16*1000,(DATOS!$C$85/100-(AE23*DATOS!$C$81/DATOS!$C$86^2)*DATOS!$C$82/100)*DATOS!$C$16*1000+(AE23*DATOS!$C$81/DATOS!$C$86^2)*DATOS!$C$82/100*DATOS!$C$17*1000)+DATOS!$C$37+DATOS!$C$38)</f>
        <v/>
      </c>
      <c r="AQ23" s="59" t="str">
        <f>IF(V23&lt;&gt;"SÍ","",AP23+N(M23))</f>
        <v/>
      </c>
      <c r="AR23" s="60" t="str">
        <f>IF(V23&lt;&gt;"SÍ","",MAX(DATOS!$C$26*AQ23+DATOS!$C$27*AO23,IF(AN23="SÍ",DATOS!$C$28*(AQ23+DATOS!$C$41),0)))</f>
        <v/>
      </c>
      <c r="AS23" s="59" t="str">
        <f>IF(V23&lt;&gt;"SÍ","",(G23="DISCONTINUO")+(H23="DISCONTINUO")+(I23="DISCONTINUO")+(J23="DISCONTINUO"))</f>
        <v/>
      </c>
      <c r="AT23" s="59" t="str">
        <f>IF(V23&lt;&gt;"SÍ","",IF(X23="X",(G23="DISCONTINUO")+(H23="DISCONTINUO"),(I23="DISCONTINUO")+(J23="DISCONTINUO")))</f>
        <v/>
      </c>
      <c r="AU23" s="55" t="str">
        <f>IF(V23&lt;&gt;"SÍ","",IF(AS23=0,"INTERIOR",IF(AS23=1,IF(AT23=1,"BORDE-CORTO","BORDE-LARGO"),IF(AS23=2,IF(AT23=1,"ESQUINA",IF(AT23=2,"EXTREMO-LARGO","EXTREMO-CORTO")),IF(AS23=3,IF(AT23=2,"EXTREMO-LARGO","EXTREMO-CORTO"),"AISLADO")))))</f>
        <v/>
      </c>
      <c r="AV23" s="61" t="str">
        <f>IF(V23&lt;&gt;"SÍ","",IF(OR(K23="",K23="AUTO"),AU23,K23))</f>
        <v/>
      </c>
      <c r="AW23" s="59" t="str">
        <f>IF(V23&lt;&gt;"SÍ","",MATCH(AA23,TABLAS!$D$5:$J$5,1))</f>
        <v/>
      </c>
      <c r="AX23" s="58" t="str">
        <f>IF(V23&lt;&gt;"SÍ","",IF(AW23&gt;=7,0,(AA23-INDEX(TABLAS!$D$5:$J$5,AW23))/(INDEX(TABLAS!$D$5:$J$5,AW23+1)-INDEX(TABLAS!$D$5:$J$5,AW23))))</f>
        <v/>
      </c>
      <c r="AY23" s="59" t="str">
        <f>IF(V23&lt;&gt;"SÍ","",INDEX(TABLAS!$D$6:$J$47,MATCH(AV23&amp;"|NIC",TABLAS!$B$6:$B$47,0),AW23)+AX23*(INDEX(TABLAS!$D$6:$J$47,MATCH(AV23&amp;"|NIC",TABLAS!$B$6:$B$47,0),MIN(AW23+1,7))-INDEX(TABLAS!$D$6:$J$47,MATCH(AV23&amp;"|NIC",TABLAS!$B$6:$B$47,0),AW23)))</f>
        <v/>
      </c>
      <c r="AZ23" s="59" t="str">
        <f>IF(V23&lt;&gt;"SÍ","",INDEX(TABLAS!$D$6:$J$47,MATCH(AV23&amp;"|NIL",TABLAS!$B$6:$B$47,0),AW23)+AX23*(INDEX(TABLAS!$D$6:$J$47,MATCH(AV23&amp;"|NIL",TABLAS!$B$6:$B$47,0),MIN(AW23+1,7))-INDEX(TABLAS!$D$6:$J$47,MATCH(AV23&amp;"|NIL",TABLAS!$B$6:$B$47,0),AW23)))</f>
        <v/>
      </c>
      <c r="BA23" s="59" t="str">
        <f>IF(V23&lt;&gt;"SÍ","",INDEX(TABLAS!$D$6:$J$47,MATCH(AV23&amp;"|NDC",TABLAS!$B$6:$B$47,0),AW23)+AX23*(INDEX(TABLAS!$D$6:$J$47,MATCH(AV23&amp;"|NDC",TABLAS!$B$6:$B$47,0),MIN(AW23+1,7))-INDEX(TABLAS!$D$6:$J$47,MATCH(AV23&amp;"|NDC",TABLAS!$B$6:$B$47,0),AW23)))</f>
        <v/>
      </c>
      <c r="BB23" s="59" t="str">
        <f>IF(V23&lt;&gt;"SÍ","",INDEX(TABLAS!$D$6:$J$47,MATCH(AV23&amp;"|NDL",TABLAS!$B$6:$B$47,0),AW23)+AX23*(INDEX(TABLAS!$D$6:$J$47,MATCH(AV23&amp;"|NDL",TABLAS!$B$6:$B$47,0),MIN(AW23+1,7))-INDEX(TABLAS!$D$6:$J$47,MATCH(AV23&amp;"|NDL",TABLAS!$B$6:$B$47,0),AW23)))</f>
        <v/>
      </c>
      <c r="BC23" s="59" t="str">
        <f>IF(V23&lt;&gt;"SÍ","",INDEX(TABLAS!$D$6:$J$47,MATCH(AV23&amp;"|PC",TABLAS!$B$6:$B$47,0),AW23)+AX23*(INDEX(TABLAS!$D$6:$J$47,MATCH(AV23&amp;"|PC",TABLAS!$B$6:$B$47,0),MIN(AW23+1,7))-INDEX(TABLAS!$D$6:$J$47,MATCH(AV23&amp;"|PC",TABLAS!$B$6:$B$47,0),AW23)))</f>
        <v/>
      </c>
      <c r="BD23" s="59" t="str">
        <f>IF(V23&lt;&gt;"SÍ","",INDEX(TABLAS!$D$6:$J$47,MATCH(AV23&amp;"|PL",TABLAS!$B$6:$B$47,0),AW23)+AX23*(INDEX(TABLAS!$D$6:$J$47,MATCH(AV23&amp;"|PL",TABLAS!$B$6:$B$47,0),MIN(AW23+1,7))-INDEX(TABLAS!$D$6:$J$47,MATCH(AV23&amp;"|PL",TABLAS!$B$6:$B$47,0),AW23)))</f>
        <v/>
      </c>
      <c r="BE23" s="56" t="str">
        <f>IF(V23&lt;&gt;"SÍ","",IF(OR(C23&lt;&gt;"VOLADO",MIN(DH23,DI23)=0),0,DATOS!$C$26*DATOS!$C$16*DATOS!$C$86/100*(((AE23*DATOS!$C$81/DATOS!$C$86^2)*DATOS!$C$82/100)*(IF(X23="X",DJ23,DL23)+DATOS!$C$87/2)/100*(AB23-(IF(X23="X",DJ23,DL23)+DATOS!$C$87/2)/2)/100+((AE23*DATOS!$C$81/DATOS!$C$86^2)*DATOS!$C$82/100)*IF(X23="X",DJ23,DL23)/100*IF(X23="X",DJ23,DL23)/200)))</f>
        <v/>
      </c>
      <c r="BF23" s="56" t="str">
        <f>IF(V23&lt;&gt;"SÍ","",IF(OR(C23&lt;&gt;"VOLADO",MIN(DH23,DI23)=0),0,DATOS!$C$26*DATOS!$C$16*DATOS!$C$86/100*((AE23*DATOS!$C$81/DATOS!$C$86^2)*DATOS!$C$82/100)*(IF(X23="X",DJ23,DL23)+DATOS!$C$87/2)/100))</f>
        <v/>
      </c>
      <c r="BG23" s="56" t="str">
        <f>IF(V23&lt;&gt;"SÍ","",IF(C23="PERIMETRAL",BC23*AR23*Y23^2*1E-4*DATOS!$C$86/100/1000,0))</f>
        <v/>
      </c>
      <c r="BH23" s="62" t="str">
        <f>IF(V23&lt;&gt;"SÍ","",IF(C23="PERIMETRAL",MAX(MAX(AY23,BA23)*AR23*Y23^2*1E-4*DATOS!$C$86/100/1000,N(T23)),(AR23*(AB23/100)^2/2+DATOS!$C$26*N(O23)*AB23/100)*DATOS!$C$86/100/1000+BE23))</f>
        <v/>
      </c>
      <c r="BI23" s="56" t="str">
        <f>IF(V23&lt;&gt;"SÍ","",IF(C23="PERIMETRAL",BD23*AR23*Y23^2*1E-4*DATOS!$C$86/100/1000,0))</f>
        <v/>
      </c>
      <c r="BJ23" s="56" t="str">
        <f>IF(V23&lt;&gt;"SÍ","",IF(C23="PERIMETRAL",MAX(MAX(AZ23,BB23)*AR23*Y23^2*1E-4*DATOS!$C$86/100/1000,N(U23)),0))</f>
        <v/>
      </c>
      <c r="BK23" s="63" t="str">
        <f>IF(V23&lt;&gt;"SÍ","",IF(C23&lt;&gt;"PERIMETRAL","—",IF(AND(N(T23)=0,N(U23)=0),"— (sin M⁻ del vecino)",IF(OR(AND(N(T23)&gt;0,ABS(MAX(AY23,BA23)*AR23*Y23^2*1E-4*DATOS!$C$86/100/1000-N(T23))&gt;0.5*MIN(MAX(AY23,BA23)*AR23*Y23^2*1E-4*DATOS!$C$86/100/1000,N(T23))),AND(N(U23)&gt;0,ABS(MAX(AZ23,BB23)*AR23*Y23^2*1E-4*DATOS!$C$86/100/1000-N(U23))&gt;0.5*MIN(MAX(AZ23,BB23)*AR23*Y23^2*1E-4*DATOS!$C$86/100/1000,N(U23)))),"FUERA: difieren &gt; 50 %"&amp;IF(AND(N(T23)&gt;0,ABS(MAX(AY23,BA23)*AR23*Y23^2*1E-4*DATOS!$C$86/100/1000-N(T23))&gt;0.5*MIN(MAX(AY23,BA23)*AR23*Y23^2*1E-4*DATOS!$C$86/100/1000,N(T23)))," ‖ corto","")&amp;IF(AND(N(U23)&gt;0,ABS(MAX(AZ23,BB23)*AR23*Y23^2*1E-4*DATOS!$C$86/100/1000-N(U23))&gt;0.5*MIN(MAX(AZ23,BB23)*AR23*Y23^2*1E-4*DATOS!$C$86/100/1000,N(U23)))," ‖ largo",""),"CUMPLE"))))</f>
        <v/>
      </c>
      <c r="BL23" s="58" t="str">
        <f>IF(V23&lt;&gt;"SÍ","",(DATOS!$C$85-AK23-INDEX(TABLAS!$C$52:$C$58,MATCH(MAX(4,DATOS!$C$71),TABLAS!$B$52:$B$58,0))/2))</f>
        <v/>
      </c>
      <c r="BM23" s="58" t="str">
        <f>IF(V23&lt;&gt;"SÍ","",IF(IF(BG23&lt;=0,0,IF((1-2*BG23*1E5/(DATOS!$C$29*AH23*BL23^2*DATOS!$C$21))&lt;0,-1,IF((1-SQRT((1-2*BG23*1E5/(DATOS!$C$29*AH23*BL23^2*DATOS!$C$21))))*DATOS!$C$21*AH23*BL23/DATOS!$C$14&gt;DATOS!$C$102*AH23*BL23,-1,(1-SQRT((1-2*BG23*1E5/(DATOS!$C$29*AH23*BL23^2*DATOS!$C$21))))*DATOS!$C$21*AH23*BL23/DATOS!$C$14)))&lt;0,-1,MAX(IF(BG23&lt;=0,0,IF((1-2*BG23*1E5/(DATOS!$C$29*AH23*BL23^2*DATOS!$C$21))&lt;0,-1,IF((1-SQRT((1-2*BG23*1E5/(DATOS!$C$29*AH23*BL23^2*DATOS!$C$21))))*DATOS!$C$21*AH23*BL23/DATOS!$C$14&gt;DATOS!$C$102*AH23*BL23,-1,(1-SQRT((1-2*BG23*1E5/(DATOS!$C$29*AH23*BL23^2*DATOS!$C$21))))*DATOS!$C$21*AH23*BL23/DATOS!$C$14))),MIN(DATOS!$C$103*AD23*BL23,4/3*IF(BG23&lt;=0,0,IF((1-2*BG23*1E5/(DATOS!$C$29*AH23*BL23^2*DATOS!$C$21))&lt;0,-1,IF((1-SQRT((1-2*BG23*1E5/(DATOS!$C$29*AH23*BL23^2*DATOS!$C$21))))*DATOS!$C$21*AH23*BL23/DATOS!$C$14&gt;DATOS!$C$102*AH23*BL23,-1,(1-SQRT((1-2*BG23*1E5/(DATOS!$C$29*AH23*BL23^2*DATOS!$C$21))))*DATOS!$C$21*AH23*BL23/DATOS!$C$14)))))))</f>
        <v/>
      </c>
      <c r="BN23" s="64" t="str">
        <f>IF(V23&lt;&gt;"SÍ","",IF(AND(BM23&gt;=0,IF(MAX(DATOS!$C$74,CEILING(BM23/INDEX(TABLAS!$D$52:$D$58,MIN(MATCH(MAX(4,DATOS!$C$71),TABLAS!$B$52:$B$58,0)+0,7)),1))*INDEX(TABLAS!$D$52:$D$58,MIN(MATCH(MAX(4,DATOS!$C$71),TABLAS!$B$52:$B$58,0)+0,7)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+0,7)),1)),MAX(MAX(DATOS!$C$74,CEILING(BM23/INDEX(TABLAS!$D$52:$D$58,MIN(MATCH(MAX(4,DATOS!$C$71),TABLAS!$B$52:$B$58,0)+0,7)),1)),2))&lt;=MIN(DATOS!$C$73,INT(((AD23-2*AK23)+MAX(DATOS!$C$70,INDEX(TABLAS!$C$52:$C$58,MIN(MATCH(MAX(4,DATOS!$C$71),TABLAS!$B$52:$B$58,0)+0,7))))/(INDEX(TABLAS!$C$52:$C$58,MIN(MATCH(MAX(4,DATOS!$C$71),TABLAS!$B$52:$B$58,0)+0,7))+MAX(DATOS!$C$70,INDEX(TABLAS!$C$52:$C$58,MIN(MATCH(MAX(4,DATOS!$C$71),TABLAS!$B$52:$B$58,0)+0,7))))))),INDEX(TABLAS!$B$52:$B$58,MIN(MATCH(MAX(4,DATOS!$C$71),TABLAS!$B$52:$B$58,0)+0,7)),IF(AND(BM23&gt;=0,IF(MAX(DATOS!$C$74,CEILING(BM23/INDEX(TABLAS!$D$52:$D$58,MIN(MATCH(MAX(4,DATOS!$C$71),TABLAS!$B$52:$B$58,0)+1,7)),1))*INDEX(TABLAS!$D$52:$D$58,MIN(MATCH(MAX(4,DATOS!$C$71),TABLAS!$B$52:$B$58,0)+1,7)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+1,7)),1)),MAX(MAX(DATOS!$C$74,CEILING(BM23/INDEX(TABLAS!$D$52:$D$58,MIN(MATCH(MAX(4,DATOS!$C$71),TABLAS!$B$52:$B$58,0)+1,7)),1)),2))&lt;=MIN(DATOS!$C$73,INT(((AD23-2*AK23)+MAX(DATOS!$C$70,INDEX(TABLAS!$C$52:$C$58,MIN(MATCH(MAX(4,DATOS!$C$71),TABLAS!$B$52:$B$58,0)+1,7))))/(INDEX(TABLAS!$C$52:$C$58,MIN(MATCH(MAX(4,DATOS!$C$71),TABLAS!$B$52:$B$58,0)+1,7))+MAX(DATOS!$C$70,INDEX(TABLAS!$C$52:$C$58,MIN(MATCH(MAX(4,DATOS!$C$71),TABLAS!$B$52:$B$58,0)+1,7))))))),INDEX(TABLAS!$B$52:$B$58,MIN(MATCH(MAX(4,DATOS!$C$71),TABLAS!$B$52:$B$58,0)+1,7)),IF(AND(BM23&gt;=0,IF(MAX(DATOS!$C$74,CEILING(BM23/INDEX(TABLAS!$D$52:$D$58,MIN(MATCH(MAX(4,DATOS!$C$71),TABLAS!$B$52:$B$58,0)+2,7)),1))*INDEX(TABLAS!$D$52:$D$58,MIN(MATCH(MAX(4,DATOS!$C$71),TABLAS!$B$52:$B$58,0)+2,7)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+2,7)),1)),MAX(MAX(DATOS!$C$74,CEILING(BM23/INDEX(TABLAS!$D$52:$D$58,MIN(MATCH(MAX(4,DATOS!$C$71),TABLAS!$B$52:$B$58,0)+2,7)),1)),2))&lt;=MIN(DATOS!$C$73,INT(((AD23-2*AK23)+MAX(DATOS!$C$70,INDEX(TABLAS!$C$52:$C$58,MIN(MATCH(MAX(4,DATOS!$C$71),TABLAS!$B$52:$B$58,0)+2,7))))/(INDEX(TABLAS!$C$52:$C$58,MIN(MATCH(MAX(4,DATOS!$C$71),TABLAS!$B$52:$B$58,0)+2,7))+MAX(DATOS!$C$70,INDEX(TABLAS!$C$52:$C$58,MIN(MATCH(MAX(4,DATOS!$C$71),TABLAS!$B$52:$B$58,0)+2,7))))))),INDEX(TABLAS!$B$52:$B$58,MIN(MATCH(MAX(4,DATOS!$C$71),TABLAS!$B$52:$B$58,0)+2,7)),IF(AND(BM23&gt;=0,IF(MAX(DATOS!$C$74,CEILING(BM23/INDEX(TABLAS!$D$52:$D$58,MIN(MATCH(MAX(4,DATOS!$C$71),TABLAS!$B$52:$B$58,0)+3,7)),1))*INDEX(TABLAS!$D$52:$D$58,MIN(MATCH(MAX(4,DATOS!$C$71),TABLAS!$B$52:$B$58,0)+3,7)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+3,7)),1)),MAX(MAX(DATOS!$C$74,CEILING(BM23/INDEX(TABLAS!$D$52:$D$58,MIN(MATCH(MAX(4,DATOS!$C$71),TABLAS!$B$52:$B$58,0)+3,7)),1)),2))&lt;=MIN(DATOS!$C$73,INT(((AD23-2*AK23)+MAX(DATOS!$C$70,INDEX(TABLAS!$C$52:$C$58,MIN(MATCH(MAX(4,DATOS!$C$71),TABLAS!$B$52:$B$58,0)+3,7))))/(INDEX(TABLAS!$C$52:$C$58,MIN(MATCH(MAX(4,DATOS!$C$71),TABLAS!$B$52:$B$58,0)+3,7))+MAX(DATOS!$C$70,INDEX(TABLAS!$C$52:$C$58,MIN(MATCH(MAX(4,DATOS!$C$71),TABLAS!$B$52:$B$58,0)+3,7))))))),INDEX(TABLAS!$B$52:$B$58,MIN(MATCH(MAX(4,DATOS!$C$71),TABLAS!$B$52:$B$58,0)+3,7)),IF(AND(BM23&gt;=0,IF(MAX(DATOS!$C$74,CEILING(BM23/INDEX(TABLAS!$D$52:$D$58,MIN(MATCH(MAX(4,DATOS!$C$71),TABLAS!$B$52:$B$58,0)+4,7)),1))*INDEX(TABLAS!$D$52:$D$58,MIN(MATCH(MAX(4,DATOS!$C$71),TABLAS!$B$52:$B$58,0)+4,7)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+4,7)),1)),MAX(MAX(DATOS!$C$74,CEILING(BM23/INDEX(TABLAS!$D$52:$D$58,MIN(MATCH(MAX(4,DATOS!$C$71),TABLAS!$B$52:$B$58,0)+4,7)),1)),2))&lt;=MIN(DATOS!$C$73,INT(((AD23-2*AK23)+MAX(DATOS!$C$70,INDEX(TABLAS!$C$52:$C$58,MIN(MATCH(MAX(4,DATOS!$C$71),TABLAS!$B$52:$B$58,0)+4,7))))/(INDEX(TABLAS!$C$52:$C$58,MIN(MATCH(MAX(4,DATOS!$C$71),TABLAS!$B$52:$B$58,0)+4,7))+MAX(DATOS!$C$70,INDEX(TABLAS!$C$52:$C$58,MIN(MATCH(MAX(4,DATOS!$C$71),TABLAS!$B$52:$B$58,0)+4,7))))))),INDEX(TABLAS!$B$52:$B$58,MIN(MATCH(MAX(4,DATOS!$C$71),TABLAS!$B$52:$B$58,0)+4,7)),INDEX(TABLAS!$B$52:$B$58,7)))))))</f>
        <v/>
      </c>
      <c r="BO23" s="59" t="str">
        <f>IF(V23&lt;&gt;"SÍ","",IF(BM23&lt;0,0,IF(MAX(DATOS!$C$74,CEILING(MAX(BM23,0)/INDEX(TABLAS!$D$52:$D$58,MATCH(BN23,TABLAS!$B$52:$B$58,0)),1))*INDEX(TABLAS!$D$52:$D$58,MATCH(BN23,TABLAS!$B$52:$B$58,0))&gt;=4/3*IF(BG23&lt;=0,0,IF((1-2*BG23*1E5/(DATOS!$C$29*AH23*BL23^2*DATOS!$C$21))&lt;0,-1,IF((1-SQRT((1-2*BG23*1E5/(DATOS!$C$29*AH23*BL23^2*DATOS!$C$21))))*DATOS!$C$21*AH23*BL23/DATOS!$C$14&gt;DATOS!$C$102*AH23*BL23,-1,(1-SQRT((1-2*BG23*1E5/(DATOS!$C$29*AH23*BL23^2*DATOS!$C$21))))*DATOS!$C$21*AH23*BL23/DATOS!$C$14)))-0.0001,MAX(DATOS!$C$74,CEILING(MAX(BM23,0)/INDEX(TABLAS!$D$52:$D$58,MATCH(BN23,TABLAS!$B$52:$B$58,0)),1)),MAX(MAX(DATOS!$C$74,CEILING(MAX(BM23,0)/INDEX(TABLAS!$D$52:$D$58,MATCH(BN23,TABLAS!$B$52:$B$58,0)),1)),2))))</f>
        <v/>
      </c>
      <c r="BP23" s="58" t="str">
        <f>IF(V23&lt;&gt;"SÍ","",DATOS!$C$85-AK23-INDEX(TABLAS!$C$52:$C$58,MATCH(BN23,TABLAS!$B$52:$B$58,0))/2)</f>
        <v/>
      </c>
      <c r="BQ23" s="56" t="str">
        <f>IF(V23&lt;&gt;"SÍ","",IF(BO23=0,0,DATOS!$C$29*BO23*INDEX(TABLAS!$D$52:$D$58,MATCH(BN23,TABLAS!$B$52:$B$58,0))*DATOS!$C$14*(BP23-BO23*INDEX(TABLAS!$D$52:$D$58,MATCH(BN23,TABLAS!$B$52:$B$58,0))*DATOS!$C$14/(DATOS!$C$21*AH23)/2)/1E5))</f>
        <v/>
      </c>
      <c r="BR23" s="65" t="str">
        <f>IF(V23&lt;&gt;"SÍ","",IF(BM23&lt;0,9.99,IF(BQ23&gt;0,BG23/BQ23,0)))</f>
        <v/>
      </c>
      <c r="BS23" s="66" t="str">
        <f>IF(V23&lt;&gt;"SÍ","",IF(BO23=0,"—",0.003*(BP23-(BO23*INDEX(TABLAS!$D$52:$D$58,MATCH(BN23,TABLAS!$B$52:$B$58,0))*DATOS!$C$14/(DATOS!$C$21*AH23)/DATOS!$C$22))/(BO23*INDEX(TABLAS!$D$52:$D$58,MATCH(BN23,TABLAS!$B$52:$B$58,0))*DATOS!$C$14/(DATOS!$C$21*AH23)/DATOS!$C$22)))</f>
        <v/>
      </c>
      <c r="BT23" s="58" t="str">
        <f>IF(V23&lt;&gt;"SÍ","",((DATOS!$C$85-AM23-2*DATOS!$C$97-INDEX(TABLAS!$C$52:$C$58,MATCH(MAX(4,DATOS!$C$72),TABLAS!$B$52:$B$58,0))/2)-IF(AND((DATOS!$C$85-AM23-2*DATOS!$C$97-INDEX(TABLAS!$C$52:$C$58,MATCH(MAX(4,DATOS!$C$72),TABLAS!$B$52:$B$58,0))/2)&lt;=20,DATOS!$C$65&lt;&gt;"SÍ"),2,0)))</f>
        <v/>
      </c>
      <c r="BU23" s="58" t="str">
        <f>IF(V23&lt;&gt;"SÍ","",IF(IF(BH23&lt;=0,0,IF((1-2*BH23*1E5/(DATOS!$C$29*AF23*BT23^2*DATOS!$C$21))&lt;0,-1,IF((1-SQRT((1-2*BH23*1E5/(DATOS!$C$29*AF23*BT23^2*DATOS!$C$21))))*DATOS!$C$21*AF23*BT23/DATOS!$C$14&gt;DATOS!$C$102*AF23*BT23,-1,(1-SQRT((1-2*BH23*1E5/(DATOS!$C$29*AF23*BT23^2*DATOS!$C$21))))*DATOS!$C$21*AF23*BT23/DATOS!$C$14)))&lt;0,-1,MAX(IF(BH23&lt;=0,0,IF((1-2*BH23*1E5/(DATOS!$C$29*AF23*BT23^2*DATOS!$C$21))&lt;0,-1,IF((1-SQRT((1-2*BH23*1E5/(DATOS!$C$29*AF23*BT23^2*DATOS!$C$21))))*DATOS!$C$21*AF23*BT23/DATOS!$C$14&gt;DATOS!$C$102*AF23*BT23,-1,(1-SQRT((1-2*BH23*1E5/(DATOS!$C$29*AF23*BT23^2*DATOS!$C$21))))*DATOS!$C$21*AF23*BT23/DATOS!$C$14))),MIN(DATOS!$C$103*IF(C23="VOLADO",MIN(AH23,2*AD23),AD23)*BT23,4/3*IF(BH23&lt;=0,0,IF((1-2*BH23*1E5/(DATOS!$C$29*AF23*BT23^2*DATOS!$C$21))&lt;0,-1,IF((1-SQRT((1-2*BH23*1E5/(DATOS!$C$29*AF23*BT23^2*DATOS!$C$21))))*DATOS!$C$21*AF23*BT23/DATOS!$C$14&gt;DATOS!$C$102*AF23*BT23,-1,(1-SQRT((1-2*BH23*1E5/(DATOS!$C$29*AF23*BT23^2*DATOS!$C$21))))*DATOS!$C$21*AF23*BT23/DATOS!$C$14)))))))</f>
        <v/>
      </c>
      <c r="BV23" s="64" t="str">
        <f>IF(V23&lt;&gt;"SÍ","",IF(AND(BU23&gt;=0,IF(MAX(DATOS!$C$74,CEILING(BU23/INDEX(TABLAS!$D$52:$D$58,MIN(MATCH(MAX(4,DATOS!$C$72),TABLAS!$B$52:$B$58,0)+0,7)),1))*INDEX(TABLAS!$D$52:$D$58,MIN(MATCH(MAX(4,DATOS!$C$72),TABLAS!$B$52:$B$58,0)+0,7)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+0,7)),1)),MAX(MAX(DATOS!$C$74,CEILING(BU23/INDEX(TABLAS!$D$52:$D$58,MIN(MATCH(MAX(4,DATOS!$C$72),TABLAS!$B$52:$B$58,0)+0,7)),1)),2))&lt;=MIN(DATOS!$C$73,INT(((AD23-2*AL23)+MAX(DATOS!$C$70,INDEX(TABLAS!$C$52:$C$58,MIN(MATCH(MAX(4,DATOS!$C$72),TABLAS!$B$52:$B$58,0)+0,7))))/(INDEX(TABLAS!$C$52:$C$58,MIN(MATCH(MAX(4,DATOS!$C$72),TABLAS!$B$52:$B$58,0)+0,7))+MAX(DATOS!$C$70,INDEX(TABLAS!$C$52:$C$58,MIN(MATCH(MAX(4,DATOS!$C$72),TABLAS!$B$52:$B$58,0)+0,7))))))),INDEX(TABLAS!$B$52:$B$58,MIN(MATCH(MAX(4,DATOS!$C$72),TABLAS!$B$52:$B$58,0)+0,7)),IF(AND(BU23&gt;=0,IF(MAX(DATOS!$C$74,CEILING(BU23/INDEX(TABLAS!$D$52:$D$58,MIN(MATCH(MAX(4,DATOS!$C$72),TABLAS!$B$52:$B$58,0)+1,7)),1))*INDEX(TABLAS!$D$52:$D$58,MIN(MATCH(MAX(4,DATOS!$C$72),TABLAS!$B$52:$B$58,0)+1,7)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+1,7)),1)),MAX(MAX(DATOS!$C$74,CEILING(BU23/INDEX(TABLAS!$D$52:$D$58,MIN(MATCH(MAX(4,DATOS!$C$72),TABLAS!$B$52:$B$58,0)+1,7)),1)),2))&lt;=MIN(DATOS!$C$73,INT(((AD23-2*AL23)+MAX(DATOS!$C$70,INDEX(TABLAS!$C$52:$C$58,MIN(MATCH(MAX(4,DATOS!$C$72),TABLAS!$B$52:$B$58,0)+1,7))))/(INDEX(TABLAS!$C$52:$C$58,MIN(MATCH(MAX(4,DATOS!$C$72),TABLAS!$B$52:$B$58,0)+1,7))+MAX(DATOS!$C$70,INDEX(TABLAS!$C$52:$C$58,MIN(MATCH(MAX(4,DATOS!$C$72),TABLAS!$B$52:$B$58,0)+1,7))))))),INDEX(TABLAS!$B$52:$B$58,MIN(MATCH(MAX(4,DATOS!$C$72),TABLAS!$B$52:$B$58,0)+1,7)),IF(AND(BU23&gt;=0,IF(MAX(DATOS!$C$74,CEILING(BU23/INDEX(TABLAS!$D$52:$D$58,MIN(MATCH(MAX(4,DATOS!$C$72),TABLAS!$B$52:$B$58,0)+2,7)),1))*INDEX(TABLAS!$D$52:$D$58,MIN(MATCH(MAX(4,DATOS!$C$72),TABLAS!$B$52:$B$58,0)+2,7)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+2,7)),1)),MAX(MAX(DATOS!$C$74,CEILING(BU23/INDEX(TABLAS!$D$52:$D$58,MIN(MATCH(MAX(4,DATOS!$C$72),TABLAS!$B$52:$B$58,0)+2,7)),1)),2))&lt;=MIN(DATOS!$C$73,INT(((AD23-2*AL23)+MAX(DATOS!$C$70,INDEX(TABLAS!$C$52:$C$58,MIN(MATCH(MAX(4,DATOS!$C$72),TABLAS!$B$52:$B$58,0)+2,7))))/(INDEX(TABLAS!$C$52:$C$58,MIN(MATCH(MAX(4,DATOS!$C$72),TABLAS!$B$52:$B$58,0)+2,7))+MAX(DATOS!$C$70,INDEX(TABLAS!$C$52:$C$58,MIN(MATCH(MAX(4,DATOS!$C$72),TABLAS!$B$52:$B$58,0)+2,7))))))),INDEX(TABLAS!$B$52:$B$58,MIN(MATCH(MAX(4,DATOS!$C$72),TABLAS!$B$52:$B$58,0)+2,7)),IF(AND(BU23&gt;=0,IF(MAX(DATOS!$C$74,CEILING(BU23/INDEX(TABLAS!$D$52:$D$58,MIN(MATCH(MAX(4,DATOS!$C$72),TABLAS!$B$52:$B$58,0)+3,7)),1))*INDEX(TABLAS!$D$52:$D$58,MIN(MATCH(MAX(4,DATOS!$C$72),TABLAS!$B$52:$B$58,0)+3,7)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+3,7)),1)),MAX(MAX(DATOS!$C$74,CEILING(BU23/INDEX(TABLAS!$D$52:$D$58,MIN(MATCH(MAX(4,DATOS!$C$72),TABLAS!$B$52:$B$58,0)+3,7)),1)),2))&lt;=MIN(DATOS!$C$73,INT(((AD23-2*AL23)+MAX(DATOS!$C$70,INDEX(TABLAS!$C$52:$C$58,MIN(MATCH(MAX(4,DATOS!$C$72),TABLAS!$B$52:$B$58,0)+3,7))))/(INDEX(TABLAS!$C$52:$C$58,MIN(MATCH(MAX(4,DATOS!$C$72),TABLAS!$B$52:$B$58,0)+3,7))+MAX(DATOS!$C$70,INDEX(TABLAS!$C$52:$C$58,MIN(MATCH(MAX(4,DATOS!$C$72),TABLAS!$B$52:$B$58,0)+3,7))))))),INDEX(TABLAS!$B$52:$B$58,MIN(MATCH(MAX(4,DATOS!$C$72),TABLAS!$B$52:$B$58,0)+3,7)),IF(AND(BU23&gt;=0,IF(MAX(DATOS!$C$74,CEILING(BU23/INDEX(TABLAS!$D$52:$D$58,MIN(MATCH(MAX(4,DATOS!$C$72),TABLAS!$B$52:$B$58,0)+4,7)),1))*INDEX(TABLAS!$D$52:$D$58,MIN(MATCH(MAX(4,DATOS!$C$72),TABLAS!$B$52:$B$58,0)+4,7)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+4,7)),1)),MAX(MAX(DATOS!$C$74,CEILING(BU23/INDEX(TABLAS!$D$52:$D$58,MIN(MATCH(MAX(4,DATOS!$C$72),TABLAS!$B$52:$B$58,0)+4,7)),1)),2))&lt;=MIN(DATOS!$C$73,INT(((AD23-2*AL23)+MAX(DATOS!$C$70,INDEX(TABLAS!$C$52:$C$58,MIN(MATCH(MAX(4,DATOS!$C$72),TABLAS!$B$52:$B$58,0)+4,7))))/(INDEX(TABLAS!$C$52:$C$58,MIN(MATCH(MAX(4,DATOS!$C$72),TABLAS!$B$52:$B$58,0)+4,7))+MAX(DATOS!$C$70,INDEX(TABLAS!$C$52:$C$58,MIN(MATCH(MAX(4,DATOS!$C$72),TABLAS!$B$52:$B$58,0)+4,7))))))),INDEX(TABLAS!$B$52:$B$58,MIN(MATCH(MAX(4,DATOS!$C$72),TABLAS!$B$52:$B$58,0)+4,7)),INDEX(TABLAS!$B$52:$B$58,7)))))))</f>
        <v/>
      </c>
      <c r="BW23" s="59" t="str">
        <f>IF(V23&lt;&gt;"SÍ","",IF(BU23&lt;0,0,IF(MAX(DATOS!$C$74,CEILING(MAX(BU23,0)/INDEX(TABLAS!$D$52:$D$58,MATCH(BV23,TABLAS!$B$52:$B$58,0)),1))*INDEX(TABLAS!$D$52:$D$58,MATCH(BV23,TABLAS!$B$52:$B$58,0))&gt;=4/3*IF(BH23&lt;=0,0,IF((1-2*BH23*1E5/(DATOS!$C$29*AF23*BT23^2*DATOS!$C$21))&lt;0,-1,IF((1-SQRT((1-2*BH23*1E5/(DATOS!$C$29*AF23*BT23^2*DATOS!$C$21))))*DATOS!$C$21*AF23*BT23/DATOS!$C$14&gt;DATOS!$C$102*AF23*BT23,-1,(1-SQRT((1-2*BH23*1E5/(DATOS!$C$29*AF23*BT23^2*DATOS!$C$21))))*DATOS!$C$21*AF23*BT23/DATOS!$C$14)))-0.0001,MAX(DATOS!$C$74,CEILING(MAX(BU23,0)/INDEX(TABLAS!$D$52:$D$58,MATCH(BV23,TABLAS!$B$52:$B$58,0)),1)),MAX(MAX(DATOS!$C$74,CEILING(MAX(BU23,0)/INDEX(TABLAS!$D$52:$D$58,MATCH(BV23,TABLAS!$B$52:$B$58,0)),1)),2))))</f>
        <v/>
      </c>
      <c r="BX23" s="58" t="str">
        <f>IF(V23&lt;&gt;"SÍ","",((DATOS!$C$85-AM23-2*DATOS!$C$97-INDEX(TABLAS!$C$52:$C$58,MATCH(BV23,TABLAS!$B$52:$B$58,0))/2)-IF(AND((DATOS!$C$85-AM23-2*DATOS!$C$97-INDEX(TABLAS!$C$52:$C$58,MATCH(BV23,TABLAS!$B$52:$B$58,0))/2)&lt;=20,DATOS!$C$65&lt;&gt;"SÍ"),2,0)))</f>
        <v/>
      </c>
      <c r="BY23" s="56" t="str">
        <f>IF(V23&lt;&gt;"SÍ","",IF(BW23=0,0,DATOS!$C$29*BW23*INDEX(TABLAS!$D$52:$D$58,MATCH(BV23,TABLAS!$B$52:$B$58,0))*DATOS!$C$14*(BX23-BW23*INDEX(TABLAS!$D$52:$D$58,MATCH(BV23,TABLAS!$B$52:$B$58,0))*DATOS!$C$14/(DATOS!$C$21*AF23)/2)/1E5))</f>
        <v/>
      </c>
      <c r="BZ23" s="65" t="str">
        <f>IF(V23&lt;&gt;"SÍ","",IF(BU23&lt;0,9.99,IF(BY23&gt;0,BH23/BY23,0)))</f>
        <v/>
      </c>
      <c r="CA23" s="66" t="str">
        <f>IF(V23&lt;&gt;"SÍ","",IF(BW23=0,"—",0.003*(BX23-(BW23*INDEX(TABLAS!$D$52:$D$58,MATCH(BV23,TABLAS!$B$52:$B$58,0))*DATOS!$C$14/(DATOS!$C$21*AF23)/DATOS!$C$22))/(BW23*INDEX(TABLAS!$D$52:$D$58,MATCH(BV23,TABLAS!$B$52:$B$58,0))*DATOS!$C$14/(DATOS!$C$21*AF23)/DATOS!$C$22)))</f>
        <v/>
      </c>
      <c r="CB23" s="58" t="str">
        <f>IF(V23&lt;&gt;"SÍ","",(DATOS!$C$85-AK23-INDEX(TABLAS!$C$52:$C$58,MATCH(MAX(4,DATOS!$C$71),TABLAS!$B$52:$B$58,0))-INDEX(TABLAS!$C$52:$C$58,MATCH(MAX(4,DATOS!$C$71),TABLAS!$B$52:$B$58,0))/2))</f>
        <v/>
      </c>
      <c r="CC23" s="58" t="str">
        <f>IF(V23&lt;&gt;"SÍ","",IF(IF(BI23&lt;=0,0,IF((1-2*BI23*1E5/(DATOS!$C$29*AI23*CB23^2*DATOS!$C$21))&lt;0,-1,IF((1-SQRT((1-2*BI23*1E5/(DATOS!$C$29*AI23*CB23^2*DATOS!$C$21))))*DATOS!$C$21*AI23*CB23/DATOS!$C$14&gt;DATOS!$C$102*AI23*CB23,-1,(1-SQRT((1-2*BI23*1E5/(DATOS!$C$29*AI23*CB23^2*DATOS!$C$21))))*DATOS!$C$21*AI23*CB23/DATOS!$C$14)))&lt;0,-1,MAX(IF(BI23&lt;=0,0,IF((1-2*BI23*1E5/(DATOS!$C$29*AI23*CB23^2*DATOS!$C$21))&lt;0,-1,IF((1-SQRT((1-2*BI23*1E5/(DATOS!$C$29*AI23*CB23^2*DATOS!$C$21))))*DATOS!$C$21*AI23*CB23/DATOS!$C$14&gt;DATOS!$C$102*AI23*CB23,-1,(1-SQRT((1-2*BI23*1E5/(DATOS!$C$29*AI23*CB23^2*DATOS!$C$21))))*DATOS!$C$21*AI23*CB23/DATOS!$C$14))),MIN(DATOS!$C$103*DATOS!$C$83*CB23,4/3*IF(BI23&lt;=0,0,IF((1-2*BI23*1E5/(DATOS!$C$29*AI23*CB23^2*DATOS!$C$21))&lt;0,-1,IF((1-SQRT((1-2*BI23*1E5/(DATOS!$C$29*AI23*CB23^2*DATOS!$C$21))))*DATOS!$C$21*AI23*CB23/DATOS!$C$14&gt;DATOS!$C$102*AI23*CB23,-1,(1-SQRT((1-2*BI23*1E5/(DATOS!$C$29*AI23*CB23^2*DATOS!$C$21))))*DATOS!$C$21*AI23*CB23/DATOS!$C$14)))))))</f>
        <v/>
      </c>
      <c r="CD23" s="64" t="str">
        <f>IF(V23&lt;&gt;"SÍ","",IF(AND(CC23&gt;=0,IF(MAX(DATOS!$C$74,CEILING(CC23/INDEX(TABLAS!$D$52:$D$58,MIN(MATCH(MAX(4,DATOS!$C$71),TABLAS!$B$52:$B$58,0)+0,7)),1))*INDEX(TABLAS!$D$52:$D$58,MIN(MATCH(MAX(4,DATOS!$C$71),TABLAS!$B$52:$B$58,0)+0,7)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+0,7)),1)),MAX(MAX(DATOS!$C$74,CEILING(CC23/INDEX(TABLAS!$D$52:$D$58,MIN(MATCH(MAX(4,DATOS!$C$71),TABLAS!$B$52:$B$58,0)+0,7)),1)),2))&lt;=MIN(DATOS!$C$73,INT(((DATOS!$C$83-2*AK23)+MAX(DATOS!$C$70,INDEX(TABLAS!$C$52:$C$58,MIN(MATCH(MAX(4,DATOS!$C$71),TABLAS!$B$52:$B$58,0)+0,7))))/(INDEX(TABLAS!$C$52:$C$58,MIN(MATCH(MAX(4,DATOS!$C$71),TABLAS!$B$52:$B$58,0)+0,7))+MAX(DATOS!$C$70,INDEX(TABLAS!$C$52:$C$58,MIN(MATCH(MAX(4,DATOS!$C$71),TABLAS!$B$52:$B$58,0)+0,7))))))),INDEX(TABLAS!$B$52:$B$58,MIN(MATCH(MAX(4,DATOS!$C$71),TABLAS!$B$52:$B$58,0)+0,7)),IF(AND(CC23&gt;=0,IF(MAX(DATOS!$C$74,CEILING(CC23/INDEX(TABLAS!$D$52:$D$58,MIN(MATCH(MAX(4,DATOS!$C$71),TABLAS!$B$52:$B$58,0)+1,7)),1))*INDEX(TABLAS!$D$52:$D$58,MIN(MATCH(MAX(4,DATOS!$C$71),TABLAS!$B$52:$B$58,0)+1,7)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+1,7)),1)),MAX(MAX(DATOS!$C$74,CEILING(CC23/INDEX(TABLAS!$D$52:$D$58,MIN(MATCH(MAX(4,DATOS!$C$71),TABLAS!$B$52:$B$58,0)+1,7)),1)),2))&lt;=MIN(DATOS!$C$73,INT(((DATOS!$C$83-2*AK23)+MAX(DATOS!$C$70,INDEX(TABLAS!$C$52:$C$58,MIN(MATCH(MAX(4,DATOS!$C$71),TABLAS!$B$52:$B$58,0)+1,7))))/(INDEX(TABLAS!$C$52:$C$58,MIN(MATCH(MAX(4,DATOS!$C$71),TABLAS!$B$52:$B$58,0)+1,7))+MAX(DATOS!$C$70,INDEX(TABLAS!$C$52:$C$58,MIN(MATCH(MAX(4,DATOS!$C$71),TABLAS!$B$52:$B$58,0)+1,7))))))),INDEX(TABLAS!$B$52:$B$58,MIN(MATCH(MAX(4,DATOS!$C$71),TABLAS!$B$52:$B$58,0)+1,7)),IF(AND(CC23&gt;=0,IF(MAX(DATOS!$C$74,CEILING(CC23/INDEX(TABLAS!$D$52:$D$58,MIN(MATCH(MAX(4,DATOS!$C$71),TABLAS!$B$52:$B$58,0)+2,7)),1))*INDEX(TABLAS!$D$52:$D$58,MIN(MATCH(MAX(4,DATOS!$C$71),TABLAS!$B$52:$B$58,0)+2,7)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+2,7)),1)),MAX(MAX(DATOS!$C$74,CEILING(CC23/INDEX(TABLAS!$D$52:$D$58,MIN(MATCH(MAX(4,DATOS!$C$71),TABLAS!$B$52:$B$58,0)+2,7)),1)),2))&lt;=MIN(DATOS!$C$73,INT(((DATOS!$C$83-2*AK23)+MAX(DATOS!$C$70,INDEX(TABLAS!$C$52:$C$58,MIN(MATCH(MAX(4,DATOS!$C$71),TABLAS!$B$52:$B$58,0)+2,7))))/(INDEX(TABLAS!$C$52:$C$58,MIN(MATCH(MAX(4,DATOS!$C$71),TABLAS!$B$52:$B$58,0)+2,7))+MAX(DATOS!$C$70,INDEX(TABLAS!$C$52:$C$58,MIN(MATCH(MAX(4,DATOS!$C$71),TABLAS!$B$52:$B$58,0)+2,7))))))),INDEX(TABLAS!$B$52:$B$58,MIN(MATCH(MAX(4,DATOS!$C$71),TABLAS!$B$52:$B$58,0)+2,7)),IF(AND(CC23&gt;=0,IF(MAX(DATOS!$C$74,CEILING(CC23/INDEX(TABLAS!$D$52:$D$58,MIN(MATCH(MAX(4,DATOS!$C$71),TABLAS!$B$52:$B$58,0)+3,7)),1))*INDEX(TABLAS!$D$52:$D$58,MIN(MATCH(MAX(4,DATOS!$C$71),TABLAS!$B$52:$B$58,0)+3,7)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+3,7)),1)),MAX(MAX(DATOS!$C$74,CEILING(CC23/INDEX(TABLAS!$D$52:$D$58,MIN(MATCH(MAX(4,DATOS!$C$71),TABLAS!$B$52:$B$58,0)+3,7)),1)),2))&lt;=MIN(DATOS!$C$73,INT(((DATOS!$C$83-2*AK23)+MAX(DATOS!$C$70,INDEX(TABLAS!$C$52:$C$58,MIN(MATCH(MAX(4,DATOS!$C$71),TABLAS!$B$52:$B$58,0)+3,7))))/(INDEX(TABLAS!$C$52:$C$58,MIN(MATCH(MAX(4,DATOS!$C$71),TABLAS!$B$52:$B$58,0)+3,7))+MAX(DATOS!$C$70,INDEX(TABLAS!$C$52:$C$58,MIN(MATCH(MAX(4,DATOS!$C$71),TABLAS!$B$52:$B$58,0)+3,7))))))),INDEX(TABLAS!$B$52:$B$58,MIN(MATCH(MAX(4,DATOS!$C$71),TABLAS!$B$52:$B$58,0)+3,7)),IF(AND(CC23&gt;=0,IF(MAX(DATOS!$C$74,CEILING(CC23/INDEX(TABLAS!$D$52:$D$58,MIN(MATCH(MAX(4,DATOS!$C$71),TABLAS!$B$52:$B$58,0)+4,7)),1))*INDEX(TABLAS!$D$52:$D$58,MIN(MATCH(MAX(4,DATOS!$C$71),TABLAS!$B$52:$B$58,0)+4,7)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+4,7)),1)),MAX(MAX(DATOS!$C$74,CEILING(CC23/INDEX(TABLAS!$D$52:$D$58,MIN(MATCH(MAX(4,DATOS!$C$71),TABLAS!$B$52:$B$58,0)+4,7)),1)),2))&lt;=MIN(DATOS!$C$73,INT(((DATOS!$C$83-2*AK23)+MAX(DATOS!$C$70,INDEX(TABLAS!$C$52:$C$58,MIN(MATCH(MAX(4,DATOS!$C$71),TABLAS!$B$52:$B$58,0)+4,7))))/(INDEX(TABLAS!$C$52:$C$58,MIN(MATCH(MAX(4,DATOS!$C$71),TABLAS!$B$52:$B$58,0)+4,7))+MAX(DATOS!$C$70,INDEX(TABLAS!$C$52:$C$58,MIN(MATCH(MAX(4,DATOS!$C$71),TABLAS!$B$52:$B$58,0)+4,7))))))),INDEX(TABLAS!$B$52:$B$58,MIN(MATCH(MAX(4,DATOS!$C$71),TABLAS!$B$52:$B$58,0)+4,7)),INDEX(TABLAS!$B$52:$B$58,7)))))))</f>
        <v/>
      </c>
      <c r="CE23" s="59" t="str">
        <f>IF(V23&lt;&gt;"SÍ","",IF(CC23&lt;0,0,IF(MAX(DATOS!$C$74,CEILING(MAX(CC23,0)/INDEX(TABLAS!$D$52:$D$58,MATCH(CD23,TABLAS!$B$52:$B$58,0)),1))*INDEX(TABLAS!$D$52:$D$58,MATCH(CD23,TABLAS!$B$52:$B$58,0))&gt;=4/3*IF(BI23&lt;=0,0,IF((1-2*BI23*1E5/(DATOS!$C$29*AI23*CB23^2*DATOS!$C$21))&lt;0,-1,IF((1-SQRT((1-2*BI23*1E5/(DATOS!$C$29*AI23*CB23^2*DATOS!$C$21))))*DATOS!$C$21*AI23*CB23/DATOS!$C$14&gt;DATOS!$C$102*AI23*CB23,-1,(1-SQRT((1-2*BI23*1E5/(DATOS!$C$29*AI23*CB23^2*DATOS!$C$21))))*DATOS!$C$21*AI23*CB23/DATOS!$C$14)))-0.0001,MAX(DATOS!$C$74,CEILING(MAX(CC23,0)/INDEX(TABLAS!$D$52:$D$58,MATCH(CD23,TABLAS!$B$52:$B$58,0)),1)),MAX(MAX(DATOS!$C$74,CEILING(MAX(CC23,0)/INDEX(TABLAS!$D$52:$D$58,MATCH(CD23,TABLAS!$B$52:$B$58,0)),1)),2))))</f>
        <v/>
      </c>
      <c r="CF23" s="58" t="str">
        <f>IF(V23&lt;&gt;"SÍ","",DATOS!$C$85-AK23-INDEX(TABLAS!$C$52:$C$58,MATCH(BN23,TABLAS!$B$52:$B$58,0))-INDEX(TABLAS!$C$52:$C$58,MATCH(CD23,TABLAS!$B$52:$B$58,0))/2)</f>
        <v/>
      </c>
      <c r="CG23" s="56" t="str">
        <f>IF(V23&lt;&gt;"SÍ","",IF(CE23=0,0,DATOS!$C$29*CE23*INDEX(TABLAS!$D$52:$D$58,MATCH(CD23,TABLAS!$B$52:$B$58,0))*DATOS!$C$14*(CF23-CE23*INDEX(TABLAS!$D$52:$D$58,MATCH(CD23,TABLAS!$B$52:$B$58,0))*DATOS!$C$14/(DATOS!$C$21*AI23)/2)/1E5))</f>
        <v/>
      </c>
      <c r="CH23" s="65" t="str">
        <f>IF(V23&lt;&gt;"SÍ","",IF(CC23&lt;0,9.99,IF(CG23&gt;0,BI23/CG23,0)))</f>
        <v/>
      </c>
      <c r="CI23" s="66" t="str">
        <f>IF(V23&lt;&gt;"SÍ","",IF(CE23=0,"—",0.003*(CF23-(CE23*INDEX(TABLAS!$D$52:$D$58,MATCH(CD23,TABLAS!$B$52:$B$58,0))*DATOS!$C$14/(DATOS!$C$21*AI23)/DATOS!$C$22))/(CE23*INDEX(TABLAS!$D$52:$D$58,MATCH(CD23,TABLAS!$B$52:$B$58,0))*DATOS!$C$14/(DATOS!$C$21*AI23)/DATOS!$C$22)))</f>
        <v/>
      </c>
      <c r="CJ23" s="58" t="str">
        <f>IF(V23&lt;&gt;"SÍ","",((DATOS!$C$85-AM23-2*DATOS!$C$97-INDEX(TABLAS!$C$52:$C$58,MATCH(MAX(4,DATOS!$C$72),TABLAS!$B$52:$B$58,0))-INDEX(TABLAS!$C$52:$C$58,MATCH(MAX(4,DATOS!$C$72),TABLAS!$B$52:$B$58,0))/2)-IF(AND((DATOS!$C$85-AM23-2*DATOS!$C$97-INDEX(TABLAS!$C$52:$C$58,MATCH(MAX(4,DATOS!$C$72),TABLAS!$B$52:$B$58,0))-INDEX(TABLAS!$C$52:$C$58,MATCH(MAX(4,DATOS!$C$72),TABLAS!$B$52:$B$58,0))/2)&lt;=20,DATOS!$C$65&lt;&gt;"SÍ"),2,0)))</f>
        <v/>
      </c>
      <c r="CK23" s="58" t="str">
        <f>IF(V23&lt;&gt;"SÍ","",IF(IF(BJ23&lt;=0,0,IF((1-2*BJ23*1E5/(DATOS!$C$29*AG23*CJ23^2*DATOS!$C$21))&lt;0,-1,IF((1-SQRT((1-2*BJ23*1E5/(DATOS!$C$29*AG23*CJ23^2*DATOS!$C$21))))*DATOS!$C$21*AG23*CJ23/DATOS!$C$14&gt;DATOS!$C$102*AG23*CJ23,-1,(1-SQRT((1-2*BJ23*1E5/(DATOS!$C$29*AG23*CJ23^2*DATOS!$C$21))))*DATOS!$C$21*AG23*CJ23/DATOS!$C$14)))&lt;0,-1,MAX(IF(BJ23&lt;=0,0,IF((1-2*BJ23*1E5/(DATOS!$C$29*AG23*CJ23^2*DATOS!$C$21))&lt;0,-1,IF((1-SQRT((1-2*BJ23*1E5/(DATOS!$C$29*AG23*CJ23^2*DATOS!$C$21))))*DATOS!$C$21*AG23*CJ23/DATOS!$C$14&gt;DATOS!$C$102*AG23*CJ23,-1,(1-SQRT((1-2*BJ23*1E5/(DATOS!$C$29*AG23*CJ23^2*DATOS!$C$21))))*DATOS!$C$21*AG23*CJ23/DATOS!$C$14))),MIN(DATOS!$C$103*DATOS!$C$83*CJ23,4/3*IF(BJ23&lt;=0,0,IF((1-2*BJ23*1E5/(DATOS!$C$29*AG23*CJ23^2*DATOS!$C$21))&lt;0,-1,IF((1-SQRT((1-2*BJ23*1E5/(DATOS!$C$29*AG23*CJ23^2*DATOS!$C$21))))*DATOS!$C$21*AG23*CJ23/DATOS!$C$14&gt;DATOS!$C$102*AG23*CJ23,-1,(1-SQRT((1-2*BJ23*1E5/(DATOS!$C$29*AG23*CJ23^2*DATOS!$C$21))))*DATOS!$C$21*AG23*CJ23/DATOS!$C$14)))))))</f>
        <v/>
      </c>
      <c r="CL23" s="64" t="str">
        <f>IF(V23&lt;&gt;"SÍ","",IF(AND(CK23&gt;=0,IF(MAX(DATOS!$C$74,CEILING(CK23/INDEX(TABLAS!$D$52:$D$58,MIN(MATCH(MAX(4,DATOS!$C$72),TABLAS!$B$52:$B$58,0)+0,7)),1))*INDEX(TABLAS!$D$52:$D$58,MIN(MATCH(MAX(4,DATOS!$C$72),TABLAS!$B$52:$B$58,0)+0,7)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+0,7)),1)),MAX(MAX(DATOS!$C$74,CEILING(CK23/INDEX(TABLAS!$D$52:$D$58,MIN(MATCH(MAX(4,DATOS!$C$72),TABLAS!$B$52:$B$58,0)+0,7)),1)),2))&lt;=MIN(DATOS!$C$73,INT(((DATOS!$C$83-2*AL23)+MAX(DATOS!$C$70,INDEX(TABLAS!$C$52:$C$58,MIN(MATCH(MAX(4,DATOS!$C$72),TABLAS!$B$52:$B$58,0)+0,7))))/(INDEX(TABLAS!$C$52:$C$58,MIN(MATCH(MAX(4,DATOS!$C$72),TABLAS!$B$52:$B$58,0)+0,7))+MAX(DATOS!$C$70,INDEX(TABLAS!$C$52:$C$58,MIN(MATCH(MAX(4,DATOS!$C$72),TABLAS!$B$52:$B$58,0)+0,7))))))),INDEX(TABLAS!$B$52:$B$58,MIN(MATCH(MAX(4,DATOS!$C$72),TABLAS!$B$52:$B$58,0)+0,7)),IF(AND(CK23&gt;=0,IF(MAX(DATOS!$C$74,CEILING(CK23/INDEX(TABLAS!$D$52:$D$58,MIN(MATCH(MAX(4,DATOS!$C$72),TABLAS!$B$52:$B$58,0)+1,7)),1))*INDEX(TABLAS!$D$52:$D$58,MIN(MATCH(MAX(4,DATOS!$C$72),TABLAS!$B$52:$B$58,0)+1,7)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+1,7)),1)),MAX(MAX(DATOS!$C$74,CEILING(CK23/INDEX(TABLAS!$D$52:$D$58,MIN(MATCH(MAX(4,DATOS!$C$72),TABLAS!$B$52:$B$58,0)+1,7)),1)),2))&lt;=MIN(DATOS!$C$73,INT(((DATOS!$C$83-2*AL23)+MAX(DATOS!$C$70,INDEX(TABLAS!$C$52:$C$58,MIN(MATCH(MAX(4,DATOS!$C$72),TABLAS!$B$52:$B$58,0)+1,7))))/(INDEX(TABLAS!$C$52:$C$58,MIN(MATCH(MAX(4,DATOS!$C$72),TABLAS!$B$52:$B$58,0)+1,7))+MAX(DATOS!$C$70,INDEX(TABLAS!$C$52:$C$58,MIN(MATCH(MAX(4,DATOS!$C$72),TABLAS!$B$52:$B$58,0)+1,7))))))),INDEX(TABLAS!$B$52:$B$58,MIN(MATCH(MAX(4,DATOS!$C$72),TABLAS!$B$52:$B$58,0)+1,7)),IF(AND(CK23&gt;=0,IF(MAX(DATOS!$C$74,CEILING(CK23/INDEX(TABLAS!$D$52:$D$58,MIN(MATCH(MAX(4,DATOS!$C$72),TABLAS!$B$52:$B$58,0)+2,7)),1))*INDEX(TABLAS!$D$52:$D$58,MIN(MATCH(MAX(4,DATOS!$C$72),TABLAS!$B$52:$B$58,0)+2,7)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+2,7)),1)),MAX(MAX(DATOS!$C$74,CEILING(CK23/INDEX(TABLAS!$D$52:$D$58,MIN(MATCH(MAX(4,DATOS!$C$72),TABLAS!$B$52:$B$58,0)+2,7)),1)),2))&lt;=MIN(DATOS!$C$73,INT(((DATOS!$C$83-2*AL23)+MAX(DATOS!$C$70,INDEX(TABLAS!$C$52:$C$58,MIN(MATCH(MAX(4,DATOS!$C$72),TABLAS!$B$52:$B$58,0)+2,7))))/(INDEX(TABLAS!$C$52:$C$58,MIN(MATCH(MAX(4,DATOS!$C$72),TABLAS!$B$52:$B$58,0)+2,7))+MAX(DATOS!$C$70,INDEX(TABLAS!$C$52:$C$58,MIN(MATCH(MAX(4,DATOS!$C$72),TABLAS!$B$52:$B$58,0)+2,7))))))),INDEX(TABLAS!$B$52:$B$58,MIN(MATCH(MAX(4,DATOS!$C$72),TABLAS!$B$52:$B$58,0)+2,7)),IF(AND(CK23&gt;=0,IF(MAX(DATOS!$C$74,CEILING(CK23/INDEX(TABLAS!$D$52:$D$58,MIN(MATCH(MAX(4,DATOS!$C$72),TABLAS!$B$52:$B$58,0)+3,7)),1))*INDEX(TABLAS!$D$52:$D$58,MIN(MATCH(MAX(4,DATOS!$C$72),TABLAS!$B$52:$B$58,0)+3,7)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+3,7)),1)),MAX(MAX(DATOS!$C$74,CEILING(CK23/INDEX(TABLAS!$D$52:$D$58,MIN(MATCH(MAX(4,DATOS!$C$72),TABLAS!$B$52:$B$58,0)+3,7)),1)),2))&lt;=MIN(DATOS!$C$73,INT(((DATOS!$C$83-2*AL23)+MAX(DATOS!$C$70,INDEX(TABLAS!$C$52:$C$58,MIN(MATCH(MAX(4,DATOS!$C$72),TABLAS!$B$52:$B$58,0)+3,7))))/(INDEX(TABLAS!$C$52:$C$58,MIN(MATCH(MAX(4,DATOS!$C$72),TABLAS!$B$52:$B$58,0)+3,7))+MAX(DATOS!$C$70,INDEX(TABLAS!$C$52:$C$58,MIN(MATCH(MAX(4,DATOS!$C$72),TABLAS!$B$52:$B$58,0)+3,7))))))),INDEX(TABLAS!$B$52:$B$58,MIN(MATCH(MAX(4,DATOS!$C$72),TABLAS!$B$52:$B$58,0)+3,7)),IF(AND(CK23&gt;=0,IF(MAX(DATOS!$C$74,CEILING(CK23/INDEX(TABLAS!$D$52:$D$58,MIN(MATCH(MAX(4,DATOS!$C$72),TABLAS!$B$52:$B$58,0)+4,7)),1))*INDEX(TABLAS!$D$52:$D$58,MIN(MATCH(MAX(4,DATOS!$C$72),TABLAS!$B$52:$B$58,0)+4,7)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+4,7)),1)),MAX(MAX(DATOS!$C$74,CEILING(CK23/INDEX(TABLAS!$D$52:$D$58,MIN(MATCH(MAX(4,DATOS!$C$72),TABLAS!$B$52:$B$58,0)+4,7)),1)),2))&lt;=MIN(DATOS!$C$73,INT(((DATOS!$C$83-2*AL23)+MAX(DATOS!$C$70,INDEX(TABLAS!$C$52:$C$58,MIN(MATCH(MAX(4,DATOS!$C$72),TABLAS!$B$52:$B$58,0)+4,7))))/(INDEX(TABLAS!$C$52:$C$58,MIN(MATCH(MAX(4,DATOS!$C$72),TABLAS!$B$52:$B$58,0)+4,7))+MAX(DATOS!$C$70,INDEX(TABLAS!$C$52:$C$58,MIN(MATCH(MAX(4,DATOS!$C$72),TABLAS!$B$52:$B$58,0)+4,7))))))),INDEX(TABLAS!$B$52:$B$58,MIN(MATCH(MAX(4,DATOS!$C$72),TABLAS!$B$52:$B$58,0)+4,7)),INDEX(TABLAS!$B$52:$B$58,7)))))))</f>
        <v/>
      </c>
      <c r="CM23" s="59" t="str">
        <f>IF(V23&lt;&gt;"SÍ","",IF(CK23&lt;0,0,IF(MAX(DATOS!$C$74,CEILING(MAX(CK23,0)/INDEX(TABLAS!$D$52:$D$58,MATCH(CL23,TABLAS!$B$52:$B$58,0)),1))*INDEX(TABLAS!$D$52:$D$58,MATCH(CL23,TABLAS!$B$52:$B$58,0))&gt;=4/3*IF(BJ23&lt;=0,0,IF((1-2*BJ23*1E5/(DATOS!$C$29*AG23*CJ23^2*DATOS!$C$21))&lt;0,-1,IF((1-SQRT((1-2*BJ23*1E5/(DATOS!$C$29*AG23*CJ23^2*DATOS!$C$21))))*DATOS!$C$21*AG23*CJ23/DATOS!$C$14&gt;DATOS!$C$102*AG23*CJ23,-1,(1-SQRT((1-2*BJ23*1E5/(DATOS!$C$29*AG23*CJ23^2*DATOS!$C$21))))*DATOS!$C$21*AG23*CJ23/DATOS!$C$14)))-0.0001,MAX(DATOS!$C$74,CEILING(MAX(CK23,0)/INDEX(TABLAS!$D$52:$D$58,MATCH(CL23,TABLAS!$B$52:$B$58,0)),1)),MAX(MAX(DATOS!$C$74,CEILING(MAX(CK23,0)/INDEX(TABLAS!$D$52:$D$58,MATCH(CL23,TABLAS!$B$52:$B$58,0)),1)),2))))</f>
        <v/>
      </c>
      <c r="CN23" s="58" t="str">
        <f>IF(V23&lt;&gt;"SÍ","",((DATOS!$C$85-AM23-2*DATOS!$C$97-INDEX(TABLAS!$C$52:$C$58,MATCH(BV23,TABLAS!$B$52:$B$58,0))-INDEX(TABLAS!$C$52:$C$58,MATCH(CL23,TABLAS!$B$52:$B$58,0))/2)-IF(AND((DATOS!$C$85-AM23-2*DATOS!$C$97-INDEX(TABLAS!$C$52:$C$58,MATCH(BV23,TABLAS!$B$52:$B$58,0))-INDEX(TABLAS!$C$52:$C$58,MATCH(CL23,TABLAS!$B$52:$B$58,0))/2)&lt;=20,DATOS!$C$65&lt;&gt;"SÍ"),2,0)))</f>
        <v/>
      </c>
      <c r="CO23" s="56" t="str">
        <f>IF(V23&lt;&gt;"SÍ","",IF(CM23=0,0,DATOS!$C$29*CM23*INDEX(TABLAS!$D$52:$D$58,MATCH(CL23,TABLAS!$B$52:$B$58,0))*DATOS!$C$14*(CN23-CM23*INDEX(TABLAS!$D$52:$D$58,MATCH(CL23,TABLAS!$B$52:$B$58,0))*DATOS!$C$14/(DATOS!$C$21*AG23)/2)/1E5))</f>
        <v/>
      </c>
      <c r="CP23" s="65" t="str">
        <f>IF(V23&lt;&gt;"SÍ","",IF(CK23&lt;0,9.99,IF(CO23&gt;0,BJ23/CO23,0)))</f>
        <v/>
      </c>
      <c r="CQ23" s="66" t="str">
        <f>IF(V23&lt;&gt;"SÍ","",IF(CM23=0,"—",0.003*(CN23-(CM23*INDEX(TABLAS!$D$52:$D$58,MATCH(CL23,TABLAS!$B$52:$B$58,0))*DATOS!$C$14/(DATOS!$C$21*AG23)/DATOS!$C$22))/(CM23*INDEX(TABLAS!$D$52:$D$58,MATCH(CL23,TABLAS!$B$52:$B$58,0))*DATOS!$C$14/(DATOS!$C$21*AG23)/DATOS!$C$22)))</f>
        <v/>
      </c>
      <c r="CR23" s="56" t="str">
        <f>IF(V23&lt;&gt;"SÍ","",IF(C23="PERIMETRAL",MAX(0,(AB23/2-BX23)/100)*(0.95-0.5*AA23)*AR23*IF(AND(AS23&gt;0,AS23&lt;4),DATOS!$C$33,1)*DATOS!$C$86/100/1000,(AR23*MAX(0,AB23-BX23)/100+DATOS!$C$26*N(O23))*DATOS!$C$86/100/1000+BF23))</f>
        <v/>
      </c>
      <c r="CS23" s="56" t="str">
        <f>IF(V23&lt;&gt;"SÍ","",DATOS!$C$30*2*MIN(1,SQRT(2/(1+0.04*BX23)))*(BW23*INDEX(TABLAS!$D$52:$D$58,MATCH(BV23,TABLAS!$B$52:$B$58,0))/(AF23*BX23))^(1/3)*SQRT(DATOS!$C$13)*AF23*BX23*IF(AJ23="SÍ",DATOS!$C$32,1)/1000)</f>
        <v/>
      </c>
      <c r="CT23" s="59" t="str">
        <f>IF(V23&lt;&gt;"SÍ","",IF(CR23&lt;=CS23,0,CEILING(MAX(0,IF(C23="VOLADO",(AB23-((CS23-BF23)*1E5/DATOS!$C$86-DATOS!$C$26*N(O23))*100/AR23),IF(CS23&lt;=0,AB23,AB23/2-CS23/MAX(CR23,1E-9)*(AB23/2-BX23)))-IF(X23="X",MIN(DJ23,DK23),MIN(DL23,DM23)))/DATOS!$C$86,1)))</f>
        <v/>
      </c>
      <c r="CU23" s="67" t="str">
        <f>IF(V23&lt;&gt;"SÍ","",IF(CR23&lt;=CS23,"CUMPLE",IF(CT23&lt;=0,"CUMPLE (basta el macizo de orilla)",IF(CT23*DATOS!$C$86*IF(C23="VOLADO",1,2)&gt;=Y23*100-DATOS!$C$87,"NO CUMPLE: no alcanza ni macizando todo","MACIZAR "&amp;CT23&amp;" hilera(s)"))))</f>
        <v/>
      </c>
      <c r="CV23" s="58" t="str">
        <f>IF(V23&lt;&gt;"SÍ","",(DATOS!$C$86*DATOS!$C$84^2/2+MIN(DATOS!$C$83,AD23)*DATOS!$C$82*(DATOS!$C$84+DATOS!$C$82/2))/(DATOS!$C$86*DATOS!$C$84+MIN(DATOS!$C$83,AD23)*DATOS!$C$82))</f>
        <v/>
      </c>
      <c r="CW23" s="68" t="str">
        <f>IF(V23&lt;&gt;"SÍ","",DATOS!$C$86*DATOS!$C$84^3/12+DATOS!$C$86*DATOS!$C$84*(CV23-DATOS!$C$84/2)^2+MIN(DATOS!$C$83,AD23)*DATOS!$C$82^3/12+MIN(DATOS!$C$83,AD23)*DATOS!$C$82*(DATOS!$C$84+DATOS!$C$82/2-CV23)^2)</f>
        <v/>
      </c>
      <c r="CX23" s="58" t="str">
        <f>IF(V23&lt;&gt;"SÍ","",(12*CW23/DATOS!$C$86)^(1/3))</f>
        <v/>
      </c>
      <c r="CY23" s="58" t="str">
        <f>IF(V23&lt;&gt;"SÍ","",IF(C23="PERIMETRAL",IF(ISNUMBER(S23),S23,DATOS!$C$104),0))</f>
        <v/>
      </c>
      <c r="CZ23" s="57" t="str">
        <f>IF(V23&lt;&gt;"SÍ","",IF(C23="PERIMETRAL",IF(CY23&gt;2,MAX(9,AC23*(0.8+DATOS!$C$14/14000)/(36+9*(AC23/MAX(AB23,1)))),IF(CY23&gt;0.2,MAX(13,AC23*(0.8+DATOS!$C$14/14000)/(36+5*(AC23/MAX(AB23,1))*(CY23-0.2))),MAX(13,AC23/IF(AS23&gt;0,30,33))))*IF(AND(CY23&gt;0.2,AS23&gt;0,DATOS!$C$105="NO"),1.1,1),MAX(25,Y23*100/8*(0.4+DATOS!$C$14/7000))))</f>
        <v/>
      </c>
      <c r="DA23" s="61" t="str">
        <f>IF(V23&lt;&gt;"SÍ","",IF(IF(C23="VOLADO",DATOS!$C$85,CX23)&gt;=CZ23,"CUMPLE",IF(C23="VOLADO","NO CUMPLE","CALCULAR FLECHA")))</f>
        <v/>
      </c>
      <c r="DB23" s="55" t="str">
        <f>IF(V23&lt;&gt;"SÍ","",IF(DATOS!$C$84&gt;=IF(IF(C23="VOLADO",Y23,Z23)&gt;=6,6,5),"CUMPLE","CAPA ≥ 6 cm"))</f>
        <v/>
      </c>
      <c r="DC23" s="60" t="str">
        <f>IF(V23&lt;&gt;"SÍ","",IF(C23="VOLADO",MIN(FLOOR(IF(ISNUMBER(P23),P23,Y23)*100-DATOS!$C$63,5),CEILING(MAX(IF((0.5*(0.9*DATOS!$C$90*DATOS!$C$86/100/1000)*IF(ISNUMBER(P23),P23,Y23)+BH23/IF(ISNUMBER(P23),P23,Y23))^2-4*(0.5*(0.9*DATOS!$C$90*DATOS!$C$86/100/1000))*BH23&lt;0,IF(ISNUMBER(P23),P23,Y23),MIN(IF(ISNUMBER(P23),P23,Y23),((0.5*(0.9*DATOS!$C$90*DATOS!$C$86/100/1000)*IF(ISNUMBER(P23),P23,Y23)+BH23/IF(ISNUMBER(P23),P23,Y23))-SQRT((0.5*(0.9*DATOS!$C$90*DATOS!$C$86/100/1000)*IF(ISNUMBER(P23),P23,Y23)+BH23/IF(ISNUMBER(P23),P23,Y23))^2-4*(0.5*(0.9*DATOS!$C$90*DATOS!$C$86/100/1000))*BH23))/(2*(0.5*(0.9*DATOS!$C$90*DATOS!$C$86/100/1000)))))*100+MAX(BX23,12*INDEX(TABLAS!$C$52:$C$58,MATCH(BV23,TABLAS!$B$52:$B$58,0)),IF(ISNUMBER(P23),P23,Y23)*100/16),IF(OR(AL23&lt;INDEX(TABLAS!$C$52:$C$58,MATCH(BV23,TABLAS!$B$52:$B$58,0)),AND(BW23&gt;=2,(AD23-2*AL23-BW23*INDEX(TABLAS!$C$52:$C$58,MATCH(BV23,TABLAS!$B$52:$B$58,0)))/MAX(BW23-1,1)&lt;2*INDEX(TABLAS!$C$52:$C$58,MATCH(BV23,TABLAS!$B$52:$B$58,0)))),INDEX(TABLAS!$I$52:$I$58,MATCH(BV23,TABLAS!$B$52:$B$58,0)),INDEX(TABLAS!$F$52:$F$58,MATCH(BV23,TABLAS!$B$52:$B$58,0)))),5)),IF(((4*((BC23*AR23*Y23^2*1E-4*DATOS!$C$86/100/1000)+((MAX(AY23,BA23)*AR23*Y23^2*1E-4*DATOS!$C$86/100/1000)+(IF(AND(AY23&gt;0,BA23&gt;0),MIN(AY23,BA23),MAX(AY23,BA23))*AR23*Y23^2*1E-4*DATOS!$C$86/100/1000))/2)+BH23-(IF(AND(AY23&gt;0,BA23&gt;0),MIN(AY23,BA23),MAX(AY23,BA23))*AR23*Y23^2*1E-4*DATOS!$C$86/100/1000))^2-16*((BC23*AR23*Y23^2*1E-4*DATOS!$C$86/100/1000)+((MAX(AY23,BA23)*AR23*Y23^2*1E-4*DATOS!$C$86/100/1000)+(IF(AND(AY23&gt;0,BA23&gt;0),MIN(AY23,BA23),MAX(AY23,BA23))*AR23*Y23^2*1E-4*DATOS!$C$86/100/1000))/2)*BH23)&lt;0,CEILING(AB23,5),CEILING(MAX(AB23*((4*((BC23*AR23*Y23^2*1E-4*DATOS!$C$86/100/1000)+((MAX(AY23,BA23)*AR23*Y23^2*1E-4*DATOS!$C$86/100/1000)+(IF(AND(AY23&gt;0,BA23&gt;0),MIN(AY23,BA23),MAX(AY23,BA23))*AR23*Y23^2*1E-4*DATOS!$C$86/100/1000))/2)+BH23-(IF(AND(AY23&gt;0,BA23&gt;0),MIN(AY23,BA23),MAX(AY23,BA23))*AR23*Y23^2*1E-4*DATOS!$C$86/100/1000))-SQRT(MAX(0,((4*((BC23*AR23*Y23^2*1E-4*DATOS!$C$86/100/1000)+((MAX(AY23,BA23)*AR23*Y23^2*1E-4*DATOS!$C$86/100/1000)+(IF(AND(AY23&gt;0,BA23&gt;0),MIN(AY23,BA23),MAX(AY23,BA23))*AR23*Y23^2*1E-4*DATOS!$C$86/100/1000))/2)+BH23-(IF(AND(AY23&gt;0,BA23&gt;0),MIN(AY23,BA23),MAX(AY23,BA23))*AR23*Y23^2*1E-4*DATOS!$C$86/100/1000))^2-16*((BC23*AR23*Y23^2*1E-4*DATOS!$C$86/100/1000)+((MAX(AY23,BA23)*AR23*Y23^2*1E-4*DATOS!$C$86/100/1000)+(IF(AND(AY23&gt;0,BA23&gt;0),MIN(AY23,BA23),MAX(AY23,BA23))*AR23*Y23^2*1E-4*DATOS!$C$86/100/1000))/2)*BH23))))/(8*MAX(((BC23*AR23*Y23^2*1E-4*DATOS!$C$86/100/1000)+((MAX(AY23,BA23)*AR23*Y23^2*1E-4*DATOS!$C$86/100/1000)+(IF(AND(AY23&gt;0,BA23&gt;0),MIN(AY23,BA23),MAX(AY23,BA23))*AR23*Y23^2*1E-4*DATOS!$C$86/100/1000))/2),1E-9))+MAX(BX23,12*INDEX(TABLAS!$C$52:$C$58,MATCH(BV23,TABLAS!$B$52:$B$58,0)),AB23/16),IF(OR(AL23&lt;INDEX(TABLAS!$C$52:$C$58,MATCH(BV23,TABLAS!$B$52:$B$58,0)),AND(BW23&gt;=2,(AD23-2*AL23-BW23*INDEX(TABLAS!$C$52:$C$58,MATCH(BV23,TABLAS!$B$52:$B$58,0)))/MAX(BW23-1,1)&lt;2*INDEX(TABLAS!$C$52:$C$58,MATCH(BV23,TABLAS!$B$52:$B$58,0)))),INDEX(TABLAS!$I$52:$I$58,MATCH(BV23,TABLAS!$B$52:$B$58,0)),INDEX(TABLAS!$F$52:$F$58,MATCH(BV23,TABLAS!$B$52:$B$58,0)))),5))))</f>
        <v/>
      </c>
      <c r="DD23" s="60" t="str">
        <f>IF(V23&lt;&gt;"SÍ","",IF(C23="VOLADO",0,IF(((4*((BD23*AR23*Y23^2*1E-4*DATOS!$C$86/100/1000)+((MAX(AZ23,BB23)*AR23*Y23^2*1E-4*DATOS!$C$86/100/1000)+(IF(AND(AZ23&gt;0,BB23&gt;0),MIN(AZ23,BB23),MAX(AZ23,BB23))*AR23*Y23^2*1E-4*DATOS!$C$86/100/1000))/2)+BJ23-(IF(AND(AZ23&gt;0,BB23&gt;0),MIN(AZ23,BB23),MAX(AZ23,BB23))*AR23*Y23^2*1E-4*DATOS!$C$86/100/1000))^2-16*((BD23*AR23*Y23^2*1E-4*DATOS!$C$86/100/1000)+((MAX(AZ23,BB23)*AR23*Y23^2*1E-4*DATOS!$C$86/100/1000)+(IF(AND(AZ23&gt;0,BB23&gt;0),MIN(AZ23,BB23),MAX(AZ23,BB23))*AR23*Y23^2*1E-4*DATOS!$C$86/100/1000))/2)*BJ23)&lt;0,CEILING(AC23,5),CEILING(MAX(AC23*((4*((BD23*AR23*Y23^2*1E-4*DATOS!$C$86/100/1000)+((MAX(AZ23,BB23)*AR23*Y23^2*1E-4*DATOS!$C$86/100/1000)+(IF(AND(AZ23&gt;0,BB23&gt;0),MIN(AZ23,BB23),MAX(AZ23,BB23))*AR23*Y23^2*1E-4*DATOS!$C$86/100/1000))/2)+BJ23-(IF(AND(AZ23&gt;0,BB23&gt;0),MIN(AZ23,BB23),MAX(AZ23,BB23))*AR23*Y23^2*1E-4*DATOS!$C$86/100/1000))-SQRT(MAX(0,((4*((BD23*AR23*Y23^2*1E-4*DATOS!$C$86/100/1000)+((MAX(AZ23,BB23)*AR23*Y23^2*1E-4*DATOS!$C$86/100/1000)+(IF(AND(AZ23&gt;0,BB23&gt;0),MIN(AZ23,BB23),MAX(AZ23,BB23))*AR23*Y23^2*1E-4*DATOS!$C$86/100/1000))/2)+BJ23-(IF(AND(AZ23&gt;0,BB23&gt;0),MIN(AZ23,BB23),MAX(AZ23,BB23))*AR23*Y23^2*1E-4*DATOS!$C$86/100/1000))^2-16*((BD23*AR23*Y23^2*1E-4*DATOS!$C$86/100/1000)+((MAX(AZ23,BB23)*AR23*Y23^2*1E-4*DATOS!$C$86/100/1000)+(IF(AND(AZ23&gt;0,BB23&gt;0),MIN(AZ23,BB23),MAX(AZ23,BB23))*AR23*Y23^2*1E-4*DATOS!$C$86/100/1000))/2)*BJ23))))/(8*MAX(((BD23*AR23*Y23^2*1E-4*DATOS!$C$86/100/1000)+((MAX(AZ23,BB23)*AR23*Y23^2*1E-4*DATOS!$C$86/100/1000)+(IF(AND(AZ23&gt;0,BB23&gt;0),MIN(AZ23,BB23),MAX(AZ23,BB23))*AR23*Y23^2*1E-4*DATOS!$C$86/100/1000))/2),1E-9))+MAX(CN23,12*INDEX(TABLAS!$C$52:$C$58,MATCH(CL23,TABLAS!$B$52:$B$58,0)),AC23/16),IF(OR(AL23&lt;INDEX(TABLAS!$C$52:$C$58,MATCH(CL23,TABLAS!$B$52:$B$58,0)),AND(CM23&gt;=2,(DATOS!$C$83-2*AL23-CM23*INDEX(TABLAS!$C$52:$C$58,MATCH(CL23,TABLAS!$B$52:$B$58,0)))/MAX(CM23-1,1)&lt;2*INDEX(TABLAS!$C$52:$C$58,MATCH(CL23,TABLAS!$B$52:$B$58,0)))),INDEX(TABLAS!$I$52:$I$58,MATCH(CL23,TABLAS!$B$52:$B$58,0)),INDEX(TABLAS!$F$52:$F$58,MATCH(CL23,TABLAS!$B$52:$B$58,0)))),5))))</f>
        <v/>
      </c>
      <c r="DE23" s="55" t="str">
        <f>IF(V23&lt;&gt;"SÍ","",IF(AND(C23="PERIMETRAL",BW23&gt;=2,AS23-AT23&gt;0,BA23*AR23*Y23^2*1E-4*DATOS!$C$86/100/1000&gt;DATOS!$C$29*INDEX(TABLAS!$D$52:$D$58,MATCH(BV23,TABLAS!$B$52:$B$58,0))*DATOS!$C$14*(BX23-INDEX(TABLAS!$D$52:$D$58,MATCH(BV23,TABLAS!$B$52:$B$58,0))*DATOS!$C$14/(DATOS!$C$21*AF23)/2)/1E5),"SÍ","NO"))</f>
        <v/>
      </c>
      <c r="DF23" s="55" t="str">
        <f>IF(V23&lt;&gt;"SÍ","",IF(AND(C23="PERIMETRAL",CM23&gt;=2,AT23&gt;0,BB23*AR23*Y23^2*1E-4*DATOS!$C$86/100/1000&gt;DATOS!$C$29*INDEX(TABLAS!$D$52:$D$58,MATCH(CL23,TABLAS!$B$52:$B$58,0))*DATOS!$C$14*(CN23-INDEX(TABLAS!$D$52:$D$58,MATCH(CL23,TABLAS!$B$52:$B$58,0))*DATOS!$C$14/(DATOS!$C$21*AG23)/2)/1E5),"SÍ","NO"))</f>
        <v/>
      </c>
      <c r="DG23" s="63" t="str">
        <f>IF(V23&lt;&gt;"SÍ","",IF(OR(C23="VOLADO",AS23=0),"—",IF(AND(AND(1.25*INDEX(TABLAS!$G$52:$G$58,MATCH(MAX(BN23,CD23),TABLAS!$B$52:$B$58,0))&lt;=(DATOS!$C$75-DATOS!$C$63),(DATOS!$C$75-DATOS!$C$63)&gt;=15,INDEX(TABLAS!$G$52:$G$58,MATCH(MAX(BV23,CL23),TABLAS!$B$52:$B$58,0))&lt;=(DATOS!$C$75-DATOS!$C$63)),8*INDEX(TABLAS!$C$52:$C$58,MATCH(MAX(MAX(BN23,CD23),MAX(BV23,CL23)),TABLAS!$B$52:$B$58,0))&lt;=DATOS!$C$76-2*DATOS!$C$63),"CUMPLE (gancho de 180°)",IF(AND(1.25*INDEX(TABLAS!$G$52:$G$58,MATCH(MAX(BN23,CD23),TABLAS!$B$52:$B$58,0))&lt;=(DATOS!$C$75-DATOS!$C$63),(DATOS!$C$75-DATOS!$C$63)&gt;=15,INDEX(TABLAS!$G$52:$G$58,MATCH(MAX(BV23,CL23),TABLAS!$B$52:$B$58,0))&lt;=(DATOS!$C$75-DATOS!$C$63)),"NO CUMPLE: el gancho de 180° (8·d_b) no cabe en el peralte de la dala de borde","NO CUMPLE: dala de borde ≥ "&amp;TEXT(CEILING(MAX(1.25*INDEX(TABLAS!$G$52:$G$58,MATCH(MAX(BN23,CD23),TABLAS!$B$52:$B$58,0)),15,INDEX(TABLAS!$G$52:$G$58,MATCH(MAX(BV23,CL23),TABLAS!$B$52:$B$58,0)))+DATOS!$C$63,5),"0")&amp;" cm de ancho"&amp;IF(8*INDEX(TABLAS!$C$52:$C$58,MATCH(MAX(MAX(BN23,CD23),MAX(BV23,CL23)),TABLAS!$B$52:$B$58,0))&lt;=DATOS!$C$76-2*DATOS!$C$63,""," y más peralte para el gancho")))))</f>
        <v/>
      </c>
      <c r="DH23" s="59" t="str">
        <f>IF(V23&lt;&gt;"SÍ","",MAX(0,INT((E23*100-DATOS!$C$87-IF(AND(C23="PERIMETRAL",I23="DISCONTINUO"),MAX(0,DATOS!$C$75-DATOS!$C$87),0)-IF(AND(C23="PERIMETRAL",J23="DISCONTINUO"),MAX(0,DATOS!$C$75-DATOS!$C$87),0)+DATOS!$C$86-IF(X23="X",DATOS!$C$81,AE23))/DATOS!$C$86)))</f>
        <v/>
      </c>
      <c r="DI23" s="59" t="str">
        <f>IF(V23&lt;&gt;"SÍ","",MAX(0,INT((F23*100-DATOS!$C$87-IF(AND(C23="PERIMETRAL",G23="DISCONTINUO"),MAX(0,DATOS!$C$75-DATOS!$C$87),0)-IF(AND(C23="PERIMETRAL",H23="DISCONTINUO"),MAX(0,DATOS!$C$75-DATOS!$C$87),0)+DATOS!$C$86-IF(X23="Y",DATOS!$C$81,AE23))/DATOS!$C$86)))</f>
        <v/>
      </c>
      <c r="DJ23" s="57" t="str">
        <f>IF(V23&lt;&gt;"SÍ","",IF(DH23&gt;0,IF(AND(C23="PERIMETRAL",I23="DISCONTINUO"),MAX(0,DATOS!$C$75-DATOS!$C$87),0)+(E23*100-DATOS!$C$87-IF(AND(C23="PERIMETRAL",I23="DISCONTINUO"),MAX(0,DATOS!$C$75-DATOS!$C$87),0)-IF(AND(C23="PERIMETRAL",J23="DISCONTINUO"),MAX(0,DATOS!$C$75-DATOS!$C$87),0)-(DH23*IF(X23="X",DATOS!$C$81,AE23)+(DH23-1)*(DATOS!$C$86-IF(X23="X",DATOS!$C$81,AE23))))/2,E23*100/2))</f>
        <v/>
      </c>
      <c r="DK23" s="57" t="str">
        <f>IF(V23&lt;&gt;"SÍ","",IF(DH23&gt;0,IF(AND(C23="PERIMETRAL",J23="DISCONTINUO"),MAX(0,DATOS!$C$75-DATOS!$C$87),0)+(E23*100-DATOS!$C$87-IF(AND(C23="PERIMETRAL",I23="DISCONTINUO"),MAX(0,DATOS!$C$75-DATOS!$C$87),0)-IF(AND(C23="PERIMETRAL",J23="DISCONTINUO"),MAX(0,DATOS!$C$75-DATOS!$C$87),0)-(DH23*IF(X23="X",DATOS!$C$81,AE23)+(DH23-1)*(DATOS!$C$86-IF(X23="X",DATOS!$C$81,AE23))))/2,E23*100/2))</f>
        <v/>
      </c>
      <c r="DL23" s="57" t="str">
        <f>IF(V23&lt;&gt;"SÍ","",IF(DI23&gt;0,IF(AND(C23="PERIMETRAL",G23="DISCONTINUO"),MAX(0,DATOS!$C$75-DATOS!$C$87),0)+(F23*100-DATOS!$C$87-IF(AND(C23="PERIMETRAL",G23="DISCONTINUO"),MAX(0,DATOS!$C$75-DATOS!$C$87),0)-IF(AND(C23="PERIMETRAL",H23="DISCONTINUO"),MAX(0,DATOS!$C$75-DATOS!$C$87),0)-(DI23*IF(X23="Y",DATOS!$C$81,AE23)+(DI23-1)*(DATOS!$C$86-IF(X23="Y",DATOS!$C$81,AE23))))/2,F23*100/2))</f>
        <v/>
      </c>
      <c r="DM23" s="57" t="str">
        <f>IF(V23&lt;&gt;"SÍ","",IF(DI23&gt;0,IF(AND(C23="PERIMETRAL",H23="DISCONTINUO"),MAX(0,DATOS!$C$75-DATOS!$C$87),0)+(F23*100-DATOS!$C$87-IF(AND(C23="PERIMETRAL",G23="DISCONTINUO"),MAX(0,DATOS!$C$75-DATOS!$C$87),0)-IF(AND(C23="PERIMETRAL",H23="DISCONTINUO"),MAX(0,DATOS!$C$75-DATOS!$C$87),0)-(DI23*IF(X23="Y",DATOS!$C$81,AE23)+(DI23-1)*(DATOS!$C$86-IF(X23="Y",DATOS!$C$81,AE23))))/2,F23*100/2))</f>
        <v/>
      </c>
      <c r="DN23" s="59" t="str">
        <f>IF(V23&lt;&gt;"SÍ","",IF(NOT(AND(C23="VOLADO",AD23&gt;DATOS!$C$83)),0,IF(INDEX(TABLAS!$C$52:$C$58,MATCH(BV23,TABLAS!$B$52:$B$58,0))&lt;=DATOS!$C$83-2*DATOS!$C$63,1,0)))</f>
        <v/>
      </c>
      <c r="DO23" s="58" t="str">
        <f>IF(V23&lt;&gt;"SÍ","",IF(NOT(AND(C23="VOLADO",AD23&gt;DATOS!$C$83)),0,((DATOS!$C$85-MAX(DATOS!$C$63,(DATOS!$C$84-2*DATOS!$C$97)/2)-2*DATOS!$C$97-INDEX(TABLAS!$C$52:$C$58,MATCH(MAX(4,DATOS!$C$72),TABLAS!$B$52:$B$58,0))-INDEX(TABLAS!$C$52:$C$58,MATCH(BV23,TABLAS!$B$52:$B$58,0))/2)-IF(AND((DATOS!$C$85-MAX(DATOS!$C$63,(DATOS!$C$84-2*DATOS!$C$97)/2)-2*DATOS!$C$97-INDEX(TABLAS!$C$52:$C$58,MATCH(MAX(4,DATOS!$C$72),TABLAS!$B$52:$B$58,0))-INDEX(TABLAS!$C$52:$C$58,MATCH(BV23,TABLAS!$B$52:$B$58,0))/2)&lt;=20,DATOS!$C$65&lt;&gt;"SÍ"),2,0))))</f>
        <v/>
      </c>
      <c r="DP23" s="56" t="str">
        <f>IF(V23&lt;&gt;"SÍ","",IF(OR(NOT(AND(C23="VOLADO",AD23&gt;DATOS!$C$83)),DN23&lt;1),0,IF(0.003*(DO23-((DN23*INDEX(TABLAS!$D$52:$D$58,MATCH(BV23,TABLAS!$B$52:$B$58,0)))*DATOS!$C$14/(DATOS!$C$21*AG23)/DATOS!$C$22))/((DN23*INDEX(TABLAS!$D$52:$D$58,MATCH(BV23,TABLAS!$B$52:$B$58,0)))*DATOS!$C$14/(DATOS!$C$21*AG23)/DATOS!$C$22)&lt;0.005,0,DATOS!$C$29*(DN23*INDEX(TABLAS!$D$52:$D$58,MATCH(BV23,TABLAS!$B$52:$B$58,0)))*DATOS!$C$14*(DO23-(DN23*INDEX(TABLAS!$D$52:$D$58,MATCH(BV23,TABLAS!$B$52:$B$58,0)))*DATOS!$C$14/(DATOS!$C$21*AG23)/2)/1E5)))</f>
        <v/>
      </c>
      <c r="DQ23" s="56" t="str">
        <f>IF(V23&lt;&gt;"SÍ","",IF(OR(NOT(AND(C23="VOLADO",AD23&gt;DATOS!$C$83)),DN23&lt;1),0,DATOS!$C$30*2*MIN(1,SQRT(2/(1+0.04*DO23)))*((DN23*INDEX(TABLAS!$D$52:$D$58,MATCH(BV23,TABLAS!$B$52:$B$58,0)))/(AG23*DO23))^(1/3)*SQRT(DATOS!$C$13)*AG23*DO23/1000))</f>
        <v/>
      </c>
      <c r="DR23" s="56" t="str">
        <f>IF(V23&lt;&gt;"SÍ","",IF(NOT(AND(C23="VOLADO",AD23&gt;DATOS!$C$83)),0,IF((BH23-DP23)&lt;=0,0,IF(DP23&lt;=0,IF(ISNUMBER(P23),P23,Y23),IF(((0.9*DATOS!$C$90*DATOS!$C$86/100/1000)*IF(ISNUMBER(P23),P23,Y23)/2+BH23/IF(ISNUMBER(P23),P23,Y23))^2-4*((0.9*DATOS!$C$90*DATOS!$C$86/100/1000)/2)*(BH23-DP23)&lt;0,IF(ISNUMBER(P23),P23,Y23),MIN(IF(ISNUMBER(P23),P23,Y23),(((0.9*DATOS!$C$90*DATOS!$C$86/100/1000)*IF(ISNUMBER(P23),P23,Y23)/2+BH23/IF(ISNUMBER(P23),P23,Y23))-SQRT(((0.9*DATOS!$C$90*DATOS!$C$86/100/1000)*IF(ISNUMBER(P23),P23,Y23)/2+BH23/IF(ISNUMBER(P23),P23,Y23))^2-4*((0.9*DATOS!$C$90*DATOS!$C$86/100/1000)/2)*(BH23-DP23)))/(2*((0.9*DATOS!$C$90*DATOS!$C$86/100/1000)/2))))))))</f>
        <v/>
      </c>
      <c r="DS23" s="56" t="str">
        <f>IF(V23&lt;&gt;"SÍ","",IF(NOT(AND(C23="VOLADO",AD23&gt;DATOS!$C$83)),0,IF(DQ23&lt;=(BH23/((IF(ISNUMBER(P23),P23,Y23)*100-DATOS!$C$87)/100)),IF(ISNUMBER(P23),P23,Y23),MIN(IF(ISNUMBER(P23),P23,Y23),MAX(0,(IF(ISNUMBER(P23),P23,Y23)*100-DATOS!$C$87)/200-(DQ23-(BH23/((IF(ISNUMBER(P23),P23,Y23)*100-DATOS!$C$87)/100)))/((0.95-0.5*IF(N(Q23)&gt;0,MIN(IF(ISNUMBER(P23),P23,Y23),Q23)/MAX(IF(ISNUMBER(P23),P23,Y23),Q23),0))*DATOS!$C$33*AR23*DATOS!$C$86/100/1000))))))</f>
        <v/>
      </c>
      <c r="DT23" s="56" t="str">
        <f>IF(V23&lt;&gt;"SÍ","",IF(NOT(AND(C23="VOLADO",AD23&gt;DATOS!$C$83)),0,(BH23/((IF(ISNUMBER(P23),P23,Y23)*100-DATOS!$C$87)/100))+((0.95-0.5*IF(N(Q23)&gt;0,MIN(IF(ISNUMBER(P23),P23,Y23),Q23)/MAX(IF(ISNUMBER(P23),P23,Y23),Q23),0))*DATOS!$C$33*AR23*DATOS!$C$86/100/1000)*MAX(0,(IF(ISNUMBER(P23),P23,Y23)*100-DATOS!$C$87)/200-BX23/100)))</f>
        <v/>
      </c>
      <c r="DU23" s="59" t="str">
        <f>IF(V23&lt;&gt;"SÍ","",IF(NOT(AND(C23="VOLADO",AD23&gt;DATOS!$C$83)),0,MIN(FLOOR(100*IF(ISNUMBER(P23),P23,Y23)-DATOS!$C$63,5),CEILING(100*MIN(IF(ISNUMBER(P23),P23,Y23),MAX(IF(DR23&gt;0,DR23+IF(BW23&gt;=2,MAX(DO23,12*INDEX(TABLAS!$C$52:$C$58,MATCH(BV23,TABLAS!$B$52:$B$58,0)))/100,0),0),DS23,IF(BW23&gt;=2,INDEX(TABLAS!$F$52:$F$58,MATCH(BV23,TABLAS!$B$52:$B$58,0))/100,0))),5))))</f>
        <v/>
      </c>
      <c r="DV23" s="60" t="str">
        <f>IF(V23&lt;&gt;"SÍ","",IF(NOT(AND(C23="VOLADO",AD23&gt;DATOS!$C$83)),0,IF(DU23&lt;=0,0,CEILING(DU23/DATOS!$C$86,1))))</f>
        <v/>
      </c>
      <c r="DW23" s="61" t="str">
        <f>IF(V23&lt;&gt;"SÍ","",IF(C23&lt;&gt;"VOLADO","—",IF(AD23&lt;=DATOS!$C$83,"— (mismo b_w que el respaldo)",IF(DT23&gt;CS23,"NO CUMPLE: cortante de la nervadura ancha junto al apoyo ("&amp;TEXT(DT23,"0.00")&amp;" &gt; "&amp;TEXT(CS23,"0.00")&amp;" t)",IF(DU23&gt;=100*IF(ISNUMBER(P23),P23,Y23),"CUMPLE — todas las nervaduras del respaldo ‖ al volado con b_w = "&amp;AD23&amp;" cm","CUMPLE — "&amp;DV23&amp;" hilera(s) del respaldo con nervaduras de b_w = "&amp;AD23&amp;" cm (casetón "&amp;AE23&amp;" cm), hasta "&amp;TEXT(DU23/100,"0.00")&amp;" m del paño")))))</f>
        <v/>
      </c>
      <c r="DX23" s="69" t="str">
        <f>IF(V23&lt;&gt;"SÍ","",IF(BO23=0,"NO ALCANZA",BO23&amp;" No. "&amp;BN23&amp;IF(BO23&gt;1," corridas"," corrida")))</f>
        <v/>
      </c>
      <c r="DY23" s="69" t="str">
        <f>IF(V23&lt;&gt;"SÍ","",IF(BW23=0,"NO ALCANZA",IF(AND(C23="VOLADO",AD23&gt;DATOS!$C$83,BW23&gt;=2),"1 No. "&amp;BV23&amp;" corrida de la orilla al respaldo ("&amp;IF(DC23&gt;=FLOOR(100*IF(ISNUMBER(P23),P23,Y23)-DATOS!$C$63,5),"hasta su apoyo lejano, con gancho","entra "&amp;TEXT(DC23/100,"0.00")&amp;" m desde el paño")&amp;") + "&amp;(BW23-1)&amp;" bastón No. "&amp;BV23&amp;" hasta "&amp;TEXT(DU23/100,"0.00")&amp;" m del paño (fin de la nervadura ancha)",IF(C23="VOLADO",BW23&amp;" No. "&amp;BV23&amp;" de la orilla al respaldo ("&amp;IF(DC23&gt;=FLOOR(100*IF(ISNUMBER(P23),P23,Y23)-DATOS!$C$63,5),"hasta su apoyo lejano, con gancho","entran "&amp;TEXT(DC23/100,"0.00")&amp;" m desde el paño")&amp;")","1 No. "&amp;BV23&amp;" corrida"&amp;IF(BW23&gt;1," + "&amp;(BW23-1)&amp;" bastón No. "&amp;BV23&amp;" L = "&amp;TEXT(DC23/100,"0.00")&amp;" m desde el paño","")))))</f>
        <v/>
      </c>
      <c r="DZ23" s="69" t="str">
        <f>IF(V23&lt;&gt;"SÍ","",IF(CE23=0,"NO ALCANZA",CE23&amp;" No. "&amp;CD23&amp;IF(CE23&gt;1," corridas"," corrida")))</f>
        <v/>
      </c>
      <c r="EA23" s="69" t="str">
        <f>IF(V23&lt;&gt;"SÍ","",IF(CM23=0,"NO ALCANZA",IF(C23="VOLADO","1 No. "&amp;CL23&amp;" corrida (repartición)","1 No. "&amp;CL23&amp;" corrida"&amp;IF(CM23&gt;1," + "&amp;(CM23-1)&amp;" bastón No. "&amp;CL23&amp;" L = "&amp;TEXT(DD23/100,"0.00")&amp;" m desde el paño",""))))</f>
        <v/>
      </c>
      <c r="EB23" s="67" t="str">
        <f>IF(B23="","",IF(V23&lt;&gt;"SÍ","FALTAN DATOS: tipo, a_x, a_y, destino y, en volados, L_b",IF(L23="NO MONOLÍTICO (caso II)","FUERA DE ALCANCE: caso II no transcrito",IF(AND(C23="VOLADO",W23="?"),"REVISAR: el volado lleva UN solo borde CONTINUO (el empotrado)",IF(MIN(DH23,DI23)=0,"REVISAR: no cabe un casetón (tablero macizo): diséñalo en MACIZAS",IF(AND(MAX(BR23,BZ23,CH23,CP23)&lt;=1,NOT(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T(OR(AND(ISNUMBER(BS23),BS23&lt;0.005),AND(ISNUMBER(CA23),CA23&lt;0.005),AND(ISNUMBER(CI23),CI23&lt;0.005),AND(ISNUMBER(CQ23),CQ23&lt;0.005))),NOT(LEFT(DW23,2)="NO"),DA23="CUMPLE",DB23="CUMPLE",LEFT(CU23,2)&lt;&gt;"NO",LEFT(DATOS!$C$132,6)="CUMPLE"),IF(LEFT(CU23,6)="CUMPLE","CUMPLE","CUMPLE — "&amp;CU23)&amp;IF(LEFT(BK23,5)="FUERA"," · fuera de 3.4.2.1 c)","")&amp;IF(LEFT(DG23,2)="NO"," · REVISAR anclaje en borde discontinuo","")&amp;IF(DV23&gt;0," · respaldo: "&amp;DV23&amp;" hilera(s) de b_w "&amp;AD23&amp;" cm",""),IF(AND(MAX(BR23,BZ23,CH23,CP23)&lt;=1,NOT(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T(OR(AND(ISNUMBER(BS23),BS23&lt;0.005),AND(ISNUMBER(CA23),CA23&lt;0.005),AND(ISNUMBER(CI23),CI23&lt;0.005),AND(ISNUMBER(CQ23),CQ23&lt;0.005))),NOT(LEFT(DW23,2)="NO"),DA23="CALCULAR FLECHA",LEFT(CU23,2)&lt;&gt;"NO",LEFT(DATOS!$C$132,6)="CUMPLE"),"REVISAR: calcular flecha (h_eq &lt; h mín.)"&amp;IF(LEFT(BK23,5)="FUERA"," · fuera de 3.4.2.1 c)","")&amp;IF(LEFT(DG23,2)="NO"," · REVISAR anclaje en borde discontinuo","")&amp;IF(DV23&gt;0," · respaldo: "&amp;DV23&amp;" hilera(s) de b_w "&amp;AD23&amp;" cm",""),"NO CUMPLE: "&amp;IF(MAX(BR23,BZ23,CH23,CP23)&gt;1,"flexión ","")&amp;IF(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 caben ","")&amp;IF(OR(AND(ISNUMBER(BS23),BS23&lt;0.005),AND(ISNUMBER(CA23),CA23&lt;0.005),AND(ISNUMBER(CI23),CI23&lt;0.005),AND(ISNUMBER(CQ23),CQ23&lt;0.005)),"ε_t &lt; 0.005 ","")&amp;IF(LEFT(CU23,2)="NO","cortante ","")&amp;IF(DA23="NO CUMPLE","peralte ","")&amp;IF(DB23&lt;&gt;"CUMPLE","capa &lt; 6 cm ","")&amp;IF(LEFT(DATOS!$C$132,6)&lt;&gt;"CUMPLE","capa o malla (DATOS sección 7) ","")&amp;IF(LEFT(DW23,2)="NO","respaldo del volado",""))))))))</f>
        <v/>
      </c>
      <c r="EC23" s="70" t="str">
        <f>IF(V23&lt;&gt;"SÍ","",IF(LEFT(B23,7)="EJEMPLO","EJEMPLO de la hoja de Casa Rocha: bórralo o sobrescríbelo. ","")&amp;IF(AND(C23="PERIMETRAL",MIN(DH23,DI23)=0),"No cabe un casetón en el claro corto: es un tablero macizo, diséñalo en MACIZAS. ","")&amp;IF(AND(AJ23="NO",C23="PERIMETRAL"),"No cumple 6.7.8.1.4 (a_c = "&amp;MAX(DATOS!$C$81,AE23)&amp;" cm &gt; claro corto/6 = "&amp;TEXT(Y23*100/6,"0")&amp;" cm): se diseña como losa apoyada en vigas (6.7.8.1.9): r de viga = "&amp;DATOS!$C$63&amp;" cm y V_cR sin ×1.1. Para que cuente como encasetonada: casetón de "&amp;TEXT(FLOOR(MIN(80,Y23*100/6),1),"0")&amp;" cm o menor. ","")&amp;IF(C23="VOLADO","Volado de "&amp;TEXT(Y23,"0.00")&amp;" m empotrado en el borde "&amp;LOWER(W23)&amp;IF(N(O23)&gt;0,", con "&amp;TEXT(O23,"0.0")&amp;" kg/m en la orilla","")&amp;". Lecho inferior con r_ext. Si la orilla carga pretil u otro elemento frágil, calcula la flecha (13.4). El acero superior entra al respaldo de "&amp;TEXT(IF(ISNUMBER(P23),P23,Y23),"0.00")&amp;" m"&amp;" hasta pasar M = 0 con 0.9·PP sin carga viva; si ahí no se anula, llega al apoyo lejano y se ancla con gancho (NTC-Criterios 3.4.1 c y 5.1.2.2). "&amp;IF(AD23&gt;DATOS!$C$83,"Respaldo: "&amp;DW23&amp;". ",""),"")&amp;IF(AND(C23="VOLADO",((0.9*DATOS!$C$90*DATOS!$C$86/100/1000)*IF(ISNUMBER(P23),P23,Y23)/2-BH23/IF(ISNUMBER(P23),P23,Y23))&lt;0),"Con 0.9·PP y sin carga viva el apoyo lejano del respaldo levanta (R = "&amp;TEXT(-((0.9*DATOS!$C$90*DATOS!$C$86/100/1000)*IF(ISNUMBER(P23),P23,Y23)/2-BH23/IF(ISNUMBER(P23),P23,Y23)),"0.00")&amp;" t por nervadura): ancla ahí la corrida con gancho y revisa ese apoyo a tensión. ","")&amp;IF(LEFT(BK23,5)="FUERA","El M⁻ del vecino difiere más de 50 % (3.4.2.1 c): distribuye el desequilibrio (3.4.3.1) o confirma con un modelo; se arma con el mayor. ","")&amp;IF(OR(DE23="SÍ",DF23="SÍ"),"El M⁻ del borde discontinuo pide bastón también ahí (con gancho). ","")&amp;IF(LEFT(DG23,2)="NO","Anclaje: "&amp;DG23&amp;" (6.7.8.1.7). ","")&amp;IF(AND(C23="PERIMETRAL",AT23&gt;=1,AS23-AT23&gt;=1),"Esquinas exteriores sobre muro: refuerzo de esquina arriba y abajo en L_largo/5 (6.7.7.3.1). ",""))</f>
        <v/>
      </c>
    </row>
    <row r="24" ht="33" customHeight="1">
      <c r="A24" s="50">
        <f>IF(B24="",0,1)+A23</f>
        <v>4</v>
      </c>
      <c r="B24" s="29" t="n"/>
      <c r="C24" s="51" t="n"/>
      <c r="D24" s="29" t="n"/>
      <c r="E24" s="52" t="n"/>
      <c r="F24" s="52" t="n"/>
      <c r="G24" s="51" t="n"/>
      <c r="H24" s="51" t="n"/>
      <c r="I24" s="51" t="n"/>
      <c r="J24" s="51" t="n"/>
      <c r="K24" s="51" t="n"/>
      <c r="L24" s="51" t="n"/>
      <c r="M24" s="53" t="n"/>
      <c r="N24" s="53" t="n"/>
      <c r="O24" s="54" t="n"/>
      <c r="P24" s="52" t="n"/>
      <c r="Q24" s="52" t="n"/>
      <c r="R24" s="53" t="n"/>
      <c r="S24" s="54" t="n"/>
      <c r="T24" s="52" t="n"/>
      <c r="U24" s="52" t="n"/>
      <c r="V24" s="55" t="str">
        <f>IF(B24="","",IF(AND(OR(C24="PERIMETRAL",C24="VOLADO"),ISNUMBER(E24),ISNUMBER(F24),E24&gt;0,F24&gt;0,OR(ISNUMBER(N24),ISNUMBER(MATCH(D24,DATOS!$B$46:$B$58,0))),OR(C24&lt;&gt;"VOLADO",N(P24)&gt;0)),"SÍ","NO"))</f>
        <v/>
      </c>
      <c r="W24" s="55" t="str">
        <f>IF(V24&lt;&gt;"SÍ","",IF(C24&lt;&gt;"VOLADO","—",IF(COUNTIF(G24:J24,"CONTINUO")&lt;&gt;1,"?",IF(G24="CONTINUO","INFERIOR",IF(H24="CONTINUO","SUPERIOR",IF(I24="CONTINUO","IZQUIERDO","DERECHO"))))))</f>
        <v/>
      </c>
      <c r="X24" s="55" t="str">
        <f>IF(V24&lt;&gt;"SÍ","",IF(C24="VOLADO",IF(OR(W24="IZQUIERDO",W24="DERECHO"),"X","Y"),IF(E24&lt;=F24,"X","Y")))</f>
        <v/>
      </c>
      <c r="Y24" s="56" t="str">
        <f>IF(V24&lt;&gt;"SÍ","",IF(C24="VOLADO",IF(X24="X",E24,F24),MIN(E24,F24)))</f>
        <v/>
      </c>
      <c r="Z24" s="56" t="str">
        <f>IF(V24&lt;&gt;"SÍ","",IF(C24="VOLADO",IF(X24="X",F24,E24),MAX(E24,F24)))</f>
        <v/>
      </c>
      <c r="AA24" s="56" t="str">
        <f>IF(V24&lt;&gt;"SÍ","",MIN(Y24,Z24)/MAX(Y24,Z24))</f>
        <v/>
      </c>
      <c r="AB24" s="57" t="str">
        <f>IF(V24&lt;&gt;"SÍ","",MAX(1,Y24*100-IF(C24="VOLADO",DATOS!$C$87/2,DATOS!$C$87)))</f>
        <v/>
      </c>
      <c r="AC24" s="57" t="str">
        <f>IF(V24&lt;&gt;"SÍ","",MAX(1,Z24*100-DATOS!$C$87))</f>
        <v/>
      </c>
      <c r="AD24" s="57" t="str">
        <f>IF(V24&lt;&gt;"SÍ","",IF(ISNUMBER(R24),R24,DATOS!$C$83))</f>
        <v/>
      </c>
      <c r="AE24" s="57" t="str">
        <f>IF(V24&lt;&gt;"SÍ","",MAX(0,DATOS!$C$86-AD24))</f>
        <v/>
      </c>
      <c r="AF24" s="57" t="str">
        <f>IF(V24&lt;&gt;"SÍ","",IF(OR(DATOS!$C$65="SÍ",AD24&gt;=20),AD24,AD24-2))</f>
        <v/>
      </c>
      <c r="AG24" s="57" t="str">
        <f>IF(V24&lt;&gt;"SÍ","",IF(OR(DATOS!$C$65="SÍ",DATOS!$C$83&gt;=20),DATOS!$C$83,DATOS!$C$83-2))</f>
        <v/>
      </c>
      <c r="AH24" s="57" t="str">
        <f>IF(V24&lt;&gt;"SÍ","",MIN(DATOS!$C$86,AD24+2*MIN(8*DATOS!$C$84,AE24/2,AB24/8)))</f>
        <v/>
      </c>
      <c r="AI24" s="57" t="str">
        <f>IF(V24&lt;&gt;"SÍ","",MIN(DATOS!$C$86,DATOS!$C$83+2*MIN(8*DATOS!$C$84,DATOS!$C$81/2,AC24/8)))</f>
        <v/>
      </c>
      <c r="AJ24" s="55" t="str">
        <f>IF(V24&lt;&gt;"SÍ","",IF(AND(C24="PERIMETRAL",Y24*100&gt;=6*MAX(DATOS!$C$81,AE24),MAX(DATOS!$C$81,AE24)&lt;=80,MIN(DATOS!$C$83,AD24)&gt;=10,DATOS!$C$85&lt;=3.5*MIN(DATOS!$C$83,AD24),DATOS!$C$84&gt;=MAX(MAX(DATOS!$C$81,AE24)/13,5)),"SÍ","NO"))</f>
        <v/>
      </c>
      <c r="AK24" s="57" t="str">
        <f>IF(V24&lt;&gt;"SÍ","",IF(C24="VOLADO",DATOS!$C$64,IF(AJ24="NO",DATOS!$C$63,DATOS!$C$62)))</f>
        <v/>
      </c>
      <c r="AL24" s="57" t="str">
        <f>IF(V24&lt;&gt;"SÍ","",IF(OR(AND(AN24="SÍ",DATOS!$C$66="SÍ"),AND(C24="VOLADO",DATOS!$C$67="SÍ")),DATOS!$C$64,IF(AJ24="NO",DATOS!$C$63,DATOS!$C$62)))</f>
        <v/>
      </c>
      <c r="AM24" s="58" t="str">
        <f>IF(V24&lt;&gt;"SÍ","",MAX(AL24,(DATOS!$C$84-2*DATOS!$C$97)/2))</f>
        <v/>
      </c>
      <c r="AN24" s="55" t="str">
        <f>IF(V24&lt;&gt;"SÍ","",IFERROR(INDEX(DATOS!$D$46:$D$58,MATCH(D24,DATOS!$B$46:$B$58,0)),"NO"))</f>
        <v/>
      </c>
      <c r="AO24" s="59" t="str">
        <f>IF(V24&lt;&gt;"SÍ","",IF(ISNUMBER(N24),N24,IFERROR(INDEX(DATOS!$C$46:$C$58,MATCH(D24,DATOS!$B$46:$B$58,0)),0)))</f>
        <v/>
      </c>
      <c r="AP24" s="59" t="str">
        <f>IF(V24&lt;&gt;"SÍ","",IF(MIN(DH24,DI24)=0,DATOS!$C$85/100*DATOS!$C$16*1000,(DATOS!$C$85/100-(AE24*DATOS!$C$81/DATOS!$C$86^2)*DATOS!$C$82/100)*DATOS!$C$16*1000+(AE24*DATOS!$C$81/DATOS!$C$86^2)*DATOS!$C$82/100*DATOS!$C$17*1000)+DATOS!$C$37+DATOS!$C$38)</f>
        <v/>
      </c>
      <c r="AQ24" s="59" t="str">
        <f>IF(V24&lt;&gt;"SÍ","",AP24+N(M24))</f>
        <v/>
      </c>
      <c r="AR24" s="60" t="str">
        <f>IF(V24&lt;&gt;"SÍ","",MAX(DATOS!$C$26*AQ24+DATOS!$C$27*AO24,IF(AN24="SÍ",DATOS!$C$28*(AQ24+DATOS!$C$41),0)))</f>
        <v/>
      </c>
      <c r="AS24" s="59" t="str">
        <f>IF(V24&lt;&gt;"SÍ","",(G24="DISCONTINUO")+(H24="DISCONTINUO")+(I24="DISCONTINUO")+(J24="DISCONTINUO"))</f>
        <v/>
      </c>
      <c r="AT24" s="59" t="str">
        <f>IF(V24&lt;&gt;"SÍ","",IF(X24="X",(G24="DISCONTINUO")+(H24="DISCONTINUO"),(I24="DISCONTINUO")+(J24="DISCONTINUO")))</f>
        <v/>
      </c>
      <c r="AU24" s="55" t="str">
        <f>IF(V24&lt;&gt;"SÍ","",IF(AS24=0,"INTERIOR",IF(AS24=1,IF(AT24=1,"BORDE-CORTO","BORDE-LARGO"),IF(AS24=2,IF(AT24=1,"ESQUINA",IF(AT24=2,"EXTREMO-LARGO","EXTREMO-CORTO")),IF(AS24=3,IF(AT24=2,"EXTREMO-LARGO","EXTREMO-CORTO"),"AISLADO")))))</f>
        <v/>
      </c>
      <c r="AV24" s="61" t="str">
        <f>IF(V24&lt;&gt;"SÍ","",IF(OR(K24="",K24="AUTO"),AU24,K24))</f>
        <v/>
      </c>
      <c r="AW24" s="59" t="str">
        <f>IF(V24&lt;&gt;"SÍ","",MATCH(AA24,TABLAS!$D$5:$J$5,1))</f>
        <v/>
      </c>
      <c r="AX24" s="58" t="str">
        <f>IF(V24&lt;&gt;"SÍ","",IF(AW24&gt;=7,0,(AA24-INDEX(TABLAS!$D$5:$J$5,AW24))/(INDEX(TABLAS!$D$5:$J$5,AW24+1)-INDEX(TABLAS!$D$5:$J$5,AW24))))</f>
        <v/>
      </c>
      <c r="AY24" s="59" t="str">
        <f>IF(V24&lt;&gt;"SÍ","",INDEX(TABLAS!$D$6:$J$47,MATCH(AV24&amp;"|NIC",TABLAS!$B$6:$B$47,0),AW24)+AX24*(INDEX(TABLAS!$D$6:$J$47,MATCH(AV24&amp;"|NIC",TABLAS!$B$6:$B$47,0),MIN(AW24+1,7))-INDEX(TABLAS!$D$6:$J$47,MATCH(AV24&amp;"|NIC",TABLAS!$B$6:$B$47,0),AW24)))</f>
        <v/>
      </c>
      <c r="AZ24" s="59" t="str">
        <f>IF(V24&lt;&gt;"SÍ","",INDEX(TABLAS!$D$6:$J$47,MATCH(AV24&amp;"|NIL",TABLAS!$B$6:$B$47,0),AW24)+AX24*(INDEX(TABLAS!$D$6:$J$47,MATCH(AV24&amp;"|NIL",TABLAS!$B$6:$B$47,0),MIN(AW24+1,7))-INDEX(TABLAS!$D$6:$J$47,MATCH(AV24&amp;"|NIL",TABLAS!$B$6:$B$47,0),AW24)))</f>
        <v/>
      </c>
      <c r="BA24" s="59" t="str">
        <f>IF(V24&lt;&gt;"SÍ","",INDEX(TABLAS!$D$6:$J$47,MATCH(AV24&amp;"|NDC",TABLAS!$B$6:$B$47,0),AW24)+AX24*(INDEX(TABLAS!$D$6:$J$47,MATCH(AV24&amp;"|NDC",TABLAS!$B$6:$B$47,0),MIN(AW24+1,7))-INDEX(TABLAS!$D$6:$J$47,MATCH(AV24&amp;"|NDC",TABLAS!$B$6:$B$47,0),AW24)))</f>
        <v/>
      </c>
      <c r="BB24" s="59" t="str">
        <f>IF(V24&lt;&gt;"SÍ","",INDEX(TABLAS!$D$6:$J$47,MATCH(AV24&amp;"|NDL",TABLAS!$B$6:$B$47,0),AW24)+AX24*(INDEX(TABLAS!$D$6:$J$47,MATCH(AV24&amp;"|NDL",TABLAS!$B$6:$B$47,0),MIN(AW24+1,7))-INDEX(TABLAS!$D$6:$J$47,MATCH(AV24&amp;"|NDL",TABLAS!$B$6:$B$47,0),AW24)))</f>
        <v/>
      </c>
      <c r="BC24" s="59" t="str">
        <f>IF(V24&lt;&gt;"SÍ","",INDEX(TABLAS!$D$6:$J$47,MATCH(AV24&amp;"|PC",TABLAS!$B$6:$B$47,0),AW24)+AX24*(INDEX(TABLAS!$D$6:$J$47,MATCH(AV24&amp;"|PC",TABLAS!$B$6:$B$47,0),MIN(AW24+1,7))-INDEX(TABLAS!$D$6:$J$47,MATCH(AV24&amp;"|PC",TABLAS!$B$6:$B$47,0),AW24)))</f>
        <v/>
      </c>
      <c r="BD24" s="59" t="str">
        <f>IF(V24&lt;&gt;"SÍ","",INDEX(TABLAS!$D$6:$J$47,MATCH(AV24&amp;"|PL",TABLAS!$B$6:$B$47,0),AW24)+AX24*(INDEX(TABLAS!$D$6:$J$47,MATCH(AV24&amp;"|PL",TABLAS!$B$6:$B$47,0),MIN(AW24+1,7))-INDEX(TABLAS!$D$6:$J$47,MATCH(AV24&amp;"|PL",TABLAS!$B$6:$B$47,0),AW24)))</f>
        <v/>
      </c>
      <c r="BE24" s="56" t="str">
        <f>IF(V24&lt;&gt;"SÍ","",IF(OR(C24&lt;&gt;"VOLADO",MIN(DH24,DI24)=0),0,DATOS!$C$26*DATOS!$C$16*DATOS!$C$86/100*(((AE24*DATOS!$C$81/DATOS!$C$86^2)*DATOS!$C$82/100)*(IF(X24="X",DJ24,DL24)+DATOS!$C$87/2)/100*(AB24-(IF(X24="X",DJ24,DL24)+DATOS!$C$87/2)/2)/100+((AE24*DATOS!$C$81/DATOS!$C$86^2)*DATOS!$C$82/100)*IF(X24="X",DJ24,DL24)/100*IF(X24="X",DJ24,DL24)/200)))</f>
        <v/>
      </c>
      <c r="BF24" s="56" t="str">
        <f>IF(V24&lt;&gt;"SÍ","",IF(OR(C24&lt;&gt;"VOLADO",MIN(DH24,DI24)=0),0,DATOS!$C$26*DATOS!$C$16*DATOS!$C$86/100*((AE24*DATOS!$C$81/DATOS!$C$86^2)*DATOS!$C$82/100)*(IF(X24="X",DJ24,DL24)+DATOS!$C$87/2)/100))</f>
        <v/>
      </c>
      <c r="BG24" s="56" t="str">
        <f>IF(V24&lt;&gt;"SÍ","",IF(C24="PERIMETRAL",BC24*AR24*Y24^2*1E-4*DATOS!$C$86/100/1000,0))</f>
        <v/>
      </c>
      <c r="BH24" s="62" t="str">
        <f>IF(V24&lt;&gt;"SÍ","",IF(C24="PERIMETRAL",MAX(MAX(AY24,BA24)*AR24*Y24^2*1E-4*DATOS!$C$86/100/1000,N(T24)),(AR24*(AB24/100)^2/2+DATOS!$C$26*N(O24)*AB24/100)*DATOS!$C$86/100/1000+BE24))</f>
        <v/>
      </c>
      <c r="BI24" s="56" t="str">
        <f>IF(V24&lt;&gt;"SÍ","",IF(C24="PERIMETRAL",BD24*AR24*Y24^2*1E-4*DATOS!$C$86/100/1000,0))</f>
        <v/>
      </c>
      <c r="BJ24" s="56" t="str">
        <f>IF(V24&lt;&gt;"SÍ","",IF(C24="PERIMETRAL",MAX(MAX(AZ24,BB24)*AR24*Y24^2*1E-4*DATOS!$C$86/100/1000,N(U24)),0))</f>
        <v/>
      </c>
      <c r="BK24" s="63" t="str">
        <f>IF(V24&lt;&gt;"SÍ","",IF(C24&lt;&gt;"PERIMETRAL","—",IF(AND(N(T24)=0,N(U24)=0),"— (sin M⁻ del vecino)",IF(OR(AND(N(T24)&gt;0,ABS(MAX(AY24,BA24)*AR24*Y24^2*1E-4*DATOS!$C$86/100/1000-N(T24))&gt;0.5*MIN(MAX(AY24,BA24)*AR24*Y24^2*1E-4*DATOS!$C$86/100/1000,N(T24))),AND(N(U24)&gt;0,ABS(MAX(AZ24,BB24)*AR24*Y24^2*1E-4*DATOS!$C$86/100/1000-N(U24))&gt;0.5*MIN(MAX(AZ24,BB24)*AR24*Y24^2*1E-4*DATOS!$C$86/100/1000,N(U24)))),"FUERA: difieren &gt; 50 %"&amp;IF(AND(N(T24)&gt;0,ABS(MAX(AY24,BA24)*AR24*Y24^2*1E-4*DATOS!$C$86/100/1000-N(T24))&gt;0.5*MIN(MAX(AY24,BA24)*AR24*Y24^2*1E-4*DATOS!$C$86/100/1000,N(T24)))," ‖ corto","")&amp;IF(AND(N(U24)&gt;0,ABS(MAX(AZ24,BB24)*AR24*Y24^2*1E-4*DATOS!$C$86/100/1000-N(U24))&gt;0.5*MIN(MAX(AZ24,BB24)*AR24*Y24^2*1E-4*DATOS!$C$86/100/1000,N(U24)))," ‖ largo",""),"CUMPLE"))))</f>
        <v/>
      </c>
      <c r="BL24" s="58" t="str">
        <f>IF(V24&lt;&gt;"SÍ","",(DATOS!$C$85-AK24-INDEX(TABLAS!$C$52:$C$58,MATCH(MAX(4,DATOS!$C$71),TABLAS!$B$52:$B$58,0))/2))</f>
        <v/>
      </c>
      <c r="BM24" s="58" t="str">
        <f>IF(V24&lt;&gt;"SÍ","",IF(IF(BG24&lt;=0,0,IF((1-2*BG24*1E5/(DATOS!$C$29*AH24*BL24^2*DATOS!$C$21))&lt;0,-1,IF((1-SQRT((1-2*BG24*1E5/(DATOS!$C$29*AH24*BL24^2*DATOS!$C$21))))*DATOS!$C$21*AH24*BL24/DATOS!$C$14&gt;DATOS!$C$102*AH24*BL24,-1,(1-SQRT((1-2*BG24*1E5/(DATOS!$C$29*AH24*BL24^2*DATOS!$C$21))))*DATOS!$C$21*AH24*BL24/DATOS!$C$14)))&lt;0,-1,MAX(IF(BG24&lt;=0,0,IF((1-2*BG24*1E5/(DATOS!$C$29*AH24*BL24^2*DATOS!$C$21))&lt;0,-1,IF((1-SQRT((1-2*BG24*1E5/(DATOS!$C$29*AH24*BL24^2*DATOS!$C$21))))*DATOS!$C$21*AH24*BL24/DATOS!$C$14&gt;DATOS!$C$102*AH24*BL24,-1,(1-SQRT((1-2*BG24*1E5/(DATOS!$C$29*AH24*BL24^2*DATOS!$C$21))))*DATOS!$C$21*AH24*BL24/DATOS!$C$14))),MIN(DATOS!$C$103*AD24*BL24,4/3*IF(BG24&lt;=0,0,IF((1-2*BG24*1E5/(DATOS!$C$29*AH24*BL24^2*DATOS!$C$21))&lt;0,-1,IF((1-SQRT((1-2*BG24*1E5/(DATOS!$C$29*AH24*BL24^2*DATOS!$C$21))))*DATOS!$C$21*AH24*BL24/DATOS!$C$14&gt;DATOS!$C$102*AH24*BL24,-1,(1-SQRT((1-2*BG24*1E5/(DATOS!$C$29*AH24*BL24^2*DATOS!$C$21))))*DATOS!$C$21*AH24*BL24/DATOS!$C$14)))))))</f>
        <v/>
      </c>
      <c r="BN24" s="64" t="str">
        <f>IF(V24&lt;&gt;"SÍ","",IF(AND(BM24&gt;=0,IF(MAX(DATOS!$C$74,CEILING(BM24/INDEX(TABLAS!$D$52:$D$58,MIN(MATCH(MAX(4,DATOS!$C$71),TABLAS!$B$52:$B$58,0)+0,7)),1))*INDEX(TABLAS!$D$52:$D$58,MIN(MATCH(MAX(4,DATOS!$C$71),TABLAS!$B$52:$B$58,0)+0,7)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+0,7)),1)),MAX(MAX(DATOS!$C$74,CEILING(BM24/INDEX(TABLAS!$D$52:$D$58,MIN(MATCH(MAX(4,DATOS!$C$71),TABLAS!$B$52:$B$58,0)+0,7)),1)),2))&lt;=MIN(DATOS!$C$73,INT(((AD24-2*AK24)+MAX(DATOS!$C$70,INDEX(TABLAS!$C$52:$C$58,MIN(MATCH(MAX(4,DATOS!$C$71),TABLAS!$B$52:$B$58,0)+0,7))))/(INDEX(TABLAS!$C$52:$C$58,MIN(MATCH(MAX(4,DATOS!$C$71),TABLAS!$B$52:$B$58,0)+0,7))+MAX(DATOS!$C$70,INDEX(TABLAS!$C$52:$C$58,MIN(MATCH(MAX(4,DATOS!$C$71),TABLAS!$B$52:$B$58,0)+0,7))))))),INDEX(TABLAS!$B$52:$B$58,MIN(MATCH(MAX(4,DATOS!$C$71),TABLAS!$B$52:$B$58,0)+0,7)),IF(AND(BM24&gt;=0,IF(MAX(DATOS!$C$74,CEILING(BM24/INDEX(TABLAS!$D$52:$D$58,MIN(MATCH(MAX(4,DATOS!$C$71),TABLAS!$B$52:$B$58,0)+1,7)),1))*INDEX(TABLAS!$D$52:$D$58,MIN(MATCH(MAX(4,DATOS!$C$71),TABLAS!$B$52:$B$58,0)+1,7)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+1,7)),1)),MAX(MAX(DATOS!$C$74,CEILING(BM24/INDEX(TABLAS!$D$52:$D$58,MIN(MATCH(MAX(4,DATOS!$C$71),TABLAS!$B$52:$B$58,0)+1,7)),1)),2))&lt;=MIN(DATOS!$C$73,INT(((AD24-2*AK24)+MAX(DATOS!$C$70,INDEX(TABLAS!$C$52:$C$58,MIN(MATCH(MAX(4,DATOS!$C$71),TABLAS!$B$52:$B$58,0)+1,7))))/(INDEX(TABLAS!$C$52:$C$58,MIN(MATCH(MAX(4,DATOS!$C$71),TABLAS!$B$52:$B$58,0)+1,7))+MAX(DATOS!$C$70,INDEX(TABLAS!$C$52:$C$58,MIN(MATCH(MAX(4,DATOS!$C$71),TABLAS!$B$52:$B$58,0)+1,7))))))),INDEX(TABLAS!$B$52:$B$58,MIN(MATCH(MAX(4,DATOS!$C$71),TABLAS!$B$52:$B$58,0)+1,7)),IF(AND(BM24&gt;=0,IF(MAX(DATOS!$C$74,CEILING(BM24/INDEX(TABLAS!$D$52:$D$58,MIN(MATCH(MAX(4,DATOS!$C$71),TABLAS!$B$52:$B$58,0)+2,7)),1))*INDEX(TABLAS!$D$52:$D$58,MIN(MATCH(MAX(4,DATOS!$C$71),TABLAS!$B$52:$B$58,0)+2,7)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+2,7)),1)),MAX(MAX(DATOS!$C$74,CEILING(BM24/INDEX(TABLAS!$D$52:$D$58,MIN(MATCH(MAX(4,DATOS!$C$71),TABLAS!$B$52:$B$58,0)+2,7)),1)),2))&lt;=MIN(DATOS!$C$73,INT(((AD24-2*AK24)+MAX(DATOS!$C$70,INDEX(TABLAS!$C$52:$C$58,MIN(MATCH(MAX(4,DATOS!$C$71),TABLAS!$B$52:$B$58,0)+2,7))))/(INDEX(TABLAS!$C$52:$C$58,MIN(MATCH(MAX(4,DATOS!$C$71),TABLAS!$B$52:$B$58,0)+2,7))+MAX(DATOS!$C$70,INDEX(TABLAS!$C$52:$C$58,MIN(MATCH(MAX(4,DATOS!$C$71),TABLAS!$B$52:$B$58,0)+2,7))))))),INDEX(TABLAS!$B$52:$B$58,MIN(MATCH(MAX(4,DATOS!$C$71),TABLAS!$B$52:$B$58,0)+2,7)),IF(AND(BM24&gt;=0,IF(MAX(DATOS!$C$74,CEILING(BM24/INDEX(TABLAS!$D$52:$D$58,MIN(MATCH(MAX(4,DATOS!$C$71),TABLAS!$B$52:$B$58,0)+3,7)),1))*INDEX(TABLAS!$D$52:$D$58,MIN(MATCH(MAX(4,DATOS!$C$71),TABLAS!$B$52:$B$58,0)+3,7)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+3,7)),1)),MAX(MAX(DATOS!$C$74,CEILING(BM24/INDEX(TABLAS!$D$52:$D$58,MIN(MATCH(MAX(4,DATOS!$C$71),TABLAS!$B$52:$B$58,0)+3,7)),1)),2))&lt;=MIN(DATOS!$C$73,INT(((AD24-2*AK24)+MAX(DATOS!$C$70,INDEX(TABLAS!$C$52:$C$58,MIN(MATCH(MAX(4,DATOS!$C$71),TABLAS!$B$52:$B$58,0)+3,7))))/(INDEX(TABLAS!$C$52:$C$58,MIN(MATCH(MAX(4,DATOS!$C$71),TABLAS!$B$52:$B$58,0)+3,7))+MAX(DATOS!$C$70,INDEX(TABLAS!$C$52:$C$58,MIN(MATCH(MAX(4,DATOS!$C$71),TABLAS!$B$52:$B$58,0)+3,7))))))),INDEX(TABLAS!$B$52:$B$58,MIN(MATCH(MAX(4,DATOS!$C$71),TABLAS!$B$52:$B$58,0)+3,7)),IF(AND(BM24&gt;=0,IF(MAX(DATOS!$C$74,CEILING(BM24/INDEX(TABLAS!$D$52:$D$58,MIN(MATCH(MAX(4,DATOS!$C$71),TABLAS!$B$52:$B$58,0)+4,7)),1))*INDEX(TABLAS!$D$52:$D$58,MIN(MATCH(MAX(4,DATOS!$C$71),TABLAS!$B$52:$B$58,0)+4,7)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+4,7)),1)),MAX(MAX(DATOS!$C$74,CEILING(BM24/INDEX(TABLAS!$D$52:$D$58,MIN(MATCH(MAX(4,DATOS!$C$71),TABLAS!$B$52:$B$58,0)+4,7)),1)),2))&lt;=MIN(DATOS!$C$73,INT(((AD24-2*AK24)+MAX(DATOS!$C$70,INDEX(TABLAS!$C$52:$C$58,MIN(MATCH(MAX(4,DATOS!$C$71),TABLAS!$B$52:$B$58,0)+4,7))))/(INDEX(TABLAS!$C$52:$C$58,MIN(MATCH(MAX(4,DATOS!$C$71),TABLAS!$B$52:$B$58,0)+4,7))+MAX(DATOS!$C$70,INDEX(TABLAS!$C$52:$C$58,MIN(MATCH(MAX(4,DATOS!$C$71),TABLAS!$B$52:$B$58,0)+4,7))))))),INDEX(TABLAS!$B$52:$B$58,MIN(MATCH(MAX(4,DATOS!$C$71),TABLAS!$B$52:$B$58,0)+4,7)),INDEX(TABLAS!$B$52:$B$58,7)))))))</f>
        <v/>
      </c>
      <c r="BO24" s="59" t="str">
        <f>IF(V24&lt;&gt;"SÍ","",IF(BM24&lt;0,0,IF(MAX(DATOS!$C$74,CEILING(MAX(BM24,0)/INDEX(TABLAS!$D$52:$D$58,MATCH(BN24,TABLAS!$B$52:$B$58,0)),1))*INDEX(TABLAS!$D$52:$D$58,MATCH(BN24,TABLAS!$B$52:$B$58,0))&gt;=4/3*IF(BG24&lt;=0,0,IF((1-2*BG24*1E5/(DATOS!$C$29*AH24*BL24^2*DATOS!$C$21))&lt;0,-1,IF((1-SQRT((1-2*BG24*1E5/(DATOS!$C$29*AH24*BL24^2*DATOS!$C$21))))*DATOS!$C$21*AH24*BL24/DATOS!$C$14&gt;DATOS!$C$102*AH24*BL24,-1,(1-SQRT((1-2*BG24*1E5/(DATOS!$C$29*AH24*BL24^2*DATOS!$C$21))))*DATOS!$C$21*AH24*BL24/DATOS!$C$14)))-0.0001,MAX(DATOS!$C$74,CEILING(MAX(BM24,0)/INDEX(TABLAS!$D$52:$D$58,MATCH(BN24,TABLAS!$B$52:$B$58,0)),1)),MAX(MAX(DATOS!$C$74,CEILING(MAX(BM24,0)/INDEX(TABLAS!$D$52:$D$58,MATCH(BN24,TABLAS!$B$52:$B$58,0)),1)),2))))</f>
        <v/>
      </c>
      <c r="BP24" s="58" t="str">
        <f>IF(V24&lt;&gt;"SÍ","",DATOS!$C$85-AK24-INDEX(TABLAS!$C$52:$C$58,MATCH(BN24,TABLAS!$B$52:$B$58,0))/2)</f>
        <v/>
      </c>
      <c r="BQ24" s="56" t="str">
        <f>IF(V24&lt;&gt;"SÍ","",IF(BO24=0,0,DATOS!$C$29*BO24*INDEX(TABLAS!$D$52:$D$58,MATCH(BN24,TABLAS!$B$52:$B$58,0))*DATOS!$C$14*(BP24-BO24*INDEX(TABLAS!$D$52:$D$58,MATCH(BN24,TABLAS!$B$52:$B$58,0))*DATOS!$C$14/(DATOS!$C$21*AH24)/2)/1E5))</f>
        <v/>
      </c>
      <c r="BR24" s="65" t="str">
        <f>IF(V24&lt;&gt;"SÍ","",IF(BM24&lt;0,9.99,IF(BQ24&gt;0,BG24/BQ24,0)))</f>
        <v/>
      </c>
      <c r="BS24" s="66" t="str">
        <f>IF(V24&lt;&gt;"SÍ","",IF(BO24=0,"—",0.003*(BP24-(BO24*INDEX(TABLAS!$D$52:$D$58,MATCH(BN24,TABLAS!$B$52:$B$58,0))*DATOS!$C$14/(DATOS!$C$21*AH24)/DATOS!$C$22))/(BO24*INDEX(TABLAS!$D$52:$D$58,MATCH(BN24,TABLAS!$B$52:$B$58,0))*DATOS!$C$14/(DATOS!$C$21*AH24)/DATOS!$C$22)))</f>
        <v/>
      </c>
      <c r="BT24" s="58" t="str">
        <f>IF(V24&lt;&gt;"SÍ","",((DATOS!$C$85-AM24-2*DATOS!$C$97-INDEX(TABLAS!$C$52:$C$58,MATCH(MAX(4,DATOS!$C$72),TABLAS!$B$52:$B$58,0))/2)-IF(AND((DATOS!$C$85-AM24-2*DATOS!$C$97-INDEX(TABLAS!$C$52:$C$58,MATCH(MAX(4,DATOS!$C$72),TABLAS!$B$52:$B$58,0))/2)&lt;=20,DATOS!$C$65&lt;&gt;"SÍ"),2,0)))</f>
        <v/>
      </c>
      <c r="BU24" s="58" t="str">
        <f>IF(V24&lt;&gt;"SÍ","",IF(IF(BH24&lt;=0,0,IF((1-2*BH24*1E5/(DATOS!$C$29*AF24*BT24^2*DATOS!$C$21))&lt;0,-1,IF((1-SQRT((1-2*BH24*1E5/(DATOS!$C$29*AF24*BT24^2*DATOS!$C$21))))*DATOS!$C$21*AF24*BT24/DATOS!$C$14&gt;DATOS!$C$102*AF24*BT24,-1,(1-SQRT((1-2*BH24*1E5/(DATOS!$C$29*AF24*BT24^2*DATOS!$C$21))))*DATOS!$C$21*AF24*BT24/DATOS!$C$14)))&lt;0,-1,MAX(IF(BH24&lt;=0,0,IF((1-2*BH24*1E5/(DATOS!$C$29*AF24*BT24^2*DATOS!$C$21))&lt;0,-1,IF((1-SQRT((1-2*BH24*1E5/(DATOS!$C$29*AF24*BT24^2*DATOS!$C$21))))*DATOS!$C$21*AF24*BT24/DATOS!$C$14&gt;DATOS!$C$102*AF24*BT24,-1,(1-SQRT((1-2*BH24*1E5/(DATOS!$C$29*AF24*BT24^2*DATOS!$C$21))))*DATOS!$C$21*AF24*BT24/DATOS!$C$14))),MIN(DATOS!$C$103*IF(C24="VOLADO",MIN(AH24,2*AD24),AD24)*BT24,4/3*IF(BH24&lt;=0,0,IF((1-2*BH24*1E5/(DATOS!$C$29*AF24*BT24^2*DATOS!$C$21))&lt;0,-1,IF((1-SQRT((1-2*BH24*1E5/(DATOS!$C$29*AF24*BT24^2*DATOS!$C$21))))*DATOS!$C$21*AF24*BT24/DATOS!$C$14&gt;DATOS!$C$102*AF24*BT24,-1,(1-SQRT((1-2*BH24*1E5/(DATOS!$C$29*AF24*BT24^2*DATOS!$C$21))))*DATOS!$C$21*AF24*BT24/DATOS!$C$14)))))))</f>
        <v/>
      </c>
      <c r="BV24" s="64" t="str">
        <f>IF(V24&lt;&gt;"SÍ","",IF(AND(BU24&gt;=0,IF(MAX(DATOS!$C$74,CEILING(BU24/INDEX(TABLAS!$D$52:$D$58,MIN(MATCH(MAX(4,DATOS!$C$72),TABLAS!$B$52:$B$58,0)+0,7)),1))*INDEX(TABLAS!$D$52:$D$58,MIN(MATCH(MAX(4,DATOS!$C$72),TABLAS!$B$52:$B$58,0)+0,7)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+0,7)),1)),MAX(MAX(DATOS!$C$74,CEILING(BU24/INDEX(TABLAS!$D$52:$D$58,MIN(MATCH(MAX(4,DATOS!$C$72),TABLAS!$B$52:$B$58,0)+0,7)),1)),2))&lt;=MIN(DATOS!$C$73,INT(((AD24-2*AL24)+MAX(DATOS!$C$70,INDEX(TABLAS!$C$52:$C$58,MIN(MATCH(MAX(4,DATOS!$C$72),TABLAS!$B$52:$B$58,0)+0,7))))/(INDEX(TABLAS!$C$52:$C$58,MIN(MATCH(MAX(4,DATOS!$C$72),TABLAS!$B$52:$B$58,0)+0,7))+MAX(DATOS!$C$70,INDEX(TABLAS!$C$52:$C$58,MIN(MATCH(MAX(4,DATOS!$C$72),TABLAS!$B$52:$B$58,0)+0,7))))))),INDEX(TABLAS!$B$52:$B$58,MIN(MATCH(MAX(4,DATOS!$C$72),TABLAS!$B$52:$B$58,0)+0,7)),IF(AND(BU24&gt;=0,IF(MAX(DATOS!$C$74,CEILING(BU24/INDEX(TABLAS!$D$52:$D$58,MIN(MATCH(MAX(4,DATOS!$C$72),TABLAS!$B$52:$B$58,0)+1,7)),1))*INDEX(TABLAS!$D$52:$D$58,MIN(MATCH(MAX(4,DATOS!$C$72),TABLAS!$B$52:$B$58,0)+1,7)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+1,7)),1)),MAX(MAX(DATOS!$C$74,CEILING(BU24/INDEX(TABLAS!$D$52:$D$58,MIN(MATCH(MAX(4,DATOS!$C$72),TABLAS!$B$52:$B$58,0)+1,7)),1)),2))&lt;=MIN(DATOS!$C$73,INT(((AD24-2*AL24)+MAX(DATOS!$C$70,INDEX(TABLAS!$C$52:$C$58,MIN(MATCH(MAX(4,DATOS!$C$72),TABLAS!$B$52:$B$58,0)+1,7))))/(INDEX(TABLAS!$C$52:$C$58,MIN(MATCH(MAX(4,DATOS!$C$72),TABLAS!$B$52:$B$58,0)+1,7))+MAX(DATOS!$C$70,INDEX(TABLAS!$C$52:$C$58,MIN(MATCH(MAX(4,DATOS!$C$72),TABLAS!$B$52:$B$58,0)+1,7))))))),INDEX(TABLAS!$B$52:$B$58,MIN(MATCH(MAX(4,DATOS!$C$72),TABLAS!$B$52:$B$58,0)+1,7)),IF(AND(BU24&gt;=0,IF(MAX(DATOS!$C$74,CEILING(BU24/INDEX(TABLAS!$D$52:$D$58,MIN(MATCH(MAX(4,DATOS!$C$72),TABLAS!$B$52:$B$58,0)+2,7)),1))*INDEX(TABLAS!$D$52:$D$58,MIN(MATCH(MAX(4,DATOS!$C$72),TABLAS!$B$52:$B$58,0)+2,7)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+2,7)),1)),MAX(MAX(DATOS!$C$74,CEILING(BU24/INDEX(TABLAS!$D$52:$D$58,MIN(MATCH(MAX(4,DATOS!$C$72),TABLAS!$B$52:$B$58,0)+2,7)),1)),2))&lt;=MIN(DATOS!$C$73,INT(((AD24-2*AL24)+MAX(DATOS!$C$70,INDEX(TABLAS!$C$52:$C$58,MIN(MATCH(MAX(4,DATOS!$C$72),TABLAS!$B$52:$B$58,0)+2,7))))/(INDEX(TABLAS!$C$52:$C$58,MIN(MATCH(MAX(4,DATOS!$C$72),TABLAS!$B$52:$B$58,0)+2,7))+MAX(DATOS!$C$70,INDEX(TABLAS!$C$52:$C$58,MIN(MATCH(MAX(4,DATOS!$C$72),TABLAS!$B$52:$B$58,0)+2,7))))))),INDEX(TABLAS!$B$52:$B$58,MIN(MATCH(MAX(4,DATOS!$C$72),TABLAS!$B$52:$B$58,0)+2,7)),IF(AND(BU24&gt;=0,IF(MAX(DATOS!$C$74,CEILING(BU24/INDEX(TABLAS!$D$52:$D$58,MIN(MATCH(MAX(4,DATOS!$C$72),TABLAS!$B$52:$B$58,0)+3,7)),1))*INDEX(TABLAS!$D$52:$D$58,MIN(MATCH(MAX(4,DATOS!$C$72),TABLAS!$B$52:$B$58,0)+3,7)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+3,7)),1)),MAX(MAX(DATOS!$C$74,CEILING(BU24/INDEX(TABLAS!$D$52:$D$58,MIN(MATCH(MAX(4,DATOS!$C$72),TABLAS!$B$52:$B$58,0)+3,7)),1)),2))&lt;=MIN(DATOS!$C$73,INT(((AD24-2*AL24)+MAX(DATOS!$C$70,INDEX(TABLAS!$C$52:$C$58,MIN(MATCH(MAX(4,DATOS!$C$72),TABLAS!$B$52:$B$58,0)+3,7))))/(INDEX(TABLAS!$C$52:$C$58,MIN(MATCH(MAX(4,DATOS!$C$72),TABLAS!$B$52:$B$58,0)+3,7))+MAX(DATOS!$C$70,INDEX(TABLAS!$C$52:$C$58,MIN(MATCH(MAX(4,DATOS!$C$72),TABLAS!$B$52:$B$58,0)+3,7))))))),INDEX(TABLAS!$B$52:$B$58,MIN(MATCH(MAX(4,DATOS!$C$72),TABLAS!$B$52:$B$58,0)+3,7)),IF(AND(BU24&gt;=0,IF(MAX(DATOS!$C$74,CEILING(BU24/INDEX(TABLAS!$D$52:$D$58,MIN(MATCH(MAX(4,DATOS!$C$72),TABLAS!$B$52:$B$58,0)+4,7)),1))*INDEX(TABLAS!$D$52:$D$58,MIN(MATCH(MAX(4,DATOS!$C$72),TABLAS!$B$52:$B$58,0)+4,7)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+4,7)),1)),MAX(MAX(DATOS!$C$74,CEILING(BU24/INDEX(TABLAS!$D$52:$D$58,MIN(MATCH(MAX(4,DATOS!$C$72),TABLAS!$B$52:$B$58,0)+4,7)),1)),2))&lt;=MIN(DATOS!$C$73,INT(((AD24-2*AL24)+MAX(DATOS!$C$70,INDEX(TABLAS!$C$52:$C$58,MIN(MATCH(MAX(4,DATOS!$C$72),TABLAS!$B$52:$B$58,0)+4,7))))/(INDEX(TABLAS!$C$52:$C$58,MIN(MATCH(MAX(4,DATOS!$C$72),TABLAS!$B$52:$B$58,0)+4,7))+MAX(DATOS!$C$70,INDEX(TABLAS!$C$52:$C$58,MIN(MATCH(MAX(4,DATOS!$C$72),TABLAS!$B$52:$B$58,0)+4,7))))))),INDEX(TABLAS!$B$52:$B$58,MIN(MATCH(MAX(4,DATOS!$C$72),TABLAS!$B$52:$B$58,0)+4,7)),INDEX(TABLAS!$B$52:$B$58,7)))))))</f>
        <v/>
      </c>
      <c r="BW24" s="59" t="str">
        <f>IF(V24&lt;&gt;"SÍ","",IF(BU24&lt;0,0,IF(MAX(DATOS!$C$74,CEILING(MAX(BU24,0)/INDEX(TABLAS!$D$52:$D$58,MATCH(BV24,TABLAS!$B$52:$B$58,0)),1))*INDEX(TABLAS!$D$52:$D$58,MATCH(BV24,TABLAS!$B$52:$B$58,0))&gt;=4/3*IF(BH24&lt;=0,0,IF((1-2*BH24*1E5/(DATOS!$C$29*AF24*BT24^2*DATOS!$C$21))&lt;0,-1,IF((1-SQRT((1-2*BH24*1E5/(DATOS!$C$29*AF24*BT24^2*DATOS!$C$21))))*DATOS!$C$21*AF24*BT24/DATOS!$C$14&gt;DATOS!$C$102*AF24*BT24,-1,(1-SQRT((1-2*BH24*1E5/(DATOS!$C$29*AF24*BT24^2*DATOS!$C$21))))*DATOS!$C$21*AF24*BT24/DATOS!$C$14)))-0.0001,MAX(DATOS!$C$74,CEILING(MAX(BU24,0)/INDEX(TABLAS!$D$52:$D$58,MATCH(BV24,TABLAS!$B$52:$B$58,0)),1)),MAX(MAX(DATOS!$C$74,CEILING(MAX(BU24,0)/INDEX(TABLAS!$D$52:$D$58,MATCH(BV24,TABLAS!$B$52:$B$58,0)),1)),2))))</f>
        <v/>
      </c>
      <c r="BX24" s="58" t="str">
        <f>IF(V24&lt;&gt;"SÍ","",((DATOS!$C$85-AM24-2*DATOS!$C$97-INDEX(TABLAS!$C$52:$C$58,MATCH(BV24,TABLAS!$B$52:$B$58,0))/2)-IF(AND((DATOS!$C$85-AM24-2*DATOS!$C$97-INDEX(TABLAS!$C$52:$C$58,MATCH(BV24,TABLAS!$B$52:$B$58,0))/2)&lt;=20,DATOS!$C$65&lt;&gt;"SÍ"),2,0)))</f>
        <v/>
      </c>
      <c r="BY24" s="56" t="str">
        <f>IF(V24&lt;&gt;"SÍ","",IF(BW24=0,0,DATOS!$C$29*BW24*INDEX(TABLAS!$D$52:$D$58,MATCH(BV24,TABLAS!$B$52:$B$58,0))*DATOS!$C$14*(BX24-BW24*INDEX(TABLAS!$D$52:$D$58,MATCH(BV24,TABLAS!$B$52:$B$58,0))*DATOS!$C$14/(DATOS!$C$21*AF24)/2)/1E5))</f>
        <v/>
      </c>
      <c r="BZ24" s="65" t="str">
        <f>IF(V24&lt;&gt;"SÍ","",IF(BU24&lt;0,9.99,IF(BY24&gt;0,BH24/BY24,0)))</f>
        <v/>
      </c>
      <c r="CA24" s="66" t="str">
        <f>IF(V24&lt;&gt;"SÍ","",IF(BW24=0,"—",0.003*(BX24-(BW24*INDEX(TABLAS!$D$52:$D$58,MATCH(BV24,TABLAS!$B$52:$B$58,0))*DATOS!$C$14/(DATOS!$C$21*AF24)/DATOS!$C$22))/(BW24*INDEX(TABLAS!$D$52:$D$58,MATCH(BV24,TABLAS!$B$52:$B$58,0))*DATOS!$C$14/(DATOS!$C$21*AF24)/DATOS!$C$22)))</f>
        <v/>
      </c>
      <c r="CB24" s="58" t="str">
        <f>IF(V24&lt;&gt;"SÍ","",(DATOS!$C$85-AK24-INDEX(TABLAS!$C$52:$C$58,MATCH(MAX(4,DATOS!$C$71),TABLAS!$B$52:$B$58,0))-INDEX(TABLAS!$C$52:$C$58,MATCH(MAX(4,DATOS!$C$71),TABLAS!$B$52:$B$58,0))/2))</f>
        <v/>
      </c>
      <c r="CC24" s="58" t="str">
        <f>IF(V24&lt;&gt;"SÍ","",IF(IF(BI24&lt;=0,0,IF((1-2*BI24*1E5/(DATOS!$C$29*AI24*CB24^2*DATOS!$C$21))&lt;0,-1,IF((1-SQRT((1-2*BI24*1E5/(DATOS!$C$29*AI24*CB24^2*DATOS!$C$21))))*DATOS!$C$21*AI24*CB24/DATOS!$C$14&gt;DATOS!$C$102*AI24*CB24,-1,(1-SQRT((1-2*BI24*1E5/(DATOS!$C$29*AI24*CB24^2*DATOS!$C$21))))*DATOS!$C$21*AI24*CB24/DATOS!$C$14)))&lt;0,-1,MAX(IF(BI24&lt;=0,0,IF((1-2*BI24*1E5/(DATOS!$C$29*AI24*CB24^2*DATOS!$C$21))&lt;0,-1,IF((1-SQRT((1-2*BI24*1E5/(DATOS!$C$29*AI24*CB24^2*DATOS!$C$21))))*DATOS!$C$21*AI24*CB24/DATOS!$C$14&gt;DATOS!$C$102*AI24*CB24,-1,(1-SQRT((1-2*BI24*1E5/(DATOS!$C$29*AI24*CB24^2*DATOS!$C$21))))*DATOS!$C$21*AI24*CB24/DATOS!$C$14))),MIN(DATOS!$C$103*DATOS!$C$83*CB24,4/3*IF(BI24&lt;=0,0,IF((1-2*BI24*1E5/(DATOS!$C$29*AI24*CB24^2*DATOS!$C$21))&lt;0,-1,IF((1-SQRT((1-2*BI24*1E5/(DATOS!$C$29*AI24*CB24^2*DATOS!$C$21))))*DATOS!$C$21*AI24*CB24/DATOS!$C$14&gt;DATOS!$C$102*AI24*CB24,-1,(1-SQRT((1-2*BI24*1E5/(DATOS!$C$29*AI24*CB24^2*DATOS!$C$21))))*DATOS!$C$21*AI24*CB24/DATOS!$C$14)))))))</f>
        <v/>
      </c>
      <c r="CD24" s="64" t="str">
        <f>IF(V24&lt;&gt;"SÍ","",IF(AND(CC24&gt;=0,IF(MAX(DATOS!$C$74,CEILING(CC24/INDEX(TABLAS!$D$52:$D$58,MIN(MATCH(MAX(4,DATOS!$C$71),TABLAS!$B$52:$B$58,0)+0,7)),1))*INDEX(TABLAS!$D$52:$D$58,MIN(MATCH(MAX(4,DATOS!$C$71),TABLAS!$B$52:$B$58,0)+0,7)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+0,7)),1)),MAX(MAX(DATOS!$C$74,CEILING(CC24/INDEX(TABLAS!$D$52:$D$58,MIN(MATCH(MAX(4,DATOS!$C$71),TABLAS!$B$52:$B$58,0)+0,7)),1)),2))&lt;=MIN(DATOS!$C$73,INT(((DATOS!$C$83-2*AK24)+MAX(DATOS!$C$70,INDEX(TABLAS!$C$52:$C$58,MIN(MATCH(MAX(4,DATOS!$C$71),TABLAS!$B$52:$B$58,0)+0,7))))/(INDEX(TABLAS!$C$52:$C$58,MIN(MATCH(MAX(4,DATOS!$C$71),TABLAS!$B$52:$B$58,0)+0,7))+MAX(DATOS!$C$70,INDEX(TABLAS!$C$52:$C$58,MIN(MATCH(MAX(4,DATOS!$C$71),TABLAS!$B$52:$B$58,0)+0,7))))))),INDEX(TABLAS!$B$52:$B$58,MIN(MATCH(MAX(4,DATOS!$C$71),TABLAS!$B$52:$B$58,0)+0,7)),IF(AND(CC24&gt;=0,IF(MAX(DATOS!$C$74,CEILING(CC24/INDEX(TABLAS!$D$52:$D$58,MIN(MATCH(MAX(4,DATOS!$C$71),TABLAS!$B$52:$B$58,0)+1,7)),1))*INDEX(TABLAS!$D$52:$D$58,MIN(MATCH(MAX(4,DATOS!$C$71),TABLAS!$B$52:$B$58,0)+1,7)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+1,7)),1)),MAX(MAX(DATOS!$C$74,CEILING(CC24/INDEX(TABLAS!$D$52:$D$58,MIN(MATCH(MAX(4,DATOS!$C$71),TABLAS!$B$52:$B$58,0)+1,7)),1)),2))&lt;=MIN(DATOS!$C$73,INT(((DATOS!$C$83-2*AK24)+MAX(DATOS!$C$70,INDEX(TABLAS!$C$52:$C$58,MIN(MATCH(MAX(4,DATOS!$C$71),TABLAS!$B$52:$B$58,0)+1,7))))/(INDEX(TABLAS!$C$52:$C$58,MIN(MATCH(MAX(4,DATOS!$C$71),TABLAS!$B$52:$B$58,0)+1,7))+MAX(DATOS!$C$70,INDEX(TABLAS!$C$52:$C$58,MIN(MATCH(MAX(4,DATOS!$C$71),TABLAS!$B$52:$B$58,0)+1,7))))))),INDEX(TABLAS!$B$52:$B$58,MIN(MATCH(MAX(4,DATOS!$C$71),TABLAS!$B$52:$B$58,0)+1,7)),IF(AND(CC24&gt;=0,IF(MAX(DATOS!$C$74,CEILING(CC24/INDEX(TABLAS!$D$52:$D$58,MIN(MATCH(MAX(4,DATOS!$C$71),TABLAS!$B$52:$B$58,0)+2,7)),1))*INDEX(TABLAS!$D$52:$D$58,MIN(MATCH(MAX(4,DATOS!$C$71),TABLAS!$B$52:$B$58,0)+2,7)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+2,7)),1)),MAX(MAX(DATOS!$C$74,CEILING(CC24/INDEX(TABLAS!$D$52:$D$58,MIN(MATCH(MAX(4,DATOS!$C$71),TABLAS!$B$52:$B$58,0)+2,7)),1)),2))&lt;=MIN(DATOS!$C$73,INT(((DATOS!$C$83-2*AK24)+MAX(DATOS!$C$70,INDEX(TABLAS!$C$52:$C$58,MIN(MATCH(MAX(4,DATOS!$C$71),TABLAS!$B$52:$B$58,0)+2,7))))/(INDEX(TABLAS!$C$52:$C$58,MIN(MATCH(MAX(4,DATOS!$C$71),TABLAS!$B$52:$B$58,0)+2,7))+MAX(DATOS!$C$70,INDEX(TABLAS!$C$52:$C$58,MIN(MATCH(MAX(4,DATOS!$C$71),TABLAS!$B$52:$B$58,0)+2,7))))))),INDEX(TABLAS!$B$52:$B$58,MIN(MATCH(MAX(4,DATOS!$C$71),TABLAS!$B$52:$B$58,0)+2,7)),IF(AND(CC24&gt;=0,IF(MAX(DATOS!$C$74,CEILING(CC24/INDEX(TABLAS!$D$52:$D$58,MIN(MATCH(MAX(4,DATOS!$C$71),TABLAS!$B$52:$B$58,0)+3,7)),1))*INDEX(TABLAS!$D$52:$D$58,MIN(MATCH(MAX(4,DATOS!$C$71),TABLAS!$B$52:$B$58,0)+3,7)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+3,7)),1)),MAX(MAX(DATOS!$C$74,CEILING(CC24/INDEX(TABLAS!$D$52:$D$58,MIN(MATCH(MAX(4,DATOS!$C$71),TABLAS!$B$52:$B$58,0)+3,7)),1)),2))&lt;=MIN(DATOS!$C$73,INT(((DATOS!$C$83-2*AK24)+MAX(DATOS!$C$70,INDEX(TABLAS!$C$52:$C$58,MIN(MATCH(MAX(4,DATOS!$C$71),TABLAS!$B$52:$B$58,0)+3,7))))/(INDEX(TABLAS!$C$52:$C$58,MIN(MATCH(MAX(4,DATOS!$C$71),TABLAS!$B$52:$B$58,0)+3,7))+MAX(DATOS!$C$70,INDEX(TABLAS!$C$52:$C$58,MIN(MATCH(MAX(4,DATOS!$C$71),TABLAS!$B$52:$B$58,0)+3,7))))))),INDEX(TABLAS!$B$52:$B$58,MIN(MATCH(MAX(4,DATOS!$C$71),TABLAS!$B$52:$B$58,0)+3,7)),IF(AND(CC24&gt;=0,IF(MAX(DATOS!$C$74,CEILING(CC24/INDEX(TABLAS!$D$52:$D$58,MIN(MATCH(MAX(4,DATOS!$C$71),TABLAS!$B$52:$B$58,0)+4,7)),1))*INDEX(TABLAS!$D$52:$D$58,MIN(MATCH(MAX(4,DATOS!$C$71),TABLAS!$B$52:$B$58,0)+4,7)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+4,7)),1)),MAX(MAX(DATOS!$C$74,CEILING(CC24/INDEX(TABLAS!$D$52:$D$58,MIN(MATCH(MAX(4,DATOS!$C$71),TABLAS!$B$52:$B$58,0)+4,7)),1)),2))&lt;=MIN(DATOS!$C$73,INT(((DATOS!$C$83-2*AK24)+MAX(DATOS!$C$70,INDEX(TABLAS!$C$52:$C$58,MIN(MATCH(MAX(4,DATOS!$C$71),TABLAS!$B$52:$B$58,0)+4,7))))/(INDEX(TABLAS!$C$52:$C$58,MIN(MATCH(MAX(4,DATOS!$C$71),TABLAS!$B$52:$B$58,0)+4,7))+MAX(DATOS!$C$70,INDEX(TABLAS!$C$52:$C$58,MIN(MATCH(MAX(4,DATOS!$C$71),TABLAS!$B$52:$B$58,0)+4,7))))))),INDEX(TABLAS!$B$52:$B$58,MIN(MATCH(MAX(4,DATOS!$C$71),TABLAS!$B$52:$B$58,0)+4,7)),INDEX(TABLAS!$B$52:$B$58,7)))))))</f>
        <v/>
      </c>
      <c r="CE24" s="59" t="str">
        <f>IF(V24&lt;&gt;"SÍ","",IF(CC24&lt;0,0,IF(MAX(DATOS!$C$74,CEILING(MAX(CC24,0)/INDEX(TABLAS!$D$52:$D$58,MATCH(CD24,TABLAS!$B$52:$B$58,0)),1))*INDEX(TABLAS!$D$52:$D$58,MATCH(CD24,TABLAS!$B$52:$B$58,0))&gt;=4/3*IF(BI24&lt;=0,0,IF((1-2*BI24*1E5/(DATOS!$C$29*AI24*CB24^2*DATOS!$C$21))&lt;0,-1,IF((1-SQRT((1-2*BI24*1E5/(DATOS!$C$29*AI24*CB24^2*DATOS!$C$21))))*DATOS!$C$21*AI24*CB24/DATOS!$C$14&gt;DATOS!$C$102*AI24*CB24,-1,(1-SQRT((1-2*BI24*1E5/(DATOS!$C$29*AI24*CB24^2*DATOS!$C$21))))*DATOS!$C$21*AI24*CB24/DATOS!$C$14)))-0.0001,MAX(DATOS!$C$74,CEILING(MAX(CC24,0)/INDEX(TABLAS!$D$52:$D$58,MATCH(CD24,TABLAS!$B$52:$B$58,0)),1)),MAX(MAX(DATOS!$C$74,CEILING(MAX(CC24,0)/INDEX(TABLAS!$D$52:$D$58,MATCH(CD24,TABLAS!$B$52:$B$58,0)),1)),2))))</f>
        <v/>
      </c>
      <c r="CF24" s="58" t="str">
        <f>IF(V24&lt;&gt;"SÍ","",DATOS!$C$85-AK24-INDEX(TABLAS!$C$52:$C$58,MATCH(BN24,TABLAS!$B$52:$B$58,0))-INDEX(TABLAS!$C$52:$C$58,MATCH(CD24,TABLAS!$B$52:$B$58,0))/2)</f>
        <v/>
      </c>
      <c r="CG24" s="56" t="str">
        <f>IF(V24&lt;&gt;"SÍ","",IF(CE24=0,0,DATOS!$C$29*CE24*INDEX(TABLAS!$D$52:$D$58,MATCH(CD24,TABLAS!$B$52:$B$58,0))*DATOS!$C$14*(CF24-CE24*INDEX(TABLAS!$D$52:$D$58,MATCH(CD24,TABLAS!$B$52:$B$58,0))*DATOS!$C$14/(DATOS!$C$21*AI24)/2)/1E5))</f>
        <v/>
      </c>
      <c r="CH24" s="65" t="str">
        <f>IF(V24&lt;&gt;"SÍ","",IF(CC24&lt;0,9.99,IF(CG24&gt;0,BI24/CG24,0)))</f>
        <v/>
      </c>
      <c r="CI24" s="66" t="str">
        <f>IF(V24&lt;&gt;"SÍ","",IF(CE24=0,"—",0.003*(CF24-(CE24*INDEX(TABLAS!$D$52:$D$58,MATCH(CD24,TABLAS!$B$52:$B$58,0))*DATOS!$C$14/(DATOS!$C$21*AI24)/DATOS!$C$22))/(CE24*INDEX(TABLAS!$D$52:$D$58,MATCH(CD24,TABLAS!$B$52:$B$58,0))*DATOS!$C$14/(DATOS!$C$21*AI24)/DATOS!$C$22)))</f>
        <v/>
      </c>
      <c r="CJ24" s="58" t="str">
        <f>IF(V24&lt;&gt;"SÍ","",((DATOS!$C$85-AM24-2*DATOS!$C$97-INDEX(TABLAS!$C$52:$C$58,MATCH(MAX(4,DATOS!$C$72),TABLAS!$B$52:$B$58,0))-INDEX(TABLAS!$C$52:$C$58,MATCH(MAX(4,DATOS!$C$72),TABLAS!$B$52:$B$58,0))/2)-IF(AND((DATOS!$C$85-AM24-2*DATOS!$C$97-INDEX(TABLAS!$C$52:$C$58,MATCH(MAX(4,DATOS!$C$72),TABLAS!$B$52:$B$58,0))-INDEX(TABLAS!$C$52:$C$58,MATCH(MAX(4,DATOS!$C$72),TABLAS!$B$52:$B$58,0))/2)&lt;=20,DATOS!$C$65&lt;&gt;"SÍ"),2,0)))</f>
        <v/>
      </c>
      <c r="CK24" s="58" t="str">
        <f>IF(V24&lt;&gt;"SÍ","",IF(IF(BJ24&lt;=0,0,IF((1-2*BJ24*1E5/(DATOS!$C$29*AG24*CJ24^2*DATOS!$C$21))&lt;0,-1,IF((1-SQRT((1-2*BJ24*1E5/(DATOS!$C$29*AG24*CJ24^2*DATOS!$C$21))))*DATOS!$C$21*AG24*CJ24/DATOS!$C$14&gt;DATOS!$C$102*AG24*CJ24,-1,(1-SQRT((1-2*BJ24*1E5/(DATOS!$C$29*AG24*CJ24^2*DATOS!$C$21))))*DATOS!$C$21*AG24*CJ24/DATOS!$C$14)))&lt;0,-1,MAX(IF(BJ24&lt;=0,0,IF((1-2*BJ24*1E5/(DATOS!$C$29*AG24*CJ24^2*DATOS!$C$21))&lt;0,-1,IF((1-SQRT((1-2*BJ24*1E5/(DATOS!$C$29*AG24*CJ24^2*DATOS!$C$21))))*DATOS!$C$21*AG24*CJ24/DATOS!$C$14&gt;DATOS!$C$102*AG24*CJ24,-1,(1-SQRT((1-2*BJ24*1E5/(DATOS!$C$29*AG24*CJ24^2*DATOS!$C$21))))*DATOS!$C$21*AG24*CJ24/DATOS!$C$14))),MIN(DATOS!$C$103*DATOS!$C$83*CJ24,4/3*IF(BJ24&lt;=0,0,IF((1-2*BJ24*1E5/(DATOS!$C$29*AG24*CJ24^2*DATOS!$C$21))&lt;0,-1,IF((1-SQRT((1-2*BJ24*1E5/(DATOS!$C$29*AG24*CJ24^2*DATOS!$C$21))))*DATOS!$C$21*AG24*CJ24/DATOS!$C$14&gt;DATOS!$C$102*AG24*CJ24,-1,(1-SQRT((1-2*BJ24*1E5/(DATOS!$C$29*AG24*CJ24^2*DATOS!$C$21))))*DATOS!$C$21*AG24*CJ24/DATOS!$C$14)))))))</f>
        <v/>
      </c>
      <c r="CL24" s="64" t="str">
        <f>IF(V24&lt;&gt;"SÍ","",IF(AND(CK24&gt;=0,IF(MAX(DATOS!$C$74,CEILING(CK24/INDEX(TABLAS!$D$52:$D$58,MIN(MATCH(MAX(4,DATOS!$C$72),TABLAS!$B$52:$B$58,0)+0,7)),1))*INDEX(TABLAS!$D$52:$D$58,MIN(MATCH(MAX(4,DATOS!$C$72),TABLAS!$B$52:$B$58,0)+0,7)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+0,7)),1)),MAX(MAX(DATOS!$C$74,CEILING(CK24/INDEX(TABLAS!$D$52:$D$58,MIN(MATCH(MAX(4,DATOS!$C$72),TABLAS!$B$52:$B$58,0)+0,7)),1)),2))&lt;=MIN(DATOS!$C$73,INT(((DATOS!$C$83-2*AL24)+MAX(DATOS!$C$70,INDEX(TABLAS!$C$52:$C$58,MIN(MATCH(MAX(4,DATOS!$C$72),TABLAS!$B$52:$B$58,0)+0,7))))/(INDEX(TABLAS!$C$52:$C$58,MIN(MATCH(MAX(4,DATOS!$C$72),TABLAS!$B$52:$B$58,0)+0,7))+MAX(DATOS!$C$70,INDEX(TABLAS!$C$52:$C$58,MIN(MATCH(MAX(4,DATOS!$C$72),TABLAS!$B$52:$B$58,0)+0,7))))))),INDEX(TABLAS!$B$52:$B$58,MIN(MATCH(MAX(4,DATOS!$C$72),TABLAS!$B$52:$B$58,0)+0,7)),IF(AND(CK24&gt;=0,IF(MAX(DATOS!$C$74,CEILING(CK24/INDEX(TABLAS!$D$52:$D$58,MIN(MATCH(MAX(4,DATOS!$C$72),TABLAS!$B$52:$B$58,0)+1,7)),1))*INDEX(TABLAS!$D$52:$D$58,MIN(MATCH(MAX(4,DATOS!$C$72),TABLAS!$B$52:$B$58,0)+1,7)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+1,7)),1)),MAX(MAX(DATOS!$C$74,CEILING(CK24/INDEX(TABLAS!$D$52:$D$58,MIN(MATCH(MAX(4,DATOS!$C$72),TABLAS!$B$52:$B$58,0)+1,7)),1)),2))&lt;=MIN(DATOS!$C$73,INT(((DATOS!$C$83-2*AL24)+MAX(DATOS!$C$70,INDEX(TABLAS!$C$52:$C$58,MIN(MATCH(MAX(4,DATOS!$C$72),TABLAS!$B$52:$B$58,0)+1,7))))/(INDEX(TABLAS!$C$52:$C$58,MIN(MATCH(MAX(4,DATOS!$C$72),TABLAS!$B$52:$B$58,0)+1,7))+MAX(DATOS!$C$70,INDEX(TABLAS!$C$52:$C$58,MIN(MATCH(MAX(4,DATOS!$C$72),TABLAS!$B$52:$B$58,0)+1,7))))))),INDEX(TABLAS!$B$52:$B$58,MIN(MATCH(MAX(4,DATOS!$C$72),TABLAS!$B$52:$B$58,0)+1,7)),IF(AND(CK24&gt;=0,IF(MAX(DATOS!$C$74,CEILING(CK24/INDEX(TABLAS!$D$52:$D$58,MIN(MATCH(MAX(4,DATOS!$C$72),TABLAS!$B$52:$B$58,0)+2,7)),1))*INDEX(TABLAS!$D$52:$D$58,MIN(MATCH(MAX(4,DATOS!$C$72),TABLAS!$B$52:$B$58,0)+2,7)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+2,7)),1)),MAX(MAX(DATOS!$C$74,CEILING(CK24/INDEX(TABLAS!$D$52:$D$58,MIN(MATCH(MAX(4,DATOS!$C$72),TABLAS!$B$52:$B$58,0)+2,7)),1)),2))&lt;=MIN(DATOS!$C$73,INT(((DATOS!$C$83-2*AL24)+MAX(DATOS!$C$70,INDEX(TABLAS!$C$52:$C$58,MIN(MATCH(MAX(4,DATOS!$C$72),TABLAS!$B$52:$B$58,0)+2,7))))/(INDEX(TABLAS!$C$52:$C$58,MIN(MATCH(MAX(4,DATOS!$C$72),TABLAS!$B$52:$B$58,0)+2,7))+MAX(DATOS!$C$70,INDEX(TABLAS!$C$52:$C$58,MIN(MATCH(MAX(4,DATOS!$C$72),TABLAS!$B$52:$B$58,0)+2,7))))))),INDEX(TABLAS!$B$52:$B$58,MIN(MATCH(MAX(4,DATOS!$C$72),TABLAS!$B$52:$B$58,0)+2,7)),IF(AND(CK24&gt;=0,IF(MAX(DATOS!$C$74,CEILING(CK24/INDEX(TABLAS!$D$52:$D$58,MIN(MATCH(MAX(4,DATOS!$C$72),TABLAS!$B$52:$B$58,0)+3,7)),1))*INDEX(TABLAS!$D$52:$D$58,MIN(MATCH(MAX(4,DATOS!$C$72),TABLAS!$B$52:$B$58,0)+3,7)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+3,7)),1)),MAX(MAX(DATOS!$C$74,CEILING(CK24/INDEX(TABLAS!$D$52:$D$58,MIN(MATCH(MAX(4,DATOS!$C$72),TABLAS!$B$52:$B$58,0)+3,7)),1)),2))&lt;=MIN(DATOS!$C$73,INT(((DATOS!$C$83-2*AL24)+MAX(DATOS!$C$70,INDEX(TABLAS!$C$52:$C$58,MIN(MATCH(MAX(4,DATOS!$C$72),TABLAS!$B$52:$B$58,0)+3,7))))/(INDEX(TABLAS!$C$52:$C$58,MIN(MATCH(MAX(4,DATOS!$C$72),TABLAS!$B$52:$B$58,0)+3,7))+MAX(DATOS!$C$70,INDEX(TABLAS!$C$52:$C$58,MIN(MATCH(MAX(4,DATOS!$C$72),TABLAS!$B$52:$B$58,0)+3,7))))))),INDEX(TABLAS!$B$52:$B$58,MIN(MATCH(MAX(4,DATOS!$C$72),TABLAS!$B$52:$B$58,0)+3,7)),IF(AND(CK24&gt;=0,IF(MAX(DATOS!$C$74,CEILING(CK24/INDEX(TABLAS!$D$52:$D$58,MIN(MATCH(MAX(4,DATOS!$C$72),TABLAS!$B$52:$B$58,0)+4,7)),1))*INDEX(TABLAS!$D$52:$D$58,MIN(MATCH(MAX(4,DATOS!$C$72),TABLAS!$B$52:$B$58,0)+4,7)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+4,7)),1)),MAX(MAX(DATOS!$C$74,CEILING(CK24/INDEX(TABLAS!$D$52:$D$58,MIN(MATCH(MAX(4,DATOS!$C$72),TABLAS!$B$52:$B$58,0)+4,7)),1)),2))&lt;=MIN(DATOS!$C$73,INT(((DATOS!$C$83-2*AL24)+MAX(DATOS!$C$70,INDEX(TABLAS!$C$52:$C$58,MIN(MATCH(MAX(4,DATOS!$C$72),TABLAS!$B$52:$B$58,0)+4,7))))/(INDEX(TABLAS!$C$52:$C$58,MIN(MATCH(MAX(4,DATOS!$C$72),TABLAS!$B$52:$B$58,0)+4,7))+MAX(DATOS!$C$70,INDEX(TABLAS!$C$52:$C$58,MIN(MATCH(MAX(4,DATOS!$C$72),TABLAS!$B$52:$B$58,0)+4,7))))))),INDEX(TABLAS!$B$52:$B$58,MIN(MATCH(MAX(4,DATOS!$C$72),TABLAS!$B$52:$B$58,0)+4,7)),INDEX(TABLAS!$B$52:$B$58,7)))))))</f>
        <v/>
      </c>
      <c r="CM24" s="59" t="str">
        <f>IF(V24&lt;&gt;"SÍ","",IF(CK24&lt;0,0,IF(MAX(DATOS!$C$74,CEILING(MAX(CK24,0)/INDEX(TABLAS!$D$52:$D$58,MATCH(CL24,TABLAS!$B$52:$B$58,0)),1))*INDEX(TABLAS!$D$52:$D$58,MATCH(CL24,TABLAS!$B$52:$B$58,0))&gt;=4/3*IF(BJ24&lt;=0,0,IF((1-2*BJ24*1E5/(DATOS!$C$29*AG24*CJ24^2*DATOS!$C$21))&lt;0,-1,IF((1-SQRT((1-2*BJ24*1E5/(DATOS!$C$29*AG24*CJ24^2*DATOS!$C$21))))*DATOS!$C$21*AG24*CJ24/DATOS!$C$14&gt;DATOS!$C$102*AG24*CJ24,-1,(1-SQRT((1-2*BJ24*1E5/(DATOS!$C$29*AG24*CJ24^2*DATOS!$C$21))))*DATOS!$C$21*AG24*CJ24/DATOS!$C$14)))-0.0001,MAX(DATOS!$C$74,CEILING(MAX(CK24,0)/INDEX(TABLAS!$D$52:$D$58,MATCH(CL24,TABLAS!$B$52:$B$58,0)),1)),MAX(MAX(DATOS!$C$74,CEILING(MAX(CK24,0)/INDEX(TABLAS!$D$52:$D$58,MATCH(CL24,TABLAS!$B$52:$B$58,0)),1)),2))))</f>
        <v/>
      </c>
      <c r="CN24" s="58" t="str">
        <f>IF(V24&lt;&gt;"SÍ","",((DATOS!$C$85-AM24-2*DATOS!$C$97-INDEX(TABLAS!$C$52:$C$58,MATCH(BV24,TABLAS!$B$52:$B$58,0))-INDEX(TABLAS!$C$52:$C$58,MATCH(CL24,TABLAS!$B$52:$B$58,0))/2)-IF(AND((DATOS!$C$85-AM24-2*DATOS!$C$97-INDEX(TABLAS!$C$52:$C$58,MATCH(BV24,TABLAS!$B$52:$B$58,0))-INDEX(TABLAS!$C$52:$C$58,MATCH(CL24,TABLAS!$B$52:$B$58,0))/2)&lt;=20,DATOS!$C$65&lt;&gt;"SÍ"),2,0)))</f>
        <v/>
      </c>
      <c r="CO24" s="56" t="str">
        <f>IF(V24&lt;&gt;"SÍ","",IF(CM24=0,0,DATOS!$C$29*CM24*INDEX(TABLAS!$D$52:$D$58,MATCH(CL24,TABLAS!$B$52:$B$58,0))*DATOS!$C$14*(CN24-CM24*INDEX(TABLAS!$D$52:$D$58,MATCH(CL24,TABLAS!$B$52:$B$58,0))*DATOS!$C$14/(DATOS!$C$21*AG24)/2)/1E5))</f>
        <v/>
      </c>
      <c r="CP24" s="65" t="str">
        <f>IF(V24&lt;&gt;"SÍ","",IF(CK24&lt;0,9.99,IF(CO24&gt;0,BJ24/CO24,0)))</f>
        <v/>
      </c>
      <c r="CQ24" s="66" t="str">
        <f>IF(V24&lt;&gt;"SÍ","",IF(CM24=0,"—",0.003*(CN24-(CM24*INDEX(TABLAS!$D$52:$D$58,MATCH(CL24,TABLAS!$B$52:$B$58,0))*DATOS!$C$14/(DATOS!$C$21*AG24)/DATOS!$C$22))/(CM24*INDEX(TABLAS!$D$52:$D$58,MATCH(CL24,TABLAS!$B$52:$B$58,0))*DATOS!$C$14/(DATOS!$C$21*AG24)/DATOS!$C$22)))</f>
        <v/>
      </c>
      <c r="CR24" s="56" t="str">
        <f>IF(V24&lt;&gt;"SÍ","",IF(C24="PERIMETRAL",MAX(0,(AB24/2-BX24)/100)*(0.95-0.5*AA24)*AR24*IF(AND(AS24&gt;0,AS24&lt;4),DATOS!$C$33,1)*DATOS!$C$86/100/1000,(AR24*MAX(0,AB24-BX24)/100+DATOS!$C$26*N(O24))*DATOS!$C$86/100/1000+BF24))</f>
        <v/>
      </c>
      <c r="CS24" s="56" t="str">
        <f>IF(V24&lt;&gt;"SÍ","",DATOS!$C$30*2*MIN(1,SQRT(2/(1+0.04*BX24)))*(BW24*INDEX(TABLAS!$D$52:$D$58,MATCH(BV24,TABLAS!$B$52:$B$58,0))/(AF24*BX24))^(1/3)*SQRT(DATOS!$C$13)*AF24*BX24*IF(AJ24="SÍ",DATOS!$C$32,1)/1000)</f>
        <v/>
      </c>
      <c r="CT24" s="59" t="str">
        <f>IF(V24&lt;&gt;"SÍ","",IF(CR24&lt;=CS24,0,CEILING(MAX(0,IF(C24="VOLADO",(AB24-((CS24-BF24)*1E5/DATOS!$C$86-DATOS!$C$26*N(O24))*100/AR24),IF(CS24&lt;=0,AB24,AB24/2-CS24/MAX(CR24,1E-9)*(AB24/2-BX24)))-IF(X24="X",MIN(DJ24,DK24),MIN(DL24,DM24)))/DATOS!$C$86,1)))</f>
        <v/>
      </c>
      <c r="CU24" s="67" t="str">
        <f>IF(V24&lt;&gt;"SÍ","",IF(CR24&lt;=CS24,"CUMPLE",IF(CT24&lt;=0,"CUMPLE (basta el macizo de orilla)",IF(CT24*DATOS!$C$86*IF(C24="VOLADO",1,2)&gt;=Y24*100-DATOS!$C$87,"NO CUMPLE: no alcanza ni macizando todo","MACIZAR "&amp;CT24&amp;" hilera(s)"))))</f>
        <v/>
      </c>
      <c r="CV24" s="58" t="str">
        <f>IF(V24&lt;&gt;"SÍ","",(DATOS!$C$86*DATOS!$C$84^2/2+MIN(DATOS!$C$83,AD24)*DATOS!$C$82*(DATOS!$C$84+DATOS!$C$82/2))/(DATOS!$C$86*DATOS!$C$84+MIN(DATOS!$C$83,AD24)*DATOS!$C$82))</f>
        <v/>
      </c>
      <c r="CW24" s="68" t="str">
        <f>IF(V24&lt;&gt;"SÍ","",DATOS!$C$86*DATOS!$C$84^3/12+DATOS!$C$86*DATOS!$C$84*(CV24-DATOS!$C$84/2)^2+MIN(DATOS!$C$83,AD24)*DATOS!$C$82^3/12+MIN(DATOS!$C$83,AD24)*DATOS!$C$82*(DATOS!$C$84+DATOS!$C$82/2-CV24)^2)</f>
        <v/>
      </c>
      <c r="CX24" s="58" t="str">
        <f>IF(V24&lt;&gt;"SÍ","",(12*CW24/DATOS!$C$86)^(1/3))</f>
        <v/>
      </c>
      <c r="CY24" s="58" t="str">
        <f>IF(V24&lt;&gt;"SÍ","",IF(C24="PERIMETRAL",IF(ISNUMBER(S24),S24,DATOS!$C$104),0))</f>
        <v/>
      </c>
      <c r="CZ24" s="57" t="str">
        <f>IF(V24&lt;&gt;"SÍ","",IF(C24="PERIMETRAL",IF(CY24&gt;2,MAX(9,AC24*(0.8+DATOS!$C$14/14000)/(36+9*(AC24/MAX(AB24,1)))),IF(CY24&gt;0.2,MAX(13,AC24*(0.8+DATOS!$C$14/14000)/(36+5*(AC24/MAX(AB24,1))*(CY24-0.2))),MAX(13,AC24/IF(AS24&gt;0,30,33))))*IF(AND(CY24&gt;0.2,AS24&gt;0,DATOS!$C$105="NO"),1.1,1),MAX(25,Y24*100/8*(0.4+DATOS!$C$14/7000))))</f>
        <v/>
      </c>
      <c r="DA24" s="61" t="str">
        <f>IF(V24&lt;&gt;"SÍ","",IF(IF(C24="VOLADO",DATOS!$C$85,CX24)&gt;=CZ24,"CUMPLE",IF(C24="VOLADO","NO CUMPLE","CALCULAR FLECHA")))</f>
        <v/>
      </c>
      <c r="DB24" s="55" t="str">
        <f>IF(V24&lt;&gt;"SÍ","",IF(DATOS!$C$84&gt;=IF(IF(C24="VOLADO",Y24,Z24)&gt;=6,6,5),"CUMPLE","CAPA ≥ 6 cm"))</f>
        <v/>
      </c>
      <c r="DC24" s="60" t="str">
        <f>IF(V24&lt;&gt;"SÍ","",IF(C24="VOLADO",MIN(FLOOR(IF(ISNUMBER(P24),P24,Y24)*100-DATOS!$C$63,5),CEILING(MAX(IF((0.5*(0.9*DATOS!$C$90*DATOS!$C$86/100/1000)*IF(ISNUMBER(P24),P24,Y24)+BH24/IF(ISNUMBER(P24),P24,Y24))^2-4*(0.5*(0.9*DATOS!$C$90*DATOS!$C$86/100/1000))*BH24&lt;0,IF(ISNUMBER(P24),P24,Y24),MIN(IF(ISNUMBER(P24),P24,Y24),((0.5*(0.9*DATOS!$C$90*DATOS!$C$86/100/1000)*IF(ISNUMBER(P24),P24,Y24)+BH24/IF(ISNUMBER(P24),P24,Y24))-SQRT((0.5*(0.9*DATOS!$C$90*DATOS!$C$86/100/1000)*IF(ISNUMBER(P24),P24,Y24)+BH24/IF(ISNUMBER(P24),P24,Y24))^2-4*(0.5*(0.9*DATOS!$C$90*DATOS!$C$86/100/1000))*BH24))/(2*(0.5*(0.9*DATOS!$C$90*DATOS!$C$86/100/1000)))))*100+MAX(BX24,12*INDEX(TABLAS!$C$52:$C$58,MATCH(BV24,TABLAS!$B$52:$B$58,0)),IF(ISNUMBER(P24),P24,Y24)*100/16),IF(OR(AL24&lt;INDEX(TABLAS!$C$52:$C$58,MATCH(BV24,TABLAS!$B$52:$B$58,0)),AND(BW24&gt;=2,(AD24-2*AL24-BW24*INDEX(TABLAS!$C$52:$C$58,MATCH(BV24,TABLAS!$B$52:$B$58,0)))/MAX(BW24-1,1)&lt;2*INDEX(TABLAS!$C$52:$C$58,MATCH(BV24,TABLAS!$B$52:$B$58,0)))),INDEX(TABLAS!$I$52:$I$58,MATCH(BV24,TABLAS!$B$52:$B$58,0)),INDEX(TABLAS!$F$52:$F$58,MATCH(BV24,TABLAS!$B$52:$B$58,0)))),5)),IF(((4*((BC24*AR24*Y24^2*1E-4*DATOS!$C$86/100/1000)+((MAX(AY24,BA24)*AR24*Y24^2*1E-4*DATOS!$C$86/100/1000)+(IF(AND(AY24&gt;0,BA24&gt;0),MIN(AY24,BA24),MAX(AY24,BA24))*AR24*Y24^2*1E-4*DATOS!$C$86/100/1000))/2)+BH24-(IF(AND(AY24&gt;0,BA24&gt;0),MIN(AY24,BA24),MAX(AY24,BA24))*AR24*Y24^2*1E-4*DATOS!$C$86/100/1000))^2-16*((BC24*AR24*Y24^2*1E-4*DATOS!$C$86/100/1000)+((MAX(AY24,BA24)*AR24*Y24^2*1E-4*DATOS!$C$86/100/1000)+(IF(AND(AY24&gt;0,BA24&gt;0),MIN(AY24,BA24),MAX(AY24,BA24))*AR24*Y24^2*1E-4*DATOS!$C$86/100/1000))/2)*BH24)&lt;0,CEILING(AB24,5),CEILING(MAX(AB24*((4*((BC24*AR24*Y24^2*1E-4*DATOS!$C$86/100/1000)+((MAX(AY24,BA24)*AR24*Y24^2*1E-4*DATOS!$C$86/100/1000)+(IF(AND(AY24&gt;0,BA24&gt;0),MIN(AY24,BA24),MAX(AY24,BA24))*AR24*Y24^2*1E-4*DATOS!$C$86/100/1000))/2)+BH24-(IF(AND(AY24&gt;0,BA24&gt;0),MIN(AY24,BA24),MAX(AY24,BA24))*AR24*Y24^2*1E-4*DATOS!$C$86/100/1000))-SQRT(MAX(0,((4*((BC24*AR24*Y24^2*1E-4*DATOS!$C$86/100/1000)+((MAX(AY24,BA24)*AR24*Y24^2*1E-4*DATOS!$C$86/100/1000)+(IF(AND(AY24&gt;0,BA24&gt;0),MIN(AY24,BA24),MAX(AY24,BA24))*AR24*Y24^2*1E-4*DATOS!$C$86/100/1000))/2)+BH24-(IF(AND(AY24&gt;0,BA24&gt;0),MIN(AY24,BA24),MAX(AY24,BA24))*AR24*Y24^2*1E-4*DATOS!$C$86/100/1000))^2-16*((BC24*AR24*Y24^2*1E-4*DATOS!$C$86/100/1000)+((MAX(AY24,BA24)*AR24*Y24^2*1E-4*DATOS!$C$86/100/1000)+(IF(AND(AY24&gt;0,BA24&gt;0),MIN(AY24,BA24),MAX(AY24,BA24))*AR24*Y24^2*1E-4*DATOS!$C$86/100/1000))/2)*BH24))))/(8*MAX(((BC24*AR24*Y24^2*1E-4*DATOS!$C$86/100/1000)+((MAX(AY24,BA24)*AR24*Y24^2*1E-4*DATOS!$C$86/100/1000)+(IF(AND(AY24&gt;0,BA24&gt;0),MIN(AY24,BA24),MAX(AY24,BA24))*AR24*Y24^2*1E-4*DATOS!$C$86/100/1000))/2),1E-9))+MAX(BX24,12*INDEX(TABLAS!$C$52:$C$58,MATCH(BV24,TABLAS!$B$52:$B$58,0)),AB24/16),IF(OR(AL24&lt;INDEX(TABLAS!$C$52:$C$58,MATCH(BV24,TABLAS!$B$52:$B$58,0)),AND(BW24&gt;=2,(AD24-2*AL24-BW24*INDEX(TABLAS!$C$52:$C$58,MATCH(BV24,TABLAS!$B$52:$B$58,0)))/MAX(BW24-1,1)&lt;2*INDEX(TABLAS!$C$52:$C$58,MATCH(BV24,TABLAS!$B$52:$B$58,0)))),INDEX(TABLAS!$I$52:$I$58,MATCH(BV24,TABLAS!$B$52:$B$58,0)),INDEX(TABLAS!$F$52:$F$58,MATCH(BV24,TABLAS!$B$52:$B$58,0)))),5))))</f>
        <v/>
      </c>
      <c r="DD24" s="60" t="str">
        <f>IF(V24&lt;&gt;"SÍ","",IF(C24="VOLADO",0,IF(((4*((BD24*AR24*Y24^2*1E-4*DATOS!$C$86/100/1000)+((MAX(AZ24,BB24)*AR24*Y24^2*1E-4*DATOS!$C$86/100/1000)+(IF(AND(AZ24&gt;0,BB24&gt;0),MIN(AZ24,BB24),MAX(AZ24,BB24))*AR24*Y24^2*1E-4*DATOS!$C$86/100/1000))/2)+BJ24-(IF(AND(AZ24&gt;0,BB24&gt;0),MIN(AZ24,BB24),MAX(AZ24,BB24))*AR24*Y24^2*1E-4*DATOS!$C$86/100/1000))^2-16*((BD24*AR24*Y24^2*1E-4*DATOS!$C$86/100/1000)+((MAX(AZ24,BB24)*AR24*Y24^2*1E-4*DATOS!$C$86/100/1000)+(IF(AND(AZ24&gt;0,BB24&gt;0),MIN(AZ24,BB24),MAX(AZ24,BB24))*AR24*Y24^2*1E-4*DATOS!$C$86/100/1000))/2)*BJ24)&lt;0,CEILING(AC24,5),CEILING(MAX(AC24*((4*((BD24*AR24*Y24^2*1E-4*DATOS!$C$86/100/1000)+((MAX(AZ24,BB24)*AR24*Y24^2*1E-4*DATOS!$C$86/100/1000)+(IF(AND(AZ24&gt;0,BB24&gt;0),MIN(AZ24,BB24),MAX(AZ24,BB24))*AR24*Y24^2*1E-4*DATOS!$C$86/100/1000))/2)+BJ24-(IF(AND(AZ24&gt;0,BB24&gt;0),MIN(AZ24,BB24),MAX(AZ24,BB24))*AR24*Y24^2*1E-4*DATOS!$C$86/100/1000))-SQRT(MAX(0,((4*((BD24*AR24*Y24^2*1E-4*DATOS!$C$86/100/1000)+((MAX(AZ24,BB24)*AR24*Y24^2*1E-4*DATOS!$C$86/100/1000)+(IF(AND(AZ24&gt;0,BB24&gt;0),MIN(AZ24,BB24),MAX(AZ24,BB24))*AR24*Y24^2*1E-4*DATOS!$C$86/100/1000))/2)+BJ24-(IF(AND(AZ24&gt;0,BB24&gt;0),MIN(AZ24,BB24),MAX(AZ24,BB24))*AR24*Y24^2*1E-4*DATOS!$C$86/100/1000))^2-16*((BD24*AR24*Y24^2*1E-4*DATOS!$C$86/100/1000)+((MAX(AZ24,BB24)*AR24*Y24^2*1E-4*DATOS!$C$86/100/1000)+(IF(AND(AZ24&gt;0,BB24&gt;0),MIN(AZ24,BB24),MAX(AZ24,BB24))*AR24*Y24^2*1E-4*DATOS!$C$86/100/1000))/2)*BJ24))))/(8*MAX(((BD24*AR24*Y24^2*1E-4*DATOS!$C$86/100/1000)+((MAX(AZ24,BB24)*AR24*Y24^2*1E-4*DATOS!$C$86/100/1000)+(IF(AND(AZ24&gt;0,BB24&gt;0),MIN(AZ24,BB24),MAX(AZ24,BB24))*AR24*Y24^2*1E-4*DATOS!$C$86/100/1000))/2),1E-9))+MAX(CN24,12*INDEX(TABLAS!$C$52:$C$58,MATCH(CL24,TABLAS!$B$52:$B$58,0)),AC24/16),IF(OR(AL24&lt;INDEX(TABLAS!$C$52:$C$58,MATCH(CL24,TABLAS!$B$52:$B$58,0)),AND(CM24&gt;=2,(DATOS!$C$83-2*AL24-CM24*INDEX(TABLAS!$C$52:$C$58,MATCH(CL24,TABLAS!$B$52:$B$58,0)))/MAX(CM24-1,1)&lt;2*INDEX(TABLAS!$C$52:$C$58,MATCH(CL24,TABLAS!$B$52:$B$58,0)))),INDEX(TABLAS!$I$52:$I$58,MATCH(CL24,TABLAS!$B$52:$B$58,0)),INDEX(TABLAS!$F$52:$F$58,MATCH(CL24,TABLAS!$B$52:$B$58,0)))),5))))</f>
        <v/>
      </c>
      <c r="DE24" s="55" t="str">
        <f>IF(V24&lt;&gt;"SÍ","",IF(AND(C24="PERIMETRAL",BW24&gt;=2,AS24-AT24&gt;0,BA24*AR24*Y24^2*1E-4*DATOS!$C$86/100/1000&gt;DATOS!$C$29*INDEX(TABLAS!$D$52:$D$58,MATCH(BV24,TABLAS!$B$52:$B$58,0))*DATOS!$C$14*(BX24-INDEX(TABLAS!$D$52:$D$58,MATCH(BV24,TABLAS!$B$52:$B$58,0))*DATOS!$C$14/(DATOS!$C$21*AF24)/2)/1E5),"SÍ","NO"))</f>
        <v/>
      </c>
      <c r="DF24" s="55" t="str">
        <f>IF(V24&lt;&gt;"SÍ","",IF(AND(C24="PERIMETRAL",CM24&gt;=2,AT24&gt;0,BB24*AR24*Y24^2*1E-4*DATOS!$C$86/100/1000&gt;DATOS!$C$29*INDEX(TABLAS!$D$52:$D$58,MATCH(CL24,TABLAS!$B$52:$B$58,0))*DATOS!$C$14*(CN24-INDEX(TABLAS!$D$52:$D$58,MATCH(CL24,TABLAS!$B$52:$B$58,0))*DATOS!$C$14/(DATOS!$C$21*AG24)/2)/1E5),"SÍ","NO"))</f>
        <v/>
      </c>
      <c r="DG24" s="63" t="str">
        <f>IF(V24&lt;&gt;"SÍ","",IF(OR(C24="VOLADO",AS24=0),"—",IF(AND(AND(1.25*INDEX(TABLAS!$G$52:$G$58,MATCH(MAX(BN24,CD24),TABLAS!$B$52:$B$58,0))&lt;=(DATOS!$C$75-DATOS!$C$63),(DATOS!$C$75-DATOS!$C$63)&gt;=15,INDEX(TABLAS!$G$52:$G$58,MATCH(MAX(BV24,CL24),TABLAS!$B$52:$B$58,0))&lt;=(DATOS!$C$75-DATOS!$C$63)),8*INDEX(TABLAS!$C$52:$C$58,MATCH(MAX(MAX(BN24,CD24),MAX(BV24,CL24)),TABLAS!$B$52:$B$58,0))&lt;=DATOS!$C$76-2*DATOS!$C$63),"CUMPLE (gancho de 180°)",IF(AND(1.25*INDEX(TABLAS!$G$52:$G$58,MATCH(MAX(BN24,CD24),TABLAS!$B$52:$B$58,0))&lt;=(DATOS!$C$75-DATOS!$C$63),(DATOS!$C$75-DATOS!$C$63)&gt;=15,INDEX(TABLAS!$G$52:$G$58,MATCH(MAX(BV24,CL24),TABLAS!$B$52:$B$58,0))&lt;=(DATOS!$C$75-DATOS!$C$63)),"NO CUMPLE: el gancho de 180° (8·d_b) no cabe en el peralte de la dala de borde","NO CUMPLE: dala de borde ≥ "&amp;TEXT(CEILING(MAX(1.25*INDEX(TABLAS!$G$52:$G$58,MATCH(MAX(BN24,CD24),TABLAS!$B$52:$B$58,0)),15,INDEX(TABLAS!$G$52:$G$58,MATCH(MAX(BV24,CL24),TABLAS!$B$52:$B$58,0)))+DATOS!$C$63,5),"0")&amp;" cm de ancho"&amp;IF(8*INDEX(TABLAS!$C$52:$C$58,MATCH(MAX(MAX(BN24,CD24),MAX(BV24,CL24)),TABLAS!$B$52:$B$58,0))&lt;=DATOS!$C$76-2*DATOS!$C$63,""," y más peralte para el gancho")))))</f>
        <v/>
      </c>
      <c r="DH24" s="59" t="str">
        <f>IF(V24&lt;&gt;"SÍ","",MAX(0,INT((E24*100-DATOS!$C$87-IF(AND(C24="PERIMETRAL",I24="DISCONTINUO"),MAX(0,DATOS!$C$75-DATOS!$C$87),0)-IF(AND(C24="PERIMETRAL",J24="DISCONTINUO"),MAX(0,DATOS!$C$75-DATOS!$C$87),0)+DATOS!$C$86-IF(X24="X",DATOS!$C$81,AE24))/DATOS!$C$86)))</f>
        <v/>
      </c>
      <c r="DI24" s="59" t="str">
        <f>IF(V24&lt;&gt;"SÍ","",MAX(0,INT((F24*100-DATOS!$C$87-IF(AND(C24="PERIMETRAL",G24="DISCONTINUO"),MAX(0,DATOS!$C$75-DATOS!$C$87),0)-IF(AND(C24="PERIMETRAL",H24="DISCONTINUO"),MAX(0,DATOS!$C$75-DATOS!$C$87),0)+DATOS!$C$86-IF(X24="Y",DATOS!$C$81,AE24))/DATOS!$C$86)))</f>
        <v/>
      </c>
      <c r="DJ24" s="57" t="str">
        <f>IF(V24&lt;&gt;"SÍ","",IF(DH24&gt;0,IF(AND(C24="PERIMETRAL",I24="DISCONTINUO"),MAX(0,DATOS!$C$75-DATOS!$C$87),0)+(E24*100-DATOS!$C$87-IF(AND(C24="PERIMETRAL",I24="DISCONTINUO"),MAX(0,DATOS!$C$75-DATOS!$C$87),0)-IF(AND(C24="PERIMETRAL",J24="DISCONTINUO"),MAX(0,DATOS!$C$75-DATOS!$C$87),0)-(DH24*IF(X24="X",DATOS!$C$81,AE24)+(DH24-1)*(DATOS!$C$86-IF(X24="X",DATOS!$C$81,AE24))))/2,E24*100/2))</f>
        <v/>
      </c>
      <c r="DK24" s="57" t="str">
        <f>IF(V24&lt;&gt;"SÍ","",IF(DH24&gt;0,IF(AND(C24="PERIMETRAL",J24="DISCONTINUO"),MAX(0,DATOS!$C$75-DATOS!$C$87),0)+(E24*100-DATOS!$C$87-IF(AND(C24="PERIMETRAL",I24="DISCONTINUO"),MAX(0,DATOS!$C$75-DATOS!$C$87),0)-IF(AND(C24="PERIMETRAL",J24="DISCONTINUO"),MAX(0,DATOS!$C$75-DATOS!$C$87),0)-(DH24*IF(X24="X",DATOS!$C$81,AE24)+(DH24-1)*(DATOS!$C$86-IF(X24="X",DATOS!$C$81,AE24))))/2,E24*100/2))</f>
        <v/>
      </c>
      <c r="DL24" s="57" t="str">
        <f>IF(V24&lt;&gt;"SÍ","",IF(DI24&gt;0,IF(AND(C24="PERIMETRAL",G24="DISCONTINUO"),MAX(0,DATOS!$C$75-DATOS!$C$87),0)+(F24*100-DATOS!$C$87-IF(AND(C24="PERIMETRAL",G24="DISCONTINUO"),MAX(0,DATOS!$C$75-DATOS!$C$87),0)-IF(AND(C24="PERIMETRAL",H24="DISCONTINUO"),MAX(0,DATOS!$C$75-DATOS!$C$87),0)-(DI24*IF(X24="Y",DATOS!$C$81,AE24)+(DI24-1)*(DATOS!$C$86-IF(X24="Y",DATOS!$C$81,AE24))))/2,F24*100/2))</f>
        <v/>
      </c>
      <c r="DM24" s="57" t="str">
        <f>IF(V24&lt;&gt;"SÍ","",IF(DI24&gt;0,IF(AND(C24="PERIMETRAL",H24="DISCONTINUO"),MAX(0,DATOS!$C$75-DATOS!$C$87),0)+(F24*100-DATOS!$C$87-IF(AND(C24="PERIMETRAL",G24="DISCONTINUO"),MAX(0,DATOS!$C$75-DATOS!$C$87),0)-IF(AND(C24="PERIMETRAL",H24="DISCONTINUO"),MAX(0,DATOS!$C$75-DATOS!$C$87),0)-(DI24*IF(X24="Y",DATOS!$C$81,AE24)+(DI24-1)*(DATOS!$C$86-IF(X24="Y",DATOS!$C$81,AE24))))/2,F24*100/2))</f>
        <v/>
      </c>
      <c r="DN24" s="59" t="str">
        <f>IF(V24&lt;&gt;"SÍ","",IF(NOT(AND(C24="VOLADO",AD24&gt;DATOS!$C$83)),0,IF(INDEX(TABLAS!$C$52:$C$58,MATCH(BV24,TABLAS!$B$52:$B$58,0))&lt;=DATOS!$C$83-2*DATOS!$C$63,1,0)))</f>
        <v/>
      </c>
      <c r="DO24" s="58" t="str">
        <f>IF(V24&lt;&gt;"SÍ","",IF(NOT(AND(C24="VOLADO",AD24&gt;DATOS!$C$83)),0,((DATOS!$C$85-MAX(DATOS!$C$63,(DATOS!$C$84-2*DATOS!$C$97)/2)-2*DATOS!$C$97-INDEX(TABLAS!$C$52:$C$58,MATCH(MAX(4,DATOS!$C$72),TABLAS!$B$52:$B$58,0))-INDEX(TABLAS!$C$52:$C$58,MATCH(BV24,TABLAS!$B$52:$B$58,0))/2)-IF(AND((DATOS!$C$85-MAX(DATOS!$C$63,(DATOS!$C$84-2*DATOS!$C$97)/2)-2*DATOS!$C$97-INDEX(TABLAS!$C$52:$C$58,MATCH(MAX(4,DATOS!$C$72),TABLAS!$B$52:$B$58,0))-INDEX(TABLAS!$C$52:$C$58,MATCH(BV24,TABLAS!$B$52:$B$58,0))/2)&lt;=20,DATOS!$C$65&lt;&gt;"SÍ"),2,0))))</f>
        <v/>
      </c>
      <c r="DP24" s="56" t="str">
        <f>IF(V24&lt;&gt;"SÍ","",IF(OR(NOT(AND(C24="VOLADO",AD24&gt;DATOS!$C$83)),DN24&lt;1),0,IF(0.003*(DO24-((DN24*INDEX(TABLAS!$D$52:$D$58,MATCH(BV24,TABLAS!$B$52:$B$58,0)))*DATOS!$C$14/(DATOS!$C$21*AG24)/DATOS!$C$22))/((DN24*INDEX(TABLAS!$D$52:$D$58,MATCH(BV24,TABLAS!$B$52:$B$58,0)))*DATOS!$C$14/(DATOS!$C$21*AG24)/DATOS!$C$22)&lt;0.005,0,DATOS!$C$29*(DN24*INDEX(TABLAS!$D$52:$D$58,MATCH(BV24,TABLAS!$B$52:$B$58,0)))*DATOS!$C$14*(DO24-(DN24*INDEX(TABLAS!$D$52:$D$58,MATCH(BV24,TABLAS!$B$52:$B$58,0)))*DATOS!$C$14/(DATOS!$C$21*AG24)/2)/1E5)))</f>
        <v/>
      </c>
      <c r="DQ24" s="56" t="str">
        <f>IF(V24&lt;&gt;"SÍ","",IF(OR(NOT(AND(C24="VOLADO",AD24&gt;DATOS!$C$83)),DN24&lt;1),0,DATOS!$C$30*2*MIN(1,SQRT(2/(1+0.04*DO24)))*((DN24*INDEX(TABLAS!$D$52:$D$58,MATCH(BV24,TABLAS!$B$52:$B$58,0)))/(AG24*DO24))^(1/3)*SQRT(DATOS!$C$13)*AG24*DO24/1000))</f>
        <v/>
      </c>
      <c r="DR24" s="56" t="str">
        <f>IF(V24&lt;&gt;"SÍ","",IF(NOT(AND(C24="VOLADO",AD24&gt;DATOS!$C$83)),0,IF((BH24-DP24)&lt;=0,0,IF(DP24&lt;=0,IF(ISNUMBER(P24),P24,Y24),IF(((0.9*DATOS!$C$90*DATOS!$C$86/100/1000)*IF(ISNUMBER(P24),P24,Y24)/2+BH24/IF(ISNUMBER(P24),P24,Y24))^2-4*((0.9*DATOS!$C$90*DATOS!$C$86/100/1000)/2)*(BH24-DP24)&lt;0,IF(ISNUMBER(P24),P24,Y24),MIN(IF(ISNUMBER(P24),P24,Y24),(((0.9*DATOS!$C$90*DATOS!$C$86/100/1000)*IF(ISNUMBER(P24),P24,Y24)/2+BH24/IF(ISNUMBER(P24),P24,Y24))-SQRT(((0.9*DATOS!$C$90*DATOS!$C$86/100/1000)*IF(ISNUMBER(P24),P24,Y24)/2+BH24/IF(ISNUMBER(P24),P24,Y24))^2-4*((0.9*DATOS!$C$90*DATOS!$C$86/100/1000)/2)*(BH24-DP24)))/(2*((0.9*DATOS!$C$90*DATOS!$C$86/100/1000)/2))))))))</f>
        <v/>
      </c>
      <c r="DS24" s="56" t="str">
        <f>IF(V24&lt;&gt;"SÍ","",IF(NOT(AND(C24="VOLADO",AD24&gt;DATOS!$C$83)),0,IF(DQ24&lt;=(BH24/((IF(ISNUMBER(P24),P24,Y24)*100-DATOS!$C$87)/100)),IF(ISNUMBER(P24),P24,Y24),MIN(IF(ISNUMBER(P24),P24,Y24),MAX(0,(IF(ISNUMBER(P24),P24,Y24)*100-DATOS!$C$87)/200-(DQ24-(BH24/((IF(ISNUMBER(P24),P24,Y24)*100-DATOS!$C$87)/100)))/((0.95-0.5*IF(N(Q24)&gt;0,MIN(IF(ISNUMBER(P24),P24,Y24),Q24)/MAX(IF(ISNUMBER(P24),P24,Y24),Q24),0))*DATOS!$C$33*AR24*DATOS!$C$86/100/1000))))))</f>
        <v/>
      </c>
      <c r="DT24" s="56" t="str">
        <f>IF(V24&lt;&gt;"SÍ","",IF(NOT(AND(C24="VOLADO",AD24&gt;DATOS!$C$83)),0,(BH24/((IF(ISNUMBER(P24),P24,Y24)*100-DATOS!$C$87)/100))+((0.95-0.5*IF(N(Q24)&gt;0,MIN(IF(ISNUMBER(P24),P24,Y24),Q24)/MAX(IF(ISNUMBER(P24),P24,Y24),Q24),0))*DATOS!$C$33*AR24*DATOS!$C$86/100/1000)*MAX(0,(IF(ISNUMBER(P24),P24,Y24)*100-DATOS!$C$87)/200-BX24/100)))</f>
        <v/>
      </c>
      <c r="DU24" s="59" t="str">
        <f>IF(V24&lt;&gt;"SÍ","",IF(NOT(AND(C24="VOLADO",AD24&gt;DATOS!$C$83)),0,MIN(FLOOR(100*IF(ISNUMBER(P24),P24,Y24)-DATOS!$C$63,5),CEILING(100*MIN(IF(ISNUMBER(P24),P24,Y24),MAX(IF(DR24&gt;0,DR24+IF(BW24&gt;=2,MAX(DO24,12*INDEX(TABLAS!$C$52:$C$58,MATCH(BV24,TABLAS!$B$52:$B$58,0)))/100,0),0),DS24,IF(BW24&gt;=2,INDEX(TABLAS!$F$52:$F$58,MATCH(BV24,TABLAS!$B$52:$B$58,0))/100,0))),5))))</f>
        <v/>
      </c>
      <c r="DV24" s="60" t="str">
        <f>IF(V24&lt;&gt;"SÍ","",IF(NOT(AND(C24="VOLADO",AD24&gt;DATOS!$C$83)),0,IF(DU24&lt;=0,0,CEILING(DU24/DATOS!$C$86,1))))</f>
        <v/>
      </c>
      <c r="DW24" s="61" t="str">
        <f>IF(V24&lt;&gt;"SÍ","",IF(C24&lt;&gt;"VOLADO","—",IF(AD24&lt;=DATOS!$C$83,"— (mismo b_w que el respaldo)",IF(DT24&gt;CS24,"NO CUMPLE: cortante de la nervadura ancha junto al apoyo ("&amp;TEXT(DT24,"0.00")&amp;" &gt; "&amp;TEXT(CS24,"0.00")&amp;" t)",IF(DU24&gt;=100*IF(ISNUMBER(P24),P24,Y24),"CUMPLE — todas las nervaduras del respaldo ‖ al volado con b_w = "&amp;AD24&amp;" cm","CUMPLE — "&amp;DV24&amp;" hilera(s) del respaldo con nervaduras de b_w = "&amp;AD24&amp;" cm (casetón "&amp;AE24&amp;" cm), hasta "&amp;TEXT(DU24/100,"0.00")&amp;" m del paño")))))</f>
        <v/>
      </c>
      <c r="DX24" s="69" t="str">
        <f>IF(V24&lt;&gt;"SÍ","",IF(BO24=0,"NO ALCANZA",BO24&amp;" No. "&amp;BN24&amp;IF(BO24&gt;1," corridas"," corrida")))</f>
        <v/>
      </c>
      <c r="DY24" s="69" t="str">
        <f>IF(V24&lt;&gt;"SÍ","",IF(BW24=0,"NO ALCANZA",IF(AND(C24="VOLADO",AD24&gt;DATOS!$C$83,BW24&gt;=2),"1 No. "&amp;BV24&amp;" corrida de la orilla al respaldo ("&amp;IF(DC24&gt;=FLOOR(100*IF(ISNUMBER(P24),P24,Y24)-DATOS!$C$63,5),"hasta su apoyo lejano, con gancho","entra "&amp;TEXT(DC24/100,"0.00")&amp;" m desde el paño")&amp;") + "&amp;(BW24-1)&amp;" bastón No. "&amp;BV24&amp;" hasta "&amp;TEXT(DU24/100,"0.00")&amp;" m del paño (fin de la nervadura ancha)",IF(C24="VOLADO",BW24&amp;" No. "&amp;BV24&amp;" de la orilla al respaldo ("&amp;IF(DC24&gt;=FLOOR(100*IF(ISNUMBER(P24),P24,Y24)-DATOS!$C$63,5),"hasta su apoyo lejano, con gancho","entran "&amp;TEXT(DC24/100,"0.00")&amp;" m desde el paño")&amp;")","1 No. "&amp;BV24&amp;" corrida"&amp;IF(BW24&gt;1," + "&amp;(BW24-1)&amp;" bastón No. "&amp;BV24&amp;" L = "&amp;TEXT(DC24/100,"0.00")&amp;" m desde el paño","")))))</f>
        <v/>
      </c>
      <c r="DZ24" s="69" t="str">
        <f>IF(V24&lt;&gt;"SÍ","",IF(CE24=0,"NO ALCANZA",CE24&amp;" No. "&amp;CD24&amp;IF(CE24&gt;1," corridas"," corrida")))</f>
        <v/>
      </c>
      <c r="EA24" s="69" t="str">
        <f>IF(V24&lt;&gt;"SÍ","",IF(CM24=0,"NO ALCANZA",IF(C24="VOLADO","1 No. "&amp;CL24&amp;" corrida (repartición)","1 No. "&amp;CL24&amp;" corrida"&amp;IF(CM24&gt;1," + "&amp;(CM24-1)&amp;" bastón No. "&amp;CL24&amp;" L = "&amp;TEXT(DD24/100,"0.00")&amp;" m desde el paño",""))))</f>
        <v/>
      </c>
      <c r="EB24" s="67" t="str">
        <f>IF(B24="","",IF(V24&lt;&gt;"SÍ","FALTAN DATOS: tipo, a_x, a_y, destino y, en volados, L_b",IF(L24="NO MONOLÍTICO (caso II)","FUERA DE ALCANCE: caso II no transcrito",IF(AND(C24="VOLADO",W24="?"),"REVISAR: el volado lleva UN solo borde CONTINUO (el empotrado)",IF(MIN(DH24,DI24)=0,"REVISAR: no cabe un casetón (tablero macizo): diséñalo en MACIZAS",IF(AND(MAX(BR24,BZ24,CH24,CP24)&lt;=1,NOT(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T(OR(AND(ISNUMBER(BS24),BS24&lt;0.005),AND(ISNUMBER(CA24),CA24&lt;0.005),AND(ISNUMBER(CI24),CI24&lt;0.005),AND(ISNUMBER(CQ24),CQ24&lt;0.005))),NOT(LEFT(DW24,2)="NO"),DA24="CUMPLE",DB24="CUMPLE",LEFT(CU24,2)&lt;&gt;"NO",LEFT(DATOS!$C$132,6)="CUMPLE"),IF(LEFT(CU24,6)="CUMPLE","CUMPLE","CUMPLE — "&amp;CU24)&amp;IF(LEFT(BK24,5)="FUERA"," · fuera de 3.4.2.1 c)","")&amp;IF(LEFT(DG24,2)="NO"," · REVISAR anclaje en borde discontinuo","")&amp;IF(DV24&gt;0," · respaldo: "&amp;DV24&amp;" hilera(s) de b_w "&amp;AD24&amp;" cm",""),IF(AND(MAX(BR24,BZ24,CH24,CP24)&lt;=1,NOT(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T(OR(AND(ISNUMBER(BS24),BS24&lt;0.005),AND(ISNUMBER(CA24),CA24&lt;0.005),AND(ISNUMBER(CI24),CI24&lt;0.005),AND(ISNUMBER(CQ24),CQ24&lt;0.005))),NOT(LEFT(DW24,2)="NO"),DA24="CALCULAR FLECHA",LEFT(CU24,2)&lt;&gt;"NO",LEFT(DATOS!$C$132,6)="CUMPLE"),"REVISAR: calcular flecha (h_eq &lt; h mín.)"&amp;IF(LEFT(BK24,5)="FUERA"," · fuera de 3.4.2.1 c)","")&amp;IF(LEFT(DG24,2)="NO"," · REVISAR anclaje en borde discontinuo","")&amp;IF(DV24&gt;0," · respaldo: "&amp;DV24&amp;" hilera(s) de b_w "&amp;AD24&amp;" cm",""),"NO CUMPLE: "&amp;IF(MAX(BR24,BZ24,CH24,CP24)&gt;1,"flexión ","")&amp;IF(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 caben ","")&amp;IF(OR(AND(ISNUMBER(BS24),BS24&lt;0.005),AND(ISNUMBER(CA24),CA24&lt;0.005),AND(ISNUMBER(CI24),CI24&lt;0.005),AND(ISNUMBER(CQ24),CQ24&lt;0.005)),"ε_t &lt; 0.005 ","")&amp;IF(LEFT(CU24,2)="NO","cortante ","")&amp;IF(DA24="NO CUMPLE","peralte ","")&amp;IF(DB24&lt;&gt;"CUMPLE","capa &lt; 6 cm ","")&amp;IF(LEFT(DATOS!$C$132,6)&lt;&gt;"CUMPLE","capa o malla (DATOS sección 7) ","")&amp;IF(LEFT(DW24,2)="NO","respaldo del volado",""))))))))</f>
        <v/>
      </c>
      <c r="EC24" s="70" t="str">
        <f>IF(V24&lt;&gt;"SÍ","",IF(LEFT(B24,7)="EJEMPLO","EJEMPLO de la hoja de Casa Rocha: bórralo o sobrescríbelo. ","")&amp;IF(AND(C24="PERIMETRAL",MIN(DH24,DI24)=0),"No cabe un casetón en el claro corto: es un tablero macizo, diséñalo en MACIZAS. ","")&amp;IF(AND(AJ24="NO",C24="PERIMETRAL"),"No cumple 6.7.8.1.4 (a_c = "&amp;MAX(DATOS!$C$81,AE24)&amp;" cm &gt; claro corto/6 = "&amp;TEXT(Y24*100/6,"0")&amp;" cm): se diseña como losa apoyada en vigas (6.7.8.1.9): r de viga = "&amp;DATOS!$C$63&amp;" cm y V_cR sin ×1.1. Para que cuente como encasetonada: casetón de "&amp;TEXT(FLOOR(MIN(80,Y24*100/6),1),"0")&amp;" cm o menor. ","")&amp;IF(C24="VOLADO","Volado de "&amp;TEXT(Y24,"0.00")&amp;" m empotrado en el borde "&amp;LOWER(W24)&amp;IF(N(O24)&gt;0,", con "&amp;TEXT(O24,"0.0")&amp;" kg/m en la orilla","")&amp;". Lecho inferior con r_ext. Si la orilla carga pretil u otro elemento frágil, calcula la flecha (13.4). El acero superior entra al respaldo de "&amp;TEXT(IF(ISNUMBER(P24),P24,Y24),"0.00")&amp;" m"&amp;" hasta pasar M = 0 con 0.9·PP sin carga viva; si ahí no se anula, llega al apoyo lejano y se ancla con gancho (NTC-Criterios 3.4.1 c y 5.1.2.2). "&amp;IF(AD24&gt;DATOS!$C$83,"Respaldo: "&amp;DW24&amp;". ",""),"")&amp;IF(AND(C24="VOLADO",((0.9*DATOS!$C$90*DATOS!$C$86/100/1000)*IF(ISNUMBER(P24),P24,Y24)/2-BH24/IF(ISNUMBER(P24),P24,Y24))&lt;0),"Con 0.9·PP y sin carga viva el apoyo lejano del respaldo levanta (R = "&amp;TEXT(-((0.9*DATOS!$C$90*DATOS!$C$86/100/1000)*IF(ISNUMBER(P24),P24,Y24)/2-BH24/IF(ISNUMBER(P24),P24,Y24)),"0.00")&amp;" t por nervadura): ancla ahí la corrida con gancho y revisa ese apoyo a tensión. ","")&amp;IF(LEFT(BK24,5)="FUERA","El M⁻ del vecino difiere más de 50 % (3.4.2.1 c): distribuye el desequilibrio (3.4.3.1) o confirma con un modelo; se arma con el mayor. ","")&amp;IF(OR(DE24="SÍ",DF24="SÍ"),"El M⁻ del borde discontinuo pide bastón también ahí (con gancho). ","")&amp;IF(LEFT(DG24,2)="NO","Anclaje: "&amp;DG24&amp;" (6.7.8.1.7). ","")&amp;IF(AND(C24="PERIMETRAL",AT24&gt;=1,AS24-AT24&gt;=1),"Esquinas exteriores sobre muro: refuerzo de esquina arriba y abajo en L_largo/5 (6.7.7.3.1). ",""))</f>
        <v/>
      </c>
    </row>
    <row r="25" ht="33" customHeight="1">
      <c r="A25" s="50">
        <f>IF(B25="",0,1)+A24</f>
        <v>4</v>
      </c>
      <c r="B25" s="29" t="n"/>
      <c r="C25" s="51" t="n"/>
      <c r="D25" s="29" t="n"/>
      <c r="E25" s="52" t="n"/>
      <c r="F25" s="52" t="n"/>
      <c r="G25" s="51" t="n"/>
      <c r="H25" s="51" t="n"/>
      <c r="I25" s="51" t="n"/>
      <c r="J25" s="51" t="n"/>
      <c r="K25" s="51" t="n"/>
      <c r="L25" s="51" t="n"/>
      <c r="M25" s="53" t="n"/>
      <c r="N25" s="53" t="n"/>
      <c r="O25" s="54" t="n"/>
      <c r="P25" s="52" t="n"/>
      <c r="Q25" s="52" t="n"/>
      <c r="R25" s="53" t="n"/>
      <c r="S25" s="54" t="n"/>
      <c r="T25" s="52" t="n"/>
      <c r="U25" s="52" t="n"/>
      <c r="V25" s="55" t="str">
        <f>IF(B25="","",IF(AND(OR(C25="PERIMETRAL",C25="VOLADO"),ISNUMBER(E25),ISNUMBER(F25),E25&gt;0,F25&gt;0,OR(ISNUMBER(N25),ISNUMBER(MATCH(D25,DATOS!$B$46:$B$58,0))),OR(C25&lt;&gt;"VOLADO",N(P25)&gt;0)),"SÍ","NO"))</f>
        <v/>
      </c>
      <c r="W25" s="55" t="str">
        <f>IF(V25&lt;&gt;"SÍ","",IF(C25&lt;&gt;"VOLADO","—",IF(COUNTIF(G25:J25,"CONTINUO")&lt;&gt;1,"?",IF(G25="CONTINUO","INFERIOR",IF(H25="CONTINUO","SUPERIOR",IF(I25="CONTINUO","IZQUIERDO","DERECHO"))))))</f>
        <v/>
      </c>
      <c r="X25" s="55" t="str">
        <f>IF(V25&lt;&gt;"SÍ","",IF(C25="VOLADO",IF(OR(W25="IZQUIERDO",W25="DERECHO"),"X","Y"),IF(E25&lt;=F25,"X","Y")))</f>
        <v/>
      </c>
      <c r="Y25" s="56" t="str">
        <f>IF(V25&lt;&gt;"SÍ","",IF(C25="VOLADO",IF(X25="X",E25,F25),MIN(E25,F25)))</f>
        <v/>
      </c>
      <c r="Z25" s="56" t="str">
        <f>IF(V25&lt;&gt;"SÍ","",IF(C25="VOLADO",IF(X25="X",F25,E25),MAX(E25,F25)))</f>
        <v/>
      </c>
      <c r="AA25" s="56" t="str">
        <f>IF(V25&lt;&gt;"SÍ","",MIN(Y25,Z25)/MAX(Y25,Z25))</f>
        <v/>
      </c>
      <c r="AB25" s="57" t="str">
        <f>IF(V25&lt;&gt;"SÍ","",MAX(1,Y25*100-IF(C25="VOLADO",DATOS!$C$87/2,DATOS!$C$87)))</f>
        <v/>
      </c>
      <c r="AC25" s="57" t="str">
        <f>IF(V25&lt;&gt;"SÍ","",MAX(1,Z25*100-DATOS!$C$87))</f>
        <v/>
      </c>
      <c r="AD25" s="57" t="str">
        <f>IF(V25&lt;&gt;"SÍ","",IF(ISNUMBER(R25),R25,DATOS!$C$83))</f>
        <v/>
      </c>
      <c r="AE25" s="57" t="str">
        <f>IF(V25&lt;&gt;"SÍ","",MAX(0,DATOS!$C$86-AD25))</f>
        <v/>
      </c>
      <c r="AF25" s="57" t="str">
        <f>IF(V25&lt;&gt;"SÍ","",IF(OR(DATOS!$C$65="SÍ",AD25&gt;=20),AD25,AD25-2))</f>
        <v/>
      </c>
      <c r="AG25" s="57" t="str">
        <f>IF(V25&lt;&gt;"SÍ","",IF(OR(DATOS!$C$65="SÍ",DATOS!$C$83&gt;=20),DATOS!$C$83,DATOS!$C$83-2))</f>
        <v/>
      </c>
      <c r="AH25" s="57" t="str">
        <f>IF(V25&lt;&gt;"SÍ","",MIN(DATOS!$C$86,AD25+2*MIN(8*DATOS!$C$84,AE25/2,AB25/8)))</f>
        <v/>
      </c>
      <c r="AI25" s="57" t="str">
        <f>IF(V25&lt;&gt;"SÍ","",MIN(DATOS!$C$86,DATOS!$C$83+2*MIN(8*DATOS!$C$84,DATOS!$C$81/2,AC25/8)))</f>
        <v/>
      </c>
      <c r="AJ25" s="55" t="str">
        <f>IF(V25&lt;&gt;"SÍ","",IF(AND(C25="PERIMETRAL",Y25*100&gt;=6*MAX(DATOS!$C$81,AE25),MAX(DATOS!$C$81,AE25)&lt;=80,MIN(DATOS!$C$83,AD25)&gt;=10,DATOS!$C$85&lt;=3.5*MIN(DATOS!$C$83,AD25),DATOS!$C$84&gt;=MAX(MAX(DATOS!$C$81,AE25)/13,5)),"SÍ","NO"))</f>
        <v/>
      </c>
      <c r="AK25" s="57" t="str">
        <f>IF(V25&lt;&gt;"SÍ","",IF(C25="VOLADO",DATOS!$C$64,IF(AJ25="NO",DATOS!$C$63,DATOS!$C$62)))</f>
        <v/>
      </c>
      <c r="AL25" s="57" t="str">
        <f>IF(V25&lt;&gt;"SÍ","",IF(OR(AND(AN25="SÍ",DATOS!$C$66="SÍ"),AND(C25="VOLADO",DATOS!$C$67="SÍ")),DATOS!$C$64,IF(AJ25="NO",DATOS!$C$63,DATOS!$C$62)))</f>
        <v/>
      </c>
      <c r="AM25" s="58" t="str">
        <f>IF(V25&lt;&gt;"SÍ","",MAX(AL25,(DATOS!$C$84-2*DATOS!$C$97)/2))</f>
        <v/>
      </c>
      <c r="AN25" s="55" t="str">
        <f>IF(V25&lt;&gt;"SÍ","",IFERROR(INDEX(DATOS!$D$46:$D$58,MATCH(D25,DATOS!$B$46:$B$58,0)),"NO"))</f>
        <v/>
      </c>
      <c r="AO25" s="59" t="str">
        <f>IF(V25&lt;&gt;"SÍ","",IF(ISNUMBER(N25),N25,IFERROR(INDEX(DATOS!$C$46:$C$58,MATCH(D25,DATOS!$B$46:$B$58,0)),0)))</f>
        <v/>
      </c>
      <c r="AP25" s="59" t="str">
        <f>IF(V25&lt;&gt;"SÍ","",IF(MIN(DH25,DI25)=0,DATOS!$C$85/100*DATOS!$C$16*1000,(DATOS!$C$85/100-(AE25*DATOS!$C$81/DATOS!$C$86^2)*DATOS!$C$82/100)*DATOS!$C$16*1000+(AE25*DATOS!$C$81/DATOS!$C$86^2)*DATOS!$C$82/100*DATOS!$C$17*1000)+DATOS!$C$37+DATOS!$C$38)</f>
        <v/>
      </c>
      <c r="AQ25" s="59" t="str">
        <f>IF(V25&lt;&gt;"SÍ","",AP25+N(M25))</f>
        <v/>
      </c>
      <c r="AR25" s="60" t="str">
        <f>IF(V25&lt;&gt;"SÍ","",MAX(DATOS!$C$26*AQ25+DATOS!$C$27*AO25,IF(AN25="SÍ",DATOS!$C$28*(AQ25+DATOS!$C$41),0)))</f>
        <v/>
      </c>
      <c r="AS25" s="59" t="str">
        <f>IF(V25&lt;&gt;"SÍ","",(G25="DISCONTINUO")+(H25="DISCONTINUO")+(I25="DISCONTINUO")+(J25="DISCONTINUO"))</f>
        <v/>
      </c>
      <c r="AT25" s="59" t="str">
        <f>IF(V25&lt;&gt;"SÍ","",IF(X25="X",(G25="DISCONTINUO")+(H25="DISCONTINUO"),(I25="DISCONTINUO")+(J25="DISCONTINUO")))</f>
        <v/>
      </c>
      <c r="AU25" s="55" t="str">
        <f>IF(V25&lt;&gt;"SÍ","",IF(AS25=0,"INTERIOR",IF(AS25=1,IF(AT25=1,"BORDE-CORTO","BORDE-LARGO"),IF(AS25=2,IF(AT25=1,"ESQUINA",IF(AT25=2,"EXTREMO-LARGO","EXTREMO-CORTO")),IF(AS25=3,IF(AT25=2,"EXTREMO-LARGO","EXTREMO-CORTO"),"AISLADO")))))</f>
        <v/>
      </c>
      <c r="AV25" s="61" t="str">
        <f>IF(V25&lt;&gt;"SÍ","",IF(OR(K25="",K25="AUTO"),AU25,K25))</f>
        <v/>
      </c>
      <c r="AW25" s="59" t="str">
        <f>IF(V25&lt;&gt;"SÍ","",MATCH(AA25,TABLAS!$D$5:$J$5,1))</f>
        <v/>
      </c>
      <c r="AX25" s="58" t="str">
        <f>IF(V25&lt;&gt;"SÍ","",IF(AW25&gt;=7,0,(AA25-INDEX(TABLAS!$D$5:$J$5,AW25))/(INDEX(TABLAS!$D$5:$J$5,AW25+1)-INDEX(TABLAS!$D$5:$J$5,AW25))))</f>
        <v/>
      </c>
      <c r="AY25" s="59" t="str">
        <f>IF(V25&lt;&gt;"SÍ","",INDEX(TABLAS!$D$6:$J$47,MATCH(AV25&amp;"|NIC",TABLAS!$B$6:$B$47,0),AW25)+AX25*(INDEX(TABLAS!$D$6:$J$47,MATCH(AV25&amp;"|NIC",TABLAS!$B$6:$B$47,0),MIN(AW25+1,7))-INDEX(TABLAS!$D$6:$J$47,MATCH(AV25&amp;"|NIC",TABLAS!$B$6:$B$47,0),AW25)))</f>
        <v/>
      </c>
      <c r="AZ25" s="59" t="str">
        <f>IF(V25&lt;&gt;"SÍ","",INDEX(TABLAS!$D$6:$J$47,MATCH(AV25&amp;"|NIL",TABLAS!$B$6:$B$47,0),AW25)+AX25*(INDEX(TABLAS!$D$6:$J$47,MATCH(AV25&amp;"|NIL",TABLAS!$B$6:$B$47,0),MIN(AW25+1,7))-INDEX(TABLAS!$D$6:$J$47,MATCH(AV25&amp;"|NIL",TABLAS!$B$6:$B$47,0),AW25)))</f>
        <v/>
      </c>
      <c r="BA25" s="59" t="str">
        <f>IF(V25&lt;&gt;"SÍ","",INDEX(TABLAS!$D$6:$J$47,MATCH(AV25&amp;"|NDC",TABLAS!$B$6:$B$47,0),AW25)+AX25*(INDEX(TABLAS!$D$6:$J$47,MATCH(AV25&amp;"|NDC",TABLAS!$B$6:$B$47,0),MIN(AW25+1,7))-INDEX(TABLAS!$D$6:$J$47,MATCH(AV25&amp;"|NDC",TABLAS!$B$6:$B$47,0),AW25)))</f>
        <v/>
      </c>
      <c r="BB25" s="59" t="str">
        <f>IF(V25&lt;&gt;"SÍ","",INDEX(TABLAS!$D$6:$J$47,MATCH(AV25&amp;"|NDL",TABLAS!$B$6:$B$47,0),AW25)+AX25*(INDEX(TABLAS!$D$6:$J$47,MATCH(AV25&amp;"|NDL",TABLAS!$B$6:$B$47,0),MIN(AW25+1,7))-INDEX(TABLAS!$D$6:$J$47,MATCH(AV25&amp;"|NDL",TABLAS!$B$6:$B$47,0),AW25)))</f>
        <v/>
      </c>
      <c r="BC25" s="59" t="str">
        <f>IF(V25&lt;&gt;"SÍ","",INDEX(TABLAS!$D$6:$J$47,MATCH(AV25&amp;"|PC",TABLAS!$B$6:$B$47,0),AW25)+AX25*(INDEX(TABLAS!$D$6:$J$47,MATCH(AV25&amp;"|PC",TABLAS!$B$6:$B$47,0),MIN(AW25+1,7))-INDEX(TABLAS!$D$6:$J$47,MATCH(AV25&amp;"|PC",TABLAS!$B$6:$B$47,0),AW25)))</f>
        <v/>
      </c>
      <c r="BD25" s="59" t="str">
        <f>IF(V25&lt;&gt;"SÍ","",INDEX(TABLAS!$D$6:$J$47,MATCH(AV25&amp;"|PL",TABLAS!$B$6:$B$47,0),AW25)+AX25*(INDEX(TABLAS!$D$6:$J$47,MATCH(AV25&amp;"|PL",TABLAS!$B$6:$B$47,0),MIN(AW25+1,7))-INDEX(TABLAS!$D$6:$J$47,MATCH(AV25&amp;"|PL",TABLAS!$B$6:$B$47,0),AW25)))</f>
        <v/>
      </c>
      <c r="BE25" s="56" t="str">
        <f>IF(V25&lt;&gt;"SÍ","",IF(OR(C25&lt;&gt;"VOLADO",MIN(DH25,DI25)=0),0,DATOS!$C$26*DATOS!$C$16*DATOS!$C$86/100*(((AE25*DATOS!$C$81/DATOS!$C$86^2)*DATOS!$C$82/100)*(IF(X25="X",DJ25,DL25)+DATOS!$C$87/2)/100*(AB25-(IF(X25="X",DJ25,DL25)+DATOS!$C$87/2)/2)/100+((AE25*DATOS!$C$81/DATOS!$C$86^2)*DATOS!$C$82/100)*IF(X25="X",DJ25,DL25)/100*IF(X25="X",DJ25,DL25)/200)))</f>
        <v/>
      </c>
      <c r="BF25" s="56" t="str">
        <f>IF(V25&lt;&gt;"SÍ","",IF(OR(C25&lt;&gt;"VOLADO",MIN(DH25,DI25)=0),0,DATOS!$C$26*DATOS!$C$16*DATOS!$C$86/100*((AE25*DATOS!$C$81/DATOS!$C$86^2)*DATOS!$C$82/100)*(IF(X25="X",DJ25,DL25)+DATOS!$C$87/2)/100))</f>
        <v/>
      </c>
      <c r="BG25" s="56" t="str">
        <f>IF(V25&lt;&gt;"SÍ","",IF(C25="PERIMETRAL",BC25*AR25*Y25^2*1E-4*DATOS!$C$86/100/1000,0))</f>
        <v/>
      </c>
      <c r="BH25" s="62" t="str">
        <f>IF(V25&lt;&gt;"SÍ","",IF(C25="PERIMETRAL",MAX(MAX(AY25,BA25)*AR25*Y25^2*1E-4*DATOS!$C$86/100/1000,N(T25)),(AR25*(AB25/100)^2/2+DATOS!$C$26*N(O25)*AB25/100)*DATOS!$C$86/100/1000+BE25))</f>
        <v/>
      </c>
      <c r="BI25" s="56" t="str">
        <f>IF(V25&lt;&gt;"SÍ","",IF(C25="PERIMETRAL",BD25*AR25*Y25^2*1E-4*DATOS!$C$86/100/1000,0))</f>
        <v/>
      </c>
      <c r="BJ25" s="56" t="str">
        <f>IF(V25&lt;&gt;"SÍ","",IF(C25="PERIMETRAL",MAX(MAX(AZ25,BB25)*AR25*Y25^2*1E-4*DATOS!$C$86/100/1000,N(U25)),0))</f>
        <v/>
      </c>
      <c r="BK25" s="63" t="str">
        <f>IF(V25&lt;&gt;"SÍ","",IF(C25&lt;&gt;"PERIMETRAL","—",IF(AND(N(T25)=0,N(U25)=0),"— (sin M⁻ del vecino)",IF(OR(AND(N(T25)&gt;0,ABS(MAX(AY25,BA25)*AR25*Y25^2*1E-4*DATOS!$C$86/100/1000-N(T25))&gt;0.5*MIN(MAX(AY25,BA25)*AR25*Y25^2*1E-4*DATOS!$C$86/100/1000,N(T25))),AND(N(U25)&gt;0,ABS(MAX(AZ25,BB25)*AR25*Y25^2*1E-4*DATOS!$C$86/100/1000-N(U25))&gt;0.5*MIN(MAX(AZ25,BB25)*AR25*Y25^2*1E-4*DATOS!$C$86/100/1000,N(U25)))),"FUERA: difieren &gt; 50 %"&amp;IF(AND(N(T25)&gt;0,ABS(MAX(AY25,BA25)*AR25*Y25^2*1E-4*DATOS!$C$86/100/1000-N(T25))&gt;0.5*MIN(MAX(AY25,BA25)*AR25*Y25^2*1E-4*DATOS!$C$86/100/1000,N(T25)))," ‖ corto","")&amp;IF(AND(N(U25)&gt;0,ABS(MAX(AZ25,BB25)*AR25*Y25^2*1E-4*DATOS!$C$86/100/1000-N(U25))&gt;0.5*MIN(MAX(AZ25,BB25)*AR25*Y25^2*1E-4*DATOS!$C$86/100/1000,N(U25)))," ‖ largo",""),"CUMPLE"))))</f>
        <v/>
      </c>
      <c r="BL25" s="58" t="str">
        <f>IF(V25&lt;&gt;"SÍ","",(DATOS!$C$85-AK25-INDEX(TABLAS!$C$52:$C$58,MATCH(MAX(4,DATOS!$C$71),TABLAS!$B$52:$B$58,0))/2))</f>
        <v/>
      </c>
      <c r="BM25" s="58" t="str">
        <f>IF(V25&lt;&gt;"SÍ","",IF(IF(BG25&lt;=0,0,IF((1-2*BG25*1E5/(DATOS!$C$29*AH25*BL25^2*DATOS!$C$21))&lt;0,-1,IF((1-SQRT((1-2*BG25*1E5/(DATOS!$C$29*AH25*BL25^2*DATOS!$C$21))))*DATOS!$C$21*AH25*BL25/DATOS!$C$14&gt;DATOS!$C$102*AH25*BL25,-1,(1-SQRT((1-2*BG25*1E5/(DATOS!$C$29*AH25*BL25^2*DATOS!$C$21))))*DATOS!$C$21*AH25*BL25/DATOS!$C$14)))&lt;0,-1,MAX(IF(BG25&lt;=0,0,IF((1-2*BG25*1E5/(DATOS!$C$29*AH25*BL25^2*DATOS!$C$21))&lt;0,-1,IF((1-SQRT((1-2*BG25*1E5/(DATOS!$C$29*AH25*BL25^2*DATOS!$C$21))))*DATOS!$C$21*AH25*BL25/DATOS!$C$14&gt;DATOS!$C$102*AH25*BL25,-1,(1-SQRT((1-2*BG25*1E5/(DATOS!$C$29*AH25*BL25^2*DATOS!$C$21))))*DATOS!$C$21*AH25*BL25/DATOS!$C$14))),MIN(DATOS!$C$103*AD25*BL25,4/3*IF(BG25&lt;=0,0,IF((1-2*BG25*1E5/(DATOS!$C$29*AH25*BL25^2*DATOS!$C$21))&lt;0,-1,IF((1-SQRT((1-2*BG25*1E5/(DATOS!$C$29*AH25*BL25^2*DATOS!$C$21))))*DATOS!$C$21*AH25*BL25/DATOS!$C$14&gt;DATOS!$C$102*AH25*BL25,-1,(1-SQRT((1-2*BG25*1E5/(DATOS!$C$29*AH25*BL25^2*DATOS!$C$21))))*DATOS!$C$21*AH25*BL25/DATOS!$C$14)))))))</f>
        <v/>
      </c>
      <c r="BN25" s="64" t="str">
        <f>IF(V25&lt;&gt;"SÍ","",IF(AND(BM25&gt;=0,IF(MAX(DATOS!$C$74,CEILING(BM25/INDEX(TABLAS!$D$52:$D$58,MIN(MATCH(MAX(4,DATOS!$C$71),TABLAS!$B$52:$B$58,0)+0,7)),1))*INDEX(TABLAS!$D$52:$D$58,MIN(MATCH(MAX(4,DATOS!$C$71),TABLAS!$B$52:$B$58,0)+0,7)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+0,7)),1)),MAX(MAX(DATOS!$C$74,CEILING(BM25/INDEX(TABLAS!$D$52:$D$58,MIN(MATCH(MAX(4,DATOS!$C$71),TABLAS!$B$52:$B$58,0)+0,7)),1)),2))&lt;=MIN(DATOS!$C$73,INT(((AD25-2*AK25)+MAX(DATOS!$C$70,INDEX(TABLAS!$C$52:$C$58,MIN(MATCH(MAX(4,DATOS!$C$71),TABLAS!$B$52:$B$58,0)+0,7))))/(INDEX(TABLAS!$C$52:$C$58,MIN(MATCH(MAX(4,DATOS!$C$71),TABLAS!$B$52:$B$58,0)+0,7))+MAX(DATOS!$C$70,INDEX(TABLAS!$C$52:$C$58,MIN(MATCH(MAX(4,DATOS!$C$71),TABLAS!$B$52:$B$58,0)+0,7))))))),INDEX(TABLAS!$B$52:$B$58,MIN(MATCH(MAX(4,DATOS!$C$71),TABLAS!$B$52:$B$58,0)+0,7)),IF(AND(BM25&gt;=0,IF(MAX(DATOS!$C$74,CEILING(BM25/INDEX(TABLAS!$D$52:$D$58,MIN(MATCH(MAX(4,DATOS!$C$71),TABLAS!$B$52:$B$58,0)+1,7)),1))*INDEX(TABLAS!$D$52:$D$58,MIN(MATCH(MAX(4,DATOS!$C$71),TABLAS!$B$52:$B$58,0)+1,7)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+1,7)),1)),MAX(MAX(DATOS!$C$74,CEILING(BM25/INDEX(TABLAS!$D$52:$D$58,MIN(MATCH(MAX(4,DATOS!$C$71),TABLAS!$B$52:$B$58,0)+1,7)),1)),2))&lt;=MIN(DATOS!$C$73,INT(((AD25-2*AK25)+MAX(DATOS!$C$70,INDEX(TABLAS!$C$52:$C$58,MIN(MATCH(MAX(4,DATOS!$C$71),TABLAS!$B$52:$B$58,0)+1,7))))/(INDEX(TABLAS!$C$52:$C$58,MIN(MATCH(MAX(4,DATOS!$C$71),TABLAS!$B$52:$B$58,0)+1,7))+MAX(DATOS!$C$70,INDEX(TABLAS!$C$52:$C$58,MIN(MATCH(MAX(4,DATOS!$C$71),TABLAS!$B$52:$B$58,0)+1,7))))))),INDEX(TABLAS!$B$52:$B$58,MIN(MATCH(MAX(4,DATOS!$C$71),TABLAS!$B$52:$B$58,0)+1,7)),IF(AND(BM25&gt;=0,IF(MAX(DATOS!$C$74,CEILING(BM25/INDEX(TABLAS!$D$52:$D$58,MIN(MATCH(MAX(4,DATOS!$C$71),TABLAS!$B$52:$B$58,0)+2,7)),1))*INDEX(TABLAS!$D$52:$D$58,MIN(MATCH(MAX(4,DATOS!$C$71),TABLAS!$B$52:$B$58,0)+2,7)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+2,7)),1)),MAX(MAX(DATOS!$C$74,CEILING(BM25/INDEX(TABLAS!$D$52:$D$58,MIN(MATCH(MAX(4,DATOS!$C$71),TABLAS!$B$52:$B$58,0)+2,7)),1)),2))&lt;=MIN(DATOS!$C$73,INT(((AD25-2*AK25)+MAX(DATOS!$C$70,INDEX(TABLAS!$C$52:$C$58,MIN(MATCH(MAX(4,DATOS!$C$71),TABLAS!$B$52:$B$58,0)+2,7))))/(INDEX(TABLAS!$C$52:$C$58,MIN(MATCH(MAX(4,DATOS!$C$71),TABLAS!$B$52:$B$58,0)+2,7))+MAX(DATOS!$C$70,INDEX(TABLAS!$C$52:$C$58,MIN(MATCH(MAX(4,DATOS!$C$71),TABLAS!$B$52:$B$58,0)+2,7))))))),INDEX(TABLAS!$B$52:$B$58,MIN(MATCH(MAX(4,DATOS!$C$71),TABLAS!$B$52:$B$58,0)+2,7)),IF(AND(BM25&gt;=0,IF(MAX(DATOS!$C$74,CEILING(BM25/INDEX(TABLAS!$D$52:$D$58,MIN(MATCH(MAX(4,DATOS!$C$71),TABLAS!$B$52:$B$58,0)+3,7)),1))*INDEX(TABLAS!$D$52:$D$58,MIN(MATCH(MAX(4,DATOS!$C$71),TABLAS!$B$52:$B$58,0)+3,7)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+3,7)),1)),MAX(MAX(DATOS!$C$74,CEILING(BM25/INDEX(TABLAS!$D$52:$D$58,MIN(MATCH(MAX(4,DATOS!$C$71),TABLAS!$B$52:$B$58,0)+3,7)),1)),2))&lt;=MIN(DATOS!$C$73,INT(((AD25-2*AK25)+MAX(DATOS!$C$70,INDEX(TABLAS!$C$52:$C$58,MIN(MATCH(MAX(4,DATOS!$C$71),TABLAS!$B$52:$B$58,0)+3,7))))/(INDEX(TABLAS!$C$52:$C$58,MIN(MATCH(MAX(4,DATOS!$C$71),TABLAS!$B$52:$B$58,0)+3,7))+MAX(DATOS!$C$70,INDEX(TABLAS!$C$52:$C$58,MIN(MATCH(MAX(4,DATOS!$C$71),TABLAS!$B$52:$B$58,0)+3,7))))))),INDEX(TABLAS!$B$52:$B$58,MIN(MATCH(MAX(4,DATOS!$C$71),TABLAS!$B$52:$B$58,0)+3,7)),IF(AND(BM25&gt;=0,IF(MAX(DATOS!$C$74,CEILING(BM25/INDEX(TABLAS!$D$52:$D$58,MIN(MATCH(MAX(4,DATOS!$C$71),TABLAS!$B$52:$B$58,0)+4,7)),1))*INDEX(TABLAS!$D$52:$D$58,MIN(MATCH(MAX(4,DATOS!$C$71),TABLAS!$B$52:$B$58,0)+4,7)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+4,7)),1)),MAX(MAX(DATOS!$C$74,CEILING(BM25/INDEX(TABLAS!$D$52:$D$58,MIN(MATCH(MAX(4,DATOS!$C$71),TABLAS!$B$52:$B$58,0)+4,7)),1)),2))&lt;=MIN(DATOS!$C$73,INT(((AD25-2*AK25)+MAX(DATOS!$C$70,INDEX(TABLAS!$C$52:$C$58,MIN(MATCH(MAX(4,DATOS!$C$71),TABLAS!$B$52:$B$58,0)+4,7))))/(INDEX(TABLAS!$C$52:$C$58,MIN(MATCH(MAX(4,DATOS!$C$71),TABLAS!$B$52:$B$58,0)+4,7))+MAX(DATOS!$C$70,INDEX(TABLAS!$C$52:$C$58,MIN(MATCH(MAX(4,DATOS!$C$71),TABLAS!$B$52:$B$58,0)+4,7))))))),INDEX(TABLAS!$B$52:$B$58,MIN(MATCH(MAX(4,DATOS!$C$71),TABLAS!$B$52:$B$58,0)+4,7)),INDEX(TABLAS!$B$52:$B$58,7)))))))</f>
        <v/>
      </c>
      <c r="BO25" s="59" t="str">
        <f>IF(V25&lt;&gt;"SÍ","",IF(BM25&lt;0,0,IF(MAX(DATOS!$C$74,CEILING(MAX(BM25,0)/INDEX(TABLAS!$D$52:$D$58,MATCH(BN25,TABLAS!$B$52:$B$58,0)),1))*INDEX(TABLAS!$D$52:$D$58,MATCH(BN25,TABLAS!$B$52:$B$58,0))&gt;=4/3*IF(BG25&lt;=0,0,IF((1-2*BG25*1E5/(DATOS!$C$29*AH25*BL25^2*DATOS!$C$21))&lt;0,-1,IF((1-SQRT((1-2*BG25*1E5/(DATOS!$C$29*AH25*BL25^2*DATOS!$C$21))))*DATOS!$C$21*AH25*BL25/DATOS!$C$14&gt;DATOS!$C$102*AH25*BL25,-1,(1-SQRT((1-2*BG25*1E5/(DATOS!$C$29*AH25*BL25^2*DATOS!$C$21))))*DATOS!$C$21*AH25*BL25/DATOS!$C$14)))-0.0001,MAX(DATOS!$C$74,CEILING(MAX(BM25,0)/INDEX(TABLAS!$D$52:$D$58,MATCH(BN25,TABLAS!$B$52:$B$58,0)),1)),MAX(MAX(DATOS!$C$74,CEILING(MAX(BM25,0)/INDEX(TABLAS!$D$52:$D$58,MATCH(BN25,TABLAS!$B$52:$B$58,0)),1)),2))))</f>
        <v/>
      </c>
      <c r="BP25" s="58" t="str">
        <f>IF(V25&lt;&gt;"SÍ","",DATOS!$C$85-AK25-INDEX(TABLAS!$C$52:$C$58,MATCH(BN25,TABLAS!$B$52:$B$58,0))/2)</f>
        <v/>
      </c>
      <c r="BQ25" s="56" t="str">
        <f>IF(V25&lt;&gt;"SÍ","",IF(BO25=0,0,DATOS!$C$29*BO25*INDEX(TABLAS!$D$52:$D$58,MATCH(BN25,TABLAS!$B$52:$B$58,0))*DATOS!$C$14*(BP25-BO25*INDEX(TABLAS!$D$52:$D$58,MATCH(BN25,TABLAS!$B$52:$B$58,0))*DATOS!$C$14/(DATOS!$C$21*AH25)/2)/1E5))</f>
        <v/>
      </c>
      <c r="BR25" s="65" t="str">
        <f>IF(V25&lt;&gt;"SÍ","",IF(BM25&lt;0,9.99,IF(BQ25&gt;0,BG25/BQ25,0)))</f>
        <v/>
      </c>
      <c r="BS25" s="66" t="str">
        <f>IF(V25&lt;&gt;"SÍ","",IF(BO25=0,"—",0.003*(BP25-(BO25*INDEX(TABLAS!$D$52:$D$58,MATCH(BN25,TABLAS!$B$52:$B$58,0))*DATOS!$C$14/(DATOS!$C$21*AH25)/DATOS!$C$22))/(BO25*INDEX(TABLAS!$D$52:$D$58,MATCH(BN25,TABLAS!$B$52:$B$58,0))*DATOS!$C$14/(DATOS!$C$21*AH25)/DATOS!$C$22)))</f>
        <v/>
      </c>
      <c r="BT25" s="58" t="str">
        <f>IF(V25&lt;&gt;"SÍ","",((DATOS!$C$85-AM25-2*DATOS!$C$97-INDEX(TABLAS!$C$52:$C$58,MATCH(MAX(4,DATOS!$C$72),TABLAS!$B$52:$B$58,0))/2)-IF(AND((DATOS!$C$85-AM25-2*DATOS!$C$97-INDEX(TABLAS!$C$52:$C$58,MATCH(MAX(4,DATOS!$C$72),TABLAS!$B$52:$B$58,0))/2)&lt;=20,DATOS!$C$65&lt;&gt;"SÍ"),2,0)))</f>
        <v/>
      </c>
      <c r="BU25" s="58" t="str">
        <f>IF(V25&lt;&gt;"SÍ","",IF(IF(BH25&lt;=0,0,IF((1-2*BH25*1E5/(DATOS!$C$29*AF25*BT25^2*DATOS!$C$21))&lt;0,-1,IF((1-SQRT((1-2*BH25*1E5/(DATOS!$C$29*AF25*BT25^2*DATOS!$C$21))))*DATOS!$C$21*AF25*BT25/DATOS!$C$14&gt;DATOS!$C$102*AF25*BT25,-1,(1-SQRT((1-2*BH25*1E5/(DATOS!$C$29*AF25*BT25^2*DATOS!$C$21))))*DATOS!$C$21*AF25*BT25/DATOS!$C$14)))&lt;0,-1,MAX(IF(BH25&lt;=0,0,IF((1-2*BH25*1E5/(DATOS!$C$29*AF25*BT25^2*DATOS!$C$21))&lt;0,-1,IF((1-SQRT((1-2*BH25*1E5/(DATOS!$C$29*AF25*BT25^2*DATOS!$C$21))))*DATOS!$C$21*AF25*BT25/DATOS!$C$14&gt;DATOS!$C$102*AF25*BT25,-1,(1-SQRT((1-2*BH25*1E5/(DATOS!$C$29*AF25*BT25^2*DATOS!$C$21))))*DATOS!$C$21*AF25*BT25/DATOS!$C$14))),MIN(DATOS!$C$103*IF(C25="VOLADO",MIN(AH25,2*AD25),AD25)*BT25,4/3*IF(BH25&lt;=0,0,IF((1-2*BH25*1E5/(DATOS!$C$29*AF25*BT25^2*DATOS!$C$21))&lt;0,-1,IF((1-SQRT((1-2*BH25*1E5/(DATOS!$C$29*AF25*BT25^2*DATOS!$C$21))))*DATOS!$C$21*AF25*BT25/DATOS!$C$14&gt;DATOS!$C$102*AF25*BT25,-1,(1-SQRT((1-2*BH25*1E5/(DATOS!$C$29*AF25*BT25^2*DATOS!$C$21))))*DATOS!$C$21*AF25*BT25/DATOS!$C$14)))))))</f>
        <v/>
      </c>
      <c r="BV25" s="64" t="str">
        <f>IF(V25&lt;&gt;"SÍ","",IF(AND(BU25&gt;=0,IF(MAX(DATOS!$C$74,CEILING(BU25/INDEX(TABLAS!$D$52:$D$58,MIN(MATCH(MAX(4,DATOS!$C$72),TABLAS!$B$52:$B$58,0)+0,7)),1))*INDEX(TABLAS!$D$52:$D$58,MIN(MATCH(MAX(4,DATOS!$C$72),TABLAS!$B$52:$B$58,0)+0,7)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+0,7)),1)),MAX(MAX(DATOS!$C$74,CEILING(BU25/INDEX(TABLAS!$D$52:$D$58,MIN(MATCH(MAX(4,DATOS!$C$72),TABLAS!$B$52:$B$58,0)+0,7)),1)),2))&lt;=MIN(DATOS!$C$73,INT(((AD25-2*AL25)+MAX(DATOS!$C$70,INDEX(TABLAS!$C$52:$C$58,MIN(MATCH(MAX(4,DATOS!$C$72),TABLAS!$B$52:$B$58,0)+0,7))))/(INDEX(TABLAS!$C$52:$C$58,MIN(MATCH(MAX(4,DATOS!$C$72),TABLAS!$B$52:$B$58,0)+0,7))+MAX(DATOS!$C$70,INDEX(TABLAS!$C$52:$C$58,MIN(MATCH(MAX(4,DATOS!$C$72),TABLAS!$B$52:$B$58,0)+0,7))))))),INDEX(TABLAS!$B$52:$B$58,MIN(MATCH(MAX(4,DATOS!$C$72),TABLAS!$B$52:$B$58,0)+0,7)),IF(AND(BU25&gt;=0,IF(MAX(DATOS!$C$74,CEILING(BU25/INDEX(TABLAS!$D$52:$D$58,MIN(MATCH(MAX(4,DATOS!$C$72),TABLAS!$B$52:$B$58,0)+1,7)),1))*INDEX(TABLAS!$D$52:$D$58,MIN(MATCH(MAX(4,DATOS!$C$72),TABLAS!$B$52:$B$58,0)+1,7)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+1,7)),1)),MAX(MAX(DATOS!$C$74,CEILING(BU25/INDEX(TABLAS!$D$52:$D$58,MIN(MATCH(MAX(4,DATOS!$C$72),TABLAS!$B$52:$B$58,0)+1,7)),1)),2))&lt;=MIN(DATOS!$C$73,INT(((AD25-2*AL25)+MAX(DATOS!$C$70,INDEX(TABLAS!$C$52:$C$58,MIN(MATCH(MAX(4,DATOS!$C$72),TABLAS!$B$52:$B$58,0)+1,7))))/(INDEX(TABLAS!$C$52:$C$58,MIN(MATCH(MAX(4,DATOS!$C$72),TABLAS!$B$52:$B$58,0)+1,7))+MAX(DATOS!$C$70,INDEX(TABLAS!$C$52:$C$58,MIN(MATCH(MAX(4,DATOS!$C$72),TABLAS!$B$52:$B$58,0)+1,7))))))),INDEX(TABLAS!$B$52:$B$58,MIN(MATCH(MAX(4,DATOS!$C$72),TABLAS!$B$52:$B$58,0)+1,7)),IF(AND(BU25&gt;=0,IF(MAX(DATOS!$C$74,CEILING(BU25/INDEX(TABLAS!$D$52:$D$58,MIN(MATCH(MAX(4,DATOS!$C$72),TABLAS!$B$52:$B$58,0)+2,7)),1))*INDEX(TABLAS!$D$52:$D$58,MIN(MATCH(MAX(4,DATOS!$C$72),TABLAS!$B$52:$B$58,0)+2,7)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+2,7)),1)),MAX(MAX(DATOS!$C$74,CEILING(BU25/INDEX(TABLAS!$D$52:$D$58,MIN(MATCH(MAX(4,DATOS!$C$72),TABLAS!$B$52:$B$58,0)+2,7)),1)),2))&lt;=MIN(DATOS!$C$73,INT(((AD25-2*AL25)+MAX(DATOS!$C$70,INDEX(TABLAS!$C$52:$C$58,MIN(MATCH(MAX(4,DATOS!$C$72),TABLAS!$B$52:$B$58,0)+2,7))))/(INDEX(TABLAS!$C$52:$C$58,MIN(MATCH(MAX(4,DATOS!$C$72),TABLAS!$B$52:$B$58,0)+2,7))+MAX(DATOS!$C$70,INDEX(TABLAS!$C$52:$C$58,MIN(MATCH(MAX(4,DATOS!$C$72),TABLAS!$B$52:$B$58,0)+2,7))))))),INDEX(TABLAS!$B$52:$B$58,MIN(MATCH(MAX(4,DATOS!$C$72),TABLAS!$B$52:$B$58,0)+2,7)),IF(AND(BU25&gt;=0,IF(MAX(DATOS!$C$74,CEILING(BU25/INDEX(TABLAS!$D$52:$D$58,MIN(MATCH(MAX(4,DATOS!$C$72),TABLAS!$B$52:$B$58,0)+3,7)),1))*INDEX(TABLAS!$D$52:$D$58,MIN(MATCH(MAX(4,DATOS!$C$72),TABLAS!$B$52:$B$58,0)+3,7)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+3,7)),1)),MAX(MAX(DATOS!$C$74,CEILING(BU25/INDEX(TABLAS!$D$52:$D$58,MIN(MATCH(MAX(4,DATOS!$C$72),TABLAS!$B$52:$B$58,0)+3,7)),1)),2))&lt;=MIN(DATOS!$C$73,INT(((AD25-2*AL25)+MAX(DATOS!$C$70,INDEX(TABLAS!$C$52:$C$58,MIN(MATCH(MAX(4,DATOS!$C$72),TABLAS!$B$52:$B$58,0)+3,7))))/(INDEX(TABLAS!$C$52:$C$58,MIN(MATCH(MAX(4,DATOS!$C$72),TABLAS!$B$52:$B$58,0)+3,7))+MAX(DATOS!$C$70,INDEX(TABLAS!$C$52:$C$58,MIN(MATCH(MAX(4,DATOS!$C$72),TABLAS!$B$52:$B$58,0)+3,7))))))),INDEX(TABLAS!$B$52:$B$58,MIN(MATCH(MAX(4,DATOS!$C$72),TABLAS!$B$52:$B$58,0)+3,7)),IF(AND(BU25&gt;=0,IF(MAX(DATOS!$C$74,CEILING(BU25/INDEX(TABLAS!$D$52:$D$58,MIN(MATCH(MAX(4,DATOS!$C$72),TABLAS!$B$52:$B$58,0)+4,7)),1))*INDEX(TABLAS!$D$52:$D$58,MIN(MATCH(MAX(4,DATOS!$C$72),TABLAS!$B$52:$B$58,0)+4,7)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+4,7)),1)),MAX(MAX(DATOS!$C$74,CEILING(BU25/INDEX(TABLAS!$D$52:$D$58,MIN(MATCH(MAX(4,DATOS!$C$72),TABLAS!$B$52:$B$58,0)+4,7)),1)),2))&lt;=MIN(DATOS!$C$73,INT(((AD25-2*AL25)+MAX(DATOS!$C$70,INDEX(TABLAS!$C$52:$C$58,MIN(MATCH(MAX(4,DATOS!$C$72),TABLAS!$B$52:$B$58,0)+4,7))))/(INDEX(TABLAS!$C$52:$C$58,MIN(MATCH(MAX(4,DATOS!$C$72),TABLAS!$B$52:$B$58,0)+4,7))+MAX(DATOS!$C$70,INDEX(TABLAS!$C$52:$C$58,MIN(MATCH(MAX(4,DATOS!$C$72),TABLAS!$B$52:$B$58,0)+4,7))))))),INDEX(TABLAS!$B$52:$B$58,MIN(MATCH(MAX(4,DATOS!$C$72),TABLAS!$B$52:$B$58,0)+4,7)),INDEX(TABLAS!$B$52:$B$58,7)))))))</f>
        <v/>
      </c>
      <c r="BW25" s="59" t="str">
        <f>IF(V25&lt;&gt;"SÍ","",IF(BU25&lt;0,0,IF(MAX(DATOS!$C$74,CEILING(MAX(BU25,0)/INDEX(TABLAS!$D$52:$D$58,MATCH(BV25,TABLAS!$B$52:$B$58,0)),1))*INDEX(TABLAS!$D$52:$D$58,MATCH(BV25,TABLAS!$B$52:$B$58,0))&gt;=4/3*IF(BH25&lt;=0,0,IF((1-2*BH25*1E5/(DATOS!$C$29*AF25*BT25^2*DATOS!$C$21))&lt;0,-1,IF((1-SQRT((1-2*BH25*1E5/(DATOS!$C$29*AF25*BT25^2*DATOS!$C$21))))*DATOS!$C$21*AF25*BT25/DATOS!$C$14&gt;DATOS!$C$102*AF25*BT25,-1,(1-SQRT((1-2*BH25*1E5/(DATOS!$C$29*AF25*BT25^2*DATOS!$C$21))))*DATOS!$C$21*AF25*BT25/DATOS!$C$14)))-0.0001,MAX(DATOS!$C$74,CEILING(MAX(BU25,0)/INDEX(TABLAS!$D$52:$D$58,MATCH(BV25,TABLAS!$B$52:$B$58,0)),1)),MAX(MAX(DATOS!$C$74,CEILING(MAX(BU25,0)/INDEX(TABLAS!$D$52:$D$58,MATCH(BV25,TABLAS!$B$52:$B$58,0)),1)),2))))</f>
        <v/>
      </c>
      <c r="BX25" s="58" t="str">
        <f>IF(V25&lt;&gt;"SÍ","",((DATOS!$C$85-AM25-2*DATOS!$C$97-INDEX(TABLAS!$C$52:$C$58,MATCH(BV25,TABLAS!$B$52:$B$58,0))/2)-IF(AND((DATOS!$C$85-AM25-2*DATOS!$C$97-INDEX(TABLAS!$C$52:$C$58,MATCH(BV25,TABLAS!$B$52:$B$58,0))/2)&lt;=20,DATOS!$C$65&lt;&gt;"SÍ"),2,0)))</f>
        <v/>
      </c>
      <c r="BY25" s="56" t="str">
        <f>IF(V25&lt;&gt;"SÍ","",IF(BW25=0,0,DATOS!$C$29*BW25*INDEX(TABLAS!$D$52:$D$58,MATCH(BV25,TABLAS!$B$52:$B$58,0))*DATOS!$C$14*(BX25-BW25*INDEX(TABLAS!$D$52:$D$58,MATCH(BV25,TABLAS!$B$52:$B$58,0))*DATOS!$C$14/(DATOS!$C$21*AF25)/2)/1E5))</f>
        <v/>
      </c>
      <c r="BZ25" s="65" t="str">
        <f>IF(V25&lt;&gt;"SÍ","",IF(BU25&lt;0,9.99,IF(BY25&gt;0,BH25/BY25,0)))</f>
        <v/>
      </c>
      <c r="CA25" s="66" t="str">
        <f>IF(V25&lt;&gt;"SÍ","",IF(BW25=0,"—",0.003*(BX25-(BW25*INDEX(TABLAS!$D$52:$D$58,MATCH(BV25,TABLAS!$B$52:$B$58,0))*DATOS!$C$14/(DATOS!$C$21*AF25)/DATOS!$C$22))/(BW25*INDEX(TABLAS!$D$52:$D$58,MATCH(BV25,TABLAS!$B$52:$B$58,0))*DATOS!$C$14/(DATOS!$C$21*AF25)/DATOS!$C$22)))</f>
        <v/>
      </c>
      <c r="CB25" s="58" t="str">
        <f>IF(V25&lt;&gt;"SÍ","",(DATOS!$C$85-AK25-INDEX(TABLAS!$C$52:$C$58,MATCH(MAX(4,DATOS!$C$71),TABLAS!$B$52:$B$58,0))-INDEX(TABLAS!$C$52:$C$58,MATCH(MAX(4,DATOS!$C$71),TABLAS!$B$52:$B$58,0))/2))</f>
        <v/>
      </c>
      <c r="CC25" s="58" t="str">
        <f>IF(V25&lt;&gt;"SÍ","",IF(IF(BI25&lt;=0,0,IF((1-2*BI25*1E5/(DATOS!$C$29*AI25*CB25^2*DATOS!$C$21))&lt;0,-1,IF((1-SQRT((1-2*BI25*1E5/(DATOS!$C$29*AI25*CB25^2*DATOS!$C$21))))*DATOS!$C$21*AI25*CB25/DATOS!$C$14&gt;DATOS!$C$102*AI25*CB25,-1,(1-SQRT((1-2*BI25*1E5/(DATOS!$C$29*AI25*CB25^2*DATOS!$C$21))))*DATOS!$C$21*AI25*CB25/DATOS!$C$14)))&lt;0,-1,MAX(IF(BI25&lt;=0,0,IF((1-2*BI25*1E5/(DATOS!$C$29*AI25*CB25^2*DATOS!$C$21))&lt;0,-1,IF((1-SQRT((1-2*BI25*1E5/(DATOS!$C$29*AI25*CB25^2*DATOS!$C$21))))*DATOS!$C$21*AI25*CB25/DATOS!$C$14&gt;DATOS!$C$102*AI25*CB25,-1,(1-SQRT((1-2*BI25*1E5/(DATOS!$C$29*AI25*CB25^2*DATOS!$C$21))))*DATOS!$C$21*AI25*CB25/DATOS!$C$14))),MIN(DATOS!$C$103*DATOS!$C$83*CB25,4/3*IF(BI25&lt;=0,0,IF((1-2*BI25*1E5/(DATOS!$C$29*AI25*CB25^2*DATOS!$C$21))&lt;0,-1,IF((1-SQRT((1-2*BI25*1E5/(DATOS!$C$29*AI25*CB25^2*DATOS!$C$21))))*DATOS!$C$21*AI25*CB25/DATOS!$C$14&gt;DATOS!$C$102*AI25*CB25,-1,(1-SQRT((1-2*BI25*1E5/(DATOS!$C$29*AI25*CB25^2*DATOS!$C$21))))*DATOS!$C$21*AI25*CB25/DATOS!$C$14)))))))</f>
        <v/>
      </c>
      <c r="CD25" s="64" t="str">
        <f>IF(V25&lt;&gt;"SÍ","",IF(AND(CC25&gt;=0,IF(MAX(DATOS!$C$74,CEILING(CC25/INDEX(TABLAS!$D$52:$D$58,MIN(MATCH(MAX(4,DATOS!$C$71),TABLAS!$B$52:$B$58,0)+0,7)),1))*INDEX(TABLAS!$D$52:$D$58,MIN(MATCH(MAX(4,DATOS!$C$71),TABLAS!$B$52:$B$58,0)+0,7)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+0,7)),1)),MAX(MAX(DATOS!$C$74,CEILING(CC25/INDEX(TABLAS!$D$52:$D$58,MIN(MATCH(MAX(4,DATOS!$C$71),TABLAS!$B$52:$B$58,0)+0,7)),1)),2))&lt;=MIN(DATOS!$C$73,INT(((DATOS!$C$83-2*AK25)+MAX(DATOS!$C$70,INDEX(TABLAS!$C$52:$C$58,MIN(MATCH(MAX(4,DATOS!$C$71),TABLAS!$B$52:$B$58,0)+0,7))))/(INDEX(TABLAS!$C$52:$C$58,MIN(MATCH(MAX(4,DATOS!$C$71),TABLAS!$B$52:$B$58,0)+0,7))+MAX(DATOS!$C$70,INDEX(TABLAS!$C$52:$C$58,MIN(MATCH(MAX(4,DATOS!$C$71),TABLAS!$B$52:$B$58,0)+0,7))))))),INDEX(TABLAS!$B$52:$B$58,MIN(MATCH(MAX(4,DATOS!$C$71),TABLAS!$B$52:$B$58,0)+0,7)),IF(AND(CC25&gt;=0,IF(MAX(DATOS!$C$74,CEILING(CC25/INDEX(TABLAS!$D$52:$D$58,MIN(MATCH(MAX(4,DATOS!$C$71),TABLAS!$B$52:$B$58,0)+1,7)),1))*INDEX(TABLAS!$D$52:$D$58,MIN(MATCH(MAX(4,DATOS!$C$71),TABLAS!$B$52:$B$58,0)+1,7)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+1,7)),1)),MAX(MAX(DATOS!$C$74,CEILING(CC25/INDEX(TABLAS!$D$52:$D$58,MIN(MATCH(MAX(4,DATOS!$C$71),TABLAS!$B$52:$B$58,0)+1,7)),1)),2))&lt;=MIN(DATOS!$C$73,INT(((DATOS!$C$83-2*AK25)+MAX(DATOS!$C$70,INDEX(TABLAS!$C$52:$C$58,MIN(MATCH(MAX(4,DATOS!$C$71),TABLAS!$B$52:$B$58,0)+1,7))))/(INDEX(TABLAS!$C$52:$C$58,MIN(MATCH(MAX(4,DATOS!$C$71),TABLAS!$B$52:$B$58,0)+1,7))+MAX(DATOS!$C$70,INDEX(TABLAS!$C$52:$C$58,MIN(MATCH(MAX(4,DATOS!$C$71),TABLAS!$B$52:$B$58,0)+1,7))))))),INDEX(TABLAS!$B$52:$B$58,MIN(MATCH(MAX(4,DATOS!$C$71),TABLAS!$B$52:$B$58,0)+1,7)),IF(AND(CC25&gt;=0,IF(MAX(DATOS!$C$74,CEILING(CC25/INDEX(TABLAS!$D$52:$D$58,MIN(MATCH(MAX(4,DATOS!$C$71),TABLAS!$B$52:$B$58,0)+2,7)),1))*INDEX(TABLAS!$D$52:$D$58,MIN(MATCH(MAX(4,DATOS!$C$71),TABLAS!$B$52:$B$58,0)+2,7)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+2,7)),1)),MAX(MAX(DATOS!$C$74,CEILING(CC25/INDEX(TABLAS!$D$52:$D$58,MIN(MATCH(MAX(4,DATOS!$C$71),TABLAS!$B$52:$B$58,0)+2,7)),1)),2))&lt;=MIN(DATOS!$C$73,INT(((DATOS!$C$83-2*AK25)+MAX(DATOS!$C$70,INDEX(TABLAS!$C$52:$C$58,MIN(MATCH(MAX(4,DATOS!$C$71),TABLAS!$B$52:$B$58,0)+2,7))))/(INDEX(TABLAS!$C$52:$C$58,MIN(MATCH(MAX(4,DATOS!$C$71),TABLAS!$B$52:$B$58,0)+2,7))+MAX(DATOS!$C$70,INDEX(TABLAS!$C$52:$C$58,MIN(MATCH(MAX(4,DATOS!$C$71),TABLAS!$B$52:$B$58,0)+2,7))))))),INDEX(TABLAS!$B$52:$B$58,MIN(MATCH(MAX(4,DATOS!$C$71),TABLAS!$B$52:$B$58,0)+2,7)),IF(AND(CC25&gt;=0,IF(MAX(DATOS!$C$74,CEILING(CC25/INDEX(TABLAS!$D$52:$D$58,MIN(MATCH(MAX(4,DATOS!$C$71),TABLAS!$B$52:$B$58,0)+3,7)),1))*INDEX(TABLAS!$D$52:$D$58,MIN(MATCH(MAX(4,DATOS!$C$71),TABLAS!$B$52:$B$58,0)+3,7)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+3,7)),1)),MAX(MAX(DATOS!$C$74,CEILING(CC25/INDEX(TABLAS!$D$52:$D$58,MIN(MATCH(MAX(4,DATOS!$C$71),TABLAS!$B$52:$B$58,0)+3,7)),1)),2))&lt;=MIN(DATOS!$C$73,INT(((DATOS!$C$83-2*AK25)+MAX(DATOS!$C$70,INDEX(TABLAS!$C$52:$C$58,MIN(MATCH(MAX(4,DATOS!$C$71),TABLAS!$B$52:$B$58,0)+3,7))))/(INDEX(TABLAS!$C$52:$C$58,MIN(MATCH(MAX(4,DATOS!$C$71),TABLAS!$B$52:$B$58,0)+3,7))+MAX(DATOS!$C$70,INDEX(TABLAS!$C$52:$C$58,MIN(MATCH(MAX(4,DATOS!$C$71),TABLAS!$B$52:$B$58,0)+3,7))))))),INDEX(TABLAS!$B$52:$B$58,MIN(MATCH(MAX(4,DATOS!$C$71),TABLAS!$B$52:$B$58,0)+3,7)),IF(AND(CC25&gt;=0,IF(MAX(DATOS!$C$74,CEILING(CC25/INDEX(TABLAS!$D$52:$D$58,MIN(MATCH(MAX(4,DATOS!$C$71),TABLAS!$B$52:$B$58,0)+4,7)),1))*INDEX(TABLAS!$D$52:$D$58,MIN(MATCH(MAX(4,DATOS!$C$71),TABLAS!$B$52:$B$58,0)+4,7)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+4,7)),1)),MAX(MAX(DATOS!$C$74,CEILING(CC25/INDEX(TABLAS!$D$52:$D$58,MIN(MATCH(MAX(4,DATOS!$C$71),TABLAS!$B$52:$B$58,0)+4,7)),1)),2))&lt;=MIN(DATOS!$C$73,INT(((DATOS!$C$83-2*AK25)+MAX(DATOS!$C$70,INDEX(TABLAS!$C$52:$C$58,MIN(MATCH(MAX(4,DATOS!$C$71),TABLAS!$B$52:$B$58,0)+4,7))))/(INDEX(TABLAS!$C$52:$C$58,MIN(MATCH(MAX(4,DATOS!$C$71),TABLAS!$B$52:$B$58,0)+4,7))+MAX(DATOS!$C$70,INDEX(TABLAS!$C$52:$C$58,MIN(MATCH(MAX(4,DATOS!$C$71),TABLAS!$B$52:$B$58,0)+4,7))))))),INDEX(TABLAS!$B$52:$B$58,MIN(MATCH(MAX(4,DATOS!$C$71),TABLAS!$B$52:$B$58,0)+4,7)),INDEX(TABLAS!$B$52:$B$58,7)))))))</f>
        <v/>
      </c>
      <c r="CE25" s="59" t="str">
        <f>IF(V25&lt;&gt;"SÍ","",IF(CC25&lt;0,0,IF(MAX(DATOS!$C$74,CEILING(MAX(CC25,0)/INDEX(TABLAS!$D$52:$D$58,MATCH(CD25,TABLAS!$B$52:$B$58,0)),1))*INDEX(TABLAS!$D$52:$D$58,MATCH(CD25,TABLAS!$B$52:$B$58,0))&gt;=4/3*IF(BI25&lt;=0,0,IF((1-2*BI25*1E5/(DATOS!$C$29*AI25*CB25^2*DATOS!$C$21))&lt;0,-1,IF((1-SQRT((1-2*BI25*1E5/(DATOS!$C$29*AI25*CB25^2*DATOS!$C$21))))*DATOS!$C$21*AI25*CB25/DATOS!$C$14&gt;DATOS!$C$102*AI25*CB25,-1,(1-SQRT((1-2*BI25*1E5/(DATOS!$C$29*AI25*CB25^2*DATOS!$C$21))))*DATOS!$C$21*AI25*CB25/DATOS!$C$14)))-0.0001,MAX(DATOS!$C$74,CEILING(MAX(CC25,0)/INDEX(TABLAS!$D$52:$D$58,MATCH(CD25,TABLAS!$B$52:$B$58,0)),1)),MAX(MAX(DATOS!$C$74,CEILING(MAX(CC25,0)/INDEX(TABLAS!$D$52:$D$58,MATCH(CD25,TABLAS!$B$52:$B$58,0)),1)),2))))</f>
        <v/>
      </c>
      <c r="CF25" s="58" t="str">
        <f>IF(V25&lt;&gt;"SÍ","",DATOS!$C$85-AK25-INDEX(TABLAS!$C$52:$C$58,MATCH(BN25,TABLAS!$B$52:$B$58,0))-INDEX(TABLAS!$C$52:$C$58,MATCH(CD25,TABLAS!$B$52:$B$58,0))/2)</f>
        <v/>
      </c>
      <c r="CG25" s="56" t="str">
        <f>IF(V25&lt;&gt;"SÍ","",IF(CE25=0,0,DATOS!$C$29*CE25*INDEX(TABLAS!$D$52:$D$58,MATCH(CD25,TABLAS!$B$52:$B$58,0))*DATOS!$C$14*(CF25-CE25*INDEX(TABLAS!$D$52:$D$58,MATCH(CD25,TABLAS!$B$52:$B$58,0))*DATOS!$C$14/(DATOS!$C$21*AI25)/2)/1E5))</f>
        <v/>
      </c>
      <c r="CH25" s="65" t="str">
        <f>IF(V25&lt;&gt;"SÍ","",IF(CC25&lt;0,9.99,IF(CG25&gt;0,BI25/CG25,0)))</f>
        <v/>
      </c>
      <c r="CI25" s="66" t="str">
        <f>IF(V25&lt;&gt;"SÍ","",IF(CE25=0,"—",0.003*(CF25-(CE25*INDEX(TABLAS!$D$52:$D$58,MATCH(CD25,TABLAS!$B$52:$B$58,0))*DATOS!$C$14/(DATOS!$C$21*AI25)/DATOS!$C$22))/(CE25*INDEX(TABLAS!$D$52:$D$58,MATCH(CD25,TABLAS!$B$52:$B$58,0))*DATOS!$C$14/(DATOS!$C$21*AI25)/DATOS!$C$22)))</f>
        <v/>
      </c>
      <c r="CJ25" s="58" t="str">
        <f>IF(V25&lt;&gt;"SÍ","",((DATOS!$C$85-AM25-2*DATOS!$C$97-INDEX(TABLAS!$C$52:$C$58,MATCH(MAX(4,DATOS!$C$72),TABLAS!$B$52:$B$58,0))-INDEX(TABLAS!$C$52:$C$58,MATCH(MAX(4,DATOS!$C$72),TABLAS!$B$52:$B$58,0))/2)-IF(AND((DATOS!$C$85-AM25-2*DATOS!$C$97-INDEX(TABLAS!$C$52:$C$58,MATCH(MAX(4,DATOS!$C$72),TABLAS!$B$52:$B$58,0))-INDEX(TABLAS!$C$52:$C$58,MATCH(MAX(4,DATOS!$C$72),TABLAS!$B$52:$B$58,0))/2)&lt;=20,DATOS!$C$65&lt;&gt;"SÍ"),2,0)))</f>
        <v/>
      </c>
      <c r="CK25" s="58" t="str">
        <f>IF(V25&lt;&gt;"SÍ","",IF(IF(BJ25&lt;=0,0,IF((1-2*BJ25*1E5/(DATOS!$C$29*AG25*CJ25^2*DATOS!$C$21))&lt;0,-1,IF((1-SQRT((1-2*BJ25*1E5/(DATOS!$C$29*AG25*CJ25^2*DATOS!$C$21))))*DATOS!$C$21*AG25*CJ25/DATOS!$C$14&gt;DATOS!$C$102*AG25*CJ25,-1,(1-SQRT((1-2*BJ25*1E5/(DATOS!$C$29*AG25*CJ25^2*DATOS!$C$21))))*DATOS!$C$21*AG25*CJ25/DATOS!$C$14)))&lt;0,-1,MAX(IF(BJ25&lt;=0,0,IF((1-2*BJ25*1E5/(DATOS!$C$29*AG25*CJ25^2*DATOS!$C$21))&lt;0,-1,IF((1-SQRT((1-2*BJ25*1E5/(DATOS!$C$29*AG25*CJ25^2*DATOS!$C$21))))*DATOS!$C$21*AG25*CJ25/DATOS!$C$14&gt;DATOS!$C$102*AG25*CJ25,-1,(1-SQRT((1-2*BJ25*1E5/(DATOS!$C$29*AG25*CJ25^2*DATOS!$C$21))))*DATOS!$C$21*AG25*CJ25/DATOS!$C$14))),MIN(DATOS!$C$103*DATOS!$C$83*CJ25,4/3*IF(BJ25&lt;=0,0,IF((1-2*BJ25*1E5/(DATOS!$C$29*AG25*CJ25^2*DATOS!$C$21))&lt;0,-1,IF((1-SQRT((1-2*BJ25*1E5/(DATOS!$C$29*AG25*CJ25^2*DATOS!$C$21))))*DATOS!$C$21*AG25*CJ25/DATOS!$C$14&gt;DATOS!$C$102*AG25*CJ25,-1,(1-SQRT((1-2*BJ25*1E5/(DATOS!$C$29*AG25*CJ25^2*DATOS!$C$21))))*DATOS!$C$21*AG25*CJ25/DATOS!$C$14)))))))</f>
        <v/>
      </c>
      <c r="CL25" s="64" t="str">
        <f>IF(V25&lt;&gt;"SÍ","",IF(AND(CK25&gt;=0,IF(MAX(DATOS!$C$74,CEILING(CK25/INDEX(TABLAS!$D$52:$D$58,MIN(MATCH(MAX(4,DATOS!$C$72),TABLAS!$B$52:$B$58,0)+0,7)),1))*INDEX(TABLAS!$D$52:$D$58,MIN(MATCH(MAX(4,DATOS!$C$72),TABLAS!$B$52:$B$58,0)+0,7)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+0,7)),1)),MAX(MAX(DATOS!$C$74,CEILING(CK25/INDEX(TABLAS!$D$52:$D$58,MIN(MATCH(MAX(4,DATOS!$C$72),TABLAS!$B$52:$B$58,0)+0,7)),1)),2))&lt;=MIN(DATOS!$C$73,INT(((DATOS!$C$83-2*AL25)+MAX(DATOS!$C$70,INDEX(TABLAS!$C$52:$C$58,MIN(MATCH(MAX(4,DATOS!$C$72),TABLAS!$B$52:$B$58,0)+0,7))))/(INDEX(TABLAS!$C$52:$C$58,MIN(MATCH(MAX(4,DATOS!$C$72),TABLAS!$B$52:$B$58,0)+0,7))+MAX(DATOS!$C$70,INDEX(TABLAS!$C$52:$C$58,MIN(MATCH(MAX(4,DATOS!$C$72),TABLAS!$B$52:$B$58,0)+0,7))))))),INDEX(TABLAS!$B$52:$B$58,MIN(MATCH(MAX(4,DATOS!$C$72),TABLAS!$B$52:$B$58,0)+0,7)),IF(AND(CK25&gt;=0,IF(MAX(DATOS!$C$74,CEILING(CK25/INDEX(TABLAS!$D$52:$D$58,MIN(MATCH(MAX(4,DATOS!$C$72),TABLAS!$B$52:$B$58,0)+1,7)),1))*INDEX(TABLAS!$D$52:$D$58,MIN(MATCH(MAX(4,DATOS!$C$72),TABLAS!$B$52:$B$58,0)+1,7)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+1,7)),1)),MAX(MAX(DATOS!$C$74,CEILING(CK25/INDEX(TABLAS!$D$52:$D$58,MIN(MATCH(MAX(4,DATOS!$C$72),TABLAS!$B$52:$B$58,0)+1,7)),1)),2))&lt;=MIN(DATOS!$C$73,INT(((DATOS!$C$83-2*AL25)+MAX(DATOS!$C$70,INDEX(TABLAS!$C$52:$C$58,MIN(MATCH(MAX(4,DATOS!$C$72),TABLAS!$B$52:$B$58,0)+1,7))))/(INDEX(TABLAS!$C$52:$C$58,MIN(MATCH(MAX(4,DATOS!$C$72),TABLAS!$B$52:$B$58,0)+1,7))+MAX(DATOS!$C$70,INDEX(TABLAS!$C$52:$C$58,MIN(MATCH(MAX(4,DATOS!$C$72),TABLAS!$B$52:$B$58,0)+1,7))))))),INDEX(TABLAS!$B$52:$B$58,MIN(MATCH(MAX(4,DATOS!$C$72),TABLAS!$B$52:$B$58,0)+1,7)),IF(AND(CK25&gt;=0,IF(MAX(DATOS!$C$74,CEILING(CK25/INDEX(TABLAS!$D$52:$D$58,MIN(MATCH(MAX(4,DATOS!$C$72),TABLAS!$B$52:$B$58,0)+2,7)),1))*INDEX(TABLAS!$D$52:$D$58,MIN(MATCH(MAX(4,DATOS!$C$72),TABLAS!$B$52:$B$58,0)+2,7)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+2,7)),1)),MAX(MAX(DATOS!$C$74,CEILING(CK25/INDEX(TABLAS!$D$52:$D$58,MIN(MATCH(MAX(4,DATOS!$C$72),TABLAS!$B$52:$B$58,0)+2,7)),1)),2))&lt;=MIN(DATOS!$C$73,INT(((DATOS!$C$83-2*AL25)+MAX(DATOS!$C$70,INDEX(TABLAS!$C$52:$C$58,MIN(MATCH(MAX(4,DATOS!$C$72),TABLAS!$B$52:$B$58,0)+2,7))))/(INDEX(TABLAS!$C$52:$C$58,MIN(MATCH(MAX(4,DATOS!$C$72),TABLAS!$B$52:$B$58,0)+2,7))+MAX(DATOS!$C$70,INDEX(TABLAS!$C$52:$C$58,MIN(MATCH(MAX(4,DATOS!$C$72),TABLAS!$B$52:$B$58,0)+2,7))))))),INDEX(TABLAS!$B$52:$B$58,MIN(MATCH(MAX(4,DATOS!$C$72),TABLAS!$B$52:$B$58,0)+2,7)),IF(AND(CK25&gt;=0,IF(MAX(DATOS!$C$74,CEILING(CK25/INDEX(TABLAS!$D$52:$D$58,MIN(MATCH(MAX(4,DATOS!$C$72),TABLAS!$B$52:$B$58,0)+3,7)),1))*INDEX(TABLAS!$D$52:$D$58,MIN(MATCH(MAX(4,DATOS!$C$72),TABLAS!$B$52:$B$58,0)+3,7)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+3,7)),1)),MAX(MAX(DATOS!$C$74,CEILING(CK25/INDEX(TABLAS!$D$52:$D$58,MIN(MATCH(MAX(4,DATOS!$C$72),TABLAS!$B$52:$B$58,0)+3,7)),1)),2))&lt;=MIN(DATOS!$C$73,INT(((DATOS!$C$83-2*AL25)+MAX(DATOS!$C$70,INDEX(TABLAS!$C$52:$C$58,MIN(MATCH(MAX(4,DATOS!$C$72),TABLAS!$B$52:$B$58,0)+3,7))))/(INDEX(TABLAS!$C$52:$C$58,MIN(MATCH(MAX(4,DATOS!$C$72),TABLAS!$B$52:$B$58,0)+3,7))+MAX(DATOS!$C$70,INDEX(TABLAS!$C$52:$C$58,MIN(MATCH(MAX(4,DATOS!$C$72),TABLAS!$B$52:$B$58,0)+3,7))))))),INDEX(TABLAS!$B$52:$B$58,MIN(MATCH(MAX(4,DATOS!$C$72),TABLAS!$B$52:$B$58,0)+3,7)),IF(AND(CK25&gt;=0,IF(MAX(DATOS!$C$74,CEILING(CK25/INDEX(TABLAS!$D$52:$D$58,MIN(MATCH(MAX(4,DATOS!$C$72),TABLAS!$B$52:$B$58,0)+4,7)),1))*INDEX(TABLAS!$D$52:$D$58,MIN(MATCH(MAX(4,DATOS!$C$72),TABLAS!$B$52:$B$58,0)+4,7)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+4,7)),1)),MAX(MAX(DATOS!$C$74,CEILING(CK25/INDEX(TABLAS!$D$52:$D$58,MIN(MATCH(MAX(4,DATOS!$C$72),TABLAS!$B$52:$B$58,0)+4,7)),1)),2))&lt;=MIN(DATOS!$C$73,INT(((DATOS!$C$83-2*AL25)+MAX(DATOS!$C$70,INDEX(TABLAS!$C$52:$C$58,MIN(MATCH(MAX(4,DATOS!$C$72),TABLAS!$B$52:$B$58,0)+4,7))))/(INDEX(TABLAS!$C$52:$C$58,MIN(MATCH(MAX(4,DATOS!$C$72),TABLAS!$B$52:$B$58,0)+4,7))+MAX(DATOS!$C$70,INDEX(TABLAS!$C$52:$C$58,MIN(MATCH(MAX(4,DATOS!$C$72),TABLAS!$B$52:$B$58,0)+4,7))))))),INDEX(TABLAS!$B$52:$B$58,MIN(MATCH(MAX(4,DATOS!$C$72),TABLAS!$B$52:$B$58,0)+4,7)),INDEX(TABLAS!$B$52:$B$58,7)))))))</f>
        <v/>
      </c>
      <c r="CM25" s="59" t="str">
        <f>IF(V25&lt;&gt;"SÍ","",IF(CK25&lt;0,0,IF(MAX(DATOS!$C$74,CEILING(MAX(CK25,0)/INDEX(TABLAS!$D$52:$D$58,MATCH(CL25,TABLAS!$B$52:$B$58,0)),1))*INDEX(TABLAS!$D$52:$D$58,MATCH(CL25,TABLAS!$B$52:$B$58,0))&gt;=4/3*IF(BJ25&lt;=0,0,IF((1-2*BJ25*1E5/(DATOS!$C$29*AG25*CJ25^2*DATOS!$C$21))&lt;0,-1,IF((1-SQRT((1-2*BJ25*1E5/(DATOS!$C$29*AG25*CJ25^2*DATOS!$C$21))))*DATOS!$C$21*AG25*CJ25/DATOS!$C$14&gt;DATOS!$C$102*AG25*CJ25,-1,(1-SQRT((1-2*BJ25*1E5/(DATOS!$C$29*AG25*CJ25^2*DATOS!$C$21))))*DATOS!$C$21*AG25*CJ25/DATOS!$C$14)))-0.0001,MAX(DATOS!$C$74,CEILING(MAX(CK25,0)/INDEX(TABLAS!$D$52:$D$58,MATCH(CL25,TABLAS!$B$52:$B$58,0)),1)),MAX(MAX(DATOS!$C$74,CEILING(MAX(CK25,0)/INDEX(TABLAS!$D$52:$D$58,MATCH(CL25,TABLAS!$B$52:$B$58,0)),1)),2))))</f>
        <v/>
      </c>
      <c r="CN25" s="58" t="str">
        <f>IF(V25&lt;&gt;"SÍ","",((DATOS!$C$85-AM25-2*DATOS!$C$97-INDEX(TABLAS!$C$52:$C$58,MATCH(BV25,TABLAS!$B$52:$B$58,0))-INDEX(TABLAS!$C$52:$C$58,MATCH(CL25,TABLAS!$B$52:$B$58,0))/2)-IF(AND((DATOS!$C$85-AM25-2*DATOS!$C$97-INDEX(TABLAS!$C$52:$C$58,MATCH(BV25,TABLAS!$B$52:$B$58,0))-INDEX(TABLAS!$C$52:$C$58,MATCH(CL25,TABLAS!$B$52:$B$58,0))/2)&lt;=20,DATOS!$C$65&lt;&gt;"SÍ"),2,0)))</f>
        <v/>
      </c>
      <c r="CO25" s="56" t="str">
        <f>IF(V25&lt;&gt;"SÍ","",IF(CM25=0,0,DATOS!$C$29*CM25*INDEX(TABLAS!$D$52:$D$58,MATCH(CL25,TABLAS!$B$52:$B$58,0))*DATOS!$C$14*(CN25-CM25*INDEX(TABLAS!$D$52:$D$58,MATCH(CL25,TABLAS!$B$52:$B$58,0))*DATOS!$C$14/(DATOS!$C$21*AG25)/2)/1E5))</f>
        <v/>
      </c>
      <c r="CP25" s="65" t="str">
        <f>IF(V25&lt;&gt;"SÍ","",IF(CK25&lt;0,9.99,IF(CO25&gt;0,BJ25/CO25,0)))</f>
        <v/>
      </c>
      <c r="CQ25" s="66" t="str">
        <f>IF(V25&lt;&gt;"SÍ","",IF(CM25=0,"—",0.003*(CN25-(CM25*INDEX(TABLAS!$D$52:$D$58,MATCH(CL25,TABLAS!$B$52:$B$58,0))*DATOS!$C$14/(DATOS!$C$21*AG25)/DATOS!$C$22))/(CM25*INDEX(TABLAS!$D$52:$D$58,MATCH(CL25,TABLAS!$B$52:$B$58,0))*DATOS!$C$14/(DATOS!$C$21*AG25)/DATOS!$C$22)))</f>
        <v/>
      </c>
      <c r="CR25" s="56" t="str">
        <f>IF(V25&lt;&gt;"SÍ","",IF(C25="PERIMETRAL",MAX(0,(AB25/2-BX25)/100)*(0.95-0.5*AA25)*AR25*IF(AND(AS25&gt;0,AS25&lt;4),DATOS!$C$33,1)*DATOS!$C$86/100/1000,(AR25*MAX(0,AB25-BX25)/100+DATOS!$C$26*N(O25))*DATOS!$C$86/100/1000+BF25))</f>
        <v/>
      </c>
      <c r="CS25" s="56" t="str">
        <f>IF(V25&lt;&gt;"SÍ","",DATOS!$C$30*2*MIN(1,SQRT(2/(1+0.04*BX25)))*(BW25*INDEX(TABLAS!$D$52:$D$58,MATCH(BV25,TABLAS!$B$52:$B$58,0))/(AF25*BX25))^(1/3)*SQRT(DATOS!$C$13)*AF25*BX25*IF(AJ25="SÍ",DATOS!$C$32,1)/1000)</f>
        <v/>
      </c>
      <c r="CT25" s="59" t="str">
        <f>IF(V25&lt;&gt;"SÍ","",IF(CR25&lt;=CS25,0,CEILING(MAX(0,IF(C25="VOLADO",(AB25-((CS25-BF25)*1E5/DATOS!$C$86-DATOS!$C$26*N(O25))*100/AR25),IF(CS25&lt;=0,AB25,AB25/2-CS25/MAX(CR25,1E-9)*(AB25/2-BX25)))-IF(X25="X",MIN(DJ25,DK25),MIN(DL25,DM25)))/DATOS!$C$86,1)))</f>
        <v/>
      </c>
      <c r="CU25" s="67" t="str">
        <f>IF(V25&lt;&gt;"SÍ","",IF(CR25&lt;=CS25,"CUMPLE",IF(CT25&lt;=0,"CUMPLE (basta el macizo de orilla)",IF(CT25*DATOS!$C$86*IF(C25="VOLADO",1,2)&gt;=Y25*100-DATOS!$C$87,"NO CUMPLE: no alcanza ni macizando todo","MACIZAR "&amp;CT25&amp;" hilera(s)"))))</f>
        <v/>
      </c>
      <c r="CV25" s="58" t="str">
        <f>IF(V25&lt;&gt;"SÍ","",(DATOS!$C$86*DATOS!$C$84^2/2+MIN(DATOS!$C$83,AD25)*DATOS!$C$82*(DATOS!$C$84+DATOS!$C$82/2))/(DATOS!$C$86*DATOS!$C$84+MIN(DATOS!$C$83,AD25)*DATOS!$C$82))</f>
        <v/>
      </c>
      <c r="CW25" s="68" t="str">
        <f>IF(V25&lt;&gt;"SÍ","",DATOS!$C$86*DATOS!$C$84^3/12+DATOS!$C$86*DATOS!$C$84*(CV25-DATOS!$C$84/2)^2+MIN(DATOS!$C$83,AD25)*DATOS!$C$82^3/12+MIN(DATOS!$C$83,AD25)*DATOS!$C$82*(DATOS!$C$84+DATOS!$C$82/2-CV25)^2)</f>
        <v/>
      </c>
      <c r="CX25" s="58" t="str">
        <f>IF(V25&lt;&gt;"SÍ","",(12*CW25/DATOS!$C$86)^(1/3))</f>
        <v/>
      </c>
      <c r="CY25" s="58" t="str">
        <f>IF(V25&lt;&gt;"SÍ","",IF(C25="PERIMETRAL",IF(ISNUMBER(S25),S25,DATOS!$C$104),0))</f>
        <v/>
      </c>
      <c r="CZ25" s="57" t="str">
        <f>IF(V25&lt;&gt;"SÍ","",IF(C25="PERIMETRAL",IF(CY25&gt;2,MAX(9,AC25*(0.8+DATOS!$C$14/14000)/(36+9*(AC25/MAX(AB25,1)))),IF(CY25&gt;0.2,MAX(13,AC25*(0.8+DATOS!$C$14/14000)/(36+5*(AC25/MAX(AB25,1))*(CY25-0.2))),MAX(13,AC25/IF(AS25&gt;0,30,33))))*IF(AND(CY25&gt;0.2,AS25&gt;0,DATOS!$C$105="NO"),1.1,1),MAX(25,Y25*100/8*(0.4+DATOS!$C$14/7000))))</f>
        <v/>
      </c>
      <c r="DA25" s="61" t="str">
        <f>IF(V25&lt;&gt;"SÍ","",IF(IF(C25="VOLADO",DATOS!$C$85,CX25)&gt;=CZ25,"CUMPLE",IF(C25="VOLADO","NO CUMPLE","CALCULAR FLECHA")))</f>
        <v/>
      </c>
      <c r="DB25" s="55" t="str">
        <f>IF(V25&lt;&gt;"SÍ","",IF(DATOS!$C$84&gt;=IF(IF(C25="VOLADO",Y25,Z25)&gt;=6,6,5),"CUMPLE","CAPA ≥ 6 cm"))</f>
        <v/>
      </c>
      <c r="DC25" s="60" t="str">
        <f>IF(V25&lt;&gt;"SÍ","",IF(C25="VOLADO",MIN(FLOOR(IF(ISNUMBER(P25),P25,Y25)*100-DATOS!$C$63,5),CEILING(MAX(IF((0.5*(0.9*DATOS!$C$90*DATOS!$C$86/100/1000)*IF(ISNUMBER(P25),P25,Y25)+BH25/IF(ISNUMBER(P25),P25,Y25))^2-4*(0.5*(0.9*DATOS!$C$90*DATOS!$C$86/100/1000))*BH25&lt;0,IF(ISNUMBER(P25),P25,Y25),MIN(IF(ISNUMBER(P25),P25,Y25),((0.5*(0.9*DATOS!$C$90*DATOS!$C$86/100/1000)*IF(ISNUMBER(P25),P25,Y25)+BH25/IF(ISNUMBER(P25),P25,Y25))-SQRT((0.5*(0.9*DATOS!$C$90*DATOS!$C$86/100/1000)*IF(ISNUMBER(P25),P25,Y25)+BH25/IF(ISNUMBER(P25),P25,Y25))^2-4*(0.5*(0.9*DATOS!$C$90*DATOS!$C$86/100/1000))*BH25))/(2*(0.5*(0.9*DATOS!$C$90*DATOS!$C$86/100/1000)))))*100+MAX(BX25,12*INDEX(TABLAS!$C$52:$C$58,MATCH(BV25,TABLAS!$B$52:$B$58,0)),IF(ISNUMBER(P25),P25,Y25)*100/16),IF(OR(AL25&lt;INDEX(TABLAS!$C$52:$C$58,MATCH(BV25,TABLAS!$B$52:$B$58,0)),AND(BW25&gt;=2,(AD25-2*AL25-BW25*INDEX(TABLAS!$C$52:$C$58,MATCH(BV25,TABLAS!$B$52:$B$58,0)))/MAX(BW25-1,1)&lt;2*INDEX(TABLAS!$C$52:$C$58,MATCH(BV25,TABLAS!$B$52:$B$58,0)))),INDEX(TABLAS!$I$52:$I$58,MATCH(BV25,TABLAS!$B$52:$B$58,0)),INDEX(TABLAS!$F$52:$F$58,MATCH(BV25,TABLAS!$B$52:$B$58,0)))),5)),IF(((4*((BC25*AR25*Y25^2*1E-4*DATOS!$C$86/100/1000)+((MAX(AY25,BA25)*AR25*Y25^2*1E-4*DATOS!$C$86/100/1000)+(IF(AND(AY25&gt;0,BA25&gt;0),MIN(AY25,BA25),MAX(AY25,BA25))*AR25*Y25^2*1E-4*DATOS!$C$86/100/1000))/2)+BH25-(IF(AND(AY25&gt;0,BA25&gt;0),MIN(AY25,BA25),MAX(AY25,BA25))*AR25*Y25^2*1E-4*DATOS!$C$86/100/1000))^2-16*((BC25*AR25*Y25^2*1E-4*DATOS!$C$86/100/1000)+((MAX(AY25,BA25)*AR25*Y25^2*1E-4*DATOS!$C$86/100/1000)+(IF(AND(AY25&gt;0,BA25&gt;0),MIN(AY25,BA25),MAX(AY25,BA25))*AR25*Y25^2*1E-4*DATOS!$C$86/100/1000))/2)*BH25)&lt;0,CEILING(AB25,5),CEILING(MAX(AB25*((4*((BC25*AR25*Y25^2*1E-4*DATOS!$C$86/100/1000)+((MAX(AY25,BA25)*AR25*Y25^2*1E-4*DATOS!$C$86/100/1000)+(IF(AND(AY25&gt;0,BA25&gt;0),MIN(AY25,BA25),MAX(AY25,BA25))*AR25*Y25^2*1E-4*DATOS!$C$86/100/1000))/2)+BH25-(IF(AND(AY25&gt;0,BA25&gt;0),MIN(AY25,BA25),MAX(AY25,BA25))*AR25*Y25^2*1E-4*DATOS!$C$86/100/1000))-SQRT(MAX(0,((4*((BC25*AR25*Y25^2*1E-4*DATOS!$C$86/100/1000)+((MAX(AY25,BA25)*AR25*Y25^2*1E-4*DATOS!$C$86/100/1000)+(IF(AND(AY25&gt;0,BA25&gt;0),MIN(AY25,BA25),MAX(AY25,BA25))*AR25*Y25^2*1E-4*DATOS!$C$86/100/1000))/2)+BH25-(IF(AND(AY25&gt;0,BA25&gt;0),MIN(AY25,BA25),MAX(AY25,BA25))*AR25*Y25^2*1E-4*DATOS!$C$86/100/1000))^2-16*((BC25*AR25*Y25^2*1E-4*DATOS!$C$86/100/1000)+((MAX(AY25,BA25)*AR25*Y25^2*1E-4*DATOS!$C$86/100/1000)+(IF(AND(AY25&gt;0,BA25&gt;0),MIN(AY25,BA25),MAX(AY25,BA25))*AR25*Y25^2*1E-4*DATOS!$C$86/100/1000))/2)*BH25))))/(8*MAX(((BC25*AR25*Y25^2*1E-4*DATOS!$C$86/100/1000)+((MAX(AY25,BA25)*AR25*Y25^2*1E-4*DATOS!$C$86/100/1000)+(IF(AND(AY25&gt;0,BA25&gt;0),MIN(AY25,BA25),MAX(AY25,BA25))*AR25*Y25^2*1E-4*DATOS!$C$86/100/1000))/2),1E-9))+MAX(BX25,12*INDEX(TABLAS!$C$52:$C$58,MATCH(BV25,TABLAS!$B$52:$B$58,0)),AB25/16),IF(OR(AL25&lt;INDEX(TABLAS!$C$52:$C$58,MATCH(BV25,TABLAS!$B$52:$B$58,0)),AND(BW25&gt;=2,(AD25-2*AL25-BW25*INDEX(TABLAS!$C$52:$C$58,MATCH(BV25,TABLAS!$B$52:$B$58,0)))/MAX(BW25-1,1)&lt;2*INDEX(TABLAS!$C$52:$C$58,MATCH(BV25,TABLAS!$B$52:$B$58,0)))),INDEX(TABLAS!$I$52:$I$58,MATCH(BV25,TABLAS!$B$52:$B$58,0)),INDEX(TABLAS!$F$52:$F$58,MATCH(BV25,TABLAS!$B$52:$B$58,0)))),5))))</f>
        <v/>
      </c>
      <c r="DD25" s="60" t="str">
        <f>IF(V25&lt;&gt;"SÍ","",IF(C25="VOLADO",0,IF(((4*((BD25*AR25*Y25^2*1E-4*DATOS!$C$86/100/1000)+((MAX(AZ25,BB25)*AR25*Y25^2*1E-4*DATOS!$C$86/100/1000)+(IF(AND(AZ25&gt;0,BB25&gt;0),MIN(AZ25,BB25),MAX(AZ25,BB25))*AR25*Y25^2*1E-4*DATOS!$C$86/100/1000))/2)+BJ25-(IF(AND(AZ25&gt;0,BB25&gt;0),MIN(AZ25,BB25),MAX(AZ25,BB25))*AR25*Y25^2*1E-4*DATOS!$C$86/100/1000))^2-16*((BD25*AR25*Y25^2*1E-4*DATOS!$C$86/100/1000)+((MAX(AZ25,BB25)*AR25*Y25^2*1E-4*DATOS!$C$86/100/1000)+(IF(AND(AZ25&gt;0,BB25&gt;0),MIN(AZ25,BB25),MAX(AZ25,BB25))*AR25*Y25^2*1E-4*DATOS!$C$86/100/1000))/2)*BJ25)&lt;0,CEILING(AC25,5),CEILING(MAX(AC25*((4*((BD25*AR25*Y25^2*1E-4*DATOS!$C$86/100/1000)+((MAX(AZ25,BB25)*AR25*Y25^2*1E-4*DATOS!$C$86/100/1000)+(IF(AND(AZ25&gt;0,BB25&gt;0),MIN(AZ25,BB25),MAX(AZ25,BB25))*AR25*Y25^2*1E-4*DATOS!$C$86/100/1000))/2)+BJ25-(IF(AND(AZ25&gt;0,BB25&gt;0),MIN(AZ25,BB25),MAX(AZ25,BB25))*AR25*Y25^2*1E-4*DATOS!$C$86/100/1000))-SQRT(MAX(0,((4*((BD25*AR25*Y25^2*1E-4*DATOS!$C$86/100/1000)+((MAX(AZ25,BB25)*AR25*Y25^2*1E-4*DATOS!$C$86/100/1000)+(IF(AND(AZ25&gt;0,BB25&gt;0),MIN(AZ25,BB25),MAX(AZ25,BB25))*AR25*Y25^2*1E-4*DATOS!$C$86/100/1000))/2)+BJ25-(IF(AND(AZ25&gt;0,BB25&gt;0),MIN(AZ25,BB25),MAX(AZ25,BB25))*AR25*Y25^2*1E-4*DATOS!$C$86/100/1000))^2-16*((BD25*AR25*Y25^2*1E-4*DATOS!$C$86/100/1000)+((MAX(AZ25,BB25)*AR25*Y25^2*1E-4*DATOS!$C$86/100/1000)+(IF(AND(AZ25&gt;0,BB25&gt;0),MIN(AZ25,BB25),MAX(AZ25,BB25))*AR25*Y25^2*1E-4*DATOS!$C$86/100/1000))/2)*BJ25))))/(8*MAX(((BD25*AR25*Y25^2*1E-4*DATOS!$C$86/100/1000)+((MAX(AZ25,BB25)*AR25*Y25^2*1E-4*DATOS!$C$86/100/1000)+(IF(AND(AZ25&gt;0,BB25&gt;0),MIN(AZ25,BB25),MAX(AZ25,BB25))*AR25*Y25^2*1E-4*DATOS!$C$86/100/1000))/2),1E-9))+MAX(CN25,12*INDEX(TABLAS!$C$52:$C$58,MATCH(CL25,TABLAS!$B$52:$B$58,0)),AC25/16),IF(OR(AL25&lt;INDEX(TABLAS!$C$52:$C$58,MATCH(CL25,TABLAS!$B$52:$B$58,0)),AND(CM25&gt;=2,(DATOS!$C$83-2*AL25-CM25*INDEX(TABLAS!$C$52:$C$58,MATCH(CL25,TABLAS!$B$52:$B$58,0)))/MAX(CM25-1,1)&lt;2*INDEX(TABLAS!$C$52:$C$58,MATCH(CL25,TABLAS!$B$52:$B$58,0)))),INDEX(TABLAS!$I$52:$I$58,MATCH(CL25,TABLAS!$B$52:$B$58,0)),INDEX(TABLAS!$F$52:$F$58,MATCH(CL25,TABLAS!$B$52:$B$58,0)))),5))))</f>
        <v/>
      </c>
      <c r="DE25" s="55" t="str">
        <f>IF(V25&lt;&gt;"SÍ","",IF(AND(C25="PERIMETRAL",BW25&gt;=2,AS25-AT25&gt;0,BA25*AR25*Y25^2*1E-4*DATOS!$C$86/100/1000&gt;DATOS!$C$29*INDEX(TABLAS!$D$52:$D$58,MATCH(BV25,TABLAS!$B$52:$B$58,0))*DATOS!$C$14*(BX25-INDEX(TABLAS!$D$52:$D$58,MATCH(BV25,TABLAS!$B$52:$B$58,0))*DATOS!$C$14/(DATOS!$C$21*AF25)/2)/1E5),"SÍ","NO"))</f>
        <v/>
      </c>
      <c r="DF25" s="55" t="str">
        <f>IF(V25&lt;&gt;"SÍ","",IF(AND(C25="PERIMETRAL",CM25&gt;=2,AT25&gt;0,BB25*AR25*Y25^2*1E-4*DATOS!$C$86/100/1000&gt;DATOS!$C$29*INDEX(TABLAS!$D$52:$D$58,MATCH(CL25,TABLAS!$B$52:$B$58,0))*DATOS!$C$14*(CN25-INDEX(TABLAS!$D$52:$D$58,MATCH(CL25,TABLAS!$B$52:$B$58,0))*DATOS!$C$14/(DATOS!$C$21*AG25)/2)/1E5),"SÍ","NO"))</f>
        <v/>
      </c>
      <c r="DG25" s="63" t="str">
        <f>IF(V25&lt;&gt;"SÍ","",IF(OR(C25="VOLADO",AS25=0),"—",IF(AND(AND(1.25*INDEX(TABLAS!$G$52:$G$58,MATCH(MAX(BN25,CD25),TABLAS!$B$52:$B$58,0))&lt;=(DATOS!$C$75-DATOS!$C$63),(DATOS!$C$75-DATOS!$C$63)&gt;=15,INDEX(TABLAS!$G$52:$G$58,MATCH(MAX(BV25,CL25),TABLAS!$B$52:$B$58,0))&lt;=(DATOS!$C$75-DATOS!$C$63)),8*INDEX(TABLAS!$C$52:$C$58,MATCH(MAX(MAX(BN25,CD25),MAX(BV25,CL25)),TABLAS!$B$52:$B$58,0))&lt;=DATOS!$C$76-2*DATOS!$C$63),"CUMPLE (gancho de 180°)",IF(AND(1.25*INDEX(TABLAS!$G$52:$G$58,MATCH(MAX(BN25,CD25),TABLAS!$B$52:$B$58,0))&lt;=(DATOS!$C$75-DATOS!$C$63),(DATOS!$C$75-DATOS!$C$63)&gt;=15,INDEX(TABLAS!$G$52:$G$58,MATCH(MAX(BV25,CL25),TABLAS!$B$52:$B$58,0))&lt;=(DATOS!$C$75-DATOS!$C$63)),"NO CUMPLE: el gancho de 180° (8·d_b) no cabe en el peralte de la dala de borde","NO CUMPLE: dala de borde ≥ "&amp;TEXT(CEILING(MAX(1.25*INDEX(TABLAS!$G$52:$G$58,MATCH(MAX(BN25,CD25),TABLAS!$B$52:$B$58,0)),15,INDEX(TABLAS!$G$52:$G$58,MATCH(MAX(BV25,CL25),TABLAS!$B$52:$B$58,0)))+DATOS!$C$63,5),"0")&amp;" cm de ancho"&amp;IF(8*INDEX(TABLAS!$C$52:$C$58,MATCH(MAX(MAX(BN25,CD25),MAX(BV25,CL25)),TABLAS!$B$52:$B$58,0))&lt;=DATOS!$C$76-2*DATOS!$C$63,""," y más peralte para el gancho")))))</f>
        <v/>
      </c>
      <c r="DH25" s="59" t="str">
        <f>IF(V25&lt;&gt;"SÍ","",MAX(0,INT((E25*100-DATOS!$C$87-IF(AND(C25="PERIMETRAL",I25="DISCONTINUO"),MAX(0,DATOS!$C$75-DATOS!$C$87),0)-IF(AND(C25="PERIMETRAL",J25="DISCONTINUO"),MAX(0,DATOS!$C$75-DATOS!$C$87),0)+DATOS!$C$86-IF(X25="X",DATOS!$C$81,AE25))/DATOS!$C$86)))</f>
        <v/>
      </c>
      <c r="DI25" s="59" t="str">
        <f>IF(V25&lt;&gt;"SÍ","",MAX(0,INT((F25*100-DATOS!$C$87-IF(AND(C25="PERIMETRAL",G25="DISCONTINUO"),MAX(0,DATOS!$C$75-DATOS!$C$87),0)-IF(AND(C25="PERIMETRAL",H25="DISCONTINUO"),MAX(0,DATOS!$C$75-DATOS!$C$87),0)+DATOS!$C$86-IF(X25="Y",DATOS!$C$81,AE25))/DATOS!$C$86)))</f>
        <v/>
      </c>
      <c r="DJ25" s="57" t="str">
        <f>IF(V25&lt;&gt;"SÍ","",IF(DH25&gt;0,IF(AND(C25="PERIMETRAL",I25="DISCONTINUO"),MAX(0,DATOS!$C$75-DATOS!$C$87),0)+(E25*100-DATOS!$C$87-IF(AND(C25="PERIMETRAL",I25="DISCONTINUO"),MAX(0,DATOS!$C$75-DATOS!$C$87),0)-IF(AND(C25="PERIMETRAL",J25="DISCONTINUO"),MAX(0,DATOS!$C$75-DATOS!$C$87),0)-(DH25*IF(X25="X",DATOS!$C$81,AE25)+(DH25-1)*(DATOS!$C$86-IF(X25="X",DATOS!$C$81,AE25))))/2,E25*100/2))</f>
        <v/>
      </c>
      <c r="DK25" s="57" t="str">
        <f>IF(V25&lt;&gt;"SÍ","",IF(DH25&gt;0,IF(AND(C25="PERIMETRAL",J25="DISCONTINUO"),MAX(0,DATOS!$C$75-DATOS!$C$87),0)+(E25*100-DATOS!$C$87-IF(AND(C25="PERIMETRAL",I25="DISCONTINUO"),MAX(0,DATOS!$C$75-DATOS!$C$87),0)-IF(AND(C25="PERIMETRAL",J25="DISCONTINUO"),MAX(0,DATOS!$C$75-DATOS!$C$87),0)-(DH25*IF(X25="X",DATOS!$C$81,AE25)+(DH25-1)*(DATOS!$C$86-IF(X25="X",DATOS!$C$81,AE25))))/2,E25*100/2))</f>
        <v/>
      </c>
      <c r="DL25" s="57" t="str">
        <f>IF(V25&lt;&gt;"SÍ","",IF(DI25&gt;0,IF(AND(C25="PERIMETRAL",G25="DISCONTINUO"),MAX(0,DATOS!$C$75-DATOS!$C$87),0)+(F25*100-DATOS!$C$87-IF(AND(C25="PERIMETRAL",G25="DISCONTINUO"),MAX(0,DATOS!$C$75-DATOS!$C$87),0)-IF(AND(C25="PERIMETRAL",H25="DISCONTINUO"),MAX(0,DATOS!$C$75-DATOS!$C$87),0)-(DI25*IF(X25="Y",DATOS!$C$81,AE25)+(DI25-1)*(DATOS!$C$86-IF(X25="Y",DATOS!$C$81,AE25))))/2,F25*100/2))</f>
        <v/>
      </c>
      <c r="DM25" s="57" t="str">
        <f>IF(V25&lt;&gt;"SÍ","",IF(DI25&gt;0,IF(AND(C25="PERIMETRAL",H25="DISCONTINUO"),MAX(0,DATOS!$C$75-DATOS!$C$87),0)+(F25*100-DATOS!$C$87-IF(AND(C25="PERIMETRAL",G25="DISCONTINUO"),MAX(0,DATOS!$C$75-DATOS!$C$87),0)-IF(AND(C25="PERIMETRAL",H25="DISCONTINUO"),MAX(0,DATOS!$C$75-DATOS!$C$87),0)-(DI25*IF(X25="Y",DATOS!$C$81,AE25)+(DI25-1)*(DATOS!$C$86-IF(X25="Y",DATOS!$C$81,AE25))))/2,F25*100/2))</f>
        <v/>
      </c>
      <c r="DN25" s="59" t="str">
        <f>IF(V25&lt;&gt;"SÍ","",IF(NOT(AND(C25="VOLADO",AD25&gt;DATOS!$C$83)),0,IF(INDEX(TABLAS!$C$52:$C$58,MATCH(BV25,TABLAS!$B$52:$B$58,0))&lt;=DATOS!$C$83-2*DATOS!$C$63,1,0)))</f>
        <v/>
      </c>
      <c r="DO25" s="58" t="str">
        <f>IF(V25&lt;&gt;"SÍ","",IF(NOT(AND(C25="VOLADO",AD25&gt;DATOS!$C$83)),0,((DATOS!$C$85-MAX(DATOS!$C$63,(DATOS!$C$84-2*DATOS!$C$97)/2)-2*DATOS!$C$97-INDEX(TABLAS!$C$52:$C$58,MATCH(MAX(4,DATOS!$C$72),TABLAS!$B$52:$B$58,0))-INDEX(TABLAS!$C$52:$C$58,MATCH(BV25,TABLAS!$B$52:$B$58,0))/2)-IF(AND((DATOS!$C$85-MAX(DATOS!$C$63,(DATOS!$C$84-2*DATOS!$C$97)/2)-2*DATOS!$C$97-INDEX(TABLAS!$C$52:$C$58,MATCH(MAX(4,DATOS!$C$72),TABLAS!$B$52:$B$58,0))-INDEX(TABLAS!$C$52:$C$58,MATCH(BV25,TABLAS!$B$52:$B$58,0))/2)&lt;=20,DATOS!$C$65&lt;&gt;"SÍ"),2,0))))</f>
        <v/>
      </c>
      <c r="DP25" s="56" t="str">
        <f>IF(V25&lt;&gt;"SÍ","",IF(OR(NOT(AND(C25="VOLADO",AD25&gt;DATOS!$C$83)),DN25&lt;1),0,IF(0.003*(DO25-((DN25*INDEX(TABLAS!$D$52:$D$58,MATCH(BV25,TABLAS!$B$52:$B$58,0)))*DATOS!$C$14/(DATOS!$C$21*AG25)/DATOS!$C$22))/((DN25*INDEX(TABLAS!$D$52:$D$58,MATCH(BV25,TABLAS!$B$52:$B$58,0)))*DATOS!$C$14/(DATOS!$C$21*AG25)/DATOS!$C$22)&lt;0.005,0,DATOS!$C$29*(DN25*INDEX(TABLAS!$D$52:$D$58,MATCH(BV25,TABLAS!$B$52:$B$58,0)))*DATOS!$C$14*(DO25-(DN25*INDEX(TABLAS!$D$52:$D$58,MATCH(BV25,TABLAS!$B$52:$B$58,0)))*DATOS!$C$14/(DATOS!$C$21*AG25)/2)/1E5)))</f>
        <v/>
      </c>
      <c r="DQ25" s="56" t="str">
        <f>IF(V25&lt;&gt;"SÍ","",IF(OR(NOT(AND(C25="VOLADO",AD25&gt;DATOS!$C$83)),DN25&lt;1),0,DATOS!$C$30*2*MIN(1,SQRT(2/(1+0.04*DO25)))*((DN25*INDEX(TABLAS!$D$52:$D$58,MATCH(BV25,TABLAS!$B$52:$B$58,0)))/(AG25*DO25))^(1/3)*SQRT(DATOS!$C$13)*AG25*DO25/1000))</f>
        <v/>
      </c>
      <c r="DR25" s="56" t="str">
        <f>IF(V25&lt;&gt;"SÍ","",IF(NOT(AND(C25="VOLADO",AD25&gt;DATOS!$C$83)),0,IF((BH25-DP25)&lt;=0,0,IF(DP25&lt;=0,IF(ISNUMBER(P25),P25,Y25),IF(((0.9*DATOS!$C$90*DATOS!$C$86/100/1000)*IF(ISNUMBER(P25),P25,Y25)/2+BH25/IF(ISNUMBER(P25),P25,Y25))^2-4*((0.9*DATOS!$C$90*DATOS!$C$86/100/1000)/2)*(BH25-DP25)&lt;0,IF(ISNUMBER(P25),P25,Y25),MIN(IF(ISNUMBER(P25),P25,Y25),(((0.9*DATOS!$C$90*DATOS!$C$86/100/1000)*IF(ISNUMBER(P25),P25,Y25)/2+BH25/IF(ISNUMBER(P25),P25,Y25))-SQRT(((0.9*DATOS!$C$90*DATOS!$C$86/100/1000)*IF(ISNUMBER(P25),P25,Y25)/2+BH25/IF(ISNUMBER(P25),P25,Y25))^2-4*((0.9*DATOS!$C$90*DATOS!$C$86/100/1000)/2)*(BH25-DP25)))/(2*((0.9*DATOS!$C$90*DATOS!$C$86/100/1000)/2))))))))</f>
        <v/>
      </c>
      <c r="DS25" s="56" t="str">
        <f>IF(V25&lt;&gt;"SÍ","",IF(NOT(AND(C25="VOLADO",AD25&gt;DATOS!$C$83)),0,IF(DQ25&lt;=(BH25/((IF(ISNUMBER(P25),P25,Y25)*100-DATOS!$C$87)/100)),IF(ISNUMBER(P25),P25,Y25),MIN(IF(ISNUMBER(P25),P25,Y25),MAX(0,(IF(ISNUMBER(P25),P25,Y25)*100-DATOS!$C$87)/200-(DQ25-(BH25/((IF(ISNUMBER(P25),P25,Y25)*100-DATOS!$C$87)/100)))/((0.95-0.5*IF(N(Q25)&gt;0,MIN(IF(ISNUMBER(P25),P25,Y25),Q25)/MAX(IF(ISNUMBER(P25),P25,Y25),Q25),0))*DATOS!$C$33*AR25*DATOS!$C$86/100/1000))))))</f>
        <v/>
      </c>
      <c r="DT25" s="56" t="str">
        <f>IF(V25&lt;&gt;"SÍ","",IF(NOT(AND(C25="VOLADO",AD25&gt;DATOS!$C$83)),0,(BH25/((IF(ISNUMBER(P25),P25,Y25)*100-DATOS!$C$87)/100))+((0.95-0.5*IF(N(Q25)&gt;0,MIN(IF(ISNUMBER(P25),P25,Y25),Q25)/MAX(IF(ISNUMBER(P25),P25,Y25),Q25),0))*DATOS!$C$33*AR25*DATOS!$C$86/100/1000)*MAX(0,(IF(ISNUMBER(P25),P25,Y25)*100-DATOS!$C$87)/200-BX25/100)))</f>
        <v/>
      </c>
      <c r="DU25" s="59" t="str">
        <f>IF(V25&lt;&gt;"SÍ","",IF(NOT(AND(C25="VOLADO",AD25&gt;DATOS!$C$83)),0,MIN(FLOOR(100*IF(ISNUMBER(P25),P25,Y25)-DATOS!$C$63,5),CEILING(100*MIN(IF(ISNUMBER(P25),P25,Y25),MAX(IF(DR25&gt;0,DR25+IF(BW25&gt;=2,MAX(DO25,12*INDEX(TABLAS!$C$52:$C$58,MATCH(BV25,TABLAS!$B$52:$B$58,0)))/100,0),0),DS25,IF(BW25&gt;=2,INDEX(TABLAS!$F$52:$F$58,MATCH(BV25,TABLAS!$B$52:$B$58,0))/100,0))),5))))</f>
        <v/>
      </c>
      <c r="DV25" s="60" t="str">
        <f>IF(V25&lt;&gt;"SÍ","",IF(NOT(AND(C25="VOLADO",AD25&gt;DATOS!$C$83)),0,IF(DU25&lt;=0,0,CEILING(DU25/DATOS!$C$86,1))))</f>
        <v/>
      </c>
      <c r="DW25" s="61" t="str">
        <f>IF(V25&lt;&gt;"SÍ","",IF(C25&lt;&gt;"VOLADO","—",IF(AD25&lt;=DATOS!$C$83,"— (mismo b_w que el respaldo)",IF(DT25&gt;CS25,"NO CUMPLE: cortante de la nervadura ancha junto al apoyo ("&amp;TEXT(DT25,"0.00")&amp;" &gt; "&amp;TEXT(CS25,"0.00")&amp;" t)",IF(DU25&gt;=100*IF(ISNUMBER(P25),P25,Y25),"CUMPLE — todas las nervaduras del respaldo ‖ al volado con b_w = "&amp;AD25&amp;" cm","CUMPLE — "&amp;DV25&amp;" hilera(s) del respaldo con nervaduras de b_w = "&amp;AD25&amp;" cm (casetón "&amp;AE25&amp;" cm), hasta "&amp;TEXT(DU25/100,"0.00")&amp;" m del paño")))))</f>
        <v/>
      </c>
      <c r="DX25" s="69" t="str">
        <f>IF(V25&lt;&gt;"SÍ","",IF(BO25=0,"NO ALCANZA",BO25&amp;" No. "&amp;BN25&amp;IF(BO25&gt;1," corridas"," corrida")))</f>
        <v/>
      </c>
      <c r="DY25" s="69" t="str">
        <f>IF(V25&lt;&gt;"SÍ","",IF(BW25=0,"NO ALCANZA",IF(AND(C25="VOLADO",AD25&gt;DATOS!$C$83,BW25&gt;=2),"1 No. "&amp;BV25&amp;" corrida de la orilla al respaldo ("&amp;IF(DC25&gt;=FLOOR(100*IF(ISNUMBER(P25),P25,Y25)-DATOS!$C$63,5),"hasta su apoyo lejano, con gancho","entra "&amp;TEXT(DC25/100,"0.00")&amp;" m desde el paño")&amp;") + "&amp;(BW25-1)&amp;" bastón No. "&amp;BV25&amp;" hasta "&amp;TEXT(DU25/100,"0.00")&amp;" m del paño (fin de la nervadura ancha)",IF(C25="VOLADO",BW25&amp;" No. "&amp;BV25&amp;" de la orilla al respaldo ("&amp;IF(DC25&gt;=FLOOR(100*IF(ISNUMBER(P25),P25,Y25)-DATOS!$C$63,5),"hasta su apoyo lejano, con gancho","entran "&amp;TEXT(DC25/100,"0.00")&amp;" m desde el paño")&amp;")","1 No. "&amp;BV25&amp;" corrida"&amp;IF(BW25&gt;1," + "&amp;(BW25-1)&amp;" bastón No. "&amp;BV25&amp;" L = "&amp;TEXT(DC25/100,"0.00")&amp;" m desde el paño","")))))</f>
        <v/>
      </c>
      <c r="DZ25" s="69" t="str">
        <f>IF(V25&lt;&gt;"SÍ","",IF(CE25=0,"NO ALCANZA",CE25&amp;" No. "&amp;CD25&amp;IF(CE25&gt;1," corridas"," corrida")))</f>
        <v/>
      </c>
      <c r="EA25" s="69" t="str">
        <f>IF(V25&lt;&gt;"SÍ","",IF(CM25=0,"NO ALCANZA",IF(C25="VOLADO","1 No. "&amp;CL25&amp;" corrida (repartición)","1 No. "&amp;CL25&amp;" corrida"&amp;IF(CM25&gt;1," + "&amp;(CM25-1)&amp;" bastón No. "&amp;CL25&amp;" L = "&amp;TEXT(DD25/100,"0.00")&amp;" m desde el paño",""))))</f>
        <v/>
      </c>
      <c r="EB25" s="67" t="str">
        <f>IF(B25="","",IF(V25&lt;&gt;"SÍ","FALTAN DATOS: tipo, a_x, a_y, destino y, en volados, L_b",IF(L25="NO MONOLÍTICO (caso II)","FUERA DE ALCANCE: caso II no transcrito",IF(AND(C25="VOLADO",W25="?"),"REVISAR: el volado lleva UN solo borde CONTINUO (el empotrado)",IF(MIN(DH25,DI25)=0,"REVISAR: no cabe un casetón (tablero macizo): diséñalo en MACIZAS",IF(AND(MAX(BR25,BZ25,CH25,CP25)&lt;=1,NOT(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T(OR(AND(ISNUMBER(BS25),BS25&lt;0.005),AND(ISNUMBER(CA25),CA25&lt;0.005),AND(ISNUMBER(CI25),CI25&lt;0.005),AND(ISNUMBER(CQ25),CQ25&lt;0.005))),NOT(LEFT(DW25,2)="NO"),DA25="CUMPLE",DB25="CUMPLE",LEFT(CU25,2)&lt;&gt;"NO",LEFT(DATOS!$C$132,6)="CUMPLE"),IF(LEFT(CU25,6)="CUMPLE","CUMPLE","CUMPLE — "&amp;CU25)&amp;IF(LEFT(BK25,5)="FUERA"," · fuera de 3.4.2.1 c)","")&amp;IF(LEFT(DG25,2)="NO"," · REVISAR anclaje en borde discontinuo","")&amp;IF(DV25&gt;0," · respaldo: "&amp;DV25&amp;" hilera(s) de b_w "&amp;AD25&amp;" cm",""),IF(AND(MAX(BR25,BZ25,CH25,CP25)&lt;=1,NOT(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T(OR(AND(ISNUMBER(BS25),BS25&lt;0.005),AND(ISNUMBER(CA25),CA25&lt;0.005),AND(ISNUMBER(CI25),CI25&lt;0.005),AND(ISNUMBER(CQ25),CQ25&lt;0.005))),NOT(LEFT(DW25,2)="NO"),DA25="CALCULAR FLECHA",LEFT(CU25,2)&lt;&gt;"NO",LEFT(DATOS!$C$132,6)="CUMPLE"),"REVISAR: calcular flecha (h_eq &lt; h mín.)"&amp;IF(LEFT(BK25,5)="FUERA"," · fuera de 3.4.2.1 c)","")&amp;IF(LEFT(DG25,2)="NO"," · REVISAR anclaje en borde discontinuo","")&amp;IF(DV25&gt;0," · respaldo: "&amp;DV25&amp;" hilera(s) de b_w "&amp;AD25&amp;" cm",""),"NO CUMPLE: "&amp;IF(MAX(BR25,BZ25,CH25,CP25)&gt;1,"flexión ","")&amp;IF(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 caben ","")&amp;IF(OR(AND(ISNUMBER(BS25),BS25&lt;0.005),AND(ISNUMBER(CA25),CA25&lt;0.005),AND(ISNUMBER(CI25),CI25&lt;0.005),AND(ISNUMBER(CQ25),CQ25&lt;0.005)),"ε_t &lt; 0.005 ","")&amp;IF(LEFT(CU25,2)="NO","cortante ","")&amp;IF(DA25="NO CUMPLE","peralte ","")&amp;IF(DB25&lt;&gt;"CUMPLE","capa &lt; 6 cm ","")&amp;IF(LEFT(DATOS!$C$132,6)&lt;&gt;"CUMPLE","capa o malla (DATOS sección 7) ","")&amp;IF(LEFT(DW25,2)="NO","respaldo del volado",""))))))))</f>
        <v/>
      </c>
      <c r="EC25" s="70" t="str">
        <f>IF(V25&lt;&gt;"SÍ","",IF(LEFT(B25,7)="EJEMPLO","EJEMPLO de la hoja de Casa Rocha: bórralo o sobrescríbelo. ","")&amp;IF(AND(C25="PERIMETRAL",MIN(DH25,DI25)=0),"No cabe un casetón en el claro corto: es un tablero macizo, diséñalo en MACIZAS. ","")&amp;IF(AND(AJ25="NO",C25="PERIMETRAL"),"No cumple 6.7.8.1.4 (a_c = "&amp;MAX(DATOS!$C$81,AE25)&amp;" cm &gt; claro corto/6 = "&amp;TEXT(Y25*100/6,"0")&amp;" cm): se diseña como losa apoyada en vigas (6.7.8.1.9): r de viga = "&amp;DATOS!$C$63&amp;" cm y V_cR sin ×1.1. Para que cuente como encasetonada: casetón de "&amp;TEXT(FLOOR(MIN(80,Y25*100/6),1),"0")&amp;" cm o menor. ","")&amp;IF(C25="VOLADO","Volado de "&amp;TEXT(Y25,"0.00")&amp;" m empotrado en el borde "&amp;LOWER(W25)&amp;IF(N(O25)&gt;0,", con "&amp;TEXT(O25,"0.0")&amp;" kg/m en la orilla","")&amp;". Lecho inferior con r_ext. Si la orilla carga pretil u otro elemento frágil, calcula la flecha (13.4). El acero superior entra al respaldo de "&amp;TEXT(IF(ISNUMBER(P25),P25,Y25),"0.00")&amp;" m"&amp;" hasta pasar M = 0 con 0.9·PP sin carga viva; si ahí no se anula, llega al apoyo lejano y se ancla con gancho (NTC-Criterios 3.4.1 c y 5.1.2.2). "&amp;IF(AD25&gt;DATOS!$C$83,"Respaldo: "&amp;DW25&amp;". ",""),"")&amp;IF(AND(C25="VOLADO",((0.9*DATOS!$C$90*DATOS!$C$86/100/1000)*IF(ISNUMBER(P25),P25,Y25)/2-BH25/IF(ISNUMBER(P25),P25,Y25))&lt;0),"Con 0.9·PP y sin carga viva el apoyo lejano del respaldo levanta (R = "&amp;TEXT(-((0.9*DATOS!$C$90*DATOS!$C$86/100/1000)*IF(ISNUMBER(P25),P25,Y25)/2-BH25/IF(ISNUMBER(P25),P25,Y25)),"0.00")&amp;" t por nervadura): ancla ahí la corrida con gancho y revisa ese apoyo a tensión. ","")&amp;IF(LEFT(BK25,5)="FUERA","El M⁻ del vecino difiere más de 50 % (3.4.2.1 c): distribuye el desequilibrio (3.4.3.1) o confirma con un modelo; se arma con el mayor. ","")&amp;IF(OR(DE25="SÍ",DF25="SÍ"),"El M⁻ del borde discontinuo pide bastón también ahí (con gancho). ","")&amp;IF(LEFT(DG25,2)="NO","Anclaje: "&amp;DG25&amp;" (6.7.8.1.7). ","")&amp;IF(AND(C25="PERIMETRAL",AT25&gt;=1,AS25-AT25&gt;=1),"Esquinas exteriores sobre muro: refuerzo de esquina arriba y abajo en L_largo/5 (6.7.7.3.1). ",""))</f>
        <v/>
      </c>
    </row>
    <row r="26" ht="33" customHeight="1">
      <c r="A26" s="50">
        <f>IF(B26="",0,1)+A25</f>
        <v>4</v>
      </c>
      <c r="B26" s="29" t="n"/>
      <c r="C26" s="51" t="n"/>
      <c r="D26" s="29" t="n"/>
      <c r="E26" s="52" t="n"/>
      <c r="F26" s="52" t="n"/>
      <c r="G26" s="51" t="n"/>
      <c r="H26" s="51" t="n"/>
      <c r="I26" s="51" t="n"/>
      <c r="J26" s="51" t="n"/>
      <c r="K26" s="51" t="n"/>
      <c r="L26" s="51" t="n"/>
      <c r="M26" s="53" t="n"/>
      <c r="N26" s="53" t="n"/>
      <c r="O26" s="54" t="n"/>
      <c r="P26" s="52" t="n"/>
      <c r="Q26" s="52" t="n"/>
      <c r="R26" s="53" t="n"/>
      <c r="S26" s="54" t="n"/>
      <c r="T26" s="52" t="n"/>
      <c r="U26" s="52" t="n"/>
      <c r="V26" s="55" t="str">
        <f>IF(B26="","",IF(AND(OR(C26="PERIMETRAL",C26="VOLADO"),ISNUMBER(E26),ISNUMBER(F26),E26&gt;0,F26&gt;0,OR(ISNUMBER(N26),ISNUMBER(MATCH(D26,DATOS!$B$46:$B$58,0))),OR(C26&lt;&gt;"VOLADO",N(P26)&gt;0)),"SÍ","NO"))</f>
        <v/>
      </c>
      <c r="W26" s="55" t="str">
        <f>IF(V26&lt;&gt;"SÍ","",IF(C26&lt;&gt;"VOLADO","—",IF(COUNTIF(G26:J26,"CONTINUO")&lt;&gt;1,"?",IF(G26="CONTINUO","INFERIOR",IF(H26="CONTINUO","SUPERIOR",IF(I26="CONTINUO","IZQUIERDO","DERECHO"))))))</f>
        <v/>
      </c>
      <c r="X26" s="55" t="str">
        <f>IF(V26&lt;&gt;"SÍ","",IF(C26="VOLADO",IF(OR(W26="IZQUIERDO",W26="DERECHO"),"X","Y"),IF(E26&lt;=F26,"X","Y")))</f>
        <v/>
      </c>
      <c r="Y26" s="56" t="str">
        <f>IF(V26&lt;&gt;"SÍ","",IF(C26="VOLADO",IF(X26="X",E26,F26),MIN(E26,F26)))</f>
        <v/>
      </c>
      <c r="Z26" s="56" t="str">
        <f>IF(V26&lt;&gt;"SÍ","",IF(C26="VOLADO",IF(X26="X",F26,E26),MAX(E26,F26)))</f>
        <v/>
      </c>
      <c r="AA26" s="56" t="str">
        <f>IF(V26&lt;&gt;"SÍ","",MIN(Y26,Z26)/MAX(Y26,Z26))</f>
        <v/>
      </c>
      <c r="AB26" s="57" t="str">
        <f>IF(V26&lt;&gt;"SÍ","",MAX(1,Y26*100-IF(C26="VOLADO",DATOS!$C$87/2,DATOS!$C$87)))</f>
        <v/>
      </c>
      <c r="AC26" s="57" t="str">
        <f>IF(V26&lt;&gt;"SÍ","",MAX(1,Z26*100-DATOS!$C$87))</f>
        <v/>
      </c>
      <c r="AD26" s="57" t="str">
        <f>IF(V26&lt;&gt;"SÍ","",IF(ISNUMBER(R26),R26,DATOS!$C$83))</f>
        <v/>
      </c>
      <c r="AE26" s="57" t="str">
        <f>IF(V26&lt;&gt;"SÍ","",MAX(0,DATOS!$C$86-AD26))</f>
        <v/>
      </c>
      <c r="AF26" s="57" t="str">
        <f>IF(V26&lt;&gt;"SÍ","",IF(OR(DATOS!$C$65="SÍ",AD26&gt;=20),AD26,AD26-2))</f>
        <v/>
      </c>
      <c r="AG26" s="57" t="str">
        <f>IF(V26&lt;&gt;"SÍ","",IF(OR(DATOS!$C$65="SÍ",DATOS!$C$83&gt;=20),DATOS!$C$83,DATOS!$C$83-2))</f>
        <v/>
      </c>
      <c r="AH26" s="57" t="str">
        <f>IF(V26&lt;&gt;"SÍ","",MIN(DATOS!$C$86,AD26+2*MIN(8*DATOS!$C$84,AE26/2,AB26/8)))</f>
        <v/>
      </c>
      <c r="AI26" s="57" t="str">
        <f>IF(V26&lt;&gt;"SÍ","",MIN(DATOS!$C$86,DATOS!$C$83+2*MIN(8*DATOS!$C$84,DATOS!$C$81/2,AC26/8)))</f>
        <v/>
      </c>
      <c r="AJ26" s="55" t="str">
        <f>IF(V26&lt;&gt;"SÍ","",IF(AND(C26="PERIMETRAL",Y26*100&gt;=6*MAX(DATOS!$C$81,AE26),MAX(DATOS!$C$81,AE26)&lt;=80,MIN(DATOS!$C$83,AD26)&gt;=10,DATOS!$C$85&lt;=3.5*MIN(DATOS!$C$83,AD26),DATOS!$C$84&gt;=MAX(MAX(DATOS!$C$81,AE26)/13,5)),"SÍ","NO"))</f>
        <v/>
      </c>
      <c r="AK26" s="57" t="str">
        <f>IF(V26&lt;&gt;"SÍ","",IF(C26="VOLADO",DATOS!$C$64,IF(AJ26="NO",DATOS!$C$63,DATOS!$C$62)))</f>
        <v/>
      </c>
      <c r="AL26" s="57" t="str">
        <f>IF(V26&lt;&gt;"SÍ","",IF(OR(AND(AN26="SÍ",DATOS!$C$66="SÍ"),AND(C26="VOLADO",DATOS!$C$67="SÍ")),DATOS!$C$64,IF(AJ26="NO",DATOS!$C$63,DATOS!$C$62)))</f>
        <v/>
      </c>
      <c r="AM26" s="58" t="str">
        <f>IF(V26&lt;&gt;"SÍ","",MAX(AL26,(DATOS!$C$84-2*DATOS!$C$97)/2))</f>
        <v/>
      </c>
      <c r="AN26" s="55" t="str">
        <f>IF(V26&lt;&gt;"SÍ","",IFERROR(INDEX(DATOS!$D$46:$D$58,MATCH(D26,DATOS!$B$46:$B$58,0)),"NO"))</f>
        <v/>
      </c>
      <c r="AO26" s="59" t="str">
        <f>IF(V26&lt;&gt;"SÍ","",IF(ISNUMBER(N26),N26,IFERROR(INDEX(DATOS!$C$46:$C$58,MATCH(D26,DATOS!$B$46:$B$58,0)),0)))</f>
        <v/>
      </c>
      <c r="AP26" s="59" t="str">
        <f>IF(V26&lt;&gt;"SÍ","",IF(MIN(DH26,DI26)=0,DATOS!$C$85/100*DATOS!$C$16*1000,(DATOS!$C$85/100-(AE26*DATOS!$C$81/DATOS!$C$86^2)*DATOS!$C$82/100)*DATOS!$C$16*1000+(AE26*DATOS!$C$81/DATOS!$C$86^2)*DATOS!$C$82/100*DATOS!$C$17*1000)+DATOS!$C$37+DATOS!$C$38)</f>
        <v/>
      </c>
      <c r="AQ26" s="59" t="str">
        <f>IF(V26&lt;&gt;"SÍ","",AP26+N(M26))</f>
        <v/>
      </c>
      <c r="AR26" s="60" t="str">
        <f>IF(V26&lt;&gt;"SÍ","",MAX(DATOS!$C$26*AQ26+DATOS!$C$27*AO26,IF(AN26="SÍ",DATOS!$C$28*(AQ26+DATOS!$C$41),0)))</f>
        <v/>
      </c>
      <c r="AS26" s="59" t="str">
        <f>IF(V26&lt;&gt;"SÍ","",(G26="DISCONTINUO")+(H26="DISCONTINUO")+(I26="DISCONTINUO")+(J26="DISCONTINUO"))</f>
        <v/>
      </c>
      <c r="AT26" s="59" t="str">
        <f>IF(V26&lt;&gt;"SÍ","",IF(X26="X",(G26="DISCONTINUO")+(H26="DISCONTINUO"),(I26="DISCONTINUO")+(J26="DISCONTINUO")))</f>
        <v/>
      </c>
      <c r="AU26" s="55" t="str">
        <f>IF(V26&lt;&gt;"SÍ","",IF(AS26=0,"INTERIOR",IF(AS26=1,IF(AT26=1,"BORDE-CORTO","BORDE-LARGO"),IF(AS26=2,IF(AT26=1,"ESQUINA",IF(AT26=2,"EXTREMO-LARGO","EXTREMO-CORTO")),IF(AS26=3,IF(AT26=2,"EXTREMO-LARGO","EXTREMO-CORTO"),"AISLADO")))))</f>
        <v/>
      </c>
      <c r="AV26" s="61" t="str">
        <f>IF(V26&lt;&gt;"SÍ","",IF(OR(K26="",K26="AUTO"),AU26,K26))</f>
        <v/>
      </c>
      <c r="AW26" s="59" t="str">
        <f>IF(V26&lt;&gt;"SÍ","",MATCH(AA26,TABLAS!$D$5:$J$5,1))</f>
        <v/>
      </c>
      <c r="AX26" s="58" t="str">
        <f>IF(V26&lt;&gt;"SÍ","",IF(AW26&gt;=7,0,(AA26-INDEX(TABLAS!$D$5:$J$5,AW26))/(INDEX(TABLAS!$D$5:$J$5,AW26+1)-INDEX(TABLAS!$D$5:$J$5,AW26))))</f>
        <v/>
      </c>
      <c r="AY26" s="59" t="str">
        <f>IF(V26&lt;&gt;"SÍ","",INDEX(TABLAS!$D$6:$J$47,MATCH(AV26&amp;"|NIC",TABLAS!$B$6:$B$47,0),AW26)+AX26*(INDEX(TABLAS!$D$6:$J$47,MATCH(AV26&amp;"|NIC",TABLAS!$B$6:$B$47,0),MIN(AW26+1,7))-INDEX(TABLAS!$D$6:$J$47,MATCH(AV26&amp;"|NIC",TABLAS!$B$6:$B$47,0),AW26)))</f>
        <v/>
      </c>
      <c r="AZ26" s="59" t="str">
        <f>IF(V26&lt;&gt;"SÍ","",INDEX(TABLAS!$D$6:$J$47,MATCH(AV26&amp;"|NIL",TABLAS!$B$6:$B$47,0),AW26)+AX26*(INDEX(TABLAS!$D$6:$J$47,MATCH(AV26&amp;"|NIL",TABLAS!$B$6:$B$47,0),MIN(AW26+1,7))-INDEX(TABLAS!$D$6:$J$47,MATCH(AV26&amp;"|NIL",TABLAS!$B$6:$B$47,0),AW26)))</f>
        <v/>
      </c>
      <c r="BA26" s="59" t="str">
        <f>IF(V26&lt;&gt;"SÍ","",INDEX(TABLAS!$D$6:$J$47,MATCH(AV26&amp;"|NDC",TABLAS!$B$6:$B$47,0),AW26)+AX26*(INDEX(TABLAS!$D$6:$J$47,MATCH(AV26&amp;"|NDC",TABLAS!$B$6:$B$47,0),MIN(AW26+1,7))-INDEX(TABLAS!$D$6:$J$47,MATCH(AV26&amp;"|NDC",TABLAS!$B$6:$B$47,0),AW26)))</f>
        <v/>
      </c>
      <c r="BB26" s="59" t="str">
        <f>IF(V26&lt;&gt;"SÍ","",INDEX(TABLAS!$D$6:$J$47,MATCH(AV26&amp;"|NDL",TABLAS!$B$6:$B$47,0),AW26)+AX26*(INDEX(TABLAS!$D$6:$J$47,MATCH(AV26&amp;"|NDL",TABLAS!$B$6:$B$47,0),MIN(AW26+1,7))-INDEX(TABLAS!$D$6:$J$47,MATCH(AV26&amp;"|NDL",TABLAS!$B$6:$B$47,0),AW26)))</f>
        <v/>
      </c>
      <c r="BC26" s="59" t="str">
        <f>IF(V26&lt;&gt;"SÍ","",INDEX(TABLAS!$D$6:$J$47,MATCH(AV26&amp;"|PC",TABLAS!$B$6:$B$47,0),AW26)+AX26*(INDEX(TABLAS!$D$6:$J$47,MATCH(AV26&amp;"|PC",TABLAS!$B$6:$B$47,0),MIN(AW26+1,7))-INDEX(TABLAS!$D$6:$J$47,MATCH(AV26&amp;"|PC",TABLAS!$B$6:$B$47,0),AW26)))</f>
        <v/>
      </c>
      <c r="BD26" s="59" t="str">
        <f>IF(V26&lt;&gt;"SÍ","",INDEX(TABLAS!$D$6:$J$47,MATCH(AV26&amp;"|PL",TABLAS!$B$6:$B$47,0),AW26)+AX26*(INDEX(TABLAS!$D$6:$J$47,MATCH(AV26&amp;"|PL",TABLAS!$B$6:$B$47,0),MIN(AW26+1,7))-INDEX(TABLAS!$D$6:$J$47,MATCH(AV26&amp;"|PL",TABLAS!$B$6:$B$47,0),AW26)))</f>
        <v/>
      </c>
      <c r="BE26" s="56" t="str">
        <f>IF(V26&lt;&gt;"SÍ","",IF(OR(C26&lt;&gt;"VOLADO",MIN(DH26,DI26)=0),0,DATOS!$C$26*DATOS!$C$16*DATOS!$C$86/100*(((AE26*DATOS!$C$81/DATOS!$C$86^2)*DATOS!$C$82/100)*(IF(X26="X",DJ26,DL26)+DATOS!$C$87/2)/100*(AB26-(IF(X26="X",DJ26,DL26)+DATOS!$C$87/2)/2)/100+((AE26*DATOS!$C$81/DATOS!$C$86^2)*DATOS!$C$82/100)*IF(X26="X",DJ26,DL26)/100*IF(X26="X",DJ26,DL26)/200)))</f>
        <v/>
      </c>
      <c r="BF26" s="56" t="str">
        <f>IF(V26&lt;&gt;"SÍ","",IF(OR(C26&lt;&gt;"VOLADO",MIN(DH26,DI26)=0),0,DATOS!$C$26*DATOS!$C$16*DATOS!$C$86/100*((AE26*DATOS!$C$81/DATOS!$C$86^2)*DATOS!$C$82/100)*(IF(X26="X",DJ26,DL26)+DATOS!$C$87/2)/100))</f>
        <v/>
      </c>
      <c r="BG26" s="56" t="str">
        <f>IF(V26&lt;&gt;"SÍ","",IF(C26="PERIMETRAL",BC26*AR26*Y26^2*1E-4*DATOS!$C$86/100/1000,0))</f>
        <v/>
      </c>
      <c r="BH26" s="62" t="str">
        <f>IF(V26&lt;&gt;"SÍ","",IF(C26="PERIMETRAL",MAX(MAX(AY26,BA26)*AR26*Y26^2*1E-4*DATOS!$C$86/100/1000,N(T26)),(AR26*(AB26/100)^2/2+DATOS!$C$26*N(O26)*AB26/100)*DATOS!$C$86/100/1000+BE26))</f>
        <v/>
      </c>
      <c r="BI26" s="56" t="str">
        <f>IF(V26&lt;&gt;"SÍ","",IF(C26="PERIMETRAL",BD26*AR26*Y26^2*1E-4*DATOS!$C$86/100/1000,0))</f>
        <v/>
      </c>
      <c r="BJ26" s="56" t="str">
        <f>IF(V26&lt;&gt;"SÍ","",IF(C26="PERIMETRAL",MAX(MAX(AZ26,BB26)*AR26*Y26^2*1E-4*DATOS!$C$86/100/1000,N(U26)),0))</f>
        <v/>
      </c>
      <c r="BK26" s="63" t="str">
        <f>IF(V26&lt;&gt;"SÍ","",IF(C26&lt;&gt;"PERIMETRAL","—",IF(AND(N(T26)=0,N(U26)=0),"— (sin M⁻ del vecino)",IF(OR(AND(N(T26)&gt;0,ABS(MAX(AY26,BA26)*AR26*Y26^2*1E-4*DATOS!$C$86/100/1000-N(T26))&gt;0.5*MIN(MAX(AY26,BA26)*AR26*Y26^2*1E-4*DATOS!$C$86/100/1000,N(T26))),AND(N(U26)&gt;0,ABS(MAX(AZ26,BB26)*AR26*Y26^2*1E-4*DATOS!$C$86/100/1000-N(U26))&gt;0.5*MIN(MAX(AZ26,BB26)*AR26*Y26^2*1E-4*DATOS!$C$86/100/1000,N(U26)))),"FUERA: difieren &gt; 50 %"&amp;IF(AND(N(T26)&gt;0,ABS(MAX(AY26,BA26)*AR26*Y26^2*1E-4*DATOS!$C$86/100/1000-N(T26))&gt;0.5*MIN(MAX(AY26,BA26)*AR26*Y26^2*1E-4*DATOS!$C$86/100/1000,N(T26)))," ‖ corto","")&amp;IF(AND(N(U26)&gt;0,ABS(MAX(AZ26,BB26)*AR26*Y26^2*1E-4*DATOS!$C$86/100/1000-N(U26))&gt;0.5*MIN(MAX(AZ26,BB26)*AR26*Y26^2*1E-4*DATOS!$C$86/100/1000,N(U26)))," ‖ largo",""),"CUMPLE"))))</f>
        <v/>
      </c>
      <c r="BL26" s="58" t="str">
        <f>IF(V26&lt;&gt;"SÍ","",(DATOS!$C$85-AK26-INDEX(TABLAS!$C$52:$C$58,MATCH(MAX(4,DATOS!$C$71),TABLAS!$B$52:$B$58,0))/2))</f>
        <v/>
      </c>
      <c r="BM26" s="58" t="str">
        <f>IF(V26&lt;&gt;"SÍ","",IF(IF(BG26&lt;=0,0,IF((1-2*BG26*1E5/(DATOS!$C$29*AH26*BL26^2*DATOS!$C$21))&lt;0,-1,IF((1-SQRT((1-2*BG26*1E5/(DATOS!$C$29*AH26*BL26^2*DATOS!$C$21))))*DATOS!$C$21*AH26*BL26/DATOS!$C$14&gt;DATOS!$C$102*AH26*BL26,-1,(1-SQRT((1-2*BG26*1E5/(DATOS!$C$29*AH26*BL26^2*DATOS!$C$21))))*DATOS!$C$21*AH26*BL26/DATOS!$C$14)))&lt;0,-1,MAX(IF(BG26&lt;=0,0,IF((1-2*BG26*1E5/(DATOS!$C$29*AH26*BL26^2*DATOS!$C$21))&lt;0,-1,IF((1-SQRT((1-2*BG26*1E5/(DATOS!$C$29*AH26*BL26^2*DATOS!$C$21))))*DATOS!$C$21*AH26*BL26/DATOS!$C$14&gt;DATOS!$C$102*AH26*BL26,-1,(1-SQRT((1-2*BG26*1E5/(DATOS!$C$29*AH26*BL26^2*DATOS!$C$21))))*DATOS!$C$21*AH26*BL26/DATOS!$C$14))),MIN(DATOS!$C$103*AD26*BL26,4/3*IF(BG26&lt;=0,0,IF((1-2*BG26*1E5/(DATOS!$C$29*AH26*BL26^2*DATOS!$C$21))&lt;0,-1,IF((1-SQRT((1-2*BG26*1E5/(DATOS!$C$29*AH26*BL26^2*DATOS!$C$21))))*DATOS!$C$21*AH26*BL26/DATOS!$C$14&gt;DATOS!$C$102*AH26*BL26,-1,(1-SQRT((1-2*BG26*1E5/(DATOS!$C$29*AH26*BL26^2*DATOS!$C$21))))*DATOS!$C$21*AH26*BL26/DATOS!$C$14)))))))</f>
        <v/>
      </c>
      <c r="BN26" s="64" t="str">
        <f>IF(V26&lt;&gt;"SÍ","",IF(AND(BM26&gt;=0,IF(MAX(DATOS!$C$74,CEILING(BM26/INDEX(TABLAS!$D$52:$D$58,MIN(MATCH(MAX(4,DATOS!$C$71),TABLAS!$B$52:$B$58,0)+0,7)),1))*INDEX(TABLAS!$D$52:$D$58,MIN(MATCH(MAX(4,DATOS!$C$71),TABLAS!$B$52:$B$58,0)+0,7)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+0,7)),1)),MAX(MAX(DATOS!$C$74,CEILING(BM26/INDEX(TABLAS!$D$52:$D$58,MIN(MATCH(MAX(4,DATOS!$C$71),TABLAS!$B$52:$B$58,0)+0,7)),1)),2))&lt;=MIN(DATOS!$C$73,INT(((AD26-2*AK26)+MAX(DATOS!$C$70,INDEX(TABLAS!$C$52:$C$58,MIN(MATCH(MAX(4,DATOS!$C$71),TABLAS!$B$52:$B$58,0)+0,7))))/(INDEX(TABLAS!$C$52:$C$58,MIN(MATCH(MAX(4,DATOS!$C$71),TABLAS!$B$52:$B$58,0)+0,7))+MAX(DATOS!$C$70,INDEX(TABLAS!$C$52:$C$58,MIN(MATCH(MAX(4,DATOS!$C$71),TABLAS!$B$52:$B$58,0)+0,7))))))),INDEX(TABLAS!$B$52:$B$58,MIN(MATCH(MAX(4,DATOS!$C$71),TABLAS!$B$52:$B$58,0)+0,7)),IF(AND(BM26&gt;=0,IF(MAX(DATOS!$C$74,CEILING(BM26/INDEX(TABLAS!$D$52:$D$58,MIN(MATCH(MAX(4,DATOS!$C$71),TABLAS!$B$52:$B$58,0)+1,7)),1))*INDEX(TABLAS!$D$52:$D$58,MIN(MATCH(MAX(4,DATOS!$C$71),TABLAS!$B$52:$B$58,0)+1,7)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+1,7)),1)),MAX(MAX(DATOS!$C$74,CEILING(BM26/INDEX(TABLAS!$D$52:$D$58,MIN(MATCH(MAX(4,DATOS!$C$71),TABLAS!$B$52:$B$58,0)+1,7)),1)),2))&lt;=MIN(DATOS!$C$73,INT(((AD26-2*AK26)+MAX(DATOS!$C$70,INDEX(TABLAS!$C$52:$C$58,MIN(MATCH(MAX(4,DATOS!$C$71),TABLAS!$B$52:$B$58,0)+1,7))))/(INDEX(TABLAS!$C$52:$C$58,MIN(MATCH(MAX(4,DATOS!$C$71),TABLAS!$B$52:$B$58,0)+1,7))+MAX(DATOS!$C$70,INDEX(TABLAS!$C$52:$C$58,MIN(MATCH(MAX(4,DATOS!$C$71),TABLAS!$B$52:$B$58,0)+1,7))))))),INDEX(TABLAS!$B$52:$B$58,MIN(MATCH(MAX(4,DATOS!$C$71),TABLAS!$B$52:$B$58,0)+1,7)),IF(AND(BM26&gt;=0,IF(MAX(DATOS!$C$74,CEILING(BM26/INDEX(TABLAS!$D$52:$D$58,MIN(MATCH(MAX(4,DATOS!$C$71),TABLAS!$B$52:$B$58,0)+2,7)),1))*INDEX(TABLAS!$D$52:$D$58,MIN(MATCH(MAX(4,DATOS!$C$71),TABLAS!$B$52:$B$58,0)+2,7)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+2,7)),1)),MAX(MAX(DATOS!$C$74,CEILING(BM26/INDEX(TABLAS!$D$52:$D$58,MIN(MATCH(MAX(4,DATOS!$C$71),TABLAS!$B$52:$B$58,0)+2,7)),1)),2))&lt;=MIN(DATOS!$C$73,INT(((AD26-2*AK26)+MAX(DATOS!$C$70,INDEX(TABLAS!$C$52:$C$58,MIN(MATCH(MAX(4,DATOS!$C$71),TABLAS!$B$52:$B$58,0)+2,7))))/(INDEX(TABLAS!$C$52:$C$58,MIN(MATCH(MAX(4,DATOS!$C$71),TABLAS!$B$52:$B$58,0)+2,7))+MAX(DATOS!$C$70,INDEX(TABLAS!$C$52:$C$58,MIN(MATCH(MAX(4,DATOS!$C$71),TABLAS!$B$52:$B$58,0)+2,7))))))),INDEX(TABLAS!$B$52:$B$58,MIN(MATCH(MAX(4,DATOS!$C$71),TABLAS!$B$52:$B$58,0)+2,7)),IF(AND(BM26&gt;=0,IF(MAX(DATOS!$C$74,CEILING(BM26/INDEX(TABLAS!$D$52:$D$58,MIN(MATCH(MAX(4,DATOS!$C$71),TABLAS!$B$52:$B$58,0)+3,7)),1))*INDEX(TABLAS!$D$52:$D$58,MIN(MATCH(MAX(4,DATOS!$C$71),TABLAS!$B$52:$B$58,0)+3,7)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+3,7)),1)),MAX(MAX(DATOS!$C$74,CEILING(BM26/INDEX(TABLAS!$D$52:$D$58,MIN(MATCH(MAX(4,DATOS!$C$71),TABLAS!$B$52:$B$58,0)+3,7)),1)),2))&lt;=MIN(DATOS!$C$73,INT(((AD26-2*AK26)+MAX(DATOS!$C$70,INDEX(TABLAS!$C$52:$C$58,MIN(MATCH(MAX(4,DATOS!$C$71),TABLAS!$B$52:$B$58,0)+3,7))))/(INDEX(TABLAS!$C$52:$C$58,MIN(MATCH(MAX(4,DATOS!$C$71),TABLAS!$B$52:$B$58,0)+3,7))+MAX(DATOS!$C$70,INDEX(TABLAS!$C$52:$C$58,MIN(MATCH(MAX(4,DATOS!$C$71),TABLAS!$B$52:$B$58,0)+3,7))))))),INDEX(TABLAS!$B$52:$B$58,MIN(MATCH(MAX(4,DATOS!$C$71),TABLAS!$B$52:$B$58,0)+3,7)),IF(AND(BM26&gt;=0,IF(MAX(DATOS!$C$74,CEILING(BM26/INDEX(TABLAS!$D$52:$D$58,MIN(MATCH(MAX(4,DATOS!$C$71),TABLAS!$B$52:$B$58,0)+4,7)),1))*INDEX(TABLAS!$D$52:$D$58,MIN(MATCH(MAX(4,DATOS!$C$71),TABLAS!$B$52:$B$58,0)+4,7)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+4,7)),1)),MAX(MAX(DATOS!$C$74,CEILING(BM26/INDEX(TABLAS!$D$52:$D$58,MIN(MATCH(MAX(4,DATOS!$C$71),TABLAS!$B$52:$B$58,0)+4,7)),1)),2))&lt;=MIN(DATOS!$C$73,INT(((AD26-2*AK26)+MAX(DATOS!$C$70,INDEX(TABLAS!$C$52:$C$58,MIN(MATCH(MAX(4,DATOS!$C$71),TABLAS!$B$52:$B$58,0)+4,7))))/(INDEX(TABLAS!$C$52:$C$58,MIN(MATCH(MAX(4,DATOS!$C$71),TABLAS!$B$52:$B$58,0)+4,7))+MAX(DATOS!$C$70,INDEX(TABLAS!$C$52:$C$58,MIN(MATCH(MAX(4,DATOS!$C$71),TABLAS!$B$52:$B$58,0)+4,7))))))),INDEX(TABLAS!$B$52:$B$58,MIN(MATCH(MAX(4,DATOS!$C$71),TABLAS!$B$52:$B$58,0)+4,7)),INDEX(TABLAS!$B$52:$B$58,7)))))))</f>
        <v/>
      </c>
      <c r="BO26" s="59" t="str">
        <f>IF(V26&lt;&gt;"SÍ","",IF(BM26&lt;0,0,IF(MAX(DATOS!$C$74,CEILING(MAX(BM26,0)/INDEX(TABLAS!$D$52:$D$58,MATCH(BN26,TABLAS!$B$52:$B$58,0)),1))*INDEX(TABLAS!$D$52:$D$58,MATCH(BN26,TABLAS!$B$52:$B$58,0))&gt;=4/3*IF(BG26&lt;=0,0,IF((1-2*BG26*1E5/(DATOS!$C$29*AH26*BL26^2*DATOS!$C$21))&lt;0,-1,IF((1-SQRT((1-2*BG26*1E5/(DATOS!$C$29*AH26*BL26^2*DATOS!$C$21))))*DATOS!$C$21*AH26*BL26/DATOS!$C$14&gt;DATOS!$C$102*AH26*BL26,-1,(1-SQRT((1-2*BG26*1E5/(DATOS!$C$29*AH26*BL26^2*DATOS!$C$21))))*DATOS!$C$21*AH26*BL26/DATOS!$C$14)))-0.0001,MAX(DATOS!$C$74,CEILING(MAX(BM26,0)/INDEX(TABLAS!$D$52:$D$58,MATCH(BN26,TABLAS!$B$52:$B$58,0)),1)),MAX(MAX(DATOS!$C$74,CEILING(MAX(BM26,0)/INDEX(TABLAS!$D$52:$D$58,MATCH(BN26,TABLAS!$B$52:$B$58,0)),1)),2))))</f>
        <v/>
      </c>
      <c r="BP26" s="58" t="str">
        <f>IF(V26&lt;&gt;"SÍ","",DATOS!$C$85-AK26-INDEX(TABLAS!$C$52:$C$58,MATCH(BN26,TABLAS!$B$52:$B$58,0))/2)</f>
        <v/>
      </c>
      <c r="BQ26" s="56" t="str">
        <f>IF(V26&lt;&gt;"SÍ","",IF(BO26=0,0,DATOS!$C$29*BO26*INDEX(TABLAS!$D$52:$D$58,MATCH(BN26,TABLAS!$B$52:$B$58,0))*DATOS!$C$14*(BP26-BO26*INDEX(TABLAS!$D$52:$D$58,MATCH(BN26,TABLAS!$B$52:$B$58,0))*DATOS!$C$14/(DATOS!$C$21*AH26)/2)/1E5))</f>
        <v/>
      </c>
      <c r="BR26" s="65" t="str">
        <f>IF(V26&lt;&gt;"SÍ","",IF(BM26&lt;0,9.99,IF(BQ26&gt;0,BG26/BQ26,0)))</f>
        <v/>
      </c>
      <c r="BS26" s="66" t="str">
        <f>IF(V26&lt;&gt;"SÍ","",IF(BO26=0,"—",0.003*(BP26-(BO26*INDEX(TABLAS!$D$52:$D$58,MATCH(BN26,TABLAS!$B$52:$B$58,0))*DATOS!$C$14/(DATOS!$C$21*AH26)/DATOS!$C$22))/(BO26*INDEX(TABLAS!$D$52:$D$58,MATCH(BN26,TABLAS!$B$52:$B$58,0))*DATOS!$C$14/(DATOS!$C$21*AH26)/DATOS!$C$22)))</f>
        <v/>
      </c>
      <c r="BT26" s="58" t="str">
        <f>IF(V26&lt;&gt;"SÍ","",((DATOS!$C$85-AM26-2*DATOS!$C$97-INDEX(TABLAS!$C$52:$C$58,MATCH(MAX(4,DATOS!$C$72),TABLAS!$B$52:$B$58,0))/2)-IF(AND((DATOS!$C$85-AM26-2*DATOS!$C$97-INDEX(TABLAS!$C$52:$C$58,MATCH(MAX(4,DATOS!$C$72),TABLAS!$B$52:$B$58,0))/2)&lt;=20,DATOS!$C$65&lt;&gt;"SÍ"),2,0)))</f>
        <v/>
      </c>
      <c r="BU26" s="58" t="str">
        <f>IF(V26&lt;&gt;"SÍ","",IF(IF(BH26&lt;=0,0,IF((1-2*BH26*1E5/(DATOS!$C$29*AF26*BT26^2*DATOS!$C$21))&lt;0,-1,IF((1-SQRT((1-2*BH26*1E5/(DATOS!$C$29*AF26*BT26^2*DATOS!$C$21))))*DATOS!$C$21*AF26*BT26/DATOS!$C$14&gt;DATOS!$C$102*AF26*BT26,-1,(1-SQRT((1-2*BH26*1E5/(DATOS!$C$29*AF26*BT26^2*DATOS!$C$21))))*DATOS!$C$21*AF26*BT26/DATOS!$C$14)))&lt;0,-1,MAX(IF(BH26&lt;=0,0,IF((1-2*BH26*1E5/(DATOS!$C$29*AF26*BT26^2*DATOS!$C$21))&lt;0,-1,IF((1-SQRT((1-2*BH26*1E5/(DATOS!$C$29*AF26*BT26^2*DATOS!$C$21))))*DATOS!$C$21*AF26*BT26/DATOS!$C$14&gt;DATOS!$C$102*AF26*BT26,-1,(1-SQRT((1-2*BH26*1E5/(DATOS!$C$29*AF26*BT26^2*DATOS!$C$21))))*DATOS!$C$21*AF26*BT26/DATOS!$C$14))),MIN(DATOS!$C$103*IF(C26="VOLADO",MIN(AH26,2*AD26),AD26)*BT26,4/3*IF(BH26&lt;=0,0,IF((1-2*BH26*1E5/(DATOS!$C$29*AF26*BT26^2*DATOS!$C$21))&lt;0,-1,IF((1-SQRT((1-2*BH26*1E5/(DATOS!$C$29*AF26*BT26^2*DATOS!$C$21))))*DATOS!$C$21*AF26*BT26/DATOS!$C$14&gt;DATOS!$C$102*AF26*BT26,-1,(1-SQRT((1-2*BH26*1E5/(DATOS!$C$29*AF26*BT26^2*DATOS!$C$21))))*DATOS!$C$21*AF26*BT26/DATOS!$C$14)))))))</f>
        <v/>
      </c>
      <c r="BV26" s="64" t="str">
        <f>IF(V26&lt;&gt;"SÍ","",IF(AND(BU26&gt;=0,IF(MAX(DATOS!$C$74,CEILING(BU26/INDEX(TABLAS!$D$52:$D$58,MIN(MATCH(MAX(4,DATOS!$C$72),TABLAS!$B$52:$B$58,0)+0,7)),1))*INDEX(TABLAS!$D$52:$D$58,MIN(MATCH(MAX(4,DATOS!$C$72),TABLAS!$B$52:$B$58,0)+0,7)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+0,7)),1)),MAX(MAX(DATOS!$C$74,CEILING(BU26/INDEX(TABLAS!$D$52:$D$58,MIN(MATCH(MAX(4,DATOS!$C$72),TABLAS!$B$52:$B$58,0)+0,7)),1)),2))&lt;=MIN(DATOS!$C$73,INT(((AD26-2*AL26)+MAX(DATOS!$C$70,INDEX(TABLAS!$C$52:$C$58,MIN(MATCH(MAX(4,DATOS!$C$72),TABLAS!$B$52:$B$58,0)+0,7))))/(INDEX(TABLAS!$C$52:$C$58,MIN(MATCH(MAX(4,DATOS!$C$72),TABLAS!$B$52:$B$58,0)+0,7))+MAX(DATOS!$C$70,INDEX(TABLAS!$C$52:$C$58,MIN(MATCH(MAX(4,DATOS!$C$72),TABLAS!$B$52:$B$58,0)+0,7))))))),INDEX(TABLAS!$B$52:$B$58,MIN(MATCH(MAX(4,DATOS!$C$72),TABLAS!$B$52:$B$58,0)+0,7)),IF(AND(BU26&gt;=0,IF(MAX(DATOS!$C$74,CEILING(BU26/INDEX(TABLAS!$D$52:$D$58,MIN(MATCH(MAX(4,DATOS!$C$72),TABLAS!$B$52:$B$58,0)+1,7)),1))*INDEX(TABLAS!$D$52:$D$58,MIN(MATCH(MAX(4,DATOS!$C$72),TABLAS!$B$52:$B$58,0)+1,7)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+1,7)),1)),MAX(MAX(DATOS!$C$74,CEILING(BU26/INDEX(TABLAS!$D$52:$D$58,MIN(MATCH(MAX(4,DATOS!$C$72),TABLAS!$B$52:$B$58,0)+1,7)),1)),2))&lt;=MIN(DATOS!$C$73,INT(((AD26-2*AL26)+MAX(DATOS!$C$70,INDEX(TABLAS!$C$52:$C$58,MIN(MATCH(MAX(4,DATOS!$C$72),TABLAS!$B$52:$B$58,0)+1,7))))/(INDEX(TABLAS!$C$52:$C$58,MIN(MATCH(MAX(4,DATOS!$C$72),TABLAS!$B$52:$B$58,0)+1,7))+MAX(DATOS!$C$70,INDEX(TABLAS!$C$52:$C$58,MIN(MATCH(MAX(4,DATOS!$C$72),TABLAS!$B$52:$B$58,0)+1,7))))))),INDEX(TABLAS!$B$52:$B$58,MIN(MATCH(MAX(4,DATOS!$C$72),TABLAS!$B$52:$B$58,0)+1,7)),IF(AND(BU26&gt;=0,IF(MAX(DATOS!$C$74,CEILING(BU26/INDEX(TABLAS!$D$52:$D$58,MIN(MATCH(MAX(4,DATOS!$C$72),TABLAS!$B$52:$B$58,0)+2,7)),1))*INDEX(TABLAS!$D$52:$D$58,MIN(MATCH(MAX(4,DATOS!$C$72),TABLAS!$B$52:$B$58,0)+2,7)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+2,7)),1)),MAX(MAX(DATOS!$C$74,CEILING(BU26/INDEX(TABLAS!$D$52:$D$58,MIN(MATCH(MAX(4,DATOS!$C$72),TABLAS!$B$52:$B$58,0)+2,7)),1)),2))&lt;=MIN(DATOS!$C$73,INT(((AD26-2*AL26)+MAX(DATOS!$C$70,INDEX(TABLAS!$C$52:$C$58,MIN(MATCH(MAX(4,DATOS!$C$72),TABLAS!$B$52:$B$58,0)+2,7))))/(INDEX(TABLAS!$C$52:$C$58,MIN(MATCH(MAX(4,DATOS!$C$72),TABLAS!$B$52:$B$58,0)+2,7))+MAX(DATOS!$C$70,INDEX(TABLAS!$C$52:$C$58,MIN(MATCH(MAX(4,DATOS!$C$72),TABLAS!$B$52:$B$58,0)+2,7))))))),INDEX(TABLAS!$B$52:$B$58,MIN(MATCH(MAX(4,DATOS!$C$72),TABLAS!$B$52:$B$58,0)+2,7)),IF(AND(BU26&gt;=0,IF(MAX(DATOS!$C$74,CEILING(BU26/INDEX(TABLAS!$D$52:$D$58,MIN(MATCH(MAX(4,DATOS!$C$72),TABLAS!$B$52:$B$58,0)+3,7)),1))*INDEX(TABLAS!$D$52:$D$58,MIN(MATCH(MAX(4,DATOS!$C$72),TABLAS!$B$52:$B$58,0)+3,7)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+3,7)),1)),MAX(MAX(DATOS!$C$74,CEILING(BU26/INDEX(TABLAS!$D$52:$D$58,MIN(MATCH(MAX(4,DATOS!$C$72),TABLAS!$B$52:$B$58,0)+3,7)),1)),2))&lt;=MIN(DATOS!$C$73,INT(((AD26-2*AL26)+MAX(DATOS!$C$70,INDEX(TABLAS!$C$52:$C$58,MIN(MATCH(MAX(4,DATOS!$C$72),TABLAS!$B$52:$B$58,0)+3,7))))/(INDEX(TABLAS!$C$52:$C$58,MIN(MATCH(MAX(4,DATOS!$C$72),TABLAS!$B$52:$B$58,0)+3,7))+MAX(DATOS!$C$70,INDEX(TABLAS!$C$52:$C$58,MIN(MATCH(MAX(4,DATOS!$C$72),TABLAS!$B$52:$B$58,0)+3,7))))))),INDEX(TABLAS!$B$52:$B$58,MIN(MATCH(MAX(4,DATOS!$C$72),TABLAS!$B$52:$B$58,0)+3,7)),IF(AND(BU26&gt;=0,IF(MAX(DATOS!$C$74,CEILING(BU26/INDEX(TABLAS!$D$52:$D$58,MIN(MATCH(MAX(4,DATOS!$C$72),TABLAS!$B$52:$B$58,0)+4,7)),1))*INDEX(TABLAS!$D$52:$D$58,MIN(MATCH(MAX(4,DATOS!$C$72),TABLAS!$B$52:$B$58,0)+4,7)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+4,7)),1)),MAX(MAX(DATOS!$C$74,CEILING(BU26/INDEX(TABLAS!$D$52:$D$58,MIN(MATCH(MAX(4,DATOS!$C$72),TABLAS!$B$52:$B$58,0)+4,7)),1)),2))&lt;=MIN(DATOS!$C$73,INT(((AD26-2*AL26)+MAX(DATOS!$C$70,INDEX(TABLAS!$C$52:$C$58,MIN(MATCH(MAX(4,DATOS!$C$72),TABLAS!$B$52:$B$58,0)+4,7))))/(INDEX(TABLAS!$C$52:$C$58,MIN(MATCH(MAX(4,DATOS!$C$72),TABLAS!$B$52:$B$58,0)+4,7))+MAX(DATOS!$C$70,INDEX(TABLAS!$C$52:$C$58,MIN(MATCH(MAX(4,DATOS!$C$72),TABLAS!$B$52:$B$58,0)+4,7))))))),INDEX(TABLAS!$B$52:$B$58,MIN(MATCH(MAX(4,DATOS!$C$72),TABLAS!$B$52:$B$58,0)+4,7)),INDEX(TABLAS!$B$52:$B$58,7)))))))</f>
        <v/>
      </c>
      <c r="BW26" s="59" t="str">
        <f>IF(V26&lt;&gt;"SÍ","",IF(BU26&lt;0,0,IF(MAX(DATOS!$C$74,CEILING(MAX(BU26,0)/INDEX(TABLAS!$D$52:$D$58,MATCH(BV26,TABLAS!$B$52:$B$58,0)),1))*INDEX(TABLAS!$D$52:$D$58,MATCH(BV26,TABLAS!$B$52:$B$58,0))&gt;=4/3*IF(BH26&lt;=0,0,IF((1-2*BH26*1E5/(DATOS!$C$29*AF26*BT26^2*DATOS!$C$21))&lt;0,-1,IF((1-SQRT((1-2*BH26*1E5/(DATOS!$C$29*AF26*BT26^2*DATOS!$C$21))))*DATOS!$C$21*AF26*BT26/DATOS!$C$14&gt;DATOS!$C$102*AF26*BT26,-1,(1-SQRT((1-2*BH26*1E5/(DATOS!$C$29*AF26*BT26^2*DATOS!$C$21))))*DATOS!$C$21*AF26*BT26/DATOS!$C$14)))-0.0001,MAX(DATOS!$C$74,CEILING(MAX(BU26,0)/INDEX(TABLAS!$D$52:$D$58,MATCH(BV26,TABLAS!$B$52:$B$58,0)),1)),MAX(MAX(DATOS!$C$74,CEILING(MAX(BU26,0)/INDEX(TABLAS!$D$52:$D$58,MATCH(BV26,TABLAS!$B$52:$B$58,0)),1)),2))))</f>
        <v/>
      </c>
      <c r="BX26" s="58" t="str">
        <f>IF(V26&lt;&gt;"SÍ","",((DATOS!$C$85-AM26-2*DATOS!$C$97-INDEX(TABLAS!$C$52:$C$58,MATCH(BV26,TABLAS!$B$52:$B$58,0))/2)-IF(AND((DATOS!$C$85-AM26-2*DATOS!$C$97-INDEX(TABLAS!$C$52:$C$58,MATCH(BV26,TABLAS!$B$52:$B$58,0))/2)&lt;=20,DATOS!$C$65&lt;&gt;"SÍ"),2,0)))</f>
        <v/>
      </c>
      <c r="BY26" s="56" t="str">
        <f>IF(V26&lt;&gt;"SÍ","",IF(BW26=0,0,DATOS!$C$29*BW26*INDEX(TABLAS!$D$52:$D$58,MATCH(BV26,TABLAS!$B$52:$B$58,0))*DATOS!$C$14*(BX26-BW26*INDEX(TABLAS!$D$52:$D$58,MATCH(BV26,TABLAS!$B$52:$B$58,0))*DATOS!$C$14/(DATOS!$C$21*AF26)/2)/1E5))</f>
        <v/>
      </c>
      <c r="BZ26" s="65" t="str">
        <f>IF(V26&lt;&gt;"SÍ","",IF(BU26&lt;0,9.99,IF(BY26&gt;0,BH26/BY26,0)))</f>
        <v/>
      </c>
      <c r="CA26" s="66" t="str">
        <f>IF(V26&lt;&gt;"SÍ","",IF(BW26=0,"—",0.003*(BX26-(BW26*INDEX(TABLAS!$D$52:$D$58,MATCH(BV26,TABLAS!$B$52:$B$58,0))*DATOS!$C$14/(DATOS!$C$21*AF26)/DATOS!$C$22))/(BW26*INDEX(TABLAS!$D$52:$D$58,MATCH(BV26,TABLAS!$B$52:$B$58,0))*DATOS!$C$14/(DATOS!$C$21*AF26)/DATOS!$C$22)))</f>
        <v/>
      </c>
      <c r="CB26" s="58" t="str">
        <f>IF(V26&lt;&gt;"SÍ","",(DATOS!$C$85-AK26-INDEX(TABLAS!$C$52:$C$58,MATCH(MAX(4,DATOS!$C$71),TABLAS!$B$52:$B$58,0))-INDEX(TABLAS!$C$52:$C$58,MATCH(MAX(4,DATOS!$C$71),TABLAS!$B$52:$B$58,0))/2))</f>
        <v/>
      </c>
      <c r="CC26" s="58" t="str">
        <f>IF(V26&lt;&gt;"SÍ","",IF(IF(BI26&lt;=0,0,IF((1-2*BI26*1E5/(DATOS!$C$29*AI26*CB26^2*DATOS!$C$21))&lt;0,-1,IF((1-SQRT((1-2*BI26*1E5/(DATOS!$C$29*AI26*CB26^2*DATOS!$C$21))))*DATOS!$C$21*AI26*CB26/DATOS!$C$14&gt;DATOS!$C$102*AI26*CB26,-1,(1-SQRT((1-2*BI26*1E5/(DATOS!$C$29*AI26*CB26^2*DATOS!$C$21))))*DATOS!$C$21*AI26*CB26/DATOS!$C$14)))&lt;0,-1,MAX(IF(BI26&lt;=0,0,IF((1-2*BI26*1E5/(DATOS!$C$29*AI26*CB26^2*DATOS!$C$21))&lt;0,-1,IF((1-SQRT((1-2*BI26*1E5/(DATOS!$C$29*AI26*CB26^2*DATOS!$C$21))))*DATOS!$C$21*AI26*CB26/DATOS!$C$14&gt;DATOS!$C$102*AI26*CB26,-1,(1-SQRT((1-2*BI26*1E5/(DATOS!$C$29*AI26*CB26^2*DATOS!$C$21))))*DATOS!$C$21*AI26*CB26/DATOS!$C$14))),MIN(DATOS!$C$103*DATOS!$C$83*CB26,4/3*IF(BI26&lt;=0,0,IF((1-2*BI26*1E5/(DATOS!$C$29*AI26*CB26^2*DATOS!$C$21))&lt;0,-1,IF((1-SQRT((1-2*BI26*1E5/(DATOS!$C$29*AI26*CB26^2*DATOS!$C$21))))*DATOS!$C$21*AI26*CB26/DATOS!$C$14&gt;DATOS!$C$102*AI26*CB26,-1,(1-SQRT((1-2*BI26*1E5/(DATOS!$C$29*AI26*CB26^2*DATOS!$C$21))))*DATOS!$C$21*AI26*CB26/DATOS!$C$14)))))))</f>
        <v/>
      </c>
      <c r="CD26" s="64" t="str">
        <f>IF(V26&lt;&gt;"SÍ","",IF(AND(CC26&gt;=0,IF(MAX(DATOS!$C$74,CEILING(CC26/INDEX(TABLAS!$D$52:$D$58,MIN(MATCH(MAX(4,DATOS!$C$71),TABLAS!$B$52:$B$58,0)+0,7)),1))*INDEX(TABLAS!$D$52:$D$58,MIN(MATCH(MAX(4,DATOS!$C$71),TABLAS!$B$52:$B$58,0)+0,7)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+0,7)),1)),MAX(MAX(DATOS!$C$74,CEILING(CC26/INDEX(TABLAS!$D$52:$D$58,MIN(MATCH(MAX(4,DATOS!$C$71),TABLAS!$B$52:$B$58,0)+0,7)),1)),2))&lt;=MIN(DATOS!$C$73,INT(((DATOS!$C$83-2*AK26)+MAX(DATOS!$C$70,INDEX(TABLAS!$C$52:$C$58,MIN(MATCH(MAX(4,DATOS!$C$71),TABLAS!$B$52:$B$58,0)+0,7))))/(INDEX(TABLAS!$C$52:$C$58,MIN(MATCH(MAX(4,DATOS!$C$71),TABLAS!$B$52:$B$58,0)+0,7))+MAX(DATOS!$C$70,INDEX(TABLAS!$C$52:$C$58,MIN(MATCH(MAX(4,DATOS!$C$71),TABLAS!$B$52:$B$58,0)+0,7))))))),INDEX(TABLAS!$B$52:$B$58,MIN(MATCH(MAX(4,DATOS!$C$71),TABLAS!$B$52:$B$58,0)+0,7)),IF(AND(CC26&gt;=0,IF(MAX(DATOS!$C$74,CEILING(CC26/INDEX(TABLAS!$D$52:$D$58,MIN(MATCH(MAX(4,DATOS!$C$71),TABLAS!$B$52:$B$58,0)+1,7)),1))*INDEX(TABLAS!$D$52:$D$58,MIN(MATCH(MAX(4,DATOS!$C$71),TABLAS!$B$52:$B$58,0)+1,7)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+1,7)),1)),MAX(MAX(DATOS!$C$74,CEILING(CC26/INDEX(TABLAS!$D$52:$D$58,MIN(MATCH(MAX(4,DATOS!$C$71),TABLAS!$B$52:$B$58,0)+1,7)),1)),2))&lt;=MIN(DATOS!$C$73,INT(((DATOS!$C$83-2*AK26)+MAX(DATOS!$C$70,INDEX(TABLAS!$C$52:$C$58,MIN(MATCH(MAX(4,DATOS!$C$71),TABLAS!$B$52:$B$58,0)+1,7))))/(INDEX(TABLAS!$C$52:$C$58,MIN(MATCH(MAX(4,DATOS!$C$71),TABLAS!$B$52:$B$58,0)+1,7))+MAX(DATOS!$C$70,INDEX(TABLAS!$C$52:$C$58,MIN(MATCH(MAX(4,DATOS!$C$71),TABLAS!$B$52:$B$58,0)+1,7))))))),INDEX(TABLAS!$B$52:$B$58,MIN(MATCH(MAX(4,DATOS!$C$71),TABLAS!$B$52:$B$58,0)+1,7)),IF(AND(CC26&gt;=0,IF(MAX(DATOS!$C$74,CEILING(CC26/INDEX(TABLAS!$D$52:$D$58,MIN(MATCH(MAX(4,DATOS!$C$71),TABLAS!$B$52:$B$58,0)+2,7)),1))*INDEX(TABLAS!$D$52:$D$58,MIN(MATCH(MAX(4,DATOS!$C$71),TABLAS!$B$52:$B$58,0)+2,7)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+2,7)),1)),MAX(MAX(DATOS!$C$74,CEILING(CC26/INDEX(TABLAS!$D$52:$D$58,MIN(MATCH(MAX(4,DATOS!$C$71),TABLAS!$B$52:$B$58,0)+2,7)),1)),2))&lt;=MIN(DATOS!$C$73,INT(((DATOS!$C$83-2*AK26)+MAX(DATOS!$C$70,INDEX(TABLAS!$C$52:$C$58,MIN(MATCH(MAX(4,DATOS!$C$71),TABLAS!$B$52:$B$58,0)+2,7))))/(INDEX(TABLAS!$C$52:$C$58,MIN(MATCH(MAX(4,DATOS!$C$71),TABLAS!$B$52:$B$58,0)+2,7))+MAX(DATOS!$C$70,INDEX(TABLAS!$C$52:$C$58,MIN(MATCH(MAX(4,DATOS!$C$71),TABLAS!$B$52:$B$58,0)+2,7))))))),INDEX(TABLAS!$B$52:$B$58,MIN(MATCH(MAX(4,DATOS!$C$71),TABLAS!$B$52:$B$58,0)+2,7)),IF(AND(CC26&gt;=0,IF(MAX(DATOS!$C$74,CEILING(CC26/INDEX(TABLAS!$D$52:$D$58,MIN(MATCH(MAX(4,DATOS!$C$71),TABLAS!$B$52:$B$58,0)+3,7)),1))*INDEX(TABLAS!$D$52:$D$58,MIN(MATCH(MAX(4,DATOS!$C$71),TABLAS!$B$52:$B$58,0)+3,7)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+3,7)),1)),MAX(MAX(DATOS!$C$74,CEILING(CC26/INDEX(TABLAS!$D$52:$D$58,MIN(MATCH(MAX(4,DATOS!$C$71),TABLAS!$B$52:$B$58,0)+3,7)),1)),2))&lt;=MIN(DATOS!$C$73,INT(((DATOS!$C$83-2*AK26)+MAX(DATOS!$C$70,INDEX(TABLAS!$C$52:$C$58,MIN(MATCH(MAX(4,DATOS!$C$71),TABLAS!$B$52:$B$58,0)+3,7))))/(INDEX(TABLAS!$C$52:$C$58,MIN(MATCH(MAX(4,DATOS!$C$71),TABLAS!$B$52:$B$58,0)+3,7))+MAX(DATOS!$C$70,INDEX(TABLAS!$C$52:$C$58,MIN(MATCH(MAX(4,DATOS!$C$71),TABLAS!$B$52:$B$58,0)+3,7))))))),INDEX(TABLAS!$B$52:$B$58,MIN(MATCH(MAX(4,DATOS!$C$71),TABLAS!$B$52:$B$58,0)+3,7)),IF(AND(CC26&gt;=0,IF(MAX(DATOS!$C$74,CEILING(CC26/INDEX(TABLAS!$D$52:$D$58,MIN(MATCH(MAX(4,DATOS!$C$71),TABLAS!$B$52:$B$58,0)+4,7)),1))*INDEX(TABLAS!$D$52:$D$58,MIN(MATCH(MAX(4,DATOS!$C$71),TABLAS!$B$52:$B$58,0)+4,7)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+4,7)),1)),MAX(MAX(DATOS!$C$74,CEILING(CC26/INDEX(TABLAS!$D$52:$D$58,MIN(MATCH(MAX(4,DATOS!$C$71),TABLAS!$B$52:$B$58,0)+4,7)),1)),2))&lt;=MIN(DATOS!$C$73,INT(((DATOS!$C$83-2*AK26)+MAX(DATOS!$C$70,INDEX(TABLAS!$C$52:$C$58,MIN(MATCH(MAX(4,DATOS!$C$71),TABLAS!$B$52:$B$58,0)+4,7))))/(INDEX(TABLAS!$C$52:$C$58,MIN(MATCH(MAX(4,DATOS!$C$71),TABLAS!$B$52:$B$58,0)+4,7))+MAX(DATOS!$C$70,INDEX(TABLAS!$C$52:$C$58,MIN(MATCH(MAX(4,DATOS!$C$71),TABLAS!$B$52:$B$58,0)+4,7))))))),INDEX(TABLAS!$B$52:$B$58,MIN(MATCH(MAX(4,DATOS!$C$71),TABLAS!$B$52:$B$58,0)+4,7)),INDEX(TABLAS!$B$52:$B$58,7)))))))</f>
        <v/>
      </c>
      <c r="CE26" s="59" t="str">
        <f>IF(V26&lt;&gt;"SÍ","",IF(CC26&lt;0,0,IF(MAX(DATOS!$C$74,CEILING(MAX(CC26,0)/INDEX(TABLAS!$D$52:$D$58,MATCH(CD26,TABLAS!$B$52:$B$58,0)),1))*INDEX(TABLAS!$D$52:$D$58,MATCH(CD26,TABLAS!$B$52:$B$58,0))&gt;=4/3*IF(BI26&lt;=0,0,IF((1-2*BI26*1E5/(DATOS!$C$29*AI26*CB26^2*DATOS!$C$21))&lt;0,-1,IF((1-SQRT((1-2*BI26*1E5/(DATOS!$C$29*AI26*CB26^2*DATOS!$C$21))))*DATOS!$C$21*AI26*CB26/DATOS!$C$14&gt;DATOS!$C$102*AI26*CB26,-1,(1-SQRT((1-2*BI26*1E5/(DATOS!$C$29*AI26*CB26^2*DATOS!$C$21))))*DATOS!$C$21*AI26*CB26/DATOS!$C$14)))-0.0001,MAX(DATOS!$C$74,CEILING(MAX(CC26,0)/INDEX(TABLAS!$D$52:$D$58,MATCH(CD26,TABLAS!$B$52:$B$58,0)),1)),MAX(MAX(DATOS!$C$74,CEILING(MAX(CC26,0)/INDEX(TABLAS!$D$52:$D$58,MATCH(CD26,TABLAS!$B$52:$B$58,0)),1)),2))))</f>
        <v/>
      </c>
      <c r="CF26" s="58" t="str">
        <f>IF(V26&lt;&gt;"SÍ","",DATOS!$C$85-AK26-INDEX(TABLAS!$C$52:$C$58,MATCH(BN26,TABLAS!$B$52:$B$58,0))-INDEX(TABLAS!$C$52:$C$58,MATCH(CD26,TABLAS!$B$52:$B$58,0))/2)</f>
        <v/>
      </c>
      <c r="CG26" s="56" t="str">
        <f>IF(V26&lt;&gt;"SÍ","",IF(CE26=0,0,DATOS!$C$29*CE26*INDEX(TABLAS!$D$52:$D$58,MATCH(CD26,TABLAS!$B$52:$B$58,0))*DATOS!$C$14*(CF26-CE26*INDEX(TABLAS!$D$52:$D$58,MATCH(CD26,TABLAS!$B$52:$B$58,0))*DATOS!$C$14/(DATOS!$C$21*AI26)/2)/1E5))</f>
        <v/>
      </c>
      <c r="CH26" s="65" t="str">
        <f>IF(V26&lt;&gt;"SÍ","",IF(CC26&lt;0,9.99,IF(CG26&gt;0,BI26/CG26,0)))</f>
        <v/>
      </c>
      <c r="CI26" s="66" t="str">
        <f>IF(V26&lt;&gt;"SÍ","",IF(CE26=0,"—",0.003*(CF26-(CE26*INDEX(TABLAS!$D$52:$D$58,MATCH(CD26,TABLAS!$B$52:$B$58,0))*DATOS!$C$14/(DATOS!$C$21*AI26)/DATOS!$C$22))/(CE26*INDEX(TABLAS!$D$52:$D$58,MATCH(CD26,TABLAS!$B$52:$B$58,0))*DATOS!$C$14/(DATOS!$C$21*AI26)/DATOS!$C$22)))</f>
        <v/>
      </c>
      <c r="CJ26" s="58" t="str">
        <f>IF(V26&lt;&gt;"SÍ","",((DATOS!$C$85-AM26-2*DATOS!$C$97-INDEX(TABLAS!$C$52:$C$58,MATCH(MAX(4,DATOS!$C$72),TABLAS!$B$52:$B$58,0))-INDEX(TABLAS!$C$52:$C$58,MATCH(MAX(4,DATOS!$C$72),TABLAS!$B$52:$B$58,0))/2)-IF(AND((DATOS!$C$85-AM26-2*DATOS!$C$97-INDEX(TABLAS!$C$52:$C$58,MATCH(MAX(4,DATOS!$C$72),TABLAS!$B$52:$B$58,0))-INDEX(TABLAS!$C$52:$C$58,MATCH(MAX(4,DATOS!$C$72),TABLAS!$B$52:$B$58,0))/2)&lt;=20,DATOS!$C$65&lt;&gt;"SÍ"),2,0)))</f>
        <v/>
      </c>
      <c r="CK26" s="58" t="str">
        <f>IF(V26&lt;&gt;"SÍ","",IF(IF(BJ26&lt;=0,0,IF((1-2*BJ26*1E5/(DATOS!$C$29*AG26*CJ26^2*DATOS!$C$21))&lt;0,-1,IF((1-SQRT((1-2*BJ26*1E5/(DATOS!$C$29*AG26*CJ26^2*DATOS!$C$21))))*DATOS!$C$21*AG26*CJ26/DATOS!$C$14&gt;DATOS!$C$102*AG26*CJ26,-1,(1-SQRT((1-2*BJ26*1E5/(DATOS!$C$29*AG26*CJ26^2*DATOS!$C$21))))*DATOS!$C$21*AG26*CJ26/DATOS!$C$14)))&lt;0,-1,MAX(IF(BJ26&lt;=0,0,IF((1-2*BJ26*1E5/(DATOS!$C$29*AG26*CJ26^2*DATOS!$C$21))&lt;0,-1,IF((1-SQRT((1-2*BJ26*1E5/(DATOS!$C$29*AG26*CJ26^2*DATOS!$C$21))))*DATOS!$C$21*AG26*CJ26/DATOS!$C$14&gt;DATOS!$C$102*AG26*CJ26,-1,(1-SQRT((1-2*BJ26*1E5/(DATOS!$C$29*AG26*CJ26^2*DATOS!$C$21))))*DATOS!$C$21*AG26*CJ26/DATOS!$C$14))),MIN(DATOS!$C$103*DATOS!$C$83*CJ26,4/3*IF(BJ26&lt;=0,0,IF((1-2*BJ26*1E5/(DATOS!$C$29*AG26*CJ26^2*DATOS!$C$21))&lt;0,-1,IF((1-SQRT((1-2*BJ26*1E5/(DATOS!$C$29*AG26*CJ26^2*DATOS!$C$21))))*DATOS!$C$21*AG26*CJ26/DATOS!$C$14&gt;DATOS!$C$102*AG26*CJ26,-1,(1-SQRT((1-2*BJ26*1E5/(DATOS!$C$29*AG26*CJ26^2*DATOS!$C$21))))*DATOS!$C$21*AG26*CJ26/DATOS!$C$14)))))))</f>
        <v/>
      </c>
      <c r="CL26" s="64" t="str">
        <f>IF(V26&lt;&gt;"SÍ","",IF(AND(CK26&gt;=0,IF(MAX(DATOS!$C$74,CEILING(CK26/INDEX(TABLAS!$D$52:$D$58,MIN(MATCH(MAX(4,DATOS!$C$72),TABLAS!$B$52:$B$58,0)+0,7)),1))*INDEX(TABLAS!$D$52:$D$58,MIN(MATCH(MAX(4,DATOS!$C$72),TABLAS!$B$52:$B$58,0)+0,7)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+0,7)),1)),MAX(MAX(DATOS!$C$74,CEILING(CK26/INDEX(TABLAS!$D$52:$D$58,MIN(MATCH(MAX(4,DATOS!$C$72),TABLAS!$B$52:$B$58,0)+0,7)),1)),2))&lt;=MIN(DATOS!$C$73,INT(((DATOS!$C$83-2*AL26)+MAX(DATOS!$C$70,INDEX(TABLAS!$C$52:$C$58,MIN(MATCH(MAX(4,DATOS!$C$72),TABLAS!$B$52:$B$58,0)+0,7))))/(INDEX(TABLAS!$C$52:$C$58,MIN(MATCH(MAX(4,DATOS!$C$72),TABLAS!$B$52:$B$58,0)+0,7))+MAX(DATOS!$C$70,INDEX(TABLAS!$C$52:$C$58,MIN(MATCH(MAX(4,DATOS!$C$72),TABLAS!$B$52:$B$58,0)+0,7))))))),INDEX(TABLAS!$B$52:$B$58,MIN(MATCH(MAX(4,DATOS!$C$72),TABLAS!$B$52:$B$58,0)+0,7)),IF(AND(CK26&gt;=0,IF(MAX(DATOS!$C$74,CEILING(CK26/INDEX(TABLAS!$D$52:$D$58,MIN(MATCH(MAX(4,DATOS!$C$72),TABLAS!$B$52:$B$58,0)+1,7)),1))*INDEX(TABLAS!$D$52:$D$58,MIN(MATCH(MAX(4,DATOS!$C$72),TABLAS!$B$52:$B$58,0)+1,7)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+1,7)),1)),MAX(MAX(DATOS!$C$74,CEILING(CK26/INDEX(TABLAS!$D$52:$D$58,MIN(MATCH(MAX(4,DATOS!$C$72),TABLAS!$B$52:$B$58,0)+1,7)),1)),2))&lt;=MIN(DATOS!$C$73,INT(((DATOS!$C$83-2*AL26)+MAX(DATOS!$C$70,INDEX(TABLAS!$C$52:$C$58,MIN(MATCH(MAX(4,DATOS!$C$72),TABLAS!$B$52:$B$58,0)+1,7))))/(INDEX(TABLAS!$C$52:$C$58,MIN(MATCH(MAX(4,DATOS!$C$72),TABLAS!$B$52:$B$58,0)+1,7))+MAX(DATOS!$C$70,INDEX(TABLAS!$C$52:$C$58,MIN(MATCH(MAX(4,DATOS!$C$72),TABLAS!$B$52:$B$58,0)+1,7))))))),INDEX(TABLAS!$B$52:$B$58,MIN(MATCH(MAX(4,DATOS!$C$72),TABLAS!$B$52:$B$58,0)+1,7)),IF(AND(CK26&gt;=0,IF(MAX(DATOS!$C$74,CEILING(CK26/INDEX(TABLAS!$D$52:$D$58,MIN(MATCH(MAX(4,DATOS!$C$72),TABLAS!$B$52:$B$58,0)+2,7)),1))*INDEX(TABLAS!$D$52:$D$58,MIN(MATCH(MAX(4,DATOS!$C$72),TABLAS!$B$52:$B$58,0)+2,7)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+2,7)),1)),MAX(MAX(DATOS!$C$74,CEILING(CK26/INDEX(TABLAS!$D$52:$D$58,MIN(MATCH(MAX(4,DATOS!$C$72),TABLAS!$B$52:$B$58,0)+2,7)),1)),2))&lt;=MIN(DATOS!$C$73,INT(((DATOS!$C$83-2*AL26)+MAX(DATOS!$C$70,INDEX(TABLAS!$C$52:$C$58,MIN(MATCH(MAX(4,DATOS!$C$72),TABLAS!$B$52:$B$58,0)+2,7))))/(INDEX(TABLAS!$C$52:$C$58,MIN(MATCH(MAX(4,DATOS!$C$72),TABLAS!$B$52:$B$58,0)+2,7))+MAX(DATOS!$C$70,INDEX(TABLAS!$C$52:$C$58,MIN(MATCH(MAX(4,DATOS!$C$72),TABLAS!$B$52:$B$58,0)+2,7))))))),INDEX(TABLAS!$B$52:$B$58,MIN(MATCH(MAX(4,DATOS!$C$72),TABLAS!$B$52:$B$58,0)+2,7)),IF(AND(CK26&gt;=0,IF(MAX(DATOS!$C$74,CEILING(CK26/INDEX(TABLAS!$D$52:$D$58,MIN(MATCH(MAX(4,DATOS!$C$72),TABLAS!$B$52:$B$58,0)+3,7)),1))*INDEX(TABLAS!$D$52:$D$58,MIN(MATCH(MAX(4,DATOS!$C$72),TABLAS!$B$52:$B$58,0)+3,7)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+3,7)),1)),MAX(MAX(DATOS!$C$74,CEILING(CK26/INDEX(TABLAS!$D$52:$D$58,MIN(MATCH(MAX(4,DATOS!$C$72),TABLAS!$B$52:$B$58,0)+3,7)),1)),2))&lt;=MIN(DATOS!$C$73,INT(((DATOS!$C$83-2*AL26)+MAX(DATOS!$C$70,INDEX(TABLAS!$C$52:$C$58,MIN(MATCH(MAX(4,DATOS!$C$72),TABLAS!$B$52:$B$58,0)+3,7))))/(INDEX(TABLAS!$C$52:$C$58,MIN(MATCH(MAX(4,DATOS!$C$72),TABLAS!$B$52:$B$58,0)+3,7))+MAX(DATOS!$C$70,INDEX(TABLAS!$C$52:$C$58,MIN(MATCH(MAX(4,DATOS!$C$72),TABLAS!$B$52:$B$58,0)+3,7))))))),INDEX(TABLAS!$B$52:$B$58,MIN(MATCH(MAX(4,DATOS!$C$72),TABLAS!$B$52:$B$58,0)+3,7)),IF(AND(CK26&gt;=0,IF(MAX(DATOS!$C$74,CEILING(CK26/INDEX(TABLAS!$D$52:$D$58,MIN(MATCH(MAX(4,DATOS!$C$72),TABLAS!$B$52:$B$58,0)+4,7)),1))*INDEX(TABLAS!$D$52:$D$58,MIN(MATCH(MAX(4,DATOS!$C$72),TABLAS!$B$52:$B$58,0)+4,7)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+4,7)),1)),MAX(MAX(DATOS!$C$74,CEILING(CK26/INDEX(TABLAS!$D$52:$D$58,MIN(MATCH(MAX(4,DATOS!$C$72),TABLAS!$B$52:$B$58,0)+4,7)),1)),2))&lt;=MIN(DATOS!$C$73,INT(((DATOS!$C$83-2*AL26)+MAX(DATOS!$C$70,INDEX(TABLAS!$C$52:$C$58,MIN(MATCH(MAX(4,DATOS!$C$72),TABLAS!$B$52:$B$58,0)+4,7))))/(INDEX(TABLAS!$C$52:$C$58,MIN(MATCH(MAX(4,DATOS!$C$72),TABLAS!$B$52:$B$58,0)+4,7))+MAX(DATOS!$C$70,INDEX(TABLAS!$C$52:$C$58,MIN(MATCH(MAX(4,DATOS!$C$72),TABLAS!$B$52:$B$58,0)+4,7))))))),INDEX(TABLAS!$B$52:$B$58,MIN(MATCH(MAX(4,DATOS!$C$72),TABLAS!$B$52:$B$58,0)+4,7)),INDEX(TABLAS!$B$52:$B$58,7)))))))</f>
        <v/>
      </c>
      <c r="CM26" s="59" t="str">
        <f>IF(V26&lt;&gt;"SÍ","",IF(CK26&lt;0,0,IF(MAX(DATOS!$C$74,CEILING(MAX(CK26,0)/INDEX(TABLAS!$D$52:$D$58,MATCH(CL26,TABLAS!$B$52:$B$58,0)),1))*INDEX(TABLAS!$D$52:$D$58,MATCH(CL26,TABLAS!$B$52:$B$58,0))&gt;=4/3*IF(BJ26&lt;=0,0,IF((1-2*BJ26*1E5/(DATOS!$C$29*AG26*CJ26^2*DATOS!$C$21))&lt;0,-1,IF((1-SQRT((1-2*BJ26*1E5/(DATOS!$C$29*AG26*CJ26^2*DATOS!$C$21))))*DATOS!$C$21*AG26*CJ26/DATOS!$C$14&gt;DATOS!$C$102*AG26*CJ26,-1,(1-SQRT((1-2*BJ26*1E5/(DATOS!$C$29*AG26*CJ26^2*DATOS!$C$21))))*DATOS!$C$21*AG26*CJ26/DATOS!$C$14)))-0.0001,MAX(DATOS!$C$74,CEILING(MAX(CK26,0)/INDEX(TABLAS!$D$52:$D$58,MATCH(CL26,TABLAS!$B$52:$B$58,0)),1)),MAX(MAX(DATOS!$C$74,CEILING(MAX(CK26,0)/INDEX(TABLAS!$D$52:$D$58,MATCH(CL26,TABLAS!$B$52:$B$58,0)),1)),2))))</f>
        <v/>
      </c>
      <c r="CN26" s="58" t="str">
        <f>IF(V26&lt;&gt;"SÍ","",((DATOS!$C$85-AM26-2*DATOS!$C$97-INDEX(TABLAS!$C$52:$C$58,MATCH(BV26,TABLAS!$B$52:$B$58,0))-INDEX(TABLAS!$C$52:$C$58,MATCH(CL26,TABLAS!$B$52:$B$58,0))/2)-IF(AND((DATOS!$C$85-AM26-2*DATOS!$C$97-INDEX(TABLAS!$C$52:$C$58,MATCH(BV26,TABLAS!$B$52:$B$58,0))-INDEX(TABLAS!$C$52:$C$58,MATCH(CL26,TABLAS!$B$52:$B$58,0))/2)&lt;=20,DATOS!$C$65&lt;&gt;"SÍ"),2,0)))</f>
        <v/>
      </c>
      <c r="CO26" s="56" t="str">
        <f>IF(V26&lt;&gt;"SÍ","",IF(CM26=0,0,DATOS!$C$29*CM26*INDEX(TABLAS!$D$52:$D$58,MATCH(CL26,TABLAS!$B$52:$B$58,0))*DATOS!$C$14*(CN26-CM26*INDEX(TABLAS!$D$52:$D$58,MATCH(CL26,TABLAS!$B$52:$B$58,0))*DATOS!$C$14/(DATOS!$C$21*AG26)/2)/1E5))</f>
        <v/>
      </c>
      <c r="CP26" s="65" t="str">
        <f>IF(V26&lt;&gt;"SÍ","",IF(CK26&lt;0,9.99,IF(CO26&gt;0,BJ26/CO26,0)))</f>
        <v/>
      </c>
      <c r="CQ26" s="66" t="str">
        <f>IF(V26&lt;&gt;"SÍ","",IF(CM26=0,"—",0.003*(CN26-(CM26*INDEX(TABLAS!$D$52:$D$58,MATCH(CL26,TABLAS!$B$52:$B$58,0))*DATOS!$C$14/(DATOS!$C$21*AG26)/DATOS!$C$22))/(CM26*INDEX(TABLAS!$D$52:$D$58,MATCH(CL26,TABLAS!$B$52:$B$58,0))*DATOS!$C$14/(DATOS!$C$21*AG26)/DATOS!$C$22)))</f>
        <v/>
      </c>
      <c r="CR26" s="56" t="str">
        <f>IF(V26&lt;&gt;"SÍ","",IF(C26="PERIMETRAL",MAX(0,(AB26/2-BX26)/100)*(0.95-0.5*AA26)*AR26*IF(AND(AS26&gt;0,AS26&lt;4),DATOS!$C$33,1)*DATOS!$C$86/100/1000,(AR26*MAX(0,AB26-BX26)/100+DATOS!$C$26*N(O26))*DATOS!$C$86/100/1000+BF26))</f>
        <v/>
      </c>
      <c r="CS26" s="56" t="str">
        <f>IF(V26&lt;&gt;"SÍ","",DATOS!$C$30*2*MIN(1,SQRT(2/(1+0.04*BX26)))*(BW26*INDEX(TABLAS!$D$52:$D$58,MATCH(BV26,TABLAS!$B$52:$B$58,0))/(AF26*BX26))^(1/3)*SQRT(DATOS!$C$13)*AF26*BX26*IF(AJ26="SÍ",DATOS!$C$32,1)/1000)</f>
        <v/>
      </c>
      <c r="CT26" s="59" t="str">
        <f>IF(V26&lt;&gt;"SÍ","",IF(CR26&lt;=CS26,0,CEILING(MAX(0,IF(C26="VOLADO",(AB26-((CS26-BF26)*1E5/DATOS!$C$86-DATOS!$C$26*N(O26))*100/AR26),IF(CS26&lt;=0,AB26,AB26/2-CS26/MAX(CR26,1E-9)*(AB26/2-BX26)))-IF(X26="X",MIN(DJ26,DK26),MIN(DL26,DM26)))/DATOS!$C$86,1)))</f>
        <v/>
      </c>
      <c r="CU26" s="67" t="str">
        <f>IF(V26&lt;&gt;"SÍ","",IF(CR26&lt;=CS26,"CUMPLE",IF(CT26&lt;=0,"CUMPLE (basta el macizo de orilla)",IF(CT26*DATOS!$C$86*IF(C26="VOLADO",1,2)&gt;=Y26*100-DATOS!$C$87,"NO CUMPLE: no alcanza ni macizando todo","MACIZAR "&amp;CT26&amp;" hilera(s)"))))</f>
        <v/>
      </c>
      <c r="CV26" s="58" t="str">
        <f>IF(V26&lt;&gt;"SÍ","",(DATOS!$C$86*DATOS!$C$84^2/2+MIN(DATOS!$C$83,AD26)*DATOS!$C$82*(DATOS!$C$84+DATOS!$C$82/2))/(DATOS!$C$86*DATOS!$C$84+MIN(DATOS!$C$83,AD26)*DATOS!$C$82))</f>
        <v/>
      </c>
      <c r="CW26" s="68" t="str">
        <f>IF(V26&lt;&gt;"SÍ","",DATOS!$C$86*DATOS!$C$84^3/12+DATOS!$C$86*DATOS!$C$84*(CV26-DATOS!$C$84/2)^2+MIN(DATOS!$C$83,AD26)*DATOS!$C$82^3/12+MIN(DATOS!$C$83,AD26)*DATOS!$C$82*(DATOS!$C$84+DATOS!$C$82/2-CV26)^2)</f>
        <v/>
      </c>
      <c r="CX26" s="58" t="str">
        <f>IF(V26&lt;&gt;"SÍ","",(12*CW26/DATOS!$C$86)^(1/3))</f>
        <v/>
      </c>
      <c r="CY26" s="58" t="str">
        <f>IF(V26&lt;&gt;"SÍ","",IF(C26="PERIMETRAL",IF(ISNUMBER(S26),S26,DATOS!$C$104),0))</f>
        <v/>
      </c>
      <c r="CZ26" s="57" t="str">
        <f>IF(V26&lt;&gt;"SÍ","",IF(C26="PERIMETRAL",IF(CY26&gt;2,MAX(9,AC26*(0.8+DATOS!$C$14/14000)/(36+9*(AC26/MAX(AB26,1)))),IF(CY26&gt;0.2,MAX(13,AC26*(0.8+DATOS!$C$14/14000)/(36+5*(AC26/MAX(AB26,1))*(CY26-0.2))),MAX(13,AC26/IF(AS26&gt;0,30,33))))*IF(AND(CY26&gt;0.2,AS26&gt;0,DATOS!$C$105="NO"),1.1,1),MAX(25,Y26*100/8*(0.4+DATOS!$C$14/7000))))</f>
        <v/>
      </c>
      <c r="DA26" s="61" t="str">
        <f>IF(V26&lt;&gt;"SÍ","",IF(IF(C26="VOLADO",DATOS!$C$85,CX26)&gt;=CZ26,"CUMPLE",IF(C26="VOLADO","NO CUMPLE","CALCULAR FLECHA")))</f>
        <v/>
      </c>
      <c r="DB26" s="55" t="str">
        <f>IF(V26&lt;&gt;"SÍ","",IF(DATOS!$C$84&gt;=IF(IF(C26="VOLADO",Y26,Z26)&gt;=6,6,5),"CUMPLE","CAPA ≥ 6 cm"))</f>
        <v/>
      </c>
      <c r="DC26" s="60" t="str">
        <f>IF(V26&lt;&gt;"SÍ","",IF(C26="VOLADO",MIN(FLOOR(IF(ISNUMBER(P26),P26,Y26)*100-DATOS!$C$63,5),CEILING(MAX(IF((0.5*(0.9*DATOS!$C$90*DATOS!$C$86/100/1000)*IF(ISNUMBER(P26),P26,Y26)+BH26/IF(ISNUMBER(P26),P26,Y26))^2-4*(0.5*(0.9*DATOS!$C$90*DATOS!$C$86/100/1000))*BH26&lt;0,IF(ISNUMBER(P26),P26,Y26),MIN(IF(ISNUMBER(P26),P26,Y26),((0.5*(0.9*DATOS!$C$90*DATOS!$C$86/100/1000)*IF(ISNUMBER(P26),P26,Y26)+BH26/IF(ISNUMBER(P26),P26,Y26))-SQRT((0.5*(0.9*DATOS!$C$90*DATOS!$C$86/100/1000)*IF(ISNUMBER(P26),P26,Y26)+BH26/IF(ISNUMBER(P26),P26,Y26))^2-4*(0.5*(0.9*DATOS!$C$90*DATOS!$C$86/100/1000))*BH26))/(2*(0.5*(0.9*DATOS!$C$90*DATOS!$C$86/100/1000)))))*100+MAX(BX26,12*INDEX(TABLAS!$C$52:$C$58,MATCH(BV26,TABLAS!$B$52:$B$58,0)),IF(ISNUMBER(P26),P26,Y26)*100/16),IF(OR(AL26&lt;INDEX(TABLAS!$C$52:$C$58,MATCH(BV26,TABLAS!$B$52:$B$58,0)),AND(BW26&gt;=2,(AD26-2*AL26-BW26*INDEX(TABLAS!$C$52:$C$58,MATCH(BV26,TABLAS!$B$52:$B$58,0)))/MAX(BW26-1,1)&lt;2*INDEX(TABLAS!$C$52:$C$58,MATCH(BV26,TABLAS!$B$52:$B$58,0)))),INDEX(TABLAS!$I$52:$I$58,MATCH(BV26,TABLAS!$B$52:$B$58,0)),INDEX(TABLAS!$F$52:$F$58,MATCH(BV26,TABLAS!$B$52:$B$58,0)))),5)),IF(((4*((BC26*AR26*Y26^2*1E-4*DATOS!$C$86/100/1000)+((MAX(AY26,BA26)*AR26*Y26^2*1E-4*DATOS!$C$86/100/1000)+(IF(AND(AY26&gt;0,BA26&gt;0),MIN(AY26,BA26),MAX(AY26,BA26))*AR26*Y26^2*1E-4*DATOS!$C$86/100/1000))/2)+BH26-(IF(AND(AY26&gt;0,BA26&gt;0),MIN(AY26,BA26),MAX(AY26,BA26))*AR26*Y26^2*1E-4*DATOS!$C$86/100/1000))^2-16*((BC26*AR26*Y26^2*1E-4*DATOS!$C$86/100/1000)+((MAX(AY26,BA26)*AR26*Y26^2*1E-4*DATOS!$C$86/100/1000)+(IF(AND(AY26&gt;0,BA26&gt;0),MIN(AY26,BA26),MAX(AY26,BA26))*AR26*Y26^2*1E-4*DATOS!$C$86/100/1000))/2)*BH26)&lt;0,CEILING(AB26,5),CEILING(MAX(AB26*((4*((BC26*AR26*Y26^2*1E-4*DATOS!$C$86/100/1000)+((MAX(AY26,BA26)*AR26*Y26^2*1E-4*DATOS!$C$86/100/1000)+(IF(AND(AY26&gt;0,BA26&gt;0),MIN(AY26,BA26),MAX(AY26,BA26))*AR26*Y26^2*1E-4*DATOS!$C$86/100/1000))/2)+BH26-(IF(AND(AY26&gt;0,BA26&gt;0),MIN(AY26,BA26),MAX(AY26,BA26))*AR26*Y26^2*1E-4*DATOS!$C$86/100/1000))-SQRT(MAX(0,((4*((BC26*AR26*Y26^2*1E-4*DATOS!$C$86/100/1000)+((MAX(AY26,BA26)*AR26*Y26^2*1E-4*DATOS!$C$86/100/1000)+(IF(AND(AY26&gt;0,BA26&gt;0),MIN(AY26,BA26),MAX(AY26,BA26))*AR26*Y26^2*1E-4*DATOS!$C$86/100/1000))/2)+BH26-(IF(AND(AY26&gt;0,BA26&gt;0),MIN(AY26,BA26),MAX(AY26,BA26))*AR26*Y26^2*1E-4*DATOS!$C$86/100/1000))^2-16*((BC26*AR26*Y26^2*1E-4*DATOS!$C$86/100/1000)+((MAX(AY26,BA26)*AR26*Y26^2*1E-4*DATOS!$C$86/100/1000)+(IF(AND(AY26&gt;0,BA26&gt;0),MIN(AY26,BA26),MAX(AY26,BA26))*AR26*Y26^2*1E-4*DATOS!$C$86/100/1000))/2)*BH26))))/(8*MAX(((BC26*AR26*Y26^2*1E-4*DATOS!$C$86/100/1000)+((MAX(AY26,BA26)*AR26*Y26^2*1E-4*DATOS!$C$86/100/1000)+(IF(AND(AY26&gt;0,BA26&gt;0),MIN(AY26,BA26),MAX(AY26,BA26))*AR26*Y26^2*1E-4*DATOS!$C$86/100/1000))/2),1E-9))+MAX(BX26,12*INDEX(TABLAS!$C$52:$C$58,MATCH(BV26,TABLAS!$B$52:$B$58,0)),AB26/16),IF(OR(AL26&lt;INDEX(TABLAS!$C$52:$C$58,MATCH(BV26,TABLAS!$B$52:$B$58,0)),AND(BW26&gt;=2,(AD26-2*AL26-BW26*INDEX(TABLAS!$C$52:$C$58,MATCH(BV26,TABLAS!$B$52:$B$58,0)))/MAX(BW26-1,1)&lt;2*INDEX(TABLAS!$C$52:$C$58,MATCH(BV26,TABLAS!$B$52:$B$58,0)))),INDEX(TABLAS!$I$52:$I$58,MATCH(BV26,TABLAS!$B$52:$B$58,0)),INDEX(TABLAS!$F$52:$F$58,MATCH(BV26,TABLAS!$B$52:$B$58,0)))),5))))</f>
        <v/>
      </c>
      <c r="DD26" s="60" t="str">
        <f>IF(V26&lt;&gt;"SÍ","",IF(C26="VOLADO",0,IF(((4*((BD26*AR26*Y26^2*1E-4*DATOS!$C$86/100/1000)+((MAX(AZ26,BB26)*AR26*Y26^2*1E-4*DATOS!$C$86/100/1000)+(IF(AND(AZ26&gt;0,BB26&gt;0),MIN(AZ26,BB26),MAX(AZ26,BB26))*AR26*Y26^2*1E-4*DATOS!$C$86/100/1000))/2)+BJ26-(IF(AND(AZ26&gt;0,BB26&gt;0),MIN(AZ26,BB26),MAX(AZ26,BB26))*AR26*Y26^2*1E-4*DATOS!$C$86/100/1000))^2-16*((BD26*AR26*Y26^2*1E-4*DATOS!$C$86/100/1000)+((MAX(AZ26,BB26)*AR26*Y26^2*1E-4*DATOS!$C$86/100/1000)+(IF(AND(AZ26&gt;0,BB26&gt;0),MIN(AZ26,BB26),MAX(AZ26,BB26))*AR26*Y26^2*1E-4*DATOS!$C$86/100/1000))/2)*BJ26)&lt;0,CEILING(AC26,5),CEILING(MAX(AC26*((4*((BD26*AR26*Y26^2*1E-4*DATOS!$C$86/100/1000)+((MAX(AZ26,BB26)*AR26*Y26^2*1E-4*DATOS!$C$86/100/1000)+(IF(AND(AZ26&gt;0,BB26&gt;0),MIN(AZ26,BB26),MAX(AZ26,BB26))*AR26*Y26^2*1E-4*DATOS!$C$86/100/1000))/2)+BJ26-(IF(AND(AZ26&gt;0,BB26&gt;0),MIN(AZ26,BB26),MAX(AZ26,BB26))*AR26*Y26^2*1E-4*DATOS!$C$86/100/1000))-SQRT(MAX(0,((4*((BD26*AR26*Y26^2*1E-4*DATOS!$C$86/100/1000)+((MAX(AZ26,BB26)*AR26*Y26^2*1E-4*DATOS!$C$86/100/1000)+(IF(AND(AZ26&gt;0,BB26&gt;0),MIN(AZ26,BB26),MAX(AZ26,BB26))*AR26*Y26^2*1E-4*DATOS!$C$86/100/1000))/2)+BJ26-(IF(AND(AZ26&gt;0,BB26&gt;0),MIN(AZ26,BB26),MAX(AZ26,BB26))*AR26*Y26^2*1E-4*DATOS!$C$86/100/1000))^2-16*((BD26*AR26*Y26^2*1E-4*DATOS!$C$86/100/1000)+((MAX(AZ26,BB26)*AR26*Y26^2*1E-4*DATOS!$C$86/100/1000)+(IF(AND(AZ26&gt;0,BB26&gt;0),MIN(AZ26,BB26),MAX(AZ26,BB26))*AR26*Y26^2*1E-4*DATOS!$C$86/100/1000))/2)*BJ26))))/(8*MAX(((BD26*AR26*Y26^2*1E-4*DATOS!$C$86/100/1000)+((MAX(AZ26,BB26)*AR26*Y26^2*1E-4*DATOS!$C$86/100/1000)+(IF(AND(AZ26&gt;0,BB26&gt;0),MIN(AZ26,BB26),MAX(AZ26,BB26))*AR26*Y26^2*1E-4*DATOS!$C$86/100/1000))/2),1E-9))+MAX(CN26,12*INDEX(TABLAS!$C$52:$C$58,MATCH(CL26,TABLAS!$B$52:$B$58,0)),AC26/16),IF(OR(AL26&lt;INDEX(TABLAS!$C$52:$C$58,MATCH(CL26,TABLAS!$B$52:$B$58,0)),AND(CM26&gt;=2,(DATOS!$C$83-2*AL26-CM26*INDEX(TABLAS!$C$52:$C$58,MATCH(CL26,TABLAS!$B$52:$B$58,0)))/MAX(CM26-1,1)&lt;2*INDEX(TABLAS!$C$52:$C$58,MATCH(CL26,TABLAS!$B$52:$B$58,0)))),INDEX(TABLAS!$I$52:$I$58,MATCH(CL26,TABLAS!$B$52:$B$58,0)),INDEX(TABLAS!$F$52:$F$58,MATCH(CL26,TABLAS!$B$52:$B$58,0)))),5))))</f>
        <v/>
      </c>
      <c r="DE26" s="55" t="str">
        <f>IF(V26&lt;&gt;"SÍ","",IF(AND(C26="PERIMETRAL",BW26&gt;=2,AS26-AT26&gt;0,BA26*AR26*Y26^2*1E-4*DATOS!$C$86/100/1000&gt;DATOS!$C$29*INDEX(TABLAS!$D$52:$D$58,MATCH(BV26,TABLAS!$B$52:$B$58,0))*DATOS!$C$14*(BX26-INDEX(TABLAS!$D$52:$D$58,MATCH(BV26,TABLAS!$B$52:$B$58,0))*DATOS!$C$14/(DATOS!$C$21*AF26)/2)/1E5),"SÍ","NO"))</f>
        <v/>
      </c>
      <c r="DF26" s="55" t="str">
        <f>IF(V26&lt;&gt;"SÍ","",IF(AND(C26="PERIMETRAL",CM26&gt;=2,AT26&gt;0,BB26*AR26*Y26^2*1E-4*DATOS!$C$86/100/1000&gt;DATOS!$C$29*INDEX(TABLAS!$D$52:$D$58,MATCH(CL26,TABLAS!$B$52:$B$58,0))*DATOS!$C$14*(CN26-INDEX(TABLAS!$D$52:$D$58,MATCH(CL26,TABLAS!$B$52:$B$58,0))*DATOS!$C$14/(DATOS!$C$21*AG26)/2)/1E5),"SÍ","NO"))</f>
        <v/>
      </c>
      <c r="DG26" s="63" t="str">
        <f>IF(V26&lt;&gt;"SÍ","",IF(OR(C26="VOLADO",AS26=0),"—",IF(AND(AND(1.25*INDEX(TABLAS!$G$52:$G$58,MATCH(MAX(BN26,CD26),TABLAS!$B$52:$B$58,0))&lt;=(DATOS!$C$75-DATOS!$C$63),(DATOS!$C$75-DATOS!$C$63)&gt;=15,INDEX(TABLAS!$G$52:$G$58,MATCH(MAX(BV26,CL26),TABLAS!$B$52:$B$58,0))&lt;=(DATOS!$C$75-DATOS!$C$63)),8*INDEX(TABLAS!$C$52:$C$58,MATCH(MAX(MAX(BN26,CD26),MAX(BV26,CL26)),TABLAS!$B$52:$B$58,0))&lt;=DATOS!$C$76-2*DATOS!$C$63),"CUMPLE (gancho de 180°)",IF(AND(1.25*INDEX(TABLAS!$G$52:$G$58,MATCH(MAX(BN26,CD26),TABLAS!$B$52:$B$58,0))&lt;=(DATOS!$C$75-DATOS!$C$63),(DATOS!$C$75-DATOS!$C$63)&gt;=15,INDEX(TABLAS!$G$52:$G$58,MATCH(MAX(BV26,CL26),TABLAS!$B$52:$B$58,0))&lt;=(DATOS!$C$75-DATOS!$C$63)),"NO CUMPLE: el gancho de 180° (8·d_b) no cabe en el peralte de la dala de borde","NO CUMPLE: dala de borde ≥ "&amp;TEXT(CEILING(MAX(1.25*INDEX(TABLAS!$G$52:$G$58,MATCH(MAX(BN26,CD26),TABLAS!$B$52:$B$58,0)),15,INDEX(TABLAS!$G$52:$G$58,MATCH(MAX(BV26,CL26),TABLAS!$B$52:$B$58,0)))+DATOS!$C$63,5),"0")&amp;" cm de ancho"&amp;IF(8*INDEX(TABLAS!$C$52:$C$58,MATCH(MAX(MAX(BN26,CD26),MAX(BV26,CL26)),TABLAS!$B$52:$B$58,0))&lt;=DATOS!$C$76-2*DATOS!$C$63,""," y más peralte para el gancho")))))</f>
        <v/>
      </c>
      <c r="DH26" s="59" t="str">
        <f>IF(V26&lt;&gt;"SÍ","",MAX(0,INT((E26*100-DATOS!$C$87-IF(AND(C26="PERIMETRAL",I26="DISCONTINUO"),MAX(0,DATOS!$C$75-DATOS!$C$87),0)-IF(AND(C26="PERIMETRAL",J26="DISCONTINUO"),MAX(0,DATOS!$C$75-DATOS!$C$87),0)+DATOS!$C$86-IF(X26="X",DATOS!$C$81,AE26))/DATOS!$C$86)))</f>
        <v/>
      </c>
      <c r="DI26" s="59" t="str">
        <f>IF(V26&lt;&gt;"SÍ","",MAX(0,INT((F26*100-DATOS!$C$87-IF(AND(C26="PERIMETRAL",G26="DISCONTINUO"),MAX(0,DATOS!$C$75-DATOS!$C$87),0)-IF(AND(C26="PERIMETRAL",H26="DISCONTINUO"),MAX(0,DATOS!$C$75-DATOS!$C$87),0)+DATOS!$C$86-IF(X26="Y",DATOS!$C$81,AE26))/DATOS!$C$86)))</f>
        <v/>
      </c>
      <c r="DJ26" s="57" t="str">
        <f>IF(V26&lt;&gt;"SÍ","",IF(DH26&gt;0,IF(AND(C26="PERIMETRAL",I26="DISCONTINUO"),MAX(0,DATOS!$C$75-DATOS!$C$87),0)+(E26*100-DATOS!$C$87-IF(AND(C26="PERIMETRAL",I26="DISCONTINUO"),MAX(0,DATOS!$C$75-DATOS!$C$87),0)-IF(AND(C26="PERIMETRAL",J26="DISCONTINUO"),MAX(0,DATOS!$C$75-DATOS!$C$87),0)-(DH26*IF(X26="X",DATOS!$C$81,AE26)+(DH26-1)*(DATOS!$C$86-IF(X26="X",DATOS!$C$81,AE26))))/2,E26*100/2))</f>
        <v/>
      </c>
      <c r="DK26" s="57" t="str">
        <f>IF(V26&lt;&gt;"SÍ","",IF(DH26&gt;0,IF(AND(C26="PERIMETRAL",J26="DISCONTINUO"),MAX(0,DATOS!$C$75-DATOS!$C$87),0)+(E26*100-DATOS!$C$87-IF(AND(C26="PERIMETRAL",I26="DISCONTINUO"),MAX(0,DATOS!$C$75-DATOS!$C$87),0)-IF(AND(C26="PERIMETRAL",J26="DISCONTINUO"),MAX(0,DATOS!$C$75-DATOS!$C$87),0)-(DH26*IF(X26="X",DATOS!$C$81,AE26)+(DH26-1)*(DATOS!$C$86-IF(X26="X",DATOS!$C$81,AE26))))/2,E26*100/2))</f>
        <v/>
      </c>
      <c r="DL26" s="57" t="str">
        <f>IF(V26&lt;&gt;"SÍ","",IF(DI26&gt;0,IF(AND(C26="PERIMETRAL",G26="DISCONTINUO"),MAX(0,DATOS!$C$75-DATOS!$C$87),0)+(F26*100-DATOS!$C$87-IF(AND(C26="PERIMETRAL",G26="DISCONTINUO"),MAX(0,DATOS!$C$75-DATOS!$C$87),0)-IF(AND(C26="PERIMETRAL",H26="DISCONTINUO"),MAX(0,DATOS!$C$75-DATOS!$C$87),0)-(DI26*IF(X26="Y",DATOS!$C$81,AE26)+(DI26-1)*(DATOS!$C$86-IF(X26="Y",DATOS!$C$81,AE26))))/2,F26*100/2))</f>
        <v/>
      </c>
      <c r="DM26" s="57" t="str">
        <f>IF(V26&lt;&gt;"SÍ","",IF(DI26&gt;0,IF(AND(C26="PERIMETRAL",H26="DISCONTINUO"),MAX(0,DATOS!$C$75-DATOS!$C$87),0)+(F26*100-DATOS!$C$87-IF(AND(C26="PERIMETRAL",G26="DISCONTINUO"),MAX(0,DATOS!$C$75-DATOS!$C$87),0)-IF(AND(C26="PERIMETRAL",H26="DISCONTINUO"),MAX(0,DATOS!$C$75-DATOS!$C$87),0)-(DI26*IF(X26="Y",DATOS!$C$81,AE26)+(DI26-1)*(DATOS!$C$86-IF(X26="Y",DATOS!$C$81,AE26))))/2,F26*100/2))</f>
        <v/>
      </c>
      <c r="DN26" s="59" t="str">
        <f>IF(V26&lt;&gt;"SÍ","",IF(NOT(AND(C26="VOLADO",AD26&gt;DATOS!$C$83)),0,IF(INDEX(TABLAS!$C$52:$C$58,MATCH(BV26,TABLAS!$B$52:$B$58,0))&lt;=DATOS!$C$83-2*DATOS!$C$63,1,0)))</f>
        <v/>
      </c>
      <c r="DO26" s="58" t="str">
        <f>IF(V26&lt;&gt;"SÍ","",IF(NOT(AND(C26="VOLADO",AD26&gt;DATOS!$C$83)),0,((DATOS!$C$85-MAX(DATOS!$C$63,(DATOS!$C$84-2*DATOS!$C$97)/2)-2*DATOS!$C$97-INDEX(TABLAS!$C$52:$C$58,MATCH(MAX(4,DATOS!$C$72),TABLAS!$B$52:$B$58,0))-INDEX(TABLAS!$C$52:$C$58,MATCH(BV26,TABLAS!$B$52:$B$58,0))/2)-IF(AND((DATOS!$C$85-MAX(DATOS!$C$63,(DATOS!$C$84-2*DATOS!$C$97)/2)-2*DATOS!$C$97-INDEX(TABLAS!$C$52:$C$58,MATCH(MAX(4,DATOS!$C$72),TABLAS!$B$52:$B$58,0))-INDEX(TABLAS!$C$52:$C$58,MATCH(BV26,TABLAS!$B$52:$B$58,0))/2)&lt;=20,DATOS!$C$65&lt;&gt;"SÍ"),2,0))))</f>
        <v/>
      </c>
      <c r="DP26" s="56" t="str">
        <f>IF(V26&lt;&gt;"SÍ","",IF(OR(NOT(AND(C26="VOLADO",AD26&gt;DATOS!$C$83)),DN26&lt;1),0,IF(0.003*(DO26-((DN26*INDEX(TABLAS!$D$52:$D$58,MATCH(BV26,TABLAS!$B$52:$B$58,0)))*DATOS!$C$14/(DATOS!$C$21*AG26)/DATOS!$C$22))/((DN26*INDEX(TABLAS!$D$52:$D$58,MATCH(BV26,TABLAS!$B$52:$B$58,0)))*DATOS!$C$14/(DATOS!$C$21*AG26)/DATOS!$C$22)&lt;0.005,0,DATOS!$C$29*(DN26*INDEX(TABLAS!$D$52:$D$58,MATCH(BV26,TABLAS!$B$52:$B$58,0)))*DATOS!$C$14*(DO26-(DN26*INDEX(TABLAS!$D$52:$D$58,MATCH(BV26,TABLAS!$B$52:$B$58,0)))*DATOS!$C$14/(DATOS!$C$21*AG26)/2)/1E5)))</f>
        <v/>
      </c>
      <c r="DQ26" s="56" t="str">
        <f>IF(V26&lt;&gt;"SÍ","",IF(OR(NOT(AND(C26="VOLADO",AD26&gt;DATOS!$C$83)),DN26&lt;1),0,DATOS!$C$30*2*MIN(1,SQRT(2/(1+0.04*DO26)))*((DN26*INDEX(TABLAS!$D$52:$D$58,MATCH(BV26,TABLAS!$B$52:$B$58,0)))/(AG26*DO26))^(1/3)*SQRT(DATOS!$C$13)*AG26*DO26/1000))</f>
        <v/>
      </c>
      <c r="DR26" s="56" t="str">
        <f>IF(V26&lt;&gt;"SÍ","",IF(NOT(AND(C26="VOLADO",AD26&gt;DATOS!$C$83)),0,IF((BH26-DP26)&lt;=0,0,IF(DP26&lt;=0,IF(ISNUMBER(P26),P26,Y26),IF(((0.9*DATOS!$C$90*DATOS!$C$86/100/1000)*IF(ISNUMBER(P26),P26,Y26)/2+BH26/IF(ISNUMBER(P26),P26,Y26))^2-4*((0.9*DATOS!$C$90*DATOS!$C$86/100/1000)/2)*(BH26-DP26)&lt;0,IF(ISNUMBER(P26),P26,Y26),MIN(IF(ISNUMBER(P26),P26,Y26),(((0.9*DATOS!$C$90*DATOS!$C$86/100/1000)*IF(ISNUMBER(P26),P26,Y26)/2+BH26/IF(ISNUMBER(P26),P26,Y26))-SQRT(((0.9*DATOS!$C$90*DATOS!$C$86/100/1000)*IF(ISNUMBER(P26),P26,Y26)/2+BH26/IF(ISNUMBER(P26),P26,Y26))^2-4*((0.9*DATOS!$C$90*DATOS!$C$86/100/1000)/2)*(BH26-DP26)))/(2*((0.9*DATOS!$C$90*DATOS!$C$86/100/1000)/2))))))))</f>
        <v/>
      </c>
      <c r="DS26" s="56" t="str">
        <f>IF(V26&lt;&gt;"SÍ","",IF(NOT(AND(C26="VOLADO",AD26&gt;DATOS!$C$83)),0,IF(DQ26&lt;=(BH26/((IF(ISNUMBER(P26),P26,Y26)*100-DATOS!$C$87)/100)),IF(ISNUMBER(P26),P26,Y26),MIN(IF(ISNUMBER(P26),P26,Y26),MAX(0,(IF(ISNUMBER(P26),P26,Y26)*100-DATOS!$C$87)/200-(DQ26-(BH26/((IF(ISNUMBER(P26),P26,Y26)*100-DATOS!$C$87)/100)))/((0.95-0.5*IF(N(Q26)&gt;0,MIN(IF(ISNUMBER(P26),P26,Y26),Q26)/MAX(IF(ISNUMBER(P26),P26,Y26),Q26),0))*DATOS!$C$33*AR26*DATOS!$C$86/100/1000))))))</f>
        <v/>
      </c>
      <c r="DT26" s="56" t="str">
        <f>IF(V26&lt;&gt;"SÍ","",IF(NOT(AND(C26="VOLADO",AD26&gt;DATOS!$C$83)),0,(BH26/((IF(ISNUMBER(P26),P26,Y26)*100-DATOS!$C$87)/100))+((0.95-0.5*IF(N(Q26)&gt;0,MIN(IF(ISNUMBER(P26),P26,Y26),Q26)/MAX(IF(ISNUMBER(P26),P26,Y26),Q26),0))*DATOS!$C$33*AR26*DATOS!$C$86/100/1000)*MAX(0,(IF(ISNUMBER(P26),P26,Y26)*100-DATOS!$C$87)/200-BX26/100)))</f>
        <v/>
      </c>
      <c r="DU26" s="59" t="str">
        <f>IF(V26&lt;&gt;"SÍ","",IF(NOT(AND(C26="VOLADO",AD26&gt;DATOS!$C$83)),0,MIN(FLOOR(100*IF(ISNUMBER(P26),P26,Y26)-DATOS!$C$63,5),CEILING(100*MIN(IF(ISNUMBER(P26),P26,Y26),MAX(IF(DR26&gt;0,DR26+IF(BW26&gt;=2,MAX(DO26,12*INDEX(TABLAS!$C$52:$C$58,MATCH(BV26,TABLAS!$B$52:$B$58,0)))/100,0),0),DS26,IF(BW26&gt;=2,INDEX(TABLAS!$F$52:$F$58,MATCH(BV26,TABLAS!$B$52:$B$58,0))/100,0))),5))))</f>
        <v/>
      </c>
      <c r="DV26" s="60" t="str">
        <f>IF(V26&lt;&gt;"SÍ","",IF(NOT(AND(C26="VOLADO",AD26&gt;DATOS!$C$83)),0,IF(DU26&lt;=0,0,CEILING(DU26/DATOS!$C$86,1))))</f>
        <v/>
      </c>
      <c r="DW26" s="61" t="str">
        <f>IF(V26&lt;&gt;"SÍ","",IF(C26&lt;&gt;"VOLADO","—",IF(AD26&lt;=DATOS!$C$83,"— (mismo b_w que el respaldo)",IF(DT26&gt;CS26,"NO CUMPLE: cortante de la nervadura ancha junto al apoyo ("&amp;TEXT(DT26,"0.00")&amp;" &gt; "&amp;TEXT(CS26,"0.00")&amp;" t)",IF(DU26&gt;=100*IF(ISNUMBER(P26),P26,Y26),"CUMPLE — todas las nervaduras del respaldo ‖ al volado con b_w = "&amp;AD26&amp;" cm","CUMPLE — "&amp;DV26&amp;" hilera(s) del respaldo con nervaduras de b_w = "&amp;AD26&amp;" cm (casetón "&amp;AE26&amp;" cm), hasta "&amp;TEXT(DU26/100,"0.00")&amp;" m del paño")))))</f>
        <v/>
      </c>
      <c r="DX26" s="69" t="str">
        <f>IF(V26&lt;&gt;"SÍ","",IF(BO26=0,"NO ALCANZA",BO26&amp;" No. "&amp;BN26&amp;IF(BO26&gt;1," corridas"," corrida")))</f>
        <v/>
      </c>
      <c r="DY26" s="69" t="str">
        <f>IF(V26&lt;&gt;"SÍ","",IF(BW26=0,"NO ALCANZA",IF(AND(C26="VOLADO",AD26&gt;DATOS!$C$83,BW26&gt;=2),"1 No. "&amp;BV26&amp;" corrida de la orilla al respaldo ("&amp;IF(DC26&gt;=FLOOR(100*IF(ISNUMBER(P26),P26,Y26)-DATOS!$C$63,5),"hasta su apoyo lejano, con gancho","entra "&amp;TEXT(DC26/100,"0.00")&amp;" m desde el paño")&amp;") + "&amp;(BW26-1)&amp;" bastón No. "&amp;BV26&amp;" hasta "&amp;TEXT(DU26/100,"0.00")&amp;" m del paño (fin de la nervadura ancha)",IF(C26="VOLADO",BW26&amp;" No. "&amp;BV26&amp;" de la orilla al respaldo ("&amp;IF(DC26&gt;=FLOOR(100*IF(ISNUMBER(P26),P26,Y26)-DATOS!$C$63,5),"hasta su apoyo lejano, con gancho","entran "&amp;TEXT(DC26/100,"0.00")&amp;" m desde el paño")&amp;")","1 No. "&amp;BV26&amp;" corrida"&amp;IF(BW26&gt;1," + "&amp;(BW26-1)&amp;" bastón No. "&amp;BV26&amp;" L = "&amp;TEXT(DC26/100,"0.00")&amp;" m desde el paño","")))))</f>
        <v/>
      </c>
      <c r="DZ26" s="69" t="str">
        <f>IF(V26&lt;&gt;"SÍ","",IF(CE26=0,"NO ALCANZA",CE26&amp;" No. "&amp;CD26&amp;IF(CE26&gt;1," corridas"," corrida")))</f>
        <v/>
      </c>
      <c r="EA26" s="69" t="str">
        <f>IF(V26&lt;&gt;"SÍ","",IF(CM26=0,"NO ALCANZA",IF(C26="VOLADO","1 No. "&amp;CL26&amp;" corrida (repartición)","1 No. "&amp;CL26&amp;" corrida"&amp;IF(CM26&gt;1," + "&amp;(CM26-1)&amp;" bastón No. "&amp;CL26&amp;" L = "&amp;TEXT(DD26/100,"0.00")&amp;" m desde el paño",""))))</f>
        <v/>
      </c>
      <c r="EB26" s="67" t="str">
        <f>IF(B26="","",IF(V26&lt;&gt;"SÍ","FALTAN DATOS: tipo, a_x, a_y, destino y, en volados, L_b",IF(L26="NO MONOLÍTICO (caso II)","FUERA DE ALCANCE: caso II no transcrito",IF(AND(C26="VOLADO",W26="?"),"REVISAR: el volado lleva UN solo borde CONTINUO (el empotrado)",IF(MIN(DH26,DI26)=0,"REVISAR: no cabe un casetón (tablero macizo): diséñalo en MACIZAS",IF(AND(MAX(BR26,BZ26,CH26,CP26)&lt;=1,NOT(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T(OR(AND(ISNUMBER(BS26),BS26&lt;0.005),AND(ISNUMBER(CA26),CA26&lt;0.005),AND(ISNUMBER(CI26),CI26&lt;0.005),AND(ISNUMBER(CQ26),CQ26&lt;0.005))),NOT(LEFT(DW26,2)="NO"),DA26="CUMPLE",DB26="CUMPLE",LEFT(CU26,2)&lt;&gt;"NO",LEFT(DATOS!$C$132,6)="CUMPLE"),IF(LEFT(CU26,6)="CUMPLE","CUMPLE","CUMPLE — "&amp;CU26)&amp;IF(LEFT(BK26,5)="FUERA"," · fuera de 3.4.2.1 c)","")&amp;IF(LEFT(DG26,2)="NO"," · REVISAR anclaje en borde discontinuo","")&amp;IF(DV26&gt;0," · respaldo: "&amp;DV26&amp;" hilera(s) de b_w "&amp;AD26&amp;" cm",""),IF(AND(MAX(BR26,BZ26,CH26,CP26)&lt;=1,NOT(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T(OR(AND(ISNUMBER(BS26),BS26&lt;0.005),AND(ISNUMBER(CA26),CA26&lt;0.005),AND(ISNUMBER(CI26),CI26&lt;0.005),AND(ISNUMBER(CQ26),CQ26&lt;0.005))),NOT(LEFT(DW26,2)="NO"),DA26="CALCULAR FLECHA",LEFT(CU26,2)&lt;&gt;"NO",LEFT(DATOS!$C$132,6)="CUMPLE"),"REVISAR: calcular flecha (h_eq &lt; h mín.)"&amp;IF(LEFT(BK26,5)="FUERA"," · fuera de 3.4.2.1 c)","")&amp;IF(LEFT(DG26,2)="NO"," · REVISAR anclaje en borde discontinuo","")&amp;IF(DV26&gt;0," · respaldo: "&amp;DV26&amp;" hilera(s) de b_w "&amp;AD26&amp;" cm",""),"NO CUMPLE: "&amp;IF(MAX(BR26,BZ26,CH26,CP26)&gt;1,"flexión ","")&amp;IF(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 caben ","")&amp;IF(OR(AND(ISNUMBER(BS26),BS26&lt;0.005),AND(ISNUMBER(CA26),CA26&lt;0.005),AND(ISNUMBER(CI26),CI26&lt;0.005),AND(ISNUMBER(CQ26),CQ26&lt;0.005)),"ε_t &lt; 0.005 ","")&amp;IF(LEFT(CU26,2)="NO","cortante ","")&amp;IF(DA26="NO CUMPLE","peralte ","")&amp;IF(DB26&lt;&gt;"CUMPLE","capa &lt; 6 cm ","")&amp;IF(LEFT(DATOS!$C$132,6)&lt;&gt;"CUMPLE","capa o malla (DATOS sección 7) ","")&amp;IF(LEFT(DW26,2)="NO","respaldo del volado",""))))))))</f>
        <v/>
      </c>
      <c r="EC26" s="70" t="str">
        <f>IF(V26&lt;&gt;"SÍ","",IF(LEFT(B26,7)="EJEMPLO","EJEMPLO de la hoja de Casa Rocha: bórralo o sobrescríbelo. ","")&amp;IF(AND(C26="PERIMETRAL",MIN(DH26,DI26)=0),"No cabe un casetón en el claro corto: es un tablero macizo, diséñalo en MACIZAS. ","")&amp;IF(AND(AJ26="NO",C26="PERIMETRAL"),"No cumple 6.7.8.1.4 (a_c = "&amp;MAX(DATOS!$C$81,AE26)&amp;" cm &gt; claro corto/6 = "&amp;TEXT(Y26*100/6,"0")&amp;" cm): se diseña como losa apoyada en vigas (6.7.8.1.9): r de viga = "&amp;DATOS!$C$63&amp;" cm y V_cR sin ×1.1. Para que cuente como encasetonada: casetón de "&amp;TEXT(FLOOR(MIN(80,Y26*100/6),1),"0")&amp;" cm o menor. ","")&amp;IF(C26="VOLADO","Volado de "&amp;TEXT(Y26,"0.00")&amp;" m empotrado en el borde "&amp;LOWER(W26)&amp;IF(N(O26)&gt;0,", con "&amp;TEXT(O26,"0.0")&amp;" kg/m en la orilla","")&amp;". Lecho inferior con r_ext. Si la orilla carga pretil u otro elemento frágil, calcula la flecha (13.4). El acero superior entra al respaldo de "&amp;TEXT(IF(ISNUMBER(P26),P26,Y26),"0.00")&amp;" m"&amp;" hasta pasar M = 0 con 0.9·PP sin carga viva; si ahí no se anula, llega al apoyo lejano y se ancla con gancho (NTC-Criterios 3.4.1 c y 5.1.2.2). "&amp;IF(AD26&gt;DATOS!$C$83,"Respaldo: "&amp;DW26&amp;". ",""),"")&amp;IF(AND(C26="VOLADO",((0.9*DATOS!$C$90*DATOS!$C$86/100/1000)*IF(ISNUMBER(P26),P26,Y26)/2-BH26/IF(ISNUMBER(P26),P26,Y26))&lt;0),"Con 0.9·PP y sin carga viva el apoyo lejano del respaldo levanta (R = "&amp;TEXT(-((0.9*DATOS!$C$90*DATOS!$C$86/100/1000)*IF(ISNUMBER(P26),P26,Y26)/2-BH26/IF(ISNUMBER(P26),P26,Y26)),"0.00")&amp;" t por nervadura): ancla ahí la corrida con gancho y revisa ese apoyo a tensión. ","")&amp;IF(LEFT(BK26,5)="FUERA","El M⁻ del vecino difiere más de 50 % (3.4.2.1 c): distribuye el desequilibrio (3.4.3.1) o confirma con un modelo; se arma con el mayor. ","")&amp;IF(OR(DE26="SÍ",DF26="SÍ"),"El M⁻ del borde discontinuo pide bastón también ahí (con gancho). ","")&amp;IF(LEFT(DG26,2)="NO","Anclaje: "&amp;DG26&amp;" (6.7.8.1.7). ","")&amp;IF(AND(C26="PERIMETRAL",AT26&gt;=1,AS26-AT26&gt;=1),"Esquinas exteriores sobre muro: refuerzo de esquina arriba y abajo en L_largo/5 (6.7.7.3.1). ",""))</f>
        <v/>
      </c>
    </row>
    <row r="27" ht="33" customHeight="1">
      <c r="A27" s="50">
        <f>IF(B27="",0,1)+A26</f>
        <v>4</v>
      </c>
      <c r="B27" s="29" t="n"/>
      <c r="C27" s="51" t="n"/>
      <c r="D27" s="29" t="n"/>
      <c r="E27" s="52" t="n"/>
      <c r="F27" s="52" t="n"/>
      <c r="G27" s="51" t="n"/>
      <c r="H27" s="51" t="n"/>
      <c r="I27" s="51" t="n"/>
      <c r="J27" s="51" t="n"/>
      <c r="K27" s="51" t="n"/>
      <c r="L27" s="51" t="n"/>
      <c r="M27" s="53" t="n"/>
      <c r="N27" s="53" t="n"/>
      <c r="O27" s="54" t="n"/>
      <c r="P27" s="52" t="n"/>
      <c r="Q27" s="52" t="n"/>
      <c r="R27" s="53" t="n"/>
      <c r="S27" s="54" t="n"/>
      <c r="T27" s="52" t="n"/>
      <c r="U27" s="52" t="n"/>
      <c r="V27" s="55" t="str">
        <f>IF(B27="","",IF(AND(OR(C27="PERIMETRAL",C27="VOLADO"),ISNUMBER(E27),ISNUMBER(F27),E27&gt;0,F27&gt;0,OR(ISNUMBER(N27),ISNUMBER(MATCH(D27,DATOS!$B$46:$B$58,0))),OR(C27&lt;&gt;"VOLADO",N(P27)&gt;0)),"SÍ","NO"))</f>
        <v/>
      </c>
      <c r="W27" s="55" t="str">
        <f>IF(V27&lt;&gt;"SÍ","",IF(C27&lt;&gt;"VOLADO","—",IF(COUNTIF(G27:J27,"CONTINUO")&lt;&gt;1,"?",IF(G27="CONTINUO","INFERIOR",IF(H27="CONTINUO","SUPERIOR",IF(I27="CONTINUO","IZQUIERDO","DERECHO"))))))</f>
        <v/>
      </c>
      <c r="X27" s="55" t="str">
        <f>IF(V27&lt;&gt;"SÍ","",IF(C27="VOLADO",IF(OR(W27="IZQUIERDO",W27="DERECHO"),"X","Y"),IF(E27&lt;=F27,"X","Y")))</f>
        <v/>
      </c>
      <c r="Y27" s="56" t="str">
        <f>IF(V27&lt;&gt;"SÍ","",IF(C27="VOLADO",IF(X27="X",E27,F27),MIN(E27,F27)))</f>
        <v/>
      </c>
      <c r="Z27" s="56" t="str">
        <f>IF(V27&lt;&gt;"SÍ","",IF(C27="VOLADO",IF(X27="X",F27,E27),MAX(E27,F27)))</f>
        <v/>
      </c>
      <c r="AA27" s="56" t="str">
        <f>IF(V27&lt;&gt;"SÍ","",MIN(Y27,Z27)/MAX(Y27,Z27))</f>
        <v/>
      </c>
      <c r="AB27" s="57" t="str">
        <f>IF(V27&lt;&gt;"SÍ","",MAX(1,Y27*100-IF(C27="VOLADO",DATOS!$C$87/2,DATOS!$C$87)))</f>
        <v/>
      </c>
      <c r="AC27" s="57" t="str">
        <f>IF(V27&lt;&gt;"SÍ","",MAX(1,Z27*100-DATOS!$C$87))</f>
        <v/>
      </c>
      <c r="AD27" s="57" t="str">
        <f>IF(V27&lt;&gt;"SÍ","",IF(ISNUMBER(R27),R27,DATOS!$C$83))</f>
        <v/>
      </c>
      <c r="AE27" s="57" t="str">
        <f>IF(V27&lt;&gt;"SÍ","",MAX(0,DATOS!$C$86-AD27))</f>
        <v/>
      </c>
      <c r="AF27" s="57" t="str">
        <f>IF(V27&lt;&gt;"SÍ","",IF(OR(DATOS!$C$65="SÍ",AD27&gt;=20),AD27,AD27-2))</f>
        <v/>
      </c>
      <c r="AG27" s="57" t="str">
        <f>IF(V27&lt;&gt;"SÍ","",IF(OR(DATOS!$C$65="SÍ",DATOS!$C$83&gt;=20),DATOS!$C$83,DATOS!$C$83-2))</f>
        <v/>
      </c>
      <c r="AH27" s="57" t="str">
        <f>IF(V27&lt;&gt;"SÍ","",MIN(DATOS!$C$86,AD27+2*MIN(8*DATOS!$C$84,AE27/2,AB27/8)))</f>
        <v/>
      </c>
      <c r="AI27" s="57" t="str">
        <f>IF(V27&lt;&gt;"SÍ","",MIN(DATOS!$C$86,DATOS!$C$83+2*MIN(8*DATOS!$C$84,DATOS!$C$81/2,AC27/8)))</f>
        <v/>
      </c>
      <c r="AJ27" s="55" t="str">
        <f>IF(V27&lt;&gt;"SÍ","",IF(AND(C27="PERIMETRAL",Y27*100&gt;=6*MAX(DATOS!$C$81,AE27),MAX(DATOS!$C$81,AE27)&lt;=80,MIN(DATOS!$C$83,AD27)&gt;=10,DATOS!$C$85&lt;=3.5*MIN(DATOS!$C$83,AD27),DATOS!$C$84&gt;=MAX(MAX(DATOS!$C$81,AE27)/13,5)),"SÍ","NO"))</f>
        <v/>
      </c>
      <c r="AK27" s="57" t="str">
        <f>IF(V27&lt;&gt;"SÍ","",IF(C27="VOLADO",DATOS!$C$64,IF(AJ27="NO",DATOS!$C$63,DATOS!$C$62)))</f>
        <v/>
      </c>
      <c r="AL27" s="57" t="str">
        <f>IF(V27&lt;&gt;"SÍ","",IF(OR(AND(AN27="SÍ",DATOS!$C$66="SÍ"),AND(C27="VOLADO",DATOS!$C$67="SÍ")),DATOS!$C$64,IF(AJ27="NO",DATOS!$C$63,DATOS!$C$62)))</f>
        <v/>
      </c>
      <c r="AM27" s="58" t="str">
        <f>IF(V27&lt;&gt;"SÍ","",MAX(AL27,(DATOS!$C$84-2*DATOS!$C$97)/2))</f>
        <v/>
      </c>
      <c r="AN27" s="55" t="str">
        <f>IF(V27&lt;&gt;"SÍ","",IFERROR(INDEX(DATOS!$D$46:$D$58,MATCH(D27,DATOS!$B$46:$B$58,0)),"NO"))</f>
        <v/>
      </c>
      <c r="AO27" s="59" t="str">
        <f>IF(V27&lt;&gt;"SÍ","",IF(ISNUMBER(N27),N27,IFERROR(INDEX(DATOS!$C$46:$C$58,MATCH(D27,DATOS!$B$46:$B$58,0)),0)))</f>
        <v/>
      </c>
      <c r="AP27" s="59" t="str">
        <f>IF(V27&lt;&gt;"SÍ","",IF(MIN(DH27,DI27)=0,DATOS!$C$85/100*DATOS!$C$16*1000,(DATOS!$C$85/100-(AE27*DATOS!$C$81/DATOS!$C$86^2)*DATOS!$C$82/100)*DATOS!$C$16*1000+(AE27*DATOS!$C$81/DATOS!$C$86^2)*DATOS!$C$82/100*DATOS!$C$17*1000)+DATOS!$C$37+DATOS!$C$38)</f>
        <v/>
      </c>
      <c r="AQ27" s="59" t="str">
        <f>IF(V27&lt;&gt;"SÍ","",AP27+N(M27))</f>
        <v/>
      </c>
      <c r="AR27" s="60" t="str">
        <f>IF(V27&lt;&gt;"SÍ","",MAX(DATOS!$C$26*AQ27+DATOS!$C$27*AO27,IF(AN27="SÍ",DATOS!$C$28*(AQ27+DATOS!$C$41),0)))</f>
        <v/>
      </c>
      <c r="AS27" s="59" t="str">
        <f>IF(V27&lt;&gt;"SÍ","",(G27="DISCONTINUO")+(H27="DISCONTINUO")+(I27="DISCONTINUO")+(J27="DISCONTINUO"))</f>
        <v/>
      </c>
      <c r="AT27" s="59" t="str">
        <f>IF(V27&lt;&gt;"SÍ","",IF(X27="X",(G27="DISCONTINUO")+(H27="DISCONTINUO"),(I27="DISCONTINUO")+(J27="DISCONTINUO")))</f>
        <v/>
      </c>
      <c r="AU27" s="55" t="str">
        <f>IF(V27&lt;&gt;"SÍ","",IF(AS27=0,"INTERIOR",IF(AS27=1,IF(AT27=1,"BORDE-CORTO","BORDE-LARGO"),IF(AS27=2,IF(AT27=1,"ESQUINA",IF(AT27=2,"EXTREMO-LARGO","EXTREMO-CORTO")),IF(AS27=3,IF(AT27=2,"EXTREMO-LARGO","EXTREMO-CORTO"),"AISLADO")))))</f>
        <v/>
      </c>
      <c r="AV27" s="61" t="str">
        <f>IF(V27&lt;&gt;"SÍ","",IF(OR(K27="",K27="AUTO"),AU27,K27))</f>
        <v/>
      </c>
      <c r="AW27" s="59" t="str">
        <f>IF(V27&lt;&gt;"SÍ","",MATCH(AA27,TABLAS!$D$5:$J$5,1))</f>
        <v/>
      </c>
      <c r="AX27" s="58" t="str">
        <f>IF(V27&lt;&gt;"SÍ","",IF(AW27&gt;=7,0,(AA27-INDEX(TABLAS!$D$5:$J$5,AW27))/(INDEX(TABLAS!$D$5:$J$5,AW27+1)-INDEX(TABLAS!$D$5:$J$5,AW27))))</f>
        <v/>
      </c>
      <c r="AY27" s="59" t="str">
        <f>IF(V27&lt;&gt;"SÍ","",INDEX(TABLAS!$D$6:$J$47,MATCH(AV27&amp;"|NIC",TABLAS!$B$6:$B$47,0),AW27)+AX27*(INDEX(TABLAS!$D$6:$J$47,MATCH(AV27&amp;"|NIC",TABLAS!$B$6:$B$47,0),MIN(AW27+1,7))-INDEX(TABLAS!$D$6:$J$47,MATCH(AV27&amp;"|NIC",TABLAS!$B$6:$B$47,0),AW27)))</f>
        <v/>
      </c>
      <c r="AZ27" s="59" t="str">
        <f>IF(V27&lt;&gt;"SÍ","",INDEX(TABLAS!$D$6:$J$47,MATCH(AV27&amp;"|NIL",TABLAS!$B$6:$B$47,0),AW27)+AX27*(INDEX(TABLAS!$D$6:$J$47,MATCH(AV27&amp;"|NIL",TABLAS!$B$6:$B$47,0),MIN(AW27+1,7))-INDEX(TABLAS!$D$6:$J$47,MATCH(AV27&amp;"|NIL",TABLAS!$B$6:$B$47,0),AW27)))</f>
        <v/>
      </c>
      <c r="BA27" s="59" t="str">
        <f>IF(V27&lt;&gt;"SÍ","",INDEX(TABLAS!$D$6:$J$47,MATCH(AV27&amp;"|NDC",TABLAS!$B$6:$B$47,0),AW27)+AX27*(INDEX(TABLAS!$D$6:$J$47,MATCH(AV27&amp;"|NDC",TABLAS!$B$6:$B$47,0),MIN(AW27+1,7))-INDEX(TABLAS!$D$6:$J$47,MATCH(AV27&amp;"|NDC",TABLAS!$B$6:$B$47,0),AW27)))</f>
        <v/>
      </c>
      <c r="BB27" s="59" t="str">
        <f>IF(V27&lt;&gt;"SÍ","",INDEX(TABLAS!$D$6:$J$47,MATCH(AV27&amp;"|NDL",TABLAS!$B$6:$B$47,0),AW27)+AX27*(INDEX(TABLAS!$D$6:$J$47,MATCH(AV27&amp;"|NDL",TABLAS!$B$6:$B$47,0),MIN(AW27+1,7))-INDEX(TABLAS!$D$6:$J$47,MATCH(AV27&amp;"|NDL",TABLAS!$B$6:$B$47,0),AW27)))</f>
        <v/>
      </c>
      <c r="BC27" s="59" t="str">
        <f>IF(V27&lt;&gt;"SÍ","",INDEX(TABLAS!$D$6:$J$47,MATCH(AV27&amp;"|PC",TABLAS!$B$6:$B$47,0),AW27)+AX27*(INDEX(TABLAS!$D$6:$J$47,MATCH(AV27&amp;"|PC",TABLAS!$B$6:$B$47,0),MIN(AW27+1,7))-INDEX(TABLAS!$D$6:$J$47,MATCH(AV27&amp;"|PC",TABLAS!$B$6:$B$47,0),AW27)))</f>
        <v/>
      </c>
      <c r="BD27" s="59" t="str">
        <f>IF(V27&lt;&gt;"SÍ","",INDEX(TABLAS!$D$6:$J$47,MATCH(AV27&amp;"|PL",TABLAS!$B$6:$B$47,0),AW27)+AX27*(INDEX(TABLAS!$D$6:$J$47,MATCH(AV27&amp;"|PL",TABLAS!$B$6:$B$47,0),MIN(AW27+1,7))-INDEX(TABLAS!$D$6:$J$47,MATCH(AV27&amp;"|PL",TABLAS!$B$6:$B$47,0),AW27)))</f>
        <v/>
      </c>
      <c r="BE27" s="56" t="str">
        <f>IF(V27&lt;&gt;"SÍ","",IF(OR(C27&lt;&gt;"VOLADO",MIN(DH27,DI27)=0),0,DATOS!$C$26*DATOS!$C$16*DATOS!$C$86/100*(((AE27*DATOS!$C$81/DATOS!$C$86^2)*DATOS!$C$82/100)*(IF(X27="X",DJ27,DL27)+DATOS!$C$87/2)/100*(AB27-(IF(X27="X",DJ27,DL27)+DATOS!$C$87/2)/2)/100+((AE27*DATOS!$C$81/DATOS!$C$86^2)*DATOS!$C$82/100)*IF(X27="X",DJ27,DL27)/100*IF(X27="X",DJ27,DL27)/200)))</f>
        <v/>
      </c>
      <c r="BF27" s="56" t="str">
        <f>IF(V27&lt;&gt;"SÍ","",IF(OR(C27&lt;&gt;"VOLADO",MIN(DH27,DI27)=0),0,DATOS!$C$26*DATOS!$C$16*DATOS!$C$86/100*((AE27*DATOS!$C$81/DATOS!$C$86^2)*DATOS!$C$82/100)*(IF(X27="X",DJ27,DL27)+DATOS!$C$87/2)/100))</f>
        <v/>
      </c>
      <c r="BG27" s="56" t="str">
        <f>IF(V27&lt;&gt;"SÍ","",IF(C27="PERIMETRAL",BC27*AR27*Y27^2*1E-4*DATOS!$C$86/100/1000,0))</f>
        <v/>
      </c>
      <c r="BH27" s="62" t="str">
        <f>IF(V27&lt;&gt;"SÍ","",IF(C27="PERIMETRAL",MAX(MAX(AY27,BA27)*AR27*Y27^2*1E-4*DATOS!$C$86/100/1000,N(T27)),(AR27*(AB27/100)^2/2+DATOS!$C$26*N(O27)*AB27/100)*DATOS!$C$86/100/1000+BE27))</f>
        <v/>
      </c>
      <c r="BI27" s="56" t="str">
        <f>IF(V27&lt;&gt;"SÍ","",IF(C27="PERIMETRAL",BD27*AR27*Y27^2*1E-4*DATOS!$C$86/100/1000,0))</f>
        <v/>
      </c>
      <c r="BJ27" s="56" t="str">
        <f>IF(V27&lt;&gt;"SÍ","",IF(C27="PERIMETRAL",MAX(MAX(AZ27,BB27)*AR27*Y27^2*1E-4*DATOS!$C$86/100/1000,N(U27)),0))</f>
        <v/>
      </c>
      <c r="BK27" s="63" t="str">
        <f>IF(V27&lt;&gt;"SÍ","",IF(C27&lt;&gt;"PERIMETRAL","—",IF(AND(N(T27)=0,N(U27)=0),"— (sin M⁻ del vecino)",IF(OR(AND(N(T27)&gt;0,ABS(MAX(AY27,BA27)*AR27*Y27^2*1E-4*DATOS!$C$86/100/1000-N(T27))&gt;0.5*MIN(MAX(AY27,BA27)*AR27*Y27^2*1E-4*DATOS!$C$86/100/1000,N(T27))),AND(N(U27)&gt;0,ABS(MAX(AZ27,BB27)*AR27*Y27^2*1E-4*DATOS!$C$86/100/1000-N(U27))&gt;0.5*MIN(MAX(AZ27,BB27)*AR27*Y27^2*1E-4*DATOS!$C$86/100/1000,N(U27)))),"FUERA: difieren &gt; 50 %"&amp;IF(AND(N(T27)&gt;0,ABS(MAX(AY27,BA27)*AR27*Y27^2*1E-4*DATOS!$C$86/100/1000-N(T27))&gt;0.5*MIN(MAX(AY27,BA27)*AR27*Y27^2*1E-4*DATOS!$C$86/100/1000,N(T27)))," ‖ corto","")&amp;IF(AND(N(U27)&gt;0,ABS(MAX(AZ27,BB27)*AR27*Y27^2*1E-4*DATOS!$C$86/100/1000-N(U27))&gt;0.5*MIN(MAX(AZ27,BB27)*AR27*Y27^2*1E-4*DATOS!$C$86/100/1000,N(U27)))," ‖ largo",""),"CUMPLE"))))</f>
        <v/>
      </c>
      <c r="BL27" s="58" t="str">
        <f>IF(V27&lt;&gt;"SÍ","",(DATOS!$C$85-AK27-INDEX(TABLAS!$C$52:$C$58,MATCH(MAX(4,DATOS!$C$71),TABLAS!$B$52:$B$58,0))/2))</f>
        <v/>
      </c>
      <c r="BM27" s="58" t="str">
        <f>IF(V27&lt;&gt;"SÍ","",IF(IF(BG27&lt;=0,0,IF((1-2*BG27*1E5/(DATOS!$C$29*AH27*BL27^2*DATOS!$C$21))&lt;0,-1,IF((1-SQRT((1-2*BG27*1E5/(DATOS!$C$29*AH27*BL27^2*DATOS!$C$21))))*DATOS!$C$21*AH27*BL27/DATOS!$C$14&gt;DATOS!$C$102*AH27*BL27,-1,(1-SQRT((1-2*BG27*1E5/(DATOS!$C$29*AH27*BL27^2*DATOS!$C$21))))*DATOS!$C$21*AH27*BL27/DATOS!$C$14)))&lt;0,-1,MAX(IF(BG27&lt;=0,0,IF((1-2*BG27*1E5/(DATOS!$C$29*AH27*BL27^2*DATOS!$C$21))&lt;0,-1,IF((1-SQRT((1-2*BG27*1E5/(DATOS!$C$29*AH27*BL27^2*DATOS!$C$21))))*DATOS!$C$21*AH27*BL27/DATOS!$C$14&gt;DATOS!$C$102*AH27*BL27,-1,(1-SQRT((1-2*BG27*1E5/(DATOS!$C$29*AH27*BL27^2*DATOS!$C$21))))*DATOS!$C$21*AH27*BL27/DATOS!$C$14))),MIN(DATOS!$C$103*AD27*BL27,4/3*IF(BG27&lt;=0,0,IF((1-2*BG27*1E5/(DATOS!$C$29*AH27*BL27^2*DATOS!$C$21))&lt;0,-1,IF((1-SQRT((1-2*BG27*1E5/(DATOS!$C$29*AH27*BL27^2*DATOS!$C$21))))*DATOS!$C$21*AH27*BL27/DATOS!$C$14&gt;DATOS!$C$102*AH27*BL27,-1,(1-SQRT((1-2*BG27*1E5/(DATOS!$C$29*AH27*BL27^2*DATOS!$C$21))))*DATOS!$C$21*AH27*BL27/DATOS!$C$14)))))))</f>
        <v/>
      </c>
      <c r="BN27" s="64" t="str">
        <f>IF(V27&lt;&gt;"SÍ","",IF(AND(BM27&gt;=0,IF(MAX(DATOS!$C$74,CEILING(BM27/INDEX(TABLAS!$D$52:$D$58,MIN(MATCH(MAX(4,DATOS!$C$71),TABLAS!$B$52:$B$58,0)+0,7)),1))*INDEX(TABLAS!$D$52:$D$58,MIN(MATCH(MAX(4,DATOS!$C$71),TABLAS!$B$52:$B$58,0)+0,7)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+0,7)),1)),MAX(MAX(DATOS!$C$74,CEILING(BM27/INDEX(TABLAS!$D$52:$D$58,MIN(MATCH(MAX(4,DATOS!$C$71),TABLAS!$B$52:$B$58,0)+0,7)),1)),2))&lt;=MIN(DATOS!$C$73,INT(((AD27-2*AK27)+MAX(DATOS!$C$70,INDEX(TABLAS!$C$52:$C$58,MIN(MATCH(MAX(4,DATOS!$C$71),TABLAS!$B$52:$B$58,0)+0,7))))/(INDEX(TABLAS!$C$52:$C$58,MIN(MATCH(MAX(4,DATOS!$C$71),TABLAS!$B$52:$B$58,0)+0,7))+MAX(DATOS!$C$70,INDEX(TABLAS!$C$52:$C$58,MIN(MATCH(MAX(4,DATOS!$C$71),TABLAS!$B$52:$B$58,0)+0,7))))))),INDEX(TABLAS!$B$52:$B$58,MIN(MATCH(MAX(4,DATOS!$C$71),TABLAS!$B$52:$B$58,0)+0,7)),IF(AND(BM27&gt;=0,IF(MAX(DATOS!$C$74,CEILING(BM27/INDEX(TABLAS!$D$52:$D$58,MIN(MATCH(MAX(4,DATOS!$C$71),TABLAS!$B$52:$B$58,0)+1,7)),1))*INDEX(TABLAS!$D$52:$D$58,MIN(MATCH(MAX(4,DATOS!$C$71),TABLAS!$B$52:$B$58,0)+1,7)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+1,7)),1)),MAX(MAX(DATOS!$C$74,CEILING(BM27/INDEX(TABLAS!$D$52:$D$58,MIN(MATCH(MAX(4,DATOS!$C$71),TABLAS!$B$52:$B$58,0)+1,7)),1)),2))&lt;=MIN(DATOS!$C$73,INT(((AD27-2*AK27)+MAX(DATOS!$C$70,INDEX(TABLAS!$C$52:$C$58,MIN(MATCH(MAX(4,DATOS!$C$71),TABLAS!$B$52:$B$58,0)+1,7))))/(INDEX(TABLAS!$C$52:$C$58,MIN(MATCH(MAX(4,DATOS!$C$71),TABLAS!$B$52:$B$58,0)+1,7))+MAX(DATOS!$C$70,INDEX(TABLAS!$C$52:$C$58,MIN(MATCH(MAX(4,DATOS!$C$71),TABLAS!$B$52:$B$58,0)+1,7))))))),INDEX(TABLAS!$B$52:$B$58,MIN(MATCH(MAX(4,DATOS!$C$71),TABLAS!$B$52:$B$58,0)+1,7)),IF(AND(BM27&gt;=0,IF(MAX(DATOS!$C$74,CEILING(BM27/INDEX(TABLAS!$D$52:$D$58,MIN(MATCH(MAX(4,DATOS!$C$71),TABLAS!$B$52:$B$58,0)+2,7)),1))*INDEX(TABLAS!$D$52:$D$58,MIN(MATCH(MAX(4,DATOS!$C$71),TABLAS!$B$52:$B$58,0)+2,7)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+2,7)),1)),MAX(MAX(DATOS!$C$74,CEILING(BM27/INDEX(TABLAS!$D$52:$D$58,MIN(MATCH(MAX(4,DATOS!$C$71),TABLAS!$B$52:$B$58,0)+2,7)),1)),2))&lt;=MIN(DATOS!$C$73,INT(((AD27-2*AK27)+MAX(DATOS!$C$70,INDEX(TABLAS!$C$52:$C$58,MIN(MATCH(MAX(4,DATOS!$C$71),TABLAS!$B$52:$B$58,0)+2,7))))/(INDEX(TABLAS!$C$52:$C$58,MIN(MATCH(MAX(4,DATOS!$C$71),TABLAS!$B$52:$B$58,0)+2,7))+MAX(DATOS!$C$70,INDEX(TABLAS!$C$52:$C$58,MIN(MATCH(MAX(4,DATOS!$C$71),TABLAS!$B$52:$B$58,0)+2,7))))))),INDEX(TABLAS!$B$52:$B$58,MIN(MATCH(MAX(4,DATOS!$C$71),TABLAS!$B$52:$B$58,0)+2,7)),IF(AND(BM27&gt;=0,IF(MAX(DATOS!$C$74,CEILING(BM27/INDEX(TABLAS!$D$52:$D$58,MIN(MATCH(MAX(4,DATOS!$C$71),TABLAS!$B$52:$B$58,0)+3,7)),1))*INDEX(TABLAS!$D$52:$D$58,MIN(MATCH(MAX(4,DATOS!$C$71),TABLAS!$B$52:$B$58,0)+3,7)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+3,7)),1)),MAX(MAX(DATOS!$C$74,CEILING(BM27/INDEX(TABLAS!$D$52:$D$58,MIN(MATCH(MAX(4,DATOS!$C$71),TABLAS!$B$52:$B$58,0)+3,7)),1)),2))&lt;=MIN(DATOS!$C$73,INT(((AD27-2*AK27)+MAX(DATOS!$C$70,INDEX(TABLAS!$C$52:$C$58,MIN(MATCH(MAX(4,DATOS!$C$71),TABLAS!$B$52:$B$58,0)+3,7))))/(INDEX(TABLAS!$C$52:$C$58,MIN(MATCH(MAX(4,DATOS!$C$71),TABLAS!$B$52:$B$58,0)+3,7))+MAX(DATOS!$C$70,INDEX(TABLAS!$C$52:$C$58,MIN(MATCH(MAX(4,DATOS!$C$71),TABLAS!$B$52:$B$58,0)+3,7))))))),INDEX(TABLAS!$B$52:$B$58,MIN(MATCH(MAX(4,DATOS!$C$71),TABLAS!$B$52:$B$58,0)+3,7)),IF(AND(BM27&gt;=0,IF(MAX(DATOS!$C$74,CEILING(BM27/INDEX(TABLAS!$D$52:$D$58,MIN(MATCH(MAX(4,DATOS!$C$71),TABLAS!$B$52:$B$58,0)+4,7)),1))*INDEX(TABLAS!$D$52:$D$58,MIN(MATCH(MAX(4,DATOS!$C$71),TABLAS!$B$52:$B$58,0)+4,7)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+4,7)),1)),MAX(MAX(DATOS!$C$74,CEILING(BM27/INDEX(TABLAS!$D$52:$D$58,MIN(MATCH(MAX(4,DATOS!$C$71),TABLAS!$B$52:$B$58,0)+4,7)),1)),2))&lt;=MIN(DATOS!$C$73,INT(((AD27-2*AK27)+MAX(DATOS!$C$70,INDEX(TABLAS!$C$52:$C$58,MIN(MATCH(MAX(4,DATOS!$C$71),TABLAS!$B$52:$B$58,0)+4,7))))/(INDEX(TABLAS!$C$52:$C$58,MIN(MATCH(MAX(4,DATOS!$C$71),TABLAS!$B$52:$B$58,0)+4,7))+MAX(DATOS!$C$70,INDEX(TABLAS!$C$52:$C$58,MIN(MATCH(MAX(4,DATOS!$C$71),TABLAS!$B$52:$B$58,0)+4,7))))))),INDEX(TABLAS!$B$52:$B$58,MIN(MATCH(MAX(4,DATOS!$C$71),TABLAS!$B$52:$B$58,0)+4,7)),INDEX(TABLAS!$B$52:$B$58,7)))))))</f>
        <v/>
      </c>
      <c r="BO27" s="59" t="str">
        <f>IF(V27&lt;&gt;"SÍ","",IF(BM27&lt;0,0,IF(MAX(DATOS!$C$74,CEILING(MAX(BM27,0)/INDEX(TABLAS!$D$52:$D$58,MATCH(BN27,TABLAS!$B$52:$B$58,0)),1))*INDEX(TABLAS!$D$52:$D$58,MATCH(BN27,TABLAS!$B$52:$B$58,0))&gt;=4/3*IF(BG27&lt;=0,0,IF((1-2*BG27*1E5/(DATOS!$C$29*AH27*BL27^2*DATOS!$C$21))&lt;0,-1,IF((1-SQRT((1-2*BG27*1E5/(DATOS!$C$29*AH27*BL27^2*DATOS!$C$21))))*DATOS!$C$21*AH27*BL27/DATOS!$C$14&gt;DATOS!$C$102*AH27*BL27,-1,(1-SQRT((1-2*BG27*1E5/(DATOS!$C$29*AH27*BL27^2*DATOS!$C$21))))*DATOS!$C$21*AH27*BL27/DATOS!$C$14)))-0.0001,MAX(DATOS!$C$74,CEILING(MAX(BM27,0)/INDEX(TABLAS!$D$52:$D$58,MATCH(BN27,TABLAS!$B$52:$B$58,0)),1)),MAX(MAX(DATOS!$C$74,CEILING(MAX(BM27,0)/INDEX(TABLAS!$D$52:$D$58,MATCH(BN27,TABLAS!$B$52:$B$58,0)),1)),2))))</f>
        <v/>
      </c>
      <c r="BP27" s="58" t="str">
        <f>IF(V27&lt;&gt;"SÍ","",DATOS!$C$85-AK27-INDEX(TABLAS!$C$52:$C$58,MATCH(BN27,TABLAS!$B$52:$B$58,0))/2)</f>
        <v/>
      </c>
      <c r="BQ27" s="56" t="str">
        <f>IF(V27&lt;&gt;"SÍ","",IF(BO27=0,0,DATOS!$C$29*BO27*INDEX(TABLAS!$D$52:$D$58,MATCH(BN27,TABLAS!$B$52:$B$58,0))*DATOS!$C$14*(BP27-BO27*INDEX(TABLAS!$D$52:$D$58,MATCH(BN27,TABLAS!$B$52:$B$58,0))*DATOS!$C$14/(DATOS!$C$21*AH27)/2)/1E5))</f>
        <v/>
      </c>
      <c r="BR27" s="65" t="str">
        <f>IF(V27&lt;&gt;"SÍ","",IF(BM27&lt;0,9.99,IF(BQ27&gt;0,BG27/BQ27,0)))</f>
        <v/>
      </c>
      <c r="BS27" s="66" t="str">
        <f>IF(V27&lt;&gt;"SÍ","",IF(BO27=0,"—",0.003*(BP27-(BO27*INDEX(TABLAS!$D$52:$D$58,MATCH(BN27,TABLAS!$B$52:$B$58,0))*DATOS!$C$14/(DATOS!$C$21*AH27)/DATOS!$C$22))/(BO27*INDEX(TABLAS!$D$52:$D$58,MATCH(BN27,TABLAS!$B$52:$B$58,0))*DATOS!$C$14/(DATOS!$C$21*AH27)/DATOS!$C$22)))</f>
        <v/>
      </c>
      <c r="BT27" s="58" t="str">
        <f>IF(V27&lt;&gt;"SÍ","",((DATOS!$C$85-AM27-2*DATOS!$C$97-INDEX(TABLAS!$C$52:$C$58,MATCH(MAX(4,DATOS!$C$72),TABLAS!$B$52:$B$58,0))/2)-IF(AND((DATOS!$C$85-AM27-2*DATOS!$C$97-INDEX(TABLAS!$C$52:$C$58,MATCH(MAX(4,DATOS!$C$72),TABLAS!$B$52:$B$58,0))/2)&lt;=20,DATOS!$C$65&lt;&gt;"SÍ"),2,0)))</f>
        <v/>
      </c>
      <c r="BU27" s="58" t="str">
        <f>IF(V27&lt;&gt;"SÍ","",IF(IF(BH27&lt;=0,0,IF((1-2*BH27*1E5/(DATOS!$C$29*AF27*BT27^2*DATOS!$C$21))&lt;0,-1,IF((1-SQRT((1-2*BH27*1E5/(DATOS!$C$29*AF27*BT27^2*DATOS!$C$21))))*DATOS!$C$21*AF27*BT27/DATOS!$C$14&gt;DATOS!$C$102*AF27*BT27,-1,(1-SQRT((1-2*BH27*1E5/(DATOS!$C$29*AF27*BT27^2*DATOS!$C$21))))*DATOS!$C$21*AF27*BT27/DATOS!$C$14)))&lt;0,-1,MAX(IF(BH27&lt;=0,0,IF((1-2*BH27*1E5/(DATOS!$C$29*AF27*BT27^2*DATOS!$C$21))&lt;0,-1,IF((1-SQRT((1-2*BH27*1E5/(DATOS!$C$29*AF27*BT27^2*DATOS!$C$21))))*DATOS!$C$21*AF27*BT27/DATOS!$C$14&gt;DATOS!$C$102*AF27*BT27,-1,(1-SQRT((1-2*BH27*1E5/(DATOS!$C$29*AF27*BT27^2*DATOS!$C$21))))*DATOS!$C$21*AF27*BT27/DATOS!$C$14))),MIN(DATOS!$C$103*IF(C27="VOLADO",MIN(AH27,2*AD27),AD27)*BT27,4/3*IF(BH27&lt;=0,0,IF((1-2*BH27*1E5/(DATOS!$C$29*AF27*BT27^2*DATOS!$C$21))&lt;0,-1,IF((1-SQRT((1-2*BH27*1E5/(DATOS!$C$29*AF27*BT27^2*DATOS!$C$21))))*DATOS!$C$21*AF27*BT27/DATOS!$C$14&gt;DATOS!$C$102*AF27*BT27,-1,(1-SQRT((1-2*BH27*1E5/(DATOS!$C$29*AF27*BT27^2*DATOS!$C$21))))*DATOS!$C$21*AF27*BT27/DATOS!$C$14)))))))</f>
        <v/>
      </c>
      <c r="BV27" s="64" t="str">
        <f>IF(V27&lt;&gt;"SÍ","",IF(AND(BU27&gt;=0,IF(MAX(DATOS!$C$74,CEILING(BU27/INDEX(TABLAS!$D$52:$D$58,MIN(MATCH(MAX(4,DATOS!$C$72),TABLAS!$B$52:$B$58,0)+0,7)),1))*INDEX(TABLAS!$D$52:$D$58,MIN(MATCH(MAX(4,DATOS!$C$72),TABLAS!$B$52:$B$58,0)+0,7)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+0,7)),1)),MAX(MAX(DATOS!$C$74,CEILING(BU27/INDEX(TABLAS!$D$52:$D$58,MIN(MATCH(MAX(4,DATOS!$C$72),TABLAS!$B$52:$B$58,0)+0,7)),1)),2))&lt;=MIN(DATOS!$C$73,INT(((AD27-2*AL27)+MAX(DATOS!$C$70,INDEX(TABLAS!$C$52:$C$58,MIN(MATCH(MAX(4,DATOS!$C$72),TABLAS!$B$52:$B$58,0)+0,7))))/(INDEX(TABLAS!$C$52:$C$58,MIN(MATCH(MAX(4,DATOS!$C$72),TABLAS!$B$52:$B$58,0)+0,7))+MAX(DATOS!$C$70,INDEX(TABLAS!$C$52:$C$58,MIN(MATCH(MAX(4,DATOS!$C$72),TABLAS!$B$52:$B$58,0)+0,7))))))),INDEX(TABLAS!$B$52:$B$58,MIN(MATCH(MAX(4,DATOS!$C$72),TABLAS!$B$52:$B$58,0)+0,7)),IF(AND(BU27&gt;=0,IF(MAX(DATOS!$C$74,CEILING(BU27/INDEX(TABLAS!$D$52:$D$58,MIN(MATCH(MAX(4,DATOS!$C$72),TABLAS!$B$52:$B$58,0)+1,7)),1))*INDEX(TABLAS!$D$52:$D$58,MIN(MATCH(MAX(4,DATOS!$C$72),TABLAS!$B$52:$B$58,0)+1,7)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+1,7)),1)),MAX(MAX(DATOS!$C$74,CEILING(BU27/INDEX(TABLAS!$D$52:$D$58,MIN(MATCH(MAX(4,DATOS!$C$72),TABLAS!$B$52:$B$58,0)+1,7)),1)),2))&lt;=MIN(DATOS!$C$73,INT(((AD27-2*AL27)+MAX(DATOS!$C$70,INDEX(TABLAS!$C$52:$C$58,MIN(MATCH(MAX(4,DATOS!$C$72),TABLAS!$B$52:$B$58,0)+1,7))))/(INDEX(TABLAS!$C$52:$C$58,MIN(MATCH(MAX(4,DATOS!$C$72),TABLAS!$B$52:$B$58,0)+1,7))+MAX(DATOS!$C$70,INDEX(TABLAS!$C$52:$C$58,MIN(MATCH(MAX(4,DATOS!$C$72),TABLAS!$B$52:$B$58,0)+1,7))))))),INDEX(TABLAS!$B$52:$B$58,MIN(MATCH(MAX(4,DATOS!$C$72),TABLAS!$B$52:$B$58,0)+1,7)),IF(AND(BU27&gt;=0,IF(MAX(DATOS!$C$74,CEILING(BU27/INDEX(TABLAS!$D$52:$D$58,MIN(MATCH(MAX(4,DATOS!$C$72),TABLAS!$B$52:$B$58,0)+2,7)),1))*INDEX(TABLAS!$D$52:$D$58,MIN(MATCH(MAX(4,DATOS!$C$72),TABLAS!$B$52:$B$58,0)+2,7)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+2,7)),1)),MAX(MAX(DATOS!$C$74,CEILING(BU27/INDEX(TABLAS!$D$52:$D$58,MIN(MATCH(MAX(4,DATOS!$C$72),TABLAS!$B$52:$B$58,0)+2,7)),1)),2))&lt;=MIN(DATOS!$C$73,INT(((AD27-2*AL27)+MAX(DATOS!$C$70,INDEX(TABLAS!$C$52:$C$58,MIN(MATCH(MAX(4,DATOS!$C$72),TABLAS!$B$52:$B$58,0)+2,7))))/(INDEX(TABLAS!$C$52:$C$58,MIN(MATCH(MAX(4,DATOS!$C$72),TABLAS!$B$52:$B$58,0)+2,7))+MAX(DATOS!$C$70,INDEX(TABLAS!$C$52:$C$58,MIN(MATCH(MAX(4,DATOS!$C$72),TABLAS!$B$52:$B$58,0)+2,7))))))),INDEX(TABLAS!$B$52:$B$58,MIN(MATCH(MAX(4,DATOS!$C$72),TABLAS!$B$52:$B$58,0)+2,7)),IF(AND(BU27&gt;=0,IF(MAX(DATOS!$C$74,CEILING(BU27/INDEX(TABLAS!$D$52:$D$58,MIN(MATCH(MAX(4,DATOS!$C$72),TABLAS!$B$52:$B$58,0)+3,7)),1))*INDEX(TABLAS!$D$52:$D$58,MIN(MATCH(MAX(4,DATOS!$C$72),TABLAS!$B$52:$B$58,0)+3,7)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+3,7)),1)),MAX(MAX(DATOS!$C$74,CEILING(BU27/INDEX(TABLAS!$D$52:$D$58,MIN(MATCH(MAX(4,DATOS!$C$72),TABLAS!$B$52:$B$58,0)+3,7)),1)),2))&lt;=MIN(DATOS!$C$73,INT(((AD27-2*AL27)+MAX(DATOS!$C$70,INDEX(TABLAS!$C$52:$C$58,MIN(MATCH(MAX(4,DATOS!$C$72),TABLAS!$B$52:$B$58,0)+3,7))))/(INDEX(TABLAS!$C$52:$C$58,MIN(MATCH(MAX(4,DATOS!$C$72),TABLAS!$B$52:$B$58,0)+3,7))+MAX(DATOS!$C$70,INDEX(TABLAS!$C$52:$C$58,MIN(MATCH(MAX(4,DATOS!$C$72),TABLAS!$B$52:$B$58,0)+3,7))))))),INDEX(TABLAS!$B$52:$B$58,MIN(MATCH(MAX(4,DATOS!$C$72),TABLAS!$B$52:$B$58,0)+3,7)),IF(AND(BU27&gt;=0,IF(MAX(DATOS!$C$74,CEILING(BU27/INDEX(TABLAS!$D$52:$D$58,MIN(MATCH(MAX(4,DATOS!$C$72),TABLAS!$B$52:$B$58,0)+4,7)),1))*INDEX(TABLAS!$D$52:$D$58,MIN(MATCH(MAX(4,DATOS!$C$72),TABLAS!$B$52:$B$58,0)+4,7)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+4,7)),1)),MAX(MAX(DATOS!$C$74,CEILING(BU27/INDEX(TABLAS!$D$52:$D$58,MIN(MATCH(MAX(4,DATOS!$C$72),TABLAS!$B$52:$B$58,0)+4,7)),1)),2))&lt;=MIN(DATOS!$C$73,INT(((AD27-2*AL27)+MAX(DATOS!$C$70,INDEX(TABLAS!$C$52:$C$58,MIN(MATCH(MAX(4,DATOS!$C$72),TABLAS!$B$52:$B$58,0)+4,7))))/(INDEX(TABLAS!$C$52:$C$58,MIN(MATCH(MAX(4,DATOS!$C$72),TABLAS!$B$52:$B$58,0)+4,7))+MAX(DATOS!$C$70,INDEX(TABLAS!$C$52:$C$58,MIN(MATCH(MAX(4,DATOS!$C$72),TABLAS!$B$52:$B$58,0)+4,7))))))),INDEX(TABLAS!$B$52:$B$58,MIN(MATCH(MAX(4,DATOS!$C$72),TABLAS!$B$52:$B$58,0)+4,7)),INDEX(TABLAS!$B$52:$B$58,7)))))))</f>
        <v/>
      </c>
      <c r="BW27" s="59" t="str">
        <f>IF(V27&lt;&gt;"SÍ","",IF(BU27&lt;0,0,IF(MAX(DATOS!$C$74,CEILING(MAX(BU27,0)/INDEX(TABLAS!$D$52:$D$58,MATCH(BV27,TABLAS!$B$52:$B$58,0)),1))*INDEX(TABLAS!$D$52:$D$58,MATCH(BV27,TABLAS!$B$52:$B$58,0))&gt;=4/3*IF(BH27&lt;=0,0,IF((1-2*BH27*1E5/(DATOS!$C$29*AF27*BT27^2*DATOS!$C$21))&lt;0,-1,IF((1-SQRT((1-2*BH27*1E5/(DATOS!$C$29*AF27*BT27^2*DATOS!$C$21))))*DATOS!$C$21*AF27*BT27/DATOS!$C$14&gt;DATOS!$C$102*AF27*BT27,-1,(1-SQRT((1-2*BH27*1E5/(DATOS!$C$29*AF27*BT27^2*DATOS!$C$21))))*DATOS!$C$21*AF27*BT27/DATOS!$C$14)))-0.0001,MAX(DATOS!$C$74,CEILING(MAX(BU27,0)/INDEX(TABLAS!$D$52:$D$58,MATCH(BV27,TABLAS!$B$52:$B$58,0)),1)),MAX(MAX(DATOS!$C$74,CEILING(MAX(BU27,0)/INDEX(TABLAS!$D$52:$D$58,MATCH(BV27,TABLAS!$B$52:$B$58,0)),1)),2))))</f>
        <v/>
      </c>
      <c r="BX27" s="58" t="str">
        <f>IF(V27&lt;&gt;"SÍ","",((DATOS!$C$85-AM27-2*DATOS!$C$97-INDEX(TABLAS!$C$52:$C$58,MATCH(BV27,TABLAS!$B$52:$B$58,0))/2)-IF(AND((DATOS!$C$85-AM27-2*DATOS!$C$97-INDEX(TABLAS!$C$52:$C$58,MATCH(BV27,TABLAS!$B$52:$B$58,0))/2)&lt;=20,DATOS!$C$65&lt;&gt;"SÍ"),2,0)))</f>
        <v/>
      </c>
      <c r="BY27" s="56" t="str">
        <f>IF(V27&lt;&gt;"SÍ","",IF(BW27=0,0,DATOS!$C$29*BW27*INDEX(TABLAS!$D$52:$D$58,MATCH(BV27,TABLAS!$B$52:$B$58,0))*DATOS!$C$14*(BX27-BW27*INDEX(TABLAS!$D$52:$D$58,MATCH(BV27,TABLAS!$B$52:$B$58,0))*DATOS!$C$14/(DATOS!$C$21*AF27)/2)/1E5))</f>
        <v/>
      </c>
      <c r="BZ27" s="65" t="str">
        <f>IF(V27&lt;&gt;"SÍ","",IF(BU27&lt;0,9.99,IF(BY27&gt;0,BH27/BY27,0)))</f>
        <v/>
      </c>
      <c r="CA27" s="66" t="str">
        <f>IF(V27&lt;&gt;"SÍ","",IF(BW27=0,"—",0.003*(BX27-(BW27*INDEX(TABLAS!$D$52:$D$58,MATCH(BV27,TABLAS!$B$52:$B$58,0))*DATOS!$C$14/(DATOS!$C$21*AF27)/DATOS!$C$22))/(BW27*INDEX(TABLAS!$D$52:$D$58,MATCH(BV27,TABLAS!$B$52:$B$58,0))*DATOS!$C$14/(DATOS!$C$21*AF27)/DATOS!$C$22)))</f>
        <v/>
      </c>
      <c r="CB27" s="58" t="str">
        <f>IF(V27&lt;&gt;"SÍ","",(DATOS!$C$85-AK27-INDEX(TABLAS!$C$52:$C$58,MATCH(MAX(4,DATOS!$C$71),TABLAS!$B$52:$B$58,0))-INDEX(TABLAS!$C$52:$C$58,MATCH(MAX(4,DATOS!$C$71),TABLAS!$B$52:$B$58,0))/2))</f>
        <v/>
      </c>
      <c r="CC27" s="58" t="str">
        <f>IF(V27&lt;&gt;"SÍ","",IF(IF(BI27&lt;=0,0,IF((1-2*BI27*1E5/(DATOS!$C$29*AI27*CB27^2*DATOS!$C$21))&lt;0,-1,IF((1-SQRT((1-2*BI27*1E5/(DATOS!$C$29*AI27*CB27^2*DATOS!$C$21))))*DATOS!$C$21*AI27*CB27/DATOS!$C$14&gt;DATOS!$C$102*AI27*CB27,-1,(1-SQRT((1-2*BI27*1E5/(DATOS!$C$29*AI27*CB27^2*DATOS!$C$21))))*DATOS!$C$21*AI27*CB27/DATOS!$C$14)))&lt;0,-1,MAX(IF(BI27&lt;=0,0,IF((1-2*BI27*1E5/(DATOS!$C$29*AI27*CB27^2*DATOS!$C$21))&lt;0,-1,IF((1-SQRT((1-2*BI27*1E5/(DATOS!$C$29*AI27*CB27^2*DATOS!$C$21))))*DATOS!$C$21*AI27*CB27/DATOS!$C$14&gt;DATOS!$C$102*AI27*CB27,-1,(1-SQRT((1-2*BI27*1E5/(DATOS!$C$29*AI27*CB27^2*DATOS!$C$21))))*DATOS!$C$21*AI27*CB27/DATOS!$C$14))),MIN(DATOS!$C$103*DATOS!$C$83*CB27,4/3*IF(BI27&lt;=0,0,IF((1-2*BI27*1E5/(DATOS!$C$29*AI27*CB27^2*DATOS!$C$21))&lt;0,-1,IF((1-SQRT((1-2*BI27*1E5/(DATOS!$C$29*AI27*CB27^2*DATOS!$C$21))))*DATOS!$C$21*AI27*CB27/DATOS!$C$14&gt;DATOS!$C$102*AI27*CB27,-1,(1-SQRT((1-2*BI27*1E5/(DATOS!$C$29*AI27*CB27^2*DATOS!$C$21))))*DATOS!$C$21*AI27*CB27/DATOS!$C$14)))))))</f>
        <v/>
      </c>
      <c r="CD27" s="64" t="str">
        <f>IF(V27&lt;&gt;"SÍ","",IF(AND(CC27&gt;=0,IF(MAX(DATOS!$C$74,CEILING(CC27/INDEX(TABLAS!$D$52:$D$58,MIN(MATCH(MAX(4,DATOS!$C$71),TABLAS!$B$52:$B$58,0)+0,7)),1))*INDEX(TABLAS!$D$52:$D$58,MIN(MATCH(MAX(4,DATOS!$C$71),TABLAS!$B$52:$B$58,0)+0,7)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+0,7)),1)),MAX(MAX(DATOS!$C$74,CEILING(CC27/INDEX(TABLAS!$D$52:$D$58,MIN(MATCH(MAX(4,DATOS!$C$71),TABLAS!$B$52:$B$58,0)+0,7)),1)),2))&lt;=MIN(DATOS!$C$73,INT(((DATOS!$C$83-2*AK27)+MAX(DATOS!$C$70,INDEX(TABLAS!$C$52:$C$58,MIN(MATCH(MAX(4,DATOS!$C$71),TABLAS!$B$52:$B$58,0)+0,7))))/(INDEX(TABLAS!$C$52:$C$58,MIN(MATCH(MAX(4,DATOS!$C$71),TABLAS!$B$52:$B$58,0)+0,7))+MAX(DATOS!$C$70,INDEX(TABLAS!$C$52:$C$58,MIN(MATCH(MAX(4,DATOS!$C$71),TABLAS!$B$52:$B$58,0)+0,7))))))),INDEX(TABLAS!$B$52:$B$58,MIN(MATCH(MAX(4,DATOS!$C$71),TABLAS!$B$52:$B$58,0)+0,7)),IF(AND(CC27&gt;=0,IF(MAX(DATOS!$C$74,CEILING(CC27/INDEX(TABLAS!$D$52:$D$58,MIN(MATCH(MAX(4,DATOS!$C$71),TABLAS!$B$52:$B$58,0)+1,7)),1))*INDEX(TABLAS!$D$52:$D$58,MIN(MATCH(MAX(4,DATOS!$C$71),TABLAS!$B$52:$B$58,0)+1,7)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+1,7)),1)),MAX(MAX(DATOS!$C$74,CEILING(CC27/INDEX(TABLAS!$D$52:$D$58,MIN(MATCH(MAX(4,DATOS!$C$71),TABLAS!$B$52:$B$58,0)+1,7)),1)),2))&lt;=MIN(DATOS!$C$73,INT(((DATOS!$C$83-2*AK27)+MAX(DATOS!$C$70,INDEX(TABLAS!$C$52:$C$58,MIN(MATCH(MAX(4,DATOS!$C$71),TABLAS!$B$52:$B$58,0)+1,7))))/(INDEX(TABLAS!$C$52:$C$58,MIN(MATCH(MAX(4,DATOS!$C$71),TABLAS!$B$52:$B$58,0)+1,7))+MAX(DATOS!$C$70,INDEX(TABLAS!$C$52:$C$58,MIN(MATCH(MAX(4,DATOS!$C$71),TABLAS!$B$52:$B$58,0)+1,7))))))),INDEX(TABLAS!$B$52:$B$58,MIN(MATCH(MAX(4,DATOS!$C$71),TABLAS!$B$52:$B$58,0)+1,7)),IF(AND(CC27&gt;=0,IF(MAX(DATOS!$C$74,CEILING(CC27/INDEX(TABLAS!$D$52:$D$58,MIN(MATCH(MAX(4,DATOS!$C$71),TABLAS!$B$52:$B$58,0)+2,7)),1))*INDEX(TABLAS!$D$52:$D$58,MIN(MATCH(MAX(4,DATOS!$C$71),TABLAS!$B$52:$B$58,0)+2,7)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+2,7)),1)),MAX(MAX(DATOS!$C$74,CEILING(CC27/INDEX(TABLAS!$D$52:$D$58,MIN(MATCH(MAX(4,DATOS!$C$71),TABLAS!$B$52:$B$58,0)+2,7)),1)),2))&lt;=MIN(DATOS!$C$73,INT(((DATOS!$C$83-2*AK27)+MAX(DATOS!$C$70,INDEX(TABLAS!$C$52:$C$58,MIN(MATCH(MAX(4,DATOS!$C$71),TABLAS!$B$52:$B$58,0)+2,7))))/(INDEX(TABLAS!$C$52:$C$58,MIN(MATCH(MAX(4,DATOS!$C$71),TABLAS!$B$52:$B$58,0)+2,7))+MAX(DATOS!$C$70,INDEX(TABLAS!$C$52:$C$58,MIN(MATCH(MAX(4,DATOS!$C$71),TABLAS!$B$52:$B$58,0)+2,7))))))),INDEX(TABLAS!$B$52:$B$58,MIN(MATCH(MAX(4,DATOS!$C$71),TABLAS!$B$52:$B$58,0)+2,7)),IF(AND(CC27&gt;=0,IF(MAX(DATOS!$C$74,CEILING(CC27/INDEX(TABLAS!$D$52:$D$58,MIN(MATCH(MAX(4,DATOS!$C$71),TABLAS!$B$52:$B$58,0)+3,7)),1))*INDEX(TABLAS!$D$52:$D$58,MIN(MATCH(MAX(4,DATOS!$C$71),TABLAS!$B$52:$B$58,0)+3,7)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+3,7)),1)),MAX(MAX(DATOS!$C$74,CEILING(CC27/INDEX(TABLAS!$D$52:$D$58,MIN(MATCH(MAX(4,DATOS!$C$71),TABLAS!$B$52:$B$58,0)+3,7)),1)),2))&lt;=MIN(DATOS!$C$73,INT(((DATOS!$C$83-2*AK27)+MAX(DATOS!$C$70,INDEX(TABLAS!$C$52:$C$58,MIN(MATCH(MAX(4,DATOS!$C$71),TABLAS!$B$52:$B$58,0)+3,7))))/(INDEX(TABLAS!$C$52:$C$58,MIN(MATCH(MAX(4,DATOS!$C$71),TABLAS!$B$52:$B$58,0)+3,7))+MAX(DATOS!$C$70,INDEX(TABLAS!$C$52:$C$58,MIN(MATCH(MAX(4,DATOS!$C$71),TABLAS!$B$52:$B$58,0)+3,7))))))),INDEX(TABLAS!$B$52:$B$58,MIN(MATCH(MAX(4,DATOS!$C$71),TABLAS!$B$52:$B$58,0)+3,7)),IF(AND(CC27&gt;=0,IF(MAX(DATOS!$C$74,CEILING(CC27/INDEX(TABLAS!$D$52:$D$58,MIN(MATCH(MAX(4,DATOS!$C$71),TABLAS!$B$52:$B$58,0)+4,7)),1))*INDEX(TABLAS!$D$52:$D$58,MIN(MATCH(MAX(4,DATOS!$C$71),TABLAS!$B$52:$B$58,0)+4,7)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+4,7)),1)),MAX(MAX(DATOS!$C$74,CEILING(CC27/INDEX(TABLAS!$D$52:$D$58,MIN(MATCH(MAX(4,DATOS!$C$71),TABLAS!$B$52:$B$58,0)+4,7)),1)),2))&lt;=MIN(DATOS!$C$73,INT(((DATOS!$C$83-2*AK27)+MAX(DATOS!$C$70,INDEX(TABLAS!$C$52:$C$58,MIN(MATCH(MAX(4,DATOS!$C$71),TABLAS!$B$52:$B$58,0)+4,7))))/(INDEX(TABLAS!$C$52:$C$58,MIN(MATCH(MAX(4,DATOS!$C$71),TABLAS!$B$52:$B$58,0)+4,7))+MAX(DATOS!$C$70,INDEX(TABLAS!$C$52:$C$58,MIN(MATCH(MAX(4,DATOS!$C$71),TABLAS!$B$52:$B$58,0)+4,7))))))),INDEX(TABLAS!$B$52:$B$58,MIN(MATCH(MAX(4,DATOS!$C$71),TABLAS!$B$52:$B$58,0)+4,7)),INDEX(TABLAS!$B$52:$B$58,7)))))))</f>
        <v/>
      </c>
      <c r="CE27" s="59" t="str">
        <f>IF(V27&lt;&gt;"SÍ","",IF(CC27&lt;0,0,IF(MAX(DATOS!$C$74,CEILING(MAX(CC27,0)/INDEX(TABLAS!$D$52:$D$58,MATCH(CD27,TABLAS!$B$52:$B$58,0)),1))*INDEX(TABLAS!$D$52:$D$58,MATCH(CD27,TABLAS!$B$52:$B$58,0))&gt;=4/3*IF(BI27&lt;=0,0,IF((1-2*BI27*1E5/(DATOS!$C$29*AI27*CB27^2*DATOS!$C$21))&lt;0,-1,IF((1-SQRT((1-2*BI27*1E5/(DATOS!$C$29*AI27*CB27^2*DATOS!$C$21))))*DATOS!$C$21*AI27*CB27/DATOS!$C$14&gt;DATOS!$C$102*AI27*CB27,-1,(1-SQRT((1-2*BI27*1E5/(DATOS!$C$29*AI27*CB27^2*DATOS!$C$21))))*DATOS!$C$21*AI27*CB27/DATOS!$C$14)))-0.0001,MAX(DATOS!$C$74,CEILING(MAX(CC27,0)/INDEX(TABLAS!$D$52:$D$58,MATCH(CD27,TABLAS!$B$52:$B$58,0)),1)),MAX(MAX(DATOS!$C$74,CEILING(MAX(CC27,0)/INDEX(TABLAS!$D$52:$D$58,MATCH(CD27,TABLAS!$B$52:$B$58,0)),1)),2))))</f>
        <v/>
      </c>
      <c r="CF27" s="58" t="str">
        <f>IF(V27&lt;&gt;"SÍ","",DATOS!$C$85-AK27-INDEX(TABLAS!$C$52:$C$58,MATCH(BN27,TABLAS!$B$52:$B$58,0))-INDEX(TABLAS!$C$52:$C$58,MATCH(CD27,TABLAS!$B$52:$B$58,0))/2)</f>
        <v/>
      </c>
      <c r="CG27" s="56" t="str">
        <f>IF(V27&lt;&gt;"SÍ","",IF(CE27=0,0,DATOS!$C$29*CE27*INDEX(TABLAS!$D$52:$D$58,MATCH(CD27,TABLAS!$B$52:$B$58,0))*DATOS!$C$14*(CF27-CE27*INDEX(TABLAS!$D$52:$D$58,MATCH(CD27,TABLAS!$B$52:$B$58,0))*DATOS!$C$14/(DATOS!$C$21*AI27)/2)/1E5))</f>
        <v/>
      </c>
      <c r="CH27" s="65" t="str">
        <f>IF(V27&lt;&gt;"SÍ","",IF(CC27&lt;0,9.99,IF(CG27&gt;0,BI27/CG27,0)))</f>
        <v/>
      </c>
      <c r="CI27" s="66" t="str">
        <f>IF(V27&lt;&gt;"SÍ","",IF(CE27=0,"—",0.003*(CF27-(CE27*INDEX(TABLAS!$D$52:$D$58,MATCH(CD27,TABLAS!$B$52:$B$58,0))*DATOS!$C$14/(DATOS!$C$21*AI27)/DATOS!$C$22))/(CE27*INDEX(TABLAS!$D$52:$D$58,MATCH(CD27,TABLAS!$B$52:$B$58,0))*DATOS!$C$14/(DATOS!$C$21*AI27)/DATOS!$C$22)))</f>
        <v/>
      </c>
      <c r="CJ27" s="58" t="str">
        <f>IF(V27&lt;&gt;"SÍ","",((DATOS!$C$85-AM27-2*DATOS!$C$97-INDEX(TABLAS!$C$52:$C$58,MATCH(MAX(4,DATOS!$C$72),TABLAS!$B$52:$B$58,0))-INDEX(TABLAS!$C$52:$C$58,MATCH(MAX(4,DATOS!$C$72),TABLAS!$B$52:$B$58,0))/2)-IF(AND((DATOS!$C$85-AM27-2*DATOS!$C$97-INDEX(TABLAS!$C$52:$C$58,MATCH(MAX(4,DATOS!$C$72),TABLAS!$B$52:$B$58,0))-INDEX(TABLAS!$C$52:$C$58,MATCH(MAX(4,DATOS!$C$72),TABLAS!$B$52:$B$58,0))/2)&lt;=20,DATOS!$C$65&lt;&gt;"SÍ"),2,0)))</f>
        <v/>
      </c>
      <c r="CK27" s="58" t="str">
        <f>IF(V27&lt;&gt;"SÍ","",IF(IF(BJ27&lt;=0,0,IF((1-2*BJ27*1E5/(DATOS!$C$29*AG27*CJ27^2*DATOS!$C$21))&lt;0,-1,IF((1-SQRT((1-2*BJ27*1E5/(DATOS!$C$29*AG27*CJ27^2*DATOS!$C$21))))*DATOS!$C$21*AG27*CJ27/DATOS!$C$14&gt;DATOS!$C$102*AG27*CJ27,-1,(1-SQRT((1-2*BJ27*1E5/(DATOS!$C$29*AG27*CJ27^2*DATOS!$C$21))))*DATOS!$C$21*AG27*CJ27/DATOS!$C$14)))&lt;0,-1,MAX(IF(BJ27&lt;=0,0,IF((1-2*BJ27*1E5/(DATOS!$C$29*AG27*CJ27^2*DATOS!$C$21))&lt;0,-1,IF((1-SQRT((1-2*BJ27*1E5/(DATOS!$C$29*AG27*CJ27^2*DATOS!$C$21))))*DATOS!$C$21*AG27*CJ27/DATOS!$C$14&gt;DATOS!$C$102*AG27*CJ27,-1,(1-SQRT((1-2*BJ27*1E5/(DATOS!$C$29*AG27*CJ27^2*DATOS!$C$21))))*DATOS!$C$21*AG27*CJ27/DATOS!$C$14))),MIN(DATOS!$C$103*DATOS!$C$83*CJ27,4/3*IF(BJ27&lt;=0,0,IF((1-2*BJ27*1E5/(DATOS!$C$29*AG27*CJ27^2*DATOS!$C$21))&lt;0,-1,IF((1-SQRT((1-2*BJ27*1E5/(DATOS!$C$29*AG27*CJ27^2*DATOS!$C$21))))*DATOS!$C$21*AG27*CJ27/DATOS!$C$14&gt;DATOS!$C$102*AG27*CJ27,-1,(1-SQRT((1-2*BJ27*1E5/(DATOS!$C$29*AG27*CJ27^2*DATOS!$C$21))))*DATOS!$C$21*AG27*CJ27/DATOS!$C$14)))))))</f>
        <v/>
      </c>
      <c r="CL27" s="64" t="str">
        <f>IF(V27&lt;&gt;"SÍ","",IF(AND(CK27&gt;=0,IF(MAX(DATOS!$C$74,CEILING(CK27/INDEX(TABLAS!$D$52:$D$58,MIN(MATCH(MAX(4,DATOS!$C$72),TABLAS!$B$52:$B$58,0)+0,7)),1))*INDEX(TABLAS!$D$52:$D$58,MIN(MATCH(MAX(4,DATOS!$C$72),TABLAS!$B$52:$B$58,0)+0,7)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+0,7)),1)),MAX(MAX(DATOS!$C$74,CEILING(CK27/INDEX(TABLAS!$D$52:$D$58,MIN(MATCH(MAX(4,DATOS!$C$72),TABLAS!$B$52:$B$58,0)+0,7)),1)),2))&lt;=MIN(DATOS!$C$73,INT(((DATOS!$C$83-2*AL27)+MAX(DATOS!$C$70,INDEX(TABLAS!$C$52:$C$58,MIN(MATCH(MAX(4,DATOS!$C$72),TABLAS!$B$52:$B$58,0)+0,7))))/(INDEX(TABLAS!$C$52:$C$58,MIN(MATCH(MAX(4,DATOS!$C$72),TABLAS!$B$52:$B$58,0)+0,7))+MAX(DATOS!$C$70,INDEX(TABLAS!$C$52:$C$58,MIN(MATCH(MAX(4,DATOS!$C$72),TABLAS!$B$52:$B$58,0)+0,7))))))),INDEX(TABLAS!$B$52:$B$58,MIN(MATCH(MAX(4,DATOS!$C$72),TABLAS!$B$52:$B$58,0)+0,7)),IF(AND(CK27&gt;=0,IF(MAX(DATOS!$C$74,CEILING(CK27/INDEX(TABLAS!$D$52:$D$58,MIN(MATCH(MAX(4,DATOS!$C$72),TABLAS!$B$52:$B$58,0)+1,7)),1))*INDEX(TABLAS!$D$52:$D$58,MIN(MATCH(MAX(4,DATOS!$C$72),TABLAS!$B$52:$B$58,0)+1,7)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+1,7)),1)),MAX(MAX(DATOS!$C$74,CEILING(CK27/INDEX(TABLAS!$D$52:$D$58,MIN(MATCH(MAX(4,DATOS!$C$72),TABLAS!$B$52:$B$58,0)+1,7)),1)),2))&lt;=MIN(DATOS!$C$73,INT(((DATOS!$C$83-2*AL27)+MAX(DATOS!$C$70,INDEX(TABLAS!$C$52:$C$58,MIN(MATCH(MAX(4,DATOS!$C$72),TABLAS!$B$52:$B$58,0)+1,7))))/(INDEX(TABLAS!$C$52:$C$58,MIN(MATCH(MAX(4,DATOS!$C$72),TABLAS!$B$52:$B$58,0)+1,7))+MAX(DATOS!$C$70,INDEX(TABLAS!$C$52:$C$58,MIN(MATCH(MAX(4,DATOS!$C$72),TABLAS!$B$52:$B$58,0)+1,7))))))),INDEX(TABLAS!$B$52:$B$58,MIN(MATCH(MAX(4,DATOS!$C$72),TABLAS!$B$52:$B$58,0)+1,7)),IF(AND(CK27&gt;=0,IF(MAX(DATOS!$C$74,CEILING(CK27/INDEX(TABLAS!$D$52:$D$58,MIN(MATCH(MAX(4,DATOS!$C$72),TABLAS!$B$52:$B$58,0)+2,7)),1))*INDEX(TABLAS!$D$52:$D$58,MIN(MATCH(MAX(4,DATOS!$C$72),TABLAS!$B$52:$B$58,0)+2,7)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+2,7)),1)),MAX(MAX(DATOS!$C$74,CEILING(CK27/INDEX(TABLAS!$D$52:$D$58,MIN(MATCH(MAX(4,DATOS!$C$72),TABLAS!$B$52:$B$58,0)+2,7)),1)),2))&lt;=MIN(DATOS!$C$73,INT(((DATOS!$C$83-2*AL27)+MAX(DATOS!$C$70,INDEX(TABLAS!$C$52:$C$58,MIN(MATCH(MAX(4,DATOS!$C$72),TABLAS!$B$52:$B$58,0)+2,7))))/(INDEX(TABLAS!$C$52:$C$58,MIN(MATCH(MAX(4,DATOS!$C$72),TABLAS!$B$52:$B$58,0)+2,7))+MAX(DATOS!$C$70,INDEX(TABLAS!$C$52:$C$58,MIN(MATCH(MAX(4,DATOS!$C$72),TABLAS!$B$52:$B$58,0)+2,7))))))),INDEX(TABLAS!$B$52:$B$58,MIN(MATCH(MAX(4,DATOS!$C$72),TABLAS!$B$52:$B$58,0)+2,7)),IF(AND(CK27&gt;=0,IF(MAX(DATOS!$C$74,CEILING(CK27/INDEX(TABLAS!$D$52:$D$58,MIN(MATCH(MAX(4,DATOS!$C$72),TABLAS!$B$52:$B$58,0)+3,7)),1))*INDEX(TABLAS!$D$52:$D$58,MIN(MATCH(MAX(4,DATOS!$C$72),TABLAS!$B$52:$B$58,0)+3,7)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+3,7)),1)),MAX(MAX(DATOS!$C$74,CEILING(CK27/INDEX(TABLAS!$D$52:$D$58,MIN(MATCH(MAX(4,DATOS!$C$72),TABLAS!$B$52:$B$58,0)+3,7)),1)),2))&lt;=MIN(DATOS!$C$73,INT(((DATOS!$C$83-2*AL27)+MAX(DATOS!$C$70,INDEX(TABLAS!$C$52:$C$58,MIN(MATCH(MAX(4,DATOS!$C$72),TABLAS!$B$52:$B$58,0)+3,7))))/(INDEX(TABLAS!$C$52:$C$58,MIN(MATCH(MAX(4,DATOS!$C$72),TABLAS!$B$52:$B$58,0)+3,7))+MAX(DATOS!$C$70,INDEX(TABLAS!$C$52:$C$58,MIN(MATCH(MAX(4,DATOS!$C$72),TABLAS!$B$52:$B$58,0)+3,7))))))),INDEX(TABLAS!$B$52:$B$58,MIN(MATCH(MAX(4,DATOS!$C$72),TABLAS!$B$52:$B$58,0)+3,7)),IF(AND(CK27&gt;=0,IF(MAX(DATOS!$C$74,CEILING(CK27/INDEX(TABLAS!$D$52:$D$58,MIN(MATCH(MAX(4,DATOS!$C$72),TABLAS!$B$52:$B$58,0)+4,7)),1))*INDEX(TABLAS!$D$52:$D$58,MIN(MATCH(MAX(4,DATOS!$C$72),TABLAS!$B$52:$B$58,0)+4,7)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+4,7)),1)),MAX(MAX(DATOS!$C$74,CEILING(CK27/INDEX(TABLAS!$D$52:$D$58,MIN(MATCH(MAX(4,DATOS!$C$72),TABLAS!$B$52:$B$58,0)+4,7)),1)),2))&lt;=MIN(DATOS!$C$73,INT(((DATOS!$C$83-2*AL27)+MAX(DATOS!$C$70,INDEX(TABLAS!$C$52:$C$58,MIN(MATCH(MAX(4,DATOS!$C$72),TABLAS!$B$52:$B$58,0)+4,7))))/(INDEX(TABLAS!$C$52:$C$58,MIN(MATCH(MAX(4,DATOS!$C$72),TABLAS!$B$52:$B$58,0)+4,7))+MAX(DATOS!$C$70,INDEX(TABLAS!$C$52:$C$58,MIN(MATCH(MAX(4,DATOS!$C$72),TABLAS!$B$52:$B$58,0)+4,7))))))),INDEX(TABLAS!$B$52:$B$58,MIN(MATCH(MAX(4,DATOS!$C$72),TABLAS!$B$52:$B$58,0)+4,7)),INDEX(TABLAS!$B$52:$B$58,7)))))))</f>
        <v/>
      </c>
      <c r="CM27" s="59" t="str">
        <f>IF(V27&lt;&gt;"SÍ","",IF(CK27&lt;0,0,IF(MAX(DATOS!$C$74,CEILING(MAX(CK27,0)/INDEX(TABLAS!$D$52:$D$58,MATCH(CL27,TABLAS!$B$52:$B$58,0)),1))*INDEX(TABLAS!$D$52:$D$58,MATCH(CL27,TABLAS!$B$52:$B$58,0))&gt;=4/3*IF(BJ27&lt;=0,0,IF((1-2*BJ27*1E5/(DATOS!$C$29*AG27*CJ27^2*DATOS!$C$21))&lt;0,-1,IF((1-SQRT((1-2*BJ27*1E5/(DATOS!$C$29*AG27*CJ27^2*DATOS!$C$21))))*DATOS!$C$21*AG27*CJ27/DATOS!$C$14&gt;DATOS!$C$102*AG27*CJ27,-1,(1-SQRT((1-2*BJ27*1E5/(DATOS!$C$29*AG27*CJ27^2*DATOS!$C$21))))*DATOS!$C$21*AG27*CJ27/DATOS!$C$14)))-0.0001,MAX(DATOS!$C$74,CEILING(MAX(CK27,0)/INDEX(TABLAS!$D$52:$D$58,MATCH(CL27,TABLAS!$B$52:$B$58,0)),1)),MAX(MAX(DATOS!$C$74,CEILING(MAX(CK27,0)/INDEX(TABLAS!$D$52:$D$58,MATCH(CL27,TABLAS!$B$52:$B$58,0)),1)),2))))</f>
        <v/>
      </c>
      <c r="CN27" s="58" t="str">
        <f>IF(V27&lt;&gt;"SÍ","",((DATOS!$C$85-AM27-2*DATOS!$C$97-INDEX(TABLAS!$C$52:$C$58,MATCH(BV27,TABLAS!$B$52:$B$58,0))-INDEX(TABLAS!$C$52:$C$58,MATCH(CL27,TABLAS!$B$52:$B$58,0))/2)-IF(AND((DATOS!$C$85-AM27-2*DATOS!$C$97-INDEX(TABLAS!$C$52:$C$58,MATCH(BV27,TABLAS!$B$52:$B$58,0))-INDEX(TABLAS!$C$52:$C$58,MATCH(CL27,TABLAS!$B$52:$B$58,0))/2)&lt;=20,DATOS!$C$65&lt;&gt;"SÍ"),2,0)))</f>
        <v/>
      </c>
      <c r="CO27" s="56" t="str">
        <f>IF(V27&lt;&gt;"SÍ","",IF(CM27=0,0,DATOS!$C$29*CM27*INDEX(TABLAS!$D$52:$D$58,MATCH(CL27,TABLAS!$B$52:$B$58,0))*DATOS!$C$14*(CN27-CM27*INDEX(TABLAS!$D$52:$D$58,MATCH(CL27,TABLAS!$B$52:$B$58,0))*DATOS!$C$14/(DATOS!$C$21*AG27)/2)/1E5))</f>
        <v/>
      </c>
      <c r="CP27" s="65" t="str">
        <f>IF(V27&lt;&gt;"SÍ","",IF(CK27&lt;0,9.99,IF(CO27&gt;0,BJ27/CO27,0)))</f>
        <v/>
      </c>
      <c r="CQ27" s="66" t="str">
        <f>IF(V27&lt;&gt;"SÍ","",IF(CM27=0,"—",0.003*(CN27-(CM27*INDEX(TABLAS!$D$52:$D$58,MATCH(CL27,TABLAS!$B$52:$B$58,0))*DATOS!$C$14/(DATOS!$C$21*AG27)/DATOS!$C$22))/(CM27*INDEX(TABLAS!$D$52:$D$58,MATCH(CL27,TABLAS!$B$52:$B$58,0))*DATOS!$C$14/(DATOS!$C$21*AG27)/DATOS!$C$22)))</f>
        <v/>
      </c>
      <c r="CR27" s="56" t="str">
        <f>IF(V27&lt;&gt;"SÍ","",IF(C27="PERIMETRAL",MAX(0,(AB27/2-BX27)/100)*(0.95-0.5*AA27)*AR27*IF(AND(AS27&gt;0,AS27&lt;4),DATOS!$C$33,1)*DATOS!$C$86/100/1000,(AR27*MAX(0,AB27-BX27)/100+DATOS!$C$26*N(O27))*DATOS!$C$86/100/1000+BF27))</f>
        <v/>
      </c>
      <c r="CS27" s="56" t="str">
        <f>IF(V27&lt;&gt;"SÍ","",DATOS!$C$30*2*MIN(1,SQRT(2/(1+0.04*BX27)))*(BW27*INDEX(TABLAS!$D$52:$D$58,MATCH(BV27,TABLAS!$B$52:$B$58,0))/(AF27*BX27))^(1/3)*SQRT(DATOS!$C$13)*AF27*BX27*IF(AJ27="SÍ",DATOS!$C$32,1)/1000)</f>
        <v/>
      </c>
      <c r="CT27" s="59" t="str">
        <f>IF(V27&lt;&gt;"SÍ","",IF(CR27&lt;=CS27,0,CEILING(MAX(0,IF(C27="VOLADO",(AB27-((CS27-BF27)*1E5/DATOS!$C$86-DATOS!$C$26*N(O27))*100/AR27),IF(CS27&lt;=0,AB27,AB27/2-CS27/MAX(CR27,1E-9)*(AB27/2-BX27)))-IF(X27="X",MIN(DJ27,DK27),MIN(DL27,DM27)))/DATOS!$C$86,1)))</f>
        <v/>
      </c>
      <c r="CU27" s="67" t="str">
        <f>IF(V27&lt;&gt;"SÍ","",IF(CR27&lt;=CS27,"CUMPLE",IF(CT27&lt;=0,"CUMPLE (basta el macizo de orilla)",IF(CT27*DATOS!$C$86*IF(C27="VOLADO",1,2)&gt;=Y27*100-DATOS!$C$87,"NO CUMPLE: no alcanza ni macizando todo","MACIZAR "&amp;CT27&amp;" hilera(s)"))))</f>
        <v/>
      </c>
      <c r="CV27" s="58" t="str">
        <f>IF(V27&lt;&gt;"SÍ","",(DATOS!$C$86*DATOS!$C$84^2/2+MIN(DATOS!$C$83,AD27)*DATOS!$C$82*(DATOS!$C$84+DATOS!$C$82/2))/(DATOS!$C$86*DATOS!$C$84+MIN(DATOS!$C$83,AD27)*DATOS!$C$82))</f>
        <v/>
      </c>
      <c r="CW27" s="68" t="str">
        <f>IF(V27&lt;&gt;"SÍ","",DATOS!$C$86*DATOS!$C$84^3/12+DATOS!$C$86*DATOS!$C$84*(CV27-DATOS!$C$84/2)^2+MIN(DATOS!$C$83,AD27)*DATOS!$C$82^3/12+MIN(DATOS!$C$83,AD27)*DATOS!$C$82*(DATOS!$C$84+DATOS!$C$82/2-CV27)^2)</f>
        <v/>
      </c>
      <c r="CX27" s="58" t="str">
        <f>IF(V27&lt;&gt;"SÍ","",(12*CW27/DATOS!$C$86)^(1/3))</f>
        <v/>
      </c>
      <c r="CY27" s="58" t="str">
        <f>IF(V27&lt;&gt;"SÍ","",IF(C27="PERIMETRAL",IF(ISNUMBER(S27),S27,DATOS!$C$104),0))</f>
        <v/>
      </c>
      <c r="CZ27" s="57" t="str">
        <f>IF(V27&lt;&gt;"SÍ","",IF(C27="PERIMETRAL",IF(CY27&gt;2,MAX(9,AC27*(0.8+DATOS!$C$14/14000)/(36+9*(AC27/MAX(AB27,1)))),IF(CY27&gt;0.2,MAX(13,AC27*(0.8+DATOS!$C$14/14000)/(36+5*(AC27/MAX(AB27,1))*(CY27-0.2))),MAX(13,AC27/IF(AS27&gt;0,30,33))))*IF(AND(CY27&gt;0.2,AS27&gt;0,DATOS!$C$105="NO"),1.1,1),MAX(25,Y27*100/8*(0.4+DATOS!$C$14/7000))))</f>
        <v/>
      </c>
      <c r="DA27" s="61" t="str">
        <f>IF(V27&lt;&gt;"SÍ","",IF(IF(C27="VOLADO",DATOS!$C$85,CX27)&gt;=CZ27,"CUMPLE",IF(C27="VOLADO","NO CUMPLE","CALCULAR FLECHA")))</f>
        <v/>
      </c>
      <c r="DB27" s="55" t="str">
        <f>IF(V27&lt;&gt;"SÍ","",IF(DATOS!$C$84&gt;=IF(IF(C27="VOLADO",Y27,Z27)&gt;=6,6,5),"CUMPLE","CAPA ≥ 6 cm"))</f>
        <v/>
      </c>
      <c r="DC27" s="60" t="str">
        <f>IF(V27&lt;&gt;"SÍ","",IF(C27="VOLADO",MIN(FLOOR(IF(ISNUMBER(P27),P27,Y27)*100-DATOS!$C$63,5),CEILING(MAX(IF((0.5*(0.9*DATOS!$C$90*DATOS!$C$86/100/1000)*IF(ISNUMBER(P27),P27,Y27)+BH27/IF(ISNUMBER(P27),P27,Y27))^2-4*(0.5*(0.9*DATOS!$C$90*DATOS!$C$86/100/1000))*BH27&lt;0,IF(ISNUMBER(P27),P27,Y27),MIN(IF(ISNUMBER(P27),P27,Y27),((0.5*(0.9*DATOS!$C$90*DATOS!$C$86/100/1000)*IF(ISNUMBER(P27),P27,Y27)+BH27/IF(ISNUMBER(P27),P27,Y27))-SQRT((0.5*(0.9*DATOS!$C$90*DATOS!$C$86/100/1000)*IF(ISNUMBER(P27),P27,Y27)+BH27/IF(ISNUMBER(P27),P27,Y27))^2-4*(0.5*(0.9*DATOS!$C$90*DATOS!$C$86/100/1000))*BH27))/(2*(0.5*(0.9*DATOS!$C$90*DATOS!$C$86/100/1000)))))*100+MAX(BX27,12*INDEX(TABLAS!$C$52:$C$58,MATCH(BV27,TABLAS!$B$52:$B$58,0)),IF(ISNUMBER(P27),P27,Y27)*100/16),IF(OR(AL27&lt;INDEX(TABLAS!$C$52:$C$58,MATCH(BV27,TABLAS!$B$52:$B$58,0)),AND(BW27&gt;=2,(AD27-2*AL27-BW27*INDEX(TABLAS!$C$52:$C$58,MATCH(BV27,TABLAS!$B$52:$B$58,0)))/MAX(BW27-1,1)&lt;2*INDEX(TABLAS!$C$52:$C$58,MATCH(BV27,TABLAS!$B$52:$B$58,0)))),INDEX(TABLAS!$I$52:$I$58,MATCH(BV27,TABLAS!$B$52:$B$58,0)),INDEX(TABLAS!$F$52:$F$58,MATCH(BV27,TABLAS!$B$52:$B$58,0)))),5)),IF(((4*((BC27*AR27*Y27^2*1E-4*DATOS!$C$86/100/1000)+((MAX(AY27,BA27)*AR27*Y27^2*1E-4*DATOS!$C$86/100/1000)+(IF(AND(AY27&gt;0,BA27&gt;0),MIN(AY27,BA27),MAX(AY27,BA27))*AR27*Y27^2*1E-4*DATOS!$C$86/100/1000))/2)+BH27-(IF(AND(AY27&gt;0,BA27&gt;0),MIN(AY27,BA27),MAX(AY27,BA27))*AR27*Y27^2*1E-4*DATOS!$C$86/100/1000))^2-16*((BC27*AR27*Y27^2*1E-4*DATOS!$C$86/100/1000)+((MAX(AY27,BA27)*AR27*Y27^2*1E-4*DATOS!$C$86/100/1000)+(IF(AND(AY27&gt;0,BA27&gt;0),MIN(AY27,BA27),MAX(AY27,BA27))*AR27*Y27^2*1E-4*DATOS!$C$86/100/1000))/2)*BH27)&lt;0,CEILING(AB27,5),CEILING(MAX(AB27*((4*((BC27*AR27*Y27^2*1E-4*DATOS!$C$86/100/1000)+((MAX(AY27,BA27)*AR27*Y27^2*1E-4*DATOS!$C$86/100/1000)+(IF(AND(AY27&gt;0,BA27&gt;0),MIN(AY27,BA27),MAX(AY27,BA27))*AR27*Y27^2*1E-4*DATOS!$C$86/100/1000))/2)+BH27-(IF(AND(AY27&gt;0,BA27&gt;0),MIN(AY27,BA27),MAX(AY27,BA27))*AR27*Y27^2*1E-4*DATOS!$C$86/100/1000))-SQRT(MAX(0,((4*((BC27*AR27*Y27^2*1E-4*DATOS!$C$86/100/1000)+((MAX(AY27,BA27)*AR27*Y27^2*1E-4*DATOS!$C$86/100/1000)+(IF(AND(AY27&gt;0,BA27&gt;0),MIN(AY27,BA27),MAX(AY27,BA27))*AR27*Y27^2*1E-4*DATOS!$C$86/100/1000))/2)+BH27-(IF(AND(AY27&gt;0,BA27&gt;0),MIN(AY27,BA27),MAX(AY27,BA27))*AR27*Y27^2*1E-4*DATOS!$C$86/100/1000))^2-16*((BC27*AR27*Y27^2*1E-4*DATOS!$C$86/100/1000)+((MAX(AY27,BA27)*AR27*Y27^2*1E-4*DATOS!$C$86/100/1000)+(IF(AND(AY27&gt;0,BA27&gt;0),MIN(AY27,BA27),MAX(AY27,BA27))*AR27*Y27^2*1E-4*DATOS!$C$86/100/1000))/2)*BH27))))/(8*MAX(((BC27*AR27*Y27^2*1E-4*DATOS!$C$86/100/1000)+((MAX(AY27,BA27)*AR27*Y27^2*1E-4*DATOS!$C$86/100/1000)+(IF(AND(AY27&gt;0,BA27&gt;0),MIN(AY27,BA27),MAX(AY27,BA27))*AR27*Y27^2*1E-4*DATOS!$C$86/100/1000))/2),1E-9))+MAX(BX27,12*INDEX(TABLAS!$C$52:$C$58,MATCH(BV27,TABLAS!$B$52:$B$58,0)),AB27/16),IF(OR(AL27&lt;INDEX(TABLAS!$C$52:$C$58,MATCH(BV27,TABLAS!$B$52:$B$58,0)),AND(BW27&gt;=2,(AD27-2*AL27-BW27*INDEX(TABLAS!$C$52:$C$58,MATCH(BV27,TABLAS!$B$52:$B$58,0)))/MAX(BW27-1,1)&lt;2*INDEX(TABLAS!$C$52:$C$58,MATCH(BV27,TABLAS!$B$52:$B$58,0)))),INDEX(TABLAS!$I$52:$I$58,MATCH(BV27,TABLAS!$B$52:$B$58,0)),INDEX(TABLAS!$F$52:$F$58,MATCH(BV27,TABLAS!$B$52:$B$58,0)))),5))))</f>
        <v/>
      </c>
      <c r="DD27" s="60" t="str">
        <f>IF(V27&lt;&gt;"SÍ","",IF(C27="VOLADO",0,IF(((4*((BD27*AR27*Y27^2*1E-4*DATOS!$C$86/100/1000)+((MAX(AZ27,BB27)*AR27*Y27^2*1E-4*DATOS!$C$86/100/1000)+(IF(AND(AZ27&gt;0,BB27&gt;0),MIN(AZ27,BB27),MAX(AZ27,BB27))*AR27*Y27^2*1E-4*DATOS!$C$86/100/1000))/2)+BJ27-(IF(AND(AZ27&gt;0,BB27&gt;0),MIN(AZ27,BB27),MAX(AZ27,BB27))*AR27*Y27^2*1E-4*DATOS!$C$86/100/1000))^2-16*((BD27*AR27*Y27^2*1E-4*DATOS!$C$86/100/1000)+((MAX(AZ27,BB27)*AR27*Y27^2*1E-4*DATOS!$C$86/100/1000)+(IF(AND(AZ27&gt;0,BB27&gt;0),MIN(AZ27,BB27),MAX(AZ27,BB27))*AR27*Y27^2*1E-4*DATOS!$C$86/100/1000))/2)*BJ27)&lt;0,CEILING(AC27,5),CEILING(MAX(AC27*((4*((BD27*AR27*Y27^2*1E-4*DATOS!$C$86/100/1000)+((MAX(AZ27,BB27)*AR27*Y27^2*1E-4*DATOS!$C$86/100/1000)+(IF(AND(AZ27&gt;0,BB27&gt;0),MIN(AZ27,BB27),MAX(AZ27,BB27))*AR27*Y27^2*1E-4*DATOS!$C$86/100/1000))/2)+BJ27-(IF(AND(AZ27&gt;0,BB27&gt;0),MIN(AZ27,BB27),MAX(AZ27,BB27))*AR27*Y27^2*1E-4*DATOS!$C$86/100/1000))-SQRT(MAX(0,((4*((BD27*AR27*Y27^2*1E-4*DATOS!$C$86/100/1000)+((MAX(AZ27,BB27)*AR27*Y27^2*1E-4*DATOS!$C$86/100/1000)+(IF(AND(AZ27&gt;0,BB27&gt;0),MIN(AZ27,BB27),MAX(AZ27,BB27))*AR27*Y27^2*1E-4*DATOS!$C$86/100/1000))/2)+BJ27-(IF(AND(AZ27&gt;0,BB27&gt;0),MIN(AZ27,BB27),MAX(AZ27,BB27))*AR27*Y27^2*1E-4*DATOS!$C$86/100/1000))^2-16*((BD27*AR27*Y27^2*1E-4*DATOS!$C$86/100/1000)+((MAX(AZ27,BB27)*AR27*Y27^2*1E-4*DATOS!$C$86/100/1000)+(IF(AND(AZ27&gt;0,BB27&gt;0),MIN(AZ27,BB27),MAX(AZ27,BB27))*AR27*Y27^2*1E-4*DATOS!$C$86/100/1000))/2)*BJ27))))/(8*MAX(((BD27*AR27*Y27^2*1E-4*DATOS!$C$86/100/1000)+((MAX(AZ27,BB27)*AR27*Y27^2*1E-4*DATOS!$C$86/100/1000)+(IF(AND(AZ27&gt;0,BB27&gt;0),MIN(AZ27,BB27),MAX(AZ27,BB27))*AR27*Y27^2*1E-4*DATOS!$C$86/100/1000))/2),1E-9))+MAX(CN27,12*INDEX(TABLAS!$C$52:$C$58,MATCH(CL27,TABLAS!$B$52:$B$58,0)),AC27/16),IF(OR(AL27&lt;INDEX(TABLAS!$C$52:$C$58,MATCH(CL27,TABLAS!$B$52:$B$58,0)),AND(CM27&gt;=2,(DATOS!$C$83-2*AL27-CM27*INDEX(TABLAS!$C$52:$C$58,MATCH(CL27,TABLAS!$B$52:$B$58,0)))/MAX(CM27-1,1)&lt;2*INDEX(TABLAS!$C$52:$C$58,MATCH(CL27,TABLAS!$B$52:$B$58,0)))),INDEX(TABLAS!$I$52:$I$58,MATCH(CL27,TABLAS!$B$52:$B$58,0)),INDEX(TABLAS!$F$52:$F$58,MATCH(CL27,TABLAS!$B$52:$B$58,0)))),5))))</f>
        <v/>
      </c>
      <c r="DE27" s="55" t="str">
        <f>IF(V27&lt;&gt;"SÍ","",IF(AND(C27="PERIMETRAL",BW27&gt;=2,AS27-AT27&gt;0,BA27*AR27*Y27^2*1E-4*DATOS!$C$86/100/1000&gt;DATOS!$C$29*INDEX(TABLAS!$D$52:$D$58,MATCH(BV27,TABLAS!$B$52:$B$58,0))*DATOS!$C$14*(BX27-INDEX(TABLAS!$D$52:$D$58,MATCH(BV27,TABLAS!$B$52:$B$58,0))*DATOS!$C$14/(DATOS!$C$21*AF27)/2)/1E5),"SÍ","NO"))</f>
        <v/>
      </c>
      <c r="DF27" s="55" t="str">
        <f>IF(V27&lt;&gt;"SÍ","",IF(AND(C27="PERIMETRAL",CM27&gt;=2,AT27&gt;0,BB27*AR27*Y27^2*1E-4*DATOS!$C$86/100/1000&gt;DATOS!$C$29*INDEX(TABLAS!$D$52:$D$58,MATCH(CL27,TABLAS!$B$52:$B$58,0))*DATOS!$C$14*(CN27-INDEX(TABLAS!$D$52:$D$58,MATCH(CL27,TABLAS!$B$52:$B$58,0))*DATOS!$C$14/(DATOS!$C$21*AG27)/2)/1E5),"SÍ","NO"))</f>
        <v/>
      </c>
      <c r="DG27" s="63" t="str">
        <f>IF(V27&lt;&gt;"SÍ","",IF(OR(C27="VOLADO",AS27=0),"—",IF(AND(AND(1.25*INDEX(TABLAS!$G$52:$G$58,MATCH(MAX(BN27,CD27),TABLAS!$B$52:$B$58,0))&lt;=(DATOS!$C$75-DATOS!$C$63),(DATOS!$C$75-DATOS!$C$63)&gt;=15,INDEX(TABLAS!$G$52:$G$58,MATCH(MAX(BV27,CL27),TABLAS!$B$52:$B$58,0))&lt;=(DATOS!$C$75-DATOS!$C$63)),8*INDEX(TABLAS!$C$52:$C$58,MATCH(MAX(MAX(BN27,CD27),MAX(BV27,CL27)),TABLAS!$B$52:$B$58,0))&lt;=DATOS!$C$76-2*DATOS!$C$63),"CUMPLE (gancho de 180°)",IF(AND(1.25*INDEX(TABLAS!$G$52:$G$58,MATCH(MAX(BN27,CD27),TABLAS!$B$52:$B$58,0))&lt;=(DATOS!$C$75-DATOS!$C$63),(DATOS!$C$75-DATOS!$C$63)&gt;=15,INDEX(TABLAS!$G$52:$G$58,MATCH(MAX(BV27,CL27),TABLAS!$B$52:$B$58,0))&lt;=(DATOS!$C$75-DATOS!$C$63)),"NO CUMPLE: el gancho de 180° (8·d_b) no cabe en el peralte de la dala de borde","NO CUMPLE: dala de borde ≥ "&amp;TEXT(CEILING(MAX(1.25*INDEX(TABLAS!$G$52:$G$58,MATCH(MAX(BN27,CD27),TABLAS!$B$52:$B$58,0)),15,INDEX(TABLAS!$G$52:$G$58,MATCH(MAX(BV27,CL27),TABLAS!$B$52:$B$58,0)))+DATOS!$C$63,5),"0")&amp;" cm de ancho"&amp;IF(8*INDEX(TABLAS!$C$52:$C$58,MATCH(MAX(MAX(BN27,CD27),MAX(BV27,CL27)),TABLAS!$B$52:$B$58,0))&lt;=DATOS!$C$76-2*DATOS!$C$63,""," y más peralte para el gancho")))))</f>
        <v/>
      </c>
      <c r="DH27" s="59" t="str">
        <f>IF(V27&lt;&gt;"SÍ","",MAX(0,INT((E27*100-DATOS!$C$87-IF(AND(C27="PERIMETRAL",I27="DISCONTINUO"),MAX(0,DATOS!$C$75-DATOS!$C$87),0)-IF(AND(C27="PERIMETRAL",J27="DISCONTINUO"),MAX(0,DATOS!$C$75-DATOS!$C$87),0)+DATOS!$C$86-IF(X27="X",DATOS!$C$81,AE27))/DATOS!$C$86)))</f>
        <v/>
      </c>
      <c r="DI27" s="59" t="str">
        <f>IF(V27&lt;&gt;"SÍ","",MAX(0,INT((F27*100-DATOS!$C$87-IF(AND(C27="PERIMETRAL",G27="DISCONTINUO"),MAX(0,DATOS!$C$75-DATOS!$C$87),0)-IF(AND(C27="PERIMETRAL",H27="DISCONTINUO"),MAX(0,DATOS!$C$75-DATOS!$C$87),0)+DATOS!$C$86-IF(X27="Y",DATOS!$C$81,AE27))/DATOS!$C$86)))</f>
        <v/>
      </c>
      <c r="DJ27" s="57" t="str">
        <f>IF(V27&lt;&gt;"SÍ","",IF(DH27&gt;0,IF(AND(C27="PERIMETRAL",I27="DISCONTINUO"),MAX(0,DATOS!$C$75-DATOS!$C$87),0)+(E27*100-DATOS!$C$87-IF(AND(C27="PERIMETRAL",I27="DISCONTINUO"),MAX(0,DATOS!$C$75-DATOS!$C$87),0)-IF(AND(C27="PERIMETRAL",J27="DISCONTINUO"),MAX(0,DATOS!$C$75-DATOS!$C$87),0)-(DH27*IF(X27="X",DATOS!$C$81,AE27)+(DH27-1)*(DATOS!$C$86-IF(X27="X",DATOS!$C$81,AE27))))/2,E27*100/2))</f>
        <v/>
      </c>
      <c r="DK27" s="57" t="str">
        <f>IF(V27&lt;&gt;"SÍ","",IF(DH27&gt;0,IF(AND(C27="PERIMETRAL",J27="DISCONTINUO"),MAX(0,DATOS!$C$75-DATOS!$C$87),0)+(E27*100-DATOS!$C$87-IF(AND(C27="PERIMETRAL",I27="DISCONTINUO"),MAX(0,DATOS!$C$75-DATOS!$C$87),0)-IF(AND(C27="PERIMETRAL",J27="DISCONTINUO"),MAX(0,DATOS!$C$75-DATOS!$C$87),0)-(DH27*IF(X27="X",DATOS!$C$81,AE27)+(DH27-1)*(DATOS!$C$86-IF(X27="X",DATOS!$C$81,AE27))))/2,E27*100/2))</f>
        <v/>
      </c>
      <c r="DL27" s="57" t="str">
        <f>IF(V27&lt;&gt;"SÍ","",IF(DI27&gt;0,IF(AND(C27="PERIMETRAL",G27="DISCONTINUO"),MAX(0,DATOS!$C$75-DATOS!$C$87),0)+(F27*100-DATOS!$C$87-IF(AND(C27="PERIMETRAL",G27="DISCONTINUO"),MAX(0,DATOS!$C$75-DATOS!$C$87),0)-IF(AND(C27="PERIMETRAL",H27="DISCONTINUO"),MAX(0,DATOS!$C$75-DATOS!$C$87),0)-(DI27*IF(X27="Y",DATOS!$C$81,AE27)+(DI27-1)*(DATOS!$C$86-IF(X27="Y",DATOS!$C$81,AE27))))/2,F27*100/2))</f>
        <v/>
      </c>
      <c r="DM27" s="57" t="str">
        <f>IF(V27&lt;&gt;"SÍ","",IF(DI27&gt;0,IF(AND(C27="PERIMETRAL",H27="DISCONTINUO"),MAX(0,DATOS!$C$75-DATOS!$C$87),0)+(F27*100-DATOS!$C$87-IF(AND(C27="PERIMETRAL",G27="DISCONTINUO"),MAX(0,DATOS!$C$75-DATOS!$C$87),0)-IF(AND(C27="PERIMETRAL",H27="DISCONTINUO"),MAX(0,DATOS!$C$75-DATOS!$C$87),0)-(DI27*IF(X27="Y",DATOS!$C$81,AE27)+(DI27-1)*(DATOS!$C$86-IF(X27="Y",DATOS!$C$81,AE27))))/2,F27*100/2))</f>
        <v/>
      </c>
      <c r="DN27" s="59" t="str">
        <f>IF(V27&lt;&gt;"SÍ","",IF(NOT(AND(C27="VOLADO",AD27&gt;DATOS!$C$83)),0,IF(INDEX(TABLAS!$C$52:$C$58,MATCH(BV27,TABLAS!$B$52:$B$58,0))&lt;=DATOS!$C$83-2*DATOS!$C$63,1,0)))</f>
        <v/>
      </c>
      <c r="DO27" s="58" t="str">
        <f>IF(V27&lt;&gt;"SÍ","",IF(NOT(AND(C27="VOLADO",AD27&gt;DATOS!$C$83)),0,((DATOS!$C$85-MAX(DATOS!$C$63,(DATOS!$C$84-2*DATOS!$C$97)/2)-2*DATOS!$C$97-INDEX(TABLAS!$C$52:$C$58,MATCH(MAX(4,DATOS!$C$72),TABLAS!$B$52:$B$58,0))-INDEX(TABLAS!$C$52:$C$58,MATCH(BV27,TABLAS!$B$52:$B$58,0))/2)-IF(AND((DATOS!$C$85-MAX(DATOS!$C$63,(DATOS!$C$84-2*DATOS!$C$97)/2)-2*DATOS!$C$97-INDEX(TABLAS!$C$52:$C$58,MATCH(MAX(4,DATOS!$C$72),TABLAS!$B$52:$B$58,0))-INDEX(TABLAS!$C$52:$C$58,MATCH(BV27,TABLAS!$B$52:$B$58,0))/2)&lt;=20,DATOS!$C$65&lt;&gt;"SÍ"),2,0))))</f>
        <v/>
      </c>
      <c r="DP27" s="56" t="str">
        <f>IF(V27&lt;&gt;"SÍ","",IF(OR(NOT(AND(C27="VOLADO",AD27&gt;DATOS!$C$83)),DN27&lt;1),0,IF(0.003*(DO27-((DN27*INDEX(TABLAS!$D$52:$D$58,MATCH(BV27,TABLAS!$B$52:$B$58,0)))*DATOS!$C$14/(DATOS!$C$21*AG27)/DATOS!$C$22))/((DN27*INDEX(TABLAS!$D$52:$D$58,MATCH(BV27,TABLAS!$B$52:$B$58,0)))*DATOS!$C$14/(DATOS!$C$21*AG27)/DATOS!$C$22)&lt;0.005,0,DATOS!$C$29*(DN27*INDEX(TABLAS!$D$52:$D$58,MATCH(BV27,TABLAS!$B$52:$B$58,0)))*DATOS!$C$14*(DO27-(DN27*INDEX(TABLAS!$D$52:$D$58,MATCH(BV27,TABLAS!$B$52:$B$58,0)))*DATOS!$C$14/(DATOS!$C$21*AG27)/2)/1E5)))</f>
        <v/>
      </c>
      <c r="DQ27" s="56" t="str">
        <f>IF(V27&lt;&gt;"SÍ","",IF(OR(NOT(AND(C27="VOLADO",AD27&gt;DATOS!$C$83)),DN27&lt;1),0,DATOS!$C$30*2*MIN(1,SQRT(2/(1+0.04*DO27)))*((DN27*INDEX(TABLAS!$D$52:$D$58,MATCH(BV27,TABLAS!$B$52:$B$58,0)))/(AG27*DO27))^(1/3)*SQRT(DATOS!$C$13)*AG27*DO27/1000))</f>
        <v/>
      </c>
      <c r="DR27" s="56" t="str">
        <f>IF(V27&lt;&gt;"SÍ","",IF(NOT(AND(C27="VOLADO",AD27&gt;DATOS!$C$83)),0,IF((BH27-DP27)&lt;=0,0,IF(DP27&lt;=0,IF(ISNUMBER(P27),P27,Y27),IF(((0.9*DATOS!$C$90*DATOS!$C$86/100/1000)*IF(ISNUMBER(P27),P27,Y27)/2+BH27/IF(ISNUMBER(P27),P27,Y27))^2-4*((0.9*DATOS!$C$90*DATOS!$C$86/100/1000)/2)*(BH27-DP27)&lt;0,IF(ISNUMBER(P27),P27,Y27),MIN(IF(ISNUMBER(P27),P27,Y27),(((0.9*DATOS!$C$90*DATOS!$C$86/100/1000)*IF(ISNUMBER(P27),P27,Y27)/2+BH27/IF(ISNUMBER(P27),P27,Y27))-SQRT(((0.9*DATOS!$C$90*DATOS!$C$86/100/1000)*IF(ISNUMBER(P27),P27,Y27)/2+BH27/IF(ISNUMBER(P27),P27,Y27))^2-4*((0.9*DATOS!$C$90*DATOS!$C$86/100/1000)/2)*(BH27-DP27)))/(2*((0.9*DATOS!$C$90*DATOS!$C$86/100/1000)/2))))))))</f>
        <v/>
      </c>
      <c r="DS27" s="56" t="str">
        <f>IF(V27&lt;&gt;"SÍ","",IF(NOT(AND(C27="VOLADO",AD27&gt;DATOS!$C$83)),0,IF(DQ27&lt;=(BH27/((IF(ISNUMBER(P27),P27,Y27)*100-DATOS!$C$87)/100)),IF(ISNUMBER(P27),P27,Y27),MIN(IF(ISNUMBER(P27),P27,Y27),MAX(0,(IF(ISNUMBER(P27),P27,Y27)*100-DATOS!$C$87)/200-(DQ27-(BH27/((IF(ISNUMBER(P27),P27,Y27)*100-DATOS!$C$87)/100)))/((0.95-0.5*IF(N(Q27)&gt;0,MIN(IF(ISNUMBER(P27),P27,Y27),Q27)/MAX(IF(ISNUMBER(P27),P27,Y27),Q27),0))*DATOS!$C$33*AR27*DATOS!$C$86/100/1000))))))</f>
        <v/>
      </c>
      <c r="DT27" s="56" t="str">
        <f>IF(V27&lt;&gt;"SÍ","",IF(NOT(AND(C27="VOLADO",AD27&gt;DATOS!$C$83)),0,(BH27/((IF(ISNUMBER(P27),P27,Y27)*100-DATOS!$C$87)/100))+((0.95-0.5*IF(N(Q27)&gt;0,MIN(IF(ISNUMBER(P27),P27,Y27),Q27)/MAX(IF(ISNUMBER(P27),P27,Y27),Q27),0))*DATOS!$C$33*AR27*DATOS!$C$86/100/1000)*MAX(0,(IF(ISNUMBER(P27),P27,Y27)*100-DATOS!$C$87)/200-BX27/100)))</f>
        <v/>
      </c>
      <c r="DU27" s="59" t="str">
        <f>IF(V27&lt;&gt;"SÍ","",IF(NOT(AND(C27="VOLADO",AD27&gt;DATOS!$C$83)),0,MIN(FLOOR(100*IF(ISNUMBER(P27),P27,Y27)-DATOS!$C$63,5),CEILING(100*MIN(IF(ISNUMBER(P27),P27,Y27),MAX(IF(DR27&gt;0,DR27+IF(BW27&gt;=2,MAX(DO27,12*INDEX(TABLAS!$C$52:$C$58,MATCH(BV27,TABLAS!$B$52:$B$58,0)))/100,0),0),DS27,IF(BW27&gt;=2,INDEX(TABLAS!$F$52:$F$58,MATCH(BV27,TABLAS!$B$52:$B$58,0))/100,0))),5))))</f>
        <v/>
      </c>
      <c r="DV27" s="60" t="str">
        <f>IF(V27&lt;&gt;"SÍ","",IF(NOT(AND(C27="VOLADO",AD27&gt;DATOS!$C$83)),0,IF(DU27&lt;=0,0,CEILING(DU27/DATOS!$C$86,1))))</f>
        <v/>
      </c>
      <c r="DW27" s="61" t="str">
        <f>IF(V27&lt;&gt;"SÍ","",IF(C27&lt;&gt;"VOLADO","—",IF(AD27&lt;=DATOS!$C$83,"— (mismo b_w que el respaldo)",IF(DT27&gt;CS27,"NO CUMPLE: cortante de la nervadura ancha junto al apoyo ("&amp;TEXT(DT27,"0.00")&amp;" &gt; "&amp;TEXT(CS27,"0.00")&amp;" t)",IF(DU27&gt;=100*IF(ISNUMBER(P27),P27,Y27),"CUMPLE — todas las nervaduras del respaldo ‖ al volado con b_w = "&amp;AD27&amp;" cm","CUMPLE — "&amp;DV27&amp;" hilera(s) del respaldo con nervaduras de b_w = "&amp;AD27&amp;" cm (casetón "&amp;AE27&amp;" cm), hasta "&amp;TEXT(DU27/100,"0.00")&amp;" m del paño")))))</f>
        <v/>
      </c>
      <c r="DX27" s="69" t="str">
        <f>IF(V27&lt;&gt;"SÍ","",IF(BO27=0,"NO ALCANZA",BO27&amp;" No. "&amp;BN27&amp;IF(BO27&gt;1," corridas"," corrida")))</f>
        <v/>
      </c>
      <c r="DY27" s="69" t="str">
        <f>IF(V27&lt;&gt;"SÍ","",IF(BW27=0,"NO ALCANZA",IF(AND(C27="VOLADO",AD27&gt;DATOS!$C$83,BW27&gt;=2),"1 No. "&amp;BV27&amp;" corrida de la orilla al respaldo ("&amp;IF(DC27&gt;=FLOOR(100*IF(ISNUMBER(P27),P27,Y27)-DATOS!$C$63,5),"hasta su apoyo lejano, con gancho","entra "&amp;TEXT(DC27/100,"0.00")&amp;" m desde el paño")&amp;") + "&amp;(BW27-1)&amp;" bastón No. "&amp;BV27&amp;" hasta "&amp;TEXT(DU27/100,"0.00")&amp;" m del paño (fin de la nervadura ancha)",IF(C27="VOLADO",BW27&amp;" No. "&amp;BV27&amp;" de la orilla al respaldo ("&amp;IF(DC27&gt;=FLOOR(100*IF(ISNUMBER(P27),P27,Y27)-DATOS!$C$63,5),"hasta su apoyo lejano, con gancho","entran "&amp;TEXT(DC27/100,"0.00")&amp;" m desde el paño")&amp;")","1 No. "&amp;BV27&amp;" corrida"&amp;IF(BW27&gt;1," + "&amp;(BW27-1)&amp;" bastón No. "&amp;BV27&amp;" L = "&amp;TEXT(DC27/100,"0.00")&amp;" m desde el paño","")))))</f>
        <v/>
      </c>
      <c r="DZ27" s="69" t="str">
        <f>IF(V27&lt;&gt;"SÍ","",IF(CE27=0,"NO ALCANZA",CE27&amp;" No. "&amp;CD27&amp;IF(CE27&gt;1," corridas"," corrida")))</f>
        <v/>
      </c>
      <c r="EA27" s="69" t="str">
        <f>IF(V27&lt;&gt;"SÍ","",IF(CM27=0,"NO ALCANZA",IF(C27="VOLADO","1 No. "&amp;CL27&amp;" corrida (repartición)","1 No. "&amp;CL27&amp;" corrida"&amp;IF(CM27&gt;1," + "&amp;(CM27-1)&amp;" bastón No. "&amp;CL27&amp;" L = "&amp;TEXT(DD27/100,"0.00")&amp;" m desde el paño",""))))</f>
        <v/>
      </c>
      <c r="EB27" s="67" t="str">
        <f>IF(B27="","",IF(V27&lt;&gt;"SÍ","FALTAN DATOS: tipo, a_x, a_y, destino y, en volados, L_b",IF(L27="NO MONOLÍTICO (caso II)","FUERA DE ALCANCE: caso II no transcrito",IF(AND(C27="VOLADO",W27="?"),"REVISAR: el volado lleva UN solo borde CONTINUO (el empotrado)",IF(MIN(DH27,DI27)=0,"REVISAR: no cabe un casetón (tablero macizo): diséñalo en MACIZAS",IF(AND(MAX(BR27,BZ27,CH27,CP27)&lt;=1,NOT(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T(OR(AND(ISNUMBER(BS27),BS27&lt;0.005),AND(ISNUMBER(CA27),CA27&lt;0.005),AND(ISNUMBER(CI27),CI27&lt;0.005),AND(ISNUMBER(CQ27),CQ27&lt;0.005))),NOT(LEFT(DW27,2)="NO"),DA27="CUMPLE",DB27="CUMPLE",LEFT(CU27,2)&lt;&gt;"NO",LEFT(DATOS!$C$132,6)="CUMPLE"),IF(LEFT(CU27,6)="CUMPLE","CUMPLE","CUMPLE — "&amp;CU27)&amp;IF(LEFT(BK27,5)="FUERA"," · fuera de 3.4.2.1 c)","")&amp;IF(LEFT(DG27,2)="NO"," · REVISAR anclaje en borde discontinuo","")&amp;IF(DV27&gt;0," · respaldo: "&amp;DV27&amp;" hilera(s) de b_w "&amp;AD27&amp;" cm",""),IF(AND(MAX(BR27,BZ27,CH27,CP27)&lt;=1,NOT(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T(OR(AND(ISNUMBER(BS27),BS27&lt;0.005),AND(ISNUMBER(CA27),CA27&lt;0.005),AND(ISNUMBER(CI27),CI27&lt;0.005),AND(ISNUMBER(CQ27),CQ27&lt;0.005))),NOT(LEFT(DW27,2)="NO"),DA27="CALCULAR FLECHA",LEFT(CU27,2)&lt;&gt;"NO",LEFT(DATOS!$C$132,6)="CUMPLE"),"REVISAR: calcular flecha (h_eq &lt; h mín.)"&amp;IF(LEFT(BK27,5)="FUERA"," · fuera de 3.4.2.1 c)","")&amp;IF(LEFT(DG27,2)="NO"," · REVISAR anclaje en borde discontinuo","")&amp;IF(DV27&gt;0," · respaldo: "&amp;DV27&amp;" hilera(s) de b_w "&amp;AD27&amp;" cm",""),"NO CUMPLE: "&amp;IF(MAX(BR27,BZ27,CH27,CP27)&gt;1,"flexión ","")&amp;IF(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 caben ","")&amp;IF(OR(AND(ISNUMBER(BS27),BS27&lt;0.005),AND(ISNUMBER(CA27),CA27&lt;0.005),AND(ISNUMBER(CI27),CI27&lt;0.005),AND(ISNUMBER(CQ27),CQ27&lt;0.005)),"ε_t &lt; 0.005 ","")&amp;IF(LEFT(CU27,2)="NO","cortante ","")&amp;IF(DA27="NO CUMPLE","peralte ","")&amp;IF(DB27&lt;&gt;"CUMPLE","capa &lt; 6 cm ","")&amp;IF(LEFT(DATOS!$C$132,6)&lt;&gt;"CUMPLE","capa o malla (DATOS sección 7) ","")&amp;IF(LEFT(DW27,2)="NO","respaldo del volado",""))))))))</f>
        <v/>
      </c>
      <c r="EC27" s="70" t="str">
        <f>IF(V27&lt;&gt;"SÍ","",IF(LEFT(B27,7)="EJEMPLO","EJEMPLO de la hoja de Casa Rocha: bórralo o sobrescríbelo. ","")&amp;IF(AND(C27="PERIMETRAL",MIN(DH27,DI27)=0),"No cabe un casetón en el claro corto: es un tablero macizo, diséñalo en MACIZAS. ","")&amp;IF(AND(AJ27="NO",C27="PERIMETRAL"),"No cumple 6.7.8.1.4 (a_c = "&amp;MAX(DATOS!$C$81,AE27)&amp;" cm &gt; claro corto/6 = "&amp;TEXT(Y27*100/6,"0")&amp;" cm): se diseña como losa apoyada en vigas (6.7.8.1.9): r de viga = "&amp;DATOS!$C$63&amp;" cm y V_cR sin ×1.1. Para que cuente como encasetonada: casetón de "&amp;TEXT(FLOOR(MIN(80,Y27*100/6),1),"0")&amp;" cm o menor. ","")&amp;IF(C27="VOLADO","Volado de "&amp;TEXT(Y27,"0.00")&amp;" m empotrado en el borde "&amp;LOWER(W27)&amp;IF(N(O27)&gt;0,", con "&amp;TEXT(O27,"0.0")&amp;" kg/m en la orilla","")&amp;". Lecho inferior con r_ext. Si la orilla carga pretil u otro elemento frágil, calcula la flecha (13.4). El acero superior entra al respaldo de "&amp;TEXT(IF(ISNUMBER(P27),P27,Y27),"0.00")&amp;" m"&amp;" hasta pasar M = 0 con 0.9·PP sin carga viva; si ahí no se anula, llega al apoyo lejano y se ancla con gancho (NTC-Criterios 3.4.1 c y 5.1.2.2). "&amp;IF(AD27&gt;DATOS!$C$83,"Respaldo: "&amp;DW27&amp;". ",""),"")&amp;IF(AND(C27="VOLADO",((0.9*DATOS!$C$90*DATOS!$C$86/100/1000)*IF(ISNUMBER(P27),P27,Y27)/2-BH27/IF(ISNUMBER(P27),P27,Y27))&lt;0),"Con 0.9·PP y sin carga viva el apoyo lejano del respaldo levanta (R = "&amp;TEXT(-((0.9*DATOS!$C$90*DATOS!$C$86/100/1000)*IF(ISNUMBER(P27),P27,Y27)/2-BH27/IF(ISNUMBER(P27),P27,Y27)),"0.00")&amp;" t por nervadura): ancla ahí la corrida con gancho y revisa ese apoyo a tensión. ","")&amp;IF(LEFT(BK27,5)="FUERA","El M⁻ del vecino difiere más de 50 % (3.4.2.1 c): distribuye el desequilibrio (3.4.3.1) o confirma con un modelo; se arma con el mayor. ","")&amp;IF(OR(DE27="SÍ",DF27="SÍ"),"El M⁻ del borde discontinuo pide bastón también ahí (con gancho). ","")&amp;IF(LEFT(DG27,2)="NO","Anclaje: "&amp;DG27&amp;" (6.7.8.1.7). ","")&amp;IF(AND(C27="PERIMETRAL",AT27&gt;=1,AS27-AT27&gt;=1),"Esquinas exteriores sobre muro: refuerzo de esquina arriba y abajo en L_largo/5 (6.7.7.3.1). ",""))</f>
        <v/>
      </c>
    </row>
    <row r="28" ht="33" customHeight="1">
      <c r="A28" s="50">
        <f>IF(B28="",0,1)+A27</f>
        <v>4</v>
      </c>
      <c r="B28" s="29" t="n"/>
      <c r="C28" s="51" t="n"/>
      <c r="D28" s="29" t="n"/>
      <c r="E28" s="52" t="n"/>
      <c r="F28" s="52" t="n"/>
      <c r="G28" s="51" t="n"/>
      <c r="H28" s="51" t="n"/>
      <c r="I28" s="51" t="n"/>
      <c r="J28" s="51" t="n"/>
      <c r="K28" s="51" t="n"/>
      <c r="L28" s="51" t="n"/>
      <c r="M28" s="53" t="n"/>
      <c r="N28" s="53" t="n"/>
      <c r="O28" s="54" t="n"/>
      <c r="P28" s="52" t="n"/>
      <c r="Q28" s="52" t="n"/>
      <c r="R28" s="53" t="n"/>
      <c r="S28" s="54" t="n"/>
      <c r="T28" s="52" t="n"/>
      <c r="U28" s="52" t="n"/>
      <c r="V28" s="55" t="str">
        <f>IF(B28="","",IF(AND(OR(C28="PERIMETRAL",C28="VOLADO"),ISNUMBER(E28),ISNUMBER(F28),E28&gt;0,F28&gt;0,OR(ISNUMBER(N28),ISNUMBER(MATCH(D28,DATOS!$B$46:$B$58,0))),OR(C28&lt;&gt;"VOLADO",N(P28)&gt;0)),"SÍ","NO"))</f>
        <v/>
      </c>
      <c r="W28" s="55" t="str">
        <f>IF(V28&lt;&gt;"SÍ","",IF(C28&lt;&gt;"VOLADO","—",IF(COUNTIF(G28:J28,"CONTINUO")&lt;&gt;1,"?",IF(G28="CONTINUO","INFERIOR",IF(H28="CONTINUO","SUPERIOR",IF(I28="CONTINUO","IZQUIERDO","DERECHO"))))))</f>
        <v/>
      </c>
      <c r="X28" s="55" t="str">
        <f>IF(V28&lt;&gt;"SÍ","",IF(C28="VOLADO",IF(OR(W28="IZQUIERDO",W28="DERECHO"),"X","Y"),IF(E28&lt;=F28,"X","Y")))</f>
        <v/>
      </c>
      <c r="Y28" s="56" t="str">
        <f>IF(V28&lt;&gt;"SÍ","",IF(C28="VOLADO",IF(X28="X",E28,F28),MIN(E28,F28)))</f>
        <v/>
      </c>
      <c r="Z28" s="56" t="str">
        <f>IF(V28&lt;&gt;"SÍ","",IF(C28="VOLADO",IF(X28="X",F28,E28),MAX(E28,F28)))</f>
        <v/>
      </c>
      <c r="AA28" s="56" t="str">
        <f>IF(V28&lt;&gt;"SÍ","",MIN(Y28,Z28)/MAX(Y28,Z28))</f>
        <v/>
      </c>
      <c r="AB28" s="57" t="str">
        <f>IF(V28&lt;&gt;"SÍ","",MAX(1,Y28*100-IF(C28="VOLADO",DATOS!$C$87/2,DATOS!$C$87)))</f>
        <v/>
      </c>
      <c r="AC28" s="57" t="str">
        <f>IF(V28&lt;&gt;"SÍ","",MAX(1,Z28*100-DATOS!$C$87))</f>
        <v/>
      </c>
      <c r="AD28" s="57" t="str">
        <f>IF(V28&lt;&gt;"SÍ","",IF(ISNUMBER(R28),R28,DATOS!$C$83))</f>
        <v/>
      </c>
      <c r="AE28" s="57" t="str">
        <f>IF(V28&lt;&gt;"SÍ","",MAX(0,DATOS!$C$86-AD28))</f>
        <v/>
      </c>
      <c r="AF28" s="57" t="str">
        <f>IF(V28&lt;&gt;"SÍ","",IF(OR(DATOS!$C$65="SÍ",AD28&gt;=20),AD28,AD28-2))</f>
        <v/>
      </c>
      <c r="AG28" s="57" t="str">
        <f>IF(V28&lt;&gt;"SÍ","",IF(OR(DATOS!$C$65="SÍ",DATOS!$C$83&gt;=20),DATOS!$C$83,DATOS!$C$83-2))</f>
        <v/>
      </c>
      <c r="AH28" s="57" t="str">
        <f>IF(V28&lt;&gt;"SÍ","",MIN(DATOS!$C$86,AD28+2*MIN(8*DATOS!$C$84,AE28/2,AB28/8)))</f>
        <v/>
      </c>
      <c r="AI28" s="57" t="str">
        <f>IF(V28&lt;&gt;"SÍ","",MIN(DATOS!$C$86,DATOS!$C$83+2*MIN(8*DATOS!$C$84,DATOS!$C$81/2,AC28/8)))</f>
        <v/>
      </c>
      <c r="AJ28" s="55" t="str">
        <f>IF(V28&lt;&gt;"SÍ","",IF(AND(C28="PERIMETRAL",Y28*100&gt;=6*MAX(DATOS!$C$81,AE28),MAX(DATOS!$C$81,AE28)&lt;=80,MIN(DATOS!$C$83,AD28)&gt;=10,DATOS!$C$85&lt;=3.5*MIN(DATOS!$C$83,AD28),DATOS!$C$84&gt;=MAX(MAX(DATOS!$C$81,AE28)/13,5)),"SÍ","NO"))</f>
        <v/>
      </c>
      <c r="AK28" s="57" t="str">
        <f>IF(V28&lt;&gt;"SÍ","",IF(C28="VOLADO",DATOS!$C$64,IF(AJ28="NO",DATOS!$C$63,DATOS!$C$62)))</f>
        <v/>
      </c>
      <c r="AL28" s="57" t="str">
        <f>IF(V28&lt;&gt;"SÍ","",IF(OR(AND(AN28="SÍ",DATOS!$C$66="SÍ"),AND(C28="VOLADO",DATOS!$C$67="SÍ")),DATOS!$C$64,IF(AJ28="NO",DATOS!$C$63,DATOS!$C$62)))</f>
        <v/>
      </c>
      <c r="AM28" s="58" t="str">
        <f>IF(V28&lt;&gt;"SÍ","",MAX(AL28,(DATOS!$C$84-2*DATOS!$C$97)/2))</f>
        <v/>
      </c>
      <c r="AN28" s="55" t="str">
        <f>IF(V28&lt;&gt;"SÍ","",IFERROR(INDEX(DATOS!$D$46:$D$58,MATCH(D28,DATOS!$B$46:$B$58,0)),"NO"))</f>
        <v/>
      </c>
      <c r="AO28" s="59" t="str">
        <f>IF(V28&lt;&gt;"SÍ","",IF(ISNUMBER(N28),N28,IFERROR(INDEX(DATOS!$C$46:$C$58,MATCH(D28,DATOS!$B$46:$B$58,0)),0)))</f>
        <v/>
      </c>
      <c r="AP28" s="59" t="str">
        <f>IF(V28&lt;&gt;"SÍ","",IF(MIN(DH28,DI28)=0,DATOS!$C$85/100*DATOS!$C$16*1000,(DATOS!$C$85/100-(AE28*DATOS!$C$81/DATOS!$C$86^2)*DATOS!$C$82/100)*DATOS!$C$16*1000+(AE28*DATOS!$C$81/DATOS!$C$86^2)*DATOS!$C$82/100*DATOS!$C$17*1000)+DATOS!$C$37+DATOS!$C$38)</f>
        <v/>
      </c>
      <c r="AQ28" s="59" t="str">
        <f>IF(V28&lt;&gt;"SÍ","",AP28+N(M28))</f>
        <v/>
      </c>
      <c r="AR28" s="60" t="str">
        <f>IF(V28&lt;&gt;"SÍ","",MAX(DATOS!$C$26*AQ28+DATOS!$C$27*AO28,IF(AN28="SÍ",DATOS!$C$28*(AQ28+DATOS!$C$41),0)))</f>
        <v/>
      </c>
      <c r="AS28" s="59" t="str">
        <f>IF(V28&lt;&gt;"SÍ","",(G28="DISCONTINUO")+(H28="DISCONTINUO")+(I28="DISCONTINUO")+(J28="DISCONTINUO"))</f>
        <v/>
      </c>
      <c r="AT28" s="59" t="str">
        <f>IF(V28&lt;&gt;"SÍ","",IF(X28="X",(G28="DISCONTINUO")+(H28="DISCONTINUO"),(I28="DISCONTINUO")+(J28="DISCONTINUO")))</f>
        <v/>
      </c>
      <c r="AU28" s="55" t="str">
        <f>IF(V28&lt;&gt;"SÍ","",IF(AS28=0,"INTERIOR",IF(AS28=1,IF(AT28=1,"BORDE-CORTO","BORDE-LARGO"),IF(AS28=2,IF(AT28=1,"ESQUINA",IF(AT28=2,"EXTREMO-LARGO","EXTREMO-CORTO")),IF(AS28=3,IF(AT28=2,"EXTREMO-LARGO","EXTREMO-CORTO"),"AISLADO")))))</f>
        <v/>
      </c>
      <c r="AV28" s="61" t="str">
        <f>IF(V28&lt;&gt;"SÍ","",IF(OR(K28="",K28="AUTO"),AU28,K28))</f>
        <v/>
      </c>
      <c r="AW28" s="59" t="str">
        <f>IF(V28&lt;&gt;"SÍ","",MATCH(AA28,TABLAS!$D$5:$J$5,1))</f>
        <v/>
      </c>
      <c r="AX28" s="58" t="str">
        <f>IF(V28&lt;&gt;"SÍ","",IF(AW28&gt;=7,0,(AA28-INDEX(TABLAS!$D$5:$J$5,AW28))/(INDEX(TABLAS!$D$5:$J$5,AW28+1)-INDEX(TABLAS!$D$5:$J$5,AW28))))</f>
        <v/>
      </c>
      <c r="AY28" s="59" t="str">
        <f>IF(V28&lt;&gt;"SÍ","",INDEX(TABLAS!$D$6:$J$47,MATCH(AV28&amp;"|NIC",TABLAS!$B$6:$B$47,0),AW28)+AX28*(INDEX(TABLAS!$D$6:$J$47,MATCH(AV28&amp;"|NIC",TABLAS!$B$6:$B$47,0),MIN(AW28+1,7))-INDEX(TABLAS!$D$6:$J$47,MATCH(AV28&amp;"|NIC",TABLAS!$B$6:$B$47,0),AW28)))</f>
        <v/>
      </c>
      <c r="AZ28" s="59" t="str">
        <f>IF(V28&lt;&gt;"SÍ","",INDEX(TABLAS!$D$6:$J$47,MATCH(AV28&amp;"|NIL",TABLAS!$B$6:$B$47,0),AW28)+AX28*(INDEX(TABLAS!$D$6:$J$47,MATCH(AV28&amp;"|NIL",TABLAS!$B$6:$B$47,0),MIN(AW28+1,7))-INDEX(TABLAS!$D$6:$J$47,MATCH(AV28&amp;"|NIL",TABLAS!$B$6:$B$47,0),AW28)))</f>
        <v/>
      </c>
      <c r="BA28" s="59" t="str">
        <f>IF(V28&lt;&gt;"SÍ","",INDEX(TABLAS!$D$6:$J$47,MATCH(AV28&amp;"|NDC",TABLAS!$B$6:$B$47,0),AW28)+AX28*(INDEX(TABLAS!$D$6:$J$47,MATCH(AV28&amp;"|NDC",TABLAS!$B$6:$B$47,0),MIN(AW28+1,7))-INDEX(TABLAS!$D$6:$J$47,MATCH(AV28&amp;"|NDC",TABLAS!$B$6:$B$47,0),AW28)))</f>
        <v/>
      </c>
      <c r="BB28" s="59" t="str">
        <f>IF(V28&lt;&gt;"SÍ","",INDEX(TABLAS!$D$6:$J$47,MATCH(AV28&amp;"|NDL",TABLAS!$B$6:$B$47,0),AW28)+AX28*(INDEX(TABLAS!$D$6:$J$47,MATCH(AV28&amp;"|NDL",TABLAS!$B$6:$B$47,0),MIN(AW28+1,7))-INDEX(TABLAS!$D$6:$J$47,MATCH(AV28&amp;"|NDL",TABLAS!$B$6:$B$47,0),AW28)))</f>
        <v/>
      </c>
      <c r="BC28" s="59" t="str">
        <f>IF(V28&lt;&gt;"SÍ","",INDEX(TABLAS!$D$6:$J$47,MATCH(AV28&amp;"|PC",TABLAS!$B$6:$B$47,0),AW28)+AX28*(INDEX(TABLAS!$D$6:$J$47,MATCH(AV28&amp;"|PC",TABLAS!$B$6:$B$47,0),MIN(AW28+1,7))-INDEX(TABLAS!$D$6:$J$47,MATCH(AV28&amp;"|PC",TABLAS!$B$6:$B$47,0),AW28)))</f>
        <v/>
      </c>
      <c r="BD28" s="59" t="str">
        <f>IF(V28&lt;&gt;"SÍ","",INDEX(TABLAS!$D$6:$J$47,MATCH(AV28&amp;"|PL",TABLAS!$B$6:$B$47,0),AW28)+AX28*(INDEX(TABLAS!$D$6:$J$47,MATCH(AV28&amp;"|PL",TABLAS!$B$6:$B$47,0),MIN(AW28+1,7))-INDEX(TABLAS!$D$6:$J$47,MATCH(AV28&amp;"|PL",TABLAS!$B$6:$B$47,0),AW28)))</f>
        <v/>
      </c>
      <c r="BE28" s="56" t="str">
        <f>IF(V28&lt;&gt;"SÍ","",IF(OR(C28&lt;&gt;"VOLADO",MIN(DH28,DI28)=0),0,DATOS!$C$26*DATOS!$C$16*DATOS!$C$86/100*(((AE28*DATOS!$C$81/DATOS!$C$86^2)*DATOS!$C$82/100)*(IF(X28="X",DJ28,DL28)+DATOS!$C$87/2)/100*(AB28-(IF(X28="X",DJ28,DL28)+DATOS!$C$87/2)/2)/100+((AE28*DATOS!$C$81/DATOS!$C$86^2)*DATOS!$C$82/100)*IF(X28="X",DJ28,DL28)/100*IF(X28="X",DJ28,DL28)/200)))</f>
        <v/>
      </c>
      <c r="BF28" s="56" t="str">
        <f>IF(V28&lt;&gt;"SÍ","",IF(OR(C28&lt;&gt;"VOLADO",MIN(DH28,DI28)=0),0,DATOS!$C$26*DATOS!$C$16*DATOS!$C$86/100*((AE28*DATOS!$C$81/DATOS!$C$86^2)*DATOS!$C$82/100)*(IF(X28="X",DJ28,DL28)+DATOS!$C$87/2)/100))</f>
        <v/>
      </c>
      <c r="BG28" s="56" t="str">
        <f>IF(V28&lt;&gt;"SÍ","",IF(C28="PERIMETRAL",BC28*AR28*Y28^2*1E-4*DATOS!$C$86/100/1000,0))</f>
        <v/>
      </c>
      <c r="BH28" s="62" t="str">
        <f>IF(V28&lt;&gt;"SÍ","",IF(C28="PERIMETRAL",MAX(MAX(AY28,BA28)*AR28*Y28^2*1E-4*DATOS!$C$86/100/1000,N(T28)),(AR28*(AB28/100)^2/2+DATOS!$C$26*N(O28)*AB28/100)*DATOS!$C$86/100/1000+BE28))</f>
        <v/>
      </c>
      <c r="BI28" s="56" t="str">
        <f>IF(V28&lt;&gt;"SÍ","",IF(C28="PERIMETRAL",BD28*AR28*Y28^2*1E-4*DATOS!$C$86/100/1000,0))</f>
        <v/>
      </c>
      <c r="BJ28" s="56" t="str">
        <f>IF(V28&lt;&gt;"SÍ","",IF(C28="PERIMETRAL",MAX(MAX(AZ28,BB28)*AR28*Y28^2*1E-4*DATOS!$C$86/100/1000,N(U28)),0))</f>
        <v/>
      </c>
      <c r="BK28" s="63" t="str">
        <f>IF(V28&lt;&gt;"SÍ","",IF(C28&lt;&gt;"PERIMETRAL","—",IF(AND(N(T28)=0,N(U28)=0),"— (sin M⁻ del vecino)",IF(OR(AND(N(T28)&gt;0,ABS(MAX(AY28,BA28)*AR28*Y28^2*1E-4*DATOS!$C$86/100/1000-N(T28))&gt;0.5*MIN(MAX(AY28,BA28)*AR28*Y28^2*1E-4*DATOS!$C$86/100/1000,N(T28))),AND(N(U28)&gt;0,ABS(MAX(AZ28,BB28)*AR28*Y28^2*1E-4*DATOS!$C$86/100/1000-N(U28))&gt;0.5*MIN(MAX(AZ28,BB28)*AR28*Y28^2*1E-4*DATOS!$C$86/100/1000,N(U28)))),"FUERA: difieren &gt; 50 %"&amp;IF(AND(N(T28)&gt;0,ABS(MAX(AY28,BA28)*AR28*Y28^2*1E-4*DATOS!$C$86/100/1000-N(T28))&gt;0.5*MIN(MAX(AY28,BA28)*AR28*Y28^2*1E-4*DATOS!$C$86/100/1000,N(T28)))," ‖ corto","")&amp;IF(AND(N(U28)&gt;0,ABS(MAX(AZ28,BB28)*AR28*Y28^2*1E-4*DATOS!$C$86/100/1000-N(U28))&gt;0.5*MIN(MAX(AZ28,BB28)*AR28*Y28^2*1E-4*DATOS!$C$86/100/1000,N(U28)))," ‖ largo",""),"CUMPLE"))))</f>
        <v/>
      </c>
      <c r="BL28" s="58" t="str">
        <f>IF(V28&lt;&gt;"SÍ","",(DATOS!$C$85-AK28-INDEX(TABLAS!$C$52:$C$58,MATCH(MAX(4,DATOS!$C$71),TABLAS!$B$52:$B$58,0))/2))</f>
        <v/>
      </c>
      <c r="BM28" s="58" t="str">
        <f>IF(V28&lt;&gt;"SÍ","",IF(IF(BG28&lt;=0,0,IF((1-2*BG28*1E5/(DATOS!$C$29*AH28*BL28^2*DATOS!$C$21))&lt;0,-1,IF((1-SQRT((1-2*BG28*1E5/(DATOS!$C$29*AH28*BL28^2*DATOS!$C$21))))*DATOS!$C$21*AH28*BL28/DATOS!$C$14&gt;DATOS!$C$102*AH28*BL28,-1,(1-SQRT((1-2*BG28*1E5/(DATOS!$C$29*AH28*BL28^2*DATOS!$C$21))))*DATOS!$C$21*AH28*BL28/DATOS!$C$14)))&lt;0,-1,MAX(IF(BG28&lt;=0,0,IF((1-2*BG28*1E5/(DATOS!$C$29*AH28*BL28^2*DATOS!$C$21))&lt;0,-1,IF((1-SQRT((1-2*BG28*1E5/(DATOS!$C$29*AH28*BL28^2*DATOS!$C$21))))*DATOS!$C$21*AH28*BL28/DATOS!$C$14&gt;DATOS!$C$102*AH28*BL28,-1,(1-SQRT((1-2*BG28*1E5/(DATOS!$C$29*AH28*BL28^2*DATOS!$C$21))))*DATOS!$C$21*AH28*BL28/DATOS!$C$14))),MIN(DATOS!$C$103*AD28*BL28,4/3*IF(BG28&lt;=0,0,IF((1-2*BG28*1E5/(DATOS!$C$29*AH28*BL28^2*DATOS!$C$21))&lt;0,-1,IF((1-SQRT((1-2*BG28*1E5/(DATOS!$C$29*AH28*BL28^2*DATOS!$C$21))))*DATOS!$C$21*AH28*BL28/DATOS!$C$14&gt;DATOS!$C$102*AH28*BL28,-1,(1-SQRT((1-2*BG28*1E5/(DATOS!$C$29*AH28*BL28^2*DATOS!$C$21))))*DATOS!$C$21*AH28*BL28/DATOS!$C$14)))))))</f>
        <v/>
      </c>
      <c r="BN28" s="64" t="str">
        <f>IF(V28&lt;&gt;"SÍ","",IF(AND(BM28&gt;=0,IF(MAX(DATOS!$C$74,CEILING(BM28/INDEX(TABLAS!$D$52:$D$58,MIN(MATCH(MAX(4,DATOS!$C$71),TABLAS!$B$52:$B$58,0)+0,7)),1))*INDEX(TABLAS!$D$52:$D$58,MIN(MATCH(MAX(4,DATOS!$C$71),TABLAS!$B$52:$B$58,0)+0,7)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+0,7)),1)),MAX(MAX(DATOS!$C$74,CEILING(BM28/INDEX(TABLAS!$D$52:$D$58,MIN(MATCH(MAX(4,DATOS!$C$71),TABLAS!$B$52:$B$58,0)+0,7)),1)),2))&lt;=MIN(DATOS!$C$73,INT(((AD28-2*AK28)+MAX(DATOS!$C$70,INDEX(TABLAS!$C$52:$C$58,MIN(MATCH(MAX(4,DATOS!$C$71),TABLAS!$B$52:$B$58,0)+0,7))))/(INDEX(TABLAS!$C$52:$C$58,MIN(MATCH(MAX(4,DATOS!$C$71),TABLAS!$B$52:$B$58,0)+0,7))+MAX(DATOS!$C$70,INDEX(TABLAS!$C$52:$C$58,MIN(MATCH(MAX(4,DATOS!$C$71),TABLAS!$B$52:$B$58,0)+0,7))))))),INDEX(TABLAS!$B$52:$B$58,MIN(MATCH(MAX(4,DATOS!$C$71),TABLAS!$B$52:$B$58,0)+0,7)),IF(AND(BM28&gt;=0,IF(MAX(DATOS!$C$74,CEILING(BM28/INDEX(TABLAS!$D$52:$D$58,MIN(MATCH(MAX(4,DATOS!$C$71),TABLAS!$B$52:$B$58,0)+1,7)),1))*INDEX(TABLAS!$D$52:$D$58,MIN(MATCH(MAX(4,DATOS!$C$71),TABLAS!$B$52:$B$58,0)+1,7)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+1,7)),1)),MAX(MAX(DATOS!$C$74,CEILING(BM28/INDEX(TABLAS!$D$52:$D$58,MIN(MATCH(MAX(4,DATOS!$C$71),TABLAS!$B$52:$B$58,0)+1,7)),1)),2))&lt;=MIN(DATOS!$C$73,INT(((AD28-2*AK28)+MAX(DATOS!$C$70,INDEX(TABLAS!$C$52:$C$58,MIN(MATCH(MAX(4,DATOS!$C$71),TABLAS!$B$52:$B$58,0)+1,7))))/(INDEX(TABLAS!$C$52:$C$58,MIN(MATCH(MAX(4,DATOS!$C$71),TABLAS!$B$52:$B$58,0)+1,7))+MAX(DATOS!$C$70,INDEX(TABLAS!$C$52:$C$58,MIN(MATCH(MAX(4,DATOS!$C$71),TABLAS!$B$52:$B$58,0)+1,7))))))),INDEX(TABLAS!$B$52:$B$58,MIN(MATCH(MAX(4,DATOS!$C$71),TABLAS!$B$52:$B$58,0)+1,7)),IF(AND(BM28&gt;=0,IF(MAX(DATOS!$C$74,CEILING(BM28/INDEX(TABLAS!$D$52:$D$58,MIN(MATCH(MAX(4,DATOS!$C$71),TABLAS!$B$52:$B$58,0)+2,7)),1))*INDEX(TABLAS!$D$52:$D$58,MIN(MATCH(MAX(4,DATOS!$C$71),TABLAS!$B$52:$B$58,0)+2,7)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+2,7)),1)),MAX(MAX(DATOS!$C$74,CEILING(BM28/INDEX(TABLAS!$D$52:$D$58,MIN(MATCH(MAX(4,DATOS!$C$71),TABLAS!$B$52:$B$58,0)+2,7)),1)),2))&lt;=MIN(DATOS!$C$73,INT(((AD28-2*AK28)+MAX(DATOS!$C$70,INDEX(TABLAS!$C$52:$C$58,MIN(MATCH(MAX(4,DATOS!$C$71),TABLAS!$B$52:$B$58,0)+2,7))))/(INDEX(TABLAS!$C$52:$C$58,MIN(MATCH(MAX(4,DATOS!$C$71),TABLAS!$B$52:$B$58,0)+2,7))+MAX(DATOS!$C$70,INDEX(TABLAS!$C$52:$C$58,MIN(MATCH(MAX(4,DATOS!$C$71),TABLAS!$B$52:$B$58,0)+2,7))))))),INDEX(TABLAS!$B$52:$B$58,MIN(MATCH(MAX(4,DATOS!$C$71),TABLAS!$B$52:$B$58,0)+2,7)),IF(AND(BM28&gt;=0,IF(MAX(DATOS!$C$74,CEILING(BM28/INDEX(TABLAS!$D$52:$D$58,MIN(MATCH(MAX(4,DATOS!$C$71),TABLAS!$B$52:$B$58,0)+3,7)),1))*INDEX(TABLAS!$D$52:$D$58,MIN(MATCH(MAX(4,DATOS!$C$71),TABLAS!$B$52:$B$58,0)+3,7)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+3,7)),1)),MAX(MAX(DATOS!$C$74,CEILING(BM28/INDEX(TABLAS!$D$52:$D$58,MIN(MATCH(MAX(4,DATOS!$C$71),TABLAS!$B$52:$B$58,0)+3,7)),1)),2))&lt;=MIN(DATOS!$C$73,INT(((AD28-2*AK28)+MAX(DATOS!$C$70,INDEX(TABLAS!$C$52:$C$58,MIN(MATCH(MAX(4,DATOS!$C$71),TABLAS!$B$52:$B$58,0)+3,7))))/(INDEX(TABLAS!$C$52:$C$58,MIN(MATCH(MAX(4,DATOS!$C$71),TABLAS!$B$52:$B$58,0)+3,7))+MAX(DATOS!$C$70,INDEX(TABLAS!$C$52:$C$58,MIN(MATCH(MAX(4,DATOS!$C$71),TABLAS!$B$52:$B$58,0)+3,7))))))),INDEX(TABLAS!$B$52:$B$58,MIN(MATCH(MAX(4,DATOS!$C$71),TABLAS!$B$52:$B$58,0)+3,7)),IF(AND(BM28&gt;=0,IF(MAX(DATOS!$C$74,CEILING(BM28/INDEX(TABLAS!$D$52:$D$58,MIN(MATCH(MAX(4,DATOS!$C$71),TABLAS!$B$52:$B$58,0)+4,7)),1))*INDEX(TABLAS!$D$52:$D$58,MIN(MATCH(MAX(4,DATOS!$C$71),TABLAS!$B$52:$B$58,0)+4,7)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+4,7)),1)),MAX(MAX(DATOS!$C$74,CEILING(BM28/INDEX(TABLAS!$D$52:$D$58,MIN(MATCH(MAX(4,DATOS!$C$71),TABLAS!$B$52:$B$58,0)+4,7)),1)),2))&lt;=MIN(DATOS!$C$73,INT(((AD28-2*AK28)+MAX(DATOS!$C$70,INDEX(TABLAS!$C$52:$C$58,MIN(MATCH(MAX(4,DATOS!$C$71),TABLAS!$B$52:$B$58,0)+4,7))))/(INDEX(TABLAS!$C$52:$C$58,MIN(MATCH(MAX(4,DATOS!$C$71),TABLAS!$B$52:$B$58,0)+4,7))+MAX(DATOS!$C$70,INDEX(TABLAS!$C$52:$C$58,MIN(MATCH(MAX(4,DATOS!$C$71),TABLAS!$B$52:$B$58,0)+4,7))))))),INDEX(TABLAS!$B$52:$B$58,MIN(MATCH(MAX(4,DATOS!$C$71),TABLAS!$B$52:$B$58,0)+4,7)),INDEX(TABLAS!$B$52:$B$58,7)))))))</f>
        <v/>
      </c>
      <c r="BO28" s="59" t="str">
        <f>IF(V28&lt;&gt;"SÍ","",IF(BM28&lt;0,0,IF(MAX(DATOS!$C$74,CEILING(MAX(BM28,0)/INDEX(TABLAS!$D$52:$D$58,MATCH(BN28,TABLAS!$B$52:$B$58,0)),1))*INDEX(TABLAS!$D$52:$D$58,MATCH(BN28,TABLAS!$B$52:$B$58,0))&gt;=4/3*IF(BG28&lt;=0,0,IF((1-2*BG28*1E5/(DATOS!$C$29*AH28*BL28^2*DATOS!$C$21))&lt;0,-1,IF((1-SQRT((1-2*BG28*1E5/(DATOS!$C$29*AH28*BL28^2*DATOS!$C$21))))*DATOS!$C$21*AH28*BL28/DATOS!$C$14&gt;DATOS!$C$102*AH28*BL28,-1,(1-SQRT((1-2*BG28*1E5/(DATOS!$C$29*AH28*BL28^2*DATOS!$C$21))))*DATOS!$C$21*AH28*BL28/DATOS!$C$14)))-0.0001,MAX(DATOS!$C$74,CEILING(MAX(BM28,0)/INDEX(TABLAS!$D$52:$D$58,MATCH(BN28,TABLAS!$B$52:$B$58,0)),1)),MAX(MAX(DATOS!$C$74,CEILING(MAX(BM28,0)/INDEX(TABLAS!$D$52:$D$58,MATCH(BN28,TABLAS!$B$52:$B$58,0)),1)),2))))</f>
        <v/>
      </c>
      <c r="BP28" s="58" t="str">
        <f>IF(V28&lt;&gt;"SÍ","",DATOS!$C$85-AK28-INDEX(TABLAS!$C$52:$C$58,MATCH(BN28,TABLAS!$B$52:$B$58,0))/2)</f>
        <v/>
      </c>
      <c r="BQ28" s="56" t="str">
        <f>IF(V28&lt;&gt;"SÍ","",IF(BO28=0,0,DATOS!$C$29*BO28*INDEX(TABLAS!$D$52:$D$58,MATCH(BN28,TABLAS!$B$52:$B$58,0))*DATOS!$C$14*(BP28-BO28*INDEX(TABLAS!$D$52:$D$58,MATCH(BN28,TABLAS!$B$52:$B$58,0))*DATOS!$C$14/(DATOS!$C$21*AH28)/2)/1E5))</f>
        <v/>
      </c>
      <c r="BR28" s="65" t="str">
        <f>IF(V28&lt;&gt;"SÍ","",IF(BM28&lt;0,9.99,IF(BQ28&gt;0,BG28/BQ28,0)))</f>
        <v/>
      </c>
      <c r="BS28" s="66" t="str">
        <f>IF(V28&lt;&gt;"SÍ","",IF(BO28=0,"—",0.003*(BP28-(BO28*INDEX(TABLAS!$D$52:$D$58,MATCH(BN28,TABLAS!$B$52:$B$58,0))*DATOS!$C$14/(DATOS!$C$21*AH28)/DATOS!$C$22))/(BO28*INDEX(TABLAS!$D$52:$D$58,MATCH(BN28,TABLAS!$B$52:$B$58,0))*DATOS!$C$14/(DATOS!$C$21*AH28)/DATOS!$C$22)))</f>
        <v/>
      </c>
      <c r="BT28" s="58" t="str">
        <f>IF(V28&lt;&gt;"SÍ","",((DATOS!$C$85-AM28-2*DATOS!$C$97-INDEX(TABLAS!$C$52:$C$58,MATCH(MAX(4,DATOS!$C$72),TABLAS!$B$52:$B$58,0))/2)-IF(AND((DATOS!$C$85-AM28-2*DATOS!$C$97-INDEX(TABLAS!$C$52:$C$58,MATCH(MAX(4,DATOS!$C$72),TABLAS!$B$52:$B$58,0))/2)&lt;=20,DATOS!$C$65&lt;&gt;"SÍ"),2,0)))</f>
        <v/>
      </c>
      <c r="BU28" s="58" t="str">
        <f>IF(V28&lt;&gt;"SÍ","",IF(IF(BH28&lt;=0,0,IF((1-2*BH28*1E5/(DATOS!$C$29*AF28*BT28^2*DATOS!$C$21))&lt;0,-1,IF((1-SQRT((1-2*BH28*1E5/(DATOS!$C$29*AF28*BT28^2*DATOS!$C$21))))*DATOS!$C$21*AF28*BT28/DATOS!$C$14&gt;DATOS!$C$102*AF28*BT28,-1,(1-SQRT((1-2*BH28*1E5/(DATOS!$C$29*AF28*BT28^2*DATOS!$C$21))))*DATOS!$C$21*AF28*BT28/DATOS!$C$14)))&lt;0,-1,MAX(IF(BH28&lt;=0,0,IF((1-2*BH28*1E5/(DATOS!$C$29*AF28*BT28^2*DATOS!$C$21))&lt;0,-1,IF((1-SQRT((1-2*BH28*1E5/(DATOS!$C$29*AF28*BT28^2*DATOS!$C$21))))*DATOS!$C$21*AF28*BT28/DATOS!$C$14&gt;DATOS!$C$102*AF28*BT28,-1,(1-SQRT((1-2*BH28*1E5/(DATOS!$C$29*AF28*BT28^2*DATOS!$C$21))))*DATOS!$C$21*AF28*BT28/DATOS!$C$14))),MIN(DATOS!$C$103*IF(C28="VOLADO",MIN(AH28,2*AD28),AD28)*BT28,4/3*IF(BH28&lt;=0,0,IF((1-2*BH28*1E5/(DATOS!$C$29*AF28*BT28^2*DATOS!$C$21))&lt;0,-1,IF((1-SQRT((1-2*BH28*1E5/(DATOS!$C$29*AF28*BT28^2*DATOS!$C$21))))*DATOS!$C$21*AF28*BT28/DATOS!$C$14&gt;DATOS!$C$102*AF28*BT28,-1,(1-SQRT((1-2*BH28*1E5/(DATOS!$C$29*AF28*BT28^2*DATOS!$C$21))))*DATOS!$C$21*AF28*BT28/DATOS!$C$14)))))))</f>
        <v/>
      </c>
      <c r="BV28" s="64" t="str">
        <f>IF(V28&lt;&gt;"SÍ","",IF(AND(BU28&gt;=0,IF(MAX(DATOS!$C$74,CEILING(BU28/INDEX(TABLAS!$D$52:$D$58,MIN(MATCH(MAX(4,DATOS!$C$72),TABLAS!$B$52:$B$58,0)+0,7)),1))*INDEX(TABLAS!$D$52:$D$58,MIN(MATCH(MAX(4,DATOS!$C$72),TABLAS!$B$52:$B$58,0)+0,7)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+0,7)),1)),MAX(MAX(DATOS!$C$74,CEILING(BU28/INDEX(TABLAS!$D$52:$D$58,MIN(MATCH(MAX(4,DATOS!$C$72),TABLAS!$B$52:$B$58,0)+0,7)),1)),2))&lt;=MIN(DATOS!$C$73,INT(((AD28-2*AL28)+MAX(DATOS!$C$70,INDEX(TABLAS!$C$52:$C$58,MIN(MATCH(MAX(4,DATOS!$C$72),TABLAS!$B$52:$B$58,0)+0,7))))/(INDEX(TABLAS!$C$52:$C$58,MIN(MATCH(MAX(4,DATOS!$C$72),TABLAS!$B$52:$B$58,0)+0,7))+MAX(DATOS!$C$70,INDEX(TABLAS!$C$52:$C$58,MIN(MATCH(MAX(4,DATOS!$C$72),TABLAS!$B$52:$B$58,0)+0,7))))))),INDEX(TABLAS!$B$52:$B$58,MIN(MATCH(MAX(4,DATOS!$C$72),TABLAS!$B$52:$B$58,0)+0,7)),IF(AND(BU28&gt;=0,IF(MAX(DATOS!$C$74,CEILING(BU28/INDEX(TABLAS!$D$52:$D$58,MIN(MATCH(MAX(4,DATOS!$C$72),TABLAS!$B$52:$B$58,0)+1,7)),1))*INDEX(TABLAS!$D$52:$D$58,MIN(MATCH(MAX(4,DATOS!$C$72),TABLAS!$B$52:$B$58,0)+1,7)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+1,7)),1)),MAX(MAX(DATOS!$C$74,CEILING(BU28/INDEX(TABLAS!$D$52:$D$58,MIN(MATCH(MAX(4,DATOS!$C$72),TABLAS!$B$52:$B$58,0)+1,7)),1)),2))&lt;=MIN(DATOS!$C$73,INT(((AD28-2*AL28)+MAX(DATOS!$C$70,INDEX(TABLAS!$C$52:$C$58,MIN(MATCH(MAX(4,DATOS!$C$72),TABLAS!$B$52:$B$58,0)+1,7))))/(INDEX(TABLAS!$C$52:$C$58,MIN(MATCH(MAX(4,DATOS!$C$72),TABLAS!$B$52:$B$58,0)+1,7))+MAX(DATOS!$C$70,INDEX(TABLAS!$C$52:$C$58,MIN(MATCH(MAX(4,DATOS!$C$72),TABLAS!$B$52:$B$58,0)+1,7))))))),INDEX(TABLAS!$B$52:$B$58,MIN(MATCH(MAX(4,DATOS!$C$72),TABLAS!$B$52:$B$58,0)+1,7)),IF(AND(BU28&gt;=0,IF(MAX(DATOS!$C$74,CEILING(BU28/INDEX(TABLAS!$D$52:$D$58,MIN(MATCH(MAX(4,DATOS!$C$72),TABLAS!$B$52:$B$58,0)+2,7)),1))*INDEX(TABLAS!$D$52:$D$58,MIN(MATCH(MAX(4,DATOS!$C$72),TABLAS!$B$52:$B$58,0)+2,7)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+2,7)),1)),MAX(MAX(DATOS!$C$74,CEILING(BU28/INDEX(TABLAS!$D$52:$D$58,MIN(MATCH(MAX(4,DATOS!$C$72),TABLAS!$B$52:$B$58,0)+2,7)),1)),2))&lt;=MIN(DATOS!$C$73,INT(((AD28-2*AL28)+MAX(DATOS!$C$70,INDEX(TABLAS!$C$52:$C$58,MIN(MATCH(MAX(4,DATOS!$C$72),TABLAS!$B$52:$B$58,0)+2,7))))/(INDEX(TABLAS!$C$52:$C$58,MIN(MATCH(MAX(4,DATOS!$C$72),TABLAS!$B$52:$B$58,0)+2,7))+MAX(DATOS!$C$70,INDEX(TABLAS!$C$52:$C$58,MIN(MATCH(MAX(4,DATOS!$C$72),TABLAS!$B$52:$B$58,0)+2,7))))))),INDEX(TABLAS!$B$52:$B$58,MIN(MATCH(MAX(4,DATOS!$C$72),TABLAS!$B$52:$B$58,0)+2,7)),IF(AND(BU28&gt;=0,IF(MAX(DATOS!$C$74,CEILING(BU28/INDEX(TABLAS!$D$52:$D$58,MIN(MATCH(MAX(4,DATOS!$C$72),TABLAS!$B$52:$B$58,0)+3,7)),1))*INDEX(TABLAS!$D$52:$D$58,MIN(MATCH(MAX(4,DATOS!$C$72),TABLAS!$B$52:$B$58,0)+3,7)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+3,7)),1)),MAX(MAX(DATOS!$C$74,CEILING(BU28/INDEX(TABLAS!$D$52:$D$58,MIN(MATCH(MAX(4,DATOS!$C$72),TABLAS!$B$52:$B$58,0)+3,7)),1)),2))&lt;=MIN(DATOS!$C$73,INT(((AD28-2*AL28)+MAX(DATOS!$C$70,INDEX(TABLAS!$C$52:$C$58,MIN(MATCH(MAX(4,DATOS!$C$72),TABLAS!$B$52:$B$58,0)+3,7))))/(INDEX(TABLAS!$C$52:$C$58,MIN(MATCH(MAX(4,DATOS!$C$72),TABLAS!$B$52:$B$58,0)+3,7))+MAX(DATOS!$C$70,INDEX(TABLAS!$C$52:$C$58,MIN(MATCH(MAX(4,DATOS!$C$72),TABLAS!$B$52:$B$58,0)+3,7))))))),INDEX(TABLAS!$B$52:$B$58,MIN(MATCH(MAX(4,DATOS!$C$72),TABLAS!$B$52:$B$58,0)+3,7)),IF(AND(BU28&gt;=0,IF(MAX(DATOS!$C$74,CEILING(BU28/INDEX(TABLAS!$D$52:$D$58,MIN(MATCH(MAX(4,DATOS!$C$72),TABLAS!$B$52:$B$58,0)+4,7)),1))*INDEX(TABLAS!$D$52:$D$58,MIN(MATCH(MAX(4,DATOS!$C$72),TABLAS!$B$52:$B$58,0)+4,7)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+4,7)),1)),MAX(MAX(DATOS!$C$74,CEILING(BU28/INDEX(TABLAS!$D$52:$D$58,MIN(MATCH(MAX(4,DATOS!$C$72),TABLAS!$B$52:$B$58,0)+4,7)),1)),2))&lt;=MIN(DATOS!$C$73,INT(((AD28-2*AL28)+MAX(DATOS!$C$70,INDEX(TABLAS!$C$52:$C$58,MIN(MATCH(MAX(4,DATOS!$C$72),TABLAS!$B$52:$B$58,0)+4,7))))/(INDEX(TABLAS!$C$52:$C$58,MIN(MATCH(MAX(4,DATOS!$C$72),TABLAS!$B$52:$B$58,0)+4,7))+MAX(DATOS!$C$70,INDEX(TABLAS!$C$52:$C$58,MIN(MATCH(MAX(4,DATOS!$C$72),TABLAS!$B$52:$B$58,0)+4,7))))))),INDEX(TABLAS!$B$52:$B$58,MIN(MATCH(MAX(4,DATOS!$C$72),TABLAS!$B$52:$B$58,0)+4,7)),INDEX(TABLAS!$B$52:$B$58,7)))))))</f>
        <v/>
      </c>
      <c r="BW28" s="59" t="str">
        <f>IF(V28&lt;&gt;"SÍ","",IF(BU28&lt;0,0,IF(MAX(DATOS!$C$74,CEILING(MAX(BU28,0)/INDEX(TABLAS!$D$52:$D$58,MATCH(BV28,TABLAS!$B$52:$B$58,0)),1))*INDEX(TABLAS!$D$52:$D$58,MATCH(BV28,TABLAS!$B$52:$B$58,0))&gt;=4/3*IF(BH28&lt;=0,0,IF((1-2*BH28*1E5/(DATOS!$C$29*AF28*BT28^2*DATOS!$C$21))&lt;0,-1,IF((1-SQRT((1-2*BH28*1E5/(DATOS!$C$29*AF28*BT28^2*DATOS!$C$21))))*DATOS!$C$21*AF28*BT28/DATOS!$C$14&gt;DATOS!$C$102*AF28*BT28,-1,(1-SQRT((1-2*BH28*1E5/(DATOS!$C$29*AF28*BT28^2*DATOS!$C$21))))*DATOS!$C$21*AF28*BT28/DATOS!$C$14)))-0.0001,MAX(DATOS!$C$74,CEILING(MAX(BU28,0)/INDEX(TABLAS!$D$52:$D$58,MATCH(BV28,TABLAS!$B$52:$B$58,0)),1)),MAX(MAX(DATOS!$C$74,CEILING(MAX(BU28,0)/INDEX(TABLAS!$D$52:$D$58,MATCH(BV28,TABLAS!$B$52:$B$58,0)),1)),2))))</f>
        <v/>
      </c>
      <c r="BX28" s="58" t="str">
        <f>IF(V28&lt;&gt;"SÍ","",((DATOS!$C$85-AM28-2*DATOS!$C$97-INDEX(TABLAS!$C$52:$C$58,MATCH(BV28,TABLAS!$B$52:$B$58,0))/2)-IF(AND((DATOS!$C$85-AM28-2*DATOS!$C$97-INDEX(TABLAS!$C$52:$C$58,MATCH(BV28,TABLAS!$B$52:$B$58,0))/2)&lt;=20,DATOS!$C$65&lt;&gt;"SÍ"),2,0)))</f>
        <v/>
      </c>
      <c r="BY28" s="56" t="str">
        <f>IF(V28&lt;&gt;"SÍ","",IF(BW28=0,0,DATOS!$C$29*BW28*INDEX(TABLAS!$D$52:$D$58,MATCH(BV28,TABLAS!$B$52:$B$58,0))*DATOS!$C$14*(BX28-BW28*INDEX(TABLAS!$D$52:$D$58,MATCH(BV28,TABLAS!$B$52:$B$58,0))*DATOS!$C$14/(DATOS!$C$21*AF28)/2)/1E5))</f>
        <v/>
      </c>
      <c r="BZ28" s="65" t="str">
        <f>IF(V28&lt;&gt;"SÍ","",IF(BU28&lt;0,9.99,IF(BY28&gt;0,BH28/BY28,0)))</f>
        <v/>
      </c>
      <c r="CA28" s="66" t="str">
        <f>IF(V28&lt;&gt;"SÍ","",IF(BW28=0,"—",0.003*(BX28-(BW28*INDEX(TABLAS!$D$52:$D$58,MATCH(BV28,TABLAS!$B$52:$B$58,0))*DATOS!$C$14/(DATOS!$C$21*AF28)/DATOS!$C$22))/(BW28*INDEX(TABLAS!$D$52:$D$58,MATCH(BV28,TABLAS!$B$52:$B$58,0))*DATOS!$C$14/(DATOS!$C$21*AF28)/DATOS!$C$22)))</f>
        <v/>
      </c>
      <c r="CB28" s="58" t="str">
        <f>IF(V28&lt;&gt;"SÍ","",(DATOS!$C$85-AK28-INDEX(TABLAS!$C$52:$C$58,MATCH(MAX(4,DATOS!$C$71),TABLAS!$B$52:$B$58,0))-INDEX(TABLAS!$C$52:$C$58,MATCH(MAX(4,DATOS!$C$71),TABLAS!$B$52:$B$58,0))/2))</f>
        <v/>
      </c>
      <c r="CC28" s="58" t="str">
        <f>IF(V28&lt;&gt;"SÍ","",IF(IF(BI28&lt;=0,0,IF((1-2*BI28*1E5/(DATOS!$C$29*AI28*CB28^2*DATOS!$C$21))&lt;0,-1,IF((1-SQRT((1-2*BI28*1E5/(DATOS!$C$29*AI28*CB28^2*DATOS!$C$21))))*DATOS!$C$21*AI28*CB28/DATOS!$C$14&gt;DATOS!$C$102*AI28*CB28,-1,(1-SQRT((1-2*BI28*1E5/(DATOS!$C$29*AI28*CB28^2*DATOS!$C$21))))*DATOS!$C$21*AI28*CB28/DATOS!$C$14)))&lt;0,-1,MAX(IF(BI28&lt;=0,0,IF((1-2*BI28*1E5/(DATOS!$C$29*AI28*CB28^2*DATOS!$C$21))&lt;0,-1,IF((1-SQRT((1-2*BI28*1E5/(DATOS!$C$29*AI28*CB28^2*DATOS!$C$21))))*DATOS!$C$21*AI28*CB28/DATOS!$C$14&gt;DATOS!$C$102*AI28*CB28,-1,(1-SQRT((1-2*BI28*1E5/(DATOS!$C$29*AI28*CB28^2*DATOS!$C$21))))*DATOS!$C$21*AI28*CB28/DATOS!$C$14))),MIN(DATOS!$C$103*DATOS!$C$83*CB28,4/3*IF(BI28&lt;=0,0,IF((1-2*BI28*1E5/(DATOS!$C$29*AI28*CB28^2*DATOS!$C$21))&lt;0,-1,IF((1-SQRT((1-2*BI28*1E5/(DATOS!$C$29*AI28*CB28^2*DATOS!$C$21))))*DATOS!$C$21*AI28*CB28/DATOS!$C$14&gt;DATOS!$C$102*AI28*CB28,-1,(1-SQRT((1-2*BI28*1E5/(DATOS!$C$29*AI28*CB28^2*DATOS!$C$21))))*DATOS!$C$21*AI28*CB28/DATOS!$C$14)))))))</f>
        <v/>
      </c>
      <c r="CD28" s="64" t="str">
        <f>IF(V28&lt;&gt;"SÍ","",IF(AND(CC28&gt;=0,IF(MAX(DATOS!$C$74,CEILING(CC28/INDEX(TABLAS!$D$52:$D$58,MIN(MATCH(MAX(4,DATOS!$C$71),TABLAS!$B$52:$B$58,0)+0,7)),1))*INDEX(TABLAS!$D$52:$D$58,MIN(MATCH(MAX(4,DATOS!$C$71),TABLAS!$B$52:$B$58,0)+0,7)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+0,7)),1)),MAX(MAX(DATOS!$C$74,CEILING(CC28/INDEX(TABLAS!$D$52:$D$58,MIN(MATCH(MAX(4,DATOS!$C$71),TABLAS!$B$52:$B$58,0)+0,7)),1)),2))&lt;=MIN(DATOS!$C$73,INT(((DATOS!$C$83-2*AK28)+MAX(DATOS!$C$70,INDEX(TABLAS!$C$52:$C$58,MIN(MATCH(MAX(4,DATOS!$C$71),TABLAS!$B$52:$B$58,0)+0,7))))/(INDEX(TABLAS!$C$52:$C$58,MIN(MATCH(MAX(4,DATOS!$C$71),TABLAS!$B$52:$B$58,0)+0,7))+MAX(DATOS!$C$70,INDEX(TABLAS!$C$52:$C$58,MIN(MATCH(MAX(4,DATOS!$C$71),TABLAS!$B$52:$B$58,0)+0,7))))))),INDEX(TABLAS!$B$52:$B$58,MIN(MATCH(MAX(4,DATOS!$C$71),TABLAS!$B$52:$B$58,0)+0,7)),IF(AND(CC28&gt;=0,IF(MAX(DATOS!$C$74,CEILING(CC28/INDEX(TABLAS!$D$52:$D$58,MIN(MATCH(MAX(4,DATOS!$C$71),TABLAS!$B$52:$B$58,0)+1,7)),1))*INDEX(TABLAS!$D$52:$D$58,MIN(MATCH(MAX(4,DATOS!$C$71),TABLAS!$B$52:$B$58,0)+1,7)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+1,7)),1)),MAX(MAX(DATOS!$C$74,CEILING(CC28/INDEX(TABLAS!$D$52:$D$58,MIN(MATCH(MAX(4,DATOS!$C$71),TABLAS!$B$52:$B$58,0)+1,7)),1)),2))&lt;=MIN(DATOS!$C$73,INT(((DATOS!$C$83-2*AK28)+MAX(DATOS!$C$70,INDEX(TABLAS!$C$52:$C$58,MIN(MATCH(MAX(4,DATOS!$C$71),TABLAS!$B$52:$B$58,0)+1,7))))/(INDEX(TABLAS!$C$52:$C$58,MIN(MATCH(MAX(4,DATOS!$C$71),TABLAS!$B$52:$B$58,0)+1,7))+MAX(DATOS!$C$70,INDEX(TABLAS!$C$52:$C$58,MIN(MATCH(MAX(4,DATOS!$C$71),TABLAS!$B$52:$B$58,0)+1,7))))))),INDEX(TABLAS!$B$52:$B$58,MIN(MATCH(MAX(4,DATOS!$C$71),TABLAS!$B$52:$B$58,0)+1,7)),IF(AND(CC28&gt;=0,IF(MAX(DATOS!$C$74,CEILING(CC28/INDEX(TABLAS!$D$52:$D$58,MIN(MATCH(MAX(4,DATOS!$C$71),TABLAS!$B$52:$B$58,0)+2,7)),1))*INDEX(TABLAS!$D$52:$D$58,MIN(MATCH(MAX(4,DATOS!$C$71),TABLAS!$B$52:$B$58,0)+2,7)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+2,7)),1)),MAX(MAX(DATOS!$C$74,CEILING(CC28/INDEX(TABLAS!$D$52:$D$58,MIN(MATCH(MAX(4,DATOS!$C$71),TABLAS!$B$52:$B$58,0)+2,7)),1)),2))&lt;=MIN(DATOS!$C$73,INT(((DATOS!$C$83-2*AK28)+MAX(DATOS!$C$70,INDEX(TABLAS!$C$52:$C$58,MIN(MATCH(MAX(4,DATOS!$C$71),TABLAS!$B$52:$B$58,0)+2,7))))/(INDEX(TABLAS!$C$52:$C$58,MIN(MATCH(MAX(4,DATOS!$C$71),TABLAS!$B$52:$B$58,0)+2,7))+MAX(DATOS!$C$70,INDEX(TABLAS!$C$52:$C$58,MIN(MATCH(MAX(4,DATOS!$C$71),TABLAS!$B$52:$B$58,0)+2,7))))))),INDEX(TABLAS!$B$52:$B$58,MIN(MATCH(MAX(4,DATOS!$C$71),TABLAS!$B$52:$B$58,0)+2,7)),IF(AND(CC28&gt;=0,IF(MAX(DATOS!$C$74,CEILING(CC28/INDEX(TABLAS!$D$52:$D$58,MIN(MATCH(MAX(4,DATOS!$C$71),TABLAS!$B$52:$B$58,0)+3,7)),1))*INDEX(TABLAS!$D$52:$D$58,MIN(MATCH(MAX(4,DATOS!$C$71),TABLAS!$B$52:$B$58,0)+3,7)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+3,7)),1)),MAX(MAX(DATOS!$C$74,CEILING(CC28/INDEX(TABLAS!$D$52:$D$58,MIN(MATCH(MAX(4,DATOS!$C$71),TABLAS!$B$52:$B$58,0)+3,7)),1)),2))&lt;=MIN(DATOS!$C$73,INT(((DATOS!$C$83-2*AK28)+MAX(DATOS!$C$70,INDEX(TABLAS!$C$52:$C$58,MIN(MATCH(MAX(4,DATOS!$C$71),TABLAS!$B$52:$B$58,0)+3,7))))/(INDEX(TABLAS!$C$52:$C$58,MIN(MATCH(MAX(4,DATOS!$C$71),TABLAS!$B$52:$B$58,0)+3,7))+MAX(DATOS!$C$70,INDEX(TABLAS!$C$52:$C$58,MIN(MATCH(MAX(4,DATOS!$C$71),TABLAS!$B$52:$B$58,0)+3,7))))))),INDEX(TABLAS!$B$52:$B$58,MIN(MATCH(MAX(4,DATOS!$C$71),TABLAS!$B$52:$B$58,0)+3,7)),IF(AND(CC28&gt;=0,IF(MAX(DATOS!$C$74,CEILING(CC28/INDEX(TABLAS!$D$52:$D$58,MIN(MATCH(MAX(4,DATOS!$C$71),TABLAS!$B$52:$B$58,0)+4,7)),1))*INDEX(TABLAS!$D$52:$D$58,MIN(MATCH(MAX(4,DATOS!$C$71),TABLAS!$B$52:$B$58,0)+4,7)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+4,7)),1)),MAX(MAX(DATOS!$C$74,CEILING(CC28/INDEX(TABLAS!$D$52:$D$58,MIN(MATCH(MAX(4,DATOS!$C$71),TABLAS!$B$52:$B$58,0)+4,7)),1)),2))&lt;=MIN(DATOS!$C$73,INT(((DATOS!$C$83-2*AK28)+MAX(DATOS!$C$70,INDEX(TABLAS!$C$52:$C$58,MIN(MATCH(MAX(4,DATOS!$C$71),TABLAS!$B$52:$B$58,0)+4,7))))/(INDEX(TABLAS!$C$52:$C$58,MIN(MATCH(MAX(4,DATOS!$C$71),TABLAS!$B$52:$B$58,0)+4,7))+MAX(DATOS!$C$70,INDEX(TABLAS!$C$52:$C$58,MIN(MATCH(MAX(4,DATOS!$C$71),TABLAS!$B$52:$B$58,0)+4,7))))))),INDEX(TABLAS!$B$52:$B$58,MIN(MATCH(MAX(4,DATOS!$C$71),TABLAS!$B$52:$B$58,0)+4,7)),INDEX(TABLAS!$B$52:$B$58,7)))))))</f>
        <v/>
      </c>
      <c r="CE28" s="59" t="str">
        <f>IF(V28&lt;&gt;"SÍ","",IF(CC28&lt;0,0,IF(MAX(DATOS!$C$74,CEILING(MAX(CC28,0)/INDEX(TABLAS!$D$52:$D$58,MATCH(CD28,TABLAS!$B$52:$B$58,0)),1))*INDEX(TABLAS!$D$52:$D$58,MATCH(CD28,TABLAS!$B$52:$B$58,0))&gt;=4/3*IF(BI28&lt;=0,0,IF((1-2*BI28*1E5/(DATOS!$C$29*AI28*CB28^2*DATOS!$C$21))&lt;0,-1,IF((1-SQRT((1-2*BI28*1E5/(DATOS!$C$29*AI28*CB28^2*DATOS!$C$21))))*DATOS!$C$21*AI28*CB28/DATOS!$C$14&gt;DATOS!$C$102*AI28*CB28,-1,(1-SQRT((1-2*BI28*1E5/(DATOS!$C$29*AI28*CB28^2*DATOS!$C$21))))*DATOS!$C$21*AI28*CB28/DATOS!$C$14)))-0.0001,MAX(DATOS!$C$74,CEILING(MAX(CC28,0)/INDEX(TABLAS!$D$52:$D$58,MATCH(CD28,TABLAS!$B$52:$B$58,0)),1)),MAX(MAX(DATOS!$C$74,CEILING(MAX(CC28,0)/INDEX(TABLAS!$D$52:$D$58,MATCH(CD28,TABLAS!$B$52:$B$58,0)),1)),2))))</f>
        <v/>
      </c>
      <c r="CF28" s="58" t="str">
        <f>IF(V28&lt;&gt;"SÍ","",DATOS!$C$85-AK28-INDEX(TABLAS!$C$52:$C$58,MATCH(BN28,TABLAS!$B$52:$B$58,0))-INDEX(TABLAS!$C$52:$C$58,MATCH(CD28,TABLAS!$B$52:$B$58,0))/2)</f>
        <v/>
      </c>
      <c r="CG28" s="56" t="str">
        <f>IF(V28&lt;&gt;"SÍ","",IF(CE28=0,0,DATOS!$C$29*CE28*INDEX(TABLAS!$D$52:$D$58,MATCH(CD28,TABLAS!$B$52:$B$58,0))*DATOS!$C$14*(CF28-CE28*INDEX(TABLAS!$D$52:$D$58,MATCH(CD28,TABLAS!$B$52:$B$58,0))*DATOS!$C$14/(DATOS!$C$21*AI28)/2)/1E5))</f>
        <v/>
      </c>
      <c r="CH28" s="65" t="str">
        <f>IF(V28&lt;&gt;"SÍ","",IF(CC28&lt;0,9.99,IF(CG28&gt;0,BI28/CG28,0)))</f>
        <v/>
      </c>
      <c r="CI28" s="66" t="str">
        <f>IF(V28&lt;&gt;"SÍ","",IF(CE28=0,"—",0.003*(CF28-(CE28*INDEX(TABLAS!$D$52:$D$58,MATCH(CD28,TABLAS!$B$52:$B$58,0))*DATOS!$C$14/(DATOS!$C$21*AI28)/DATOS!$C$22))/(CE28*INDEX(TABLAS!$D$52:$D$58,MATCH(CD28,TABLAS!$B$52:$B$58,0))*DATOS!$C$14/(DATOS!$C$21*AI28)/DATOS!$C$22)))</f>
        <v/>
      </c>
      <c r="CJ28" s="58" t="str">
        <f>IF(V28&lt;&gt;"SÍ","",((DATOS!$C$85-AM28-2*DATOS!$C$97-INDEX(TABLAS!$C$52:$C$58,MATCH(MAX(4,DATOS!$C$72),TABLAS!$B$52:$B$58,0))-INDEX(TABLAS!$C$52:$C$58,MATCH(MAX(4,DATOS!$C$72),TABLAS!$B$52:$B$58,0))/2)-IF(AND((DATOS!$C$85-AM28-2*DATOS!$C$97-INDEX(TABLAS!$C$52:$C$58,MATCH(MAX(4,DATOS!$C$72),TABLAS!$B$52:$B$58,0))-INDEX(TABLAS!$C$52:$C$58,MATCH(MAX(4,DATOS!$C$72),TABLAS!$B$52:$B$58,0))/2)&lt;=20,DATOS!$C$65&lt;&gt;"SÍ"),2,0)))</f>
        <v/>
      </c>
      <c r="CK28" s="58" t="str">
        <f>IF(V28&lt;&gt;"SÍ","",IF(IF(BJ28&lt;=0,0,IF((1-2*BJ28*1E5/(DATOS!$C$29*AG28*CJ28^2*DATOS!$C$21))&lt;0,-1,IF((1-SQRT((1-2*BJ28*1E5/(DATOS!$C$29*AG28*CJ28^2*DATOS!$C$21))))*DATOS!$C$21*AG28*CJ28/DATOS!$C$14&gt;DATOS!$C$102*AG28*CJ28,-1,(1-SQRT((1-2*BJ28*1E5/(DATOS!$C$29*AG28*CJ28^2*DATOS!$C$21))))*DATOS!$C$21*AG28*CJ28/DATOS!$C$14)))&lt;0,-1,MAX(IF(BJ28&lt;=0,0,IF((1-2*BJ28*1E5/(DATOS!$C$29*AG28*CJ28^2*DATOS!$C$21))&lt;0,-1,IF((1-SQRT((1-2*BJ28*1E5/(DATOS!$C$29*AG28*CJ28^2*DATOS!$C$21))))*DATOS!$C$21*AG28*CJ28/DATOS!$C$14&gt;DATOS!$C$102*AG28*CJ28,-1,(1-SQRT((1-2*BJ28*1E5/(DATOS!$C$29*AG28*CJ28^2*DATOS!$C$21))))*DATOS!$C$21*AG28*CJ28/DATOS!$C$14))),MIN(DATOS!$C$103*DATOS!$C$83*CJ28,4/3*IF(BJ28&lt;=0,0,IF((1-2*BJ28*1E5/(DATOS!$C$29*AG28*CJ28^2*DATOS!$C$21))&lt;0,-1,IF((1-SQRT((1-2*BJ28*1E5/(DATOS!$C$29*AG28*CJ28^2*DATOS!$C$21))))*DATOS!$C$21*AG28*CJ28/DATOS!$C$14&gt;DATOS!$C$102*AG28*CJ28,-1,(1-SQRT((1-2*BJ28*1E5/(DATOS!$C$29*AG28*CJ28^2*DATOS!$C$21))))*DATOS!$C$21*AG28*CJ28/DATOS!$C$14)))))))</f>
        <v/>
      </c>
      <c r="CL28" s="64" t="str">
        <f>IF(V28&lt;&gt;"SÍ","",IF(AND(CK28&gt;=0,IF(MAX(DATOS!$C$74,CEILING(CK28/INDEX(TABLAS!$D$52:$D$58,MIN(MATCH(MAX(4,DATOS!$C$72),TABLAS!$B$52:$B$58,0)+0,7)),1))*INDEX(TABLAS!$D$52:$D$58,MIN(MATCH(MAX(4,DATOS!$C$72),TABLAS!$B$52:$B$58,0)+0,7)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+0,7)),1)),MAX(MAX(DATOS!$C$74,CEILING(CK28/INDEX(TABLAS!$D$52:$D$58,MIN(MATCH(MAX(4,DATOS!$C$72),TABLAS!$B$52:$B$58,0)+0,7)),1)),2))&lt;=MIN(DATOS!$C$73,INT(((DATOS!$C$83-2*AL28)+MAX(DATOS!$C$70,INDEX(TABLAS!$C$52:$C$58,MIN(MATCH(MAX(4,DATOS!$C$72),TABLAS!$B$52:$B$58,0)+0,7))))/(INDEX(TABLAS!$C$52:$C$58,MIN(MATCH(MAX(4,DATOS!$C$72),TABLAS!$B$52:$B$58,0)+0,7))+MAX(DATOS!$C$70,INDEX(TABLAS!$C$52:$C$58,MIN(MATCH(MAX(4,DATOS!$C$72),TABLAS!$B$52:$B$58,0)+0,7))))))),INDEX(TABLAS!$B$52:$B$58,MIN(MATCH(MAX(4,DATOS!$C$72),TABLAS!$B$52:$B$58,0)+0,7)),IF(AND(CK28&gt;=0,IF(MAX(DATOS!$C$74,CEILING(CK28/INDEX(TABLAS!$D$52:$D$58,MIN(MATCH(MAX(4,DATOS!$C$72),TABLAS!$B$52:$B$58,0)+1,7)),1))*INDEX(TABLAS!$D$52:$D$58,MIN(MATCH(MAX(4,DATOS!$C$72),TABLAS!$B$52:$B$58,0)+1,7)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+1,7)),1)),MAX(MAX(DATOS!$C$74,CEILING(CK28/INDEX(TABLAS!$D$52:$D$58,MIN(MATCH(MAX(4,DATOS!$C$72),TABLAS!$B$52:$B$58,0)+1,7)),1)),2))&lt;=MIN(DATOS!$C$73,INT(((DATOS!$C$83-2*AL28)+MAX(DATOS!$C$70,INDEX(TABLAS!$C$52:$C$58,MIN(MATCH(MAX(4,DATOS!$C$72),TABLAS!$B$52:$B$58,0)+1,7))))/(INDEX(TABLAS!$C$52:$C$58,MIN(MATCH(MAX(4,DATOS!$C$72),TABLAS!$B$52:$B$58,0)+1,7))+MAX(DATOS!$C$70,INDEX(TABLAS!$C$52:$C$58,MIN(MATCH(MAX(4,DATOS!$C$72),TABLAS!$B$52:$B$58,0)+1,7))))))),INDEX(TABLAS!$B$52:$B$58,MIN(MATCH(MAX(4,DATOS!$C$72),TABLAS!$B$52:$B$58,0)+1,7)),IF(AND(CK28&gt;=0,IF(MAX(DATOS!$C$74,CEILING(CK28/INDEX(TABLAS!$D$52:$D$58,MIN(MATCH(MAX(4,DATOS!$C$72),TABLAS!$B$52:$B$58,0)+2,7)),1))*INDEX(TABLAS!$D$52:$D$58,MIN(MATCH(MAX(4,DATOS!$C$72),TABLAS!$B$52:$B$58,0)+2,7)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+2,7)),1)),MAX(MAX(DATOS!$C$74,CEILING(CK28/INDEX(TABLAS!$D$52:$D$58,MIN(MATCH(MAX(4,DATOS!$C$72),TABLAS!$B$52:$B$58,0)+2,7)),1)),2))&lt;=MIN(DATOS!$C$73,INT(((DATOS!$C$83-2*AL28)+MAX(DATOS!$C$70,INDEX(TABLAS!$C$52:$C$58,MIN(MATCH(MAX(4,DATOS!$C$72),TABLAS!$B$52:$B$58,0)+2,7))))/(INDEX(TABLAS!$C$52:$C$58,MIN(MATCH(MAX(4,DATOS!$C$72),TABLAS!$B$52:$B$58,0)+2,7))+MAX(DATOS!$C$70,INDEX(TABLAS!$C$52:$C$58,MIN(MATCH(MAX(4,DATOS!$C$72),TABLAS!$B$52:$B$58,0)+2,7))))))),INDEX(TABLAS!$B$52:$B$58,MIN(MATCH(MAX(4,DATOS!$C$72),TABLAS!$B$52:$B$58,0)+2,7)),IF(AND(CK28&gt;=0,IF(MAX(DATOS!$C$74,CEILING(CK28/INDEX(TABLAS!$D$52:$D$58,MIN(MATCH(MAX(4,DATOS!$C$72),TABLAS!$B$52:$B$58,0)+3,7)),1))*INDEX(TABLAS!$D$52:$D$58,MIN(MATCH(MAX(4,DATOS!$C$72),TABLAS!$B$52:$B$58,0)+3,7)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+3,7)),1)),MAX(MAX(DATOS!$C$74,CEILING(CK28/INDEX(TABLAS!$D$52:$D$58,MIN(MATCH(MAX(4,DATOS!$C$72),TABLAS!$B$52:$B$58,0)+3,7)),1)),2))&lt;=MIN(DATOS!$C$73,INT(((DATOS!$C$83-2*AL28)+MAX(DATOS!$C$70,INDEX(TABLAS!$C$52:$C$58,MIN(MATCH(MAX(4,DATOS!$C$72),TABLAS!$B$52:$B$58,0)+3,7))))/(INDEX(TABLAS!$C$52:$C$58,MIN(MATCH(MAX(4,DATOS!$C$72),TABLAS!$B$52:$B$58,0)+3,7))+MAX(DATOS!$C$70,INDEX(TABLAS!$C$52:$C$58,MIN(MATCH(MAX(4,DATOS!$C$72),TABLAS!$B$52:$B$58,0)+3,7))))))),INDEX(TABLAS!$B$52:$B$58,MIN(MATCH(MAX(4,DATOS!$C$72),TABLAS!$B$52:$B$58,0)+3,7)),IF(AND(CK28&gt;=0,IF(MAX(DATOS!$C$74,CEILING(CK28/INDEX(TABLAS!$D$52:$D$58,MIN(MATCH(MAX(4,DATOS!$C$72),TABLAS!$B$52:$B$58,0)+4,7)),1))*INDEX(TABLAS!$D$52:$D$58,MIN(MATCH(MAX(4,DATOS!$C$72),TABLAS!$B$52:$B$58,0)+4,7)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+4,7)),1)),MAX(MAX(DATOS!$C$74,CEILING(CK28/INDEX(TABLAS!$D$52:$D$58,MIN(MATCH(MAX(4,DATOS!$C$72),TABLAS!$B$52:$B$58,0)+4,7)),1)),2))&lt;=MIN(DATOS!$C$73,INT(((DATOS!$C$83-2*AL28)+MAX(DATOS!$C$70,INDEX(TABLAS!$C$52:$C$58,MIN(MATCH(MAX(4,DATOS!$C$72),TABLAS!$B$52:$B$58,0)+4,7))))/(INDEX(TABLAS!$C$52:$C$58,MIN(MATCH(MAX(4,DATOS!$C$72),TABLAS!$B$52:$B$58,0)+4,7))+MAX(DATOS!$C$70,INDEX(TABLAS!$C$52:$C$58,MIN(MATCH(MAX(4,DATOS!$C$72),TABLAS!$B$52:$B$58,0)+4,7))))))),INDEX(TABLAS!$B$52:$B$58,MIN(MATCH(MAX(4,DATOS!$C$72),TABLAS!$B$52:$B$58,0)+4,7)),INDEX(TABLAS!$B$52:$B$58,7)))))))</f>
        <v/>
      </c>
      <c r="CM28" s="59" t="str">
        <f>IF(V28&lt;&gt;"SÍ","",IF(CK28&lt;0,0,IF(MAX(DATOS!$C$74,CEILING(MAX(CK28,0)/INDEX(TABLAS!$D$52:$D$58,MATCH(CL28,TABLAS!$B$52:$B$58,0)),1))*INDEX(TABLAS!$D$52:$D$58,MATCH(CL28,TABLAS!$B$52:$B$58,0))&gt;=4/3*IF(BJ28&lt;=0,0,IF((1-2*BJ28*1E5/(DATOS!$C$29*AG28*CJ28^2*DATOS!$C$21))&lt;0,-1,IF((1-SQRT((1-2*BJ28*1E5/(DATOS!$C$29*AG28*CJ28^2*DATOS!$C$21))))*DATOS!$C$21*AG28*CJ28/DATOS!$C$14&gt;DATOS!$C$102*AG28*CJ28,-1,(1-SQRT((1-2*BJ28*1E5/(DATOS!$C$29*AG28*CJ28^2*DATOS!$C$21))))*DATOS!$C$21*AG28*CJ28/DATOS!$C$14)))-0.0001,MAX(DATOS!$C$74,CEILING(MAX(CK28,0)/INDEX(TABLAS!$D$52:$D$58,MATCH(CL28,TABLAS!$B$52:$B$58,0)),1)),MAX(MAX(DATOS!$C$74,CEILING(MAX(CK28,0)/INDEX(TABLAS!$D$52:$D$58,MATCH(CL28,TABLAS!$B$52:$B$58,0)),1)),2))))</f>
        <v/>
      </c>
      <c r="CN28" s="58" t="str">
        <f>IF(V28&lt;&gt;"SÍ","",((DATOS!$C$85-AM28-2*DATOS!$C$97-INDEX(TABLAS!$C$52:$C$58,MATCH(BV28,TABLAS!$B$52:$B$58,0))-INDEX(TABLAS!$C$52:$C$58,MATCH(CL28,TABLAS!$B$52:$B$58,0))/2)-IF(AND((DATOS!$C$85-AM28-2*DATOS!$C$97-INDEX(TABLAS!$C$52:$C$58,MATCH(BV28,TABLAS!$B$52:$B$58,0))-INDEX(TABLAS!$C$52:$C$58,MATCH(CL28,TABLAS!$B$52:$B$58,0))/2)&lt;=20,DATOS!$C$65&lt;&gt;"SÍ"),2,0)))</f>
        <v/>
      </c>
      <c r="CO28" s="56" t="str">
        <f>IF(V28&lt;&gt;"SÍ","",IF(CM28=0,0,DATOS!$C$29*CM28*INDEX(TABLAS!$D$52:$D$58,MATCH(CL28,TABLAS!$B$52:$B$58,0))*DATOS!$C$14*(CN28-CM28*INDEX(TABLAS!$D$52:$D$58,MATCH(CL28,TABLAS!$B$52:$B$58,0))*DATOS!$C$14/(DATOS!$C$21*AG28)/2)/1E5))</f>
        <v/>
      </c>
      <c r="CP28" s="65" t="str">
        <f>IF(V28&lt;&gt;"SÍ","",IF(CK28&lt;0,9.99,IF(CO28&gt;0,BJ28/CO28,0)))</f>
        <v/>
      </c>
      <c r="CQ28" s="66" t="str">
        <f>IF(V28&lt;&gt;"SÍ","",IF(CM28=0,"—",0.003*(CN28-(CM28*INDEX(TABLAS!$D$52:$D$58,MATCH(CL28,TABLAS!$B$52:$B$58,0))*DATOS!$C$14/(DATOS!$C$21*AG28)/DATOS!$C$22))/(CM28*INDEX(TABLAS!$D$52:$D$58,MATCH(CL28,TABLAS!$B$52:$B$58,0))*DATOS!$C$14/(DATOS!$C$21*AG28)/DATOS!$C$22)))</f>
        <v/>
      </c>
      <c r="CR28" s="56" t="str">
        <f>IF(V28&lt;&gt;"SÍ","",IF(C28="PERIMETRAL",MAX(0,(AB28/2-BX28)/100)*(0.95-0.5*AA28)*AR28*IF(AND(AS28&gt;0,AS28&lt;4),DATOS!$C$33,1)*DATOS!$C$86/100/1000,(AR28*MAX(0,AB28-BX28)/100+DATOS!$C$26*N(O28))*DATOS!$C$86/100/1000+BF28))</f>
        <v/>
      </c>
      <c r="CS28" s="56" t="str">
        <f>IF(V28&lt;&gt;"SÍ","",DATOS!$C$30*2*MIN(1,SQRT(2/(1+0.04*BX28)))*(BW28*INDEX(TABLAS!$D$52:$D$58,MATCH(BV28,TABLAS!$B$52:$B$58,0))/(AF28*BX28))^(1/3)*SQRT(DATOS!$C$13)*AF28*BX28*IF(AJ28="SÍ",DATOS!$C$32,1)/1000)</f>
        <v/>
      </c>
      <c r="CT28" s="59" t="str">
        <f>IF(V28&lt;&gt;"SÍ","",IF(CR28&lt;=CS28,0,CEILING(MAX(0,IF(C28="VOLADO",(AB28-((CS28-BF28)*1E5/DATOS!$C$86-DATOS!$C$26*N(O28))*100/AR28),IF(CS28&lt;=0,AB28,AB28/2-CS28/MAX(CR28,1E-9)*(AB28/2-BX28)))-IF(X28="X",MIN(DJ28,DK28),MIN(DL28,DM28)))/DATOS!$C$86,1)))</f>
        <v/>
      </c>
      <c r="CU28" s="67" t="str">
        <f>IF(V28&lt;&gt;"SÍ","",IF(CR28&lt;=CS28,"CUMPLE",IF(CT28&lt;=0,"CUMPLE (basta el macizo de orilla)",IF(CT28*DATOS!$C$86*IF(C28="VOLADO",1,2)&gt;=Y28*100-DATOS!$C$87,"NO CUMPLE: no alcanza ni macizando todo","MACIZAR "&amp;CT28&amp;" hilera(s)"))))</f>
        <v/>
      </c>
      <c r="CV28" s="58" t="str">
        <f>IF(V28&lt;&gt;"SÍ","",(DATOS!$C$86*DATOS!$C$84^2/2+MIN(DATOS!$C$83,AD28)*DATOS!$C$82*(DATOS!$C$84+DATOS!$C$82/2))/(DATOS!$C$86*DATOS!$C$84+MIN(DATOS!$C$83,AD28)*DATOS!$C$82))</f>
        <v/>
      </c>
      <c r="CW28" s="68" t="str">
        <f>IF(V28&lt;&gt;"SÍ","",DATOS!$C$86*DATOS!$C$84^3/12+DATOS!$C$86*DATOS!$C$84*(CV28-DATOS!$C$84/2)^2+MIN(DATOS!$C$83,AD28)*DATOS!$C$82^3/12+MIN(DATOS!$C$83,AD28)*DATOS!$C$82*(DATOS!$C$84+DATOS!$C$82/2-CV28)^2)</f>
        <v/>
      </c>
      <c r="CX28" s="58" t="str">
        <f>IF(V28&lt;&gt;"SÍ","",(12*CW28/DATOS!$C$86)^(1/3))</f>
        <v/>
      </c>
      <c r="CY28" s="58" t="str">
        <f>IF(V28&lt;&gt;"SÍ","",IF(C28="PERIMETRAL",IF(ISNUMBER(S28),S28,DATOS!$C$104),0))</f>
        <v/>
      </c>
      <c r="CZ28" s="57" t="str">
        <f>IF(V28&lt;&gt;"SÍ","",IF(C28="PERIMETRAL",IF(CY28&gt;2,MAX(9,AC28*(0.8+DATOS!$C$14/14000)/(36+9*(AC28/MAX(AB28,1)))),IF(CY28&gt;0.2,MAX(13,AC28*(0.8+DATOS!$C$14/14000)/(36+5*(AC28/MAX(AB28,1))*(CY28-0.2))),MAX(13,AC28/IF(AS28&gt;0,30,33))))*IF(AND(CY28&gt;0.2,AS28&gt;0,DATOS!$C$105="NO"),1.1,1),MAX(25,Y28*100/8*(0.4+DATOS!$C$14/7000))))</f>
        <v/>
      </c>
      <c r="DA28" s="61" t="str">
        <f>IF(V28&lt;&gt;"SÍ","",IF(IF(C28="VOLADO",DATOS!$C$85,CX28)&gt;=CZ28,"CUMPLE",IF(C28="VOLADO","NO CUMPLE","CALCULAR FLECHA")))</f>
        <v/>
      </c>
      <c r="DB28" s="55" t="str">
        <f>IF(V28&lt;&gt;"SÍ","",IF(DATOS!$C$84&gt;=IF(IF(C28="VOLADO",Y28,Z28)&gt;=6,6,5),"CUMPLE","CAPA ≥ 6 cm"))</f>
        <v/>
      </c>
      <c r="DC28" s="60" t="str">
        <f>IF(V28&lt;&gt;"SÍ","",IF(C28="VOLADO",MIN(FLOOR(IF(ISNUMBER(P28),P28,Y28)*100-DATOS!$C$63,5),CEILING(MAX(IF((0.5*(0.9*DATOS!$C$90*DATOS!$C$86/100/1000)*IF(ISNUMBER(P28),P28,Y28)+BH28/IF(ISNUMBER(P28),P28,Y28))^2-4*(0.5*(0.9*DATOS!$C$90*DATOS!$C$86/100/1000))*BH28&lt;0,IF(ISNUMBER(P28),P28,Y28),MIN(IF(ISNUMBER(P28),P28,Y28),((0.5*(0.9*DATOS!$C$90*DATOS!$C$86/100/1000)*IF(ISNUMBER(P28),P28,Y28)+BH28/IF(ISNUMBER(P28),P28,Y28))-SQRT((0.5*(0.9*DATOS!$C$90*DATOS!$C$86/100/1000)*IF(ISNUMBER(P28),P28,Y28)+BH28/IF(ISNUMBER(P28),P28,Y28))^2-4*(0.5*(0.9*DATOS!$C$90*DATOS!$C$86/100/1000))*BH28))/(2*(0.5*(0.9*DATOS!$C$90*DATOS!$C$86/100/1000)))))*100+MAX(BX28,12*INDEX(TABLAS!$C$52:$C$58,MATCH(BV28,TABLAS!$B$52:$B$58,0)),IF(ISNUMBER(P28),P28,Y28)*100/16),IF(OR(AL28&lt;INDEX(TABLAS!$C$52:$C$58,MATCH(BV28,TABLAS!$B$52:$B$58,0)),AND(BW28&gt;=2,(AD28-2*AL28-BW28*INDEX(TABLAS!$C$52:$C$58,MATCH(BV28,TABLAS!$B$52:$B$58,0)))/MAX(BW28-1,1)&lt;2*INDEX(TABLAS!$C$52:$C$58,MATCH(BV28,TABLAS!$B$52:$B$58,0)))),INDEX(TABLAS!$I$52:$I$58,MATCH(BV28,TABLAS!$B$52:$B$58,0)),INDEX(TABLAS!$F$52:$F$58,MATCH(BV28,TABLAS!$B$52:$B$58,0)))),5)),IF(((4*((BC28*AR28*Y28^2*1E-4*DATOS!$C$86/100/1000)+((MAX(AY28,BA28)*AR28*Y28^2*1E-4*DATOS!$C$86/100/1000)+(IF(AND(AY28&gt;0,BA28&gt;0),MIN(AY28,BA28),MAX(AY28,BA28))*AR28*Y28^2*1E-4*DATOS!$C$86/100/1000))/2)+BH28-(IF(AND(AY28&gt;0,BA28&gt;0),MIN(AY28,BA28),MAX(AY28,BA28))*AR28*Y28^2*1E-4*DATOS!$C$86/100/1000))^2-16*((BC28*AR28*Y28^2*1E-4*DATOS!$C$86/100/1000)+((MAX(AY28,BA28)*AR28*Y28^2*1E-4*DATOS!$C$86/100/1000)+(IF(AND(AY28&gt;0,BA28&gt;0),MIN(AY28,BA28),MAX(AY28,BA28))*AR28*Y28^2*1E-4*DATOS!$C$86/100/1000))/2)*BH28)&lt;0,CEILING(AB28,5),CEILING(MAX(AB28*((4*((BC28*AR28*Y28^2*1E-4*DATOS!$C$86/100/1000)+((MAX(AY28,BA28)*AR28*Y28^2*1E-4*DATOS!$C$86/100/1000)+(IF(AND(AY28&gt;0,BA28&gt;0),MIN(AY28,BA28),MAX(AY28,BA28))*AR28*Y28^2*1E-4*DATOS!$C$86/100/1000))/2)+BH28-(IF(AND(AY28&gt;0,BA28&gt;0),MIN(AY28,BA28),MAX(AY28,BA28))*AR28*Y28^2*1E-4*DATOS!$C$86/100/1000))-SQRT(MAX(0,((4*((BC28*AR28*Y28^2*1E-4*DATOS!$C$86/100/1000)+((MAX(AY28,BA28)*AR28*Y28^2*1E-4*DATOS!$C$86/100/1000)+(IF(AND(AY28&gt;0,BA28&gt;0),MIN(AY28,BA28),MAX(AY28,BA28))*AR28*Y28^2*1E-4*DATOS!$C$86/100/1000))/2)+BH28-(IF(AND(AY28&gt;0,BA28&gt;0),MIN(AY28,BA28),MAX(AY28,BA28))*AR28*Y28^2*1E-4*DATOS!$C$86/100/1000))^2-16*((BC28*AR28*Y28^2*1E-4*DATOS!$C$86/100/1000)+((MAX(AY28,BA28)*AR28*Y28^2*1E-4*DATOS!$C$86/100/1000)+(IF(AND(AY28&gt;0,BA28&gt;0),MIN(AY28,BA28),MAX(AY28,BA28))*AR28*Y28^2*1E-4*DATOS!$C$86/100/1000))/2)*BH28))))/(8*MAX(((BC28*AR28*Y28^2*1E-4*DATOS!$C$86/100/1000)+((MAX(AY28,BA28)*AR28*Y28^2*1E-4*DATOS!$C$86/100/1000)+(IF(AND(AY28&gt;0,BA28&gt;0),MIN(AY28,BA28),MAX(AY28,BA28))*AR28*Y28^2*1E-4*DATOS!$C$86/100/1000))/2),1E-9))+MAX(BX28,12*INDEX(TABLAS!$C$52:$C$58,MATCH(BV28,TABLAS!$B$52:$B$58,0)),AB28/16),IF(OR(AL28&lt;INDEX(TABLAS!$C$52:$C$58,MATCH(BV28,TABLAS!$B$52:$B$58,0)),AND(BW28&gt;=2,(AD28-2*AL28-BW28*INDEX(TABLAS!$C$52:$C$58,MATCH(BV28,TABLAS!$B$52:$B$58,0)))/MAX(BW28-1,1)&lt;2*INDEX(TABLAS!$C$52:$C$58,MATCH(BV28,TABLAS!$B$52:$B$58,0)))),INDEX(TABLAS!$I$52:$I$58,MATCH(BV28,TABLAS!$B$52:$B$58,0)),INDEX(TABLAS!$F$52:$F$58,MATCH(BV28,TABLAS!$B$52:$B$58,0)))),5))))</f>
        <v/>
      </c>
      <c r="DD28" s="60" t="str">
        <f>IF(V28&lt;&gt;"SÍ","",IF(C28="VOLADO",0,IF(((4*((BD28*AR28*Y28^2*1E-4*DATOS!$C$86/100/1000)+((MAX(AZ28,BB28)*AR28*Y28^2*1E-4*DATOS!$C$86/100/1000)+(IF(AND(AZ28&gt;0,BB28&gt;0),MIN(AZ28,BB28),MAX(AZ28,BB28))*AR28*Y28^2*1E-4*DATOS!$C$86/100/1000))/2)+BJ28-(IF(AND(AZ28&gt;0,BB28&gt;0),MIN(AZ28,BB28),MAX(AZ28,BB28))*AR28*Y28^2*1E-4*DATOS!$C$86/100/1000))^2-16*((BD28*AR28*Y28^2*1E-4*DATOS!$C$86/100/1000)+((MAX(AZ28,BB28)*AR28*Y28^2*1E-4*DATOS!$C$86/100/1000)+(IF(AND(AZ28&gt;0,BB28&gt;0),MIN(AZ28,BB28),MAX(AZ28,BB28))*AR28*Y28^2*1E-4*DATOS!$C$86/100/1000))/2)*BJ28)&lt;0,CEILING(AC28,5),CEILING(MAX(AC28*((4*((BD28*AR28*Y28^2*1E-4*DATOS!$C$86/100/1000)+((MAX(AZ28,BB28)*AR28*Y28^2*1E-4*DATOS!$C$86/100/1000)+(IF(AND(AZ28&gt;0,BB28&gt;0),MIN(AZ28,BB28),MAX(AZ28,BB28))*AR28*Y28^2*1E-4*DATOS!$C$86/100/1000))/2)+BJ28-(IF(AND(AZ28&gt;0,BB28&gt;0),MIN(AZ28,BB28),MAX(AZ28,BB28))*AR28*Y28^2*1E-4*DATOS!$C$86/100/1000))-SQRT(MAX(0,((4*((BD28*AR28*Y28^2*1E-4*DATOS!$C$86/100/1000)+((MAX(AZ28,BB28)*AR28*Y28^2*1E-4*DATOS!$C$86/100/1000)+(IF(AND(AZ28&gt;0,BB28&gt;0),MIN(AZ28,BB28),MAX(AZ28,BB28))*AR28*Y28^2*1E-4*DATOS!$C$86/100/1000))/2)+BJ28-(IF(AND(AZ28&gt;0,BB28&gt;0),MIN(AZ28,BB28),MAX(AZ28,BB28))*AR28*Y28^2*1E-4*DATOS!$C$86/100/1000))^2-16*((BD28*AR28*Y28^2*1E-4*DATOS!$C$86/100/1000)+((MAX(AZ28,BB28)*AR28*Y28^2*1E-4*DATOS!$C$86/100/1000)+(IF(AND(AZ28&gt;0,BB28&gt;0),MIN(AZ28,BB28),MAX(AZ28,BB28))*AR28*Y28^2*1E-4*DATOS!$C$86/100/1000))/2)*BJ28))))/(8*MAX(((BD28*AR28*Y28^2*1E-4*DATOS!$C$86/100/1000)+((MAX(AZ28,BB28)*AR28*Y28^2*1E-4*DATOS!$C$86/100/1000)+(IF(AND(AZ28&gt;0,BB28&gt;0),MIN(AZ28,BB28),MAX(AZ28,BB28))*AR28*Y28^2*1E-4*DATOS!$C$86/100/1000))/2),1E-9))+MAX(CN28,12*INDEX(TABLAS!$C$52:$C$58,MATCH(CL28,TABLAS!$B$52:$B$58,0)),AC28/16),IF(OR(AL28&lt;INDEX(TABLAS!$C$52:$C$58,MATCH(CL28,TABLAS!$B$52:$B$58,0)),AND(CM28&gt;=2,(DATOS!$C$83-2*AL28-CM28*INDEX(TABLAS!$C$52:$C$58,MATCH(CL28,TABLAS!$B$52:$B$58,0)))/MAX(CM28-1,1)&lt;2*INDEX(TABLAS!$C$52:$C$58,MATCH(CL28,TABLAS!$B$52:$B$58,0)))),INDEX(TABLAS!$I$52:$I$58,MATCH(CL28,TABLAS!$B$52:$B$58,0)),INDEX(TABLAS!$F$52:$F$58,MATCH(CL28,TABLAS!$B$52:$B$58,0)))),5))))</f>
        <v/>
      </c>
      <c r="DE28" s="55" t="str">
        <f>IF(V28&lt;&gt;"SÍ","",IF(AND(C28="PERIMETRAL",BW28&gt;=2,AS28-AT28&gt;0,BA28*AR28*Y28^2*1E-4*DATOS!$C$86/100/1000&gt;DATOS!$C$29*INDEX(TABLAS!$D$52:$D$58,MATCH(BV28,TABLAS!$B$52:$B$58,0))*DATOS!$C$14*(BX28-INDEX(TABLAS!$D$52:$D$58,MATCH(BV28,TABLAS!$B$52:$B$58,0))*DATOS!$C$14/(DATOS!$C$21*AF28)/2)/1E5),"SÍ","NO"))</f>
        <v/>
      </c>
      <c r="DF28" s="55" t="str">
        <f>IF(V28&lt;&gt;"SÍ","",IF(AND(C28="PERIMETRAL",CM28&gt;=2,AT28&gt;0,BB28*AR28*Y28^2*1E-4*DATOS!$C$86/100/1000&gt;DATOS!$C$29*INDEX(TABLAS!$D$52:$D$58,MATCH(CL28,TABLAS!$B$52:$B$58,0))*DATOS!$C$14*(CN28-INDEX(TABLAS!$D$52:$D$58,MATCH(CL28,TABLAS!$B$52:$B$58,0))*DATOS!$C$14/(DATOS!$C$21*AG28)/2)/1E5),"SÍ","NO"))</f>
        <v/>
      </c>
      <c r="DG28" s="63" t="str">
        <f>IF(V28&lt;&gt;"SÍ","",IF(OR(C28="VOLADO",AS28=0),"—",IF(AND(AND(1.25*INDEX(TABLAS!$G$52:$G$58,MATCH(MAX(BN28,CD28),TABLAS!$B$52:$B$58,0))&lt;=(DATOS!$C$75-DATOS!$C$63),(DATOS!$C$75-DATOS!$C$63)&gt;=15,INDEX(TABLAS!$G$52:$G$58,MATCH(MAX(BV28,CL28),TABLAS!$B$52:$B$58,0))&lt;=(DATOS!$C$75-DATOS!$C$63)),8*INDEX(TABLAS!$C$52:$C$58,MATCH(MAX(MAX(BN28,CD28),MAX(BV28,CL28)),TABLAS!$B$52:$B$58,0))&lt;=DATOS!$C$76-2*DATOS!$C$63),"CUMPLE (gancho de 180°)",IF(AND(1.25*INDEX(TABLAS!$G$52:$G$58,MATCH(MAX(BN28,CD28),TABLAS!$B$52:$B$58,0))&lt;=(DATOS!$C$75-DATOS!$C$63),(DATOS!$C$75-DATOS!$C$63)&gt;=15,INDEX(TABLAS!$G$52:$G$58,MATCH(MAX(BV28,CL28),TABLAS!$B$52:$B$58,0))&lt;=(DATOS!$C$75-DATOS!$C$63)),"NO CUMPLE: el gancho de 180° (8·d_b) no cabe en el peralte de la dala de borde","NO CUMPLE: dala de borde ≥ "&amp;TEXT(CEILING(MAX(1.25*INDEX(TABLAS!$G$52:$G$58,MATCH(MAX(BN28,CD28),TABLAS!$B$52:$B$58,0)),15,INDEX(TABLAS!$G$52:$G$58,MATCH(MAX(BV28,CL28),TABLAS!$B$52:$B$58,0)))+DATOS!$C$63,5),"0")&amp;" cm de ancho"&amp;IF(8*INDEX(TABLAS!$C$52:$C$58,MATCH(MAX(MAX(BN28,CD28),MAX(BV28,CL28)),TABLAS!$B$52:$B$58,0))&lt;=DATOS!$C$76-2*DATOS!$C$63,""," y más peralte para el gancho")))))</f>
        <v/>
      </c>
      <c r="DH28" s="59" t="str">
        <f>IF(V28&lt;&gt;"SÍ","",MAX(0,INT((E28*100-DATOS!$C$87-IF(AND(C28="PERIMETRAL",I28="DISCONTINUO"),MAX(0,DATOS!$C$75-DATOS!$C$87),0)-IF(AND(C28="PERIMETRAL",J28="DISCONTINUO"),MAX(0,DATOS!$C$75-DATOS!$C$87),0)+DATOS!$C$86-IF(X28="X",DATOS!$C$81,AE28))/DATOS!$C$86)))</f>
        <v/>
      </c>
      <c r="DI28" s="59" t="str">
        <f>IF(V28&lt;&gt;"SÍ","",MAX(0,INT((F28*100-DATOS!$C$87-IF(AND(C28="PERIMETRAL",G28="DISCONTINUO"),MAX(0,DATOS!$C$75-DATOS!$C$87),0)-IF(AND(C28="PERIMETRAL",H28="DISCONTINUO"),MAX(0,DATOS!$C$75-DATOS!$C$87),0)+DATOS!$C$86-IF(X28="Y",DATOS!$C$81,AE28))/DATOS!$C$86)))</f>
        <v/>
      </c>
      <c r="DJ28" s="57" t="str">
        <f>IF(V28&lt;&gt;"SÍ","",IF(DH28&gt;0,IF(AND(C28="PERIMETRAL",I28="DISCONTINUO"),MAX(0,DATOS!$C$75-DATOS!$C$87),0)+(E28*100-DATOS!$C$87-IF(AND(C28="PERIMETRAL",I28="DISCONTINUO"),MAX(0,DATOS!$C$75-DATOS!$C$87),0)-IF(AND(C28="PERIMETRAL",J28="DISCONTINUO"),MAX(0,DATOS!$C$75-DATOS!$C$87),0)-(DH28*IF(X28="X",DATOS!$C$81,AE28)+(DH28-1)*(DATOS!$C$86-IF(X28="X",DATOS!$C$81,AE28))))/2,E28*100/2))</f>
        <v/>
      </c>
      <c r="DK28" s="57" t="str">
        <f>IF(V28&lt;&gt;"SÍ","",IF(DH28&gt;0,IF(AND(C28="PERIMETRAL",J28="DISCONTINUO"),MAX(0,DATOS!$C$75-DATOS!$C$87),0)+(E28*100-DATOS!$C$87-IF(AND(C28="PERIMETRAL",I28="DISCONTINUO"),MAX(0,DATOS!$C$75-DATOS!$C$87),0)-IF(AND(C28="PERIMETRAL",J28="DISCONTINUO"),MAX(0,DATOS!$C$75-DATOS!$C$87),0)-(DH28*IF(X28="X",DATOS!$C$81,AE28)+(DH28-1)*(DATOS!$C$86-IF(X28="X",DATOS!$C$81,AE28))))/2,E28*100/2))</f>
        <v/>
      </c>
      <c r="DL28" s="57" t="str">
        <f>IF(V28&lt;&gt;"SÍ","",IF(DI28&gt;0,IF(AND(C28="PERIMETRAL",G28="DISCONTINUO"),MAX(0,DATOS!$C$75-DATOS!$C$87),0)+(F28*100-DATOS!$C$87-IF(AND(C28="PERIMETRAL",G28="DISCONTINUO"),MAX(0,DATOS!$C$75-DATOS!$C$87),0)-IF(AND(C28="PERIMETRAL",H28="DISCONTINUO"),MAX(0,DATOS!$C$75-DATOS!$C$87),0)-(DI28*IF(X28="Y",DATOS!$C$81,AE28)+(DI28-1)*(DATOS!$C$86-IF(X28="Y",DATOS!$C$81,AE28))))/2,F28*100/2))</f>
        <v/>
      </c>
      <c r="DM28" s="57" t="str">
        <f>IF(V28&lt;&gt;"SÍ","",IF(DI28&gt;0,IF(AND(C28="PERIMETRAL",H28="DISCONTINUO"),MAX(0,DATOS!$C$75-DATOS!$C$87),0)+(F28*100-DATOS!$C$87-IF(AND(C28="PERIMETRAL",G28="DISCONTINUO"),MAX(0,DATOS!$C$75-DATOS!$C$87),0)-IF(AND(C28="PERIMETRAL",H28="DISCONTINUO"),MAX(0,DATOS!$C$75-DATOS!$C$87),0)-(DI28*IF(X28="Y",DATOS!$C$81,AE28)+(DI28-1)*(DATOS!$C$86-IF(X28="Y",DATOS!$C$81,AE28))))/2,F28*100/2))</f>
        <v/>
      </c>
      <c r="DN28" s="59" t="str">
        <f>IF(V28&lt;&gt;"SÍ","",IF(NOT(AND(C28="VOLADO",AD28&gt;DATOS!$C$83)),0,IF(INDEX(TABLAS!$C$52:$C$58,MATCH(BV28,TABLAS!$B$52:$B$58,0))&lt;=DATOS!$C$83-2*DATOS!$C$63,1,0)))</f>
        <v/>
      </c>
      <c r="DO28" s="58" t="str">
        <f>IF(V28&lt;&gt;"SÍ","",IF(NOT(AND(C28="VOLADO",AD28&gt;DATOS!$C$83)),0,((DATOS!$C$85-MAX(DATOS!$C$63,(DATOS!$C$84-2*DATOS!$C$97)/2)-2*DATOS!$C$97-INDEX(TABLAS!$C$52:$C$58,MATCH(MAX(4,DATOS!$C$72),TABLAS!$B$52:$B$58,0))-INDEX(TABLAS!$C$52:$C$58,MATCH(BV28,TABLAS!$B$52:$B$58,0))/2)-IF(AND((DATOS!$C$85-MAX(DATOS!$C$63,(DATOS!$C$84-2*DATOS!$C$97)/2)-2*DATOS!$C$97-INDEX(TABLAS!$C$52:$C$58,MATCH(MAX(4,DATOS!$C$72),TABLAS!$B$52:$B$58,0))-INDEX(TABLAS!$C$52:$C$58,MATCH(BV28,TABLAS!$B$52:$B$58,0))/2)&lt;=20,DATOS!$C$65&lt;&gt;"SÍ"),2,0))))</f>
        <v/>
      </c>
      <c r="DP28" s="56" t="str">
        <f>IF(V28&lt;&gt;"SÍ","",IF(OR(NOT(AND(C28="VOLADO",AD28&gt;DATOS!$C$83)),DN28&lt;1),0,IF(0.003*(DO28-((DN28*INDEX(TABLAS!$D$52:$D$58,MATCH(BV28,TABLAS!$B$52:$B$58,0)))*DATOS!$C$14/(DATOS!$C$21*AG28)/DATOS!$C$22))/((DN28*INDEX(TABLAS!$D$52:$D$58,MATCH(BV28,TABLAS!$B$52:$B$58,0)))*DATOS!$C$14/(DATOS!$C$21*AG28)/DATOS!$C$22)&lt;0.005,0,DATOS!$C$29*(DN28*INDEX(TABLAS!$D$52:$D$58,MATCH(BV28,TABLAS!$B$52:$B$58,0)))*DATOS!$C$14*(DO28-(DN28*INDEX(TABLAS!$D$52:$D$58,MATCH(BV28,TABLAS!$B$52:$B$58,0)))*DATOS!$C$14/(DATOS!$C$21*AG28)/2)/1E5)))</f>
        <v/>
      </c>
      <c r="DQ28" s="56" t="str">
        <f>IF(V28&lt;&gt;"SÍ","",IF(OR(NOT(AND(C28="VOLADO",AD28&gt;DATOS!$C$83)),DN28&lt;1),0,DATOS!$C$30*2*MIN(1,SQRT(2/(1+0.04*DO28)))*((DN28*INDEX(TABLAS!$D$52:$D$58,MATCH(BV28,TABLAS!$B$52:$B$58,0)))/(AG28*DO28))^(1/3)*SQRT(DATOS!$C$13)*AG28*DO28/1000))</f>
        <v/>
      </c>
      <c r="DR28" s="56" t="str">
        <f>IF(V28&lt;&gt;"SÍ","",IF(NOT(AND(C28="VOLADO",AD28&gt;DATOS!$C$83)),0,IF((BH28-DP28)&lt;=0,0,IF(DP28&lt;=0,IF(ISNUMBER(P28),P28,Y28),IF(((0.9*DATOS!$C$90*DATOS!$C$86/100/1000)*IF(ISNUMBER(P28),P28,Y28)/2+BH28/IF(ISNUMBER(P28),P28,Y28))^2-4*((0.9*DATOS!$C$90*DATOS!$C$86/100/1000)/2)*(BH28-DP28)&lt;0,IF(ISNUMBER(P28),P28,Y28),MIN(IF(ISNUMBER(P28),P28,Y28),(((0.9*DATOS!$C$90*DATOS!$C$86/100/1000)*IF(ISNUMBER(P28),P28,Y28)/2+BH28/IF(ISNUMBER(P28),P28,Y28))-SQRT(((0.9*DATOS!$C$90*DATOS!$C$86/100/1000)*IF(ISNUMBER(P28),P28,Y28)/2+BH28/IF(ISNUMBER(P28),P28,Y28))^2-4*((0.9*DATOS!$C$90*DATOS!$C$86/100/1000)/2)*(BH28-DP28)))/(2*((0.9*DATOS!$C$90*DATOS!$C$86/100/1000)/2))))))))</f>
        <v/>
      </c>
      <c r="DS28" s="56" t="str">
        <f>IF(V28&lt;&gt;"SÍ","",IF(NOT(AND(C28="VOLADO",AD28&gt;DATOS!$C$83)),0,IF(DQ28&lt;=(BH28/((IF(ISNUMBER(P28),P28,Y28)*100-DATOS!$C$87)/100)),IF(ISNUMBER(P28),P28,Y28),MIN(IF(ISNUMBER(P28),P28,Y28),MAX(0,(IF(ISNUMBER(P28),P28,Y28)*100-DATOS!$C$87)/200-(DQ28-(BH28/((IF(ISNUMBER(P28),P28,Y28)*100-DATOS!$C$87)/100)))/((0.95-0.5*IF(N(Q28)&gt;0,MIN(IF(ISNUMBER(P28),P28,Y28),Q28)/MAX(IF(ISNUMBER(P28),P28,Y28),Q28),0))*DATOS!$C$33*AR28*DATOS!$C$86/100/1000))))))</f>
        <v/>
      </c>
      <c r="DT28" s="56" t="str">
        <f>IF(V28&lt;&gt;"SÍ","",IF(NOT(AND(C28="VOLADO",AD28&gt;DATOS!$C$83)),0,(BH28/((IF(ISNUMBER(P28),P28,Y28)*100-DATOS!$C$87)/100))+((0.95-0.5*IF(N(Q28)&gt;0,MIN(IF(ISNUMBER(P28),P28,Y28),Q28)/MAX(IF(ISNUMBER(P28),P28,Y28),Q28),0))*DATOS!$C$33*AR28*DATOS!$C$86/100/1000)*MAX(0,(IF(ISNUMBER(P28),P28,Y28)*100-DATOS!$C$87)/200-BX28/100)))</f>
        <v/>
      </c>
      <c r="DU28" s="59" t="str">
        <f>IF(V28&lt;&gt;"SÍ","",IF(NOT(AND(C28="VOLADO",AD28&gt;DATOS!$C$83)),0,MIN(FLOOR(100*IF(ISNUMBER(P28),P28,Y28)-DATOS!$C$63,5),CEILING(100*MIN(IF(ISNUMBER(P28),P28,Y28),MAX(IF(DR28&gt;0,DR28+IF(BW28&gt;=2,MAX(DO28,12*INDEX(TABLAS!$C$52:$C$58,MATCH(BV28,TABLAS!$B$52:$B$58,0)))/100,0),0),DS28,IF(BW28&gt;=2,INDEX(TABLAS!$F$52:$F$58,MATCH(BV28,TABLAS!$B$52:$B$58,0))/100,0))),5))))</f>
        <v/>
      </c>
      <c r="DV28" s="60" t="str">
        <f>IF(V28&lt;&gt;"SÍ","",IF(NOT(AND(C28="VOLADO",AD28&gt;DATOS!$C$83)),0,IF(DU28&lt;=0,0,CEILING(DU28/DATOS!$C$86,1))))</f>
        <v/>
      </c>
      <c r="DW28" s="61" t="str">
        <f>IF(V28&lt;&gt;"SÍ","",IF(C28&lt;&gt;"VOLADO","—",IF(AD28&lt;=DATOS!$C$83,"— (mismo b_w que el respaldo)",IF(DT28&gt;CS28,"NO CUMPLE: cortante de la nervadura ancha junto al apoyo ("&amp;TEXT(DT28,"0.00")&amp;" &gt; "&amp;TEXT(CS28,"0.00")&amp;" t)",IF(DU28&gt;=100*IF(ISNUMBER(P28),P28,Y28),"CUMPLE — todas las nervaduras del respaldo ‖ al volado con b_w = "&amp;AD28&amp;" cm","CUMPLE — "&amp;DV28&amp;" hilera(s) del respaldo con nervaduras de b_w = "&amp;AD28&amp;" cm (casetón "&amp;AE28&amp;" cm), hasta "&amp;TEXT(DU28/100,"0.00")&amp;" m del paño")))))</f>
        <v/>
      </c>
      <c r="DX28" s="69" t="str">
        <f>IF(V28&lt;&gt;"SÍ","",IF(BO28=0,"NO ALCANZA",BO28&amp;" No. "&amp;BN28&amp;IF(BO28&gt;1," corridas"," corrida")))</f>
        <v/>
      </c>
      <c r="DY28" s="69" t="str">
        <f>IF(V28&lt;&gt;"SÍ","",IF(BW28=0,"NO ALCANZA",IF(AND(C28="VOLADO",AD28&gt;DATOS!$C$83,BW28&gt;=2),"1 No. "&amp;BV28&amp;" corrida de la orilla al respaldo ("&amp;IF(DC28&gt;=FLOOR(100*IF(ISNUMBER(P28),P28,Y28)-DATOS!$C$63,5),"hasta su apoyo lejano, con gancho","entra "&amp;TEXT(DC28/100,"0.00")&amp;" m desde el paño")&amp;") + "&amp;(BW28-1)&amp;" bastón No. "&amp;BV28&amp;" hasta "&amp;TEXT(DU28/100,"0.00")&amp;" m del paño (fin de la nervadura ancha)",IF(C28="VOLADO",BW28&amp;" No. "&amp;BV28&amp;" de la orilla al respaldo ("&amp;IF(DC28&gt;=FLOOR(100*IF(ISNUMBER(P28),P28,Y28)-DATOS!$C$63,5),"hasta su apoyo lejano, con gancho","entran "&amp;TEXT(DC28/100,"0.00")&amp;" m desde el paño")&amp;")","1 No. "&amp;BV28&amp;" corrida"&amp;IF(BW28&gt;1," + "&amp;(BW28-1)&amp;" bastón No. "&amp;BV28&amp;" L = "&amp;TEXT(DC28/100,"0.00")&amp;" m desde el paño","")))))</f>
        <v/>
      </c>
      <c r="DZ28" s="69" t="str">
        <f>IF(V28&lt;&gt;"SÍ","",IF(CE28=0,"NO ALCANZA",CE28&amp;" No. "&amp;CD28&amp;IF(CE28&gt;1," corridas"," corrida")))</f>
        <v/>
      </c>
      <c r="EA28" s="69" t="str">
        <f>IF(V28&lt;&gt;"SÍ","",IF(CM28=0,"NO ALCANZA",IF(C28="VOLADO","1 No. "&amp;CL28&amp;" corrida (repartición)","1 No. "&amp;CL28&amp;" corrida"&amp;IF(CM28&gt;1," + "&amp;(CM28-1)&amp;" bastón No. "&amp;CL28&amp;" L = "&amp;TEXT(DD28/100,"0.00")&amp;" m desde el paño",""))))</f>
        <v/>
      </c>
      <c r="EB28" s="67" t="str">
        <f>IF(B28="","",IF(V28&lt;&gt;"SÍ","FALTAN DATOS: tipo, a_x, a_y, destino y, en volados, L_b",IF(L28="NO MONOLÍTICO (caso II)","FUERA DE ALCANCE: caso II no transcrito",IF(AND(C28="VOLADO",W28="?"),"REVISAR: el volado lleva UN solo borde CONTINUO (el empotrado)",IF(MIN(DH28,DI28)=0,"REVISAR: no cabe un casetón (tablero macizo): diséñalo en MACIZAS",IF(AND(MAX(BR28,BZ28,CH28,CP28)&lt;=1,NOT(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T(OR(AND(ISNUMBER(BS28),BS28&lt;0.005),AND(ISNUMBER(CA28),CA28&lt;0.005),AND(ISNUMBER(CI28),CI28&lt;0.005),AND(ISNUMBER(CQ28),CQ28&lt;0.005))),NOT(LEFT(DW28,2)="NO"),DA28="CUMPLE",DB28="CUMPLE",LEFT(CU28,2)&lt;&gt;"NO",LEFT(DATOS!$C$132,6)="CUMPLE"),IF(LEFT(CU28,6)="CUMPLE","CUMPLE","CUMPLE — "&amp;CU28)&amp;IF(LEFT(BK28,5)="FUERA"," · fuera de 3.4.2.1 c)","")&amp;IF(LEFT(DG28,2)="NO"," · REVISAR anclaje en borde discontinuo","")&amp;IF(DV28&gt;0," · respaldo: "&amp;DV28&amp;" hilera(s) de b_w "&amp;AD28&amp;" cm",""),IF(AND(MAX(BR28,BZ28,CH28,CP28)&lt;=1,NOT(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T(OR(AND(ISNUMBER(BS28),BS28&lt;0.005),AND(ISNUMBER(CA28),CA28&lt;0.005),AND(ISNUMBER(CI28),CI28&lt;0.005),AND(ISNUMBER(CQ28),CQ28&lt;0.005))),NOT(LEFT(DW28,2)="NO"),DA28="CALCULAR FLECHA",LEFT(CU28,2)&lt;&gt;"NO",LEFT(DATOS!$C$132,6)="CUMPLE"),"REVISAR: calcular flecha (h_eq &lt; h mín.)"&amp;IF(LEFT(BK28,5)="FUERA"," · fuera de 3.4.2.1 c)","")&amp;IF(LEFT(DG28,2)="NO"," · REVISAR anclaje en borde discontinuo","")&amp;IF(DV28&gt;0," · respaldo: "&amp;DV28&amp;" hilera(s) de b_w "&amp;AD28&amp;" cm",""),"NO CUMPLE: "&amp;IF(MAX(BR28,BZ28,CH28,CP28)&gt;1,"flexión ","")&amp;IF(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 caben ","")&amp;IF(OR(AND(ISNUMBER(BS28),BS28&lt;0.005),AND(ISNUMBER(CA28),CA28&lt;0.005),AND(ISNUMBER(CI28),CI28&lt;0.005),AND(ISNUMBER(CQ28),CQ28&lt;0.005)),"ε_t &lt; 0.005 ","")&amp;IF(LEFT(CU28,2)="NO","cortante ","")&amp;IF(DA28="NO CUMPLE","peralte ","")&amp;IF(DB28&lt;&gt;"CUMPLE","capa &lt; 6 cm ","")&amp;IF(LEFT(DATOS!$C$132,6)&lt;&gt;"CUMPLE","capa o malla (DATOS sección 7) ","")&amp;IF(LEFT(DW28,2)="NO","respaldo del volado",""))))))))</f>
        <v/>
      </c>
      <c r="EC28" s="70" t="str">
        <f>IF(V28&lt;&gt;"SÍ","",IF(LEFT(B28,7)="EJEMPLO","EJEMPLO de la hoja de Casa Rocha: bórralo o sobrescríbelo. ","")&amp;IF(AND(C28="PERIMETRAL",MIN(DH28,DI28)=0),"No cabe un casetón en el claro corto: es un tablero macizo, diséñalo en MACIZAS. ","")&amp;IF(AND(AJ28="NO",C28="PERIMETRAL"),"No cumple 6.7.8.1.4 (a_c = "&amp;MAX(DATOS!$C$81,AE28)&amp;" cm &gt; claro corto/6 = "&amp;TEXT(Y28*100/6,"0")&amp;" cm): se diseña como losa apoyada en vigas (6.7.8.1.9): r de viga = "&amp;DATOS!$C$63&amp;" cm y V_cR sin ×1.1. Para que cuente como encasetonada: casetón de "&amp;TEXT(FLOOR(MIN(80,Y28*100/6),1),"0")&amp;" cm o menor. ","")&amp;IF(C28="VOLADO","Volado de "&amp;TEXT(Y28,"0.00")&amp;" m empotrado en el borde "&amp;LOWER(W28)&amp;IF(N(O28)&gt;0,", con "&amp;TEXT(O28,"0.0")&amp;" kg/m en la orilla","")&amp;". Lecho inferior con r_ext. Si la orilla carga pretil u otro elemento frágil, calcula la flecha (13.4). El acero superior entra al respaldo de "&amp;TEXT(IF(ISNUMBER(P28),P28,Y28),"0.00")&amp;" m"&amp;" hasta pasar M = 0 con 0.9·PP sin carga viva; si ahí no se anula, llega al apoyo lejano y se ancla con gancho (NTC-Criterios 3.4.1 c y 5.1.2.2). "&amp;IF(AD28&gt;DATOS!$C$83,"Respaldo: "&amp;DW28&amp;". ",""),"")&amp;IF(AND(C28="VOLADO",((0.9*DATOS!$C$90*DATOS!$C$86/100/1000)*IF(ISNUMBER(P28),P28,Y28)/2-BH28/IF(ISNUMBER(P28),P28,Y28))&lt;0),"Con 0.9·PP y sin carga viva el apoyo lejano del respaldo levanta (R = "&amp;TEXT(-((0.9*DATOS!$C$90*DATOS!$C$86/100/1000)*IF(ISNUMBER(P28),P28,Y28)/2-BH28/IF(ISNUMBER(P28),P28,Y28)),"0.00")&amp;" t por nervadura): ancla ahí la corrida con gancho y revisa ese apoyo a tensión. ","")&amp;IF(LEFT(BK28,5)="FUERA","El M⁻ del vecino difiere más de 50 % (3.4.2.1 c): distribuye el desequilibrio (3.4.3.1) o confirma con un modelo; se arma con el mayor. ","")&amp;IF(OR(DE28="SÍ",DF28="SÍ"),"El M⁻ del borde discontinuo pide bastón también ahí (con gancho). ","")&amp;IF(LEFT(DG28,2)="NO","Anclaje: "&amp;DG28&amp;" (6.7.8.1.7). ","")&amp;IF(AND(C28="PERIMETRAL",AT28&gt;=1,AS28-AT28&gt;=1),"Esquinas exteriores sobre muro: refuerzo de esquina arriba y abajo en L_largo/5 (6.7.7.3.1). ",""))</f>
        <v/>
      </c>
    </row>
    <row r="29" ht="33" customHeight="1">
      <c r="A29" s="50">
        <f>IF(B29="",0,1)+A28</f>
        <v>4</v>
      </c>
      <c r="B29" s="29" t="n"/>
      <c r="C29" s="51" t="n"/>
      <c r="D29" s="29" t="n"/>
      <c r="E29" s="52" t="n"/>
      <c r="F29" s="52" t="n"/>
      <c r="G29" s="51" t="n"/>
      <c r="H29" s="51" t="n"/>
      <c r="I29" s="51" t="n"/>
      <c r="J29" s="51" t="n"/>
      <c r="K29" s="51" t="n"/>
      <c r="L29" s="51" t="n"/>
      <c r="M29" s="53" t="n"/>
      <c r="N29" s="53" t="n"/>
      <c r="O29" s="54" t="n"/>
      <c r="P29" s="52" t="n"/>
      <c r="Q29" s="52" t="n"/>
      <c r="R29" s="53" t="n"/>
      <c r="S29" s="54" t="n"/>
      <c r="T29" s="52" t="n"/>
      <c r="U29" s="52" t="n"/>
      <c r="V29" s="55" t="str">
        <f>IF(B29="","",IF(AND(OR(C29="PERIMETRAL",C29="VOLADO"),ISNUMBER(E29),ISNUMBER(F29),E29&gt;0,F29&gt;0,OR(ISNUMBER(N29),ISNUMBER(MATCH(D29,DATOS!$B$46:$B$58,0))),OR(C29&lt;&gt;"VOLADO",N(P29)&gt;0)),"SÍ","NO"))</f>
        <v/>
      </c>
      <c r="W29" s="55" t="str">
        <f>IF(V29&lt;&gt;"SÍ","",IF(C29&lt;&gt;"VOLADO","—",IF(COUNTIF(G29:J29,"CONTINUO")&lt;&gt;1,"?",IF(G29="CONTINUO","INFERIOR",IF(H29="CONTINUO","SUPERIOR",IF(I29="CONTINUO","IZQUIERDO","DERECHO"))))))</f>
        <v/>
      </c>
      <c r="X29" s="55" t="str">
        <f>IF(V29&lt;&gt;"SÍ","",IF(C29="VOLADO",IF(OR(W29="IZQUIERDO",W29="DERECHO"),"X","Y"),IF(E29&lt;=F29,"X","Y")))</f>
        <v/>
      </c>
      <c r="Y29" s="56" t="str">
        <f>IF(V29&lt;&gt;"SÍ","",IF(C29="VOLADO",IF(X29="X",E29,F29),MIN(E29,F29)))</f>
        <v/>
      </c>
      <c r="Z29" s="56" t="str">
        <f>IF(V29&lt;&gt;"SÍ","",IF(C29="VOLADO",IF(X29="X",F29,E29),MAX(E29,F29)))</f>
        <v/>
      </c>
      <c r="AA29" s="56" t="str">
        <f>IF(V29&lt;&gt;"SÍ","",MIN(Y29,Z29)/MAX(Y29,Z29))</f>
        <v/>
      </c>
      <c r="AB29" s="57" t="str">
        <f>IF(V29&lt;&gt;"SÍ","",MAX(1,Y29*100-IF(C29="VOLADO",DATOS!$C$87/2,DATOS!$C$87)))</f>
        <v/>
      </c>
      <c r="AC29" s="57" t="str">
        <f>IF(V29&lt;&gt;"SÍ","",MAX(1,Z29*100-DATOS!$C$87))</f>
        <v/>
      </c>
      <c r="AD29" s="57" t="str">
        <f>IF(V29&lt;&gt;"SÍ","",IF(ISNUMBER(R29),R29,DATOS!$C$83))</f>
        <v/>
      </c>
      <c r="AE29" s="57" t="str">
        <f>IF(V29&lt;&gt;"SÍ","",MAX(0,DATOS!$C$86-AD29))</f>
        <v/>
      </c>
      <c r="AF29" s="57" t="str">
        <f>IF(V29&lt;&gt;"SÍ","",IF(OR(DATOS!$C$65="SÍ",AD29&gt;=20),AD29,AD29-2))</f>
        <v/>
      </c>
      <c r="AG29" s="57" t="str">
        <f>IF(V29&lt;&gt;"SÍ","",IF(OR(DATOS!$C$65="SÍ",DATOS!$C$83&gt;=20),DATOS!$C$83,DATOS!$C$83-2))</f>
        <v/>
      </c>
      <c r="AH29" s="57" t="str">
        <f>IF(V29&lt;&gt;"SÍ","",MIN(DATOS!$C$86,AD29+2*MIN(8*DATOS!$C$84,AE29/2,AB29/8)))</f>
        <v/>
      </c>
      <c r="AI29" s="57" t="str">
        <f>IF(V29&lt;&gt;"SÍ","",MIN(DATOS!$C$86,DATOS!$C$83+2*MIN(8*DATOS!$C$84,DATOS!$C$81/2,AC29/8)))</f>
        <v/>
      </c>
      <c r="AJ29" s="55" t="str">
        <f>IF(V29&lt;&gt;"SÍ","",IF(AND(C29="PERIMETRAL",Y29*100&gt;=6*MAX(DATOS!$C$81,AE29),MAX(DATOS!$C$81,AE29)&lt;=80,MIN(DATOS!$C$83,AD29)&gt;=10,DATOS!$C$85&lt;=3.5*MIN(DATOS!$C$83,AD29),DATOS!$C$84&gt;=MAX(MAX(DATOS!$C$81,AE29)/13,5)),"SÍ","NO"))</f>
        <v/>
      </c>
      <c r="AK29" s="57" t="str">
        <f>IF(V29&lt;&gt;"SÍ","",IF(C29="VOLADO",DATOS!$C$64,IF(AJ29="NO",DATOS!$C$63,DATOS!$C$62)))</f>
        <v/>
      </c>
      <c r="AL29" s="57" t="str">
        <f>IF(V29&lt;&gt;"SÍ","",IF(OR(AND(AN29="SÍ",DATOS!$C$66="SÍ"),AND(C29="VOLADO",DATOS!$C$67="SÍ")),DATOS!$C$64,IF(AJ29="NO",DATOS!$C$63,DATOS!$C$62)))</f>
        <v/>
      </c>
      <c r="AM29" s="58" t="str">
        <f>IF(V29&lt;&gt;"SÍ","",MAX(AL29,(DATOS!$C$84-2*DATOS!$C$97)/2))</f>
        <v/>
      </c>
      <c r="AN29" s="55" t="str">
        <f>IF(V29&lt;&gt;"SÍ","",IFERROR(INDEX(DATOS!$D$46:$D$58,MATCH(D29,DATOS!$B$46:$B$58,0)),"NO"))</f>
        <v/>
      </c>
      <c r="AO29" s="59" t="str">
        <f>IF(V29&lt;&gt;"SÍ","",IF(ISNUMBER(N29),N29,IFERROR(INDEX(DATOS!$C$46:$C$58,MATCH(D29,DATOS!$B$46:$B$58,0)),0)))</f>
        <v/>
      </c>
      <c r="AP29" s="59" t="str">
        <f>IF(V29&lt;&gt;"SÍ","",IF(MIN(DH29,DI29)=0,DATOS!$C$85/100*DATOS!$C$16*1000,(DATOS!$C$85/100-(AE29*DATOS!$C$81/DATOS!$C$86^2)*DATOS!$C$82/100)*DATOS!$C$16*1000+(AE29*DATOS!$C$81/DATOS!$C$86^2)*DATOS!$C$82/100*DATOS!$C$17*1000)+DATOS!$C$37+DATOS!$C$38)</f>
        <v/>
      </c>
      <c r="AQ29" s="59" t="str">
        <f>IF(V29&lt;&gt;"SÍ","",AP29+N(M29))</f>
        <v/>
      </c>
      <c r="AR29" s="60" t="str">
        <f>IF(V29&lt;&gt;"SÍ","",MAX(DATOS!$C$26*AQ29+DATOS!$C$27*AO29,IF(AN29="SÍ",DATOS!$C$28*(AQ29+DATOS!$C$41),0)))</f>
        <v/>
      </c>
      <c r="AS29" s="59" t="str">
        <f>IF(V29&lt;&gt;"SÍ","",(G29="DISCONTINUO")+(H29="DISCONTINUO")+(I29="DISCONTINUO")+(J29="DISCONTINUO"))</f>
        <v/>
      </c>
      <c r="AT29" s="59" t="str">
        <f>IF(V29&lt;&gt;"SÍ","",IF(X29="X",(G29="DISCONTINUO")+(H29="DISCONTINUO"),(I29="DISCONTINUO")+(J29="DISCONTINUO")))</f>
        <v/>
      </c>
      <c r="AU29" s="55" t="str">
        <f>IF(V29&lt;&gt;"SÍ","",IF(AS29=0,"INTERIOR",IF(AS29=1,IF(AT29=1,"BORDE-CORTO","BORDE-LARGO"),IF(AS29=2,IF(AT29=1,"ESQUINA",IF(AT29=2,"EXTREMO-LARGO","EXTREMO-CORTO")),IF(AS29=3,IF(AT29=2,"EXTREMO-LARGO","EXTREMO-CORTO"),"AISLADO")))))</f>
        <v/>
      </c>
      <c r="AV29" s="61" t="str">
        <f>IF(V29&lt;&gt;"SÍ","",IF(OR(K29="",K29="AUTO"),AU29,K29))</f>
        <v/>
      </c>
      <c r="AW29" s="59" t="str">
        <f>IF(V29&lt;&gt;"SÍ","",MATCH(AA29,TABLAS!$D$5:$J$5,1))</f>
        <v/>
      </c>
      <c r="AX29" s="58" t="str">
        <f>IF(V29&lt;&gt;"SÍ","",IF(AW29&gt;=7,0,(AA29-INDEX(TABLAS!$D$5:$J$5,AW29))/(INDEX(TABLAS!$D$5:$J$5,AW29+1)-INDEX(TABLAS!$D$5:$J$5,AW29))))</f>
        <v/>
      </c>
      <c r="AY29" s="59" t="str">
        <f>IF(V29&lt;&gt;"SÍ","",INDEX(TABLAS!$D$6:$J$47,MATCH(AV29&amp;"|NIC",TABLAS!$B$6:$B$47,0),AW29)+AX29*(INDEX(TABLAS!$D$6:$J$47,MATCH(AV29&amp;"|NIC",TABLAS!$B$6:$B$47,0),MIN(AW29+1,7))-INDEX(TABLAS!$D$6:$J$47,MATCH(AV29&amp;"|NIC",TABLAS!$B$6:$B$47,0),AW29)))</f>
        <v/>
      </c>
      <c r="AZ29" s="59" t="str">
        <f>IF(V29&lt;&gt;"SÍ","",INDEX(TABLAS!$D$6:$J$47,MATCH(AV29&amp;"|NIL",TABLAS!$B$6:$B$47,0),AW29)+AX29*(INDEX(TABLAS!$D$6:$J$47,MATCH(AV29&amp;"|NIL",TABLAS!$B$6:$B$47,0),MIN(AW29+1,7))-INDEX(TABLAS!$D$6:$J$47,MATCH(AV29&amp;"|NIL",TABLAS!$B$6:$B$47,0),AW29)))</f>
        <v/>
      </c>
      <c r="BA29" s="59" t="str">
        <f>IF(V29&lt;&gt;"SÍ","",INDEX(TABLAS!$D$6:$J$47,MATCH(AV29&amp;"|NDC",TABLAS!$B$6:$B$47,0),AW29)+AX29*(INDEX(TABLAS!$D$6:$J$47,MATCH(AV29&amp;"|NDC",TABLAS!$B$6:$B$47,0),MIN(AW29+1,7))-INDEX(TABLAS!$D$6:$J$47,MATCH(AV29&amp;"|NDC",TABLAS!$B$6:$B$47,0),AW29)))</f>
        <v/>
      </c>
      <c r="BB29" s="59" t="str">
        <f>IF(V29&lt;&gt;"SÍ","",INDEX(TABLAS!$D$6:$J$47,MATCH(AV29&amp;"|NDL",TABLAS!$B$6:$B$47,0),AW29)+AX29*(INDEX(TABLAS!$D$6:$J$47,MATCH(AV29&amp;"|NDL",TABLAS!$B$6:$B$47,0),MIN(AW29+1,7))-INDEX(TABLAS!$D$6:$J$47,MATCH(AV29&amp;"|NDL",TABLAS!$B$6:$B$47,0),AW29)))</f>
        <v/>
      </c>
      <c r="BC29" s="59" t="str">
        <f>IF(V29&lt;&gt;"SÍ","",INDEX(TABLAS!$D$6:$J$47,MATCH(AV29&amp;"|PC",TABLAS!$B$6:$B$47,0),AW29)+AX29*(INDEX(TABLAS!$D$6:$J$47,MATCH(AV29&amp;"|PC",TABLAS!$B$6:$B$47,0),MIN(AW29+1,7))-INDEX(TABLAS!$D$6:$J$47,MATCH(AV29&amp;"|PC",TABLAS!$B$6:$B$47,0),AW29)))</f>
        <v/>
      </c>
      <c r="BD29" s="59" t="str">
        <f>IF(V29&lt;&gt;"SÍ","",INDEX(TABLAS!$D$6:$J$47,MATCH(AV29&amp;"|PL",TABLAS!$B$6:$B$47,0),AW29)+AX29*(INDEX(TABLAS!$D$6:$J$47,MATCH(AV29&amp;"|PL",TABLAS!$B$6:$B$47,0),MIN(AW29+1,7))-INDEX(TABLAS!$D$6:$J$47,MATCH(AV29&amp;"|PL",TABLAS!$B$6:$B$47,0),AW29)))</f>
        <v/>
      </c>
      <c r="BE29" s="56" t="str">
        <f>IF(V29&lt;&gt;"SÍ","",IF(OR(C29&lt;&gt;"VOLADO",MIN(DH29,DI29)=0),0,DATOS!$C$26*DATOS!$C$16*DATOS!$C$86/100*(((AE29*DATOS!$C$81/DATOS!$C$86^2)*DATOS!$C$82/100)*(IF(X29="X",DJ29,DL29)+DATOS!$C$87/2)/100*(AB29-(IF(X29="X",DJ29,DL29)+DATOS!$C$87/2)/2)/100+((AE29*DATOS!$C$81/DATOS!$C$86^2)*DATOS!$C$82/100)*IF(X29="X",DJ29,DL29)/100*IF(X29="X",DJ29,DL29)/200)))</f>
        <v/>
      </c>
      <c r="BF29" s="56" t="str">
        <f>IF(V29&lt;&gt;"SÍ","",IF(OR(C29&lt;&gt;"VOLADO",MIN(DH29,DI29)=0),0,DATOS!$C$26*DATOS!$C$16*DATOS!$C$86/100*((AE29*DATOS!$C$81/DATOS!$C$86^2)*DATOS!$C$82/100)*(IF(X29="X",DJ29,DL29)+DATOS!$C$87/2)/100))</f>
        <v/>
      </c>
      <c r="BG29" s="56" t="str">
        <f>IF(V29&lt;&gt;"SÍ","",IF(C29="PERIMETRAL",BC29*AR29*Y29^2*1E-4*DATOS!$C$86/100/1000,0))</f>
        <v/>
      </c>
      <c r="BH29" s="62" t="str">
        <f>IF(V29&lt;&gt;"SÍ","",IF(C29="PERIMETRAL",MAX(MAX(AY29,BA29)*AR29*Y29^2*1E-4*DATOS!$C$86/100/1000,N(T29)),(AR29*(AB29/100)^2/2+DATOS!$C$26*N(O29)*AB29/100)*DATOS!$C$86/100/1000+BE29))</f>
        <v/>
      </c>
      <c r="BI29" s="56" t="str">
        <f>IF(V29&lt;&gt;"SÍ","",IF(C29="PERIMETRAL",BD29*AR29*Y29^2*1E-4*DATOS!$C$86/100/1000,0))</f>
        <v/>
      </c>
      <c r="BJ29" s="56" t="str">
        <f>IF(V29&lt;&gt;"SÍ","",IF(C29="PERIMETRAL",MAX(MAX(AZ29,BB29)*AR29*Y29^2*1E-4*DATOS!$C$86/100/1000,N(U29)),0))</f>
        <v/>
      </c>
      <c r="BK29" s="63" t="str">
        <f>IF(V29&lt;&gt;"SÍ","",IF(C29&lt;&gt;"PERIMETRAL","—",IF(AND(N(T29)=0,N(U29)=0),"— (sin M⁻ del vecino)",IF(OR(AND(N(T29)&gt;0,ABS(MAX(AY29,BA29)*AR29*Y29^2*1E-4*DATOS!$C$86/100/1000-N(T29))&gt;0.5*MIN(MAX(AY29,BA29)*AR29*Y29^2*1E-4*DATOS!$C$86/100/1000,N(T29))),AND(N(U29)&gt;0,ABS(MAX(AZ29,BB29)*AR29*Y29^2*1E-4*DATOS!$C$86/100/1000-N(U29))&gt;0.5*MIN(MAX(AZ29,BB29)*AR29*Y29^2*1E-4*DATOS!$C$86/100/1000,N(U29)))),"FUERA: difieren &gt; 50 %"&amp;IF(AND(N(T29)&gt;0,ABS(MAX(AY29,BA29)*AR29*Y29^2*1E-4*DATOS!$C$86/100/1000-N(T29))&gt;0.5*MIN(MAX(AY29,BA29)*AR29*Y29^2*1E-4*DATOS!$C$86/100/1000,N(T29)))," ‖ corto","")&amp;IF(AND(N(U29)&gt;0,ABS(MAX(AZ29,BB29)*AR29*Y29^2*1E-4*DATOS!$C$86/100/1000-N(U29))&gt;0.5*MIN(MAX(AZ29,BB29)*AR29*Y29^2*1E-4*DATOS!$C$86/100/1000,N(U29)))," ‖ largo",""),"CUMPLE"))))</f>
        <v/>
      </c>
      <c r="BL29" s="58" t="str">
        <f>IF(V29&lt;&gt;"SÍ","",(DATOS!$C$85-AK29-INDEX(TABLAS!$C$52:$C$58,MATCH(MAX(4,DATOS!$C$71),TABLAS!$B$52:$B$58,0))/2))</f>
        <v/>
      </c>
      <c r="BM29" s="58" t="str">
        <f>IF(V29&lt;&gt;"SÍ","",IF(IF(BG29&lt;=0,0,IF((1-2*BG29*1E5/(DATOS!$C$29*AH29*BL29^2*DATOS!$C$21))&lt;0,-1,IF((1-SQRT((1-2*BG29*1E5/(DATOS!$C$29*AH29*BL29^2*DATOS!$C$21))))*DATOS!$C$21*AH29*BL29/DATOS!$C$14&gt;DATOS!$C$102*AH29*BL29,-1,(1-SQRT((1-2*BG29*1E5/(DATOS!$C$29*AH29*BL29^2*DATOS!$C$21))))*DATOS!$C$21*AH29*BL29/DATOS!$C$14)))&lt;0,-1,MAX(IF(BG29&lt;=0,0,IF((1-2*BG29*1E5/(DATOS!$C$29*AH29*BL29^2*DATOS!$C$21))&lt;0,-1,IF((1-SQRT((1-2*BG29*1E5/(DATOS!$C$29*AH29*BL29^2*DATOS!$C$21))))*DATOS!$C$21*AH29*BL29/DATOS!$C$14&gt;DATOS!$C$102*AH29*BL29,-1,(1-SQRT((1-2*BG29*1E5/(DATOS!$C$29*AH29*BL29^2*DATOS!$C$21))))*DATOS!$C$21*AH29*BL29/DATOS!$C$14))),MIN(DATOS!$C$103*AD29*BL29,4/3*IF(BG29&lt;=0,0,IF((1-2*BG29*1E5/(DATOS!$C$29*AH29*BL29^2*DATOS!$C$21))&lt;0,-1,IF((1-SQRT((1-2*BG29*1E5/(DATOS!$C$29*AH29*BL29^2*DATOS!$C$21))))*DATOS!$C$21*AH29*BL29/DATOS!$C$14&gt;DATOS!$C$102*AH29*BL29,-1,(1-SQRT((1-2*BG29*1E5/(DATOS!$C$29*AH29*BL29^2*DATOS!$C$21))))*DATOS!$C$21*AH29*BL29/DATOS!$C$14)))))))</f>
        <v/>
      </c>
      <c r="BN29" s="64" t="str">
        <f>IF(V29&lt;&gt;"SÍ","",IF(AND(BM29&gt;=0,IF(MAX(DATOS!$C$74,CEILING(BM29/INDEX(TABLAS!$D$52:$D$58,MIN(MATCH(MAX(4,DATOS!$C$71),TABLAS!$B$52:$B$58,0)+0,7)),1))*INDEX(TABLAS!$D$52:$D$58,MIN(MATCH(MAX(4,DATOS!$C$71),TABLAS!$B$52:$B$58,0)+0,7)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+0,7)),1)),MAX(MAX(DATOS!$C$74,CEILING(BM29/INDEX(TABLAS!$D$52:$D$58,MIN(MATCH(MAX(4,DATOS!$C$71),TABLAS!$B$52:$B$58,0)+0,7)),1)),2))&lt;=MIN(DATOS!$C$73,INT(((AD29-2*AK29)+MAX(DATOS!$C$70,INDEX(TABLAS!$C$52:$C$58,MIN(MATCH(MAX(4,DATOS!$C$71),TABLAS!$B$52:$B$58,0)+0,7))))/(INDEX(TABLAS!$C$52:$C$58,MIN(MATCH(MAX(4,DATOS!$C$71),TABLAS!$B$52:$B$58,0)+0,7))+MAX(DATOS!$C$70,INDEX(TABLAS!$C$52:$C$58,MIN(MATCH(MAX(4,DATOS!$C$71),TABLAS!$B$52:$B$58,0)+0,7))))))),INDEX(TABLAS!$B$52:$B$58,MIN(MATCH(MAX(4,DATOS!$C$71),TABLAS!$B$52:$B$58,0)+0,7)),IF(AND(BM29&gt;=0,IF(MAX(DATOS!$C$74,CEILING(BM29/INDEX(TABLAS!$D$52:$D$58,MIN(MATCH(MAX(4,DATOS!$C$71),TABLAS!$B$52:$B$58,0)+1,7)),1))*INDEX(TABLAS!$D$52:$D$58,MIN(MATCH(MAX(4,DATOS!$C$71),TABLAS!$B$52:$B$58,0)+1,7)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+1,7)),1)),MAX(MAX(DATOS!$C$74,CEILING(BM29/INDEX(TABLAS!$D$52:$D$58,MIN(MATCH(MAX(4,DATOS!$C$71),TABLAS!$B$52:$B$58,0)+1,7)),1)),2))&lt;=MIN(DATOS!$C$73,INT(((AD29-2*AK29)+MAX(DATOS!$C$70,INDEX(TABLAS!$C$52:$C$58,MIN(MATCH(MAX(4,DATOS!$C$71),TABLAS!$B$52:$B$58,0)+1,7))))/(INDEX(TABLAS!$C$52:$C$58,MIN(MATCH(MAX(4,DATOS!$C$71),TABLAS!$B$52:$B$58,0)+1,7))+MAX(DATOS!$C$70,INDEX(TABLAS!$C$52:$C$58,MIN(MATCH(MAX(4,DATOS!$C$71),TABLAS!$B$52:$B$58,0)+1,7))))))),INDEX(TABLAS!$B$52:$B$58,MIN(MATCH(MAX(4,DATOS!$C$71),TABLAS!$B$52:$B$58,0)+1,7)),IF(AND(BM29&gt;=0,IF(MAX(DATOS!$C$74,CEILING(BM29/INDEX(TABLAS!$D$52:$D$58,MIN(MATCH(MAX(4,DATOS!$C$71),TABLAS!$B$52:$B$58,0)+2,7)),1))*INDEX(TABLAS!$D$52:$D$58,MIN(MATCH(MAX(4,DATOS!$C$71),TABLAS!$B$52:$B$58,0)+2,7)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+2,7)),1)),MAX(MAX(DATOS!$C$74,CEILING(BM29/INDEX(TABLAS!$D$52:$D$58,MIN(MATCH(MAX(4,DATOS!$C$71),TABLAS!$B$52:$B$58,0)+2,7)),1)),2))&lt;=MIN(DATOS!$C$73,INT(((AD29-2*AK29)+MAX(DATOS!$C$70,INDEX(TABLAS!$C$52:$C$58,MIN(MATCH(MAX(4,DATOS!$C$71),TABLAS!$B$52:$B$58,0)+2,7))))/(INDEX(TABLAS!$C$52:$C$58,MIN(MATCH(MAX(4,DATOS!$C$71),TABLAS!$B$52:$B$58,0)+2,7))+MAX(DATOS!$C$70,INDEX(TABLAS!$C$52:$C$58,MIN(MATCH(MAX(4,DATOS!$C$71),TABLAS!$B$52:$B$58,0)+2,7))))))),INDEX(TABLAS!$B$52:$B$58,MIN(MATCH(MAX(4,DATOS!$C$71),TABLAS!$B$52:$B$58,0)+2,7)),IF(AND(BM29&gt;=0,IF(MAX(DATOS!$C$74,CEILING(BM29/INDEX(TABLAS!$D$52:$D$58,MIN(MATCH(MAX(4,DATOS!$C$71),TABLAS!$B$52:$B$58,0)+3,7)),1))*INDEX(TABLAS!$D$52:$D$58,MIN(MATCH(MAX(4,DATOS!$C$71),TABLAS!$B$52:$B$58,0)+3,7)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+3,7)),1)),MAX(MAX(DATOS!$C$74,CEILING(BM29/INDEX(TABLAS!$D$52:$D$58,MIN(MATCH(MAX(4,DATOS!$C$71),TABLAS!$B$52:$B$58,0)+3,7)),1)),2))&lt;=MIN(DATOS!$C$73,INT(((AD29-2*AK29)+MAX(DATOS!$C$70,INDEX(TABLAS!$C$52:$C$58,MIN(MATCH(MAX(4,DATOS!$C$71),TABLAS!$B$52:$B$58,0)+3,7))))/(INDEX(TABLAS!$C$52:$C$58,MIN(MATCH(MAX(4,DATOS!$C$71),TABLAS!$B$52:$B$58,0)+3,7))+MAX(DATOS!$C$70,INDEX(TABLAS!$C$52:$C$58,MIN(MATCH(MAX(4,DATOS!$C$71),TABLAS!$B$52:$B$58,0)+3,7))))))),INDEX(TABLAS!$B$52:$B$58,MIN(MATCH(MAX(4,DATOS!$C$71),TABLAS!$B$52:$B$58,0)+3,7)),IF(AND(BM29&gt;=0,IF(MAX(DATOS!$C$74,CEILING(BM29/INDEX(TABLAS!$D$52:$D$58,MIN(MATCH(MAX(4,DATOS!$C$71),TABLAS!$B$52:$B$58,0)+4,7)),1))*INDEX(TABLAS!$D$52:$D$58,MIN(MATCH(MAX(4,DATOS!$C$71),TABLAS!$B$52:$B$58,0)+4,7)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+4,7)),1)),MAX(MAX(DATOS!$C$74,CEILING(BM29/INDEX(TABLAS!$D$52:$D$58,MIN(MATCH(MAX(4,DATOS!$C$71),TABLAS!$B$52:$B$58,0)+4,7)),1)),2))&lt;=MIN(DATOS!$C$73,INT(((AD29-2*AK29)+MAX(DATOS!$C$70,INDEX(TABLAS!$C$52:$C$58,MIN(MATCH(MAX(4,DATOS!$C$71),TABLAS!$B$52:$B$58,0)+4,7))))/(INDEX(TABLAS!$C$52:$C$58,MIN(MATCH(MAX(4,DATOS!$C$71),TABLAS!$B$52:$B$58,0)+4,7))+MAX(DATOS!$C$70,INDEX(TABLAS!$C$52:$C$58,MIN(MATCH(MAX(4,DATOS!$C$71),TABLAS!$B$52:$B$58,0)+4,7))))))),INDEX(TABLAS!$B$52:$B$58,MIN(MATCH(MAX(4,DATOS!$C$71),TABLAS!$B$52:$B$58,0)+4,7)),INDEX(TABLAS!$B$52:$B$58,7)))))))</f>
        <v/>
      </c>
      <c r="BO29" s="59" t="str">
        <f>IF(V29&lt;&gt;"SÍ","",IF(BM29&lt;0,0,IF(MAX(DATOS!$C$74,CEILING(MAX(BM29,0)/INDEX(TABLAS!$D$52:$D$58,MATCH(BN29,TABLAS!$B$52:$B$58,0)),1))*INDEX(TABLAS!$D$52:$D$58,MATCH(BN29,TABLAS!$B$52:$B$58,0))&gt;=4/3*IF(BG29&lt;=0,0,IF((1-2*BG29*1E5/(DATOS!$C$29*AH29*BL29^2*DATOS!$C$21))&lt;0,-1,IF((1-SQRT((1-2*BG29*1E5/(DATOS!$C$29*AH29*BL29^2*DATOS!$C$21))))*DATOS!$C$21*AH29*BL29/DATOS!$C$14&gt;DATOS!$C$102*AH29*BL29,-1,(1-SQRT((1-2*BG29*1E5/(DATOS!$C$29*AH29*BL29^2*DATOS!$C$21))))*DATOS!$C$21*AH29*BL29/DATOS!$C$14)))-0.0001,MAX(DATOS!$C$74,CEILING(MAX(BM29,0)/INDEX(TABLAS!$D$52:$D$58,MATCH(BN29,TABLAS!$B$52:$B$58,0)),1)),MAX(MAX(DATOS!$C$74,CEILING(MAX(BM29,0)/INDEX(TABLAS!$D$52:$D$58,MATCH(BN29,TABLAS!$B$52:$B$58,0)),1)),2))))</f>
        <v/>
      </c>
      <c r="BP29" s="58" t="str">
        <f>IF(V29&lt;&gt;"SÍ","",DATOS!$C$85-AK29-INDEX(TABLAS!$C$52:$C$58,MATCH(BN29,TABLAS!$B$52:$B$58,0))/2)</f>
        <v/>
      </c>
      <c r="BQ29" s="56" t="str">
        <f>IF(V29&lt;&gt;"SÍ","",IF(BO29=0,0,DATOS!$C$29*BO29*INDEX(TABLAS!$D$52:$D$58,MATCH(BN29,TABLAS!$B$52:$B$58,0))*DATOS!$C$14*(BP29-BO29*INDEX(TABLAS!$D$52:$D$58,MATCH(BN29,TABLAS!$B$52:$B$58,0))*DATOS!$C$14/(DATOS!$C$21*AH29)/2)/1E5))</f>
        <v/>
      </c>
      <c r="BR29" s="65" t="str">
        <f>IF(V29&lt;&gt;"SÍ","",IF(BM29&lt;0,9.99,IF(BQ29&gt;0,BG29/BQ29,0)))</f>
        <v/>
      </c>
      <c r="BS29" s="66" t="str">
        <f>IF(V29&lt;&gt;"SÍ","",IF(BO29=0,"—",0.003*(BP29-(BO29*INDEX(TABLAS!$D$52:$D$58,MATCH(BN29,TABLAS!$B$52:$B$58,0))*DATOS!$C$14/(DATOS!$C$21*AH29)/DATOS!$C$22))/(BO29*INDEX(TABLAS!$D$52:$D$58,MATCH(BN29,TABLAS!$B$52:$B$58,0))*DATOS!$C$14/(DATOS!$C$21*AH29)/DATOS!$C$22)))</f>
        <v/>
      </c>
      <c r="BT29" s="58" t="str">
        <f>IF(V29&lt;&gt;"SÍ","",((DATOS!$C$85-AM29-2*DATOS!$C$97-INDEX(TABLAS!$C$52:$C$58,MATCH(MAX(4,DATOS!$C$72),TABLAS!$B$52:$B$58,0))/2)-IF(AND((DATOS!$C$85-AM29-2*DATOS!$C$97-INDEX(TABLAS!$C$52:$C$58,MATCH(MAX(4,DATOS!$C$72),TABLAS!$B$52:$B$58,0))/2)&lt;=20,DATOS!$C$65&lt;&gt;"SÍ"),2,0)))</f>
        <v/>
      </c>
      <c r="BU29" s="58" t="str">
        <f>IF(V29&lt;&gt;"SÍ","",IF(IF(BH29&lt;=0,0,IF((1-2*BH29*1E5/(DATOS!$C$29*AF29*BT29^2*DATOS!$C$21))&lt;0,-1,IF((1-SQRT((1-2*BH29*1E5/(DATOS!$C$29*AF29*BT29^2*DATOS!$C$21))))*DATOS!$C$21*AF29*BT29/DATOS!$C$14&gt;DATOS!$C$102*AF29*BT29,-1,(1-SQRT((1-2*BH29*1E5/(DATOS!$C$29*AF29*BT29^2*DATOS!$C$21))))*DATOS!$C$21*AF29*BT29/DATOS!$C$14)))&lt;0,-1,MAX(IF(BH29&lt;=0,0,IF((1-2*BH29*1E5/(DATOS!$C$29*AF29*BT29^2*DATOS!$C$21))&lt;0,-1,IF((1-SQRT((1-2*BH29*1E5/(DATOS!$C$29*AF29*BT29^2*DATOS!$C$21))))*DATOS!$C$21*AF29*BT29/DATOS!$C$14&gt;DATOS!$C$102*AF29*BT29,-1,(1-SQRT((1-2*BH29*1E5/(DATOS!$C$29*AF29*BT29^2*DATOS!$C$21))))*DATOS!$C$21*AF29*BT29/DATOS!$C$14))),MIN(DATOS!$C$103*IF(C29="VOLADO",MIN(AH29,2*AD29),AD29)*BT29,4/3*IF(BH29&lt;=0,0,IF((1-2*BH29*1E5/(DATOS!$C$29*AF29*BT29^2*DATOS!$C$21))&lt;0,-1,IF((1-SQRT((1-2*BH29*1E5/(DATOS!$C$29*AF29*BT29^2*DATOS!$C$21))))*DATOS!$C$21*AF29*BT29/DATOS!$C$14&gt;DATOS!$C$102*AF29*BT29,-1,(1-SQRT((1-2*BH29*1E5/(DATOS!$C$29*AF29*BT29^2*DATOS!$C$21))))*DATOS!$C$21*AF29*BT29/DATOS!$C$14)))))))</f>
        <v/>
      </c>
      <c r="BV29" s="64" t="str">
        <f>IF(V29&lt;&gt;"SÍ","",IF(AND(BU29&gt;=0,IF(MAX(DATOS!$C$74,CEILING(BU29/INDEX(TABLAS!$D$52:$D$58,MIN(MATCH(MAX(4,DATOS!$C$72),TABLAS!$B$52:$B$58,0)+0,7)),1))*INDEX(TABLAS!$D$52:$D$58,MIN(MATCH(MAX(4,DATOS!$C$72),TABLAS!$B$52:$B$58,0)+0,7)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+0,7)),1)),MAX(MAX(DATOS!$C$74,CEILING(BU29/INDEX(TABLAS!$D$52:$D$58,MIN(MATCH(MAX(4,DATOS!$C$72),TABLAS!$B$52:$B$58,0)+0,7)),1)),2))&lt;=MIN(DATOS!$C$73,INT(((AD29-2*AL29)+MAX(DATOS!$C$70,INDEX(TABLAS!$C$52:$C$58,MIN(MATCH(MAX(4,DATOS!$C$72),TABLAS!$B$52:$B$58,0)+0,7))))/(INDEX(TABLAS!$C$52:$C$58,MIN(MATCH(MAX(4,DATOS!$C$72),TABLAS!$B$52:$B$58,0)+0,7))+MAX(DATOS!$C$70,INDEX(TABLAS!$C$52:$C$58,MIN(MATCH(MAX(4,DATOS!$C$72),TABLAS!$B$52:$B$58,0)+0,7))))))),INDEX(TABLAS!$B$52:$B$58,MIN(MATCH(MAX(4,DATOS!$C$72),TABLAS!$B$52:$B$58,0)+0,7)),IF(AND(BU29&gt;=0,IF(MAX(DATOS!$C$74,CEILING(BU29/INDEX(TABLAS!$D$52:$D$58,MIN(MATCH(MAX(4,DATOS!$C$72),TABLAS!$B$52:$B$58,0)+1,7)),1))*INDEX(TABLAS!$D$52:$D$58,MIN(MATCH(MAX(4,DATOS!$C$72),TABLAS!$B$52:$B$58,0)+1,7)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+1,7)),1)),MAX(MAX(DATOS!$C$74,CEILING(BU29/INDEX(TABLAS!$D$52:$D$58,MIN(MATCH(MAX(4,DATOS!$C$72),TABLAS!$B$52:$B$58,0)+1,7)),1)),2))&lt;=MIN(DATOS!$C$73,INT(((AD29-2*AL29)+MAX(DATOS!$C$70,INDEX(TABLAS!$C$52:$C$58,MIN(MATCH(MAX(4,DATOS!$C$72),TABLAS!$B$52:$B$58,0)+1,7))))/(INDEX(TABLAS!$C$52:$C$58,MIN(MATCH(MAX(4,DATOS!$C$72),TABLAS!$B$52:$B$58,0)+1,7))+MAX(DATOS!$C$70,INDEX(TABLAS!$C$52:$C$58,MIN(MATCH(MAX(4,DATOS!$C$72),TABLAS!$B$52:$B$58,0)+1,7))))))),INDEX(TABLAS!$B$52:$B$58,MIN(MATCH(MAX(4,DATOS!$C$72),TABLAS!$B$52:$B$58,0)+1,7)),IF(AND(BU29&gt;=0,IF(MAX(DATOS!$C$74,CEILING(BU29/INDEX(TABLAS!$D$52:$D$58,MIN(MATCH(MAX(4,DATOS!$C$72),TABLAS!$B$52:$B$58,0)+2,7)),1))*INDEX(TABLAS!$D$52:$D$58,MIN(MATCH(MAX(4,DATOS!$C$72),TABLAS!$B$52:$B$58,0)+2,7)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+2,7)),1)),MAX(MAX(DATOS!$C$74,CEILING(BU29/INDEX(TABLAS!$D$52:$D$58,MIN(MATCH(MAX(4,DATOS!$C$72),TABLAS!$B$52:$B$58,0)+2,7)),1)),2))&lt;=MIN(DATOS!$C$73,INT(((AD29-2*AL29)+MAX(DATOS!$C$70,INDEX(TABLAS!$C$52:$C$58,MIN(MATCH(MAX(4,DATOS!$C$72),TABLAS!$B$52:$B$58,0)+2,7))))/(INDEX(TABLAS!$C$52:$C$58,MIN(MATCH(MAX(4,DATOS!$C$72),TABLAS!$B$52:$B$58,0)+2,7))+MAX(DATOS!$C$70,INDEX(TABLAS!$C$52:$C$58,MIN(MATCH(MAX(4,DATOS!$C$72),TABLAS!$B$52:$B$58,0)+2,7))))))),INDEX(TABLAS!$B$52:$B$58,MIN(MATCH(MAX(4,DATOS!$C$72),TABLAS!$B$52:$B$58,0)+2,7)),IF(AND(BU29&gt;=0,IF(MAX(DATOS!$C$74,CEILING(BU29/INDEX(TABLAS!$D$52:$D$58,MIN(MATCH(MAX(4,DATOS!$C$72),TABLAS!$B$52:$B$58,0)+3,7)),1))*INDEX(TABLAS!$D$52:$D$58,MIN(MATCH(MAX(4,DATOS!$C$72),TABLAS!$B$52:$B$58,0)+3,7)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+3,7)),1)),MAX(MAX(DATOS!$C$74,CEILING(BU29/INDEX(TABLAS!$D$52:$D$58,MIN(MATCH(MAX(4,DATOS!$C$72),TABLAS!$B$52:$B$58,0)+3,7)),1)),2))&lt;=MIN(DATOS!$C$73,INT(((AD29-2*AL29)+MAX(DATOS!$C$70,INDEX(TABLAS!$C$52:$C$58,MIN(MATCH(MAX(4,DATOS!$C$72),TABLAS!$B$52:$B$58,0)+3,7))))/(INDEX(TABLAS!$C$52:$C$58,MIN(MATCH(MAX(4,DATOS!$C$72),TABLAS!$B$52:$B$58,0)+3,7))+MAX(DATOS!$C$70,INDEX(TABLAS!$C$52:$C$58,MIN(MATCH(MAX(4,DATOS!$C$72),TABLAS!$B$52:$B$58,0)+3,7))))))),INDEX(TABLAS!$B$52:$B$58,MIN(MATCH(MAX(4,DATOS!$C$72),TABLAS!$B$52:$B$58,0)+3,7)),IF(AND(BU29&gt;=0,IF(MAX(DATOS!$C$74,CEILING(BU29/INDEX(TABLAS!$D$52:$D$58,MIN(MATCH(MAX(4,DATOS!$C$72),TABLAS!$B$52:$B$58,0)+4,7)),1))*INDEX(TABLAS!$D$52:$D$58,MIN(MATCH(MAX(4,DATOS!$C$72),TABLAS!$B$52:$B$58,0)+4,7)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+4,7)),1)),MAX(MAX(DATOS!$C$74,CEILING(BU29/INDEX(TABLAS!$D$52:$D$58,MIN(MATCH(MAX(4,DATOS!$C$72),TABLAS!$B$52:$B$58,0)+4,7)),1)),2))&lt;=MIN(DATOS!$C$73,INT(((AD29-2*AL29)+MAX(DATOS!$C$70,INDEX(TABLAS!$C$52:$C$58,MIN(MATCH(MAX(4,DATOS!$C$72),TABLAS!$B$52:$B$58,0)+4,7))))/(INDEX(TABLAS!$C$52:$C$58,MIN(MATCH(MAX(4,DATOS!$C$72),TABLAS!$B$52:$B$58,0)+4,7))+MAX(DATOS!$C$70,INDEX(TABLAS!$C$52:$C$58,MIN(MATCH(MAX(4,DATOS!$C$72),TABLAS!$B$52:$B$58,0)+4,7))))))),INDEX(TABLAS!$B$52:$B$58,MIN(MATCH(MAX(4,DATOS!$C$72),TABLAS!$B$52:$B$58,0)+4,7)),INDEX(TABLAS!$B$52:$B$58,7)))))))</f>
        <v/>
      </c>
      <c r="BW29" s="59" t="str">
        <f>IF(V29&lt;&gt;"SÍ","",IF(BU29&lt;0,0,IF(MAX(DATOS!$C$74,CEILING(MAX(BU29,0)/INDEX(TABLAS!$D$52:$D$58,MATCH(BV29,TABLAS!$B$52:$B$58,0)),1))*INDEX(TABLAS!$D$52:$D$58,MATCH(BV29,TABLAS!$B$52:$B$58,0))&gt;=4/3*IF(BH29&lt;=0,0,IF((1-2*BH29*1E5/(DATOS!$C$29*AF29*BT29^2*DATOS!$C$21))&lt;0,-1,IF((1-SQRT((1-2*BH29*1E5/(DATOS!$C$29*AF29*BT29^2*DATOS!$C$21))))*DATOS!$C$21*AF29*BT29/DATOS!$C$14&gt;DATOS!$C$102*AF29*BT29,-1,(1-SQRT((1-2*BH29*1E5/(DATOS!$C$29*AF29*BT29^2*DATOS!$C$21))))*DATOS!$C$21*AF29*BT29/DATOS!$C$14)))-0.0001,MAX(DATOS!$C$74,CEILING(MAX(BU29,0)/INDEX(TABLAS!$D$52:$D$58,MATCH(BV29,TABLAS!$B$52:$B$58,0)),1)),MAX(MAX(DATOS!$C$74,CEILING(MAX(BU29,0)/INDEX(TABLAS!$D$52:$D$58,MATCH(BV29,TABLAS!$B$52:$B$58,0)),1)),2))))</f>
        <v/>
      </c>
      <c r="BX29" s="58" t="str">
        <f>IF(V29&lt;&gt;"SÍ","",((DATOS!$C$85-AM29-2*DATOS!$C$97-INDEX(TABLAS!$C$52:$C$58,MATCH(BV29,TABLAS!$B$52:$B$58,0))/2)-IF(AND((DATOS!$C$85-AM29-2*DATOS!$C$97-INDEX(TABLAS!$C$52:$C$58,MATCH(BV29,TABLAS!$B$52:$B$58,0))/2)&lt;=20,DATOS!$C$65&lt;&gt;"SÍ"),2,0)))</f>
        <v/>
      </c>
      <c r="BY29" s="56" t="str">
        <f>IF(V29&lt;&gt;"SÍ","",IF(BW29=0,0,DATOS!$C$29*BW29*INDEX(TABLAS!$D$52:$D$58,MATCH(BV29,TABLAS!$B$52:$B$58,0))*DATOS!$C$14*(BX29-BW29*INDEX(TABLAS!$D$52:$D$58,MATCH(BV29,TABLAS!$B$52:$B$58,0))*DATOS!$C$14/(DATOS!$C$21*AF29)/2)/1E5))</f>
        <v/>
      </c>
      <c r="BZ29" s="65" t="str">
        <f>IF(V29&lt;&gt;"SÍ","",IF(BU29&lt;0,9.99,IF(BY29&gt;0,BH29/BY29,0)))</f>
        <v/>
      </c>
      <c r="CA29" s="66" t="str">
        <f>IF(V29&lt;&gt;"SÍ","",IF(BW29=0,"—",0.003*(BX29-(BW29*INDEX(TABLAS!$D$52:$D$58,MATCH(BV29,TABLAS!$B$52:$B$58,0))*DATOS!$C$14/(DATOS!$C$21*AF29)/DATOS!$C$22))/(BW29*INDEX(TABLAS!$D$52:$D$58,MATCH(BV29,TABLAS!$B$52:$B$58,0))*DATOS!$C$14/(DATOS!$C$21*AF29)/DATOS!$C$22)))</f>
        <v/>
      </c>
      <c r="CB29" s="58" t="str">
        <f>IF(V29&lt;&gt;"SÍ","",(DATOS!$C$85-AK29-INDEX(TABLAS!$C$52:$C$58,MATCH(MAX(4,DATOS!$C$71),TABLAS!$B$52:$B$58,0))-INDEX(TABLAS!$C$52:$C$58,MATCH(MAX(4,DATOS!$C$71),TABLAS!$B$52:$B$58,0))/2))</f>
        <v/>
      </c>
      <c r="CC29" s="58" t="str">
        <f>IF(V29&lt;&gt;"SÍ","",IF(IF(BI29&lt;=0,0,IF((1-2*BI29*1E5/(DATOS!$C$29*AI29*CB29^2*DATOS!$C$21))&lt;0,-1,IF((1-SQRT((1-2*BI29*1E5/(DATOS!$C$29*AI29*CB29^2*DATOS!$C$21))))*DATOS!$C$21*AI29*CB29/DATOS!$C$14&gt;DATOS!$C$102*AI29*CB29,-1,(1-SQRT((1-2*BI29*1E5/(DATOS!$C$29*AI29*CB29^2*DATOS!$C$21))))*DATOS!$C$21*AI29*CB29/DATOS!$C$14)))&lt;0,-1,MAX(IF(BI29&lt;=0,0,IF((1-2*BI29*1E5/(DATOS!$C$29*AI29*CB29^2*DATOS!$C$21))&lt;0,-1,IF((1-SQRT((1-2*BI29*1E5/(DATOS!$C$29*AI29*CB29^2*DATOS!$C$21))))*DATOS!$C$21*AI29*CB29/DATOS!$C$14&gt;DATOS!$C$102*AI29*CB29,-1,(1-SQRT((1-2*BI29*1E5/(DATOS!$C$29*AI29*CB29^2*DATOS!$C$21))))*DATOS!$C$21*AI29*CB29/DATOS!$C$14))),MIN(DATOS!$C$103*DATOS!$C$83*CB29,4/3*IF(BI29&lt;=0,0,IF((1-2*BI29*1E5/(DATOS!$C$29*AI29*CB29^2*DATOS!$C$21))&lt;0,-1,IF((1-SQRT((1-2*BI29*1E5/(DATOS!$C$29*AI29*CB29^2*DATOS!$C$21))))*DATOS!$C$21*AI29*CB29/DATOS!$C$14&gt;DATOS!$C$102*AI29*CB29,-1,(1-SQRT((1-2*BI29*1E5/(DATOS!$C$29*AI29*CB29^2*DATOS!$C$21))))*DATOS!$C$21*AI29*CB29/DATOS!$C$14)))))))</f>
        <v/>
      </c>
      <c r="CD29" s="64" t="str">
        <f>IF(V29&lt;&gt;"SÍ","",IF(AND(CC29&gt;=0,IF(MAX(DATOS!$C$74,CEILING(CC29/INDEX(TABLAS!$D$52:$D$58,MIN(MATCH(MAX(4,DATOS!$C$71),TABLAS!$B$52:$B$58,0)+0,7)),1))*INDEX(TABLAS!$D$52:$D$58,MIN(MATCH(MAX(4,DATOS!$C$71),TABLAS!$B$52:$B$58,0)+0,7)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+0,7)),1)),MAX(MAX(DATOS!$C$74,CEILING(CC29/INDEX(TABLAS!$D$52:$D$58,MIN(MATCH(MAX(4,DATOS!$C$71),TABLAS!$B$52:$B$58,0)+0,7)),1)),2))&lt;=MIN(DATOS!$C$73,INT(((DATOS!$C$83-2*AK29)+MAX(DATOS!$C$70,INDEX(TABLAS!$C$52:$C$58,MIN(MATCH(MAX(4,DATOS!$C$71),TABLAS!$B$52:$B$58,0)+0,7))))/(INDEX(TABLAS!$C$52:$C$58,MIN(MATCH(MAX(4,DATOS!$C$71),TABLAS!$B$52:$B$58,0)+0,7))+MAX(DATOS!$C$70,INDEX(TABLAS!$C$52:$C$58,MIN(MATCH(MAX(4,DATOS!$C$71),TABLAS!$B$52:$B$58,0)+0,7))))))),INDEX(TABLAS!$B$52:$B$58,MIN(MATCH(MAX(4,DATOS!$C$71),TABLAS!$B$52:$B$58,0)+0,7)),IF(AND(CC29&gt;=0,IF(MAX(DATOS!$C$74,CEILING(CC29/INDEX(TABLAS!$D$52:$D$58,MIN(MATCH(MAX(4,DATOS!$C$71),TABLAS!$B$52:$B$58,0)+1,7)),1))*INDEX(TABLAS!$D$52:$D$58,MIN(MATCH(MAX(4,DATOS!$C$71),TABLAS!$B$52:$B$58,0)+1,7)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+1,7)),1)),MAX(MAX(DATOS!$C$74,CEILING(CC29/INDEX(TABLAS!$D$52:$D$58,MIN(MATCH(MAX(4,DATOS!$C$71),TABLAS!$B$52:$B$58,0)+1,7)),1)),2))&lt;=MIN(DATOS!$C$73,INT(((DATOS!$C$83-2*AK29)+MAX(DATOS!$C$70,INDEX(TABLAS!$C$52:$C$58,MIN(MATCH(MAX(4,DATOS!$C$71),TABLAS!$B$52:$B$58,0)+1,7))))/(INDEX(TABLAS!$C$52:$C$58,MIN(MATCH(MAX(4,DATOS!$C$71),TABLAS!$B$52:$B$58,0)+1,7))+MAX(DATOS!$C$70,INDEX(TABLAS!$C$52:$C$58,MIN(MATCH(MAX(4,DATOS!$C$71),TABLAS!$B$52:$B$58,0)+1,7))))))),INDEX(TABLAS!$B$52:$B$58,MIN(MATCH(MAX(4,DATOS!$C$71),TABLAS!$B$52:$B$58,0)+1,7)),IF(AND(CC29&gt;=0,IF(MAX(DATOS!$C$74,CEILING(CC29/INDEX(TABLAS!$D$52:$D$58,MIN(MATCH(MAX(4,DATOS!$C$71),TABLAS!$B$52:$B$58,0)+2,7)),1))*INDEX(TABLAS!$D$52:$D$58,MIN(MATCH(MAX(4,DATOS!$C$71),TABLAS!$B$52:$B$58,0)+2,7)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+2,7)),1)),MAX(MAX(DATOS!$C$74,CEILING(CC29/INDEX(TABLAS!$D$52:$D$58,MIN(MATCH(MAX(4,DATOS!$C$71),TABLAS!$B$52:$B$58,0)+2,7)),1)),2))&lt;=MIN(DATOS!$C$73,INT(((DATOS!$C$83-2*AK29)+MAX(DATOS!$C$70,INDEX(TABLAS!$C$52:$C$58,MIN(MATCH(MAX(4,DATOS!$C$71),TABLAS!$B$52:$B$58,0)+2,7))))/(INDEX(TABLAS!$C$52:$C$58,MIN(MATCH(MAX(4,DATOS!$C$71),TABLAS!$B$52:$B$58,0)+2,7))+MAX(DATOS!$C$70,INDEX(TABLAS!$C$52:$C$58,MIN(MATCH(MAX(4,DATOS!$C$71),TABLAS!$B$52:$B$58,0)+2,7))))))),INDEX(TABLAS!$B$52:$B$58,MIN(MATCH(MAX(4,DATOS!$C$71),TABLAS!$B$52:$B$58,0)+2,7)),IF(AND(CC29&gt;=0,IF(MAX(DATOS!$C$74,CEILING(CC29/INDEX(TABLAS!$D$52:$D$58,MIN(MATCH(MAX(4,DATOS!$C$71),TABLAS!$B$52:$B$58,0)+3,7)),1))*INDEX(TABLAS!$D$52:$D$58,MIN(MATCH(MAX(4,DATOS!$C$71),TABLAS!$B$52:$B$58,0)+3,7)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+3,7)),1)),MAX(MAX(DATOS!$C$74,CEILING(CC29/INDEX(TABLAS!$D$52:$D$58,MIN(MATCH(MAX(4,DATOS!$C$71),TABLAS!$B$52:$B$58,0)+3,7)),1)),2))&lt;=MIN(DATOS!$C$73,INT(((DATOS!$C$83-2*AK29)+MAX(DATOS!$C$70,INDEX(TABLAS!$C$52:$C$58,MIN(MATCH(MAX(4,DATOS!$C$71),TABLAS!$B$52:$B$58,0)+3,7))))/(INDEX(TABLAS!$C$52:$C$58,MIN(MATCH(MAX(4,DATOS!$C$71),TABLAS!$B$52:$B$58,0)+3,7))+MAX(DATOS!$C$70,INDEX(TABLAS!$C$52:$C$58,MIN(MATCH(MAX(4,DATOS!$C$71),TABLAS!$B$52:$B$58,0)+3,7))))))),INDEX(TABLAS!$B$52:$B$58,MIN(MATCH(MAX(4,DATOS!$C$71),TABLAS!$B$52:$B$58,0)+3,7)),IF(AND(CC29&gt;=0,IF(MAX(DATOS!$C$74,CEILING(CC29/INDEX(TABLAS!$D$52:$D$58,MIN(MATCH(MAX(4,DATOS!$C$71),TABLAS!$B$52:$B$58,0)+4,7)),1))*INDEX(TABLAS!$D$52:$D$58,MIN(MATCH(MAX(4,DATOS!$C$71),TABLAS!$B$52:$B$58,0)+4,7)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+4,7)),1)),MAX(MAX(DATOS!$C$74,CEILING(CC29/INDEX(TABLAS!$D$52:$D$58,MIN(MATCH(MAX(4,DATOS!$C$71),TABLAS!$B$52:$B$58,0)+4,7)),1)),2))&lt;=MIN(DATOS!$C$73,INT(((DATOS!$C$83-2*AK29)+MAX(DATOS!$C$70,INDEX(TABLAS!$C$52:$C$58,MIN(MATCH(MAX(4,DATOS!$C$71),TABLAS!$B$52:$B$58,0)+4,7))))/(INDEX(TABLAS!$C$52:$C$58,MIN(MATCH(MAX(4,DATOS!$C$71),TABLAS!$B$52:$B$58,0)+4,7))+MAX(DATOS!$C$70,INDEX(TABLAS!$C$52:$C$58,MIN(MATCH(MAX(4,DATOS!$C$71),TABLAS!$B$52:$B$58,0)+4,7))))))),INDEX(TABLAS!$B$52:$B$58,MIN(MATCH(MAX(4,DATOS!$C$71),TABLAS!$B$52:$B$58,0)+4,7)),INDEX(TABLAS!$B$52:$B$58,7)))))))</f>
        <v/>
      </c>
      <c r="CE29" s="59" t="str">
        <f>IF(V29&lt;&gt;"SÍ","",IF(CC29&lt;0,0,IF(MAX(DATOS!$C$74,CEILING(MAX(CC29,0)/INDEX(TABLAS!$D$52:$D$58,MATCH(CD29,TABLAS!$B$52:$B$58,0)),1))*INDEX(TABLAS!$D$52:$D$58,MATCH(CD29,TABLAS!$B$52:$B$58,0))&gt;=4/3*IF(BI29&lt;=0,0,IF((1-2*BI29*1E5/(DATOS!$C$29*AI29*CB29^2*DATOS!$C$21))&lt;0,-1,IF((1-SQRT((1-2*BI29*1E5/(DATOS!$C$29*AI29*CB29^2*DATOS!$C$21))))*DATOS!$C$21*AI29*CB29/DATOS!$C$14&gt;DATOS!$C$102*AI29*CB29,-1,(1-SQRT((1-2*BI29*1E5/(DATOS!$C$29*AI29*CB29^2*DATOS!$C$21))))*DATOS!$C$21*AI29*CB29/DATOS!$C$14)))-0.0001,MAX(DATOS!$C$74,CEILING(MAX(CC29,0)/INDEX(TABLAS!$D$52:$D$58,MATCH(CD29,TABLAS!$B$52:$B$58,0)),1)),MAX(MAX(DATOS!$C$74,CEILING(MAX(CC29,0)/INDEX(TABLAS!$D$52:$D$58,MATCH(CD29,TABLAS!$B$52:$B$58,0)),1)),2))))</f>
        <v/>
      </c>
      <c r="CF29" s="58" t="str">
        <f>IF(V29&lt;&gt;"SÍ","",DATOS!$C$85-AK29-INDEX(TABLAS!$C$52:$C$58,MATCH(BN29,TABLAS!$B$52:$B$58,0))-INDEX(TABLAS!$C$52:$C$58,MATCH(CD29,TABLAS!$B$52:$B$58,0))/2)</f>
        <v/>
      </c>
      <c r="CG29" s="56" t="str">
        <f>IF(V29&lt;&gt;"SÍ","",IF(CE29=0,0,DATOS!$C$29*CE29*INDEX(TABLAS!$D$52:$D$58,MATCH(CD29,TABLAS!$B$52:$B$58,0))*DATOS!$C$14*(CF29-CE29*INDEX(TABLAS!$D$52:$D$58,MATCH(CD29,TABLAS!$B$52:$B$58,0))*DATOS!$C$14/(DATOS!$C$21*AI29)/2)/1E5))</f>
        <v/>
      </c>
      <c r="CH29" s="65" t="str">
        <f>IF(V29&lt;&gt;"SÍ","",IF(CC29&lt;0,9.99,IF(CG29&gt;0,BI29/CG29,0)))</f>
        <v/>
      </c>
      <c r="CI29" s="66" t="str">
        <f>IF(V29&lt;&gt;"SÍ","",IF(CE29=0,"—",0.003*(CF29-(CE29*INDEX(TABLAS!$D$52:$D$58,MATCH(CD29,TABLAS!$B$52:$B$58,0))*DATOS!$C$14/(DATOS!$C$21*AI29)/DATOS!$C$22))/(CE29*INDEX(TABLAS!$D$52:$D$58,MATCH(CD29,TABLAS!$B$52:$B$58,0))*DATOS!$C$14/(DATOS!$C$21*AI29)/DATOS!$C$22)))</f>
        <v/>
      </c>
      <c r="CJ29" s="58" t="str">
        <f>IF(V29&lt;&gt;"SÍ","",((DATOS!$C$85-AM29-2*DATOS!$C$97-INDEX(TABLAS!$C$52:$C$58,MATCH(MAX(4,DATOS!$C$72),TABLAS!$B$52:$B$58,0))-INDEX(TABLAS!$C$52:$C$58,MATCH(MAX(4,DATOS!$C$72),TABLAS!$B$52:$B$58,0))/2)-IF(AND((DATOS!$C$85-AM29-2*DATOS!$C$97-INDEX(TABLAS!$C$52:$C$58,MATCH(MAX(4,DATOS!$C$72),TABLAS!$B$52:$B$58,0))-INDEX(TABLAS!$C$52:$C$58,MATCH(MAX(4,DATOS!$C$72),TABLAS!$B$52:$B$58,0))/2)&lt;=20,DATOS!$C$65&lt;&gt;"SÍ"),2,0)))</f>
        <v/>
      </c>
      <c r="CK29" s="58" t="str">
        <f>IF(V29&lt;&gt;"SÍ","",IF(IF(BJ29&lt;=0,0,IF((1-2*BJ29*1E5/(DATOS!$C$29*AG29*CJ29^2*DATOS!$C$21))&lt;0,-1,IF((1-SQRT((1-2*BJ29*1E5/(DATOS!$C$29*AG29*CJ29^2*DATOS!$C$21))))*DATOS!$C$21*AG29*CJ29/DATOS!$C$14&gt;DATOS!$C$102*AG29*CJ29,-1,(1-SQRT((1-2*BJ29*1E5/(DATOS!$C$29*AG29*CJ29^2*DATOS!$C$21))))*DATOS!$C$21*AG29*CJ29/DATOS!$C$14)))&lt;0,-1,MAX(IF(BJ29&lt;=0,0,IF((1-2*BJ29*1E5/(DATOS!$C$29*AG29*CJ29^2*DATOS!$C$21))&lt;0,-1,IF((1-SQRT((1-2*BJ29*1E5/(DATOS!$C$29*AG29*CJ29^2*DATOS!$C$21))))*DATOS!$C$21*AG29*CJ29/DATOS!$C$14&gt;DATOS!$C$102*AG29*CJ29,-1,(1-SQRT((1-2*BJ29*1E5/(DATOS!$C$29*AG29*CJ29^2*DATOS!$C$21))))*DATOS!$C$21*AG29*CJ29/DATOS!$C$14))),MIN(DATOS!$C$103*DATOS!$C$83*CJ29,4/3*IF(BJ29&lt;=0,0,IF((1-2*BJ29*1E5/(DATOS!$C$29*AG29*CJ29^2*DATOS!$C$21))&lt;0,-1,IF((1-SQRT((1-2*BJ29*1E5/(DATOS!$C$29*AG29*CJ29^2*DATOS!$C$21))))*DATOS!$C$21*AG29*CJ29/DATOS!$C$14&gt;DATOS!$C$102*AG29*CJ29,-1,(1-SQRT((1-2*BJ29*1E5/(DATOS!$C$29*AG29*CJ29^2*DATOS!$C$21))))*DATOS!$C$21*AG29*CJ29/DATOS!$C$14)))))))</f>
        <v/>
      </c>
      <c r="CL29" s="64" t="str">
        <f>IF(V29&lt;&gt;"SÍ","",IF(AND(CK29&gt;=0,IF(MAX(DATOS!$C$74,CEILING(CK29/INDEX(TABLAS!$D$52:$D$58,MIN(MATCH(MAX(4,DATOS!$C$72),TABLAS!$B$52:$B$58,0)+0,7)),1))*INDEX(TABLAS!$D$52:$D$58,MIN(MATCH(MAX(4,DATOS!$C$72),TABLAS!$B$52:$B$58,0)+0,7)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+0,7)),1)),MAX(MAX(DATOS!$C$74,CEILING(CK29/INDEX(TABLAS!$D$52:$D$58,MIN(MATCH(MAX(4,DATOS!$C$72),TABLAS!$B$52:$B$58,0)+0,7)),1)),2))&lt;=MIN(DATOS!$C$73,INT(((DATOS!$C$83-2*AL29)+MAX(DATOS!$C$70,INDEX(TABLAS!$C$52:$C$58,MIN(MATCH(MAX(4,DATOS!$C$72),TABLAS!$B$52:$B$58,0)+0,7))))/(INDEX(TABLAS!$C$52:$C$58,MIN(MATCH(MAX(4,DATOS!$C$72),TABLAS!$B$52:$B$58,0)+0,7))+MAX(DATOS!$C$70,INDEX(TABLAS!$C$52:$C$58,MIN(MATCH(MAX(4,DATOS!$C$72),TABLAS!$B$52:$B$58,0)+0,7))))))),INDEX(TABLAS!$B$52:$B$58,MIN(MATCH(MAX(4,DATOS!$C$72),TABLAS!$B$52:$B$58,0)+0,7)),IF(AND(CK29&gt;=0,IF(MAX(DATOS!$C$74,CEILING(CK29/INDEX(TABLAS!$D$52:$D$58,MIN(MATCH(MAX(4,DATOS!$C$72),TABLAS!$B$52:$B$58,0)+1,7)),1))*INDEX(TABLAS!$D$52:$D$58,MIN(MATCH(MAX(4,DATOS!$C$72),TABLAS!$B$52:$B$58,0)+1,7)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+1,7)),1)),MAX(MAX(DATOS!$C$74,CEILING(CK29/INDEX(TABLAS!$D$52:$D$58,MIN(MATCH(MAX(4,DATOS!$C$72),TABLAS!$B$52:$B$58,0)+1,7)),1)),2))&lt;=MIN(DATOS!$C$73,INT(((DATOS!$C$83-2*AL29)+MAX(DATOS!$C$70,INDEX(TABLAS!$C$52:$C$58,MIN(MATCH(MAX(4,DATOS!$C$72),TABLAS!$B$52:$B$58,0)+1,7))))/(INDEX(TABLAS!$C$52:$C$58,MIN(MATCH(MAX(4,DATOS!$C$72),TABLAS!$B$52:$B$58,0)+1,7))+MAX(DATOS!$C$70,INDEX(TABLAS!$C$52:$C$58,MIN(MATCH(MAX(4,DATOS!$C$72),TABLAS!$B$52:$B$58,0)+1,7))))))),INDEX(TABLAS!$B$52:$B$58,MIN(MATCH(MAX(4,DATOS!$C$72),TABLAS!$B$52:$B$58,0)+1,7)),IF(AND(CK29&gt;=0,IF(MAX(DATOS!$C$74,CEILING(CK29/INDEX(TABLAS!$D$52:$D$58,MIN(MATCH(MAX(4,DATOS!$C$72),TABLAS!$B$52:$B$58,0)+2,7)),1))*INDEX(TABLAS!$D$52:$D$58,MIN(MATCH(MAX(4,DATOS!$C$72),TABLAS!$B$52:$B$58,0)+2,7)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+2,7)),1)),MAX(MAX(DATOS!$C$74,CEILING(CK29/INDEX(TABLAS!$D$52:$D$58,MIN(MATCH(MAX(4,DATOS!$C$72),TABLAS!$B$52:$B$58,0)+2,7)),1)),2))&lt;=MIN(DATOS!$C$73,INT(((DATOS!$C$83-2*AL29)+MAX(DATOS!$C$70,INDEX(TABLAS!$C$52:$C$58,MIN(MATCH(MAX(4,DATOS!$C$72),TABLAS!$B$52:$B$58,0)+2,7))))/(INDEX(TABLAS!$C$52:$C$58,MIN(MATCH(MAX(4,DATOS!$C$72),TABLAS!$B$52:$B$58,0)+2,7))+MAX(DATOS!$C$70,INDEX(TABLAS!$C$52:$C$58,MIN(MATCH(MAX(4,DATOS!$C$72),TABLAS!$B$52:$B$58,0)+2,7))))))),INDEX(TABLAS!$B$52:$B$58,MIN(MATCH(MAX(4,DATOS!$C$72),TABLAS!$B$52:$B$58,0)+2,7)),IF(AND(CK29&gt;=0,IF(MAX(DATOS!$C$74,CEILING(CK29/INDEX(TABLAS!$D$52:$D$58,MIN(MATCH(MAX(4,DATOS!$C$72),TABLAS!$B$52:$B$58,0)+3,7)),1))*INDEX(TABLAS!$D$52:$D$58,MIN(MATCH(MAX(4,DATOS!$C$72),TABLAS!$B$52:$B$58,0)+3,7)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+3,7)),1)),MAX(MAX(DATOS!$C$74,CEILING(CK29/INDEX(TABLAS!$D$52:$D$58,MIN(MATCH(MAX(4,DATOS!$C$72),TABLAS!$B$52:$B$58,0)+3,7)),1)),2))&lt;=MIN(DATOS!$C$73,INT(((DATOS!$C$83-2*AL29)+MAX(DATOS!$C$70,INDEX(TABLAS!$C$52:$C$58,MIN(MATCH(MAX(4,DATOS!$C$72),TABLAS!$B$52:$B$58,0)+3,7))))/(INDEX(TABLAS!$C$52:$C$58,MIN(MATCH(MAX(4,DATOS!$C$72),TABLAS!$B$52:$B$58,0)+3,7))+MAX(DATOS!$C$70,INDEX(TABLAS!$C$52:$C$58,MIN(MATCH(MAX(4,DATOS!$C$72),TABLAS!$B$52:$B$58,0)+3,7))))))),INDEX(TABLAS!$B$52:$B$58,MIN(MATCH(MAX(4,DATOS!$C$72),TABLAS!$B$52:$B$58,0)+3,7)),IF(AND(CK29&gt;=0,IF(MAX(DATOS!$C$74,CEILING(CK29/INDEX(TABLAS!$D$52:$D$58,MIN(MATCH(MAX(4,DATOS!$C$72),TABLAS!$B$52:$B$58,0)+4,7)),1))*INDEX(TABLAS!$D$52:$D$58,MIN(MATCH(MAX(4,DATOS!$C$72),TABLAS!$B$52:$B$58,0)+4,7)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+4,7)),1)),MAX(MAX(DATOS!$C$74,CEILING(CK29/INDEX(TABLAS!$D$52:$D$58,MIN(MATCH(MAX(4,DATOS!$C$72),TABLAS!$B$52:$B$58,0)+4,7)),1)),2))&lt;=MIN(DATOS!$C$73,INT(((DATOS!$C$83-2*AL29)+MAX(DATOS!$C$70,INDEX(TABLAS!$C$52:$C$58,MIN(MATCH(MAX(4,DATOS!$C$72),TABLAS!$B$52:$B$58,0)+4,7))))/(INDEX(TABLAS!$C$52:$C$58,MIN(MATCH(MAX(4,DATOS!$C$72),TABLAS!$B$52:$B$58,0)+4,7))+MAX(DATOS!$C$70,INDEX(TABLAS!$C$52:$C$58,MIN(MATCH(MAX(4,DATOS!$C$72),TABLAS!$B$52:$B$58,0)+4,7))))))),INDEX(TABLAS!$B$52:$B$58,MIN(MATCH(MAX(4,DATOS!$C$72),TABLAS!$B$52:$B$58,0)+4,7)),INDEX(TABLAS!$B$52:$B$58,7)))))))</f>
        <v/>
      </c>
      <c r="CM29" s="59" t="str">
        <f>IF(V29&lt;&gt;"SÍ","",IF(CK29&lt;0,0,IF(MAX(DATOS!$C$74,CEILING(MAX(CK29,0)/INDEX(TABLAS!$D$52:$D$58,MATCH(CL29,TABLAS!$B$52:$B$58,0)),1))*INDEX(TABLAS!$D$52:$D$58,MATCH(CL29,TABLAS!$B$52:$B$58,0))&gt;=4/3*IF(BJ29&lt;=0,0,IF((1-2*BJ29*1E5/(DATOS!$C$29*AG29*CJ29^2*DATOS!$C$21))&lt;0,-1,IF((1-SQRT((1-2*BJ29*1E5/(DATOS!$C$29*AG29*CJ29^2*DATOS!$C$21))))*DATOS!$C$21*AG29*CJ29/DATOS!$C$14&gt;DATOS!$C$102*AG29*CJ29,-1,(1-SQRT((1-2*BJ29*1E5/(DATOS!$C$29*AG29*CJ29^2*DATOS!$C$21))))*DATOS!$C$21*AG29*CJ29/DATOS!$C$14)))-0.0001,MAX(DATOS!$C$74,CEILING(MAX(CK29,0)/INDEX(TABLAS!$D$52:$D$58,MATCH(CL29,TABLAS!$B$52:$B$58,0)),1)),MAX(MAX(DATOS!$C$74,CEILING(MAX(CK29,0)/INDEX(TABLAS!$D$52:$D$58,MATCH(CL29,TABLAS!$B$52:$B$58,0)),1)),2))))</f>
        <v/>
      </c>
      <c r="CN29" s="58" t="str">
        <f>IF(V29&lt;&gt;"SÍ","",((DATOS!$C$85-AM29-2*DATOS!$C$97-INDEX(TABLAS!$C$52:$C$58,MATCH(BV29,TABLAS!$B$52:$B$58,0))-INDEX(TABLAS!$C$52:$C$58,MATCH(CL29,TABLAS!$B$52:$B$58,0))/2)-IF(AND((DATOS!$C$85-AM29-2*DATOS!$C$97-INDEX(TABLAS!$C$52:$C$58,MATCH(BV29,TABLAS!$B$52:$B$58,0))-INDEX(TABLAS!$C$52:$C$58,MATCH(CL29,TABLAS!$B$52:$B$58,0))/2)&lt;=20,DATOS!$C$65&lt;&gt;"SÍ"),2,0)))</f>
        <v/>
      </c>
      <c r="CO29" s="56" t="str">
        <f>IF(V29&lt;&gt;"SÍ","",IF(CM29=0,0,DATOS!$C$29*CM29*INDEX(TABLAS!$D$52:$D$58,MATCH(CL29,TABLAS!$B$52:$B$58,0))*DATOS!$C$14*(CN29-CM29*INDEX(TABLAS!$D$52:$D$58,MATCH(CL29,TABLAS!$B$52:$B$58,0))*DATOS!$C$14/(DATOS!$C$21*AG29)/2)/1E5))</f>
        <v/>
      </c>
      <c r="CP29" s="65" t="str">
        <f>IF(V29&lt;&gt;"SÍ","",IF(CK29&lt;0,9.99,IF(CO29&gt;0,BJ29/CO29,0)))</f>
        <v/>
      </c>
      <c r="CQ29" s="66" t="str">
        <f>IF(V29&lt;&gt;"SÍ","",IF(CM29=0,"—",0.003*(CN29-(CM29*INDEX(TABLAS!$D$52:$D$58,MATCH(CL29,TABLAS!$B$52:$B$58,0))*DATOS!$C$14/(DATOS!$C$21*AG29)/DATOS!$C$22))/(CM29*INDEX(TABLAS!$D$52:$D$58,MATCH(CL29,TABLAS!$B$52:$B$58,0))*DATOS!$C$14/(DATOS!$C$21*AG29)/DATOS!$C$22)))</f>
        <v/>
      </c>
      <c r="CR29" s="56" t="str">
        <f>IF(V29&lt;&gt;"SÍ","",IF(C29="PERIMETRAL",MAX(0,(AB29/2-BX29)/100)*(0.95-0.5*AA29)*AR29*IF(AND(AS29&gt;0,AS29&lt;4),DATOS!$C$33,1)*DATOS!$C$86/100/1000,(AR29*MAX(0,AB29-BX29)/100+DATOS!$C$26*N(O29))*DATOS!$C$86/100/1000+BF29))</f>
        <v/>
      </c>
      <c r="CS29" s="56" t="str">
        <f>IF(V29&lt;&gt;"SÍ","",DATOS!$C$30*2*MIN(1,SQRT(2/(1+0.04*BX29)))*(BW29*INDEX(TABLAS!$D$52:$D$58,MATCH(BV29,TABLAS!$B$52:$B$58,0))/(AF29*BX29))^(1/3)*SQRT(DATOS!$C$13)*AF29*BX29*IF(AJ29="SÍ",DATOS!$C$32,1)/1000)</f>
        <v/>
      </c>
      <c r="CT29" s="59" t="str">
        <f>IF(V29&lt;&gt;"SÍ","",IF(CR29&lt;=CS29,0,CEILING(MAX(0,IF(C29="VOLADO",(AB29-((CS29-BF29)*1E5/DATOS!$C$86-DATOS!$C$26*N(O29))*100/AR29),IF(CS29&lt;=0,AB29,AB29/2-CS29/MAX(CR29,1E-9)*(AB29/2-BX29)))-IF(X29="X",MIN(DJ29,DK29),MIN(DL29,DM29)))/DATOS!$C$86,1)))</f>
        <v/>
      </c>
      <c r="CU29" s="67" t="str">
        <f>IF(V29&lt;&gt;"SÍ","",IF(CR29&lt;=CS29,"CUMPLE",IF(CT29&lt;=0,"CUMPLE (basta el macizo de orilla)",IF(CT29*DATOS!$C$86*IF(C29="VOLADO",1,2)&gt;=Y29*100-DATOS!$C$87,"NO CUMPLE: no alcanza ni macizando todo","MACIZAR "&amp;CT29&amp;" hilera(s)"))))</f>
        <v/>
      </c>
      <c r="CV29" s="58" t="str">
        <f>IF(V29&lt;&gt;"SÍ","",(DATOS!$C$86*DATOS!$C$84^2/2+MIN(DATOS!$C$83,AD29)*DATOS!$C$82*(DATOS!$C$84+DATOS!$C$82/2))/(DATOS!$C$86*DATOS!$C$84+MIN(DATOS!$C$83,AD29)*DATOS!$C$82))</f>
        <v/>
      </c>
      <c r="CW29" s="68" t="str">
        <f>IF(V29&lt;&gt;"SÍ","",DATOS!$C$86*DATOS!$C$84^3/12+DATOS!$C$86*DATOS!$C$84*(CV29-DATOS!$C$84/2)^2+MIN(DATOS!$C$83,AD29)*DATOS!$C$82^3/12+MIN(DATOS!$C$83,AD29)*DATOS!$C$82*(DATOS!$C$84+DATOS!$C$82/2-CV29)^2)</f>
        <v/>
      </c>
      <c r="CX29" s="58" t="str">
        <f>IF(V29&lt;&gt;"SÍ","",(12*CW29/DATOS!$C$86)^(1/3))</f>
        <v/>
      </c>
      <c r="CY29" s="58" t="str">
        <f>IF(V29&lt;&gt;"SÍ","",IF(C29="PERIMETRAL",IF(ISNUMBER(S29),S29,DATOS!$C$104),0))</f>
        <v/>
      </c>
      <c r="CZ29" s="57" t="str">
        <f>IF(V29&lt;&gt;"SÍ","",IF(C29="PERIMETRAL",IF(CY29&gt;2,MAX(9,AC29*(0.8+DATOS!$C$14/14000)/(36+9*(AC29/MAX(AB29,1)))),IF(CY29&gt;0.2,MAX(13,AC29*(0.8+DATOS!$C$14/14000)/(36+5*(AC29/MAX(AB29,1))*(CY29-0.2))),MAX(13,AC29/IF(AS29&gt;0,30,33))))*IF(AND(CY29&gt;0.2,AS29&gt;0,DATOS!$C$105="NO"),1.1,1),MAX(25,Y29*100/8*(0.4+DATOS!$C$14/7000))))</f>
        <v/>
      </c>
      <c r="DA29" s="61" t="str">
        <f>IF(V29&lt;&gt;"SÍ","",IF(IF(C29="VOLADO",DATOS!$C$85,CX29)&gt;=CZ29,"CUMPLE",IF(C29="VOLADO","NO CUMPLE","CALCULAR FLECHA")))</f>
        <v/>
      </c>
      <c r="DB29" s="55" t="str">
        <f>IF(V29&lt;&gt;"SÍ","",IF(DATOS!$C$84&gt;=IF(IF(C29="VOLADO",Y29,Z29)&gt;=6,6,5),"CUMPLE","CAPA ≥ 6 cm"))</f>
        <v/>
      </c>
      <c r="DC29" s="60" t="str">
        <f>IF(V29&lt;&gt;"SÍ","",IF(C29="VOLADO",MIN(FLOOR(IF(ISNUMBER(P29),P29,Y29)*100-DATOS!$C$63,5),CEILING(MAX(IF((0.5*(0.9*DATOS!$C$90*DATOS!$C$86/100/1000)*IF(ISNUMBER(P29),P29,Y29)+BH29/IF(ISNUMBER(P29),P29,Y29))^2-4*(0.5*(0.9*DATOS!$C$90*DATOS!$C$86/100/1000))*BH29&lt;0,IF(ISNUMBER(P29),P29,Y29),MIN(IF(ISNUMBER(P29),P29,Y29),((0.5*(0.9*DATOS!$C$90*DATOS!$C$86/100/1000)*IF(ISNUMBER(P29),P29,Y29)+BH29/IF(ISNUMBER(P29),P29,Y29))-SQRT((0.5*(0.9*DATOS!$C$90*DATOS!$C$86/100/1000)*IF(ISNUMBER(P29),P29,Y29)+BH29/IF(ISNUMBER(P29),P29,Y29))^2-4*(0.5*(0.9*DATOS!$C$90*DATOS!$C$86/100/1000))*BH29))/(2*(0.5*(0.9*DATOS!$C$90*DATOS!$C$86/100/1000)))))*100+MAX(BX29,12*INDEX(TABLAS!$C$52:$C$58,MATCH(BV29,TABLAS!$B$52:$B$58,0)),IF(ISNUMBER(P29),P29,Y29)*100/16),IF(OR(AL29&lt;INDEX(TABLAS!$C$52:$C$58,MATCH(BV29,TABLAS!$B$52:$B$58,0)),AND(BW29&gt;=2,(AD29-2*AL29-BW29*INDEX(TABLAS!$C$52:$C$58,MATCH(BV29,TABLAS!$B$52:$B$58,0)))/MAX(BW29-1,1)&lt;2*INDEX(TABLAS!$C$52:$C$58,MATCH(BV29,TABLAS!$B$52:$B$58,0)))),INDEX(TABLAS!$I$52:$I$58,MATCH(BV29,TABLAS!$B$52:$B$58,0)),INDEX(TABLAS!$F$52:$F$58,MATCH(BV29,TABLAS!$B$52:$B$58,0)))),5)),IF(((4*((BC29*AR29*Y29^2*1E-4*DATOS!$C$86/100/1000)+((MAX(AY29,BA29)*AR29*Y29^2*1E-4*DATOS!$C$86/100/1000)+(IF(AND(AY29&gt;0,BA29&gt;0),MIN(AY29,BA29),MAX(AY29,BA29))*AR29*Y29^2*1E-4*DATOS!$C$86/100/1000))/2)+BH29-(IF(AND(AY29&gt;0,BA29&gt;0),MIN(AY29,BA29),MAX(AY29,BA29))*AR29*Y29^2*1E-4*DATOS!$C$86/100/1000))^2-16*((BC29*AR29*Y29^2*1E-4*DATOS!$C$86/100/1000)+((MAX(AY29,BA29)*AR29*Y29^2*1E-4*DATOS!$C$86/100/1000)+(IF(AND(AY29&gt;0,BA29&gt;0),MIN(AY29,BA29),MAX(AY29,BA29))*AR29*Y29^2*1E-4*DATOS!$C$86/100/1000))/2)*BH29)&lt;0,CEILING(AB29,5),CEILING(MAX(AB29*((4*((BC29*AR29*Y29^2*1E-4*DATOS!$C$86/100/1000)+((MAX(AY29,BA29)*AR29*Y29^2*1E-4*DATOS!$C$86/100/1000)+(IF(AND(AY29&gt;0,BA29&gt;0),MIN(AY29,BA29),MAX(AY29,BA29))*AR29*Y29^2*1E-4*DATOS!$C$86/100/1000))/2)+BH29-(IF(AND(AY29&gt;0,BA29&gt;0),MIN(AY29,BA29),MAX(AY29,BA29))*AR29*Y29^2*1E-4*DATOS!$C$86/100/1000))-SQRT(MAX(0,((4*((BC29*AR29*Y29^2*1E-4*DATOS!$C$86/100/1000)+((MAX(AY29,BA29)*AR29*Y29^2*1E-4*DATOS!$C$86/100/1000)+(IF(AND(AY29&gt;0,BA29&gt;0),MIN(AY29,BA29),MAX(AY29,BA29))*AR29*Y29^2*1E-4*DATOS!$C$86/100/1000))/2)+BH29-(IF(AND(AY29&gt;0,BA29&gt;0),MIN(AY29,BA29),MAX(AY29,BA29))*AR29*Y29^2*1E-4*DATOS!$C$86/100/1000))^2-16*((BC29*AR29*Y29^2*1E-4*DATOS!$C$86/100/1000)+((MAX(AY29,BA29)*AR29*Y29^2*1E-4*DATOS!$C$86/100/1000)+(IF(AND(AY29&gt;0,BA29&gt;0),MIN(AY29,BA29),MAX(AY29,BA29))*AR29*Y29^2*1E-4*DATOS!$C$86/100/1000))/2)*BH29))))/(8*MAX(((BC29*AR29*Y29^2*1E-4*DATOS!$C$86/100/1000)+((MAX(AY29,BA29)*AR29*Y29^2*1E-4*DATOS!$C$86/100/1000)+(IF(AND(AY29&gt;0,BA29&gt;0),MIN(AY29,BA29),MAX(AY29,BA29))*AR29*Y29^2*1E-4*DATOS!$C$86/100/1000))/2),1E-9))+MAX(BX29,12*INDEX(TABLAS!$C$52:$C$58,MATCH(BV29,TABLAS!$B$52:$B$58,0)),AB29/16),IF(OR(AL29&lt;INDEX(TABLAS!$C$52:$C$58,MATCH(BV29,TABLAS!$B$52:$B$58,0)),AND(BW29&gt;=2,(AD29-2*AL29-BW29*INDEX(TABLAS!$C$52:$C$58,MATCH(BV29,TABLAS!$B$52:$B$58,0)))/MAX(BW29-1,1)&lt;2*INDEX(TABLAS!$C$52:$C$58,MATCH(BV29,TABLAS!$B$52:$B$58,0)))),INDEX(TABLAS!$I$52:$I$58,MATCH(BV29,TABLAS!$B$52:$B$58,0)),INDEX(TABLAS!$F$52:$F$58,MATCH(BV29,TABLAS!$B$52:$B$58,0)))),5))))</f>
        <v/>
      </c>
      <c r="DD29" s="60" t="str">
        <f>IF(V29&lt;&gt;"SÍ","",IF(C29="VOLADO",0,IF(((4*((BD29*AR29*Y29^2*1E-4*DATOS!$C$86/100/1000)+((MAX(AZ29,BB29)*AR29*Y29^2*1E-4*DATOS!$C$86/100/1000)+(IF(AND(AZ29&gt;0,BB29&gt;0),MIN(AZ29,BB29),MAX(AZ29,BB29))*AR29*Y29^2*1E-4*DATOS!$C$86/100/1000))/2)+BJ29-(IF(AND(AZ29&gt;0,BB29&gt;0),MIN(AZ29,BB29),MAX(AZ29,BB29))*AR29*Y29^2*1E-4*DATOS!$C$86/100/1000))^2-16*((BD29*AR29*Y29^2*1E-4*DATOS!$C$86/100/1000)+((MAX(AZ29,BB29)*AR29*Y29^2*1E-4*DATOS!$C$86/100/1000)+(IF(AND(AZ29&gt;0,BB29&gt;0),MIN(AZ29,BB29),MAX(AZ29,BB29))*AR29*Y29^2*1E-4*DATOS!$C$86/100/1000))/2)*BJ29)&lt;0,CEILING(AC29,5),CEILING(MAX(AC29*((4*((BD29*AR29*Y29^2*1E-4*DATOS!$C$86/100/1000)+((MAX(AZ29,BB29)*AR29*Y29^2*1E-4*DATOS!$C$86/100/1000)+(IF(AND(AZ29&gt;0,BB29&gt;0),MIN(AZ29,BB29),MAX(AZ29,BB29))*AR29*Y29^2*1E-4*DATOS!$C$86/100/1000))/2)+BJ29-(IF(AND(AZ29&gt;0,BB29&gt;0),MIN(AZ29,BB29),MAX(AZ29,BB29))*AR29*Y29^2*1E-4*DATOS!$C$86/100/1000))-SQRT(MAX(0,((4*((BD29*AR29*Y29^2*1E-4*DATOS!$C$86/100/1000)+((MAX(AZ29,BB29)*AR29*Y29^2*1E-4*DATOS!$C$86/100/1000)+(IF(AND(AZ29&gt;0,BB29&gt;0),MIN(AZ29,BB29),MAX(AZ29,BB29))*AR29*Y29^2*1E-4*DATOS!$C$86/100/1000))/2)+BJ29-(IF(AND(AZ29&gt;0,BB29&gt;0),MIN(AZ29,BB29),MAX(AZ29,BB29))*AR29*Y29^2*1E-4*DATOS!$C$86/100/1000))^2-16*((BD29*AR29*Y29^2*1E-4*DATOS!$C$86/100/1000)+((MAX(AZ29,BB29)*AR29*Y29^2*1E-4*DATOS!$C$86/100/1000)+(IF(AND(AZ29&gt;0,BB29&gt;0),MIN(AZ29,BB29),MAX(AZ29,BB29))*AR29*Y29^2*1E-4*DATOS!$C$86/100/1000))/2)*BJ29))))/(8*MAX(((BD29*AR29*Y29^2*1E-4*DATOS!$C$86/100/1000)+((MAX(AZ29,BB29)*AR29*Y29^2*1E-4*DATOS!$C$86/100/1000)+(IF(AND(AZ29&gt;0,BB29&gt;0),MIN(AZ29,BB29),MAX(AZ29,BB29))*AR29*Y29^2*1E-4*DATOS!$C$86/100/1000))/2),1E-9))+MAX(CN29,12*INDEX(TABLAS!$C$52:$C$58,MATCH(CL29,TABLAS!$B$52:$B$58,0)),AC29/16),IF(OR(AL29&lt;INDEX(TABLAS!$C$52:$C$58,MATCH(CL29,TABLAS!$B$52:$B$58,0)),AND(CM29&gt;=2,(DATOS!$C$83-2*AL29-CM29*INDEX(TABLAS!$C$52:$C$58,MATCH(CL29,TABLAS!$B$52:$B$58,0)))/MAX(CM29-1,1)&lt;2*INDEX(TABLAS!$C$52:$C$58,MATCH(CL29,TABLAS!$B$52:$B$58,0)))),INDEX(TABLAS!$I$52:$I$58,MATCH(CL29,TABLAS!$B$52:$B$58,0)),INDEX(TABLAS!$F$52:$F$58,MATCH(CL29,TABLAS!$B$52:$B$58,0)))),5))))</f>
        <v/>
      </c>
      <c r="DE29" s="55" t="str">
        <f>IF(V29&lt;&gt;"SÍ","",IF(AND(C29="PERIMETRAL",BW29&gt;=2,AS29-AT29&gt;0,BA29*AR29*Y29^2*1E-4*DATOS!$C$86/100/1000&gt;DATOS!$C$29*INDEX(TABLAS!$D$52:$D$58,MATCH(BV29,TABLAS!$B$52:$B$58,0))*DATOS!$C$14*(BX29-INDEX(TABLAS!$D$52:$D$58,MATCH(BV29,TABLAS!$B$52:$B$58,0))*DATOS!$C$14/(DATOS!$C$21*AF29)/2)/1E5),"SÍ","NO"))</f>
        <v/>
      </c>
      <c r="DF29" s="55" t="str">
        <f>IF(V29&lt;&gt;"SÍ","",IF(AND(C29="PERIMETRAL",CM29&gt;=2,AT29&gt;0,BB29*AR29*Y29^2*1E-4*DATOS!$C$86/100/1000&gt;DATOS!$C$29*INDEX(TABLAS!$D$52:$D$58,MATCH(CL29,TABLAS!$B$52:$B$58,0))*DATOS!$C$14*(CN29-INDEX(TABLAS!$D$52:$D$58,MATCH(CL29,TABLAS!$B$52:$B$58,0))*DATOS!$C$14/(DATOS!$C$21*AG29)/2)/1E5),"SÍ","NO"))</f>
        <v/>
      </c>
      <c r="DG29" s="63" t="str">
        <f>IF(V29&lt;&gt;"SÍ","",IF(OR(C29="VOLADO",AS29=0),"—",IF(AND(AND(1.25*INDEX(TABLAS!$G$52:$G$58,MATCH(MAX(BN29,CD29),TABLAS!$B$52:$B$58,0))&lt;=(DATOS!$C$75-DATOS!$C$63),(DATOS!$C$75-DATOS!$C$63)&gt;=15,INDEX(TABLAS!$G$52:$G$58,MATCH(MAX(BV29,CL29),TABLAS!$B$52:$B$58,0))&lt;=(DATOS!$C$75-DATOS!$C$63)),8*INDEX(TABLAS!$C$52:$C$58,MATCH(MAX(MAX(BN29,CD29),MAX(BV29,CL29)),TABLAS!$B$52:$B$58,0))&lt;=DATOS!$C$76-2*DATOS!$C$63),"CUMPLE (gancho de 180°)",IF(AND(1.25*INDEX(TABLAS!$G$52:$G$58,MATCH(MAX(BN29,CD29),TABLAS!$B$52:$B$58,0))&lt;=(DATOS!$C$75-DATOS!$C$63),(DATOS!$C$75-DATOS!$C$63)&gt;=15,INDEX(TABLAS!$G$52:$G$58,MATCH(MAX(BV29,CL29),TABLAS!$B$52:$B$58,0))&lt;=(DATOS!$C$75-DATOS!$C$63)),"NO CUMPLE: el gancho de 180° (8·d_b) no cabe en el peralte de la dala de borde","NO CUMPLE: dala de borde ≥ "&amp;TEXT(CEILING(MAX(1.25*INDEX(TABLAS!$G$52:$G$58,MATCH(MAX(BN29,CD29),TABLAS!$B$52:$B$58,0)),15,INDEX(TABLAS!$G$52:$G$58,MATCH(MAX(BV29,CL29),TABLAS!$B$52:$B$58,0)))+DATOS!$C$63,5),"0")&amp;" cm de ancho"&amp;IF(8*INDEX(TABLAS!$C$52:$C$58,MATCH(MAX(MAX(BN29,CD29),MAX(BV29,CL29)),TABLAS!$B$52:$B$58,0))&lt;=DATOS!$C$76-2*DATOS!$C$63,""," y más peralte para el gancho")))))</f>
        <v/>
      </c>
      <c r="DH29" s="59" t="str">
        <f>IF(V29&lt;&gt;"SÍ","",MAX(0,INT((E29*100-DATOS!$C$87-IF(AND(C29="PERIMETRAL",I29="DISCONTINUO"),MAX(0,DATOS!$C$75-DATOS!$C$87),0)-IF(AND(C29="PERIMETRAL",J29="DISCONTINUO"),MAX(0,DATOS!$C$75-DATOS!$C$87),0)+DATOS!$C$86-IF(X29="X",DATOS!$C$81,AE29))/DATOS!$C$86)))</f>
        <v/>
      </c>
      <c r="DI29" s="59" t="str">
        <f>IF(V29&lt;&gt;"SÍ","",MAX(0,INT((F29*100-DATOS!$C$87-IF(AND(C29="PERIMETRAL",G29="DISCONTINUO"),MAX(0,DATOS!$C$75-DATOS!$C$87),0)-IF(AND(C29="PERIMETRAL",H29="DISCONTINUO"),MAX(0,DATOS!$C$75-DATOS!$C$87),0)+DATOS!$C$86-IF(X29="Y",DATOS!$C$81,AE29))/DATOS!$C$86)))</f>
        <v/>
      </c>
      <c r="DJ29" s="57" t="str">
        <f>IF(V29&lt;&gt;"SÍ","",IF(DH29&gt;0,IF(AND(C29="PERIMETRAL",I29="DISCONTINUO"),MAX(0,DATOS!$C$75-DATOS!$C$87),0)+(E29*100-DATOS!$C$87-IF(AND(C29="PERIMETRAL",I29="DISCONTINUO"),MAX(0,DATOS!$C$75-DATOS!$C$87),0)-IF(AND(C29="PERIMETRAL",J29="DISCONTINUO"),MAX(0,DATOS!$C$75-DATOS!$C$87),0)-(DH29*IF(X29="X",DATOS!$C$81,AE29)+(DH29-1)*(DATOS!$C$86-IF(X29="X",DATOS!$C$81,AE29))))/2,E29*100/2))</f>
        <v/>
      </c>
      <c r="DK29" s="57" t="str">
        <f>IF(V29&lt;&gt;"SÍ","",IF(DH29&gt;0,IF(AND(C29="PERIMETRAL",J29="DISCONTINUO"),MAX(0,DATOS!$C$75-DATOS!$C$87),0)+(E29*100-DATOS!$C$87-IF(AND(C29="PERIMETRAL",I29="DISCONTINUO"),MAX(0,DATOS!$C$75-DATOS!$C$87),0)-IF(AND(C29="PERIMETRAL",J29="DISCONTINUO"),MAX(0,DATOS!$C$75-DATOS!$C$87),0)-(DH29*IF(X29="X",DATOS!$C$81,AE29)+(DH29-1)*(DATOS!$C$86-IF(X29="X",DATOS!$C$81,AE29))))/2,E29*100/2))</f>
        <v/>
      </c>
      <c r="DL29" s="57" t="str">
        <f>IF(V29&lt;&gt;"SÍ","",IF(DI29&gt;0,IF(AND(C29="PERIMETRAL",G29="DISCONTINUO"),MAX(0,DATOS!$C$75-DATOS!$C$87),0)+(F29*100-DATOS!$C$87-IF(AND(C29="PERIMETRAL",G29="DISCONTINUO"),MAX(0,DATOS!$C$75-DATOS!$C$87),0)-IF(AND(C29="PERIMETRAL",H29="DISCONTINUO"),MAX(0,DATOS!$C$75-DATOS!$C$87),0)-(DI29*IF(X29="Y",DATOS!$C$81,AE29)+(DI29-1)*(DATOS!$C$86-IF(X29="Y",DATOS!$C$81,AE29))))/2,F29*100/2))</f>
        <v/>
      </c>
      <c r="DM29" s="57" t="str">
        <f>IF(V29&lt;&gt;"SÍ","",IF(DI29&gt;0,IF(AND(C29="PERIMETRAL",H29="DISCONTINUO"),MAX(0,DATOS!$C$75-DATOS!$C$87),0)+(F29*100-DATOS!$C$87-IF(AND(C29="PERIMETRAL",G29="DISCONTINUO"),MAX(0,DATOS!$C$75-DATOS!$C$87),0)-IF(AND(C29="PERIMETRAL",H29="DISCONTINUO"),MAX(0,DATOS!$C$75-DATOS!$C$87),0)-(DI29*IF(X29="Y",DATOS!$C$81,AE29)+(DI29-1)*(DATOS!$C$86-IF(X29="Y",DATOS!$C$81,AE29))))/2,F29*100/2))</f>
        <v/>
      </c>
      <c r="DN29" s="59" t="str">
        <f>IF(V29&lt;&gt;"SÍ","",IF(NOT(AND(C29="VOLADO",AD29&gt;DATOS!$C$83)),0,IF(INDEX(TABLAS!$C$52:$C$58,MATCH(BV29,TABLAS!$B$52:$B$58,0))&lt;=DATOS!$C$83-2*DATOS!$C$63,1,0)))</f>
        <v/>
      </c>
      <c r="DO29" s="58" t="str">
        <f>IF(V29&lt;&gt;"SÍ","",IF(NOT(AND(C29="VOLADO",AD29&gt;DATOS!$C$83)),0,((DATOS!$C$85-MAX(DATOS!$C$63,(DATOS!$C$84-2*DATOS!$C$97)/2)-2*DATOS!$C$97-INDEX(TABLAS!$C$52:$C$58,MATCH(MAX(4,DATOS!$C$72),TABLAS!$B$52:$B$58,0))-INDEX(TABLAS!$C$52:$C$58,MATCH(BV29,TABLAS!$B$52:$B$58,0))/2)-IF(AND((DATOS!$C$85-MAX(DATOS!$C$63,(DATOS!$C$84-2*DATOS!$C$97)/2)-2*DATOS!$C$97-INDEX(TABLAS!$C$52:$C$58,MATCH(MAX(4,DATOS!$C$72),TABLAS!$B$52:$B$58,0))-INDEX(TABLAS!$C$52:$C$58,MATCH(BV29,TABLAS!$B$52:$B$58,0))/2)&lt;=20,DATOS!$C$65&lt;&gt;"SÍ"),2,0))))</f>
        <v/>
      </c>
      <c r="DP29" s="56" t="str">
        <f>IF(V29&lt;&gt;"SÍ","",IF(OR(NOT(AND(C29="VOLADO",AD29&gt;DATOS!$C$83)),DN29&lt;1),0,IF(0.003*(DO29-((DN29*INDEX(TABLAS!$D$52:$D$58,MATCH(BV29,TABLAS!$B$52:$B$58,0)))*DATOS!$C$14/(DATOS!$C$21*AG29)/DATOS!$C$22))/((DN29*INDEX(TABLAS!$D$52:$D$58,MATCH(BV29,TABLAS!$B$52:$B$58,0)))*DATOS!$C$14/(DATOS!$C$21*AG29)/DATOS!$C$22)&lt;0.005,0,DATOS!$C$29*(DN29*INDEX(TABLAS!$D$52:$D$58,MATCH(BV29,TABLAS!$B$52:$B$58,0)))*DATOS!$C$14*(DO29-(DN29*INDEX(TABLAS!$D$52:$D$58,MATCH(BV29,TABLAS!$B$52:$B$58,0)))*DATOS!$C$14/(DATOS!$C$21*AG29)/2)/1E5)))</f>
        <v/>
      </c>
      <c r="DQ29" s="56" t="str">
        <f>IF(V29&lt;&gt;"SÍ","",IF(OR(NOT(AND(C29="VOLADO",AD29&gt;DATOS!$C$83)),DN29&lt;1),0,DATOS!$C$30*2*MIN(1,SQRT(2/(1+0.04*DO29)))*((DN29*INDEX(TABLAS!$D$52:$D$58,MATCH(BV29,TABLAS!$B$52:$B$58,0)))/(AG29*DO29))^(1/3)*SQRT(DATOS!$C$13)*AG29*DO29/1000))</f>
        <v/>
      </c>
      <c r="DR29" s="56" t="str">
        <f>IF(V29&lt;&gt;"SÍ","",IF(NOT(AND(C29="VOLADO",AD29&gt;DATOS!$C$83)),0,IF((BH29-DP29)&lt;=0,0,IF(DP29&lt;=0,IF(ISNUMBER(P29),P29,Y29),IF(((0.9*DATOS!$C$90*DATOS!$C$86/100/1000)*IF(ISNUMBER(P29),P29,Y29)/2+BH29/IF(ISNUMBER(P29),P29,Y29))^2-4*((0.9*DATOS!$C$90*DATOS!$C$86/100/1000)/2)*(BH29-DP29)&lt;0,IF(ISNUMBER(P29),P29,Y29),MIN(IF(ISNUMBER(P29),P29,Y29),(((0.9*DATOS!$C$90*DATOS!$C$86/100/1000)*IF(ISNUMBER(P29),P29,Y29)/2+BH29/IF(ISNUMBER(P29),P29,Y29))-SQRT(((0.9*DATOS!$C$90*DATOS!$C$86/100/1000)*IF(ISNUMBER(P29),P29,Y29)/2+BH29/IF(ISNUMBER(P29),P29,Y29))^2-4*((0.9*DATOS!$C$90*DATOS!$C$86/100/1000)/2)*(BH29-DP29)))/(2*((0.9*DATOS!$C$90*DATOS!$C$86/100/1000)/2))))))))</f>
        <v/>
      </c>
      <c r="DS29" s="56" t="str">
        <f>IF(V29&lt;&gt;"SÍ","",IF(NOT(AND(C29="VOLADO",AD29&gt;DATOS!$C$83)),0,IF(DQ29&lt;=(BH29/((IF(ISNUMBER(P29),P29,Y29)*100-DATOS!$C$87)/100)),IF(ISNUMBER(P29),P29,Y29),MIN(IF(ISNUMBER(P29),P29,Y29),MAX(0,(IF(ISNUMBER(P29),P29,Y29)*100-DATOS!$C$87)/200-(DQ29-(BH29/((IF(ISNUMBER(P29),P29,Y29)*100-DATOS!$C$87)/100)))/((0.95-0.5*IF(N(Q29)&gt;0,MIN(IF(ISNUMBER(P29),P29,Y29),Q29)/MAX(IF(ISNUMBER(P29),P29,Y29),Q29),0))*DATOS!$C$33*AR29*DATOS!$C$86/100/1000))))))</f>
        <v/>
      </c>
      <c r="DT29" s="56" t="str">
        <f>IF(V29&lt;&gt;"SÍ","",IF(NOT(AND(C29="VOLADO",AD29&gt;DATOS!$C$83)),0,(BH29/((IF(ISNUMBER(P29),P29,Y29)*100-DATOS!$C$87)/100))+((0.95-0.5*IF(N(Q29)&gt;0,MIN(IF(ISNUMBER(P29),P29,Y29),Q29)/MAX(IF(ISNUMBER(P29),P29,Y29),Q29),0))*DATOS!$C$33*AR29*DATOS!$C$86/100/1000)*MAX(0,(IF(ISNUMBER(P29),P29,Y29)*100-DATOS!$C$87)/200-BX29/100)))</f>
        <v/>
      </c>
      <c r="DU29" s="59" t="str">
        <f>IF(V29&lt;&gt;"SÍ","",IF(NOT(AND(C29="VOLADO",AD29&gt;DATOS!$C$83)),0,MIN(FLOOR(100*IF(ISNUMBER(P29),P29,Y29)-DATOS!$C$63,5),CEILING(100*MIN(IF(ISNUMBER(P29),P29,Y29),MAX(IF(DR29&gt;0,DR29+IF(BW29&gt;=2,MAX(DO29,12*INDEX(TABLAS!$C$52:$C$58,MATCH(BV29,TABLAS!$B$52:$B$58,0)))/100,0),0),DS29,IF(BW29&gt;=2,INDEX(TABLAS!$F$52:$F$58,MATCH(BV29,TABLAS!$B$52:$B$58,0))/100,0))),5))))</f>
        <v/>
      </c>
      <c r="DV29" s="60" t="str">
        <f>IF(V29&lt;&gt;"SÍ","",IF(NOT(AND(C29="VOLADO",AD29&gt;DATOS!$C$83)),0,IF(DU29&lt;=0,0,CEILING(DU29/DATOS!$C$86,1))))</f>
        <v/>
      </c>
      <c r="DW29" s="61" t="str">
        <f>IF(V29&lt;&gt;"SÍ","",IF(C29&lt;&gt;"VOLADO","—",IF(AD29&lt;=DATOS!$C$83,"— (mismo b_w que el respaldo)",IF(DT29&gt;CS29,"NO CUMPLE: cortante de la nervadura ancha junto al apoyo ("&amp;TEXT(DT29,"0.00")&amp;" &gt; "&amp;TEXT(CS29,"0.00")&amp;" t)",IF(DU29&gt;=100*IF(ISNUMBER(P29),P29,Y29),"CUMPLE — todas las nervaduras del respaldo ‖ al volado con b_w = "&amp;AD29&amp;" cm","CUMPLE — "&amp;DV29&amp;" hilera(s) del respaldo con nervaduras de b_w = "&amp;AD29&amp;" cm (casetón "&amp;AE29&amp;" cm), hasta "&amp;TEXT(DU29/100,"0.00")&amp;" m del paño")))))</f>
        <v/>
      </c>
      <c r="DX29" s="69" t="str">
        <f>IF(V29&lt;&gt;"SÍ","",IF(BO29=0,"NO ALCANZA",BO29&amp;" No. "&amp;BN29&amp;IF(BO29&gt;1," corridas"," corrida")))</f>
        <v/>
      </c>
      <c r="DY29" s="69" t="str">
        <f>IF(V29&lt;&gt;"SÍ","",IF(BW29=0,"NO ALCANZA",IF(AND(C29="VOLADO",AD29&gt;DATOS!$C$83,BW29&gt;=2),"1 No. "&amp;BV29&amp;" corrida de la orilla al respaldo ("&amp;IF(DC29&gt;=FLOOR(100*IF(ISNUMBER(P29),P29,Y29)-DATOS!$C$63,5),"hasta su apoyo lejano, con gancho","entra "&amp;TEXT(DC29/100,"0.00")&amp;" m desde el paño")&amp;") + "&amp;(BW29-1)&amp;" bastón No. "&amp;BV29&amp;" hasta "&amp;TEXT(DU29/100,"0.00")&amp;" m del paño (fin de la nervadura ancha)",IF(C29="VOLADO",BW29&amp;" No. "&amp;BV29&amp;" de la orilla al respaldo ("&amp;IF(DC29&gt;=FLOOR(100*IF(ISNUMBER(P29),P29,Y29)-DATOS!$C$63,5),"hasta su apoyo lejano, con gancho","entran "&amp;TEXT(DC29/100,"0.00")&amp;" m desde el paño")&amp;")","1 No. "&amp;BV29&amp;" corrida"&amp;IF(BW29&gt;1," + "&amp;(BW29-1)&amp;" bastón No. "&amp;BV29&amp;" L = "&amp;TEXT(DC29/100,"0.00")&amp;" m desde el paño","")))))</f>
        <v/>
      </c>
      <c r="DZ29" s="69" t="str">
        <f>IF(V29&lt;&gt;"SÍ","",IF(CE29=0,"NO ALCANZA",CE29&amp;" No. "&amp;CD29&amp;IF(CE29&gt;1," corridas"," corrida")))</f>
        <v/>
      </c>
      <c r="EA29" s="69" t="str">
        <f>IF(V29&lt;&gt;"SÍ","",IF(CM29=0,"NO ALCANZA",IF(C29="VOLADO","1 No. "&amp;CL29&amp;" corrida (repartición)","1 No. "&amp;CL29&amp;" corrida"&amp;IF(CM29&gt;1," + "&amp;(CM29-1)&amp;" bastón No. "&amp;CL29&amp;" L = "&amp;TEXT(DD29/100,"0.00")&amp;" m desde el paño",""))))</f>
        <v/>
      </c>
      <c r="EB29" s="67" t="str">
        <f>IF(B29="","",IF(V29&lt;&gt;"SÍ","FALTAN DATOS: tipo, a_x, a_y, destino y, en volados, L_b",IF(L29="NO MONOLÍTICO (caso II)","FUERA DE ALCANCE: caso II no transcrito",IF(AND(C29="VOLADO",W29="?"),"REVISAR: el volado lleva UN solo borde CONTINUO (el empotrado)",IF(MIN(DH29,DI29)=0,"REVISAR: no cabe un casetón (tablero macizo): diséñalo en MACIZAS",IF(AND(MAX(BR29,BZ29,CH29,CP29)&lt;=1,NOT(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T(OR(AND(ISNUMBER(BS29),BS29&lt;0.005),AND(ISNUMBER(CA29),CA29&lt;0.005),AND(ISNUMBER(CI29),CI29&lt;0.005),AND(ISNUMBER(CQ29),CQ29&lt;0.005))),NOT(LEFT(DW29,2)="NO"),DA29="CUMPLE",DB29="CUMPLE",LEFT(CU29,2)&lt;&gt;"NO",LEFT(DATOS!$C$132,6)="CUMPLE"),IF(LEFT(CU29,6)="CUMPLE","CUMPLE","CUMPLE — "&amp;CU29)&amp;IF(LEFT(BK29,5)="FUERA"," · fuera de 3.4.2.1 c)","")&amp;IF(LEFT(DG29,2)="NO"," · REVISAR anclaje en borde discontinuo","")&amp;IF(DV29&gt;0," · respaldo: "&amp;DV29&amp;" hilera(s) de b_w "&amp;AD29&amp;" cm",""),IF(AND(MAX(BR29,BZ29,CH29,CP29)&lt;=1,NOT(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T(OR(AND(ISNUMBER(BS29),BS29&lt;0.005),AND(ISNUMBER(CA29),CA29&lt;0.005),AND(ISNUMBER(CI29),CI29&lt;0.005),AND(ISNUMBER(CQ29),CQ29&lt;0.005))),NOT(LEFT(DW29,2)="NO"),DA29="CALCULAR FLECHA",LEFT(CU29,2)&lt;&gt;"NO",LEFT(DATOS!$C$132,6)="CUMPLE"),"REVISAR: calcular flecha (h_eq &lt; h mín.)"&amp;IF(LEFT(BK29,5)="FUERA"," · fuera de 3.4.2.1 c)","")&amp;IF(LEFT(DG29,2)="NO"," · REVISAR anclaje en borde discontinuo","")&amp;IF(DV29&gt;0," · respaldo: "&amp;DV29&amp;" hilera(s) de b_w "&amp;AD29&amp;" cm",""),"NO CUMPLE: "&amp;IF(MAX(BR29,BZ29,CH29,CP29)&gt;1,"flexión ","")&amp;IF(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 caben ","")&amp;IF(OR(AND(ISNUMBER(BS29),BS29&lt;0.005),AND(ISNUMBER(CA29),CA29&lt;0.005),AND(ISNUMBER(CI29),CI29&lt;0.005),AND(ISNUMBER(CQ29),CQ29&lt;0.005)),"ε_t &lt; 0.005 ","")&amp;IF(LEFT(CU29,2)="NO","cortante ","")&amp;IF(DA29="NO CUMPLE","peralte ","")&amp;IF(DB29&lt;&gt;"CUMPLE","capa &lt; 6 cm ","")&amp;IF(LEFT(DATOS!$C$132,6)&lt;&gt;"CUMPLE","capa o malla (DATOS sección 7) ","")&amp;IF(LEFT(DW29,2)="NO","respaldo del volado",""))))))))</f>
        <v/>
      </c>
      <c r="EC29" s="70" t="str">
        <f>IF(V29&lt;&gt;"SÍ","",IF(LEFT(B29,7)="EJEMPLO","EJEMPLO de la hoja de Casa Rocha: bórralo o sobrescríbelo. ","")&amp;IF(AND(C29="PERIMETRAL",MIN(DH29,DI29)=0),"No cabe un casetón en el claro corto: es un tablero macizo, diséñalo en MACIZAS. ","")&amp;IF(AND(AJ29="NO",C29="PERIMETRAL"),"No cumple 6.7.8.1.4 (a_c = "&amp;MAX(DATOS!$C$81,AE29)&amp;" cm &gt; claro corto/6 = "&amp;TEXT(Y29*100/6,"0")&amp;" cm): se diseña como losa apoyada en vigas (6.7.8.1.9): r de viga = "&amp;DATOS!$C$63&amp;" cm y V_cR sin ×1.1. Para que cuente como encasetonada: casetón de "&amp;TEXT(FLOOR(MIN(80,Y29*100/6),1),"0")&amp;" cm o menor. ","")&amp;IF(C29="VOLADO","Volado de "&amp;TEXT(Y29,"0.00")&amp;" m empotrado en el borde "&amp;LOWER(W29)&amp;IF(N(O29)&gt;0,", con "&amp;TEXT(O29,"0.0")&amp;" kg/m en la orilla","")&amp;". Lecho inferior con r_ext. Si la orilla carga pretil u otro elemento frágil, calcula la flecha (13.4). El acero superior entra al respaldo de "&amp;TEXT(IF(ISNUMBER(P29),P29,Y29),"0.00")&amp;" m"&amp;" hasta pasar M = 0 con 0.9·PP sin carga viva; si ahí no se anula, llega al apoyo lejano y se ancla con gancho (NTC-Criterios 3.4.1 c y 5.1.2.2). "&amp;IF(AD29&gt;DATOS!$C$83,"Respaldo: "&amp;DW29&amp;". ",""),"")&amp;IF(AND(C29="VOLADO",((0.9*DATOS!$C$90*DATOS!$C$86/100/1000)*IF(ISNUMBER(P29),P29,Y29)/2-BH29/IF(ISNUMBER(P29),P29,Y29))&lt;0),"Con 0.9·PP y sin carga viva el apoyo lejano del respaldo levanta (R = "&amp;TEXT(-((0.9*DATOS!$C$90*DATOS!$C$86/100/1000)*IF(ISNUMBER(P29),P29,Y29)/2-BH29/IF(ISNUMBER(P29),P29,Y29)),"0.00")&amp;" t por nervadura): ancla ahí la corrida con gancho y revisa ese apoyo a tensión. ","")&amp;IF(LEFT(BK29,5)="FUERA","El M⁻ del vecino difiere más de 50 % (3.4.2.1 c): distribuye el desequilibrio (3.4.3.1) o confirma con un modelo; se arma con el mayor. ","")&amp;IF(OR(DE29="SÍ",DF29="SÍ"),"El M⁻ del borde discontinuo pide bastón también ahí (con gancho). ","")&amp;IF(LEFT(DG29,2)="NO","Anclaje: "&amp;DG29&amp;" (6.7.8.1.7). ","")&amp;IF(AND(C29="PERIMETRAL",AT29&gt;=1,AS29-AT29&gt;=1),"Esquinas exteriores sobre muro: refuerzo de esquina arriba y abajo en L_largo/5 (6.7.7.3.1). ",""))</f>
        <v/>
      </c>
    </row>
    <row r="30" ht="33" customHeight="1">
      <c r="A30" s="50">
        <f>IF(B30="",0,1)+A29</f>
        <v>4</v>
      </c>
      <c r="B30" s="29" t="n"/>
      <c r="C30" s="51" t="n"/>
      <c r="D30" s="29" t="n"/>
      <c r="E30" s="52" t="n"/>
      <c r="F30" s="52" t="n"/>
      <c r="G30" s="51" t="n"/>
      <c r="H30" s="51" t="n"/>
      <c r="I30" s="51" t="n"/>
      <c r="J30" s="51" t="n"/>
      <c r="K30" s="51" t="n"/>
      <c r="L30" s="51" t="n"/>
      <c r="M30" s="53" t="n"/>
      <c r="N30" s="53" t="n"/>
      <c r="O30" s="54" t="n"/>
      <c r="P30" s="52" t="n"/>
      <c r="Q30" s="52" t="n"/>
      <c r="R30" s="53" t="n"/>
      <c r="S30" s="54" t="n"/>
      <c r="T30" s="52" t="n"/>
      <c r="U30" s="52" t="n"/>
      <c r="V30" s="55" t="str">
        <f>IF(B30="","",IF(AND(OR(C30="PERIMETRAL",C30="VOLADO"),ISNUMBER(E30),ISNUMBER(F30),E30&gt;0,F30&gt;0,OR(ISNUMBER(N30),ISNUMBER(MATCH(D30,DATOS!$B$46:$B$58,0))),OR(C30&lt;&gt;"VOLADO",N(P30)&gt;0)),"SÍ","NO"))</f>
        <v/>
      </c>
      <c r="W30" s="55" t="str">
        <f>IF(V30&lt;&gt;"SÍ","",IF(C30&lt;&gt;"VOLADO","—",IF(COUNTIF(G30:J30,"CONTINUO")&lt;&gt;1,"?",IF(G30="CONTINUO","INFERIOR",IF(H30="CONTINUO","SUPERIOR",IF(I30="CONTINUO","IZQUIERDO","DERECHO"))))))</f>
        <v/>
      </c>
      <c r="X30" s="55" t="str">
        <f>IF(V30&lt;&gt;"SÍ","",IF(C30="VOLADO",IF(OR(W30="IZQUIERDO",W30="DERECHO"),"X","Y"),IF(E30&lt;=F30,"X","Y")))</f>
        <v/>
      </c>
      <c r="Y30" s="56" t="str">
        <f>IF(V30&lt;&gt;"SÍ","",IF(C30="VOLADO",IF(X30="X",E30,F30),MIN(E30,F30)))</f>
        <v/>
      </c>
      <c r="Z30" s="56" t="str">
        <f>IF(V30&lt;&gt;"SÍ","",IF(C30="VOLADO",IF(X30="X",F30,E30),MAX(E30,F30)))</f>
        <v/>
      </c>
      <c r="AA30" s="56" t="str">
        <f>IF(V30&lt;&gt;"SÍ","",MIN(Y30,Z30)/MAX(Y30,Z30))</f>
        <v/>
      </c>
      <c r="AB30" s="57" t="str">
        <f>IF(V30&lt;&gt;"SÍ","",MAX(1,Y30*100-IF(C30="VOLADO",DATOS!$C$87/2,DATOS!$C$87)))</f>
        <v/>
      </c>
      <c r="AC30" s="57" t="str">
        <f>IF(V30&lt;&gt;"SÍ","",MAX(1,Z30*100-DATOS!$C$87))</f>
        <v/>
      </c>
      <c r="AD30" s="57" t="str">
        <f>IF(V30&lt;&gt;"SÍ","",IF(ISNUMBER(R30),R30,DATOS!$C$83))</f>
        <v/>
      </c>
      <c r="AE30" s="57" t="str">
        <f>IF(V30&lt;&gt;"SÍ","",MAX(0,DATOS!$C$86-AD30))</f>
        <v/>
      </c>
      <c r="AF30" s="57" t="str">
        <f>IF(V30&lt;&gt;"SÍ","",IF(OR(DATOS!$C$65="SÍ",AD30&gt;=20),AD30,AD30-2))</f>
        <v/>
      </c>
      <c r="AG30" s="57" t="str">
        <f>IF(V30&lt;&gt;"SÍ","",IF(OR(DATOS!$C$65="SÍ",DATOS!$C$83&gt;=20),DATOS!$C$83,DATOS!$C$83-2))</f>
        <v/>
      </c>
      <c r="AH30" s="57" t="str">
        <f>IF(V30&lt;&gt;"SÍ","",MIN(DATOS!$C$86,AD30+2*MIN(8*DATOS!$C$84,AE30/2,AB30/8)))</f>
        <v/>
      </c>
      <c r="AI30" s="57" t="str">
        <f>IF(V30&lt;&gt;"SÍ","",MIN(DATOS!$C$86,DATOS!$C$83+2*MIN(8*DATOS!$C$84,DATOS!$C$81/2,AC30/8)))</f>
        <v/>
      </c>
      <c r="AJ30" s="55" t="str">
        <f>IF(V30&lt;&gt;"SÍ","",IF(AND(C30="PERIMETRAL",Y30*100&gt;=6*MAX(DATOS!$C$81,AE30),MAX(DATOS!$C$81,AE30)&lt;=80,MIN(DATOS!$C$83,AD30)&gt;=10,DATOS!$C$85&lt;=3.5*MIN(DATOS!$C$83,AD30),DATOS!$C$84&gt;=MAX(MAX(DATOS!$C$81,AE30)/13,5)),"SÍ","NO"))</f>
        <v/>
      </c>
      <c r="AK30" s="57" t="str">
        <f>IF(V30&lt;&gt;"SÍ","",IF(C30="VOLADO",DATOS!$C$64,IF(AJ30="NO",DATOS!$C$63,DATOS!$C$62)))</f>
        <v/>
      </c>
      <c r="AL30" s="57" t="str">
        <f>IF(V30&lt;&gt;"SÍ","",IF(OR(AND(AN30="SÍ",DATOS!$C$66="SÍ"),AND(C30="VOLADO",DATOS!$C$67="SÍ")),DATOS!$C$64,IF(AJ30="NO",DATOS!$C$63,DATOS!$C$62)))</f>
        <v/>
      </c>
      <c r="AM30" s="58" t="str">
        <f>IF(V30&lt;&gt;"SÍ","",MAX(AL30,(DATOS!$C$84-2*DATOS!$C$97)/2))</f>
        <v/>
      </c>
      <c r="AN30" s="55" t="str">
        <f>IF(V30&lt;&gt;"SÍ","",IFERROR(INDEX(DATOS!$D$46:$D$58,MATCH(D30,DATOS!$B$46:$B$58,0)),"NO"))</f>
        <v/>
      </c>
      <c r="AO30" s="59" t="str">
        <f>IF(V30&lt;&gt;"SÍ","",IF(ISNUMBER(N30),N30,IFERROR(INDEX(DATOS!$C$46:$C$58,MATCH(D30,DATOS!$B$46:$B$58,0)),0)))</f>
        <v/>
      </c>
      <c r="AP30" s="59" t="str">
        <f>IF(V30&lt;&gt;"SÍ","",IF(MIN(DH30,DI30)=0,DATOS!$C$85/100*DATOS!$C$16*1000,(DATOS!$C$85/100-(AE30*DATOS!$C$81/DATOS!$C$86^2)*DATOS!$C$82/100)*DATOS!$C$16*1000+(AE30*DATOS!$C$81/DATOS!$C$86^2)*DATOS!$C$82/100*DATOS!$C$17*1000)+DATOS!$C$37+DATOS!$C$38)</f>
        <v/>
      </c>
      <c r="AQ30" s="59" t="str">
        <f>IF(V30&lt;&gt;"SÍ","",AP30+N(M30))</f>
        <v/>
      </c>
      <c r="AR30" s="60" t="str">
        <f>IF(V30&lt;&gt;"SÍ","",MAX(DATOS!$C$26*AQ30+DATOS!$C$27*AO30,IF(AN30="SÍ",DATOS!$C$28*(AQ30+DATOS!$C$41),0)))</f>
        <v/>
      </c>
      <c r="AS30" s="59" t="str">
        <f>IF(V30&lt;&gt;"SÍ","",(G30="DISCONTINUO")+(H30="DISCONTINUO")+(I30="DISCONTINUO")+(J30="DISCONTINUO"))</f>
        <v/>
      </c>
      <c r="AT30" s="59" t="str">
        <f>IF(V30&lt;&gt;"SÍ","",IF(X30="X",(G30="DISCONTINUO")+(H30="DISCONTINUO"),(I30="DISCONTINUO")+(J30="DISCONTINUO")))</f>
        <v/>
      </c>
      <c r="AU30" s="55" t="str">
        <f>IF(V30&lt;&gt;"SÍ","",IF(AS30=0,"INTERIOR",IF(AS30=1,IF(AT30=1,"BORDE-CORTO","BORDE-LARGO"),IF(AS30=2,IF(AT30=1,"ESQUINA",IF(AT30=2,"EXTREMO-LARGO","EXTREMO-CORTO")),IF(AS30=3,IF(AT30=2,"EXTREMO-LARGO","EXTREMO-CORTO"),"AISLADO")))))</f>
        <v/>
      </c>
      <c r="AV30" s="61" t="str">
        <f>IF(V30&lt;&gt;"SÍ","",IF(OR(K30="",K30="AUTO"),AU30,K30))</f>
        <v/>
      </c>
      <c r="AW30" s="59" t="str">
        <f>IF(V30&lt;&gt;"SÍ","",MATCH(AA30,TABLAS!$D$5:$J$5,1))</f>
        <v/>
      </c>
      <c r="AX30" s="58" t="str">
        <f>IF(V30&lt;&gt;"SÍ","",IF(AW30&gt;=7,0,(AA30-INDEX(TABLAS!$D$5:$J$5,AW30))/(INDEX(TABLAS!$D$5:$J$5,AW30+1)-INDEX(TABLAS!$D$5:$J$5,AW30))))</f>
        <v/>
      </c>
      <c r="AY30" s="59" t="str">
        <f>IF(V30&lt;&gt;"SÍ","",INDEX(TABLAS!$D$6:$J$47,MATCH(AV30&amp;"|NIC",TABLAS!$B$6:$B$47,0),AW30)+AX30*(INDEX(TABLAS!$D$6:$J$47,MATCH(AV30&amp;"|NIC",TABLAS!$B$6:$B$47,0),MIN(AW30+1,7))-INDEX(TABLAS!$D$6:$J$47,MATCH(AV30&amp;"|NIC",TABLAS!$B$6:$B$47,0),AW30)))</f>
        <v/>
      </c>
      <c r="AZ30" s="59" t="str">
        <f>IF(V30&lt;&gt;"SÍ","",INDEX(TABLAS!$D$6:$J$47,MATCH(AV30&amp;"|NIL",TABLAS!$B$6:$B$47,0),AW30)+AX30*(INDEX(TABLAS!$D$6:$J$47,MATCH(AV30&amp;"|NIL",TABLAS!$B$6:$B$47,0),MIN(AW30+1,7))-INDEX(TABLAS!$D$6:$J$47,MATCH(AV30&amp;"|NIL",TABLAS!$B$6:$B$47,0),AW30)))</f>
        <v/>
      </c>
      <c r="BA30" s="59" t="str">
        <f>IF(V30&lt;&gt;"SÍ","",INDEX(TABLAS!$D$6:$J$47,MATCH(AV30&amp;"|NDC",TABLAS!$B$6:$B$47,0),AW30)+AX30*(INDEX(TABLAS!$D$6:$J$47,MATCH(AV30&amp;"|NDC",TABLAS!$B$6:$B$47,0),MIN(AW30+1,7))-INDEX(TABLAS!$D$6:$J$47,MATCH(AV30&amp;"|NDC",TABLAS!$B$6:$B$47,0),AW30)))</f>
        <v/>
      </c>
      <c r="BB30" s="59" t="str">
        <f>IF(V30&lt;&gt;"SÍ","",INDEX(TABLAS!$D$6:$J$47,MATCH(AV30&amp;"|NDL",TABLAS!$B$6:$B$47,0),AW30)+AX30*(INDEX(TABLAS!$D$6:$J$47,MATCH(AV30&amp;"|NDL",TABLAS!$B$6:$B$47,0),MIN(AW30+1,7))-INDEX(TABLAS!$D$6:$J$47,MATCH(AV30&amp;"|NDL",TABLAS!$B$6:$B$47,0),AW30)))</f>
        <v/>
      </c>
      <c r="BC30" s="59" t="str">
        <f>IF(V30&lt;&gt;"SÍ","",INDEX(TABLAS!$D$6:$J$47,MATCH(AV30&amp;"|PC",TABLAS!$B$6:$B$47,0),AW30)+AX30*(INDEX(TABLAS!$D$6:$J$47,MATCH(AV30&amp;"|PC",TABLAS!$B$6:$B$47,0),MIN(AW30+1,7))-INDEX(TABLAS!$D$6:$J$47,MATCH(AV30&amp;"|PC",TABLAS!$B$6:$B$47,0),AW30)))</f>
        <v/>
      </c>
      <c r="BD30" s="59" t="str">
        <f>IF(V30&lt;&gt;"SÍ","",INDEX(TABLAS!$D$6:$J$47,MATCH(AV30&amp;"|PL",TABLAS!$B$6:$B$47,0),AW30)+AX30*(INDEX(TABLAS!$D$6:$J$47,MATCH(AV30&amp;"|PL",TABLAS!$B$6:$B$47,0),MIN(AW30+1,7))-INDEX(TABLAS!$D$6:$J$47,MATCH(AV30&amp;"|PL",TABLAS!$B$6:$B$47,0),AW30)))</f>
        <v/>
      </c>
      <c r="BE30" s="56" t="str">
        <f>IF(V30&lt;&gt;"SÍ","",IF(OR(C30&lt;&gt;"VOLADO",MIN(DH30,DI30)=0),0,DATOS!$C$26*DATOS!$C$16*DATOS!$C$86/100*(((AE30*DATOS!$C$81/DATOS!$C$86^2)*DATOS!$C$82/100)*(IF(X30="X",DJ30,DL30)+DATOS!$C$87/2)/100*(AB30-(IF(X30="X",DJ30,DL30)+DATOS!$C$87/2)/2)/100+((AE30*DATOS!$C$81/DATOS!$C$86^2)*DATOS!$C$82/100)*IF(X30="X",DJ30,DL30)/100*IF(X30="X",DJ30,DL30)/200)))</f>
        <v/>
      </c>
      <c r="BF30" s="56" t="str">
        <f>IF(V30&lt;&gt;"SÍ","",IF(OR(C30&lt;&gt;"VOLADO",MIN(DH30,DI30)=0),0,DATOS!$C$26*DATOS!$C$16*DATOS!$C$86/100*((AE30*DATOS!$C$81/DATOS!$C$86^2)*DATOS!$C$82/100)*(IF(X30="X",DJ30,DL30)+DATOS!$C$87/2)/100))</f>
        <v/>
      </c>
      <c r="BG30" s="56" t="str">
        <f>IF(V30&lt;&gt;"SÍ","",IF(C30="PERIMETRAL",BC30*AR30*Y30^2*1E-4*DATOS!$C$86/100/1000,0))</f>
        <v/>
      </c>
      <c r="BH30" s="62" t="str">
        <f>IF(V30&lt;&gt;"SÍ","",IF(C30="PERIMETRAL",MAX(MAX(AY30,BA30)*AR30*Y30^2*1E-4*DATOS!$C$86/100/1000,N(T30)),(AR30*(AB30/100)^2/2+DATOS!$C$26*N(O30)*AB30/100)*DATOS!$C$86/100/1000+BE30))</f>
        <v/>
      </c>
      <c r="BI30" s="56" t="str">
        <f>IF(V30&lt;&gt;"SÍ","",IF(C30="PERIMETRAL",BD30*AR30*Y30^2*1E-4*DATOS!$C$86/100/1000,0))</f>
        <v/>
      </c>
      <c r="BJ30" s="56" t="str">
        <f>IF(V30&lt;&gt;"SÍ","",IF(C30="PERIMETRAL",MAX(MAX(AZ30,BB30)*AR30*Y30^2*1E-4*DATOS!$C$86/100/1000,N(U30)),0))</f>
        <v/>
      </c>
      <c r="BK30" s="63" t="str">
        <f>IF(V30&lt;&gt;"SÍ","",IF(C30&lt;&gt;"PERIMETRAL","—",IF(AND(N(T30)=0,N(U30)=0),"— (sin M⁻ del vecino)",IF(OR(AND(N(T30)&gt;0,ABS(MAX(AY30,BA30)*AR30*Y30^2*1E-4*DATOS!$C$86/100/1000-N(T30))&gt;0.5*MIN(MAX(AY30,BA30)*AR30*Y30^2*1E-4*DATOS!$C$86/100/1000,N(T30))),AND(N(U30)&gt;0,ABS(MAX(AZ30,BB30)*AR30*Y30^2*1E-4*DATOS!$C$86/100/1000-N(U30))&gt;0.5*MIN(MAX(AZ30,BB30)*AR30*Y30^2*1E-4*DATOS!$C$86/100/1000,N(U30)))),"FUERA: difieren &gt; 50 %"&amp;IF(AND(N(T30)&gt;0,ABS(MAX(AY30,BA30)*AR30*Y30^2*1E-4*DATOS!$C$86/100/1000-N(T30))&gt;0.5*MIN(MAX(AY30,BA30)*AR30*Y30^2*1E-4*DATOS!$C$86/100/1000,N(T30)))," ‖ corto","")&amp;IF(AND(N(U30)&gt;0,ABS(MAX(AZ30,BB30)*AR30*Y30^2*1E-4*DATOS!$C$86/100/1000-N(U30))&gt;0.5*MIN(MAX(AZ30,BB30)*AR30*Y30^2*1E-4*DATOS!$C$86/100/1000,N(U30)))," ‖ largo",""),"CUMPLE"))))</f>
        <v/>
      </c>
      <c r="BL30" s="58" t="str">
        <f>IF(V30&lt;&gt;"SÍ","",(DATOS!$C$85-AK30-INDEX(TABLAS!$C$52:$C$58,MATCH(MAX(4,DATOS!$C$71),TABLAS!$B$52:$B$58,0))/2))</f>
        <v/>
      </c>
      <c r="BM30" s="58" t="str">
        <f>IF(V30&lt;&gt;"SÍ","",IF(IF(BG30&lt;=0,0,IF((1-2*BG30*1E5/(DATOS!$C$29*AH30*BL30^2*DATOS!$C$21))&lt;0,-1,IF((1-SQRT((1-2*BG30*1E5/(DATOS!$C$29*AH30*BL30^2*DATOS!$C$21))))*DATOS!$C$21*AH30*BL30/DATOS!$C$14&gt;DATOS!$C$102*AH30*BL30,-1,(1-SQRT((1-2*BG30*1E5/(DATOS!$C$29*AH30*BL30^2*DATOS!$C$21))))*DATOS!$C$21*AH30*BL30/DATOS!$C$14)))&lt;0,-1,MAX(IF(BG30&lt;=0,0,IF((1-2*BG30*1E5/(DATOS!$C$29*AH30*BL30^2*DATOS!$C$21))&lt;0,-1,IF((1-SQRT((1-2*BG30*1E5/(DATOS!$C$29*AH30*BL30^2*DATOS!$C$21))))*DATOS!$C$21*AH30*BL30/DATOS!$C$14&gt;DATOS!$C$102*AH30*BL30,-1,(1-SQRT((1-2*BG30*1E5/(DATOS!$C$29*AH30*BL30^2*DATOS!$C$21))))*DATOS!$C$21*AH30*BL30/DATOS!$C$14))),MIN(DATOS!$C$103*AD30*BL30,4/3*IF(BG30&lt;=0,0,IF((1-2*BG30*1E5/(DATOS!$C$29*AH30*BL30^2*DATOS!$C$21))&lt;0,-1,IF((1-SQRT((1-2*BG30*1E5/(DATOS!$C$29*AH30*BL30^2*DATOS!$C$21))))*DATOS!$C$21*AH30*BL30/DATOS!$C$14&gt;DATOS!$C$102*AH30*BL30,-1,(1-SQRT((1-2*BG30*1E5/(DATOS!$C$29*AH30*BL30^2*DATOS!$C$21))))*DATOS!$C$21*AH30*BL30/DATOS!$C$14)))))))</f>
        <v/>
      </c>
      <c r="BN30" s="64" t="str">
        <f>IF(V30&lt;&gt;"SÍ","",IF(AND(BM30&gt;=0,IF(MAX(DATOS!$C$74,CEILING(BM30/INDEX(TABLAS!$D$52:$D$58,MIN(MATCH(MAX(4,DATOS!$C$71),TABLAS!$B$52:$B$58,0)+0,7)),1))*INDEX(TABLAS!$D$52:$D$58,MIN(MATCH(MAX(4,DATOS!$C$71),TABLAS!$B$52:$B$58,0)+0,7)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+0,7)),1)),MAX(MAX(DATOS!$C$74,CEILING(BM30/INDEX(TABLAS!$D$52:$D$58,MIN(MATCH(MAX(4,DATOS!$C$71),TABLAS!$B$52:$B$58,0)+0,7)),1)),2))&lt;=MIN(DATOS!$C$73,INT(((AD30-2*AK30)+MAX(DATOS!$C$70,INDEX(TABLAS!$C$52:$C$58,MIN(MATCH(MAX(4,DATOS!$C$71),TABLAS!$B$52:$B$58,0)+0,7))))/(INDEX(TABLAS!$C$52:$C$58,MIN(MATCH(MAX(4,DATOS!$C$71),TABLAS!$B$52:$B$58,0)+0,7))+MAX(DATOS!$C$70,INDEX(TABLAS!$C$52:$C$58,MIN(MATCH(MAX(4,DATOS!$C$71),TABLAS!$B$52:$B$58,0)+0,7))))))),INDEX(TABLAS!$B$52:$B$58,MIN(MATCH(MAX(4,DATOS!$C$71),TABLAS!$B$52:$B$58,0)+0,7)),IF(AND(BM30&gt;=0,IF(MAX(DATOS!$C$74,CEILING(BM30/INDEX(TABLAS!$D$52:$D$58,MIN(MATCH(MAX(4,DATOS!$C$71),TABLAS!$B$52:$B$58,0)+1,7)),1))*INDEX(TABLAS!$D$52:$D$58,MIN(MATCH(MAX(4,DATOS!$C$71),TABLAS!$B$52:$B$58,0)+1,7)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+1,7)),1)),MAX(MAX(DATOS!$C$74,CEILING(BM30/INDEX(TABLAS!$D$52:$D$58,MIN(MATCH(MAX(4,DATOS!$C$71),TABLAS!$B$52:$B$58,0)+1,7)),1)),2))&lt;=MIN(DATOS!$C$73,INT(((AD30-2*AK30)+MAX(DATOS!$C$70,INDEX(TABLAS!$C$52:$C$58,MIN(MATCH(MAX(4,DATOS!$C$71),TABLAS!$B$52:$B$58,0)+1,7))))/(INDEX(TABLAS!$C$52:$C$58,MIN(MATCH(MAX(4,DATOS!$C$71),TABLAS!$B$52:$B$58,0)+1,7))+MAX(DATOS!$C$70,INDEX(TABLAS!$C$52:$C$58,MIN(MATCH(MAX(4,DATOS!$C$71),TABLAS!$B$52:$B$58,0)+1,7))))))),INDEX(TABLAS!$B$52:$B$58,MIN(MATCH(MAX(4,DATOS!$C$71),TABLAS!$B$52:$B$58,0)+1,7)),IF(AND(BM30&gt;=0,IF(MAX(DATOS!$C$74,CEILING(BM30/INDEX(TABLAS!$D$52:$D$58,MIN(MATCH(MAX(4,DATOS!$C$71),TABLAS!$B$52:$B$58,0)+2,7)),1))*INDEX(TABLAS!$D$52:$D$58,MIN(MATCH(MAX(4,DATOS!$C$71),TABLAS!$B$52:$B$58,0)+2,7)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+2,7)),1)),MAX(MAX(DATOS!$C$74,CEILING(BM30/INDEX(TABLAS!$D$52:$D$58,MIN(MATCH(MAX(4,DATOS!$C$71),TABLAS!$B$52:$B$58,0)+2,7)),1)),2))&lt;=MIN(DATOS!$C$73,INT(((AD30-2*AK30)+MAX(DATOS!$C$70,INDEX(TABLAS!$C$52:$C$58,MIN(MATCH(MAX(4,DATOS!$C$71),TABLAS!$B$52:$B$58,0)+2,7))))/(INDEX(TABLAS!$C$52:$C$58,MIN(MATCH(MAX(4,DATOS!$C$71),TABLAS!$B$52:$B$58,0)+2,7))+MAX(DATOS!$C$70,INDEX(TABLAS!$C$52:$C$58,MIN(MATCH(MAX(4,DATOS!$C$71),TABLAS!$B$52:$B$58,0)+2,7))))))),INDEX(TABLAS!$B$52:$B$58,MIN(MATCH(MAX(4,DATOS!$C$71),TABLAS!$B$52:$B$58,0)+2,7)),IF(AND(BM30&gt;=0,IF(MAX(DATOS!$C$74,CEILING(BM30/INDEX(TABLAS!$D$52:$D$58,MIN(MATCH(MAX(4,DATOS!$C$71),TABLAS!$B$52:$B$58,0)+3,7)),1))*INDEX(TABLAS!$D$52:$D$58,MIN(MATCH(MAX(4,DATOS!$C$71),TABLAS!$B$52:$B$58,0)+3,7)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+3,7)),1)),MAX(MAX(DATOS!$C$74,CEILING(BM30/INDEX(TABLAS!$D$52:$D$58,MIN(MATCH(MAX(4,DATOS!$C$71),TABLAS!$B$52:$B$58,0)+3,7)),1)),2))&lt;=MIN(DATOS!$C$73,INT(((AD30-2*AK30)+MAX(DATOS!$C$70,INDEX(TABLAS!$C$52:$C$58,MIN(MATCH(MAX(4,DATOS!$C$71),TABLAS!$B$52:$B$58,0)+3,7))))/(INDEX(TABLAS!$C$52:$C$58,MIN(MATCH(MAX(4,DATOS!$C$71),TABLAS!$B$52:$B$58,0)+3,7))+MAX(DATOS!$C$70,INDEX(TABLAS!$C$52:$C$58,MIN(MATCH(MAX(4,DATOS!$C$71),TABLAS!$B$52:$B$58,0)+3,7))))))),INDEX(TABLAS!$B$52:$B$58,MIN(MATCH(MAX(4,DATOS!$C$71),TABLAS!$B$52:$B$58,0)+3,7)),IF(AND(BM30&gt;=0,IF(MAX(DATOS!$C$74,CEILING(BM30/INDEX(TABLAS!$D$52:$D$58,MIN(MATCH(MAX(4,DATOS!$C$71),TABLAS!$B$52:$B$58,0)+4,7)),1))*INDEX(TABLAS!$D$52:$D$58,MIN(MATCH(MAX(4,DATOS!$C$71),TABLAS!$B$52:$B$58,0)+4,7)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+4,7)),1)),MAX(MAX(DATOS!$C$74,CEILING(BM30/INDEX(TABLAS!$D$52:$D$58,MIN(MATCH(MAX(4,DATOS!$C$71),TABLAS!$B$52:$B$58,0)+4,7)),1)),2))&lt;=MIN(DATOS!$C$73,INT(((AD30-2*AK30)+MAX(DATOS!$C$70,INDEX(TABLAS!$C$52:$C$58,MIN(MATCH(MAX(4,DATOS!$C$71),TABLAS!$B$52:$B$58,0)+4,7))))/(INDEX(TABLAS!$C$52:$C$58,MIN(MATCH(MAX(4,DATOS!$C$71),TABLAS!$B$52:$B$58,0)+4,7))+MAX(DATOS!$C$70,INDEX(TABLAS!$C$52:$C$58,MIN(MATCH(MAX(4,DATOS!$C$71),TABLAS!$B$52:$B$58,0)+4,7))))))),INDEX(TABLAS!$B$52:$B$58,MIN(MATCH(MAX(4,DATOS!$C$71),TABLAS!$B$52:$B$58,0)+4,7)),INDEX(TABLAS!$B$52:$B$58,7)))))))</f>
        <v/>
      </c>
      <c r="BO30" s="59" t="str">
        <f>IF(V30&lt;&gt;"SÍ","",IF(BM30&lt;0,0,IF(MAX(DATOS!$C$74,CEILING(MAX(BM30,0)/INDEX(TABLAS!$D$52:$D$58,MATCH(BN30,TABLAS!$B$52:$B$58,0)),1))*INDEX(TABLAS!$D$52:$D$58,MATCH(BN30,TABLAS!$B$52:$B$58,0))&gt;=4/3*IF(BG30&lt;=0,0,IF((1-2*BG30*1E5/(DATOS!$C$29*AH30*BL30^2*DATOS!$C$21))&lt;0,-1,IF((1-SQRT((1-2*BG30*1E5/(DATOS!$C$29*AH30*BL30^2*DATOS!$C$21))))*DATOS!$C$21*AH30*BL30/DATOS!$C$14&gt;DATOS!$C$102*AH30*BL30,-1,(1-SQRT((1-2*BG30*1E5/(DATOS!$C$29*AH30*BL30^2*DATOS!$C$21))))*DATOS!$C$21*AH30*BL30/DATOS!$C$14)))-0.0001,MAX(DATOS!$C$74,CEILING(MAX(BM30,0)/INDEX(TABLAS!$D$52:$D$58,MATCH(BN30,TABLAS!$B$52:$B$58,0)),1)),MAX(MAX(DATOS!$C$74,CEILING(MAX(BM30,0)/INDEX(TABLAS!$D$52:$D$58,MATCH(BN30,TABLAS!$B$52:$B$58,0)),1)),2))))</f>
        <v/>
      </c>
      <c r="BP30" s="58" t="str">
        <f>IF(V30&lt;&gt;"SÍ","",DATOS!$C$85-AK30-INDEX(TABLAS!$C$52:$C$58,MATCH(BN30,TABLAS!$B$52:$B$58,0))/2)</f>
        <v/>
      </c>
      <c r="BQ30" s="56" t="str">
        <f>IF(V30&lt;&gt;"SÍ","",IF(BO30=0,0,DATOS!$C$29*BO30*INDEX(TABLAS!$D$52:$D$58,MATCH(BN30,TABLAS!$B$52:$B$58,0))*DATOS!$C$14*(BP30-BO30*INDEX(TABLAS!$D$52:$D$58,MATCH(BN30,TABLAS!$B$52:$B$58,0))*DATOS!$C$14/(DATOS!$C$21*AH30)/2)/1E5))</f>
        <v/>
      </c>
      <c r="BR30" s="65" t="str">
        <f>IF(V30&lt;&gt;"SÍ","",IF(BM30&lt;0,9.99,IF(BQ30&gt;0,BG30/BQ30,0)))</f>
        <v/>
      </c>
      <c r="BS30" s="66" t="str">
        <f>IF(V30&lt;&gt;"SÍ","",IF(BO30=0,"—",0.003*(BP30-(BO30*INDEX(TABLAS!$D$52:$D$58,MATCH(BN30,TABLAS!$B$52:$B$58,0))*DATOS!$C$14/(DATOS!$C$21*AH30)/DATOS!$C$22))/(BO30*INDEX(TABLAS!$D$52:$D$58,MATCH(BN30,TABLAS!$B$52:$B$58,0))*DATOS!$C$14/(DATOS!$C$21*AH30)/DATOS!$C$22)))</f>
        <v/>
      </c>
      <c r="BT30" s="58" t="str">
        <f>IF(V30&lt;&gt;"SÍ","",((DATOS!$C$85-AM30-2*DATOS!$C$97-INDEX(TABLAS!$C$52:$C$58,MATCH(MAX(4,DATOS!$C$72),TABLAS!$B$52:$B$58,0))/2)-IF(AND((DATOS!$C$85-AM30-2*DATOS!$C$97-INDEX(TABLAS!$C$52:$C$58,MATCH(MAX(4,DATOS!$C$72),TABLAS!$B$52:$B$58,0))/2)&lt;=20,DATOS!$C$65&lt;&gt;"SÍ"),2,0)))</f>
        <v/>
      </c>
      <c r="BU30" s="58" t="str">
        <f>IF(V30&lt;&gt;"SÍ","",IF(IF(BH30&lt;=0,0,IF((1-2*BH30*1E5/(DATOS!$C$29*AF30*BT30^2*DATOS!$C$21))&lt;0,-1,IF((1-SQRT((1-2*BH30*1E5/(DATOS!$C$29*AF30*BT30^2*DATOS!$C$21))))*DATOS!$C$21*AF30*BT30/DATOS!$C$14&gt;DATOS!$C$102*AF30*BT30,-1,(1-SQRT((1-2*BH30*1E5/(DATOS!$C$29*AF30*BT30^2*DATOS!$C$21))))*DATOS!$C$21*AF30*BT30/DATOS!$C$14)))&lt;0,-1,MAX(IF(BH30&lt;=0,0,IF((1-2*BH30*1E5/(DATOS!$C$29*AF30*BT30^2*DATOS!$C$21))&lt;0,-1,IF((1-SQRT((1-2*BH30*1E5/(DATOS!$C$29*AF30*BT30^2*DATOS!$C$21))))*DATOS!$C$21*AF30*BT30/DATOS!$C$14&gt;DATOS!$C$102*AF30*BT30,-1,(1-SQRT((1-2*BH30*1E5/(DATOS!$C$29*AF30*BT30^2*DATOS!$C$21))))*DATOS!$C$21*AF30*BT30/DATOS!$C$14))),MIN(DATOS!$C$103*IF(C30="VOLADO",MIN(AH30,2*AD30),AD30)*BT30,4/3*IF(BH30&lt;=0,0,IF((1-2*BH30*1E5/(DATOS!$C$29*AF30*BT30^2*DATOS!$C$21))&lt;0,-1,IF((1-SQRT((1-2*BH30*1E5/(DATOS!$C$29*AF30*BT30^2*DATOS!$C$21))))*DATOS!$C$21*AF30*BT30/DATOS!$C$14&gt;DATOS!$C$102*AF30*BT30,-1,(1-SQRT((1-2*BH30*1E5/(DATOS!$C$29*AF30*BT30^2*DATOS!$C$21))))*DATOS!$C$21*AF30*BT30/DATOS!$C$14)))))))</f>
        <v/>
      </c>
      <c r="BV30" s="64" t="str">
        <f>IF(V30&lt;&gt;"SÍ","",IF(AND(BU30&gt;=0,IF(MAX(DATOS!$C$74,CEILING(BU30/INDEX(TABLAS!$D$52:$D$58,MIN(MATCH(MAX(4,DATOS!$C$72),TABLAS!$B$52:$B$58,0)+0,7)),1))*INDEX(TABLAS!$D$52:$D$58,MIN(MATCH(MAX(4,DATOS!$C$72),TABLAS!$B$52:$B$58,0)+0,7)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+0,7)),1)),MAX(MAX(DATOS!$C$74,CEILING(BU30/INDEX(TABLAS!$D$52:$D$58,MIN(MATCH(MAX(4,DATOS!$C$72),TABLAS!$B$52:$B$58,0)+0,7)),1)),2))&lt;=MIN(DATOS!$C$73,INT(((AD30-2*AL30)+MAX(DATOS!$C$70,INDEX(TABLAS!$C$52:$C$58,MIN(MATCH(MAX(4,DATOS!$C$72),TABLAS!$B$52:$B$58,0)+0,7))))/(INDEX(TABLAS!$C$52:$C$58,MIN(MATCH(MAX(4,DATOS!$C$72),TABLAS!$B$52:$B$58,0)+0,7))+MAX(DATOS!$C$70,INDEX(TABLAS!$C$52:$C$58,MIN(MATCH(MAX(4,DATOS!$C$72),TABLAS!$B$52:$B$58,0)+0,7))))))),INDEX(TABLAS!$B$52:$B$58,MIN(MATCH(MAX(4,DATOS!$C$72),TABLAS!$B$52:$B$58,0)+0,7)),IF(AND(BU30&gt;=0,IF(MAX(DATOS!$C$74,CEILING(BU30/INDEX(TABLAS!$D$52:$D$58,MIN(MATCH(MAX(4,DATOS!$C$72),TABLAS!$B$52:$B$58,0)+1,7)),1))*INDEX(TABLAS!$D$52:$D$58,MIN(MATCH(MAX(4,DATOS!$C$72),TABLAS!$B$52:$B$58,0)+1,7)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+1,7)),1)),MAX(MAX(DATOS!$C$74,CEILING(BU30/INDEX(TABLAS!$D$52:$D$58,MIN(MATCH(MAX(4,DATOS!$C$72),TABLAS!$B$52:$B$58,0)+1,7)),1)),2))&lt;=MIN(DATOS!$C$73,INT(((AD30-2*AL30)+MAX(DATOS!$C$70,INDEX(TABLAS!$C$52:$C$58,MIN(MATCH(MAX(4,DATOS!$C$72),TABLAS!$B$52:$B$58,0)+1,7))))/(INDEX(TABLAS!$C$52:$C$58,MIN(MATCH(MAX(4,DATOS!$C$72),TABLAS!$B$52:$B$58,0)+1,7))+MAX(DATOS!$C$70,INDEX(TABLAS!$C$52:$C$58,MIN(MATCH(MAX(4,DATOS!$C$72),TABLAS!$B$52:$B$58,0)+1,7))))))),INDEX(TABLAS!$B$52:$B$58,MIN(MATCH(MAX(4,DATOS!$C$72),TABLAS!$B$52:$B$58,0)+1,7)),IF(AND(BU30&gt;=0,IF(MAX(DATOS!$C$74,CEILING(BU30/INDEX(TABLAS!$D$52:$D$58,MIN(MATCH(MAX(4,DATOS!$C$72),TABLAS!$B$52:$B$58,0)+2,7)),1))*INDEX(TABLAS!$D$52:$D$58,MIN(MATCH(MAX(4,DATOS!$C$72),TABLAS!$B$52:$B$58,0)+2,7)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+2,7)),1)),MAX(MAX(DATOS!$C$74,CEILING(BU30/INDEX(TABLAS!$D$52:$D$58,MIN(MATCH(MAX(4,DATOS!$C$72),TABLAS!$B$52:$B$58,0)+2,7)),1)),2))&lt;=MIN(DATOS!$C$73,INT(((AD30-2*AL30)+MAX(DATOS!$C$70,INDEX(TABLAS!$C$52:$C$58,MIN(MATCH(MAX(4,DATOS!$C$72),TABLAS!$B$52:$B$58,0)+2,7))))/(INDEX(TABLAS!$C$52:$C$58,MIN(MATCH(MAX(4,DATOS!$C$72),TABLAS!$B$52:$B$58,0)+2,7))+MAX(DATOS!$C$70,INDEX(TABLAS!$C$52:$C$58,MIN(MATCH(MAX(4,DATOS!$C$72),TABLAS!$B$52:$B$58,0)+2,7))))))),INDEX(TABLAS!$B$52:$B$58,MIN(MATCH(MAX(4,DATOS!$C$72),TABLAS!$B$52:$B$58,0)+2,7)),IF(AND(BU30&gt;=0,IF(MAX(DATOS!$C$74,CEILING(BU30/INDEX(TABLAS!$D$52:$D$58,MIN(MATCH(MAX(4,DATOS!$C$72),TABLAS!$B$52:$B$58,0)+3,7)),1))*INDEX(TABLAS!$D$52:$D$58,MIN(MATCH(MAX(4,DATOS!$C$72),TABLAS!$B$52:$B$58,0)+3,7)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+3,7)),1)),MAX(MAX(DATOS!$C$74,CEILING(BU30/INDEX(TABLAS!$D$52:$D$58,MIN(MATCH(MAX(4,DATOS!$C$72),TABLAS!$B$52:$B$58,0)+3,7)),1)),2))&lt;=MIN(DATOS!$C$73,INT(((AD30-2*AL30)+MAX(DATOS!$C$70,INDEX(TABLAS!$C$52:$C$58,MIN(MATCH(MAX(4,DATOS!$C$72),TABLAS!$B$52:$B$58,0)+3,7))))/(INDEX(TABLAS!$C$52:$C$58,MIN(MATCH(MAX(4,DATOS!$C$72),TABLAS!$B$52:$B$58,0)+3,7))+MAX(DATOS!$C$70,INDEX(TABLAS!$C$52:$C$58,MIN(MATCH(MAX(4,DATOS!$C$72),TABLAS!$B$52:$B$58,0)+3,7))))))),INDEX(TABLAS!$B$52:$B$58,MIN(MATCH(MAX(4,DATOS!$C$72),TABLAS!$B$52:$B$58,0)+3,7)),IF(AND(BU30&gt;=0,IF(MAX(DATOS!$C$74,CEILING(BU30/INDEX(TABLAS!$D$52:$D$58,MIN(MATCH(MAX(4,DATOS!$C$72),TABLAS!$B$52:$B$58,0)+4,7)),1))*INDEX(TABLAS!$D$52:$D$58,MIN(MATCH(MAX(4,DATOS!$C$72),TABLAS!$B$52:$B$58,0)+4,7)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+4,7)),1)),MAX(MAX(DATOS!$C$74,CEILING(BU30/INDEX(TABLAS!$D$52:$D$58,MIN(MATCH(MAX(4,DATOS!$C$72),TABLAS!$B$52:$B$58,0)+4,7)),1)),2))&lt;=MIN(DATOS!$C$73,INT(((AD30-2*AL30)+MAX(DATOS!$C$70,INDEX(TABLAS!$C$52:$C$58,MIN(MATCH(MAX(4,DATOS!$C$72),TABLAS!$B$52:$B$58,0)+4,7))))/(INDEX(TABLAS!$C$52:$C$58,MIN(MATCH(MAX(4,DATOS!$C$72),TABLAS!$B$52:$B$58,0)+4,7))+MAX(DATOS!$C$70,INDEX(TABLAS!$C$52:$C$58,MIN(MATCH(MAX(4,DATOS!$C$72),TABLAS!$B$52:$B$58,0)+4,7))))))),INDEX(TABLAS!$B$52:$B$58,MIN(MATCH(MAX(4,DATOS!$C$72),TABLAS!$B$52:$B$58,0)+4,7)),INDEX(TABLAS!$B$52:$B$58,7)))))))</f>
        <v/>
      </c>
      <c r="BW30" s="59" t="str">
        <f>IF(V30&lt;&gt;"SÍ","",IF(BU30&lt;0,0,IF(MAX(DATOS!$C$74,CEILING(MAX(BU30,0)/INDEX(TABLAS!$D$52:$D$58,MATCH(BV30,TABLAS!$B$52:$B$58,0)),1))*INDEX(TABLAS!$D$52:$D$58,MATCH(BV30,TABLAS!$B$52:$B$58,0))&gt;=4/3*IF(BH30&lt;=0,0,IF((1-2*BH30*1E5/(DATOS!$C$29*AF30*BT30^2*DATOS!$C$21))&lt;0,-1,IF((1-SQRT((1-2*BH30*1E5/(DATOS!$C$29*AF30*BT30^2*DATOS!$C$21))))*DATOS!$C$21*AF30*BT30/DATOS!$C$14&gt;DATOS!$C$102*AF30*BT30,-1,(1-SQRT((1-2*BH30*1E5/(DATOS!$C$29*AF30*BT30^2*DATOS!$C$21))))*DATOS!$C$21*AF30*BT30/DATOS!$C$14)))-0.0001,MAX(DATOS!$C$74,CEILING(MAX(BU30,0)/INDEX(TABLAS!$D$52:$D$58,MATCH(BV30,TABLAS!$B$52:$B$58,0)),1)),MAX(MAX(DATOS!$C$74,CEILING(MAX(BU30,0)/INDEX(TABLAS!$D$52:$D$58,MATCH(BV30,TABLAS!$B$52:$B$58,0)),1)),2))))</f>
        <v/>
      </c>
      <c r="BX30" s="58" t="str">
        <f>IF(V30&lt;&gt;"SÍ","",((DATOS!$C$85-AM30-2*DATOS!$C$97-INDEX(TABLAS!$C$52:$C$58,MATCH(BV30,TABLAS!$B$52:$B$58,0))/2)-IF(AND((DATOS!$C$85-AM30-2*DATOS!$C$97-INDEX(TABLAS!$C$52:$C$58,MATCH(BV30,TABLAS!$B$52:$B$58,0))/2)&lt;=20,DATOS!$C$65&lt;&gt;"SÍ"),2,0)))</f>
        <v/>
      </c>
      <c r="BY30" s="56" t="str">
        <f>IF(V30&lt;&gt;"SÍ","",IF(BW30=0,0,DATOS!$C$29*BW30*INDEX(TABLAS!$D$52:$D$58,MATCH(BV30,TABLAS!$B$52:$B$58,0))*DATOS!$C$14*(BX30-BW30*INDEX(TABLAS!$D$52:$D$58,MATCH(BV30,TABLAS!$B$52:$B$58,0))*DATOS!$C$14/(DATOS!$C$21*AF30)/2)/1E5))</f>
        <v/>
      </c>
      <c r="BZ30" s="65" t="str">
        <f>IF(V30&lt;&gt;"SÍ","",IF(BU30&lt;0,9.99,IF(BY30&gt;0,BH30/BY30,0)))</f>
        <v/>
      </c>
      <c r="CA30" s="66" t="str">
        <f>IF(V30&lt;&gt;"SÍ","",IF(BW30=0,"—",0.003*(BX30-(BW30*INDEX(TABLAS!$D$52:$D$58,MATCH(BV30,TABLAS!$B$52:$B$58,0))*DATOS!$C$14/(DATOS!$C$21*AF30)/DATOS!$C$22))/(BW30*INDEX(TABLAS!$D$52:$D$58,MATCH(BV30,TABLAS!$B$52:$B$58,0))*DATOS!$C$14/(DATOS!$C$21*AF30)/DATOS!$C$22)))</f>
        <v/>
      </c>
      <c r="CB30" s="58" t="str">
        <f>IF(V30&lt;&gt;"SÍ","",(DATOS!$C$85-AK30-INDEX(TABLAS!$C$52:$C$58,MATCH(MAX(4,DATOS!$C$71),TABLAS!$B$52:$B$58,0))-INDEX(TABLAS!$C$52:$C$58,MATCH(MAX(4,DATOS!$C$71),TABLAS!$B$52:$B$58,0))/2))</f>
        <v/>
      </c>
      <c r="CC30" s="58" t="str">
        <f>IF(V30&lt;&gt;"SÍ","",IF(IF(BI30&lt;=0,0,IF((1-2*BI30*1E5/(DATOS!$C$29*AI30*CB30^2*DATOS!$C$21))&lt;0,-1,IF((1-SQRT((1-2*BI30*1E5/(DATOS!$C$29*AI30*CB30^2*DATOS!$C$21))))*DATOS!$C$21*AI30*CB30/DATOS!$C$14&gt;DATOS!$C$102*AI30*CB30,-1,(1-SQRT((1-2*BI30*1E5/(DATOS!$C$29*AI30*CB30^2*DATOS!$C$21))))*DATOS!$C$21*AI30*CB30/DATOS!$C$14)))&lt;0,-1,MAX(IF(BI30&lt;=0,0,IF((1-2*BI30*1E5/(DATOS!$C$29*AI30*CB30^2*DATOS!$C$21))&lt;0,-1,IF((1-SQRT((1-2*BI30*1E5/(DATOS!$C$29*AI30*CB30^2*DATOS!$C$21))))*DATOS!$C$21*AI30*CB30/DATOS!$C$14&gt;DATOS!$C$102*AI30*CB30,-1,(1-SQRT((1-2*BI30*1E5/(DATOS!$C$29*AI30*CB30^2*DATOS!$C$21))))*DATOS!$C$21*AI30*CB30/DATOS!$C$14))),MIN(DATOS!$C$103*DATOS!$C$83*CB30,4/3*IF(BI30&lt;=0,0,IF((1-2*BI30*1E5/(DATOS!$C$29*AI30*CB30^2*DATOS!$C$21))&lt;0,-1,IF((1-SQRT((1-2*BI30*1E5/(DATOS!$C$29*AI30*CB30^2*DATOS!$C$21))))*DATOS!$C$21*AI30*CB30/DATOS!$C$14&gt;DATOS!$C$102*AI30*CB30,-1,(1-SQRT((1-2*BI30*1E5/(DATOS!$C$29*AI30*CB30^2*DATOS!$C$21))))*DATOS!$C$21*AI30*CB30/DATOS!$C$14)))))))</f>
        <v/>
      </c>
      <c r="CD30" s="64" t="str">
        <f>IF(V30&lt;&gt;"SÍ","",IF(AND(CC30&gt;=0,IF(MAX(DATOS!$C$74,CEILING(CC30/INDEX(TABLAS!$D$52:$D$58,MIN(MATCH(MAX(4,DATOS!$C$71),TABLAS!$B$52:$B$58,0)+0,7)),1))*INDEX(TABLAS!$D$52:$D$58,MIN(MATCH(MAX(4,DATOS!$C$71),TABLAS!$B$52:$B$58,0)+0,7)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+0,7)),1)),MAX(MAX(DATOS!$C$74,CEILING(CC30/INDEX(TABLAS!$D$52:$D$58,MIN(MATCH(MAX(4,DATOS!$C$71),TABLAS!$B$52:$B$58,0)+0,7)),1)),2))&lt;=MIN(DATOS!$C$73,INT(((DATOS!$C$83-2*AK30)+MAX(DATOS!$C$70,INDEX(TABLAS!$C$52:$C$58,MIN(MATCH(MAX(4,DATOS!$C$71),TABLAS!$B$52:$B$58,0)+0,7))))/(INDEX(TABLAS!$C$52:$C$58,MIN(MATCH(MAX(4,DATOS!$C$71),TABLAS!$B$52:$B$58,0)+0,7))+MAX(DATOS!$C$70,INDEX(TABLAS!$C$52:$C$58,MIN(MATCH(MAX(4,DATOS!$C$71),TABLAS!$B$52:$B$58,0)+0,7))))))),INDEX(TABLAS!$B$52:$B$58,MIN(MATCH(MAX(4,DATOS!$C$71),TABLAS!$B$52:$B$58,0)+0,7)),IF(AND(CC30&gt;=0,IF(MAX(DATOS!$C$74,CEILING(CC30/INDEX(TABLAS!$D$52:$D$58,MIN(MATCH(MAX(4,DATOS!$C$71),TABLAS!$B$52:$B$58,0)+1,7)),1))*INDEX(TABLAS!$D$52:$D$58,MIN(MATCH(MAX(4,DATOS!$C$71),TABLAS!$B$52:$B$58,0)+1,7)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+1,7)),1)),MAX(MAX(DATOS!$C$74,CEILING(CC30/INDEX(TABLAS!$D$52:$D$58,MIN(MATCH(MAX(4,DATOS!$C$71),TABLAS!$B$52:$B$58,0)+1,7)),1)),2))&lt;=MIN(DATOS!$C$73,INT(((DATOS!$C$83-2*AK30)+MAX(DATOS!$C$70,INDEX(TABLAS!$C$52:$C$58,MIN(MATCH(MAX(4,DATOS!$C$71),TABLAS!$B$52:$B$58,0)+1,7))))/(INDEX(TABLAS!$C$52:$C$58,MIN(MATCH(MAX(4,DATOS!$C$71),TABLAS!$B$52:$B$58,0)+1,7))+MAX(DATOS!$C$70,INDEX(TABLAS!$C$52:$C$58,MIN(MATCH(MAX(4,DATOS!$C$71),TABLAS!$B$52:$B$58,0)+1,7))))))),INDEX(TABLAS!$B$52:$B$58,MIN(MATCH(MAX(4,DATOS!$C$71),TABLAS!$B$52:$B$58,0)+1,7)),IF(AND(CC30&gt;=0,IF(MAX(DATOS!$C$74,CEILING(CC30/INDEX(TABLAS!$D$52:$D$58,MIN(MATCH(MAX(4,DATOS!$C$71),TABLAS!$B$52:$B$58,0)+2,7)),1))*INDEX(TABLAS!$D$52:$D$58,MIN(MATCH(MAX(4,DATOS!$C$71),TABLAS!$B$52:$B$58,0)+2,7)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+2,7)),1)),MAX(MAX(DATOS!$C$74,CEILING(CC30/INDEX(TABLAS!$D$52:$D$58,MIN(MATCH(MAX(4,DATOS!$C$71),TABLAS!$B$52:$B$58,0)+2,7)),1)),2))&lt;=MIN(DATOS!$C$73,INT(((DATOS!$C$83-2*AK30)+MAX(DATOS!$C$70,INDEX(TABLAS!$C$52:$C$58,MIN(MATCH(MAX(4,DATOS!$C$71),TABLAS!$B$52:$B$58,0)+2,7))))/(INDEX(TABLAS!$C$52:$C$58,MIN(MATCH(MAX(4,DATOS!$C$71),TABLAS!$B$52:$B$58,0)+2,7))+MAX(DATOS!$C$70,INDEX(TABLAS!$C$52:$C$58,MIN(MATCH(MAX(4,DATOS!$C$71),TABLAS!$B$52:$B$58,0)+2,7))))))),INDEX(TABLAS!$B$52:$B$58,MIN(MATCH(MAX(4,DATOS!$C$71),TABLAS!$B$52:$B$58,0)+2,7)),IF(AND(CC30&gt;=0,IF(MAX(DATOS!$C$74,CEILING(CC30/INDEX(TABLAS!$D$52:$D$58,MIN(MATCH(MAX(4,DATOS!$C$71),TABLAS!$B$52:$B$58,0)+3,7)),1))*INDEX(TABLAS!$D$52:$D$58,MIN(MATCH(MAX(4,DATOS!$C$71),TABLAS!$B$52:$B$58,0)+3,7)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+3,7)),1)),MAX(MAX(DATOS!$C$74,CEILING(CC30/INDEX(TABLAS!$D$52:$D$58,MIN(MATCH(MAX(4,DATOS!$C$71),TABLAS!$B$52:$B$58,0)+3,7)),1)),2))&lt;=MIN(DATOS!$C$73,INT(((DATOS!$C$83-2*AK30)+MAX(DATOS!$C$70,INDEX(TABLAS!$C$52:$C$58,MIN(MATCH(MAX(4,DATOS!$C$71),TABLAS!$B$52:$B$58,0)+3,7))))/(INDEX(TABLAS!$C$52:$C$58,MIN(MATCH(MAX(4,DATOS!$C$71),TABLAS!$B$52:$B$58,0)+3,7))+MAX(DATOS!$C$70,INDEX(TABLAS!$C$52:$C$58,MIN(MATCH(MAX(4,DATOS!$C$71),TABLAS!$B$52:$B$58,0)+3,7))))))),INDEX(TABLAS!$B$52:$B$58,MIN(MATCH(MAX(4,DATOS!$C$71),TABLAS!$B$52:$B$58,0)+3,7)),IF(AND(CC30&gt;=0,IF(MAX(DATOS!$C$74,CEILING(CC30/INDEX(TABLAS!$D$52:$D$58,MIN(MATCH(MAX(4,DATOS!$C$71),TABLAS!$B$52:$B$58,0)+4,7)),1))*INDEX(TABLAS!$D$52:$D$58,MIN(MATCH(MAX(4,DATOS!$C$71),TABLAS!$B$52:$B$58,0)+4,7)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+4,7)),1)),MAX(MAX(DATOS!$C$74,CEILING(CC30/INDEX(TABLAS!$D$52:$D$58,MIN(MATCH(MAX(4,DATOS!$C$71),TABLAS!$B$52:$B$58,0)+4,7)),1)),2))&lt;=MIN(DATOS!$C$73,INT(((DATOS!$C$83-2*AK30)+MAX(DATOS!$C$70,INDEX(TABLAS!$C$52:$C$58,MIN(MATCH(MAX(4,DATOS!$C$71),TABLAS!$B$52:$B$58,0)+4,7))))/(INDEX(TABLAS!$C$52:$C$58,MIN(MATCH(MAX(4,DATOS!$C$71),TABLAS!$B$52:$B$58,0)+4,7))+MAX(DATOS!$C$70,INDEX(TABLAS!$C$52:$C$58,MIN(MATCH(MAX(4,DATOS!$C$71),TABLAS!$B$52:$B$58,0)+4,7))))))),INDEX(TABLAS!$B$52:$B$58,MIN(MATCH(MAX(4,DATOS!$C$71),TABLAS!$B$52:$B$58,0)+4,7)),INDEX(TABLAS!$B$52:$B$58,7)))))))</f>
        <v/>
      </c>
      <c r="CE30" s="59" t="str">
        <f>IF(V30&lt;&gt;"SÍ","",IF(CC30&lt;0,0,IF(MAX(DATOS!$C$74,CEILING(MAX(CC30,0)/INDEX(TABLAS!$D$52:$D$58,MATCH(CD30,TABLAS!$B$52:$B$58,0)),1))*INDEX(TABLAS!$D$52:$D$58,MATCH(CD30,TABLAS!$B$52:$B$58,0))&gt;=4/3*IF(BI30&lt;=0,0,IF((1-2*BI30*1E5/(DATOS!$C$29*AI30*CB30^2*DATOS!$C$21))&lt;0,-1,IF((1-SQRT((1-2*BI30*1E5/(DATOS!$C$29*AI30*CB30^2*DATOS!$C$21))))*DATOS!$C$21*AI30*CB30/DATOS!$C$14&gt;DATOS!$C$102*AI30*CB30,-1,(1-SQRT((1-2*BI30*1E5/(DATOS!$C$29*AI30*CB30^2*DATOS!$C$21))))*DATOS!$C$21*AI30*CB30/DATOS!$C$14)))-0.0001,MAX(DATOS!$C$74,CEILING(MAX(CC30,0)/INDEX(TABLAS!$D$52:$D$58,MATCH(CD30,TABLAS!$B$52:$B$58,0)),1)),MAX(MAX(DATOS!$C$74,CEILING(MAX(CC30,0)/INDEX(TABLAS!$D$52:$D$58,MATCH(CD30,TABLAS!$B$52:$B$58,0)),1)),2))))</f>
        <v/>
      </c>
      <c r="CF30" s="58" t="str">
        <f>IF(V30&lt;&gt;"SÍ","",DATOS!$C$85-AK30-INDEX(TABLAS!$C$52:$C$58,MATCH(BN30,TABLAS!$B$52:$B$58,0))-INDEX(TABLAS!$C$52:$C$58,MATCH(CD30,TABLAS!$B$52:$B$58,0))/2)</f>
        <v/>
      </c>
      <c r="CG30" s="56" t="str">
        <f>IF(V30&lt;&gt;"SÍ","",IF(CE30=0,0,DATOS!$C$29*CE30*INDEX(TABLAS!$D$52:$D$58,MATCH(CD30,TABLAS!$B$52:$B$58,0))*DATOS!$C$14*(CF30-CE30*INDEX(TABLAS!$D$52:$D$58,MATCH(CD30,TABLAS!$B$52:$B$58,0))*DATOS!$C$14/(DATOS!$C$21*AI30)/2)/1E5))</f>
        <v/>
      </c>
      <c r="CH30" s="65" t="str">
        <f>IF(V30&lt;&gt;"SÍ","",IF(CC30&lt;0,9.99,IF(CG30&gt;0,BI30/CG30,0)))</f>
        <v/>
      </c>
      <c r="CI30" s="66" t="str">
        <f>IF(V30&lt;&gt;"SÍ","",IF(CE30=0,"—",0.003*(CF30-(CE30*INDEX(TABLAS!$D$52:$D$58,MATCH(CD30,TABLAS!$B$52:$B$58,0))*DATOS!$C$14/(DATOS!$C$21*AI30)/DATOS!$C$22))/(CE30*INDEX(TABLAS!$D$52:$D$58,MATCH(CD30,TABLAS!$B$52:$B$58,0))*DATOS!$C$14/(DATOS!$C$21*AI30)/DATOS!$C$22)))</f>
        <v/>
      </c>
      <c r="CJ30" s="58" t="str">
        <f>IF(V30&lt;&gt;"SÍ","",((DATOS!$C$85-AM30-2*DATOS!$C$97-INDEX(TABLAS!$C$52:$C$58,MATCH(MAX(4,DATOS!$C$72),TABLAS!$B$52:$B$58,0))-INDEX(TABLAS!$C$52:$C$58,MATCH(MAX(4,DATOS!$C$72),TABLAS!$B$52:$B$58,0))/2)-IF(AND((DATOS!$C$85-AM30-2*DATOS!$C$97-INDEX(TABLAS!$C$52:$C$58,MATCH(MAX(4,DATOS!$C$72),TABLAS!$B$52:$B$58,0))-INDEX(TABLAS!$C$52:$C$58,MATCH(MAX(4,DATOS!$C$72),TABLAS!$B$52:$B$58,0))/2)&lt;=20,DATOS!$C$65&lt;&gt;"SÍ"),2,0)))</f>
        <v/>
      </c>
      <c r="CK30" s="58" t="str">
        <f>IF(V30&lt;&gt;"SÍ","",IF(IF(BJ30&lt;=0,0,IF((1-2*BJ30*1E5/(DATOS!$C$29*AG30*CJ30^2*DATOS!$C$21))&lt;0,-1,IF((1-SQRT((1-2*BJ30*1E5/(DATOS!$C$29*AG30*CJ30^2*DATOS!$C$21))))*DATOS!$C$21*AG30*CJ30/DATOS!$C$14&gt;DATOS!$C$102*AG30*CJ30,-1,(1-SQRT((1-2*BJ30*1E5/(DATOS!$C$29*AG30*CJ30^2*DATOS!$C$21))))*DATOS!$C$21*AG30*CJ30/DATOS!$C$14)))&lt;0,-1,MAX(IF(BJ30&lt;=0,0,IF((1-2*BJ30*1E5/(DATOS!$C$29*AG30*CJ30^2*DATOS!$C$21))&lt;0,-1,IF((1-SQRT((1-2*BJ30*1E5/(DATOS!$C$29*AG30*CJ30^2*DATOS!$C$21))))*DATOS!$C$21*AG30*CJ30/DATOS!$C$14&gt;DATOS!$C$102*AG30*CJ30,-1,(1-SQRT((1-2*BJ30*1E5/(DATOS!$C$29*AG30*CJ30^2*DATOS!$C$21))))*DATOS!$C$21*AG30*CJ30/DATOS!$C$14))),MIN(DATOS!$C$103*DATOS!$C$83*CJ30,4/3*IF(BJ30&lt;=0,0,IF((1-2*BJ30*1E5/(DATOS!$C$29*AG30*CJ30^2*DATOS!$C$21))&lt;0,-1,IF((1-SQRT((1-2*BJ30*1E5/(DATOS!$C$29*AG30*CJ30^2*DATOS!$C$21))))*DATOS!$C$21*AG30*CJ30/DATOS!$C$14&gt;DATOS!$C$102*AG30*CJ30,-1,(1-SQRT((1-2*BJ30*1E5/(DATOS!$C$29*AG30*CJ30^2*DATOS!$C$21))))*DATOS!$C$21*AG30*CJ30/DATOS!$C$14)))))))</f>
        <v/>
      </c>
      <c r="CL30" s="64" t="str">
        <f>IF(V30&lt;&gt;"SÍ","",IF(AND(CK30&gt;=0,IF(MAX(DATOS!$C$74,CEILING(CK30/INDEX(TABLAS!$D$52:$D$58,MIN(MATCH(MAX(4,DATOS!$C$72),TABLAS!$B$52:$B$58,0)+0,7)),1))*INDEX(TABLAS!$D$52:$D$58,MIN(MATCH(MAX(4,DATOS!$C$72),TABLAS!$B$52:$B$58,0)+0,7)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+0,7)),1)),MAX(MAX(DATOS!$C$74,CEILING(CK30/INDEX(TABLAS!$D$52:$D$58,MIN(MATCH(MAX(4,DATOS!$C$72),TABLAS!$B$52:$B$58,0)+0,7)),1)),2))&lt;=MIN(DATOS!$C$73,INT(((DATOS!$C$83-2*AL30)+MAX(DATOS!$C$70,INDEX(TABLAS!$C$52:$C$58,MIN(MATCH(MAX(4,DATOS!$C$72),TABLAS!$B$52:$B$58,0)+0,7))))/(INDEX(TABLAS!$C$52:$C$58,MIN(MATCH(MAX(4,DATOS!$C$72),TABLAS!$B$52:$B$58,0)+0,7))+MAX(DATOS!$C$70,INDEX(TABLAS!$C$52:$C$58,MIN(MATCH(MAX(4,DATOS!$C$72),TABLAS!$B$52:$B$58,0)+0,7))))))),INDEX(TABLAS!$B$52:$B$58,MIN(MATCH(MAX(4,DATOS!$C$72),TABLAS!$B$52:$B$58,0)+0,7)),IF(AND(CK30&gt;=0,IF(MAX(DATOS!$C$74,CEILING(CK30/INDEX(TABLAS!$D$52:$D$58,MIN(MATCH(MAX(4,DATOS!$C$72),TABLAS!$B$52:$B$58,0)+1,7)),1))*INDEX(TABLAS!$D$52:$D$58,MIN(MATCH(MAX(4,DATOS!$C$72),TABLAS!$B$52:$B$58,0)+1,7)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+1,7)),1)),MAX(MAX(DATOS!$C$74,CEILING(CK30/INDEX(TABLAS!$D$52:$D$58,MIN(MATCH(MAX(4,DATOS!$C$72),TABLAS!$B$52:$B$58,0)+1,7)),1)),2))&lt;=MIN(DATOS!$C$73,INT(((DATOS!$C$83-2*AL30)+MAX(DATOS!$C$70,INDEX(TABLAS!$C$52:$C$58,MIN(MATCH(MAX(4,DATOS!$C$72),TABLAS!$B$52:$B$58,0)+1,7))))/(INDEX(TABLAS!$C$52:$C$58,MIN(MATCH(MAX(4,DATOS!$C$72),TABLAS!$B$52:$B$58,0)+1,7))+MAX(DATOS!$C$70,INDEX(TABLAS!$C$52:$C$58,MIN(MATCH(MAX(4,DATOS!$C$72),TABLAS!$B$52:$B$58,0)+1,7))))))),INDEX(TABLAS!$B$52:$B$58,MIN(MATCH(MAX(4,DATOS!$C$72),TABLAS!$B$52:$B$58,0)+1,7)),IF(AND(CK30&gt;=0,IF(MAX(DATOS!$C$74,CEILING(CK30/INDEX(TABLAS!$D$52:$D$58,MIN(MATCH(MAX(4,DATOS!$C$72),TABLAS!$B$52:$B$58,0)+2,7)),1))*INDEX(TABLAS!$D$52:$D$58,MIN(MATCH(MAX(4,DATOS!$C$72),TABLAS!$B$52:$B$58,0)+2,7)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+2,7)),1)),MAX(MAX(DATOS!$C$74,CEILING(CK30/INDEX(TABLAS!$D$52:$D$58,MIN(MATCH(MAX(4,DATOS!$C$72),TABLAS!$B$52:$B$58,0)+2,7)),1)),2))&lt;=MIN(DATOS!$C$73,INT(((DATOS!$C$83-2*AL30)+MAX(DATOS!$C$70,INDEX(TABLAS!$C$52:$C$58,MIN(MATCH(MAX(4,DATOS!$C$72),TABLAS!$B$52:$B$58,0)+2,7))))/(INDEX(TABLAS!$C$52:$C$58,MIN(MATCH(MAX(4,DATOS!$C$72),TABLAS!$B$52:$B$58,0)+2,7))+MAX(DATOS!$C$70,INDEX(TABLAS!$C$52:$C$58,MIN(MATCH(MAX(4,DATOS!$C$72),TABLAS!$B$52:$B$58,0)+2,7))))))),INDEX(TABLAS!$B$52:$B$58,MIN(MATCH(MAX(4,DATOS!$C$72),TABLAS!$B$52:$B$58,0)+2,7)),IF(AND(CK30&gt;=0,IF(MAX(DATOS!$C$74,CEILING(CK30/INDEX(TABLAS!$D$52:$D$58,MIN(MATCH(MAX(4,DATOS!$C$72),TABLAS!$B$52:$B$58,0)+3,7)),1))*INDEX(TABLAS!$D$52:$D$58,MIN(MATCH(MAX(4,DATOS!$C$72),TABLAS!$B$52:$B$58,0)+3,7)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+3,7)),1)),MAX(MAX(DATOS!$C$74,CEILING(CK30/INDEX(TABLAS!$D$52:$D$58,MIN(MATCH(MAX(4,DATOS!$C$72),TABLAS!$B$52:$B$58,0)+3,7)),1)),2))&lt;=MIN(DATOS!$C$73,INT(((DATOS!$C$83-2*AL30)+MAX(DATOS!$C$70,INDEX(TABLAS!$C$52:$C$58,MIN(MATCH(MAX(4,DATOS!$C$72),TABLAS!$B$52:$B$58,0)+3,7))))/(INDEX(TABLAS!$C$52:$C$58,MIN(MATCH(MAX(4,DATOS!$C$72),TABLAS!$B$52:$B$58,0)+3,7))+MAX(DATOS!$C$70,INDEX(TABLAS!$C$52:$C$58,MIN(MATCH(MAX(4,DATOS!$C$72),TABLAS!$B$52:$B$58,0)+3,7))))))),INDEX(TABLAS!$B$52:$B$58,MIN(MATCH(MAX(4,DATOS!$C$72),TABLAS!$B$52:$B$58,0)+3,7)),IF(AND(CK30&gt;=0,IF(MAX(DATOS!$C$74,CEILING(CK30/INDEX(TABLAS!$D$52:$D$58,MIN(MATCH(MAX(4,DATOS!$C$72),TABLAS!$B$52:$B$58,0)+4,7)),1))*INDEX(TABLAS!$D$52:$D$58,MIN(MATCH(MAX(4,DATOS!$C$72),TABLAS!$B$52:$B$58,0)+4,7)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+4,7)),1)),MAX(MAX(DATOS!$C$74,CEILING(CK30/INDEX(TABLAS!$D$52:$D$58,MIN(MATCH(MAX(4,DATOS!$C$72),TABLAS!$B$52:$B$58,0)+4,7)),1)),2))&lt;=MIN(DATOS!$C$73,INT(((DATOS!$C$83-2*AL30)+MAX(DATOS!$C$70,INDEX(TABLAS!$C$52:$C$58,MIN(MATCH(MAX(4,DATOS!$C$72),TABLAS!$B$52:$B$58,0)+4,7))))/(INDEX(TABLAS!$C$52:$C$58,MIN(MATCH(MAX(4,DATOS!$C$72),TABLAS!$B$52:$B$58,0)+4,7))+MAX(DATOS!$C$70,INDEX(TABLAS!$C$52:$C$58,MIN(MATCH(MAX(4,DATOS!$C$72),TABLAS!$B$52:$B$58,0)+4,7))))))),INDEX(TABLAS!$B$52:$B$58,MIN(MATCH(MAX(4,DATOS!$C$72),TABLAS!$B$52:$B$58,0)+4,7)),INDEX(TABLAS!$B$52:$B$58,7)))))))</f>
        <v/>
      </c>
      <c r="CM30" s="59" t="str">
        <f>IF(V30&lt;&gt;"SÍ","",IF(CK30&lt;0,0,IF(MAX(DATOS!$C$74,CEILING(MAX(CK30,0)/INDEX(TABLAS!$D$52:$D$58,MATCH(CL30,TABLAS!$B$52:$B$58,0)),1))*INDEX(TABLAS!$D$52:$D$58,MATCH(CL30,TABLAS!$B$52:$B$58,0))&gt;=4/3*IF(BJ30&lt;=0,0,IF((1-2*BJ30*1E5/(DATOS!$C$29*AG30*CJ30^2*DATOS!$C$21))&lt;0,-1,IF((1-SQRT((1-2*BJ30*1E5/(DATOS!$C$29*AG30*CJ30^2*DATOS!$C$21))))*DATOS!$C$21*AG30*CJ30/DATOS!$C$14&gt;DATOS!$C$102*AG30*CJ30,-1,(1-SQRT((1-2*BJ30*1E5/(DATOS!$C$29*AG30*CJ30^2*DATOS!$C$21))))*DATOS!$C$21*AG30*CJ30/DATOS!$C$14)))-0.0001,MAX(DATOS!$C$74,CEILING(MAX(CK30,0)/INDEX(TABLAS!$D$52:$D$58,MATCH(CL30,TABLAS!$B$52:$B$58,0)),1)),MAX(MAX(DATOS!$C$74,CEILING(MAX(CK30,0)/INDEX(TABLAS!$D$52:$D$58,MATCH(CL30,TABLAS!$B$52:$B$58,0)),1)),2))))</f>
        <v/>
      </c>
      <c r="CN30" s="58" t="str">
        <f>IF(V30&lt;&gt;"SÍ","",((DATOS!$C$85-AM30-2*DATOS!$C$97-INDEX(TABLAS!$C$52:$C$58,MATCH(BV30,TABLAS!$B$52:$B$58,0))-INDEX(TABLAS!$C$52:$C$58,MATCH(CL30,TABLAS!$B$52:$B$58,0))/2)-IF(AND((DATOS!$C$85-AM30-2*DATOS!$C$97-INDEX(TABLAS!$C$52:$C$58,MATCH(BV30,TABLAS!$B$52:$B$58,0))-INDEX(TABLAS!$C$52:$C$58,MATCH(CL30,TABLAS!$B$52:$B$58,0))/2)&lt;=20,DATOS!$C$65&lt;&gt;"SÍ"),2,0)))</f>
        <v/>
      </c>
      <c r="CO30" s="56" t="str">
        <f>IF(V30&lt;&gt;"SÍ","",IF(CM30=0,0,DATOS!$C$29*CM30*INDEX(TABLAS!$D$52:$D$58,MATCH(CL30,TABLAS!$B$52:$B$58,0))*DATOS!$C$14*(CN30-CM30*INDEX(TABLAS!$D$52:$D$58,MATCH(CL30,TABLAS!$B$52:$B$58,0))*DATOS!$C$14/(DATOS!$C$21*AG30)/2)/1E5))</f>
        <v/>
      </c>
      <c r="CP30" s="65" t="str">
        <f>IF(V30&lt;&gt;"SÍ","",IF(CK30&lt;0,9.99,IF(CO30&gt;0,BJ30/CO30,0)))</f>
        <v/>
      </c>
      <c r="CQ30" s="66" t="str">
        <f>IF(V30&lt;&gt;"SÍ","",IF(CM30=0,"—",0.003*(CN30-(CM30*INDEX(TABLAS!$D$52:$D$58,MATCH(CL30,TABLAS!$B$52:$B$58,0))*DATOS!$C$14/(DATOS!$C$21*AG30)/DATOS!$C$22))/(CM30*INDEX(TABLAS!$D$52:$D$58,MATCH(CL30,TABLAS!$B$52:$B$58,0))*DATOS!$C$14/(DATOS!$C$21*AG30)/DATOS!$C$22)))</f>
        <v/>
      </c>
      <c r="CR30" s="56" t="str">
        <f>IF(V30&lt;&gt;"SÍ","",IF(C30="PERIMETRAL",MAX(0,(AB30/2-BX30)/100)*(0.95-0.5*AA30)*AR30*IF(AND(AS30&gt;0,AS30&lt;4),DATOS!$C$33,1)*DATOS!$C$86/100/1000,(AR30*MAX(0,AB30-BX30)/100+DATOS!$C$26*N(O30))*DATOS!$C$86/100/1000+BF30))</f>
        <v/>
      </c>
      <c r="CS30" s="56" t="str">
        <f>IF(V30&lt;&gt;"SÍ","",DATOS!$C$30*2*MIN(1,SQRT(2/(1+0.04*BX30)))*(BW30*INDEX(TABLAS!$D$52:$D$58,MATCH(BV30,TABLAS!$B$52:$B$58,0))/(AF30*BX30))^(1/3)*SQRT(DATOS!$C$13)*AF30*BX30*IF(AJ30="SÍ",DATOS!$C$32,1)/1000)</f>
        <v/>
      </c>
      <c r="CT30" s="59" t="str">
        <f>IF(V30&lt;&gt;"SÍ","",IF(CR30&lt;=CS30,0,CEILING(MAX(0,IF(C30="VOLADO",(AB30-((CS30-BF30)*1E5/DATOS!$C$86-DATOS!$C$26*N(O30))*100/AR30),IF(CS30&lt;=0,AB30,AB30/2-CS30/MAX(CR30,1E-9)*(AB30/2-BX30)))-IF(X30="X",MIN(DJ30,DK30),MIN(DL30,DM30)))/DATOS!$C$86,1)))</f>
        <v/>
      </c>
      <c r="CU30" s="67" t="str">
        <f>IF(V30&lt;&gt;"SÍ","",IF(CR30&lt;=CS30,"CUMPLE",IF(CT30&lt;=0,"CUMPLE (basta el macizo de orilla)",IF(CT30*DATOS!$C$86*IF(C30="VOLADO",1,2)&gt;=Y30*100-DATOS!$C$87,"NO CUMPLE: no alcanza ni macizando todo","MACIZAR "&amp;CT30&amp;" hilera(s)"))))</f>
        <v/>
      </c>
      <c r="CV30" s="58" t="str">
        <f>IF(V30&lt;&gt;"SÍ","",(DATOS!$C$86*DATOS!$C$84^2/2+MIN(DATOS!$C$83,AD30)*DATOS!$C$82*(DATOS!$C$84+DATOS!$C$82/2))/(DATOS!$C$86*DATOS!$C$84+MIN(DATOS!$C$83,AD30)*DATOS!$C$82))</f>
        <v/>
      </c>
      <c r="CW30" s="68" t="str">
        <f>IF(V30&lt;&gt;"SÍ","",DATOS!$C$86*DATOS!$C$84^3/12+DATOS!$C$86*DATOS!$C$84*(CV30-DATOS!$C$84/2)^2+MIN(DATOS!$C$83,AD30)*DATOS!$C$82^3/12+MIN(DATOS!$C$83,AD30)*DATOS!$C$82*(DATOS!$C$84+DATOS!$C$82/2-CV30)^2)</f>
        <v/>
      </c>
      <c r="CX30" s="58" t="str">
        <f>IF(V30&lt;&gt;"SÍ","",(12*CW30/DATOS!$C$86)^(1/3))</f>
        <v/>
      </c>
      <c r="CY30" s="58" t="str">
        <f>IF(V30&lt;&gt;"SÍ","",IF(C30="PERIMETRAL",IF(ISNUMBER(S30),S30,DATOS!$C$104),0))</f>
        <v/>
      </c>
      <c r="CZ30" s="57" t="str">
        <f>IF(V30&lt;&gt;"SÍ","",IF(C30="PERIMETRAL",IF(CY30&gt;2,MAX(9,AC30*(0.8+DATOS!$C$14/14000)/(36+9*(AC30/MAX(AB30,1)))),IF(CY30&gt;0.2,MAX(13,AC30*(0.8+DATOS!$C$14/14000)/(36+5*(AC30/MAX(AB30,1))*(CY30-0.2))),MAX(13,AC30/IF(AS30&gt;0,30,33))))*IF(AND(CY30&gt;0.2,AS30&gt;0,DATOS!$C$105="NO"),1.1,1),MAX(25,Y30*100/8*(0.4+DATOS!$C$14/7000))))</f>
        <v/>
      </c>
      <c r="DA30" s="61" t="str">
        <f>IF(V30&lt;&gt;"SÍ","",IF(IF(C30="VOLADO",DATOS!$C$85,CX30)&gt;=CZ30,"CUMPLE",IF(C30="VOLADO","NO CUMPLE","CALCULAR FLECHA")))</f>
        <v/>
      </c>
      <c r="DB30" s="55" t="str">
        <f>IF(V30&lt;&gt;"SÍ","",IF(DATOS!$C$84&gt;=IF(IF(C30="VOLADO",Y30,Z30)&gt;=6,6,5),"CUMPLE","CAPA ≥ 6 cm"))</f>
        <v/>
      </c>
      <c r="DC30" s="60" t="str">
        <f>IF(V30&lt;&gt;"SÍ","",IF(C30="VOLADO",MIN(FLOOR(IF(ISNUMBER(P30),P30,Y30)*100-DATOS!$C$63,5),CEILING(MAX(IF((0.5*(0.9*DATOS!$C$90*DATOS!$C$86/100/1000)*IF(ISNUMBER(P30),P30,Y30)+BH30/IF(ISNUMBER(P30),P30,Y30))^2-4*(0.5*(0.9*DATOS!$C$90*DATOS!$C$86/100/1000))*BH30&lt;0,IF(ISNUMBER(P30),P30,Y30),MIN(IF(ISNUMBER(P30),P30,Y30),((0.5*(0.9*DATOS!$C$90*DATOS!$C$86/100/1000)*IF(ISNUMBER(P30),P30,Y30)+BH30/IF(ISNUMBER(P30),P30,Y30))-SQRT((0.5*(0.9*DATOS!$C$90*DATOS!$C$86/100/1000)*IF(ISNUMBER(P30),P30,Y30)+BH30/IF(ISNUMBER(P30),P30,Y30))^2-4*(0.5*(0.9*DATOS!$C$90*DATOS!$C$86/100/1000))*BH30))/(2*(0.5*(0.9*DATOS!$C$90*DATOS!$C$86/100/1000)))))*100+MAX(BX30,12*INDEX(TABLAS!$C$52:$C$58,MATCH(BV30,TABLAS!$B$52:$B$58,0)),IF(ISNUMBER(P30),P30,Y30)*100/16),IF(OR(AL30&lt;INDEX(TABLAS!$C$52:$C$58,MATCH(BV30,TABLAS!$B$52:$B$58,0)),AND(BW30&gt;=2,(AD30-2*AL30-BW30*INDEX(TABLAS!$C$52:$C$58,MATCH(BV30,TABLAS!$B$52:$B$58,0)))/MAX(BW30-1,1)&lt;2*INDEX(TABLAS!$C$52:$C$58,MATCH(BV30,TABLAS!$B$52:$B$58,0)))),INDEX(TABLAS!$I$52:$I$58,MATCH(BV30,TABLAS!$B$52:$B$58,0)),INDEX(TABLAS!$F$52:$F$58,MATCH(BV30,TABLAS!$B$52:$B$58,0)))),5)),IF(((4*((BC30*AR30*Y30^2*1E-4*DATOS!$C$86/100/1000)+((MAX(AY30,BA30)*AR30*Y30^2*1E-4*DATOS!$C$86/100/1000)+(IF(AND(AY30&gt;0,BA30&gt;0),MIN(AY30,BA30),MAX(AY30,BA30))*AR30*Y30^2*1E-4*DATOS!$C$86/100/1000))/2)+BH30-(IF(AND(AY30&gt;0,BA30&gt;0),MIN(AY30,BA30),MAX(AY30,BA30))*AR30*Y30^2*1E-4*DATOS!$C$86/100/1000))^2-16*((BC30*AR30*Y30^2*1E-4*DATOS!$C$86/100/1000)+((MAX(AY30,BA30)*AR30*Y30^2*1E-4*DATOS!$C$86/100/1000)+(IF(AND(AY30&gt;0,BA30&gt;0),MIN(AY30,BA30),MAX(AY30,BA30))*AR30*Y30^2*1E-4*DATOS!$C$86/100/1000))/2)*BH30)&lt;0,CEILING(AB30,5),CEILING(MAX(AB30*((4*((BC30*AR30*Y30^2*1E-4*DATOS!$C$86/100/1000)+((MAX(AY30,BA30)*AR30*Y30^2*1E-4*DATOS!$C$86/100/1000)+(IF(AND(AY30&gt;0,BA30&gt;0),MIN(AY30,BA30),MAX(AY30,BA30))*AR30*Y30^2*1E-4*DATOS!$C$86/100/1000))/2)+BH30-(IF(AND(AY30&gt;0,BA30&gt;0),MIN(AY30,BA30),MAX(AY30,BA30))*AR30*Y30^2*1E-4*DATOS!$C$86/100/1000))-SQRT(MAX(0,((4*((BC30*AR30*Y30^2*1E-4*DATOS!$C$86/100/1000)+((MAX(AY30,BA30)*AR30*Y30^2*1E-4*DATOS!$C$86/100/1000)+(IF(AND(AY30&gt;0,BA30&gt;0),MIN(AY30,BA30),MAX(AY30,BA30))*AR30*Y30^2*1E-4*DATOS!$C$86/100/1000))/2)+BH30-(IF(AND(AY30&gt;0,BA30&gt;0),MIN(AY30,BA30),MAX(AY30,BA30))*AR30*Y30^2*1E-4*DATOS!$C$86/100/1000))^2-16*((BC30*AR30*Y30^2*1E-4*DATOS!$C$86/100/1000)+((MAX(AY30,BA30)*AR30*Y30^2*1E-4*DATOS!$C$86/100/1000)+(IF(AND(AY30&gt;0,BA30&gt;0),MIN(AY30,BA30),MAX(AY30,BA30))*AR30*Y30^2*1E-4*DATOS!$C$86/100/1000))/2)*BH30))))/(8*MAX(((BC30*AR30*Y30^2*1E-4*DATOS!$C$86/100/1000)+((MAX(AY30,BA30)*AR30*Y30^2*1E-4*DATOS!$C$86/100/1000)+(IF(AND(AY30&gt;0,BA30&gt;0),MIN(AY30,BA30),MAX(AY30,BA30))*AR30*Y30^2*1E-4*DATOS!$C$86/100/1000))/2),1E-9))+MAX(BX30,12*INDEX(TABLAS!$C$52:$C$58,MATCH(BV30,TABLAS!$B$52:$B$58,0)),AB30/16),IF(OR(AL30&lt;INDEX(TABLAS!$C$52:$C$58,MATCH(BV30,TABLAS!$B$52:$B$58,0)),AND(BW30&gt;=2,(AD30-2*AL30-BW30*INDEX(TABLAS!$C$52:$C$58,MATCH(BV30,TABLAS!$B$52:$B$58,0)))/MAX(BW30-1,1)&lt;2*INDEX(TABLAS!$C$52:$C$58,MATCH(BV30,TABLAS!$B$52:$B$58,0)))),INDEX(TABLAS!$I$52:$I$58,MATCH(BV30,TABLAS!$B$52:$B$58,0)),INDEX(TABLAS!$F$52:$F$58,MATCH(BV30,TABLAS!$B$52:$B$58,0)))),5))))</f>
        <v/>
      </c>
      <c r="DD30" s="60" t="str">
        <f>IF(V30&lt;&gt;"SÍ","",IF(C30="VOLADO",0,IF(((4*((BD30*AR30*Y30^2*1E-4*DATOS!$C$86/100/1000)+((MAX(AZ30,BB30)*AR30*Y30^2*1E-4*DATOS!$C$86/100/1000)+(IF(AND(AZ30&gt;0,BB30&gt;0),MIN(AZ30,BB30),MAX(AZ30,BB30))*AR30*Y30^2*1E-4*DATOS!$C$86/100/1000))/2)+BJ30-(IF(AND(AZ30&gt;0,BB30&gt;0),MIN(AZ30,BB30),MAX(AZ30,BB30))*AR30*Y30^2*1E-4*DATOS!$C$86/100/1000))^2-16*((BD30*AR30*Y30^2*1E-4*DATOS!$C$86/100/1000)+((MAX(AZ30,BB30)*AR30*Y30^2*1E-4*DATOS!$C$86/100/1000)+(IF(AND(AZ30&gt;0,BB30&gt;0),MIN(AZ30,BB30),MAX(AZ30,BB30))*AR30*Y30^2*1E-4*DATOS!$C$86/100/1000))/2)*BJ30)&lt;0,CEILING(AC30,5),CEILING(MAX(AC30*((4*((BD30*AR30*Y30^2*1E-4*DATOS!$C$86/100/1000)+((MAX(AZ30,BB30)*AR30*Y30^2*1E-4*DATOS!$C$86/100/1000)+(IF(AND(AZ30&gt;0,BB30&gt;0),MIN(AZ30,BB30),MAX(AZ30,BB30))*AR30*Y30^2*1E-4*DATOS!$C$86/100/1000))/2)+BJ30-(IF(AND(AZ30&gt;0,BB30&gt;0),MIN(AZ30,BB30),MAX(AZ30,BB30))*AR30*Y30^2*1E-4*DATOS!$C$86/100/1000))-SQRT(MAX(0,((4*((BD30*AR30*Y30^2*1E-4*DATOS!$C$86/100/1000)+((MAX(AZ30,BB30)*AR30*Y30^2*1E-4*DATOS!$C$86/100/1000)+(IF(AND(AZ30&gt;0,BB30&gt;0),MIN(AZ30,BB30),MAX(AZ30,BB30))*AR30*Y30^2*1E-4*DATOS!$C$86/100/1000))/2)+BJ30-(IF(AND(AZ30&gt;0,BB30&gt;0),MIN(AZ30,BB30),MAX(AZ30,BB30))*AR30*Y30^2*1E-4*DATOS!$C$86/100/1000))^2-16*((BD30*AR30*Y30^2*1E-4*DATOS!$C$86/100/1000)+((MAX(AZ30,BB30)*AR30*Y30^2*1E-4*DATOS!$C$86/100/1000)+(IF(AND(AZ30&gt;0,BB30&gt;0),MIN(AZ30,BB30),MAX(AZ30,BB30))*AR30*Y30^2*1E-4*DATOS!$C$86/100/1000))/2)*BJ30))))/(8*MAX(((BD30*AR30*Y30^2*1E-4*DATOS!$C$86/100/1000)+((MAX(AZ30,BB30)*AR30*Y30^2*1E-4*DATOS!$C$86/100/1000)+(IF(AND(AZ30&gt;0,BB30&gt;0),MIN(AZ30,BB30),MAX(AZ30,BB30))*AR30*Y30^2*1E-4*DATOS!$C$86/100/1000))/2),1E-9))+MAX(CN30,12*INDEX(TABLAS!$C$52:$C$58,MATCH(CL30,TABLAS!$B$52:$B$58,0)),AC30/16),IF(OR(AL30&lt;INDEX(TABLAS!$C$52:$C$58,MATCH(CL30,TABLAS!$B$52:$B$58,0)),AND(CM30&gt;=2,(DATOS!$C$83-2*AL30-CM30*INDEX(TABLAS!$C$52:$C$58,MATCH(CL30,TABLAS!$B$52:$B$58,0)))/MAX(CM30-1,1)&lt;2*INDEX(TABLAS!$C$52:$C$58,MATCH(CL30,TABLAS!$B$52:$B$58,0)))),INDEX(TABLAS!$I$52:$I$58,MATCH(CL30,TABLAS!$B$52:$B$58,0)),INDEX(TABLAS!$F$52:$F$58,MATCH(CL30,TABLAS!$B$52:$B$58,0)))),5))))</f>
        <v/>
      </c>
      <c r="DE30" s="55" t="str">
        <f>IF(V30&lt;&gt;"SÍ","",IF(AND(C30="PERIMETRAL",BW30&gt;=2,AS30-AT30&gt;0,BA30*AR30*Y30^2*1E-4*DATOS!$C$86/100/1000&gt;DATOS!$C$29*INDEX(TABLAS!$D$52:$D$58,MATCH(BV30,TABLAS!$B$52:$B$58,0))*DATOS!$C$14*(BX30-INDEX(TABLAS!$D$52:$D$58,MATCH(BV30,TABLAS!$B$52:$B$58,0))*DATOS!$C$14/(DATOS!$C$21*AF30)/2)/1E5),"SÍ","NO"))</f>
        <v/>
      </c>
      <c r="DF30" s="55" t="str">
        <f>IF(V30&lt;&gt;"SÍ","",IF(AND(C30="PERIMETRAL",CM30&gt;=2,AT30&gt;0,BB30*AR30*Y30^2*1E-4*DATOS!$C$86/100/1000&gt;DATOS!$C$29*INDEX(TABLAS!$D$52:$D$58,MATCH(CL30,TABLAS!$B$52:$B$58,0))*DATOS!$C$14*(CN30-INDEX(TABLAS!$D$52:$D$58,MATCH(CL30,TABLAS!$B$52:$B$58,0))*DATOS!$C$14/(DATOS!$C$21*AG30)/2)/1E5),"SÍ","NO"))</f>
        <v/>
      </c>
      <c r="DG30" s="63" t="str">
        <f>IF(V30&lt;&gt;"SÍ","",IF(OR(C30="VOLADO",AS30=0),"—",IF(AND(AND(1.25*INDEX(TABLAS!$G$52:$G$58,MATCH(MAX(BN30,CD30),TABLAS!$B$52:$B$58,0))&lt;=(DATOS!$C$75-DATOS!$C$63),(DATOS!$C$75-DATOS!$C$63)&gt;=15,INDEX(TABLAS!$G$52:$G$58,MATCH(MAX(BV30,CL30),TABLAS!$B$52:$B$58,0))&lt;=(DATOS!$C$75-DATOS!$C$63)),8*INDEX(TABLAS!$C$52:$C$58,MATCH(MAX(MAX(BN30,CD30),MAX(BV30,CL30)),TABLAS!$B$52:$B$58,0))&lt;=DATOS!$C$76-2*DATOS!$C$63),"CUMPLE (gancho de 180°)",IF(AND(1.25*INDEX(TABLAS!$G$52:$G$58,MATCH(MAX(BN30,CD30),TABLAS!$B$52:$B$58,0))&lt;=(DATOS!$C$75-DATOS!$C$63),(DATOS!$C$75-DATOS!$C$63)&gt;=15,INDEX(TABLAS!$G$52:$G$58,MATCH(MAX(BV30,CL30),TABLAS!$B$52:$B$58,0))&lt;=(DATOS!$C$75-DATOS!$C$63)),"NO CUMPLE: el gancho de 180° (8·d_b) no cabe en el peralte de la dala de borde","NO CUMPLE: dala de borde ≥ "&amp;TEXT(CEILING(MAX(1.25*INDEX(TABLAS!$G$52:$G$58,MATCH(MAX(BN30,CD30),TABLAS!$B$52:$B$58,0)),15,INDEX(TABLAS!$G$52:$G$58,MATCH(MAX(BV30,CL30),TABLAS!$B$52:$B$58,0)))+DATOS!$C$63,5),"0")&amp;" cm de ancho"&amp;IF(8*INDEX(TABLAS!$C$52:$C$58,MATCH(MAX(MAX(BN30,CD30),MAX(BV30,CL30)),TABLAS!$B$52:$B$58,0))&lt;=DATOS!$C$76-2*DATOS!$C$63,""," y más peralte para el gancho")))))</f>
        <v/>
      </c>
      <c r="DH30" s="59" t="str">
        <f>IF(V30&lt;&gt;"SÍ","",MAX(0,INT((E30*100-DATOS!$C$87-IF(AND(C30="PERIMETRAL",I30="DISCONTINUO"),MAX(0,DATOS!$C$75-DATOS!$C$87),0)-IF(AND(C30="PERIMETRAL",J30="DISCONTINUO"),MAX(0,DATOS!$C$75-DATOS!$C$87),0)+DATOS!$C$86-IF(X30="X",DATOS!$C$81,AE30))/DATOS!$C$86)))</f>
        <v/>
      </c>
      <c r="DI30" s="59" t="str">
        <f>IF(V30&lt;&gt;"SÍ","",MAX(0,INT((F30*100-DATOS!$C$87-IF(AND(C30="PERIMETRAL",G30="DISCONTINUO"),MAX(0,DATOS!$C$75-DATOS!$C$87),0)-IF(AND(C30="PERIMETRAL",H30="DISCONTINUO"),MAX(0,DATOS!$C$75-DATOS!$C$87),0)+DATOS!$C$86-IF(X30="Y",DATOS!$C$81,AE30))/DATOS!$C$86)))</f>
        <v/>
      </c>
      <c r="DJ30" s="57" t="str">
        <f>IF(V30&lt;&gt;"SÍ","",IF(DH30&gt;0,IF(AND(C30="PERIMETRAL",I30="DISCONTINUO"),MAX(0,DATOS!$C$75-DATOS!$C$87),0)+(E30*100-DATOS!$C$87-IF(AND(C30="PERIMETRAL",I30="DISCONTINUO"),MAX(0,DATOS!$C$75-DATOS!$C$87),0)-IF(AND(C30="PERIMETRAL",J30="DISCONTINUO"),MAX(0,DATOS!$C$75-DATOS!$C$87),0)-(DH30*IF(X30="X",DATOS!$C$81,AE30)+(DH30-1)*(DATOS!$C$86-IF(X30="X",DATOS!$C$81,AE30))))/2,E30*100/2))</f>
        <v/>
      </c>
      <c r="DK30" s="57" t="str">
        <f>IF(V30&lt;&gt;"SÍ","",IF(DH30&gt;0,IF(AND(C30="PERIMETRAL",J30="DISCONTINUO"),MAX(0,DATOS!$C$75-DATOS!$C$87),0)+(E30*100-DATOS!$C$87-IF(AND(C30="PERIMETRAL",I30="DISCONTINUO"),MAX(0,DATOS!$C$75-DATOS!$C$87),0)-IF(AND(C30="PERIMETRAL",J30="DISCONTINUO"),MAX(0,DATOS!$C$75-DATOS!$C$87),0)-(DH30*IF(X30="X",DATOS!$C$81,AE30)+(DH30-1)*(DATOS!$C$86-IF(X30="X",DATOS!$C$81,AE30))))/2,E30*100/2))</f>
        <v/>
      </c>
      <c r="DL30" s="57" t="str">
        <f>IF(V30&lt;&gt;"SÍ","",IF(DI30&gt;0,IF(AND(C30="PERIMETRAL",G30="DISCONTINUO"),MAX(0,DATOS!$C$75-DATOS!$C$87),0)+(F30*100-DATOS!$C$87-IF(AND(C30="PERIMETRAL",G30="DISCONTINUO"),MAX(0,DATOS!$C$75-DATOS!$C$87),0)-IF(AND(C30="PERIMETRAL",H30="DISCONTINUO"),MAX(0,DATOS!$C$75-DATOS!$C$87),0)-(DI30*IF(X30="Y",DATOS!$C$81,AE30)+(DI30-1)*(DATOS!$C$86-IF(X30="Y",DATOS!$C$81,AE30))))/2,F30*100/2))</f>
        <v/>
      </c>
      <c r="DM30" s="57" t="str">
        <f>IF(V30&lt;&gt;"SÍ","",IF(DI30&gt;0,IF(AND(C30="PERIMETRAL",H30="DISCONTINUO"),MAX(0,DATOS!$C$75-DATOS!$C$87),0)+(F30*100-DATOS!$C$87-IF(AND(C30="PERIMETRAL",G30="DISCONTINUO"),MAX(0,DATOS!$C$75-DATOS!$C$87),0)-IF(AND(C30="PERIMETRAL",H30="DISCONTINUO"),MAX(0,DATOS!$C$75-DATOS!$C$87),0)-(DI30*IF(X30="Y",DATOS!$C$81,AE30)+(DI30-1)*(DATOS!$C$86-IF(X30="Y",DATOS!$C$81,AE30))))/2,F30*100/2))</f>
        <v/>
      </c>
      <c r="DN30" s="59" t="str">
        <f>IF(V30&lt;&gt;"SÍ","",IF(NOT(AND(C30="VOLADO",AD30&gt;DATOS!$C$83)),0,IF(INDEX(TABLAS!$C$52:$C$58,MATCH(BV30,TABLAS!$B$52:$B$58,0))&lt;=DATOS!$C$83-2*DATOS!$C$63,1,0)))</f>
        <v/>
      </c>
      <c r="DO30" s="58" t="str">
        <f>IF(V30&lt;&gt;"SÍ","",IF(NOT(AND(C30="VOLADO",AD30&gt;DATOS!$C$83)),0,((DATOS!$C$85-MAX(DATOS!$C$63,(DATOS!$C$84-2*DATOS!$C$97)/2)-2*DATOS!$C$97-INDEX(TABLAS!$C$52:$C$58,MATCH(MAX(4,DATOS!$C$72),TABLAS!$B$52:$B$58,0))-INDEX(TABLAS!$C$52:$C$58,MATCH(BV30,TABLAS!$B$52:$B$58,0))/2)-IF(AND((DATOS!$C$85-MAX(DATOS!$C$63,(DATOS!$C$84-2*DATOS!$C$97)/2)-2*DATOS!$C$97-INDEX(TABLAS!$C$52:$C$58,MATCH(MAX(4,DATOS!$C$72),TABLAS!$B$52:$B$58,0))-INDEX(TABLAS!$C$52:$C$58,MATCH(BV30,TABLAS!$B$52:$B$58,0))/2)&lt;=20,DATOS!$C$65&lt;&gt;"SÍ"),2,0))))</f>
        <v/>
      </c>
      <c r="DP30" s="56" t="str">
        <f>IF(V30&lt;&gt;"SÍ","",IF(OR(NOT(AND(C30="VOLADO",AD30&gt;DATOS!$C$83)),DN30&lt;1),0,IF(0.003*(DO30-((DN30*INDEX(TABLAS!$D$52:$D$58,MATCH(BV30,TABLAS!$B$52:$B$58,0)))*DATOS!$C$14/(DATOS!$C$21*AG30)/DATOS!$C$22))/((DN30*INDEX(TABLAS!$D$52:$D$58,MATCH(BV30,TABLAS!$B$52:$B$58,0)))*DATOS!$C$14/(DATOS!$C$21*AG30)/DATOS!$C$22)&lt;0.005,0,DATOS!$C$29*(DN30*INDEX(TABLAS!$D$52:$D$58,MATCH(BV30,TABLAS!$B$52:$B$58,0)))*DATOS!$C$14*(DO30-(DN30*INDEX(TABLAS!$D$52:$D$58,MATCH(BV30,TABLAS!$B$52:$B$58,0)))*DATOS!$C$14/(DATOS!$C$21*AG30)/2)/1E5)))</f>
        <v/>
      </c>
      <c r="DQ30" s="56" t="str">
        <f>IF(V30&lt;&gt;"SÍ","",IF(OR(NOT(AND(C30="VOLADO",AD30&gt;DATOS!$C$83)),DN30&lt;1),0,DATOS!$C$30*2*MIN(1,SQRT(2/(1+0.04*DO30)))*((DN30*INDEX(TABLAS!$D$52:$D$58,MATCH(BV30,TABLAS!$B$52:$B$58,0)))/(AG30*DO30))^(1/3)*SQRT(DATOS!$C$13)*AG30*DO30/1000))</f>
        <v/>
      </c>
      <c r="DR30" s="56" t="str">
        <f>IF(V30&lt;&gt;"SÍ","",IF(NOT(AND(C30="VOLADO",AD30&gt;DATOS!$C$83)),0,IF((BH30-DP30)&lt;=0,0,IF(DP30&lt;=0,IF(ISNUMBER(P30),P30,Y30),IF(((0.9*DATOS!$C$90*DATOS!$C$86/100/1000)*IF(ISNUMBER(P30),P30,Y30)/2+BH30/IF(ISNUMBER(P30),P30,Y30))^2-4*((0.9*DATOS!$C$90*DATOS!$C$86/100/1000)/2)*(BH30-DP30)&lt;0,IF(ISNUMBER(P30),P30,Y30),MIN(IF(ISNUMBER(P30),P30,Y30),(((0.9*DATOS!$C$90*DATOS!$C$86/100/1000)*IF(ISNUMBER(P30),P30,Y30)/2+BH30/IF(ISNUMBER(P30),P30,Y30))-SQRT(((0.9*DATOS!$C$90*DATOS!$C$86/100/1000)*IF(ISNUMBER(P30),P30,Y30)/2+BH30/IF(ISNUMBER(P30),P30,Y30))^2-4*((0.9*DATOS!$C$90*DATOS!$C$86/100/1000)/2)*(BH30-DP30)))/(2*((0.9*DATOS!$C$90*DATOS!$C$86/100/1000)/2))))))))</f>
        <v/>
      </c>
      <c r="DS30" s="56" t="str">
        <f>IF(V30&lt;&gt;"SÍ","",IF(NOT(AND(C30="VOLADO",AD30&gt;DATOS!$C$83)),0,IF(DQ30&lt;=(BH30/((IF(ISNUMBER(P30),P30,Y30)*100-DATOS!$C$87)/100)),IF(ISNUMBER(P30),P30,Y30),MIN(IF(ISNUMBER(P30),P30,Y30),MAX(0,(IF(ISNUMBER(P30),P30,Y30)*100-DATOS!$C$87)/200-(DQ30-(BH30/((IF(ISNUMBER(P30),P30,Y30)*100-DATOS!$C$87)/100)))/((0.95-0.5*IF(N(Q30)&gt;0,MIN(IF(ISNUMBER(P30),P30,Y30),Q30)/MAX(IF(ISNUMBER(P30),P30,Y30),Q30),0))*DATOS!$C$33*AR30*DATOS!$C$86/100/1000))))))</f>
        <v/>
      </c>
      <c r="DT30" s="56" t="str">
        <f>IF(V30&lt;&gt;"SÍ","",IF(NOT(AND(C30="VOLADO",AD30&gt;DATOS!$C$83)),0,(BH30/((IF(ISNUMBER(P30),P30,Y30)*100-DATOS!$C$87)/100))+((0.95-0.5*IF(N(Q30)&gt;0,MIN(IF(ISNUMBER(P30),P30,Y30),Q30)/MAX(IF(ISNUMBER(P30),P30,Y30),Q30),0))*DATOS!$C$33*AR30*DATOS!$C$86/100/1000)*MAX(0,(IF(ISNUMBER(P30),P30,Y30)*100-DATOS!$C$87)/200-BX30/100)))</f>
        <v/>
      </c>
      <c r="DU30" s="59" t="str">
        <f>IF(V30&lt;&gt;"SÍ","",IF(NOT(AND(C30="VOLADO",AD30&gt;DATOS!$C$83)),0,MIN(FLOOR(100*IF(ISNUMBER(P30),P30,Y30)-DATOS!$C$63,5),CEILING(100*MIN(IF(ISNUMBER(P30),P30,Y30),MAX(IF(DR30&gt;0,DR30+IF(BW30&gt;=2,MAX(DO30,12*INDEX(TABLAS!$C$52:$C$58,MATCH(BV30,TABLAS!$B$52:$B$58,0)))/100,0),0),DS30,IF(BW30&gt;=2,INDEX(TABLAS!$F$52:$F$58,MATCH(BV30,TABLAS!$B$52:$B$58,0))/100,0))),5))))</f>
        <v/>
      </c>
      <c r="DV30" s="60" t="str">
        <f>IF(V30&lt;&gt;"SÍ","",IF(NOT(AND(C30="VOLADO",AD30&gt;DATOS!$C$83)),0,IF(DU30&lt;=0,0,CEILING(DU30/DATOS!$C$86,1))))</f>
        <v/>
      </c>
      <c r="DW30" s="61" t="str">
        <f>IF(V30&lt;&gt;"SÍ","",IF(C30&lt;&gt;"VOLADO","—",IF(AD30&lt;=DATOS!$C$83,"— (mismo b_w que el respaldo)",IF(DT30&gt;CS30,"NO CUMPLE: cortante de la nervadura ancha junto al apoyo ("&amp;TEXT(DT30,"0.00")&amp;" &gt; "&amp;TEXT(CS30,"0.00")&amp;" t)",IF(DU30&gt;=100*IF(ISNUMBER(P30),P30,Y30),"CUMPLE — todas las nervaduras del respaldo ‖ al volado con b_w = "&amp;AD30&amp;" cm","CUMPLE — "&amp;DV30&amp;" hilera(s) del respaldo con nervaduras de b_w = "&amp;AD30&amp;" cm (casetón "&amp;AE30&amp;" cm), hasta "&amp;TEXT(DU30/100,"0.00")&amp;" m del paño")))))</f>
        <v/>
      </c>
      <c r="DX30" s="69" t="str">
        <f>IF(V30&lt;&gt;"SÍ","",IF(BO30=0,"NO ALCANZA",BO30&amp;" No. "&amp;BN30&amp;IF(BO30&gt;1," corridas"," corrida")))</f>
        <v/>
      </c>
      <c r="DY30" s="69" t="str">
        <f>IF(V30&lt;&gt;"SÍ","",IF(BW30=0,"NO ALCANZA",IF(AND(C30="VOLADO",AD30&gt;DATOS!$C$83,BW30&gt;=2),"1 No. "&amp;BV30&amp;" corrida de la orilla al respaldo ("&amp;IF(DC30&gt;=FLOOR(100*IF(ISNUMBER(P30),P30,Y30)-DATOS!$C$63,5),"hasta su apoyo lejano, con gancho","entra "&amp;TEXT(DC30/100,"0.00")&amp;" m desde el paño")&amp;") + "&amp;(BW30-1)&amp;" bastón No. "&amp;BV30&amp;" hasta "&amp;TEXT(DU30/100,"0.00")&amp;" m del paño (fin de la nervadura ancha)",IF(C30="VOLADO",BW30&amp;" No. "&amp;BV30&amp;" de la orilla al respaldo ("&amp;IF(DC30&gt;=FLOOR(100*IF(ISNUMBER(P30),P30,Y30)-DATOS!$C$63,5),"hasta su apoyo lejano, con gancho","entran "&amp;TEXT(DC30/100,"0.00")&amp;" m desde el paño")&amp;")","1 No. "&amp;BV30&amp;" corrida"&amp;IF(BW30&gt;1," + "&amp;(BW30-1)&amp;" bastón No. "&amp;BV30&amp;" L = "&amp;TEXT(DC30/100,"0.00")&amp;" m desde el paño","")))))</f>
        <v/>
      </c>
      <c r="DZ30" s="69" t="str">
        <f>IF(V30&lt;&gt;"SÍ","",IF(CE30=0,"NO ALCANZA",CE30&amp;" No. "&amp;CD30&amp;IF(CE30&gt;1," corridas"," corrida")))</f>
        <v/>
      </c>
      <c r="EA30" s="69" t="str">
        <f>IF(V30&lt;&gt;"SÍ","",IF(CM30=0,"NO ALCANZA",IF(C30="VOLADO","1 No. "&amp;CL30&amp;" corrida (repartición)","1 No. "&amp;CL30&amp;" corrida"&amp;IF(CM30&gt;1," + "&amp;(CM30-1)&amp;" bastón No. "&amp;CL30&amp;" L = "&amp;TEXT(DD30/100,"0.00")&amp;" m desde el paño",""))))</f>
        <v/>
      </c>
      <c r="EB30" s="67" t="str">
        <f>IF(B30="","",IF(V30&lt;&gt;"SÍ","FALTAN DATOS: tipo, a_x, a_y, destino y, en volados, L_b",IF(L30="NO MONOLÍTICO (caso II)","FUERA DE ALCANCE: caso II no transcrito",IF(AND(C30="VOLADO",W30="?"),"REVISAR: el volado lleva UN solo borde CONTINUO (el empotrado)",IF(MIN(DH30,DI30)=0,"REVISAR: no cabe un casetón (tablero macizo): diséñalo en MACIZAS",IF(AND(MAX(BR30,BZ30,CH30,CP30)&lt;=1,NOT(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T(OR(AND(ISNUMBER(BS30),BS30&lt;0.005),AND(ISNUMBER(CA30),CA30&lt;0.005),AND(ISNUMBER(CI30),CI30&lt;0.005),AND(ISNUMBER(CQ30),CQ30&lt;0.005))),NOT(LEFT(DW30,2)="NO"),DA30="CUMPLE",DB30="CUMPLE",LEFT(CU30,2)&lt;&gt;"NO",LEFT(DATOS!$C$132,6)="CUMPLE"),IF(LEFT(CU30,6)="CUMPLE","CUMPLE","CUMPLE — "&amp;CU30)&amp;IF(LEFT(BK30,5)="FUERA"," · fuera de 3.4.2.1 c)","")&amp;IF(LEFT(DG30,2)="NO"," · REVISAR anclaje en borde discontinuo","")&amp;IF(DV30&gt;0," · respaldo: "&amp;DV30&amp;" hilera(s) de b_w "&amp;AD30&amp;" cm",""),IF(AND(MAX(BR30,BZ30,CH30,CP30)&lt;=1,NOT(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T(OR(AND(ISNUMBER(BS30),BS30&lt;0.005),AND(ISNUMBER(CA30),CA30&lt;0.005),AND(ISNUMBER(CI30),CI30&lt;0.005),AND(ISNUMBER(CQ30),CQ30&lt;0.005))),NOT(LEFT(DW30,2)="NO"),DA30="CALCULAR FLECHA",LEFT(CU30,2)&lt;&gt;"NO",LEFT(DATOS!$C$132,6)="CUMPLE"),"REVISAR: calcular flecha (h_eq &lt; h mín.)"&amp;IF(LEFT(BK30,5)="FUERA"," · fuera de 3.4.2.1 c)","")&amp;IF(LEFT(DG30,2)="NO"," · REVISAR anclaje en borde discontinuo","")&amp;IF(DV30&gt;0," · respaldo: "&amp;DV30&amp;" hilera(s) de b_w "&amp;AD30&amp;" cm",""),"NO CUMPLE: "&amp;IF(MAX(BR30,BZ30,CH30,CP30)&gt;1,"flexión ","")&amp;IF(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 caben ","")&amp;IF(OR(AND(ISNUMBER(BS30),BS30&lt;0.005),AND(ISNUMBER(CA30),CA30&lt;0.005),AND(ISNUMBER(CI30),CI30&lt;0.005),AND(ISNUMBER(CQ30),CQ30&lt;0.005)),"ε_t &lt; 0.005 ","")&amp;IF(LEFT(CU30,2)="NO","cortante ","")&amp;IF(DA30="NO CUMPLE","peralte ","")&amp;IF(DB30&lt;&gt;"CUMPLE","capa &lt; 6 cm ","")&amp;IF(LEFT(DATOS!$C$132,6)&lt;&gt;"CUMPLE","capa o malla (DATOS sección 7) ","")&amp;IF(LEFT(DW30,2)="NO","respaldo del volado",""))))))))</f>
        <v/>
      </c>
      <c r="EC30" s="70" t="str">
        <f>IF(V30&lt;&gt;"SÍ","",IF(LEFT(B30,7)="EJEMPLO","EJEMPLO de la hoja de Casa Rocha: bórralo o sobrescríbelo. ","")&amp;IF(AND(C30="PERIMETRAL",MIN(DH30,DI30)=0),"No cabe un casetón en el claro corto: es un tablero macizo, diséñalo en MACIZAS. ","")&amp;IF(AND(AJ30="NO",C30="PERIMETRAL"),"No cumple 6.7.8.1.4 (a_c = "&amp;MAX(DATOS!$C$81,AE30)&amp;" cm &gt; claro corto/6 = "&amp;TEXT(Y30*100/6,"0")&amp;" cm): se diseña como losa apoyada en vigas (6.7.8.1.9): r de viga = "&amp;DATOS!$C$63&amp;" cm y V_cR sin ×1.1. Para que cuente como encasetonada: casetón de "&amp;TEXT(FLOOR(MIN(80,Y30*100/6),1),"0")&amp;" cm o menor. ","")&amp;IF(C30="VOLADO","Volado de "&amp;TEXT(Y30,"0.00")&amp;" m empotrado en el borde "&amp;LOWER(W30)&amp;IF(N(O30)&gt;0,", con "&amp;TEXT(O30,"0.0")&amp;" kg/m en la orilla","")&amp;". Lecho inferior con r_ext. Si la orilla carga pretil u otro elemento frágil, calcula la flecha (13.4). El acero superior entra al respaldo de "&amp;TEXT(IF(ISNUMBER(P30),P30,Y30),"0.00")&amp;" m"&amp;" hasta pasar M = 0 con 0.9·PP sin carga viva; si ahí no se anula, llega al apoyo lejano y se ancla con gancho (NTC-Criterios 3.4.1 c y 5.1.2.2). "&amp;IF(AD30&gt;DATOS!$C$83,"Respaldo: "&amp;DW30&amp;". ",""),"")&amp;IF(AND(C30="VOLADO",((0.9*DATOS!$C$90*DATOS!$C$86/100/1000)*IF(ISNUMBER(P30),P30,Y30)/2-BH30/IF(ISNUMBER(P30),P30,Y30))&lt;0),"Con 0.9·PP y sin carga viva el apoyo lejano del respaldo levanta (R = "&amp;TEXT(-((0.9*DATOS!$C$90*DATOS!$C$86/100/1000)*IF(ISNUMBER(P30),P30,Y30)/2-BH30/IF(ISNUMBER(P30),P30,Y30)),"0.00")&amp;" t por nervadura): ancla ahí la corrida con gancho y revisa ese apoyo a tensión. ","")&amp;IF(LEFT(BK30,5)="FUERA","El M⁻ del vecino difiere más de 50 % (3.4.2.1 c): distribuye el desequilibrio (3.4.3.1) o confirma con un modelo; se arma con el mayor. ","")&amp;IF(OR(DE30="SÍ",DF30="SÍ"),"El M⁻ del borde discontinuo pide bastón también ahí (con gancho). ","")&amp;IF(LEFT(DG30,2)="NO","Anclaje: "&amp;DG30&amp;" (6.7.8.1.7). ","")&amp;IF(AND(C30="PERIMETRAL",AT30&gt;=1,AS30-AT30&gt;=1),"Esquinas exteriores sobre muro: refuerzo de esquina arriba y abajo en L_largo/5 (6.7.7.3.1). ",""))</f>
        <v/>
      </c>
    </row>
    <row r="31" ht="33" customHeight="1">
      <c r="A31" s="50">
        <f>IF(B31="",0,1)+A30</f>
        <v>4</v>
      </c>
      <c r="B31" s="29" t="n"/>
      <c r="C31" s="51" t="n"/>
      <c r="D31" s="29" t="n"/>
      <c r="E31" s="52" t="n"/>
      <c r="F31" s="52" t="n"/>
      <c r="G31" s="51" t="n"/>
      <c r="H31" s="51" t="n"/>
      <c r="I31" s="51" t="n"/>
      <c r="J31" s="51" t="n"/>
      <c r="K31" s="51" t="n"/>
      <c r="L31" s="51" t="n"/>
      <c r="M31" s="53" t="n"/>
      <c r="N31" s="53" t="n"/>
      <c r="O31" s="54" t="n"/>
      <c r="P31" s="52" t="n"/>
      <c r="Q31" s="52" t="n"/>
      <c r="R31" s="53" t="n"/>
      <c r="S31" s="54" t="n"/>
      <c r="T31" s="52" t="n"/>
      <c r="U31" s="52" t="n"/>
      <c r="V31" s="55" t="str">
        <f>IF(B31="","",IF(AND(OR(C31="PERIMETRAL",C31="VOLADO"),ISNUMBER(E31),ISNUMBER(F31),E31&gt;0,F31&gt;0,OR(ISNUMBER(N31),ISNUMBER(MATCH(D31,DATOS!$B$46:$B$58,0))),OR(C31&lt;&gt;"VOLADO",N(P31)&gt;0)),"SÍ","NO"))</f>
        <v/>
      </c>
      <c r="W31" s="55" t="str">
        <f>IF(V31&lt;&gt;"SÍ","",IF(C31&lt;&gt;"VOLADO","—",IF(COUNTIF(G31:J31,"CONTINUO")&lt;&gt;1,"?",IF(G31="CONTINUO","INFERIOR",IF(H31="CONTINUO","SUPERIOR",IF(I31="CONTINUO","IZQUIERDO","DERECHO"))))))</f>
        <v/>
      </c>
      <c r="X31" s="55" t="str">
        <f>IF(V31&lt;&gt;"SÍ","",IF(C31="VOLADO",IF(OR(W31="IZQUIERDO",W31="DERECHO"),"X","Y"),IF(E31&lt;=F31,"X","Y")))</f>
        <v/>
      </c>
      <c r="Y31" s="56" t="str">
        <f>IF(V31&lt;&gt;"SÍ","",IF(C31="VOLADO",IF(X31="X",E31,F31),MIN(E31,F31)))</f>
        <v/>
      </c>
      <c r="Z31" s="56" t="str">
        <f>IF(V31&lt;&gt;"SÍ","",IF(C31="VOLADO",IF(X31="X",F31,E31),MAX(E31,F31)))</f>
        <v/>
      </c>
      <c r="AA31" s="56" t="str">
        <f>IF(V31&lt;&gt;"SÍ","",MIN(Y31,Z31)/MAX(Y31,Z31))</f>
        <v/>
      </c>
      <c r="AB31" s="57" t="str">
        <f>IF(V31&lt;&gt;"SÍ","",MAX(1,Y31*100-IF(C31="VOLADO",DATOS!$C$87/2,DATOS!$C$87)))</f>
        <v/>
      </c>
      <c r="AC31" s="57" t="str">
        <f>IF(V31&lt;&gt;"SÍ","",MAX(1,Z31*100-DATOS!$C$87))</f>
        <v/>
      </c>
      <c r="AD31" s="57" t="str">
        <f>IF(V31&lt;&gt;"SÍ","",IF(ISNUMBER(R31),R31,DATOS!$C$83))</f>
        <v/>
      </c>
      <c r="AE31" s="57" t="str">
        <f>IF(V31&lt;&gt;"SÍ","",MAX(0,DATOS!$C$86-AD31))</f>
        <v/>
      </c>
      <c r="AF31" s="57" t="str">
        <f>IF(V31&lt;&gt;"SÍ","",IF(OR(DATOS!$C$65="SÍ",AD31&gt;=20),AD31,AD31-2))</f>
        <v/>
      </c>
      <c r="AG31" s="57" t="str">
        <f>IF(V31&lt;&gt;"SÍ","",IF(OR(DATOS!$C$65="SÍ",DATOS!$C$83&gt;=20),DATOS!$C$83,DATOS!$C$83-2))</f>
        <v/>
      </c>
      <c r="AH31" s="57" t="str">
        <f>IF(V31&lt;&gt;"SÍ","",MIN(DATOS!$C$86,AD31+2*MIN(8*DATOS!$C$84,AE31/2,AB31/8)))</f>
        <v/>
      </c>
      <c r="AI31" s="57" t="str">
        <f>IF(V31&lt;&gt;"SÍ","",MIN(DATOS!$C$86,DATOS!$C$83+2*MIN(8*DATOS!$C$84,DATOS!$C$81/2,AC31/8)))</f>
        <v/>
      </c>
      <c r="AJ31" s="55" t="str">
        <f>IF(V31&lt;&gt;"SÍ","",IF(AND(C31="PERIMETRAL",Y31*100&gt;=6*MAX(DATOS!$C$81,AE31),MAX(DATOS!$C$81,AE31)&lt;=80,MIN(DATOS!$C$83,AD31)&gt;=10,DATOS!$C$85&lt;=3.5*MIN(DATOS!$C$83,AD31),DATOS!$C$84&gt;=MAX(MAX(DATOS!$C$81,AE31)/13,5)),"SÍ","NO"))</f>
        <v/>
      </c>
      <c r="AK31" s="57" t="str">
        <f>IF(V31&lt;&gt;"SÍ","",IF(C31="VOLADO",DATOS!$C$64,IF(AJ31="NO",DATOS!$C$63,DATOS!$C$62)))</f>
        <v/>
      </c>
      <c r="AL31" s="57" t="str">
        <f>IF(V31&lt;&gt;"SÍ","",IF(OR(AND(AN31="SÍ",DATOS!$C$66="SÍ"),AND(C31="VOLADO",DATOS!$C$67="SÍ")),DATOS!$C$64,IF(AJ31="NO",DATOS!$C$63,DATOS!$C$62)))</f>
        <v/>
      </c>
      <c r="AM31" s="58" t="str">
        <f>IF(V31&lt;&gt;"SÍ","",MAX(AL31,(DATOS!$C$84-2*DATOS!$C$97)/2))</f>
        <v/>
      </c>
      <c r="AN31" s="55" t="str">
        <f>IF(V31&lt;&gt;"SÍ","",IFERROR(INDEX(DATOS!$D$46:$D$58,MATCH(D31,DATOS!$B$46:$B$58,0)),"NO"))</f>
        <v/>
      </c>
      <c r="AO31" s="59" t="str">
        <f>IF(V31&lt;&gt;"SÍ","",IF(ISNUMBER(N31),N31,IFERROR(INDEX(DATOS!$C$46:$C$58,MATCH(D31,DATOS!$B$46:$B$58,0)),0)))</f>
        <v/>
      </c>
      <c r="AP31" s="59" t="str">
        <f>IF(V31&lt;&gt;"SÍ","",IF(MIN(DH31,DI31)=0,DATOS!$C$85/100*DATOS!$C$16*1000,(DATOS!$C$85/100-(AE31*DATOS!$C$81/DATOS!$C$86^2)*DATOS!$C$82/100)*DATOS!$C$16*1000+(AE31*DATOS!$C$81/DATOS!$C$86^2)*DATOS!$C$82/100*DATOS!$C$17*1000)+DATOS!$C$37+DATOS!$C$38)</f>
        <v/>
      </c>
      <c r="AQ31" s="59" t="str">
        <f>IF(V31&lt;&gt;"SÍ","",AP31+N(M31))</f>
        <v/>
      </c>
      <c r="AR31" s="60" t="str">
        <f>IF(V31&lt;&gt;"SÍ","",MAX(DATOS!$C$26*AQ31+DATOS!$C$27*AO31,IF(AN31="SÍ",DATOS!$C$28*(AQ31+DATOS!$C$41),0)))</f>
        <v/>
      </c>
      <c r="AS31" s="59" t="str">
        <f>IF(V31&lt;&gt;"SÍ","",(G31="DISCONTINUO")+(H31="DISCONTINUO")+(I31="DISCONTINUO")+(J31="DISCONTINUO"))</f>
        <v/>
      </c>
      <c r="AT31" s="59" t="str">
        <f>IF(V31&lt;&gt;"SÍ","",IF(X31="X",(G31="DISCONTINUO")+(H31="DISCONTINUO"),(I31="DISCONTINUO")+(J31="DISCONTINUO")))</f>
        <v/>
      </c>
      <c r="AU31" s="55" t="str">
        <f>IF(V31&lt;&gt;"SÍ","",IF(AS31=0,"INTERIOR",IF(AS31=1,IF(AT31=1,"BORDE-CORTO","BORDE-LARGO"),IF(AS31=2,IF(AT31=1,"ESQUINA",IF(AT31=2,"EXTREMO-LARGO","EXTREMO-CORTO")),IF(AS31=3,IF(AT31=2,"EXTREMO-LARGO","EXTREMO-CORTO"),"AISLADO")))))</f>
        <v/>
      </c>
      <c r="AV31" s="61" t="str">
        <f>IF(V31&lt;&gt;"SÍ","",IF(OR(K31="",K31="AUTO"),AU31,K31))</f>
        <v/>
      </c>
      <c r="AW31" s="59" t="str">
        <f>IF(V31&lt;&gt;"SÍ","",MATCH(AA31,TABLAS!$D$5:$J$5,1))</f>
        <v/>
      </c>
      <c r="AX31" s="58" t="str">
        <f>IF(V31&lt;&gt;"SÍ","",IF(AW31&gt;=7,0,(AA31-INDEX(TABLAS!$D$5:$J$5,AW31))/(INDEX(TABLAS!$D$5:$J$5,AW31+1)-INDEX(TABLAS!$D$5:$J$5,AW31))))</f>
        <v/>
      </c>
      <c r="AY31" s="59" t="str">
        <f>IF(V31&lt;&gt;"SÍ","",INDEX(TABLAS!$D$6:$J$47,MATCH(AV31&amp;"|NIC",TABLAS!$B$6:$B$47,0),AW31)+AX31*(INDEX(TABLAS!$D$6:$J$47,MATCH(AV31&amp;"|NIC",TABLAS!$B$6:$B$47,0),MIN(AW31+1,7))-INDEX(TABLAS!$D$6:$J$47,MATCH(AV31&amp;"|NIC",TABLAS!$B$6:$B$47,0),AW31)))</f>
        <v/>
      </c>
      <c r="AZ31" s="59" t="str">
        <f>IF(V31&lt;&gt;"SÍ","",INDEX(TABLAS!$D$6:$J$47,MATCH(AV31&amp;"|NIL",TABLAS!$B$6:$B$47,0),AW31)+AX31*(INDEX(TABLAS!$D$6:$J$47,MATCH(AV31&amp;"|NIL",TABLAS!$B$6:$B$47,0),MIN(AW31+1,7))-INDEX(TABLAS!$D$6:$J$47,MATCH(AV31&amp;"|NIL",TABLAS!$B$6:$B$47,0),AW31)))</f>
        <v/>
      </c>
      <c r="BA31" s="59" t="str">
        <f>IF(V31&lt;&gt;"SÍ","",INDEX(TABLAS!$D$6:$J$47,MATCH(AV31&amp;"|NDC",TABLAS!$B$6:$B$47,0),AW31)+AX31*(INDEX(TABLAS!$D$6:$J$47,MATCH(AV31&amp;"|NDC",TABLAS!$B$6:$B$47,0),MIN(AW31+1,7))-INDEX(TABLAS!$D$6:$J$47,MATCH(AV31&amp;"|NDC",TABLAS!$B$6:$B$47,0),AW31)))</f>
        <v/>
      </c>
      <c r="BB31" s="59" t="str">
        <f>IF(V31&lt;&gt;"SÍ","",INDEX(TABLAS!$D$6:$J$47,MATCH(AV31&amp;"|NDL",TABLAS!$B$6:$B$47,0),AW31)+AX31*(INDEX(TABLAS!$D$6:$J$47,MATCH(AV31&amp;"|NDL",TABLAS!$B$6:$B$47,0),MIN(AW31+1,7))-INDEX(TABLAS!$D$6:$J$47,MATCH(AV31&amp;"|NDL",TABLAS!$B$6:$B$47,0),AW31)))</f>
        <v/>
      </c>
      <c r="BC31" s="59" t="str">
        <f>IF(V31&lt;&gt;"SÍ","",INDEX(TABLAS!$D$6:$J$47,MATCH(AV31&amp;"|PC",TABLAS!$B$6:$B$47,0),AW31)+AX31*(INDEX(TABLAS!$D$6:$J$47,MATCH(AV31&amp;"|PC",TABLAS!$B$6:$B$47,0),MIN(AW31+1,7))-INDEX(TABLAS!$D$6:$J$47,MATCH(AV31&amp;"|PC",TABLAS!$B$6:$B$47,0),AW31)))</f>
        <v/>
      </c>
      <c r="BD31" s="59" t="str">
        <f>IF(V31&lt;&gt;"SÍ","",INDEX(TABLAS!$D$6:$J$47,MATCH(AV31&amp;"|PL",TABLAS!$B$6:$B$47,0),AW31)+AX31*(INDEX(TABLAS!$D$6:$J$47,MATCH(AV31&amp;"|PL",TABLAS!$B$6:$B$47,0),MIN(AW31+1,7))-INDEX(TABLAS!$D$6:$J$47,MATCH(AV31&amp;"|PL",TABLAS!$B$6:$B$47,0),AW31)))</f>
        <v/>
      </c>
      <c r="BE31" s="56" t="str">
        <f>IF(V31&lt;&gt;"SÍ","",IF(OR(C31&lt;&gt;"VOLADO",MIN(DH31,DI31)=0),0,DATOS!$C$26*DATOS!$C$16*DATOS!$C$86/100*(((AE31*DATOS!$C$81/DATOS!$C$86^2)*DATOS!$C$82/100)*(IF(X31="X",DJ31,DL31)+DATOS!$C$87/2)/100*(AB31-(IF(X31="X",DJ31,DL31)+DATOS!$C$87/2)/2)/100+((AE31*DATOS!$C$81/DATOS!$C$86^2)*DATOS!$C$82/100)*IF(X31="X",DJ31,DL31)/100*IF(X31="X",DJ31,DL31)/200)))</f>
        <v/>
      </c>
      <c r="BF31" s="56" t="str">
        <f>IF(V31&lt;&gt;"SÍ","",IF(OR(C31&lt;&gt;"VOLADO",MIN(DH31,DI31)=0),0,DATOS!$C$26*DATOS!$C$16*DATOS!$C$86/100*((AE31*DATOS!$C$81/DATOS!$C$86^2)*DATOS!$C$82/100)*(IF(X31="X",DJ31,DL31)+DATOS!$C$87/2)/100))</f>
        <v/>
      </c>
      <c r="BG31" s="56" t="str">
        <f>IF(V31&lt;&gt;"SÍ","",IF(C31="PERIMETRAL",BC31*AR31*Y31^2*1E-4*DATOS!$C$86/100/1000,0))</f>
        <v/>
      </c>
      <c r="BH31" s="62" t="str">
        <f>IF(V31&lt;&gt;"SÍ","",IF(C31="PERIMETRAL",MAX(MAX(AY31,BA31)*AR31*Y31^2*1E-4*DATOS!$C$86/100/1000,N(T31)),(AR31*(AB31/100)^2/2+DATOS!$C$26*N(O31)*AB31/100)*DATOS!$C$86/100/1000+BE31))</f>
        <v/>
      </c>
      <c r="BI31" s="56" t="str">
        <f>IF(V31&lt;&gt;"SÍ","",IF(C31="PERIMETRAL",BD31*AR31*Y31^2*1E-4*DATOS!$C$86/100/1000,0))</f>
        <v/>
      </c>
      <c r="BJ31" s="56" t="str">
        <f>IF(V31&lt;&gt;"SÍ","",IF(C31="PERIMETRAL",MAX(MAX(AZ31,BB31)*AR31*Y31^2*1E-4*DATOS!$C$86/100/1000,N(U31)),0))</f>
        <v/>
      </c>
      <c r="BK31" s="63" t="str">
        <f>IF(V31&lt;&gt;"SÍ","",IF(C31&lt;&gt;"PERIMETRAL","—",IF(AND(N(T31)=0,N(U31)=0),"— (sin M⁻ del vecino)",IF(OR(AND(N(T31)&gt;0,ABS(MAX(AY31,BA31)*AR31*Y31^2*1E-4*DATOS!$C$86/100/1000-N(T31))&gt;0.5*MIN(MAX(AY31,BA31)*AR31*Y31^2*1E-4*DATOS!$C$86/100/1000,N(T31))),AND(N(U31)&gt;0,ABS(MAX(AZ31,BB31)*AR31*Y31^2*1E-4*DATOS!$C$86/100/1000-N(U31))&gt;0.5*MIN(MAX(AZ31,BB31)*AR31*Y31^2*1E-4*DATOS!$C$86/100/1000,N(U31)))),"FUERA: difieren &gt; 50 %"&amp;IF(AND(N(T31)&gt;0,ABS(MAX(AY31,BA31)*AR31*Y31^2*1E-4*DATOS!$C$86/100/1000-N(T31))&gt;0.5*MIN(MAX(AY31,BA31)*AR31*Y31^2*1E-4*DATOS!$C$86/100/1000,N(T31)))," ‖ corto","")&amp;IF(AND(N(U31)&gt;0,ABS(MAX(AZ31,BB31)*AR31*Y31^2*1E-4*DATOS!$C$86/100/1000-N(U31))&gt;0.5*MIN(MAX(AZ31,BB31)*AR31*Y31^2*1E-4*DATOS!$C$86/100/1000,N(U31)))," ‖ largo",""),"CUMPLE"))))</f>
        <v/>
      </c>
      <c r="BL31" s="58" t="str">
        <f>IF(V31&lt;&gt;"SÍ","",(DATOS!$C$85-AK31-INDEX(TABLAS!$C$52:$C$58,MATCH(MAX(4,DATOS!$C$71),TABLAS!$B$52:$B$58,0))/2))</f>
        <v/>
      </c>
      <c r="BM31" s="58" t="str">
        <f>IF(V31&lt;&gt;"SÍ","",IF(IF(BG31&lt;=0,0,IF((1-2*BG31*1E5/(DATOS!$C$29*AH31*BL31^2*DATOS!$C$21))&lt;0,-1,IF((1-SQRT((1-2*BG31*1E5/(DATOS!$C$29*AH31*BL31^2*DATOS!$C$21))))*DATOS!$C$21*AH31*BL31/DATOS!$C$14&gt;DATOS!$C$102*AH31*BL31,-1,(1-SQRT((1-2*BG31*1E5/(DATOS!$C$29*AH31*BL31^2*DATOS!$C$21))))*DATOS!$C$21*AH31*BL31/DATOS!$C$14)))&lt;0,-1,MAX(IF(BG31&lt;=0,0,IF((1-2*BG31*1E5/(DATOS!$C$29*AH31*BL31^2*DATOS!$C$21))&lt;0,-1,IF((1-SQRT((1-2*BG31*1E5/(DATOS!$C$29*AH31*BL31^2*DATOS!$C$21))))*DATOS!$C$21*AH31*BL31/DATOS!$C$14&gt;DATOS!$C$102*AH31*BL31,-1,(1-SQRT((1-2*BG31*1E5/(DATOS!$C$29*AH31*BL31^2*DATOS!$C$21))))*DATOS!$C$21*AH31*BL31/DATOS!$C$14))),MIN(DATOS!$C$103*AD31*BL31,4/3*IF(BG31&lt;=0,0,IF((1-2*BG31*1E5/(DATOS!$C$29*AH31*BL31^2*DATOS!$C$21))&lt;0,-1,IF((1-SQRT((1-2*BG31*1E5/(DATOS!$C$29*AH31*BL31^2*DATOS!$C$21))))*DATOS!$C$21*AH31*BL31/DATOS!$C$14&gt;DATOS!$C$102*AH31*BL31,-1,(1-SQRT((1-2*BG31*1E5/(DATOS!$C$29*AH31*BL31^2*DATOS!$C$21))))*DATOS!$C$21*AH31*BL31/DATOS!$C$14)))))))</f>
        <v/>
      </c>
      <c r="BN31" s="64" t="str">
        <f>IF(V31&lt;&gt;"SÍ","",IF(AND(BM31&gt;=0,IF(MAX(DATOS!$C$74,CEILING(BM31/INDEX(TABLAS!$D$52:$D$58,MIN(MATCH(MAX(4,DATOS!$C$71),TABLAS!$B$52:$B$58,0)+0,7)),1))*INDEX(TABLAS!$D$52:$D$58,MIN(MATCH(MAX(4,DATOS!$C$71),TABLAS!$B$52:$B$58,0)+0,7)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+0,7)),1)),MAX(MAX(DATOS!$C$74,CEILING(BM31/INDEX(TABLAS!$D$52:$D$58,MIN(MATCH(MAX(4,DATOS!$C$71),TABLAS!$B$52:$B$58,0)+0,7)),1)),2))&lt;=MIN(DATOS!$C$73,INT(((AD31-2*AK31)+MAX(DATOS!$C$70,INDEX(TABLAS!$C$52:$C$58,MIN(MATCH(MAX(4,DATOS!$C$71),TABLAS!$B$52:$B$58,0)+0,7))))/(INDEX(TABLAS!$C$52:$C$58,MIN(MATCH(MAX(4,DATOS!$C$71),TABLAS!$B$52:$B$58,0)+0,7))+MAX(DATOS!$C$70,INDEX(TABLAS!$C$52:$C$58,MIN(MATCH(MAX(4,DATOS!$C$71),TABLAS!$B$52:$B$58,0)+0,7))))))),INDEX(TABLAS!$B$52:$B$58,MIN(MATCH(MAX(4,DATOS!$C$71),TABLAS!$B$52:$B$58,0)+0,7)),IF(AND(BM31&gt;=0,IF(MAX(DATOS!$C$74,CEILING(BM31/INDEX(TABLAS!$D$52:$D$58,MIN(MATCH(MAX(4,DATOS!$C$71),TABLAS!$B$52:$B$58,0)+1,7)),1))*INDEX(TABLAS!$D$52:$D$58,MIN(MATCH(MAX(4,DATOS!$C$71),TABLAS!$B$52:$B$58,0)+1,7)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+1,7)),1)),MAX(MAX(DATOS!$C$74,CEILING(BM31/INDEX(TABLAS!$D$52:$D$58,MIN(MATCH(MAX(4,DATOS!$C$71),TABLAS!$B$52:$B$58,0)+1,7)),1)),2))&lt;=MIN(DATOS!$C$73,INT(((AD31-2*AK31)+MAX(DATOS!$C$70,INDEX(TABLAS!$C$52:$C$58,MIN(MATCH(MAX(4,DATOS!$C$71),TABLAS!$B$52:$B$58,0)+1,7))))/(INDEX(TABLAS!$C$52:$C$58,MIN(MATCH(MAX(4,DATOS!$C$71),TABLAS!$B$52:$B$58,0)+1,7))+MAX(DATOS!$C$70,INDEX(TABLAS!$C$52:$C$58,MIN(MATCH(MAX(4,DATOS!$C$71),TABLAS!$B$52:$B$58,0)+1,7))))))),INDEX(TABLAS!$B$52:$B$58,MIN(MATCH(MAX(4,DATOS!$C$71),TABLAS!$B$52:$B$58,0)+1,7)),IF(AND(BM31&gt;=0,IF(MAX(DATOS!$C$74,CEILING(BM31/INDEX(TABLAS!$D$52:$D$58,MIN(MATCH(MAX(4,DATOS!$C$71),TABLAS!$B$52:$B$58,0)+2,7)),1))*INDEX(TABLAS!$D$52:$D$58,MIN(MATCH(MAX(4,DATOS!$C$71),TABLAS!$B$52:$B$58,0)+2,7)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+2,7)),1)),MAX(MAX(DATOS!$C$74,CEILING(BM31/INDEX(TABLAS!$D$52:$D$58,MIN(MATCH(MAX(4,DATOS!$C$71),TABLAS!$B$52:$B$58,0)+2,7)),1)),2))&lt;=MIN(DATOS!$C$73,INT(((AD31-2*AK31)+MAX(DATOS!$C$70,INDEX(TABLAS!$C$52:$C$58,MIN(MATCH(MAX(4,DATOS!$C$71),TABLAS!$B$52:$B$58,0)+2,7))))/(INDEX(TABLAS!$C$52:$C$58,MIN(MATCH(MAX(4,DATOS!$C$71),TABLAS!$B$52:$B$58,0)+2,7))+MAX(DATOS!$C$70,INDEX(TABLAS!$C$52:$C$58,MIN(MATCH(MAX(4,DATOS!$C$71),TABLAS!$B$52:$B$58,0)+2,7))))))),INDEX(TABLAS!$B$52:$B$58,MIN(MATCH(MAX(4,DATOS!$C$71),TABLAS!$B$52:$B$58,0)+2,7)),IF(AND(BM31&gt;=0,IF(MAX(DATOS!$C$74,CEILING(BM31/INDEX(TABLAS!$D$52:$D$58,MIN(MATCH(MAX(4,DATOS!$C$71),TABLAS!$B$52:$B$58,0)+3,7)),1))*INDEX(TABLAS!$D$52:$D$58,MIN(MATCH(MAX(4,DATOS!$C$71),TABLAS!$B$52:$B$58,0)+3,7)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+3,7)),1)),MAX(MAX(DATOS!$C$74,CEILING(BM31/INDEX(TABLAS!$D$52:$D$58,MIN(MATCH(MAX(4,DATOS!$C$71),TABLAS!$B$52:$B$58,0)+3,7)),1)),2))&lt;=MIN(DATOS!$C$73,INT(((AD31-2*AK31)+MAX(DATOS!$C$70,INDEX(TABLAS!$C$52:$C$58,MIN(MATCH(MAX(4,DATOS!$C$71),TABLAS!$B$52:$B$58,0)+3,7))))/(INDEX(TABLAS!$C$52:$C$58,MIN(MATCH(MAX(4,DATOS!$C$71),TABLAS!$B$52:$B$58,0)+3,7))+MAX(DATOS!$C$70,INDEX(TABLAS!$C$52:$C$58,MIN(MATCH(MAX(4,DATOS!$C$71),TABLAS!$B$52:$B$58,0)+3,7))))))),INDEX(TABLAS!$B$52:$B$58,MIN(MATCH(MAX(4,DATOS!$C$71),TABLAS!$B$52:$B$58,0)+3,7)),IF(AND(BM31&gt;=0,IF(MAX(DATOS!$C$74,CEILING(BM31/INDEX(TABLAS!$D$52:$D$58,MIN(MATCH(MAX(4,DATOS!$C$71),TABLAS!$B$52:$B$58,0)+4,7)),1))*INDEX(TABLAS!$D$52:$D$58,MIN(MATCH(MAX(4,DATOS!$C$71),TABLAS!$B$52:$B$58,0)+4,7)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+4,7)),1)),MAX(MAX(DATOS!$C$74,CEILING(BM31/INDEX(TABLAS!$D$52:$D$58,MIN(MATCH(MAX(4,DATOS!$C$71),TABLAS!$B$52:$B$58,0)+4,7)),1)),2))&lt;=MIN(DATOS!$C$73,INT(((AD31-2*AK31)+MAX(DATOS!$C$70,INDEX(TABLAS!$C$52:$C$58,MIN(MATCH(MAX(4,DATOS!$C$71),TABLAS!$B$52:$B$58,0)+4,7))))/(INDEX(TABLAS!$C$52:$C$58,MIN(MATCH(MAX(4,DATOS!$C$71),TABLAS!$B$52:$B$58,0)+4,7))+MAX(DATOS!$C$70,INDEX(TABLAS!$C$52:$C$58,MIN(MATCH(MAX(4,DATOS!$C$71),TABLAS!$B$52:$B$58,0)+4,7))))))),INDEX(TABLAS!$B$52:$B$58,MIN(MATCH(MAX(4,DATOS!$C$71),TABLAS!$B$52:$B$58,0)+4,7)),INDEX(TABLAS!$B$52:$B$58,7)))))))</f>
        <v/>
      </c>
      <c r="BO31" s="59" t="str">
        <f>IF(V31&lt;&gt;"SÍ","",IF(BM31&lt;0,0,IF(MAX(DATOS!$C$74,CEILING(MAX(BM31,0)/INDEX(TABLAS!$D$52:$D$58,MATCH(BN31,TABLAS!$B$52:$B$58,0)),1))*INDEX(TABLAS!$D$52:$D$58,MATCH(BN31,TABLAS!$B$52:$B$58,0))&gt;=4/3*IF(BG31&lt;=0,0,IF((1-2*BG31*1E5/(DATOS!$C$29*AH31*BL31^2*DATOS!$C$21))&lt;0,-1,IF((1-SQRT((1-2*BG31*1E5/(DATOS!$C$29*AH31*BL31^2*DATOS!$C$21))))*DATOS!$C$21*AH31*BL31/DATOS!$C$14&gt;DATOS!$C$102*AH31*BL31,-1,(1-SQRT((1-2*BG31*1E5/(DATOS!$C$29*AH31*BL31^2*DATOS!$C$21))))*DATOS!$C$21*AH31*BL31/DATOS!$C$14)))-0.0001,MAX(DATOS!$C$74,CEILING(MAX(BM31,0)/INDEX(TABLAS!$D$52:$D$58,MATCH(BN31,TABLAS!$B$52:$B$58,0)),1)),MAX(MAX(DATOS!$C$74,CEILING(MAX(BM31,0)/INDEX(TABLAS!$D$52:$D$58,MATCH(BN31,TABLAS!$B$52:$B$58,0)),1)),2))))</f>
        <v/>
      </c>
      <c r="BP31" s="58" t="str">
        <f>IF(V31&lt;&gt;"SÍ","",DATOS!$C$85-AK31-INDEX(TABLAS!$C$52:$C$58,MATCH(BN31,TABLAS!$B$52:$B$58,0))/2)</f>
        <v/>
      </c>
      <c r="BQ31" s="56" t="str">
        <f>IF(V31&lt;&gt;"SÍ","",IF(BO31=0,0,DATOS!$C$29*BO31*INDEX(TABLAS!$D$52:$D$58,MATCH(BN31,TABLAS!$B$52:$B$58,0))*DATOS!$C$14*(BP31-BO31*INDEX(TABLAS!$D$52:$D$58,MATCH(BN31,TABLAS!$B$52:$B$58,0))*DATOS!$C$14/(DATOS!$C$21*AH31)/2)/1E5))</f>
        <v/>
      </c>
      <c r="BR31" s="65" t="str">
        <f>IF(V31&lt;&gt;"SÍ","",IF(BM31&lt;0,9.99,IF(BQ31&gt;0,BG31/BQ31,0)))</f>
        <v/>
      </c>
      <c r="BS31" s="66" t="str">
        <f>IF(V31&lt;&gt;"SÍ","",IF(BO31=0,"—",0.003*(BP31-(BO31*INDEX(TABLAS!$D$52:$D$58,MATCH(BN31,TABLAS!$B$52:$B$58,0))*DATOS!$C$14/(DATOS!$C$21*AH31)/DATOS!$C$22))/(BO31*INDEX(TABLAS!$D$52:$D$58,MATCH(BN31,TABLAS!$B$52:$B$58,0))*DATOS!$C$14/(DATOS!$C$21*AH31)/DATOS!$C$22)))</f>
        <v/>
      </c>
      <c r="BT31" s="58" t="str">
        <f>IF(V31&lt;&gt;"SÍ","",((DATOS!$C$85-AM31-2*DATOS!$C$97-INDEX(TABLAS!$C$52:$C$58,MATCH(MAX(4,DATOS!$C$72),TABLAS!$B$52:$B$58,0))/2)-IF(AND((DATOS!$C$85-AM31-2*DATOS!$C$97-INDEX(TABLAS!$C$52:$C$58,MATCH(MAX(4,DATOS!$C$72),TABLAS!$B$52:$B$58,0))/2)&lt;=20,DATOS!$C$65&lt;&gt;"SÍ"),2,0)))</f>
        <v/>
      </c>
      <c r="BU31" s="58" t="str">
        <f>IF(V31&lt;&gt;"SÍ","",IF(IF(BH31&lt;=0,0,IF((1-2*BH31*1E5/(DATOS!$C$29*AF31*BT31^2*DATOS!$C$21))&lt;0,-1,IF((1-SQRT((1-2*BH31*1E5/(DATOS!$C$29*AF31*BT31^2*DATOS!$C$21))))*DATOS!$C$21*AF31*BT31/DATOS!$C$14&gt;DATOS!$C$102*AF31*BT31,-1,(1-SQRT((1-2*BH31*1E5/(DATOS!$C$29*AF31*BT31^2*DATOS!$C$21))))*DATOS!$C$21*AF31*BT31/DATOS!$C$14)))&lt;0,-1,MAX(IF(BH31&lt;=0,0,IF((1-2*BH31*1E5/(DATOS!$C$29*AF31*BT31^2*DATOS!$C$21))&lt;0,-1,IF((1-SQRT((1-2*BH31*1E5/(DATOS!$C$29*AF31*BT31^2*DATOS!$C$21))))*DATOS!$C$21*AF31*BT31/DATOS!$C$14&gt;DATOS!$C$102*AF31*BT31,-1,(1-SQRT((1-2*BH31*1E5/(DATOS!$C$29*AF31*BT31^2*DATOS!$C$21))))*DATOS!$C$21*AF31*BT31/DATOS!$C$14))),MIN(DATOS!$C$103*IF(C31="VOLADO",MIN(AH31,2*AD31),AD31)*BT31,4/3*IF(BH31&lt;=0,0,IF((1-2*BH31*1E5/(DATOS!$C$29*AF31*BT31^2*DATOS!$C$21))&lt;0,-1,IF((1-SQRT((1-2*BH31*1E5/(DATOS!$C$29*AF31*BT31^2*DATOS!$C$21))))*DATOS!$C$21*AF31*BT31/DATOS!$C$14&gt;DATOS!$C$102*AF31*BT31,-1,(1-SQRT((1-2*BH31*1E5/(DATOS!$C$29*AF31*BT31^2*DATOS!$C$21))))*DATOS!$C$21*AF31*BT31/DATOS!$C$14)))))))</f>
        <v/>
      </c>
      <c r="BV31" s="64" t="str">
        <f>IF(V31&lt;&gt;"SÍ","",IF(AND(BU31&gt;=0,IF(MAX(DATOS!$C$74,CEILING(BU31/INDEX(TABLAS!$D$52:$D$58,MIN(MATCH(MAX(4,DATOS!$C$72),TABLAS!$B$52:$B$58,0)+0,7)),1))*INDEX(TABLAS!$D$52:$D$58,MIN(MATCH(MAX(4,DATOS!$C$72),TABLAS!$B$52:$B$58,0)+0,7)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+0,7)),1)),MAX(MAX(DATOS!$C$74,CEILING(BU31/INDEX(TABLAS!$D$52:$D$58,MIN(MATCH(MAX(4,DATOS!$C$72),TABLAS!$B$52:$B$58,0)+0,7)),1)),2))&lt;=MIN(DATOS!$C$73,INT(((AD31-2*AL31)+MAX(DATOS!$C$70,INDEX(TABLAS!$C$52:$C$58,MIN(MATCH(MAX(4,DATOS!$C$72),TABLAS!$B$52:$B$58,0)+0,7))))/(INDEX(TABLAS!$C$52:$C$58,MIN(MATCH(MAX(4,DATOS!$C$72),TABLAS!$B$52:$B$58,0)+0,7))+MAX(DATOS!$C$70,INDEX(TABLAS!$C$52:$C$58,MIN(MATCH(MAX(4,DATOS!$C$72),TABLAS!$B$52:$B$58,0)+0,7))))))),INDEX(TABLAS!$B$52:$B$58,MIN(MATCH(MAX(4,DATOS!$C$72),TABLAS!$B$52:$B$58,0)+0,7)),IF(AND(BU31&gt;=0,IF(MAX(DATOS!$C$74,CEILING(BU31/INDEX(TABLAS!$D$52:$D$58,MIN(MATCH(MAX(4,DATOS!$C$72),TABLAS!$B$52:$B$58,0)+1,7)),1))*INDEX(TABLAS!$D$52:$D$58,MIN(MATCH(MAX(4,DATOS!$C$72),TABLAS!$B$52:$B$58,0)+1,7)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+1,7)),1)),MAX(MAX(DATOS!$C$74,CEILING(BU31/INDEX(TABLAS!$D$52:$D$58,MIN(MATCH(MAX(4,DATOS!$C$72),TABLAS!$B$52:$B$58,0)+1,7)),1)),2))&lt;=MIN(DATOS!$C$73,INT(((AD31-2*AL31)+MAX(DATOS!$C$70,INDEX(TABLAS!$C$52:$C$58,MIN(MATCH(MAX(4,DATOS!$C$72),TABLAS!$B$52:$B$58,0)+1,7))))/(INDEX(TABLAS!$C$52:$C$58,MIN(MATCH(MAX(4,DATOS!$C$72),TABLAS!$B$52:$B$58,0)+1,7))+MAX(DATOS!$C$70,INDEX(TABLAS!$C$52:$C$58,MIN(MATCH(MAX(4,DATOS!$C$72),TABLAS!$B$52:$B$58,0)+1,7))))))),INDEX(TABLAS!$B$52:$B$58,MIN(MATCH(MAX(4,DATOS!$C$72),TABLAS!$B$52:$B$58,0)+1,7)),IF(AND(BU31&gt;=0,IF(MAX(DATOS!$C$74,CEILING(BU31/INDEX(TABLAS!$D$52:$D$58,MIN(MATCH(MAX(4,DATOS!$C$72),TABLAS!$B$52:$B$58,0)+2,7)),1))*INDEX(TABLAS!$D$52:$D$58,MIN(MATCH(MAX(4,DATOS!$C$72),TABLAS!$B$52:$B$58,0)+2,7)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+2,7)),1)),MAX(MAX(DATOS!$C$74,CEILING(BU31/INDEX(TABLAS!$D$52:$D$58,MIN(MATCH(MAX(4,DATOS!$C$72),TABLAS!$B$52:$B$58,0)+2,7)),1)),2))&lt;=MIN(DATOS!$C$73,INT(((AD31-2*AL31)+MAX(DATOS!$C$70,INDEX(TABLAS!$C$52:$C$58,MIN(MATCH(MAX(4,DATOS!$C$72),TABLAS!$B$52:$B$58,0)+2,7))))/(INDEX(TABLAS!$C$52:$C$58,MIN(MATCH(MAX(4,DATOS!$C$72),TABLAS!$B$52:$B$58,0)+2,7))+MAX(DATOS!$C$70,INDEX(TABLAS!$C$52:$C$58,MIN(MATCH(MAX(4,DATOS!$C$72),TABLAS!$B$52:$B$58,0)+2,7))))))),INDEX(TABLAS!$B$52:$B$58,MIN(MATCH(MAX(4,DATOS!$C$72),TABLAS!$B$52:$B$58,0)+2,7)),IF(AND(BU31&gt;=0,IF(MAX(DATOS!$C$74,CEILING(BU31/INDEX(TABLAS!$D$52:$D$58,MIN(MATCH(MAX(4,DATOS!$C$72),TABLAS!$B$52:$B$58,0)+3,7)),1))*INDEX(TABLAS!$D$52:$D$58,MIN(MATCH(MAX(4,DATOS!$C$72),TABLAS!$B$52:$B$58,0)+3,7)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+3,7)),1)),MAX(MAX(DATOS!$C$74,CEILING(BU31/INDEX(TABLAS!$D$52:$D$58,MIN(MATCH(MAX(4,DATOS!$C$72),TABLAS!$B$52:$B$58,0)+3,7)),1)),2))&lt;=MIN(DATOS!$C$73,INT(((AD31-2*AL31)+MAX(DATOS!$C$70,INDEX(TABLAS!$C$52:$C$58,MIN(MATCH(MAX(4,DATOS!$C$72),TABLAS!$B$52:$B$58,0)+3,7))))/(INDEX(TABLAS!$C$52:$C$58,MIN(MATCH(MAX(4,DATOS!$C$72),TABLAS!$B$52:$B$58,0)+3,7))+MAX(DATOS!$C$70,INDEX(TABLAS!$C$52:$C$58,MIN(MATCH(MAX(4,DATOS!$C$72),TABLAS!$B$52:$B$58,0)+3,7))))))),INDEX(TABLAS!$B$52:$B$58,MIN(MATCH(MAX(4,DATOS!$C$72),TABLAS!$B$52:$B$58,0)+3,7)),IF(AND(BU31&gt;=0,IF(MAX(DATOS!$C$74,CEILING(BU31/INDEX(TABLAS!$D$52:$D$58,MIN(MATCH(MAX(4,DATOS!$C$72),TABLAS!$B$52:$B$58,0)+4,7)),1))*INDEX(TABLAS!$D$52:$D$58,MIN(MATCH(MAX(4,DATOS!$C$72),TABLAS!$B$52:$B$58,0)+4,7)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+4,7)),1)),MAX(MAX(DATOS!$C$74,CEILING(BU31/INDEX(TABLAS!$D$52:$D$58,MIN(MATCH(MAX(4,DATOS!$C$72),TABLAS!$B$52:$B$58,0)+4,7)),1)),2))&lt;=MIN(DATOS!$C$73,INT(((AD31-2*AL31)+MAX(DATOS!$C$70,INDEX(TABLAS!$C$52:$C$58,MIN(MATCH(MAX(4,DATOS!$C$72),TABLAS!$B$52:$B$58,0)+4,7))))/(INDEX(TABLAS!$C$52:$C$58,MIN(MATCH(MAX(4,DATOS!$C$72),TABLAS!$B$52:$B$58,0)+4,7))+MAX(DATOS!$C$70,INDEX(TABLAS!$C$52:$C$58,MIN(MATCH(MAX(4,DATOS!$C$72),TABLAS!$B$52:$B$58,0)+4,7))))))),INDEX(TABLAS!$B$52:$B$58,MIN(MATCH(MAX(4,DATOS!$C$72),TABLAS!$B$52:$B$58,0)+4,7)),INDEX(TABLAS!$B$52:$B$58,7)))))))</f>
        <v/>
      </c>
      <c r="BW31" s="59" t="str">
        <f>IF(V31&lt;&gt;"SÍ","",IF(BU31&lt;0,0,IF(MAX(DATOS!$C$74,CEILING(MAX(BU31,0)/INDEX(TABLAS!$D$52:$D$58,MATCH(BV31,TABLAS!$B$52:$B$58,0)),1))*INDEX(TABLAS!$D$52:$D$58,MATCH(BV31,TABLAS!$B$52:$B$58,0))&gt;=4/3*IF(BH31&lt;=0,0,IF((1-2*BH31*1E5/(DATOS!$C$29*AF31*BT31^2*DATOS!$C$21))&lt;0,-1,IF((1-SQRT((1-2*BH31*1E5/(DATOS!$C$29*AF31*BT31^2*DATOS!$C$21))))*DATOS!$C$21*AF31*BT31/DATOS!$C$14&gt;DATOS!$C$102*AF31*BT31,-1,(1-SQRT((1-2*BH31*1E5/(DATOS!$C$29*AF31*BT31^2*DATOS!$C$21))))*DATOS!$C$21*AF31*BT31/DATOS!$C$14)))-0.0001,MAX(DATOS!$C$74,CEILING(MAX(BU31,0)/INDEX(TABLAS!$D$52:$D$58,MATCH(BV31,TABLAS!$B$52:$B$58,0)),1)),MAX(MAX(DATOS!$C$74,CEILING(MAX(BU31,0)/INDEX(TABLAS!$D$52:$D$58,MATCH(BV31,TABLAS!$B$52:$B$58,0)),1)),2))))</f>
        <v/>
      </c>
      <c r="BX31" s="58" t="str">
        <f>IF(V31&lt;&gt;"SÍ","",((DATOS!$C$85-AM31-2*DATOS!$C$97-INDEX(TABLAS!$C$52:$C$58,MATCH(BV31,TABLAS!$B$52:$B$58,0))/2)-IF(AND((DATOS!$C$85-AM31-2*DATOS!$C$97-INDEX(TABLAS!$C$52:$C$58,MATCH(BV31,TABLAS!$B$52:$B$58,0))/2)&lt;=20,DATOS!$C$65&lt;&gt;"SÍ"),2,0)))</f>
        <v/>
      </c>
      <c r="BY31" s="56" t="str">
        <f>IF(V31&lt;&gt;"SÍ","",IF(BW31=0,0,DATOS!$C$29*BW31*INDEX(TABLAS!$D$52:$D$58,MATCH(BV31,TABLAS!$B$52:$B$58,0))*DATOS!$C$14*(BX31-BW31*INDEX(TABLAS!$D$52:$D$58,MATCH(BV31,TABLAS!$B$52:$B$58,0))*DATOS!$C$14/(DATOS!$C$21*AF31)/2)/1E5))</f>
        <v/>
      </c>
      <c r="BZ31" s="65" t="str">
        <f>IF(V31&lt;&gt;"SÍ","",IF(BU31&lt;0,9.99,IF(BY31&gt;0,BH31/BY31,0)))</f>
        <v/>
      </c>
      <c r="CA31" s="66" t="str">
        <f>IF(V31&lt;&gt;"SÍ","",IF(BW31=0,"—",0.003*(BX31-(BW31*INDEX(TABLAS!$D$52:$D$58,MATCH(BV31,TABLAS!$B$52:$B$58,0))*DATOS!$C$14/(DATOS!$C$21*AF31)/DATOS!$C$22))/(BW31*INDEX(TABLAS!$D$52:$D$58,MATCH(BV31,TABLAS!$B$52:$B$58,0))*DATOS!$C$14/(DATOS!$C$21*AF31)/DATOS!$C$22)))</f>
        <v/>
      </c>
      <c r="CB31" s="58" t="str">
        <f>IF(V31&lt;&gt;"SÍ","",(DATOS!$C$85-AK31-INDEX(TABLAS!$C$52:$C$58,MATCH(MAX(4,DATOS!$C$71),TABLAS!$B$52:$B$58,0))-INDEX(TABLAS!$C$52:$C$58,MATCH(MAX(4,DATOS!$C$71),TABLAS!$B$52:$B$58,0))/2))</f>
        <v/>
      </c>
      <c r="CC31" s="58" t="str">
        <f>IF(V31&lt;&gt;"SÍ","",IF(IF(BI31&lt;=0,0,IF((1-2*BI31*1E5/(DATOS!$C$29*AI31*CB31^2*DATOS!$C$21))&lt;0,-1,IF((1-SQRT((1-2*BI31*1E5/(DATOS!$C$29*AI31*CB31^2*DATOS!$C$21))))*DATOS!$C$21*AI31*CB31/DATOS!$C$14&gt;DATOS!$C$102*AI31*CB31,-1,(1-SQRT((1-2*BI31*1E5/(DATOS!$C$29*AI31*CB31^2*DATOS!$C$21))))*DATOS!$C$21*AI31*CB31/DATOS!$C$14)))&lt;0,-1,MAX(IF(BI31&lt;=0,0,IF((1-2*BI31*1E5/(DATOS!$C$29*AI31*CB31^2*DATOS!$C$21))&lt;0,-1,IF((1-SQRT((1-2*BI31*1E5/(DATOS!$C$29*AI31*CB31^2*DATOS!$C$21))))*DATOS!$C$21*AI31*CB31/DATOS!$C$14&gt;DATOS!$C$102*AI31*CB31,-1,(1-SQRT((1-2*BI31*1E5/(DATOS!$C$29*AI31*CB31^2*DATOS!$C$21))))*DATOS!$C$21*AI31*CB31/DATOS!$C$14))),MIN(DATOS!$C$103*DATOS!$C$83*CB31,4/3*IF(BI31&lt;=0,0,IF((1-2*BI31*1E5/(DATOS!$C$29*AI31*CB31^2*DATOS!$C$21))&lt;0,-1,IF((1-SQRT((1-2*BI31*1E5/(DATOS!$C$29*AI31*CB31^2*DATOS!$C$21))))*DATOS!$C$21*AI31*CB31/DATOS!$C$14&gt;DATOS!$C$102*AI31*CB31,-1,(1-SQRT((1-2*BI31*1E5/(DATOS!$C$29*AI31*CB31^2*DATOS!$C$21))))*DATOS!$C$21*AI31*CB31/DATOS!$C$14)))))))</f>
        <v/>
      </c>
      <c r="CD31" s="64" t="str">
        <f>IF(V31&lt;&gt;"SÍ","",IF(AND(CC31&gt;=0,IF(MAX(DATOS!$C$74,CEILING(CC31/INDEX(TABLAS!$D$52:$D$58,MIN(MATCH(MAX(4,DATOS!$C$71),TABLAS!$B$52:$B$58,0)+0,7)),1))*INDEX(TABLAS!$D$52:$D$58,MIN(MATCH(MAX(4,DATOS!$C$71),TABLAS!$B$52:$B$58,0)+0,7)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+0,7)),1)),MAX(MAX(DATOS!$C$74,CEILING(CC31/INDEX(TABLAS!$D$52:$D$58,MIN(MATCH(MAX(4,DATOS!$C$71),TABLAS!$B$52:$B$58,0)+0,7)),1)),2))&lt;=MIN(DATOS!$C$73,INT(((DATOS!$C$83-2*AK31)+MAX(DATOS!$C$70,INDEX(TABLAS!$C$52:$C$58,MIN(MATCH(MAX(4,DATOS!$C$71),TABLAS!$B$52:$B$58,0)+0,7))))/(INDEX(TABLAS!$C$52:$C$58,MIN(MATCH(MAX(4,DATOS!$C$71),TABLAS!$B$52:$B$58,0)+0,7))+MAX(DATOS!$C$70,INDEX(TABLAS!$C$52:$C$58,MIN(MATCH(MAX(4,DATOS!$C$71),TABLAS!$B$52:$B$58,0)+0,7))))))),INDEX(TABLAS!$B$52:$B$58,MIN(MATCH(MAX(4,DATOS!$C$71),TABLAS!$B$52:$B$58,0)+0,7)),IF(AND(CC31&gt;=0,IF(MAX(DATOS!$C$74,CEILING(CC31/INDEX(TABLAS!$D$52:$D$58,MIN(MATCH(MAX(4,DATOS!$C$71),TABLAS!$B$52:$B$58,0)+1,7)),1))*INDEX(TABLAS!$D$52:$D$58,MIN(MATCH(MAX(4,DATOS!$C$71),TABLAS!$B$52:$B$58,0)+1,7)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+1,7)),1)),MAX(MAX(DATOS!$C$74,CEILING(CC31/INDEX(TABLAS!$D$52:$D$58,MIN(MATCH(MAX(4,DATOS!$C$71),TABLAS!$B$52:$B$58,0)+1,7)),1)),2))&lt;=MIN(DATOS!$C$73,INT(((DATOS!$C$83-2*AK31)+MAX(DATOS!$C$70,INDEX(TABLAS!$C$52:$C$58,MIN(MATCH(MAX(4,DATOS!$C$71),TABLAS!$B$52:$B$58,0)+1,7))))/(INDEX(TABLAS!$C$52:$C$58,MIN(MATCH(MAX(4,DATOS!$C$71),TABLAS!$B$52:$B$58,0)+1,7))+MAX(DATOS!$C$70,INDEX(TABLAS!$C$52:$C$58,MIN(MATCH(MAX(4,DATOS!$C$71),TABLAS!$B$52:$B$58,0)+1,7))))))),INDEX(TABLAS!$B$52:$B$58,MIN(MATCH(MAX(4,DATOS!$C$71),TABLAS!$B$52:$B$58,0)+1,7)),IF(AND(CC31&gt;=0,IF(MAX(DATOS!$C$74,CEILING(CC31/INDEX(TABLAS!$D$52:$D$58,MIN(MATCH(MAX(4,DATOS!$C$71),TABLAS!$B$52:$B$58,0)+2,7)),1))*INDEX(TABLAS!$D$52:$D$58,MIN(MATCH(MAX(4,DATOS!$C$71),TABLAS!$B$52:$B$58,0)+2,7)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+2,7)),1)),MAX(MAX(DATOS!$C$74,CEILING(CC31/INDEX(TABLAS!$D$52:$D$58,MIN(MATCH(MAX(4,DATOS!$C$71),TABLAS!$B$52:$B$58,0)+2,7)),1)),2))&lt;=MIN(DATOS!$C$73,INT(((DATOS!$C$83-2*AK31)+MAX(DATOS!$C$70,INDEX(TABLAS!$C$52:$C$58,MIN(MATCH(MAX(4,DATOS!$C$71),TABLAS!$B$52:$B$58,0)+2,7))))/(INDEX(TABLAS!$C$52:$C$58,MIN(MATCH(MAX(4,DATOS!$C$71),TABLAS!$B$52:$B$58,0)+2,7))+MAX(DATOS!$C$70,INDEX(TABLAS!$C$52:$C$58,MIN(MATCH(MAX(4,DATOS!$C$71),TABLAS!$B$52:$B$58,0)+2,7))))))),INDEX(TABLAS!$B$52:$B$58,MIN(MATCH(MAX(4,DATOS!$C$71),TABLAS!$B$52:$B$58,0)+2,7)),IF(AND(CC31&gt;=0,IF(MAX(DATOS!$C$74,CEILING(CC31/INDEX(TABLAS!$D$52:$D$58,MIN(MATCH(MAX(4,DATOS!$C$71),TABLAS!$B$52:$B$58,0)+3,7)),1))*INDEX(TABLAS!$D$52:$D$58,MIN(MATCH(MAX(4,DATOS!$C$71),TABLAS!$B$52:$B$58,0)+3,7)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+3,7)),1)),MAX(MAX(DATOS!$C$74,CEILING(CC31/INDEX(TABLAS!$D$52:$D$58,MIN(MATCH(MAX(4,DATOS!$C$71),TABLAS!$B$52:$B$58,0)+3,7)),1)),2))&lt;=MIN(DATOS!$C$73,INT(((DATOS!$C$83-2*AK31)+MAX(DATOS!$C$70,INDEX(TABLAS!$C$52:$C$58,MIN(MATCH(MAX(4,DATOS!$C$71),TABLAS!$B$52:$B$58,0)+3,7))))/(INDEX(TABLAS!$C$52:$C$58,MIN(MATCH(MAX(4,DATOS!$C$71),TABLAS!$B$52:$B$58,0)+3,7))+MAX(DATOS!$C$70,INDEX(TABLAS!$C$52:$C$58,MIN(MATCH(MAX(4,DATOS!$C$71),TABLAS!$B$52:$B$58,0)+3,7))))))),INDEX(TABLAS!$B$52:$B$58,MIN(MATCH(MAX(4,DATOS!$C$71),TABLAS!$B$52:$B$58,0)+3,7)),IF(AND(CC31&gt;=0,IF(MAX(DATOS!$C$74,CEILING(CC31/INDEX(TABLAS!$D$52:$D$58,MIN(MATCH(MAX(4,DATOS!$C$71),TABLAS!$B$52:$B$58,0)+4,7)),1))*INDEX(TABLAS!$D$52:$D$58,MIN(MATCH(MAX(4,DATOS!$C$71),TABLAS!$B$52:$B$58,0)+4,7)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+4,7)),1)),MAX(MAX(DATOS!$C$74,CEILING(CC31/INDEX(TABLAS!$D$52:$D$58,MIN(MATCH(MAX(4,DATOS!$C$71),TABLAS!$B$52:$B$58,0)+4,7)),1)),2))&lt;=MIN(DATOS!$C$73,INT(((DATOS!$C$83-2*AK31)+MAX(DATOS!$C$70,INDEX(TABLAS!$C$52:$C$58,MIN(MATCH(MAX(4,DATOS!$C$71),TABLAS!$B$52:$B$58,0)+4,7))))/(INDEX(TABLAS!$C$52:$C$58,MIN(MATCH(MAX(4,DATOS!$C$71),TABLAS!$B$52:$B$58,0)+4,7))+MAX(DATOS!$C$70,INDEX(TABLAS!$C$52:$C$58,MIN(MATCH(MAX(4,DATOS!$C$71),TABLAS!$B$52:$B$58,0)+4,7))))))),INDEX(TABLAS!$B$52:$B$58,MIN(MATCH(MAX(4,DATOS!$C$71),TABLAS!$B$52:$B$58,0)+4,7)),INDEX(TABLAS!$B$52:$B$58,7)))))))</f>
        <v/>
      </c>
      <c r="CE31" s="59" t="str">
        <f>IF(V31&lt;&gt;"SÍ","",IF(CC31&lt;0,0,IF(MAX(DATOS!$C$74,CEILING(MAX(CC31,0)/INDEX(TABLAS!$D$52:$D$58,MATCH(CD31,TABLAS!$B$52:$B$58,0)),1))*INDEX(TABLAS!$D$52:$D$58,MATCH(CD31,TABLAS!$B$52:$B$58,0))&gt;=4/3*IF(BI31&lt;=0,0,IF((1-2*BI31*1E5/(DATOS!$C$29*AI31*CB31^2*DATOS!$C$21))&lt;0,-1,IF((1-SQRT((1-2*BI31*1E5/(DATOS!$C$29*AI31*CB31^2*DATOS!$C$21))))*DATOS!$C$21*AI31*CB31/DATOS!$C$14&gt;DATOS!$C$102*AI31*CB31,-1,(1-SQRT((1-2*BI31*1E5/(DATOS!$C$29*AI31*CB31^2*DATOS!$C$21))))*DATOS!$C$21*AI31*CB31/DATOS!$C$14)))-0.0001,MAX(DATOS!$C$74,CEILING(MAX(CC31,0)/INDEX(TABLAS!$D$52:$D$58,MATCH(CD31,TABLAS!$B$52:$B$58,0)),1)),MAX(MAX(DATOS!$C$74,CEILING(MAX(CC31,0)/INDEX(TABLAS!$D$52:$D$58,MATCH(CD31,TABLAS!$B$52:$B$58,0)),1)),2))))</f>
        <v/>
      </c>
      <c r="CF31" s="58" t="str">
        <f>IF(V31&lt;&gt;"SÍ","",DATOS!$C$85-AK31-INDEX(TABLAS!$C$52:$C$58,MATCH(BN31,TABLAS!$B$52:$B$58,0))-INDEX(TABLAS!$C$52:$C$58,MATCH(CD31,TABLAS!$B$52:$B$58,0))/2)</f>
        <v/>
      </c>
      <c r="CG31" s="56" t="str">
        <f>IF(V31&lt;&gt;"SÍ","",IF(CE31=0,0,DATOS!$C$29*CE31*INDEX(TABLAS!$D$52:$D$58,MATCH(CD31,TABLAS!$B$52:$B$58,0))*DATOS!$C$14*(CF31-CE31*INDEX(TABLAS!$D$52:$D$58,MATCH(CD31,TABLAS!$B$52:$B$58,0))*DATOS!$C$14/(DATOS!$C$21*AI31)/2)/1E5))</f>
        <v/>
      </c>
      <c r="CH31" s="65" t="str">
        <f>IF(V31&lt;&gt;"SÍ","",IF(CC31&lt;0,9.99,IF(CG31&gt;0,BI31/CG31,0)))</f>
        <v/>
      </c>
      <c r="CI31" s="66" t="str">
        <f>IF(V31&lt;&gt;"SÍ","",IF(CE31=0,"—",0.003*(CF31-(CE31*INDEX(TABLAS!$D$52:$D$58,MATCH(CD31,TABLAS!$B$52:$B$58,0))*DATOS!$C$14/(DATOS!$C$21*AI31)/DATOS!$C$22))/(CE31*INDEX(TABLAS!$D$52:$D$58,MATCH(CD31,TABLAS!$B$52:$B$58,0))*DATOS!$C$14/(DATOS!$C$21*AI31)/DATOS!$C$22)))</f>
        <v/>
      </c>
      <c r="CJ31" s="58" t="str">
        <f>IF(V31&lt;&gt;"SÍ","",((DATOS!$C$85-AM31-2*DATOS!$C$97-INDEX(TABLAS!$C$52:$C$58,MATCH(MAX(4,DATOS!$C$72),TABLAS!$B$52:$B$58,0))-INDEX(TABLAS!$C$52:$C$58,MATCH(MAX(4,DATOS!$C$72),TABLAS!$B$52:$B$58,0))/2)-IF(AND((DATOS!$C$85-AM31-2*DATOS!$C$97-INDEX(TABLAS!$C$52:$C$58,MATCH(MAX(4,DATOS!$C$72),TABLAS!$B$52:$B$58,0))-INDEX(TABLAS!$C$52:$C$58,MATCH(MAX(4,DATOS!$C$72),TABLAS!$B$52:$B$58,0))/2)&lt;=20,DATOS!$C$65&lt;&gt;"SÍ"),2,0)))</f>
        <v/>
      </c>
      <c r="CK31" s="58" t="str">
        <f>IF(V31&lt;&gt;"SÍ","",IF(IF(BJ31&lt;=0,0,IF((1-2*BJ31*1E5/(DATOS!$C$29*AG31*CJ31^2*DATOS!$C$21))&lt;0,-1,IF((1-SQRT((1-2*BJ31*1E5/(DATOS!$C$29*AG31*CJ31^2*DATOS!$C$21))))*DATOS!$C$21*AG31*CJ31/DATOS!$C$14&gt;DATOS!$C$102*AG31*CJ31,-1,(1-SQRT((1-2*BJ31*1E5/(DATOS!$C$29*AG31*CJ31^2*DATOS!$C$21))))*DATOS!$C$21*AG31*CJ31/DATOS!$C$14)))&lt;0,-1,MAX(IF(BJ31&lt;=0,0,IF((1-2*BJ31*1E5/(DATOS!$C$29*AG31*CJ31^2*DATOS!$C$21))&lt;0,-1,IF((1-SQRT((1-2*BJ31*1E5/(DATOS!$C$29*AG31*CJ31^2*DATOS!$C$21))))*DATOS!$C$21*AG31*CJ31/DATOS!$C$14&gt;DATOS!$C$102*AG31*CJ31,-1,(1-SQRT((1-2*BJ31*1E5/(DATOS!$C$29*AG31*CJ31^2*DATOS!$C$21))))*DATOS!$C$21*AG31*CJ31/DATOS!$C$14))),MIN(DATOS!$C$103*DATOS!$C$83*CJ31,4/3*IF(BJ31&lt;=0,0,IF((1-2*BJ31*1E5/(DATOS!$C$29*AG31*CJ31^2*DATOS!$C$21))&lt;0,-1,IF((1-SQRT((1-2*BJ31*1E5/(DATOS!$C$29*AG31*CJ31^2*DATOS!$C$21))))*DATOS!$C$21*AG31*CJ31/DATOS!$C$14&gt;DATOS!$C$102*AG31*CJ31,-1,(1-SQRT((1-2*BJ31*1E5/(DATOS!$C$29*AG31*CJ31^2*DATOS!$C$21))))*DATOS!$C$21*AG31*CJ31/DATOS!$C$14)))))))</f>
        <v/>
      </c>
      <c r="CL31" s="64" t="str">
        <f>IF(V31&lt;&gt;"SÍ","",IF(AND(CK31&gt;=0,IF(MAX(DATOS!$C$74,CEILING(CK31/INDEX(TABLAS!$D$52:$D$58,MIN(MATCH(MAX(4,DATOS!$C$72),TABLAS!$B$52:$B$58,0)+0,7)),1))*INDEX(TABLAS!$D$52:$D$58,MIN(MATCH(MAX(4,DATOS!$C$72),TABLAS!$B$52:$B$58,0)+0,7)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+0,7)),1)),MAX(MAX(DATOS!$C$74,CEILING(CK31/INDEX(TABLAS!$D$52:$D$58,MIN(MATCH(MAX(4,DATOS!$C$72),TABLAS!$B$52:$B$58,0)+0,7)),1)),2))&lt;=MIN(DATOS!$C$73,INT(((DATOS!$C$83-2*AL31)+MAX(DATOS!$C$70,INDEX(TABLAS!$C$52:$C$58,MIN(MATCH(MAX(4,DATOS!$C$72),TABLAS!$B$52:$B$58,0)+0,7))))/(INDEX(TABLAS!$C$52:$C$58,MIN(MATCH(MAX(4,DATOS!$C$72),TABLAS!$B$52:$B$58,0)+0,7))+MAX(DATOS!$C$70,INDEX(TABLAS!$C$52:$C$58,MIN(MATCH(MAX(4,DATOS!$C$72),TABLAS!$B$52:$B$58,0)+0,7))))))),INDEX(TABLAS!$B$52:$B$58,MIN(MATCH(MAX(4,DATOS!$C$72),TABLAS!$B$52:$B$58,0)+0,7)),IF(AND(CK31&gt;=0,IF(MAX(DATOS!$C$74,CEILING(CK31/INDEX(TABLAS!$D$52:$D$58,MIN(MATCH(MAX(4,DATOS!$C$72),TABLAS!$B$52:$B$58,0)+1,7)),1))*INDEX(TABLAS!$D$52:$D$58,MIN(MATCH(MAX(4,DATOS!$C$72),TABLAS!$B$52:$B$58,0)+1,7)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+1,7)),1)),MAX(MAX(DATOS!$C$74,CEILING(CK31/INDEX(TABLAS!$D$52:$D$58,MIN(MATCH(MAX(4,DATOS!$C$72),TABLAS!$B$52:$B$58,0)+1,7)),1)),2))&lt;=MIN(DATOS!$C$73,INT(((DATOS!$C$83-2*AL31)+MAX(DATOS!$C$70,INDEX(TABLAS!$C$52:$C$58,MIN(MATCH(MAX(4,DATOS!$C$72),TABLAS!$B$52:$B$58,0)+1,7))))/(INDEX(TABLAS!$C$52:$C$58,MIN(MATCH(MAX(4,DATOS!$C$72),TABLAS!$B$52:$B$58,0)+1,7))+MAX(DATOS!$C$70,INDEX(TABLAS!$C$52:$C$58,MIN(MATCH(MAX(4,DATOS!$C$72),TABLAS!$B$52:$B$58,0)+1,7))))))),INDEX(TABLAS!$B$52:$B$58,MIN(MATCH(MAX(4,DATOS!$C$72),TABLAS!$B$52:$B$58,0)+1,7)),IF(AND(CK31&gt;=0,IF(MAX(DATOS!$C$74,CEILING(CK31/INDEX(TABLAS!$D$52:$D$58,MIN(MATCH(MAX(4,DATOS!$C$72),TABLAS!$B$52:$B$58,0)+2,7)),1))*INDEX(TABLAS!$D$52:$D$58,MIN(MATCH(MAX(4,DATOS!$C$72),TABLAS!$B$52:$B$58,0)+2,7)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+2,7)),1)),MAX(MAX(DATOS!$C$74,CEILING(CK31/INDEX(TABLAS!$D$52:$D$58,MIN(MATCH(MAX(4,DATOS!$C$72),TABLAS!$B$52:$B$58,0)+2,7)),1)),2))&lt;=MIN(DATOS!$C$73,INT(((DATOS!$C$83-2*AL31)+MAX(DATOS!$C$70,INDEX(TABLAS!$C$52:$C$58,MIN(MATCH(MAX(4,DATOS!$C$72),TABLAS!$B$52:$B$58,0)+2,7))))/(INDEX(TABLAS!$C$52:$C$58,MIN(MATCH(MAX(4,DATOS!$C$72),TABLAS!$B$52:$B$58,0)+2,7))+MAX(DATOS!$C$70,INDEX(TABLAS!$C$52:$C$58,MIN(MATCH(MAX(4,DATOS!$C$72),TABLAS!$B$52:$B$58,0)+2,7))))))),INDEX(TABLAS!$B$52:$B$58,MIN(MATCH(MAX(4,DATOS!$C$72),TABLAS!$B$52:$B$58,0)+2,7)),IF(AND(CK31&gt;=0,IF(MAX(DATOS!$C$74,CEILING(CK31/INDEX(TABLAS!$D$52:$D$58,MIN(MATCH(MAX(4,DATOS!$C$72),TABLAS!$B$52:$B$58,0)+3,7)),1))*INDEX(TABLAS!$D$52:$D$58,MIN(MATCH(MAX(4,DATOS!$C$72),TABLAS!$B$52:$B$58,0)+3,7)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+3,7)),1)),MAX(MAX(DATOS!$C$74,CEILING(CK31/INDEX(TABLAS!$D$52:$D$58,MIN(MATCH(MAX(4,DATOS!$C$72),TABLAS!$B$52:$B$58,0)+3,7)),1)),2))&lt;=MIN(DATOS!$C$73,INT(((DATOS!$C$83-2*AL31)+MAX(DATOS!$C$70,INDEX(TABLAS!$C$52:$C$58,MIN(MATCH(MAX(4,DATOS!$C$72),TABLAS!$B$52:$B$58,0)+3,7))))/(INDEX(TABLAS!$C$52:$C$58,MIN(MATCH(MAX(4,DATOS!$C$72),TABLAS!$B$52:$B$58,0)+3,7))+MAX(DATOS!$C$70,INDEX(TABLAS!$C$52:$C$58,MIN(MATCH(MAX(4,DATOS!$C$72),TABLAS!$B$52:$B$58,0)+3,7))))))),INDEX(TABLAS!$B$52:$B$58,MIN(MATCH(MAX(4,DATOS!$C$72),TABLAS!$B$52:$B$58,0)+3,7)),IF(AND(CK31&gt;=0,IF(MAX(DATOS!$C$74,CEILING(CK31/INDEX(TABLAS!$D$52:$D$58,MIN(MATCH(MAX(4,DATOS!$C$72),TABLAS!$B$52:$B$58,0)+4,7)),1))*INDEX(TABLAS!$D$52:$D$58,MIN(MATCH(MAX(4,DATOS!$C$72),TABLAS!$B$52:$B$58,0)+4,7)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+4,7)),1)),MAX(MAX(DATOS!$C$74,CEILING(CK31/INDEX(TABLAS!$D$52:$D$58,MIN(MATCH(MAX(4,DATOS!$C$72),TABLAS!$B$52:$B$58,0)+4,7)),1)),2))&lt;=MIN(DATOS!$C$73,INT(((DATOS!$C$83-2*AL31)+MAX(DATOS!$C$70,INDEX(TABLAS!$C$52:$C$58,MIN(MATCH(MAX(4,DATOS!$C$72),TABLAS!$B$52:$B$58,0)+4,7))))/(INDEX(TABLAS!$C$52:$C$58,MIN(MATCH(MAX(4,DATOS!$C$72),TABLAS!$B$52:$B$58,0)+4,7))+MAX(DATOS!$C$70,INDEX(TABLAS!$C$52:$C$58,MIN(MATCH(MAX(4,DATOS!$C$72),TABLAS!$B$52:$B$58,0)+4,7))))))),INDEX(TABLAS!$B$52:$B$58,MIN(MATCH(MAX(4,DATOS!$C$72),TABLAS!$B$52:$B$58,0)+4,7)),INDEX(TABLAS!$B$52:$B$58,7)))))))</f>
        <v/>
      </c>
      <c r="CM31" s="59" t="str">
        <f>IF(V31&lt;&gt;"SÍ","",IF(CK31&lt;0,0,IF(MAX(DATOS!$C$74,CEILING(MAX(CK31,0)/INDEX(TABLAS!$D$52:$D$58,MATCH(CL31,TABLAS!$B$52:$B$58,0)),1))*INDEX(TABLAS!$D$52:$D$58,MATCH(CL31,TABLAS!$B$52:$B$58,0))&gt;=4/3*IF(BJ31&lt;=0,0,IF((1-2*BJ31*1E5/(DATOS!$C$29*AG31*CJ31^2*DATOS!$C$21))&lt;0,-1,IF((1-SQRT((1-2*BJ31*1E5/(DATOS!$C$29*AG31*CJ31^2*DATOS!$C$21))))*DATOS!$C$21*AG31*CJ31/DATOS!$C$14&gt;DATOS!$C$102*AG31*CJ31,-1,(1-SQRT((1-2*BJ31*1E5/(DATOS!$C$29*AG31*CJ31^2*DATOS!$C$21))))*DATOS!$C$21*AG31*CJ31/DATOS!$C$14)))-0.0001,MAX(DATOS!$C$74,CEILING(MAX(CK31,0)/INDEX(TABLAS!$D$52:$D$58,MATCH(CL31,TABLAS!$B$52:$B$58,0)),1)),MAX(MAX(DATOS!$C$74,CEILING(MAX(CK31,0)/INDEX(TABLAS!$D$52:$D$58,MATCH(CL31,TABLAS!$B$52:$B$58,0)),1)),2))))</f>
        <v/>
      </c>
      <c r="CN31" s="58" t="str">
        <f>IF(V31&lt;&gt;"SÍ","",((DATOS!$C$85-AM31-2*DATOS!$C$97-INDEX(TABLAS!$C$52:$C$58,MATCH(BV31,TABLAS!$B$52:$B$58,0))-INDEX(TABLAS!$C$52:$C$58,MATCH(CL31,TABLAS!$B$52:$B$58,0))/2)-IF(AND((DATOS!$C$85-AM31-2*DATOS!$C$97-INDEX(TABLAS!$C$52:$C$58,MATCH(BV31,TABLAS!$B$52:$B$58,0))-INDEX(TABLAS!$C$52:$C$58,MATCH(CL31,TABLAS!$B$52:$B$58,0))/2)&lt;=20,DATOS!$C$65&lt;&gt;"SÍ"),2,0)))</f>
        <v/>
      </c>
      <c r="CO31" s="56" t="str">
        <f>IF(V31&lt;&gt;"SÍ","",IF(CM31=0,0,DATOS!$C$29*CM31*INDEX(TABLAS!$D$52:$D$58,MATCH(CL31,TABLAS!$B$52:$B$58,0))*DATOS!$C$14*(CN31-CM31*INDEX(TABLAS!$D$52:$D$58,MATCH(CL31,TABLAS!$B$52:$B$58,0))*DATOS!$C$14/(DATOS!$C$21*AG31)/2)/1E5))</f>
        <v/>
      </c>
      <c r="CP31" s="65" t="str">
        <f>IF(V31&lt;&gt;"SÍ","",IF(CK31&lt;0,9.99,IF(CO31&gt;0,BJ31/CO31,0)))</f>
        <v/>
      </c>
      <c r="CQ31" s="66" t="str">
        <f>IF(V31&lt;&gt;"SÍ","",IF(CM31=0,"—",0.003*(CN31-(CM31*INDEX(TABLAS!$D$52:$D$58,MATCH(CL31,TABLAS!$B$52:$B$58,0))*DATOS!$C$14/(DATOS!$C$21*AG31)/DATOS!$C$22))/(CM31*INDEX(TABLAS!$D$52:$D$58,MATCH(CL31,TABLAS!$B$52:$B$58,0))*DATOS!$C$14/(DATOS!$C$21*AG31)/DATOS!$C$22)))</f>
        <v/>
      </c>
      <c r="CR31" s="56" t="str">
        <f>IF(V31&lt;&gt;"SÍ","",IF(C31="PERIMETRAL",MAX(0,(AB31/2-BX31)/100)*(0.95-0.5*AA31)*AR31*IF(AND(AS31&gt;0,AS31&lt;4),DATOS!$C$33,1)*DATOS!$C$86/100/1000,(AR31*MAX(0,AB31-BX31)/100+DATOS!$C$26*N(O31))*DATOS!$C$86/100/1000+BF31))</f>
        <v/>
      </c>
      <c r="CS31" s="56" t="str">
        <f>IF(V31&lt;&gt;"SÍ","",DATOS!$C$30*2*MIN(1,SQRT(2/(1+0.04*BX31)))*(BW31*INDEX(TABLAS!$D$52:$D$58,MATCH(BV31,TABLAS!$B$52:$B$58,0))/(AF31*BX31))^(1/3)*SQRT(DATOS!$C$13)*AF31*BX31*IF(AJ31="SÍ",DATOS!$C$32,1)/1000)</f>
        <v/>
      </c>
      <c r="CT31" s="59" t="str">
        <f>IF(V31&lt;&gt;"SÍ","",IF(CR31&lt;=CS31,0,CEILING(MAX(0,IF(C31="VOLADO",(AB31-((CS31-BF31)*1E5/DATOS!$C$86-DATOS!$C$26*N(O31))*100/AR31),IF(CS31&lt;=0,AB31,AB31/2-CS31/MAX(CR31,1E-9)*(AB31/2-BX31)))-IF(X31="X",MIN(DJ31,DK31),MIN(DL31,DM31)))/DATOS!$C$86,1)))</f>
        <v/>
      </c>
      <c r="CU31" s="67" t="str">
        <f>IF(V31&lt;&gt;"SÍ","",IF(CR31&lt;=CS31,"CUMPLE",IF(CT31&lt;=0,"CUMPLE (basta el macizo de orilla)",IF(CT31*DATOS!$C$86*IF(C31="VOLADO",1,2)&gt;=Y31*100-DATOS!$C$87,"NO CUMPLE: no alcanza ni macizando todo","MACIZAR "&amp;CT31&amp;" hilera(s)"))))</f>
        <v/>
      </c>
      <c r="CV31" s="58" t="str">
        <f>IF(V31&lt;&gt;"SÍ","",(DATOS!$C$86*DATOS!$C$84^2/2+MIN(DATOS!$C$83,AD31)*DATOS!$C$82*(DATOS!$C$84+DATOS!$C$82/2))/(DATOS!$C$86*DATOS!$C$84+MIN(DATOS!$C$83,AD31)*DATOS!$C$82))</f>
        <v/>
      </c>
      <c r="CW31" s="68" t="str">
        <f>IF(V31&lt;&gt;"SÍ","",DATOS!$C$86*DATOS!$C$84^3/12+DATOS!$C$86*DATOS!$C$84*(CV31-DATOS!$C$84/2)^2+MIN(DATOS!$C$83,AD31)*DATOS!$C$82^3/12+MIN(DATOS!$C$83,AD31)*DATOS!$C$82*(DATOS!$C$84+DATOS!$C$82/2-CV31)^2)</f>
        <v/>
      </c>
      <c r="CX31" s="58" t="str">
        <f>IF(V31&lt;&gt;"SÍ","",(12*CW31/DATOS!$C$86)^(1/3))</f>
        <v/>
      </c>
      <c r="CY31" s="58" t="str">
        <f>IF(V31&lt;&gt;"SÍ","",IF(C31="PERIMETRAL",IF(ISNUMBER(S31),S31,DATOS!$C$104),0))</f>
        <v/>
      </c>
      <c r="CZ31" s="57" t="str">
        <f>IF(V31&lt;&gt;"SÍ","",IF(C31="PERIMETRAL",IF(CY31&gt;2,MAX(9,AC31*(0.8+DATOS!$C$14/14000)/(36+9*(AC31/MAX(AB31,1)))),IF(CY31&gt;0.2,MAX(13,AC31*(0.8+DATOS!$C$14/14000)/(36+5*(AC31/MAX(AB31,1))*(CY31-0.2))),MAX(13,AC31/IF(AS31&gt;0,30,33))))*IF(AND(CY31&gt;0.2,AS31&gt;0,DATOS!$C$105="NO"),1.1,1),MAX(25,Y31*100/8*(0.4+DATOS!$C$14/7000))))</f>
        <v/>
      </c>
      <c r="DA31" s="61" t="str">
        <f>IF(V31&lt;&gt;"SÍ","",IF(IF(C31="VOLADO",DATOS!$C$85,CX31)&gt;=CZ31,"CUMPLE",IF(C31="VOLADO","NO CUMPLE","CALCULAR FLECHA")))</f>
        <v/>
      </c>
      <c r="DB31" s="55" t="str">
        <f>IF(V31&lt;&gt;"SÍ","",IF(DATOS!$C$84&gt;=IF(IF(C31="VOLADO",Y31,Z31)&gt;=6,6,5),"CUMPLE","CAPA ≥ 6 cm"))</f>
        <v/>
      </c>
      <c r="DC31" s="60" t="str">
        <f>IF(V31&lt;&gt;"SÍ","",IF(C31="VOLADO",MIN(FLOOR(IF(ISNUMBER(P31),P31,Y31)*100-DATOS!$C$63,5),CEILING(MAX(IF((0.5*(0.9*DATOS!$C$90*DATOS!$C$86/100/1000)*IF(ISNUMBER(P31),P31,Y31)+BH31/IF(ISNUMBER(P31),P31,Y31))^2-4*(0.5*(0.9*DATOS!$C$90*DATOS!$C$86/100/1000))*BH31&lt;0,IF(ISNUMBER(P31),P31,Y31),MIN(IF(ISNUMBER(P31),P31,Y31),((0.5*(0.9*DATOS!$C$90*DATOS!$C$86/100/1000)*IF(ISNUMBER(P31),P31,Y31)+BH31/IF(ISNUMBER(P31),P31,Y31))-SQRT((0.5*(0.9*DATOS!$C$90*DATOS!$C$86/100/1000)*IF(ISNUMBER(P31),P31,Y31)+BH31/IF(ISNUMBER(P31),P31,Y31))^2-4*(0.5*(0.9*DATOS!$C$90*DATOS!$C$86/100/1000))*BH31))/(2*(0.5*(0.9*DATOS!$C$90*DATOS!$C$86/100/1000)))))*100+MAX(BX31,12*INDEX(TABLAS!$C$52:$C$58,MATCH(BV31,TABLAS!$B$52:$B$58,0)),IF(ISNUMBER(P31),P31,Y31)*100/16),IF(OR(AL31&lt;INDEX(TABLAS!$C$52:$C$58,MATCH(BV31,TABLAS!$B$52:$B$58,0)),AND(BW31&gt;=2,(AD31-2*AL31-BW31*INDEX(TABLAS!$C$52:$C$58,MATCH(BV31,TABLAS!$B$52:$B$58,0)))/MAX(BW31-1,1)&lt;2*INDEX(TABLAS!$C$52:$C$58,MATCH(BV31,TABLAS!$B$52:$B$58,0)))),INDEX(TABLAS!$I$52:$I$58,MATCH(BV31,TABLAS!$B$52:$B$58,0)),INDEX(TABLAS!$F$52:$F$58,MATCH(BV31,TABLAS!$B$52:$B$58,0)))),5)),IF(((4*((BC31*AR31*Y31^2*1E-4*DATOS!$C$86/100/1000)+((MAX(AY31,BA31)*AR31*Y31^2*1E-4*DATOS!$C$86/100/1000)+(IF(AND(AY31&gt;0,BA31&gt;0),MIN(AY31,BA31),MAX(AY31,BA31))*AR31*Y31^2*1E-4*DATOS!$C$86/100/1000))/2)+BH31-(IF(AND(AY31&gt;0,BA31&gt;0),MIN(AY31,BA31),MAX(AY31,BA31))*AR31*Y31^2*1E-4*DATOS!$C$86/100/1000))^2-16*((BC31*AR31*Y31^2*1E-4*DATOS!$C$86/100/1000)+((MAX(AY31,BA31)*AR31*Y31^2*1E-4*DATOS!$C$86/100/1000)+(IF(AND(AY31&gt;0,BA31&gt;0),MIN(AY31,BA31),MAX(AY31,BA31))*AR31*Y31^2*1E-4*DATOS!$C$86/100/1000))/2)*BH31)&lt;0,CEILING(AB31,5),CEILING(MAX(AB31*((4*((BC31*AR31*Y31^2*1E-4*DATOS!$C$86/100/1000)+((MAX(AY31,BA31)*AR31*Y31^2*1E-4*DATOS!$C$86/100/1000)+(IF(AND(AY31&gt;0,BA31&gt;0),MIN(AY31,BA31),MAX(AY31,BA31))*AR31*Y31^2*1E-4*DATOS!$C$86/100/1000))/2)+BH31-(IF(AND(AY31&gt;0,BA31&gt;0),MIN(AY31,BA31),MAX(AY31,BA31))*AR31*Y31^2*1E-4*DATOS!$C$86/100/1000))-SQRT(MAX(0,((4*((BC31*AR31*Y31^2*1E-4*DATOS!$C$86/100/1000)+((MAX(AY31,BA31)*AR31*Y31^2*1E-4*DATOS!$C$86/100/1000)+(IF(AND(AY31&gt;0,BA31&gt;0),MIN(AY31,BA31),MAX(AY31,BA31))*AR31*Y31^2*1E-4*DATOS!$C$86/100/1000))/2)+BH31-(IF(AND(AY31&gt;0,BA31&gt;0),MIN(AY31,BA31),MAX(AY31,BA31))*AR31*Y31^2*1E-4*DATOS!$C$86/100/1000))^2-16*((BC31*AR31*Y31^2*1E-4*DATOS!$C$86/100/1000)+((MAX(AY31,BA31)*AR31*Y31^2*1E-4*DATOS!$C$86/100/1000)+(IF(AND(AY31&gt;0,BA31&gt;0),MIN(AY31,BA31),MAX(AY31,BA31))*AR31*Y31^2*1E-4*DATOS!$C$86/100/1000))/2)*BH31))))/(8*MAX(((BC31*AR31*Y31^2*1E-4*DATOS!$C$86/100/1000)+((MAX(AY31,BA31)*AR31*Y31^2*1E-4*DATOS!$C$86/100/1000)+(IF(AND(AY31&gt;0,BA31&gt;0),MIN(AY31,BA31),MAX(AY31,BA31))*AR31*Y31^2*1E-4*DATOS!$C$86/100/1000))/2),1E-9))+MAX(BX31,12*INDEX(TABLAS!$C$52:$C$58,MATCH(BV31,TABLAS!$B$52:$B$58,0)),AB31/16),IF(OR(AL31&lt;INDEX(TABLAS!$C$52:$C$58,MATCH(BV31,TABLAS!$B$52:$B$58,0)),AND(BW31&gt;=2,(AD31-2*AL31-BW31*INDEX(TABLAS!$C$52:$C$58,MATCH(BV31,TABLAS!$B$52:$B$58,0)))/MAX(BW31-1,1)&lt;2*INDEX(TABLAS!$C$52:$C$58,MATCH(BV31,TABLAS!$B$52:$B$58,0)))),INDEX(TABLAS!$I$52:$I$58,MATCH(BV31,TABLAS!$B$52:$B$58,0)),INDEX(TABLAS!$F$52:$F$58,MATCH(BV31,TABLAS!$B$52:$B$58,0)))),5))))</f>
        <v/>
      </c>
      <c r="DD31" s="60" t="str">
        <f>IF(V31&lt;&gt;"SÍ","",IF(C31="VOLADO",0,IF(((4*((BD31*AR31*Y31^2*1E-4*DATOS!$C$86/100/1000)+((MAX(AZ31,BB31)*AR31*Y31^2*1E-4*DATOS!$C$86/100/1000)+(IF(AND(AZ31&gt;0,BB31&gt;0),MIN(AZ31,BB31),MAX(AZ31,BB31))*AR31*Y31^2*1E-4*DATOS!$C$86/100/1000))/2)+BJ31-(IF(AND(AZ31&gt;0,BB31&gt;0),MIN(AZ31,BB31),MAX(AZ31,BB31))*AR31*Y31^2*1E-4*DATOS!$C$86/100/1000))^2-16*((BD31*AR31*Y31^2*1E-4*DATOS!$C$86/100/1000)+((MAX(AZ31,BB31)*AR31*Y31^2*1E-4*DATOS!$C$86/100/1000)+(IF(AND(AZ31&gt;0,BB31&gt;0),MIN(AZ31,BB31),MAX(AZ31,BB31))*AR31*Y31^2*1E-4*DATOS!$C$86/100/1000))/2)*BJ31)&lt;0,CEILING(AC31,5),CEILING(MAX(AC31*((4*((BD31*AR31*Y31^2*1E-4*DATOS!$C$86/100/1000)+((MAX(AZ31,BB31)*AR31*Y31^2*1E-4*DATOS!$C$86/100/1000)+(IF(AND(AZ31&gt;0,BB31&gt;0),MIN(AZ31,BB31),MAX(AZ31,BB31))*AR31*Y31^2*1E-4*DATOS!$C$86/100/1000))/2)+BJ31-(IF(AND(AZ31&gt;0,BB31&gt;0),MIN(AZ31,BB31),MAX(AZ31,BB31))*AR31*Y31^2*1E-4*DATOS!$C$86/100/1000))-SQRT(MAX(0,((4*((BD31*AR31*Y31^2*1E-4*DATOS!$C$86/100/1000)+((MAX(AZ31,BB31)*AR31*Y31^2*1E-4*DATOS!$C$86/100/1000)+(IF(AND(AZ31&gt;0,BB31&gt;0),MIN(AZ31,BB31),MAX(AZ31,BB31))*AR31*Y31^2*1E-4*DATOS!$C$86/100/1000))/2)+BJ31-(IF(AND(AZ31&gt;0,BB31&gt;0),MIN(AZ31,BB31),MAX(AZ31,BB31))*AR31*Y31^2*1E-4*DATOS!$C$86/100/1000))^2-16*((BD31*AR31*Y31^2*1E-4*DATOS!$C$86/100/1000)+((MAX(AZ31,BB31)*AR31*Y31^2*1E-4*DATOS!$C$86/100/1000)+(IF(AND(AZ31&gt;0,BB31&gt;0),MIN(AZ31,BB31),MAX(AZ31,BB31))*AR31*Y31^2*1E-4*DATOS!$C$86/100/1000))/2)*BJ31))))/(8*MAX(((BD31*AR31*Y31^2*1E-4*DATOS!$C$86/100/1000)+((MAX(AZ31,BB31)*AR31*Y31^2*1E-4*DATOS!$C$86/100/1000)+(IF(AND(AZ31&gt;0,BB31&gt;0),MIN(AZ31,BB31),MAX(AZ31,BB31))*AR31*Y31^2*1E-4*DATOS!$C$86/100/1000))/2),1E-9))+MAX(CN31,12*INDEX(TABLAS!$C$52:$C$58,MATCH(CL31,TABLAS!$B$52:$B$58,0)),AC31/16),IF(OR(AL31&lt;INDEX(TABLAS!$C$52:$C$58,MATCH(CL31,TABLAS!$B$52:$B$58,0)),AND(CM31&gt;=2,(DATOS!$C$83-2*AL31-CM31*INDEX(TABLAS!$C$52:$C$58,MATCH(CL31,TABLAS!$B$52:$B$58,0)))/MAX(CM31-1,1)&lt;2*INDEX(TABLAS!$C$52:$C$58,MATCH(CL31,TABLAS!$B$52:$B$58,0)))),INDEX(TABLAS!$I$52:$I$58,MATCH(CL31,TABLAS!$B$52:$B$58,0)),INDEX(TABLAS!$F$52:$F$58,MATCH(CL31,TABLAS!$B$52:$B$58,0)))),5))))</f>
        <v/>
      </c>
      <c r="DE31" s="55" t="str">
        <f>IF(V31&lt;&gt;"SÍ","",IF(AND(C31="PERIMETRAL",BW31&gt;=2,AS31-AT31&gt;0,BA31*AR31*Y31^2*1E-4*DATOS!$C$86/100/1000&gt;DATOS!$C$29*INDEX(TABLAS!$D$52:$D$58,MATCH(BV31,TABLAS!$B$52:$B$58,0))*DATOS!$C$14*(BX31-INDEX(TABLAS!$D$52:$D$58,MATCH(BV31,TABLAS!$B$52:$B$58,0))*DATOS!$C$14/(DATOS!$C$21*AF31)/2)/1E5),"SÍ","NO"))</f>
        <v/>
      </c>
      <c r="DF31" s="55" t="str">
        <f>IF(V31&lt;&gt;"SÍ","",IF(AND(C31="PERIMETRAL",CM31&gt;=2,AT31&gt;0,BB31*AR31*Y31^2*1E-4*DATOS!$C$86/100/1000&gt;DATOS!$C$29*INDEX(TABLAS!$D$52:$D$58,MATCH(CL31,TABLAS!$B$52:$B$58,0))*DATOS!$C$14*(CN31-INDEX(TABLAS!$D$52:$D$58,MATCH(CL31,TABLAS!$B$52:$B$58,0))*DATOS!$C$14/(DATOS!$C$21*AG31)/2)/1E5),"SÍ","NO"))</f>
        <v/>
      </c>
      <c r="DG31" s="63" t="str">
        <f>IF(V31&lt;&gt;"SÍ","",IF(OR(C31="VOLADO",AS31=0),"—",IF(AND(AND(1.25*INDEX(TABLAS!$G$52:$G$58,MATCH(MAX(BN31,CD31),TABLAS!$B$52:$B$58,0))&lt;=(DATOS!$C$75-DATOS!$C$63),(DATOS!$C$75-DATOS!$C$63)&gt;=15,INDEX(TABLAS!$G$52:$G$58,MATCH(MAX(BV31,CL31),TABLAS!$B$52:$B$58,0))&lt;=(DATOS!$C$75-DATOS!$C$63)),8*INDEX(TABLAS!$C$52:$C$58,MATCH(MAX(MAX(BN31,CD31),MAX(BV31,CL31)),TABLAS!$B$52:$B$58,0))&lt;=DATOS!$C$76-2*DATOS!$C$63),"CUMPLE (gancho de 180°)",IF(AND(1.25*INDEX(TABLAS!$G$52:$G$58,MATCH(MAX(BN31,CD31),TABLAS!$B$52:$B$58,0))&lt;=(DATOS!$C$75-DATOS!$C$63),(DATOS!$C$75-DATOS!$C$63)&gt;=15,INDEX(TABLAS!$G$52:$G$58,MATCH(MAX(BV31,CL31),TABLAS!$B$52:$B$58,0))&lt;=(DATOS!$C$75-DATOS!$C$63)),"NO CUMPLE: el gancho de 180° (8·d_b) no cabe en el peralte de la dala de borde","NO CUMPLE: dala de borde ≥ "&amp;TEXT(CEILING(MAX(1.25*INDEX(TABLAS!$G$52:$G$58,MATCH(MAX(BN31,CD31),TABLAS!$B$52:$B$58,0)),15,INDEX(TABLAS!$G$52:$G$58,MATCH(MAX(BV31,CL31),TABLAS!$B$52:$B$58,0)))+DATOS!$C$63,5),"0")&amp;" cm de ancho"&amp;IF(8*INDEX(TABLAS!$C$52:$C$58,MATCH(MAX(MAX(BN31,CD31),MAX(BV31,CL31)),TABLAS!$B$52:$B$58,0))&lt;=DATOS!$C$76-2*DATOS!$C$63,""," y más peralte para el gancho")))))</f>
        <v/>
      </c>
      <c r="DH31" s="59" t="str">
        <f>IF(V31&lt;&gt;"SÍ","",MAX(0,INT((E31*100-DATOS!$C$87-IF(AND(C31="PERIMETRAL",I31="DISCONTINUO"),MAX(0,DATOS!$C$75-DATOS!$C$87),0)-IF(AND(C31="PERIMETRAL",J31="DISCONTINUO"),MAX(0,DATOS!$C$75-DATOS!$C$87),0)+DATOS!$C$86-IF(X31="X",DATOS!$C$81,AE31))/DATOS!$C$86)))</f>
        <v/>
      </c>
      <c r="DI31" s="59" t="str">
        <f>IF(V31&lt;&gt;"SÍ","",MAX(0,INT((F31*100-DATOS!$C$87-IF(AND(C31="PERIMETRAL",G31="DISCONTINUO"),MAX(0,DATOS!$C$75-DATOS!$C$87),0)-IF(AND(C31="PERIMETRAL",H31="DISCONTINUO"),MAX(0,DATOS!$C$75-DATOS!$C$87),0)+DATOS!$C$86-IF(X31="Y",DATOS!$C$81,AE31))/DATOS!$C$86)))</f>
        <v/>
      </c>
      <c r="DJ31" s="57" t="str">
        <f>IF(V31&lt;&gt;"SÍ","",IF(DH31&gt;0,IF(AND(C31="PERIMETRAL",I31="DISCONTINUO"),MAX(0,DATOS!$C$75-DATOS!$C$87),0)+(E31*100-DATOS!$C$87-IF(AND(C31="PERIMETRAL",I31="DISCONTINUO"),MAX(0,DATOS!$C$75-DATOS!$C$87),0)-IF(AND(C31="PERIMETRAL",J31="DISCONTINUO"),MAX(0,DATOS!$C$75-DATOS!$C$87),0)-(DH31*IF(X31="X",DATOS!$C$81,AE31)+(DH31-1)*(DATOS!$C$86-IF(X31="X",DATOS!$C$81,AE31))))/2,E31*100/2))</f>
        <v/>
      </c>
      <c r="DK31" s="57" t="str">
        <f>IF(V31&lt;&gt;"SÍ","",IF(DH31&gt;0,IF(AND(C31="PERIMETRAL",J31="DISCONTINUO"),MAX(0,DATOS!$C$75-DATOS!$C$87),0)+(E31*100-DATOS!$C$87-IF(AND(C31="PERIMETRAL",I31="DISCONTINUO"),MAX(0,DATOS!$C$75-DATOS!$C$87),0)-IF(AND(C31="PERIMETRAL",J31="DISCONTINUO"),MAX(0,DATOS!$C$75-DATOS!$C$87),0)-(DH31*IF(X31="X",DATOS!$C$81,AE31)+(DH31-1)*(DATOS!$C$86-IF(X31="X",DATOS!$C$81,AE31))))/2,E31*100/2))</f>
        <v/>
      </c>
      <c r="DL31" s="57" t="str">
        <f>IF(V31&lt;&gt;"SÍ","",IF(DI31&gt;0,IF(AND(C31="PERIMETRAL",G31="DISCONTINUO"),MAX(0,DATOS!$C$75-DATOS!$C$87),0)+(F31*100-DATOS!$C$87-IF(AND(C31="PERIMETRAL",G31="DISCONTINUO"),MAX(0,DATOS!$C$75-DATOS!$C$87),0)-IF(AND(C31="PERIMETRAL",H31="DISCONTINUO"),MAX(0,DATOS!$C$75-DATOS!$C$87),0)-(DI31*IF(X31="Y",DATOS!$C$81,AE31)+(DI31-1)*(DATOS!$C$86-IF(X31="Y",DATOS!$C$81,AE31))))/2,F31*100/2))</f>
        <v/>
      </c>
      <c r="DM31" s="57" t="str">
        <f>IF(V31&lt;&gt;"SÍ","",IF(DI31&gt;0,IF(AND(C31="PERIMETRAL",H31="DISCONTINUO"),MAX(0,DATOS!$C$75-DATOS!$C$87),0)+(F31*100-DATOS!$C$87-IF(AND(C31="PERIMETRAL",G31="DISCONTINUO"),MAX(0,DATOS!$C$75-DATOS!$C$87),0)-IF(AND(C31="PERIMETRAL",H31="DISCONTINUO"),MAX(0,DATOS!$C$75-DATOS!$C$87),0)-(DI31*IF(X31="Y",DATOS!$C$81,AE31)+(DI31-1)*(DATOS!$C$86-IF(X31="Y",DATOS!$C$81,AE31))))/2,F31*100/2))</f>
        <v/>
      </c>
      <c r="DN31" s="59" t="str">
        <f>IF(V31&lt;&gt;"SÍ","",IF(NOT(AND(C31="VOLADO",AD31&gt;DATOS!$C$83)),0,IF(INDEX(TABLAS!$C$52:$C$58,MATCH(BV31,TABLAS!$B$52:$B$58,0))&lt;=DATOS!$C$83-2*DATOS!$C$63,1,0)))</f>
        <v/>
      </c>
      <c r="DO31" s="58" t="str">
        <f>IF(V31&lt;&gt;"SÍ","",IF(NOT(AND(C31="VOLADO",AD31&gt;DATOS!$C$83)),0,((DATOS!$C$85-MAX(DATOS!$C$63,(DATOS!$C$84-2*DATOS!$C$97)/2)-2*DATOS!$C$97-INDEX(TABLAS!$C$52:$C$58,MATCH(MAX(4,DATOS!$C$72),TABLAS!$B$52:$B$58,0))-INDEX(TABLAS!$C$52:$C$58,MATCH(BV31,TABLAS!$B$52:$B$58,0))/2)-IF(AND((DATOS!$C$85-MAX(DATOS!$C$63,(DATOS!$C$84-2*DATOS!$C$97)/2)-2*DATOS!$C$97-INDEX(TABLAS!$C$52:$C$58,MATCH(MAX(4,DATOS!$C$72),TABLAS!$B$52:$B$58,0))-INDEX(TABLAS!$C$52:$C$58,MATCH(BV31,TABLAS!$B$52:$B$58,0))/2)&lt;=20,DATOS!$C$65&lt;&gt;"SÍ"),2,0))))</f>
        <v/>
      </c>
      <c r="DP31" s="56" t="str">
        <f>IF(V31&lt;&gt;"SÍ","",IF(OR(NOT(AND(C31="VOLADO",AD31&gt;DATOS!$C$83)),DN31&lt;1),0,IF(0.003*(DO31-((DN31*INDEX(TABLAS!$D$52:$D$58,MATCH(BV31,TABLAS!$B$52:$B$58,0)))*DATOS!$C$14/(DATOS!$C$21*AG31)/DATOS!$C$22))/((DN31*INDEX(TABLAS!$D$52:$D$58,MATCH(BV31,TABLAS!$B$52:$B$58,0)))*DATOS!$C$14/(DATOS!$C$21*AG31)/DATOS!$C$22)&lt;0.005,0,DATOS!$C$29*(DN31*INDEX(TABLAS!$D$52:$D$58,MATCH(BV31,TABLAS!$B$52:$B$58,0)))*DATOS!$C$14*(DO31-(DN31*INDEX(TABLAS!$D$52:$D$58,MATCH(BV31,TABLAS!$B$52:$B$58,0)))*DATOS!$C$14/(DATOS!$C$21*AG31)/2)/1E5)))</f>
        <v/>
      </c>
      <c r="DQ31" s="56" t="str">
        <f>IF(V31&lt;&gt;"SÍ","",IF(OR(NOT(AND(C31="VOLADO",AD31&gt;DATOS!$C$83)),DN31&lt;1),0,DATOS!$C$30*2*MIN(1,SQRT(2/(1+0.04*DO31)))*((DN31*INDEX(TABLAS!$D$52:$D$58,MATCH(BV31,TABLAS!$B$52:$B$58,0)))/(AG31*DO31))^(1/3)*SQRT(DATOS!$C$13)*AG31*DO31/1000))</f>
        <v/>
      </c>
      <c r="DR31" s="56" t="str">
        <f>IF(V31&lt;&gt;"SÍ","",IF(NOT(AND(C31="VOLADO",AD31&gt;DATOS!$C$83)),0,IF((BH31-DP31)&lt;=0,0,IF(DP31&lt;=0,IF(ISNUMBER(P31),P31,Y31),IF(((0.9*DATOS!$C$90*DATOS!$C$86/100/1000)*IF(ISNUMBER(P31),P31,Y31)/2+BH31/IF(ISNUMBER(P31),P31,Y31))^2-4*((0.9*DATOS!$C$90*DATOS!$C$86/100/1000)/2)*(BH31-DP31)&lt;0,IF(ISNUMBER(P31),P31,Y31),MIN(IF(ISNUMBER(P31),P31,Y31),(((0.9*DATOS!$C$90*DATOS!$C$86/100/1000)*IF(ISNUMBER(P31),P31,Y31)/2+BH31/IF(ISNUMBER(P31),P31,Y31))-SQRT(((0.9*DATOS!$C$90*DATOS!$C$86/100/1000)*IF(ISNUMBER(P31),P31,Y31)/2+BH31/IF(ISNUMBER(P31),P31,Y31))^2-4*((0.9*DATOS!$C$90*DATOS!$C$86/100/1000)/2)*(BH31-DP31)))/(2*((0.9*DATOS!$C$90*DATOS!$C$86/100/1000)/2))))))))</f>
        <v/>
      </c>
      <c r="DS31" s="56" t="str">
        <f>IF(V31&lt;&gt;"SÍ","",IF(NOT(AND(C31="VOLADO",AD31&gt;DATOS!$C$83)),0,IF(DQ31&lt;=(BH31/((IF(ISNUMBER(P31),P31,Y31)*100-DATOS!$C$87)/100)),IF(ISNUMBER(P31),P31,Y31),MIN(IF(ISNUMBER(P31),P31,Y31),MAX(0,(IF(ISNUMBER(P31),P31,Y31)*100-DATOS!$C$87)/200-(DQ31-(BH31/((IF(ISNUMBER(P31),P31,Y31)*100-DATOS!$C$87)/100)))/((0.95-0.5*IF(N(Q31)&gt;0,MIN(IF(ISNUMBER(P31),P31,Y31),Q31)/MAX(IF(ISNUMBER(P31),P31,Y31),Q31),0))*DATOS!$C$33*AR31*DATOS!$C$86/100/1000))))))</f>
        <v/>
      </c>
      <c r="DT31" s="56" t="str">
        <f>IF(V31&lt;&gt;"SÍ","",IF(NOT(AND(C31="VOLADO",AD31&gt;DATOS!$C$83)),0,(BH31/((IF(ISNUMBER(P31),P31,Y31)*100-DATOS!$C$87)/100))+((0.95-0.5*IF(N(Q31)&gt;0,MIN(IF(ISNUMBER(P31),P31,Y31),Q31)/MAX(IF(ISNUMBER(P31),P31,Y31),Q31),0))*DATOS!$C$33*AR31*DATOS!$C$86/100/1000)*MAX(0,(IF(ISNUMBER(P31),P31,Y31)*100-DATOS!$C$87)/200-BX31/100)))</f>
        <v/>
      </c>
      <c r="DU31" s="59" t="str">
        <f>IF(V31&lt;&gt;"SÍ","",IF(NOT(AND(C31="VOLADO",AD31&gt;DATOS!$C$83)),0,MIN(FLOOR(100*IF(ISNUMBER(P31),P31,Y31)-DATOS!$C$63,5),CEILING(100*MIN(IF(ISNUMBER(P31),P31,Y31),MAX(IF(DR31&gt;0,DR31+IF(BW31&gt;=2,MAX(DO31,12*INDEX(TABLAS!$C$52:$C$58,MATCH(BV31,TABLAS!$B$52:$B$58,0)))/100,0),0),DS31,IF(BW31&gt;=2,INDEX(TABLAS!$F$52:$F$58,MATCH(BV31,TABLAS!$B$52:$B$58,0))/100,0))),5))))</f>
        <v/>
      </c>
      <c r="DV31" s="60" t="str">
        <f>IF(V31&lt;&gt;"SÍ","",IF(NOT(AND(C31="VOLADO",AD31&gt;DATOS!$C$83)),0,IF(DU31&lt;=0,0,CEILING(DU31/DATOS!$C$86,1))))</f>
        <v/>
      </c>
      <c r="DW31" s="61" t="str">
        <f>IF(V31&lt;&gt;"SÍ","",IF(C31&lt;&gt;"VOLADO","—",IF(AD31&lt;=DATOS!$C$83,"— (mismo b_w que el respaldo)",IF(DT31&gt;CS31,"NO CUMPLE: cortante de la nervadura ancha junto al apoyo ("&amp;TEXT(DT31,"0.00")&amp;" &gt; "&amp;TEXT(CS31,"0.00")&amp;" t)",IF(DU31&gt;=100*IF(ISNUMBER(P31),P31,Y31),"CUMPLE — todas las nervaduras del respaldo ‖ al volado con b_w = "&amp;AD31&amp;" cm","CUMPLE — "&amp;DV31&amp;" hilera(s) del respaldo con nervaduras de b_w = "&amp;AD31&amp;" cm (casetón "&amp;AE31&amp;" cm), hasta "&amp;TEXT(DU31/100,"0.00")&amp;" m del paño")))))</f>
        <v/>
      </c>
      <c r="DX31" s="69" t="str">
        <f>IF(V31&lt;&gt;"SÍ","",IF(BO31=0,"NO ALCANZA",BO31&amp;" No. "&amp;BN31&amp;IF(BO31&gt;1," corridas"," corrida")))</f>
        <v/>
      </c>
      <c r="DY31" s="69" t="str">
        <f>IF(V31&lt;&gt;"SÍ","",IF(BW31=0,"NO ALCANZA",IF(AND(C31="VOLADO",AD31&gt;DATOS!$C$83,BW31&gt;=2),"1 No. "&amp;BV31&amp;" corrida de la orilla al respaldo ("&amp;IF(DC31&gt;=FLOOR(100*IF(ISNUMBER(P31),P31,Y31)-DATOS!$C$63,5),"hasta su apoyo lejano, con gancho","entra "&amp;TEXT(DC31/100,"0.00")&amp;" m desde el paño")&amp;") + "&amp;(BW31-1)&amp;" bastón No. "&amp;BV31&amp;" hasta "&amp;TEXT(DU31/100,"0.00")&amp;" m del paño (fin de la nervadura ancha)",IF(C31="VOLADO",BW31&amp;" No. "&amp;BV31&amp;" de la orilla al respaldo ("&amp;IF(DC31&gt;=FLOOR(100*IF(ISNUMBER(P31),P31,Y31)-DATOS!$C$63,5),"hasta su apoyo lejano, con gancho","entran "&amp;TEXT(DC31/100,"0.00")&amp;" m desde el paño")&amp;")","1 No. "&amp;BV31&amp;" corrida"&amp;IF(BW31&gt;1," + "&amp;(BW31-1)&amp;" bastón No. "&amp;BV31&amp;" L = "&amp;TEXT(DC31/100,"0.00")&amp;" m desde el paño","")))))</f>
        <v/>
      </c>
      <c r="DZ31" s="69" t="str">
        <f>IF(V31&lt;&gt;"SÍ","",IF(CE31=0,"NO ALCANZA",CE31&amp;" No. "&amp;CD31&amp;IF(CE31&gt;1," corridas"," corrida")))</f>
        <v/>
      </c>
      <c r="EA31" s="69" t="str">
        <f>IF(V31&lt;&gt;"SÍ","",IF(CM31=0,"NO ALCANZA",IF(C31="VOLADO","1 No. "&amp;CL31&amp;" corrida (repartición)","1 No. "&amp;CL31&amp;" corrida"&amp;IF(CM31&gt;1," + "&amp;(CM31-1)&amp;" bastón No. "&amp;CL31&amp;" L = "&amp;TEXT(DD31/100,"0.00")&amp;" m desde el paño",""))))</f>
        <v/>
      </c>
      <c r="EB31" s="67" t="str">
        <f>IF(B31="","",IF(V31&lt;&gt;"SÍ","FALTAN DATOS: tipo, a_x, a_y, destino y, en volados, L_b",IF(L31="NO MONOLÍTICO (caso II)","FUERA DE ALCANCE: caso II no transcrito",IF(AND(C31="VOLADO",W31="?"),"REVISAR: el volado lleva UN solo borde CONTINUO (el empotrado)",IF(MIN(DH31,DI31)=0,"REVISAR: no cabe un casetón (tablero macizo): diséñalo en MACIZAS",IF(AND(MAX(BR31,BZ31,CH31,CP31)&lt;=1,NOT(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T(OR(AND(ISNUMBER(BS31),BS31&lt;0.005),AND(ISNUMBER(CA31),CA31&lt;0.005),AND(ISNUMBER(CI31),CI31&lt;0.005),AND(ISNUMBER(CQ31),CQ31&lt;0.005))),NOT(LEFT(DW31,2)="NO"),DA31="CUMPLE",DB31="CUMPLE",LEFT(CU31,2)&lt;&gt;"NO",LEFT(DATOS!$C$132,6)="CUMPLE"),IF(LEFT(CU31,6)="CUMPLE","CUMPLE","CUMPLE — "&amp;CU31)&amp;IF(LEFT(BK31,5)="FUERA"," · fuera de 3.4.2.1 c)","")&amp;IF(LEFT(DG31,2)="NO"," · REVISAR anclaje en borde discontinuo","")&amp;IF(DV31&gt;0," · respaldo: "&amp;DV31&amp;" hilera(s) de b_w "&amp;AD31&amp;" cm",""),IF(AND(MAX(BR31,BZ31,CH31,CP31)&lt;=1,NOT(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T(OR(AND(ISNUMBER(BS31),BS31&lt;0.005),AND(ISNUMBER(CA31),CA31&lt;0.005),AND(ISNUMBER(CI31),CI31&lt;0.005),AND(ISNUMBER(CQ31),CQ31&lt;0.005))),NOT(LEFT(DW31,2)="NO"),DA31="CALCULAR FLECHA",LEFT(CU31,2)&lt;&gt;"NO",LEFT(DATOS!$C$132,6)="CUMPLE"),"REVISAR: calcular flecha (h_eq &lt; h mín.)"&amp;IF(LEFT(BK31,5)="FUERA"," · fuera de 3.4.2.1 c)","")&amp;IF(LEFT(DG31,2)="NO"," · REVISAR anclaje en borde discontinuo","")&amp;IF(DV31&gt;0," · respaldo: "&amp;DV31&amp;" hilera(s) de b_w "&amp;AD31&amp;" cm",""),"NO CUMPLE: "&amp;IF(MAX(BR31,BZ31,CH31,CP31)&gt;1,"flexión ","")&amp;IF(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 caben ","")&amp;IF(OR(AND(ISNUMBER(BS31),BS31&lt;0.005),AND(ISNUMBER(CA31),CA31&lt;0.005),AND(ISNUMBER(CI31),CI31&lt;0.005),AND(ISNUMBER(CQ31),CQ31&lt;0.005)),"ε_t &lt; 0.005 ","")&amp;IF(LEFT(CU31,2)="NO","cortante ","")&amp;IF(DA31="NO CUMPLE","peralte ","")&amp;IF(DB31&lt;&gt;"CUMPLE","capa &lt; 6 cm ","")&amp;IF(LEFT(DATOS!$C$132,6)&lt;&gt;"CUMPLE","capa o malla (DATOS sección 7) ","")&amp;IF(LEFT(DW31,2)="NO","respaldo del volado",""))))))))</f>
        <v/>
      </c>
      <c r="EC31" s="70" t="str">
        <f>IF(V31&lt;&gt;"SÍ","",IF(LEFT(B31,7)="EJEMPLO","EJEMPLO de la hoja de Casa Rocha: bórralo o sobrescríbelo. ","")&amp;IF(AND(C31="PERIMETRAL",MIN(DH31,DI31)=0),"No cabe un casetón en el claro corto: es un tablero macizo, diséñalo en MACIZAS. ","")&amp;IF(AND(AJ31="NO",C31="PERIMETRAL"),"No cumple 6.7.8.1.4 (a_c = "&amp;MAX(DATOS!$C$81,AE31)&amp;" cm &gt; claro corto/6 = "&amp;TEXT(Y31*100/6,"0")&amp;" cm): se diseña como losa apoyada en vigas (6.7.8.1.9): r de viga = "&amp;DATOS!$C$63&amp;" cm y V_cR sin ×1.1. Para que cuente como encasetonada: casetón de "&amp;TEXT(FLOOR(MIN(80,Y31*100/6),1),"0")&amp;" cm o menor. ","")&amp;IF(C31="VOLADO","Volado de "&amp;TEXT(Y31,"0.00")&amp;" m empotrado en el borde "&amp;LOWER(W31)&amp;IF(N(O31)&gt;0,", con "&amp;TEXT(O31,"0.0")&amp;" kg/m en la orilla","")&amp;". Lecho inferior con r_ext. Si la orilla carga pretil u otro elemento frágil, calcula la flecha (13.4). El acero superior entra al respaldo de "&amp;TEXT(IF(ISNUMBER(P31),P31,Y31),"0.00")&amp;" m"&amp;" hasta pasar M = 0 con 0.9·PP sin carga viva; si ahí no se anula, llega al apoyo lejano y se ancla con gancho (NTC-Criterios 3.4.1 c y 5.1.2.2). "&amp;IF(AD31&gt;DATOS!$C$83,"Respaldo: "&amp;DW31&amp;". ",""),"")&amp;IF(AND(C31="VOLADO",((0.9*DATOS!$C$90*DATOS!$C$86/100/1000)*IF(ISNUMBER(P31),P31,Y31)/2-BH31/IF(ISNUMBER(P31),P31,Y31))&lt;0),"Con 0.9·PP y sin carga viva el apoyo lejano del respaldo levanta (R = "&amp;TEXT(-((0.9*DATOS!$C$90*DATOS!$C$86/100/1000)*IF(ISNUMBER(P31),P31,Y31)/2-BH31/IF(ISNUMBER(P31),P31,Y31)),"0.00")&amp;" t por nervadura): ancla ahí la corrida con gancho y revisa ese apoyo a tensión. ","")&amp;IF(LEFT(BK31,5)="FUERA","El M⁻ del vecino difiere más de 50 % (3.4.2.1 c): distribuye el desequilibrio (3.4.3.1) o confirma con un modelo; se arma con el mayor. ","")&amp;IF(OR(DE31="SÍ",DF31="SÍ"),"El M⁻ del borde discontinuo pide bastón también ahí (con gancho). ","")&amp;IF(LEFT(DG31,2)="NO","Anclaje: "&amp;DG31&amp;" (6.7.8.1.7). ","")&amp;IF(AND(C31="PERIMETRAL",AT31&gt;=1,AS31-AT31&gt;=1),"Esquinas exteriores sobre muro: refuerzo de esquina arriba y abajo en L_largo/5 (6.7.7.3.1). ",""))</f>
        <v/>
      </c>
    </row>
    <row r="32" ht="33" customHeight="1">
      <c r="A32" s="50">
        <f>IF(B32="",0,1)+A31</f>
        <v>4</v>
      </c>
      <c r="B32" s="29" t="n"/>
      <c r="C32" s="51" t="n"/>
      <c r="D32" s="29" t="n"/>
      <c r="E32" s="52" t="n"/>
      <c r="F32" s="52" t="n"/>
      <c r="G32" s="51" t="n"/>
      <c r="H32" s="51" t="n"/>
      <c r="I32" s="51" t="n"/>
      <c r="J32" s="51" t="n"/>
      <c r="K32" s="51" t="n"/>
      <c r="L32" s="51" t="n"/>
      <c r="M32" s="53" t="n"/>
      <c r="N32" s="53" t="n"/>
      <c r="O32" s="54" t="n"/>
      <c r="P32" s="52" t="n"/>
      <c r="Q32" s="52" t="n"/>
      <c r="R32" s="53" t="n"/>
      <c r="S32" s="54" t="n"/>
      <c r="T32" s="52" t="n"/>
      <c r="U32" s="52" t="n"/>
      <c r="V32" s="55" t="str">
        <f>IF(B32="","",IF(AND(OR(C32="PERIMETRAL",C32="VOLADO"),ISNUMBER(E32),ISNUMBER(F32),E32&gt;0,F32&gt;0,OR(ISNUMBER(N32),ISNUMBER(MATCH(D32,DATOS!$B$46:$B$58,0))),OR(C32&lt;&gt;"VOLADO",N(P32)&gt;0)),"SÍ","NO"))</f>
        <v/>
      </c>
      <c r="W32" s="55" t="str">
        <f>IF(V32&lt;&gt;"SÍ","",IF(C32&lt;&gt;"VOLADO","—",IF(COUNTIF(G32:J32,"CONTINUO")&lt;&gt;1,"?",IF(G32="CONTINUO","INFERIOR",IF(H32="CONTINUO","SUPERIOR",IF(I32="CONTINUO","IZQUIERDO","DERECHO"))))))</f>
        <v/>
      </c>
      <c r="X32" s="55" t="str">
        <f>IF(V32&lt;&gt;"SÍ","",IF(C32="VOLADO",IF(OR(W32="IZQUIERDO",W32="DERECHO"),"X","Y"),IF(E32&lt;=F32,"X","Y")))</f>
        <v/>
      </c>
      <c r="Y32" s="56" t="str">
        <f>IF(V32&lt;&gt;"SÍ","",IF(C32="VOLADO",IF(X32="X",E32,F32),MIN(E32,F32)))</f>
        <v/>
      </c>
      <c r="Z32" s="56" t="str">
        <f>IF(V32&lt;&gt;"SÍ","",IF(C32="VOLADO",IF(X32="X",F32,E32),MAX(E32,F32)))</f>
        <v/>
      </c>
      <c r="AA32" s="56" t="str">
        <f>IF(V32&lt;&gt;"SÍ","",MIN(Y32,Z32)/MAX(Y32,Z32))</f>
        <v/>
      </c>
      <c r="AB32" s="57" t="str">
        <f>IF(V32&lt;&gt;"SÍ","",MAX(1,Y32*100-IF(C32="VOLADO",DATOS!$C$87/2,DATOS!$C$87)))</f>
        <v/>
      </c>
      <c r="AC32" s="57" t="str">
        <f>IF(V32&lt;&gt;"SÍ","",MAX(1,Z32*100-DATOS!$C$87))</f>
        <v/>
      </c>
      <c r="AD32" s="57" t="str">
        <f>IF(V32&lt;&gt;"SÍ","",IF(ISNUMBER(R32),R32,DATOS!$C$83))</f>
        <v/>
      </c>
      <c r="AE32" s="57" t="str">
        <f>IF(V32&lt;&gt;"SÍ","",MAX(0,DATOS!$C$86-AD32))</f>
        <v/>
      </c>
      <c r="AF32" s="57" t="str">
        <f>IF(V32&lt;&gt;"SÍ","",IF(OR(DATOS!$C$65="SÍ",AD32&gt;=20),AD32,AD32-2))</f>
        <v/>
      </c>
      <c r="AG32" s="57" t="str">
        <f>IF(V32&lt;&gt;"SÍ","",IF(OR(DATOS!$C$65="SÍ",DATOS!$C$83&gt;=20),DATOS!$C$83,DATOS!$C$83-2))</f>
        <v/>
      </c>
      <c r="AH32" s="57" t="str">
        <f>IF(V32&lt;&gt;"SÍ","",MIN(DATOS!$C$86,AD32+2*MIN(8*DATOS!$C$84,AE32/2,AB32/8)))</f>
        <v/>
      </c>
      <c r="AI32" s="57" t="str">
        <f>IF(V32&lt;&gt;"SÍ","",MIN(DATOS!$C$86,DATOS!$C$83+2*MIN(8*DATOS!$C$84,DATOS!$C$81/2,AC32/8)))</f>
        <v/>
      </c>
      <c r="AJ32" s="55" t="str">
        <f>IF(V32&lt;&gt;"SÍ","",IF(AND(C32="PERIMETRAL",Y32*100&gt;=6*MAX(DATOS!$C$81,AE32),MAX(DATOS!$C$81,AE32)&lt;=80,MIN(DATOS!$C$83,AD32)&gt;=10,DATOS!$C$85&lt;=3.5*MIN(DATOS!$C$83,AD32),DATOS!$C$84&gt;=MAX(MAX(DATOS!$C$81,AE32)/13,5)),"SÍ","NO"))</f>
        <v/>
      </c>
      <c r="AK32" s="57" t="str">
        <f>IF(V32&lt;&gt;"SÍ","",IF(C32="VOLADO",DATOS!$C$64,IF(AJ32="NO",DATOS!$C$63,DATOS!$C$62)))</f>
        <v/>
      </c>
      <c r="AL32" s="57" t="str">
        <f>IF(V32&lt;&gt;"SÍ","",IF(OR(AND(AN32="SÍ",DATOS!$C$66="SÍ"),AND(C32="VOLADO",DATOS!$C$67="SÍ")),DATOS!$C$64,IF(AJ32="NO",DATOS!$C$63,DATOS!$C$62)))</f>
        <v/>
      </c>
      <c r="AM32" s="58" t="str">
        <f>IF(V32&lt;&gt;"SÍ","",MAX(AL32,(DATOS!$C$84-2*DATOS!$C$97)/2))</f>
        <v/>
      </c>
      <c r="AN32" s="55" t="str">
        <f>IF(V32&lt;&gt;"SÍ","",IFERROR(INDEX(DATOS!$D$46:$D$58,MATCH(D32,DATOS!$B$46:$B$58,0)),"NO"))</f>
        <v/>
      </c>
      <c r="AO32" s="59" t="str">
        <f>IF(V32&lt;&gt;"SÍ","",IF(ISNUMBER(N32),N32,IFERROR(INDEX(DATOS!$C$46:$C$58,MATCH(D32,DATOS!$B$46:$B$58,0)),0)))</f>
        <v/>
      </c>
      <c r="AP32" s="59" t="str">
        <f>IF(V32&lt;&gt;"SÍ","",IF(MIN(DH32,DI32)=0,DATOS!$C$85/100*DATOS!$C$16*1000,(DATOS!$C$85/100-(AE32*DATOS!$C$81/DATOS!$C$86^2)*DATOS!$C$82/100)*DATOS!$C$16*1000+(AE32*DATOS!$C$81/DATOS!$C$86^2)*DATOS!$C$82/100*DATOS!$C$17*1000)+DATOS!$C$37+DATOS!$C$38)</f>
        <v/>
      </c>
      <c r="AQ32" s="59" t="str">
        <f>IF(V32&lt;&gt;"SÍ","",AP32+N(M32))</f>
        <v/>
      </c>
      <c r="AR32" s="60" t="str">
        <f>IF(V32&lt;&gt;"SÍ","",MAX(DATOS!$C$26*AQ32+DATOS!$C$27*AO32,IF(AN32="SÍ",DATOS!$C$28*(AQ32+DATOS!$C$41),0)))</f>
        <v/>
      </c>
      <c r="AS32" s="59" t="str">
        <f>IF(V32&lt;&gt;"SÍ","",(G32="DISCONTINUO")+(H32="DISCONTINUO")+(I32="DISCONTINUO")+(J32="DISCONTINUO"))</f>
        <v/>
      </c>
      <c r="AT32" s="59" t="str">
        <f>IF(V32&lt;&gt;"SÍ","",IF(X32="X",(G32="DISCONTINUO")+(H32="DISCONTINUO"),(I32="DISCONTINUO")+(J32="DISCONTINUO")))</f>
        <v/>
      </c>
      <c r="AU32" s="55" t="str">
        <f>IF(V32&lt;&gt;"SÍ","",IF(AS32=0,"INTERIOR",IF(AS32=1,IF(AT32=1,"BORDE-CORTO","BORDE-LARGO"),IF(AS32=2,IF(AT32=1,"ESQUINA",IF(AT32=2,"EXTREMO-LARGO","EXTREMO-CORTO")),IF(AS32=3,IF(AT32=2,"EXTREMO-LARGO","EXTREMO-CORTO"),"AISLADO")))))</f>
        <v/>
      </c>
      <c r="AV32" s="61" t="str">
        <f>IF(V32&lt;&gt;"SÍ","",IF(OR(K32="",K32="AUTO"),AU32,K32))</f>
        <v/>
      </c>
      <c r="AW32" s="59" t="str">
        <f>IF(V32&lt;&gt;"SÍ","",MATCH(AA32,TABLAS!$D$5:$J$5,1))</f>
        <v/>
      </c>
      <c r="AX32" s="58" t="str">
        <f>IF(V32&lt;&gt;"SÍ","",IF(AW32&gt;=7,0,(AA32-INDEX(TABLAS!$D$5:$J$5,AW32))/(INDEX(TABLAS!$D$5:$J$5,AW32+1)-INDEX(TABLAS!$D$5:$J$5,AW32))))</f>
        <v/>
      </c>
      <c r="AY32" s="59" t="str">
        <f>IF(V32&lt;&gt;"SÍ","",INDEX(TABLAS!$D$6:$J$47,MATCH(AV32&amp;"|NIC",TABLAS!$B$6:$B$47,0),AW32)+AX32*(INDEX(TABLAS!$D$6:$J$47,MATCH(AV32&amp;"|NIC",TABLAS!$B$6:$B$47,0),MIN(AW32+1,7))-INDEX(TABLAS!$D$6:$J$47,MATCH(AV32&amp;"|NIC",TABLAS!$B$6:$B$47,0),AW32)))</f>
        <v/>
      </c>
      <c r="AZ32" s="59" t="str">
        <f>IF(V32&lt;&gt;"SÍ","",INDEX(TABLAS!$D$6:$J$47,MATCH(AV32&amp;"|NIL",TABLAS!$B$6:$B$47,0),AW32)+AX32*(INDEX(TABLAS!$D$6:$J$47,MATCH(AV32&amp;"|NIL",TABLAS!$B$6:$B$47,0),MIN(AW32+1,7))-INDEX(TABLAS!$D$6:$J$47,MATCH(AV32&amp;"|NIL",TABLAS!$B$6:$B$47,0),AW32)))</f>
        <v/>
      </c>
      <c r="BA32" s="59" t="str">
        <f>IF(V32&lt;&gt;"SÍ","",INDEX(TABLAS!$D$6:$J$47,MATCH(AV32&amp;"|NDC",TABLAS!$B$6:$B$47,0),AW32)+AX32*(INDEX(TABLAS!$D$6:$J$47,MATCH(AV32&amp;"|NDC",TABLAS!$B$6:$B$47,0),MIN(AW32+1,7))-INDEX(TABLAS!$D$6:$J$47,MATCH(AV32&amp;"|NDC",TABLAS!$B$6:$B$47,0),AW32)))</f>
        <v/>
      </c>
      <c r="BB32" s="59" t="str">
        <f>IF(V32&lt;&gt;"SÍ","",INDEX(TABLAS!$D$6:$J$47,MATCH(AV32&amp;"|NDL",TABLAS!$B$6:$B$47,0),AW32)+AX32*(INDEX(TABLAS!$D$6:$J$47,MATCH(AV32&amp;"|NDL",TABLAS!$B$6:$B$47,0),MIN(AW32+1,7))-INDEX(TABLAS!$D$6:$J$47,MATCH(AV32&amp;"|NDL",TABLAS!$B$6:$B$47,0),AW32)))</f>
        <v/>
      </c>
      <c r="BC32" s="59" t="str">
        <f>IF(V32&lt;&gt;"SÍ","",INDEX(TABLAS!$D$6:$J$47,MATCH(AV32&amp;"|PC",TABLAS!$B$6:$B$47,0),AW32)+AX32*(INDEX(TABLAS!$D$6:$J$47,MATCH(AV32&amp;"|PC",TABLAS!$B$6:$B$47,0),MIN(AW32+1,7))-INDEX(TABLAS!$D$6:$J$47,MATCH(AV32&amp;"|PC",TABLAS!$B$6:$B$47,0),AW32)))</f>
        <v/>
      </c>
      <c r="BD32" s="59" t="str">
        <f>IF(V32&lt;&gt;"SÍ","",INDEX(TABLAS!$D$6:$J$47,MATCH(AV32&amp;"|PL",TABLAS!$B$6:$B$47,0),AW32)+AX32*(INDEX(TABLAS!$D$6:$J$47,MATCH(AV32&amp;"|PL",TABLAS!$B$6:$B$47,0),MIN(AW32+1,7))-INDEX(TABLAS!$D$6:$J$47,MATCH(AV32&amp;"|PL",TABLAS!$B$6:$B$47,0),AW32)))</f>
        <v/>
      </c>
      <c r="BE32" s="56" t="str">
        <f>IF(V32&lt;&gt;"SÍ","",IF(OR(C32&lt;&gt;"VOLADO",MIN(DH32,DI32)=0),0,DATOS!$C$26*DATOS!$C$16*DATOS!$C$86/100*(((AE32*DATOS!$C$81/DATOS!$C$86^2)*DATOS!$C$82/100)*(IF(X32="X",DJ32,DL32)+DATOS!$C$87/2)/100*(AB32-(IF(X32="X",DJ32,DL32)+DATOS!$C$87/2)/2)/100+((AE32*DATOS!$C$81/DATOS!$C$86^2)*DATOS!$C$82/100)*IF(X32="X",DJ32,DL32)/100*IF(X32="X",DJ32,DL32)/200)))</f>
        <v/>
      </c>
      <c r="BF32" s="56" t="str">
        <f>IF(V32&lt;&gt;"SÍ","",IF(OR(C32&lt;&gt;"VOLADO",MIN(DH32,DI32)=0),0,DATOS!$C$26*DATOS!$C$16*DATOS!$C$86/100*((AE32*DATOS!$C$81/DATOS!$C$86^2)*DATOS!$C$82/100)*(IF(X32="X",DJ32,DL32)+DATOS!$C$87/2)/100))</f>
        <v/>
      </c>
      <c r="BG32" s="56" t="str">
        <f>IF(V32&lt;&gt;"SÍ","",IF(C32="PERIMETRAL",BC32*AR32*Y32^2*1E-4*DATOS!$C$86/100/1000,0))</f>
        <v/>
      </c>
      <c r="BH32" s="62" t="str">
        <f>IF(V32&lt;&gt;"SÍ","",IF(C32="PERIMETRAL",MAX(MAX(AY32,BA32)*AR32*Y32^2*1E-4*DATOS!$C$86/100/1000,N(T32)),(AR32*(AB32/100)^2/2+DATOS!$C$26*N(O32)*AB32/100)*DATOS!$C$86/100/1000+BE32))</f>
        <v/>
      </c>
      <c r="BI32" s="56" t="str">
        <f>IF(V32&lt;&gt;"SÍ","",IF(C32="PERIMETRAL",BD32*AR32*Y32^2*1E-4*DATOS!$C$86/100/1000,0))</f>
        <v/>
      </c>
      <c r="BJ32" s="56" t="str">
        <f>IF(V32&lt;&gt;"SÍ","",IF(C32="PERIMETRAL",MAX(MAX(AZ32,BB32)*AR32*Y32^2*1E-4*DATOS!$C$86/100/1000,N(U32)),0))</f>
        <v/>
      </c>
      <c r="BK32" s="63" t="str">
        <f>IF(V32&lt;&gt;"SÍ","",IF(C32&lt;&gt;"PERIMETRAL","—",IF(AND(N(T32)=0,N(U32)=0),"— (sin M⁻ del vecino)",IF(OR(AND(N(T32)&gt;0,ABS(MAX(AY32,BA32)*AR32*Y32^2*1E-4*DATOS!$C$86/100/1000-N(T32))&gt;0.5*MIN(MAX(AY32,BA32)*AR32*Y32^2*1E-4*DATOS!$C$86/100/1000,N(T32))),AND(N(U32)&gt;0,ABS(MAX(AZ32,BB32)*AR32*Y32^2*1E-4*DATOS!$C$86/100/1000-N(U32))&gt;0.5*MIN(MAX(AZ32,BB32)*AR32*Y32^2*1E-4*DATOS!$C$86/100/1000,N(U32)))),"FUERA: difieren &gt; 50 %"&amp;IF(AND(N(T32)&gt;0,ABS(MAX(AY32,BA32)*AR32*Y32^2*1E-4*DATOS!$C$86/100/1000-N(T32))&gt;0.5*MIN(MAX(AY32,BA32)*AR32*Y32^2*1E-4*DATOS!$C$86/100/1000,N(T32)))," ‖ corto","")&amp;IF(AND(N(U32)&gt;0,ABS(MAX(AZ32,BB32)*AR32*Y32^2*1E-4*DATOS!$C$86/100/1000-N(U32))&gt;0.5*MIN(MAX(AZ32,BB32)*AR32*Y32^2*1E-4*DATOS!$C$86/100/1000,N(U32)))," ‖ largo",""),"CUMPLE"))))</f>
        <v/>
      </c>
      <c r="BL32" s="58" t="str">
        <f>IF(V32&lt;&gt;"SÍ","",(DATOS!$C$85-AK32-INDEX(TABLAS!$C$52:$C$58,MATCH(MAX(4,DATOS!$C$71),TABLAS!$B$52:$B$58,0))/2))</f>
        <v/>
      </c>
      <c r="BM32" s="58" t="str">
        <f>IF(V32&lt;&gt;"SÍ","",IF(IF(BG32&lt;=0,0,IF((1-2*BG32*1E5/(DATOS!$C$29*AH32*BL32^2*DATOS!$C$21))&lt;0,-1,IF((1-SQRT((1-2*BG32*1E5/(DATOS!$C$29*AH32*BL32^2*DATOS!$C$21))))*DATOS!$C$21*AH32*BL32/DATOS!$C$14&gt;DATOS!$C$102*AH32*BL32,-1,(1-SQRT((1-2*BG32*1E5/(DATOS!$C$29*AH32*BL32^2*DATOS!$C$21))))*DATOS!$C$21*AH32*BL32/DATOS!$C$14)))&lt;0,-1,MAX(IF(BG32&lt;=0,0,IF((1-2*BG32*1E5/(DATOS!$C$29*AH32*BL32^2*DATOS!$C$21))&lt;0,-1,IF((1-SQRT((1-2*BG32*1E5/(DATOS!$C$29*AH32*BL32^2*DATOS!$C$21))))*DATOS!$C$21*AH32*BL32/DATOS!$C$14&gt;DATOS!$C$102*AH32*BL32,-1,(1-SQRT((1-2*BG32*1E5/(DATOS!$C$29*AH32*BL32^2*DATOS!$C$21))))*DATOS!$C$21*AH32*BL32/DATOS!$C$14))),MIN(DATOS!$C$103*AD32*BL32,4/3*IF(BG32&lt;=0,0,IF((1-2*BG32*1E5/(DATOS!$C$29*AH32*BL32^2*DATOS!$C$21))&lt;0,-1,IF((1-SQRT((1-2*BG32*1E5/(DATOS!$C$29*AH32*BL32^2*DATOS!$C$21))))*DATOS!$C$21*AH32*BL32/DATOS!$C$14&gt;DATOS!$C$102*AH32*BL32,-1,(1-SQRT((1-2*BG32*1E5/(DATOS!$C$29*AH32*BL32^2*DATOS!$C$21))))*DATOS!$C$21*AH32*BL32/DATOS!$C$14)))))))</f>
        <v/>
      </c>
      <c r="BN32" s="64" t="str">
        <f>IF(V32&lt;&gt;"SÍ","",IF(AND(BM32&gt;=0,IF(MAX(DATOS!$C$74,CEILING(BM32/INDEX(TABLAS!$D$52:$D$58,MIN(MATCH(MAX(4,DATOS!$C$71),TABLAS!$B$52:$B$58,0)+0,7)),1))*INDEX(TABLAS!$D$52:$D$58,MIN(MATCH(MAX(4,DATOS!$C$71),TABLAS!$B$52:$B$58,0)+0,7)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+0,7)),1)),MAX(MAX(DATOS!$C$74,CEILING(BM32/INDEX(TABLAS!$D$52:$D$58,MIN(MATCH(MAX(4,DATOS!$C$71),TABLAS!$B$52:$B$58,0)+0,7)),1)),2))&lt;=MIN(DATOS!$C$73,INT(((AD32-2*AK32)+MAX(DATOS!$C$70,INDEX(TABLAS!$C$52:$C$58,MIN(MATCH(MAX(4,DATOS!$C$71),TABLAS!$B$52:$B$58,0)+0,7))))/(INDEX(TABLAS!$C$52:$C$58,MIN(MATCH(MAX(4,DATOS!$C$71),TABLAS!$B$52:$B$58,0)+0,7))+MAX(DATOS!$C$70,INDEX(TABLAS!$C$52:$C$58,MIN(MATCH(MAX(4,DATOS!$C$71),TABLAS!$B$52:$B$58,0)+0,7))))))),INDEX(TABLAS!$B$52:$B$58,MIN(MATCH(MAX(4,DATOS!$C$71),TABLAS!$B$52:$B$58,0)+0,7)),IF(AND(BM32&gt;=0,IF(MAX(DATOS!$C$74,CEILING(BM32/INDEX(TABLAS!$D$52:$D$58,MIN(MATCH(MAX(4,DATOS!$C$71),TABLAS!$B$52:$B$58,0)+1,7)),1))*INDEX(TABLAS!$D$52:$D$58,MIN(MATCH(MAX(4,DATOS!$C$71),TABLAS!$B$52:$B$58,0)+1,7)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+1,7)),1)),MAX(MAX(DATOS!$C$74,CEILING(BM32/INDEX(TABLAS!$D$52:$D$58,MIN(MATCH(MAX(4,DATOS!$C$71),TABLAS!$B$52:$B$58,0)+1,7)),1)),2))&lt;=MIN(DATOS!$C$73,INT(((AD32-2*AK32)+MAX(DATOS!$C$70,INDEX(TABLAS!$C$52:$C$58,MIN(MATCH(MAX(4,DATOS!$C$71),TABLAS!$B$52:$B$58,0)+1,7))))/(INDEX(TABLAS!$C$52:$C$58,MIN(MATCH(MAX(4,DATOS!$C$71),TABLAS!$B$52:$B$58,0)+1,7))+MAX(DATOS!$C$70,INDEX(TABLAS!$C$52:$C$58,MIN(MATCH(MAX(4,DATOS!$C$71),TABLAS!$B$52:$B$58,0)+1,7))))))),INDEX(TABLAS!$B$52:$B$58,MIN(MATCH(MAX(4,DATOS!$C$71),TABLAS!$B$52:$B$58,0)+1,7)),IF(AND(BM32&gt;=0,IF(MAX(DATOS!$C$74,CEILING(BM32/INDEX(TABLAS!$D$52:$D$58,MIN(MATCH(MAX(4,DATOS!$C$71),TABLAS!$B$52:$B$58,0)+2,7)),1))*INDEX(TABLAS!$D$52:$D$58,MIN(MATCH(MAX(4,DATOS!$C$71),TABLAS!$B$52:$B$58,0)+2,7)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+2,7)),1)),MAX(MAX(DATOS!$C$74,CEILING(BM32/INDEX(TABLAS!$D$52:$D$58,MIN(MATCH(MAX(4,DATOS!$C$71),TABLAS!$B$52:$B$58,0)+2,7)),1)),2))&lt;=MIN(DATOS!$C$73,INT(((AD32-2*AK32)+MAX(DATOS!$C$70,INDEX(TABLAS!$C$52:$C$58,MIN(MATCH(MAX(4,DATOS!$C$71),TABLAS!$B$52:$B$58,0)+2,7))))/(INDEX(TABLAS!$C$52:$C$58,MIN(MATCH(MAX(4,DATOS!$C$71),TABLAS!$B$52:$B$58,0)+2,7))+MAX(DATOS!$C$70,INDEX(TABLAS!$C$52:$C$58,MIN(MATCH(MAX(4,DATOS!$C$71),TABLAS!$B$52:$B$58,0)+2,7))))))),INDEX(TABLAS!$B$52:$B$58,MIN(MATCH(MAX(4,DATOS!$C$71),TABLAS!$B$52:$B$58,0)+2,7)),IF(AND(BM32&gt;=0,IF(MAX(DATOS!$C$74,CEILING(BM32/INDEX(TABLAS!$D$52:$D$58,MIN(MATCH(MAX(4,DATOS!$C$71),TABLAS!$B$52:$B$58,0)+3,7)),1))*INDEX(TABLAS!$D$52:$D$58,MIN(MATCH(MAX(4,DATOS!$C$71),TABLAS!$B$52:$B$58,0)+3,7)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+3,7)),1)),MAX(MAX(DATOS!$C$74,CEILING(BM32/INDEX(TABLAS!$D$52:$D$58,MIN(MATCH(MAX(4,DATOS!$C$71),TABLAS!$B$52:$B$58,0)+3,7)),1)),2))&lt;=MIN(DATOS!$C$73,INT(((AD32-2*AK32)+MAX(DATOS!$C$70,INDEX(TABLAS!$C$52:$C$58,MIN(MATCH(MAX(4,DATOS!$C$71),TABLAS!$B$52:$B$58,0)+3,7))))/(INDEX(TABLAS!$C$52:$C$58,MIN(MATCH(MAX(4,DATOS!$C$71),TABLAS!$B$52:$B$58,0)+3,7))+MAX(DATOS!$C$70,INDEX(TABLAS!$C$52:$C$58,MIN(MATCH(MAX(4,DATOS!$C$71),TABLAS!$B$52:$B$58,0)+3,7))))))),INDEX(TABLAS!$B$52:$B$58,MIN(MATCH(MAX(4,DATOS!$C$71),TABLAS!$B$52:$B$58,0)+3,7)),IF(AND(BM32&gt;=0,IF(MAX(DATOS!$C$74,CEILING(BM32/INDEX(TABLAS!$D$52:$D$58,MIN(MATCH(MAX(4,DATOS!$C$71),TABLAS!$B$52:$B$58,0)+4,7)),1))*INDEX(TABLAS!$D$52:$D$58,MIN(MATCH(MAX(4,DATOS!$C$71),TABLAS!$B$52:$B$58,0)+4,7)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+4,7)),1)),MAX(MAX(DATOS!$C$74,CEILING(BM32/INDEX(TABLAS!$D$52:$D$58,MIN(MATCH(MAX(4,DATOS!$C$71),TABLAS!$B$52:$B$58,0)+4,7)),1)),2))&lt;=MIN(DATOS!$C$73,INT(((AD32-2*AK32)+MAX(DATOS!$C$70,INDEX(TABLAS!$C$52:$C$58,MIN(MATCH(MAX(4,DATOS!$C$71),TABLAS!$B$52:$B$58,0)+4,7))))/(INDEX(TABLAS!$C$52:$C$58,MIN(MATCH(MAX(4,DATOS!$C$71),TABLAS!$B$52:$B$58,0)+4,7))+MAX(DATOS!$C$70,INDEX(TABLAS!$C$52:$C$58,MIN(MATCH(MAX(4,DATOS!$C$71),TABLAS!$B$52:$B$58,0)+4,7))))))),INDEX(TABLAS!$B$52:$B$58,MIN(MATCH(MAX(4,DATOS!$C$71),TABLAS!$B$52:$B$58,0)+4,7)),INDEX(TABLAS!$B$52:$B$58,7)))))))</f>
        <v/>
      </c>
      <c r="BO32" s="59" t="str">
        <f>IF(V32&lt;&gt;"SÍ","",IF(BM32&lt;0,0,IF(MAX(DATOS!$C$74,CEILING(MAX(BM32,0)/INDEX(TABLAS!$D$52:$D$58,MATCH(BN32,TABLAS!$B$52:$B$58,0)),1))*INDEX(TABLAS!$D$52:$D$58,MATCH(BN32,TABLAS!$B$52:$B$58,0))&gt;=4/3*IF(BG32&lt;=0,0,IF((1-2*BG32*1E5/(DATOS!$C$29*AH32*BL32^2*DATOS!$C$21))&lt;0,-1,IF((1-SQRT((1-2*BG32*1E5/(DATOS!$C$29*AH32*BL32^2*DATOS!$C$21))))*DATOS!$C$21*AH32*BL32/DATOS!$C$14&gt;DATOS!$C$102*AH32*BL32,-1,(1-SQRT((1-2*BG32*1E5/(DATOS!$C$29*AH32*BL32^2*DATOS!$C$21))))*DATOS!$C$21*AH32*BL32/DATOS!$C$14)))-0.0001,MAX(DATOS!$C$74,CEILING(MAX(BM32,0)/INDEX(TABLAS!$D$52:$D$58,MATCH(BN32,TABLAS!$B$52:$B$58,0)),1)),MAX(MAX(DATOS!$C$74,CEILING(MAX(BM32,0)/INDEX(TABLAS!$D$52:$D$58,MATCH(BN32,TABLAS!$B$52:$B$58,0)),1)),2))))</f>
        <v/>
      </c>
      <c r="BP32" s="58" t="str">
        <f>IF(V32&lt;&gt;"SÍ","",DATOS!$C$85-AK32-INDEX(TABLAS!$C$52:$C$58,MATCH(BN32,TABLAS!$B$52:$B$58,0))/2)</f>
        <v/>
      </c>
      <c r="BQ32" s="56" t="str">
        <f>IF(V32&lt;&gt;"SÍ","",IF(BO32=0,0,DATOS!$C$29*BO32*INDEX(TABLAS!$D$52:$D$58,MATCH(BN32,TABLAS!$B$52:$B$58,0))*DATOS!$C$14*(BP32-BO32*INDEX(TABLAS!$D$52:$D$58,MATCH(BN32,TABLAS!$B$52:$B$58,0))*DATOS!$C$14/(DATOS!$C$21*AH32)/2)/1E5))</f>
        <v/>
      </c>
      <c r="BR32" s="65" t="str">
        <f>IF(V32&lt;&gt;"SÍ","",IF(BM32&lt;0,9.99,IF(BQ32&gt;0,BG32/BQ32,0)))</f>
        <v/>
      </c>
      <c r="BS32" s="66" t="str">
        <f>IF(V32&lt;&gt;"SÍ","",IF(BO32=0,"—",0.003*(BP32-(BO32*INDEX(TABLAS!$D$52:$D$58,MATCH(BN32,TABLAS!$B$52:$B$58,0))*DATOS!$C$14/(DATOS!$C$21*AH32)/DATOS!$C$22))/(BO32*INDEX(TABLAS!$D$52:$D$58,MATCH(BN32,TABLAS!$B$52:$B$58,0))*DATOS!$C$14/(DATOS!$C$21*AH32)/DATOS!$C$22)))</f>
        <v/>
      </c>
      <c r="BT32" s="58" t="str">
        <f>IF(V32&lt;&gt;"SÍ","",((DATOS!$C$85-AM32-2*DATOS!$C$97-INDEX(TABLAS!$C$52:$C$58,MATCH(MAX(4,DATOS!$C$72),TABLAS!$B$52:$B$58,0))/2)-IF(AND((DATOS!$C$85-AM32-2*DATOS!$C$97-INDEX(TABLAS!$C$52:$C$58,MATCH(MAX(4,DATOS!$C$72),TABLAS!$B$52:$B$58,0))/2)&lt;=20,DATOS!$C$65&lt;&gt;"SÍ"),2,0)))</f>
        <v/>
      </c>
      <c r="BU32" s="58" t="str">
        <f>IF(V32&lt;&gt;"SÍ","",IF(IF(BH32&lt;=0,0,IF((1-2*BH32*1E5/(DATOS!$C$29*AF32*BT32^2*DATOS!$C$21))&lt;0,-1,IF((1-SQRT((1-2*BH32*1E5/(DATOS!$C$29*AF32*BT32^2*DATOS!$C$21))))*DATOS!$C$21*AF32*BT32/DATOS!$C$14&gt;DATOS!$C$102*AF32*BT32,-1,(1-SQRT((1-2*BH32*1E5/(DATOS!$C$29*AF32*BT32^2*DATOS!$C$21))))*DATOS!$C$21*AF32*BT32/DATOS!$C$14)))&lt;0,-1,MAX(IF(BH32&lt;=0,0,IF((1-2*BH32*1E5/(DATOS!$C$29*AF32*BT32^2*DATOS!$C$21))&lt;0,-1,IF((1-SQRT((1-2*BH32*1E5/(DATOS!$C$29*AF32*BT32^2*DATOS!$C$21))))*DATOS!$C$21*AF32*BT32/DATOS!$C$14&gt;DATOS!$C$102*AF32*BT32,-1,(1-SQRT((1-2*BH32*1E5/(DATOS!$C$29*AF32*BT32^2*DATOS!$C$21))))*DATOS!$C$21*AF32*BT32/DATOS!$C$14))),MIN(DATOS!$C$103*IF(C32="VOLADO",MIN(AH32,2*AD32),AD32)*BT32,4/3*IF(BH32&lt;=0,0,IF((1-2*BH32*1E5/(DATOS!$C$29*AF32*BT32^2*DATOS!$C$21))&lt;0,-1,IF((1-SQRT((1-2*BH32*1E5/(DATOS!$C$29*AF32*BT32^2*DATOS!$C$21))))*DATOS!$C$21*AF32*BT32/DATOS!$C$14&gt;DATOS!$C$102*AF32*BT32,-1,(1-SQRT((1-2*BH32*1E5/(DATOS!$C$29*AF32*BT32^2*DATOS!$C$21))))*DATOS!$C$21*AF32*BT32/DATOS!$C$14)))))))</f>
        <v/>
      </c>
      <c r="BV32" s="64" t="str">
        <f>IF(V32&lt;&gt;"SÍ","",IF(AND(BU32&gt;=0,IF(MAX(DATOS!$C$74,CEILING(BU32/INDEX(TABLAS!$D$52:$D$58,MIN(MATCH(MAX(4,DATOS!$C$72),TABLAS!$B$52:$B$58,0)+0,7)),1))*INDEX(TABLAS!$D$52:$D$58,MIN(MATCH(MAX(4,DATOS!$C$72),TABLAS!$B$52:$B$58,0)+0,7)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+0,7)),1)),MAX(MAX(DATOS!$C$74,CEILING(BU32/INDEX(TABLAS!$D$52:$D$58,MIN(MATCH(MAX(4,DATOS!$C$72),TABLAS!$B$52:$B$58,0)+0,7)),1)),2))&lt;=MIN(DATOS!$C$73,INT(((AD32-2*AL32)+MAX(DATOS!$C$70,INDEX(TABLAS!$C$52:$C$58,MIN(MATCH(MAX(4,DATOS!$C$72),TABLAS!$B$52:$B$58,0)+0,7))))/(INDEX(TABLAS!$C$52:$C$58,MIN(MATCH(MAX(4,DATOS!$C$72),TABLAS!$B$52:$B$58,0)+0,7))+MAX(DATOS!$C$70,INDEX(TABLAS!$C$52:$C$58,MIN(MATCH(MAX(4,DATOS!$C$72),TABLAS!$B$52:$B$58,0)+0,7))))))),INDEX(TABLAS!$B$52:$B$58,MIN(MATCH(MAX(4,DATOS!$C$72),TABLAS!$B$52:$B$58,0)+0,7)),IF(AND(BU32&gt;=0,IF(MAX(DATOS!$C$74,CEILING(BU32/INDEX(TABLAS!$D$52:$D$58,MIN(MATCH(MAX(4,DATOS!$C$72),TABLAS!$B$52:$B$58,0)+1,7)),1))*INDEX(TABLAS!$D$52:$D$58,MIN(MATCH(MAX(4,DATOS!$C$72),TABLAS!$B$52:$B$58,0)+1,7)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+1,7)),1)),MAX(MAX(DATOS!$C$74,CEILING(BU32/INDEX(TABLAS!$D$52:$D$58,MIN(MATCH(MAX(4,DATOS!$C$72),TABLAS!$B$52:$B$58,0)+1,7)),1)),2))&lt;=MIN(DATOS!$C$73,INT(((AD32-2*AL32)+MAX(DATOS!$C$70,INDEX(TABLAS!$C$52:$C$58,MIN(MATCH(MAX(4,DATOS!$C$72),TABLAS!$B$52:$B$58,0)+1,7))))/(INDEX(TABLAS!$C$52:$C$58,MIN(MATCH(MAX(4,DATOS!$C$72),TABLAS!$B$52:$B$58,0)+1,7))+MAX(DATOS!$C$70,INDEX(TABLAS!$C$52:$C$58,MIN(MATCH(MAX(4,DATOS!$C$72),TABLAS!$B$52:$B$58,0)+1,7))))))),INDEX(TABLAS!$B$52:$B$58,MIN(MATCH(MAX(4,DATOS!$C$72),TABLAS!$B$52:$B$58,0)+1,7)),IF(AND(BU32&gt;=0,IF(MAX(DATOS!$C$74,CEILING(BU32/INDEX(TABLAS!$D$52:$D$58,MIN(MATCH(MAX(4,DATOS!$C$72),TABLAS!$B$52:$B$58,0)+2,7)),1))*INDEX(TABLAS!$D$52:$D$58,MIN(MATCH(MAX(4,DATOS!$C$72),TABLAS!$B$52:$B$58,0)+2,7)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+2,7)),1)),MAX(MAX(DATOS!$C$74,CEILING(BU32/INDEX(TABLAS!$D$52:$D$58,MIN(MATCH(MAX(4,DATOS!$C$72),TABLAS!$B$52:$B$58,0)+2,7)),1)),2))&lt;=MIN(DATOS!$C$73,INT(((AD32-2*AL32)+MAX(DATOS!$C$70,INDEX(TABLAS!$C$52:$C$58,MIN(MATCH(MAX(4,DATOS!$C$72),TABLAS!$B$52:$B$58,0)+2,7))))/(INDEX(TABLAS!$C$52:$C$58,MIN(MATCH(MAX(4,DATOS!$C$72),TABLAS!$B$52:$B$58,0)+2,7))+MAX(DATOS!$C$70,INDEX(TABLAS!$C$52:$C$58,MIN(MATCH(MAX(4,DATOS!$C$72),TABLAS!$B$52:$B$58,0)+2,7))))))),INDEX(TABLAS!$B$52:$B$58,MIN(MATCH(MAX(4,DATOS!$C$72),TABLAS!$B$52:$B$58,0)+2,7)),IF(AND(BU32&gt;=0,IF(MAX(DATOS!$C$74,CEILING(BU32/INDEX(TABLAS!$D$52:$D$58,MIN(MATCH(MAX(4,DATOS!$C$72),TABLAS!$B$52:$B$58,0)+3,7)),1))*INDEX(TABLAS!$D$52:$D$58,MIN(MATCH(MAX(4,DATOS!$C$72),TABLAS!$B$52:$B$58,0)+3,7)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+3,7)),1)),MAX(MAX(DATOS!$C$74,CEILING(BU32/INDEX(TABLAS!$D$52:$D$58,MIN(MATCH(MAX(4,DATOS!$C$72),TABLAS!$B$52:$B$58,0)+3,7)),1)),2))&lt;=MIN(DATOS!$C$73,INT(((AD32-2*AL32)+MAX(DATOS!$C$70,INDEX(TABLAS!$C$52:$C$58,MIN(MATCH(MAX(4,DATOS!$C$72),TABLAS!$B$52:$B$58,0)+3,7))))/(INDEX(TABLAS!$C$52:$C$58,MIN(MATCH(MAX(4,DATOS!$C$72),TABLAS!$B$52:$B$58,0)+3,7))+MAX(DATOS!$C$70,INDEX(TABLAS!$C$52:$C$58,MIN(MATCH(MAX(4,DATOS!$C$72),TABLAS!$B$52:$B$58,0)+3,7))))))),INDEX(TABLAS!$B$52:$B$58,MIN(MATCH(MAX(4,DATOS!$C$72),TABLAS!$B$52:$B$58,0)+3,7)),IF(AND(BU32&gt;=0,IF(MAX(DATOS!$C$74,CEILING(BU32/INDEX(TABLAS!$D$52:$D$58,MIN(MATCH(MAX(4,DATOS!$C$72),TABLAS!$B$52:$B$58,0)+4,7)),1))*INDEX(TABLAS!$D$52:$D$58,MIN(MATCH(MAX(4,DATOS!$C$72),TABLAS!$B$52:$B$58,0)+4,7)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+4,7)),1)),MAX(MAX(DATOS!$C$74,CEILING(BU32/INDEX(TABLAS!$D$52:$D$58,MIN(MATCH(MAX(4,DATOS!$C$72),TABLAS!$B$52:$B$58,0)+4,7)),1)),2))&lt;=MIN(DATOS!$C$73,INT(((AD32-2*AL32)+MAX(DATOS!$C$70,INDEX(TABLAS!$C$52:$C$58,MIN(MATCH(MAX(4,DATOS!$C$72),TABLAS!$B$52:$B$58,0)+4,7))))/(INDEX(TABLAS!$C$52:$C$58,MIN(MATCH(MAX(4,DATOS!$C$72),TABLAS!$B$52:$B$58,0)+4,7))+MAX(DATOS!$C$70,INDEX(TABLAS!$C$52:$C$58,MIN(MATCH(MAX(4,DATOS!$C$72),TABLAS!$B$52:$B$58,0)+4,7))))))),INDEX(TABLAS!$B$52:$B$58,MIN(MATCH(MAX(4,DATOS!$C$72),TABLAS!$B$52:$B$58,0)+4,7)),INDEX(TABLAS!$B$52:$B$58,7)))))))</f>
        <v/>
      </c>
      <c r="BW32" s="59" t="str">
        <f>IF(V32&lt;&gt;"SÍ","",IF(BU32&lt;0,0,IF(MAX(DATOS!$C$74,CEILING(MAX(BU32,0)/INDEX(TABLAS!$D$52:$D$58,MATCH(BV32,TABLAS!$B$52:$B$58,0)),1))*INDEX(TABLAS!$D$52:$D$58,MATCH(BV32,TABLAS!$B$52:$B$58,0))&gt;=4/3*IF(BH32&lt;=0,0,IF((1-2*BH32*1E5/(DATOS!$C$29*AF32*BT32^2*DATOS!$C$21))&lt;0,-1,IF((1-SQRT((1-2*BH32*1E5/(DATOS!$C$29*AF32*BT32^2*DATOS!$C$21))))*DATOS!$C$21*AF32*BT32/DATOS!$C$14&gt;DATOS!$C$102*AF32*BT32,-1,(1-SQRT((1-2*BH32*1E5/(DATOS!$C$29*AF32*BT32^2*DATOS!$C$21))))*DATOS!$C$21*AF32*BT32/DATOS!$C$14)))-0.0001,MAX(DATOS!$C$74,CEILING(MAX(BU32,0)/INDEX(TABLAS!$D$52:$D$58,MATCH(BV32,TABLAS!$B$52:$B$58,0)),1)),MAX(MAX(DATOS!$C$74,CEILING(MAX(BU32,0)/INDEX(TABLAS!$D$52:$D$58,MATCH(BV32,TABLAS!$B$52:$B$58,0)),1)),2))))</f>
        <v/>
      </c>
      <c r="BX32" s="58" t="str">
        <f>IF(V32&lt;&gt;"SÍ","",((DATOS!$C$85-AM32-2*DATOS!$C$97-INDEX(TABLAS!$C$52:$C$58,MATCH(BV32,TABLAS!$B$52:$B$58,0))/2)-IF(AND((DATOS!$C$85-AM32-2*DATOS!$C$97-INDEX(TABLAS!$C$52:$C$58,MATCH(BV32,TABLAS!$B$52:$B$58,0))/2)&lt;=20,DATOS!$C$65&lt;&gt;"SÍ"),2,0)))</f>
        <v/>
      </c>
      <c r="BY32" s="56" t="str">
        <f>IF(V32&lt;&gt;"SÍ","",IF(BW32=0,0,DATOS!$C$29*BW32*INDEX(TABLAS!$D$52:$D$58,MATCH(BV32,TABLAS!$B$52:$B$58,0))*DATOS!$C$14*(BX32-BW32*INDEX(TABLAS!$D$52:$D$58,MATCH(BV32,TABLAS!$B$52:$B$58,0))*DATOS!$C$14/(DATOS!$C$21*AF32)/2)/1E5))</f>
        <v/>
      </c>
      <c r="BZ32" s="65" t="str">
        <f>IF(V32&lt;&gt;"SÍ","",IF(BU32&lt;0,9.99,IF(BY32&gt;0,BH32/BY32,0)))</f>
        <v/>
      </c>
      <c r="CA32" s="66" t="str">
        <f>IF(V32&lt;&gt;"SÍ","",IF(BW32=0,"—",0.003*(BX32-(BW32*INDEX(TABLAS!$D$52:$D$58,MATCH(BV32,TABLAS!$B$52:$B$58,0))*DATOS!$C$14/(DATOS!$C$21*AF32)/DATOS!$C$22))/(BW32*INDEX(TABLAS!$D$52:$D$58,MATCH(BV32,TABLAS!$B$52:$B$58,0))*DATOS!$C$14/(DATOS!$C$21*AF32)/DATOS!$C$22)))</f>
        <v/>
      </c>
      <c r="CB32" s="58" t="str">
        <f>IF(V32&lt;&gt;"SÍ","",(DATOS!$C$85-AK32-INDEX(TABLAS!$C$52:$C$58,MATCH(MAX(4,DATOS!$C$71),TABLAS!$B$52:$B$58,0))-INDEX(TABLAS!$C$52:$C$58,MATCH(MAX(4,DATOS!$C$71),TABLAS!$B$52:$B$58,0))/2))</f>
        <v/>
      </c>
      <c r="CC32" s="58" t="str">
        <f>IF(V32&lt;&gt;"SÍ","",IF(IF(BI32&lt;=0,0,IF((1-2*BI32*1E5/(DATOS!$C$29*AI32*CB32^2*DATOS!$C$21))&lt;0,-1,IF((1-SQRT((1-2*BI32*1E5/(DATOS!$C$29*AI32*CB32^2*DATOS!$C$21))))*DATOS!$C$21*AI32*CB32/DATOS!$C$14&gt;DATOS!$C$102*AI32*CB32,-1,(1-SQRT((1-2*BI32*1E5/(DATOS!$C$29*AI32*CB32^2*DATOS!$C$21))))*DATOS!$C$21*AI32*CB32/DATOS!$C$14)))&lt;0,-1,MAX(IF(BI32&lt;=0,0,IF((1-2*BI32*1E5/(DATOS!$C$29*AI32*CB32^2*DATOS!$C$21))&lt;0,-1,IF((1-SQRT((1-2*BI32*1E5/(DATOS!$C$29*AI32*CB32^2*DATOS!$C$21))))*DATOS!$C$21*AI32*CB32/DATOS!$C$14&gt;DATOS!$C$102*AI32*CB32,-1,(1-SQRT((1-2*BI32*1E5/(DATOS!$C$29*AI32*CB32^2*DATOS!$C$21))))*DATOS!$C$21*AI32*CB32/DATOS!$C$14))),MIN(DATOS!$C$103*DATOS!$C$83*CB32,4/3*IF(BI32&lt;=0,0,IF((1-2*BI32*1E5/(DATOS!$C$29*AI32*CB32^2*DATOS!$C$21))&lt;0,-1,IF((1-SQRT((1-2*BI32*1E5/(DATOS!$C$29*AI32*CB32^2*DATOS!$C$21))))*DATOS!$C$21*AI32*CB32/DATOS!$C$14&gt;DATOS!$C$102*AI32*CB32,-1,(1-SQRT((1-2*BI32*1E5/(DATOS!$C$29*AI32*CB32^2*DATOS!$C$21))))*DATOS!$C$21*AI32*CB32/DATOS!$C$14)))))))</f>
        <v/>
      </c>
      <c r="CD32" s="64" t="str">
        <f>IF(V32&lt;&gt;"SÍ","",IF(AND(CC32&gt;=0,IF(MAX(DATOS!$C$74,CEILING(CC32/INDEX(TABLAS!$D$52:$D$58,MIN(MATCH(MAX(4,DATOS!$C$71),TABLAS!$B$52:$B$58,0)+0,7)),1))*INDEX(TABLAS!$D$52:$D$58,MIN(MATCH(MAX(4,DATOS!$C$71),TABLAS!$B$52:$B$58,0)+0,7)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+0,7)),1)),MAX(MAX(DATOS!$C$74,CEILING(CC32/INDEX(TABLAS!$D$52:$D$58,MIN(MATCH(MAX(4,DATOS!$C$71),TABLAS!$B$52:$B$58,0)+0,7)),1)),2))&lt;=MIN(DATOS!$C$73,INT(((DATOS!$C$83-2*AK32)+MAX(DATOS!$C$70,INDEX(TABLAS!$C$52:$C$58,MIN(MATCH(MAX(4,DATOS!$C$71),TABLAS!$B$52:$B$58,0)+0,7))))/(INDEX(TABLAS!$C$52:$C$58,MIN(MATCH(MAX(4,DATOS!$C$71),TABLAS!$B$52:$B$58,0)+0,7))+MAX(DATOS!$C$70,INDEX(TABLAS!$C$52:$C$58,MIN(MATCH(MAX(4,DATOS!$C$71),TABLAS!$B$52:$B$58,0)+0,7))))))),INDEX(TABLAS!$B$52:$B$58,MIN(MATCH(MAX(4,DATOS!$C$71),TABLAS!$B$52:$B$58,0)+0,7)),IF(AND(CC32&gt;=0,IF(MAX(DATOS!$C$74,CEILING(CC32/INDEX(TABLAS!$D$52:$D$58,MIN(MATCH(MAX(4,DATOS!$C$71),TABLAS!$B$52:$B$58,0)+1,7)),1))*INDEX(TABLAS!$D$52:$D$58,MIN(MATCH(MAX(4,DATOS!$C$71),TABLAS!$B$52:$B$58,0)+1,7)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+1,7)),1)),MAX(MAX(DATOS!$C$74,CEILING(CC32/INDEX(TABLAS!$D$52:$D$58,MIN(MATCH(MAX(4,DATOS!$C$71),TABLAS!$B$52:$B$58,0)+1,7)),1)),2))&lt;=MIN(DATOS!$C$73,INT(((DATOS!$C$83-2*AK32)+MAX(DATOS!$C$70,INDEX(TABLAS!$C$52:$C$58,MIN(MATCH(MAX(4,DATOS!$C$71),TABLAS!$B$52:$B$58,0)+1,7))))/(INDEX(TABLAS!$C$52:$C$58,MIN(MATCH(MAX(4,DATOS!$C$71),TABLAS!$B$52:$B$58,0)+1,7))+MAX(DATOS!$C$70,INDEX(TABLAS!$C$52:$C$58,MIN(MATCH(MAX(4,DATOS!$C$71),TABLAS!$B$52:$B$58,0)+1,7))))))),INDEX(TABLAS!$B$52:$B$58,MIN(MATCH(MAX(4,DATOS!$C$71),TABLAS!$B$52:$B$58,0)+1,7)),IF(AND(CC32&gt;=0,IF(MAX(DATOS!$C$74,CEILING(CC32/INDEX(TABLAS!$D$52:$D$58,MIN(MATCH(MAX(4,DATOS!$C$71),TABLAS!$B$52:$B$58,0)+2,7)),1))*INDEX(TABLAS!$D$52:$D$58,MIN(MATCH(MAX(4,DATOS!$C$71),TABLAS!$B$52:$B$58,0)+2,7)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+2,7)),1)),MAX(MAX(DATOS!$C$74,CEILING(CC32/INDEX(TABLAS!$D$52:$D$58,MIN(MATCH(MAX(4,DATOS!$C$71),TABLAS!$B$52:$B$58,0)+2,7)),1)),2))&lt;=MIN(DATOS!$C$73,INT(((DATOS!$C$83-2*AK32)+MAX(DATOS!$C$70,INDEX(TABLAS!$C$52:$C$58,MIN(MATCH(MAX(4,DATOS!$C$71),TABLAS!$B$52:$B$58,0)+2,7))))/(INDEX(TABLAS!$C$52:$C$58,MIN(MATCH(MAX(4,DATOS!$C$71),TABLAS!$B$52:$B$58,0)+2,7))+MAX(DATOS!$C$70,INDEX(TABLAS!$C$52:$C$58,MIN(MATCH(MAX(4,DATOS!$C$71),TABLAS!$B$52:$B$58,0)+2,7))))))),INDEX(TABLAS!$B$52:$B$58,MIN(MATCH(MAX(4,DATOS!$C$71),TABLAS!$B$52:$B$58,0)+2,7)),IF(AND(CC32&gt;=0,IF(MAX(DATOS!$C$74,CEILING(CC32/INDEX(TABLAS!$D$52:$D$58,MIN(MATCH(MAX(4,DATOS!$C$71),TABLAS!$B$52:$B$58,0)+3,7)),1))*INDEX(TABLAS!$D$52:$D$58,MIN(MATCH(MAX(4,DATOS!$C$71),TABLAS!$B$52:$B$58,0)+3,7)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+3,7)),1)),MAX(MAX(DATOS!$C$74,CEILING(CC32/INDEX(TABLAS!$D$52:$D$58,MIN(MATCH(MAX(4,DATOS!$C$71),TABLAS!$B$52:$B$58,0)+3,7)),1)),2))&lt;=MIN(DATOS!$C$73,INT(((DATOS!$C$83-2*AK32)+MAX(DATOS!$C$70,INDEX(TABLAS!$C$52:$C$58,MIN(MATCH(MAX(4,DATOS!$C$71),TABLAS!$B$52:$B$58,0)+3,7))))/(INDEX(TABLAS!$C$52:$C$58,MIN(MATCH(MAX(4,DATOS!$C$71),TABLAS!$B$52:$B$58,0)+3,7))+MAX(DATOS!$C$70,INDEX(TABLAS!$C$52:$C$58,MIN(MATCH(MAX(4,DATOS!$C$71),TABLAS!$B$52:$B$58,0)+3,7))))))),INDEX(TABLAS!$B$52:$B$58,MIN(MATCH(MAX(4,DATOS!$C$71),TABLAS!$B$52:$B$58,0)+3,7)),IF(AND(CC32&gt;=0,IF(MAX(DATOS!$C$74,CEILING(CC32/INDEX(TABLAS!$D$52:$D$58,MIN(MATCH(MAX(4,DATOS!$C$71),TABLAS!$B$52:$B$58,0)+4,7)),1))*INDEX(TABLAS!$D$52:$D$58,MIN(MATCH(MAX(4,DATOS!$C$71),TABLAS!$B$52:$B$58,0)+4,7)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+4,7)),1)),MAX(MAX(DATOS!$C$74,CEILING(CC32/INDEX(TABLAS!$D$52:$D$58,MIN(MATCH(MAX(4,DATOS!$C$71),TABLAS!$B$52:$B$58,0)+4,7)),1)),2))&lt;=MIN(DATOS!$C$73,INT(((DATOS!$C$83-2*AK32)+MAX(DATOS!$C$70,INDEX(TABLAS!$C$52:$C$58,MIN(MATCH(MAX(4,DATOS!$C$71),TABLAS!$B$52:$B$58,0)+4,7))))/(INDEX(TABLAS!$C$52:$C$58,MIN(MATCH(MAX(4,DATOS!$C$71),TABLAS!$B$52:$B$58,0)+4,7))+MAX(DATOS!$C$70,INDEX(TABLAS!$C$52:$C$58,MIN(MATCH(MAX(4,DATOS!$C$71),TABLAS!$B$52:$B$58,0)+4,7))))))),INDEX(TABLAS!$B$52:$B$58,MIN(MATCH(MAX(4,DATOS!$C$71),TABLAS!$B$52:$B$58,0)+4,7)),INDEX(TABLAS!$B$52:$B$58,7)))))))</f>
        <v/>
      </c>
      <c r="CE32" s="59" t="str">
        <f>IF(V32&lt;&gt;"SÍ","",IF(CC32&lt;0,0,IF(MAX(DATOS!$C$74,CEILING(MAX(CC32,0)/INDEX(TABLAS!$D$52:$D$58,MATCH(CD32,TABLAS!$B$52:$B$58,0)),1))*INDEX(TABLAS!$D$52:$D$58,MATCH(CD32,TABLAS!$B$52:$B$58,0))&gt;=4/3*IF(BI32&lt;=0,0,IF((1-2*BI32*1E5/(DATOS!$C$29*AI32*CB32^2*DATOS!$C$21))&lt;0,-1,IF((1-SQRT((1-2*BI32*1E5/(DATOS!$C$29*AI32*CB32^2*DATOS!$C$21))))*DATOS!$C$21*AI32*CB32/DATOS!$C$14&gt;DATOS!$C$102*AI32*CB32,-1,(1-SQRT((1-2*BI32*1E5/(DATOS!$C$29*AI32*CB32^2*DATOS!$C$21))))*DATOS!$C$21*AI32*CB32/DATOS!$C$14)))-0.0001,MAX(DATOS!$C$74,CEILING(MAX(CC32,0)/INDEX(TABLAS!$D$52:$D$58,MATCH(CD32,TABLAS!$B$52:$B$58,0)),1)),MAX(MAX(DATOS!$C$74,CEILING(MAX(CC32,0)/INDEX(TABLAS!$D$52:$D$58,MATCH(CD32,TABLAS!$B$52:$B$58,0)),1)),2))))</f>
        <v/>
      </c>
      <c r="CF32" s="58" t="str">
        <f>IF(V32&lt;&gt;"SÍ","",DATOS!$C$85-AK32-INDEX(TABLAS!$C$52:$C$58,MATCH(BN32,TABLAS!$B$52:$B$58,0))-INDEX(TABLAS!$C$52:$C$58,MATCH(CD32,TABLAS!$B$52:$B$58,0))/2)</f>
        <v/>
      </c>
      <c r="CG32" s="56" t="str">
        <f>IF(V32&lt;&gt;"SÍ","",IF(CE32=0,0,DATOS!$C$29*CE32*INDEX(TABLAS!$D$52:$D$58,MATCH(CD32,TABLAS!$B$52:$B$58,0))*DATOS!$C$14*(CF32-CE32*INDEX(TABLAS!$D$52:$D$58,MATCH(CD32,TABLAS!$B$52:$B$58,0))*DATOS!$C$14/(DATOS!$C$21*AI32)/2)/1E5))</f>
        <v/>
      </c>
      <c r="CH32" s="65" t="str">
        <f>IF(V32&lt;&gt;"SÍ","",IF(CC32&lt;0,9.99,IF(CG32&gt;0,BI32/CG32,0)))</f>
        <v/>
      </c>
      <c r="CI32" s="66" t="str">
        <f>IF(V32&lt;&gt;"SÍ","",IF(CE32=0,"—",0.003*(CF32-(CE32*INDEX(TABLAS!$D$52:$D$58,MATCH(CD32,TABLAS!$B$52:$B$58,0))*DATOS!$C$14/(DATOS!$C$21*AI32)/DATOS!$C$22))/(CE32*INDEX(TABLAS!$D$52:$D$58,MATCH(CD32,TABLAS!$B$52:$B$58,0))*DATOS!$C$14/(DATOS!$C$21*AI32)/DATOS!$C$22)))</f>
        <v/>
      </c>
      <c r="CJ32" s="58" t="str">
        <f>IF(V32&lt;&gt;"SÍ","",((DATOS!$C$85-AM32-2*DATOS!$C$97-INDEX(TABLAS!$C$52:$C$58,MATCH(MAX(4,DATOS!$C$72),TABLAS!$B$52:$B$58,0))-INDEX(TABLAS!$C$52:$C$58,MATCH(MAX(4,DATOS!$C$72),TABLAS!$B$52:$B$58,0))/2)-IF(AND((DATOS!$C$85-AM32-2*DATOS!$C$97-INDEX(TABLAS!$C$52:$C$58,MATCH(MAX(4,DATOS!$C$72),TABLAS!$B$52:$B$58,0))-INDEX(TABLAS!$C$52:$C$58,MATCH(MAX(4,DATOS!$C$72),TABLAS!$B$52:$B$58,0))/2)&lt;=20,DATOS!$C$65&lt;&gt;"SÍ"),2,0)))</f>
        <v/>
      </c>
      <c r="CK32" s="58" t="str">
        <f>IF(V32&lt;&gt;"SÍ","",IF(IF(BJ32&lt;=0,0,IF((1-2*BJ32*1E5/(DATOS!$C$29*AG32*CJ32^2*DATOS!$C$21))&lt;0,-1,IF((1-SQRT((1-2*BJ32*1E5/(DATOS!$C$29*AG32*CJ32^2*DATOS!$C$21))))*DATOS!$C$21*AG32*CJ32/DATOS!$C$14&gt;DATOS!$C$102*AG32*CJ32,-1,(1-SQRT((1-2*BJ32*1E5/(DATOS!$C$29*AG32*CJ32^2*DATOS!$C$21))))*DATOS!$C$21*AG32*CJ32/DATOS!$C$14)))&lt;0,-1,MAX(IF(BJ32&lt;=0,0,IF((1-2*BJ32*1E5/(DATOS!$C$29*AG32*CJ32^2*DATOS!$C$21))&lt;0,-1,IF((1-SQRT((1-2*BJ32*1E5/(DATOS!$C$29*AG32*CJ32^2*DATOS!$C$21))))*DATOS!$C$21*AG32*CJ32/DATOS!$C$14&gt;DATOS!$C$102*AG32*CJ32,-1,(1-SQRT((1-2*BJ32*1E5/(DATOS!$C$29*AG32*CJ32^2*DATOS!$C$21))))*DATOS!$C$21*AG32*CJ32/DATOS!$C$14))),MIN(DATOS!$C$103*DATOS!$C$83*CJ32,4/3*IF(BJ32&lt;=0,0,IF((1-2*BJ32*1E5/(DATOS!$C$29*AG32*CJ32^2*DATOS!$C$21))&lt;0,-1,IF((1-SQRT((1-2*BJ32*1E5/(DATOS!$C$29*AG32*CJ32^2*DATOS!$C$21))))*DATOS!$C$21*AG32*CJ32/DATOS!$C$14&gt;DATOS!$C$102*AG32*CJ32,-1,(1-SQRT((1-2*BJ32*1E5/(DATOS!$C$29*AG32*CJ32^2*DATOS!$C$21))))*DATOS!$C$21*AG32*CJ32/DATOS!$C$14)))))))</f>
        <v/>
      </c>
      <c r="CL32" s="64" t="str">
        <f>IF(V32&lt;&gt;"SÍ","",IF(AND(CK32&gt;=0,IF(MAX(DATOS!$C$74,CEILING(CK32/INDEX(TABLAS!$D$52:$D$58,MIN(MATCH(MAX(4,DATOS!$C$72),TABLAS!$B$52:$B$58,0)+0,7)),1))*INDEX(TABLAS!$D$52:$D$58,MIN(MATCH(MAX(4,DATOS!$C$72),TABLAS!$B$52:$B$58,0)+0,7)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+0,7)),1)),MAX(MAX(DATOS!$C$74,CEILING(CK32/INDEX(TABLAS!$D$52:$D$58,MIN(MATCH(MAX(4,DATOS!$C$72),TABLAS!$B$52:$B$58,0)+0,7)),1)),2))&lt;=MIN(DATOS!$C$73,INT(((DATOS!$C$83-2*AL32)+MAX(DATOS!$C$70,INDEX(TABLAS!$C$52:$C$58,MIN(MATCH(MAX(4,DATOS!$C$72),TABLAS!$B$52:$B$58,0)+0,7))))/(INDEX(TABLAS!$C$52:$C$58,MIN(MATCH(MAX(4,DATOS!$C$72),TABLAS!$B$52:$B$58,0)+0,7))+MAX(DATOS!$C$70,INDEX(TABLAS!$C$52:$C$58,MIN(MATCH(MAX(4,DATOS!$C$72),TABLAS!$B$52:$B$58,0)+0,7))))))),INDEX(TABLAS!$B$52:$B$58,MIN(MATCH(MAX(4,DATOS!$C$72),TABLAS!$B$52:$B$58,0)+0,7)),IF(AND(CK32&gt;=0,IF(MAX(DATOS!$C$74,CEILING(CK32/INDEX(TABLAS!$D$52:$D$58,MIN(MATCH(MAX(4,DATOS!$C$72),TABLAS!$B$52:$B$58,0)+1,7)),1))*INDEX(TABLAS!$D$52:$D$58,MIN(MATCH(MAX(4,DATOS!$C$72),TABLAS!$B$52:$B$58,0)+1,7)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+1,7)),1)),MAX(MAX(DATOS!$C$74,CEILING(CK32/INDEX(TABLAS!$D$52:$D$58,MIN(MATCH(MAX(4,DATOS!$C$72),TABLAS!$B$52:$B$58,0)+1,7)),1)),2))&lt;=MIN(DATOS!$C$73,INT(((DATOS!$C$83-2*AL32)+MAX(DATOS!$C$70,INDEX(TABLAS!$C$52:$C$58,MIN(MATCH(MAX(4,DATOS!$C$72),TABLAS!$B$52:$B$58,0)+1,7))))/(INDEX(TABLAS!$C$52:$C$58,MIN(MATCH(MAX(4,DATOS!$C$72),TABLAS!$B$52:$B$58,0)+1,7))+MAX(DATOS!$C$70,INDEX(TABLAS!$C$52:$C$58,MIN(MATCH(MAX(4,DATOS!$C$72),TABLAS!$B$52:$B$58,0)+1,7))))))),INDEX(TABLAS!$B$52:$B$58,MIN(MATCH(MAX(4,DATOS!$C$72),TABLAS!$B$52:$B$58,0)+1,7)),IF(AND(CK32&gt;=0,IF(MAX(DATOS!$C$74,CEILING(CK32/INDEX(TABLAS!$D$52:$D$58,MIN(MATCH(MAX(4,DATOS!$C$72),TABLAS!$B$52:$B$58,0)+2,7)),1))*INDEX(TABLAS!$D$52:$D$58,MIN(MATCH(MAX(4,DATOS!$C$72),TABLAS!$B$52:$B$58,0)+2,7)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+2,7)),1)),MAX(MAX(DATOS!$C$74,CEILING(CK32/INDEX(TABLAS!$D$52:$D$58,MIN(MATCH(MAX(4,DATOS!$C$72),TABLAS!$B$52:$B$58,0)+2,7)),1)),2))&lt;=MIN(DATOS!$C$73,INT(((DATOS!$C$83-2*AL32)+MAX(DATOS!$C$70,INDEX(TABLAS!$C$52:$C$58,MIN(MATCH(MAX(4,DATOS!$C$72),TABLAS!$B$52:$B$58,0)+2,7))))/(INDEX(TABLAS!$C$52:$C$58,MIN(MATCH(MAX(4,DATOS!$C$72),TABLAS!$B$52:$B$58,0)+2,7))+MAX(DATOS!$C$70,INDEX(TABLAS!$C$52:$C$58,MIN(MATCH(MAX(4,DATOS!$C$72),TABLAS!$B$52:$B$58,0)+2,7))))))),INDEX(TABLAS!$B$52:$B$58,MIN(MATCH(MAX(4,DATOS!$C$72),TABLAS!$B$52:$B$58,0)+2,7)),IF(AND(CK32&gt;=0,IF(MAX(DATOS!$C$74,CEILING(CK32/INDEX(TABLAS!$D$52:$D$58,MIN(MATCH(MAX(4,DATOS!$C$72),TABLAS!$B$52:$B$58,0)+3,7)),1))*INDEX(TABLAS!$D$52:$D$58,MIN(MATCH(MAX(4,DATOS!$C$72),TABLAS!$B$52:$B$58,0)+3,7)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+3,7)),1)),MAX(MAX(DATOS!$C$74,CEILING(CK32/INDEX(TABLAS!$D$52:$D$58,MIN(MATCH(MAX(4,DATOS!$C$72),TABLAS!$B$52:$B$58,0)+3,7)),1)),2))&lt;=MIN(DATOS!$C$73,INT(((DATOS!$C$83-2*AL32)+MAX(DATOS!$C$70,INDEX(TABLAS!$C$52:$C$58,MIN(MATCH(MAX(4,DATOS!$C$72),TABLAS!$B$52:$B$58,0)+3,7))))/(INDEX(TABLAS!$C$52:$C$58,MIN(MATCH(MAX(4,DATOS!$C$72),TABLAS!$B$52:$B$58,0)+3,7))+MAX(DATOS!$C$70,INDEX(TABLAS!$C$52:$C$58,MIN(MATCH(MAX(4,DATOS!$C$72),TABLAS!$B$52:$B$58,0)+3,7))))))),INDEX(TABLAS!$B$52:$B$58,MIN(MATCH(MAX(4,DATOS!$C$72),TABLAS!$B$52:$B$58,0)+3,7)),IF(AND(CK32&gt;=0,IF(MAX(DATOS!$C$74,CEILING(CK32/INDEX(TABLAS!$D$52:$D$58,MIN(MATCH(MAX(4,DATOS!$C$72),TABLAS!$B$52:$B$58,0)+4,7)),1))*INDEX(TABLAS!$D$52:$D$58,MIN(MATCH(MAX(4,DATOS!$C$72),TABLAS!$B$52:$B$58,0)+4,7)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+4,7)),1)),MAX(MAX(DATOS!$C$74,CEILING(CK32/INDEX(TABLAS!$D$52:$D$58,MIN(MATCH(MAX(4,DATOS!$C$72),TABLAS!$B$52:$B$58,0)+4,7)),1)),2))&lt;=MIN(DATOS!$C$73,INT(((DATOS!$C$83-2*AL32)+MAX(DATOS!$C$70,INDEX(TABLAS!$C$52:$C$58,MIN(MATCH(MAX(4,DATOS!$C$72),TABLAS!$B$52:$B$58,0)+4,7))))/(INDEX(TABLAS!$C$52:$C$58,MIN(MATCH(MAX(4,DATOS!$C$72),TABLAS!$B$52:$B$58,0)+4,7))+MAX(DATOS!$C$70,INDEX(TABLAS!$C$52:$C$58,MIN(MATCH(MAX(4,DATOS!$C$72),TABLAS!$B$52:$B$58,0)+4,7))))))),INDEX(TABLAS!$B$52:$B$58,MIN(MATCH(MAX(4,DATOS!$C$72),TABLAS!$B$52:$B$58,0)+4,7)),INDEX(TABLAS!$B$52:$B$58,7)))))))</f>
        <v/>
      </c>
      <c r="CM32" s="59" t="str">
        <f>IF(V32&lt;&gt;"SÍ","",IF(CK32&lt;0,0,IF(MAX(DATOS!$C$74,CEILING(MAX(CK32,0)/INDEX(TABLAS!$D$52:$D$58,MATCH(CL32,TABLAS!$B$52:$B$58,0)),1))*INDEX(TABLAS!$D$52:$D$58,MATCH(CL32,TABLAS!$B$52:$B$58,0))&gt;=4/3*IF(BJ32&lt;=0,0,IF((1-2*BJ32*1E5/(DATOS!$C$29*AG32*CJ32^2*DATOS!$C$21))&lt;0,-1,IF((1-SQRT((1-2*BJ32*1E5/(DATOS!$C$29*AG32*CJ32^2*DATOS!$C$21))))*DATOS!$C$21*AG32*CJ32/DATOS!$C$14&gt;DATOS!$C$102*AG32*CJ32,-1,(1-SQRT((1-2*BJ32*1E5/(DATOS!$C$29*AG32*CJ32^2*DATOS!$C$21))))*DATOS!$C$21*AG32*CJ32/DATOS!$C$14)))-0.0001,MAX(DATOS!$C$74,CEILING(MAX(CK32,0)/INDEX(TABLAS!$D$52:$D$58,MATCH(CL32,TABLAS!$B$52:$B$58,0)),1)),MAX(MAX(DATOS!$C$74,CEILING(MAX(CK32,0)/INDEX(TABLAS!$D$52:$D$58,MATCH(CL32,TABLAS!$B$52:$B$58,0)),1)),2))))</f>
        <v/>
      </c>
      <c r="CN32" s="58" t="str">
        <f>IF(V32&lt;&gt;"SÍ","",((DATOS!$C$85-AM32-2*DATOS!$C$97-INDEX(TABLAS!$C$52:$C$58,MATCH(BV32,TABLAS!$B$52:$B$58,0))-INDEX(TABLAS!$C$52:$C$58,MATCH(CL32,TABLAS!$B$52:$B$58,0))/2)-IF(AND((DATOS!$C$85-AM32-2*DATOS!$C$97-INDEX(TABLAS!$C$52:$C$58,MATCH(BV32,TABLAS!$B$52:$B$58,0))-INDEX(TABLAS!$C$52:$C$58,MATCH(CL32,TABLAS!$B$52:$B$58,0))/2)&lt;=20,DATOS!$C$65&lt;&gt;"SÍ"),2,0)))</f>
        <v/>
      </c>
      <c r="CO32" s="56" t="str">
        <f>IF(V32&lt;&gt;"SÍ","",IF(CM32=0,0,DATOS!$C$29*CM32*INDEX(TABLAS!$D$52:$D$58,MATCH(CL32,TABLAS!$B$52:$B$58,0))*DATOS!$C$14*(CN32-CM32*INDEX(TABLAS!$D$52:$D$58,MATCH(CL32,TABLAS!$B$52:$B$58,0))*DATOS!$C$14/(DATOS!$C$21*AG32)/2)/1E5))</f>
        <v/>
      </c>
      <c r="CP32" s="65" t="str">
        <f>IF(V32&lt;&gt;"SÍ","",IF(CK32&lt;0,9.99,IF(CO32&gt;0,BJ32/CO32,0)))</f>
        <v/>
      </c>
      <c r="CQ32" s="66" t="str">
        <f>IF(V32&lt;&gt;"SÍ","",IF(CM32=0,"—",0.003*(CN32-(CM32*INDEX(TABLAS!$D$52:$D$58,MATCH(CL32,TABLAS!$B$52:$B$58,0))*DATOS!$C$14/(DATOS!$C$21*AG32)/DATOS!$C$22))/(CM32*INDEX(TABLAS!$D$52:$D$58,MATCH(CL32,TABLAS!$B$52:$B$58,0))*DATOS!$C$14/(DATOS!$C$21*AG32)/DATOS!$C$22)))</f>
        <v/>
      </c>
      <c r="CR32" s="56" t="str">
        <f>IF(V32&lt;&gt;"SÍ","",IF(C32="PERIMETRAL",MAX(0,(AB32/2-BX32)/100)*(0.95-0.5*AA32)*AR32*IF(AND(AS32&gt;0,AS32&lt;4),DATOS!$C$33,1)*DATOS!$C$86/100/1000,(AR32*MAX(0,AB32-BX32)/100+DATOS!$C$26*N(O32))*DATOS!$C$86/100/1000+BF32))</f>
        <v/>
      </c>
      <c r="CS32" s="56" t="str">
        <f>IF(V32&lt;&gt;"SÍ","",DATOS!$C$30*2*MIN(1,SQRT(2/(1+0.04*BX32)))*(BW32*INDEX(TABLAS!$D$52:$D$58,MATCH(BV32,TABLAS!$B$52:$B$58,0))/(AF32*BX32))^(1/3)*SQRT(DATOS!$C$13)*AF32*BX32*IF(AJ32="SÍ",DATOS!$C$32,1)/1000)</f>
        <v/>
      </c>
      <c r="CT32" s="59" t="str">
        <f>IF(V32&lt;&gt;"SÍ","",IF(CR32&lt;=CS32,0,CEILING(MAX(0,IF(C32="VOLADO",(AB32-((CS32-BF32)*1E5/DATOS!$C$86-DATOS!$C$26*N(O32))*100/AR32),IF(CS32&lt;=0,AB32,AB32/2-CS32/MAX(CR32,1E-9)*(AB32/2-BX32)))-IF(X32="X",MIN(DJ32,DK32),MIN(DL32,DM32)))/DATOS!$C$86,1)))</f>
        <v/>
      </c>
      <c r="CU32" s="67" t="str">
        <f>IF(V32&lt;&gt;"SÍ","",IF(CR32&lt;=CS32,"CUMPLE",IF(CT32&lt;=0,"CUMPLE (basta el macizo de orilla)",IF(CT32*DATOS!$C$86*IF(C32="VOLADO",1,2)&gt;=Y32*100-DATOS!$C$87,"NO CUMPLE: no alcanza ni macizando todo","MACIZAR "&amp;CT32&amp;" hilera(s)"))))</f>
        <v/>
      </c>
      <c r="CV32" s="58" t="str">
        <f>IF(V32&lt;&gt;"SÍ","",(DATOS!$C$86*DATOS!$C$84^2/2+MIN(DATOS!$C$83,AD32)*DATOS!$C$82*(DATOS!$C$84+DATOS!$C$82/2))/(DATOS!$C$86*DATOS!$C$84+MIN(DATOS!$C$83,AD32)*DATOS!$C$82))</f>
        <v/>
      </c>
      <c r="CW32" s="68" t="str">
        <f>IF(V32&lt;&gt;"SÍ","",DATOS!$C$86*DATOS!$C$84^3/12+DATOS!$C$86*DATOS!$C$84*(CV32-DATOS!$C$84/2)^2+MIN(DATOS!$C$83,AD32)*DATOS!$C$82^3/12+MIN(DATOS!$C$83,AD32)*DATOS!$C$82*(DATOS!$C$84+DATOS!$C$82/2-CV32)^2)</f>
        <v/>
      </c>
      <c r="CX32" s="58" t="str">
        <f>IF(V32&lt;&gt;"SÍ","",(12*CW32/DATOS!$C$86)^(1/3))</f>
        <v/>
      </c>
      <c r="CY32" s="58" t="str">
        <f>IF(V32&lt;&gt;"SÍ","",IF(C32="PERIMETRAL",IF(ISNUMBER(S32),S32,DATOS!$C$104),0))</f>
        <v/>
      </c>
      <c r="CZ32" s="57" t="str">
        <f>IF(V32&lt;&gt;"SÍ","",IF(C32="PERIMETRAL",IF(CY32&gt;2,MAX(9,AC32*(0.8+DATOS!$C$14/14000)/(36+9*(AC32/MAX(AB32,1)))),IF(CY32&gt;0.2,MAX(13,AC32*(0.8+DATOS!$C$14/14000)/(36+5*(AC32/MAX(AB32,1))*(CY32-0.2))),MAX(13,AC32/IF(AS32&gt;0,30,33))))*IF(AND(CY32&gt;0.2,AS32&gt;0,DATOS!$C$105="NO"),1.1,1),MAX(25,Y32*100/8*(0.4+DATOS!$C$14/7000))))</f>
        <v/>
      </c>
      <c r="DA32" s="61" t="str">
        <f>IF(V32&lt;&gt;"SÍ","",IF(IF(C32="VOLADO",DATOS!$C$85,CX32)&gt;=CZ32,"CUMPLE",IF(C32="VOLADO","NO CUMPLE","CALCULAR FLECHA")))</f>
        <v/>
      </c>
      <c r="DB32" s="55" t="str">
        <f>IF(V32&lt;&gt;"SÍ","",IF(DATOS!$C$84&gt;=IF(IF(C32="VOLADO",Y32,Z32)&gt;=6,6,5),"CUMPLE","CAPA ≥ 6 cm"))</f>
        <v/>
      </c>
      <c r="DC32" s="60" t="str">
        <f>IF(V32&lt;&gt;"SÍ","",IF(C32="VOLADO",MIN(FLOOR(IF(ISNUMBER(P32),P32,Y32)*100-DATOS!$C$63,5),CEILING(MAX(IF((0.5*(0.9*DATOS!$C$90*DATOS!$C$86/100/1000)*IF(ISNUMBER(P32),P32,Y32)+BH32/IF(ISNUMBER(P32),P32,Y32))^2-4*(0.5*(0.9*DATOS!$C$90*DATOS!$C$86/100/1000))*BH32&lt;0,IF(ISNUMBER(P32),P32,Y32),MIN(IF(ISNUMBER(P32),P32,Y32),((0.5*(0.9*DATOS!$C$90*DATOS!$C$86/100/1000)*IF(ISNUMBER(P32),P32,Y32)+BH32/IF(ISNUMBER(P32),P32,Y32))-SQRT((0.5*(0.9*DATOS!$C$90*DATOS!$C$86/100/1000)*IF(ISNUMBER(P32),P32,Y32)+BH32/IF(ISNUMBER(P32),P32,Y32))^2-4*(0.5*(0.9*DATOS!$C$90*DATOS!$C$86/100/1000))*BH32))/(2*(0.5*(0.9*DATOS!$C$90*DATOS!$C$86/100/1000)))))*100+MAX(BX32,12*INDEX(TABLAS!$C$52:$C$58,MATCH(BV32,TABLAS!$B$52:$B$58,0)),IF(ISNUMBER(P32),P32,Y32)*100/16),IF(OR(AL32&lt;INDEX(TABLAS!$C$52:$C$58,MATCH(BV32,TABLAS!$B$52:$B$58,0)),AND(BW32&gt;=2,(AD32-2*AL32-BW32*INDEX(TABLAS!$C$52:$C$58,MATCH(BV32,TABLAS!$B$52:$B$58,0)))/MAX(BW32-1,1)&lt;2*INDEX(TABLAS!$C$52:$C$58,MATCH(BV32,TABLAS!$B$52:$B$58,0)))),INDEX(TABLAS!$I$52:$I$58,MATCH(BV32,TABLAS!$B$52:$B$58,0)),INDEX(TABLAS!$F$52:$F$58,MATCH(BV32,TABLAS!$B$52:$B$58,0)))),5)),IF(((4*((BC32*AR32*Y32^2*1E-4*DATOS!$C$86/100/1000)+((MAX(AY32,BA32)*AR32*Y32^2*1E-4*DATOS!$C$86/100/1000)+(IF(AND(AY32&gt;0,BA32&gt;0),MIN(AY32,BA32),MAX(AY32,BA32))*AR32*Y32^2*1E-4*DATOS!$C$86/100/1000))/2)+BH32-(IF(AND(AY32&gt;0,BA32&gt;0),MIN(AY32,BA32),MAX(AY32,BA32))*AR32*Y32^2*1E-4*DATOS!$C$86/100/1000))^2-16*((BC32*AR32*Y32^2*1E-4*DATOS!$C$86/100/1000)+((MAX(AY32,BA32)*AR32*Y32^2*1E-4*DATOS!$C$86/100/1000)+(IF(AND(AY32&gt;0,BA32&gt;0),MIN(AY32,BA32),MAX(AY32,BA32))*AR32*Y32^2*1E-4*DATOS!$C$86/100/1000))/2)*BH32)&lt;0,CEILING(AB32,5),CEILING(MAX(AB32*((4*((BC32*AR32*Y32^2*1E-4*DATOS!$C$86/100/1000)+((MAX(AY32,BA32)*AR32*Y32^2*1E-4*DATOS!$C$86/100/1000)+(IF(AND(AY32&gt;0,BA32&gt;0),MIN(AY32,BA32),MAX(AY32,BA32))*AR32*Y32^2*1E-4*DATOS!$C$86/100/1000))/2)+BH32-(IF(AND(AY32&gt;0,BA32&gt;0),MIN(AY32,BA32),MAX(AY32,BA32))*AR32*Y32^2*1E-4*DATOS!$C$86/100/1000))-SQRT(MAX(0,((4*((BC32*AR32*Y32^2*1E-4*DATOS!$C$86/100/1000)+((MAX(AY32,BA32)*AR32*Y32^2*1E-4*DATOS!$C$86/100/1000)+(IF(AND(AY32&gt;0,BA32&gt;0),MIN(AY32,BA32),MAX(AY32,BA32))*AR32*Y32^2*1E-4*DATOS!$C$86/100/1000))/2)+BH32-(IF(AND(AY32&gt;0,BA32&gt;0),MIN(AY32,BA32),MAX(AY32,BA32))*AR32*Y32^2*1E-4*DATOS!$C$86/100/1000))^2-16*((BC32*AR32*Y32^2*1E-4*DATOS!$C$86/100/1000)+((MAX(AY32,BA32)*AR32*Y32^2*1E-4*DATOS!$C$86/100/1000)+(IF(AND(AY32&gt;0,BA32&gt;0),MIN(AY32,BA32),MAX(AY32,BA32))*AR32*Y32^2*1E-4*DATOS!$C$86/100/1000))/2)*BH32))))/(8*MAX(((BC32*AR32*Y32^2*1E-4*DATOS!$C$86/100/1000)+((MAX(AY32,BA32)*AR32*Y32^2*1E-4*DATOS!$C$86/100/1000)+(IF(AND(AY32&gt;0,BA32&gt;0),MIN(AY32,BA32),MAX(AY32,BA32))*AR32*Y32^2*1E-4*DATOS!$C$86/100/1000))/2),1E-9))+MAX(BX32,12*INDEX(TABLAS!$C$52:$C$58,MATCH(BV32,TABLAS!$B$52:$B$58,0)),AB32/16),IF(OR(AL32&lt;INDEX(TABLAS!$C$52:$C$58,MATCH(BV32,TABLAS!$B$52:$B$58,0)),AND(BW32&gt;=2,(AD32-2*AL32-BW32*INDEX(TABLAS!$C$52:$C$58,MATCH(BV32,TABLAS!$B$52:$B$58,0)))/MAX(BW32-1,1)&lt;2*INDEX(TABLAS!$C$52:$C$58,MATCH(BV32,TABLAS!$B$52:$B$58,0)))),INDEX(TABLAS!$I$52:$I$58,MATCH(BV32,TABLAS!$B$52:$B$58,0)),INDEX(TABLAS!$F$52:$F$58,MATCH(BV32,TABLAS!$B$52:$B$58,0)))),5))))</f>
        <v/>
      </c>
      <c r="DD32" s="60" t="str">
        <f>IF(V32&lt;&gt;"SÍ","",IF(C32="VOLADO",0,IF(((4*((BD32*AR32*Y32^2*1E-4*DATOS!$C$86/100/1000)+((MAX(AZ32,BB32)*AR32*Y32^2*1E-4*DATOS!$C$86/100/1000)+(IF(AND(AZ32&gt;0,BB32&gt;0),MIN(AZ32,BB32),MAX(AZ32,BB32))*AR32*Y32^2*1E-4*DATOS!$C$86/100/1000))/2)+BJ32-(IF(AND(AZ32&gt;0,BB32&gt;0),MIN(AZ32,BB32),MAX(AZ32,BB32))*AR32*Y32^2*1E-4*DATOS!$C$86/100/1000))^2-16*((BD32*AR32*Y32^2*1E-4*DATOS!$C$86/100/1000)+((MAX(AZ32,BB32)*AR32*Y32^2*1E-4*DATOS!$C$86/100/1000)+(IF(AND(AZ32&gt;0,BB32&gt;0),MIN(AZ32,BB32),MAX(AZ32,BB32))*AR32*Y32^2*1E-4*DATOS!$C$86/100/1000))/2)*BJ32)&lt;0,CEILING(AC32,5),CEILING(MAX(AC32*((4*((BD32*AR32*Y32^2*1E-4*DATOS!$C$86/100/1000)+((MAX(AZ32,BB32)*AR32*Y32^2*1E-4*DATOS!$C$86/100/1000)+(IF(AND(AZ32&gt;0,BB32&gt;0),MIN(AZ32,BB32),MAX(AZ32,BB32))*AR32*Y32^2*1E-4*DATOS!$C$86/100/1000))/2)+BJ32-(IF(AND(AZ32&gt;0,BB32&gt;0),MIN(AZ32,BB32),MAX(AZ32,BB32))*AR32*Y32^2*1E-4*DATOS!$C$86/100/1000))-SQRT(MAX(0,((4*((BD32*AR32*Y32^2*1E-4*DATOS!$C$86/100/1000)+((MAX(AZ32,BB32)*AR32*Y32^2*1E-4*DATOS!$C$86/100/1000)+(IF(AND(AZ32&gt;0,BB32&gt;0),MIN(AZ32,BB32),MAX(AZ32,BB32))*AR32*Y32^2*1E-4*DATOS!$C$86/100/1000))/2)+BJ32-(IF(AND(AZ32&gt;0,BB32&gt;0),MIN(AZ32,BB32),MAX(AZ32,BB32))*AR32*Y32^2*1E-4*DATOS!$C$86/100/1000))^2-16*((BD32*AR32*Y32^2*1E-4*DATOS!$C$86/100/1000)+((MAX(AZ32,BB32)*AR32*Y32^2*1E-4*DATOS!$C$86/100/1000)+(IF(AND(AZ32&gt;0,BB32&gt;0),MIN(AZ32,BB32),MAX(AZ32,BB32))*AR32*Y32^2*1E-4*DATOS!$C$86/100/1000))/2)*BJ32))))/(8*MAX(((BD32*AR32*Y32^2*1E-4*DATOS!$C$86/100/1000)+((MAX(AZ32,BB32)*AR32*Y32^2*1E-4*DATOS!$C$86/100/1000)+(IF(AND(AZ32&gt;0,BB32&gt;0),MIN(AZ32,BB32),MAX(AZ32,BB32))*AR32*Y32^2*1E-4*DATOS!$C$86/100/1000))/2),1E-9))+MAX(CN32,12*INDEX(TABLAS!$C$52:$C$58,MATCH(CL32,TABLAS!$B$52:$B$58,0)),AC32/16),IF(OR(AL32&lt;INDEX(TABLAS!$C$52:$C$58,MATCH(CL32,TABLAS!$B$52:$B$58,0)),AND(CM32&gt;=2,(DATOS!$C$83-2*AL32-CM32*INDEX(TABLAS!$C$52:$C$58,MATCH(CL32,TABLAS!$B$52:$B$58,0)))/MAX(CM32-1,1)&lt;2*INDEX(TABLAS!$C$52:$C$58,MATCH(CL32,TABLAS!$B$52:$B$58,0)))),INDEX(TABLAS!$I$52:$I$58,MATCH(CL32,TABLAS!$B$52:$B$58,0)),INDEX(TABLAS!$F$52:$F$58,MATCH(CL32,TABLAS!$B$52:$B$58,0)))),5))))</f>
        <v/>
      </c>
      <c r="DE32" s="55" t="str">
        <f>IF(V32&lt;&gt;"SÍ","",IF(AND(C32="PERIMETRAL",BW32&gt;=2,AS32-AT32&gt;0,BA32*AR32*Y32^2*1E-4*DATOS!$C$86/100/1000&gt;DATOS!$C$29*INDEX(TABLAS!$D$52:$D$58,MATCH(BV32,TABLAS!$B$52:$B$58,0))*DATOS!$C$14*(BX32-INDEX(TABLAS!$D$52:$D$58,MATCH(BV32,TABLAS!$B$52:$B$58,0))*DATOS!$C$14/(DATOS!$C$21*AF32)/2)/1E5),"SÍ","NO"))</f>
        <v/>
      </c>
      <c r="DF32" s="55" t="str">
        <f>IF(V32&lt;&gt;"SÍ","",IF(AND(C32="PERIMETRAL",CM32&gt;=2,AT32&gt;0,BB32*AR32*Y32^2*1E-4*DATOS!$C$86/100/1000&gt;DATOS!$C$29*INDEX(TABLAS!$D$52:$D$58,MATCH(CL32,TABLAS!$B$52:$B$58,0))*DATOS!$C$14*(CN32-INDEX(TABLAS!$D$52:$D$58,MATCH(CL32,TABLAS!$B$52:$B$58,0))*DATOS!$C$14/(DATOS!$C$21*AG32)/2)/1E5),"SÍ","NO"))</f>
        <v/>
      </c>
      <c r="DG32" s="63" t="str">
        <f>IF(V32&lt;&gt;"SÍ","",IF(OR(C32="VOLADO",AS32=0),"—",IF(AND(AND(1.25*INDEX(TABLAS!$G$52:$G$58,MATCH(MAX(BN32,CD32),TABLAS!$B$52:$B$58,0))&lt;=(DATOS!$C$75-DATOS!$C$63),(DATOS!$C$75-DATOS!$C$63)&gt;=15,INDEX(TABLAS!$G$52:$G$58,MATCH(MAX(BV32,CL32),TABLAS!$B$52:$B$58,0))&lt;=(DATOS!$C$75-DATOS!$C$63)),8*INDEX(TABLAS!$C$52:$C$58,MATCH(MAX(MAX(BN32,CD32),MAX(BV32,CL32)),TABLAS!$B$52:$B$58,0))&lt;=DATOS!$C$76-2*DATOS!$C$63),"CUMPLE (gancho de 180°)",IF(AND(1.25*INDEX(TABLAS!$G$52:$G$58,MATCH(MAX(BN32,CD32),TABLAS!$B$52:$B$58,0))&lt;=(DATOS!$C$75-DATOS!$C$63),(DATOS!$C$75-DATOS!$C$63)&gt;=15,INDEX(TABLAS!$G$52:$G$58,MATCH(MAX(BV32,CL32),TABLAS!$B$52:$B$58,0))&lt;=(DATOS!$C$75-DATOS!$C$63)),"NO CUMPLE: el gancho de 180° (8·d_b) no cabe en el peralte de la dala de borde","NO CUMPLE: dala de borde ≥ "&amp;TEXT(CEILING(MAX(1.25*INDEX(TABLAS!$G$52:$G$58,MATCH(MAX(BN32,CD32),TABLAS!$B$52:$B$58,0)),15,INDEX(TABLAS!$G$52:$G$58,MATCH(MAX(BV32,CL32),TABLAS!$B$52:$B$58,0)))+DATOS!$C$63,5),"0")&amp;" cm de ancho"&amp;IF(8*INDEX(TABLAS!$C$52:$C$58,MATCH(MAX(MAX(BN32,CD32),MAX(BV32,CL32)),TABLAS!$B$52:$B$58,0))&lt;=DATOS!$C$76-2*DATOS!$C$63,""," y más peralte para el gancho")))))</f>
        <v/>
      </c>
      <c r="DH32" s="59" t="str">
        <f>IF(V32&lt;&gt;"SÍ","",MAX(0,INT((E32*100-DATOS!$C$87-IF(AND(C32="PERIMETRAL",I32="DISCONTINUO"),MAX(0,DATOS!$C$75-DATOS!$C$87),0)-IF(AND(C32="PERIMETRAL",J32="DISCONTINUO"),MAX(0,DATOS!$C$75-DATOS!$C$87),0)+DATOS!$C$86-IF(X32="X",DATOS!$C$81,AE32))/DATOS!$C$86)))</f>
        <v/>
      </c>
      <c r="DI32" s="59" t="str">
        <f>IF(V32&lt;&gt;"SÍ","",MAX(0,INT((F32*100-DATOS!$C$87-IF(AND(C32="PERIMETRAL",G32="DISCONTINUO"),MAX(0,DATOS!$C$75-DATOS!$C$87),0)-IF(AND(C32="PERIMETRAL",H32="DISCONTINUO"),MAX(0,DATOS!$C$75-DATOS!$C$87),0)+DATOS!$C$86-IF(X32="Y",DATOS!$C$81,AE32))/DATOS!$C$86)))</f>
        <v/>
      </c>
      <c r="DJ32" s="57" t="str">
        <f>IF(V32&lt;&gt;"SÍ","",IF(DH32&gt;0,IF(AND(C32="PERIMETRAL",I32="DISCONTINUO"),MAX(0,DATOS!$C$75-DATOS!$C$87),0)+(E32*100-DATOS!$C$87-IF(AND(C32="PERIMETRAL",I32="DISCONTINUO"),MAX(0,DATOS!$C$75-DATOS!$C$87),0)-IF(AND(C32="PERIMETRAL",J32="DISCONTINUO"),MAX(0,DATOS!$C$75-DATOS!$C$87),0)-(DH32*IF(X32="X",DATOS!$C$81,AE32)+(DH32-1)*(DATOS!$C$86-IF(X32="X",DATOS!$C$81,AE32))))/2,E32*100/2))</f>
        <v/>
      </c>
      <c r="DK32" s="57" t="str">
        <f>IF(V32&lt;&gt;"SÍ","",IF(DH32&gt;0,IF(AND(C32="PERIMETRAL",J32="DISCONTINUO"),MAX(0,DATOS!$C$75-DATOS!$C$87),0)+(E32*100-DATOS!$C$87-IF(AND(C32="PERIMETRAL",I32="DISCONTINUO"),MAX(0,DATOS!$C$75-DATOS!$C$87),0)-IF(AND(C32="PERIMETRAL",J32="DISCONTINUO"),MAX(0,DATOS!$C$75-DATOS!$C$87),0)-(DH32*IF(X32="X",DATOS!$C$81,AE32)+(DH32-1)*(DATOS!$C$86-IF(X32="X",DATOS!$C$81,AE32))))/2,E32*100/2))</f>
        <v/>
      </c>
      <c r="DL32" s="57" t="str">
        <f>IF(V32&lt;&gt;"SÍ","",IF(DI32&gt;0,IF(AND(C32="PERIMETRAL",G32="DISCONTINUO"),MAX(0,DATOS!$C$75-DATOS!$C$87),0)+(F32*100-DATOS!$C$87-IF(AND(C32="PERIMETRAL",G32="DISCONTINUO"),MAX(0,DATOS!$C$75-DATOS!$C$87),0)-IF(AND(C32="PERIMETRAL",H32="DISCONTINUO"),MAX(0,DATOS!$C$75-DATOS!$C$87),0)-(DI32*IF(X32="Y",DATOS!$C$81,AE32)+(DI32-1)*(DATOS!$C$86-IF(X32="Y",DATOS!$C$81,AE32))))/2,F32*100/2))</f>
        <v/>
      </c>
      <c r="DM32" s="57" t="str">
        <f>IF(V32&lt;&gt;"SÍ","",IF(DI32&gt;0,IF(AND(C32="PERIMETRAL",H32="DISCONTINUO"),MAX(0,DATOS!$C$75-DATOS!$C$87),0)+(F32*100-DATOS!$C$87-IF(AND(C32="PERIMETRAL",G32="DISCONTINUO"),MAX(0,DATOS!$C$75-DATOS!$C$87),0)-IF(AND(C32="PERIMETRAL",H32="DISCONTINUO"),MAX(0,DATOS!$C$75-DATOS!$C$87),0)-(DI32*IF(X32="Y",DATOS!$C$81,AE32)+(DI32-1)*(DATOS!$C$86-IF(X32="Y",DATOS!$C$81,AE32))))/2,F32*100/2))</f>
        <v/>
      </c>
      <c r="DN32" s="59" t="str">
        <f>IF(V32&lt;&gt;"SÍ","",IF(NOT(AND(C32="VOLADO",AD32&gt;DATOS!$C$83)),0,IF(INDEX(TABLAS!$C$52:$C$58,MATCH(BV32,TABLAS!$B$52:$B$58,0))&lt;=DATOS!$C$83-2*DATOS!$C$63,1,0)))</f>
        <v/>
      </c>
      <c r="DO32" s="58" t="str">
        <f>IF(V32&lt;&gt;"SÍ","",IF(NOT(AND(C32="VOLADO",AD32&gt;DATOS!$C$83)),0,((DATOS!$C$85-MAX(DATOS!$C$63,(DATOS!$C$84-2*DATOS!$C$97)/2)-2*DATOS!$C$97-INDEX(TABLAS!$C$52:$C$58,MATCH(MAX(4,DATOS!$C$72),TABLAS!$B$52:$B$58,0))-INDEX(TABLAS!$C$52:$C$58,MATCH(BV32,TABLAS!$B$52:$B$58,0))/2)-IF(AND((DATOS!$C$85-MAX(DATOS!$C$63,(DATOS!$C$84-2*DATOS!$C$97)/2)-2*DATOS!$C$97-INDEX(TABLAS!$C$52:$C$58,MATCH(MAX(4,DATOS!$C$72),TABLAS!$B$52:$B$58,0))-INDEX(TABLAS!$C$52:$C$58,MATCH(BV32,TABLAS!$B$52:$B$58,0))/2)&lt;=20,DATOS!$C$65&lt;&gt;"SÍ"),2,0))))</f>
        <v/>
      </c>
      <c r="DP32" s="56" t="str">
        <f>IF(V32&lt;&gt;"SÍ","",IF(OR(NOT(AND(C32="VOLADO",AD32&gt;DATOS!$C$83)),DN32&lt;1),0,IF(0.003*(DO32-((DN32*INDEX(TABLAS!$D$52:$D$58,MATCH(BV32,TABLAS!$B$52:$B$58,0)))*DATOS!$C$14/(DATOS!$C$21*AG32)/DATOS!$C$22))/((DN32*INDEX(TABLAS!$D$52:$D$58,MATCH(BV32,TABLAS!$B$52:$B$58,0)))*DATOS!$C$14/(DATOS!$C$21*AG32)/DATOS!$C$22)&lt;0.005,0,DATOS!$C$29*(DN32*INDEX(TABLAS!$D$52:$D$58,MATCH(BV32,TABLAS!$B$52:$B$58,0)))*DATOS!$C$14*(DO32-(DN32*INDEX(TABLAS!$D$52:$D$58,MATCH(BV32,TABLAS!$B$52:$B$58,0)))*DATOS!$C$14/(DATOS!$C$21*AG32)/2)/1E5)))</f>
        <v/>
      </c>
      <c r="DQ32" s="56" t="str">
        <f>IF(V32&lt;&gt;"SÍ","",IF(OR(NOT(AND(C32="VOLADO",AD32&gt;DATOS!$C$83)),DN32&lt;1),0,DATOS!$C$30*2*MIN(1,SQRT(2/(1+0.04*DO32)))*((DN32*INDEX(TABLAS!$D$52:$D$58,MATCH(BV32,TABLAS!$B$52:$B$58,0)))/(AG32*DO32))^(1/3)*SQRT(DATOS!$C$13)*AG32*DO32/1000))</f>
        <v/>
      </c>
      <c r="DR32" s="56" t="str">
        <f>IF(V32&lt;&gt;"SÍ","",IF(NOT(AND(C32="VOLADO",AD32&gt;DATOS!$C$83)),0,IF((BH32-DP32)&lt;=0,0,IF(DP32&lt;=0,IF(ISNUMBER(P32),P32,Y32),IF(((0.9*DATOS!$C$90*DATOS!$C$86/100/1000)*IF(ISNUMBER(P32),P32,Y32)/2+BH32/IF(ISNUMBER(P32),P32,Y32))^2-4*((0.9*DATOS!$C$90*DATOS!$C$86/100/1000)/2)*(BH32-DP32)&lt;0,IF(ISNUMBER(P32),P32,Y32),MIN(IF(ISNUMBER(P32),P32,Y32),(((0.9*DATOS!$C$90*DATOS!$C$86/100/1000)*IF(ISNUMBER(P32),P32,Y32)/2+BH32/IF(ISNUMBER(P32),P32,Y32))-SQRT(((0.9*DATOS!$C$90*DATOS!$C$86/100/1000)*IF(ISNUMBER(P32),P32,Y32)/2+BH32/IF(ISNUMBER(P32),P32,Y32))^2-4*((0.9*DATOS!$C$90*DATOS!$C$86/100/1000)/2)*(BH32-DP32)))/(2*((0.9*DATOS!$C$90*DATOS!$C$86/100/1000)/2))))))))</f>
        <v/>
      </c>
      <c r="DS32" s="56" t="str">
        <f>IF(V32&lt;&gt;"SÍ","",IF(NOT(AND(C32="VOLADO",AD32&gt;DATOS!$C$83)),0,IF(DQ32&lt;=(BH32/((IF(ISNUMBER(P32),P32,Y32)*100-DATOS!$C$87)/100)),IF(ISNUMBER(P32),P32,Y32),MIN(IF(ISNUMBER(P32),P32,Y32),MAX(0,(IF(ISNUMBER(P32),P32,Y32)*100-DATOS!$C$87)/200-(DQ32-(BH32/((IF(ISNUMBER(P32),P32,Y32)*100-DATOS!$C$87)/100)))/((0.95-0.5*IF(N(Q32)&gt;0,MIN(IF(ISNUMBER(P32),P32,Y32),Q32)/MAX(IF(ISNUMBER(P32),P32,Y32),Q32),0))*DATOS!$C$33*AR32*DATOS!$C$86/100/1000))))))</f>
        <v/>
      </c>
      <c r="DT32" s="56" t="str">
        <f>IF(V32&lt;&gt;"SÍ","",IF(NOT(AND(C32="VOLADO",AD32&gt;DATOS!$C$83)),0,(BH32/((IF(ISNUMBER(P32),P32,Y32)*100-DATOS!$C$87)/100))+((0.95-0.5*IF(N(Q32)&gt;0,MIN(IF(ISNUMBER(P32),P32,Y32),Q32)/MAX(IF(ISNUMBER(P32),P32,Y32),Q32),0))*DATOS!$C$33*AR32*DATOS!$C$86/100/1000)*MAX(0,(IF(ISNUMBER(P32),P32,Y32)*100-DATOS!$C$87)/200-BX32/100)))</f>
        <v/>
      </c>
      <c r="DU32" s="59" t="str">
        <f>IF(V32&lt;&gt;"SÍ","",IF(NOT(AND(C32="VOLADO",AD32&gt;DATOS!$C$83)),0,MIN(FLOOR(100*IF(ISNUMBER(P32),P32,Y32)-DATOS!$C$63,5),CEILING(100*MIN(IF(ISNUMBER(P32),P32,Y32),MAX(IF(DR32&gt;0,DR32+IF(BW32&gt;=2,MAX(DO32,12*INDEX(TABLAS!$C$52:$C$58,MATCH(BV32,TABLAS!$B$52:$B$58,0)))/100,0),0),DS32,IF(BW32&gt;=2,INDEX(TABLAS!$F$52:$F$58,MATCH(BV32,TABLAS!$B$52:$B$58,0))/100,0))),5))))</f>
        <v/>
      </c>
      <c r="DV32" s="60" t="str">
        <f>IF(V32&lt;&gt;"SÍ","",IF(NOT(AND(C32="VOLADO",AD32&gt;DATOS!$C$83)),0,IF(DU32&lt;=0,0,CEILING(DU32/DATOS!$C$86,1))))</f>
        <v/>
      </c>
      <c r="DW32" s="61" t="str">
        <f>IF(V32&lt;&gt;"SÍ","",IF(C32&lt;&gt;"VOLADO","—",IF(AD32&lt;=DATOS!$C$83,"— (mismo b_w que el respaldo)",IF(DT32&gt;CS32,"NO CUMPLE: cortante de la nervadura ancha junto al apoyo ("&amp;TEXT(DT32,"0.00")&amp;" &gt; "&amp;TEXT(CS32,"0.00")&amp;" t)",IF(DU32&gt;=100*IF(ISNUMBER(P32),P32,Y32),"CUMPLE — todas las nervaduras del respaldo ‖ al volado con b_w = "&amp;AD32&amp;" cm","CUMPLE — "&amp;DV32&amp;" hilera(s) del respaldo con nervaduras de b_w = "&amp;AD32&amp;" cm (casetón "&amp;AE32&amp;" cm), hasta "&amp;TEXT(DU32/100,"0.00")&amp;" m del paño")))))</f>
        <v/>
      </c>
      <c r="DX32" s="69" t="str">
        <f>IF(V32&lt;&gt;"SÍ","",IF(BO32=0,"NO ALCANZA",BO32&amp;" No. "&amp;BN32&amp;IF(BO32&gt;1," corridas"," corrida")))</f>
        <v/>
      </c>
      <c r="DY32" s="69" t="str">
        <f>IF(V32&lt;&gt;"SÍ","",IF(BW32=0,"NO ALCANZA",IF(AND(C32="VOLADO",AD32&gt;DATOS!$C$83,BW32&gt;=2),"1 No. "&amp;BV32&amp;" corrida de la orilla al respaldo ("&amp;IF(DC32&gt;=FLOOR(100*IF(ISNUMBER(P32),P32,Y32)-DATOS!$C$63,5),"hasta su apoyo lejano, con gancho","entra "&amp;TEXT(DC32/100,"0.00")&amp;" m desde el paño")&amp;") + "&amp;(BW32-1)&amp;" bastón No. "&amp;BV32&amp;" hasta "&amp;TEXT(DU32/100,"0.00")&amp;" m del paño (fin de la nervadura ancha)",IF(C32="VOLADO",BW32&amp;" No. "&amp;BV32&amp;" de la orilla al respaldo ("&amp;IF(DC32&gt;=FLOOR(100*IF(ISNUMBER(P32),P32,Y32)-DATOS!$C$63,5),"hasta su apoyo lejano, con gancho","entran "&amp;TEXT(DC32/100,"0.00")&amp;" m desde el paño")&amp;")","1 No. "&amp;BV32&amp;" corrida"&amp;IF(BW32&gt;1," + "&amp;(BW32-1)&amp;" bastón No. "&amp;BV32&amp;" L = "&amp;TEXT(DC32/100,"0.00")&amp;" m desde el paño","")))))</f>
        <v/>
      </c>
      <c r="DZ32" s="69" t="str">
        <f>IF(V32&lt;&gt;"SÍ","",IF(CE32=0,"NO ALCANZA",CE32&amp;" No. "&amp;CD32&amp;IF(CE32&gt;1," corridas"," corrida")))</f>
        <v/>
      </c>
      <c r="EA32" s="69" t="str">
        <f>IF(V32&lt;&gt;"SÍ","",IF(CM32=0,"NO ALCANZA",IF(C32="VOLADO","1 No. "&amp;CL32&amp;" corrida (repartición)","1 No. "&amp;CL32&amp;" corrida"&amp;IF(CM32&gt;1," + "&amp;(CM32-1)&amp;" bastón No. "&amp;CL32&amp;" L = "&amp;TEXT(DD32/100,"0.00")&amp;" m desde el paño",""))))</f>
        <v/>
      </c>
      <c r="EB32" s="67" t="str">
        <f>IF(B32="","",IF(V32&lt;&gt;"SÍ","FALTAN DATOS: tipo, a_x, a_y, destino y, en volados, L_b",IF(L32="NO MONOLÍTICO (caso II)","FUERA DE ALCANCE: caso II no transcrito",IF(AND(C32="VOLADO",W32="?"),"REVISAR: el volado lleva UN solo borde CONTINUO (el empotrado)",IF(MIN(DH32,DI32)=0,"REVISAR: no cabe un casetón (tablero macizo): diséñalo en MACIZAS",IF(AND(MAX(BR32,BZ32,CH32,CP32)&lt;=1,NOT(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T(OR(AND(ISNUMBER(BS32),BS32&lt;0.005),AND(ISNUMBER(CA32),CA32&lt;0.005),AND(ISNUMBER(CI32),CI32&lt;0.005),AND(ISNUMBER(CQ32),CQ32&lt;0.005))),NOT(LEFT(DW32,2)="NO"),DA32="CUMPLE",DB32="CUMPLE",LEFT(CU32,2)&lt;&gt;"NO",LEFT(DATOS!$C$132,6)="CUMPLE"),IF(LEFT(CU32,6)="CUMPLE","CUMPLE","CUMPLE — "&amp;CU32)&amp;IF(LEFT(BK32,5)="FUERA"," · fuera de 3.4.2.1 c)","")&amp;IF(LEFT(DG32,2)="NO"," · REVISAR anclaje en borde discontinuo","")&amp;IF(DV32&gt;0," · respaldo: "&amp;DV32&amp;" hilera(s) de b_w "&amp;AD32&amp;" cm",""),IF(AND(MAX(BR32,BZ32,CH32,CP32)&lt;=1,NOT(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T(OR(AND(ISNUMBER(BS32),BS32&lt;0.005),AND(ISNUMBER(CA32),CA32&lt;0.005),AND(ISNUMBER(CI32),CI32&lt;0.005),AND(ISNUMBER(CQ32),CQ32&lt;0.005))),NOT(LEFT(DW32,2)="NO"),DA32="CALCULAR FLECHA",LEFT(CU32,2)&lt;&gt;"NO",LEFT(DATOS!$C$132,6)="CUMPLE"),"REVISAR: calcular flecha (h_eq &lt; h mín.)"&amp;IF(LEFT(BK32,5)="FUERA"," · fuera de 3.4.2.1 c)","")&amp;IF(LEFT(DG32,2)="NO"," · REVISAR anclaje en borde discontinuo","")&amp;IF(DV32&gt;0," · respaldo: "&amp;DV32&amp;" hilera(s) de b_w "&amp;AD32&amp;" cm",""),"NO CUMPLE: "&amp;IF(MAX(BR32,BZ32,CH32,CP32)&gt;1,"flexión ","")&amp;IF(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 caben ","")&amp;IF(OR(AND(ISNUMBER(BS32),BS32&lt;0.005),AND(ISNUMBER(CA32),CA32&lt;0.005),AND(ISNUMBER(CI32),CI32&lt;0.005),AND(ISNUMBER(CQ32),CQ32&lt;0.005)),"ε_t &lt; 0.005 ","")&amp;IF(LEFT(CU32,2)="NO","cortante ","")&amp;IF(DA32="NO CUMPLE","peralte ","")&amp;IF(DB32&lt;&gt;"CUMPLE","capa &lt; 6 cm ","")&amp;IF(LEFT(DATOS!$C$132,6)&lt;&gt;"CUMPLE","capa o malla (DATOS sección 7) ","")&amp;IF(LEFT(DW32,2)="NO","respaldo del volado",""))))))))</f>
        <v/>
      </c>
      <c r="EC32" s="70" t="str">
        <f>IF(V32&lt;&gt;"SÍ","",IF(LEFT(B32,7)="EJEMPLO","EJEMPLO de la hoja de Casa Rocha: bórralo o sobrescríbelo. ","")&amp;IF(AND(C32="PERIMETRAL",MIN(DH32,DI32)=0),"No cabe un casetón en el claro corto: es un tablero macizo, diséñalo en MACIZAS. ","")&amp;IF(AND(AJ32="NO",C32="PERIMETRAL"),"No cumple 6.7.8.1.4 (a_c = "&amp;MAX(DATOS!$C$81,AE32)&amp;" cm &gt; claro corto/6 = "&amp;TEXT(Y32*100/6,"0")&amp;" cm): se diseña como losa apoyada en vigas (6.7.8.1.9): r de viga = "&amp;DATOS!$C$63&amp;" cm y V_cR sin ×1.1. Para que cuente como encasetonada: casetón de "&amp;TEXT(FLOOR(MIN(80,Y32*100/6),1),"0")&amp;" cm o menor. ","")&amp;IF(C32="VOLADO","Volado de "&amp;TEXT(Y32,"0.00")&amp;" m empotrado en el borde "&amp;LOWER(W32)&amp;IF(N(O32)&gt;0,", con "&amp;TEXT(O32,"0.0")&amp;" kg/m en la orilla","")&amp;". Lecho inferior con r_ext. Si la orilla carga pretil u otro elemento frágil, calcula la flecha (13.4). El acero superior entra al respaldo de "&amp;TEXT(IF(ISNUMBER(P32),P32,Y32),"0.00")&amp;" m"&amp;" hasta pasar M = 0 con 0.9·PP sin carga viva; si ahí no se anula, llega al apoyo lejano y se ancla con gancho (NTC-Criterios 3.4.1 c y 5.1.2.2). "&amp;IF(AD32&gt;DATOS!$C$83,"Respaldo: "&amp;DW32&amp;". ",""),"")&amp;IF(AND(C32="VOLADO",((0.9*DATOS!$C$90*DATOS!$C$86/100/1000)*IF(ISNUMBER(P32),P32,Y32)/2-BH32/IF(ISNUMBER(P32),P32,Y32))&lt;0),"Con 0.9·PP y sin carga viva el apoyo lejano del respaldo levanta (R = "&amp;TEXT(-((0.9*DATOS!$C$90*DATOS!$C$86/100/1000)*IF(ISNUMBER(P32),P32,Y32)/2-BH32/IF(ISNUMBER(P32),P32,Y32)),"0.00")&amp;" t por nervadura): ancla ahí la corrida con gancho y revisa ese apoyo a tensión. ","")&amp;IF(LEFT(BK32,5)="FUERA","El M⁻ del vecino difiere más de 50 % (3.4.2.1 c): distribuye el desequilibrio (3.4.3.1) o confirma con un modelo; se arma con el mayor. ","")&amp;IF(OR(DE32="SÍ",DF32="SÍ"),"El M⁻ del borde discontinuo pide bastón también ahí (con gancho). ","")&amp;IF(LEFT(DG32,2)="NO","Anclaje: "&amp;DG32&amp;" (6.7.8.1.7). ","")&amp;IF(AND(C32="PERIMETRAL",AT32&gt;=1,AS32-AT32&gt;=1),"Esquinas exteriores sobre muro: refuerzo de esquina arriba y abajo en L_largo/5 (6.7.7.3.1). ",""))</f>
        <v/>
      </c>
    </row>
    <row r="33" ht="33" customHeight="1">
      <c r="A33" s="50">
        <f>IF(B33="",0,1)+A32</f>
        <v>4</v>
      </c>
      <c r="B33" s="29" t="n"/>
      <c r="C33" s="51" t="n"/>
      <c r="D33" s="29" t="n"/>
      <c r="E33" s="52" t="n"/>
      <c r="F33" s="52" t="n"/>
      <c r="G33" s="51" t="n"/>
      <c r="H33" s="51" t="n"/>
      <c r="I33" s="51" t="n"/>
      <c r="J33" s="51" t="n"/>
      <c r="K33" s="51" t="n"/>
      <c r="L33" s="51" t="n"/>
      <c r="M33" s="53" t="n"/>
      <c r="N33" s="53" t="n"/>
      <c r="O33" s="54" t="n"/>
      <c r="P33" s="52" t="n"/>
      <c r="Q33" s="52" t="n"/>
      <c r="R33" s="53" t="n"/>
      <c r="S33" s="54" t="n"/>
      <c r="T33" s="52" t="n"/>
      <c r="U33" s="52" t="n"/>
      <c r="V33" s="55" t="str">
        <f>IF(B33="","",IF(AND(OR(C33="PERIMETRAL",C33="VOLADO"),ISNUMBER(E33),ISNUMBER(F33),E33&gt;0,F33&gt;0,OR(ISNUMBER(N33),ISNUMBER(MATCH(D33,DATOS!$B$46:$B$58,0))),OR(C33&lt;&gt;"VOLADO",N(P33)&gt;0)),"SÍ","NO"))</f>
        <v/>
      </c>
      <c r="W33" s="55" t="str">
        <f>IF(V33&lt;&gt;"SÍ","",IF(C33&lt;&gt;"VOLADO","—",IF(COUNTIF(G33:J33,"CONTINUO")&lt;&gt;1,"?",IF(G33="CONTINUO","INFERIOR",IF(H33="CONTINUO","SUPERIOR",IF(I33="CONTINUO","IZQUIERDO","DERECHO"))))))</f>
        <v/>
      </c>
      <c r="X33" s="55" t="str">
        <f>IF(V33&lt;&gt;"SÍ","",IF(C33="VOLADO",IF(OR(W33="IZQUIERDO",W33="DERECHO"),"X","Y"),IF(E33&lt;=F33,"X","Y")))</f>
        <v/>
      </c>
      <c r="Y33" s="56" t="str">
        <f>IF(V33&lt;&gt;"SÍ","",IF(C33="VOLADO",IF(X33="X",E33,F33),MIN(E33,F33)))</f>
        <v/>
      </c>
      <c r="Z33" s="56" t="str">
        <f>IF(V33&lt;&gt;"SÍ","",IF(C33="VOLADO",IF(X33="X",F33,E33),MAX(E33,F33)))</f>
        <v/>
      </c>
      <c r="AA33" s="56" t="str">
        <f>IF(V33&lt;&gt;"SÍ","",MIN(Y33,Z33)/MAX(Y33,Z33))</f>
        <v/>
      </c>
      <c r="AB33" s="57" t="str">
        <f>IF(V33&lt;&gt;"SÍ","",MAX(1,Y33*100-IF(C33="VOLADO",DATOS!$C$87/2,DATOS!$C$87)))</f>
        <v/>
      </c>
      <c r="AC33" s="57" t="str">
        <f>IF(V33&lt;&gt;"SÍ","",MAX(1,Z33*100-DATOS!$C$87))</f>
        <v/>
      </c>
      <c r="AD33" s="57" t="str">
        <f>IF(V33&lt;&gt;"SÍ","",IF(ISNUMBER(R33),R33,DATOS!$C$83))</f>
        <v/>
      </c>
      <c r="AE33" s="57" t="str">
        <f>IF(V33&lt;&gt;"SÍ","",MAX(0,DATOS!$C$86-AD33))</f>
        <v/>
      </c>
      <c r="AF33" s="57" t="str">
        <f>IF(V33&lt;&gt;"SÍ","",IF(OR(DATOS!$C$65="SÍ",AD33&gt;=20),AD33,AD33-2))</f>
        <v/>
      </c>
      <c r="AG33" s="57" t="str">
        <f>IF(V33&lt;&gt;"SÍ","",IF(OR(DATOS!$C$65="SÍ",DATOS!$C$83&gt;=20),DATOS!$C$83,DATOS!$C$83-2))</f>
        <v/>
      </c>
      <c r="AH33" s="57" t="str">
        <f>IF(V33&lt;&gt;"SÍ","",MIN(DATOS!$C$86,AD33+2*MIN(8*DATOS!$C$84,AE33/2,AB33/8)))</f>
        <v/>
      </c>
      <c r="AI33" s="57" t="str">
        <f>IF(V33&lt;&gt;"SÍ","",MIN(DATOS!$C$86,DATOS!$C$83+2*MIN(8*DATOS!$C$84,DATOS!$C$81/2,AC33/8)))</f>
        <v/>
      </c>
      <c r="AJ33" s="55" t="str">
        <f>IF(V33&lt;&gt;"SÍ","",IF(AND(C33="PERIMETRAL",Y33*100&gt;=6*MAX(DATOS!$C$81,AE33),MAX(DATOS!$C$81,AE33)&lt;=80,MIN(DATOS!$C$83,AD33)&gt;=10,DATOS!$C$85&lt;=3.5*MIN(DATOS!$C$83,AD33),DATOS!$C$84&gt;=MAX(MAX(DATOS!$C$81,AE33)/13,5)),"SÍ","NO"))</f>
        <v/>
      </c>
      <c r="AK33" s="57" t="str">
        <f>IF(V33&lt;&gt;"SÍ","",IF(C33="VOLADO",DATOS!$C$64,IF(AJ33="NO",DATOS!$C$63,DATOS!$C$62)))</f>
        <v/>
      </c>
      <c r="AL33" s="57" t="str">
        <f>IF(V33&lt;&gt;"SÍ","",IF(OR(AND(AN33="SÍ",DATOS!$C$66="SÍ"),AND(C33="VOLADO",DATOS!$C$67="SÍ")),DATOS!$C$64,IF(AJ33="NO",DATOS!$C$63,DATOS!$C$62)))</f>
        <v/>
      </c>
      <c r="AM33" s="58" t="str">
        <f>IF(V33&lt;&gt;"SÍ","",MAX(AL33,(DATOS!$C$84-2*DATOS!$C$97)/2))</f>
        <v/>
      </c>
      <c r="AN33" s="55" t="str">
        <f>IF(V33&lt;&gt;"SÍ","",IFERROR(INDEX(DATOS!$D$46:$D$58,MATCH(D33,DATOS!$B$46:$B$58,0)),"NO"))</f>
        <v/>
      </c>
      <c r="AO33" s="59" t="str">
        <f>IF(V33&lt;&gt;"SÍ","",IF(ISNUMBER(N33),N33,IFERROR(INDEX(DATOS!$C$46:$C$58,MATCH(D33,DATOS!$B$46:$B$58,0)),0)))</f>
        <v/>
      </c>
      <c r="AP33" s="59" t="str">
        <f>IF(V33&lt;&gt;"SÍ","",IF(MIN(DH33,DI33)=0,DATOS!$C$85/100*DATOS!$C$16*1000,(DATOS!$C$85/100-(AE33*DATOS!$C$81/DATOS!$C$86^2)*DATOS!$C$82/100)*DATOS!$C$16*1000+(AE33*DATOS!$C$81/DATOS!$C$86^2)*DATOS!$C$82/100*DATOS!$C$17*1000)+DATOS!$C$37+DATOS!$C$38)</f>
        <v/>
      </c>
      <c r="AQ33" s="59" t="str">
        <f>IF(V33&lt;&gt;"SÍ","",AP33+N(M33))</f>
        <v/>
      </c>
      <c r="AR33" s="60" t="str">
        <f>IF(V33&lt;&gt;"SÍ","",MAX(DATOS!$C$26*AQ33+DATOS!$C$27*AO33,IF(AN33="SÍ",DATOS!$C$28*(AQ33+DATOS!$C$41),0)))</f>
        <v/>
      </c>
      <c r="AS33" s="59" t="str">
        <f>IF(V33&lt;&gt;"SÍ","",(G33="DISCONTINUO")+(H33="DISCONTINUO")+(I33="DISCONTINUO")+(J33="DISCONTINUO"))</f>
        <v/>
      </c>
      <c r="AT33" s="59" t="str">
        <f>IF(V33&lt;&gt;"SÍ","",IF(X33="X",(G33="DISCONTINUO")+(H33="DISCONTINUO"),(I33="DISCONTINUO")+(J33="DISCONTINUO")))</f>
        <v/>
      </c>
      <c r="AU33" s="55" t="str">
        <f>IF(V33&lt;&gt;"SÍ","",IF(AS33=0,"INTERIOR",IF(AS33=1,IF(AT33=1,"BORDE-CORTO","BORDE-LARGO"),IF(AS33=2,IF(AT33=1,"ESQUINA",IF(AT33=2,"EXTREMO-LARGO","EXTREMO-CORTO")),IF(AS33=3,IF(AT33=2,"EXTREMO-LARGO","EXTREMO-CORTO"),"AISLADO")))))</f>
        <v/>
      </c>
      <c r="AV33" s="61" t="str">
        <f>IF(V33&lt;&gt;"SÍ","",IF(OR(K33="",K33="AUTO"),AU33,K33))</f>
        <v/>
      </c>
      <c r="AW33" s="59" t="str">
        <f>IF(V33&lt;&gt;"SÍ","",MATCH(AA33,TABLAS!$D$5:$J$5,1))</f>
        <v/>
      </c>
      <c r="AX33" s="58" t="str">
        <f>IF(V33&lt;&gt;"SÍ","",IF(AW33&gt;=7,0,(AA33-INDEX(TABLAS!$D$5:$J$5,AW33))/(INDEX(TABLAS!$D$5:$J$5,AW33+1)-INDEX(TABLAS!$D$5:$J$5,AW33))))</f>
        <v/>
      </c>
      <c r="AY33" s="59" t="str">
        <f>IF(V33&lt;&gt;"SÍ","",INDEX(TABLAS!$D$6:$J$47,MATCH(AV33&amp;"|NIC",TABLAS!$B$6:$B$47,0),AW33)+AX33*(INDEX(TABLAS!$D$6:$J$47,MATCH(AV33&amp;"|NIC",TABLAS!$B$6:$B$47,0),MIN(AW33+1,7))-INDEX(TABLAS!$D$6:$J$47,MATCH(AV33&amp;"|NIC",TABLAS!$B$6:$B$47,0),AW33)))</f>
        <v/>
      </c>
      <c r="AZ33" s="59" t="str">
        <f>IF(V33&lt;&gt;"SÍ","",INDEX(TABLAS!$D$6:$J$47,MATCH(AV33&amp;"|NIL",TABLAS!$B$6:$B$47,0),AW33)+AX33*(INDEX(TABLAS!$D$6:$J$47,MATCH(AV33&amp;"|NIL",TABLAS!$B$6:$B$47,0),MIN(AW33+1,7))-INDEX(TABLAS!$D$6:$J$47,MATCH(AV33&amp;"|NIL",TABLAS!$B$6:$B$47,0),AW33)))</f>
        <v/>
      </c>
      <c r="BA33" s="59" t="str">
        <f>IF(V33&lt;&gt;"SÍ","",INDEX(TABLAS!$D$6:$J$47,MATCH(AV33&amp;"|NDC",TABLAS!$B$6:$B$47,0),AW33)+AX33*(INDEX(TABLAS!$D$6:$J$47,MATCH(AV33&amp;"|NDC",TABLAS!$B$6:$B$47,0),MIN(AW33+1,7))-INDEX(TABLAS!$D$6:$J$47,MATCH(AV33&amp;"|NDC",TABLAS!$B$6:$B$47,0),AW33)))</f>
        <v/>
      </c>
      <c r="BB33" s="59" t="str">
        <f>IF(V33&lt;&gt;"SÍ","",INDEX(TABLAS!$D$6:$J$47,MATCH(AV33&amp;"|NDL",TABLAS!$B$6:$B$47,0),AW33)+AX33*(INDEX(TABLAS!$D$6:$J$47,MATCH(AV33&amp;"|NDL",TABLAS!$B$6:$B$47,0),MIN(AW33+1,7))-INDEX(TABLAS!$D$6:$J$47,MATCH(AV33&amp;"|NDL",TABLAS!$B$6:$B$47,0),AW33)))</f>
        <v/>
      </c>
      <c r="BC33" s="59" t="str">
        <f>IF(V33&lt;&gt;"SÍ","",INDEX(TABLAS!$D$6:$J$47,MATCH(AV33&amp;"|PC",TABLAS!$B$6:$B$47,0),AW33)+AX33*(INDEX(TABLAS!$D$6:$J$47,MATCH(AV33&amp;"|PC",TABLAS!$B$6:$B$47,0),MIN(AW33+1,7))-INDEX(TABLAS!$D$6:$J$47,MATCH(AV33&amp;"|PC",TABLAS!$B$6:$B$47,0),AW33)))</f>
        <v/>
      </c>
      <c r="BD33" s="59" t="str">
        <f>IF(V33&lt;&gt;"SÍ","",INDEX(TABLAS!$D$6:$J$47,MATCH(AV33&amp;"|PL",TABLAS!$B$6:$B$47,0),AW33)+AX33*(INDEX(TABLAS!$D$6:$J$47,MATCH(AV33&amp;"|PL",TABLAS!$B$6:$B$47,0),MIN(AW33+1,7))-INDEX(TABLAS!$D$6:$J$47,MATCH(AV33&amp;"|PL",TABLAS!$B$6:$B$47,0),AW33)))</f>
        <v/>
      </c>
      <c r="BE33" s="56" t="str">
        <f>IF(V33&lt;&gt;"SÍ","",IF(OR(C33&lt;&gt;"VOLADO",MIN(DH33,DI33)=0),0,DATOS!$C$26*DATOS!$C$16*DATOS!$C$86/100*(((AE33*DATOS!$C$81/DATOS!$C$86^2)*DATOS!$C$82/100)*(IF(X33="X",DJ33,DL33)+DATOS!$C$87/2)/100*(AB33-(IF(X33="X",DJ33,DL33)+DATOS!$C$87/2)/2)/100+((AE33*DATOS!$C$81/DATOS!$C$86^2)*DATOS!$C$82/100)*IF(X33="X",DJ33,DL33)/100*IF(X33="X",DJ33,DL33)/200)))</f>
        <v/>
      </c>
      <c r="BF33" s="56" t="str">
        <f>IF(V33&lt;&gt;"SÍ","",IF(OR(C33&lt;&gt;"VOLADO",MIN(DH33,DI33)=0),0,DATOS!$C$26*DATOS!$C$16*DATOS!$C$86/100*((AE33*DATOS!$C$81/DATOS!$C$86^2)*DATOS!$C$82/100)*(IF(X33="X",DJ33,DL33)+DATOS!$C$87/2)/100))</f>
        <v/>
      </c>
      <c r="BG33" s="56" t="str">
        <f>IF(V33&lt;&gt;"SÍ","",IF(C33="PERIMETRAL",BC33*AR33*Y33^2*1E-4*DATOS!$C$86/100/1000,0))</f>
        <v/>
      </c>
      <c r="BH33" s="62" t="str">
        <f>IF(V33&lt;&gt;"SÍ","",IF(C33="PERIMETRAL",MAX(MAX(AY33,BA33)*AR33*Y33^2*1E-4*DATOS!$C$86/100/1000,N(T33)),(AR33*(AB33/100)^2/2+DATOS!$C$26*N(O33)*AB33/100)*DATOS!$C$86/100/1000+BE33))</f>
        <v/>
      </c>
      <c r="BI33" s="56" t="str">
        <f>IF(V33&lt;&gt;"SÍ","",IF(C33="PERIMETRAL",BD33*AR33*Y33^2*1E-4*DATOS!$C$86/100/1000,0))</f>
        <v/>
      </c>
      <c r="BJ33" s="56" t="str">
        <f>IF(V33&lt;&gt;"SÍ","",IF(C33="PERIMETRAL",MAX(MAX(AZ33,BB33)*AR33*Y33^2*1E-4*DATOS!$C$86/100/1000,N(U33)),0))</f>
        <v/>
      </c>
      <c r="BK33" s="63" t="str">
        <f>IF(V33&lt;&gt;"SÍ","",IF(C33&lt;&gt;"PERIMETRAL","—",IF(AND(N(T33)=0,N(U33)=0),"— (sin M⁻ del vecino)",IF(OR(AND(N(T33)&gt;0,ABS(MAX(AY33,BA33)*AR33*Y33^2*1E-4*DATOS!$C$86/100/1000-N(T33))&gt;0.5*MIN(MAX(AY33,BA33)*AR33*Y33^2*1E-4*DATOS!$C$86/100/1000,N(T33))),AND(N(U33)&gt;0,ABS(MAX(AZ33,BB33)*AR33*Y33^2*1E-4*DATOS!$C$86/100/1000-N(U33))&gt;0.5*MIN(MAX(AZ33,BB33)*AR33*Y33^2*1E-4*DATOS!$C$86/100/1000,N(U33)))),"FUERA: difieren &gt; 50 %"&amp;IF(AND(N(T33)&gt;0,ABS(MAX(AY33,BA33)*AR33*Y33^2*1E-4*DATOS!$C$86/100/1000-N(T33))&gt;0.5*MIN(MAX(AY33,BA33)*AR33*Y33^2*1E-4*DATOS!$C$86/100/1000,N(T33)))," ‖ corto","")&amp;IF(AND(N(U33)&gt;0,ABS(MAX(AZ33,BB33)*AR33*Y33^2*1E-4*DATOS!$C$86/100/1000-N(U33))&gt;0.5*MIN(MAX(AZ33,BB33)*AR33*Y33^2*1E-4*DATOS!$C$86/100/1000,N(U33)))," ‖ largo",""),"CUMPLE"))))</f>
        <v/>
      </c>
      <c r="BL33" s="58" t="str">
        <f>IF(V33&lt;&gt;"SÍ","",(DATOS!$C$85-AK33-INDEX(TABLAS!$C$52:$C$58,MATCH(MAX(4,DATOS!$C$71),TABLAS!$B$52:$B$58,0))/2))</f>
        <v/>
      </c>
      <c r="BM33" s="58" t="str">
        <f>IF(V33&lt;&gt;"SÍ","",IF(IF(BG33&lt;=0,0,IF((1-2*BG33*1E5/(DATOS!$C$29*AH33*BL33^2*DATOS!$C$21))&lt;0,-1,IF((1-SQRT((1-2*BG33*1E5/(DATOS!$C$29*AH33*BL33^2*DATOS!$C$21))))*DATOS!$C$21*AH33*BL33/DATOS!$C$14&gt;DATOS!$C$102*AH33*BL33,-1,(1-SQRT((1-2*BG33*1E5/(DATOS!$C$29*AH33*BL33^2*DATOS!$C$21))))*DATOS!$C$21*AH33*BL33/DATOS!$C$14)))&lt;0,-1,MAX(IF(BG33&lt;=0,0,IF((1-2*BG33*1E5/(DATOS!$C$29*AH33*BL33^2*DATOS!$C$21))&lt;0,-1,IF((1-SQRT((1-2*BG33*1E5/(DATOS!$C$29*AH33*BL33^2*DATOS!$C$21))))*DATOS!$C$21*AH33*BL33/DATOS!$C$14&gt;DATOS!$C$102*AH33*BL33,-1,(1-SQRT((1-2*BG33*1E5/(DATOS!$C$29*AH33*BL33^2*DATOS!$C$21))))*DATOS!$C$21*AH33*BL33/DATOS!$C$14))),MIN(DATOS!$C$103*AD33*BL33,4/3*IF(BG33&lt;=0,0,IF((1-2*BG33*1E5/(DATOS!$C$29*AH33*BL33^2*DATOS!$C$21))&lt;0,-1,IF((1-SQRT((1-2*BG33*1E5/(DATOS!$C$29*AH33*BL33^2*DATOS!$C$21))))*DATOS!$C$21*AH33*BL33/DATOS!$C$14&gt;DATOS!$C$102*AH33*BL33,-1,(1-SQRT((1-2*BG33*1E5/(DATOS!$C$29*AH33*BL33^2*DATOS!$C$21))))*DATOS!$C$21*AH33*BL33/DATOS!$C$14)))))))</f>
        <v/>
      </c>
      <c r="BN33" s="64" t="str">
        <f>IF(V33&lt;&gt;"SÍ","",IF(AND(BM33&gt;=0,IF(MAX(DATOS!$C$74,CEILING(BM33/INDEX(TABLAS!$D$52:$D$58,MIN(MATCH(MAX(4,DATOS!$C$71),TABLAS!$B$52:$B$58,0)+0,7)),1))*INDEX(TABLAS!$D$52:$D$58,MIN(MATCH(MAX(4,DATOS!$C$71),TABLAS!$B$52:$B$58,0)+0,7)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+0,7)),1)),MAX(MAX(DATOS!$C$74,CEILING(BM33/INDEX(TABLAS!$D$52:$D$58,MIN(MATCH(MAX(4,DATOS!$C$71),TABLAS!$B$52:$B$58,0)+0,7)),1)),2))&lt;=MIN(DATOS!$C$73,INT(((AD33-2*AK33)+MAX(DATOS!$C$70,INDEX(TABLAS!$C$52:$C$58,MIN(MATCH(MAX(4,DATOS!$C$71),TABLAS!$B$52:$B$58,0)+0,7))))/(INDEX(TABLAS!$C$52:$C$58,MIN(MATCH(MAX(4,DATOS!$C$71),TABLAS!$B$52:$B$58,0)+0,7))+MAX(DATOS!$C$70,INDEX(TABLAS!$C$52:$C$58,MIN(MATCH(MAX(4,DATOS!$C$71),TABLAS!$B$52:$B$58,0)+0,7))))))),INDEX(TABLAS!$B$52:$B$58,MIN(MATCH(MAX(4,DATOS!$C$71),TABLAS!$B$52:$B$58,0)+0,7)),IF(AND(BM33&gt;=0,IF(MAX(DATOS!$C$74,CEILING(BM33/INDEX(TABLAS!$D$52:$D$58,MIN(MATCH(MAX(4,DATOS!$C$71),TABLAS!$B$52:$B$58,0)+1,7)),1))*INDEX(TABLAS!$D$52:$D$58,MIN(MATCH(MAX(4,DATOS!$C$71),TABLAS!$B$52:$B$58,0)+1,7)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+1,7)),1)),MAX(MAX(DATOS!$C$74,CEILING(BM33/INDEX(TABLAS!$D$52:$D$58,MIN(MATCH(MAX(4,DATOS!$C$71),TABLAS!$B$52:$B$58,0)+1,7)),1)),2))&lt;=MIN(DATOS!$C$73,INT(((AD33-2*AK33)+MAX(DATOS!$C$70,INDEX(TABLAS!$C$52:$C$58,MIN(MATCH(MAX(4,DATOS!$C$71),TABLAS!$B$52:$B$58,0)+1,7))))/(INDEX(TABLAS!$C$52:$C$58,MIN(MATCH(MAX(4,DATOS!$C$71),TABLAS!$B$52:$B$58,0)+1,7))+MAX(DATOS!$C$70,INDEX(TABLAS!$C$52:$C$58,MIN(MATCH(MAX(4,DATOS!$C$71),TABLAS!$B$52:$B$58,0)+1,7))))))),INDEX(TABLAS!$B$52:$B$58,MIN(MATCH(MAX(4,DATOS!$C$71),TABLAS!$B$52:$B$58,0)+1,7)),IF(AND(BM33&gt;=0,IF(MAX(DATOS!$C$74,CEILING(BM33/INDEX(TABLAS!$D$52:$D$58,MIN(MATCH(MAX(4,DATOS!$C$71),TABLAS!$B$52:$B$58,0)+2,7)),1))*INDEX(TABLAS!$D$52:$D$58,MIN(MATCH(MAX(4,DATOS!$C$71),TABLAS!$B$52:$B$58,0)+2,7)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+2,7)),1)),MAX(MAX(DATOS!$C$74,CEILING(BM33/INDEX(TABLAS!$D$52:$D$58,MIN(MATCH(MAX(4,DATOS!$C$71),TABLAS!$B$52:$B$58,0)+2,7)),1)),2))&lt;=MIN(DATOS!$C$73,INT(((AD33-2*AK33)+MAX(DATOS!$C$70,INDEX(TABLAS!$C$52:$C$58,MIN(MATCH(MAX(4,DATOS!$C$71),TABLAS!$B$52:$B$58,0)+2,7))))/(INDEX(TABLAS!$C$52:$C$58,MIN(MATCH(MAX(4,DATOS!$C$71),TABLAS!$B$52:$B$58,0)+2,7))+MAX(DATOS!$C$70,INDEX(TABLAS!$C$52:$C$58,MIN(MATCH(MAX(4,DATOS!$C$71),TABLAS!$B$52:$B$58,0)+2,7))))))),INDEX(TABLAS!$B$52:$B$58,MIN(MATCH(MAX(4,DATOS!$C$71),TABLAS!$B$52:$B$58,0)+2,7)),IF(AND(BM33&gt;=0,IF(MAX(DATOS!$C$74,CEILING(BM33/INDEX(TABLAS!$D$52:$D$58,MIN(MATCH(MAX(4,DATOS!$C$71),TABLAS!$B$52:$B$58,0)+3,7)),1))*INDEX(TABLAS!$D$52:$D$58,MIN(MATCH(MAX(4,DATOS!$C$71),TABLAS!$B$52:$B$58,0)+3,7)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+3,7)),1)),MAX(MAX(DATOS!$C$74,CEILING(BM33/INDEX(TABLAS!$D$52:$D$58,MIN(MATCH(MAX(4,DATOS!$C$71),TABLAS!$B$52:$B$58,0)+3,7)),1)),2))&lt;=MIN(DATOS!$C$73,INT(((AD33-2*AK33)+MAX(DATOS!$C$70,INDEX(TABLAS!$C$52:$C$58,MIN(MATCH(MAX(4,DATOS!$C$71),TABLAS!$B$52:$B$58,0)+3,7))))/(INDEX(TABLAS!$C$52:$C$58,MIN(MATCH(MAX(4,DATOS!$C$71),TABLAS!$B$52:$B$58,0)+3,7))+MAX(DATOS!$C$70,INDEX(TABLAS!$C$52:$C$58,MIN(MATCH(MAX(4,DATOS!$C$71),TABLAS!$B$52:$B$58,0)+3,7))))))),INDEX(TABLAS!$B$52:$B$58,MIN(MATCH(MAX(4,DATOS!$C$71),TABLAS!$B$52:$B$58,0)+3,7)),IF(AND(BM33&gt;=0,IF(MAX(DATOS!$C$74,CEILING(BM33/INDEX(TABLAS!$D$52:$D$58,MIN(MATCH(MAX(4,DATOS!$C$71),TABLAS!$B$52:$B$58,0)+4,7)),1))*INDEX(TABLAS!$D$52:$D$58,MIN(MATCH(MAX(4,DATOS!$C$71),TABLAS!$B$52:$B$58,0)+4,7)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+4,7)),1)),MAX(MAX(DATOS!$C$74,CEILING(BM33/INDEX(TABLAS!$D$52:$D$58,MIN(MATCH(MAX(4,DATOS!$C$71),TABLAS!$B$52:$B$58,0)+4,7)),1)),2))&lt;=MIN(DATOS!$C$73,INT(((AD33-2*AK33)+MAX(DATOS!$C$70,INDEX(TABLAS!$C$52:$C$58,MIN(MATCH(MAX(4,DATOS!$C$71),TABLAS!$B$52:$B$58,0)+4,7))))/(INDEX(TABLAS!$C$52:$C$58,MIN(MATCH(MAX(4,DATOS!$C$71),TABLAS!$B$52:$B$58,0)+4,7))+MAX(DATOS!$C$70,INDEX(TABLAS!$C$52:$C$58,MIN(MATCH(MAX(4,DATOS!$C$71),TABLAS!$B$52:$B$58,0)+4,7))))))),INDEX(TABLAS!$B$52:$B$58,MIN(MATCH(MAX(4,DATOS!$C$71),TABLAS!$B$52:$B$58,0)+4,7)),INDEX(TABLAS!$B$52:$B$58,7)))))))</f>
        <v/>
      </c>
      <c r="BO33" s="59" t="str">
        <f>IF(V33&lt;&gt;"SÍ","",IF(BM33&lt;0,0,IF(MAX(DATOS!$C$74,CEILING(MAX(BM33,0)/INDEX(TABLAS!$D$52:$D$58,MATCH(BN33,TABLAS!$B$52:$B$58,0)),1))*INDEX(TABLAS!$D$52:$D$58,MATCH(BN33,TABLAS!$B$52:$B$58,0))&gt;=4/3*IF(BG33&lt;=0,0,IF((1-2*BG33*1E5/(DATOS!$C$29*AH33*BL33^2*DATOS!$C$21))&lt;0,-1,IF((1-SQRT((1-2*BG33*1E5/(DATOS!$C$29*AH33*BL33^2*DATOS!$C$21))))*DATOS!$C$21*AH33*BL33/DATOS!$C$14&gt;DATOS!$C$102*AH33*BL33,-1,(1-SQRT((1-2*BG33*1E5/(DATOS!$C$29*AH33*BL33^2*DATOS!$C$21))))*DATOS!$C$21*AH33*BL33/DATOS!$C$14)))-0.0001,MAX(DATOS!$C$74,CEILING(MAX(BM33,0)/INDEX(TABLAS!$D$52:$D$58,MATCH(BN33,TABLAS!$B$52:$B$58,0)),1)),MAX(MAX(DATOS!$C$74,CEILING(MAX(BM33,0)/INDEX(TABLAS!$D$52:$D$58,MATCH(BN33,TABLAS!$B$52:$B$58,0)),1)),2))))</f>
        <v/>
      </c>
      <c r="BP33" s="58" t="str">
        <f>IF(V33&lt;&gt;"SÍ","",DATOS!$C$85-AK33-INDEX(TABLAS!$C$52:$C$58,MATCH(BN33,TABLAS!$B$52:$B$58,0))/2)</f>
        <v/>
      </c>
      <c r="BQ33" s="56" t="str">
        <f>IF(V33&lt;&gt;"SÍ","",IF(BO33=0,0,DATOS!$C$29*BO33*INDEX(TABLAS!$D$52:$D$58,MATCH(BN33,TABLAS!$B$52:$B$58,0))*DATOS!$C$14*(BP33-BO33*INDEX(TABLAS!$D$52:$D$58,MATCH(BN33,TABLAS!$B$52:$B$58,0))*DATOS!$C$14/(DATOS!$C$21*AH33)/2)/1E5))</f>
        <v/>
      </c>
      <c r="BR33" s="65" t="str">
        <f>IF(V33&lt;&gt;"SÍ","",IF(BM33&lt;0,9.99,IF(BQ33&gt;0,BG33/BQ33,0)))</f>
        <v/>
      </c>
      <c r="BS33" s="66" t="str">
        <f>IF(V33&lt;&gt;"SÍ","",IF(BO33=0,"—",0.003*(BP33-(BO33*INDEX(TABLAS!$D$52:$D$58,MATCH(BN33,TABLAS!$B$52:$B$58,0))*DATOS!$C$14/(DATOS!$C$21*AH33)/DATOS!$C$22))/(BO33*INDEX(TABLAS!$D$52:$D$58,MATCH(BN33,TABLAS!$B$52:$B$58,0))*DATOS!$C$14/(DATOS!$C$21*AH33)/DATOS!$C$22)))</f>
        <v/>
      </c>
      <c r="BT33" s="58" t="str">
        <f>IF(V33&lt;&gt;"SÍ","",((DATOS!$C$85-AM33-2*DATOS!$C$97-INDEX(TABLAS!$C$52:$C$58,MATCH(MAX(4,DATOS!$C$72),TABLAS!$B$52:$B$58,0))/2)-IF(AND((DATOS!$C$85-AM33-2*DATOS!$C$97-INDEX(TABLAS!$C$52:$C$58,MATCH(MAX(4,DATOS!$C$72),TABLAS!$B$52:$B$58,0))/2)&lt;=20,DATOS!$C$65&lt;&gt;"SÍ"),2,0)))</f>
        <v/>
      </c>
      <c r="BU33" s="58" t="str">
        <f>IF(V33&lt;&gt;"SÍ","",IF(IF(BH33&lt;=0,0,IF((1-2*BH33*1E5/(DATOS!$C$29*AF33*BT33^2*DATOS!$C$21))&lt;0,-1,IF((1-SQRT((1-2*BH33*1E5/(DATOS!$C$29*AF33*BT33^2*DATOS!$C$21))))*DATOS!$C$21*AF33*BT33/DATOS!$C$14&gt;DATOS!$C$102*AF33*BT33,-1,(1-SQRT((1-2*BH33*1E5/(DATOS!$C$29*AF33*BT33^2*DATOS!$C$21))))*DATOS!$C$21*AF33*BT33/DATOS!$C$14)))&lt;0,-1,MAX(IF(BH33&lt;=0,0,IF((1-2*BH33*1E5/(DATOS!$C$29*AF33*BT33^2*DATOS!$C$21))&lt;0,-1,IF((1-SQRT((1-2*BH33*1E5/(DATOS!$C$29*AF33*BT33^2*DATOS!$C$21))))*DATOS!$C$21*AF33*BT33/DATOS!$C$14&gt;DATOS!$C$102*AF33*BT33,-1,(1-SQRT((1-2*BH33*1E5/(DATOS!$C$29*AF33*BT33^2*DATOS!$C$21))))*DATOS!$C$21*AF33*BT33/DATOS!$C$14))),MIN(DATOS!$C$103*IF(C33="VOLADO",MIN(AH33,2*AD33),AD33)*BT33,4/3*IF(BH33&lt;=0,0,IF((1-2*BH33*1E5/(DATOS!$C$29*AF33*BT33^2*DATOS!$C$21))&lt;0,-1,IF((1-SQRT((1-2*BH33*1E5/(DATOS!$C$29*AF33*BT33^2*DATOS!$C$21))))*DATOS!$C$21*AF33*BT33/DATOS!$C$14&gt;DATOS!$C$102*AF33*BT33,-1,(1-SQRT((1-2*BH33*1E5/(DATOS!$C$29*AF33*BT33^2*DATOS!$C$21))))*DATOS!$C$21*AF33*BT33/DATOS!$C$14)))))))</f>
        <v/>
      </c>
      <c r="BV33" s="64" t="str">
        <f>IF(V33&lt;&gt;"SÍ","",IF(AND(BU33&gt;=0,IF(MAX(DATOS!$C$74,CEILING(BU33/INDEX(TABLAS!$D$52:$D$58,MIN(MATCH(MAX(4,DATOS!$C$72),TABLAS!$B$52:$B$58,0)+0,7)),1))*INDEX(TABLAS!$D$52:$D$58,MIN(MATCH(MAX(4,DATOS!$C$72),TABLAS!$B$52:$B$58,0)+0,7)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+0,7)),1)),MAX(MAX(DATOS!$C$74,CEILING(BU33/INDEX(TABLAS!$D$52:$D$58,MIN(MATCH(MAX(4,DATOS!$C$72),TABLAS!$B$52:$B$58,0)+0,7)),1)),2))&lt;=MIN(DATOS!$C$73,INT(((AD33-2*AL33)+MAX(DATOS!$C$70,INDEX(TABLAS!$C$52:$C$58,MIN(MATCH(MAX(4,DATOS!$C$72),TABLAS!$B$52:$B$58,0)+0,7))))/(INDEX(TABLAS!$C$52:$C$58,MIN(MATCH(MAX(4,DATOS!$C$72),TABLAS!$B$52:$B$58,0)+0,7))+MAX(DATOS!$C$70,INDEX(TABLAS!$C$52:$C$58,MIN(MATCH(MAX(4,DATOS!$C$72),TABLAS!$B$52:$B$58,0)+0,7))))))),INDEX(TABLAS!$B$52:$B$58,MIN(MATCH(MAX(4,DATOS!$C$72),TABLAS!$B$52:$B$58,0)+0,7)),IF(AND(BU33&gt;=0,IF(MAX(DATOS!$C$74,CEILING(BU33/INDEX(TABLAS!$D$52:$D$58,MIN(MATCH(MAX(4,DATOS!$C$72),TABLAS!$B$52:$B$58,0)+1,7)),1))*INDEX(TABLAS!$D$52:$D$58,MIN(MATCH(MAX(4,DATOS!$C$72),TABLAS!$B$52:$B$58,0)+1,7)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+1,7)),1)),MAX(MAX(DATOS!$C$74,CEILING(BU33/INDEX(TABLAS!$D$52:$D$58,MIN(MATCH(MAX(4,DATOS!$C$72),TABLAS!$B$52:$B$58,0)+1,7)),1)),2))&lt;=MIN(DATOS!$C$73,INT(((AD33-2*AL33)+MAX(DATOS!$C$70,INDEX(TABLAS!$C$52:$C$58,MIN(MATCH(MAX(4,DATOS!$C$72),TABLAS!$B$52:$B$58,0)+1,7))))/(INDEX(TABLAS!$C$52:$C$58,MIN(MATCH(MAX(4,DATOS!$C$72),TABLAS!$B$52:$B$58,0)+1,7))+MAX(DATOS!$C$70,INDEX(TABLAS!$C$52:$C$58,MIN(MATCH(MAX(4,DATOS!$C$72),TABLAS!$B$52:$B$58,0)+1,7))))))),INDEX(TABLAS!$B$52:$B$58,MIN(MATCH(MAX(4,DATOS!$C$72),TABLAS!$B$52:$B$58,0)+1,7)),IF(AND(BU33&gt;=0,IF(MAX(DATOS!$C$74,CEILING(BU33/INDEX(TABLAS!$D$52:$D$58,MIN(MATCH(MAX(4,DATOS!$C$72),TABLAS!$B$52:$B$58,0)+2,7)),1))*INDEX(TABLAS!$D$52:$D$58,MIN(MATCH(MAX(4,DATOS!$C$72),TABLAS!$B$52:$B$58,0)+2,7)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+2,7)),1)),MAX(MAX(DATOS!$C$74,CEILING(BU33/INDEX(TABLAS!$D$52:$D$58,MIN(MATCH(MAX(4,DATOS!$C$72),TABLAS!$B$52:$B$58,0)+2,7)),1)),2))&lt;=MIN(DATOS!$C$73,INT(((AD33-2*AL33)+MAX(DATOS!$C$70,INDEX(TABLAS!$C$52:$C$58,MIN(MATCH(MAX(4,DATOS!$C$72),TABLAS!$B$52:$B$58,0)+2,7))))/(INDEX(TABLAS!$C$52:$C$58,MIN(MATCH(MAX(4,DATOS!$C$72),TABLAS!$B$52:$B$58,0)+2,7))+MAX(DATOS!$C$70,INDEX(TABLAS!$C$52:$C$58,MIN(MATCH(MAX(4,DATOS!$C$72),TABLAS!$B$52:$B$58,0)+2,7))))))),INDEX(TABLAS!$B$52:$B$58,MIN(MATCH(MAX(4,DATOS!$C$72),TABLAS!$B$52:$B$58,0)+2,7)),IF(AND(BU33&gt;=0,IF(MAX(DATOS!$C$74,CEILING(BU33/INDEX(TABLAS!$D$52:$D$58,MIN(MATCH(MAX(4,DATOS!$C$72),TABLAS!$B$52:$B$58,0)+3,7)),1))*INDEX(TABLAS!$D$52:$D$58,MIN(MATCH(MAX(4,DATOS!$C$72),TABLAS!$B$52:$B$58,0)+3,7)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+3,7)),1)),MAX(MAX(DATOS!$C$74,CEILING(BU33/INDEX(TABLAS!$D$52:$D$58,MIN(MATCH(MAX(4,DATOS!$C$72),TABLAS!$B$52:$B$58,0)+3,7)),1)),2))&lt;=MIN(DATOS!$C$73,INT(((AD33-2*AL33)+MAX(DATOS!$C$70,INDEX(TABLAS!$C$52:$C$58,MIN(MATCH(MAX(4,DATOS!$C$72),TABLAS!$B$52:$B$58,0)+3,7))))/(INDEX(TABLAS!$C$52:$C$58,MIN(MATCH(MAX(4,DATOS!$C$72),TABLAS!$B$52:$B$58,0)+3,7))+MAX(DATOS!$C$70,INDEX(TABLAS!$C$52:$C$58,MIN(MATCH(MAX(4,DATOS!$C$72),TABLAS!$B$52:$B$58,0)+3,7))))))),INDEX(TABLAS!$B$52:$B$58,MIN(MATCH(MAX(4,DATOS!$C$72),TABLAS!$B$52:$B$58,0)+3,7)),IF(AND(BU33&gt;=0,IF(MAX(DATOS!$C$74,CEILING(BU33/INDEX(TABLAS!$D$52:$D$58,MIN(MATCH(MAX(4,DATOS!$C$72),TABLAS!$B$52:$B$58,0)+4,7)),1))*INDEX(TABLAS!$D$52:$D$58,MIN(MATCH(MAX(4,DATOS!$C$72),TABLAS!$B$52:$B$58,0)+4,7)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+4,7)),1)),MAX(MAX(DATOS!$C$74,CEILING(BU33/INDEX(TABLAS!$D$52:$D$58,MIN(MATCH(MAX(4,DATOS!$C$72),TABLAS!$B$52:$B$58,0)+4,7)),1)),2))&lt;=MIN(DATOS!$C$73,INT(((AD33-2*AL33)+MAX(DATOS!$C$70,INDEX(TABLAS!$C$52:$C$58,MIN(MATCH(MAX(4,DATOS!$C$72),TABLAS!$B$52:$B$58,0)+4,7))))/(INDEX(TABLAS!$C$52:$C$58,MIN(MATCH(MAX(4,DATOS!$C$72),TABLAS!$B$52:$B$58,0)+4,7))+MAX(DATOS!$C$70,INDEX(TABLAS!$C$52:$C$58,MIN(MATCH(MAX(4,DATOS!$C$72),TABLAS!$B$52:$B$58,0)+4,7))))))),INDEX(TABLAS!$B$52:$B$58,MIN(MATCH(MAX(4,DATOS!$C$72),TABLAS!$B$52:$B$58,0)+4,7)),INDEX(TABLAS!$B$52:$B$58,7)))))))</f>
        <v/>
      </c>
      <c r="BW33" s="59" t="str">
        <f>IF(V33&lt;&gt;"SÍ","",IF(BU33&lt;0,0,IF(MAX(DATOS!$C$74,CEILING(MAX(BU33,0)/INDEX(TABLAS!$D$52:$D$58,MATCH(BV33,TABLAS!$B$52:$B$58,0)),1))*INDEX(TABLAS!$D$52:$D$58,MATCH(BV33,TABLAS!$B$52:$B$58,0))&gt;=4/3*IF(BH33&lt;=0,0,IF((1-2*BH33*1E5/(DATOS!$C$29*AF33*BT33^2*DATOS!$C$21))&lt;0,-1,IF((1-SQRT((1-2*BH33*1E5/(DATOS!$C$29*AF33*BT33^2*DATOS!$C$21))))*DATOS!$C$21*AF33*BT33/DATOS!$C$14&gt;DATOS!$C$102*AF33*BT33,-1,(1-SQRT((1-2*BH33*1E5/(DATOS!$C$29*AF33*BT33^2*DATOS!$C$21))))*DATOS!$C$21*AF33*BT33/DATOS!$C$14)))-0.0001,MAX(DATOS!$C$74,CEILING(MAX(BU33,0)/INDEX(TABLAS!$D$52:$D$58,MATCH(BV33,TABLAS!$B$52:$B$58,0)),1)),MAX(MAX(DATOS!$C$74,CEILING(MAX(BU33,0)/INDEX(TABLAS!$D$52:$D$58,MATCH(BV33,TABLAS!$B$52:$B$58,0)),1)),2))))</f>
        <v/>
      </c>
      <c r="BX33" s="58" t="str">
        <f>IF(V33&lt;&gt;"SÍ","",((DATOS!$C$85-AM33-2*DATOS!$C$97-INDEX(TABLAS!$C$52:$C$58,MATCH(BV33,TABLAS!$B$52:$B$58,0))/2)-IF(AND((DATOS!$C$85-AM33-2*DATOS!$C$97-INDEX(TABLAS!$C$52:$C$58,MATCH(BV33,TABLAS!$B$52:$B$58,0))/2)&lt;=20,DATOS!$C$65&lt;&gt;"SÍ"),2,0)))</f>
        <v/>
      </c>
      <c r="BY33" s="56" t="str">
        <f>IF(V33&lt;&gt;"SÍ","",IF(BW33=0,0,DATOS!$C$29*BW33*INDEX(TABLAS!$D$52:$D$58,MATCH(BV33,TABLAS!$B$52:$B$58,0))*DATOS!$C$14*(BX33-BW33*INDEX(TABLAS!$D$52:$D$58,MATCH(BV33,TABLAS!$B$52:$B$58,0))*DATOS!$C$14/(DATOS!$C$21*AF33)/2)/1E5))</f>
        <v/>
      </c>
      <c r="BZ33" s="65" t="str">
        <f>IF(V33&lt;&gt;"SÍ","",IF(BU33&lt;0,9.99,IF(BY33&gt;0,BH33/BY33,0)))</f>
        <v/>
      </c>
      <c r="CA33" s="66" t="str">
        <f>IF(V33&lt;&gt;"SÍ","",IF(BW33=0,"—",0.003*(BX33-(BW33*INDEX(TABLAS!$D$52:$D$58,MATCH(BV33,TABLAS!$B$52:$B$58,0))*DATOS!$C$14/(DATOS!$C$21*AF33)/DATOS!$C$22))/(BW33*INDEX(TABLAS!$D$52:$D$58,MATCH(BV33,TABLAS!$B$52:$B$58,0))*DATOS!$C$14/(DATOS!$C$21*AF33)/DATOS!$C$22)))</f>
        <v/>
      </c>
      <c r="CB33" s="58" t="str">
        <f>IF(V33&lt;&gt;"SÍ","",(DATOS!$C$85-AK33-INDEX(TABLAS!$C$52:$C$58,MATCH(MAX(4,DATOS!$C$71),TABLAS!$B$52:$B$58,0))-INDEX(TABLAS!$C$52:$C$58,MATCH(MAX(4,DATOS!$C$71),TABLAS!$B$52:$B$58,0))/2))</f>
        <v/>
      </c>
      <c r="CC33" s="58" t="str">
        <f>IF(V33&lt;&gt;"SÍ","",IF(IF(BI33&lt;=0,0,IF((1-2*BI33*1E5/(DATOS!$C$29*AI33*CB33^2*DATOS!$C$21))&lt;0,-1,IF((1-SQRT((1-2*BI33*1E5/(DATOS!$C$29*AI33*CB33^2*DATOS!$C$21))))*DATOS!$C$21*AI33*CB33/DATOS!$C$14&gt;DATOS!$C$102*AI33*CB33,-1,(1-SQRT((1-2*BI33*1E5/(DATOS!$C$29*AI33*CB33^2*DATOS!$C$21))))*DATOS!$C$21*AI33*CB33/DATOS!$C$14)))&lt;0,-1,MAX(IF(BI33&lt;=0,0,IF((1-2*BI33*1E5/(DATOS!$C$29*AI33*CB33^2*DATOS!$C$21))&lt;0,-1,IF((1-SQRT((1-2*BI33*1E5/(DATOS!$C$29*AI33*CB33^2*DATOS!$C$21))))*DATOS!$C$21*AI33*CB33/DATOS!$C$14&gt;DATOS!$C$102*AI33*CB33,-1,(1-SQRT((1-2*BI33*1E5/(DATOS!$C$29*AI33*CB33^2*DATOS!$C$21))))*DATOS!$C$21*AI33*CB33/DATOS!$C$14))),MIN(DATOS!$C$103*DATOS!$C$83*CB33,4/3*IF(BI33&lt;=0,0,IF((1-2*BI33*1E5/(DATOS!$C$29*AI33*CB33^2*DATOS!$C$21))&lt;0,-1,IF((1-SQRT((1-2*BI33*1E5/(DATOS!$C$29*AI33*CB33^2*DATOS!$C$21))))*DATOS!$C$21*AI33*CB33/DATOS!$C$14&gt;DATOS!$C$102*AI33*CB33,-1,(1-SQRT((1-2*BI33*1E5/(DATOS!$C$29*AI33*CB33^2*DATOS!$C$21))))*DATOS!$C$21*AI33*CB33/DATOS!$C$14)))))))</f>
        <v/>
      </c>
      <c r="CD33" s="64" t="str">
        <f>IF(V33&lt;&gt;"SÍ","",IF(AND(CC33&gt;=0,IF(MAX(DATOS!$C$74,CEILING(CC33/INDEX(TABLAS!$D$52:$D$58,MIN(MATCH(MAX(4,DATOS!$C$71),TABLAS!$B$52:$B$58,0)+0,7)),1))*INDEX(TABLAS!$D$52:$D$58,MIN(MATCH(MAX(4,DATOS!$C$71),TABLAS!$B$52:$B$58,0)+0,7)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+0,7)),1)),MAX(MAX(DATOS!$C$74,CEILING(CC33/INDEX(TABLAS!$D$52:$D$58,MIN(MATCH(MAX(4,DATOS!$C$71),TABLAS!$B$52:$B$58,0)+0,7)),1)),2))&lt;=MIN(DATOS!$C$73,INT(((DATOS!$C$83-2*AK33)+MAX(DATOS!$C$70,INDEX(TABLAS!$C$52:$C$58,MIN(MATCH(MAX(4,DATOS!$C$71),TABLAS!$B$52:$B$58,0)+0,7))))/(INDEX(TABLAS!$C$52:$C$58,MIN(MATCH(MAX(4,DATOS!$C$71),TABLAS!$B$52:$B$58,0)+0,7))+MAX(DATOS!$C$70,INDEX(TABLAS!$C$52:$C$58,MIN(MATCH(MAX(4,DATOS!$C$71),TABLAS!$B$52:$B$58,0)+0,7))))))),INDEX(TABLAS!$B$52:$B$58,MIN(MATCH(MAX(4,DATOS!$C$71),TABLAS!$B$52:$B$58,0)+0,7)),IF(AND(CC33&gt;=0,IF(MAX(DATOS!$C$74,CEILING(CC33/INDEX(TABLAS!$D$52:$D$58,MIN(MATCH(MAX(4,DATOS!$C$71),TABLAS!$B$52:$B$58,0)+1,7)),1))*INDEX(TABLAS!$D$52:$D$58,MIN(MATCH(MAX(4,DATOS!$C$71),TABLAS!$B$52:$B$58,0)+1,7)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+1,7)),1)),MAX(MAX(DATOS!$C$74,CEILING(CC33/INDEX(TABLAS!$D$52:$D$58,MIN(MATCH(MAX(4,DATOS!$C$71),TABLAS!$B$52:$B$58,0)+1,7)),1)),2))&lt;=MIN(DATOS!$C$73,INT(((DATOS!$C$83-2*AK33)+MAX(DATOS!$C$70,INDEX(TABLAS!$C$52:$C$58,MIN(MATCH(MAX(4,DATOS!$C$71),TABLAS!$B$52:$B$58,0)+1,7))))/(INDEX(TABLAS!$C$52:$C$58,MIN(MATCH(MAX(4,DATOS!$C$71),TABLAS!$B$52:$B$58,0)+1,7))+MAX(DATOS!$C$70,INDEX(TABLAS!$C$52:$C$58,MIN(MATCH(MAX(4,DATOS!$C$71),TABLAS!$B$52:$B$58,0)+1,7))))))),INDEX(TABLAS!$B$52:$B$58,MIN(MATCH(MAX(4,DATOS!$C$71),TABLAS!$B$52:$B$58,0)+1,7)),IF(AND(CC33&gt;=0,IF(MAX(DATOS!$C$74,CEILING(CC33/INDEX(TABLAS!$D$52:$D$58,MIN(MATCH(MAX(4,DATOS!$C$71),TABLAS!$B$52:$B$58,0)+2,7)),1))*INDEX(TABLAS!$D$52:$D$58,MIN(MATCH(MAX(4,DATOS!$C$71),TABLAS!$B$52:$B$58,0)+2,7)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+2,7)),1)),MAX(MAX(DATOS!$C$74,CEILING(CC33/INDEX(TABLAS!$D$52:$D$58,MIN(MATCH(MAX(4,DATOS!$C$71),TABLAS!$B$52:$B$58,0)+2,7)),1)),2))&lt;=MIN(DATOS!$C$73,INT(((DATOS!$C$83-2*AK33)+MAX(DATOS!$C$70,INDEX(TABLAS!$C$52:$C$58,MIN(MATCH(MAX(4,DATOS!$C$71),TABLAS!$B$52:$B$58,0)+2,7))))/(INDEX(TABLAS!$C$52:$C$58,MIN(MATCH(MAX(4,DATOS!$C$71),TABLAS!$B$52:$B$58,0)+2,7))+MAX(DATOS!$C$70,INDEX(TABLAS!$C$52:$C$58,MIN(MATCH(MAX(4,DATOS!$C$71),TABLAS!$B$52:$B$58,0)+2,7))))))),INDEX(TABLAS!$B$52:$B$58,MIN(MATCH(MAX(4,DATOS!$C$71),TABLAS!$B$52:$B$58,0)+2,7)),IF(AND(CC33&gt;=0,IF(MAX(DATOS!$C$74,CEILING(CC33/INDEX(TABLAS!$D$52:$D$58,MIN(MATCH(MAX(4,DATOS!$C$71),TABLAS!$B$52:$B$58,0)+3,7)),1))*INDEX(TABLAS!$D$52:$D$58,MIN(MATCH(MAX(4,DATOS!$C$71),TABLAS!$B$52:$B$58,0)+3,7)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+3,7)),1)),MAX(MAX(DATOS!$C$74,CEILING(CC33/INDEX(TABLAS!$D$52:$D$58,MIN(MATCH(MAX(4,DATOS!$C$71),TABLAS!$B$52:$B$58,0)+3,7)),1)),2))&lt;=MIN(DATOS!$C$73,INT(((DATOS!$C$83-2*AK33)+MAX(DATOS!$C$70,INDEX(TABLAS!$C$52:$C$58,MIN(MATCH(MAX(4,DATOS!$C$71),TABLAS!$B$52:$B$58,0)+3,7))))/(INDEX(TABLAS!$C$52:$C$58,MIN(MATCH(MAX(4,DATOS!$C$71),TABLAS!$B$52:$B$58,0)+3,7))+MAX(DATOS!$C$70,INDEX(TABLAS!$C$52:$C$58,MIN(MATCH(MAX(4,DATOS!$C$71),TABLAS!$B$52:$B$58,0)+3,7))))))),INDEX(TABLAS!$B$52:$B$58,MIN(MATCH(MAX(4,DATOS!$C$71),TABLAS!$B$52:$B$58,0)+3,7)),IF(AND(CC33&gt;=0,IF(MAX(DATOS!$C$74,CEILING(CC33/INDEX(TABLAS!$D$52:$D$58,MIN(MATCH(MAX(4,DATOS!$C$71),TABLAS!$B$52:$B$58,0)+4,7)),1))*INDEX(TABLAS!$D$52:$D$58,MIN(MATCH(MAX(4,DATOS!$C$71),TABLAS!$B$52:$B$58,0)+4,7)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+4,7)),1)),MAX(MAX(DATOS!$C$74,CEILING(CC33/INDEX(TABLAS!$D$52:$D$58,MIN(MATCH(MAX(4,DATOS!$C$71),TABLAS!$B$52:$B$58,0)+4,7)),1)),2))&lt;=MIN(DATOS!$C$73,INT(((DATOS!$C$83-2*AK33)+MAX(DATOS!$C$70,INDEX(TABLAS!$C$52:$C$58,MIN(MATCH(MAX(4,DATOS!$C$71),TABLAS!$B$52:$B$58,0)+4,7))))/(INDEX(TABLAS!$C$52:$C$58,MIN(MATCH(MAX(4,DATOS!$C$71),TABLAS!$B$52:$B$58,0)+4,7))+MAX(DATOS!$C$70,INDEX(TABLAS!$C$52:$C$58,MIN(MATCH(MAX(4,DATOS!$C$71),TABLAS!$B$52:$B$58,0)+4,7))))))),INDEX(TABLAS!$B$52:$B$58,MIN(MATCH(MAX(4,DATOS!$C$71),TABLAS!$B$52:$B$58,0)+4,7)),INDEX(TABLAS!$B$52:$B$58,7)))))))</f>
        <v/>
      </c>
      <c r="CE33" s="59" t="str">
        <f>IF(V33&lt;&gt;"SÍ","",IF(CC33&lt;0,0,IF(MAX(DATOS!$C$74,CEILING(MAX(CC33,0)/INDEX(TABLAS!$D$52:$D$58,MATCH(CD33,TABLAS!$B$52:$B$58,0)),1))*INDEX(TABLAS!$D$52:$D$58,MATCH(CD33,TABLAS!$B$52:$B$58,0))&gt;=4/3*IF(BI33&lt;=0,0,IF((1-2*BI33*1E5/(DATOS!$C$29*AI33*CB33^2*DATOS!$C$21))&lt;0,-1,IF((1-SQRT((1-2*BI33*1E5/(DATOS!$C$29*AI33*CB33^2*DATOS!$C$21))))*DATOS!$C$21*AI33*CB33/DATOS!$C$14&gt;DATOS!$C$102*AI33*CB33,-1,(1-SQRT((1-2*BI33*1E5/(DATOS!$C$29*AI33*CB33^2*DATOS!$C$21))))*DATOS!$C$21*AI33*CB33/DATOS!$C$14)))-0.0001,MAX(DATOS!$C$74,CEILING(MAX(CC33,0)/INDEX(TABLAS!$D$52:$D$58,MATCH(CD33,TABLAS!$B$52:$B$58,0)),1)),MAX(MAX(DATOS!$C$74,CEILING(MAX(CC33,0)/INDEX(TABLAS!$D$52:$D$58,MATCH(CD33,TABLAS!$B$52:$B$58,0)),1)),2))))</f>
        <v/>
      </c>
      <c r="CF33" s="58" t="str">
        <f>IF(V33&lt;&gt;"SÍ","",DATOS!$C$85-AK33-INDEX(TABLAS!$C$52:$C$58,MATCH(BN33,TABLAS!$B$52:$B$58,0))-INDEX(TABLAS!$C$52:$C$58,MATCH(CD33,TABLAS!$B$52:$B$58,0))/2)</f>
        <v/>
      </c>
      <c r="CG33" s="56" t="str">
        <f>IF(V33&lt;&gt;"SÍ","",IF(CE33=0,0,DATOS!$C$29*CE33*INDEX(TABLAS!$D$52:$D$58,MATCH(CD33,TABLAS!$B$52:$B$58,0))*DATOS!$C$14*(CF33-CE33*INDEX(TABLAS!$D$52:$D$58,MATCH(CD33,TABLAS!$B$52:$B$58,0))*DATOS!$C$14/(DATOS!$C$21*AI33)/2)/1E5))</f>
        <v/>
      </c>
      <c r="CH33" s="65" t="str">
        <f>IF(V33&lt;&gt;"SÍ","",IF(CC33&lt;0,9.99,IF(CG33&gt;0,BI33/CG33,0)))</f>
        <v/>
      </c>
      <c r="CI33" s="66" t="str">
        <f>IF(V33&lt;&gt;"SÍ","",IF(CE33=0,"—",0.003*(CF33-(CE33*INDEX(TABLAS!$D$52:$D$58,MATCH(CD33,TABLAS!$B$52:$B$58,0))*DATOS!$C$14/(DATOS!$C$21*AI33)/DATOS!$C$22))/(CE33*INDEX(TABLAS!$D$52:$D$58,MATCH(CD33,TABLAS!$B$52:$B$58,0))*DATOS!$C$14/(DATOS!$C$21*AI33)/DATOS!$C$22)))</f>
        <v/>
      </c>
      <c r="CJ33" s="58" t="str">
        <f>IF(V33&lt;&gt;"SÍ","",((DATOS!$C$85-AM33-2*DATOS!$C$97-INDEX(TABLAS!$C$52:$C$58,MATCH(MAX(4,DATOS!$C$72),TABLAS!$B$52:$B$58,0))-INDEX(TABLAS!$C$52:$C$58,MATCH(MAX(4,DATOS!$C$72),TABLAS!$B$52:$B$58,0))/2)-IF(AND((DATOS!$C$85-AM33-2*DATOS!$C$97-INDEX(TABLAS!$C$52:$C$58,MATCH(MAX(4,DATOS!$C$72),TABLAS!$B$52:$B$58,0))-INDEX(TABLAS!$C$52:$C$58,MATCH(MAX(4,DATOS!$C$72),TABLAS!$B$52:$B$58,0))/2)&lt;=20,DATOS!$C$65&lt;&gt;"SÍ"),2,0)))</f>
        <v/>
      </c>
      <c r="CK33" s="58" t="str">
        <f>IF(V33&lt;&gt;"SÍ","",IF(IF(BJ33&lt;=0,0,IF((1-2*BJ33*1E5/(DATOS!$C$29*AG33*CJ33^2*DATOS!$C$21))&lt;0,-1,IF((1-SQRT((1-2*BJ33*1E5/(DATOS!$C$29*AG33*CJ33^2*DATOS!$C$21))))*DATOS!$C$21*AG33*CJ33/DATOS!$C$14&gt;DATOS!$C$102*AG33*CJ33,-1,(1-SQRT((1-2*BJ33*1E5/(DATOS!$C$29*AG33*CJ33^2*DATOS!$C$21))))*DATOS!$C$21*AG33*CJ33/DATOS!$C$14)))&lt;0,-1,MAX(IF(BJ33&lt;=0,0,IF((1-2*BJ33*1E5/(DATOS!$C$29*AG33*CJ33^2*DATOS!$C$21))&lt;0,-1,IF((1-SQRT((1-2*BJ33*1E5/(DATOS!$C$29*AG33*CJ33^2*DATOS!$C$21))))*DATOS!$C$21*AG33*CJ33/DATOS!$C$14&gt;DATOS!$C$102*AG33*CJ33,-1,(1-SQRT((1-2*BJ33*1E5/(DATOS!$C$29*AG33*CJ33^2*DATOS!$C$21))))*DATOS!$C$21*AG33*CJ33/DATOS!$C$14))),MIN(DATOS!$C$103*DATOS!$C$83*CJ33,4/3*IF(BJ33&lt;=0,0,IF((1-2*BJ33*1E5/(DATOS!$C$29*AG33*CJ33^2*DATOS!$C$21))&lt;0,-1,IF((1-SQRT((1-2*BJ33*1E5/(DATOS!$C$29*AG33*CJ33^2*DATOS!$C$21))))*DATOS!$C$21*AG33*CJ33/DATOS!$C$14&gt;DATOS!$C$102*AG33*CJ33,-1,(1-SQRT((1-2*BJ33*1E5/(DATOS!$C$29*AG33*CJ33^2*DATOS!$C$21))))*DATOS!$C$21*AG33*CJ33/DATOS!$C$14)))))))</f>
        <v/>
      </c>
      <c r="CL33" s="64" t="str">
        <f>IF(V33&lt;&gt;"SÍ","",IF(AND(CK33&gt;=0,IF(MAX(DATOS!$C$74,CEILING(CK33/INDEX(TABLAS!$D$52:$D$58,MIN(MATCH(MAX(4,DATOS!$C$72),TABLAS!$B$52:$B$58,0)+0,7)),1))*INDEX(TABLAS!$D$52:$D$58,MIN(MATCH(MAX(4,DATOS!$C$72),TABLAS!$B$52:$B$58,0)+0,7)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+0,7)),1)),MAX(MAX(DATOS!$C$74,CEILING(CK33/INDEX(TABLAS!$D$52:$D$58,MIN(MATCH(MAX(4,DATOS!$C$72),TABLAS!$B$52:$B$58,0)+0,7)),1)),2))&lt;=MIN(DATOS!$C$73,INT(((DATOS!$C$83-2*AL33)+MAX(DATOS!$C$70,INDEX(TABLAS!$C$52:$C$58,MIN(MATCH(MAX(4,DATOS!$C$72),TABLAS!$B$52:$B$58,0)+0,7))))/(INDEX(TABLAS!$C$52:$C$58,MIN(MATCH(MAX(4,DATOS!$C$72),TABLAS!$B$52:$B$58,0)+0,7))+MAX(DATOS!$C$70,INDEX(TABLAS!$C$52:$C$58,MIN(MATCH(MAX(4,DATOS!$C$72),TABLAS!$B$52:$B$58,0)+0,7))))))),INDEX(TABLAS!$B$52:$B$58,MIN(MATCH(MAX(4,DATOS!$C$72),TABLAS!$B$52:$B$58,0)+0,7)),IF(AND(CK33&gt;=0,IF(MAX(DATOS!$C$74,CEILING(CK33/INDEX(TABLAS!$D$52:$D$58,MIN(MATCH(MAX(4,DATOS!$C$72),TABLAS!$B$52:$B$58,0)+1,7)),1))*INDEX(TABLAS!$D$52:$D$58,MIN(MATCH(MAX(4,DATOS!$C$72),TABLAS!$B$52:$B$58,0)+1,7)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+1,7)),1)),MAX(MAX(DATOS!$C$74,CEILING(CK33/INDEX(TABLAS!$D$52:$D$58,MIN(MATCH(MAX(4,DATOS!$C$72),TABLAS!$B$52:$B$58,0)+1,7)),1)),2))&lt;=MIN(DATOS!$C$73,INT(((DATOS!$C$83-2*AL33)+MAX(DATOS!$C$70,INDEX(TABLAS!$C$52:$C$58,MIN(MATCH(MAX(4,DATOS!$C$72),TABLAS!$B$52:$B$58,0)+1,7))))/(INDEX(TABLAS!$C$52:$C$58,MIN(MATCH(MAX(4,DATOS!$C$72),TABLAS!$B$52:$B$58,0)+1,7))+MAX(DATOS!$C$70,INDEX(TABLAS!$C$52:$C$58,MIN(MATCH(MAX(4,DATOS!$C$72),TABLAS!$B$52:$B$58,0)+1,7))))))),INDEX(TABLAS!$B$52:$B$58,MIN(MATCH(MAX(4,DATOS!$C$72),TABLAS!$B$52:$B$58,0)+1,7)),IF(AND(CK33&gt;=0,IF(MAX(DATOS!$C$74,CEILING(CK33/INDEX(TABLAS!$D$52:$D$58,MIN(MATCH(MAX(4,DATOS!$C$72),TABLAS!$B$52:$B$58,0)+2,7)),1))*INDEX(TABLAS!$D$52:$D$58,MIN(MATCH(MAX(4,DATOS!$C$72),TABLAS!$B$52:$B$58,0)+2,7)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+2,7)),1)),MAX(MAX(DATOS!$C$74,CEILING(CK33/INDEX(TABLAS!$D$52:$D$58,MIN(MATCH(MAX(4,DATOS!$C$72),TABLAS!$B$52:$B$58,0)+2,7)),1)),2))&lt;=MIN(DATOS!$C$73,INT(((DATOS!$C$83-2*AL33)+MAX(DATOS!$C$70,INDEX(TABLAS!$C$52:$C$58,MIN(MATCH(MAX(4,DATOS!$C$72),TABLAS!$B$52:$B$58,0)+2,7))))/(INDEX(TABLAS!$C$52:$C$58,MIN(MATCH(MAX(4,DATOS!$C$72),TABLAS!$B$52:$B$58,0)+2,7))+MAX(DATOS!$C$70,INDEX(TABLAS!$C$52:$C$58,MIN(MATCH(MAX(4,DATOS!$C$72),TABLAS!$B$52:$B$58,0)+2,7))))))),INDEX(TABLAS!$B$52:$B$58,MIN(MATCH(MAX(4,DATOS!$C$72),TABLAS!$B$52:$B$58,0)+2,7)),IF(AND(CK33&gt;=0,IF(MAX(DATOS!$C$74,CEILING(CK33/INDEX(TABLAS!$D$52:$D$58,MIN(MATCH(MAX(4,DATOS!$C$72),TABLAS!$B$52:$B$58,0)+3,7)),1))*INDEX(TABLAS!$D$52:$D$58,MIN(MATCH(MAX(4,DATOS!$C$72),TABLAS!$B$52:$B$58,0)+3,7)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+3,7)),1)),MAX(MAX(DATOS!$C$74,CEILING(CK33/INDEX(TABLAS!$D$52:$D$58,MIN(MATCH(MAX(4,DATOS!$C$72),TABLAS!$B$52:$B$58,0)+3,7)),1)),2))&lt;=MIN(DATOS!$C$73,INT(((DATOS!$C$83-2*AL33)+MAX(DATOS!$C$70,INDEX(TABLAS!$C$52:$C$58,MIN(MATCH(MAX(4,DATOS!$C$72),TABLAS!$B$52:$B$58,0)+3,7))))/(INDEX(TABLAS!$C$52:$C$58,MIN(MATCH(MAX(4,DATOS!$C$72),TABLAS!$B$52:$B$58,0)+3,7))+MAX(DATOS!$C$70,INDEX(TABLAS!$C$52:$C$58,MIN(MATCH(MAX(4,DATOS!$C$72),TABLAS!$B$52:$B$58,0)+3,7))))))),INDEX(TABLAS!$B$52:$B$58,MIN(MATCH(MAX(4,DATOS!$C$72),TABLAS!$B$52:$B$58,0)+3,7)),IF(AND(CK33&gt;=0,IF(MAX(DATOS!$C$74,CEILING(CK33/INDEX(TABLAS!$D$52:$D$58,MIN(MATCH(MAX(4,DATOS!$C$72),TABLAS!$B$52:$B$58,0)+4,7)),1))*INDEX(TABLAS!$D$52:$D$58,MIN(MATCH(MAX(4,DATOS!$C$72),TABLAS!$B$52:$B$58,0)+4,7)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+4,7)),1)),MAX(MAX(DATOS!$C$74,CEILING(CK33/INDEX(TABLAS!$D$52:$D$58,MIN(MATCH(MAX(4,DATOS!$C$72),TABLAS!$B$52:$B$58,0)+4,7)),1)),2))&lt;=MIN(DATOS!$C$73,INT(((DATOS!$C$83-2*AL33)+MAX(DATOS!$C$70,INDEX(TABLAS!$C$52:$C$58,MIN(MATCH(MAX(4,DATOS!$C$72),TABLAS!$B$52:$B$58,0)+4,7))))/(INDEX(TABLAS!$C$52:$C$58,MIN(MATCH(MAX(4,DATOS!$C$72),TABLAS!$B$52:$B$58,0)+4,7))+MAX(DATOS!$C$70,INDEX(TABLAS!$C$52:$C$58,MIN(MATCH(MAX(4,DATOS!$C$72),TABLAS!$B$52:$B$58,0)+4,7))))))),INDEX(TABLAS!$B$52:$B$58,MIN(MATCH(MAX(4,DATOS!$C$72),TABLAS!$B$52:$B$58,0)+4,7)),INDEX(TABLAS!$B$52:$B$58,7)))))))</f>
        <v/>
      </c>
      <c r="CM33" s="59" t="str">
        <f>IF(V33&lt;&gt;"SÍ","",IF(CK33&lt;0,0,IF(MAX(DATOS!$C$74,CEILING(MAX(CK33,0)/INDEX(TABLAS!$D$52:$D$58,MATCH(CL33,TABLAS!$B$52:$B$58,0)),1))*INDEX(TABLAS!$D$52:$D$58,MATCH(CL33,TABLAS!$B$52:$B$58,0))&gt;=4/3*IF(BJ33&lt;=0,0,IF((1-2*BJ33*1E5/(DATOS!$C$29*AG33*CJ33^2*DATOS!$C$21))&lt;0,-1,IF((1-SQRT((1-2*BJ33*1E5/(DATOS!$C$29*AG33*CJ33^2*DATOS!$C$21))))*DATOS!$C$21*AG33*CJ33/DATOS!$C$14&gt;DATOS!$C$102*AG33*CJ33,-1,(1-SQRT((1-2*BJ33*1E5/(DATOS!$C$29*AG33*CJ33^2*DATOS!$C$21))))*DATOS!$C$21*AG33*CJ33/DATOS!$C$14)))-0.0001,MAX(DATOS!$C$74,CEILING(MAX(CK33,0)/INDEX(TABLAS!$D$52:$D$58,MATCH(CL33,TABLAS!$B$52:$B$58,0)),1)),MAX(MAX(DATOS!$C$74,CEILING(MAX(CK33,0)/INDEX(TABLAS!$D$52:$D$58,MATCH(CL33,TABLAS!$B$52:$B$58,0)),1)),2))))</f>
        <v/>
      </c>
      <c r="CN33" s="58" t="str">
        <f>IF(V33&lt;&gt;"SÍ","",((DATOS!$C$85-AM33-2*DATOS!$C$97-INDEX(TABLAS!$C$52:$C$58,MATCH(BV33,TABLAS!$B$52:$B$58,0))-INDEX(TABLAS!$C$52:$C$58,MATCH(CL33,TABLAS!$B$52:$B$58,0))/2)-IF(AND((DATOS!$C$85-AM33-2*DATOS!$C$97-INDEX(TABLAS!$C$52:$C$58,MATCH(BV33,TABLAS!$B$52:$B$58,0))-INDEX(TABLAS!$C$52:$C$58,MATCH(CL33,TABLAS!$B$52:$B$58,0))/2)&lt;=20,DATOS!$C$65&lt;&gt;"SÍ"),2,0)))</f>
        <v/>
      </c>
      <c r="CO33" s="56" t="str">
        <f>IF(V33&lt;&gt;"SÍ","",IF(CM33=0,0,DATOS!$C$29*CM33*INDEX(TABLAS!$D$52:$D$58,MATCH(CL33,TABLAS!$B$52:$B$58,0))*DATOS!$C$14*(CN33-CM33*INDEX(TABLAS!$D$52:$D$58,MATCH(CL33,TABLAS!$B$52:$B$58,0))*DATOS!$C$14/(DATOS!$C$21*AG33)/2)/1E5))</f>
        <v/>
      </c>
      <c r="CP33" s="65" t="str">
        <f>IF(V33&lt;&gt;"SÍ","",IF(CK33&lt;0,9.99,IF(CO33&gt;0,BJ33/CO33,0)))</f>
        <v/>
      </c>
      <c r="CQ33" s="66" t="str">
        <f>IF(V33&lt;&gt;"SÍ","",IF(CM33=0,"—",0.003*(CN33-(CM33*INDEX(TABLAS!$D$52:$D$58,MATCH(CL33,TABLAS!$B$52:$B$58,0))*DATOS!$C$14/(DATOS!$C$21*AG33)/DATOS!$C$22))/(CM33*INDEX(TABLAS!$D$52:$D$58,MATCH(CL33,TABLAS!$B$52:$B$58,0))*DATOS!$C$14/(DATOS!$C$21*AG33)/DATOS!$C$22)))</f>
        <v/>
      </c>
      <c r="CR33" s="56" t="str">
        <f>IF(V33&lt;&gt;"SÍ","",IF(C33="PERIMETRAL",MAX(0,(AB33/2-BX33)/100)*(0.95-0.5*AA33)*AR33*IF(AND(AS33&gt;0,AS33&lt;4),DATOS!$C$33,1)*DATOS!$C$86/100/1000,(AR33*MAX(0,AB33-BX33)/100+DATOS!$C$26*N(O33))*DATOS!$C$86/100/1000+BF33))</f>
        <v/>
      </c>
      <c r="CS33" s="56" t="str">
        <f>IF(V33&lt;&gt;"SÍ","",DATOS!$C$30*2*MIN(1,SQRT(2/(1+0.04*BX33)))*(BW33*INDEX(TABLAS!$D$52:$D$58,MATCH(BV33,TABLAS!$B$52:$B$58,0))/(AF33*BX33))^(1/3)*SQRT(DATOS!$C$13)*AF33*BX33*IF(AJ33="SÍ",DATOS!$C$32,1)/1000)</f>
        <v/>
      </c>
      <c r="CT33" s="59" t="str">
        <f>IF(V33&lt;&gt;"SÍ","",IF(CR33&lt;=CS33,0,CEILING(MAX(0,IF(C33="VOLADO",(AB33-((CS33-BF33)*1E5/DATOS!$C$86-DATOS!$C$26*N(O33))*100/AR33),IF(CS33&lt;=0,AB33,AB33/2-CS33/MAX(CR33,1E-9)*(AB33/2-BX33)))-IF(X33="X",MIN(DJ33,DK33),MIN(DL33,DM33)))/DATOS!$C$86,1)))</f>
        <v/>
      </c>
      <c r="CU33" s="67" t="str">
        <f>IF(V33&lt;&gt;"SÍ","",IF(CR33&lt;=CS33,"CUMPLE",IF(CT33&lt;=0,"CUMPLE (basta el macizo de orilla)",IF(CT33*DATOS!$C$86*IF(C33="VOLADO",1,2)&gt;=Y33*100-DATOS!$C$87,"NO CUMPLE: no alcanza ni macizando todo","MACIZAR "&amp;CT33&amp;" hilera(s)"))))</f>
        <v/>
      </c>
      <c r="CV33" s="58" t="str">
        <f>IF(V33&lt;&gt;"SÍ","",(DATOS!$C$86*DATOS!$C$84^2/2+MIN(DATOS!$C$83,AD33)*DATOS!$C$82*(DATOS!$C$84+DATOS!$C$82/2))/(DATOS!$C$86*DATOS!$C$84+MIN(DATOS!$C$83,AD33)*DATOS!$C$82))</f>
        <v/>
      </c>
      <c r="CW33" s="68" t="str">
        <f>IF(V33&lt;&gt;"SÍ","",DATOS!$C$86*DATOS!$C$84^3/12+DATOS!$C$86*DATOS!$C$84*(CV33-DATOS!$C$84/2)^2+MIN(DATOS!$C$83,AD33)*DATOS!$C$82^3/12+MIN(DATOS!$C$83,AD33)*DATOS!$C$82*(DATOS!$C$84+DATOS!$C$82/2-CV33)^2)</f>
        <v/>
      </c>
      <c r="CX33" s="58" t="str">
        <f>IF(V33&lt;&gt;"SÍ","",(12*CW33/DATOS!$C$86)^(1/3))</f>
        <v/>
      </c>
      <c r="CY33" s="58" t="str">
        <f>IF(V33&lt;&gt;"SÍ","",IF(C33="PERIMETRAL",IF(ISNUMBER(S33),S33,DATOS!$C$104),0))</f>
        <v/>
      </c>
      <c r="CZ33" s="57" t="str">
        <f>IF(V33&lt;&gt;"SÍ","",IF(C33="PERIMETRAL",IF(CY33&gt;2,MAX(9,AC33*(0.8+DATOS!$C$14/14000)/(36+9*(AC33/MAX(AB33,1)))),IF(CY33&gt;0.2,MAX(13,AC33*(0.8+DATOS!$C$14/14000)/(36+5*(AC33/MAX(AB33,1))*(CY33-0.2))),MAX(13,AC33/IF(AS33&gt;0,30,33))))*IF(AND(CY33&gt;0.2,AS33&gt;0,DATOS!$C$105="NO"),1.1,1),MAX(25,Y33*100/8*(0.4+DATOS!$C$14/7000))))</f>
        <v/>
      </c>
      <c r="DA33" s="61" t="str">
        <f>IF(V33&lt;&gt;"SÍ","",IF(IF(C33="VOLADO",DATOS!$C$85,CX33)&gt;=CZ33,"CUMPLE",IF(C33="VOLADO","NO CUMPLE","CALCULAR FLECHA")))</f>
        <v/>
      </c>
      <c r="DB33" s="55" t="str">
        <f>IF(V33&lt;&gt;"SÍ","",IF(DATOS!$C$84&gt;=IF(IF(C33="VOLADO",Y33,Z33)&gt;=6,6,5),"CUMPLE","CAPA ≥ 6 cm"))</f>
        <v/>
      </c>
      <c r="DC33" s="60" t="str">
        <f>IF(V33&lt;&gt;"SÍ","",IF(C33="VOLADO",MIN(FLOOR(IF(ISNUMBER(P33),P33,Y33)*100-DATOS!$C$63,5),CEILING(MAX(IF((0.5*(0.9*DATOS!$C$90*DATOS!$C$86/100/1000)*IF(ISNUMBER(P33),P33,Y33)+BH33/IF(ISNUMBER(P33),P33,Y33))^2-4*(0.5*(0.9*DATOS!$C$90*DATOS!$C$86/100/1000))*BH33&lt;0,IF(ISNUMBER(P33),P33,Y33),MIN(IF(ISNUMBER(P33),P33,Y33),((0.5*(0.9*DATOS!$C$90*DATOS!$C$86/100/1000)*IF(ISNUMBER(P33),P33,Y33)+BH33/IF(ISNUMBER(P33),P33,Y33))-SQRT((0.5*(0.9*DATOS!$C$90*DATOS!$C$86/100/1000)*IF(ISNUMBER(P33),P33,Y33)+BH33/IF(ISNUMBER(P33),P33,Y33))^2-4*(0.5*(0.9*DATOS!$C$90*DATOS!$C$86/100/1000))*BH33))/(2*(0.5*(0.9*DATOS!$C$90*DATOS!$C$86/100/1000)))))*100+MAX(BX33,12*INDEX(TABLAS!$C$52:$C$58,MATCH(BV33,TABLAS!$B$52:$B$58,0)),IF(ISNUMBER(P33),P33,Y33)*100/16),IF(OR(AL33&lt;INDEX(TABLAS!$C$52:$C$58,MATCH(BV33,TABLAS!$B$52:$B$58,0)),AND(BW33&gt;=2,(AD33-2*AL33-BW33*INDEX(TABLAS!$C$52:$C$58,MATCH(BV33,TABLAS!$B$52:$B$58,0)))/MAX(BW33-1,1)&lt;2*INDEX(TABLAS!$C$52:$C$58,MATCH(BV33,TABLAS!$B$52:$B$58,0)))),INDEX(TABLAS!$I$52:$I$58,MATCH(BV33,TABLAS!$B$52:$B$58,0)),INDEX(TABLAS!$F$52:$F$58,MATCH(BV33,TABLAS!$B$52:$B$58,0)))),5)),IF(((4*((BC33*AR33*Y33^2*1E-4*DATOS!$C$86/100/1000)+((MAX(AY33,BA33)*AR33*Y33^2*1E-4*DATOS!$C$86/100/1000)+(IF(AND(AY33&gt;0,BA33&gt;0),MIN(AY33,BA33),MAX(AY33,BA33))*AR33*Y33^2*1E-4*DATOS!$C$86/100/1000))/2)+BH33-(IF(AND(AY33&gt;0,BA33&gt;0),MIN(AY33,BA33),MAX(AY33,BA33))*AR33*Y33^2*1E-4*DATOS!$C$86/100/1000))^2-16*((BC33*AR33*Y33^2*1E-4*DATOS!$C$86/100/1000)+((MAX(AY33,BA33)*AR33*Y33^2*1E-4*DATOS!$C$86/100/1000)+(IF(AND(AY33&gt;0,BA33&gt;0),MIN(AY33,BA33),MAX(AY33,BA33))*AR33*Y33^2*1E-4*DATOS!$C$86/100/1000))/2)*BH33)&lt;0,CEILING(AB33,5),CEILING(MAX(AB33*((4*((BC33*AR33*Y33^2*1E-4*DATOS!$C$86/100/1000)+((MAX(AY33,BA33)*AR33*Y33^2*1E-4*DATOS!$C$86/100/1000)+(IF(AND(AY33&gt;0,BA33&gt;0),MIN(AY33,BA33),MAX(AY33,BA33))*AR33*Y33^2*1E-4*DATOS!$C$86/100/1000))/2)+BH33-(IF(AND(AY33&gt;0,BA33&gt;0),MIN(AY33,BA33),MAX(AY33,BA33))*AR33*Y33^2*1E-4*DATOS!$C$86/100/1000))-SQRT(MAX(0,((4*((BC33*AR33*Y33^2*1E-4*DATOS!$C$86/100/1000)+((MAX(AY33,BA33)*AR33*Y33^2*1E-4*DATOS!$C$86/100/1000)+(IF(AND(AY33&gt;0,BA33&gt;0),MIN(AY33,BA33),MAX(AY33,BA33))*AR33*Y33^2*1E-4*DATOS!$C$86/100/1000))/2)+BH33-(IF(AND(AY33&gt;0,BA33&gt;0),MIN(AY33,BA33),MAX(AY33,BA33))*AR33*Y33^2*1E-4*DATOS!$C$86/100/1000))^2-16*((BC33*AR33*Y33^2*1E-4*DATOS!$C$86/100/1000)+((MAX(AY33,BA33)*AR33*Y33^2*1E-4*DATOS!$C$86/100/1000)+(IF(AND(AY33&gt;0,BA33&gt;0),MIN(AY33,BA33),MAX(AY33,BA33))*AR33*Y33^2*1E-4*DATOS!$C$86/100/1000))/2)*BH33))))/(8*MAX(((BC33*AR33*Y33^2*1E-4*DATOS!$C$86/100/1000)+((MAX(AY33,BA33)*AR33*Y33^2*1E-4*DATOS!$C$86/100/1000)+(IF(AND(AY33&gt;0,BA33&gt;0),MIN(AY33,BA33),MAX(AY33,BA33))*AR33*Y33^2*1E-4*DATOS!$C$86/100/1000))/2),1E-9))+MAX(BX33,12*INDEX(TABLAS!$C$52:$C$58,MATCH(BV33,TABLAS!$B$52:$B$58,0)),AB33/16),IF(OR(AL33&lt;INDEX(TABLAS!$C$52:$C$58,MATCH(BV33,TABLAS!$B$52:$B$58,0)),AND(BW33&gt;=2,(AD33-2*AL33-BW33*INDEX(TABLAS!$C$52:$C$58,MATCH(BV33,TABLAS!$B$52:$B$58,0)))/MAX(BW33-1,1)&lt;2*INDEX(TABLAS!$C$52:$C$58,MATCH(BV33,TABLAS!$B$52:$B$58,0)))),INDEX(TABLAS!$I$52:$I$58,MATCH(BV33,TABLAS!$B$52:$B$58,0)),INDEX(TABLAS!$F$52:$F$58,MATCH(BV33,TABLAS!$B$52:$B$58,0)))),5))))</f>
        <v/>
      </c>
      <c r="DD33" s="60" t="str">
        <f>IF(V33&lt;&gt;"SÍ","",IF(C33="VOLADO",0,IF(((4*((BD33*AR33*Y33^2*1E-4*DATOS!$C$86/100/1000)+((MAX(AZ33,BB33)*AR33*Y33^2*1E-4*DATOS!$C$86/100/1000)+(IF(AND(AZ33&gt;0,BB33&gt;0),MIN(AZ33,BB33),MAX(AZ33,BB33))*AR33*Y33^2*1E-4*DATOS!$C$86/100/1000))/2)+BJ33-(IF(AND(AZ33&gt;0,BB33&gt;0),MIN(AZ33,BB33),MAX(AZ33,BB33))*AR33*Y33^2*1E-4*DATOS!$C$86/100/1000))^2-16*((BD33*AR33*Y33^2*1E-4*DATOS!$C$86/100/1000)+((MAX(AZ33,BB33)*AR33*Y33^2*1E-4*DATOS!$C$86/100/1000)+(IF(AND(AZ33&gt;0,BB33&gt;0),MIN(AZ33,BB33),MAX(AZ33,BB33))*AR33*Y33^2*1E-4*DATOS!$C$86/100/1000))/2)*BJ33)&lt;0,CEILING(AC33,5),CEILING(MAX(AC33*((4*((BD33*AR33*Y33^2*1E-4*DATOS!$C$86/100/1000)+((MAX(AZ33,BB33)*AR33*Y33^2*1E-4*DATOS!$C$86/100/1000)+(IF(AND(AZ33&gt;0,BB33&gt;0),MIN(AZ33,BB33),MAX(AZ33,BB33))*AR33*Y33^2*1E-4*DATOS!$C$86/100/1000))/2)+BJ33-(IF(AND(AZ33&gt;0,BB33&gt;0),MIN(AZ33,BB33),MAX(AZ33,BB33))*AR33*Y33^2*1E-4*DATOS!$C$86/100/1000))-SQRT(MAX(0,((4*((BD33*AR33*Y33^2*1E-4*DATOS!$C$86/100/1000)+((MAX(AZ33,BB33)*AR33*Y33^2*1E-4*DATOS!$C$86/100/1000)+(IF(AND(AZ33&gt;0,BB33&gt;0),MIN(AZ33,BB33),MAX(AZ33,BB33))*AR33*Y33^2*1E-4*DATOS!$C$86/100/1000))/2)+BJ33-(IF(AND(AZ33&gt;0,BB33&gt;0),MIN(AZ33,BB33),MAX(AZ33,BB33))*AR33*Y33^2*1E-4*DATOS!$C$86/100/1000))^2-16*((BD33*AR33*Y33^2*1E-4*DATOS!$C$86/100/1000)+((MAX(AZ33,BB33)*AR33*Y33^2*1E-4*DATOS!$C$86/100/1000)+(IF(AND(AZ33&gt;0,BB33&gt;0),MIN(AZ33,BB33),MAX(AZ33,BB33))*AR33*Y33^2*1E-4*DATOS!$C$86/100/1000))/2)*BJ33))))/(8*MAX(((BD33*AR33*Y33^2*1E-4*DATOS!$C$86/100/1000)+((MAX(AZ33,BB33)*AR33*Y33^2*1E-4*DATOS!$C$86/100/1000)+(IF(AND(AZ33&gt;0,BB33&gt;0),MIN(AZ33,BB33),MAX(AZ33,BB33))*AR33*Y33^2*1E-4*DATOS!$C$86/100/1000))/2),1E-9))+MAX(CN33,12*INDEX(TABLAS!$C$52:$C$58,MATCH(CL33,TABLAS!$B$52:$B$58,0)),AC33/16),IF(OR(AL33&lt;INDEX(TABLAS!$C$52:$C$58,MATCH(CL33,TABLAS!$B$52:$B$58,0)),AND(CM33&gt;=2,(DATOS!$C$83-2*AL33-CM33*INDEX(TABLAS!$C$52:$C$58,MATCH(CL33,TABLAS!$B$52:$B$58,0)))/MAX(CM33-1,1)&lt;2*INDEX(TABLAS!$C$52:$C$58,MATCH(CL33,TABLAS!$B$52:$B$58,0)))),INDEX(TABLAS!$I$52:$I$58,MATCH(CL33,TABLAS!$B$52:$B$58,0)),INDEX(TABLAS!$F$52:$F$58,MATCH(CL33,TABLAS!$B$52:$B$58,0)))),5))))</f>
        <v/>
      </c>
      <c r="DE33" s="55" t="str">
        <f>IF(V33&lt;&gt;"SÍ","",IF(AND(C33="PERIMETRAL",BW33&gt;=2,AS33-AT33&gt;0,BA33*AR33*Y33^2*1E-4*DATOS!$C$86/100/1000&gt;DATOS!$C$29*INDEX(TABLAS!$D$52:$D$58,MATCH(BV33,TABLAS!$B$52:$B$58,0))*DATOS!$C$14*(BX33-INDEX(TABLAS!$D$52:$D$58,MATCH(BV33,TABLAS!$B$52:$B$58,0))*DATOS!$C$14/(DATOS!$C$21*AF33)/2)/1E5),"SÍ","NO"))</f>
        <v/>
      </c>
      <c r="DF33" s="55" t="str">
        <f>IF(V33&lt;&gt;"SÍ","",IF(AND(C33="PERIMETRAL",CM33&gt;=2,AT33&gt;0,BB33*AR33*Y33^2*1E-4*DATOS!$C$86/100/1000&gt;DATOS!$C$29*INDEX(TABLAS!$D$52:$D$58,MATCH(CL33,TABLAS!$B$52:$B$58,0))*DATOS!$C$14*(CN33-INDEX(TABLAS!$D$52:$D$58,MATCH(CL33,TABLAS!$B$52:$B$58,0))*DATOS!$C$14/(DATOS!$C$21*AG33)/2)/1E5),"SÍ","NO"))</f>
        <v/>
      </c>
      <c r="DG33" s="63" t="str">
        <f>IF(V33&lt;&gt;"SÍ","",IF(OR(C33="VOLADO",AS33=0),"—",IF(AND(AND(1.25*INDEX(TABLAS!$G$52:$G$58,MATCH(MAX(BN33,CD33),TABLAS!$B$52:$B$58,0))&lt;=(DATOS!$C$75-DATOS!$C$63),(DATOS!$C$75-DATOS!$C$63)&gt;=15,INDEX(TABLAS!$G$52:$G$58,MATCH(MAX(BV33,CL33),TABLAS!$B$52:$B$58,0))&lt;=(DATOS!$C$75-DATOS!$C$63)),8*INDEX(TABLAS!$C$52:$C$58,MATCH(MAX(MAX(BN33,CD33),MAX(BV33,CL33)),TABLAS!$B$52:$B$58,0))&lt;=DATOS!$C$76-2*DATOS!$C$63),"CUMPLE (gancho de 180°)",IF(AND(1.25*INDEX(TABLAS!$G$52:$G$58,MATCH(MAX(BN33,CD33),TABLAS!$B$52:$B$58,0))&lt;=(DATOS!$C$75-DATOS!$C$63),(DATOS!$C$75-DATOS!$C$63)&gt;=15,INDEX(TABLAS!$G$52:$G$58,MATCH(MAX(BV33,CL33),TABLAS!$B$52:$B$58,0))&lt;=(DATOS!$C$75-DATOS!$C$63)),"NO CUMPLE: el gancho de 180° (8·d_b) no cabe en el peralte de la dala de borde","NO CUMPLE: dala de borde ≥ "&amp;TEXT(CEILING(MAX(1.25*INDEX(TABLAS!$G$52:$G$58,MATCH(MAX(BN33,CD33),TABLAS!$B$52:$B$58,0)),15,INDEX(TABLAS!$G$52:$G$58,MATCH(MAX(BV33,CL33),TABLAS!$B$52:$B$58,0)))+DATOS!$C$63,5),"0")&amp;" cm de ancho"&amp;IF(8*INDEX(TABLAS!$C$52:$C$58,MATCH(MAX(MAX(BN33,CD33),MAX(BV33,CL33)),TABLAS!$B$52:$B$58,0))&lt;=DATOS!$C$76-2*DATOS!$C$63,""," y más peralte para el gancho")))))</f>
        <v/>
      </c>
      <c r="DH33" s="59" t="str">
        <f>IF(V33&lt;&gt;"SÍ","",MAX(0,INT((E33*100-DATOS!$C$87-IF(AND(C33="PERIMETRAL",I33="DISCONTINUO"),MAX(0,DATOS!$C$75-DATOS!$C$87),0)-IF(AND(C33="PERIMETRAL",J33="DISCONTINUO"),MAX(0,DATOS!$C$75-DATOS!$C$87),0)+DATOS!$C$86-IF(X33="X",DATOS!$C$81,AE33))/DATOS!$C$86)))</f>
        <v/>
      </c>
      <c r="DI33" s="59" t="str">
        <f>IF(V33&lt;&gt;"SÍ","",MAX(0,INT((F33*100-DATOS!$C$87-IF(AND(C33="PERIMETRAL",G33="DISCONTINUO"),MAX(0,DATOS!$C$75-DATOS!$C$87),0)-IF(AND(C33="PERIMETRAL",H33="DISCONTINUO"),MAX(0,DATOS!$C$75-DATOS!$C$87),0)+DATOS!$C$86-IF(X33="Y",DATOS!$C$81,AE33))/DATOS!$C$86)))</f>
        <v/>
      </c>
      <c r="DJ33" s="57" t="str">
        <f>IF(V33&lt;&gt;"SÍ","",IF(DH33&gt;0,IF(AND(C33="PERIMETRAL",I33="DISCONTINUO"),MAX(0,DATOS!$C$75-DATOS!$C$87),0)+(E33*100-DATOS!$C$87-IF(AND(C33="PERIMETRAL",I33="DISCONTINUO"),MAX(0,DATOS!$C$75-DATOS!$C$87),0)-IF(AND(C33="PERIMETRAL",J33="DISCONTINUO"),MAX(0,DATOS!$C$75-DATOS!$C$87),0)-(DH33*IF(X33="X",DATOS!$C$81,AE33)+(DH33-1)*(DATOS!$C$86-IF(X33="X",DATOS!$C$81,AE33))))/2,E33*100/2))</f>
        <v/>
      </c>
      <c r="DK33" s="57" t="str">
        <f>IF(V33&lt;&gt;"SÍ","",IF(DH33&gt;0,IF(AND(C33="PERIMETRAL",J33="DISCONTINUO"),MAX(0,DATOS!$C$75-DATOS!$C$87),0)+(E33*100-DATOS!$C$87-IF(AND(C33="PERIMETRAL",I33="DISCONTINUO"),MAX(0,DATOS!$C$75-DATOS!$C$87),0)-IF(AND(C33="PERIMETRAL",J33="DISCONTINUO"),MAX(0,DATOS!$C$75-DATOS!$C$87),0)-(DH33*IF(X33="X",DATOS!$C$81,AE33)+(DH33-1)*(DATOS!$C$86-IF(X33="X",DATOS!$C$81,AE33))))/2,E33*100/2))</f>
        <v/>
      </c>
      <c r="DL33" s="57" t="str">
        <f>IF(V33&lt;&gt;"SÍ","",IF(DI33&gt;0,IF(AND(C33="PERIMETRAL",G33="DISCONTINUO"),MAX(0,DATOS!$C$75-DATOS!$C$87),0)+(F33*100-DATOS!$C$87-IF(AND(C33="PERIMETRAL",G33="DISCONTINUO"),MAX(0,DATOS!$C$75-DATOS!$C$87),0)-IF(AND(C33="PERIMETRAL",H33="DISCONTINUO"),MAX(0,DATOS!$C$75-DATOS!$C$87),0)-(DI33*IF(X33="Y",DATOS!$C$81,AE33)+(DI33-1)*(DATOS!$C$86-IF(X33="Y",DATOS!$C$81,AE33))))/2,F33*100/2))</f>
        <v/>
      </c>
      <c r="DM33" s="57" t="str">
        <f>IF(V33&lt;&gt;"SÍ","",IF(DI33&gt;0,IF(AND(C33="PERIMETRAL",H33="DISCONTINUO"),MAX(0,DATOS!$C$75-DATOS!$C$87),0)+(F33*100-DATOS!$C$87-IF(AND(C33="PERIMETRAL",G33="DISCONTINUO"),MAX(0,DATOS!$C$75-DATOS!$C$87),0)-IF(AND(C33="PERIMETRAL",H33="DISCONTINUO"),MAX(0,DATOS!$C$75-DATOS!$C$87),0)-(DI33*IF(X33="Y",DATOS!$C$81,AE33)+(DI33-1)*(DATOS!$C$86-IF(X33="Y",DATOS!$C$81,AE33))))/2,F33*100/2))</f>
        <v/>
      </c>
      <c r="DN33" s="59" t="str">
        <f>IF(V33&lt;&gt;"SÍ","",IF(NOT(AND(C33="VOLADO",AD33&gt;DATOS!$C$83)),0,IF(INDEX(TABLAS!$C$52:$C$58,MATCH(BV33,TABLAS!$B$52:$B$58,0))&lt;=DATOS!$C$83-2*DATOS!$C$63,1,0)))</f>
        <v/>
      </c>
      <c r="DO33" s="58" t="str">
        <f>IF(V33&lt;&gt;"SÍ","",IF(NOT(AND(C33="VOLADO",AD33&gt;DATOS!$C$83)),0,((DATOS!$C$85-MAX(DATOS!$C$63,(DATOS!$C$84-2*DATOS!$C$97)/2)-2*DATOS!$C$97-INDEX(TABLAS!$C$52:$C$58,MATCH(MAX(4,DATOS!$C$72),TABLAS!$B$52:$B$58,0))-INDEX(TABLAS!$C$52:$C$58,MATCH(BV33,TABLAS!$B$52:$B$58,0))/2)-IF(AND((DATOS!$C$85-MAX(DATOS!$C$63,(DATOS!$C$84-2*DATOS!$C$97)/2)-2*DATOS!$C$97-INDEX(TABLAS!$C$52:$C$58,MATCH(MAX(4,DATOS!$C$72),TABLAS!$B$52:$B$58,0))-INDEX(TABLAS!$C$52:$C$58,MATCH(BV33,TABLAS!$B$52:$B$58,0))/2)&lt;=20,DATOS!$C$65&lt;&gt;"SÍ"),2,0))))</f>
        <v/>
      </c>
      <c r="DP33" s="56" t="str">
        <f>IF(V33&lt;&gt;"SÍ","",IF(OR(NOT(AND(C33="VOLADO",AD33&gt;DATOS!$C$83)),DN33&lt;1),0,IF(0.003*(DO33-((DN33*INDEX(TABLAS!$D$52:$D$58,MATCH(BV33,TABLAS!$B$52:$B$58,0)))*DATOS!$C$14/(DATOS!$C$21*AG33)/DATOS!$C$22))/((DN33*INDEX(TABLAS!$D$52:$D$58,MATCH(BV33,TABLAS!$B$52:$B$58,0)))*DATOS!$C$14/(DATOS!$C$21*AG33)/DATOS!$C$22)&lt;0.005,0,DATOS!$C$29*(DN33*INDEX(TABLAS!$D$52:$D$58,MATCH(BV33,TABLAS!$B$52:$B$58,0)))*DATOS!$C$14*(DO33-(DN33*INDEX(TABLAS!$D$52:$D$58,MATCH(BV33,TABLAS!$B$52:$B$58,0)))*DATOS!$C$14/(DATOS!$C$21*AG33)/2)/1E5)))</f>
        <v/>
      </c>
      <c r="DQ33" s="56" t="str">
        <f>IF(V33&lt;&gt;"SÍ","",IF(OR(NOT(AND(C33="VOLADO",AD33&gt;DATOS!$C$83)),DN33&lt;1),0,DATOS!$C$30*2*MIN(1,SQRT(2/(1+0.04*DO33)))*((DN33*INDEX(TABLAS!$D$52:$D$58,MATCH(BV33,TABLAS!$B$52:$B$58,0)))/(AG33*DO33))^(1/3)*SQRT(DATOS!$C$13)*AG33*DO33/1000))</f>
        <v/>
      </c>
      <c r="DR33" s="56" t="str">
        <f>IF(V33&lt;&gt;"SÍ","",IF(NOT(AND(C33="VOLADO",AD33&gt;DATOS!$C$83)),0,IF((BH33-DP33)&lt;=0,0,IF(DP33&lt;=0,IF(ISNUMBER(P33),P33,Y33),IF(((0.9*DATOS!$C$90*DATOS!$C$86/100/1000)*IF(ISNUMBER(P33),P33,Y33)/2+BH33/IF(ISNUMBER(P33),P33,Y33))^2-4*((0.9*DATOS!$C$90*DATOS!$C$86/100/1000)/2)*(BH33-DP33)&lt;0,IF(ISNUMBER(P33),P33,Y33),MIN(IF(ISNUMBER(P33),P33,Y33),(((0.9*DATOS!$C$90*DATOS!$C$86/100/1000)*IF(ISNUMBER(P33),P33,Y33)/2+BH33/IF(ISNUMBER(P33),P33,Y33))-SQRT(((0.9*DATOS!$C$90*DATOS!$C$86/100/1000)*IF(ISNUMBER(P33),P33,Y33)/2+BH33/IF(ISNUMBER(P33),P33,Y33))^2-4*((0.9*DATOS!$C$90*DATOS!$C$86/100/1000)/2)*(BH33-DP33)))/(2*((0.9*DATOS!$C$90*DATOS!$C$86/100/1000)/2))))))))</f>
        <v/>
      </c>
      <c r="DS33" s="56" t="str">
        <f>IF(V33&lt;&gt;"SÍ","",IF(NOT(AND(C33="VOLADO",AD33&gt;DATOS!$C$83)),0,IF(DQ33&lt;=(BH33/((IF(ISNUMBER(P33),P33,Y33)*100-DATOS!$C$87)/100)),IF(ISNUMBER(P33),P33,Y33),MIN(IF(ISNUMBER(P33),P33,Y33),MAX(0,(IF(ISNUMBER(P33),P33,Y33)*100-DATOS!$C$87)/200-(DQ33-(BH33/((IF(ISNUMBER(P33),P33,Y33)*100-DATOS!$C$87)/100)))/((0.95-0.5*IF(N(Q33)&gt;0,MIN(IF(ISNUMBER(P33),P33,Y33),Q33)/MAX(IF(ISNUMBER(P33),P33,Y33),Q33),0))*DATOS!$C$33*AR33*DATOS!$C$86/100/1000))))))</f>
        <v/>
      </c>
      <c r="DT33" s="56" t="str">
        <f>IF(V33&lt;&gt;"SÍ","",IF(NOT(AND(C33="VOLADO",AD33&gt;DATOS!$C$83)),0,(BH33/((IF(ISNUMBER(P33),P33,Y33)*100-DATOS!$C$87)/100))+((0.95-0.5*IF(N(Q33)&gt;0,MIN(IF(ISNUMBER(P33),P33,Y33),Q33)/MAX(IF(ISNUMBER(P33),P33,Y33),Q33),0))*DATOS!$C$33*AR33*DATOS!$C$86/100/1000)*MAX(0,(IF(ISNUMBER(P33),P33,Y33)*100-DATOS!$C$87)/200-BX33/100)))</f>
        <v/>
      </c>
      <c r="DU33" s="59" t="str">
        <f>IF(V33&lt;&gt;"SÍ","",IF(NOT(AND(C33="VOLADO",AD33&gt;DATOS!$C$83)),0,MIN(FLOOR(100*IF(ISNUMBER(P33),P33,Y33)-DATOS!$C$63,5),CEILING(100*MIN(IF(ISNUMBER(P33),P33,Y33),MAX(IF(DR33&gt;0,DR33+IF(BW33&gt;=2,MAX(DO33,12*INDEX(TABLAS!$C$52:$C$58,MATCH(BV33,TABLAS!$B$52:$B$58,0)))/100,0),0),DS33,IF(BW33&gt;=2,INDEX(TABLAS!$F$52:$F$58,MATCH(BV33,TABLAS!$B$52:$B$58,0))/100,0))),5))))</f>
        <v/>
      </c>
      <c r="DV33" s="60" t="str">
        <f>IF(V33&lt;&gt;"SÍ","",IF(NOT(AND(C33="VOLADO",AD33&gt;DATOS!$C$83)),0,IF(DU33&lt;=0,0,CEILING(DU33/DATOS!$C$86,1))))</f>
        <v/>
      </c>
      <c r="DW33" s="61" t="str">
        <f>IF(V33&lt;&gt;"SÍ","",IF(C33&lt;&gt;"VOLADO","—",IF(AD33&lt;=DATOS!$C$83,"— (mismo b_w que el respaldo)",IF(DT33&gt;CS33,"NO CUMPLE: cortante de la nervadura ancha junto al apoyo ("&amp;TEXT(DT33,"0.00")&amp;" &gt; "&amp;TEXT(CS33,"0.00")&amp;" t)",IF(DU33&gt;=100*IF(ISNUMBER(P33),P33,Y33),"CUMPLE — todas las nervaduras del respaldo ‖ al volado con b_w = "&amp;AD33&amp;" cm","CUMPLE — "&amp;DV33&amp;" hilera(s) del respaldo con nervaduras de b_w = "&amp;AD33&amp;" cm (casetón "&amp;AE33&amp;" cm), hasta "&amp;TEXT(DU33/100,"0.00")&amp;" m del paño")))))</f>
        <v/>
      </c>
      <c r="DX33" s="69" t="str">
        <f>IF(V33&lt;&gt;"SÍ","",IF(BO33=0,"NO ALCANZA",BO33&amp;" No. "&amp;BN33&amp;IF(BO33&gt;1," corridas"," corrida")))</f>
        <v/>
      </c>
      <c r="DY33" s="69" t="str">
        <f>IF(V33&lt;&gt;"SÍ","",IF(BW33=0,"NO ALCANZA",IF(AND(C33="VOLADO",AD33&gt;DATOS!$C$83,BW33&gt;=2),"1 No. "&amp;BV33&amp;" corrida de la orilla al respaldo ("&amp;IF(DC33&gt;=FLOOR(100*IF(ISNUMBER(P33),P33,Y33)-DATOS!$C$63,5),"hasta su apoyo lejano, con gancho","entra "&amp;TEXT(DC33/100,"0.00")&amp;" m desde el paño")&amp;") + "&amp;(BW33-1)&amp;" bastón No. "&amp;BV33&amp;" hasta "&amp;TEXT(DU33/100,"0.00")&amp;" m del paño (fin de la nervadura ancha)",IF(C33="VOLADO",BW33&amp;" No. "&amp;BV33&amp;" de la orilla al respaldo ("&amp;IF(DC33&gt;=FLOOR(100*IF(ISNUMBER(P33),P33,Y33)-DATOS!$C$63,5),"hasta su apoyo lejano, con gancho","entran "&amp;TEXT(DC33/100,"0.00")&amp;" m desde el paño")&amp;")","1 No. "&amp;BV33&amp;" corrida"&amp;IF(BW33&gt;1," + "&amp;(BW33-1)&amp;" bastón No. "&amp;BV33&amp;" L = "&amp;TEXT(DC33/100,"0.00")&amp;" m desde el paño","")))))</f>
        <v/>
      </c>
      <c r="DZ33" s="69" t="str">
        <f>IF(V33&lt;&gt;"SÍ","",IF(CE33=0,"NO ALCANZA",CE33&amp;" No. "&amp;CD33&amp;IF(CE33&gt;1," corridas"," corrida")))</f>
        <v/>
      </c>
      <c r="EA33" s="69" t="str">
        <f>IF(V33&lt;&gt;"SÍ","",IF(CM33=0,"NO ALCANZA",IF(C33="VOLADO","1 No. "&amp;CL33&amp;" corrida (repartición)","1 No. "&amp;CL33&amp;" corrida"&amp;IF(CM33&gt;1," + "&amp;(CM33-1)&amp;" bastón No. "&amp;CL33&amp;" L = "&amp;TEXT(DD33/100,"0.00")&amp;" m desde el paño",""))))</f>
        <v/>
      </c>
      <c r="EB33" s="67" t="str">
        <f>IF(B33="","",IF(V33&lt;&gt;"SÍ","FALTAN DATOS: tipo, a_x, a_y, destino y, en volados, L_b",IF(L33="NO MONOLÍTICO (caso II)","FUERA DE ALCANCE: caso II no transcrito",IF(AND(C33="VOLADO",W33="?"),"REVISAR: el volado lleva UN solo borde CONTINUO (el empotrado)",IF(MIN(DH33,DI33)=0,"REVISAR: no cabe un casetón (tablero macizo): diséñalo en MACIZAS",IF(AND(MAX(BR33,BZ33,CH33,CP33)&lt;=1,NOT(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T(OR(AND(ISNUMBER(BS33),BS33&lt;0.005),AND(ISNUMBER(CA33),CA33&lt;0.005),AND(ISNUMBER(CI33),CI33&lt;0.005),AND(ISNUMBER(CQ33),CQ33&lt;0.005))),NOT(LEFT(DW33,2)="NO"),DA33="CUMPLE",DB33="CUMPLE",LEFT(CU33,2)&lt;&gt;"NO",LEFT(DATOS!$C$132,6)="CUMPLE"),IF(LEFT(CU33,6)="CUMPLE","CUMPLE","CUMPLE — "&amp;CU33)&amp;IF(LEFT(BK33,5)="FUERA"," · fuera de 3.4.2.1 c)","")&amp;IF(LEFT(DG33,2)="NO"," · REVISAR anclaje en borde discontinuo","")&amp;IF(DV33&gt;0," · respaldo: "&amp;DV33&amp;" hilera(s) de b_w "&amp;AD33&amp;" cm",""),IF(AND(MAX(BR33,BZ33,CH33,CP33)&lt;=1,NOT(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T(OR(AND(ISNUMBER(BS33),BS33&lt;0.005),AND(ISNUMBER(CA33),CA33&lt;0.005),AND(ISNUMBER(CI33),CI33&lt;0.005),AND(ISNUMBER(CQ33),CQ33&lt;0.005))),NOT(LEFT(DW33,2)="NO"),DA33="CALCULAR FLECHA",LEFT(CU33,2)&lt;&gt;"NO",LEFT(DATOS!$C$132,6)="CUMPLE"),"REVISAR: calcular flecha (h_eq &lt; h mín.)"&amp;IF(LEFT(BK33,5)="FUERA"," · fuera de 3.4.2.1 c)","")&amp;IF(LEFT(DG33,2)="NO"," · REVISAR anclaje en borde discontinuo","")&amp;IF(DV33&gt;0," · respaldo: "&amp;DV33&amp;" hilera(s) de b_w "&amp;AD33&amp;" cm",""),"NO CUMPLE: "&amp;IF(MAX(BR33,BZ33,CH33,CP33)&gt;1,"flexión ","")&amp;IF(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 caben ","")&amp;IF(OR(AND(ISNUMBER(BS33),BS33&lt;0.005),AND(ISNUMBER(CA33),CA33&lt;0.005),AND(ISNUMBER(CI33),CI33&lt;0.005),AND(ISNUMBER(CQ33),CQ33&lt;0.005)),"ε_t &lt; 0.005 ","")&amp;IF(LEFT(CU33,2)="NO","cortante ","")&amp;IF(DA33="NO CUMPLE","peralte ","")&amp;IF(DB33&lt;&gt;"CUMPLE","capa &lt; 6 cm ","")&amp;IF(LEFT(DATOS!$C$132,6)&lt;&gt;"CUMPLE","capa o malla (DATOS sección 7) ","")&amp;IF(LEFT(DW33,2)="NO","respaldo del volado",""))))))))</f>
        <v/>
      </c>
      <c r="EC33" s="70" t="str">
        <f>IF(V33&lt;&gt;"SÍ","",IF(LEFT(B33,7)="EJEMPLO","EJEMPLO de la hoja de Casa Rocha: bórralo o sobrescríbelo. ","")&amp;IF(AND(C33="PERIMETRAL",MIN(DH33,DI33)=0),"No cabe un casetón en el claro corto: es un tablero macizo, diséñalo en MACIZAS. ","")&amp;IF(AND(AJ33="NO",C33="PERIMETRAL"),"No cumple 6.7.8.1.4 (a_c = "&amp;MAX(DATOS!$C$81,AE33)&amp;" cm &gt; claro corto/6 = "&amp;TEXT(Y33*100/6,"0")&amp;" cm): se diseña como losa apoyada en vigas (6.7.8.1.9): r de viga = "&amp;DATOS!$C$63&amp;" cm y V_cR sin ×1.1. Para que cuente como encasetonada: casetón de "&amp;TEXT(FLOOR(MIN(80,Y33*100/6),1),"0")&amp;" cm o menor. ","")&amp;IF(C33="VOLADO","Volado de "&amp;TEXT(Y33,"0.00")&amp;" m empotrado en el borde "&amp;LOWER(W33)&amp;IF(N(O33)&gt;0,", con "&amp;TEXT(O33,"0.0")&amp;" kg/m en la orilla","")&amp;". Lecho inferior con r_ext. Si la orilla carga pretil u otro elemento frágil, calcula la flecha (13.4). El acero superior entra al respaldo de "&amp;TEXT(IF(ISNUMBER(P33),P33,Y33),"0.00")&amp;" m"&amp;" hasta pasar M = 0 con 0.9·PP sin carga viva; si ahí no se anula, llega al apoyo lejano y se ancla con gancho (NTC-Criterios 3.4.1 c y 5.1.2.2). "&amp;IF(AD33&gt;DATOS!$C$83,"Respaldo: "&amp;DW33&amp;". ",""),"")&amp;IF(AND(C33="VOLADO",((0.9*DATOS!$C$90*DATOS!$C$86/100/1000)*IF(ISNUMBER(P33),P33,Y33)/2-BH33/IF(ISNUMBER(P33),P33,Y33))&lt;0),"Con 0.9·PP y sin carga viva el apoyo lejano del respaldo levanta (R = "&amp;TEXT(-((0.9*DATOS!$C$90*DATOS!$C$86/100/1000)*IF(ISNUMBER(P33),P33,Y33)/2-BH33/IF(ISNUMBER(P33),P33,Y33)),"0.00")&amp;" t por nervadura): ancla ahí la corrida con gancho y revisa ese apoyo a tensión. ","")&amp;IF(LEFT(BK33,5)="FUERA","El M⁻ del vecino difiere más de 50 % (3.4.2.1 c): distribuye el desequilibrio (3.4.3.1) o confirma con un modelo; se arma con el mayor. ","")&amp;IF(OR(DE33="SÍ",DF33="SÍ"),"El M⁻ del borde discontinuo pide bastón también ahí (con gancho). ","")&amp;IF(LEFT(DG33,2)="NO","Anclaje: "&amp;DG33&amp;" (6.7.8.1.7). ","")&amp;IF(AND(C33="PERIMETRAL",AT33&gt;=1,AS33-AT33&gt;=1),"Esquinas exteriores sobre muro: refuerzo de esquina arriba y abajo en L_largo/5 (6.7.7.3.1). ",""))</f>
        <v/>
      </c>
    </row>
    <row r="34" ht="33" customHeight="1">
      <c r="A34" s="50">
        <f>IF(B34="",0,1)+A33</f>
        <v>4</v>
      </c>
      <c r="B34" s="29" t="n"/>
      <c r="C34" s="51" t="n"/>
      <c r="D34" s="29" t="n"/>
      <c r="E34" s="52" t="n"/>
      <c r="F34" s="52" t="n"/>
      <c r="G34" s="51" t="n"/>
      <c r="H34" s="51" t="n"/>
      <c r="I34" s="51" t="n"/>
      <c r="J34" s="51" t="n"/>
      <c r="K34" s="51" t="n"/>
      <c r="L34" s="51" t="n"/>
      <c r="M34" s="53" t="n"/>
      <c r="N34" s="53" t="n"/>
      <c r="O34" s="54" t="n"/>
      <c r="P34" s="52" t="n"/>
      <c r="Q34" s="52" t="n"/>
      <c r="R34" s="53" t="n"/>
      <c r="S34" s="54" t="n"/>
      <c r="T34" s="52" t="n"/>
      <c r="U34" s="52" t="n"/>
      <c r="V34" s="55" t="str">
        <f>IF(B34="","",IF(AND(OR(C34="PERIMETRAL",C34="VOLADO"),ISNUMBER(E34),ISNUMBER(F34),E34&gt;0,F34&gt;0,OR(ISNUMBER(N34),ISNUMBER(MATCH(D34,DATOS!$B$46:$B$58,0))),OR(C34&lt;&gt;"VOLADO",N(P34)&gt;0)),"SÍ","NO"))</f>
        <v/>
      </c>
      <c r="W34" s="55" t="str">
        <f>IF(V34&lt;&gt;"SÍ","",IF(C34&lt;&gt;"VOLADO","—",IF(COUNTIF(G34:J34,"CONTINUO")&lt;&gt;1,"?",IF(G34="CONTINUO","INFERIOR",IF(H34="CONTINUO","SUPERIOR",IF(I34="CONTINUO","IZQUIERDO","DERECHO"))))))</f>
        <v/>
      </c>
      <c r="X34" s="55" t="str">
        <f>IF(V34&lt;&gt;"SÍ","",IF(C34="VOLADO",IF(OR(W34="IZQUIERDO",W34="DERECHO"),"X","Y"),IF(E34&lt;=F34,"X","Y")))</f>
        <v/>
      </c>
      <c r="Y34" s="56" t="str">
        <f>IF(V34&lt;&gt;"SÍ","",IF(C34="VOLADO",IF(X34="X",E34,F34),MIN(E34,F34)))</f>
        <v/>
      </c>
      <c r="Z34" s="56" t="str">
        <f>IF(V34&lt;&gt;"SÍ","",IF(C34="VOLADO",IF(X34="X",F34,E34),MAX(E34,F34)))</f>
        <v/>
      </c>
      <c r="AA34" s="56" t="str">
        <f>IF(V34&lt;&gt;"SÍ","",MIN(Y34,Z34)/MAX(Y34,Z34))</f>
        <v/>
      </c>
      <c r="AB34" s="57" t="str">
        <f>IF(V34&lt;&gt;"SÍ","",MAX(1,Y34*100-IF(C34="VOLADO",DATOS!$C$87/2,DATOS!$C$87)))</f>
        <v/>
      </c>
      <c r="AC34" s="57" t="str">
        <f>IF(V34&lt;&gt;"SÍ","",MAX(1,Z34*100-DATOS!$C$87))</f>
        <v/>
      </c>
      <c r="AD34" s="57" t="str">
        <f>IF(V34&lt;&gt;"SÍ","",IF(ISNUMBER(R34),R34,DATOS!$C$83))</f>
        <v/>
      </c>
      <c r="AE34" s="57" t="str">
        <f>IF(V34&lt;&gt;"SÍ","",MAX(0,DATOS!$C$86-AD34))</f>
        <v/>
      </c>
      <c r="AF34" s="57" t="str">
        <f>IF(V34&lt;&gt;"SÍ","",IF(OR(DATOS!$C$65="SÍ",AD34&gt;=20),AD34,AD34-2))</f>
        <v/>
      </c>
      <c r="AG34" s="57" t="str">
        <f>IF(V34&lt;&gt;"SÍ","",IF(OR(DATOS!$C$65="SÍ",DATOS!$C$83&gt;=20),DATOS!$C$83,DATOS!$C$83-2))</f>
        <v/>
      </c>
      <c r="AH34" s="57" t="str">
        <f>IF(V34&lt;&gt;"SÍ","",MIN(DATOS!$C$86,AD34+2*MIN(8*DATOS!$C$84,AE34/2,AB34/8)))</f>
        <v/>
      </c>
      <c r="AI34" s="57" t="str">
        <f>IF(V34&lt;&gt;"SÍ","",MIN(DATOS!$C$86,DATOS!$C$83+2*MIN(8*DATOS!$C$84,DATOS!$C$81/2,AC34/8)))</f>
        <v/>
      </c>
      <c r="AJ34" s="55" t="str">
        <f>IF(V34&lt;&gt;"SÍ","",IF(AND(C34="PERIMETRAL",Y34*100&gt;=6*MAX(DATOS!$C$81,AE34),MAX(DATOS!$C$81,AE34)&lt;=80,MIN(DATOS!$C$83,AD34)&gt;=10,DATOS!$C$85&lt;=3.5*MIN(DATOS!$C$83,AD34),DATOS!$C$84&gt;=MAX(MAX(DATOS!$C$81,AE34)/13,5)),"SÍ","NO"))</f>
        <v/>
      </c>
      <c r="AK34" s="57" t="str">
        <f>IF(V34&lt;&gt;"SÍ","",IF(C34="VOLADO",DATOS!$C$64,IF(AJ34="NO",DATOS!$C$63,DATOS!$C$62)))</f>
        <v/>
      </c>
      <c r="AL34" s="57" t="str">
        <f>IF(V34&lt;&gt;"SÍ","",IF(OR(AND(AN34="SÍ",DATOS!$C$66="SÍ"),AND(C34="VOLADO",DATOS!$C$67="SÍ")),DATOS!$C$64,IF(AJ34="NO",DATOS!$C$63,DATOS!$C$62)))</f>
        <v/>
      </c>
      <c r="AM34" s="58" t="str">
        <f>IF(V34&lt;&gt;"SÍ","",MAX(AL34,(DATOS!$C$84-2*DATOS!$C$97)/2))</f>
        <v/>
      </c>
      <c r="AN34" s="55" t="str">
        <f>IF(V34&lt;&gt;"SÍ","",IFERROR(INDEX(DATOS!$D$46:$D$58,MATCH(D34,DATOS!$B$46:$B$58,0)),"NO"))</f>
        <v/>
      </c>
      <c r="AO34" s="59" t="str">
        <f>IF(V34&lt;&gt;"SÍ","",IF(ISNUMBER(N34),N34,IFERROR(INDEX(DATOS!$C$46:$C$58,MATCH(D34,DATOS!$B$46:$B$58,0)),0)))</f>
        <v/>
      </c>
      <c r="AP34" s="59" t="str">
        <f>IF(V34&lt;&gt;"SÍ","",IF(MIN(DH34,DI34)=0,DATOS!$C$85/100*DATOS!$C$16*1000,(DATOS!$C$85/100-(AE34*DATOS!$C$81/DATOS!$C$86^2)*DATOS!$C$82/100)*DATOS!$C$16*1000+(AE34*DATOS!$C$81/DATOS!$C$86^2)*DATOS!$C$82/100*DATOS!$C$17*1000)+DATOS!$C$37+DATOS!$C$38)</f>
        <v/>
      </c>
      <c r="AQ34" s="59" t="str">
        <f>IF(V34&lt;&gt;"SÍ","",AP34+N(M34))</f>
        <v/>
      </c>
      <c r="AR34" s="60" t="str">
        <f>IF(V34&lt;&gt;"SÍ","",MAX(DATOS!$C$26*AQ34+DATOS!$C$27*AO34,IF(AN34="SÍ",DATOS!$C$28*(AQ34+DATOS!$C$41),0)))</f>
        <v/>
      </c>
      <c r="AS34" s="59" t="str">
        <f>IF(V34&lt;&gt;"SÍ","",(G34="DISCONTINUO")+(H34="DISCONTINUO")+(I34="DISCONTINUO")+(J34="DISCONTINUO"))</f>
        <v/>
      </c>
      <c r="AT34" s="59" t="str">
        <f>IF(V34&lt;&gt;"SÍ","",IF(X34="X",(G34="DISCONTINUO")+(H34="DISCONTINUO"),(I34="DISCONTINUO")+(J34="DISCONTINUO")))</f>
        <v/>
      </c>
      <c r="AU34" s="55" t="str">
        <f>IF(V34&lt;&gt;"SÍ","",IF(AS34=0,"INTERIOR",IF(AS34=1,IF(AT34=1,"BORDE-CORTO","BORDE-LARGO"),IF(AS34=2,IF(AT34=1,"ESQUINA",IF(AT34=2,"EXTREMO-LARGO","EXTREMO-CORTO")),IF(AS34=3,IF(AT34=2,"EXTREMO-LARGO","EXTREMO-CORTO"),"AISLADO")))))</f>
        <v/>
      </c>
      <c r="AV34" s="61" t="str">
        <f>IF(V34&lt;&gt;"SÍ","",IF(OR(K34="",K34="AUTO"),AU34,K34))</f>
        <v/>
      </c>
      <c r="AW34" s="59" t="str">
        <f>IF(V34&lt;&gt;"SÍ","",MATCH(AA34,TABLAS!$D$5:$J$5,1))</f>
        <v/>
      </c>
      <c r="AX34" s="58" t="str">
        <f>IF(V34&lt;&gt;"SÍ","",IF(AW34&gt;=7,0,(AA34-INDEX(TABLAS!$D$5:$J$5,AW34))/(INDEX(TABLAS!$D$5:$J$5,AW34+1)-INDEX(TABLAS!$D$5:$J$5,AW34))))</f>
        <v/>
      </c>
      <c r="AY34" s="59" t="str">
        <f>IF(V34&lt;&gt;"SÍ","",INDEX(TABLAS!$D$6:$J$47,MATCH(AV34&amp;"|NIC",TABLAS!$B$6:$B$47,0),AW34)+AX34*(INDEX(TABLAS!$D$6:$J$47,MATCH(AV34&amp;"|NIC",TABLAS!$B$6:$B$47,0),MIN(AW34+1,7))-INDEX(TABLAS!$D$6:$J$47,MATCH(AV34&amp;"|NIC",TABLAS!$B$6:$B$47,0),AW34)))</f>
        <v/>
      </c>
      <c r="AZ34" s="59" t="str">
        <f>IF(V34&lt;&gt;"SÍ","",INDEX(TABLAS!$D$6:$J$47,MATCH(AV34&amp;"|NIL",TABLAS!$B$6:$B$47,0),AW34)+AX34*(INDEX(TABLAS!$D$6:$J$47,MATCH(AV34&amp;"|NIL",TABLAS!$B$6:$B$47,0),MIN(AW34+1,7))-INDEX(TABLAS!$D$6:$J$47,MATCH(AV34&amp;"|NIL",TABLAS!$B$6:$B$47,0),AW34)))</f>
        <v/>
      </c>
      <c r="BA34" s="59" t="str">
        <f>IF(V34&lt;&gt;"SÍ","",INDEX(TABLAS!$D$6:$J$47,MATCH(AV34&amp;"|NDC",TABLAS!$B$6:$B$47,0),AW34)+AX34*(INDEX(TABLAS!$D$6:$J$47,MATCH(AV34&amp;"|NDC",TABLAS!$B$6:$B$47,0),MIN(AW34+1,7))-INDEX(TABLAS!$D$6:$J$47,MATCH(AV34&amp;"|NDC",TABLAS!$B$6:$B$47,0),AW34)))</f>
        <v/>
      </c>
      <c r="BB34" s="59" t="str">
        <f>IF(V34&lt;&gt;"SÍ","",INDEX(TABLAS!$D$6:$J$47,MATCH(AV34&amp;"|NDL",TABLAS!$B$6:$B$47,0),AW34)+AX34*(INDEX(TABLAS!$D$6:$J$47,MATCH(AV34&amp;"|NDL",TABLAS!$B$6:$B$47,0),MIN(AW34+1,7))-INDEX(TABLAS!$D$6:$J$47,MATCH(AV34&amp;"|NDL",TABLAS!$B$6:$B$47,0),AW34)))</f>
        <v/>
      </c>
      <c r="BC34" s="59" t="str">
        <f>IF(V34&lt;&gt;"SÍ","",INDEX(TABLAS!$D$6:$J$47,MATCH(AV34&amp;"|PC",TABLAS!$B$6:$B$47,0),AW34)+AX34*(INDEX(TABLAS!$D$6:$J$47,MATCH(AV34&amp;"|PC",TABLAS!$B$6:$B$47,0),MIN(AW34+1,7))-INDEX(TABLAS!$D$6:$J$47,MATCH(AV34&amp;"|PC",TABLAS!$B$6:$B$47,0),AW34)))</f>
        <v/>
      </c>
      <c r="BD34" s="59" t="str">
        <f>IF(V34&lt;&gt;"SÍ","",INDEX(TABLAS!$D$6:$J$47,MATCH(AV34&amp;"|PL",TABLAS!$B$6:$B$47,0),AW34)+AX34*(INDEX(TABLAS!$D$6:$J$47,MATCH(AV34&amp;"|PL",TABLAS!$B$6:$B$47,0),MIN(AW34+1,7))-INDEX(TABLAS!$D$6:$J$47,MATCH(AV34&amp;"|PL",TABLAS!$B$6:$B$47,0),AW34)))</f>
        <v/>
      </c>
      <c r="BE34" s="56" t="str">
        <f>IF(V34&lt;&gt;"SÍ","",IF(OR(C34&lt;&gt;"VOLADO",MIN(DH34,DI34)=0),0,DATOS!$C$26*DATOS!$C$16*DATOS!$C$86/100*(((AE34*DATOS!$C$81/DATOS!$C$86^2)*DATOS!$C$82/100)*(IF(X34="X",DJ34,DL34)+DATOS!$C$87/2)/100*(AB34-(IF(X34="X",DJ34,DL34)+DATOS!$C$87/2)/2)/100+((AE34*DATOS!$C$81/DATOS!$C$86^2)*DATOS!$C$82/100)*IF(X34="X",DJ34,DL34)/100*IF(X34="X",DJ34,DL34)/200)))</f>
        <v/>
      </c>
      <c r="BF34" s="56" t="str">
        <f>IF(V34&lt;&gt;"SÍ","",IF(OR(C34&lt;&gt;"VOLADO",MIN(DH34,DI34)=0),0,DATOS!$C$26*DATOS!$C$16*DATOS!$C$86/100*((AE34*DATOS!$C$81/DATOS!$C$86^2)*DATOS!$C$82/100)*(IF(X34="X",DJ34,DL34)+DATOS!$C$87/2)/100))</f>
        <v/>
      </c>
      <c r="BG34" s="56" t="str">
        <f>IF(V34&lt;&gt;"SÍ","",IF(C34="PERIMETRAL",BC34*AR34*Y34^2*1E-4*DATOS!$C$86/100/1000,0))</f>
        <v/>
      </c>
      <c r="BH34" s="62" t="str">
        <f>IF(V34&lt;&gt;"SÍ","",IF(C34="PERIMETRAL",MAX(MAX(AY34,BA34)*AR34*Y34^2*1E-4*DATOS!$C$86/100/1000,N(T34)),(AR34*(AB34/100)^2/2+DATOS!$C$26*N(O34)*AB34/100)*DATOS!$C$86/100/1000+BE34))</f>
        <v/>
      </c>
      <c r="BI34" s="56" t="str">
        <f>IF(V34&lt;&gt;"SÍ","",IF(C34="PERIMETRAL",BD34*AR34*Y34^2*1E-4*DATOS!$C$86/100/1000,0))</f>
        <v/>
      </c>
      <c r="BJ34" s="56" t="str">
        <f>IF(V34&lt;&gt;"SÍ","",IF(C34="PERIMETRAL",MAX(MAX(AZ34,BB34)*AR34*Y34^2*1E-4*DATOS!$C$86/100/1000,N(U34)),0))</f>
        <v/>
      </c>
      <c r="BK34" s="63" t="str">
        <f>IF(V34&lt;&gt;"SÍ","",IF(C34&lt;&gt;"PERIMETRAL","—",IF(AND(N(T34)=0,N(U34)=0),"— (sin M⁻ del vecino)",IF(OR(AND(N(T34)&gt;0,ABS(MAX(AY34,BA34)*AR34*Y34^2*1E-4*DATOS!$C$86/100/1000-N(T34))&gt;0.5*MIN(MAX(AY34,BA34)*AR34*Y34^2*1E-4*DATOS!$C$86/100/1000,N(T34))),AND(N(U34)&gt;0,ABS(MAX(AZ34,BB34)*AR34*Y34^2*1E-4*DATOS!$C$86/100/1000-N(U34))&gt;0.5*MIN(MAX(AZ34,BB34)*AR34*Y34^2*1E-4*DATOS!$C$86/100/1000,N(U34)))),"FUERA: difieren &gt; 50 %"&amp;IF(AND(N(T34)&gt;0,ABS(MAX(AY34,BA34)*AR34*Y34^2*1E-4*DATOS!$C$86/100/1000-N(T34))&gt;0.5*MIN(MAX(AY34,BA34)*AR34*Y34^2*1E-4*DATOS!$C$86/100/1000,N(T34)))," ‖ corto","")&amp;IF(AND(N(U34)&gt;0,ABS(MAX(AZ34,BB34)*AR34*Y34^2*1E-4*DATOS!$C$86/100/1000-N(U34))&gt;0.5*MIN(MAX(AZ34,BB34)*AR34*Y34^2*1E-4*DATOS!$C$86/100/1000,N(U34)))," ‖ largo",""),"CUMPLE"))))</f>
        <v/>
      </c>
      <c r="BL34" s="58" t="str">
        <f>IF(V34&lt;&gt;"SÍ","",(DATOS!$C$85-AK34-INDEX(TABLAS!$C$52:$C$58,MATCH(MAX(4,DATOS!$C$71),TABLAS!$B$52:$B$58,0))/2))</f>
        <v/>
      </c>
      <c r="BM34" s="58" t="str">
        <f>IF(V34&lt;&gt;"SÍ","",IF(IF(BG34&lt;=0,0,IF((1-2*BG34*1E5/(DATOS!$C$29*AH34*BL34^2*DATOS!$C$21))&lt;0,-1,IF((1-SQRT((1-2*BG34*1E5/(DATOS!$C$29*AH34*BL34^2*DATOS!$C$21))))*DATOS!$C$21*AH34*BL34/DATOS!$C$14&gt;DATOS!$C$102*AH34*BL34,-1,(1-SQRT((1-2*BG34*1E5/(DATOS!$C$29*AH34*BL34^2*DATOS!$C$21))))*DATOS!$C$21*AH34*BL34/DATOS!$C$14)))&lt;0,-1,MAX(IF(BG34&lt;=0,0,IF((1-2*BG34*1E5/(DATOS!$C$29*AH34*BL34^2*DATOS!$C$21))&lt;0,-1,IF((1-SQRT((1-2*BG34*1E5/(DATOS!$C$29*AH34*BL34^2*DATOS!$C$21))))*DATOS!$C$21*AH34*BL34/DATOS!$C$14&gt;DATOS!$C$102*AH34*BL34,-1,(1-SQRT((1-2*BG34*1E5/(DATOS!$C$29*AH34*BL34^2*DATOS!$C$21))))*DATOS!$C$21*AH34*BL34/DATOS!$C$14))),MIN(DATOS!$C$103*AD34*BL34,4/3*IF(BG34&lt;=0,0,IF((1-2*BG34*1E5/(DATOS!$C$29*AH34*BL34^2*DATOS!$C$21))&lt;0,-1,IF((1-SQRT((1-2*BG34*1E5/(DATOS!$C$29*AH34*BL34^2*DATOS!$C$21))))*DATOS!$C$21*AH34*BL34/DATOS!$C$14&gt;DATOS!$C$102*AH34*BL34,-1,(1-SQRT((1-2*BG34*1E5/(DATOS!$C$29*AH34*BL34^2*DATOS!$C$21))))*DATOS!$C$21*AH34*BL34/DATOS!$C$14)))))))</f>
        <v/>
      </c>
      <c r="BN34" s="64" t="str">
        <f>IF(V34&lt;&gt;"SÍ","",IF(AND(BM34&gt;=0,IF(MAX(DATOS!$C$74,CEILING(BM34/INDEX(TABLAS!$D$52:$D$58,MIN(MATCH(MAX(4,DATOS!$C$71),TABLAS!$B$52:$B$58,0)+0,7)),1))*INDEX(TABLAS!$D$52:$D$58,MIN(MATCH(MAX(4,DATOS!$C$71),TABLAS!$B$52:$B$58,0)+0,7)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+0,7)),1)),MAX(MAX(DATOS!$C$74,CEILING(BM34/INDEX(TABLAS!$D$52:$D$58,MIN(MATCH(MAX(4,DATOS!$C$71),TABLAS!$B$52:$B$58,0)+0,7)),1)),2))&lt;=MIN(DATOS!$C$73,INT(((AD34-2*AK34)+MAX(DATOS!$C$70,INDEX(TABLAS!$C$52:$C$58,MIN(MATCH(MAX(4,DATOS!$C$71),TABLAS!$B$52:$B$58,0)+0,7))))/(INDEX(TABLAS!$C$52:$C$58,MIN(MATCH(MAX(4,DATOS!$C$71),TABLAS!$B$52:$B$58,0)+0,7))+MAX(DATOS!$C$70,INDEX(TABLAS!$C$52:$C$58,MIN(MATCH(MAX(4,DATOS!$C$71),TABLAS!$B$52:$B$58,0)+0,7))))))),INDEX(TABLAS!$B$52:$B$58,MIN(MATCH(MAX(4,DATOS!$C$71),TABLAS!$B$52:$B$58,0)+0,7)),IF(AND(BM34&gt;=0,IF(MAX(DATOS!$C$74,CEILING(BM34/INDEX(TABLAS!$D$52:$D$58,MIN(MATCH(MAX(4,DATOS!$C$71),TABLAS!$B$52:$B$58,0)+1,7)),1))*INDEX(TABLAS!$D$52:$D$58,MIN(MATCH(MAX(4,DATOS!$C$71),TABLAS!$B$52:$B$58,0)+1,7)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+1,7)),1)),MAX(MAX(DATOS!$C$74,CEILING(BM34/INDEX(TABLAS!$D$52:$D$58,MIN(MATCH(MAX(4,DATOS!$C$71),TABLAS!$B$52:$B$58,0)+1,7)),1)),2))&lt;=MIN(DATOS!$C$73,INT(((AD34-2*AK34)+MAX(DATOS!$C$70,INDEX(TABLAS!$C$52:$C$58,MIN(MATCH(MAX(4,DATOS!$C$71),TABLAS!$B$52:$B$58,0)+1,7))))/(INDEX(TABLAS!$C$52:$C$58,MIN(MATCH(MAX(4,DATOS!$C$71),TABLAS!$B$52:$B$58,0)+1,7))+MAX(DATOS!$C$70,INDEX(TABLAS!$C$52:$C$58,MIN(MATCH(MAX(4,DATOS!$C$71),TABLAS!$B$52:$B$58,0)+1,7))))))),INDEX(TABLAS!$B$52:$B$58,MIN(MATCH(MAX(4,DATOS!$C$71),TABLAS!$B$52:$B$58,0)+1,7)),IF(AND(BM34&gt;=0,IF(MAX(DATOS!$C$74,CEILING(BM34/INDEX(TABLAS!$D$52:$D$58,MIN(MATCH(MAX(4,DATOS!$C$71),TABLAS!$B$52:$B$58,0)+2,7)),1))*INDEX(TABLAS!$D$52:$D$58,MIN(MATCH(MAX(4,DATOS!$C$71),TABLAS!$B$52:$B$58,0)+2,7)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+2,7)),1)),MAX(MAX(DATOS!$C$74,CEILING(BM34/INDEX(TABLAS!$D$52:$D$58,MIN(MATCH(MAX(4,DATOS!$C$71),TABLAS!$B$52:$B$58,0)+2,7)),1)),2))&lt;=MIN(DATOS!$C$73,INT(((AD34-2*AK34)+MAX(DATOS!$C$70,INDEX(TABLAS!$C$52:$C$58,MIN(MATCH(MAX(4,DATOS!$C$71),TABLAS!$B$52:$B$58,0)+2,7))))/(INDEX(TABLAS!$C$52:$C$58,MIN(MATCH(MAX(4,DATOS!$C$71),TABLAS!$B$52:$B$58,0)+2,7))+MAX(DATOS!$C$70,INDEX(TABLAS!$C$52:$C$58,MIN(MATCH(MAX(4,DATOS!$C$71),TABLAS!$B$52:$B$58,0)+2,7))))))),INDEX(TABLAS!$B$52:$B$58,MIN(MATCH(MAX(4,DATOS!$C$71),TABLAS!$B$52:$B$58,0)+2,7)),IF(AND(BM34&gt;=0,IF(MAX(DATOS!$C$74,CEILING(BM34/INDEX(TABLAS!$D$52:$D$58,MIN(MATCH(MAX(4,DATOS!$C$71),TABLAS!$B$52:$B$58,0)+3,7)),1))*INDEX(TABLAS!$D$52:$D$58,MIN(MATCH(MAX(4,DATOS!$C$71),TABLAS!$B$52:$B$58,0)+3,7)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+3,7)),1)),MAX(MAX(DATOS!$C$74,CEILING(BM34/INDEX(TABLAS!$D$52:$D$58,MIN(MATCH(MAX(4,DATOS!$C$71),TABLAS!$B$52:$B$58,0)+3,7)),1)),2))&lt;=MIN(DATOS!$C$73,INT(((AD34-2*AK34)+MAX(DATOS!$C$70,INDEX(TABLAS!$C$52:$C$58,MIN(MATCH(MAX(4,DATOS!$C$71),TABLAS!$B$52:$B$58,0)+3,7))))/(INDEX(TABLAS!$C$52:$C$58,MIN(MATCH(MAX(4,DATOS!$C$71),TABLAS!$B$52:$B$58,0)+3,7))+MAX(DATOS!$C$70,INDEX(TABLAS!$C$52:$C$58,MIN(MATCH(MAX(4,DATOS!$C$71),TABLAS!$B$52:$B$58,0)+3,7))))))),INDEX(TABLAS!$B$52:$B$58,MIN(MATCH(MAX(4,DATOS!$C$71),TABLAS!$B$52:$B$58,0)+3,7)),IF(AND(BM34&gt;=0,IF(MAX(DATOS!$C$74,CEILING(BM34/INDEX(TABLAS!$D$52:$D$58,MIN(MATCH(MAX(4,DATOS!$C$71),TABLAS!$B$52:$B$58,0)+4,7)),1))*INDEX(TABLAS!$D$52:$D$58,MIN(MATCH(MAX(4,DATOS!$C$71),TABLAS!$B$52:$B$58,0)+4,7)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+4,7)),1)),MAX(MAX(DATOS!$C$74,CEILING(BM34/INDEX(TABLAS!$D$52:$D$58,MIN(MATCH(MAX(4,DATOS!$C$71),TABLAS!$B$52:$B$58,0)+4,7)),1)),2))&lt;=MIN(DATOS!$C$73,INT(((AD34-2*AK34)+MAX(DATOS!$C$70,INDEX(TABLAS!$C$52:$C$58,MIN(MATCH(MAX(4,DATOS!$C$71),TABLAS!$B$52:$B$58,0)+4,7))))/(INDEX(TABLAS!$C$52:$C$58,MIN(MATCH(MAX(4,DATOS!$C$71),TABLAS!$B$52:$B$58,0)+4,7))+MAX(DATOS!$C$70,INDEX(TABLAS!$C$52:$C$58,MIN(MATCH(MAX(4,DATOS!$C$71),TABLAS!$B$52:$B$58,0)+4,7))))))),INDEX(TABLAS!$B$52:$B$58,MIN(MATCH(MAX(4,DATOS!$C$71),TABLAS!$B$52:$B$58,0)+4,7)),INDEX(TABLAS!$B$52:$B$58,7)))))))</f>
        <v/>
      </c>
      <c r="BO34" s="59" t="str">
        <f>IF(V34&lt;&gt;"SÍ","",IF(BM34&lt;0,0,IF(MAX(DATOS!$C$74,CEILING(MAX(BM34,0)/INDEX(TABLAS!$D$52:$D$58,MATCH(BN34,TABLAS!$B$52:$B$58,0)),1))*INDEX(TABLAS!$D$52:$D$58,MATCH(BN34,TABLAS!$B$52:$B$58,0))&gt;=4/3*IF(BG34&lt;=0,0,IF((1-2*BG34*1E5/(DATOS!$C$29*AH34*BL34^2*DATOS!$C$21))&lt;0,-1,IF((1-SQRT((1-2*BG34*1E5/(DATOS!$C$29*AH34*BL34^2*DATOS!$C$21))))*DATOS!$C$21*AH34*BL34/DATOS!$C$14&gt;DATOS!$C$102*AH34*BL34,-1,(1-SQRT((1-2*BG34*1E5/(DATOS!$C$29*AH34*BL34^2*DATOS!$C$21))))*DATOS!$C$21*AH34*BL34/DATOS!$C$14)))-0.0001,MAX(DATOS!$C$74,CEILING(MAX(BM34,0)/INDEX(TABLAS!$D$52:$D$58,MATCH(BN34,TABLAS!$B$52:$B$58,0)),1)),MAX(MAX(DATOS!$C$74,CEILING(MAX(BM34,0)/INDEX(TABLAS!$D$52:$D$58,MATCH(BN34,TABLAS!$B$52:$B$58,0)),1)),2))))</f>
        <v/>
      </c>
      <c r="BP34" s="58" t="str">
        <f>IF(V34&lt;&gt;"SÍ","",DATOS!$C$85-AK34-INDEX(TABLAS!$C$52:$C$58,MATCH(BN34,TABLAS!$B$52:$B$58,0))/2)</f>
        <v/>
      </c>
      <c r="BQ34" s="56" t="str">
        <f>IF(V34&lt;&gt;"SÍ","",IF(BO34=0,0,DATOS!$C$29*BO34*INDEX(TABLAS!$D$52:$D$58,MATCH(BN34,TABLAS!$B$52:$B$58,0))*DATOS!$C$14*(BP34-BO34*INDEX(TABLAS!$D$52:$D$58,MATCH(BN34,TABLAS!$B$52:$B$58,0))*DATOS!$C$14/(DATOS!$C$21*AH34)/2)/1E5))</f>
        <v/>
      </c>
      <c r="BR34" s="65" t="str">
        <f>IF(V34&lt;&gt;"SÍ","",IF(BM34&lt;0,9.99,IF(BQ34&gt;0,BG34/BQ34,0)))</f>
        <v/>
      </c>
      <c r="BS34" s="66" t="str">
        <f>IF(V34&lt;&gt;"SÍ","",IF(BO34=0,"—",0.003*(BP34-(BO34*INDEX(TABLAS!$D$52:$D$58,MATCH(BN34,TABLAS!$B$52:$B$58,0))*DATOS!$C$14/(DATOS!$C$21*AH34)/DATOS!$C$22))/(BO34*INDEX(TABLAS!$D$52:$D$58,MATCH(BN34,TABLAS!$B$52:$B$58,0))*DATOS!$C$14/(DATOS!$C$21*AH34)/DATOS!$C$22)))</f>
        <v/>
      </c>
      <c r="BT34" s="58" t="str">
        <f>IF(V34&lt;&gt;"SÍ","",((DATOS!$C$85-AM34-2*DATOS!$C$97-INDEX(TABLAS!$C$52:$C$58,MATCH(MAX(4,DATOS!$C$72),TABLAS!$B$52:$B$58,0))/2)-IF(AND((DATOS!$C$85-AM34-2*DATOS!$C$97-INDEX(TABLAS!$C$52:$C$58,MATCH(MAX(4,DATOS!$C$72),TABLAS!$B$52:$B$58,0))/2)&lt;=20,DATOS!$C$65&lt;&gt;"SÍ"),2,0)))</f>
        <v/>
      </c>
      <c r="BU34" s="58" t="str">
        <f>IF(V34&lt;&gt;"SÍ","",IF(IF(BH34&lt;=0,0,IF((1-2*BH34*1E5/(DATOS!$C$29*AF34*BT34^2*DATOS!$C$21))&lt;0,-1,IF((1-SQRT((1-2*BH34*1E5/(DATOS!$C$29*AF34*BT34^2*DATOS!$C$21))))*DATOS!$C$21*AF34*BT34/DATOS!$C$14&gt;DATOS!$C$102*AF34*BT34,-1,(1-SQRT((1-2*BH34*1E5/(DATOS!$C$29*AF34*BT34^2*DATOS!$C$21))))*DATOS!$C$21*AF34*BT34/DATOS!$C$14)))&lt;0,-1,MAX(IF(BH34&lt;=0,0,IF((1-2*BH34*1E5/(DATOS!$C$29*AF34*BT34^2*DATOS!$C$21))&lt;0,-1,IF((1-SQRT((1-2*BH34*1E5/(DATOS!$C$29*AF34*BT34^2*DATOS!$C$21))))*DATOS!$C$21*AF34*BT34/DATOS!$C$14&gt;DATOS!$C$102*AF34*BT34,-1,(1-SQRT((1-2*BH34*1E5/(DATOS!$C$29*AF34*BT34^2*DATOS!$C$21))))*DATOS!$C$21*AF34*BT34/DATOS!$C$14))),MIN(DATOS!$C$103*IF(C34="VOLADO",MIN(AH34,2*AD34),AD34)*BT34,4/3*IF(BH34&lt;=0,0,IF((1-2*BH34*1E5/(DATOS!$C$29*AF34*BT34^2*DATOS!$C$21))&lt;0,-1,IF((1-SQRT((1-2*BH34*1E5/(DATOS!$C$29*AF34*BT34^2*DATOS!$C$21))))*DATOS!$C$21*AF34*BT34/DATOS!$C$14&gt;DATOS!$C$102*AF34*BT34,-1,(1-SQRT((1-2*BH34*1E5/(DATOS!$C$29*AF34*BT34^2*DATOS!$C$21))))*DATOS!$C$21*AF34*BT34/DATOS!$C$14)))))))</f>
        <v/>
      </c>
      <c r="BV34" s="64" t="str">
        <f>IF(V34&lt;&gt;"SÍ","",IF(AND(BU34&gt;=0,IF(MAX(DATOS!$C$74,CEILING(BU34/INDEX(TABLAS!$D$52:$D$58,MIN(MATCH(MAX(4,DATOS!$C$72),TABLAS!$B$52:$B$58,0)+0,7)),1))*INDEX(TABLAS!$D$52:$D$58,MIN(MATCH(MAX(4,DATOS!$C$72),TABLAS!$B$52:$B$58,0)+0,7)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+0,7)),1)),MAX(MAX(DATOS!$C$74,CEILING(BU34/INDEX(TABLAS!$D$52:$D$58,MIN(MATCH(MAX(4,DATOS!$C$72),TABLAS!$B$52:$B$58,0)+0,7)),1)),2))&lt;=MIN(DATOS!$C$73,INT(((AD34-2*AL34)+MAX(DATOS!$C$70,INDEX(TABLAS!$C$52:$C$58,MIN(MATCH(MAX(4,DATOS!$C$72),TABLAS!$B$52:$B$58,0)+0,7))))/(INDEX(TABLAS!$C$52:$C$58,MIN(MATCH(MAX(4,DATOS!$C$72),TABLAS!$B$52:$B$58,0)+0,7))+MAX(DATOS!$C$70,INDEX(TABLAS!$C$52:$C$58,MIN(MATCH(MAX(4,DATOS!$C$72),TABLAS!$B$52:$B$58,0)+0,7))))))),INDEX(TABLAS!$B$52:$B$58,MIN(MATCH(MAX(4,DATOS!$C$72),TABLAS!$B$52:$B$58,0)+0,7)),IF(AND(BU34&gt;=0,IF(MAX(DATOS!$C$74,CEILING(BU34/INDEX(TABLAS!$D$52:$D$58,MIN(MATCH(MAX(4,DATOS!$C$72),TABLAS!$B$52:$B$58,0)+1,7)),1))*INDEX(TABLAS!$D$52:$D$58,MIN(MATCH(MAX(4,DATOS!$C$72),TABLAS!$B$52:$B$58,0)+1,7)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+1,7)),1)),MAX(MAX(DATOS!$C$74,CEILING(BU34/INDEX(TABLAS!$D$52:$D$58,MIN(MATCH(MAX(4,DATOS!$C$72),TABLAS!$B$52:$B$58,0)+1,7)),1)),2))&lt;=MIN(DATOS!$C$73,INT(((AD34-2*AL34)+MAX(DATOS!$C$70,INDEX(TABLAS!$C$52:$C$58,MIN(MATCH(MAX(4,DATOS!$C$72),TABLAS!$B$52:$B$58,0)+1,7))))/(INDEX(TABLAS!$C$52:$C$58,MIN(MATCH(MAX(4,DATOS!$C$72),TABLAS!$B$52:$B$58,0)+1,7))+MAX(DATOS!$C$70,INDEX(TABLAS!$C$52:$C$58,MIN(MATCH(MAX(4,DATOS!$C$72),TABLAS!$B$52:$B$58,0)+1,7))))))),INDEX(TABLAS!$B$52:$B$58,MIN(MATCH(MAX(4,DATOS!$C$72),TABLAS!$B$52:$B$58,0)+1,7)),IF(AND(BU34&gt;=0,IF(MAX(DATOS!$C$74,CEILING(BU34/INDEX(TABLAS!$D$52:$D$58,MIN(MATCH(MAX(4,DATOS!$C$72),TABLAS!$B$52:$B$58,0)+2,7)),1))*INDEX(TABLAS!$D$52:$D$58,MIN(MATCH(MAX(4,DATOS!$C$72),TABLAS!$B$52:$B$58,0)+2,7)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+2,7)),1)),MAX(MAX(DATOS!$C$74,CEILING(BU34/INDEX(TABLAS!$D$52:$D$58,MIN(MATCH(MAX(4,DATOS!$C$72),TABLAS!$B$52:$B$58,0)+2,7)),1)),2))&lt;=MIN(DATOS!$C$73,INT(((AD34-2*AL34)+MAX(DATOS!$C$70,INDEX(TABLAS!$C$52:$C$58,MIN(MATCH(MAX(4,DATOS!$C$72),TABLAS!$B$52:$B$58,0)+2,7))))/(INDEX(TABLAS!$C$52:$C$58,MIN(MATCH(MAX(4,DATOS!$C$72),TABLAS!$B$52:$B$58,0)+2,7))+MAX(DATOS!$C$70,INDEX(TABLAS!$C$52:$C$58,MIN(MATCH(MAX(4,DATOS!$C$72),TABLAS!$B$52:$B$58,0)+2,7))))))),INDEX(TABLAS!$B$52:$B$58,MIN(MATCH(MAX(4,DATOS!$C$72),TABLAS!$B$52:$B$58,0)+2,7)),IF(AND(BU34&gt;=0,IF(MAX(DATOS!$C$74,CEILING(BU34/INDEX(TABLAS!$D$52:$D$58,MIN(MATCH(MAX(4,DATOS!$C$72),TABLAS!$B$52:$B$58,0)+3,7)),1))*INDEX(TABLAS!$D$52:$D$58,MIN(MATCH(MAX(4,DATOS!$C$72),TABLAS!$B$52:$B$58,0)+3,7)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+3,7)),1)),MAX(MAX(DATOS!$C$74,CEILING(BU34/INDEX(TABLAS!$D$52:$D$58,MIN(MATCH(MAX(4,DATOS!$C$72),TABLAS!$B$52:$B$58,0)+3,7)),1)),2))&lt;=MIN(DATOS!$C$73,INT(((AD34-2*AL34)+MAX(DATOS!$C$70,INDEX(TABLAS!$C$52:$C$58,MIN(MATCH(MAX(4,DATOS!$C$72),TABLAS!$B$52:$B$58,0)+3,7))))/(INDEX(TABLAS!$C$52:$C$58,MIN(MATCH(MAX(4,DATOS!$C$72),TABLAS!$B$52:$B$58,0)+3,7))+MAX(DATOS!$C$70,INDEX(TABLAS!$C$52:$C$58,MIN(MATCH(MAX(4,DATOS!$C$72),TABLAS!$B$52:$B$58,0)+3,7))))))),INDEX(TABLAS!$B$52:$B$58,MIN(MATCH(MAX(4,DATOS!$C$72),TABLAS!$B$52:$B$58,0)+3,7)),IF(AND(BU34&gt;=0,IF(MAX(DATOS!$C$74,CEILING(BU34/INDEX(TABLAS!$D$52:$D$58,MIN(MATCH(MAX(4,DATOS!$C$72),TABLAS!$B$52:$B$58,0)+4,7)),1))*INDEX(TABLAS!$D$52:$D$58,MIN(MATCH(MAX(4,DATOS!$C$72),TABLAS!$B$52:$B$58,0)+4,7)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+4,7)),1)),MAX(MAX(DATOS!$C$74,CEILING(BU34/INDEX(TABLAS!$D$52:$D$58,MIN(MATCH(MAX(4,DATOS!$C$72),TABLAS!$B$52:$B$58,0)+4,7)),1)),2))&lt;=MIN(DATOS!$C$73,INT(((AD34-2*AL34)+MAX(DATOS!$C$70,INDEX(TABLAS!$C$52:$C$58,MIN(MATCH(MAX(4,DATOS!$C$72),TABLAS!$B$52:$B$58,0)+4,7))))/(INDEX(TABLAS!$C$52:$C$58,MIN(MATCH(MAX(4,DATOS!$C$72),TABLAS!$B$52:$B$58,0)+4,7))+MAX(DATOS!$C$70,INDEX(TABLAS!$C$52:$C$58,MIN(MATCH(MAX(4,DATOS!$C$72),TABLAS!$B$52:$B$58,0)+4,7))))))),INDEX(TABLAS!$B$52:$B$58,MIN(MATCH(MAX(4,DATOS!$C$72),TABLAS!$B$52:$B$58,0)+4,7)),INDEX(TABLAS!$B$52:$B$58,7)))))))</f>
        <v/>
      </c>
      <c r="BW34" s="59" t="str">
        <f>IF(V34&lt;&gt;"SÍ","",IF(BU34&lt;0,0,IF(MAX(DATOS!$C$74,CEILING(MAX(BU34,0)/INDEX(TABLAS!$D$52:$D$58,MATCH(BV34,TABLAS!$B$52:$B$58,0)),1))*INDEX(TABLAS!$D$52:$D$58,MATCH(BV34,TABLAS!$B$52:$B$58,0))&gt;=4/3*IF(BH34&lt;=0,0,IF((1-2*BH34*1E5/(DATOS!$C$29*AF34*BT34^2*DATOS!$C$21))&lt;0,-1,IF((1-SQRT((1-2*BH34*1E5/(DATOS!$C$29*AF34*BT34^2*DATOS!$C$21))))*DATOS!$C$21*AF34*BT34/DATOS!$C$14&gt;DATOS!$C$102*AF34*BT34,-1,(1-SQRT((1-2*BH34*1E5/(DATOS!$C$29*AF34*BT34^2*DATOS!$C$21))))*DATOS!$C$21*AF34*BT34/DATOS!$C$14)))-0.0001,MAX(DATOS!$C$74,CEILING(MAX(BU34,0)/INDEX(TABLAS!$D$52:$D$58,MATCH(BV34,TABLAS!$B$52:$B$58,0)),1)),MAX(MAX(DATOS!$C$74,CEILING(MAX(BU34,0)/INDEX(TABLAS!$D$52:$D$58,MATCH(BV34,TABLAS!$B$52:$B$58,0)),1)),2))))</f>
        <v/>
      </c>
      <c r="BX34" s="58" t="str">
        <f>IF(V34&lt;&gt;"SÍ","",((DATOS!$C$85-AM34-2*DATOS!$C$97-INDEX(TABLAS!$C$52:$C$58,MATCH(BV34,TABLAS!$B$52:$B$58,0))/2)-IF(AND((DATOS!$C$85-AM34-2*DATOS!$C$97-INDEX(TABLAS!$C$52:$C$58,MATCH(BV34,TABLAS!$B$52:$B$58,0))/2)&lt;=20,DATOS!$C$65&lt;&gt;"SÍ"),2,0)))</f>
        <v/>
      </c>
      <c r="BY34" s="56" t="str">
        <f>IF(V34&lt;&gt;"SÍ","",IF(BW34=0,0,DATOS!$C$29*BW34*INDEX(TABLAS!$D$52:$D$58,MATCH(BV34,TABLAS!$B$52:$B$58,0))*DATOS!$C$14*(BX34-BW34*INDEX(TABLAS!$D$52:$D$58,MATCH(BV34,TABLAS!$B$52:$B$58,0))*DATOS!$C$14/(DATOS!$C$21*AF34)/2)/1E5))</f>
        <v/>
      </c>
      <c r="BZ34" s="65" t="str">
        <f>IF(V34&lt;&gt;"SÍ","",IF(BU34&lt;0,9.99,IF(BY34&gt;0,BH34/BY34,0)))</f>
        <v/>
      </c>
      <c r="CA34" s="66" t="str">
        <f>IF(V34&lt;&gt;"SÍ","",IF(BW34=0,"—",0.003*(BX34-(BW34*INDEX(TABLAS!$D$52:$D$58,MATCH(BV34,TABLAS!$B$52:$B$58,0))*DATOS!$C$14/(DATOS!$C$21*AF34)/DATOS!$C$22))/(BW34*INDEX(TABLAS!$D$52:$D$58,MATCH(BV34,TABLAS!$B$52:$B$58,0))*DATOS!$C$14/(DATOS!$C$21*AF34)/DATOS!$C$22)))</f>
        <v/>
      </c>
      <c r="CB34" s="58" t="str">
        <f>IF(V34&lt;&gt;"SÍ","",(DATOS!$C$85-AK34-INDEX(TABLAS!$C$52:$C$58,MATCH(MAX(4,DATOS!$C$71),TABLAS!$B$52:$B$58,0))-INDEX(TABLAS!$C$52:$C$58,MATCH(MAX(4,DATOS!$C$71),TABLAS!$B$52:$B$58,0))/2))</f>
        <v/>
      </c>
      <c r="CC34" s="58" t="str">
        <f>IF(V34&lt;&gt;"SÍ","",IF(IF(BI34&lt;=0,0,IF((1-2*BI34*1E5/(DATOS!$C$29*AI34*CB34^2*DATOS!$C$21))&lt;0,-1,IF((1-SQRT((1-2*BI34*1E5/(DATOS!$C$29*AI34*CB34^2*DATOS!$C$21))))*DATOS!$C$21*AI34*CB34/DATOS!$C$14&gt;DATOS!$C$102*AI34*CB34,-1,(1-SQRT((1-2*BI34*1E5/(DATOS!$C$29*AI34*CB34^2*DATOS!$C$21))))*DATOS!$C$21*AI34*CB34/DATOS!$C$14)))&lt;0,-1,MAX(IF(BI34&lt;=0,0,IF((1-2*BI34*1E5/(DATOS!$C$29*AI34*CB34^2*DATOS!$C$21))&lt;0,-1,IF((1-SQRT((1-2*BI34*1E5/(DATOS!$C$29*AI34*CB34^2*DATOS!$C$21))))*DATOS!$C$21*AI34*CB34/DATOS!$C$14&gt;DATOS!$C$102*AI34*CB34,-1,(1-SQRT((1-2*BI34*1E5/(DATOS!$C$29*AI34*CB34^2*DATOS!$C$21))))*DATOS!$C$21*AI34*CB34/DATOS!$C$14))),MIN(DATOS!$C$103*DATOS!$C$83*CB34,4/3*IF(BI34&lt;=0,0,IF((1-2*BI34*1E5/(DATOS!$C$29*AI34*CB34^2*DATOS!$C$21))&lt;0,-1,IF((1-SQRT((1-2*BI34*1E5/(DATOS!$C$29*AI34*CB34^2*DATOS!$C$21))))*DATOS!$C$21*AI34*CB34/DATOS!$C$14&gt;DATOS!$C$102*AI34*CB34,-1,(1-SQRT((1-2*BI34*1E5/(DATOS!$C$29*AI34*CB34^2*DATOS!$C$21))))*DATOS!$C$21*AI34*CB34/DATOS!$C$14)))))))</f>
        <v/>
      </c>
      <c r="CD34" s="64" t="str">
        <f>IF(V34&lt;&gt;"SÍ","",IF(AND(CC34&gt;=0,IF(MAX(DATOS!$C$74,CEILING(CC34/INDEX(TABLAS!$D$52:$D$58,MIN(MATCH(MAX(4,DATOS!$C$71),TABLAS!$B$52:$B$58,0)+0,7)),1))*INDEX(TABLAS!$D$52:$D$58,MIN(MATCH(MAX(4,DATOS!$C$71),TABLAS!$B$52:$B$58,0)+0,7)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+0,7)),1)),MAX(MAX(DATOS!$C$74,CEILING(CC34/INDEX(TABLAS!$D$52:$D$58,MIN(MATCH(MAX(4,DATOS!$C$71),TABLAS!$B$52:$B$58,0)+0,7)),1)),2))&lt;=MIN(DATOS!$C$73,INT(((DATOS!$C$83-2*AK34)+MAX(DATOS!$C$70,INDEX(TABLAS!$C$52:$C$58,MIN(MATCH(MAX(4,DATOS!$C$71),TABLAS!$B$52:$B$58,0)+0,7))))/(INDEX(TABLAS!$C$52:$C$58,MIN(MATCH(MAX(4,DATOS!$C$71),TABLAS!$B$52:$B$58,0)+0,7))+MAX(DATOS!$C$70,INDEX(TABLAS!$C$52:$C$58,MIN(MATCH(MAX(4,DATOS!$C$71),TABLAS!$B$52:$B$58,0)+0,7))))))),INDEX(TABLAS!$B$52:$B$58,MIN(MATCH(MAX(4,DATOS!$C$71),TABLAS!$B$52:$B$58,0)+0,7)),IF(AND(CC34&gt;=0,IF(MAX(DATOS!$C$74,CEILING(CC34/INDEX(TABLAS!$D$52:$D$58,MIN(MATCH(MAX(4,DATOS!$C$71),TABLAS!$B$52:$B$58,0)+1,7)),1))*INDEX(TABLAS!$D$52:$D$58,MIN(MATCH(MAX(4,DATOS!$C$71),TABLAS!$B$52:$B$58,0)+1,7)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+1,7)),1)),MAX(MAX(DATOS!$C$74,CEILING(CC34/INDEX(TABLAS!$D$52:$D$58,MIN(MATCH(MAX(4,DATOS!$C$71),TABLAS!$B$52:$B$58,0)+1,7)),1)),2))&lt;=MIN(DATOS!$C$73,INT(((DATOS!$C$83-2*AK34)+MAX(DATOS!$C$70,INDEX(TABLAS!$C$52:$C$58,MIN(MATCH(MAX(4,DATOS!$C$71),TABLAS!$B$52:$B$58,0)+1,7))))/(INDEX(TABLAS!$C$52:$C$58,MIN(MATCH(MAX(4,DATOS!$C$71),TABLAS!$B$52:$B$58,0)+1,7))+MAX(DATOS!$C$70,INDEX(TABLAS!$C$52:$C$58,MIN(MATCH(MAX(4,DATOS!$C$71),TABLAS!$B$52:$B$58,0)+1,7))))))),INDEX(TABLAS!$B$52:$B$58,MIN(MATCH(MAX(4,DATOS!$C$71),TABLAS!$B$52:$B$58,0)+1,7)),IF(AND(CC34&gt;=0,IF(MAX(DATOS!$C$74,CEILING(CC34/INDEX(TABLAS!$D$52:$D$58,MIN(MATCH(MAX(4,DATOS!$C$71),TABLAS!$B$52:$B$58,0)+2,7)),1))*INDEX(TABLAS!$D$52:$D$58,MIN(MATCH(MAX(4,DATOS!$C$71),TABLAS!$B$52:$B$58,0)+2,7)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+2,7)),1)),MAX(MAX(DATOS!$C$74,CEILING(CC34/INDEX(TABLAS!$D$52:$D$58,MIN(MATCH(MAX(4,DATOS!$C$71),TABLAS!$B$52:$B$58,0)+2,7)),1)),2))&lt;=MIN(DATOS!$C$73,INT(((DATOS!$C$83-2*AK34)+MAX(DATOS!$C$70,INDEX(TABLAS!$C$52:$C$58,MIN(MATCH(MAX(4,DATOS!$C$71),TABLAS!$B$52:$B$58,0)+2,7))))/(INDEX(TABLAS!$C$52:$C$58,MIN(MATCH(MAX(4,DATOS!$C$71),TABLAS!$B$52:$B$58,0)+2,7))+MAX(DATOS!$C$70,INDEX(TABLAS!$C$52:$C$58,MIN(MATCH(MAX(4,DATOS!$C$71),TABLAS!$B$52:$B$58,0)+2,7))))))),INDEX(TABLAS!$B$52:$B$58,MIN(MATCH(MAX(4,DATOS!$C$71),TABLAS!$B$52:$B$58,0)+2,7)),IF(AND(CC34&gt;=0,IF(MAX(DATOS!$C$74,CEILING(CC34/INDEX(TABLAS!$D$52:$D$58,MIN(MATCH(MAX(4,DATOS!$C$71),TABLAS!$B$52:$B$58,0)+3,7)),1))*INDEX(TABLAS!$D$52:$D$58,MIN(MATCH(MAX(4,DATOS!$C$71),TABLAS!$B$52:$B$58,0)+3,7)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+3,7)),1)),MAX(MAX(DATOS!$C$74,CEILING(CC34/INDEX(TABLAS!$D$52:$D$58,MIN(MATCH(MAX(4,DATOS!$C$71),TABLAS!$B$52:$B$58,0)+3,7)),1)),2))&lt;=MIN(DATOS!$C$73,INT(((DATOS!$C$83-2*AK34)+MAX(DATOS!$C$70,INDEX(TABLAS!$C$52:$C$58,MIN(MATCH(MAX(4,DATOS!$C$71),TABLAS!$B$52:$B$58,0)+3,7))))/(INDEX(TABLAS!$C$52:$C$58,MIN(MATCH(MAX(4,DATOS!$C$71),TABLAS!$B$52:$B$58,0)+3,7))+MAX(DATOS!$C$70,INDEX(TABLAS!$C$52:$C$58,MIN(MATCH(MAX(4,DATOS!$C$71),TABLAS!$B$52:$B$58,0)+3,7))))))),INDEX(TABLAS!$B$52:$B$58,MIN(MATCH(MAX(4,DATOS!$C$71),TABLAS!$B$52:$B$58,0)+3,7)),IF(AND(CC34&gt;=0,IF(MAX(DATOS!$C$74,CEILING(CC34/INDEX(TABLAS!$D$52:$D$58,MIN(MATCH(MAX(4,DATOS!$C$71),TABLAS!$B$52:$B$58,0)+4,7)),1))*INDEX(TABLAS!$D$52:$D$58,MIN(MATCH(MAX(4,DATOS!$C$71),TABLAS!$B$52:$B$58,0)+4,7)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+4,7)),1)),MAX(MAX(DATOS!$C$74,CEILING(CC34/INDEX(TABLAS!$D$52:$D$58,MIN(MATCH(MAX(4,DATOS!$C$71),TABLAS!$B$52:$B$58,0)+4,7)),1)),2))&lt;=MIN(DATOS!$C$73,INT(((DATOS!$C$83-2*AK34)+MAX(DATOS!$C$70,INDEX(TABLAS!$C$52:$C$58,MIN(MATCH(MAX(4,DATOS!$C$71),TABLAS!$B$52:$B$58,0)+4,7))))/(INDEX(TABLAS!$C$52:$C$58,MIN(MATCH(MAX(4,DATOS!$C$71),TABLAS!$B$52:$B$58,0)+4,7))+MAX(DATOS!$C$70,INDEX(TABLAS!$C$52:$C$58,MIN(MATCH(MAX(4,DATOS!$C$71),TABLAS!$B$52:$B$58,0)+4,7))))))),INDEX(TABLAS!$B$52:$B$58,MIN(MATCH(MAX(4,DATOS!$C$71),TABLAS!$B$52:$B$58,0)+4,7)),INDEX(TABLAS!$B$52:$B$58,7)))))))</f>
        <v/>
      </c>
      <c r="CE34" s="59" t="str">
        <f>IF(V34&lt;&gt;"SÍ","",IF(CC34&lt;0,0,IF(MAX(DATOS!$C$74,CEILING(MAX(CC34,0)/INDEX(TABLAS!$D$52:$D$58,MATCH(CD34,TABLAS!$B$52:$B$58,0)),1))*INDEX(TABLAS!$D$52:$D$58,MATCH(CD34,TABLAS!$B$52:$B$58,0))&gt;=4/3*IF(BI34&lt;=0,0,IF((1-2*BI34*1E5/(DATOS!$C$29*AI34*CB34^2*DATOS!$C$21))&lt;0,-1,IF((1-SQRT((1-2*BI34*1E5/(DATOS!$C$29*AI34*CB34^2*DATOS!$C$21))))*DATOS!$C$21*AI34*CB34/DATOS!$C$14&gt;DATOS!$C$102*AI34*CB34,-1,(1-SQRT((1-2*BI34*1E5/(DATOS!$C$29*AI34*CB34^2*DATOS!$C$21))))*DATOS!$C$21*AI34*CB34/DATOS!$C$14)))-0.0001,MAX(DATOS!$C$74,CEILING(MAX(CC34,0)/INDEX(TABLAS!$D$52:$D$58,MATCH(CD34,TABLAS!$B$52:$B$58,0)),1)),MAX(MAX(DATOS!$C$74,CEILING(MAX(CC34,0)/INDEX(TABLAS!$D$52:$D$58,MATCH(CD34,TABLAS!$B$52:$B$58,0)),1)),2))))</f>
        <v/>
      </c>
      <c r="CF34" s="58" t="str">
        <f>IF(V34&lt;&gt;"SÍ","",DATOS!$C$85-AK34-INDEX(TABLAS!$C$52:$C$58,MATCH(BN34,TABLAS!$B$52:$B$58,0))-INDEX(TABLAS!$C$52:$C$58,MATCH(CD34,TABLAS!$B$52:$B$58,0))/2)</f>
        <v/>
      </c>
      <c r="CG34" s="56" t="str">
        <f>IF(V34&lt;&gt;"SÍ","",IF(CE34=0,0,DATOS!$C$29*CE34*INDEX(TABLAS!$D$52:$D$58,MATCH(CD34,TABLAS!$B$52:$B$58,0))*DATOS!$C$14*(CF34-CE34*INDEX(TABLAS!$D$52:$D$58,MATCH(CD34,TABLAS!$B$52:$B$58,0))*DATOS!$C$14/(DATOS!$C$21*AI34)/2)/1E5))</f>
        <v/>
      </c>
      <c r="CH34" s="65" t="str">
        <f>IF(V34&lt;&gt;"SÍ","",IF(CC34&lt;0,9.99,IF(CG34&gt;0,BI34/CG34,0)))</f>
        <v/>
      </c>
      <c r="CI34" s="66" t="str">
        <f>IF(V34&lt;&gt;"SÍ","",IF(CE34=0,"—",0.003*(CF34-(CE34*INDEX(TABLAS!$D$52:$D$58,MATCH(CD34,TABLAS!$B$52:$B$58,0))*DATOS!$C$14/(DATOS!$C$21*AI34)/DATOS!$C$22))/(CE34*INDEX(TABLAS!$D$52:$D$58,MATCH(CD34,TABLAS!$B$52:$B$58,0))*DATOS!$C$14/(DATOS!$C$21*AI34)/DATOS!$C$22)))</f>
        <v/>
      </c>
      <c r="CJ34" s="58" t="str">
        <f>IF(V34&lt;&gt;"SÍ","",((DATOS!$C$85-AM34-2*DATOS!$C$97-INDEX(TABLAS!$C$52:$C$58,MATCH(MAX(4,DATOS!$C$72),TABLAS!$B$52:$B$58,0))-INDEX(TABLAS!$C$52:$C$58,MATCH(MAX(4,DATOS!$C$72),TABLAS!$B$52:$B$58,0))/2)-IF(AND((DATOS!$C$85-AM34-2*DATOS!$C$97-INDEX(TABLAS!$C$52:$C$58,MATCH(MAX(4,DATOS!$C$72),TABLAS!$B$52:$B$58,0))-INDEX(TABLAS!$C$52:$C$58,MATCH(MAX(4,DATOS!$C$72),TABLAS!$B$52:$B$58,0))/2)&lt;=20,DATOS!$C$65&lt;&gt;"SÍ"),2,0)))</f>
        <v/>
      </c>
      <c r="CK34" s="58" t="str">
        <f>IF(V34&lt;&gt;"SÍ","",IF(IF(BJ34&lt;=0,0,IF((1-2*BJ34*1E5/(DATOS!$C$29*AG34*CJ34^2*DATOS!$C$21))&lt;0,-1,IF((1-SQRT((1-2*BJ34*1E5/(DATOS!$C$29*AG34*CJ34^2*DATOS!$C$21))))*DATOS!$C$21*AG34*CJ34/DATOS!$C$14&gt;DATOS!$C$102*AG34*CJ34,-1,(1-SQRT((1-2*BJ34*1E5/(DATOS!$C$29*AG34*CJ34^2*DATOS!$C$21))))*DATOS!$C$21*AG34*CJ34/DATOS!$C$14)))&lt;0,-1,MAX(IF(BJ34&lt;=0,0,IF((1-2*BJ34*1E5/(DATOS!$C$29*AG34*CJ34^2*DATOS!$C$21))&lt;0,-1,IF((1-SQRT((1-2*BJ34*1E5/(DATOS!$C$29*AG34*CJ34^2*DATOS!$C$21))))*DATOS!$C$21*AG34*CJ34/DATOS!$C$14&gt;DATOS!$C$102*AG34*CJ34,-1,(1-SQRT((1-2*BJ34*1E5/(DATOS!$C$29*AG34*CJ34^2*DATOS!$C$21))))*DATOS!$C$21*AG34*CJ34/DATOS!$C$14))),MIN(DATOS!$C$103*DATOS!$C$83*CJ34,4/3*IF(BJ34&lt;=0,0,IF((1-2*BJ34*1E5/(DATOS!$C$29*AG34*CJ34^2*DATOS!$C$21))&lt;0,-1,IF((1-SQRT((1-2*BJ34*1E5/(DATOS!$C$29*AG34*CJ34^2*DATOS!$C$21))))*DATOS!$C$21*AG34*CJ34/DATOS!$C$14&gt;DATOS!$C$102*AG34*CJ34,-1,(1-SQRT((1-2*BJ34*1E5/(DATOS!$C$29*AG34*CJ34^2*DATOS!$C$21))))*DATOS!$C$21*AG34*CJ34/DATOS!$C$14)))))))</f>
        <v/>
      </c>
      <c r="CL34" s="64" t="str">
        <f>IF(V34&lt;&gt;"SÍ","",IF(AND(CK34&gt;=0,IF(MAX(DATOS!$C$74,CEILING(CK34/INDEX(TABLAS!$D$52:$D$58,MIN(MATCH(MAX(4,DATOS!$C$72),TABLAS!$B$52:$B$58,0)+0,7)),1))*INDEX(TABLAS!$D$52:$D$58,MIN(MATCH(MAX(4,DATOS!$C$72),TABLAS!$B$52:$B$58,0)+0,7)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+0,7)),1)),MAX(MAX(DATOS!$C$74,CEILING(CK34/INDEX(TABLAS!$D$52:$D$58,MIN(MATCH(MAX(4,DATOS!$C$72),TABLAS!$B$52:$B$58,0)+0,7)),1)),2))&lt;=MIN(DATOS!$C$73,INT(((DATOS!$C$83-2*AL34)+MAX(DATOS!$C$70,INDEX(TABLAS!$C$52:$C$58,MIN(MATCH(MAX(4,DATOS!$C$72),TABLAS!$B$52:$B$58,0)+0,7))))/(INDEX(TABLAS!$C$52:$C$58,MIN(MATCH(MAX(4,DATOS!$C$72),TABLAS!$B$52:$B$58,0)+0,7))+MAX(DATOS!$C$70,INDEX(TABLAS!$C$52:$C$58,MIN(MATCH(MAX(4,DATOS!$C$72),TABLAS!$B$52:$B$58,0)+0,7))))))),INDEX(TABLAS!$B$52:$B$58,MIN(MATCH(MAX(4,DATOS!$C$72),TABLAS!$B$52:$B$58,0)+0,7)),IF(AND(CK34&gt;=0,IF(MAX(DATOS!$C$74,CEILING(CK34/INDEX(TABLAS!$D$52:$D$58,MIN(MATCH(MAX(4,DATOS!$C$72),TABLAS!$B$52:$B$58,0)+1,7)),1))*INDEX(TABLAS!$D$52:$D$58,MIN(MATCH(MAX(4,DATOS!$C$72),TABLAS!$B$52:$B$58,0)+1,7)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+1,7)),1)),MAX(MAX(DATOS!$C$74,CEILING(CK34/INDEX(TABLAS!$D$52:$D$58,MIN(MATCH(MAX(4,DATOS!$C$72),TABLAS!$B$52:$B$58,0)+1,7)),1)),2))&lt;=MIN(DATOS!$C$73,INT(((DATOS!$C$83-2*AL34)+MAX(DATOS!$C$70,INDEX(TABLAS!$C$52:$C$58,MIN(MATCH(MAX(4,DATOS!$C$72),TABLAS!$B$52:$B$58,0)+1,7))))/(INDEX(TABLAS!$C$52:$C$58,MIN(MATCH(MAX(4,DATOS!$C$72),TABLAS!$B$52:$B$58,0)+1,7))+MAX(DATOS!$C$70,INDEX(TABLAS!$C$52:$C$58,MIN(MATCH(MAX(4,DATOS!$C$72),TABLAS!$B$52:$B$58,0)+1,7))))))),INDEX(TABLAS!$B$52:$B$58,MIN(MATCH(MAX(4,DATOS!$C$72),TABLAS!$B$52:$B$58,0)+1,7)),IF(AND(CK34&gt;=0,IF(MAX(DATOS!$C$74,CEILING(CK34/INDEX(TABLAS!$D$52:$D$58,MIN(MATCH(MAX(4,DATOS!$C$72),TABLAS!$B$52:$B$58,0)+2,7)),1))*INDEX(TABLAS!$D$52:$D$58,MIN(MATCH(MAX(4,DATOS!$C$72),TABLAS!$B$52:$B$58,0)+2,7)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+2,7)),1)),MAX(MAX(DATOS!$C$74,CEILING(CK34/INDEX(TABLAS!$D$52:$D$58,MIN(MATCH(MAX(4,DATOS!$C$72),TABLAS!$B$52:$B$58,0)+2,7)),1)),2))&lt;=MIN(DATOS!$C$73,INT(((DATOS!$C$83-2*AL34)+MAX(DATOS!$C$70,INDEX(TABLAS!$C$52:$C$58,MIN(MATCH(MAX(4,DATOS!$C$72),TABLAS!$B$52:$B$58,0)+2,7))))/(INDEX(TABLAS!$C$52:$C$58,MIN(MATCH(MAX(4,DATOS!$C$72),TABLAS!$B$52:$B$58,0)+2,7))+MAX(DATOS!$C$70,INDEX(TABLAS!$C$52:$C$58,MIN(MATCH(MAX(4,DATOS!$C$72),TABLAS!$B$52:$B$58,0)+2,7))))))),INDEX(TABLAS!$B$52:$B$58,MIN(MATCH(MAX(4,DATOS!$C$72),TABLAS!$B$52:$B$58,0)+2,7)),IF(AND(CK34&gt;=0,IF(MAX(DATOS!$C$74,CEILING(CK34/INDEX(TABLAS!$D$52:$D$58,MIN(MATCH(MAX(4,DATOS!$C$72),TABLAS!$B$52:$B$58,0)+3,7)),1))*INDEX(TABLAS!$D$52:$D$58,MIN(MATCH(MAX(4,DATOS!$C$72),TABLAS!$B$52:$B$58,0)+3,7)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+3,7)),1)),MAX(MAX(DATOS!$C$74,CEILING(CK34/INDEX(TABLAS!$D$52:$D$58,MIN(MATCH(MAX(4,DATOS!$C$72),TABLAS!$B$52:$B$58,0)+3,7)),1)),2))&lt;=MIN(DATOS!$C$73,INT(((DATOS!$C$83-2*AL34)+MAX(DATOS!$C$70,INDEX(TABLAS!$C$52:$C$58,MIN(MATCH(MAX(4,DATOS!$C$72),TABLAS!$B$52:$B$58,0)+3,7))))/(INDEX(TABLAS!$C$52:$C$58,MIN(MATCH(MAX(4,DATOS!$C$72),TABLAS!$B$52:$B$58,0)+3,7))+MAX(DATOS!$C$70,INDEX(TABLAS!$C$52:$C$58,MIN(MATCH(MAX(4,DATOS!$C$72),TABLAS!$B$52:$B$58,0)+3,7))))))),INDEX(TABLAS!$B$52:$B$58,MIN(MATCH(MAX(4,DATOS!$C$72),TABLAS!$B$52:$B$58,0)+3,7)),IF(AND(CK34&gt;=0,IF(MAX(DATOS!$C$74,CEILING(CK34/INDEX(TABLAS!$D$52:$D$58,MIN(MATCH(MAX(4,DATOS!$C$72),TABLAS!$B$52:$B$58,0)+4,7)),1))*INDEX(TABLAS!$D$52:$D$58,MIN(MATCH(MAX(4,DATOS!$C$72),TABLAS!$B$52:$B$58,0)+4,7)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+4,7)),1)),MAX(MAX(DATOS!$C$74,CEILING(CK34/INDEX(TABLAS!$D$52:$D$58,MIN(MATCH(MAX(4,DATOS!$C$72),TABLAS!$B$52:$B$58,0)+4,7)),1)),2))&lt;=MIN(DATOS!$C$73,INT(((DATOS!$C$83-2*AL34)+MAX(DATOS!$C$70,INDEX(TABLAS!$C$52:$C$58,MIN(MATCH(MAX(4,DATOS!$C$72),TABLAS!$B$52:$B$58,0)+4,7))))/(INDEX(TABLAS!$C$52:$C$58,MIN(MATCH(MAX(4,DATOS!$C$72),TABLAS!$B$52:$B$58,0)+4,7))+MAX(DATOS!$C$70,INDEX(TABLAS!$C$52:$C$58,MIN(MATCH(MAX(4,DATOS!$C$72),TABLAS!$B$52:$B$58,0)+4,7))))))),INDEX(TABLAS!$B$52:$B$58,MIN(MATCH(MAX(4,DATOS!$C$72),TABLAS!$B$52:$B$58,0)+4,7)),INDEX(TABLAS!$B$52:$B$58,7)))))))</f>
        <v/>
      </c>
      <c r="CM34" s="59" t="str">
        <f>IF(V34&lt;&gt;"SÍ","",IF(CK34&lt;0,0,IF(MAX(DATOS!$C$74,CEILING(MAX(CK34,0)/INDEX(TABLAS!$D$52:$D$58,MATCH(CL34,TABLAS!$B$52:$B$58,0)),1))*INDEX(TABLAS!$D$52:$D$58,MATCH(CL34,TABLAS!$B$52:$B$58,0))&gt;=4/3*IF(BJ34&lt;=0,0,IF((1-2*BJ34*1E5/(DATOS!$C$29*AG34*CJ34^2*DATOS!$C$21))&lt;0,-1,IF((1-SQRT((1-2*BJ34*1E5/(DATOS!$C$29*AG34*CJ34^2*DATOS!$C$21))))*DATOS!$C$21*AG34*CJ34/DATOS!$C$14&gt;DATOS!$C$102*AG34*CJ34,-1,(1-SQRT((1-2*BJ34*1E5/(DATOS!$C$29*AG34*CJ34^2*DATOS!$C$21))))*DATOS!$C$21*AG34*CJ34/DATOS!$C$14)))-0.0001,MAX(DATOS!$C$74,CEILING(MAX(CK34,0)/INDEX(TABLAS!$D$52:$D$58,MATCH(CL34,TABLAS!$B$52:$B$58,0)),1)),MAX(MAX(DATOS!$C$74,CEILING(MAX(CK34,0)/INDEX(TABLAS!$D$52:$D$58,MATCH(CL34,TABLAS!$B$52:$B$58,0)),1)),2))))</f>
        <v/>
      </c>
      <c r="CN34" s="58" t="str">
        <f>IF(V34&lt;&gt;"SÍ","",((DATOS!$C$85-AM34-2*DATOS!$C$97-INDEX(TABLAS!$C$52:$C$58,MATCH(BV34,TABLAS!$B$52:$B$58,0))-INDEX(TABLAS!$C$52:$C$58,MATCH(CL34,TABLAS!$B$52:$B$58,0))/2)-IF(AND((DATOS!$C$85-AM34-2*DATOS!$C$97-INDEX(TABLAS!$C$52:$C$58,MATCH(BV34,TABLAS!$B$52:$B$58,0))-INDEX(TABLAS!$C$52:$C$58,MATCH(CL34,TABLAS!$B$52:$B$58,0))/2)&lt;=20,DATOS!$C$65&lt;&gt;"SÍ"),2,0)))</f>
        <v/>
      </c>
      <c r="CO34" s="56" t="str">
        <f>IF(V34&lt;&gt;"SÍ","",IF(CM34=0,0,DATOS!$C$29*CM34*INDEX(TABLAS!$D$52:$D$58,MATCH(CL34,TABLAS!$B$52:$B$58,0))*DATOS!$C$14*(CN34-CM34*INDEX(TABLAS!$D$52:$D$58,MATCH(CL34,TABLAS!$B$52:$B$58,0))*DATOS!$C$14/(DATOS!$C$21*AG34)/2)/1E5))</f>
        <v/>
      </c>
      <c r="CP34" s="65" t="str">
        <f>IF(V34&lt;&gt;"SÍ","",IF(CK34&lt;0,9.99,IF(CO34&gt;0,BJ34/CO34,0)))</f>
        <v/>
      </c>
      <c r="CQ34" s="66" t="str">
        <f>IF(V34&lt;&gt;"SÍ","",IF(CM34=0,"—",0.003*(CN34-(CM34*INDEX(TABLAS!$D$52:$D$58,MATCH(CL34,TABLAS!$B$52:$B$58,0))*DATOS!$C$14/(DATOS!$C$21*AG34)/DATOS!$C$22))/(CM34*INDEX(TABLAS!$D$52:$D$58,MATCH(CL34,TABLAS!$B$52:$B$58,0))*DATOS!$C$14/(DATOS!$C$21*AG34)/DATOS!$C$22)))</f>
        <v/>
      </c>
      <c r="CR34" s="56" t="str">
        <f>IF(V34&lt;&gt;"SÍ","",IF(C34="PERIMETRAL",MAX(0,(AB34/2-BX34)/100)*(0.95-0.5*AA34)*AR34*IF(AND(AS34&gt;0,AS34&lt;4),DATOS!$C$33,1)*DATOS!$C$86/100/1000,(AR34*MAX(0,AB34-BX34)/100+DATOS!$C$26*N(O34))*DATOS!$C$86/100/1000+BF34))</f>
        <v/>
      </c>
      <c r="CS34" s="56" t="str">
        <f>IF(V34&lt;&gt;"SÍ","",DATOS!$C$30*2*MIN(1,SQRT(2/(1+0.04*BX34)))*(BW34*INDEX(TABLAS!$D$52:$D$58,MATCH(BV34,TABLAS!$B$52:$B$58,0))/(AF34*BX34))^(1/3)*SQRT(DATOS!$C$13)*AF34*BX34*IF(AJ34="SÍ",DATOS!$C$32,1)/1000)</f>
        <v/>
      </c>
      <c r="CT34" s="59" t="str">
        <f>IF(V34&lt;&gt;"SÍ","",IF(CR34&lt;=CS34,0,CEILING(MAX(0,IF(C34="VOLADO",(AB34-((CS34-BF34)*1E5/DATOS!$C$86-DATOS!$C$26*N(O34))*100/AR34),IF(CS34&lt;=0,AB34,AB34/2-CS34/MAX(CR34,1E-9)*(AB34/2-BX34)))-IF(X34="X",MIN(DJ34,DK34),MIN(DL34,DM34)))/DATOS!$C$86,1)))</f>
        <v/>
      </c>
      <c r="CU34" s="67" t="str">
        <f>IF(V34&lt;&gt;"SÍ","",IF(CR34&lt;=CS34,"CUMPLE",IF(CT34&lt;=0,"CUMPLE (basta el macizo de orilla)",IF(CT34*DATOS!$C$86*IF(C34="VOLADO",1,2)&gt;=Y34*100-DATOS!$C$87,"NO CUMPLE: no alcanza ni macizando todo","MACIZAR "&amp;CT34&amp;" hilera(s)"))))</f>
        <v/>
      </c>
      <c r="CV34" s="58" t="str">
        <f>IF(V34&lt;&gt;"SÍ","",(DATOS!$C$86*DATOS!$C$84^2/2+MIN(DATOS!$C$83,AD34)*DATOS!$C$82*(DATOS!$C$84+DATOS!$C$82/2))/(DATOS!$C$86*DATOS!$C$84+MIN(DATOS!$C$83,AD34)*DATOS!$C$82))</f>
        <v/>
      </c>
      <c r="CW34" s="68" t="str">
        <f>IF(V34&lt;&gt;"SÍ","",DATOS!$C$86*DATOS!$C$84^3/12+DATOS!$C$86*DATOS!$C$84*(CV34-DATOS!$C$84/2)^2+MIN(DATOS!$C$83,AD34)*DATOS!$C$82^3/12+MIN(DATOS!$C$83,AD34)*DATOS!$C$82*(DATOS!$C$84+DATOS!$C$82/2-CV34)^2)</f>
        <v/>
      </c>
      <c r="CX34" s="58" t="str">
        <f>IF(V34&lt;&gt;"SÍ","",(12*CW34/DATOS!$C$86)^(1/3))</f>
        <v/>
      </c>
      <c r="CY34" s="58" t="str">
        <f>IF(V34&lt;&gt;"SÍ","",IF(C34="PERIMETRAL",IF(ISNUMBER(S34),S34,DATOS!$C$104),0))</f>
        <v/>
      </c>
      <c r="CZ34" s="57" t="str">
        <f>IF(V34&lt;&gt;"SÍ","",IF(C34="PERIMETRAL",IF(CY34&gt;2,MAX(9,AC34*(0.8+DATOS!$C$14/14000)/(36+9*(AC34/MAX(AB34,1)))),IF(CY34&gt;0.2,MAX(13,AC34*(0.8+DATOS!$C$14/14000)/(36+5*(AC34/MAX(AB34,1))*(CY34-0.2))),MAX(13,AC34/IF(AS34&gt;0,30,33))))*IF(AND(CY34&gt;0.2,AS34&gt;0,DATOS!$C$105="NO"),1.1,1),MAX(25,Y34*100/8*(0.4+DATOS!$C$14/7000))))</f>
        <v/>
      </c>
      <c r="DA34" s="61" t="str">
        <f>IF(V34&lt;&gt;"SÍ","",IF(IF(C34="VOLADO",DATOS!$C$85,CX34)&gt;=CZ34,"CUMPLE",IF(C34="VOLADO","NO CUMPLE","CALCULAR FLECHA")))</f>
        <v/>
      </c>
      <c r="DB34" s="55" t="str">
        <f>IF(V34&lt;&gt;"SÍ","",IF(DATOS!$C$84&gt;=IF(IF(C34="VOLADO",Y34,Z34)&gt;=6,6,5),"CUMPLE","CAPA ≥ 6 cm"))</f>
        <v/>
      </c>
      <c r="DC34" s="60" t="str">
        <f>IF(V34&lt;&gt;"SÍ","",IF(C34="VOLADO",MIN(FLOOR(IF(ISNUMBER(P34),P34,Y34)*100-DATOS!$C$63,5),CEILING(MAX(IF((0.5*(0.9*DATOS!$C$90*DATOS!$C$86/100/1000)*IF(ISNUMBER(P34),P34,Y34)+BH34/IF(ISNUMBER(P34),P34,Y34))^2-4*(0.5*(0.9*DATOS!$C$90*DATOS!$C$86/100/1000))*BH34&lt;0,IF(ISNUMBER(P34),P34,Y34),MIN(IF(ISNUMBER(P34),P34,Y34),((0.5*(0.9*DATOS!$C$90*DATOS!$C$86/100/1000)*IF(ISNUMBER(P34),P34,Y34)+BH34/IF(ISNUMBER(P34),P34,Y34))-SQRT((0.5*(0.9*DATOS!$C$90*DATOS!$C$86/100/1000)*IF(ISNUMBER(P34),P34,Y34)+BH34/IF(ISNUMBER(P34),P34,Y34))^2-4*(0.5*(0.9*DATOS!$C$90*DATOS!$C$86/100/1000))*BH34))/(2*(0.5*(0.9*DATOS!$C$90*DATOS!$C$86/100/1000)))))*100+MAX(BX34,12*INDEX(TABLAS!$C$52:$C$58,MATCH(BV34,TABLAS!$B$52:$B$58,0)),IF(ISNUMBER(P34),P34,Y34)*100/16),IF(OR(AL34&lt;INDEX(TABLAS!$C$52:$C$58,MATCH(BV34,TABLAS!$B$52:$B$58,0)),AND(BW34&gt;=2,(AD34-2*AL34-BW34*INDEX(TABLAS!$C$52:$C$58,MATCH(BV34,TABLAS!$B$52:$B$58,0)))/MAX(BW34-1,1)&lt;2*INDEX(TABLAS!$C$52:$C$58,MATCH(BV34,TABLAS!$B$52:$B$58,0)))),INDEX(TABLAS!$I$52:$I$58,MATCH(BV34,TABLAS!$B$52:$B$58,0)),INDEX(TABLAS!$F$52:$F$58,MATCH(BV34,TABLAS!$B$52:$B$58,0)))),5)),IF(((4*((BC34*AR34*Y34^2*1E-4*DATOS!$C$86/100/1000)+((MAX(AY34,BA34)*AR34*Y34^2*1E-4*DATOS!$C$86/100/1000)+(IF(AND(AY34&gt;0,BA34&gt;0),MIN(AY34,BA34),MAX(AY34,BA34))*AR34*Y34^2*1E-4*DATOS!$C$86/100/1000))/2)+BH34-(IF(AND(AY34&gt;0,BA34&gt;0),MIN(AY34,BA34),MAX(AY34,BA34))*AR34*Y34^2*1E-4*DATOS!$C$86/100/1000))^2-16*((BC34*AR34*Y34^2*1E-4*DATOS!$C$86/100/1000)+((MAX(AY34,BA34)*AR34*Y34^2*1E-4*DATOS!$C$86/100/1000)+(IF(AND(AY34&gt;0,BA34&gt;0),MIN(AY34,BA34),MAX(AY34,BA34))*AR34*Y34^2*1E-4*DATOS!$C$86/100/1000))/2)*BH34)&lt;0,CEILING(AB34,5),CEILING(MAX(AB34*((4*((BC34*AR34*Y34^2*1E-4*DATOS!$C$86/100/1000)+((MAX(AY34,BA34)*AR34*Y34^2*1E-4*DATOS!$C$86/100/1000)+(IF(AND(AY34&gt;0,BA34&gt;0),MIN(AY34,BA34),MAX(AY34,BA34))*AR34*Y34^2*1E-4*DATOS!$C$86/100/1000))/2)+BH34-(IF(AND(AY34&gt;0,BA34&gt;0),MIN(AY34,BA34),MAX(AY34,BA34))*AR34*Y34^2*1E-4*DATOS!$C$86/100/1000))-SQRT(MAX(0,((4*((BC34*AR34*Y34^2*1E-4*DATOS!$C$86/100/1000)+((MAX(AY34,BA34)*AR34*Y34^2*1E-4*DATOS!$C$86/100/1000)+(IF(AND(AY34&gt;0,BA34&gt;0),MIN(AY34,BA34),MAX(AY34,BA34))*AR34*Y34^2*1E-4*DATOS!$C$86/100/1000))/2)+BH34-(IF(AND(AY34&gt;0,BA34&gt;0),MIN(AY34,BA34),MAX(AY34,BA34))*AR34*Y34^2*1E-4*DATOS!$C$86/100/1000))^2-16*((BC34*AR34*Y34^2*1E-4*DATOS!$C$86/100/1000)+((MAX(AY34,BA34)*AR34*Y34^2*1E-4*DATOS!$C$86/100/1000)+(IF(AND(AY34&gt;0,BA34&gt;0),MIN(AY34,BA34),MAX(AY34,BA34))*AR34*Y34^2*1E-4*DATOS!$C$86/100/1000))/2)*BH34))))/(8*MAX(((BC34*AR34*Y34^2*1E-4*DATOS!$C$86/100/1000)+((MAX(AY34,BA34)*AR34*Y34^2*1E-4*DATOS!$C$86/100/1000)+(IF(AND(AY34&gt;0,BA34&gt;0),MIN(AY34,BA34),MAX(AY34,BA34))*AR34*Y34^2*1E-4*DATOS!$C$86/100/1000))/2),1E-9))+MAX(BX34,12*INDEX(TABLAS!$C$52:$C$58,MATCH(BV34,TABLAS!$B$52:$B$58,0)),AB34/16),IF(OR(AL34&lt;INDEX(TABLAS!$C$52:$C$58,MATCH(BV34,TABLAS!$B$52:$B$58,0)),AND(BW34&gt;=2,(AD34-2*AL34-BW34*INDEX(TABLAS!$C$52:$C$58,MATCH(BV34,TABLAS!$B$52:$B$58,0)))/MAX(BW34-1,1)&lt;2*INDEX(TABLAS!$C$52:$C$58,MATCH(BV34,TABLAS!$B$52:$B$58,0)))),INDEX(TABLAS!$I$52:$I$58,MATCH(BV34,TABLAS!$B$52:$B$58,0)),INDEX(TABLAS!$F$52:$F$58,MATCH(BV34,TABLAS!$B$52:$B$58,0)))),5))))</f>
        <v/>
      </c>
      <c r="DD34" s="60" t="str">
        <f>IF(V34&lt;&gt;"SÍ","",IF(C34="VOLADO",0,IF(((4*((BD34*AR34*Y34^2*1E-4*DATOS!$C$86/100/1000)+((MAX(AZ34,BB34)*AR34*Y34^2*1E-4*DATOS!$C$86/100/1000)+(IF(AND(AZ34&gt;0,BB34&gt;0),MIN(AZ34,BB34),MAX(AZ34,BB34))*AR34*Y34^2*1E-4*DATOS!$C$86/100/1000))/2)+BJ34-(IF(AND(AZ34&gt;0,BB34&gt;0),MIN(AZ34,BB34),MAX(AZ34,BB34))*AR34*Y34^2*1E-4*DATOS!$C$86/100/1000))^2-16*((BD34*AR34*Y34^2*1E-4*DATOS!$C$86/100/1000)+((MAX(AZ34,BB34)*AR34*Y34^2*1E-4*DATOS!$C$86/100/1000)+(IF(AND(AZ34&gt;0,BB34&gt;0),MIN(AZ34,BB34),MAX(AZ34,BB34))*AR34*Y34^2*1E-4*DATOS!$C$86/100/1000))/2)*BJ34)&lt;0,CEILING(AC34,5),CEILING(MAX(AC34*((4*((BD34*AR34*Y34^2*1E-4*DATOS!$C$86/100/1000)+((MAX(AZ34,BB34)*AR34*Y34^2*1E-4*DATOS!$C$86/100/1000)+(IF(AND(AZ34&gt;0,BB34&gt;0),MIN(AZ34,BB34),MAX(AZ34,BB34))*AR34*Y34^2*1E-4*DATOS!$C$86/100/1000))/2)+BJ34-(IF(AND(AZ34&gt;0,BB34&gt;0),MIN(AZ34,BB34),MAX(AZ34,BB34))*AR34*Y34^2*1E-4*DATOS!$C$86/100/1000))-SQRT(MAX(0,((4*((BD34*AR34*Y34^2*1E-4*DATOS!$C$86/100/1000)+((MAX(AZ34,BB34)*AR34*Y34^2*1E-4*DATOS!$C$86/100/1000)+(IF(AND(AZ34&gt;0,BB34&gt;0),MIN(AZ34,BB34),MAX(AZ34,BB34))*AR34*Y34^2*1E-4*DATOS!$C$86/100/1000))/2)+BJ34-(IF(AND(AZ34&gt;0,BB34&gt;0),MIN(AZ34,BB34),MAX(AZ34,BB34))*AR34*Y34^2*1E-4*DATOS!$C$86/100/1000))^2-16*((BD34*AR34*Y34^2*1E-4*DATOS!$C$86/100/1000)+((MAX(AZ34,BB34)*AR34*Y34^2*1E-4*DATOS!$C$86/100/1000)+(IF(AND(AZ34&gt;0,BB34&gt;0),MIN(AZ34,BB34),MAX(AZ34,BB34))*AR34*Y34^2*1E-4*DATOS!$C$86/100/1000))/2)*BJ34))))/(8*MAX(((BD34*AR34*Y34^2*1E-4*DATOS!$C$86/100/1000)+((MAX(AZ34,BB34)*AR34*Y34^2*1E-4*DATOS!$C$86/100/1000)+(IF(AND(AZ34&gt;0,BB34&gt;0),MIN(AZ34,BB34),MAX(AZ34,BB34))*AR34*Y34^2*1E-4*DATOS!$C$86/100/1000))/2),1E-9))+MAX(CN34,12*INDEX(TABLAS!$C$52:$C$58,MATCH(CL34,TABLAS!$B$52:$B$58,0)),AC34/16),IF(OR(AL34&lt;INDEX(TABLAS!$C$52:$C$58,MATCH(CL34,TABLAS!$B$52:$B$58,0)),AND(CM34&gt;=2,(DATOS!$C$83-2*AL34-CM34*INDEX(TABLAS!$C$52:$C$58,MATCH(CL34,TABLAS!$B$52:$B$58,0)))/MAX(CM34-1,1)&lt;2*INDEX(TABLAS!$C$52:$C$58,MATCH(CL34,TABLAS!$B$52:$B$58,0)))),INDEX(TABLAS!$I$52:$I$58,MATCH(CL34,TABLAS!$B$52:$B$58,0)),INDEX(TABLAS!$F$52:$F$58,MATCH(CL34,TABLAS!$B$52:$B$58,0)))),5))))</f>
        <v/>
      </c>
      <c r="DE34" s="55" t="str">
        <f>IF(V34&lt;&gt;"SÍ","",IF(AND(C34="PERIMETRAL",BW34&gt;=2,AS34-AT34&gt;0,BA34*AR34*Y34^2*1E-4*DATOS!$C$86/100/1000&gt;DATOS!$C$29*INDEX(TABLAS!$D$52:$D$58,MATCH(BV34,TABLAS!$B$52:$B$58,0))*DATOS!$C$14*(BX34-INDEX(TABLAS!$D$52:$D$58,MATCH(BV34,TABLAS!$B$52:$B$58,0))*DATOS!$C$14/(DATOS!$C$21*AF34)/2)/1E5),"SÍ","NO"))</f>
        <v/>
      </c>
      <c r="DF34" s="55" t="str">
        <f>IF(V34&lt;&gt;"SÍ","",IF(AND(C34="PERIMETRAL",CM34&gt;=2,AT34&gt;0,BB34*AR34*Y34^2*1E-4*DATOS!$C$86/100/1000&gt;DATOS!$C$29*INDEX(TABLAS!$D$52:$D$58,MATCH(CL34,TABLAS!$B$52:$B$58,0))*DATOS!$C$14*(CN34-INDEX(TABLAS!$D$52:$D$58,MATCH(CL34,TABLAS!$B$52:$B$58,0))*DATOS!$C$14/(DATOS!$C$21*AG34)/2)/1E5),"SÍ","NO"))</f>
        <v/>
      </c>
      <c r="DG34" s="63" t="str">
        <f>IF(V34&lt;&gt;"SÍ","",IF(OR(C34="VOLADO",AS34=0),"—",IF(AND(AND(1.25*INDEX(TABLAS!$G$52:$G$58,MATCH(MAX(BN34,CD34),TABLAS!$B$52:$B$58,0))&lt;=(DATOS!$C$75-DATOS!$C$63),(DATOS!$C$75-DATOS!$C$63)&gt;=15,INDEX(TABLAS!$G$52:$G$58,MATCH(MAX(BV34,CL34),TABLAS!$B$52:$B$58,0))&lt;=(DATOS!$C$75-DATOS!$C$63)),8*INDEX(TABLAS!$C$52:$C$58,MATCH(MAX(MAX(BN34,CD34),MAX(BV34,CL34)),TABLAS!$B$52:$B$58,0))&lt;=DATOS!$C$76-2*DATOS!$C$63),"CUMPLE (gancho de 180°)",IF(AND(1.25*INDEX(TABLAS!$G$52:$G$58,MATCH(MAX(BN34,CD34),TABLAS!$B$52:$B$58,0))&lt;=(DATOS!$C$75-DATOS!$C$63),(DATOS!$C$75-DATOS!$C$63)&gt;=15,INDEX(TABLAS!$G$52:$G$58,MATCH(MAX(BV34,CL34),TABLAS!$B$52:$B$58,0))&lt;=(DATOS!$C$75-DATOS!$C$63)),"NO CUMPLE: el gancho de 180° (8·d_b) no cabe en el peralte de la dala de borde","NO CUMPLE: dala de borde ≥ "&amp;TEXT(CEILING(MAX(1.25*INDEX(TABLAS!$G$52:$G$58,MATCH(MAX(BN34,CD34),TABLAS!$B$52:$B$58,0)),15,INDEX(TABLAS!$G$52:$G$58,MATCH(MAX(BV34,CL34),TABLAS!$B$52:$B$58,0)))+DATOS!$C$63,5),"0")&amp;" cm de ancho"&amp;IF(8*INDEX(TABLAS!$C$52:$C$58,MATCH(MAX(MAX(BN34,CD34),MAX(BV34,CL34)),TABLAS!$B$52:$B$58,0))&lt;=DATOS!$C$76-2*DATOS!$C$63,""," y más peralte para el gancho")))))</f>
        <v/>
      </c>
      <c r="DH34" s="59" t="str">
        <f>IF(V34&lt;&gt;"SÍ","",MAX(0,INT((E34*100-DATOS!$C$87-IF(AND(C34="PERIMETRAL",I34="DISCONTINUO"),MAX(0,DATOS!$C$75-DATOS!$C$87),0)-IF(AND(C34="PERIMETRAL",J34="DISCONTINUO"),MAX(0,DATOS!$C$75-DATOS!$C$87),0)+DATOS!$C$86-IF(X34="X",DATOS!$C$81,AE34))/DATOS!$C$86)))</f>
        <v/>
      </c>
      <c r="DI34" s="59" t="str">
        <f>IF(V34&lt;&gt;"SÍ","",MAX(0,INT((F34*100-DATOS!$C$87-IF(AND(C34="PERIMETRAL",G34="DISCONTINUO"),MAX(0,DATOS!$C$75-DATOS!$C$87),0)-IF(AND(C34="PERIMETRAL",H34="DISCONTINUO"),MAX(0,DATOS!$C$75-DATOS!$C$87),0)+DATOS!$C$86-IF(X34="Y",DATOS!$C$81,AE34))/DATOS!$C$86)))</f>
        <v/>
      </c>
      <c r="DJ34" s="57" t="str">
        <f>IF(V34&lt;&gt;"SÍ","",IF(DH34&gt;0,IF(AND(C34="PERIMETRAL",I34="DISCONTINUO"),MAX(0,DATOS!$C$75-DATOS!$C$87),0)+(E34*100-DATOS!$C$87-IF(AND(C34="PERIMETRAL",I34="DISCONTINUO"),MAX(0,DATOS!$C$75-DATOS!$C$87),0)-IF(AND(C34="PERIMETRAL",J34="DISCONTINUO"),MAX(0,DATOS!$C$75-DATOS!$C$87),0)-(DH34*IF(X34="X",DATOS!$C$81,AE34)+(DH34-1)*(DATOS!$C$86-IF(X34="X",DATOS!$C$81,AE34))))/2,E34*100/2))</f>
        <v/>
      </c>
      <c r="DK34" s="57" t="str">
        <f>IF(V34&lt;&gt;"SÍ","",IF(DH34&gt;0,IF(AND(C34="PERIMETRAL",J34="DISCONTINUO"),MAX(0,DATOS!$C$75-DATOS!$C$87),0)+(E34*100-DATOS!$C$87-IF(AND(C34="PERIMETRAL",I34="DISCONTINUO"),MAX(0,DATOS!$C$75-DATOS!$C$87),0)-IF(AND(C34="PERIMETRAL",J34="DISCONTINUO"),MAX(0,DATOS!$C$75-DATOS!$C$87),0)-(DH34*IF(X34="X",DATOS!$C$81,AE34)+(DH34-1)*(DATOS!$C$86-IF(X34="X",DATOS!$C$81,AE34))))/2,E34*100/2))</f>
        <v/>
      </c>
      <c r="DL34" s="57" t="str">
        <f>IF(V34&lt;&gt;"SÍ","",IF(DI34&gt;0,IF(AND(C34="PERIMETRAL",G34="DISCONTINUO"),MAX(0,DATOS!$C$75-DATOS!$C$87),0)+(F34*100-DATOS!$C$87-IF(AND(C34="PERIMETRAL",G34="DISCONTINUO"),MAX(0,DATOS!$C$75-DATOS!$C$87),0)-IF(AND(C34="PERIMETRAL",H34="DISCONTINUO"),MAX(0,DATOS!$C$75-DATOS!$C$87),0)-(DI34*IF(X34="Y",DATOS!$C$81,AE34)+(DI34-1)*(DATOS!$C$86-IF(X34="Y",DATOS!$C$81,AE34))))/2,F34*100/2))</f>
        <v/>
      </c>
      <c r="DM34" s="57" t="str">
        <f>IF(V34&lt;&gt;"SÍ","",IF(DI34&gt;0,IF(AND(C34="PERIMETRAL",H34="DISCONTINUO"),MAX(0,DATOS!$C$75-DATOS!$C$87),0)+(F34*100-DATOS!$C$87-IF(AND(C34="PERIMETRAL",G34="DISCONTINUO"),MAX(0,DATOS!$C$75-DATOS!$C$87),0)-IF(AND(C34="PERIMETRAL",H34="DISCONTINUO"),MAX(0,DATOS!$C$75-DATOS!$C$87),0)-(DI34*IF(X34="Y",DATOS!$C$81,AE34)+(DI34-1)*(DATOS!$C$86-IF(X34="Y",DATOS!$C$81,AE34))))/2,F34*100/2))</f>
        <v/>
      </c>
      <c r="DN34" s="59" t="str">
        <f>IF(V34&lt;&gt;"SÍ","",IF(NOT(AND(C34="VOLADO",AD34&gt;DATOS!$C$83)),0,IF(INDEX(TABLAS!$C$52:$C$58,MATCH(BV34,TABLAS!$B$52:$B$58,0))&lt;=DATOS!$C$83-2*DATOS!$C$63,1,0)))</f>
        <v/>
      </c>
      <c r="DO34" s="58" t="str">
        <f>IF(V34&lt;&gt;"SÍ","",IF(NOT(AND(C34="VOLADO",AD34&gt;DATOS!$C$83)),0,((DATOS!$C$85-MAX(DATOS!$C$63,(DATOS!$C$84-2*DATOS!$C$97)/2)-2*DATOS!$C$97-INDEX(TABLAS!$C$52:$C$58,MATCH(MAX(4,DATOS!$C$72),TABLAS!$B$52:$B$58,0))-INDEX(TABLAS!$C$52:$C$58,MATCH(BV34,TABLAS!$B$52:$B$58,0))/2)-IF(AND((DATOS!$C$85-MAX(DATOS!$C$63,(DATOS!$C$84-2*DATOS!$C$97)/2)-2*DATOS!$C$97-INDEX(TABLAS!$C$52:$C$58,MATCH(MAX(4,DATOS!$C$72),TABLAS!$B$52:$B$58,0))-INDEX(TABLAS!$C$52:$C$58,MATCH(BV34,TABLAS!$B$52:$B$58,0))/2)&lt;=20,DATOS!$C$65&lt;&gt;"SÍ"),2,0))))</f>
        <v/>
      </c>
      <c r="DP34" s="56" t="str">
        <f>IF(V34&lt;&gt;"SÍ","",IF(OR(NOT(AND(C34="VOLADO",AD34&gt;DATOS!$C$83)),DN34&lt;1),0,IF(0.003*(DO34-((DN34*INDEX(TABLAS!$D$52:$D$58,MATCH(BV34,TABLAS!$B$52:$B$58,0)))*DATOS!$C$14/(DATOS!$C$21*AG34)/DATOS!$C$22))/((DN34*INDEX(TABLAS!$D$52:$D$58,MATCH(BV34,TABLAS!$B$52:$B$58,0)))*DATOS!$C$14/(DATOS!$C$21*AG34)/DATOS!$C$22)&lt;0.005,0,DATOS!$C$29*(DN34*INDEX(TABLAS!$D$52:$D$58,MATCH(BV34,TABLAS!$B$52:$B$58,0)))*DATOS!$C$14*(DO34-(DN34*INDEX(TABLAS!$D$52:$D$58,MATCH(BV34,TABLAS!$B$52:$B$58,0)))*DATOS!$C$14/(DATOS!$C$21*AG34)/2)/1E5)))</f>
        <v/>
      </c>
      <c r="DQ34" s="56" t="str">
        <f>IF(V34&lt;&gt;"SÍ","",IF(OR(NOT(AND(C34="VOLADO",AD34&gt;DATOS!$C$83)),DN34&lt;1),0,DATOS!$C$30*2*MIN(1,SQRT(2/(1+0.04*DO34)))*((DN34*INDEX(TABLAS!$D$52:$D$58,MATCH(BV34,TABLAS!$B$52:$B$58,0)))/(AG34*DO34))^(1/3)*SQRT(DATOS!$C$13)*AG34*DO34/1000))</f>
        <v/>
      </c>
      <c r="DR34" s="56" t="str">
        <f>IF(V34&lt;&gt;"SÍ","",IF(NOT(AND(C34="VOLADO",AD34&gt;DATOS!$C$83)),0,IF((BH34-DP34)&lt;=0,0,IF(DP34&lt;=0,IF(ISNUMBER(P34),P34,Y34),IF(((0.9*DATOS!$C$90*DATOS!$C$86/100/1000)*IF(ISNUMBER(P34),P34,Y34)/2+BH34/IF(ISNUMBER(P34),P34,Y34))^2-4*((0.9*DATOS!$C$90*DATOS!$C$86/100/1000)/2)*(BH34-DP34)&lt;0,IF(ISNUMBER(P34),P34,Y34),MIN(IF(ISNUMBER(P34),P34,Y34),(((0.9*DATOS!$C$90*DATOS!$C$86/100/1000)*IF(ISNUMBER(P34),P34,Y34)/2+BH34/IF(ISNUMBER(P34),P34,Y34))-SQRT(((0.9*DATOS!$C$90*DATOS!$C$86/100/1000)*IF(ISNUMBER(P34),P34,Y34)/2+BH34/IF(ISNUMBER(P34),P34,Y34))^2-4*((0.9*DATOS!$C$90*DATOS!$C$86/100/1000)/2)*(BH34-DP34)))/(2*((0.9*DATOS!$C$90*DATOS!$C$86/100/1000)/2))))))))</f>
        <v/>
      </c>
      <c r="DS34" s="56" t="str">
        <f>IF(V34&lt;&gt;"SÍ","",IF(NOT(AND(C34="VOLADO",AD34&gt;DATOS!$C$83)),0,IF(DQ34&lt;=(BH34/((IF(ISNUMBER(P34),P34,Y34)*100-DATOS!$C$87)/100)),IF(ISNUMBER(P34),P34,Y34),MIN(IF(ISNUMBER(P34),P34,Y34),MAX(0,(IF(ISNUMBER(P34),P34,Y34)*100-DATOS!$C$87)/200-(DQ34-(BH34/((IF(ISNUMBER(P34),P34,Y34)*100-DATOS!$C$87)/100)))/((0.95-0.5*IF(N(Q34)&gt;0,MIN(IF(ISNUMBER(P34),P34,Y34),Q34)/MAX(IF(ISNUMBER(P34),P34,Y34),Q34),0))*DATOS!$C$33*AR34*DATOS!$C$86/100/1000))))))</f>
        <v/>
      </c>
      <c r="DT34" s="56" t="str">
        <f>IF(V34&lt;&gt;"SÍ","",IF(NOT(AND(C34="VOLADO",AD34&gt;DATOS!$C$83)),0,(BH34/((IF(ISNUMBER(P34),P34,Y34)*100-DATOS!$C$87)/100))+((0.95-0.5*IF(N(Q34)&gt;0,MIN(IF(ISNUMBER(P34),P34,Y34),Q34)/MAX(IF(ISNUMBER(P34),P34,Y34),Q34),0))*DATOS!$C$33*AR34*DATOS!$C$86/100/1000)*MAX(0,(IF(ISNUMBER(P34),P34,Y34)*100-DATOS!$C$87)/200-BX34/100)))</f>
        <v/>
      </c>
      <c r="DU34" s="59" t="str">
        <f>IF(V34&lt;&gt;"SÍ","",IF(NOT(AND(C34="VOLADO",AD34&gt;DATOS!$C$83)),0,MIN(FLOOR(100*IF(ISNUMBER(P34),P34,Y34)-DATOS!$C$63,5),CEILING(100*MIN(IF(ISNUMBER(P34),P34,Y34),MAX(IF(DR34&gt;0,DR34+IF(BW34&gt;=2,MAX(DO34,12*INDEX(TABLAS!$C$52:$C$58,MATCH(BV34,TABLAS!$B$52:$B$58,0)))/100,0),0),DS34,IF(BW34&gt;=2,INDEX(TABLAS!$F$52:$F$58,MATCH(BV34,TABLAS!$B$52:$B$58,0))/100,0))),5))))</f>
        <v/>
      </c>
      <c r="DV34" s="60" t="str">
        <f>IF(V34&lt;&gt;"SÍ","",IF(NOT(AND(C34="VOLADO",AD34&gt;DATOS!$C$83)),0,IF(DU34&lt;=0,0,CEILING(DU34/DATOS!$C$86,1))))</f>
        <v/>
      </c>
      <c r="DW34" s="61" t="str">
        <f>IF(V34&lt;&gt;"SÍ","",IF(C34&lt;&gt;"VOLADO","—",IF(AD34&lt;=DATOS!$C$83,"— (mismo b_w que el respaldo)",IF(DT34&gt;CS34,"NO CUMPLE: cortante de la nervadura ancha junto al apoyo ("&amp;TEXT(DT34,"0.00")&amp;" &gt; "&amp;TEXT(CS34,"0.00")&amp;" t)",IF(DU34&gt;=100*IF(ISNUMBER(P34),P34,Y34),"CUMPLE — todas las nervaduras del respaldo ‖ al volado con b_w = "&amp;AD34&amp;" cm","CUMPLE — "&amp;DV34&amp;" hilera(s) del respaldo con nervaduras de b_w = "&amp;AD34&amp;" cm (casetón "&amp;AE34&amp;" cm), hasta "&amp;TEXT(DU34/100,"0.00")&amp;" m del paño")))))</f>
        <v/>
      </c>
      <c r="DX34" s="69" t="str">
        <f>IF(V34&lt;&gt;"SÍ","",IF(BO34=0,"NO ALCANZA",BO34&amp;" No. "&amp;BN34&amp;IF(BO34&gt;1," corridas"," corrida")))</f>
        <v/>
      </c>
      <c r="DY34" s="69" t="str">
        <f>IF(V34&lt;&gt;"SÍ","",IF(BW34=0,"NO ALCANZA",IF(AND(C34="VOLADO",AD34&gt;DATOS!$C$83,BW34&gt;=2),"1 No. "&amp;BV34&amp;" corrida de la orilla al respaldo ("&amp;IF(DC34&gt;=FLOOR(100*IF(ISNUMBER(P34),P34,Y34)-DATOS!$C$63,5),"hasta su apoyo lejano, con gancho","entra "&amp;TEXT(DC34/100,"0.00")&amp;" m desde el paño")&amp;") + "&amp;(BW34-1)&amp;" bastón No. "&amp;BV34&amp;" hasta "&amp;TEXT(DU34/100,"0.00")&amp;" m del paño (fin de la nervadura ancha)",IF(C34="VOLADO",BW34&amp;" No. "&amp;BV34&amp;" de la orilla al respaldo ("&amp;IF(DC34&gt;=FLOOR(100*IF(ISNUMBER(P34),P34,Y34)-DATOS!$C$63,5),"hasta su apoyo lejano, con gancho","entran "&amp;TEXT(DC34/100,"0.00")&amp;" m desde el paño")&amp;")","1 No. "&amp;BV34&amp;" corrida"&amp;IF(BW34&gt;1," + "&amp;(BW34-1)&amp;" bastón No. "&amp;BV34&amp;" L = "&amp;TEXT(DC34/100,"0.00")&amp;" m desde el paño","")))))</f>
        <v/>
      </c>
      <c r="DZ34" s="69" t="str">
        <f>IF(V34&lt;&gt;"SÍ","",IF(CE34=0,"NO ALCANZA",CE34&amp;" No. "&amp;CD34&amp;IF(CE34&gt;1," corridas"," corrida")))</f>
        <v/>
      </c>
      <c r="EA34" s="69" t="str">
        <f>IF(V34&lt;&gt;"SÍ","",IF(CM34=0,"NO ALCANZA",IF(C34="VOLADO","1 No. "&amp;CL34&amp;" corrida (repartición)","1 No. "&amp;CL34&amp;" corrida"&amp;IF(CM34&gt;1," + "&amp;(CM34-1)&amp;" bastón No. "&amp;CL34&amp;" L = "&amp;TEXT(DD34/100,"0.00")&amp;" m desde el paño",""))))</f>
        <v/>
      </c>
      <c r="EB34" s="67" t="str">
        <f>IF(B34="","",IF(V34&lt;&gt;"SÍ","FALTAN DATOS: tipo, a_x, a_y, destino y, en volados, L_b",IF(L34="NO MONOLÍTICO (caso II)","FUERA DE ALCANCE: caso II no transcrito",IF(AND(C34="VOLADO",W34="?"),"REVISAR: el volado lleva UN solo borde CONTINUO (el empotrado)",IF(MIN(DH34,DI34)=0,"REVISAR: no cabe un casetón (tablero macizo): diséñalo en MACIZAS",IF(AND(MAX(BR34,BZ34,CH34,CP34)&lt;=1,NOT(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T(OR(AND(ISNUMBER(BS34),BS34&lt;0.005),AND(ISNUMBER(CA34),CA34&lt;0.005),AND(ISNUMBER(CI34),CI34&lt;0.005),AND(ISNUMBER(CQ34),CQ34&lt;0.005))),NOT(LEFT(DW34,2)="NO"),DA34="CUMPLE",DB34="CUMPLE",LEFT(CU34,2)&lt;&gt;"NO",LEFT(DATOS!$C$132,6)="CUMPLE"),IF(LEFT(CU34,6)="CUMPLE","CUMPLE","CUMPLE — "&amp;CU34)&amp;IF(LEFT(BK34,5)="FUERA"," · fuera de 3.4.2.1 c)","")&amp;IF(LEFT(DG34,2)="NO"," · REVISAR anclaje en borde discontinuo","")&amp;IF(DV34&gt;0," · respaldo: "&amp;DV34&amp;" hilera(s) de b_w "&amp;AD34&amp;" cm",""),IF(AND(MAX(BR34,BZ34,CH34,CP34)&lt;=1,NOT(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T(OR(AND(ISNUMBER(BS34),BS34&lt;0.005),AND(ISNUMBER(CA34),CA34&lt;0.005),AND(ISNUMBER(CI34),CI34&lt;0.005),AND(ISNUMBER(CQ34),CQ34&lt;0.005))),NOT(LEFT(DW34,2)="NO"),DA34="CALCULAR FLECHA",LEFT(CU34,2)&lt;&gt;"NO",LEFT(DATOS!$C$132,6)="CUMPLE"),"REVISAR: calcular flecha (h_eq &lt; h mín.)"&amp;IF(LEFT(BK34,5)="FUERA"," · fuera de 3.4.2.1 c)","")&amp;IF(LEFT(DG34,2)="NO"," · REVISAR anclaje en borde discontinuo","")&amp;IF(DV34&gt;0," · respaldo: "&amp;DV34&amp;" hilera(s) de b_w "&amp;AD34&amp;" cm",""),"NO CUMPLE: "&amp;IF(MAX(BR34,BZ34,CH34,CP34)&gt;1,"flexión ","")&amp;IF(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 caben ","")&amp;IF(OR(AND(ISNUMBER(BS34),BS34&lt;0.005),AND(ISNUMBER(CA34),CA34&lt;0.005),AND(ISNUMBER(CI34),CI34&lt;0.005),AND(ISNUMBER(CQ34),CQ34&lt;0.005)),"ε_t &lt; 0.005 ","")&amp;IF(LEFT(CU34,2)="NO","cortante ","")&amp;IF(DA34="NO CUMPLE","peralte ","")&amp;IF(DB34&lt;&gt;"CUMPLE","capa &lt; 6 cm ","")&amp;IF(LEFT(DATOS!$C$132,6)&lt;&gt;"CUMPLE","capa o malla (DATOS sección 7) ","")&amp;IF(LEFT(DW34,2)="NO","respaldo del volado",""))))))))</f>
        <v/>
      </c>
      <c r="EC34" s="70" t="str">
        <f>IF(V34&lt;&gt;"SÍ","",IF(LEFT(B34,7)="EJEMPLO","EJEMPLO de la hoja de Casa Rocha: bórralo o sobrescríbelo. ","")&amp;IF(AND(C34="PERIMETRAL",MIN(DH34,DI34)=0),"No cabe un casetón en el claro corto: es un tablero macizo, diséñalo en MACIZAS. ","")&amp;IF(AND(AJ34="NO",C34="PERIMETRAL"),"No cumple 6.7.8.1.4 (a_c = "&amp;MAX(DATOS!$C$81,AE34)&amp;" cm &gt; claro corto/6 = "&amp;TEXT(Y34*100/6,"0")&amp;" cm): se diseña como losa apoyada en vigas (6.7.8.1.9): r de viga = "&amp;DATOS!$C$63&amp;" cm y V_cR sin ×1.1. Para que cuente como encasetonada: casetón de "&amp;TEXT(FLOOR(MIN(80,Y34*100/6),1),"0")&amp;" cm o menor. ","")&amp;IF(C34="VOLADO","Volado de "&amp;TEXT(Y34,"0.00")&amp;" m empotrado en el borde "&amp;LOWER(W34)&amp;IF(N(O34)&gt;0,", con "&amp;TEXT(O34,"0.0")&amp;" kg/m en la orilla","")&amp;". Lecho inferior con r_ext. Si la orilla carga pretil u otro elemento frágil, calcula la flecha (13.4). El acero superior entra al respaldo de "&amp;TEXT(IF(ISNUMBER(P34),P34,Y34),"0.00")&amp;" m"&amp;" hasta pasar M = 0 con 0.9·PP sin carga viva; si ahí no se anula, llega al apoyo lejano y se ancla con gancho (NTC-Criterios 3.4.1 c y 5.1.2.2). "&amp;IF(AD34&gt;DATOS!$C$83,"Respaldo: "&amp;DW34&amp;". ",""),"")&amp;IF(AND(C34="VOLADO",((0.9*DATOS!$C$90*DATOS!$C$86/100/1000)*IF(ISNUMBER(P34),P34,Y34)/2-BH34/IF(ISNUMBER(P34),P34,Y34))&lt;0),"Con 0.9·PP y sin carga viva el apoyo lejano del respaldo levanta (R = "&amp;TEXT(-((0.9*DATOS!$C$90*DATOS!$C$86/100/1000)*IF(ISNUMBER(P34),P34,Y34)/2-BH34/IF(ISNUMBER(P34),P34,Y34)),"0.00")&amp;" t por nervadura): ancla ahí la corrida con gancho y revisa ese apoyo a tensión. ","")&amp;IF(LEFT(BK34,5)="FUERA","El M⁻ del vecino difiere más de 50 % (3.4.2.1 c): distribuye el desequilibrio (3.4.3.1) o confirma con un modelo; se arma con el mayor. ","")&amp;IF(OR(DE34="SÍ",DF34="SÍ"),"El M⁻ del borde discontinuo pide bastón también ahí (con gancho). ","")&amp;IF(LEFT(DG34,2)="NO","Anclaje: "&amp;DG34&amp;" (6.7.8.1.7). ","")&amp;IF(AND(C34="PERIMETRAL",AT34&gt;=1,AS34-AT34&gt;=1),"Esquinas exteriores sobre muro: refuerzo de esquina arriba y abajo en L_largo/5 (6.7.7.3.1). ",""))</f>
        <v/>
      </c>
    </row>
    <row r="35" ht="33" customHeight="1">
      <c r="A35" s="50">
        <f>IF(B35="",0,1)+A34</f>
        <v>4</v>
      </c>
      <c r="B35" s="29" t="n"/>
      <c r="C35" s="51" t="n"/>
      <c r="D35" s="29" t="n"/>
      <c r="E35" s="52" t="n"/>
      <c r="F35" s="52" t="n"/>
      <c r="G35" s="51" t="n"/>
      <c r="H35" s="51" t="n"/>
      <c r="I35" s="51" t="n"/>
      <c r="J35" s="51" t="n"/>
      <c r="K35" s="51" t="n"/>
      <c r="L35" s="51" t="n"/>
      <c r="M35" s="53" t="n"/>
      <c r="N35" s="53" t="n"/>
      <c r="O35" s="54" t="n"/>
      <c r="P35" s="52" t="n"/>
      <c r="Q35" s="52" t="n"/>
      <c r="R35" s="53" t="n"/>
      <c r="S35" s="54" t="n"/>
      <c r="T35" s="52" t="n"/>
      <c r="U35" s="52" t="n"/>
      <c r="V35" s="55" t="str">
        <f>IF(B35="","",IF(AND(OR(C35="PERIMETRAL",C35="VOLADO"),ISNUMBER(E35),ISNUMBER(F35),E35&gt;0,F35&gt;0,OR(ISNUMBER(N35),ISNUMBER(MATCH(D35,DATOS!$B$46:$B$58,0))),OR(C35&lt;&gt;"VOLADO",N(P35)&gt;0)),"SÍ","NO"))</f>
        <v/>
      </c>
      <c r="W35" s="55" t="str">
        <f>IF(V35&lt;&gt;"SÍ","",IF(C35&lt;&gt;"VOLADO","—",IF(COUNTIF(G35:J35,"CONTINUO")&lt;&gt;1,"?",IF(G35="CONTINUO","INFERIOR",IF(H35="CONTINUO","SUPERIOR",IF(I35="CONTINUO","IZQUIERDO","DERECHO"))))))</f>
        <v/>
      </c>
      <c r="X35" s="55" t="str">
        <f>IF(V35&lt;&gt;"SÍ","",IF(C35="VOLADO",IF(OR(W35="IZQUIERDO",W35="DERECHO"),"X","Y"),IF(E35&lt;=F35,"X","Y")))</f>
        <v/>
      </c>
      <c r="Y35" s="56" t="str">
        <f>IF(V35&lt;&gt;"SÍ","",IF(C35="VOLADO",IF(X35="X",E35,F35),MIN(E35,F35)))</f>
        <v/>
      </c>
      <c r="Z35" s="56" t="str">
        <f>IF(V35&lt;&gt;"SÍ","",IF(C35="VOLADO",IF(X35="X",F35,E35),MAX(E35,F35)))</f>
        <v/>
      </c>
      <c r="AA35" s="56" t="str">
        <f>IF(V35&lt;&gt;"SÍ","",MIN(Y35,Z35)/MAX(Y35,Z35))</f>
        <v/>
      </c>
      <c r="AB35" s="57" t="str">
        <f>IF(V35&lt;&gt;"SÍ","",MAX(1,Y35*100-IF(C35="VOLADO",DATOS!$C$87/2,DATOS!$C$87)))</f>
        <v/>
      </c>
      <c r="AC35" s="57" t="str">
        <f>IF(V35&lt;&gt;"SÍ","",MAX(1,Z35*100-DATOS!$C$87))</f>
        <v/>
      </c>
      <c r="AD35" s="57" t="str">
        <f>IF(V35&lt;&gt;"SÍ","",IF(ISNUMBER(R35),R35,DATOS!$C$83))</f>
        <v/>
      </c>
      <c r="AE35" s="57" t="str">
        <f>IF(V35&lt;&gt;"SÍ","",MAX(0,DATOS!$C$86-AD35))</f>
        <v/>
      </c>
      <c r="AF35" s="57" t="str">
        <f>IF(V35&lt;&gt;"SÍ","",IF(OR(DATOS!$C$65="SÍ",AD35&gt;=20),AD35,AD35-2))</f>
        <v/>
      </c>
      <c r="AG35" s="57" t="str">
        <f>IF(V35&lt;&gt;"SÍ","",IF(OR(DATOS!$C$65="SÍ",DATOS!$C$83&gt;=20),DATOS!$C$83,DATOS!$C$83-2))</f>
        <v/>
      </c>
      <c r="AH35" s="57" t="str">
        <f>IF(V35&lt;&gt;"SÍ","",MIN(DATOS!$C$86,AD35+2*MIN(8*DATOS!$C$84,AE35/2,AB35/8)))</f>
        <v/>
      </c>
      <c r="AI35" s="57" t="str">
        <f>IF(V35&lt;&gt;"SÍ","",MIN(DATOS!$C$86,DATOS!$C$83+2*MIN(8*DATOS!$C$84,DATOS!$C$81/2,AC35/8)))</f>
        <v/>
      </c>
      <c r="AJ35" s="55" t="str">
        <f>IF(V35&lt;&gt;"SÍ","",IF(AND(C35="PERIMETRAL",Y35*100&gt;=6*MAX(DATOS!$C$81,AE35),MAX(DATOS!$C$81,AE35)&lt;=80,MIN(DATOS!$C$83,AD35)&gt;=10,DATOS!$C$85&lt;=3.5*MIN(DATOS!$C$83,AD35),DATOS!$C$84&gt;=MAX(MAX(DATOS!$C$81,AE35)/13,5)),"SÍ","NO"))</f>
        <v/>
      </c>
      <c r="AK35" s="57" t="str">
        <f>IF(V35&lt;&gt;"SÍ","",IF(C35="VOLADO",DATOS!$C$64,IF(AJ35="NO",DATOS!$C$63,DATOS!$C$62)))</f>
        <v/>
      </c>
      <c r="AL35" s="57" t="str">
        <f>IF(V35&lt;&gt;"SÍ","",IF(OR(AND(AN35="SÍ",DATOS!$C$66="SÍ"),AND(C35="VOLADO",DATOS!$C$67="SÍ")),DATOS!$C$64,IF(AJ35="NO",DATOS!$C$63,DATOS!$C$62)))</f>
        <v/>
      </c>
      <c r="AM35" s="58" t="str">
        <f>IF(V35&lt;&gt;"SÍ","",MAX(AL35,(DATOS!$C$84-2*DATOS!$C$97)/2))</f>
        <v/>
      </c>
      <c r="AN35" s="55" t="str">
        <f>IF(V35&lt;&gt;"SÍ","",IFERROR(INDEX(DATOS!$D$46:$D$58,MATCH(D35,DATOS!$B$46:$B$58,0)),"NO"))</f>
        <v/>
      </c>
      <c r="AO35" s="59" t="str">
        <f>IF(V35&lt;&gt;"SÍ","",IF(ISNUMBER(N35),N35,IFERROR(INDEX(DATOS!$C$46:$C$58,MATCH(D35,DATOS!$B$46:$B$58,0)),0)))</f>
        <v/>
      </c>
      <c r="AP35" s="59" t="str">
        <f>IF(V35&lt;&gt;"SÍ","",IF(MIN(DH35,DI35)=0,DATOS!$C$85/100*DATOS!$C$16*1000,(DATOS!$C$85/100-(AE35*DATOS!$C$81/DATOS!$C$86^2)*DATOS!$C$82/100)*DATOS!$C$16*1000+(AE35*DATOS!$C$81/DATOS!$C$86^2)*DATOS!$C$82/100*DATOS!$C$17*1000)+DATOS!$C$37+DATOS!$C$38)</f>
        <v/>
      </c>
      <c r="AQ35" s="59" t="str">
        <f>IF(V35&lt;&gt;"SÍ","",AP35+N(M35))</f>
        <v/>
      </c>
      <c r="AR35" s="60" t="str">
        <f>IF(V35&lt;&gt;"SÍ","",MAX(DATOS!$C$26*AQ35+DATOS!$C$27*AO35,IF(AN35="SÍ",DATOS!$C$28*(AQ35+DATOS!$C$41),0)))</f>
        <v/>
      </c>
      <c r="AS35" s="59" t="str">
        <f>IF(V35&lt;&gt;"SÍ","",(G35="DISCONTINUO")+(H35="DISCONTINUO")+(I35="DISCONTINUO")+(J35="DISCONTINUO"))</f>
        <v/>
      </c>
      <c r="AT35" s="59" t="str">
        <f>IF(V35&lt;&gt;"SÍ","",IF(X35="X",(G35="DISCONTINUO")+(H35="DISCONTINUO"),(I35="DISCONTINUO")+(J35="DISCONTINUO")))</f>
        <v/>
      </c>
      <c r="AU35" s="55" t="str">
        <f>IF(V35&lt;&gt;"SÍ","",IF(AS35=0,"INTERIOR",IF(AS35=1,IF(AT35=1,"BORDE-CORTO","BORDE-LARGO"),IF(AS35=2,IF(AT35=1,"ESQUINA",IF(AT35=2,"EXTREMO-LARGO","EXTREMO-CORTO")),IF(AS35=3,IF(AT35=2,"EXTREMO-LARGO","EXTREMO-CORTO"),"AISLADO")))))</f>
        <v/>
      </c>
      <c r="AV35" s="61" t="str">
        <f>IF(V35&lt;&gt;"SÍ","",IF(OR(K35="",K35="AUTO"),AU35,K35))</f>
        <v/>
      </c>
      <c r="AW35" s="59" t="str">
        <f>IF(V35&lt;&gt;"SÍ","",MATCH(AA35,TABLAS!$D$5:$J$5,1))</f>
        <v/>
      </c>
      <c r="AX35" s="58" t="str">
        <f>IF(V35&lt;&gt;"SÍ","",IF(AW35&gt;=7,0,(AA35-INDEX(TABLAS!$D$5:$J$5,AW35))/(INDEX(TABLAS!$D$5:$J$5,AW35+1)-INDEX(TABLAS!$D$5:$J$5,AW35))))</f>
        <v/>
      </c>
      <c r="AY35" s="59" t="str">
        <f>IF(V35&lt;&gt;"SÍ","",INDEX(TABLAS!$D$6:$J$47,MATCH(AV35&amp;"|NIC",TABLAS!$B$6:$B$47,0),AW35)+AX35*(INDEX(TABLAS!$D$6:$J$47,MATCH(AV35&amp;"|NIC",TABLAS!$B$6:$B$47,0),MIN(AW35+1,7))-INDEX(TABLAS!$D$6:$J$47,MATCH(AV35&amp;"|NIC",TABLAS!$B$6:$B$47,0),AW35)))</f>
        <v/>
      </c>
      <c r="AZ35" s="59" t="str">
        <f>IF(V35&lt;&gt;"SÍ","",INDEX(TABLAS!$D$6:$J$47,MATCH(AV35&amp;"|NIL",TABLAS!$B$6:$B$47,0),AW35)+AX35*(INDEX(TABLAS!$D$6:$J$47,MATCH(AV35&amp;"|NIL",TABLAS!$B$6:$B$47,0),MIN(AW35+1,7))-INDEX(TABLAS!$D$6:$J$47,MATCH(AV35&amp;"|NIL",TABLAS!$B$6:$B$47,0),AW35)))</f>
        <v/>
      </c>
      <c r="BA35" s="59" t="str">
        <f>IF(V35&lt;&gt;"SÍ","",INDEX(TABLAS!$D$6:$J$47,MATCH(AV35&amp;"|NDC",TABLAS!$B$6:$B$47,0),AW35)+AX35*(INDEX(TABLAS!$D$6:$J$47,MATCH(AV35&amp;"|NDC",TABLAS!$B$6:$B$47,0),MIN(AW35+1,7))-INDEX(TABLAS!$D$6:$J$47,MATCH(AV35&amp;"|NDC",TABLAS!$B$6:$B$47,0),AW35)))</f>
        <v/>
      </c>
      <c r="BB35" s="59" t="str">
        <f>IF(V35&lt;&gt;"SÍ","",INDEX(TABLAS!$D$6:$J$47,MATCH(AV35&amp;"|NDL",TABLAS!$B$6:$B$47,0),AW35)+AX35*(INDEX(TABLAS!$D$6:$J$47,MATCH(AV35&amp;"|NDL",TABLAS!$B$6:$B$47,0),MIN(AW35+1,7))-INDEX(TABLAS!$D$6:$J$47,MATCH(AV35&amp;"|NDL",TABLAS!$B$6:$B$47,0),AW35)))</f>
        <v/>
      </c>
      <c r="BC35" s="59" t="str">
        <f>IF(V35&lt;&gt;"SÍ","",INDEX(TABLAS!$D$6:$J$47,MATCH(AV35&amp;"|PC",TABLAS!$B$6:$B$47,0),AW35)+AX35*(INDEX(TABLAS!$D$6:$J$47,MATCH(AV35&amp;"|PC",TABLAS!$B$6:$B$47,0),MIN(AW35+1,7))-INDEX(TABLAS!$D$6:$J$47,MATCH(AV35&amp;"|PC",TABLAS!$B$6:$B$47,0),AW35)))</f>
        <v/>
      </c>
      <c r="BD35" s="59" t="str">
        <f>IF(V35&lt;&gt;"SÍ","",INDEX(TABLAS!$D$6:$J$47,MATCH(AV35&amp;"|PL",TABLAS!$B$6:$B$47,0),AW35)+AX35*(INDEX(TABLAS!$D$6:$J$47,MATCH(AV35&amp;"|PL",TABLAS!$B$6:$B$47,0),MIN(AW35+1,7))-INDEX(TABLAS!$D$6:$J$47,MATCH(AV35&amp;"|PL",TABLAS!$B$6:$B$47,0),AW35)))</f>
        <v/>
      </c>
      <c r="BE35" s="56" t="str">
        <f>IF(V35&lt;&gt;"SÍ","",IF(OR(C35&lt;&gt;"VOLADO",MIN(DH35,DI35)=0),0,DATOS!$C$26*DATOS!$C$16*DATOS!$C$86/100*(((AE35*DATOS!$C$81/DATOS!$C$86^2)*DATOS!$C$82/100)*(IF(X35="X",DJ35,DL35)+DATOS!$C$87/2)/100*(AB35-(IF(X35="X",DJ35,DL35)+DATOS!$C$87/2)/2)/100+((AE35*DATOS!$C$81/DATOS!$C$86^2)*DATOS!$C$82/100)*IF(X35="X",DJ35,DL35)/100*IF(X35="X",DJ35,DL35)/200)))</f>
        <v/>
      </c>
      <c r="BF35" s="56" t="str">
        <f>IF(V35&lt;&gt;"SÍ","",IF(OR(C35&lt;&gt;"VOLADO",MIN(DH35,DI35)=0),0,DATOS!$C$26*DATOS!$C$16*DATOS!$C$86/100*((AE35*DATOS!$C$81/DATOS!$C$86^2)*DATOS!$C$82/100)*(IF(X35="X",DJ35,DL35)+DATOS!$C$87/2)/100))</f>
        <v/>
      </c>
      <c r="BG35" s="56" t="str">
        <f>IF(V35&lt;&gt;"SÍ","",IF(C35="PERIMETRAL",BC35*AR35*Y35^2*1E-4*DATOS!$C$86/100/1000,0))</f>
        <v/>
      </c>
      <c r="BH35" s="62" t="str">
        <f>IF(V35&lt;&gt;"SÍ","",IF(C35="PERIMETRAL",MAX(MAX(AY35,BA35)*AR35*Y35^2*1E-4*DATOS!$C$86/100/1000,N(T35)),(AR35*(AB35/100)^2/2+DATOS!$C$26*N(O35)*AB35/100)*DATOS!$C$86/100/1000+BE35))</f>
        <v/>
      </c>
      <c r="BI35" s="56" t="str">
        <f>IF(V35&lt;&gt;"SÍ","",IF(C35="PERIMETRAL",BD35*AR35*Y35^2*1E-4*DATOS!$C$86/100/1000,0))</f>
        <v/>
      </c>
      <c r="BJ35" s="56" t="str">
        <f>IF(V35&lt;&gt;"SÍ","",IF(C35="PERIMETRAL",MAX(MAX(AZ35,BB35)*AR35*Y35^2*1E-4*DATOS!$C$86/100/1000,N(U35)),0))</f>
        <v/>
      </c>
      <c r="BK35" s="63" t="str">
        <f>IF(V35&lt;&gt;"SÍ","",IF(C35&lt;&gt;"PERIMETRAL","—",IF(AND(N(T35)=0,N(U35)=0),"— (sin M⁻ del vecino)",IF(OR(AND(N(T35)&gt;0,ABS(MAX(AY35,BA35)*AR35*Y35^2*1E-4*DATOS!$C$86/100/1000-N(T35))&gt;0.5*MIN(MAX(AY35,BA35)*AR35*Y35^2*1E-4*DATOS!$C$86/100/1000,N(T35))),AND(N(U35)&gt;0,ABS(MAX(AZ35,BB35)*AR35*Y35^2*1E-4*DATOS!$C$86/100/1000-N(U35))&gt;0.5*MIN(MAX(AZ35,BB35)*AR35*Y35^2*1E-4*DATOS!$C$86/100/1000,N(U35)))),"FUERA: difieren &gt; 50 %"&amp;IF(AND(N(T35)&gt;0,ABS(MAX(AY35,BA35)*AR35*Y35^2*1E-4*DATOS!$C$86/100/1000-N(T35))&gt;0.5*MIN(MAX(AY35,BA35)*AR35*Y35^2*1E-4*DATOS!$C$86/100/1000,N(T35)))," ‖ corto","")&amp;IF(AND(N(U35)&gt;0,ABS(MAX(AZ35,BB35)*AR35*Y35^2*1E-4*DATOS!$C$86/100/1000-N(U35))&gt;0.5*MIN(MAX(AZ35,BB35)*AR35*Y35^2*1E-4*DATOS!$C$86/100/1000,N(U35)))," ‖ largo",""),"CUMPLE"))))</f>
        <v/>
      </c>
      <c r="BL35" s="58" t="str">
        <f>IF(V35&lt;&gt;"SÍ","",(DATOS!$C$85-AK35-INDEX(TABLAS!$C$52:$C$58,MATCH(MAX(4,DATOS!$C$71),TABLAS!$B$52:$B$58,0))/2))</f>
        <v/>
      </c>
      <c r="BM35" s="58" t="str">
        <f>IF(V35&lt;&gt;"SÍ","",IF(IF(BG35&lt;=0,0,IF((1-2*BG35*1E5/(DATOS!$C$29*AH35*BL35^2*DATOS!$C$21))&lt;0,-1,IF((1-SQRT((1-2*BG35*1E5/(DATOS!$C$29*AH35*BL35^2*DATOS!$C$21))))*DATOS!$C$21*AH35*BL35/DATOS!$C$14&gt;DATOS!$C$102*AH35*BL35,-1,(1-SQRT((1-2*BG35*1E5/(DATOS!$C$29*AH35*BL35^2*DATOS!$C$21))))*DATOS!$C$21*AH35*BL35/DATOS!$C$14)))&lt;0,-1,MAX(IF(BG35&lt;=0,0,IF((1-2*BG35*1E5/(DATOS!$C$29*AH35*BL35^2*DATOS!$C$21))&lt;0,-1,IF((1-SQRT((1-2*BG35*1E5/(DATOS!$C$29*AH35*BL35^2*DATOS!$C$21))))*DATOS!$C$21*AH35*BL35/DATOS!$C$14&gt;DATOS!$C$102*AH35*BL35,-1,(1-SQRT((1-2*BG35*1E5/(DATOS!$C$29*AH35*BL35^2*DATOS!$C$21))))*DATOS!$C$21*AH35*BL35/DATOS!$C$14))),MIN(DATOS!$C$103*AD35*BL35,4/3*IF(BG35&lt;=0,0,IF((1-2*BG35*1E5/(DATOS!$C$29*AH35*BL35^2*DATOS!$C$21))&lt;0,-1,IF((1-SQRT((1-2*BG35*1E5/(DATOS!$C$29*AH35*BL35^2*DATOS!$C$21))))*DATOS!$C$21*AH35*BL35/DATOS!$C$14&gt;DATOS!$C$102*AH35*BL35,-1,(1-SQRT((1-2*BG35*1E5/(DATOS!$C$29*AH35*BL35^2*DATOS!$C$21))))*DATOS!$C$21*AH35*BL35/DATOS!$C$14)))))))</f>
        <v/>
      </c>
      <c r="BN35" s="64" t="str">
        <f>IF(V35&lt;&gt;"SÍ","",IF(AND(BM35&gt;=0,IF(MAX(DATOS!$C$74,CEILING(BM35/INDEX(TABLAS!$D$52:$D$58,MIN(MATCH(MAX(4,DATOS!$C$71),TABLAS!$B$52:$B$58,0)+0,7)),1))*INDEX(TABLAS!$D$52:$D$58,MIN(MATCH(MAX(4,DATOS!$C$71),TABLAS!$B$52:$B$58,0)+0,7)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+0,7)),1)),MAX(MAX(DATOS!$C$74,CEILING(BM35/INDEX(TABLAS!$D$52:$D$58,MIN(MATCH(MAX(4,DATOS!$C$71),TABLAS!$B$52:$B$58,0)+0,7)),1)),2))&lt;=MIN(DATOS!$C$73,INT(((AD35-2*AK35)+MAX(DATOS!$C$70,INDEX(TABLAS!$C$52:$C$58,MIN(MATCH(MAX(4,DATOS!$C$71),TABLAS!$B$52:$B$58,0)+0,7))))/(INDEX(TABLAS!$C$52:$C$58,MIN(MATCH(MAX(4,DATOS!$C$71),TABLAS!$B$52:$B$58,0)+0,7))+MAX(DATOS!$C$70,INDEX(TABLAS!$C$52:$C$58,MIN(MATCH(MAX(4,DATOS!$C$71),TABLAS!$B$52:$B$58,0)+0,7))))))),INDEX(TABLAS!$B$52:$B$58,MIN(MATCH(MAX(4,DATOS!$C$71),TABLAS!$B$52:$B$58,0)+0,7)),IF(AND(BM35&gt;=0,IF(MAX(DATOS!$C$74,CEILING(BM35/INDEX(TABLAS!$D$52:$D$58,MIN(MATCH(MAX(4,DATOS!$C$71),TABLAS!$B$52:$B$58,0)+1,7)),1))*INDEX(TABLAS!$D$52:$D$58,MIN(MATCH(MAX(4,DATOS!$C$71),TABLAS!$B$52:$B$58,0)+1,7)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+1,7)),1)),MAX(MAX(DATOS!$C$74,CEILING(BM35/INDEX(TABLAS!$D$52:$D$58,MIN(MATCH(MAX(4,DATOS!$C$71),TABLAS!$B$52:$B$58,0)+1,7)),1)),2))&lt;=MIN(DATOS!$C$73,INT(((AD35-2*AK35)+MAX(DATOS!$C$70,INDEX(TABLAS!$C$52:$C$58,MIN(MATCH(MAX(4,DATOS!$C$71),TABLAS!$B$52:$B$58,0)+1,7))))/(INDEX(TABLAS!$C$52:$C$58,MIN(MATCH(MAX(4,DATOS!$C$71),TABLAS!$B$52:$B$58,0)+1,7))+MAX(DATOS!$C$70,INDEX(TABLAS!$C$52:$C$58,MIN(MATCH(MAX(4,DATOS!$C$71),TABLAS!$B$52:$B$58,0)+1,7))))))),INDEX(TABLAS!$B$52:$B$58,MIN(MATCH(MAX(4,DATOS!$C$71),TABLAS!$B$52:$B$58,0)+1,7)),IF(AND(BM35&gt;=0,IF(MAX(DATOS!$C$74,CEILING(BM35/INDEX(TABLAS!$D$52:$D$58,MIN(MATCH(MAX(4,DATOS!$C$71),TABLAS!$B$52:$B$58,0)+2,7)),1))*INDEX(TABLAS!$D$52:$D$58,MIN(MATCH(MAX(4,DATOS!$C$71),TABLAS!$B$52:$B$58,0)+2,7)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+2,7)),1)),MAX(MAX(DATOS!$C$74,CEILING(BM35/INDEX(TABLAS!$D$52:$D$58,MIN(MATCH(MAX(4,DATOS!$C$71),TABLAS!$B$52:$B$58,0)+2,7)),1)),2))&lt;=MIN(DATOS!$C$73,INT(((AD35-2*AK35)+MAX(DATOS!$C$70,INDEX(TABLAS!$C$52:$C$58,MIN(MATCH(MAX(4,DATOS!$C$71),TABLAS!$B$52:$B$58,0)+2,7))))/(INDEX(TABLAS!$C$52:$C$58,MIN(MATCH(MAX(4,DATOS!$C$71),TABLAS!$B$52:$B$58,0)+2,7))+MAX(DATOS!$C$70,INDEX(TABLAS!$C$52:$C$58,MIN(MATCH(MAX(4,DATOS!$C$71),TABLAS!$B$52:$B$58,0)+2,7))))))),INDEX(TABLAS!$B$52:$B$58,MIN(MATCH(MAX(4,DATOS!$C$71),TABLAS!$B$52:$B$58,0)+2,7)),IF(AND(BM35&gt;=0,IF(MAX(DATOS!$C$74,CEILING(BM35/INDEX(TABLAS!$D$52:$D$58,MIN(MATCH(MAX(4,DATOS!$C$71),TABLAS!$B$52:$B$58,0)+3,7)),1))*INDEX(TABLAS!$D$52:$D$58,MIN(MATCH(MAX(4,DATOS!$C$71),TABLAS!$B$52:$B$58,0)+3,7)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+3,7)),1)),MAX(MAX(DATOS!$C$74,CEILING(BM35/INDEX(TABLAS!$D$52:$D$58,MIN(MATCH(MAX(4,DATOS!$C$71),TABLAS!$B$52:$B$58,0)+3,7)),1)),2))&lt;=MIN(DATOS!$C$73,INT(((AD35-2*AK35)+MAX(DATOS!$C$70,INDEX(TABLAS!$C$52:$C$58,MIN(MATCH(MAX(4,DATOS!$C$71),TABLAS!$B$52:$B$58,0)+3,7))))/(INDEX(TABLAS!$C$52:$C$58,MIN(MATCH(MAX(4,DATOS!$C$71),TABLAS!$B$52:$B$58,0)+3,7))+MAX(DATOS!$C$70,INDEX(TABLAS!$C$52:$C$58,MIN(MATCH(MAX(4,DATOS!$C$71),TABLAS!$B$52:$B$58,0)+3,7))))))),INDEX(TABLAS!$B$52:$B$58,MIN(MATCH(MAX(4,DATOS!$C$71),TABLAS!$B$52:$B$58,0)+3,7)),IF(AND(BM35&gt;=0,IF(MAX(DATOS!$C$74,CEILING(BM35/INDEX(TABLAS!$D$52:$D$58,MIN(MATCH(MAX(4,DATOS!$C$71),TABLAS!$B$52:$B$58,0)+4,7)),1))*INDEX(TABLAS!$D$52:$D$58,MIN(MATCH(MAX(4,DATOS!$C$71),TABLAS!$B$52:$B$58,0)+4,7)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+4,7)),1)),MAX(MAX(DATOS!$C$74,CEILING(BM35/INDEX(TABLAS!$D$52:$D$58,MIN(MATCH(MAX(4,DATOS!$C$71),TABLAS!$B$52:$B$58,0)+4,7)),1)),2))&lt;=MIN(DATOS!$C$73,INT(((AD35-2*AK35)+MAX(DATOS!$C$70,INDEX(TABLAS!$C$52:$C$58,MIN(MATCH(MAX(4,DATOS!$C$71),TABLAS!$B$52:$B$58,0)+4,7))))/(INDEX(TABLAS!$C$52:$C$58,MIN(MATCH(MAX(4,DATOS!$C$71),TABLAS!$B$52:$B$58,0)+4,7))+MAX(DATOS!$C$70,INDEX(TABLAS!$C$52:$C$58,MIN(MATCH(MAX(4,DATOS!$C$71),TABLAS!$B$52:$B$58,0)+4,7))))))),INDEX(TABLAS!$B$52:$B$58,MIN(MATCH(MAX(4,DATOS!$C$71),TABLAS!$B$52:$B$58,0)+4,7)),INDEX(TABLAS!$B$52:$B$58,7)))))))</f>
        <v/>
      </c>
      <c r="BO35" s="59" t="str">
        <f>IF(V35&lt;&gt;"SÍ","",IF(BM35&lt;0,0,IF(MAX(DATOS!$C$74,CEILING(MAX(BM35,0)/INDEX(TABLAS!$D$52:$D$58,MATCH(BN35,TABLAS!$B$52:$B$58,0)),1))*INDEX(TABLAS!$D$52:$D$58,MATCH(BN35,TABLAS!$B$52:$B$58,0))&gt;=4/3*IF(BG35&lt;=0,0,IF((1-2*BG35*1E5/(DATOS!$C$29*AH35*BL35^2*DATOS!$C$21))&lt;0,-1,IF((1-SQRT((1-2*BG35*1E5/(DATOS!$C$29*AH35*BL35^2*DATOS!$C$21))))*DATOS!$C$21*AH35*BL35/DATOS!$C$14&gt;DATOS!$C$102*AH35*BL35,-1,(1-SQRT((1-2*BG35*1E5/(DATOS!$C$29*AH35*BL35^2*DATOS!$C$21))))*DATOS!$C$21*AH35*BL35/DATOS!$C$14)))-0.0001,MAX(DATOS!$C$74,CEILING(MAX(BM35,0)/INDEX(TABLAS!$D$52:$D$58,MATCH(BN35,TABLAS!$B$52:$B$58,0)),1)),MAX(MAX(DATOS!$C$74,CEILING(MAX(BM35,0)/INDEX(TABLAS!$D$52:$D$58,MATCH(BN35,TABLAS!$B$52:$B$58,0)),1)),2))))</f>
        <v/>
      </c>
      <c r="BP35" s="58" t="str">
        <f>IF(V35&lt;&gt;"SÍ","",DATOS!$C$85-AK35-INDEX(TABLAS!$C$52:$C$58,MATCH(BN35,TABLAS!$B$52:$B$58,0))/2)</f>
        <v/>
      </c>
      <c r="BQ35" s="56" t="str">
        <f>IF(V35&lt;&gt;"SÍ","",IF(BO35=0,0,DATOS!$C$29*BO35*INDEX(TABLAS!$D$52:$D$58,MATCH(BN35,TABLAS!$B$52:$B$58,0))*DATOS!$C$14*(BP35-BO35*INDEX(TABLAS!$D$52:$D$58,MATCH(BN35,TABLAS!$B$52:$B$58,0))*DATOS!$C$14/(DATOS!$C$21*AH35)/2)/1E5))</f>
        <v/>
      </c>
      <c r="BR35" s="65" t="str">
        <f>IF(V35&lt;&gt;"SÍ","",IF(BM35&lt;0,9.99,IF(BQ35&gt;0,BG35/BQ35,0)))</f>
        <v/>
      </c>
      <c r="BS35" s="66" t="str">
        <f>IF(V35&lt;&gt;"SÍ","",IF(BO35=0,"—",0.003*(BP35-(BO35*INDEX(TABLAS!$D$52:$D$58,MATCH(BN35,TABLAS!$B$52:$B$58,0))*DATOS!$C$14/(DATOS!$C$21*AH35)/DATOS!$C$22))/(BO35*INDEX(TABLAS!$D$52:$D$58,MATCH(BN35,TABLAS!$B$52:$B$58,0))*DATOS!$C$14/(DATOS!$C$21*AH35)/DATOS!$C$22)))</f>
        <v/>
      </c>
      <c r="BT35" s="58" t="str">
        <f>IF(V35&lt;&gt;"SÍ","",((DATOS!$C$85-AM35-2*DATOS!$C$97-INDEX(TABLAS!$C$52:$C$58,MATCH(MAX(4,DATOS!$C$72),TABLAS!$B$52:$B$58,0))/2)-IF(AND((DATOS!$C$85-AM35-2*DATOS!$C$97-INDEX(TABLAS!$C$52:$C$58,MATCH(MAX(4,DATOS!$C$72),TABLAS!$B$52:$B$58,0))/2)&lt;=20,DATOS!$C$65&lt;&gt;"SÍ"),2,0)))</f>
        <v/>
      </c>
      <c r="BU35" s="58" t="str">
        <f>IF(V35&lt;&gt;"SÍ","",IF(IF(BH35&lt;=0,0,IF((1-2*BH35*1E5/(DATOS!$C$29*AF35*BT35^2*DATOS!$C$21))&lt;0,-1,IF((1-SQRT((1-2*BH35*1E5/(DATOS!$C$29*AF35*BT35^2*DATOS!$C$21))))*DATOS!$C$21*AF35*BT35/DATOS!$C$14&gt;DATOS!$C$102*AF35*BT35,-1,(1-SQRT((1-2*BH35*1E5/(DATOS!$C$29*AF35*BT35^2*DATOS!$C$21))))*DATOS!$C$21*AF35*BT35/DATOS!$C$14)))&lt;0,-1,MAX(IF(BH35&lt;=0,0,IF((1-2*BH35*1E5/(DATOS!$C$29*AF35*BT35^2*DATOS!$C$21))&lt;0,-1,IF((1-SQRT((1-2*BH35*1E5/(DATOS!$C$29*AF35*BT35^2*DATOS!$C$21))))*DATOS!$C$21*AF35*BT35/DATOS!$C$14&gt;DATOS!$C$102*AF35*BT35,-1,(1-SQRT((1-2*BH35*1E5/(DATOS!$C$29*AF35*BT35^2*DATOS!$C$21))))*DATOS!$C$21*AF35*BT35/DATOS!$C$14))),MIN(DATOS!$C$103*IF(C35="VOLADO",MIN(AH35,2*AD35),AD35)*BT35,4/3*IF(BH35&lt;=0,0,IF((1-2*BH35*1E5/(DATOS!$C$29*AF35*BT35^2*DATOS!$C$21))&lt;0,-1,IF((1-SQRT((1-2*BH35*1E5/(DATOS!$C$29*AF35*BT35^2*DATOS!$C$21))))*DATOS!$C$21*AF35*BT35/DATOS!$C$14&gt;DATOS!$C$102*AF35*BT35,-1,(1-SQRT((1-2*BH35*1E5/(DATOS!$C$29*AF35*BT35^2*DATOS!$C$21))))*DATOS!$C$21*AF35*BT35/DATOS!$C$14)))))))</f>
        <v/>
      </c>
      <c r="BV35" s="64" t="str">
        <f>IF(V35&lt;&gt;"SÍ","",IF(AND(BU35&gt;=0,IF(MAX(DATOS!$C$74,CEILING(BU35/INDEX(TABLAS!$D$52:$D$58,MIN(MATCH(MAX(4,DATOS!$C$72),TABLAS!$B$52:$B$58,0)+0,7)),1))*INDEX(TABLAS!$D$52:$D$58,MIN(MATCH(MAX(4,DATOS!$C$72),TABLAS!$B$52:$B$58,0)+0,7)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+0,7)),1)),MAX(MAX(DATOS!$C$74,CEILING(BU35/INDEX(TABLAS!$D$52:$D$58,MIN(MATCH(MAX(4,DATOS!$C$72),TABLAS!$B$52:$B$58,0)+0,7)),1)),2))&lt;=MIN(DATOS!$C$73,INT(((AD35-2*AL35)+MAX(DATOS!$C$70,INDEX(TABLAS!$C$52:$C$58,MIN(MATCH(MAX(4,DATOS!$C$72),TABLAS!$B$52:$B$58,0)+0,7))))/(INDEX(TABLAS!$C$52:$C$58,MIN(MATCH(MAX(4,DATOS!$C$72),TABLAS!$B$52:$B$58,0)+0,7))+MAX(DATOS!$C$70,INDEX(TABLAS!$C$52:$C$58,MIN(MATCH(MAX(4,DATOS!$C$72),TABLAS!$B$52:$B$58,0)+0,7))))))),INDEX(TABLAS!$B$52:$B$58,MIN(MATCH(MAX(4,DATOS!$C$72),TABLAS!$B$52:$B$58,0)+0,7)),IF(AND(BU35&gt;=0,IF(MAX(DATOS!$C$74,CEILING(BU35/INDEX(TABLAS!$D$52:$D$58,MIN(MATCH(MAX(4,DATOS!$C$72),TABLAS!$B$52:$B$58,0)+1,7)),1))*INDEX(TABLAS!$D$52:$D$58,MIN(MATCH(MAX(4,DATOS!$C$72),TABLAS!$B$52:$B$58,0)+1,7)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+1,7)),1)),MAX(MAX(DATOS!$C$74,CEILING(BU35/INDEX(TABLAS!$D$52:$D$58,MIN(MATCH(MAX(4,DATOS!$C$72),TABLAS!$B$52:$B$58,0)+1,7)),1)),2))&lt;=MIN(DATOS!$C$73,INT(((AD35-2*AL35)+MAX(DATOS!$C$70,INDEX(TABLAS!$C$52:$C$58,MIN(MATCH(MAX(4,DATOS!$C$72),TABLAS!$B$52:$B$58,0)+1,7))))/(INDEX(TABLAS!$C$52:$C$58,MIN(MATCH(MAX(4,DATOS!$C$72),TABLAS!$B$52:$B$58,0)+1,7))+MAX(DATOS!$C$70,INDEX(TABLAS!$C$52:$C$58,MIN(MATCH(MAX(4,DATOS!$C$72),TABLAS!$B$52:$B$58,0)+1,7))))))),INDEX(TABLAS!$B$52:$B$58,MIN(MATCH(MAX(4,DATOS!$C$72),TABLAS!$B$52:$B$58,0)+1,7)),IF(AND(BU35&gt;=0,IF(MAX(DATOS!$C$74,CEILING(BU35/INDEX(TABLAS!$D$52:$D$58,MIN(MATCH(MAX(4,DATOS!$C$72),TABLAS!$B$52:$B$58,0)+2,7)),1))*INDEX(TABLAS!$D$52:$D$58,MIN(MATCH(MAX(4,DATOS!$C$72),TABLAS!$B$52:$B$58,0)+2,7)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+2,7)),1)),MAX(MAX(DATOS!$C$74,CEILING(BU35/INDEX(TABLAS!$D$52:$D$58,MIN(MATCH(MAX(4,DATOS!$C$72),TABLAS!$B$52:$B$58,0)+2,7)),1)),2))&lt;=MIN(DATOS!$C$73,INT(((AD35-2*AL35)+MAX(DATOS!$C$70,INDEX(TABLAS!$C$52:$C$58,MIN(MATCH(MAX(4,DATOS!$C$72),TABLAS!$B$52:$B$58,0)+2,7))))/(INDEX(TABLAS!$C$52:$C$58,MIN(MATCH(MAX(4,DATOS!$C$72),TABLAS!$B$52:$B$58,0)+2,7))+MAX(DATOS!$C$70,INDEX(TABLAS!$C$52:$C$58,MIN(MATCH(MAX(4,DATOS!$C$72),TABLAS!$B$52:$B$58,0)+2,7))))))),INDEX(TABLAS!$B$52:$B$58,MIN(MATCH(MAX(4,DATOS!$C$72),TABLAS!$B$52:$B$58,0)+2,7)),IF(AND(BU35&gt;=0,IF(MAX(DATOS!$C$74,CEILING(BU35/INDEX(TABLAS!$D$52:$D$58,MIN(MATCH(MAX(4,DATOS!$C$72),TABLAS!$B$52:$B$58,0)+3,7)),1))*INDEX(TABLAS!$D$52:$D$58,MIN(MATCH(MAX(4,DATOS!$C$72),TABLAS!$B$52:$B$58,0)+3,7)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+3,7)),1)),MAX(MAX(DATOS!$C$74,CEILING(BU35/INDEX(TABLAS!$D$52:$D$58,MIN(MATCH(MAX(4,DATOS!$C$72),TABLAS!$B$52:$B$58,0)+3,7)),1)),2))&lt;=MIN(DATOS!$C$73,INT(((AD35-2*AL35)+MAX(DATOS!$C$70,INDEX(TABLAS!$C$52:$C$58,MIN(MATCH(MAX(4,DATOS!$C$72),TABLAS!$B$52:$B$58,0)+3,7))))/(INDEX(TABLAS!$C$52:$C$58,MIN(MATCH(MAX(4,DATOS!$C$72),TABLAS!$B$52:$B$58,0)+3,7))+MAX(DATOS!$C$70,INDEX(TABLAS!$C$52:$C$58,MIN(MATCH(MAX(4,DATOS!$C$72),TABLAS!$B$52:$B$58,0)+3,7))))))),INDEX(TABLAS!$B$52:$B$58,MIN(MATCH(MAX(4,DATOS!$C$72),TABLAS!$B$52:$B$58,0)+3,7)),IF(AND(BU35&gt;=0,IF(MAX(DATOS!$C$74,CEILING(BU35/INDEX(TABLAS!$D$52:$D$58,MIN(MATCH(MAX(4,DATOS!$C$72),TABLAS!$B$52:$B$58,0)+4,7)),1))*INDEX(TABLAS!$D$52:$D$58,MIN(MATCH(MAX(4,DATOS!$C$72),TABLAS!$B$52:$B$58,0)+4,7)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+4,7)),1)),MAX(MAX(DATOS!$C$74,CEILING(BU35/INDEX(TABLAS!$D$52:$D$58,MIN(MATCH(MAX(4,DATOS!$C$72),TABLAS!$B$52:$B$58,0)+4,7)),1)),2))&lt;=MIN(DATOS!$C$73,INT(((AD35-2*AL35)+MAX(DATOS!$C$70,INDEX(TABLAS!$C$52:$C$58,MIN(MATCH(MAX(4,DATOS!$C$72),TABLAS!$B$52:$B$58,0)+4,7))))/(INDEX(TABLAS!$C$52:$C$58,MIN(MATCH(MAX(4,DATOS!$C$72),TABLAS!$B$52:$B$58,0)+4,7))+MAX(DATOS!$C$70,INDEX(TABLAS!$C$52:$C$58,MIN(MATCH(MAX(4,DATOS!$C$72),TABLAS!$B$52:$B$58,0)+4,7))))))),INDEX(TABLAS!$B$52:$B$58,MIN(MATCH(MAX(4,DATOS!$C$72),TABLAS!$B$52:$B$58,0)+4,7)),INDEX(TABLAS!$B$52:$B$58,7)))))))</f>
        <v/>
      </c>
      <c r="BW35" s="59" t="str">
        <f>IF(V35&lt;&gt;"SÍ","",IF(BU35&lt;0,0,IF(MAX(DATOS!$C$74,CEILING(MAX(BU35,0)/INDEX(TABLAS!$D$52:$D$58,MATCH(BV35,TABLAS!$B$52:$B$58,0)),1))*INDEX(TABLAS!$D$52:$D$58,MATCH(BV35,TABLAS!$B$52:$B$58,0))&gt;=4/3*IF(BH35&lt;=0,0,IF((1-2*BH35*1E5/(DATOS!$C$29*AF35*BT35^2*DATOS!$C$21))&lt;0,-1,IF((1-SQRT((1-2*BH35*1E5/(DATOS!$C$29*AF35*BT35^2*DATOS!$C$21))))*DATOS!$C$21*AF35*BT35/DATOS!$C$14&gt;DATOS!$C$102*AF35*BT35,-1,(1-SQRT((1-2*BH35*1E5/(DATOS!$C$29*AF35*BT35^2*DATOS!$C$21))))*DATOS!$C$21*AF35*BT35/DATOS!$C$14)))-0.0001,MAX(DATOS!$C$74,CEILING(MAX(BU35,0)/INDEX(TABLAS!$D$52:$D$58,MATCH(BV35,TABLAS!$B$52:$B$58,0)),1)),MAX(MAX(DATOS!$C$74,CEILING(MAX(BU35,0)/INDEX(TABLAS!$D$52:$D$58,MATCH(BV35,TABLAS!$B$52:$B$58,0)),1)),2))))</f>
        <v/>
      </c>
      <c r="BX35" s="58" t="str">
        <f>IF(V35&lt;&gt;"SÍ","",((DATOS!$C$85-AM35-2*DATOS!$C$97-INDEX(TABLAS!$C$52:$C$58,MATCH(BV35,TABLAS!$B$52:$B$58,0))/2)-IF(AND((DATOS!$C$85-AM35-2*DATOS!$C$97-INDEX(TABLAS!$C$52:$C$58,MATCH(BV35,TABLAS!$B$52:$B$58,0))/2)&lt;=20,DATOS!$C$65&lt;&gt;"SÍ"),2,0)))</f>
        <v/>
      </c>
      <c r="BY35" s="56" t="str">
        <f>IF(V35&lt;&gt;"SÍ","",IF(BW35=0,0,DATOS!$C$29*BW35*INDEX(TABLAS!$D$52:$D$58,MATCH(BV35,TABLAS!$B$52:$B$58,0))*DATOS!$C$14*(BX35-BW35*INDEX(TABLAS!$D$52:$D$58,MATCH(BV35,TABLAS!$B$52:$B$58,0))*DATOS!$C$14/(DATOS!$C$21*AF35)/2)/1E5))</f>
        <v/>
      </c>
      <c r="BZ35" s="65" t="str">
        <f>IF(V35&lt;&gt;"SÍ","",IF(BU35&lt;0,9.99,IF(BY35&gt;0,BH35/BY35,0)))</f>
        <v/>
      </c>
      <c r="CA35" s="66" t="str">
        <f>IF(V35&lt;&gt;"SÍ","",IF(BW35=0,"—",0.003*(BX35-(BW35*INDEX(TABLAS!$D$52:$D$58,MATCH(BV35,TABLAS!$B$52:$B$58,0))*DATOS!$C$14/(DATOS!$C$21*AF35)/DATOS!$C$22))/(BW35*INDEX(TABLAS!$D$52:$D$58,MATCH(BV35,TABLAS!$B$52:$B$58,0))*DATOS!$C$14/(DATOS!$C$21*AF35)/DATOS!$C$22)))</f>
        <v/>
      </c>
      <c r="CB35" s="58" t="str">
        <f>IF(V35&lt;&gt;"SÍ","",(DATOS!$C$85-AK35-INDEX(TABLAS!$C$52:$C$58,MATCH(MAX(4,DATOS!$C$71),TABLAS!$B$52:$B$58,0))-INDEX(TABLAS!$C$52:$C$58,MATCH(MAX(4,DATOS!$C$71),TABLAS!$B$52:$B$58,0))/2))</f>
        <v/>
      </c>
      <c r="CC35" s="58" t="str">
        <f>IF(V35&lt;&gt;"SÍ","",IF(IF(BI35&lt;=0,0,IF((1-2*BI35*1E5/(DATOS!$C$29*AI35*CB35^2*DATOS!$C$21))&lt;0,-1,IF((1-SQRT((1-2*BI35*1E5/(DATOS!$C$29*AI35*CB35^2*DATOS!$C$21))))*DATOS!$C$21*AI35*CB35/DATOS!$C$14&gt;DATOS!$C$102*AI35*CB35,-1,(1-SQRT((1-2*BI35*1E5/(DATOS!$C$29*AI35*CB35^2*DATOS!$C$21))))*DATOS!$C$21*AI35*CB35/DATOS!$C$14)))&lt;0,-1,MAX(IF(BI35&lt;=0,0,IF((1-2*BI35*1E5/(DATOS!$C$29*AI35*CB35^2*DATOS!$C$21))&lt;0,-1,IF((1-SQRT((1-2*BI35*1E5/(DATOS!$C$29*AI35*CB35^2*DATOS!$C$21))))*DATOS!$C$21*AI35*CB35/DATOS!$C$14&gt;DATOS!$C$102*AI35*CB35,-1,(1-SQRT((1-2*BI35*1E5/(DATOS!$C$29*AI35*CB35^2*DATOS!$C$21))))*DATOS!$C$21*AI35*CB35/DATOS!$C$14))),MIN(DATOS!$C$103*DATOS!$C$83*CB35,4/3*IF(BI35&lt;=0,0,IF((1-2*BI35*1E5/(DATOS!$C$29*AI35*CB35^2*DATOS!$C$21))&lt;0,-1,IF((1-SQRT((1-2*BI35*1E5/(DATOS!$C$29*AI35*CB35^2*DATOS!$C$21))))*DATOS!$C$21*AI35*CB35/DATOS!$C$14&gt;DATOS!$C$102*AI35*CB35,-1,(1-SQRT((1-2*BI35*1E5/(DATOS!$C$29*AI35*CB35^2*DATOS!$C$21))))*DATOS!$C$21*AI35*CB35/DATOS!$C$14)))))))</f>
        <v/>
      </c>
      <c r="CD35" s="64" t="str">
        <f>IF(V35&lt;&gt;"SÍ","",IF(AND(CC35&gt;=0,IF(MAX(DATOS!$C$74,CEILING(CC35/INDEX(TABLAS!$D$52:$D$58,MIN(MATCH(MAX(4,DATOS!$C$71),TABLAS!$B$52:$B$58,0)+0,7)),1))*INDEX(TABLAS!$D$52:$D$58,MIN(MATCH(MAX(4,DATOS!$C$71),TABLAS!$B$52:$B$58,0)+0,7)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+0,7)),1)),MAX(MAX(DATOS!$C$74,CEILING(CC35/INDEX(TABLAS!$D$52:$D$58,MIN(MATCH(MAX(4,DATOS!$C$71),TABLAS!$B$52:$B$58,0)+0,7)),1)),2))&lt;=MIN(DATOS!$C$73,INT(((DATOS!$C$83-2*AK35)+MAX(DATOS!$C$70,INDEX(TABLAS!$C$52:$C$58,MIN(MATCH(MAX(4,DATOS!$C$71),TABLAS!$B$52:$B$58,0)+0,7))))/(INDEX(TABLAS!$C$52:$C$58,MIN(MATCH(MAX(4,DATOS!$C$71),TABLAS!$B$52:$B$58,0)+0,7))+MAX(DATOS!$C$70,INDEX(TABLAS!$C$52:$C$58,MIN(MATCH(MAX(4,DATOS!$C$71),TABLAS!$B$52:$B$58,0)+0,7))))))),INDEX(TABLAS!$B$52:$B$58,MIN(MATCH(MAX(4,DATOS!$C$71),TABLAS!$B$52:$B$58,0)+0,7)),IF(AND(CC35&gt;=0,IF(MAX(DATOS!$C$74,CEILING(CC35/INDEX(TABLAS!$D$52:$D$58,MIN(MATCH(MAX(4,DATOS!$C$71),TABLAS!$B$52:$B$58,0)+1,7)),1))*INDEX(TABLAS!$D$52:$D$58,MIN(MATCH(MAX(4,DATOS!$C$71),TABLAS!$B$52:$B$58,0)+1,7)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+1,7)),1)),MAX(MAX(DATOS!$C$74,CEILING(CC35/INDEX(TABLAS!$D$52:$D$58,MIN(MATCH(MAX(4,DATOS!$C$71),TABLAS!$B$52:$B$58,0)+1,7)),1)),2))&lt;=MIN(DATOS!$C$73,INT(((DATOS!$C$83-2*AK35)+MAX(DATOS!$C$70,INDEX(TABLAS!$C$52:$C$58,MIN(MATCH(MAX(4,DATOS!$C$71),TABLAS!$B$52:$B$58,0)+1,7))))/(INDEX(TABLAS!$C$52:$C$58,MIN(MATCH(MAX(4,DATOS!$C$71),TABLAS!$B$52:$B$58,0)+1,7))+MAX(DATOS!$C$70,INDEX(TABLAS!$C$52:$C$58,MIN(MATCH(MAX(4,DATOS!$C$71),TABLAS!$B$52:$B$58,0)+1,7))))))),INDEX(TABLAS!$B$52:$B$58,MIN(MATCH(MAX(4,DATOS!$C$71),TABLAS!$B$52:$B$58,0)+1,7)),IF(AND(CC35&gt;=0,IF(MAX(DATOS!$C$74,CEILING(CC35/INDEX(TABLAS!$D$52:$D$58,MIN(MATCH(MAX(4,DATOS!$C$71),TABLAS!$B$52:$B$58,0)+2,7)),1))*INDEX(TABLAS!$D$52:$D$58,MIN(MATCH(MAX(4,DATOS!$C$71),TABLAS!$B$52:$B$58,0)+2,7)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+2,7)),1)),MAX(MAX(DATOS!$C$74,CEILING(CC35/INDEX(TABLAS!$D$52:$D$58,MIN(MATCH(MAX(4,DATOS!$C$71),TABLAS!$B$52:$B$58,0)+2,7)),1)),2))&lt;=MIN(DATOS!$C$73,INT(((DATOS!$C$83-2*AK35)+MAX(DATOS!$C$70,INDEX(TABLAS!$C$52:$C$58,MIN(MATCH(MAX(4,DATOS!$C$71),TABLAS!$B$52:$B$58,0)+2,7))))/(INDEX(TABLAS!$C$52:$C$58,MIN(MATCH(MAX(4,DATOS!$C$71),TABLAS!$B$52:$B$58,0)+2,7))+MAX(DATOS!$C$70,INDEX(TABLAS!$C$52:$C$58,MIN(MATCH(MAX(4,DATOS!$C$71),TABLAS!$B$52:$B$58,0)+2,7))))))),INDEX(TABLAS!$B$52:$B$58,MIN(MATCH(MAX(4,DATOS!$C$71),TABLAS!$B$52:$B$58,0)+2,7)),IF(AND(CC35&gt;=0,IF(MAX(DATOS!$C$74,CEILING(CC35/INDEX(TABLAS!$D$52:$D$58,MIN(MATCH(MAX(4,DATOS!$C$71),TABLAS!$B$52:$B$58,0)+3,7)),1))*INDEX(TABLAS!$D$52:$D$58,MIN(MATCH(MAX(4,DATOS!$C$71),TABLAS!$B$52:$B$58,0)+3,7)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+3,7)),1)),MAX(MAX(DATOS!$C$74,CEILING(CC35/INDEX(TABLAS!$D$52:$D$58,MIN(MATCH(MAX(4,DATOS!$C$71),TABLAS!$B$52:$B$58,0)+3,7)),1)),2))&lt;=MIN(DATOS!$C$73,INT(((DATOS!$C$83-2*AK35)+MAX(DATOS!$C$70,INDEX(TABLAS!$C$52:$C$58,MIN(MATCH(MAX(4,DATOS!$C$71),TABLAS!$B$52:$B$58,0)+3,7))))/(INDEX(TABLAS!$C$52:$C$58,MIN(MATCH(MAX(4,DATOS!$C$71),TABLAS!$B$52:$B$58,0)+3,7))+MAX(DATOS!$C$70,INDEX(TABLAS!$C$52:$C$58,MIN(MATCH(MAX(4,DATOS!$C$71),TABLAS!$B$52:$B$58,0)+3,7))))))),INDEX(TABLAS!$B$52:$B$58,MIN(MATCH(MAX(4,DATOS!$C$71),TABLAS!$B$52:$B$58,0)+3,7)),IF(AND(CC35&gt;=0,IF(MAX(DATOS!$C$74,CEILING(CC35/INDEX(TABLAS!$D$52:$D$58,MIN(MATCH(MAX(4,DATOS!$C$71),TABLAS!$B$52:$B$58,0)+4,7)),1))*INDEX(TABLAS!$D$52:$D$58,MIN(MATCH(MAX(4,DATOS!$C$71),TABLAS!$B$52:$B$58,0)+4,7)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+4,7)),1)),MAX(MAX(DATOS!$C$74,CEILING(CC35/INDEX(TABLAS!$D$52:$D$58,MIN(MATCH(MAX(4,DATOS!$C$71),TABLAS!$B$52:$B$58,0)+4,7)),1)),2))&lt;=MIN(DATOS!$C$73,INT(((DATOS!$C$83-2*AK35)+MAX(DATOS!$C$70,INDEX(TABLAS!$C$52:$C$58,MIN(MATCH(MAX(4,DATOS!$C$71),TABLAS!$B$52:$B$58,0)+4,7))))/(INDEX(TABLAS!$C$52:$C$58,MIN(MATCH(MAX(4,DATOS!$C$71),TABLAS!$B$52:$B$58,0)+4,7))+MAX(DATOS!$C$70,INDEX(TABLAS!$C$52:$C$58,MIN(MATCH(MAX(4,DATOS!$C$71),TABLAS!$B$52:$B$58,0)+4,7))))))),INDEX(TABLAS!$B$52:$B$58,MIN(MATCH(MAX(4,DATOS!$C$71),TABLAS!$B$52:$B$58,0)+4,7)),INDEX(TABLAS!$B$52:$B$58,7)))))))</f>
        <v/>
      </c>
      <c r="CE35" s="59" t="str">
        <f>IF(V35&lt;&gt;"SÍ","",IF(CC35&lt;0,0,IF(MAX(DATOS!$C$74,CEILING(MAX(CC35,0)/INDEX(TABLAS!$D$52:$D$58,MATCH(CD35,TABLAS!$B$52:$B$58,0)),1))*INDEX(TABLAS!$D$52:$D$58,MATCH(CD35,TABLAS!$B$52:$B$58,0))&gt;=4/3*IF(BI35&lt;=0,0,IF((1-2*BI35*1E5/(DATOS!$C$29*AI35*CB35^2*DATOS!$C$21))&lt;0,-1,IF((1-SQRT((1-2*BI35*1E5/(DATOS!$C$29*AI35*CB35^2*DATOS!$C$21))))*DATOS!$C$21*AI35*CB35/DATOS!$C$14&gt;DATOS!$C$102*AI35*CB35,-1,(1-SQRT((1-2*BI35*1E5/(DATOS!$C$29*AI35*CB35^2*DATOS!$C$21))))*DATOS!$C$21*AI35*CB35/DATOS!$C$14)))-0.0001,MAX(DATOS!$C$74,CEILING(MAX(CC35,0)/INDEX(TABLAS!$D$52:$D$58,MATCH(CD35,TABLAS!$B$52:$B$58,0)),1)),MAX(MAX(DATOS!$C$74,CEILING(MAX(CC35,0)/INDEX(TABLAS!$D$52:$D$58,MATCH(CD35,TABLAS!$B$52:$B$58,0)),1)),2))))</f>
        <v/>
      </c>
      <c r="CF35" s="58" t="str">
        <f>IF(V35&lt;&gt;"SÍ","",DATOS!$C$85-AK35-INDEX(TABLAS!$C$52:$C$58,MATCH(BN35,TABLAS!$B$52:$B$58,0))-INDEX(TABLAS!$C$52:$C$58,MATCH(CD35,TABLAS!$B$52:$B$58,0))/2)</f>
        <v/>
      </c>
      <c r="CG35" s="56" t="str">
        <f>IF(V35&lt;&gt;"SÍ","",IF(CE35=0,0,DATOS!$C$29*CE35*INDEX(TABLAS!$D$52:$D$58,MATCH(CD35,TABLAS!$B$52:$B$58,0))*DATOS!$C$14*(CF35-CE35*INDEX(TABLAS!$D$52:$D$58,MATCH(CD35,TABLAS!$B$52:$B$58,0))*DATOS!$C$14/(DATOS!$C$21*AI35)/2)/1E5))</f>
        <v/>
      </c>
      <c r="CH35" s="65" t="str">
        <f>IF(V35&lt;&gt;"SÍ","",IF(CC35&lt;0,9.99,IF(CG35&gt;0,BI35/CG35,0)))</f>
        <v/>
      </c>
      <c r="CI35" s="66" t="str">
        <f>IF(V35&lt;&gt;"SÍ","",IF(CE35=0,"—",0.003*(CF35-(CE35*INDEX(TABLAS!$D$52:$D$58,MATCH(CD35,TABLAS!$B$52:$B$58,0))*DATOS!$C$14/(DATOS!$C$21*AI35)/DATOS!$C$22))/(CE35*INDEX(TABLAS!$D$52:$D$58,MATCH(CD35,TABLAS!$B$52:$B$58,0))*DATOS!$C$14/(DATOS!$C$21*AI35)/DATOS!$C$22)))</f>
        <v/>
      </c>
      <c r="CJ35" s="58" t="str">
        <f>IF(V35&lt;&gt;"SÍ","",((DATOS!$C$85-AM35-2*DATOS!$C$97-INDEX(TABLAS!$C$52:$C$58,MATCH(MAX(4,DATOS!$C$72),TABLAS!$B$52:$B$58,0))-INDEX(TABLAS!$C$52:$C$58,MATCH(MAX(4,DATOS!$C$72),TABLAS!$B$52:$B$58,0))/2)-IF(AND((DATOS!$C$85-AM35-2*DATOS!$C$97-INDEX(TABLAS!$C$52:$C$58,MATCH(MAX(4,DATOS!$C$72),TABLAS!$B$52:$B$58,0))-INDEX(TABLAS!$C$52:$C$58,MATCH(MAX(4,DATOS!$C$72),TABLAS!$B$52:$B$58,0))/2)&lt;=20,DATOS!$C$65&lt;&gt;"SÍ"),2,0)))</f>
        <v/>
      </c>
      <c r="CK35" s="58" t="str">
        <f>IF(V35&lt;&gt;"SÍ","",IF(IF(BJ35&lt;=0,0,IF((1-2*BJ35*1E5/(DATOS!$C$29*AG35*CJ35^2*DATOS!$C$21))&lt;0,-1,IF((1-SQRT((1-2*BJ35*1E5/(DATOS!$C$29*AG35*CJ35^2*DATOS!$C$21))))*DATOS!$C$21*AG35*CJ35/DATOS!$C$14&gt;DATOS!$C$102*AG35*CJ35,-1,(1-SQRT((1-2*BJ35*1E5/(DATOS!$C$29*AG35*CJ35^2*DATOS!$C$21))))*DATOS!$C$21*AG35*CJ35/DATOS!$C$14)))&lt;0,-1,MAX(IF(BJ35&lt;=0,0,IF((1-2*BJ35*1E5/(DATOS!$C$29*AG35*CJ35^2*DATOS!$C$21))&lt;0,-1,IF((1-SQRT((1-2*BJ35*1E5/(DATOS!$C$29*AG35*CJ35^2*DATOS!$C$21))))*DATOS!$C$21*AG35*CJ35/DATOS!$C$14&gt;DATOS!$C$102*AG35*CJ35,-1,(1-SQRT((1-2*BJ35*1E5/(DATOS!$C$29*AG35*CJ35^2*DATOS!$C$21))))*DATOS!$C$21*AG35*CJ35/DATOS!$C$14))),MIN(DATOS!$C$103*DATOS!$C$83*CJ35,4/3*IF(BJ35&lt;=0,0,IF((1-2*BJ35*1E5/(DATOS!$C$29*AG35*CJ35^2*DATOS!$C$21))&lt;0,-1,IF((1-SQRT((1-2*BJ35*1E5/(DATOS!$C$29*AG35*CJ35^2*DATOS!$C$21))))*DATOS!$C$21*AG35*CJ35/DATOS!$C$14&gt;DATOS!$C$102*AG35*CJ35,-1,(1-SQRT((1-2*BJ35*1E5/(DATOS!$C$29*AG35*CJ35^2*DATOS!$C$21))))*DATOS!$C$21*AG35*CJ35/DATOS!$C$14)))))))</f>
        <v/>
      </c>
      <c r="CL35" s="64" t="str">
        <f>IF(V35&lt;&gt;"SÍ","",IF(AND(CK35&gt;=0,IF(MAX(DATOS!$C$74,CEILING(CK35/INDEX(TABLAS!$D$52:$D$58,MIN(MATCH(MAX(4,DATOS!$C$72),TABLAS!$B$52:$B$58,0)+0,7)),1))*INDEX(TABLAS!$D$52:$D$58,MIN(MATCH(MAX(4,DATOS!$C$72),TABLAS!$B$52:$B$58,0)+0,7)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+0,7)),1)),MAX(MAX(DATOS!$C$74,CEILING(CK35/INDEX(TABLAS!$D$52:$D$58,MIN(MATCH(MAX(4,DATOS!$C$72),TABLAS!$B$52:$B$58,0)+0,7)),1)),2))&lt;=MIN(DATOS!$C$73,INT(((DATOS!$C$83-2*AL35)+MAX(DATOS!$C$70,INDEX(TABLAS!$C$52:$C$58,MIN(MATCH(MAX(4,DATOS!$C$72),TABLAS!$B$52:$B$58,0)+0,7))))/(INDEX(TABLAS!$C$52:$C$58,MIN(MATCH(MAX(4,DATOS!$C$72),TABLAS!$B$52:$B$58,0)+0,7))+MAX(DATOS!$C$70,INDEX(TABLAS!$C$52:$C$58,MIN(MATCH(MAX(4,DATOS!$C$72),TABLAS!$B$52:$B$58,0)+0,7))))))),INDEX(TABLAS!$B$52:$B$58,MIN(MATCH(MAX(4,DATOS!$C$72),TABLAS!$B$52:$B$58,0)+0,7)),IF(AND(CK35&gt;=0,IF(MAX(DATOS!$C$74,CEILING(CK35/INDEX(TABLAS!$D$52:$D$58,MIN(MATCH(MAX(4,DATOS!$C$72),TABLAS!$B$52:$B$58,0)+1,7)),1))*INDEX(TABLAS!$D$52:$D$58,MIN(MATCH(MAX(4,DATOS!$C$72),TABLAS!$B$52:$B$58,0)+1,7)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+1,7)),1)),MAX(MAX(DATOS!$C$74,CEILING(CK35/INDEX(TABLAS!$D$52:$D$58,MIN(MATCH(MAX(4,DATOS!$C$72),TABLAS!$B$52:$B$58,0)+1,7)),1)),2))&lt;=MIN(DATOS!$C$73,INT(((DATOS!$C$83-2*AL35)+MAX(DATOS!$C$70,INDEX(TABLAS!$C$52:$C$58,MIN(MATCH(MAX(4,DATOS!$C$72),TABLAS!$B$52:$B$58,0)+1,7))))/(INDEX(TABLAS!$C$52:$C$58,MIN(MATCH(MAX(4,DATOS!$C$72),TABLAS!$B$52:$B$58,0)+1,7))+MAX(DATOS!$C$70,INDEX(TABLAS!$C$52:$C$58,MIN(MATCH(MAX(4,DATOS!$C$72),TABLAS!$B$52:$B$58,0)+1,7))))))),INDEX(TABLAS!$B$52:$B$58,MIN(MATCH(MAX(4,DATOS!$C$72),TABLAS!$B$52:$B$58,0)+1,7)),IF(AND(CK35&gt;=0,IF(MAX(DATOS!$C$74,CEILING(CK35/INDEX(TABLAS!$D$52:$D$58,MIN(MATCH(MAX(4,DATOS!$C$72),TABLAS!$B$52:$B$58,0)+2,7)),1))*INDEX(TABLAS!$D$52:$D$58,MIN(MATCH(MAX(4,DATOS!$C$72),TABLAS!$B$52:$B$58,0)+2,7)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+2,7)),1)),MAX(MAX(DATOS!$C$74,CEILING(CK35/INDEX(TABLAS!$D$52:$D$58,MIN(MATCH(MAX(4,DATOS!$C$72),TABLAS!$B$52:$B$58,0)+2,7)),1)),2))&lt;=MIN(DATOS!$C$73,INT(((DATOS!$C$83-2*AL35)+MAX(DATOS!$C$70,INDEX(TABLAS!$C$52:$C$58,MIN(MATCH(MAX(4,DATOS!$C$72),TABLAS!$B$52:$B$58,0)+2,7))))/(INDEX(TABLAS!$C$52:$C$58,MIN(MATCH(MAX(4,DATOS!$C$72),TABLAS!$B$52:$B$58,0)+2,7))+MAX(DATOS!$C$70,INDEX(TABLAS!$C$52:$C$58,MIN(MATCH(MAX(4,DATOS!$C$72),TABLAS!$B$52:$B$58,0)+2,7))))))),INDEX(TABLAS!$B$52:$B$58,MIN(MATCH(MAX(4,DATOS!$C$72),TABLAS!$B$52:$B$58,0)+2,7)),IF(AND(CK35&gt;=0,IF(MAX(DATOS!$C$74,CEILING(CK35/INDEX(TABLAS!$D$52:$D$58,MIN(MATCH(MAX(4,DATOS!$C$72),TABLAS!$B$52:$B$58,0)+3,7)),1))*INDEX(TABLAS!$D$52:$D$58,MIN(MATCH(MAX(4,DATOS!$C$72),TABLAS!$B$52:$B$58,0)+3,7)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+3,7)),1)),MAX(MAX(DATOS!$C$74,CEILING(CK35/INDEX(TABLAS!$D$52:$D$58,MIN(MATCH(MAX(4,DATOS!$C$72),TABLAS!$B$52:$B$58,0)+3,7)),1)),2))&lt;=MIN(DATOS!$C$73,INT(((DATOS!$C$83-2*AL35)+MAX(DATOS!$C$70,INDEX(TABLAS!$C$52:$C$58,MIN(MATCH(MAX(4,DATOS!$C$72),TABLAS!$B$52:$B$58,0)+3,7))))/(INDEX(TABLAS!$C$52:$C$58,MIN(MATCH(MAX(4,DATOS!$C$72),TABLAS!$B$52:$B$58,0)+3,7))+MAX(DATOS!$C$70,INDEX(TABLAS!$C$52:$C$58,MIN(MATCH(MAX(4,DATOS!$C$72),TABLAS!$B$52:$B$58,0)+3,7))))))),INDEX(TABLAS!$B$52:$B$58,MIN(MATCH(MAX(4,DATOS!$C$72),TABLAS!$B$52:$B$58,0)+3,7)),IF(AND(CK35&gt;=0,IF(MAX(DATOS!$C$74,CEILING(CK35/INDEX(TABLAS!$D$52:$D$58,MIN(MATCH(MAX(4,DATOS!$C$72),TABLAS!$B$52:$B$58,0)+4,7)),1))*INDEX(TABLAS!$D$52:$D$58,MIN(MATCH(MAX(4,DATOS!$C$72),TABLAS!$B$52:$B$58,0)+4,7)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+4,7)),1)),MAX(MAX(DATOS!$C$74,CEILING(CK35/INDEX(TABLAS!$D$52:$D$58,MIN(MATCH(MAX(4,DATOS!$C$72),TABLAS!$B$52:$B$58,0)+4,7)),1)),2))&lt;=MIN(DATOS!$C$73,INT(((DATOS!$C$83-2*AL35)+MAX(DATOS!$C$70,INDEX(TABLAS!$C$52:$C$58,MIN(MATCH(MAX(4,DATOS!$C$72),TABLAS!$B$52:$B$58,0)+4,7))))/(INDEX(TABLAS!$C$52:$C$58,MIN(MATCH(MAX(4,DATOS!$C$72),TABLAS!$B$52:$B$58,0)+4,7))+MAX(DATOS!$C$70,INDEX(TABLAS!$C$52:$C$58,MIN(MATCH(MAX(4,DATOS!$C$72),TABLAS!$B$52:$B$58,0)+4,7))))))),INDEX(TABLAS!$B$52:$B$58,MIN(MATCH(MAX(4,DATOS!$C$72),TABLAS!$B$52:$B$58,0)+4,7)),INDEX(TABLAS!$B$52:$B$58,7)))))))</f>
        <v/>
      </c>
      <c r="CM35" s="59" t="str">
        <f>IF(V35&lt;&gt;"SÍ","",IF(CK35&lt;0,0,IF(MAX(DATOS!$C$74,CEILING(MAX(CK35,0)/INDEX(TABLAS!$D$52:$D$58,MATCH(CL35,TABLAS!$B$52:$B$58,0)),1))*INDEX(TABLAS!$D$52:$D$58,MATCH(CL35,TABLAS!$B$52:$B$58,0))&gt;=4/3*IF(BJ35&lt;=0,0,IF((1-2*BJ35*1E5/(DATOS!$C$29*AG35*CJ35^2*DATOS!$C$21))&lt;0,-1,IF((1-SQRT((1-2*BJ35*1E5/(DATOS!$C$29*AG35*CJ35^2*DATOS!$C$21))))*DATOS!$C$21*AG35*CJ35/DATOS!$C$14&gt;DATOS!$C$102*AG35*CJ35,-1,(1-SQRT((1-2*BJ35*1E5/(DATOS!$C$29*AG35*CJ35^2*DATOS!$C$21))))*DATOS!$C$21*AG35*CJ35/DATOS!$C$14)))-0.0001,MAX(DATOS!$C$74,CEILING(MAX(CK35,0)/INDEX(TABLAS!$D$52:$D$58,MATCH(CL35,TABLAS!$B$52:$B$58,0)),1)),MAX(MAX(DATOS!$C$74,CEILING(MAX(CK35,0)/INDEX(TABLAS!$D$52:$D$58,MATCH(CL35,TABLAS!$B$52:$B$58,0)),1)),2))))</f>
        <v/>
      </c>
      <c r="CN35" s="58" t="str">
        <f>IF(V35&lt;&gt;"SÍ","",((DATOS!$C$85-AM35-2*DATOS!$C$97-INDEX(TABLAS!$C$52:$C$58,MATCH(BV35,TABLAS!$B$52:$B$58,0))-INDEX(TABLAS!$C$52:$C$58,MATCH(CL35,TABLAS!$B$52:$B$58,0))/2)-IF(AND((DATOS!$C$85-AM35-2*DATOS!$C$97-INDEX(TABLAS!$C$52:$C$58,MATCH(BV35,TABLAS!$B$52:$B$58,0))-INDEX(TABLAS!$C$52:$C$58,MATCH(CL35,TABLAS!$B$52:$B$58,0))/2)&lt;=20,DATOS!$C$65&lt;&gt;"SÍ"),2,0)))</f>
        <v/>
      </c>
      <c r="CO35" s="56" t="str">
        <f>IF(V35&lt;&gt;"SÍ","",IF(CM35=0,0,DATOS!$C$29*CM35*INDEX(TABLAS!$D$52:$D$58,MATCH(CL35,TABLAS!$B$52:$B$58,0))*DATOS!$C$14*(CN35-CM35*INDEX(TABLAS!$D$52:$D$58,MATCH(CL35,TABLAS!$B$52:$B$58,0))*DATOS!$C$14/(DATOS!$C$21*AG35)/2)/1E5))</f>
        <v/>
      </c>
      <c r="CP35" s="65" t="str">
        <f>IF(V35&lt;&gt;"SÍ","",IF(CK35&lt;0,9.99,IF(CO35&gt;0,BJ35/CO35,0)))</f>
        <v/>
      </c>
      <c r="CQ35" s="66" t="str">
        <f>IF(V35&lt;&gt;"SÍ","",IF(CM35=0,"—",0.003*(CN35-(CM35*INDEX(TABLAS!$D$52:$D$58,MATCH(CL35,TABLAS!$B$52:$B$58,0))*DATOS!$C$14/(DATOS!$C$21*AG35)/DATOS!$C$22))/(CM35*INDEX(TABLAS!$D$52:$D$58,MATCH(CL35,TABLAS!$B$52:$B$58,0))*DATOS!$C$14/(DATOS!$C$21*AG35)/DATOS!$C$22)))</f>
        <v/>
      </c>
      <c r="CR35" s="56" t="str">
        <f>IF(V35&lt;&gt;"SÍ","",IF(C35="PERIMETRAL",MAX(0,(AB35/2-BX35)/100)*(0.95-0.5*AA35)*AR35*IF(AND(AS35&gt;0,AS35&lt;4),DATOS!$C$33,1)*DATOS!$C$86/100/1000,(AR35*MAX(0,AB35-BX35)/100+DATOS!$C$26*N(O35))*DATOS!$C$86/100/1000+BF35))</f>
        <v/>
      </c>
      <c r="CS35" s="56" t="str">
        <f>IF(V35&lt;&gt;"SÍ","",DATOS!$C$30*2*MIN(1,SQRT(2/(1+0.04*BX35)))*(BW35*INDEX(TABLAS!$D$52:$D$58,MATCH(BV35,TABLAS!$B$52:$B$58,0))/(AF35*BX35))^(1/3)*SQRT(DATOS!$C$13)*AF35*BX35*IF(AJ35="SÍ",DATOS!$C$32,1)/1000)</f>
        <v/>
      </c>
      <c r="CT35" s="59" t="str">
        <f>IF(V35&lt;&gt;"SÍ","",IF(CR35&lt;=CS35,0,CEILING(MAX(0,IF(C35="VOLADO",(AB35-((CS35-BF35)*1E5/DATOS!$C$86-DATOS!$C$26*N(O35))*100/AR35),IF(CS35&lt;=0,AB35,AB35/2-CS35/MAX(CR35,1E-9)*(AB35/2-BX35)))-IF(X35="X",MIN(DJ35,DK35),MIN(DL35,DM35)))/DATOS!$C$86,1)))</f>
        <v/>
      </c>
      <c r="CU35" s="67" t="str">
        <f>IF(V35&lt;&gt;"SÍ","",IF(CR35&lt;=CS35,"CUMPLE",IF(CT35&lt;=0,"CUMPLE (basta el macizo de orilla)",IF(CT35*DATOS!$C$86*IF(C35="VOLADO",1,2)&gt;=Y35*100-DATOS!$C$87,"NO CUMPLE: no alcanza ni macizando todo","MACIZAR "&amp;CT35&amp;" hilera(s)"))))</f>
        <v/>
      </c>
      <c r="CV35" s="58" t="str">
        <f>IF(V35&lt;&gt;"SÍ","",(DATOS!$C$86*DATOS!$C$84^2/2+MIN(DATOS!$C$83,AD35)*DATOS!$C$82*(DATOS!$C$84+DATOS!$C$82/2))/(DATOS!$C$86*DATOS!$C$84+MIN(DATOS!$C$83,AD35)*DATOS!$C$82))</f>
        <v/>
      </c>
      <c r="CW35" s="68" t="str">
        <f>IF(V35&lt;&gt;"SÍ","",DATOS!$C$86*DATOS!$C$84^3/12+DATOS!$C$86*DATOS!$C$84*(CV35-DATOS!$C$84/2)^2+MIN(DATOS!$C$83,AD35)*DATOS!$C$82^3/12+MIN(DATOS!$C$83,AD35)*DATOS!$C$82*(DATOS!$C$84+DATOS!$C$82/2-CV35)^2)</f>
        <v/>
      </c>
      <c r="CX35" s="58" t="str">
        <f>IF(V35&lt;&gt;"SÍ","",(12*CW35/DATOS!$C$86)^(1/3))</f>
        <v/>
      </c>
      <c r="CY35" s="58" t="str">
        <f>IF(V35&lt;&gt;"SÍ","",IF(C35="PERIMETRAL",IF(ISNUMBER(S35),S35,DATOS!$C$104),0))</f>
        <v/>
      </c>
      <c r="CZ35" s="57" t="str">
        <f>IF(V35&lt;&gt;"SÍ","",IF(C35="PERIMETRAL",IF(CY35&gt;2,MAX(9,AC35*(0.8+DATOS!$C$14/14000)/(36+9*(AC35/MAX(AB35,1)))),IF(CY35&gt;0.2,MAX(13,AC35*(0.8+DATOS!$C$14/14000)/(36+5*(AC35/MAX(AB35,1))*(CY35-0.2))),MAX(13,AC35/IF(AS35&gt;0,30,33))))*IF(AND(CY35&gt;0.2,AS35&gt;0,DATOS!$C$105="NO"),1.1,1),MAX(25,Y35*100/8*(0.4+DATOS!$C$14/7000))))</f>
        <v/>
      </c>
      <c r="DA35" s="61" t="str">
        <f>IF(V35&lt;&gt;"SÍ","",IF(IF(C35="VOLADO",DATOS!$C$85,CX35)&gt;=CZ35,"CUMPLE",IF(C35="VOLADO","NO CUMPLE","CALCULAR FLECHA")))</f>
        <v/>
      </c>
      <c r="DB35" s="55" t="str">
        <f>IF(V35&lt;&gt;"SÍ","",IF(DATOS!$C$84&gt;=IF(IF(C35="VOLADO",Y35,Z35)&gt;=6,6,5),"CUMPLE","CAPA ≥ 6 cm"))</f>
        <v/>
      </c>
      <c r="DC35" s="60" t="str">
        <f>IF(V35&lt;&gt;"SÍ","",IF(C35="VOLADO",MIN(FLOOR(IF(ISNUMBER(P35),P35,Y35)*100-DATOS!$C$63,5),CEILING(MAX(IF((0.5*(0.9*DATOS!$C$90*DATOS!$C$86/100/1000)*IF(ISNUMBER(P35),P35,Y35)+BH35/IF(ISNUMBER(P35),P35,Y35))^2-4*(0.5*(0.9*DATOS!$C$90*DATOS!$C$86/100/1000))*BH35&lt;0,IF(ISNUMBER(P35),P35,Y35),MIN(IF(ISNUMBER(P35),P35,Y35),((0.5*(0.9*DATOS!$C$90*DATOS!$C$86/100/1000)*IF(ISNUMBER(P35),P35,Y35)+BH35/IF(ISNUMBER(P35),P35,Y35))-SQRT((0.5*(0.9*DATOS!$C$90*DATOS!$C$86/100/1000)*IF(ISNUMBER(P35),P35,Y35)+BH35/IF(ISNUMBER(P35),P35,Y35))^2-4*(0.5*(0.9*DATOS!$C$90*DATOS!$C$86/100/1000))*BH35))/(2*(0.5*(0.9*DATOS!$C$90*DATOS!$C$86/100/1000)))))*100+MAX(BX35,12*INDEX(TABLAS!$C$52:$C$58,MATCH(BV35,TABLAS!$B$52:$B$58,0)),IF(ISNUMBER(P35),P35,Y35)*100/16),IF(OR(AL35&lt;INDEX(TABLAS!$C$52:$C$58,MATCH(BV35,TABLAS!$B$52:$B$58,0)),AND(BW35&gt;=2,(AD35-2*AL35-BW35*INDEX(TABLAS!$C$52:$C$58,MATCH(BV35,TABLAS!$B$52:$B$58,0)))/MAX(BW35-1,1)&lt;2*INDEX(TABLAS!$C$52:$C$58,MATCH(BV35,TABLAS!$B$52:$B$58,0)))),INDEX(TABLAS!$I$52:$I$58,MATCH(BV35,TABLAS!$B$52:$B$58,0)),INDEX(TABLAS!$F$52:$F$58,MATCH(BV35,TABLAS!$B$52:$B$58,0)))),5)),IF(((4*((BC35*AR35*Y35^2*1E-4*DATOS!$C$86/100/1000)+((MAX(AY35,BA35)*AR35*Y35^2*1E-4*DATOS!$C$86/100/1000)+(IF(AND(AY35&gt;0,BA35&gt;0),MIN(AY35,BA35),MAX(AY35,BA35))*AR35*Y35^2*1E-4*DATOS!$C$86/100/1000))/2)+BH35-(IF(AND(AY35&gt;0,BA35&gt;0),MIN(AY35,BA35),MAX(AY35,BA35))*AR35*Y35^2*1E-4*DATOS!$C$86/100/1000))^2-16*((BC35*AR35*Y35^2*1E-4*DATOS!$C$86/100/1000)+((MAX(AY35,BA35)*AR35*Y35^2*1E-4*DATOS!$C$86/100/1000)+(IF(AND(AY35&gt;0,BA35&gt;0),MIN(AY35,BA35),MAX(AY35,BA35))*AR35*Y35^2*1E-4*DATOS!$C$86/100/1000))/2)*BH35)&lt;0,CEILING(AB35,5),CEILING(MAX(AB35*((4*((BC35*AR35*Y35^2*1E-4*DATOS!$C$86/100/1000)+((MAX(AY35,BA35)*AR35*Y35^2*1E-4*DATOS!$C$86/100/1000)+(IF(AND(AY35&gt;0,BA35&gt;0),MIN(AY35,BA35),MAX(AY35,BA35))*AR35*Y35^2*1E-4*DATOS!$C$86/100/1000))/2)+BH35-(IF(AND(AY35&gt;0,BA35&gt;0),MIN(AY35,BA35),MAX(AY35,BA35))*AR35*Y35^2*1E-4*DATOS!$C$86/100/1000))-SQRT(MAX(0,((4*((BC35*AR35*Y35^2*1E-4*DATOS!$C$86/100/1000)+((MAX(AY35,BA35)*AR35*Y35^2*1E-4*DATOS!$C$86/100/1000)+(IF(AND(AY35&gt;0,BA35&gt;0),MIN(AY35,BA35),MAX(AY35,BA35))*AR35*Y35^2*1E-4*DATOS!$C$86/100/1000))/2)+BH35-(IF(AND(AY35&gt;0,BA35&gt;0),MIN(AY35,BA35),MAX(AY35,BA35))*AR35*Y35^2*1E-4*DATOS!$C$86/100/1000))^2-16*((BC35*AR35*Y35^2*1E-4*DATOS!$C$86/100/1000)+((MAX(AY35,BA35)*AR35*Y35^2*1E-4*DATOS!$C$86/100/1000)+(IF(AND(AY35&gt;0,BA35&gt;0),MIN(AY35,BA35),MAX(AY35,BA35))*AR35*Y35^2*1E-4*DATOS!$C$86/100/1000))/2)*BH35))))/(8*MAX(((BC35*AR35*Y35^2*1E-4*DATOS!$C$86/100/1000)+((MAX(AY35,BA35)*AR35*Y35^2*1E-4*DATOS!$C$86/100/1000)+(IF(AND(AY35&gt;0,BA35&gt;0),MIN(AY35,BA35),MAX(AY35,BA35))*AR35*Y35^2*1E-4*DATOS!$C$86/100/1000))/2),1E-9))+MAX(BX35,12*INDEX(TABLAS!$C$52:$C$58,MATCH(BV35,TABLAS!$B$52:$B$58,0)),AB35/16),IF(OR(AL35&lt;INDEX(TABLAS!$C$52:$C$58,MATCH(BV35,TABLAS!$B$52:$B$58,0)),AND(BW35&gt;=2,(AD35-2*AL35-BW35*INDEX(TABLAS!$C$52:$C$58,MATCH(BV35,TABLAS!$B$52:$B$58,0)))/MAX(BW35-1,1)&lt;2*INDEX(TABLAS!$C$52:$C$58,MATCH(BV35,TABLAS!$B$52:$B$58,0)))),INDEX(TABLAS!$I$52:$I$58,MATCH(BV35,TABLAS!$B$52:$B$58,0)),INDEX(TABLAS!$F$52:$F$58,MATCH(BV35,TABLAS!$B$52:$B$58,0)))),5))))</f>
        <v/>
      </c>
      <c r="DD35" s="60" t="str">
        <f>IF(V35&lt;&gt;"SÍ","",IF(C35="VOLADO",0,IF(((4*((BD35*AR35*Y35^2*1E-4*DATOS!$C$86/100/1000)+((MAX(AZ35,BB35)*AR35*Y35^2*1E-4*DATOS!$C$86/100/1000)+(IF(AND(AZ35&gt;0,BB35&gt;0),MIN(AZ35,BB35),MAX(AZ35,BB35))*AR35*Y35^2*1E-4*DATOS!$C$86/100/1000))/2)+BJ35-(IF(AND(AZ35&gt;0,BB35&gt;0),MIN(AZ35,BB35),MAX(AZ35,BB35))*AR35*Y35^2*1E-4*DATOS!$C$86/100/1000))^2-16*((BD35*AR35*Y35^2*1E-4*DATOS!$C$86/100/1000)+((MAX(AZ35,BB35)*AR35*Y35^2*1E-4*DATOS!$C$86/100/1000)+(IF(AND(AZ35&gt;0,BB35&gt;0),MIN(AZ35,BB35),MAX(AZ35,BB35))*AR35*Y35^2*1E-4*DATOS!$C$86/100/1000))/2)*BJ35)&lt;0,CEILING(AC35,5),CEILING(MAX(AC35*((4*((BD35*AR35*Y35^2*1E-4*DATOS!$C$86/100/1000)+((MAX(AZ35,BB35)*AR35*Y35^2*1E-4*DATOS!$C$86/100/1000)+(IF(AND(AZ35&gt;0,BB35&gt;0),MIN(AZ35,BB35),MAX(AZ35,BB35))*AR35*Y35^2*1E-4*DATOS!$C$86/100/1000))/2)+BJ35-(IF(AND(AZ35&gt;0,BB35&gt;0),MIN(AZ35,BB35),MAX(AZ35,BB35))*AR35*Y35^2*1E-4*DATOS!$C$86/100/1000))-SQRT(MAX(0,((4*((BD35*AR35*Y35^2*1E-4*DATOS!$C$86/100/1000)+((MAX(AZ35,BB35)*AR35*Y35^2*1E-4*DATOS!$C$86/100/1000)+(IF(AND(AZ35&gt;0,BB35&gt;0),MIN(AZ35,BB35),MAX(AZ35,BB35))*AR35*Y35^2*1E-4*DATOS!$C$86/100/1000))/2)+BJ35-(IF(AND(AZ35&gt;0,BB35&gt;0),MIN(AZ35,BB35),MAX(AZ35,BB35))*AR35*Y35^2*1E-4*DATOS!$C$86/100/1000))^2-16*((BD35*AR35*Y35^2*1E-4*DATOS!$C$86/100/1000)+((MAX(AZ35,BB35)*AR35*Y35^2*1E-4*DATOS!$C$86/100/1000)+(IF(AND(AZ35&gt;0,BB35&gt;0),MIN(AZ35,BB35),MAX(AZ35,BB35))*AR35*Y35^2*1E-4*DATOS!$C$86/100/1000))/2)*BJ35))))/(8*MAX(((BD35*AR35*Y35^2*1E-4*DATOS!$C$86/100/1000)+((MAX(AZ35,BB35)*AR35*Y35^2*1E-4*DATOS!$C$86/100/1000)+(IF(AND(AZ35&gt;0,BB35&gt;0),MIN(AZ35,BB35),MAX(AZ35,BB35))*AR35*Y35^2*1E-4*DATOS!$C$86/100/1000))/2),1E-9))+MAX(CN35,12*INDEX(TABLAS!$C$52:$C$58,MATCH(CL35,TABLAS!$B$52:$B$58,0)),AC35/16),IF(OR(AL35&lt;INDEX(TABLAS!$C$52:$C$58,MATCH(CL35,TABLAS!$B$52:$B$58,0)),AND(CM35&gt;=2,(DATOS!$C$83-2*AL35-CM35*INDEX(TABLAS!$C$52:$C$58,MATCH(CL35,TABLAS!$B$52:$B$58,0)))/MAX(CM35-1,1)&lt;2*INDEX(TABLAS!$C$52:$C$58,MATCH(CL35,TABLAS!$B$52:$B$58,0)))),INDEX(TABLAS!$I$52:$I$58,MATCH(CL35,TABLAS!$B$52:$B$58,0)),INDEX(TABLAS!$F$52:$F$58,MATCH(CL35,TABLAS!$B$52:$B$58,0)))),5))))</f>
        <v/>
      </c>
      <c r="DE35" s="55" t="str">
        <f>IF(V35&lt;&gt;"SÍ","",IF(AND(C35="PERIMETRAL",BW35&gt;=2,AS35-AT35&gt;0,BA35*AR35*Y35^2*1E-4*DATOS!$C$86/100/1000&gt;DATOS!$C$29*INDEX(TABLAS!$D$52:$D$58,MATCH(BV35,TABLAS!$B$52:$B$58,0))*DATOS!$C$14*(BX35-INDEX(TABLAS!$D$52:$D$58,MATCH(BV35,TABLAS!$B$52:$B$58,0))*DATOS!$C$14/(DATOS!$C$21*AF35)/2)/1E5),"SÍ","NO"))</f>
        <v/>
      </c>
      <c r="DF35" s="55" t="str">
        <f>IF(V35&lt;&gt;"SÍ","",IF(AND(C35="PERIMETRAL",CM35&gt;=2,AT35&gt;0,BB35*AR35*Y35^2*1E-4*DATOS!$C$86/100/1000&gt;DATOS!$C$29*INDEX(TABLAS!$D$52:$D$58,MATCH(CL35,TABLAS!$B$52:$B$58,0))*DATOS!$C$14*(CN35-INDEX(TABLAS!$D$52:$D$58,MATCH(CL35,TABLAS!$B$52:$B$58,0))*DATOS!$C$14/(DATOS!$C$21*AG35)/2)/1E5),"SÍ","NO"))</f>
        <v/>
      </c>
      <c r="DG35" s="63" t="str">
        <f>IF(V35&lt;&gt;"SÍ","",IF(OR(C35="VOLADO",AS35=0),"—",IF(AND(AND(1.25*INDEX(TABLAS!$G$52:$G$58,MATCH(MAX(BN35,CD35),TABLAS!$B$52:$B$58,0))&lt;=(DATOS!$C$75-DATOS!$C$63),(DATOS!$C$75-DATOS!$C$63)&gt;=15,INDEX(TABLAS!$G$52:$G$58,MATCH(MAX(BV35,CL35),TABLAS!$B$52:$B$58,0))&lt;=(DATOS!$C$75-DATOS!$C$63)),8*INDEX(TABLAS!$C$52:$C$58,MATCH(MAX(MAX(BN35,CD35),MAX(BV35,CL35)),TABLAS!$B$52:$B$58,0))&lt;=DATOS!$C$76-2*DATOS!$C$63),"CUMPLE (gancho de 180°)",IF(AND(1.25*INDEX(TABLAS!$G$52:$G$58,MATCH(MAX(BN35,CD35),TABLAS!$B$52:$B$58,0))&lt;=(DATOS!$C$75-DATOS!$C$63),(DATOS!$C$75-DATOS!$C$63)&gt;=15,INDEX(TABLAS!$G$52:$G$58,MATCH(MAX(BV35,CL35),TABLAS!$B$52:$B$58,0))&lt;=(DATOS!$C$75-DATOS!$C$63)),"NO CUMPLE: el gancho de 180° (8·d_b) no cabe en el peralte de la dala de borde","NO CUMPLE: dala de borde ≥ "&amp;TEXT(CEILING(MAX(1.25*INDEX(TABLAS!$G$52:$G$58,MATCH(MAX(BN35,CD35),TABLAS!$B$52:$B$58,0)),15,INDEX(TABLAS!$G$52:$G$58,MATCH(MAX(BV35,CL35),TABLAS!$B$52:$B$58,0)))+DATOS!$C$63,5),"0")&amp;" cm de ancho"&amp;IF(8*INDEX(TABLAS!$C$52:$C$58,MATCH(MAX(MAX(BN35,CD35),MAX(BV35,CL35)),TABLAS!$B$52:$B$58,0))&lt;=DATOS!$C$76-2*DATOS!$C$63,""," y más peralte para el gancho")))))</f>
        <v/>
      </c>
      <c r="DH35" s="59" t="str">
        <f>IF(V35&lt;&gt;"SÍ","",MAX(0,INT((E35*100-DATOS!$C$87-IF(AND(C35="PERIMETRAL",I35="DISCONTINUO"),MAX(0,DATOS!$C$75-DATOS!$C$87),0)-IF(AND(C35="PERIMETRAL",J35="DISCONTINUO"),MAX(0,DATOS!$C$75-DATOS!$C$87),0)+DATOS!$C$86-IF(X35="X",DATOS!$C$81,AE35))/DATOS!$C$86)))</f>
        <v/>
      </c>
      <c r="DI35" s="59" t="str">
        <f>IF(V35&lt;&gt;"SÍ","",MAX(0,INT((F35*100-DATOS!$C$87-IF(AND(C35="PERIMETRAL",G35="DISCONTINUO"),MAX(0,DATOS!$C$75-DATOS!$C$87),0)-IF(AND(C35="PERIMETRAL",H35="DISCONTINUO"),MAX(0,DATOS!$C$75-DATOS!$C$87),0)+DATOS!$C$86-IF(X35="Y",DATOS!$C$81,AE35))/DATOS!$C$86)))</f>
        <v/>
      </c>
      <c r="DJ35" s="57" t="str">
        <f>IF(V35&lt;&gt;"SÍ","",IF(DH35&gt;0,IF(AND(C35="PERIMETRAL",I35="DISCONTINUO"),MAX(0,DATOS!$C$75-DATOS!$C$87),0)+(E35*100-DATOS!$C$87-IF(AND(C35="PERIMETRAL",I35="DISCONTINUO"),MAX(0,DATOS!$C$75-DATOS!$C$87),0)-IF(AND(C35="PERIMETRAL",J35="DISCONTINUO"),MAX(0,DATOS!$C$75-DATOS!$C$87),0)-(DH35*IF(X35="X",DATOS!$C$81,AE35)+(DH35-1)*(DATOS!$C$86-IF(X35="X",DATOS!$C$81,AE35))))/2,E35*100/2))</f>
        <v/>
      </c>
      <c r="DK35" s="57" t="str">
        <f>IF(V35&lt;&gt;"SÍ","",IF(DH35&gt;0,IF(AND(C35="PERIMETRAL",J35="DISCONTINUO"),MAX(0,DATOS!$C$75-DATOS!$C$87),0)+(E35*100-DATOS!$C$87-IF(AND(C35="PERIMETRAL",I35="DISCONTINUO"),MAX(0,DATOS!$C$75-DATOS!$C$87),0)-IF(AND(C35="PERIMETRAL",J35="DISCONTINUO"),MAX(0,DATOS!$C$75-DATOS!$C$87),0)-(DH35*IF(X35="X",DATOS!$C$81,AE35)+(DH35-1)*(DATOS!$C$86-IF(X35="X",DATOS!$C$81,AE35))))/2,E35*100/2))</f>
        <v/>
      </c>
      <c r="DL35" s="57" t="str">
        <f>IF(V35&lt;&gt;"SÍ","",IF(DI35&gt;0,IF(AND(C35="PERIMETRAL",G35="DISCONTINUO"),MAX(0,DATOS!$C$75-DATOS!$C$87),0)+(F35*100-DATOS!$C$87-IF(AND(C35="PERIMETRAL",G35="DISCONTINUO"),MAX(0,DATOS!$C$75-DATOS!$C$87),0)-IF(AND(C35="PERIMETRAL",H35="DISCONTINUO"),MAX(0,DATOS!$C$75-DATOS!$C$87),0)-(DI35*IF(X35="Y",DATOS!$C$81,AE35)+(DI35-1)*(DATOS!$C$86-IF(X35="Y",DATOS!$C$81,AE35))))/2,F35*100/2))</f>
        <v/>
      </c>
      <c r="DM35" s="57" t="str">
        <f>IF(V35&lt;&gt;"SÍ","",IF(DI35&gt;0,IF(AND(C35="PERIMETRAL",H35="DISCONTINUO"),MAX(0,DATOS!$C$75-DATOS!$C$87),0)+(F35*100-DATOS!$C$87-IF(AND(C35="PERIMETRAL",G35="DISCONTINUO"),MAX(0,DATOS!$C$75-DATOS!$C$87),0)-IF(AND(C35="PERIMETRAL",H35="DISCONTINUO"),MAX(0,DATOS!$C$75-DATOS!$C$87),0)-(DI35*IF(X35="Y",DATOS!$C$81,AE35)+(DI35-1)*(DATOS!$C$86-IF(X35="Y",DATOS!$C$81,AE35))))/2,F35*100/2))</f>
        <v/>
      </c>
      <c r="DN35" s="59" t="str">
        <f>IF(V35&lt;&gt;"SÍ","",IF(NOT(AND(C35="VOLADO",AD35&gt;DATOS!$C$83)),0,IF(INDEX(TABLAS!$C$52:$C$58,MATCH(BV35,TABLAS!$B$52:$B$58,0))&lt;=DATOS!$C$83-2*DATOS!$C$63,1,0)))</f>
        <v/>
      </c>
      <c r="DO35" s="58" t="str">
        <f>IF(V35&lt;&gt;"SÍ","",IF(NOT(AND(C35="VOLADO",AD35&gt;DATOS!$C$83)),0,((DATOS!$C$85-MAX(DATOS!$C$63,(DATOS!$C$84-2*DATOS!$C$97)/2)-2*DATOS!$C$97-INDEX(TABLAS!$C$52:$C$58,MATCH(MAX(4,DATOS!$C$72),TABLAS!$B$52:$B$58,0))-INDEX(TABLAS!$C$52:$C$58,MATCH(BV35,TABLAS!$B$52:$B$58,0))/2)-IF(AND((DATOS!$C$85-MAX(DATOS!$C$63,(DATOS!$C$84-2*DATOS!$C$97)/2)-2*DATOS!$C$97-INDEX(TABLAS!$C$52:$C$58,MATCH(MAX(4,DATOS!$C$72),TABLAS!$B$52:$B$58,0))-INDEX(TABLAS!$C$52:$C$58,MATCH(BV35,TABLAS!$B$52:$B$58,0))/2)&lt;=20,DATOS!$C$65&lt;&gt;"SÍ"),2,0))))</f>
        <v/>
      </c>
      <c r="DP35" s="56" t="str">
        <f>IF(V35&lt;&gt;"SÍ","",IF(OR(NOT(AND(C35="VOLADO",AD35&gt;DATOS!$C$83)),DN35&lt;1),0,IF(0.003*(DO35-((DN35*INDEX(TABLAS!$D$52:$D$58,MATCH(BV35,TABLAS!$B$52:$B$58,0)))*DATOS!$C$14/(DATOS!$C$21*AG35)/DATOS!$C$22))/((DN35*INDEX(TABLAS!$D$52:$D$58,MATCH(BV35,TABLAS!$B$52:$B$58,0)))*DATOS!$C$14/(DATOS!$C$21*AG35)/DATOS!$C$22)&lt;0.005,0,DATOS!$C$29*(DN35*INDEX(TABLAS!$D$52:$D$58,MATCH(BV35,TABLAS!$B$52:$B$58,0)))*DATOS!$C$14*(DO35-(DN35*INDEX(TABLAS!$D$52:$D$58,MATCH(BV35,TABLAS!$B$52:$B$58,0)))*DATOS!$C$14/(DATOS!$C$21*AG35)/2)/1E5)))</f>
        <v/>
      </c>
      <c r="DQ35" s="56" t="str">
        <f>IF(V35&lt;&gt;"SÍ","",IF(OR(NOT(AND(C35="VOLADO",AD35&gt;DATOS!$C$83)),DN35&lt;1),0,DATOS!$C$30*2*MIN(1,SQRT(2/(1+0.04*DO35)))*((DN35*INDEX(TABLAS!$D$52:$D$58,MATCH(BV35,TABLAS!$B$52:$B$58,0)))/(AG35*DO35))^(1/3)*SQRT(DATOS!$C$13)*AG35*DO35/1000))</f>
        <v/>
      </c>
      <c r="DR35" s="56" t="str">
        <f>IF(V35&lt;&gt;"SÍ","",IF(NOT(AND(C35="VOLADO",AD35&gt;DATOS!$C$83)),0,IF((BH35-DP35)&lt;=0,0,IF(DP35&lt;=0,IF(ISNUMBER(P35),P35,Y35),IF(((0.9*DATOS!$C$90*DATOS!$C$86/100/1000)*IF(ISNUMBER(P35),P35,Y35)/2+BH35/IF(ISNUMBER(P35),P35,Y35))^2-4*((0.9*DATOS!$C$90*DATOS!$C$86/100/1000)/2)*(BH35-DP35)&lt;0,IF(ISNUMBER(P35),P35,Y35),MIN(IF(ISNUMBER(P35),P35,Y35),(((0.9*DATOS!$C$90*DATOS!$C$86/100/1000)*IF(ISNUMBER(P35),P35,Y35)/2+BH35/IF(ISNUMBER(P35),P35,Y35))-SQRT(((0.9*DATOS!$C$90*DATOS!$C$86/100/1000)*IF(ISNUMBER(P35),P35,Y35)/2+BH35/IF(ISNUMBER(P35),P35,Y35))^2-4*((0.9*DATOS!$C$90*DATOS!$C$86/100/1000)/2)*(BH35-DP35)))/(2*((0.9*DATOS!$C$90*DATOS!$C$86/100/1000)/2))))))))</f>
        <v/>
      </c>
      <c r="DS35" s="56" t="str">
        <f>IF(V35&lt;&gt;"SÍ","",IF(NOT(AND(C35="VOLADO",AD35&gt;DATOS!$C$83)),0,IF(DQ35&lt;=(BH35/((IF(ISNUMBER(P35),P35,Y35)*100-DATOS!$C$87)/100)),IF(ISNUMBER(P35),P35,Y35),MIN(IF(ISNUMBER(P35),P35,Y35),MAX(0,(IF(ISNUMBER(P35),P35,Y35)*100-DATOS!$C$87)/200-(DQ35-(BH35/((IF(ISNUMBER(P35),P35,Y35)*100-DATOS!$C$87)/100)))/((0.95-0.5*IF(N(Q35)&gt;0,MIN(IF(ISNUMBER(P35),P35,Y35),Q35)/MAX(IF(ISNUMBER(P35),P35,Y35),Q35),0))*DATOS!$C$33*AR35*DATOS!$C$86/100/1000))))))</f>
        <v/>
      </c>
      <c r="DT35" s="56" t="str">
        <f>IF(V35&lt;&gt;"SÍ","",IF(NOT(AND(C35="VOLADO",AD35&gt;DATOS!$C$83)),0,(BH35/((IF(ISNUMBER(P35),P35,Y35)*100-DATOS!$C$87)/100))+((0.95-0.5*IF(N(Q35)&gt;0,MIN(IF(ISNUMBER(P35),P35,Y35),Q35)/MAX(IF(ISNUMBER(P35),P35,Y35),Q35),0))*DATOS!$C$33*AR35*DATOS!$C$86/100/1000)*MAX(0,(IF(ISNUMBER(P35),P35,Y35)*100-DATOS!$C$87)/200-BX35/100)))</f>
        <v/>
      </c>
      <c r="DU35" s="59" t="str">
        <f>IF(V35&lt;&gt;"SÍ","",IF(NOT(AND(C35="VOLADO",AD35&gt;DATOS!$C$83)),0,MIN(FLOOR(100*IF(ISNUMBER(P35),P35,Y35)-DATOS!$C$63,5),CEILING(100*MIN(IF(ISNUMBER(P35),P35,Y35),MAX(IF(DR35&gt;0,DR35+IF(BW35&gt;=2,MAX(DO35,12*INDEX(TABLAS!$C$52:$C$58,MATCH(BV35,TABLAS!$B$52:$B$58,0)))/100,0),0),DS35,IF(BW35&gt;=2,INDEX(TABLAS!$F$52:$F$58,MATCH(BV35,TABLAS!$B$52:$B$58,0))/100,0))),5))))</f>
        <v/>
      </c>
      <c r="DV35" s="60" t="str">
        <f>IF(V35&lt;&gt;"SÍ","",IF(NOT(AND(C35="VOLADO",AD35&gt;DATOS!$C$83)),0,IF(DU35&lt;=0,0,CEILING(DU35/DATOS!$C$86,1))))</f>
        <v/>
      </c>
      <c r="DW35" s="61" t="str">
        <f>IF(V35&lt;&gt;"SÍ","",IF(C35&lt;&gt;"VOLADO","—",IF(AD35&lt;=DATOS!$C$83,"— (mismo b_w que el respaldo)",IF(DT35&gt;CS35,"NO CUMPLE: cortante de la nervadura ancha junto al apoyo ("&amp;TEXT(DT35,"0.00")&amp;" &gt; "&amp;TEXT(CS35,"0.00")&amp;" t)",IF(DU35&gt;=100*IF(ISNUMBER(P35),P35,Y35),"CUMPLE — todas las nervaduras del respaldo ‖ al volado con b_w = "&amp;AD35&amp;" cm","CUMPLE — "&amp;DV35&amp;" hilera(s) del respaldo con nervaduras de b_w = "&amp;AD35&amp;" cm (casetón "&amp;AE35&amp;" cm), hasta "&amp;TEXT(DU35/100,"0.00")&amp;" m del paño")))))</f>
        <v/>
      </c>
      <c r="DX35" s="69" t="str">
        <f>IF(V35&lt;&gt;"SÍ","",IF(BO35=0,"NO ALCANZA",BO35&amp;" No. "&amp;BN35&amp;IF(BO35&gt;1," corridas"," corrida")))</f>
        <v/>
      </c>
      <c r="DY35" s="69" t="str">
        <f>IF(V35&lt;&gt;"SÍ","",IF(BW35=0,"NO ALCANZA",IF(AND(C35="VOLADO",AD35&gt;DATOS!$C$83,BW35&gt;=2),"1 No. "&amp;BV35&amp;" corrida de la orilla al respaldo ("&amp;IF(DC35&gt;=FLOOR(100*IF(ISNUMBER(P35),P35,Y35)-DATOS!$C$63,5),"hasta su apoyo lejano, con gancho","entra "&amp;TEXT(DC35/100,"0.00")&amp;" m desde el paño")&amp;") + "&amp;(BW35-1)&amp;" bastón No. "&amp;BV35&amp;" hasta "&amp;TEXT(DU35/100,"0.00")&amp;" m del paño (fin de la nervadura ancha)",IF(C35="VOLADO",BW35&amp;" No. "&amp;BV35&amp;" de la orilla al respaldo ("&amp;IF(DC35&gt;=FLOOR(100*IF(ISNUMBER(P35),P35,Y35)-DATOS!$C$63,5),"hasta su apoyo lejano, con gancho","entran "&amp;TEXT(DC35/100,"0.00")&amp;" m desde el paño")&amp;")","1 No. "&amp;BV35&amp;" corrida"&amp;IF(BW35&gt;1," + "&amp;(BW35-1)&amp;" bastón No. "&amp;BV35&amp;" L = "&amp;TEXT(DC35/100,"0.00")&amp;" m desde el paño","")))))</f>
        <v/>
      </c>
      <c r="DZ35" s="69" t="str">
        <f>IF(V35&lt;&gt;"SÍ","",IF(CE35=0,"NO ALCANZA",CE35&amp;" No. "&amp;CD35&amp;IF(CE35&gt;1," corridas"," corrida")))</f>
        <v/>
      </c>
      <c r="EA35" s="69" t="str">
        <f>IF(V35&lt;&gt;"SÍ","",IF(CM35=0,"NO ALCANZA",IF(C35="VOLADO","1 No. "&amp;CL35&amp;" corrida (repartición)","1 No. "&amp;CL35&amp;" corrida"&amp;IF(CM35&gt;1," + "&amp;(CM35-1)&amp;" bastón No. "&amp;CL35&amp;" L = "&amp;TEXT(DD35/100,"0.00")&amp;" m desde el paño",""))))</f>
        <v/>
      </c>
      <c r="EB35" s="67" t="str">
        <f>IF(B35="","",IF(V35&lt;&gt;"SÍ","FALTAN DATOS: tipo, a_x, a_y, destino y, en volados, L_b",IF(L35="NO MONOLÍTICO (caso II)","FUERA DE ALCANCE: caso II no transcrito",IF(AND(C35="VOLADO",W35="?"),"REVISAR: el volado lleva UN solo borde CONTINUO (el empotrado)",IF(MIN(DH35,DI35)=0,"REVISAR: no cabe un casetón (tablero macizo): diséñalo en MACIZAS",IF(AND(MAX(BR35,BZ35,CH35,CP35)&lt;=1,NOT(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T(OR(AND(ISNUMBER(BS35),BS35&lt;0.005),AND(ISNUMBER(CA35),CA35&lt;0.005),AND(ISNUMBER(CI35),CI35&lt;0.005),AND(ISNUMBER(CQ35),CQ35&lt;0.005))),NOT(LEFT(DW35,2)="NO"),DA35="CUMPLE",DB35="CUMPLE",LEFT(CU35,2)&lt;&gt;"NO",LEFT(DATOS!$C$132,6)="CUMPLE"),IF(LEFT(CU35,6)="CUMPLE","CUMPLE","CUMPLE — "&amp;CU35)&amp;IF(LEFT(BK35,5)="FUERA"," · fuera de 3.4.2.1 c)","")&amp;IF(LEFT(DG35,2)="NO"," · REVISAR anclaje en borde discontinuo","")&amp;IF(DV35&gt;0," · respaldo: "&amp;DV35&amp;" hilera(s) de b_w "&amp;AD35&amp;" cm",""),IF(AND(MAX(BR35,BZ35,CH35,CP35)&lt;=1,NOT(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T(OR(AND(ISNUMBER(BS35),BS35&lt;0.005),AND(ISNUMBER(CA35),CA35&lt;0.005),AND(ISNUMBER(CI35),CI35&lt;0.005),AND(ISNUMBER(CQ35),CQ35&lt;0.005))),NOT(LEFT(DW35,2)="NO"),DA35="CALCULAR FLECHA",LEFT(CU35,2)&lt;&gt;"NO",LEFT(DATOS!$C$132,6)="CUMPLE"),"REVISAR: calcular flecha (h_eq &lt; h mín.)"&amp;IF(LEFT(BK35,5)="FUERA"," · fuera de 3.4.2.1 c)","")&amp;IF(LEFT(DG35,2)="NO"," · REVISAR anclaje en borde discontinuo","")&amp;IF(DV35&gt;0," · respaldo: "&amp;DV35&amp;" hilera(s) de b_w "&amp;AD35&amp;" cm",""),"NO CUMPLE: "&amp;IF(MAX(BR35,BZ35,CH35,CP35)&gt;1,"flexión ","")&amp;IF(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 caben ","")&amp;IF(OR(AND(ISNUMBER(BS35),BS35&lt;0.005),AND(ISNUMBER(CA35),CA35&lt;0.005),AND(ISNUMBER(CI35),CI35&lt;0.005),AND(ISNUMBER(CQ35),CQ35&lt;0.005)),"ε_t &lt; 0.005 ","")&amp;IF(LEFT(CU35,2)="NO","cortante ","")&amp;IF(DA35="NO CUMPLE","peralte ","")&amp;IF(DB35&lt;&gt;"CUMPLE","capa &lt; 6 cm ","")&amp;IF(LEFT(DATOS!$C$132,6)&lt;&gt;"CUMPLE","capa o malla (DATOS sección 7) ","")&amp;IF(LEFT(DW35,2)="NO","respaldo del volado",""))))))))</f>
        <v/>
      </c>
      <c r="EC35" s="70" t="str">
        <f>IF(V35&lt;&gt;"SÍ","",IF(LEFT(B35,7)="EJEMPLO","EJEMPLO de la hoja de Casa Rocha: bórralo o sobrescríbelo. ","")&amp;IF(AND(C35="PERIMETRAL",MIN(DH35,DI35)=0),"No cabe un casetón en el claro corto: es un tablero macizo, diséñalo en MACIZAS. ","")&amp;IF(AND(AJ35="NO",C35="PERIMETRAL"),"No cumple 6.7.8.1.4 (a_c = "&amp;MAX(DATOS!$C$81,AE35)&amp;" cm &gt; claro corto/6 = "&amp;TEXT(Y35*100/6,"0")&amp;" cm): se diseña como losa apoyada en vigas (6.7.8.1.9): r de viga = "&amp;DATOS!$C$63&amp;" cm y V_cR sin ×1.1. Para que cuente como encasetonada: casetón de "&amp;TEXT(FLOOR(MIN(80,Y35*100/6),1),"0")&amp;" cm o menor. ","")&amp;IF(C35="VOLADO","Volado de "&amp;TEXT(Y35,"0.00")&amp;" m empotrado en el borde "&amp;LOWER(W35)&amp;IF(N(O35)&gt;0,", con "&amp;TEXT(O35,"0.0")&amp;" kg/m en la orilla","")&amp;". Lecho inferior con r_ext. Si la orilla carga pretil u otro elemento frágil, calcula la flecha (13.4). El acero superior entra al respaldo de "&amp;TEXT(IF(ISNUMBER(P35),P35,Y35),"0.00")&amp;" m"&amp;" hasta pasar M = 0 con 0.9·PP sin carga viva; si ahí no se anula, llega al apoyo lejano y se ancla con gancho (NTC-Criterios 3.4.1 c y 5.1.2.2). "&amp;IF(AD35&gt;DATOS!$C$83,"Respaldo: "&amp;DW35&amp;". ",""),"")&amp;IF(AND(C35="VOLADO",((0.9*DATOS!$C$90*DATOS!$C$86/100/1000)*IF(ISNUMBER(P35),P35,Y35)/2-BH35/IF(ISNUMBER(P35),P35,Y35))&lt;0),"Con 0.9·PP y sin carga viva el apoyo lejano del respaldo levanta (R = "&amp;TEXT(-((0.9*DATOS!$C$90*DATOS!$C$86/100/1000)*IF(ISNUMBER(P35),P35,Y35)/2-BH35/IF(ISNUMBER(P35),P35,Y35)),"0.00")&amp;" t por nervadura): ancla ahí la corrida con gancho y revisa ese apoyo a tensión. ","")&amp;IF(LEFT(BK35,5)="FUERA","El M⁻ del vecino difiere más de 50 % (3.4.2.1 c): distribuye el desequilibrio (3.4.3.1) o confirma con un modelo; se arma con el mayor. ","")&amp;IF(OR(DE35="SÍ",DF35="SÍ"),"El M⁻ del borde discontinuo pide bastón también ahí (con gancho). ","")&amp;IF(LEFT(DG35,2)="NO","Anclaje: "&amp;DG35&amp;" (6.7.8.1.7). ","")&amp;IF(AND(C35="PERIMETRAL",AT35&gt;=1,AS35-AT35&gt;=1),"Esquinas exteriores sobre muro: refuerzo de esquina arriba y abajo en L_largo/5 (6.7.7.3.1). ",""))</f>
        <v/>
      </c>
    </row>
    <row r="36" ht="33" customHeight="1">
      <c r="A36" s="50">
        <f>IF(B36="",0,1)+A35</f>
        <v>4</v>
      </c>
      <c r="B36" s="29" t="n"/>
      <c r="C36" s="51" t="n"/>
      <c r="D36" s="29" t="n"/>
      <c r="E36" s="52" t="n"/>
      <c r="F36" s="52" t="n"/>
      <c r="G36" s="51" t="n"/>
      <c r="H36" s="51" t="n"/>
      <c r="I36" s="51" t="n"/>
      <c r="J36" s="51" t="n"/>
      <c r="K36" s="51" t="n"/>
      <c r="L36" s="51" t="n"/>
      <c r="M36" s="53" t="n"/>
      <c r="N36" s="53" t="n"/>
      <c r="O36" s="54" t="n"/>
      <c r="P36" s="52" t="n"/>
      <c r="Q36" s="52" t="n"/>
      <c r="R36" s="53" t="n"/>
      <c r="S36" s="54" t="n"/>
      <c r="T36" s="52" t="n"/>
      <c r="U36" s="52" t="n"/>
      <c r="V36" s="55" t="str">
        <f>IF(B36="","",IF(AND(OR(C36="PERIMETRAL",C36="VOLADO"),ISNUMBER(E36),ISNUMBER(F36),E36&gt;0,F36&gt;0,OR(ISNUMBER(N36),ISNUMBER(MATCH(D36,DATOS!$B$46:$B$58,0))),OR(C36&lt;&gt;"VOLADO",N(P36)&gt;0)),"SÍ","NO"))</f>
        <v/>
      </c>
      <c r="W36" s="55" t="str">
        <f>IF(V36&lt;&gt;"SÍ","",IF(C36&lt;&gt;"VOLADO","—",IF(COUNTIF(G36:J36,"CONTINUO")&lt;&gt;1,"?",IF(G36="CONTINUO","INFERIOR",IF(H36="CONTINUO","SUPERIOR",IF(I36="CONTINUO","IZQUIERDO","DERECHO"))))))</f>
        <v/>
      </c>
      <c r="X36" s="55" t="str">
        <f>IF(V36&lt;&gt;"SÍ","",IF(C36="VOLADO",IF(OR(W36="IZQUIERDO",W36="DERECHO"),"X","Y"),IF(E36&lt;=F36,"X","Y")))</f>
        <v/>
      </c>
      <c r="Y36" s="56" t="str">
        <f>IF(V36&lt;&gt;"SÍ","",IF(C36="VOLADO",IF(X36="X",E36,F36),MIN(E36,F36)))</f>
        <v/>
      </c>
      <c r="Z36" s="56" t="str">
        <f>IF(V36&lt;&gt;"SÍ","",IF(C36="VOLADO",IF(X36="X",F36,E36),MAX(E36,F36)))</f>
        <v/>
      </c>
      <c r="AA36" s="56" t="str">
        <f>IF(V36&lt;&gt;"SÍ","",MIN(Y36,Z36)/MAX(Y36,Z36))</f>
        <v/>
      </c>
      <c r="AB36" s="57" t="str">
        <f>IF(V36&lt;&gt;"SÍ","",MAX(1,Y36*100-IF(C36="VOLADO",DATOS!$C$87/2,DATOS!$C$87)))</f>
        <v/>
      </c>
      <c r="AC36" s="57" t="str">
        <f>IF(V36&lt;&gt;"SÍ","",MAX(1,Z36*100-DATOS!$C$87))</f>
        <v/>
      </c>
      <c r="AD36" s="57" t="str">
        <f>IF(V36&lt;&gt;"SÍ","",IF(ISNUMBER(R36),R36,DATOS!$C$83))</f>
        <v/>
      </c>
      <c r="AE36" s="57" t="str">
        <f>IF(V36&lt;&gt;"SÍ","",MAX(0,DATOS!$C$86-AD36))</f>
        <v/>
      </c>
      <c r="AF36" s="57" t="str">
        <f>IF(V36&lt;&gt;"SÍ","",IF(OR(DATOS!$C$65="SÍ",AD36&gt;=20),AD36,AD36-2))</f>
        <v/>
      </c>
      <c r="AG36" s="57" t="str">
        <f>IF(V36&lt;&gt;"SÍ","",IF(OR(DATOS!$C$65="SÍ",DATOS!$C$83&gt;=20),DATOS!$C$83,DATOS!$C$83-2))</f>
        <v/>
      </c>
      <c r="AH36" s="57" t="str">
        <f>IF(V36&lt;&gt;"SÍ","",MIN(DATOS!$C$86,AD36+2*MIN(8*DATOS!$C$84,AE36/2,AB36/8)))</f>
        <v/>
      </c>
      <c r="AI36" s="57" t="str">
        <f>IF(V36&lt;&gt;"SÍ","",MIN(DATOS!$C$86,DATOS!$C$83+2*MIN(8*DATOS!$C$84,DATOS!$C$81/2,AC36/8)))</f>
        <v/>
      </c>
      <c r="AJ36" s="55" t="str">
        <f>IF(V36&lt;&gt;"SÍ","",IF(AND(C36="PERIMETRAL",Y36*100&gt;=6*MAX(DATOS!$C$81,AE36),MAX(DATOS!$C$81,AE36)&lt;=80,MIN(DATOS!$C$83,AD36)&gt;=10,DATOS!$C$85&lt;=3.5*MIN(DATOS!$C$83,AD36),DATOS!$C$84&gt;=MAX(MAX(DATOS!$C$81,AE36)/13,5)),"SÍ","NO"))</f>
        <v/>
      </c>
      <c r="AK36" s="57" t="str">
        <f>IF(V36&lt;&gt;"SÍ","",IF(C36="VOLADO",DATOS!$C$64,IF(AJ36="NO",DATOS!$C$63,DATOS!$C$62)))</f>
        <v/>
      </c>
      <c r="AL36" s="57" t="str">
        <f>IF(V36&lt;&gt;"SÍ","",IF(OR(AND(AN36="SÍ",DATOS!$C$66="SÍ"),AND(C36="VOLADO",DATOS!$C$67="SÍ")),DATOS!$C$64,IF(AJ36="NO",DATOS!$C$63,DATOS!$C$62)))</f>
        <v/>
      </c>
      <c r="AM36" s="58" t="str">
        <f>IF(V36&lt;&gt;"SÍ","",MAX(AL36,(DATOS!$C$84-2*DATOS!$C$97)/2))</f>
        <v/>
      </c>
      <c r="AN36" s="55" t="str">
        <f>IF(V36&lt;&gt;"SÍ","",IFERROR(INDEX(DATOS!$D$46:$D$58,MATCH(D36,DATOS!$B$46:$B$58,0)),"NO"))</f>
        <v/>
      </c>
      <c r="AO36" s="59" t="str">
        <f>IF(V36&lt;&gt;"SÍ","",IF(ISNUMBER(N36),N36,IFERROR(INDEX(DATOS!$C$46:$C$58,MATCH(D36,DATOS!$B$46:$B$58,0)),0)))</f>
        <v/>
      </c>
      <c r="AP36" s="59" t="str">
        <f>IF(V36&lt;&gt;"SÍ","",IF(MIN(DH36,DI36)=0,DATOS!$C$85/100*DATOS!$C$16*1000,(DATOS!$C$85/100-(AE36*DATOS!$C$81/DATOS!$C$86^2)*DATOS!$C$82/100)*DATOS!$C$16*1000+(AE36*DATOS!$C$81/DATOS!$C$86^2)*DATOS!$C$82/100*DATOS!$C$17*1000)+DATOS!$C$37+DATOS!$C$38)</f>
        <v/>
      </c>
      <c r="AQ36" s="59" t="str">
        <f>IF(V36&lt;&gt;"SÍ","",AP36+N(M36))</f>
        <v/>
      </c>
      <c r="AR36" s="60" t="str">
        <f>IF(V36&lt;&gt;"SÍ","",MAX(DATOS!$C$26*AQ36+DATOS!$C$27*AO36,IF(AN36="SÍ",DATOS!$C$28*(AQ36+DATOS!$C$41),0)))</f>
        <v/>
      </c>
      <c r="AS36" s="59" t="str">
        <f>IF(V36&lt;&gt;"SÍ","",(G36="DISCONTINUO")+(H36="DISCONTINUO")+(I36="DISCONTINUO")+(J36="DISCONTINUO"))</f>
        <v/>
      </c>
      <c r="AT36" s="59" t="str">
        <f>IF(V36&lt;&gt;"SÍ","",IF(X36="X",(G36="DISCONTINUO")+(H36="DISCONTINUO"),(I36="DISCONTINUO")+(J36="DISCONTINUO")))</f>
        <v/>
      </c>
      <c r="AU36" s="55" t="str">
        <f>IF(V36&lt;&gt;"SÍ","",IF(AS36=0,"INTERIOR",IF(AS36=1,IF(AT36=1,"BORDE-CORTO","BORDE-LARGO"),IF(AS36=2,IF(AT36=1,"ESQUINA",IF(AT36=2,"EXTREMO-LARGO","EXTREMO-CORTO")),IF(AS36=3,IF(AT36=2,"EXTREMO-LARGO","EXTREMO-CORTO"),"AISLADO")))))</f>
        <v/>
      </c>
      <c r="AV36" s="61" t="str">
        <f>IF(V36&lt;&gt;"SÍ","",IF(OR(K36="",K36="AUTO"),AU36,K36))</f>
        <v/>
      </c>
      <c r="AW36" s="59" t="str">
        <f>IF(V36&lt;&gt;"SÍ","",MATCH(AA36,TABLAS!$D$5:$J$5,1))</f>
        <v/>
      </c>
      <c r="AX36" s="58" t="str">
        <f>IF(V36&lt;&gt;"SÍ","",IF(AW36&gt;=7,0,(AA36-INDEX(TABLAS!$D$5:$J$5,AW36))/(INDEX(TABLAS!$D$5:$J$5,AW36+1)-INDEX(TABLAS!$D$5:$J$5,AW36))))</f>
        <v/>
      </c>
      <c r="AY36" s="59" t="str">
        <f>IF(V36&lt;&gt;"SÍ","",INDEX(TABLAS!$D$6:$J$47,MATCH(AV36&amp;"|NIC",TABLAS!$B$6:$B$47,0),AW36)+AX36*(INDEX(TABLAS!$D$6:$J$47,MATCH(AV36&amp;"|NIC",TABLAS!$B$6:$B$47,0),MIN(AW36+1,7))-INDEX(TABLAS!$D$6:$J$47,MATCH(AV36&amp;"|NIC",TABLAS!$B$6:$B$47,0),AW36)))</f>
        <v/>
      </c>
      <c r="AZ36" s="59" t="str">
        <f>IF(V36&lt;&gt;"SÍ","",INDEX(TABLAS!$D$6:$J$47,MATCH(AV36&amp;"|NIL",TABLAS!$B$6:$B$47,0),AW36)+AX36*(INDEX(TABLAS!$D$6:$J$47,MATCH(AV36&amp;"|NIL",TABLAS!$B$6:$B$47,0),MIN(AW36+1,7))-INDEX(TABLAS!$D$6:$J$47,MATCH(AV36&amp;"|NIL",TABLAS!$B$6:$B$47,0),AW36)))</f>
        <v/>
      </c>
      <c r="BA36" s="59" t="str">
        <f>IF(V36&lt;&gt;"SÍ","",INDEX(TABLAS!$D$6:$J$47,MATCH(AV36&amp;"|NDC",TABLAS!$B$6:$B$47,0),AW36)+AX36*(INDEX(TABLAS!$D$6:$J$47,MATCH(AV36&amp;"|NDC",TABLAS!$B$6:$B$47,0),MIN(AW36+1,7))-INDEX(TABLAS!$D$6:$J$47,MATCH(AV36&amp;"|NDC",TABLAS!$B$6:$B$47,0),AW36)))</f>
        <v/>
      </c>
      <c r="BB36" s="59" t="str">
        <f>IF(V36&lt;&gt;"SÍ","",INDEX(TABLAS!$D$6:$J$47,MATCH(AV36&amp;"|NDL",TABLAS!$B$6:$B$47,0),AW36)+AX36*(INDEX(TABLAS!$D$6:$J$47,MATCH(AV36&amp;"|NDL",TABLAS!$B$6:$B$47,0),MIN(AW36+1,7))-INDEX(TABLAS!$D$6:$J$47,MATCH(AV36&amp;"|NDL",TABLAS!$B$6:$B$47,0),AW36)))</f>
        <v/>
      </c>
      <c r="BC36" s="59" t="str">
        <f>IF(V36&lt;&gt;"SÍ","",INDEX(TABLAS!$D$6:$J$47,MATCH(AV36&amp;"|PC",TABLAS!$B$6:$B$47,0),AW36)+AX36*(INDEX(TABLAS!$D$6:$J$47,MATCH(AV36&amp;"|PC",TABLAS!$B$6:$B$47,0),MIN(AW36+1,7))-INDEX(TABLAS!$D$6:$J$47,MATCH(AV36&amp;"|PC",TABLAS!$B$6:$B$47,0),AW36)))</f>
        <v/>
      </c>
      <c r="BD36" s="59" t="str">
        <f>IF(V36&lt;&gt;"SÍ","",INDEX(TABLAS!$D$6:$J$47,MATCH(AV36&amp;"|PL",TABLAS!$B$6:$B$47,0),AW36)+AX36*(INDEX(TABLAS!$D$6:$J$47,MATCH(AV36&amp;"|PL",TABLAS!$B$6:$B$47,0),MIN(AW36+1,7))-INDEX(TABLAS!$D$6:$J$47,MATCH(AV36&amp;"|PL",TABLAS!$B$6:$B$47,0),AW36)))</f>
        <v/>
      </c>
      <c r="BE36" s="56" t="str">
        <f>IF(V36&lt;&gt;"SÍ","",IF(OR(C36&lt;&gt;"VOLADO",MIN(DH36,DI36)=0),0,DATOS!$C$26*DATOS!$C$16*DATOS!$C$86/100*(((AE36*DATOS!$C$81/DATOS!$C$86^2)*DATOS!$C$82/100)*(IF(X36="X",DJ36,DL36)+DATOS!$C$87/2)/100*(AB36-(IF(X36="X",DJ36,DL36)+DATOS!$C$87/2)/2)/100+((AE36*DATOS!$C$81/DATOS!$C$86^2)*DATOS!$C$82/100)*IF(X36="X",DJ36,DL36)/100*IF(X36="X",DJ36,DL36)/200)))</f>
        <v/>
      </c>
      <c r="BF36" s="56" t="str">
        <f>IF(V36&lt;&gt;"SÍ","",IF(OR(C36&lt;&gt;"VOLADO",MIN(DH36,DI36)=0),0,DATOS!$C$26*DATOS!$C$16*DATOS!$C$86/100*((AE36*DATOS!$C$81/DATOS!$C$86^2)*DATOS!$C$82/100)*(IF(X36="X",DJ36,DL36)+DATOS!$C$87/2)/100))</f>
        <v/>
      </c>
      <c r="BG36" s="56" t="str">
        <f>IF(V36&lt;&gt;"SÍ","",IF(C36="PERIMETRAL",BC36*AR36*Y36^2*1E-4*DATOS!$C$86/100/1000,0))</f>
        <v/>
      </c>
      <c r="BH36" s="62" t="str">
        <f>IF(V36&lt;&gt;"SÍ","",IF(C36="PERIMETRAL",MAX(MAX(AY36,BA36)*AR36*Y36^2*1E-4*DATOS!$C$86/100/1000,N(T36)),(AR36*(AB36/100)^2/2+DATOS!$C$26*N(O36)*AB36/100)*DATOS!$C$86/100/1000+BE36))</f>
        <v/>
      </c>
      <c r="BI36" s="56" t="str">
        <f>IF(V36&lt;&gt;"SÍ","",IF(C36="PERIMETRAL",BD36*AR36*Y36^2*1E-4*DATOS!$C$86/100/1000,0))</f>
        <v/>
      </c>
      <c r="BJ36" s="56" t="str">
        <f>IF(V36&lt;&gt;"SÍ","",IF(C36="PERIMETRAL",MAX(MAX(AZ36,BB36)*AR36*Y36^2*1E-4*DATOS!$C$86/100/1000,N(U36)),0))</f>
        <v/>
      </c>
      <c r="BK36" s="63" t="str">
        <f>IF(V36&lt;&gt;"SÍ","",IF(C36&lt;&gt;"PERIMETRAL","—",IF(AND(N(T36)=0,N(U36)=0),"— (sin M⁻ del vecino)",IF(OR(AND(N(T36)&gt;0,ABS(MAX(AY36,BA36)*AR36*Y36^2*1E-4*DATOS!$C$86/100/1000-N(T36))&gt;0.5*MIN(MAX(AY36,BA36)*AR36*Y36^2*1E-4*DATOS!$C$86/100/1000,N(T36))),AND(N(U36)&gt;0,ABS(MAX(AZ36,BB36)*AR36*Y36^2*1E-4*DATOS!$C$86/100/1000-N(U36))&gt;0.5*MIN(MAX(AZ36,BB36)*AR36*Y36^2*1E-4*DATOS!$C$86/100/1000,N(U36)))),"FUERA: difieren &gt; 50 %"&amp;IF(AND(N(T36)&gt;0,ABS(MAX(AY36,BA36)*AR36*Y36^2*1E-4*DATOS!$C$86/100/1000-N(T36))&gt;0.5*MIN(MAX(AY36,BA36)*AR36*Y36^2*1E-4*DATOS!$C$86/100/1000,N(T36)))," ‖ corto","")&amp;IF(AND(N(U36)&gt;0,ABS(MAX(AZ36,BB36)*AR36*Y36^2*1E-4*DATOS!$C$86/100/1000-N(U36))&gt;0.5*MIN(MAX(AZ36,BB36)*AR36*Y36^2*1E-4*DATOS!$C$86/100/1000,N(U36)))," ‖ largo",""),"CUMPLE"))))</f>
        <v/>
      </c>
      <c r="BL36" s="58" t="str">
        <f>IF(V36&lt;&gt;"SÍ","",(DATOS!$C$85-AK36-INDEX(TABLAS!$C$52:$C$58,MATCH(MAX(4,DATOS!$C$71),TABLAS!$B$52:$B$58,0))/2))</f>
        <v/>
      </c>
      <c r="BM36" s="58" t="str">
        <f>IF(V36&lt;&gt;"SÍ","",IF(IF(BG36&lt;=0,0,IF((1-2*BG36*1E5/(DATOS!$C$29*AH36*BL36^2*DATOS!$C$21))&lt;0,-1,IF((1-SQRT((1-2*BG36*1E5/(DATOS!$C$29*AH36*BL36^2*DATOS!$C$21))))*DATOS!$C$21*AH36*BL36/DATOS!$C$14&gt;DATOS!$C$102*AH36*BL36,-1,(1-SQRT((1-2*BG36*1E5/(DATOS!$C$29*AH36*BL36^2*DATOS!$C$21))))*DATOS!$C$21*AH36*BL36/DATOS!$C$14)))&lt;0,-1,MAX(IF(BG36&lt;=0,0,IF((1-2*BG36*1E5/(DATOS!$C$29*AH36*BL36^2*DATOS!$C$21))&lt;0,-1,IF((1-SQRT((1-2*BG36*1E5/(DATOS!$C$29*AH36*BL36^2*DATOS!$C$21))))*DATOS!$C$21*AH36*BL36/DATOS!$C$14&gt;DATOS!$C$102*AH36*BL36,-1,(1-SQRT((1-2*BG36*1E5/(DATOS!$C$29*AH36*BL36^2*DATOS!$C$21))))*DATOS!$C$21*AH36*BL36/DATOS!$C$14))),MIN(DATOS!$C$103*AD36*BL36,4/3*IF(BG36&lt;=0,0,IF((1-2*BG36*1E5/(DATOS!$C$29*AH36*BL36^2*DATOS!$C$21))&lt;0,-1,IF((1-SQRT((1-2*BG36*1E5/(DATOS!$C$29*AH36*BL36^2*DATOS!$C$21))))*DATOS!$C$21*AH36*BL36/DATOS!$C$14&gt;DATOS!$C$102*AH36*BL36,-1,(1-SQRT((1-2*BG36*1E5/(DATOS!$C$29*AH36*BL36^2*DATOS!$C$21))))*DATOS!$C$21*AH36*BL36/DATOS!$C$14)))))))</f>
        <v/>
      </c>
      <c r="BN36" s="64" t="str">
        <f>IF(V36&lt;&gt;"SÍ","",IF(AND(BM36&gt;=0,IF(MAX(DATOS!$C$74,CEILING(BM36/INDEX(TABLAS!$D$52:$D$58,MIN(MATCH(MAX(4,DATOS!$C$71),TABLAS!$B$52:$B$58,0)+0,7)),1))*INDEX(TABLAS!$D$52:$D$58,MIN(MATCH(MAX(4,DATOS!$C$71),TABLAS!$B$52:$B$58,0)+0,7)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+0,7)),1)),MAX(MAX(DATOS!$C$74,CEILING(BM36/INDEX(TABLAS!$D$52:$D$58,MIN(MATCH(MAX(4,DATOS!$C$71),TABLAS!$B$52:$B$58,0)+0,7)),1)),2))&lt;=MIN(DATOS!$C$73,INT(((AD36-2*AK36)+MAX(DATOS!$C$70,INDEX(TABLAS!$C$52:$C$58,MIN(MATCH(MAX(4,DATOS!$C$71),TABLAS!$B$52:$B$58,0)+0,7))))/(INDEX(TABLAS!$C$52:$C$58,MIN(MATCH(MAX(4,DATOS!$C$71),TABLAS!$B$52:$B$58,0)+0,7))+MAX(DATOS!$C$70,INDEX(TABLAS!$C$52:$C$58,MIN(MATCH(MAX(4,DATOS!$C$71),TABLAS!$B$52:$B$58,0)+0,7))))))),INDEX(TABLAS!$B$52:$B$58,MIN(MATCH(MAX(4,DATOS!$C$71),TABLAS!$B$52:$B$58,0)+0,7)),IF(AND(BM36&gt;=0,IF(MAX(DATOS!$C$74,CEILING(BM36/INDEX(TABLAS!$D$52:$D$58,MIN(MATCH(MAX(4,DATOS!$C$71),TABLAS!$B$52:$B$58,0)+1,7)),1))*INDEX(TABLAS!$D$52:$D$58,MIN(MATCH(MAX(4,DATOS!$C$71),TABLAS!$B$52:$B$58,0)+1,7)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+1,7)),1)),MAX(MAX(DATOS!$C$74,CEILING(BM36/INDEX(TABLAS!$D$52:$D$58,MIN(MATCH(MAX(4,DATOS!$C$71),TABLAS!$B$52:$B$58,0)+1,7)),1)),2))&lt;=MIN(DATOS!$C$73,INT(((AD36-2*AK36)+MAX(DATOS!$C$70,INDEX(TABLAS!$C$52:$C$58,MIN(MATCH(MAX(4,DATOS!$C$71),TABLAS!$B$52:$B$58,0)+1,7))))/(INDEX(TABLAS!$C$52:$C$58,MIN(MATCH(MAX(4,DATOS!$C$71),TABLAS!$B$52:$B$58,0)+1,7))+MAX(DATOS!$C$70,INDEX(TABLAS!$C$52:$C$58,MIN(MATCH(MAX(4,DATOS!$C$71),TABLAS!$B$52:$B$58,0)+1,7))))))),INDEX(TABLAS!$B$52:$B$58,MIN(MATCH(MAX(4,DATOS!$C$71),TABLAS!$B$52:$B$58,0)+1,7)),IF(AND(BM36&gt;=0,IF(MAX(DATOS!$C$74,CEILING(BM36/INDEX(TABLAS!$D$52:$D$58,MIN(MATCH(MAX(4,DATOS!$C$71),TABLAS!$B$52:$B$58,0)+2,7)),1))*INDEX(TABLAS!$D$52:$D$58,MIN(MATCH(MAX(4,DATOS!$C$71),TABLAS!$B$52:$B$58,0)+2,7)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+2,7)),1)),MAX(MAX(DATOS!$C$74,CEILING(BM36/INDEX(TABLAS!$D$52:$D$58,MIN(MATCH(MAX(4,DATOS!$C$71),TABLAS!$B$52:$B$58,0)+2,7)),1)),2))&lt;=MIN(DATOS!$C$73,INT(((AD36-2*AK36)+MAX(DATOS!$C$70,INDEX(TABLAS!$C$52:$C$58,MIN(MATCH(MAX(4,DATOS!$C$71),TABLAS!$B$52:$B$58,0)+2,7))))/(INDEX(TABLAS!$C$52:$C$58,MIN(MATCH(MAX(4,DATOS!$C$71),TABLAS!$B$52:$B$58,0)+2,7))+MAX(DATOS!$C$70,INDEX(TABLAS!$C$52:$C$58,MIN(MATCH(MAX(4,DATOS!$C$71),TABLAS!$B$52:$B$58,0)+2,7))))))),INDEX(TABLAS!$B$52:$B$58,MIN(MATCH(MAX(4,DATOS!$C$71),TABLAS!$B$52:$B$58,0)+2,7)),IF(AND(BM36&gt;=0,IF(MAX(DATOS!$C$74,CEILING(BM36/INDEX(TABLAS!$D$52:$D$58,MIN(MATCH(MAX(4,DATOS!$C$71),TABLAS!$B$52:$B$58,0)+3,7)),1))*INDEX(TABLAS!$D$52:$D$58,MIN(MATCH(MAX(4,DATOS!$C$71),TABLAS!$B$52:$B$58,0)+3,7)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+3,7)),1)),MAX(MAX(DATOS!$C$74,CEILING(BM36/INDEX(TABLAS!$D$52:$D$58,MIN(MATCH(MAX(4,DATOS!$C$71),TABLAS!$B$52:$B$58,0)+3,7)),1)),2))&lt;=MIN(DATOS!$C$73,INT(((AD36-2*AK36)+MAX(DATOS!$C$70,INDEX(TABLAS!$C$52:$C$58,MIN(MATCH(MAX(4,DATOS!$C$71),TABLAS!$B$52:$B$58,0)+3,7))))/(INDEX(TABLAS!$C$52:$C$58,MIN(MATCH(MAX(4,DATOS!$C$71),TABLAS!$B$52:$B$58,0)+3,7))+MAX(DATOS!$C$70,INDEX(TABLAS!$C$52:$C$58,MIN(MATCH(MAX(4,DATOS!$C$71),TABLAS!$B$52:$B$58,0)+3,7))))))),INDEX(TABLAS!$B$52:$B$58,MIN(MATCH(MAX(4,DATOS!$C$71),TABLAS!$B$52:$B$58,0)+3,7)),IF(AND(BM36&gt;=0,IF(MAX(DATOS!$C$74,CEILING(BM36/INDEX(TABLAS!$D$52:$D$58,MIN(MATCH(MAX(4,DATOS!$C$71),TABLAS!$B$52:$B$58,0)+4,7)),1))*INDEX(TABLAS!$D$52:$D$58,MIN(MATCH(MAX(4,DATOS!$C$71),TABLAS!$B$52:$B$58,0)+4,7)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+4,7)),1)),MAX(MAX(DATOS!$C$74,CEILING(BM36/INDEX(TABLAS!$D$52:$D$58,MIN(MATCH(MAX(4,DATOS!$C$71),TABLAS!$B$52:$B$58,0)+4,7)),1)),2))&lt;=MIN(DATOS!$C$73,INT(((AD36-2*AK36)+MAX(DATOS!$C$70,INDEX(TABLAS!$C$52:$C$58,MIN(MATCH(MAX(4,DATOS!$C$71),TABLAS!$B$52:$B$58,0)+4,7))))/(INDEX(TABLAS!$C$52:$C$58,MIN(MATCH(MAX(4,DATOS!$C$71),TABLAS!$B$52:$B$58,0)+4,7))+MAX(DATOS!$C$70,INDEX(TABLAS!$C$52:$C$58,MIN(MATCH(MAX(4,DATOS!$C$71),TABLAS!$B$52:$B$58,0)+4,7))))))),INDEX(TABLAS!$B$52:$B$58,MIN(MATCH(MAX(4,DATOS!$C$71),TABLAS!$B$52:$B$58,0)+4,7)),INDEX(TABLAS!$B$52:$B$58,7)))))))</f>
        <v/>
      </c>
      <c r="BO36" s="59" t="str">
        <f>IF(V36&lt;&gt;"SÍ","",IF(BM36&lt;0,0,IF(MAX(DATOS!$C$74,CEILING(MAX(BM36,0)/INDEX(TABLAS!$D$52:$D$58,MATCH(BN36,TABLAS!$B$52:$B$58,0)),1))*INDEX(TABLAS!$D$52:$D$58,MATCH(BN36,TABLAS!$B$52:$B$58,0))&gt;=4/3*IF(BG36&lt;=0,0,IF((1-2*BG36*1E5/(DATOS!$C$29*AH36*BL36^2*DATOS!$C$21))&lt;0,-1,IF((1-SQRT((1-2*BG36*1E5/(DATOS!$C$29*AH36*BL36^2*DATOS!$C$21))))*DATOS!$C$21*AH36*BL36/DATOS!$C$14&gt;DATOS!$C$102*AH36*BL36,-1,(1-SQRT((1-2*BG36*1E5/(DATOS!$C$29*AH36*BL36^2*DATOS!$C$21))))*DATOS!$C$21*AH36*BL36/DATOS!$C$14)))-0.0001,MAX(DATOS!$C$74,CEILING(MAX(BM36,0)/INDEX(TABLAS!$D$52:$D$58,MATCH(BN36,TABLAS!$B$52:$B$58,0)),1)),MAX(MAX(DATOS!$C$74,CEILING(MAX(BM36,0)/INDEX(TABLAS!$D$52:$D$58,MATCH(BN36,TABLAS!$B$52:$B$58,0)),1)),2))))</f>
        <v/>
      </c>
      <c r="BP36" s="58" t="str">
        <f>IF(V36&lt;&gt;"SÍ","",DATOS!$C$85-AK36-INDEX(TABLAS!$C$52:$C$58,MATCH(BN36,TABLAS!$B$52:$B$58,0))/2)</f>
        <v/>
      </c>
      <c r="BQ36" s="56" t="str">
        <f>IF(V36&lt;&gt;"SÍ","",IF(BO36=0,0,DATOS!$C$29*BO36*INDEX(TABLAS!$D$52:$D$58,MATCH(BN36,TABLAS!$B$52:$B$58,0))*DATOS!$C$14*(BP36-BO36*INDEX(TABLAS!$D$52:$D$58,MATCH(BN36,TABLAS!$B$52:$B$58,0))*DATOS!$C$14/(DATOS!$C$21*AH36)/2)/1E5))</f>
        <v/>
      </c>
      <c r="BR36" s="65" t="str">
        <f>IF(V36&lt;&gt;"SÍ","",IF(BM36&lt;0,9.99,IF(BQ36&gt;0,BG36/BQ36,0)))</f>
        <v/>
      </c>
      <c r="BS36" s="66" t="str">
        <f>IF(V36&lt;&gt;"SÍ","",IF(BO36=0,"—",0.003*(BP36-(BO36*INDEX(TABLAS!$D$52:$D$58,MATCH(BN36,TABLAS!$B$52:$B$58,0))*DATOS!$C$14/(DATOS!$C$21*AH36)/DATOS!$C$22))/(BO36*INDEX(TABLAS!$D$52:$D$58,MATCH(BN36,TABLAS!$B$52:$B$58,0))*DATOS!$C$14/(DATOS!$C$21*AH36)/DATOS!$C$22)))</f>
        <v/>
      </c>
      <c r="BT36" s="58" t="str">
        <f>IF(V36&lt;&gt;"SÍ","",((DATOS!$C$85-AM36-2*DATOS!$C$97-INDEX(TABLAS!$C$52:$C$58,MATCH(MAX(4,DATOS!$C$72),TABLAS!$B$52:$B$58,0))/2)-IF(AND((DATOS!$C$85-AM36-2*DATOS!$C$97-INDEX(TABLAS!$C$52:$C$58,MATCH(MAX(4,DATOS!$C$72),TABLAS!$B$52:$B$58,0))/2)&lt;=20,DATOS!$C$65&lt;&gt;"SÍ"),2,0)))</f>
        <v/>
      </c>
      <c r="BU36" s="58" t="str">
        <f>IF(V36&lt;&gt;"SÍ","",IF(IF(BH36&lt;=0,0,IF((1-2*BH36*1E5/(DATOS!$C$29*AF36*BT36^2*DATOS!$C$21))&lt;0,-1,IF((1-SQRT((1-2*BH36*1E5/(DATOS!$C$29*AF36*BT36^2*DATOS!$C$21))))*DATOS!$C$21*AF36*BT36/DATOS!$C$14&gt;DATOS!$C$102*AF36*BT36,-1,(1-SQRT((1-2*BH36*1E5/(DATOS!$C$29*AF36*BT36^2*DATOS!$C$21))))*DATOS!$C$21*AF36*BT36/DATOS!$C$14)))&lt;0,-1,MAX(IF(BH36&lt;=0,0,IF((1-2*BH36*1E5/(DATOS!$C$29*AF36*BT36^2*DATOS!$C$21))&lt;0,-1,IF((1-SQRT((1-2*BH36*1E5/(DATOS!$C$29*AF36*BT36^2*DATOS!$C$21))))*DATOS!$C$21*AF36*BT36/DATOS!$C$14&gt;DATOS!$C$102*AF36*BT36,-1,(1-SQRT((1-2*BH36*1E5/(DATOS!$C$29*AF36*BT36^2*DATOS!$C$21))))*DATOS!$C$21*AF36*BT36/DATOS!$C$14))),MIN(DATOS!$C$103*IF(C36="VOLADO",MIN(AH36,2*AD36),AD36)*BT36,4/3*IF(BH36&lt;=0,0,IF((1-2*BH36*1E5/(DATOS!$C$29*AF36*BT36^2*DATOS!$C$21))&lt;0,-1,IF((1-SQRT((1-2*BH36*1E5/(DATOS!$C$29*AF36*BT36^2*DATOS!$C$21))))*DATOS!$C$21*AF36*BT36/DATOS!$C$14&gt;DATOS!$C$102*AF36*BT36,-1,(1-SQRT((1-2*BH36*1E5/(DATOS!$C$29*AF36*BT36^2*DATOS!$C$21))))*DATOS!$C$21*AF36*BT36/DATOS!$C$14)))))))</f>
        <v/>
      </c>
      <c r="BV36" s="64" t="str">
        <f>IF(V36&lt;&gt;"SÍ","",IF(AND(BU36&gt;=0,IF(MAX(DATOS!$C$74,CEILING(BU36/INDEX(TABLAS!$D$52:$D$58,MIN(MATCH(MAX(4,DATOS!$C$72),TABLAS!$B$52:$B$58,0)+0,7)),1))*INDEX(TABLAS!$D$52:$D$58,MIN(MATCH(MAX(4,DATOS!$C$72),TABLAS!$B$52:$B$58,0)+0,7)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+0,7)),1)),MAX(MAX(DATOS!$C$74,CEILING(BU36/INDEX(TABLAS!$D$52:$D$58,MIN(MATCH(MAX(4,DATOS!$C$72),TABLAS!$B$52:$B$58,0)+0,7)),1)),2))&lt;=MIN(DATOS!$C$73,INT(((AD36-2*AL36)+MAX(DATOS!$C$70,INDEX(TABLAS!$C$52:$C$58,MIN(MATCH(MAX(4,DATOS!$C$72),TABLAS!$B$52:$B$58,0)+0,7))))/(INDEX(TABLAS!$C$52:$C$58,MIN(MATCH(MAX(4,DATOS!$C$72),TABLAS!$B$52:$B$58,0)+0,7))+MAX(DATOS!$C$70,INDEX(TABLAS!$C$52:$C$58,MIN(MATCH(MAX(4,DATOS!$C$72),TABLAS!$B$52:$B$58,0)+0,7))))))),INDEX(TABLAS!$B$52:$B$58,MIN(MATCH(MAX(4,DATOS!$C$72),TABLAS!$B$52:$B$58,0)+0,7)),IF(AND(BU36&gt;=0,IF(MAX(DATOS!$C$74,CEILING(BU36/INDEX(TABLAS!$D$52:$D$58,MIN(MATCH(MAX(4,DATOS!$C$72),TABLAS!$B$52:$B$58,0)+1,7)),1))*INDEX(TABLAS!$D$52:$D$58,MIN(MATCH(MAX(4,DATOS!$C$72),TABLAS!$B$52:$B$58,0)+1,7)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+1,7)),1)),MAX(MAX(DATOS!$C$74,CEILING(BU36/INDEX(TABLAS!$D$52:$D$58,MIN(MATCH(MAX(4,DATOS!$C$72),TABLAS!$B$52:$B$58,0)+1,7)),1)),2))&lt;=MIN(DATOS!$C$73,INT(((AD36-2*AL36)+MAX(DATOS!$C$70,INDEX(TABLAS!$C$52:$C$58,MIN(MATCH(MAX(4,DATOS!$C$72),TABLAS!$B$52:$B$58,0)+1,7))))/(INDEX(TABLAS!$C$52:$C$58,MIN(MATCH(MAX(4,DATOS!$C$72),TABLAS!$B$52:$B$58,0)+1,7))+MAX(DATOS!$C$70,INDEX(TABLAS!$C$52:$C$58,MIN(MATCH(MAX(4,DATOS!$C$72),TABLAS!$B$52:$B$58,0)+1,7))))))),INDEX(TABLAS!$B$52:$B$58,MIN(MATCH(MAX(4,DATOS!$C$72),TABLAS!$B$52:$B$58,0)+1,7)),IF(AND(BU36&gt;=0,IF(MAX(DATOS!$C$74,CEILING(BU36/INDEX(TABLAS!$D$52:$D$58,MIN(MATCH(MAX(4,DATOS!$C$72),TABLAS!$B$52:$B$58,0)+2,7)),1))*INDEX(TABLAS!$D$52:$D$58,MIN(MATCH(MAX(4,DATOS!$C$72),TABLAS!$B$52:$B$58,0)+2,7)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+2,7)),1)),MAX(MAX(DATOS!$C$74,CEILING(BU36/INDEX(TABLAS!$D$52:$D$58,MIN(MATCH(MAX(4,DATOS!$C$72),TABLAS!$B$52:$B$58,0)+2,7)),1)),2))&lt;=MIN(DATOS!$C$73,INT(((AD36-2*AL36)+MAX(DATOS!$C$70,INDEX(TABLAS!$C$52:$C$58,MIN(MATCH(MAX(4,DATOS!$C$72),TABLAS!$B$52:$B$58,0)+2,7))))/(INDEX(TABLAS!$C$52:$C$58,MIN(MATCH(MAX(4,DATOS!$C$72),TABLAS!$B$52:$B$58,0)+2,7))+MAX(DATOS!$C$70,INDEX(TABLAS!$C$52:$C$58,MIN(MATCH(MAX(4,DATOS!$C$72),TABLAS!$B$52:$B$58,0)+2,7))))))),INDEX(TABLAS!$B$52:$B$58,MIN(MATCH(MAX(4,DATOS!$C$72),TABLAS!$B$52:$B$58,0)+2,7)),IF(AND(BU36&gt;=0,IF(MAX(DATOS!$C$74,CEILING(BU36/INDEX(TABLAS!$D$52:$D$58,MIN(MATCH(MAX(4,DATOS!$C$72),TABLAS!$B$52:$B$58,0)+3,7)),1))*INDEX(TABLAS!$D$52:$D$58,MIN(MATCH(MAX(4,DATOS!$C$72),TABLAS!$B$52:$B$58,0)+3,7)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+3,7)),1)),MAX(MAX(DATOS!$C$74,CEILING(BU36/INDEX(TABLAS!$D$52:$D$58,MIN(MATCH(MAX(4,DATOS!$C$72),TABLAS!$B$52:$B$58,0)+3,7)),1)),2))&lt;=MIN(DATOS!$C$73,INT(((AD36-2*AL36)+MAX(DATOS!$C$70,INDEX(TABLAS!$C$52:$C$58,MIN(MATCH(MAX(4,DATOS!$C$72),TABLAS!$B$52:$B$58,0)+3,7))))/(INDEX(TABLAS!$C$52:$C$58,MIN(MATCH(MAX(4,DATOS!$C$72),TABLAS!$B$52:$B$58,0)+3,7))+MAX(DATOS!$C$70,INDEX(TABLAS!$C$52:$C$58,MIN(MATCH(MAX(4,DATOS!$C$72),TABLAS!$B$52:$B$58,0)+3,7))))))),INDEX(TABLAS!$B$52:$B$58,MIN(MATCH(MAX(4,DATOS!$C$72),TABLAS!$B$52:$B$58,0)+3,7)),IF(AND(BU36&gt;=0,IF(MAX(DATOS!$C$74,CEILING(BU36/INDEX(TABLAS!$D$52:$D$58,MIN(MATCH(MAX(4,DATOS!$C$72),TABLAS!$B$52:$B$58,0)+4,7)),1))*INDEX(TABLAS!$D$52:$D$58,MIN(MATCH(MAX(4,DATOS!$C$72),TABLAS!$B$52:$B$58,0)+4,7)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+4,7)),1)),MAX(MAX(DATOS!$C$74,CEILING(BU36/INDEX(TABLAS!$D$52:$D$58,MIN(MATCH(MAX(4,DATOS!$C$72),TABLAS!$B$52:$B$58,0)+4,7)),1)),2))&lt;=MIN(DATOS!$C$73,INT(((AD36-2*AL36)+MAX(DATOS!$C$70,INDEX(TABLAS!$C$52:$C$58,MIN(MATCH(MAX(4,DATOS!$C$72),TABLAS!$B$52:$B$58,0)+4,7))))/(INDEX(TABLAS!$C$52:$C$58,MIN(MATCH(MAX(4,DATOS!$C$72),TABLAS!$B$52:$B$58,0)+4,7))+MAX(DATOS!$C$70,INDEX(TABLAS!$C$52:$C$58,MIN(MATCH(MAX(4,DATOS!$C$72),TABLAS!$B$52:$B$58,0)+4,7))))))),INDEX(TABLAS!$B$52:$B$58,MIN(MATCH(MAX(4,DATOS!$C$72),TABLAS!$B$52:$B$58,0)+4,7)),INDEX(TABLAS!$B$52:$B$58,7)))))))</f>
        <v/>
      </c>
      <c r="BW36" s="59" t="str">
        <f>IF(V36&lt;&gt;"SÍ","",IF(BU36&lt;0,0,IF(MAX(DATOS!$C$74,CEILING(MAX(BU36,0)/INDEX(TABLAS!$D$52:$D$58,MATCH(BV36,TABLAS!$B$52:$B$58,0)),1))*INDEX(TABLAS!$D$52:$D$58,MATCH(BV36,TABLAS!$B$52:$B$58,0))&gt;=4/3*IF(BH36&lt;=0,0,IF((1-2*BH36*1E5/(DATOS!$C$29*AF36*BT36^2*DATOS!$C$21))&lt;0,-1,IF((1-SQRT((1-2*BH36*1E5/(DATOS!$C$29*AF36*BT36^2*DATOS!$C$21))))*DATOS!$C$21*AF36*BT36/DATOS!$C$14&gt;DATOS!$C$102*AF36*BT36,-1,(1-SQRT((1-2*BH36*1E5/(DATOS!$C$29*AF36*BT36^2*DATOS!$C$21))))*DATOS!$C$21*AF36*BT36/DATOS!$C$14)))-0.0001,MAX(DATOS!$C$74,CEILING(MAX(BU36,0)/INDEX(TABLAS!$D$52:$D$58,MATCH(BV36,TABLAS!$B$52:$B$58,0)),1)),MAX(MAX(DATOS!$C$74,CEILING(MAX(BU36,0)/INDEX(TABLAS!$D$52:$D$58,MATCH(BV36,TABLAS!$B$52:$B$58,0)),1)),2))))</f>
        <v/>
      </c>
      <c r="BX36" s="58" t="str">
        <f>IF(V36&lt;&gt;"SÍ","",((DATOS!$C$85-AM36-2*DATOS!$C$97-INDEX(TABLAS!$C$52:$C$58,MATCH(BV36,TABLAS!$B$52:$B$58,0))/2)-IF(AND((DATOS!$C$85-AM36-2*DATOS!$C$97-INDEX(TABLAS!$C$52:$C$58,MATCH(BV36,TABLAS!$B$52:$B$58,0))/2)&lt;=20,DATOS!$C$65&lt;&gt;"SÍ"),2,0)))</f>
        <v/>
      </c>
      <c r="BY36" s="56" t="str">
        <f>IF(V36&lt;&gt;"SÍ","",IF(BW36=0,0,DATOS!$C$29*BW36*INDEX(TABLAS!$D$52:$D$58,MATCH(BV36,TABLAS!$B$52:$B$58,0))*DATOS!$C$14*(BX36-BW36*INDEX(TABLAS!$D$52:$D$58,MATCH(BV36,TABLAS!$B$52:$B$58,0))*DATOS!$C$14/(DATOS!$C$21*AF36)/2)/1E5))</f>
        <v/>
      </c>
      <c r="BZ36" s="65" t="str">
        <f>IF(V36&lt;&gt;"SÍ","",IF(BU36&lt;0,9.99,IF(BY36&gt;0,BH36/BY36,0)))</f>
        <v/>
      </c>
      <c r="CA36" s="66" t="str">
        <f>IF(V36&lt;&gt;"SÍ","",IF(BW36=0,"—",0.003*(BX36-(BW36*INDEX(TABLAS!$D$52:$D$58,MATCH(BV36,TABLAS!$B$52:$B$58,0))*DATOS!$C$14/(DATOS!$C$21*AF36)/DATOS!$C$22))/(BW36*INDEX(TABLAS!$D$52:$D$58,MATCH(BV36,TABLAS!$B$52:$B$58,0))*DATOS!$C$14/(DATOS!$C$21*AF36)/DATOS!$C$22)))</f>
        <v/>
      </c>
      <c r="CB36" s="58" t="str">
        <f>IF(V36&lt;&gt;"SÍ","",(DATOS!$C$85-AK36-INDEX(TABLAS!$C$52:$C$58,MATCH(MAX(4,DATOS!$C$71),TABLAS!$B$52:$B$58,0))-INDEX(TABLAS!$C$52:$C$58,MATCH(MAX(4,DATOS!$C$71),TABLAS!$B$52:$B$58,0))/2))</f>
        <v/>
      </c>
      <c r="CC36" s="58" t="str">
        <f>IF(V36&lt;&gt;"SÍ","",IF(IF(BI36&lt;=0,0,IF((1-2*BI36*1E5/(DATOS!$C$29*AI36*CB36^2*DATOS!$C$21))&lt;0,-1,IF((1-SQRT((1-2*BI36*1E5/(DATOS!$C$29*AI36*CB36^2*DATOS!$C$21))))*DATOS!$C$21*AI36*CB36/DATOS!$C$14&gt;DATOS!$C$102*AI36*CB36,-1,(1-SQRT((1-2*BI36*1E5/(DATOS!$C$29*AI36*CB36^2*DATOS!$C$21))))*DATOS!$C$21*AI36*CB36/DATOS!$C$14)))&lt;0,-1,MAX(IF(BI36&lt;=0,0,IF((1-2*BI36*1E5/(DATOS!$C$29*AI36*CB36^2*DATOS!$C$21))&lt;0,-1,IF((1-SQRT((1-2*BI36*1E5/(DATOS!$C$29*AI36*CB36^2*DATOS!$C$21))))*DATOS!$C$21*AI36*CB36/DATOS!$C$14&gt;DATOS!$C$102*AI36*CB36,-1,(1-SQRT((1-2*BI36*1E5/(DATOS!$C$29*AI36*CB36^2*DATOS!$C$21))))*DATOS!$C$21*AI36*CB36/DATOS!$C$14))),MIN(DATOS!$C$103*DATOS!$C$83*CB36,4/3*IF(BI36&lt;=0,0,IF((1-2*BI36*1E5/(DATOS!$C$29*AI36*CB36^2*DATOS!$C$21))&lt;0,-1,IF((1-SQRT((1-2*BI36*1E5/(DATOS!$C$29*AI36*CB36^2*DATOS!$C$21))))*DATOS!$C$21*AI36*CB36/DATOS!$C$14&gt;DATOS!$C$102*AI36*CB36,-1,(1-SQRT((1-2*BI36*1E5/(DATOS!$C$29*AI36*CB36^2*DATOS!$C$21))))*DATOS!$C$21*AI36*CB36/DATOS!$C$14)))))))</f>
        <v/>
      </c>
      <c r="CD36" s="64" t="str">
        <f>IF(V36&lt;&gt;"SÍ","",IF(AND(CC36&gt;=0,IF(MAX(DATOS!$C$74,CEILING(CC36/INDEX(TABLAS!$D$52:$D$58,MIN(MATCH(MAX(4,DATOS!$C$71),TABLAS!$B$52:$B$58,0)+0,7)),1))*INDEX(TABLAS!$D$52:$D$58,MIN(MATCH(MAX(4,DATOS!$C$71),TABLAS!$B$52:$B$58,0)+0,7)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+0,7)),1)),MAX(MAX(DATOS!$C$74,CEILING(CC36/INDEX(TABLAS!$D$52:$D$58,MIN(MATCH(MAX(4,DATOS!$C$71),TABLAS!$B$52:$B$58,0)+0,7)),1)),2))&lt;=MIN(DATOS!$C$73,INT(((DATOS!$C$83-2*AK36)+MAX(DATOS!$C$70,INDEX(TABLAS!$C$52:$C$58,MIN(MATCH(MAX(4,DATOS!$C$71),TABLAS!$B$52:$B$58,0)+0,7))))/(INDEX(TABLAS!$C$52:$C$58,MIN(MATCH(MAX(4,DATOS!$C$71),TABLAS!$B$52:$B$58,0)+0,7))+MAX(DATOS!$C$70,INDEX(TABLAS!$C$52:$C$58,MIN(MATCH(MAX(4,DATOS!$C$71),TABLAS!$B$52:$B$58,0)+0,7))))))),INDEX(TABLAS!$B$52:$B$58,MIN(MATCH(MAX(4,DATOS!$C$71),TABLAS!$B$52:$B$58,0)+0,7)),IF(AND(CC36&gt;=0,IF(MAX(DATOS!$C$74,CEILING(CC36/INDEX(TABLAS!$D$52:$D$58,MIN(MATCH(MAX(4,DATOS!$C$71),TABLAS!$B$52:$B$58,0)+1,7)),1))*INDEX(TABLAS!$D$52:$D$58,MIN(MATCH(MAX(4,DATOS!$C$71),TABLAS!$B$52:$B$58,0)+1,7)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+1,7)),1)),MAX(MAX(DATOS!$C$74,CEILING(CC36/INDEX(TABLAS!$D$52:$D$58,MIN(MATCH(MAX(4,DATOS!$C$71),TABLAS!$B$52:$B$58,0)+1,7)),1)),2))&lt;=MIN(DATOS!$C$73,INT(((DATOS!$C$83-2*AK36)+MAX(DATOS!$C$70,INDEX(TABLAS!$C$52:$C$58,MIN(MATCH(MAX(4,DATOS!$C$71),TABLAS!$B$52:$B$58,0)+1,7))))/(INDEX(TABLAS!$C$52:$C$58,MIN(MATCH(MAX(4,DATOS!$C$71),TABLAS!$B$52:$B$58,0)+1,7))+MAX(DATOS!$C$70,INDEX(TABLAS!$C$52:$C$58,MIN(MATCH(MAX(4,DATOS!$C$71),TABLAS!$B$52:$B$58,0)+1,7))))))),INDEX(TABLAS!$B$52:$B$58,MIN(MATCH(MAX(4,DATOS!$C$71),TABLAS!$B$52:$B$58,0)+1,7)),IF(AND(CC36&gt;=0,IF(MAX(DATOS!$C$74,CEILING(CC36/INDEX(TABLAS!$D$52:$D$58,MIN(MATCH(MAX(4,DATOS!$C$71),TABLAS!$B$52:$B$58,0)+2,7)),1))*INDEX(TABLAS!$D$52:$D$58,MIN(MATCH(MAX(4,DATOS!$C$71),TABLAS!$B$52:$B$58,0)+2,7)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+2,7)),1)),MAX(MAX(DATOS!$C$74,CEILING(CC36/INDEX(TABLAS!$D$52:$D$58,MIN(MATCH(MAX(4,DATOS!$C$71),TABLAS!$B$52:$B$58,0)+2,7)),1)),2))&lt;=MIN(DATOS!$C$73,INT(((DATOS!$C$83-2*AK36)+MAX(DATOS!$C$70,INDEX(TABLAS!$C$52:$C$58,MIN(MATCH(MAX(4,DATOS!$C$71),TABLAS!$B$52:$B$58,0)+2,7))))/(INDEX(TABLAS!$C$52:$C$58,MIN(MATCH(MAX(4,DATOS!$C$71),TABLAS!$B$52:$B$58,0)+2,7))+MAX(DATOS!$C$70,INDEX(TABLAS!$C$52:$C$58,MIN(MATCH(MAX(4,DATOS!$C$71),TABLAS!$B$52:$B$58,0)+2,7))))))),INDEX(TABLAS!$B$52:$B$58,MIN(MATCH(MAX(4,DATOS!$C$71),TABLAS!$B$52:$B$58,0)+2,7)),IF(AND(CC36&gt;=0,IF(MAX(DATOS!$C$74,CEILING(CC36/INDEX(TABLAS!$D$52:$D$58,MIN(MATCH(MAX(4,DATOS!$C$71),TABLAS!$B$52:$B$58,0)+3,7)),1))*INDEX(TABLAS!$D$52:$D$58,MIN(MATCH(MAX(4,DATOS!$C$71),TABLAS!$B$52:$B$58,0)+3,7)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+3,7)),1)),MAX(MAX(DATOS!$C$74,CEILING(CC36/INDEX(TABLAS!$D$52:$D$58,MIN(MATCH(MAX(4,DATOS!$C$71),TABLAS!$B$52:$B$58,0)+3,7)),1)),2))&lt;=MIN(DATOS!$C$73,INT(((DATOS!$C$83-2*AK36)+MAX(DATOS!$C$70,INDEX(TABLAS!$C$52:$C$58,MIN(MATCH(MAX(4,DATOS!$C$71),TABLAS!$B$52:$B$58,0)+3,7))))/(INDEX(TABLAS!$C$52:$C$58,MIN(MATCH(MAX(4,DATOS!$C$71),TABLAS!$B$52:$B$58,0)+3,7))+MAX(DATOS!$C$70,INDEX(TABLAS!$C$52:$C$58,MIN(MATCH(MAX(4,DATOS!$C$71),TABLAS!$B$52:$B$58,0)+3,7))))))),INDEX(TABLAS!$B$52:$B$58,MIN(MATCH(MAX(4,DATOS!$C$71),TABLAS!$B$52:$B$58,0)+3,7)),IF(AND(CC36&gt;=0,IF(MAX(DATOS!$C$74,CEILING(CC36/INDEX(TABLAS!$D$52:$D$58,MIN(MATCH(MAX(4,DATOS!$C$71),TABLAS!$B$52:$B$58,0)+4,7)),1))*INDEX(TABLAS!$D$52:$D$58,MIN(MATCH(MAX(4,DATOS!$C$71),TABLAS!$B$52:$B$58,0)+4,7)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+4,7)),1)),MAX(MAX(DATOS!$C$74,CEILING(CC36/INDEX(TABLAS!$D$52:$D$58,MIN(MATCH(MAX(4,DATOS!$C$71),TABLAS!$B$52:$B$58,0)+4,7)),1)),2))&lt;=MIN(DATOS!$C$73,INT(((DATOS!$C$83-2*AK36)+MAX(DATOS!$C$70,INDEX(TABLAS!$C$52:$C$58,MIN(MATCH(MAX(4,DATOS!$C$71),TABLAS!$B$52:$B$58,0)+4,7))))/(INDEX(TABLAS!$C$52:$C$58,MIN(MATCH(MAX(4,DATOS!$C$71),TABLAS!$B$52:$B$58,0)+4,7))+MAX(DATOS!$C$70,INDEX(TABLAS!$C$52:$C$58,MIN(MATCH(MAX(4,DATOS!$C$71),TABLAS!$B$52:$B$58,0)+4,7))))))),INDEX(TABLAS!$B$52:$B$58,MIN(MATCH(MAX(4,DATOS!$C$71),TABLAS!$B$52:$B$58,0)+4,7)),INDEX(TABLAS!$B$52:$B$58,7)))))))</f>
        <v/>
      </c>
      <c r="CE36" s="59" t="str">
        <f>IF(V36&lt;&gt;"SÍ","",IF(CC36&lt;0,0,IF(MAX(DATOS!$C$74,CEILING(MAX(CC36,0)/INDEX(TABLAS!$D$52:$D$58,MATCH(CD36,TABLAS!$B$52:$B$58,0)),1))*INDEX(TABLAS!$D$52:$D$58,MATCH(CD36,TABLAS!$B$52:$B$58,0))&gt;=4/3*IF(BI36&lt;=0,0,IF((1-2*BI36*1E5/(DATOS!$C$29*AI36*CB36^2*DATOS!$C$21))&lt;0,-1,IF((1-SQRT((1-2*BI36*1E5/(DATOS!$C$29*AI36*CB36^2*DATOS!$C$21))))*DATOS!$C$21*AI36*CB36/DATOS!$C$14&gt;DATOS!$C$102*AI36*CB36,-1,(1-SQRT((1-2*BI36*1E5/(DATOS!$C$29*AI36*CB36^2*DATOS!$C$21))))*DATOS!$C$21*AI36*CB36/DATOS!$C$14)))-0.0001,MAX(DATOS!$C$74,CEILING(MAX(CC36,0)/INDEX(TABLAS!$D$52:$D$58,MATCH(CD36,TABLAS!$B$52:$B$58,0)),1)),MAX(MAX(DATOS!$C$74,CEILING(MAX(CC36,0)/INDEX(TABLAS!$D$52:$D$58,MATCH(CD36,TABLAS!$B$52:$B$58,0)),1)),2))))</f>
        <v/>
      </c>
      <c r="CF36" s="58" t="str">
        <f>IF(V36&lt;&gt;"SÍ","",DATOS!$C$85-AK36-INDEX(TABLAS!$C$52:$C$58,MATCH(BN36,TABLAS!$B$52:$B$58,0))-INDEX(TABLAS!$C$52:$C$58,MATCH(CD36,TABLAS!$B$52:$B$58,0))/2)</f>
        <v/>
      </c>
      <c r="CG36" s="56" t="str">
        <f>IF(V36&lt;&gt;"SÍ","",IF(CE36=0,0,DATOS!$C$29*CE36*INDEX(TABLAS!$D$52:$D$58,MATCH(CD36,TABLAS!$B$52:$B$58,0))*DATOS!$C$14*(CF36-CE36*INDEX(TABLAS!$D$52:$D$58,MATCH(CD36,TABLAS!$B$52:$B$58,0))*DATOS!$C$14/(DATOS!$C$21*AI36)/2)/1E5))</f>
        <v/>
      </c>
      <c r="CH36" s="65" t="str">
        <f>IF(V36&lt;&gt;"SÍ","",IF(CC36&lt;0,9.99,IF(CG36&gt;0,BI36/CG36,0)))</f>
        <v/>
      </c>
      <c r="CI36" s="66" t="str">
        <f>IF(V36&lt;&gt;"SÍ","",IF(CE36=0,"—",0.003*(CF36-(CE36*INDEX(TABLAS!$D$52:$D$58,MATCH(CD36,TABLAS!$B$52:$B$58,0))*DATOS!$C$14/(DATOS!$C$21*AI36)/DATOS!$C$22))/(CE36*INDEX(TABLAS!$D$52:$D$58,MATCH(CD36,TABLAS!$B$52:$B$58,0))*DATOS!$C$14/(DATOS!$C$21*AI36)/DATOS!$C$22)))</f>
        <v/>
      </c>
      <c r="CJ36" s="58" t="str">
        <f>IF(V36&lt;&gt;"SÍ","",((DATOS!$C$85-AM36-2*DATOS!$C$97-INDEX(TABLAS!$C$52:$C$58,MATCH(MAX(4,DATOS!$C$72),TABLAS!$B$52:$B$58,0))-INDEX(TABLAS!$C$52:$C$58,MATCH(MAX(4,DATOS!$C$72),TABLAS!$B$52:$B$58,0))/2)-IF(AND((DATOS!$C$85-AM36-2*DATOS!$C$97-INDEX(TABLAS!$C$52:$C$58,MATCH(MAX(4,DATOS!$C$72),TABLAS!$B$52:$B$58,0))-INDEX(TABLAS!$C$52:$C$58,MATCH(MAX(4,DATOS!$C$72),TABLAS!$B$52:$B$58,0))/2)&lt;=20,DATOS!$C$65&lt;&gt;"SÍ"),2,0)))</f>
        <v/>
      </c>
      <c r="CK36" s="58" t="str">
        <f>IF(V36&lt;&gt;"SÍ","",IF(IF(BJ36&lt;=0,0,IF((1-2*BJ36*1E5/(DATOS!$C$29*AG36*CJ36^2*DATOS!$C$21))&lt;0,-1,IF((1-SQRT((1-2*BJ36*1E5/(DATOS!$C$29*AG36*CJ36^2*DATOS!$C$21))))*DATOS!$C$21*AG36*CJ36/DATOS!$C$14&gt;DATOS!$C$102*AG36*CJ36,-1,(1-SQRT((1-2*BJ36*1E5/(DATOS!$C$29*AG36*CJ36^2*DATOS!$C$21))))*DATOS!$C$21*AG36*CJ36/DATOS!$C$14)))&lt;0,-1,MAX(IF(BJ36&lt;=0,0,IF((1-2*BJ36*1E5/(DATOS!$C$29*AG36*CJ36^2*DATOS!$C$21))&lt;0,-1,IF((1-SQRT((1-2*BJ36*1E5/(DATOS!$C$29*AG36*CJ36^2*DATOS!$C$21))))*DATOS!$C$21*AG36*CJ36/DATOS!$C$14&gt;DATOS!$C$102*AG36*CJ36,-1,(1-SQRT((1-2*BJ36*1E5/(DATOS!$C$29*AG36*CJ36^2*DATOS!$C$21))))*DATOS!$C$21*AG36*CJ36/DATOS!$C$14))),MIN(DATOS!$C$103*DATOS!$C$83*CJ36,4/3*IF(BJ36&lt;=0,0,IF((1-2*BJ36*1E5/(DATOS!$C$29*AG36*CJ36^2*DATOS!$C$21))&lt;0,-1,IF((1-SQRT((1-2*BJ36*1E5/(DATOS!$C$29*AG36*CJ36^2*DATOS!$C$21))))*DATOS!$C$21*AG36*CJ36/DATOS!$C$14&gt;DATOS!$C$102*AG36*CJ36,-1,(1-SQRT((1-2*BJ36*1E5/(DATOS!$C$29*AG36*CJ36^2*DATOS!$C$21))))*DATOS!$C$21*AG36*CJ36/DATOS!$C$14)))))))</f>
        <v/>
      </c>
      <c r="CL36" s="64" t="str">
        <f>IF(V36&lt;&gt;"SÍ","",IF(AND(CK36&gt;=0,IF(MAX(DATOS!$C$74,CEILING(CK36/INDEX(TABLAS!$D$52:$D$58,MIN(MATCH(MAX(4,DATOS!$C$72),TABLAS!$B$52:$B$58,0)+0,7)),1))*INDEX(TABLAS!$D$52:$D$58,MIN(MATCH(MAX(4,DATOS!$C$72),TABLAS!$B$52:$B$58,0)+0,7)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+0,7)),1)),MAX(MAX(DATOS!$C$74,CEILING(CK36/INDEX(TABLAS!$D$52:$D$58,MIN(MATCH(MAX(4,DATOS!$C$72),TABLAS!$B$52:$B$58,0)+0,7)),1)),2))&lt;=MIN(DATOS!$C$73,INT(((DATOS!$C$83-2*AL36)+MAX(DATOS!$C$70,INDEX(TABLAS!$C$52:$C$58,MIN(MATCH(MAX(4,DATOS!$C$72),TABLAS!$B$52:$B$58,0)+0,7))))/(INDEX(TABLAS!$C$52:$C$58,MIN(MATCH(MAX(4,DATOS!$C$72),TABLAS!$B$52:$B$58,0)+0,7))+MAX(DATOS!$C$70,INDEX(TABLAS!$C$52:$C$58,MIN(MATCH(MAX(4,DATOS!$C$72),TABLAS!$B$52:$B$58,0)+0,7))))))),INDEX(TABLAS!$B$52:$B$58,MIN(MATCH(MAX(4,DATOS!$C$72),TABLAS!$B$52:$B$58,0)+0,7)),IF(AND(CK36&gt;=0,IF(MAX(DATOS!$C$74,CEILING(CK36/INDEX(TABLAS!$D$52:$D$58,MIN(MATCH(MAX(4,DATOS!$C$72),TABLAS!$B$52:$B$58,0)+1,7)),1))*INDEX(TABLAS!$D$52:$D$58,MIN(MATCH(MAX(4,DATOS!$C$72),TABLAS!$B$52:$B$58,0)+1,7)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+1,7)),1)),MAX(MAX(DATOS!$C$74,CEILING(CK36/INDEX(TABLAS!$D$52:$D$58,MIN(MATCH(MAX(4,DATOS!$C$72),TABLAS!$B$52:$B$58,0)+1,7)),1)),2))&lt;=MIN(DATOS!$C$73,INT(((DATOS!$C$83-2*AL36)+MAX(DATOS!$C$70,INDEX(TABLAS!$C$52:$C$58,MIN(MATCH(MAX(4,DATOS!$C$72),TABLAS!$B$52:$B$58,0)+1,7))))/(INDEX(TABLAS!$C$52:$C$58,MIN(MATCH(MAX(4,DATOS!$C$72),TABLAS!$B$52:$B$58,0)+1,7))+MAX(DATOS!$C$70,INDEX(TABLAS!$C$52:$C$58,MIN(MATCH(MAX(4,DATOS!$C$72),TABLAS!$B$52:$B$58,0)+1,7))))))),INDEX(TABLAS!$B$52:$B$58,MIN(MATCH(MAX(4,DATOS!$C$72),TABLAS!$B$52:$B$58,0)+1,7)),IF(AND(CK36&gt;=0,IF(MAX(DATOS!$C$74,CEILING(CK36/INDEX(TABLAS!$D$52:$D$58,MIN(MATCH(MAX(4,DATOS!$C$72),TABLAS!$B$52:$B$58,0)+2,7)),1))*INDEX(TABLAS!$D$52:$D$58,MIN(MATCH(MAX(4,DATOS!$C$72),TABLAS!$B$52:$B$58,0)+2,7)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+2,7)),1)),MAX(MAX(DATOS!$C$74,CEILING(CK36/INDEX(TABLAS!$D$52:$D$58,MIN(MATCH(MAX(4,DATOS!$C$72),TABLAS!$B$52:$B$58,0)+2,7)),1)),2))&lt;=MIN(DATOS!$C$73,INT(((DATOS!$C$83-2*AL36)+MAX(DATOS!$C$70,INDEX(TABLAS!$C$52:$C$58,MIN(MATCH(MAX(4,DATOS!$C$72),TABLAS!$B$52:$B$58,0)+2,7))))/(INDEX(TABLAS!$C$52:$C$58,MIN(MATCH(MAX(4,DATOS!$C$72),TABLAS!$B$52:$B$58,0)+2,7))+MAX(DATOS!$C$70,INDEX(TABLAS!$C$52:$C$58,MIN(MATCH(MAX(4,DATOS!$C$72),TABLAS!$B$52:$B$58,0)+2,7))))))),INDEX(TABLAS!$B$52:$B$58,MIN(MATCH(MAX(4,DATOS!$C$72),TABLAS!$B$52:$B$58,0)+2,7)),IF(AND(CK36&gt;=0,IF(MAX(DATOS!$C$74,CEILING(CK36/INDEX(TABLAS!$D$52:$D$58,MIN(MATCH(MAX(4,DATOS!$C$72),TABLAS!$B$52:$B$58,0)+3,7)),1))*INDEX(TABLAS!$D$52:$D$58,MIN(MATCH(MAX(4,DATOS!$C$72),TABLAS!$B$52:$B$58,0)+3,7)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+3,7)),1)),MAX(MAX(DATOS!$C$74,CEILING(CK36/INDEX(TABLAS!$D$52:$D$58,MIN(MATCH(MAX(4,DATOS!$C$72),TABLAS!$B$52:$B$58,0)+3,7)),1)),2))&lt;=MIN(DATOS!$C$73,INT(((DATOS!$C$83-2*AL36)+MAX(DATOS!$C$70,INDEX(TABLAS!$C$52:$C$58,MIN(MATCH(MAX(4,DATOS!$C$72),TABLAS!$B$52:$B$58,0)+3,7))))/(INDEX(TABLAS!$C$52:$C$58,MIN(MATCH(MAX(4,DATOS!$C$72),TABLAS!$B$52:$B$58,0)+3,7))+MAX(DATOS!$C$70,INDEX(TABLAS!$C$52:$C$58,MIN(MATCH(MAX(4,DATOS!$C$72),TABLAS!$B$52:$B$58,0)+3,7))))))),INDEX(TABLAS!$B$52:$B$58,MIN(MATCH(MAX(4,DATOS!$C$72),TABLAS!$B$52:$B$58,0)+3,7)),IF(AND(CK36&gt;=0,IF(MAX(DATOS!$C$74,CEILING(CK36/INDEX(TABLAS!$D$52:$D$58,MIN(MATCH(MAX(4,DATOS!$C$72),TABLAS!$B$52:$B$58,0)+4,7)),1))*INDEX(TABLAS!$D$52:$D$58,MIN(MATCH(MAX(4,DATOS!$C$72),TABLAS!$B$52:$B$58,0)+4,7)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+4,7)),1)),MAX(MAX(DATOS!$C$74,CEILING(CK36/INDEX(TABLAS!$D$52:$D$58,MIN(MATCH(MAX(4,DATOS!$C$72),TABLAS!$B$52:$B$58,0)+4,7)),1)),2))&lt;=MIN(DATOS!$C$73,INT(((DATOS!$C$83-2*AL36)+MAX(DATOS!$C$70,INDEX(TABLAS!$C$52:$C$58,MIN(MATCH(MAX(4,DATOS!$C$72),TABLAS!$B$52:$B$58,0)+4,7))))/(INDEX(TABLAS!$C$52:$C$58,MIN(MATCH(MAX(4,DATOS!$C$72),TABLAS!$B$52:$B$58,0)+4,7))+MAX(DATOS!$C$70,INDEX(TABLAS!$C$52:$C$58,MIN(MATCH(MAX(4,DATOS!$C$72),TABLAS!$B$52:$B$58,0)+4,7))))))),INDEX(TABLAS!$B$52:$B$58,MIN(MATCH(MAX(4,DATOS!$C$72),TABLAS!$B$52:$B$58,0)+4,7)),INDEX(TABLAS!$B$52:$B$58,7)))))))</f>
        <v/>
      </c>
      <c r="CM36" s="59" t="str">
        <f>IF(V36&lt;&gt;"SÍ","",IF(CK36&lt;0,0,IF(MAX(DATOS!$C$74,CEILING(MAX(CK36,0)/INDEX(TABLAS!$D$52:$D$58,MATCH(CL36,TABLAS!$B$52:$B$58,0)),1))*INDEX(TABLAS!$D$52:$D$58,MATCH(CL36,TABLAS!$B$52:$B$58,0))&gt;=4/3*IF(BJ36&lt;=0,0,IF((1-2*BJ36*1E5/(DATOS!$C$29*AG36*CJ36^2*DATOS!$C$21))&lt;0,-1,IF((1-SQRT((1-2*BJ36*1E5/(DATOS!$C$29*AG36*CJ36^2*DATOS!$C$21))))*DATOS!$C$21*AG36*CJ36/DATOS!$C$14&gt;DATOS!$C$102*AG36*CJ36,-1,(1-SQRT((1-2*BJ36*1E5/(DATOS!$C$29*AG36*CJ36^2*DATOS!$C$21))))*DATOS!$C$21*AG36*CJ36/DATOS!$C$14)))-0.0001,MAX(DATOS!$C$74,CEILING(MAX(CK36,0)/INDEX(TABLAS!$D$52:$D$58,MATCH(CL36,TABLAS!$B$52:$B$58,0)),1)),MAX(MAX(DATOS!$C$74,CEILING(MAX(CK36,0)/INDEX(TABLAS!$D$52:$D$58,MATCH(CL36,TABLAS!$B$52:$B$58,0)),1)),2))))</f>
        <v/>
      </c>
      <c r="CN36" s="58" t="str">
        <f>IF(V36&lt;&gt;"SÍ","",((DATOS!$C$85-AM36-2*DATOS!$C$97-INDEX(TABLAS!$C$52:$C$58,MATCH(BV36,TABLAS!$B$52:$B$58,0))-INDEX(TABLAS!$C$52:$C$58,MATCH(CL36,TABLAS!$B$52:$B$58,0))/2)-IF(AND((DATOS!$C$85-AM36-2*DATOS!$C$97-INDEX(TABLAS!$C$52:$C$58,MATCH(BV36,TABLAS!$B$52:$B$58,0))-INDEX(TABLAS!$C$52:$C$58,MATCH(CL36,TABLAS!$B$52:$B$58,0))/2)&lt;=20,DATOS!$C$65&lt;&gt;"SÍ"),2,0)))</f>
        <v/>
      </c>
      <c r="CO36" s="56" t="str">
        <f>IF(V36&lt;&gt;"SÍ","",IF(CM36=0,0,DATOS!$C$29*CM36*INDEX(TABLAS!$D$52:$D$58,MATCH(CL36,TABLAS!$B$52:$B$58,0))*DATOS!$C$14*(CN36-CM36*INDEX(TABLAS!$D$52:$D$58,MATCH(CL36,TABLAS!$B$52:$B$58,0))*DATOS!$C$14/(DATOS!$C$21*AG36)/2)/1E5))</f>
        <v/>
      </c>
      <c r="CP36" s="65" t="str">
        <f>IF(V36&lt;&gt;"SÍ","",IF(CK36&lt;0,9.99,IF(CO36&gt;0,BJ36/CO36,0)))</f>
        <v/>
      </c>
      <c r="CQ36" s="66" t="str">
        <f>IF(V36&lt;&gt;"SÍ","",IF(CM36=0,"—",0.003*(CN36-(CM36*INDEX(TABLAS!$D$52:$D$58,MATCH(CL36,TABLAS!$B$52:$B$58,0))*DATOS!$C$14/(DATOS!$C$21*AG36)/DATOS!$C$22))/(CM36*INDEX(TABLAS!$D$52:$D$58,MATCH(CL36,TABLAS!$B$52:$B$58,0))*DATOS!$C$14/(DATOS!$C$21*AG36)/DATOS!$C$22)))</f>
        <v/>
      </c>
      <c r="CR36" s="56" t="str">
        <f>IF(V36&lt;&gt;"SÍ","",IF(C36="PERIMETRAL",MAX(0,(AB36/2-BX36)/100)*(0.95-0.5*AA36)*AR36*IF(AND(AS36&gt;0,AS36&lt;4),DATOS!$C$33,1)*DATOS!$C$86/100/1000,(AR36*MAX(0,AB36-BX36)/100+DATOS!$C$26*N(O36))*DATOS!$C$86/100/1000+BF36))</f>
        <v/>
      </c>
      <c r="CS36" s="56" t="str">
        <f>IF(V36&lt;&gt;"SÍ","",DATOS!$C$30*2*MIN(1,SQRT(2/(1+0.04*BX36)))*(BW36*INDEX(TABLAS!$D$52:$D$58,MATCH(BV36,TABLAS!$B$52:$B$58,0))/(AF36*BX36))^(1/3)*SQRT(DATOS!$C$13)*AF36*BX36*IF(AJ36="SÍ",DATOS!$C$32,1)/1000)</f>
        <v/>
      </c>
      <c r="CT36" s="59" t="str">
        <f>IF(V36&lt;&gt;"SÍ","",IF(CR36&lt;=CS36,0,CEILING(MAX(0,IF(C36="VOLADO",(AB36-((CS36-BF36)*1E5/DATOS!$C$86-DATOS!$C$26*N(O36))*100/AR36),IF(CS36&lt;=0,AB36,AB36/2-CS36/MAX(CR36,1E-9)*(AB36/2-BX36)))-IF(X36="X",MIN(DJ36,DK36),MIN(DL36,DM36)))/DATOS!$C$86,1)))</f>
        <v/>
      </c>
      <c r="CU36" s="67" t="str">
        <f>IF(V36&lt;&gt;"SÍ","",IF(CR36&lt;=CS36,"CUMPLE",IF(CT36&lt;=0,"CUMPLE (basta el macizo de orilla)",IF(CT36*DATOS!$C$86*IF(C36="VOLADO",1,2)&gt;=Y36*100-DATOS!$C$87,"NO CUMPLE: no alcanza ni macizando todo","MACIZAR "&amp;CT36&amp;" hilera(s)"))))</f>
        <v/>
      </c>
      <c r="CV36" s="58" t="str">
        <f>IF(V36&lt;&gt;"SÍ","",(DATOS!$C$86*DATOS!$C$84^2/2+MIN(DATOS!$C$83,AD36)*DATOS!$C$82*(DATOS!$C$84+DATOS!$C$82/2))/(DATOS!$C$86*DATOS!$C$84+MIN(DATOS!$C$83,AD36)*DATOS!$C$82))</f>
        <v/>
      </c>
      <c r="CW36" s="68" t="str">
        <f>IF(V36&lt;&gt;"SÍ","",DATOS!$C$86*DATOS!$C$84^3/12+DATOS!$C$86*DATOS!$C$84*(CV36-DATOS!$C$84/2)^2+MIN(DATOS!$C$83,AD36)*DATOS!$C$82^3/12+MIN(DATOS!$C$83,AD36)*DATOS!$C$82*(DATOS!$C$84+DATOS!$C$82/2-CV36)^2)</f>
        <v/>
      </c>
      <c r="CX36" s="58" t="str">
        <f>IF(V36&lt;&gt;"SÍ","",(12*CW36/DATOS!$C$86)^(1/3))</f>
        <v/>
      </c>
      <c r="CY36" s="58" t="str">
        <f>IF(V36&lt;&gt;"SÍ","",IF(C36="PERIMETRAL",IF(ISNUMBER(S36),S36,DATOS!$C$104),0))</f>
        <v/>
      </c>
      <c r="CZ36" s="57" t="str">
        <f>IF(V36&lt;&gt;"SÍ","",IF(C36="PERIMETRAL",IF(CY36&gt;2,MAX(9,AC36*(0.8+DATOS!$C$14/14000)/(36+9*(AC36/MAX(AB36,1)))),IF(CY36&gt;0.2,MAX(13,AC36*(0.8+DATOS!$C$14/14000)/(36+5*(AC36/MAX(AB36,1))*(CY36-0.2))),MAX(13,AC36/IF(AS36&gt;0,30,33))))*IF(AND(CY36&gt;0.2,AS36&gt;0,DATOS!$C$105="NO"),1.1,1),MAX(25,Y36*100/8*(0.4+DATOS!$C$14/7000))))</f>
        <v/>
      </c>
      <c r="DA36" s="61" t="str">
        <f>IF(V36&lt;&gt;"SÍ","",IF(IF(C36="VOLADO",DATOS!$C$85,CX36)&gt;=CZ36,"CUMPLE",IF(C36="VOLADO","NO CUMPLE","CALCULAR FLECHA")))</f>
        <v/>
      </c>
      <c r="DB36" s="55" t="str">
        <f>IF(V36&lt;&gt;"SÍ","",IF(DATOS!$C$84&gt;=IF(IF(C36="VOLADO",Y36,Z36)&gt;=6,6,5),"CUMPLE","CAPA ≥ 6 cm"))</f>
        <v/>
      </c>
      <c r="DC36" s="60" t="str">
        <f>IF(V36&lt;&gt;"SÍ","",IF(C36="VOLADO",MIN(FLOOR(IF(ISNUMBER(P36),P36,Y36)*100-DATOS!$C$63,5),CEILING(MAX(IF((0.5*(0.9*DATOS!$C$90*DATOS!$C$86/100/1000)*IF(ISNUMBER(P36),P36,Y36)+BH36/IF(ISNUMBER(P36),P36,Y36))^2-4*(0.5*(0.9*DATOS!$C$90*DATOS!$C$86/100/1000))*BH36&lt;0,IF(ISNUMBER(P36),P36,Y36),MIN(IF(ISNUMBER(P36),P36,Y36),((0.5*(0.9*DATOS!$C$90*DATOS!$C$86/100/1000)*IF(ISNUMBER(P36),P36,Y36)+BH36/IF(ISNUMBER(P36),P36,Y36))-SQRT((0.5*(0.9*DATOS!$C$90*DATOS!$C$86/100/1000)*IF(ISNUMBER(P36),P36,Y36)+BH36/IF(ISNUMBER(P36),P36,Y36))^2-4*(0.5*(0.9*DATOS!$C$90*DATOS!$C$86/100/1000))*BH36))/(2*(0.5*(0.9*DATOS!$C$90*DATOS!$C$86/100/1000)))))*100+MAX(BX36,12*INDEX(TABLAS!$C$52:$C$58,MATCH(BV36,TABLAS!$B$52:$B$58,0)),IF(ISNUMBER(P36),P36,Y36)*100/16),IF(OR(AL36&lt;INDEX(TABLAS!$C$52:$C$58,MATCH(BV36,TABLAS!$B$52:$B$58,0)),AND(BW36&gt;=2,(AD36-2*AL36-BW36*INDEX(TABLAS!$C$52:$C$58,MATCH(BV36,TABLAS!$B$52:$B$58,0)))/MAX(BW36-1,1)&lt;2*INDEX(TABLAS!$C$52:$C$58,MATCH(BV36,TABLAS!$B$52:$B$58,0)))),INDEX(TABLAS!$I$52:$I$58,MATCH(BV36,TABLAS!$B$52:$B$58,0)),INDEX(TABLAS!$F$52:$F$58,MATCH(BV36,TABLAS!$B$52:$B$58,0)))),5)),IF(((4*((BC36*AR36*Y36^2*1E-4*DATOS!$C$86/100/1000)+((MAX(AY36,BA36)*AR36*Y36^2*1E-4*DATOS!$C$86/100/1000)+(IF(AND(AY36&gt;0,BA36&gt;0),MIN(AY36,BA36),MAX(AY36,BA36))*AR36*Y36^2*1E-4*DATOS!$C$86/100/1000))/2)+BH36-(IF(AND(AY36&gt;0,BA36&gt;0),MIN(AY36,BA36),MAX(AY36,BA36))*AR36*Y36^2*1E-4*DATOS!$C$86/100/1000))^2-16*((BC36*AR36*Y36^2*1E-4*DATOS!$C$86/100/1000)+((MAX(AY36,BA36)*AR36*Y36^2*1E-4*DATOS!$C$86/100/1000)+(IF(AND(AY36&gt;0,BA36&gt;0),MIN(AY36,BA36),MAX(AY36,BA36))*AR36*Y36^2*1E-4*DATOS!$C$86/100/1000))/2)*BH36)&lt;0,CEILING(AB36,5),CEILING(MAX(AB36*((4*((BC36*AR36*Y36^2*1E-4*DATOS!$C$86/100/1000)+((MAX(AY36,BA36)*AR36*Y36^2*1E-4*DATOS!$C$86/100/1000)+(IF(AND(AY36&gt;0,BA36&gt;0),MIN(AY36,BA36),MAX(AY36,BA36))*AR36*Y36^2*1E-4*DATOS!$C$86/100/1000))/2)+BH36-(IF(AND(AY36&gt;0,BA36&gt;0),MIN(AY36,BA36),MAX(AY36,BA36))*AR36*Y36^2*1E-4*DATOS!$C$86/100/1000))-SQRT(MAX(0,((4*((BC36*AR36*Y36^2*1E-4*DATOS!$C$86/100/1000)+((MAX(AY36,BA36)*AR36*Y36^2*1E-4*DATOS!$C$86/100/1000)+(IF(AND(AY36&gt;0,BA36&gt;0),MIN(AY36,BA36),MAX(AY36,BA36))*AR36*Y36^2*1E-4*DATOS!$C$86/100/1000))/2)+BH36-(IF(AND(AY36&gt;0,BA36&gt;0),MIN(AY36,BA36),MAX(AY36,BA36))*AR36*Y36^2*1E-4*DATOS!$C$86/100/1000))^2-16*((BC36*AR36*Y36^2*1E-4*DATOS!$C$86/100/1000)+((MAX(AY36,BA36)*AR36*Y36^2*1E-4*DATOS!$C$86/100/1000)+(IF(AND(AY36&gt;0,BA36&gt;0),MIN(AY36,BA36),MAX(AY36,BA36))*AR36*Y36^2*1E-4*DATOS!$C$86/100/1000))/2)*BH36))))/(8*MAX(((BC36*AR36*Y36^2*1E-4*DATOS!$C$86/100/1000)+((MAX(AY36,BA36)*AR36*Y36^2*1E-4*DATOS!$C$86/100/1000)+(IF(AND(AY36&gt;0,BA36&gt;0),MIN(AY36,BA36),MAX(AY36,BA36))*AR36*Y36^2*1E-4*DATOS!$C$86/100/1000))/2),1E-9))+MAX(BX36,12*INDEX(TABLAS!$C$52:$C$58,MATCH(BV36,TABLAS!$B$52:$B$58,0)),AB36/16),IF(OR(AL36&lt;INDEX(TABLAS!$C$52:$C$58,MATCH(BV36,TABLAS!$B$52:$B$58,0)),AND(BW36&gt;=2,(AD36-2*AL36-BW36*INDEX(TABLAS!$C$52:$C$58,MATCH(BV36,TABLAS!$B$52:$B$58,0)))/MAX(BW36-1,1)&lt;2*INDEX(TABLAS!$C$52:$C$58,MATCH(BV36,TABLAS!$B$52:$B$58,0)))),INDEX(TABLAS!$I$52:$I$58,MATCH(BV36,TABLAS!$B$52:$B$58,0)),INDEX(TABLAS!$F$52:$F$58,MATCH(BV36,TABLAS!$B$52:$B$58,0)))),5))))</f>
        <v/>
      </c>
      <c r="DD36" s="60" t="str">
        <f>IF(V36&lt;&gt;"SÍ","",IF(C36="VOLADO",0,IF(((4*((BD36*AR36*Y36^2*1E-4*DATOS!$C$86/100/1000)+((MAX(AZ36,BB36)*AR36*Y36^2*1E-4*DATOS!$C$86/100/1000)+(IF(AND(AZ36&gt;0,BB36&gt;0),MIN(AZ36,BB36),MAX(AZ36,BB36))*AR36*Y36^2*1E-4*DATOS!$C$86/100/1000))/2)+BJ36-(IF(AND(AZ36&gt;0,BB36&gt;0),MIN(AZ36,BB36),MAX(AZ36,BB36))*AR36*Y36^2*1E-4*DATOS!$C$86/100/1000))^2-16*((BD36*AR36*Y36^2*1E-4*DATOS!$C$86/100/1000)+((MAX(AZ36,BB36)*AR36*Y36^2*1E-4*DATOS!$C$86/100/1000)+(IF(AND(AZ36&gt;0,BB36&gt;0),MIN(AZ36,BB36),MAX(AZ36,BB36))*AR36*Y36^2*1E-4*DATOS!$C$86/100/1000))/2)*BJ36)&lt;0,CEILING(AC36,5),CEILING(MAX(AC36*((4*((BD36*AR36*Y36^2*1E-4*DATOS!$C$86/100/1000)+((MAX(AZ36,BB36)*AR36*Y36^2*1E-4*DATOS!$C$86/100/1000)+(IF(AND(AZ36&gt;0,BB36&gt;0),MIN(AZ36,BB36),MAX(AZ36,BB36))*AR36*Y36^2*1E-4*DATOS!$C$86/100/1000))/2)+BJ36-(IF(AND(AZ36&gt;0,BB36&gt;0),MIN(AZ36,BB36),MAX(AZ36,BB36))*AR36*Y36^2*1E-4*DATOS!$C$86/100/1000))-SQRT(MAX(0,((4*((BD36*AR36*Y36^2*1E-4*DATOS!$C$86/100/1000)+((MAX(AZ36,BB36)*AR36*Y36^2*1E-4*DATOS!$C$86/100/1000)+(IF(AND(AZ36&gt;0,BB36&gt;0),MIN(AZ36,BB36),MAX(AZ36,BB36))*AR36*Y36^2*1E-4*DATOS!$C$86/100/1000))/2)+BJ36-(IF(AND(AZ36&gt;0,BB36&gt;0),MIN(AZ36,BB36),MAX(AZ36,BB36))*AR36*Y36^2*1E-4*DATOS!$C$86/100/1000))^2-16*((BD36*AR36*Y36^2*1E-4*DATOS!$C$86/100/1000)+((MAX(AZ36,BB36)*AR36*Y36^2*1E-4*DATOS!$C$86/100/1000)+(IF(AND(AZ36&gt;0,BB36&gt;0),MIN(AZ36,BB36),MAX(AZ36,BB36))*AR36*Y36^2*1E-4*DATOS!$C$86/100/1000))/2)*BJ36))))/(8*MAX(((BD36*AR36*Y36^2*1E-4*DATOS!$C$86/100/1000)+((MAX(AZ36,BB36)*AR36*Y36^2*1E-4*DATOS!$C$86/100/1000)+(IF(AND(AZ36&gt;0,BB36&gt;0),MIN(AZ36,BB36),MAX(AZ36,BB36))*AR36*Y36^2*1E-4*DATOS!$C$86/100/1000))/2),1E-9))+MAX(CN36,12*INDEX(TABLAS!$C$52:$C$58,MATCH(CL36,TABLAS!$B$52:$B$58,0)),AC36/16),IF(OR(AL36&lt;INDEX(TABLAS!$C$52:$C$58,MATCH(CL36,TABLAS!$B$52:$B$58,0)),AND(CM36&gt;=2,(DATOS!$C$83-2*AL36-CM36*INDEX(TABLAS!$C$52:$C$58,MATCH(CL36,TABLAS!$B$52:$B$58,0)))/MAX(CM36-1,1)&lt;2*INDEX(TABLAS!$C$52:$C$58,MATCH(CL36,TABLAS!$B$52:$B$58,0)))),INDEX(TABLAS!$I$52:$I$58,MATCH(CL36,TABLAS!$B$52:$B$58,0)),INDEX(TABLAS!$F$52:$F$58,MATCH(CL36,TABLAS!$B$52:$B$58,0)))),5))))</f>
        <v/>
      </c>
      <c r="DE36" s="55" t="str">
        <f>IF(V36&lt;&gt;"SÍ","",IF(AND(C36="PERIMETRAL",BW36&gt;=2,AS36-AT36&gt;0,BA36*AR36*Y36^2*1E-4*DATOS!$C$86/100/1000&gt;DATOS!$C$29*INDEX(TABLAS!$D$52:$D$58,MATCH(BV36,TABLAS!$B$52:$B$58,0))*DATOS!$C$14*(BX36-INDEX(TABLAS!$D$52:$D$58,MATCH(BV36,TABLAS!$B$52:$B$58,0))*DATOS!$C$14/(DATOS!$C$21*AF36)/2)/1E5),"SÍ","NO"))</f>
        <v/>
      </c>
      <c r="DF36" s="55" t="str">
        <f>IF(V36&lt;&gt;"SÍ","",IF(AND(C36="PERIMETRAL",CM36&gt;=2,AT36&gt;0,BB36*AR36*Y36^2*1E-4*DATOS!$C$86/100/1000&gt;DATOS!$C$29*INDEX(TABLAS!$D$52:$D$58,MATCH(CL36,TABLAS!$B$52:$B$58,0))*DATOS!$C$14*(CN36-INDEX(TABLAS!$D$52:$D$58,MATCH(CL36,TABLAS!$B$52:$B$58,0))*DATOS!$C$14/(DATOS!$C$21*AG36)/2)/1E5),"SÍ","NO"))</f>
        <v/>
      </c>
      <c r="DG36" s="63" t="str">
        <f>IF(V36&lt;&gt;"SÍ","",IF(OR(C36="VOLADO",AS36=0),"—",IF(AND(AND(1.25*INDEX(TABLAS!$G$52:$G$58,MATCH(MAX(BN36,CD36),TABLAS!$B$52:$B$58,0))&lt;=(DATOS!$C$75-DATOS!$C$63),(DATOS!$C$75-DATOS!$C$63)&gt;=15,INDEX(TABLAS!$G$52:$G$58,MATCH(MAX(BV36,CL36),TABLAS!$B$52:$B$58,0))&lt;=(DATOS!$C$75-DATOS!$C$63)),8*INDEX(TABLAS!$C$52:$C$58,MATCH(MAX(MAX(BN36,CD36),MAX(BV36,CL36)),TABLAS!$B$52:$B$58,0))&lt;=DATOS!$C$76-2*DATOS!$C$63),"CUMPLE (gancho de 180°)",IF(AND(1.25*INDEX(TABLAS!$G$52:$G$58,MATCH(MAX(BN36,CD36),TABLAS!$B$52:$B$58,0))&lt;=(DATOS!$C$75-DATOS!$C$63),(DATOS!$C$75-DATOS!$C$63)&gt;=15,INDEX(TABLAS!$G$52:$G$58,MATCH(MAX(BV36,CL36),TABLAS!$B$52:$B$58,0))&lt;=(DATOS!$C$75-DATOS!$C$63)),"NO CUMPLE: el gancho de 180° (8·d_b) no cabe en el peralte de la dala de borde","NO CUMPLE: dala de borde ≥ "&amp;TEXT(CEILING(MAX(1.25*INDEX(TABLAS!$G$52:$G$58,MATCH(MAX(BN36,CD36),TABLAS!$B$52:$B$58,0)),15,INDEX(TABLAS!$G$52:$G$58,MATCH(MAX(BV36,CL36),TABLAS!$B$52:$B$58,0)))+DATOS!$C$63,5),"0")&amp;" cm de ancho"&amp;IF(8*INDEX(TABLAS!$C$52:$C$58,MATCH(MAX(MAX(BN36,CD36),MAX(BV36,CL36)),TABLAS!$B$52:$B$58,0))&lt;=DATOS!$C$76-2*DATOS!$C$63,""," y más peralte para el gancho")))))</f>
        <v/>
      </c>
      <c r="DH36" s="59" t="str">
        <f>IF(V36&lt;&gt;"SÍ","",MAX(0,INT((E36*100-DATOS!$C$87-IF(AND(C36="PERIMETRAL",I36="DISCONTINUO"),MAX(0,DATOS!$C$75-DATOS!$C$87),0)-IF(AND(C36="PERIMETRAL",J36="DISCONTINUO"),MAX(0,DATOS!$C$75-DATOS!$C$87),0)+DATOS!$C$86-IF(X36="X",DATOS!$C$81,AE36))/DATOS!$C$86)))</f>
        <v/>
      </c>
      <c r="DI36" s="59" t="str">
        <f>IF(V36&lt;&gt;"SÍ","",MAX(0,INT((F36*100-DATOS!$C$87-IF(AND(C36="PERIMETRAL",G36="DISCONTINUO"),MAX(0,DATOS!$C$75-DATOS!$C$87),0)-IF(AND(C36="PERIMETRAL",H36="DISCONTINUO"),MAX(0,DATOS!$C$75-DATOS!$C$87),0)+DATOS!$C$86-IF(X36="Y",DATOS!$C$81,AE36))/DATOS!$C$86)))</f>
        <v/>
      </c>
      <c r="DJ36" s="57" t="str">
        <f>IF(V36&lt;&gt;"SÍ","",IF(DH36&gt;0,IF(AND(C36="PERIMETRAL",I36="DISCONTINUO"),MAX(0,DATOS!$C$75-DATOS!$C$87),0)+(E36*100-DATOS!$C$87-IF(AND(C36="PERIMETRAL",I36="DISCONTINUO"),MAX(0,DATOS!$C$75-DATOS!$C$87),0)-IF(AND(C36="PERIMETRAL",J36="DISCONTINUO"),MAX(0,DATOS!$C$75-DATOS!$C$87),0)-(DH36*IF(X36="X",DATOS!$C$81,AE36)+(DH36-1)*(DATOS!$C$86-IF(X36="X",DATOS!$C$81,AE36))))/2,E36*100/2))</f>
        <v/>
      </c>
      <c r="DK36" s="57" t="str">
        <f>IF(V36&lt;&gt;"SÍ","",IF(DH36&gt;0,IF(AND(C36="PERIMETRAL",J36="DISCONTINUO"),MAX(0,DATOS!$C$75-DATOS!$C$87),0)+(E36*100-DATOS!$C$87-IF(AND(C36="PERIMETRAL",I36="DISCONTINUO"),MAX(0,DATOS!$C$75-DATOS!$C$87),0)-IF(AND(C36="PERIMETRAL",J36="DISCONTINUO"),MAX(0,DATOS!$C$75-DATOS!$C$87),0)-(DH36*IF(X36="X",DATOS!$C$81,AE36)+(DH36-1)*(DATOS!$C$86-IF(X36="X",DATOS!$C$81,AE36))))/2,E36*100/2))</f>
        <v/>
      </c>
      <c r="DL36" s="57" t="str">
        <f>IF(V36&lt;&gt;"SÍ","",IF(DI36&gt;0,IF(AND(C36="PERIMETRAL",G36="DISCONTINUO"),MAX(0,DATOS!$C$75-DATOS!$C$87),0)+(F36*100-DATOS!$C$87-IF(AND(C36="PERIMETRAL",G36="DISCONTINUO"),MAX(0,DATOS!$C$75-DATOS!$C$87),0)-IF(AND(C36="PERIMETRAL",H36="DISCONTINUO"),MAX(0,DATOS!$C$75-DATOS!$C$87),0)-(DI36*IF(X36="Y",DATOS!$C$81,AE36)+(DI36-1)*(DATOS!$C$86-IF(X36="Y",DATOS!$C$81,AE36))))/2,F36*100/2))</f>
        <v/>
      </c>
      <c r="DM36" s="57" t="str">
        <f>IF(V36&lt;&gt;"SÍ","",IF(DI36&gt;0,IF(AND(C36="PERIMETRAL",H36="DISCONTINUO"),MAX(0,DATOS!$C$75-DATOS!$C$87),0)+(F36*100-DATOS!$C$87-IF(AND(C36="PERIMETRAL",G36="DISCONTINUO"),MAX(0,DATOS!$C$75-DATOS!$C$87),0)-IF(AND(C36="PERIMETRAL",H36="DISCONTINUO"),MAX(0,DATOS!$C$75-DATOS!$C$87),0)-(DI36*IF(X36="Y",DATOS!$C$81,AE36)+(DI36-1)*(DATOS!$C$86-IF(X36="Y",DATOS!$C$81,AE36))))/2,F36*100/2))</f>
        <v/>
      </c>
      <c r="DN36" s="59" t="str">
        <f>IF(V36&lt;&gt;"SÍ","",IF(NOT(AND(C36="VOLADO",AD36&gt;DATOS!$C$83)),0,IF(INDEX(TABLAS!$C$52:$C$58,MATCH(BV36,TABLAS!$B$52:$B$58,0))&lt;=DATOS!$C$83-2*DATOS!$C$63,1,0)))</f>
        <v/>
      </c>
      <c r="DO36" s="58" t="str">
        <f>IF(V36&lt;&gt;"SÍ","",IF(NOT(AND(C36="VOLADO",AD36&gt;DATOS!$C$83)),0,((DATOS!$C$85-MAX(DATOS!$C$63,(DATOS!$C$84-2*DATOS!$C$97)/2)-2*DATOS!$C$97-INDEX(TABLAS!$C$52:$C$58,MATCH(MAX(4,DATOS!$C$72),TABLAS!$B$52:$B$58,0))-INDEX(TABLAS!$C$52:$C$58,MATCH(BV36,TABLAS!$B$52:$B$58,0))/2)-IF(AND((DATOS!$C$85-MAX(DATOS!$C$63,(DATOS!$C$84-2*DATOS!$C$97)/2)-2*DATOS!$C$97-INDEX(TABLAS!$C$52:$C$58,MATCH(MAX(4,DATOS!$C$72),TABLAS!$B$52:$B$58,0))-INDEX(TABLAS!$C$52:$C$58,MATCH(BV36,TABLAS!$B$52:$B$58,0))/2)&lt;=20,DATOS!$C$65&lt;&gt;"SÍ"),2,0))))</f>
        <v/>
      </c>
      <c r="DP36" s="56" t="str">
        <f>IF(V36&lt;&gt;"SÍ","",IF(OR(NOT(AND(C36="VOLADO",AD36&gt;DATOS!$C$83)),DN36&lt;1),0,IF(0.003*(DO36-((DN36*INDEX(TABLAS!$D$52:$D$58,MATCH(BV36,TABLAS!$B$52:$B$58,0)))*DATOS!$C$14/(DATOS!$C$21*AG36)/DATOS!$C$22))/((DN36*INDEX(TABLAS!$D$52:$D$58,MATCH(BV36,TABLAS!$B$52:$B$58,0)))*DATOS!$C$14/(DATOS!$C$21*AG36)/DATOS!$C$22)&lt;0.005,0,DATOS!$C$29*(DN36*INDEX(TABLAS!$D$52:$D$58,MATCH(BV36,TABLAS!$B$52:$B$58,0)))*DATOS!$C$14*(DO36-(DN36*INDEX(TABLAS!$D$52:$D$58,MATCH(BV36,TABLAS!$B$52:$B$58,0)))*DATOS!$C$14/(DATOS!$C$21*AG36)/2)/1E5)))</f>
        <v/>
      </c>
      <c r="DQ36" s="56" t="str">
        <f>IF(V36&lt;&gt;"SÍ","",IF(OR(NOT(AND(C36="VOLADO",AD36&gt;DATOS!$C$83)),DN36&lt;1),0,DATOS!$C$30*2*MIN(1,SQRT(2/(1+0.04*DO36)))*((DN36*INDEX(TABLAS!$D$52:$D$58,MATCH(BV36,TABLAS!$B$52:$B$58,0)))/(AG36*DO36))^(1/3)*SQRT(DATOS!$C$13)*AG36*DO36/1000))</f>
        <v/>
      </c>
      <c r="DR36" s="56" t="str">
        <f>IF(V36&lt;&gt;"SÍ","",IF(NOT(AND(C36="VOLADO",AD36&gt;DATOS!$C$83)),0,IF((BH36-DP36)&lt;=0,0,IF(DP36&lt;=0,IF(ISNUMBER(P36),P36,Y36),IF(((0.9*DATOS!$C$90*DATOS!$C$86/100/1000)*IF(ISNUMBER(P36),P36,Y36)/2+BH36/IF(ISNUMBER(P36),P36,Y36))^2-4*((0.9*DATOS!$C$90*DATOS!$C$86/100/1000)/2)*(BH36-DP36)&lt;0,IF(ISNUMBER(P36),P36,Y36),MIN(IF(ISNUMBER(P36),P36,Y36),(((0.9*DATOS!$C$90*DATOS!$C$86/100/1000)*IF(ISNUMBER(P36),P36,Y36)/2+BH36/IF(ISNUMBER(P36),P36,Y36))-SQRT(((0.9*DATOS!$C$90*DATOS!$C$86/100/1000)*IF(ISNUMBER(P36),P36,Y36)/2+BH36/IF(ISNUMBER(P36),P36,Y36))^2-4*((0.9*DATOS!$C$90*DATOS!$C$86/100/1000)/2)*(BH36-DP36)))/(2*((0.9*DATOS!$C$90*DATOS!$C$86/100/1000)/2))))))))</f>
        <v/>
      </c>
      <c r="DS36" s="56" t="str">
        <f>IF(V36&lt;&gt;"SÍ","",IF(NOT(AND(C36="VOLADO",AD36&gt;DATOS!$C$83)),0,IF(DQ36&lt;=(BH36/((IF(ISNUMBER(P36),P36,Y36)*100-DATOS!$C$87)/100)),IF(ISNUMBER(P36),P36,Y36),MIN(IF(ISNUMBER(P36),P36,Y36),MAX(0,(IF(ISNUMBER(P36),P36,Y36)*100-DATOS!$C$87)/200-(DQ36-(BH36/((IF(ISNUMBER(P36),P36,Y36)*100-DATOS!$C$87)/100)))/((0.95-0.5*IF(N(Q36)&gt;0,MIN(IF(ISNUMBER(P36),P36,Y36),Q36)/MAX(IF(ISNUMBER(P36),P36,Y36),Q36),0))*DATOS!$C$33*AR36*DATOS!$C$86/100/1000))))))</f>
        <v/>
      </c>
      <c r="DT36" s="56" t="str">
        <f>IF(V36&lt;&gt;"SÍ","",IF(NOT(AND(C36="VOLADO",AD36&gt;DATOS!$C$83)),0,(BH36/((IF(ISNUMBER(P36),P36,Y36)*100-DATOS!$C$87)/100))+((0.95-0.5*IF(N(Q36)&gt;0,MIN(IF(ISNUMBER(P36),P36,Y36),Q36)/MAX(IF(ISNUMBER(P36),P36,Y36),Q36),0))*DATOS!$C$33*AR36*DATOS!$C$86/100/1000)*MAX(0,(IF(ISNUMBER(P36),P36,Y36)*100-DATOS!$C$87)/200-BX36/100)))</f>
        <v/>
      </c>
      <c r="DU36" s="59" t="str">
        <f>IF(V36&lt;&gt;"SÍ","",IF(NOT(AND(C36="VOLADO",AD36&gt;DATOS!$C$83)),0,MIN(FLOOR(100*IF(ISNUMBER(P36),P36,Y36)-DATOS!$C$63,5),CEILING(100*MIN(IF(ISNUMBER(P36),P36,Y36),MAX(IF(DR36&gt;0,DR36+IF(BW36&gt;=2,MAX(DO36,12*INDEX(TABLAS!$C$52:$C$58,MATCH(BV36,TABLAS!$B$52:$B$58,0)))/100,0),0),DS36,IF(BW36&gt;=2,INDEX(TABLAS!$F$52:$F$58,MATCH(BV36,TABLAS!$B$52:$B$58,0))/100,0))),5))))</f>
        <v/>
      </c>
      <c r="DV36" s="60" t="str">
        <f>IF(V36&lt;&gt;"SÍ","",IF(NOT(AND(C36="VOLADO",AD36&gt;DATOS!$C$83)),0,IF(DU36&lt;=0,0,CEILING(DU36/DATOS!$C$86,1))))</f>
        <v/>
      </c>
      <c r="DW36" s="61" t="str">
        <f>IF(V36&lt;&gt;"SÍ","",IF(C36&lt;&gt;"VOLADO","—",IF(AD36&lt;=DATOS!$C$83,"— (mismo b_w que el respaldo)",IF(DT36&gt;CS36,"NO CUMPLE: cortante de la nervadura ancha junto al apoyo ("&amp;TEXT(DT36,"0.00")&amp;" &gt; "&amp;TEXT(CS36,"0.00")&amp;" t)",IF(DU36&gt;=100*IF(ISNUMBER(P36),P36,Y36),"CUMPLE — todas las nervaduras del respaldo ‖ al volado con b_w = "&amp;AD36&amp;" cm","CUMPLE — "&amp;DV36&amp;" hilera(s) del respaldo con nervaduras de b_w = "&amp;AD36&amp;" cm (casetón "&amp;AE36&amp;" cm), hasta "&amp;TEXT(DU36/100,"0.00")&amp;" m del paño")))))</f>
        <v/>
      </c>
      <c r="DX36" s="69" t="str">
        <f>IF(V36&lt;&gt;"SÍ","",IF(BO36=0,"NO ALCANZA",BO36&amp;" No. "&amp;BN36&amp;IF(BO36&gt;1," corridas"," corrida")))</f>
        <v/>
      </c>
      <c r="DY36" s="69" t="str">
        <f>IF(V36&lt;&gt;"SÍ","",IF(BW36=0,"NO ALCANZA",IF(AND(C36="VOLADO",AD36&gt;DATOS!$C$83,BW36&gt;=2),"1 No. "&amp;BV36&amp;" corrida de la orilla al respaldo ("&amp;IF(DC36&gt;=FLOOR(100*IF(ISNUMBER(P36),P36,Y36)-DATOS!$C$63,5),"hasta su apoyo lejano, con gancho","entra "&amp;TEXT(DC36/100,"0.00")&amp;" m desde el paño")&amp;") + "&amp;(BW36-1)&amp;" bastón No. "&amp;BV36&amp;" hasta "&amp;TEXT(DU36/100,"0.00")&amp;" m del paño (fin de la nervadura ancha)",IF(C36="VOLADO",BW36&amp;" No. "&amp;BV36&amp;" de la orilla al respaldo ("&amp;IF(DC36&gt;=FLOOR(100*IF(ISNUMBER(P36),P36,Y36)-DATOS!$C$63,5),"hasta su apoyo lejano, con gancho","entran "&amp;TEXT(DC36/100,"0.00")&amp;" m desde el paño")&amp;")","1 No. "&amp;BV36&amp;" corrida"&amp;IF(BW36&gt;1," + "&amp;(BW36-1)&amp;" bastón No. "&amp;BV36&amp;" L = "&amp;TEXT(DC36/100,"0.00")&amp;" m desde el paño","")))))</f>
        <v/>
      </c>
      <c r="DZ36" s="69" t="str">
        <f>IF(V36&lt;&gt;"SÍ","",IF(CE36=0,"NO ALCANZA",CE36&amp;" No. "&amp;CD36&amp;IF(CE36&gt;1," corridas"," corrida")))</f>
        <v/>
      </c>
      <c r="EA36" s="69" t="str">
        <f>IF(V36&lt;&gt;"SÍ","",IF(CM36=0,"NO ALCANZA",IF(C36="VOLADO","1 No. "&amp;CL36&amp;" corrida (repartición)","1 No. "&amp;CL36&amp;" corrida"&amp;IF(CM36&gt;1," + "&amp;(CM36-1)&amp;" bastón No. "&amp;CL36&amp;" L = "&amp;TEXT(DD36/100,"0.00")&amp;" m desde el paño",""))))</f>
        <v/>
      </c>
      <c r="EB36" s="67" t="str">
        <f>IF(B36="","",IF(V36&lt;&gt;"SÍ","FALTAN DATOS: tipo, a_x, a_y, destino y, en volados, L_b",IF(L36="NO MONOLÍTICO (caso II)","FUERA DE ALCANCE: caso II no transcrito",IF(AND(C36="VOLADO",W36="?"),"REVISAR: el volado lleva UN solo borde CONTINUO (el empotrado)",IF(MIN(DH36,DI36)=0,"REVISAR: no cabe un casetón (tablero macizo): diséñalo en MACIZAS",IF(AND(MAX(BR36,BZ36,CH36,CP36)&lt;=1,NOT(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T(OR(AND(ISNUMBER(BS36),BS36&lt;0.005),AND(ISNUMBER(CA36),CA36&lt;0.005),AND(ISNUMBER(CI36),CI36&lt;0.005),AND(ISNUMBER(CQ36),CQ36&lt;0.005))),NOT(LEFT(DW36,2)="NO"),DA36="CUMPLE",DB36="CUMPLE",LEFT(CU36,2)&lt;&gt;"NO",LEFT(DATOS!$C$132,6)="CUMPLE"),IF(LEFT(CU36,6)="CUMPLE","CUMPLE","CUMPLE — "&amp;CU36)&amp;IF(LEFT(BK36,5)="FUERA"," · fuera de 3.4.2.1 c)","")&amp;IF(LEFT(DG36,2)="NO"," · REVISAR anclaje en borde discontinuo","")&amp;IF(DV36&gt;0," · respaldo: "&amp;DV36&amp;" hilera(s) de b_w "&amp;AD36&amp;" cm",""),IF(AND(MAX(BR36,BZ36,CH36,CP36)&lt;=1,NOT(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T(OR(AND(ISNUMBER(BS36),BS36&lt;0.005),AND(ISNUMBER(CA36),CA36&lt;0.005),AND(ISNUMBER(CI36),CI36&lt;0.005),AND(ISNUMBER(CQ36),CQ36&lt;0.005))),NOT(LEFT(DW36,2)="NO"),DA36="CALCULAR FLECHA",LEFT(CU36,2)&lt;&gt;"NO",LEFT(DATOS!$C$132,6)="CUMPLE"),"REVISAR: calcular flecha (h_eq &lt; h mín.)"&amp;IF(LEFT(BK36,5)="FUERA"," · fuera de 3.4.2.1 c)","")&amp;IF(LEFT(DG36,2)="NO"," · REVISAR anclaje en borde discontinuo","")&amp;IF(DV36&gt;0," · respaldo: "&amp;DV36&amp;" hilera(s) de b_w "&amp;AD36&amp;" cm",""),"NO CUMPLE: "&amp;IF(MAX(BR36,BZ36,CH36,CP36)&gt;1,"flexión ","")&amp;IF(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 caben ","")&amp;IF(OR(AND(ISNUMBER(BS36),BS36&lt;0.005),AND(ISNUMBER(CA36),CA36&lt;0.005),AND(ISNUMBER(CI36),CI36&lt;0.005),AND(ISNUMBER(CQ36),CQ36&lt;0.005)),"ε_t &lt; 0.005 ","")&amp;IF(LEFT(CU36,2)="NO","cortante ","")&amp;IF(DA36="NO CUMPLE","peralte ","")&amp;IF(DB36&lt;&gt;"CUMPLE","capa &lt; 6 cm ","")&amp;IF(LEFT(DATOS!$C$132,6)&lt;&gt;"CUMPLE","capa o malla (DATOS sección 7) ","")&amp;IF(LEFT(DW36,2)="NO","respaldo del volado",""))))))))</f>
        <v/>
      </c>
      <c r="EC36" s="70" t="str">
        <f>IF(V36&lt;&gt;"SÍ","",IF(LEFT(B36,7)="EJEMPLO","EJEMPLO de la hoja de Casa Rocha: bórralo o sobrescríbelo. ","")&amp;IF(AND(C36="PERIMETRAL",MIN(DH36,DI36)=0),"No cabe un casetón en el claro corto: es un tablero macizo, diséñalo en MACIZAS. ","")&amp;IF(AND(AJ36="NO",C36="PERIMETRAL"),"No cumple 6.7.8.1.4 (a_c = "&amp;MAX(DATOS!$C$81,AE36)&amp;" cm &gt; claro corto/6 = "&amp;TEXT(Y36*100/6,"0")&amp;" cm): se diseña como losa apoyada en vigas (6.7.8.1.9): r de viga = "&amp;DATOS!$C$63&amp;" cm y V_cR sin ×1.1. Para que cuente como encasetonada: casetón de "&amp;TEXT(FLOOR(MIN(80,Y36*100/6),1),"0")&amp;" cm o menor. ","")&amp;IF(C36="VOLADO","Volado de "&amp;TEXT(Y36,"0.00")&amp;" m empotrado en el borde "&amp;LOWER(W36)&amp;IF(N(O36)&gt;0,", con "&amp;TEXT(O36,"0.0")&amp;" kg/m en la orilla","")&amp;". Lecho inferior con r_ext. Si la orilla carga pretil u otro elemento frágil, calcula la flecha (13.4). El acero superior entra al respaldo de "&amp;TEXT(IF(ISNUMBER(P36),P36,Y36),"0.00")&amp;" m"&amp;" hasta pasar M = 0 con 0.9·PP sin carga viva; si ahí no se anula, llega al apoyo lejano y se ancla con gancho (NTC-Criterios 3.4.1 c y 5.1.2.2). "&amp;IF(AD36&gt;DATOS!$C$83,"Respaldo: "&amp;DW36&amp;". ",""),"")&amp;IF(AND(C36="VOLADO",((0.9*DATOS!$C$90*DATOS!$C$86/100/1000)*IF(ISNUMBER(P36),P36,Y36)/2-BH36/IF(ISNUMBER(P36),P36,Y36))&lt;0),"Con 0.9·PP y sin carga viva el apoyo lejano del respaldo levanta (R = "&amp;TEXT(-((0.9*DATOS!$C$90*DATOS!$C$86/100/1000)*IF(ISNUMBER(P36),P36,Y36)/2-BH36/IF(ISNUMBER(P36),P36,Y36)),"0.00")&amp;" t por nervadura): ancla ahí la corrida con gancho y revisa ese apoyo a tensión. ","")&amp;IF(LEFT(BK36,5)="FUERA","El M⁻ del vecino difiere más de 50 % (3.4.2.1 c): distribuye el desequilibrio (3.4.3.1) o confirma con un modelo; se arma con el mayor. ","")&amp;IF(OR(DE36="SÍ",DF36="SÍ"),"El M⁻ del borde discontinuo pide bastón también ahí (con gancho). ","")&amp;IF(LEFT(DG36,2)="NO","Anclaje: "&amp;DG36&amp;" (6.7.8.1.7). ","")&amp;IF(AND(C36="PERIMETRAL",AT36&gt;=1,AS36-AT36&gt;=1),"Esquinas exteriores sobre muro: refuerzo de esquina arriba y abajo en L_largo/5 (6.7.7.3.1). ",""))</f>
        <v/>
      </c>
    </row>
    <row r="37" ht="33" customHeight="1">
      <c r="A37" s="50">
        <f>IF(B37="",0,1)+A36</f>
        <v>4</v>
      </c>
      <c r="B37" s="29" t="n"/>
      <c r="C37" s="51" t="n"/>
      <c r="D37" s="29" t="n"/>
      <c r="E37" s="52" t="n"/>
      <c r="F37" s="52" t="n"/>
      <c r="G37" s="51" t="n"/>
      <c r="H37" s="51" t="n"/>
      <c r="I37" s="51" t="n"/>
      <c r="J37" s="51" t="n"/>
      <c r="K37" s="51" t="n"/>
      <c r="L37" s="51" t="n"/>
      <c r="M37" s="53" t="n"/>
      <c r="N37" s="53" t="n"/>
      <c r="O37" s="54" t="n"/>
      <c r="P37" s="52" t="n"/>
      <c r="Q37" s="52" t="n"/>
      <c r="R37" s="53" t="n"/>
      <c r="S37" s="54" t="n"/>
      <c r="T37" s="52" t="n"/>
      <c r="U37" s="52" t="n"/>
      <c r="V37" s="55" t="str">
        <f>IF(B37="","",IF(AND(OR(C37="PERIMETRAL",C37="VOLADO"),ISNUMBER(E37),ISNUMBER(F37),E37&gt;0,F37&gt;0,OR(ISNUMBER(N37),ISNUMBER(MATCH(D37,DATOS!$B$46:$B$58,0))),OR(C37&lt;&gt;"VOLADO",N(P37)&gt;0)),"SÍ","NO"))</f>
        <v/>
      </c>
      <c r="W37" s="55" t="str">
        <f>IF(V37&lt;&gt;"SÍ","",IF(C37&lt;&gt;"VOLADO","—",IF(COUNTIF(G37:J37,"CONTINUO")&lt;&gt;1,"?",IF(G37="CONTINUO","INFERIOR",IF(H37="CONTINUO","SUPERIOR",IF(I37="CONTINUO","IZQUIERDO","DERECHO"))))))</f>
        <v/>
      </c>
      <c r="X37" s="55" t="str">
        <f>IF(V37&lt;&gt;"SÍ","",IF(C37="VOLADO",IF(OR(W37="IZQUIERDO",W37="DERECHO"),"X","Y"),IF(E37&lt;=F37,"X","Y")))</f>
        <v/>
      </c>
      <c r="Y37" s="56" t="str">
        <f>IF(V37&lt;&gt;"SÍ","",IF(C37="VOLADO",IF(X37="X",E37,F37),MIN(E37,F37)))</f>
        <v/>
      </c>
      <c r="Z37" s="56" t="str">
        <f>IF(V37&lt;&gt;"SÍ","",IF(C37="VOLADO",IF(X37="X",F37,E37),MAX(E37,F37)))</f>
        <v/>
      </c>
      <c r="AA37" s="56" t="str">
        <f>IF(V37&lt;&gt;"SÍ","",MIN(Y37,Z37)/MAX(Y37,Z37))</f>
        <v/>
      </c>
      <c r="AB37" s="57" t="str">
        <f>IF(V37&lt;&gt;"SÍ","",MAX(1,Y37*100-IF(C37="VOLADO",DATOS!$C$87/2,DATOS!$C$87)))</f>
        <v/>
      </c>
      <c r="AC37" s="57" t="str">
        <f>IF(V37&lt;&gt;"SÍ","",MAX(1,Z37*100-DATOS!$C$87))</f>
        <v/>
      </c>
      <c r="AD37" s="57" t="str">
        <f>IF(V37&lt;&gt;"SÍ","",IF(ISNUMBER(R37),R37,DATOS!$C$83))</f>
        <v/>
      </c>
      <c r="AE37" s="57" t="str">
        <f>IF(V37&lt;&gt;"SÍ","",MAX(0,DATOS!$C$86-AD37))</f>
        <v/>
      </c>
      <c r="AF37" s="57" t="str">
        <f>IF(V37&lt;&gt;"SÍ","",IF(OR(DATOS!$C$65="SÍ",AD37&gt;=20),AD37,AD37-2))</f>
        <v/>
      </c>
      <c r="AG37" s="57" t="str">
        <f>IF(V37&lt;&gt;"SÍ","",IF(OR(DATOS!$C$65="SÍ",DATOS!$C$83&gt;=20),DATOS!$C$83,DATOS!$C$83-2))</f>
        <v/>
      </c>
      <c r="AH37" s="57" t="str">
        <f>IF(V37&lt;&gt;"SÍ","",MIN(DATOS!$C$86,AD37+2*MIN(8*DATOS!$C$84,AE37/2,AB37/8)))</f>
        <v/>
      </c>
      <c r="AI37" s="57" t="str">
        <f>IF(V37&lt;&gt;"SÍ","",MIN(DATOS!$C$86,DATOS!$C$83+2*MIN(8*DATOS!$C$84,DATOS!$C$81/2,AC37/8)))</f>
        <v/>
      </c>
      <c r="AJ37" s="55" t="str">
        <f>IF(V37&lt;&gt;"SÍ","",IF(AND(C37="PERIMETRAL",Y37*100&gt;=6*MAX(DATOS!$C$81,AE37),MAX(DATOS!$C$81,AE37)&lt;=80,MIN(DATOS!$C$83,AD37)&gt;=10,DATOS!$C$85&lt;=3.5*MIN(DATOS!$C$83,AD37),DATOS!$C$84&gt;=MAX(MAX(DATOS!$C$81,AE37)/13,5)),"SÍ","NO"))</f>
        <v/>
      </c>
      <c r="AK37" s="57" t="str">
        <f>IF(V37&lt;&gt;"SÍ","",IF(C37="VOLADO",DATOS!$C$64,IF(AJ37="NO",DATOS!$C$63,DATOS!$C$62)))</f>
        <v/>
      </c>
      <c r="AL37" s="57" t="str">
        <f>IF(V37&lt;&gt;"SÍ","",IF(OR(AND(AN37="SÍ",DATOS!$C$66="SÍ"),AND(C37="VOLADO",DATOS!$C$67="SÍ")),DATOS!$C$64,IF(AJ37="NO",DATOS!$C$63,DATOS!$C$62)))</f>
        <v/>
      </c>
      <c r="AM37" s="58" t="str">
        <f>IF(V37&lt;&gt;"SÍ","",MAX(AL37,(DATOS!$C$84-2*DATOS!$C$97)/2))</f>
        <v/>
      </c>
      <c r="AN37" s="55" t="str">
        <f>IF(V37&lt;&gt;"SÍ","",IFERROR(INDEX(DATOS!$D$46:$D$58,MATCH(D37,DATOS!$B$46:$B$58,0)),"NO"))</f>
        <v/>
      </c>
      <c r="AO37" s="59" t="str">
        <f>IF(V37&lt;&gt;"SÍ","",IF(ISNUMBER(N37),N37,IFERROR(INDEX(DATOS!$C$46:$C$58,MATCH(D37,DATOS!$B$46:$B$58,0)),0)))</f>
        <v/>
      </c>
      <c r="AP37" s="59" t="str">
        <f>IF(V37&lt;&gt;"SÍ","",IF(MIN(DH37,DI37)=0,DATOS!$C$85/100*DATOS!$C$16*1000,(DATOS!$C$85/100-(AE37*DATOS!$C$81/DATOS!$C$86^2)*DATOS!$C$82/100)*DATOS!$C$16*1000+(AE37*DATOS!$C$81/DATOS!$C$86^2)*DATOS!$C$82/100*DATOS!$C$17*1000)+DATOS!$C$37+DATOS!$C$38)</f>
        <v/>
      </c>
      <c r="AQ37" s="59" t="str">
        <f>IF(V37&lt;&gt;"SÍ","",AP37+N(M37))</f>
        <v/>
      </c>
      <c r="AR37" s="60" t="str">
        <f>IF(V37&lt;&gt;"SÍ","",MAX(DATOS!$C$26*AQ37+DATOS!$C$27*AO37,IF(AN37="SÍ",DATOS!$C$28*(AQ37+DATOS!$C$41),0)))</f>
        <v/>
      </c>
      <c r="AS37" s="59" t="str">
        <f>IF(V37&lt;&gt;"SÍ","",(G37="DISCONTINUO")+(H37="DISCONTINUO")+(I37="DISCONTINUO")+(J37="DISCONTINUO"))</f>
        <v/>
      </c>
      <c r="AT37" s="59" t="str">
        <f>IF(V37&lt;&gt;"SÍ","",IF(X37="X",(G37="DISCONTINUO")+(H37="DISCONTINUO"),(I37="DISCONTINUO")+(J37="DISCONTINUO")))</f>
        <v/>
      </c>
      <c r="AU37" s="55" t="str">
        <f>IF(V37&lt;&gt;"SÍ","",IF(AS37=0,"INTERIOR",IF(AS37=1,IF(AT37=1,"BORDE-CORTO","BORDE-LARGO"),IF(AS37=2,IF(AT37=1,"ESQUINA",IF(AT37=2,"EXTREMO-LARGO","EXTREMO-CORTO")),IF(AS37=3,IF(AT37=2,"EXTREMO-LARGO","EXTREMO-CORTO"),"AISLADO")))))</f>
        <v/>
      </c>
      <c r="AV37" s="61" t="str">
        <f>IF(V37&lt;&gt;"SÍ","",IF(OR(K37="",K37="AUTO"),AU37,K37))</f>
        <v/>
      </c>
      <c r="AW37" s="59" t="str">
        <f>IF(V37&lt;&gt;"SÍ","",MATCH(AA37,TABLAS!$D$5:$J$5,1))</f>
        <v/>
      </c>
      <c r="AX37" s="58" t="str">
        <f>IF(V37&lt;&gt;"SÍ","",IF(AW37&gt;=7,0,(AA37-INDEX(TABLAS!$D$5:$J$5,AW37))/(INDEX(TABLAS!$D$5:$J$5,AW37+1)-INDEX(TABLAS!$D$5:$J$5,AW37))))</f>
        <v/>
      </c>
      <c r="AY37" s="59" t="str">
        <f>IF(V37&lt;&gt;"SÍ","",INDEX(TABLAS!$D$6:$J$47,MATCH(AV37&amp;"|NIC",TABLAS!$B$6:$B$47,0),AW37)+AX37*(INDEX(TABLAS!$D$6:$J$47,MATCH(AV37&amp;"|NIC",TABLAS!$B$6:$B$47,0),MIN(AW37+1,7))-INDEX(TABLAS!$D$6:$J$47,MATCH(AV37&amp;"|NIC",TABLAS!$B$6:$B$47,0),AW37)))</f>
        <v/>
      </c>
      <c r="AZ37" s="59" t="str">
        <f>IF(V37&lt;&gt;"SÍ","",INDEX(TABLAS!$D$6:$J$47,MATCH(AV37&amp;"|NIL",TABLAS!$B$6:$B$47,0),AW37)+AX37*(INDEX(TABLAS!$D$6:$J$47,MATCH(AV37&amp;"|NIL",TABLAS!$B$6:$B$47,0),MIN(AW37+1,7))-INDEX(TABLAS!$D$6:$J$47,MATCH(AV37&amp;"|NIL",TABLAS!$B$6:$B$47,0),AW37)))</f>
        <v/>
      </c>
      <c r="BA37" s="59" t="str">
        <f>IF(V37&lt;&gt;"SÍ","",INDEX(TABLAS!$D$6:$J$47,MATCH(AV37&amp;"|NDC",TABLAS!$B$6:$B$47,0),AW37)+AX37*(INDEX(TABLAS!$D$6:$J$47,MATCH(AV37&amp;"|NDC",TABLAS!$B$6:$B$47,0),MIN(AW37+1,7))-INDEX(TABLAS!$D$6:$J$47,MATCH(AV37&amp;"|NDC",TABLAS!$B$6:$B$47,0),AW37)))</f>
        <v/>
      </c>
      <c r="BB37" s="59" t="str">
        <f>IF(V37&lt;&gt;"SÍ","",INDEX(TABLAS!$D$6:$J$47,MATCH(AV37&amp;"|NDL",TABLAS!$B$6:$B$47,0),AW37)+AX37*(INDEX(TABLAS!$D$6:$J$47,MATCH(AV37&amp;"|NDL",TABLAS!$B$6:$B$47,0),MIN(AW37+1,7))-INDEX(TABLAS!$D$6:$J$47,MATCH(AV37&amp;"|NDL",TABLAS!$B$6:$B$47,0),AW37)))</f>
        <v/>
      </c>
      <c r="BC37" s="59" t="str">
        <f>IF(V37&lt;&gt;"SÍ","",INDEX(TABLAS!$D$6:$J$47,MATCH(AV37&amp;"|PC",TABLAS!$B$6:$B$47,0),AW37)+AX37*(INDEX(TABLAS!$D$6:$J$47,MATCH(AV37&amp;"|PC",TABLAS!$B$6:$B$47,0),MIN(AW37+1,7))-INDEX(TABLAS!$D$6:$J$47,MATCH(AV37&amp;"|PC",TABLAS!$B$6:$B$47,0),AW37)))</f>
        <v/>
      </c>
      <c r="BD37" s="59" t="str">
        <f>IF(V37&lt;&gt;"SÍ","",INDEX(TABLAS!$D$6:$J$47,MATCH(AV37&amp;"|PL",TABLAS!$B$6:$B$47,0),AW37)+AX37*(INDEX(TABLAS!$D$6:$J$47,MATCH(AV37&amp;"|PL",TABLAS!$B$6:$B$47,0),MIN(AW37+1,7))-INDEX(TABLAS!$D$6:$J$47,MATCH(AV37&amp;"|PL",TABLAS!$B$6:$B$47,0),AW37)))</f>
        <v/>
      </c>
      <c r="BE37" s="56" t="str">
        <f>IF(V37&lt;&gt;"SÍ","",IF(OR(C37&lt;&gt;"VOLADO",MIN(DH37,DI37)=0),0,DATOS!$C$26*DATOS!$C$16*DATOS!$C$86/100*(((AE37*DATOS!$C$81/DATOS!$C$86^2)*DATOS!$C$82/100)*(IF(X37="X",DJ37,DL37)+DATOS!$C$87/2)/100*(AB37-(IF(X37="X",DJ37,DL37)+DATOS!$C$87/2)/2)/100+((AE37*DATOS!$C$81/DATOS!$C$86^2)*DATOS!$C$82/100)*IF(X37="X",DJ37,DL37)/100*IF(X37="X",DJ37,DL37)/200)))</f>
        <v/>
      </c>
      <c r="BF37" s="56" t="str">
        <f>IF(V37&lt;&gt;"SÍ","",IF(OR(C37&lt;&gt;"VOLADO",MIN(DH37,DI37)=0),0,DATOS!$C$26*DATOS!$C$16*DATOS!$C$86/100*((AE37*DATOS!$C$81/DATOS!$C$86^2)*DATOS!$C$82/100)*(IF(X37="X",DJ37,DL37)+DATOS!$C$87/2)/100))</f>
        <v/>
      </c>
      <c r="BG37" s="56" t="str">
        <f>IF(V37&lt;&gt;"SÍ","",IF(C37="PERIMETRAL",BC37*AR37*Y37^2*1E-4*DATOS!$C$86/100/1000,0))</f>
        <v/>
      </c>
      <c r="BH37" s="62" t="str">
        <f>IF(V37&lt;&gt;"SÍ","",IF(C37="PERIMETRAL",MAX(MAX(AY37,BA37)*AR37*Y37^2*1E-4*DATOS!$C$86/100/1000,N(T37)),(AR37*(AB37/100)^2/2+DATOS!$C$26*N(O37)*AB37/100)*DATOS!$C$86/100/1000+BE37))</f>
        <v/>
      </c>
      <c r="BI37" s="56" t="str">
        <f>IF(V37&lt;&gt;"SÍ","",IF(C37="PERIMETRAL",BD37*AR37*Y37^2*1E-4*DATOS!$C$86/100/1000,0))</f>
        <v/>
      </c>
      <c r="BJ37" s="56" t="str">
        <f>IF(V37&lt;&gt;"SÍ","",IF(C37="PERIMETRAL",MAX(MAX(AZ37,BB37)*AR37*Y37^2*1E-4*DATOS!$C$86/100/1000,N(U37)),0))</f>
        <v/>
      </c>
      <c r="BK37" s="63" t="str">
        <f>IF(V37&lt;&gt;"SÍ","",IF(C37&lt;&gt;"PERIMETRAL","—",IF(AND(N(T37)=0,N(U37)=0),"— (sin M⁻ del vecino)",IF(OR(AND(N(T37)&gt;0,ABS(MAX(AY37,BA37)*AR37*Y37^2*1E-4*DATOS!$C$86/100/1000-N(T37))&gt;0.5*MIN(MAX(AY37,BA37)*AR37*Y37^2*1E-4*DATOS!$C$86/100/1000,N(T37))),AND(N(U37)&gt;0,ABS(MAX(AZ37,BB37)*AR37*Y37^2*1E-4*DATOS!$C$86/100/1000-N(U37))&gt;0.5*MIN(MAX(AZ37,BB37)*AR37*Y37^2*1E-4*DATOS!$C$86/100/1000,N(U37)))),"FUERA: difieren &gt; 50 %"&amp;IF(AND(N(T37)&gt;0,ABS(MAX(AY37,BA37)*AR37*Y37^2*1E-4*DATOS!$C$86/100/1000-N(T37))&gt;0.5*MIN(MAX(AY37,BA37)*AR37*Y37^2*1E-4*DATOS!$C$86/100/1000,N(T37)))," ‖ corto","")&amp;IF(AND(N(U37)&gt;0,ABS(MAX(AZ37,BB37)*AR37*Y37^2*1E-4*DATOS!$C$86/100/1000-N(U37))&gt;0.5*MIN(MAX(AZ37,BB37)*AR37*Y37^2*1E-4*DATOS!$C$86/100/1000,N(U37)))," ‖ largo",""),"CUMPLE"))))</f>
        <v/>
      </c>
      <c r="BL37" s="58" t="str">
        <f>IF(V37&lt;&gt;"SÍ","",(DATOS!$C$85-AK37-INDEX(TABLAS!$C$52:$C$58,MATCH(MAX(4,DATOS!$C$71),TABLAS!$B$52:$B$58,0))/2))</f>
        <v/>
      </c>
      <c r="BM37" s="58" t="str">
        <f>IF(V37&lt;&gt;"SÍ","",IF(IF(BG37&lt;=0,0,IF((1-2*BG37*1E5/(DATOS!$C$29*AH37*BL37^2*DATOS!$C$21))&lt;0,-1,IF((1-SQRT((1-2*BG37*1E5/(DATOS!$C$29*AH37*BL37^2*DATOS!$C$21))))*DATOS!$C$21*AH37*BL37/DATOS!$C$14&gt;DATOS!$C$102*AH37*BL37,-1,(1-SQRT((1-2*BG37*1E5/(DATOS!$C$29*AH37*BL37^2*DATOS!$C$21))))*DATOS!$C$21*AH37*BL37/DATOS!$C$14)))&lt;0,-1,MAX(IF(BG37&lt;=0,0,IF((1-2*BG37*1E5/(DATOS!$C$29*AH37*BL37^2*DATOS!$C$21))&lt;0,-1,IF((1-SQRT((1-2*BG37*1E5/(DATOS!$C$29*AH37*BL37^2*DATOS!$C$21))))*DATOS!$C$21*AH37*BL37/DATOS!$C$14&gt;DATOS!$C$102*AH37*BL37,-1,(1-SQRT((1-2*BG37*1E5/(DATOS!$C$29*AH37*BL37^2*DATOS!$C$21))))*DATOS!$C$21*AH37*BL37/DATOS!$C$14))),MIN(DATOS!$C$103*AD37*BL37,4/3*IF(BG37&lt;=0,0,IF((1-2*BG37*1E5/(DATOS!$C$29*AH37*BL37^2*DATOS!$C$21))&lt;0,-1,IF((1-SQRT((1-2*BG37*1E5/(DATOS!$C$29*AH37*BL37^2*DATOS!$C$21))))*DATOS!$C$21*AH37*BL37/DATOS!$C$14&gt;DATOS!$C$102*AH37*BL37,-1,(1-SQRT((1-2*BG37*1E5/(DATOS!$C$29*AH37*BL37^2*DATOS!$C$21))))*DATOS!$C$21*AH37*BL37/DATOS!$C$14)))))))</f>
        <v/>
      </c>
      <c r="BN37" s="64" t="str">
        <f>IF(V37&lt;&gt;"SÍ","",IF(AND(BM37&gt;=0,IF(MAX(DATOS!$C$74,CEILING(BM37/INDEX(TABLAS!$D$52:$D$58,MIN(MATCH(MAX(4,DATOS!$C$71),TABLAS!$B$52:$B$58,0)+0,7)),1))*INDEX(TABLAS!$D$52:$D$58,MIN(MATCH(MAX(4,DATOS!$C$71),TABLAS!$B$52:$B$58,0)+0,7)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+0,7)),1)),MAX(MAX(DATOS!$C$74,CEILING(BM37/INDEX(TABLAS!$D$52:$D$58,MIN(MATCH(MAX(4,DATOS!$C$71),TABLAS!$B$52:$B$58,0)+0,7)),1)),2))&lt;=MIN(DATOS!$C$73,INT(((AD37-2*AK37)+MAX(DATOS!$C$70,INDEX(TABLAS!$C$52:$C$58,MIN(MATCH(MAX(4,DATOS!$C$71),TABLAS!$B$52:$B$58,0)+0,7))))/(INDEX(TABLAS!$C$52:$C$58,MIN(MATCH(MAX(4,DATOS!$C$71),TABLAS!$B$52:$B$58,0)+0,7))+MAX(DATOS!$C$70,INDEX(TABLAS!$C$52:$C$58,MIN(MATCH(MAX(4,DATOS!$C$71),TABLAS!$B$52:$B$58,0)+0,7))))))),INDEX(TABLAS!$B$52:$B$58,MIN(MATCH(MAX(4,DATOS!$C$71),TABLAS!$B$52:$B$58,0)+0,7)),IF(AND(BM37&gt;=0,IF(MAX(DATOS!$C$74,CEILING(BM37/INDEX(TABLAS!$D$52:$D$58,MIN(MATCH(MAX(4,DATOS!$C$71),TABLAS!$B$52:$B$58,0)+1,7)),1))*INDEX(TABLAS!$D$52:$D$58,MIN(MATCH(MAX(4,DATOS!$C$71),TABLAS!$B$52:$B$58,0)+1,7)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+1,7)),1)),MAX(MAX(DATOS!$C$74,CEILING(BM37/INDEX(TABLAS!$D$52:$D$58,MIN(MATCH(MAX(4,DATOS!$C$71),TABLAS!$B$52:$B$58,0)+1,7)),1)),2))&lt;=MIN(DATOS!$C$73,INT(((AD37-2*AK37)+MAX(DATOS!$C$70,INDEX(TABLAS!$C$52:$C$58,MIN(MATCH(MAX(4,DATOS!$C$71),TABLAS!$B$52:$B$58,0)+1,7))))/(INDEX(TABLAS!$C$52:$C$58,MIN(MATCH(MAX(4,DATOS!$C$71),TABLAS!$B$52:$B$58,0)+1,7))+MAX(DATOS!$C$70,INDEX(TABLAS!$C$52:$C$58,MIN(MATCH(MAX(4,DATOS!$C$71),TABLAS!$B$52:$B$58,0)+1,7))))))),INDEX(TABLAS!$B$52:$B$58,MIN(MATCH(MAX(4,DATOS!$C$71),TABLAS!$B$52:$B$58,0)+1,7)),IF(AND(BM37&gt;=0,IF(MAX(DATOS!$C$74,CEILING(BM37/INDEX(TABLAS!$D$52:$D$58,MIN(MATCH(MAX(4,DATOS!$C$71),TABLAS!$B$52:$B$58,0)+2,7)),1))*INDEX(TABLAS!$D$52:$D$58,MIN(MATCH(MAX(4,DATOS!$C$71),TABLAS!$B$52:$B$58,0)+2,7)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+2,7)),1)),MAX(MAX(DATOS!$C$74,CEILING(BM37/INDEX(TABLAS!$D$52:$D$58,MIN(MATCH(MAX(4,DATOS!$C$71),TABLAS!$B$52:$B$58,0)+2,7)),1)),2))&lt;=MIN(DATOS!$C$73,INT(((AD37-2*AK37)+MAX(DATOS!$C$70,INDEX(TABLAS!$C$52:$C$58,MIN(MATCH(MAX(4,DATOS!$C$71),TABLAS!$B$52:$B$58,0)+2,7))))/(INDEX(TABLAS!$C$52:$C$58,MIN(MATCH(MAX(4,DATOS!$C$71),TABLAS!$B$52:$B$58,0)+2,7))+MAX(DATOS!$C$70,INDEX(TABLAS!$C$52:$C$58,MIN(MATCH(MAX(4,DATOS!$C$71),TABLAS!$B$52:$B$58,0)+2,7))))))),INDEX(TABLAS!$B$52:$B$58,MIN(MATCH(MAX(4,DATOS!$C$71),TABLAS!$B$52:$B$58,0)+2,7)),IF(AND(BM37&gt;=0,IF(MAX(DATOS!$C$74,CEILING(BM37/INDEX(TABLAS!$D$52:$D$58,MIN(MATCH(MAX(4,DATOS!$C$71),TABLAS!$B$52:$B$58,0)+3,7)),1))*INDEX(TABLAS!$D$52:$D$58,MIN(MATCH(MAX(4,DATOS!$C$71),TABLAS!$B$52:$B$58,0)+3,7)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+3,7)),1)),MAX(MAX(DATOS!$C$74,CEILING(BM37/INDEX(TABLAS!$D$52:$D$58,MIN(MATCH(MAX(4,DATOS!$C$71),TABLAS!$B$52:$B$58,0)+3,7)),1)),2))&lt;=MIN(DATOS!$C$73,INT(((AD37-2*AK37)+MAX(DATOS!$C$70,INDEX(TABLAS!$C$52:$C$58,MIN(MATCH(MAX(4,DATOS!$C$71),TABLAS!$B$52:$B$58,0)+3,7))))/(INDEX(TABLAS!$C$52:$C$58,MIN(MATCH(MAX(4,DATOS!$C$71),TABLAS!$B$52:$B$58,0)+3,7))+MAX(DATOS!$C$70,INDEX(TABLAS!$C$52:$C$58,MIN(MATCH(MAX(4,DATOS!$C$71),TABLAS!$B$52:$B$58,0)+3,7))))))),INDEX(TABLAS!$B$52:$B$58,MIN(MATCH(MAX(4,DATOS!$C$71),TABLAS!$B$52:$B$58,0)+3,7)),IF(AND(BM37&gt;=0,IF(MAX(DATOS!$C$74,CEILING(BM37/INDEX(TABLAS!$D$52:$D$58,MIN(MATCH(MAX(4,DATOS!$C$71),TABLAS!$B$52:$B$58,0)+4,7)),1))*INDEX(TABLAS!$D$52:$D$58,MIN(MATCH(MAX(4,DATOS!$C$71),TABLAS!$B$52:$B$58,0)+4,7)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+4,7)),1)),MAX(MAX(DATOS!$C$74,CEILING(BM37/INDEX(TABLAS!$D$52:$D$58,MIN(MATCH(MAX(4,DATOS!$C$71),TABLAS!$B$52:$B$58,0)+4,7)),1)),2))&lt;=MIN(DATOS!$C$73,INT(((AD37-2*AK37)+MAX(DATOS!$C$70,INDEX(TABLAS!$C$52:$C$58,MIN(MATCH(MAX(4,DATOS!$C$71),TABLAS!$B$52:$B$58,0)+4,7))))/(INDEX(TABLAS!$C$52:$C$58,MIN(MATCH(MAX(4,DATOS!$C$71),TABLAS!$B$52:$B$58,0)+4,7))+MAX(DATOS!$C$70,INDEX(TABLAS!$C$52:$C$58,MIN(MATCH(MAX(4,DATOS!$C$71),TABLAS!$B$52:$B$58,0)+4,7))))))),INDEX(TABLAS!$B$52:$B$58,MIN(MATCH(MAX(4,DATOS!$C$71),TABLAS!$B$52:$B$58,0)+4,7)),INDEX(TABLAS!$B$52:$B$58,7)))))))</f>
        <v/>
      </c>
      <c r="BO37" s="59" t="str">
        <f>IF(V37&lt;&gt;"SÍ","",IF(BM37&lt;0,0,IF(MAX(DATOS!$C$74,CEILING(MAX(BM37,0)/INDEX(TABLAS!$D$52:$D$58,MATCH(BN37,TABLAS!$B$52:$B$58,0)),1))*INDEX(TABLAS!$D$52:$D$58,MATCH(BN37,TABLAS!$B$52:$B$58,0))&gt;=4/3*IF(BG37&lt;=0,0,IF((1-2*BG37*1E5/(DATOS!$C$29*AH37*BL37^2*DATOS!$C$21))&lt;0,-1,IF((1-SQRT((1-2*BG37*1E5/(DATOS!$C$29*AH37*BL37^2*DATOS!$C$21))))*DATOS!$C$21*AH37*BL37/DATOS!$C$14&gt;DATOS!$C$102*AH37*BL37,-1,(1-SQRT((1-2*BG37*1E5/(DATOS!$C$29*AH37*BL37^2*DATOS!$C$21))))*DATOS!$C$21*AH37*BL37/DATOS!$C$14)))-0.0001,MAX(DATOS!$C$74,CEILING(MAX(BM37,0)/INDEX(TABLAS!$D$52:$D$58,MATCH(BN37,TABLAS!$B$52:$B$58,0)),1)),MAX(MAX(DATOS!$C$74,CEILING(MAX(BM37,0)/INDEX(TABLAS!$D$52:$D$58,MATCH(BN37,TABLAS!$B$52:$B$58,0)),1)),2))))</f>
        <v/>
      </c>
      <c r="BP37" s="58" t="str">
        <f>IF(V37&lt;&gt;"SÍ","",DATOS!$C$85-AK37-INDEX(TABLAS!$C$52:$C$58,MATCH(BN37,TABLAS!$B$52:$B$58,0))/2)</f>
        <v/>
      </c>
      <c r="BQ37" s="56" t="str">
        <f>IF(V37&lt;&gt;"SÍ","",IF(BO37=0,0,DATOS!$C$29*BO37*INDEX(TABLAS!$D$52:$D$58,MATCH(BN37,TABLAS!$B$52:$B$58,0))*DATOS!$C$14*(BP37-BO37*INDEX(TABLAS!$D$52:$D$58,MATCH(BN37,TABLAS!$B$52:$B$58,0))*DATOS!$C$14/(DATOS!$C$21*AH37)/2)/1E5))</f>
        <v/>
      </c>
      <c r="BR37" s="65" t="str">
        <f>IF(V37&lt;&gt;"SÍ","",IF(BM37&lt;0,9.99,IF(BQ37&gt;0,BG37/BQ37,0)))</f>
        <v/>
      </c>
      <c r="BS37" s="66" t="str">
        <f>IF(V37&lt;&gt;"SÍ","",IF(BO37=0,"—",0.003*(BP37-(BO37*INDEX(TABLAS!$D$52:$D$58,MATCH(BN37,TABLAS!$B$52:$B$58,0))*DATOS!$C$14/(DATOS!$C$21*AH37)/DATOS!$C$22))/(BO37*INDEX(TABLAS!$D$52:$D$58,MATCH(BN37,TABLAS!$B$52:$B$58,0))*DATOS!$C$14/(DATOS!$C$21*AH37)/DATOS!$C$22)))</f>
        <v/>
      </c>
      <c r="BT37" s="58" t="str">
        <f>IF(V37&lt;&gt;"SÍ","",((DATOS!$C$85-AM37-2*DATOS!$C$97-INDEX(TABLAS!$C$52:$C$58,MATCH(MAX(4,DATOS!$C$72),TABLAS!$B$52:$B$58,0))/2)-IF(AND((DATOS!$C$85-AM37-2*DATOS!$C$97-INDEX(TABLAS!$C$52:$C$58,MATCH(MAX(4,DATOS!$C$72),TABLAS!$B$52:$B$58,0))/2)&lt;=20,DATOS!$C$65&lt;&gt;"SÍ"),2,0)))</f>
        <v/>
      </c>
      <c r="BU37" s="58" t="str">
        <f>IF(V37&lt;&gt;"SÍ","",IF(IF(BH37&lt;=0,0,IF((1-2*BH37*1E5/(DATOS!$C$29*AF37*BT37^2*DATOS!$C$21))&lt;0,-1,IF((1-SQRT((1-2*BH37*1E5/(DATOS!$C$29*AF37*BT37^2*DATOS!$C$21))))*DATOS!$C$21*AF37*BT37/DATOS!$C$14&gt;DATOS!$C$102*AF37*BT37,-1,(1-SQRT((1-2*BH37*1E5/(DATOS!$C$29*AF37*BT37^2*DATOS!$C$21))))*DATOS!$C$21*AF37*BT37/DATOS!$C$14)))&lt;0,-1,MAX(IF(BH37&lt;=0,0,IF((1-2*BH37*1E5/(DATOS!$C$29*AF37*BT37^2*DATOS!$C$21))&lt;0,-1,IF((1-SQRT((1-2*BH37*1E5/(DATOS!$C$29*AF37*BT37^2*DATOS!$C$21))))*DATOS!$C$21*AF37*BT37/DATOS!$C$14&gt;DATOS!$C$102*AF37*BT37,-1,(1-SQRT((1-2*BH37*1E5/(DATOS!$C$29*AF37*BT37^2*DATOS!$C$21))))*DATOS!$C$21*AF37*BT37/DATOS!$C$14))),MIN(DATOS!$C$103*IF(C37="VOLADO",MIN(AH37,2*AD37),AD37)*BT37,4/3*IF(BH37&lt;=0,0,IF((1-2*BH37*1E5/(DATOS!$C$29*AF37*BT37^2*DATOS!$C$21))&lt;0,-1,IF((1-SQRT((1-2*BH37*1E5/(DATOS!$C$29*AF37*BT37^2*DATOS!$C$21))))*DATOS!$C$21*AF37*BT37/DATOS!$C$14&gt;DATOS!$C$102*AF37*BT37,-1,(1-SQRT((1-2*BH37*1E5/(DATOS!$C$29*AF37*BT37^2*DATOS!$C$21))))*DATOS!$C$21*AF37*BT37/DATOS!$C$14)))))))</f>
        <v/>
      </c>
      <c r="BV37" s="64" t="str">
        <f>IF(V37&lt;&gt;"SÍ","",IF(AND(BU37&gt;=0,IF(MAX(DATOS!$C$74,CEILING(BU37/INDEX(TABLAS!$D$52:$D$58,MIN(MATCH(MAX(4,DATOS!$C$72),TABLAS!$B$52:$B$58,0)+0,7)),1))*INDEX(TABLAS!$D$52:$D$58,MIN(MATCH(MAX(4,DATOS!$C$72),TABLAS!$B$52:$B$58,0)+0,7)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+0,7)),1)),MAX(MAX(DATOS!$C$74,CEILING(BU37/INDEX(TABLAS!$D$52:$D$58,MIN(MATCH(MAX(4,DATOS!$C$72),TABLAS!$B$52:$B$58,0)+0,7)),1)),2))&lt;=MIN(DATOS!$C$73,INT(((AD37-2*AL37)+MAX(DATOS!$C$70,INDEX(TABLAS!$C$52:$C$58,MIN(MATCH(MAX(4,DATOS!$C$72),TABLAS!$B$52:$B$58,0)+0,7))))/(INDEX(TABLAS!$C$52:$C$58,MIN(MATCH(MAX(4,DATOS!$C$72),TABLAS!$B$52:$B$58,0)+0,7))+MAX(DATOS!$C$70,INDEX(TABLAS!$C$52:$C$58,MIN(MATCH(MAX(4,DATOS!$C$72),TABLAS!$B$52:$B$58,0)+0,7))))))),INDEX(TABLAS!$B$52:$B$58,MIN(MATCH(MAX(4,DATOS!$C$72),TABLAS!$B$52:$B$58,0)+0,7)),IF(AND(BU37&gt;=0,IF(MAX(DATOS!$C$74,CEILING(BU37/INDEX(TABLAS!$D$52:$D$58,MIN(MATCH(MAX(4,DATOS!$C$72),TABLAS!$B$52:$B$58,0)+1,7)),1))*INDEX(TABLAS!$D$52:$D$58,MIN(MATCH(MAX(4,DATOS!$C$72),TABLAS!$B$52:$B$58,0)+1,7)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+1,7)),1)),MAX(MAX(DATOS!$C$74,CEILING(BU37/INDEX(TABLAS!$D$52:$D$58,MIN(MATCH(MAX(4,DATOS!$C$72),TABLAS!$B$52:$B$58,0)+1,7)),1)),2))&lt;=MIN(DATOS!$C$73,INT(((AD37-2*AL37)+MAX(DATOS!$C$70,INDEX(TABLAS!$C$52:$C$58,MIN(MATCH(MAX(4,DATOS!$C$72),TABLAS!$B$52:$B$58,0)+1,7))))/(INDEX(TABLAS!$C$52:$C$58,MIN(MATCH(MAX(4,DATOS!$C$72),TABLAS!$B$52:$B$58,0)+1,7))+MAX(DATOS!$C$70,INDEX(TABLAS!$C$52:$C$58,MIN(MATCH(MAX(4,DATOS!$C$72),TABLAS!$B$52:$B$58,0)+1,7))))))),INDEX(TABLAS!$B$52:$B$58,MIN(MATCH(MAX(4,DATOS!$C$72),TABLAS!$B$52:$B$58,0)+1,7)),IF(AND(BU37&gt;=0,IF(MAX(DATOS!$C$74,CEILING(BU37/INDEX(TABLAS!$D$52:$D$58,MIN(MATCH(MAX(4,DATOS!$C$72),TABLAS!$B$52:$B$58,0)+2,7)),1))*INDEX(TABLAS!$D$52:$D$58,MIN(MATCH(MAX(4,DATOS!$C$72),TABLAS!$B$52:$B$58,0)+2,7)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+2,7)),1)),MAX(MAX(DATOS!$C$74,CEILING(BU37/INDEX(TABLAS!$D$52:$D$58,MIN(MATCH(MAX(4,DATOS!$C$72),TABLAS!$B$52:$B$58,0)+2,7)),1)),2))&lt;=MIN(DATOS!$C$73,INT(((AD37-2*AL37)+MAX(DATOS!$C$70,INDEX(TABLAS!$C$52:$C$58,MIN(MATCH(MAX(4,DATOS!$C$72),TABLAS!$B$52:$B$58,0)+2,7))))/(INDEX(TABLAS!$C$52:$C$58,MIN(MATCH(MAX(4,DATOS!$C$72),TABLAS!$B$52:$B$58,0)+2,7))+MAX(DATOS!$C$70,INDEX(TABLAS!$C$52:$C$58,MIN(MATCH(MAX(4,DATOS!$C$72),TABLAS!$B$52:$B$58,0)+2,7))))))),INDEX(TABLAS!$B$52:$B$58,MIN(MATCH(MAX(4,DATOS!$C$72),TABLAS!$B$52:$B$58,0)+2,7)),IF(AND(BU37&gt;=0,IF(MAX(DATOS!$C$74,CEILING(BU37/INDEX(TABLAS!$D$52:$D$58,MIN(MATCH(MAX(4,DATOS!$C$72),TABLAS!$B$52:$B$58,0)+3,7)),1))*INDEX(TABLAS!$D$52:$D$58,MIN(MATCH(MAX(4,DATOS!$C$72),TABLAS!$B$52:$B$58,0)+3,7)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+3,7)),1)),MAX(MAX(DATOS!$C$74,CEILING(BU37/INDEX(TABLAS!$D$52:$D$58,MIN(MATCH(MAX(4,DATOS!$C$72),TABLAS!$B$52:$B$58,0)+3,7)),1)),2))&lt;=MIN(DATOS!$C$73,INT(((AD37-2*AL37)+MAX(DATOS!$C$70,INDEX(TABLAS!$C$52:$C$58,MIN(MATCH(MAX(4,DATOS!$C$72),TABLAS!$B$52:$B$58,0)+3,7))))/(INDEX(TABLAS!$C$52:$C$58,MIN(MATCH(MAX(4,DATOS!$C$72),TABLAS!$B$52:$B$58,0)+3,7))+MAX(DATOS!$C$70,INDEX(TABLAS!$C$52:$C$58,MIN(MATCH(MAX(4,DATOS!$C$72),TABLAS!$B$52:$B$58,0)+3,7))))))),INDEX(TABLAS!$B$52:$B$58,MIN(MATCH(MAX(4,DATOS!$C$72),TABLAS!$B$52:$B$58,0)+3,7)),IF(AND(BU37&gt;=0,IF(MAX(DATOS!$C$74,CEILING(BU37/INDEX(TABLAS!$D$52:$D$58,MIN(MATCH(MAX(4,DATOS!$C$72),TABLAS!$B$52:$B$58,0)+4,7)),1))*INDEX(TABLAS!$D$52:$D$58,MIN(MATCH(MAX(4,DATOS!$C$72),TABLAS!$B$52:$B$58,0)+4,7)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+4,7)),1)),MAX(MAX(DATOS!$C$74,CEILING(BU37/INDEX(TABLAS!$D$52:$D$58,MIN(MATCH(MAX(4,DATOS!$C$72),TABLAS!$B$52:$B$58,0)+4,7)),1)),2))&lt;=MIN(DATOS!$C$73,INT(((AD37-2*AL37)+MAX(DATOS!$C$70,INDEX(TABLAS!$C$52:$C$58,MIN(MATCH(MAX(4,DATOS!$C$72),TABLAS!$B$52:$B$58,0)+4,7))))/(INDEX(TABLAS!$C$52:$C$58,MIN(MATCH(MAX(4,DATOS!$C$72),TABLAS!$B$52:$B$58,0)+4,7))+MAX(DATOS!$C$70,INDEX(TABLAS!$C$52:$C$58,MIN(MATCH(MAX(4,DATOS!$C$72),TABLAS!$B$52:$B$58,0)+4,7))))))),INDEX(TABLAS!$B$52:$B$58,MIN(MATCH(MAX(4,DATOS!$C$72),TABLAS!$B$52:$B$58,0)+4,7)),INDEX(TABLAS!$B$52:$B$58,7)))))))</f>
        <v/>
      </c>
      <c r="BW37" s="59" t="str">
        <f>IF(V37&lt;&gt;"SÍ","",IF(BU37&lt;0,0,IF(MAX(DATOS!$C$74,CEILING(MAX(BU37,0)/INDEX(TABLAS!$D$52:$D$58,MATCH(BV37,TABLAS!$B$52:$B$58,0)),1))*INDEX(TABLAS!$D$52:$D$58,MATCH(BV37,TABLAS!$B$52:$B$58,0))&gt;=4/3*IF(BH37&lt;=0,0,IF((1-2*BH37*1E5/(DATOS!$C$29*AF37*BT37^2*DATOS!$C$21))&lt;0,-1,IF((1-SQRT((1-2*BH37*1E5/(DATOS!$C$29*AF37*BT37^2*DATOS!$C$21))))*DATOS!$C$21*AF37*BT37/DATOS!$C$14&gt;DATOS!$C$102*AF37*BT37,-1,(1-SQRT((1-2*BH37*1E5/(DATOS!$C$29*AF37*BT37^2*DATOS!$C$21))))*DATOS!$C$21*AF37*BT37/DATOS!$C$14)))-0.0001,MAX(DATOS!$C$74,CEILING(MAX(BU37,0)/INDEX(TABLAS!$D$52:$D$58,MATCH(BV37,TABLAS!$B$52:$B$58,0)),1)),MAX(MAX(DATOS!$C$74,CEILING(MAX(BU37,0)/INDEX(TABLAS!$D$52:$D$58,MATCH(BV37,TABLAS!$B$52:$B$58,0)),1)),2))))</f>
        <v/>
      </c>
      <c r="BX37" s="58" t="str">
        <f>IF(V37&lt;&gt;"SÍ","",((DATOS!$C$85-AM37-2*DATOS!$C$97-INDEX(TABLAS!$C$52:$C$58,MATCH(BV37,TABLAS!$B$52:$B$58,0))/2)-IF(AND((DATOS!$C$85-AM37-2*DATOS!$C$97-INDEX(TABLAS!$C$52:$C$58,MATCH(BV37,TABLAS!$B$52:$B$58,0))/2)&lt;=20,DATOS!$C$65&lt;&gt;"SÍ"),2,0)))</f>
        <v/>
      </c>
      <c r="BY37" s="56" t="str">
        <f>IF(V37&lt;&gt;"SÍ","",IF(BW37=0,0,DATOS!$C$29*BW37*INDEX(TABLAS!$D$52:$D$58,MATCH(BV37,TABLAS!$B$52:$B$58,0))*DATOS!$C$14*(BX37-BW37*INDEX(TABLAS!$D$52:$D$58,MATCH(BV37,TABLAS!$B$52:$B$58,0))*DATOS!$C$14/(DATOS!$C$21*AF37)/2)/1E5))</f>
        <v/>
      </c>
      <c r="BZ37" s="65" t="str">
        <f>IF(V37&lt;&gt;"SÍ","",IF(BU37&lt;0,9.99,IF(BY37&gt;0,BH37/BY37,0)))</f>
        <v/>
      </c>
      <c r="CA37" s="66" t="str">
        <f>IF(V37&lt;&gt;"SÍ","",IF(BW37=0,"—",0.003*(BX37-(BW37*INDEX(TABLAS!$D$52:$D$58,MATCH(BV37,TABLAS!$B$52:$B$58,0))*DATOS!$C$14/(DATOS!$C$21*AF37)/DATOS!$C$22))/(BW37*INDEX(TABLAS!$D$52:$D$58,MATCH(BV37,TABLAS!$B$52:$B$58,0))*DATOS!$C$14/(DATOS!$C$21*AF37)/DATOS!$C$22)))</f>
        <v/>
      </c>
      <c r="CB37" s="58" t="str">
        <f>IF(V37&lt;&gt;"SÍ","",(DATOS!$C$85-AK37-INDEX(TABLAS!$C$52:$C$58,MATCH(MAX(4,DATOS!$C$71),TABLAS!$B$52:$B$58,0))-INDEX(TABLAS!$C$52:$C$58,MATCH(MAX(4,DATOS!$C$71),TABLAS!$B$52:$B$58,0))/2))</f>
        <v/>
      </c>
      <c r="CC37" s="58" t="str">
        <f>IF(V37&lt;&gt;"SÍ","",IF(IF(BI37&lt;=0,0,IF((1-2*BI37*1E5/(DATOS!$C$29*AI37*CB37^2*DATOS!$C$21))&lt;0,-1,IF((1-SQRT((1-2*BI37*1E5/(DATOS!$C$29*AI37*CB37^2*DATOS!$C$21))))*DATOS!$C$21*AI37*CB37/DATOS!$C$14&gt;DATOS!$C$102*AI37*CB37,-1,(1-SQRT((1-2*BI37*1E5/(DATOS!$C$29*AI37*CB37^2*DATOS!$C$21))))*DATOS!$C$21*AI37*CB37/DATOS!$C$14)))&lt;0,-1,MAX(IF(BI37&lt;=0,0,IF((1-2*BI37*1E5/(DATOS!$C$29*AI37*CB37^2*DATOS!$C$21))&lt;0,-1,IF((1-SQRT((1-2*BI37*1E5/(DATOS!$C$29*AI37*CB37^2*DATOS!$C$21))))*DATOS!$C$21*AI37*CB37/DATOS!$C$14&gt;DATOS!$C$102*AI37*CB37,-1,(1-SQRT((1-2*BI37*1E5/(DATOS!$C$29*AI37*CB37^2*DATOS!$C$21))))*DATOS!$C$21*AI37*CB37/DATOS!$C$14))),MIN(DATOS!$C$103*DATOS!$C$83*CB37,4/3*IF(BI37&lt;=0,0,IF((1-2*BI37*1E5/(DATOS!$C$29*AI37*CB37^2*DATOS!$C$21))&lt;0,-1,IF((1-SQRT((1-2*BI37*1E5/(DATOS!$C$29*AI37*CB37^2*DATOS!$C$21))))*DATOS!$C$21*AI37*CB37/DATOS!$C$14&gt;DATOS!$C$102*AI37*CB37,-1,(1-SQRT((1-2*BI37*1E5/(DATOS!$C$29*AI37*CB37^2*DATOS!$C$21))))*DATOS!$C$21*AI37*CB37/DATOS!$C$14)))))))</f>
        <v/>
      </c>
      <c r="CD37" s="64" t="str">
        <f>IF(V37&lt;&gt;"SÍ","",IF(AND(CC37&gt;=0,IF(MAX(DATOS!$C$74,CEILING(CC37/INDEX(TABLAS!$D$52:$D$58,MIN(MATCH(MAX(4,DATOS!$C$71),TABLAS!$B$52:$B$58,0)+0,7)),1))*INDEX(TABLAS!$D$52:$D$58,MIN(MATCH(MAX(4,DATOS!$C$71),TABLAS!$B$52:$B$58,0)+0,7)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+0,7)),1)),MAX(MAX(DATOS!$C$74,CEILING(CC37/INDEX(TABLAS!$D$52:$D$58,MIN(MATCH(MAX(4,DATOS!$C$71),TABLAS!$B$52:$B$58,0)+0,7)),1)),2))&lt;=MIN(DATOS!$C$73,INT(((DATOS!$C$83-2*AK37)+MAX(DATOS!$C$70,INDEX(TABLAS!$C$52:$C$58,MIN(MATCH(MAX(4,DATOS!$C$71),TABLAS!$B$52:$B$58,0)+0,7))))/(INDEX(TABLAS!$C$52:$C$58,MIN(MATCH(MAX(4,DATOS!$C$71),TABLAS!$B$52:$B$58,0)+0,7))+MAX(DATOS!$C$70,INDEX(TABLAS!$C$52:$C$58,MIN(MATCH(MAX(4,DATOS!$C$71),TABLAS!$B$52:$B$58,0)+0,7))))))),INDEX(TABLAS!$B$52:$B$58,MIN(MATCH(MAX(4,DATOS!$C$71),TABLAS!$B$52:$B$58,0)+0,7)),IF(AND(CC37&gt;=0,IF(MAX(DATOS!$C$74,CEILING(CC37/INDEX(TABLAS!$D$52:$D$58,MIN(MATCH(MAX(4,DATOS!$C$71),TABLAS!$B$52:$B$58,0)+1,7)),1))*INDEX(TABLAS!$D$52:$D$58,MIN(MATCH(MAX(4,DATOS!$C$71),TABLAS!$B$52:$B$58,0)+1,7)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+1,7)),1)),MAX(MAX(DATOS!$C$74,CEILING(CC37/INDEX(TABLAS!$D$52:$D$58,MIN(MATCH(MAX(4,DATOS!$C$71),TABLAS!$B$52:$B$58,0)+1,7)),1)),2))&lt;=MIN(DATOS!$C$73,INT(((DATOS!$C$83-2*AK37)+MAX(DATOS!$C$70,INDEX(TABLAS!$C$52:$C$58,MIN(MATCH(MAX(4,DATOS!$C$71),TABLAS!$B$52:$B$58,0)+1,7))))/(INDEX(TABLAS!$C$52:$C$58,MIN(MATCH(MAX(4,DATOS!$C$71),TABLAS!$B$52:$B$58,0)+1,7))+MAX(DATOS!$C$70,INDEX(TABLAS!$C$52:$C$58,MIN(MATCH(MAX(4,DATOS!$C$71),TABLAS!$B$52:$B$58,0)+1,7))))))),INDEX(TABLAS!$B$52:$B$58,MIN(MATCH(MAX(4,DATOS!$C$71),TABLAS!$B$52:$B$58,0)+1,7)),IF(AND(CC37&gt;=0,IF(MAX(DATOS!$C$74,CEILING(CC37/INDEX(TABLAS!$D$52:$D$58,MIN(MATCH(MAX(4,DATOS!$C$71),TABLAS!$B$52:$B$58,0)+2,7)),1))*INDEX(TABLAS!$D$52:$D$58,MIN(MATCH(MAX(4,DATOS!$C$71),TABLAS!$B$52:$B$58,0)+2,7)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+2,7)),1)),MAX(MAX(DATOS!$C$74,CEILING(CC37/INDEX(TABLAS!$D$52:$D$58,MIN(MATCH(MAX(4,DATOS!$C$71),TABLAS!$B$52:$B$58,0)+2,7)),1)),2))&lt;=MIN(DATOS!$C$73,INT(((DATOS!$C$83-2*AK37)+MAX(DATOS!$C$70,INDEX(TABLAS!$C$52:$C$58,MIN(MATCH(MAX(4,DATOS!$C$71),TABLAS!$B$52:$B$58,0)+2,7))))/(INDEX(TABLAS!$C$52:$C$58,MIN(MATCH(MAX(4,DATOS!$C$71),TABLAS!$B$52:$B$58,0)+2,7))+MAX(DATOS!$C$70,INDEX(TABLAS!$C$52:$C$58,MIN(MATCH(MAX(4,DATOS!$C$71),TABLAS!$B$52:$B$58,0)+2,7))))))),INDEX(TABLAS!$B$52:$B$58,MIN(MATCH(MAX(4,DATOS!$C$71),TABLAS!$B$52:$B$58,0)+2,7)),IF(AND(CC37&gt;=0,IF(MAX(DATOS!$C$74,CEILING(CC37/INDEX(TABLAS!$D$52:$D$58,MIN(MATCH(MAX(4,DATOS!$C$71),TABLAS!$B$52:$B$58,0)+3,7)),1))*INDEX(TABLAS!$D$52:$D$58,MIN(MATCH(MAX(4,DATOS!$C$71),TABLAS!$B$52:$B$58,0)+3,7)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+3,7)),1)),MAX(MAX(DATOS!$C$74,CEILING(CC37/INDEX(TABLAS!$D$52:$D$58,MIN(MATCH(MAX(4,DATOS!$C$71),TABLAS!$B$52:$B$58,0)+3,7)),1)),2))&lt;=MIN(DATOS!$C$73,INT(((DATOS!$C$83-2*AK37)+MAX(DATOS!$C$70,INDEX(TABLAS!$C$52:$C$58,MIN(MATCH(MAX(4,DATOS!$C$71),TABLAS!$B$52:$B$58,0)+3,7))))/(INDEX(TABLAS!$C$52:$C$58,MIN(MATCH(MAX(4,DATOS!$C$71),TABLAS!$B$52:$B$58,0)+3,7))+MAX(DATOS!$C$70,INDEX(TABLAS!$C$52:$C$58,MIN(MATCH(MAX(4,DATOS!$C$71),TABLAS!$B$52:$B$58,0)+3,7))))))),INDEX(TABLAS!$B$52:$B$58,MIN(MATCH(MAX(4,DATOS!$C$71),TABLAS!$B$52:$B$58,0)+3,7)),IF(AND(CC37&gt;=0,IF(MAX(DATOS!$C$74,CEILING(CC37/INDEX(TABLAS!$D$52:$D$58,MIN(MATCH(MAX(4,DATOS!$C$71),TABLAS!$B$52:$B$58,0)+4,7)),1))*INDEX(TABLAS!$D$52:$D$58,MIN(MATCH(MAX(4,DATOS!$C$71),TABLAS!$B$52:$B$58,0)+4,7)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+4,7)),1)),MAX(MAX(DATOS!$C$74,CEILING(CC37/INDEX(TABLAS!$D$52:$D$58,MIN(MATCH(MAX(4,DATOS!$C$71),TABLAS!$B$52:$B$58,0)+4,7)),1)),2))&lt;=MIN(DATOS!$C$73,INT(((DATOS!$C$83-2*AK37)+MAX(DATOS!$C$70,INDEX(TABLAS!$C$52:$C$58,MIN(MATCH(MAX(4,DATOS!$C$71),TABLAS!$B$52:$B$58,0)+4,7))))/(INDEX(TABLAS!$C$52:$C$58,MIN(MATCH(MAX(4,DATOS!$C$71),TABLAS!$B$52:$B$58,0)+4,7))+MAX(DATOS!$C$70,INDEX(TABLAS!$C$52:$C$58,MIN(MATCH(MAX(4,DATOS!$C$71),TABLAS!$B$52:$B$58,0)+4,7))))))),INDEX(TABLAS!$B$52:$B$58,MIN(MATCH(MAX(4,DATOS!$C$71),TABLAS!$B$52:$B$58,0)+4,7)),INDEX(TABLAS!$B$52:$B$58,7)))))))</f>
        <v/>
      </c>
      <c r="CE37" s="59" t="str">
        <f>IF(V37&lt;&gt;"SÍ","",IF(CC37&lt;0,0,IF(MAX(DATOS!$C$74,CEILING(MAX(CC37,0)/INDEX(TABLAS!$D$52:$D$58,MATCH(CD37,TABLAS!$B$52:$B$58,0)),1))*INDEX(TABLAS!$D$52:$D$58,MATCH(CD37,TABLAS!$B$52:$B$58,0))&gt;=4/3*IF(BI37&lt;=0,0,IF((1-2*BI37*1E5/(DATOS!$C$29*AI37*CB37^2*DATOS!$C$21))&lt;0,-1,IF((1-SQRT((1-2*BI37*1E5/(DATOS!$C$29*AI37*CB37^2*DATOS!$C$21))))*DATOS!$C$21*AI37*CB37/DATOS!$C$14&gt;DATOS!$C$102*AI37*CB37,-1,(1-SQRT((1-2*BI37*1E5/(DATOS!$C$29*AI37*CB37^2*DATOS!$C$21))))*DATOS!$C$21*AI37*CB37/DATOS!$C$14)))-0.0001,MAX(DATOS!$C$74,CEILING(MAX(CC37,0)/INDEX(TABLAS!$D$52:$D$58,MATCH(CD37,TABLAS!$B$52:$B$58,0)),1)),MAX(MAX(DATOS!$C$74,CEILING(MAX(CC37,0)/INDEX(TABLAS!$D$52:$D$58,MATCH(CD37,TABLAS!$B$52:$B$58,0)),1)),2))))</f>
        <v/>
      </c>
      <c r="CF37" s="58" t="str">
        <f>IF(V37&lt;&gt;"SÍ","",DATOS!$C$85-AK37-INDEX(TABLAS!$C$52:$C$58,MATCH(BN37,TABLAS!$B$52:$B$58,0))-INDEX(TABLAS!$C$52:$C$58,MATCH(CD37,TABLAS!$B$52:$B$58,0))/2)</f>
        <v/>
      </c>
      <c r="CG37" s="56" t="str">
        <f>IF(V37&lt;&gt;"SÍ","",IF(CE37=0,0,DATOS!$C$29*CE37*INDEX(TABLAS!$D$52:$D$58,MATCH(CD37,TABLAS!$B$52:$B$58,0))*DATOS!$C$14*(CF37-CE37*INDEX(TABLAS!$D$52:$D$58,MATCH(CD37,TABLAS!$B$52:$B$58,0))*DATOS!$C$14/(DATOS!$C$21*AI37)/2)/1E5))</f>
        <v/>
      </c>
      <c r="CH37" s="65" t="str">
        <f>IF(V37&lt;&gt;"SÍ","",IF(CC37&lt;0,9.99,IF(CG37&gt;0,BI37/CG37,0)))</f>
        <v/>
      </c>
      <c r="CI37" s="66" t="str">
        <f>IF(V37&lt;&gt;"SÍ","",IF(CE37=0,"—",0.003*(CF37-(CE37*INDEX(TABLAS!$D$52:$D$58,MATCH(CD37,TABLAS!$B$52:$B$58,0))*DATOS!$C$14/(DATOS!$C$21*AI37)/DATOS!$C$22))/(CE37*INDEX(TABLAS!$D$52:$D$58,MATCH(CD37,TABLAS!$B$52:$B$58,0))*DATOS!$C$14/(DATOS!$C$21*AI37)/DATOS!$C$22)))</f>
        <v/>
      </c>
      <c r="CJ37" s="58" t="str">
        <f>IF(V37&lt;&gt;"SÍ","",((DATOS!$C$85-AM37-2*DATOS!$C$97-INDEX(TABLAS!$C$52:$C$58,MATCH(MAX(4,DATOS!$C$72),TABLAS!$B$52:$B$58,0))-INDEX(TABLAS!$C$52:$C$58,MATCH(MAX(4,DATOS!$C$72),TABLAS!$B$52:$B$58,0))/2)-IF(AND((DATOS!$C$85-AM37-2*DATOS!$C$97-INDEX(TABLAS!$C$52:$C$58,MATCH(MAX(4,DATOS!$C$72),TABLAS!$B$52:$B$58,0))-INDEX(TABLAS!$C$52:$C$58,MATCH(MAX(4,DATOS!$C$72),TABLAS!$B$52:$B$58,0))/2)&lt;=20,DATOS!$C$65&lt;&gt;"SÍ"),2,0)))</f>
        <v/>
      </c>
      <c r="CK37" s="58" t="str">
        <f>IF(V37&lt;&gt;"SÍ","",IF(IF(BJ37&lt;=0,0,IF((1-2*BJ37*1E5/(DATOS!$C$29*AG37*CJ37^2*DATOS!$C$21))&lt;0,-1,IF((1-SQRT((1-2*BJ37*1E5/(DATOS!$C$29*AG37*CJ37^2*DATOS!$C$21))))*DATOS!$C$21*AG37*CJ37/DATOS!$C$14&gt;DATOS!$C$102*AG37*CJ37,-1,(1-SQRT((1-2*BJ37*1E5/(DATOS!$C$29*AG37*CJ37^2*DATOS!$C$21))))*DATOS!$C$21*AG37*CJ37/DATOS!$C$14)))&lt;0,-1,MAX(IF(BJ37&lt;=0,0,IF((1-2*BJ37*1E5/(DATOS!$C$29*AG37*CJ37^2*DATOS!$C$21))&lt;0,-1,IF((1-SQRT((1-2*BJ37*1E5/(DATOS!$C$29*AG37*CJ37^2*DATOS!$C$21))))*DATOS!$C$21*AG37*CJ37/DATOS!$C$14&gt;DATOS!$C$102*AG37*CJ37,-1,(1-SQRT((1-2*BJ37*1E5/(DATOS!$C$29*AG37*CJ37^2*DATOS!$C$21))))*DATOS!$C$21*AG37*CJ37/DATOS!$C$14))),MIN(DATOS!$C$103*DATOS!$C$83*CJ37,4/3*IF(BJ37&lt;=0,0,IF((1-2*BJ37*1E5/(DATOS!$C$29*AG37*CJ37^2*DATOS!$C$21))&lt;0,-1,IF((1-SQRT((1-2*BJ37*1E5/(DATOS!$C$29*AG37*CJ37^2*DATOS!$C$21))))*DATOS!$C$21*AG37*CJ37/DATOS!$C$14&gt;DATOS!$C$102*AG37*CJ37,-1,(1-SQRT((1-2*BJ37*1E5/(DATOS!$C$29*AG37*CJ37^2*DATOS!$C$21))))*DATOS!$C$21*AG37*CJ37/DATOS!$C$14)))))))</f>
        <v/>
      </c>
      <c r="CL37" s="64" t="str">
        <f>IF(V37&lt;&gt;"SÍ","",IF(AND(CK37&gt;=0,IF(MAX(DATOS!$C$74,CEILING(CK37/INDEX(TABLAS!$D$52:$D$58,MIN(MATCH(MAX(4,DATOS!$C$72),TABLAS!$B$52:$B$58,0)+0,7)),1))*INDEX(TABLAS!$D$52:$D$58,MIN(MATCH(MAX(4,DATOS!$C$72),TABLAS!$B$52:$B$58,0)+0,7)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+0,7)),1)),MAX(MAX(DATOS!$C$74,CEILING(CK37/INDEX(TABLAS!$D$52:$D$58,MIN(MATCH(MAX(4,DATOS!$C$72),TABLAS!$B$52:$B$58,0)+0,7)),1)),2))&lt;=MIN(DATOS!$C$73,INT(((DATOS!$C$83-2*AL37)+MAX(DATOS!$C$70,INDEX(TABLAS!$C$52:$C$58,MIN(MATCH(MAX(4,DATOS!$C$72),TABLAS!$B$52:$B$58,0)+0,7))))/(INDEX(TABLAS!$C$52:$C$58,MIN(MATCH(MAX(4,DATOS!$C$72),TABLAS!$B$52:$B$58,0)+0,7))+MAX(DATOS!$C$70,INDEX(TABLAS!$C$52:$C$58,MIN(MATCH(MAX(4,DATOS!$C$72),TABLAS!$B$52:$B$58,0)+0,7))))))),INDEX(TABLAS!$B$52:$B$58,MIN(MATCH(MAX(4,DATOS!$C$72),TABLAS!$B$52:$B$58,0)+0,7)),IF(AND(CK37&gt;=0,IF(MAX(DATOS!$C$74,CEILING(CK37/INDEX(TABLAS!$D$52:$D$58,MIN(MATCH(MAX(4,DATOS!$C$72),TABLAS!$B$52:$B$58,0)+1,7)),1))*INDEX(TABLAS!$D$52:$D$58,MIN(MATCH(MAX(4,DATOS!$C$72),TABLAS!$B$52:$B$58,0)+1,7)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+1,7)),1)),MAX(MAX(DATOS!$C$74,CEILING(CK37/INDEX(TABLAS!$D$52:$D$58,MIN(MATCH(MAX(4,DATOS!$C$72),TABLAS!$B$52:$B$58,0)+1,7)),1)),2))&lt;=MIN(DATOS!$C$73,INT(((DATOS!$C$83-2*AL37)+MAX(DATOS!$C$70,INDEX(TABLAS!$C$52:$C$58,MIN(MATCH(MAX(4,DATOS!$C$72),TABLAS!$B$52:$B$58,0)+1,7))))/(INDEX(TABLAS!$C$52:$C$58,MIN(MATCH(MAX(4,DATOS!$C$72),TABLAS!$B$52:$B$58,0)+1,7))+MAX(DATOS!$C$70,INDEX(TABLAS!$C$52:$C$58,MIN(MATCH(MAX(4,DATOS!$C$72),TABLAS!$B$52:$B$58,0)+1,7))))))),INDEX(TABLAS!$B$52:$B$58,MIN(MATCH(MAX(4,DATOS!$C$72),TABLAS!$B$52:$B$58,0)+1,7)),IF(AND(CK37&gt;=0,IF(MAX(DATOS!$C$74,CEILING(CK37/INDEX(TABLAS!$D$52:$D$58,MIN(MATCH(MAX(4,DATOS!$C$72),TABLAS!$B$52:$B$58,0)+2,7)),1))*INDEX(TABLAS!$D$52:$D$58,MIN(MATCH(MAX(4,DATOS!$C$72),TABLAS!$B$52:$B$58,0)+2,7)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+2,7)),1)),MAX(MAX(DATOS!$C$74,CEILING(CK37/INDEX(TABLAS!$D$52:$D$58,MIN(MATCH(MAX(4,DATOS!$C$72),TABLAS!$B$52:$B$58,0)+2,7)),1)),2))&lt;=MIN(DATOS!$C$73,INT(((DATOS!$C$83-2*AL37)+MAX(DATOS!$C$70,INDEX(TABLAS!$C$52:$C$58,MIN(MATCH(MAX(4,DATOS!$C$72),TABLAS!$B$52:$B$58,0)+2,7))))/(INDEX(TABLAS!$C$52:$C$58,MIN(MATCH(MAX(4,DATOS!$C$72),TABLAS!$B$52:$B$58,0)+2,7))+MAX(DATOS!$C$70,INDEX(TABLAS!$C$52:$C$58,MIN(MATCH(MAX(4,DATOS!$C$72),TABLAS!$B$52:$B$58,0)+2,7))))))),INDEX(TABLAS!$B$52:$B$58,MIN(MATCH(MAX(4,DATOS!$C$72),TABLAS!$B$52:$B$58,0)+2,7)),IF(AND(CK37&gt;=0,IF(MAX(DATOS!$C$74,CEILING(CK37/INDEX(TABLAS!$D$52:$D$58,MIN(MATCH(MAX(4,DATOS!$C$72),TABLAS!$B$52:$B$58,0)+3,7)),1))*INDEX(TABLAS!$D$52:$D$58,MIN(MATCH(MAX(4,DATOS!$C$72),TABLAS!$B$52:$B$58,0)+3,7)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+3,7)),1)),MAX(MAX(DATOS!$C$74,CEILING(CK37/INDEX(TABLAS!$D$52:$D$58,MIN(MATCH(MAX(4,DATOS!$C$72),TABLAS!$B$52:$B$58,0)+3,7)),1)),2))&lt;=MIN(DATOS!$C$73,INT(((DATOS!$C$83-2*AL37)+MAX(DATOS!$C$70,INDEX(TABLAS!$C$52:$C$58,MIN(MATCH(MAX(4,DATOS!$C$72),TABLAS!$B$52:$B$58,0)+3,7))))/(INDEX(TABLAS!$C$52:$C$58,MIN(MATCH(MAX(4,DATOS!$C$72),TABLAS!$B$52:$B$58,0)+3,7))+MAX(DATOS!$C$70,INDEX(TABLAS!$C$52:$C$58,MIN(MATCH(MAX(4,DATOS!$C$72),TABLAS!$B$52:$B$58,0)+3,7))))))),INDEX(TABLAS!$B$52:$B$58,MIN(MATCH(MAX(4,DATOS!$C$72),TABLAS!$B$52:$B$58,0)+3,7)),IF(AND(CK37&gt;=0,IF(MAX(DATOS!$C$74,CEILING(CK37/INDEX(TABLAS!$D$52:$D$58,MIN(MATCH(MAX(4,DATOS!$C$72),TABLAS!$B$52:$B$58,0)+4,7)),1))*INDEX(TABLAS!$D$52:$D$58,MIN(MATCH(MAX(4,DATOS!$C$72),TABLAS!$B$52:$B$58,0)+4,7)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+4,7)),1)),MAX(MAX(DATOS!$C$74,CEILING(CK37/INDEX(TABLAS!$D$52:$D$58,MIN(MATCH(MAX(4,DATOS!$C$72),TABLAS!$B$52:$B$58,0)+4,7)),1)),2))&lt;=MIN(DATOS!$C$73,INT(((DATOS!$C$83-2*AL37)+MAX(DATOS!$C$70,INDEX(TABLAS!$C$52:$C$58,MIN(MATCH(MAX(4,DATOS!$C$72),TABLAS!$B$52:$B$58,0)+4,7))))/(INDEX(TABLAS!$C$52:$C$58,MIN(MATCH(MAX(4,DATOS!$C$72),TABLAS!$B$52:$B$58,0)+4,7))+MAX(DATOS!$C$70,INDEX(TABLAS!$C$52:$C$58,MIN(MATCH(MAX(4,DATOS!$C$72),TABLAS!$B$52:$B$58,0)+4,7))))))),INDEX(TABLAS!$B$52:$B$58,MIN(MATCH(MAX(4,DATOS!$C$72),TABLAS!$B$52:$B$58,0)+4,7)),INDEX(TABLAS!$B$52:$B$58,7)))))))</f>
        <v/>
      </c>
      <c r="CM37" s="59" t="str">
        <f>IF(V37&lt;&gt;"SÍ","",IF(CK37&lt;0,0,IF(MAX(DATOS!$C$74,CEILING(MAX(CK37,0)/INDEX(TABLAS!$D$52:$D$58,MATCH(CL37,TABLAS!$B$52:$B$58,0)),1))*INDEX(TABLAS!$D$52:$D$58,MATCH(CL37,TABLAS!$B$52:$B$58,0))&gt;=4/3*IF(BJ37&lt;=0,0,IF((1-2*BJ37*1E5/(DATOS!$C$29*AG37*CJ37^2*DATOS!$C$21))&lt;0,-1,IF((1-SQRT((1-2*BJ37*1E5/(DATOS!$C$29*AG37*CJ37^2*DATOS!$C$21))))*DATOS!$C$21*AG37*CJ37/DATOS!$C$14&gt;DATOS!$C$102*AG37*CJ37,-1,(1-SQRT((1-2*BJ37*1E5/(DATOS!$C$29*AG37*CJ37^2*DATOS!$C$21))))*DATOS!$C$21*AG37*CJ37/DATOS!$C$14)))-0.0001,MAX(DATOS!$C$74,CEILING(MAX(CK37,0)/INDEX(TABLAS!$D$52:$D$58,MATCH(CL37,TABLAS!$B$52:$B$58,0)),1)),MAX(MAX(DATOS!$C$74,CEILING(MAX(CK37,0)/INDEX(TABLAS!$D$52:$D$58,MATCH(CL37,TABLAS!$B$52:$B$58,0)),1)),2))))</f>
        <v/>
      </c>
      <c r="CN37" s="58" t="str">
        <f>IF(V37&lt;&gt;"SÍ","",((DATOS!$C$85-AM37-2*DATOS!$C$97-INDEX(TABLAS!$C$52:$C$58,MATCH(BV37,TABLAS!$B$52:$B$58,0))-INDEX(TABLAS!$C$52:$C$58,MATCH(CL37,TABLAS!$B$52:$B$58,0))/2)-IF(AND((DATOS!$C$85-AM37-2*DATOS!$C$97-INDEX(TABLAS!$C$52:$C$58,MATCH(BV37,TABLAS!$B$52:$B$58,0))-INDEX(TABLAS!$C$52:$C$58,MATCH(CL37,TABLAS!$B$52:$B$58,0))/2)&lt;=20,DATOS!$C$65&lt;&gt;"SÍ"),2,0)))</f>
        <v/>
      </c>
      <c r="CO37" s="56" t="str">
        <f>IF(V37&lt;&gt;"SÍ","",IF(CM37=0,0,DATOS!$C$29*CM37*INDEX(TABLAS!$D$52:$D$58,MATCH(CL37,TABLAS!$B$52:$B$58,0))*DATOS!$C$14*(CN37-CM37*INDEX(TABLAS!$D$52:$D$58,MATCH(CL37,TABLAS!$B$52:$B$58,0))*DATOS!$C$14/(DATOS!$C$21*AG37)/2)/1E5))</f>
        <v/>
      </c>
      <c r="CP37" s="65" t="str">
        <f>IF(V37&lt;&gt;"SÍ","",IF(CK37&lt;0,9.99,IF(CO37&gt;0,BJ37/CO37,0)))</f>
        <v/>
      </c>
      <c r="CQ37" s="66" t="str">
        <f>IF(V37&lt;&gt;"SÍ","",IF(CM37=0,"—",0.003*(CN37-(CM37*INDEX(TABLAS!$D$52:$D$58,MATCH(CL37,TABLAS!$B$52:$B$58,0))*DATOS!$C$14/(DATOS!$C$21*AG37)/DATOS!$C$22))/(CM37*INDEX(TABLAS!$D$52:$D$58,MATCH(CL37,TABLAS!$B$52:$B$58,0))*DATOS!$C$14/(DATOS!$C$21*AG37)/DATOS!$C$22)))</f>
        <v/>
      </c>
      <c r="CR37" s="56" t="str">
        <f>IF(V37&lt;&gt;"SÍ","",IF(C37="PERIMETRAL",MAX(0,(AB37/2-BX37)/100)*(0.95-0.5*AA37)*AR37*IF(AND(AS37&gt;0,AS37&lt;4),DATOS!$C$33,1)*DATOS!$C$86/100/1000,(AR37*MAX(0,AB37-BX37)/100+DATOS!$C$26*N(O37))*DATOS!$C$86/100/1000+BF37))</f>
        <v/>
      </c>
      <c r="CS37" s="56" t="str">
        <f>IF(V37&lt;&gt;"SÍ","",DATOS!$C$30*2*MIN(1,SQRT(2/(1+0.04*BX37)))*(BW37*INDEX(TABLAS!$D$52:$D$58,MATCH(BV37,TABLAS!$B$52:$B$58,0))/(AF37*BX37))^(1/3)*SQRT(DATOS!$C$13)*AF37*BX37*IF(AJ37="SÍ",DATOS!$C$32,1)/1000)</f>
        <v/>
      </c>
      <c r="CT37" s="59" t="str">
        <f>IF(V37&lt;&gt;"SÍ","",IF(CR37&lt;=CS37,0,CEILING(MAX(0,IF(C37="VOLADO",(AB37-((CS37-BF37)*1E5/DATOS!$C$86-DATOS!$C$26*N(O37))*100/AR37),IF(CS37&lt;=0,AB37,AB37/2-CS37/MAX(CR37,1E-9)*(AB37/2-BX37)))-IF(X37="X",MIN(DJ37,DK37),MIN(DL37,DM37)))/DATOS!$C$86,1)))</f>
        <v/>
      </c>
      <c r="CU37" s="67" t="str">
        <f>IF(V37&lt;&gt;"SÍ","",IF(CR37&lt;=CS37,"CUMPLE",IF(CT37&lt;=0,"CUMPLE (basta el macizo de orilla)",IF(CT37*DATOS!$C$86*IF(C37="VOLADO",1,2)&gt;=Y37*100-DATOS!$C$87,"NO CUMPLE: no alcanza ni macizando todo","MACIZAR "&amp;CT37&amp;" hilera(s)"))))</f>
        <v/>
      </c>
      <c r="CV37" s="58" t="str">
        <f>IF(V37&lt;&gt;"SÍ","",(DATOS!$C$86*DATOS!$C$84^2/2+MIN(DATOS!$C$83,AD37)*DATOS!$C$82*(DATOS!$C$84+DATOS!$C$82/2))/(DATOS!$C$86*DATOS!$C$84+MIN(DATOS!$C$83,AD37)*DATOS!$C$82))</f>
        <v/>
      </c>
      <c r="CW37" s="68" t="str">
        <f>IF(V37&lt;&gt;"SÍ","",DATOS!$C$86*DATOS!$C$84^3/12+DATOS!$C$86*DATOS!$C$84*(CV37-DATOS!$C$84/2)^2+MIN(DATOS!$C$83,AD37)*DATOS!$C$82^3/12+MIN(DATOS!$C$83,AD37)*DATOS!$C$82*(DATOS!$C$84+DATOS!$C$82/2-CV37)^2)</f>
        <v/>
      </c>
      <c r="CX37" s="58" t="str">
        <f>IF(V37&lt;&gt;"SÍ","",(12*CW37/DATOS!$C$86)^(1/3))</f>
        <v/>
      </c>
      <c r="CY37" s="58" t="str">
        <f>IF(V37&lt;&gt;"SÍ","",IF(C37="PERIMETRAL",IF(ISNUMBER(S37),S37,DATOS!$C$104),0))</f>
        <v/>
      </c>
      <c r="CZ37" s="57" t="str">
        <f>IF(V37&lt;&gt;"SÍ","",IF(C37="PERIMETRAL",IF(CY37&gt;2,MAX(9,AC37*(0.8+DATOS!$C$14/14000)/(36+9*(AC37/MAX(AB37,1)))),IF(CY37&gt;0.2,MAX(13,AC37*(0.8+DATOS!$C$14/14000)/(36+5*(AC37/MAX(AB37,1))*(CY37-0.2))),MAX(13,AC37/IF(AS37&gt;0,30,33))))*IF(AND(CY37&gt;0.2,AS37&gt;0,DATOS!$C$105="NO"),1.1,1),MAX(25,Y37*100/8*(0.4+DATOS!$C$14/7000))))</f>
        <v/>
      </c>
      <c r="DA37" s="61" t="str">
        <f>IF(V37&lt;&gt;"SÍ","",IF(IF(C37="VOLADO",DATOS!$C$85,CX37)&gt;=CZ37,"CUMPLE",IF(C37="VOLADO","NO CUMPLE","CALCULAR FLECHA")))</f>
        <v/>
      </c>
      <c r="DB37" s="55" t="str">
        <f>IF(V37&lt;&gt;"SÍ","",IF(DATOS!$C$84&gt;=IF(IF(C37="VOLADO",Y37,Z37)&gt;=6,6,5),"CUMPLE","CAPA ≥ 6 cm"))</f>
        <v/>
      </c>
      <c r="DC37" s="60" t="str">
        <f>IF(V37&lt;&gt;"SÍ","",IF(C37="VOLADO",MIN(FLOOR(IF(ISNUMBER(P37),P37,Y37)*100-DATOS!$C$63,5),CEILING(MAX(IF((0.5*(0.9*DATOS!$C$90*DATOS!$C$86/100/1000)*IF(ISNUMBER(P37),P37,Y37)+BH37/IF(ISNUMBER(P37),P37,Y37))^2-4*(0.5*(0.9*DATOS!$C$90*DATOS!$C$86/100/1000))*BH37&lt;0,IF(ISNUMBER(P37),P37,Y37),MIN(IF(ISNUMBER(P37),P37,Y37),((0.5*(0.9*DATOS!$C$90*DATOS!$C$86/100/1000)*IF(ISNUMBER(P37),P37,Y37)+BH37/IF(ISNUMBER(P37),P37,Y37))-SQRT((0.5*(0.9*DATOS!$C$90*DATOS!$C$86/100/1000)*IF(ISNUMBER(P37),P37,Y37)+BH37/IF(ISNUMBER(P37),P37,Y37))^2-4*(0.5*(0.9*DATOS!$C$90*DATOS!$C$86/100/1000))*BH37))/(2*(0.5*(0.9*DATOS!$C$90*DATOS!$C$86/100/1000)))))*100+MAX(BX37,12*INDEX(TABLAS!$C$52:$C$58,MATCH(BV37,TABLAS!$B$52:$B$58,0)),IF(ISNUMBER(P37),P37,Y37)*100/16),IF(OR(AL37&lt;INDEX(TABLAS!$C$52:$C$58,MATCH(BV37,TABLAS!$B$52:$B$58,0)),AND(BW37&gt;=2,(AD37-2*AL37-BW37*INDEX(TABLAS!$C$52:$C$58,MATCH(BV37,TABLAS!$B$52:$B$58,0)))/MAX(BW37-1,1)&lt;2*INDEX(TABLAS!$C$52:$C$58,MATCH(BV37,TABLAS!$B$52:$B$58,0)))),INDEX(TABLAS!$I$52:$I$58,MATCH(BV37,TABLAS!$B$52:$B$58,0)),INDEX(TABLAS!$F$52:$F$58,MATCH(BV37,TABLAS!$B$52:$B$58,0)))),5)),IF(((4*((BC37*AR37*Y37^2*1E-4*DATOS!$C$86/100/1000)+((MAX(AY37,BA37)*AR37*Y37^2*1E-4*DATOS!$C$86/100/1000)+(IF(AND(AY37&gt;0,BA37&gt;0),MIN(AY37,BA37),MAX(AY37,BA37))*AR37*Y37^2*1E-4*DATOS!$C$86/100/1000))/2)+BH37-(IF(AND(AY37&gt;0,BA37&gt;0),MIN(AY37,BA37),MAX(AY37,BA37))*AR37*Y37^2*1E-4*DATOS!$C$86/100/1000))^2-16*((BC37*AR37*Y37^2*1E-4*DATOS!$C$86/100/1000)+((MAX(AY37,BA37)*AR37*Y37^2*1E-4*DATOS!$C$86/100/1000)+(IF(AND(AY37&gt;0,BA37&gt;0),MIN(AY37,BA37),MAX(AY37,BA37))*AR37*Y37^2*1E-4*DATOS!$C$86/100/1000))/2)*BH37)&lt;0,CEILING(AB37,5),CEILING(MAX(AB37*((4*((BC37*AR37*Y37^2*1E-4*DATOS!$C$86/100/1000)+((MAX(AY37,BA37)*AR37*Y37^2*1E-4*DATOS!$C$86/100/1000)+(IF(AND(AY37&gt;0,BA37&gt;0),MIN(AY37,BA37),MAX(AY37,BA37))*AR37*Y37^2*1E-4*DATOS!$C$86/100/1000))/2)+BH37-(IF(AND(AY37&gt;0,BA37&gt;0),MIN(AY37,BA37),MAX(AY37,BA37))*AR37*Y37^2*1E-4*DATOS!$C$86/100/1000))-SQRT(MAX(0,((4*((BC37*AR37*Y37^2*1E-4*DATOS!$C$86/100/1000)+((MAX(AY37,BA37)*AR37*Y37^2*1E-4*DATOS!$C$86/100/1000)+(IF(AND(AY37&gt;0,BA37&gt;0),MIN(AY37,BA37),MAX(AY37,BA37))*AR37*Y37^2*1E-4*DATOS!$C$86/100/1000))/2)+BH37-(IF(AND(AY37&gt;0,BA37&gt;0),MIN(AY37,BA37),MAX(AY37,BA37))*AR37*Y37^2*1E-4*DATOS!$C$86/100/1000))^2-16*((BC37*AR37*Y37^2*1E-4*DATOS!$C$86/100/1000)+((MAX(AY37,BA37)*AR37*Y37^2*1E-4*DATOS!$C$86/100/1000)+(IF(AND(AY37&gt;0,BA37&gt;0),MIN(AY37,BA37),MAX(AY37,BA37))*AR37*Y37^2*1E-4*DATOS!$C$86/100/1000))/2)*BH37))))/(8*MAX(((BC37*AR37*Y37^2*1E-4*DATOS!$C$86/100/1000)+((MAX(AY37,BA37)*AR37*Y37^2*1E-4*DATOS!$C$86/100/1000)+(IF(AND(AY37&gt;0,BA37&gt;0),MIN(AY37,BA37),MAX(AY37,BA37))*AR37*Y37^2*1E-4*DATOS!$C$86/100/1000))/2),1E-9))+MAX(BX37,12*INDEX(TABLAS!$C$52:$C$58,MATCH(BV37,TABLAS!$B$52:$B$58,0)),AB37/16),IF(OR(AL37&lt;INDEX(TABLAS!$C$52:$C$58,MATCH(BV37,TABLAS!$B$52:$B$58,0)),AND(BW37&gt;=2,(AD37-2*AL37-BW37*INDEX(TABLAS!$C$52:$C$58,MATCH(BV37,TABLAS!$B$52:$B$58,0)))/MAX(BW37-1,1)&lt;2*INDEX(TABLAS!$C$52:$C$58,MATCH(BV37,TABLAS!$B$52:$B$58,0)))),INDEX(TABLAS!$I$52:$I$58,MATCH(BV37,TABLAS!$B$52:$B$58,0)),INDEX(TABLAS!$F$52:$F$58,MATCH(BV37,TABLAS!$B$52:$B$58,0)))),5))))</f>
        <v/>
      </c>
      <c r="DD37" s="60" t="str">
        <f>IF(V37&lt;&gt;"SÍ","",IF(C37="VOLADO",0,IF(((4*((BD37*AR37*Y37^2*1E-4*DATOS!$C$86/100/1000)+((MAX(AZ37,BB37)*AR37*Y37^2*1E-4*DATOS!$C$86/100/1000)+(IF(AND(AZ37&gt;0,BB37&gt;0),MIN(AZ37,BB37),MAX(AZ37,BB37))*AR37*Y37^2*1E-4*DATOS!$C$86/100/1000))/2)+BJ37-(IF(AND(AZ37&gt;0,BB37&gt;0),MIN(AZ37,BB37),MAX(AZ37,BB37))*AR37*Y37^2*1E-4*DATOS!$C$86/100/1000))^2-16*((BD37*AR37*Y37^2*1E-4*DATOS!$C$86/100/1000)+((MAX(AZ37,BB37)*AR37*Y37^2*1E-4*DATOS!$C$86/100/1000)+(IF(AND(AZ37&gt;0,BB37&gt;0),MIN(AZ37,BB37),MAX(AZ37,BB37))*AR37*Y37^2*1E-4*DATOS!$C$86/100/1000))/2)*BJ37)&lt;0,CEILING(AC37,5),CEILING(MAX(AC37*((4*((BD37*AR37*Y37^2*1E-4*DATOS!$C$86/100/1000)+((MAX(AZ37,BB37)*AR37*Y37^2*1E-4*DATOS!$C$86/100/1000)+(IF(AND(AZ37&gt;0,BB37&gt;0),MIN(AZ37,BB37),MAX(AZ37,BB37))*AR37*Y37^2*1E-4*DATOS!$C$86/100/1000))/2)+BJ37-(IF(AND(AZ37&gt;0,BB37&gt;0),MIN(AZ37,BB37),MAX(AZ37,BB37))*AR37*Y37^2*1E-4*DATOS!$C$86/100/1000))-SQRT(MAX(0,((4*((BD37*AR37*Y37^2*1E-4*DATOS!$C$86/100/1000)+((MAX(AZ37,BB37)*AR37*Y37^2*1E-4*DATOS!$C$86/100/1000)+(IF(AND(AZ37&gt;0,BB37&gt;0),MIN(AZ37,BB37),MAX(AZ37,BB37))*AR37*Y37^2*1E-4*DATOS!$C$86/100/1000))/2)+BJ37-(IF(AND(AZ37&gt;0,BB37&gt;0),MIN(AZ37,BB37),MAX(AZ37,BB37))*AR37*Y37^2*1E-4*DATOS!$C$86/100/1000))^2-16*((BD37*AR37*Y37^2*1E-4*DATOS!$C$86/100/1000)+((MAX(AZ37,BB37)*AR37*Y37^2*1E-4*DATOS!$C$86/100/1000)+(IF(AND(AZ37&gt;0,BB37&gt;0),MIN(AZ37,BB37),MAX(AZ37,BB37))*AR37*Y37^2*1E-4*DATOS!$C$86/100/1000))/2)*BJ37))))/(8*MAX(((BD37*AR37*Y37^2*1E-4*DATOS!$C$86/100/1000)+((MAX(AZ37,BB37)*AR37*Y37^2*1E-4*DATOS!$C$86/100/1000)+(IF(AND(AZ37&gt;0,BB37&gt;0),MIN(AZ37,BB37),MAX(AZ37,BB37))*AR37*Y37^2*1E-4*DATOS!$C$86/100/1000))/2),1E-9))+MAX(CN37,12*INDEX(TABLAS!$C$52:$C$58,MATCH(CL37,TABLAS!$B$52:$B$58,0)),AC37/16),IF(OR(AL37&lt;INDEX(TABLAS!$C$52:$C$58,MATCH(CL37,TABLAS!$B$52:$B$58,0)),AND(CM37&gt;=2,(DATOS!$C$83-2*AL37-CM37*INDEX(TABLAS!$C$52:$C$58,MATCH(CL37,TABLAS!$B$52:$B$58,0)))/MAX(CM37-1,1)&lt;2*INDEX(TABLAS!$C$52:$C$58,MATCH(CL37,TABLAS!$B$52:$B$58,0)))),INDEX(TABLAS!$I$52:$I$58,MATCH(CL37,TABLAS!$B$52:$B$58,0)),INDEX(TABLAS!$F$52:$F$58,MATCH(CL37,TABLAS!$B$52:$B$58,0)))),5))))</f>
        <v/>
      </c>
      <c r="DE37" s="55" t="str">
        <f>IF(V37&lt;&gt;"SÍ","",IF(AND(C37="PERIMETRAL",BW37&gt;=2,AS37-AT37&gt;0,BA37*AR37*Y37^2*1E-4*DATOS!$C$86/100/1000&gt;DATOS!$C$29*INDEX(TABLAS!$D$52:$D$58,MATCH(BV37,TABLAS!$B$52:$B$58,0))*DATOS!$C$14*(BX37-INDEX(TABLAS!$D$52:$D$58,MATCH(BV37,TABLAS!$B$52:$B$58,0))*DATOS!$C$14/(DATOS!$C$21*AF37)/2)/1E5),"SÍ","NO"))</f>
        <v/>
      </c>
      <c r="DF37" s="55" t="str">
        <f>IF(V37&lt;&gt;"SÍ","",IF(AND(C37="PERIMETRAL",CM37&gt;=2,AT37&gt;0,BB37*AR37*Y37^2*1E-4*DATOS!$C$86/100/1000&gt;DATOS!$C$29*INDEX(TABLAS!$D$52:$D$58,MATCH(CL37,TABLAS!$B$52:$B$58,0))*DATOS!$C$14*(CN37-INDEX(TABLAS!$D$52:$D$58,MATCH(CL37,TABLAS!$B$52:$B$58,0))*DATOS!$C$14/(DATOS!$C$21*AG37)/2)/1E5),"SÍ","NO"))</f>
        <v/>
      </c>
      <c r="DG37" s="63" t="str">
        <f>IF(V37&lt;&gt;"SÍ","",IF(OR(C37="VOLADO",AS37=0),"—",IF(AND(AND(1.25*INDEX(TABLAS!$G$52:$G$58,MATCH(MAX(BN37,CD37),TABLAS!$B$52:$B$58,0))&lt;=(DATOS!$C$75-DATOS!$C$63),(DATOS!$C$75-DATOS!$C$63)&gt;=15,INDEX(TABLAS!$G$52:$G$58,MATCH(MAX(BV37,CL37),TABLAS!$B$52:$B$58,0))&lt;=(DATOS!$C$75-DATOS!$C$63)),8*INDEX(TABLAS!$C$52:$C$58,MATCH(MAX(MAX(BN37,CD37),MAX(BV37,CL37)),TABLAS!$B$52:$B$58,0))&lt;=DATOS!$C$76-2*DATOS!$C$63),"CUMPLE (gancho de 180°)",IF(AND(1.25*INDEX(TABLAS!$G$52:$G$58,MATCH(MAX(BN37,CD37),TABLAS!$B$52:$B$58,0))&lt;=(DATOS!$C$75-DATOS!$C$63),(DATOS!$C$75-DATOS!$C$63)&gt;=15,INDEX(TABLAS!$G$52:$G$58,MATCH(MAX(BV37,CL37),TABLAS!$B$52:$B$58,0))&lt;=(DATOS!$C$75-DATOS!$C$63)),"NO CUMPLE: el gancho de 180° (8·d_b) no cabe en el peralte de la dala de borde","NO CUMPLE: dala de borde ≥ "&amp;TEXT(CEILING(MAX(1.25*INDEX(TABLAS!$G$52:$G$58,MATCH(MAX(BN37,CD37),TABLAS!$B$52:$B$58,0)),15,INDEX(TABLAS!$G$52:$G$58,MATCH(MAX(BV37,CL37),TABLAS!$B$52:$B$58,0)))+DATOS!$C$63,5),"0")&amp;" cm de ancho"&amp;IF(8*INDEX(TABLAS!$C$52:$C$58,MATCH(MAX(MAX(BN37,CD37),MAX(BV37,CL37)),TABLAS!$B$52:$B$58,0))&lt;=DATOS!$C$76-2*DATOS!$C$63,""," y más peralte para el gancho")))))</f>
        <v/>
      </c>
      <c r="DH37" s="59" t="str">
        <f>IF(V37&lt;&gt;"SÍ","",MAX(0,INT((E37*100-DATOS!$C$87-IF(AND(C37="PERIMETRAL",I37="DISCONTINUO"),MAX(0,DATOS!$C$75-DATOS!$C$87),0)-IF(AND(C37="PERIMETRAL",J37="DISCONTINUO"),MAX(0,DATOS!$C$75-DATOS!$C$87),0)+DATOS!$C$86-IF(X37="X",DATOS!$C$81,AE37))/DATOS!$C$86)))</f>
        <v/>
      </c>
      <c r="DI37" s="59" t="str">
        <f>IF(V37&lt;&gt;"SÍ","",MAX(0,INT((F37*100-DATOS!$C$87-IF(AND(C37="PERIMETRAL",G37="DISCONTINUO"),MAX(0,DATOS!$C$75-DATOS!$C$87),0)-IF(AND(C37="PERIMETRAL",H37="DISCONTINUO"),MAX(0,DATOS!$C$75-DATOS!$C$87),0)+DATOS!$C$86-IF(X37="Y",DATOS!$C$81,AE37))/DATOS!$C$86)))</f>
        <v/>
      </c>
      <c r="DJ37" s="57" t="str">
        <f>IF(V37&lt;&gt;"SÍ","",IF(DH37&gt;0,IF(AND(C37="PERIMETRAL",I37="DISCONTINUO"),MAX(0,DATOS!$C$75-DATOS!$C$87),0)+(E37*100-DATOS!$C$87-IF(AND(C37="PERIMETRAL",I37="DISCONTINUO"),MAX(0,DATOS!$C$75-DATOS!$C$87),0)-IF(AND(C37="PERIMETRAL",J37="DISCONTINUO"),MAX(0,DATOS!$C$75-DATOS!$C$87),0)-(DH37*IF(X37="X",DATOS!$C$81,AE37)+(DH37-1)*(DATOS!$C$86-IF(X37="X",DATOS!$C$81,AE37))))/2,E37*100/2))</f>
        <v/>
      </c>
      <c r="DK37" s="57" t="str">
        <f>IF(V37&lt;&gt;"SÍ","",IF(DH37&gt;0,IF(AND(C37="PERIMETRAL",J37="DISCONTINUO"),MAX(0,DATOS!$C$75-DATOS!$C$87),0)+(E37*100-DATOS!$C$87-IF(AND(C37="PERIMETRAL",I37="DISCONTINUO"),MAX(0,DATOS!$C$75-DATOS!$C$87),0)-IF(AND(C37="PERIMETRAL",J37="DISCONTINUO"),MAX(0,DATOS!$C$75-DATOS!$C$87),0)-(DH37*IF(X37="X",DATOS!$C$81,AE37)+(DH37-1)*(DATOS!$C$86-IF(X37="X",DATOS!$C$81,AE37))))/2,E37*100/2))</f>
        <v/>
      </c>
      <c r="DL37" s="57" t="str">
        <f>IF(V37&lt;&gt;"SÍ","",IF(DI37&gt;0,IF(AND(C37="PERIMETRAL",G37="DISCONTINUO"),MAX(0,DATOS!$C$75-DATOS!$C$87),0)+(F37*100-DATOS!$C$87-IF(AND(C37="PERIMETRAL",G37="DISCONTINUO"),MAX(0,DATOS!$C$75-DATOS!$C$87),0)-IF(AND(C37="PERIMETRAL",H37="DISCONTINUO"),MAX(0,DATOS!$C$75-DATOS!$C$87),0)-(DI37*IF(X37="Y",DATOS!$C$81,AE37)+(DI37-1)*(DATOS!$C$86-IF(X37="Y",DATOS!$C$81,AE37))))/2,F37*100/2))</f>
        <v/>
      </c>
      <c r="DM37" s="57" t="str">
        <f>IF(V37&lt;&gt;"SÍ","",IF(DI37&gt;0,IF(AND(C37="PERIMETRAL",H37="DISCONTINUO"),MAX(0,DATOS!$C$75-DATOS!$C$87),0)+(F37*100-DATOS!$C$87-IF(AND(C37="PERIMETRAL",G37="DISCONTINUO"),MAX(0,DATOS!$C$75-DATOS!$C$87),0)-IF(AND(C37="PERIMETRAL",H37="DISCONTINUO"),MAX(0,DATOS!$C$75-DATOS!$C$87),0)-(DI37*IF(X37="Y",DATOS!$C$81,AE37)+(DI37-1)*(DATOS!$C$86-IF(X37="Y",DATOS!$C$81,AE37))))/2,F37*100/2))</f>
        <v/>
      </c>
      <c r="DN37" s="59" t="str">
        <f>IF(V37&lt;&gt;"SÍ","",IF(NOT(AND(C37="VOLADO",AD37&gt;DATOS!$C$83)),0,IF(INDEX(TABLAS!$C$52:$C$58,MATCH(BV37,TABLAS!$B$52:$B$58,0))&lt;=DATOS!$C$83-2*DATOS!$C$63,1,0)))</f>
        <v/>
      </c>
      <c r="DO37" s="58" t="str">
        <f>IF(V37&lt;&gt;"SÍ","",IF(NOT(AND(C37="VOLADO",AD37&gt;DATOS!$C$83)),0,((DATOS!$C$85-MAX(DATOS!$C$63,(DATOS!$C$84-2*DATOS!$C$97)/2)-2*DATOS!$C$97-INDEX(TABLAS!$C$52:$C$58,MATCH(MAX(4,DATOS!$C$72),TABLAS!$B$52:$B$58,0))-INDEX(TABLAS!$C$52:$C$58,MATCH(BV37,TABLAS!$B$52:$B$58,0))/2)-IF(AND((DATOS!$C$85-MAX(DATOS!$C$63,(DATOS!$C$84-2*DATOS!$C$97)/2)-2*DATOS!$C$97-INDEX(TABLAS!$C$52:$C$58,MATCH(MAX(4,DATOS!$C$72),TABLAS!$B$52:$B$58,0))-INDEX(TABLAS!$C$52:$C$58,MATCH(BV37,TABLAS!$B$52:$B$58,0))/2)&lt;=20,DATOS!$C$65&lt;&gt;"SÍ"),2,0))))</f>
        <v/>
      </c>
      <c r="DP37" s="56" t="str">
        <f>IF(V37&lt;&gt;"SÍ","",IF(OR(NOT(AND(C37="VOLADO",AD37&gt;DATOS!$C$83)),DN37&lt;1),0,IF(0.003*(DO37-((DN37*INDEX(TABLAS!$D$52:$D$58,MATCH(BV37,TABLAS!$B$52:$B$58,0)))*DATOS!$C$14/(DATOS!$C$21*AG37)/DATOS!$C$22))/((DN37*INDEX(TABLAS!$D$52:$D$58,MATCH(BV37,TABLAS!$B$52:$B$58,0)))*DATOS!$C$14/(DATOS!$C$21*AG37)/DATOS!$C$22)&lt;0.005,0,DATOS!$C$29*(DN37*INDEX(TABLAS!$D$52:$D$58,MATCH(BV37,TABLAS!$B$52:$B$58,0)))*DATOS!$C$14*(DO37-(DN37*INDEX(TABLAS!$D$52:$D$58,MATCH(BV37,TABLAS!$B$52:$B$58,0)))*DATOS!$C$14/(DATOS!$C$21*AG37)/2)/1E5)))</f>
        <v/>
      </c>
      <c r="DQ37" s="56" t="str">
        <f>IF(V37&lt;&gt;"SÍ","",IF(OR(NOT(AND(C37="VOLADO",AD37&gt;DATOS!$C$83)),DN37&lt;1),0,DATOS!$C$30*2*MIN(1,SQRT(2/(1+0.04*DO37)))*((DN37*INDEX(TABLAS!$D$52:$D$58,MATCH(BV37,TABLAS!$B$52:$B$58,0)))/(AG37*DO37))^(1/3)*SQRT(DATOS!$C$13)*AG37*DO37/1000))</f>
        <v/>
      </c>
      <c r="DR37" s="56" t="str">
        <f>IF(V37&lt;&gt;"SÍ","",IF(NOT(AND(C37="VOLADO",AD37&gt;DATOS!$C$83)),0,IF((BH37-DP37)&lt;=0,0,IF(DP37&lt;=0,IF(ISNUMBER(P37),P37,Y37),IF(((0.9*DATOS!$C$90*DATOS!$C$86/100/1000)*IF(ISNUMBER(P37),P37,Y37)/2+BH37/IF(ISNUMBER(P37),P37,Y37))^2-4*((0.9*DATOS!$C$90*DATOS!$C$86/100/1000)/2)*(BH37-DP37)&lt;0,IF(ISNUMBER(P37),P37,Y37),MIN(IF(ISNUMBER(P37),P37,Y37),(((0.9*DATOS!$C$90*DATOS!$C$86/100/1000)*IF(ISNUMBER(P37),P37,Y37)/2+BH37/IF(ISNUMBER(P37),P37,Y37))-SQRT(((0.9*DATOS!$C$90*DATOS!$C$86/100/1000)*IF(ISNUMBER(P37),P37,Y37)/2+BH37/IF(ISNUMBER(P37),P37,Y37))^2-4*((0.9*DATOS!$C$90*DATOS!$C$86/100/1000)/2)*(BH37-DP37)))/(2*((0.9*DATOS!$C$90*DATOS!$C$86/100/1000)/2))))))))</f>
        <v/>
      </c>
      <c r="DS37" s="56" t="str">
        <f>IF(V37&lt;&gt;"SÍ","",IF(NOT(AND(C37="VOLADO",AD37&gt;DATOS!$C$83)),0,IF(DQ37&lt;=(BH37/((IF(ISNUMBER(P37),P37,Y37)*100-DATOS!$C$87)/100)),IF(ISNUMBER(P37),P37,Y37),MIN(IF(ISNUMBER(P37),P37,Y37),MAX(0,(IF(ISNUMBER(P37),P37,Y37)*100-DATOS!$C$87)/200-(DQ37-(BH37/((IF(ISNUMBER(P37),P37,Y37)*100-DATOS!$C$87)/100)))/((0.95-0.5*IF(N(Q37)&gt;0,MIN(IF(ISNUMBER(P37),P37,Y37),Q37)/MAX(IF(ISNUMBER(P37),P37,Y37),Q37),0))*DATOS!$C$33*AR37*DATOS!$C$86/100/1000))))))</f>
        <v/>
      </c>
      <c r="DT37" s="56" t="str">
        <f>IF(V37&lt;&gt;"SÍ","",IF(NOT(AND(C37="VOLADO",AD37&gt;DATOS!$C$83)),0,(BH37/((IF(ISNUMBER(P37),P37,Y37)*100-DATOS!$C$87)/100))+((0.95-0.5*IF(N(Q37)&gt;0,MIN(IF(ISNUMBER(P37),P37,Y37),Q37)/MAX(IF(ISNUMBER(P37),P37,Y37),Q37),0))*DATOS!$C$33*AR37*DATOS!$C$86/100/1000)*MAX(0,(IF(ISNUMBER(P37),P37,Y37)*100-DATOS!$C$87)/200-BX37/100)))</f>
        <v/>
      </c>
      <c r="DU37" s="59" t="str">
        <f>IF(V37&lt;&gt;"SÍ","",IF(NOT(AND(C37="VOLADO",AD37&gt;DATOS!$C$83)),0,MIN(FLOOR(100*IF(ISNUMBER(P37),P37,Y37)-DATOS!$C$63,5),CEILING(100*MIN(IF(ISNUMBER(P37),P37,Y37),MAX(IF(DR37&gt;0,DR37+IF(BW37&gt;=2,MAX(DO37,12*INDEX(TABLAS!$C$52:$C$58,MATCH(BV37,TABLAS!$B$52:$B$58,0)))/100,0),0),DS37,IF(BW37&gt;=2,INDEX(TABLAS!$F$52:$F$58,MATCH(BV37,TABLAS!$B$52:$B$58,0))/100,0))),5))))</f>
        <v/>
      </c>
      <c r="DV37" s="60" t="str">
        <f>IF(V37&lt;&gt;"SÍ","",IF(NOT(AND(C37="VOLADO",AD37&gt;DATOS!$C$83)),0,IF(DU37&lt;=0,0,CEILING(DU37/DATOS!$C$86,1))))</f>
        <v/>
      </c>
      <c r="DW37" s="61" t="str">
        <f>IF(V37&lt;&gt;"SÍ","",IF(C37&lt;&gt;"VOLADO","—",IF(AD37&lt;=DATOS!$C$83,"— (mismo b_w que el respaldo)",IF(DT37&gt;CS37,"NO CUMPLE: cortante de la nervadura ancha junto al apoyo ("&amp;TEXT(DT37,"0.00")&amp;" &gt; "&amp;TEXT(CS37,"0.00")&amp;" t)",IF(DU37&gt;=100*IF(ISNUMBER(P37),P37,Y37),"CUMPLE — todas las nervaduras del respaldo ‖ al volado con b_w = "&amp;AD37&amp;" cm","CUMPLE — "&amp;DV37&amp;" hilera(s) del respaldo con nervaduras de b_w = "&amp;AD37&amp;" cm (casetón "&amp;AE37&amp;" cm), hasta "&amp;TEXT(DU37/100,"0.00")&amp;" m del paño")))))</f>
        <v/>
      </c>
      <c r="DX37" s="69" t="str">
        <f>IF(V37&lt;&gt;"SÍ","",IF(BO37=0,"NO ALCANZA",BO37&amp;" No. "&amp;BN37&amp;IF(BO37&gt;1," corridas"," corrida")))</f>
        <v/>
      </c>
      <c r="DY37" s="69" t="str">
        <f>IF(V37&lt;&gt;"SÍ","",IF(BW37=0,"NO ALCANZA",IF(AND(C37="VOLADO",AD37&gt;DATOS!$C$83,BW37&gt;=2),"1 No. "&amp;BV37&amp;" corrida de la orilla al respaldo ("&amp;IF(DC37&gt;=FLOOR(100*IF(ISNUMBER(P37),P37,Y37)-DATOS!$C$63,5),"hasta su apoyo lejano, con gancho","entra "&amp;TEXT(DC37/100,"0.00")&amp;" m desde el paño")&amp;") + "&amp;(BW37-1)&amp;" bastón No. "&amp;BV37&amp;" hasta "&amp;TEXT(DU37/100,"0.00")&amp;" m del paño (fin de la nervadura ancha)",IF(C37="VOLADO",BW37&amp;" No. "&amp;BV37&amp;" de la orilla al respaldo ("&amp;IF(DC37&gt;=FLOOR(100*IF(ISNUMBER(P37),P37,Y37)-DATOS!$C$63,5),"hasta su apoyo lejano, con gancho","entran "&amp;TEXT(DC37/100,"0.00")&amp;" m desde el paño")&amp;")","1 No. "&amp;BV37&amp;" corrida"&amp;IF(BW37&gt;1," + "&amp;(BW37-1)&amp;" bastón No. "&amp;BV37&amp;" L = "&amp;TEXT(DC37/100,"0.00")&amp;" m desde el paño","")))))</f>
        <v/>
      </c>
      <c r="DZ37" s="69" t="str">
        <f>IF(V37&lt;&gt;"SÍ","",IF(CE37=0,"NO ALCANZA",CE37&amp;" No. "&amp;CD37&amp;IF(CE37&gt;1," corridas"," corrida")))</f>
        <v/>
      </c>
      <c r="EA37" s="69" t="str">
        <f>IF(V37&lt;&gt;"SÍ","",IF(CM37=0,"NO ALCANZA",IF(C37="VOLADO","1 No. "&amp;CL37&amp;" corrida (repartición)","1 No. "&amp;CL37&amp;" corrida"&amp;IF(CM37&gt;1," + "&amp;(CM37-1)&amp;" bastón No. "&amp;CL37&amp;" L = "&amp;TEXT(DD37/100,"0.00")&amp;" m desde el paño",""))))</f>
        <v/>
      </c>
      <c r="EB37" s="67" t="str">
        <f>IF(B37="","",IF(V37&lt;&gt;"SÍ","FALTAN DATOS: tipo, a_x, a_y, destino y, en volados, L_b",IF(L37="NO MONOLÍTICO (caso II)","FUERA DE ALCANCE: caso II no transcrito",IF(AND(C37="VOLADO",W37="?"),"REVISAR: el volado lleva UN solo borde CONTINUO (el empotrado)",IF(MIN(DH37,DI37)=0,"REVISAR: no cabe un casetón (tablero macizo): diséñalo en MACIZAS",IF(AND(MAX(BR37,BZ37,CH37,CP37)&lt;=1,NOT(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T(OR(AND(ISNUMBER(BS37),BS37&lt;0.005),AND(ISNUMBER(CA37),CA37&lt;0.005),AND(ISNUMBER(CI37),CI37&lt;0.005),AND(ISNUMBER(CQ37),CQ37&lt;0.005))),NOT(LEFT(DW37,2)="NO"),DA37="CUMPLE",DB37="CUMPLE",LEFT(CU37,2)&lt;&gt;"NO",LEFT(DATOS!$C$132,6)="CUMPLE"),IF(LEFT(CU37,6)="CUMPLE","CUMPLE","CUMPLE — "&amp;CU37)&amp;IF(LEFT(BK37,5)="FUERA"," · fuera de 3.4.2.1 c)","")&amp;IF(LEFT(DG37,2)="NO"," · REVISAR anclaje en borde discontinuo","")&amp;IF(DV37&gt;0," · respaldo: "&amp;DV37&amp;" hilera(s) de b_w "&amp;AD37&amp;" cm",""),IF(AND(MAX(BR37,BZ37,CH37,CP37)&lt;=1,NOT(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T(OR(AND(ISNUMBER(BS37),BS37&lt;0.005),AND(ISNUMBER(CA37),CA37&lt;0.005),AND(ISNUMBER(CI37),CI37&lt;0.005),AND(ISNUMBER(CQ37),CQ37&lt;0.005))),NOT(LEFT(DW37,2)="NO"),DA37="CALCULAR FLECHA",LEFT(CU37,2)&lt;&gt;"NO",LEFT(DATOS!$C$132,6)="CUMPLE"),"REVISAR: calcular flecha (h_eq &lt; h mín.)"&amp;IF(LEFT(BK37,5)="FUERA"," · fuera de 3.4.2.1 c)","")&amp;IF(LEFT(DG37,2)="NO"," · REVISAR anclaje en borde discontinuo","")&amp;IF(DV37&gt;0," · respaldo: "&amp;DV37&amp;" hilera(s) de b_w "&amp;AD37&amp;" cm",""),"NO CUMPLE: "&amp;IF(MAX(BR37,BZ37,CH37,CP37)&gt;1,"flexión ","")&amp;IF(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 caben ","")&amp;IF(OR(AND(ISNUMBER(BS37),BS37&lt;0.005),AND(ISNUMBER(CA37),CA37&lt;0.005),AND(ISNUMBER(CI37),CI37&lt;0.005),AND(ISNUMBER(CQ37),CQ37&lt;0.005)),"ε_t &lt; 0.005 ","")&amp;IF(LEFT(CU37,2)="NO","cortante ","")&amp;IF(DA37="NO CUMPLE","peralte ","")&amp;IF(DB37&lt;&gt;"CUMPLE","capa &lt; 6 cm ","")&amp;IF(LEFT(DATOS!$C$132,6)&lt;&gt;"CUMPLE","capa o malla (DATOS sección 7) ","")&amp;IF(LEFT(DW37,2)="NO","respaldo del volado",""))))))))</f>
        <v/>
      </c>
      <c r="EC37" s="70" t="str">
        <f>IF(V37&lt;&gt;"SÍ","",IF(LEFT(B37,7)="EJEMPLO","EJEMPLO de la hoja de Casa Rocha: bórralo o sobrescríbelo. ","")&amp;IF(AND(C37="PERIMETRAL",MIN(DH37,DI37)=0),"No cabe un casetón en el claro corto: es un tablero macizo, diséñalo en MACIZAS. ","")&amp;IF(AND(AJ37="NO",C37="PERIMETRAL"),"No cumple 6.7.8.1.4 (a_c = "&amp;MAX(DATOS!$C$81,AE37)&amp;" cm &gt; claro corto/6 = "&amp;TEXT(Y37*100/6,"0")&amp;" cm): se diseña como losa apoyada en vigas (6.7.8.1.9): r de viga = "&amp;DATOS!$C$63&amp;" cm y V_cR sin ×1.1. Para que cuente como encasetonada: casetón de "&amp;TEXT(FLOOR(MIN(80,Y37*100/6),1),"0")&amp;" cm o menor. ","")&amp;IF(C37="VOLADO","Volado de "&amp;TEXT(Y37,"0.00")&amp;" m empotrado en el borde "&amp;LOWER(W37)&amp;IF(N(O37)&gt;0,", con "&amp;TEXT(O37,"0.0")&amp;" kg/m en la orilla","")&amp;". Lecho inferior con r_ext. Si la orilla carga pretil u otro elemento frágil, calcula la flecha (13.4). El acero superior entra al respaldo de "&amp;TEXT(IF(ISNUMBER(P37),P37,Y37),"0.00")&amp;" m"&amp;" hasta pasar M = 0 con 0.9·PP sin carga viva; si ahí no se anula, llega al apoyo lejano y se ancla con gancho (NTC-Criterios 3.4.1 c y 5.1.2.2). "&amp;IF(AD37&gt;DATOS!$C$83,"Respaldo: "&amp;DW37&amp;". ",""),"")&amp;IF(AND(C37="VOLADO",((0.9*DATOS!$C$90*DATOS!$C$86/100/1000)*IF(ISNUMBER(P37),P37,Y37)/2-BH37/IF(ISNUMBER(P37),P37,Y37))&lt;0),"Con 0.9·PP y sin carga viva el apoyo lejano del respaldo levanta (R = "&amp;TEXT(-((0.9*DATOS!$C$90*DATOS!$C$86/100/1000)*IF(ISNUMBER(P37),P37,Y37)/2-BH37/IF(ISNUMBER(P37),P37,Y37)),"0.00")&amp;" t por nervadura): ancla ahí la corrida con gancho y revisa ese apoyo a tensión. ","")&amp;IF(LEFT(BK37,5)="FUERA","El M⁻ del vecino difiere más de 50 % (3.4.2.1 c): distribuye el desequilibrio (3.4.3.1) o confirma con un modelo; se arma con el mayor. ","")&amp;IF(OR(DE37="SÍ",DF37="SÍ"),"El M⁻ del borde discontinuo pide bastón también ahí (con gancho). ","")&amp;IF(LEFT(DG37,2)="NO","Anclaje: "&amp;DG37&amp;" (6.7.8.1.7). ","")&amp;IF(AND(C37="PERIMETRAL",AT37&gt;=1,AS37-AT37&gt;=1),"Esquinas exteriores sobre muro: refuerzo de esquina arriba y abajo en L_largo/5 (6.7.7.3.1). ",""))</f>
        <v/>
      </c>
    </row>
    <row r="38" ht="33" customHeight="1">
      <c r="A38" s="50">
        <f>IF(B38="",0,1)+A37</f>
        <v>4</v>
      </c>
      <c r="B38" s="29" t="n"/>
      <c r="C38" s="51" t="n"/>
      <c r="D38" s="29" t="n"/>
      <c r="E38" s="52" t="n"/>
      <c r="F38" s="52" t="n"/>
      <c r="G38" s="51" t="n"/>
      <c r="H38" s="51" t="n"/>
      <c r="I38" s="51" t="n"/>
      <c r="J38" s="51" t="n"/>
      <c r="K38" s="51" t="n"/>
      <c r="L38" s="51" t="n"/>
      <c r="M38" s="53" t="n"/>
      <c r="N38" s="53" t="n"/>
      <c r="O38" s="54" t="n"/>
      <c r="P38" s="52" t="n"/>
      <c r="Q38" s="52" t="n"/>
      <c r="R38" s="53" t="n"/>
      <c r="S38" s="54" t="n"/>
      <c r="T38" s="52" t="n"/>
      <c r="U38" s="52" t="n"/>
      <c r="V38" s="55" t="str">
        <f>IF(B38="","",IF(AND(OR(C38="PERIMETRAL",C38="VOLADO"),ISNUMBER(E38),ISNUMBER(F38),E38&gt;0,F38&gt;0,OR(ISNUMBER(N38),ISNUMBER(MATCH(D38,DATOS!$B$46:$B$58,0))),OR(C38&lt;&gt;"VOLADO",N(P38)&gt;0)),"SÍ","NO"))</f>
        <v/>
      </c>
      <c r="W38" s="55" t="str">
        <f>IF(V38&lt;&gt;"SÍ","",IF(C38&lt;&gt;"VOLADO","—",IF(COUNTIF(G38:J38,"CONTINUO")&lt;&gt;1,"?",IF(G38="CONTINUO","INFERIOR",IF(H38="CONTINUO","SUPERIOR",IF(I38="CONTINUO","IZQUIERDO","DERECHO"))))))</f>
        <v/>
      </c>
      <c r="X38" s="55" t="str">
        <f>IF(V38&lt;&gt;"SÍ","",IF(C38="VOLADO",IF(OR(W38="IZQUIERDO",W38="DERECHO"),"X","Y"),IF(E38&lt;=F38,"X","Y")))</f>
        <v/>
      </c>
      <c r="Y38" s="56" t="str">
        <f>IF(V38&lt;&gt;"SÍ","",IF(C38="VOLADO",IF(X38="X",E38,F38),MIN(E38,F38)))</f>
        <v/>
      </c>
      <c r="Z38" s="56" t="str">
        <f>IF(V38&lt;&gt;"SÍ","",IF(C38="VOLADO",IF(X38="X",F38,E38),MAX(E38,F38)))</f>
        <v/>
      </c>
      <c r="AA38" s="56" t="str">
        <f>IF(V38&lt;&gt;"SÍ","",MIN(Y38,Z38)/MAX(Y38,Z38))</f>
        <v/>
      </c>
      <c r="AB38" s="57" t="str">
        <f>IF(V38&lt;&gt;"SÍ","",MAX(1,Y38*100-IF(C38="VOLADO",DATOS!$C$87/2,DATOS!$C$87)))</f>
        <v/>
      </c>
      <c r="AC38" s="57" t="str">
        <f>IF(V38&lt;&gt;"SÍ","",MAX(1,Z38*100-DATOS!$C$87))</f>
        <v/>
      </c>
      <c r="AD38" s="57" t="str">
        <f>IF(V38&lt;&gt;"SÍ","",IF(ISNUMBER(R38),R38,DATOS!$C$83))</f>
        <v/>
      </c>
      <c r="AE38" s="57" t="str">
        <f>IF(V38&lt;&gt;"SÍ","",MAX(0,DATOS!$C$86-AD38))</f>
        <v/>
      </c>
      <c r="AF38" s="57" t="str">
        <f>IF(V38&lt;&gt;"SÍ","",IF(OR(DATOS!$C$65="SÍ",AD38&gt;=20),AD38,AD38-2))</f>
        <v/>
      </c>
      <c r="AG38" s="57" t="str">
        <f>IF(V38&lt;&gt;"SÍ","",IF(OR(DATOS!$C$65="SÍ",DATOS!$C$83&gt;=20),DATOS!$C$83,DATOS!$C$83-2))</f>
        <v/>
      </c>
      <c r="AH38" s="57" t="str">
        <f>IF(V38&lt;&gt;"SÍ","",MIN(DATOS!$C$86,AD38+2*MIN(8*DATOS!$C$84,AE38/2,AB38/8)))</f>
        <v/>
      </c>
      <c r="AI38" s="57" t="str">
        <f>IF(V38&lt;&gt;"SÍ","",MIN(DATOS!$C$86,DATOS!$C$83+2*MIN(8*DATOS!$C$84,DATOS!$C$81/2,AC38/8)))</f>
        <v/>
      </c>
      <c r="AJ38" s="55" t="str">
        <f>IF(V38&lt;&gt;"SÍ","",IF(AND(C38="PERIMETRAL",Y38*100&gt;=6*MAX(DATOS!$C$81,AE38),MAX(DATOS!$C$81,AE38)&lt;=80,MIN(DATOS!$C$83,AD38)&gt;=10,DATOS!$C$85&lt;=3.5*MIN(DATOS!$C$83,AD38),DATOS!$C$84&gt;=MAX(MAX(DATOS!$C$81,AE38)/13,5)),"SÍ","NO"))</f>
        <v/>
      </c>
      <c r="AK38" s="57" t="str">
        <f>IF(V38&lt;&gt;"SÍ","",IF(C38="VOLADO",DATOS!$C$64,IF(AJ38="NO",DATOS!$C$63,DATOS!$C$62)))</f>
        <v/>
      </c>
      <c r="AL38" s="57" t="str">
        <f>IF(V38&lt;&gt;"SÍ","",IF(OR(AND(AN38="SÍ",DATOS!$C$66="SÍ"),AND(C38="VOLADO",DATOS!$C$67="SÍ")),DATOS!$C$64,IF(AJ38="NO",DATOS!$C$63,DATOS!$C$62)))</f>
        <v/>
      </c>
      <c r="AM38" s="58" t="str">
        <f>IF(V38&lt;&gt;"SÍ","",MAX(AL38,(DATOS!$C$84-2*DATOS!$C$97)/2))</f>
        <v/>
      </c>
      <c r="AN38" s="55" t="str">
        <f>IF(V38&lt;&gt;"SÍ","",IFERROR(INDEX(DATOS!$D$46:$D$58,MATCH(D38,DATOS!$B$46:$B$58,0)),"NO"))</f>
        <v/>
      </c>
      <c r="AO38" s="59" t="str">
        <f>IF(V38&lt;&gt;"SÍ","",IF(ISNUMBER(N38),N38,IFERROR(INDEX(DATOS!$C$46:$C$58,MATCH(D38,DATOS!$B$46:$B$58,0)),0)))</f>
        <v/>
      </c>
      <c r="AP38" s="59" t="str">
        <f>IF(V38&lt;&gt;"SÍ","",IF(MIN(DH38,DI38)=0,DATOS!$C$85/100*DATOS!$C$16*1000,(DATOS!$C$85/100-(AE38*DATOS!$C$81/DATOS!$C$86^2)*DATOS!$C$82/100)*DATOS!$C$16*1000+(AE38*DATOS!$C$81/DATOS!$C$86^2)*DATOS!$C$82/100*DATOS!$C$17*1000)+DATOS!$C$37+DATOS!$C$38)</f>
        <v/>
      </c>
      <c r="AQ38" s="59" t="str">
        <f>IF(V38&lt;&gt;"SÍ","",AP38+N(M38))</f>
        <v/>
      </c>
      <c r="AR38" s="60" t="str">
        <f>IF(V38&lt;&gt;"SÍ","",MAX(DATOS!$C$26*AQ38+DATOS!$C$27*AO38,IF(AN38="SÍ",DATOS!$C$28*(AQ38+DATOS!$C$41),0)))</f>
        <v/>
      </c>
      <c r="AS38" s="59" t="str">
        <f>IF(V38&lt;&gt;"SÍ","",(G38="DISCONTINUO")+(H38="DISCONTINUO")+(I38="DISCONTINUO")+(J38="DISCONTINUO"))</f>
        <v/>
      </c>
      <c r="AT38" s="59" t="str">
        <f>IF(V38&lt;&gt;"SÍ","",IF(X38="X",(G38="DISCONTINUO")+(H38="DISCONTINUO"),(I38="DISCONTINUO")+(J38="DISCONTINUO")))</f>
        <v/>
      </c>
      <c r="AU38" s="55" t="str">
        <f>IF(V38&lt;&gt;"SÍ","",IF(AS38=0,"INTERIOR",IF(AS38=1,IF(AT38=1,"BORDE-CORTO","BORDE-LARGO"),IF(AS38=2,IF(AT38=1,"ESQUINA",IF(AT38=2,"EXTREMO-LARGO","EXTREMO-CORTO")),IF(AS38=3,IF(AT38=2,"EXTREMO-LARGO","EXTREMO-CORTO"),"AISLADO")))))</f>
        <v/>
      </c>
      <c r="AV38" s="61" t="str">
        <f>IF(V38&lt;&gt;"SÍ","",IF(OR(K38="",K38="AUTO"),AU38,K38))</f>
        <v/>
      </c>
      <c r="AW38" s="59" t="str">
        <f>IF(V38&lt;&gt;"SÍ","",MATCH(AA38,TABLAS!$D$5:$J$5,1))</f>
        <v/>
      </c>
      <c r="AX38" s="58" t="str">
        <f>IF(V38&lt;&gt;"SÍ","",IF(AW38&gt;=7,0,(AA38-INDEX(TABLAS!$D$5:$J$5,AW38))/(INDEX(TABLAS!$D$5:$J$5,AW38+1)-INDEX(TABLAS!$D$5:$J$5,AW38))))</f>
        <v/>
      </c>
      <c r="AY38" s="59" t="str">
        <f>IF(V38&lt;&gt;"SÍ","",INDEX(TABLAS!$D$6:$J$47,MATCH(AV38&amp;"|NIC",TABLAS!$B$6:$B$47,0),AW38)+AX38*(INDEX(TABLAS!$D$6:$J$47,MATCH(AV38&amp;"|NIC",TABLAS!$B$6:$B$47,0),MIN(AW38+1,7))-INDEX(TABLAS!$D$6:$J$47,MATCH(AV38&amp;"|NIC",TABLAS!$B$6:$B$47,0),AW38)))</f>
        <v/>
      </c>
      <c r="AZ38" s="59" t="str">
        <f>IF(V38&lt;&gt;"SÍ","",INDEX(TABLAS!$D$6:$J$47,MATCH(AV38&amp;"|NIL",TABLAS!$B$6:$B$47,0),AW38)+AX38*(INDEX(TABLAS!$D$6:$J$47,MATCH(AV38&amp;"|NIL",TABLAS!$B$6:$B$47,0),MIN(AW38+1,7))-INDEX(TABLAS!$D$6:$J$47,MATCH(AV38&amp;"|NIL",TABLAS!$B$6:$B$47,0),AW38)))</f>
        <v/>
      </c>
      <c r="BA38" s="59" t="str">
        <f>IF(V38&lt;&gt;"SÍ","",INDEX(TABLAS!$D$6:$J$47,MATCH(AV38&amp;"|NDC",TABLAS!$B$6:$B$47,0),AW38)+AX38*(INDEX(TABLAS!$D$6:$J$47,MATCH(AV38&amp;"|NDC",TABLAS!$B$6:$B$47,0),MIN(AW38+1,7))-INDEX(TABLAS!$D$6:$J$47,MATCH(AV38&amp;"|NDC",TABLAS!$B$6:$B$47,0),AW38)))</f>
        <v/>
      </c>
      <c r="BB38" s="59" t="str">
        <f>IF(V38&lt;&gt;"SÍ","",INDEX(TABLAS!$D$6:$J$47,MATCH(AV38&amp;"|NDL",TABLAS!$B$6:$B$47,0),AW38)+AX38*(INDEX(TABLAS!$D$6:$J$47,MATCH(AV38&amp;"|NDL",TABLAS!$B$6:$B$47,0),MIN(AW38+1,7))-INDEX(TABLAS!$D$6:$J$47,MATCH(AV38&amp;"|NDL",TABLAS!$B$6:$B$47,0),AW38)))</f>
        <v/>
      </c>
      <c r="BC38" s="59" t="str">
        <f>IF(V38&lt;&gt;"SÍ","",INDEX(TABLAS!$D$6:$J$47,MATCH(AV38&amp;"|PC",TABLAS!$B$6:$B$47,0),AW38)+AX38*(INDEX(TABLAS!$D$6:$J$47,MATCH(AV38&amp;"|PC",TABLAS!$B$6:$B$47,0),MIN(AW38+1,7))-INDEX(TABLAS!$D$6:$J$47,MATCH(AV38&amp;"|PC",TABLAS!$B$6:$B$47,0),AW38)))</f>
        <v/>
      </c>
      <c r="BD38" s="59" t="str">
        <f>IF(V38&lt;&gt;"SÍ","",INDEX(TABLAS!$D$6:$J$47,MATCH(AV38&amp;"|PL",TABLAS!$B$6:$B$47,0),AW38)+AX38*(INDEX(TABLAS!$D$6:$J$47,MATCH(AV38&amp;"|PL",TABLAS!$B$6:$B$47,0),MIN(AW38+1,7))-INDEX(TABLAS!$D$6:$J$47,MATCH(AV38&amp;"|PL",TABLAS!$B$6:$B$47,0),AW38)))</f>
        <v/>
      </c>
      <c r="BE38" s="56" t="str">
        <f>IF(V38&lt;&gt;"SÍ","",IF(OR(C38&lt;&gt;"VOLADO",MIN(DH38,DI38)=0),0,DATOS!$C$26*DATOS!$C$16*DATOS!$C$86/100*(((AE38*DATOS!$C$81/DATOS!$C$86^2)*DATOS!$C$82/100)*(IF(X38="X",DJ38,DL38)+DATOS!$C$87/2)/100*(AB38-(IF(X38="X",DJ38,DL38)+DATOS!$C$87/2)/2)/100+((AE38*DATOS!$C$81/DATOS!$C$86^2)*DATOS!$C$82/100)*IF(X38="X",DJ38,DL38)/100*IF(X38="X",DJ38,DL38)/200)))</f>
        <v/>
      </c>
      <c r="BF38" s="56" t="str">
        <f>IF(V38&lt;&gt;"SÍ","",IF(OR(C38&lt;&gt;"VOLADO",MIN(DH38,DI38)=0),0,DATOS!$C$26*DATOS!$C$16*DATOS!$C$86/100*((AE38*DATOS!$C$81/DATOS!$C$86^2)*DATOS!$C$82/100)*(IF(X38="X",DJ38,DL38)+DATOS!$C$87/2)/100))</f>
        <v/>
      </c>
      <c r="BG38" s="56" t="str">
        <f>IF(V38&lt;&gt;"SÍ","",IF(C38="PERIMETRAL",BC38*AR38*Y38^2*1E-4*DATOS!$C$86/100/1000,0))</f>
        <v/>
      </c>
      <c r="BH38" s="62" t="str">
        <f>IF(V38&lt;&gt;"SÍ","",IF(C38="PERIMETRAL",MAX(MAX(AY38,BA38)*AR38*Y38^2*1E-4*DATOS!$C$86/100/1000,N(T38)),(AR38*(AB38/100)^2/2+DATOS!$C$26*N(O38)*AB38/100)*DATOS!$C$86/100/1000+BE38))</f>
        <v/>
      </c>
      <c r="BI38" s="56" t="str">
        <f>IF(V38&lt;&gt;"SÍ","",IF(C38="PERIMETRAL",BD38*AR38*Y38^2*1E-4*DATOS!$C$86/100/1000,0))</f>
        <v/>
      </c>
      <c r="BJ38" s="56" t="str">
        <f>IF(V38&lt;&gt;"SÍ","",IF(C38="PERIMETRAL",MAX(MAX(AZ38,BB38)*AR38*Y38^2*1E-4*DATOS!$C$86/100/1000,N(U38)),0))</f>
        <v/>
      </c>
      <c r="BK38" s="63" t="str">
        <f>IF(V38&lt;&gt;"SÍ","",IF(C38&lt;&gt;"PERIMETRAL","—",IF(AND(N(T38)=0,N(U38)=0),"— (sin M⁻ del vecino)",IF(OR(AND(N(T38)&gt;0,ABS(MAX(AY38,BA38)*AR38*Y38^2*1E-4*DATOS!$C$86/100/1000-N(T38))&gt;0.5*MIN(MAX(AY38,BA38)*AR38*Y38^2*1E-4*DATOS!$C$86/100/1000,N(T38))),AND(N(U38)&gt;0,ABS(MAX(AZ38,BB38)*AR38*Y38^2*1E-4*DATOS!$C$86/100/1000-N(U38))&gt;0.5*MIN(MAX(AZ38,BB38)*AR38*Y38^2*1E-4*DATOS!$C$86/100/1000,N(U38)))),"FUERA: difieren &gt; 50 %"&amp;IF(AND(N(T38)&gt;0,ABS(MAX(AY38,BA38)*AR38*Y38^2*1E-4*DATOS!$C$86/100/1000-N(T38))&gt;0.5*MIN(MAX(AY38,BA38)*AR38*Y38^2*1E-4*DATOS!$C$86/100/1000,N(T38)))," ‖ corto","")&amp;IF(AND(N(U38)&gt;0,ABS(MAX(AZ38,BB38)*AR38*Y38^2*1E-4*DATOS!$C$86/100/1000-N(U38))&gt;0.5*MIN(MAX(AZ38,BB38)*AR38*Y38^2*1E-4*DATOS!$C$86/100/1000,N(U38)))," ‖ largo",""),"CUMPLE"))))</f>
        <v/>
      </c>
      <c r="BL38" s="58" t="str">
        <f>IF(V38&lt;&gt;"SÍ","",(DATOS!$C$85-AK38-INDEX(TABLAS!$C$52:$C$58,MATCH(MAX(4,DATOS!$C$71),TABLAS!$B$52:$B$58,0))/2))</f>
        <v/>
      </c>
      <c r="BM38" s="58" t="str">
        <f>IF(V38&lt;&gt;"SÍ","",IF(IF(BG38&lt;=0,0,IF((1-2*BG38*1E5/(DATOS!$C$29*AH38*BL38^2*DATOS!$C$21))&lt;0,-1,IF((1-SQRT((1-2*BG38*1E5/(DATOS!$C$29*AH38*BL38^2*DATOS!$C$21))))*DATOS!$C$21*AH38*BL38/DATOS!$C$14&gt;DATOS!$C$102*AH38*BL38,-1,(1-SQRT((1-2*BG38*1E5/(DATOS!$C$29*AH38*BL38^2*DATOS!$C$21))))*DATOS!$C$21*AH38*BL38/DATOS!$C$14)))&lt;0,-1,MAX(IF(BG38&lt;=0,0,IF((1-2*BG38*1E5/(DATOS!$C$29*AH38*BL38^2*DATOS!$C$21))&lt;0,-1,IF((1-SQRT((1-2*BG38*1E5/(DATOS!$C$29*AH38*BL38^2*DATOS!$C$21))))*DATOS!$C$21*AH38*BL38/DATOS!$C$14&gt;DATOS!$C$102*AH38*BL38,-1,(1-SQRT((1-2*BG38*1E5/(DATOS!$C$29*AH38*BL38^2*DATOS!$C$21))))*DATOS!$C$21*AH38*BL38/DATOS!$C$14))),MIN(DATOS!$C$103*AD38*BL38,4/3*IF(BG38&lt;=0,0,IF((1-2*BG38*1E5/(DATOS!$C$29*AH38*BL38^2*DATOS!$C$21))&lt;0,-1,IF((1-SQRT((1-2*BG38*1E5/(DATOS!$C$29*AH38*BL38^2*DATOS!$C$21))))*DATOS!$C$21*AH38*BL38/DATOS!$C$14&gt;DATOS!$C$102*AH38*BL38,-1,(1-SQRT((1-2*BG38*1E5/(DATOS!$C$29*AH38*BL38^2*DATOS!$C$21))))*DATOS!$C$21*AH38*BL38/DATOS!$C$14)))))))</f>
        <v/>
      </c>
      <c r="BN38" s="64" t="str">
        <f>IF(V38&lt;&gt;"SÍ","",IF(AND(BM38&gt;=0,IF(MAX(DATOS!$C$74,CEILING(BM38/INDEX(TABLAS!$D$52:$D$58,MIN(MATCH(MAX(4,DATOS!$C$71),TABLAS!$B$52:$B$58,0)+0,7)),1))*INDEX(TABLAS!$D$52:$D$58,MIN(MATCH(MAX(4,DATOS!$C$71),TABLAS!$B$52:$B$58,0)+0,7)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+0,7)),1)),MAX(MAX(DATOS!$C$74,CEILING(BM38/INDEX(TABLAS!$D$52:$D$58,MIN(MATCH(MAX(4,DATOS!$C$71),TABLAS!$B$52:$B$58,0)+0,7)),1)),2))&lt;=MIN(DATOS!$C$73,INT(((AD38-2*AK38)+MAX(DATOS!$C$70,INDEX(TABLAS!$C$52:$C$58,MIN(MATCH(MAX(4,DATOS!$C$71),TABLAS!$B$52:$B$58,0)+0,7))))/(INDEX(TABLAS!$C$52:$C$58,MIN(MATCH(MAX(4,DATOS!$C$71),TABLAS!$B$52:$B$58,0)+0,7))+MAX(DATOS!$C$70,INDEX(TABLAS!$C$52:$C$58,MIN(MATCH(MAX(4,DATOS!$C$71),TABLAS!$B$52:$B$58,0)+0,7))))))),INDEX(TABLAS!$B$52:$B$58,MIN(MATCH(MAX(4,DATOS!$C$71),TABLAS!$B$52:$B$58,0)+0,7)),IF(AND(BM38&gt;=0,IF(MAX(DATOS!$C$74,CEILING(BM38/INDEX(TABLAS!$D$52:$D$58,MIN(MATCH(MAX(4,DATOS!$C$71),TABLAS!$B$52:$B$58,0)+1,7)),1))*INDEX(TABLAS!$D$52:$D$58,MIN(MATCH(MAX(4,DATOS!$C$71),TABLAS!$B$52:$B$58,0)+1,7)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+1,7)),1)),MAX(MAX(DATOS!$C$74,CEILING(BM38/INDEX(TABLAS!$D$52:$D$58,MIN(MATCH(MAX(4,DATOS!$C$71),TABLAS!$B$52:$B$58,0)+1,7)),1)),2))&lt;=MIN(DATOS!$C$73,INT(((AD38-2*AK38)+MAX(DATOS!$C$70,INDEX(TABLAS!$C$52:$C$58,MIN(MATCH(MAX(4,DATOS!$C$71),TABLAS!$B$52:$B$58,0)+1,7))))/(INDEX(TABLAS!$C$52:$C$58,MIN(MATCH(MAX(4,DATOS!$C$71),TABLAS!$B$52:$B$58,0)+1,7))+MAX(DATOS!$C$70,INDEX(TABLAS!$C$52:$C$58,MIN(MATCH(MAX(4,DATOS!$C$71),TABLAS!$B$52:$B$58,0)+1,7))))))),INDEX(TABLAS!$B$52:$B$58,MIN(MATCH(MAX(4,DATOS!$C$71),TABLAS!$B$52:$B$58,0)+1,7)),IF(AND(BM38&gt;=0,IF(MAX(DATOS!$C$74,CEILING(BM38/INDEX(TABLAS!$D$52:$D$58,MIN(MATCH(MAX(4,DATOS!$C$71),TABLAS!$B$52:$B$58,0)+2,7)),1))*INDEX(TABLAS!$D$52:$D$58,MIN(MATCH(MAX(4,DATOS!$C$71),TABLAS!$B$52:$B$58,0)+2,7)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+2,7)),1)),MAX(MAX(DATOS!$C$74,CEILING(BM38/INDEX(TABLAS!$D$52:$D$58,MIN(MATCH(MAX(4,DATOS!$C$71),TABLAS!$B$52:$B$58,0)+2,7)),1)),2))&lt;=MIN(DATOS!$C$73,INT(((AD38-2*AK38)+MAX(DATOS!$C$70,INDEX(TABLAS!$C$52:$C$58,MIN(MATCH(MAX(4,DATOS!$C$71),TABLAS!$B$52:$B$58,0)+2,7))))/(INDEX(TABLAS!$C$52:$C$58,MIN(MATCH(MAX(4,DATOS!$C$71),TABLAS!$B$52:$B$58,0)+2,7))+MAX(DATOS!$C$70,INDEX(TABLAS!$C$52:$C$58,MIN(MATCH(MAX(4,DATOS!$C$71),TABLAS!$B$52:$B$58,0)+2,7))))))),INDEX(TABLAS!$B$52:$B$58,MIN(MATCH(MAX(4,DATOS!$C$71),TABLAS!$B$52:$B$58,0)+2,7)),IF(AND(BM38&gt;=0,IF(MAX(DATOS!$C$74,CEILING(BM38/INDEX(TABLAS!$D$52:$D$58,MIN(MATCH(MAX(4,DATOS!$C$71),TABLAS!$B$52:$B$58,0)+3,7)),1))*INDEX(TABLAS!$D$52:$D$58,MIN(MATCH(MAX(4,DATOS!$C$71),TABLAS!$B$52:$B$58,0)+3,7)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+3,7)),1)),MAX(MAX(DATOS!$C$74,CEILING(BM38/INDEX(TABLAS!$D$52:$D$58,MIN(MATCH(MAX(4,DATOS!$C$71),TABLAS!$B$52:$B$58,0)+3,7)),1)),2))&lt;=MIN(DATOS!$C$73,INT(((AD38-2*AK38)+MAX(DATOS!$C$70,INDEX(TABLAS!$C$52:$C$58,MIN(MATCH(MAX(4,DATOS!$C$71),TABLAS!$B$52:$B$58,0)+3,7))))/(INDEX(TABLAS!$C$52:$C$58,MIN(MATCH(MAX(4,DATOS!$C$71),TABLAS!$B$52:$B$58,0)+3,7))+MAX(DATOS!$C$70,INDEX(TABLAS!$C$52:$C$58,MIN(MATCH(MAX(4,DATOS!$C$71),TABLAS!$B$52:$B$58,0)+3,7))))))),INDEX(TABLAS!$B$52:$B$58,MIN(MATCH(MAX(4,DATOS!$C$71),TABLAS!$B$52:$B$58,0)+3,7)),IF(AND(BM38&gt;=0,IF(MAX(DATOS!$C$74,CEILING(BM38/INDEX(TABLAS!$D$52:$D$58,MIN(MATCH(MAX(4,DATOS!$C$71),TABLAS!$B$52:$B$58,0)+4,7)),1))*INDEX(TABLAS!$D$52:$D$58,MIN(MATCH(MAX(4,DATOS!$C$71),TABLAS!$B$52:$B$58,0)+4,7)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+4,7)),1)),MAX(MAX(DATOS!$C$74,CEILING(BM38/INDEX(TABLAS!$D$52:$D$58,MIN(MATCH(MAX(4,DATOS!$C$71),TABLAS!$B$52:$B$58,0)+4,7)),1)),2))&lt;=MIN(DATOS!$C$73,INT(((AD38-2*AK38)+MAX(DATOS!$C$70,INDEX(TABLAS!$C$52:$C$58,MIN(MATCH(MAX(4,DATOS!$C$71),TABLAS!$B$52:$B$58,0)+4,7))))/(INDEX(TABLAS!$C$52:$C$58,MIN(MATCH(MAX(4,DATOS!$C$71),TABLAS!$B$52:$B$58,0)+4,7))+MAX(DATOS!$C$70,INDEX(TABLAS!$C$52:$C$58,MIN(MATCH(MAX(4,DATOS!$C$71),TABLAS!$B$52:$B$58,0)+4,7))))))),INDEX(TABLAS!$B$52:$B$58,MIN(MATCH(MAX(4,DATOS!$C$71),TABLAS!$B$52:$B$58,0)+4,7)),INDEX(TABLAS!$B$52:$B$58,7)))))))</f>
        <v/>
      </c>
      <c r="BO38" s="59" t="str">
        <f>IF(V38&lt;&gt;"SÍ","",IF(BM38&lt;0,0,IF(MAX(DATOS!$C$74,CEILING(MAX(BM38,0)/INDEX(TABLAS!$D$52:$D$58,MATCH(BN38,TABLAS!$B$52:$B$58,0)),1))*INDEX(TABLAS!$D$52:$D$58,MATCH(BN38,TABLAS!$B$52:$B$58,0))&gt;=4/3*IF(BG38&lt;=0,0,IF((1-2*BG38*1E5/(DATOS!$C$29*AH38*BL38^2*DATOS!$C$21))&lt;0,-1,IF((1-SQRT((1-2*BG38*1E5/(DATOS!$C$29*AH38*BL38^2*DATOS!$C$21))))*DATOS!$C$21*AH38*BL38/DATOS!$C$14&gt;DATOS!$C$102*AH38*BL38,-1,(1-SQRT((1-2*BG38*1E5/(DATOS!$C$29*AH38*BL38^2*DATOS!$C$21))))*DATOS!$C$21*AH38*BL38/DATOS!$C$14)))-0.0001,MAX(DATOS!$C$74,CEILING(MAX(BM38,0)/INDEX(TABLAS!$D$52:$D$58,MATCH(BN38,TABLAS!$B$52:$B$58,0)),1)),MAX(MAX(DATOS!$C$74,CEILING(MAX(BM38,0)/INDEX(TABLAS!$D$52:$D$58,MATCH(BN38,TABLAS!$B$52:$B$58,0)),1)),2))))</f>
        <v/>
      </c>
      <c r="BP38" s="58" t="str">
        <f>IF(V38&lt;&gt;"SÍ","",DATOS!$C$85-AK38-INDEX(TABLAS!$C$52:$C$58,MATCH(BN38,TABLAS!$B$52:$B$58,0))/2)</f>
        <v/>
      </c>
      <c r="BQ38" s="56" t="str">
        <f>IF(V38&lt;&gt;"SÍ","",IF(BO38=0,0,DATOS!$C$29*BO38*INDEX(TABLAS!$D$52:$D$58,MATCH(BN38,TABLAS!$B$52:$B$58,0))*DATOS!$C$14*(BP38-BO38*INDEX(TABLAS!$D$52:$D$58,MATCH(BN38,TABLAS!$B$52:$B$58,0))*DATOS!$C$14/(DATOS!$C$21*AH38)/2)/1E5))</f>
        <v/>
      </c>
      <c r="BR38" s="65" t="str">
        <f>IF(V38&lt;&gt;"SÍ","",IF(BM38&lt;0,9.99,IF(BQ38&gt;0,BG38/BQ38,0)))</f>
        <v/>
      </c>
      <c r="BS38" s="66" t="str">
        <f>IF(V38&lt;&gt;"SÍ","",IF(BO38=0,"—",0.003*(BP38-(BO38*INDEX(TABLAS!$D$52:$D$58,MATCH(BN38,TABLAS!$B$52:$B$58,0))*DATOS!$C$14/(DATOS!$C$21*AH38)/DATOS!$C$22))/(BO38*INDEX(TABLAS!$D$52:$D$58,MATCH(BN38,TABLAS!$B$52:$B$58,0))*DATOS!$C$14/(DATOS!$C$21*AH38)/DATOS!$C$22)))</f>
        <v/>
      </c>
      <c r="BT38" s="58" t="str">
        <f>IF(V38&lt;&gt;"SÍ","",((DATOS!$C$85-AM38-2*DATOS!$C$97-INDEX(TABLAS!$C$52:$C$58,MATCH(MAX(4,DATOS!$C$72),TABLAS!$B$52:$B$58,0))/2)-IF(AND((DATOS!$C$85-AM38-2*DATOS!$C$97-INDEX(TABLAS!$C$52:$C$58,MATCH(MAX(4,DATOS!$C$72),TABLAS!$B$52:$B$58,0))/2)&lt;=20,DATOS!$C$65&lt;&gt;"SÍ"),2,0)))</f>
        <v/>
      </c>
      <c r="BU38" s="58" t="str">
        <f>IF(V38&lt;&gt;"SÍ","",IF(IF(BH38&lt;=0,0,IF((1-2*BH38*1E5/(DATOS!$C$29*AF38*BT38^2*DATOS!$C$21))&lt;0,-1,IF((1-SQRT((1-2*BH38*1E5/(DATOS!$C$29*AF38*BT38^2*DATOS!$C$21))))*DATOS!$C$21*AF38*BT38/DATOS!$C$14&gt;DATOS!$C$102*AF38*BT38,-1,(1-SQRT((1-2*BH38*1E5/(DATOS!$C$29*AF38*BT38^2*DATOS!$C$21))))*DATOS!$C$21*AF38*BT38/DATOS!$C$14)))&lt;0,-1,MAX(IF(BH38&lt;=0,0,IF((1-2*BH38*1E5/(DATOS!$C$29*AF38*BT38^2*DATOS!$C$21))&lt;0,-1,IF((1-SQRT((1-2*BH38*1E5/(DATOS!$C$29*AF38*BT38^2*DATOS!$C$21))))*DATOS!$C$21*AF38*BT38/DATOS!$C$14&gt;DATOS!$C$102*AF38*BT38,-1,(1-SQRT((1-2*BH38*1E5/(DATOS!$C$29*AF38*BT38^2*DATOS!$C$21))))*DATOS!$C$21*AF38*BT38/DATOS!$C$14))),MIN(DATOS!$C$103*IF(C38="VOLADO",MIN(AH38,2*AD38),AD38)*BT38,4/3*IF(BH38&lt;=0,0,IF((1-2*BH38*1E5/(DATOS!$C$29*AF38*BT38^2*DATOS!$C$21))&lt;0,-1,IF((1-SQRT((1-2*BH38*1E5/(DATOS!$C$29*AF38*BT38^2*DATOS!$C$21))))*DATOS!$C$21*AF38*BT38/DATOS!$C$14&gt;DATOS!$C$102*AF38*BT38,-1,(1-SQRT((1-2*BH38*1E5/(DATOS!$C$29*AF38*BT38^2*DATOS!$C$21))))*DATOS!$C$21*AF38*BT38/DATOS!$C$14)))))))</f>
        <v/>
      </c>
      <c r="BV38" s="64" t="str">
        <f>IF(V38&lt;&gt;"SÍ","",IF(AND(BU38&gt;=0,IF(MAX(DATOS!$C$74,CEILING(BU38/INDEX(TABLAS!$D$52:$D$58,MIN(MATCH(MAX(4,DATOS!$C$72),TABLAS!$B$52:$B$58,0)+0,7)),1))*INDEX(TABLAS!$D$52:$D$58,MIN(MATCH(MAX(4,DATOS!$C$72),TABLAS!$B$52:$B$58,0)+0,7)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+0,7)),1)),MAX(MAX(DATOS!$C$74,CEILING(BU38/INDEX(TABLAS!$D$52:$D$58,MIN(MATCH(MAX(4,DATOS!$C$72),TABLAS!$B$52:$B$58,0)+0,7)),1)),2))&lt;=MIN(DATOS!$C$73,INT(((AD38-2*AL38)+MAX(DATOS!$C$70,INDEX(TABLAS!$C$52:$C$58,MIN(MATCH(MAX(4,DATOS!$C$72),TABLAS!$B$52:$B$58,0)+0,7))))/(INDEX(TABLAS!$C$52:$C$58,MIN(MATCH(MAX(4,DATOS!$C$72),TABLAS!$B$52:$B$58,0)+0,7))+MAX(DATOS!$C$70,INDEX(TABLAS!$C$52:$C$58,MIN(MATCH(MAX(4,DATOS!$C$72),TABLAS!$B$52:$B$58,0)+0,7))))))),INDEX(TABLAS!$B$52:$B$58,MIN(MATCH(MAX(4,DATOS!$C$72),TABLAS!$B$52:$B$58,0)+0,7)),IF(AND(BU38&gt;=0,IF(MAX(DATOS!$C$74,CEILING(BU38/INDEX(TABLAS!$D$52:$D$58,MIN(MATCH(MAX(4,DATOS!$C$72),TABLAS!$B$52:$B$58,0)+1,7)),1))*INDEX(TABLAS!$D$52:$D$58,MIN(MATCH(MAX(4,DATOS!$C$72),TABLAS!$B$52:$B$58,0)+1,7)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+1,7)),1)),MAX(MAX(DATOS!$C$74,CEILING(BU38/INDEX(TABLAS!$D$52:$D$58,MIN(MATCH(MAX(4,DATOS!$C$72),TABLAS!$B$52:$B$58,0)+1,7)),1)),2))&lt;=MIN(DATOS!$C$73,INT(((AD38-2*AL38)+MAX(DATOS!$C$70,INDEX(TABLAS!$C$52:$C$58,MIN(MATCH(MAX(4,DATOS!$C$72),TABLAS!$B$52:$B$58,0)+1,7))))/(INDEX(TABLAS!$C$52:$C$58,MIN(MATCH(MAX(4,DATOS!$C$72),TABLAS!$B$52:$B$58,0)+1,7))+MAX(DATOS!$C$70,INDEX(TABLAS!$C$52:$C$58,MIN(MATCH(MAX(4,DATOS!$C$72),TABLAS!$B$52:$B$58,0)+1,7))))))),INDEX(TABLAS!$B$52:$B$58,MIN(MATCH(MAX(4,DATOS!$C$72),TABLAS!$B$52:$B$58,0)+1,7)),IF(AND(BU38&gt;=0,IF(MAX(DATOS!$C$74,CEILING(BU38/INDEX(TABLAS!$D$52:$D$58,MIN(MATCH(MAX(4,DATOS!$C$72),TABLAS!$B$52:$B$58,0)+2,7)),1))*INDEX(TABLAS!$D$52:$D$58,MIN(MATCH(MAX(4,DATOS!$C$72),TABLAS!$B$52:$B$58,0)+2,7)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+2,7)),1)),MAX(MAX(DATOS!$C$74,CEILING(BU38/INDEX(TABLAS!$D$52:$D$58,MIN(MATCH(MAX(4,DATOS!$C$72),TABLAS!$B$52:$B$58,0)+2,7)),1)),2))&lt;=MIN(DATOS!$C$73,INT(((AD38-2*AL38)+MAX(DATOS!$C$70,INDEX(TABLAS!$C$52:$C$58,MIN(MATCH(MAX(4,DATOS!$C$72),TABLAS!$B$52:$B$58,0)+2,7))))/(INDEX(TABLAS!$C$52:$C$58,MIN(MATCH(MAX(4,DATOS!$C$72),TABLAS!$B$52:$B$58,0)+2,7))+MAX(DATOS!$C$70,INDEX(TABLAS!$C$52:$C$58,MIN(MATCH(MAX(4,DATOS!$C$72),TABLAS!$B$52:$B$58,0)+2,7))))))),INDEX(TABLAS!$B$52:$B$58,MIN(MATCH(MAX(4,DATOS!$C$72),TABLAS!$B$52:$B$58,0)+2,7)),IF(AND(BU38&gt;=0,IF(MAX(DATOS!$C$74,CEILING(BU38/INDEX(TABLAS!$D$52:$D$58,MIN(MATCH(MAX(4,DATOS!$C$72),TABLAS!$B$52:$B$58,0)+3,7)),1))*INDEX(TABLAS!$D$52:$D$58,MIN(MATCH(MAX(4,DATOS!$C$72),TABLAS!$B$52:$B$58,0)+3,7)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+3,7)),1)),MAX(MAX(DATOS!$C$74,CEILING(BU38/INDEX(TABLAS!$D$52:$D$58,MIN(MATCH(MAX(4,DATOS!$C$72),TABLAS!$B$52:$B$58,0)+3,7)),1)),2))&lt;=MIN(DATOS!$C$73,INT(((AD38-2*AL38)+MAX(DATOS!$C$70,INDEX(TABLAS!$C$52:$C$58,MIN(MATCH(MAX(4,DATOS!$C$72),TABLAS!$B$52:$B$58,0)+3,7))))/(INDEX(TABLAS!$C$52:$C$58,MIN(MATCH(MAX(4,DATOS!$C$72),TABLAS!$B$52:$B$58,0)+3,7))+MAX(DATOS!$C$70,INDEX(TABLAS!$C$52:$C$58,MIN(MATCH(MAX(4,DATOS!$C$72),TABLAS!$B$52:$B$58,0)+3,7))))))),INDEX(TABLAS!$B$52:$B$58,MIN(MATCH(MAX(4,DATOS!$C$72),TABLAS!$B$52:$B$58,0)+3,7)),IF(AND(BU38&gt;=0,IF(MAX(DATOS!$C$74,CEILING(BU38/INDEX(TABLAS!$D$52:$D$58,MIN(MATCH(MAX(4,DATOS!$C$72),TABLAS!$B$52:$B$58,0)+4,7)),1))*INDEX(TABLAS!$D$52:$D$58,MIN(MATCH(MAX(4,DATOS!$C$72),TABLAS!$B$52:$B$58,0)+4,7)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+4,7)),1)),MAX(MAX(DATOS!$C$74,CEILING(BU38/INDEX(TABLAS!$D$52:$D$58,MIN(MATCH(MAX(4,DATOS!$C$72),TABLAS!$B$52:$B$58,0)+4,7)),1)),2))&lt;=MIN(DATOS!$C$73,INT(((AD38-2*AL38)+MAX(DATOS!$C$70,INDEX(TABLAS!$C$52:$C$58,MIN(MATCH(MAX(4,DATOS!$C$72),TABLAS!$B$52:$B$58,0)+4,7))))/(INDEX(TABLAS!$C$52:$C$58,MIN(MATCH(MAX(4,DATOS!$C$72),TABLAS!$B$52:$B$58,0)+4,7))+MAX(DATOS!$C$70,INDEX(TABLAS!$C$52:$C$58,MIN(MATCH(MAX(4,DATOS!$C$72),TABLAS!$B$52:$B$58,0)+4,7))))))),INDEX(TABLAS!$B$52:$B$58,MIN(MATCH(MAX(4,DATOS!$C$72),TABLAS!$B$52:$B$58,0)+4,7)),INDEX(TABLAS!$B$52:$B$58,7)))))))</f>
        <v/>
      </c>
      <c r="BW38" s="59" t="str">
        <f>IF(V38&lt;&gt;"SÍ","",IF(BU38&lt;0,0,IF(MAX(DATOS!$C$74,CEILING(MAX(BU38,0)/INDEX(TABLAS!$D$52:$D$58,MATCH(BV38,TABLAS!$B$52:$B$58,0)),1))*INDEX(TABLAS!$D$52:$D$58,MATCH(BV38,TABLAS!$B$52:$B$58,0))&gt;=4/3*IF(BH38&lt;=0,0,IF((1-2*BH38*1E5/(DATOS!$C$29*AF38*BT38^2*DATOS!$C$21))&lt;0,-1,IF((1-SQRT((1-2*BH38*1E5/(DATOS!$C$29*AF38*BT38^2*DATOS!$C$21))))*DATOS!$C$21*AF38*BT38/DATOS!$C$14&gt;DATOS!$C$102*AF38*BT38,-1,(1-SQRT((1-2*BH38*1E5/(DATOS!$C$29*AF38*BT38^2*DATOS!$C$21))))*DATOS!$C$21*AF38*BT38/DATOS!$C$14)))-0.0001,MAX(DATOS!$C$74,CEILING(MAX(BU38,0)/INDEX(TABLAS!$D$52:$D$58,MATCH(BV38,TABLAS!$B$52:$B$58,0)),1)),MAX(MAX(DATOS!$C$74,CEILING(MAX(BU38,0)/INDEX(TABLAS!$D$52:$D$58,MATCH(BV38,TABLAS!$B$52:$B$58,0)),1)),2))))</f>
        <v/>
      </c>
      <c r="BX38" s="58" t="str">
        <f>IF(V38&lt;&gt;"SÍ","",((DATOS!$C$85-AM38-2*DATOS!$C$97-INDEX(TABLAS!$C$52:$C$58,MATCH(BV38,TABLAS!$B$52:$B$58,0))/2)-IF(AND((DATOS!$C$85-AM38-2*DATOS!$C$97-INDEX(TABLAS!$C$52:$C$58,MATCH(BV38,TABLAS!$B$52:$B$58,0))/2)&lt;=20,DATOS!$C$65&lt;&gt;"SÍ"),2,0)))</f>
        <v/>
      </c>
      <c r="BY38" s="56" t="str">
        <f>IF(V38&lt;&gt;"SÍ","",IF(BW38=0,0,DATOS!$C$29*BW38*INDEX(TABLAS!$D$52:$D$58,MATCH(BV38,TABLAS!$B$52:$B$58,0))*DATOS!$C$14*(BX38-BW38*INDEX(TABLAS!$D$52:$D$58,MATCH(BV38,TABLAS!$B$52:$B$58,0))*DATOS!$C$14/(DATOS!$C$21*AF38)/2)/1E5))</f>
        <v/>
      </c>
      <c r="BZ38" s="65" t="str">
        <f>IF(V38&lt;&gt;"SÍ","",IF(BU38&lt;0,9.99,IF(BY38&gt;0,BH38/BY38,0)))</f>
        <v/>
      </c>
      <c r="CA38" s="66" t="str">
        <f>IF(V38&lt;&gt;"SÍ","",IF(BW38=0,"—",0.003*(BX38-(BW38*INDEX(TABLAS!$D$52:$D$58,MATCH(BV38,TABLAS!$B$52:$B$58,0))*DATOS!$C$14/(DATOS!$C$21*AF38)/DATOS!$C$22))/(BW38*INDEX(TABLAS!$D$52:$D$58,MATCH(BV38,TABLAS!$B$52:$B$58,0))*DATOS!$C$14/(DATOS!$C$21*AF38)/DATOS!$C$22)))</f>
        <v/>
      </c>
      <c r="CB38" s="58" t="str">
        <f>IF(V38&lt;&gt;"SÍ","",(DATOS!$C$85-AK38-INDEX(TABLAS!$C$52:$C$58,MATCH(MAX(4,DATOS!$C$71),TABLAS!$B$52:$B$58,0))-INDEX(TABLAS!$C$52:$C$58,MATCH(MAX(4,DATOS!$C$71),TABLAS!$B$52:$B$58,0))/2))</f>
        <v/>
      </c>
      <c r="CC38" s="58" t="str">
        <f>IF(V38&lt;&gt;"SÍ","",IF(IF(BI38&lt;=0,0,IF((1-2*BI38*1E5/(DATOS!$C$29*AI38*CB38^2*DATOS!$C$21))&lt;0,-1,IF((1-SQRT((1-2*BI38*1E5/(DATOS!$C$29*AI38*CB38^2*DATOS!$C$21))))*DATOS!$C$21*AI38*CB38/DATOS!$C$14&gt;DATOS!$C$102*AI38*CB38,-1,(1-SQRT((1-2*BI38*1E5/(DATOS!$C$29*AI38*CB38^2*DATOS!$C$21))))*DATOS!$C$21*AI38*CB38/DATOS!$C$14)))&lt;0,-1,MAX(IF(BI38&lt;=0,0,IF((1-2*BI38*1E5/(DATOS!$C$29*AI38*CB38^2*DATOS!$C$21))&lt;0,-1,IF((1-SQRT((1-2*BI38*1E5/(DATOS!$C$29*AI38*CB38^2*DATOS!$C$21))))*DATOS!$C$21*AI38*CB38/DATOS!$C$14&gt;DATOS!$C$102*AI38*CB38,-1,(1-SQRT((1-2*BI38*1E5/(DATOS!$C$29*AI38*CB38^2*DATOS!$C$21))))*DATOS!$C$21*AI38*CB38/DATOS!$C$14))),MIN(DATOS!$C$103*DATOS!$C$83*CB38,4/3*IF(BI38&lt;=0,0,IF((1-2*BI38*1E5/(DATOS!$C$29*AI38*CB38^2*DATOS!$C$21))&lt;0,-1,IF((1-SQRT((1-2*BI38*1E5/(DATOS!$C$29*AI38*CB38^2*DATOS!$C$21))))*DATOS!$C$21*AI38*CB38/DATOS!$C$14&gt;DATOS!$C$102*AI38*CB38,-1,(1-SQRT((1-2*BI38*1E5/(DATOS!$C$29*AI38*CB38^2*DATOS!$C$21))))*DATOS!$C$21*AI38*CB38/DATOS!$C$14)))))))</f>
        <v/>
      </c>
      <c r="CD38" s="64" t="str">
        <f>IF(V38&lt;&gt;"SÍ","",IF(AND(CC38&gt;=0,IF(MAX(DATOS!$C$74,CEILING(CC38/INDEX(TABLAS!$D$52:$D$58,MIN(MATCH(MAX(4,DATOS!$C$71),TABLAS!$B$52:$B$58,0)+0,7)),1))*INDEX(TABLAS!$D$52:$D$58,MIN(MATCH(MAX(4,DATOS!$C$71),TABLAS!$B$52:$B$58,0)+0,7)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+0,7)),1)),MAX(MAX(DATOS!$C$74,CEILING(CC38/INDEX(TABLAS!$D$52:$D$58,MIN(MATCH(MAX(4,DATOS!$C$71),TABLAS!$B$52:$B$58,0)+0,7)),1)),2))&lt;=MIN(DATOS!$C$73,INT(((DATOS!$C$83-2*AK38)+MAX(DATOS!$C$70,INDEX(TABLAS!$C$52:$C$58,MIN(MATCH(MAX(4,DATOS!$C$71),TABLAS!$B$52:$B$58,0)+0,7))))/(INDEX(TABLAS!$C$52:$C$58,MIN(MATCH(MAX(4,DATOS!$C$71),TABLAS!$B$52:$B$58,0)+0,7))+MAX(DATOS!$C$70,INDEX(TABLAS!$C$52:$C$58,MIN(MATCH(MAX(4,DATOS!$C$71),TABLAS!$B$52:$B$58,0)+0,7))))))),INDEX(TABLAS!$B$52:$B$58,MIN(MATCH(MAX(4,DATOS!$C$71),TABLAS!$B$52:$B$58,0)+0,7)),IF(AND(CC38&gt;=0,IF(MAX(DATOS!$C$74,CEILING(CC38/INDEX(TABLAS!$D$52:$D$58,MIN(MATCH(MAX(4,DATOS!$C$71),TABLAS!$B$52:$B$58,0)+1,7)),1))*INDEX(TABLAS!$D$52:$D$58,MIN(MATCH(MAX(4,DATOS!$C$71),TABLAS!$B$52:$B$58,0)+1,7)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+1,7)),1)),MAX(MAX(DATOS!$C$74,CEILING(CC38/INDEX(TABLAS!$D$52:$D$58,MIN(MATCH(MAX(4,DATOS!$C$71),TABLAS!$B$52:$B$58,0)+1,7)),1)),2))&lt;=MIN(DATOS!$C$73,INT(((DATOS!$C$83-2*AK38)+MAX(DATOS!$C$70,INDEX(TABLAS!$C$52:$C$58,MIN(MATCH(MAX(4,DATOS!$C$71),TABLAS!$B$52:$B$58,0)+1,7))))/(INDEX(TABLAS!$C$52:$C$58,MIN(MATCH(MAX(4,DATOS!$C$71),TABLAS!$B$52:$B$58,0)+1,7))+MAX(DATOS!$C$70,INDEX(TABLAS!$C$52:$C$58,MIN(MATCH(MAX(4,DATOS!$C$71),TABLAS!$B$52:$B$58,0)+1,7))))))),INDEX(TABLAS!$B$52:$B$58,MIN(MATCH(MAX(4,DATOS!$C$71),TABLAS!$B$52:$B$58,0)+1,7)),IF(AND(CC38&gt;=0,IF(MAX(DATOS!$C$74,CEILING(CC38/INDEX(TABLAS!$D$52:$D$58,MIN(MATCH(MAX(4,DATOS!$C$71),TABLAS!$B$52:$B$58,0)+2,7)),1))*INDEX(TABLAS!$D$52:$D$58,MIN(MATCH(MAX(4,DATOS!$C$71),TABLAS!$B$52:$B$58,0)+2,7)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+2,7)),1)),MAX(MAX(DATOS!$C$74,CEILING(CC38/INDEX(TABLAS!$D$52:$D$58,MIN(MATCH(MAX(4,DATOS!$C$71),TABLAS!$B$52:$B$58,0)+2,7)),1)),2))&lt;=MIN(DATOS!$C$73,INT(((DATOS!$C$83-2*AK38)+MAX(DATOS!$C$70,INDEX(TABLAS!$C$52:$C$58,MIN(MATCH(MAX(4,DATOS!$C$71),TABLAS!$B$52:$B$58,0)+2,7))))/(INDEX(TABLAS!$C$52:$C$58,MIN(MATCH(MAX(4,DATOS!$C$71),TABLAS!$B$52:$B$58,0)+2,7))+MAX(DATOS!$C$70,INDEX(TABLAS!$C$52:$C$58,MIN(MATCH(MAX(4,DATOS!$C$71),TABLAS!$B$52:$B$58,0)+2,7))))))),INDEX(TABLAS!$B$52:$B$58,MIN(MATCH(MAX(4,DATOS!$C$71),TABLAS!$B$52:$B$58,0)+2,7)),IF(AND(CC38&gt;=0,IF(MAX(DATOS!$C$74,CEILING(CC38/INDEX(TABLAS!$D$52:$D$58,MIN(MATCH(MAX(4,DATOS!$C$71),TABLAS!$B$52:$B$58,0)+3,7)),1))*INDEX(TABLAS!$D$52:$D$58,MIN(MATCH(MAX(4,DATOS!$C$71),TABLAS!$B$52:$B$58,0)+3,7)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+3,7)),1)),MAX(MAX(DATOS!$C$74,CEILING(CC38/INDEX(TABLAS!$D$52:$D$58,MIN(MATCH(MAX(4,DATOS!$C$71),TABLAS!$B$52:$B$58,0)+3,7)),1)),2))&lt;=MIN(DATOS!$C$73,INT(((DATOS!$C$83-2*AK38)+MAX(DATOS!$C$70,INDEX(TABLAS!$C$52:$C$58,MIN(MATCH(MAX(4,DATOS!$C$71),TABLAS!$B$52:$B$58,0)+3,7))))/(INDEX(TABLAS!$C$52:$C$58,MIN(MATCH(MAX(4,DATOS!$C$71),TABLAS!$B$52:$B$58,0)+3,7))+MAX(DATOS!$C$70,INDEX(TABLAS!$C$52:$C$58,MIN(MATCH(MAX(4,DATOS!$C$71),TABLAS!$B$52:$B$58,0)+3,7))))))),INDEX(TABLAS!$B$52:$B$58,MIN(MATCH(MAX(4,DATOS!$C$71),TABLAS!$B$52:$B$58,0)+3,7)),IF(AND(CC38&gt;=0,IF(MAX(DATOS!$C$74,CEILING(CC38/INDEX(TABLAS!$D$52:$D$58,MIN(MATCH(MAX(4,DATOS!$C$71),TABLAS!$B$52:$B$58,0)+4,7)),1))*INDEX(TABLAS!$D$52:$D$58,MIN(MATCH(MAX(4,DATOS!$C$71),TABLAS!$B$52:$B$58,0)+4,7)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+4,7)),1)),MAX(MAX(DATOS!$C$74,CEILING(CC38/INDEX(TABLAS!$D$52:$D$58,MIN(MATCH(MAX(4,DATOS!$C$71),TABLAS!$B$52:$B$58,0)+4,7)),1)),2))&lt;=MIN(DATOS!$C$73,INT(((DATOS!$C$83-2*AK38)+MAX(DATOS!$C$70,INDEX(TABLAS!$C$52:$C$58,MIN(MATCH(MAX(4,DATOS!$C$71),TABLAS!$B$52:$B$58,0)+4,7))))/(INDEX(TABLAS!$C$52:$C$58,MIN(MATCH(MAX(4,DATOS!$C$71),TABLAS!$B$52:$B$58,0)+4,7))+MAX(DATOS!$C$70,INDEX(TABLAS!$C$52:$C$58,MIN(MATCH(MAX(4,DATOS!$C$71),TABLAS!$B$52:$B$58,0)+4,7))))))),INDEX(TABLAS!$B$52:$B$58,MIN(MATCH(MAX(4,DATOS!$C$71),TABLAS!$B$52:$B$58,0)+4,7)),INDEX(TABLAS!$B$52:$B$58,7)))))))</f>
        <v/>
      </c>
      <c r="CE38" s="59" t="str">
        <f>IF(V38&lt;&gt;"SÍ","",IF(CC38&lt;0,0,IF(MAX(DATOS!$C$74,CEILING(MAX(CC38,0)/INDEX(TABLAS!$D$52:$D$58,MATCH(CD38,TABLAS!$B$52:$B$58,0)),1))*INDEX(TABLAS!$D$52:$D$58,MATCH(CD38,TABLAS!$B$52:$B$58,0))&gt;=4/3*IF(BI38&lt;=0,0,IF((1-2*BI38*1E5/(DATOS!$C$29*AI38*CB38^2*DATOS!$C$21))&lt;0,-1,IF((1-SQRT((1-2*BI38*1E5/(DATOS!$C$29*AI38*CB38^2*DATOS!$C$21))))*DATOS!$C$21*AI38*CB38/DATOS!$C$14&gt;DATOS!$C$102*AI38*CB38,-1,(1-SQRT((1-2*BI38*1E5/(DATOS!$C$29*AI38*CB38^2*DATOS!$C$21))))*DATOS!$C$21*AI38*CB38/DATOS!$C$14)))-0.0001,MAX(DATOS!$C$74,CEILING(MAX(CC38,0)/INDEX(TABLAS!$D$52:$D$58,MATCH(CD38,TABLAS!$B$52:$B$58,0)),1)),MAX(MAX(DATOS!$C$74,CEILING(MAX(CC38,0)/INDEX(TABLAS!$D$52:$D$58,MATCH(CD38,TABLAS!$B$52:$B$58,0)),1)),2))))</f>
        <v/>
      </c>
      <c r="CF38" s="58" t="str">
        <f>IF(V38&lt;&gt;"SÍ","",DATOS!$C$85-AK38-INDEX(TABLAS!$C$52:$C$58,MATCH(BN38,TABLAS!$B$52:$B$58,0))-INDEX(TABLAS!$C$52:$C$58,MATCH(CD38,TABLAS!$B$52:$B$58,0))/2)</f>
        <v/>
      </c>
      <c r="CG38" s="56" t="str">
        <f>IF(V38&lt;&gt;"SÍ","",IF(CE38=0,0,DATOS!$C$29*CE38*INDEX(TABLAS!$D$52:$D$58,MATCH(CD38,TABLAS!$B$52:$B$58,0))*DATOS!$C$14*(CF38-CE38*INDEX(TABLAS!$D$52:$D$58,MATCH(CD38,TABLAS!$B$52:$B$58,0))*DATOS!$C$14/(DATOS!$C$21*AI38)/2)/1E5))</f>
        <v/>
      </c>
      <c r="CH38" s="65" t="str">
        <f>IF(V38&lt;&gt;"SÍ","",IF(CC38&lt;0,9.99,IF(CG38&gt;0,BI38/CG38,0)))</f>
        <v/>
      </c>
      <c r="CI38" s="66" t="str">
        <f>IF(V38&lt;&gt;"SÍ","",IF(CE38=0,"—",0.003*(CF38-(CE38*INDEX(TABLAS!$D$52:$D$58,MATCH(CD38,TABLAS!$B$52:$B$58,0))*DATOS!$C$14/(DATOS!$C$21*AI38)/DATOS!$C$22))/(CE38*INDEX(TABLAS!$D$52:$D$58,MATCH(CD38,TABLAS!$B$52:$B$58,0))*DATOS!$C$14/(DATOS!$C$21*AI38)/DATOS!$C$22)))</f>
        <v/>
      </c>
      <c r="CJ38" s="58" t="str">
        <f>IF(V38&lt;&gt;"SÍ","",((DATOS!$C$85-AM38-2*DATOS!$C$97-INDEX(TABLAS!$C$52:$C$58,MATCH(MAX(4,DATOS!$C$72),TABLAS!$B$52:$B$58,0))-INDEX(TABLAS!$C$52:$C$58,MATCH(MAX(4,DATOS!$C$72),TABLAS!$B$52:$B$58,0))/2)-IF(AND((DATOS!$C$85-AM38-2*DATOS!$C$97-INDEX(TABLAS!$C$52:$C$58,MATCH(MAX(4,DATOS!$C$72),TABLAS!$B$52:$B$58,0))-INDEX(TABLAS!$C$52:$C$58,MATCH(MAX(4,DATOS!$C$72),TABLAS!$B$52:$B$58,0))/2)&lt;=20,DATOS!$C$65&lt;&gt;"SÍ"),2,0)))</f>
        <v/>
      </c>
      <c r="CK38" s="58" t="str">
        <f>IF(V38&lt;&gt;"SÍ","",IF(IF(BJ38&lt;=0,0,IF((1-2*BJ38*1E5/(DATOS!$C$29*AG38*CJ38^2*DATOS!$C$21))&lt;0,-1,IF((1-SQRT((1-2*BJ38*1E5/(DATOS!$C$29*AG38*CJ38^2*DATOS!$C$21))))*DATOS!$C$21*AG38*CJ38/DATOS!$C$14&gt;DATOS!$C$102*AG38*CJ38,-1,(1-SQRT((1-2*BJ38*1E5/(DATOS!$C$29*AG38*CJ38^2*DATOS!$C$21))))*DATOS!$C$21*AG38*CJ38/DATOS!$C$14)))&lt;0,-1,MAX(IF(BJ38&lt;=0,0,IF((1-2*BJ38*1E5/(DATOS!$C$29*AG38*CJ38^2*DATOS!$C$21))&lt;0,-1,IF((1-SQRT((1-2*BJ38*1E5/(DATOS!$C$29*AG38*CJ38^2*DATOS!$C$21))))*DATOS!$C$21*AG38*CJ38/DATOS!$C$14&gt;DATOS!$C$102*AG38*CJ38,-1,(1-SQRT((1-2*BJ38*1E5/(DATOS!$C$29*AG38*CJ38^2*DATOS!$C$21))))*DATOS!$C$21*AG38*CJ38/DATOS!$C$14))),MIN(DATOS!$C$103*DATOS!$C$83*CJ38,4/3*IF(BJ38&lt;=0,0,IF((1-2*BJ38*1E5/(DATOS!$C$29*AG38*CJ38^2*DATOS!$C$21))&lt;0,-1,IF((1-SQRT((1-2*BJ38*1E5/(DATOS!$C$29*AG38*CJ38^2*DATOS!$C$21))))*DATOS!$C$21*AG38*CJ38/DATOS!$C$14&gt;DATOS!$C$102*AG38*CJ38,-1,(1-SQRT((1-2*BJ38*1E5/(DATOS!$C$29*AG38*CJ38^2*DATOS!$C$21))))*DATOS!$C$21*AG38*CJ38/DATOS!$C$14)))))))</f>
        <v/>
      </c>
      <c r="CL38" s="64" t="str">
        <f>IF(V38&lt;&gt;"SÍ","",IF(AND(CK38&gt;=0,IF(MAX(DATOS!$C$74,CEILING(CK38/INDEX(TABLAS!$D$52:$D$58,MIN(MATCH(MAX(4,DATOS!$C$72),TABLAS!$B$52:$B$58,0)+0,7)),1))*INDEX(TABLAS!$D$52:$D$58,MIN(MATCH(MAX(4,DATOS!$C$72),TABLAS!$B$52:$B$58,0)+0,7)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+0,7)),1)),MAX(MAX(DATOS!$C$74,CEILING(CK38/INDEX(TABLAS!$D$52:$D$58,MIN(MATCH(MAX(4,DATOS!$C$72),TABLAS!$B$52:$B$58,0)+0,7)),1)),2))&lt;=MIN(DATOS!$C$73,INT(((DATOS!$C$83-2*AL38)+MAX(DATOS!$C$70,INDEX(TABLAS!$C$52:$C$58,MIN(MATCH(MAX(4,DATOS!$C$72),TABLAS!$B$52:$B$58,0)+0,7))))/(INDEX(TABLAS!$C$52:$C$58,MIN(MATCH(MAX(4,DATOS!$C$72),TABLAS!$B$52:$B$58,0)+0,7))+MAX(DATOS!$C$70,INDEX(TABLAS!$C$52:$C$58,MIN(MATCH(MAX(4,DATOS!$C$72),TABLAS!$B$52:$B$58,0)+0,7))))))),INDEX(TABLAS!$B$52:$B$58,MIN(MATCH(MAX(4,DATOS!$C$72),TABLAS!$B$52:$B$58,0)+0,7)),IF(AND(CK38&gt;=0,IF(MAX(DATOS!$C$74,CEILING(CK38/INDEX(TABLAS!$D$52:$D$58,MIN(MATCH(MAX(4,DATOS!$C$72),TABLAS!$B$52:$B$58,0)+1,7)),1))*INDEX(TABLAS!$D$52:$D$58,MIN(MATCH(MAX(4,DATOS!$C$72),TABLAS!$B$52:$B$58,0)+1,7)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+1,7)),1)),MAX(MAX(DATOS!$C$74,CEILING(CK38/INDEX(TABLAS!$D$52:$D$58,MIN(MATCH(MAX(4,DATOS!$C$72),TABLAS!$B$52:$B$58,0)+1,7)),1)),2))&lt;=MIN(DATOS!$C$73,INT(((DATOS!$C$83-2*AL38)+MAX(DATOS!$C$70,INDEX(TABLAS!$C$52:$C$58,MIN(MATCH(MAX(4,DATOS!$C$72),TABLAS!$B$52:$B$58,0)+1,7))))/(INDEX(TABLAS!$C$52:$C$58,MIN(MATCH(MAX(4,DATOS!$C$72),TABLAS!$B$52:$B$58,0)+1,7))+MAX(DATOS!$C$70,INDEX(TABLAS!$C$52:$C$58,MIN(MATCH(MAX(4,DATOS!$C$72),TABLAS!$B$52:$B$58,0)+1,7))))))),INDEX(TABLAS!$B$52:$B$58,MIN(MATCH(MAX(4,DATOS!$C$72),TABLAS!$B$52:$B$58,0)+1,7)),IF(AND(CK38&gt;=0,IF(MAX(DATOS!$C$74,CEILING(CK38/INDEX(TABLAS!$D$52:$D$58,MIN(MATCH(MAX(4,DATOS!$C$72),TABLAS!$B$52:$B$58,0)+2,7)),1))*INDEX(TABLAS!$D$52:$D$58,MIN(MATCH(MAX(4,DATOS!$C$72),TABLAS!$B$52:$B$58,0)+2,7)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+2,7)),1)),MAX(MAX(DATOS!$C$74,CEILING(CK38/INDEX(TABLAS!$D$52:$D$58,MIN(MATCH(MAX(4,DATOS!$C$72),TABLAS!$B$52:$B$58,0)+2,7)),1)),2))&lt;=MIN(DATOS!$C$73,INT(((DATOS!$C$83-2*AL38)+MAX(DATOS!$C$70,INDEX(TABLAS!$C$52:$C$58,MIN(MATCH(MAX(4,DATOS!$C$72),TABLAS!$B$52:$B$58,0)+2,7))))/(INDEX(TABLAS!$C$52:$C$58,MIN(MATCH(MAX(4,DATOS!$C$72),TABLAS!$B$52:$B$58,0)+2,7))+MAX(DATOS!$C$70,INDEX(TABLAS!$C$52:$C$58,MIN(MATCH(MAX(4,DATOS!$C$72),TABLAS!$B$52:$B$58,0)+2,7))))))),INDEX(TABLAS!$B$52:$B$58,MIN(MATCH(MAX(4,DATOS!$C$72),TABLAS!$B$52:$B$58,0)+2,7)),IF(AND(CK38&gt;=0,IF(MAX(DATOS!$C$74,CEILING(CK38/INDEX(TABLAS!$D$52:$D$58,MIN(MATCH(MAX(4,DATOS!$C$72),TABLAS!$B$52:$B$58,0)+3,7)),1))*INDEX(TABLAS!$D$52:$D$58,MIN(MATCH(MAX(4,DATOS!$C$72),TABLAS!$B$52:$B$58,0)+3,7)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+3,7)),1)),MAX(MAX(DATOS!$C$74,CEILING(CK38/INDEX(TABLAS!$D$52:$D$58,MIN(MATCH(MAX(4,DATOS!$C$72),TABLAS!$B$52:$B$58,0)+3,7)),1)),2))&lt;=MIN(DATOS!$C$73,INT(((DATOS!$C$83-2*AL38)+MAX(DATOS!$C$70,INDEX(TABLAS!$C$52:$C$58,MIN(MATCH(MAX(4,DATOS!$C$72),TABLAS!$B$52:$B$58,0)+3,7))))/(INDEX(TABLAS!$C$52:$C$58,MIN(MATCH(MAX(4,DATOS!$C$72),TABLAS!$B$52:$B$58,0)+3,7))+MAX(DATOS!$C$70,INDEX(TABLAS!$C$52:$C$58,MIN(MATCH(MAX(4,DATOS!$C$72),TABLAS!$B$52:$B$58,0)+3,7))))))),INDEX(TABLAS!$B$52:$B$58,MIN(MATCH(MAX(4,DATOS!$C$72),TABLAS!$B$52:$B$58,0)+3,7)),IF(AND(CK38&gt;=0,IF(MAX(DATOS!$C$74,CEILING(CK38/INDEX(TABLAS!$D$52:$D$58,MIN(MATCH(MAX(4,DATOS!$C$72),TABLAS!$B$52:$B$58,0)+4,7)),1))*INDEX(TABLAS!$D$52:$D$58,MIN(MATCH(MAX(4,DATOS!$C$72),TABLAS!$B$52:$B$58,0)+4,7)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+4,7)),1)),MAX(MAX(DATOS!$C$74,CEILING(CK38/INDEX(TABLAS!$D$52:$D$58,MIN(MATCH(MAX(4,DATOS!$C$72),TABLAS!$B$52:$B$58,0)+4,7)),1)),2))&lt;=MIN(DATOS!$C$73,INT(((DATOS!$C$83-2*AL38)+MAX(DATOS!$C$70,INDEX(TABLAS!$C$52:$C$58,MIN(MATCH(MAX(4,DATOS!$C$72),TABLAS!$B$52:$B$58,0)+4,7))))/(INDEX(TABLAS!$C$52:$C$58,MIN(MATCH(MAX(4,DATOS!$C$72),TABLAS!$B$52:$B$58,0)+4,7))+MAX(DATOS!$C$70,INDEX(TABLAS!$C$52:$C$58,MIN(MATCH(MAX(4,DATOS!$C$72),TABLAS!$B$52:$B$58,0)+4,7))))))),INDEX(TABLAS!$B$52:$B$58,MIN(MATCH(MAX(4,DATOS!$C$72),TABLAS!$B$52:$B$58,0)+4,7)),INDEX(TABLAS!$B$52:$B$58,7)))))))</f>
        <v/>
      </c>
      <c r="CM38" s="59" t="str">
        <f>IF(V38&lt;&gt;"SÍ","",IF(CK38&lt;0,0,IF(MAX(DATOS!$C$74,CEILING(MAX(CK38,0)/INDEX(TABLAS!$D$52:$D$58,MATCH(CL38,TABLAS!$B$52:$B$58,0)),1))*INDEX(TABLAS!$D$52:$D$58,MATCH(CL38,TABLAS!$B$52:$B$58,0))&gt;=4/3*IF(BJ38&lt;=0,0,IF((1-2*BJ38*1E5/(DATOS!$C$29*AG38*CJ38^2*DATOS!$C$21))&lt;0,-1,IF((1-SQRT((1-2*BJ38*1E5/(DATOS!$C$29*AG38*CJ38^2*DATOS!$C$21))))*DATOS!$C$21*AG38*CJ38/DATOS!$C$14&gt;DATOS!$C$102*AG38*CJ38,-1,(1-SQRT((1-2*BJ38*1E5/(DATOS!$C$29*AG38*CJ38^2*DATOS!$C$21))))*DATOS!$C$21*AG38*CJ38/DATOS!$C$14)))-0.0001,MAX(DATOS!$C$74,CEILING(MAX(CK38,0)/INDEX(TABLAS!$D$52:$D$58,MATCH(CL38,TABLAS!$B$52:$B$58,0)),1)),MAX(MAX(DATOS!$C$74,CEILING(MAX(CK38,0)/INDEX(TABLAS!$D$52:$D$58,MATCH(CL38,TABLAS!$B$52:$B$58,0)),1)),2))))</f>
        <v/>
      </c>
      <c r="CN38" s="58" t="str">
        <f>IF(V38&lt;&gt;"SÍ","",((DATOS!$C$85-AM38-2*DATOS!$C$97-INDEX(TABLAS!$C$52:$C$58,MATCH(BV38,TABLAS!$B$52:$B$58,0))-INDEX(TABLAS!$C$52:$C$58,MATCH(CL38,TABLAS!$B$52:$B$58,0))/2)-IF(AND((DATOS!$C$85-AM38-2*DATOS!$C$97-INDEX(TABLAS!$C$52:$C$58,MATCH(BV38,TABLAS!$B$52:$B$58,0))-INDEX(TABLAS!$C$52:$C$58,MATCH(CL38,TABLAS!$B$52:$B$58,0))/2)&lt;=20,DATOS!$C$65&lt;&gt;"SÍ"),2,0)))</f>
        <v/>
      </c>
      <c r="CO38" s="56" t="str">
        <f>IF(V38&lt;&gt;"SÍ","",IF(CM38=0,0,DATOS!$C$29*CM38*INDEX(TABLAS!$D$52:$D$58,MATCH(CL38,TABLAS!$B$52:$B$58,0))*DATOS!$C$14*(CN38-CM38*INDEX(TABLAS!$D$52:$D$58,MATCH(CL38,TABLAS!$B$52:$B$58,0))*DATOS!$C$14/(DATOS!$C$21*AG38)/2)/1E5))</f>
        <v/>
      </c>
      <c r="CP38" s="65" t="str">
        <f>IF(V38&lt;&gt;"SÍ","",IF(CK38&lt;0,9.99,IF(CO38&gt;0,BJ38/CO38,0)))</f>
        <v/>
      </c>
      <c r="CQ38" s="66" t="str">
        <f>IF(V38&lt;&gt;"SÍ","",IF(CM38=0,"—",0.003*(CN38-(CM38*INDEX(TABLAS!$D$52:$D$58,MATCH(CL38,TABLAS!$B$52:$B$58,0))*DATOS!$C$14/(DATOS!$C$21*AG38)/DATOS!$C$22))/(CM38*INDEX(TABLAS!$D$52:$D$58,MATCH(CL38,TABLAS!$B$52:$B$58,0))*DATOS!$C$14/(DATOS!$C$21*AG38)/DATOS!$C$22)))</f>
        <v/>
      </c>
      <c r="CR38" s="56" t="str">
        <f>IF(V38&lt;&gt;"SÍ","",IF(C38="PERIMETRAL",MAX(0,(AB38/2-BX38)/100)*(0.95-0.5*AA38)*AR38*IF(AND(AS38&gt;0,AS38&lt;4),DATOS!$C$33,1)*DATOS!$C$86/100/1000,(AR38*MAX(0,AB38-BX38)/100+DATOS!$C$26*N(O38))*DATOS!$C$86/100/1000+BF38))</f>
        <v/>
      </c>
      <c r="CS38" s="56" t="str">
        <f>IF(V38&lt;&gt;"SÍ","",DATOS!$C$30*2*MIN(1,SQRT(2/(1+0.04*BX38)))*(BW38*INDEX(TABLAS!$D$52:$D$58,MATCH(BV38,TABLAS!$B$52:$B$58,0))/(AF38*BX38))^(1/3)*SQRT(DATOS!$C$13)*AF38*BX38*IF(AJ38="SÍ",DATOS!$C$32,1)/1000)</f>
        <v/>
      </c>
      <c r="CT38" s="59" t="str">
        <f>IF(V38&lt;&gt;"SÍ","",IF(CR38&lt;=CS38,0,CEILING(MAX(0,IF(C38="VOLADO",(AB38-((CS38-BF38)*1E5/DATOS!$C$86-DATOS!$C$26*N(O38))*100/AR38),IF(CS38&lt;=0,AB38,AB38/2-CS38/MAX(CR38,1E-9)*(AB38/2-BX38)))-IF(X38="X",MIN(DJ38,DK38),MIN(DL38,DM38)))/DATOS!$C$86,1)))</f>
        <v/>
      </c>
      <c r="CU38" s="67" t="str">
        <f>IF(V38&lt;&gt;"SÍ","",IF(CR38&lt;=CS38,"CUMPLE",IF(CT38&lt;=0,"CUMPLE (basta el macizo de orilla)",IF(CT38*DATOS!$C$86*IF(C38="VOLADO",1,2)&gt;=Y38*100-DATOS!$C$87,"NO CUMPLE: no alcanza ni macizando todo","MACIZAR "&amp;CT38&amp;" hilera(s)"))))</f>
        <v/>
      </c>
      <c r="CV38" s="58" t="str">
        <f>IF(V38&lt;&gt;"SÍ","",(DATOS!$C$86*DATOS!$C$84^2/2+MIN(DATOS!$C$83,AD38)*DATOS!$C$82*(DATOS!$C$84+DATOS!$C$82/2))/(DATOS!$C$86*DATOS!$C$84+MIN(DATOS!$C$83,AD38)*DATOS!$C$82))</f>
        <v/>
      </c>
      <c r="CW38" s="68" t="str">
        <f>IF(V38&lt;&gt;"SÍ","",DATOS!$C$86*DATOS!$C$84^3/12+DATOS!$C$86*DATOS!$C$84*(CV38-DATOS!$C$84/2)^2+MIN(DATOS!$C$83,AD38)*DATOS!$C$82^3/12+MIN(DATOS!$C$83,AD38)*DATOS!$C$82*(DATOS!$C$84+DATOS!$C$82/2-CV38)^2)</f>
        <v/>
      </c>
      <c r="CX38" s="58" t="str">
        <f>IF(V38&lt;&gt;"SÍ","",(12*CW38/DATOS!$C$86)^(1/3))</f>
        <v/>
      </c>
      <c r="CY38" s="58" t="str">
        <f>IF(V38&lt;&gt;"SÍ","",IF(C38="PERIMETRAL",IF(ISNUMBER(S38),S38,DATOS!$C$104),0))</f>
        <v/>
      </c>
      <c r="CZ38" s="57" t="str">
        <f>IF(V38&lt;&gt;"SÍ","",IF(C38="PERIMETRAL",IF(CY38&gt;2,MAX(9,AC38*(0.8+DATOS!$C$14/14000)/(36+9*(AC38/MAX(AB38,1)))),IF(CY38&gt;0.2,MAX(13,AC38*(0.8+DATOS!$C$14/14000)/(36+5*(AC38/MAX(AB38,1))*(CY38-0.2))),MAX(13,AC38/IF(AS38&gt;0,30,33))))*IF(AND(CY38&gt;0.2,AS38&gt;0,DATOS!$C$105="NO"),1.1,1),MAX(25,Y38*100/8*(0.4+DATOS!$C$14/7000))))</f>
        <v/>
      </c>
      <c r="DA38" s="61" t="str">
        <f>IF(V38&lt;&gt;"SÍ","",IF(IF(C38="VOLADO",DATOS!$C$85,CX38)&gt;=CZ38,"CUMPLE",IF(C38="VOLADO","NO CUMPLE","CALCULAR FLECHA")))</f>
        <v/>
      </c>
      <c r="DB38" s="55" t="str">
        <f>IF(V38&lt;&gt;"SÍ","",IF(DATOS!$C$84&gt;=IF(IF(C38="VOLADO",Y38,Z38)&gt;=6,6,5),"CUMPLE","CAPA ≥ 6 cm"))</f>
        <v/>
      </c>
      <c r="DC38" s="60" t="str">
        <f>IF(V38&lt;&gt;"SÍ","",IF(C38="VOLADO",MIN(FLOOR(IF(ISNUMBER(P38),P38,Y38)*100-DATOS!$C$63,5),CEILING(MAX(IF((0.5*(0.9*DATOS!$C$90*DATOS!$C$86/100/1000)*IF(ISNUMBER(P38),P38,Y38)+BH38/IF(ISNUMBER(P38),P38,Y38))^2-4*(0.5*(0.9*DATOS!$C$90*DATOS!$C$86/100/1000))*BH38&lt;0,IF(ISNUMBER(P38),P38,Y38),MIN(IF(ISNUMBER(P38),P38,Y38),((0.5*(0.9*DATOS!$C$90*DATOS!$C$86/100/1000)*IF(ISNUMBER(P38),P38,Y38)+BH38/IF(ISNUMBER(P38),P38,Y38))-SQRT((0.5*(0.9*DATOS!$C$90*DATOS!$C$86/100/1000)*IF(ISNUMBER(P38),P38,Y38)+BH38/IF(ISNUMBER(P38),P38,Y38))^2-4*(0.5*(0.9*DATOS!$C$90*DATOS!$C$86/100/1000))*BH38))/(2*(0.5*(0.9*DATOS!$C$90*DATOS!$C$86/100/1000)))))*100+MAX(BX38,12*INDEX(TABLAS!$C$52:$C$58,MATCH(BV38,TABLAS!$B$52:$B$58,0)),IF(ISNUMBER(P38),P38,Y38)*100/16),IF(OR(AL38&lt;INDEX(TABLAS!$C$52:$C$58,MATCH(BV38,TABLAS!$B$52:$B$58,0)),AND(BW38&gt;=2,(AD38-2*AL38-BW38*INDEX(TABLAS!$C$52:$C$58,MATCH(BV38,TABLAS!$B$52:$B$58,0)))/MAX(BW38-1,1)&lt;2*INDEX(TABLAS!$C$52:$C$58,MATCH(BV38,TABLAS!$B$52:$B$58,0)))),INDEX(TABLAS!$I$52:$I$58,MATCH(BV38,TABLAS!$B$52:$B$58,0)),INDEX(TABLAS!$F$52:$F$58,MATCH(BV38,TABLAS!$B$52:$B$58,0)))),5)),IF(((4*((BC38*AR38*Y38^2*1E-4*DATOS!$C$86/100/1000)+((MAX(AY38,BA38)*AR38*Y38^2*1E-4*DATOS!$C$86/100/1000)+(IF(AND(AY38&gt;0,BA38&gt;0),MIN(AY38,BA38),MAX(AY38,BA38))*AR38*Y38^2*1E-4*DATOS!$C$86/100/1000))/2)+BH38-(IF(AND(AY38&gt;0,BA38&gt;0),MIN(AY38,BA38),MAX(AY38,BA38))*AR38*Y38^2*1E-4*DATOS!$C$86/100/1000))^2-16*((BC38*AR38*Y38^2*1E-4*DATOS!$C$86/100/1000)+((MAX(AY38,BA38)*AR38*Y38^2*1E-4*DATOS!$C$86/100/1000)+(IF(AND(AY38&gt;0,BA38&gt;0),MIN(AY38,BA38),MAX(AY38,BA38))*AR38*Y38^2*1E-4*DATOS!$C$86/100/1000))/2)*BH38)&lt;0,CEILING(AB38,5),CEILING(MAX(AB38*((4*((BC38*AR38*Y38^2*1E-4*DATOS!$C$86/100/1000)+((MAX(AY38,BA38)*AR38*Y38^2*1E-4*DATOS!$C$86/100/1000)+(IF(AND(AY38&gt;0,BA38&gt;0),MIN(AY38,BA38),MAX(AY38,BA38))*AR38*Y38^2*1E-4*DATOS!$C$86/100/1000))/2)+BH38-(IF(AND(AY38&gt;0,BA38&gt;0),MIN(AY38,BA38),MAX(AY38,BA38))*AR38*Y38^2*1E-4*DATOS!$C$86/100/1000))-SQRT(MAX(0,((4*((BC38*AR38*Y38^2*1E-4*DATOS!$C$86/100/1000)+((MAX(AY38,BA38)*AR38*Y38^2*1E-4*DATOS!$C$86/100/1000)+(IF(AND(AY38&gt;0,BA38&gt;0),MIN(AY38,BA38),MAX(AY38,BA38))*AR38*Y38^2*1E-4*DATOS!$C$86/100/1000))/2)+BH38-(IF(AND(AY38&gt;0,BA38&gt;0),MIN(AY38,BA38),MAX(AY38,BA38))*AR38*Y38^2*1E-4*DATOS!$C$86/100/1000))^2-16*((BC38*AR38*Y38^2*1E-4*DATOS!$C$86/100/1000)+((MAX(AY38,BA38)*AR38*Y38^2*1E-4*DATOS!$C$86/100/1000)+(IF(AND(AY38&gt;0,BA38&gt;0),MIN(AY38,BA38),MAX(AY38,BA38))*AR38*Y38^2*1E-4*DATOS!$C$86/100/1000))/2)*BH38))))/(8*MAX(((BC38*AR38*Y38^2*1E-4*DATOS!$C$86/100/1000)+((MAX(AY38,BA38)*AR38*Y38^2*1E-4*DATOS!$C$86/100/1000)+(IF(AND(AY38&gt;0,BA38&gt;0),MIN(AY38,BA38),MAX(AY38,BA38))*AR38*Y38^2*1E-4*DATOS!$C$86/100/1000))/2),1E-9))+MAX(BX38,12*INDEX(TABLAS!$C$52:$C$58,MATCH(BV38,TABLAS!$B$52:$B$58,0)),AB38/16),IF(OR(AL38&lt;INDEX(TABLAS!$C$52:$C$58,MATCH(BV38,TABLAS!$B$52:$B$58,0)),AND(BW38&gt;=2,(AD38-2*AL38-BW38*INDEX(TABLAS!$C$52:$C$58,MATCH(BV38,TABLAS!$B$52:$B$58,0)))/MAX(BW38-1,1)&lt;2*INDEX(TABLAS!$C$52:$C$58,MATCH(BV38,TABLAS!$B$52:$B$58,0)))),INDEX(TABLAS!$I$52:$I$58,MATCH(BV38,TABLAS!$B$52:$B$58,0)),INDEX(TABLAS!$F$52:$F$58,MATCH(BV38,TABLAS!$B$52:$B$58,0)))),5))))</f>
        <v/>
      </c>
      <c r="DD38" s="60" t="str">
        <f>IF(V38&lt;&gt;"SÍ","",IF(C38="VOLADO",0,IF(((4*((BD38*AR38*Y38^2*1E-4*DATOS!$C$86/100/1000)+((MAX(AZ38,BB38)*AR38*Y38^2*1E-4*DATOS!$C$86/100/1000)+(IF(AND(AZ38&gt;0,BB38&gt;0),MIN(AZ38,BB38),MAX(AZ38,BB38))*AR38*Y38^2*1E-4*DATOS!$C$86/100/1000))/2)+BJ38-(IF(AND(AZ38&gt;0,BB38&gt;0),MIN(AZ38,BB38),MAX(AZ38,BB38))*AR38*Y38^2*1E-4*DATOS!$C$86/100/1000))^2-16*((BD38*AR38*Y38^2*1E-4*DATOS!$C$86/100/1000)+((MAX(AZ38,BB38)*AR38*Y38^2*1E-4*DATOS!$C$86/100/1000)+(IF(AND(AZ38&gt;0,BB38&gt;0),MIN(AZ38,BB38),MAX(AZ38,BB38))*AR38*Y38^2*1E-4*DATOS!$C$86/100/1000))/2)*BJ38)&lt;0,CEILING(AC38,5),CEILING(MAX(AC38*((4*((BD38*AR38*Y38^2*1E-4*DATOS!$C$86/100/1000)+((MAX(AZ38,BB38)*AR38*Y38^2*1E-4*DATOS!$C$86/100/1000)+(IF(AND(AZ38&gt;0,BB38&gt;0),MIN(AZ38,BB38),MAX(AZ38,BB38))*AR38*Y38^2*1E-4*DATOS!$C$86/100/1000))/2)+BJ38-(IF(AND(AZ38&gt;0,BB38&gt;0),MIN(AZ38,BB38),MAX(AZ38,BB38))*AR38*Y38^2*1E-4*DATOS!$C$86/100/1000))-SQRT(MAX(0,((4*((BD38*AR38*Y38^2*1E-4*DATOS!$C$86/100/1000)+((MAX(AZ38,BB38)*AR38*Y38^2*1E-4*DATOS!$C$86/100/1000)+(IF(AND(AZ38&gt;0,BB38&gt;0),MIN(AZ38,BB38),MAX(AZ38,BB38))*AR38*Y38^2*1E-4*DATOS!$C$86/100/1000))/2)+BJ38-(IF(AND(AZ38&gt;0,BB38&gt;0),MIN(AZ38,BB38),MAX(AZ38,BB38))*AR38*Y38^2*1E-4*DATOS!$C$86/100/1000))^2-16*((BD38*AR38*Y38^2*1E-4*DATOS!$C$86/100/1000)+((MAX(AZ38,BB38)*AR38*Y38^2*1E-4*DATOS!$C$86/100/1000)+(IF(AND(AZ38&gt;0,BB38&gt;0),MIN(AZ38,BB38),MAX(AZ38,BB38))*AR38*Y38^2*1E-4*DATOS!$C$86/100/1000))/2)*BJ38))))/(8*MAX(((BD38*AR38*Y38^2*1E-4*DATOS!$C$86/100/1000)+((MAX(AZ38,BB38)*AR38*Y38^2*1E-4*DATOS!$C$86/100/1000)+(IF(AND(AZ38&gt;0,BB38&gt;0),MIN(AZ38,BB38),MAX(AZ38,BB38))*AR38*Y38^2*1E-4*DATOS!$C$86/100/1000))/2),1E-9))+MAX(CN38,12*INDEX(TABLAS!$C$52:$C$58,MATCH(CL38,TABLAS!$B$52:$B$58,0)),AC38/16),IF(OR(AL38&lt;INDEX(TABLAS!$C$52:$C$58,MATCH(CL38,TABLAS!$B$52:$B$58,0)),AND(CM38&gt;=2,(DATOS!$C$83-2*AL38-CM38*INDEX(TABLAS!$C$52:$C$58,MATCH(CL38,TABLAS!$B$52:$B$58,0)))/MAX(CM38-1,1)&lt;2*INDEX(TABLAS!$C$52:$C$58,MATCH(CL38,TABLAS!$B$52:$B$58,0)))),INDEX(TABLAS!$I$52:$I$58,MATCH(CL38,TABLAS!$B$52:$B$58,0)),INDEX(TABLAS!$F$52:$F$58,MATCH(CL38,TABLAS!$B$52:$B$58,0)))),5))))</f>
        <v/>
      </c>
      <c r="DE38" s="55" t="str">
        <f>IF(V38&lt;&gt;"SÍ","",IF(AND(C38="PERIMETRAL",BW38&gt;=2,AS38-AT38&gt;0,BA38*AR38*Y38^2*1E-4*DATOS!$C$86/100/1000&gt;DATOS!$C$29*INDEX(TABLAS!$D$52:$D$58,MATCH(BV38,TABLAS!$B$52:$B$58,0))*DATOS!$C$14*(BX38-INDEX(TABLAS!$D$52:$D$58,MATCH(BV38,TABLAS!$B$52:$B$58,0))*DATOS!$C$14/(DATOS!$C$21*AF38)/2)/1E5),"SÍ","NO"))</f>
        <v/>
      </c>
      <c r="DF38" s="55" t="str">
        <f>IF(V38&lt;&gt;"SÍ","",IF(AND(C38="PERIMETRAL",CM38&gt;=2,AT38&gt;0,BB38*AR38*Y38^2*1E-4*DATOS!$C$86/100/1000&gt;DATOS!$C$29*INDEX(TABLAS!$D$52:$D$58,MATCH(CL38,TABLAS!$B$52:$B$58,0))*DATOS!$C$14*(CN38-INDEX(TABLAS!$D$52:$D$58,MATCH(CL38,TABLAS!$B$52:$B$58,0))*DATOS!$C$14/(DATOS!$C$21*AG38)/2)/1E5),"SÍ","NO"))</f>
        <v/>
      </c>
      <c r="DG38" s="63" t="str">
        <f>IF(V38&lt;&gt;"SÍ","",IF(OR(C38="VOLADO",AS38=0),"—",IF(AND(AND(1.25*INDEX(TABLAS!$G$52:$G$58,MATCH(MAX(BN38,CD38),TABLAS!$B$52:$B$58,0))&lt;=(DATOS!$C$75-DATOS!$C$63),(DATOS!$C$75-DATOS!$C$63)&gt;=15,INDEX(TABLAS!$G$52:$G$58,MATCH(MAX(BV38,CL38),TABLAS!$B$52:$B$58,0))&lt;=(DATOS!$C$75-DATOS!$C$63)),8*INDEX(TABLAS!$C$52:$C$58,MATCH(MAX(MAX(BN38,CD38),MAX(BV38,CL38)),TABLAS!$B$52:$B$58,0))&lt;=DATOS!$C$76-2*DATOS!$C$63),"CUMPLE (gancho de 180°)",IF(AND(1.25*INDEX(TABLAS!$G$52:$G$58,MATCH(MAX(BN38,CD38),TABLAS!$B$52:$B$58,0))&lt;=(DATOS!$C$75-DATOS!$C$63),(DATOS!$C$75-DATOS!$C$63)&gt;=15,INDEX(TABLAS!$G$52:$G$58,MATCH(MAX(BV38,CL38),TABLAS!$B$52:$B$58,0))&lt;=(DATOS!$C$75-DATOS!$C$63)),"NO CUMPLE: el gancho de 180° (8·d_b) no cabe en el peralte de la dala de borde","NO CUMPLE: dala de borde ≥ "&amp;TEXT(CEILING(MAX(1.25*INDEX(TABLAS!$G$52:$G$58,MATCH(MAX(BN38,CD38),TABLAS!$B$52:$B$58,0)),15,INDEX(TABLAS!$G$52:$G$58,MATCH(MAX(BV38,CL38),TABLAS!$B$52:$B$58,0)))+DATOS!$C$63,5),"0")&amp;" cm de ancho"&amp;IF(8*INDEX(TABLAS!$C$52:$C$58,MATCH(MAX(MAX(BN38,CD38),MAX(BV38,CL38)),TABLAS!$B$52:$B$58,0))&lt;=DATOS!$C$76-2*DATOS!$C$63,""," y más peralte para el gancho")))))</f>
        <v/>
      </c>
      <c r="DH38" s="59" t="str">
        <f>IF(V38&lt;&gt;"SÍ","",MAX(0,INT((E38*100-DATOS!$C$87-IF(AND(C38="PERIMETRAL",I38="DISCONTINUO"),MAX(0,DATOS!$C$75-DATOS!$C$87),0)-IF(AND(C38="PERIMETRAL",J38="DISCONTINUO"),MAX(0,DATOS!$C$75-DATOS!$C$87),0)+DATOS!$C$86-IF(X38="X",DATOS!$C$81,AE38))/DATOS!$C$86)))</f>
        <v/>
      </c>
      <c r="DI38" s="59" t="str">
        <f>IF(V38&lt;&gt;"SÍ","",MAX(0,INT((F38*100-DATOS!$C$87-IF(AND(C38="PERIMETRAL",G38="DISCONTINUO"),MAX(0,DATOS!$C$75-DATOS!$C$87),0)-IF(AND(C38="PERIMETRAL",H38="DISCONTINUO"),MAX(0,DATOS!$C$75-DATOS!$C$87),0)+DATOS!$C$86-IF(X38="Y",DATOS!$C$81,AE38))/DATOS!$C$86)))</f>
        <v/>
      </c>
      <c r="DJ38" s="57" t="str">
        <f>IF(V38&lt;&gt;"SÍ","",IF(DH38&gt;0,IF(AND(C38="PERIMETRAL",I38="DISCONTINUO"),MAX(0,DATOS!$C$75-DATOS!$C$87),0)+(E38*100-DATOS!$C$87-IF(AND(C38="PERIMETRAL",I38="DISCONTINUO"),MAX(0,DATOS!$C$75-DATOS!$C$87),0)-IF(AND(C38="PERIMETRAL",J38="DISCONTINUO"),MAX(0,DATOS!$C$75-DATOS!$C$87),0)-(DH38*IF(X38="X",DATOS!$C$81,AE38)+(DH38-1)*(DATOS!$C$86-IF(X38="X",DATOS!$C$81,AE38))))/2,E38*100/2))</f>
        <v/>
      </c>
      <c r="DK38" s="57" t="str">
        <f>IF(V38&lt;&gt;"SÍ","",IF(DH38&gt;0,IF(AND(C38="PERIMETRAL",J38="DISCONTINUO"),MAX(0,DATOS!$C$75-DATOS!$C$87),0)+(E38*100-DATOS!$C$87-IF(AND(C38="PERIMETRAL",I38="DISCONTINUO"),MAX(0,DATOS!$C$75-DATOS!$C$87),0)-IF(AND(C38="PERIMETRAL",J38="DISCONTINUO"),MAX(0,DATOS!$C$75-DATOS!$C$87),0)-(DH38*IF(X38="X",DATOS!$C$81,AE38)+(DH38-1)*(DATOS!$C$86-IF(X38="X",DATOS!$C$81,AE38))))/2,E38*100/2))</f>
        <v/>
      </c>
      <c r="DL38" s="57" t="str">
        <f>IF(V38&lt;&gt;"SÍ","",IF(DI38&gt;0,IF(AND(C38="PERIMETRAL",G38="DISCONTINUO"),MAX(0,DATOS!$C$75-DATOS!$C$87),0)+(F38*100-DATOS!$C$87-IF(AND(C38="PERIMETRAL",G38="DISCONTINUO"),MAX(0,DATOS!$C$75-DATOS!$C$87),0)-IF(AND(C38="PERIMETRAL",H38="DISCONTINUO"),MAX(0,DATOS!$C$75-DATOS!$C$87),0)-(DI38*IF(X38="Y",DATOS!$C$81,AE38)+(DI38-1)*(DATOS!$C$86-IF(X38="Y",DATOS!$C$81,AE38))))/2,F38*100/2))</f>
        <v/>
      </c>
      <c r="DM38" s="57" t="str">
        <f>IF(V38&lt;&gt;"SÍ","",IF(DI38&gt;0,IF(AND(C38="PERIMETRAL",H38="DISCONTINUO"),MAX(0,DATOS!$C$75-DATOS!$C$87),0)+(F38*100-DATOS!$C$87-IF(AND(C38="PERIMETRAL",G38="DISCONTINUO"),MAX(0,DATOS!$C$75-DATOS!$C$87),0)-IF(AND(C38="PERIMETRAL",H38="DISCONTINUO"),MAX(0,DATOS!$C$75-DATOS!$C$87),0)-(DI38*IF(X38="Y",DATOS!$C$81,AE38)+(DI38-1)*(DATOS!$C$86-IF(X38="Y",DATOS!$C$81,AE38))))/2,F38*100/2))</f>
        <v/>
      </c>
      <c r="DN38" s="59" t="str">
        <f>IF(V38&lt;&gt;"SÍ","",IF(NOT(AND(C38="VOLADO",AD38&gt;DATOS!$C$83)),0,IF(INDEX(TABLAS!$C$52:$C$58,MATCH(BV38,TABLAS!$B$52:$B$58,0))&lt;=DATOS!$C$83-2*DATOS!$C$63,1,0)))</f>
        <v/>
      </c>
      <c r="DO38" s="58" t="str">
        <f>IF(V38&lt;&gt;"SÍ","",IF(NOT(AND(C38="VOLADO",AD38&gt;DATOS!$C$83)),0,((DATOS!$C$85-MAX(DATOS!$C$63,(DATOS!$C$84-2*DATOS!$C$97)/2)-2*DATOS!$C$97-INDEX(TABLAS!$C$52:$C$58,MATCH(MAX(4,DATOS!$C$72),TABLAS!$B$52:$B$58,0))-INDEX(TABLAS!$C$52:$C$58,MATCH(BV38,TABLAS!$B$52:$B$58,0))/2)-IF(AND((DATOS!$C$85-MAX(DATOS!$C$63,(DATOS!$C$84-2*DATOS!$C$97)/2)-2*DATOS!$C$97-INDEX(TABLAS!$C$52:$C$58,MATCH(MAX(4,DATOS!$C$72),TABLAS!$B$52:$B$58,0))-INDEX(TABLAS!$C$52:$C$58,MATCH(BV38,TABLAS!$B$52:$B$58,0))/2)&lt;=20,DATOS!$C$65&lt;&gt;"SÍ"),2,0))))</f>
        <v/>
      </c>
      <c r="DP38" s="56" t="str">
        <f>IF(V38&lt;&gt;"SÍ","",IF(OR(NOT(AND(C38="VOLADO",AD38&gt;DATOS!$C$83)),DN38&lt;1),0,IF(0.003*(DO38-((DN38*INDEX(TABLAS!$D$52:$D$58,MATCH(BV38,TABLAS!$B$52:$B$58,0)))*DATOS!$C$14/(DATOS!$C$21*AG38)/DATOS!$C$22))/((DN38*INDEX(TABLAS!$D$52:$D$58,MATCH(BV38,TABLAS!$B$52:$B$58,0)))*DATOS!$C$14/(DATOS!$C$21*AG38)/DATOS!$C$22)&lt;0.005,0,DATOS!$C$29*(DN38*INDEX(TABLAS!$D$52:$D$58,MATCH(BV38,TABLAS!$B$52:$B$58,0)))*DATOS!$C$14*(DO38-(DN38*INDEX(TABLAS!$D$52:$D$58,MATCH(BV38,TABLAS!$B$52:$B$58,0)))*DATOS!$C$14/(DATOS!$C$21*AG38)/2)/1E5)))</f>
        <v/>
      </c>
      <c r="DQ38" s="56" t="str">
        <f>IF(V38&lt;&gt;"SÍ","",IF(OR(NOT(AND(C38="VOLADO",AD38&gt;DATOS!$C$83)),DN38&lt;1),0,DATOS!$C$30*2*MIN(1,SQRT(2/(1+0.04*DO38)))*((DN38*INDEX(TABLAS!$D$52:$D$58,MATCH(BV38,TABLAS!$B$52:$B$58,0)))/(AG38*DO38))^(1/3)*SQRT(DATOS!$C$13)*AG38*DO38/1000))</f>
        <v/>
      </c>
      <c r="DR38" s="56" t="str">
        <f>IF(V38&lt;&gt;"SÍ","",IF(NOT(AND(C38="VOLADO",AD38&gt;DATOS!$C$83)),0,IF((BH38-DP38)&lt;=0,0,IF(DP38&lt;=0,IF(ISNUMBER(P38),P38,Y38),IF(((0.9*DATOS!$C$90*DATOS!$C$86/100/1000)*IF(ISNUMBER(P38),P38,Y38)/2+BH38/IF(ISNUMBER(P38),P38,Y38))^2-4*((0.9*DATOS!$C$90*DATOS!$C$86/100/1000)/2)*(BH38-DP38)&lt;0,IF(ISNUMBER(P38),P38,Y38),MIN(IF(ISNUMBER(P38),P38,Y38),(((0.9*DATOS!$C$90*DATOS!$C$86/100/1000)*IF(ISNUMBER(P38),P38,Y38)/2+BH38/IF(ISNUMBER(P38),P38,Y38))-SQRT(((0.9*DATOS!$C$90*DATOS!$C$86/100/1000)*IF(ISNUMBER(P38),P38,Y38)/2+BH38/IF(ISNUMBER(P38),P38,Y38))^2-4*((0.9*DATOS!$C$90*DATOS!$C$86/100/1000)/2)*(BH38-DP38)))/(2*((0.9*DATOS!$C$90*DATOS!$C$86/100/1000)/2))))))))</f>
        <v/>
      </c>
      <c r="DS38" s="56" t="str">
        <f>IF(V38&lt;&gt;"SÍ","",IF(NOT(AND(C38="VOLADO",AD38&gt;DATOS!$C$83)),0,IF(DQ38&lt;=(BH38/((IF(ISNUMBER(P38),P38,Y38)*100-DATOS!$C$87)/100)),IF(ISNUMBER(P38),P38,Y38),MIN(IF(ISNUMBER(P38),P38,Y38),MAX(0,(IF(ISNUMBER(P38),P38,Y38)*100-DATOS!$C$87)/200-(DQ38-(BH38/((IF(ISNUMBER(P38),P38,Y38)*100-DATOS!$C$87)/100)))/((0.95-0.5*IF(N(Q38)&gt;0,MIN(IF(ISNUMBER(P38),P38,Y38),Q38)/MAX(IF(ISNUMBER(P38),P38,Y38),Q38),0))*DATOS!$C$33*AR38*DATOS!$C$86/100/1000))))))</f>
        <v/>
      </c>
      <c r="DT38" s="56" t="str">
        <f>IF(V38&lt;&gt;"SÍ","",IF(NOT(AND(C38="VOLADO",AD38&gt;DATOS!$C$83)),0,(BH38/((IF(ISNUMBER(P38),P38,Y38)*100-DATOS!$C$87)/100))+((0.95-0.5*IF(N(Q38)&gt;0,MIN(IF(ISNUMBER(P38),P38,Y38),Q38)/MAX(IF(ISNUMBER(P38),P38,Y38),Q38),0))*DATOS!$C$33*AR38*DATOS!$C$86/100/1000)*MAX(0,(IF(ISNUMBER(P38),P38,Y38)*100-DATOS!$C$87)/200-BX38/100)))</f>
        <v/>
      </c>
      <c r="DU38" s="59" t="str">
        <f>IF(V38&lt;&gt;"SÍ","",IF(NOT(AND(C38="VOLADO",AD38&gt;DATOS!$C$83)),0,MIN(FLOOR(100*IF(ISNUMBER(P38),P38,Y38)-DATOS!$C$63,5),CEILING(100*MIN(IF(ISNUMBER(P38),P38,Y38),MAX(IF(DR38&gt;0,DR38+IF(BW38&gt;=2,MAX(DO38,12*INDEX(TABLAS!$C$52:$C$58,MATCH(BV38,TABLAS!$B$52:$B$58,0)))/100,0),0),DS38,IF(BW38&gt;=2,INDEX(TABLAS!$F$52:$F$58,MATCH(BV38,TABLAS!$B$52:$B$58,0))/100,0))),5))))</f>
        <v/>
      </c>
      <c r="DV38" s="60" t="str">
        <f>IF(V38&lt;&gt;"SÍ","",IF(NOT(AND(C38="VOLADO",AD38&gt;DATOS!$C$83)),0,IF(DU38&lt;=0,0,CEILING(DU38/DATOS!$C$86,1))))</f>
        <v/>
      </c>
      <c r="DW38" s="61" t="str">
        <f>IF(V38&lt;&gt;"SÍ","",IF(C38&lt;&gt;"VOLADO","—",IF(AD38&lt;=DATOS!$C$83,"— (mismo b_w que el respaldo)",IF(DT38&gt;CS38,"NO CUMPLE: cortante de la nervadura ancha junto al apoyo ("&amp;TEXT(DT38,"0.00")&amp;" &gt; "&amp;TEXT(CS38,"0.00")&amp;" t)",IF(DU38&gt;=100*IF(ISNUMBER(P38),P38,Y38),"CUMPLE — todas las nervaduras del respaldo ‖ al volado con b_w = "&amp;AD38&amp;" cm","CUMPLE — "&amp;DV38&amp;" hilera(s) del respaldo con nervaduras de b_w = "&amp;AD38&amp;" cm (casetón "&amp;AE38&amp;" cm), hasta "&amp;TEXT(DU38/100,"0.00")&amp;" m del paño")))))</f>
        <v/>
      </c>
      <c r="DX38" s="69" t="str">
        <f>IF(V38&lt;&gt;"SÍ","",IF(BO38=0,"NO ALCANZA",BO38&amp;" No. "&amp;BN38&amp;IF(BO38&gt;1," corridas"," corrida")))</f>
        <v/>
      </c>
      <c r="DY38" s="69" t="str">
        <f>IF(V38&lt;&gt;"SÍ","",IF(BW38=0,"NO ALCANZA",IF(AND(C38="VOLADO",AD38&gt;DATOS!$C$83,BW38&gt;=2),"1 No. "&amp;BV38&amp;" corrida de la orilla al respaldo ("&amp;IF(DC38&gt;=FLOOR(100*IF(ISNUMBER(P38),P38,Y38)-DATOS!$C$63,5),"hasta su apoyo lejano, con gancho","entra "&amp;TEXT(DC38/100,"0.00")&amp;" m desde el paño")&amp;") + "&amp;(BW38-1)&amp;" bastón No. "&amp;BV38&amp;" hasta "&amp;TEXT(DU38/100,"0.00")&amp;" m del paño (fin de la nervadura ancha)",IF(C38="VOLADO",BW38&amp;" No. "&amp;BV38&amp;" de la orilla al respaldo ("&amp;IF(DC38&gt;=FLOOR(100*IF(ISNUMBER(P38),P38,Y38)-DATOS!$C$63,5),"hasta su apoyo lejano, con gancho","entran "&amp;TEXT(DC38/100,"0.00")&amp;" m desde el paño")&amp;")","1 No. "&amp;BV38&amp;" corrida"&amp;IF(BW38&gt;1," + "&amp;(BW38-1)&amp;" bastón No. "&amp;BV38&amp;" L = "&amp;TEXT(DC38/100,"0.00")&amp;" m desde el paño","")))))</f>
        <v/>
      </c>
      <c r="DZ38" s="69" t="str">
        <f>IF(V38&lt;&gt;"SÍ","",IF(CE38=0,"NO ALCANZA",CE38&amp;" No. "&amp;CD38&amp;IF(CE38&gt;1," corridas"," corrida")))</f>
        <v/>
      </c>
      <c r="EA38" s="69" t="str">
        <f>IF(V38&lt;&gt;"SÍ","",IF(CM38=0,"NO ALCANZA",IF(C38="VOLADO","1 No. "&amp;CL38&amp;" corrida (repartición)","1 No. "&amp;CL38&amp;" corrida"&amp;IF(CM38&gt;1," + "&amp;(CM38-1)&amp;" bastón No. "&amp;CL38&amp;" L = "&amp;TEXT(DD38/100,"0.00")&amp;" m desde el paño",""))))</f>
        <v/>
      </c>
      <c r="EB38" s="67" t="str">
        <f>IF(B38="","",IF(V38&lt;&gt;"SÍ","FALTAN DATOS: tipo, a_x, a_y, destino y, en volados, L_b",IF(L38="NO MONOLÍTICO (caso II)","FUERA DE ALCANCE: caso II no transcrito",IF(AND(C38="VOLADO",W38="?"),"REVISAR: el volado lleva UN solo borde CONTINUO (el empotrado)",IF(MIN(DH38,DI38)=0,"REVISAR: no cabe un casetón (tablero macizo): diséñalo en MACIZAS",IF(AND(MAX(BR38,BZ38,CH38,CP38)&lt;=1,NOT(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T(OR(AND(ISNUMBER(BS38),BS38&lt;0.005),AND(ISNUMBER(CA38),CA38&lt;0.005),AND(ISNUMBER(CI38),CI38&lt;0.005),AND(ISNUMBER(CQ38),CQ38&lt;0.005))),NOT(LEFT(DW38,2)="NO"),DA38="CUMPLE",DB38="CUMPLE",LEFT(CU38,2)&lt;&gt;"NO",LEFT(DATOS!$C$132,6)="CUMPLE"),IF(LEFT(CU38,6)="CUMPLE","CUMPLE","CUMPLE — "&amp;CU38)&amp;IF(LEFT(BK38,5)="FUERA"," · fuera de 3.4.2.1 c)","")&amp;IF(LEFT(DG38,2)="NO"," · REVISAR anclaje en borde discontinuo","")&amp;IF(DV38&gt;0," · respaldo: "&amp;DV38&amp;" hilera(s) de b_w "&amp;AD38&amp;" cm",""),IF(AND(MAX(BR38,BZ38,CH38,CP38)&lt;=1,NOT(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T(OR(AND(ISNUMBER(BS38),BS38&lt;0.005),AND(ISNUMBER(CA38),CA38&lt;0.005),AND(ISNUMBER(CI38),CI38&lt;0.005),AND(ISNUMBER(CQ38),CQ38&lt;0.005))),NOT(LEFT(DW38,2)="NO"),DA38="CALCULAR FLECHA",LEFT(CU38,2)&lt;&gt;"NO",LEFT(DATOS!$C$132,6)="CUMPLE"),"REVISAR: calcular flecha (h_eq &lt; h mín.)"&amp;IF(LEFT(BK38,5)="FUERA"," · fuera de 3.4.2.1 c)","")&amp;IF(LEFT(DG38,2)="NO"," · REVISAR anclaje en borde discontinuo","")&amp;IF(DV38&gt;0," · respaldo: "&amp;DV38&amp;" hilera(s) de b_w "&amp;AD38&amp;" cm",""),"NO CUMPLE: "&amp;IF(MAX(BR38,BZ38,CH38,CP38)&gt;1,"flexión ","")&amp;IF(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 caben ","")&amp;IF(OR(AND(ISNUMBER(BS38),BS38&lt;0.005),AND(ISNUMBER(CA38),CA38&lt;0.005),AND(ISNUMBER(CI38),CI38&lt;0.005),AND(ISNUMBER(CQ38),CQ38&lt;0.005)),"ε_t &lt; 0.005 ","")&amp;IF(LEFT(CU38,2)="NO","cortante ","")&amp;IF(DA38="NO CUMPLE","peralte ","")&amp;IF(DB38&lt;&gt;"CUMPLE","capa &lt; 6 cm ","")&amp;IF(LEFT(DATOS!$C$132,6)&lt;&gt;"CUMPLE","capa o malla (DATOS sección 7) ","")&amp;IF(LEFT(DW38,2)="NO","respaldo del volado",""))))))))</f>
        <v/>
      </c>
      <c r="EC38" s="70" t="str">
        <f>IF(V38&lt;&gt;"SÍ","",IF(LEFT(B38,7)="EJEMPLO","EJEMPLO de la hoja de Casa Rocha: bórralo o sobrescríbelo. ","")&amp;IF(AND(C38="PERIMETRAL",MIN(DH38,DI38)=0),"No cabe un casetón en el claro corto: es un tablero macizo, diséñalo en MACIZAS. ","")&amp;IF(AND(AJ38="NO",C38="PERIMETRAL"),"No cumple 6.7.8.1.4 (a_c = "&amp;MAX(DATOS!$C$81,AE38)&amp;" cm &gt; claro corto/6 = "&amp;TEXT(Y38*100/6,"0")&amp;" cm): se diseña como losa apoyada en vigas (6.7.8.1.9): r de viga = "&amp;DATOS!$C$63&amp;" cm y V_cR sin ×1.1. Para que cuente como encasetonada: casetón de "&amp;TEXT(FLOOR(MIN(80,Y38*100/6),1),"0")&amp;" cm o menor. ","")&amp;IF(C38="VOLADO","Volado de "&amp;TEXT(Y38,"0.00")&amp;" m empotrado en el borde "&amp;LOWER(W38)&amp;IF(N(O38)&gt;0,", con "&amp;TEXT(O38,"0.0")&amp;" kg/m en la orilla","")&amp;". Lecho inferior con r_ext. Si la orilla carga pretil u otro elemento frágil, calcula la flecha (13.4). El acero superior entra al respaldo de "&amp;TEXT(IF(ISNUMBER(P38),P38,Y38),"0.00")&amp;" m"&amp;" hasta pasar M = 0 con 0.9·PP sin carga viva; si ahí no se anula, llega al apoyo lejano y se ancla con gancho (NTC-Criterios 3.4.1 c y 5.1.2.2). "&amp;IF(AD38&gt;DATOS!$C$83,"Respaldo: "&amp;DW38&amp;". ",""),"")&amp;IF(AND(C38="VOLADO",((0.9*DATOS!$C$90*DATOS!$C$86/100/1000)*IF(ISNUMBER(P38),P38,Y38)/2-BH38/IF(ISNUMBER(P38),P38,Y38))&lt;0),"Con 0.9·PP y sin carga viva el apoyo lejano del respaldo levanta (R = "&amp;TEXT(-((0.9*DATOS!$C$90*DATOS!$C$86/100/1000)*IF(ISNUMBER(P38),P38,Y38)/2-BH38/IF(ISNUMBER(P38),P38,Y38)),"0.00")&amp;" t por nervadura): ancla ahí la corrida con gancho y revisa ese apoyo a tensión. ","")&amp;IF(LEFT(BK38,5)="FUERA","El M⁻ del vecino difiere más de 50 % (3.4.2.1 c): distribuye el desequilibrio (3.4.3.1) o confirma con un modelo; se arma con el mayor. ","")&amp;IF(OR(DE38="SÍ",DF38="SÍ"),"El M⁻ del borde discontinuo pide bastón también ahí (con gancho). ","")&amp;IF(LEFT(DG38,2)="NO","Anclaje: "&amp;DG38&amp;" (6.7.8.1.7). ","")&amp;IF(AND(C38="PERIMETRAL",AT38&gt;=1,AS38-AT38&gt;=1),"Esquinas exteriores sobre muro: refuerzo de esquina arriba y abajo en L_largo/5 (6.7.7.3.1). ",""))</f>
        <v/>
      </c>
    </row>
    <row r="39" ht="33" customHeight="1">
      <c r="A39" s="50">
        <f>IF(B39="",0,1)+A38</f>
        <v>4</v>
      </c>
      <c r="B39" s="29" t="n"/>
      <c r="C39" s="51" t="n"/>
      <c r="D39" s="29" t="n"/>
      <c r="E39" s="52" t="n"/>
      <c r="F39" s="52" t="n"/>
      <c r="G39" s="51" t="n"/>
      <c r="H39" s="51" t="n"/>
      <c r="I39" s="51" t="n"/>
      <c r="J39" s="51" t="n"/>
      <c r="K39" s="51" t="n"/>
      <c r="L39" s="51" t="n"/>
      <c r="M39" s="53" t="n"/>
      <c r="N39" s="53" t="n"/>
      <c r="O39" s="54" t="n"/>
      <c r="P39" s="52" t="n"/>
      <c r="Q39" s="52" t="n"/>
      <c r="R39" s="53" t="n"/>
      <c r="S39" s="54" t="n"/>
      <c r="T39" s="52" t="n"/>
      <c r="U39" s="52" t="n"/>
      <c r="V39" s="55" t="str">
        <f>IF(B39="","",IF(AND(OR(C39="PERIMETRAL",C39="VOLADO"),ISNUMBER(E39),ISNUMBER(F39),E39&gt;0,F39&gt;0,OR(ISNUMBER(N39),ISNUMBER(MATCH(D39,DATOS!$B$46:$B$58,0))),OR(C39&lt;&gt;"VOLADO",N(P39)&gt;0)),"SÍ","NO"))</f>
        <v/>
      </c>
      <c r="W39" s="55" t="str">
        <f>IF(V39&lt;&gt;"SÍ","",IF(C39&lt;&gt;"VOLADO","—",IF(COUNTIF(G39:J39,"CONTINUO")&lt;&gt;1,"?",IF(G39="CONTINUO","INFERIOR",IF(H39="CONTINUO","SUPERIOR",IF(I39="CONTINUO","IZQUIERDO","DERECHO"))))))</f>
        <v/>
      </c>
      <c r="X39" s="55" t="str">
        <f>IF(V39&lt;&gt;"SÍ","",IF(C39="VOLADO",IF(OR(W39="IZQUIERDO",W39="DERECHO"),"X","Y"),IF(E39&lt;=F39,"X","Y")))</f>
        <v/>
      </c>
      <c r="Y39" s="56" t="str">
        <f>IF(V39&lt;&gt;"SÍ","",IF(C39="VOLADO",IF(X39="X",E39,F39),MIN(E39,F39)))</f>
        <v/>
      </c>
      <c r="Z39" s="56" t="str">
        <f>IF(V39&lt;&gt;"SÍ","",IF(C39="VOLADO",IF(X39="X",F39,E39),MAX(E39,F39)))</f>
        <v/>
      </c>
      <c r="AA39" s="56" t="str">
        <f>IF(V39&lt;&gt;"SÍ","",MIN(Y39,Z39)/MAX(Y39,Z39))</f>
        <v/>
      </c>
      <c r="AB39" s="57" t="str">
        <f>IF(V39&lt;&gt;"SÍ","",MAX(1,Y39*100-IF(C39="VOLADO",DATOS!$C$87/2,DATOS!$C$87)))</f>
        <v/>
      </c>
      <c r="AC39" s="57" t="str">
        <f>IF(V39&lt;&gt;"SÍ","",MAX(1,Z39*100-DATOS!$C$87))</f>
        <v/>
      </c>
      <c r="AD39" s="57" t="str">
        <f>IF(V39&lt;&gt;"SÍ","",IF(ISNUMBER(R39),R39,DATOS!$C$83))</f>
        <v/>
      </c>
      <c r="AE39" s="57" t="str">
        <f>IF(V39&lt;&gt;"SÍ","",MAX(0,DATOS!$C$86-AD39))</f>
        <v/>
      </c>
      <c r="AF39" s="57" t="str">
        <f>IF(V39&lt;&gt;"SÍ","",IF(OR(DATOS!$C$65="SÍ",AD39&gt;=20),AD39,AD39-2))</f>
        <v/>
      </c>
      <c r="AG39" s="57" t="str">
        <f>IF(V39&lt;&gt;"SÍ","",IF(OR(DATOS!$C$65="SÍ",DATOS!$C$83&gt;=20),DATOS!$C$83,DATOS!$C$83-2))</f>
        <v/>
      </c>
      <c r="AH39" s="57" t="str">
        <f>IF(V39&lt;&gt;"SÍ","",MIN(DATOS!$C$86,AD39+2*MIN(8*DATOS!$C$84,AE39/2,AB39/8)))</f>
        <v/>
      </c>
      <c r="AI39" s="57" t="str">
        <f>IF(V39&lt;&gt;"SÍ","",MIN(DATOS!$C$86,DATOS!$C$83+2*MIN(8*DATOS!$C$84,DATOS!$C$81/2,AC39/8)))</f>
        <v/>
      </c>
      <c r="AJ39" s="55" t="str">
        <f>IF(V39&lt;&gt;"SÍ","",IF(AND(C39="PERIMETRAL",Y39*100&gt;=6*MAX(DATOS!$C$81,AE39),MAX(DATOS!$C$81,AE39)&lt;=80,MIN(DATOS!$C$83,AD39)&gt;=10,DATOS!$C$85&lt;=3.5*MIN(DATOS!$C$83,AD39),DATOS!$C$84&gt;=MAX(MAX(DATOS!$C$81,AE39)/13,5)),"SÍ","NO"))</f>
        <v/>
      </c>
      <c r="AK39" s="57" t="str">
        <f>IF(V39&lt;&gt;"SÍ","",IF(C39="VOLADO",DATOS!$C$64,IF(AJ39="NO",DATOS!$C$63,DATOS!$C$62)))</f>
        <v/>
      </c>
      <c r="AL39" s="57" t="str">
        <f>IF(V39&lt;&gt;"SÍ","",IF(OR(AND(AN39="SÍ",DATOS!$C$66="SÍ"),AND(C39="VOLADO",DATOS!$C$67="SÍ")),DATOS!$C$64,IF(AJ39="NO",DATOS!$C$63,DATOS!$C$62)))</f>
        <v/>
      </c>
      <c r="AM39" s="58" t="str">
        <f>IF(V39&lt;&gt;"SÍ","",MAX(AL39,(DATOS!$C$84-2*DATOS!$C$97)/2))</f>
        <v/>
      </c>
      <c r="AN39" s="55" t="str">
        <f>IF(V39&lt;&gt;"SÍ","",IFERROR(INDEX(DATOS!$D$46:$D$58,MATCH(D39,DATOS!$B$46:$B$58,0)),"NO"))</f>
        <v/>
      </c>
      <c r="AO39" s="59" t="str">
        <f>IF(V39&lt;&gt;"SÍ","",IF(ISNUMBER(N39),N39,IFERROR(INDEX(DATOS!$C$46:$C$58,MATCH(D39,DATOS!$B$46:$B$58,0)),0)))</f>
        <v/>
      </c>
      <c r="AP39" s="59" t="str">
        <f>IF(V39&lt;&gt;"SÍ","",IF(MIN(DH39,DI39)=0,DATOS!$C$85/100*DATOS!$C$16*1000,(DATOS!$C$85/100-(AE39*DATOS!$C$81/DATOS!$C$86^2)*DATOS!$C$82/100)*DATOS!$C$16*1000+(AE39*DATOS!$C$81/DATOS!$C$86^2)*DATOS!$C$82/100*DATOS!$C$17*1000)+DATOS!$C$37+DATOS!$C$38)</f>
        <v/>
      </c>
      <c r="AQ39" s="59" t="str">
        <f>IF(V39&lt;&gt;"SÍ","",AP39+N(M39))</f>
        <v/>
      </c>
      <c r="AR39" s="60" t="str">
        <f>IF(V39&lt;&gt;"SÍ","",MAX(DATOS!$C$26*AQ39+DATOS!$C$27*AO39,IF(AN39="SÍ",DATOS!$C$28*(AQ39+DATOS!$C$41),0)))</f>
        <v/>
      </c>
      <c r="AS39" s="59" t="str">
        <f>IF(V39&lt;&gt;"SÍ","",(G39="DISCONTINUO")+(H39="DISCONTINUO")+(I39="DISCONTINUO")+(J39="DISCONTINUO"))</f>
        <v/>
      </c>
      <c r="AT39" s="59" t="str">
        <f>IF(V39&lt;&gt;"SÍ","",IF(X39="X",(G39="DISCONTINUO")+(H39="DISCONTINUO"),(I39="DISCONTINUO")+(J39="DISCONTINUO")))</f>
        <v/>
      </c>
      <c r="AU39" s="55" t="str">
        <f>IF(V39&lt;&gt;"SÍ","",IF(AS39=0,"INTERIOR",IF(AS39=1,IF(AT39=1,"BORDE-CORTO","BORDE-LARGO"),IF(AS39=2,IF(AT39=1,"ESQUINA",IF(AT39=2,"EXTREMO-LARGO","EXTREMO-CORTO")),IF(AS39=3,IF(AT39=2,"EXTREMO-LARGO","EXTREMO-CORTO"),"AISLADO")))))</f>
        <v/>
      </c>
      <c r="AV39" s="61" t="str">
        <f>IF(V39&lt;&gt;"SÍ","",IF(OR(K39="",K39="AUTO"),AU39,K39))</f>
        <v/>
      </c>
      <c r="AW39" s="59" t="str">
        <f>IF(V39&lt;&gt;"SÍ","",MATCH(AA39,TABLAS!$D$5:$J$5,1))</f>
        <v/>
      </c>
      <c r="AX39" s="58" t="str">
        <f>IF(V39&lt;&gt;"SÍ","",IF(AW39&gt;=7,0,(AA39-INDEX(TABLAS!$D$5:$J$5,AW39))/(INDEX(TABLAS!$D$5:$J$5,AW39+1)-INDEX(TABLAS!$D$5:$J$5,AW39))))</f>
        <v/>
      </c>
      <c r="AY39" s="59" t="str">
        <f>IF(V39&lt;&gt;"SÍ","",INDEX(TABLAS!$D$6:$J$47,MATCH(AV39&amp;"|NIC",TABLAS!$B$6:$B$47,0),AW39)+AX39*(INDEX(TABLAS!$D$6:$J$47,MATCH(AV39&amp;"|NIC",TABLAS!$B$6:$B$47,0),MIN(AW39+1,7))-INDEX(TABLAS!$D$6:$J$47,MATCH(AV39&amp;"|NIC",TABLAS!$B$6:$B$47,0),AW39)))</f>
        <v/>
      </c>
      <c r="AZ39" s="59" t="str">
        <f>IF(V39&lt;&gt;"SÍ","",INDEX(TABLAS!$D$6:$J$47,MATCH(AV39&amp;"|NIL",TABLAS!$B$6:$B$47,0),AW39)+AX39*(INDEX(TABLAS!$D$6:$J$47,MATCH(AV39&amp;"|NIL",TABLAS!$B$6:$B$47,0),MIN(AW39+1,7))-INDEX(TABLAS!$D$6:$J$47,MATCH(AV39&amp;"|NIL",TABLAS!$B$6:$B$47,0),AW39)))</f>
        <v/>
      </c>
      <c r="BA39" s="59" t="str">
        <f>IF(V39&lt;&gt;"SÍ","",INDEX(TABLAS!$D$6:$J$47,MATCH(AV39&amp;"|NDC",TABLAS!$B$6:$B$47,0),AW39)+AX39*(INDEX(TABLAS!$D$6:$J$47,MATCH(AV39&amp;"|NDC",TABLAS!$B$6:$B$47,0),MIN(AW39+1,7))-INDEX(TABLAS!$D$6:$J$47,MATCH(AV39&amp;"|NDC",TABLAS!$B$6:$B$47,0),AW39)))</f>
        <v/>
      </c>
      <c r="BB39" s="59" t="str">
        <f>IF(V39&lt;&gt;"SÍ","",INDEX(TABLAS!$D$6:$J$47,MATCH(AV39&amp;"|NDL",TABLAS!$B$6:$B$47,0),AW39)+AX39*(INDEX(TABLAS!$D$6:$J$47,MATCH(AV39&amp;"|NDL",TABLAS!$B$6:$B$47,0),MIN(AW39+1,7))-INDEX(TABLAS!$D$6:$J$47,MATCH(AV39&amp;"|NDL",TABLAS!$B$6:$B$47,0),AW39)))</f>
        <v/>
      </c>
      <c r="BC39" s="59" t="str">
        <f>IF(V39&lt;&gt;"SÍ","",INDEX(TABLAS!$D$6:$J$47,MATCH(AV39&amp;"|PC",TABLAS!$B$6:$B$47,0),AW39)+AX39*(INDEX(TABLAS!$D$6:$J$47,MATCH(AV39&amp;"|PC",TABLAS!$B$6:$B$47,0),MIN(AW39+1,7))-INDEX(TABLAS!$D$6:$J$47,MATCH(AV39&amp;"|PC",TABLAS!$B$6:$B$47,0),AW39)))</f>
        <v/>
      </c>
      <c r="BD39" s="59" t="str">
        <f>IF(V39&lt;&gt;"SÍ","",INDEX(TABLAS!$D$6:$J$47,MATCH(AV39&amp;"|PL",TABLAS!$B$6:$B$47,0),AW39)+AX39*(INDEX(TABLAS!$D$6:$J$47,MATCH(AV39&amp;"|PL",TABLAS!$B$6:$B$47,0),MIN(AW39+1,7))-INDEX(TABLAS!$D$6:$J$47,MATCH(AV39&amp;"|PL",TABLAS!$B$6:$B$47,0),AW39)))</f>
        <v/>
      </c>
      <c r="BE39" s="56" t="str">
        <f>IF(V39&lt;&gt;"SÍ","",IF(OR(C39&lt;&gt;"VOLADO",MIN(DH39,DI39)=0),0,DATOS!$C$26*DATOS!$C$16*DATOS!$C$86/100*(((AE39*DATOS!$C$81/DATOS!$C$86^2)*DATOS!$C$82/100)*(IF(X39="X",DJ39,DL39)+DATOS!$C$87/2)/100*(AB39-(IF(X39="X",DJ39,DL39)+DATOS!$C$87/2)/2)/100+((AE39*DATOS!$C$81/DATOS!$C$86^2)*DATOS!$C$82/100)*IF(X39="X",DJ39,DL39)/100*IF(X39="X",DJ39,DL39)/200)))</f>
        <v/>
      </c>
      <c r="BF39" s="56" t="str">
        <f>IF(V39&lt;&gt;"SÍ","",IF(OR(C39&lt;&gt;"VOLADO",MIN(DH39,DI39)=0),0,DATOS!$C$26*DATOS!$C$16*DATOS!$C$86/100*((AE39*DATOS!$C$81/DATOS!$C$86^2)*DATOS!$C$82/100)*(IF(X39="X",DJ39,DL39)+DATOS!$C$87/2)/100))</f>
        <v/>
      </c>
      <c r="BG39" s="56" t="str">
        <f>IF(V39&lt;&gt;"SÍ","",IF(C39="PERIMETRAL",BC39*AR39*Y39^2*1E-4*DATOS!$C$86/100/1000,0))</f>
        <v/>
      </c>
      <c r="BH39" s="62" t="str">
        <f>IF(V39&lt;&gt;"SÍ","",IF(C39="PERIMETRAL",MAX(MAX(AY39,BA39)*AR39*Y39^2*1E-4*DATOS!$C$86/100/1000,N(T39)),(AR39*(AB39/100)^2/2+DATOS!$C$26*N(O39)*AB39/100)*DATOS!$C$86/100/1000+BE39))</f>
        <v/>
      </c>
      <c r="BI39" s="56" t="str">
        <f>IF(V39&lt;&gt;"SÍ","",IF(C39="PERIMETRAL",BD39*AR39*Y39^2*1E-4*DATOS!$C$86/100/1000,0))</f>
        <v/>
      </c>
      <c r="BJ39" s="56" t="str">
        <f>IF(V39&lt;&gt;"SÍ","",IF(C39="PERIMETRAL",MAX(MAX(AZ39,BB39)*AR39*Y39^2*1E-4*DATOS!$C$86/100/1000,N(U39)),0))</f>
        <v/>
      </c>
      <c r="BK39" s="63" t="str">
        <f>IF(V39&lt;&gt;"SÍ","",IF(C39&lt;&gt;"PERIMETRAL","—",IF(AND(N(T39)=0,N(U39)=0),"— (sin M⁻ del vecino)",IF(OR(AND(N(T39)&gt;0,ABS(MAX(AY39,BA39)*AR39*Y39^2*1E-4*DATOS!$C$86/100/1000-N(T39))&gt;0.5*MIN(MAX(AY39,BA39)*AR39*Y39^2*1E-4*DATOS!$C$86/100/1000,N(T39))),AND(N(U39)&gt;0,ABS(MAX(AZ39,BB39)*AR39*Y39^2*1E-4*DATOS!$C$86/100/1000-N(U39))&gt;0.5*MIN(MAX(AZ39,BB39)*AR39*Y39^2*1E-4*DATOS!$C$86/100/1000,N(U39)))),"FUERA: difieren &gt; 50 %"&amp;IF(AND(N(T39)&gt;0,ABS(MAX(AY39,BA39)*AR39*Y39^2*1E-4*DATOS!$C$86/100/1000-N(T39))&gt;0.5*MIN(MAX(AY39,BA39)*AR39*Y39^2*1E-4*DATOS!$C$86/100/1000,N(T39)))," ‖ corto","")&amp;IF(AND(N(U39)&gt;0,ABS(MAX(AZ39,BB39)*AR39*Y39^2*1E-4*DATOS!$C$86/100/1000-N(U39))&gt;0.5*MIN(MAX(AZ39,BB39)*AR39*Y39^2*1E-4*DATOS!$C$86/100/1000,N(U39)))," ‖ largo",""),"CUMPLE"))))</f>
        <v/>
      </c>
      <c r="BL39" s="58" t="str">
        <f>IF(V39&lt;&gt;"SÍ","",(DATOS!$C$85-AK39-INDEX(TABLAS!$C$52:$C$58,MATCH(MAX(4,DATOS!$C$71),TABLAS!$B$52:$B$58,0))/2))</f>
        <v/>
      </c>
      <c r="BM39" s="58" t="str">
        <f>IF(V39&lt;&gt;"SÍ","",IF(IF(BG39&lt;=0,0,IF((1-2*BG39*1E5/(DATOS!$C$29*AH39*BL39^2*DATOS!$C$21))&lt;0,-1,IF((1-SQRT((1-2*BG39*1E5/(DATOS!$C$29*AH39*BL39^2*DATOS!$C$21))))*DATOS!$C$21*AH39*BL39/DATOS!$C$14&gt;DATOS!$C$102*AH39*BL39,-1,(1-SQRT((1-2*BG39*1E5/(DATOS!$C$29*AH39*BL39^2*DATOS!$C$21))))*DATOS!$C$21*AH39*BL39/DATOS!$C$14)))&lt;0,-1,MAX(IF(BG39&lt;=0,0,IF((1-2*BG39*1E5/(DATOS!$C$29*AH39*BL39^2*DATOS!$C$21))&lt;0,-1,IF((1-SQRT((1-2*BG39*1E5/(DATOS!$C$29*AH39*BL39^2*DATOS!$C$21))))*DATOS!$C$21*AH39*BL39/DATOS!$C$14&gt;DATOS!$C$102*AH39*BL39,-1,(1-SQRT((1-2*BG39*1E5/(DATOS!$C$29*AH39*BL39^2*DATOS!$C$21))))*DATOS!$C$21*AH39*BL39/DATOS!$C$14))),MIN(DATOS!$C$103*AD39*BL39,4/3*IF(BG39&lt;=0,0,IF((1-2*BG39*1E5/(DATOS!$C$29*AH39*BL39^2*DATOS!$C$21))&lt;0,-1,IF((1-SQRT((1-2*BG39*1E5/(DATOS!$C$29*AH39*BL39^2*DATOS!$C$21))))*DATOS!$C$21*AH39*BL39/DATOS!$C$14&gt;DATOS!$C$102*AH39*BL39,-1,(1-SQRT((1-2*BG39*1E5/(DATOS!$C$29*AH39*BL39^2*DATOS!$C$21))))*DATOS!$C$21*AH39*BL39/DATOS!$C$14)))))))</f>
        <v/>
      </c>
      <c r="BN39" s="64" t="str">
        <f>IF(V39&lt;&gt;"SÍ","",IF(AND(BM39&gt;=0,IF(MAX(DATOS!$C$74,CEILING(BM39/INDEX(TABLAS!$D$52:$D$58,MIN(MATCH(MAX(4,DATOS!$C$71),TABLAS!$B$52:$B$58,0)+0,7)),1))*INDEX(TABLAS!$D$52:$D$58,MIN(MATCH(MAX(4,DATOS!$C$71),TABLAS!$B$52:$B$58,0)+0,7)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+0,7)),1)),MAX(MAX(DATOS!$C$74,CEILING(BM39/INDEX(TABLAS!$D$52:$D$58,MIN(MATCH(MAX(4,DATOS!$C$71),TABLAS!$B$52:$B$58,0)+0,7)),1)),2))&lt;=MIN(DATOS!$C$73,INT(((AD39-2*AK39)+MAX(DATOS!$C$70,INDEX(TABLAS!$C$52:$C$58,MIN(MATCH(MAX(4,DATOS!$C$71),TABLAS!$B$52:$B$58,0)+0,7))))/(INDEX(TABLAS!$C$52:$C$58,MIN(MATCH(MAX(4,DATOS!$C$71),TABLAS!$B$52:$B$58,0)+0,7))+MAX(DATOS!$C$70,INDEX(TABLAS!$C$52:$C$58,MIN(MATCH(MAX(4,DATOS!$C$71),TABLAS!$B$52:$B$58,0)+0,7))))))),INDEX(TABLAS!$B$52:$B$58,MIN(MATCH(MAX(4,DATOS!$C$71),TABLAS!$B$52:$B$58,0)+0,7)),IF(AND(BM39&gt;=0,IF(MAX(DATOS!$C$74,CEILING(BM39/INDEX(TABLAS!$D$52:$D$58,MIN(MATCH(MAX(4,DATOS!$C$71),TABLAS!$B$52:$B$58,0)+1,7)),1))*INDEX(TABLAS!$D$52:$D$58,MIN(MATCH(MAX(4,DATOS!$C$71),TABLAS!$B$52:$B$58,0)+1,7)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+1,7)),1)),MAX(MAX(DATOS!$C$74,CEILING(BM39/INDEX(TABLAS!$D$52:$D$58,MIN(MATCH(MAX(4,DATOS!$C$71),TABLAS!$B$52:$B$58,0)+1,7)),1)),2))&lt;=MIN(DATOS!$C$73,INT(((AD39-2*AK39)+MAX(DATOS!$C$70,INDEX(TABLAS!$C$52:$C$58,MIN(MATCH(MAX(4,DATOS!$C$71),TABLAS!$B$52:$B$58,0)+1,7))))/(INDEX(TABLAS!$C$52:$C$58,MIN(MATCH(MAX(4,DATOS!$C$71),TABLAS!$B$52:$B$58,0)+1,7))+MAX(DATOS!$C$70,INDEX(TABLAS!$C$52:$C$58,MIN(MATCH(MAX(4,DATOS!$C$71),TABLAS!$B$52:$B$58,0)+1,7))))))),INDEX(TABLAS!$B$52:$B$58,MIN(MATCH(MAX(4,DATOS!$C$71),TABLAS!$B$52:$B$58,0)+1,7)),IF(AND(BM39&gt;=0,IF(MAX(DATOS!$C$74,CEILING(BM39/INDEX(TABLAS!$D$52:$D$58,MIN(MATCH(MAX(4,DATOS!$C$71),TABLAS!$B$52:$B$58,0)+2,7)),1))*INDEX(TABLAS!$D$52:$D$58,MIN(MATCH(MAX(4,DATOS!$C$71),TABLAS!$B$52:$B$58,0)+2,7)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+2,7)),1)),MAX(MAX(DATOS!$C$74,CEILING(BM39/INDEX(TABLAS!$D$52:$D$58,MIN(MATCH(MAX(4,DATOS!$C$71),TABLAS!$B$52:$B$58,0)+2,7)),1)),2))&lt;=MIN(DATOS!$C$73,INT(((AD39-2*AK39)+MAX(DATOS!$C$70,INDEX(TABLAS!$C$52:$C$58,MIN(MATCH(MAX(4,DATOS!$C$71),TABLAS!$B$52:$B$58,0)+2,7))))/(INDEX(TABLAS!$C$52:$C$58,MIN(MATCH(MAX(4,DATOS!$C$71),TABLAS!$B$52:$B$58,0)+2,7))+MAX(DATOS!$C$70,INDEX(TABLAS!$C$52:$C$58,MIN(MATCH(MAX(4,DATOS!$C$71),TABLAS!$B$52:$B$58,0)+2,7))))))),INDEX(TABLAS!$B$52:$B$58,MIN(MATCH(MAX(4,DATOS!$C$71),TABLAS!$B$52:$B$58,0)+2,7)),IF(AND(BM39&gt;=0,IF(MAX(DATOS!$C$74,CEILING(BM39/INDEX(TABLAS!$D$52:$D$58,MIN(MATCH(MAX(4,DATOS!$C$71),TABLAS!$B$52:$B$58,0)+3,7)),1))*INDEX(TABLAS!$D$52:$D$58,MIN(MATCH(MAX(4,DATOS!$C$71),TABLAS!$B$52:$B$58,0)+3,7)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+3,7)),1)),MAX(MAX(DATOS!$C$74,CEILING(BM39/INDEX(TABLAS!$D$52:$D$58,MIN(MATCH(MAX(4,DATOS!$C$71),TABLAS!$B$52:$B$58,0)+3,7)),1)),2))&lt;=MIN(DATOS!$C$73,INT(((AD39-2*AK39)+MAX(DATOS!$C$70,INDEX(TABLAS!$C$52:$C$58,MIN(MATCH(MAX(4,DATOS!$C$71),TABLAS!$B$52:$B$58,0)+3,7))))/(INDEX(TABLAS!$C$52:$C$58,MIN(MATCH(MAX(4,DATOS!$C$71),TABLAS!$B$52:$B$58,0)+3,7))+MAX(DATOS!$C$70,INDEX(TABLAS!$C$52:$C$58,MIN(MATCH(MAX(4,DATOS!$C$71),TABLAS!$B$52:$B$58,0)+3,7))))))),INDEX(TABLAS!$B$52:$B$58,MIN(MATCH(MAX(4,DATOS!$C$71),TABLAS!$B$52:$B$58,0)+3,7)),IF(AND(BM39&gt;=0,IF(MAX(DATOS!$C$74,CEILING(BM39/INDEX(TABLAS!$D$52:$D$58,MIN(MATCH(MAX(4,DATOS!$C$71),TABLAS!$B$52:$B$58,0)+4,7)),1))*INDEX(TABLAS!$D$52:$D$58,MIN(MATCH(MAX(4,DATOS!$C$71),TABLAS!$B$52:$B$58,0)+4,7)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+4,7)),1)),MAX(MAX(DATOS!$C$74,CEILING(BM39/INDEX(TABLAS!$D$52:$D$58,MIN(MATCH(MAX(4,DATOS!$C$71),TABLAS!$B$52:$B$58,0)+4,7)),1)),2))&lt;=MIN(DATOS!$C$73,INT(((AD39-2*AK39)+MAX(DATOS!$C$70,INDEX(TABLAS!$C$52:$C$58,MIN(MATCH(MAX(4,DATOS!$C$71),TABLAS!$B$52:$B$58,0)+4,7))))/(INDEX(TABLAS!$C$52:$C$58,MIN(MATCH(MAX(4,DATOS!$C$71),TABLAS!$B$52:$B$58,0)+4,7))+MAX(DATOS!$C$70,INDEX(TABLAS!$C$52:$C$58,MIN(MATCH(MAX(4,DATOS!$C$71),TABLAS!$B$52:$B$58,0)+4,7))))))),INDEX(TABLAS!$B$52:$B$58,MIN(MATCH(MAX(4,DATOS!$C$71),TABLAS!$B$52:$B$58,0)+4,7)),INDEX(TABLAS!$B$52:$B$58,7)))))))</f>
        <v/>
      </c>
      <c r="BO39" s="59" t="str">
        <f>IF(V39&lt;&gt;"SÍ","",IF(BM39&lt;0,0,IF(MAX(DATOS!$C$74,CEILING(MAX(BM39,0)/INDEX(TABLAS!$D$52:$D$58,MATCH(BN39,TABLAS!$B$52:$B$58,0)),1))*INDEX(TABLAS!$D$52:$D$58,MATCH(BN39,TABLAS!$B$52:$B$58,0))&gt;=4/3*IF(BG39&lt;=0,0,IF((1-2*BG39*1E5/(DATOS!$C$29*AH39*BL39^2*DATOS!$C$21))&lt;0,-1,IF((1-SQRT((1-2*BG39*1E5/(DATOS!$C$29*AH39*BL39^2*DATOS!$C$21))))*DATOS!$C$21*AH39*BL39/DATOS!$C$14&gt;DATOS!$C$102*AH39*BL39,-1,(1-SQRT((1-2*BG39*1E5/(DATOS!$C$29*AH39*BL39^2*DATOS!$C$21))))*DATOS!$C$21*AH39*BL39/DATOS!$C$14)))-0.0001,MAX(DATOS!$C$74,CEILING(MAX(BM39,0)/INDEX(TABLAS!$D$52:$D$58,MATCH(BN39,TABLAS!$B$52:$B$58,0)),1)),MAX(MAX(DATOS!$C$74,CEILING(MAX(BM39,0)/INDEX(TABLAS!$D$52:$D$58,MATCH(BN39,TABLAS!$B$52:$B$58,0)),1)),2))))</f>
        <v/>
      </c>
      <c r="BP39" s="58" t="str">
        <f>IF(V39&lt;&gt;"SÍ","",DATOS!$C$85-AK39-INDEX(TABLAS!$C$52:$C$58,MATCH(BN39,TABLAS!$B$52:$B$58,0))/2)</f>
        <v/>
      </c>
      <c r="BQ39" s="56" t="str">
        <f>IF(V39&lt;&gt;"SÍ","",IF(BO39=0,0,DATOS!$C$29*BO39*INDEX(TABLAS!$D$52:$D$58,MATCH(BN39,TABLAS!$B$52:$B$58,0))*DATOS!$C$14*(BP39-BO39*INDEX(TABLAS!$D$52:$D$58,MATCH(BN39,TABLAS!$B$52:$B$58,0))*DATOS!$C$14/(DATOS!$C$21*AH39)/2)/1E5))</f>
        <v/>
      </c>
      <c r="BR39" s="65" t="str">
        <f>IF(V39&lt;&gt;"SÍ","",IF(BM39&lt;0,9.99,IF(BQ39&gt;0,BG39/BQ39,0)))</f>
        <v/>
      </c>
      <c r="BS39" s="66" t="str">
        <f>IF(V39&lt;&gt;"SÍ","",IF(BO39=0,"—",0.003*(BP39-(BO39*INDEX(TABLAS!$D$52:$D$58,MATCH(BN39,TABLAS!$B$52:$B$58,0))*DATOS!$C$14/(DATOS!$C$21*AH39)/DATOS!$C$22))/(BO39*INDEX(TABLAS!$D$52:$D$58,MATCH(BN39,TABLAS!$B$52:$B$58,0))*DATOS!$C$14/(DATOS!$C$21*AH39)/DATOS!$C$22)))</f>
        <v/>
      </c>
      <c r="BT39" s="58" t="str">
        <f>IF(V39&lt;&gt;"SÍ","",((DATOS!$C$85-AM39-2*DATOS!$C$97-INDEX(TABLAS!$C$52:$C$58,MATCH(MAX(4,DATOS!$C$72),TABLAS!$B$52:$B$58,0))/2)-IF(AND((DATOS!$C$85-AM39-2*DATOS!$C$97-INDEX(TABLAS!$C$52:$C$58,MATCH(MAX(4,DATOS!$C$72),TABLAS!$B$52:$B$58,0))/2)&lt;=20,DATOS!$C$65&lt;&gt;"SÍ"),2,0)))</f>
        <v/>
      </c>
      <c r="BU39" s="58" t="str">
        <f>IF(V39&lt;&gt;"SÍ","",IF(IF(BH39&lt;=0,0,IF((1-2*BH39*1E5/(DATOS!$C$29*AF39*BT39^2*DATOS!$C$21))&lt;0,-1,IF((1-SQRT((1-2*BH39*1E5/(DATOS!$C$29*AF39*BT39^2*DATOS!$C$21))))*DATOS!$C$21*AF39*BT39/DATOS!$C$14&gt;DATOS!$C$102*AF39*BT39,-1,(1-SQRT((1-2*BH39*1E5/(DATOS!$C$29*AF39*BT39^2*DATOS!$C$21))))*DATOS!$C$21*AF39*BT39/DATOS!$C$14)))&lt;0,-1,MAX(IF(BH39&lt;=0,0,IF((1-2*BH39*1E5/(DATOS!$C$29*AF39*BT39^2*DATOS!$C$21))&lt;0,-1,IF((1-SQRT((1-2*BH39*1E5/(DATOS!$C$29*AF39*BT39^2*DATOS!$C$21))))*DATOS!$C$21*AF39*BT39/DATOS!$C$14&gt;DATOS!$C$102*AF39*BT39,-1,(1-SQRT((1-2*BH39*1E5/(DATOS!$C$29*AF39*BT39^2*DATOS!$C$21))))*DATOS!$C$21*AF39*BT39/DATOS!$C$14))),MIN(DATOS!$C$103*IF(C39="VOLADO",MIN(AH39,2*AD39),AD39)*BT39,4/3*IF(BH39&lt;=0,0,IF((1-2*BH39*1E5/(DATOS!$C$29*AF39*BT39^2*DATOS!$C$21))&lt;0,-1,IF((1-SQRT((1-2*BH39*1E5/(DATOS!$C$29*AF39*BT39^2*DATOS!$C$21))))*DATOS!$C$21*AF39*BT39/DATOS!$C$14&gt;DATOS!$C$102*AF39*BT39,-1,(1-SQRT((1-2*BH39*1E5/(DATOS!$C$29*AF39*BT39^2*DATOS!$C$21))))*DATOS!$C$21*AF39*BT39/DATOS!$C$14)))))))</f>
        <v/>
      </c>
      <c r="BV39" s="64" t="str">
        <f>IF(V39&lt;&gt;"SÍ","",IF(AND(BU39&gt;=0,IF(MAX(DATOS!$C$74,CEILING(BU39/INDEX(TABLAS!$D$52:$D$58,MIN(MATCH(MAX(4,DATOS!$C$72),TABLAS!$B$52:$B$58,0)+0,7)),1))*INDEX(TABLAS!$D$52:$D$58,MIN(MATCH(MAX(4,DATOS!$C$72),TABLAS!$B$52:$B$58,0)+0,7)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+0,7)),1)),MAX(MAX(DATOS!$C$74,CEILING(BU39/INDEX(TABLAS!$D$52:$D$58,MIN(MATCH(MAX(4,DATOS!$C$72),TABLAS!$B$52:$B$58,0)+0,7)),1)),2))&lt;=MIN(DATOS!$C$73,INT(((AD39-2*AL39)+MAX(DATOS!$C$70,INDEX(TABLAS!$C$52:$C$58,MIN(MATCH(MAX(4,DATOS!$C$72),TABLAS!$B$52:$B$58,0)+0,7))))/(INDEX(TABLAS!$C$52:$C$58,MIN(MATCH(MAX(4,DATOS!$C$72),TABLAS!$B$52:$B$58,0)+0,7))+MAX(DATOS!$C$70,INDEX(TABLAS!$C$52:$C$58,MIN(MATCH(MAX(4,DATOS!$C$72),TABLAS!$B$52:$B$58,0)+0,7))))))),INDEX(TABLAS!$B$52:$B$58,MIN(MATCH(MAX(4,DATOS!$C$72),TABLAS!$B$52:$B$58,0)+0,7)),IF(AND(BU39&gt;=0,IF(MAX(DATOS!$C$74,CEILING(BU39/INDEX(TABLAS!$D$52:$D$58,MIN(MATCH(MAX(4,DATOS!$C$72),TABLAS!$B$52:$B$58,0)+1,7)),1))*INDEX(TABLAS!$D$52:$D$58,MIN(MATCH(MAX(4,DATOS!$C$72),TABLAS!$B$52:$B$58,0)+1,7)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+1,7)),1)),MAX(MAX(DATOS!$C$74,CEILING(BU39/INDEX(TABLAS!$D$52:$D$58,MIN(MATCH(MAX(4,DATOS!$C$72),TABLAS!$B$52:$B$58,0)+1,7)),1)),2))&lt;=MIN(DATOS!$C$73,INT(((AD39-2*AL39)+MAX(DATOS!$C$70,INDEX(TABLAS!$C$52:$C$58,MIN(MATCH(MAX(4,DATOS!$C$72),TABLAS!$B$52:$B$58,0)+1,7))))/(INDEX(TABLAS!$C$52:$C$58,MIN(MATCH(MAX(4,DATOS!$C$72),TABLAS!$B$52:$B$58,0)+1,7))+MAX(DATOS!$C$70,INDEX(TABLAS!$C$52:$C$58,MIN(MATCH(MAX(4,DATOS!$C$72),TABLAS!$B$52:$B$58,0)+1,7))))))),INDEX(TABLAS!$B$52:$B$58,MIN(MATCH(MAX(4,DATOS!$C$72),TABLAS!$B$52:$B$58,0)+1,7)),IF(AND(BU39&gt;=0,IF(MAX(DATOS!$C$74,CEILING(BU39/INDEX(TABLAS!$D$52:$D$58,MIN(MATCH(MAX(4,DATOS!$C$72),TABLAS!$B$52:$B$58,0)+2,7)),1))*INDEX(TABLAS!$D$52:$D$58,MIN(MATCH(MAX(4,DATOS!$C$72),TABLAS!$B$52:$B$58,0)+2,7)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+2,7)),1)),MAX(MAX(DATOS!$C$74,CEILING(BU39/INDEX(TABLAS!$D$52:$D$58,MIN(MATCH(MAX(4,DATOS!$C$72),TABLAS!$B$52:$B$58,0)+2,7)),1)),2))&lt;=MIN(DATOS!$C$73,INT(((AD39-2*AL39)+MAX(DATOS!$C$70,INDEX(TABLAS!$C$52:$C$58,MIN(MATCH(MAX(4,DATOS!$C$72),TABLAS!$B$52:$B$58,0)+2,7))))/(INDEX(TABLAS!$C$52:$C$58,MIN(MATCH(MAX(4,DATOS!$C$72),TABLAS!$B$52:$B$58,0)+2,7))+MAX(DATOS!$C$70,INDEX(TABLAS!$C$52:$C$58,MIN(MATCH(MAX(4,DATOS!$C$72),TABLAS!$B$52:$B$58,0)+2,7))))))),INDEX(TABLAS!$B$52:$B$58,MIN(MATCH(MAX(4,DATOS!$C$72),TABLAS!$B$52:$B$58,0)+2,7)),IF(AND(BU39&gt;=0,IF(MAX(DATOS!$C$74,CEILING(BU39/INDEX(TABLAS!$D$52:$D$58,MIN(MATCH(MAX(4,DATOS!$C$72),TABLAS!$B$52:$B$58,0)+3,7)),1))*INDEX(TABLAS!$D$52:$D$58,MIN(MATCH(MAX(4,DATOS!$C$72),TABLAS!$B$52:$B$58,0)+3,7)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+3,7)),1)),MAX(MAX(DATOS!$C$74,CEILING(BU39/INDEX(TABLAS!$D$52:$D$58,MIN(MATCH(MAX(4,DATOS!$C$72),TABLAS!$B$52:$B$58,0)+3,7)),1)),2))&lt;=MIN(DATOS!$C$73,INT(((AD39-2*AL39)+MAX(DATOS!$C$70,INDEX(TABLAS!$C$52:$C$58,MIN(MATCH(MAX(4,DATOS!$C$72),TABLAS!$B$52:$B$58,0)+3,7))))/(INDEX(TABLAS!$C$52:$C$58,MIN(MATCH(MAX(4,DATOS!$C$72),TABLAS!$B$52:$B$58,0)+3,7))+MAX(DATOS!$C$70,INDEX(TABLAS!$C$52:$C$58,MIN(MATCH(MAX(4,DATOS!$C$72),TABLAS!$B$52:$B$58,0)+3,7))))))),INDEX(TABLAS!$B$52:$B$58,MIN(MATCH(MAX(4,DATOS!$C$72),TABLAS!$B$52:$B$58,0)+3,7)),IF(AND(BU39&gt;=0,IF(MAX(DATOS!$C$74,CEILING(BU39/INDEX(TABLAS!$D$52:$D$58,MIN(MATCH(MAX(4,DATOS!$C$72),TABLAS!$B$52:$B$58,0)+4,7)),1))*INDEX(TABLAS!$D$52:$D$58,MIN(MATCH(MAX(4,DATOS!$C$72),TABLAS!$B$52:$B$58,0)+4,7)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+4,7)),1)),MAX(MAX(DATOS!$C$74,CEILING(BU39/INDEX(TABLAS!$D$52:$D$58,MIN(MATCH(MAX(4,DATOS!$C$72),TABLAS!$B$52:$B$58,0)+4,7)),1)),2))&lt;=MIN(DATOS!$C$73,INT(((AD39-2*AL39)+MAX(DATOS!$C$70,INDEX(TABLAS!$C$52:$C$58,MIN(MATCH(MAX(4,DATOS!$C$72),TABLAS!$B$52:$B$58,0)+4,7))))/(INDEX(TABLAS!$C$52:$C$58,MIN(MATCH(MAX(4,DATOS!$C$72),TABLAS!$B$52:$B$58,0)+4,7))+MAX(DATOS!$C$70,INDEX(TABLAS!$C$52:$C$58,MIN(MATCH(MAX(4,DATOS!$C$72),TABLAS!$B$52:$B$58,0)+4,7))))))),INDEX(TABLAS!$B$52:$B$58,MIN(MATCH(MAX(4,DATOS!$C$72),TABLAS!$B$52:$B$58,0)+4,7)),INDEX(TABLAS!$B$52:$B$58,7)))))))</f>
        <v/>
      </c>
      <c r="BW39" s="59" t="str">
        <f>IF(V39&lt;&gt;"SÍ","",IF(BU39&lt;0,0,IF(MAX(DATOS!$C$74,CEILING(MAX(BU39,0)/INDEX(TABLAS!$D$52:$D$58,MATCH(BV39,TABLAS!$B$52:$B$58,0)),1))*INDEX(TABLAS!$D$52:$D$58,MATCH(BV39,TABLAS!$B$52:$B$58,0))&gt;=4/3*IF(BH39&lt;=0,0,IF((1-2*BH39*1E5/(DATOS!$C$29*AF39*BT39^2*DATOS!$C$21))&lt;0,-1,IF((1-SQRT((1-2*BH39*1E5/(DATOS!$C$29*AF39*BT39^2*DATOS!$C$21))))*DATOS!$C$21*AF39*BT39/DATOS!$C$14&gt;DATOS!$C$102*AF39*BT39,-1,(1-SQRT((1-2*BH39*1E5/(DATOS!$C$29*AF39*BT39^2*DATOS!$C$21))))*DATOS!$C$21*AF39*BT39/DATOS!$C$14)))-0.0001,MAX(DATOS!$C$74,CEILING(MAX(BU39,0)/INDEX(TABLAS!$D$52:$D$58,MATCH(BV39,TABLAS!$B$52:$B$58,0)),1)),MAX(MAX(DATOS!$C$74,CEILING(MAX(BU39,0)/INDEX(TABLAS!$D$52:$D$58,MATCH(BV39,TABLAS!$B$52:$B$58,0)),1)),2))))</f>
        <v/>
      </c>
      <c r="BX39" s="58" t="str">
        <f>IF(V39&lt;&gt;"SÍ","",((DATOS!$C$85-AM39-2*DATOS!$C$97-INDEX(TABLAS!$C$52:$C$58,MATCH(BV39,TABLAS!$B$52:$B$58,0))/2)-IF(AND((DATOS!$C$85-AM39-2*DATOS!$C$97-INDEX(TABLAS!$C$52:$C$58,MATCH(BV39,TABLAS!$B$52:$B$58,0))/2)&lt;=20,DATOS!$C$65&lt;&gt;"SÍ"),2,0)))</f>
        <v/>
      </c>
      <c r="BY39" s="56" t="str">
        <f>IF(V39&lt;&gt;"SÍ","",IF(BW39=0,0,DATOS!$C$29*BW39*INDEX(TABLAS!$D$52:$D$58,MATCH(BV39,TABLAS!$B$52:$B$58,0))*DATOS!$C$14*(BX39-BW39*INDEX(TABLAS!$D$52:$D$58,MATCH(BV39,TABLAS!$B$52:$B$58,0))*DATOS!$C$14/(DATOS!$C$21*AF39)/2)/1E5))</f>
        <v/>
      </c>
      <c r="BZ39" s="65" t="str">
        <f>IF(V39&lt;&gt;"SÍ","",IF(BU39&lt;0,9.99,IF(BY39&gt;0,BH39/BY39,0)))</f>
        <v/>
      </c>
      <c r="CA39" s="66" t="str">
        <f>IF(V39&lt;&gt;"SÍ","",IF(BW39=0,"—",0.003*(BX39-(BW39*INDEX(TABLAS!$D$52:$D$58,MATCH(BV39,TABLAS!$B$52:$B$58,0))*DATOS!$C$14/(DATOS!$C$21*AF39)/DATOS!$C$22))/(BW39*INDEX(TABLAS!$D$52:$D$58,MATCH(BV39,TABLAS!$B$52:$B$58,0))*DATOS!$C$14/(DATOS!$C$21*AF39)/DATOS!$C$22)))</f>
        <v/>
      </c>
      <c r="CB39" s="58" t="str">
        <f>IF(V39&lt;&gt;"SÍ","",(DATOS!$C$85-AK39-INDEX(TABLAS!$C$52:$C$58,MATCH(MAX(4,DATOS!$C$71),TABLAS!$B$52:$B$58,0))-INDEX(TABLAS!$C$52:$C$58,MATCH(MAX(4,DATOS!$C$71),TABLAS!$B$52:$B$58,0))/2))</f>
        <v/>
      </c>
      <c r="CC39" s="58" t="str">
        <f>IF(V39&lt;&gt;"SÍ","",IF(IF(BI39&lt;=0,0,IF((1-2*BI39*1E5/(DATOS!$C$29*AI39*CB39^2*DATOS!$C$21))&lt;0,-1,IF((1-SQRT((1-2*BI39*1E5/(DATOS!$C$29*AI39*CB39^2*DATOS!$C$21))))*DATOS!$C$21*AI39*CB39/DATOS!$C$14&gt;DATOS!$C$102*AI39*CB39,-1,(1-SQRT((1-2*BI39*1E5/(DATOS!$C$29*AI39*CB39^2*DATOS!$C$21))))*DATOS!$C$21*AI39*CB39/DATOS!$C$14)))&lt;0,-1,MAX(IF(BI39&lt;=0,0,IF((1-2*BI39*1E5/(DATOS!$C$29*AI39*CB39^2*DATOS!$C$21))&lt;0,-1,IF((1-SQRT((1-2*BI39*1E5/(DATOS!$C$29*AI39*CB39^2*DATOS!$C$21))))*DATOS!$C$21*AI39*CB39/DATOS!$C$14&gt;DATOS!$C$102*AI39*CB39,-1,(1-SQRT((1-2*BI39*1E5/(DATOS!$C$29*AI39*CB39^2*DATOS!$C$21))))*DATOS!$C$21*AI39*CB39/DATOS!$C$14))),MIN(DATOS!$C$103*DATOS!$C$83*CB39,4/3*IF(BI39&lt;=0,0,IF((1-2*BI39*1E5/(DATOS!$C$29*AI39*CB39^2*DATOS!$C$21))&lt;0,-1,IF((1-SQRT((1-2*BI39*1E5/(DATOS!$C$29*AI39*CB39^2*DATOS!$C$21))))*DATOS!$C$21*AI39*CB39/DATOS!$C$14&gt;DATOS!$C$102*AI39*CB39,-1,(1-SQRT((1-2*BI39*1E5/(DATOS!$C$29*AI39*CB39^2*DATOS!$C$21))))*DATOS!$C$21*AI39*CB39/DATOS!$C$14)))))))</f>
        <v/>
      </c>
      <c r="CD39" s="64" t="str">
        <f>IF(V39&lt;&gt;"SÍ","",IF(AND(CC39&gt;=0,IF(MAX(DATOS!$C$74,CEILING(CC39/INDEX(TABLAS!$D$52:$D$58,MIN(MATCH(MAX(4,DATOS!$C$71),TABLAS!$B$52:$B$58,0)+0,7)),1))*INDEX(TABLAS!$D$52:$D$58,MIN(MATCH(MAX(4,DATOS!$C$71),TABLAS!$B$52:$B$58,0)+0,7)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+0,7)),1)),MAX(MAX(DATOS!$C$74,CEILING(CC39/INDEX(TABLAS!$D$52:$D$58,MIN(MATCH(MAX(4,DATOS!$C$71),TABLAS!$B$52:$B$58,0)+0,7)),1)),2))&lt;=MIN(DATOS!$C$73,INT(((DATOS!$C$83-2*AK39)+MAX(DATOS!$C$70,INDEX(TABLAS!$C$52:$C$58,MIN(MATCH(MAX(4,DATOS!$C$71),TABLAS!$B$52:$B$58,0)+0,7))))/(INDEX(TABLAS!$C$52:$C$58,MIN(MATCH(MAX(4,DATOS!$C$71),TABLAS!$B$52:$B$58,0)+0,7))+MAX(DATOS!$C$70,INDEX(TABLAS!$C$52:$C$58,MIN(MATCH(MAX(4,DATOS!$C$71),TABLAS!$B$52:$B$58,0)+0,7))))))),INDEX(TABLAS!$B$52:$B$58,MIN(MATCH(MAX(4,DATOS!$C$71),TABLAS!$B$52:$B$58,0)+0,7)),IF(AND(CC39&gt;=0,IF(MAX(DATOS!$C$74,CEILING(CC39/INDEX(TABLAS!$D$52:$D$58,MIN(MATCH(MAX(4,DATOS!$C$71),TABLAS!$B$52:$B$58,0)+1,7)),1))*INDEX(TABLAS!$D$52:$D$58,MIN(MATCH(MAX(4,DATOS!$C$71),TABLAS!$B$52:$B$58,0)+1,7)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+1,7)),1)),MAX(MAX(DATOS!$C$74,CEILING(CC39/INDEX(TABLAS!$D$52:$D$58,MIN(MATCH(MAX(4,DATOS!$C$71),TABLAS!$B$52:$B$58,0)+1,7)),1)),2))&lt;=MIN(DATOS!$C$73,INT(((DATOS!$C$83-2*AK39)+MAX(DATOS!$C$70,INDEX(TABLAS!$C$52:$C$58,MIN(MATCH(MAX(4,DATOS!$C$71),TABLAS!$B$52:$B$58,0)+1,7))))/(INDEX(TABLAS!$C$52:$C$58,MIN(MATCH(MAX(4,DATOS!$C$71),TABLAS!$B$52:$B$58,0)+1,7))+MAX(DATOS!$C$70,INDEX(TABLAS!$C$52:$C$58,MIN(MATCH(MAX(4,DATOS!$C$71),TABLAS!$B$52:$B$58,0)+1,7))))))),INDEX(TABLAS!$B$52:$B$58,MIN(MATCH(MAX(4,DATOS!$C$71),TABLAS!$B$52:$B$58,0)+1,7)),IF(AND(CC39&gt;=0,IF(MAX(DATOS!$C$74,CEILING(CC39/INDEX(TABLAS!$D$52:$D$58,MIN(MATCH(MAX(4,DATOS!$C$71),TABLAS!$B$52:$B$58,0)+2,7)),1))*INDEX(TABLAS!$D$52:$D$58,MIN(MATCH(MAX(4,DATOS!$C$71),TABLAS!$B$52:$B$58,0)+2,7)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+2,7)),1)),MAX(MAX(DATOS!$C$74,CEILING(CC39/INDEX(TABLAS!$D$52:$D$58,MIN(MATCH(MAX(4,DATOS!$C$71),TABLAS!$B$52:$B$58,0)+2,7)),1)),2))&lt;=MIN(DATOS!$C$73,INT(((DATOS!$C$83-2*AK39)+MAX(DATOS!$C$70,INDEX(TABLAS!$C$52:$C$58,MIN(MATCH(MAX(4,DATOS!$C$71),TABLAS!$B$52:$B$58,0)+2,7))))/(INDEX(TABLAS!$C$52:$C$58,MIN(MATCH(MAX(4,DATOS!$C$71),TABLAS!$B$52:$B$58,0)+2,7))+MAX(DATOS!$C$70,INDEX(TABLAS!$C$52:$C$58,MIN(MATCH(MAX(4,DATOS!$C$71),TABLAS!$B$52:$B$58,0)+2,7))))))),INDEX(TABLAS!$B$52:$B$58,MIN(MATCH(MAX(4,DATOS!$C$71),TABLAS!$B$52:$B$58,0)+2,7)),IF(AND(CC39&gt;=0,IF(MAX(DATOS!$C$74,CEILING(CC39/INDEX(TABLAS!$D$52:$D$58,MIN(MATCH(MAX(4,DATOS!$C$71),TABLAS!$B$52:$B$58,0)+3,7)),1))*INDEX(TABLAS!$D$52:$D$58,MIN(MATCH(MAX(4,DATOS!$C$71),TABLAS!$B$52:$B$58,0)+3,7)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+3,7)),1)),MAX(MAX(DATOS!$C$74,CEILING(CC39/INDEX(TABLAS!$D$52:$D$58,MIN(MATCH(MAX(4,DATOS!$C$71),TABLAS!$B$52:$B$58,0)+3,7)),1)),2))&lt;=MIN(DATOS!$C$73,INT(((DATOS!$C$83-2*AK39)+MAX(DATOS!$C$70,INDEX(TABLAS!$C$52:$C$58,MIN(MATCH(MAX(4,DATOS!$C$71),TABLAS!$B$52:$B$58,0)+3,7))))/(INDEX(TABLAS!$C$52:$C$58,MIN(MATCH(MAX(4,DATOS!$C$71),TABLAS!$B$52:$B$58,0)+3,7))+MAX(DATOS!$C$70,INDEX(TABLAS!$C$52:$C$58,MIN(MATCH(MAX(4,DATOS!$C$71),TABLAS!$B$52:$B$58,0)+3,7))))))),INDEX(TABLAS!$B$52:$B$58,MIN(MATCH(MAX(4,DATOS!$C$71),TABLAS!$B$52:$B$58,0)+3,7)),IF(AND(CC39&gt;=0,IF(MAX(DATOS!$C$74,CEILING(CC39/INDEX(TABLAS!$D$52:$D$58,MIN(MATCH(MAX(4,DATOS!$C$71),TABLAS!$B$52:$B$58,0)+4,7)),1))*INDEX(TABLAS!$D$52:$D$58,MIN(MATCH(MAX(4,DATOS!$C$71),TABLAS!$B$52:$B$58,0)+4,7)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+4,7)),1)),MAX(MAX(DATOS!$C$74,CEILING(CC39/INDEX(TABLAS!$D$52:$D$58,MIN(MATCH(MAX(4,DATOS!$C$71),TABLAS!$B$52:$B$58,0)+4,7)),1)),2))&lt;=MIN(DATOS!$C$73,INT(((DATOS!$C$83-2*AK39)+MAX(DATOS!$C$70,INDEX(TABLAS!$C$52:$C$58,MIN(MATCH(MAX(4,DATOS!$C$71),TABLAS!$B$52:$B$58,0)+4,7))))/(INDEX(TABLAS!$C$52:$C$58,MIN(MATCH(MAX(4,DATOS!$C$71),TABLAS!$B$52:$B$58,0)+4,7))+MAX(DATOS!$C$70,INDEX(TABLAS!$C$52:$C$58,MIN(MATCH(MAX(4,DATOS!$C$71),TABLAS!$B$52:$B$58,0)+4,7))))))),INDEX(TABLAS!$B$52:$B$58,MIN(MATCH(MAX(4,DATOS!$C$71),TABLAS!$B$52:$B$58,0)+4,7)),INDEX(TABLAS!$B$52:$B$58,7)))))))</f>
        <v/>
      </c>
      <c r="CE39" s="59" t="str">
        <f>IF(V39&lt;&gt;"SÍ","",IF(CC39&lt;0,0,IF(MAX(DATOS!$C$74,CEILING(MAX(CC39,0)/INDEX(TABLAS!$D$52:$D$58,MATCH(CD39,TABLAS!$B$52:$B$58,0)),1))*INDEX(TABLAS!$D$52:$D$58,MATCH(CD39,TABLAS!$B$52:$B$58,0))&gt;=4/3*IF(BI39&lt;=0,0,IF((1-2*BI39*1E5/(DATOS!$C$29*AI39*CB39^2*DATOS!$C$21))&lt;0,-1,IF((1-SQRT((1-2*BI39*1E5/(DATOS!$C$29*AI39*CB39^2*DATOS!$C$21))))*DATOS!$C$21*AI39*CB39/DATOS!$C$14&gt;DATOS!$C$102*AI39*CB39,-1,(1-SQRT((1-2*BI39*1E5/(DATOS!$C$29*AI39*CB39^2*DATOS!$C$21))))*DATOS!$C$21*AI39*CB39/DATOS!$C$14)))-0.0001,MAX(DATOS!$C$74,CEILING(MAX(CC39,0)/INDEX(TABLAS!$D$52:$D$58,MATCH(CD39,TABLAS!$B$52:$B$58,0)),1)),MAX(MAX(DATOS!$C$74,CEILING(MAX(CC39,0)/INDEX(TABLAS!$D$52:$D$58,MATCH(CD39,TABLAS!$B$52:$B$58,0)),1)),2))))</f>
        <v/>
      </c>
      <c r="CF39" s="58" t="str">
        <f>IF(V39&lt;&gt;"SÍ","",DATOS!$C$85-AK39-INDEX(TABLAS!$C$52:$C$58,MATCH(BN39,TABLAS!$B$52:$B$58,0))-INDEX(TABLAS!$C$52:$C$58,MATCH(CD39,TABLAS!$B$52:$B$58,0))/2)</f>
        <v/>
      </c>
      <c r="CG39" s="56" t="str">
        <f>IF(V39&lt;&gt;"SÍ","",IF(CE39=0,0,DATOS!$C$29*CE39*INDEX(TABLAS!$D$52:$D$58,MATCH(CD39,TABLAS!$B$52:$B$58,0))*DATOS!$C$14*(CF39-CE39*INDEX(TABLAS!$D$52:$D$58,MATCH(CD39,TABLAS!$B$52:$B$58,0))*DATOS!$C$14/(DATOS!$C$21*AI39)/2)/1E5))</f>
        <v/>
      </c>
      <c r="CH39" s="65" t="str">
        <f>IF(V39&lt;&gt;"SÍ","",IF(CC39&lt;0,9.99,IF(CG39&gt;0,BI39/CG39,0)))</f>
        <v/>
      </c>
      <c r="CI39" s="66" t="str">
        <f>IF(V39&lt;&gt;"SÍ","",IF(CE39=0,"—",0.003*(CF39-(CE39*INDEX(TABLAS!$D$52:$D$58,MATCH(CD39,TABLAS!$B$52:$B$58,0))*DATOS!$C$14/(DATOS!$C$21*AI39)/DATOS!$C$22))/(CE39*INDEX(TABLAS!$D$52:$D$58,MATCH(CD39,TABLAS!$B$52:$B$58,0))*DATOS!$C$14/(DATOS!$C$21*AI39)/DATOS!$C$22)))</f>
        <v/>
      </c>
      <c r="CJ39" s="58" t="str">
        <f>IF(V39&lt;&gt;"SÍ","",((DATOS!$C$85-AM39-2*DATOS!$C$97-INDEX(TABLAS!$C$52:$C$58,MATCH(MAX(4,DATOS!$C$72),TABLAS!$B$52:$B$58,0))-INDEX(TABLAS!$C$52:$C$58,MATCH(MAX(4,DATOS!$C$72),TABLAS!$B$52:$B$58,0))/2)-IF(AND((DATOS!$C$85-AM39-2*DATOS!$C$97-INDEX(TABLAS!$C$52:$C$58,MATCH(MAX(4,DATOS!$C$72),TABLAS!$B$52:$B$58,0))-INDEX(TABLAS!$C$52:$C$58,MATCH(MAX(4,DATOS!$C$72),TABLAS!$B$52:$B$58,0))/2)&lt;=20,DATOS!$C$65&lt;&gt;"SÍ"),2,0)))</f>
        <v/>
      </c>
      <c r="CK39" s="58" t="str">
        <f>IF(V39&lt;&gt;"SÍ","",IF(IF(BJ39&lt;=0,0,IF((1-2*BJ39*1E5/(DATOS!$C$29*AG39*CJ39^2*DATOS!$C$21))&lt;0,-1,IF((1-SQRT((1-2*BJ39*1E5/(DATOS!$C$29*AG39*CJ39^2*DATOS!$C$21))))*DATOS!$C$21*AG39*CJ39/DATOS!$C$14&gt;DATOS!$C$102*AG39*CJ39,-1,(1-SQRT((1-2*BJ39*1E5/(DATOS!$C$29*AG39*CJ39^2*DATOS!$C$21))))*DATOS!$C$21*AG39*CJ39/DATOS!$C$14)))&lt;0,-1,MAX(IF(BJ39&lt;=0,0,IF((1-2*BJ39*1E5/(DATOS!$C$29*AG39*CJ39^2*DATOS!$C$21))&lt;0,-1,IF((1-SQRT((1-2*BJ39*1E5/(DATOS!$C$29*AG39*CJ39^2*DATOS!$C$21))))*DATOS!$C$21*AG39*CJ39/DATOS!$C$14&gt;DATOS!$C$102*AG39*CJ39,-1,(1-SQRT((1-2*BJ39*1E5/(DATOS!$C$29*AG39*CJ39^2*DATOS!$C$21))))*DATOS!$C$21*AG39*CJ39/DATOS!$C$14))),MIN(DATOS!$C$103*DATOS!$C$83*CJ39,4/3*IF(BJ39&lt;=0,0,IF((1-2*BJ39*1E5/(DATOS!$C$29*AG39*CJ39^2*DATOS!$C$21))&lt;0,-1,IF((1-SQRT((1-2*BJ39*1E5/(DATOS!$C$29*AG39*CJ39^2*DATOS!$C$21))))*DATOS!$C$21*AG39*CJ39/DATOS!$C$14&gt;DATOS!$C$102*AG39*CJ39,-1,(1-SQRT((1-2*BJ39*1E5/(DATOS!$C$29*AG39*CJ39^2*DATOS!$C$21))))*DATOS!$C$21*AG39*CJ39/DATOS!$C$14)))))))</f>
        <v/>
      </c>
      <c r="CL39" s="64" t="str">
        <f>IF(V39&lt;&gt;"SÍ","",IF(AND(CK39&gt;=0,IF(MAX(DATOS!$C$74,CEILING(CK39/INDEX(TABLAS!$D$52:$D$58,MIN(MATCH(MAX(4,DATOS!$C$72),TABLAS!$B$52:$B$58,0)+0,7)),1))*INDEX(TABLAS!$D$52:$D$58,MIN(MATCH(MAX(4,DATOS!$C$72),TABLAS!$B$52:$B$58,0)+0,7)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+0,7)),1)),MAX(MAX(DATOS!$C$74,CEILING(CK39/INDEX(TABLAS!$D$52:$D$58,MIN(MATCH(MAX(4,DATOS!$C$72),TABLAS!$B$52:$B$58,0)+0,7)),1)),2))&lt;=MIN(DATOS!$C$73,INT(((DATOS!$C$83-2*AL39)+MAX(DATOS!$C$70,INDEX(TABLAS!$C$52:$C$58,MIN(MATCH(MAX(4,DATOS!$C$72),TABLAS!$B$52:$B$58,0)+0,7))))/(INDEX(TABLAS!$C$52:$C$58,MIN(MATCH(MAX(4,DATOS!$C$72),TABLAS!$B$52:$B$58,0)+0,7))+MAX(DATOS!$C$70,INDEX(TABLAS!$C$52:$C$58,MIN(MATCH(MAX(4,DATOS!$C$72),TABLAS!$B$52:$B$58,0)+0,7))))))),INDEX(TABLAS!$B$52:$B$58,MIN(MATCH(MAX(4,DATOS!$C$72),TABLAS!$B$52:$B$58,0)+0,7)),IF(AND(CK39&gt;=0,IF(MAX(DATOS!$C$74,CEILING(CK39/INDEX(TABLAS!$D$52:$D$58,MIN(MATCH(MAX(4,DATOS!$C$72),TABLAS!$B$52:$B$58,0)+1,7)),1))*INDEX(TABLAS!$D$52:$D$58,MIN(MATCH(MAX(4,DATOS!$C$72),TABLAS!$B$52:$B$58,0)+1,7)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+1,7)),1)),MAX(MAX(DATOS!$C$74,CEILING(CK39/INDEX(TABLAS!$D$52:$D$58,MIN(MATCH(MAX(4,DATOS!$C$72),TABLAS!$B$52:$B$58,0)+1,7)),1)),2))&lt;=MIN(DATOS!$C$73,INT(((DATOS!$C$83-2*AL39)+MAX(DATOS!$C$70,INDEX(TABLAS!$C$52:$C$58,MIN(MATCH(MAX(4,DATOS!$C$72),TABLAS!$B$52:$B$58,0)+1,7))))/(INDEX(TABLAS!$C$52:$C$58,MIN(MATCH(MAX(4,DATOS!$C$72),TABLAS!$B$52:$B$58,0)+1,7))+MAX(DATOS!$C$70,INDEX(TABLAS!$C$52:$C$58,MIN(MATCH(MAX(4,DATOS!$C$72),TABLAS!$B$52:$B$58,0)+1,7))))))),INDEX(TABLAS!$B$52:$B$58,MIN(MATCH(MAX(4,DATOS!$C$72),TABLAS!$B$52:$B$58,0)+1,7)),IF(AND(CK39&gt;=0,IF(MAX(DATOS!$C$74,CEILING(CK39/INDEX(TABLAS!$D$52:$D$58,MIN(MATCH(MAX(4,DATOS!$C$72),TABLAS!$B$52:$B$58,0)+2,7)),1))*INDEX(TABLAS!$D$52:$D$58,MIN(MATCH(MAX(4,DATOS!$C$72),TABLAS!$B$52:$B$58,0)+2,7)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+2,7)),1)),MAX(MAX(DATOS!$C$74,CEILING(CK39/INDEX(TABLAS!$D$52:$D$58,MIN(MATCH(MAX(4,DATOS!$C$72),TABLAS!$B$52:$B$58,0)+2,7)),1)),2))&lt;=MIN(DATOS!$C$73,INT(((DATOS!$C$83-2*AL39)+MAX(DATOS!$C$70,INDEX(TABLAS!$C$52:$C$58,MIN(MATCH(MAX(4,DATOS!$C$72),TABLAS!$B$52:$B$58,0)+2,7))))/(INDEX(TABLAS!$C$52:$C$58,MIN(MATCH(MAX(4,DATOS!$C$72),TABLAS!$B$52:$B$58,0)+2,7))+MAX(DATOS!$C$70,INDEX(TABLAS!$C$52:$C$58,MIN(MATCH(MAX(4,DATOS!$C$72),TABLAS!$B$52:$B$58,0)+2,7))))))),INDEX(TABLAS!$B$52:$B$58,MIN(MATCH(MAX(4,DATOS!$C$72),TABLAS!$B$52:$B$58,0)+2,7)),IF(AND(CK39&gt;=0,IF(MAX(DATOS!$C$74,CEILING(CK39/INDEX(TABLAS!$D$52:$D$58,MIN(MATCH(MAX(4,DATOS!$C$72),TABLAS!$B$52:$B$58,0)+3,7)),1))*INDEX(TABLAS!$D$52:$D$58,MIN(MATCH(MAX(4,DATOS!$C$72),TABLAS!$B$52:$B$58,0)+3,7)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+3,7)),1)),MAX(MAX(DATOS!$C$74,CEILING(CK39/INDEX(TABLAS!$D$52:$D$58,MIN(MATCH(MAX(4,DATOS!$C$72),TABLAS!$B$52:$B$58,0)+3,7)),1)),2))&lt;=MIN(DATOS!$C$73,INT(((DATOS!$C$83-2*AL39)+MAX(DATOS!$C$70,INDEX(TABLAS!$C$52:$C$58,MIN(MATCH(MAX(4,DATOS!$C$72),TABLAS!$B$52:$B$58,0)+3,7))))/(INDEX(TABLAS!$C$52:$C$58,MIN(MATCH(MAX(4,DATOS!$C$72),TABLAS!$B$52:$B$58,0)+3,7))+MAX(DATOS!$C$70,INDEX(TABLAS!$C$52:$C$58,MIN(MATCH(MAX(4,DATOS!$C$72),TABLAS!$B$52:$B$58,0)+3,7))))))),INDEX(TABLAS!$B$52:$B$58,MIN(MATCH(MAX(4,DATOS!$C$72),TABLAS!$B$52:$B$58,0)+3,7)),IF(AND(CK39&gt;=0,IF(MAX(DATOS!$C$74,CEILING(CK39/INDEX(TABLAS!$D$52:$D$58,MIN(MATCH(MAX(4,DATOS!$C$72),TABLAS!$B$52:$B$58,0)+4,7)),1))*INDEX(TABLAS!$D$52:$D$58,MIN(MATCH(MAX(4,DATOS!$C$72),TABLAS!$B$52:$B$58,0)+4,7)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+4,7)),1)),MAX(MAX(DATOS!$C$74,CEILING(CK39/INDEX(TABLAS!$D$52:$D$58,MIN(MATCH(MAX(4,DATOS!$C$72),TABLAS!$B$52:$B$58,0)+4,7)),1)),2))&lt;=MIN(DATOS!$C$73,INT(((DATOS!$C$83-2*AL39)+MAX(DATOS!$C$70,INDEX(TABLAS!$C$52:$C$58,MIN(MATCH(MAX(4,DATOS!$C$72),TABLAS!$B$52:$B$58,0)+4,7))))/(INDEX(TABLAS!$C$52:$C$58,MIN(MATCH(MAX(4,DATOS!$C$72),TABLAS!$B$52:$B$58,0)+4,7))+MAX(DATOS!$C$70,INDEX(TABLAS!$C$52:$C$58,MIN(MATCH(MAX(4,DATOS!$C$72),TABLAS!$B$52:$B$58,0)+4,7))))))),INDEX(TABLAS!$B$52:$B$58,MIN(MATCH(MAX(4,DATOS!$C$72),TABLAS!$B$52:$B$58,0)+4,7)),INDEX(TABLAS!$B$52:$B$58,7)))))))</f>
        <v/>
      </c>
      <c r="CM39" s="59" t="str">
        <f>IF(V39&lt;&gt;"SÍ","",IF(CK39&lt;0,0,IF(MAX(DATOS!$C$74,CEILING(MAX(CK39,0)/INDEX(TABLAS!$D$52:$D$58,MATCH(CL39,TABLAS!$B$52:$B$58,0)),1))*INDEX(TABLAS!$D$52:$D$58,MATCH(CL39,TABLAS!$B$52:$B$58,0))&gt;=4/3*IF(BJ39&lt;=0,0,IF((1-2*BJ39*1E5/(DATOS!$C$29*AG39*CJ39^2*DATOS!$C$21))&lt;0,-1,IF((1-SQRT((1-2*BJ39*1E5/(DATOS!$C$29*AG39*CJ39^2*DATOS!$C$21))))*DATOS!$C$21*AG39*CJ39/DATOS!$C$14&gt;DATOS!$C$102*AG39*CJ39,-1,(1-SQRT((1-2*BJ39*1E5/(DATOS!$C$29*AG39*CJ39^2*DATOS!$C$21))))*DATOS!$C$21*AG39*CJ39/DATOS!$C$14)))-0.0001,MAX(DATOS!$C$74,CEILING(MAX(CK39,0)/INDEX(TABLAS!$D$52:$D$58,MATCH(CL39,TABLAS!$B$52:$B$58,0)),1)),MAX(MAX(DATOS!$C$74,CEILING(MAX(CK39,0)/INDEX(TABLAS!$D$52:$D$58,MATCH(CL39,TABLAS!$B$52:$B$58,0)),1)),2))))</f>
        <v/>
      </c>
      <c r="CN39" s="58" t="str">
        <f>IF(V39&lt;&gt;"SÍ","",((DATOS!$C$85-AM39-2*DATOS!$C$97-INDEX(TABLAS!$C$52:$C$58,MATCH(BV39,TABLAS!$B$52:$B$58,0))-INDEX(TABLAS!$C$52:$C$58,MATCH(CL39,TABLAS!$B$52:$B$58,0))/2)-IF(AND((DATOS!$C$85-AM39-2*DATOS!$C$97-INDEX(TABLAS!$C$52:$C$58,MATCH(BV39,TABLAS!$B$52:$B$58,0))-INDEX(TABLAS!$C$52:$C$58,MATCH(CL39,TABLAS!$B$52:$B$58,0))/2)&lt;=20,DATOS!$C$65&lt;&gt;"SÍ"),2,0)))</f>
        <v/>
      </c>
      <c r="CO39" s="56" t="str">
        <f>IF(V39&lt;&gt;"SÍ","",IF(CM39=0,0,DATOS!$C$29*CM39*INDEX(TABLAS!$D$52:$D$58,MATCH(CL39,TABLAS!$B$52:$B$58,0))*DATOS!$C$14*(CN39-CM39*INDEX(TABLAS!$D$52:$D$58,MATCH(CL39,TABLAS!$B$52:$B$58,0))*DATOS!$C$14/(DATOS!$C$21*AG39)/2)/1E5))</f>
        <v/>
      </c>
      <c r="CP39" s="65" t="str">
        <f>IF(V39&lt;&gt;"SÍ","",IF(CK39&lt;0,9.99,IF(CO39&gt;0,BJ39/CO39,0)))</f>
        <v/>
      </c>
      <c r="CQ39" s="66" t="str">
        <f>IF(V39&lt;&gt;"SÍ","",IF(CM39=0,"—",0.003*(CN39-(CM39*INDEX(TABLAS!$D$52:$D$58,MATCH(CL39,TABLAS!$B$52:$B$58,0))*DATOS!$C$14/(DATOS!$C$21*AG39)/DATOS!$C$22))/(CM39*INDEX(TABLAS!$D$52:$D$58,MATCH(CL39,TABLAS!$B$52:$B$58,0))*DATOS!$C$14/(DATOS!$C$21*AG39)/DATOS!$C$22)))</f>
        <v/>
      </c>
      <c r="CR39" s="56" t="str">
        <f>IF(V39&lt;&gt;"SÍ","",IF(C39="PERIMETRAL",MAX(0,(AB39/2-BX39)/100)*(0.95-0.5*AA39)*AR39*IF(AND(AS39&gt;0,AS39&lt;4),DATOS!$C$33,1)*DATOS!$C$86/100/1000,(AR39*MAX(0,AB39-BX39)/100+DATOS!$C$26*N(O39))*DATOS!$C$86/100/1000+BF39))</f>
        <v/>
      </c>
      <c r="CS39" s="56" t="str">
        <f>IF(V39&lt;&gt;"SÍ","",DATOS!$C$30*2*MIN(1,SQRT(2/(1+0.04*BX39)))*(BW39*INDEX(TABLAS!$D$52:$D$58,MATCH(BV39,TABLAS!$B$52:$B$58,0))/(AF39*BX39))^(1/3)*SQRT(DATOS!$C$13)*AF39*BX39*IF(AJ39="SÍ",DATOS!$C$32,1)/1000)</f>
        <v/>
      </c>
      <c r="CT39" s="59" t="str">
        <f>IF(V39&lt;&gt;"SÍ","",IF(CR39&lt;=CS39,0,CEILING(MAX(0,IF(C39="VOLADO",(AB39-((CS39-BF39)*1E5/DATOS!$C$86-DATOS!$C$26*N(O39))*100/AR39),IF(CS39&lt;=0,AB39,AB39/2-CS39/MAX(CR39,1E-9)*(AB39/2-BX39)))-IF(X39="X",MIN(DJ39,DK39),MIN(DL39,DM39)))/DATOS!$C$86,1)))</f>
        <v/>
      </c>
      <c r="CU39" s="67" t="str">
        <f>IF(V39&lt;&gt;"SÍ","",IF(CR39&lt;=CS39,"CUMPLE",IF(CT39&lt;=0,"CUMPLE (basta el macizo de orilla)",IF(CT39*DATOS!$C$86*IF(C39="VOLADO",1,2)&gt;=Y39*100-DATOS!$C$87,"NO CUMPLE: no alcanza ni macizando todo","MACIZAR "&amp;CT39&amp;" hilera(s)"))))</f>
        <v/>
      </c>
      <c r="CV39" s="58" t="str">
        <f>IF(V39&lt;&gt;"SÍ","",(DATOS!$C$86*DATOS!$C$84^2/2+MIN(DATOS!$C$83,AD39)*DATOS!$C$82*(DATOS!$C$84+DATOS!$C$82/2))/(DATOS!$C$86*DATOS!$C$84+MIN(DATOS!$C$83,AD39)*DATOS!$C$82))</f>
        <v/>
      </c>
      <c r="CW39" s="68" t="str">
        <f>IF(V39&lt;&gt;"SÍ","",DATOS!$C$86*DATOS!$C$84^3/12+DATOS!$C$86*DATOS!$C$84*(CV39-DATOS!$C$84/2)^2+MIN(DATOS!$C$83,AD39)*DATOS!$C$82^3/12+MIN(DATOS!$C$83,AD39)*DATOS!$C$82*(DATOS!$C$84+DATOS!$C$82/2-CV39)^2)</f>
        <v/>
      </c>
      <c r="CX39" s="58" t="str">
        <f>IF(V39&lt;&gt;"SÍ","",(12*CW39/DATOS!$C$86)^(1/3))</f>
        <v/>
      </c>
      <c r="CY39" s="58" t="str">
        <f>IF(V39&lt;&gt;"SÍ","",IF(C39="PERIMETRAL",IF(ISNUMBER(S39),S39,DATOS!$C$104),0))</f>
        <v/>
      </c>
      <c r="CZ39" s="57" t="str">
        <f>IF(V39&lt;&gt;"SÍ","",IF(C39="PERIMETRAL",IF(CY39&gt;2,MAX(9,AC39*(0.8+DATOS!$C$14/14000)/(36+9*(AC39/MAX(AB39,1)))),IF(CY39&gt;0.2,MAX(13,AC39*(0.8+DATOS!$C$14/14000)/(36+5*(AC39/MAX(AB39,1))*(CY39-0.2))),MAX(13,AC39/IF(AS39&gt;0,30,33))))*IF(AND(CY39&gt;0.2,AS39&gt;0,DATOS!$C$105="NO"),1.1,1),MAX(25,Y39*100/8*(0.4+DATOS!$C$14/7000))))</f>
        <v/>
      </c>
      <c r="DA39" s="61" t="str">
        <f>IF(V39&lt;&gt;"SÍ","",IF(IF(C39="VOLADO",DATOS!$C$85,CX39)&gt;=CZ39,"CUMPLE",IF(C39="VOLADO","NO CUMPLE","CALCULAR FLECHA")))</f>
        <v/>
      </c>
      <c r="DB39" s="55" t="str">
        <f>IF(V39&lt;&gt;"SÍ","",IF(DATOS!$C$84&gt;=IF(IF(C39="VOLADO",Y39,Z39)&gt;=6,6,5),"CUMPLE","CAPA ≥ 6 cm"))</f>
        <v/>
      </c>
      <c r="DC39" s="60" t="str">
        <f>IF(V39&lt;&gt;"SÍ","",IF(C39="VOLADO",MIN(FLOOR(IF(ISNUMBER(P39),P39,Y39)*100-DATOS!$C$63,5),CEILING(MAX(IF((0.5*(0.9*DATOS!$C$90*DATOS!$C$86/100/1000)*IF(ISNUMBER(P39),P39,Y39)+BH39/IF(ISNUMBER(P39),P39,Y39))^2-4*(0.5*(0.9*DATOS!$C$90*DATOS!$C$86/100/1000))*BH39&lt;0,IF(ISNUMBER(P39),P39,Y39),MIN(IF(ISNUMBER(P39),P39,Y39),((0.5*(0.9*DATOS!$C$90*DATOS!$C$86/100/1000)*IF(ISNUMBER(P39),P39,Y39)+BH39/IF(ISNUMBER(P39),P39,Y39))-SQRT((0.5*(0.9*DATOS!$C$90*DATOS!$C$86/100/1000)*IF(ISNUMBER(P39),P39,Y39)+BH39/IF(ISNUMBER(P39),P39,Y39))^2-4*(0.5*(0.9*DATOS!$C$90*DATOS!$C$86/100/1000))*BH39))/(2*(0.5*(0.9*DATOS!$C$90*DATOS!$C$86/100/1000)))))*100+MAX(BX39,12*INDEX(TABLAS!$C$52:$C$58,MATCH(BV39,TABLAS!$B$52:$B$58,0)),IF(ISNUMBER(P39),P39,Y39)*100/16),IF(OR(AL39&lt;INDEX(TABLAS!$C$52:$C$58,MATCH(BV39,TABLAS!$B$52:$B$58,0)),AND(BW39&gt;=2,(AD39-2*AL39-BW39*INDEX(TABLAS!$C$52:$C$58,MATCH(BV39,TABLAS!$B$52:$B$58,0)))/MAX(BW39-1,1)&lt;2*INDEX(TABLAS!$C$52:$C$58,MATCH(BV39,TABLAS!$B$52:$B$58,0)))),INDEX(TABLAS!$I$52:$I$58,MATCH(BV39,TABLAS!$B$52:$B$58,0)),INDEX(TABLAS!$F$52:$F$58,MATCH(BV39,TABLAS!$B$52:$B$58,0)))),5)),IF(((4*((BC39*AR39*Y39^2*1E-4*DATOS!$C$86/100/1000)+((MAX(AY39,BA39)*AR39*Y39^2*1E-4*DATOS!$C$86/100/1000)+(IF(AND(AY39&gt;0,BA39&gt;0),MIN(AY39,BA39),MAX(AY39,BA39))*AR39*Y39^2*1E-4*DATOS!$C$86/100/1000))/2)+BH39-(IF(AND(AY39&gt;0,BA39&gt;0),MIN(AY39,BA39),MAX(AY39,BA39))*AR39*Y39^2*1E-4*DATOS!$C$86/100/1000))^2-16*((BC39*AR39*Y39^2*1E-4*DATOS!$C$86/100/1000)+((MAX(AY39,BA39)*AR39*Y39^2*1E-4*DATOS!$C$86/100/1000)+(IF(AND(AY39&gt;0,BA39&gt;0),MIN(AY39,BA39),MAX(AY39,BA39))*AR39*Y39^2*1E-4*DATOS!$C$86/100/1000))/2)*BH39)&lt;0,CEILING(AB39,5),CEILING(MAX(AB39*((4*((BC39*AR39*Y39^2*1E-4*DATOS!$C$86/100/1000)+((MAX(AY39,BA39)*AR39*Y39^2*1E-4*DATOS!$C$86/100/1000)+(IF(AND(AY39&gt;0,BA39&gt;0),MIN(AY39,BA39),MAX(AY39,BA39))*AR39*Y39^2*1E-4*DATOS!$C$86/100/1000))/2)+BH39-(IF(AND(AY39&gt;0,BA39&gt;0),MIN(AY39,BA39),MAX(AY39,BA39))*AR39*Y39^2*1E-4*DATOS!$C$86/100/1000))-SQRT(MAX(0,((4*((BC39*AR39*Y39^2*1E-4*DATOS!$C$86/100/1000)+((MAX(AY39,BA39)*AR39*Y39^2*1E-4*DATOS!$C$86/100/1000)+(IF(AND(AY39&gt;0,BA39&gt;0),MIN(AY39,BA39),MAX(AY39,BA39))*AR39*Y39^2*1E-4*DATOS!$C$86/100/1000))/2)+BH39-(IF(AND(AY39&gt;0,BA39&gt;0),MIN(AY39,BA39),MAX(AY39,BA39))*AR39*Y39^2*1E-4*DATOS!$C$86/100/1000))^2-16*((BC39*AR39*Y39^2*1E-4*DATOS!$C$86/100/1000)+((MAX(AY39,BA39)*AR39*Y39^2*1E-4*DATOS!$C$86/100/1000)+(IF(AND(AY39&gt;0,BA39&gt;0),MIN(AY39,BA39),MAX(AY39,BA39))*AR39*Y39^2*1E-4*DATOS!$C$86/100/1000))/2)*BH39))))/(8*MAX(((BC39*AR39*Y39^2*1E-4*DATOS!$C$86/100/1000)+((MAX(AY39,BA39)*AR39*Y39^2*1E-4*DATOS!$C$86/100/1000)+(IF(AND(AY39&gt;0,BA39&gt;0),MIN(AY39,BA39),MAX(AY39,BA39))*AR39*Y39^2*1E-4*DATOS!$C$86/100/1000))/2),1E-9))+MAX(BX39,12*INDEX(TABLAS!$C$52:$C$58,MATCH(BV39,TABLAS!$B$52:$B$58,0)),AB39/16),IF(OR(AL39&lt;INDEX(TABLAS!$C$52:$C$58,MATCH(BV39,TABLAS!$B$52:$B$58,0)),AND(BW39&gt;=2,(AD39-2*AL39-BW39*INDEX(TABLAS!$C$52:$C$58,MATCH(BV39,TABLAS!$B$52:$B$58,0)))/MAX(BW39-1,1)&lt;2*INDEX(TABLAS!$C$52:$C$58,MATCH(BV39,TABLAS!$B$52:$B$58,0)))),INDEX(TABLAS!$I$52:$I$58,MATCH(BV39,TABLAS!$B$52:$B$58,0)),INDEX(TABLAS!$F$52:$F$58,MATCH(BV39,TABLAS!$B$52:$B$58,0)))),5))))</f>
        <v/>
      </c>
      <c r="DD39" s="60" t="str">
        <f>IF(V39&lt;&gt;"SÍ","",IF(C39="VOLADO",0,IF(((4*((BD39*AR39*Y39^2*1E-4*DATOS!$C$86/100/1000)+((MAX(AZ39,BB39)*AR39*Y39^2*1E-4*DATOS!$C$86/100/1000)+(IF(AND(AZ39&gt;0,BB39&gt;0),MIN(AZ39,BB39),MAX(AZ39,BB39))*AR39*Y39^2*1E-4*DATOS!$C$86/100/1000))/2)+BJ39-(IF(AND(AZ39&gt;0,BB39&gt;0),MIN(AZ39,BB39),MAX(AZ39,BB39))*AR39*Y39^2*1E-4*DATOS!$C$86/100/1000))^2-16*((BD39*AR39*Y39^2*1E-4*DATOS!$C$86/100/1000)+((MAX(AZ39,BB39)*AR39*Y39^2*1E-4*DATOS!$C$86/100/1000)+(IF(AND(AZ39&gt;0,BB39&gt;0),MIN(AZ39,BB39),MAX(AZ39,BB39))*AR39*Y39^2*1E-4*DATOS!$C$86/100/1000))/2)*BJ39)&lt;0,CEILING(AC39,5),CEILING(MAX(AC39*((4*((BD39*AR39*Y39^2*1E-4*DATOS!$C$86/100/1000)+((MAX(AZ39,BB39)*AR39*Y39^2*1E-4*DATOS!$C$86/100/1000)+(IF(AND(AZ39&gt;0,BB39&gt;0),MIN(AZ39,BB39),MAX(AZ39,BB39))*AR39*Y39^2*1E-4*DATOS!$C$86/100/1000))/2)+BJ39-(IF(AND(AZ39&gt;0,BB39&gt;0),MIN(AZ39,BB39),MAX(AZ39,BB39))*AR39*Y39^2*1E-4*DATOS!$C$86/100/1000))-SQRT(MAX(0,((4*((BD39*AR39*Y39^2*1E-4*DATOS!$C$86/100/1000)+((MAX(AZ39,BB39)*AR39*Y39^2*1E-4*DATOS!$C$86/100/1000)+(IF(AND(AZ39&gt;0,BB39&gt;0),MIN(AZ39,BB39),MAX(AZ39,BB39))*AR39*Y39^2*1E-4*DATOS!$C$86/100/1000))/2)+BJ39-(IF(AND(AZ39&gt;0,BB39&gt;0),MIN(AZ39,BB39),MAX(AZ39,BB39))*AR39*Y39^2*1E-4*DATOS!$C$86/100/1000))^2-16*((BD39*AR39*Y39^2*1E-4*DATOS!$C$86/100/1000)+((MAX(AZ39,BB39)*AR39*Y39^2*1E-4*DATOS!$C$86/100/1000)+(IF(AND(AZ39&gt;0,BB39&gt;0),MIN(AZ39,BB39),MAX(AZ39,BB39))*AR39*Y39^2*1E-4*DATOS!$C$86/100/1000))/2)*BJ39))))/(8*MAX(((BD39*AR39*Y39^2*1E-4*DATOS!$C$86/100/1000)+((MAX(AZ39,BB39)*AR39*Y39^2*1E-4*DATOS!$C$86/100/1000)+(IF(AND(AZ39&gt;0,BB39&gt;0),MIN(AZ39,BB39),MAX(AZ39,BB39))*AR39*Y39^2*1E-4*DATOS!$C$86/100/1000))/2),1E-9))+MAX(CN39,12*INDEX(TABLAS!$C$52:$C$58,MATCH(CL39,TABLAS!$B$52:$B$58,0)),AC39/16),IF(OR(AL39&lt;INDEX(TABLAS!$C$52:$C$58,MATCH(CL39,TABLAS!$B$52:$B$58,0)),AND(CM39&gt;=2,(DATOS!$C$83-2*AL39-CM39*INDEX(TABLAS!$C$52:$C$58,MATCH(CL39,TABLAS!$B$52:$B$58,0)))/MAX(CM39-1,1)&lt;2*INDEX(TABLAS!$C$52:$C$58,MATCH(CL39,TABLAS!$B$52:$B$58,0)))),INDEX(TABLAS!$I$52:$I$58,MATCH(CL39,TABLAS!$B$52:$B$58,0)),INDEX(TABLAS!$F$52:$F$58,MATCH(CL39,TABLAS!$B$52:$B$58,0)))),5))))</f>
        <v/>
      </c>
      <c r="DE39" s="55" t="str">
        <f>IF(V39&lt;&gt;"SÍ","",IF(AND(C39="PERIMETRAL",BW39&gt;=2,AS39-AT39&gt;0,BA39*AR39*Y39^2*1E-4*DATOS!$C$86/100/1000&gt;DATOS!$C$29*INDEX(TABLAS!$D$52:$D$58,MATCH(BV39,TABLAS!$B$52:$B$58,0))*DATOS!$C$14*(BX39-INDEX(TABLAS!$D$52:$D$58,MATCH(BV39,TABLAS!$B$52:$B$58,0))*DATOS!$C$14/(DATOS!$C$21*AF39)/2)/1E5),"SÍ","NO"))</f>
        <v/>
      </c>
      <c r="DF39" s="55" t="str">
        <f>IF(V39&lt;&gt;"SÍ","",IF(AND(C39="PERIMETRAL",CM39&gt;=2,AT39&gt;0,BB39*AR39*Y39^2*1E-4*DATOS!$C$86/100/1000&gt;DATOS!$C$29*INDEX(TABLAS!$D$52:$D$58,MATCH(CL39,TABLAS!$B$52:$B$58,0))*DATOS!$C$14*(CN39-INDEX(TABLAS!$D$52:$D$58,MATCH(CL39,TABLAS!$B$52:$B$58,0))*DATOS!$C$14/(DATOS!$C$21*AG39)/2)/1E5),"SÍ","NO"))</f>
        <v/>
      </c>
      <c r="DG39" s="63" t="str">
        <f>IF(V39&lt;&gt;"SÍ","",IF(OR(C39="VOLADO",AS39=0),"—",IF(AND(AND(1.25*INDEX(TABLAS!$G$52:$G$58,MATCH(MAX(BN39,CD39),TABLAS!$B$52:$B$58,0))&lt;=(DATOS!$C$75-DATOS!$C$63),(DATOS!$C$75-DATOS!$C$63)&gt;=15,INDEX(TABLAS!$G$52:$G$58,MATCH(MAX(BV39,CL39),TABLAS!$B$52:$B$58,0))&lt;=(DATOS!$C$75-DATOS!$C$63)),8*INDEX(TABLAS!$C$52:$C$58,MATCH(MAX(MAX(BN39,CD39),MAX(BV39,CL39)),TABLAS!$B$52:$B$58,0))&lt;=DATOS!$C$76-2*DATOS!$C$63),"CUMPLE (gancho de 180°)",IF(AND(1.25*INDEX(TABLAS!$G$52:$G$58,MATCH(MAX(BN39,CD39),TABLAS!$B$52:$B$58,0))&lt;=(DATOS!$C$75-DATOS!$C$63),(DATOS!$C$75-DATOS!$C$63)&gt;=15,INDEX(TABLAS!$G$52:$G$58,MATCH(MAX(BV39,CL39),TABLAS!$B$52:$B$58,0))&lt;=(DATOS!$C$75-DATOS!$C$63)),"NO CUMPLE: el gancho de 180° (8·d_b) no cabe en el peralte de la dala de borde","NO CUMPLE: dala de borde ≥ "&amp;TEXT(CEILING(MAX(1.25*INDEX(TABLAS!$G$52:$G$58,MATCH(MAX(BN39,CD39),TABLAS!$B$52:$B$58,0)),15,INDEX(TABLAS!$G$52:$G$58,MATCH(MAX(BV39,CL39),TABLAS!$B$52:$B$58,0)))+DATOS!$C$63,5),"0")&amp;" cm de ancho"&amp;IF(8*INDEX(TABLAS!$C$52:$C$58,MATCH(MAX(MAX(BN39,CD39),MAX(BV39,CL39)),TABLAS!$B$52:$B$58,0))&lt;=DATOS!$C$76-2*DATOS!$C$63,""," y más peralte para el gancho")))))</f>
        <v/>
      </c>
      <c r="DH39" s="59" t="str">
        <f>IF(V39&lt;&gt;"SÍ","",MAX(0,INT((E39*100-DATOS!$C$87-IF(AND(C39="PERIMETRAL",I39="DISCONTINUO"),MAX(0,DATOS!$C$75-DATOS!$C$87),0)-IF(AND(C39="PERIMETRAL",J39="DISCONTINUO"),MAX(0,DATOS!$C$75-DATOS!$C$87),0)+DATOS!$C$86-IF(X39="X",DATOS!$C$81,AE39))/DATOS!$C$86)))</f>
        <v/>
      </c>
      <c r="DI39" s="59" t="str">
        <f>IF(V39&lt;&gt;"SÍ","",MAX(0,INT((F39*100-DATOS!$C$87-IF(AND(C39="PERIMETRAL",G39="DISCONTINUO"),MAX(0,DATOS!$C$75-DATOS!$C$87),0)-IF(AND(C39="PERIMETRAL",H39="DISCONTINUO"),MAX(0,DATOS!$C$75-DATOS!$C$87),0)+DATOS!$C$86-IF(X39="Y",DATOS!$C$81,AE39))/DATOS!$C$86)))</f>
        <v/>
      </c>
      <c r="DJ39" s="57" t="str">
        <f>IF(V39&lt;&gt;"SÍ","",IF(DH39&gt;0,IF(AND(C39="PERIMETRAL",I39="DISCONTINUO"),MAX(0,DATOS!$C$75-DATOS!$C$87),0)+(E39*100-DATOS!$C$87-IF(AND(C39="PERIMETRAL",I39="DISCONTINUO"),MAX(0,DATOS!$C$75-DATOS!$C$87),0)-IF(AND(C39="PERIMETRAL",J39="DISCONTINUO"),MAX(0,DATOS!$C$75-DATOS!$C$87),0)-(DH39*IF(X39="X",DATOS!$C$81,AE39)+(DH39-1)*(DATOS!$C$86-IF(X39="X",DATOS!$C$81,AE39))))/2,E39*100/2))</f>
        <v/>
      </c>
      <c r="DK39" s="57" t="str">
        <f>IF(V39&lt;&gt;"SÍ","",IF(DH39&gt;0,IF(AND(C39="PERIMETRAL",J39="DISCONTINUO"),MAX(0,DATOS!$C$75-DATOS!$C$87),0)+(E39*100-DATOS!$C$87-IF(AND(C39="PERIMETRAL",I39="DISCONTINUO"),MAX(0,DATOS!$C$75-DATOS!$C$87),0)-IF(AND(C39="PERIMETRAL",J39="DISCONTINUO"),MAX(0,DATOS!$C$75-DATOS!$C$87),0)-(DH39*IF(X39="X",DATOS!$C$81,AE39)+(DH39-1)*(DATOS!$C$86-IF(X39="X",DATOS!$C$81,AE39))))/2,E39*100/2))</f>
        <v/>
      </c>
      <c r="DL39" s="57" t="str">
        <f>IF(V39&lt;&gt;"SÍ","",IF(DI39&gt;0,IF(AND(C39="PERIMETRAL",G39="DISCONTINUO"),MAX(0,DATOS!$C$75-DATOS!$C$87),0)+(F39*100-DATOS!$C$87-IF(AND(C39="PERIMETRAL",G39="DISCONTINUO"),MAX(0,DATOS!$C$75-DATOS!$C$87),0)-IF(AND(C39="PERIMETRAL",H39="DISCONTINUO"),MAX(0,DATOS!$C$75-DATOS!$C$87),0)-(DI39*IF(X39="Y",DATOS!$C$81,AE39)+(DI39-1)*(DATOS!$C$86-IF(X39="Y",DATOS!$C$81,AE39))))/2,F39*100/2))</f>
        <v/>
      </c>
      <c r="DM39" s="57" t="str">
        <f>IF(V39&lt;&gt;"SÍ","",IF(DI39&gt;0,IF(AND(C39="PERIMETRAL",H39="DISCONTINUO"),MAX(0,DATOS!$C$75-DATOS!$C$87),0)+(F39*100-DATOS!$C$87-IF(AND(C39="PERIMETRAL",G39="DISCONTINUO"),MAX(0,DATOS!$C$75-DATOS!$C$87),0)-IF(AND(C39="PERIMETRAL",H39="DISCONTINUO"),MAX(0,DATOS!$C$75-DATOS!$C$87),0)-(DI39*IF(X39="Y",DATOS!$C$81,AE39)+(DI39-1)*(DATOS!$C$86-IF(X39="Y",DATOS!$C$81,AE39))))/2,F39*100/2))</f>
        <v/>
      </c>
      <c r="DN39" s="59" t="str">
        <f>IF(V39&lt;&gt;"SÍ","",IF(NOT(AND(C39="VOLADO",AD39&gt;DATOS!$C$83)),0,IF(INDEX(TABLAS!$C$52:$C$58,MATCH(BV39,TABLAS!$B$52:$B$58,0))&lt;=DATOS!$C$83-2*DATOS!$C$63,1,0)))</f>
        <v/>
      </c>
      <c r="DO39" s="58" t="str">
        <f>IF(V39&lt;&gt;"SÍ","",IF(NOT(AND(C39="VOLADO",AD39&gt;DATOS!$C$83)),0,((DATOS!$C$85-MAX(DATOS!$C$63,(DATOS!$C$84-2*DATOS!$C$97)/2)-2*DATOS!$C$97-INDEX(TABLAS!$C$52:$C$58,MATCH(MAX(4,DATOS!$C$72),TABLAS!$B$52:$B$58,0))-INDEX(TABLAS!$C$52:$C$58,MATCH(BV39,TABLAS!$B$52:$B$58,0))/2)-IF(AND((DATOS!$C$85-MAX(DATOS!$C$63,(DATOS!$C$84-2*DATOS!$C$97)/2)-2*DATOS!$C$97-INDEX(TABLAS!$C$52:$C$58,MATCH(MAX(4,DATOS!$C$72),TABLAS!$B$52:$B$58,0))-INDEX(TABLAS!$C$52:$C$58,MATCH(BV39,TABLAS!$B$52:$B$58,0))/2)&lt;=20,DATOS!$C$65&lt;&gt;"SÍ"),2,0))))</f>
        <v/>
      </c>
      <c r="DP39" s="56" t="str">
        <f>IF(V39&lt;&gt;"SÍ","",IF(OR(NOT(AND(C39="VOLADO",AD39&gt;DATOS!$C$83)),DN39&lt;1),0,IF(0.003*(DO39-((DN39*INDEX(TABLAS!$D$52:$D$58,MATCH(BV39,TABLAS!$B$52:$B$58,0)))*DATOS!$C$14/(DATOS!$C$21*AG39)/DATOS!$C$22))/((DN39*INDEX(TABLAS!$D$52:$D$58,MATCH(BV39,TABLAS!$B$52:$B$58,0)))*DATOS!$C$14/(DATOS!$C$21*AG39)/DATOS!$C$22)&lt;0.005,0,DATOS!$C$29*(DN39*INDEX(TABLAS!$D$52:$D$58,MATCH(BV39,TABLAS!$B$52:$B$58,0)))*DATOS!$C$14*(DO39-(DN39*INDEX(TABLAS!$D$52:$D$58,MATCH(BV39,TABLAS!$B$52:$B$58,0)))*DATOS!$C$14/(DATOS!$C$21*AG39)/2)/1E5)))</f>
        <v/>
      </c>
      <c r="DQ39" s="56" t="str">
        <f>IF(V39&lt;&gt;"SÍ","",IF(OR(NOT(AND(C39="VOLADO",AD39&gt;DATOS!$C$83)),DN39&lt;1),0,DATOS!$C$30*2*MIN(1,SQRT(2/(1+0.04*DO39)))*((DN39*INDEX(TABLAS!$D$52:$D$58,MATCH(BV39,TABLAS!$B$52:$B$58,0)))/(AG39*DO39))^(1/3)*SQRT(DATOS!$C$13)*AG39*DO39/1000))</f>
        <v/>
      </c>
      <c r="DR39" s="56" t="str">
        <f>IF(V39&lt;&gt;"SÍ","",IF(NOT(AND(C39="VOLADO",AD39&gt;DATOS!$C$83)),0,IF((BH39-DP39)&lt;=0,0,IF(DP39&lt;=0,IF(ISNUMBER(P39),P39,Y39),IF(((0.9*DATOS!$C$90*DATOS!$C$86/100/1000)*IF(ISNUMBER(P39),P39,Y39)/2+BH39/IF(ISNUMBER(P39),P39,Y39))^2-4*((0.9*DATOS!$C$90*DATOS!$C$86/100/1000)/2)*(BH39-DP39)&lt;0,IF(ISNUMBER(P39),P39,Y39),MIN(IF(ISNUMBER(P39),P39,Y39),(((0.9*DATOS!$C$90*DATOS!$C$86/100/1000)*IF(ISNUMBER(P39),P39,Y39)/2+BH39/IF(ISNUMBER(P39),P39,Y39))-SQRT(((0.9*DATOS!$C$90*DATOS!$C$86/100/1000)*IF(ISNUMBER(P39),P39,Y39)/2+BH39/IF(ISNUMBER(P39),P39,Y39))^2-4*((0.9*DATOS!$C$90*DATOS!$C$86/100/1000)/2)*(BH39-DP39)))/(2*((0.9*DATOS!$C$90*DATOS!$C$86/100/1000)/2))))))))</f>
        <v/>
      </c>
      <c r="DS39" s="56" t="str">
        <f>IF(V39&lt;&gt;"SÍ","",IF(NOT(AND(C39="VOLADO",AD39&gt;DATOS!$C$83)),0,IF(DQ39&lt;=(BH39/((IF(ISNUMBER(P39),P39,Y39)*100-DATOS!$C$87)/100)),IF(ISNUMBER(P39),P39,Y39),MIN(IF(ISNUMBER(P39),P39,Y39),MAX(0,(IF(ISNUMBER(P39),P39,Y39)*100-DATOS!$C$87)/200-(DQ39-(BH39/((IF(ISNUMBER(P39),P39,Y39)*100-DATOS!$C$87)/100)))/((0.95-0.5*IF(N(Q39)&gt;0,MIN(IF(ISNUMBER(P39),P39,Y39),Q39)/MAX(IF(ISNUMBER(P39),P39,Y39),Q39),0))*DATOS!$C$33*AR39*DATOS!$C$86/100/1000))))))</f>
        <v/>
      </c>
      <c r="DT39" s="56" t="str">
        <f>IF(V39&lt;&gt;"SÍ","",IF(NOT(AND(C39="VOLADO",AD39&gt;DATOS!$C$83)),0,(BH39/((IF(ISNUMBER(P39),P39,Y39)*100-DATOS!$C$87)/100))+((0.95-0.5*IF(N(Q39)&gt;0,MIN(IF(ISNUMBER(P39),P39,Y39),Q39)/MAX(IF(ISNUMBER(P39),P39,Y39),Q39),0))*DATOS!$C$33*AR39*DATOS!$C$86/100/1000)*MAX(0,(IF(ISNUMBER(P39),P39,Y39)*100-DATOS!$C$87)/200-BX39/100)))</f>
        <v/>
      </c>
      <c r="DU39" s="59" t="str">
        <f>IF(V39&lt;&gt;"SÍ","",IF(NOT(AND(C39="VOLADO",AD39&gt;DATOS!$C$83)),0,MIN(FLOOR(100*IF(ISNUMBER(P39),P39,Y39)-DATOS!$C$63,5),CEILING(100*MIN(IF(ISNUMBER(P39),P39,Y39),MAX(IF(DR39&gt;0,DR39+IF(BW39&gt;=2,MAX(DO39,12*INDEX(TABLAS!$C$52:$C$58,MATCH(BV39,TABLAS!$B$52:$B$58,0)))/100,0),0),DS39,IF(BW39&gt;=2,INDEX(TABLAS!$F$52:$F$58,MATCH(BV39,TABLAS!$B$52:$B$58,0))/100,0))),5))))</f>
        <v/>
      </c>
      <c r="DV39" s="60" t="str">
        <f>IF(V39&lt;&gt;"SÍ","",IF(NOT(AND(C39="VOLADO",AD39&gt;DATOS!$C$83)),0,IF(DU39&lt;=0,0,CEILING(DU39/DATOS!$C$86,1))))</f>
        <v/>
      </c>
      <c r="DW39" s="61" t="str">
        <f>IF(V39&lt;&gt;"SÍ","",IF(C39&lt;&gt;"VOLADO","—",IF(AD39&lt;=DATOS!$C$83,"— (mismo b_w que el respaldo)",IF(DT39&gt;CS39,"NO CUMPLE: cortante de la nervadura ancha junto al apoyo ("&amp;TEXT(DT39,"0.00")&amp;" &gt; "&amp;TEXT(CS39,"0.00")&amp;" t)",IF(DU39&gt;=100*IF(ISNUMBER(P39),P39,Y39),"CUMPLE — todas las nervaduras del respaldo ‖ al volado con b_w = "&amp;AD39&amp;" cm","CUMPLE — "&amp;DV39&amp;" hilera(s) del respaldo con nervaduras de b_w = "&amp;AD39&amp;" cm (casetón "&amp;AE39&amp;" cm), hasta "&amp;TEXT(DU39/100,"0.00")&amp;" m del paño")))))</f>
        <v/>
      </c>
      <c r="DX39" s="69" t="str">
        <f>IF(V39&lt;&gt;"SÍ","",IF(BO39=0,"NO ALCANZA",BO39&amp;" No. "&amp;BN39&amp;IF(BO39&gt;1," corridas"," corrida")))</f>
        <v/>
      </c>
      <c r="DY39" s="69" t="str">
        <f>IF(V39&lt;&gt;"SÍ","",IF(BW39=0,"NO ALCANZA",IF(AND(C39="VOLADO",AD39&gt;DATOS!$C$83,BW39&gt;=2),"1 No. "&amp;BV39&amp;" corrida de la orilla al respaldo ("&amp;IF(DC39&gt;=FLOOR(100*IF(ISNUMBER(P39),P39,Y39)-DATOS!$C$63,5),"hasta su apoyo lejano, con gancho","entra "&amp;TEXT(DC39/100,"0.00")&amp;" m desde el paño")&amp;") + "&amp;(BW39-1)&amp;" bastón No. "&amp;BV39&amp;" hasta "&amp;TEXT(DU39/100,"0.00")&amp;" m del paño (fin de la nervadura ancha)",IF(C39="VOLADO",BW39&amp;" No. "&amp;BV39&amp;" de la orilla al respaldo ("&amp;IF(DC39&gt;=FLOOR(100*IF(ISNUMBER(P39),P39,Y39)-DATOS!$C$63,5),"hasta su apoyo lejano, con gancho","entran "&amp;TEXT(DC39/100,"0.00")&amp;" m desde el paño")&amp;")","1 No. "&amp;BV39&amp;" corrida"&amp;IF(BW39&gt;1," + "&amp;(BW39-1)&amp;" bastón No. "&amp;BV39&amp;" L = "&amp;TEXT(DC39/100,"0.00")&amp;" m desde el paño","")))))</f>
        <v/>
      </c>
      <c r="DZ39" s="69" t="str">
        <f>IF(V39&lt;&gt;"SÍ","",IF(CE39=0,"NO ALCANZA",CE39&amp;" No. "&amp;CD39&amp;IF(CE39&gt;1," corridas"," corrida")))</f>
        <v/>
      </c>
      <c r="EA39" s="69" t="str">
        <f>IF(V39&lt;&gt;"SÍ","",IF(CM39=0,"NO ALCANZA",IF(C39="VOLADO","1 No. "&amp;CL39&amp;" corrida (repartición)","1 No. "&amp;CL39&amp;" corrida"&amp;IF(CM39&gt;1," + "&amp;(CM39-1)&amp;" bastón No. "&amp;CL39&amp;" L = "&amp;TEXT(DD39/100,"0.00")&amp;" m desde el paño",""))))</f>
        <v/>
      </c>
      <c r="EB39" s="67" t="str">
        <f>IF(B39="","",IF(V39&lt;&gt;"SÍ","FALTAN DATOS: tipo, a_x, a_y, destino y, en volados, L_b",IF(L39="NO MONOLÍTICO (caso II)","FUERA DE ALCANCE: caso II no transcrito",IF(AND(C39="VOLADO",W39="?"),"REVISAR: el volado lleva UN solo borde CONTINUO (el empotrado)",IF(MIN(DH39,DI39)=0,"REVISAR: no cabe un casetón (tablero macizo): diséñalo en MACIZAS",IF(AND(MAX(BR39,BZ39,CH39,CP39)&lt;=1,NOT(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T(OR(AND(ISNUMBER(BS39),BS39&lt;0.005),AND(ISNUMBER(CA39),CA39&lt;0.005),AND(ISNUMBER(CI39),CI39&lt;0.005),AND(ISNUMBER(CQ39),CQ39&lt;0.005))),NOT(LEFT(DW39,2)="NO"),DA39="CUMPLE",DB39="CUMPLE",LEFT(CU39,2)&lt;&gt;"NO",LEFT(DATOS!$C$132,6)="CUMPLE"),IF(LEFT(CU39,6)="CUMPLE","CUMPLE","CUMPLE — "&amp;CU39)&amp;IF(LEFT(BK39,5)="FUERA"," · fuera de 3.4.2.1 c)","")&amp;IF(LEFT(DG39,2)="NO"," · REVISAR anclaje en borde discontinuo","")&amp;IF(DV39&gt;0," · respaldo: "&amp;DV39&amp;" hilera(s) de b_w "&amp;AD39&amp;" cm",""),IF(AND(MAX(BR39,BZ39,CH39,CP39)&lt;=1,NOT(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T(OR(AND(ISNUMBER(BS39),BS39&lt;0.005),AND(ISNUMBER(CA39),CA39&lt;0.005),AND(ISNUMBER(CI39),CI39&lt;0.005),AND(ISNUMBER(CQ39),CQ39&lt;0.005))),NOT(LEFT(DW39,2)="NO"),DA39="CALCULAR FLECHA",LEFT(CU39,2)&lt;&gt;"NO",LEFT(DATOS!$C$132,6)="CUMPLE"),"REVISAR: calcular flecha (h_eq &lt; h mín.)"&amp;IF(LEFT(BK39,5)="FUERA"," · fuera de 3.4.2.1 c)","")&amp;IF(LEFT(DG39,2)="NO"," · REVISAR anclaje en borde discontinuo","")&amp;IF(DV39&gt;0," · respaldo: "&amp;DV39&amp;" hilera(s) de b_w "&amp;AD39&amp;" cm",""),"NO CUMPLE: "&amp;IF(MAX(BR39,BZ39,CH39,CP39)&gt;1,"flexión ","")&amp;IF(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 caben ","")&amp;IF(OR(AND(ISNUMBER(BS39),BS39&lt;0.005),AND(ISNUMBER(CA39),CA39&lt;0.005),AND(ISNUMBER(CI39),CI39&lt;0.005),AND(ISNUMBER(CQ39),CQ39&lt;0.005)),"ε_t &lt; 0.005 ","")&amp;IF(LEFT(CU39,2)="NO","cortante ","")&amp;IF(DA39="NO CUMPLE","peralte ","")&amp;IF(DB39&lt;&gt;"CUMPLE","capa &lt; 6 cm ","")&amp;IF(LEFT(DATOS!$C$132,6)&lt;&gt;"CUMPLE","capa o malla (DATOS sección 7) ","")&amp;IF(LEFT(DW39,2)="NO","respaldo del volado",""))))))))</f>
        <v/>
      </c>
      <c r="EC39" s="70" t="str">
        <f>IF(V39&lt;&gt;"SÍ","",IF(LEFT(B39,7)="EJEMPLO","EJEMPLO de la hoja de Casa Rocha: bórralo o sobrescríbelo. ","")&amp;IF(AND(C39="PERIMETRAL",MIN(DH39,DI39)=0),"No cabe un casetón en el claro corto: es un tablero macizo, diséñalo en MACIZAS. ","")&amp;IF(AND(AJ39="NO",C39="PERIMETRAL"),"No cumple 6.7.8.1.4 (a_c = "&amp;MAX(DATOS!$C$81,AE39)&amp;" cm &gt; claro corto/6 = "&amp;TEXT(Y39*100/6,"0")&amp;" cm): se diseña como losa apoyada en vigas (6.7.8.1.9): r de viga = "&amp;DATOS!$C$63&amp;" cm y V_cR sin ×1.1. Para que cuente como encasetonada: casetón de "&amp;TEXT(FLOOR(MIN(80,Y39*100/6),1),"0")&amp;" cm o menor. ","")&amp;IF(C39="VOLADO","Volado de "&amp;TEXT(Y39,"0.00")&amp;" m empotrado en el borde "&amp;LOWER(W39)&amp;IF(N(O39)&gt;0,", con "&amp;TEXT(O39,"0.0")&amp;" kg/m en la orilla","")&amp;". Lecho inferior con r_ext. Si la orilla carga pretil u otro elemento frágil, calcula la flecha (13.4). El acero superior entra al respaldo de "&amp;TEXT(IF(ISNUMBER(P39),P39,Y39),"0.00")&amp;" m"&amp;" hasta pasar M = 0 con 0.9·PP sin carga viva; si ahí no se anula, llega al apoyo lejano y se ancla con gancho (NTC-Criterios 3.4.1 c y 5.1.2.2). "&amp;IF(AD39&gt;DATOS!$C$83,"Respaldo: "&amp;DW39&amp;". ",""),"")&amp;IF(AND(C39="VOLADO",((0.9*DATOS!$C$90*DATOS!$C$86/100/1000)*IF(ISNUMBER(P39),P39,Y39)/2-BH39/IF(ISNUMBER(P39),P39,Y39))&lt;0),"Con 0.9·PP y sin carga viva el apoyo lejano del respaldo levanta (R = "&amp;TEXT(-((0.9*DATOS!$C$90*DATOS!$C$86/100/1000)*IF(ISNUMBER(P39),P39,Y39)/2-BH39/IF(ISNUMBER(P39),P39,Y39)),"0.00")&amp;" t por nervadura): ancla ahí la corrida con gancho y revisa ese apoyo a tensión. ","")&amp;IF(LEFT(BK39,5)="FUERA","El M⁻ del vecino difiere más de 50 % (3.4.2.1 c): distribuye el desequilibrio (3.4.3.1) o confirma con un modelo; se arma con el mayor. ","")&amp;IF(OR(DE39="SÍ",DF39="SÍ"),"El M⁻ del borde discontinuo pide bastón también ahí (con gancho). ","")&amp;IF(LEFT(DG39,2)="NO","Anclaje: "&amp;DG39&amp;" (6.7.8.1.7). ","")&amp;IF(AND(C39="PERIMETRAL",AT39&gt;=1,AS39-AT39&gt;=1),"Esquinas exteriores sobre muro: refuerzo de esquina arriba y abajo en L_largo/5 (6.7.7.3.1). ",""))</f>
        <v/>
      </c>
    </row>
    <row r="40" ht="33" customHeight="1">
      <c r="A40" s="50">
        <f>IF(B40="",0,1)+A39</f>
        <v>4</v>
      </c>
      <c r="B40" s="29" t="n"/>
      <c r="C40" s="51" t="n"/>
      <c r="D40" s="29" t="n"/>
      <c r="E40" s="52" t="n"/>
      <c r="F40" s="52" t="n"/>
      <c r="G40" s="51" t="n"/>
      <c r="H40" s="51" t="n"/>
      <c r="I40" s="51" t="n"/>
      <c r="J40" s="51" t="n"/>
      <c r="K40" s="51" t="n"/>
      <c r="L40" s="51" t="n"/>
      <c r="M40" s="53" t="n"/>
      <c r="N40" s="53" t="n"/>
      <c r="O40" s="54" t="n"/>
      <c r="P40" s="52" t="n"/>
      <c r="Q40" s="52" t="n"/>
      <c r="R40" s="53" t="n"/>
      <c r="S40" s="54" t="n"/>
      <c r="T40" s="52" t="n"/>
      <c r="U40" s="52" t="n"/>
      <c r="V40" s="55" t="str">
        <f>IF(B40="","",IF(AND(OR(C40="PERIMETRAL",C40="VOLADO"),ISNUMBER(E40),ISNUMBER(F40),E40&gt;0,F40&gt;0,OR(ISNUMBER(N40),ISNUMBER(MATCH(D40,DATOS!$B$46:$B$58,0))),OR(C40&lt;&gt;"VOLADO",N(P40)&gt;0)),"SÍ","NO"))</f>
        <v/>
      </c>
      <c r="W40" s="55" t="str">
        <f>IF(V40&lt;&gt;"SÍ","",IF(C40&lt;&gt;"VOLADO","—",IF(COUNTIF(G40:J40,"CONTINUO")&lt;&gt;1,"?",IF(G40="CONTINUO","INFERIOR",IF(H40="CONTINUO","SUPERIOR",IF(I40="CONTINUO","IZQUIERDO","DERECHO"))))))</f>
        <v/>
      </c>
      <c r="X40" s="55" t="str">
        <f>IF(V40&lt;&gt;"SÍ","",IF(C40="VOLADO",IF(OR(W40="IZQUIERDO",W40="DERECHO"),"X","Y"),IF(E40&lt;=F40,"X","Y")))</f>
        <v/>
      </c>
      <c r="Y40" s="56" t="str">
        <f>IF(V40&lt;&gt;"SÍ","",IF(C40="VOLADO",IF(X40="X",E40,F40),MIN(E40,F40)))</f>
        <v/>
      </c>
      <c r="Z40" s="56" t="str">
        <f>IF(V40&lt;&gt;"SÍ","",IF(C40="VOLADO",IF(X40="X",F40,E40),MAX(E40,F40)))</f>
        <v/>
      </c>
      <c r="AA40" s="56" t="str">
        <f>IF(V40&lt;&gt;"SÍ","",MIN(Y40,Z40)/MAX(Y40,Z40))</f>
        <v/>
      </c>
      <c r="AB40" s="57" t="str">
        <f>IF(V40&lt;&gt;"SÍ","",MAX(1,Y40*100-IF(C40="VOLADO",DATOS!$C$87/2,DATOS!$C$87)))</f>
        <v/>
      </c>
      <c r="AC40" s="57" t="str">
        <f>IF(V40&lt;&gt;"SÍ","",MAX(1,Z40*100-DATOS!$C$87))</f>
        <v/>
      </c>
      <c r="AD40" s="57" t="str">
        <f>IF(V40&lt;&gt;"SÍ","",IF(ISNUMBER(R40),R40,DATOS!$C$83))</f>
        <v/>
      </c>
      <c r="AE40" s="57" t="str">
        <f>IF(V40&lt;&gt;"SÍ","",MAX(0,DATOS!$C$86-AD40))</f>
        <v/>
      </c>
      <c r="AF40" s="57" t="str">
        <f>IF(V40&lt;&gt;"SÍ","",IF(OR(DATOS!$C$65="SÍ",AD40&gt;=20),AD40,AD40-2))</f>
        <v/>
      </c>
      <c r="AG40" s="57" t="str">
        <f>IF(V40&lt;&gt;"SÍ","",IF(OR(DATOS!$C$65="SÍ",DATOS!$C$83&gt;=20),DATOS!$C$83,DATOS!$C$83-2))</f>
        <v/>
      </c>
      <c r="AH40" s="57" t="str">
        <f>IF(V40&lt;&gt;"SÍ","",MIN(DATOS!$C$86,AD40+2*MIN(8*DATOS!$C$84,AE40/2,AB40/8)))</f>
        <v/>
      </c>
      <c r="AI40" s="57" t="str">
        <f>IF(V40&lt;&gt;"SÍ","",MIN(DATOS!$C$86,DATOS!$C$83+2*MIN(8*DATOS!$C$84,DATOS!$C$81/2,AC40/8)))</f>
        <v/>
      </c>
      <c r="AJ40" s="55" t="str">
        <f>IF(V40&lt;&gt;"SÍ","",IF(AND(C40="PERIMETRAL",Y40*100&gt;=6*MAX(DATOS!$C$81,AE40),MAX(DATOS!$C$81,AE40)&lt;=80,MIN(DATOS!$C$83,AD40)&gt;=10,DATOS!$C$85&lt;=3.5*MIN(DATOS!$C$83,AD40),DATOS!$C$84&gt;=MAX(MAX(DATOS!$C$81,AE40)/13,5)),"SÍ","NO"))</f>
        <v/>
      </c>
      <c r="AK40" s="57" t="str">
        <f>IF(V40&lt;&gt;"SÍ","",IF(C40="VOLADO",DATOS!$C$64,IF(AJ40="NO",DATOS!$C$63,DATOS!$C$62)))</f>
        <v/>
      </c>
      <c r="AL40" s="57" t="str">
        <f>IF(V40&lt;&gt;"SÍ","",IF(OR(AND(AN40="SÍ",DATOS!$C$66="SÍ"),AND(C40="VOLADO",DATOS!$C$67="SÍ")),DATOS!$C$64,IF(AJ40="NO",DATOS!$C$63,DATOS!$C$62)))</f>
        <v/>
      </c>
      <c r="AM40" s="58" t="str">
        <f>IF(V40&lt;&gt;"SÍ","",MAX(AL40,(DATOS!$C$84-2*DATOS!$C$97)/2))</f>
        <v/>
      </c>
      <c r="AN40" s="55" t="str">
        <f>IF(V40&lt;&gt;"SÍ","",IFERROR(INDEX(DATOS!$D$46:$D$58,MATCH(D40,DATOS!$B$46:$B$58,0)),"NO"))</f>
        <v/>
      </c>
      <c r="AO40" s="59" t="str">
        <f>IF(V40&lt;&gt;"SÍ","",IF(ISNUMBER(N40),N40,IFERROR(INDEX(DATOS!$C$46:$C$58,MATCH(D40,DATOS!$B$46:$B$58,0)),0)))</f>
        <v/>
      </c>
      <c r="AP40" s="59" t="str">
        <f>IF(V40&lt;&gt;"SÍ","",IF(MIN(DH40,DI40)=0,DATOS!$C$85/100*DATOS!$C$16*1000,(DATOS!$C$85/100-(AE40*DATOS!$C$81/DATOS!$C$86^2)*DATOS!$C$82/100)*DATOS!$C$16*1000+(AE40*DATOS!$C$81/DATOS!$C$86^2)*DATOS!$C$82/100*DATOS!$C$17*1000)+DATOS!$C$37+DATOS!$C$38)</f>
        <v/>
      </c>
      <c r="AQ40" s="59" t="str">
        <f>IF(V40&lt;&gt;"SÍ","",AP40+N(M40))</f>
        <v/>
      </c>
      <c r="AR40" s="60" t="str">
        <f>IF(V40&lt;&gt;"SÍ","",MAX(DATOS!$C$26*AQ40+DATOS!$C$27*AO40,IF(AN40="SÍ",DATOS!$C$28*(AQ40+DATOS!$C$41),0)))</f>
        <v/>
      </c>
      <c r="AS40" s="59" t="str">
        <f>IF(V40&lt;&gt;"SÍ","",(G40="DISCONTINUO")+(H40="DISCONTINUO")+(I40="DISCONTINUO")+(J40="DISCONTINUO"))</f>
        <v/>
      </c>
      <c r="AT40" s="59" t="str">
        <f>IF(V40&lt;&gt;"SÍ","",IF(X40="X",(G40="DISCONTINUO")+(H40="DISCONTINUO"),(I40="DISCONTINUO")+(J40="DISCONTINUO")))</f>
        <v/>
      </c>
      <c r="AU40" s="55" t="str">
        <f>IF(V40&lt;&gt;"SÍ","",IF(AS40=0,"INTERIOR",IF(AS40=1,IF(AT40=1,"BORDE-CORTO","BORDE-LARGO"),IF(AS40=2,IF(AT40=1,"ESQUINA",IF(AT40=2,"EXTREMO-LARGO","EXTREMO-CORTO")),IF(AS40=3,IF(AT40=2,"EXTREMO-LARGO","EXTREMO-CORTO"),"AISLADO")))))</f>
        <v/>
      </c>
      <c r="AV40" s="61" t="str">
        <f>IF(V40&lt;&gt;"SÍ","",IF(OR(K40="",K40="AUTO"),AU40,K40))</f>
        <v/>
      </c>
      <c r="AW40" s="59" t="str">
        <f>IF(V40&lt;&gt;"SÍ","",MATCH(AA40,TABLAS!$D$5:$J$5,1))</f>
        <v/>
      </c>
      <c r="AX40" s="58" t="str">
        <f>IF(V40&lt;&gt;"SÍ","",IF(AW40&gt;=7,0,(AA40-INDEX(TABLAS!$D$5:$J$5,AW40))/(INDEX(TABLAS!$D$5:$J$5,AW40+1)-INDEX(TABLAS!$D$5:$J$5,AW40))))</f>
        <v/>
      </c>
      <c r="AY40" s="59" t="str">
        <f>IF(V40&lt;&gt;"SÍ","",INDEX(TABLAS!$D$6:$J$47,MATCH(AV40&amp;"|NIC",TABLAS!$B$6:$B$47,0),AW40)+AX40*(INDEX(TABLAS!$D$6:$J$47,MATCH(AV40&amp;"|NIC",TABLAS!$B$6:$B$47,0),MIN(AW40+1,7))-INDEX(TABLAS!$D$6:$J$47,MATCH(AV40&amp;"|NIC",TABLAS!$B$6:$B$47,0),AW40)))</f>
        <v/>
      </c>
      <c r="AZ40" s="59" t="str">
        <f>IF(V40&lt;&gt;"SÍ","",INDEX(TABLAS!$D$6:$J$47,MATCH(AV40&amp;"|NIL",TABLAS!$B$6:$B$47,0),AW40)+AX40*(INDEX(TABLAS!$D$6:$J$47,MATCH(AV40&amp;"|NIL",TABLAS!$B$6:$B$47,0),MIN(AW40+1,7))-INDEX(TABLAS!$D$6:$J$47,MATCH(AV40&amp;"|NIL",TABLAS!$B$6:$B$47,0),AW40)))</f>
        <v/>
      </c>
      <c r="BA40" s="59" t="str">
        <f>IF(V40&lt;&gt;"SÍ","",INDEX(TABLAS!$D$6:$J$47,MATCH(AV40&amp;"|NDC",TABLAS!$B$6:$B$47,0),AW40)+AX40*(INDEX(TABLAS!$D$6:$J$47,MATCH(AV40&amp;"|NDC",TABLAS!$B$6:$B$47,0),MIN(AW40+1,7))-INDEX(TABLAS!$D$6:$J$47,MATCH(AV40&amp;"|NDC",TABLAS!$B$6:$B$47,0),AW40)))</f>
        <v/>
      </c>
      <c r="BB40" s="59" t="str">
        <f>IF(V40&lt;&gt;"SÍ","",INDEX(TABLAS!$D$6:$J$47,MATCH(AV40&amp;"|NDL",TABLAS!$B$6:$B$47,0),AW40)+AX40*(INDEX(TABLAS!$D$6:$J$47,MATCH(AV40&amp;"|NDL",TABLAS!$B$6:$B$47,0),MIN(AW40+1,7))-INDEX(TABLAS!$D$6:$J$47,MATCH(AV40&amp;"|NDL",TABLAS!$B$6:$B$47,0),AW40)))</f>
        <v/>
      </c>
      <c r="BC40" s="59" t="str">
        <f>IF(V40&lt;&gt;"SÍ","",INDEX(TABLAS!$D$6:$J$47,MATCH(AV40&amp;"|PC",TABLAS!$B$6:$B$47,0),AW40)+AX40*(INDEX(TABLAS!$D$6:$J$47,MATCH(AV40&amp;"|PC",TABLAS!$B$6:$B$47,0),MIN(AW40+1,7))-INDEX(TABLAS!$D$6:$J$47,MATCH(AV40&amp;"|PC",TABLAS!$B$6:$B$47,0),AW40)))</f>
        <v/>
      </c>
      <c r="BD40" s="59" t="str">
        <f>IF(V40&lt;&gt;"SÍ","",INDEX(TABLAS!$D$6:$J$47,MATCH(AV40&amp;"|PL",TABLAS!$B$6:$B$47,0),AW40)+AX40*(INDEX(TABLAS!$D$6:$J$47,MATCH(AV40&amp;"|PL",TABLAS!$B$6:$B$47,0),MIN(AW40+1,7))-INDEX(TABLAS!$D$6:$J$47,MATCH(AV40&amp;"|PL",TABLAS!$B$6:$B$47,0),AW40)))</f>
        <v/>
      </c>
      <c r="BE40" s="56" t="str">
        <f>IF(V40&lt;&gt;"SÍ","",IF(OR(C40&lt;&gt;"VOLADO",MIN(DH40,DI40)=0),0,DATOS!$C$26*DATOS!$C$16*DATOS!$C$86/100*(((AE40*DATOS!$C$81/DATOS!$C$86^2)*DATOS!$C$82/100)*(IF(X40="X",DJ40,DL40)+DATOS!$C$87/2)/100*(AB40-(IF(X40="X",DJ40,DL40)+DATOS!$C$87/2)/2)/100+((AE40*DATOS!$C$81/DATOS!$C$86^2)*DATOS!$C$82/100)*IF(X40="X",DJ40,DL40)/100*IF(X40="X",DJ40,DL40)/200)))</f>
        <v/>
      </c>
      <c r="BF40" s="56" t="str">
        <f>IF(V40&lt;&gt;"SÍ","",IF(OR(C40&lt;&gt;"VOLADO",MIN(DH40,DI40)=0),0,DATOS!$C$26*DATOS!$C$16*DATOS!$C$86/100*((AE40*DATOS!$C$81/DATOS!$C$86^2)*DATOS!$C$82/100)*(IF(X40="X",DJ40,DL40)+DATOS!$C$87/2)/100))</f>
        <v/>
      </c>
      <c r="BG40" s="56" t="str">
        <f>IF(V40&lt;&gt;"SÍ","",IF(C40="PERIMETRAL",BC40*AR40*Y40^2*1E-4*DATOS!$C$86/100/1000,0))</f>
        <v/>
      </c>
      <c r="BH40" s="62" t="str">
        <f>IF(V40&lt;&gt;"SÍ","",IF(C40="PERIMETRAL",MAX(MAX(AY40,BA40)*AR40*Y40^2*1E-4*DATOS!$C$86/100/1000,N(T40)),(AR40*(AB40/100)^2/2+DATOS!$C$26*N(O40)*AB40/100)*DATOS!$C$86/100/1000+BE40))</f>
        <v/>
      </c>
      <c r="BI40" s="56" t="str">
        <f>IF(V40&lt;&gt;"SÍ","",IF(C40="PERIMETRAL",BD40*AR40*Y40^2*1E-4*DATOS!$C$86/100/1000,0))</f>
        <v/>
      </c>
      <c r="BJ40" s="56" t="str">
        <f>IF(V40&lt;&gt;"SÍ","",IF(C40="PERIMETRAL",MAX(MAX(AZ40,BB40)*AR40*Y40^2*1E-4*DATOS!$C$86/100/1000,N(U40)),0))</f>
        <v/>
      </c>
      <c r="BK40" s="63" t="str">
        <f>IF(V40&lt;&gt;"SÍ","",IF(C40&lt;&gt;"PERIMETRAL","—",IF(AND(N(T40)=0,N(U40)=0),"— (sin M⁻ del vecino)",IF(OR(AND(N(T40)&gt;0,ABS(MAX(AY40,BA40)*AR40*Y40^2*1E-4*DATOS!$C$86/100/1000-N(T40))&gt;0.5*MIN(MAX(AY40,BA40)*AR40*Y40^2*1E-4*DATOS!$C$86/100/1000,N(T40))),AND(N(U40)&gt;0,ABS(MAX(AZ40,BB40)*AR40*Y40^2*1E-4*DATOS!$C$86/100/1000-N(U40))&gt;0.5*MIN(MAX(AZ40,BB40)*AR40*Y40^2*1E-4*DATOS!$C$86/100/1000,N(U40)))),"FUERA: difieren &gt; 50 %"&amp;IF(AND(N(T40)&gt;0,ABS(MAX(AY40,BA40)*AR40*Y40^2*1E-4*DATOS!$C$86/100/1000-N(T40))&gt;0.5*MIN(MAX(AY40,BA40)*AR40*Y40^2*1E-4*DATOS!$C$86/100/1000,N(T40)))," ‖ corto","")&amp;IF(AND(N(U40)&gt;0,ABS(MAX(AZ40,BB40)*AR40*Y40^2*1E-4*DATOS!$C$86/100/1000-N(U40))&gt;0.5*MIN(MAX(AZ40,BB40)*AR40*Y40^2*1E-4*DATOS!$C$86/100/1000,N(U40)))," ‖ largo",""),"CUMPLE"))))</f>
        <v/>
      </c>
      <c r="BL40" s="58" t="str">
        <f>IF(V40&lt;&gt;"SÍ","",(DATOS!$C$85-AK40-INDEX(TABLAS!$C$52:$C$58,MATCH(MAX(4,DATOS!$C$71),TABLAS!$B$52:$B$58,0))/2))</f>
        <v/>
      </c>
      <c r="BM40" s="58" t="str">
        <f>IF(V40&lt;&gt;"SÍ","",IF(IF(BG40&lt;=0,0,IF((1-2*BG40*1E5/(DATOS!$C$29*AH40*BL40^2*DATOS!$C$21))&lt;0,-1,IF((1-SQRT((1-2*BG40*1E5/(DATOS!$C$29*AH40*BL40^2*DATOS!$C$21))))*DATOS!$C$21*AH40*BL40/DATOS!$C$14&gt;DATOS!$C$102*AH40*BL40,-1,(1-SQRT((1-2*BG40*1E5/(DATOS!$C$29*AH40*BL40^2*DATOS!$C$21))))*DATOS!$C$21*AH40*BL40/DATOS!$C$14)))&lt;0,-1,MAX(IF(BG40&lt;=0,0,IF((1-2*BG40*1E5/(DATOS!$C$29*AH40*BL40^2*DATOS!$C$21))&lt;0,-1,IF((1-SQRT((1-2*BG40*1E5/(DATOS!$C$29*AH40*BL40^2*DATOS!$C$21))))*DATOS!$C$21*AH40*BL40/DATOS!$C$14&gt;DATOS!$C$102*AH40*BL40,-1,(1-SQRT((1-2*BG40*1E5/(DATOS!$C$29*AH40*BL40^2*DATOS!$C$21))))*DATOS!$C$21*AH40*BL40/DATOS!$C$14))),MIN(DATOS!$C$103*AD40*BL40,4/3*IF(BG40&lt;=0,0,IF((1-2*BG40*1E5/(DATOS!$C$29*AH40*BL40^2*DATOS!$C$21))&lt;0,-1,IF((1-SQRT((1-2*BG40*1E5/(DATOS!$C$29*AH40*BL40^2*DATOS!$C$21))))*DATOS!$C$21*AH40*BL40/DATOS!$C$14&gt;DATOS!$C$102*AH40*BL40,-1,(1-SQRT((1-2*BG40*1E5/(DATOS!$C$29*AH40*BL40^2*DATOS!$C$21))))*DATOS!$C$21*AH40*BL40/DATOS!$C$14)))))))</f>
        <v/>
      </c>
      <c r="BN40" s="64" t="str">
        <f>IF(V40&lt;&gt;"SÍ","",IF(AND(BM40&gt;=0,IF(MAX(DATOS!$C$74,CEILING(BM40/INDEX(TABLAS!$D$52:$D$58,MIN(MATCH(MAX(4,DATOS!$C$71),TABLAS!$B$52:$B$58,0)+0,7)),1))*INDEX(TABLAS!$D$52:$D$58,MIN(MATCH(MAX(4,DATOS!$C$71),TABLAS!$B$52:$B$58,0)+0,7)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+0,7)),1)),MAX(MAX(DATOS!$C$74,CEILING(BM40/INDEX(TABLAS!$D$52:$D$58,MIN(MATCH(MAX(4,DATOS!$C$71),TABLAS!$B$52:$B$58,0)+0,7)),1)),2))&lt;=MIN(DATOS!$C$73,INT(((AD40-2*AK40)+MAX(DATOS!$C$70,INDEX(TABLAS!$C$52:$C$58,MIN(MATCH(MAX(4,DATOS!$C$71),TABLAS!$B$52:$B$58,0)+0,7))))/(INDEX(TABLAS!$C$52:$C$58,MIN(MATCH(MAX(4,DATOS!$C$71),TABLAS!$B$52:$B$58,0)+0,7))+MAX(DATOS!$C$70,INDEX(TABLAS!$C$52:$C$58,MIN(MATCH(MAX(4,DATOS!$C$71),TABLAS!$B$52:$B$58,0)+0,7))))))),INDEX(TABLAS!$B$52:$B$58,MIN(MATCH(MAX(4,DATOS!$C$71),TABLAS!$B$52:$B$58,0)+0,7)),IF(AND(BM40&gt;=0,IF(MAX(DATOS!$C$74,CEILING(BM40/INDEX(TABLAS!$D$52:$D$58,MIN(MATCH(MAX(4,DATOS!$C$71),TABLAS!$B$52:$B$58,0)+1,7)),1))*INDEX(TABLAS!$D$52:$D$58,MIN(MATCH(MAX(4,DATOS!$C$71),TABLAS!$B$52:$B$58,0)+1,7)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+1,7)),1)),MAX(MAX(DATOS!$C$74,CEILING(BM40/INDEX(TABLAS!$D$52:$D$58,MIN(MATCH(MAX(4,DATOS!$C$71),TABLAS!$B$52:$B$58,0)+1,7)),1)),2))&lt;=MIN(DATOS!$C$73,INT(((AD40-2*AK40)+MAX(DATOS!$C$70,INDEX(TABLAS!$C$52:$C$58,MIN(MATCH(MAX(4,DATOS!$C$71),TABLAS!$B$52:$B$58,0)+1,7))))/(INDEX(TABLAS!$C$52:$C$58,MIN(MATCH(MAX(4,DATOS!$C$71),TABLAS!$B$52:$B$58,0)+1,7))+MAX(DATOS!$C$70,INDEX(TABLAS!$C$52:$C$58,MIN(MATCH(MAX(4,DATOS!$C$71),TABLAS!$B$52:$B$58,0)+1,7))))))),INDEX(TABLAS!$B$52:$B$58,MIN(MATCH(MAX(4,DATOS!$C$71),TABLAS!$B$52:$B$58,0)+1,7)),IF(AND(BM40&gt;=0,IF(MAX(DATOS!$C$74,CEILING(BM40/INDEX(TABLAS!$D$52:$D$58,MIN(MATCH(MAX(4,DATOS!$C$71),TABLAS!$B$52:$B$58,0)+2,7)),1))*INDEX(TABLAS!$D$52:$D$58,MIN(MATCH(MAX(4,DATOS!$C$71),TABLAS!$B$52:$B$58,0)+2,7)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+2,7)),1)),MAX(MAX(DATOS!$C$74,CEILING(BM40/INDEX(TABLAS!$D$52:$D$58,MIN(MATCH(MAX(4,DATOS!$C$71),TABLAS!$B$52:$B$58,0)+2,7)),1)),2))&lt;=MIN(DATOS!$C$73,INT(((AD40-2*AK40)+MAX(DATOS!$C$70,INDEX(TABLAS!$C$52:$C$58,MIN(MATCH(MAX(4,DATOS!$C$71),TABLAS!$B$52:$B$58,0)+2,7))))/(INDEX(TABLAS!$C$52:$C$58,MIN(MATCH(MAX(4,DATOS!$C$71),TABLAS!$B$52:$B$58,0)+2,7))+MAX(DATOS!$C$70,INDEX(TABLAS!$C$52:$C$58,MIN(MATCH(MAX(4,DATOS!$C$71),TABLAS!$B$52:$B$58,0)+2,7))))))),INDEX(TABLAS!$B$52:$B$58,MIN(MATCH(MAX(4,DATOS!$C$71),TABLAS!$B$52:$B$58,0)+2,7)),IF(AND(BM40&gt;=0,IF(MAX(DATOS!$C$74,CEILING(BM40/INDEX(TABLAS!$D$52:$D$58,MIN(MATCH(MAX(4,DATOS!$C$71),TABLAS!$B$52:$B$58,0)+3,7)),1))*INDEX(TABLAS!$D$52:$D$58,MIN(MATCH(MAX(4,DATOS!$C$71),TABLAS!$B$52:$B$58,0)+3,7)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+3,7)),1)),MAX(MAX(DATOS!$C$74,CEILING(BM40/INDEX(TABLAS!$D$52:$D$58,MIN(MATCH(MAX(4,DATOS!$C$71),TABLAS!$B$52:$B$58,0)+3,7)),1)),2))&lt;=MIN(DATOS!$C$73,INT(((AD40-2*AK40)+MAX(DATOS!$C$70,INDEX(TABLAS!$C$52:$C$58,MIN(MATCH(MAX(4,DATOS!$C$71),TABLAS!$B$52:$B$58,0)+3,7))))/(INDEX(TABLAS!$C$52:$C$58,MIN(MATCH(MAX(4,DATOS!$C$71),TABLAS!$B$52:$B$58,0)+3,7))+MAX(DATOS!$C$70,INDEX(TABLAS!$C$52:$C$58,MIN(MATCH(MAX(4,DATOS!$C$71),TABLAS!$B$52:$B$58,0)+3,7))))))),INDEX(TABLAS!$B$52:$B$58,MIN(MATCH(MAX(4,DATOS!$C$71),TABLAS!$B$52:$B$58,0)+3,7)),IF(AND(BM40&gt;=0,IF(MAX(DATOS!$C$74,CEILING(BM40/INDEX(TABLAS!$D$52:$D$58,MIN(MATCH(MAX(4,DATOS!$C$71),TABLAS!$B$52:$B$58,0)+4,7)),1))*INDEX(TABLAS!$D$52:$D$58,MIN(MATCH(MAX(4,DATOS!$C$71),TABLAS!$B$52:$B$58,0)+4,7)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+4,7)),1)),MAX(MAX(DATOS!$C$74,CEILING(BM40/INDEX(TABLAS!$D$52:$D$58,MIN(MATCH(MAX(4,DATOS!$C$71),TABLAS!$B$52:$B$58,0)+4,7)),1)),2))&lt;=MIN(DATOS!$C$73,INT(((AD40-2*AK40)+MAX(DATOS!$C$70,INDEX(TABLAS!$C$52:$C$58,MIN(MATCH(MAX(4,DATOS!$C$71),TABLAS!$B$52:$B$58,0)+4,7))))/(INDEX(TABLAS!$C$52:$C$58,MIN(MATCH(MAX(4,DATOS!$C$71),TABLAS!$B$52:$B$58,0)+4,7))+MAX(DATOS!$C$70,INDEX(TABLAS!$C$52:$C$58,MIN(MATCH(MAX(4,DATOS!$C$71),TABLAS!$B$52:$B$58,0)+4,7))))))),INDEX(TABLAS!$B$52:$B$58,MIN(MATCH(MAX(4,DATOS!$C$71),TABLAS!$B$52:$B$58,0)+4,7)),INDEX(TABLAS!$B$52:$B$58,7)))))))</f>
        <v/>
      </c>
      <c r="BO40" s="59" t="str">
        <f>IF(V40&lt;&gt;"SÍ","",IF(BM40&lt;0,0,IF(MAX(DATOS!$C$74,CEILING(MAX(BM40,0)/INDEX(TABLAS!$D$52:$D$58,MATCH(BN40,TABLAS!$B$52:$B$58,0)),1))*INDEX(TABLAS!$D$52:$D$58,MATCH(BN40,TABLAS!$B$52:$B$58,0))&gt;=4/3*IF(BG40&lt;=0,0,IF((1-2*BG40*1E5/(DATOS!$C$29*AH40*BL40^2*DATOS!$C$21))&lt;0,-1,IF((1-SQRT((1-2*BG40*1E5/(DATOS!$C$29*AH40*BL40^2*DATOS!$C$21))))*DATOS!$C$21*AH40*BL40/DATOS!$C$14&gt;DATOS!$C$102*AH40*BL40,-1,(1-SQRT((1-2*BG40*1E5/(DATOS!$C$29*AH40*BL40^2*DATOS!$C$21))))*DATOS!$C$21*AH40*BL40/DATOS!$C$14)))-0.0001,MAX(DATOS!$C$74,CEILING(MAX(BM40,0)/INDEX(TABLAS!$D$52:$D$58,MATCH(BN40,TABLAS!$B$52:$B$58,0)),1)),MAX(MAX(DATOS!$C$74,CEILING(MAX(BM40,0)/INDEX(TABLAS!$D$52:$D$58,MATCH(BN40,TABLAS!$B$52:$B$58,0)),1)),2))))</f>
        <v/>
      </c>
      <c r="BP40" s="58" t="str">
        <f>IF(V40&lt;&gt;"SÍ","",DATOS!$C$85-AK40-INDEX(TABLAS!$C$52:$C$58,MATCH(BN40,TABLAS!$B$52:$B$58,0))/2)</f>
        <v/>
      </c>
      <c r="BQ40" s="56" t="str">
        <f>IF(V40&lt;&gt;"SÍ","",IF(BO40=0,0,DATOS!$C$29*BO40*INDEX(TABLAS!$D$52:$D$58,MATCH(BN40,TABLAS!$B$52:$B$58,0))*DATOS!$C$14*(BP40-BO40*INDEX(TABLAS!$D$52:$D$58,MATCH(BN40,TABLAS!$B$52:$B$58,0))*DATOS!$C$14/(DATOS!$C$21*AH40)/2)/1E5))</f>
        <v/>
      </c>
      <c r="BR40" s="65" t="str">
        <f>IF(V40&lt;&gt;"SÍ","",IF(BM40&lt;0,9.99,IF(BQ40&gt;0,BG40/BQ40,0)))</f>
        <v/>
      </c>
      <c r="BS40" s="66" t="str">
        <f>IF(V40&lt;&gt;"SÍ","",IF(BO40=0,"—",0.003*(BP40-(BO40*INDEX(TABLAS!$D$52:$D$58,MATCH(BN40,TABLAS!$B$52:$B$58,0))*DATOS!$C$14/(DATOS!$C$21*AH40)/DATOS!$C$22))/(BO40*INDEX(TABLAS!$D$52:$D$58,MATCH(BN40,TABLAS!$B$52:$B$58,0))*DATOS!$C$14/(DATOS!$C$21*AH40)/DATOS!$C$22)))</f>
        <v/>
      </c>
      <c r="BT40" s="58" t="str">
        <f>IF(V40&lt;&gt;"SÍ","",((DATOS!$C$85-AM40-2*DATOS!$C$97-INDEX(TABLAS!$C$52:$C$58,MATCH(MAX(4,DATOS!$C$72),TABLAS!$B$52:$B$58,0))/2)-IF(AND((DATOS!$C$85-AM40-2*DATOS!$C$97-INDEX(TABLAS!$C$52:$C$58,MATCH(MAX(4,DATOS!$C$72),TABLAS!$B$52:$B$58,0))/2)&lt;=20,DATOS!$C$65&lt;&gt;"SÍ"),2,0)))</f>
        <v/>
      </c>
      <c r="BU40" s="58" t="str">
        <f>IF(V40&lt;&gt;"SÍ","",IF(IF(BH40&lt;=0,0,IF((1-2*BH40*1E5/(DATOS!$C$29*AF40*BT40^2*DATOS!$C$21))&lt;0,-1,IF((1-SQRT((1-2*BH40*1E5/(DATOS!$C$29*AF40*BT40^2*DATOS!$C$21))))*DATOS!$C$21*AF40*BT40/DATOS!$C$14&gt;DATOS!$C$102*AF40*BT40,-1,(1-SQRT((1-2*BH40*1E5/(DATOS!$C$29*AF40*BT40^2*DATOS!$C$21))))*DATOS!$C$21*AF40*BT40/DATOS!$C$14)))&lt;0,-1,MAX(IF(BH40&lt;=0,0,IF((1-2*BH40*1E5/(DATOS!$C$29*AF40*BT40^2*DATOS!$C$21))&lt;0,-1,IF((1-SQRT((1-2*BH40*1E5/(DATOS!$C$29*AF40*BT40^2*DATOS!$C$21))))*DATOS!$C$21*AF40*BT40/DATOS!$C$14&gt;DATOS!$C$102*AF40*BT40,-1,(1-SQRT((1-2*BH40*1E5/(DATOS!$C$29*AF40*BT40^2*DATOS!$C$21))))*DATOS!$C$21*AF40*BT40/DATOS!$C$14))),MIN(DATOS!$C$103*IF(C40="VOLADO",MIN(AH40,2*AD40),AD40)*BT40,4/3*IF(BH40&lt;=0,0,IF((1-2*BH40*1E5/(DATOS!$C$29*AF40*BT40^2*DATOS!$C$21))&lt;0,-1,IF((1-SQRT((1-2*BH40*1E5/(DATOS!$C$29*AF40*BT40^2*DATOS!$C$21))))*DATOS!$C$21*AF40*BT40/DATOS!$C$14&gt;DATOS!$C$102*AF40*BT40,-1,(1-SQRT((1-2*BH40*1E5/(DATOS!$C$29*AF40*BT40^2*DATOS!$C$21))))*DATOS!$C$21*AF40*BT40/DATOS!$C$14)))))))</f>
        <v/>
      </c>
      <c r="BV40" s="64" t="str">
        <f>IF(V40&lt;&gt;"SÍ","",IF(AND(BU40&gt;=0,IF(MAX(DATOS!$C$74,CEILING(BU40/INDEX(TABLAS!$D$52:$D$58,MIN(MATCH(MAX(4,DATOS!$C$72),TABLAS!$B$52:$B$58,0)+0,7)),1))*INDEX(TABLAS!$D$52:$D$58,MIN(MATCH(MAX(4,DATOS!$C$72),TABLAS!$B$52:$B$58,0)+0,7)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+0,7)),1)),MAX(MAX(DATOS!$C$74,CEILING(BU40/INDEX(TABLAS!$D$52:$D$58,MIN(MATCH(MAX(4,DATOS!$C$72),TABLAS!$B$52:$B$58,0)+0,7)),1)),2))&lt;=MIN(DATOS!$C$73,INT(((AD40-2*AL40)+MAX(DATOS!$C$70,INDEX(TABLAS!$C$52:$C$58,MIN(MATCH(MAX(4,DATOS!$C$72),TABLAS!$B$52:$B$58,0)+0,7))))/(INDEX(TABLAS!$C$52:$C$58,MIN(MATCH(MAX(4,DATOS!$C$72),TABLAS!$B$52:$B$58,0)+0,7))+MAX(DATOS!$C$70,INDEX(TABLAS!$C$52:$C$58,MIN(MATCH(MAX(4,DATOS!$C$72),TABLAS!$B$52:$B$58,0)+0,7))))))),INDEX(TABLAS!$B$52:$B$58,MIN(MATCH(MAX(4,DATOS!$C$72),TABLAS!$B$52:$B$58,0)+0,7)),IF(AND(BU40&gt;=0,IF(MAX(DATOS!$C$74,CEILING(BU40/INDEX(TABLAS!$D$52:$D$58,MIN(MATCH(MAX(4,DATOS!$C$72),TABLAS!$B$52:$B$58,0)+1,7)),1))*INDEX(TABLAS!$D$52:$D$58,MIN(MATCH(MAX(4,DATOS!$C$72),TABLAS!$B$52:$B$58,0)+1,7)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+1,7)),1)),MAX(MAX(DATOS!$C$74,CEILING(BU40/INDEX(TABLAS!$D$52:$D$58,MIN(MATCH(MAX(4,DATOS!$C$72),TABLAS!$B$52:$B$58,0)+1,7)),1)),2))&lt;=MIN(DATOS!$C$73,INT(((AD40-2*AL40)+MAX(DATOS!$C$70,INDEX(TABLAS!$C$52:$C$58,MIN(MATCH(MAX(4,DATOS!$C$72),TABLAS!$B$52:$B$58,0)+1,7))))/(INDEX(TABLAS!$C$52:$C$58,MIN(MATCH(MAX(4,DATOS!$C$72),TABLAS!$B$52:$B$58,0)+1,7))+MAX(DATOS!$C$70,INDEX(TABLAS!$C$52:$C$58,MIN(MATCH(MAX(4,DATOS!$C$72),TABLAS!$B$52:$B$58,0)+1,7))))))),INDEX(TABLAS!$B$52:$B$58,MIN(MATCH(MAX(4,DATOS!$C$72),TABLAS!$B$52:$B$58,0)+1,7)),IF(AND(BU40&gt;=0,IF(MAX(DATOS!$C$74,CEILING(BU40/INDEX(TABLAS!$D$52:$D$58,MIN(MATCH(MAX(4,DATOS!$C$72),TABLAS!$B$52:$B$58,0)+2,7)),1))*INDEX(TABLAS!$D$52:$D$58,MIN(MATCH(MAX(4,DATOS!$C$72),TABLAS!$B$52:$B$58,0)+2,7)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+2,7)),1)),MAX(MAX(DATOS!$C$74,CEILING(BU40/INDEX(TABLAS!$D$52:$D$58,MIN(MATCH(MAX(4,DATOS!$C$72),TABLAS!$B$52:$B$58,0)+2,7)),1)),2))&lt;=MIN(DATOS!$C$73,INT(((AD40-2*AL40)+MAX(DATOS!$C$70,INDEX(TABLAS!$C$52:$C$58,MIN(MATCH(MAX(4,DATOS!$C$72),TABLAS!$B$52:$B$58,0)+2,7))))/(INDEX(TABLAS!$C$52:$C$58,MIN(MATCH(MAX(4,DATOS!$C$72),TABLAS!$B$52:$B$58,0)+2,7))+MAX(DATOS!$C$70,INDEX(TABLAS!$C$52:$C$58,MIN(MATCH(MAX(4,DATOS!$C$72),TABLAS!$B$52:$B$58,0)+2,7))))))),INDEX(TABLAS!$B$52:$B$58,MIN(MATCH(MAX(4,DATOS!$C$72),TABLAS!$B$52:$B$58,0)+2,7)),IF(AND(BU40&gt;=0,IF(MAX(DATOS!$C$74,CEILING(BU40/INDEX(TABLAS!$D$52:$D$58,MIN(MATCH(MAX(4,DATOS!$C$72),TABLAS!$B$52:$B$58,0)+3,7)),1))*INDEX(TABLAS!$D$52:$D$58,MIN(MATCH(MAX(4,DATOS!$C$72),TABLAS!$B$52:$B$58,0)+3,7)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+3,7)),1)),MAX(MAX(DATOS!$C$74,CEILING(BU40/INDEX(TABLAS!$D$52:$D$58,MIN(MATCH(MAX(4,DATOS!$C$72),TABLAS!$B$52:$B$58,0)+3,7)),1)),2))&lt;=MIN(DATOS!$C$73,INT(((AD40-2*AL40)+MAX(DATOS!$C$70,INDEX(TABLAS!$C$52:$C$58,MIN(MATCH(MAX(4,DATOS!$C$72),TABLAS!$B$52:$B$58,0)+3,7))))/(INDEX(TABLAS!$C$52:$C$58,MIN(MATCH(MAX(4,DATOS!$C$72),TABLAS!$B$52:$B$58,0)+3,7))+MAX(DATOS!$C$70,INDEX(TABLAS!$C$52:$C$58,MIN(MATCH(MAX(4,DATOS!$C$72),TABLAS!$B$52:$B$58,0)+3,7))))))),INDEX(TABLAS!$B$52:$B$58,MIN(MATCH(MAX(4,DATOS!$C$72),TABLAS!$B$52:$B$58,0)+3,7)),IF(AND(BU40&gt;=0,IF(MAX(DATOS!$C$74,CEILING(BU40/INDEX(TABLAS!$D$52:$D$58,MIN(MATCH(MAX(4,DATOS!$C$72),TABLAS!$B$52:$B$58,0)+4,7)),1))*INDEX(TABLAS!$D$52:$D$58,MIN(MATCH(MAX(4,DATOS!$C$72),TABLAS!$B$52:$B$58,0)+4,7)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+4,7)),1)),MAX(MAX(DATOS!$C$74,CEILING(BU40/INDEX(TABLAS!$D$52:$D$58,MIN(MATCH(MAX(4,DATOS!$C$72),TABLAS!$B$52:$B$58,0)+4,7)),1)),2))&lt;=MIN(DATOS!$C$73,INT(((AD40-2*AL40)+MAX(DATOS!$C$70,INDEX(TABLAS!$C$52:$C$58,MIN(MATCH(MAX(4,DATOS!$C$72),TABLAS!$B$52:$B$58,0)+4,7))))/(INDEX(TABLAS!$C$52:$C$58,MIN(MATCH(MAX(4,DATOS!$C$72),TABLAS!$B$52:$B$58,0)+4,7))+MAX(DATOS!$C$70,INDEX(TABLAS!$C$52:$C$58,MIN(MATCH(MAX(4,DATOS!$C$72),TABLAS!$B$52:$B$58,0)+4,7))))))),INDEX(TABLAS!$B$52:$B$58,MIN(MATCH(MAX(4,DATOS!$C$72),TABLAS!$B$52:$B$58,0)+4,7)),INDEX(TABLAS!$B$52:$B$58,7)))))))</f>
        <v/>
      </c>
      <c r="BW40" s="59" t="str">
        <f>IF(V40&lt;&gt;"SÍ","",IF(BU40&lt;0,0,IF(MAX(DATOS!$C$74,CEILING(MAX(BU40,0)/INDEX(TABLAS!$D$52:$D$58,MATCH(BV40,TABLAS!$B$52:$B$58,0)),1))*INDEX(TABLAS!$D$52:$D$58,MATCH(BV40,TABLAS!$B$52:$B$58,0))&gt;=4/3*IF(BH40&lt;=0,0,IF((1-2*BH40*1E5/(DATOS!$C$29*AF40*BT40^2*DATOS!$C$21))&lt;0,-1,IF((1-SQRT((1-2*BH40*1E5/(DATOS!$C$29*AF40*BT40^2*DATOS!$C$21))))*DATOS!$C$21*AF40*BT40/DATOS!$C$14&gt;DATOS!$C$102*AF40*BT40,-1,(1-SQRT((1-2*BH40*1E5/(DATOS!$C$29*AF40*BT40^2*DATOS!$C$21))))*DATOS!$C$21*AF40*BT40/DATOS!$C$14)))-0.0001,MAX(DATOS!$C$74,CEILING(MAX(BU40,0)/INDEX(TABLAS!$D$52:$D$58,MATCH(BV40,TABLAS!$B$52:$B$58,0)),1)),MAX(MAX(DATOS!$C$74,CEILING(MAX(BU40,0)/INDEX(TABLAS!$D$52:$D$58,MATCH(BV40,TABLAS!$B$52:$B$58,0)),1)),2))))</f>
        <v/>
      </c>
      <c r="BX40" s="58" t="str">
        <f>IF(V40&lt;&gt;"SÍ","",((DATOS!$C$85-AM40-2*DATOS!$C$97-INDEX(TABLAS!$C$52:$C$58,MATCH(BV40,TABLAS!$B$52:$B$58,0))/2)-IF(AND((DATOS!$C$85-AM40-2*DATOS!$C$97-INDEX(TABLAS!$C$52:$C$58,MATCH(BV40,TABLAS!$B$52:$B$58,0))/2)&lt;=20,DATOS!$C$65&lt;&gt;"SÍ"),2,0)))</f>
        <v/>
      </c>
      <c r="BY40" s="56" t="str">
        <f>IF(V40&lt;&gt;"SÍ","",IF(BW40=0,0,DATOS!$C$29*BW40*INDEX(TABLAS!$D$52:$D$58,MATCH(BV40,TABLAS!$B$52:$B$58,0))*DATOS!$C$14*(BX40-BW40*INDEX(TABLAS!$D$52:$D$58,MATCH(BV40,TABLAS!$B$52:$B$58,0))*DATOS!$C$14/(DATOS!$C$21*AF40)/2)/1E5))</f>
        <v/>
      </c>
      <c r="BZ40" s="65" t="str">
        <f>IF(V40&lt;&gt;"SÍ","",IF(BU40&lt;0,9.99,IF(BY40&gt;0,BH40/BY40,0)))</f>
        <v/>
      </c>
      <c r="CA40" s="66" t="str">
        <f>IF(V40&lt;&gt;"SÍ","",IF(BW40=0,"—",0.003*(BX40-(BW40*INDEX(TABLAS!$D$52:$D$58,MATCH(BV40,TABLAS!$B$52:$B$58,0))*DATOS!$C$14/(DATOS!$C$21*AF40)/DATOS!$C$22))/(BW40*INDEX(TABLAS!$D$52:$D$58,MATCH(BV40,TABLAS!$B$52:$B$58,0))*DATOS!$C$14/(DATOS!$C$21*AF40)/DATOS!$C$22)))</f>
        <v/>
      </c>
      <c r="CB40" s="58" t="str">
        <f>IF(V40&lt;&gt;"SÍ","",(DATOS!$C$85-AK40-INDEX(TABLAS!$C$52:$C$58,MATCH(MAX(4,DATOS!$C$71),TABLAS!$B$52:$B$58,0))-INDEX(TABLAS!$C$52:$C$58,MATCH(MAX(4,DATOS!$C$71),TABLAS!$B$52:$B$58,0))/2))</f>
        <v/>
      </c>
      <c r="CC40" s="58" t="str">
        <f>IF(V40&lt;&gt;"SÍ","",IF(IF(BI40&lt;=0,0,IF((1-2*BI40*1E5/(DATOS!$C$29*AI40*CB40^2*DATOS!$C$21))&lt;0,-1,IF((1-SQRT((1-2*BI40*1E5/(DATOS!$C$29*AI40*CB40^2*DATOS!$C$21))))*DATOS!$C$21*AI40*CB40/DATOS!$C$14&gt;DATOS!$C$102*AI40*CB40,-1,(1-SQRT((1-2*BI40*1E5/(DATOS!$C$29*AI40*CB40^2*DATOS!$C$21))))*DATOS!$C$21*AI40*CB40/DATOS!$C$14)))&lt;0,-1,MAX(IF(BI40&lt;=0,0,IF((1-2*BI40*1E5/(DATOS!$C$29*AI40*CB40^2*DATOS!$C$21))&lt;0,-1,IF((1-SQRT((1-2*BI40*1E5/(DATOS!$C$29*AI40*CB40^2*DATOS!$C$21))))*DATOS!$C$21*AI40*CB40/DATOS!$C$14&gt;DATOS!$C$102*AI40*CB40,-1,(1-SQRT((1-2*BI40*1E5/(DATOS!$C$29*AI40*CB40^2*DATOS!$C$21))))*DATOS!$C$21*AI40*CB40/DATOS!$C$14))),MIN(DATOS!$C$103*DATOS!$C$83*CB40,4/3*IF(BI40&lt;=0,0,IF((1-2*BI40*1E5/(DATOS!$C$29*AI40*CB40^2*DATOS!$C$21))&lt;0,-1,IF((1-SQRT((1-2*BI40*1E5/(DATOS!$C$29*AI40*CB40^2*DATOS!$C$21))))*DATOS!$C$21*AI40*CB40/DATOS!$C$14&gt;DATOS!$C$102*AI40*CB40,-1,(1-SQRT((1-2*BI40*1E5/(DATOS!$C$29*AI40*CB40^2*DATOS!$C$21))))*DATOS!$C$21*AI40*CB40/DATOS!$C$14)))))))</f>
        <v/>
      </c>
      <c r="CD40" s="64" t="str">
        <f>IF(V40&lt;&gt;"SÍ","",IF(AND(CC40&gt;=0,IF(MAX(DATOS!$C$74,CEILING(CC40/INDEX(TABLAS!$D$52:$D$58,MIN(MATCH(MAX(4,DATOS!$C$71),TABLAS!$B$52:$B$58,0)+0,7)),1))*INDEX(TABLAS!$D$52:$D$58,MIN(MATCH(MAX(4,DATOS!$C$71),TABLAS!$B$52:$B$58,0)+0,7)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+0,7)),1)),MAX(MAX(DATOS!$C$74,CEILING(CC40/INDEX(TABLAS!$D$52:$D$58,MIN(MATCH(MAX(4,DATOS!$C$71),TABLAS!$B$52:$B$58,0)+0,7)),1)),2))&lt;=MIN(DATOS!$C$73,INT(((DATOS!$C$83-2*AK40)+MAX(DATOS!$C$70,INDEX(TABLAS!$C$52:$C$58,MIN(MATCH(MAX(4,DATOS!$C$71),TABLAS!$B$52:$B$58,0)+0,7))))/(INDEX(TABLAS!$C$52:$C$58,MIN(MATCH(MAX(4,DATOS!$C$71),TABLAS!$B$52:$B$58,0)+0,7))+MAX(DATOS!$C$70,INDEX(TABLAS!$C$52:$C$58,MIN(MATCH(MAX(4,DATOS!$C$71),TABLAS!$B$52:$B$58,0)+0,7))))))),INDEX(TABLAS!$B$52:$B$58,MIN(MATCH(MAX(4,DATOS!$C$71),TABLAS!$B$52:$B$58,0)+0,7)),IF(AND(CC40&gt;=0,IF(MAX(DATOS!$C$74,CEILING(CC40/INDEX(TABLAS!$D$52:$D$58,MIN(MATCH(MAX(4,DATOS!$C$71),TABLAS!$B$52:$B$58,0)+1,7)),1))*INDEX(TABLAS!$D$52:$D$58,MIN(MATCH(MAX(4,DATOS!$C$71),TABLAS!$B$52:$B$58,0)+1,7)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+1,7)),1)),MAX(MAX(DATOS!$C$74,CEILING(CC40/INDEX(TABLAS!$D$52:$D$58,MIN(MATCH(MAX(4,DATOS!$C$71),TABLAS!$B$52:$B$58,0)+1,7)),1)),2))&lt;=MIN(DATOS!$C$73,INT(((DATOS!$C$83-2*AK40)+MAX(DATOS!$C$70,INDEX(TABLAS!$C$52:$C$58,MIN(MATCH(MAX(4,DATOS!$C$71),TABLAS!$B$52:$B$58,0)+1,7))))/(INDEX(TABLAS!$C$52:$C$58,MIN(MATCH(MAX(4,DATOS!$C$71),TABLAS!$B$52:$B$58,0)+1,7))+MAX(DATOS!$C$70,INDEX(TABLAS!$C$52:$C$58,MIN(MATCH(MAX(4,DATOS!$C$71),TABLAS!$B$52:$B$58,0)+1,7))))))),INDEX(TABLAS!$B$52:$B$58,MIN(MATCH(MAX(4,DATOS!$C$71),TABLAS!$B$52:$B$58,0)+1,7)),IF(AND(CC40&gt;=0,IF(MAX(DATOS!$C$74,CEILING(CC40/INDEX(TABLAS!$D$52:$D$58,MIN(MATCH(MAX(4,DATOS!$C$71),TABLAS!$B$52:$B$58,0)+2,7)),1))*INDEX(TABLAS!$D$52:$D$58,MIN(MATCH(MAX(4,DATOS!$C$71),TABLAS!$B$52:$B$58,0)+2,7)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+2,7)),1)),MAX(MAX(DATOS!$C$74,CEILING(CC40/INDEX(TABLAS!$D$52:$D$58,MIN(MATCH(MAX(4,DATOS!$C$71),TABLAS!$B$52:$B$58,0)+2,7)),1)),2))&lt;=MIN(DATOS!$C$73,INT(((DATOS!$C$83-2*AK40)+MAX(DATOS!$C$70,INDEX(TABLAS!$C$52:$C$58,MIN(MATCH(MAX(4,DATOS!$C$71),TABLAS!$B$52:$B$58,0)+2,7))))/(INDEX(TABLAS!$C$52:$C$58,MIN(MATCH(MAX(4,DATOS!$C$71),TABLAS!$B$52:$B$58,0)+2,7))+MAX(DATOS!$C$70,INDEX(TABLAS!$C$52:$C$58,MIN(MATCH(MAX(4,DATOS!$C$71),TABLAS!$B$52:$B$58,0)+2,7))))))),INDEX(TABLAS!$B$52:$B$58,MIN(MATCH(MAX(4,DATOS!$C$71),TABLAS!$B$52:$B$58,0)+2,7)),IF(AND(CC40&gt;=0,IF(MAX(DATOS!$C$74,CEILING(CC40/INDEX(TABLAS!$D$52:$D$58,MIN(MATCH(MAX(4,DATOS!$C$71),TABLAS!$B$52:$B$58,0)+3,7)),1))*INDEX(TABLAS!$D$52:$D$58,MIN(MATCH(MAX(4,DATOS!$C$71),TABLAS!$B$52:$B$58,0)+3,7)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+3,7)),1)),MAX(MAX(DATOS!$C$74,CEILING(CC40/INDEX(TABLAS!$D$52:$D$58,MIN(MATCH(MAX(4,DATOS!$C$71),TABLAS!$B$52:$B$58,0)+3,7)),1)),2))&lt;=MIN(DATOS!$C$73,INT(((DATOS!$C$83-2*AK40)+MAX(DATOS!$C$70,INDEX(TABLAS!$C$52:$C$58,MIN(MATCH(MAX(4,DATOS!$C$71),TABLAS!$B$52:$B$58,0)+3,7))))/(INDEX(TABLAS!$C$52:$C$58,MIN(MATCH(MAX(4,DATOS!$C$71),TABLAS!$B$52:$B$58,0)+3,7))+MAX(DATOS!$C$70,INDEX(TABLAS!$C$52:$C$58,MIN(MATCH(MAX(4,DATOS!$C$71),TABLAS!$B$52:$B$58,0)+3,7))))))),INDEX(TABLAS!$B$52:$B$58,MIN(MATCH(MAX(4,DATOS!$C$71),TABLAS!$B$52:$B$58,0)+3,7)),IF(AND(CC40&gt;=0,IF(MAX(DATOS!$C$74,CEILING(CC40/INDEX(TABLAS!$D$52:$D$58,MIN(MATCH(MAX(4,DATOS!$C$71),TABLAS!$B$52:$B$58,0)+4,7)),1))*INDEX(TABLAS!$D$52:$D$58,MIN(MATCH(MAX(4,DATOS!$C$71),TABLAS!$B$52:$B$58,0)+4,7)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+4,7)),1)),MAX(MAX(DATOS!$C$74,CEILING(CC40/INDEX(TABLAS!$D$52:$D$58,MIN(MATCH(MAX(4,DATOS!$C$71),TABLAS!$B$52:$B$58,0)+4,7)),1)),2))&lt;=MIN(DATOS!$C$73,INT(((DATOS!$C$83-2*AK40)+MAX(DATOS!$C$70,INDEX(TABLAS!$C$52:$C$58,MIN(MATCH(MAX(4,DATOS!$C$71),TABLAS!$B$52:$B$58,0)+4,7))))/(INDEX(TABLAS!$C$52:$C$58,MIN(MATCH(MAX(4,DATOS!$C$71),TABLAS!$B$52:$B$58,0)+4,7))+MAX(DATOS!$C$70,INDEX(TABLAS!$C$52:$C$58,MIN(MATCH(MAX(4,DATOS!$C$71),TABLAS!$B$52:$B$58,0)+4,7))))))),INDEX(TABLAS!$B$52:$B$58,MIN(MATCH(MAX(4,DATOS!$C$71),TABLAS!$B$52:$B$58,0)+4,7)),INDEX(TABLAS!$B$52:$B$58,7)))))))</f>
        <v/>
      </c>
      <c r="CE40" s="59" t="str">
        <f>IF(V40&lt;&gt;"SÍ","",IF(CC40&lt;0,0,IF(MAX(DATOS!$C$74,CEILING(MAX(CC40,0)/INDEX(TABLAS!$D$52:$D$58,MATCH(CD40,TABLAS!$B$52:$B$58,0)),1))*INDEX(TABLAS!$D$52:$D$58,MATCH(CD40,TABLAS!$B$52:$B$58,0))&gt;=4/3*IF(BI40&lt;=0,0,IF((1-2*BI40*1E5/(DATOS!$C$29*AI40*CB40^2*DATOS!$C$21))&lt;0,-1,IF((1-SQRT((1-2*BI40*1E5/(DATOS!$C$29*AI40*CB40^2*DATOS!$C$21))))*DATOS!$C$21*AI40*CB40/DATOS!$C$14&gt;DATOS!$C$102*AI40*CB40,-1,(1-SQRT((1-2*BI40*1E5/(DATOS!$C$29*AI40*CB40^2*DATOS!$C$21))))*DATOS!$C$21*AI40*CB40/DATOS!$C$14)))-0.0001,MAX(DATOS!$C$74,CEILING(MAX(CC40,0)/INDEX(TABLAS!$D$52:$D$58,MATCH(CD40,TABLAS!$B$52:$B$58,0)),1)),MAX(MAX(DATOS!$C$74,CEILING(MAX(CC40,0)/INDEX(TABLAS!$D$52:$D$58,MATCH(CD40,TABLAS!$B$52:$B$58,0)),1)),2))))</f>
        <v/>
      </c>
      <c r="CF40" s="58" t="str">
        <f>IF(V40&lt;&gt;"SÍ","",DATOS!$C$85-AK40-INDEX(TABLAS!$C$52:$C$58,MATCH(BN40,TABLAS!$B$52:$B$58,0))-INDEX(TABLAS!$C$52:$C$58,MATCH(CD40,TABLAS!$B$52:$B$58,0))/2)</f>
        <v/>
      </c>
      <c r="CG40" s="56" t="str">
        <f>IF(V40&lt;&gt;"SÍ","",IF(CE40=0,0,DATOS!$C$29*CE40*INDEX(TABLAS!$D$52:$D$58,MATCH(CD40,TABLAS!$B$52:$B$58,0))*DATOS!$C$14*(CF40-CE40*INDEX(TABLAS!$D$52:$D$58,MATCH(CD40,TABLAS!$B$52:$B$58,0))*DATOS!$C$14/(DATOS!$C$21*AI40)/2)/1E5))</f>
        <v/>
      </c>
      <c r="CH40" s="65" t="str">
        <f>IF(V40&lt;&gt;"SÍ","",IF(CC40&lt;0,9.99,IF(CG40&gt;0,BI40/CG40,0)))</f>
        <v/>
      </c>
      <c r="CI40" s="66" t="str">
        <f>IF(V40&lt;&gt;"SÍ","",IF(CE40=0,"—",0.003*(CF40-(CE40*INDEX(TABLAS!$D$52:$D$58,MATCH(CD40,TABLAS!$B$52:$B$58,0))*DATOS!$C$14/(DATOS!$C$21*AI40)/DATOS!$C$22))/(CE40*INDEX(TABLAS!$D$52:$D$58,MATCH(CD40,TABLAS!$B$52:$B$58,0))*DATOS!$C$14/(DATOS!$C$21*AI40)/DATOS!$C$22)))</f>
        <v/>
      </c>
      <c r="CJ40" s="58" t="str">
        <f>IF(V40&lt;&gt;"SÍ","",((DATOS!$C$85-AM40-2*DATOS!$C$97-INDEX(TABLAS!$C$52:$C$58,MATCH(MAX(4,DATOS!$C$72),TABLAS!$B$52:$B$58,0))-INDEX(TABLAS!$C$52:$C$58,MATCH(MAX(4,DATOS!$C$72),TABLAS!$B$52:$B$58,0))/2)-IF(AND((DATOS!$C$85-AM40-2*DATOS!$C$97-INDEX(TABLAS!$C$52:$C$58,MATCH(MAX(4,DATOS!$C$72),TABLAS!$B$52:$B$58,0))-INDEX(TABLAS!$C$52:$C$58,MATCH(MAX(4,DATOS!$C$72),TABLAS!$B$52:$B$58,0))/2)&lt;=20,DATOS!$C$65&lt;&gt;"SÍ"),2,0)))</f>
        <v/>
      </c>
      <c r="CK40" s="58" t="str">
        <f>IF(V40&lt;&gt;"SÍ","",IF(IF(BJ40&lt;=0,0,IF((1-2*BJ40*1E5/(DATOS!$C$29*AG40*CJ40^2*DATOS!$C$21))&lt;0,-1,IF((1-SQRT((1-2*BJ40*1E5/(DATOS!$C$29*AG40*CJ40^2*DATOS!$C$21))))*DATOS!$C$21*AG40*CJ40/DATOS!$C$14&gt;DATOS!$C$102*AG40*CJ40,-1,(1-SQRT((1-2*BJ40*1E5/(DATOS!$C$29*AG40*CJ40^2*DATOS!$C$21))))*DATOS!$C$21*AG40*CJ40/DATOS!$C$14)))&lt;0,-1,MAX(IF(BJ40&lt;=0,0,IF((1-2*BJ40*1E5/(DATOS!$C$29*AG40*CJ40^2*DATOS!$C$21))&lt;0,-1,IF((1-SQRT((1-2*BJ40*1E5/(DATOS!$C$29*AG40*CJ40^2*DATOS!$C$21))))*DATOS!$C$21*AG40*CJ40/DATOS!$C$14&gt;DATOS!$C$102*AG40*CJ40,-1,(1-SQRT((1-2*BJ40*1E5/(DATOS!$C$29*AG40*CJ40^2*DATOS!$C$21))))*DATOS!$C$21*AG40*CJ40/DATOS!$C$14))),MIN(DATOS!$C$103*DATOS!$C$83*CJ40,4/3*IF(BJ40&lt;=0,0,IF((1-2*BJ40*1E5/(DATOS!$C$29*AG40*CJ40^2*DATOS!$C$21))&lt;0,-1,IF((1-SQRT((1-2*BJ40*1E5/(DATOS!$C$29*AG40*CJ40^2*DATOS!$C$21))))*DATOS!$C$21*AG40*CJ40/DATOS!$C$14&gt;DATOS!$C$102*AG40*CJ40,-1,(1-SQRT((1-2*BJ40*1E5/(DATOS!$C$29*AG40*CJ40^2*DATOS!$C$21))))*DATOS!$C$21*AG40*CJ40/DATOS!$C$14)))))))</f>
        <v/>
      </c>
      <c r="CL40" s="64" t="str">
        <f>IF(V40&lt;&gt;"SÍ","",IF(AND(CK40&gt;=0,IF(MAX(DATOS!$C$74,CEILING(CK40/INDEX(TABLAS!$D$52:$D$58,MIN(MATCH(MAX(4,DATOS!$C$72),TABLAS!$B$52:$B$58,0)+0,7)),1))*INDEX(TABLAS!$D$52:$D$58,MIN(MATCH(MAX(4,DATOS!$C$72),TABLAS!$B$52:$B$58,0)+0,7)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+0,7)),1)),MAX(MAX(DATOS!$C$74,CEILING(CK40/INDEX(TABLAS!$D$52:$D$58,MIN(MATCH(MAX(4,DATOS!$C$72),TABLAS!$B$52:$B$58,0)+0,7)),1)),2))&lt;=MIN(DATOS!$C$73,INT(((DATOS!$C$83-2*AL40)+MAX(DATOS!$C$70,INDEX(TABLAS!$C$52:$C$58,MIN(MATCH(MAX(4,DATOS!$C$72),TABLAS!$B$52:$B$58,0)+0,7))))/(INDEX(TABLAS!$C$52:$C$58,MIN(MATCH(MAX(4,DATOS!$C$72),TABLAS!$B$52:$B$58,0)+0,7))+MAX(DATOS!$C$70,INDEX(TABLAS!$C$52:$C$58,MIN(MATCH(MAX(4,DATOS!$C$72),TABLAS!$B$52:$B$58,0)+0,7))))))),INDEX(TABLAS!$B$52:$B$58,MIN(MATCH(MAX(4,DATOS!$C$72),TABLAS!$B$52:$B$58,0)+0,7)),IF(AND(CK40&gt;=0,IF(MAX(DATOS!$C$74,CEILING(CK40/INDEX(TABLAS!$D$52:$D$58,MIN(MATCH(MAX(4,DATOS!$C$72),TABLAS!$B$52:$B$58,0)+1,7)),1))*INDEX(TABLAS!$D$52:$D$58,MIN(MATCH(MAX(4,DATOS!$C$72),TABLAS!$B$52:$B$58,0)+1,7)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+1,7)),1)),MAX(MAX(DATOS!$C$74,CEILING(CK40/INDEX(TABLAS!$D$52:$D$58,MIN(MATCH(MAX(4,DATOS!$C$72),TABLAS!$B$52:$B$58,0)+1,7)),1)),2))&lt;=MIN(DATOS!$C$73,INT(((DATOS!$C$83-2*AL40)+MAX(DATOS!$C$70,INDEX(TABLAS!$C$52:$C$58,MIN(MATCH(MAX(4,DATOS!$C$72),TABLAS!$B$52:$B$58,0)+1,7))))/(INDEX(TABLAS!$C$52:$C$58,MIN(MATCH(MAX(4,DATOS!$C$72),TABLAS!$B$52:$B$58,0)+1,7))+MAX(DATOS!$C$70,INDEX(TABLAS!$C$52:$C$58,MIN(MATCH(MAX(4,DATOS!$C$72),TABLAS!$B$52:$B$58,0)+1,7))))))),INDEX(TABLAS!$B$52:$B$58,MIN(MATCH(MAX(4,DATOS!$C$72),TABLAS!$B$52:$B$58,0)+1,7)),IF(AND(CK40&gt;=0,IF(MAX(DATOS!$C$74,CEILING(CK40/INDEX(TABLAS!$D$52:$D$58,MIN(MATCH(MAX(4,DATOS!$C$72),TABLAS!$B$52:$B$58,0)+2,7)),1))*INDEX(TABLAS!$D$52:$D$58,MIN(MATCH(MAX(4,DATOS!$C$72),TABLAS!$B$52:$B$58,0)+2,7)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+2,7)),1)),MAX(MAX(DATOS!$C$74,CEILING(CK40/INDEX(TABLAS!$D$52:$D$58,MIN(MATCH(MAX(4,DATOS!$C$72),TABLAS!$B$52:$B$58,0)+2,7)),1)),2))&lt;=MIN(DATOS!$C$73,INT(((DATOS!$C$83-2*AL40)+MAX(DATOS!$C$70,INDEX(TABLAS!$C$52:$C$58,MIN(MATCH(MAX(4,DATOS!$C$72),TABLAS!$B$52:$B$58,0)+2,7))))/(INDEX(TABLAS!$C$52:$C$58,MIN(MATCH(MAX(4,DATOS!$C$72),TABLAS!$B$52:$B$58,0)+2,7))+MAX(DATOS!$C$70,INDEX(TABLAS!$C$52:$C$58,MIN(MATCH(MAX(4,DATOS!$C$72),TABLAS!$B$52:$B$58,0)+2,7))))))),INDEX(TABLAS!$B$52:$B$58,MIN(MATCH(MAX(4,DATOS!$C$72),TABLAS!$B$52:$B$58,0)+2,7)),IF(AND(CK40&gt;=0,IF(MAX(DATOS!$C$74,CEILING(CK40/INDEX(TABLAS!$D$52:$D$58,MIN(MATCH(MAX(4,DATOS!$C$72),TABLAS!$B$52:$B$58,0)+3,7)),1))*INDEX(TABLAS!$D$52:$D$58,MIN(MATCH(MAX(4,DATOS!$C$72),TABLAS!$B$52:$B$58,0)+3,7)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+3,7)),1)),MAX(MAX(DATOS!$C$74,CEILING(CK40/INDEX(TABLAS!$D$52:$D$58,MIN(MATCH(MAX(4,DATOS!$C$72),TABLAS!$B$52:$B$58,0)+3,7)),1)),2))&lt;=MIN(DATOS!$C$73,INT(((DATOS!$C$83-2*AL40)+MAX(DATOS!$C$70,INDEX(TABLAS!$C$52:$C$58,MIN(MATCH(MAX(4,DATOS!$C$72),TABLAS!$B$52:$B$58,0)+3,7))))/(INDEX(TABLAS!$C$52:$C$58,MIN(MATCH(MAX(4,DATOS!$C$72),TABLAS!$B$52:$B$58,0)+3,7))+MAX(DATOS!$C$70,INDEX(TABLAS!$C$52:$C$58,MIN(MATCH(MAX(4,DATOS!$C$72),TABLAS!$B$52:$B$58,0)+3,7))))))),INDEX(TABLAS!$B$52:$B$58,MIN(MATCH(MAX(4,DATOS!$C$72),TABLAS!$B$52:$B$58,0)+3,7)),IF(AND(CK40&gt;=0,IF(MAX(DATOS!$C$74,CEILING(CK40/INDEX(TABLAS!$D$52:$D$58,MIN(MATCH(MAX(4,DATOS!$C$72),TABLAS!$B$52:$B$58,0)+4,7)),1))*INDEX(TABLAS!$D$52:$D$58,MIN(MATCH(MAX(4,DATOS!$C$72),TABLAS!$B$52:$B$58,0)+4,7)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+4,7)),1)),MAX(MAX(DATOS!$C$74,CEILING(CK40/INDEX(TABLAS!$D$52:$D$58,MIN(MATCH(MAX(4,DATOS!$C$72),TABLAS!$B$52:$B$58,0)+4,7)),1)),2))&lt;=MIN(DATOS!$C$73,INT(((DATOS!$C$83-2*AL40)+MAX(DATOS!$C$70,INDEX(TABLAS!$C$52:$C$58,MIN(MATCH(MAX(4,DATOS!$C$72),TABLAS!$B$52:$B$58,0)+4,7))))/(INDEX(TABLAS!$C$52:$C$58,MIN(MATCH(MAX(4,DATOS!$C$72),TABLAS!$B$52:$B$58,0)+4,7))+MAX(DATOS!$C$70,INDEX(TABLAS!$C$52:$C$58,MIN(MATCH(MAX(4,DATOS!$C$72),TABLAS!$B$52:$B$58,0)+4,7))))))),INDEX(TABLAS!$B$52:$B$58,MIN(MATCH(MAX(4,DATOS!$C$72),TABLAS!$B$52:$B$58,0)+4,7)),INDEX(TABLAS!$B$52:$B$58,7)))))))</f>
        <v/>
      </c>
      <c r="CM40" s="59" t="str">
        <f>IF(V40&lt;&gt;"SÍ","",IF(CK40&lt;0,0,IF(MAX(DATOS!$C$74,CEILING(MAX(CK40,0)/INDEX(TABLAS!$D$52:$D$58,MATCH(CL40,TABLAS!$B$52:$B$58,0)),1))*INDEX(TABLAS!$D$52:$D$58,MATCH(CL40,TABLAS!$B$52:$B$58,0))&gt;=4/3*IF(BJ40&lt;=0,0,IF((1-2*BJ40*1E5/(DATOS!$C$29*AG40*CJ40^2*DATOS!$C$21))&lt;0,-1,IF((1-SQRT((1-2*BJ40*1E5/(DATOS!$C$29*AG40*CJ40^2*DATOS!$C$21))))*DATOS!$C$21*AG40*CJ40/DATOS!$C$14&gt;DATOS!$C$102*AG40*CJ40,-1,(1-SQRT((1-2*BJ40*1E5/(DATOS!$C$29*AG40*CJ40^2*DATOS!$C$21))))*DATOS!$C$21*AG40*CJ40/DATOS!$C$14)))-0.0001,MAX(DATOS!$C$74,CEILING(MAX(CK40,0)/INDEX(TABLAS!$D$52:$D$58,MATCH(CL40,TABLAS!$B$52:$B$58,0)),1)),MAX(MAX(DATOS!$C$74,CEILING(MAX(CK40,0)/INDEX(TABLAS!$D$52:$D$58,MATCH(CL40,TABLAS!$B$52:$B$58,0)),1)),2))))</f>
        <v/>
      </c>
      <c r="CN40" s="58" t="str">
        <f>IF(V40&lt;&gt;"SÍ","",((DATOS!$C$85-AM40-2*DATOS!$C$97-INDEX(TABLAS!$C$52:$C$58,MATCH(BV40,TABLAS!$B$52:$B$58,0))-INDEX(TABLAS!$C$52:$C$58,MATCH(CL40,TABLAS!$B$52:$B$58,0))/2)-IF(AND((DATOS!$C$85-AM40-2*DATOS!$C$97-INDEX(TABLAS!$C$52:$C$58,MATCH(BV40,TABLAS!$B$52:$B$58,0))-INDEX(TABLAS!$C$52:$C$58,MATCH(CL40,TABLAS!$B$52:$B$58,0))/2)&lt;=20,DATOS!$C$65&lt;&gt;"SÍ"),2,0)))</f>
        <v/>
      </c>
      <c r="CO40" s="56" t="str">
        <f>IF(V40&lt;&gt;"SÍ","",IF(CM40=0,0,DATOS!$C$29*CM40*INDEX(TABLAS!$D$52:$D$58,MATCH(CL40,TABLAS!$B$52:$B$58,0))*DATOS!$C$14*(CN40-CM40*INDEX(TABLAS!$D$52:$D$58,MATCH(CL40,TABLAS!$B$52:$B$58,0))*DATOS!$C$14/(DATOS!$C$21*AG40)/2)/1E5))</f>
        <v/>
      </c>
      <c r="CP40" s="65" t="str">
        <f>IF(V40&lt;&gt;"SÍ","",IF(CK40&lt;0,9.99,IF(CO40&gt;0,BJ40/CO40,0)))</f>
        <v/>
      </c>
      <c r="CQ40" s="66" t="str">
        <f>IF(V40&lt;&gt;"SÍ","",IF(CM40=0,"—",0.003*(CN40-(CM40*INDEX(TABLAS!$D$52:$D$58,MATCH(CL40,TABLAS!$B$52:$B$58,0))*DATOS!$C$14/(DATOS!$C$21*AG40)/DATOS!$C$22))/(CM40*INDEX(TABLAS!$D$52:$D$58,MATCH(CL40,TABLAS!$B$52:$B$58,0))*DATOS!$C$14/(DATOS!$C$21*AG40)/DATOS!$C$22)))</f>
        <v/>
      </c>
      <c r="CR40" s="56" t="str">
        <f>IF(V40&lt;&gt;"SÍ","",IF(C40="PERIMETRAL",MAX(0,(AB40/2-BX40)/100)*(0.95-0.5*AA40)*AR40*IF(AND(AS40&gt;0,AS40&lt;4),DATOS!$C$33,1)*DATOS!$C$86/100/1000,(AR40*MAX(0,AB40-BX40)/100+DATOS!$C$26*N(O40))*DATOS!$C$86/100/1000+BF40))</f>
        <v/>
      </c>
      <c r="CS40" s="56" t="str">
        <f>IF(V40&lt;&gt;"SÍ","",DATOS!$C$30*2*MIN(1,SQRT(2/(1+0.04*BX40)))*(BW40*INDEX(TABLAS!$D$52:$D$58,MATCH(BV40,TABLAS!$B$52:$B$58,0))/(AF40*BX40))^(1/3)*SQRT(DATOS!$C$13)*AF40*BX40*IF(AJ40="SÍ",DATOS!$C$32,1)/1000)</f>
        <v/>
      </c>
      <c r="CT40" s="59" t="str">
        <f>IF(V40&lt;&gt;"SÍ","",IF(CR40&lt;=CS40,0,CEILING(MAX(0,IF(C40="VOLADO",(AB40-((CS40-BF40)*1E5/DATOS!$C$86-DATOS!$C$26*N(O40))*100/AR40),IF(CS40&lt;=0,AB40,AB40/2-CS40/MAX(CR40,1E-9)*(AB40/2-BX40)))-IF(X40="X",MIN(DJ40,DK40),MIN(DL40,DM40)))/DATOS!$C$86,1)))</f>
        <v/>
      </c>
      <c r="CU40" s="67" t="str">
        <f>IF(V40&lt;&gt;"SÍ","",IF(CR40&lt;=CS40,"CUMPLE",IF(CT40&lt;=0,"CUMPLE (basta el macizo de orilla)",IF(CT40*DATOS!$C$86*IF(C40="VOLADO",1,2)&gt;=Y40*100-DATOS!$C$87,"NO CUMPLE: no alcanza ni macizando todo","MACIZAR "&amp;CT40&amp;" hilera(s)"))))</f>
        <v/>
      </c>
      <c r="CV40" s="58" t="str">
        <f>IF(V40&lt;&gt;"SÍ","",(DATOS!$C$86*DATOS!$C$84^2/2+MIN(DATOS!$C$83,AD40)*DATOS!$C$82*(DATOS!$C$84+DATOS!$C$82/2))/(DATOS!$C$86*DATOS!$C$84+MIN(DATOS!$C$83,AD40)*DATOS!$C$82))</f>
        <v/>
      </c>
      <c r="CW40" s="68" t="str">
        <f>IF(V40&lt;&gt;"SÍ","",DATOS!$C$86*DATOS!$C$84^3/12+DATOS!$C$86*DATOS!$C$84*(CV40-DATOS!$C$84/2)^2+MIN(DATOS!$C$83,AD40)*DATOS!$C$82^3/12+MIN(DATOS!$C$83,AD40)*DATOS!$C$82*(DATOS!$C$84+DATOS!$C$82/2-CV40)^2)</f>
        <v/>
      </c>
      <c r="CX40" s="58" t="str">
        <f>IF(V40&lt;&gt;"SÍ","",(12*CW40/DATOS!$C$86)^(1/3))</f>
        <v/>
      </c>
      <c r="CY40" s="58" t="str">
        <f>IF(V40&lt;&gt;"SÍ","",IF(C40="PERIMETRAL",IF(ISNUMBER(S40),S40,DATOS!$C$104),0))</f>
        <v/>
      </c>
      <c r="CZ40" s="57" t="str">
        <f>IF(V40&lt;&gt;"SÍ","",IF(C40="PERIMETRAL",IF(CY40&gt;2,MAX(9,AC40*(0.8+DATOS!$C$14/14000)/(36+9*(AC40/MAX(AB40,1)))),IF(CY40&gt;0.2,MAX(13,AC40*(0.8+DATOS!$C$14/14000)/(36+5*(AC40/MAX(AB40,1))*(CY40-0.2))),MAX(13,AC40/IF(AS40&gt;0,30,33))))*IF(AND(CY40&gt;0.2,AS40&gt;0,DATOS!$C$105="NO"),1.1,1),MAX(25,Y40*100/8*(0.4+DATOS!$C$14/7000))))</f>
        <v/>
      </c>
      <c r="DA40" s="61" t="str">
        <f>IF(V40&lt;&gt;"SÍ","",IF(IF(C40="VOLADO",DATOS!$C$85,CX40)&gt;=CZ40,"CUMPLE",IF(C40="VOLADO","NO CUMPLE","CALCULAR FLECHA")))</f>
        <v/>
      </c>
      <c r="DB40" s="55" t="str">
        <f>IF(V40&lt;&gt;"SÍ","",IF(DATOS!$C$84&gt;=IF(IF(C40="VOLADO",Y40,Z40)&gt;=6,6,5),"CUMPLE","CAPA ≥ 6 cm"))</f>
        <v/>
      </c>
      <c r="DC40" s="60" t="str">
        <f>IF(V40&lt;&gt;"SÍ","",IF(C40="VOLADO",MIN(FLOOR(IF(ISNUMBER(P40),P40,Y40)*100-DATOS!$C$63,5),CEILING(MAX(IF((0.5*(0.9*DATOS!$C$90*DATOS!$C$86/100/1000)*IF(ISNUMBER(P40),P40,Y40)+BH40/IF(ISNUMBER(P40),P40,Y40))^2-4*(0.5*(0.9*DATOS!$C$90*DATOS!$C$86/100/1000))*BH40&lt;0,IF(ISNUMBER(P40),P40,Y40),MIN(IF(ISNUMBER(P40),P40,Y40),((0.5*(0.9*DATOS!$C$90*DATOS!$C$86/100/1000)*IF(ISNUMBER(P40),P40,Y40)+BH40/IF(ISNUMBER(P40),P40,Y40))-SQRT((0.5*(0.9*DATOS!$C$90*DATOS!$C$86/100/1000)*IF(ISNUMBER(P40),P40,Y40)+BH40/IF(ISNUMBER(P40),P40,Y40))^2-4*(0.5*(0.9*DATOS!$C$90*DATOS!$C$86/100/1000))*BH40))/(2*(0.5*(0.9*DATOS!$C$90*DATOS!$C$86/100/1000)))))*100+MAX(BX40,12*INDEX(TABLAS!$C$52:$C$58,MATCH(BV40,TABLAS!$B$52:$B$58,0)),IF(ISNUMBER(P40),P40,Y40)*100/16),IF(OR(AL40&lt;INDEX(TABLAS!$C$52:$C$58,MATCH(BV40,TABLAS!$B$52:$B$58,0)),AND(BW40&gt;=2,(AD40-2*AL40-BW40*INDEX(TABLAS!$C$52:$C$58,MATCH(BV40,TABLAS!$B$52:$B$58,0)))/MAX(BW40-1,1)&lt;2*INDEX(TABLAS!$C$52:$C$58,MATCH(BV40,TABLAS!$B$52:$B$58,0)))),INDEX(TABLAS!$I$52:$I$58,MATCH(BV40,TABLAS!$B$52:$B$58,0)),INDEX(TABLAS!$F$52:$F$58,MATCH(BV40,TABLAS!$B$52:$B$58,0)))),5)),IF(((4*((BC40*AR40*Y40^2*1E-4*DATOS!$C$86/100/1000)+((MAX(AY40,BA40)*AR40*Y40^2*1E-4*DATOS!$C$86/100/1000)+(IF(AND(AY40&gt;0,BA40&gt;0),MIN(AY40,BA40),MAX(AY40,BA40))*AR40*Y40^2*1E-4*DATOS!$C$86/100/1000))/2)+BH40-(IF(AND(AY40&gt;0,BA40&gt;0),MIN(AY40,BA40),MAX(AY40,BA40))*AR40*Y40^2*1E-4*DATOS!$C$86/100/1000))^2-16*((BC40*AR40*Y40^2*1E-4*DATOS!$C$86/100/1000)+((MAX(AY40,BA40)*AR40*Y40^2*1E-4*DATOS!$C$86/100/1000)+(IF(AND(AY40&gt;0,BA40&gt;0),MIN(AY40,BA40),MAX(AY40,BA40))*AR40*Y40^2*1E-4*DATOS!$C$86/100/1000))/2)*BH40)&lt;0,CEILING(AB40,5),CEILING(MAX(AB40*((4*((BC40*AR40*Y40^2*1E-4*DATOS!$C$86/100/1000)+((MAX(AY40,BA40)*AR40*Y40^2*1E-4*DATOS!$C$86/100/1000)+(IF(AND(AY40&gt;0,BA40&gt;0),MIN(AY40,BA40),MAX(AY40,BA40))*AR40*Y40^2*1E-4*DATOS!$C$86/100/1000))/2)+BH40-(IF(AND(AY40&gt;0,BA40&gt;0),MIN(AY40,BA40),MAX(AY40,BA40))*AR40*Y40^2*1E-4*DATOS!$C$86/100/1000))-SQRT(MAX(0,((4*((BC40*AR40*Y40^2*1E-4*DATOS!$C$86/100/1000)+((MAX(AY40,BA40)*AR40*Y40^2*1E-4*DATOS!$C$86/100/1000)+(IF(AND(AY40&gt;0,BA40&gt;0),MIN(AY40,BA40),MAX(AY40,BA40))*AR40*Y40^2*1E-4*DATOS!$C$86/100/1000))/2)+BH40-(IF(AND(AY40&gt;0,BA40&gt;0),MIN(AY40,BA40),MAX(AY40,BA40))*AR40*Y40^2*1E-4*DATOS!$C$86/100/1000))^2-16*((BC40*AR40*Y40^2*1E-4*DATOS!$C$86/100/1000)+((MAX(AY40,BA40)*AR40*Y40^2*1E-4*DATOS!$C$86/100/1000)+(IF(AND(AY40&gt;0,BA40&gt;0),MIN(AY40,BA40),MAX(AY40,BA40))*AR40*Y40^2*1E-4*DATOS!$C$86/100/1000))/2)*BH40))))/(8*MAX(((BC40*AR40*Y40^2*1E-4*DATOS!$C$86/100/1000)+((MAX(AY40,BA40)*AR40*Y40^2*1E-4*DATOS!$C$86/100/1000)+(IF(AND(AY40&gt;0,BA40&gt;0),MIN(AY40,BA40),MAX(AY40,BA40))*AR40*Y40^2*1E-4*DATOS!$C$86/100/1000))/2),1E-9))+MAX(BX40,12*INDEX(TABLAS!$C$52:$C$58,MATCH(BV40,TABLAS!$B$52:$B$58,0)),AB40/16),IF(OR(AL40&lt;INDEX(TABLAS!$C$52:$C$58,MATCH(BV40,TABLAS!$B$52:$B$58,0)),AND(BW40&gt;=2,(AD40-2*AL40-BW40*INDEX(TABLAS!$C$52:$C$58,MATCH(BV40,TABLAS!$B$52:$B$58,0)))/MAX(BW40-1,1)&lt;2*INDEX(TABLAS!$C$52:$C$58,MATCH(BV40,TABLAS!$B$52:$B$58,0)))),INDEX(TABLAS!$I$52:$I$58,MATCH(BV40,TABLAS!$B$52:$B$58,0)),INDEX(TABLAS!$F$52:$F$58,MATCH(BV40,TABLAS!$B$52:$B$58,0)))),5))))</f>
        <v/>
      </c>
      <c r="DD40" s="60" t="str">
        <f>IF(V40&lt;&gt;"SÍ","",IF(C40="VOLADO",0,IF(((4*((BD40*AR40*Y40^2*1E-4*DATOS!$C$86/100/1000)+((MAX(AZ40,BB40)*AR40*Y40^2*1E-4*DATOS!$C$86/100/1000)+(IF(AND(AZ40&gt;0,BB40&gt;0),MIN(AZ40,BB40),MAX(AZ40,BB40))*AR40*Y40^2*1E-4*DATOS!$C$86/100/1000))/2)+BJ40-(IF(AND(AZ40&gt;0,BB40&gt;0),MIN(AZ40,BB40),MAX(AZ40,BB40))*AR40*Y40^2*1E-4*DATOS!$C$86/100/1000))^2-16*((BD40*AR40*Y40^2*1E-4*DATOS!$C$86/100/1000)+((MAX(AZ40,BB40)*AR40*Y40^2*1E-4*DATOS!$C$86/100/1000)+(IF(AND(AZ40&gt;0,BB40&gt;0),MIN(AZ40,BB40),MAX(AZ40,BB40))*AR40*Y40^2*1E-4*DATOS!$C$86/100/1000))/2)*BJ40)&lt;0,CEILING(AC40,5),CEILING(MAX(AC40*((4*((BD40*AR40*Y40^2*1E-4*DATOS!$C$86/100/1000)+((MAX(AZ40,BB40)*AR40*Y40^2*1E-4*DATOS!$C$86/100/1000)+(IF(AND(AZ40&gt;0,BB40&gt;0),MIN(AZ40,BB40),MAX(AZ40,BB40))*AR40*Y40^2*1E-4*DATOS!$C$86/100/1000))/2)+BJ40-(IF(AND(AZ40&gt;0,BB40&gt;0),MIN(AZ40,BB40),MAX(AZ40,BB40))*AR40*Y40^2*1E-4*DATOS!$C$86/100/1000))-SQRT(MAX(0,((4*((BD40*AR40*Y40^2*1E-4*DATOS!$C$86/100/1000)+((MAX(AZ40,BB40)*AR40*Y40^2*1E-4*DATOS!$C$86/100/1000)+(IF(AND(AZ40&gt;0,BB40&gt;0),MIN(AZ40,BB40),MAX(AZ40,BB40))*AR40*Y40^2*1E-4*DATOS!$C$86/100/1000))/2)+BJ40-(IF(AND(AZ40&gt;0,BB40&gt;0),MIN(AZ40,BB40),MAX(AZ40,BB40))*AR40*Y40^2*1E-4*DATOS!$C$86/100/1000))^2-16*((BD40*AR40*Y40^2*1E-4*DATOS!$C$86/100/1000)+((MAX(AZ40,BB40)*AR40*Y40^2*1E-4*DATOS!$C$86/100/1000)+(IF(AND(AZ40&gt;0,BB40&gt;0),MIN(AZ40,BB40),MAX(AZ40,BB40))*AR40*Y40^2*1E-4*DATOS!$C$86/100/1000))/2)*BJ40))))/(8*MAX(((BD40*AR40*Y40^2*1E-4*DATOS!$C$86/100/1000)+((MAX(AZ40,BB40)*AR40*Y40^2*1E-4*DATOS!$C$86/100/1000)+(IF(AND(AZ40&gt;0,BB40&gt;0),MIN(AZ40,BB40),MAX(AZ40,BB40))*AR40*Y40^2*1E-4*DATOS!$C$86/100/1000))/2),1E-9))+MAX(CN40,12*INDEX(TABLAS!$C$52:$C$58,MATCH(CL40,TABLAS!$B$52:$B$58,0)),AC40/16),IF(OR(AL40&lt;INDEX(TABLAS!$C$52:$C$58,MATCH(CL40,TABLAS!$B$52:$B$58,0)),AND(CM40&gt;=2,(DATOS!$C$83-2*AL40-CM40*INDEX(TABLAS!$C$52:$C$58,MATCH(CL40,TABLAS!$B$52:$B$58,0)))/MAX(CM40-1,1)&lt;2*INDEX(TABLAS!$C$52:$C$58,MATCH(CL40,TABLAS!$B$52:$B$58,0)))),INDEX(TABLAS!$I$52:$I$58,MATCH(CL40,TABLAS!$B$52:$B$58,0)),INDEX(TABLAS!$F$52:$F$58,MATCH(CL40,TABLAS!$B$52:$B$58,0)))),5))))</f>
        <v/>
      </c>
      <c r="DE40" s="55" t="str">
        <f>IF(V40&lt;&gt;"SÍ","",IF(AND(C40="PERIMETRAL",BW40&gt;=2,AS40-AT40&gt;0,BA40*AR40*Y40^2*1E-4*DATOS!$C$86/100/1000&gt;DATOS!$C$29*INDEX(TABLAS!$D$52:$D$58,MATCH(BV40,TABLAS!$B$52:$B$58,0))*DATOS!$C$14*(BX40-INDEX(TABLAS!$D$52:$D$58,MATCH(BV40,TABLAS!$B$52:$B$58,0))*DATOS!$C$14/(DATOS!$C$21*AF40)/2)/1E5),"SÍ","NO"))</f>
        <v/>
      </c>
      <c r="DF40" s="55" t="str">
        <f>IF(V40&lt;&gt;"SÍ","",IF(AND(C40="PERIMETRAL",CM40&gt;=2,AT40&gt;0,BB40*AR40*Y40^2*1E-4*DATOS!$C$86/100/1000&gt;DATOS!$C$29*INDEX(TABLAS!$D$52:$D$58,MATCH(CL40,TABLAS!$B$52:$B$58,0))*DATOS!$C$14*(CN40-INDEX(TABLAS!$D$52:$D$58,MATCH(CL40,TABLAS!$B$52:$B$58,0))*DATOS!$C$14/(DATOS!$C$21*AG40)/2)/1E5),"SÍ","NO"))</f>
        <v/>
      </c>
      <c r="DG40" s="63" t="str">
        <f>IF(V40&lt;&gt;"SÍ","",IF(OR(C40="VOLADO",AS40=0),"—",IF(AND(AND(1.25*INDEX(TABLAS!$G$52:$G$58,MATCH(MAX(BN40,CD40),TABLAS!$B$52:$B$58,0))&lt;=(DATOS!$C$75-DATOS!$C$63),(DATOS!$C$75-DATOS!$C$63)&gt;=15,INDEX(TABLAS!$G$52:$G$58,MATCH(MAX(BV40,CL40),TABLAS!$B$52:$B$58,0))&lt;=(DATOS!$C$75-DATOS!$C$63)),8*INDEX(TABLAS!$C$52:$C$58,MATCH(MAX(MAX(BN40,CD40),MAX(BV40,CL40)),TABLAS!$B$52:$B$58,0))&lt;=DATOS!$C$76-2*DATOS!$C$63),"CUMPLE (gancho de 180°)",IF(AND(1.25*INDEX(TABLAS!$G$52:$G$58,MATCH(MAX(BN40,CD40),TABLAS!$B$52:$B$58,0))&lt;=(DATOS!$C$75-DATOS!$C$63),(DATOS!$C$75-DATOS!$C$63)&gt;=15,INDEX(TABLAS!$G$52:$G$58,MATCH(MAX(BV40,CL40),TABLAS!$B$52:$B$58,0))&lt;=(DATOS!$C$75-DATOS!$C$63)),"NO CUMPLE: el gancho de 180° (8·d_b) no cabe en el peralte de la dala de borde","NO CUMPLE: dala de borde ≥ "&amp;TEXT(CEILING(MAX(1.25*INDEX(TABLAS!$G$52:$G$58,MATCH(MAX(BN40,CD40),TABLAS!$B$52:$B$58,0)),15,INDEX(TABLAS!$G$52:$G$58,MATCH(MAX(BV40,CL40),TABLAS!$B$52:$B$58,0)))+DATOS!$C$63,5),"0")&amp;" cm de ancho"&amp;IF(8*INDEX(TABLAS!$C$52:$C$58,MATCH(MAX(MAX(BN40,CD40),MAX(BV40,CL40)),TABLAS!$B$52:$B$58,0))&lt;=DATOS!$C$76-2*DATOS!$C$63,""," y más peralte para el gancho")))))</f>
        <v/>
      </c>
      <c r="DH40" s="59" t="str">
        <f>IF(V40&lt;&gt;"SÍ","",MAX(0,INT((E40*100-DATOS!$C$87-IF(AND(C40="PERIMETRAL",I40="DISCONTINUO"),MAX(0,DATOS!$C$75-DATOS!$C$87),0)-IF(AND(C40="PERIMETRAL",J40="DISCONTINUO"),MAX(0,DATOS!$C$75-DATOS!$C$87),0)+DATOS!$C$86-IF(X40="X",DATOS!$C$81,AE40))/DATOS!$C$86)))</f>
        <v/>
      </c>
      <c r="DI40" s="59" t="str">
        <f>IF(V40&lt;&gt;"SÍ","",MAX(0,INT((F40*100-DATOS!$C$87-IF(AND(C40="PERIMETRAL",G40="DISCONTINUO"),MAX(0,DATOS!$C$75-DATOS!$C$87),0)-IF(AND(C40="PERIMETRAL",H40="DISCONTINUO"),MAX(0,DATOS!$C$75-DATOS!$C$87),0)+DATOS!$C$86-IF(X40="Y",DATOS!$C$81,AE40))/DATOS!$C$86)))</f>
        <v/>
      </c>
      <c r="DJ40" s="57" t="str">
        <f>IF(V40&lt;&gt;"SÍ","",IF(DH40&gt;0,IF(AND(C40="PERIMETRAL",I40="DISCONTINUO"),MAX(0,DATOS!$C$75-DATOS!$C$87),0)+(E40*100-DATOS!$C$87-IF(AND(C40="PERIMETRAL",I40="DISCONTINUO"),MAX(0,DATOS!$C$75-DATOS!$C$87),0)-IF(AND(C40="PERIMETRAL",J40="DISCONTINUO"),MAX(0,DATOS!$C$75-DATOS!$C$87),0)-(DH40*IF(X40="X",DATOS!$C$81,AE40)+(DH40-1)*(DATOS!$C$86-IF(X40="X",DATOS!$C$81,AE40))))/2,E40*100/2))</f>
        <v/>
      </c>
      <c r="DK40" s="57" t="str">
        <f>IF(V40&lt;&gt;"SÍ","",IF(DH40&gt;0,IF(AND(C40="PERIMETRAL",J40="DISCONTINUO"),MAX(0,DATOS!$C$75-DATOS!$C$87),0)+(E40*100-DATOS!$C$87-IF(AND(C40="PERIMETRAL",I40="DISCONTINUO"),MAX(0,DATOS!$C$75-DATOS!$C$87),0)-IF(AND(C40="PERIMETRAL",J40="DISCONTINUO"),MAX(0,DATOS!$C$75-DATOS!$C$87),0)-(DH40*IF(X40="X",DATOS!$C$81,AE40)+(DH40-1)*(DATOS!$C$86-IF(X40="X",DATOS!$C$81,AE40))))/2,E40*100/2))</f>
        <v/>
      </c>
      <c r="DL40" s="57" t="str">
        <f>IF(V40&lt;&gt;"SÍ","",IF(DI40&gt;0,IF(AND(C40="PERIMETRAL",G40="DISCONTINUO"),MAX(0,DATOS!$C$75-DATOS!$C$87),0)+(F40*100-DATOS!$C$87-IF(AND(C40="PERIMETRAL",G40="DISCONTINUO"),MAX(0,DATOS!$C$75-DATOS!$C$87),0)-IF(AND(C40="PERIMETRAL",H40="DISCONTINUO"),MAX(0,DATOS!$C$75-DATOS!$C$87),0)-(DI40*IF(X40="Y",DATOS!$C$81,AE40)+(DI40-1)*(DATOS!$C$86-IF(X40="Y",DATOS!$C$81,AE40))))/2,F40*100/2))</f>
        <v/>
      </c>
      <c r="DM40" s="57" t="str">
        <f>IF(V40&lt;&gt;"SÍ","",IF(DI40&gt;0,IF(AND(C40="PERIMETRAL",H40="DISCONTINUO"),MAX(0,DATOS!$C$75-DATOS!$C$87),0)+(F40*100-DATOS!$C$87-IF(AND(C40="PERIMETRAL",G40="DISCONTINUO"),MAX(0,DATOS!$C$75-DATOS!$C$87),0)-IF(AND(C40="PERIMETRAL",H40="DISCONTINUO"),MAX(0,DATOS!$C$75-DATOS!$C$87),0)-(DI40*IF(X40="Y",DATOS!$C$81,AE40)+(DI40-1)*(DATOS!$C$86-IF(X40="Y",DATOS!$C$81,AE40))))/2,F40*100/2))</f>
        <v/>
      </c>
      <c r="DN40" s="59" t="str">
        <f>IF(V40&lt;&gt;"SÍ","",IF(NOT(AND(C40="VOLADO",AD40&gt;DATOS!$C$83)),0,IF(INDEX(TABLAS!$C$52:$C$58,MATCH(BV40,TABLAS!$B$52:$B$58,0))&lt;=DATOS!$C$83-2*DATOS!$C$63,1,0)))</f>
        <v/>
      </c>
      <c r="DO40" s="58" t="str">
        <f>IF(V40&lt;&gt;"SÍ","",IF(NOT(AND(C40="VOLADO",AD40&gt;DATOS!$C$83)),0,((DATOS!$C$85-MAX(DATOS!$C$63,(DATOS!$C$84-2*DATOS!$C$97)/2)-2*DATOS!$C$97-INDEX(TABLAS!$C$52:$C$58,MATCH(MAX(4,DATOS!$C$72),TABLAS!$B$52:$B$58,0))-INDEX(TABLAS!$C$52:$C$58,MATCH(BV40,TABLAS!$B$52:$B$58,0))/2)-IF(AND((DATOS!$C$85-MAX(DATOS!$C$63,(DATOS!$C$84-2*DATOS!$C$97)/2)-2*DATOS!$C$97-INDEX(TABLAS!$C$52:$C$58,MATCH(MAX(4,DATOS!$C$72),TABLAS!$B$52:$B$58,0))-INDEX(TABLAS!$C$52:$C$58,MATCH(BV40,TABLAS!$B$52:$B$58,0))/2)&lt;=20,DATOS!$C$65&lt;&gt;"SÍ"),2,0))))</f>
        <v/>
      </c>
      <c r="DP40" s="56" t="str">
        <f>IF(V40&lt;&gt;"SÍ","",IF(OR(NOT(AND(C40="VOLADO",AD40&gt;DATOS!$C$83)),DN40&lt;1),0,IF(0.003*(DO40-((DN40*INDEX(TABLAS!$D$52:$D$58,MATCH(BV40,TABLAS!$B$52:$B$58,0)))*DATOS!$C$14/(DATOS!$C$21*AG40)/DATOS!$C$22))/((DN40*INDEX(TABLAS!$D$52:$D$58,MATCH(BV40,TABLAS!$B$52:$B$58,0)))*DATOS!$C$14/(DATOS!$C$21*AG40)/DATOS!$C$22)&lt;0.005,0,DATOS!$C$29*(DN40*INDEX(TABLAS!$D$52:$D$58,MATCH(BV40,TABLAS!$B$52:$B$58,0)))*DATOS!$C$14*(DO40-(DN40*INDEX(TABLAS!$D$52:$D$58,MATCH(BV40,TABLAS!$B$52:$B$58,0)))*DATOS!$C$14/(DATOS!$C$21*AG40)/2)/1E5)))</f>
        <v/>
      </c>
      <c r="DQ40" s="56" t="str">
        <f>IF(V40&lt;&gt;"SÍ","",IF(OR(NOT(AND(C40="VOLADO",AD40&gt;DATOS!$C$83)),DN40&lt;1),0,DATOS!$C$30*2*MIN(1,SQRT(2/(1+0.04*DO40)))*((DN40*INDEX(TABLAS!$D$52:$D$58,MATCH(BV40,TABLAS!$B$52:$B$58,0)))/(AG40*DO40))^(1/3)*SQRT(DATOS!$C$13)*AG40*DO40/1000))</f>
        <v/>
      </c>
      <c r="DR40" s="56" t="str">
        <f>IF(V40&lt;&gt;"SÍ","",IF(NOT(AND(C40="VOLADO",AD40&gt;DATOS!$C$83)),0,IF((BH40-DP40)&lt;=0,0,IF(DP40&lt;=0,IF(ISNUMBER(P40),P40,Y40),IF(((0.9*DATOS!$C$90*DATOS!$C$86/100/1000)*IF(ISNUMBER(P40),P40,Y40)/2+BH40/IF(ISNUMBER(P40),P40,Y40))^2-4*((0.9*DATOS!$C$90*DATOS!$C$86/100/1000)/2)*(BH40-DP40)&lt;0,IF(ISNUMBER(P40),P40,Y40),MIN(IF(ISNUMBER(P40),P40,Y40),(((0.9*DATOS!$C$90*DATOS!$C$86/100/1000)*IF(ISNUMBER(P40),P40,Y40)/2+BH40/IF(ISNUMBER(P40),P40,Y40))-SQRT(((0.9*DATOS!$C$90*DATOS!$C$86/100/1000)*IF(ISNUMBER(P40),P40,Y40)/2+BH40/IF(ISNUMBER(P40),P40,Y40))^2-4*((0.9*DATOS!$C$90*DATOS!$C$86/100/1000)/2)*(BH40-DP40)))/(2*((0.9*DATOS!$C$90*DATOS!$C$86/100/1000)/2))))))))</f>
        <v/>
      </c>
      <c r="DS40" s="56" t="str">
        <f>IF(V40&lt;&gt;"SÍ","",IF(NOT(AND(C40="VOLADO",AD40&gt;DATOS!$C$83)),0,IF(DQ40&lt;=(BH40/((IF(ISNUMBER(P40),P40,Y40)*100-DATOS!$C$87)/100)),IF(ISNUMBER(P40),P40,Y40),MIN(IF(ISNUMBER(P40),P40,Y40),MAX(0,(IF(ISNUMBER(P40),P40,Y40)*100-DATOS!$C$87)/200-(DQ40-(BH40/((IF(ISNUMBER(P40),P40,Y40)*100-DATOS!$C$87)/100)))/((0.95-0.5*IF(N(Q40)&gt;0,MIN(IF(ISNUMBER(P40),P40,Y40),Q40)/MAX(IF(ISNUMBER(P40),P40,Y40),Q40),0))*DATOS!$C$33*AR40*DATOS!$C$86/100/1000))))))</f>
        <v/>
      </c>
      <c r="DT40" s="56" t="str">
        <f>IF(V40&lt;&gt;"SÍ","",IF(NOT(AND(C40="VOLADO",AD40&gt;DATOS!$C$83)),0,(BH40/((IF(ISNUMBER(P40),P40,Y40)*100-DATOS!$C$87)/100))+((0.95-0.5*IF(N(Q40)&gt;0,MIN(IF(ISNUMBER(P40),P40,Y40),Q40)/MAX(IF(ISNUMBER(P40),P40,Y40),Q40),0))*DATOS!$C$33*AR40*DATOS!$C$86/100/1000)*MAX(0,(IF(ISNUMBER(P40),P40,Y40)*100-DATOS!$C$87)/200-BX40/100)))</f>
        <v/>
      </c>
      <c r="DU40" s="59" t="str">
        <f>IF(V40&lt;&gt;"SÍ","",IF(NOT(AND(C40="VOLADO",AD40&gt;DATOS!$C$83)),0,MIN(FLOOR(100*IF(ISNUMBER(P40),P40,Y40)-DATOS!$C$63,5),CEILING(100*MIN(IF(ISNUMBER(P40),P40,Y40),MAX(IF(DR40&gt;0,DR40+IF(BW40&gt;=2,MAX(DO40,12*INDEX(TABLAS!$C$52:$C$58,MATCH(BV40,TABLAS!$B$52:$B$58,0)))/100,0),0),DS40,IF(BW40&gt;=2,INDEX(TABLAS!$F$52:$F$58,MATCH(BV40,TABLAS!$B$52:$B$58,0))/100,0))),5))))</f>
        <v/>
      </c>
      <c r="DV40" s="60" t="str">
        <f>IF(V40&lt;&gt;"SÍ","",IF(NOT(AND(C40="VOLADO",AD40&gt;DATOS!$C$83)),0,IF(DU40&lt;=0,0,CEILING(DU40/DATOS!$C$86,1))))</f>
        <v/>
      </c>
      <c r="DW40" s="61" t="str">
        <f>IF(V40&lt;&gt;"SÍ","",IF(C40&lt;&gt;"VOLADO","—",IF(AD40&lt;=DATOS!$C$83,"— (mismo b_w que el respaldo)",IF(DT40&gt;CS40,"NO CUMPLE: cortante de la nervadura ancha junto al apoyo ("&amp;TEXT(DT40,"0.00")&amp;" &gt; "&amp;TEXT(CS40,"0.00")&amp;" t)",IF(DU40&gt;=100*IF(ISNUMBER(P40),P40,Y40),"CUMPLE — todas las nervaduras del respaldo ‖ al volado con b_w = "&amp;AD40&amp;" cm","CUMPLE — "&amp;DV40&amp;" hilera(s) del respaldo con nervaduras de b_w = "&amp;AD40&amp;" cm (casetón "&amp;AE40&amp;" cm), hasta "&amp;TEXT(DU40/100,"0.00")&amp;" m del paño")))))</f>
        <v/>
      </c>
      <c r="DX40" s="69" t="str">
        <f>IF(V40&lt;&gt;"SÍ","",IF(BO40=0,"NO ALCANZA",BO40&amp;" No. "&amp;BN40&amp;IF(BO40&gt;1," corridas"," corrida")))</f>
        <v/>
      </c>
      <c r="DY40" s="69" t="str">
        <f>IF(V40&lt;&gt;"SÍ","",IF(BW40=0,"NO ALCANZA",IF(AND(C40="VOLADO",AD40&gt;DATOS!$C$83,BW40&gt;=2),"1 No. "&amp;BV40&amp;" corrida de la orilla al respaldo ("&amp;IF(DC40&gt;=FLOOR(100*IF(ISNUMBER(P40),P40,Y40)-DATOS!$C$63,5),"hasta su apoyo lejano, con gancho","entra "&amp;TEXT(DC40/100,"0.00")&amp;" m desde el paño")&amp;") + "&amp;(BW40-1)&amp;" bastón No. "&amp;BV40&amp;" hasta "&amp;TEXT(DU40/100,"0.00")&amp;" m del paño (fin de la nervadura ancha)",IF(C40="VOLADO",BW40&amp;" No. "&amp;BV40&amp;" de la orilla al respaldo ("&amp;IF(DC40&gt;=FLOOR(100*IF(ISNUMBER(P40),P40,Y40)-DATOS!$C$63,5),"hasta su apoyo lejano, con gancho","entran "&amp;TEXT(DC40/100,"0.00")&amp;" m desde el paño")&amp;")","1 No. "&amp;BV40&amp;" corrida"&amp;IF(BW40&gt;1," + "&amp;(BW40-1)&amp;" bastón No. "&amp;BV40&amp;" L = "&amp;TEXT(DC40/100,"0.00")&amp;" m desde el paño","")))))</f>
        <v/>
      </c>
      <c r="DZ40" s="69" t="str">
        <f>IF(V40&lt;&gt;"SÍ","",IF(CE40=0,"NO ALCANZA",CE40&amp;" No. "&amp;CD40&amp;IF(CE40&gt;1," corridas"," corrida")))</f>
        <v/>
      </c>
      <c r="EA40" s="69" t="str">
        <f>IF(V40&lt;&gt;"SÍ","",IF(CM40=0,"NO ALCANZA",IF(C40="VOLADO","1 No. "&amp;CL40&amp;" corrida (repartición)","1 No. "&amp;CL40&amp;" corrida"&amp;IF(CM40&gt;1," + "&amp;(CM40-1)&amp;" bastón No. "&amp;CL40&amp;" L = "&amp;TEXT(DD40/100,"0.00")&amp;" m desde el paño",""))))</f>
        <v/>
      </c>
      <c r="EB40" s="67" t="str">
        <f>IF(B40="","",IF(V40&lt;&gt;"SÍ","FALTAN DATOS: tipo, a_x, a_y, destino y, en volados, L_b",IF(L40="NO MONOLÍTICO (caso II)","FUERA DE ALCANCE: caso II no transcrito",IF(AND(C40="VOLADO",W40="?"),"REVISAR: el volado lleva UN solo borde CONTINUO (el empotrado)",IF(MIN(DH40,DI40)=0,"REVISAR: no cabe un casetón (tablero macizo): diséñalo en MACIZAS",IF(AND(MAX(BR40,BZ40,CH40,CP40)&lt;=1,NOT(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T(OR(AND(ISNUMBER(BS40),BS40&lt;0.005),AND(ISNUMBER(CA40),CA40&lt;0.005),AND(ISNUMBER(CI40),CI40&lt;0.005),AND(ISNUMBER(CQ40),CQ40&lt;0.005))),NOT(LEFT(DW40,2)="NO"),DA40="CUMPLE",DB40="CUMPLE",LEFT(CU40,2)&lt;&gt;"NO",LEFT(DATOS!$C$132,6)="CUMPLE"),IF(LEFT(CU40,6)="CUMPLE","CUMPLE","CUMPLE — "&amp;CU40)&amp;IF(LEFT(BK40,5)="FUERA"," · fuera de 3.4.2.1 c)","")&amp;IF(LEFT(DG40,2)="NO"," · REVISAR anclaje en borde discontinuo","")&amp;IF(DV40&gt;0," · respaldo: "&amp;DV40&amp;" hilera(s) de b_w "&amp;AD40&amp;" cm",""),IF(AND(MAX(BR40,BZ40,CH40,CP40)&lt;=1,NOT(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T(OR(AND(ISNUMBER(BS40),BS40&lt;0.005),AND(ISNUMBER(CA40),CA40&lt;0.005),AND(ISNUMBER(CI40),CI40&lt;0.005),AND(ISNUMBER(CQ40),CQ40&lt;0.005))),NOT(LEFT(DW40,2)="NO"),DA40="CALCULAR FLECHA",LEFT(CU40,2)&lt;&gt;"NO",LEFT(DATOS!$C$132,6)="CUMPLE"),"REVISAR: calcular flecha (h_eq &lt; h mín.)"&amp;IF(LEFT(BK40,5)="FUERA"," · fuera de 3.4.2.1 c)","")&amp;IF(LEFT(DG40,2)="NO"," · REVISAR anclaje en borde discontinuo","")&amp;IF(DV40&gt;0," · respaldo: "&amp;DV40&amp;" hilera(s) de b_w "&amp;AD40&amp;" cm",""),"NO CUMPLE: "&amp;IF(MAX(BR40,BZ40,CH40,CP40)&gt;1,"flexión ","")&amp;IF(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 caben ","")&amp;IF(OR(AND(ISNUMBER(BS40),BS40&lt;0.005),AND(ISNUMBER(CA40),CA40&lt;0.005),AND(ISNUMBER(CI40),CI40&lt;0.005),AND(ISNUMBER(CQ40),CQ40&lt;0.005)),"ε_t &lt; 0.005 ","")&amp;IF(LEFT(CU40,2)="NO","cortante ","")&amp;IF(DA40="NO CUMPLE","peralte ","")&amp;IF(DB40&lt;&gt;"CUMPLE","capa &lt; 6 cm ","")&amp;IF(LEFT(DATOS!$C$132,6)&lt;&gt;"CUMPLE","capa o malla (DATOS sección 7) ","")&amp;IF(LEFT(DW40,2)="NO","respaldo del volado",""))))))))</f>
        <v/>
      </c>
      <c r="EC40" s="70" t="str">
        <f>IF(V40&lt;&gt;"SÍ","",IF(LEFT(B40,7)="EJEMPLO","EJEMPLO de la hoja de Casa Rocha: bórralo o sobrescríbelo. ","")&amp;IF(AND(C40="PERIMETRAL",MIN(DH40,DI40)=0),"No cabe un casetón en el claro corto: es un tablero macizo, diséñalo en MACIZAS. ","")&amp;IF(AND(AJ40="NO",C40="PERIMETRAL"),"No cumple 6.7.8.1.4 (a_c = "&amp;MAX(DATOS!$C$81,AE40)&amp;" cm &gt; claro corto/6 = "&amp;TEXT(Y40*100/6,"0")&amp;" cm): se diseña como losa apoyada en vigas (6.7.8.1.9): r de viga = "&amp;DATOS!$C$63&amp;" cm y V_cR sin ×1.1. Para que cuente como encasetonada: casetón de "&amp;TEXT(FLOOR(MIN(80,Y40*100/6),1),"0")&amp;" cm o menor. ","")&amp;IF(C40="VOLADO","Volado de "&amp;TEXT(Y40,"0.00")&amp;" m empotrado en el borde "&amp;LOWER(W40)&amp;IF(N(O40)&gt;0,", con "&amp;TEXT(O40,"0.0")&amp;" kg/m en la orilla","")&amp;". Lecho inferior con r_ext. Si la orilla carga pretil u otro elemento frágil, calcula la flecha (13.4). El acero superior entra al respaldo de "&amp;TEXT(IF(ISNUMBER(P40),P40,Y40),"0.00")&amp;" m"&amp;" hasta pasar M = 0 con 0.9·PP sin carga viva; si ahí no se anula, llega al apoyo lejano y se ancla con gancho (NTC-Criterios 3.4.1 c y 5.1.2.2). "&amp;IF(AD40&gt;DATOS!$C$83,"Respaldo: "&amp;DW40&amp;". ",""),"")&amp;IF(AND(C40="VOLADO",((0.9*DATOS!$C$90*DATOS!$C$86/100/1000)*IF(ISNUMBER(P40),P40,Y40)/2-BH40/IF(ISNUMBER(P40),P40,Y40))&lt;0),"Con 0.9·PP y sin carga viva el apoyo lejano del respaldo levanta (R = "&amp;TEXT(-((0.9*DATOS!$C$90*DATOS!$C$86/100/1000)*IF(ISNUMBER(P40),P40,Y40)/2-BH40/IF(ISNUMBER(P40),P40,Y40)),"0.00")&amp;" t por nervadura): ancla ahí la corrida con gancho y revisa ese apoyo a tensión. ","")&amp;IF(LEFT(BK40,5)="FUERA","El M⁻ del vecino difiere más de 50 % (3.4.2.1 c): distribuye el desequilibrio (3.4.3.1) o confirma con un modelo; se arma con el mayor. ","")&amp;IF(OR(DE40="SÍ",DF40="SÍ"),"El M⁻ del borde discontinuo pide bastón también ahí (con gancho). ","")&amp;IF(LEFT(DG40,2)="NO","Anclaje: "&amp;DG40&amp;" (6.7.8.1.7). ","")&amp;IF(AND(C40="PERIMETRAL",AT40&gt;=1,AS40-AT40&gt;=1),"Esquinas exteriores sobre muro: refuerzo de esquina arriba y abajo en L_largo/5 (6.7.7.3.1). ",""))</f>
        <v/>
      </c>
    </row>
    <row r="41" ht="33" customHeight="1">
      <c r="A41" s="50">
        <f>IF(B41="",0,1)+A40</f>
        <v>4</v>
      </c>
      <c r="B41" s="29" t="n"/>
      <c r="C41" s="51" t="n"/>
      <c r="D41" s="29" t="n"/>
      <c r="E41" s="52" t="n"/>
      <c r="F41" s="52" t="n"/>
      <c r="G41" s="51" t="n"/>
      <c r="H41" s="51" t="n"/>
      <c r="I41" s="51" t="n"/>
      <c r="J41" s="51" t="n"/>
      <c r="K41" s="51" t="n"/>
      <c r="L41" s="51" t="n"/>
      <c r="M41" s="53" t="n"/>
      <c r="N41" s="53" t="n"/>
      <c r="O41" s="54" t="n"/>
      <c r="P41" s="52" t="n"/>
      <c r="Q41" s="52" t="n"/>
      <c r="R41" s="53" t="n"/>
      <c r="S41" s="54" t="n"/>
      <c r="T41" s="52" t="n"/>
      <c r="U41" s="52" t="n"/>
      <c r="V41" s="55" t="str">
        <f>IF(B41="","",IF(AND(OR(C41="PERIMETRAL",C41="VOLADO"),ISNUMBER(E41),ISNUMBER(F41),E41&gt;0,F41&gt;0,OR(ISNUMBER(N41),ISNUMBER(MATCH(D41,DATOS!$B$46:$B$58,0))),OR(C41&lt;&gt;"VOLADO",N(P41)&gt;0)),"SÍ","NO"))</f>
        <v/>
      </c>
      <c r="W41" s="55" t="str">
        <f>IF(V41&lt;&gt;"SÍ","",IF(C41&lt;&gt;"VOLADO","—",IF(COUNTIF(G41:J41,"CONTINUO")&lt;&gt;1,"?",IF(G41="CONTINUO","INFERIOR",IF(H41="CONTINUO","SUPERIOR",IF(I41="CONTINUO","IZQUIERDO","DERECHO"))))))</f>
        <v/>
      </c>
      <c r="X41" s="55" t="str">
        <f>IF(V41&lt;&gt;"SÍ","",IF(C41="VOLADO",IF(OR(W41="IZQUIERDO",W41="DERECHO"),"X","Y"),IF(E41&lt;=F41,"X","Y")))</f>
        <v/>
      </c>
      <c r="Y41" s="56" t="str">
        <f>IF(V41&lt;&gt;"SÍ","",IF(C41="VOLADO",IF(X41="X",E41,F41),MIN(E41,F41)))</f>
        <v/>
      </c>
      <c r="Z41" s="56" t="str">
        <f>IF(V41&lt;&gt;"SÍ","",IF(C41="VOLADO",IF(X41="X",F41,E41),MAX(E41,F41)))</f>
        <v/>
      </c>
      <c r="AA41" s="56" t="str">
        <f>IF(V41&lt;&gt;"SÍ","",MIN(Y41,Z41)/MAX(Y41,Z41))</f>
        <v/>
      </c>
      <c r="AB41" s="57" t="str">
        <f>IF(V41&lt;&gt;"SÍ","",MAX(1,Y41*100-IF(C41="VOLADO",DATOS!$C$87/2,DATOS!$C$87)))</f>
        <v/>
      </c>
      <c r="AC41" s="57" t="str">
        <f>IF(V41&lt;&gt;"SÍ","",MAX(1,Z41*100-DATOS!$C$87))</f>
        <v/>
      </c>
      <c r="AD41" s="57" t="str">
        <f>IF(V41&lt;&gt;"SÍ","",IF(ISNUMBER(R41),R41,DATOS!$C$83))</f>
        <v/>
      </c>
      <c r="AE41" s="57" t="str">
        <f>IF(V41&lt;&gt;"SÍ","",MAX(0,DATOS!$C$86-AD41))</f>
        <v/>
      </c>
      <c r="AF41" s="57" t="str">
        <f>IF(V41&lt;&gt;"SÍ","",IF(OR(DATOS!$C$65="SÍ",AD41&gt;=20),AD41,AD41-2))</f>
        <v/>
      </c>
      <c r="AG41" s="57" t="str">
        <f>IF(V41&lt;&gt;"SÍ","",IF(OR(DATOS!$C$65="SÍ",DATOS!$C$83&gt;=20),DATOS!$C$83,DATOS!$C$83-2))</f>
        <v/>
      </c>
      <c r="AH41" s="57" t="str">
        <f>IF(V41&lt;&gt;"SÍ","",MIN(DATOS!$C$86,AD41+2*MIN(8*DATOS!$C$84,AE41/2,AB41/8)))</f>
        <v/>
      </c>
      <c r="AI41" s="57" t="str">
        <f>IF(V41&lt;&gt;"SÍ","",MIN(DATOS!$C$86,DATOS!$C$83+2*MIN(8*DATOS!$C$84,DATOS!$C$81/2,AC41/8)))</f>
        <v/>
      </c>
      <c r="AJ41" s="55" t="str">
        <f>IF(V41&lt;&gt;"SÍ","",IF(AND(C41="PERIMETRAL",Y41*100&gt;=6*MAX(DATOS!$C$81,AE41),MAX(DATOS!$C$81,AE41)&lt;=80,MIN(DATOS!$C$83,AD41)&gt;=10,DATOS!$C$85&lt;=3.5*MIN(DATOS!$C$83,AD41),DATOS!$C$84&gt;=MAX(MAX(DATOS!$C$81,AE41)/13,5)),"SÍ","NO"))</f>
        <v/>
      </c>
      <c r="AK41" s="57" t="str">
        <f>IF(V41&lt;&gt;"SÍ","",IF(C41="VOLADO",DATOS!$C$64,IF(AJ41="NO",DATOS!$C$63,DATOS!$C$62)))</f>
        <v/>
      </c>
      <c r="AL41" s="57" t="str">
        <f>IF(V41&lt;&gt;"SÍ","",IF(OR(AND(AN41="SÍ",DATOS!$C$66="SÍ"),AND(C41="VOLADO",DATOS!$C$67="SÍ")),DATOS!$C$64,IF(AJ41="NO",DATOS!$C$63,DATOS!$C$62)))</f>
        <v/>
      </c>
      <c r="AM41" s="58" t="str">
        <f>IF(V41&lt;&gt;"SÍ","",MAX(AL41,(DATOS!$C$84-2*DATOS!$C$97)/2))</f>
        <v/>
      </c>
      <c r="AN41" s="55" t="str">
        <f>IF(V41&lt;&gt;"SÍ","",IFERROR(INDEX(DATOS!$D$46:$D$58,MATCH(D41,DATOS!$B$46:$B$58,0)),"NO"))</f>
        <v/>
      </c>
      <c r="AO41" s="59" t="str">
        <f>IF(V41&lt;&gt;"SÍ","",IF(ISNUMBER(N41),N41,IFERROR(INDEX(DATOS!$C$46:$C$58,MATCH(D41,DATOS!$B$46:$B$58,0)),0)))</f>
        <v/>
      </c>
      <c r="AP41" s="59" t="str">
        <f>IF(V41&lt;&gt;"SÍ","",IF(MIN(DH41,DI41)=0,DATOS!$C$85/100*DATOS!$C$16*1000,(DATOS!$C$85/100-(AE41*DATOS!$C$81/DATOS!$C$86^2)*DATOS!$C$82/100)*DATOS!$C$16*1000+(AE41*DATOS!$C$81/DATOS!$C$86^2)*DATOS!$C$82/100*DATOS!$C$17*1000)+DATOS!$C$37+DATOS!$C$38)</f>
        <v/>
      </c>
      <c r="AQ41" s="59" t="str">
        <f>IF(V41&lt;&gt;"SÍ","",AP41+N(M41))</f>
        <v/>
      </c>
      <c r="AR41" s="60" t="str">
        <f>IF(V41&lt;&gt;"SÍ","",MAX(DATOS!$C$26*AQ41+DATOS!$C$27*AO41,IF(AN41="SÍ",DATOS!$C$28*(AQ41+DATOS!$C$41),0)))</f>
        <v/>
      </c>
      <c r="AS41" s="59" t="str">
        <f>IF(V41&lt;&gt;"SÍ","",(G41="DISCONTINUO")+(H41="DISCONTINUO")+(I41="DISCONTINUO")+(J41="DISCONTINUO"))</f>
        <v/>
      </c>
      <c r="AT41" s="59" t="str">
        <f>IF(V41&lt;&gt;"SÍ","",IF(X41="X",(G41="DISCONTINUO")+(H41="DISCONTINUO"),(I41="DISCONTINUO")+(J41="DISCONTINUO")))</f>
        <v/>
      </c>
      <c r="AU41" s="55" t="str">
        <f>IF(V41&lt;&gt;"SÍ","",IF(AS41=0,"INTERIOR",IF(AS41=1,IF(AT41=1,"BORDE-CORTO","BORDE-LARGO"),IF(AS41=2,IF(AT41=1,"ESQUINA",IF(AT41=2,"EXTREMO-LARGO","EXTREMO-CORTO")),IF(AS41=3,IF(AT41=2,"EXTREMO-LARGO","EXTREMO-CORTO"),"AISLADO")))))</f>
        <v/>
      </c>
      <c r="AV41" s="61" t="str">
        <f>IF(V41&lt;&gt;"SÍ","",IF(OR(K41="",K41="AUTO"),AU41,K41))</f>
        <v/>
      </c>
      <c r="AW41" s="59" t="str">
        <f>IF(V41&lt;&gt;"SÍ","",MATCH(AA41,TABLAS!$D$5:$J$5,1))</f>
        <v/>
      </c>
      <c r="AX41" s="58" t="str">
        <f>IF(V41&lt;&gt;"SÍ","",IF(AW41&gt;=7,0,(AA41-INDEX(TABLAS!$D$5:$J$5,AW41))/(INDEX(TABLAS!$D$5:$J$5,AW41+1)-INDEX(TABLAS!$D$5:$J$5,AW41))))</f>
        <v/>
      </c>
      <c r="AY41" s="59" t="str">
        <f>IF(V41&lt;&gt;"SÍ","",INDEX(TABLAS!$D$6:$J$47,MATCH(AV41&amp;"|NIC",TABLAS!$B$6:$B$47,0),AW41)+AX41*(INDEX(TABLAS!$D$6:$J$47,MATCH(AV41&amp;"|NIC",TABLAS!$B$6:$B$47,0),MIN(AW41+1,7))-INDEX(TABLAS!$D$6:$J$47,MATCH(AV41&amp;"|NIC",TABLAS!$B$6:$B$47,0),AW41)))</f>
        <v/>
      </c>
      <c r="AZ41" s="59" t="str">
        <f>IF(V41&lt;&gt;"SÍ","",INDEX(TABLAS!$D$6:$J$47,MATCH(AV41&amp;"|NIL",TABLAS!$B$6:$B$47,0),AW41)+AX41*(INDEX(TABLAS!$D$6:$J$47,MATCH(AV41&amp;"|NIL",TABLAS!$B$6:$B$47,0),MIN(AW41+1,7))-INDEX(TABLAS!$D$6:$J$47,MATCH(AV41&amp;"|NIL",TABLAS!$B$6:$B$47,0),AW41)))</f>
        <v/>
      </c>
      <c r="BA41" s="59" t="str">
        <f>IF(V41&lt;&gt;"SÍ","",INDEX(TABLAS!$D$6:$J$47,MATCH(AV41&amp;"|NDC",TABLAS!$B$6:$B$47,0),AW41)+AX41*(INDEX(TABLAS!$D$6:$J$47,MATCH(AV41&amp;"|NDC",TABLAS!$B$6:$B$47,0),MIN(AW41+1,7))-INDEX(TABLAS!$D$6:$J$47,MATCH(AV41&amp;"|NDC",TABLAS!$B$6:$B$47,0),AW41)))</f>
        <v/>
      </c>
      <c r="BB41" s="59" t="str">
        <f>IF(V41&lt;&gt;"SÍ","",INDEX(TABLAS!$D$6:$J$47,MATCH(AV41&amp;"|NDL",TABLAS!$B$6:$B$47,0),AW41)+AX41*(INDEX(TABLAS!$D$6:$J$47,MATCH(AV41&amp;"|NDL",TABLAS!$B$6:$B$47,0),MIN(AW41+1,7))-INDEX(TABLAS!$D$6:$J$47,MATCH(AV41&amp;"|NDL",TABLAS!$B$6:$B$47,0),AW41)))</f>
        <v/>
      </c>
      <c r="BC41" s="59" t="str">
        <f>IF(V41&lt;&gt;"SÍ","",INDEX(TABLAS!$D$6:$J$47,MATCH(AV41&amp;"|PC",TABLAS!$B$6:$B$47,0),AW41)+AX41*(INDEX(TABLAS!$D$6:$J$47,MATCH(AV41&amp;"|PC",TABLAS!$B$6:$B$47,0),MIN(AW41+1,7))-INDEX(TABLAS!$D$6:$J$47,MATCH(AV41&amp;"|PC",TABLAS!$B$6:$B$47,0),AW41)))</f>
        <v/>
      </c>
      <c r="BD41" s="59" t="str">
        <f>IF(V41&lt;&gt;"SÍ","",INDEX(TABLAS!$D$6:$J$47,MATCH(AV41&amp;"|PL",TABLAS!$B$6:$B$47,0),AW41)+AX41*(INDEX(TABLAS!$D$6:$J$47,MATCH(AV41&amp;"|PL",TABLAS!$B$6:$B$47,0),MIN(AW41+1,7))-INDEX(TABLAS!$D$6:$J$47,MATCH(AV41&amp;"|PL",TABLAS!$B$6:$B$47,0),AW41)))</f>
        <v/>
      </c>
      <c r="BE41" s="56" t="str">
        <f>IF(V41&lt;&gt;"SÍ","",IF(OR(C41&lt;&gt;"VOLADO",MIN(DH41,DI41)=0),0,DATOS!$C$26*DATOS!$C$16*DATOS!$C$86/100*(((AE41*DATOS!$C$81/DATOS!$C$86^2)*DATOS!$C$82/100)*(IF(X41="X",DJ41,DL41)+DATOS!$C$87/2)/100*(AB41-(IF(X41="X",DJ41,DL41)+DATOS!$C$87/2)/2)/100+((AE41*DATOS!$C$81/DATOS!$C$86^2)*DATOS!$C$82/100)*IF(X41="X",DJ41,DL41)/100*IF(X41="X",DJ41,DL41)/200)))</f>
        <v/>
      </c>
      <c r="BF41" s="56" t="str">
        <f>IF(V41&lt;&gt;"SÍ","",IF(OR(C41&lt;&gt;"VOLADO",MIN(DH41,DI41)=0),0,DATOS!$C$26*DATOS!$C$16*DATOS!$C$86/100*((AE41*DATOS!$C$81/DATOS!$C$86^2)*DATOS!$C$82/100)*(IF(X41="X",DJ41,DL41)+DATOS!$C$87/2)/100))</f>
        <v/>
      </c>
      <c r="BG41" s="56" t="str">
        <f>IF(V41&lt;&gt;"SÍ","",IF(C41="PERIMETRAL",BC41*AR41*Y41^2*1E-4*DATOS!$C$86/100/1000,0))</f>
        <v/>
      </c>
      <c r="BH41" s="62" t="str">
        <f>IF(V41&lt;&gt;"SÍ","",IF(C41="PERIMETRAL",MAX(MAX(AY41,BA41)*AR41*Y41^2*1E-4*DATOS!$C$86/100/1000,N(T41)),(AR41*(AB41/100)^2/2+DATOS!$C$26*N(O41)*AB41/100)*DATOS!$C$86/100/1000+BE41))</f>
        <v/>
      </c>
      <c r="BI41" s="56" t="str">
        <f>IF(V41&lt;&gt;"SÍ","",IF(C41="PERIMETRAL",BD41*AR41*Y41^2*1E-4*DATOS!$C$86/100/1000,0))</f>
        <v/>
      </c>
      <c r="BJ41" s="56" t="str">
        <f>IF(V41&lt;&gt;"SÍ","",IF(C41="PERIMETRAL",MAX(MAX(AZ41,BB41)*AR41*Y41^2*1E-4*DATOS!$C$86/100/1000,N(U41)),0))</f>
        <v/>
      </c>
      <c r="BK41" s="63" t="str">
        <f>IF(V41&lt;&gt;"SÍ","",IF(C41&lt;&gt;"PERIMETRAL","—",IF(AND(N(T41)=0,N(U41)=0),"— (sin M⁻ del vecino)",IF(OR(AND(N(T41)&gt;0,ABS(MAX(AY41,BA41)*AR41*Y41^2*1E-4*DATOS!$C$86/100/1000-N(T41))&gt;0.5*MIN(MAX(AY41,BA41)*AR41*Y41^2*1E-4*DATOS!$C$86/100/1000,N(T41))),AND(N(U41)&gt;0,ABS(MAX(AZ41,BB41)*AR41*Y41^2*1E-4*DATOS!$C$86/100/1000-N(U41))&gt;0.5*MIN(MAX(AZ41,BB41)*AR41*Y41^2*1E-4*DATOS!$C$86/100/1000,N(U41)))),"FUERA: difieren &gt; 50 %"&amp;IF(AND(N(T41)&gt;0,ABS(MAX(AY41,BA41)*AR41*Y41^2*1E-4*DATOS!$C$86/100/1000-N(T41))&gt;0.5*MIN(MAX(AY41,BA41)*AR41*Y41^2*1E-4*DATOS!$C$86/100/1000,N(T41)))," ‖ corto","")&amp;IF(AND(N(U41)&gt;0,ABS(MAX(AZ41,BB41)*AR41*Y41^2*1E-4*DATOS!$C$86/100/1000-N(U41))&gt;0.5*MIN(MAX(AZ41,BB41)*AR41*Y41^2*1E-4*DATOS!$C$86/100/1000,N(U41)))," ‖ largo",""),"CUMPLE"))))</f>
        <v/>
      </c>
      <c r="BL41" s="58" t="str">
        <f>IF(V41&lt;&gt;"SÍ","",(DATOS!$C$85-AK41-INDEX(TABLAS!$C$52:$C$58,MATCH(MAX(4,DATOS!$C$71),TABLAS!$B$52:$B$58,0))/2))</f>
        <v/>
      </c>
      <c r="BM41" s="58" t="str">
        <f>IF(V41&lt;&gt;"SÍ","",IF(IF(BG41&lt;=0,0,IF((1-2*BG41*1E5/(DATOS!$C$29*AH41*BL41^2*DATOS!$C$21))&lt;0,-1,IF((1-SQRT((1-2*BG41*1E5/(DATOS!$C$29*AH41*BL41^2*DATOS!$C$21))))*DATOS!$C$21*AH41*BL41/DATOS!$C$14&gt;DATOS!$C$102*AH41*BL41,-1,(1-SQRT((1-2*BG41*1E5/(DATOS!$C$29*AH41*BL41^2*DATOS!$C$21))))*DATOS!$C$21*AH41*BL41/DATOS!$C$14)))&lt;0,-1,MAX(IF(BG41&lt;=0,0,IF((1-2*BG41*1E5/(DATOS!$C$29*AH41*BL41^2*DATOS!$C$21))&lt;0,-1,IF((1-SQRT((1-2*BG41*1E5/(DATOS!$C$29*AH41*BL41^2*DATOS!$C$21))))*DATOS!$C$21*AH41*BL41/DATOS!$C$14&gt;DATOS!$C$102*AH41*BL41,-1,(1-SQRT((1-2*BG41*1E5/(DATOS!$C$29*AH41*BL41^2*DATOS!$C$21))))*DATOS!$C$21*AH41*BL41/DATOS!$C$14))),MIN(DATOS!$C$103*AD41*BL41,4/3*IF(BG41&lt;=0,0,IF((1-2*BG41*1E5/(DATOS!$C$29*AH41*BL41^2*DATOS!$C$21))&lt;0,-1,IF((1-SQRT((1-2*BG41*1E5/(DATOS!$C$29*AH41*BL41^2*DATOS!$C$21))))*DATOS!$C$21*AH41*BL41/DATOS!$C$14&gt;DATOS!$C$102*AH41*BL41,-1,(1-SQRT((1-2*BG41*1E5/(DATOS!$C$29*AH41*BL41^2*DATOS!$C$21))))*DATOS!$C$21*AH41*BL41/DATOS!$C$14)))))))</f>
        <v/>
      </c>
      <c r="BN41" s="64" t="str">
        <f>IF(V41&lt;&gt;"SÍ","",IF(AND(BM41&gt;=0,IF(MAX(DATOS!$C$74,CEILING(BM41/INDEX(TABLAS!$D$52:$D$58,MIN(MATCH(MAX(4,DATOS!$C$71),TABLAS!$B$52:$B$58,0)+0,7)),1))*INDEX(TABLAS!$D$52:$D$58,MIN(MATCH(MAX(4,DATOS!$C$71),TABLAS!$B$52:$B$58,0)+0,7)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+0,7)),1)),MAX(MAX(DATOS!$C$74,CEILING(BM41/INDEX(TABLAS!$D$52:$D$58,MIN(MATCH(MAX(4,DATOS!$C$71),TABLAS!$B$52:$B$58,0)+0,7)),1)),2))&lt;=MIN(DATOS!$C$73,INT(((AD41-2*AK41)+MAX(DATOS!$C$70,INDEX(TABLAS!$C$52:$C$58,MIN(MATCH(MAX(4,DATOS!$C$71),TABLAS!$B$52:$B$58,0)+0,7))))/(INDEX(TABLAS!$C$52:$C$58,MIN(MATCH(MAX(4,DATOS!$C$71),TABLAS!$B$52:$B$58,0)+0,7))+MAX(DATOS!$C$70,INDEX(TABLAS!$C$52:$C$58,MIN(MATCH(MAX(4,DATOS!$C$71),TABLAS!$B$52:$B$58,0)+0,7))))))),INDEX(TABLAS!$B$52:$B$58,MIN(MATCH(MAX(4,DATOS!$C$71),TABLAS!$B$52:$B$58,0)+0,7)),IF(AND(BM41&gt;=0,IF(MAX(DATOS!$C$74,CEILING(BM41/INDEX(TABLAS!$D$52:$D$58,MIN(MATCH(MAX(4,DATOS!$C$71),TABLAS!$B$52:$B$58,0)+1,7)),1))*INDEX(TABLAS!$D$52:$D$58,MIN(MATCH(MAX(4,DATOS!$C$71),TABLAS!$B$52:$B$58,0)+1,7)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+1,7)),1)),MAX(MAX(DATOS!$C$74,CEILING(BM41/INDEX(TABLAS!$D$52:$D$58,MIN(MATCH(MAX(4,DATOS!$C$71),TABLAS!$B$52:$B$58,0)+1,7)),1)),2))&lt;=MIN(DATOS!$C$73,INT(((AD41-2*AK41)+MAX(DATOS!$C$70,INDEX(TABLAS!$C$52:$C$58,MIN(MATCH(MAX(4,DATOS!$C$71),TABLAS!$B$52:$B$58,0)+1,7))))/(INDEX(TABLAS!$C$52:$C$58,MIN(MATCH(MAX(4,DATOS!$C$71),TABLAS!$B$52:$B$58,0)+1,7))+MAX(DATOS!$C$70,INDEX(TABLAS!$C$52:$C$58,MIN(MATCH(MAX(4,DATOS!$C$71),TABLAS!$B$52:$B$58,0)+1,7))))))),INDEX(TABLAS!$B$52:$B$58,MIN(MATCH(MAX(4,DATOS!$C$71),TABLAS!$B$52:$B$58,0)+1,7)),IF(AND(BM41&gt;=0,IF(MAX(DATOS!$C$74,CEILING(BM41/INDEX(TABLAS!$D$52:$D$58,MIN(MATCH(MAX(4,DATOS!$C$71),TABLAS!$B$52:$B$58,0)+2,7)),1))*INDEX(TABLAS!$D$52:$D$58,MIN(MATCH(MAX(4,DATOS!$C$71),TABLAS!$B$52:$B$58,0)+2,7)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+2,7)),1)),MAX(MAX(DATOS!$C$74,CEILING(BM41/INDEX(TABLAS!$D$52:$D$58,MIN(MATCH(MAX(4,DATOS!$C$71),TABLAS!$B$52:$B$58,0)+2,7)),1)),2))&lt;=MIN(DATOS!$C$73,INT(((AD41-2*AK41)+MAX(DATOS!$C$70,INDEX(TABLAS!$C$52:$C$58,MIN(MATCH(MAX(4,DATOS!$C$71),TABLAS!$B$52:$B$58,0)+2,7))))/(INDEX(TABLAS!$C$52:$C$58,MIN(MATCH(MAX(4,DATOS!$C$71),TABLAS!$B$52:$B$58,0)+2,7))+MAX(DATOS!$C$70,INDEX(TABLAS!$C$52:$C$58,MIN(MATCH(MAX(4,DATOS!$C$71),TABLAS!$B$52:$B$58,0)+2,7))))))),INDEX(TABLAS!$B$52:$B$58,MIN(MATCH(MAX(4,DATOS!$C$71),TABLAS!$B$52:$B$58,0)+2,7)),IF(AND(BM41&gt;=0,IF(MAX(DATOS!$C$74,CEILING(BM41/INDEX(TABLAS!$D$52:$D$58,MIN(MATCH(MAX(4,DATOS!$C$71),TABLAS!$B$52:$B$58,0)+3,7)),1))*INDEX(TABLAS!$D$52:$D$58,MIN(MATCH(MAX(4,DATOS!$C$71),TABLAS!$B$52:$B$58,0)+3,7)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+3,7)),1)),MAX(MAX(DATOS!$C$74,CEILING(BM41/INDEX(TABLAS!$D$52:$D$58,MIN(MATCH(MAX(4,DATOS!$C$71),TABLAS!$B$52:$B$58,0)+3,7)),1)),2))&lt;=MIN(DATOS!$C$73,INT(((AD41-2*AK41)+MAX(DATOS!$C$70,INDEX(TABLAS!$C$52:$C$58,MIN(MATCH(MAX(4,DATOS!$C$71),TABLAS!$B$52:$B$58,0)+3,7))))/(INDEX(TABLAS!$C$52:$C$58,MIN(MATCH(MAX(4,DATOS!$C$71),TABLAS!$B$52:$B$58,0)+3,7))+MAX(DATOS!$C$70,INDEX(TABLAS!$C$52:$C$58,MIN(MATCH(MAX(4,DATOS!$C$71),TABLAS!$B$52:$B$58,0)+3,7))))))),INDEX(TABLAS!$B$52:$B$58,MIN(MATCH(MAX(4,DATOS!$C$71),TABLAS!$B$52:$B$58,0)+3,7)),IF(AND(BM41&gt;=0,IF(MAX(DATOS!$C$74,CEILING(BM41/INDEX(TABLAS!$D$52:$D$58,MIN(MATCH(MAX(4,DATOS!$C$71),TABLAS!$B$52:$B$58,0)+4,7)),1))*INDEX(TABLAS!$D$52:$D$58,MIN(MATCH(MAX(4,DATOS!$C$71),TABLAS!$B$52:$B$58,0)+4,7)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+4,7)),1)),MAX(MAX(DATOS!$C$74,CEILING(BM41/INDEX(TABLAS!$D$52:$D$58,MIN(MATCH(MAX(4,DATOS!$C$71),TABLAS!$B$52:$B$58,0)+4,7)),1)),2))&lt;=MIN(DATOS!$C$73,INT(((AD41-2*AK41)+MAX(DATOS!$C$70,INDEX(TABLAS!$C$52:$C$58,MIN(MATCH(MAX(4,DATOS!$C$71),TABLAS!$B$52:$B$58,0)+4,7))))/(INDEX(TABLAS!$C$52:$C$58,MIN(MATCH(MAX(4,DATOS!$C$71),TABLAS!$B$52:$B$58,0)+4,7))+MAX(DATOS!$C$70,INDEX(TABLAS!$C$52:$C$58,MIN(MATCH(MAX(4,DATOS!$C$71),TABLAS!$B$52:$B$58,0)+4,7))))))),INDEX(TABLAS!$B$52:$B$58,MIN(MATCH(MAX(4,DATOS!$C$71),TABLAS!$B$52:$B$58,0)+4,7)),INDEX(TABLAS!$B$52:$B$58,7)))))))</f>
        <v/>
      </c>
      <c r="BO41" s="59" t="str">
        <f>IF(V41&lt;&gt;"SÍ","",IF(BM41&lt;0,0,IF(MAX(DATOS!$C$74,CEILING(MAX(BM41,0)/INDEX(TABLAS!$D$52:$D$58,MATCH(BN41,TABLAS!$B$52:$B$58,0)),1))*INDEX(TABLAS!$D$52:$D$58,MATCH(BN41,TABLAS!$B$52:$B$58,0))&gt;=4/3*IF(BG41&lt;=0,0,IF((1-2*BG41*1E5/(DATOS!$C$29*AH41*BL41^2*DATOS!$C$21))&lt;0,-1,IF((1-SQRT((1-2*BG41*1E5/(DATOS!$C$29*AH41*BL41^2*DATOS!$C$21))))*DATOS!$C$21*AH41*BL41/DATOS!$C$14&gt;DATOS!$C$102*AH41*BL41,-1,(1-SQRT((1-2*BG41*1E5/(DATOS!$C$29*AH41*BL41^2*DATOS!$C$21))))*DATOS!$C$21*AH41*BL41/DATOS!$C$14)))-0.0001,MAX(DATOS!$C$74,CEILING(MAX(BM41,0)/INDEX(TABLAS!$D$52:$D$58,MATCH(BN41,TABLAS!$B$52:$B$58,0)),1)),MAX(MAX(DATOS!$C$74,CEILING(MAX(BM41,0)/INDEX(TABLAS!$D$52:$D$58,MATCH(BN41,TABLAS!$B$52:$B$58,0)),1)),2))))</f>
        <v/>
      </c>
      <c r="BP41" s="58" t="str">
        <f>IF(V41&lt;&gt;"SÍ","",DATOS!$C$85-AK41-INDEX(TABLAS!$C$52:$C$58,MATCH(BN41,TABLAS!$B$52:$B$58,0))/2)</f>
        <v/>
      </c>
      <c r="BQ41" s="56" t="str">
        <f>IF(V41&lt;&gt;"SÍ","",IF(BO41=0,0,DATOS!$C$29*BO41*INDEX(TABLAS!$D$52:$D$58,MATCH(BN41,TABLAS!$B$52:$B$58,0))*DATOS!$C$14*(BP41-BO41*INDEX(TABLAS!$D$52:$D$58,MATCH(BN41,TABLAS!$B$52:$B$58,0))*DATOS!$C$14/(DATOS!$C$21*AH41)/2)/1E5))</f>
        <v/>
      </c>
      <c r="BR41" s="65" t="str">
        <f>IF(V41&lt;&gt;"SÍ","",IF(BM41&lt;0,9.99,IF(BQ41&gt;0,BG41/BQ41,0)))</f>
        <v/>
      </c>
      <c r="BS41" s="66" t="str">
        <f>IF(V41&lt;&gt;"SÍ","",IF(BO41=0,"—",0.003*(BP41-(BO41*INDEX(TABLAS!$D$52:$D$58,MATCH(BN41,TABLAS!$B$52:$B$58,0))*DATOS!$C$14/(DATOS!$C$21*AH41)/DATOS!$C$22))/(BO41*INDEX(TABLAS!$D$52:$D$58,MATCH(BN41,TABLAS!$B$52:$B$58,0))*DATOS!$C$14/(DATOS!$C$21*AH41)/DATOS!$C$22)))</f>
        <v/>
      </c>
      <c r="BT41" s="58" t="str">
        <f>IF(V41&lt;&gt;"SÍ","",((DATOS!$C$85-AM41-2*DATOS!$C$97-INDEX(TABLAS!$C$52:$C$58,MATCH(MAX(4,DATOS!$C$72),TABLAS!$B$52:$B$58,0))/2)-IF(AND((DATOS!$C$85-AM41-2*DATOS!$C$97-INDEX(TABLAS!$C$52:$C$58,MATCH(MAX(4,DATOS!$C$72),TABLAS!$B$52:$B$58,0))/2)&lt;=20,DATOS!$C$65&lt;&gt;"SÍ"),2,0)))</f>
        <v/>
      </c>
      <c r="BU41" s="58" t="str">
        <f>IF(V41&lt;&gt;"SÍ","",IF(IF(BH41&lt;=0,0,IF((1-2*BH41*1E5/(DATOS!$C$29*AF41*BT41^2*DATOS!$C$21))&lt;0,-1,IF((1-SQRT((1-2*BH41*1E5/(DATOS!$C$29*AF41*BT41^2*DATOS!$C$21))))*DATOS!$C$21*AF41*BT41/DATOS!$C$14&gt;DATOS!$C$102*AF41*BT41,-1,(1-SQRT((1-2*BH41*1E5/(DATOS!$C$29*AF41*BT41^2*DATOS!$C$21))))*DATOS!$C$21*AF41*BT41/DATOS!$C$14)))&lt;0,-1,MAX(IF(BH41&lt;=0,0,IF((1-2*BH41*1E5/(DATOS!$C$29*AF41*BT41^2*DATOS!$C$21))&lt;0,-1,IF((1-SQRT((1-2*BH41*1E5/(DATOS!$C$29*AF41*BT41^2*DATOS!$C$21))))*DATOS!$C$21*AF41*BT41/DATOS!$C$14&gt;DATOS!$C$102*AF41*BT41,-1,(1-SQRT((1-2*BH41*1E5/(DATOS!$C$29*AF41*BT41^2*DATOS!$C$21))))*DATOS!$C$21*AF41*BT41/DATOS!$C$14))),MIN(DATOS!$C$103*IF(C41="VOLADO",MIN(AH41,2*AD41),AD41)*BT41,4/3*IF(BH41&lt;=0,0,IF((1-2*BH41*1E5/(DATOS!$C$29*AF41*BT41^2*DATOS!$C$21))&lt;0,-1,IF((1-SQRT((1-2*BH41*1E5/(DATOS!$C$29*AF41*BT41^2*DATOS!$C$21))))*DATOS!$C$21*AF41*BT41/DATOS!$C$14&gt;DATOS!$C$102*AF41*BT41,-1,(1-SQRT((1-2*BH41*1E5/(DATOS!$C$29*AF41*BT41^2*DATOS!$C$21))))*DATOS!$C$21*AF41*BT41/DATOS!$C$14)))))))</f>
        <v/>
      </c>
      <c r="BV41" s="64" t="str">
        <f>IF(V41&lt;&gt;"SÍ","",IF(AND(BU41&gt;=0,IF(MAX(DATOS!$C$74,CEILING(BU41/INDEX(TABLAS!$D$52:$D$58,MIN(MATCH(MAX(4,DATOS!$C$72),TABLAS!$B$52:$B$58,0)+0,7)),1))*INDEX(TABLAS!$D$52:$D$58,MIN(MATCH(MAX(4,DATOS!$C$72),TABLAS!$B$52:$B$58,0)+0,7)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+0,7)),1)),MAX(MAX(DATOS!$C$74,CEILING(BU41/INDEX(TABLAS!$D$52:$D$58,MIN(MATCH(MAX(4,DATOS!$C$72),TABLAS!$B$52:$B$58,0)+0,7)),1)),2))&lt;=MIN(DATOS!$C$73,INT(((AD41-2*AL41)+MAX(DATOS!$C$70,INDEX(TABLAS!$C$52:$C$58,MIN(MATCH(MAX(4,DATOS!$C$72),TABLAS!$B$52:$B$58,0)+0,7))))/(INDEX(TABLAS!$C$52:$C$58,MIN(MATCH(MAX(4,DATOS!$C$72),TABLAS!$B$52:$B$58,0)+0,7))+MAX(DATOS!$C$70,INDEX(TABLAS!$C$52:$C$58,MIN(MATCH(MAX(4,DATOS!$C$72),TABLAS!$B$52:$B$58,0)+0,7))))))),INDEX(TABLAS!$B$52:$B$58,MIN(MATCH(MAX(4,DATOS!$C$72),TABLAS!$B$52:$B$58,0)+0,7)),IF(AND(BU41&gt;=0,IF(MAX(DATOS!$C$74,CEILING(BU41/INDEX(TABLAS!$D$52:$D$58,MIN(MATCH(MAX(4,DATOS!$C$72),TABLAS!$B$52:$B$58,0)+1,7)),1))*INDEX(TABLAS!$D$52:$D$58,MIN(MATCH(MAX(4,DATOS!$C$72),TABLAS!$B$52:$B$58,0)+1,7)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+1,7)),1)),MAX(MAX(DATOS!$C$74,CEILING(BU41/INDEX(TABLAS!$D$52:$D$58,MIN(MATCH(MAX(4,DATOS!$C$72),TABLAS!$B$52:$B$58,0)+1,7)),1)),2))&lt;=MIN(DATOS!$C$73,INT(((AD41-2*AL41)+MAX(DATOS!$C$70,INDEX(TABLAS!$C$52:$C$58,MIN(MATCH(MAX(4,DATOS!$C$72),TABLAS!$B$52:$B$58,0)+1,7))))/(INDEX(TABLAS!$C$52:$C$58,MIN(MATCH(MAX(4,DATOS!$C$72),TABLAS!$B$52:$B$58,0)+1,7))+MAX(DATOS!$C$70,INDEX(TABLAS!$C$52:$C$58,MIN(MATCH(MAX(4,DATOS!$C$72),TABLAS!$B$52:$B$58,0)+1,7))))))),INDEX(TABLAS!$B$52:$B$58,MIN(MATCH(MAX(4,DATOS!$C$72),TABLAS!$B$52:$B$58,0)+1,7)),IF(AND(BU41&gt;=0,IF(MAX(DATOS!$C$74,CEILING(BU41/INDEX(TABLAS!$D$52:$D$58,MIN(MATCH(MAX(4,DATOS!$C$72),TABLAS!$B$52:$B$58,0)+2,7)),1))*INDEX(TABLAS!$D$52:$D$58,MIN(MATCH(MAX(4,DATOS!$C$72),TABLAS!$B$52:$B$58,0)+2,7)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+2,7)),1)),MAX(MAX(DATOS!$C$74,CEILING(BU41/INDEX(TABLAS!$D$52:$D$58,MIN(MATCH(MAX(4,DATOS!$C$72),TABLAS!$B$52:$B$58,0)+2,7)),1)),2))&lt;=MIN(DATOS!$C$73,INT(((AD41-2*AL41)+MAX(DATOS!$C$70,INDEX(TABLAS!$C$52:$C$58,MIN(MATCH(MAX(4,DATOS!$C$72),TABLAS!$B$52:$B$58,0)+2,7))))/(INDEX(TABLAS!$C$52:$C$58,MIN(MATCH(MAX(4,DATOS!$C$72),TABLAS!$B$52:$B$58,0)+2,7))+MAX(DATOS!$C$70,INDEX(TABLAS!$C$52:$C$58,MIN(MATCH(MAX(4,DATOS!$C$72),TABLAS!$B$52:$B$58,0)+2,7))))))),INDEX(TABLAS!$B$52:$B$58,MIN(MATCH(MAX(4,DATOS!$C$72),TABLAS!$B$52:$B$58,0)+2,7)),IF(AND(BU41&gt;=0,IF(MAX(DATOS!$C$74,CEILING(BU41/INDEX(TABLAS!$D$52:$D$58,MIN(MATCH(MAX(4,DATOS!$C$72),TABLAS!$B$52:$B$58,0)+3,7)),1))*INDEX(TABLAS!$D$52:$D$58,MIN(MATCH(MAX(4,DATOS!$C$72),TABLAS!$B$52:$B$58,0)+3,7)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+3,7)),1)),MAX(MAX(DATOS!$C$74,CEILING(BU41/INDEX(TABLAS!$D$52:$D$58,MIN(MATCH(MAX(4,DATOS!$C$72),TABLAS!$B$52:$B$58,0)+3,7)),1)),2))&lt;=MIN(DATOS!$C$73,INT(((AD41-2*AL41)+MAX(DATOS!$C$70,INDEX(TABLAS!$C$52:$C$58,MIN(MATCH(MAX(4,DATOS!$C$72),TABLAS!$B$52:$B$58,0)+3,7))))/(INDEX(TABLAS!$C$52:$C$58,MIN(MATCH(MAX(4,DATOS!$C$72),TABLAS!$B$52:$B$58,0)+3,7))+MAX(DATOS!$C$70,INDEX(TABLAS!$C$52:$C$58,MIN(MATCH(MAX(4,DATOS!$C$72),TABLAS!$B$52:$B$58,0)+3,7))))))),INDEX(TABLAS!$B$52:$B$58,MIN(MATCH(MAX(4,DATOS!$C$72),TABLAS!$B$52:$B$58,0)+3,7)),IF(AND(BU41&gt;=0,IF(MAX(DATOS!$C$74,CEILING(BU41/INDEX(TABLAS!$D$52:$D$58,MIN(MATCH(MAX(4,DATOS!$C$72),TABLAS!$B$52:$B$58,0)+4,7)),1))*INDEX(TABLAS!$D$52:$D$58,MIN(MATCH(MAX(4,DATOS!$C$72),TABLAS!$B$52:$B$58,0)+4,7)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+4,7)),1)),MAX(MAX(DATOS!$C$74,CEILING(BU41/INDEX(TABLAS!$D$52:$D$58,MIN(MATCH(MAX(4,DATOS!$C$72),TABLAS!$B$52:$B$58,0)+4,7)),1)),2))&lt;=MIN(DATOS!$C$73,INT(((AD41-2*AL41)+MAX(DATOS!$C$70,INDEX(TABLAS!$C$52:$C$58,MIN(MATCH(MAX(4,DATOS!$C$72),TABLAS!$B$52:$B$58,0)+4,7))))/(INDEX(TABLAS!$C$52:$C$58,MIN(MATCH(MAX(4,DATOS!$C$72),TABLAS!$B$52:$B$58,0)+4,7))+MAX(DATOS!$C$70,INDEX(TABLAS!$C$52:$C$58,MIN(MATCH(MAX(4,DATOS!$C$72),TABLAS!$B$52:$B$58,0)+4,7))))))),INDEX(TABLAS!$B$52:$B$58,MIN(MATCH(MAX(4,DATOS!$C$72),TABLAS!$B$52:$B$58,0)+4,7)),INDEX(TABLAS!$B$52:$B$58,7)))))))</f>
        <v/>
      </c>
      <c r="BW41" s="59" t="str">
        <f>IF(V41&lt;&gt;"SÍ","",IF(BU41&lt;0,0,IF(MAX(DATOS!$C$74,CEILING(MAX(BU41,0)/INDEX(TABLAS!$D$52:$D$58,MATCH(BV41,TABLAS!$B$52:$B$58,0)),1))*INDEX(TABLAS!$D$52:$D$58,MATCH(BV41,TABLAS!$B$52:$B$58,0))&gt;=4/3*IF(BH41&lt;=0,0,IF((1-2*BH41*1E5/(DATOS!$C$29*AF41*BT41^2*DATOS!$C$21))&lt;0,-1,IF((1-SQRT((1-2*BH41*1E5/(DATOS!$C$29*AF41*BT41^2*DATOS!$C$21))))*DATOS!$C$21*AF41*BT41/DATOS!$C$14&gt;DATOS!$C$102*AF41*BT41,-1,(1-SQRT((1-2*BH41*1E5/(DATOS!$C$29*AF41*BT41^2*DATOS!$C$21))))*DATOS!$C$21*AF41*BT41/DATOS!$C$14)))-0.0001,MAX(DATOS!$C$74,CEILING(MAX(BU41,0)/INDEX(TABLAS!$D$52:$D$58,MATCH(BV41,TABLAS!$B$52:$B$58,0)),1)),MAX(MAX(DATOS!$C$74,CEILING(MAX(BU41,0)/INDEX(TABLAS!$D$52:$D$58,MATCH(BV41,TABLAS!$B$52:$B$58,0)),1)),2))))</f>
        <v/>
      </c>
      <c r="BX41" s="58" t="str">
        <f>IF(V41&lt;&gt;"SÍ","",((DATOS!$C$85-AM41-2*DATOS!$C$97-INDEX(TABLAS!$C$52:$C$58,MATCH(BV41,TABLAS!$B$52:$B$58,0))/2)-IF(AND((DATOS!$C$85-AM41-2*DATOS!$C$97-INDEX(TABLAS!$C$52:$C$58,MATCH(BV41,TABLAS!$B$52:$B$58,0))/2)&lt;=20,DATOS!$C$65&lt;&gt;"SÍ"),2,0)))</f>
        <v/>
      </c>
      <c r="BY41" s="56" t="str">
        <f>IF(V41&lt;&gt;"SÍ","",IF(BW41=0,0,DATOS!$C$29*BW41*INDEX(TABLAS!$D$52:$D$58,MATCH(BV41,TABLAS!$B$52:$B$58,0))*DATOS!$C$14*(BX41-BW41*INDEX(TABLAS!$D$52:$D$58,MATCH(BV41,TABLAS!$B$52:$B$58,0))*DATOS!$C$14/(DATOS!$C$21*AF41)/2)/1E5))</f>
        <v/>
      </c>
      <c r="BZ41" s="65" t="str">
        <f>IF(V41&lt;&gt;"SÍ","",IF(BU41&lt;0,9.99,IF(BY41&gt;0,BH41/BY41,0)))</f>
        <v/>
      </c>
      <c r="CA41" s="66" t="str">
        <f>IF(V41&lt;&gt;"SÍ","",IF(BW41=0,"—",0.003*(BX41-(BW41*INDEX(TABLAS!$D$52:$D$58,MATCH(BV41,TABLAS!$B$52:$B$58,0))*DATOS!$C$14/(DATOS!$C$21*AF41)/DATOS!$C$22))/(BW41*INDEX(TABLAS!$D$52:$D$58,MATCH(BV41,TABLAS!$B$52:$B$58,0))*DATOS!$C$14/(DATOS!$C$21*AF41)/DATOS!$C$22)))</f>
        <v/>
      </c>
      <c r="CB41" s="58" t="str">
        <f>IF(V41&lt;&gt;"SÍ","",(DATOS!$C$85-AK41-INDEX(TABLAS!$C$52:$C$58,MATCH(MAX(4,DATOS!$C$71),TABLAS!$B$52:$B$58,0))-INDEX(TABLAS!$C$52:$C$58,MATCH(MAX(4,DATOS!$C$71),TABLAS!$B$52:$B$58,0))/2))</f>
        <v/>
      </c>
      <c r="CC41" s="58" t="str">
        <f>IF(V41&lt;&gt;"SÍ","",IF(IF(BI41&lt;=0,0,IF((1-2*BI41*1E5/(DATOS!$C$29*AI41*CB41^2*DATOS!$C$21))&lt;0,-1,IF((1-SQRT((1-2*BI41*1E5/(DATOS!$C$29*AI41*CB41^2*DATOS!$C$21))))*DATOS!$C$21*AI41*CB41/DATOS!$C$14&gt;DATOS!$C$102*AI41*CB41,-1,(1-SQRT((1-2*BI41*1E5/(DATOS!$C$29*AI41*CB41^2*DATOS!$C$21))))*DATOS!$C$21*AI41*CB41/DATOS!$C$14)))&lt;0,-1,MAX(IF(BI41&lt;=0,0,IF((1-2*BI41*1E5/(DATOS!$C$29*AI41*CB41^2*DATOS!$C$21))&lt;0,-1,IF((1-SQRT((1-2*BI41*1E5/(DATOS!$C$29*AI41*CB41^2*DATOS!$C$21))))*DATOS!$C$21*AI41*CB41/DATOS!$C$14&gt;DATOS!$C$102*AI41*CB41,-1,(1-SQRT((1-2*BI41*1E5/(DATOS!$C$29*AI41*CB41^2*DATOS!$C$21))))*DATOS!$C$21*AI41*CB41/DATOS!$C$14))),MIN(DATOS!$C$103*DATOS!$C$83*CB41,4/3*IF(BI41&lt;=0,0,IF((1-2*BI41*1E5/(DATOS!$C$29*AI41*CB41^2*DATOS!$C$21))&lt;0,-1,IF((1-SQRT((1-2*BI41*1E5/(DATOS!$C$29*AI41*CB41^2*DATOS!$C$21))))*DATOS!$C$21*AI41*CB41/DATOS!$C$14&gt;DATOS!$C$102*AI41*CB41,-1,(1-SQRT((1-2*BI41*1E5/(DATOS!$C$29*AI41*CB41^2*DATOS!$C$21))))*DATOS!$C$21*AI41*CB41/DATOS!$C$14)))))))</f>
        <v/>
      </c>
      <c r="CD41" s="64" t="str">
        <f>IF(V41&lt;&gt;"SÍ","",IF(AND(CC41&gt;=0,IF(MAX(DATOS!$C$74,CEILING(CC41/INDEX(TABLAS!$D$52:$D$58,MIN(MATCH(MAX(4,DATOS!$C$71),TABLAS!$B$52:$B$58,0)+0,7)),1))*INDEX(TABLAS!$D$52:$D$58,MIN(MATCH(MAX(4,DATOS!$C$71),TABLAS!$B$52:$B$58,0)+0,7)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+0,7)),1)),MAX(MAX(DATOS!$C$74,CEILING(CC41/INDEX(TABLAS!$D$52:$D$58,MIN(MATCH(MAX(4,DATOS!$C$71),TABLAS!$B$52:$B$58,0)+0,7)),1)),2))&lt;=MIN(DATOS!$C$73,INT(((DATOS!$C$83-2*AK41)+MAX(DATOS!$C$70,INDEX(TABLAS!$C$52:$C$58,MIN(MATCH(MAX(4,DATOS!$C$71),TABLAS!$B$52:$B$58,0)+0,7))))/(INDEX(TABLAS!$C$52:$C$58,MIN(MATCH(MAX(4,DATOS!$C$71),TABLAS!$B$52:$B$58,0)+0,7))+MAX(DATOS!$C$70,INDEX(TABLAS!$C$52:$C$58,MIN(MATCH(MAX(4,DATOS!$C$71),TABLAS!$B$52:$B$58,0)+0,7))))))),INDEX(TABLAS!$B$52:$B$58,MIN(MATCH(MAX(4,DATOS!$C$71),TABLAS!$B$52:$B$58,0)+0,7)),IF(AND(CC41&gt;=0,IF(MAX(DATOS!$C$74,CEILING(CC41/INDEX(TABLAS!$D$52:$D$58,MIN(MATCH(MAX(4,DATOS!$C$71),TABLAS!$B$52:$B$58,0)+1,7)),1))*INDEX(TABLAS!$D$52:$D$58,MIN(MATCH(MAX(4,DATOS!$C$71),TABLAS!$B$52:$B$58,0)+1,7)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+1,7)),1)),MAX(MAX(DATOS!$C$74,CEILING(CC41/INDEX(TABLAS!$D$52:$D$58,MIN(MATCH(MAX(4,DATOS!$C$71),TABLAS!$B$52:$B$58,0)+1,7)),1)),2))&lt;=MIN(DATOS!$C$73,INT(((DATOS!$C$83-2*AK41)+MAX(DATOS!$C$70,INDEX(TABLAS!$C$52:$C$58,MIN(MATCH(MAX(4,DATOS!$C$71),TABLAS!$B$52:$B$58,0)+1,7))))/(INDEX(TABLAS!$C$52:$C$58,MIN(MATCH(MAX(4,DATOS!$C$71),TABLAS!$B$52:$B$58,0)+1,7))+MAX(DATOS!$C$70,INDEX(TABLAS!$C$52:$C$58,MIN(MATCH(MAX(4,DATOS!$C$71),TABLAS!$B$52:$B$58,0)+1,7))))))),INDEX(TABLAS!$B$52:$B$58,MIN(MATCH(MAX(4,DATOS!$C$71),TABLAS!$B$52:$B$58,0)+1,7)),IF(AND(CC41&gt;=0,IF(MAX(DATOS!$C$74,CEILING(CC41/INDEX(TABLAS!$D$52:$D$58,MIN(MATCH(MAX(4,DATOS!$C$71),TABLAS!$B$52:$B$58,0)+2,7)),1))*INDEX(TABLAS!$D$52:$D$58,MIN(MATCH(MAX(4,DATOS!$C$71),TABLAS!$B$52:$B$58,0)+2,7)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+2,7)),1)),MAX(MAX(DATOS!$C$74,CEILING(CC41/INDEX(TABLAS!$D$52:$D$58,MIN(MATCH(MAX(4,DATOS!$C$71),TABLAS!$B$52:$B$58,0)+2,7)),1)),2))&lt;=MIN(DATOS!$C$73,INT(((DATOS!$C$83-2*AK41)+MAX(DATOS!$C$70,INDEX(TABLAS!$C$52:$C$58,MIN(MATCH(MAX(4,DATOS!$C$71),TABLAS!$B$52:$B$58,0)+2,7))))/(INDEX(TABLAS!$C$52:$C$58,MIN(MATCH(MAX(4,DATOS!$C$71),TABLAS!$B$52:$B$58,0)+2,7))+MAX(DATOS!$C$70,INDEX(TABLAS!$C$52:$C$58,MIN(MATCH(MAX(4,DATOS!$C$71),TABLAS!$B$52:$B$58,0)+2,7))))))),INDEX(TABLAS!$B$52:$B$58,MIN(MATCH(MAX(4,DATOS!$C$71),TABLAS!$B$52:$B$58,0)+2,7)),IF(AND(CC41&gt;=0,IF(MAX(DATOS!$C$74,CEILING(CC41/INDEX(TABLAS!$D$52:$D$58,MIN(MATCH(MAX(4,DATOS!$C$71),TABLAS!$B$52:$B$58,0)+3,7)),1))*INDEX(TABLAS!$D$52:$D$58,MIN(MATCH(MAX(4,DATOS!$C$71),TABLAS!$B$52:$B$58,0)+3,7)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+3,7)),1)),MAX(MAX(DATOS!$C$74,CEILING(CC41/INDEX(TABLAS!$D$52:$D$58,MIN(MATCH(MAX(4,DATOS!$C$71),TABLAS!$B$52:$B$58,0)+3,7)),1)),2))&lt;=MIN(DATOS!$C$73,INT(((DATOS!$C$83-2*AK41)+MAX(DATOS!$C$70,INDEX(TABLAS!$C$52:$C$58,MIN(MATCH(MAX(4,DATOS!$C$71),TABLAS!$B$52:$B$58,0)+3,7))))/(INDEX(TABLAS!$C$52:$C$58,MIN(MATCH(MAX(4,DATOS!$C$71),TABLAS!$B$52:$B$58,0)+3,7))+MAX(DATOS!$C$70,INDEX(TABLAS!$C$52:$C$58,MIN(MATCH(MAX(4,DATOS!$C$71),TABLAS!$B$52:$B$58,0)+3,7))))))),INDEX(TABLAS!$B$52:$B$58,MIN(MATCH(MAX(4,DATOS!$C$71),TABLAS!$B$52:$B$58,0)+3,7)),IF(AND(CC41&gt;=0,IF(MAX(DATOS!$C$74,CEILING(CC41/INDEX(TABLAS!$D$52:$D$58,MIN(MATCH(MAX(4,DATOS!$C$71),TABLAS!$B$52:$B$58,0)+4,7)),1))*INDEX(TABLAS!$D$52:$D$58,MIN(MATCH(MAX(4,DATOS!$C$71),TABLAS!$B$52:$B$58,0)+4,7)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+4,7)),1)),MAX(MAX(DATOS!$C$74,CEILING(CC41/INDEX(TABLAS!$D$52:$D$58,MIN(MATCH(MAX(4,DATOS!$C$71),TABLAS!$B$52:$B$58,0)+4,7)),1)),2))&lt;=MIN(DATOS!$C$73,INT(((DATOS!$C$83-2*AK41)+MAX(DATOS!$C$70,INDEX(TABLAS!$C$52:$C$58,MIN(MATCH(MAX(4,DATOS!$C$71),TABLAS!$B$52:$B$58,0)+4,7))))/(INDEX(TABLAS!$C$52:$C$58,MIN(MATCH(MAX(4,DATOS!$C$71),TABLAS!$B$52:$B$58,0)+4,7))+MAX(DATOS!$C$70,INDEX(TABLAS!$C$52:$C$58,MIN(MATCH(MAX(4,DATOS!$C$71),TABLAS!$B$52:$B$58,0)+4,7))))))),INDEX(TABLAS!$B$52:$B$58,MIN(MATCH(MAX(4,DATOS!$C$71),TABLAS!$B$52:$B$58,0)+4,7)),INDEX(TABLAS!$B$52:$B$58,7)))))))</f>
        <v/>
      </c>
      <c r="CE41" s="59" t="str">
        <f>IF(V41&lt;&gt;"SÍ","",IF(CC41&lt;0,0,IF(MAX(DATOS!$C$74,CEILING(MAX(CC41,0)/INDEX(TABLAS!$D$52:$D$58,MATCH(CD41,TABLAS!$B$52:$B$58,0)),1))*INDEX(TABLAS!$D$52:$D$58,MATCH(CD41,TABLAS!$B$52:$B$58,0))&gt;=4/3*IF(BI41&lt;=0,0,IF((1-2*BI41*1E5/(DATOS!$C$29*AI41*CB41^2*DATOS!$C$21))&lt;0,-1,IF((1-SQRT((1-2*BI41*1E5/(DATOS!$C$29*AI41*CB41^2*DATOS!$C$21))))*DATOS!$C$21*AI41*CB41/DATOS!$C$14&gt;DATOS!$C$102*AI41*CB41,-1,(1-SQRT((1-2*BI41*1E5/(DATOS!$C$29*AI41*CB41^2*DATOS!$C$21))))*DATOS!$C$21*AI41*CB41/DATOS!$C$14)))-0.0001,MAX(DATOS!$C$74,CEILING(MAX(CC41,0)/INDEX(TABLAS!$D$52:$D$58,MATCH(CD41,TABLAS!$B$52:$B$58,0)),1)),MAX(MAX(DATOS!$C$74,CEILING(MAX(CC41,0)/INDEX(TABLAS!$D$52:$D$58,MATCH(CD41,TABLAS!$B$52:$B$58,0)),1)),2))))</f>
        <v/>
      </c>
      <c r="CF41" s="58" t="str">
        <f>IF(V41&lt;&gt;"SÍ","",DATOS!$C$85-AK41-INDEX(TABLAS!$C$52:$C$58,MATCH(BN41,TABLAS!$B$52:$B$58,0))-INDEX(TABLAS!$C$52:$C$58,MATCH(CD41,TABLAS!$B$52:$B$58,0))/2)</f>
        <v/>
      </c>
      <c r="CG41" s="56" t="str">
        <f>IF(V41&lt;&gt;"SÍ","",IF(CE41=0,0,DATOS!$C$29*CE41*INDEX(TABLAS!$D$52:$D$58,MATCH(CD41,TABLAS!$B$52:$B$58,0))*DATOS!$C$14*(CF41-CE41*INDEX(TABLAS!$D$52:$D$58,MATCH(CD41,TABLAS!$B$52:$B$58,0))*DATOS!$C$14/(DATOS!$C$21*AI41)/2)/1E5))</f>
        <v/>
      </c>
      <c r="CH41" s="65" t="str">
        <f>IF(V41&lt;&gt;"SÍ","",IF(CC41&lt;0,9.99,IF(CG41&gt;0,BI41/CG41,0)))</f>
        <v/>
      </c>
      <c r="CI41" s="66" t="str">
        <f>IF(V41&lt;&gt;"SÍ","",IF(CE41=0,"—",0.003*(CF41-(CE41*INDEX(TABLAS!$D$52:$D$58,MATCH(CD41,TABLAS!$B$52:$B$58,0))*DATOS!$C$14/(DATOS!$C$21*AI41)/DATOS!$C$22))/(CE41*INDEX(TABLAS!$D$52:$D$58,MATCH(CD41,TABLAS!$B$52:$B$58,0))*DATOS!$C$14/(DATOS!$C$21*AI41)/DATOS!$C$22)))</f>
        <v/>
      </c>
      <c r="CJ41" s="58" t="str">
        <f>IF(V41&lt;&gt;"SÍ","",((DATOS!$C$85-AM41-2*DATOS!$C$97-INDEX(TABLAS!$C$52:$C$58,MATCH(MAX(4,DATOS!$C$72),TABLAS!$B$52:$B$58,0))-INDEX(TABLAS!$C$52:$C$58,MATCH(MAX(4,DATOS!$C$72),TABLAS!$B$52:$B$58,0))/2)-IF(AND((DATOS!$C$85-AM41-2*DATOS!$C$97-INDEX(TABLAS!$C$52:$C$58,MATCH(MAX(4,DATOS!$C$72),TABLAS!$B$52:$B$58,0))-INDEX(TABLAS!$C$52:$C$58,MATCH(MAX(4,DATOS!$C$72),TABLAS!$B$52:$B$58,0))/2)&lt;=20,DATOS!$C$65&lt;&gt;"SÍ"),2,0)))</f>
        <v/>
      </c>
      <c r="CK41" s="58" t="str">
        <f>IF(V41&lt;&gt;"SÍ","",IF(IF(BJ41&lt;=0,0,IF((1-2*BJ41*1E5/(DATOS!$C$29*AG41*CJ41^2*DATOS!$C$21))&lt;0,-1,IF((1-SQRT((1-2*BJ41*1E5/(DATOS!$C$29*AG41*CJ41^2*DATOS!$C$21))))*DATOS!$C$21*AG41*CJ41/DATOS!$C$14&gt;DATOS!$C$102*AG41*CJ41,-1,(1-SQRT((1-2*BJ41*1E5/(DATOS!$C$29*AG41*CJ41^2*DATOS!$C$21))))*DATOS!$C$21*AG41*CJ41/DATOS!$C$14)))&lt;0,-1,MAX(IF(BJ41&lt;=0,0,IF((1-2*BJ41*1E5/(DATOS!$C$29*AG41*CJ41^2*DATOS!$C$21))&lt;0,-1,IF((1-SQRT((1-2*BJ41*1E5/(DATOS!$C$29*AG41*CJ41^2*DATOS!$C$21))))*DATOS!$C$21*AG41*CJ41/DATOS!$C$14&gt;DATOS!$C$102*AG41*CJ41,-1,(1-SQRT((1-2*BJ41*1E5/(DATOS!$C$29*AG41*CJ41^2*DATOS!$C$21))))*DATOS!$C$21*AG41*CJ41/DATOS!$C$14))),MIN(DATOS!$C$103*DATOS!$C$83*CJ41,4/3*IF(BJ41&lt;=0,0,IF((1-2*BJ41*1E5/(DATOS!$C$29*AG41*CJ41^2*DATOS!$C$21))&lt;0,-1,IF((1-SQRT((1-2*BJ41*1E5/(DATOS!$C$29*AG41*CJ41^2*DATOS!$C$21))))*DATOS!$C$21*AG41*CJ41/DATOS!$C$14&gt;DATOS!$C$102*AG41*CJ41,-1,(1-SQRT((1-2*BJ41*1E5/(DATOS!$C$29*AG41*CJ41^2*DATOS!$C$21))))*DATOS!$C$21*AG41*CJ41/DATOS!$C$14)))))))</f>
        <v/>
      </c>
      <c r="CL41" s="64" t="str">
        <f>IF(V41&lt;&gt;"SÍ","",IF(AND(CK41&gt;=0,IF(MAX(DATOS!$C$74,CEILING(CK41/INDEX(TABLAS!$D$52:$D$58,MIN(MATCH(MAX(4,DATOS!$C$72),TABLAS!$B$52:$B$58,0)+0,7)),1))*INDEX(TABLAS!$D$52:$D$58,MIN(MATCH(MAX(4,DATOS!$C$72),TABLAS!$B$52:$B$58,0)+0,7)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+0,7)),1)),MAX(MAX(DATOS!$C$74,CEILING(CK41/INDEX(TABLAS!$D$52:$D$58,MIN(MATCH(MAX(4,DATOS!$C$72),TABLAS!$B$52:$B$58,0)+0,7)),1)),2))&lt;=MIN(DATOS!$C$73,INT(((DATOS!$C$83-2*AL41)+MAX(DATOS!$C$70,INDEX(TABLAS!$C$52:$C$58,MIN(MATCH(MAX(4,DATOS!$C$72),TABLAS!$B$52:$B$58,0)+0,7))))/(INDEX(TABLAS!$C$52:$C$58,MIN(MATCH(MAX(4,DATOS!$C$72),TABLAS!$B$52:$B$58,0)+0,7))+MAX(DATOS!$C$70,INDEX(TABLAS!$C$52:$C$58,MIN(MATCH(MAX(4,DATOS!$C$72),TABLAS!$B$52:$B$58,0)+0,7))))))),INDEX(TABLAS!$B$52:$B$58,MIN(MATCH(MAX(4,DATOS!$C$72),TABLAS!$B$52:$B$58,0)+0,7)),IF(AND(CK41&gt;=0,IF(MAX(DATOS!$C$74,CEILING(CK41/INDEX(TABLAS!$D$52:$D$58,MIN(MATCH(MAX(4,DATOS!$C$72),TABLAS!$B$52:$B$58,0)+1,7)),1))*INDEX(TABLAS!$D$52:$D$58,MIN(MATCH(MAX(4,DATOS!$C$72),TABLAS!$B$52:$B$58,0)+1,7)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+1,7)),1)),MAX(MAX(DATOS!$C$74,CEILING(CK41/INDEX(TABLAS!$D$52:$D$58,MIN(MATCH(MAX(4,DATOS!$C$72),TABLAS!$B$52:$B$58,0)+1,7)),1)),2))&lt;=MIN(DATOS!$C$73,INT(((DATOS!$C$83-2*AL41)+MAX(DATOS!$C$70,INDEX(TABLAS!$C$52:$C$58,MIN(MATCH(MAX(4,DATOS!$C$72),TABLAS!$B$52:$B$58,0)+1,7))))/(INDEX(TABLAS!$C$52:$C$58,MIN(MATCH(MAX(4,DATOS!$C$72),TABLAS!$B$52:$B$58,0)+1,7))+MAX(DATOS!$C$70,INDEX(TABLAS!$C$52:$C$58,MIN(MATCH(MAX(4,DATOS!$C$72),TABLAS!$B$52:$B$58,0)+1,7))))))),INDEX(TABLAS!$B$52:$B$58,MIN(MATCH(MAX(4,DATOS!$C$72),TABLAS!$B$52:$B$58,0)+1,7)),IF(AND(CK41&gt;=0,IF(MAX(DATOS!$C$74,CEILING(CK41/INDEX(TABLAS!$D$52:$D$58,MIN(MATCH(MAX(4,DATOS!$C$72),TABLAS!$B$52:$B$58,0)+2,7)),1))*INDEX(TABLAS!$D$52:$D$58,MIN(MATCH(MAX(4,DATOS!$C$72),TABLAS!$B$52:$B$58,0)+2,7)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+2,7)),1)),MAX(MAX(DATOS!$C$74,CEILING(CK41/INDEX(TABLAS!$D$52:$D$58,MIN(MATCH(MAX(4,DATOS!$C$72),TABLAS!$B$52:$B$58,0)+2,7)),1)),2))&lt;=MIN(DATOS!$C$73,INT(((DATOS!$C$83-2*AL41)+MAX(DATOS!$C$70,INDEX(TABLAS!$C$52:$C$58,MIN(MATCH(MAX(4,DATOS!$C$72),TABLAS!$B$52:$B$58,0)+2,7))))/(INDEX(TABLAS!$C$52:$C$58,MIN(MATCH(MAX(4,DATOS!$C$72),TABLAS!$B$52:$B$58,0)+2,7))+MAX(DATOS!$C$70,INDEX(TABLAS!$C$52:$C$58,MIN(MATCH(MAX(4,DATOS!$C$72),TABLAS!$B$52:$B$58,0)+2,7))))))),INDEX(TABLAS!$B$52:$B$58,MIN(MATCH(MAX(4,DATOS!$C$72),TABLAS!$B$52:$B$58,0)+2,7)),IF(AND(CK41&gt;=0,IF(MAX(DATOS!$C$74,CEILING(CK41/INDEX(TABLAS!$D$52:$D$58,MIN(MATCH(MAX(4,DATOS!$C$72),TABLAS!$B$52:$B$58,0)+3,7)),1))*INDEX(TABLAS!$D$52:$D$58,MIN(MATCH(MAX(4,DATOS!$C$72),TABLAS!$B$52:$B$58,0)+3,7)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+3,7)),1)),MAX(MAX(DATOS!$C$74,CEILING(CK41/INDEX(TABLAS!$D$52:$D$58,MIN(MATCH(MAX(4,DATOS!$C$72),TABLAS!$B$52:$B$58,0)+3,7)),1)),2))&lt;=MIN(DATOS!$C$73,INT(((DATOS!$C$83-2*AL41)+MAX(DATOS!$C$70,INDEX(TABLAS!$C$52:$C$58,MIN(MATCH(MAX(4,DATOS!$C$72),TABLAS!$B$52:$B$58,0)+3,7))))/(INDEX(TABLAS!$C$52:$C$58,MIN(MATCH(MAX(4,DATOS!$C$72),TABLAS!$B$52:$B$58,0)+3,7))+MAX(DATOS!$C$70,INDEX(TABLAS!$C$52:$C$58,MIN(MATCH(MAX(4,DATOS!$C$72),TABLAS!$B$52:$B$58,0)+3,7))))))),INDEX(TABLAS!$B$52:$B$58,MIN(MATCH(MAX(4,DATOS!$C$72),TABLAS!$B$52:$B$58,0)+3,7)),IF(AND(CK41&gt;=0,IF(MAX(DATOS!$C$74,CEILING(CK41/INDEX(TABLAS!$D$52:$D$58,MIN(MATCH(MAX(4,DATOS!$C$72),TABLAS!$B$52:$B$58,0)+4,7)),1))*INDEX(TABLAS!$D$52:$D$58,MIN(MATCH(MAX(4,DATOS!$C$72),TABLAS!$B$52:$B$58,0)+4,7)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+4,7)),1)),MAX(MAX(DATOS!$C$74,CEILING(CK41/INDEX(TABLAS!$D$52:$D$58,MIN(MATCH(MAX(4,DATOS!$C$72),TABLAS!$B$52:$B$58,0)+4,7)),1)),2))&lt;=MIN(DATOS!$C$73,INT(((DATOS!$C$83-2*AL41)+MAX(DATOS!$C$70,INDEX(TABLAS!$C$52:$C$58,MIN(MATCH(MAX(4,DATOS!$C$72),TABLAS!$B$52:$B$58,0)+4,7))))/(INDEX(TABLAS!$C$52:$C$58,MIN(MATCH(MAX(4,DATOS!$C$72),TABLAS!$B$52:$B$58,0)+4,7))+MAX(DATOS!$C$70,INDEX(TABLAS!$C$52:$C$58,MIN(MATCH(MAX(4,DATOS!$C$72),TABLAS!$B$52:$B$58,0)+4,7))))))),INDEX(TABLAS!$B$52:$B$58,MIN(MATCH(MAX(4,DATOS!$C$72),TABLAS!$B$52:$B$58,0)+4,7)),INDEX(TABLAS!$B$52:$B$58,7)))))))</f>
        <v/>
      </c>
      <c r="CM41" s="59" t="str">
        <f>IF(V41&lt;&gt;"SÍ","",IF(CK41&lt;0,0,IF(MAX(DATOS!$C$74,CEILING(MAX(CK41,0)/INDEX(TABLAS!$D$52:$D$58,MATCH(CL41,TABLAS!$B$52:$B$58,0)),1))*INDEX(TABLAS!$D$52:$D$58,MATCH(CL41,TABLAS!$B$52:$B$58,0))&gt;=4/3*IF(BJ41&lt;=0,0,IF((1-2*BJ41*1E5/(DATOS!$C$29*AG41*CJ41^2*DATOS!$C$21))&lt;0,-1,IF((1-SQRT((1-2*BJ41*1E5/(DATOS!$C$29*AG41*CJ41^2*DATOS!$C$21))))*DATOS!$C$21*AG41*CJ41/DATOS!$C$14&gt;DATOS!$C$102*AG41*CJ41,-1,(1-SQRT((1-2*BJ41*1E5/(DATOS!$C$29*AG41*CJ41^2*DATOS!$C$21))))*DATOS!$C$21*AG41*CJ41/DATOS!$C$14)))-0.0001,MAX(DATOS!$C$74,CEILING(MAX(CK41,0)/INDEX(TABLAS!$D$52:$D$58,MATCH(CL41,TABLAS!$B$52:$B$58,0)),1)),MAX(MAX(DATOS!$C$74,CEILING(MAX(CK41,0)/INDEX(TABLAS!$D$52:$D$58,MATCH(CL41,TABLAS!$B$52:$B$58,0)),1)),2))))</f>
        <v/>
      </c>
      <c r="CN41" s="58" t="str">
        <f>IF(V41&lt;&gt;"SÍ","",((DATOS!$C$85-AM41-2*DATOS!$C$97-INDEX(TABLAS!$C$52:$C$58,MATCH(BV41,TABLAS!$B$52:$B$58,0))-INDEX(TABLAS!$C$52:$C$58,MATCH(CL41,TABLAS!$B$52:$B$58,0))/2)-IF(AND((DATOS!$C$85-AM41-2*DATOS!$C$97-INDEX(TABLAS!$C$52:$C$58,MATCH(BV41,TABLAS!$B$52:$B$58,0))-INDEX(TABLAS!$C$52:$C$58,MATCH(CL41,TABLAS!$B$52:$B$58,0))/2)&lt;=20,DATOS!$C$65&lt;&gt;"SÍ"),2,0)))</f>
        <v/>
      </c>
      <c r="CO41" s="56" t="str">
        <f>IF(V41&lt;&gt;"SÍ","",IF(CM41=0,0,DATOS!$C$29*CM41*INDEX(TABLAS!$D$52:$D$58,MATCH(CL41,TABLAS!$B$52:$B$58,0))*DATOS!$C$14*(CN41-CM41*INDEX(TABLAS!$D$52:$D$58,MATCH(CL41,TABLAS!$B$52:$B$58,0))*DATOS!$C$14/(DATOS!$C$21*AG41)/2)/1E5))</f>
        <v/>
      </c>
      <c r="CP41" s="65" t="str">
        <f>IF(V41&lt;&gt;"SÍ","",IF(CK41&lt;0,9.99,IF(CO41&gt;0,BJ41/CO41,0)))</f>
        <v/>
      </c>
      <c r="CQ41" s="66" t="str">
        <f>IF(V41&lt;&gt;"SÍ","",IF(CM41=0,"—",0.003*(CN41-(CM41*INDEX(TABLAS!$D$52:$D$58,MATCH(CL41,TABLAS!$B$52:$B$58,0))*DATOS!$C$14/(DATOS!$C$21*AG41)/DATOS!$C$22))/(CM41*INDEX(TABLAS!$D$52:$D$58,MATCH(CL41,TABLAS!$B$52:$B$58,0))*DATOS!$C$14/(DATOS!$C$21*AG41)/DATOS!$C$22)))</f>
        <v/>
      </c>
      <c r="CR41" s="56" t="str">
        <f>IF(V41&lt;&gt;"SÍ","",IF(C41="PERIMETRAL",MAX(0,(AB41/2-BX41)/100)*(0.95-0.5*AA41)*AR41*IF(AND(AS41&gt;0,AS41&lt;4),DATOS!$C$33,1)*DATOS!$C$86/100/1000,(AR41*MAX(0,AB41-BX41)/100+DATOS!$C$26*N(O41))*DATOS!$C$86/100/1000+BF41))</f>
        <v/>
      </c>
      <c r="CS41" s="56" t="str">
        <f>IF(V41&lt;&gt;"SÍ","",DATOS!$C$30*2*MIN(1,SQRT(2/(1+0.04*BX41)))*(BW41*INDEX(TABLAS!$D$52:$D$58,MATCH(BV41,TABLAS!$B$52:$B$58,0))/(AF41*BX41))^(1/3)*SQRT(DATOS!$C$13)*AF41*BX41*IF(AJ41="SÍ",DATOS!$C$32,1)/1000)</f>
        <v/>
      </c>
      <c r="CT41" s="59" t="str">
        <f>IF(V41&lt;&gt;"SÍ","",IF(CR41&lt;=CS41,0,CEILING(MAX(0,IF(C41="VOLADO",(AB41-((CS41-BF41)*1E5/DATOS!$C$86-DATOS!$C$26*N(O41))*100/AR41),IF(CS41&lt;=0,AB41,AB41/2-CS41/MAX(CR41,1E-9)*(AB41/2-BX41)))-IF(X41="X",MIN(DJ41,DK41),MIN(DL41,DM41)))/DATOS!$C$86,1)))</f>
        <v/>
      </c>
      <c r="CU41" s="67" t="str">
        <f>IF(V41&lt;&gt;"SÍ","",IF(CR41&lt;=CS41,"CUMPLE",IF(CT41&lt;=0,"CUMPLE (basta el macizo de orilla)",IF(CT41*DATOS!$C$86*IF(C41="VOLADO",1,2)&gt;=Y41*100-DATOS!$C$87,"NO CUMPLE: no alcanza ni macizando todo","MACIZAR "&amp;CT41&amp;" hilera(s)"))))</f>
        <v/>
      </c>
      <c r="CV41" s="58" t="str">
        <f>IF(V41&lt;&gt;"SÍ","",(DATOS!$C$86*DATOS!$C$84^2/2+MIN(DATOS!$C$83,AD41)*DATOS!$C$82*(DATOS!$C$84+DATOS!$C$82/2))/(DATOS!$C$86*DATOS!$C$84+MIN(DATOS!$C$83,AD41)*DATOS!$C$82))</f>
        <v/>
      </c>
      <c r="CW41" s="68" t="str">
        <f>IF(V41&lt;&gt;"SÍ","",DATOS!$C$86*DATOS!$C$84^3/12+DATOS!$C$86*DATOS!$C$84*(CV41-DATOS!$C$84/2)^2+MIN(DATOS!$C$83,AD41)*DATOS!$C$82^3/12+MIN(DATOS!$C$83,AD41)*DATOS!$C$82*(DATOS!$C$84+DATOS!$C$82/2-CV41)^2)</f>
        <v/>
      </c>
      <c r="CX41" s="58" t="str">
        <f>IF(V41&lt;&gt;"SÍ","",(12*CW41/DATOS!$C$86)^(1/3))</f>
        <v/>
      </c>
      <c r="CY41" s="58" t="str">
        <f>IF(V41&lt;&gt;"SÍ","",IF(C41="PERIMETRAL",IF(ISNUMBER(S41),S41,DATOS!$C$104),0))</f>
        <v/>
      </c>
      <c r="CZ41" s="57" t="str">
        <f>IF(V41&lt;&gt;"SÍ","",IF(C41="PERIMETRAL",IF(CY41&gt;2,MAX(9,AC41*(0.8+DATOS!$C$14/14000)/(36+9*(AC41/MAX(AB41,1)))),IF(CY41&gt;0.2,MAX(13,AC41*(0.8+DATOS!$C$14/14000)/(36+5*(AC41/MAX(AB41,1))*(CY41-0.2))),MAX(13,AC41/IF(AS41&gt;0,30,33))))*IF(AND(CY41&gt;0.2,AS41&gt;0,DATOS!$C$105="NO"),1.1,1),MAX(25,Y41*100/8*(0.4+DATOS!$C$14/7000))))</f>
        <v/>
      </c>
      <c r="DA41" s="61" t="str">
        <f>IF(V41&lt;&gt;"SÍ","",IF(IF(C41="VOLADO",DATOS!$C$85,CX41)&gt;=CZ41,"CUMPLE",IF(C41="VOLADO","NO CUMPLE","CALCULAR FLECHA")))</f>
        <v/>
      </c>
      <c r="DB41" s="55" t="str">
        <f>IF(V41&lt;&gt;"SÍ","",IF(DATOS!$C$84&gt;=IF(IF(C41="VOLADO",Y41,Z41)&gt;=6,6,5),"CUMPLE","CAPA ≥ 6 cm"))</f>
        <v/>
      </c>
      <c r="DC41" s="60" t="str">
        <f>IF(V41&lt;&gt;"SÍ","",IF(C41="VOLADO",MIN(FLOOR(IF(ISNUMBER(P41),P41,Y41)*100-DATOS!$C$63,5),CEILING(MAX(IF((0.5*(0.9*DATOS!$C$90*DATOS!$C$86/100/1000)*IF(ISNUMBER(P41),P41,Y41)+BH41/IF(ISNUMBER(P41),P41,Y41))^2-4*(0.5*(0.9*DATOS!$C$90*DATOS!$C$86/100/1000))*BH41&lt;0,IF(ISNUMBER(P41),P41,Y41),MIN(IF(ISNUMBER(P41),P41,Y41),((0.5*(0.9*DATOS!$C$90*DATOS!$C$86/100/1000)*IF(ISNUMBER(P41),P41,Y41)+BH41/IF(ISNUMBER(P41),P41,Y41))-SQRT((0.5*(0.9*DATOS!$C$90*DATOS!$C$86/100/1000)*IF(ISNUMBER(P41),P41,Y41)+BH41/IF(ISNUMBER(P41),P41,Y41))^2-4*(0.5*(0.9*DATOS!$C$90*DATOS!$C$86/100/1000))*BH41))/(2*(0.5*(0.9*DATOS!$C$90*DATOS!$C$86/100/1000)))))*100+MAX(BX41,12*INDEX(TABLAS!$C$52:$C$58,MATCH(BV41,TABLAS!$B$52:$B$58,0)),IF(ISNUMBER(P41),P41,Y41)*100/16),IF(OR(AL41&lt;INDEX(TABLAS!$C$52:$C$58,MATCH(BV41,TABLAS!$B$52:$B$58,0)),AND(BW41&gt;=2,(AD41-2*AL41-BW41*INDEX(TABLAS!$C$52:$C$58,MATCH(BV41,TABLAS!$B$52:$B$58,0)))/MAX(BW41-1,1)&lt;2*INDEX(TABLAS!$C$52:$C$58,MATCH(BV41,TABLAS!$B$52:$B$58,0)))),INDEX(TABLAS!$I$52:$I$58,MATCH(BV41,TABLAS!$B$52:$B$58,0)),INDEX(TABLAS!$F$52:$F$58,MATCH(BV41,TABLAS!$B$52:$B$58,0)))),5)),IF(((4*((BC41*AR41*Y41^2*1E-4*DATOS!$C$86/100/1000)+((MAX(AY41,BA41)*AR41*Y41^2*1E-4*DATOS!$C$86/100/1000)+(IF(AND(AY41&gt;0,BA41&gt;0),MIN(AY41,BA41),MAX(AY41,BA41))*AR41*Y41^2*1E-4*DATOS!$C$86/100/1000))/2)+BH41-(IF(AND(AY41&gt;0,BA41&gt;0),MIN(AY41,BA41),MAX(AY41,BA41))*AR41*Y41^2*1E-4*DATOS!$C$86/100/1000))^2-16*((BC41*AR41*Y41^2*1E-4*DATOS!$C$86/100/1000)+((MAX(AY41,BA41)*AR41*Y41^2*1E-4*DATOS!$C$86/100/1000)+(IF(AND(AY41&gt;0,BA41&gt;0),MIN(AY41,BA41),MAX(AY41,BA41))*AR41*Y41^2*1E-4*DATOS!$C$86/100/1000))/2)*BH41)&lt;0,CEILING(AB41,5),CEILING(MAX(AB41*((4*((BC41*AR41*Y41^2*1E-4*DATOS!$C$86/100/1000)+((MAX(AY41,BA41)*AR41*Y41^2*1E-4*DATOS!$C$86/100/1000)+(IF(AND(AY41&gt;0,BA41&gt;0),MIN(AY41,BA41),MAX(AY41,BA41))*AR41*Y41^2*1E-4*DATOS!$C$86/100/1000))/2)+BH41-(IF(AND(AY41&gt;0,BA41&gt;0),MIN(AY41,BA41),MAX(AY41,BA41))*AR41*Y41^2*1E-4*DATOS!$C$86/100/1000))-SQRT(MAX(0,((4*((BC41*AR41*Y41^2*1E-4*DATOS!$C$86/100/1000)+((MAX(AY41,BA41)*AR41*Y41^2*1E-4*DATOS!$C$86/100/1000)+(IF(AND(AY41&gt;0,BA41&gt;0),MIN(AY41,BA41),MAX(AY41,BA41))*AR41*Y41^2*1E-4*DATOS!$C$86/100/1000))/2)+BH41-(IF(AND(AY41&gt;0,BA41&gt;0),MIN(AY41,BA41),MAX(AY41,BA41))*AR41*Y41^2*1E-4*DATOS!$C$86/100/1000))^2-16*((BC41*AR41*Y41^2*1E-4*DATOS!$C$86/100/1000)+((MAX(AY41,BA41)*AR41*Y41^2*1E-4*DATOS!$C$86/100/1000)+(IF(AND(AY41&gt;0,BA41&gt;0),MIN(AY41,BA41),MAX(AY41,BA41))*AR41*Y41^2*1E-4*DATOS!$C$86/100/1000))/2)*BH41))))/(8*MAX(((BC41*AR41*Y41^2*1E-4*DATOS!$C$86/100/1000)+((MAX(AY41,BA41)*AR41*Y41^2*1E-4*DATOS!$C$86/100/1000)+(IF(AND(AY41&gt;0,BA41&gt;0),MIN(AY41,BA41),MAX(AY41,BA41))*AR41*Y41^2*1E-4*DATOS!$C$86/100/1000))/2),1E-9))+MAX(BX41,12*INDEX(TABLAS!$C$52:$C$58,MATCH(BV41,TABLAS!$B$52:$B$58,0)),AB41/16),IF(OR(AL41&lt;INDEX(TABLAS!$C$52:$C$58,MATCH(BV41,TABLAS!$B$52:$B$58,0)),AND(BW41&gt;=2,(AD41-2*AL41-BW41*INDEX(TABLAS!$C$52:$C$58,MATCH(BV41,TABLAS!$B$52:$B$58,0)))/MAX(BW41-1,1)&lt;2*INDEX(TABLAS!$C$52:$C$58,MATCH(BV41,TABLAS!$B$52:$B$58,0)))),INDEX(TABLAS!$I$52:$I$58,MATCH(BV41,TABLAS!$B$52:$B$58,0)),INDEX(TABLAS!$F$52:$F$58,MATCH(BV41,TABLAS!$B$52:$B$58,0)))),5))))</f>
        <v/>
      </c>
      <c r="DD41" s="60" t="str">
        <f>IF(V41&lt;&gt;"SÍ","",IF(C41="VOLADO",0,IF(((4*((BD41*AR41*Y41^2*1E-4*DATOS!$C$86/100/1000)+((MAX(AZ41,BB41)*AR41*Y41^2*1E-4*DATOS!$C$86/100/1000)+(IF(AND(AZ41&gt;0,BB41&gt;0),MIN(AZ41,BB41),MAX(AZ41,BB41))*AR41*Y41^2*1E-4*DATOS!$C$86/100/1000))/2)+BJ41-(IF(AND(AZ41&gt;0,BB41&gt;0),MIN(AZ41,BB41),MAX(AZ41,BB41))*AR41*Y41^2*1E-4*DATOS!$C$86/100/1000))^2-16*((BD41*AR41*Y41^2*1E-4*DATOS!$C$86/100/1000)+((MAX(AZ41,BB41)*AR41*Y41^2*1E-4*DATOS!$C$86/100/1000)+(IF(AND(AZ41&gt;0,BB41&gt;0),MIN(AZ41,BB41),MAX(AZ41,BB41))*AR41*Y41^2*1E-4*DATOS!$C$86/100/1000))/2)*BJ41)&lt;0,CEILING(AC41,5),CEILING(MAX(AC41*((4*((BD41*AR41*Y41^2*1E-4*DATOS!$C$86/100/1000)+((MAX(AZ41,BB41)*AR41*Y41^2*1E-4*DATOS!$C$86/100/1000)+(IF(AND(AZ41&gt;0,BB41&gt;0),MIN(AZ41,BB41),MAX(AZ41,BB41))*AR41*Y41^2*1E-4*DATOS!$C$86/100/1000))/2)+BJ41-(IF(AND(AZ41&gt;0,BB41&gt;0),MIN(AZ41,BB41),MAX(AZ41,BB41))*AR41*Y41^2*1E-4*DATOS!$C$86/100/1000))-SQRT(MAX(0,((4*((BD41*AR41*Y41^2*1E-4*DATOS!$C$86/100/1000)+((MAX(AZ41,BB41)*AR41*Y41^2*1E-4*DATOS!$C$86/100/1000)+(IF(AND(AZ41&gt;0,BB41&gt;0),MIN(AZ41,BB41),MAX(AZ41,BB41))*AR41*Y41^2*1E-4*DATOS!$C$86/100/1000))/2)+BJ41-(IF(AND(AZ41&gt;0,BB41&gt;0),MIN(AZ41,BB41),MAX(AZ41,BB41))*AR41*Y41^2*1E-4*DATOS!$C$86/100/1000))^2-16*((BD41*AR41*Y41^2*1E-4*DATOS!$C$86/100/1000)+((MAX(AZ41,BB41)*AR41*Y41^2*1E-4*DATOS!$C$86/100/1000)+(IF(AND(AZ41&gt;0,BB41&gt;0),MIN(AZ41,BB41),MAX(AZ41,BB41))*AR41*Y41^2*1E-4*DATOS!$C$86/100/1000))/2)*BJ41))))/(8*MAX(((BD41*AR41*Y41^2*1E-4*DATOS!$C$86/100/1000)+((MAX(AZ41,BB41)*AR41*Y41^2*1E-4*DATOS!$C$86/100/1000)+(IF(AND(AZ41&gt;0,BB41&gt;0),MIN(AZ41,BB41),MAX(AZ41,BB41))*AR41*Y41^2*1E-4*DATOS!$C$86/100/1000))/2),1E-9))+MAX(CN41,12*INDEX(TABLAS!$C$52:$C$58,MATCH(CL41,TABLAS!$B$52:$B$58,0)),AC41/16),IF(OR(AL41&lt;INDEX(TABLAS!$C$52:$C$58,MATCH(CL41,TABLAS!$B$52:$B$58,0)),AND(CM41&gt;=2,(DATOS!$C$83-2*AL41-CM41*INDEX(TABLAS!$C$52:$C$58,MATCH(CL41,TABLAS!$B$52:$B$58,0)))/MAX(CM41-1,1)&lt;2*INDEX(TABLAS!$C$52:$C$58,MATCH(CL41,TABLAS!$B$52:$B$58,0)))),INDEX(TABLAS!$I$52:$I$58,MATCH(CL41,TABLAS!$B$52:$B$58,0)),INDEX(TABLAS!$F$52:$F$58,MATCH(CL41,TABLAS!$B$52:$B$58,0)))),5))))</f>
        <v/>
      </c>
      <c r="DE41" s="55" t="str">
        <f>IF(V41&lt;&gt;"SÍ","",IF(AND(C41="PERIMETRAL",BW41&gt;=2,AS41-AT41&gt;0,BA41*AR41*Y41^2*1E-4*DATOS!$C$86/100/1000&gt;DATOS!$C$29*INDEX(TABLAS!$D$52:$D$58,MATCH(BV41,TABLAS!$B$52:$B$58,0))*DATOS!$C$14*(BX41-INDEX(TABLAS!$D$52:$D$58,MATCH(BV41,TABLAS!$B$52:$B$58,0))*DATOS!$C$14/(DATOS!$C$21*AF41)/2)/1E5),"SÍ","NO"))</f>
        <v/>
      </c>
      <c r="DF41" s="55" t="str">
        <f>IF(V41&lt;&gt;"SÍ","",IF(AND(C41="PERIMETRAL",CM41&gt;=2,AT41&gt;0,BB41*AR41*Y41^2*1E-4*DATOS!$C$86/100/1000&gt;DATOS!$C$29*INDEX(TABLAS!$D$52:$D$58,MATCH(CL41,TABLAS!$B$52:$B$58,0))*DATOS!$C$14*(CN41-INDEX(TABLAS!$D$52:$D$58,MATCH(CL41,TABLAS!$B$52:$B$58,0))*DATOS!$C$14/(DATOS!$C$21*AG41)/2)/1E5),"SÍ","NO"))</f>
        <v/>
      </c>
      <c r="DG41" s="63" t="str">
        <f>IF(V41&lt;&gt;"SÍ","",IF(OR(C41="VOLADO",AS41=0),"—",IF(AND(AND(1.25*INDEX(TABLAS!$G$52:$G$58,MATCH(MAX(BN41,CD41),TABLAS!$B$52:$B$58,0))&lt;=(DATOS!$C$75-DATOS!$C$63),(DATOS!$C$75-DATOS!$C$63)&gt;=15,INDEX(TABLAS!$G$52:$G$58,MATCH(MAX(BV41,CL41),TABLAS!$B$52:$B$58,0))&lt;=(DATOS!$C$75-DATOS!$C$63)),8*INDEX(TABLAS!$C$52:$C$58,MATCH(MAX(MAX(BN41,CD41),MAX(BV41,CL41)),TABLAS!$B$52:$B$58,0))&lt;=DATOS!$C$76-2*DATOS!$C$63),"CUMPLE (gancho de 180°)",IF(AND(1.25*INDEX(TABLAS!$G$52:$G$58,MATCH(MAX(BN41,CD41),TABLAS!$B$52:$B$58,0))&lt;=(DATOS!$C$75-DATOS!$C$63),(DATOS!$C$75-DATOS!$C$63)&gt;=15,INDEX(TABLAS!$G$52:$G$58,MATCH(MAX(BV41,CL41),TABLAS!$B$52:$B$58,0))&lt;=(DATOS!$C$75-DATOS!$C$63)),"NO CUMPLE: el gancho de 180° (8·d_b) no cabe en el peralte de la dala de borde","NO CUMPLE: dala de borde ≥ "&amp;TEXT(CEILING(MAX(1.25*INDEX(TABLAS!$G$52:$G$58,MATCH(MAX(BN41,CD41),TABLAS!$B$52:$B$58,0)),15,INDEX(TABLAS!$G$52:$G$58,MATCH(MAX(BV41,CL41),TABLAS!$B$52:$B$58,0)))+DATOS!$C$63,5),"0")&amp;" cm de ancho"&amp;IF(8*INDEX(TABLAS!$C$52:$C$58,MATCH(MAX(MAX(BN41,CD41),MAX(BV41,CL41)),TABLAS!$B$52:$B$58,0))&lt;=DATOS!$C$76-2*DATOS!$C$63,""," y más peralte para el gancho")))))</f>
        <v/>
      </c>
      <c r="DH41" s="59" t="str">
        <f>IF(V41&lt;&gt;"SÍ","",MAX(0,INT((E41*100-DATOS!$C$87-IF(AND(C41="PERIMETRAL",I41="DISCONTINUO"),MAX(0,DATOS!$C$75-DATOS!$C$87),0)-IF(AND(C41="PERIMETRAL",J41="DISCONTINUO"),MAX(0,DATOS!$C$75-DATOS!$C$87),0)+DATOS!$C$86-IF(X41="X",DATOS!$C$81,AE41))/DATOS!$C$86)))</f>
        <v/>
      </c>
      <c r="DI41" s="59" t="str">
        <f>IF(V41&lt;&gt;"SÍ","",MAX(0,INT((F41*100-DATOS!$C$87-IF(AND(C41="PERIMETRAL",G41="DISCONTINUO"),MAX(0,DATOS!$C$75-DATOS!$C$87),0)-IF(AND(C41="PERIMETRAL",H41="DISCONTINUO"),MAX(0,DATOS!$C$75-DATOS!$C$87),0)+DATOS!$C$86-IF(X41="Y",DATOS!$C$81,AE41))/DATOS!$C$86)))</f>
        <v/>
      </c>
      <c r="DJ41" s="57" t="str">
        <f>IF(V41&lt;&gt;"SÍ","",IF(DH41&gt;0,IF(AND(C41="PERIMETRAL",I41="DISCONTINUO"),MAX(0,DATOS!$C$75-DATOS!$C$87),0)+(E41*100-DATOS!$C$87-IF(AND(C41="PERIMETRAL",I41="DISCONTINUO"),MAX(0,DATOS!$C$75-DATOS!$C$87),0)-IF(AND(C41="PERIMETRAL",J41="DISCONTINUO"),MAX(0,DATOS!$C$75-DATOS!$C$87),0)-(DH41*IF(X41="X",DATOS!$C$81,AE41)+(DH41-1)*(DATOS!$C$86-IF(X41="X",DATOS!$C$81,AE41))))/2,E41*100/2))</f>
        <v/>
      </c>
      <c r="DK41" s="57" t="str">
        <f>IF(V41&lt;&gt;"SÍ","",IF(DH41&gt;0,IF(AND(C41="PERIMETRAL",J41="DISCONTINUO"),MAX(0,DATOS!$C$75-DATOS!$C$87),0)+(E41*100-DATOS!$C$87-IF(AND(C41="PERIMETRAL",I41="DISCONTINUO"),MAX(0,DATOS!$C$75-DATOS!$C$87),0)-IF(AND(C41="PERIMETRAL",J41="DISCONTINUO"),MAX(0,DATOS!$C$75-DATOS!$C$87),0)-(DH41*IF(X41="X",DATOS!$C$81,AE41)+(DH41-1)*(DATOS!$C$86-IF(X41="X",DATOS!$C$81,AE41))))/2,E41*100/2))</f>
        <v/>
      </c>
      <c r="DL41" s="57" t="str">
        <f>IF(V41&lt;&gt;"SÍ","",IF(DI41&gt;0,IF(AND(C41="PERIMETRAL",G41="DISCONTINUO"),MAX(0,DATOS!$C$75-DATOS!$C$87),0)+(F41*100-DATOS!$C$87-IF(AND(C41="PERIMETRAL",G41="DISCONTINUO"),MAX(0,DATOS!$C$75-DATOS!$C$87),0)-IF(AND(C41="PERIMETRAL",H41="DISCONTINUO"),MAX(0,DATOS!$C$75-DATOS!$C$87),0)-(DI41*IF(X41="Y",DATOS!$C$81,AE41)+(DI41-1)*(DATOS!$C$86-IF(X41="Y",DATOS!$C$81,AE41))))/2,F41*100/2))</f>
        <v/>
      </c>
      <c r="DM41" s="57" t="str">
        <f>IF(V41&lt;&gt;"SÍ","",IF(DI41&gt;0,IF(AND(C41="PERIMETRAL",H41="DISCONTINUO"),MAX(0,DATOS!$C$75-DATOS!$C$87),0)+(F41*100-DATOS!$C$87-IF(AND(C41="PERIMETRAL",G41="DISCONTINUO"),MAX(0,DATOS!$C$75-DATOS!$C$87),0)-IF(AND(C41="PERIMETRAL",H41="DISCONTINUO"),MAX(0,DATOS!$C$75-DATOS!$C$87),0)-(DI41*IF(X41="Y",DATOS!$C$81,AE41)+(DI41-1)*(DATOS!$C$86-IF(X41="Y",DATOS!$C$81,AE41))))/2,F41*100/2))</f>
        <v/>
      </c>
      <c r="DN41" s="59" t="str">
        <f>IF(V41&lt;&gt;"SÍ","",IF(NOT(AND(C41="VOLADO",AD41&gt;DATOS!$C$83)),0,IF(INDEX(TABLAS!$C$52:$C$58,MATCH(BV41,TABLAS!$B$52:$B$58,0))&lt;=DATOS!$C$83-2*DATOS!$C$63,1,0)))</f>
        <v/>
      </c>
      <c r="DO41" s="58" t="str">
        <f>IF(V41&lt;&gt;"SÍ","",IF(NOT(AND(C41="VOLADO",AD41&gt;DATOS!$C$83)),0,((DATOS!$C$85-MAX(DATOS!$C$63,(DATOS!$C$84-2*DATOS!$C$97)/2)-2*DATOS!$C$97-INDEX(TABLAS!$C$52:$C$58,MATCH(MAX(4,DATOS!$C$72),TABLAS!$B$52:$B$58,0))-INDEX(TABLAS!$C$52:$C$58,MATCH(BV41,TABLAS!$B$52:$B$58,0))/2)-IF(AND((DATOS!$C$85-MAX(DATOS!$C$63,(DATOS!$C$84-2*DATOS!$C$97)/2)-2*DATOS!$C$97-INDEX(TABLAS!$C$52:$C$58,MATCH(MAX(4,DATOS!$C$72),TABLAS!$B$52:$B$58,0))-INDEX(TABLAS!$C$52:$C$58,MATCH(BV41,TABLAS!$B$52:$B$58,0))/2)&lt;=20,DATOS!$C$65&lt;&gt;"SÍ"),2,0))))</f>
        <v/>
      </c>
      <c r="DP41" s="56" t="str">
        <f>IF(V41&lt;&gt;"SÍ","",IF(OR(NOT(AND(C41="VOLADO",AD41&gt;DATOS!$C$83)),DN41&lt;1),0,IF(0.003*(DO41-((DN41*INDEX(TABLAS!$D$52:$D$58,MATCH(BV41,TABLAS!$B$52:$B$58,0)))*DATOS!$C$14/(DATOS!$C$21*AG41)/DATOS!$C$22))/((DN41*INDEX(TABLAS!$D$52:$D$58,MATCH(BV41,TABLAS!$B$52:$B$58,0)))*DATOS!$C$14/(DATOS!$C$21*AG41)/DATOS!$C$22)&lt;0.005,0,DATOS!$C$29*(DN41*INDEX(TABLAS!$D$52:$D$58,MATCH(BV41,TABLAS!$B$52:$B$58,0)))*DATOS!$C$14*(DO41-(DN41*INDEX(TABLAS!$D$52:$D$58,MATCH(BV41,TABLAS!$B$52:$B$58,0)))*DATOS!$C$14/(DATOS!$C$21*AG41)/2)/1E5)))</f>
        <v/>
      </c>
      <c r="DQ41" s="56" t="str">
        <f>IF(V41&lt;&gt;"SÍ","",IF(OR(NOT(AND(C41="VOLADO",AD41&gt;DATOS!$C$83)),DN41&lt;1),0,DATOS!$C$30*2*MIN(1,SQRT(2/(1+0.04*DO41)))*((DN41*INDEX(TABLAS!$D$52:$D$58,MATCH(BV41,TABLAS!$B$52:$B$58,0)))/(AG41*DO41))^(1/3)*SQRT(DATOS!$C$13)*AG41*DO41/1000))</f>
        <v/>
      </c>
      <c r="DR41" s="56" t="str">
        <f>IF(V41&lt;&gt;"SÍ","",IF(NOT(AND(C41="VOLADO",AD41&gt;DATOS!$C$83)),0,IF((BH41-DP41)&lt;=0,0,IF(DP41&lt;=0,IF(ISNUMBER(P41),P41,Y41),IF(((0.9*DATOS!$C$90*DATOS!$C$86/100/1000)*IF(ISNUMBER(P41),P41,Y41)/2+BH41/IF(ISNUMBER(P41),P41,Y41))^2-4*((0.9*DATOS!$C$90*DATOS!$C$86/100/1000)/2)*(BH41-DP41)&lt;0,IF(ISNUMBER(P41),P41,Y41),MIN(IF(ISNUMBER(P41),P41,Y41),(((0.9*DATOS!$C$90*DATOS!$C$86/100/1000)*IF(ISNUMBER(P41),P41,Y41)/2+BH41/IF(ISNUMBER(P41),P41,Y41))-SQRT(((0.9*DATOS!$C$90*DATOS!$C$86/100/1000)*IF(ISNUMBER(P41),P41,Y41)/2+BH41/IF(ISNUMBER(P41),P41,Y41))^2-4*((0.9*DATOS!$C$90*DATOS!$C$86/100/1000)/2)*(BH41-DP41)))/(2*((0.9*DATOS!$C$90*DATOS!$C$86/100/1000)/2))))))))</f>
        <v/>
      </c>
      <c r="DS41" s="56" t="str">
        <f>IF(V41&lt;&gt;"SÍ","",IF(NOT(AND(C41="VOLADO",AD41&gt;DATOS!$C$83)),0,IF(DQ41&lt;=(BH41/((IF(ISNUMBER(P41),P41,Y41)*100-DATOS!$C$87)/100)),IF(ISNUMBER(P41),P41,Y41),MIN(IF(ISNUMBER(P41),P41,Y41),MAX(0,(IF(ISNUMBER(P41),P41,Y41)*100-DATOS!$C$87)/200-(DQ41-(BH41/((IF(ISNUMBER(P41),P41,Y41)*100-DATOS!$C$87)/100)))/((0.95-0.5*IF(N(Q41)&gt;0,MIN(IF(ISNUMBER(P41),P41,Y41),Q41)/MAX(IF(ISNUMBER(P41),P41,Y41),Q41),0))*DATOS!$C$33*AR41*DATOS!$C$86/100/1000))))))</f>
        <v/>
      </c>
      <c r="DT41" s="56" t="str">
        <f>IF(V41&lt;&gt;"SÍ","",IF(NOT(AND(C41="VOLADO",AD41&gt;DATOS!$C$83)),0,(BH41/((IF(ISNUMBER(P41),P41,Y41)*100-DATOS!$C$87)/100))+((0.95-0.5*IF(N(Q41)&gt;0,MIN(IF(ISNUMBER(P41),P41,Y41),Q41)/MAX(IF(ISNUMBER(P41),P41,Y41),Q41),0))*DATOS!$C$33*AR41*DATOS!$C$86/100/1000)*MAX(0,(IF(ISNUMBER(P41),P41,Y41)*100-DATOS!$C$87)/200-BX41/100)))</f>
        <v/>
      </c>
      <c r="DU41" s="59" t="str">
        <f>IF(V41&lt;&gt;"SÍ","",IF(NOT(AND(C41="VOLADO",AD41&gt;DATOS!$C$83)),0,MIN(FLOOR(100*IF(ISNUMBER(P41),P41,Y41)-DATOS!$C$63,5),CEILING(100*MIN(IF(ISNUMBER(P41),P41,Y41),MAX(IF(DR41&gt;0,DR41+IF(BW41&gt;=2,MAX(DO41,12*INDEX(TABLAS!$C$52:$C$58,MATCH(BV41,TABLAS!$B$52:$B$58,0)))/100,0),0),DS41,IF(BW41&gt;=2,INDEX(TABLAS!$F$52:$F$58,MATCH(BV41,TABLAS!$B$52:$B$58,0))/100,0))),5))))</f>
        <v/>
      </c>
      <c r="DV41" s="60" t="str">
        <f>IF(V41&lt;&gt;"SÍ","",IF(NOT(AND(C41="VOLADO",AD41&gt;DATOS!$C$83)),0,IF(DU41&lt;=0,0,CEILING(DU41/DATOS!$C$86,1))))</f>
        <v/>
      </c>
      <c r="DW41" s="61" t="str">
        <f>IF(V41&lt;&gt;"SÍ","",IF(C41&lt;&gt;"VOLADO","—",IF(AD41&lt;=DATOS!$C$83,"— (mismo b_w que el respaldo)",IF(DT41&gt;CS41,"NO CUMPLE: cortante de la nervadura ancha junto al apoyo ("&amp;TEXT(DT41,"0.00")&amp;" &gt; "&amp;TEXT(CS41,"0.00")&amp;" t)",IF(DU41&gt;=100*IF(ISNUMBER(P41),P41,Y41),"CUMPLE — todas las nervaduras del respaldo ‖ al volado con b_w = "&amp;AD41&amp;" cm","CUMPLE — "&amp;DV41&amp;" hilera(s) del respaldo con nervaduras de b_w = "&amp;AD41&amp;" cm (casetón "&amp;AE41&amp;" cm), hasta "&amp;TEXT(DU41/100,"0.00")&amp;" m del paño")))))</f>
        <v/>
      </c>
      <c r="DX41" s="69" t="str">
        <f>IF(V41&lt;&gt;"SÍ","",IF(BO41=0,"NO ALCANZA",BO41&amp;" No. "&amp;BN41&amp;IF(BO41&gt;1," corridas"," corrida")))</f>
        <v/>
      </c>
      <c r="DY41" s="69" t="str">
        <f>IF(V41&lt;&gt;"SÍ","",IF(BW41=0,"NO ALCANZA",IF(AND(C41="VOLADO",AD41&gt;DATOS!$C$83,BW41&gt;=2),"1 No. "&amp;BV41&amp;" corrida de la orilla al respaldo ("&amp;IF(DC41&gt;=FLOOR(100*IF(ISNUMBER(P41),P41,Y41)-DATOS!$C$63,5),"hasta su apoyo lejano, con gancho","entra "&amp;TEXT(DC41/100,"0.00")&amp;" m desde el paño")&amp;") + "&amp;(BW41-1)&amp;" bastón No. "&amp;BV41&amp;" hasta "&amp;TEXT(DU41/100,"0.00")&amp;" m del paño (fin de la nervadura ancha)",IF(C41="VOLADO",BW41&amp;" No. "&amp;BV41&amp;" de la orilla al respaldo ("&amp;IF(DC41&gt;=FLOOR(100*IF(ISNUMBER(P41),P41,Y41)-DATOS!$C$63,5),"hasta su apoyo lejano, con gancho","entran "&amp;TEXT(DC41/100,"0.00")&amp;" m desde el paño")&amp;")","1 No. "&amp;BV41&amp;" corrida"&amp;IF(BW41&gt;1," + "&amp;(BW41-1)&amp;" bastón No. "&amp;BV41&amp;" L = "&amp;TEXT(DC41/100,"0.00")&amp;" m desde el paño","")))))</f>
        <v/>
      </c>
      <c r="DZ41" s="69" t="str">
        <f>IF(V41&lt;&gt;"SÍ","",IF(CE41=0,"NO ALCANZA",CE41&amp;" No. "&amp;CD41&amp;IF(CE41&gt;1," corridas"," corrida")))</f>
        <v/>
      </c>
      <c r="EA41" s="69" t="str">
        <f>IF(V41&lt;&gt;"SÍ","",IF(CM41=0,"NO ALCANZA",IF(C41="VOLADO","1 No. "&amp;CL41&amp;" corrida (repartición)","1 No. "&amp;CL41&amp;" corrida"&amp;IF(CM41&gt;1," + "&amp;(CM41-1)&amp;" bastón No. "&amp;CL41&amp;" L = "&amp;TEXT(DD41/100,"0.00")&amp;" m desde el paño",""))))</f>
        <v/>
      </c>
      <c r="EB41" s="67" t="str">
        <f>IF(B41="","",IF(V41&lt;&gt;"SÍ","FALTAN DATOS: tipo, a_x, a_y, destino y, en volados, L_b",IF(L41="NO MONOLÍTICO (caso II)","FUERA DE ALCANCE: caso II no transcrito",IF(AND(C41="VOLADO",W41="?"),"REVISAR: el volado lleva UN solo borde CONTINUO (el empotrado)",IF(MIN(DH41,DI41)=0,"REVISAR: no cabe un casetón (tablero macizo): diséñalo en MACIZAS",IF(AND(MAX(BR41,BZ41,CH41,CP41)&lt;=1,NOT(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T(OR(AND(ISNUMBER(BS41),BS41&lt;0.005),AND(ISNUMBER(CA41),CA41&lt;0.005),AND(ISNUMBER(CI41),CI41&lt;0.005),AND(ISNUMBER(CQ41),CQ41&lt;0.005))),NOT(LEFT(DW41,2)="NO"),DA41="CUMPLE",DB41="CUMPLE",LEFT(CU41,2)&lt;&gt;"NO",LEFT(DATOS!$C$132,6)="CUMPLE"),IF(LEFT(CU41,6)="CUMPLE","CUMPLE","CUMPLE — "&amp;CU41)&amp;IF(LEFT(BK41,5)="FUERA"," · fuera de 3.4.2.1 c)","")&amp;IF(LEFT(DG41,2)="NO"," · REVISAR anclaje en borde discontinuo","")&amp;IF(DV41&gt;0," · respaldo: "&amp;DV41&amp;" hilera(s) de b_w "&amp;AD41&amp;" cm",""),IF(AND(MAX(BR41,BZ41,CH41,CP41)&lt;=1,NOT(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T(OR(AND(ISNUMBER(BS41),BS41&lt;0.005),AND(ISNUMBER(CA41),CA41&lt;0.005),AND(ISNUMBER(CI41),CI41&lt;0.005),AND(ISNUMBER(CQ41),CQ41&lt;0.005))),NOT(LEFT(DW41,2)="NO"),DA41="CALCULAR FLECHA",LEFT(CU41,2)&lt;&gt;"NO",LEFT(DATOS!$C$132,6)="CUMPLE"),"REVISAR: calcular flecha (h_eq &lt; h mín.)"&amp;IF(LEFT(BK41,5)="FUERA"," · fuera de 3.4.2.1 c)","")&amp;IF(LEFT(DG41,2)="NO"," · REVISAR anclaje en borde discontinuo","")&amp;IF(DV41&gt;0," · respaldo: "&amp;DV41&amp;" hilera(s) de b_w "&amp;AD41&amp;" cm",""),"NO CUMPLE: "&amp;IF(MAX(BR41,BZ41,CH41,CP41)&gt;1,"flexión ","")&amp;IF(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 caben ","")&amp;IF(OR(AND(ISNUMBER(BS41),BS41&lt;0.005),AND(ISNUMBER(CA41),CA41&lt;0.005),AND(ISNUMBER(CI41),CI41&lt;0.005),AND(ISNUMBER(CQ41),CQ41&lt;0.005)),"ε_t &lt; 0.005 ","")&amp;IF(LEFT(CU41,2)="NO","cortante ","")&amp;IF(DA41="NO CUMPLE","peralte ","")&amp;IF(DB41&lt;&gt;"CUMPLE","capa &lt; 6 cm ","")&amp;IF(LEFT(DATOS!$C$132,6)&lt;&gt;"CUMPLE","capa o malla (DATOS sección 7) ","")&amp;IF(LEFT(DW41,2)="NO","respaldo del volado",""))))))))</f>
        <v/>
      </c>
      <c r="EC41" s="70" t="str">
        <f>IF(V41&lt;&gt;"SÍ","",IF(LEFT(B41,7)="EJEMPLO","EJEMPLO de la hoja de Casa Rocha: bórralo o sobrescríbelo. ","")&amp;IF(AND(C41="PERIMETRAL",MIN(DH41,DI41)=0),"No cabe un casetón en el claro corto: es un tablero macizo, diséñalo en MACIZAS. ","")&amp;IF(AND(AJ41="NO",C41="PERIMETRAL"),"No cumple 6.7.8.1.4 (a_c = "&amp;MAX(DATOS!$C$81,AE41)&amp;" cm &gt; claro corto/6 = "&amp;TEXT(Y41*100/6,"0")&amp;" cm): se diseña como losa apoyada en vigas (6.7.8.1.9): r de viga = "&amp;DATOS!$C$63&amp;" cm y V_cR sin ×1.1. Para que cuente como encasetonada: casetón de "&amp;TEXT(FLOOR(MIN(80,Y41*100/6),1),"0")&amp;" cm o menor. ","")&amp;IF(C41="VOLADO","Volado de "&amp;TEXT(Y41,"0.00")&amp;" m empotrado en el borde "&amp;LOWER(W41)&amp;IF(N(O41)&gt;0,", con "&amp;TEXT(O41,"0.0")&amp;" kg/m en la orilla","")&amp;". Lecho inferior con r_ext. Si la orilla carga pretil u otro elemento frágil, calcula la flecha (13.4). El acero superior entra al respaldo de "&amp;TEXT(IF(ISNUMBER(P41),P41,Y41),"0.00")&amp;" m"&amp;" hasta pasar M = 0 con 0.9·PP sin carga viva; si ahí no se anula, llega al apoyo lejano y se ancla con gancho (NTC-Criterios 3.4.1 c y 5.1.2.2). "&amp;IF(AD41&gt;DATOS!$C$83,"Respaldo: "&amp;DW41&amp;". ",""),"")&amp;IF(AND(C41="VOLADO",((0.9*DATOS!$C$90*DATOS!$C$86/100/1000)*IF(ISNUMBER(P41),P41,Y41)/2-BH41/IF(ISNUMBER(P41),P41,Y41))&lt;0),"Con 0.9·PP y sin carga viva el apoyo lejano del respaldo levanta (R = "&amp;TEXT(-((0.9*DATOS!$C$90*DATOS!$C$86/100/1000)*IF(ISNUMBER(P41),P41,Y41)/2-BH41/IF(ISNUMBER(P41),P41,Y41)),"0.00")&amp;" t por nervadura): ancla ahí la corrida con gancho y revisa ese apoyo a tensión. ","")&amp;IF(LEFT(BK41,5)="FUERA","El M⁻ del vecino difiere más de 50 % (3.4.2.1 c): distribuye el desequilibrio (3.4.3.1) o confirma con un modelo; se arma con el mayor. ","")&amp;IF(OR(DE41="SÍ",DF41="SÍ"),"El M⁻ del borde discontinuo pide bastón también ahí (con gancho). ","")&amp;IF(LEFT(DG41,2)="NO","Anclaje: "&amp;DG41&amp;" (6.7.8.1.7). ","")&amp;IF(AND(C41="PERIMETRAL",AT41&gt;=1,AS41-AT41&gt;=1),"Esquinas exteriores sobre muro: refuerzo de esquina arriba y abajo en L_largo/5 (6.7.7.3.1). ",""))</f>
        <v/>
      </c>
    </row>
    <row r="42" ht="33" customHeight="1">
      <c r="A42" s="50">
        <f>IF(B42="",0,1)+A41</f>
        <v>4</v>
      </c>
      <c r="B42" s="29" t="n"/>
      <c r="C42" s="51" t="n"/>
      <c r="D42" s="29" t="n"/>
      <c r="E42" s="52" t="n"/>
      <c r="F42" s="52" t="n"/>
      <c r="G42" s="51" t="n"/>
      <c r="H42" s="51" t="n"/>
      <c r="I42" s="51" t="n"/>
      <c r="J42" s="51" t="n"/>
      <c r="K42" s="51" t="n"/>
      <c r="L42" s="51" t="n"/>
      <c r="M42" s="53" t="n"/>
      <c r="N42" s="53" t="n"/>
      <c r="O42" s="54" t="n"/>
      <c r="P42" s="52" t="n"/>
      <c r="Q42" s="52" t="n"/>
      <c r="R42" s="53" t="n"/>
      <c r="S42" s="54" t="n"/>
      <c r="T42" s="52" t="n"/>
      <c r="U42" s="52" t="n"/>
      <c r="V42" s="55" t="str">
        <f>IF(B42="","",IF(AND(OR(C42="PERIMETRAL",C42="VOLADO"),ISNUMBER(E42),ISNUMBER(F42),E42&gt;0,F42&gt;0,OR(ISNUMBER(N42),ISNUMBER(MATCH(D42,DATOS!$B$46:$B$58,0))),OR(C42&lt;&gt;"VOLADO",N(P42)&gt;0)),"SÍ","NO"))</f>
        <v/>
      </c>
      <c r="W42" s="55" t="str">
        <f>IF(V42&lt;&gt;"SÍ","",IF(C42&lt;&gt;"VOLADO","—",IF(COUNTIF(G42:J42,"CONTINUO")&lt;&gt;1,"?",IF(G42="CONTINUO","INFERIOR",IF(H42="CONTINUO","SUPERIOR",IF(I42="CONTINUO","IZQUIERDO","DERECHO"))))))</f>
        <v/>
      </c>
      <c r="X42" s="55" t="str">
        <f>IF(V42&lt;&gt;"SÍ","",IF(C42="VOLADO",IF(OR(W42="IZQUIERDO",W42="DERECHO"),"X","Y"),IF(E42&lt;=F42,"X","Y")))</f>
        <v/>
      </c>
      <c r="Y42" s="56" t="str">
        <f>IF(V42&lt;&gt;"SÍ","",IF(C42="VOLADO",IF(X42="X",E42,F42),MIN(E42,F42)))</f>
        <v/>
      </c>
      <c r="Z42" s="56" t="str">
        <f>IF(V42&lt;&gt;"SÍ","",IF(C42="VOLADO",IF(X42="X",F42,E42),MAX(E42,F42)))</f>
        <v/>
      </c>
      <c r="AA42" s="56" t="str">
        <f>IF(V42&lt;&gt;"SÍ","",MIN(Y42,Z42)/MAX(Y42,Z42))</f>
        <v/>
      </c>
      <c r="AB42" s="57" t="str">
        <f>IF(V42&lt;&gt;"SÍ","",MAX(1,Y42*100-IF(C42="VOLADO",DATOS!$C$87/2,DATOS!$C$87)))</f>
        <v/>
      </c>
      <c r="AC42" s="57" t="str">
        <f>IF(V42&lt;&gt;"SÍ","",MAX(1,Z42*100-DATOS!$C$87))</f>
        <v/>
      </c>
      <c r="AD42" s="57" t="str">
        <f>IF(V42&lt;&gt;"SÍ","",IF(ISNUMBER(R42),R42,DATOS!$C$83))</f>
        <v/>
      </c>
      <c r="AE42" s="57" t="str">
        <f>IF(V42&lt;&gt;"SÍ","",MAX(0,DATOS!$C$86-AD42))</f>
        <v/>
      </c>
      <c r="AF42" s="57" t="str">
        <f>IF(V42&lt;&gt;"SÍ","",IF(OR(DATOS!$C$65="SÍ",AD42&gt;=20),AD42,AD42-2))</f>
        <v/>
      </c>
      <c r="AG42" s="57" t="str">
        <f>IF(V42&lt;&gt;"SÍ","",IF(OR(DATOS!$C$65="SÍ",DATOS!$C$83&gt;=20),DATOS!$C$83,DATOS!$C$83-2))</f>
        <v/>
      </c>
      <c r="AH42" s="57" t="str">
        <f>IF(V42&lt;&gt;"SÍ","",MIN(DATOS!$C$86,AD42+2*MIN(8*DATOS!$C$84,AE42/2,AB42/8)))</f>
        <v/>
      </c>
      <c r="AI42" s="57" t="str">
        <f>IF(V42&lt;&gt;"SÍ","",MIN(DATOS!$C$86,DATOS!$C$83+2*MIN(8*DATOS!$C$84,DATOS!$C$81/2,AC42/8)))</f>
        <v/>
      </c>
      <c r="AJ42" s="55" t="str">
        <f>IF(V42&lt;&gt;"SÍ","",IF(AND(C42="PERIMETRAL",Y42*100&gt;=6*MAX(DATOS!$C$81,AE42),MAX(DATOS!$C$81,AE42)&lt;=80,MIN(DATOS!$C$83,AD42)&gt;=10,DATOS!$C$85&lt;=3.5*MIN(DATOS!$C$83,AD42),DATOS!$C$84&gt;=MAX(MAX(DATOS!$C$81,AE42)/13,5)),"SÍ","NO"))</f>
        <v/>
      </c>
      <c r="AK42" s="57" t="str">
        <f>IF(V42&lt;&gt;"SÍ","",IF(C42="VOLADO",DATOS!$C$64,IF(AJ42="NO",DATOS!$C$63,DATOS!$C$62)))</f>
        <v/>
      </c>
      <c r="AL42" s="57" t="str">
        <f>IF(V42&lt;&gt;"SÍ","",IF(OR(AND(AN42="SÍ",DATOS!$C$66="SÍ"),AND(C42="VOLADO",DATOS!$C$67="SÍ")),DATOS!$C$64,IF(AJ42="NO",DATOS!$C$63,DATOS!$C$62)))</f>
        <v/>
      </c>
      <c r="AM42" s="58" t="str">
        <f>IF(V42&lt;&gt;"SÍ","",MAX(AL42,(DATOS!$C$84-2*DATOS!$C$97)/2))</f>
        <v/>
      </c>
      <c r="AN42" s="55" t="str">
        <f>IF(V42&lt;&gt;"SÍ","",IFERROR(INDEX(DATOS!$D$46:$D$58,MATCH(D42,DATOS!$B$46:$B$58,0)),"NO"))</f>
        <v/>
      </c>
      <c r="AO42" s="59" t="str">
        <f>IF(V42&lt;&gt;"SÍ","",IF(ISNUMBER(N42),N42,IFERROR(INDEX(DATOS!$C$46:$C$58,MATCH(D42,DATOS!$B$46:$B$58,0)),0)))</f>
        <v/>
      </c>
      <c r="AP42" s="59" t="str">
        <f>IF(V42&lt;&gt;"SÍ","",IF(MIN(DH42,DI42)=0,DATOS!$C$85/100*DATOS!$C$16*1000,(DATOS!$C$85/100-(AE42*DATOS!$C$81/DATOS!$C$86^2)*DATOS!$C$82/100)*DATOS!$C$16*1000+(AE42*DATOS!$C$81/DATOS!$C$86^2)*DATOS!$C$82/100*DATOS!$C$17*1000)+DATOS!$C$37+DATOS!$C$38)</f>
        <v/>
      </c>
      <c r="AQ42" s="59" t="str">
        <f>IF(V42&lt;&gt;"SÍ","",AP42+N(M42))</f>
        <v/>
      </c>
      <c r="AR42" s="60" t="str">
        <f>IF(V42&lt;&gt;"SÍ","",MAX(DATOS!$C$26*AQ42+DATOS!$C$27*AO42,IF(AN42="SÍ",DATOS!$C$28*(AQ42+DATOS!$C$41),0)))</f>
        <v/>
      </c>
      <c r="AS42" s="59" t="str">
        <f>IF(V42&lt;&gt;"SÍ","",(G42="DISCONTINUO")+(H42="DISCONTINUO")+(I42="DISCONTINUO")+(J42="DISCONTINUO"))</f>
        <v/>
      </c>
      <c r="AT42" s="59" t="str">
        <f>IF(V42&lt;&gt;"SÍ","",IF(X42="X",(G42="DISCONTINUO")+(H42="DISCONTINUO"),(I42="DISCONTINUO")+(J42="DISCONTINUO")))</f>
        <v/>
      </c>
      <c r="AU42" s="55" t="str">
        <f>IF(V42&lt;&gt;"SÍ","",IF(AS42=0,"INTERIOR",IF(AS42=1,IF(AT42=1,"BORDE-CORTO","BORDE-LARGO"),IF(AS42=2,IF(AT42=1,"ESQUINA",IF(AT42=2,"EXTREMO-LARGO","EXTREMO-CORTO")),IF(AS42=3,IF(AT42=2,"EXTREMO-LARGO","EXTREMO-CORTO"),"AISLADO")))))</f>
        <v/>
      </c>
      <c r="AV42" s="61" t="str">
        <f>IF(V42&lt;&gt;"SÍ","",IF(OR(K42="",K42="AUTO"),AU42,K42))</f>
        <v/>
      </c>
      <c r="AW42" s="59" t="str">
        <f>IF(V42&lt;&gt;"SÍ","",MATCH(AA42,TABLAS!$D$5:$J$5,1))</f>
        <v/>
      </c>
      <c r="AX42" s="58" t="str">
        <f>IF(V42&lt;&gt;"SÍ","",IF(AW42&gt;=7,0,(AA42-INDEX(TABLAS!$D$5:$J$5,AW42))/(INDEX(TABLAS!$D$5:$J$5,AW42+1)-INDEX(TABLAS!$D$5:$J$5,AW42))))</f>
        <v/>
      </c>
      <c r="AY42" s="59" t="str">
        <f>IF(V42&lt;&gt;"SÍ","",INDEX(TABLAS!$D$6:$J$47,MATCH(AV42&amp;"|NIC",TABLAS!$B$6:$B$47,0),AW42)+AX42*(INDEX(TABLAS!$D$6:$J$47,MATCH(AV42&amp;"|NIC",TABLAS!$B$6:$B$47,0),MIN(AW42+1,7))-INDEX(TABLAS!$D$6:$J$47,MATCH(AV42&amp;"|NIC",TABLAS!$B$6:$B$47,0),AW42)))</f>
        <v/>
      </c>
      <c r="AZ42" s="59" t="str">
        <f>IF(V42&lt;&gt;"SÍ","",INDEX(TABLAS!$D$6:$J$47,MATCH(AV42&amp;"|NIL",TABLAS!$B$6:$B$47,0),AW42)+AX42*(INDEX(TABLAS!$D$6:$J$47,MATCH(AV42&amp;"|NIL",TABLAS!$B$6:$B$47,0),MIN(AW42+1,7))-INDEX(TABLAS!$D$6:$J$47,MATCH(AV42&amp;"|NIL",TABLAS!$B$6:$B$47,0),AW42)))</f>
        <v/>
      </c>
      <c r="BA42" s="59" t="str">
        <f>IF(V42&lt;&gt;"SÍ","",INDEX(TABLAS!$D$6:$J$47,MATCH(AV42&amp;"|NDC",TABLAS!$B$6:$B$47,0),AW42)+AX42*(INDEX(TABLAS!$D$6:$J$47,MATCH(AV42&amp;"|NDC",TABLAS!$B$6:$B$47,0),MIN(AW42+1,7))-INDEX(TABLAS!$D$6:$J$47,MATCH(AV42&amp;"|NDC",TABLAS!$B$6:$B$47,0),AW42)))</f>
        <v/>
      </c>
      <c r="BB42" s="59" t="str">
        <f>IF(V42&lt;&gt;"SÍ","",INDEX(TABLAS!$D$6:$J$47,MATCH(AV42&amp;"|NDL",TABLAS!$B$6:$B$47,0),AW42)+AX42*(INDEX(TABLAS!$D$6:$J$47,MATCH(AV42&amp;"|NDL",TABLAS!$B$6:$B$47,0),MIN(AW42+1,7))-INDEX(TABLAS!$D$6:$J$47,MATCH(AV42&amp;"|NDL",TABLAS!$B$6:$B$47,0),AW42)))</f>
        <v/>
      </c>
      <c r="BC42" s="59" t="str">
        <f>IF(V42&lt;&gt;"SÍ","",INDEX(TABLAS!$D$6:$J$47,MATCH(AV42&amp;"|PC",TABLAS!$B$6:$B$47,0),AW42)+AX42*(INDEX(TABLAS!$D$6:$J$47,MATCH(AV42&amp;"|PC",TABLAS!$B$6:$B$47,0),MIN(AW42+1,7))-INDEX(TABLAS!$D$6:$J$47,MATCH(AV42&amp;"|PC",TABLAS!$B$6:$B$47,0),AW42)))</f>
        <v/>
      </c>
      <c r="BD42" s="59" t="str">
        <f>IF(V42&lt;&gt;"SÍ","",INDEX(TABLAS!$D$6:$J$47,MATCH(AV42&amp;"|PL",TABLAS!$B$6:$B$47,0),AW42)+AX42*(INDEX(TABLAS!$D$6:$J$47,MATCH(AV42&amp;"|PL",TABLAS!$B$6:$B$47,0),MIN(AW42+1,7))-INDEX(TABLAS!$D$6:$J$47,MATCH(AV42&amp;"|PL",TABLAS!$B$6:$B$47,0),AW42)))</f>
        <v/>
      </c>
      <c r="BE42" s="56" t="str">
        <f>IF(V42&lt;&gt;"SÍ","",IF(OR(C42&lt;&gt;"VOLADO",MIN(DH42,DI42)=0),0,DATOS!$C$26*DATOS!$C$16*DATOS!$C$86/100*(((AE42*DATOS!$C$81/DATOS!$C$86^2)*DATOS!$C$82/100)*(IF(X42="X",DJ42,DL42)+DATOS!$C$87/2)/100*(AB42-(IF(X42="X",DJ42,DL42)+DATOS!$C$87/2)/2)/100+((AE42*DATOS!$C$81/DATOS!$C$86^2)*DATOS!$C$82/100)*IF(X42="X",DJ42,DL42)/100*IF(X42="X",DJ42,DL42)/200)))</f>
        <v/>
      </c>
      <c r="BF42" s="56" t="str">
        <f>IF(V42&lt;&gt;"SÍ","",IF(OR(C42&lt;&gt;"VOLADO",MIN(DH42,DI42)=0),0,DATOS!$C$26*DATOS!$C$16*DATOS!$C$86/100*((AE42*DATOS!$C$81/DATOS!$C$86^2)*DATOS!$C$82/100)*(IF(X42="X",DJ42,DL42)+DATOS!$C$87/2)/100))</f>
        <v/>
      </c>
      <c r="BG42" s="56" t="str">
        <f>IF(V42&lt;&gt;"SÍ","",IF(C42="PERIMETRAL",BC42*AR42*Y42^2*1E-4*DATOS!$C$86/100/1000,0))</f>
        <v/>
      </c>
      <c r="BH42" s="62" t="str">
        <f>IF(V42&lt;&gt;"SÍ","",IF(C42="PERIMETRAL",MAX(MAX(AY42,BA42)*AR42*Y42^2*1E-4*DATOS!$C$86/100/1000,N(T42)),(AR42*(AB42/100)^2/2+DATOS!$C$26*N(O42)*AB42/100)*DATOS!$C$86/100/1000+BE42))</f>
        <v/>
      </c>
      <c r="BI42" s="56" t="str">
        <f>IF(V42&lt;&gt;"SÍ","",IF(C42="PERIMETRAL",BD42*AR42*Y42^2*1E-4*DATOS!$C$86/100/1000,0))</f>
        <v/>
      </c>
      <c r="BJ42" s="56" t="str">
        <f>IF(V42&lt;&gt;"SÍ","",IF(C42="PERIMETRAL",MAX(MAX(AZ42,BB42)*AR42*Y42^2*1E-4*DATOS!$C$86/100/1000,N(U42)),0))</f>
        <v/>
      </c>
      <c r="BK42" s="63" t="str">
        <f>IF(V42&lt;&gt;"SÍ","",IF(C42&lt;&gt;"PERIMETRAL","—",IF(AND(N(T42)=0,N(U42)=0),"— (sin M⁻ del vecino)",IF(OR(AND(N(T42)&gt;0,ABS(MAX(AY42,BA42)*AR42*Y42^2*1E-4*DATOS!$C$86/100/1000-N(T42))&gt;0.5*MIN(MAX(AY42,BA42)*AR42*Y42^2*1E-4*DATOS!$C$86/100/1000,N(T42))),AND(N(U42)&gt;0,ABS(MAX(AZ42,BB42)*AR42*Y42^2*1E-4*DATOS!$C$86/100/1000-N(U42))&gt;0.5*MIN(MAX(AZ42,BB42)*AR42*Y42^2*1E-4*DATOS!$C$86/100/1000,N(U42)))),"FUERA: difieren &gt; 50 %"&amp;IF(AND(N(T42)&gt;0,ABS(MAX(AY42,BA42)*AR42*Y42^2*1E-4*DATOS!$C$86/100/1000-N(T42))&gt;0.5*MIN(MAX(AY42,BA42)*AR42*Y42^2*1E-4*DATOS!$C$86/100/1000,N(T42)))," ‖ corto","")&amp;IF(AND(N(U42)&gt;0,ABS(MAX(AZ42,BB42)*AR42*Y42^2*1E-4*DATOS!$C$86/100/1000-N(U42))&gt;0.5*MIN(MAX(AZ42,BB42)*AR42*Y42^2*1E-4*DATOS!$C$86/100/1000,N(U42)))," ‖ largo",""),"CUMPLE"))))</f>
        <v/>
      </c>
      <c r="BL42" s="58" t="str">
        <f>IF(V42&lt;&gt;"SÍ","",(DATOS!$C$85-AK42-INDEX(TABLAS!$C$52:$C$58,MATCH(MAX(4,DATOS!$C$71),TABLAS!$B$52:$B$58,0))/2))</f>
        <v/>
      </c>
      <c r="BM42" s="58" t="str">
        <f>IF(V42&lt;&gt;"SÍ","",IF(IF(BG42&lt;=0,0,IF((1-2*BG42*1E5/(DATOS!$C$29*AH42*BL42^2*DATOS!$C$21))&lt;0,-1,IF((1-SQRT((1-2*BG42*1E5/(DATOS!$C$29*AH42*BL42^2*DATOS!$C$21))))*DATOS!$C$21*AH42*BL42/DATOS!$C$14&gt;DATOS!$C$102*AH42*BL42,-1,(1-SQRT((1-2*BG42*1E5/(DATOS!$C$29*AH42*BL42^2*DATOS!$C$21))))*DATOS!$C$21*AH42*BL42/DATOS!$C$14)))&lt;0,-1,MAX(IF(BG42&lt;=0,0,IF((1-2*BG42*1E5/(DATOS!$C$29*AH42*BL42^2*DATOS!$C$21))&lt;0,-1,IF((1-SQRT((1-2*BG42*1E5/(DATOS!$C$29*AH42*BL42^2*DATOS!$C$21))))*DATOS!$C$21*AH42*BL42/DATOS!$C$14&gt;DATOS!$C$102*AH42*BL42,-1,(1-SQRT((1-2*BG42*1E5/(DATOS!$C$29*AH42*BL42^2*DATOS!$C$21))))*DATOS!$C$21*AH42*BL42/DATOS!$C$14))),MIN(DATOS!$C$103*AD42*BL42,4/3*IF(BG42&lt;=0,0,IF((1-2*BG42*1E5/(DATOS!$C$29*AH42*BL42^2*DATOS!$C$21))&lt;0,-1,IF((1-SQRT((1-2*BG42*1E5/(DATOS!$C$29*AH42*BL42^2*DATOS!$C$21))))*DATOS!$C$21*AH42*BL42/DATOS!$C$14&gt;DATOS!$C$102*AH42*BL42,-1,(1-SQRT((1-2*BG42*1E5/(DATOS!$C$29*AH42*BL42^2*DATOS!$C$21))))*DATOS!$C$21*AH42*BL42/DATOS!$C$14)))))))</f>
        <v/>
      </c>
      <c r="BN42" s="64" t="str">
        <f>IF(V42&lt;&gt;"SÍ","",IF(AND(BM42&gt;=0,IF(MAX(DATOS!$C$74,CEILING(BM42/INDEX(TABLAS!$D$52:$D$58,MIN(MATCH(MAX(4,DATOS!$C$71),TABLAS!$B$52:$B$58,0)+0,7)),1))*INDEX(TABLAS!$D$52:$D$58,MIN(MATCH(MAX(4,DATOS!$C$71),TABLAS!$B$52:$B$58,0)+0,7)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+0,7)),1)),MAX(MAX(DATOS!$C$74,CEILING(BM42/INDEX(TABLAS!$D$52:$D$58,MIN(MATCH(MAX(4,DATOS!$C$71),TABLAS!$B$52:$B$58,0)+0,7)),1)),2))&lt;=MIN(DATOS!$C$73,INT(((AD42-2*AK42)+MAX(DATOS!$C$70,INDEX(TABLAS!$C$52:$C$58,MIN(MATCH(MAX(4,DATOS!$C$71),TABLAS!$B$52:$B$58,0)+0,7))))/(INDEX(TABLAS!$C$52:$C$58,MIN(MATCH(MAX(4,DATOS!$C$71),TABLAS!$B$52:$B$58,0)+0,7))+MAX(DATOS!$C$70,INDEX(TABLAS!$C$52:$C$58,MIN(MATCH(MAX(4,DATOS!$C$71),TABLAS!$B$52:$B$58,0)+0,7))))))),INDEX(TABLAS!$B$52:$B$58,MIN(MATCH(MAX(4,DATOS!$C$71),TABLAS!$B$52:$B$58,0)+0,7)),IF(AND(BM42&gt;=0,IF(MAX(DATOS!$C$74,CEILING(BM42/INDEX(TABLAS!$D$52:$D$58,MIN(MATCH(MAX(4,DATOS!$C$71),TABLAS!$B$52:$B$58,0)+1,7)),1))*INDEX(TABLAS!$D$52:$D$58,MIN(MATCH(MAX(4,DATOS!$C$71),TABLAS!$B$52:$B$58,0)+1,7)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+1,7)),1)),MAX(MAX(DATOS!$C$74,CEILING(BM42/INDEX(TABLAS!$D$52:$D$58,MIN(MATCH(MAX(4,DATOS!$C$71),TABLAS!$B$52:$B$58,0)+1,7)),1)),2))&lt;=MIN(DATOS!$C$73,INT(((AD42-2*AK42)+MAX(DATOS!$C$70,INDEX(TABLAS!$C$52:$C$58,MIN(MATCH(MAX(4,DATOS!$C$71),TABLAS!$B$52:$B$58,0)+1,7))))/(INDEX(TABLAS!$C$52:$C$58,MIN(MATCH(MAX(4,DATOS!$C$71),TABLAS!$B$52:$B$58,0)+1,7))+MAX(DATOS!$C$70,INDEX(TABLAS!$C$52:$C$58,MIN(MATCH(MAX(4,DATOS!$C$71),TABLAS!$B$52:$B$58,0)+1,7))))))),INDEX(TABLAS!$B$52:$B$58,MIN(MATCH(MAX(4,DATOS!$C$71),TABLAS!$B$52:$B$58,0)+1,7)),IF(AND(BM42&gt;=0,IF(MAX(DATOS!$C$74,CEILING(BM42/INDEX(TABLAS!$D$52:$D$58,MIN(MATCH(MAX(4,DATOS!$C$71),TABLAS!$B$52:$B$58,0)+2,7)),1))*INDEX(TABLAS!$D$52:$D$58,MIN(MATCH(MAX(4,DATOS!$C$71),TABLAS!$B$52:$B$58,0)+2,7)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+2,7)),1)),MAX(MAX(DATOS!$C$74,CEILING(BM42/INDEX(TABLAS!$D$52:$D$58,MIN(MATCH(MAX(4,DATOS!$C$71),TABLAS!$B$52:$B$58,0)+2,7)),1)),2))&lt;=MIN(DATOS!$C$73,INT(((AD42-2*AK42)+MAX(DATOS!$C$70,INDEX(TABLAS!$C$52:$C$58,MIN(MATCH(MAX(4,DATOS!$C$71),TABLAS!$B$52:$B$58,0)+2,7))))/(INDEX(TABLAS!$C$52:$C$58,MIN(MATCH(MAX(4,DATOS!$C$71),TABLAS!$B$52:$B$58,0)+2,7))+MAX(DATOS!$C$70,INDEX(TABLAS!$C$52:$C$58,MIN(MATCH(MAX(4,DATOS!$C$71),TABLAS!$B$52:$B$58,0)+2,7))))))),INDEX(TABLAS!$B$52:$B$58,MIN(MATCH(MAX(4,DATOS!$C$71),TABLAS!$B$52:$B$58,0)+2,7)),IF(AND(BM42&gt;=0,IF(MAX(DATOS!$C$74,CEILING(BM42/INDEX(TABLAS!$D$52:$D$58,MIN(MATCH(MAX(4,DATOS!$C$71),TABLAS!$B$52:$B$58,0)+3,7)),1))*INDEX(TABLAS!$D$52:$D$58,MIN(MATCH(MAX(4,DATOS!$C$71),TABLAS!$B$52:$B$58,0)+3,7)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+3,7)),1)),MAX(MAX(DATOS!$C$74,CEILING(BM42/INDEX(TABLAS!$D$52:$D$58,MIN(MATCH(MAX(4,DATOS!$C$71),TABLAS!$B$52:$B$58,0)+3,7)),1)),2))&lt;=MIN(DATOS!$C$73,INT(((AD42-2*AK42)+MAX(DATOS!$C$70,INDEX(TABLAS!$C$52:$C$58,MIN(MATCH(MAX(4,DATOS!$C$71),TABLAS!$B$52:$B$58,0)+3,7))))/(INDEX(TABLAS!$C$52:$C$58,MIN(MATCH(MAX(4,DATOS!$C$71),TABLAS!$B$52:$B$58,0)+3,7))+MAX(DATOS!$C$70,INDEX(TABLAS!$C$52:$C$58,MIN(MATCH(MAX(4,DATOS!$C$71),TABLAS!$B$52:$B$58,0)+3,7))))))),INDEX(TABLAS!$B$52:$B$58,MIN(MATCH(MAX(4,DATOS!$C$71),TABLAS!$B$52:$B$58,0)+3,7)),IF(AND(BM42&gt;=0,IF(MAX(DATOS!$C$74,CEILING(BM42/INDEX(TABLAS!$D$52:$D$58,MIN(MATCH(MAX(4,DATOS!$C$71),TABLAS!$B$52:$B$58,0)+4,7)),1))*INDEX(TABLAS!$D$52:$D$58,MIN(MATCH(MAX(4,DATOS!$C$71),TABLAS!$B$52:$B$58,0)+4,7)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+4,7)),1)),MAX(MAX(DATOS!$C$74,CEILING(BM42/INDEX(TABLAS!$D$52:$D$58,MIN(MATCH(MAX(4,DATOS!$C$71),TABLAS!$B$52:$B$58,0)+4,7)),1)),2))&lt;=MIN(DATOS!$C$73,INT(((AD42-2*AK42)+MAX(DATOS!$C$70,INDEX(TABLAS!$C$52:$C$58,MIN(MATCH(MAX(4,DATOS!$C$71),TABLAS!$B$52:$B$58,0)+4,7))))/(INDEX(TABLAS!$C$52:$C$58,MIN(MATCH(MAX(4,DATOS!$C$71),TABLAS!$B$52:$B$58,0)+4,7))+MAX(DATOS!$C$70,INDEX(TABLAS!$C$52:$C$58,MIN(MATCH(MAX(4,DATOS!$C$71),TABLAS!$B$52:$B$58,0)+4,7))))))),INDEX(TABLAS!$B$52:$B$58,MIN(MATCH(MAX(4,DATOS!$C$71),TABLAS!$B$52:$B$58,0)+4,7)),INDEX(TABLAS!$B$52:$B$58,7)))))))</f>
        <v/>
      </c>
      <c r="BO42" s="59" t="str">
        <f>IF(V42&lt;&gt;"SÍ","",IF(BM42&lt;0,0,IF(MAX(DATOS!$C$74,CEILING(MAX(BM42,0)/INDEX(TABLAS!$D$52:$D$58,MATCH(BN42,TABLAS!$B$52:$B$58,0)),1))*INDEX(TABLAS!$D$52:$D$58,MATCH(BN42,TABLAS!$B$52:$B$58,0))&gt;=4/3*IF(BG42&lt;=0,0,IF((1-2*BG42*1E5/(DATOS!$C$29*AH42*BL42^2*DATOS!$C$21))&lt;0,-1,IF((1-SQRT((1-2*BG42*1E5/(DATOS!$C$29*AH42*BL42^2*DATOS!$C$21))))*DATOS!$C$21*AH42*BL42/DATOS!$C$14&gt;DATOS!$C$102*AH42*BL42,-1,(1-SQRT((1-2*BG42*1E5/(DATOS!$C$29*AH42*BL42^2*DATOS!$C$21))))*DATOS!$C$21*AH42*BL42/DATOS!$C$14)))-0.0001,MAX(DATOS!$C$74,CEILING(MAX(BM42,0)/INDEX(TABLAS!$D$52:$D$58,MATCH(BN42,TABLAS!$B$52:$B$58,0)),1)),MAX(MAX(DATOS!$C$74,CEILING(MAX(BM42,0)/INDEX(TABLAS!$D$52:$D$58,MATCH(BN42,TABLAS!$B$52:$B$58,0)),1)),2))))</f>
        <v/>
      </c>
      <c r="BP42" s="58" t="str">
        <f>IF(V42&lt;&gt;"SÍ","",DATOS!$C$85-AK42-INDEX(TABLAS!$C$52:$C$58,MATCH(BN42,TABLAS!$B$52:$B$58,0))/2)</f>
        <v/>
      </c>
      <c r="BQ42" s="56" t="str">
        <f>IF(V42&lt;&gt;"SÍ","",IF(BO42=0,0,DATOS!$C$29*BO42*INDEX(TABLAS!$D$52:$D$58,MATCH(BN42,TABLAS!$B$52:$B$58,0))*DATOS!$C$14*(BP42-BO42*INDEX(TABLAS!$D$52:$D$58,MATCH(BN42,TABLAS!$B$52:$B$58,0))*DATOS!$C$14/(DATOS!$C$21*AH42)/2)/1E5))</f>
        <v/>
      </c>
      <c r="BR42" s="65" t="str">
        <f>IF(V42&lt;&gt;"SÍ","",IF(BM42&lt;0,9.99,IF(BQ42&gt;0,BG42/BQ42,0)))</f>
        <v/>
      </c>
      <c r="BS42" s="66" t="str">
        <f>IF(V42&lt;&gt;"SÍ","",IF(BO42=0,"—",0.003*(BP42-(BO42*INDEX(TABLAS!$D$52:$D$58,MATCH(BN42,TABLAS!$B$52:$B$58,0))*DATOS!$C$14/(DATOS!$C$21*AH42)/DATOS!$C$22))/(BO42*INDEX(TABLAS!$D$52:$D$58,MATCH(BN42,TABLAS!$B$52:$B$58,0))*DATOS!$C$14/(DATOS!$C$21*AH42)/DATOS!$C$22)))</f>
        <v/>
      </c>
      <c r="BT42" s="58" t="str">
        <f>IF(V42&lt;&gt;"SÍ","",((DATOS!$C$85-AM42-2*DATOS!$C$97-INDEX(TABLAS!$C$52:$C$58,MATCH(MAX(4,DATOS!$C$72),TABLAS!$B$52:$B$58,0))/2)-IF(AND((DATOS!$C$85-AM42-2*DATOS!$C$97-INDEX(TABLAS!$C$52:$C$58,MATCH(MAX(4,DATOS!$C$72),TABLAS!$B$52:$B$58,0))/2)&lt;=20,DATOS!$C$65&lt;&gt;"SÍ"),2,0)))</f>
        <v/>
      </c>
      <c r="BU42" s="58" t="str">
        <f>IF(V42&lt;&gt;"SÍ","",IF(IF(BH42&lt;=0,0,IF((1-2*BH42*1E5/(DATOS!$C$29*AF42*BT42^2*DATOS!$C$21))&lt;0,-1,IF((1-SQRT((1-2*BH42*1E5/(DATOS!$C$29*AF42*BT42^2*DATOS!$C$21))))*DATOS!$C$21*AF42*BT42/DATOS!$C$14&gt;DATOS!$C$102*AF42*BT42,-1,(1-SQRT((1-2*BH42*1E5/(DATOS!$C$29*AF42*BT42^2*DATOS!$C$21))))*DATOS!$C$21*AF42*BT42/DATOS!$C$14)))&lt;0,-1,MAX(IF(BH42&lt;=0,0,IF((1-2*BH42*1E5/(DATOS!$C$29*AF42*BT42^2*DATOS!$C$21))&lt;0,-1,IF((1-SQRT((1-2*BH42*1E5/(DATOS!$C$29*AF42*BT42^2*DATOS!$C$21))))*DATOS!$C$21*AF42*BT42/DATOS!$C$14&gt;DATOS!$C$102*AF42*BT42,-1,(1-SQRT((1-2*BH42*1E5/(DATOS!$C$29*AF42*BT42^2*DATOS!$C$21))))*DATOS!$C$21*AF42*BT42/DATOS!$C$14))),MIN(DATOS!$C$103*IF(C42="VOLADO",MIN(AH42,2*AD42),AD42)*BT42,4/3*IF(BH42&lt;=0,0,IF((1-2*BH42*1E5/(DATOS!$C$29*AF42*BT42^2*DATOS!$C$21))&lt;0,-1,IF((1-SQRT((1-2*BH42*1E5/(DATOS!$C$29*AF42*BT42^2*DATOS!$C$21))))*DATOS!$C$21*AF42*BT42/DATOS!$C$14&gt;DATOS!$C$102*AF42*BT42,-1,(1-SQRT((1-2*BH42*1E5/(DATOS!$C$29*AF42*BT42^2*DATOS!$C$21))))*DATOS!$C$21*AF42*BT42/DATOS!$C$14)))))))</f>
        <v/>
      </c>
      <c r="BV42" s="64" t="str">
        <f>IF(V42&lt;&gt;"SÍ","",IF(AND(BU42&gt;=0,IF(MAX(DATOS!$C$74,CEILING(BU42/INDEX(TABLAS!$D$52:$D$58,MIN(MATCH(MAX(4,DATOS!$C$72),TABLAS!$B$52:$B$58,0)+0,7)),1))*INDEX(TABLAS!$D$52:$D$58,MIN(MATCH(MAX(4,DATOS!$C$72),TABLAS!$B$52:$B$58,0)+0,7)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+0,7)),1)),MAX(MAX(DATOS!$C$74,CEILING(BU42/INDEX(TABLAS!$D$52:$D$58,MIN(MATCH(MAX(4,DATOS!$C$72),TABLAS!$B$52:$B$58,0)+0,7)),1)),2))&lt;=MIN(DATOS!$C$73,INT(((AD42-2*AL42)+MAX(DATOS!$C$70,INDEX(TABLAS!$C$52:$C$58,MIN(MATCH(MAX(4,DATOS!$C$72),TABLAS!$B$52:$B$58,0)+0,7))))/(INDEX(TABLAS!$C$52:$C$58,MIN(MATCH(MAX(4,DATOS!$C$72),TABLAS!$B$52:$B$58,0)+0,7))+MAX(DATOS!$C$70,INDEX(TABLAS!$C$52:$C$58,MIN(MATCH(MAX(4,DATOS!$C$72),TABLAS!$B$52:$B$58,0)+0,7))))))),INDEX(TABLAS!$B$52:$B$58,MIN(MATCH(MAX(4,DATOS!$C$72),TABLAS!$B$52:$B$58,0)+0,7)),IF(AND(BU42&gt;=0,IF(MAX(DATOS!$C$74,CEILING(BU42/INDEX(TABLAS!$D$52:$D$58,MIN(MATCH(MAX(4,DATOS!$C$72),TABLAS!$B$52:$B$58,0)+1,7)),1))*INDEX(TABLAS!$D$52:$D$58,MIN(MATCH(MAX(4,DATOS!$C$72),TABLAS!$B$52:$B$58,0)+1,7)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+1,7)),1)),MAX(MAX(DATOS!$C$74,CEILING(BU42/INDEX(TABLAS!$D$52:$D$58,MIN(MATCH(MAX(4,DATOS!$C$72),TABLAS!$B$52:$B$58,0)+1,7)),1)),2))&lt;=MIN(DATOS!$C$73,INT(((AD42-2*AL42)+MAX(DATOS!$C$70,INDEX(TABLAS!$C$52:$C$58,MIN(MATCH(MAX(4,DATOS!$C$72),TABLAS!$B$52:$B$58,0)+1,7))))/(INDEX(TABLAS!$C$52:$C$58,MIN(MATCH(MAX(4,DATOS!$C$72),TABLAS!$B$52:$B$58,0)+1,7))+MAX(DATOS!$C$70,INDEX(TABLAS!$C$52:$C$58,MIN(MATCH(MAX(4,DATOS!$C$72),TABLAS!$B$52:$B$58,0)+1,7))))))),INDEX(TABLAS!$B$52:$B$58,MIN(MATCH(MAX(4,DATOS!$C$72),TABLAS!$B$52:$B$58,0)+1,7)),IF(AND(BU42&gt;=0,IF(MAX(DATOS!$C$74,CEILING(BU42/INDEX(TABLAS!$D$52:$D$58,MIN(MATCH(MAX(4,DATOS!$C$72),TABLAS!$B$52:$B$58,0)+2,7)),1))*INDEX(TABLAS!$D$52:$D$58,MIN(MATCH(MAX(4,DATOS!$C$72),TABLAS!$B$52:$B$58,0)+2,7)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+2,7)),1)),MAX(MAX(DATOS!$C$74,CEILING(BU42/INDEX(TABLAS!$D$52:$D$58,MIN(MATCH(MAX(4,DATOS!$C$72),TABLAS!$B$52:$B$58,0)+2,7)),1)),2))&lt;=MIN(DATOS!$C$73,INT(((AD42-2*AL42)+MAX(DATOS!$C$70,INDEX(TABLAS!$C$52:$C$58,MIN(MATCH(MAX(4,DATOS!$C$72),TABLAS!$B$52:$B$58,0)+2,7))))/(INDEX(TABLAS!$C$52:$C$58,MIN(MATCH(MAX(4,DATOS!$C$72),TABLAS!$B$52:$B$58,0)+2,7))+MAX(DATOS!$C$70,INDEX(TABLAS!$C$52:$C$58,MIN(MATCH(MAX(4,DATOS!$C$72),TABLAS!$B$52:$B$58,0)+2,7))))))),INDEX(TABLAS!$B$52:$B$58,MIN(MATCH(MAX(4,DATOS!$C$72),TABLAS!$B$52:$B$58,0)+2,7)),IF(AND(BU42&gt;=0,IF(MAX(DATOS!$C$74,CEILING(BU42/INDEX(TABLAS!$D$52:$D$58,MIN(MATCH(MAX(4,DATOS!$C$72),TABLAS!$B$52:$B$58,0)+3,7)),1))*INDEX(TABLAS!$D$52:$D$58,MIN(MATCH(MAX(4,DATOS!$C$72),TABLAS!$B$52:$B$58,0)+3,7)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+3,7)),1)),MAX(MAX(DATOS!$C$74,CEILING(BU42/INDEX(TABLAS!$D$52:$D$58,MIN(MATCH(MAX(4,DATOS!$C$72),TABLAS!$B$52:$B$58,0)+3,7)),1)),2))&lt;=MIN(DATOS!$C$73,INT(((AD42-2*AL42)+MAX(DATOS!$C$70,INDEX(TABLAS!$C$52:$C$58,MIN(MATCH(MAX(4,DATOS!$C$72),TABLAS!$B$52:$B$58,0)+3,7))))/(INDEX(TABLAS!$C$52:$C$58,MIN(MATCH(MAX(4,DATOS!$C$72),TABLAS!$B$52:$B$58,0)+3,7))+MAX(DATOS!$C$70,INDEX(TABLAS!$C$52:$C$58,MIN(MATCH(MAX(4,DATOS!$C$72),TABLAS!$B$52:$B$58,0)+3,7))))))),INDEX(TABLAS!$B$52:$B$58,MIN(MATCH(MAX(4,DATOS!$C$72),TABLAS!$B$52:$B$58,0)+3,7)),IF(AND(BU42&gt;=0,IF(MAX(DATOS!$C$74,CEILING(BU42/INDEX(TABLAS!$D$52:$D$58,MIN(MATCH(MAX(4,DATOS!$C$72),TABLAS!$B$52:$B$58,0)+4,7)),1))*INDEX(TABLAS!$D$52:$D$58,MIN(MATCH(MAX(4,DATOS!$C$72),TABLAS!$B$52:$B$58,0)+4,7)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+4,7)),1)),MAX(MAX(DATOS!$C$74,CEILING(BU42/INDEX(TABLAS!$D$52:$D$58,MIN(MATCH(MAX(4,DATOS!$C$72),TABLAS!$B$52:$B$58,0)+4,7)),1)),2))&lt;=MIN(DATOS!$C$73,INT(((AD42-2*AL42)+MAX(DATOS!$C$70,INDEX(TABLAS!$C$52:$C$58,MIN(MATCH(MAX(4,DATOS!$C$72),TABLAS!$B$52:$B$58,0)+4,7))))/(INDEX(TABLAS!$C$52:$C$58,MIN(MATCH(MAX(4,DATOS!$C$72),TABLAS!$B$52:$B$58,0)+4,7))+MAX(DATOS!$C$70,INDEX(TABLAS!$C$52:$C$58,MIN(MATCH(MAX(4,DATOS!$C$72),TABLAS!$B$52:$B$58,0)+4,7))))))),INDEX(TABLAS!$B$52:$B$58,MIN(MATCH(MAX(4,DATOS!$C$72),TABLAS!$B$52:$B$58,0)+4,7)),INDEX(TABLAS!$B$52:$B$58,7)))))))</f>
        <v/>
      </c>
      <c r="BW42" s="59" t="str">
        <f>IF(V42&lt;&gt;"SÍ","",IF(BU42&lt;0,0,IF(MAX(DATOS!$C$74,CEILING(MAX(BU42,0)/INDEX(TABLAS!$D$52:$D$58,MATCH(BV42,TABLAS!$B$52:$B$58,0)),1))*INDEX(TABLAS!$D$52:$D$58,MATCH(BV42,TABLAS!$B$52:$B$58,0))&gt;=4/3*IF(BH42&lt;=0,0,IF((1-2*BH42*1E5/(DATOS!$C$29*AF42*BT42^2*DATOS!$C$21))&lt;0,-1,IF((1-SQRT((1-2*BH42*1E5/(DATOS!$C$29*AF42*BT42^2*DATOS!$C$21))))*DATOS!$C$21*AF42*BT42/DATOS!$C$14&gt;DATOS!$C$102*AF42*BT42,-1,(1-SQRT((1-2*BH42*1E5/(DATOS!$C$29*AF42*BT42^2*DATOS!$C$21))))*DATOS!$C$21*AF42*BT42/DATOS!$C$14)))-0.0001,MAX(DATOS!$C$74,CEILING(MAX(BU42,0)/INDEX(TABLAS!$D$52:$D$58,MATCH(BV42,TABLAS!$B$52:$B$58,0)),1)),MAX(MAX(DATOS!$C$74,CEILING(MAX(BU42,0)/INDEX(TABLAS!$D$52:$D$58,MATCH(BV42,TABLAS!$B$52:$B$58,0)),1)),2))))</f>
        <v/>
      </c>
      <c r="BX42" s="58" t="str">
        <f>IF(V42&lt;&gt;"SÍ","",((DATOS!$C$85-AM42-2*DATOS!$C$97-INDEX(TABLAS!$C$52:$C$58,MATCH(BV42,TABLAS!$B$52:$B$58,0))/2)-IF(AND((DATOS!$C$85-AM42-2*DATOS!$C$97-INDEX(TABLAS!$C$52:$C$58,MATCH(BV42,TABLAS!$B$52:$B$58,0))/2)&lt;=20,DATOS!$C$65&lt;&gt;"SÍ"),2,0)))</f>
        <v/>
      </c>
      <c r="BY42" s="56" t="str">
        <f>IF(V42&lt;&gt;"SÍ","",IF(BW42=0,0,DATOS!$C$29*BW42*INDEX(TABLAS!$D$52:$D$58,MATCH(BV42,TABLAS!$B$52:$B$58,0))*DATOS!$C$14*(BX42-BW42*INDEX(TABLAS!$D$52:$D$58,MATCH(BV42,TABLAS!$B$52:$B$58,0))*DATOS!$C$14/(DATOS!$C$21*AF42)/2)/1E5))</f>
        <v/>
      </c>
      <c r="BZ42" s="65" t="str">
        <f>IF(V42&lt;&gt;"SÍ","",IF(BU42&lt;0,9.99,IF(BY42&gt;0,BH42/BY42,0)))</f>
        <v/>
      </c>
      <c r="CA42" s="66" t="str">
        <f>IF(V42&lt;&gt;"SÍ","",IF(BW42=0,"—",0.003*(BX42-(BW42*INDEX(TABLAS!$D$52:$D$58,MATCH(BV42,TABLAS!$B$52:$B$58,0))*DATOS!$C$14/(DATOS!$C$21*AF42)/DATOS!$C$22))/(BW42*INDEX(TABLAS!$D$52:$D$58,MATCH(BV42,TABLAS!$B$52:$B$58,0))*DATOS!$C$14/(DATOS!$C$21*AF42)/DATOS!$C$22)))</f>
        <v/>
      </c>
      <c r="CB42" s="58" t="str">
        <f>IF(V42&lt;&gt;"SÍ","",(DATOS!$C$85-AK42-INDEX(TABLAS!$C$52:$C$58,MATCH(MAX(4,DATOS!$C$71),TABLAS!$B$52:$B$58,0))-INDEX(TABLAS!$C$52:$C$58,MATCH(MAX(4,DATOS!$C$71),TABLAS!$B$52:$B$58,0))/2))</f>
        <v/>
      </c>
      <c r="CC42" s="58" t="str">
        <f>IF(V42&lt;&gt;"SÍ","",IF(IF(BI42&lt;=0,0,IF((1-2*BI42*1E5/(DATOS!$C$29*AI42*CB42^2*DATOS!$C$21))&lt;0,-1,IF((1-SQRT((1-2*BI42*1E5/(DATOS!$C$29*AI42*CB42^2*DATOS!$C$21))))*DATOS!$C$21*AI42*CB42/DATOS!$C$14&gt;DATOS!$C$102*AI42*CB42,-1,(1-SQRT((1-2*BI42*1E5/(DATOS!$C$29*AI42*CB42^2*DATOS!$C$21))))*DATOS!$C$21*AI42*CB42/DATOS!$C$14)))&lt;0,-1,MAX(IF(BI42&lt;=0,0,IF((1-2*BI42*1E5/(DATOS!$C$29*AI42*CB42^2*DATOS!$C$21))&lt;0,-1,IF((1-SQRT((1-2*BI42*1E5/(DATOS!$C$29*AI42*CB42^2*DATOS!$C$21))))*DATOS!$C$21*AI42*CB42/DATOS!$C$14&gt;DATOS!$C$102*AI42*CB42,-1,(1-SQRT((1-2*BI42*1E5/(DATOS!$C$29*AI42*CB42^2*DATOS!$C$21))))*DATOS!$C$21*AI42*CB42/DATOS!$C$14))),MIN(DATOS!$C$103*DATOS!$C$83*CB42,4/3*IF(BI42&lt;=0,0,IF((1-2*BI42*1E5/(DATOS!$C$29*AI42*CB42^2*DATOS!$C$21))&lt;0,-1,IF((1-SQRT((1-2*BI42*1E5/(DATOS!$C$29*AI42*CB42^2*DATOS!$C$21))))*DATOS!$C$21*AI42*CB42/DATOS!$C$14&gt;DATOS!$C$102*AI42*CB42,-1,(1-SQRT((1-2*BI42*1E5/(DATOS!$C$29*AI42*CB42^2*DATOS!$C$21))))*DATOS!$C$21*AI42*CB42/DATOS!$C$14)))))))</f>
        <v/>
      </c>
      <c r="CD42" s="64" t="str">
        <f>IF(V42&lt;&gt;"SÍ","",IF(AND(CC42&gt;=0,IF(MAX(DATOS!$C$74,CEILING(CC42/INDEX(TABLAS!$D$52:$D$58,MIN(MATCH(MAX(4,DATOS!$C$71),TABLAS!$B$52:$B$58,0)+0,7)),1))*INDEX(TABLAS!$D$52:$D$58,MIN(MATCH(MAX(4,DATOS!$C$71),TABLAS!$B$52:$B$58,0)+0,7)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+0,7)),1)),MAX(MAX(DATOS!$C$74,CEILING(CC42/INDEX(TABLAS!$D$52:$D$58,MIN(MATCH(MAX(4,DATOS!$C$71),TABLAS!$B$52:$B$58,0)+0,7)),1)),2))&lt;=MIN(DATOS!$C$73,INT(((DATOS!$C$83-2*AK42)+MAX(DATOS!$C$70,INDEX(TABLAS!$C$52:$C$58,MIN(MATCH(MAX(4,DATOS!$C$71),TABLAS!$B$52:$B$58,0)+0,7))))/(INDEX(TABLAS!$C$52:$C$58,MIN(MATCH(MAX(4,DATOS!$C$71),TABLAS!$B$52:$B$58,0)+0,7))+MAX(DATOS!$C$70,INDEX(TABLAS!$C$52:$C$58,MIN(MATCH(MAX(4,DATOS!$C$71),TABLAS!$B$52:$B$58,0)+0,7))))))),INDEX(TABLAS!$B$52:$B$58,MIN(MATCH(MAX(4,DATOS!$C$71),TABLAS!$B$52:$B$58,0)+0,7)),IF(AND(CC42&gt;=0,IF(MAX(DATOS!$C$74,CEILING(CC42/INDEX(TABLAS!$D$52:$D$58,MIN(MATCH(MAX(4,DATOS!$C$71),TABLAS!$B$52:$B$58,0)+1,7)),1))*INDEX(TABLAS!$D$52:$D$58,MIN(MATCH(MAX(4,DATOS!$C$71),TABLAS!$B$52:$B$58,0)+1,7)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+1,7)),1)),MAX(MAX(DATOS!$C$74,CEILING(CC42/INDEX(TABLAS!$D$52:$D$58,MIN(MATCH(MAX(4,DATOS!$C$71),TABLAS!$B$52:$B$58,0)+1,7)),1)),2))&lt;=MIN(DATOS!$C$73,INT(((DATOS!$C$83-2*AK42)+MAX(DATOS!$C$70,INDEX(TABLAS!$C$52:$C$58,MIN(MATCH(MAX(4,DATOS!$C$71),TABLAS!$B$52:$B$58,0)+1,7))))/(INDEX(TABLAS!$C$52:$C$58,MIN(MATCH(MAX(4,DATOS!$C$71),TABLAS!$B$52:$B$58,0)+1,7))+MAX(DATOS!$C$70,INDEX(TABLAS!$C$52:$C$58,MIN(MATCH(MAX(4,DATOS!$C$71),TABLAS!$B$52:$B$58,0)+1,7))))))),INDEX(TABLAS!$B$52:$B$58,MIN(MATCH(MAX(4,DATOS!$C$71),TABLAS!$B$52:$B$58,0)+1,7)),IF(AND(CC42&gt;=0,IF(MAX(DATOS!$C$74,CEILING(CC42/INDEX(TABLAS!$D$52:$D$58,MIN(MATCH(MAX(4,DATOS!$C$71),TABLAS!$B$52:$B$58,0)+2,7)),1))*INDEX(TABLAS!$D$52:$D$58,MIN(MATCH(MAX(4,DATOS!$C$71),TABLAS!$B$52:$B$58,0)+2,7)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+2,7)),1)),MAX(MAX(DATOS!$C$74,CEILING(CC42/INDEX(TABLAS!$D$52:$D$58,MIN(MATCH(MAX(4,DATOS!$C$71),TABLAS!$B$52:$B$58,0)+2,7)),1)),2))&lt;=MIN(DATOS!$C$73,INT(((DATOS!$C$83-2*AK42)+MAX(DATOS!$C$70,INDEX(TABLAS!$C$52:$C$58,MIN(MATCH(MAX(4,DATOS!$C$71),TABLAS!$B$52:$B$58,0)+2,7))))/(INDEX(TABLAS!$C$52:$C$58,MIN(MATCH(MAX(4,DATOS!$C$71),TABLAS!$B$52:$B$58,0)+2,7))+MAX(DATOS!$C$70,INDEX(TABLAS!$C$52:$C$58,MIN(MATCH(MAX(4,DATOS!$C$71),TABLAS!$B$52:$B$58,0)+2,7))))))),INDEX(TABLAS!$B$52:$B$58,MIN(MATCH(MAX(4,DATOS!$C$71),TABLAS!$B$52:$B$58,0)+2,7)),IF(AND(CC42&gt;=0,IF(MAX(DATOS!$C$74,CEILING(CC42/INDEX(TABLAS!$D$52:$D$58,MIN(MATCH(MAX(4,DATOS!$C$71),TABLAS!$B$52:$B$58,0)+3,7)),1))*INDEX(TABLAS!$D$52:$D$58,MIN(MATCH(MAX(4,DATOS!$C$71),TABLAS!$B$52:$B$58,0)+3,7)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+3,7)),1)),MAX(MAX(DATOS!$C$74,CEILING(CC42/INDEX(TABLAS!$D$52:$D$58,MIN(MATCH(MAX(4,DATOS!$C$71),TABLAS!$B$52:$B$58,0)+3,7)),1)),2))&lt;=MIN(DATOS!$C$73,INT(((DATOS!$C$83-2*AK42)+MAX(DATOS!$C$70,INDEX(TABLAS!$C$52:$C$58,MIN(MATCH(MAX(4,DATOS!$C$71),TABLAS!$B$52:$B$58,0)+3,7))))/(INDEX(TABLAS!$C$52:$C$58,MIN(MATCH(MAX(4,DATOS!$C$71),TABLAS!$B$52:$B$58,0)+3,7))+MAX(DATOS!$C$70,INDEX(TABLAS!$C$52:$C$58,MIN(MATCH(MAX(4,DATOS!$C$71),TABLAS!$B$52:$B$58,0)+3,7))))))),INDEX(TABLAS!$B$52:$B$58,MIN(MATCH(MAX(4,DATOS!$C$71),TABLAS!$B$52:$B$58,0)+3,7)),IF(AND(CC42&gt;=0,IF(MAX(DATOS!$C$74,CEILING(CC42/INDEX(TABLAS!$D$52:$D$58,MIN(MATCH(MAX(4,DATOS!$C$71),TABLAS!$B$52:$B$58,0)+4,7)),1))*INDEX(TABLAS!$D$52:$D$58,MIN(MATCH(MAX(4,DATOS!$C$71),TABLAS!$B$52:$B$58,0)+4,7)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+4,7)),1)),MAX(MAX(DATOS!$C$74,CEILING(CC42/INDEX(TABLAS!$D$52:$D$58,MIN(MATCH(MAX(4,DATOS!$C$71),TABLAS!$B$52:$B$58,0)+4,7)),1)),2))&lt;=MIN(DATOS!$C$73,INT(((DATOS!$C$83-2*AK42)+MAX(DATOS!$C$70,INDEX(TABLAS!$C$52:$C$58,MIN(MATCH(MAX(4,DATOS!$C$71),TABLAS!$B$52:$B$58,0)+4,7))))/(INDEX(TABLAS!$C$52:$C$58,MIN(MATCH(MAX(4,DATOS!$C$71),TABLAS!$B$52:$B$58,0)+4,7))+MAX(DATOS!$C$70,INDEX(TABLAS!$C$52:$C$58,MIN(MATCH(MAX(4,DATOS!$C$71),TABLAS!$B$52:$B$58,0)+4,7))))))),INDEX(TABLAS!$B$52:$B$58,MIN(MATCH(MAX(4,DATOS!$C$71),TABLAS!$B$52:$B$58,0)+4,7)),INDEX(TABLAS!$B$52:$B$58,7)))))))</f>
        <v/>
      </c>
      <c r="CE42" s="59" t="str">
        <f>IF(V42&lt;&gt;"SÍ","",IF(CC42&lt;0,0,IF(MAX(DATOS!$C$74,CEILING(MAX(CC42,0)/INDEX(TABLAS!$D$52:$D$58,MATCH(CD42,TABLAS!$B$52:$B$58,0)),1))*INDEX(TABLAS!$D$52:$D$58,MATCH(CD42,TABLAS!$B$52:$B$58,0))&gt;=4/3*IF(BI42&lt;=0,0,IF((1-2*BI42*1E5/(DATOS!$C$29*AI42*CB42^2*DATOS!$C$21))&lt;0,-1,IF((1-SQRT((1-2*BI42*1E5/(DATOS!$C$29*AI42*CB42^2*DATOS!$C$21))))*DATOS!$C$21*AI42*CB42/DATOS!$C$14&gt;DATOS!$C$102*AI42*CB42,-1,(1-SQRT((1-2*BI42*1E5/(DATOS!$C$29*AI42*CB42^2*DATOS!$C$21))))*DATOS!$C$21*AI42*CB42/DATOS!$C$14)))-0.0001,MAX(DATOS!$C$74,CEILING(MAX(CC42,0)/INDEX(TABLAS!$D$52:$D$58,MATCH(CD42,TABLAS!$B$52:$B$58,0)),1)),MAX(MAX(DATOS!$C$74,CEILING(MAX(CC42,0)/INDEX(TABLAS!$D$52:$D$58,MATCH(CD42,TABLAS!$B$52:$B$58,0)),1)),2))))</f>
        <v/>
      </c>
      <c r="CF42" s="58" t="str">
        <f>IF(V42&lt;&gt;"SÍ","",DATOS!$C$85-AK42-INDEX(TABLAS!$C$52:$C$58,MATCH(BN42,TABLAS!$B$52:$B$58,0))-INDEX(TABLAS!$C$52:$C$58,MATCH(CD42,TABLAS!$B$52:$B$58,0))/2)</f>
        <v/>
      </c>
      <c r="CG42" s="56" t="str">
        <f>IF(V42&lt;&gt;"SÍ","",IF(CE42=0,0,DATOS!$C$29*CE42*INDEX(TABLAS!$D$52:$D$58,MATCH(CD42,TABLAS!$B$52:$B$58,0))*DATOS!$C$14*(CF42-CE42*INDEX(TABLAS!$D$52:$D$58,MATCH(CD42,TABLAS!$B$52:$B$58,0))*DATOS!$C$14/(DATOS!$C$21*AI42)/2)/1E5))</f>
        <v/>
      </c>
      <c r="CH42" s="65" t="str">
        <f>IF(V42&lt;&gt;"SÍ","",IF(CC42&lt;0,9.99,IF(CG42&gt;0,BI42/CG42,0)))</f>
        <v/>
      </c>
      <c r="CI42" s="66" t="str">
        <f>IF(V42&lt;&gt;"SÍ","",IF(CE42=0,"—",0.003*(CF42-(CE42*INDEX(TABLAS!$D$52:$D$58,MATCH(CD42,TABLAS!$B$52:$B$58,0))*DATOS!$C$14/(DATOS!$C$21*AI42)/DATOS!$C$22))/(CE42*INDEX(TABLAS!$D$52:$D$58,MATCH(CD42,TABLAS!$B$52:$B$58,0))*DATOS!$C$14/(DATOS!$C$21*AI42)/DATOS!$C$22)))</f>
        <v/>
      </c>
      <c r="CJ42" s="58" t="str">
        <f>IF(V42&lt;&gt;"SÍ","",((DATOS!$C$85-AM42-2*DATOS!$C$97-INDEX(TABLAS!$C$52:$C$58,MATCH(MAX(4,DATOS!$C$72),TABLAS!$B$52:$B$58,0))-INDEX(TABLAS!$C$52:$C$58,MATCH(MAX(4,DATOS!$C$72),TABLAS!$B$52:$B$58,0))/2)-IF(AND((DATOS!$C$85-AM42-2*DATOS!$C$97-INDEX(TABLAS!$C$52:$C$58,MATCH(MAX(4,DATOS!$C$72),TABLAS!$B$52:$B$58,0))-INDEX(TABLAS!$C$52:$C$58,MATCH(MAX(4,DATOS!$C$72),TABLAS!$B$52:$B$58,0))/2)&lt;=20,DATOS!$C$65&lt;&gt;"SÍ"),2,0)))</f>
        <v/>
      </c>
      <c r="CK42" s="58" t="str">
        <f>IF(V42&lt;&gt;"SÍ","",IF(IF(BJ42&lt;=0,0,IF((1-2*BJ42*1E5/(DATOS!$C$29*AG42*CJ42^2*DATOS!$C$21))&lt;0,-1,IF((1-SQRT((1-2*BJ42*1E5/(DATOS!$C$29*AG42*CJ42^2*DATOS!$C$21))))*DATOS!$C$21*AG42*CJ42/DATOS!$C$14&gt;DATOS!$C$102*AG42*CJ42,-1,(1-SQRT((1-2*BJ42*1E5/(DATOS!$C$29*AG42*CJ42^2*DATOS!$C$21))))*DATOS!$C$21*AG42*CJ42/DATOS!$C$14)))&lt;0,-1,MAX(IF(BJ42&lt;=0,0,IF((1-2*BJ42*1E5/(DATOS!$C$29*AG42*CJ42^2*DATOS!$C$21))&lt;0,-1,IF((1-SQRT((1-2*BJ42*1E5/(DATOS!$C$29*AG42*CJ42^2*DATOS!$C$21))))*DATOS!$C$21*AG42*CJ42/DATOS!$C$14&gt;DATOS!$C$102*AG42*CJ42,-1,(1-SQRT((1-2*BJ42*1E5/(DATOS!$C$29*AG42*CJ42^2*DATOS!$C$21))))*DATOS!$C$21*AG42*CJ42/DATOS!$C$14))),MIN(DATOS!$C$103*DATOS!$C$83*CJ42,4/3*IF(BJ42&lt;=0,0,IF((1-2*BJ42*1E5/(DATOS!$C$29*AG42*CJ42^2*DATOS!$C$21))&lt;0,-1,IF((1-SQRT((1-2*BJ42*1E5/(DATOS!$C$29*AG42*CJ42^2*DATOS!$C$21))))*DATOS!$C$21*AG42*CJ42/DATOS!$C$14&gt;DATOS!$C$102*AG42*CJ42,-1,(1-SQRT((1-2*BJ42*1E5/(DATOS!$C$29*AG42*CJ42^2*DATOS!$C$21))))*DATOS!$C$21*AG42*CJ42/DATOS!$C$14)))))))</f>
        <v/>
      </c>
      <c r="CL42" s="64" t="str">
        <f>IF(V42&lt;&gt;"SÍ","",IF(AND(CK42&gt;=0,IF(MAX(DATOS!$C$74,CEILING(CK42/INDEX(TABLAS!$D$52:$D$58,MIN(MATCH(MAX(4,DATOS!$C$72),TABLAS!$B$52:$B$58,0)+0,7)),1))*INDEX(TABLAS!$D$52:$D$58,MIN(MATCH(MAX(4,DATOS!$C$72),TABLAS!$B$52:$B$58,0)+0,7)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+0,7)),1)),MAX(MAX(DATOS!$C$74,CEILING(CK42/INDEX(TABLAS!$D$52:$D$58,MIN(MATCH(MAX(4,DATOS!$C$72),TABLAS!$B$52:$B$58,0)+0,7)),1)),2))&lt;=MIN(DATOS!$C$73,INT(((DATOS!$C$83-2*AL42)+MAX(DATOS!$C$70,INDEX(TABLAS!$C$52:$C$58,MIN(MATCH(MAX(4,DATOS!$C$72),TABLAS!$B$52:$B$58,0)+0,7))))/(INDEX(TABLAS!$C$52:$C$58,MIN(MATCH(MAX(4,DATOS!$C$72),TABLAS!$B$52:$B$58,0)+0,7))+MAX(DATOS!$C$70,INDEX(TABLAS!$C$52:$C$58,MIN(MATCH(MAX(4,DATOS!$C$72),TABLAS!$B$52:$B$58,0)+0,7))))))),INDEX(TABLAS!$B$52:$B$58,MIN(MATCH(MAX(4,DATOS!$C$72),TABLAS!$B$52:$B$58,0)+0,7)),IF(AND(CK42&gt;=0,IF(MAX(DATOS!$C$74,CEILING(CK42/INDEX(TABLAS!$D$52:$D$58,MIN(MATCH(MAX(4,DATOS!$C$72),TABLAS!$B$52:$B$58,0)+1,7)),1))*INDEX(TABLAS!$D$52:$D$58,MIN(MATCH(MAX(4,DATOS!$C$72),TABLAS!$B$52:$B$58,0)+1,7)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+1,7)),1)),MAX(MAX(DATOS!$C$74,CEILING(CK42/INDEX(TABLAS!$D$52:$D$58,MIN(MATCH(MAX(4,DATOS!$C$72),TABLAS!$B$52:$B$58,0)+1,7)),1)),2))&lt;=MIN(DATOS!$C$73,INT(((DATOS!$C$83-2*AL42)+MAX(DATOS!$C$70,INDEX(TABLAS!$C$52:$C$58,MIN(MATCH(MAX(4,DATOS!$C$72),TABLAS!$B$52:$B$58,0)+1,7))))/(INDEX(TABLAS!$C$52:$C$58,MIN(MATCH(MAX(4,DATOS!$C$72),TABLAS!$B$52:$B$58,0)+1,7))+MAX(DATOS!$C$70,INDEX(TABLAS!$C$52:$C$58,MIN(MATCH(MAX(4,DATOS!$C$72),TABLAS!$B$52:$B$58,0)+1,7))))))),INDEX(TABLAS!$B$52:$B$58,MIN(MATCH(MAX(4,DATOS!$C$72),TABLAS!$B$52:$B$58,0)+1,7)),IF(AND(CK42&gt;=0,IF(MAX(DATOS!$C$74,CEILING(CK42/INDEX(TABLAS!$D$52:$D$58,MIN(MATCH(MAX(4,DATOS!$C$72),TABLAS!$B$52:$B$58,0)+2,7)),1))*INDEX(TABLAS!$D$52:$D$58,MIN(MATCH(MAX(4,DATOS!$C$72),TABLAS!$B$52:$B$58,0)+2,7)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+2,7)),1)),MAX(MAX(DATOS!$C$74,CEILING(CK42/INDEX(TABLAS!$D$52:$D$58,MIN(MATCH(MAX(4,DATOS!$C$72),TABLAS!$B$52:$B$58,0)+2,7)),1)),2))&lt;=MIN(DATOS!$C$73,INT(((DATOS!$C$83-2*AL42)+MAX(DATOS!$C$70,INDEX(TABLAS!$C$52:$C$58,MIN(MATCH(MAX(4,DATOS!$C$72),TABLAS!$B$52:$B$58,0)+2,7))))/(INDEX(TABLAS!$C$52:$C$58,MIN(MATCH(MAX(4,DATOS!$C$72),TABLAS!$B$52:$B$58,0)+2,7))+MAX(DATOS!$C$70,INDEX(TABLAS!$C$52:$C$58,MIN(MATCH(MAX(4,DATOS!$C$72),TABLAS!$B$52:$B$58,0)+2,7))))))),INDEX(TABLAS!$B$52:$B$58,MIN(MATCH(MAX(4,DATOS!$C$72),TABLAS!$B$52:$B$58,0)+2,7)),IF(AND(CK42&gt;=0,IF(MAX(DATOS!$C$74,CEILING(CK42/INDEX(TABLAS!$D$52:$D$58,MIN(MATCH(MAX(4,DATOS!$C$72),TABLAS!$B$52:$B$58,0)+3,7)),1))*INDEX(TABLAS!$D$52:$D$58,MIN(MATCH(MAX(4,DATOS!$C$72),TABLAS!$B$52:$B$58,0)+3,7)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+3,7)),1)),MAX(MAX(DATOS!$C$74,CEILING(CK42/INDEX(TABLAS!$D$52:$D$58,MIN(MATCH(MAX(4,DATOS!$C$72),TABLAS!$B$52:$B$58,0)+3,7)),1)),2))&lt;=MIN(DATOS!$C$73,INT(((DATOS!$C$83-2*AL42)+MAX(DATOS!$C$70,INDEX(TABLAS!$C$52:$C$58,MIN(MATCH(MAX(4,DATOS!$C$72),TABLAS!$B$52:$B$58,0)+3,7))))/(INDEX(TABLAS!$C$52:$C$58,MIN(MATCH(MAX(4,DATOS!$C$72),TABLAS!$B$52:$B$58,0)+3,7))+MAX(DATOS!$C$70,INDEX(TABLAS!$C$52:$C$58,MIN(MATCH(MAX(4,DATOS!$C$72),TABLAS!$B$52:$B$58,0)+3,7))))))),INDEX(TABLAS!$B$52:$B$58,MIN(MATCH(MAX(4,DATOS!$C$72),TABLAS!$B$52:$B$58,0)+3,7)),IF(AND(CK42&gt;=0,IF(MAX(DATOS!$C$74,CEILING(CK42/INDEX(TABLAS!$D$52:$D$58,MIN(MATCH(MAX(4,DATOS!$C$72),TABLAS!$B$52:$B$58,0)+4,7)),1))*INDEX(TABLAS!$D$52:$D$58,MIN(MATCH(MAX(4,DATOS!$C$72),TABLAS!$B$52:$B$58,0)+4,7)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+4,7)),1)),MAX(MAX(DATOS!$C$74,CEILING(CK42/INDEX(TABLAS!$D$52:$D$58,MIN(MATCH(MAX(4,DATOS!$C$72),TABLAS!$B$52:$B$58,0)+4,7)),1)),2))&lt;=MIN(DATOS!$C$73,INT(((DATOS!$C$83-2*AL42)+MAX(DATOS!$C$70,INDEX(TABLAS!$C$52:$C$58,MIN(MATCH(MAX(4,DATOS!$C$72),TABLAS!$B$52:$B$58,0)+4,7))))/(INDEX(TABLAS!$C$52:$C$58,MIN(MATCH(MAX(4,DATOS!$C$72),TABLAS!$B$52:$B$58,0)+4,7))+MAX(DATOS!$C$70,INDEX(TABLAS!$C$52:$C$58,MIN(MATCH(MAX(4,DATOS!$C$72),TABLAS!$B$52:$B$58,0)+4,7))))))),INDEX(TABLAS!$B$52:$B$58,MIN(MATCH(MAX(4,DATOS!$C$72),TABLAS!$B$52:$B$58,0)+4,7)),INDEX(TABLAS!$B$52:$B$58,7)))))))</f>
        <v/>
      </c>
      <c r="CM42" s="59" t="str">
        <f>IF(V42&lt;&gt;"SÍ","",IF(CK42&lt;0,0,IF(MAX(DATOS!$C$74,CEILING(MAX(CK42,0)/INDEX(TABLAS!$D$52:$D$58,MATCH(CL42,TABLAS!$B$52:$B$58,0)),1))*INDEX(TABLAS!$D$52:$D$58,MATCH(CL42,TABLAS!$B$52:$B$58,0))&gt;=4/3*IF(BJ42&lt;=0,0,IF((1-2*BJ42*1E5/(DATOS!$C$29*AG42*CJ42^2*DATOS!$C$21))&lt;0,-1,IF((1-SQRT((1-2*BJ42*1E5/(DATOS!$C$29*AG42*CJ42^2*DATOS!$C$21))))*DATOS!$C$21*AG42*CJ42/DATOS!$C$14&gt;DATOS!$C$102*AG42*CJ42,-1,(1-SQRT((1-2*BJ42*1E5/(DATOS!$C$29*AG42*CJ42^2*DATOS!$C$21))))*DATOS!$C$21*AG42*CJ42/DATOS!$C$14)))-0.0001,MAX(DATOS!$C$74,CEILING(MAX(CK42,0)/INDEX(TABLAS!$D$52:$D$58,MATCH(CL42,TABLAS!$B$52:$B$58,0)),1)),MAX(MAX(DATOS!$C$74,CEILING(MAX(CK42,0)/INDEX(TABLAS!$D$52:$D$58,MATCH(CL42,TABLAS!$B$52:$B$58,0)),1)),2))))</f>
        <v/>
      </c>
      <c r="CN42" s="58" t="str">
        <f>IF(V42&lt;&gt;"SÍ","",((DATOS!$C$85-AM42-2*DATOS!$C$97-INDEX(TABLAS!$C$52:$C$58,MATCH(BV42,TABLAS!$B$52:$B$58,0))-INDEX(TABLAS!$C$52:$C$58,MATCH(CL42,TABLAS!$B$52:$B$58,0))/2)-IF(AND((DATOS!$C$85-AM42-2*DATOS!$C$97-INDEX(TABLAS!$C$52:$C$58,MATCH(BV42,TABLAS!$B$52:$B$58,0))-INDEX(TABLAS!$C$52:$C$58,MATCH(CL42,TABLAS!$B$52:$B$58,0))/2)&lt;=20,DATOS!$C$65&lt;&gt;"SÍ"),2,0)))</f>
        <v/>
      </c>
      <c r="CO42" s="56" t="str">
        <f>IF(V42&lt;&gt;"SÍ","",IF(CM42=0,0,DATOS!$C$29*CM42*INDEX(TABLAS!$D$52:$D$58,MATCH(CL42,TABLAS!$B$52:$B$58,0))*DATOS!$C$14*(CN42-CM42*INDEX(TABLAS!$D$52:$D$58,MATCH(CL42,TABLAS!$B$52:$B$58,0))*DATOS!$C$14/(DATOS!$C$21*AG42)/2)/1E5))</f>
        <v/>
      </c>
      <c r="CP42" s="65" t="str">
        <f>IF(V42&lt;&gt;"SÍ","",IF(CK42&lt;0,9.99,IF(CO42&gt;0,BJ42/CO42,0)))</f>
        <v/>
      </c>
      <c r="CQ42" s="66" t="str">
        <f>IF(V42&lt;&gt;"SÍ","",IF(CM42=0,"—",0.003*(CN42-(CM42*INDEX(TABLAS!$D$52:$D$58,MATCH(CL42,TABLAS!$B$52:$B$58,0))*DATOS!$C$14/(DATOS!$C$21*AG42)/DATOS!$C$22))/(CM42*INDEX(TABLAS!$D$52:$D$58,MATCH(CL42,TABLAS!$B$52:$B$58,0))*DATOS!$C$14/(DATOS!$C$21*AG42)/DATOS!$C$22)))</f>
        <v/>
      </c>
      <c r="CR42" s="56" t="str">
        <f>IF(V42&lt;&gt;"SÍ","",IF(C42="PERIMETRAL",MAX(0,(AB42/2-BX42)/100)*(0.95-0.5*AA42)*AR42*IF(AND(AS42&gt;0,AS42&lt;4),DATOS!$C$33,1)*DATOS!$C$86/100/1000,(AR42*MAX(0,AB42-BX42)/100+DATOS!$C$26*N(O42))*DATOS!$C$86/100/1000+BF42))</f>
        <v/>
      </c>
      <c r="CS42" s="56" t="str">
        <f>IF(V42&lt;&gt;"SÍ","",DATOS!$C$30*2*MIN(1,SQRT(2/(1+0.04*BX42)))*(BW42*INDEX(TABLAS!$D$52:$D$58,MATCH(BV42,TABLAS!$B$52:$B$58,0))/(AF42*BX42))^(1/3)*SQRT(DATOS!$C$13)*AF42*BX42*IF(AJ42="SÍ",DATOS!$C$32,1)/1000)</f>
        <v/>
      </c>
      <c r="CT42" s="59" t="str">
        <f>IF(V42&lt;&gt;"SÍ","",IF(CR42&lt;=CS42,0,CEILING(MAX(0,IF(C42="VOLADO",(AB42-((CS42-BF42)*1E5/DATOS!$C$86-DATOS!$C$26*N(O42))*100/AR42),IF(CS42&lt;=0,AB42,AB42/2-CS42/MAX(CR42,1E-9)*(AB42/2-BX42)))-IF(X42="X",MIN(DJ42,DK42),MIN(DL42,DM42)))/DATOS!$C$86,1)))</f>
        <v/>
      </c>
      <c r="CU42" s="67" t="str">
        <f>IF(V42&lt;&gt;"SÍ","",IF(CR42&lt;=CS42,"CUMPLE",IF(CT42&lt;=0,"CUMPLE (basta el macizo de orilla)",IF(CT42*DATOS!$C$86*IF(C42="VOLADO",1,2)&gt;=Y42*100-DATOS!$C$87,"NO CUMPLE: no alcanza ni macizando todo","MACIZAR "&amp;CT42&amp;" hilera(s)"))))</f>
        <v/>
      </c>
      <c r="CV42" s="58" t="str">
        <f>IF(V42&lt;&gt;"SÍ","",(DATOS!$C$86*DATOS!$C$84^2/2+MIN(DATOS!$C$83,AD42)*DATOS!$C$82*(DATOS!$C$84+DATOS!$C$82/2))/(DATOS!$C$86*DATOS!$C$84+MIN(DATOS!$C$83,AD42)*DATOS!$C$82))</f>
        <v/>
      </c>
      <c r="CW42" s="68" t="str">
        <f>IF(V42&lt;&gt;"SÍ","",DATOS!$C$86*DATOS!$C$84^3/12+DATOS!$C$86*DATOS!$C$84*(CV42-DATOS!$C$84/2)^2+MIN(DATOS!$C$83,AD42)*DATOS!$C$82^3/12+MIN(DATOS!$C$83,AD42)*DATOS!$C$82*(DATOS!$C$84+DATOS!$C$82/2-CV42)^2)</f>
        <v/>
      </c>
      <c r="CX42" s="58" t="str">
        <f>IF(V42&lt;&gt;"SÍ","",(12*CW42/DATOS!$C$86)^(1/3))</f>
        <v/>
      </c>
      <c r="CY42" s="58" t="str">
        <f>IF(V42&lt;&gt;"SÍ","",IF(C42="PERIMETRAL",IF(ISNUMBER(S42),S42,DATOS!$C$104),0))</f>
        <v/>
      </c>
      <c r="CZ42" s="57" t="str">
        <f>IF(V42&lt;&gt;"SÍ","",IF(C42="PERIMETRAL",IF(CY42&gt;2,MAX(9,AC42*(0.8+DATOS!$C$14/14000)/(36+9*(AC42/MAX(AB42,1)))),IF(CY42&gt;0.2,MAX(13,AC42*(0.8+DATOS!$C$14/14000)/(36+5*(AC42/MAX(AB42,1))*(CY42-0.2))),MAX(13,AC42/IF(AS42&gt;0,30,33))))*IF(AND(CY42&gt;0.2,AS42&gt;0,DATOS!$C$105="NO"),1.1,1),MAX(25,Y42*100/8*(0.4+DATOS!$C$14/7000))))</f>
        <v/>
      </c>
      <c r="DA42" s="61" t="str">
        <f>IF(V42&lt;&gt;"SÍ","",IF(IF(C42="VOLADO",DATOS!$C$85,CX42)&gt;=CZ42,"CUMPLE",IF(C42="VOLADO","NO CUMPLE","CALCULAR FLECHA")))</f>
        <v/>
      </c>
      <c r="DB42" s="55" t="str">
        <f>IF(V42&lt;&gt;"SÍ","",IF(DATOS!$C$84&gt;=IF(IF(C42="VOLADO",Y42,Z42)&gt;=6,6,5),"CUMPLE","CAPA ≥ 6 cm"))</f>
        <v/>
      </c>
      <c r="DC42" s="60" t="str">
        <f>IF(V42&lt;&gt;"SÍ","",IF(C42="VOLADO",MIN(FLOOR(IF(ISNUMBER(P42),P42,Y42)*100-DATOS!$C$63,5),CEILING(MAX(IF((0.5*(0.9*DATOS!$C$90*DATOS!$C$86/100/1000)*IF(ISNUMBER(P42),P42,Y42)+BH42/IF(ISNUMBER(P42),P42,Y42))^2-4*(0.5*(0.9*DATOS!$C$90*DATOS!$C$86/100/1000))*BH42&lt;0,IF(ISNUMBER(P42),P42,Y42),MIN(IF(ISNUMBER(P42),P42,Y42),((0.5*(0.9*DATOS!$C$90*DATOS!$C$86/100/1000)*IF(ISNUMBER(P42),P42,Y42)+BH42/IF(ISNUMBER(P42),P42,Y42))-SQRT((0.5*(0.9*DATOS!$C$90*DATOS!$C$86/100/1000)*IF(ISNUMBER(P42),P42,Y42)+BH42/IF(ISNUMBER(P42),P42,Y42))^2-4*(0.5*(0.9*DATOS!$C$90*DATOS!$C$86/100/1000))*BH42))/(2*(0.5*(0.9*DATOS!$C$90*DATOS!$C$86/100/1000)))))*100+MAX(BX42,12*INDEX(TABLAS!$C$52:$C$58,MATCH(BV42,TABLAS!$B$52:$B$58,0)),IF(ISNUMBER(P42),P42,Y42)*100/16),IF(OR(AL42&lt;INDEX(TABLAS!$C$52:$C$58,MATCH(BV42,TABLAS!$B$52:$B$58,0)),AND(BW42&gt;=2,(AD42-2*AL42-BW42*INDEX(TABLAS!$C$52:$C$58,MATCH(BV42,TABLAS!$B$52:$B$58,0)))/MAX(BW42-1,1)&lt;2*INDEX(TABLAS!$C$52:$C$58,MATCH(BV42,TABLAS!$B$52:$B$58,0)))),INDEX(TABLAS!$I$52:$I$58,MATCH(BV42,TABLAS!$B$52:$B$58,0)),INDEX(TABLAS!$F$52:$F$58,MATCH(BV42,TABLAS!$B$52:$B$58,0)))),5)),IF(((4*((BC42*AR42*Y42^2*1E-4*DATOS!$C$86/100/1000)+((MAX(AY42,BA42)*AR42*Y42^2*1E-4*DATOS!$C$86/100/1000)+(IF(AND(AY42&gt;0,BA42&gt;0),MIN(AY42,BA42),MAX(AY42,BA42))*AR42*Y42^2*1E-4*DATOS!$C$86/100/1000))/2)+BH42-(IF(AND(AY42&gt;0,BA42&gt;0),MIN(AY42,BA42),MAX(AY42,BA42))*AR42*Y42^2*1E-4*DATOS!$C$86/100/1000))^2-16*((BC42*AR42*Y42^2*1E-4*DATOS!$C$86/100/1000)+((MAX(AY42,BA42)*AR42*Y42^2*1E-4*DATOS!$C$86/100/1000)+(IF(AND(AY42&gt;0,BA42&gt;0),MIN(AY42,BA42),MAX(AY42,BA42))*AR42*Y42^2*1E-4*DATOS!$C$86/100/1000))/2)*BH42)&lt;0,CEILING(AB42,5),CEILING(MAX(AB42*((4*((BC42*AR42*Y42^2*1E-4*DATOS!$C$86/100/1000)+((MAX(AY42,BA42)*AR42*Y42^2*1E-4*DATOS!$C$86/100/1000)+(IF(AND(AY42&gt;0,BA42&gt;0),MIN(AY42,BA42),MAX(AY42,BA42))*AR42*Y42^2*1E-4*DATOS!$C$86/100/1000))/2)+BH42-(IF(AND(AY42&gt;0,BA42&gt;0),MIN(AY42,BA42),MAX(AY42,BA42))*AR42*Y42^2*1E-4*DATOS!$C$86/100/1000))-SQRT(MAX(0,((4*((BC42*AR42*Y42^2*1E-4*DATOS!$C$86/100/1000)+((MAX(AY42,BA42)*AR42*Y42^2*1E-4*DATOS!$C$86/100/1000)+(IF(AND(AY42&gt;0,BA42&gt;0),MIN(AY42,BA42),MAX(AY42,BA42))*AR42*Y42^2*1E-4*DATOS!$C$86/100/1000))/2)+BH42-(IF(AND(AY42&gt;0,BA42&gt;0),MIN(AY42,BA42),MAX(AY42,BA42))*AR42*Y42^2*1E-4*DATOS!$C$86/100/1000))^2-16*((BC42*AR42*Y42^2*1E-4*DATOS!$C$86/100/1000)+((MAX(AY42,BA42)*AR42*Y42^2*1E-4*DATOS!$C$86/100/1000)+(IF(AND(AY42&gt;0,BA42&gt;0),MIN(AY42,BA42),MAX(AY42,BA42))*AR42*Y42^2*1E-4*DATOS!$C$86/100/1000))/2)*BH42))))/(8*MAX(((BC42*AR42*Y42^2*1E-4*DATOS!$C$86/100/1000)+((MAX(AY42,BA42)*AR42*Y42^2*1E-4*DATOS!$C$86/100/1000)+(IF(AND(AY42&gt;0,BA42&gt;0),MIN(AY42,BA42),MAX(AY42,BA42))*AR42*Y42^2*1E-4*DATOS!$C$86/100/1000))/2),1E-9))+MAX(BX42,12*INDEX(TABLAS!$C$52:$C$58,MATCH(BV42,TABLAS!$B$52:$B$58,0)),AB42/16),IF(OR(AL42&lt;INDEX(TABLAS!$C$52:$C$58,MATCH(BV42,TABLAS!$B$52:$B$58,0)),AND(BW42&gt;=2,(AD42-2*AL42-BW42*INDEX(TABLAS!$C$52:$C$58,MATCH(BV42,TABLAS!$B$52:$B$58,0)))/MAX(BW42-1,1)&lt;2*INDEX(TABLAS!$C$52:$C$58,MATCH(BV42,TABLAS!$B$52:$B$58,0)))),INDEX(TABLAS!$I$52:$I$58,MATCH(BV42,TABLAS!$B$52:$B$58,0)),INDEX(TABLAS!$F$52:$F$58,MATCH(BV42,TABLAS!$B$52:$B$58,0)))),5))))</f>
        <v/>
      </c>
      <c r="DD42" s="60" t="str">
        <f>IF(V42&lt;&gt;"SÍ","",IF(C42="VOLADO",0,IF(((4*((BD42*AR42*Y42^2*1E-4*DATOS!$C$86/100/1000)+((MAX(AZ42,BB42)*AR42*Y42^2*1E-4*DATOS!$C$86/100/1000)+(IF(AND(AZ42&gt;0,BB42&gt;0),MIN(AZ42,BB42),MAX(AZ42,BB42))*AR42*Y42^2*1E-4*DATOS!$C$86/100/1000))/2)+BJ42-(IF(AND(AZ42&gt;0,BB42&gt;0),MIN(AZ42,BB42),MAX(AZ42,BB42))*AR42*Y42^2*1E-4*DATOS!$C$86/100/1000))^2-16*((BD42*AR42*Y42^2*1E-4*DATOS!$C$86/100/1000)+((MAX(AZ42,BB42)*AR42*Y42^2*1E-4*DATOS!$C$86/100/1000)+(IF(AND(AZ42&gt;0,BB42&gt;0),MIN(AZ42,BB42),MAX(AZ42,BB42))*AR42*Y42^2*1E-4*DATOS!$C$86/100/1000))/2)*BJ42)&lt;0,CEILING(AC42,5),CEILING(MAX(AC42*((4*((BD42*AR42*Y42^2*1E-4*DATOS!$C$86/100/1000)+((MAX(AZ42,BB42)*AR42*Y42^2*1E-4*DATOS!$C$86/100/1000)+(IF(AND(AZ42&gt;0,BB42&gt;0),MIN(AZ42,BB42),MAX(AZ42,BB42))*AR42*Y42^2*1E-4*DATOS!$C$86/100/1000))/2)+BJ42-(IF(AND(AZ42&gt;0,BB42&gt;0),MIN(AZ42,BB42),MAX(AZ42,BB42))*AR42*Y42^2*1E-4*DATOS!$C$86/100/1000))-SQRT(MAX(0,((4*((BD42*AR42*Y42^2*1E-4*DATOS!$C$86/100/1000)+((MAX(AZ42,BB42)*AR42*Y42^2*1E-4*DATOS!$C$86/100/1000)+(IF(AND(AZ42&gt;0,BB42&gt;0),MIN(AZ42,BB42),MAX(AZ42,BB42))*AR42*Y42^2*1E-4*DATOS!$C$86/100/1000))/2)+BJ42-(IF(AND(AZ42&gt;0,BB42&gt;0),MIN(AZ42,BB42),MAX(AZ42,BB42))*AR42*Y42^2*1E-4*DATOS!$C$86/100/1000))^2-16*((BD42*AR42*Y42^2*1E-4*DATOS!$C$86/100/1000)+((MAX(AZ42,BB42)*AR42*Y42^2*1E-4*DATOS!$C$86/100/1000)+(IF(AND(AZ42&gt;0,BB42&gt;0),MIN(AZ42,BB42),MAX(AZ42,BB42))*AR42*Y42^2*1E-4*DATOS!$C$86/100/1000))/2)*BJ42))))/(8*MAX(((BD42*AR42*Y42^2*1E-4*DATOS!$C$86/100/1000)+((MAX(AZ42,BB42)*AR42*Y42^2*1E-4*DATOS!$C$86/100/1000)+(IF(AND(AZ42&gt;0,BB42&gt;0),MIN(AZ42,BB42),MAX(AZ42,BB42))*AR42*Y42^2*1E-4*DATOS!$C$86/100/1000))/2),1E-9))+MAX(CN42,12*INDEX(TABLAS!$C$52:$C$58,MATCH(CL42,TABLAS!$B$52:$B$58,0)),AC42/16),IF(OR(AL42&lt;INDEX(TABLAS!$C$52:$C$58,MATCH(CL42,TABLAS!$B$52:$B$58,0)),AND(CM42&gt;=2,(DATOS!$C$83-2*AL42-CM42*INDEX(TABLAS!$C$52:$C$58,MATCH(CL42,TABLAS!$B$52:$B$58,0)))/MAX(CM42-1,1)&lt;2*INDEX(TABLAS!$C$52:$C$58,MATCH(CL42,TABLAS!$B$52:$B$58,0)))),INDEX(TABLAS!$I$52:$I$58,MATCH(CL42,TABLAS!$B$52:$B$58,0)),INDEX(TABLAS!$F$52:$F$58,MATCH(CL42,TABLAS!$B$52:$B$58,0)))),5))))</f>
        <v/>
      </c>
      <c r="DE42" s="55" t="str">
        <f>IF(V42&lt;&gt;"SÍ","",IF(AND(C42="PERIMETRAL",BW42&gt;=2,AS42-AT42&gt;0,BA42*AR42*Y42^2*1E-4*DATOS!$C$86/100/1000&gt;DATOS!$C$29*INDEX(TABLAS!$D$52:$D$58,MATCH(BV42,TABLAS!$B$52:$B$58,0))*DATOS!$C$14*(BX42-INDEX(TABLAS!$D$52:$D$58,MATCH(BV42,TABLAS!$B$52:$B$58,0))*DATOS!$C$14/(DATOS!$C$21*AF42)/2)/1E5),"SÍ","NO"))</f>
        <v/>
      </c>
      <c r="DF42" s="55" t="str">
        <f>IF(V42&lt;&gt;"SÍ","",IF(AND(C42="PERIMETRAL",CM42&gt;=2,AT42&gt;0,BB42*AR42*Y42^2*1E-4*DATOS!$C$86/100/1000&gt;DATOS!$C$29*INDEX(TABLAS!$D$52:$D$58,MATCH(CL42,TABLAS!$B$52:$B$58,0))*DATOS!$C$14*(CN42-INDEX(TABLAS!$D$52:$D$58,MATCH(CL42,TABLAS!$B$52:$B$58,0))*DATOS!$C$14/(DATOS!$C$21*AG42)/2)/1E5),"SÍ","NO"))</f>
        <v/>
      </c>
      <c r="DG42" s="63" t="str">
        <f>IF(V42&lt;&gt;"SÍ","",IF(OR(C42="VOLADO",AS42=0),"—",IF(AND(AND(1.25*INDEX(TABLAS!$G$52:$G$58,MATCH(MAX(BN42,CD42),TABLAS!$B$52:$B$58,0))&lt;=(DATOS!$C$75-DATOS!$C$63),(DATOS!$C$75-DATOS!$C$63)&gt;=15,INDEX(TABLAS!$G$52:$G$58,MATCH(MAX(BV42,CL42),TABLAS!$B$52:$B$58,0))&lt;=(DATOS!$C$75-DATOS!$C$63)),8*INDEX(TABLAS!$C$52:$C$58,MATCH(MAX(MAX(BN42,CD42),MAX(BV42,CL42)),TABLAS!$B$52:$B$58,0))&lt;=DATOS!$C$76-2*DATOS!$C$63),"CUMPLE (gancho de 180°)",IF(AND(1.25*INDEX(TABLAS!$G$52:$G$58,MATCH(MAX(BN42,CD42),TABLAS!$B$52:$B$58,0))&lt;=(DATOS!$C$75-DATOS!$C$63),(DATOS!$C$75-DATOS!$C$63)&gt;=15,INDEX(TABLAS!$G$52:$G$58,MATCH(MAX(BV42,CL42),TABLAS!$B$52:$B$58,0))&lt;=(DATOS!$C$75-DATOS!$C$63)),"NO CUMPLE: el gancho de 180° (8·d_b) no cabe en el peralte de la dala de borde","NO CUMPLE: dala de borde ≥ "&amp;TEXT(CEILING(MAX(1.25*INDEX(TABLAS!$G$52:$G$58,MATCH(MAX(BN42,CD42),TABLAS!$B$52:$B$58,0)),15,INDEX(TABLAS!$G$52:$G$58,MATCH(MAX(BV42,CL42),TABLAS!$B$52:$B$58,0)))+DATOS!$C$63,5),"0")&amp;" cm de ancho"&amp;IF(8*INDEX(TABLAS!$C$52:$C$58,MATCH(MAX(MAX(BN42,CD42),MAX(BV42,CL42)),TABLAS!$B$52:$B$58,0))&lt;=DATOS!$C$76-2*DATOS!$C$63,""," y más peralte para el gancho")))))</f>
        <v/>
      </c>
      <c r="DH42" s="59" t="str">
        <f>IF(V42&lt;&gt;"SÍ","",MAX(0,INT((E42*100-DATOS!$C$87-IF(AND(C42="PERIMETRAL",I42="DISCONTINUO"),MAX(0,DATOS!$C$75-DATOS!$C$87),0)-IF(AND(C42="PERIMETRAL",J42="DISCONTINUO"),MAX(0,DATOS!$C$75-DATOS!$C$87),0)+DATOS!$C$86-IF(X42="X",DATOS!$C$81,AE42))/DATOS!$C$86)))</f>
        <v/>
      </c>
      <c r="DI42" s="59" t="str">
        <f>IF(V42&lt;&gt;"SÍ","",MAX(0,INT((F42*100-DATOS!$C$87-IF(AND(C42="PERIMETRAL",G42="DISCONTINUO"),MAX(0,DATOS!$C$75-DATOS!$C$87),0)-IF(AND(C42="PERIMETRAL",H42="DISCONTINUO"),MAX(0,DATOS!$C$75-DATOS!$C$87),0)+DATOS!$C$86-IF(X42="Y",DATOS!$C$81,AE42))/DATOS!$C$86)))</f>
        <v/>
      </c>
      <c r="DJ42" s="57" t="str">
        <f>IF(V42&lt;&gt;"SÍ","",IF(DH42&gt;0,IF(AND(C42="PERIMETRAL",I42="DISCONTINUO"),MAX(0,DATOS!$C$75-DATOS!$C$87),0)+(E42*100-DATOS!$C$87-IF(AND(C42="PERIMETRAL",I42="DISCONTINUO"),MAX(0,DATOS!$C$75-DATOS!$C$87),0)-IF(AND(C42="PERIMETRAL",J42="DISCONTINUO"),MAX(0,DATOS!$C$75-DATOS!$C$87),0)-(DH42*IF(X42="X",DATOS!$C$81,AE42)+(DH42-1)*(DATOS!$C$86-IF(X42="X",DATOS!$C$81,AE42))))/2,E42*100/2))</f>
        <v/>
      </c>
      <c r="DK42" s="57" t="str">
        <f>IF(V42&lt;&gt;"SÍ","",IF(DH42&gt;0,IF(AND(C42="PERIMETRAL",J42="DISCONTINUO"),MAX(0,DATOS!$C$75-DATOS!$C$87),0)+(E42*100-DATOS!$C$87-IF(AND(C42="PERIMETRAL",I42="DISCONTINUO"),MAX(0,DATOS!$C$75-DATOS!$C$87),0)-IF(AND(C42="PERIMETRAL",J42="DISCONTINUO"),MAX(0,DATOS!$C$75-DATOS!$C$87),0)-(DH42*IF(X42="X",DATOS!$C$81,AE42)+(DH42-1)*(DATOS!$C$86-IF(X42="X",DATOS!$C$81,AE42))))/2,E42*100/2))</f>
        <v/>
      </c>
      <c r="DL42" s="57" t="str">
        <f>IF(V42&lt;&gt;"SÍ","",IF(DI42&gt;0,IF(AND(C42="PERIMETRAL",G42="DISCONTINUO"),MAX(0,DATOS!$C$75-DATOS!$C$87),0)+(F42*100-DATOS!$C$87-IF(AND(C42="PERIMETRAL",G42="DISCONTINUO"),MAX(0,DATOS!$C$75-DATOS!$C$87),0)-IF(AND(C42="PERIMETRAL",H42="DISCONTINUO"),MAX(0,DATOS!$C$75-DATOS!$C$87),0)-(DI42*IF(X42="Y",DATOS!$C$81,AE42)+(DI42-1)*(DATOS!$C$86-IF(X42="Y",DATOS!$C$81,AE42))))/2,F42*100/2))</f>
        <v/>
      </c>
      <c r="DM42" s="57" t="str">
        <f>IF(V42&lt;&gt;"SÍ","",IF(DI42&gt;0,IF(AND(C42="PERIMETRAL",H42="DISCONTINUO"),MAX(0,DATOS!$C$75-DATOS!$C$87),0)+(F42*100-DATOS!$C$87-IF(AND(C42="PERIMETRAL",G42="DISCONTINUO"),MAX(0,DATOS!$C$75-DATOS!$C$87),0)-IF(AND(C42="PERIMETRAL",H42="DISCONTINUO"),MAX(0,DATOS!$C$75-DATOS!$C$87),0)-(DI42*IF(X42="Y",DATOS!$C$81,AE42)+(DI42-1)*(DATOS!$C$86-IF(X42="Y",DATOS!$C$81,AE42))))/2,F42*100/2))</f>
        <v/>
      </c>
      <c r="DN42" s="59" t="str">
        <f>IF(V42&lt;&gt;"SÍ","",IF(NOT(AND(C42="VOLADO",AD42&gt;DATOS!$C$83)),0,IF(INDEX(TABLAS!$C$52:$C$58,MATCH(BV42,TABLAS!$B$52:$B$58,0))&lt;=DATOS!$C$83-2*DATOS!$C$63,1,0)))</f>
        <v/>
      </c>
      <c r="DO42" s="58" t="str">
        <f>IF(V42&lt;&gt;"SÍ","",IF(NOT(AND(C42="VOLADO",AD42&gt;DATOS!$C$83)),0,((DATOS!$C$85-MAX(DATOS!$C$63,(DATOS!$C$84-2*DATOS!$C$97)/2)-2*DATOS!$C$97-INDEX(TABLAS!$C$52:$C$58,MATCH(MAX(4,DATOS!$C$72),TABLAS!$B$52:$B$58,0))-INDEX(TABLAS!$C$52:$C$58,MATCH(BV42,TABLAS!$B$52:$B$58,0))/2)-IF(AND((DATOS!$C$85-MAX(DATOS!$C$63,(DATOS!$C$84-2*DATOS!$C$97)/2)-2*DATOS!$C$97-INDEX(TABLAS!$C$52:$C$58,MATCH(MAX(4,DATOS!$C$72),TABLAS!$B$52:$B$58,0))-INDEX(TABLAS!$C$52:$C$58,MATCH(BV42,TABLAS!$B$52:$B$58,0))/2)&lt;=20,DATOS!$C$65&lt;&gt;"SÍ"),2,0))))</f>
        <v/>
      </c>
      <c r="DP42" s="56" t="str">
        <f>IF(V42&lt;&gt;"SÍ","",IF(OR(NOT(AND(C42="VOLADO",AD42&gt;DATOS!$C$83)),DN42&lt;1),0,IF(0.003*(DO42-((DN42*INDEX(TABLAS!$D$52:$D$58,MATCH(BV42,TABLAS!$B$52:$B$58,0)))*DATOS!$C$14/(DATOS!$C$21*AG42)/DATOS!$C$22))/((DN42*INDEX(TABLAS!$D$52:$D$58,MATCH(BV42,TABLAS!$B$52:$B$58,0)))*DATOS!$C$14/(DATOS!$C$21*AG42)/DATOS!$C$22)&lt;0.005,0,DATOS!$C$29*(DN42*INDEX(TABLAS!$D$52:$D$58,MATCH(BV42,TABLAS!$B$52:$B$58,0)))*DATOS!$C$14*(DO42-(DN42*INDEX(TABLAS!$D$52:$D$58,MATCH(BV42,TABLAS!$B$52:$B$58,0)))*DATOS!$C$14/(DATOS!$C$21*AG42)/2)/1E5)))</f>
        <v/>
      </c>
      <c r="DQ42" s="56" t="str">
        <f>IF(V42&lt;&gt;"SÍ","",IF(OR(NOT(AND(C42="VOLADO",AD42&gt;DATOS!$C$83)),DN42&lt;1),0,DATOS!$C$30*2*MIN(1,SQRT(2/(1+0.04*DO42)))*((DN42*INDEX(TABLAS!$D$52:$D$58,MATCH(BV42,TABLAS!$B$52:$B$58,0)))/(AG42*DO42))^(1/3)*SQRT(DATOS!$C$13)*AG42*DO42/1000))</f>
        <v/>
      </c>
      <c r="DR42" s="56" t="str">
        <f>IF(V42&lt;&gt;"SÍ","",IF(NOT(AND(C42="VOLADO",AD42&gt;DATOS!$C$83)),0,IF((BH42-DP42)&lt;=0,0,IF(DP42&lt;=0,IF(ISNUMBER(P42),P42,Y42),IF(((0.9*DATOS!$C$90*DATOS!$C$86/100/1000)*IF(ISNUMBER(P42),P42,Y42)/2+BH42/IF(ISNUMBER(P42),P42,Y42))^2-4*((0.9*DATOS!$C$90*DATOS!$C$86/100/1000)/2)*(BH42-DP42)&lt;0,IF(ISNUMBER(P42),P42,Y42),MIN(IF(ISNUMBER(P42),P42,Y42),(((0.9*DATOS!$C$90*DATOS!$C$86/100/1000)*IF(ISNUMBER(P42),P42,Y42)/2+BH42/IF(ISNUMBER(P42),P42,Y42))-SQRT(((0.9*DATOS!$C$90*DATOS!$C$86/100/1000)*IF(ISNUMBER(P42),P42,Y42)/2+BH42/IF(ISNUMBER(P42),P42,Y42))^2-4*((0.9*DATOS!$C$90*DATOS!$C$86/100/1000)/2)*(BH42-DP42)))/(2*((0.9*DATOS!$C$90*DATOS!$C$86/100/1000)/2))))))))</f>
        <v/>
      </c>
      <c r="DS42" s="56" t="str">
        <f>IF(V42&lt;&gt;"SÍ","",IF(NOT(AND(C42="VOLADO",AD42&gt;DATOS!$C$83)),0,IF(DQ42&lt;=(BH42/((IF(ISNUMBER(P42),P42,Y42)*100-DATOS!$C$87)/100)),IF(ISNUMBER(P42),P42,Y42),MIN(IF(ISNUMBER(P42),P42,Y42),MAX(0,(IF(ISNUMBER(P42),P42,Y42)*100-DATOS!$C$87)/200-(DQ42-(BH42/((IF(ISNUMBER(P42),P42,Y42)*100-DATOS!$C$87)/100)))/((0.95-0.5*IF(N(Q42)&gt;0,MIN(IF(ISNUMBER(P42),P42,Y42),Q42)/MAX(IF(ISNUMBER(P42),P42,Y42),Q42),0))*DATOS!$C$33*AR42*DATOS!$C$86/100/1000))))))</f>
        <v/>
      </c>
      <c r="DT42" s="56" t="str">
        <f>IF(V42&lt;&gt;"SÍ","",IF(NOT(AND(C42="VOLADO",AD42&gt;DATOS!$C$83)),0,(BH42/((IF(ISNUMBER(P42),P42,Y42)*100-DATOS!$C$87)/100))+((0.95-0.5*IF(N(Q42)&gt;0,MIN(IF(ISNUMBER(P42),P42,Y42),Q42)/MAX(IF(ISNUMBER(P42),P42,Y42),Q42),0))*DATOS!$C$33*AR42*DATOS!$C$86/100/1000)*MAX(0,(IF(ISNUMBER(P42),P42,Y42)*100-DATOS!$C$87)/200-BX42/100)))</f>
        <v/>
      </c>
      <c r="DU42" s="59" t="str">
        <f>IF(V42&lt;&gt;"SÍ","",IF(NOT(AND(C42="VOLADO",AD42&gt;DATOS!$C$83)),0,MIN(FLOOR(100*IF(ISNUMBER(P42),P42,Y42)-DATOS!$C$63,5),CEILING(100*MIN(IF(ISNUMBER(P42),P42,Y42),MAX(IF(DR42&gt;0,DR42+IF(BW42&gt;=2,MAX(DO42,12*INDEX(TABLAS!$C$52:$C$58,MATCH(BV42,TABLAS!$B$52:$B$58,0)))/100,0),0),DS42,IF(BW42&gt;=2,INDEX(TABLAS!$F$52:$F$58,MATCH(BV42,TABLAS!$B$52:$B$58,0))/100,0))),5))))</f>
        <v/>
      </c>
      <c r="DV42" s="60" t="str">
        <f>IF(V42&lt;&gt;"SÍ","",IF(NOT(AND(C42="VOLADO",AD42&gt;DATOS!$C$83)),0,IF(DU42&lt;=0,0,CEILING(DU42/DATOS!$C$86,1))))</f>
        <v/>
      </c>
      <c r="DW42" s="61" t="str">
        <f>IF(V42&lt;&gt;"SÍ","",IF(C42&lt;&gt;"VOLADO","—",IF(AD42&lt;=DATOS!$C$83,"— (mismo b_w que el respaldo)",IF(DT42&gt;CS42,"NO CUMPLE: cortante de la nervadura ancha junto al apoyo ("&amp;TEXT(DT42,"0.00")&amp;" &gt; "&amp;TEXT(CS42,"0.00")&amp;" t)",IF(DU42&gt;=100*IF(ISNUMBER(P42),P42,Y42),"CUMPLE — todas las nervaduras del respaldo ‖ al volado con b_w = "&amp;AD42&amp;" cm","CUMPLE — "&amp;DV42&amp;" hilera(s) del respaldo con nervaduras de b_w = "&amp;AD42&amp;" cm (casetón "&amp;AE42&amp;" cm), hasta "&amp;TEXT(DU42/100,"0.00")&amp;" m del paño")))))</f>
        <v/>
      </c>
      <c r="DX42" s="69" t="str">
        <f>IF(V42&lt;&gt;"SÍ","",IF(BO42=0,"NO ALCANZA",BO42&amp;" No. "&amp;BN42&amp;IF(BO42&gt;1," corridas"," corrida")))</f>
        <v/>
      </c>
      <c r="DY42" s="69" t="str">
        <f>IF(V42&lt;&gt;"SÍ","",IF(BW42=0,"NO ALCANZA",IF(AND(C42="VOLADO",AD42&gt;DATOS!$C$83,BW42&gt;=2),"1 No. "&amp;BV42&amp;" corrida de la orilla al respaldo ("&amp;IF(DC42&gt;=FLOOR(100*IF(ISNUMBER(P42),P42,Y42)-DATOS!$C$63,5),"hasta su apoyo lejano, con gancho","entra "&amp;TEXT(DC42/100,"0.00")&amp;" m desde el paño")&amp;") + "&amp;(BW42-1)&amp;" bastón No. "&amp;BV42&amp;" hasta "&amp;TEXT(DU42/100,"0.00")&amp;" m del paño (fin de la nervadura ancha)",IF(C42="VOLADO",BW42&amp;" No. "&amp;BV42&amp;" de la orilla al respaldo ("&amp;IF(DC42&gt;=FLOOR(100*IF(ISNUMBER(P42),P42,Y42)-DATOS!$C$63,5),"hasta su apoyo lejano, con gancho","entran "&amp;TEXT(DC42/100,"0.00")&amp;" m desde el paño")&amp;")","1 No. "&amp;BV42&amp;" corrida"&amp;IF(BW42&gt;1," + "&amp;(BW42-1)&amp;" bastón No. "&amp;BV42&amp;" L = "&amp;TEXT(DC42/100,"0.00")&amp;" m desde el paño","")))))</f>
        <v/>
      </c>
      <c r="DZ42" s="69" t="str">
        <f>IF(V42&lt;&gt;"SÍ","",IF(CE42=0,"NO ALCANZA",CE42&amp;" No. "&amp;CD42&amp;IF(CE42&gt;1," corridas"," corrida")))</f>
        <v/>
      </c>
      <c r="EA42" s="69" t="str">
        <f>IF(V42&lt;&gt;"SÍ","",IF(CM42=0,"NO ALCANZA",IF(C42="VOLADO","1 No. "&amp;CL42&amp;" corrida (repartición)","1 No. "&amp;CL42&amp;" corrida"&amp;IF(CM42&gt;1," + "&amp;(CM42-1)&amp;" bastón No. "&amp;CL42&amp;" L = "&amp;TEXT(DD42/100,"0.00")&amp;" m desde el paño",""))))</f>
        <v/>
      </c>
      <c r="EB42" s="67" t="str">
        <f>IF(B42="","",IF(V42&lt;&gt;"SÍ","FALTAN DATOS: tipo, a_x, a_y, destino y, en volados, L_b",IF(L42="NO MONOLÍTICO (caso II)","FUERA DE ALCANCE: caso II no transcrito",IF(AND(C42="VOLADO",W42="?"),"REVISAR: el volado lleva UN solo borde CONTINUO (el empotrado)",IF(MIN(DH42,DI42)=0,"REVISAR: no cabe un casetón (tablero macizo): diséñalo en MACIZAS",IF(AND(MAX(BR42,BZ42,CH42,CP42)&lt;=1,NOT(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T(OR(AND(ISNUMBER(BS42),BS42&lt;0.005),AND(ISNUMBER(CA42),CA42&lt;0.005),AND(ISNUMBER(CI42),CI42&lt;0.005),AND(ISNUMBER(CQ42),CQ42&lt;0.005))),NOT(LEFT(DW42,2)="NO"),DA42="CUMPLE",DB42="CUMPLE",LEFT(CU42,2)&lt;&gt;"NO",LEFT(DATOS!$C$132,6)="CUMPLE"),IF(LEFT(CU42,6)="CUMPLE","CUMPLE","CUMPLE — "&amp;CU42)&amp;IF(LEFT(BK42,5)="FUERA"," · fuera de 3.4.2.1 c)","")&amp;IF(LEFT(DG42,2)="NO"," · REVISAR anclaje en borde discontinuo","")&amp;IF(DV42&gt;0," · respaldo: "&amp;DV42&amp;" hilera(s) de b_w "&amp;AD42&amp;" cm",""),IF(AND(MAX(BR42,BZ42,CH42,CP42)&lt;=1,NOT(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T(OR(AND(ISNUMBER(BS42),BS42&lt;0.005),AND(ISNUMBER(CA42),CA42&lt;0.005),AND(ISNUMBER(CI42),CI42&lt;0.005),AND(ISNUMBER(CQ42),CQ42&lt;0.005))),NOT(LEFT(DW42,2)="NO"),DA42="CALCULAR FLECHA",LEFT(CU42,2)&lt;&gt;"NO",LEFT(DATOS!$C$132,6)="CUMPLE"),"REVISAR: calcular flecha (h_eq &lt; h mín.)"&amp;IF(LEFT(BK42,5)="FUERA"," · fuera de 3.4.2.1 c)","")&amp;IF(LEFT(DG42,2)="NO"," · REVISAR anclaje en borde discontinuo","")&amp;IF(DV42&gt;0," · respaldo: "&amp;DV42&amp;" hilera(s) de b_w "&amp;AD42&amp;" cm",""),"NO CUMPLE: "&amp;IF(MAX(BR42,BZ42,CH42,CP42)&gt;1,"flexión ","")&amp;IF(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 caben ","")&amp;IF(OR(AND(ISNUMBER(BS42),BS42&lt;0.005),AND(ISNUMBER(CA42),CA42&lt;0.005),AND(ISNUMBER(CI42),CI42&lt;0.005),AND(ISNUMBER(CQ42),CQ42&lt;0.005)),"ε_t &lt; 0.005 ","")&amp;IF(LEFT(CU42,2)="NO","cortante ","")&amp;IF(DA42="NO CUMPLE","peralte ","")&amp;IF(DB42&lt;&gt;"CUMPLE","capa &lt; 6 cm ","")&amp;IF(LEFT(DATOS!$C$132,6)&lt;&gt;"CUMPLE","capa o malla (DATOS sección 7) ","")&amp;IF(LEFT(DW42,2)="NO","respaldo del volado",""))))))))</f>
        <v/>
      </c>
      <c r="EC42" s="70" t="str">
        <f>IF(V42&lt;&gt;"SÍ","",IF(LEFT(B42,7)="EJEMPLO","EJEMPLO de la hoja de Casa Rocha: bórralo o sobrescríbelo. ","")&amp;IF(AND(C42="PERIMETRAL",MIN(DH42,DI42)=0),"No cabe un casetón en el claro corto: es un tablero macizo, diséñalo en MACIZAS. ","")&amp;IF(AND(AJ42="NO",C42="PERIMETRAL"),"No cumple 6.7.8.1.4 (a_c = "&amp;MAX(DATOS!$C$81,AE42)&amp;" cm &gt; claro corto/6 = "&amp;TEXT(Y42*100/6,"0")&amp;" cm): se diseña como losa apoyada en vigas (6.7.8.1.9): r de viga = "&amp;DATOS!$C$63&amp;" cm y V_cR sin ×1.1. Para que cuente como encasetonada: casetón de "&amp;TEXT(FLOOR(MIN(80,Y42*100/6),1),"0")&amp;" cm o menor. ","")&amp;IF(C42="VOLADO","Volado de "&amp;TEXT(Y42,"0.00")&amp;" m empotrado en el borde "&amp;LOWER(W42)&amp;IF(N(O42)&gt;0,", con "&amp;TEXT(O42,"0.0")&amp;" kg/m en la orilla","")&amp;". Lecho inferior con r_ext. Si la orilla carga pretil u otro elemento frágil, calcula la flecha (13.4). El acero superior entra al respaldo de "&amp;TEXT(IF(ISNUMBER(P42),P42,Y42),"0.00")&amp;" m"&amp;" hasta pasar M = 0 con 0.9·PP sin carga viva; si ahí no se anula, llega al apoyo lejano y se ancla con gancho (NTC-Criterios 3.4.1 c y 5.1.2.2). "&amp;IF(AD42&gt;DATOS!$C$83,"Respaldo: "&amp;DW42&amp;". ",""),"")&amp;IF(AND(C42="VOLADO",((0.9*DATOS!$C$90*DATOS!$C$86/100/1000)*IF(ISNUMBER(P42),P42,Y42)/2-BH42/IF(ISNUMBER(P42),P42,Y42))&lt;0),"Con 0.9·PP y sin carga viva el apoyo lejano del respaldo levanta (R = "&amp;TEXT(-((0.9*DATOS!$C$90*DATOS!$C$86/100/1000)*IF(ISNUMBER(P42),P42,Y42)/2-BH42/IF(ISNUMBER(P42),P42,Y42)),"0.00")&amp;" t por nervadura): ancla ahí la corrida con gancho y revisa ese apoyo a tensión. ","")&amp;IF(LEFT(BK42,5)="FUERA","El M⁻ del vecino difiere más de 50 % (3.4.2.1 c): distribuye el desequilibrio (3.4.3.1) o confirma con un modelo; se arma con el mayor. ","")&amp;IF(OR(DE42="SÍ",DF42="SÍ"),"El M⁻ del borde discontinuo pide bastón también ahí (con gancho). ","")&amp;IF(LEFT(DG42,2)="NO","Anclaje: "&amp;DG42&amp;" (6.7.8.1.7). ","")&amp;IF(AND(C42="PERIMETRAL",AT42&gt;=1,AS42-AT42&gt;=1),"Esquinas exteriores sobre muro: refuerzo de esquina arriba y abajo en L_largo/5 (6.7.7.3.1). ",""))</f>
        <v/>
      </c>
    </row>
    <row r="43" ht="33" customHeight="1">
      <c r="A43" s="50">
        <f>IF(B43="",0,1)+A42</f>
        <v>4</v>
      </c>
      <c r="B43" s="29" t="n"/>
      <c r="C43" s="51" t="n"/>
      <c r="D43" s="29" t="n"/>
      <c r="E43" s="52" t="n"/>
      <c r="F43" s="52" t="n"/>
      <c r="G43" s="51" t="n"/>
      <c r="H43" s="51" t="n"/>
      <c r="I43" s="51" t="n"/>
      <c r="J43" s="51" t="n"/>
      <c r="K43" s="51" t="n"/>
      <c r="L43" s="51" t="n"/>
      <c r="M43" s="53" t="n"/>
      <c r="N43" s="53" t="n"/>
      <c r="O43" s="54" t="n"/>
      <c r="P43" s="52" t="n"/>
      <c r="Q43" s="52" t="n"/>
      <c r="R43" s="53" t="n"/>
      <c r="S43" s="54" t="n"/>
      <c r="T43" s="52" t="n"/>
      <c r="U43" s="52" t="n"/>
      <c r="V43" s="55" t="str">
        <f>IF(B43="","",IF(AND(OR(C43="PERIMETRAL",C43="VOLADO"),ISNUMBER(E43),ISNUMBER(F43),E43&gt;0,F43&gt;0,OR(ISNUMBER(N43),ISNUMBER(MATCH(D43,DATOS!$B$46:$B$58,0))),OR(C43&lt;&gt;"VOLADO",N(P43)&gt;0)),"SÍ","NO"))</f>
        <v/>
      </c>
      <c r="W43" s="55" t="str">
        <f>IF(V43&lt;&gt;"SÍ","",IF(C43&lt;&gt;"VOLADO","—",IF(COUNTIF(G43:J43,"CONTINUO")&lt;&gt;1,"?",IF(G43="CONTINUO","INFERIOR",IF(H43="CONTINUO","SUPERIOR",IF(I43="CONTINUO","IZQUIERDO","DERECHO"))))))</f>
        <v/>
      </c>
      <c r="X43" s="55" t="str">
        <f>IF(V43&lt;&gt;"SÍ","",IF(C43="VOLADO",IF(OR(W43="IZQUIERDO",W43="DERECHO"),"X","Y"),IF(E43&lt;=F43,"X","Y")))</f>
        <v/>
      </c>
      <c r="Y43" s="56" t="str">
        <f>IF(V43&lt;&gt;"SÍ","",IF(C43="VOLADO",IF(X43="X",E43,F43),MIN(E43,F43)))</f>
        <v/>
      </c>
      <c r="Z43" s="56" t="str">
        <f>IF(V43&lt;&gt;"SÍ","",IF(C43="VOLADO",IF(X43="X",F43,E43),MAX(E43,F43)))</f>
        <v/>
      </c>
      <c r="AA43" s="56" t="str">
        <f>IF(V43&lt;&gt;"SÍ","",MIN(Y43,Z43)/MAX(Y43,Z43))</f>
        <v/>
      </c>
      <c r="AB43" s="57" t="str">
        <f>IF(V43&lt;&gt;"SÍ","",MAX(1,Y43*100-IF(C43="VOLADO",DATOS!$C$87/2,DATOS!$C$87)))</f>
        <v/>
      </c>
      <c r="AC43" s="57" t="str">
        <f>IF(V43&lt;&gt;"SÍ","",MAX(1,Z43*100-DATOS!$C$87))</f>
        <v/>
      </c>
      <c r="AD43" s="57" t="str">
        <f>IF(V43&lt;&gt;"SÍ","",IF(ISNUMBER(R43),R43,DATOS!$C$83))</f>
        <v/>
      </c>
      <c r="AE43" s="57" t="str">
        <f>IF(V43&lt;&gt;"SÍ","",MAX(0,DATOS!$C$86-AD43))</f>
        <v/>
      </c>
      <c r="AF43" s="57" t="str">
        <f>IF(V43&lt;&gt;"SÍ","",IF(OR(DATOS!$C$65="SÍ",AD43&gt;=20),AD43,AD43-2))</f>
        <v/>
      </c>
      <c r="AG43" s="57" t="str">
        <f>IF(V43&lt;&gt;"SÍ","",IF(OR(DATOS!$C$65="SÍ",DATOS!$C$83&gt;=20),DATOS!$C$83,DATOS!$C$83-2))</f>
        <v/>
      </c>
      <c r="AH43" s="57" t="str">
        <f>IF(V43&lt;&gt;"SÍ","",MIN(DATOS!$C$86,AD43+2*MIN(8*DATOS!$C$84,AE43/2,AB43/8)))</f>
        <v/>
      </c>
      <c r="AI43" s="57" t="str">
        <f>IF(V43&lt;&gt;"SÍ","",MIN(DATOS!$C$86,DATOS!$C$83+2*MIN(8*DATOS!$C$84,DATOS!$C$81/2,AC43/8)))</f>
        <v/>
      </c>
      <c r="AJ43" s="55" t="str">
        <f>IF(V43&lt;&gt;"SÍ","",IF(AND(C43="PERIMETRAL",Y43*100&gt;=6*MAX(DATOS!$C$81,AE43),MAX(DATOS!$C$81,AE43)&lt;=80,MIN(DATOS!$C$83,AD43)&gt;=10,DATOS!$C$85&lt;=3.5*MIN(DATOS!$C$83,AD43),DATOS!$C$84&gt;=MAX(MAX(DATOS!$C$81,AE43)/13,5)),"SÍ","NO"))</f>
        <v/>
      </c>
      <c r="AK43" s="57" t="str">
        <f>IF(V43&lt;&gt;"SÍ","",IF(C43="VOLADO",DATOS!$C$64,IF(AJ43="NO",DATOS!$C$63,DATOS!$C$62)))</f>
        <v/>
      </c>
      <c r="AL43" s="57" t="str">
        <f>IF(V43&lt;&gt;"SÍ","",IF(OR(AND(AN43="SÍ",DATOS!$C$66="SÍ"),AND(C43="VOLADO",DATOS!$C$67="SÍ")),DATOS!$C$64,IF(AJ43="NO",DATOS!$C$63,DATOS!$C$62)))</f>
        <v/>
      </c>
      <c r="AM43" s="58" t="str">
        <f>IF(V43&lt;&gt;"SÍ","",MAX(AL43,(DATOS!$C$84-2*DATOS!$C$97)/2))</f>
        <v/>
      </c>
      <c r="AN43" s="55" t="str">
        <f>IF(V43&lt;&gt;"SÍ","",IFERROR(INDEX(DATOS!$D$46:$D$58,MATCH(D43,DATOS!$B$46:$B$58,0)),"NO"))</f>
        <v/>
      </c>
      <c r="AO43" s="59" t="str">
        <f>IF(V43&lt;&gt;"SÍ","",IF(ISNUMBER(N43),N43,IFERROR(INDEX(DATOS!$C$46:$C$58,MATCH(D43,DATOS!$B$46:$B$58,0)),0)))</f>
        <v/>
      </c>
      <c r="AP43" s="59" t="str">
        <f>IF(V43&lt;&gt;"SÍ","",IF(MIN(DH43,DI43)=0,DATOS!$C$85/100*DATOS!$C$16*1000,(DATOS!$C$85/100-(AE43*DATOS!$C$81/DATOS!$C$86^2)*DATOS!$C$82/100)*DATOS!$C$16*1000+(AE43*DATOS!$C$81/DATOS!$C$86^2)*DATOS!$C$82/100*DATOS!$C$17*1000)+DATOS!$C$37+DATOS!$C$38)</f>
        <v/>
      </c>
      <c r="AQ43" s="59" t="str">
        <f>IF(V43&lt;&gt;"SÍ","",AP43+N(M43))</f>
        <v/>
      </c>
      <c r="AR43" s="60" t="str">
        <f>IF(V43&lt;&gt;"SÍ","",MAX(DATOS!$C$26*AQ43+DATOS!$C$27*AO43,IF(AN43="SÍ",DATOS!$C$28*(AQ43+DATOS!$C$41),0)))</f>
        <v/>
      </c>
      <c r="AS43" s="59" t="str">
        <f>IF(V43&lt;&gt;"SÍ","",(G43="DISCONTINUO")+(H43="DISCONTINUO")+(I43="DISCONTINUO")+(J43="DISCONTINUO"))</f>
        <v/>
      </c>
      <c r="AT43" s="59" t="str">
        <f>IF(V43&lt;&gt;"SÍ","",IF(X43="X",(G43="DISCONTINUO")+(H43="DISCONTINUO"),(I43="DISCONTINUO")+(J43="DISCONTINUO")))</f>
        <v/>
      </c>
      <c r="AU43" s="55" t="str">
        <f>IF(V43&lt;&gt;"SÍ","",IF(AS43=0,"INTERIOR",IF(AS43=1,IF(AT43=1,"BORDE-CORTO","BORDE-LARGO"),IF(AS43=2,IF(AT43=1,"ESQUINA",IF(AT43=2,"EXTREMO-LARGO","EXTREMO-CORTO")),IF(AS43=3,IF(AT43=2,"EXTREMO-LARGO","EXTREMO-CORTO"),"AISLADO")))))</f>
        <v/>
      </c>
      <c r="AV43" s="61" t="str">
        <f>IF(V43&lt;&gt;"SÍ","",IF(OR(K43="",K43="AUTO"),AU43,K43))</f>
        <v/>
      </c>
      <c r="AW43" s="59" t="str">
        <f>IF(V43&lt;&gt;"SÍ","",MATCH(AA43,TABLAS!$D$5:$J$5,1))</f>
        <v/>
      </c>
      <c r="AX43" s="58" t="str">
        <f>IF(V43&lt;&gt;"SÍ","",IF(AW43&gt;=7,0,(AA43-INDEX(TABLAS!$D$5:$J$5,AW43))/(INDEX(TABLAS!$D$5:$J$5,AW43+1)-INDEX(TABLAS!$D$5:$J$5,AW43))))</f>
        <v/>
      </c>
      <c r="AY43" s="59" t="str">
        <f>IF(V43&lt;&gt;"SÍ","",INDEX(TABLAS!$D$6:$J$47,MATCH(AV43&amp;"|NIC",TABLAS!$B$6:$B$47,0),AW43)+AX43*(INDEX(TABLAS!$D$6:$J$47,MATCH(AV43&amp;"|NIC",TABLAS!$B$6:$B$47,0),MIN(AW43+1,7))-INDEX(TABLAS!$D$6:$J$47,MATCH(AV43&amp;"|NIC",TABLAS!$B$6:$B$47,0),AW43)))</f>
        <v/>
      </c>
      <c r="AZ43" s="59" t="str">
        <f>IF(V43&lt;&gt;"SÍ","",INDEX(TABLAS!$D$6:$J$47,MATCH(AV43&amp;"|NIL",TABLAS!$B$6:$B$47,0),AW43)+AX43*(INDEX(TABLAS!$D$6:$J$47,MATCH(AV43&amp;"|NIL",TABLAS!$B$6:$B$47,0),MIN(AW43+1,7))-INDEX(TABLAS!$D$6:$J$47,MATCH(AV43&amp;"|NIL",TABLAS!$B$6:$B$47,0),AW43)))</f>
        <v/>
      </c>
      <c r="BA43" s="59" t="str">
        <f>IF(V43&lt;&gt;"SÍ","",INDEX(TABLAS!$D$6:$J$47,MATCH(AV43&amp;"|NDC",TABLAS!$B$6:$B$47,0),AW43)+AX43*(INDEX(TABLAS!$D$6:$J$47,MATCH(AV43&amp;"|NDC",TABLAS!$B$6:$B$47,0),MIN(AW43+1,7))-INDEX(TABLAS!$D$6:$J$47,MATCH(AV43&amp;"|NDC",TABLAS!$B$6:$B$47,0),AW43)))</f>
        <v/>
      </c>
      <c r="BB43" s="59" t="str">
        <f>IF(V43&lt;&gt;"SÍ","",INDEX(TABLAS!$D$6:$J$47,MATCH(AV43&amp;"|NDL",TABLAS!$B$6:$B$47,0),AW43)+AX43*(INDEX(TABLAS!$D$6:$J$47,MATCH(AV43&amp;"|NDL",TABLAS!$B$6:$B$47,0),MIN(AW43+1,7))-INDEX(TABLAS!$D$6:$J$47,MATCH(AV43&amp;"|NDL",TABLAS!$B$6:$B$47,0),AW43)))</f>
        <v/>
      </c>
      <c r="BC43" s="59" t="str">
        <f>IF(V43&lt;&gt;"SÍ","",INDEX(TABLAS!$D$6:$J$47,MATCH(AV43&amp;"|PC",TABLAS!$B$6:$B$47,0),AW43)+AX43*(INDEX(TABLAS!$D$6:$J$47,MATCH(AV43&amp;"|PC",TABLAS!$B$6:$B$47,0),MIN(AW43+1,7))-INDEX(TABLAS!$D$6:$J$47,MATCH(AV43&amp;"|PC",TABLAS!$B$6:$B$47,0),AW43)))</f>
        <v/>
      </c>
      <c r="BD43" s="59" t="str">
        <f>IF(V43&lt;&gt;"SÍ","",INDEX(TABLAS!$D$6:$J$47,MATCH(AV43&amp;"|PL",TABLAS!$B$6:$B$47,0),AW43)+AX43*(INDEX(TABLAS!$D$6:$J$47,MATCH(AV43&amp;"|PL",TABLAS!$B$6:$B$47,0),MIN(AW43+1,7))-INDEX(TABLAS!$D$6:$J$47,MATCH(AV43&amp;"|PL",TABLAS!$B$6:$B$47,0),AW43)))</f>
        <v/>
      </c>
      <c r="BE43" s="56" t="str">
        <f>IF(V43&lt;&gt;"SÍ","",IF(OR(C43&lt;&gt;"VOLADO",MIN(DH43,DI43)=0),0,DATOS!$C$26*DATOS!$C$16*DATOS!$C$86/100*(((AE43*DATOS!$C$81/DATOS!$C$86^2)*DATOS!$C$82/100)*(IF(X43="X",DJ43,DL43)+DATOS!$C$87/2)/100*(AB43-(IF(X43="X",DJ43,DL43)+DATOS!$C$87/2)/2)/100+((AE43*DATOS!$C$81/DATOS!$C$86^2)*DATOS!$C$82/100)*IF(X43="X",DJ43,DL43)/100*IF(X43="X",DJ43,DL43)/200)))</f>
        <v/>
      </c>
      <c r="BF43" s="56" t="str">
        <f>IF(V43&lt;&gt;"SÍ","",IF(OR(C43&lt;&gt;"VOLADO",MIN(DH43,DI43)=0),0,DATOS!$C$26*DATOS!$C$16*DATOS!$C$86/100*((AE43*DATOS!$C$81/DATOS!$C$86^2)*DATOS!$C$82/100)*(IF(X43="X",DJ43,DL43)+DATOS!$C$87/2)/100))</f>
        <v/>
      </c>
      <c r="BG43" s="56" t="str">
        <f>IF(V43&lt;&gt;"SÍ","",IF(C43="PERIMETRAL",BC43*AR43*Y43^2*1E-4*DATOS!$C$86/100/1000,0))</f>
        <v/>
      </c>
      <c r="BH43" s="62" t="str">
        <f>IF(V43&lt;&gt;"SÍ","",IF(C43="PERIMETRAL",MAX(MAX(AY43,BA43)*AR43*Y43^2*1E-4*DATOS!$C$86/100/1000,N(T43)),(AR43*(AB43/100)^2/2+DATOS!$C$26*N(O43)*AB43/100)*DATOS!$C$86/100/1000+BE43))</f>
        <v/>
      </c>
      <c r="BI43" s="56" t="str">
        <f>IF(V43&lt;&gt;"SÍ","",IF(C43="PERIMETRAL",BD43*AR43*Y43^2*1E-4*DATOS!$C$86/100/1000,0))</f>
        <v/>
      </c>
      <c r="BJ43" s="56" t="str">
        <f>IF(V43&lt;&gt;"SÍ","",IF(C43="PERIMETRAL",MAX(MAX(AZ43,BB43)*AR43*Y43^2*1E-4*DATOS!$C$86/100/1000,N(U43)),0))</f>
        <v/>
      </c>
      <c r="BK43" s="63" t="str">
        <f>IF(V43&lt;&gt;"SÍ","",IF(C43&lt;&gt;"PERIMETRAL","—",IF(AND(N(T43)=0,N(U43)=0),"— (sin M⁻ del vecino)",IF(OR(AND(N(T43)&gt;0,ABS(MAX(AY43,BA43)*AR43*Y43^2*1E-4*DATOS!$C$86/100/1000-N(T43))&gt;0.5*MIN(MAX(AY43,BA43)*AR43*Y43^2*1E-4*DATOS!$C$86/100/1000,N(T43))),AND(N(U43)&gt;0,ABS(MAX(AZ43,BB43)*AR43*Y43^2*1E-4*DATOS!$C$86/100/1000-N(U43))&gt;0.5*MIN(MAX(AZ43,BB43)*AR43*Y43^2*1E-4*DATOS!$C$86/100/1000,N(U43)))),"FUERA: difieren &gt; 50 %"&amp;IF(AND(N(T43)&gt;0,ABS(MAX(AY43,BA43)*AR43*Y43^2*1E-4*DATOS!$C$86/100/1000-N(T43))&gt;0.5*MIN(MAX(AY43,BA43)*AR43*Y43^2*1E-4*DATOS!$C$86/100/1000,N(T43)))," ‖ corto","")&amp;IF(AND(N(U43)&gt;0,ABS(MAX(AZ43,BB43)*AR43*Y43^2*1E-4*DATOS!$C$86/100/1000-N(U43))&gt;0.5*MIN(MAX(AZ43,BB43)*AR43*Y43^2*1E-4*DATOS!$C$86/100/1000,N(U43)))," ‖ largo",""),"CUMPLE"))))</f>
        <v/>
      </c>
      <c r="BL43" s="58" t="str">
        <f>IF(V43&lt;&gt;"SÍ","",(DATOS!$C$85-AK43-INDEX(TABLAS!$C$52:$C$58,MATCH(MAX(4,DATOS!$C$71),TABLAS!$B$52:$B$58,0))/2))</f>
        <v/>
      </c>
      <c r="BM43" s="58" t="str">
        <f>IF(V43&lt;&gt;"SÍ","",IF(IF(BG43&lt;=0,0,IF((1-2*BG43*1E5/(DATOS!$C$29*AH43*BL43^2*DATOS!$C$21))&lt;0,-1,IF((1-SQRT((1-2*BG43*1E5/(DATOS!$C$29*AH43*BL43^2*DATOS!$C$21))))*DATOS!$C$21*AH43*BL43/DATOS!$C$14&gt;DATOS!$C$102*AH43*BL43,-1,(1-SQRT((1-2*BG43*1E5/(DATOS!$C$29*AH43*BL43^2*DATOS!$C$21))))*DATOS!$C$21*AH43*BL43/DATOS!$C$14)))&lt;0,-1,MAX(IF(BG43&lt;=0,0,IF((1-2*BG43*1E5/(DATOS!$C$29*AH43*BL43^2*DATOS!$C$21))&lt;0,-1,IF((1-SQRT((1-2*BG43*1E5/(DATOS!$C$29*AH43*BL43^2*DATOS!$C$21))))*DATOS!$C$21*AH43*BL43/DATOS!$C$14&gt;DATOS!$C$102*AH43*BL43,-1,(1-SQRT((1-2*BG43*1E5/(DATOS!$C$29*AH43*BL43^2*DATOS!$C$21))))*DATOS!$C$21*AH43*BL43/DATOS!$C$14))),MIN(DATOS!$C$103*AD43*BL43,4/3*IF(BG43&lt;=0,0,IF((1-2*BG43*1E5/(DATOS!$C$29*AH43*BL43^2*DATOS!$C$21))&lt;0,-1,IF((1-SQRT((1-2*BG43*1E5/(DATOS!$C$29*AH43*BL43^2*DATOS!$C$21))))*DATOS!$C$21*AH43*BL43/DATOS!$C$14&gt;DATOS!$C$102*AH43*BL43,-1,(1-SQRT((1-2*BG43*1E5/(DATOS!$C$29*AH43*BL43^2*DATOS!$C$21))))*DATOS!$C$21*AH43*BL43/DATOS!$C$14)))))))</f>
        <v/>
      </c>
      <c r="BN43" s="64" t="str">
        <f>IF(V43&lt;&gt;"SÍ","",IF(AND(BM43&gt;=0,IF(MAX(DATOS!$C$74,CEILING(BM43/INDEX(TABLAS!$D$52:$D$58,MIN(MATCH(MAX(4,DATOS!$C$71),TABLAS!$B$52:$B$58,0)+0,7)),1))*INDEX(TABLAS!$D$52:$D$58,MIN(MATCH(MAX(4,DATOS!$C$71),TABLAS!$B$52:$B$58,0)+0,7)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+0,7)),1)),MAX(MAX(DATOS!$C$74,CEILING(BM43/INDEX(TABLAS!$D$52:$D$58,MIN(MATCH(MAX(4,DATOS!$C$71),TABLAS!$B$52:$B$58,0)+0,7)),1)),2))&lt;=MIN(DATOS!$C$73,INT(((AD43-2*AK43)+MAX(DATOS!$C$70,INDEX(TABLAS!$C$52:$C$58,MIN(MATCH(MAX(4,DATOS!$C$71),TABLAS!$B$52:$B$58,0)+0,7))))/(INDEX(TABLAS!$C$52:$C$58,MIN(MATCH(MAX(4,DATOS!$C$71),TABLAS!$B$52:$B$58,0)+0,7))+MAX(DATOS!$C$70,INDEX(TABLAS!$C$52:$C$58,MIN(MATCH(MAX(4,DATOS!$C$71),TABLAS!$B$52:$B$58,0)+0,7))))))),INDEX(TABLAS!$B$52:$B$58,MIN(MATCH(MAX(4,DATOS!$C$71),TABLAS!$B$52:$B$58,0)+0,7)),IF(AND(BM43&gt;=0,IF(MAX(DATOS!$C$74,CEILING(BM43/INDEX(TABLAS!$D$52:$D$58,MIN(MATCH(MAX(4,DATOS!$C$71),TABLAS!$B$52:$B$58,0)+1,7)),1))*INDEX(TABLAS!$D$52:$D$58,MIN(MATCH(MAX(4,DATOS!$C$71),TABLAS!$B$52:$B$58,0)+1,7)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+1,7)),1)),MAX(MAX(DATOS!$C$74,CEILING(BM43/INDEX(TABLAS!$D$52:$D$58,MIN(MATCH(MAX(4,DATOS!$C$71),TABLAS!$B$52:$B$58,0)+1,7)),1)),2))&lt;=MIN(DATOS!$C$73,INT(((AD43-2*AK43)+MAX(DATOS!$C$70,INDEX(TABLAS!$C$52:$C$58,MIN(MATCH(MAX(4,DATOS!$C$71),TABLAS!$B$52:$B$58,0)+1,7))))/(INDEX(TABLAS!$C$52:$C$58,MIN(MATCH(MAX(4,DATOS!$C$71),TABLAS!$B$52:$B$58,0)+1,7))+MAX(DATOS!$C$70,INDEX(TABLAS!$C$52:$C$58,MIN(MATCH(MAX(4,DATOS!$C$71),TABLAS!$B$52:$B$58,0)+1,7))))))),INDEX(TABLAS!$B$52:$B$58,MIN(MATCH(MAX(4,DATOS!$C$71),TABLAS!$B$52:$B$58,0)+1,7)),IF(AND(BM43&gt;=0,IF(MAX(DATOS!$C$74,CEILING(BM43/INDEX(TABLAS!$D$52:$D$58,MIN(MATCH(MAX(4,DATOS!$C$71),TABLAS!$B$52:$B$58,0)+2,7)),1))*INDEX(TABLAS!$D$52:$D$58,MIN(MATCH(MAX(4,DATOS!$C$71),TABLAS!$B$52:$B$58,0)+2,7)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+2,7)),1)),MAX(MAX(DATOS!$C$74,CEILING(BM43/INDEX(TABLAS!$D$52:$D$58,MIN(MATCH(MAX(4,DATOS!$C$71),TABLAS!$B$52:$B$58,0)+2,7)),1)),2))&lt;=MIN(DATOS!$C$73,INT(((AD43-2*AK43)+MAX(DATOS!$C$70,INDEX(TABLAS!$C$52:$C$58,MIN(MATCH(MAX(4,DATOS!$C$71),TABLAS!$B$52:$B$58,0)+2,7))))/(INDEX(TABLAS!$C$52:$C$58,MIN(MATCH(MAX(4,DATOS!$C$71),TABLAS!$B$52:$B$58,0)+2,7))+MAX(DATOS!$C$70,INDEX(TABLAS!$C$52:$C$58,MIN(MATCH(MAX(4,DATOS!$C$71),TABLAS!$B$52:$B$58,0)+2,7))))))),INDEX(TABLAS!$B$52:$B$58,MIN(MATCH(MAX(4,DATOS!$C$71),TABLAS!$B$52:$B$58,0)+2,7)),IF(AND(BM43&gt;=0,IF(MAX(DATOS!$C$74,CEILING(BM43/INDEX(TABLAS!$D$52:$D$58,MIN(MATCH(MAX(4,DATOS!$C$71),TABLAS!$B$52:$B$58,0)+3,7)),1))*INDEX(TABLAS!$D$52:$D$58,MIN(MATCH(MAX(4,DATOS!$C$71),TABLAS!$B$52:$B$58,0)+3,7)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+3,7)),1)),MAX(MAX(DATOS!$C$74,CEILING(BM43/INDEX(TABLAS!$D$52:$D$58,MIN(MATCH(MAX(4,DATOS!$C$71),TABLAS!$B$52:$B$58,0)+3,7)),1)),2))&lt;=MIN(DATOS!$C$73,INT(((AD43-2*AK43)+MAX(DATOS!$C$70,INDEX(TABLAS!$C$52:$C$58,MIN(MATCH(MAX(4,DATOS!$C$71),TABLAS!$B$52:$B$58,0)+3,7))))/(INDEX(TABLAS!$C$52:$C$58,MIN(MATCH(MAX(4,DATOS!$C$71),TABLAS!$B$52:$B$58,0)+3,7))+MAX(DATOS!$C$70,INDEX(TABLAS!$C$52:$C$58,MIN(MATCH(MAX(4,DATOS!$C$71),TABLAS!$B$52:$B$58,0)+3,7))))))),INDEX(TABLAS!$B$52:$B$58,MIN(MATCH(MAX(4,DATOS!$C$71),TABLAS!$B$52:$B$58,0)+3,7)),IF(AND(BM43&gt;=0,IF(MAX(DATOS!$C$74,CEILING(BM43/INDEX(TABLAS!$D$52:$D$58,MIN(MATCH(MAX(4,DATOS!$C$71),TABLAS!$B$52:$B$58,0)+4,7)),1))*INDEX(TABLAS!$D$52:$D$58,MIN(MATCH(MAX(4,DATOS!$C$71),TABLAS!$B$52:$B$58,0)+4,7)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+4,7)),1)),MAX(MAX(DATOS!$C$74,CEILING(BM43/INDEX(TABLAS!$D$52:$D$58,MIN(MATCH(MAX(4,DATOS!$C$71),TABLAS!$B$52:$B$58,0)+4,7)),1)),2))&lt;=MIN(DATOS!$C$73,INT(((AD43-2*AK43)+MAX(DATOS!$C$70,INDEX(TABLAS!$C$52:$C$58,MIN(MATCH(MAX(4,DATOS!$C$71),TABLAS!$B$52:$B$58,0)+4,7))))/(INDEX(TABLAS!$C$52:$C$58,MIN(MATCH(MAX(4,DATOS!$C$71),TABLAS!$B$52:$B$58,0)+4,7))+MAX(DATOS!$C$70,INDEX(TABLAS!$C$52:$C$58,MIN(MATCH(MAX(4,DATOS!$C$71),TABLAS!$B$52:$B$58,0)+4,7))))))),INDEX(TABLAS!$B$52:$B$58,MIN(MATCH(MAX(4,DATOS!$C$71),TABLAS!$B$52:$B$58,0)+4,7)),INDEX(TABLAS!$B$52:$B$58,7)))))))</f>
        <v/>
      </c>
      <c r="BO43" s="59" t="str">
        <f>IF(V43&lt;&gt;"SÍ","",IF(BM43&lt;0,0,IF(MAX(DATOS!$C$74,CEILING(MAX(BM43,0)/INDEX(TABLAS!$D$52:$D$58,MATCH(BN43,TABLAS!$B$52:$B$58,0)),1))*INDEX(TABLAS!$D$52:$D$58,MATCH(BN43,TABLAS!$B$52:$B$58,0))&gt;=4/3*IF(BG43&lt;=0,0,IF((1-2*BG43*1E5/(DATOS!$C$29*AH43*BL43^2*DATOS!$C$21))&lt;0,-1,IF((1-SQRT((1-2*BG43*1E5/(DATOS!$C$29*AH43*BL43^2*DATOS!$C$21))))*DATOS!$C$21*AH43*BL43/DATOS!$C$14&gt;DATOS!$C$102*AH43*BL43,-1,(1-SQRT((1-2*BG43*1E5/(DATOS!$C$29*AH43*BL43^2*DATOS!$C$21))))*DATOS!$C$21*AH43*BL43/DATOS!$C$14)))-0.0001,MAX(DATOS!$C$74,CEILING(MAX(BM43,0)/INDEX(TABLAS!$D$52:$D$58,MATCH(BN43,TABLAS!$B$52:$B$58,0)),1)),MAX(MAX(DATOS!$C$74,CEILING(MAX(BM43,0)/INDEX(TABLAS!$D$52:$D$58,MATCH(BN43,TABLAS!$B$52:$B$58,0)),1)),2))))</f>
        <v/>
      </c>
      <c r="BP43" s="58" t="str">
        <f>IF(V43&lt;&gt;"SÍ","",DATOS!$C$85-AK43-INDEX(TABLAS!$C$52:$C$58,MATCH(BN43,TABLAS!$B$52:$B$58,0))/2)</f>
        <v/>
      </c>
      <c r="BQ43" s="56" t="str">
        <f>IF(V43&lt;&gt;"SÍ","",IF(BO43=0,0,DATOS!$C$29*BO43*INDEX(TABLAS!$D$52:$D$58,MATCH(BN43,TABLAS!$B$52:$B$58,0))*DATOS!$C$14*(BP43-BO43*INDEX(TABLAS!$D$52:$D$58,MATCH(BN43,TABLAS!$B$52:$B$58,0))*DATOS!$C$14/(DATOS!$C$21*AH43)/2)/1E5))</f>
        <v/>
      </c>
      <c r="BR43" s="65" t="str">
        <f>IF(V43&lt;&gt;"SÍ","",IF(BM43&lt;0,9.99,IF(BQ43&gt;0,BG43/BQ43,0)))</f>
        <v/>
      </c>
      <c r="BS43" s="66" t="str">
        <f>IF(V43&lt;&gt;"SÍ","",IF(BO43=0,"—",0.003*(BP43-(BO43*INDEX(TABLAS!$D$52:$D$58,MATCH(BN43,TABLAS!$B$52:$B$58,0))*DATOS!$C$14/(DATOS!$C$21*AH43)/DATOS!$C$22))/(BO43*INDEX(TABLAS!$D$52:$D$58,MATCH(BN43,TABLAS!$B$52:$B$58,0))*DATOS!$C$14/(DATOS!$C$21*AH43)/DATOS!$C$22)))</f>
        <v/>
      </c>
      <c r="BT43" s="58" t="str">
        <f>IF(V43&lt;&gt;"SÍ","",((DATOS!$C$85-AM43-2*DATOS!$C$97-INDEX(TABLAS!$C$52:$C$58,MATCH(MAX(4,DATOS!$C$72),TABLAS!$B$52:$B$58,0))/2)-IF(AND((DATOS!$C$85-AM43-2*DATOS!$C$97-INDEX(TABLAS!$C$52:$C$58,MATCH(MAX(4,DATOS!$C$72),TABLAS!$B$52:$B$58,0))/2)&lt;=20,DATOS!$C$65&lt;&gt;"SÍ"),2,0)))</f>
        <v/>
      </c>
      <c r="BU43" s="58" t="str">
        <f>IF(V43&lt;&gt;"SÍ","",IF(IF(BH43&lt;=0,0,IF((1-2*BH43*1E5/(DATOS!$C$29*AF43*BT43^2*DATOS!$C$21))&lt;0,-1,IF((1-SQRT((1-2*BH43*1E5/(DATOS!$C$29*AF43*BT43^2*DATOS!$C$21))))*DATOS!$C$21*AF43*BT43/DATOS!$C$14&gt;DATOS!$C$102*AF43*BT43,-1,(1-SQRT((1-2*BH43*1E5/(DATOS!$C$29*AF43*BT43^2*DATOS!$C$21))))*DATOS!$C$21*AF43*BT43/DATOS!$C$14)))&lt;0,-1,MAX(IF(BH43&lt;=0,0,IF((1-2*BH43*1E5/(DATOS!$C$29*AF43*BT43^2*DATOS!$C$21))&lt;0,-1,IF((1-SQRT((1-2*BH43*1E5/(DATOS!$C$29*AF43*BT43^2*DATOS!$C$21))))*DATOS!$C$21*AF43*BT43/DATOS!$C$14&gt;DATOS!$C$102*AF43*BT43,-1,(1-SQRT((1-2*BH43*1E5/(DATOS!$C$29*AF43*BT43^2*DATOS!$C$21))))*DATOS!$C$21*AF43*BT43/DATOS!$C$14))),MIN(DATOS!$C$103*IF(C43="VOLADO",MIN(AH43,2*AD43),AD43)*BT43,4/3*IF(BH43&lt;=0,0,IF((1-2*BH43*1E5/(DATOS!$C$29*AF43*BT43^2*DATOS!$C$21))&lt;0,-1,IF((1-SQRT((1-2*BH43*1E5/(DATOS!$C$29*AF43*BT43^2*DATOS!$C$21))))*DATOS!$C$21*AF43*BT43/DATOS!$C$14&gt;DATOS!$C$102*AF43*BT43,-1,(1-SQRT((1-2*BH43*1E5/(DATOS!$C$29*AF43*BT43^2*DATOS!$C$21))))*DATOS!$C$21*AF43*BT43/DATOS!$C$14)))))))</f>
        <v/>
      </c>
      <c r="BV43" s="64" t="str">
        <f>IF(V43&lt;&gt;"SÍ","",IF(AND(BU43&gt;=0,IF(MAX(DATOS!$C$74,CEILING(BU43/INDEX(TABLAS!$D$52:$D$58,MIN(MATCH(MAX(4,DATOS!$C$72),TABLAS!$B$52:$B$58,0)+0,7)),1))*INDEX(TABLAS!$D$52:$D$58,MIN(MATCH(MAX(4,DATOS!$C$72),TABLAS!$B$52:$B$58,0)+0,7)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+0,7)),1)),MAX(MAX(DATOS!$C$74,CEILING(BU43/INDEX(TABLAS!$D$52:$D$58,MIN(MATCH(MAX(4,DATOS!$C$72),TABLAS!$B$52:$B$58,0)+0,7)),1)),2))&lt;=MIN(DATOS!$C$73,INT(((AD43-2*AL43)+MAX(DATOS!$C$70,INDEX(TABLAS!$C$52:$C$58,MIN(MATCH(MAX(4,DATOS!$C$72),TABLAS!$B$52:$B$58,0)+0,7))))/(INDEX(TABLAS!$C$52:$C$58,MIN(MATCH(MAX(4,DATOS!$C$72),TABLAS!$B$52:$B$58,0)+0,7))+MAX(DATOS!$C$70,INDEX(TABLAS!$C$52:$C$58,MIN(MATCH(MAX(4,DATOS!$C$72),TABLAS!$B$52:$B$58,0)+0,7))))))),INDEX(TABLAS!$B$52:$B$58,MIN(MATCH(MAX(4,DATOS!$C$72),TABLAS!$B$52:$B$58,0)+0,7)),IF(AND(BU43&gt;=0,IF(MAX(DATOS!$C$74,CEILING(BU43/INDEX(TABLAS!$D$52:$D$58,MIN(MATCH(MAX(4,DATOS!$C$72),TABLAS!$B$52:$B$58,0)+1,7)),1))*INDEX(TABLAS!$D$52:$D$58,MIN(MATCH(MAX(4,DATOS!$C$72),TABLAS!$B$52:$B$58,0)+1,7)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+1,7)),1)),MAX(MAX(DATOS!$C$74,CEILING(BU43/INDEX(TABLAS!$D$52:$D$58,MIN(MATCH(MAX(4,DATOS!$C$72),TABLAS!$B$52:$B$58,0)+1,7)),1)),2))&lt;=MIN(DATOS!$C$73,INT(((AD43-2*AL43)+MAX(DATOS!$C$70,INDEX(TABLAS!$C$52:$C$58,MIN(MATCH(MAX(4,DATOS!$C$72),TABLAS!$B$52:$B$58,0)+1,7))))/(INDEX(TABLAS!$C$52:$C$58,MIN(MATCH(MAX(4,DATOS!$C$72),TABLAS!$B$52:$B$58,0)+1,7))+MAX(DATOS!$C$70,INDEX(TABLAS!$C$52:$C$58,MIN(MATCH(MAX(4,DATOS!$C$72),TABLAS!$B$52:$B$58,0)+1,7))))))),INDEX(TABLAS!$B$52:$B$58,MIN(MATCH(MAX(4,DATOS!$C$72),TABLAS!$B$52:$B$58,0)+1,7)),IF(AND(BU43&gt;=0,IF(MAX(DATOS!$C$74,CEILING(BU43/INDEX(TABLAS!$D$52:$D$58,MIN(MATCH(MAX(4,DATOS!$C$72),TABLAS!$B$52:$B$58,0)+2,7)),1))*INDEX(TABLAS!$D$52:$D$58,MIN(MATCH(MAX(4,DATOS!$C$72),TABLAS!$B$52:$B$58,0)+2,7)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+2,7)),1)),MAX(MAX(DATOS!$C$74,CEILING(BU43/INDEX(TABLAS!$D$52:$D$58,MIN(MATCH(MAX(4,DATOS!$C$72),TABLAS!$B$52:$B$58,0)+2,7)),1)),2))&lt;=MIN(DATOS!$C$73,INT(((AD43-2*AL43)+MAX(DATOS!$C$70,INDEX(TABLAS!$C$52:$C$58,MIN(MATCH(MAX(4,DATOS!$C$72),TABLAS!$B$52:$B$58,0)+2,7))))/(INDEX(TABLAS!$C$52:$C$58,MIN(MATCH(MAX(4,DATOS!$C$72),TABLAS!$B$52:$B$58,0)+2,7))+MAX(DATOS!$C$70,INDEX(TABLAS!$C$52:$C$58,MIN(MATCH(MAX(4,DATOS!$C$72),TABLAS!$B$52:$B$58,0)+2,7))))))),INDEX(TABLAS!$B$52:$B$58,MIN(MATCH(MAX(4,DATOS!$C$72),TABLAS!$B$52:$B$58,0)+2,7)),IF(AND(BU43&gt;=0,IF(MAX(DATOS!$C$74,CEILING(BU43/INDEX(TABLAS!$D$52:$D$58,MIN(MATCH(MAX(4,DATOS!$C$72),TABLAS!$B$52:$B$58,0)+3,7)),1))*INDEX(TABLAS!$D$52:$D$58,MIN(MATCH(MAX(4,DATOS!$C$72),TABLAS!$B$52:$B$58,0)+3,7)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+3,7)),1)),MAX(MAX(DATOS!$C$74,CEILING(BU43/INDEX(TABLAS!$D$52:$D$58,MIN(MATCH(MAX(4,DATOS!$C$72),TABLAS!$B$52:$B$58,0)+3,7)),1)),2))&lt;=MIN(DATOS!$C$73,INT(((AD43-2*AL43)+MAX(DATOS!$C$70,INDEX(TABLAS!$C$52:$C$58,MIN(MATCH(MAX(4,DATOS!$C$72),TABLAS!$B$52:$B$58,0)+3,7))))/(INDEX(TABLAS!$C$52:$C$58,MIN(MATCH(MAX(4,DATOS!$C$72),TABLAS!$B$52:$B$58,0)+3,7))+MAX(DATOS!$C$70,INDEX(TABLAS!$C$52:$C$58,MIN(MATCH(MAX(4,DATOS!$C$72),TABLAS!$B$52:$B$58,0)+3,7))))))),INDEX(TABLAS!$B$52:$B$58,MIN(MATCH(MAX(4,DATOS!$C$72),TABLAS!$B$52:$B$58,0)+3,7)),IF(AND(BU43&gt;=0,IF(MAX(DATOS!$C$74,CEILING(BU43/INDEX(TABLAS!$D$52:$D$58,MIN(MATCH(MAX(4,DATOS!$C$72),TABLAS!$B$52:$B$58,0)+4,7)),1))*INDEX(TABLAS!$D$52:$D$58,MIN(MATCH(MAX(4,DATOS!$C$72),TABLAS!$B$52:$B$58,0)+4,7)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+4,7)),1)),MAX(MAX(DATOS!$C$74,CEILING(BU43/INDEX(TABLAS!$D$52:$D$58,MIN(MATCH(MAX(4,DATOS!$C$72),TABLAS!$B$52:$B$58,0)+4,7)),1)),2))&lt;=MIN(DATOS!$C$73,INT(((AD43-2*AL43)+MAX(DATOS!$C$70,INDEX(TABLAS!$C$52:$C$58,MIN(MATCH(MAX(4,DATOS!$C$72),TABLAS!$B$52:$B$58,0)+4,7))))/(INDEX(TABLAS!$C$52:$C$58,MIN(MATCH(MAX(4,DATOS!$C$72),TABLAS!$B$52:$B$58,0)+4,7))+MAX(DATOS!$C$70,INDEX(TABLAS!$C$52:$C$58,MIN(MATCH(MAX(4,DATOS!$C$72),TABLAS!$B$52:$B$58,0)+4,7))))))),INDEX(TABLAS!$B$52:$B$58,MIN(MATCH(MAX(4,DATOS!$C$72),TABLAS!$B$52:$B$58,0)+4,7)),INDEX(TABLAS!$B$52:$B$58,7)))))))</f>
        <v/>
      </c>
      <c r="BW43" s="59" t="str">
        <f>IF(V43&lt;&gt;"SÍ","",IF(BU43&lt;0,0,IF(MAX(DATOS!$C$74,CEILING(MAX(BU43,0)/INDEX(TABLAS!$D$52:$D$58,MATCH(BV43,TABLAS!$B$52:$B$58,0)),1))*INDEX(TABLAS!$D$52:$D$58,MATCH(BV43,TABLAS!$B$52:$B$58,0))&gt;=4/3*IF(BH43&lt;=0,0,IF((1-2*BH43*1E5/(DATOS!$C$29*AF43*BT43^2*DATOS!$C$21))&lt;0,-1,IF((1-SQRT((1-2*BH43*1E5/(DATOS!$C$29*AF43*BT43^2*DATOS!$C$21))))*DATOS!$C$21*AF43*BT43/DATOS!$C$14&gt;DATOS!$C$102*AF43*BT43,-1,(1-SQRT((1-2*BH43*1E5/(DATOS!$C$29*AF43*BT43^2*DATOS!$C$21))))*DATOS!$C$21*AF43*BT43/DATOS!$C$14)))-0.0001,MAX(DATOS!$C$74,CEILING(MAX(BU43,0)/INDEX(TABLAS!$D$52:$D$58,MATCH(BV43,TABLAS!$B$52:$B$58,0)),1)),MAX(MAX(DATOS!$C$74,CEILING(MAX(BU43,0)/INDEX(TABLAS!$D$52:$D$58,MATCH(BV43,TABLAS!$B$52:$B$58,0)),1)),2))))</f>
        <v/>
      </c>
      <c r="BX43" s="58" t="str">
        <f>IF(V43&lt;&gt;"SÍ","",((DATOS!$C$85-AM43-2*DATOS!$C$97-INDEX(TABLAS!$C$52:$C$58,MATCH(BV43,TABLAS!$B$52:$B$58,0))/2)-IF(AND((DATOS!$C$85-AM43-2*DATOS!$C$97-INDEX(TABLAS!$C$52:$C$58,MATCH(BV43,TABLAS!$B$52:$B$58,0))/2)&lt;=20,DATOS!$C$65&lt;&gt;"SÍ"),2,0)))</f>
        <v/>
      </c>
      <c r="BY43" s="56" t="str">
        <f>IF(V43&lt;&gt;"SÍ","",IF(BW43=0,0,DATOS!$C$29*BW43*INDEX(TABLAS!$D$52:$D$58,MATCH(BV43,TABLAS!$B$52:$B$58,0))*DATOS!$C$14*(BX43-BW43*INDEX(TABLAS!$D$52:$D$58,MATCH(BV43,TABLAS!$B$52:$B$58,0))*DATOS!$C$14/(DATOS!$C$21*AF43)/2)/1E5))</f>
        <v/>
      </c>
      <c r="BZ43" s="65" t="str">
        <f>IF(V43&lt;&gt;"SÍ","",IF(BU43&lt;0,9.99,IF(BY43&gt;0,BH43/BY43,0)))</f>
        <v/>
      </c>
      <c r="CA43" s="66" t="str">
        <f>IF(V43&lt;&gt;"SÍ","",IF(BW43=0,"—",0.003*(BX43-(BW43*INDEX(TABLAS!$D$52:$D$58,MATCH(BV43,TABLAS!$B$52:$B$58,0))*DATOS!$C$14/(DATOS!$C$21*AF43)/DATOS!$C$22))/(BW43*INDEX(TABLAS!$D$52:$D$58,MATCH(BV43,TABLAS!$B$52:$B$58,0))*DATOS!$C$14/(DATOS!$C$21*AF43)/DATOS!$C$22)))</f>
        <v/>
      </c>
      <c r="CB43" s="58" t="str">
        <f>IF(V43&lt;&gt;"SÍ","",(DATOS!$C$85-AK43-INDEX(TABLAS!$C$52:$C$58,MATCH(MAX(4,DATOS!$C$71),TABLAS!$B$52:$B$58,0))-INDEX(TABLAS!$C$52:$C$58,MATCH(MAX(4,DATOS!$C$71),TABLAS!$B$52:$B$58,0))/2))</f>
        <v/>
      </c>
      <c r="CC43" s="58" t="str">
        <f>IF(V43&lt;&gt;"SÍ","",IF(IF(BI43&lt;=0,0,IF((1-2*BI43*1E5/(DATOS!$C$29*AI43*CB43^2*DATOS!$C$21))&lt;0,-1,IF((1-SQRT((1-2*BI43*1E5/(DATOS!$C$29*AI43*CB43^2*DATOS!$C$21))))*DATOS!$C$21*AI43*CB43/DATOS!$C$14&gt;DATOS!$C$102*AI43*CB43,-1,(1-SQRT((1-2*BI43*1E5/(DATOS!$C$29*AI43*CB43^2*DATOS!$C$21))))*DATOS!$C$21*AI43*CB43/DATOS!$C$14)))&lt;0,-1,MAX(IF(BI43&lt;=0,0,IF((1-2*BI43*1E5/(DATOS!$C$29*AI43*CB43^2*DATOS!$C$21))&lt;0,-1,IF((1-SQRT((1-2*BI43*1E5/(DATOS!$C$29*AI43*CB43^2*DATOS!$C$21))))*DATOS!$C$21*AI43*CB43/DATOS!$C$14&gt;DATOS!$C$102*AI43*CB43,-1,(1-SQRT((1-2*BI43*1E5/(DATOS!$C$29*AI43*CB43^2*DATOS!$C$21))))*DATOS!$C$21*AI43*CB43/DATOS!$C$14))),MIN(DATOS!$C$103*DATOS!$C$83*CB43,4/3*IF(BI43&lt;=0,0,IF((1-2*BI43*1E5/(DATOS!$C$29*AI43*CB43^2*DATOS!$C$21))&lt;0,-1,IF((1-SQRT((1-2*BI43*1E5/(DATOS!$C$29*AI43*CB43^2*DATOS!$C$21))))*DATOS!$C$21*AI43*CB43/DATOS!$C$14&gt;DATOS!$C$102*AI43*CB43,-1,(1-SQRT((1-2*BI43*1E5/(DATOS!$C$29*AI43*CB43^2*DATOS!$C$21))))*DATOS!$C$21*AI43*CB43/DATOS!$C$14)))))))</f>
        <v/>
      </c>
      <c r="CD43" s="64" t="str">
        <f>IF(V43&lt;&gt;"SÍ","",IF(AND(CC43&gt;=0,IF(MAX(DATOS!$C$74,CEILING(CC43/INDEX(TABLAS!$D$52:$D$58,MIN(MATCH(MAX(4,DATOS!$C$71),TABLAS!$B$52:$B$58,0)+0,7)),1))*INDEX(TABLAS!$D$52:$D$58,MIN(MATCH(MAX(4,DATOS!$C$71),TABLAS!$B$52:$B$58,0)+0,7)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+0,7)),1)),MAX(MAX(DATOS!$C$74,CEILING(CC43/INDEX(TABLAS!$D$52:$D$58,MIN(MATCH(MAX(4,DATOS!$C$71),TABLAS!$B$52:$B$58,0)+0,7)),1)),2))&lt;=MIN(DATOS!$C$73,INT(((DATOS!$C$83-2*AK43)+MAX(DATOS!$C$70,INDEX(TABLAS!$C$52:$C$58,MIN(MATCH(MAX(4,DATOS!$C$71),TABLAS!$B$52:$B$58,0)+0,7))))/(INDEX(TABLAS!$C$52:$C$58,MIN(MATCH(MAX(4,DATOS!$C$71),TABLAS!$B$52:$B$58,0)+0,7))+MAX(DATOS!$C$70,INDEX(TABLAS!$C$52:$C$58,MIN(MATCH(MAX(4,DATOS!$C$71),TABLAS!$B$52:$B$58,0)+0,7))))))),INDEX(TABLAS!$B$52:$B$58,MIN(MATCH(MAX(4,DATOS!$C$71),TABLAS!$B$52:$B$58,0)+0,7)),IF(AND(CC43&gt;=0,IF(MAX(DATOS!$C$74,CEILING(CC43/INDEX(TABLAS!$D$52:$D$58,MIN(MATCH(MAX(4,DATOS!$C$71),TABLAS!$B$52:$B$58,0)+1,7)),1))*INDEX(TABLAS!$D$52:$D$58,MIN(MATCH(MAX(4,DATOS!$C$71),TABLAS!$B$52:$B$58,0)+1,7)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+1,7)),1)),MAX(MAX(DATOS!$C$74,CEILING(CC43/INDEX(TABLAS!$D$52:$D$58,MIN(MATCH(MAX(4,DATOS!$C$71),TABLAS!$B$52:$B$58,0)+1,7)),1)),2))&lt;=MIN(DATOS!$C$73,INT(((DATOS!$C$83-2*AK43)+MAX(DATOS!$C$70,INDEX(TABLAS!$C$52:$C$58,MIN(MATCH(MAX(4,DATOS!$C$71),TABLAS!$B$52:$B$58,0)+1,7))))/(INDEX(TABLAS!$C$52:$C$58,MIN(MATCH(MAX(4,DATOS!$C$71),TABLAS!$B$52:$B$58,0)+1,7))+MAX(DATOS!$C$70,INDEX(TABLAS!$C$52:$C$58,MIN(MATCH(MAX(4,DATOS!$C$71),TABLAS!$B$52:$B$58,0)+1,7))))))),INDEX(TABLAS!$B$52:$B$58,MIN(MATCH(MAX(4,DATOS!$C$71),TABLAS!$B$52:$B$58,0)+1,7)),IF(AND(CC43&gt;=0,IF(MAX(DATOS!$C$74,CEILING(CC43/INDEX(TABLAS!$D$52:$D$58,MIN(MATCH(MAX(4,DATOS!$C$71),TABLAS!$B$52:$B$58,0)+2,7)),1))*INDEX(TABLAS!$D$52:$D$58,MIN(MATCH(MAX(4,DATOS!$C$71),TABLAS!$B$52:$B$58,0)+2,7)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+2,7)),1)),MAX(MAX(DATOS!$C$74,CEILING(CC43/INDEX(TABLAS!$D$52:$D$58,MIN(MATCH(MAX(4,DATOS!$C$71),TABLAS!$B$52:$B$58,0)+2,7)),1)),2))&lt;=MIN(DATOS!$C$73,INT(((DATOS!$C$83-2*AK43)+MAX(DATOS!$C$70,INDEX(TABLAS!$C$52:$C$58,MIN(MATCH(MAX(4,DATOS!$C$71),TABLAS!$B$52:$B$58,0)+2,7))))/(INDEX(TABLAS!$C$52:$C$58,MIN(MATCH(MAX(4,DATOS!$C$71),TABLAS!$B$52:$B$58,0)+2,7))+MAX(DATOS!$C$70,INDEX(TABLAS!$C$52:$C$58,MIN(MATCH(MAX(4,DATOS!$C$71),TABLAS!$B$52:$B$58,0)+2,7))))))),INDEX(TABLAS!$B$52:$B$58,MIN(MATCH(MAX(4,DATOS!$C$71),TABLAS!$B$52:$B$58,0)+2,7)),IF(AND(CC43&gt;=0,IF(MAX(DATOS!$C$74,CEILING(CC43/INDEX(TABLAS!$D$52:$D$58,MIN(MATCH(MAX(4,DATOS!$C$71),TABLAS!$B$52:$B$58,0)+3,7)),1))*INDEX(TABLAS!$D$52:$D$58,MIN(MATCH(MAX(4,DATOS!$C$71),TABLAS!$B$52:$B$58,0)+3,7)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+3,7)),1)),MAX(MAX(DATOS!$C$74,CEILING(CC43/INDEX(TABLAS!$D$52:$D$58,MIN(MATCH(MAX(4,DATOS!$C$71),TABLAS!$B$52:$B$58,0)+3,7)),1)),2))&lt;=MIN(DATOS!$C$73,INT(((DATOS!$C$83-2*AK43)+MAX(DATOS!$C$70,INDEX(TABLAS!$C$52:$C$58,MIN(MATCH(MAX(4,DATOS!$C$71),TABLAS!$B$52:$B$58,0)+3,7))))/(INDEX(TABLAS!$C$52:$C$58,MIN(MATCH(MAX(4,DATOS!$C$71),TABLAS!$B$52:$B$58,0)+3,7))+MAX(DATOS!$C$70,INDEX(TABLAS!$C$52:$C$58,MIN(MATCH(MAX(4,DATOS!$C$71),TABLAS!$B$52:$B$58,0)+3,7))))))),INDEX(TABLAS!$B$52:$B$58,MIN(MATCH(MAX(4,DATOS!$C$71),TABLAS!$B$52:$B$58,0)+3,7)),IF(AND(CC43&gt;=0,IF(MAX(DATOS!$C$74,CEILING(CC43/INDEX(TABLAS!$D$52:$D$58,MIN(MATCH(MAX(4,DATOS!$C$71),TABLAS!$B$52:$B$58,0)+4,7)),1))*INDEX(TABLAS!$D$52:$D$58,MIN(MATCH(MAX(4,DATOS!$C$71),TABLAS!$B$52:$B$58,0)+4,7)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+4,7)),1)),MAX(MAX(DATOS!$C$74,CEILING(CC43/INDEX(TABLAS!$D$52:$D$58,MIN(MATCH(MAX(4,DATOS!$C$71),TABLAS!$B$52:$B$58,0)+4,7)),1)),2))&lt;=MIN(DATOS!$C$73,INT(((DATOS!$C$83-2*AK43)+MAX(DATOS!$C$70,INDEX(TABLAS!$C$52:$C$58,MIN(MATCH(MAX(4,DATOS!$C$71),TABLAS!$B$52:$B$58,0)+4,7))))/(INDEX(TABLAS!$C$52:$C$58,MIN(MATCH(MAX(4,DATOS!$C$71),TABLAS!$B$52:$B$58,0)+4,7))+MAX(DATOS!$C$70,INDEX(TABLAS!$C$52:$C$58,MIN(MATCH(MAX(4,DATOS!$C$71),TABLAS!$B$52:$B$58,0)+4,7))))))),INDEX(TABLAS!$B$52:$B$58,MIN(MATCH(MAX(4,DATOS!$C$71),TABLAS!$B$52:$B$58,0)+4,7)),INDEX(TABLAS!$B$52:$B$58,7)))))))</f>
        <v/>
      </c>
      <c r="CE43" s="59" t="str">
        <f>IF(V43&lt;&gt;"SÍ","",IF(CC43&lt;0,0,IF(MAX(DATOS!$C$74,CEILING(MAX(CC43,0)/INDEX(TABLAS!$D$52:$D$58,MATCH(CD43,TABLAS!$B$52:$B$58,0)),1))*INDEX(TABLAS!$D$52:$D$58,MATCH(CD43,TABLAS!$B$52:$B$58,0))&gt;=4/3*IF(BI43&lt;=0,0,IF((1-2*BI43*1E5/(DATOS!$C$29*AI43*CB43^2*DATOS!$C$21))&lt;0,-1,IF((1-SQRT((1-2*BI43*1E5/(DATOS!$C$29*AI43*CB43^2*DATOS!$C$21))))*DATOS!$C$21*AI43*CB43/DATOS!$C$14&gt;DATOS!$C$102*AI43*CB43,-1,(1-SQRT((1-2*BI43*1E5/(DATOS!$C$29*AI43*CB43^2*DATOS!$C$21))))*DATOS!$C$21*AI43*CB43/DATOS!$C$14)))-0.0001,MAX(DATOS!$C$74,CEILING(MAX(CC43,0)/INDEX(TABLAS!$D$52:$D$58,MATCH(CD43,TABLAS!$B$52:$B$58,0)),1)),MAX(MAX(DATOS!$C$74,CEILING(MAX(CC43,0)/INDEX(TABLAS!$D$52:$D$58,MATCH(CD43,TABLAS!$B$52:$B$58,0)),1)),2))))</f>
        <v/>
      </c>
      <c r="CF43" s="58" t="str">
        <f>IF(V43&lt;&gt;"SÍ","",DATOS!$C$85-AK43-INDEX(TABLAS!$C$52:$C$58,MATCH(BN43,TABLAS!$B$52:$B$58,0))-INDEX(TABLAS!$C$52:$C$58,MATCH(CD43,TABLAS!$B$52:$B$58,0))/2)</f>
        <v/>
      </c>
      <c r="CG43" s="56" t="str">
        <f>IF(V43&lt;&gt;"SÍ","",IF(CE43=0,0,DATOS!$C$29*CE43*INDEX(TABLAS!$D$52:$D$58,MATCH(CD43,TABLAS!$B$52:$B$58,0))*DATOS!$C$14*(CF43-CE43*INDEX(TABLAS!$D$52:$D$58,MATCH(CD43,TABLAS!$B$52:$B$58,0))*DATOS!$C$14/(DATOS!$C$21*AI43)/2)/1E5))</f>
        <v/>
      </c>
      <c r="CH43" s="65" t="str">
        <f>IF(V43&lt;&gt;"SÍ","",IF(CC43&lt;0,9.99,IF(CG43&gt;0,BI43/CG43,0)))</f>
        <v/>
      </c>
      <c r="CI43" s="66" t="str">
        <f>IF(V43&lt;&gt;"SÍ","",IF(CE43=0,"—",0.003*(CF43-(CE43*INDEX(TABLAS!$D$52:$D$58,MATCH(CD43,TABLAS!$B$52:$B$58,0))*DATOS!$C$14/(DATOS!$C$21*AI43)/DATOS!$C$22))/(CE43*INDEX(TABLAS!$D$52:$D$58,MATCH(CD43,TABLAS!$B$52:$B$58,0))*DATOS!$C$14/(DATOS!$C$21*AI43)/DATOS!$C$22)))</f>
        <v/>
      </c>
      <c r="CJ43" s="58" t="str">
        <f>IF(V43&lt;&gt;"SÍ","",((DATOS!$C$85-AM43-2*DATOS!$C$97-INDEX(TABLAS!$C$52:$C$58,MATCH(MAX(4,DATOS!$C$72),TABLAS!$B$52:$B$58,0))-INDEX(TABLAS!$C$52:$C$58,MATCH(MAX(4,DATOS!$C$72),TABLAS!$B$52:$B$58,0))/2)-IF(AND((DATOS!$C$85-AM43-2*DATOS!$C$97-INDEX(TABLAS!$C$52:$C$58,MATCH(MAX(4,DATOS!$C$72),TABLAS!$B$52:$B$58,0))-INDEX(TABLAS!$C$52:$C$58,MATCH(MAX(4,DATOS!$C$72),TABLAS!$B$52:$B$58,0))/2)&lt;=20,DATOS!$C$65&lt;&gt;"SÍ"),2,0)))</f>
        <v/>
      </c>
      <c r="CK43" s="58" t="str">
        <f>IF(V43&lt;&gt;"SÍ","",IF(IF(BJ43&lt;=0,0,IF((1-2*BJ43*1E5/(DATOS!$C$29*AG43*CJ43^2*DATOS!$C$21))&lt;0,-1,IF((1-SQRT((1-2*BJ43*1E5/(DATOS!$C$29*AG43*CJ43^2*DATOS!$C$21))))*DATOS!$C$21*AG43*CJ43/DATOS!$C$14&gt;DATOS!$C$102*AG43*CJ43,-1,(1-SQRT((1-2*BJ43*1E5/(DATOS!$C$29*AG43*CJ43^2*DATOS!$C$21))))*DATOS!$C$21*AG43*CJ43/DATOS!$C$14)))&lt;0,-1,MAX(IF(BJ43&lt;=0,0,IF((1-2*BJ43*1E5/(DATOS!$C$29*AG43*CJ43^2*DATOS!$C$21))&lt;0,-1,IF((1-SQRT((1-2*BJ43*1E5/(DATOS!$C$29*AG43*CJ43^2*DATOS!$C$21))))*DATOS!$C$21*AG43*CJ43/DATOS!$C$14&gt;DATOS!$C$102*AG43*CJ43,-1,(1-SQRT((1-2*BJ43*1E5/(DATOS!$C$29*AG43*CJ43^2*DATOS!$C$21))))*DATOS!$C$21*AG43*CJ43/DATOS!$C$14))),MIN(DATOS!$C$103*DATOS!$C$83*CJ43,4/3*IF(BJ43&lt;=0,0,IF((1-2*BJ43*1E5/(DATOS!$C$29*AG43*CJ43^2*DATOS!$C$21))&lt;0,-1,IF((1-SQRT((1-2*BJ43*1E5/(DATOS!$C$29*AG43*CJ43^2*DATOS!$C$21))))*DATOS!$C$21*AG43*CJ43/DATOS!$C$14&gt;DATOS!$C$102*AG43*CJ43,-1,(1-SQRT((1-2*BJ43*1E5/(DATOS!$C$29*AG43*CJ43^2*DATOS!$C$21))))*DATOS!$C$21*AG43*CJ43/DATOS!$C$14)))))))</f>
        <v/>
      </c>
      <c r="CL43" s="64" t="str">
        <f>IF(V43&lt;&gt;"SÍ","",IF(AND(CK43&gt;=0,IF(MAX(DATOS!$C$74,CEILING(CK43/INDEX(TABLAS!$D$52:$D$58,MIN(MATCH(MAX(4,DATOS!$C$72),TABLAS!$B$52:$B$58,0)+0,7)),1))*INDEX(TABLAS!$D$52:$D$58,MIN(MATCH(MAX(4,DATOS!$C$72),TABLAS!$B$52:$B$58,0)+0,7)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+0,7)),1)),MAX(MAX(DATOS!$C$74,CEILING(CK43/INDEX(TABLAS!$D$52:$D$58,MIN(MATCH(MAX(4,DATOS!$C$72),TABLAS!$B$52:$B$58,0)+0,7)),1)),2))&lt;=MIN(DATOS!$C$73,INT(((DATOS!$C$83-2*AL43)+MAX(DATOS!$C$70,INDEX(TABLAS!$C$52:$C$58,MIN(MATCH(MAX(4,DATOS!$C$72),TABLAS!$B$52:$B$58,0)+0,7))))/(INDEX(TABLAS!$C$52:$C$58,MIN(MATCH(MAX(4,DATOS!$C$72),TABLAS!$B$52:$B$58,0)+0,7))+MAX(DATOS!$C$70,INDEX(TABLAS!$C$52:$C$58,MIN(MATCH(MAX(4,DATOS!$C$72),TABLAS!$B$52:$B$58,0)+0,7))))))),INDEX(TABLAS!$B$52:$B$58,MIN(MATCH(MAX(4,DATOS!$C$72),TABLAS!$B$52:$B$58,0)+0,7)),IF(AND(CK43&gt;=0,IF(MAX(DATOS!$C$74,CEILING(CK43/INDEX(TABLAS!$D$52:$D$58,MIN(MATCH(MAX(4,DATOS!$C$72),TABLAS!$B$52:$B$58,0)+1,7)),1))*INDEX(TABLAS!$D$52:$D$58,MIN(MATCH(MAX(4,DATOS!$C$72),TABLAS!$B$52:$B$58,0)+1,7)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+1,7)),1)),MAX(MAX(DATOS!$C$74,CEILING(CK43/INDEX(TABLAS!$D$52:$D$58,MIN(MATCH(MAX(4,DATOS!$C$72),TABLAS!$B$52:$B$58,0)+1,7)),1)),2))&lt;=MIN(DATOS!$C$73,INT(((DATOS!$C$83-2*AL43)+MAX(DATOS!$C$70,INDEX(TABLAS!$C$52:$C$58,MIN(MATCH(MAX(4,DATOS!$C$72),TABLAS!$B$52:$B$58,0)+1,7))))/(INDEX(TABLAS!$C$52:$C$58,MIN(MATCH(MAX(4,DATOS!$C$72),TABLAS!$B$52:$B$58,0)+1,7))+MAX(DATOS!$C$70,INDEX(TABLAS!$C$52:$C$58,MIN(MATCH(MAX(4,DATOS!$C$72),TABLAS!$B$52:$B$58,0)+1,7))))))),INDEX(TABLAS!$B$52:$B$58,MIN(MATCH(MAX(4,DATOS!$C$72),TABLAS!$B$52:$B$58,0)+1,7)),IF(AND(CK43&gt;=0,IF(MAX(DATOS!$C$74,CEILING(CK43/INDEX(TABLAS!$D$52:$D$58,MIN(MATCH(MAX(4,DATOS!$C$72),TABLAS!$B$52:$B$58,0)+2,7)),1))*INDEX(TABLAS!$D$52:$D$58,MIN(MATCH(MAX(4,DATOS!$C$72),TABLAS!$B$52:$B$58,0)+2,7)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+2,7)),1)),MAX(MAX(DATOS!$C$74,CEILING(CK43/INDEX(TABLAS!$D$52:$D$58,MIN(MATCH(MAX(4,DATOS!$C$72),TABLAS!$B$52:$B$58,0)+2,7)),1)),2))&lt;=MIN(DATOS!$C$73,INT(((DATOS!$C$83-2*AL43)+MAX(DATOS!$C$70,INDEX(TABLAS!$C$52:$C$58,MIN(MATCH(MAX(4,DATOS!$C$72),TABLAS!$B$52:$B$58,0)+2,7))))/(INDEX(TABLAS!$C$52:$C$58,MIN(MATCH(MAX(4,DATOS!$C$72),TABLAS!$B$52:$B$58,0)+2,7))+MAX(DATOS!$C$70,INDEX(TABLAS!$C$52:$C$58,MIN(MATCH(MAX(4,DATOS!$C$72),TABLAS!$B$52:$B$58,0)+2,7))))))),INDEX(TABLAS!$B$52:$B$58,MIN(MATCH(MAX(4,DATOS!$C$72),TABLAS!$B$52:$B$58,0)+2,7)),IF(AND(CK43&gt;=0,IF(MAX(DATOS!$C$74,CEILING(CK43/INDEX(TABLAS!$D$52:$D$58,MIN(MATCH(MAX(4,DATOS!$C$72),TABLAS!$B$52:$B$58,0)+3,7)),1))*INDEX(TABLAS!$D$52:$D$58,MIN(MATCH(MAX(4,DATOS!$C$72),TABLAS!$B$52:$B$58,0)+3,7)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+3,7)),1)),MAX(MAX(DATOS!$C$74,CEILING(CK43/INDEX(TABLAS!$D$52:$D$58,MIN(MATCH(MAX(4,DATOS!$C$72),TABLAS!$B$52:$B$58,0)+3,7)),1)),2))&lt;=MIN(DATOS!$C$73,INT(((DATOS!$C$83-2*AL43)+MAX(DATOS!$C$70,INDEX(TABLAS!$C$52:$C$58,MIN(MATCH(MAX(4,DATOS!$C$72),TABLAS!$B$52:$B$58,0)+3,7))))/(INDEX(TABLAS!$C$52:$C$58,MIN(MATCH(MAX(4,DATOS!$C$72),TABLAS!$B$52:$B$58,0)+3,7))+MAX(DATOS!$C$70,INDEX(TABLAS!$C$52:$C$58,MIN(MATCH(MAX(4,DATOS!$C$72),TABLAS!$B$52:$B$58,0)+3,7))))))),INDEX(TABLAS!$B$52:$B$58,MIN(MATCH(MAX(4,DATOS!$C$72),TABLAS!$B$52:$B$58,0)+3,7)),IF(AND(CK43&gt;=0,IF(MAX(DATOS!$C$74,CEILING(CK43/INDEX(TABLAS!$D$52:$D$58,MIN(MATCH(MAX(4,DATOS!$C$72),TABLAS!$B$52:$B$58,0)+4,7)),1))*INDEX(TABLAS!$D$52:$D$58,MIN(MATCH(MAX(4,DATOS!$C$72),TABLAS!$B$52:$B$58,0)+4,7)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+4,7)),1)),MAX(MAX(DATOS!$C$74,CEILING(CK43/INDEX(TABLAS!$D$52:$D$58,MIN(MATCH(MAX(4,DATOS!$C$72),TABLAS!$B$52:$B$58,0)+4,7)),1)),2))&lt;=MIN(DATOS!$C$73,INT(((DATOS!$C$83-2*AL43)+MAX(DATOS!$C$70,INDEX(TABLAS!$C$52:$C$58,MIN(MATCH(MAX(4,DATOS!$C$72),TABLAS!$B$52:$B$58,0)+4,7))))/(INDEX(TABLAS!$C$52:$C$58,MIN(MATCH(MAX(4,DATOS!$C$72),TABLAS!$B$52:$B$58,0)+4,7))+MAX(DATOS!$C$70,INDEX(TABLAS!$C$52:$C$58,MIN(MATCH(MAX(4,DATOS!$C$72),TABLAS!$B$52:$B$58,0)+4,7))))))),INDEX(TABLAS!$B$52:$B$58,MIN(MATCH(MAX(4,DATOS!$C$72),TABLAS!$B$52:$B$58,0)+4,7)),INDEX(TABLAS!$B$52:$B$58,7)))))))</f>
        <v/>
      </c>
      <c r="CM43" s="59" t="str">
        <f>IF(V43&lt;&gt;"SÍ","",IF(CK43&lt;0,0,IF(MAX(DATOS!$C$74,CEILING(MAX(CK43,0)/INDEX(TABLAS!$D$52:$D$58,MATCH(CL43,TABLAS!$B$52:$B$58,0)),1))*INDEX(TABLAS!$D$52:$D$58,MATCH(CL43,TABLAS!$B$52:$B$58,0))&gt;=4/3*IF(BJ43&lt;=0,0,IF((1-2*BJ43*1E5/(DATOS!$C$29*AG43*CJ43^2*DATOS!$C$21))&lt;0,-1,IF((1-SQRT((1-2*BJ43*1E5/(DATOS!$C$29*AG43*CJ43^2*DATOS!$C$21))))*DATOS!$C$21*AG43*CJ43/DATOS!$C$14&gt;DATOS!$C$102*AG43*CJ43,-1,(1-SQRT((1-2*BJ43*1E5/(DATOS!$C$29*AG43*CJ43^2*DATOS!$C$21))))*DATOS!$C$21*AG43*CJ43/DATOS!$C$14)))-0.0001,MAX(DATOS!$C$74,CEILING(MAX(CK43,0)/INDEX(TABLAS!$D$52:$D$58,MATCH(CL43,TABLAS!$B$52:$B$58,0)),1)),MAX(MAX(DATOS!$C$74,CEILING(MAX(CK43,0)/INDEX(TABLAS!$D$52:$D$58,MATCH(CL43,TABLAS!$B$52:$B$58,0)),1)),2))))</f>
        <v/>
      </c>
      <c r="CN43" s="58" t="str">
        <f>IF(V43&lt;&gt;"SÍ","",((DATOS!$C$85-AM43-2*DATOS!$C$97-INDEX(TABLAS!$C$52:$C$58,MATCH(BV43,TABLAS!$B$52:$B$58,0))-INDEX(TABLAS!$C$52:$C$58,MATCH(CL43,TABLAS!$B$52:$B$58,0))/2)-IF(AND((DATOS!$C$85-AM43-2*DATOS!$C$97-INDEX(TABLAS!$C$52:$C$58,MATCH(BV43,TABLAS!$B$52:$B$58,0))-INDEX(TABLAS!$C$52:$C$58,MATCH(CL43,TABLAS!$B$52:$B$58,0))/2)&lt;=20,DATOS!$C$65&lt;&gt;"SÍ"),2,0)))</f>
        <v/>
      </c>
      <c r="CO43" s="56" t="str">
        <f>IF(V43&lt;&gt;"SÍ","",IF(CM43=0,0,DATOS!$C$29*CM43*INDEX(TABLAS!$D$52:$D$58,MATCH(CL43,TABLAS!$B$52:$B$58,0))*DATOS!$C$14*(CN43-CM43*INDEX(TABLAS!$D$52:$D$58,MATCH(CL43,TABLAS!$B$52:$B$58,0))*DATOS!$C$14/(DATOS!$C$21*AG43)/2)/1E5))</f>
        <v/>
      </c>
      <c r="CP43" s="65" t="str">
        <f>IF(V43&lt;&gt;"SÍ","",IF(CK43&lt;0,9.99,IF(CO43&gt;0,BJ43/CO43,0)))</f>
        <v/>
      </c>
      <c r="CQ43" s="66" t="str">
        <f>IF(V43&lt;&gt;"SÍ","",IF(CM43=0,"—",0.003*(CN43-(CM43*INDEX(TABLAS!$D$52:$D$58,MATCH(CL43,TABLAS!$B$52:$B$58,0))*DATOS!$C$14/(DATOS!$C$21*AG43)/DATOS!$C$22))/(CM43*INDEX(TABLAS!$D$52:$D$58,MATCH(CL43,TABLAS!$B$52:$B$58,0))*DATOS!$C$14/(DATOS!$C$21*AG43)/DATOS!$C$22)))</f>
        <v/>
      </c>
      <c r="CR43" s="56" t="str">
        <f>IF(V43&lt;&gt;"SÍ","",IF(C43="PERIMETRAL",MAX(0,(AB43/2-BX43)/100)*(0.95-0.5*AA43)*AR43*IF(AND(AS43&gt;0,AS43&lt;4),DATOS!$C$33,1)*DATOS!$C$86/100/1000,(AR43*MAX(0,AB43-BX43)/100+DATOS!$C$26*N(O43))*DATOS!$C$86/100/1000+BF43))</f>
        <v/>
      </c>
      <c r="CS43" s="56" t="str">
        <f>IF(V43&lt;&gt;"SÍ","",DATOS!$C$30*2*MIN(1,SQRT(2/(1+0.04*BX43)))*(BW43*INDEX(TABLAS!$D$52:$D$58,MATCH(BV43,TABLAS!$B$52:$B$58,0))/(AF43*BX43))^(1/3)*SQRT(DATOS!$C$13)*AF43*BX43*IF(AJ43="SÍ",DATOS!$C$32,1)/1000)</f>
        <v/>
      </c>
      <c r="CT43" s="59" t="str">
        <f>IF(V43&lt;&gt;"SÍ","",IF(CR43&lt;=CS43,0,CEILING(MAX(0,IF(C43="VOLADO",(AB43-((CS43-BF43)*1E5/DATOS!$C$86-DATOS!$C$26*N(O43))*100/AR43),IF(CS43&lt;=0,AB43,AB43/2-CS43/MAX(CR43,1E-9)*(AB43/2-BX43)))-IF(X43="X",MIN(DJ43,DK43),MIN(DL43,DM43)))/DATOS!$C$86,1)))</f>
        <v/>
      </c>
      <c r="CU43" s="67" t="str">
        <f>IF(V43&lt;&gt;"SÍ","",IF(CR43&lt;=CS43,"CUMPLE",IF(CT43&lt;=0,"CUMPLE (basta el macizo de orilla)",IF(CT43*DATOS!$C$86*IF(C43="VOLADO",1,2)&gt;=Y43*100-DATOS!$C$87,"NO CUMPLE: no alcanza ni macizando todo","MACIZAR "&amp;CT43&amp;" hilera(s)"))))</f>
        <v/>
      </c>
      <c r="CV43" s="58" t="str">
        <f>IF(V43&lt;&gt;"SÍ","",(DATOS!$C$86*DATOS!$C$84^2/2+MIN(DATOS!$C$83,AD43)*DATOS!$C$82*(DATOS!$C$84+DATOS!$C$82/2))/(DATOS!$C$86*DATOS!$C$84+MIN(DATOS!$C$83,AD43)*DATOS!$C$82))</f>
        <v/>
      </c>
      <c r="CW43" s="68" t="str">
        <f>IF(V43&lt;&gt;"SÍ","",DATOS!$C$86*DATOS!$C$84^3/12+DATOS!$C$86*DATOS!$C$84*(CV43-DATOS!$C$84/2)^2+MIN(DATOS!$C$83,AD43)*DATOS!$C$82^3/12+MIN(DATOS!$C$83,AD43)*DATOS!$C$82*(DATOS!$C$84+DATOS!$C$82/2-CV43)^2)</f>
        <v/>
      </c>
      <c r="CX43" s="58" t="str">
        <f>IF(V43&lt;&gt;"SÍ","",(12*CW43/DATOS!$C$86)^(1/3))</f>
        <v/>
      </c>
      <c r="CY43" s="58" t="str">
        <f>IF(V43&lt;&gt;"SÍ","",IF(C43="PERIMETRAL",IF(ISNUMBER(S43),S43,DATOS!$C$104),0))</f>
        <v/>
      </c>
      <c r="CZ43" s="57" t="str">
        <f>IF(V43&lt;&gt;"SÍ","",IF(C43="PERIMETRAL",IF(CY43&gt;2,MAX(9,AC43*(0.8+DATOS!$C$14/14000)/(36+9*(AC43/MAX(AB43,1)))),IF(CY43&gt;0.2,MAX(13,AC43*(0.8+DATOS!$C$14/14000)/(36+5*(AC43/MAX(AB43,1))*(CY43-0.2))),MAX(13,AC43/IF(AS43&gt;0,30,33))))*IF(AND(CY43&gt;0.2,AS43&gt;0,DATOS!$C$105="NO"),1.1,1),MAX(25,Y43*100/8*(0.4+DATOS!$C$14/7000))))</f>
        <v/>
      </c>
      <c r="DA43" s="61" t="str">
        <f>IF(V43&lt;&gt;"SÍ","",IF(IF(C43="VOLADO",DATOS!$C$85,CX43)&gt;=CZ43,"CUMPLE",IF(C43="VOLADO","NO CUMPLE","CALCULAR FLECHA")))</f>
        <v/>
      </c>
      <c r="DB43" s="55" t="str">
        <f>IF(V43&lt;&gt;"SÍ","",IF(DATOS!$C$84&gt;=IF(IF(C43="VOLADO",Y43,Z43)&gt;=6,6,5),"CUMPLE","CAPA ≥ 6 cm"))</f>
        <v/>
      </c>
      <c r="DC43" s="60" t="str">
        <f>IF(V43&lt;&gt;"SÍ","",IF(C43="VOLADO",MIN(FLOOR(IF(ISNUMBER(P43),P43,Y43)*100-DATOS!$C$63,5),CEILING(MAX(IF((0.5*(0.9*DATOS!$C$90*DATOS!$C$86/100/1000)*IF(ISNUMBER(P43),P43,Y43)+BH43/IF(ISNUMBER(P43),P43,Y43))^2-4*(0.5*(0.9*DATOS!$C$90*DATOS!$C$86/100/1000))*BH43&lt;0,IF(ISNUMBER(P43),P43,Y43),MIN(IF(ISNUMBER(P43),P43,Y43),((0.5*(0.9*DATOS!$C$90*DATOS!$C$86/100/1000)*IF(ISNUMBER(P43),P43,Y43)+BH43/IF(ISNUMBER(P43),P43,Y43))-SQRT((0.5*(0.9*DATOS!$C$90*DATOS!$C$86/100/1000)*IF(ISNUMBER(P43),P43,Y43)+BH43/IF(ISNUMBER(P43),P43,Y43))^2-4*(0.5*(0.9*DATOS!$C$90*DATOS!$C$86/100/1000))*BH43))/(2*(0.5*(0.9*DATOS!$C$90*DATOS!$C$86/100/1000)))))*100+MAX(BX43,12*INDEX(TABLAS!$C$52:$C$58,MATCH(BV43,TABLAS!$B$52:$B$58,0)),IF(ISNUMBER(P43),P43,Y43)*100/16),IF(OR(AL43&lt;INDEX(TABLAS!$C$52:$C$58,MATCH(BV43,TABLAS!$B$52:$B$58,0)),AND(BW43&gt;=2,(AD43-2*AL43-BW43*INDEX(TABLAS!$C$52:$C$58,MATCH(BV43,TABLAS!$B$52:$B$58,0)))/MAX(BW43-1,1)&lt;2*INDEX(TABLAS!$C$52:$C$58,MATCH(BV43,TABLAS!$B$52:$B$58,0)))),INDEX(TABLAS!$I$52:$I$58,MATCH(BV43,TABLAS!$B$52:$B$58,0)),INDEX(TABLAS!$F$52:$F$58,MATCH(BV43,TABLAS!$B$52:$B$58,0)))),5)),IF(((4*((BC43*AR43*Y43^2*1E-4*DATOS!$C$86/100/1000)+((MAX(AY43,BA43)*AR43*Y43^2*1E-4*DATOS!$C$86/100/1000)+(IF(AND(AY43&gt;0,BA43&gt;0),MIN(AY43,BA43),MAX(AY43,BA43))*AR43*Y43^2*1E-4*DATOS!$C$86/100/1000))/2)+BH43-(IF(AND(AY43&gt;0,BA43&gt;0),MIN(AY43,BA43),MAX(AY43,BA43))*AR43*Y43^2*1E-4*DATOS!$C$86/100/1000))^2-16*((BC43*AR43*Y43^2*1E-4*DATOS!$C$86/100/1000)+((MAX(AY43,BA43)*AR43*Y43^2*1E-4*DATOS!$C$86/100/1000)+(IF(AND(AY43&gt;0,BA43&gt;0),MIN(AY43,BA43),MAX(AY43,BA43))*AR43*Y43^2*1E-4*DATOS!$C$86/100/1000))/2)*BH43)&lt;0,CEILING(AB43,5),CEILING(MAX(AB43*((4*((BC43*AR43*Y43^2*1E-4*DATOS!$C$86/100/1000)+((MAX(AY43,BA43)*AR43*Y43^2*1E-4*DATOS!$C$86/100/1000)+(IF(AND(AY43&gt;0,BA43&gt;0),MIN(AY43,BA43),MAX(AY43,BA43))*AR43*Y43^2*1E-4*DATOS!$C$86/100/1000))/2)+BH43-(IF(AND(AY43&gt;0,BA43&gt;0),MIN(AY43,BA43),MAX(AY43,BA43))*AR43*Y43^2*1E-4*DATOS!$C$86/100/1000))-SQRT(MAX(0,((4*((BC43*AR43*Y43^2*1E-4*DATOS!$C$86/100/1000)+((MAX(AY43,BA43)*AR43*Y43^2*1E-4*DATOS!$C$86/100/1000)+(IF(AND(AY43&gt;0,BA43&gt;0),MIN(AY43,BA43),MAX(AY43,BA43))*AR43*Y43^2*1E-4*DATOS!$C$86/100/1000))/2)+BH43-(IF(AND(AY43&gt;0,BA43&gt;0),MIN(AY43,BA43),MAX(AY43,BA43))*AR43*Y43^2*1E-4*DATOS!$C$86/100/1000))^2-16*((BC43*AR43*Y43^2*1E-4*DATOS!$C$86/100/1000)+((MAX(AY43,BA43)*AR43*Y43^2*1E-4*DATOS!$C$86/100/1000)+(IF(AND(AY43&gt;0,BA43&gt;0),MIN(AY43,BA43),MAX(AY43,BA43))*AR43*Y43^2*1E-4*DATOS!$C$86/100/1000))/2)*BH43))))/(8*MAX(((BC43*AR43*Y43^2*1E-4*DATOS!$C$86/100/1000)+((MAX(AY43,BA43)*AR43*Y43^2*1E-4*DATOS!$C$86/100/1000)+(IF(AND(AY43&gt;0,BA43&gt;0),MIN(AY43,BA43),MAX(AY43,BA43))*AR43*Y43^2*1E-4*DATOS!$C$86/100/1000))/2),1E-9))+MAX(BX43,12*INDEX(TABLAS!$C$52:$C$58,MATCH(BV43,TABLAS!$B$52:$B$58,0)),AB43/16),IF(OR(AL43&lt;INDEX(TABLAS!$C$52:$C$58,MATCH(BV43,TABLAS!$B$52:$B$58,0)),AND(BW43&gt;=2,(AD43-2*AL43-BW43*INDEX(TABLAS!$C$52:$C$58,MATCH(BV43,TABLAS!$B$52:$B$58,0)))/MAX(BW43-1,1)&lt;2*INDEX(TABLAS!$C$52:$C$58,MATCH(BV43,TABLAS!$B$52:$B$58,0)))),INDEX(TABLAS!$I$52:$I$58,MATCH(BV43,TABLAS!$B$52:$B$58,0)),INDEX(TABLAS!$F$52:$F$58,MATCH(BV43,TABLAS!$B$52:$B$58,0)))),5))))</f>
        <v/>
      </c>
      <c r="DD43" s="60" t="str">
        <f>IF(V43&lt;&gt;"SÍ","",IF(C43="VOLADO",0,IF(((4*((BD43*AR43*Y43^2*1E-4*DATOS!$C$86/100/1000)+((MAX(AZ43,BB43)*AR43*Y43^2*1E-4*DATOS!$C$86/100/1000)+(IF(AND(AZ43&gt;0,BB43&gt;0),MIN(AZ43,BB43),MAX(AZ43,BB43))*AR43*Y43^2*1E-4*DATOS!$C$86/100/1000))/2)+BJ43-(IF(AND(AZ43&gt;0,BB43&gt;0),MIN(AZ43,BB43),MAX(AZ43,BB43))*AR43*Y43^2*1E-4*DATOS!$C$86/100/1000))^2-16*((BD43*AR43*Y43^2*1E-4*DATOS!$C$86/100/1000)+((MAX(AZ43,BB43)*AR43*Y43^2*1E-4*DATOS!$C$86/100/1000)+(IF(AND(AZ43&gt;0,BB43&gt;0),MIN(AZ43,BB43),MAX(AZ43,BB43))*AR43*Y43^2*1E-4*DATOS!$C$86/100/1000))/2)*BJ43)&lt;0,CEILING(AC43,5),CEILING(MAX(AC43*((4*((BD43*AR43*Y43^2*1E-4*DATOS!$C$86/100/1000)+((MAX(AZ43,BB43)*AR43*Y43^2*1E-4*DATOS!$C$86/100/1000)+(IF(AND(AZ43&gt;0,BB43&gt;0),MIN(AZ43,BB43),MAX(AZ43,BB43))*AR43*Y43^2*1E-4*DATOS!$C$86/100/1000))/2)+BJ43-(IF(AND(AZ43&gt;0,BB43&gt;0),MIN(AZ43,BB43),MAX(AZ43,BB43))*AR43*Y43^2*1E-4*DATOS!$C$86/100/1000))-SQRT(MAX(0,((4*((BD43*AR43*Y43^2*1E-4*DATOS!$C$86/100/1000)+((MAX(AZ43,BB43)*AR43*Y43^2*1E-4*DATOS!$C$86/100/1000)+(IF(AND(AZ43&gt;0,BB43&gt;0),MIN(AZ43,BB43),MAX(AZ43,BB43))*AR43*Y43^2*1E-4*DATOS!$C$86/100/1000))/2)+BJ43-(IF(AND(AZ43&gt;0,BB43&gt;0),MIN(AZ43,BB43),MAX(AZ43,BB43))*AR43*Y43^2*1E-4*DATOS!$C$86/100/1000))^2-16*((BD43*AR43*Y43^2*1E-4*DATOS!$C$86/100/1000)+((MAX(AZ43,BB43)*AR43*Y43^2*1E-4*DATOS!$C$86/100/1000)+(IF(AND(AZ43&gt;0,BB43&gt;0),MIN(AZ43,BB43),MAX(AZ43,BB43))*AR43*Y43^2*1E-4*DATOS!$C$86/100/1000))/2)*BJ43))))/(8*MAX(((BD43*AR43*Y43^2*1E-4*DATOS!$C$86/100/1000)+((MAX(AZ43,BB43)*AR43*Y43^2*1E-4*DATOS!$C$86/100/1000)+(IF(AND(AZ43&gt;0,BB43&gt;0),MIN(AZ43,BB43),MAX(AZ43,BB43))*AR43*Y43^2*1E-4*DATOS!$C$86/100/1000))/2),1E-9))+MAX(CN43,12*INDEX(TABLAS!$C$52:$C$58,MATCH(CL43,TABLAS!$B$52:$B$58,0)),AC43/16),IF(OR(AL43&lt;INDEX(TABLAS!$C$52:$C$58,MATCH(CL43,TABLAS!$B$52:$B$58,0)),AND(CM43&gt;=2,(DATOS!$C$83-2*AL43-CM43*INDEX(TABLAS!$C$52:$C$58,MATCH(CL43,TABLAS!$B$52:$B$58,0)))/MAX(CM43-1,1)&lt;2*INDEX(TABLAS!$C$52:$C$58,MATCH(CL43,TABLAS!$B$52:$B$58,0)))),INDEX(TABLAS!$I$52:$I$58,MATCH(CL43,TABLAS!$B$52:$B$58,0)),INDEX(TABLAS!$F$52:$F$58,MATCH(CL43,TABLAS!$B$52:$B$58,0)))),5))))</f>
        <v/>
      </c>
      <c r="DE43" s="55" t="str">
        <f>IF(V43&lt;&gt;"SÍ","",IF(AND(C43="PERIMETRAL",BW43&gt;=2,AS43-AT43&gt;0,BA43*AR43*Y43^2*1E-4*DATOS!$C$86/100/1000&gt;DATOS!$C$29*INDEX(TABLAS!$D$52:$D$58,MATCH(BV43,TABLAS!$B$52:$B$58,0))*DATOS!$C$14*(BX43-INDEX(TABLAS!$D$52:$D$58,MATCH(BV43,TABLAS!$B$52:$B$58,0))*DATOS!$C$14/(DATOS!$C$21*AF43)/2)/1E5),"SÍ","NO"))</f>
        <v/>
      </c>
      <c r="DF43" s="55" t="str">
        <f>IF(V43&lt;&gt;"SÍ","",IF(AND(C43="PERIMETRAL",CM43&gt;=2,AT43&gt;0,BB43*AR43*Y43^2*1E-4*DATOS!$C$86/100/1000&gt;DATOS!$C$29*INDEX(TABLAS!$D$52:$D$58,MATCH(CL43,TABLAS!$B$52:$B$58,0))*DATOS!$C$14*(CN43-INDEX(TABLAS!$D$52:$D$58,MATCH(CL43,TABLAS!$B$52:$B$58,0))*DATOS!$C$14/(DATOS!$C$21*AG43)/2)/1E5),"SÍ","NO"))</f>
        <v/>
      </c>
      <c r="DG43" s="63" t="str">
        <f>IF(V43&lt;&gt;"SÍ","",IF(OR(C43="VOLADO",AS43=0),"—",IF(AND(AND(1.25*INDEX(TABLAS!$G$52:$G$58,MATCH(MAX(BN43,CD43),TABLAS!$B$52:$B$58,0))&lt;=(DATOS!$C$75-DATOS!$C$63),(DATOS!$C$75-DATOS!$C$63)&gt;=15,INDEX(TABLAS!$G$52:$G$58,MATCH(MAX(BV43,CL43),TABLAS!$B$52:$B$58,0))&lt;=(DATOS!$C$75-DATOS!$C$63)),8*INDEX(TABLAS!$C$52:$C$58,MATCH(MAX(MAX(BN43,CD43),MAX(BV43,CL43)),TABLAS!$B$52:$B$58,0))&lt;=DATOS!$C$76-2*DATOS!$C$63),"CUMPLE (gancho de 180°)",IF(AND(1.25*INDEX(TABLAS!$G$52:$G$58,MATCH(MAX(BN43,CD43),TABLAS!$B$52:$B$58,0))&lt;=(DATOS!$C$75-DATOS!$C$63),(DATOS!$C$75-DATOS!$C$63)&gt;=15,INDEX(TABLAS!$G$52:$G$58,MATCH(MAX(BV43,CL43),TABLAS!$B$52:$B$58,0))&lt;=(DATOS!$C$75-DATOS!$C$63)),"NO CUMPLE: el gancho de 180° (8·d_b) no cabe en el peralte de la dala de borde","NO CUMPLE: dala de borde ≥ "&amp;TEXT(CEILING(MAX(1.25*INDEX(TABLAS!$G$52:$G$58,MATCH(MAX(BN43,CD43),TABLAS!$B$52:$B$58,0)),15,INDEX(TABLAS!$G$52:$G$58,MATCH(MAX(BV43,CL43),TABLAS!$B$52:$B$58,0)))+DATOS!$C$63,5),"0")&amp;" cm de ancho"&amp;IF(8*INDEX(TABLAS!$C$52:$C$58,MATCH(MAX(MAX(BN43,CD43),MAX(BV43,CL43)),TABLAS!$B$52:$B$58,0))&lt;=DATOS!$C$76-2*DATOS!$C$63,""," y más peralte para el gancho")))))</f>
        <v/>
      </c>
      <c r="DH43" s="59" t="str">
        <f>IF(V43&lt;&gt;"SÍ","",MAX(0,INT((E43*100-DATOS!$C$87-IF(AND(C43="PERIMETRAL",I43="DISCONTINUO"),MAX(0,DATOS!$C$75-DATOS!$C$87),0)-IF(AND(C43="PERIMETRAL",J43="DISCONTINUO"),MAX(0,DATOS!$C$75-DATOS!$C$87),0)+DATOS!$C$86-IF(X43="X",DATOS!$C$81,AE43))/DATOS!$C$86)))</f>
        <v/>
      </c>
      <c r="DI43" s="59" t="str">
        <f>IF(V43&lt;&gt;"SÍ","",MAX(0,INT((F43*100-DATOS!$C$87-IF(AND(C43="PERIMETRAL",G43="DISCONTINUO"),MAX(0,DATOS!$C$75-DATOS!$C$87),0)-IF(AND(C43="PERIMETRAL",H43="DISCONTINUO"),MAX(0,DATOS!$C$75-DATOS!$C$87),0)+DATOS!$C$86-IF(X43="Y",DATOS!$C$81,AE43))/DATOS!$C$86)))</f>
        <v/>
      </c>
      <c r="DJ43" s="57" t="str">
        <f>IF(V43&lt;&gt;"SÍ","",IF(DH43&gt;0,IF(AND(C43="PERIMETRAL",I43="DISCONTINUO"),MAX(0,DATOS!$C$75-DATOS!$C$87),0)+(E43*100-DATOS!$C$87-IF(AND(C43="PERIMETRAL",I43="DISCONTINUO"),MAX(0,DATOS!$C$75-DATOS!$C$87),0)-IF(AND(C43="PERIMETRAL",J43="DISCONTINUO"),MAX(0,DATOS!$C$75-DATOS!$C$87),0)-(DH43*IF(X43="X",DATOS!$C$81,AE43)+(DH43-1)*(DATOS!$C$86-IF(X43="X",DATOS!$C$81,AE43))))/2,E43*100/2))</f>
        <v/>
      </c>
      <c r="DK43" s="57" t="str">
        <f>IF(V43&lt;&gt;"SÍ","",IF(DH43&gt;0,IF(AND(C43="PERIMETRAL",J43="DISCONTINUO"),MAX(0,DATOS!$C$75-DATOS!$C$87),0)+(E43*100-DATOS!$C$87-IF(AND(C43="PERIMETRAL",I43="DISCONTINUO"),MAX(0,DATOS!$C$75-DATOS!$C$87),0)-IF(AND(C43="PERIMETRAL",J43="DISCONTINUO"),MAX(0,DATOS!$C$75-DATOS!$C$87),0)-(DH43*IF(X43="X",DATOS!$C$81,AE43)+(DH43-1)*(DATOS!$C$86-IF(X43="X",DATOS!$C$81,AE43))))/2,E43*100/2))</f>
        <v/>
      </c>
      <c r="DL43" s="57" t="str">
        <f>IF(V43&lt;&gt;"SÍ","",IF(DI43&gt;0,IF(AND(C43="PERIMETRAL",G43="DISCONTINUO"),MAX(0,DATOS!$C$75-DATOS!$C$87),0)+(F43*100-DATOS!$C$87-IF(AND(C43="PERIMETRAL",G43="DISCONTINUO"),MAX(0,DATOS!$C$75-DATOS!$C$87),0)-IF(AND(C43="PERIMETRAL",H43="DISCONTINUO"),MAX(0,DATOS!$C$75-DATOS!$C$87),0)-(DI43*IF(X43="Y",DATOS!$C$81,AE43)+(DI43-1)*(DATOS!$C$86-IF(X43="Y",DATOS!$C$81,AE43))))/2,F43*100/2))</f>
        <v/>
      </c>
      <c r="DM43" s="57" t="str">
        <f>IF(V43&lt;&gt;"SÍ","",IF(DI43&gt;0,IF(AND(C43="PERIMETRAL",H43="DISCONTINUO"),MAX(0,DATOS!$C$75-DATOS!$C$87),0)+(F43*100-DATOS!$C$87-IF(AND(C43="PERIMETRAL",G43="DISCONTINUO"),MAX(0,DATOS!$C$75-DATOS!$C$87),0)-IF(AND(C43="PERIMETRAL",H43="DISCONTINUO"),MAX(0,DATOS!$C$75-DATOS!$C$87),0)-(DI43*IF(X43="Y",DATOS!$C$81,AE43)+(DI43-1)*(DATOS!$C$86-IF(X43="Y",DATOS!$C$81,AE43))))/2,F43*100/2))</f>
        <v/>
      </c>
      <c r="DN43" s="59" t="str">
        <f>IF(V43&lt;&gt;"SÍ","",IF(NOT(AND(C43="VOLADO",AD43&gt;DATOS!$C$83)),0,IF(INDEX(TABLAS!$C$52:$C$58,MATCH(BV43,TABLAS!$B$52:$B$58,0))&lt;=DATOS!$C$83-2*DATOS!$C$63,1,0)))</f>
        <v/>
      </c>
      <c r="DO43" s="58" t="str">
        <f>IF(V43&lt;&gt;"SÍ","",IF(NOT(AND(C43="VOLADO",AD43&gt;DATOS!$C$83)),0,((DATOS!$C$85-MAX(DATOS!$C$63,(DATOS!$C$84-2*DATOS!$C$97)/2)-2*DATOS!$C$97-INDEX(TABLAS!$C$52:$C$58,MATCH(MAX(4,DATOS!$C$72),TABLAS!$B$52:$B$58,0))-INDEX(TABLAS!$C$52:$C$58,MATCH(BV43,TABLAS!$B$52:$B$58,0))/2)-IF(AND((DATOS!$C$85-MAX(DATOS!$C$63,(DATOS!$C$84-2*DATOS!$C$97)/2)-2*DATOS!$C$97-INDEX(TABLAS!$C$52:$C$58,MATCH(MAX(4,DATOS!$C$72),TABLAS!$B$52:$B$58,0))-INDEX(TABLAS!$C$52:$C$58,MATCH(BV43,TABLAS!$B$52:$B$58,0))/2)&lt;=20,DATOS!$C$65&lt;&gt;"SÍ"),2,0))))</f>
        <v/>
      </c>
      <c r="DP43" s="56" t="str">
        <f>IF(V43&lt;&gt;"SÍ","",IF(OR(NOT(AND(C43="VOLADO",AD43&gt;DATOS!$C$83)),DN43&lt;1),0,IF(0.003*(DO43-((DN43*INDEX(TABLAS!$D$52:$D$58,MATCH(BV43,TABLAS!$B$52:$B$58,0)))*DATOS!$C$14/(DATOS!$C$21*AG43)/DATOS!$C$22))/((DN43*INDEX(TABLAS!$D$52:$D$58,MATCH(BV43,TABLAS!$B$52:$B$58,0)))*DATOS!$C$14/(DATOS!$C$21*AG43)/DATOS!$C$22)&lt;0.005,0,DATOS!$C$29*(DN43*INDEX(TABLAS!$D$52:$D$58,MATCH(BV43,TABLAS!$B$52:$B$58,0)))*DATOS!$C$14*(DO43-(DN43*INDEX(TABLAS!$D$52:$D$58,MATCH(BV43,TABLAS!$B$52:$B$58,0)))*DATOS!$C$14/(DATOS!$C$21*AG43)/2)/1E5)))</f>
        <v/>
      </c>
      <c r="DQ43" s="56" t="str">
        <f>IF(V43&lt;&gt;"SÍ","",IF(OR(NOT(AND(C43="VOLADO",AD43&gt;DATOS!$C$83)),DN43&lt;1),0,DATOS!$C$30*2*MIN(1,SQRT(2/(1+0.04*DO43)))*((DN43*INDEX(TABLAS!$D$52:$D$58,MATCH(BV43,TABLAS!$B$52:$B$58,0)))/(AG43*DO43))^(1/3)*SQRT(DATOS!$C$13)*AG43*DO43/1000))</f>
        <v/>
      </c>
      <c r="DR43" s="56" t="str">
        <f>IF(V43&lt;&gt;"SÍ","",IF(NOT(AND(C43="VOLADO",AD43&gt;DATOS!$C$83)),0,IF((BH43-DP43)&lt;=0,0,IF(DP43&lt;=0,IF(ISNUMBER(P43),P43,Y43),IF(((0.9*DATOS!$C$90*DATOS!$C$86/100/1000)*IF(ISNUMBER(P43),P43,Y43)/2+BH43/IF(ISNUMBER(P43),P43,Y43))^2-4*((0.9*DATOS!$C$90*DATOS!$C$86/100/1000)/2)*(BH43-DP43)&lt;0,IF(ISNUMBER(P43),P43,Y43),MIN(IF(ISNUMBER(P43),P43,Y43),(((0.9*DATOS!$C$90*DATOS!$C$86/100/1000)*IF(ISNUMBER(P43),P43,Y43)/2+BH43/IF(ISNUMBER(P43),P43,Y43))-SQRT(((0.9*DATOS!$C$90*DATOS!$C$86/100/1000)*IF(ISNUMBER(P43),P43,Y43)/2+BH43/IF(ISNUMBER(P43),P43,Y43))^2-4*((0.9*DATOS!$C$90*DATOS!$C$86/100/1000)/2)*(BH43-DP43)))/(2*((0.9*DATOS!$C$90*DATOS!$C$86/100/1000)/2))))))))</f>
        <v/>
      </c>
      <c r="DS43" s="56" t="str">
        <f>IF(V43&lt;&gt;"SÍ","",IF(NOT(AND(C43="VOLADO",AD43&gt;DATOS!$C$83)),0,IF(DQ43&lt;=(BH43/((IF(ISNUMBER(P43),P43,Y43)*100-DATOS!$C$87)/100)),IF(ISNUMBER(P43),P43,Y43),MIN(IF(ISNUMBER(P43),P43,Y43),MAX(0,(IF(ISNUMBER(P43),P43,Y43)*100-DATOS!$C$87)/200-(DQ43-(BH43/((IF(ISNUMBER(P43),P43,Y43)*100-DATOS!$C$87)/100)))/((0.95-0.5*IF(N(Q43)&gt;0,MIN(IF(ISNUMBER(P43),P43,Y43),Q43)/MAX(IF(ISNUMBER(P43),P43,Y43),Q43),0))*DATOS!$C$33*AR43*DATOS!$C$86/100/1000))))))</f>
        <v/>
      </c>
      <c r="DT43" s="56" t="str">
        <f>IF(V43&lt;&gt;"SÍ","",IF(NOT(AND(C43="VOLADO",AD43&gt;DATOS!$C$83)),0,(BH43/((IF(ISNUMBER(P43),P43,Y43)*100-DATOS!$C$87)/100))+((0.95-0.5*IF(N(Q43)&gt;0,MIN(IF(ISNUMBER(P43),P43,Y43),Q43)/MAX(IF(ISNUMBER(P43),P43,Y43),Q43),0))*DATOS!$C$33*AR43*DATOS!$C$86/100/1000)*MAX(0,(IF(ISNUMBER(P43),P43,Y43)*100-DATOS!$C$87)/200-BX43/100)))</f>
        <v/>
      </c>
      <c r="DU43" s="59" t="str">
        <f>IF(V43&lt;&gt;"SÍ","",IF(NOT(AND(C43="VOLADO",AD43&gt;DATOS!$C$83)),0,MIN(FLOOR(100*IF(ISNUMBER(P43),P43,Y43)-DATOS!$C$63,5),CEILING(100*MIN(IF(ISNUMBER(P43),P43,Y43),MAX(IF(DR43&gt;0,DR43+IF(BW43&gt;=2,MAX(DO43,12*INDEX(TABLAS!$C$52:$C$58,MATCH(BV43,TABLAS!$B$52:$B$58,0)))/100,0),0),DS43,IF(BW43&gt;=2,INDEX(TABLAS!$F$52:$F$58,MATCH(BV43,TABLAS!$B$52:$B$58,0))/100,0))),5))))</f>
        <v/>
      </c>
      <c r="DV43" s="60" t="str">
        <f>IF(V43&lt;&gt;"SÍ","",IF(NOT(AND(C43="VOLADO",AD43&gt;DATOS!$C$83)),0,IF(DU43&lt;=0,0,CEILING(DU43/DATOS!$C$86,1))))</f>
        <v/>
      </c>
      <c r="DW43" s="61" t="str">
        <f>IF(V43&lt;&gt;"SÍ","",IF(C43&lt;&gt;"VOLADO","—",IF(AD43&lt;=DATOS!$C$83,"— (mismo b_w que el respaldo)",IF(DT43&gt;CS43,"NO CUMPLE: cortante de la nervadura ancha junto al apoyo ("&amp;TEXT(DT43,"0.00")&amp;" &gt; "&amp;TEXT(CS43,"0.00")&amp;" t)",IF(DU43&gt;=100*IF(ISNUMBER(P43),P43,Y43),"CUMPLE — todas las nervaduras del respaldo ‖ al volado con b_w = "&amp;AD43&amp;" cm","CUMPLE — "&amp;DV43&amp;" hilera(s) del respaldo con nervaduras de b_w = "&amp;AD43&amp;" cm (casetón "&amp;AE43&amp;" cm), hasta "&amp;TEXT(DU43/100,"0.00")&amp;" m del paño")))))</f>
        <v/>
      </c>
      <c r="DX43" s="69" t="str">
        <f>IF(V43&lt;&gt;"SÍ","",IF(BO43=0,"NO ALCANZA",BO43&amp;" No. "&amp;BN43&amp;IF(BO43&gt;1," corridas"," corrida")))</f>
        <v/>
      </c>
      <c r="DY43" s="69" t="str">
        <f>IF(V43&lt;&gt;"SÍ","",IF(BW43=0,"NO ALCANZA",IF(AND(C43="VOLADO",AD43&gt;DATOS!$C$83,BW43&gt;=2),"1 No. "&amp;BV43&amp;" corrida de la orilla al respaldo ("&amp;IF(DC43&gt;=FLOOR(100*IF(ISNUMBER(P43),P43,Y43)-DATOS!$C$63,5),"hasta su apoyo lejano, con gancho","entra "&amp;TEXT(DC43/100,"0.00")&amp;" m desde el paño")&amp;") + "&amp;(BW43-1)&amp;" bastón No. "&amp;BV43&amp;" hasta "&amp;TEXT(DU43/100,"0.00")&amp;" m del paño (fin de la nervadura ancha)",IF(C43="VOLADO",BW43&amp;" No. "&amp;BV43&amp;" de la orilla al respaldo ("&amp;IF(DC43&gt;=FLOOR(100*IF(ISNUMBER(P43),P43,Y43)-DATOS!$C$63,5),"hasta su apoyo lejano, con gancho","entran "&amp;TEXT(DC43/100,"0.00")&amp;" m desde el paño")&amp;")","1 No. "&amp;BV43&amp;" corrida"&amp;IF(BW43&gt;1," + "&amp;(BW43-1)&amp;" bastón No. "&amp;BV43&amp;" L = "&amp;TEXT(DC43/100,"0.00")&amp;" m desde el paño","")))))</f>
        <v/>
      </c>
      <c r="DZ43" s="69" t="str">
        <f>IF(V43&lt;&gt;"SÍ","",IF(CE43=0,"NO ALCANZA",CE43&amp;" No. "&amp;CD43&amp;IF(CE43&gt;1," corridas"," corrida")))</f>
        <v/>
      </c>
      <c r="EA43" s="69" t="str">
        <f>IF(V43&lt;&gt;"SÍ","",IF(CM43=0,"NO ALCANZA",IF(C43="VOLADO","1 No. "&amp;CL43&amp;" corrida (repartición)","1 No. "&amp;CL43&amp;" corrida"&amp;IF(CM43&gt;1," + "&amp;(CM43-1)&amp;" bastón No. "&amp;CL43&amp;" L = "&amp;TEXT(DD43/100,"0.00")&amp;" m desde el paño",""))))</f>
        <v/>
      </c>
      <c r="EB43" s="67" t="str">
        <f>IF(B43="","",IF(V43&lt;&gt;"SÍ","FALTAN DATOS: tipo, a_x, a_y, destino y, en volados, L_b",IF(L43="NO MONOLÍTICO (caso II)","FUERA DE ALCANCE: caso II no transcrito",IF(AND(C43="VOLADO",W43="?"),"REVISAR: el volado lleva UN solo borde CONTINUO (el empotrado)",IF(MIN(DH43,DI43)=0,"REVISAR: no cabe un casetón (tablero macizo): diséñalo en MACIZAS",IF(AND(MAX(BR43,BZ43,CH43,CP43)&lt;=1,NOT(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T(OR(AND(ISNUMBER(BS43),BS43&lt;0.005),AND(ISNUMBER(CA43),CA43&lt;0.005),AND(ISNUMBER(CI43),CI43&lt;0.005),AND(ISNUMBER(CQ43),CQ43&lt;0.005))),NOT(LEFT(DW43,2)="NO"),DA43="CUMPLE",DB43="CUMPLE",LEFT(CU43,2)&lt;&gt;"NO",LEFT(DATOS!$C$132,6)="CUMPLE"),IF(LEFT(CU43,6)="CUMPLE","CUMPLE","CUMPLE — "&amp;CU43)&amp;IF(LEFT(BK43,5)="FUERA"," · fuera de 3.4.2.1 c)","")&amp;IF(LEFT(DG43,2)="NO"," · REVISAR anclaje en borde discontinuo","")&amp;IF(DV43&gt;0," · respaldo: "&amp;DV43&amp;" hilera(s) de b_w "&amp;AD43&amp;" cm",""),IF(AND(MAX(BR43,BZ43,CH43,CP43)&lt;=1,NOT(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T(OR(AND(ISNUMBER(BS43),BS43&lt;0.005),AND(ISNUMBER(CA43),CA43&lt;0.005),AND(ISNUMBER(CI43),CI43&lt;0.005),AND(ISNUMBER(CQ43),CQ43&lt;0.005))),NOT(LEFT(DW43,2)="NO"),DA43="CALCULAR FLECHA",LEFT(CU43,2)&lt;&gt;"NO",LEFT(DATOS!$C$132,6)="CUMPLE"),"REVISAR: calcular flecha (h_eq &lt; h mín.)"&amp;IF(LEFT(BK43,5)="FUERA"," · fuera de 3.4.2.1 c)","")&amp;IF(LEFT(DG43,2)="NO"," · REVISAR anclaje en borde discontinuo","")&amp;IF(DV43&gt;0," · respaldo: "&amp;DV43&amp;" hilera(s) de b_w "&amp;AD43&amp;" cm",""),"NO CUMPLE: "&amp;IF(MAX(BR43,BZ43,CH43,CP43)&gt;1,"flexión ","")&amp;IF(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 caben ","")&amp;IF(OR(AND(ISNUMBER(BS43),BS43&lt;0.005),AND(ISNUMBER(CA43),CA43&lt;0.005),AND(ISNUMBER(CI43),CI43&lt;0.005),AND(ISNUMBER(CQ43),CQ43&lt;0.005)),"ε_t &lt; 0.005 ","")&amp;IF(LEFT(CU43,2)="NO","cortante ","")&amp;IF(DA43="NO CUMPLE","peralte ","")&amp;IF(DB43&lt;&gt;"CUMPLE","capa &lt; 6 cm ","")&amp;IF(LEFT(DATOS!$C$132,6)&lt;&gt;"CUMPLE","capa o malla (DATOS sección 7) ","")&amp;IF(LEFT(DW43,2)="NO","respaldo del volado",""))))))))</f>
        <v/>
      </c>
      <c r="EC43" s="70" t="str">
        <f>IF(V43&lt;&gt;"SÍ","",IF(LEFT(B43,7)="EJEMPLO","EJEMPLO de la hoja de Casa Rocha: bórralo o sobrescríbelo. ","")&amp;IF(AND(C43="PERIMETRAL",MIN(DH43,DI43)=0),"No cabe un casetón en el claro corto: es un tablero macizo, diséñalo en MACIZAS. ","")&amp;IF(AND(AJ43="NO",C43="PERIMETRAL"),"No cumple 6.7.8.1.4 (a_c = "&amp;MAX(DATOS!$C$81,AE43)&amp;" cm &gt; claro corto/6 = "&amp;TEXT(Y43*100/6,"0")&amp;" cm): se diseña como losa apoyada en vigas (6.7.8.1.9): r de viga = "&amp;DATOS!$C$63&amp;" cm y V_cR sin ×1.1. Para que cuente como encasetonada: casetón de "&amp;TEXT(FLOOR(MIN(80,Y43*100/6),1),"0")&amp;" cm o menor. ","")&amp;IF(C43="VOLADO","Volado de "&amp;TEXT(Y43,"0.00")&amp;" m empotrado en el borde "&amp;LOWER(W43)&amp;IF(N(O43)&gt;0,", con "&amp;TEXT(O43,"0.0")&amp;" kg/m en la orilla","")&amp;". Lecho inferior con r_ext. Si la orilla carga pretil u otro elemento frágil, calcula la flecha (13.4). El acero superior entra al respaldo de "&amp;TEXT(IF(ISNUMBER(P43),P43,Y43),"0.00")&amp;" m"&amp;" hasta pasar M = 0 con 0.9·PP sin carga viva; si ahí no se anula, llega al apoyo lejano y se ancla con gancho (NTC-Criterios 3.4.1 c y 5.1.2.2). "&amp;IF(AD43&gt;DATOS!$C$83,"Respaldo: "&amp;DW43&amp;". ",""),"")&amp;IF(AND(C43="VOLADO",((0.9*DATOS!$C$90*DATOS!$C$86/100/1000)*IF(ISNUMBER(P43),P43,Y43)/2-BH43/IF(ISNUMBER(P43),P43,Y43))&lt;0),"Con 0.9·PP y sin carga viva el apoyo lejano del respaldo levanta (R = "&amp;TEXT(-((0.9*DATOS!$C$90*DATOS!$C$86/100/1000)*IF(ISNUMBER(P43),P43,Y43)/2-BH43/IF(ISNUMBER(P43),P43,Y43)),"0.00")&amp;" t por nervadura): ancla ahí la corrida con gancho y revisa ese apoyo a tensión. ","")&amp;IF(LEFT(BK43,5)="FUERA","El M⁻ del vecino difiere más de 50 % (3.4.2.1 c): distribuye el desequilibrio (3.4.3.1) o confirma con un modelo; se arma con el mayor. ","")&amp;IF(OR(DE43="SÍ",DF43="SÍ"),"El M⁻ del borde discontinuo pide bastón también ahí (con gancho). ","")&amp;IF(LEFT(DG43,2)="NO","Anclaje: "&amp;DG43&amp;" (6.7.8.1.7). ","")&amp;IF(AND(C43="PERIMETRAL",AT43&gt;=1,AS43-AT43&gt;=1),"Esquinas exteriores sobre muro: refuerzo de esquina arriba y abajo en L_largo/5 (6.7.7.3.1). ",""))</f>
        <v/>
      </c>
    </row>
    <row r="44" ht="33" customHeight="1">
      <c r="A44" s="50">
        <f>IF(B44="",0,1)+A43</f>
        <v>4</v>
      </c>
      <c r="B44" s="29" t="n"/>
      <c r="C44" s="51" t="n"/>
      <c r="D44" s="29" t="n"/>
      <c r="E44" s="52" t="n"/>
      <c r="F44" s="52" t="n"/>
      <c r="G44" s="51" t="n"/>
      <c r="H44" s="51" t="n"/>
      <c r="I44" s="51" t="n"/>
      <c r="J44" s="51" t="n"/>
      <c r="K44" s="51" t="n"/>
      <c r="L44" s="51" t="n"/>
      <c r="M44" s="53" t="n"/>
      <c r="N44" s="53" t="n"/>
      <c r="O44" s="54" t="n"/>
      <c r="P44" s="52" t="n"/>
      <c r="Q44" s="52" t="n"/>
      <c r="R44" s="53" t="n"/>
      <c r="S44" s="54" t="n"/>
      <c r="T44" s="52" t="n"/>
      <c r="U44" s="52" t="n"/>
      <c r="V44" s="55" t="str">
        <f>IF(B44="","",IF(AND(OR(C44="PERIMETRAL",C44="VOLADO"),ISNUMBER(E44),ISNUMBER(F44),E44&gt;0,F44&gt;0,OR(ISNUMBER(N44),ISNUMBER(MATCH(D44,DATOS!$B$46:$B$58,0))),OR(C44&lt;&gt;"VOLADO",N(P44)&gt;0)),"SÍ","NO"))</f>
        <v/>
      </c>
      <c r="W44" s="55" t="str">
        <f>IF(V44&lt;&gt;"SÍ","",IF(C44&lt;&gt;"VOLADO","—",IF(COUNTIF(G44:J44,"CONTINUO")&lt;&gt;1,"?",IF(G44="CONTINUO","INFERIOR",IF(H44="CONTINUO","SUPERIOR",IF(I44="CONTINUO","IZQUIERDO","DERECHO"))))))</f>
        <v/>
      </c>
      <c r="X44" s="55" t="str">
        <f>IF(V44&lt;&gt;"SÍ","",IF(C44="VOLADO",IF(OR(W44="IZQUIERDO",W44="DERECHO"),"X","Y"),IF(E44&lt;=F44,"X","Y")))</f>
        <v/>
      </c>
      <c r="Y44" s="56" t="str">
        <f>IF(V44&lt;&gt;"SÍ","",IF(C44="VOLADO",IF(X44="X",E44,F44),MIN(E44,F44)))</f>
        <v/>
      </c>
      <c r="Z44" s="56" t="str">
        <f>IF(V44&lt;&gt;"SÍ","",IF(C44="VOLADO",IF(X44="X",F44,E44),MAX(E44,F44)))</f>
        <v/>
      </c>
      <c r="AA44" s="56" t="str">
        <f>IF(V44&lt;&gt;"SÍ","",MIN(Y44,Z44)/MAX(Y44,Z44))</f>
        <v/>
      </c>
      <c r="AB44" s="57" t="str">
        <f>IF(V44&lt;&gt;"SÍ","",MAX(1,Y44*100-IF(C44="VOLADO",DATOS!$C$87/2,DATOS!$C$87)))</f>
        <v/>
      </c>
      <c r="AC44" s="57" t="str">
        <f>IF(V44&lt;&gt;"SÍ","",MAX(1,Z44*100-DATOS!$C$87))</f>
        <v/>
      </c>
      <c r="AD44" s="57" t="str">
        <f>IF(V44&lt;&gt;"SÍ","",IF(ISNUMBER(R44),R44,DATOS!$C$83))</f>
        <v/>
      </c>
      <c r="AE44" s="57" t="str">
        <f>IF(V44&lt;&gt;"SÍ","",MAX(0,DATOS!$C$86-AD44))</f>
        <v/>
      </c>
      <c r="AF44" s="57" t="str">
        <f>IF(V44&lt;&gt;"SÍ","",IF(OR(DATOS!$C$65="SÍ",AD44&gt;=20),AD44,AD44-2))</f>
        <v/>
      </c>
      <c r="AG44" s="57" t="str">
        <f>IF(V44&lt;&gt;"SÍ","",IF(OR(DATOS!$C$65="SÍ",DATOS!$C$83&gt;=20),DATOS!$C$83,DATOS!$C$83-2))</f>
        <v/>
      </c>
      <c r="AH44" s="57" t="str">
        <f>IF(V44&lt;&gt;"SÍ","",MIN(DATOS!$C$86,AD44+2*MIN(8*DATOS!$C$84,AE44/2,AB44/8)))</f>
        <v/>
      </c>
      <c r="AI44" s="57" t="str">
        <f>IF(V44&lt;&gt;"SÍ","",MIN(DATOS!$C$86,DATOS!$C$83+2*MIN(8*DATOS!$C$84,DATOS!$C$81/2,AC44/8)))</f>
        <v/>
      </c>
      <c r="AJ44" s="55" t="str">
        <f>IF(V44&lt;&gt;"SÍ","",IF(AND(C44="PERIMETRAL",Y44*100&gt;=6*MAX(DATOS!$C$81,AE44),MAX(DATOS!$C$81,AE44)&lt;=80,MIN(DATOS!$C$83,AD44)&gt;=10,DATOS!$C$85&lt;=3.5*MIN(DATOS!$C$83,AD44),DATOS!$C$84&gt;=MAX(MAX(DATOS!$C$81,AE44)/13,5)),"SÍ","NO"))</f>
        <v/>
      </c>
      <c r="AK44" s="57" t="str">
        <f>IF(V44&lt;&gt;"SÍ","",IF(C44="VOLADO",DATOS!$C$64,IF(AJ44="NO",DATOS!$C$63,DATOS!$C$62)))</f>
        <v/>
      </c>
      <c r="AL44" s="57" t="str">
        <f>IF(V44&lt;&gt;"SÍ","",IF(OR(AND(AN44="SÍ",DATOS!$C$66="SÍ"),AND(C44="VOLADO",DATOS!$C$67="SÍ")),DATOS!$C$64,IF(AJ44="NO",DATOS!$C$63,DATOS!$C$62)))</f>
        <v/>
      </c>
      <c r="AM44" s="58" t="str">
        <f>IF(V44&lt;&gt;"SÍ","",MAX(AL44,(DATOS!$C$84-2*DATOS!$C$97)/2))</f>
        <v/>
      </c>
      <c r="AN44" s="55" t="str">
        <f>IF(V44&lt;&gt;"SÍ","",IFERROR(INDEX(DATOS!$D$46:$D$58,MATCH(D44,DATOS!$B$46:$B$58,0)),"NO"))</f>
        <v/>
      </c>
      <c r="AO44" s="59" t="str">
        <f>IF(V44&lt;&gt;"SÍ","",IF(ISNUMBER(N44),N44,IFERROR(INDEX(DATOS!$C$46:$C$58,MATCH(D44,DATOS!$B$46:$B$58,0)),0)))</f>
        <v/>
      </c>
      <c r="AP44" s="59" t="str">
        <f>IF(V44&lt;&gt;"SÍ","",IF(MIN(DH44,DI44)=0,DATOS!$C$85/100*DATOS!$C$16*1000,(DATOS!$C$85/100-(AE44*DATOS!$C$81/DATOS!$C$86^2)*DATOS!$C$82/100)*DATOS!$C$16*1000+(AE44*DATOS!$C$81/DATOS!$C$86^2)*DATOS!$C$82/100*DATOS!$C$17*1000)+DATOS!$C$37+DATOS!$C$38)</f>
        <v/>
      </c>
      <c r="AQ44" s="59" t="str">
        <f>IF(V44&lt;&gt;"SÍ","",AP44+N(M44))</f>
        <v/>
      </c>
      <c r="AR44" s="60" t="str">
        <f>IF(V44&lt;&gt;"SÍ","",MAX(DATOS!$C$26*AQ44+DATOS!$C$27*AO44,IF(AN44="SÍ",DATOS!$C$28*(AQ44+DATOS!$C$41),0)))</f>
        <v/>
      </c>
      <c r="AS44" s="59" t="str">
        <f>IF(V44&lt;&gt;"SÍ","",(G44="DISCONTINUO")+(H44="DISCONTINUO")+(I44="DISCONTINUO")+(J44="DISCONTINUO"))</f>
        <v/>
      </c>
      <c r="AT44" s="59" t="str">
        <f>IF(V44&lt;&gt;"SÍ","",IF(X44="X",(G44="DISCONTINUO")+(H44="DISCONTINUO"),(I44="DISCONTINUO")+(J44="DISCONTINUO")))</f>
        <v/>
      </c>
      <c r="AU44" s="55" t="str">
        <f>IF(V44&lt;&gt;"SÍ","",IF(AS44=0,"INTERIOR",IF(AS44=1,IF(AT44=1,"BORDE-CORTO","BORDE-LARGO"),IF(AS44=2,IF(AT44=1,"ESQUINA",IF(AT44=2,"EXTREMO-LARGO","EXTREMO-CORTO")),IF(AS44=3,IF(AT44=2,"EXTREMO-LARGO","EXTREMO-CORTO"),"AISLADO")))))</f>
        <v/>
      </c>
      <c r="AV44" s="61" t="str">
        <f>IF(V44&lt;&gt;"SÍ","",IF(OR(K44="",K44="AUTO"),AU44,K44))</f>
        <v/>
      </c>
      <c r="AW44" s="59" t="str">
        <f>IF(V44&lt;&gt;"SÍ","",MATCH(AA44,TABLAS!$D$5:$J$5,1))</f>
        <v/>
      </c>
      <c r="AX44" s="58" t="str">
        <f>IF(V44&lt;&gt;"SÍ","",IF(AW44&gt;=7,0,(AA44-INDEX(TABLAS!$D$5:$J$5,AW44))/(INDEX(TABLAS!$D$5:$J$5,AW44+1)-INDEX(TABLAS!$D$5:$J$5,AW44))))</f>
        <v/>
      </c>
      <c r="AY44" s="59" t="str">
        <f>IF(V44&lt;&gt;"SÍ","",INDEX(TABLAS!$D$6:$J$47,MATCH(AV44&amp;"|NIC",TABLAS!$B$6:$B$47,0),AW44)+AX44*(INDEX(TABLAS!$D$6:$J$47,MATCH(AV44&amp;"|NIC",TABLAS!$B$6:$B$47,0),MIN(AW44+1,7))-INDEX(TABLAS!$D$6:$J$47,MATCH(AV44&amp;"|NIC",TABLAS!$B$6:$B$47,0),AW44)))</f>
        <v/>
      </c>
      <c r="AZ44" s="59" t="str">
        <f>IF(V44&lt;&gt;"SÍ","",INDEX(TABLAS!$D$6:$J$47,MATCH(AV44&amp;"|NIL",TABLAS!$B$6:$B$47,0),AW44)+AX44*(INDEX(TABLAS!$D$6:$J$47,MATCH(AV44&amp;"|NIL",TABLAS!$B$6:$B$47,0),MIN(AW44+1,7))-INDEX(TABLAS!$D$6:$J$47,MATCH(AV44&amp;"|NIL",TABLAS!$B$6:$B$47,0),AW44)))</f>
        <v/>
      </c>
      <c r="BA44" s="59" t="str">
        <f>IF(V44&lt;&gt;"SÍ","",INDEX(TABLAS!$D$6:$J$47,MATCH(AV44&amp;"|NDC",TABLAS!$B$6:$B$47,0),AW44)+AX44*(INDEX(TABLAS!$D$6:$J$47,MATCH(AV44&amp;"|NDC",TABLAS!$B$6:$B$47,0),MIN(AW44+1,7))-INDEX(TABLAS!$D$6:$J$47,MATCH(AV44&amp;"|NDC",TABLAS!$B$6:$B$47,0),AW44)))</f>
        <v/>
      </c>
      <c r="BB44" s="59" t="str">
        <f>IF(V44&lt;&gt;"SÍ","",INDEX(TABLAS!$D$6:$J$47,MATCH(AV44&amp;"|NDL",TABLAS!$B$6:$B$47,0),AW44)+AX44*(INDEX(TABLAS!$D$6:$J$47,MATCH(AV44&amp;"|NDL",TABLAS!$B$6:$B$47,0),MIN(AW44+1,7))-INDEX(TABLAS!$D$6:$J$47,MATCH(AV44&amp;"|NDL",TABLAS!$B$6:$B$47,0),AW44)))</f>
        <v/>
      </c>
      <c r="BC44" s="59" t="str">
        <f>IF(V44&lt;&gt;"SÍ","",INDEX(TABLAS!$D$6:$J$47,MATCH(AV44&amp;"|PC",TABLAS!$B$6:$B$47,0),AW44)+AX44*(INDEX(TABLAS!$D$6:$J$47,MATCH(AV44&amp;"|PC",TABLAS!$B$6:$B$47,0),MIN(AW44+1,7))-INDEX(TABLAS!$D$6:$J$47,MATCH(AV44&amp;"|PC",TABLAS!$B$6:$B$47,0),AW44)))</f>
        <v/>
      </c>
      <c r="BD44" s="59" t="str">
        <f>IF(V44&lt;&gt;"SÍ","",INDEX(TABLAS!$D$6:$J$47,MATCH(AV44&amp;"|PL",TABLAS!$B$6:$B$47,0),AW44)+AX44*(INDEX(TABLAS!$D$6:$J$47,MATCH(AV44&amp;"|PL",TABLAS!$B$6:$B$47,0),MIN(AW44+1,7))-INDEX(TABLAS!$D$6:$J$47,MATCH(AV44&amp;"|PL",TABLAS!$B$6:$B$47,0),AW44)))</f>
        <v/>
      </c>
      <c r="BE44" s="56" t="str">
        <f>IF(V44&lt;&gt;"SÍ","",IF(OR(C44&lt;&gt;"VOLADO",MIN(DH44,DI44)=0),0,DATOS!$C$26*DATOS!$C$16*DATOS!$C$86/100*(((AE44*DATOS!$C$81/DATOS!$C$86^2)*DATOS!$C$82/100)*(IF(X44="X",DJ44,DL44)+DATOS!$C$87/2)/100*(AB44-(IF(X44="X",DJ44,DL44)+DATOS!$C$87/2)/2)/100+((AE44*DATOS!$C$81/DATOS!$C$86^2)*DATOS!$C$82/100)*IF(X44="X",DJ44,DL44)/100*IF(X44="X",DJ44,DL44)/200)))</f>
        <v/>
      </c>
      <c r="BF44" s="56" t="str">
        <f>IF(V44&lt;&gt;"SÍ","",IF(OR(C44&lt;&gt;"VOLADO",MIN(DH44,DI44)=0),0,DATOS!$C$26*DATOS!$C$16*DATOS!$C$86/100*((AE44*DATOS!$C$81/DATOS!$C$86^2)*DATOS!$C$82/100)*(IF(X44="X",DJ44,DL44)+DATOS!$C$87/2)/100))</f>
        <v/>
      </c>
      <c r="BG44" s="56" t="str">
        <f>IF(V44&lt;&gt;"SÍ","",IF(C44="PERIMETRAL",BC44*AR44*Y44^2*1E-4*DATOS!$C$86/100/1000,0))</f>
        <v/>
      </c>
      <c r="BH44" s="62" t="str">
        <f>IF(V44&lt;&gt;"SÍ","",IF(C44="PERIMETRAL",MAX(MAX(AY44,BA44)*AR44*Y44^2*1E-4*DATOS!$C$86/100/1000,N(T44)),(AR44*(AB44/100)^2/2+DATOS!$C$26*N(O44)*AB44/100)*DATOS!$C$86/100/1000+BE44))</f>
        <v/>
      </c>
      <c r="BI44" s="56" t="str">
        <f>IF(V44&lt;&gt;"SÍ","",IF(C44="PERIMETRAL",BD44*AR44*Y44^2*1E-4*DATOS!$C$86/100/1000,0))</f>
        <v/>
      </c>
      <c r="BJ44" s="56" t="str">
        <f>IF(V44&lt;&gt;"SÍ","",IF(C44="PERIMETRAL",MAX(MAX(AZ44,BB44)*AR44*Y44^2*1E-4*DATOS!$C$86/100/1000,N(U44)),0))</f>
        <v/>
      </c>
      <c r="BK44" s="63" t="str">
        <f>IF(V44&lt;&gt;"SÍ","",IF(C44&lt;&gt;"PERIMETRAL","—",IF(AND(N(T44)=0,N(U44)=0),"— (sin M⁻ del vecino)",IF(OR(AND(N(T44)&gt;0,ABS(MAX(AY44,BA44)*AR44*Y44^2*1E-4*DATOS!$C$86/100/1000-N(T44))&gt;0.5*MIN(MAX(AY44,BA44)*AR44*Y44^2*1E-4*DATOS!$C$86/100/1000,N(T44))),AND(N(U44)&gt;0,ABS(MAX(AZ44,BB44)*AR44*Y44^2*1E-4*DATOS!$C$86/100/1000-N(U44))&gt;0.5*MIN(MAX(AZ44,BB44)*AR44*Y44^2*1E-4*DATOS!$C$86/100/1000,N(U44)))),"FUERA: difieren &gt; 50 %"&amp;IF(AND(N(T44)&gt;0,ABS(MAX(AY44,BA44)*AR44*Y44^2*1E-4*DATOS!$C$86/100/1000-N(T44))&gt;0.5*MIN(MAX(AY44,BA44)*AR44*Y44^2*1E-4*DATOS!$C$86/100/1000,N(T44)))," ‖ corto","")&amp;IF(AND(N(U44)&gt;0,ABS(MAX(AZ44,BB44)*AR44*Y44^2*1E-4*DATOS!$C$86/100/1000-N(U44))&gt;0.5*MIN(MAX(AZ44,BB44)*AR44*Y44^2*1E-4*DATOS!$C$86/100/1000,N(U44)))," ‖ largo",""),"CUMPLE"))))</f>
        <v/>
      </c>
      <c r="BL44" s="58" t="str">
        <f>IF(V44&lt;&gt;"SÍ","",(DATOS!$C$85-AK44-INDEX(TABLAS!$C$52:$C$58,MATCH(MAX(4,DATOS!$C$71),TABLAS!$B$52:$B$58,0))/2))</f>
        <v/>
      </c>
      <c r="BM44" s="58" t="str">
        <f>IF(V44&lt;&gt;"SÍ","",IF(IF(BG44&lt;=0,0,IF((1-2*BG44*1E5/(DATOS!$C$29*AH44*BL44^2*DATOS!$C$21))&lt;0,-1,IF((1-SQRT((1-2*BG44*1E5/(DATOS!$C$29*AH44*BL44^2*DATOS!$C$21))))*DATOS!$C$21*AH44*BL44/DATOS!$C$14&gt;DATOS!$C$102*AH44*BL44,-1,(1-SQRT((1-2*BG44*1E5/(DATOS!$C$29*AH44*BL44^2*DATOS!$C$21))))*DATOS!$C$21*AH44*BL44/DATOS!$C$14)))&lt;0,-1,MAX(IF(BG44&lt;=0,0,IF((1-2*BG44*1E5/(DATOS!$C$29*AH44*BL44^2*DATOS!$C$21))&lt;0,-1,IF((1-SQRT((1-2*BG44*1E5/(DATOS!$C$29*AH44*BL44^2*DATOS!$C$21))))*DATOS!$C$21*AH44*BL44/DATOS!$C$14&gt;DATOS!$C$102*AH44*BL44,-1,(1-SQRT((1-2*BG44*1E5/(DATOS!$C$29*AH44*BL44^2*DATOS!$C$21))))*DATOS!$C$21*AH44*BL44/DATOS!$C$14))),MIN(DATOS!$C$103*AD44*BL44,4/3*IF(BG44&lt;=0,0,IF((1-2*BG44*1E5/(DATOS!$C$29*AH44*BL44^2*DATOS!$C$21))&lt;0,-1,IF((1-SQRT((1-2*BG44*1E5/(DATOS!$C$29*AH44*BL44^2*DATOS!$C$21))))*DATOS!$C$21*AH44*BL44/DATOS!$C$14&gt;DATOS!$C$102*AH44*BL44,-1,(1-SQRT((1-2*BG44*1E5/(DATOS!$C$29*AH44*BL44^2*DATOS!$C$21))))*DATOS!$C$21*AH44*BL44/DATOS!$C$14)))))))</f>
        <v/>
      </c>
      <c r="BN44" s="64" t="str">
        <f>IF(V44&lt;&gt;"SÍ","",IF(AND(BM44&gt;=0,IF(MAX(DATOS!$C$74,CEILING(BM44/INDEX(TABLAS!$D$52:$D$58,MIN(MATCH(MAX(4,DATOS!$C$71),TABLAS!$B$52:$B$58,0)+0,7)),1))*INDEX(TABLAS!$D$52:$D$58,MIN(MATCH(MAX(4,DATOS!$C$71),TABLAS!$B$52:$B$58,0)+0,7)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+0,7)),1)),MAX(MAX(DATOS!$C$74,CEILING(BM44/INDEX(TABLAS!$D$52:$D$58,MIN(MATCH(MAX(4,DATOS!$C$71),TABLAS!$B$52:$B$58,0)+0,7)),1)),2))&lt;=MIN(DATOS!$C$73,INT(((AD44-2*AK44)+MAX(DATOS!$C$70,INDEX(TABLAS!$C$52:$C$58,MIN(MATCH(MAX(4,DATOS!$C$71),TABLAS!$B$52:$B$58,0)+0,7))))/(INDEX(TABLAS!$C$52:$C$58,MIN(MATCH(MAX(4,DATOS!$C$71),TABLAS!$B$52:$B$58,0)+0,7))+MAX(DATOS!$C$70,INDEX(TABLAS!$C$52:$C$58,MIN(MATCH(MAX(4,DATOS!$C$71),TABLAS!$B$52:$B$58,0)+0,7))))))),INDEX(TABLAS!$B$52:$B$58,MIN(MATCH(MAX(4,DATOS!$C$71),TABLAS!$B$52:$B$58,0)+0,7)),IF(AND(BM44&gt;=0,IF(MAX(DATOS!$C$74,CEILING(BM44/INDEX(TABLAS!$D$52:$D$58,MIN(MATCH(MAX(4,DATOS!$C$71),TABLAS!$B$52:$B$58,0)+1,7)),1))*INDEX(TABLAS!$D$52:$D$58,MIN(MATCH(MAX(4,DATOS!$C$71),TABLAS!$B$52:$B$58,0)+1,7)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+1,7)),1)),MAX(MAX(DATOS!$C$74,CEILING(BM44/INDEX(TABLAS!$D$52:$D$58,MIN(MATCH(MAX(4,DATOS!$C$71),TABLAS!$B$52:$B$58,0)+1,7)),1)),2))&lt;=MIN(DATOS!$C$73,INT(((AD44-2*AK44)+MAX(DATOS!$C$70,INDEX(TABLAS!$C$52:$C$58,MIN(MATCH(MAX(4,DATOS!$C$71),TABLAS!$B$52:$B$58,0)+1,7))))/(INDEX(TABLAS!$C$52:$C$58,MIN(MATCH(MAX(4,DATOS!$C$71),TABLAS!$B$52:$B$58,0)+1,7))+MAX(DATOS!$C$70,INDEX(TABLAS!$C$52:$C$58,MIN(MATCH(MAX(4,DATOS!$C$71),TABLAS!$B$52:$B$58,0)+1,7))))))),INDEX(TABLAS!$B$52:$B$58,MIN(MATCH(MAX(4,DATOS!$C$71),TABLAS!$B$52:$B$58,0)+1,7)),IF(AND(BM44&gt;=0,IF(MAX(DATOS!$C$74,CEILING(BM44/INDEX(TABLAS!$D$52:$D$58,MIN(MATCH(MAX(4,DATOS!$C$71),TABLAS!$B$52:$B$58,0)+2,7)),1))*INDEX(TABLAS!$D$52:$D$58,MIN(MATCH(MAX(4,DATOS!$C$71),TABLAS!$B$52:$B$58,0)+2,7)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+2,7)),1)),MAX(MAX(DATOS!$C$74,CEILING(BM44/INDEX(TABLAS!$D$52:$D$58,MIN(MATCH(MAX(4,DATOS!$C$71),TABLAS!$B$52:$B$58,0)+2,7)),1)),2))&lt;=MIN(DATOS!$C$73,INT(((AD44-2*AK44)+MAX(DATOS!$C$70,INDEX(TABLAS!$C$52:$C$58,MIN(MATCH(MAX(4,DATOS!$C$71),TABLAS!$B$52:$B$58,0)+2,7))))/(INDEX(TABLAS!$C$52:$C$58,MIN(MATCH(MAX(4,DATOS!$C$71),TABLAS!$B$52:$B$58,0)+2,7))+MAX(DATOS!$C$70,INDEX(TABLAS!$C$52:$C$58,MIN(MATCH(MAX(4,DATOS!$C$71),TABLAS!$B$52:$B$58,0)+2,7))))))),INDEX(TABLAS!$B$52:$B$58,MIN(MATCH(MAX(4,DATOS!$C$71),TABLAS!$B$52:$B$58,0)+2,7)),IF(AND(BM44&gt;=0,IF(MAX(DATOS!$C$74,CEILING(BM44/INDEX(TABLAS!$D$52:$D$58,MIN(MATCH(MAX(4,DATOS!$C$71),TABLAS!$B$52:$B$58,0)+3,7)),1))*INDEX(TABLAS!$D$52:$D$58,MIN(MATCH(MAX(4,DATOS!$C$71),TABLAS!$B$52:$B$58,0)+3,7)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+3,7)),1)),MAX(MAX(DATOS!$C$74,CEILING(BM44/INDEX(TABLAS!$D$52:$D$58,MIN(MATCH(MAX(4,DATOS!$C$71),TABLAS!$B$52:$B$58,0)+3,7)),1)),2))&lt;=MIN(DATOS!$C$73,INT(((AD44-2*AK44)+MAX(DATOS!$C$70,INDEX(TABLAS!$C$52:$C$58,MIN(MATCH(MAX(4,DATOS!$C$71),TABLAS!$B$52:$B$58,0)+3,7))))/(INDEX(TABLAS!$C$52:$C$58,MIN(MATCH(MAX(4,DATOS!$C$71),TABLAS!$B$52:$B$58,0)+3,7))+MAX(DATOS!$C$70,INDEX(TABLAS!$C$52:$C$58,MIN(MATCH(MAX(4,DATOS!$C$71),TABLAS!$B$52:$B$58,0)+3,7))))))),INDEX(TABLAS!$B$52:$B$58,MIN(MATCH(MAX(4,DATOS!$C$71),TABLAS!$B$52:$B$58,0)+3,7)),IF(AND(BM44&gt;=0,IF(MAX(DATOS!$C$74,CEILING(BM44/INDEX(TABLAS!$D$52:$D$58,MIN(MATCH(MAX(4,DATOS!$C$71),TABLAS!$B$52:$B$58,0)+4,7)),1))*INDEX(TABLAS!$D$52:$D$58,MIN(MATCH(MAX(4,DATOS!$C$71),TABLAS!$B$52:$B$58,0)+4,7)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+4,7)),1)),MAX(MAX(DATOS!$C$74,CEILING(BM44/INDEX(TABLAS!$D$52:$D$58,MIN(MATCH(MAX(4,DATOS!$C$71),TABLAS!$B$52:$B$58,0)+4,7)),1)),2))&lt;=MIN(DATOS!$C$73,INT(((AD44-2*AK44)+MAX(DATOS!$C$70,INDEX(TABLAS!$C$52:$C$58,MIN(MATCH(MAX(4,DATOS!$C$71),TABLAS!$B$52:$B$58,0)+4,7))))/(INDEX(TABLAS!$C$52:$C$58,MIN(MATCH(MAX(4,DATOS!$C$71),TABLAS!$B$52:$B$58,0)+4,7))+MAX(DATOS!$C$70,INDEX(TABLAS!$C$52:$C$58,MIN(MATCH(MAX(4,DATOS!$C$71),TABLAS!$B$52:$B$58,0)+4,7))))))),INDEX(TABLAS!$B$52:$B$58,MIN(MATCH(MAX(4,DATOS!$C$71),TABLAS!$B$52:$B$58,0)+4,7)),INDEX(TABLAS!$B$52:$B$58,7)))))))</f>
        <v/>
      </c>
      <c r="BO44" s="59" t="str">
        <f>IF(V44&lt;&gt;"SÍ","",IF(BM44&lt;0,0,IF(MAX(DATOS!$C$74,CEILING(MAX(BM44,0)/INDEX(TABLAS!$D$52:$D$58,MATCH(BN44,TABLAS!$B$52:$B$58,0)),1))*INDEX(TABLAS!$D$52:$D$58,MATCH(BN44,TABLAS!$B$52:$B$58,0))&gt;=4/3*IF(BG44&lt;=0,0,IF((1-2*BG44*1E5/(DATOS!$C$29*AH44*BL44^2*DATOS!$C$21))&lt;0,-1,IF((1-SQRT((1-2*BG44*1E5/(DATOS!$C$29*AH44*BL44^2*DATOS!$C$21))))*DATOS!$C$21*AH44*BL44/DATOS!$C$14&gt;DATOS!$C$102*AH44*BL44,-1,(1-SQRT((1-2*BG44*1E5/(DATOS!$C$29*AH44*BL44^2*DATOS!$C$21))))*DATOS!$C$21*AH44*BL44/DATOS!$C$14)))-0.0001,MAX(DATOS!$C$74,CEILING(MAX(BM44,0)/INDEX(TABLAS!$D$52:$D$58,MATCH(BN44,TABLAS!$B$52:$B$58,0)),1)),MAX(MAX(DATOS!$C$74,CEILING(MAX(BM44,0)/INDEX(TABLAS!$D$52:$D$58,MATCH(BN44,TABLAS!$B$52:$B$58,0)),1)),2))))</f>
        <v/>
      </c>
      <c r="BP44" s="58" t="str">
        <f>IF(V44&lt;&gt;"SÍ","",DATOS!$C$85-AK44-INDEX(TABLAS!$C$52:$C$58,MATCH(BN44,TABLAS!$B$52:$B$58,0))/2)</f>
        <v/>
      </c>
      <c r="BQ44" s="56" t="str">
        <f>IF(V44&lt;&gt;"SÍ","",IF(BO44=0,0,DATOS!$C$29*BO44*INDEX(TABLAS!$D$52:$D$58,MATCH(BN44,TABLAS!$B$52:$B$58,0))*DATOS!$C$14*(BP44-BO44*INDEX(TABLAS!$D$52:$D$58,MATCH(BN44,TABLAS!$B$52:$B$58,0))*DATOS!$C$14/(DATOS!$C$21*AH44)/2)/1E5))</f>
        <v/>
      </c>
      <c r="BR44" s="65" t="str">
        <f>IF(V44&lt;&gt;"SÍ","",IF(BM44&lt;0,9.99,IF(BQ44&gt;0,BG44/BQ44,0)))</f>
        <v/>
      </c>
      <c r="BS44" s="66" t="str">
        <f>IF(V44&lt;&gt;"SÍ","",IF(BO44=0,"—",0.003*(BP44-(BO44*INDEX(TABLAS!$D$52:$D$58,MATCH(BN44,TABLAS!$B$52:$B$58,0))*DATOS!$C$14/(DATOS!$C$21*AH44)/DATOS!$C$22))/(BO44*INDEX(TABLAS!$D$52:$D$58,MATCH(BN44,TABLAS!$B$52:$B$58,0))*DATOS!$C$14/(DATOS!$C$21*AH44)/DATOS!$C$22)))</f>
        <v/>
      </c>
      <c r="BT44" s="58" t="str">
        <f>IF(V44&lt;&gt;"SÍ","",((DATOS!$C$85-AM44-2*DATOS!$C$97-INDEX(TABLAS!$C$52:$C$58,MATCH(MAX(4,DATOS!$C$72),TABLAS!$B$52:$B$58,0))/2)-IF(AND((DATOS!$C$85-AM44-2*DATOS!$C$97-INDEX(TABLAS!$C$52:$C$58,MATCH(MAX(4,DATOS!$C$72),TABLAS!$B$52:$B$58,0))/2)&lt;=20,DATOS!$C$65&lt;&gt;"SÍ"),2,0)))</f>
        <v/>
      </c>
      <c r="BU44" s="58" t="str">
        <f>IF(V44&lt;&gt;"SÍ","",IF(IF(BH44&lt;=0,0,IF((1-2*BH44*1E5/(DATOS!$C$29*AF44*BT44^2*DATOS!$C$21))&lt;0,-1,IF((1-SQRT((1-2*BH44*1E5/(DATOS!$C$29*AF44*BT44^2*DATOS!$C$21))))*DATOS!$C$21*AF44*BT44/DATOS!$C$14&gt;DATOS!$C$102*AF44*BT44,-1,(1-SQRT((1-2*BH44*1E5/(DATOS!$C$29*AF44*BT44^2*DATOS!$C$21))))*DATOS!$C$21*AF44*BT44/DATOS!$C$14)))&lt;0,-1,MAX(IF(BH44&lt;=0,0,IF((1-2*BH44*1E5/(DATOS!$C$29*AF44*BT44^2*DATOS!$C$21))&lt;0,-1,IF((1-SQRT((1-2*BH44*1E5/(DATOS!$C$29*AF44*BT44^2*DATOS!$C$21))))*DATOS!$C$21*AF44*BT44/DATOS!$C$14&gt;DATOS!$C$102*AF44*BT44,-1,(1-SQRT((1-2*BH44*1E5/(DATOS!$C$29*AF44*BT44^2*DATOS!$C$21))))*DATOS!$C$21*AF44*BT44/DATOS!$C$14))),MIN(DATOS!$C$103*IF(C44="VOLADO",MIN(AH44,2*AD44),AD44)*BT44,4/3*IF(BH44&lt;=0,0,IF((1-2*BH44*1E5/(DATOS!$C$29*AF44*BT44^2*DATOS!$C$21))&lt;0,-1,IF((1-SQRT((1-2*BH44*1E5/(DATOS!$C$29*AF44*BT44^2*DATOS!$C$21))))*DATOS!$C$21*AF44*BT44/DATOS!$C$14&gt;DATOS!$C$102*AF44*BT44,-1,(1-SQRT((1-2*BH44*1E5/(DATOS!$C$29*AF44*BT44^2*DATOS!$C$21))))*DATOS!$C$21*AF44*BT44/DATOS!$C$14)))))))</f>
        <v/>
      </c>
      <c r="BV44" s="64" t="str">
        <f>IF(V44&lt;&gt;"SÍ","",IF(AND(BU44&gt;=0,IF(MAX(DATOS!$C$74,CEILING(BU44/INDEX(TABLAS!$D$52:$D$58,MIN(MATCH(MAX(4,DATOS!$C$72),TABLAS!$B$52:$B$58,0)+0,7)),1))*INDEX(TABLAS!$D$52:$D$58,MIN(MATCH(MAX(4,DATOS!$C$72),TABLAS!$B$52:$B$58,0)+0,7)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+0,7)),1)),MAX(MAX(DATOS!$C$74,CEILING(BU44/INDEX(TABLAS!$D$52:$D$58,MIN(MATCH(MAX(4,DATOS!$C$72),TABLAS!$B$52:$B$58,0)+0,7)),1)),2))&lt;=MIN(DATOS!$C$73,INT(((AD44-2*AL44)+MAX(DATOS!$C$70,INDEX(TABLAS!$C$52:$C$58,MIN(MATCH(MAX(4,DATOS!$C$72),TABLAS!$B$52:$B$58,0)+0,7))))/(INDEX(TABLAS!$C$52:$C$58,MIN(MATCH(MAX(4,DATOS!$C$72),TABLAS!$B$52:$B$58,0)+0,7))+MAX(DATOS!$C$70,INDEX(TABLAS!$C$52:$C$58,MIN(MATCH(MAX(4,DATOS!$C$72),TABLAS!$B$52:$B$58,0)+0,7))))))),INDEX(TABLAS!$B$52:$B$58,MIN(MATCH(MAX(4,DATOS!$C$72),TABLAS!$B$52:$B$58,0)+0,7)),IF(AND(BU44&gt;=0,IF(MAX(DATOS!$C$74,CEILING(BU44/INDEX(TABLAS!$D$52:$D$58,MIN(MATCH(MAX(4,DATOS!$C$72),TABLAS!$B$52:$B$58,0)+1,7)),1))*INDEX(TABLAS!$D$52:$D$58,MIN(MATCH(MAX(4,DATOS!$C$72),TABLAS!$B$52:$B$58,0)+1,7)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+1,7)),1)),MAX(MAX(DATOS!$C$74,CEILING(BU44/INDEX(TABLAS!$D$52:$D$58,MIN(MATCH(MAX(4,DATOS!$C$72),TABLAS!$B$52:$B$58,0)+1,7)),1)),2))&lt;=MIN(DATOS!$C$73,INT(((AD44-2*AL44)+MAX(DATOS!$C$70,INDEX(TABLAS!$C$52:$C$58,MIN(MATCH(MAX(4,DATOS!$C$72),TABLAS!$B$52:$B$58,0)+1,7))))/(INDEX(TABLAS!$C$52:$C$58,MIN(MATCH(MAX(4,DATOS!$C$72),TABLAS!$B$52:$B$58,0)+1,7))+MAX(DATOS!$C$70,INDEX(TABLAS!$C$52:$C$58,MIN(MATCH(MAX(4,DATOS!$C$72),TABLAS!$B$52:$B$58,0)+1,7))))))),INDEX(TABLAS!$B$52:$B$58,MIN(MATCH(MAX(4,DATOS!$C$72),TABLAS!$B$52:$B$58,0)+1,7)),IF(AND(BU44&gt;=0,IF(MAX(DATOS!$C$74,CEILING(BU44/INDEX(TABLAS!$D$52:$D$58,MIN(MATCH(MAX(4,DATOS!$C$72),TABLAS!$B$52:$B$58,0)+2,7)),1))*INDEX(TABLAS!$D$52:$D$58,MIN(MATCH(MAX(4,DATOS!$C$72),TABLAS!$B$52:$B$58,0)+2,7)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+2,7)),1)),MAX(MAX(DATOS!$C$74,CEILING(BU44/INDEX(TABLAS!$D$52:$D$58,MIN(MATCH(MAX(4,DATOS!$C$72),TABLAS!$B$52:$B$58,0)+2,7)),1)),2))&lt;=MIN(DATOS!$C$73,INT(((AD44-2*AL44)+MAX(DATOS!$C$70,INDEX(TABLAS!$C$52:$C$58,MIN(MATCH(MAX(4,DATOS!$C$72),TABLAS!$B$52:$B$58,0)+2,7))))/(INDEX(TABLAS!$C$52:$C$58,MIN(MATCH(MAX(4,DATOS!$C$72),TABLAS!$B$52:$B$58,0)+2,7))+MAX(DATOS!$C$70,INDEX(TABLAS!$C$52:$C$58,MIN(MATCH(MAX(4,DATOS!$C$72),TABLAS!$B$52:$B$58,0)+2,7))))))),INDEX(TABLAS!$B$52:$B$58,MIN(MATCH(MAX(4,DATOS!$C$72),TABLAS!$B$52:$B$58,0)+2,7)),IF(AND(BU44&gt;=0,IF(MAX(DATOS!$C$74,CEILING(BU44/INDEX(TABLAS!$D$52:$D$58,MIN(MATCH(MAX(4,DATOS!$C$72),TABLAS!$B$52:$B$58,0)+3,7)),1))*INDEX(TABLAS!$D$52:$D$58,MIN(MATCH(MAX(4,DATOS!$C$72),TABLAS!$B$52:$B$58,0)+3,7)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+3,7)),1)),MAX(MAX(DATOS!$C$74,CEILING(BU44/INDEX(TABLAS!$D$52:$D$58,MIN(MATCH(MAX(4,DATOS!$C$72),TABLAS!$B$52:$B$58,0)+3,7)),1)),2))&lt;=MIN(DATOS!$C$73,INT(((AD44-2*AL44)+MAX(DATOS!$C$70,INDEX(TABLAS!$C$52:$C$58,MIN(MATCH(MAX(4,DATOS!$C$72),TABLAS!$B$52:$B$58,0)+3,7))))/(INDEX(TABLAS!$C$52:$C$58,MIN(MATCH(MAX(4,DATOS!$C$72),TABLAS!$B$52:$B$58,0)+3,7))+MAX(DATOS!$C$70,INDEX(TABLAS!$C$52:$C$58,MIN(MATCH(MAX(4,DATOS!$C$72),TABLAS!$B$52:$B$58,0)+3,7))))))),INDEX(TABLAS!$B$52:$B$58,MIN(MATCH(MAX(4,DATOS!$C$72),TABLAS!$B$52:$B$58,0)+3,7)),IF(AND(BU44&gt;=0,IF(MAX(DATOS!$C$74,CEILING(BU44/INDEX(TABLAS!$D$52:$D$58,MIN(MATCH(MAX(4,DATOS!$C$72),TABLAS!$B$52:$B$58,0)+4,7)),1))*INDEX(TABLAS!$D$52:$D$58,MIN(MATCH(MAX(4,DATOS!$C$72),TABLAS!$B$52:$B$58,0)+4,7)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+4,7)),1)),MAX(MAX(DATOS!$C$74,CEILING(BU44/INDEX(TABLAS!$D$52:$D$58,MIN(MATCH(MAX(4,DATOS!$C$72),TABLAS!$B$52:$B$58,0)+4,7)),1)),2))&lt;=MIN(DATOS!$C$73,INT(((AD44-2*AL44)+MAX(DATOS!$C$70,INDEX(TABLAS!$C$52:$C$58,MIN(MATCH(MAX(4,DATOS!$C$72),TABLAS!$B$52:$B$58,0)+4,7))))/(INDEX(TABLAS!$C$52:$C$58,MIN(MATCH(MAX(4,DATOS!$C$72),TABLAS!$B$52:$B$58,0)+4,7))+MAX(DATOS!$C$70,INDEX(TABLAS!$C$52:$C$58,MIN(MATCH(MAX(4,DATOS!$C$72),TABLAS!$B$52:$B$58,0)+4,7))))))),INDEX(TABLAS!$B$52:$B$58,MIN(MATCH(MAX(4,DATOS!$C$72),TABLAS!$B$52:$B$58,0)+4,7)),INDEX(TABLAS!$B$52:$B$58,7)))))))</f>
        <v/>
      </c>
      <c r="BW44" s="59" t="str">
        <f>IF(V44&lt;&gt;"SÍ","",IF(BU44&lt;0,0,IF(MAX(DATOS!$C$74,CEILING(MAX(BU44,0)/INDEX(TABLAS!$D$52:$D$58,MATCH(BV44,TABLAS!$B$52:$B$58,0)),1))*INDEX(TABLAS!$D$52:$D$58,MATCH(BV44,TABLAS!$B$52:$B$58,0))&gt;=4/3*IF(BH44&lt;=0,0,IF((1-2*BH44*1E5/(DATOS!$C$29*AF44*BT44^2*DATOS!$C$21))&lt;0,-1,IF((1-SQRT((1-2*BH44*1E5/(DATOS!$C$29*AF44*BT44^2*DATOS!$C$21))))*DATOS!$C$21*AF44*BT44/DATOS!$C$14&gt;DATOS!$C$102*AF44*BT44,-1,(1-SQRT((1-2*BH44*1E5/(DATOS!$C$29*AF44*BT44^2*DATOS!$C$21))))*DATOS!$C$21*AF44*BT44/DATOS!$C$14)))-0.0001,MAX(DATOS!$C$74,CEILING(MAX(BU44,0)/INDEX(TABLAS!$D$52:$D$58,MATCH(BV44,TABLAS!$B$52:$B$58,0)),1)),MAX(MAX(DATOS!$C$74,CEILING(MAX(BU44,0)/INDEX(TABLAS!$D$52:$D$58,MATCH(BV44,TABLAS!$B$52:$B$58,0)),1)),2))))</f>
        <v/>
      </c>
      <c r="BX44" s="58" t="str">
        <f>IF(V44&lt;&gt;"SÍ","",((DATOS!$C$85-AM44-2*DATOS!$C$97-INDEX(TABLAS!$C$52:$C$58,MATCH(BV44,TABLAS!$B$52:$B$58,0))/2)-IF(AND((DATOS!$C$85-AM44-2*DATOS!$C$97-INDEX(TABLAS!$C$52:$C$58,MATCH(BV44,TABLAS!$B$52:$B$58,0))/2)&lt;=20,DATOS!$C$65&lt;&gt;"SÍ"),2,0)))</f>
        <v/>
      </c>
      <c r="BY44" s="56" t="str">
        <f>IF(V44&lt;&gt;"SÍ","",IF(BW44=0,0,DATOS!$C$29*BW44*INDEX(TABLAS!$D$52:$D$58,MATCH(BV44,TABLAS!$B$52:$B$58,0))*DATOS!$C$14*(BX44-BW44*INDEX(TABLAS!$D$52:$D$58,MATCH(BV44,TABLAS!$B$52:$B$58,0))*DATOS!$C$14/(DATOS!$C$21*AF44)/2)/1E5))</f>
        <v/>
      </c>
      <c r="BZ44" s="65" t="str">
        <f>IF(V44&lt;&gt;"SÍ","",IF(BU44&lt;0,9.99,IF(BY44&gt;0,BH44/BY44,0)))</f>
        <v/>
      </c>
      <c r="CA44" s="66" t="str">
        <f>IF(V44&lt;&gt;"SÍ","",IF(BW44=0,"—",0.003*(BX44-(BW44*INDEX(TABLAS!$D$52:$D$58,MATCH(BV44,TABLAS!$B$52:$B$58,0))*DATOS!$C$14/(DATOS!$C$21*AF44)/DATOS!$C$22))/(BW44*INDEX(TABLAS!$D$52:$D$58,MATCH(BV44,TABLAS!$B$52:$B$58,0))*DATOS!$C$14/(DATOS!$C$21*AF44)/DATOS!$C$22)))</f>
        <v/>
      </c>
      <c r="CB44" s="58" t="str">
        <f>IF(V44&lt;&gt;"SÍ","",(DATOS!$C$85-AK44-INDEX(TABLAS!$C$52:$C$58,MATCH(MAX(4,DATOS!$C$71),TABLAS!$B$52:$B$58,0))-INDEX(TABLAS!$C$52:$C$58,MATCH(MAX(4,DATOS!$C$71),TABLAS!$B$52:$B$58,0))/2))</f>
        <v/>
      </c>
      <c r="CC44" s="58" t="str">
        <f>IF(V44&lt;&gt;"SÍ","",IF(IF(BI44&lt;=0,0,IF((1-2*BI44*1E5/(DATOS!$C$29*AI44*CB44^2*DATOS!$C$21))&lt;0,-1,IF((1-SQRT((1-2*BI44*1E5/(DATOS!$C$29*AI44*CB44^2*DATOS!$C$21))))*DATOS!$C$21*AI44*CB44/DATOS!$C$14&gt;DATOS!$C$102*AI44*CB44,-1,(1-SQRT((1-2*BI44*1E5/(DATOS!$C$29*AI44*CB44^2*DATOS!$C$21))))*DATOS!$C$21*AI44*CB44/DATOS!$C$14)))&lt;0,-1,MAX(IF(BI44&lt;=0,0,IF((1-2*BI44*1E5/(DATOS!$C$29*AI44*CB44^2*DATOS!$C$21))&lt;0,-1,IF((1-SQRT((1-2*BI44*1E5/(DATOS!$C$29*AI44*CB44^2*DATOS!$C$21))))*DATOS!$C$21*AI44*CB44/DATOS!$C$14&gt;DATOS!$C$102*AI44*CB44,-1,(1-SQRT((1-2*BI44*1E5/(DATOS!$C$29*AI44*CB44^2*DATOS!$C$21))))*DATOS!$C$21*AI44*CB44/DATOS!$C$14))),MIN(DATOS!$C$103*DATOS!$C$83*CB44,4/3*IF(BI44&lt;=0,0,IF((1-2*BI44*1E5/(DATOS!$C$29*AI44*CB44^2*DATOS!$C$21))&lt;0,-1,IF((1-SQRT((1-2*BI44*1E5/(DATOS!$C$29*AI44*CB44^2*DATOS!$C$21))))*DATOS!$C$21*AI44*CB44/DATOS!$C$14&gt;DATOS!$C$102*AI44*CB44,-1,(1-SQRT((1-2*BI44*1E5/(DATOS!$C$29*AI44*CB44^2*DATOS!$C$21))))*DATOS!$C$21*AI44*CB44/DATOS!$C$14)))))))</f>
        <v/>
      </c>
      <c r="CD44" s="64" t="str">
        <f>IF(V44&lt;&gt;"SÍ","",IF(AND(CC44&gt;=0,IF(MAX(DATOS!$C$74,CEILING(CC44/INDEX(TABLAS!$D$52:$D$58,MIN(MATCH(MAX(4,DATOS!$C$71),TABLAS!$B$52:$B$58,0)+0,7)),1))*INDEX(TABLAS!$D$52:$D$58,MIN(MATCH(MAX(4,DATOS!$C$71),TABLAS!$B$52:$B$58,0)+0,7)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+0,7)),1)),MAX(MAX(DATOS!$C$74,CEILING(CC44/INDEX(TABLAS!$D$52:$D$58,MIN(MATCH(MAX(4,DATOS!$C$71),TABLAS!$B$52:$B$58,0)+0,7)),1)),2))&lt;=MIN(DATOS!$C$73,INT(((DATOS!$C$83-2*AK44)+MAX(DATOS!$C$70,INDEX(TABLAS!$C$52:$C$58,MIN(MATCH(MAX(4,DATOS!$C$71),TABLAS!$B$52:$B$58,0)+0,7))))/(INDEX(TABLAS!$C$52:$C$58,MIN(MATCH(MAX(4,DATOS!$C$71),TABLAS!$B$52:$B$58,0)+0,7))+MAX(DATOS!$C$70,INDEX(TABLAS!$C$52:$C$58,MIN(MATCH(MAX(4,DATOS!$C$71),TABLAS!$B$52:$B$58,0)+0,7))))))),INDEX(TABLAS!$B$52:$B$58,MIN(MATCH(MAX(4,DATOS!$C$71),TABLAS!$B$52:$B$58,0)+0,7)),IF(AND(CC44&gt;=0,IF(MAX(DATOS!$C$74,CEILING(CC44/INDEX(TABLAS!$D$52:$D$58,MIN(MATCH(MAX(4,DATOS!$C$71),TABLAS!$B$52:$B$58,0)+1,7)),1))*INDEX(TABLAS!$D$52:$D$58,MIN(MATCH(MAX(4,DATOS!$C$71),TABLAS!$B$52:$B$58,0)+1,7)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+1,7)),1)),MAX(MAX(DATOS!$C$74,CEILING(CC44/INDEX(TABLAS!$D$52:$D$58,MIN(MATCH(MAX(4,DATOS!$C$71),TABLAS!$B$52:$B$58,0)+1,7)),1)),2))&lt;=MIN(DATOS!$C$73,INT(((DATOS!$C$83-2*AK44)+MAX(DATOS!$C$70,INDEX(TABLAS!$C$52:$C$58,MIN(MATCH(MAX(4,DATOS!$C$71),TABLAS!$B$52:$B$58,0)+1,7))))/(INDEX(TABLAS!$C$52:$C$58,MIN(MATCH(MAX(4,DATOS!$C$71),TABLAS!$B$52:$B$58,0)+1,7))+MAX(DATOS!$C$70,INDEX(TABLAS!$C$52:$C$58,MIN(MATCH(MAX(4,DATOS!$C$71),TABLAS!$B$52:$B$58,0)+1,7))))))),INDEX(TABLAS!$B$52:$B$58,MIN(MATCH(MAX(4,DATOS!$C$71),TABLAS!$B$52:$B$58,0)+1,7)),IF(AND(CC44&gt;=0,IF(MAX(DATOS!$C$74,CEILING(CC44/INDEX(TABLAS!$D$52:$D$58,MIN(MATCH(MAX(4,DATOS!$C$71),TABLAS!$B$52:$B$58,0)+2,7)),1))*INDEX(TABLAS!$D$52:$D$58,MIN(MATCH(MAX(4,DATOS!$C$71),TABLAS!$B$52:$B$58,0)+2,7)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+2,7)),1)),MAX(MAX(DATOS!$C$74,CEILING(CC44/INDEX(TABLAS!$D$52:$D$58,MIN(MATCH(MAX(4,DATOS!$C$71),TABLAS!$B$52:$B$58,0)+2,7)),1)),2))&lt;=MIN(DATOS!$C$73,INT(((DATOS!$C$83-2*AK44)+MAX(DATOS!$C$70,INDEX(TABLAS!$C$52:$C$58,MIN(MATCH(MAX(4,DATOS!$C$71),TABLAS!$B$52:$B$58,0)+2,7))))/(INDEX(TABLAS!$C$52:$C$58,MIN(MATCH(MAX(4,DATOS!$C$71),TABLAS!$B$52:$B$58,0)+2,7))+MAX(DATOS!$C$70,INDEX(TABLAS!$C$52:$C$58,MIN(MATCH(MAX(4,DATOS!$C$71),TABLAS!$B$52:$B$58,0)+2,7))))))),INDEX(TABLAS!$B$52:$B$58,MIN(MATCH(MAX(4,DATOS!$C$71),TABLAS!$B$52:$B$58,0)+2,7)),IF(AND(CC44&gt;=0,IF(MAX(DATOS!$C$74,CEILING(CC44/INDEX(TABLAS!$D$52:$D$58,MIN(MATCH(MAX(4,DATOS!$C$71),TABLAS!$B$52:$B$58,0)+3,7)),1))*INDEX(TABLAS!$D$52:$D$58,MIN(MATCH(MAX(4,DATOS!$C$71),TABLAS!$B$52:$B$58,0)+3,7)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+3,7)),1)),MAX(MAX(DATOS!$C$74,CEILING(CC44/INDEX(TABLAS!$D$52:$D$58,MIN(MATCH(MAX(4,DATOS!$C$71),TABLAS!$B$52:$B$58,0)+3,7)),1)),2))&lt;=MIN(DATOS!$C$73,INT(((DATOS!$C$83-2*AK44)+MAX(DATOS!$C$70,INDEX(TABLAS!$C$52:$C$58,MIN(MATCH(MAX(4,DATOS!$C$71),TABLAS!$B$52:$B$58,0)+3,7))))/(INDEX(TABLAS!$C$52:$C$58,MIN(MATCH(MAX(4,DATOS!$C$71),TABLAS!$B$52:$B$58,0)+3,7))+MAX(DATOS!$C$70,INDEX(TABLAS!$C$52:$C$58,MIN(MATCH(MAX(4,DATOS!$C$71),TABLAS!$B$52:$B$58,0)+3,7))))))),INDEX(TABLAS!$B$52:$B$58,MIN(MATCH(MAX(4,DATOS!$C$71),TABLAS!$B$52:$B$58,0)+3,7)),IF(AND(CC44&gt;=0,IF(MAX(DATOS!$C$74,CEILING(CC44/INDEX(TABLAS!$D$52:$D$58,MIN(MATCH(MAX(4,DATOS!$C$71),TABLAS!$B$52:$B$58,0)+4,7)),1))*INDEX(TABLAS!$D$52:$D$58,MIN(MATCH(MAX(4,DATOS!$C$71),TABLAS!$B$52:$B$58,0)+4,7)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+4,7)),1)),MAX(MAX(DATOS!$C$74,CEILING(CC44/INDEX(TABLAS!$D$52:$D$58,MIN(MATCH(MAX(4,DATOS!$C$71),TABLAS!$B$52:$B$58,0)+4,7)),1)),2))&lt;=MIN(DATOS!$C$73,INT(((DATOS!$C$83-2*AK44)+MAX(DATOS!$C$70,INDEX(TABLAS!$C$52:$C$58,MIN(MATCH(MAX(4,DATOS!$C$71),TABLAS!$B$52:$B$58,0)+4,7))))/(INDEX(TABLAS!$C$52:$C$58,MIN(MATCH(MAX(4,DATOS!$C$71),TABLAS!$B$52:$B$58,0)+4,7))+MAX(DATOS!$C$70,INDEX(TABLAS!$C$52:$C$58,MIN(MATCH(MAX(4,DATOS!$C$71),TABLAS!$B$52:$B$58,0)+4,7))))))),INDEX(TABLAS!$B$52:$B$58,MIN(MATCH(MAX(4,DATOS!$C$71),TABLAS!$B$52:$B$58,0)+4,7)),INDEX(TABLAS!$B$52:$B$58,7)))))))</f>
        <v/>
      </c>
      <c r="CE44" s="59" t="str">
        <f>IF(V44&lt;&gt;"SÍ","",IF(CC44&lt;0,0,IF(MAX(DATOS!$C$74,CEILING(MAX(CC44,0)/INDEX(TABLAS!$D$52:$D$58,MATCH(CD44,TABLAS!$B$52:$B$58,0)),1))*INDEX(TABLAS!$D$52:$D$58,MATCH(CD44,TABLAS!$B$52:$B$58,0))&gt;=4/3*IF(BI44&lt;=0,0,IF((1-2*BI44*1E5/(DATOS!$C$29*AI44*CB44^2*DATOS!$C$21))&lt;0,-1,IF((1-SQRT((1-2*BI44*1E5/(DATOS!$C$29*AI44*CB44^2*DATOS!$C$21))))*DATOS!$C$21*AI44*CB44/DATOS!$C$14&gt;DATOS!$C$102*AI44*CB44,-1,(1-SQRT((1-2*BI44*1E5/(DATOS!$C$29*AI44*CB44^2*DATOS!$C$21))))*DATOS!$C$21*AI44*CB44/DATOS!$C$14)))-0.0001,MAX(DATOS!$C$74,CEILING(MAX(CC44,0)/INDEX(TABLAS!$D$52:$D$58,MATCH(CD44,TABLAS!$B$52:$B$58,0)),1)),MAX(MAX(DATOS!$C$74,CEILING(MAX(CC44,0)/INDEX(TABLAS!$D$52:$D$58,MATCH(CD44,TABLAS!$B$52:$B$58,0)),1)),2))))</f>
        <v/>
      </c>
      <c r="CF44" s="58" t="str">
        <f>IF(V44&lt;&gt;"SÍ","",DATOS!$C$85-AK44-INDEX(TABLAS!$C$52:$C$58,MATCH(BN44,TABLAS!$B$52:$B$58,0))-INDEX(TABLAS!$C$52:$C$58,MATCH(CD44,TABLAS!$B$52:$B$58,0))/2)</f>
        <v/>
      </c>
      <c r="CG44" s="56" t="str">
        <f>IF(V44&lt;&gt;"SÍ","",IF(CE44=0,0,DATOS!$C$29*CE44*INDEX(TABLAS!$D$52:$D$58,MATCH(CD44,TABLAS!$B$52:$B$58,0))*DATOS!$C$14*(CF44-CE44*INDEX(TABLAS!$D$52:$D$58,MATCH(CD44,TABLAS!$B$52:$B$58,0))*DATOS!$C$14/(DATOS!$C$21*AI44)/2)/1E5))</f>
        <v/>
      </c>
      <c r="CH44" s="65" t="str">
        <f>IF(V44&lt;&gt;"SÍ","",IF(CC44&lt;0,9.99,IF(CG44&gt;0,BI44/CG44,0)))</f>
        <v/>
      </c>
      <c r="CI44" s="66" t="str">
        <f>IF(V44&lt;&gt;"SÍ","",IF(CE44=0,"—",0.003*(CF44-(CE44*INDEX(TABLAS!$D$52:$D$58,MATCH(CD44,TABLAS!$B$52:$B$58,0))*DATOS!$C$14/(DATOS!$C$21*AI44)/DATOS!$C$22))/(CE44*INDEX(TABLAS!$D$52:$D$58,MATCH(CD44,TABLAS!$B$52:$B$58,0))*DATOS!$C$14/(DATOS!$C$21*AI44)/DATOS!$C$22)))</f>
        <v/>
      </c>
      <c r="CJ44" s="58" t="str">
        <f>IF(V44&lt;&gt;"SÍ","",((DATOS!$C$85-AM44-2*DATOS!$C$97-INDEX(TABLAS!$C$52:$C$58,MATCH(MAX(4,DATOS!$C$72),TABLAS!$B$52:$B$58,0))-INDEX(TABLAS!$C$52:$C$58,MATCH(MAX(4,DATOS!$C$72),TABLAS!$B$52:$B$58,0))/2)-IF(AND((DATOS!$C$85-AM44-2*DATOS!$C$97-INDEX(TABLAS!$C$52:$C$58,MATCH(MAX(4,DATOS!$C$72),TABLAS!$B$52:$B$58,0))-INDEX(TABLAS!$C$52:$C$58,MATCH(MAX(4,DATOS!$C$72),TABLAS!$B$52:$B$58,0))/2)&lt;=20,DATOS!$C$65&lt;&gt;"SÍ"),2,0)))</f>
        <v/>
      </c>
      <c r="CK44" s="58" t="str">
        <f>IF(V44&lt;&gt;"SÍ","",IF(IF(BJ44&lt;=0,0,IF((1-2*BJ44*1E5/(DATOS!$C$29*AG44*CJ44^2*DATOS!$C$21))&lt;0,-1,IF((1-SQRT((1-2*BJ44*1E5/(DATOS!$C$29*AG44*CJ44^2*DATOS!$C$21))))*DATOS!$C$21*AG44*CJ44/DATOS!$C$14&gt;DATOS!$C$102*AG44*CJ44,-1,(1-SQRT((1-2*BJ44*1E5/(DATOS!$C$29*AG44*CJ44^2*DATOS!$C$21))))*DATOS!$C$21*AG44*CJ44/DATOS!$C$14)))&lt;0,-1,MAX(IF(BJ44&lt;=0,0,IF((1-2*BJ44*1E5/(DATOS!$C$29*AG44*CJ44^2*DATOS!$C$21))&lt;0,-1,IF((1-SQRT((1-2*BJ44*1E5/(DATOS!$C$29*AG44*CJ44^2*DATOS!$C$21))))*DATOS!$C$21*AG44*CJ44/DATOS!$C$14&gt;DATOS!$C$102*AG44*CJ44,-1,(1-SQRT((1-2*BJ44*1E5/(DATOS!$C$29*AG44*CJ44^2*DATOS!$C$21))))*DATOS!$C$21*AG44*CJ44/DATOS!$C$14))),MIN(DATOS!$C$103*DATOS!$C$83*CJ44,4/3*IF(BJ44&lt;=0,0,IF((1-2*BJ44*1E5/(DATOS!$C$29*AG44*CJ44^2*DATOS!$C$21))&lt;0,-1,IF((1-SQRT((1-2*BJ44*1E5/(DATOS!$C$29*AG44*CJ44^2*DATOS!$C$21))))*DATOS!$C$21*AG44*CJ44/DATOS!$C$14&gt;DATOS!$C$102*AG44*CJ44,-1,(1-SQRT((1-2*BJ44*1E5/(DATOS!$C$29*AG44*CJ44^2*DATOS!$C$21))))*DATOS!$C$21*AG44*CJ44/DATOS!$C$14)))))))</f>
        <v/>
      </c>
      <c r="CL44" s="64" t="str">
        <f>IF(V44&lt;&gt;"SÍ","",IF(AND(CK44&gt;=0,IF(MAX(DATOS!$C$74,CEILING(CK44/INDEX(TABLAS!$D$52:$D$58,MIN(MATCH(MAX(4,DATOS!$C$72),TABLAS!$B$52:$B$58,0)+0,7)),1))*INDEX(TABLAS!$D$52:$D$58,MIN(MATCH(MAX(4,DATOS!$C$72),TABLAS!$B$52:$B$58,0)+0,7)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+0,7)),1)),MAX(MAX(DATOS!$C$74,CEILING(CK44/INDEX(TABLAS!$D$52:$D$58,MIN(MATCH(MAX(4,DATOS!$C$72),TABLAS!$B$52:$B$58,0)+0,7)),1)),2))&lt;=MIN(DATOS!$C$73,INT(((DATOS!$C$83-2*AL44)+MAX(DATOS!$C$70,INDEX(TABLAS!$C$52:$C$58,MIN(MATCH(MAX(4,DATOS!$C$72),TABLAS!$B$52:$B$58,0)+0,7))))/(INDEX(TABLAS!$C$52:$C$58,MIN(MATCH(MAX(4,DATOS!$C$72),TABLAS!$B$52:$B$58,0)+0,7))+MAX(DATOS!$C$70,INDEX(TABLAS!$C$52:$C$58,MIN(MATCH(MAX(4,DATOS!$C$72),TABLAS!$B$52:$B$58,0)+0,7))))))),INDEX(TABLAS!$B$52:$B$58,MIN(MATCH(MAX(4,DATOS!$C$72),TABLAS!$B$52:$B$58,0)+0,7)),IF(AND(CK44&gt;=0,IF(MAX(DATOS!$C$74,CEILING(CK44/INDEX(TABLAS!$D$52:$D$58,MIN(MATCH(MAX(4,DATOS!$C$72),TABLAS!$B$52:$B$58,0)+1,7)),1))*INDEX(TABLAS!$D$52:$D$58,MIN(MATCH(MAX(4,DATOS!$C$72),TABLAS!$B$52:$B$58,0)+1,7)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+1,7)),1)),MAX(MAX(DATOS!$C$74,CEILING(CK44/INDEX(TABLAS!$D$52:$D$58,MIN(MATCH(MAX(4,DATOS!$C$72),TABLAS!$B$52:$B$58,0)+1,7)),1)),2))&lt;=MIN(DATOS!$C$73,INT(((DATOS!$C$83-2*AL44)+MAX(DATOS!$C$70,INDEX(TABLAS!$C$52:$C$58,MIN(MATCH(MAX(4,DATOS!$C$72),TABLAS!$B$52:$B$58,0)+1,7))))/(INDEX(TABLAS!$C$52:$C$58,MIN(MATCH(MAX(4,DATOS!$C$72),TABLAS!$B$52:$B$58,0)+1,7))+MAX(DATOS!$C$70,INDEX(TABLAS!$C$52:$C$58,MIN(MATCH(MAX(4,DATOS!$C$72),TABLAS!$B$52:$B$58,0)+1,7))))))),INDEX(TABLAS!$B$52:$B$58,MIN(MATCH(MAX(4,DATOS!$C$72),TABLAS!$B$52:$B$58,0)+1,7)),IF(AND(CK44&gt;=0,IF(MAX(DATOS!$C$74,CEILING(CK44/INDEX(TABLAS!$D$52:$D$58,MIN(MATCH(MAX(4,DATOS!$C$72),TABLAS!$B$52:$B$58,0)+2,7)),1))*INDEX(TABLAS!$D$52:$D$58,MIN(MATCH(MAX(4,DATOS!$C$72),TABLAS!$B$52:$B$58,0)+2,7)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+2,7)),1)),MAX(MAX(DATOS!$C$74,CEILING(CK44/INDEX(TABLAS!$D$52:$D$58,MIN(MATCH(MAX(4,DATOS!$C$72),TABLAS!$B$52:$B$58,0)+2,7)),1)),2))&lt;=MIN(DATOS!$C$73,INT(((DATOS!$C$83-2*AL44)+MAX(DATOS!$C$70,INDEX(TABLAS!$C$52:$C$58,MIN(MATCH(MAX(4,DATOS!$C$72),TABLAS!$B$52:$B$58,0)+2,7))))/(INDEX(TABLAS!$C$52:$C$58,MIN(MATCH(MAX(4,DATOS!$C$72),TABLAS!$B$52:$B$58,0)+2,7))+MAX(DATOS!$C$70,INDEX(TABLAS!$C$52:$C$58,MIN(MATCH(MAX(4,DATOS!$C$72),TABLAS!$B$52:$B$58,0)+2,7))))))),INDEX(TABLAS!$B$52:$B$58,MIN(MATCH(MAX(4,DATOS!$C$72),TABLAS!$B$52:$B$58,0)+2,7)),IF(AND(CK44&gt;=0,IF(MAX(DATOS!$C$74,CEILING(CK44/INDEX(TABLAS!$D$52:$D$58,MIN(MATCH(MAX(4,DATOS!$C$72),TABLAS!$B$52:$B$58,0)+3,7)),1))*INDEX(TABLAS!$D$52:$D$58,MIN(MATCH(MAX(4,DATOS!$C$72),TABLAS!$B$52:$B$58,0)+3,7)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+3,7)),1)),MAX(MAX(DATOS!$C$74,CEILING(CK44/INDEX(TABLAS!$D$52:$D$58,MIN(MATCH(MAX(4,DATOS!$C$72),TABLAS!$B$52:$B$58,0)+3,7)),1)),2))&lt;=MIN(DATOS!$C$73,INT(((DATOS!$C$83-2*AL44)+MAX(DATOS!$C$70,INDEX(TABLAS!$C$52:$C$58,MIN(MATCH(MAX(4,DATOS!$C$72),TABLAS!$B$52:$B$58,0)+3,7))))/(INDEX(TABLAS!$C$52:$C$58,MIN(MATCH(MAX(4,DATOS!$C$72),TABLAS!$B$52:$B$58,0)+3,7))+MAX(DATOS!$C$70,INDEX(TABLAS!$C$52:$C$58,MIN(MATCH(MAX(4,DATOS!$C$72),TABLAS!$B$52:$B$58,0)+3,7))))))),INDEX(TABLAS!$B$52:$B$58,MIN(MATCH(MAX(4,DATOS!$C$72),TABLAS!$B$52:$B$58,0)+3,7)),IF(AND(CK44&gt;=0,IF(MAX(DATOS!$C$74,CEILING(CK44/INDEX(TABLAS!$D$52:$D$58,MIN(MATCH(MAX(4,DATOS!$C$72),TABLAS!$B$52:$B$58,0)+4,7)),1))*INDEX(TABLAS!$D$52:$D$58,MIN(MATCH(MAX(4,DATOS!$C$72),TABLAS!$B$52:$B$58,0)+4,7)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+4,7)),1)),MAX(MAX(DATOS!$C$74,CEILING(CK44/INDEX(TABLAS!$D$52:$D$58,MIN(MATCH(MAX(4,DATOS!$C$72),TABLAS!$B$52:$B$58,0)+4,7)),1)),2))&lt;=MIN(DATOS!$C$73,INT(((DATOS!$C$83-2*AL44)+MAX(DATOS!$C$70,INDEX(TABLAS!$C$52:$C$58,MIN(MATCH(MAX(4,DATOS!$C$72),TABLAS!$B$52:$B$58,0)+4,7))))/(INDEX(TABLAS!$C$52:$C$58,MIN(MATCH(MAX(4,DATOS!$C$72),TABLAS!$B$52:$B$58,0)+4,7))+MAX(DATOS!$C$70,INDEX(TABLAS!$C$52:$C$58,MIN(MATCH(MAX(4,DATOS!$C$72),TABLAS!$B$52:$B$58,0)+4,7))))))),INDEX(TABLAS!$B$52:$B$58,MIN(MATCH(MAX(4,DATOS!$C$72),TABLAS!$B$52:$B$58,0)+4,7)),INDEX(TABLAS!$B$52:$B$58,7)))))))</f>
        <v/>
      </c>
      <c r="CM44" s="59" t="str">
        <f>IF(V44&lt;&gt;"SÍ","",IF(CK44&lt;0,0,IF(MAX(DATOS!$C$74,CEILING(MAX(CK44,0)/INDEX(TABLAS!$D$52:$D$58,MATCH(CL44,TABLAS!$B$52:$B$58,0)),1))*INDEX(TABLAS!$D$52:$D$58,MATCH(CL44,TABLAS!$B$52:$B$58,0))&gt;=4/3*IF(BJ44&lt;=0,0,IF((1-2*BJ44*1E5/(DATOS!$C$29*AG44*CJ44^2*DATOS!$C$21))&lt;0,-1,IF((1-SQRT((1-2*BJ44*1E5/(DATOS!$C$29*AG44*CJ44^2*DATOS!$C$21))))*DATOS!$C$21*AG44*CJ44/DATOS!$C$14&gt;DATOS!$C$102*AG44*CJ44,-1,(1-SQRT((1-2*BJ44*1E5/(DATOS!$C$29*AG44*CJ44^2*DATOS!$C$21))))*DATOS!$C$21*AG44*CJ44/DATOS!$C$14)))-0.0001,MAX(DATOS!$C$74,CEILING(MAX(CK44,0)/INDEX(TABLAS!$D$52:$D$58,MATCH(CL44,TABLAS!$B$52:$B$58,0)),1)),MAX(MAX(DATOS!$C$74,CEILING(MAX(CK44,0)/INDEX(TABLAS!$D$52:$D$58,MATCH(CL44,TABLAS!$B$52:$B$58,0)),1)),2))))</f>
        <v/>
      </c>
      <c r="CN44" s="58" t="str">
        <f>IF(V44&lt;&gt;"SÍ","",((DATOS!$C$85-AM44-2*DATOS!$C$97-INDEX(TABLAS!$C$52:$C$58,MATCH(BV44,TABLAS!$B$52:$B$58,0))-INDEX(TABLAS!$C$52:$C$58,MATCH(CL44,TABLAS!$B$52:$B$58,0))/2)-IF(AND((DATOS!$C$85-AM44-2*DATOS!$C$97-INDEX(TABLAS!$C$52:$C$58,MATCH(BV44,TABLAS!$B$52:$B$58,0))-INDEX(TABLAS!$C$52:$C$58,MATCH(CL44,TABLAS!$B$52:$B$58,0))/2)&lt;=20,DATOS!$C$65&lt;&gt;"SÍ"),2,0)))</f>
        <v/>
      </c>
      <c r="CO44" s="56" t="str">
        <f>IF(V44&lt;&gt;"SÍ","",IF(CM44=0,0,DATOS!$C$29*CM44*INDEX(TABLAS!$D$52:$D$58,MATCH(CL44,TABLAS!$B$52:$B$58,0))*DATOS!$C$14*(CN44-CM44*INDEX(TABLAS!$D$52:$D$58,MATCH(CL44,TABLAS!$B$52:$B$58,0))*DATOS!$C$14/(DATOS!$C$21*AG44)/2)/1E5))</f>
        <v/>
      </c>
      <c r="CP44" s="65" t="str">
        <f>IF(V44&lt;&gt;"SÍ","",IF(CK44&lt;0,9.99,IF(CO44&gt;0,BJ44/CO44,0)))</f>
        <v/>
      </c>
      <c r="CQ44" s="66" t="str">
        <f>IF(V44&lt;&gt;"SÍ","",IF(CM44=0,"—",0.003*(CN44-(CM44*INDEX(TABLAS!$D$52:$D$58,MATCH(CL44,TABLAS!$B$52:$B$58,0))*DATOS!$C$14/(DATOS!$C$21*AG44)/DATOS!$C$22))/(CM44*INDEX(TABLAS!$D$52:$D$58,MATCH(CL44,TABLAS!$B$52:$B$58,0))*DATOS!$C$14/(DATOS!$C$21*AG44)/DATOS!$C$22)))</f>
        <v/>
      </c>
      <c r="CR44" s="56" t="str">
        <f>IF(V44&lt;&gt;"SÍ","",IF(C44="PERIMETRAL",MAX(0,(AB44/2-BX44)/100)*(0.95-0.5*AA44)*AR44*IF(AND(AS44&gt;0,AS44&lt;4),DATOS!$C$33,1)*DATOS!$C$86/100/1000,(AR44*MAX(0,AB44-BX44)/100+DATOS!$C$26*N(O44))*DATOS!$C$86/100/1000+BF44))</f>
        <v/>
      </c>
      <c r="CS44" s="56" t="str">
        <f>IF(V44&lt;&gt;"SÍ","",DATOS!$C$30*2*MIN(1,SQRT(2/(1+0.04*BX44)))*(BW44*INDEX(TABLAS!$D$52:$D$58,MATCH(BV44,TABLAS!$B$52:$B$58,0))/(AF44*BX44))^(1/3)*SQRT(DATOS!$C$13)*AF44*BX44*IF(AJ44="SÍ",DATOS!$C$32,1)/1000)</f>
        <v/>
      </c>
      <c r="CT44" s="59" t="str">
        <f>IF(V44&lt;&gt;"SÍ","",IF(CR44&lt;=CS44,0,CEILING(MAX(0,IF(C44="VOLADO",(AB44-((CS44-BF44)*1E5/DATOS!$C$86-DATOS!$C$26*N(O44))*100/AR44),IF(CS44&lt;=0,AB44,AB44/2-CS44/MAX(CR44,1E-9)*(AB44/2-BX44)))-IF(X44="X",MIN(DJ44,DK44),MIN(DL44,DM44)))/DATOS!$C$86,1)))</f>
        <v/>
      </c>
      <c r="CU44" s="67" t="str">
        <f>IF(V44&lt;&gt;"SÍ","",IF(CR44&lt;=CS44,"CUMPLE",IF(CT44&lt;=0,"CUMPLE (basta el macizo de orilla)",IF(CT44*DATOS!$C$86*IF(C44="VOLADO",1,2)&gt;=Y44*100-DATOS!$C$87,"NO CUMPLE: no alcanza ni macizando todo","MACIZAR "&amp;CT44&amp;" hilera(s)"))))</f>
        <v/>
      </c>
      <c r="CV44" s="58" t="str">
        <f>IF(V44&lt;&gt;"SÍ","",(DATOS!$C$86*DATOS!$C$84^2/2+MIN(DATOS!$C$83,AD44)*DATOS!$C$82*(DATOS!$C$84+DATOS!$C$82/2))/(DATOS!$C$86*DATOS!$C$84+MIN(DATOS!$C$83,AD44)*DATOS!$C$82))</f>
        <v/>
      </c>
      <c r="CW44" s="68" t="str">
        <f>IF(V44&lt;&gt;"SÍ","",DATOS!$C$86*DATOS!$C$84^3/12+DATOS!$C$86*DATOS!$C$84*(CV44-DATOS!$C$84/2)^2+MIN(DATOS!$C$83,AD44)*DATOS!$C$82^3/12+MIN(DATOS!$C$83,AD44)*DATOS!$C$82*(DATOS!$C$84+DATOS!$C$82/2-CV44)^2)</f>
        <v/>
      </c>
      <c r="CX44" s="58" t="str">
        <f>IF(V44&lt;&gt;"SÍ","",(12*CW44/DATOS!$C$86)^(1/3))</f>
        <v/>
      </c>
      <c r="CY44" s="58" t="str">
        <f>IF(V44&lt;&gt;"SÍ","",IF(C44="PERIMETRAL",IF(ISNUMBER(S44),S44,DATOS!$C$104),0))</f>
        <v/>
      </c>
      <c r="CZ44" s="57" t="str">
        <f>IF(V44&lt;&gt;"SÍ","",IF(C44="PERIMETRAL",IF(CY44&gt;2,MAX(9,AC44*(0.8+DATOS!$C$14/14000)/(36+9*(AC44/MAX(AB44,1)))),IF(CY44&gt;0.2,MAX(13,AC44*(0.8+DATOS!$C$14/14000)/(36+5*(AC44/MAX(AB44,1))*(CY44-0.2))),MAX(13,AC44/IF(AS44&gt;0,30,33))))*IF(AND(CY44&gt;0.2,AS44&gt;0,DATOS!$C$105="NO"),1.1,1),MAX(25,Y44*100/8*(0.4+DATOS!$C$14/7000))))</f>
        <v/>
      </c>
      <c r="DA44" s="61" t="str">
        <f>IF(V44&lt;&gt;"SÍ","",IF(IF(C44="VOLADO",DATOS!$C$85,CX44)&gt;=CZ44,"CUMPLE",IF(C44="VOLADO","NO CUMPLE","CALCULAR FLECHA")))</f>
        <v/>
      </c>
      <c r="DB44" s="55" t="str">
        <f>IF(V44&lt;&gt;"SÍ","",IF(DATOS!$C$84&gt;=IF(IF(C44="VOLADO",Y44,Z44)&gt;=6,6,5),"CUMPLE","CAPA ≥ 6 cm"))</f>
        <v/>
      </c>
      <c r="DC44" s="60" t="str">
        <f>IF(V44&lt;&gt;"SÍ","",IF(C44="VOLADO",MIN(FLOOR(IF(ISNUMBER(P44),P44,Y44)*100-DATOS!$C$63,5),CEILING(MAX(IF((0.5*(0.9*DATOS!$C$90*DATOS!$C$86/100/1000)*IF(ISNUMBER(P44),P44,Y44)+BH44/IF(ISNUMBER(P44),P44,Y44))^2-4*(0.5*(0.9*DATOS!$C$90*DATOS!$C$86/100/1000))*BH44&lt;0,IF(ISNUMBER(P44),P44,Y44),MIN(IF(ISNUMBER(P44),P44,Y44),((0.5*(0.9*DATOS!$C$90*DATOS!$C$86/100/1000)*IF(ISNUMBER(P44),P44,Y44)+BH44/IF(ISNUMBER(P44),P44,Y44))-SQRT((0.5*(0.9*DATOS!$C$90*DATOS!$C$86/100/1000)*IF(ISNUMBER(P44),P44,Y44)+BH44/IF(ISNUMBER(P44),P44,Y44))^2-4*(0.5*(0.9*DATOS!$C$90*DATOS!$C$86/100/1000))*BH44))/(2*(0.5*(0.9*DATOS!$C$90*DATOS!$C$86/100/1000)))))*100+MAX(BX44,12*INDEX(TABLAS!$C$52:$C$58,MATCH(BV44,TABLAS!$B$52:$B$58,0)),IF(ISNUMBER(P44),P44,Y44)*100/16),IF(OR(AL44&lt;INDEX(TABLAS!$C$52:$C$58,MATCH(BV44,TABLAS!$B$52:$B$58,0)),AND(BW44&gt;=2,(AD44-2*AL44-BW44*INDEX(TABLAS!$C$52:$C$58,MATCH(BV44,TABLAS!$B$52:$B$58,0)))/MAX(BW44-1,1)&lt;2*INDEX(TABLAS!$C$52:$C$58,MATCH(BV44,TABLAS!$B$52:$B$58,0)))),INDEX(TABLAS!$I$52:$I$58,MATCH(BV44,TABLAS!$B$52:$B$58,0)),INDEX(TABLAS!$F$52:$F$58,MATCH(BV44,TABLAS!$B$52:$B$58,0)))),5)),IF(((4*((BC44*AR44*Y44^2*1E-4*DATOS!$C$86/100/1000)+((MAX(AY44,BA44)*AR44*Y44^2*1E-4*DATOS!$C$86/100/1000)+(IF(AND(AY44&gt;0,BA44&gt;0),MIN(AY44,BA44),MAX(AY44,BA44))*AR44*Y44^2*1E-4*DATOS!$C$86/100/1000))/2)+BH44-(IF(AND(AY44&gt;0,BA44&gt;0),MIN(AY44,BA44),MAX(AY44,BA44))*AR44*Y44^2*1E-4*DATOS!$C$86/100/1000))^2-16*((BC44*AR44*Y44^2*1E-4*DATOS!$C$86/100/1000)+((MAX(AY44,BA44)*AR44*Y44^2*1E-4*DATOS!$C$86/100/1000)+(IF(AND(AY44&gt;0,BA44&gt;0),MIN(AY44,BA44),MAX(AY44,BA44))*AR44*Y44^2*1E-4*DATOS!$C$86/100/1000))/2)*BH44)&lt;0,CEILING(AB44,5),CEILING(MAX(AB44*((4*((BC44*AR44*Y44^2*1E-4*DATOS!$C$86/100/1000)+((MAX(AY44,BA44)*AR44*Y44^2*1E-4*DATOS!$C$86/100/1000)+(IF(AND(AY44&gt;0,BA44&gt;0),MIN(AY44,BA44),MAX(AY44,BA44))*AR44*Y44^2*1E-4*DATOS!$C$86/100/1000))/2)+BH44-(IF(AND(AY44&gt;0,BA44&gt;0),MIN(AY44,BA44),MAX(AY44,BA44))*AR44*Y44^2*1E-4*DATOS!$C$86/100/1000))-SQRT(MAX(0,((4*((BC44*AR44*Y44^2*1E-4*DATOS!$C$86/100/1000)+((MAX(AY44,BA44)*AR44*Y44^2*1E-4*DATOS!$C$86/100/1000)+(IF(AND(AY44&gt;0,BA44&gt;0),MIN(AY44,BA44),MAX(AY44,BA44))*AR44*Y44^2*1E-4*DATOS!$C$86/100/1000))/2)+BH44-(IF(AND(AY44&gt;0,BA44&gt;0),MIN(AY44,BA44),MAX(AY44,BA44))*AR44*Y44^2*1E-4*DATOS!$C$86/100/1000))^2-16*((BC44*AR44*Y44^2*1E-4*DATOS!$C$86/100/1000)+((MAX(AY44,BA44)*AR44*Y44^2*1E-4*DATOS!$C$86/100/1000)+(IF(AND(AY44&gt;0,BA44&gt;0),MIN(AY44,BA44),MAX(AY44,BA44))*AR44*Y44^2*1E-4*DATOS!$C$86/100/1000))/2)*BH44))))/(8*MAX(((BC44*AR44*Y44^2*1E-4*DATOS!$C$86/100/1000)+((MAX(AY44,BA44)*AR44*Y44^2*1E-4*DATOS!$C$86/100/1000)+(IF(AND(AY44&gt;0,BA44&gt;0),MIN(AY44,BA44),MAX(AY44,BA44))*AR44*Y44^2*1E-4*DATOS!$C$86/100/1000))/2),1E-9))+MAX(BX44,12*INDEX(TABLAS!$C$52:$C$58,MATCH(BV44,TABLAS!$B$52:$B$58,0)),AB44/16),IF(OR(AL44&lt;INDEX(TABLAS!$C$52:$C$58,MATCH(BV44,TABLAS!$B$52:$B$58,0)),AND(BW44&gt;=2,(AD44-2*AL44-BW44*INDEX(TABLAS!$C$52:$C$58,MATCH(BV44,TABLAS!$B$52:$B$58,0)))/MAX(BW44-1,1)&lt;2*INDEX(TABLAS!$C$52:$C$58,MATCH(BV44,TABLAS!$B$52:$B$58,0)))),INDEX(TABLAS!$I$52:$I$58,MATCH(BV44,TABLAS!$B$52:$B$58,0)),INDEX(TABLAS!$F$52:$F$58,MATCH(BV44,TABLAS!$B$52:$B$58,0)))),5))))</f>
        <v/>
      </c>
      <c r="DD44" s="60" t="str">
        <f>IF(V44&lt;&gt;"SÍ","",IF(C44="VOLADO",0,IF(((4*((BD44*AR44*Y44^2*1E-4*DATOS!$C$86/100/1000)+((MAX(AZ44,BB44)*AR44*Y44^2*1E-4*DATOS!$C$86/100/1000)+(IF(AND(AZ44&gt;0,BB44&gt;0),MIN(AZ44,BB44),MAX(AZ44,BB44))*AR44*Y44^2*1E-4*DATOS!$C$86/100/1000))/2)+BJ44-(IF(AND(AZ44&gt;0,BB44&gt;0),MIN(AZ44,BB44),MAX(AZ44,BB44))*AR44*Y44^2*1E-4*DATOS!$C$86/100/1000))^2-16*((BD44*AR44*Y44^2*1E-4*DATOS!$C$86/100/1000)+((MAX(AZ44,BB44)*AR44*Y44^2*1E-4*DATOS!$C$86/100/1000)+(IF(AND(AZ44&gt;0,BB44&gt;0),MIN(AZ44,BB44),MAX(AZ44,BB44))*AR44*Y44^2*1E-4*DATOS!$C$86/100/1000))/2)*BJ44)&lt;0,CEILING(AC44,5),CEILING(MAX(AC44*((4*((BD44*AR44*Y44^2*1E-4*DATOS!$C$86/100/1000)+((MAX(AZ44,BB44)*AR44*Y44^2*1E-4*DATOS!$C$86/100/1000)+(IF(AND(AZ44&gt;0,BB44&gt;0),MIN(AZ44,BB44),MAX(AZ44,BB44))*AR44*Y44^2*1E-4*DATOS!$C$86/100/1000))/2)+BJ44-(IF(AND(AZ44&gt;0,BB44&gt;0),MIN(AZ44,BB44),MAX(AZ44,BB44))*AR44*Y44^2*1E-4*DATOS!$C$86/100/1000))-SQRT(MAX(0,((4*((BD44*AR44*Y44^2*1E-4*DATOS!$C$86/100/1000)+((MAX(AZ44,BB44)*AR44*Y44^2*1E-4*DATOS!$C$86/100/1000)+(IF(AND(AZ44&gt;0,BB44&gt;0),MIN(AZ44,BB44),MAX(AZ44,BB44))*AR44*Y44^2*1E-4*DATOS!$C$86/100/1000))/2)+BJ44-(IF(AND(AZ44&gt;0,BB44&gt;0),MIN(AZ44,BB44),MAX(AZ44,BB44))*AR44*Y44^2*1E-4*DATOS!$C$86/100/1000))^2-16*((BD44*AR44*Y44^2*1E-4*DATOS!$C$86/100/1000)+((MAX(AZ44,BB44)*AR44*Y44^2*1E-4*DATOS!$C$86/100/1000)+(IF(AND(AZ44&gt;0,BB44&gt;0),MIN(AZ44,BB44),MAX(AZ44,BB44))*AR44*Y44^2*1E-4*DATOS!$C$86/100/1000))/2)*BJ44))))/(8*MAX(((BD44*AR44*Y44^2*1E-4*DATOS!$C$86/100/1000)+((MAX(AZ44,BB44)*AR44*Y44^2*1E-4*DATOS!$C$86/100/1000)+(IF(AND(AZ44&gt;0,BB44&gt;0),MIN(AZ44,BB44),MAX(AZ44,BB44))*AR44*Y44^2*1E-4*DATOS!$C$86/100/1000))/2),1E-9))+MAX(CN44,12*INDEX(TABLAS!$C$52:$C$58,MATCH(CL44,TABLAS!$B$52:$B$58,0)),AC44/16),IF(OR(AL44&lt;INDEX(TABLAS!$C$52:$C$58,MATCH(CL44,TABLAS!$B$52:$B$58,0)),AND(CM44&gt;=2,(DATOS!$C$83-2*AL44-CM44*INDEX(TABLAS!$C$52:$C$58,MATCH(CL44,TABLAS!$B$52:$B$58,0)))/MAX(CM44-1,1)&lt;2*INDEX(TABLAS!$C$52:$C$58,MATCH(CL44,TABLAS!$B$52:$B$58,0)))),INDEX(TABLAS!$I$52:$I$58,MATCH(CL44,TABLAS!$B$52:$B$58,0)),INDEX(TABLAS!$F$52:$F$58,MATCH(CL44,TABLAS!$B$52:$B$58,0)))),5))))</f>
        <v/>
      </c>
      <c r="DE44" s="55" t="str">
        <f>IF(V44&lt;&gt;"SÍ","",IF(AND(C44="PERIMETRAL",BW44&gt;=2,AS44-AT44&gt;0,BA44*AR44*Y44^2*1E-4*DATOS!$C$86/100/1000&gt;DATOS!$C$29*INDEX(TABLAS!$D$52:$D$58,MATCH(BV44,TABLAS!$B$52:$B$58,0))*DATOS!$C$14*(BX44-INDEX(TABLAS!$D$52:$D$58,MATCH(BV44,TABLAS!$B$52:$B$58,0))*DATOS!$C$14/(DATOS!$C$21*AF44)/2)/1E5),"SÍ","NO"))</f>
        <v/>
      </c>
      <c r="DF44" s="55" t="str">
        <f>IF(V44&lt;&gt;"SÍ","",IF(AND(C44="PERIMETRAL",CM44&gt;=2,AT44&gt;0,BB44*AR44*Y44^2*1E-4*DATOS!$C$86/100/1000&gt;DATOS!$C$29*INDEX(TABLAS!$D$52:$D$58,MATCH(CL44,TABLAS!$B$52:$B$58,0))*DATOS!$C$14*(CN44-INDEX(TABLAS!$D$52:$D$58,MATCH(CL44,TABLAS!$B$52:$B$58,0))*DATOS!$C$14/(DATOS!$C$21*AG44)/2)/1E5),"SÍ","NO"))</f>
        <v/>
      </c>
      <c r="DG44" s="63" t="str">
        <f>IF(V44&lt;&gt;"SÍ","",IF(OR(C44="VOLADO",AS44=0),"—",IF(AND(AND(1.25*INDEX(TABLAS!$G$52:$G$58,MATCH(MAX(BN44,CD44),TABLAS!$B$52:$B$58,0))&lt;=(DATOS!$C$75-DATOS!$C$63),(DATOS!$C$75-DATOS!$C$63)&gt;=15,INDEX(TABLAS!$G$52:$G$58,MATCH(MAX(BV44,CL44),TABLAS!$B$52:$B$58,0))&lt;=(DATOS!$C$75-DATOS!$C$63)),8*INDEX(TABLAS!$C$52:$C$58,MATCH(MAX(MAX(BN44,CD44),MAX(BV44,CL44)),TABLAS!$B$52:$B$58,0))&lt;=DATOS!$C$76-2*DATOS!$C$63),"CUMPLE (gancho de 180°)",IF(AND(1.25*INDEX(TABLAS!$G$52:$G$58,MATCH(MAX(BN44,CD44),TABLAS!$B$52:$B$58,0))&lt;=(DATOS!$C$75-DATOS!$C$63),(DATOS!$C$75-DATOS!$C$63)&gt;=15,INDEX(TABLAS!$G$52:$G$58,MATCH(MAX(BV44,CL44),TABLAS!$B$52:$B$58,0))&lt;=(DATOS!$C$75-DATOS!$C$63)),"NO CUMPLE: el gancho de 180° (8·d_b) no cabe en el peralte de la dala de borde","NO CUMPLE: dala de borde ≥ "&amp;TEXT(CEILING(MAX(1.25*INDEX(TABLAS!$G$52:$G$58,MATCH(MAX(BN44,CD44),TABLAS!$B$52:$B$58,0)),15,INDEX(TABLAS!$G$52:$G$58,MATCH(MAX(BV44,CL44),TABLAS!$B$52:$B$58,0)))+DATOS!$C$63,5),"0")&amp;" cm de ancho"&amp;IF(8*INDEX(TABLAS!$C$52:$C$58,MATCH(MAX(MAX(BN44,CD44),MAX(BV44,CL44)),TABLAS!$B$52:$B$58,0))&lt;=DATOS!$C$76-2*DATOS!$C$63,""," y más peralte para el gancho")))))</f>
        <v/>
      </c>
      <c r="DH44" s="59" t="str">
        <f>IF(V44&lt;&gt;"SÍ","",MAX(0,INT((E44*100-DATOS!$C$87-IF(AND(C44="PERIMETRAL",I44="DISCONTINUO"),MAX(0,DATOS!$C$75-DATOS!$C$87),0)-IF(AND(C44="PERIMETRAL",J44="DISCONTINUO"),MAX(0,DATOS!$C$75-DATOS!$C$87),0)+DATOS!$C$86-IF(X44="X",DATOS!$C$81,AE44))/DATOS!$C$86)))</f>
        <v/>
      </c>
      <c r="DI44" s="59" t="str">
        <f>IF(V44&lt;&gt;"SÍ","",MAX(0,INT((F44*100-DATOS!$C$87-IF(AND(C44="PERIMETRAL",G44="DISCONTINUO"),MAX(0,DATOS!$C$75-DATOS!$C$87),0)-IF(AND(C44="PERIMETRAL",H44="DISCONTINUO"),MAX(0,DATOS!$C$75-DATOS!$C$87),0)+DATOS!$C$86-IF(X44="Y",DATOS!$C$81,AE44))/DATOS!$C$86)))</f>
        <v/>
      </c>
      <c r="DJ44" s="57" t="str">
        <f>IF(V44&lt;&gt;"SÍ","",IF(DH44&gt;0,IF(AND(C44="PERIMETRAL",I44="DISCONTINUO"),MAX(0,DATOS!$C$75-DATOS!$C$87),0)+(E44*100-DATOS!$C$87-IF(AND(C44="PERIMETRAL",I44="DISCONTINUO"),MAX(0,DATOS!$C$75-DATOS!$C$87),0)-IF(AND(C44="PERIMETRAL",J44="DISCONTINUO"),MAX(0,DATOS!$C$75-DATOS!$C$87),0)-(DH44*IF(X44="X",DATOS!$C$81,AE44)+(DH44-1)*(DATOS!$C$86-IF(X44="X",DATOS!$C$81,AE44))))/2,E44*100/2))</f>
        <v/>
      </c>
      <c r="DK44" s="57" t="str">
        <f>IF(V44&lt;&gt;"SÍ","",IF(DH44&gt;0,IF(AND(C44="PERIMETRAL",J44="DISCONTINUO"),MAX(0,DATOS!$C$75-DATOS!$C$87),0)+(E44*100-DATOS!$C$87-IF(AND(C44="PERIMETRAL",I44="DISCONTINUO"),MAX(0,DATOS!$C$75-DATOS!$C$87),0)-IF(AND(C44="PERIMETRAL",J44="DISCONTINUO"),MAX(0,DATOS!$C$75-DATOS!$C$87),0)-(DH44*IF(X44="X",DATOS!$C$81,AE44)+(DH44-1)*(DATOS!$C$86-IF(X44="X",DATOS!$C$81,AE44))))/2,E44*100/2))</f>
        <v/>
      </c>
      <c r="DL44" s="57" t="str">
        <f>IF(V44&lt;&gt;"SÍ","",IF(DI44&gt;0,IF(AND(C44="PERIMETRAL",G44="DISCONTINUO"),MAX(0,DATOS!$C$75-DATOS!$C$87),0)+(F44*100-DATOS!$C$87-IF(AND(C44="PERIMETRAL",G44="DISCONTINUO"),MAX(0,DATOS!$C$75-DATOS!$C$87),0)-IF(AND(C44="PERIMETRAL",H44="DISCONTINUO"),MAX(0,DATOS!$C$75-DATOS!$C$87),0)-(DI44*IF(X44="Y",DATOS!$C$81,AE44)+(DI44-1)*(DATOS!$C$86-IF(X44="Y",DATOS!$C$81,AE44))))/2,F44*100/2))</f>
        <v/>
      </c>
      <c r="DM44" s="57" t="str">
        <f>IF(V44&lt;&gt;"SÍ","",IF(DI44&gt;0,IF(AND(C44="PERIMETRAL",H44="DISCONTINUO"),MAX(0,DATOS!$C$75-DATOS!$C$87),0)+(F44*100-DATOS!$C$87-IF(AND(C44="PERIMETRAL",G44="DISCONTINUO"),MAX(0,DATOS!$C$75-DATOS!$C$87),0)-IF(AND(C44="PERIMETRAL",H44="DISCONTINUO"),MAX(0,DATOS!$C$75-DATOS!$C$87),0)-(DI44*IF(X44="Y",DATOS!$C$81,AE44)+(DI44-1)*(DATOS!$C$86-IF(X44="Y",DATOS!$C$81,AE44))))/2,F44*100/2))</f>
        <v/>
      </c>
      <c r="DN44" s="59" t="str">
        <f>IF(V44&lt;&gt;"SÍ","",IF(NOT(AND(C44="VOLADO",AD44&gt;DATOS!$C$83)),0,IF(INDEX(TABLAS!$C$52:$C$58,MATCH(BV44,TABLAS!$B$52:$B$58,0))&lt;=DATOS!$C$83-2*DATOS!$C$63,1,0)))</f>
        <v/>
      </c>
      <c r="DO44" s="58" t="str">
        <f>IF(V44&lt;&gt;"SÍ","",IF(NOT(AND(C44="VOLADO",AD44&gt;DATOS!$C$83)),0,((DATOS!$C$85-MAX(DATOS!$C$63,(DATOS!$C$84-2*DATOS!$C$97)/2)-2*DATOS!$C$97-INDEX(TABLAS!$C$52:$C$58,MATCH(MAX(4,DATOS!$C$72),TABLAS!$B$52:$B$58,0))-INDEX(TABLAS!$C$52:$C$58,MATCH(BV44,TABLAS!$B$52:$B$58,0))/2)-IF(AND((DATOS!$C$85-MAX(DATOS!$C$63,(DATOS!$C$84-2*DATOS!$C$97)/2)-2*DATOS!$C$97-INDEX(TABLAS!$C$52:$C$58,MATCH(MAX(4,DATOS!$C$72),TABLAS!$B$52:$B$58,0))-INDEX(TABLAS!$C$52:$C$58,MATCH(BV44,TABLAS!$B$52:$B$58,0))/2)&lt;=20,DATOS!$C$65&lt;&gt;"SÍ"),2,0))))</f>
        <v/>
      </c>
      <c r="DP44" s="56" t="str">
        <f>IF(V44&lt;&gt;"SÍ","",IF(OR(NOT(AND(C44="VOLADO",AD44&gt;DATOS!$C$83)),DN44&lt;1),0,IF(0.003*(DO44-((DN44*INDEX(TABLAS!$D$52:$D$58,MATCH(BV44,TABLAS!$B$52:$B$58,0)))*DATOS!$C$14/(DATOS!$C$21*AG44)/DATOS!$C$22))/((DN44*INDEX(TABLAS!$D$52:$D$58,MATCH(BV44,TABLAS!$B$52:$B$58,0)))*DATOS!$C$14/(DATOS!$C$21*AG44)/DATOS!$C$22)&lt;0.005,0,DATOS!$C$29*(DN44*INDEX(TABLAS!$D$52:$D$58,MATCH(BV44,TABLAS!$B$52:$B$58,0)))*DATOS!$C$14*(DO44-(DN44*INDEX(TABLAS!$D$52:$D$58,MATCH(BV44,TABLAS!$B$52:$B$58,0)))*DATOS!$C$14/(DATOS!$C$21*AG44)/2)/1E5)))</f>
        <v/>
      </c>
      <c r="DQ44" s="56" t="str">
        <f>IF(V44&lt;&gt;"SÍ","",IF(OR(NOT(AND(C44="VOLADO",AD44&gt;DATOS!$C$83)),DN44&lt;1),0,DATOS!$C$30*2*MIN(1,SQRT(2/(1+0.04*DO44)))*((DN44*INDEX(TABLAS!$D$52:$D$58,MATCH(BV44,TABLAS!$B$52:$B$58,0)))/(AG44*DO44))^(1/3)*SQRT(DATOS!$C$13)*AG44*DO44/1000))</f>
        <v/>
      </c>
      <c r="DR44" s="56" t="str">
        <f>IF(V44&lt;&gt;"SÍ","",IF(NOT(AND(C44="VOLADO",AD44&gt;DATOS!$C$83)),0,IF((BH44-DP44)&lt;=0,0,IF(DP44&lt;=0,IF(ISNUMBER(P44),P44,Y44),IF(((0.9*DATOS!$C$90*DATOS!$C$86/100/1000)*IF(ISNUMBER(P44),P44,Y44)/2+BH44/IF(ISNUMBER(P44),P44,Y44))^2-4*((0.9*DATOS!$C$90*DATOS!$C$86/100/1000)/2)*(BH44-DP44)&lt;0,IF(ISNUMBER(P44),P44,Y44),MIN(IF(ISNUMBER(P44),P44,Y44),(((0.9*DATOS!$C$90*DATOS!$C$86/100/1000)*IF(ISNUMBER(P44),P44,Y44)/2+BH44/IF(ISNUMBER(P44),P44,Y44))-SQRT(((0.9*DATOS!$C$90*DATOS!$C$86/100/1000)*IF(ISNUMBER(P44),P44,Y44)/2+BH44/IF(ISNUMBER(P44),P44,Y44))^2-4*((0.9*DATOS!$C$90*DATOS!$C$86/100/1000)/2)*(BH44-DP44)))/(2*((0.9*DATOS!$C$90*DATOS!$C$86/100/1000)/2))))))))</f>
        <v/>
      </c>
      <c r="DS44" s="56" t="str">
        <f>IF(V44&lt;&gt;"SÍ","",IF(NOT(AND(C44="VOLADO",AD44&gt;DATOS!$C$83)),0,IF(DQ44&lt;=(BH44/((IF(ISNUMBER(P44),P44,Y44)*100-DATOS!$C$87)/100)),IF(ISNUMBER(P44),P44,Y44),MIN(IF(ISNUMBER(P44),P44,Y44),MAX(0,(IF(ISNUMBER(P44),P44,Y44)*100-DATOS!$C$87)/200-(DQ44-(BH44/((IF(ISNUMBER(P44),P44,Y44)*100-DATOS!$C$87)/100)))/((0.95-0.5*IF(N(Q44)&gt;0,MIN(IF(ISNUMBER(P44),P44,Y44),Q44)/MAX(IF(ISNUMBER(P44),P44,Y44),Q44),0))*DATOS!$C$33*AR44*DATOS!$C$86/100/1000))))))</f>
        <v/>
      </c>
      <c r="DT44" s="56" t="str">
        <f>IF(V44&lt;&gt;"SÍ","",IF(NOT(AND(C44="VOLADO",AD44&gt;DATOS!$C$83)),0,(BH44/((IF(ISNUMBER(P44),P44,Y44)*100-DATOS!$C$87)/100))+((0.95-0.5*IF(N(Q44)&gt;0,MIN(IF(ISNUMBER(P44),P44,Y44),Q44)/MAX(IF(ISNUMBER(P44),P44,Y44),Q44),0))*DATOS!$C$33*AR44*DATOS!$C$86/100/1000)*MAX(0,(IF(ISNUMBER(P44),P44,Y44)*100-DATOS!$C$87)/200-BX44/100)))</f>
        <v/>
      </c>
      <c r="DU44" s="59" t="str">
        <f>IF(V44&lt;&gt;"SÍ","",IF(NOT(AND(C44="VOLADO",AD44&gt;DATOS!$C$83)),0,MIN(FLOOR(100*IF(ISNUMBER(P44),P44,Y44)-DATOS!$C$63,5),CEILING(100*MIN(IF(ISNUMBER(P44),P44,Y44),MAX(IF(DR44&gt;0,DR44+IF(BW44&gt;=2,MAX(DO44,12*INDEX(TABLAS!$C$52:$C$58,MATCH(BV44,TABLAS!$B$52:$B$58,0)))/100,0),0),DS44,IF(BW44&gt;=2,INDEX(TABLAS!$F$52:$F$58,MATCH(BV44,TABLAS!$B$52:$B$58,0))/100,0))),5))))</f>
        <v/>
      </c>
      <c r="DV44" s="60" t="str">
        <f>IF(V44&lt;&gt;"SÍ","",IF(NOT(AND(C44="VOLADO",AD44&gt;DATOS!$C$83)),0,IF(DU44&lt;=0,0,CEILING(DU44/DATOS!$C$86,1))))</f>
        <v/>
      </c>
      <c r="DW44" s="61" t="str">
        <f>IF(V44&lt;&gt;"SÍ","",IF(C44&lt;&gt;"VOLADO","—",IF(AD44&lt;=DATOS!$C$83,"— (mismo b_w que el respaldo)",IF(DT44&gt;CS44,"NO CUMPLE: cortante de la nervadura ancha junto al apoyo ("&amp;TEXT(DT44,"0.00")&amp;" &gt; "&amp;TEXT(CS44,"0.00")&amp;" t)",IF(DU44&gt;=100*IF(ISNUMBER(P44),P44,Y44),"CUMPLE — todas las nervaduras del respaldo ‖ al volado con b_w = "&amp;AD44&amp;" cm","CUMPLE — "&amp;DV44&amp;" hilera(s) del respaldo con nervaduras de b_w = "&amp;AD44&amp;" cm (casetón "&amp;AE44&amp;" cm), hasta "&amp;TEXT(DU44/100,"0.00")&amp;" m del paño")))))</f>
        <v/>
      </c>
      <c r="DX44" s="69" t="str">
        <f>IF(V44&lt;&gt;"SÍ","",IF(BO44=0,"NO ALCANZA",BO44&amp;" No. "&amp;BN44&amp;IF(BO44&gt;1," corridas"," corrida")))</f>
        <v/>
      </c>
      <c r="DY44" s="69" t="str">
        <f>IF(V44&lt;&gt;"SÍ","",IF(BW44=0,"NO ALCANZA",IF(AND(C44="VOLADO",AD44&gt;DATOS!$C$83,BW44&gt;=2),"1 No. "&amp;BV44&amp;" corrida de la orilla al respaldo ("&amp;IF(DC44&gt;=FLOOR(100*IF(ISNUMBER(P44),P44,Y44)-DATOS!$C$63,5),"hasta su apoyo lejano, con gancho","entra "&amp;TEXT(DC44/100,"0.00")&amp;" m desde el paño")&amp;") + "&amp;(BW44-1)&amp;" bastón No. "&amp;BV44&amp;" hasta "&amp;TEXT(DU44/100,"0.00")&amp;" m del paño (fin de la nervadura ancha)",IF(C44="VOLADO",BW44&amp;" No. "&amp;BV44&amp;" de la orilla al respaldo ("&amp;IF(DC44&gt;=FLOOR(100*IF(ISNUMBER(P44),P44,Y44)-DATOS!$C$63,5),"hasta su apoyo lejano, con gancho","entran "&amp;TEXT(DC44/100,"0.00")&amp;" m desde el paño")&amp;")","1 No. "&amp;BV44&amp;" corrida"&amp;IF(BW44&gt;1," + "&amp;(BW44-1)&amp;" bastón No. "&amp;BV44&amp;" L = "&amp;TEXT(DC44/100,"0.00")&amp;" m desde el paño","")))))</f>
        <v/>
      </c>
      <c r="DZ44" s="69" t="str">
        <f>IF(V44&lt;&gt;"SÍ","",IF(CE44=0,"NO ALCANZA",CE44&amp;" No. "&amp;CD44&amp;IF(CE44&gt;1," corridas"," corrida")))</f>
        <v/>
      </c>
      <c r="EA44" s="69" t="str">
        <f>IF(V44&lt;&gt;"SÍ","",IF(CM44=0,"NO ALCANZA",IF(C44="VOLADO","1 No. "&amp;CL44&amp;" corrida (repartición)","1 No. "&amp;CL44&amp;" corrida"&amp;IF(CM44&gt;1," + "&amp;(CM44-1)&amp;" bastón No. "&amp;CL44&amp;" L = "&amp;TEXT(DD44/100,"0.00")&amp;" m desde el paño",""))))</f>
        <v/>
      </c>
      <c r="EB44" s="67" t="str">
        <f>IF(B44="","",IF(V44&lt;&gt;"SÍ","FALTAN DATOS: tipo, a_x, a_y, destino y, en volados, L_b",IF(L44="NO MONOLÍTICO (caso II)","FUERA DE ALCANCE: caso II no transcrito",IF(AND(C44="VOLADO",W44="?"),"REVISAR: el volado lleva UN solo borde CONTINUO (el empotrado)",IF(MIN(DH44,DI44)=0,"REVISAR: no cabe un casetón (tablero macizo): diséñalo en MACIZAS",IF(AND(MAX(BR44,BZ44,CH44,CP44)&lt;=1,NOT(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T(OR(AND(ISNUMBER(BS44),BS44&lt;0.005),AND(ISNUMBER(CA44),CA44&lt;0.005),AND(ISNUMBER(CI44),CI44&lt;0.005),AND(ISNUMBER(CQ44),CQ44&lt;0.005))),NOT(LEFT(DW44,2)="NO"),DA44="CUMPLE",DB44="CUMPLE",LEFT(CU44,2)&lt;&gt;"NO",LEFT(DATOS!$C$132,6)="CUMPLE"),IF(LEFT(CU44,6)="CUMPLE","CUMPLE","CUMPLE — "&amp;CU44)&amp;IF(LEFT(BK44,5)="FUERA"," · fuera de 3.4.2.1 c)","")&amp;IF(LEFT(DG44,2)="NO"," · REVISAR anclaje en borde discontinuo","")&amp;IF(DV44&gt;0," · respaldo: "&amp;DV44&amp;" hilera(s) de b_w "&amp;AD44&amp;" cm",""),IF(AND(MAX(BR44,BZ44,CH44,CP44)&lt;=1,NOT(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T(OR(AND(ISNUMBER(BS44),BS44&lt;0.005),AND(ISNUMBER(CA44),CA44&lt;0.005),AND(ISNUMBER(CI44),CI44&lt;0.005),AND(ISNUMBER(CQ44),CQ44&lt;0.005))),NOT(LEFT(DW44,2)="NO"),DA44="CALCULAR FLECHA",LEFT(CU44,2)&lt;&gt;"NO",LEFT(DATOS!$C$132,6)="CUMPLE"),"REVISAR: calcular flecha (h_eq &lt; h mín.)"&amp;IF(LEFT(BK44,5)="FUERA"," · fuera de 3.4.2.1 c)","")&amp;IF(LEFT(DG44,2)="NO"," · REVISAR anclaje en borde discontinuo","")&amp;IF(DV44&gt;0," · respaldo: "&amp;DV44&amp;" hilera(s) de b_w "&amp;AD44&amp;" cm",""),"NO CUMPLE: "&amp;IF(MAX(BR44,BZ44,CH44,CP44)&gt;1,"flexión ","")&amp;IF(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 caben ","")&amp;IF(OR(AND(ISNUMBER(BS44),BS44&lt;0.005),AND(ISNUMBER(CA44),CA44&lt;0.005),AND(ISNUMBER(CI44),CI44&lt;0.005),AND(ISNUMBER(CQ44),CQ44&lt;0.005)),"ε_t &lt; 0.005 ","")&amp;IF(LEFT(CU44,2)="NO","cortante ","")&amp;IF(DA44="NO CUMPLE","peralte ","")&amp;IF(DB44&lt;&gt;"CUMPLE","capa &lt; 6 cm ","")&amp;IF(LEFT(DATOS!$C$132,6)&lt;&gt;"CUMPLE","capa o malla (DATOS sección 7) ","")&amp;IF(LEFT(DW44,2)="NO","respaldo del volado",""))))))))</f>
        <v/>
      </c>
      <c r="EC44" s="70" t="str">
        <f>IF(V44&lt;&gt;"SÍ","",IF(LEFT(B44,7)="EJEMPLO","EJEMPLO de la hoja de Casa Rocha: bórralo o sobrescríbelo. ","")&amp;IF(AND(C44="PERIMETRAL",MIN(DH44,DI44)=0),"No cabe un casetón en el claro corto: es un tablero macizo, diséñalo en MACIZAS. ","")&amp;IF(AND(AJ44="NO",C44="PERIMETRAL"),"No cumple 6.7.8.1.4 (a_c = "&amp;MAX(DATOS!$C$81,AE44)&amp;" cm &gt; claro corto/6 = "&amp;TEXT(Y44*100/6,"0")&amp;" cm): se diseña como losa apoyada en vigas (6.7.8.1.9): r de viga = "&amp;DATOS!$C$63&amp;" cm y V_cR sin ×1.1. Para que cuente como encasetonada: casetón de "&amp;TEXT(FLOOR(MIN(80,Y44*100/6),1),"0")&amp;" cm o menor. ","")&amp;IF(C44="VOLADO","Volado de "&amp;TEXT(Y44,"0.00")&amp;" m empotrado en el borde "&amp;LOWER(W44)&amp;IF(N(O44)&gt;0,", con "&amp;TEXT(O44,"0.0")&amp;" kg/m en la orilla","")&amp;". Lecho inferior con r_ext. Si la orilla carga pretil u otro elemento frágil, calcula la flecha (13.4). El acero superior entra al respaldo de "&amp;TEXT(IF(ISNUMBER(P44),P44,Y44),"0.00")&amp;" m"&amp;" hasta pasar M = 0 con 0.9·PP sin carga viva; si ahí no se anula, llega al apoyo lejano y se ancla con gancho (NTC-Criterios 3.4.1 c y 5.1.2.2). "&amp;IF(AD44&gt;DATOS!$C$83,"Respaldo: "&amp;DW44&amp;". ",""),"")&amp;IF(AND(C44="VOLADO",((0.9*DATOS!$C$90*DATOS!$C$86/100/1000)*IF(ISNUMBER(P44),P44,Y44)/2-BH44/IF(ISNUMBER(P44),P44,Y44))&lt;0),"Con 0.9·PP y sin carga viva el apoyo lejano del respaldo levanta (R = "&amp;TEXT(-((0.9*DATOS!$C$90*DATOS!$C$86/100/1000)*IF(ISNUMBER(P44),P44,Y44)/2-BH44/IF(ISNUMBER(P44),P44,Y44)),"0.00")&amp;" t por nervadura): ancla ahí la corrida con gancho y revisa ese apoyo a tensión. ","")&amp;IF(LEFT(BK44,5)="FUERA","El M⁻ del vecino difiere más de 50 % (3.4.2.1 c): distribuye el desequilibrio (3.4.3.1) o confirma con un modelo; se arma con el mayor. ","")&amp;IF(OR(DE44="SÍ",DF44="SÍ"),"El M⁻ del borde discontinuo pide bastón también ahí (con gancho). ","")&amp;IF(LEFT(DG44,2)="NO","Anclaje: "&amp;DG44&amp;" (6.7.8.1.7). ","")&amp;IF(AND(C44="PERIMETRAL",AT44&gt;=1,AS44-AT44&gt;=1),"Esquinas exteriores sobre muro: refuerzo de esquina arriba y abajo en L_largo/5 (6.7.7.3.1). ",""))</f>
        <v/>
      </c>
    </row>
    <row r="45" ht="33" customHeight="1">
      <c r="A45" s="50">
        <f>IF(B45="",0,1)+A44</f>
        <v>4</v>
      </c>
      <c r="B45" s="29" t="n"/>
      <c r="C45" s="51" t="n"/>
      <c r="D45" s="29" t="n"/>
      <c r="E45" s="52" t="n"/>
      <c r="F45" s="52" t="n"/>
      <c r="G45" s="51" t="n"/>
      <c r="H45" s="51" t="n"/>
      <c r="I45" s="51" t="n"/>
      <c r="J45" s="51" t="n"/>
      <c r="K45" s="51" t="n"/>
      <c r="L45" s="51" t="n"/>
      <c r="M45" s="53" t="n"/>
      <c r="N45" s="53" t="n"/>
      <c r="O45" s="54" t="n"/>
      <c r="P45" s="52" t="n"/>
      <c r="Q45" s="52" t="n"/>
      <c r="R45" s="53" t="n"/>
      <c r="S45" s="54" t="n"/>
      <c r="T45" s="52" t="n"/>
      <c r="U45" s="52" t="n"/>
      <c r="V45" s="55" t="str">
        <f>IF(B45="","",IF(AND(OR(C45="PERIMETRAL",C45="VOLADO"),ISNUMBER(E45),ISNUMBER(F45),E45&gt;0,F45&gt;0,OR(ISNUMBER(N45),ISNUMBER(MATCH(D45,DATOS!$B$46:$B$58,0))),OR(C45&lt;&gt;"VOLADO",N(P45)&gt;0)),"SÍ","NO"))</f>
        <v/>
      </c>
      <c r="W45" s="55" t="str">
        <f>IF(V45&lt;&gt;"SÍ","",IF(C45&lt;&gt;"VOLADO","—",IF(COUNTIF(G45:J45,"CONTINUO")&lt;&gt;1,"?",IF(G45="CONTINUO","INFERIOR",IF(H45="CONTINUO","SUPERIOR",IF(I45="CONTINUO","IZQUIERDO","DERECHO"))))))</f>
        <v/>
      </c>
      <c r="X45" s="55" t="str">
        <f>IF(V45&lt;&gt;"SÍ","",IF(C45="VOLADO",IF(OR(W45="IZQUIERDO",W45="DERECHO"),"X","Y"),IF(E45&lt;=F45,"X","Y")))</f>
        <v/>
      </c>
      <c r="Y45" s="56" t="str">
        <f>IF(V45&lt;&gt;"SÍ","",IF(C45="VOLADO",IF(X45="X",E45,F45),MIN(E45,F45)))</f>
        <v/>
      </c>
      <c r="Z45" s="56" t="str">
        <f>IF(V45&lt;&gt;"SÍ","",IF(C45="VOLADO",IF(X45="X",F45,E45),MAX(E45,F45)))</f>
        <v/>
      </c>
      <c r="AA45" s="56" t="str">
        <f>IF(V45&lt;&gt;"SÍ","",MIN(Y45,Z45)/MAX(Y45,Z45))</f>
        <v/>
      </c>
      <c r="AB45" s="57" t="str">
        <f>IF(V45&lt;&gt;"SÍ","",MAX(1,Y45*100-IF(C45="VOLADO",DATOS!$C$87/2,DATOS!$C$87)))</f>
        <v/>
      </c>
      <c r="AC45" s="57" t="str">
        <f>IF(V45&lt;&gt;"SÍ","",MAX(1,Z45*100-DATOS!$C$87))</f>
        <v/>
      </c>
      <c r="AD45" s="57" t="str">
        <f>IF(V45&lt;&gt;"SÍ","",IF(ISNUMBER(R45),R45,DATOS!$C$83))</f>
        <v/>
      </c>
      <c r="AE45" s="57" t="str">
        <f>IF(V45&lt;&gt;"SÍ","",MAX(0,DATOS!$C$86-AD45))</f>
        <v/>
      </c>
      <c r="AF45" s="57" t="str">
        <f>IF(V45&lt;&gt;"SÍ","",IF(OR(DATOS!$C$65="SÍ",AD45&gt;=20),AD45,AD45-2))</f>
        <v/>
      </c>
      <c r="AG45" s="57" t="str">
        <f>IF(V45&lt;&gt;"SÍ","",IF(OR(DATOS!$C$65="SÍ",DATOS!$C$83&gt;=20),DATOS!$C$83,DATOS!$C$83-2))</f>
        <v/>
      </c>
      <c r="AH45" s="57" t="str">
        <f>IF(V45&lt;&gt;"SÍ","",MIN(DATOS!$C$86,AD45+2*MIN(8*DATOS!$C$84,AE45/2,AB45/8)))</f>
        <v/>
      </c>
      <c r="AI45" s="57" t="str">
        <f>IF(V45&lt;&gt;"SÍ","",MIN(DATOS!$C$86,DATOS!$C$83+2*MIN(8*DATOS!$C$84,DATOS!$C$81/2,AC45/8)))</f>
        <v/>
      </c>
      <c r="AJ45" s="55" t="str">
        <f>IF(V45&lt;&gt;"SÍ","",IF(AND(C45="PERIMETRAL",Y45*100&gt;=6*MAX(DATOS!$C$81,AE45),MAX(DATOS!$C$81,AE45)&lt;=80,MIN(DATOS!$C$83,AD45)&gt;=10,DATOS!$C$85&lt;=3.5*MIN(DATOS!$C$83,AD45),DATOS!$C$84&gt;=MAX(MAX(DATOS!$C$81,AE45)/13,5)),"SÍ","NO"))</f>
        <v/>
      </c>
      <c r="AK45" s="57" t="str">
        <f>IF(V45&lt;&gt;"SÍ","",IF(C45="VOLADO",DATOS!$C$64,IF(AJ45="NO",DATOS!$C$63,DATOS!$C$62)))</f>
        <v/>
      </c>
      <c r="AL45" s="57" t="str">
        <f>IF(V45&lt;&gt;"SÍ","",IF(OR(AND(AN45="SÍ",DATOS!$C$66="SÍ"),AND(C45="VOLADO",DATOS!$C$67="SÍ")),DATOS!$C$64,IF(AJ45="NO",DATOS!$C$63,DATOS!$C$62)))</f>
        <v/>
      </c>
      <c r="AM45" s="58" t="str">
        <f>IF(V45&lt;&gt;"SÍ","",MAX(AL45,(DATOS!$C$84-2*DATOS!$C$97)/2))</f>
        <v/>
      </c>
      <c r="AN45" s="55" t="str">
        <f>IF(V45&lt;&gt;"SÍ","",IFERROR(INDEX(DATOS!$D$46:$D$58,MATCH(D45,DATOS!$B$46:$B$58,0)),"NO"))</f>
        <v/>
      </c>
      <c r="AO45" s="59" t="str">
        <f>IF(V45&lt;&gt;"SÍ","",IF(ISNUMBER(N45),N45,IFERROR(INDEX(DATOS!$C$46:$C$58,MATCH(D45,DATOS!$B$46:$B$58,0)),0)))</f>
        <v/>
      </c>
      <c r="AP45" s="59" t="str">
        <f>IF(V45&lt;&gt;"SÍ","",IF(MIN(DH45,DI45)=0,DATOS!$C$85/100*DATOS!$C$16*1000,(DATOS!$C$85/100-(AE45*DATOS!$C$81/DATOS!$C$86^2)*DATOS!$C$82/100)*DATOS!$C$16*1000+(AE45*DATOS!$C$81/DATOS!$C$86^2)*DATOS!$C$82/100*DATOS!$C$17*1000)+DATOS!$C$37+DATOS!$C$38)</f>
        <v/>
      </c>
      <c r="AQ45" s="59" t="str">
        <f>IF(V45&lt;&gt;"SÍ","",AP45+N(M45))</f>
        <v/>
      </c>
      <c r="AR45" s="60" t="str">
        <f>IF(V45&lt;&gt;"SÍ","",MAX(DATOS!$C$26*AQ45+DATOS!$C$27*AO45,IF(AN45="SÍ",DATOS!$C$28*(AQ45+DATOS!$C$41),0)))</f>
        <v/>
      </c>
      <c r="AS45" s="59" t="str">
        <f>IF(V45&lt;&gt;"SÍ","",(G45="DISCONTINUO")+(H45="DISCONTINUO")+(I45="DISCONTINUO")+(J45="DISCONTINUO"))</f>
        <v/>
      </c>
      <c r="AT45" s="59" t="str">
        <f>IF(V45&lt;&gt;"SÍ","",IF(X45="X",(G45="DISCONTINUO")+(H45="DISCONTINUO"),(I45="DISCONTINUO")+(J45="DISCONTINUO")))</f>
        <v/>
      </c>
      <c r="AU45" s="55" t="str">
        <f>IF(V45&lt;&gt;"SÍ","",IF(AS45=0,"INTERIOR",IF(AS45=1,IF(AT45=1,"BORDE-CORTO","BORDE-LARGO"),IF(AS45=2,IF(AT45=1,"ESQUINA",IF(AT45=2,"EXTREMO-LARGO","EXTREMO-CORTO")),IF(AS45=3,IF(AT45=2,"EXTREMO-LARGO","EXTREMO-CORTO"),"AISLADO")))))</f>
        <v/>
      </c>
      <c r="AV45" s="61" t="str">
        <f>IF(V45&lt;&gt;"SÍ","",IF(OR(K45="",K45="AUTO"),AU45,K45))</f>
        <v/>
      </c>
      <c r="AW45" s="59" t="str">
        <f>IF(V45&lt;&gt;"SÍ","",MATCH(AA45,TABLAS!$D$5:$J$5,1))</f>
        <v/>
      </c>
      <c r="AX45" s="58" t="str">
        <f>IF(V45&lt;&gt;"SÍ","",IF(AW45&gt;=7,0,(AA45-INDEX(TABLAS!$D$5:$J$5,AW45))/(INDEX(TABLAS!$D$5:$J$5,AW45+1)-INDEX(TABLAS!$D$5:$J$5,AW45))))</f>
        <v/>
      </c>
      <c r="AY45" s="59" t="str">
        <f>IF(V45&lt;&gt;"SÍ","",INDEX(TABLAS!$D$6:$J$47,MATCH(AV45&amp;"|NIC",TABLAS!$B$6:$B$47,0),AW45)+AX45*(INDEX(TABLAS!$D$6:$J$47,MATCH(AV45&amp;"|NIC",TABLAS!$B$6:$B$47,0),MIN(AW45+1,7))-INDEX(TABLAS!$D$6:$J$47,MATCH(AV45&amp;"|NIC",TABLAS!$B$6:$B$47,0),AW45)))</f>
        <v/>
      </c>
      <c r="AZ45" s="59" t="str">
        <f>IF(V45&lt;&gt;"SÍ","",INDEX(TABLAS!$D$6:$J$47,MATCH(AV45&amp;"|NIL",TABLAS!$B$6:$B$47,0),AW45)+AX45*(INDEX(TABLAS!$D$6:$J$47,MATCH(AV45&amp;"|NIL",TABLAS!$B$6:$B$47,0),MIN(AW45+1,7))-INDEX(TABLAS!$D$6:$J$47,MATCH(AV45&amp;"|NIL",TABLAS!$B$6:$B$47,0),AW45)))</f>
        <v/>
      </c>
      <c r="BA45" s="59" t="str">
        <f>IF(V45&lt;&gt;"SÍ","",INDEX(TABLAS!$D$6:$J$47,MATCH(AV45&amp;"|NDC",TABLAS!$B$6:$B$47,0),AW45)+AX45*(INDEX(TABLAS!$D$6:$J$47,MATCH(AV45&amp;"|NDC",TABLAS!$B$6:$B$47,0),MIN(AW45+1,7))-INDEX(TABLAS!$D$6:$J$47,MATCH(AV45&amp;"|NDC",TABLAS!$B$6:$B$47,0),AW45)))</f>
        <v/>
      </c>
      <c r="BB45" s="59" t="str">
        <f>IF(V45&lt;&gt;"SÍ","",INDEX(TABLAS!$D$6:$J$47,MATCH(AV45&amp;"|NDL",TABLAS!$B$6:$B$47,0),AW45)+AX45*(INDEX(TABLAS!$D$6:$J$47,MATCH(AV45&amp;"|NDL",TABLAS!$B$6:$B$47,0),MIN(AW45+1,7))-INDEX(TABLAS!$D$6:$J$47,MATCH(AV45&amp;"|NDL",TABLAS!$B$6:$B$47,0),AW45)))</f>
        <v/>
      </c>
      <c r="BC45" s="59" t="str">
        <f>IF(V45&lt;&gt;"SÍ","",INDEX(TABLAS!$D$6:$J$47,MATCH(AV45&amp;"|PC",TABLAS!$B$6:$B$47,0),AW45)+AX45*(INDEX(TABLAS!$D$6:$J$47,MATCH(AV45&amp;"|PC",TABLAS!$B$6:$B$47,0),MIN(AW45+1,7))-INDEX(TABLAS!$D$6:$J$47,MATCH(AV45&amp;"|PC",TABLAS!$B$6:$B$47,0),AW45)))</f>
        <v/>
      </c>
      <c r="BD45" s="59" t="str">
        <f>IF(V45&lt;&gt;"SÍ","",INDEX(TABLAS!$D$6:$J$47,MATCH(AV45&amp;"|PL",TABLAS!$B$6:$B$47,0),AW45)+AX45*(INDEX(TABLAS!$D$6:$J$47,MATCH(AV45&amp;"|PL",TABLAS!$B$6:$B$47,0),MIN(AW45+1,7))-INDEX(TABLAS!$D$6:$J$47,MATCH(AV45&amp;"|PL",TABLAS!$B$6:$B$47,0),AW45)))</f>
        <v/>
      </c>
      <c r="BE45" s="56" t="str">
        <f>IF(V45&lt;&gt;"SÍ","",IF(OR(C45&lt;&gt;"VOLADO",MIN(DH45,DI45)=0),0,DATOS!$C$26*DATOS!$C$16*DATOS!$C$86/100*(((AE45*DATOS!$C$81/DATOS!$C$86^2)*DATOS!$C$82/100)*(IF(X45="X",DJ45,DL45)+DATOS!$C$87/2)/100*(AB45-(IF(X45="X",DJ45,DL45)+DATOS!$C$87/2)/2)/100+((AE45*DATOS!$C$81/DATOS!$C$86^2)*DATOS!$C$82/100)*IF(X45="X",DJ45,DL45)/100*IF(X45="X",DJ45,DL45)/200)))</f>
        <v/>
      </c>
      <c r="BF45" s="56" t="str">
        <f>IF(V45&lt;&gt;"SÍ","",IF(OR(C45&lt;&gt;"VOLADO",MIN(DH45,DI45)=0),0,DATOS!$C$26*DATOS!$C$16*DATOS!$C$86/100*((AE45*DATOS!$C$81/DATOS!$C$86^2)*DATOS!$C$82/100)*(IF(X45="X",DJ45,DL45)+DATOS!$C$87/2)/100))</f>
        <v/>
      </c>
      <c r="BG45" s="56" t="str">
        <f>IF(V45&lt;&gt;"SÍ","",IF(C45="PERIMETRAL",BC45*AR45*Y45^2*1E-4*DATOS!$C$86/100/1000,0))</f>
        <v/>
      </c>
      <c r="BH45" s="62" t="str">
        <f>IF(V45&lt;&gt;"SÍ","",IF(C45="PERIMETRAL",MAX(MAX(AY45,BA45)*AR45*Y45^2*1E-4*DATOS!$C$86/100/1000,N(T45)),(AR45*(AB45/100)^2/2+DATOS!$C$26*N(O45)*AB45/100)*DATOS!$C$86/100/1000+BE45))</f>
        <v/>
      </c>
      <c r="BI45" s="56" t="str">
        <f>IF(V45&lt;&gt;"SÍ","",IF(C45="PERIMETRAL",BD45*AR45*Y45^2*1E-4*DATOS!$C$86/100/1000,0))</f>
        <v/>
      </c>
      <c r="BJ45" s="56" t="str">
        <f>IF(V45&lt;&gt;"SÍ","",IF(C45="PERIMETRAL",MAX(MAX(AZ45,BB45)*AR45*Y45^2*1E-4*DATOS!$C$86/100/1000,N(U45)),0))</f>
        <v/>
      </c>
      <c r="BK45" s="63" t="str">
        <f>IF(V45&lt;&gt;"SÍ","",IF(C45&lt;&gt;"PERIMETRAL","—",IF(AND(N(T45)=0,N(U45)=0),"— (sin M⁻ del vecino)",IF(OR(AND(N(T45)&gt;0,ABS(MAX(AY45,BA45)*AR45*Y45^2*1E-4*DATOS!$C$86/100/1000-N(T45))&gt;0.5*MIN(MAX(AY45,BA45)*AR45*Y45^2*1E-4*DATOS!$C$86/100/1000,N(T45))),AND(N(U45)&gt;0,ABS(MAX(AZ45,BB45)*AR45*Y45^2*1E-4*DATOS!$C$86/100/1000-N(U45))&gt;0.5*MIN(MAX(AZ45,BB45)*AR45*Y45^2*1E-4*DATOS!$C$86/100/1000,N(U45)))),"FUERA: difieren &gt; 50 %"&amp;IF(AND(N(T45)&gt;0,ABS(MAX(AY45,BA45)*AR45*Y45^2*1E-4*DATOS!$C$86/100/1000-N(T45))&gt;0.5*MIN(MAX(AY45,BA45)*AR45*Y45^2*1E-4*DATOS!$C$86/100/1000,N(T45)))," ‖ corto","")&amp;IF(AND(N(U45)&gt;0,ABS(MAX(AZ45,BB45)*AR45*Y45^2*1E-4*DATOS!$C$86/100/1000-N(U45))&gt;0.5*MIN(MAX(AZ45,BB45)*AR45*Y45^2*1E-4*DATOS!$C$86/100/1000,N(U45)))," ‖ largo",""),"CUMPLE"))))</f>
        <v/>
      </c>
      <c r="BL45" s="58" t="str">
        <f>IF(V45&lt;&gt;"SÍ","",(DATOS!$C$85-AK45-INDEX(TABLAS!$C$52:$C$58,MATCH(MAX(4,DATOS!$C$71),TABLAS!$B$52:$B$58,0))/2))</f>
        <v/>
      </c>
      <c r="BM45" s="58" t="str">
        <f>IF(V45&lt;&gt;"SÍ","",IF(IF(BG45&lt;=0,0,IF((1-2*BG45*1E5/(DATOS!$C$29*AH45*BL45^2*DATOS!$C$21))&lt;0,-1,IF((1-SQRT((1-2*BG45*1E5/(DATOS!$C$29*AH45*BL45^2*DATOS!$C$21))))*DATOS!$C$21*AH45*BL45/DATOS!$C$14&gt;DATOS!$C$102*AH45*BL45,-1,(1-SQRT((1-2*BG45*1E5/(DATOS!$C$29*AH45*BL45^2*DATOS!$C$21))))*DATOS!$C$21*AH45*BL45/DATOS!$C$14)))&lt;0,-1,MAX(IF(BG45&lt;=0,0,IF((1-2*BG45*1E5/(DATOS!$C$29*AH45*BL45^2*DATOS!$C$21))&lt;0,-1,IF((1-SQRT((1-2*BG45*1E5/(DATOS!$C$29*AH45*BL45^2*DATOS!$C$21))))*DATOS!$C$21*AH45*BL45/DATOS!$C$14&gt;DATOS!$C$102*AH45*BL45,-1,(1-SQRT((1-2*BG45*1E5/(DATOS!$C$29*AH45*BL45^2*DATOS!$C$21))))*DATOS!$C$21*AH45*BL45/DATOS!$C$14))),MIN(DATOS!$C$103*AD45*BL45,4/3*IF(BG45&lt;=0,0,IF((1-2*BG45*1E5/(DATOS!$C$29*AH45*BL45^2*DATOS!$C$21))&lt;0,-1,IF((1-SQRT((1-2*BG45*1E5/(DATOS!$C$29*AH45*BL45^2*DATOS!$C$21))))*DATOS!$C$21*AH45*BL45/DATOS!$C$14&gt;DATOS!$C$102*AH45*BL45,-1,(1-SQRT((1-2*BG45*1E5/(DATOS!$C$29*AH45*BL45^2*DATOS!$C$21))))*DATOS!$C$21*AH45*BL45/DATOS!$C$14)))))))</f>
        <v/>
      </c>
      <c r="BN45" s="64" t="str">
        <f>IF(V45&lt;&gt;"SÍ","",IF(AND(BM45&gt;=0,IF(MAX(DATOS!$C$74,CEILING(BM45/INDEX(TABLAS!$D$52:$D$58,MIN(MATCH(MAX(4,DATOS!$C$71),TABLAS!$B$52:$B$58,0)+0,7)),1))*INDEX(TABLAS!$D$52:$D$58,MIN(MATCH(MAX(4,DATOS!$C$71),TABLAS!$B$52:$B$58,0)+0,7)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+0,7)),1)),MAX(MAX(DATOS!$C$74,CEILING(BM45/INDEX(TABLAS!$D$52:$D$58,MIN(MATCH(MAX(4,DATOS!$C$71),TABLAS!$B$52:$B$58,0)+0,7)),1)),2))&lt;=MIN(DATOS!$C$73,INT(((AD45-2*AK45)+MAX(DATOS!$C$70,INDEX(TABLAS!$C$52:$C$58,MIN(MATCH(MAX(4,DATOS!$C$71),TABLAS!$B$52:$B$58,0)+0,7))))/(INDEX(TABLAS!$C$52:$C$58,MIN(MATCH(MAX(4,DATOS!$C$71),TABLAS!$B$52:$B$58,0)+0,7))+MAX(DATOS!$C$70,INDEX(TABLAS!$C$52:$C$58,MIN(MATCH(MAX(4,DATOS!$C$71),TABLAS!$B$52:$B$58,0)+0,7))))))),INDEX(TABLAS!$B$52:$B$58,MIN(MATCH(MAX(4,DATOS!$C$71),TABLAS!$B$52:$B$58,0)+0,7)),IF(AND(BM45&gt;=0,IF(MAX(DATOS!$C$74,CEILING(BM45/INDEX(TABLAS!$D$52:$D$58,MIN(MATCH(MAX(4,DATOS!$C$71),TABLAS!$B$52:$B$58,0)+1,7)),1))*INDEX(TABLAS!$D$52:$D$58,MIN(MATCH(MAX(4,DATOS!$C$71),TABLAS!$B$52:$B$58,0)+1,7)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+1,7)),1)),MAX(MAX(DATOS!$C$74,CEILING(BM45/INDEX(TABLAS!$D$52:$D$58,MIN(MATCH(MAX(4,DATOS!$C$71),TABLAS!$B$52:$B$58,0)+1,7)),1)),2))&lt;=MIN(DATOS!$C$73,INT(((AD45-2*AK45)+MAX(DATOS!$C$70,INDEX(TABLAS!$C$52:$C$58,MIN(MATCH(MAX(4,DATOS!$C$71),TABLAS!$B$52:$B$58,0)+1,7))))/(INDEX(TABLAS!$C$52:$C$58,MIN(MATCH(MAX(4,DATOS!$C$71),TABLAS!$B$52:$B$58,0)+1,7))+MAX(DATOS!$C$70,INDEX(TABLAS!$C$52:$C$58,MIN(MATCH(MAX(4,DATOS!$C$71),TABLAS!$B$52:$B$58,0)+1,7))))))),INDEX(TABLAS!$B$52:$B$58,MIN(MATCH(MAX(4,DATOS!$C$71),TABLAS!$B$52:$B$58,0)+1,7)),IF(AND(BM45&gt;=0,IF(MAX(DATOS!$C$74,CEILING(BM45/INDEX(TABLAS!$D$52:$D$58,MIN(MATCH(MAX(4,DATOS!$C$71),TABLAS!$B$52:$B$58,0)+2,7)),1))*INDEX(TABLAS!$D$52:$D$58,MIN(MATCH(MAX(4,DATOS!$C$71),TABLAS!$B$52:$B$58,0)+2,7)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+2,7)),1)),MAX(MAX(DATOS!$C$74,CEILING(BM45/INDEX(TABLAS!$D$52:$D$58,MIN(MATCH(MAX(4,DATOS!$C$71),TABLAS!$B$52:$B$58,0)+2,7)),1)),2))&lt;=MIN(DATOS!$C$73,INT(((AD45-2*AK45)+MAX(DATOS!$C$70,INDEX(TABLAS!$C$52:$C$58,MIN(MATCH(MAX(4,DATOS!$C$71),TABLAS!$B$52:$B$58,0)+2,7))))/(INDEX(TABLAS!$C$52:$C$58,MIN(MATCH(MAX(4,DATOS!$C$71),TABLAS!$B$52:$B$58,0)+2,7))+MAX(DATOS!$C$70,INDEX(TABLAS!$C$52:$C$58,MIN(MATCH(MAX(4,DATOS!$C$71),TABLAS!$B$52:$B$58,0)+2,7))))))),INDEX(TABLAS!$B$52:$B$58,MIN(MATCH(MAX(4,DATOS!$C$71),TABLAS!$B$52:$B$58,0)+2,7)),IF(AND(BM45&gt;=0,IF(MAX(DATOS!$C$74,CEILING(BM45/INDEX(TABLAS!$D$52:$D$58,MIN(MATCH(MAX(4,DATOS!$C$71),TABLAS!$B$52:$B$58,0)+3,7)),1))*INDEX(TABLAS!$D$52:$D$58,MIN(MATCH(MAX(4,DATOS!$C$71),TABLAS!$B$52:$B$58,0)+3,7)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+3,7)),1)),MAX(MAX(DATOS!$C$74,CEILING(BM45/INDEX(TABLAS!$D$52:$D$58,MIN(MATCH(MAX(4,DATOS!$C$71),TABLAS!$B$52:$B$58,0)+3,7)),1)),2))&lt;=MIN(DATOS!$C$73,INT(((AD45-2*AK45)+MAX(DATOS!$C$70,INDEX(TABLAS!$C$52:$C$58,MIN(MATCH(MAX(4,DATOS!$C$71),TABLAS!$B$52:$B$58,0)+3,7))))/(INDEX(TABLAS!$C$52:$C$58,MIN(MATCH(MAX(4,DATOS!$C$71),TABLAS!$B$52:$B$58,0)+3,7))+MAX(DATOS!$C$70,INDEX(TABLAS!$C$52:$C$58,MIN(MATCH(MAX(4,DATOS!$C$71),TABLAS!$B$52:$B$58,0)+3,7))))))),INDEX(TABLAS!$B$52:$B$58,MIN(MATCH(MAX(4,DATOS!$C$71),TABLAS!$B$52:$B$58,0)+3,7)),IF(AND(BM45&gt;=0,IF(MAX(DATOS!$C$74,CEILING(BM45/INDEX(TABLAS!$D$52:$D$58,MIN(MATCH(MAX(4,DATOS!$C$71),TABLAS!$B$52:$B$58,0)+4,7)),1))*INDEX(TABLAS!$D$52:$D$58,MIN(MATCH(MAX(4,DATOS!$C$71),TABLAS!$B$52:$B$58,0)+4,7)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+4,7)),1)),MAX(MAX(DATOS!$C$74,CEILING(BM45/INDEX(TABLAS!$D$52:$D$58,MIN(MATCH(MAX(4,DATOS!$C$71),TABLAS!$B$52:$B$58,0)+4,7)),1)),2))&lt;=MIN(DATOS!$C$73,INT(((AD45-2*AK45)+MAX(DATOS!$C$70,INDEX(TABLAS!$C$52:$C$58,MIN(MATCH(MAX(4,DATOS!$C$71),TABLAS!$B$52:$B$58,0)+4,7))))/(INDEX(TABLAS!$C$52:$C$58,MIN(MATCH(MAX(4,DATOS!$C$71),TABLAS!$B$52:$B$58,0)+4,7))+MAX(DATOS!$C$70,INDEX(TABLAS!$C$52:$C$58,MIN(MATCH(MAX(4,DATOS!$C$71),TABLAS!$B$52:$B$58,0)+4,7))))))),INDEX(TABLAS!$B$52:$B$58,MIN(MATCH(MAX(4,DATOS!$C$71),TABLAS!$B$52:$B$58,0)+4,7)),INDEX(TABLAS!$B$52:$B$58,7)))))))</f>
        <v/>
      </c>
      <c r="BO45" s="59" t="str">
        <f>IF(V45&lt;&gt;"SÍ","",IF(BM45&lt;0,0,IF(MAX(DATOS!$C$74,CEILING(MAX(BM45,0)/INDEX(TABLAS!$D$52:$D$58,MATCH(BN45,TABLAS!$B$52:$B$58,0)),1))*INDEX(TABLAS!$D$52:$D$58,MATCH(BN45,TABLAS!$B$52:$B$58,0))&gt;=4/3*IF(BG45&lt;=0,0,IF((1-2*BG45*1E5/(DATOS!$C$29*AH45*BL45^2*DATOS!$C$21))&lt;0,-1,IF((1-SQRT((1-2*BG45*1E5/(DATOS!$C$29*AH45*BL45^2*DATOS!$C$21))))*DATOS!$C$21*AH45*BL45/DATOS!$C$14&gt;DATOS!$C$102*AH45*BL45,-1,(1-SQRT((1-2*BG45*1E5/(DATOS!$C$29*AH45*BL45^2*DATOS!$C$21))))*DATOS!$C$21*AH45*BL45/DATOS!$C$14)))-0.0001,MAX(DATOS!$C$74,CEILING(MAX(BM45,0)/INDEX(TABLAS!$D$52:$D$58,MATCH(BN45,TABLAS!$B$52:$B$58,0)),1)),MAX(MAX(DATOS!$C$74,CEILING(MAX(BM45,0)/INDEX(TABLAS!$D$52:$D$58,MATCH(BN45,TABLAS!$B$52:$B$58,0)),1)),2))))</f>
        <v/>
      </c>
      <c r="BP45" s="58" t="str">
        <f>IF(V45&lt;&gt;"SÍ","",DATOS!$C$85-AK45-INDEX(TABLAS!$C$52:$C$58,MATCH(BN45,TABLAS!$B$52:$B$58,0))/2)</f>
        <v/>
      </c>
      <c r="BQ45" s="56" t="str">
        <f>IF(V45&lt;&gt;"SÍ","",IF(BO45=0,0,DATOS!$C$29*BO45*INDEX(TABLAS!$D$52:$D$58,MATCH(BN45,TABLAS!$B$52:$B$58,0))*DATOS!$C$14*(BP45-BO45*INDEX(TABLAS!$D$52:$D$58,MATCH(BN45,TABLAS!$B$52:$B$58,0))*DATOS!$C$14/(DATOS!$C$21*AH45)/2)/1E5))</f>
        <v/>
      </c>
      <c r="BR45" s="65" t="str">
        <f>IF(V45&lt;&gt;"SÍ","",IF(BM45&lt;0,9.99,IF(BQ45&gt;0,BG45/BQ45,0)))</f>
        <v/>
      </c>
      <c r="BS45" s="66" t="str">
        <f>IF(V45&lt;&gt;"SÍ","",IF(BO45=0,"—",0.003*(BP45-(BO45*INDEX(TABLAS!$D$52:$D$58,MATCH(BN45,TABLAS!$B$52:$B$58,0))*DATOS!$C$14/(DATOS!$C$21*AH45)/DATOS!$C$22))/(BO45*INDEX(TABLAS!$D$52:$D$58,MATCH(BN45,TABLAS!$B$52:$B$58,0))*DATOS!$C$14/(DATOS!$C$21*AH45)/DATOS!$C$22)))</f>
        <v/>
      </c>
      <c r="BT45" s="58" t="str">
        <f>IF(V45&lt;&gt;"SÍ","",((DATOS!$C$85-AM45-2*DATOS!$C$97-INDEX(TABLAS!$C$52:$C$58,MATCH(MAX(4,DATOS!$C$72),TABLAS!$B$52:$B$58,0))/2)-IF(AND((DATOS!$C$85-AM45-2*DATOS!$C$97-INDEX(TABLAS!$C$52:$C$58,MATCH(MAX(4,DATOS!$C$72),TABLAS!$B$52:$B$58,0))/2)&lt;=20,DATOS!$C$65&lt;&gt;"SÍ"),2,0)))</f>
        <v/>
      </c>
      <c r="BU45" s="58" t="str">
        <f>IF(V45&lt;&gt;"SÍ","",IF(IF(BH45&lt;=0,0,IF((1-2*BH45*1E5/(DATOS!$C$29*AF45*BT45^2*DATOS!$C$21))&lt;0,-1,IF((1-SQRT((1-2*BH45*1E5/(DATOS!$C$29*AF45*BT45^2*DATOS!$C$21))))*DATOS!$C$21*AF45*BT45/DATOS!$C$14&gt;DATOS!$C$102*AF45*BT45,-1,(1-SQRT((1-2*BH45*1E5/(DATOS!$C$29*AF45*BT45^2*DATOS!$C$21))))*DATOS!$C$21*AF45*BT45/DATOS!$C$14)))&lt;0,-1,MAX(IF(BH45&lt;=0,0,IF((1-2*BH45*1E5/(DATOS!$C$29*AF45*BT45^2*DATOS!$C$21))&lt;0,-1,IF((1-SQRT((1-2*BH45*1E5/(DATOS!$C$29*AF45*BT45^2*DATOS!$C$21))))*DATOS!$C$21*AF45*BT45/DATOS!$C$14&gt;DATOS!$C$102*AF45*BT45,-1,(1-SQRT((1-2*BH45*1E5/(DATOS!$C$29*AF45*BT45^2*DATOS!$C$21))))*DATOS!$C$21*AF45*BT45/DATOS!$C$14))),MIN(DATOS!$C$103*IF(C45="VOLADO",MIN(AH45,2*AD45),AD45)*BT45,4/3*IF(BH45&lt;=0,0,IF((1-2*BH45*1E5/(DATOS!$C$29*AF45*BT45^2*DATOS!$C$21))&lt;0,-1,IF((1-SQRT((1-2*BH45*1E5/(DATOS!$C$29*AF45*BT45^2*DATOS!$C$21))))*DATOS!$C$21*AF45*BT45/DATOS!$C$14&gt;DATOS!$C$102*AF45*BT45,-1,(1-SQRT((1-2*BH45*1E5/(DATOS!$C$29*AF45*BT45^2*DATOS!$C$21))))*DATOS!$C$21*AF45*BT45/DATOS!$C$14)))))))</f>
        <v/>
      </c>
      <c r="BV45" s="64" t="str">
        <f>IF(V45&lt;&gt;"SÍ","",IF(AND(BU45&gt;=0,IF(MAX(DATOS!$C$74,CEILING(BU45/INDEX(TABLAS!$D$52:$D$58,MIN(MATCH(MAX(4,DATOS!$C$72),TABLAS!$B$52:$B$58,0)+0,7)),1))*INDEX(TABLAS!$D$52:$D$58,MIN(MATCH(MAX(4,DATOS!$C$72),TABLAS!$B$52:$B$58,0)+0,7)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+0,7)),1)),MAX(MAX(DATOS!$C$74,CEILING(BU45/INDEX(TABLAS!$D$52:$D$58,MIN(MATCH(MAX(4,DATOS!$C$72),TABLAS!$B$52:$B$58,0)+0,7)),1)),2))&lt;=MIN(DATOS!$C$73,INT(((AD45-2*AL45)+MAX(DATOS!$C$70,INDEX(TABLAS!$C$52:$C$58,MIN(MATCH(MAX(4,DATOS!$C$72),TABLAS!$B$52:$B$58,0)+0,7))))/(INDEX(TABLAS!$C$52:$C$58,MIN(MATCH(MAX(4,DATOS!$C$72),TABLAS!$B$52:$B$58,0)+0,7))+MAX(DATOS!$C$70,INDEX(TABLAS!$C$52:$C$58,MIN(MATCH(MAX(4,DATOS!$C$72),TABLAS!$B$52:$B$58,0)+0,7))))))),INDEX(TABLAS!$B$52:$B$58,MIN(MATCH(MAX(4,DATOS!$C$72),TABLAS!$B$52:$B$58,0)+0,7)),IF(AND(BU45&gt;=0,IF(MAX(DATOS!$C$74,CEILING(BU45/INDEX(TABLAS!$D$52:$D$58,MIN(MATCH(MAX(4,DATOS!$C$72),TABLAS!$B$52:$B$58,0)+1,7)),1))*INDEX(TABLAS!$D$52:$D$58,MIN(MATCH(MAX(4,DATOS!$C$72),TABLAS!$B$52:$B$58,0)+1,7)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+1,7)),1)),MAX(MAX(DATOS!$C$74,CEILING(BU45/INDEX(TABLAS!$D$52:$D$58,MIN(MATCH(MAX(4,DATOS!$C$72),TABLAS!$B$52:$B$58,0)+1,7)),1)),2))&lt;=MIN(DATOS!$C$73,INT(((AD45-2*AL45)+MAX(DATOS!$C$70,INDEX(TABLAS!$C$52:$C$58,MIN(MATCH(MAX(4,DATOS!$C$72),TABLAS!$B$52:$B$58,0)+1,7))))/(INDEX(TABLAS!$C$52:$C$58,MIN(MATCH(MAX(4,DATOS!$C$72),TABLAS!$B$52:$B$58,0)+1,7))+MAX(DATOS!$C$70,INDEX(TABLAS!$C$52:$C$58,MIN(MATCH(MAX(4,DATOS!$C$72),TABLAS!$B$52:$B$58,0)+1,7))))))),INDEX(TABLAS!$B$52:$B$58,MIN(MATCH(MAX(4,DATOS!$C$72),TABLAS!$B$52:$B$58,0)+1,7)),IF(AND(BU45&gt;=0,IF(MAX(DATOS!$C$74,CEILING(BU45/INDEX(TABLAS!$D$52:$D$58,MIN(MATCH(MAX(4,DATOS!$C$72),TABLAS!$B$52:$B$58,0)+2,7)),1))*INDEX(TABLAS!$D$52:$D$58,MIN(MATCH(MAX(4,DATOS!$C$72),TABLAS!$B$52:$B$58,0)+2,7)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+2,7)),1)),MAX(MAX(DATOS!$C$74,CEILING(BU45/INDEX(TABLAS!$D$52:$D$58,MIN(MATCH(MAX(4,DATOS!$C$72),TABLAS!$B$52:$B$58,0)+2,7)),1)),2))&lt;=MIN(DATOS!$C$73,INT(((AD45-2*AL45)+MAX(DATOS!$C$70,INDEX(TABLAS!$C$52:$C$58,MIN(MATCH(MAX(4,DATOS!$C$72),TABLAS!$B$52:$B$58,0)+2,7))))/(INDEX(TABLAS!$C$52:$C$58,MIN(MATCH(MAX(4,DATOS!$C$72),TABLAS!$B$52:$B$58,0)+2,7))+MAX(DATOS!$C$70,INDEX(TABLAS!$C$52:$C$58,MIN(MATCH(MAX(4,DATOS!$C$72),TABLAS!$B$52:$B$58,0)+2,7))))))),INDEX(TABLAS!$B$52:$B$58,MIN(MATCH(MAX(4,DATOS!$C$72),TABLAS!$B$52:$B$58,0)+2,7)),IF(AND(BU45&gt;=0,IF(MAX(DATOS!$C$74,CEILING(BU45/INDEX(TABLAS!$D$52:$D$58,MIN(MATCH(MAX(4,DATOS!$C$72),TABLAS!$B$52:$B$58,0)+3,7)),1))*INDEX(TABLAS!$D$52:$D$58,MIN(MATCH(MAX(4,DATOS!$C$72),TABLAS!$B$52:$B$58,0)+3,7)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+3,7)),1)),MAX(MAX(DATOS!$C$74,CEILING(BU45/INDEX(TABLAS!$D$52:$D$58,MIN(MATCH(MAX(4,DATOS!$C$72),TABLAS!$B$52:$B$58,0)+3,7)),1)),2))&lt;=MIN(DATOS!$C$73,INT(((AD45-2*AL45)+MAX(DATOS!$C$70,INDEX(TABLAS!$C$52:$C$58,MIN(MATCH(MAX(4,DATOS!$C$72),TABLAS!$B$52:$B$58,0)+3,7))))/(INDEX(TABLAS!$C$52:$C$58,MIN(MATCH(MAX(4,DATOS!$C$72),TABLAS!$B$52:$B$58,0)+3,7))+MAX(DATOS!$C$70,INDEX(TABLAS!$C$52:$C$58,MIN(MATCH(MAX(4,DATOS!$C$72),TABLAS!$B$52:$B$58,0)+3,7))))))),INDEX(TABLAS!$B$52:$B$58,MIN(MATCH(MAX(4,DATOS!$C$72),TABLAS!$B$52:$B$58,0)+3,7)),IF(AND(BU45&gt;=0,IF(MAX(DATOS!$C$74,CEILING(BU45/INDEX(TABLAS!$D$52:$D$58,MIN(MATCH(MAX(4,DATOS!$C$72),TABLAS!$B$52:$B$58,0)+4,7)),1))*INDEX(TABLAS!$D$52:$D$58,MIN(MATCH(MAX(4,DATOS!$C$72),TABLAS!$B$52:$B$58,0)+4,7)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+4,7)),1)),MAX(MAX(DATOS!$C$74,CEILING(BU45/INDEX(TABLAS!$D$52:$D$58,MIN(MATCH(MAX(4,DATOS!$C$72),TABLAS!$B$52:$B$58,0)+4,7)),1)),2))&lt;=MIN(DATOS!$C$73,INT(((AD45-2*AL45)+MAX(DATOS!$C$70,INDEX(TABLAS!$C$52:$C$58,MIN(MATCH(MAX(4,DATOS!$C$72),TABLAS!$B$52:$B$58,0)+4,7))))/(INDEX(TABLAS!$C$52:$C$58,MIN(MATCH(MAX(4,DATOS!$C$72),TABLAS!$B$52:$B$58,0)+4,7))+MAX(DATOS!$C$70,INDEX(TABLAS!$C$52:$C$58,MIN(MATCH(MAX(4,DATOS!$C$72),TABLAS!$B$52:$B$58,0)+4,7))))))),INDEX(TABLAS!$B$52:$B$58,MIN(MATCH(MAX(4,DATOS!$C$72),TABLAS!$B$52:$B$58,0)+4,7)),INDEX(TABLAS!$B$52:$B$58,7)))))))</f>
        <v/>
      </c>
      <c r="BW45" s="59" t="str">
        <f>IF(V45&lt;&gt;"SÍ","",IF(BU45&lt;0,0,IF(MAX(DATOS!$C$74,CEILING(MAX(BU45,0)/INDEX(TABLAS!$D$52:$D$58,MATCH(BV45,TABLAS!$B$52:$B$58,0)),1))*INDEX(TABLAS!$D$52:$D$58,MATCH(BV45,TABLAS!$B$52:$B$58,0))&gt;=4/3*IF(BH45&lt;=0,0,IF((1-2*BH45*1E5/(DATOS!$C$29*AF45*BT45^2*DATOS!$C$21))&lt;0,-1,IF((1-SQRT((1-2*BH45*1E5/(DATOS!$C$29*AF45*BT45^2*DATOS!$C$21))))*DATOS!$C$21*AF45*BT45/DATOS!$C$14&gt;DATOS!$C$102*AF45*BT45,-1,(1-SQRT((1-2*BH45*1E5/(DATOS!$C$29*AF45*BT45^2*DATOS!$C$21))))*DATOS!$C$21*AF45*BT45/DATOS!$C$14)))-0.0001,MAX(DATOS!$C$74,CEILING(MAX(BU45,0)/INDEX(TABLAS!$D$52:$D$58,MATCH(BV45,TABLAS!$B$52:$B$58,0)),1)),MAX(MAX(DATOS!$C$74,CEILING(MAX(BU45,0)/INDEX(TABLAS!$D$52:$D$58,MATCH(BV45,TABLAS!$B$52:$B$58,0)),1)),2))))</f>
        <v/>
      </c>
      <c r="BX45" s="58" t="str">
        <f>IF(V45&lt;&gt;"SÍ","",((DATOS!$C$85-AM45-2*DATOS!$C$97-INDEX(TABLAS!$C$52:$C$58,MATCH(BV45,TABLAS!$B$52:$B$58,0))/2)-IF(AND((DATOS!$C$85-AM45-2*DATOS!$C$97-INDEX(TABLAS!$C$52:$C$58,MATCH(BV45,TABLAS!$B$52:$B$58,0))/2)&lt;=20,DATOS!$C$65&lt;&gt;"SÍ"),2,0)))</f>
        <v/>
      </c>
      <c r="BY45" s="56" t="str">
        <f>IF(V45&lt;&gt;"SÍ","",IF(BW45=0,0,DATOS!$C$29*BW45*INDEX(TABLAS!$D$52:$D$58,MATCH(BV45,TABLAS!$B$52:$B$58,0))*DATOS!$C$14*(BX45-BW45*INDEX(TABLAS!$D$52:$D$58,MATCH(BV45,TABLAS!$B$52:$B$58,0))*DATOS!$C$14/(DATOS!$C$21*AF45)/2)/1E5))</f>
        <v/>
      </c>
      <c r="BZ45" s="65" t="str">
        <f>IF(V45&lt;&gt;"SÍ","",IF(BU45&lt;0,9.99,IF(BY45&gt;0,BH45/BY45,0)))</f>
        <v/>
      </c>
      <c r="CA45" s="66" t="str">
        <f>IF(V45&lt;&gt;"SÍ","",IF(BW45=0,"—",0.003*(BX45-(BW45*INDEX(TABLAS!$D$52:$D$58,MATCH(BV45,TABLAS!$B$52:$B$58,0))*DATOS!$C$14/(DATOS!$C$21*AF45)/DATOS!$C$22))/(BW45*INDEX(TABLAS!$D$52:$D$58,MATCH(BV45,TABLAS!$B$52:$B$58,0))*DATOS!$C$14/(DATOS!$C$21*AF45)/DATOS!$C$22)))</f>
        <v/>
      </c>
      <c r="CB45" s="58" t="str">
        <f>IF(V45&lt;&gt;"SÍ","",(DATOS!$C$85-AK45-INDEX(TABLAS!$C$52:$C$58,MATCH(MAX(4,DATOS!$C$71),TABLAS!$B$52:$B$58,0))-INDEX(TABLAS!$C$52:$C$58,MATCH(MAX(4,DATOS!$C$71),TABLAS!$B$52:$B$58,0))/2))</f>
        <v/>
      </c>
      <c r="CC45" s="58" t="str">
        <f>IF(V45&lt;&gt;"SÍ","",IF(IF(BI45&lt;=0,0,IF((1-2*BI45*1E5/(DATOS!$C$29*AI45*CB45^2*DATOS!$C$21))&lt;0,-1,IF((1-SQRT((1-2*BI45*1E5/(DATOS!$C$29*AI45*CB45^2*DATOS!$C$21))))*DATOS!$C$21*AI45*CB45/DATOS!$C$14&gt;DATOS!$C$102*AI45*CB45,-1,(1-SQRT((1-2*BI45*1E5/(DATOS!$C$29*AI45*CB45^2*DATOS!$C$21))))*DATOS!$C$21*AI45*CB45/DATOS!$C$14)))&lt;0,-1,MAX(IF(BI45&lt;=0,0,IF((1-2*BI45*1E5/(DATOS!$C$29*AI45*CB45^2*DATOS!$C$21))&lt;0,-1,IF((1-SQRT((1-2*BI45*1E5/(DATOS!$C$29*AI45*CB45^2*DATOS!$C$21))))*DATOS!$C$21*AI45*CB45/DATOS!$C$14&gt;DATOS!$C$102*AI45*CB45,-1,(1-SQRT((1-2*BI45*1E5/(DATOS!$C$29*AI45*CB45^2*DATOS!$C$21))))*DATOS!$C$21*AI45*CB45/DATOS!$C$14))),MIN(DATOS!$C$103*DATOS!$C$83*CB45,4/3*IF(BI45&lt;=0,0,IF((1-2*BI45*1E5/(DATOS!$C$29*AI45*CB45^2*DATOS!$C$21))&lt;0,-1,IF((1-SQRT((1-2*BI45*1E5/(DATOS!$C$29*AI45*CB45^2*DATOS!$C$21))))*DATOS!$C$21*AI45*CB45/DATOS!$C$14&gt;DATOS!$C$102*AI45*CB45,-1,(1-SQRT((1-2*BI45*1E5/(DATOS!$C$29*AI45*CB45^2*DATOS!$C$21))))*DATOS!$C$21*AI45*CB45/DATOS!$C$14)))))))</f>
        <v/>
      </c>
      <c r="CD45" s="64" t="str">
        <f>IF(V45&lt;&gt;"SÍ","",IF(AND(CC45&gt;=0,IF(MAX(DATOS!$C$74,CEILING(CC45/INDEX(TABLAS!$D$52:$D$58,MIN(MATCH(MAX(4,DATOS!$C$71),TABLAS!$B$52:$B$58,0)+0,7)),1))*INDEX(TABLAS!$D$52:$D$58,MIN(MATCH(MAX(4,DATOS!$C$71),TABLAS!$B$52:$B$58,0)+0,7)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+0,7)),1)),MAX(MAX(DATOS!$C$74,CEILING(CC45/INDEX(TABLAS!$D$52:$D$58,MIN(MATCH(MAX(4,DATOS!$C$71),TABLAS!$B$52:$B$58,0)+0,7)),1)),2))&lt;=MIN(DATOS!$C$73,INT(((DATOS!$C$83-2*AK45)+MAX(DATOS!$C$70,INDEX(TABLAS!$C$52:$C$58,MIN(MATCH(MAX(4,DATOS!$C$71),TABLAS!$B$52:$B$58,0)+0,7))))/(INDEX(TABLAS!$C$52:$C$58,MIN(MATCH(MAX(4,DATOS!$C$71),TABLAS!$B$52:$B$58,0)+0,7))+MAX(DATOS!$C$70,INDEX(TABLAS!$C$52:$C$58,MIN(MATCH(MAX(4,DATOS!$C$71),TABLAS!$B$52:$B$58,0)+0,7))))))),INDEX(TABLAS!$B$52:$B$58,MIN(MATCH(MAX(4,DATOS!$C$71),TABLAS!$B$52:$B$58,0)+0,7)),IF(AND(CC45&gt;=0,IF(MAX(DATOS!$C$74,CEILING(CC45/INDEX(TABLAS!$D$52:$D$58,MIN(MATCH(MAX(4,DATOS!$C$71),TABLAS!$B$52:$B$58,0)+1,7)),1))*INDEX(TABLAS!$D$52:$D$58,MIN(MATCH(MAX(4,DATOS!$C$71),TABLAS!$B$52:$B$58,0)+1,7)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+1,7)),1)),MAX(MAX(DATOS!$C$74,CEILING(CC45/INDEX(TABLAS!$D$52:$D$58,MIN(MATCH(MAX(4,DATOS!$C$71),TABLAS!$B$52:$B$58,0)+1,7)),1)),2))&lt;=MIN(DATOS!$C$73,INT(((DATOS!$C$83-2*AK45)+MAX(DATOS!$C$70,INDEX(TABLAS!$C$52:$C$58,MIN(MATCH(MAX(4,DATOS!$C$71),TABLAS!$B$52:$B$58,0)+1,7))))/(INDEX(TABLAS!$C$52:$C$58,MIN(MATCH(MAX(4,DATOS!$C$71),TABLAS!$B$52:$B$58,0)+1,7))+MAX(DATOS!$C$70,INDEX(TABLAS!$C$52:$C$58,MIN(MATCH(MAX(4,DATOS!$C$71),TABLAS!$B$52:$B$58,0)+1,7))))))),INDEX(TABLAS!$B$52:$B$58,MIN(MATCH(MAX(4,DATOS!$C$71),TABLAS!$B$52:$B$58,0)+1,7)),IF(AND(CC45&gt;=0,IF(MAX(DATOS!$C$74,CEILING(CC45/INDEX(TABLAS!$D$52:$D$58,MIN(MATCH(MAX(4,DATOS!$C$71),TABLAS!$B$52:$B$58,0)+2,7)),1))*INDEX(TABLAS!$D$52:$D$58,MIN(MATCH(MAX(4,DATOS!$C$71),TABLAS!$B$52:$B$58,0)+2,7)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+2,7)),1)),MAX(MAX(DATOS!$C$74,CEILING(CC45/INDEX(TABLAS!$D$52:$D$58,MIN(MATCH(MAX(4,DATOS!$C$71),TABLAS!$B$52:$B$58,0)+2,7)),1)),2))&lt;=MIN(DATOS!$C$73,INT(((DATOS!$C$83-2*AK45)+MAX(DATOS!$C$70,INDEX(TABLAS!$C$52:$C$58,MIN(MATCH(MAX(4,DATOS!$C$71),TABLAS!$B$52:$B$58,0)+2,7))))/(INDEX(TABLAS!$C$52:$C$58,MIN(MATCH(MAX(4,DATOS!$C$71),TABLAS!$B$52:$B$58,0)+2,7))+MAX(DATOS!$C$70,INDEX(TABLAS!$C$52:$C$58,MIN(MATCH(MAX(4,DATOS!$C$71),TABLAS!$B$52:$B$58,0)+2,7))))))),INDEX(TABLAS!$B$52:$B$58,MIN(MATCH(MAX(4,DATOS!$C$71),TABLAS!$B$52:$B$58,0)+2,7)),IF(AND(CC45&gt;=0,IF(MAX(DATOS!$C$74,CEILING(CC45/INDEX(TABLAS!$D$52:$D$58,MIN(MATCH(MAX(4,DATOS!$C$71),TABLAS!$B$52:$B$58,0)+3,7)),1))*INDEX(TABLAS!$D$52:$D$58,MIN(MATCH(MAX(4,DATOS!$C$71),TABLAS!$B$52:$B$58,0)+3,7)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+3,7)),1)),MAX(MAX(DATOS!$C$74,CEILING(CC45/INDEX(TABLAS!$D$52:$D$58,MIN(MATCH(MAX(4,DATOS!$C$71),TABLAS!$B$52:$B$58,0)+3,7)),1)),2))&lt;=MIN(DATOS!$C$73,INT(((DATOS!$C$83-2*AK45)+MAX(DATOS!$C$70,INDEX(TABLAS!$C$52:$C$58,MIN(MATCH(MAX(4,DATOS!$C$71),TABLAS!$B$52:$B$58,0)+3,7))))/(INDEX(TABLAS!$C$52:$C$58,MIN(MATCH(MAX(4,DATOS!$C$71),TABLAS!$B$52:$B$58,0)+3,7))+MAX(DATOS!$C$70,INDEX(TABLAS!$C$52:$C$58,MIN(MATCH(MAX(4,DATOS!$C$71),TABLAS!$B$52:$B$58,0)+3,7))))))),INDEX(TABLAS!$B$52:$B$58,MIN(MATCH(MAX(4,DATOS!$C$71),TABLAS!$B$52:$B$58,0)+3,7)),IF(AND(CC45&gt;=0,IF(MAX(DATOS!$C$74,CEILING(CC45/INDEX(TABLAS!$D$52:$D$58,MIN(MATCH(MAX(4,DATOS!$C$71),TABLAS!$B$52:$B$58,0)+4,7)),1))*INDEX(TABLAS!$D$52:$D$58,MIN(MATCH(MAX(4,DATOS!$C$71),TABLAS!$B$52:$B$58,0)+4,7)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+4,7)),1)),MAX(MAX(DATOS!$C$74,CEILING(CC45/INDEX(TABLAS!$D$52:$D$58,MIN(MATCH(MAX(4,DATOS!$C$71),TABLAS!$B$52:$B$58,0)+4,7)),1)),2))&lt;=MIN(DATOS!$C$73,INT(((DATOS!$C$83-2*AK45)+MAX(DATOS!$C$70,INDEX(TABLAS!$C$52:$C$58,MIN(MATCH(MAX(4,DATOS!$C$71),TABLAS!$B$52:$B$58,0)+4,7))))/(INDEX(TABLAS!$C$52:$C$58,MIN(MATCH(MAX(4,DATOS!$C$71),TABLAS!$B$52:$B$58,0)+4,7))+MAX(DATOS!$C$70,INDEX(TABLAS!$C$52:$C$58,MIN(MATCH(MAX(4,DATOS!$C$71),TABLAS!$B$52:$B$58,0)+4,7))))))),INDEX(TABLAS!$B$52:$B$58,MIN(MATCH(MAX(4,DATOS!$C$71),TABLAS!$B$52:$B$58,0)+4,7)),INDEX(TABLAS!$B$52:$B$58,7)))))))</f>
        <v/>
      </c>
      <c r="CE45" s="59" t="str">
        <f>IF(V45&lt;&gt;"SÍ","",IF(CC45&lt;0,0,IF(MAX(DATOS!$C$74,CEILING(MAX(CC45,0)/INDEX(TABLAS!$D$52:$D$58,MATCH(CD45,TABLAS!$B$52:$B$58,0)),1))*INDEX(TABLAS!$D$52:$D$58,MATCH(CD45,TABLAS!$B$52:$B$58,0))&gt;=4/3*IF(BI45&lt;=0,0,IF((1-2*BI45*1E5/(DATOS!$C$29*AI45*CB45^2*DATOS!$C$21))&lt;0,-1,IF((1-SQRT((1-2*BI45*1E5/(DATOS!$C$29*AI45*CB45^2*DATOS!$C$21))))*DATOS!$C$21*AI45*CB45/DATOS!$C$14&gt;DATOS!$C$102*AI45*CB45,-1,(1-SQRT((1-2*BI45*1E5/(DATOS!$C$29*AI45*CB45^2*DATOS!$C$21))))*DATOS!$C$21*AI45*CB45/DATOS!$C$14)))-0.0001,MAX(DATOS!$C$74,CEILING(MAX(CC45,0)/INDEX(TABLAS!$D$52:$D$58,MATCH(CD45,TABLAS!$B$52:$B$58,0)),1)),MAX(MAX(DATOS!$C$74,CEILING(MAX(CC45,0)/INDEX(TABLAS!$D$52:$D$58,MATCH(CD45,TABLAS!$B$52:$B$58,0)),1)),2))))</f>
        <v/>
      </c>
      <c r="CF45" s="58" t="str">
        <f>IF(V45&lt;&gt;"SÍ","",DATOS!$C$85-AK45-INDEX(TABLAS!$C$52:$C$58,MATCH(BN45,TABLAS!$B$52:$B$58,0))-INDEX(TABLAS!$C$52:$C$58,MATCH(CD45,TABLAS!$B$52:$B$58,0))/2)</f>
        <v/>
      </c>
      <c r="CG45" s="56" t="str">
        <f>IF(V45&lt;&gt;"SÍ","",IF(CE45=0,0,DATOS!$C$29*CE45*INDEX(TABLAS!$D$52:$D$58,MATCH(CD45,TABLAS!$B$52:$B$58,0))*DATOS!$C$14*(CF45-CE45*INDEX(TABLAS!$D$52:$D$58,MATCH(CD45,TABLAS!$B$52:$B$58,0))*DATOS!$C$14/(DATOS!$C$21*AI45)/2)/1E5))</f>
        <v/>
      </c>
      <c r="CH45" s="65" t="str">
        <f>IF(V45&lt;&gt;"SÍ","",IF(CC45&lt;0,9.99,IF(CG45&gt;0,BI45/CG45,0)))</f>
        <v/>
      </c>
      <c r="CI45" s="66" t="str">
        <f>IF(V45&lt;&gt;"SÍ","",IF(CE45=0,"—",0.003*(CF45-(CE45*INDEX(TABLAS!$D$52:$D$58,MATCH(CD45,TABLAS!$B$52:$B$58,0))*DATOS!$C$14/(DATOS!$C$21*AI45)/DATOS!$C$22))/(CE45*INDEX(TABLAS!$D$52:$D$58,MATCH(CD45,TABLAS!$B$52:$B$58,0))*DATOS!$C$14/(DATOS!$C$21*AI45)/DATOS!$C$22)))</f>
        <v/>
      </c>
      <c r="CJ45" s="58" t="str">
        <f>IF(V45&lt;&gt;"SÍ","",((DATOS!$C$85-AM45-2*DATOS!$C$97-INDEX(TABLAS!$C$52:$C$58,MATCH(MAX(4,DATOS!$C$72),TABLAS!$B$52:$B$58,0))-INDEX(TABLAS!$C$52:$C$58,MATCH(MAX(4,DATOS!$C$72),TABLAS!$B$52:$B$58,0))/2)-IF(AND((DATOS!$C$85-AM45-2*DATOS!$C$97-INDEX(TABLAS!$C$52:$C$58,MATCH(MAX(4,DATOS!$C$72),TABLAS!$B$52:$B$58,0))-INDEX(TABLAS!$C$52:$C$58,MATCH(MAX(4,DATOS!$C$72),TABLAS!$B$52:$B$58,0))/2)&lt;=20,DATOS!$C$65&lt;&gt;"SÍ"),2,0)))</f>
        <v/>
      </c>
      <c r="CK45" s="58" t="str">
        <f>IF(V45&lt;&gt;"SÍ","",IF(IF(BJ45&lt;=0,0,IF((1-2*BJ45*1E5/(DATOS!$C$29*AG45*CJ45^2*DATOS!$C$21))&lt;0,-1,IF((1-SQRT((1-2*BJ45*1E5/(DATOS!$C$29*AG45*CJ45^2*DATOS!$C$21))))*DATOS!$C$21*AG45*CJ45/DATOS!$C$14&gt;DATOS!$C$102*AG45*CJ45,-1,(1-SQRT((1-2*BJ45*1E5/(DATOS!$C$29*AG45*CJ45^2*DATOS!$C$21))))*DATOS!$C$21*AG45*CJ45/DATOS!$C$14)))&lt;0,-1,MAX(IF(BJ45&lt;=0,0,IF((1-2*BJ45*1E5/(DATOS!$C$29*AG45*CJ45^2*DATOS!$C$21))&lt;0,-1,IF((1-SQRT((1-2*BJ45*1E5/(DATOS!$C$29*AG45*CJ45^2*DATOS!$C$21))))*DATOS!$C$21*AG45*CJ45/DATOS!$C$14&gt;DATOS!$C$102*AG45*CJ45,-1,(1-SQRT((1-2*BJ45*1E5/(DATOS!$C$29*AG45*CJ45^2*DATOS!$C$21))))*DATOS!$C$21*AG45*CJ45/DATOS!$C$14))),MIN(DATOS!$C$103*DATOS!$C$83*CJ45,4/3*IF(BJ45&lt;=0,0,IF((1-2*BJ45*1E5/(DATOS!$C$29*AG45*CJ45^2*DATOS!$C$21))&lt;0,-1,IF((1-SQRT((1-2*BJ45*1E5/(DATOS!$C$29*AG45*CJ45^2*DATOS!$C$21))))*DATOS!$C$21*AG45*CJ45/DATOS!$C$14&gt;DATOS!$C$102*AG45*CJ45,-1,(1-SQRT((1-2*BJ45*1E5/(DATOS!$C$29*AG45*CJ45^2*DATOS!$C$21))))*DATOS!$C$21*AG45*CJ45/DATOS!$C$14)))))))</f>
        <v/>
      </c>
      <c r="CL45" s="64" t="str">
        <f>IF(V45&lt;&gt;"SÍ","",IF(AND(CK45&gt;=0,IF(MAX(DATOS!$C$74,CEILING(CK45/INDEX(TABLAS!$D$52:$D$58,MIN(MATCH(MAX(4,DATOS!$C$72),TABLAS!$B$52:$B$58,0)+0,7)),1))*INDEX(TABLAS!$D$52:$D$58,MIN(MATCH(MAX(4,DATOS!$C$72),TABLAS!$B$52:$B$58,0)+0,7)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+0,7)),1)),MAX(MAX(DATOS!$C$74,CEILING(CK45/INDEX(TABLAS!$D$52:$D$58,MIN(MATCH(MAX(4,DATOS!$C$72),TABLAS!$B$52:$B$58,0)+0,7)),1)),2))&lt;=MIN(DATOS!$C$73,INT(((DATOS!$C$83-2*AL45)+MAX(DATOS!$C$70,INDEX(TABLAS!$C$52:$C$58,MIN(MATCH(MAX(4,DATOS!$C$72),TABLAS!$B$52:$B$58,0)+0,7))))/(INDEX(TABLAS!$C$52:$C$58,MIN(MATCH(MAX(4,DATOS!$C$72),TABLAS!$B$52:$B$58,0)+0,7))+MAX(DATOS!$C$70,INDEX(TABLAS!$C$52:$C$58,MIN(MATCH(MAX(4,DATOS!$C$72),TABLAS!$B$52:$B$58,0)+0,7))))))),INDEX(TABLAS!$B$52:$B$58,MIN(MATCH(MAX(4,DATOS!$C$72),TABLAS!$B$52:$B$58,0)+0,7)),IF(AND(CK45&gt;=0,IF(MAX(DATOS!$C$74,CEILING(CK45/INDEX(TABLAS!$D$52:$D$58,MIN(MATCH(MAX(4,DATOS!$C$72),TABLAS!$B$52:$B$58,0)+1,7)),1))*INDEX(TABLAS!$D$52:$D$58,MIN(MATCH(MAX(4,DATOS!$C$72),TABLAS!$B$52:$B$58,0)+1,7)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+1,7)),1)),MAX(MAX(DATOS!$C$74,CEILING(CK45/INDEX(TABLAS!$D$52:$D$58,MIN(MATCH(MAX(4,DATOS!$C$72),TABLAS!$B$52:$B$58,0)+1,7)),1)),2))&lt;=MIN(DATOS!$C$73,INT(((DATOS!$C$83-2*AL45)+MAX(DATOS!$C$70,INDEX(TABLAS!$C$52:$C$58,MIN(MATCH(MAX(4,DATOS!$C$72),TABLAS!$B$52:$B$58,0)+1,7))))/(INDEX(TABLAS!$C$52:$C$58,MIN(MATCH(MAX(4,DATOS!$C$72),TABLAS!$B$52:$B$58,0)+1,7))+MAX(DATOS!$C$70,INDEX(TABLAS!$C$52:$C$58,MIN(MATCH(MAX(4,DATOS!$C$72),TABLAS!$B$52:$B$58,0)+1,7))))))),INDEX(TABLAS!$B$52:$B$58,MIN(MATCH(MAX(4,DATOS!$C$72),TABLAS!$B$52:$B$58,0)+1,7)),IF(AND(CK45&gt;=0,IF(MAX(DATOS!$C$74,CEILING(CK45/INDEX(TABLAS!$D$52:$D$58,MIN(MATCH(MAX(4,DATOS!$C$72),TABLAS!$B$52:$B$58,0)+2,7)),1))*INDEX(TABLAS!$D$52:$D$58,MIN(MATCH(MAX(4,DATOS!$C$72),TABLAS!$B$52:$B$58,0)+2,7)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+2,7)),1)),MAX(MAX(DATOS!$C$74,CEILING(CK45/INDEX(TABLAS!$D$52:$D$58,MIN(MATCH(MAX(4,DATOS!$C$72),TABLAS!$B$52:$B$58,0)+2,7)),1)),2))&lt;=MIN(DATOS!$C$73,INT(((DATOS!$C$83-2*AL45)+MAX(DATOS!$C$70,INDEX(TABLAS!$C$52:$C$58,MIN(MATCH(MAX(4,DATOS!$C$72),TABLAS!$B$52:$B$58,0)+2,7))))/(INDEX(TABLAS!$C$52:$C$58,MIN(MATCH(MAX(4,DATOS!$C$72),TABLAS!$B$52:$B$58,0)+2,7))+MAX(DATOS!$C$70,INDEX(TABLAS!$C$52:$C$58,MIN(MATCH(MAX(4,DATOS!$C$72),TABLAS!$B$52:$B$58,0)+2,7))))))),INDEX(TABLAS!$B$52:$B$58,MIN(MATCH(MAX(4,DATOS!$C$72),TABLAS!$B$52:$B$58,0)+2,7)),IF(AND(CK45&gt;=0,IF(MAX(DATOS!$C$74,CEILING(CK45/INDEX(TABLAS!$D$52:$D$58,MIN(MATCH(MAX(4,DATOS!$C$72),TABLAS!$B$52:$B$58,0)+3,7)),1))*INDEX(TABLAS!$D$52:$D$58,MIN(MATCH(MAX(4,DATOS!$C$72),TABLAS!$B$52:$B$58,0)+3,7)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+3,7)),1)),MAX(MAX(DATOS!$C$74,CEILING(CK45/INDEX(TABLAS!$D$52:$D$58,MIN(MATCH(MAX(4,DATOS!$C$72),TABLAS!$B$52:$B$58,0)+3,7)),1)),2))&lt;=MIN(DATOS!$C$73,INT(((DATOS!$C$83-2*AL45)+MAX(DATOS!$C$70,INDEX(TABLAS!$C$52:$C$58,MIN(MATCH(MAX(4,DATOS!$C$72),TABLAS!$B$52:$B$58,0)+3,7))))/(INDEX(TABLAS!$C$52:$C$58,MIN(MATCH(MAX(4,DATOS!$C$72),TABLAS!$B$52:$B$58,0)+3,7))+MAX(DATOS!$C$70,INDEX(TABLAS!$C$52:$C$58,MIN(MATCH(MAX(4,DATOS!$C$72),TABLAS!$B$52:$B$58,0)+3,7))))))),INDEX(TABLAS!$B$52:$B$58,MIN(MATCH(MAX(4,DATOS!$C$72),TABLAS!$B$52:$B$58,0)+3,7)),IF(AND(CK45&gt;=0,IF(MAX(DATOS!$C$74,CEILING(CK45/INDEX(TABLAS!$D$52:$D$58,MIN(MATCH(MAX(4,DATOS!$C$72),TABLAS!$B$52:$B$58,0)+4,7)),1))*INDEX(TABLAS!$D$52:$D$58,MIN(MATCH(MAX(4,DATOS!$C$72),TABLAS!$B$52:$B$58,0)+4,7)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+4,7)),1)),MAX(MAX(DATOS!$C$74,CEILING(CK45/INDEX(TABLAS!$D$52:$D$58,MIN(MATCH(MAX(4,DATOS!$C$72),TABLAS!$B$52:$B$58,0)+4,7)),1)),2))&lt;=MIN(DATOS!$C$73,INT(((DATOS!$C$83-2*AL45)+MAX(DATOS!$C$70,INDEX(TABLAS!$C$52:$C$58,MIN(MATCH(MAX(4,DATOS!$C$72),TABLAS!$B$52:$B$58,0)+4,7))))/(INDEX(TABLAS!$C$52:$C$58,MIN(MATCH(MAX(4,DATOS!$C$72),TABLAS!$B$52:$B$58,0)+4,7))+MAX(DATOS!$C$70,INDEX(TABLAS!$C$52:$C$58,MIN(MATCH(MAX(4,DATOS!$C$72),TABLAS!$B$52:$B$58,0)+4,7))))))),INDEX(TABLAS!$B$52:$B$58,MIN(MATCH(MAX(4,DATOS!$C$72),TABLAS!$B$52:$B$58,0)+4,7)),INDEX(TABLAS!$B$52:$B$58,7)))))))</f>
        <v/>
      </c>
      <c r="CM45" s="59" t="str">
        <f>IF(V45&lt;&gt;"SÍ","",IF(CK45&lt;0,0,IF(MAX(DATOS!$C$74,CEILING(MAX(CK45,0)/INDEX(TABLAS!$D$52:$D$58,MATCH(CL45,TABLAS!$B$52:$B$58,0)),1))*INDEX(TABLAS!$D$52:$D$58,MATCH(CL45,TABLAS!$B$52:$B$58,0))&gt;=4/3*IF(BJ45&lt;=0,0,IF((1-2*BJ45*1E5/(DATOS!$C$29*AG45*CJ45^2*DATOS!$C$21))&lt;0,-1,IF((1-SQRT((1-2*BJ45*1E5/(DATOS!$C$29*AG45*CJ45^2*DATOS!$C$21))))*DATOS!$C$21*AG45*CJ45/DATOS!$C$14&gt;DATOS!$C$102*AG45*CJ45,-1,(1-SQRT((1-2*BJ45*1E5/(DATOS!$C$29*AG45*CJ45^2*DATOS!$C$21))))*DATOS!$C$21*AG45*CJ45/DATOS!$C$14)))-0.0001,MAX(DATOS!$C$74,CEILING(MAX(CK45,0)/INDEX(TABLAS!$D$52:$D$58,MATCH(CL45,TABLAS!$B$52:$B$58,0)),1)),MAX(MAX(DATOS!$C$74,CEILING(MAX(CK45,0)/INDEX(TABLAS!$D$52:$D$58,MATCH(CL45,TABLAS!$B$52:$B$58,0)),1)),2))))</f>
        <v/>
      </c>
      <c r="CN45" s="58" t="str">
        <f>IF(V45&lt;&gt;"SÍ","",((DATOS!$C$85-AM45-2*DATOS!$C$97-INDEX(TABLAS!$C$52:$C$58,MATCH(BV45,TABLAS!$B$52:$B$58,0))-INDEX(TABLAS!$C$52:$C$58,MATCH(CL45,TABLAS!$B$52:$B$58,0))/2)-IF(AND((DATOS!$C$85-AM45-2*DATOS!$C$97-INDEX(TABLAS!$C$52:$C$58,MATCH(BV45,TABLAS!$B$52:$B$58,0))-INDEX(TABLAS!$C$52:$C$58,MATCH(CL45,TABLAS!$B$52:$B$58,0))/2)&lt;=20,DATOS!$C$65&lt;&gt;"SÍ"),2,0)))</f>
        <v/>
      </c>
      <c r="CO45" s="56" t="str">
        <f>IF(V45&lt;&gt;"SÍ","",IF(CM45=0,0,DATOS!$C$29*CM45*INDEX(TABLAS!$D$52:$D$58,MATCH(CL45,TABLAS!$B$52:$B$58,0))*DATOS!$C$14*(CN45-CM45*INDEX(TABLAS!$D$52:$D$58,MATCH(CL45,TABLAS!$B$52:$B$58,0))*DATOS!$C$14/(DATOS!$C$21*AG45)/2)/1E5))</f>
        <v/>
      </c>
      <c r="CP45" s="65" t="str">
        <f>IF(V45&lt;&gt;"SÍ","",IF(CK45&lt;0,9.99,IF(CO45&gt;0,BJ45/CO45,0)))</f>
        <v/>
      </c>
      <c r="CQ45" s="66" t="str">
        <f>IF(V45&lt;&gt;"SÍ","",IF(CM45=0,"—",0.003*(CN45-(CM45*INDEX(TABLAS!$D$52:$D$58,MATCH(CL45,TABLAS!$B$52:$B$58,0))*DATOS!$C$14/(DATOS!$C$21*AG45)/DATOS!$C$22))/(CM45*INDEX(TABLAS!$D$52:$D$58,MATCH(CL45,TABLAS!$B$52:$B$58,0))*DATOS!$C$14/(DATOS!$C$21*AG45)/DATOS!$C$22)))</f>
        <v/>
      </c>
      <c r="CR45" s="56" t="str">
        <f>IF(V45&lt;&gt;"SÍ","",IF(C45="PERIMETRAL",MAX(0,(AB45/2-BX45)/100)*(0.95-0.5*AA45)*AR45*IF(AND(AS45&gt;0,AS45&lt;4),DATOS!$C$33,1)*DATOS!$C$86/100/1000,(AR45*MAX(0,AB45-BX45)/100+DATOS!$C$26*N(O45))*DATOS!$C$86/100/1000+BF45))</f>
        <v/>
      </c>
      <c r="CS45" s="56" t="str">
        <f>IF(V45&lt;&gt;"SÍ","",DATOS!$C$30*2*MIN(1,SQRT(2/(1+0.04*BX45)))*(BW45*INDEX(TABLAS!$D$52:$D$58,MATCH(BV45,TABLAS!$B$52:$B$58,0))/(AF45*BX45))^(1/3)*SQRT(DATOS!$C$13)*AF45*BX45*IF(AJ45="SÍ",DATOS!$C$32,1)/1000)</f>
        <v/>
      </c>
      <c r="CT45" s="59" t="str">
        <f>IF(V45&lt;&gt;"SÍ","",IF(CR45&lt;=CS45,0,CEILING(MAX(0,IF(C45="VOLADO",(AB45-((CS45-BF45)*1E5/DATOS!$C$86-DATOS!$C$26*N(O45))*100/AR45),IF(CS45&lt;=0,AB45,AB45/2-CS45/MAX(CR45,1E-9)*(AB45/2-BX45)))-IF(X45="X",MIN(DJ45,DK45),MIN(DL45,DM45)))/DATOS!$C$86,1)))</f>
        <v/>
      </c>
      <c r="CU45" s="67" t="str">
        <f>IF(V45&lt;&gt;"SÍ","",IF(CR45&lt;=CS45,"CUMPLE",IF(CT45&lt;=0,"CUMPLE (basta el macizo de orilla)",IF(CT45*DATOS!$C$86*IF(C45="VOLADO",1,2)&gt;=Y45*100-DATOS!$C$87,"NO CUMPLE: no alcanza ni macizando todo","MACIZAR "&amp;CT45&amp;" hilera(s)"))))</f>
        <v/>
      </c>
      <c r="CV45" s="58" t="str">
        <f>IF(V45&lt;&gt;"SÍ","",(DATOS!$C$86*DATOS!$C$84^2/2+MIN(DATOS!$C$83,AD45)*DATOS!$C$82*(DATOS!$C$84+DATOS!$C$82/2))/(DATOS!$C$86*DATOS!$C$84+MIN(DATOS!$C$83,AD45)*DATOS!$C$82))</f>
        <v/>
      </c>
      <c r="CW45" s="68" t="str">
        <f>IF(V45&lt;&gt;"SÍ","",DATOS!$C$86*DATOS!$C$84^3/12+DATOS!$C$86*DATOS!$C$84*(CV45-DATOS!$C$84/2)^2+MIN(DATOS!$C$83,AD45)*DATOS!$C$82^3/12+MIN(DATOS!$C$83,AD45)*DATOS!$C$82*(DATOS!$C$84+DATOS!$C$82/2-CV45)^2)</f>
        <v/>
      </c>
      <c r="CX45" s="58" t="str">
        <f>IF(V45&lt;&gt;"SÍ","",(12*CW45/DATOS!$C$86)^(1/3))</f>
        <v/>
      </c>
      <c r="CY45" s="58" t="str">
        <f>IF(V45&lt;&gt;"SÍ","",IF(C45="PERIMETRAL",IF(ISNUMBER(S45),S45,DATOS!$C$104),0))</f>
        <v/>
      </c>
      <c r="CZ45" s="57" t="str">
        <f>IF(V45&lt;&gt;"SÍ","",IF(C45="PERIMETRAL",IF(CY45&gt;2,MAX(9,AC45*(0.8+DATOS!$C$14/14000)/(36+9*(AC45/MAX(AB45,1)))),IF(CY45&gt;0.2,MAX(13,AC45*(0.8+DATOS!$C$14/14000)/(36+5*(AC45/MAX(AB45,1))*(CY45-0.2))),MAX(13,AC45/IF(AS45&gt;0,30,33))))*IF(AND(CY45&gt;0.2,AS45&gt;0,DATOS!$C$105="NO"),1.1,1),MAX(25,Y45*100/8*(0.4+DATOS!$C$14/7000))))</f>
        <v/>
      </c>
      <c r="DA45" s="61" t="str">
        <f>IF(V45&lt;&gt;"SÍ","",IF(IF(C45="VOLADO",DATOS!$C$85,CX45)&gt;=CZ45,"CUMPLE",IF(C45="VOLADO","NO CUMPLE","CALCULAR FLECHA")))</f>
        <v/>
      </c>
      <c r="DB45" s="55" t="str">
        <f>IF(V45&lt;&gt;"SÍ","",IF(DATOS!$C$84&gt;=IF(IF(C45="VOLADO",Y45,Z45)&gt;=6,6,5),"CUMPLE","CAPA ≥ 6 cm"))</f>
        <v/>
      </c>
      <c r="DC45" s="60" t="str">
        <f>IF(V45&lt;&gt;"SÍ","",IF(C45="VOLADO",MIN(FLOOR(IF(ISNUMBER(P45),P45,Y45)*100-DATOS!$C$63,5),CEILING(MAX(IF((0.5*(0.9*DATOS!$C$90*DATOS!$C$86/100/1000)*IF(ISNUMBER(P45),P45,Y45)+BH45/IF(ISNUMBER(P45),P45,Y45))^2-4*(0.5*(0.9*DATOS!$C$90*DATOS!$C$86/100/1000))*BH45&lt;0,IF(ISNUMBER(P45),P45,Y45),MIN(IF(ISNUMBER(P45),P45,Y45),((0.5*(0.9*DATOS!$C$90*DATOS!$C$86/100/1000)*IF(ISNUMBER(P45),P45,Y45)+BH45/IF(ISNUMBER(P45),P45,Y45))-SQRT((0.5*(0.9*DATOS!$C$90*DATOS!$C$86/100/1000)*IF(ISNUMBER(P45),P45,Y45)+BH45/IF(ISNUMBER(P45),P45,Y45))^2-4*(0.5*(0.9*DATOS!$C$90*DATOS!$C$86/100/1000))*BH45))/(2*(0.5*(0.9*DATOS!$C$90*DATOS!$C$86/100/1000)))))*100+MAX(BX45,12*INDEX(TABLAS!$C$52:$C$58,MATCH(BV45,TABLAS!$B$52:$B$58,0)),IF(ISNUMBER(P45),P45,Y45)*100/16),IF(OR(AL45&lt;INDEX(TABLAS!$C$52:$C$58,MATCH(BV45,TABLAS!$B$52:$B$58,0)),AND(BW45&gt;=2,(AD45-2*AL45-BW45*INDEX(TABLAS!$C$52:$C$58,MATCH(BV45,TABLAS!$B$52:$B$58,0)))/MAX(BW45-1,1)&lt;2*INDEX(TABLAS!$C$52:$C$58,MATCH(BV45,TABLAS!$B$52:$B$58,0)))),INDEX(TABLAS!$I$52:$I$58,MATCH(BV45,TABLAS!$B$52:$B$58,0)),INDEX(TABLAS!$F$52:$F$58,MATCH(BV45,TABLAS!$B$52:$B$58,0)))),5)),IF(((4*((BC45*AR45*Y45^2*1E-4*DATOS!$C$86/100/1000)+((MAX(AY45,BA45)*AR45*Y45^2*1E-4*DATOS!$C$86/100/1000)+(IF(AND(AY45&gt;0,BA45&gt;0),MIN(AY45,BA45),MAX(AY45,BA45))*AR45*Y45^2*1E-4*DATOS!$C$86/100/1000))/2)+BH45-(IF(AND(AY45&gt;0,BA45&gt;0),MIN(AY45,BA45),MAX(AY45,BA45))*AR45*Y45^2*1E-4*DATOS!$C$86/100/1000))^2-16*((BC45*AR45*Y45^2*1E-4*DATOS!$C$86/100/1000)+((MAX(AY45,BA45)*AR45*Y45^2*1E-4*DATOS!$C$86/100/1000)+(IF(AND(AY45&gt;0,BA45&gt;0),MIN(AY45,BA45),MAX(AY45,BA45))*AR45*Y45^2*1E-4*DATOS!$C$86/100/1000))/2)*BH45)&lt;0,CEILING(AB45,5),CEILING(MAX(AB45*((4*((BC45*AR45*Y45^2*1E-4*DATOS!$C$86/100/1000)+((MAX(AY45,BA45)*AR45*Y45^2*1E-4*DATOS!$C$86/100/1000)+(IF(AND(AY45&gt;0,BA45&gt;0),MIN(AY45,BA45),MAX(AY45,BA45))*AR45*Y45^2*1E-4*DATOS!$C$86/100/1000))/2)+BH45-(IF(AND(AY45&gt;0,BA45&gt;0),MIN(AY45,BA45),MAX(AY45,BA45))*AR45*Y45^2*1E-4*DATOS!$C$86/100/1000))-SQRT(MAX(0,((4*((BC45*AR45*Y45^2*1E-4*DATOS!$C$86/100/1000)+((MAX(AY45,BA45)*AR45*Y45^2*1E-4*DATOS!$C$86/100/1000)+(IF(AND(AY45&gt;0,BA45&gt;0),MIN(AY45,BA45),MAX(AY45,BA45))*AR45*Y45^2*1E-4*DATOS!$C$86/100/1000))/2)+BH45-(IF(AND(AY45&gt;0,BA45&gt;0),MIN(AY45,BA45),MAX(AY45,BA45))*AR45*Y45^2*1E-4*DATOS!$C$86/100/1000))^2-16*((BC45*AR45*Y45^2*1E-4*DATOS!$C$86/100/1000)+((MAX(AY45,BA45)*AR45*Y45^2*1E-4*DATOS!$C$86/100/1000)+(IF(AND(AY45&gt;0,BA45&gt;0),MIN(AY45,BA45),MAX(AY45,BA45))*AR45*Y45^2*1E-4*DATOS!$C$86/100/1000))/2)*BH45))))/(8*MAX(((BC45*AR45*Y45^2*1E-4*DATOS!$C$86/100/1000)+((MAX(AY45,BA45)*AR45*Y45^2*1E-4*DATOS!$C$86/100/1000)+(IF(AND(AY45&gt;0,BA45&gt;0),MIN(AY45,BA45),MAX(AY45,BA45))*AR45*Y45^2*1E-4*DATOS!$C$86/100/1000))/2),1E-9))+MAX(BX45,12*INDEX(TABLAS!$C$52:$C$58,MATCH(BV45,TABLAS!$B$52:$B$58,0)),AB45/16),IF(OR(AL45&lt;INDEX(TABLAS!$C$52:$C$58,MATCH(BV45,TABLAS!$B$52:$B$58,0)),AND(BW45&gt;=2,(AD45-2*AL45-BW45*INDEX(TABLAS!$C$52:$C$58,MATCH(BV45,TABLAS!$B$52:$B$58,0)))/MAX(BW45-1,1)&lt;2*INDEX(TABLAS!$C$52:$C$58,MATCH(BV45,TABLAS!$B$52:$B$58,0)))),INDEX(TABLAS!$I$52:$I$58,MATCH(BV45,TABLAS!$B$52:$B$58,0)),INDEX(TABLAS!$F$52:$F$58,MATCH(BV45,TABLAS!$B$52:$B$58,0)))),5))))</f>
        <v/>
      </c>
      <c r="DD45" s="60" t="str">
        <f>IF(V45&lt;&gt;"SÍ","",IF(C45="VOLADO",0,IF(((4*((BD45*AR45*Y45^2*1E-4*DATOS!$C$86/100/1000)+((MAX(AZ45,BB45)*AR45*Y45^2*1E-4*DATOS!$C$86/100/1000)+(IF(AND(AZ45&gt;0,BB45&gt;0),MIN(AZ45,BB45),MAX(AZ45,BB45))*AR45*Y45^2*1E-4*DATOS!$C$86/100/1000))/2)+BJ45-(IF(AND(AZ45&gt;0,BB45&gt;0),MIN(AZ45,BB45),MAX(AZ45,BB45))*AR45*Y45^2*1E-4*DATOS!$C$86/100/1000))^2-16*((BD45*AR45*Y45^2*1E-4*DATOS!$C$86/100/1000)+((MAX(AZ45,BB45)*AR45*Y45^2*1E-4*DATOS!$C$86/100/1000)+(IF(AND(AZ45&gt;0,BB45&gt;0),MIN(AZ45,BB45),MAX(AZ45,BB45))*AR45*Y45^2*1E-4*DATOS!$C$86/100/1000))/2)*BJ45)&lt;0,CEILING(AC45,5),CEILING(MAX(AC45*((4*((BD45*AR45*Y45^2*1E-4*DATOS!$C$86/100/1000)+((MAX(AZ45,BB45)*AR45*Y45^2*1E-4*DATOS!$C$86/100/1000)+(IF(AND(AZ45&gt;0,BB45&gt;0),MIN(AZ45,BB45),MAX(AZ45,BB45))*AR45*Y45^2*1E-4*DATOS!$C$86/100/1000))/2)+BJ45-(IF(AND(AZ45&gt;0,BB45&gt;0),MIN(AZ45,BB45),MAX(AZ45,BB45))*AR45*Y45^2*1E-4*DATOS!$C$86/100/1000))-SQRT(MAX(0,((4*((BD45*AR45*Y45^2*1E-4*DATOS!$C$86/100/1000)+((MAX(AZ45,BB45)*AR45*Y45^2*1E-4*DATOS!$C$86/100/1000)+(IF(AND(AZ45&gt;0,BB45&gt;0),MIN(AZ45,BB45),MAX(AZ45,BB45))*AR45*Y45^2*1E-4*DATOS!$C$86/100/1000))/2)+BJ45-(IF(AND(AZ45&gt;0,BB45&gt;0),MIN(AZ45,BB45),MAX(AZ45,BB45))*AR45*Y45^2*1E-4*DATOS!$C$86/100/1000))^2-16*((BD45*AR45*Y45^2*1E-4*DATOS!$C$86/100/1000)+((MAX(AZ45,BB45)*AR45*Y45^2*1E-4*DATOS!$C$86/100/1000)+(IF(AND(AZ45&gt;0,BB45&gt;0),MIN(AZ45,BB45),MAX(AZ45,BB45))*AR45*Y45^2*1E-4*DATOS!$C$86/100/1000))/2)*BJ45))))/(8*MAX(((BD45*AR45*Y45^2*1E-4*DATOS!$C$86/100/1000)+((MAX(AZ45,BB45)*AR45*Y45^2*1E-4*DATOS!$C$86/100/1000)+(IF(AND(AZ45&gt;0,BB45&gt;0),MIN(AZ45,BB45),MAX(AZ45,BB45))*AR45*Y45^2*1E-4*DATOS!$C$86/100/1000))/2),1E-9))+MAX(CN45,12*INDEX(TABLAS!$C$52:$C$58,MATCH(CL45,TABLAS!$B$52:$B$58,0)),AC45/16),IF(OR(AL45&lt;INDEX(TABLAS!$C$52:$C$58,MATCH(CL45,TABLAS!$B$52:$B$58,0)),AND(CM45&gt;=2,(DATOS!$C$83-2*AL45-CM45*INDEX(TABLAS!$C$52:$C$58,MATCH(CL45,TABLAS!$B$52:$B$58,0)))/MAX(CM45-1,1)&lt;2*INDEX(TABLAS!$C$52:$C$58,MATCH(CL45,TABLAS!$B$52:$B$58,0)))),INDEX(TABLAS!$I$52:$I$58,MATCH(CL45,TABLAS!$B$52:$B$58,0)),INDEX(TABLAS!$F$52:$F$58,MATCH(CL45,TABLAS!$B$52:$B$58,0)))),5))))</f>
        <v/>
      </c>
      <c r="DE45" s="55" t="str">
        <f>IF(V45&lt;&gt;"SÍ","",IF(AND(C45="PERIMETRAL",BW45&gt;=2,AS45-AT45&gt;0,BA45*AR45*Y45^2*1E-4*DATOS!$C$86/100/1000&gt;DATOS!$C$29*INDEX(TABLAS!$D$52:$D$58,MATCH(BV45,TABLAS!$B$52:$B$58,0))*DATOS!$C$14*(BX45-INDEX(TABLAS!$D$52:$D$58,MATCH(BV45,TABLAS!$B$52:$B$58,0))*DATOS!$C$14/(DATOS!$C$21*AF45)/2)/1E5),"SÍ","NO"))</f>
        <v/>
      </c>
      <c r="DF45" s="55" t="str">
        <f>IF(V45&lt;&gt;"SÍ","",IF(AND(C45="PERIMETRAL",CM45&gt;=2,AT45&gt;0,BB45*AR45*Y45^2*1E-4*DATOS!$C$86/100/1000&gt;DATOS!$C$29*INDEX(TABLAS!$D$52:$D$58,MATCH(CL45,TABLAS!$B$52:$B$58,0))*DATOS!$C$14*(CN45-INDEX(TABLAS!$D$52:$D$58,MATCH(CL45,TABLAS!$B$52:$B$58,0))*DATOS!$C$14/(DATOS!$C$21*AG45)/2)/1E5),"SÍ","NO"))</f>
        <v/>
      </c>
      <c r="DG45" s="63" t="str">
        <f>IF(V45&lt;&gt;"SÍ","",IF(OR(C45="VOLADO",AS45=0),"—",IF(AND(AND(1.25*INDEX(TABLAS!$G$52:$G$58,MATCH(MAX(BN45,CD45),TABLAS!$B$52:$B$58,0))&lt;=(DATOS!$C$75-DATOS!$C$63),(DATOS!$C$75-DATOS!$C$63)&gt;=15,INDEX(TABLAS!$G$52:$G$58,MATCH(MAX(BV45,CL45),TABLAS!$B$52:$B$58,0))&lt;=(DATOS!$C$75-DATOS!$C$63)),8*INDEX(TABLAS!$C$52:$C$58,MATCH(MAX(MAX(BN45,CD45),MAX(BV45,CL45)),TABLAS!$B$52:$B$58,0))&lt;=DATOS!$C$76-2*DATOS!$C$63),"CUMPLE (gancho de 180°)",IF(AND(1.25*INDEX(TABLAS!$G$52:$G$58,MATCH(MAX(BN45,CD45),TABLAS!$B$52:$B$58,0))&lt;=(DATOS!$C$75-DATOS!$C$63),(DATOS!$C$75-DATOS!$C$63)&gt;=15,INDEX(TABLAS!$G$52:$G$58,MATCH(MAX(BV45,CL45),TABLAS!$B$52:$B$58,0))&lt;=(DATOS!$C$75-DATOS!$C$63)),"NO CUMPLE: el gancho de 180° (8·d_b) no cabe en el peralte de la dala de borde","NO CUMPLE: dala de borde ≥ "&amp;TEXT(CEILING(MAX(1.25*INDEX(TABLAS!$G$52:$G$58,MATCH(MAX(BN45,CD45),TABLAS!$B$52:$B$58,0)),15,INDEX(TABLAS!$G$52:$G$58,MATCH(MAX(BV45,CL45),TABLAS!$B$52:$B$58,0)))+DATOS!$C$63,5),"0")&amp;" cm de ancho"&amp;IF(8*INDEX(TABLAS!$C$52:$C$58,MATCH(MAX(MAX(BN45,CD45),MAX(BV45,CL45)),TABLAS!$B$52:$B$58,0))&lt;=DATOS!$C$76-2*DATOS!$C$63,""," y más peralte para el gancho")))))</f>
        <v/>
      </c>
      <c r="DH45" s="59" t="str">
        <f>IF(V45&lt;&gt;"SÍ","",MAX(0,INT((E45*100-DATOS!$C$87-IF(AND(C45="PERIMETRAL",I45="DISCONTINUO"),MAX(0,DATOS!$C$75-DATOS!$C$87),0)-IF(AND(C45="PERIMETRAL",J45="DISCONTINUO"),MAX(0,DATOS!$C$75-DATOS!$C$87),0)+DATOS!$C$86-IF(X45="X",DATOS!$C$81,AE45))/DATOS!$C$86)))</f>
        <v/>
      </c>
      <c r="DI45" s="59" t="str">
        <f>IF(V45&lt;&gt;"SÍ","",MAX(0,INT((F45*100-DATOS!$C$87-IF(AND(C45="PERIMETRAL",G45="DISCONTINUO"),MAX(0,DATOS!$C$75-DATOS!$C$87),0)-IF(AND(C45="PERIMETRAL",H45="DISCONTINUO"),MAX(0,DATOS!$C$75-DATOS!$C$87),0)+DATOS!$C$86-IF(X45="Y",DATOS!$C$81,AE45))/DATOS!$C$86)))</f>
        <v/>
      </c>
      <c r="DJ45" s="57" t="str">
        <f>IF(V45&lt;&gt;"SÍ","",IF(DH45&gt;0,IF(AND(C45="PERIMETRAL",I45="DISCONTINUO"),MAX(0,DATOS!$C$75-DATOS!$C$87),0)+(E45*100-DATOS!$C$87-IF(AND(C45="PERIMETRAL",I45="DISCONTINUO"),MAX(0,DATOS!$C$75-DATOS!$C$87),0)-IF(AND(C45="PERIMETRAL",J45="DISCONTINUO"),MAX(0,DATOS!$C$75-DATOS!$C$87),0)-(DH45*IF(X45="X",DATOS!$C$81,AE45)+(DH45-1)*(DATOS!$C$86-IF(X45="X",DATOS!$C$81,AE45))))/2,E45*100/2))</f>
        <v/>
      </c>
      <c r="DK45" s="57" t="str">
        <f>IF(V45&lt;&gt;"SÍ","",IF(DH45&gt;0,IF(AND(C45="PERIMETRAL",J45="DISCONTINUO"),MAX(0,DATOS!$C$75-DATOS!$C$87),0)+(E45*100-DATOS!$C$87-IF(AND(C45="PERIMETRAL",I45="DISCONTINUO"),MAX(0,DATOS!$C$75-DATOS!$C$87),0)-IF(AND(C45="PERIMETRAL",J45="DISCONTINUO"),MAX(0,DATOS!$C$75-DATOS!$C$87),0)-(DH45*IF(X45="X",DATOS!$C$81,AE45)+(DH45-1)*(DATOS!$C$86-IF(X45="X",DATOS!$C$81,AE45))))/2,E45*100/2))</f>
        <v/>
      </c>
      <c r="DL45" s="57" t="str">
        <f>IF(V45&lt;&gt;"SÍ","",IF(DI45&gt;0,IF(AND(C45="PERIMETRAL",G45="DISCONTINUO"),MAX(0,DATOS!$C$75-DATOS!$C$87),0)+(F45*100-DATOS!$C$87-IF(AND(C45="PERIMETRAL",G45="DISCONTINUO"),MAX(0,DATOS!$C$75-DATOS!$C$87),0)-IF(AND(C45="PERIMETRAL",H45="DISCONTINUO"),MAX(0,DATOS!$C$75-DATOS!$C$87),0)-(DI45*IF(X45="Y",DATOS!$C$81,AE45)+(DI45-1)*(DATOS!$C$86-IF(X45="Y",DATOS!$C$81,AE45))))/2,F45*100/2))</f>
        <v/>
      </c>
      <c r="DM45" s="57" t="str">
        <f>IF(V45&lt;&gt;"SÍ","",IF(DI45&gt;0,IF(AND(C45="PERIMETRAL",H45="DISCONTINUO"),MAX(0,DATOS!$C$75-DATOS!$C$87),0)+(F45*100-DATOS!$C$87-IF(AND(C45="PERIMETRAL",G45="DISCONTINUO"),MAX(0,DATOS!$C$75-DATOS!$C$87),0)-IF(AND(C45="PERIMETRAL",H45="DISCONTINUO"),MAX(0,DATOS!$C$75-DATOS!$C$87),0)-(DI45*IF(X45="Y",DATOS!$C$81,AE45)+(DI45-1)*(DATOS!$C$86-IF(X45="Y",DATOS!$C$81,AE45))))/2,F45*100/2))</f>
        <v/>
      </c>
      <c r="DN45" s="59" t="str">
        <f>IF(V45&lt;&gt;"SÍ","",IF(NOT(AND(C45="VOLADO",AD45&gt;DATOS!$C$83)),0,IF(INDEX(TABLAS!$C$52:$C$58,MATCH(BV45,TABLAS!$B$52:$B$58,0))&lt;=DATOS!$C$83-2*DATOS!$C$63,1,0)))</f>
        <v/>
      </c>
      <c r="DO45" s="58" t="str">
        <f>IF(V45&lt;&gt;"SÍ","",IF(NOT(AND(C45="VOLADO",AD45&gt;DATOS!$C$83)),0,((DATOS!$C$85-MAX(DATOS!$C$63,(DATOS!$C$84-2*DATOS!$C$97)/2)-2*DATOS!$C$97-INDEX(TABLAS!$C$52:$C$58,MATCH(MAX(4,DATOS!$C$72),TABLAS!$B$52:$B$58,0))-INDEX(TABLAS!$C$52:$C$58,MATCH(BV45,TABLAS!$B$52:$B$58,0))/2)-IF(AND((DATOS!$C$85-MAX(DATOS!$C$63,(DATOS!$C$84-2*DATOS!$C$97)/2)-2*DATOS!$C$97-INDEX(TABLAS!$C$52:$C$58,MATCH(MAX(4,DATOS!$C$72),TABLAS!$B$52:$B$58,0))-INDEX(TABLAS!$C$52:$C$58,MATCH(BV45,TABLAS!$B$52:$B$58,0))/2)&lt;=20,DATOS!$C$65&lt;&gt;"SÍ"),2,0))))</f>
        <v/>
      </c>
      <c r="DP45" s="56" t="str">
        <f>IF(V45&lt;&gt;"SÍ","",IF(OR(NOT(AND(C45="VOLADO",AD45&gt;DATOS!$C$83)),DN45&lt;1),0,IF(0.003*(DO45-((DN45*INDEX(TABLAS!$D$52:$D$58,MATCH(BV45,TABLAS!$B$52:$B$58,0)))*DATOS!$C$14/(DATOS!$C$21*AG45)/DATOS!$C$22))/((DN45*INDEX(TABLAS!$D$52:$D$58,MATCH(BV45,TABLAS!$B$52:$B$58,0)))*DATOS!$C$14/(DATOS!$C$21*AG45)/DATOS!$C$22)&lt;0.005,0,DATOS!$C$29*(DN45*INDEX(TABLAS!$D$52:$D$58,MATCH(BV45,TABLAS!$B$52:$B$58,0)))*DATOS!$C$14*(DO45-(DN45*INDEX(TABLAS!$D$52:$D$58,MATCH(BV45,TABLAS!$B$52:$B$58,0)))*DATOS!$C$14/(DATOS!$C$21*AG45)/2)/1E5)))</f>
        <v/>
      </c>
      <c r="DQ45" s="56" t="str">
        <f>IF(V45&lt;&gt;"SÍ","",IF(OR(NOT(AND(C45="VOLADO",AD45&gt;DATOS!$C$83)),DN45&lt;1),0,DATOS!$C$30*2*MIN(1,SQRT(2/(1+0.04*DO45)))*((DN45*INDEX(TABLAS!$D$52:$D$58,MATCH(BV45,TABLAS!$B$52:$B$58,0)))/(AG45*DO45))^(1/3)*SQRT(DATOS!$C$13)*AG45*DO45/1000))</f>
        <v/>
      </c>
      <c r="DR45" s="56" t="str">
        <f>IF(V45&lt;&gt;"SÍ","",IF(NOT(AND(C45="VOLADO",AD45&gt;DATOS!$C$83)),0,IF((BH45-DP45)&lt;=0,0,IF(DP45&lt;=0,IF(ISNUMBER(P45),P45,Y45),IF(((0.9*DATOS!$C$90*DATOS!$C$86/100/1000)*IF(ISNUMBER(P45),P45,Y45)/2+BH45/IF(ISNUMBER(P45),P45,Y45))^2-4*((0.9*DATOS!$C$90*DATOS!$C$86/100/1000)/2)*(BH45-DP45)&lt;0,IF(ISNUMBER(P45),P45,Y45),MIN(IF(ISNUMBER(P45),P45,Y45),(((0.9*DATOS!$C$90*DATOS!$C$86/100/1000)*IF(ISNUMBER(P45),P45,Y45)/2+BH45/IF(ISNUMBER(P45),P45,Y45))-SQRT(((0.9*DATOS!$C$90*DATOS!$C$86/100/1000)*IF(ISNUMBER(P45),P45,Y45)/2+BH45/IF(ISNUMBER(P45),P45,Y45))^2-4*((0.9*DATOS!$C$90*DATOS!$C$86/100/1000)/2)*(BH45-DP45)))/(2*((0.9*DATOS!$C$90*DATOS!$C$86/100/1000)/2))))))))</f>
        <v/>
      </c>
      <c r="DS45" s="56" t="str">
        <f>IF(V45&lt;&gt;"SÍ","",IF(NOT(AND(C45="VOLADO",AD45&gt;DATOS!$C$83)),0,IF(DQ45&lt;=(BH45/((IF(ISNUMBER(P45),P45,Y45)*100-DATOS!$C$87)/100)),IF(ISNUMBER(P45),P45,Y45),MIN(IF(ISNUMBER(P45),P45,Y45),MAX(0,(IF(ISNUMBER(P45),P45,Y45)*100-DATOS!$C$87)/200-(DQ45-(BH45/((IF(ISNUMBER(P45),P45,Y45)*100-DATOS!$C$87)/100)))/((0.95-0.5*IF(N(Q45)&gt;0,MIN(IF(ISNUMBER(P45),P45,Y45),Q45)/MAX(IF(ISNUMBER(P45),P45,Y45),Q45),0))*DATOS!$C$33*AR45*DATOS!$C$86/100/1000))))))</f>
        <v/>
      </c>
      <c r="DT45" s="56" t="str">
        <f>IF(V45&lt;&gt;"SÍ","",IF(NOT(AND(C45="VOLADO",AD45&gt;DATOS!$C$83)),0,(BH45/((IF(ISNUMBER(P45),P45,Y45)*100-DATOS!$C$87)/100))+((0.95-0.5*IF(N(Q45)&gt;0,MIN(IF(ISNUMBER(P45),P45,Y45),Q45)/MAX(IF(ISNUMBER(P45),P45,Y45),Q45),0))*DATOS!$C$33*AR45*DATOS!$C$86/100/1000)*MAX(0,(IF(ISNUMBER(P45),P45,Y45)*100-DATOS!$C$87)/200-BX45/100)))</f>
        <v/>
      </c>
      <c r="DU45" s="59" t="str">
        <f>IF(V45&lt;&gt;"SÍ","",IF(NOT(AND(C45="VOLADO",AD45&gt;DATOS!$C$83)),0,MIN(FLOOR(100*IF(ISNUMBER(P45),P45,Y45)-DATOS!$C$63,5),CEILING(100*MIN(IF(ISNUMBER(P45),P45,Y45),MAX(IF(DR45&gt;0,DR45+IF(BW45&gt;=2,MAX(DO45,12*INDEX(TABLAS!$C$52:$C$58,MATCH(BV45,TABLAS!$B$52:$B$58,0)))/100,0),0),DS45,IF(BW45&gt;=2,INDEX(TABLAS!$F$52:$F$58,MATCH(BV45,TABLAS!$B$52:$B$58,0))/100,0))),5))))</f>
        <v/>
      </c>
      <c r="DV45" s="60" t="str">
        <f>IF(V45&lt;&gt;"SÍ","",IF(NOT(AND(C45="VOLADO",AD45&gt;DATOS!$C$83)),0,IF(DU45&lt;=0,0,CEILING(DU45/DATOS!$C$86,1))))</f>
        <v/>
      </c>
      <c r="DW45" s="61" t="str">
        <f>IF(V45&lt;&gt;"SÍ","",IF(C45&lt;&gt;"VOLADO","—",IF(AD45&lt;=DATOS!$C$83,"— (mismo b_w que el respaldo)",IF(DT45&gt;CS45,"NO CUMPLE: cortante de la nervadura ancha junto al apoyo ("&amp;TEXT(DT45,"0.00")&amp;" &gt; "&amp;TEXT(CS45,"0.00")&amp;" t)",IF(DU45&gt;=100*IF(ISNUMBER(P45),P45,Y45),"CUMPLE — todas las nervaduras del respaldo ‖ al volado con b_w = "&amp;AD45&amp;" cm","CUMPLE — "&amp;DV45&amp;" hilera(s) del respaldo con nervaduras de b_w = "&amp;AD45&amp;" cm (casetón "&amp;AE45&amp;" cm), hasta "&amp;TEXT(DU45/100,"0.00")&amp;" m del paño")))))</f>
        <v/>
      </c>
      <c r="DX45" s="69" t="str">
        <f>IF(V45&lt;&gt;"SÍ","",IF(BO45=0,"NO ALCANZA",BO45&amp;" No. "&amp;BN45&amp;IF(BO45&gt;1," corridas"," corrida")))</f>
        <v/>
      </c>
      <c r="DY45" s="69" t="str">
        <f>IF(V45&lt;&gt;"SÍ","",IF(BW45=0,"NO ALCANZA",IF(AND(C45="VOLADO",AD45&gt;DATOS!$C$83,BW45&gt;=2),"1 No. "&amp;BV45&amp;" corrida de la orilla al respaldo ("&amp;IF(DC45&gt;=FLOOR(100*IF(ISNUMBER(P45),P45,Y45)-DATOS!$C$63,5),"hasta su apoyo lejano, con gancho","entra "&amp;TEXT(DC45/100,"0.00")&amp;" m desde el paño")&amp;") + "&amp;(BW45-1)&amp;" bastón No. "&amp;BV45&amp;" hasta "&amp;TEXT(DU45/100,"0.00")&amp;" m del paño (fin de la nervadura ancha)",IF(C45="VOLADO",BW45&amp;" No. "&amp;BV45&amp;" de la orilla al respaldo ("&amp;IF(DC45&gt;=FLOOR(100*IF(ISNUMBER(P45),P45,Y45)-DATOS!$C$63,5),"hasta su apoyo lejano, con gancho","entran "&amp;TEXT(DC45/100,"0.00")&amp;" m desde el paño")&amp;")","1 No. "&amp;BV45&amp;" corrida"&amp;IF(BW45&gt;1," + "&amp;(BW45-1)&amp;" bastón No. "&amp;BV45&amp;" L = "&amp;TEXT(DC45/100,"0.00")&amp;" m desde el paño","")))))</f>
        <v/>
      </c>
      <c r="DZ45" s="69" t="str">
        <f>IF(V45&lt;&gt;"SÍ","",IF(CE45=0,"NO ALCANZA",CE45&amp;" No. "&amp;CD45&amp;IF(CE45&gt;1," corridas"," corrida")))</f>
        <v/>
      </c>
      <c r="EA45" s="69" t="str">
        <f>IF(V45&lt;&gt;"SÍ","",IF(CM45=0,"NO ALCANZA",IF(C45="VOLADO","1 No. "&amp;CL45&amp;" corrida (repartición)","1 No. "&amp;CL45&amp;" corrida"&amp;IF(CM45&gt;1," + "&amp;(CM45-1)&amp;" bastón No. "&amp;CL45&amp;" L = "&amp;TEXT(DD45/100,"0.00")&amp;" m desde el paño",""))))</f>
        <v/>
      </c>
      <c r="EB45" s="67" t="str">
        <f>IF(B45="","",IF(V45&lt;&gt;"SÍ","FALTAN DATOS: tipo, a_x, a_y, destino y, en volados, L_b",IF(L45="NO MONOLÍTICO (caso II)","FUERA DE ALCANCE: caso II no transcrito",IF(AND(C45="VOLADO",W45="?"),"REVISAR: el volado lleva UN solo borde CONTINUO (el empotrado)",IF(MIN(DH45,DI45)=0,"REVISAR: no cabe un casetón (tablero macizo): diséñalo en MACIZAS",IF(AND(MAX(BR45,BZ45,CH45,CP45)&lt;=1,NOT(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T(OR(AND(ISNUMBER(BS45),BS45&lt;0.005),AND(ISNUMBER(CA45),CA45&lt;0.005),AND(ISNUMBER(CI45),CI45&lt;0.005),AND(ISNUMBER(CQ45),CQ45&lt;0.005))),NOT(LEFT(DW45,2)="NO"),DA45="CUMPLE",DB45="CUMPLE",LEFT(CU45,2)&lt;&gt;"NO",LEFT(DATOS!$C$132,6)="CUMPLE"),IF(LEFT(CU45,6)="CUMPLE","CUMPLE","CUMPLE — "&amp;CU45)&amp;IF(LEFT(BK45,5)="FUERA"," · fuera de 3.4.2.1 c)","")&amp;IF(LEFT(DG45,2)="NO"," · REVISAR anclaje en borde discontinuo","")&amp;IF(DV45&gt;0," · respaldo: "&amp;DV45&amp;" hilera(s) de b_w "&amp;AD45&amp;" cm",""),IF(AND(MAX(BR45,BZ45,CH45,CP45)&lt;=1,NOT(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T(OR(AND(ISNUMBER(BS45),BS45&lt;0.005),AND(ISNUMBER(CA45),CA45&lt;0.005),AND(ISNUMBER(CI45),CI45&lt;0.005),AND(ISNUMBER(CQ45),CQ45&lt;0.005))),NOT(LEFT(DW45,2)="NO"),DA45="CALCULAR FLECHA",LEFT(CU45,2)&lt;&gt;"NO",LEFT(DATOS!$C$132,6)="CUMPLE"),"REVISAR: calcular flecha (h_eq &lt; h mín.)"&amp;IF(LEFT(BK45,5)="FUERA"," · fuera de 3.4.2.1 c)","")&amp;IF(LEFT(DG45,2)="NO"," · REVISAR anclaje en borde discontinuo","")&amp;IF(DV45&gt;0," · respaldo: "&amp;DV45&amp;" hilera(s) de b_w "&amp;AD45&amp;" cm",""),"NO CUMPLE: "&amp;IF(MAX(BR45,BZ45,CH45,CP45)&gt;1,"flexión ","")&amp;IF(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 caben ","")&amp;IF(OR(AND(ISNUMBER(BS45),BS45&lt;0.005),AND(ISNUMBER(CA45),CA45&lt;0.005),AND(ISNUMBER(CI45),CI45&lt;0.005),AND(ISNUMBER(CQ45),CQ45&lt;0.005)),"ε_t &lt; 0.005 ","")&amp;IF(LEFT(CU45,2)="NO","cortante ","")&amp;IF(DA45="NO CUMPLE","peralte ","")&amp;IF(DB45&lt;&gt;"CUMPLE","capa &lt; 6 cm ","")&amp;IF(LEFT(DATOS!$C$132,6)&lt;&gt;"CUMPLE","capa o malla (DATOS sección 7) ","")&amp;IF(LEFT(DW45,2)="NO","respaldo del volado",""))))))))</f>
        <v/>
      </c>
      <c r="EC45" s="70" t="str">
        <f>IF(V45&lt;&gt;"SÍ","",IF(LEFT(B45,7)="EJEMPLO","EJEMPLO de la hoja de Casa Rocha: bórralo o sobrescríbelo. ","")&amp;IF(AND(C45="PERIMETRAL",MIN(DH45,DI45)=0),"No cabe un casetón en el claro corto: es un tablero macizo, diséñalo en MACIZAS. ","")&amp;IF(AND(AJ45="NO",C45="PERIMETRAL"),"No cumple 6.7.8.1.4 (a_c = "&amp;MAX(DATOS!$C$81,AE45)&amp;" cm &gt; claro corto/6 = "&amp;TEXT(Y45*100/6,"0")&amp;" cm): se diseña como losa apoyada en vigas (6.7.8.1.9): r de viga = "&amp;DATOS!$C$63&amp;" cm y V_cR sin ×1.1. Para que cuente como encasetonada: casetón de "&amp;TEXT(FLOOR(MIN(80,Y45*100/6),1),"0")&amp;" cm o menor. ","")&amp;IF(C45="VOLADO","Volado de "&amp;TEXT(Y45,"0.00")&amp;" m empotrado en el borde "&amp;LOWER(W45)&amp;IF(N(O45)&gt;0,", con "&amp;TEXT(O45,"0.0")&amp;" kg/m en la orilla","")&amp;". Lecho inferior con r_ext. Si la orilla carga pretil u otro elemento frágil, calcula la flecha (13.4). El acero superior entra al respaldo de "&amp;TEXT(IF(ISNUMBER(P45),P45,Y45),"0.00")&amp;" m"&amp;" hasta pasar M = 0 con 0.9·PP sin carga viva; si ahí no se anula, llega al apoyo lejano y se ancla con gancho (NTC-Criterios 3.4.1 c y 5.1.2.2). "&amp;IF(AD45&gt;DATOS!$C$83,"Respaldo: "&amp;DW45&amp;". ",""),"")&amp;IF(AND(C45="VOLADO",((0.9*DATOS!$C$90*DATOS!$C$86/100/1000)*IF(ISNUMBER(P45),P45,Y45)/2-BH45/IF(ISNUMBER(P45),P45,Y45))&lt;0),"Con 0.9·PP y sin carga viva el apoyo lejano del respaldo levanta (R = "&amp;TEXT(-((0.9*DATOS!$C$90*DATOS!$C$86/100/1000)*IF(ISNUMBER(P45),P45,Y45)/2-BH45/IF(ISNUMBER(P45),P45,Y45)),"0.00")&amp;" t por nervadura): ancla ahí la corrida con gancho y revisa ese apoyo a tensión. ","")&amp;IF(LEFT(BK45,5)="FUERA","El M⁻ del vecino difiere más de 50 % (3.4.2.1 c): distribuye el desequilibrio (3.4.3.1) o confirma con un modelo; se arma con el mayor. ","")&amp;IF(OR(DE45="SÍ",DF45="SÍ"),"El M⁻ del borde discontinuo pide bastón también ahí (con gancho). ","")&amp;IF(LEFT(DG45,2)="NO","Anclaje: "&amp;DG45&amp;" (6.7.8.1.7). ","")&amp;IF(AND(C45="PERIMETRAL",AT45&gt;=1,AS45-AT45&gt;=1),"Esquinas exteriores sobre muro: refuerzo de esquina arriba y abajo en L_largo/5 (6.7.7.3.1). ",""))</f>
        <v/>
      </c>
    </row>
    <row r="46" ht="33" customHeight="1">
      <c r="A46" s="50">
        <f>IF(B46="",0,1)+A45</f>
        <v>4</v>
      </c>
      <c r="B46" s="29" t="n"/>
      <c r="C46" s="51" t="n"/>
      <c r="D46" s="29" t="n"/>
      <c r="E46" s="52" t="n"/>
      <c r="F46" s="52" t="n"/>
      <c r="G46" s="51" t="n"/>
      <c r="H46" s="51" t="n"/>
      <c r="I46" s="51" t="n"/>
      <c r="J46" s="51" t="n"/>
      <c r="K46" s="51" t="n"/>
      <c r="L46" s="51" t="n"/>
      <c r="M46" s="53" t="n"/>
      <c r="N46" s="53" t="n"/>
      <c r="O46" s="54" t="n"/>
      <c r="P46" s="52" t="n"/>
      <c r="Q46" s="52" t="n"/>
      <c r="R46" s="53" t="n"/>
      <c r="S46" s="54" t="n"/>
      <c r="T46" s="52" t="n"/>
      <c r="U46" s="52" t="n"/>
      <c r="V46" s="55" t="str">
        <f>IF(B46="","",IF(AND(OR(C46="PERIMETRAL",C46="VOLADO"),ISNUMBER(E46),ISNUMBER(F46),E46&gt;0,F46&gt;0,OR(ISNUMBER(N46),ISNUMBER(MATCH(D46,DATOS!$B$46:$B$58,0))),OR(C46&lt;&gt;"VOLADO",N(P46)&gt;0)),"SÍ","NO"))</f>
        <v/>
      </c>
      <c r="W46" s="55" t="str">
        <f>IF(V46&lt;&gt;"SÍ","",IF(C46&lt;&gt;"VOLADO","—",IF(COUNTIF(G46:J46,"CONTINUO")&lt;&gt;1,"?",IF(G46="CONTINUO","INFERIOR",IF(H46="CONTINUO","SUPERIOR",IF(I46="CONTINUO","IZQUIERDO","DERECHO"))))))</f>
        <v/>
      </c>
      <c r="X46" s="55" t="str">
        <f>IF(V46&lt;&gt;"SÍ","",IF(C46="VOLADO",IF(OR(W46="IZQUIERDO",W46="DERECHO"),"X","Y"),IF(E46&lt;=F46,"X","Y")))</f>
        <v/>
      </c>
      <c r="Y46" s="56" t="str">
        <f>IF(V46&lt;&gt;"SÍ","",IF(C46="VOLADO",IF(X46="X",E46,F46),MIN(E46,F46)))</f>
        <v/>
      </c>
      <c r="Z46" s="56" t="str">
        <f>IF(V46&lt;&gt;"SÍ","",IF(C46="VOLADO",IF(X46="X",F46,E46),MAX(E46,F46)))</f>
        <v/>
      </c>
      <c r="AA46" s="56" t="str">
        <f>IF(V46&lt;&gt;"SÍ","",MIN(Y46,Z46)/MAX(Y46,Z46))</f>
        <v/>
      </c>
      <c r="AB46" s="57" t="str">
        <f>IF(V46&lt;&gt;"SÍ","",MAX(1,Y46*100-IF(C46="VOLADO",DATOS!$C$87/2,DATOS!$C$87)))</f>
        <v/>
      </c>
      <c r="AC46" s="57" t="str">
        <f>IF(V46&lt;&gt;"SÍ","",MAX(1,Z46*100-DATOS!$C$87))</f>
        <v/>
      </c>
      <c r="AD46" s="57" t="str">
        <f>IF(V46&lt;&gt;"SÍ","",IF(ISNUMBER(R46),R46,DATOS!$C$83))</f>
        <v/>
      </c>
      <c r="AE46" s="57" t="str">
        <f>IF(V46&lt;&gt;"SÍ","",MAX(0,DATOS!$C$86-AD46))</f>
        <v/>
      </c>
      <c r="AF46" s="57" t="str">
        <f>IF(V46&lt;&gt;"SÍ","",IF(OR(DATOS!$C$65="SÍ",AD46&gt;=20),AD46,AD46-2))</f>
        <v/>
      </c>
      <c r="AG46" s="57" t="str">
        <f>IF(V46&lt;&gt;"SÍ","",IF(OR(DATOS!$C$65="SÍ",DATOS!$C$83&gt;=20),DATOS!$C$83,DATOS!$C$83-2))</f>
        <v/>
      </c>
      <c r="AH46" s="57" t="str">
        <f>IF(V46&lt;&gt;"SÍ","",MIN(DATOS!$C$86,AD46+2*MIN(8*DATOS!$C$84,AE46/2,AB46/8)))</f>
        <v/>
      </c>
      <c r="AI46" s="57" t="str">
        <f>IF(V46&lt;&gt;"SÍ","",MIN(DATOS!$C$86,DATOS!$C$83+2*MIN(8*DATOS!$C$84,DATOS!$C$81/2,AC46/8)))</f>
        <v/>
      </c>
      <c r="AJ46" s="55" t="str">
        <f>IF(V46&lt;&gt;"SÍ","",IF(AND(C46="PERIMETRAL",Y46*100&gt;=6*MAX(DATOS!$C$81,AE46),MAX(DATOS!$C$81,AE46)&lt;=80,MIN(DATOS!$C$83,AD46)&gt;=10,DATOS!$C$85&lt;=3.5*MIN(DATOS!$C$83,AD46),DATOS!$C$84&gt;=MAX(MAX(DATOS!$C$81,AE46)/13,5)),"SÍ","NO"))</f>
        <v/>
      </c>
      <c r="AK46" s="57" t="str">
        <f>IF(V46&lt;&gt;"SÍ","",IF(C46="VOLADO",DATOS!$C$64,IF(AJ46="NO",DATOS!$C$63,DATOS!$C$62)))</f>
        <v/>
      </c>
      <c r="AL46" s="57" t="str">
        <f>IF(V46&lt;&gt;"SÍ","",IF(OR(AND(AN46="SÍ",DATOS!$C$66="SÍ"),AND(C46="VOLADO",DATOS!$C$67="SÍ")),DATOS!$C$64,IF(AJ46="NO",DATOS!$C$63,DATOS!$C$62)))</f>
        <v/>
      </c>
      <c r="AM46" s="58" t="str">
        <f>IF(V46&lt;&gt;"SÍ","",MAX(AL46,(DATOS!$C$84-2*DATOS!$C$97)/2))</f>
        <v/>
      </c>
      <c r="AN46" s="55" t="str">
        <f>IF(V46&lt;&gt;"SÍ","",IFERROR(INDEX(DATOS!$D$46:$D$58,MATCH(D46,DATOS!$B$46:$B$58,0)),"NO"))</f>
        <v/>
      </c>
      <c r="AO46" s="59" t="str">
        <f>IF(V46&lt;&gt;"SÍ","",IF(ISNUMBER(N46),N46,IFERROR(INDEX(DATOS!$C$46:$C$58,MATCH(D46,DATOS!$B$46:$B$58,0)),0)))</f>
        <v/>
      </c>
      <c r="AP46" s="59" t="str">
        <f>IF(V46&lt;&gt;"SÍ","",IF(MIN(DH46,DI46)=0,DATOS!$C$85/100*DATOS!$C$16*1000,(DATOS!$C$85/100-(AE46*DATOS!$C$81/DATOS!$C$86^2)*DATOS!$C$82/100)*DATOS!$C$16*1000+(AE46*DATOS!$C$81/DATOS!$C$86^2)*DATOS!$C$82/100*DATOS!$C$17*1000)+DATOS!$C$37+DATOS!$C$38)</f>
        <v/>
      </c>
      <c r="AQ46" s="59" t="str">
        <f>IF(V46&lt;&gt;"SÍ","",AP46+N(M46))</f>
        <v/>
      </c>
      <c r="AR46" s="60" t="str">
        <f>IF(V46&lt;&gt;"SÍ","",MAX(DATOS!$C$26*AQ46+DATOS!$C$27*AO46,IF(AN46="SÍ",DATOS!$C$28*(AQ46+DATOS!$C$41),0)))</f>
        <v/>
      </c>
      <c r="AS46" s="59" t="str">
        <f>IF(V46&lt;&gt;"SÍ","",(G46="DISCONTINUO")+(H46="DISCONTINUO")+(I46="DISCONTINUO")+(J46="DISCONTINUO"))</f>
        <v/>
      </c>
      <c r="AT46" s="59" t="str">
        <f>IF(V46&lt;&gt;"SÍ","",IF(X46="X",(G46="DISCONTINUO")+(H46="DISCONTINUO"),(I46="DISCONTINUO")+(J46="DISCONTINUO")))</f>
        <v/>
      </c>
      <c r="AU46" s="55" t="str">
        <f>IF(V46&lt;&gt;"SÍ","",IF(AS46=0,"INTERIOR",IF(AS46=1,IF(AT46=1,"BORDE-CORTO","BORDE-LARGO"),IF(AS46=2,IF(AT46=1,"ESQUINA",IF(AT46=2,"EXTREMO-LARGO","EXTREMO-CORTO")),IF(AS46=3,IF(AT46=2,"EXTREMO-LARGO","EXTREMO-CORTO"),"AISLADO")))))</f>
        <v/>
      </c>
      <c r="AV46" s="61" t="str">
        <f>IF(V46&lt;&gt;"SÍ","",IF(OR(K46="",K46="AUTO"),AU46,K46))</f>
        <v/>
      </c>
      <c r="AW46" s="59" t="str">
        <f>IF(V46&lt;&gt;"SÍ","",MATCH(AA46,TABLAS!$D$5:$J$5,1))</f>
        <v/>
      </c>
      <c r="AX46" s="58" t="str">
        <f>IF(V46&lt;&gt;"SÍ","",IF(AW46&gt;=7,0,(AA46-INDEX(TABLAS!$D$5:$J$5,AW46))/(INDEX(TABLAS!$D$5:$J$5,AW46+1)-INDEX(TABLAS!$D$5:$J$5,AW46))))</f>
        <v/>
      </c>
      <c r="AY46" s="59" t="str">
        <f>IF(V46&lt;&gt;"SÍ","",INDEX(TABLAS!$D$6:$J$47,MATCH(AV46&amp;"|NIC",TABLAS!$B$6:$B$47,0),AW46)+AX46*(INDEX(TABLAS!$D$6:$J$47,MATCH(AV46&amp;"|NIC",TABLAS!$B$6:$B$47,0),MIN(AW46+1,7))-INDEX(TABLAS!$D$6:$J$47,MATCH(AV46&amp;"|NIC",TABLAS!$B$6:$B$47,0),AW46)))</f>
        <v/>
      </c>
      <c r="AZ46" s="59" t="str">
        <f>IF(V46&lt;&gt;"SÍ","",INDEX(TABLAS!$D$6:$J$47,MATCH(AV46&amp;"|NIL",TABLAS!$B$6:$B$47,0),AW46)+AX46*(INDEX(TABLAS!$D$6:$J$47,MATCH(AV46&amp;"|NIL",TABLAS!$B$6:$B$47,0),MIN(AW46+1,7))-INDEX(TABLAS!$D$6:$J$47,MATCH(AV46&amp;"|NIL",TABLAS!$B$6:$B$47,0),AW46)))</f>
        <v/>
      </c>
      <c r="BA46" s="59" t="str">
        <f>IF(V46&lt;&gt;"SÍ","",INDEX(TABLAS!$D$6:$J$47,MATCH(AV46&amp;"|NDC",TABLAS!$B$6:$B$47,0),AW46)+AX46*(INDEX(TABLAS!$D$6:$J$47,MATCH(AV46&amp;"|NDC",TABLAS!$B$6:$B$47,0),MIN(AW46+1,7))-INDEX(TABLAS!$D$6:$J$47,MATCH(AV46&amp;"|NDC",TABLAS!$B$6:$B$47,0),AW46)))</f>
        <v/>
      </c>
      <c r="BB46" s="59" t="str">
        <f>IF(V46&lt;&gt;"SÍ","",INDEX(TABLAS!$D$6:$J$47,MATCH(AV46&amp;"|NDL",TABLAS!$B$6:$B$47,0),AW46)+AX46*(INDEX(TABLAS!$D$6:$J$47,MATCH(AV46&amp;"|NDL",TABLAS!$B$6:$B$47,0),MIN(AW46+1,7))-INDEX(TABLAS!$D$6:$J$47,MATCH(AV46&amp;"|NDL",TABLAS!$B$6:$B$47,0),AW46)))</f>
        <v/>
      </c>
      <c r="BC46" s="59" t="str">
        <f>IF(V46&lt;&gt;"SÍ","",INDEX(TABLAS!$D$6:$J$47,MATCH(AV46&amp;"|PC",TABLAS!$B$6:$B$47,0),AW46)+AX46*(INDEX(TABLAS!$D$6:$J$47,MATCH(AV46&amp;"|PC",TABLAS!$B$6:$B$47,0),MIN(AW46+1,7))-INDEX(TABLAS!$D$6:$J$47,MATCH(AV46&amp;"|PC",TABLAS!$B$6:$B$47,0),AW46)))</f>
        <v/>
      </c>
      <c r="BD46" s="59" t="str">
        <f>IF(V46&lt;&gt;"SÍ","",INDEX(TABLAS!$D$6:$J$47,MATCH(AV46&amp;"|PL",TABLAS!$B$6:$B$47,0),AW46)+AX46*(INDEX(TABLAS!$D$6:$J$47,MATCH(AV46&amp;"|PL",TABLAS!$B$6:$B$47,0),MIN(AW46+1,7))-INDEX(TABLAS!$D$6:$J$47,MATCH(AV46&amp;"|PL",TABLAS!$B$6:$B$47,0),AW46)))</f>
        <v/>
      </c>
      <c r="BE46" s="56" t="str">
        <f>IF(V46&lt;&gt;"SÍ","",IF(OR(C46&lt;&gt;"VOLADO",MIN(DH46,DI46)=0),0,DATOS!$C$26*DATOS!$C$16*DATOS!$C$86/100*(((AE46*DATOS!$C$81/DATOS!$C$86^2)*DATOS!$C$82/100)*(IF(X46="X",DJ46,DL46)+DATOS!$C$87/2)/100*(AB46-(IF(X46="X",DJ46,DL46)+DATOS!$C$87/2)/2)/100+((AE46*DATOS!$C$81/DATOS!$C$86^2)*DATOS!$C$82/100)*IF(X46="X",DJ46,DL46)/100*IF(X46="X",DJ46,DL46)/200)))</f>
        <v/>
      </c>
      <c r="BF46" s="56" t="str">
        <f>IF(V46&lt;&gt;"SÍ","",IF(OR(C46&lt;&gt;"VOLADO",MIN(DH46,DI46)=0),0,DATOS!$C$26*DATOS!$C$16*DATOS!$C$86/100*((AE46*DATOS!$C$81/DATOS!$C$86^2)*DATOS!$C$82/100)*(IF(X46="X",DJ46,DL46)+DATOS!$C$87/2)/100))</f>
        <v/>
      </c>
      <c r="BG46" s="56" t="str">
        <f>IF(V46&lt;&gt;"SÍ","",IF(C46="PERIMETRAL",BC46*AR46*Y46^2*1E-4*DATOS!$C$86/100/1000,0))</f>
        <v/>
      </c>
      <c r="BH46" s="62" t="str">
        <f>IF(V46&lt;&gt;"SÍ","",IF(C46="PERIMETRAL",MAX(MAX(AY46,BA46)*AR46*Y46^2*1E-4*DATOS!$C$86/100/1000,N(T46)),(AR46*(AB46/100)^2/2+DATOS!$C$26*N(O46)*AB46/100)*DATOS!$C$86/100/1000+BE46))</f>
        <v/>
      </c>
      <c r="BI46" s="56" t="str">
        <f>IF(V46&lt;&gt;"SÍ","",IF(C46="PERIMETRAL",BD46*AR46*Y46^2*1E-4*DATOS!$C$86/100/1000,0))</f>
        <v/>
      </c>
      <c r="BJ46" s="56" t="str">
        <f>IF(V46&lt;&gt;"SÍ","",IF(C46="PERIMETRAL",MAX(MAX(AZ46,BB46)*AR46*Y46^2*1E-4*DATOS!$C$86/100/1000,N(U46)),0))</f>
        <v/>
      </c>
      <c r="BK46" s="63" t="str">
        <f>IF(V46&lt;&gt;"SÍ","",IF(C46&lt;&gt;"PERIMETRAL","—",IF(AND(N(T46)=0,N(U46)=0),"— (sin M⁻ del vecino)",IF(OR(AND(N(T46)&gt;0,ABS(MAX(AY46,BA46)*AR46*Y46^2*1E-4*DATOS!$C$86/100/1000-N(T46))&gt;0.5*MIN(MAX(AY46,BA46)*AR46*Y46^2*1E-4*DATOS!$C$86/100/1000,N(T46))),AND(N(U46)&gt;0,ABS(MAX(AZ46,BB46)*AR46*Y46^2*1E-4*DATOS!$C$86/100/1000-N(U46))&gt;0.5*MIN(MAX(AZ46,BB46)*AR46*Y46^2*1E-4*DATOS!$C$86/100/1000,N(U46)))),"FUERA: difieren &gt; 50 %"&amp;IF(AND(N(T46)&gt;0,ABS(MAX(AY46,BA46)*AR46*Y46^2*1E-4*DATOS!$C$86/100/1000-N(T46))&gt;0.5*MIN(MAX(AY46,BA46)*AR46*Y46^2*1E-4*DATOS!$C$86/100/1000,N(T46)))," ‖ corto","")&amp;IF(AND(N(U46)&gt;0,ABS(MAX(AZ46,BB46)*AR46*Y46^2*1E-4*DATOS!$C$86/100/1000-N(U46))&gt;0.5*MIN(MAX(AZ46,BB46)*AR46*Y46^2*1E-4*DATOS!$C$86/100/1000,N(U46)))," ‖ largo",""),"CUMPLE"))))</f>
        <v/>
      </c>
      <c r="BL46" s="58" t="str">
        <f>IF(V46&lt;&gt;"SÍ","",(DATOS!$C$85-AK46-INDEX(TABLAS!$C$52:$C$58,MATCH(MAX(4,DATOS!$C$71),TABLAS!$B$52:$B$58,0))/2))</f>
        <v/>
      </c>
      <c r="BM46" s="58" t="str">
        <f>IF(V46&lt;&gt;"SÍ","",IF(IF(BG46&lt;=0,0,IF((1-2*BG46*1E5/(DATOS!$C$29*AH46*BL46^2*DATOS!$C$21))&lt;0,-1,IF((1-SQRT((1-2*BG46*1E5/(DATOS!$C$29*AH46*BL46^2*DATOS!$C$21))))*DATOS!$C$21*AH46*BL46/DATOS!$C$14&gt;DATOS!$C$102*AH46*BL46,-1,(1-SQRT((1-2*BG46*1E5/(DATOS!$C$29*AH46*BL46^2*DATOS!$C$21))))*DATOS!$C$21*AH46*BL46/DATOS!$C$14)))&lt;0,-1,MAX(IF(BG46&lt;=0,0,IF((1-2*BG46*1E5/(DATOS!$C$29*AH46*BL46^2*DATOS!$C$21))&lt;0,-1,IF((1-SQRT((1-2*BG46*1E5/(DATOS!$C$29*AH46*BL46^2*DATOS!$C$21))))*DATOS!$C$21*AH46*BL46/DATOS!$C$14&gt;DATOS!$C$102*AH46*BL46,-1,(1-SQRT((1-2*BG46*1E5/(DATOS!$C$29*AH46*BL46^2*DATOS!$C$21))))*DATOS!$C$21*AH46*BL46/DATOS!$C$14))),MIN(DATOS!$C$103*AD46*BL46,4/3*IF(BG46&lt;=0,0,IF((1-2*BG46*1E5/(DATOS!$C$29*AH46*BL46^2*DATOS!$C$21))&lt;0,-1,IF((1-SQRT((1-2*BG46*1E5/(DATOS!$C$29*AH46*BL46^2*DATOS!$C$21))))*DATOS!$C$21*AH46*BL46/DATOS!$C$14&gt;DATOS!$C$102*AH46*BL46,-1,(1-SQRT((1-2*BG46*1E5/(DATOS!$C$29*AH46*BL46^2*DATOS!$C$21))))*DATOS!$C$21*AH46*BL46/DATOS!$C$14)))))))</f>
        <v/>
      </c>
      <c r="BN46" s="64" t="str">
        <f>IF(V46&lt;&gt;"SÍ","",IF(AND(BM46&gt;=0,IF(MAX(DATOS!$C$74,CEILING(BM46/INDEX(TABLAS!$D$52:$D$58,MIN(MATCH(MAX(4,DATOS!$C$71),TABLAS!$B$52:$B$58,0)+0,7)),1))*INDEX(TABLAS!$D$52:$D$58,MIN(MATCH(MAX(4,DATOS!$C$71),TABLAS!$B$52:$B$58,0)+0,7)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+0,7)),1)),MAX(MAX(DATOS!$C$74,CEILING(BM46/INDEX(TABLAS!$D$52:$D$58,MIN(MATCH(MAX(4,DATOS!$C$71),TABLAS!$B$52:$B$58,0)+0,7)),1)),2))&lt;=MIN(DATOS!$C$73,INT(((AD46-2*AK46)+MAX(DATOS!$C$70,INDEX(TABLAS!$C$52:$C$58,MIN(MATCH(MAX(4,DATOS!$C$71),TABLAS!$B$52:$B$58,0)+0,7))))/(INDEX(TABLAS!$C$52:$C$58,MIN(MATCH(MAX(4,DATOS!$C$71),TABLAS!$B$52:$B$58,0)+0,7))+MAX(DATOS!$C$70,INDEX(TABLAS!$C$52:$C$58,MIN(MATCH(MAX(4,DATOS!$C$71),TABLAS!$B$52:$B$58,0)+0,7))))))),INDEX(TABLAS!$B$52:$B$58,MIN(MATCH(MAX(4,DATOS!$C$71),TABLAS!$B$52:$B$58,0)+0,7)),IF(AND(BM46&gt;=0,IF(MAX(DATOS!$C$74,CEILING(BM46/INDEX(TABLAS!$D$52:$D$58,MIN(MATCH(MAX(4,DATOS!$C$71),TABLAS!$B$52:$B$58,0)+1,7)),1))*INDEX(TABLAS!$D$52:$D$58,MIN(MATCH(MAX(4,DATOS!$C$71),TABLAS!$B$52:$B$58,0)+1,7)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+1,7)),1)),MAX(MAX(DATOS!$C$74,CEILING(BM46/INDEX(TABLAS!$D$52:$D$58,MIN(MATCH(MAX(4,DATOS!$C$71),TABLAS!$B$52:$B$58,0)+1,7)),1)),2))&lt;=MIN(DATOS!$C$73,INT(((AD46-2*AK46)+MAX(DATOS!$C$70,INDEX(TABLAS!$C$52:$C$58,MIN(MATCH(MAX(4,DATOS!$C$71),TABLAS!$B$52:$B$58,0)+1,7))))/(INDEX(TABLAS!$C$52:$C$58,MIN(MATCH(MAX(4,DATOS!$C$71),TABLAS!$B$52:$B$58,0)+1,7))+MAX(DATOS!$C$70,INDEX(TABLAS!$C$52:$C$58,MIN(MATCH(MAX(4,DATOS!$C$71),TABLAS!$B$52:$B$58,0)+1,7))))))),INDEX(TABLAS!$B$52:$B$58,MIN(MATCH(MAX(4,DATOS!$C$71),TABLAS!$B$52:$B$58,0)+1,7)),IF(AND(BM46&gt;=0,IF(MAX(DATOS!$C$74,CEILING(BM46/INDEX(TABLAS!$D$52:$D$58,MIN(MATCH(MAX(4,DATOS!$C$71),TABLAS!$B$52:$B$58,0)+2,7)),1))*INDEX(TABLAS!$D$52:$D$58,MIN(MATCH(MAX(4,DATOS!$C$71),TABLAS!$B$52:$B$58,0)+2,7)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+2,7)),1)),MAX(MAX(DATOS!$C$74,CEILING(BM46/INDEX(TABLAS!$D$52:$D$58,MIN(MATCH(MAX(4,DATOS!$C$71),TABLAS!$B$52:$B$58,0)+2,7)),1)),2))&lt;=MIN(DATOS!$C$73,INT(((AD46-2*AK46)+MAX(DATOS!$C$70,INDEX(TABLAS!$C$52:$C$58,MIN(MATCH(MAX(4,DATOS!$C$71),TABLAS!$B$52:$B$58,0)+2,7))))/(INDEX(TABLAS!$C$52:$C$58,MIN(MATCH(MAX(4,DATOS!$C$71),TABLAS!$B$52:$B$58,0)+2,7))+MAX(DATOS!$C$70,INDEX(TABLAS!$C$52:$C$58,MIN(MATCH(MAX(4,DATOS!$C$71),TABLAS!$B$52:$B$58,0)+2,7))))))),INDEX(TABLAS!$B$52:$B$58,MIN(MATCH(MAX(4,DATOS!$C$71),TABLAS!$B$52:$B$58,0)+2,7)),IF(AND(BM46&gt;=0,IF(MAX(DATOS!$C$74,CEILING(BM46/INDEX(TABLAS!$D$52:$D$58,MIN(MATCH(MAX(4,DATOS!$C$71),TABLAS!$B$52:$B$58,0)+3,7)),1))*INDEX(TABLAS!$D$52:$D$58,MIN(MATCH(MAX(4,DATOS!$C$71),TABLAS!$B$52:$B$58,0)+3,7)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+3,7)),1)),MAX(MAX(DATOS!$C$74,CEILING(BM46/INDEX(TABLAS!$D$52:$D$58,MIN(MATCH(MAX(4,DATOS!$C$71),TABLAS!$B$52:$B$58,0)+3,7)),1)),2))&lt;=MIN(DATOS!$C$73,INT(((AD46-2*AK46)+MAX(DATOS!$C$70,INDEX(TABLAS!$C$52:$C$58,MIN(MATCH(MAX(4,DATOS!$C$71),TABLAS!$B$52:$B$58,0)+3,7))))/(INDEX(TABLAS!$C$52:$C$58,MIN(MATCH(MAX(4,DATOS!$C$71),TABLAS!$B$52:$B$58,0)+3,7))+MAX(DATOS!$C$70,INDEX(TABLAS!$C$52:$C$58,MIN(MATCH(MAX(4,DATOS!$C$71),TABLAS!$B$52:$B$58,0)+3,7))))))),INDEX(TABLAS!$B$52:$B$58,MIN(MATCH(MAX(4,DATOS!$C$71),TABLAS!$B$52:$B$58,0)+3,7)),IF(AND(BM46&gt;=0,IF(MAX(DATOS!$C$74,CEILING(BM46/INDEX(TABLAS!$D$52:$D$58,MIN(MATCH(MAX(4,DATOS!$C$71),TABLAS!$B$52:$B$58,0)+4,7)),1))*INDEX(TABLAS!$D$52:$D$58,MIN(MATCH(MAX(4,DATOS!$C$71),TABLAS!$B$52:$B$58,0)+4,7)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+4,7)),1)),MAX(MAX(DATOS!$C$74,CEILING(BM46/INDEX(TABLAS!$D$52:$D$58,MIN(MATCH(MAX(4,DATOS!$C$71),TABLAS!$B$52:$B$58,0)+4,7)),1)),2))&lt;=MIN(DATOS!$C$73,INT(((AD46-2*AK46)+MAX(DATOS!$C$70,INDEX(TABLAS!$C$52:$C$58,MIN(MATCH(MAX(4,DATOS!$C$71),TABLAS!$B$52:$B$58,0)+4,7))))/(INDEX(TABLAS!$C$52:$C$58,MIN(MATCH(MAX(4,DATOS!$C$71),TABLAS!$B$52:$B$58,0)+4,7))+MAX(DATOS!$C$70,INDEX(TABLAS!$C$52:$C$58,MIN(MATCH(MAX(4,DATOS!$C$71),TABLAS!$B$52:$B$58,0)+4,7))))))),INDEX(TABLAS!$B$52:$B$58,MIN(MATCH(MAX(4,DATOS!$C$71),TABLAS!$B$52:$B$58,0)+4,7)),INDEX(TABLAS!$B$52:$B$58,7)))))))</f>
        <v/>
      </c>
      <c r="BO46" s="59" t="str">
        <f>IF(V46&lt;&gt;"SÍ","",IF(BM46&lt;0,0,IF(MAX(DATOS!$C$74,CEILING(MAX(BM46,0)/INDEX(TABLAS!$D$52:$D$58,MATCH(BN46,TABLAS!$B$52:$B$58,0)),1))*INDEX(TABLAS!$D$52:$D$58,MATCH(BN46,TABLAS!$B$52:$B$58,0))&gt;=4/3*IF(BG46&lt;=0,0,IF((1-2*BG46*1E5/(DATOS!$C$29*AH46*BL46^2*DATOS!$C$21))&lt;0,-1,IF((1-SQRT((1-2*BG46*1E5/(DATOS!$C$29*AH46*BL46^2*DATOS!$C$21))))*DATOS!$C$21*AH46*BL46/DATOS!$C$14&gt;DATOS!$C$102*AH46*BL46,-1,(1-SQRT((1-2*BG46*1E5/(DATOS!$C$29*AH46*BL46^2*DATOS!$C$21))))*DATOS!$C$21*AH46*BL46/DATOS!$C$14)))-0.0001,MAX(DATOS!$C$74,CEILING(MAX(BM46,0)/INDEX(TABLAS!$D$52:$D$58,MATCH(BN46,TABLAS!$B$52:$B$58,0)),1)),MAX(MAX(DATOS!$C$74,CEILING(MAX(BM46,0)/INDEX(TABLAS!$D$52:$D$58,MATCH(BN46,TABLAS!$B$52:$B$58,0)),1)),2))))</f>
        <v/>
      </c>
      <c r="BP46" s="58" t="str">
        <f>IF(V46&lt;&gt;"SÍ","",DATOS!$C$85-AK46-INDEX(TABLAS!$C$52:$C$58,MATCH(BN46,TABLAS!$B$52:$B$58,0))/2)</f>
        <v/>
      </c>
      <c r="BQ46" s="56" t="str">
        <f>IF(V46&lt;&gt;"SÍ","",IF(BO46=0,0,DATOS!$C$29*BO46*INDEX(TABLAS!$D$52:$D$58,MATCH(BN46,TABLAS!$B$52:$B$58,0))*DATOS!$C$14*(BP46-BO46*INDEX(TABLAS!$D$52:$D$58,MATCH(BN46,TABLAS!$B$52:$B$58,0))*DATOS!$C$14/(DATOS!$C$21*AH46)/2)/1E5))</f>
        <v/>
      </c>
      <c r="BR46" s="65" t="str">
        <f>IF(V46&lt;&gt;"SÍ","",IF(BM46&lt;0,9.99,IF(BQ46&gt;0,BG46/BQ46,0)))</f>
        <v/>
      </c>
      <c r="BS46" s="66" t="str">
        <f>IF(V46&lt;&gt;"SÍ","",IF(BO46=0,"—",0.003*(BP46-(BO46*INDEX(TABLAS!$D$52:$D$58,MATCH(BN46,TABLAS!$B$52:$B$58,0))*DATOS!$C$14/(DATOS!$C$21*AH46)/DATOS!$C$22))/(BO46*INDEX(TABLAS!$D$52:$D$58,MATCH(BN46,TABLAS!$B$52:$B$58,0))*DATOS!$C$14/(DATOS!$C$21*AH46)/DATOS!$C$22)))</f>
        <v/>
      </c>
      <c r="BT46" s="58" t="str">
        <f>IF(V46&lt;&gt;"SÍ","",((DATOS!$C$85-AM46-2*DATOS!$C$97-INDEX(TABLAS!$C$52:$C$58,MATCH(MAX(4,DATOS!$C$72),TABLAS!$B$52:$B$58,0))/2)-IF(AND((DATOS!$C$85-AM46-2*DATOS!$C$97-INDEX(TABLAS!$C$52:$C$58,MATCH(MAX(4,DATOS!$C$72),TABLAS!$B$52:$B$58,0))/2)&lt;=20,DATOS!$C$65&lt;&gt;"SÍ"),2,0)))</f>
        <v/>
      </c>
      <c r="BU46" s="58" t="str">
        <f>IF(V46&lt;&gt;"SÍ","",IF(IF(BH46&lt;=0,0,IF((1-2*BH46*1E5/(DATOS!$C$29*AF46*BT46^2*DATOS!$C$21))&lt;0,-1,IF((1-SQRT((1-2*BH46*1E5/(DATOS!$C$29*AF46*BT46^2*DATOS!$C$21))))*DATOS!$C$21*AF46*BT46/DATOS!$C$14&gt;DATOS!$C$102*AF46*BT46,-1,(1-SQRT((1-2*BH46*1E5/(DATOS!$C$29*AF46*BT46^2*DATOS!$C$21))))*DATOS!$C$21*AF46*BT46/DATOS!$C$14)))&lt;0,-1,MAX(IF(BH46&lt;=0,0,IF((1-2*BH46*1E5/(DATOS!$C$29*AF46*BT46^2*DATOS!$C$21))&lt;0,-1,IF((1-SQRT((1-2*BH46*1E5/(DATOS!$C$29*AF46*BT46^2*DATOS!$C$21))))*DATOS!$C$21*AF46*BT46/DATOS!$C$14&gt;DATOS!$C$102*AF46*BT46,-1,(1-SQRT((1-2*BH46*1E5/(DATOS!$C$29*AF46*BT46^2*DATOS!$C$21))))*DATOS!$C$21*AF46*BT46/DATOS!$C$14))),MIN(DATOS!$C$103*IF(C46="VOLADO",MIN(AH46,2*AD46),AD46)*BT46,4/3*IF(BH46&lt;=0,0,IF((1-2*BH46*1E5/(DATOS!$C$29*AF46*BT46^2*DATOS!$C$21))&lt;0,-1,IF((1-SQRT((1-2*BH46*1E5/(DATOS!$C$29*AF46*BT46^2*DATOS!$C$21))))*DATOS!$C$21*AF46*BT46/DATOS!$C$14&gt;DATOS!$C$102*AF46*BT46,-1,(1-SQRT((1-2*BH46*1E5/(DATOS!$C$29*AF46*BT46^2*DATOS!$C$21))))*DATOS!$C$21*AF46*BT46/DATOS!$C$14)))))))</f>
        <v/>
      </c>
      <c r="BV46" s="64" t="str">
        <f>IF(V46&lt;&gt;"SÍ","",IF(AND(BU46&gt;=0,IF(MAX(DATOS!$C$74,CEILING(BU46/INDEX(TABLAS!$D$52:$D$58,MIN(MATCH(MAX(4,DATOS!$C$72),TABLAS!$B$52:$B$58,0)+0,7)),1))*INDEX(TABLAS!$D$52:$D$58,MIN(MATCH(MAX(4,DATOS!$C$72),TABLAS!$B$52:$B$58,0)+0,7)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+0,7)),1)),MAX(MAX(DATOS!$C$74,CEILING(BU46/INDEX(TABLAS!$D$52:$D$58,MIN(MATCH(MAX(4,DATOS!$C$72),TABLAS!$B$52:$B$58,0)+0,7)),1)),2))&lt;=MIN(DATOS!$C$73,INT(((AD46-2*AL46)+MAX(DATOS!$C$70,INDEX(TABLAS!$C$52:$C$58,MIN(MATCH(MAX(4,DATOS!$C$72),TABLAS!$B$52:$B$58,0)+0,7))))/(INDEX(TABLAS!$C$52:$C$58,MIN(MATCH(MAX(4,DATOS!$C$72),TABLAS!$B$52:$B$58,0)+0,7))+MAX(DATOS!$C$70,INDEX(TABLAS!$C$52:$C$58,MIN(MATCH(MAX(4,DATOS!$C$72),TABLAS!$B$52:$B$58,0)+0,7))))))),INDEX(TABLAS!$B$52:$B$58,MIN(MATCH(MAX(4,DATOS!$C$72),TABLAS!$B$52:$B$58,0)+0,7)),IF(AND(BU46&gt;=0,IF(MAX(DATOS!$C$74,CEILING(BU46/INDEX(TABLAS!$D$52:$D$58,MIN(MATCH(MAX(4,DATOS!$C$72),TABLAS!$B$52:$B$58,0)+1,7)),1))*INDEX(TABLAS!$D$52:$D$58,MIN(MATCH(MAX(4,DATOS!$C$72),TABLAS!$B$52:$B$58,0)+1,7)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+1,7)),1)),MAX(MAX(DATOS!$C$74,CEILING(BU46/INDEX(TABLAS!$D$52:$D$58,MIN(MATCH(MAX(4,DATOS!$C$72),TABLAS!$B$52:$B$58,0)+1,7)),1)),2))&lt;=MIN(DATOS!$C$73,INT(((AD46-2*AL46)+MAX(DATOS!$C$70,INDEX(TABLAS!$C$52:$C$58,MIN(MATCH(MAX(4,DATOS!$C$72),TABLAS!$B$52:$B$58,0)+1,7))))/(INDEX(TABLAS!$C$52:$C$58,MIN(MATCH(MAX(4,DATOS!$C$72),TABLAS!$B$52:$B$58,0)+1,7))+MAX(DATOS!$C$70,INDEX(TABLAS!$C$52:$C$58,MIN(MATCH(MAX(4,DATOS!$C$72),TABLAS!$B$52:$B$58,0)+1,7))))))),INDEX(TABLAS!$B$52:$B$58,MIN(MATCH(MAX(4,DATOS!$C$72),TABLAS!$B$52:$B$58,0)+1,7)),IF(AND(BU46&gt;=0,IF(MAX(DATOS!$C$74,CEILING(BU46/INDEX(TABLAS!$D$52:$D$58,MIN(MATCH(MAX(4,DATOS!$C$72),TABLAS!$B$52:$B$58,0)+2,7)),1))*INDEX(TABLAS!$D$52:$D$58,MIN(MATCH(MAX(4,DATOS!$C$72),TABLAS!$B$52:$B$58,0)+2,7)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+2,7)),1)),MAX(MAX(DATOS!$C$74,CEILING(BU46/INDEX(TABLAS!$D$52:$D$58,MIN(MATCH(MAX(4,DATOS!$C$72),TABLAS!$B$52:$B$58,0)+2,7)),1)),2))&lt;=MIN(DATOS!$C$73,INT(((AD46-2*AL46)+MAX(DATOS!$C$70,INDEX(TABLAS!$C$52:$C$58,MIN(MATCH(MAX(4,DATOS!$C$72),TABLAS!$B$52:$B$58,0)+2,7))))/(INDEX(TABLAS!$C$52:$C$58,MIN(MATCH(MAX(4,DATOS!$C$72),TABLAS!$B$52:$B$58,0)+2,7))+MAX(DATOS!$C$70,INDEX(TABLAS!$C$52:$C$58,MIN(MATCH(MAX(4,DATOS!$C$72),TABLAS!$B$52:$B$58,0)+2,7))))))),INDEX(TABLAS!$B$52:$B$58,MIN(MATCH(MAX(4,DATOS!$C$72),TABLAS!$B$52:$B$58,0)+2,7)),IF(AND(BU46&gt;=0,IF(MAX(DATOS!$C$74,CEILING(BU46/INDEX(TABLAS!$D$52:$D$58,MIN(MATCH(MAX(4,DATOS!$C$72),TABLAS!$B$52:$B$58,0)+3,7)),1))*INDEX(TABLAS!$D$52:$D$58,MIN(MATCH(MAX(4,DATOS!$C$72),TABLAS!$B$52:$B$58,0)+3,7)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+3,7)),1)),MAX(MAX(DATOS!$C$74,CEILING(BU46/INDEX(TABLAS!$D$52:$D$58,MIN(MATCH(MAX(4,DATOS!$C$72),TABLAS!$B$52:$B$58,0)+3,7)),1)),2))&lt;=MIN(DATOS!$C$73,INT(((AD46-2*AL46)+MAX(DATOS!$C$70,INDEX(TABLAS!$C$52:$C$58,MIN(MATCH(MAX(4,DATOS!$C$72),TABLAS!$B$52:$B$58,0)+3,7))))/(INDEX(TABLAS!$C$52:$C$58,MIN(MATCH(MAX(4,DATOS!$C$72),TABLAS!$B$52:$B$58,0)+3,7))+MAX(DATOS!$C$70,INDEX(TABLAS!$C$52:$C$58,MIN(MATCH(MAX(4,DATOS!$C$72),TABLAS!$B$52:$B$58,0)+3,7))))))),INDEX(TABLAS!$B$52:$B$58,MIN(MATCH(MAX(4,DATOS!$C$72),TABLAS!$B$52:$B$58,0)+3,7)),IF(AND(BU46&gt;=0,IF(MAX(DATOS!$C$74,CEILING(BU46/INDEX(TABLAS!$D$52:$D$58,MIN(MATCH(MAX(4,DATOS!$C$72),TABLAS!$B$52:$B$58,0)+4,7)),1))*INDEX(TABLAS!$D$52:$D$58,MIN(MATCH(MAX(4,DATOS!$C$72),TABLAS!$B$52:$B$58,0)+4,7)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+4,7)),1)),MAX(MAX(DATOS!$C$74,CEILING(BU46/INDEX(TABLAS!$D$52:$D$58,MIN(MATCH(MAX(4,DATOS!$C$72),TABLAS!$B$52:$B$58,0)+4,7)),1)),2))&lt;=MIN(DATOS!$C$73,INT(((AD46-2*AL46)+MAX(DATOS!$C$70,INDEX(TABLAS!$C$52:$C$58,MIN(MATCH(MAX(4,DATOS!$C$72),TABLAS!$B$52:$B$58,0)+4,7))))/(INDEX(TABLAS!$C$52:$C$58,MIN(MATCH(MAX(4,DATOS!$C$72),TABLAS!$B$52:$B$58,0)+4,7))+MAX(DATOS!$C$70,INDEX(TABLAS!$C$52:$C$58,MIN(MATCH(MAX(4,DATOS!$C$72),TABLAS!$B$52:$B$58,0)+4,7))))))),INDEX(TABLAS!$B$52:$B$58,MIN(MATCH(MAX(4,DATOS!$C$72),TABLAS!$B$52:$B$58,0)+4,7)),INDEX(TABLAS!$B$52:$B$58,7)))))))</f>
        <v/>
      </c>
      <c r="BW46" s="59" t="str">
        <f>IF(V46&lt;&gt;"SÍ","",IF(BU46&lt;0,0,IF(MAX(DATOS!$C$74,CEILING(MAX(BU46,0)/INDEX(TABLAS!$D$52:$D$58,MATCH(BV46,TABLAS!$B$52:$B$58,0)),1))*INDEX(TABLAS!$D$52:$D$58,MATCH(BV46,TABLAS!$B$52:$B$58,0))&gt;=4/3*IF(BH46&lt;=0,0,IF((1-2*BH46*1E5/(DATOS!$C$29*AF46*BT46^2*DATOS!$C$21))&lt;0,-1,IF((1-SQRT((1-2*BH46*1E5/(DATOS!$C$29*AF46*BT46^2*DATOS!$C$21))))*DATOS!$C$21*AF46*BT46/DATOS!$C$14&gt;DATOS!$C$102*AF46*BT46,-1,(1-SQRT((1-2*BH46*1E5/(DATOS!$C$29*AF46*BT46^2*DATOS!$C$21))))*DATOS!$C$21*AF46*BT46/DATOS!$C$14)))-0.0001,MAX(DATOS!$C$74,CEILING(MAX(BU46,0)/INDEX(TABLAS!$D$52:$D$58,MATCH(BV46,TABLAS!$B$52:$B$58,0)),1)),MAX(MAX(DATOS!$C$74,CEILING(MAX(BU46,0)/INDEX(TABLAS!$D$52:$D$58,MATCH(BV46,TABLAS!$B$52:$B$58,0)),1)),2))))</f>
        <v/>
      </c>
      <c r="BX46" s="58" t="str">
        <f>IF(V46&lt;&gt;"SÍ","",((DATOS!$C$85-AM46-2*DATOS!$C$97-INDEX(TABLAS!$C$52:$C$58,MATCH(BV46,TABLAS!$B$52:$B$58,0))/2)-IF(AND((DATOS!$C$85-AM46-2*DATOS!$C$97-INDEX(TABLAS!$C$52:$C$58,MATCH(BV46,TABLAS!$B$52:$B$58,0))/2)&lt;=20,DATOS!$C$65&lt;&gt;"SÍ"),2,0)))</f>
        <v/>
      </c>
      <c r="BY46" s="56" t="str">
        <f>IF(V46&lt;&gt;"SÍ","",IF(BW46=0,0,DATOS!$C$29*BW46*INDEX(TABLAS!$D$52:$D$58,MATCH(BV46,TABLAS!$B$52:$B$58,0))*DATOS!$C$14*(BX46-BW46*INDEX(TABLAS!$D$52:$D$58,MATCH(BV46,TABLAS!$B$52:$B$58,0))*DATOS!$C$14/(DATOS!$C$21*AF46)/2)/1E5))</f>
        <v/>
      </c>
      <c r="BZ46" s="65" t="str">
        <f>IF(V46&lt;&gt;"SÍ","",IF(BU46&lt;0,9.99,IF(BY46&gt;0,BH46/BY46,0)))</f>
        <v/>
      </c>
      <c r="CA46" s="66" t="str">
        <f>IF(V46&lt;&gt;"SÍ","",IF(BW46=0,"—",0.003*(BX46-(BW46*INDEX(TABLAS!$D$52:$D$58,MATCH(BV46,TABLAS!$B$52:$B$58,0))*DATOS!$C$14/(DATOS!$C$21*AF46)/DATOS!$C$22))/(BW46*INDEX(TABLAS!$D$52:$D$58,MATCH(BV46,TABLAS!$B$52:$B$58,0))*DATOS!$C$14/(DATOS!$C$21*AF46)/DATOS!$C$22)))</f>
        <v/>
      </c>
      <c r="CB46" s="58" t="str">
        <f>IF(V46&lt;&gt;"SÍ","",(DATOS!$C$85-AK46-INDEX(TABLAS!$C$52:$C$58,MATCH(MAX(4,DATOS!$C$71),TABLAS!$B$52:$B$58,0))-INDEX(TABLAS!$C$52:$C$58,MATCH(MAX(4,DATOS!$C$71),TABLAS!$B$52:$B$58,0))/2))</f>
        <v/>
      </c>
      <c r="CC46" s="58" t="str">
        <f>IF(V46&lt;&gt;"SÍ","",IF(IF(BI46&lt;=0,0,IF((1-2*BI46*1E5/(DATOS!$C$29*AI46*CB46^2*DATOS!$C$21))&lt;0,-1,IF((1-SQRT((1-2*BI46*1E5/(DATOS!$C$29*AI46*CB46^2*DATOS!$C$21))))*DATOS!$C$21*AI46*CB46/DATOS!$C$14&gt;DATOS!$C$102*AI46*CB46,-1,(1-SQRT((1-2*BI46*1E5/(DATOS!$C$29*AI46*CB46^2*DATOS!$C$21))))*DATOS!$C$21*AI46*CB46/DATOS!$C$14)))&lt;0,-1,MAX(IF(BI46&lt;=0,0,IF((1-2*BI46*1E5/(DATOS!$C$29*AI46*CB46^2*DATOS!$C$21))&lt;0,-1,IF((1-SQRT((1-2*BI46*1E5/(DATOS!$C$29*AI46*CB46^2*DATOS!$C$21))))*DATOS!$C$21*AI46*CB46/DATOS!$C$14&gt;DATOS!$C$102*AI46*CB46,-1,(1-SQRT((1-2*BI46*1E5/(DATOS!$C$29*AI46*CB46^2*DATOS!$C$21))))*DATOS!$C$21*AI46*CB46/DATOS!$C$14))),MIN(DATOS!$C$103*DATOS!$C$83*CB46,4/3*IF(BI46&lt;=0,0,IF((1-2*BI46*1E5/(DATOS!$C$29*AI46*CB46^2*DATOS!$C$21))&lt;0,-1,IF((1-SQRT((1-2*BI46*1E5/(DATOS!$C$29*AI46*CB46^2*DATOS!$C$21))))*DATOS!$C$21*AI46*CB46/DATOS!$C$14&gt;DATOS!$C$102*AI46*CB46,-1,(1-SQRT((1-2*BI46*1E5/(DATOS!$C$29*AI46*CB46^2*DATOS!$C$21))))*DATOS!$C$21*AI46*CB46/DATOS!$C$14)))))))</f>
        <v/>
      </c>
      <c r="CD46" s="64" t="str">
        <f>IF(V46&lt;&gt;"SÍ","",IF(AND(CC46&gt;=0,IF(MAX(DATOS!$C$74,CEILING(CC46/INDEX(TABLAS!$D$52:$D$58,MIN(MATCH(MAX(4,DATOS!$C$71),TABLAS!$B$52:$B$58,0)+0,7)),1))*INDEX(TABLAS!$D$52:$D$58,MIN(MATCH(MAX(4,DATOS!$C$71),TABLAS!$B$52:$B$58,0)+0,7)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+0,7)),1)),MAX(MAX(DATOS!$C$74,CEILING(CC46/INDEX(TABLAS!$D$52:$D$58,MIN(MATCH(MAX(4,DATOS!$C$71),TABLAS!$B$52:$B$58,0)+0,7)),1)),2))&lt;=MIN(DATOS!$C$73,INT(((DATOS!$C$83-2*AK46)+MAX(DATOS!$C$70,INDEX(TABLAS!$C$52:$C$58,MIN(MATCH(MAX(4,DATOS!$C$71),TABLAS!$B$52:$B$58,0)+0,7))))/(INDEX(TABLAS!$C$52:$C$58,MIN(MATCH(MAX(4,DATOS!$C$71),TABLAS!$B$52:$B$58,0)+0,7))+MAX(DATOS!$C$70,INDEX(TABLAS!$C$52:$C$58,MIN(MATCH(MAX(4,DATOS!$C$71),TABLAS!$B$52:$B$58,0)+0,7))))))),INDEX(TABLAS!$B$52:$B$58,MIN(MATCH(MAX(4,DATOS!$C$71),TABLAS!$B$52:$B$58,0)+0,7)),IF(AND(CC46&gt;=0,IF(MAX(DATOS!$C$74,CEILING(CC46/INDEX(TABLAS!$D$52:$D$58,MIN(MATCH(MAX(4,DATOS!$C$71),TABLAS!$B$52:$B$58,0)+1,7)),1))*INDEX(TABLAS!$D$52:$D$58,MIN(MATCH(MAX(4,DATOS!$C$71),TABLAS!$B$52:$B$58,0)+1,7)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+1,7)),1)),MAX(MAX(DATOS!$C$74,CEILING(CC46/INDEX(TABLAS!$D$52:$D$58,MIN(MATCH(MAX(4,DATOS!$C$71),TABLAS!$B$52:$B$58,0)+1,7)),1)),2))&lt;=MIN(DATOS!$C$73,INT(((DATOS!$C$83-2*AK46)+MAX(DATOS!$C$70,INDEX(TABLAS!$C$52:$C$58,MIN(MATCH(MAX(4,DATOS!$C$71),TABLAS!$B$52:$B$58,0)+1,7))))/(INDEX(TABLAS!$C$52:$C$58,MIN(MATCH(MAX(4,DATOS!$C$71),TABLAS!$B$52:$B$58,0)+1,7))+MAX(DATOS!$C$70,INDEX(TABLAS!$C$52:$C$58,MIN(MATCH(MAX(4,DATOS!$C$71),TABLAS!$B$52:$B$58,0)+1,7))))))),INDEX(TABLAS!$B$52:$B$58,MIN(MATCH(MAX(4,DATOS!$C$71),TABLAS!$B$52:$B$58,0)+1,7)),IF(AND(CC46&gt;=0,IF(MAX(DATOS!$C$74,CEILING(CC46/INDEX(TABLAS!$D$52:$D$58,MIN(MATCH(MAX(4,DATOS!$C$71),TABLAS!$B$52:$B$58,0)+2,7)),1))*INDEX(TABLAS!$D$52:$D$58,MIN(MATCH(MAX(4,DATOS!$C$71),TABLAS!$B$52:$B$58,0)+2,7)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+2,7)),1)),MAX(MAX(DATOS!$C$74,CEILING(CC46/INDEX(TABLAS!$D$52:$D$58,MIN(MATCH(MAX(4,DATOS!$C$71),TABLAS!$B$52:$B$58,0)+2,7)),1)),2))&lt;=MIN(DATOS!$C$73,INT(((DATOS!$C$83-2*AK46)+MAX(DATOS!$C$70,INDEX(TABLAS!$C$52:$C$58,MIN(MATCH(MAX(4,DATOS!$C$71),TABLAS!$B$52:$B$58,0)+2,7))))/(INDEX(TABLAS!$C$52:$C$58,MIN(MATCH(MAX(4,DATOS!$C$71),TABLAS!$B$52:$B$58,0)+2,7))+MAX(DATOS!$C$70,INDEX(TABLAS!$C$52:$C$58,MIN(MATCH(MAX(4,DATOS!$C$71),TABLAS!$B$52:$B$58,0)+2,7))))))),INDEX(TABLAS!$B$52:$B$58,MIN(MATCH(MAX(4,DATOS!$C$71),TABLAS!$B$52:$B$58,0)+2,7)),IF(AND(CC46&gt;=0,IF(MAX(DATOS!$C$74,CEILING(CC46/INDEX(TABLAS!$D$52:$D$58,MIN(MATCH(MAX(4,DATOS!$C$71),TABLAS!$B$52:$B$58,0)+3,7)),1))*INDEX(TABLAS!$D$52:$D$58,MIN(MATCH(MAX(4,DATOS!$C$71),TABLAS!$B$52:$B$58,0)+3,7)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+3,7)),1)),MAX(MAX(DATOS!$C$74,CEILING(CC46/INDEX(TABLAS!$D$52:$D$58,MIN(MATCH(MAX(4,DATOS!$C$71),TABLAS!$B$52:$B$58,0)+3,7)),1)),2))&lt;=MIN(DATOS!$C$73,INT(((DATOS!$C$83-2*AK46)+MAX(DATOS!$C$70,INDEX(TABLAS!$C$52:$C$58,MIN(MATCH(MAX(4,DATOS!$C$71),TABLAS!$B$52:$B$58,0)+3,7))))/(INDEX(TABLAS!$C$52:$C$58,MIN(MATCH(MAX(4,DATOS!$C$71),TABLAS!$B$52:$B$58,0)+3,7))+MAX(DATOS!$C$70,INDEX(TABLAS!$C$52:$C$58,MIN(MATCH(MAX(4,DATOS!$C$71),TABLAS!$B$52:$B$58,0)+3,7))))))),INDEX(TABLAS!$B$52:$B$58,MIN(MATCH(MAX(4,DATOS!$C$71),TABLAS!$B$52:$B$58,0)+3,7)),IF(AND(CC46&gt;=0,IF(MAX(DATOS!$C$74,CEILING(CC46/INDEX(TABLAS!$D$52:$D$58,MIN(MATCH(MAX(4,DATOS!$C$71),TABLAS!$B$52:$B$58,0)+4,7)),1))*INDEX(TABLAS!$D$52:$D$58,MIN(MATCH(MAX(4,DATOS!$C$71),TABLAS!$B$52:$B$58,0)+4,7)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+4,7)),1)),MAX(MAX(DATOS!$C$74,CEILING(CC46/INDEX(TABLAS!$D$52:$D$58,MIN(MATCH(MAX(4,DATOS!$C$71),TABLAS!$B$52:$B$58,0)+4,7)),1)),2))&lt;=MIN(DATOS!$C$73,INT(((DATOS!$C$83-2*AK46)+MAX(DATOS!$C$70,INDEX(TABLAS!$C$52:$C$58,MIN(MATCH(MAX(4,DATOS!$C$71),TABLAS!$B$52:$B$58,0)+4,7))))/(INDEX(TABLAS!$C$52:$C$58,MIN(MATCH(MAX(4,DATOS!$C$71),TABLAS!$B$52:$B$58,0)+4,7))+MAX(DATOS!$C$70,INDEX(TABLAS!$C$52:$C$58,MIN(MATCH(MAX(4,DATOS!$C$71),TABLAS!$B$52:$B$58,0)+4,7))))))),INDEX(TABLAS!$B$52:$B$58,MIN(MATCH(MAX(4,DATOS!$C$71),TABLAS!$B$52:$B$58,0)+4,7)),INDEX(TABLAS!$B$52:$B$58,7)))))))</f>
        <v/>
      </c>
      <c r="CE46" s="59" t="str">
        <f>IF(V46&lt;&gt;"SÍ","",IF(CC46&lt;0,0,IF(MAX(DATOS!$C$74,CEILING(MAX(CC46,0)/INDEX(TABLAS!$D$52:$D$58,MATCH(CD46,TABLAS!$B$52:$B$58,0)),1))*INDEX(TABLAS!$D$52:$D$58,MATCH(CD46,TABLAS!$B$52:$B$58,0))&gt;=4/3*IF(BI46&lt;=0,0,IF((1-2*BI46*1E5/(DATOS!$C$29*AI46*CB46^2*DATOS!$C$21))&lt;0,-1,IF((1-SQRT((1-2*BI46*1E5/(DATOS!$C$29*AI46*CB46^2*DATOS!$C$21))))*DATOS!$C$21*AI46*CB46/DATOS!$C$14&gt;DATOS!$C$102*AI46*CB46,-1,(1-SQRT((1-2*BI46*1E5/(DATOS!$C$29*AI46*CB46^2*DATOS!$C$21))))*DATOS!$C$21*AI46*CB46/DATOS!$C$14)))-0.0001,MAX(DATOS!$C$74,CEILING(MAX(CC46,0)/INDEX(TABLAS!$D$52:$D$58,MATCH(CD46,TABLAS!$B$52:$B$58,0)),1)),MAX(MAX(DATOS!$C$74,CEILING(MAX(CC46,0)/INDEX(TABLAS!$D$52:$D$58,MATCH(CD46,TABLAS!$B$52:$B$58,0)),1)),2))))</f>
        <v/>
      </c>
      <c r="CF46" s="58" t="str">
        <f>IF(V46&lt;&gt;"SÍ","",DATOS!$C$85-AK46-INDEX(TABLAS!$C$52:$C$58,MATCH(BN46,TABLAS!$B$52:$B$58,0))-INDEX(TABLAS!$C$52:$C$58,MATCH(CD46,TABLAS!$B$52:$B$58,0))/2)</f>
        <v/>
      </c>
      <c r="CG46" s="56" t="str">
        <f>IF(V46&lt;&gt;"SÍ","",IF(CE46=0,0,DATOS!$C$29*CE46*INDEX(TABLAS!$D$52:$D$58,MATCH(CD46,TABLAS!$B$52:$B$58,0))*DATOS!$C$14*(CF46-CE46*INDEX(TABLAS!$D$52:$D$58,MATCH(CD46,TABLAS!$B$52:$B$58,0))*DATOS!$C$14/(DATOS!$C$21*AI46)/2)/1E5))</f>
        <v/>
      </c>
      <c r="CH46" s="65" t="str">
        <f>IF(V46&lt;&gt;"SÍ","",IF(CC46&lt;0,9.99,IF(CG46&gt;0,BI46/CG46,0)))</f>
        <v/>
      </c>
      <c r="CI46" s="66" t="str">
        <f>IF(V46&lt;&gt;"SÍ","",IF(CE46=0,"—",0.003*(CF46-(CE46*INDEX(TABLAS!$D$52:$D$58,MATCH(CD46,TABLAS!$B$52:$B$58,0))*DATOS!$C$14/(DATOS!$C$21*AI46)/DATOS!$C$22))/(CE46*INDEX(TABLAS!$D$52:$D$58,MATCH(CD46,TABLAS!$B$52:$B$58,0))*DATOS!$C$14/(DATOS!$C$21*AI46)/DATOS!$C$22)))</f>
        <v/>
      </c>
      <c r="CJ46" s="58" t="str">
        <f>IF(V46&lt;&gt;"SÍ","",((DATOS!$C$85-AM46-2*DATOS!$C$97-INDEX(TABLAS!$C$52:$C$58,MATCH(MAX(4,DATOS!$C$72),TABLAS!$B$52:$B$58,0))-INDEX(TABLAS!$C$52:$C$58,MATCH(MAX(4,DATOS!$C$72),TABLAS!$B$52:$B$58,0))/2)-IF(AND((DATOS!$C$85-AM46-2*DATOS!$C$97-INDEX(TABLAS!$C$52:$C$58,MATCH(MAX(4,DATOS!$C$72),TABLAS!$B$52:$B$58,0))-INDEX(TABLAS!$C$52:$C$58,MATCH(MAX(4,DATOS!$C$72),TABLAS!$B$52:$B$58,0))/2)&lt;=20,DATOS!$C$65&lt;&gt;"SÍ"),2,0)))</f>
        <v/>
      </c>
      <c r="CK46" s="58" t="str">
        <f>IF(V46&lt;&gt;"SÍ","",IF(IF(BJ46&lt;=0,0,IF((1-2*BJ46*1E5/(DATOS!$C$29*AG46*CJ46^2*DATOS!$C$21))&lt;0,-1,IF((1-SQRT((1-2*BJ46*1E5/(DATOS!$C$29*AG46*CJ46^2*DATOS!$C$21))))*DATOS!$C$21*AG46*CJ46/DATOS!$C$14&gt;DATOS!$C$102*AG46*CJ46,-1,(1-SQRT((1-2*BJ46*1E5/(DATOS!$C$29*AG46*CJ46^2*DATOS!$C$21))))*DATOS!$C$21*AG46*CJ46/DATOS!$C$14)))&lt;0,-1,MAX(IF(BJ46&lt;=0,0,IF((1-2*BJ46*1E5/(DATOS!$C$29*AG46*CJ46^2*DATOS!$C$21))&lt;0,-1,IF((1-SQRT((1-2*BJ46*1E5/(DATOS!$C$29*AG46*CJ46^2*DATOS!$C$21))))*DATOS!$C$21*AG46*CJ46/DATOS!$C$14&gt;DATOS!$C$102*AG46*CJ46,-1,(1-SQRT((1-2*BJ46*1E5/(DATOS!$C$29*AG46*CJ46^2*DATOS!$C$21))))*DATOS!$C$21*AG46*CJ46/DATOS!$C$14))),MIN(DATOS!$C$103*DATOS!$C$83*CJ46,4/3*IF(BJ46&lt;=0,0,IF((1-2*BJ46*1E5/(DATOS!$C$29*AG46*CJ46^2*DATOS!$C$21))&lt;0,-1,IF((1-SQRT((1-2*BJ46*1E5/(DATOS!$C$29*AG46*CJ46^2*DATOS!$C$21))))*DATOS!$C$21*AG46*CJ46/DATOS!$C$14&gt;DATOS!$C$102*AG46*CJ46,-1,(1-SQRT((1-2*BJ46*1E5/(DATOS!$C$29*AG46*CJ46^2*DATOS!$C$21))))*DATOS!$C$21*AG46*CJ46/DATOS!$C$14)))))))</f>
        <v/>
      </c>
      <c r="CL46" s="64" t="str">
        <f>IF(V46&lt;&gt;"SÍ","",IF(AND(CK46&gt;=0,IF(MAX(DATOS!$C$74,CEILING(CK46/INDEX(TABLAS!$D$52:$D$58,MIN(MATCH(MAX(4,DATOS!$C$72),TABLAS!$B$52:$B$58,0)+0,7)),1))*INDEX(TABLAS!$D$52:$D$58,MIN(MATCH(MAX(4,DATOS!$C$72),TABLAS!$B$52:$B$58,0)+0,7)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+0,7)),1)),MAX(MAX(DATOS!$C$74,CEILING(CK46/INDEX(TABLAS!$D$52:$D$58,MIN(MATCH(MAX(4,DATOS!$C$72),TABLAS!$B$52:$B$58,0)+0,7)),1)),2))&lt;=MIN(DATOS!$C$73,INT(((DATOS!$C$83-2*AL46)+MAX(DATOS!$C$70,INDEX(TABLAS!$C$52:$C$58,MIN(MATCH(MAX(4,DATOS!$C$72),TABLAS!$B$52:$B$58,0)+0,7))))/(INDEX(TABLAS!$C$52:$C$58,MIN(MATCH(MAX(4,DATOS!$C$72),TABLAS!$B$52:$B$58,0)+0,7))+MAX(DATOS!$C$70,INDEX(TABLAS!$C$52:$C$58,MIN(MATCH(MAX(4,DATOS!$C$72),TABLAS!$B$52:$B$58,0)+0,7))))))),INDEX(TABLAS!$B$52:$B$58,MIN(MATCH(MAX(4,DATOS!$C$72),TABLAS!$B$52:$B$58,0)+0,7)),IF(AND(CK46&gt;=0,IF(MAX(DATOS!$C$74,CEILING(CK46/INDEX(TABLAS!$D$52:$D$58,MIN(MATCH(MAX(4,DATOS!$C$72),TABLAS!$B$52:$B$58,0)+1,7)),1))*INDEX(TABLAS!$D$52:$D$58,MIN(MATCH(MAX(4,DATOS!$C$72),TABLAS!$B$52:$B$58,0)+1,7)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+1,7)),1)),MAX(MAX(DATOS!$C$74,CEILING(CK46/INDEX(TABLAS!$D$52:$D$58,MIN(MATCH(MAX(4,DATOS!$C$72),TABLAS!$B$52:$B$58,0)+1,7)),1)),2))&lt;=MIN(DATOS!$C$73,INT(((DATOS!$C$83-2*AL46)+MAX(DATOS!$C$70,INDEX(TABLAS!$C$52:$C$58,MIN(MATCH(MAX(4,DATOS!$C$72),TABLAS!$B$52:$B$58,0)+1,7))))/(INDEX(TABLAS!$C$52:$C$58,MIN(MATCH(MAX(4,DATOS!$C$72),TABLAS!$B$52:$B$58,0)+1,7))+MAX(DATOS!$C$70,INDEX(TABLAS!$C$52:$C$58,MIN(MATCH(MAX(4,DATOS!$C$72),TABLAS!$B$52:$B$58,0)+1,7))))))),INDEX(TABLAS!$B$52:$B$58,MIN(MATCH(MAX(4,DATOS!$C$72),TABLAS!$B$52:$B$58,0)+1,7)),IF(AND(CK46&gt;=0,IF(MAX(DATOS!$C$74,CEILING(CK46/INDEX(TABLAS!$D$52:$D$58,MIN(MATCH(MAX(4,DATOS!$C$72),TABLAS!$B$52:$B$58,0)+2,7)),1))*INDEX(TABLAS!$D$52:$D$58,MIN(MATCH(MAX(4,DATOS!$C$72),TABLAS!$B$52:$B$58,0)+2,7)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+2,7)),1)),MAX(MAX(DATOS!$C$74,CEILING(CK46/INDEX(TABLAS!$D$52:$D$58,MIN(MATCH(MAX(4,DATOS!$C$72),TABLAS!$B$52:$B$58,0)+2,7)),1)),2))&lt;=MIN(DATOS!$C$73,INT(((DATOS!$C$83-2*AL46)+MAX(DATOS!$C$70,INDEX(TABLAS!$C$52:$C$58,MIN(MATCH(MAX(4,DATOS!$C$72),TABLAS!$B$52:$B$58,0)+2,7))))/(INDEX(TABLAS!$C$52:$C$58,MIN(MATCH(MAX(4,DATOS!$C$72),TABLAS!$B$52:$B$58,0)+2,7))+MAX(DATOS!$C$70,INDEX(TABLAS!$C$52:$C$58,MIN(MATCH(MAX(4,DATOS!$C$72),TABLAS!$B$52:$B$58,0)+2,7))))))),INDEX(TABLAS!$B$52:$B$58,MIN(MATCH(MAX(4,DATOS!$C$72),TABLAS!$B$52:$B$58,0)+2,7)),IF(AND(CK46&gt;=0,IF(MAX(DATOS!$C$74,CEILING(CK46/INDEX(TABLAS!$D$52:$D$58,MIN(MATCH(MAX(4,DATOS!$C$72),TABLAS!$B$52:$B$58,0)+3,7)),1))*INDEX(TABLAS!$D$52:$D$58,MIN(MATCH(MAX(4,DATOS!$C$72),TABLAS!$B$52:$B$58,0)+3,7)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+3,7)),1)),MAX(MAX(DATOS!$C$74,CEILING(CK46/INDEX(TABLAS!$D$52:$D$58,MIN(MATCH(MAX(4,DATOS!$C$72),TABLAS!$B$52:$B$58,0)+3,7)),1)),2))&lt;=MIN(DATOS!$C$73,INT(((DATOS!$C$83-2*AL46)+MAX(DATOS!$C$70,INDEX(TABLAS!$C$52:$C$58,MIN(MATCH(MAX(4,DATOS!$C$72),TABLAS!$B$52:$B$58,0)+3,7))))/(INDEX(TABLAS!$C$52:$C$58,MIN(MATCH(MAX(4,DATOS!$C$72),TABLAS!$B$52:$B$58,0)+3,7))+MAX(DATOS!$C$70,INDEX(TABLAS!$C$52:$C$58,MIN(MATCH(MAX(4,DATOS!$C$72),TABLAS!$B$52:$B$58,0)+3,7))))))),INDEX(TABLAS!$B$52:$B$58,MIN(MATCH(MAX(4,DATOS!$C$72),TABLAS!$B$52:$B$58,0)+3,7)),IF(AND(CK46&gt;=0,IF(MAX(DATOS!$C$74,CEILING(CK46/INDEX(TABLAS!$D$52:$D$58,MIN(MATCH(MAX(4,DATOS!$C$72),TABLAS!$B$52:$B$58,0)+4,7)),1))*INDEX(TABLAS!$D$52:$D$58,MIN(MATCH(MAX(4,DATOS!$C$72),TABLAS!$B$52:$B$58,0)+4,7)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+4,7)),1)),MAX(MAX(DATOS!$C$74,CEILING(CK46/INDEX(TABLAS!$D$52:$D$58,MIN(MATCH(MAX(4,DATOS!$C$72),TABLAS!$B$52:$B$58,0)+4,7)),1)),2))&lt;=MIN(DATOS!$C$73,INT(((DATOS!$C$83-2*AL46)+MAX(DATOS!$C$70,INDEX(TABLAS!$C$52:$C$58,MIN(MATCH(MAX(4,DATOS!$C$72),TABLAS!$B$52:$B$58,0)+4,7))))/(INDEX(TABLAS!$C$52:$C$58,MIN(MATCH(MAX(4,DATOS!$C$72),TABLAS!$B$52:$B$58,0)+4,7))+MAX(DATOS!$C$70,INDEX(TABLAS!$C$52:$C$58,MIN(MATCH(MAX(4,DATOS!$C$72),TABLAS!$B$52:$B$58,0)+4,7))))))),INDEX(TABLAS!$B$52:$B$58,MIN(MATCH(MAX(4,DATOS!$C$72),TABLAS!$B$52:$B$58,0)+4,7)),INDEX(TABLAS!$B$52:$B$58,7)))))))</f>
        <v/>
      </c>
      <c r="CM46" s="59" t="str">
        <f>IF(V46&lt;&gt;"SÍ","",IF(CK46&lt;0,0,IF(MAX(DATOS!$C$74,CEILING(MAX(CK46,0)/INDEX(TABLAS!$D$52:$D$58,MATCH(CL46,TABLAS!$B$52:$B$58,0)),1))*INDEX(TABLAS!$D$52:$D$58,MATCH(CL46,TABLAS!$B$52:$B$58,0))&gt;=4/3*IF(BJ46&lt;=0,0,IF((1-2*BJ46*1E5/(DATOS!$C$29*AG46*CJ46^2*DATOS!$C$21))&lt;0,-1,IF((1-SQRT((1-2*BJ46*1E5/(DATOS!$C$29*AG46*CJ46^2*DATOS!$C$21))))*DATOS!$C$21*AG46*CJ46/DATOS!$C$14&gt;DATOS!$C$102*AG46*CJ46,-1,(1-SQRT((1-2*BJ46*1E5/(DATOS!$C$29*AG46*CJ46^2*DATOS!$C$21))))*DATOS!$C$21*AG46*CJ46/DATOS!$C$14)))-0.0001,MAX(DATOS!$C$74,CEILING(MAX(CK46,0)/INDEX(TABLAS!$D$52:$D$58,MATCH(CL46,TABLAS!$B$52:$B$58,0)),1)),MAX(MAX(DATOS!$C$74,CEILING(MAX(CK46,0)/INDEX(TABLAS!$D$52:$D$58,MATCH(CL46,TABLAS!$B$52:$B$58,0)),1)),2))))</f>
        <v/>
      </c>
      <c r="CN46" s="58" t="str">
        <f>IF(V46&lt;&gt;"SÍ","",((DATOS!$C$85-AM46-2*DATOS!$C$97-INDEX(TABLAS!$C$52:$C$58,MATCH(BV46,TABLAS!$B$52:$B$58,0))-INDEX(TABLAS!$C$52:$C$58,MATCH(CL46,TABLAS!$B$52:$B$58,0))/2)-IF(AND((DATOS!$C$85-AM46-2*DATOS!$C$97-INDEX(TABLAS!$C$52:$C$58,MATCH(BV46,TABLAS!$B$52:$B$58,0))-INDEX(TABLAS!$C$52:$C$58,MATCH(CL46,TABLAS!$B$52:$B$58,0))/2)&lt;=20,DATOS!$C$65&lt;&gt;"SÍ"),2,0)))</f>
        <v/>
      </c>
      <c r="CO46" s="56" t="str">
        <f>IF(V46&lt;&gt;"SÍ","",IF(CM46=0,0,DATOS!$C$29*CM46*INDEX(TABLAS!$D$52:$D$58,MATCH(CL46,TABLAS!$B$52:$B$58,0))*DATOS!$C$14*(CN46-CM46*INDEX(TABLAS!$D$52:$D$58,MATCH(CL46,TABLAS!$B$52:$B$58,0))*DATOS!$C$14/(DATOS!$C$21*AG46)/2)/1E5))</f>
        <v/>
      </c>
      <c r="CP46" s="65" t="str">
        <f>IF(V46&lt;&gt;"SÍ","",IF(CK46&lt;0,9.99,IF(CO46&gt;0,BJ46/CO46,0)))</f>
        <v/>
      </c>
      <c r="CQ46" s="66" t="str">
        <f>IF(V46&lt;&gt;"SÍ","",IF(CM46=0,"—",0.003*(CN46-(CM46*INDEX(TABLAS!$D$52:$D$58,MATCH(CL46,TABLAS!$B$52:$B$58,0))*DATOS!$C$14/(DATOS!$C$21*AG46)/DATOS!$C$22))/(CM46*INDEX(TABLAS!$D$52:$D$58,MATCH(CL46,TABLAS!$B$52:$B$58,0))*DATOS!$C$14/(DATOS!$C$21*AG46)/DATOS!$C$22)))</f>
        <v/>
      </c>
      <c r="CR46" s="56" t="str">
        <f>IF(V46&lt;&gt;"SÍ","",IF(C46="PERIMETRAL",MAX(0,(AB46/2-BX46)/100)*(0.95-0.5*AA46)*AR46*IF(AND(AS46&gt;0,AS46&lt;4),DATOS!$C$33,1)*DATOS!$C$86/100/1000,(AR46*MAX(0,AB46-BX46)/100+DATOS!$C$26*N(O46))*DATOS!$C$86/100/1000+BF46))</f>
        <v/>
      </c>
      <c r="CS46" s="56" t="str">
        <f>IF(V46&lt;&gt;"SÍ","",DATOS!$C$30*2*MIN(1,SQRT(2/(1+0.04*BX46)))*(BW46*INDEX(TABLAS!$D$52:$D$58,MATCH(BV46,TABLAS!$B$52:$B$58,0))/(AF46*BX46))^(1/3)*SQRT(DATOS!$C$13)*AF46*BX46*IF(AJ46="SÍ",DATOS!$C$32,1)/1000)</f>
        <v/>
      </c>
      <c r="CT46" s="59" t="str">
        <f>IF(V46&lt;&gt;"SÍ","",IF(CR46&lt;=CS46,0,CEILING(MAX(0,IF(C46="VOLADO",(AB46-((CS46-BF46)*1E5/DATOS!$C$86-DATOS!$C$26*N(O46))*100/AR46),IF(CS46&lt;=0,AB46,AB46/2-CS46/MAX(CR46,1E-9)*(AB46/2-BX46)))-IF(X46="X",MIN(DJ46,DK46),MIN(DL46,DM46)))/DATOS!$C$86,1)))</f>
        <v/>
      </c>
      <c r="CU46" s="67" t="str">
        <f>IF(V46&lt;&gt;"SÍ","",IF(CR46&lt;=CS46,"CUMPLE",IF(CT46&lt;=0,"CUMPLE (basta el macizo de orilla)",IF(CT46*DATOS!$C$86*IF(C46="VOLADO",1,2)&gt;=Y46*100-DATOS!$C$87,"NO CUMPLE: no alcanza ni macizando todo","MACIZAR "&amp;CT46&amp;" hilera(s)"))))</f>
        <v/>
      </c>
      <c r="CV46" s="58" t="str">
        <f>IF(V46&lt;&gt;"SÍ","",(DATOS!$C$86*DATOS!$C$84^2/2+MIN(DATOS!$C$83,AD46)*DATOS!$C$82*(DATOS!$C$84+DATOS!$C$82/2))/(DATOS!$C$86*DATOS!$C$84+MIN(DATOS!$C$83,AD46)*DATOS!$C$82))</f>
        <v/>
      </c>
      <c r="CW46" s="68" t="str">
        <f>IF(V46&lt;&gt;"SÍ","",DATOS!$C$86*DATOS!$C$84^3/12+DATOS!$C$86*DATOS!$C$84*(CV46-DATOS!$C$84/2)^2+MIN(DATOS!$C$83,AD46)*DATOS!$C$82^3/12+MIN(DATOS!$C$83,AD46)*DATOS!$C$82*(DATOS!$C$84+DATOS!$C$82/2-CV46)^2)</f>
        <v/>
      </c>
      <c r="CX46" s="58" t="str">
        <f>IF(V46&lt;&gt;"SÍ","",(12*CW46/DATOS!$C$86)^(1/3))</f>
        <v/>
      </c>
      <c r="CY46" s="58" t="str">
        <f>IF(V46&lt;&gt;"SÍ","",IF(C46="PERIMETRAL",IF(ISNUMBER(S46),S46,DATOS!$C$104),0))</f>
        <v/>
      </c>
      <c r="CZ46" s="57" t="str">
        <f>IF(V46&lt;&gt;"SÍ","",IF(C46="PERIMETRAL",IF(CY46&gt;2,MAX(9,AC46*(0.8+DATOS!$C$14/14000)/(36+9*(AC46/MAX(AB46,1)))),IF(CY46&gt;0.2,MAX(13,AC46*(0.8+DATOS!$C$14/14000)/(36+5*(AC46/MAX(AB46,1))*(CY46-0.2))),MAX(13,AC46/IF(AS46&gt;0,30,33))))*IF(AND(CY46&gt;0.2,AS46&gt;0,DATOS!$C$105="NO"),1.1,1),MAX(25,Y46*100/8*(0.4+DATOS!$C$14/7000))))</f>
        <v/>
      </c>
      <c r="DA46" s="61" t="str">
        <f>IF(V46&lt;&gt;"SÍ","",IF(IF(C46="VOLADO",DATOS!$C$85,CX46)&gt;=CZ46,"CUMPLE",IF(C46="VOLADO","NO CUMPLE","CALCULAR FLECHA")))</f>
        <v/>
      </c>
      <c r="DB46" s="55" t="str">
        <f>IF(V46&lt;&gt;"SÍ","",IF(DATOS!$C$84&gt;=IF(IF(C46="VOLADO",Y46,Z46)&gt;=6,6,5),"CUMPLE","CAPA ≥ 6 cm"))</f>
        <v/>
      </c>
      <c r="DC46" s="60" t="str">
        <f>IF(V46&lt;&gt;"SÍ","",IF(C46="VOLADO",MIN(FLOOR(IF(ISNUMBER(P46),P46,Y46)*100-DATOS!$C$63,5),CEILING(MAX(IF((0.5*(0.9*DATOS!$C$90*DATOS!$C$86/100/1000)*IF(ISNUMBER(P46),P46,Y46)+BH46/IF(ISNUMBER(P46),P46,Y46))^2-4*(0.5*(0.9*DATOS!$C$90*DATOS!$C$86/100/1000))*BH46&lt;0,IF(ISNUMBER(P46),P46,Y46),MIN(IF(ISNUMBER(P46),P46,Y46),((0.5*(0.9*DATOS!$C$90*DATOS!$C$86/100/1000)*IF(ISNUMBER(P46),P46,Y46)+BH46/IF(ISNUMBER(P46),P46,Y46))-SQRT((0.5*(0.9*DATOS!$C$90*DATOS!$C$86/100/1000)*IF(ISNUMBER(P46),P46,Y46)+BH46/IF(ISNUMBER(P46),P46,Y46))^2-4*(0.5*(0.9*DATOS!$C$90*DATOS!$C$86/100/1000))*BH46))/(2*(0.5*(0.9*DATOS!$C$90*DATOS!$C$86/100/1000)))))*100+MAX(BX46,12*INDEX(TABLAS!$C$52:$C$58,MATCH(BV46,TABLAS!$B$52:$B$58,0)),IF(ISNUMBER(P46),P46,Y46)*100/16),IF(OR(AL46&lt;INDEX(TABLAS!$C$52:$C$58,MATCH(BV46,TABLAS!$B$52:$B$58,0)),AND(BW46&gt;=2,(AD46-2*AL46-BW46*INDEX(TABLAS!$C$52:$C$58,MATCH(BV46,TABLAS!$B$52:$B$58,0)))/MAX(BW46-1,1)&lt;2*INDEX(TABLAS!$C$52:$C$58,MATCH(BV46,TABLAS!$B$52:$B$58,0)))),INDEX(TABLAS!$I$52:$I$58,MATCH(BV46,TABLAS!$B$52:$B$58,0)),INDEX(TABLAS!$F$52:$F$58,MATCH(BV46,TABLAS!$B$52:$B$58,0)))),5)),IF(((4*((BC46*AR46*Y46^2*1E-4*DATOS!$C$86/100/1000)+((MAX(AY46,BA46)*AR46*Y46^2*1E-4*DATOS!$C$86/100/1000)+(IF(AND(AY46&gt;0,BA46&gt;0),MIN(AY46,BA46),MAX(AY46,BA46))*AR46*Y46^2*1E-4*DATOS!$C$86/100/1000))/2)+BH46-(IF(AND(AY46&gt;0,BA46&gt;0),MIN(AY46,BA46),MAX(AY46,BA46))*AR46*Y46^2*1E-4*DATOS!$C$86/100/1000))^2-16*((BC46*AR46*Y46^2*1E-4*DATOS!$C$86/100/1000)+((MAX(AY46,BA46)*AR46*Y46^2*1E-4*DATOS!$C$86/100/1000)+(IF(AND(AY46&gt;0,BA46&gt;0),MIN(AY46,BA46),MAX(AY46,BA46))*AR46*Y46^2*1E-4*DATOS!$C$86/100/1000))/2)*BH46)&lt;0,CEILING(AB46,5),CEILING(MAX(AB46*((4*((BC46*AR46*Y46^2*1E-4*DATOS!$C$86/100/1000)+((MAX(AY46,BA46)*AR46*Y46^2*1E-4*DATOS!$C$86/100/1000)+(IF(AND(AY46&gt;0,BA46&gt;0),MIN(AY46,BA46),MAX(AY46,BA46))*AR46*Y46^2*1E-4*DATOS!$C$86/100/1000))/2)+BH46-(IF(AND(AY46&gt;0,BA46&gt;0),MIN(AY46,BA46),MAX(AY46,BA46))*AR46*Y46^2*1E-4*DATOS!$C$86/100/1000))-SQRT(MAX(0,((4*((BC46*AR46*Y46^2*1E-4*DATOS!$C$86/100/1000)+((MAX(AY46,BA46)*AR46*Y46^2*1E-4*DATOS!$C$86/100/1000)+(IF(AND(AY46&gt;0,BA46&gt;0),MIN(AY46,BA46),MAX(AY46,BA46))*AR46*Y46^2*1E-4*DATOS!$C$86/100/1000))/2)+BH46-(IF(AND(AY46&gt;0,BA46&gt;0),MIN(AY46,BA46),MAX(AY46,BA46))*AR46*Y46^2*1E-4*DATOS!$C$86/100/1000))^2-16*((BC46*AR46*Y46^2*1E-4*DATOS!$C$86/100/1000)+((MAX(AY46,BA46)*AR46*Y46^2*1E-4*DATOS!$C$86/100/1000)+(IF(AND(AY46&gt;0,BA46&gt;0),MIN(AY46,BA46),MAX(AY46,BA46))*AR46*Y46^2*1E-4*DATOS!$C$86/100/1000))/2)*BH46))))/(8*MAX(((BC46*AR46*Y46^2*1E-4*DATOS!$C$86/100/1000)+((MAX(AY46,BA46)*AR46*Y46^2*1E-4*DATOS!$C$86/100/1000)+(IF(AND(AY46&gt;0,BA46&gt;0),MIN(AY46,BA46),MAX(AY46,BA46))*AR46*Y46^2*1E-4*DATOS!$C$86/100/1000))/2),1E-9))+MAX(BX46,12*INDEX(TABLAS!$C$52:$C$58,MATCH(BV46,TABLAS!$B$52:$B$58,0)),AB46/16),IF(OR(AL46&lt;INDEX(TABLAS!$C$52:$C$58,MATCH(BV46,TABLAS!$B$52:$B$58,0)),AND(BW46&gt;=2,(AD46-2*AL46-BW46*INDEX(TABLAS!$C$52:$C$58,MATCH(BV46,TABLAS!$B$52:$B$58,0)))/MAX(BW46-1,1)&lt;2*INDEX(TABLAS!$C$52:$C$58,MATCH(BV46,TABLAS!$B$52:$B$58,0)))),INDEX(TABLAS!$I$52:$I$58,MATCH(BV46,TABLAS!$B$52:$B$58,0)),INDEX(TABLAS!$F$52:$F$58,MATCH(BV46,TABLAS!$B$52:$B$58,0)))),5))))</f>
        <v/>
      </c>
      <c r="DD46" s="60" t="str">
        <f>IF(V46&lt;&gt;"SÍ","",IF(C46="VOLADO",0,IF(((4*((BD46*AR46*Y46^2*1E-4*DATOS!$C$86/100/1000)+((MAX(AZ46,BB46)*AR46*Y46^2*1E-4*DATOS!$C$86/100/1000)+(IF(AND(AZ46&gt;0,BB46&gt;0),MIN(AZ46,BB46),MAX(AZ46,BB46))*AR46*Y46^2*1E-4*DATOS!$C$86/100/1000))/2)+BJ46-(IF(AND(AZ46&gt;0,BB46&gt;0),MIN(AZ46,BB46),MAX(AZ46,BB46))*AR46*Y46^2*1E-4*DATOS!$C$86/100/1000))^2-16*((BD46*AR46*Y46^2*1E-4*DATOS!$C$86/100/1000)+((MAX(AZ46,BB46)*AR46*Y46^2*1E-4*DATOS!$C$86/100/1000)+(IF(AND(AZ46&gt;0,BB46&gt;0),MIN(AZ46,BB46),MAX(AZ46,BB46))*AR46*Y46^2*1E-4*DATOS!$C$86/100/1000))/2)*BJ46)&lt;0,CEILING(AC46,5),CEILING(MAX(AC46*((4*((BD46*AR46*Y46^2*1E-4*DATOS!$C$86/100/1000)+((MAX(AZ46,BB46)*AR46*Y46^2*1E-4*DATOS!$C$86/100/1000)+(IF(AND(AZ46&gt;0,BB46&gt;0),MIN(AZ46,BB46),MAX(AZ46,BB46))*AR46*Y46^2*1E-4*DATOS!$C$86/100/1000))/2)+BJ46-(IF(AND(AZ46&gt;0,BB46&gt;0),MIN(AZ46,BB46),MAX(AZ46,BB46))*AR46*Y46^2*1E-4*DATOS!$C$86/100/1000))-SQRT(MAX(0,((4*((BD46*AR46*Y46^2*1E-4*DATOS!$C$86/100/1000)+((MAX(AZ46,BB46)*AR46*Y46^2*1E-4*DATOS!$C$86/100/1000)+(IF(AND(AZ46&gt;0,BB46&gt;0),MIN(AZ46,BB46),MAX(AZ46,BB46))*AR46*Y46^2*1E-4*DATOS!$C$86/100/1000))/2)+BJ46-(IF(AND(AZ46&gt;0,BB46&gt;0),MIN(AZ46,BB46),MAX(AZ46,BB46))*AR46*Y46^2*1E-4*DATOS!$C$86/100/1000))^2-16*((BD46*AR46*Y46^2*1E-4*DATOS!$C$86/100/1000)+((MAX(AZ46,BB46)*AR46*Y46^2*1E-4*DATOS!$C$86/100/1000)+(IF(AND(AZ46&gt;0,BB46&gt;0),MIN(AZ46,BB46),MAX(AZ46,BB46))*AR46*Y46^2*1E-4*DATOS!$C$86/100/1000))/2)*BJ46))))/(8*MAX(((BD46*AR46*Y46^2*1E-4*DATOS!$C$86/100/1000)+((MAX(AZ46,BB46)*AR46*Y46^2*1E-4*DATOS!$C$86/100/1000)+(IF(AND(AZ46&gt;0,BB46&gt;0),MIN(AZ46,BB46),MAX(AZ46,BB46))*AR46*Y46^2*1E-4*DATOS!$C$86/100/1000))/2),1E-9))+MAX(CN46,12*INDEX(TABLAS!$C$52:$C$58,MATCH(CL46,TABLAS!$B$52:$B$58,0)),AC46/16),IF(OR(AL46&lt;INDEX(TABLAS!$C$52:$C$58,MATCH(CL46,TABLAS!$B$52:$B$58,0)),AND(CM46&gt;=2,(DATOS!$C$83-2*AL46-CM46*INDEX(TABLAS!$C$52:$C$58,MATCH(CL46,TABLAS!$B$52:$B$58,0)))/MAX(CM46-1,1)&lt;2*INDEX(TABLAS!$C$52:$C$58,MATCH(CL46,TABLAS!$B$52:$B$58,0)))),INDEX(TABLAS!$I$52:$I$58,MATCH(CL46,TABLAS!$B$52:$B$58,0)),INDEX(TABLAS!$F$52:$F$58,MATCH(CL46,TABLAS!$B$52:$B$58,0)))),5))))</f>
        <v/>
      </c>
      <c r="DE46" s="55" t="str">
        <f>IF(V46&lt;&gt;"SÍ","",IF(AND(C46="PERIMETRAL",BW46&gt;=2,AS46-AT46&gt;0,BA46*AR46*Y46^2*1E-4*DATOS!$C$86/100/1000&gt;DATOS!$C$29*INDEX(TABLAS!$D$52:$D$58,MATCH(BV46,TABLAS!$B$52:$B$58,0))*DATOS!$C$14*(BX46-INDEX(TABLAS!$D$52:$D$58,MATCH(BV46,TABLAS!$B$52:$B$58,0))*DATOS!$C$14/(DATOS!$C$21*AF46)/2)/1E5),"SÍ","NO"))</f>
        <v/>
      </c>
      <c r="DF46" s="55" t="str">
        <f>IF(V46&lt;&gt;"SÍ","",IF(AND(C46="PERIMETRAL",CM46&gt;=2,AT46&gt;0,BB46*AR46*Y46^2*1E-4*DATOS!$C$86/100/1000&gt;DATOS!$C$29*INDEX(TABLAS!$D$52:$D$58,MATCH(CL46,TABLAS!$B$52:$B$58,0))*DATOS!$C$14*(CN46-INDEX(TABLAS!$D$52:$D$58,MATCH(CL46,TABLAS!$B$52:$B$58,0))*DATOS!$C$14/(DATOS!$C$21*AG46)/2)/1E5),"SÍ","NO"))</f>
        <v/>
      </c>
      <c r="DG46" s="63" t="str">
        <f>IF(V46&lt;&gt;"SÍ","",IF(OR(C46="VOLADO",AS46=0),"—",IF(AND(AND(1.25*INDEX(TABLAS!$G$52:$G$58,MATCH(MAX(BN46,CD46),TABLAS!$B$52:$B$58,0))&lt;=(DATOS!$C$75-DATOS!$C$63),(DATOS!$C$75-DATOS!$C$63)&gt;=15,INDEX(TABLAS!$G$52:$G$58,MATCH(MAX(BV46,CL46),TABLAS!$B$52:$B$58,0))&lt;=(DATOS!$C$75-DATOS!$C$63)),8*INDEX(TABLAS!$C$52:$C$58,MATCH(MAX(MAX(BN46,CD46),MAX(BV46,CL46)),TABLAS!$B$52:$B$58,0))&lt;=DATOS!$C$76-2*DATOS!$C$63),"CUMPLE (gancho de 180°)",IF(AND(1.25*INDEX(TABLAS!$G$52:$G$58,MATCH(MAX(BN46,CD46),TABLAS!$B$52:$B$58,0))&lt;=(DATOS!$C$75-DATOS!$C$63),(DATOS!$C$75-DATOS!$C$63)&gt;=15,INDEX(TABLAS!$G$52:$G$58,MATCH(MAX(BV46,CL46),TABLAS!$B$52:$B$58,0))&lt;=(DATOS!$C$75-DATOS!$C$63)),"NO CUMPLE: el gancho de 180° (8·d_b) no cabe en el peralte de la dala de borde","NO CUMPLE: dala de borde ≥ "&amp;TEXT(CEILING(MAX(1.25*INDEX(TABLAS!$G$52:$G$58,MATCH(MAX(BN46,CD46),TABLAS!$B$52:$B$58,0)),15,INDEX(TABLAS!$G$52:$G$58,MATCH(MAX(BV46,CL46),TABLAS!$B$52:$B$58,0)))+DATOS!$C$63,5),"0")&amp;" cm de ancho"&amp;IF(8*INDEX(TABLAS!$C$52:$C$58,MATCH(MAX(MAX(BN46,CD46),MAX(BV46,CL46)),TABLAS!$B$52:$B$58,0))&lt;=DATOS!$C$76-2*DATOS!$C$63,""," y más peralte para el gancho")))))</f>
        <v/>
      </c>
      <c r="DH46" s="59" t="str">
        <f>IF(V46&lt;&gt;"SÍ","",MAX(0,INT((E46*100-DATOS!$C$87-IF(AND(C46="PERIMETRAL",I46="DISCONTINUO"),MAX(0,DATOS!$C$75-DATOS!$C$87),0)-IF(AND(C46="PERIMETRAL",J46="DISCONTINUO"),MAX(0,DATOS!$C$75-DATOS!$C$87),0)+DATOS!$C$86-IF(X46="X",DATOS!$C$81,AE46))/DATOS!$C$86)))</f>
        <v/>
      </c>
      <c r="DI46" s="59" t="str">
        <f>IF(V46&lt;&gt;"SÍ","",MAX(0,INT((F46*100-DATOS!$C$87-IF(AND(C46="PERIMETRAL",G46="DISCONTINUO"),MAX(0,DATOS!$C$75-DATOS!$C$87),0)-IF(AND(C46="PERIMETRAL",H46="DISCONTINUO"),MAX(0,DATOS!$C$75-DATOS!$C$87),0)+DATOS!$C$86-IF(X46="Y",DATOS!$C$81,AE46))/DATOS!$C$86)))</f>
        <v/>
      </c>
      <c r="DJ46" s="57" t="str">
        <f>IF(V46&lt;&gt;"SÍ","",IF(DH46&gt;0,IF(AND(C46="PERIMETRAL",I46="DISCONTINUO"),MAX(0,DATOS!$C$75-DATOS!$C$87),0)+(E46*100-DATOS!$C$87-IF(AND(C46="PERIMETRAL",I46="DISCONTINUO"),MAX(0,DATOS!$C$75-DATOS!$C$87),0)-IF(AND(C46="PERIMETRAL",J46="DISCONTINUO"),MAX(0,DATOS!$C$75-DATOS!$C$87),0)-(DH46*IF(X46="X",DATOS!$C$81,AE46)+(DH46-1)*(DATOS!$C$86-IF(X46="X",DATOS!$C$81,AE46))))/2,E46*100/2))</f>
        <v/>
      </c>
      <c r="DK46" s="57" t="str">
        <f>IF(V46&lt;&gt;"SÍ","",IF(DH46&gt;0,IF(AND(C46="PERIMETRAL",J46="DISCONTINUO"),MAX(0,DATOS!$C$75-DATOS!$C$87),0)+(E46*100-DATOS!$C$87-IF(AND(C46="PERIMETRAL",I46="DISCONTINUO"),MAX(0,DATOS!$C$75-DATOS!$C$87),0)-IF(AND(C46="PERIMETRAL",J46="DISCONTINUO"),MAX(0,DATOS!$C$75-DATOS!$C$87),0)-(DH46*IF(X46="X",DATOS!$C$81,AE46)+(DH46-1)*(DATOS!$C$86-IF(X46="X",DATOS!$C$81,AE46))))/2,E46*100/2))</f>
        <v/>
      </c>
      <c r="DL46" s="57" t="str">
        <f>IF(V46&lt;&gt;"SÍ","",IF(DI46&gt;0,IF(AND(C46="PERIMETRAL",G46="DISCONTINUO"),MAX(0,DATOS!$C$75-DATOS!$C$87),0)+(F46*100-DATOS!$C$87-IF(AND(C46="PERIMETRAL",G46="DISCONTINUO"),MAX(0,DATOS!$C$75-DATOS!$C$87),0)-IF(AND(C46="PERIMETRAL",H46="DISCONTINUO"),MAX(0,DATOS!$C$75-DATOS!$C$87),0)-(DI46*IF(X46="Y",DATOS!$C$81,AE46)+(DI46-1)*(DATOS!$C$86-IF(X46="Y",DATOS!$C$81,AE46))))/2,F46*100/2))</f>
        <v/>
      </c>
      <c r="DM46" s="57" t="str">
        <f>IF(V46&lt;&gt;"SÍ","",IF(DI46&gt;0,IF(AND(C46="PERIMETRAL",H46="DISCONTINUO"),MAX(0,DATOS!$C$75-DATOS!$C$87),0)+(F46*100-DATOS!$C$87-IF(AND(C46="PERIMETRAL",G46="DISCONTINUO"),MAX(0,DATOS!$C$75-DATOS!$C$87),0)-IF(AND(C46="PERIMETRAL",H46="DISCONTINUO"),MAX(0,DATOS!$C$75-DATOS!$C$87),0)-(DI46*IF(X46="Y",DATOS!$C$81,AE46)+(DI46-1)*(DATOS!$C$86-IF(X46="Y",DATOS!$C$81,AE46))))/2,F46*100/2))</f>
        <v/>
      </c>
      <c r="DN46" s="59" t="str">
        <f>IF(V46&lt;&gt;"SÍ","",IF(NOT(AND(C46="VOLADO",AD46&gt;DATOS!$C$83)),0,IF(INDEX(TABLAS!$C$52:$C$58,MATCH(BV46,TABLAS!$B$52:$B$58,0))&lt;=DATOS!$C$83-2*DATOS!$C$63,1,0)))</f>
        <v/>
      </c>
      <c r="DO46" s="58" t="str">
        <f>IF(V46&lt;&gt;"SÍ","",IF(NOT(AND(C46="VOLADO",AD46&gt;DATOS!$C$83)),0,((DATOS!$C$85-MAX(DATOS!$C$63,(DATOS!$C$84-2*DATOS!$C$97)/2)-2*DATOS!$C$97-INDEX(TABLAS!$C$52:$C$58,MATCH(MAX(4,DATOS!$C$72),TABLAS!$B$52:$B$58,0))-INDEX(TABLAS!$C$52:$C$58,MATCH(BV46,TABLAS!$B$52:$B$58,0))/2)-IF(AND((DATOS!$C$85-MAX(DATOS!$C$63,(DATOS!$C$84-2*DATOS!$C$97)/2)-2*DATOS!$C$97-INDEX(TABLAS!$C$52:$C$58,MATCH(MAX(4,DATOS!$C$72),TABLAS!$B$52:$B$58,0))-INDEX(TABLAS!$C$52:$C$58,MATCH(BV46,TABLAS!$B$52:$B$58,0))/2)&lt;=20,DATOS!$C$65&lt;&gt;"SÍ"),2,0))))</f>
        <v/>
      </c>
      <c r="DP46" s="56" t="str">
        <f>IF(V46&lt;&gt;"SÍ","",IF(OR(NOT(AND(C46="VOLADO",AD46&gt;DATOS!$C$83)),DN46&lt;1),0,IF(0.003*(DO46-((DN46*INDEX(TABLAS!$D$52:$D$58,MATCH(BV46,TABLAS!$B$52:$B$58,0)))*DATOS!$C$14/(DATOS!$C$21*AG46)/DATOS!$C$22))/((DN46*INDEX(TABLAS!$D$52:$D$58,MATCH(BV46,TABLAS!$B$52:$B$58,0)))*DATOS!$C$14/(DATOS!$C$21*AG46)/DATOS!$C$22)&lt;0.005,0,DATOS!$C$29*(DN46*INDEX(TABLAS!$D$52:$D$58,MATCH(BV46,TABLAS!$B$52:$B$58,0)))*DATOS!$C$14*(DO46-(DN46*INDEX(TABLAS!$D$52:$D$58,MATCH(BV46,TABLAS!$B$52:$B$58,0)))*DATOS!$C$14/(DATOS!$C$21*AG46)/2)/1E5)))</f>
        <v/>
      </c>
      <c r="DQ46" s="56" t="str">
        <f>IF(V46&lt;&gt;"SÍ","",IF(OR(NOT(AND(C46="VOLADO",AD46&gt;DATOS!$C$83)),DN46&lt;1),0,DATOS!$C$30*2*MIN(1,SQRT(2/(1+0.04*DO46)))*((DN46*INDEX(TABLAS!$D$52:$D$58,MATCH(BV46,TABLAS!$B$52:$B$58,0)))/(AG46*DO46))^(1/3)*SQRT(DATOS!$C$13)*AG46*DO46/1000))</f>
        <v/>
      </c>
      <c r="DR46" s="56" t="str">
        <f>IF(V46&lt;&gt;"SÍ","",IF(NOT(AND(C46="VOLADO",AD46&gt;DATOS!$C$83)),0,IF((BH46-DP46)&lt;=0,0,IF(DP46&lt;=0,IF(ISNUMBER(P46),P46,Y46),IF(((0.9*DATOS!$C$90*DATOS!$C$86/100/1000)*IF(ISNUMBER(P46),P46,Y46)/2+BH46/IF(ISNUMBER(P46),P46,Y46))^2-4*((0.9*DATOS!$C$90*DATOS!$C$86/100/1000)/2)*(BH46-DP46)&lt;0,IF(ISNUMBER(P46),P46,Y46),MIN(IF(ISNUMBER(P46),P46,Y46),(((0.9*DATOS!$C$90*DATOS!$C$86/100/1000)*IF(ISNUMBER(P46),P46,Y46)/2+BH46/IF(ISNUMBER(P46),P46,Y46))-SQRT(((0.9*DATOS!$C$90*DATOS!$C$86/100/1000)*IF(ISNUMBER(P46),P46,Y46)/2+BH46/IF(ISNUMBER(P46),P46,Y46))^2-4*((0.9*DATOS!$C$90*DATOS!$C$86/100/1000)/2)*(BH46-DP46)))/(2*((0.9*DATOS!$C$90*DATOS!$C$86/100/1000)/2))))))))</f>
        <v/>
      </c>
      <c r="DS46" s="56" t="str">
        <f>IF(V46&lt;&gt;"SÍ","",IF(NOT(AND(C46="VOLADO",AD46&gt;DATOS!$C$83)),0,IF(DQ46&lt;=(BH46/((IF(ISNUMBER(P46),P46,Y46)*100-DATOS!$C$87)/100)),IF(ISNUMBER(P46),P46,Y46),MIN(IF(ISNUMBER(P46),P46,Y46),MAX(0,(IF(ISNUMBER(P46),P46,Y46)*100-DATOS!$C$87)/200-(DQ46-(BH46/((IF(ISNUMBER(P46),P46,Y46)*100-DATOS!$C$87)/100)))/((0.95-0.5*IF(N(Q46)&gt;0,MIN(IF(ISNUMBER(P46),P46,Y46),Q46)/MAX(IF(ISNUMBER(P46),P46,Y46),Q46),0))*DATOS!$C$33*AR46*DATOS!$C$86/100/1000))))))</f>
        <v/>
      </c>
      <c r="DT46" s="56" t="str">
        <f>IF(V46&lt;&gt;"SÍ","",IF(NOT(AND(C46="VOLADO",AD46&gt;DATOS!$C$83)),0,(BH46/((IF(ISNUMBER(P46),P46,Y46)*100-DATOS!$C$87)/100))+((0.95-0.5*IF(N(Q46)&gt;0,MIN(IF(ISNUMBER(P46),P46,Y46),Q46)/MAX(IF(ISNUMBER(P46),P46,Y46),Q46),0))*DATOS!$C$33*AR46*DATOS!$C$86/100/1000)*MAX(0,(IF(ISNUMBER(P46),P46,Y46)*100-DATOS!$C$87)/200-BX46/100)))</f>
        <v/>
      </c>
      <c r="DU46" s="59" t="str">
        <f>IF(V46&lt;&gt;"SÍ","",IF(NOT(AND(C46="VOLADO",AD46&gt;DATOS!$C$83)),0,MIN(FLOOR(100*IF(ISNUMBER(P46),P46,Y46)-DATOS!$C$63,5),CEILING(100*MIN(IF(ISNUMBER(P46),P46,Y46),MAX(IF(DR46&gt;0,DR46+IF(BW46&gt;=2,MAX(DO46,12*INDEX(TABLAS!$C$52:$C$58,MATCH(BV46,TABLAS!$B$52:$B$58,0)))/100,0),0),DS46,IF(BW46&gt;=2,INDEX(TABLAS!$F$52:$F$58,MATCH(BV46,TABLAS!$B$52:$B$58,0))/100,0))),5))))</f>
        <v/>
      </c>
      <c r="DV46" s="60" t="str">
        <f>IF(V46&lt;&gt;"SÍ","",IF(NOT(AND(C46="VOLADO",AD46&gt;DATOS!$C$83)),0,IF(DU46&lt;=0,0,CEILING(DU46/DATOS!$C$86,1))))</f>
        <v/>
      </c>
      <c r="DW46" s="61" t="str">
        <f>IF(V46&lt;&gt;"SÍ","",IF(C46&lt;&gt;"VOLADO","—",IF(AD46&lt;=DATOS!$C$83,"— (mismo b_w que el respaldo)",IF(DT46&gt;CS46,"NO CUMPLE: cortante de la nervadura ancha junto al apoyo ("&amp;TEXT(DT46,"0.00")&amp;" &gt; "&amp;TEXT(CS46,"0.00")&amp;" t)",IF(DU46&gt;=100*IF(ISNUMBER(P46),P46,Y46),"CUMPLE — todas las nervaduras del respaldo ‖ al volado con b_w = "&amp;AD46&amp;" cm","CUMPLE — "&amp;DV46&amp;" hilera(s) del respaldo con nervaduras de b_w = "&amp;AD46&amp;" cm (casetón "&amp;AE46&amp;" cm), hasta "&amp;TEXT(DU46/100,"0.00")&amp;" m del paño")))))</f>
        <v/>
      </c>
      <c r="DX46" s="69" t="str">
        <f>IF(V46&lt;&gt;"SÍ","",IF(BO46=0,"NO ALCANZA",BO46&amp;" No. "&amp;BN46&amp;IF(BO46&gt;1," corridas"," corrida")))</f>
        <v/>
      </c>
      <c r="DY46" s="69" t="str">
        <f>IF(V46&lt;&gt;"SÍ","",IF(BW46=0,"NO ALCANZA",IF(AND(C46="VOLADO",AD46&gt;DATOS!$C$83,BW46&gt;=2),"1 No. "&amp;BV46&amp;" corrida de la orilla al respaldo ("&amp;IF(DC46&gt;=FLOOR(100*IF(ISNUMBER(P46),P46,Y46)-DATOS!$C$63,5),"hasta su apoyo lejano, con gancho","entra "&amp;TEXT(DC46/100,"0.00")&amp;" m desde el paño")&amp;") + "&amp;(BW46-1)&amp;" bastón No. "&amp;BV46&amp;" hasta "&amp;TEXT(DU46/100,"0.00")&amp;" m del paño (fin de la nervadura ancha)",IF(C46="VOLADO",BW46&amp;" No. "&amp;BV46&amp;" de la orilla al respaldo ("&amp;IF(DC46&gt;=FLOOR(100*IF(ISNUMBER(P46),P46,Y46)-DATOS!$C$63,5),"hasta su apoyo lejano, con gancho","entran "&amp;TEXT(DC46/100,"0.00")&amp;" m desde el paño")&amp;")","1 No. "&amp;BV46&amp;" corrida"&amp;IF(BW46&gt;1," + "&amp;(BW46-1)&amp;" bastón No. "&amp;BV46&amp;" L = "&amp;TEXT(DC46/100,"0.00")&amp;" m desde el paño","")))))</f>
        <v/>
      </c>
      <c r="DZ46" s="69" t="str">
        <f>IF(V46&lt;&gt;"SÍ","",IF(CE46=0,"NO ALCANZA",CE46&amp;" No. "&amp;CD46&amp;IF(CE46&gt;1," corridas"," corrida")))</f>
        <v/>
      </c>
      <c r="EA46" s="69" t="str">
        <f>IF(V46&lt;&gt;"SÍ","",IF(CM46=0,"NO ALCANZA",IF(C46="VOLADO","1 No. "&amp;CL46&amp;" corrida (repartición)","1 No. "&amp;CL46&amp;" corrida"&amp;IF(CM46&gt;1," + "&amp;(CM46-1)&amp;" bastón No. "&amp;CL46&amp;" L = "&amp;TEXT(DD46/100,"0.00")&amp;" m desde el paño",""))))</f>
        <v/>
      </c>
      <c r="EB46" s="67" t="str">
        <f>IF(B46="","",IF(V46&lt;&gt;"SÍ","FALTAN DATOS: tipo, a_x, a_y, destino y, en volados, L_b",IF(L46="NO MONOLÍTICO (caso II)","FUERA DE ALCANCE: caso II no transcrito",IF(AND(C46="VOLADO",W46="?"),"REVISAR: el volado lleva UN solo borde CONTINUO (el empotrado)",IF(MIN(DH46,DI46)=0,"REVISAR: no cabe un casetón (tablero macizo): diséñalo en MACIZAS",IF(AND(MAX(BR46,BZ46,CH46,CP46)&lt;=1,NOT(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T(OR(AND(ISNUMBER(BS46),BS46&lt;0.005),AND(ISNUMBER(CA46),CA46&lt;0.005),AND(ISNUMBER(CI46),CI46&lt;0.005),AND(ISNUMBER(CQ46),CQ46&lt;0.005))),NOT(LEFT(DW46,2)="NO"),DA46="CUMPLE",DB46="CUMPLE",LEFT(CU46,2)&lt;&gt;"NO",LEFT(DATOS!$C$132,6)="CUMPLE"),IF(LEFT(CU46,6)="CUMPLE","CUMPLE","CUMPLE — "&amp;CU46)&amp;IF(LEFT(BK46,5)="FUERA"," · fuera de 3.4.2.1 c)","")&amp;IF(LEFT(DG46,2)="NO"," · REVISAR anclaje en borde discontinuo","")&amp;IF(DV46&gt;0," · respaldo: "&amp;DV46&amp;" hilera(s) de b_w "&amp;AD46&amp;" cm",""),IF(AND(MAX(BR46,BZ46,CH46,CP46)&lt;=1,NOT(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T(OR(AND(ISNUMBER(BS46),BS46&lt;0.005),AND(ISNUMBER(CA46),CA46&lt;0.005),AND(ISNUMBER(CI46),CI46&lt;0.005),AND(ISNUMBER(CQ46),CQ46&lt;0.005))),NOT(LEFT(DW46,2)="NO"),DA46="CALCULAR FLECHA",LEFT(CU46,2)&lt;&gt;"NO",LEFT(DATOS!$C$132,6)="CUMPLE"),"REVISAR: calcular flecha (h_eq &lt; h mín.)"&amp;IF(LEFT(BK46,5)="FUERA"," · fuera de 3.4.2.1 c)","")&amp;IF(LEFT(DG46,2)="NO"," · REVISAR anclaje en borde discontinuo","")&amp;IF(DV46&gt;0," · respaldo: "&amp;DV46&amp;" hilera(s) de b_w "&amp;AD46&amp;" cm",""),"NO CUMPLE: "&amp;IF(MAX(BR46,BZ46,CH46,CP46)&gt;1,"flexión ","")&amp;IF(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 caben ","")&amp;IF(OR(AND(ISNUMBER(BS46),BS46&lt;0.005),AND(ISNUMBER(CA46),CA46&lt;0.005),AND(ISNUMBER(CI46),CI46&lt;0.005),AND(ISNUMBER(CQ46),CQ46&lt;0.005)),"ε_t &lt; 0.005 ","")&amp;IF(LEFT(CU46,2)="NO","cortante ","")&amp;IF(DA46="NO CUMPLE","peralte ","")&amp;IF(DB46&lt;&gt;"CUMPLE","capa &lt; 6 cm ","")&amp;IF(LEFT(DATOS!$C$132,6)&lt;&gt;"CUMPLE","capa o malla (DATOS sección 7) ","")&amp;IF(LEFT(DW46,2)="NO","respaldo del volado",""))))))))</f>
        <v/>
      </c>
      <c r="EC46" s="70" t="str">
        <f>IF(V46&lt;&gt;"SÍ","",IF(LEFT(B46,7)="EJEMPLO","EJEMPLO de la hoja de Casa Rocha: bórralo o sobrescríbelo. ","")&amp;IF(AND(C46="PERIMETRAL",MIN(DH46,DI46)=0),"No cabe un casetón en el claro corto: es un tablero macizo, diséñalo en MACIZAS. ","")&amp;IF(AND(AJ46="NO",C46="PERIMETRAL"),"No cumple 6.7.8.1.4 (a_c = "&amp;MAX(DATOS!$C$81,AE46)&amp;" cm &gt; claro corto/6 = "&amp;TEXT(Y46*100/6,"0")&amp;" cm): se diseña como losa apoyada en vigas (6.7.8.1.9): r de viga = "&amp;DATOS!$C$63&amp;" cm y V_cR sin ×1.1. Para que cuente como encasetonada: casetón de "&amp;TEXT(FLOOR(MIN(80,Y46*100/6),1),"0")&amp;" cm o menor. ","")&amp;IF(C46="VOLADO","Volado de "&amp;TEXT(Y46,"0.00")&amp;" m empotrado en el borde "&amp;LOWER(W46)&amp;IF(N(O46)&gt;0,", con "&amp;TEXT(O46,"0.0")&amp;" kg/m en la orilla","")&amp;". Lecho inferior con r_ext. Si la orilla carga pretil u otro elemento frágil, calcula la flecha (13.4). El acero superior entra al respaldo de "&amp;TEXT(IF(ISNUMBER(P46),P46,Y46),"0.00")&amp;" m"&amp;" hasta pasar M = 0 con 0.9·PP sin carga viva; si ahí no se anula, llega al apoyo lejano y se ancla con gancho (NTC-Criterios 3.4.1 c y 5.1.2.2). "&amp;IF(AD46&gt;DATOS!$C$83,"Respaldo: "&amp;DW46&amp;". ",""),"")&amp;IF(AND(C46="VOLADO",((0.9*DATOS!$C$90*DATOS!$C$86/100/1000)*IF(ISNUMBER(P46),P46,Y46)/2-BH46/IF(ISNUMBER(P46),P46,Y46))&lt;0),"Con 0.9·PP y sin carga viva el apoyo lejano del respaldo levanta (R = "&amp;TEXT(-((0.9*DATOS!$C$90*DATOS!$C$86/100/1000)*IF(ISNUMBER(P46),P46,Y46)/2-BH46/IF(ISNUMBER(P46),P46,Y46)),"0.00")&amp;" t por nervadura): ancla ahí la corrida con gancho y revisa ese apoyo a tensión. ","")&amp;IF(LEFT(BK46,5)="FUERA","El M⁻ del vecino difiere más de 50 % (3.4.2.1 c): distribuye el desequilibrio (3.4.3.1) o confirma con un modelo; se arma con el mayor. ","")&amp;IF(OR(DE46="SÍ",DF46="SÍ"),"El M⁻ del borde discontinuo pide bastón también ahí (con gancho). ","")&amp;IF(LEFT(DG46,2)="NO","Anclaje: "&amp;DG46&amp;" (6.7.8.1.7). ","")&amp;IF(AND(C46="PERIMETRAL",AT46&gt;=1,AS46-AT46&gt;=1),"Esquinas exteriores sobre muro: refuerzo de esquina arriba y abajo en L_largo/5 (6.7.7.3.1). ",""))</f>
        <v/>
      </c>
    </row>
    <row r="47" ht="33" customHeight="1">
      <c r="A47" s="50">
        <f>IF(B47="",0,1)+A46</f>
        <v>4</v>
      </c>
      <c r="B47" s="29" t="n"/>
      <c r="C47" s="51" t="n"/>
      <c r="D47" s="29" t="n"/>
      <c r="E47" s="52" t="n"/>
      <c r="F47" s="52" t="n"/>
      <c r="G47" s="51" t="n"/>
      <c r="H47" s="51" t="n"/>
      <c r="I47" s="51" t="n"/>
      <c r="J47" s="51" t="n"/>
      <c r="K47" s="51" t="n"/>
      <c r="L47" s="51" t="n"/>
      <c r="M47" s="53" t="n"/>
      <c r="N47" s="53" t="n"/>
      <c r="O47" s="54" t="n"/>
      <c r="P47" s="52" t="n"/>
      <c r="Q47" s="52" t="n"/>
      <c r="R47" s="53" t="n"/>
      <c r="S47" s="54" t="n"/>
      <c r="T47" s="52" t="n"/>
      <c r="U47" s="52" t="n"/>
      <c r="V47" s="55" t="str">
        <f>IF(B47="","",IF(AND(OR(C47="PERIMETRAL",C47="VOLADO"),ISNUMBER(E47),ISNUMBER(F47),E47&gt;0,F47&gt;0,OR(ISNUMBER(N47),ISNUMBER(MATCH(D47,DATOS!$B$46:$B$58,0))),OR(C47&lt;&gt;"VOLADO",N(P47)&gt;0)),"SÍ","NO"))</f>
        <v/>
      </c>
      <c r="W47" s="55" t="str">
        <f>IF(V47&lt;&gt;"SÍ","",IF(C47&lt;&gt;"VOLADO","—",IF(COUNTIF(G47:J47,"CONTINUO")&lt;&gt;1,"?",IF(G47="CONTINUO","INFERIOR",IF(H47="CONTINUO","SUPERIOR",IF(I47="CONTINUO","IZQUIERDO","DERECHO"))))))</f>
        <v/>
      </c>
      <c r="X47" s="55" t="str">
        <f>IF(V47&lt;&gt;"SÍ","",IF(C47="VOLADO",IF(OR(W47="IZQUIERDO",W47="DERECHO"),"X","Y"),IF(E47&lt;=F47,"X","Y")))</f>
        <v/>
      </c>
      <c r="Y47" s="56" t="str">
        <f>IF(V47&lt;&gt;"SÍ","",IF(C47="VOLADO",IF(X47="X",E47,F47),MIN(E47,F47)))</f>
        <v/>
      </c>
      <c r="Z47" s="56" t="str">
        <f>IF(V47&lt;&gt;"SÍ","",IF(C47="VOLADO",IF(X47="X",F47,E47),MAX(E47,F47)))</f>
        <v/>
      </c>
      <c r="AA47" s="56" t="str">
        <f>IF(V47&lt;&gt;"SÍ","",MIN(Y47,Z47)/MAX(Y47,Z47))</f>
        <v/>
      </c>
      <c r="AB47" s="57" t="str">
        <f>IF(V47&lt;&gt;"SÍ","",MAX(1,Y47*100-IF(C47="VOLADO",DATOS!$C$87/2,DATOS!$C$87)))</f>
        <v/>
      </c>
      <c r="AC47" s="57" t="str">
        <f>IF(V47&lt;&gt;"SÍ","",MAX(1,Z47*100-DATOS!$C$87))</f>
        <v/>
      </c>
      <c r="AD47" s="57" t="str">
        <f>IF(V47&lt;&gt;"SÍ","",IF(ISNUMBER(R47),R47,DATOS!$C$83))</f>
        <v/>
      </c>
      <c r="AE47" s="57" t="str">
        <f>IF(V47&lt;&gt;"SÍ","",MAX(0,DATOS!$C$86-AD47))</f>
        <v/>
      </c>
      <c r="AF47" s="57" t="str">
        <f>IF(V47&lt;&gt;"SÍ","",IF(OR(DATOS!$C$65="SÍ",AD47&gt;=20),AD47,AD47-2))</f>
        <v/>
      </c>
      <c r="AG47" s="57" t="str">
        <f>IF(V47&lt;&gt;"SÍ","",IF(OR(DATOS!$C$65="SÍ",DATOS!$C$83&gt;=20),DATOS!$C$83,DATOS!$C$83-2))</f>
        <v/>
      </c>
      <c r="AH47" s="57" t="str">
        <f>IF(V47&lt;&gt;"SÍ","",MIN(DATOS!$C$86,AD47+2*MIN(8*DATOS!$C$84,AE47/2,AB47/8)))</f>
        <v/>
      </c>
      <c r="AI47" s="57" t="str">
        <f>IF(V47&lt;&gt;"SÍ","",MIN(DATOS!$C$86,DATOS!$C$83+2*MIN(8*DATOS!$C$84,DATOS!$C$81/2,AC47/8)))</f>
        <v/>
      </c>
      <c r="AJ47" s="55" t="str">
        <f>IF(V47&lt;&gt;"SÍ","",IF(AND(C47="PERIMETRAL",Y47*100&gt;=6*MAX(DATOS!$C$81,AE47),MAX(DATOS!$C$81,AE47)&lt;=80,MIN(DATOS!$C$83,AD47)&gt;=10,DATOS!$C$85&lt;=3.5*MIN(DATOS!$C$83,AD47),DATOS!$C$84&gt;=MAX(MAX(DATOS!$C$81,AE47)/13,5)),"SÍ","NO"))</f>
        <v/>
      </c>
      <c r="AK47" s="57" t="str">
        <f>IF(V47&lt;&gt;"SÍ","",IF(C47="VOLADO",DATOS!$C$64,IF(AJ47="NO",DATOS!$C$63,DATOS!$C$62)))</f>
        <v/>
      </c>
      <c r="AL47" s="57" t="str">
        <f>IF(V47&lt;&gt;"SÍ","",IF(OR(AND(AN47="SÍ",DATOS!$C$66="SÍ"),AND(C47="VOLADO",DATOS!$C$67="SÍ")),DATOS!$C$64,IF(AJ47="NO",DATOS!$C$63,DATOS!$C$62)))</f>
        <v/>
      </c>
      <c r="AM47" s="58" t="str">
        <f>IF(V47&lt;&gt;"SÍ","",MAX(AL47,(DATOS!$C$84-2*DATOS!$C$97)/2))</f>
        <v/>
      </c>
      <c r="AN47" s="55" t="str">
        <f>IF(V47&lt;&gt;"SÍ","",IFERROR(INDEX(DATOS!$D$46:$D$58,MATCH(D47,DATOS!$B$46:$B$58,0)),"NO"))</f>
        <v/>
      </c>
      <c r="AO47" s="59" t="str">
        <f>IF(V47&lt;&gt;"SÍ","",IF(ISNUMBER(N47),N47,IFERROR(INDEX(DATOS!$C$46:$C$58,MATCH(D47,DATOS!$B$46:$B$58,0)),0)))</f>
        <v/>
      </c>
      <c r="AP47" s="59" t="str">
        <f>IF(V47&lt;&gt;"SÍ","",IF(MIN(DH47,DI47)=0,DATOS!$C$85/100*DATOS!$C$16*1000,(DATOS!$C$85/100-(AE47*DATOS!$C$81/DATOS!$C$86^2)*DATOS!$C$82/100)*DATOS!$C$16*1000+(AE47*DATOS!$C$81/DATOS!$C$86^2)*DATOS!$C$82/100*DATOS!$C$17*1000)+DATOS!$C$37+DATOS!$C$38)</f>
        <v/>
      </c>
      <c r="AQ47" s="59" t="str">
        <f>IF(V47&lt;&gt;"SÍ","",AP47+N(M47))</f>
        <v/>
      </c>
      <c r="AR47" s="60" t="str">
        <f>IF(V47&lt;&gt;"SÍ","",MAX(DATOS!$C$26*AQ47+DATOS!$C$27*AO47,IF(AN47="SÍ",DATOS!$C$28*(AQ47+DATOS!$C$41),0)))</f>
        <v/>
      </c>
      <c r="AS47" s="59" t="str">
        <f>IF(V47&lt;&gt;"SÍ","",(G47="DISCONTINUO")+(H47="DISCONTINUO")+(I47="DISCONTINUO")+(J47="DISCONTINUO"))</f>
        <v/>
      </c>
      <c r="AT47" s="59" t="str">
        <f>IF(V47&lt;&gt;"SÍ","",IF(X47="X",(G47="DISCONTINUO")+(H47="DISCONTINUO"),(I47="DISCONTINUO")+(J47="DISCONTINUO")))</f>
        <v/>
      </c>
      <c r="AU47" s="55" t="str">
        <f>IF(V47&lt;&gt;"SÍ","",IF(AS47=0,"INTERIOR",IF(AS47=1,IF(AT47=1,"BORDE-CORTO","BORDE-LARGO"),IF(AS47=2,IF(AT47=1,"ESQUINA",IF(AT47=2,"EXTREMO-LARGO","EXTREMO-CORTO")),IF(AS47=3,IF(AT47=2,"EXTREMO-LARGO","EXTREMO-CORTO"),"AISLADO")))))</f>
        <v/>
      </c>
      <c r="AV47" s="61" t="str">
        <f>IF(V47&lt;&gt;"SÍ","",IF(OR(K47="",K47="AUTO"),AU47,K47))</f>
        <v/>
      </c>
      <c r="AW47" s="59" t="str">
        <f>IF(V47&lt;&gt;"SÍ","",MATCH(AA47,TABLAS!$D$5:$J$5,1))</f>
        <v/>
      </c>
      <c r="AX47" s="58" t="str">
        <f>IF(V47&lt;&gt;"SÍ","",IF(AW47&gt;=7,0,(AA47-INDEX(TABLAS!$D$5:$J$5,AW47))/(INDEX(TABLAS!$D$5:$J$5,AW47+1)-INDEX(TABLAS!$D$5:$J$5,AW47))))</f>
        <v/>
      </c>
      <c r="AY47" s="59" t="str">
        <f>IF(V47&lt;&gt;"SÍ","",INDEX(TABLAS!$D$6:$J$47,MATCH(AV47&amp;"|NIC",TABLAS!$B$6:$B$47,0),AW47)+AX47*(INDEX(TABLAS!$D$6:$J$47,MATCH(AV47&amp;"|NIC",TABLAS!$B$6:$B$47,0),MIN(AW47+1,7))-INDEX(TABLAS!$D$6:$J$47,MATCH(AV47&amp;"|NIC",TABLAS!$B$6:$B$47,0),AW47)))</f>
        <v/>
      </c>
      <c r="AZ47" s="59" t="str">
        <f>IF(V47&lt;&gt;"SÍ","",INDEX(TABLAS!$D$6:$J$47,MATCH(AV47&amp;"|NIL",TABLAS!$B$6:$B$47,0),AW47)+AX47*(INDEX(TABLAS!$D$6:$J$47,MATCH(AV47&amp;"|NIL",TABLAS!$B$6:$B$47,0),MIN(AW47+1,7))-INDEX(TABLAS!$D$6:$J$47,MATCH(AV47&amp;"|NIL",TABLAS!$B$6:$B$47,0),AW47)))</f>
        <v/>
      </c>
      <c r="BA47" s="59" t="str">
        <f>IF(V47&lt;&gt;"SÍ","",INDEX(TABLAS!$D$6:$J$47,MATCH(AV47&amp;"|NDC",TABLAS!$B$6:$B$47,0),AW47)+AX47*(INDEX(TABLAS!$D$6:$J$47,MATCH(AV47&amp;"|NDC",TABLAS!$B$6:$B$47,0),MIN(AW47+1,7))-INDEX(TABLAS!$D$6:$J$47,MATCH(AV47&amp;"|NDC",TABLAS!$B$6:$B$47,0),AW47)))</f>
        <v/>
      </c>
      <c r="BB47" s="59" t="str">
        <f>IF(V47&lt;&gt;"SÍ","",INDEX(TABLAS!$D$6:$J$47,MATCH(AV47&amp;"|NDL",TABLAS!$B$6:$B$47,0),AW47)+AX47*(INDEX(TABLAS!$D$6:$J$47,MATCH(AV47&amp;"|NDL",TABLAS!$B$6:$B$47,0),MIN(AW47+1,7))-INDEX(TABLAS!$D$6:$J$47,MATCH(AV47&amp;"|NDL",TABLAS!$B$6:$B$47,0),AW47)))</f>
        <v/>
      </c>
      <c r="BC47" s="59" t="str">
        <f>IF(V47&lt;&gt;"SÍ","",INDEX(TABLAS!$D$6:$J$47,MATCH(AV47&amp;"|PC",TABLAS!$B$6:$B$47,0),AW47)+AX47*(INDEX(TABLAS!$D$6:$J$47,MATCH(AV47&amp;"|PC",TABLAS!$B$6:$B$47,0),MIN(AW47+1,7))-INDEX(TABLAS!$D$6:$J$47,MATCH(AV47&amp;"|PC",TABLAS!$B$6:$B$47,0),AW47)))</f>
        <v/>
      </c>
      <c r="BD47" s="59" t="str">
        <f>IF(V47&lt;&gt;"SÍ","",INDEX(TABLAS!$D$6:$J$47,MATCH(AV47&amp;"|PL",TABLAS!$B$6:$B$47,0),AW47)+AX47*(INDEX(TABLAS!$D$6:$J$47,MATCH(AV47&amp;"|PL",TABLAS!$B$6:$B$47,0),MIN(AW47+1,7))-INDEX(TABLAS!$D$6:$J$47,MATCH(AV47&amp;"|PL",TABLAS!$B$6:$B$47,0),AW47)))</f>
        <v/>
      </c>
      <c r="BE47" s="56" t="str">
        <f>IF(V47&lt;&gt;"SÍ","",IF(OR(C47&lt;&gt;"VOLADO",MIN(DH47,DI47)=0),0,DATOS!$C$26*DATOS!$C$16*DATOS!$C$86/100*(((AE47*DATOS!$C$81/DATOS!$C$86^2)*DATOS!$C$82/100)*(IF(X47="X",DJ47,DL47)+DATOS!$C$87/2)/100*(AB47-(IF(X47="X",DJ47,DL47)+DATOS!$C$87/2)/2)/100+((AE47*DATOS!$C$81/DATOS!$C$86^2)*DATOS!$C$82/100)*IF(X47="X",DJ47,DL47)/100*IF(X47="X",DJ47,DL47)/200)))</f>
        <v/>
      </c>
      <c r="BF47" s="56" t="str">
        <f>IF(V47&lt;&gt;"SÍ","",IF(OR(C47&lt;&gt;"VOLADO",MIN(DH47,DI47)=0),0,DATOS!$C$26*DATOS!$C$16*DATOS!$C$86/100*((AE47*DATOS!$C$81/DATOS!$C$86^2)*DATOS!$C$82/100)*(IF(X47="X",DJ47,DL47)+DATOS!$C$87/2)/100))</f>
        <v/>
      </c>
      <c r="BG47" s="56" t="str">
        <f>IF(V47&lt;&gt;"SÍ","",IF(C47="PERIMETRAL",BC47*AR47*Y47^2*1E-4*DATOS!$C$86/100/1000,0))</f>
        <v/>
      </c>
      <c r="BH47" s="62" t="str">
        <f>IF(V47&lt;&gt;"SÍ","",IF(C47="PERIMETRAL",MAX(MAX(AY47,BA47)*AR47*Y47^2*1E-4*DATOS!$C$86/100/1000,N(T47)),(AR47*(AB47/100)^2/2+DATOS!$C$26*N(O47)*AB47/100)*DATOS!$C$86/100/1000+BE47))</f>
        <v/>
      </c>
      <c r="BI47" s="56" t="str">
        <f>IF(V47&lt;&gt;"SÍ","",IF(C47="PERIMETRAL",BD47*AR47*Y47^2*1E-4*DATOS!$C$86/100/1000,0))</f>
        <v/>
      </c>
      <c r="BJ47" s="56" t="str">
        <f>IF(V47&lt;&gt;"SÍ","",IF(C47="PERIMETRAL",MAX(MAX(AZ47,BB47)*AR47*Y47^2*1E-4*DATOS!$C$86/100/1000,N(U47)),0))</f>
        <v/>
      </c>
      <c r="BK47" s="63" t="str">
        <f>IF(V47&lt;&gt;"SÍ","",IF(C47&lt;&gt;"PERIMETRAL","—",IF(AND(N(T47)=0,N(U47)=0),"— (sin M⁻ del vecino)",IF(OR(AND(N(T47)&gt;0,ABS(MAX(AY47,BA47)*AR47*Y47^2*1E-4*DATOS!$C$86/100/1000-N(T47))&gt;0.5*MIN(MAX(AY47,BA47)*AR47*Y47^2*1E-4*DATOS!$C$86/100/1000,N(T47))),AND(N(U47)&gt;0,ABS(MAX(AZ47,BB47)*AR47*Y47^2*1E-4*DATOS!$C$86/100/1000-N(U47))&gt;0.5*MIN(MAX(AZ47,BB47)*AR47*Y47^2*1E-4*DATOS!$C$86/100/1000,N(U47)))),"FUERA: difieren &gt; 50 %"&amp;IF(AND(N(T47)&gt;0,ABS(MAX(AY47,BA47)*AR47*Y47^2*1E-4*DATOS!$C$86/100/1000-N(T47))&gt;0.5*MIN(MAX(AY47,BA47)*AR47*Y47^2*1E-4*DATOS!$C$86/100/1000,N(T47)))," ‖ corto","")&amp;IF(AND(N(U47)&gt;0,ABS(MAX(AZ47,BB47)*AR47*Y47^2*1E-4*DATOS!$C$86/100/1000-N(U47))&gt;0.5*MIN(MAX(AZ47,BB47)*AR47*Y47^2*1E-4*DATOS!$C$86/100/1000,N(U47)))," ‖ largo",""),"CUMPLE"))))</f>
        <v/>
      </c>
      <c r="BL47" s="58" t="str">
        <f>IF(V47&lt;&gt;"SÍ","",(DATOS!$C$85-AK47-INDEX(TABLAS!$C$52:$C$58,MATCH(MAX(4,DATOS!$C$71),TABLAS!$B$52:$B$58,0))/2))</f>
        <v/>
      </c>
      <c r="BM47" s="58" t="str">
        <f>IF(V47&lt;&gt;"SÍ","",IF(IF(BG47&lt;=0,0,IF((1-2*BG47*1E5/(DATOS!$C$29*AH47*BL47^2*DATOS!$C$21))&lt;0,-1,IF((1-SQRT((1-2*BG47*1E5/(DATOS!$C$29*AH47*BL47^2*DATOS!$C$21))))*DATOS!$C$21*AH47*BL47/DATOS!$C$14&gt;DATOS!$C$102*AH47*BL47,-1,(1-SQRT((1-2*BG47*1E5/(DATOS!$C$29*AH47*BL47^2*DATOS!$C$21))))*DATOS!$C$21*AH47*BL47/DATOS!$C$14)))&lt;0,-1,MAX(IF(BG47&lt;=0,0,IF((1-2*BG47*1E5/(DATOS!$C$29*AH47*BL47^2*DATOS!$C$21))&lt;0,-1,IF((1-SQRT((1-2*BG47*1E5/(DATOS!$C$29*AH47*BL47^2*DATOS!$C$21))))*DATOS!$C$21*AH47*BL47/DATOS!$C$14&gt;DATOS!$C$102*AH47*BL47,-1,(1-SQRT((1-2*BG47*1E5/(DATOS!$C$29*AH47*BL47^2*DATOS!$C$21))))*DATOS!$C$21*AH47*BL47/DATOS!$C$14))),MIN(DATOS!$C$103*AD47*BL47,4/3*IF(BG47&lt;=0,0,IF((1-2*BG47*1E5/(DATOS!$C$29*AH47*BL47^2*DATOS!$C$21))&lt;0,-1,IF((1-SQRT((1-2*BG47*1E5/(DATOS!$C$29*AH47*BL47^2*DATOS!$C$21))))*DATOS!$C$21*AH47*BL47/DATOS!$C$14&gt;DATOS!$C$102*AH47*BL47,-1,(1-SQRT((1-2*BG47*1E5/(DATOS!$C$29*AH47*BL47^2*DATOS!$C$21))))*DATOS!$C$21*AH47*BL47/DATOS!$C$14)))))))</f>
        <v/>
      </c>
      <c r="BN47" s="64" t="str">
        <f>IF(V47&lt;&gt;"SÍ","",IF(AND(BM47&gt;=0,IF(MAX(DATOS!$C$74,CEILING(BM47/INDEX(TABLAS!$D$52:$D$58,MIN(MATCH(MAX(4,DATOS!$C$71),TABLAS!$B$52:$B$58,0)+0,7)),1))*INDEX(TABLAS!$D$52:$D$58,MIN(MATCH(MAX(4,DATOS!$C$71),TABLAS!$B$52:$B$58,0)+0,7)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+0,7)),1)),MAX(MAX(DATOS!$C$74,CEILING(BM47/INDEX(TABLAS!$D$52:$D$58,MIN(MATCH(MAX(4,DATOS!$C$71),TABLAS!$B$52:$B$58,0)+0,7)),1)),2))&lt;=MIN(DATOS!$C$73,INT(((AD47-2*AK47)+MAX(DATOS!$C$70,INDEX(TABLAS!$C$52:$C$58,MIN(MATCH(MAX(4,DATOS!$C$71),TABLAS!$B$52:$B$58,0)+0,7))))/(INDEX(TABLAS!$C$52:$C$58,MIN(MATCH(MAX(4,DATOS!$C$71),TABLAS!$B$52:$B$58,0)+0,7))+MAX(DATOS!$C$70,INDEX(TABLAS!$C$52:$C$58,MIN(MATCH(MAX(4,DATOS!$C$71),TABLAS!$B$52:$B$58,0)+0,7))))))),INDEX(TABLAS!$B$52:$B$58,MIN(MATCH(MAX(4,DATOS!$C$71),TABLAS!$B$52:$B$58,0)+0,7)),IF(AND(BM47&gt;=0,IF(MAX(DATOS!$C$74,CEILING(BM47/INDEX(TABLAS!$D$52:$D$58,MIN(MATCH(MAX(4,DATOS!$C$71),TABLAS!$B$52:$B$58,0)+1,7)),1))*INDEX(TABLAS!$D$52:$D$58,MIN(MATCH(MAX(4,DATOS!$C$71),TABLAS!$B$52:$B$58,0)+1,7)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+1,7)),1)),MAX(MAX(DATOS!$C$74,CEILING(BM47/INDEX(TABLAS!$D$52:$D$58,MIN(MATCH(MAX(4,DATOS!$C$71),TABLAS!$B$52:$B$58,0)+1,7)),1)),2))&lt;=MIN(DATOS!$C$73,INT(((AD47-2*AK47)+MAX(DATOS!$C$70,INDEX(TABLAS!$C$52:$C$58,MIN(MATCH(MAX(4,DATOS!$C$71),TABLAS!$B$52:$B$58,0)+1,7))))/(INDEX(TABLAS!$C$52:$C$58,MIN(MATCH(MAX(4,DATOS!$C$71),TABLAS!$B$52:$B$58,0)+1,7))+MAX(DATOS!$C$70,INDEX(TABLAS!$C$52:$C$58,MIN(MATCH(MAX(4,DATOS!$C$71),TABLAS!$B$52:$B$58,0)+1,7))))))),INDEX(TABLAS!$B$52:$B$58,MIN(MATCH(MAX(4,DATOS!$C$71),TABLAS!$B$52:$B$58,0)+1,7)),IF(AND(BM47&gt;=0,IF(MAX(DATOS!$C$74,CEILING(BM47/INDEX(TABLAS!$D$52:$D$58,MIN(MATCH(MAX(4,DATOS!$C$71),TABLAS!$B$52:$B$58,0)+2,7)),1))*INDEX(TABLAS!$D$52:$D$58,MIN(MATCH(MAX(4,DATOS!$C$71),TABLAS!$B$52:$B$58,0)+2,7)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+2,7)),1)),MAX(MAX(DATOS!$C$74,CEILING(BM47/INDEX(TABLAS!$D$52:$D$58,MIN(MATCH(MAX(4,DATOS!$C$71),TABLAS!$B$52:$B$58,0)+2,7)),1)),2))&lt;=MIN(DATOS!$C$73,INT(((AD47-2*AK47)+MAX(DATOS!$C$70,INDEX(TABLAS!$C$52:$C$58,MIN(MATCH(MAX(4,DATOS!$C$71),TABLAS!$B$52:$B$58,0)+2,7))))/(INDEX(TABLAS!$C$52:$C$58,MIN(MATCH(MAX(4,DATOS!$C$71),TABLAS!$B$52:$B$58,0)+2,7))+MAX(DATOS!$C$70,INDEX(TABLAS!$C$52:$C$58,MIN(MATCH(MAX(4,DATOS!$C$71),TABLAS!$B$52:$B$58,0)+2,7))))))),INDEX(TABLAS!$B$52:$B$58,MIN(MATCH(MAX(4,DATOS!$C$71),TABLAS!$B$52:$B$58,0)+2,7)),IF(AND(BM47&gt;=0,IF(MAX(DATOS!$C$74,CEILING(BM47/INDEX(TABLAS!$D$52:$D$58,MIN(MATCH(MAX(4,DATOS!$C$71),TABLAS!$B$52:$B$58,0)+3,7)),1))*INDEX(TABLAS!$D$52:$D$58,MIN(MATCH(MAX(4,DATOS!$C$71),TABLAS!$B$52:$B$58,0)+3,7)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+3,7)),1)),MAX(MAX(DATOS!$C$74,CEILING(BM47/INDEX(TABLAS!$D$52:$D$58,MIN(MATCH(MAX(4,DATOS!$C$71),TABLAS!$B$52:$B$58,0)+3,7)),1)),2))&lt;=MIN(DATOS!$C$73,INT(((AD47-2*AK47)+MAX(DATOS!$C$70,INDEX(TABLAS!$C$52:$C$58,MIN(MATCH(MAX(4,DATOS!$C$71),TABLAS!$B$52:$B$58,0)+3,7))))/(INDEX(TABLAS!$C$52:$C$58,MIN(MATCH(MAX(4,DATOS!$C$71),TABLAS!$B$52:$B$58,0)+3,7))+MAX(DATOS!$C$70,INDEX(TABLAS!$C$52:$C$58,MIN(MATCH(MAX(4,DATOS!$C$71),TABLAS!$B$52:$B$58,0)+3,7))))))),INDEX(TABLAS!$B$52:$B$58,MIN(MATCH(MAX(4,DATOS!$C$71),TABLAS!$B$52:$B$58,0)+3,7)),IF(AND(BM47&gt;=0,IF(MAX(DATOS!$C$74,CEILING(BM47/INDEX(TABLAS!$D$52:$D$58,MIN(MATCH(MAX(4,DATOS!$C$71),TABLAS!$B$52:$B$58,0)+4,7)),1))*INDEX(TABLAS!$D$52:$D$58,MIN(MATCH(MAX(4,DATOS!$C$71),TABLAS!$B$52:$B$58,0)+4,7)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+4,7)),1)),MAX(MAX(DATOS!$C$74,CEILING(BM47/INDEX(TABLAS!$D$52:$D$58,MIN(MATCH(MAX(4,DATOS!$C$71),TABLAS!$B$52:$B$58,0)+4,7)),1)),2))&lt;=MIN(DATOS!$C$73,INT(((AD47-2*AK47)+MAX(DATOS!$C$70,INDEX(TABLAS!$C$52:$C$58,MIN(MATCH(MAX(4,DATOS!$C$71),TABLAS!$B$52:$B$58,0)+4,7))))/(INDEX(TABLAS!$C$52:$C$58,MIN(MATCH(MAX(4,DATOS!$C$71),TABLAS!$B$52:$B$58,0)+4,7))+MAX(DATOS!$C$70,INDEX(TABLAS!$C$52:$C$58,MIN(MATCH(MAX(4,DATOS!$C$71),TABLAS!$B$52:$B$58,0)+4,7))))))),INDEX(TABLAS!$B$52:$B$58,MIN(MATCH(MAX(4,DATOS!$C$71),TABLAS!$B$52:$B$58,0)+4,7)),INDEX(TABLAS!$B$52:$B$58,7)))))))</f>
        <v/>
      </c>
      <c r="BO47" s="59" t="str">
        <f>IF(V47&lt;&gt;"SÍ","",IF(BM47&lt;0,0,IF(MAX(DATOS!$C$74,CEILING(MAX(BM47,0)/INDEX(TABLAS!$D$52:$D$58,MATCH(BN47,TABLAS!$B$52:$B$58,0)),1))*INDEX(TABLAS!$D$52:$D$58,MATCH(BN47,TABLAS!$B$52:$B$58,0))&gt;=4/3*IF(BG47&lt;=0,0,IF((1-2*BG47*1E5/(DATOS!$C$29*AH47*BL47^2*DATOS!$C$21))&lt;0,-1,IF((1-SQRT((1-2*BG47*1E5/(DATOS!$C$29*AH47*BL47^2*DATOS!$C$21))))*DATOS!$C$21*AH47*BL47/DATOS!$C$14&gt;DATOS!$C$102*AH47*BL47,-1,(1-SQRT((1-2*BG47*1E5/(DATOS!$C$29*AH47*BL47^2*DATOS!$C$21))))*DATOS!$C$21*AH47*BL47/DATOS!$C$14)))-0.0001,MAX(DATOS!$C$74,CEILING(MAX(BM47,0)/INDEX(TABLAS!$D$52:$D$58,MATCH(BN47,TABLAS!$B$52:$B$58,0)),1)),MAX(MAX(DATOS!$C$74,CEILING(MAX(BM47,0)/INDEX(TABLAS!$D$52:$D$58,MATCH(BN47,TABLAS!$B$52:$B$58,0)),1)),2))))</f>
        <v/>
      </c>
      <c r="BP47" s="58" t="str">
        <f>IF(V47&lt;&gt;"SÍ","",DATOS!$C$85-AK47-INDEX(TABLAS!$C$52:$C$58,MATCH(BN47,TABLAS!$B$52:$B$58,0))/2)</f>
        <v/>
      </c>
      <c r="BQ47" s="56" t="str">
        <f>IF(V47&lt;&gt;"SÍ","",IF(BO47=0,0,DATOS!$C$29*BO47*INDEX(TABLAS!$D$52:$D$58,MATCH(BN47,TABLAS!$B$52:$B$58,0))*DATOS!$C$14*(BP47-BO47*INDEX(TABLAS!$D$52:$D$58,MATCH(BN47,TABLAS!$B$52:$B$58,0))*DATOS!$C$14/(DATOS!$C$21*AH47)/2)/1E5))</f>
        <v/>
      </c>
      <c r="BR47" s="65" t="str">
        <f>IF(V47&lt;&gt;"SÍ","",IF(BM47&lt;0,9.99,IF(BQ47&gt;0,BG47/BQ47,0)))</f>
        <v/>
      </c>
      <c r="BS47" s="66" t="str">
        <f>IF(V47&lt;&gt;"SÍ","",IF(BO47=0,"—",0.003*(BP47-(BO47*INDEX(TABLAS!$D$52:$D$58,MATCH(BN47,TABLAS!$B$52:$B$58,0))*DATOS!$C$14/(DATOS!$C$21*AH47)/DATOS!$C$22))/(BO47*INDEX(TABLAS!$D$52:$D$58,MATCH(BN47,TABLAS!$B$52:$B$58,0))*DATOS!$C$14/(DATOS!$C$21*AH47)/DATOS!$C$22)))</f>
        <v/>
      </c>
      <c r="BT47" s="58" t="str">
        <f>IF(V47&lt;&gt;"SÍ","",((DATOS!$C$85-AM47-2*DATOS!$C$97-INDEX(TABLAS!$C$52:$C$58,MATCH(MAX(4,DATOS!$C$72),TABLAS!$B$52:$B$58,0))/2)-IF(AND((DATOS!$C$85-AM47-2*DATOS!$C$97-INDEX(TABLAS!$C$52:$C$58,MATCH(MAX(4,DATOS!$C$72),TABLAS!$B$52:$B$58,0))/2)&lt;=20,DATOS!$C$65&lt;&gt;"SÍ"),2,0)))</f>
        <v/>
      </c>
      <c r="BU47" s="58" t="str">
        <f>IF(V47&lt;&gt;"SÍ","",IF(IF(BH47&lt;=0,0,IF((1-2*BH47*1E5/(DATOS!$C$29*AF47*BT47^2*DATOS!$C$21))&lt;0,-1,IF((1-SQRT((1-2*BH47*1E5/(DATOS!$C$29*AF47*BT47^2*DATOS!$C$21))))*DATOS!$C$21*AF47*BT47/DATOS!$C$14&gt;DATOS!$C$102*AF47*BT47,-1,(1-SQRT((1-2*BH47*1E5/(DATOS!$C$29*AF47*BT47^2*DATOS!$C$21))))*DATOS!$C$21*AF47*BT47/DATOS!$C$14)))&lt;0,-1,MAX(IF(BH47&lt;=0,0,IF((1-2*BH47*1E5/(DATOS!$C$29*AF47*BT47^2*DATOS!$C$21))&lt;0,-1,IF((1-SQRT((1-2*BH47*1E5/(DATOS!$C$29*AF47*BT47^2*DATOS!$C$21))))*DATOS!$C$21*AF47*BT47/DATOS!$C$14&gt;DATOS!$C$102*AF47*BT47,-1,(1-SQRT((1-2*BH47*1E5/(DATOS!$C$29*AF47*BT47^2*DATOS!$C$21))))*DATOS!$C$21*AF47*BT47/DATOS!$C$14))),MIN(DATOS!$C$103*IF(C47="VOLADO",MIN(AH47,2*AD47),AD47)*BT47,4/3*IF(BH47&lt;=0,0,IF((1-2*BH47*1E5/(DATOS!$C$29*AF47*BT47^2*DATOS!$C$21))&lt;0,-1,IF((1-SQRT((1-2*BH47*1E5/(DATOS!$C$29*AF47*BT47^2*DATOS!$C$21))))*DATOS!$C$21*AF47*BT47/DATOS!$C$14&gt;DATOS!$C$102*AF47*BT47,-1,(1-SQRT((1-2*BH47*1E5/(DATOS!$C$29*AF47*BT47^2*DATOS!$C$21))))*DATOS!$C$21*AF47*BT47/DATOS!$C$14)))))))</f>
        <v/>
      </c>
      <c r="BV47" s="64" t="str">
        <f>IF(V47&lt;&gt;"SÍ","",IF(AND(BU47&gt;=0,IF(MAX(DATOS!$C$74,CEILING(BU47/INDEX(TABLAS!$D$52:$D$58,MIN(MATCH(MAX(4,DATOS!$C$72),TABLAS!$B$52:$B$58,0)+0,7)),1))*INDEX(TABLAS!$D$52:$D$58,MIN(MATCH(MAX(4,DATOS!$C$72),TABLAS!$B$52:$B$58,0)+0,7)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+0,7)),1)),MAX(MAX(DATOS!$C$74,CEILING(BU47/INDEX(TABLAS!$D$52:$D$58,MIN(MATCH(MAX(4,DATOS!$C$72),TABLAS!$B$52:$B$58,0)+0,7)),1)),2))&lt;=MIN(DATOS!$C$73,INT(((AD47-2*AL47)+MAX(DATOS!$C$70,INDEX(TABLAS!$C$52:$C$58,MIN(MATCH(MAX(4,DATOS!$C$72),TABLAS!$B$52:$B$58,0)+0,7))))/(INDEX(TABLAS!$C$52:$C$58,MIN(MATCH(MAX(4,DATOS!$C$72),TABLAS!$B$52:$B$58,0)+0,7))+MAX(DATOS!$C$70,INDEX(TABLAS!$C$52:$C$58,MIN(MATCH(MAX(4,DATOS!$C$72),TABLAS!$B$52:$B$58,0)+0,7))))))),INDEX(TABLAS!$B$52:$B$58,MIN(MATCH(MAX(4,DATOS!$C$72),TABLAS!$B$52:$B$58,0)+0,7)),IF(AND(BU47&gt;=0,IF(MAX(DATOS!$C$74,CEILING(BU47/INDEX(TABLAS!$D$52:$D$58,MIN(MATCH(MAX(4,DATOS!$C$72),TABLAS!$B$52:$B$58,0)+1,7)),1))*INDEX(TABLAS!$D$52:$D$58,MIN(MATCH(MAX(4,DATOS!$C$72),TABLAS!$B$52:$B$58,0)+1,7)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+1,7)),1)),MAX(MAX(DATOS!$C$74,CEILING(BU47/INDEX(TABLAS!$D$52:$D$58,MIN(MATCH(MAX(4,DATOS!$C$72),TABLAS!$B$52:$B$58,0)+1,7)),1)),2))&lt;=MIN(DATOS!$C$73,INT(((AD47-2*AL47)+MAX(DATOS!$C$70,INDEX(TABLAS!$C$52:$C$58,MIN(MATCH(MAX(4,DATOS!$C$72),TABLAS!$B$52:$B$58,0)+1,7))))/(INDEX(TABLAS!$C$52:$C$58,MIN(MATCH(MAX(4,DATOS!$C$72),TABLAS!$B$52:$B$58,0)+1,7))+MAX(DATOS!$C$70,INDEX(TABLAS!$C$52:$C$58,MIN(MATCH(MAX(4,DATOS!$C$72),TABLAS!$B$52:$B$58,0)+1,7))))))),INDEX(TABLAS!$B$52:$B$58,MIN(MATCH(MAX(4,DATOS!$C$72),TABLAS!$B$52:$B$58,0)+1,7)),IF(AND(BU47&gt;=0,IF(MAX(DATOS!$C$74,CEILING(BU47/INDEX(TABLAS!$D$52:$D$58,MIN(MATCH(MAX(4,DATOS!$C$72),TABLAS!$B$52:$B$58,0)+2,7)),1))*INDEX(TABLAS!$D$52:$D$58,MIN(MATCH(MAX(4,DATOS!$C$72),TABLAS!$B$52:$B$58,0)+2,7)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+2,7)),1)),MAX(MAX(DATOS!$C$74,CEILING(BU47/INDEX(TABLAS!$D$52:$D$58,MIN(MATCH(MAX(4,DATOS!$C$72),TABLAS!$B$52:$B$58,0)+2,7)),1)),2))&lt;=MIN(DATOS!$C$73,INT(((AD47-2*AL47)+MAX(DATOS!$C$70,INDEX(TABLAS!$C$52:$C$58,MIN(MATCH(MAX(4,DATOS!$C$72),TABLAS!$B$52:$B$58,0)+2,7))))/(INDEX(TABLAS!$C$52:$C$58,MIN(MATCH(MAX(4,DATOS!$C$72),TABLAS!$B$52:$B$58,0)+2,7))+MAX(DATOS!$C$70,INDEX(TABLAS!$C$52:$C$58,MIN(MATCH(MAX(4,DATOS!$C$72),TABLAS!$B$52:$B$58,0)+2,7))))))),INDEX(TABLAS!$B$52:$B$58,MIN(MATCH(MAX(4,DATOS!$C$72),TABLAS!$B$52:$B$58,0)+2,7)),IF(AND(BU47&gt;=0,IF(MAX(DATOS!$C$74,CEILING(BU47/INDEX(TABLAS!$D$52:$D$58,MIN(MATCH(MAX(4,DATOS!$C$72),TABLAS!$B$52:$B$58,0)+3,7)),1))*INDEX(TABLAS!$D$52:$D$58,MIN(MATCH(MAX(4,DATOS!$C$72),TABLAS!$B$52:$B$58,0)+3,7)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+3,7)),1)),MAX(MAX(DATOS!$C$74,CEILING(BU47/INDEX(TABLAS!$D$52:$D$58,MIN(MATCH(MAX(4,DATOS!$C$72),TABLAS!$B$52:$B$58,0)+3,7)),1)),2))&lt;=MIN(DATOS!$C$73,INT(((AD47-2*AL47)+MAX(DATOS!$C$70,INDEX(TABLAS!$C$52:$C$58,MIN(MATCH(MAX(4,DATOS!$C$72),TABLAS!$B$52:$B$58,0)+3,7))))/(INDEX(TABLAS!$C$52:$C$58,MIN(MATCH(MAX(4,DATOS!$C$72),TABLAS!$B$52:$B$58,0)+3,7))+MAX(DATOS!$C$70,INDEX(TABLAS!$C$52:$C$58,MIN(MATCH(MAX(4,DATOS!$C$72),TABLAS!$B$52:$B$58,0)+3,7))))))),INDEX(TABLAS!$B$52:$B$58,MIN(MATCH(MAX(4,DATOS!$C$72),TABLAS!$B$52:$B$58,0)+3,7)),IF(AND(BU47&gt;=0,IF(MAX(DATOS!$C$74,CEILING(BU47/INDEX(TABLAS!$D$52:$D$58,MIN(MATCH(MAX(4,DATOS!$C$72),TABLAS!$B$52:$B$58,0)+4,7)),1))*INDEX(TABLAS!$D$52:$D$58,MIN(MATCH(MAX(4,DATOS!$C$72),TABLAS!$B$52:$B$58,0)+4,7)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+4,7)),1)),MAX(MAX(DATOS!$C$74,CEILING(BU47/INDEX(TABLAS!$D$52:$D$58,MIN(MATCH(MAX(4,DATOS!$C$72),TABLAS!$B$52:$B$58,0)+4,7)),1)),2))&lt;=MIN(DATOS!$C$73,INT(((AD47-2*AL47)+MAX(DATOS!$C$70,INDEX(TABLAS!$C$52:$C$58,MIN(MATCH(MAX(4,DATOS!$C$72),TABLAS!$B$52:$B$58,0)+4,7))))/(INDEX(TABLAS!$C$52:$C$58,MIN(MATCH(MAX(4,DATOS!$C$72),TABLAS!$B$52:$B$58,0)+4,7))+MAX(DATOS!$C$70,INDEX(TABLAS!$C$52:$C$58,MIN(MATCH(MAX(4,DATOS!$C$72),TABLAS!$B$52:$B$58,0)+4,7))))))),INDEX(TABLAS!$B$52:$B$58,MIN(MATCH(MAX(4,DATOS!$C$72),TABLAS!$B$52:$B$58,0)+4,7)),INDEX(TABLAS!$B$52:$B$58,7)))))))</f>
        <v/>
      </c>
      <c r="BW47" s="59" t="str">
        <f>IF(V47&lt;&gt;"SÍ","",IF(BU47&lt;0,0,IF(MAX(DATOS!$C$74,CEILING(MAX(BU47,0)/INDEX(TABLAS!$D$52:$D$58,MATCH(BV47,TABLAS!$B$52:$B$58,0)),1))*INDEX(TABLAS!$D$52:$D$58,MATCH(BV47,TABLAS!$B$52:$B$58,0))&gt;=4/3*IF(BH47&lt;=0,0,IF((1-2*BH47*1E5/(DATOS!$C$29*AF47*BT47^2*DATOS!$C$21))&lt;0,-1,IF((1-SQRT((1-2*BH47*1E5/(DATOS!$C$29*AF47*BT47^2*DATOS!$C$21))))*DATOS!$C$21*AF47*BT47/DATOS!$C$14&gt;DATOS!$C$102*AF47*BT47,-1,(1-SQRT((1-2*BH47*1E5/(DATOS!$C$29*AF47*BT47^2*DATOS!$C$21))))*DATOS!$C$21*AF47*BT47/DATOS!$C$14)))-0.0001,MAX(DATOS!$C$74,CEILING(MAX(BU47,0)/INDEX(TABLAS!$D$52:$D$58,MATCH(BV47,TABLAS!$B$52:$B$58,0)),1)),MAX(MAX(DATOS!$C$74,CEILING(MAX(BU47,0)/INDEX(TABLAS!$D$52:$D$58,MATCH(BV47,TABLAS!$B$52:$B$58,0)),1)),2))))</f>
        <v/>
      </c>
      <c r="BX47" s="58" t="str">
        <f>IF(V47&lt;&gt;"SÍ","",((DATOS!$C$85-AM47-2*DATOS!$C$97-INDEX(TABLAS!$C$52:$C$58,MATCH(BV47,TABLAS!$B$52:$B$58,0))/2)-IF(AND((DATOS!$C$85-AM47-2*DATOS!$C$97-INDEX(TABLAS!$C$52:$C$58,MATCH(BV47,TABLAS!$B$52:$B$58,0))/2)&lt;=20,DATOS!$C$65&lt;&gt;"SÍ"),2,0)))</f>
        <v/>
      </c>
      <c r="BY47" s="56" t="str">
        <f>IF(V47&lt;&gt;"SÍ","",IF(BW47=0,0,DATOS!$C$29*BW47*INDEX(TABLAS!$D$52:$D$58,MATCH(BV47,TABLAS!$B$52:$B$58,0))*DATOS!$C$14*(BX47-BW47*INDEX(TABLAS!$D$52:$D$58,MATCH(BV47,TABLAS!$B$52:$B$58,0))*DATOS!$C$14/(DATOS!$C$21*AF47)/2)/1E5))</f>
        <v/>
      </c>
      <c r="BZ47" s="65" t="str">
        <f>IF(V47&lt;&gt;"SÍ","",IF(BU47&lt;0,9.99,IF(BY47&gt;0,BH47/BY47,0)))</f>
        <v/>
      </c>
      <c r="CA47" s="66" t="str">
        <f>IF(V47&lt;&gt;"SÍ","",IF(BW47=0,"—",0.003*(BX47-(BW47*INDEX(TABLAS!$D$52:$D$58,MATCH(BV47,TABLAS!$B$52:$B$58,0))*DATOS!$C$14/(DATOS!$C$21*AF47)/DATOS!$C$22))/(BW47*INDEX(TABLAS!$D$52:$D$58,MATCH(BV47,TABLAS!$B$52:$B$58,0))*DATOS!$C$14/(DATOS!$C$21*AF47)/DATOS!$C$22)))</f>
        <v/>
      </c>
      <c r="CB47" s="58" t="str">
        <f>IF(V47&lt;&gt;"SÍ","",(DATOS!$C$85-AK47-INDEX(TABLAS!$C$52:$C$58,MATCH(MAX(4,DATOS!$C$71),TABLAS!$B$52:$B$58,0))-INDEX(TABLAS!$C$52:$C$58,MATCH(MAX(4,DATOS!$C$71),TABLAS!$B$52:$B$58,0))/2))</f>
        <v/>
      </c>
      <c r="CC47" s="58" t="str">
        <f>IF(V47&lt;&gt;"SÍ","",IF(IF(BI47&lt;=0,0,IF((1-2*BI47*1E5/(DATOS!$C$29*AI47*CB47^2*DATOS!$C$21))&lt;0,-1,IF((1-SQRT((1-2*BI47*1E5/(DATOS!$C$29*AI47*CB47^2*DATOS!$C$21))))*DATOS!$C$21*AI47*CB47/DATOS!$C$14&gt;DATOS!$C$102*AI47*CB47,-1,(1-SQRT((1-2*BI47*1E5/(DATOS!$C$29*AI47*CB47^2*DATOS!$C$21))))*DATOS!$C$21*AI47*CB47/DATOS!$C$14)))&lt;0,-1,MAX(IF(BI47&lt;=0,0,IF((1-2*BI47*1E5/(DATOS!$C$29*AI47*CB47^2*DATOS!$C$21))&lt;0,-1,IF((1-SQRT((1-2*BI47*1E5/(DATOS!$C$29*AI47*CB47^2*DATOS!$C$21))))*DATOS!$C$21*AI47*CB47/DATOS!$C$14&gt;DATOS!$C$102*AI47*CB47,-1,(1-SQRT((1-2*BI47*1E5/(DATOS!$C$29*AI47*CB47^2*DATOS!$C$21))))*DATOS!$C$21*AI47*CB47/DATOS!$C$14))),MIN(DATOS!$C$103*DATOS!$C$83*CB47,4/3*IF(BI47&lt;=0,0,IF((1-2*BI47*1E5/(DATOS!$C$29*AI47*CB47^2*DATOS!$C$21))&lt;0,-1,IF((1-SQRT((1-2*BI47*1E5/(DATOS!$C$29*AI47*CB47^2*DATOS!$C$21))))*DATOS!$C$21*AI47*CB47/DATOS!$C$14&gt;DATOS!$C$102*AI47*CB47,-1,(1-SQRT((1-2*BI47*1E5/(DATOS!$C$29*AI47*CB47^2*DATOS!$C$21))))*DATOS!$C$21*AI47*CB47/DATOS!$C$14)))))))</f>
        <v/>
      </c>
      <c r="CD47" s="64" t="str">
        <f>IF(V47&lt;&gt;"SÍ","",IF(AND(CC47&gt;=0,IF(MAX(DATOS!$C$74,CEILING(CC47/INDEX(TABLAS!$D$52:$D$58,MIN(MATCH(MAX(4,DATOS!$C$71),TABLAS!$B$52:$B$58,0)+0,7)),1))*INDEX(TABLAS!$D$52:$D$58,MIN(MATCH(MAX(4,DATOS!$C$71),TABLAS!$B$52:$B$58,0)+0,7)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+0,7)),1)),MAX(MAX(DATOS!$C$74,CEILING(CC47/INDEX(TABLAS!$D$52:$D$58,MIN(MATCH(MAX(4,DATOS!$C$71),TABLAS!$B$52:$B$58,0)+0,7)),1)),2))&lt;=MIN(DATOS!$C$73,INT(((DATOS!$C$83-2*AK47)+MAX(DATOS!$C$70,INDEX(TABLAS!$C$52:$C$58,MIN(MATCH(MAX(4,DATOS!$C$71),TABLAS!$B$52:$B$58,0)+0,7))))/(INDEX(TABLAS!$C$52:$C$58,MIN(MATCH(MAX(4,DATOS!$C$71),TABLAS!$B$52:$B$58,0)+0,7))+MAX(DATOS!$C$70,INDEX(TABLAS!$C$52:$C$58,MIN(MATCH(MAX(4,DATOS!$C$71),TABLAS!$B$52:$B$58,0)+0,7))))))),INDEX(TABLAS!$B$52:$B$58,MIN(MATCH(MAX(4,DATOS!$C$71),TABLAS!$B$52:$B$58,0)+0,7)),IF(AND(CC47&gt;=0,IF(MAX(DATOS!$C$74,CEILING(CC47/INDEX(TABLAS!$D$52:$D$58,MIN(MATCH(MAX(4,DATOS!$C$71),TABLAS!$B$52:$B$58,0)+1,7)),1))*INDEX(TABLAS!$D$52:$D$58,MIN(MATCH(MAX(4,DATOS!$C$71),TABLAS!$B$52:$B$58,0)+1,7)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+1,7)),1)),MAX(MAX(DATOS!$C$74,CEILING(CC47/INDEX(TABLAS!$D$52:$D$58,MIN(MATCH(MAX(4,DATOS!$C$71),TABLAS!$B$52:$B$58,0)+1,7)),1)),2))&lt;=MIN(DATOS!$C$73,INT(((DATOS!$C$83-2*AK47)+MAX(DATOS!$C$70,INDEX(TABLAS!$C$52:$C$58,MIN(MATCH(MAX(4,DATOS!$C$71),TABLAS!$B$52:$B$58,0)+1,7))))/(INDEX(TABLAS!$C$52:$C$58,MIN(MATCH(MAX(4,DATOS!$C$71),TABLAS!$B$52:$B$58,0)+1,7))+MAX(DATOS!$C$70,INDEX(TABLAS!$C$52:$C$58,MIN(MATCH(MAX(4,DATOS!$C$71),TABLAS!$B$52:$B$58,0)+1,7))))))),INDEX(TABLAS!$B$52:$B$58,MIN(MATCH(MAX(4,DATOS!$C$71),TABLAS!$B$52:$B$58,0)+1,7)),IF(AND(CC47&gt;=0,IF(MAX(DATOS!$C$74,CEILING(CC47/INDEX(TABLAS!$D$52:$D$58,MIN(MATCH(MAX(4,DATOS!$C$71),TABLAS!$B$52:$B$58,0)+2,7)),1))*INDEX(TABLAS!$D$52:$D$58,MIN(MATCH(MAX(4,DATOS!$C$71),TABLAS!$B$52:$B$58,0)+2,7)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+2,7)),1)),MAX(MAX(DATOS!$C$74,CEILING(CC47/INDEX(TABLAS!$D$52:$D$58,MIN(MATCH(MAX(4,DATOS!$C$71),TABLAS!$B$52:$B$58,0)+2,7)),1)),2))&lt;=MIN(DATOS!$C$73,INT(((DATOS!$C$83-2*AK47)+MAX(DATOS!$C$70,INDEX(TABLAS!$C$52:$C$58,MIN(MATCH(MAX(4,DATOS!$C$71),TABLAS!$B$52:$B$58,0)+2,7))))/(INDEX(TABLAS!$C$52:$C$58,MIN(MATCH(MAX(4,DATOS!$C$71),TABLAS!$B$52:$B$58,0)+2,7))+MAX(DATOS!$C$70,INDEX(TABLAS!$C$52:$C$58,MIN(MATCH(MAX(4,DATOS!$C$71),TABLAS!$B$52:$B$58,0)+2,7))))))),INDEX(TABLAS!$B$52:$B$58,MIN(MATCH(MAX(4,DATOS!$C$71),TABLAS!$B$52:$B$58,0)+2,7)),IF(AND(CC47&gt;=0,IF(MAX(DATOS!$C$74,CEILING(CC47/INDEX(TABLAS!$D$52:$D$58,MIN(MATCH(MAX(4,DATOS!$C$71),TABLAS!$B$52:$B$58,0)+3,7)),1))*INDEX(TABLAS!$D$52:$D$58,MIN(MATCH(MAX(4,DATOS!$C$71),TABLAS!$B$52:$B$58,0)+3,7)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+3,7)),1)),MAX(MAX(DATOS!$C$74,CEILING(CC47/INDEX(TABLAS!$D$52:$D$58,MIN(MATCH(MAX(4,DATOS!$C$71),TABLAS!$B$52:$B$58,0)+3,7)),1)),2))&lt;=MIN(DATOS!$C$73,INT(((DATOS!$C$83-2*AK47)+MAX(DATOS!$C$70,INDEX(TABLAS!$C$52:$C$58,MIN(MATCH(MAX(4,DATOS!$C$71),TABLAS!$B$52:$B$58,0)+3,7))))/(INDEX(TABLAS!$C$52:$C$58,MIN(MATCH(MAX(4,DATOS!$C$71),TABLAS!$B$52:$B$58,0)+3,7))+MAX(DATOS!$C$70,INDEX(TABLAS!$C$52:$C$58,MIN(MATCH(MAX(4,DATOS!$C$71),TABLAS!$B$52:$B$58,0)+3,7))))))),INDEX(TABLAS!$B$52:$B$58,MIN(MATCH(MAX(4,DATOS!$C$71),TABLAS!$B$52:$B$58,0)+3,7)),IF(AND(CC47&gt;=0,IF(MAX(DATOS!$C$74,CEILING(CC47/INDEX(TABLAS!$D$52:$D$58,MIN(MATCH(MAX(4,DATOS!$C$71),TABLAS!$B$52:$B$58,0)+4,7)),1))*INDEX(TABLAS!$D$52:$D$58,MIN(MATCH(MAX(4,DATOS!$C$71),TABLAS!$B$52:$B$58,0)+4,7)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+4,7)),1)),MAX(MAX(DATOS!$C$74,CEILING(CC47/INDEX(TABLAS!$D$52:$D$58,MIN(MATCH(MAX(4,DATOS!$C$71),TABLAS!$B$52:$B$58,0)+4,7)),1)),2))&lt;=MIN(DATOS!$C$73,INT(((DATOS!$C$83-2*AK47)+MAX(DATOS!$C$70,INDEX(TABLAS!$C$52:$C$58,MIN(MATCH(MAX(4,DATOS!$C$71),TABLAS!$B$52:$B$58,0)+4,7))))/(INDEX(TABLAS!$C$52:$C$58,MIN(MATCH(MAX(4,DATOS!$C$71),TABLAS!$B$52:$B$58,0)+4,7))+MAX(DATOS!$C$70,INDEX(TABLAS!$C$52:$C$58,MIN(MATCH(MAX(4,DATOS!$C$71),TABLAS!$B$52:$B$58,0)+4,7))))))),INDEX(TABLAS!$B$52:$B$58,MIN(MATCH(MAX(4,DATOS!$C$71),TABLAS!$B$52:$B$58,0)+4,7)),INDEX(TABLAS!$B$52:$B$58,7)))))))</f>
        <v/>
      </c>
      <c r="CE47" s="59" t="str">
        <f>IF(V47&lt;&gt;"SÍ","",IF(CC47&lt;0,0,IF(MAX(DATOS!$C$74,CEILING(MAX(CC47,0)/INDEX(TABLAS!$D$52:$D$58,MATCH(CD47,TABLAS!$B$52:$B$58,0)),1))*INDEX(TABLAS!$D$52:$D$58,MATCH(CD47,TABLAS!$B$52:$B$58,0))&gt;=4/3*IF(BI47&lt;=0,0,IF((1-2*BI47*1E5/(DATOS!$C$29*AI47*CB47^2*DATOS!$C$21))&lt;0,-1,IF((1-SQRT((1-2*BI47*1E5/(DATOS!$C$29*AI47*CB47^2*DATOS!$C$21))))*DATOS!$C$21*AI47*CB47/DATOS!$C$14&gt;DATOS!$C$102*AI47*CB47,-1,(1-SQRT((1-2*BI47*1E5/(DATOS!$C$29*AI47*CB47^2*DATOS!$C$21))))*DATOS!$C$21*AI47*CB47/DATOS!$C$14)))-0.0001,MAX(DATOS!$C$74,CEILING(MAX(CC47,0)/INDEX(TABLAS!$D$52:$D$58,MATCH(CD47,TABLAS!$B$52:$B$58,0)),1)),MAX(MAX(DATOS!$C$74,CEILING(MAX(CC47,0)/INDEX(TABLAS!$D$52:$D$58,MATCH(CD47,TABLAS!$B$52:$B$58,0)),1)),2))))</f>
        <v/>
      </c>
      <c r="CF47" s="58" t="str">
        <f>IF(V47&lt;&gt;"SÍ","",DATOS!$C$85-AK47-INDEX(TABLAS!$C$52:$C$58,MATCH(BN47,TABLAS!$B$52:$B$58,0))-INDEX(TABLAS!$C$52:$C$58,MATCH(CD47,TABLAS!$B$52:$B$58,0))/2)</f>
        <v/>
      </c>
      <c r="CG47" s="56" t="str">
        <f>IF(V47&lt;&gt;"SÍ","",IF(CE47=0,0,DATOS!$C$29*CE47*INDEX(TABLAS!$D$52:$D$58,MATCH(CD47,TABLAS!$B$52:$B$58,0))*DATOS!$C$14*(CF47-CE47*INDEX(TABLAS!$D$52:$D$58,MATCH(CD47,TABLAS!$B$52:$B$58,0))*DATOS!$C$14/(DATOS!$C$21*AI47)/2)/1E5))</f>
        <v/>
      </c>
      <c r="CH47" s="65" t="str">
        <f>IF(V47&lt;&gt;"SÍ","",IF(CC47&lt;0,9.99,IF(CG47&gt;0,BI47/CG47,0)))</f>
        <v/>
      </c>
      <c r="CI47" s="66" t="str">
        <f>IF(V47&lt;&gt;"SÍ","",IF(CE47=0,"—",0.003*(CF47-(CE47*INDEX(TABLAS!$D$52:$D$58,MATCH(CD47,TABLAS!$B$52:$B$58,0))*DATOS!$C$14/(DATOS!$C$21*AI47)/DATOS!$C$22))/(CE47*INDEX(TABLAS!$D$52:$D$58,MATCH(CD47,TABLAS!$B$52:$B$58,0))*DATOS!$C$14/(DATOS!$C$21*AI47)/DATOS!$C$22)))</f>
        <v/>
      </c>
      <c r="CJ47" s="58" t="str">
        <f>IF(V47&lt;&gt;"SÍ","",((DATOS!$C$85-AM47-2*DATOS!$C$97-INDEX(TABLAS!$C$52:$C$58,MATCH(MAX(4,DATOS!$C$72),TABLAS!$B$52:$B$58,0))-INDEX(TABLAS!$C$52:$C$58,MATCH(MAX(4,DATOS!$C$72),TABLAS!$B$52:$B$58,0))/2)-IF(AND((DATOS!$C$85-AM47-2*DATOS!$C$97-INDEX(TABLAS!$C$52:$C$58,MATCH(MAX(4,DATOS!$C$72),TABLAS!$B$52:$B$58,0))-INDEX(TABLAS!$C$52:$C$58,MATCH(MAX(4,DATOS!$C$72),TABLAS!$B$52:$B$58,0))/2)&lt;=20,DATOS!$C$65&lt;&gt;"SÍ"),2,0)))</f>
        <v/>
      </c>
      <c r="CK47" s="58" t="str">
        <f>IF(V47&lt;&gt;"SÍ","",IF(IF(BJ47&lt;=0,0,IF((1-2*BJ47*1E5/(DATOS!$C$29*AG47*CJ47^2*DATOS!$C$21))&lt;0,-1,IF((1-SQRT((1-2*BJ47*1E5/(DATOS!$C$29*AG47*CJ47^2*DATOS!$C$21))))*DATOS!$C$21*AG47*CJ47/DATOS!$C$14&gt;DATOS!$C$102*AG47*CJ47,-1,(1-SQRT((1-2*BJ47*1E5/(DATOS!$C$29*AG47*CJ47^2*DATOS!$C$21))))*DATOS!$C$21*AG47*CJ47/DATOS!$C$14)))&lt;0,-1,MAX(IF(BJ47&lt;=0,0,IF((1-2*BJ47*1E5/(DATOS!$C$29*AG47*CJ47^2*DATOS!$C$21))&lt;0,-1,IF((1-SQRT((1-2*BJ47*1E5/(DATOS!$C$29*AG47*CJ47^2*DATOS!$C$21))))*DATOS!$C$21*AG47*CJ47/DATOS!$C$14&gt;DATOS!$C$102*AG47*CJ47,-1,(1-SQRT((1-2*BJ47*1E5/(DATOS!$C$29*AG47*CJ47^2*DATOS!$C$21))))*DATOS!$C$21*AG47*CJ47/DATOS!$C$14))),MIN(DATOS!$C$103*DATOS!$C$83*CJ47,4/3*IF(BJ47&lt;=0,0,IF((1-2*BJ47*1E5/(DATOS!$C$29*AG47*CJ47^2*DATOS!$C$21))&lt;0,-1,IF((1-SQRT((1-2*BJ47*1E5/(DATOS!$C$29*AG47*CJ47^2*DATOS!$C$21))))*DATOS!$C$21*AG47*CJ47/DATOS!$C$14&gt;DATOS!$C$102*AG47*CJ47,-1,(1-SQRT((1-2*BJ47*1E5/(DATOS!$C$29*AG47*CJ47^2*DATOS!$C$21))))*DATOS!$C$21*AG47*CJ47/DATOS!$C$14)))))))</f>
        <v/>
      </c>
      <c r="CL47" s="64" t="str">
        <f>IF(V47&lt;&gt;"SÍ","",IF(AND(CK47&gt;=0,IF(MAX(DATOS!$C$74,CEILING(CK47/INDEX(TABLAS!$D$52:$D$58,MIN(MATCH(MAX(4,DATOS!$C$72),TABLAS!$B$52:$B$58,0)+0,7)),1))*INDEX(TABLAS!$D$52:$D$58,MIN(MATCH(MAX(4,DATOS!$C$72),TABLAS!$B$52:$B$58,0)+0,7)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+0,7)),1)),MAX(MAX(DATOS!$C$74,CEILING(CK47/INDEX(TABLAS!$D$52:$D$58,MIN(MATCH(MAX(4,DATOS!$C$72),TABLAS!$B$52:$B$58,0)+0,7)),1)),2))&lt;=MIN(DATOS!$C$73,INT(((DATOS!$C$83-2*AL47)+MAX(DATOS!$C$70,INDEX(TABLAS!$C$52:$C$58,MIN(MATCH(MAX(4,DATOS!$C$72),TABLAS!$B$52:$B$58,0)+0,7))))/(INDEX(TABLAS!$C$52:$C$58,MIN(MATCH(MAX(4,DATOS!$C$72),TABLAS!$B$52:$B$58,0)+0,7))+MAX(DATOS!$C$70,INDEX(TABLAS!$C$52:$C$58,MIN(MATCH(MAX(4,DATOS!$C$72),TABLAS!$B$52:$B$58,0)+0,7))))))),INDEX(TABLAS!$B$52:$B$58,MIN(MATCH(MAX(4,DATOS!$C$72),TABLAS!$B$52:$B$58,0)+0,7)),IF(AND(CK47&gt;=0,IF(MAX(DATOS!$C$74,CEILING(CK47/INDEX(TABLAS!$D$52:$D$58,MIN(MATCH(MAX(4,DATOS!$C$72),TABLAS!$B$52:$B$58,0)+1,7)),1))*INDEX(TABLAS!$D$52:$D$58,MIN(MATCH(MAX(4,DATOS!$C$72),TABLAS!$B$52:$B$58,0)+1,7)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+1,7)),1)),MAX(MAX(DATOS!$C$74,CEILING(CK47/INDEX(TABLAS!$D$52:$D$58,MIN(MATCH(MAX(4,DATOS!$C$72),TABLAS!$B$52:$B$58,0)+1,7)),1)),2))&lt;=MIN(DATOS!$C$73,INT(((DATOS!$C$83-2*AL47)+MAX(DATOS!$C$70,INDEX(TABLAS!$C$52:$C$58,MIN(MATCH(MAX(4,DATOS!$C$72),TABLAS!$B$52:$B$58,0)+1,7))))/(INDEX(TABLAS!$C$52:$C$58,MIN(MATCH(MAX(4,DATOS!$C$72),TABLAS!$B$52:$B$58,0)+1,7))+MAX(DATOS!$C$70,INDEX(TABLAS!$C$52:$C$58,MIN(MATCH(MAX(4,DATOS!$C$72),TABLAS!$B$52:$B$58,0)+1,7))))))),INDEX(TABLAS!$B$52:$B$58,MIN(MATCH(MAX(4,DATOS!$C$72),TABLAS!$B$52:$B$58,0)+1,7)),IF(AND(CK47&gt;=0,IF(MAX(DATOS!$C$74,CEILING(CK47/INDEX(TABLAS!$D$52:$D$58,MIN(MATCH(MAX(4,DATOS!$C$72),TABLAS!$B$52:$B$58,0)+2,7)),1))*INDEX(TABLAS!$D$52:$D$58,MIN(MATCH(MAX(4,DATOS!$C$72),TABLAS!$B$52:$B$58,0)+2,7)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+2,7)),1)),MAX(MAX(DATOS!$C$74,CEILING(CK47/INDEX(TABLAS!$D$52:$D$58,MIN(MATCH(MAX(4,DATOS!$C$72),TABLAS!$B$52:$B$58,0)+2,7)),1)),2))&lt;=MIN(DATOS!$C$73,INT(((DATOS!$C$83-2*AL47)+MAX(DATOS!$C$70,INDEX(TABLAS!$C$52:$C$58,MIN(MATCH(MAX(4,DATOS!$C$72),TABLAS!$B$52:$B$58,0)+2,7))))/(INDEX(TABLAS!$C$52:$C$58,MIN(MATCH(MAX(4,DATOS!$C$72),TABLAS!$B$52:$B$58,0)+2,7))+MAX(DATOS!$C$70,INDEX(TABLAS!$C$52:$C$58,MIN(MATCH(MAX(4,DATOS!$C$72),TABLAS!$B$52:$B$58,0)+2,7))))))),INDEX(TABLAS!$B$52:$B$58,MIN(MATCH(MAX(4,DATOS!$C$72),TABLAS!$B$52:$B$58,0)+2,7)),IF(AND(CK47&gt;=0,IF(MAX(DATOS!$C$74,CEILING(CK47/INDEX(TABLAS!$D$52:$D$58,MIN(MATCH(MAX(4,DATOS!$C$72),TABLAS!$B$52:$B$58,0)+3,7)),1))*INDEX(TABLAS!$D$52:$D$58,MIN(MATCH(MAX(4,DATOS!$C$72),TABLAS!$B$52:$B$58,0)+3,7)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+3,7)),1)),MAX(MAX(DATOS!$C$74,CEILING(CK47/INDEX(TABLAS!$D$52:$D$58,MIN(MATCH(MAX(4,DATOS!$C$72),TABLAS!$B$52:$B$58,0)+3,7)),1)),2))&lt;=MIN(DATOS!$C$73,INT(((DATOS!$C$83-2*AL47)+MAX(DATOS!$C$70,INDEX(TABLAS!$C$52:$C$58,MIN(MATCH(MAX(4,DATOS!$C$72),TABLAS!$B$52:$B$58,0)+3,7))))/(INDEX(TABLAS!$C$52:$C$58,MIN(MATCH(MAX(4,DATOS!$C$72),TABLAS!$B$52:$B$58,0)+3,7))+MAX(DATOS!$C$70,INDEX(TABLAS!$C$52:$C$58,MIN(MATCH(MAX(4,DATOS!$C$72),TABLAS!$B$52:$B$58,0)+3,7))))))),INDEX(TABLAS!$B$52:$B$58,MIN(MATCH(MAX(4,DATOS!$C$72),TABLAS!$B$52:$B$58,0)+3,7)),IF(AND(CK47&gt;=0,IF(MAX(DATOS!$C$74,CEILING(CK47/INDEX(TABLAS!$D$52:$D$58,MIN(MATCH(MAX(4,DATOS!$C$72),TABLAS!$B$52:$B$58,0)+4,7)),1))*INDEX(TABLAS!$D$52:$D$58,MIN(MATCH(MAX(4,DATOS!$C$72),TABLAS!$B$52:$B$58,0)+4,7)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+4,7)),1)),MAX(MAX(DATOS!$C$74,CEILING(CK47/INDEX(TABLAS!$D$52:$D$58,MIN(MATCH(MAX(4,DATOS!$C$72),TABLAS!$B$52:$B$58,0)+4,7)),1)),2))&lt;=MIN(DATOS!$C$73,INT(((DATOS!$C$83-2*AL47)+MAX(DATOS!$C$70,INDEX(TABLAS!$C$52:$C$58,MIN(MATCH(MAX(4,DATOS!$C$72),TABLAS!$B$52:$B$58,0)+4,7))))/(INDEX(TABLAS!$C$52:$C$58,MIN(MATCH(MAX(4,DATOS!$C$72),TABLAS!$B$52:$B$58,0)+4,7))+MAX(DATOS!$C$70,INDEX(TABLAS!$C$52:$C$58,MIN(MATCH(MAX(4,DATOS!$C$72),TABLAS!$B$52:$B$58,0)+4,7))))))),INDEX(TABLAS!$B$52:$B$58,MIN(MATCH(MAX(4,DATOS!$C$72),TABLAS!$B$52:$B$58,0)+4,7)),INDEX(TABLAS!$B$52:$B$58,7)))))))</f>
        <v/>
      </c>
      <c r="CM47" s="59" t="str">
        <f>IF(V47&lt;&gt;"SÍ","",IF(CK47&lt;0,0,IF(MAX(DATOS!$C$74,CEILING(MAX(CK47,0)/INDEX(TABLAS!$D$52:$D$58,MATCH(CL47,TABLAS!$B$52:$B$58,0)),1))*INDEX(TABLAS!$D$52:$D$58,MATCH(CL47,TABLAS!$B$52:$B$58,0))&gt;=4/3*IF(BJ47&lt;=0,0,IF((1-2*BJ47*1E5/(DATOS!$C$29*AG47*CJ47^2*DATOS!$C$21))&lt;0,-1,IF((1-SQRT((1-2*BJ47*1E5/(DATOS!$C$29*AG47*CJ47^2*DATOS!$C$21))))*DATOS!$C$21*AG47*CJ47/DATOS!$C$14&gt;DATOS!$C$102*AG47*CJ47,-1,(1-SQRT((1-2*BJ47*1E5/(DATOS!$C$29*AG47*CJ47^2*DATOS!$C$21))))*DATOS!$C$21*AG47*CJ47/DATOS!$C$14)))-0.0001,MAX(DATOS!$C$74,CEILING(MAX(CK47,0)/INDEX(TABLAS!$D$52:$D$58,MATCH(CL47,TABLAS!$B$52:$B$58,0)),1)),MAX(MAX(DATOS!$C$74,CEILING(MAX(CK47,0)/INDEX(TABLAS!$D$52:$D$58,MATCH(CL47,TABLAS!$B$52:$B$58,0)),1)),2))))</f>
        <v/>
      </c>
      <c r="CN47" s="58" t="str">
        <f>IF(V47&lt;&gt;"SÍ","",((DATOS!$C$85-AM47-2*DATOS!$C$97-INDEX(TABLAS!$C$52:$C$58,MATCH(BV47,TABLAS!$B$52:$B$58,0))-INDEX(TABLAS!$C$52:$C$58,MATCH(CL47,TABLAS!$B$52:$B$58,0))/2)-IF(AND((DATOS!$C$85-AM47-2*DATOS!$C$97-INDEX(TABLAS!$C$52:$C$58,MATCH(BV47,TABLAS!$B$52:$B$58,0))-INDEX(TABLAS!$C$52:$C$58,MATCH(CL47,TABLAS!$B$52:$B$58,0))/2)&lt;=20,DATOS!$C$65&lt;&gt;"SÍ"),2,0)))</f>
        <v/>
      </c>
      <c r="CO47" s="56" t="str">
        <f>IF(V47&lt;&gt;"SÍ","",IF(CM47=0,0,DATOS!$C$29*CM47*INDEX(TABLAS!$D$52:$D$58,MATCH(CL47,TABLAS!$B$52:$B$58,0))*DATOS!$C$14*(CN47-CM47*INDEX(TABLAS!$D$52:$D$58,MATCH(CL47,TABLAS!$B$52:$B$58,0))*DATOS!$C$14/(DATOS!$C$21*AG47)/2)/1E5))</f>
        <v/>
      </c>
      <c r="CP47" s="65" t="str">
        <f>IF(V47&lt;&gt;"SÍ","",IF(CK47&lt;0,9.99,IF(CO47&gt;0,BJ47/CO47,0)))</f>
        <v/>
      </c>
      <c r="CQ47" s="66" t="str">
        <f>IF(V47&lt;&gt;"SÍ","",IF(CM47=0,"—",0.003*(CN47-(CM47*INDEX(TABLAS!$D$52:$D$58,MATCH(CL47,TABLAS!$B$52:$B$58,0))*DATOS!$C$14/(DATOS!$C$21*AG47)/DATOS!$C$22))/(CM47*INDEX(TABLAS!$D$52:$D$58,MATCH(CL47,TABLAS!$B$52:$B$58,0))*DATOS!$C$14/(DATOS!$C$21*AG47)/DATOS!$C$22)))</f>
        <v/>
      </c>
      <c r="CR47" s="56" t="str">
        <f>IF(V47&lt;&gt;"SÍ","",IF(C47="PERIMETRAL",MAX(0,(AB47/2-BX47)/100)*(0.95-0.5*AA47)*AR47*IF(AND(AS47&gt;0,AS47&lt;4),DATOS!$C$33,1)*DATOS!$C$86/100/1000,(AR47*MAX(0,AB47-BX47)/100+DATOS!$C$26*N(O47))*DATOS!$C$86/100/1000+BF47))</f>
        <v/>
      </c>
      <c r="CS47" s="56" t="str">
        <f>IF(V47&lt;&gt;"SÍ","",DATOS!$C$30*2*MIN(1,SQRT(2/(1+0.04*BX47)))*(BW47*INDEX(TABLAS!$D$52:$D$58,MATCH(BV47,TABLAS!$B$52:$B$58,0))/(AF47*BX47))^(1/3)*SQRT(DATOS!$C$13)*AF47*BX47*IF(AJ47="SÍ",DATOS!$C$32,1)/1000)</f>
        <v/>
      </c>
      <c r="CT47" s="59" t="str">
        <f>IF(V47&lt;&gt;"SÍ","",IF(CR47&lt;=CS47,0,CEILING(MAX(0,IF(C47="VOLADO",(AB47-((CS47-BF47)*1E5/DATOS!$C$86-DATOS!$C$26*N(O47))*100/AR47),IF(CS47&lt;=0,AB47,AB47/2-CS47/MAX(CR47,1E-9)*(AB47/2-BX47)))-IF(X47="X",MIN(DJ47,DK47),MIN(DL47,DM47)))/DATOS!$C$86,1)))</f>
        <v/>
      </c>
      <c r="CU47" s="67" t="str">
        <f>IF(V47&lt;&gt;"SÍ","",IF(CR47&lt;=CS47,"CUMPLE",IF(CT47&lt;=0,"CUMPLE (basta el macizo de orilla)",IF(CT47*DATOS!$C$86*IF(C47="VOLADO",1,2)&gt;=Y47*100-DATOS!$C$87,"NO CUMPLE: no alcanza ni macizando todo","MACIZAR "&amp;CT47&amp;" hilera(s)"))))</f>
        <v/>
      </c>
      <c r="CV47" s="58" t="str">
        <f>IF(V47&lt;&gt;"SÍ","",(DATOS!$C$86*DATOS!$C$84^2/2+MIN(DATOS!$C$83,AD47)*DATOS!$C$82*(DATOS!$C$84+DATOS!$C$82/2))/(DATOS!$C$86*DATOS!$C$84+MIN(DATOS!$C$83,AD47)*DATOS!$C$82))</f>
        <v/>
      </c>
      <c r="CW47" s="68" t="str">
        <f>IF(V47&lt;&gt;"SÍ","",DATOS!$C$86*DATOS!$C$84^3/12+DATOS!$C$86*DATOS!$C$84*(CV47-DATOS!$C$84/2)^2+MIN(DATOS!$C$83,AD47)*DATOS!$C$82^3/12+MIN(DATOS!$C$83,AD47)*DATOS!$C$82*(DATOS!$C$84+DATOS!$C$82/2-CV47)^2)</f>
        <v/>
      </c>
      <c r="CX47" s="58" t="str">
        <f>IF(V47&lt;&gt;"SÍ","",(12*CW47/DATOS!$C$86)^(1/3))</f>
        <v/>
      </c>
      <c r="CY47" s="58" t="str">
        <f>IF(V47&lt;&gt;"SÍ","",IF(C47="PERIMETRAL",IF(ISNUMBER(S47),S47,DATOS!$C$104),0))</f>
        <v/>
      </c>
      <c r="CZ47" s="57" t="str">
        <f>IF(V47&lt;&gt;"SÍ","",IF(C47="PERIMETRAL",IF(CY47&gt;2,MAX(9,AC47*(0.8+DATOS!$C$14/14000)/(36+9*(AC47/MAX(AB47,1)))),IF(CY47&gt;0.2,MAX(13,AC47*(0.8+DATOS!$C$14/14000)/(36+5*(AC47/MAX(AB47,1))*(CY47-0.2))),MAX(13,AC47/IF(AS47&gt;0,30,33))))*IF(AND(CY47&gt;0.2,AS47&gt;0,DATOS!$C$105="NO"),1.1,1),MAX(25,Y47*100/8*(0.4+DATOS!$C$14/7000))))</f>
        <v/>
      </c>
      <c r="DA47" s="61" t="str">
        <f>IF(V47&lt;&gt;"SÍ","",IF(IF(C47="VOLADO",DATOS!$C$85,CX47)&gt;=CZ47,"CUMPLE",IF(C47="VOLADO","NO CUMPLE","CALCULAR FLECHA")))</f>
        <v/>
      </c>
      <c r="DB47" s="55" t="str">
        <f>IF(V47&lt;&gt;"SÍ","",IF(DATOS!$C$84&gt;=IF(IF(C47="VOLADO",Y47,Z47)&gt;=6,6,5),"CUMPLE","CAPA ≥ 6 cm"))</f>
        <v/>
      </c>
      <c r="DC47" s="60" t="str">
        <f>IF(V47&lt;&gt;"SÍ","",IF(C47="VOLADO",MIN(FLOOR(IF(ISNUMBER(P47),P47,Y47)*100-DATOS!$C$63,5),CEILING(MAX(IF((0.5*(0.9*DATOS!$C$90*DATOS!$C$86/100/1000)*IF(ISNUMBER(P47),P47,Y47)+BH47/IF(ISNUMBER(P47),P47,Y47))^2-4*(0.5*(0.9*DATOS!$C$90*DATOS!$C$86/100/1000))*BH47&lt;0,IF(ISNUMBER(P47),P47,Y47),MIN(IF(ISNUMBER(P47),P47,Y47),((0.5*(0.9*DATOS!$C$90*DATOS!$C$86/100/1000)*IF(ISNUMBER(P47),P47,Y47)+BH47/IF(ISNUMBER(P47),P47,Y47))-SQRT((0.5*(0.9*DATOS!$C$90*DATOS!$C$86/100/1000)*IF(ISNUMBER(P47),P47,Y47)+BH47/IF(ISNUMBER(P47),P47,Y47))^2-4*(0.5*(0.9*DATOS!$C$90*DATOS!$C$86/100/1000))*BH47))/(2*(0.5*(0.9*DATOS!$C$90*DATOS!$C$86/100/1000)))))*100+MAX(BX47,12*INDEX(TABLAS!$C$52:$C$58,MATCH(BV47,TABLAS!$B$52:$B$58,0)),IF(ISNUMBER(P47),P47,Y47)*100/16),IF(OR(AL47&lt;INDEX(TABLAS!$C$52:$C$58,MATCH(BV47,TABLAS!$B$52:$B$58,0)),AND(BW47&gt;=2,(AD47-2*AL47-BW47*INDEX(TABLAS!$C$52:$C$58,MATCH(BV47,TABLAS!$B$52:$B$58,0)))/MAX(BW47-1,1)&lt;2*INDEX(TABLAS!$C$52:$C$58,MATCH(BV47,TABLAS!$B$52:$B$58,0)))),INDEX(TABLAS!$I$52:$I$58,MATCH(BV47,TABLAS!$B$52:$B$58,0)),INDEX(TABLAS!$F$52:$F$58,MATCH(BV47,TABLAS!$B$52:$B$58,0)))),5)),IF(((4*((BC47*AR47*Y47^2*1E-4*DATOS!$C$86/100/1000)+((MAX(AY47,BA47)*AR47*Y47^2*1E-4*DATOS!$C$86/100/1000)+(IF(AND(AY47&gt;0,BA47&gt;0),MIN(AY47,BA47),MAX(AY47,BA47))*AR47*Y47^2*1E-4*DATOS!$C$86/100/1000))/2)+BH47-(IF(AND(AY47&gt;0,BA47&gt;0),MIN(AY47,BA47),MAX(AY47,BA47))*AR47*Y47^2*1E-4*DATOS!$C$86/100/1000))^2-16*((BC47*AR47*Y47^2*1E-4*DATOS!$C$86/100/1000)+((MAX(AY47,BA47)*AR47*Y47^2*1E-4*DATOS!$C$86/100/1000)+(IF(AND(AY47&gt;0,BA47&gt;0),MIN(AY47,BA47),MAX(AY47,BA47))*AR47*Y47^2*1E-4*DATOS!$C$86/100/1000))/2)*BH47)&lt;0,CEILING(AB47,5),CEILING(MAX(AB47*((4*((BC47*AR47*Y47^2*1E-4*DATOS!$C$86/100/1000)+((MAX(AY47,BA47)*AR47*Y47^2*1E-4*DATOS!$C$86/100/1000)+(IF(AND(AY47&gt;0,BA47&gt;0),MIN(AY47,BA47),MAX(AY47,BA47))*AR47*Y47^2*1E-4*DATOS!$C$86/100/1000))/2)+BH47-(IF(AND(AY47&gt;0,BA47&gt;0),MIN(AY47,BA47),MAX(AY47,BA47))*AR47*Y47^2*1E-4*DATOS!$C$86/100/1000))-SQRT(MAX(0,((4*((BC47*AR47*Y47^2*1E-4*DATOS!$C$86/100/1000)+((MAX(AY47,BA47)*AR47*Y47^2*1E-4*DATOS!$C$86/100/1000)+(IF(AND(AY47&gt;0,BA47&gt;0),MIN(AY47,BA47),MAX(AY47,BA47))*AR47*Y47^2*1E-4*DATOS!$C$86/100/1000))/2)+BH47-(IF(AND(AY47&gt;0,BA47&gt;0),MIN(AY47,BA47),MAX(AY47,BA47))*AR47*Y47^2*1E-4*DATOS!$C$86/100/1000))^2-16*((BC47*AR47*Y47^2*1E-4*DATOS!$C$86/100/1000)+((MAX(AY47,BA47)*AR47*Y47^2*1E-4*DATOS!$C$86/100/1000)+(IF(AND(AY47&gt;0,BA47&gt;0),MIN(AY47,BA47),MAX(AY47,BA47))*AR47*Y47^2*1E-4*DATOS!$C$86/100/1000))/2)*BH47))))/(8*MAX(((BC47*AR47*Y47^2*1E-4*DATOS!$C$86/100/1000)+((MAX(AY47,BA47)*AR47*Y47^2*1E-4*DATOS!$C$86/100/1000)+(IF(AND(AY47&gt;0,BA47&gt;0),MIN(AY47,BA47),MAX(AY47,BA47))*AR47*Y47^2*1E-4*DATOS!$C$86/100/1000))/2),1E-9))+MAX(BX47,12*INDEX(TABLAS!$C$52:$C$58,MATCH(BV47,TABLAS!$B$52:$B$58,0)),AB47/16),IF(OR(AL47&lt;INDEX(TABLAS!$C$52:$C$58,MATCH(BV47,TABLAS!$B$52:$B$58,0)),AND(BW47&gt;=2,(AD47-2*AL47-BW47*INDEX(TABLAS!$C$52:$C$58,MATCH(BV47,TABLAS!$B$52:$B$58,0)))/MAX(BW47-1,1)&lt;2*INDEX(TABLAS!$C$52:$C$58,MATCH(BV47,TABLAS!$B$52:$B$58,0)))),INDEX(TABLAS!$I$52:$I$58,MATCH(BV47,TABLAS!$B$52:$B$58,0)),INDEX(TABLAS!$F$52:$F$58,MATCH(BV47,TABLAS!$B$52:$B$58,0)))),5))))</f>
        <v/>
      </c>
      <c r="DD47" s="60" t="str">
        <f>IF(V47&lt;&gt;"SÍ","",IF(C47="VOLADO",0,IF(((4*((BD47*AR47*Y47^2*1E-4*DATOS!$C$86/100/1000)+((MAX(AZ47,BB47)*AR47*Y47^2*1E-4*DATOS!$C$86/100/1000)+(IF(AND(AZ47&gt;0,BB47&gt;0),MIN(AZ47,BB47),MAX(AZ47,BB47))*AR47*Y47^2*1E-4*DATOS!$C$86/100/1000))/2)+BJ47-(IF(AND(AZ47&gt;0,BB47&gt;0),MIN(AZ47,BB47),MAX(AZ47,BB47))*AR47*Y47^2*1E-4*DATOS!$C$86/100/1000))^2-16*((BD47*AR47*Y47^2*1E-4*DATOS!$C$86/100/1000)+((MAX(AZ47,BB47)*AR47*Y47^2*1E-4*DATOS!$C$86/100/1000)+(IF(AND(AZ47&gt;0,BB47&gt;0),MIN(AZ47,BB47),MAX(AZ47,BB47))*AR47*Y47^2*1E-4*DATOS!$C$86/100/1000))/2)*BJ47)&lt;0,CEILING(AC47,5),CEILING(MAX(AC47*((4*((BD47*AR47*Y47^2*1E-4*DATOS!$C$86/100/1000)+((MAX(AZ47,BB47)*AR47*Y47^2*1E-4*DATOS!$C$86/100/1000)+(IF(AND(AZ47&gt;0,BB47&gt;0),MIN(AZ47,BB47),MAX(AZ47,BB47))*AR47*Y47^2*1E-4*DATOS!$C$86/100/1000))/2)+BJ47-(IF(AND(AZ47&gt;0,BB47&gt;0),MIN(AZ47,BB47),MAX(AZ47,BB47))*AR47*Y47^2*1E-4*DATOS!$C$86/100/1000))-SQRT(MAX(0,((4*((BD47*AR47*Y47^2*1E-4*DATOS!$C$86/100/1000)+((MAX(AZ47,BB47)*AR47*Y47^2*1E-4*DATOS!$C$86/100/1000)+(IF(AND(AZ47&gt;0,BB47&gt;0),MIN(AZ47,BB47),MAX(AZ47,BB47))*AR47*Y47^2*1E-4*DATOS!$C$86/100/1000))/2)+BJ47-(IF(AND(AZ47&gt;0,BB47&gt;0),MIN(AZ47,BB47),MAX(AZ47,BB47))*AR47*Y47^2*1E-4*DATOS!$C$86/100/1000))^2-16*((BD47*AR47*Y47^2*1E-4*DATOS!$C$86/100/1000)+((MAX(AZ47,BB47)*AR47*Y47^2*1E-4*DATOS!$C$86/100/1000)+(IF(AND(AZ47&gt;0,BB47&gt;0),MIN(AZ47,BB47),MAX(AZ47,BB47))*AR47*Y47^2*1E-4*DATOS!$C$86/100/1000))/2)*BJ47))))/(8*MAX(((BD47*AR47*Y47^2*1E-4*DATOS!$C$86/100/1000)+((MAX(AZ47,BB47)*AR47*Y47^2*1E-4*DATOS!$C$86/100/1000)+(IF(AND(AZ47&gt;0,BB47&gt;0),MIN(AZ47,BB47),MAX(AZ47,BB47))*AR47*Y47^2*1E-4*DATOS!$C$86/100/1000))/2),1E-9))+MAX(CN47,12*INDEX(TABLAS!$C$52:$C$58,MATCH(CL47,TABLAS!$B$52:$B$58,0)),AC47/16),IF(OR(AL47&lt;INDEX(TABLAS!$C$52:$C$58,MATCH(CL47,TABLAS!$B$52:$B$58,0)),AND(CM47&gt;=2,(DATOS!$C$83-2*AL47-CM47*INDEX(TABLAS!$C$52:$C$58,MATCH(CL47,TABLAS!$B$52:$B$58,0)))/MAX(CM47-1,1)&lt;2*INDEX(TABLAS!$C$52:$C$58,MATCH(CL47,TABLAS!$B$52:$B$58,0)))),INDEX(TABLAS!$I$52:$I$58,MATCH(CL47,TABLAS!$B$52:$B$58,0)),INDEX(TABLAS!$F$52:$F$58,MATCH(CL47,TABLAS!$B$52:$B$58,0)))),5))))</f>
        <v/>
      </c>
      <c r="DE47" s="55" t="str">
        <f>IF(V47&lt;&gt;"SÍ","",IF(AND(C47="PERIMETRAL",BW47&gt;=2,AS47-AT47&gt;0,BA47*AR47*Y47^2*1E-4*DATOS!$C$86/100/1000&gt;DATOS!$C$29*INDEX(TABLAS!$D$52:$D$58,MATCH(BV47,TABLAS!$B$52:$B$58,0))*DATOS!$C$14*(BX47-INDEX(TABLAS!$D$52:$D$58,MATCH(BV47,TABLAS!$B$52:$B$58,0))*DATOS!$C$14/(DATOS!$C$21*AF47)/2)/1E5),"SÍ","NO"))</f>
        <v/>
      </c>
      <c r="DF47" s="55" t="str">
        <f>IF(V47&lt;&gt;"SÍ","",IF(AND(C47="PERIMETRAL",CM47&gt;=2,AT47&gt;0,BB47*AR47*Y47^2*1E-4*DATOS!$C$86/100/1000&gt;DATOS!$C$29*INDEX(TABLAS!$D$52:$D$58,MATCH(CL47,TABLAS!$B$52:$B$58,0))*DATOS!$C$14*(CN47-INDEX(TABLAS!$D$52:$D$58,MATCH(CL47,TABLAS!$B$52:$B$58,0))*DATOS!$C$14/(DATOS!$C$21*AG47)/2)/1E5),"SÍ","NO"))</f>
        <v/>
      </c>
      <c r="DG47" s="63" t="str">
        <f>IF(V47&lt;&gt;"SÍ","",IF(OR(C47="VOLADO",AS47=0),"—",IF(AND(AND(1.25*INDEX(TABLAS!$G$52:$G$58,MATCH(MAX(BN47,CD47),TABLAS!$B$52:$B$58,0))&lt;=(DATOS!$C$75-DATOS!$C$63),(DATOS!$C$75-DATOS!$C$63)&gt;=15,INDEX(TABLAS!$G$52:$G$58,MATCH(MAX(BV47,CL47),TABLAS!$B$52:$B$58,0))&lt;=(DATOS!$C$75-DATOS!$C$63)),8*INDEX(TABLAS!$C$52:$C$58,MATCH(MAX(MAX(BN47,CD47),MAX(BV47,CL47)),TABLAS!$B$52:$B$58,0))&lt;=DATOS!$C$76-2*DATOS!$C$63),"CUMPLE (gancho de 180°)",IF(AND(1.25*INDEX(TABLAS!$G$52:$G$58,MATCH(MAX(BN47,CD47),TABLAS!$B$52:$B$58,0))&lt;=(DATOS!$C$75-DATOS!$C$63),(DATOS!$C$75-DATOS!$C$63)&gt;=15,INDEX(TABLAS!$G$52:$G$58,MATCH(MAX(BV47,CL47),TABLAS!$B$52:$B$58,0))&lt;=(DATOS!$C$75-DATOS!$C$63)),"NO CUMPLE: el gancho de 180° (8·d_b) no cabe en el peralte de la dala de borde","NO CUMPLE: dala de borde ≥ "&amp;TEXT(CEILING(MAX(1.25*INDEX(TABLAS!$G$52:$G$58,MATCH(MAX(BN47,CD47),TABLAS!$B$52:$B$58,0)),15,INDEX(TABLAS!$G$52:$G$58,MATCH(MAX(BV47,CL47),TABLAS!$B$52:$B$58,0)))+DATOS!$C$63,5),"0")&amp;" cm de ancho"&amp;IF(8*INDEX(TABLAS!$C$52:$C$58,MATCH(MAX(MAX(BN47,CD47),MAX(BV47,CL47)),TABLAS!$B$52:$B$58,0))&lt;=DATOS!$C$76-2*DATOS!$C$63,""," y más peralte para el gancho")))))</f>
        <v/>
      </c>
      <c r="DH47" s="59" t="str">
        <f>IF(V47&lt;&gt;"SÍ","",MAX(0,INT((E47*100-DATOS!$C$87-IF(AND(C47="PERIMETRAL",I47="DISCONTINUO"),MAX(0,DATOS!$C$75-DATOS!$C$87),0)-IF(AND(C47="PERIMETRAL",J47="DISCONTINUO"),MAX(0,DATOS!$C$75-DATOS!$C$87),0)+DATOS!$C$86-IF(X47="X",DATOS!$C$81,AE47))/DATOS!$C$86)))</f>
        <v/>
      </c>
      <c r="DI47" s="59" t="str">
        <f>IF(V47&lt;&gt;"SÍ","",MAX(0,INT((F47*100-DATOS!$C$87-IF(AND(C47="PERIMETRAL",G47="DISCONTINUO"),MAX(0,DATOS!$C$75-DATOS!$C$87),0)-IF(AND(C47="PERIMETRAL",H47="DISCONTINUO"),MAX(0,DATOS!$C$75-DATOS!$C$87),0)+DATOS!$C$86-IF(X47="Y",DATOS!$C$81,AE47))/DATOS!$C$86)))</f>
        <v/>
      </c>
      <c r="DJ47" s="57" t="str">
        <f>IF(V47&lt;&gt;"SÍ","",IF(DH47&gt;0,IF(AND(C47="PERIMETRAL",I47="DISCONTINUO"),MAX(0,DATOS!$C$75-DATOS!$C$87),0)+(E47*100-DATOS!$C$87-IF(AND(C47="PERIMETRAL",I47="DISCONTINUO"),MAX(0,DATOS!$C$75-DATOS!$C$87),0)-IF(AND(C47="PERIMETRAL",J47="DISCONTINUO"),MAX(0,DATOS!$C$75-DATOS!$C$87),0)-(DH47*IF(X47="X",DATOS!$C$81,AE47)+(DH47-1)*(DATOS!$C$86-IF(X47="X",DATOS!$C$81,AE47))))/2,E47*100/2))</f>
        <v/>
      </c>
      <c r="DK47" s="57" t="str">
        <f>IF(V47&lt;&gt;"SÍ","",IF(DH47&gt;0,IF(AND(C47="PERIMETRAL",J47="DISCONTINUO"),MAX(0,DATOS!$C$75-DATOS!$C$87),0)+(E47*100-DATOS!$C$87-IF(AND(C47="PERIMETRAL",I47="DISCONTINUO"),MAX(0,DATOS!$C$75-DATOS!$C$87),0)-IF(AND(C47="PERIMETRAL",J47="DISCONTINUO"),MAX(0,DATOS!$C$75-DATOS!$C$87),0)-(DH47*IF(X47="X",DATOS!$C$81,AE47)+(DH47-1)*(DATOS!$C$86-IF(X47="X",DATOS!$C$81,AE47))))/2,E47*100/2))</f>
        <v/>
      </c>
      <c r="DL47" s="57" t="str">
        <f>IF(V47&lt;&gt;"SÍ","",IF(DI47&gt;0,IF(AND(C47="PERIMETRAL",G47="DISCONTINUO"),MAX(0,DATOS!$C$75-DATOS!$C$87),0)+(F47*100-DATOS!$C$87-IF(AND(C47="PERIMETRAL",G47="DISCONTINUO"),MAX(0,DATOS!$C$75-DATOS!$C$87),0)-IF(AND(C47="PERIMETRAL",H47="DISCONTINUO"),MAX(0,DATOS!$C$75-DATOS!$C$87),0)-(DI47*IF(X47="Y",DATOS!$C$81,AE47)+(DI47-1)*(DATOS!$C$86-IF(X47="Y",DATOS!$C$81,AE47))))/2,F47*100/2))</f>
        <v/>
      </c>
      <c r="DM47" s="57" t="str">
        <f>IF(V47&lt;&gt;"SÍ","",IF(DI47&gt;0,IF(AND(C47="PERIMETRAL",H47="DISCONTINUO"),MAX(0,DATOS!$C$75-DATOS!$C$87),0)+(F47*100-DATOS!$C$87-IF(AND(C47="PERIMETRAL",G47="DISCONTINUO"),MAX(0,DATOS!$C$75-DATOS!$C$87),0)-IF(AND(C47="PERIMETRAL",H47="DISCONTINUO"),MAX(0,DATOS!$C$75-DATOS!$C$87),0)-(DI47*IF(X47="Y",DATOS!$C$81,AE47)+(DI47-1)*(DATOS!$C$86-IF(X47="Y",DATOS!$C$81,AE47))))/2,F47*100/2))</f>
        <v/>
      </c>
      <c r="DN47" s="59" t="str">
        <f>IF(V47&lt;&gt;"SÍ","",IF(NOT(AND(C47="VOLADO",AD47&gt;DATOS!$C$83)),0,IF(INDEX(TABLAS!$C$52:$C$58,MATCH(BV47,TABLAS!$B$52:$B$58,0))&lt;=DATOS!$C$83-2*DATOS!$C$63,1,0)))</f>
        <v/>
      </c>
      <c r="DO47" s="58" t="str">
        <f>IF(V47&lt;&gt;"SÍ","",IF(NOT(AND(C47="VOLADO",AD47&gt;DATOS!$C$83)),0,((DATOS!$C$85-MAX(DATOS!$C$63,(DATOS!$C$84-2*DATOS!$C$97)/2)-2*DATOS!$C$97-INDEX(TABLAS!$C$52:$C$58,MATCH(MAX(4,DATOS!$C$72),TABLAS!$B$52:$B$58,0))-INDEX(TABLAS!$C$52:$C$58,MATCH(BV47,TABLAS!$B$52:$B$58,0))/2)-IF(AND((DATOS!$C$85-MAX(DATOS!$C$63,(DATOS!$C$84-2*DATOS!$C$97)/2)-2*DATOS!$C$97-INDEX(TABLAS!$C$52:$C$58,MATCH(MAX(4,DATOS!$C$72),TABLAS!$B$52:$B$58,0))-INDEX(TABLAS!$C$52:$C$58,MATCH(BV47,TABLAS!$B$52:$B$58,0))/2)&lt;=20,DATOS!$C$65&lt;&gt;"SÍ"),2,0))))</f>
        <v/>
      </c>
      <c r="DP47" s="56" t="str">
        <f>IF(V47&lt;&gt;"SÍ","",IF(OR(NOT(AND(C47="VOLADO",AD47&gt;DATOS!$C$83)),DN47&lt;1),0,IF(0.003*(DO47-((DN47*INDEX(TABLAS!$D$52:$D$58,MATCH(BV47,TABLAS!$B$52:$B$58,0)))*DATOS!$C$14/(DATOS!$C$21*AG47)/DATOS!$C$22))/((DN47*INDEX(TABLAS!$D$52:$D$58,MATCH(BV47,TABLAS!$B$52:$B$58,0)))*DATOS!$C$14/(DATOS!$C$21*AG47)/DATOS!$C$22)&lt;0.005,0,DATOS!$C$29*(DN47*INDEX(TABLAS!$D$52:$D$58,MATCH(BV47,TABLAS!$B$52:$B$58,0)))*DATOS!$C$14*(DO47-(DN47*INDEX(TABLAS!$D$52:$D$58,MATCH(BV47,TABLAS!$B$52:$B$58,0)))*DATOS!$C$14/(DATOS!$C$21*AG47)/2)/1E5)))</f>
        <v/>
      </c>
      <c r="DQ47" s="56" t="str">
        <f>IF(V47&lt;&gt;"SÍ","",IF(OR(NOT(AND(C47="VOLADO",AD47&gt;DATOS!$C$83)),DN47&lt;1),0,DATOS!$C$30*2*MIN(1,SQRT(2/(1+0.04*DO47)))*((DN47*INDEX(TABLAS!$D$52:$D$58,MATCH(BV47,TABLAS!$B$52:$B$58,0)))/(AG47*DO47))^(1/3)*SQRT(DATOS!$C$13)*AG47*DO47/1000))</f>
        <v/>
      </c>
      <c r="DR47" s="56" t="str">
        <f>IF(V47&lt;&gt;"SÍ","",IF(NOT(AND(C47="VOLADO",AD47&gt;DATOS!$C$83)),0,IF((BH47-DP47)&lt;=0,0,IF(DP47&lt;=0,IF(ISNUMBER(P47),P47,Y47),IF(((0.9*DATOS!$C$90*DATOS!$C$86/100/1000)*IF(ISNUMBER(P47),P47,Y47)/2+BH47/IF(ISNUMBER(P47),P47,Y47))^2-4*((0.9*DATOS!$C$90*DATOS!$C$86/100/1000)/2)*(BH47-DP47)&lt;0,IF(ISNUMBER(P47),P47,Y47),MIN(IF(ISNUMBER(P47),P47,Y47),(((0.9*DATOS!$C$90*DATOS!$C$86/100/1000)*IF(ISNUMBER(P47),P47,Y47)/2+BH47/IF(ISNUMBER(P47),P47,Y47))-SQRT(((0.9*DATOS!$C$90*DATOS!$C$86/100/1000)*IF(ISNUMBER(P47),P47,Y47)/2+BH47/IF(ISNUMBER(P47),P47,Y47))^2-4*((0.9*DATOS!$C$90*DATOS!$C$86/100/1000)/2)*(BH47-DP47)))/(2*((0.9*DATOS!$C$90*DATOS!$C$86/100/1000)/2))))))))</f>
        <v/>
      </c>
      <c r="DS47" s="56" t="str">
        <f>IF(V47&lt;&gt;"SÍ","",IF(NOT(AND(C47="VOLADO",AD47&gt;DATOS!$C$83)),0,IF(DQ47&lt;=(BH47/((IF(ISNUMBER(P47),P47,Y47)*100-DATOS!$C$87)/100)),IF(ISNUMBER(P47),P47,Y47),MIN(IF(ISNUMBER(P47),P47,Y47),MAX(0,(IF(ISNUMBER(P47),P47,Y47)*100-DATOS!$C$87)/200-(DQ47-(BH47/((IF(ISNUMBER(P47),P47,Y47)*100-DATOS!$C$87)/100)))/((0.95-0.5*IF(N(Q47)&gt;0,MIN(IF(ISNUMBER(P47),P47,Y47),Q47)/MAX(IF(ISNUMBER(P47),P47,Y47),Q47),0))*DATOS!$C$33*AR47*DATOS!$C$86/100/1000))))))</f>
        <v/>
      </c>
      <c r="DT47" s="56" t="str">
        <f>IF(V47&lt;&gt;"SÍ","",IF(NOT(AND(C47="VOLADO",AD47&gt;DATOS!$C$83)),0,(BH47/((IF(ISNUMBER(P47),P47,Y47)*100-DATOS!$C$87)/100))+((0.95-0.5*IF(N(Q47)&gt;0,MIN(IF(ISNUMBER(P47),P47,Y47),Q47)/MAX(IF(ISNUMBER(P47),P47,Y47),Q47),0))*DATOS!$C$33*AR47*DATOS!$C$86/100/1000)*MAX(0,(IF(ISNUMBER(P47),P47,Y47)*100-DATOS!$C$87)/200-BX47/100)))</f>
        <v/>
      </c>
      <c r="DU47" s="59" t="str">
        <f>IF(V47&lt;&gt;"SÍ","",IF(NOT(AND(C47="VOLADO",AD47&gt;DATOS!$C$83)),0,MIN(FLOOR(100*IF(ISNUMBER(P47),P47,Y47)-DATOS!$C$63,5),CEILING(100*MIN(IF(ISNUMBER(P47),P47,Y47),MAX(IF(DR47&gt;0,DR47+IF(BW47&gt;=2,MAX(DO47,12*INDEX(TABLAS!$C$52:$C$58,MATCH(BV47,TABLAS!$B$52:$B$58,0)))/100,0),0),DS47,IF(BW47&gt;=2,INDEX(TABLAS!$F$52:$F$58,MATCH(BV47,TABLAS!$B$52:$B$58,0))/100,0))),5))))</f>
        <v/>
      </c>
      <c r="DV47" s="60" t="str">
        <f>IF(V47&lt;&gt;"SÍ","",IF(NOT(AND(C47="VOLADO",AD47&gt;DATOS!$C$83)),0,IF(DU47&lt;=0,0,CEILING(DU47/DATOS!$C$86,1))))</f>
        <v/>
      </c>
      <c r="DW47" s="61" t="str">
        <f>IF(V47&lt;&gt;"SÍ","",IF(C47&lt;&gt;"VOLADO","—",IF(AD47&lt;=DATOS!$C$83,"— (mismo b_w que el respaldo)",IF(DT47&gt;CS47,"NO CUMPLE: cortante de la nervadura ancha junto al apoyo ("&amp;TEXT(DT47,"0.00")&amp;" &gt; "&amp;TEXT(CS47,"0.00")&amp;" t)",IF(DU47&gt;=100*IF(ISNUMBER(P47),P47,Y47),"CUMPLE — todas las nervaduras del respaldo ‖ al volado con b_w = "&amp;AD47&amp;" cm","CUMPLE — "&amp;DV47&amp;" hilera(s) del respaldo con nervaduras de b_w = "&amp;AD47&amp;" cm (casetón "&amp;AE47&amp;" cm), hasta "&amp;TEXT(DU47/100,"0.00")&amp;" m del paño")))))</f>
        <v/>
      </c>
      <c r="DX47" s="69" t="str">
        <f>IF(V47&lt;&gt;"SÍ","",IF(BO47=0,"NO ALCANZA",BO47&amp;" No. "&amp;BN47&amp;IF(BO47&gt;1," corridas"," corrida")))</f>
        <v/>
      </c>
      <c r="DY47" s="69" t="str">
        <f>IF(V47&lt;&gt;"SÍ","",IF(BW47=0,"NO ALCANZA",IF(AND(C47="VOLADO",AD47&gt;DATOS!$C$83,BW47&gt;=2),"1 No. "&amp;BV47&amp;" corrida de la orilla al respaldo ("&amp;IF(DC47&gt;=FLOOR(100*IF(ISNUMBER(P47),P47,Y47)-DATOS!$C$63,5),"hasta su apoyo lejano, con gancho","entra "&amp;TEXT(DC47/100,"0.00")&amp;" m desde el paño")&amp;") + "&amp;(BW47-1)&amp;" bastón No. "&amp;BV47&amp;" hasta "&amp;TEXT(DU47/100,"0.00")&amp;" m del paño (fin de la nervadura ancha)",IF(C47="VOLADO",BW47&amp;" No. "&amp;BV47&amp;" de la orilla al respaldo ("&amp;IF(DC47&gt;=FLOOR(100*IF(ISNUMBER(P47),P47,Y47)-DATOS!$C$63,5),"hasta su apoyo lejano, con gancho","entran "&amp;TEXT(DC47/100,"0.00")&amp;" m desde el paño")&amp;")","1 No. "&amp;BV47&amp;" corrida"&amp;IF(BW47&gt;1," + "&amp;(BW47-1)&amp;" bastón No. "&amp;BV47&amp;" L = "&amp;TEXT(DC47/100,"0.00")&amp;" m desde el paño","")))))</f>
        <v/>
      </c>
      <c r="DZ47" s="69" t="str">
        <f>IF(V47&lt;&gt;"SÍ","",IF(CE47=0,"NO ALCANZA",CE47&amp;" No. "&amp;CD47&amp;IF(CE47&gt;1," corridas"," corrida")))</f>
        <v/>
      </c>
      <c r="EA47" s="69" t="str">
        <f>IF(V47&lt;&gt;"SÍ","",IF(CM47=0,"NO ALCANZA",IF(C47="VOLADO","1 No. "&amp;CL47&amp;" corrida (repartición)","1 No. "&amp;CL47&amp;" corrida"&amp;IF(CM47&gt;1," + "&amp;(CM47-1)&amp;" bastón No. "&amp;CL47&amp;" L = "&amp;TEXT(DD47/100,"0.00")&amp;" m desde el paño",""))))</f>
        <v/>
      </c>
      <c r="EB47" s="67" t="str">
        <f>IF(B47="","",IF(V47&lt;&gt;"SÍ","FALTAN DATOS: tipo, a_x, a_y, destino y, en volados, L_b",IF(L47="NO MONOLÍTICO (caso II)","FUERA DE ALCANCE: caso II no transcrito",IF(AND(C47="VOLADO",W47="?"),"REVISAR: el volado lleva UN solo borde CONTINUO (el empotrado)",IF(MIN(DH47,DI47)=0,"REVISAR: no cabe un casetón (tablero macizo): diséñalo en MACIZAS",IF(AND(MAX(BR47,BZ47,CH47,CP47)&lt;=1,NOT(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T(OR(AND(ISNUMBER(BS47),BS47&lt;0.005),AND(ISNUMBER(CA47),CA47&lt;0.005),AND(ISNUMBER(CI47),CI47&lt;0.005),AND(ISNUMBER(CQ47),CQ47&lt;0.005))),NOT(LEFT(DW47,2)="NO"),DA47="CUMPLE",DB47="CUMPLE",LEFT(CU47,2)&lt;&gt;"NO",LEFT(DATOS!$C$132,6)="CUMPLE"),IF(LEFT(CU47,6)="CUMPLE","CUMPLE","CUMPLE — "&amp;CU47)&amp;IF(LEFT(BK47,5)="FUERA"," · fuera de 3.4.2.1 c)","")&amp;IF(LEFT(DG47,2)="NO"," · REVISAR anclaje en borde discontinuo","")&amp;IF(DV47&gt;0," · respaldo: "&amp;DV47&amp;" hilera(s) de b_w "&amp;AD47&amp;" cm",""),IF(AND(MAX(BR47,BZ47,CH47,CP47)&lt;=1,NOT(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T(OR(AND(ISNUMBER(BS47),BS47&lt;0.005),AND(ISNUMBER(CA47),CA47&lt;0.005),AND(ISNUMBER(CI47),CI47&lt;0.005),AND(ISNUMBER(CQ47),CQ47&lt;0.005))),NOT(LEFT(DW47,2)="NO"),DA47="CALCULAR FLECHA",LEFT(CU47,2)&lt;&gt;"NO",LEFT(DATOS!$C$132,6)="CUMPLE"),"REVISAR: calcular flecha (h_eq &lt; h mín.)"&amp;IF(LEFT(BK47,5)="FUERA"," · fuera de 3.4.2.1 c)","")&amp;IF(LEFT(DG47,2)="NO"," · REVISAR anclaje en borde discontinuo","")&amp;IF(DV47&gt;0," · respaldo: "&amp;DV47&amp;" hilera(s) de b_w "&amp;AD47&amp;" cm",""),"NO CUMPLE: "&amp;IF(MAX(BR47,BZ47,CH47,CP47)&gt;1,"flexión ","")&amp;IF(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 caben ","")&amp;IF(OR(AND(ISNUMBER(BS47),BS47&lt;0.005),AND(ISNUMBER(CA47),CA47&lt;0.005),AND(ISNUMBER(CI47),CI47&lt;0.005),AND(ISNUMBER(CQ47),CQ47&lt;0.005)),"ε_t &lt; 0.005 ","")&amp;IF(LEFT(CU47,2)="NO","cortante ","")&amp;IF(DA47="NO CUMPLE","peralte ","")&amp;IF(DB47&lt;&gt;"CUMPLE","capa &lt; 6 cm ","")&amp;IF(LEFT(DATOS!$C$132,6)&lt;&gt;"CUMPLE","capa o malla (DATOS sección 7) ","")&amp;IF(LEFT(DW47,2)="NO","respaldo del volado",""))))))))</f>
        <v/>
      </c>
      <c r="EC47" s="70" t="str">
        <f>IF(V47&lt;&gt;"SÍ","",IF(LEFT(B47,7)="EJEMPLO","EJEMPLO de la hoja de Casa Rocha: bórralo o sobrescríbelo. ","")&amp;IF(AND(C47="PERIMETRAL",MIN(DH47,DI47)=0),"No cabe un casetón en el claro corto: es un tablero macizo, diséñalo en MACIZAS. ","")&amp;IF(AND(AJ47="NO",C47="PERIMETRAL"),"No cumple 6.7.8.1.4 (a_c = "&amp;MAX(DATOS!$C$81,AE47)&amp;" cm &gt; claro corto/6 = "&amp;TEXT(Y47*100/6,"0")&amp;" cm): se diseña como losa apoyada en vigas (6.7.8.1.9): r de viga = "&amp;DATOS!$C$63&amp;" cm y V_cR sin ×1.1. Para que cuente como encasetonada: casetón de "&amp;TEXT(FLOOR(MIN(80,Y47*100/6),1),"0")&amp;" cm o menor. ","")&amp;IF(C47="VOLADO","Volado de "&amp;TEXT(Y47,"0.00")&amp;" m empotrado en el borde "&amp;LOWER(W47)&amp;IF(N(O47)&gt;0,", con "&amp;TEXT(O47,"0.0")&amp;" kg/m en la orilla","")&amp;". Lecho inferior con r_ext. Si la orilla carga pretil u otro elemento frágil, calcula la flecha (13.4). El acero superior entra al respaldo de "&amp;TEXT(IF(ISNUMBER(P47),P47,Y47),"0.00")&amp;" m"&amp;" hasta pasar M = 0 con 0.9·PP sin carga viva; si ahí no se anula, llega al apoyo lejano y se ancla con gancho (NTC-Criterios 3.4.1 c y 5.1.2.2). "&amp;IF(AD47&gt;DATOS!$C$83,"Respaldo: "&amp;DW47&amp;". ",""),"")&amp;IF(AND(C47="VOLADO",((0.9*DATOS!$C$90*DATOS!$C$86/100/1000)*IF(ISNUMBER(P47),P47,Y47)/2-BH47/IF(ISNUMBER(P47),P47,Y47))&lt;0),"Con 0.9·PP y sin carga viva el apoyo lejano del respaldo levanta (R = "&amp;TEXT(-((0.9*DATOS!$C$90*DATOS!$C$86/100/1000)*IF(ISNUMBER(P47),P47,Y47)/2-BH47/IF(ISNUMBER(P47),P47,Y47)),"0.00")&amp;" t por nervadura): ancla ahí la corrida con gancho y revisa ese apoyo a tensión. ","")&amp;IF(LEFT(BK47,5)="FUERA","El M⁻ del vecino difiere más de 50 % (3.4.2.1 c): distribuye el desequilibrio (3.4.3.1) o confirma con un modelo; se arma con el mayor. ","")&amp;IF(OR(DE47="SÍ",DF47="SÍ"),"El M⁻ del borde discontinuo pide bastón también ahí (con gancho). ","")&amp;IF(LEFT(DG47,2)="NO","Anclaje: "&amp;DG47&amp;" (6.7.8.1.7). ","")&amp;IF(AND(C47="PERIMETRAL",AT47&gt;=1,AS47-AT47&gt;=1),"Esquinas exteriores sobre muro: refuerzo de esquina arriba y abajo en L_largo/5 (6.7.7.3.1). ",""))</f>
        <v/>
      </c>
    </row>
    <row r="48" ht="33" customHeight="1">
      <c r="A48" s="50">
        <f>IF(B48="",0,1)+A47</f>
        <v>4</v>
      </c>
      <c r="B48" s="29" t="n"/>
      <c r="C48" s="51" t="n"/>
      <c r="D48" s="29" t="n"/>
      <c r="E48" s="52" t="n"/>
      <c r="F48" s="52" t="n"/>
      <c r="G48" s="51" t="n"/>
      <c r="H48" s="51" t="n"/>
      <c r="I48" s="51" t="n"/>
      <c r="J48" s="51" t="n"/>
      <c r="K48" s="51" t="n"/>
      <c r="L48" s="51" t="n"/>
      <c r="M48" s="53" t="n"/>
      <c r="N48" s="53" t="n"/>
      <c r="O48" s="54" t="n"/>
      <c r="P48" s="52" t="n"/>
      <c r="Q48" s="52" t="n"/>
      <c r="R48" s="53" t="n"/>
      <c r="S48" s="54" t="n"/>
      <c r="T48" s="52" t="n"/>
      <c r="U48" s="52" t="n"/>
      <c r="V48" s="55" t="str">
        <f>IF(B48="","",IF(AND(OR(C48="PERIMETRAL",C48="VOLADO"),ISNUMBER(E48),ISNUMBER(F48),E48&gt;0,F48&gt;0,OR(ISNUMBER(N48),ISNUMBER(MATCH(D48,DATOS!$B$46:$B$58,0))),OR(C48&lt;&gt;"VOLADO",N(P48)&gt;0)),"SÍ","NO"))</f>
        <v/>
      </c>
      <c r="W48" s="55" t="str">
        <f>IF(V48&lt;&gt;"SÍ","",IF(C48&lt;&gt;"VOLADO","—",IF(COUNTIF(G48:J48,"CONTINUO")&lt;&gt;1,"?",IF(G48="CONTINUO","INFERIOR",IF(H48="CONTINUO","SUPERIOR",IF(I48="CONTINUO","IZQUIERDO","DERECHO"))))))</f>
        <v/>
      </c>
      <c r="X48" s="55" t="str">
        <f>IF(V48&lt;&gt;"SÍ","",IF(C48="VOLADO",IF(OR(W48="IZQUIERDO",W48="DERECHO"),"X","Y"),IF(E48&lt;=F48,"X","Y")))</f>
        <v/>
      </c>
      <c r="Y48" s="56" t="str">
        <f>IF(V48&lt;&gt;"SÍ","",IF(C48="VOLADO",IF(X48="X",E48,F48),MIN(E48,F48)))</f>
        <v/>
      </c>
      <c r="Z48" s="56" t="str">
        <f>IF(V48&lt;&gt;"SÍ","",IF(C48="VOLADO",IF(X48="X",F48,E48),MAX(E48,F48)))</f>
        <v/>
      </c>
      <c r="AA48" s="56" t="str">
        <f>IF(V48&lt;&gt;"SÍ","",MIN(Y48,Z48)/MAX(Y48,Z48))</f>
        <v/>
      </c>
      <c r="AB48" s="57" t="str">
        <f>IF(V48&lt;&gt;"SÍ","",MAX(1,Y48*100-IF(C48="VOLADO",DATOS!$C$87/2,DATOS!$C$87)))</f>
        <v/>
      </c>
      <c r="AC48" s="57" t="str">
        <f>IF(V48&lt;&gt;"SÍ","",MAX(1,Z48*100-DATOS!$C$87))</f>
        <v/>
      </c>
      <c r="AD48" s="57" t="str">
        <f>IF(V48&lt;&gt;"SÍ","",IF(ISNUMBER(R48),R48,DATOS!$C$83))</f>
        <v/>
      </c>
      <c r="AE48" s="57" t="str">
        <f>IF(V48&lt;&gt;"SÍ","",MAX(0,DATOS!$C$86-AD48))</f>
        <v/>
      </c>
      <c r="AF48" s="57" t="str">
        <f>IF(V48&lt;&gt;"SÍ","",IF(OR(DATOS!$C$65="SÍ",AD48&gt;=20),AD48,AD48-2))</f>
        <v/>
      </c>
      <c r="AG48" s="57" t="str">
        <f>IF(V48&lt;&gt;"SÍ","",IF(OR(DATOS!$C$65="SÍ",DATOS!$C$83&gt;=20),DATOS!$C$83,DATOS!$C$83-2))</f>
        <v/>
      </c>
      <c r="AH48" s="57" t="str">
        <f>IF(V48&lt;&gt;"SÍ","",MIN(DATOS!$C$86,AD48+2*MIN(8*DATOS!$C$84,AE48/2,AB48/8)))</f>
        <v/>
      </c>
      <c r="AI48" s="57" t="str">
        <f>IF(V48&lt;&gt;"SÍ","",MIN(DATOS!$C$86,DATOS!$C$83+2*MIN(8*DATOS!$C$84,DATOS!$C$81/2,AC48/8)))</f>
        <v/>
      </c>
      <c r="AJ48" s="55" t="str">
        <f>IF(V48&lt;&gt;"SÍ","",IF(AND(C48="PERIMETRAL",Y48*100&gt;=6*MAX(DATOS!$C$81,AE48),MAX(DATOS!$C$81,AE48)&lt;=80,MIN(DATOS!$C$83,AD48)&gt;=10,DATOS!$C$85&lt;=3.5*MIN(DATOS!$C$83,AD48),DATOS!$C$84&gt;=MAX(MAX(DATOS!$C$81,AE48)/13,5)),"SÍ","NO"))</f>
        <v/>
      </c>
      <c r="AK48" s="57" t="str">
        <f>IF(V48&lt;&gt;"SÍ","",IF(C48="VOLADO",DATOS!$C$64,IF(AJ48="NO",DATOS!$C$63,DATOS!$C$62)))</f>
        <v/>
      </c>
      <c r="AL48" s="57" t="str">
        <f>IF(V48&lt;&gt;"SÍ","",IF(OR(AND(AN48="SÍ",DATOS!$C$66="SÍ"),AND(C48="VOLADO",DATOS!$C$67="SÍ")),DATOS!$C$64,IF(AJ48="NO",DATOS!$C$63,DATOS!$C$62)))</f>
        <v/>
      </c>
      <c r="AM48" s="58" t="str">
        <f>IF(V48&lt;&gt;"SÍ","",MAX(AL48,(DATOS!$C$84-2*DATOS!$C$97)/2))</f>
        <v/>
      </c>
      <c r="AN48" s="55" t="str">
        <f>IF(V48&lt;&gt;"SÍ","",IFERROR(INDEX(DATOS!$D$46:$D$58,MATCH(D48,DATOS!$B$46:$B$58,0)),"NO"))</f>
        <v/>
      </c>
      <c r="AO48" s="59" t="str">
        <f>IF(V48&lt;&gt;"SÍ","",IF(ISNUMBER(N48),N48,IFERROR(INDEX(DATOS!$C$46:$C$58,MATCH(D48,DATOS!$B$46:$B$58,0)),0)))</f>
        <v/>
      </c>
      <c r="AP48" s="59" t="str">
        <f>IF(V48&lt;&gt;"SÍ","",IF(MIN(DH48,DI48)=0,DATOS!$C$85/100*DATOS!$C$16*1000,(DATOS!$C$85/100-(AE48*DATOS!$C$81/DATOS!$C$86^2)*DATOS!$C$82/100)*DATOS!$C$16*1000+(AE48*DATOS!$C$81/DATOS!$C$86^2)*DATOS!$C$82/100*DATOS!$C$17*1000)+DATOS!$C$37+DATOS!$C$38)</f>
        <v/>
      </c>
      <c r="AQ48" s="59" t="str">
        <f>IF(V48&lt;&gt;"SÍ","",AP48+N(M48))</f>
        <v/>
      </c>
      <c r="AR48" s="60" t="str">
        <f>IF(V48&lt;&gt;"SÍ","",MAX(DATOS!$C$26*AQ48+DATOS!$C$27*AO48,IF(AN48="SÍ",DATOS!$C$28*(AQ48+DATOS!$C$41),0)))</f>
        <v/>
      </c>
      <c r="AS48" s="59" t="str">
        <f>IF(V48&lt;&gt;"SÍ","",(G48="DISCONTINUO")+(H48="DISCONTINUO")+(I48="DISCONTINUO")+(J48="DISCONTINUO"))</f>
        <v/>
      </c>
      <c r="AT48" s="59" t="str">
        <f>IF(V48&lt;&gt;"SÍ","",IF(X48="X",(G48="DISCONTINUO")+(H48="DISCONTINUO"),(I48="DISCONTINUO")+(J48="DISCONTINUO")))</f>
        <v/>
      </c>
      <c r="AU48" s="55" t="str">
        <f>IF(V48&lt;&gt;"SÍ","",IF(AS48=0,"INTERIOR",IF(AS48=1,IF(AT48=1,"BORDE-CORTO","BORDE-LARGO"),IF(AS48=2,IF(AT48=1,"ESQUINA",IF(AT48=2,"EXTREMO-LARGO","EXTREMO-CORTO")),IF(AS48=3,IF(AT48=2,"EXTREMO-LARGO","EXTREMO-CORTO"),"AISLADO")))))</f>
        <v/>
      </c>
      <c r="AV48" s="61" t="str">
        <f>IF(V48&lt;&gt;"SÍ","",IF(OR(K48="",K48="AUTO"),AU48,K48))</f>
        <v/>
      </c>
      <c r="AW48" s="59" t="str">
        <f>IF(V48&lt;&gt;"SÍ","",MATCH(AA48,TABLAS!$D$5:$J$5,1))</f>
        <v/>
      </c>
      <c r="AX48" s="58" t="str">
        <f>IF(V48&lt;&gt;"SÍ","",IF(AW48&gt;=7,0,(AA48-INDEX(TABLAS!$D$5:$J$5,AW48))/(INDEX(TABLAS!$D$5:$J$5,AW48+1)-INDEX(TABLAS!$D$5:$J$5,AW48))))</f>
        <v/>
      </c>
      <c r="AY48" s="59" t="str">
        <f>IF(V48&lt;&gt;"SÍ","",INDEX(TABLAS!$D$6:$J$47,MATCH(AV48&amp;"|NIC",TABLAS!$B$6:$B$47,0),AW48)+AX48*(INDEX(TABLAS!$D$6:$J$47,MATCH(AV48&amp;"|NIC",TABLAS!$B$6:$B$47,0),MIN(AW48+1,7))-INDEX(TABLAS!$D$6:$J$47,MATCH(AV48&amp;"|NIC",TABLAS!$B$6:$B$47,0),AW48)))</f>
        <v/>
      </c>
      <c r="AZ48" s="59" t="str">
        <f>IF(V48&lt;&gt;"SÍ","",INDEX(TABLAS!$D$6:$J$47,MATCH(AV48&amp;"|NIL",TABLAS!$B$6:$B$47,0),AW48)+AX48*(INDEX(TABLAS!$D$6:$J$47,MATCH(AV48&amp;"|NIL",TABLAS!$B$6:$B$47,0),MIN(AW48+1,7))-INDEX(TABLAS!$D$6:$J$47,MATCH(AV48&amp;"|NIL",TABLAS!$B$6:$B$47,0),AW48)))</f>
        <v/>
      </c>
      <c r="BA48" s="59" t="str">
        <f>IF(V48&lt;&gt;"SÍ","",INDEX(TABLAS!$D$6:$J$47,MATCH(AV48&amp;"|NDC",TABLAS!$B$6:$B$47,0),AW48)+AX48*(INDEX(TABLAS!$D$6:$J$47,MATCH(AV48&amp;"|NDC",TABLAS!$B$6:$B$47,0),MIN(AW48+1,7))-INDEX(TABLAS!$D$6:$J$47,MATCH(AV48&amp;"|NDC",TABLAS!$B$6:$B$47,0),AW48)))</f>
        <v/>
      </c>
      <c r="BB48" s="59" t="str">
        <f>IF(V48&lt;&gt;"SÍ","",INDEX(TABLAS!$D$6:$J$47,MATCH(AV48&amp;"|NDL",TABLAS!$B$6:$B$47,0),AW48)+AX48*(INDEX(TABLAS!$D$6:$J$47,MATCH(AV48&amp;"|NDL",TABLAS!$B$6:$B$47,0),MIN(AW48+1,7))-INDEX(TABLAS!$D$6:$J$47,MATCH(AV48&amp;"|NDL",TABLAS!$B$6:$B$47,0),AW48)))</f>
        <v/>
      </c>
      <c r="BC48" s="59" t="str">
        <f>IF(V48&lt;&gt;"SÍ","",INDEX(TABLAS!$D$6:$J$47,MATCH(AV48&amp;"|PC",TABLAS!$B$6:$B$47,0),AW48)+AX48*(INDEX(TABLAS!$D$6:$J$47,MATCH(AV48&amp;"|PC",TABLAS!$B$6:$B$47,0),MIN(AW48+1,7))-INDEX(TABLAS!$D$6:$J$47,MATCH(AV48&amp;"|PC",TABLAS!$B$6:$B$47,0),AW48)))</f>
        <v/>
      </c>
      <c r="BD48" s="59" t="str">
        <f>IF(V48&lt;&gt;"SÍ","",INDEX(TABLAS!$D$6:$J$47,MATCH(AV48&amp;"|PL",TABLAS!$B$6:$B$47,0),AW48)+AX48*(INDEX(TABLAS!$D$6:$J$47,MATCH(AV48&amp;"|PL",TABLAS!$B$6:$B$47,0),MIN(AW48+1,7))-INDEX(TABLAS!$D$6:$J$47,MATCH(AV48&amp;"|PL",TABLAS!$B$6:$B$47,0),AW48)))</f>
        <v/>
      </c>
      <c r="BE48" s="56" t="str">
        <f>IF(V48&lt;&gt;"SÍ","",IF(OR(C48&lt;&gt;"VOLADO",MIN(DH48,DI48)=0),0,DATOS!$C$26*DATOS!$C$16*DATOS!$C$86/100*(((AE48*DATOS!$C$81/DATOS!$C$86^2)*DATOS!$C$82/100)*(IF(X48="X",DJ48,DL48)+DATOS!$C$87/2)/100*(AB48-(IF(X48="X",DJ48,DL48)+DATOS!$C$87/2)/2)/100+((AE48*DATOS!$C$81/DATOS!$C$86^2)*DATOS!$C$82/100)*IF(X48="X",DJ48,DL48)/100*IF(X48="X",DJ48,DL48)/200)))</f>
        <v/>
      </c>
      <c r="BF48" s="56" t="str">
        <f>IF(V48&lt;&gt;"SÍ","",IF(OR(C48&lt;&gt;"VOLADO",MIN(DH48,DI48)=0),0,DATOS!$C$26*DATOS!$C$16*DATOS!$C$86/100*((AE48*DATOS!$C$81/DATOS!$C$86^2)*DATOS!$C$82/100)*(IF(X48="X",DJ48,DL48)+DATOS!$C$87/2)/100))</f>
        <v/>
      </c>
      <c r="BG48" s="56" t="str">
        <f>IF(V48&lt;&gt;"SÍ","",IF(C48="PERIMETRAL",BC48*AR48*Y48^2*1E-4*DATOS!$C$86/100/1000,0))</f>
        <v/>
      </c>
      <c r="BH48" s="62" t="str">
        <f>IF(V48&lt;&gt;"SÍ","",IF(C48="PERIMETRAL",MAX(MAX(AY48,BA48)*AR48*Y48^2*1E-4*DATOS!$C$86/100/1000,N(T48)),(AR48*(AB48/100)^2/2+DATOS!$C$26*N(O48)*AB48/100)*DATOS!$C$86/100/1000+BE48))</f>
        <v/>
      </c>
      <c r="BI48" s="56" t="str">
        <f>IF(V48&lt;&gt;"SÍ","",IF(C48="PERIMETRAL",BD48*AR48*Y48^2*1E-4*DATOS!$C$86/100/1000,0))</f>
        <v/>
      </c>
      <c r="BJ48" s="56" t="str">
        <f>IF(V48&lt;&gt;"SÍ","",IF(C48="PERIMETRAL",MAX(MAX(AZ48,BB48)*AR48*Y48^2*1E-4*DATOS!$C$86/100/1000,N(U48)),0))</f>
        <v/>
      </c>
      <c r="BK48" s="63" t="str">
        <f>IF(V48&lt;&gt;"SÍ","",IF(C48&lt;&gt;"PERIMETRAL","—",IF(AND(N(T48)=0,N(U48)=0),"— (sin M⁻ del vecino)",IF(OR(AND(N(T48)&gt;0,ABS(MAX(AY48,BA48)*AR48*Y48^2*1E-4*DATOS!$C$86/100/1000-N(T48))&gt;0.5*MIN(MAX(AY48,BA48)*AR48*Y48^2*1E-4*DATOS!$C$86/100/1000,N(T48))),AND(N(U48)&gt;0,ABS(MAX(AZ48,BB48)*AR48*Y48^2*1E-4*DATOS!$C$86/100/1000-N(U48))&gt;0.5*MIN(MAX(AZ48,BB48)*AR48*Y48^2*1E-4*DATOS!$C$86/100/1000,N(U48)))),"FUERA: difieren &gt; 50 %"&amp;IF(AND(N(T48)&gt;0,ABS(MAX(AY48,BA48)*AR48*Y48^2*1E-4*DATOS!$C$86/100/1000-N(T48))&gt;0.5*MIN(MAX(AY48,BA48)*AR48*Y48^2*1E-4*DATOS!$C$86/100/1000,N(T48)))," ‖ corto","")&amp;IF(AND(N(U48)&gt;0,ABS(MAX(AZ48,BB48)*AR48*Y48^2*1E-4*DATOS!$C$86/100/1000-N(U48))&gt;0.5*MIN(MAX(AZ48,BB48)*AR48*Y48^2*1E-4*DATOS!$C$86/100/1000,N(U48)))," ‖ largo",""),"CUMPLE"))))</f>
        <v/>
      </c>
      <c r="BL48" s="58" t="str">
        <f>IF(V48&lt;&gt;"SÍ","",(DATOS!$C$85-AK48-INDEX(TABLAS!$C$52:$C$58,MATCH(MAX(4,DATOS!$C$71),TABLAS!$B$52:$B$58,0))/2))</f>
        <v/>
      </c>
      <c r="BM48" s="58" t="str">
        <f>IF(V48&lt;&gt;"SÍ","",IF(IF(BG48&lt;=0,0,IF((1-2*BG48*1E5/(DATOS!$C$29*AH48*BL48^2*DATOS!$C$21))&lt;0,-1,IF((1-SQRT((1-2*BG48*1E5/(DATOS!$C$29*AH48*BL48^2*DATOS!$C$21))))*DATOS!$C$21*AH48*BL48/DATOS!$C$14&gt;DATOS!$C$102*AH48*BL48,-1,(1-SQRT((1-2*BG48*1E5/(DATOS!$C$29*AH48*BL48^2*DATOS!$C$21))))*DATOS!$C$21*AH48*BL48/DATOS!$C$14)))&lt;0,-1,MAX(IF(BG48&lt;=0,0,IF((1-2*BG48*1E5/(DATOS!$C$29*AH48*BL48^2*DATOS!$C$21))&lt;0,-1,IF((1-SQRT((1-2*BG48*1E5/(DATOS!$C$29*AH48*BL48^2*DATOS!$C$21))))*DATOS!$C$21*AH48*BL48/DATOS!$C$14&gt;DATOS!$C$102*AH48*BL48,-1,(1-SQRT((1-2*BG48*1E5/(DATOS!$C$29*AH48*BL48^2*DATOS!$C$21))))*DATOS!$C$21*AH48*BL48/DATOS!$C$14))),MIN(DATOS!$C$103*AD48*BL48,4/3*IF(BG48&lt;=0,0,IF((1-2*BG48*1E5/(DATOS!$C$29*AH48*BL48^2*DATOS!$C$21))&lt;0,-1,IF((1-SQRT((1-2*BG48*1E5/(DATOS!$C$29*AH48*BL48^2*DATOS!$C$21))))*DATOS!$C$21*AH48*BL48/DATOS!$C$14&gt;DATOS!$C$102*AH48*BL48,-1,(1-SQRT((1-2*BG48*1E5/(DATOS!$C$29*AH48*BL48^2*DATOS!$C$21))))*DATOS!$C$21*AH48*BL48/DATOS!$C$14)))))))</f>
        <v/>
      </c>
      <c r="BN48" s="64" t="str">
        <f>IF(V48&lt;&gt;"SÍ","",IF(AND(BM48&gt;=0,IF(MAX(DATOS!$C$74,CEILING(BM48/INDEX(TABLAS!$D$52:$D$58,MIN(MATCH(MAX(4,DATOS!$C$71),TABLAS!$B$52:$B$58,0)+0,7)),1))*INDEX(TABLAS!$D$52:$D$58,MIN(MATCH(MAX(4,DATOS!$C$71),TABLAS!$B$52:$B$58,0)+0,7)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+0,7)),1)),MAX(MAX(DATOS!$C$74,CEILING(BM48/INDEX(TABLAS!$D$52:$D$58,MIN(MATCH(MAX(4,DATOS!$C$71),TABLAS!$B$52:$B$58,0)+0,7)),1)),2))&lt;=MIN(DATOS!$C$73,INT(((AD48-2*AK48)+MAX(DATOS!$C$70,INDEX(TABLAS!$C$52:$C$58,MIN(MATCH(MAX(4,DATOS!$C$71),TABLAS!$B$52:$B$58,0)+0,7))))/(INDEX(TABLAS!$C$52:$C$58,MIN(MATCH(MAX(4,DATOS!$C$71),TABLAS!$B$52:$B$58,0)+0,7))+MAX(DATOS!$C$70,INDEX(TABLAS!$C$52:$C$58,MIN(MATCH(MAX(4,DATOS!$C$71),TABLAS!$B$52:$B$58,0)+0,7))))))),INDEX(TABLAS!$B$52:$B$58,MIN(MATCH(MAX(4,DATOS!$C$71),TABLAS!$B$52:$B$58,0)+0,7)),IF(AND(BM48&gt;=0,IF(MAX(DATOS!$C$74,CEILING(BM48/INDEX(TABLAS!$D$52:$D$58,MIN(MATCH(MAX(4,DATOS!$C$71),TABLAS!$B$52:$B$58,0)+1,7)),1))*INDEX(TABLAS!$D$52:$D$58,MIN(MATCH(MAX(4,DATOS!$C$71),TABLAS!$B$52:$B$58,0)+1,7)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+1,7)),1)),MAX(MAX(DATOS!$C$74,CEILING(BM48/INDEX(TABLAS!$D$52:$D$58,MIN(MATCH(MAX(4,DATOS!$C$71),TABLAS!$B$52:$B$58,0)+1,7)),1)),2))&lt;=MIN(DATOS!$C$73,INT(((AD48-2*AK48)+MAX(DATOS!$C$70,INDEX(TABLAS!$C$52:$C$58,MIN(MATCH(MAX(4,DATOS!$C$71),TABLAS!$B$52:$B$58,0)+1,7))))/(INDEX(TABLAS!$C$52:$C$58,MIN(MATCH(MAX(4,DATOS!$C$71),TABLAS!$B$52:$B$58,0)+1,7))+MAX(DATOS!$C$70,INDEX(TABLAS!$C$52:$C$58,MIN(MATCH(MAX(4,DATOS!$C$71),TABLAS!$B$52:$B$58,0)+1,7))))))),INDEX(TABLAS!$B$52:$B$58,MIN(MATCH(MAX(4,DATOS!$C$71),TABLAS!$B$52:$B$58,0)+1,7)),IF(AND(BM48&gt;=0,IF(MAX(DATOS!$C$74,CEILING(BM48/INDEX(TABLAS!$D$52:$D$58,MIN(MATCH(MAX(4,DATOS!$C$71),TABLAS!$B$52:$B$58,0)+2,7)),1))*INDEX(TABLAS!$D$52:$D$58,MIN(MATCH(MAX(4,DATOS!$C$71),TABLAS!$B$52:$B$58,0)+2,7)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+2,7)),1)),MAX(MAX(DATOS!$C$74,CEILING(BM48/INDEX(TABLAS!$D$52:$D$58,MIN(MATCH(MAX(4,DATOS!$C$71),TABLAS!$B$52:$B$58,0)+2,7)),1)),2))&lt;=MIN(DATOS!$C$73,INT(((AD48-2*AK48)+MAX(DATOS!$C$70,INDEX(TABLAS!$C$52:$C$58,MIN(MATCH(MAX(4,DATOS!$C$71),TABLAS!$B$52:$B$58,0)+2,7))))/(INDEX(TABLAS!$C$52:$C$58,MIN(MATCH(MAX(4,DATOS!$C$71),TABLAS!$B$52:$B$58,0)+2,7))+MAX(DATOS!$C$70,INDEX(TABLAS!$C$52:$C$58,MIN(MATCH(MAX(4,DATOS!$C$71),TABLAS!$B$52:$B$58,0)+2,7))))))),INDEX(TABLAS!$B$52:$B$58,MIN(MATCH(MAX(4,DATOS!$C$71),TABLAS!$B$52:$B$58,0)+2,7)),IF(AND(BM48&gt;=0,IF(MAX(DATOS!$C$74,CEILING(BM48/INDEX(TABLAS!$D$52:$D$58,MIN(MATCH(MAX(4,DATOS!$C$71),TABLAS!$B$52:$B$58,0)+3,7)),1))*INDEX(TABLAS!$D$52:$D$58,MIN(MATCH(MAX(4,DATOS!$C$71),TABLAS!$B$52:$B$58,0)+3,7)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+3,7)),1)),MAX(MAX(DATOS!$C$74,CEILING(BM48/INDEX(TABLAS!$D$52:$D$58,MIN(MATCH(MAX(4,DATOS!$C$71),TABLAS!$B$52:$B$58,0)+3,7)),1)),2))&lt;=MIN(DATOS!$C$73,INT(((AD48-2*AK48)+MAX(DATOS!$C$70,INDEX(TABLAS!$C$52:$C$58,MIN(MATCH(MAX(4,DATOS!$C$71),TABLAS!$B$52:$B$58,0)+3,7))))/(INDEX(TABLAS!$C$52:$C$58,MIN(MATCH(MAX(4,DATOS!$C$71),TABLAS!$B$52:$B$58,0)+3,7))+MAX(DATOS!$C$70,INDEX(TABLAS!$C$52:$C$58,MIN(MATCH(MAX(4,DATOS!$C$71),TABLAS!$B$52:$B$58,0)+3,7))))))),INDEX(TABLAS!$B$52:$B$58,MIN(MATCH(MAX(4,DATOS!$C$71),TABLAS!$B$52:$B$58,0)+3,7)),IF(AND(BM48&gt;=0,IF(MAX(DATOS!$C$74,CEILING(BM48/INDEX(TABLAS!$D$52:$D$58,MIN(MATCH(MAX(4,DATOS!$C$71),TABLAS!$B$52:$B$58,0)+4,7)),1))*INDEX(TABLAS!$D$52:$D$58,MIN(MATCH(MAX(4,DATOS!$C$71),TABLAS!$B$52:$B$58,0)+4,7)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+4,7)),1)),MAX(MAX(DATOS!$C$74,CEILING(BM48/INDEX(TABLAS!$D$52:$D$58,MIN(MATCH(MAX(4,DATOS!$C$71),TABLAS!$B$52:$B$58,0)+4,7)),1)),2))&lt;=MIN(DATOS!$C$73,INT(((AD48-2*AK48)+MAX(DATOS!$C$70,INDEX(TABLAS!$C$52:$C$58,MIN(MATCH(MAX(4,DATOS!$C$71),TABLAS!$B$52:$B$58,0)+4,7))))/(INDEX(TABLAS!$C$52:$C$58,MIN(MATCH(MAX(4,DATOS!$C$71),TABLAS!$B$52:$B$58,0)+4,7))+MAX(DATOS!$C$70,INDEX(TABLAS!$C$52:$C$58,MIN(MATCH(MAX(4,DATOS!$C$71),TABLAS!$B$52:$B$58,0)+4,7))))))),INDEX(TABLAS!$B$52:$B$58,MIN(MATCH(MAX(4,DATOS!$C$71),TABLAS!$B$52:$B$58,0)+4,7)),INDEX(TABLAS!$B$52:$B$58,7)))))))</f>
        <v/>
      </c>
      <c r="BO48" s="59" t="str">
        <f>IF(V48&lt;&gt;"SÍ","",IF(BM48&lt;0,0,IF(MAX(DATOS!$C$74,CEILING(MAX(BM48,0)/INDEX(TABLAS!$D$52:$D$58,MATCH(BN48,TABLAS!$B$52:$B$58,0)),1))*INDEX(TABLAS!$D$52:$D$58,MATCH(BN48,TABLAS!$B$52:$B$58,0))&gt;=4/3*IF(BG48&lt;=0,0,IF((1-2*BG48*1E5/(DATOS!$C$29*AH48*BL48^2*DATOS!$C$21))&lt;0,-1,IF((1-SQRT((1-2*BG48*1E5/(DATOS!$C$29*AH48*BL48^2*DATOS!$C$21))))*DATOS!$C$21*AH48*BL48/DATOS!$C$14&gt;DATOS!$C$102*AH48*BL48,-1,(1-SQRT((1-2*BG48*1E5/(DATOS!$C$29*AH48*BL48^2*DATOS!$C$21))))*DATOS!$C$21*AH48*BL48/DATOS!$C$14)))-0.0001,MAX(DATOS!$C$74,CEILING(MAX(BM48,0)/INDEX(TABLAS!$D$52:$D$58,MATCH(BN48,TABLAS!$B$52:$B$58,0)),1)),MAX(MAX(DATOS!$C$74,CEILING(MAX(BM48,0)/INDEX(TABLAS!$D$52:$D$58,MATCH(BN48,TABLAS!$B$52:$B$58,0)),1)),2))))</f>
        <v/>
      </c>
      <c r="BP48" s="58" t="str">
        <f>IF(V48&lt;&gt;"SÍ","",DATOS!$C$85-AK48-INDEX(TABLAS!$C$52:$C$58,MATCH(BN48,TABLAS!$B$52:$B$58,0))/2)</f>
        <v/>
      </c>
      <c r="BQ48" s="56" t="str">
        <f>IF(V48&lt;&gt;"SÍ","",IF(BO48=0,0,DATOS!$C$29*BO48*INDEX(TABLAS!$D$52:$D$58,MATCH(BN48,TABLAS!$B$52:$B$58,0))*DATOS!$C$14*(BP48-BO48*INDEX(TABLAS!$D$52:$D$58,MATCH(BN48,TABLAS!$B$52:$B$58,0))*DATOS!$C$14/(DATOS!$C$21*AH48)/2)/1E5))</f>
        <v/>
      </c>
      <c r="BR48" s="65" t="str">
        <f>IF(V48&lt;&gt;"SÍ","",IF(BM48&lt;0,9.99,IF(BQ48&gt;0,BG48/BQ48,0)))</f>
        <v/>
      </c>
      <c r="BS48" s="66" t="str">
        <f>IF(V48&lt;&gt;"SÍ","",IF(BO48=0,"—",0.003*(BP48-(BO48*INDEX(TABLAS!$D$52:$D$58,MATCH(BN48,TABLAS!$B$52:$B$58,0))*DATOS!$C$14/(DATOS!$C$21*AH48)/DATOS!$C$22))/(BO48*INDEX(TABLAS!$D$52:$D$58,MATCH(BN48,TABLAS!$B$52:$B$58,0))*DATOS!$C$14/(DATOS!$C$21*AH48)/DATOS!$C$22)))</f>
        <v/>
      </c>
      <c r="BT48" s="58" t="str">
        <f>IF(V48&lt;&gt;"SÍ","",((DATOS!$C$85-AM48-2*DATOS!$C$97-INDEX(TABLAS!$C$52:$C$58,MATCH(MAX(4,DATOS!$C$72),TABLAS!$B$52:$B$58,0))/2)-IF(AND((DATOS!$C$85-AM48-2*DATOS!$C$97-INDEX(TABLAS!$C$52:$C$58,MATCH(MAX(4,DATOS!$C$72),TABLAS!$B$52:$B$58,0))/2)&lt;=20,DATOS!$C$65&lt;&gt;"SÍ"),2,0)))</f>
        <v/>
      </c>
      <c r="BU48" s="58" t="str">
        <f>IF(V48&lt;&gt;"SÍ","",IF(IF(BH48&lt;=0,0,IF((1-2*BH48*1E5/(DATOS!$C$29*AF48*BT48^2*DATOS!$C$21))&lt;0,-1,IF((1-SQRT((1-2*BH48*1E5/(DATOS!$C$29*AF48*BT48^2*DATOS!$C$21))))*DATOS!$C$21*AF48*BT48/DATOS!$C$14&gt;DATOS!$C$102*AF48*BT48,-1,(1-SQRT((1-2*BH48*1E5/(DATOS!$C$29*AF48*BT48^2*DATOS!$C$21))))*DATOS!$C$21*AF48*BT48/DATOS!$C$14)))&lt;0,-1,MAX(IF(BH48&lt;=0,0,IF((1-2*BH48*1E5/(DATOS!$C$29*AF48*BT48^2*DATOS!$C$21))&lt;0,-1,IF((1-SQRT((1-2*BH48*1E5/(DATOS!$C$29*AF48*BT48^2*DATOS!$C$21))))*DATOS!$C$21*AF48*BT48/DATOS!$C$14&gt;DATOS!$C$102*AF48*BT48,-1,(1-SQRT((1-2*BH48*1E5/(DATOS!$C$29*AF48*BT48^2*DATOS!$C$21))))*DATOS!$C$21*AF48*BT48/DATOS!$C$14))),MIN(DATOS!$C$103*IF(C48="VOLADO",MIN(AH48,2*AD48),AD48)*BT48,4/3*IF(BH48&lt;=0,0,IF((1-2*BH48*1E5/(DATOS!$C$29*AF48*BT48^2*DATOS!$C$21))&lt;0,-1,IF((1-SQRT((1-2*BH48*1E5/(DATOS!$C$29*AF48*BT48^2*DATOS!$C$21))))*DATOS!$C$21*AF48*BT48/DATOS!$C$14&gt;DATOS!$C$102*AF48*BT48,-1,(1-SQRT((1-2*BH48*1E5/(DATOS!$C$29*AF48*BT48^2*DATOS!$C$21))))*DATOS!$C$21*AF48*BT48/DATOS!$C$14)))))))</f>
        <v/>
      </c>
      <c r="BV48" s="64" t="str">
        <f>IF(V48&lt;&gt;"SÍ","",IF(AND(BU48&gt;=0,IF(MAX(DATOS!$C$74,CEILING(BU48/INDEX(TABLAS!$D$52:$D$58,MIN(MATCH(MAX(4,DATOS!$C$72),TABLAS!$B$52:$B$58,0)+0,7)),1))*INDEX(TABLAS!$D$52:$D$58,MIN(MATCH(MAX(4,DATOS!$C$72),TABLAS!$B$52:$B$58,0)+0,7)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+0,7)),1)),MAX(MAX(DATOS!$C$74,CEILING(BU48/INDEX(TABLAS!$D$52:$D$58,MIN(MATCH(MAX(4,DATOS!$C$72),TABLAS!$B$52:$B$58,0)+0,7)),1)),2))&lt;=MIN(DATOS!$C$73,INT(((AD48-2*AL48)+MAX(DATOS!$C$70,INDEX(TABLAS!$C$52:$C$58,MIN(MATCH(MAX(4,DATOS!$C$72),TABLAS!$B$52:$B$58,0)+0,7))))/(INDEX(TABLAS!$C$52:$C$58,MIN(MATCH(MAX(4,DATOS!$C$72),TABLAS!$B$52:$B$58,0)+0,7))+MAX(DATOS!$C$70,INDEX(TABLAS!$C$52:$C$58,MIN(MATCH(MAX(4,DATOS!$C$72),TABLAS!$B$52:$B$58,0)+0,7))))))),INDEX(TABLAS!$B$52:$B$58,MIN(MATCH(MAX(4,DATOS!$C$72),TABLAS!$B$52:$B$58,0)+0,7)),IF(AND(BU48&gt;=0,IF(MAX(DATOS!$C$74,CEILING(BU48/INDEX(TABLAS!$D$52:$D$58,MIN(MATCH(MAX(4,DATOS!$C$72),TABLAS!$B$52:$B$58,0)+1,7)),1))*INDEX(TABLAS!$D$52:$D$58,MIN(MATCH(MAX(4,DATOS!$C$72),TABLAS!$B$52:$B$58,0)+1,7)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+1,7)),1)),MAX(MAX(DATOS!$C$74,CEILING(BU48/INDEX(TABLAS!$D$52:$D$58,MIN(MATCH(MAX(4,DATOS!$C$72),TABLAS!$B$52:$B$58,0)+1,7)),1)),2))&lt;=MIN(DATOS!$C$73,INT(((AD48-2*AL48)+MAX(DATOS!$C$70,INDEX(TABLAS!$C$52:$C$58,MIN(MATCH(MAX(4,DATOS!$C$72),TABLAS!$B$52:$B$58,0)+1,7))))/(INDEX(TABLAS!$C$52:$C$58,MIN(MATCH(MAX(4,DATOS!$C$72),TABLAS!$B$52:$B$58,0)+1,7))+MAX(DATOS!$C$70,INDEX(TABLAS!$C$52:$C$58,MIN(MATCH(MAX(4,DATOS!$C$72),TABLAS!$B$52:$B$58,0)+1,7))))))),INDEX(TABLAS!$B$52:$B$58,MIN(MATCH(MAX(4,DATOS!$C$72),TABLAS!$B$52:$B$58,0)+1,7)),IF(AND(BU48&gt;=0,IF(MAX(DATOS!$C$74,CEILING(BU48/INDEX(TABLAS!$D$52:$D$58,MIN(MATCH(MAX(4,DATOS!$C$72),TABLAS!$B$52:$B$58,0)+2,7)),1))*INDEX(TABLAS!$D$52:$D$58,MIN(MATCH(MAX(4,DATOS!$C$72),TABLAS!$B$52:$B$58,0)+2,7)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+2,7)),1)),MAX(MAX(DATOS!$C$74,CEILING(BU48/INDEX(TABLAS!$D$52:$D$58,MIN(MATCH(MAX(4,DATOS!$C$72),TABLAS!$B$52:$B$58,0)+2,7)),1)),2))&lt;=MIN(DATOS!$C$73,INT(((AD48-2*AL48)+MAX(DATOS!$C$70,INDEX(TABLAS!$C$52:$C$58,MIN(MATCH(MAX(4,DATOS!$C$72),TABLAS!$B$52:$B$58,0)+2,7))))/(INDEX(TABLAS!$C$52:$C$58,MIN(MATCH(MAX(4,DATOS!$C$72),TABLAS!$B$52:$B$58,0)+2,7))+MAX(DATOS!$C$70,INDEX(TABLAS!$C$52:$C$58,MIN(MATCH(MAX(4,DATOS!$C$72),TABLAS!$B$52:$B$58,0)+2,7))))))),INDEX(TABLAS!$B$52:$B$58,MIN(MATCH(MAX(4,DATOS!$C$72),TABLAS!$B$52:$B$58,0)+2,7)),IF(AND(BU48&gt;=0,IF(MAX(DATOS!$C$74,CEILING(BU48/INDEX(TABLAS!$D$52:$D$58,MIN(MATCH(MAX(4,DATOS!$C$72),TABLAS!$B$52:$B$58,0)+3,7)),1))*INDEX(TABLAS!$D$52:$D$58,MIN(MATCH(MAX(4,DATOS!$C$72),TABLAS!$B$52:$B$58,0)+3,7)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+3,7)),1)),MAX(MAX(DATOS!$C$74,CEILING(BU48/INDEX(TABLAS!$D$52:$D$58,MIN(MATCH(MAX(4,DATOS!$C$72),TABLAS!$B$52:$B$58,0)+3,7)),1)),2))&lt;=MIN(DATOS!$C$73,INT(((AD48-2*AL48)+MAX(DATOS!$C$70,INDEX(TABLAS!$C$52:$C$58,MIN(MATCH(MAX(4,DATOS!$C$72),TABLAS!$B$52:$B$58,0)+3,7))))/(INDEX(TABLAS!$C$52:$C$58,MIN(MATCH(MAX(4,DATOS!$C$72),TABLAS!$B$52:$B$58,0)+3,7))+MAX(DATOS!$C$70,INDEX(TABLAS!$C$52:$C$58,MIN(MATCH(MAX(4,DATOS!$C$72),TABLAS!$B$52:$B$58,0)+3,7))))))),INDEX(TABLAS!$B$52:$B$58,MIN(MATCH(MAX(4,DATOS!$C$72),TABLAS!$B$52:$B$58,0)+3,7)),IF(AND(BU48&gt;=0,IF(MAX(DATOS!$C$74,CEILING(BU48/INDEX(TABLAS!$D$52:$D$58,MIN(MATCH(MAX(4,DATOS!$C$72),TABLAS!$B$52:$B$58,0)+4,7)),1))*INDEX(TABLAS!$D$52:$D$58,MIN(MATCH(MAX(4,DATOS!$C$72),TABLAS!$B$52:$B$58,0)+4,7)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+4,7)),1)),MAX(MAX(DATOS!$C$74,CEILING(BU48/INDEX(TABLAS!$D$52:$D$58,MIN(MATCH(MAX(4,DATOS!$C$72),TABLAS!$B$52:$B$58,0)+4,7)),1)),2))&lt;=MIN(DATOS!$C$73,INT(((AD48-2*AL48)+MAX(DATOS!$C$70,INDEX(TABLAS!$C$52:$C$58,MIN(MATCH(MAX(4,DATOS!$C$72),TABLAS!$B$52:$B$58,0)+4,7))))/(INDEX(TABLAS!$C$52:$C$58,MIN(MATCH(MAX(4,DATOS!$C$72),TABLAS!$B$52:$B$58,0)+4,7))+MAX(DATOS!$C$70,INDEX(TABLAS!$C$52:$C$58,MIN(MATCH(MAX(4,DATOS!$C$72),TABLAS!$B$52:$B$58,0)+4,7))))))),INDEX(TABLAS!$B$52:$B$58,MIN(MATCH(MAX(4,DATOS!$C$72),TABLAS!$B$52:$B$58,0)+4,7)),INDEX(TABLAS!$B$52:$B$58,7)))))))</f>
        <v/>
      </c>
      <c r="BW48" s="59" t="str">
        <f>IF(V48&lt;&gt;"SÍ","",IF(BU48&lt;0,0,IF(MAX(DATOS!$C$74,CEILING(MAX(BU48,0)/INDEX(TABLAS!$D$52:$D$58,MATCH(BV48,TABLAS!$B$52:$B$58,0)),1))*INDEX(TABLAS!$D$52:$D$58,MATCH(BV48,TABLAS!$B$52:$B$58,0))&gt;=4/3*IF(BH48&lt;=0,0,IF((1-2*BH48*1E5/(DATOS!$C$29*AF48*BT48^2*DATOS!$C$21))&lt;0,-1,IF((1-SQRT((1-2*BH48*1E5/(DATOS!$C$29*AF48*BT48^2*DATOS!$C$21))))*DATOS!$C$21*AF48*BT48/DATOS!$C$14&gt;DATOS!$C$102*AF48*BT48,-1,(1-SQRT((1-2*BH48*1E5/(DATOS!$C$29*AF48*BT48^2*DATOS!$C$21))))*DATOS!$C$21*AF48*BT48/DATOS!$C$14)))-0.0001,MAX(DATOS!$C$74,CEILING(MAX(BU48,0)/INDEX(TABLAS!$D$52:$D$58,MATCH(BV48,TABLAS!$B$52:$B$58,0)),1)),MAX(MAX(DATOS!$C$74,CEILING(MAX(BU48,0)/INDEX(TABLAS!$D$52:$D$58,MATCH(BV48,TABLAS!$B$52:$B$58,0)),1)),2))))</f>
        <v/>
      </c>
      <c r="BX48" s="58" t="str">
        <f>IF(V48&lt;&gt;"SÍ","",((DATOS!$C$85-AM48-2*DATOS!$C$97-INDEX(TABLAS!$C$52:$C$58,MATCH(BV48,TABLAS!$B$52:$B$58,0))/2)-IF(AND((DATOS!$C$85-AM48-2*DATOS!$C$97-INDEX(TABLAS!$C$52:$C$58,MATCH(BV48,TABLAS!$B$52:$B$58,0))/2)&lt;=20,DATOS!$C$65&lt;&gt;"SÍ"),2,0)))</f>
        <v/>
      </c>
      <c r="BY48" s="56" t="str">
        <f>IF(V48&lt;&gt;"SÍ","",IF(BW48=0,0,DATOS!$C$29*BW48*INDEX(TABLAS!$D$52:$D$58,MATCH(BV48,TABLAS!$B$52:$B$58,0))*DATOS!$C$14*(BX48-BW48*INDEX(TABLAS!$D$52:$D$58,MATCH(BV48,TABLAS!$B$52:$B$58,0))*DATOS!$C$14/(DATOS!$C$21*AF48)/2)/1E5))</f>
        <v/>
      </c>
      <c r="BZ48" s="65" t="str">
        <f>IF(V48&lt;&gt;"SÍ","",IF(BU48&lt;0,9.99,IF(BY48&gt;0,BH48/BY48,0)))</f>
        <v/>
      </c>
      <c r="CA48" s="66" t="str">
        <f>IF(V48&lt;&gt;"SÍ","",IF(BW48=0,"—",0.003*(BX48-(BW48*INDEX(TABLAS!$D$52:$D$58,MATCH(BV48,TABLAS!$B$52:$B$58,0))*DATOS!$C$14/(DATOS!$C$21*AF48)/DATOS!$C$22))/(BW48*INDEX(TABLAS!$D$52:$D$58,MATCH(BV48,TABLAS!$B$52:$B$58,0))*DATOS!$C$14/(DATOS!$C$21*AF48)/DATOS!$C$22)))</f>
        <v/>
      </c>
      <c r="CB48" s="58" t="str">
        <f>IF(V48&lt;&gt;"SÍ","",(DATOS!$C$85-AK48-INDEX(TABLAS!$C$52:$C$58,MATCH(MAX(4,DATOS!$C$71),TABLAS!$B$52:$B$58,0))-INDEX(TABLAS!$C$52:$C$58,MATCH(MAX(4,DATOS!$C$71),TABLAS!$B$52:$B$58,0))/2))</f>
        <v/>
      </c>
      <c r="CC48" s="58" t="str">
        <f>IF(V48&lt;&gt;"SÍ","",IF(IF(BI48&lt;=0,0,IF((1-2*BI48*1E5/(DATOS!$C$29*AI48*CB48^2*DATOS!$C$21))&lt;0,-1,IF((1-SQRT((1-2*BI48*1E5/(DATOS!$C$29*AI48*CB48^2*DATOS!$C$21))))*DATOS!$C$21*AI48*CB48/DATOS!$C$14&gt;DATOS!$C$102*AI48*CB48,-1,(1-SQRT((1-2*BI48*1E5/(DATOS!$C$29*AI48*CB48^2*DATOS!$C$21))))*DATOS!$C$21*AI48*CB48/DATOS!$C$14)))&lt;0,-1,MAX(IF(BI48&lt;=0,0,IF((1-2*BI48*1E5/(DATOS!$C$29*AI48*CB48^2*DATOS!$C$21))&lt;0,-1,IF((1-SQRT((1-2*BI48*1E5/(DATOS!$C$29*AI48*CB48^2*DATOS!$C$21))))*DATOS!$C$21*AI48*CB48/DATOS!$C$14&gt;DATOS!$C$102*AI48*CB48,-1,(1-SQRT((1-2*BI48*1E5/(DATOS!$C$29*AI48*CB48^2*DATOS!$C$21))))*DATOS!$C$21*AI48*CB48/DATOS!$C$14))),MIN(DATOS!$C$103*DATOS!$C$83*CB48,4/3*IF(BI48&lt;=0,0,IF((1-2*BI48*1E5/(DATOS!$C$29*AI48*CB48^2*DATOS!$C$21))&lt;0,-1,IF((1-SQRT((1-2*BI48*1E5/(DATOS!$C$29*AI48*CB48^2*DATOS!$C$21))))*DATOS!$C$21*AI48*CB48/DATOS!$C$14&gt;DATOS!$C$102*AI48*CB48,-1,(1-SQRT((1-2*BI48*1E5/(DATOS!$C$29*AI48*CB48^2*DATOS!$C$21))))*DATOS!$C$21*AI48*CB48/DATOS!$C$14)))))))</f>
        <v/>
      </c>
      <c r="CD48" s="64" t="str">
        <f>IF(V48&lt;&gt;"SÍ","",IF(AND(CC48&gt;=0,IF(MAX(DATOS!$C$74,CEILING(CC48/INDEX(TABLAS!$D$52:$D$58,MIN(MATCH(MAX(4,DATOS!$C$71),TABLAS!$B$52:$B$58,0)+0,7)),1))*INDEX(TABLAS!$D$52:$D$58,MIN(MATCH(MAX(4,DATOS!$C$71),TABLAS!$B$52:$B$58,0)+0,7)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+0,7)),1)),MAX(MAX(DATOS!$C$74,CEILING(CC48/INDEX(TABLAS!$D$52:$D$58,MIN(MATCH(MAX(4,DATOS!$C$71),TABLAS!$B$52:$B$58,0)+0,7)),1)),2))&lt;=MIN(DATOS!$C$73,INT(((DATOS!$C$83-2*AK48)+MAX(DATOS!$C$70,INDEX(TABLAS!$C$52:$C$58,MIN(MATCH(MAX(4,DATOS!$C$71),TABLAS!$B$52:$B$58,0)+0,7))))/(INDEX(TABLAS!$C$52:$C$58,MIN(MATCH(MAX(4,DATOS!$C$71),TABLAS!$B$52:$B$58,0)+0,7))+MAX(DATOS!$C$70,INDEX(TABLAS!$C$52:$C$58,MIN(MATCH(MAX(4,DATOS!$C$71),TABLAS!$B$52:$B$58,0)+0,7))))))),INDEX(TABLAS!$B$52:$B$58,MIN(MATCH(MAX(4,DATOS!$C$71),TABLAS!$B$52:$B$58,0)+0,7)),IF(AND(CC48&gt;=0,IF(MAX(DATOS!$C$74,CEILING(CC48/INDEX(TABLAS!$D$52:$D$58,MIN(MATCH(MAX(4,DATOS!$C$71),TABLAS!$B$52:$B$58,0)+1,7)),1))*INDEX(TABLAS!$D$52:$D$58,MIN(MATCH(MAX(4,DATOS!$C$71),TABLAS!$B$52:$B$58,0)+1,7)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+1,7)),1)),MAX(MAX(DATOS!$C$74,CEILING(CC48/INDEX(TABLAS!$D$52:$D$58,MIN(MATCH(MAX(4,DATOS!$C$71),TABLAS!$B$52:$B$58,0)+1,7)),1)),2))&lt;=MIN(DATOS!$C$73,INT(((DATOS!$C$83-2*AK48)+MAX(DATOS!$C$70,INDEX(TABLAS!$C$52:$C$58,MIN(MATCH(MAX(4,DATOS!$C$71),TABLAS!$B$52:$B$58,0)+1,7))))/(INDEX(TABLAS!$C$52:$C$58,MIN(MATCH(MAX(4,DATOS!$C$71),TABLAS!$B$52:$B$58,0)+1,7))+MAX(DATOS!$C$70,INDEX(TABLAS!$C$52:$C$58,MIN(MATCH(MAX(4,DATOS!$C$71),TABLAS!$B$52:$B$58,0)+1,7))))))),INDEX(TABLAS!$B$52:$B$58,MIN(MATCH(MAX(4,DATOS!$C$71),TABLAS!$B$52:$B$58,0)+1,7)),IF(AND(CC48&gt;=0,IF(MAX(DATOS!$C$74,CEILING(CC48/INDEX(TABLAS!$D$52:$D$58,MIN(MATCH(MAX(4,DATOS!$C$71),TABLAS!$B$52:$B$58,0)+2,7)),1))*INDEX(TABLAS!$D$52:$D$58,MIN(MATCH(MAX(4,DATOS!$C$71),TABLAS!$B$52:$B$58,0)+2,7)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+2,7)),1)),MAX(MAX(DATOS!$C$74,CEILING(CC48/INDEX(TABLAS!$D$52:$D$58,MIN(MATCH(MAX(4,DATOS!$C$71),TABLAS!$B$52:$B$58,0)+2,7)),1)),2))&lt;=MIN(DATOS!$C$73,INT(((DATOS!$C$83-2*AK48)+MAX(DATOS!$C$70,INDEX(TABLAS!$C$52:$C$58,MIN(MATCH(MAX(4,DATOS!$C$71),TABLAS!$B$52:$B$58,0)+2,7))))/(INDEX(TABLAS!$C$52:$C$58,MIN(MATCH(MAX(4,DATOS!$C$71),TABLAS!$B$52:$B$58,0)+2,7))+MAX(DATOS!$C$70,INDEX(TABLAS!$C$52:$C$58,MIN(MATCH(MAX(4,DATOS!$C$71),TABLAS!$B$52:$B$58,0)+2,7))))))),INDEX(TABLAS!$B$52:$B$58,MIN(MATCH(MAX(4,DATOS!$C$71),TABLAS!$B$52:$B$58,0)+2,7)),IF(AND(CC48&gt;=0,IF(MAX(DATOS!$C$74,CEILING(CC48/INDEX(TABLAS!$D$52:$D$58,MIN(MATCH(MAX(4,DATOS!$C$71),TABLAS!$B$52:$B$58,0)+3,7)),1))*INDEX(TABLAS!$D$52:$D$58,MIN(MATCH(MAX(4,DATOS!$C$71),TABLAS!$B$52:$B$58,0)+3,7)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+3,7)),1)),MAX(MAX(DATOS!$C$74,CEILING(CC48/INDEX(TABLAS!$D$52:$D$58,MIN(MATCH(MAX(4,DATOS!$C$71),TABLAS!$B$52:$B$58,0)+3,7)),1)),2))&lt;=MIN(DATOS!$C$73,INT(((DATOS!$C$83-2*AK48)+MAX(DATOS!$C$70,INDEX(TABLAS!$C$52:$C$58,MIN(MATCH(MAX(4,DATOS!$C$71),TABLAS!$B$52:$B$58,0)+3,7))))/(INDEX(TABLAS!$C$52:$C$58,MIN(MATCH(MAX(4,DATOS!$C$71),TABLAS!$B$52:$B$58,0)+3,7))+MAX(DATOS!$C$70,INDEX(TABLAS!$C$52:$C$58,MIN(MATCH(MAX(4,DATOS!$C$71),TABLAS!$B$52:$B$58,0)+3,7))))))),INDEX(TABLAS!$B$52:$B$58,MIN(MATCH(MAX(4,DATOS!$C$71),TABLAS!$B$52:$B$58,0)+3,7)),IF(AND(CC48&gt;=0,IF(MAX(DATOS!$C$74,CEILING(CC48/INDEX(TABLAS!$D$52:$D$58,MIN(MATCH(MAX(4,DATOS!$C$71),TABLAS!$B$52:$B$58,0)+4,7)),1))*INDEX(TABLAS!$D$52:$D$58,MIN(MATCH(MAX(4,DATOS!$C$71),TABLAS!$B$52:$B$58,0)+4,7)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+4,7)),1)),MAX(MAX(DATOS!$C$74,CEILING(CC48/INDEX(TABLAS!$D$52:$D$58,MIN(MATCH(MAX(4,DATOS!$C$71),TABLAS!$B$52:$B$58,0)+4,7)),1)),2))&lt;=MIN(DATOS!$C$73,INT(((DATOS!$C$83-2*AK48)+MAX(DATOS!$C$70,INDEX(TABLAS!$C$52:$C$58,MIN(MATCH(MAX(4,DATOS!$C$71),TABLAS!$B$52:$B$58,0)+4,7))))/(INDEX(TABLAS!$C$52:$C$58,MIN(MATCH(MAX(4,DATOS!$C$71),TABLAS!$B$52:$B$58,0)+4,7))+MAX(DATOS!$C$70,INDEX(TABLAS!$C$52:$C$58,MIN(MATCH(MAX(4,DATOS!$C$71),TABLAS!$B$52:$B$58,0)+4,7))))))),INDEX(TABLAS!$B$52:$B$58,MIN(MATCH(MAX(4,DATOS!$C$71),TABLAS!$B$52:$B$58,0)+4,7)),INDEX(TABLAS!$B$52:$B$58,7)))))))</f>
        <v/>
      </c>
      <c r="CE48" s="59" t="str">
        <f>IF(V48&lt;&gt;"SÍ","",IF(CC48&lt;0,0,IF(MAX(DATOS!$C$74,CEILING(MAX(CC48,0)/INDEX(TABLAS!$D$52:$D$58,MATCH(CD48,TABLAS!$B$52:$B$58,0)),1))*INDEX(TABLAS!$D$52:$D$58,MATCH(CD48,TABLAS!$B$52:$B$58,0))&gt;=4/3*IF(BI48&lt;=0,0,IF((1-2*BI48*1E5/(DATOS!$C$29*AI48*CB48^2*DATOS!$C$21))&lt;0,-1,IF((1-SQRT((1-2*BI48*1E5/(DATOS!$C$29*AI48*CB48^2*DATOS!$C$21))))*DATOS!$C$21*AI48*CB48/DATOS!$C$14&gt;DATOS!$C$102*AI48*CB48,-1,(1-SQRT((1-2*BI48*1E5/(DATOS!$C$29*AI48*CB48^2*DATOS!$C$21))))*DATOS!$C$21*AI48*CB48/DATOS!$C$14)))-0.0001,MAX(DATOS!$C$74,CEILING(MAX(CC48,0)/INDEX(TABLAS!$D$52:$D$58,MATCH(CD48,TABLAS!$B$52:$B$58,0)),1)),MAX(MAX(DATOS!$C$74,CEILING(MAX(CC48,0)/INDEX(TABLAS!$D$52:$D$58,MATCH(CD48,TABLAS!$B$52:$B$58,0)),1)),2))))</f>
        <v/>
      </c>
      <c r="CF48" s="58" t="str">
        <f>IF(V48&lt;&gt;"SÍ","",DATOS!$C$85-AK48-INDEX(TABLAS!$C$52:$C$58,MATCH(BN48,TABLAS!$B$52:$B$58,0))-INDEX(TABLAS!$C$52:$C$58,MATCH(CD48,TABLAS!$B$52:$B$58,0))/2)</f>
        <v/>
      </c>
      <c r="CG48" s="56" t="str">
        <f>IF(V48&lt;&gt;"SÍ","",IF(CE48=0,0,DATOS!$C$29*CE48*INDEX(TABLAS!$D$52:$D$58,MATCH(CD48,TABLAS!$B$52:$B$58,0))*DATOS!$C$14*(CF48-CE48*INDEX(TABLAS!$D$52:$D$58,MATCH(CD48,TABLAS!$B$52:$B$58,0))*DATOS!$C$14/(DATOS!$C$21*AI48)/2)/1E5))</f>
        <v/>
      </c>
      <c r="CH48" s="65" t="str">
        <f>IF(V48&lt;&gt;"SÍ","",IF(CC48&lt;0,9.99,IF(CG48&gt;0,BI48/CG48,0)))</f>
        <v/>
      </c>
      <c r="CI48" s="66" t="str">
        <f>IF(V48&lt;&gt;"SÍ","",IF(CE48=0,"—",0.003*(CF48-(CE48*INDEX(TABLAS!$D$52:$D$58,MATCH(CD48,TABLAS!$B$52:$B$58,0))*DATOS!$C$14/(DATOS!$C$21*AI48)/DATOS!$C$22))/(CE48*INDEX(TABLAS!$D$52:$D$58,MATCH(CD48,TABLAS!$B$52:$B$58,0))*DATOS!$C$14/(DATOS!$C$21*AI48)/DATOS!$C$22)))</f>
        <v/>
      </c>
      <c r="CJ48" s="58" t="str">
        <f>IF(V48&lt;&gt;"SÍ","",((DATOS!$C$85-AM48-2*DATOS!$C$97-INDEX(TABLAS!$C$52:$C$58,MATCH(MAX(4,DATOS!$C$72),TABLAS!$B$52:$B$58,0))-INDEX(TABLAS!$C$52:$C$58,MATCH(MAX(4,DATOS!$C$72),TABLAS!$B$52:$B$58,0))/2)-IF(AND((DATOS!$C$85-AM48-2*DATOS!$C$97-INDEX(TABLAS!$C$52:$C$58,MATCH(MAX(4,DATOS!$C$72),TABLAS!$B$52:$B$58,0))-INDEX(TABLAS!$C$52:$C$58,MATCH(MAX(4,DATOS!$C$72),TABLAS!$B$52:$B$58,0))/2)&lt;=20,DATOS!$C$65&lt;&gt;"SÍ"),2,0)))</f>
        <v/>
      </c>
      <c r="CK48" s="58" t="str">
        <f>IF(V48&lt;&gt;"SÍ","",IF(IF(BJ48&lt;=0,0,IF((1-2*BJ48*1E5/(DATOS!$C$29*AG48*CJ48^2*DATOS!$C$21))&lt;0,-1,IF((1-SQRT((1-2*BJ48*1E5/(DATOS!$C$29*AG48*CJ48^2*DATOS!$C$21))))*DATOS!$C$21*AG48*CJ48/DATOS!$C$14&gt;DATOS!$C$102*AG48*CJ48,-1,(1-SQRT((1-2*BJ48*1E5/(DATOS!$C$29*AG48*CJ48^2*DATOS!$C$21))))*DATOS!$C$21*AG48*CJ48/DATOS!$C$14)))&lt;0,-1,MAX(IF(BJ48&lt;=0,0,IF((1-2*BJ48*1E5/(DATOS!$C$29*AG48*CJ48^2*DATOS!$C$21))&lt;0,-1,IF((1-SQRT((1-2*BJ48*1E5/(DATOS!$C$29*AG48*CJ48^2*DATOS!$C$21))))*DATOS!$C$21*AG48*CJ48/DATOS!$C$14&gt;DATOS!$C$102*AG48*CJ48,-1,(1-SQRT((1-2*BJ48*1E5/(DATOS!$C$29*AG48*CJ48^2*DATOS!$C$21))))*DATOS!$C$21*AG48*CJ48/DATOS!$C$14))),MIN(DATOS!$C$103*DATOS!$C$83*CJ48,4/3*IF(BJ48&lt;=0,0,IF((1-2*BJ48*1E5/(DATOS!$C$29*AG48*CJ48^2*DATOS!$C$21))&lt;0,-1,IF((1-SQRT((1-2*BJ48*1E5/(DATOS!$C$29*AG48*CJ48^2*DATOS!$C$21))))*DATOS!$C$21*AG48*CJ48/DATOS!$C$14&gt;DATOS!$C$102*AG48*CJ48,-1,(1-SQRT((1-2*BJ48*1E5/(DATOS!$C$29*AG48*CJ48^2*DATOS!$C$21))))*DATOS!$C$21*AG48*CJ48/DATOS!$C$14)))))))</f>
        <v/>
      </c>
      <c r="CL48" s="64" t="str">
        <f>IF(V48&lt;&gt;"SÍ","",IF(AND(CK48&gt;=0,IF(MAX(DATOS!$C$74,CEILING(CK48/INDEX(TABLAS!$D$52:$D$58,MIN(MATCH(MAX(4,DATOS!$C$72),TABLAS!$B$52:$B$58,0)+0,7)),1))*INDEX(TABLAS!$D$52:$D$58,MIN(MATCH(MAX(4,DATOS!$C$72),TABLAS!$B$52:$B$58,0)+0,7)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+0,7)),1)),MAX(MAX(DATOS!$C$74,CEILING(CK48/INDEX(TABLAS!$D$52:$D$58,MIN(MATCH(MAX(4,DATOS!$C$72),TABLAS!$B$52:$B$58,0)+0,7)),1)),2))&lt;=MIN(DATOS!$C$73,INT(((DATOS!$C$83-2*AL48)+MAX(DATOS!$C$70,INDEX(TABLAS!$C$52:$C$58,MIN(MATCH(MAX(4,DATOS!$C$72),TABLAS!$B$52:$B$58,0)+0,7))))/(INDEX(TABLAS!$C$52:$C$58,MIN(MATCH(MAX(4,DATOS!$C$72),TABLAS!$B$52:$B$58,0)+0,7))+MAX(DATOS!$C$70,INDEX(TABLAS!$C$52:$C$58,MIN(MATCH(MAX(4,DATOS!$C$72),TABLAS!$B$52:$B$58,0)+0,7))))))),INDEX(TABLAS!$B$52:$B$58,MIN(MATCH(MAX(4,DATOS!$C$72),TABLAS!$B$52:$B$58,0)+0,7)),IF(AND(CK48&gt;=0,IF(MAX(DATOS!$C$74,CEILING(CK48/INDEX(TABLAS!$D$52:$D$58,MIN(MATCH(MAX(4,DATOS!$C$72),TABLAS!$B$52:$B$58,0)+1,7)),1))*INDEX(TABLAS!$D$52:$D$58,MIN(MATCH(MAX(4,DATOS!$C$72),TABLAS!$B$52:$B$58,0)+1,7)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+1,7)),1)),MAX(MAX(DATOS!$C$74,CEILING(CK48/INDEX(TABLAS!$D$52:$D$58,MIN(MATCH(MAX(4,DATOS!$C$72),TABLAS!$B$52:$B$58,0)+1,7)),1)),2))&lt;=MIN(DATOS!$C$73,INT(((DATOS!$C$83-2*AL48)+MAX(DATOS!$C$70,INDEX(TABLAS!$C$52:$C$58,MIN(MATCH(MAX(4,DATOS!$C$72),TABLAS!$B$52:$B$58,0)+1,7))))/(INDEX(TABLAS!$C$52:$C$58,MIN(MATCH(MAX(4,DATOS!$C$72),TABLAS!$B$52:$B$58,0)+1,7))+MAX(DATOS!$C$70,INDEX(TABLAS!$C$52:$C$58,MIN(MATCH(MAX(4,DATOS!$C$72),TABLAS!$B$52:$B$58,0)+1,7))))))),INDEX(TABLAS!$B$52:$B$58,MIN(MATCH(MAX(4,DATOS!$C$72),TABLAS!$B$52:$B$58,0)+1,7)),IF(AND(CK48&gt;=0,IF(MAX(DATOS!$C$74,CEILING(CK48/INDEX(TABLAS!$D$52:$D$58,MIN(MATCH(MAX(4,DATOS!$C$72),TABLAS!$B$52:$B$58,0)+2,7)),1))*INDEX(TABLAS!$D$52:$D$58,MIN(MATCH(MAX(4,DATOS!$C$72),TABLAS!$B$52:$B$58,0)+2,7)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+2,7)),1)),MAX(MAX(DATOS!$C$74,CEILING(CK48/INDEX(TABLAS!$D$52:$D$58,MIN(MATCH(MAX(4,DATOS!$C$72),TABLAS!$B$52:$B$58,0)+2,7)),1)),2))&lt;=MIN(DATOS!$C$73,INT(((DATOS!$C$83-2*AL48)+MAX(DATOS!$C$70,INDEX(TABLAS!$C$52:$C$58,MIN(MATCH(MAX(4,DATOS!$C$72),TABLAS!$B$52:$B$58,0)+2,7))))/(INDEX(TABLAS!$C$52:$C$58,MIN(MATCH(MAX(4,DATOS!$C$72),TABLAS!$B$52:$B$58,0)+2,7))+MAX(DATOS!$C$70,INDEX(TABLAS!$C$52:$C$58,MIN(MATCH(MAX(4,DATOS!$C$72),TABLAS!$B$52:$B$58,0)+2,7))))))),INDEX(TABLAS!$B$52:$B$58,MIN(MATCH(MAX(4,DATOS!$C$72),TABLAS!$B$52:$B$58,0)+2,7)),IF(AND(CK48&gt;=0,IF(MAX(DATOS!$C$74,CEILING(CK48/INDEX(TABLAS!$D$52:$D$58,MIN(MATCH(MAX(4,DATOS!$C$72),TABLAS!$B$52:$B$58,0)+3,7)),1))*INDEX(TABLAS!$D$52:$D$58,MIN(MATCH(MAX(4,DATOS!$C$72),TABLAS!$B$52:$B$58,0)+3,7)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+3,7)),1)),MAX(MAX(DATOS!$C$74,CEILING(CK48/INDEX(TABLAS!$D$52:$D$58,MIN(MATCH(MAX(4,DATOS!$C$72),TABLAS!$B$52:$B$58,0)+3,7)),1)),2))&lt;=MIN(DATOS!$C$73,INT(((DATOS!$C$83-2*AL48)+MAX(DATOS!$C$70,INDEX(TABLAS!$C$52:$C$58,MIN(MATCH(MAX(4,DATOS!$C$72),TABLAS!$B$52:$B$58,0)+3,7))))/(INDEX(TABLAS!$C$52:$C$58,MIN(MATCH(MAX(4,DATOS!$C$72),TABLAS!$B$52:$B$58,0)+3,7))+MAX(DATOS!$C$70,INDEX(TABLAS!$C$52:$C$58,MIN(MATCH(MAX(4,DATOS!$C$72),TABLAS!$B$52:$B$58,0)+3,7))))))),INDEX(TABLAS!$B$52:$B$58,MIN(MATCH(MAX(4,DATOS!$C$72),TABLAS!$B$52:$B$58,0)+3,7)),IF(AND(CK48&gt;=0,IF(MAX(DATOS!$C$74,CEILING(CK48/INDEX(TABLAS!$D$52:$D$58,MIN(MATCH(MAX(4,DATOS!$C$72),TABLAS!$B$52:$B$58,0)+4,7)),1))*INDEX(TABLAS!$D$52:$D$58,MIN(MATCH(MAX(4,DATOS!$C$72),TABLAS!$B$52:$B$58,0)+4,7)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+4,7)),1)),MAX(MAX(DATOS!$C$74,CEILING(CK48/INDEX(TABLAS!$D$52:$D$58,MIN(MATCH(MAX(4,DATOS!$C$72),TABLAS!$B$52:$B$58,0)+4,7)),1)),2))&lt;=MIN(DATOS!$C$73,INT(((DATOS!$C$83-2*AL48)+MAX(DATOS!$C$70,INDEX(TABLAS!$C$52:$C$58,MIN(MATCH(MAX(4,DATOS!$C$72),TABLAS!$B$52:$B$58,0)+4,7))))/(INDEX(TABLAS!$C$52:$C$58,MIN(MATCH(MAX(4,DATOS!$C$72),TABLAS!$B$52:$B$58,0)+4,7))+MAX(DATOS!$C$70,INDEX(TABLAS!$C$52:$C$58,MIN(MATCH(MAX(4,DATOS!$C$72),TABLAS!$B$52:$B$58,0)+4,7))))))),INDEX(TABLAS!$B$52:$B$58,MIN(MATCH(MAX(4,DATOS!$C$72),TABLAS!$B$52:$B$58,0)+4,7)),INDEX(TABLAS!$B$52:$B$58,7)))))))</f>
        <v/>
      </c>
      <c r="CM48" s="59" t="str">
        <f>IF(V48&lt;&gt;"SÍ","",IF(CK48&lt;0,0,IF(MAX(DATOS!$C$74,CEILING(MAX(CK48,0)/INDEX(TABLAS!$D$52:$D$58,MATCH(CL48,TABLAS!$B$52:$B$58,0)),1))*INDEX(TABLAS!$D$52:$D$58,MATCH(CL48,TABLAS!$B$52:$B$58,0))&gt;=4/3*IF(BJ48&lt;=0,0,IF((1-2*BJ48*1E5/(DATOS!$C$29*AG48*CJ48^2*DATOS!$C$21))&lt;0,-1,IF((1-SQRT((1-2*BJ48*1E5/(DATOS!$C$29*AG48*CJ48^2*DATOS!$C$21))))*DATOS!$C$21*AG48*CJ48/DATOS!$C$14&gt;DATOS!$C$102*AG48*CJ48,-1,(1-SQRT((1-2*BJ48*1E5/(DATOS!$C$29*AG48*CJ48^2*DATOS!$C$21))))*DATOS!$C$21*AG48*CJ48/DATOS!$C$14)))-0.0001,MAX(DATOS!$C$74,CEILING(MAX(CK48,0)/INDEX(TABLAS!$D$52:$D$58,MATCH(CL48,TABLAS!$B$52:$B$58,0)),1)),MAX(MAX(DATOS!$C$74,CEILING(MAX(CK48,0)/INDEX(TABLAS!$D$52:$D$58,MATCH(CL48,TABLAS!$B$52:$B$58,0)),1)),2))))</f>
        <v/>
      </c>
      <c r="CN48" s="58" t="str">
        <f>IF(V48&lt;&gt;"SÍ","",((DATOS!$C$85-AM48-2*DATOS!$C$97-INDEX(TABLAS!$C$52:$C$58,MATCH(BV48,TABLAS!$B$52:$B$58,0))-INDEX(TABLAS!$C$52:$C$58,MATCH(CL48,TABLAS!$B$52:$B$58,0))/2)-IF(AND((DATOS!$C$85-AM48-2*DATOS!$C$97-INDEX(TABLAS!$C$52:$C$58,MATCH(BV48,TABLAS!$B$52:$B$58,0))-INDEX(TABLAS!$C$52:$C$58,MATCH(CL48,TABLAS!$B$52:$B$58,0))/2)&lt;=20,DATOS!$C$65&lt;&gt;"SÍ"),2,0)))</f>
        <v/>
      </c>
      <c r="CO48" s="56" t="str">
        <f>IF(V48&lt;&gt;"SÍ","",IF(CM48=0,0,DATOS!$C$29*CM48*INDEX(TABLAS!$D$52:$D$58,MATCH(CL48,TABLAS!$B$52:$B$58,0))*DATOS!$C$14*(CN48-CM48*INDEX(TABLAS!$D$52:$D$58,MATCH(CL48,TABLAS!$B$52:$B$58,0))*DATOS!$C$14/(DATOS!$C$21*AG48)/2)/1E5))</f>
        <v/>
      </c>
      <c r="CP48" s="65" t="str">
        <f>IF(V48&lt;&gt;"SÍ","",IF(CK48&lt;0,9.99,IF(CO48&gt;0,BJ48/CO48,0)))</f>
        <v/>
      </c>
      <c r="CQ48" s="66" t="str">
        <f>IF(V48&lt;&gt;"SÍ","",IF(CM48=0,"—",0.003*(CN48-(CM48*INDEX(TABLAS!$D$52:$D$58,MATCH(CL48,TABLAS!$B$52:$B$58,0))*DATOS!$C$14/(DATOS!$C$21*AG48)/DATOS!$C$22))/(CM48*INDEX(TABLAS!$D$52:$D$58,MATCH(CL48,TABLAS!$B$52:$B$58,0))*DATOS!$C$14/(DATOS!$C$21*AG48)/DATOS!$C$22)))</f>
        <v/>
      </c>
      <c r="CR48" s="56" t="str">
        <f>IF(V48&lt;&gt;"SÍ","",IF(C48="PERIMETRAL",MAX(0,(AB48/2-BX48)/100)*(0.95-0.5*AA48)*AR48*IF(AND(AS48&gt;0,AS48&lt;4),DATOS!$C$33,1)*DATOS!$C$86/100/1000,(AR48*MAX(0,AB48-BX48)/100+DATOS!$C$26*N(O48))*DATOS!$C$86/100/1000+BF48))</f>
        <v/>
      </c>
      <c r="CS48" s="56" t="str">
        <f>IF(V48&lt;&gt;"SÍ","",DATOS!$C$30*2*MIN(1,SQRT(2/(1+0.04*BX48)))*(BW48*INDEX(TABLAS!$D$52:$D$58,MATCH(BV48,TABLAS!$B$52:$B$58,0))/(AF48*BX48))^(1/3)*SQRT(DATOS!$C$13)*AF48*BX48*IF(AJ48="SÍ",DATOS!$C$32,1)/1000)</f>
        <v/>
      </c>
      <c r="CT48" s="59" t="str">
        <f>IF(V48&lt;&gt;"SÍ","",IF(CR48&lt;=CS48,0,CEILING(MAX(0,IF(C48="VOLADO",(AB48-((CS48-BF48)*1E5/DATOS!$C$86-DATOS!$C$26*N(O48))*100/AR48),IF(CS48&lt;=0,AB48,AB48/2-CS48/MAX(CR48,1E-9)*(AB48/2-BX48)))-IF(X48="X",MIN(DJ48,DK48),MIN(DL48,DM48)))/DATOS!$C$86,1)))</f>
        <v/>
      </c>
      <c r="CU48" s="67" t="str">
        <f>IF(V48&lt;&gt;"SÍ","",IF(CR48&lt;=CS48,"CUMPLE",IF(CT48&lt;=0,"CUMPLE (basta el macizo de orilla)",IF(CT48*DATOS!$C$86*IF(C48="VOLADO",1,2)&gt;=Y48*100-DATOS!$C$87,"NO CUMPLE: no alcanza ni macizando todo","MACIZAR "&amp;CT48&amp;" hilera(s)"))))</f>
        <v/>
      </c>
      <c r="CV48" s="58" t="str">
        <f>IF(V48&lt;&gt;"SÍ","",(DATOS!$C$86*DATOS!$C$84^2/2+MIN(DATOS!$C$83,AD48)*DATOS!$C$82*(DATOS!$C$84+DATOS!$C$82/2))/(DATOS!$C$86*DATOS!$C$84+MIN(DATOS!$C$83,AD48)*DATOS!$C$82))</f>
        <v/>
      </c>
      <c r="CW48" s="68" t="str">
        <f>IF(V48&lt;&gt;"SÍ","",DATOS!$C$86*DATOS!$C$84^3/12+DATOS!$C$86*DATOS!$C$84*(CV48-DATOS!$C$84/2)^2+MIN(DATOS!$C$83,AD48)*DATOS!$C$82^3/12+MIN(DATOS!$C$83,AD48)*DATOS!$C$82*(DATOS!$C$84+DATOS!$C$82/2-CV48)^2)</f>
        <v/>
      </c>
      <c r="CX48" s="58" t="str">
        <f>IF(V48&lt;&gt;"SÍ","",(12*CW48/DATOS!$C$86)^(1/3))</f>
        <v/>
      </c>
      <c r="CY48" s="58" t="str">
        <f>IF(V48&lt;&gt;"SÍ","",IF(C48="PERIMETRAL",IF(ISNUMBER(S48),S48,DATOS!$C$104),0))</f>
        <v/>
      </c>
      <c r="CZ48" s="57" t="str">
        <f>IF(V48&lt;&gt;"SÍ","",IF(C48="PERIMETRAL",IF(CY48&gt;2,MAX(9,AC48*(0.8+DATOS!$C$14/14000)/(36+9*(AC48/MAX(AB48,1)))),IF(CY48&gt;0.2,MAX(13,AC48*(0.8+DATOS!$C$14/14000)/(36+5*(AC48/MAX(AB48,1))*(CY48-0.2))),MAX(13,AC48/IF(AS48&gt;0,30,33))))*IF(AND(CY48&gt;0.2,AS48&gt;0,DATOS!$C$105="NO"),1.1,1),MAX(25,Y48*100/8*(0.4+DATOS!$C$14/7000))))</f>
        <v/>
      </c>
      <c r="DA48" s="61" t="str">
        <f>IF(V48&lt;&gt;"SÍ","",IF(IF(C48="VOLADO",DATOS!$C$85,CX48)&gt;=CZ48,"CUMPLE",IF(C48="VOLADO","NO CUMPLE","CALCULAR FLECHA")))</f>
        <v/>
      </c>
      <c r="DB48" s="55" t="str">
        <f>IF(V48&lt;&gt;"SÍ","",IF(DATOS!$C$84&gt;=IF(IF(C48="VOLADO",Y48,Z48)&gt;=6,6,5),"CUMPLE","CAPA ≥ 6 cm"))</f>
        <v/>
      </c>
      <c r="DC48" s="60" t="str">
        <f>IF(V48&lt;&gt;"SÍ","",IF(C48="VOLADO",MIN(FLOOR(IF(ISNUMBER(P48),P48,Y48)*100-DATOS!$C$63,5),CEILING(MAX(IF((0.5*(0.9*DATOS!$C$90*DATOS!$C$86/100/1000)*IF(ISNUMBER(P48),P48,Y48)+BH48/IF(ISNUMBER(P48),P48,Y48))^2-4*(0.5*(0.9*DATOS!$C$90*DATOS!$C$86/100/1000))*BH48&lt;0,IF(ISNUMBER(P48),P48,Y48),MIN(IF(ISNUMBER(P48),P48,Y48),((0.5*(0.9*DATOS!$C$90*DATOS!$C$86/100/1000)*IF(ISNUMBER(P48),P48,Y48)+BH48/IF(ISNUMBER(P48),P48,Y48))-SQRT((0.5*(0.9*DATOS!$C$90*DATOS!$C$86/100/1000)*IF(ISNUMBER(P48),P48,Y48)+BH48/IF(ISNUMBER(P48),P48,Y48))^2-4*(0.5*(0.9*DATOS!$C$90*DATOS!$C$86/100/1000))*BH48))/(2*(0.5*(0.9*DATOS!$C$90*DATOS!$C$86/100/1000)))))*100+MAX(BX48,12*INDEX(TABLAS!$C$52:$C$58,MATCH(BV48,TABLAS!$B$52:$B$58,0)),IF(ISNUMBER(P48),P48,Y48)*100/16),IF(OR(AL48&lt;INDEX(TABLAS!$C$52:$C$58,MATCH(BV48,TABLAS!$B$52:$B$58,0)),AND(BW48&gt;=2,(AD48-2*AL48-BW48*INDEX(TABLAS!$C$52:$C$58,MATCH(BV48,TABLAS!$B$52:$B$58,0)))/MAX(BW48-1,1)&lt;2*INDEX(TABLAS!$C$52:$C$58,MATCH(BV48,TABLAS!$B$52:$B$58,0)))),INDEX(TABLAS!$I$52:$I$58,MATCH(BV48,TABLAS!$B$52:$B$58,0)),INDEX(TABLAS!$F$52:$F$58,MATCH(BV48,TABLAS!$B$52:$B$58,0)))),5)),IF(((4*((BC48*AR48*Y48^2*1E-4*DATOS!$C$86/100/1000)+((MAX(AY48,BA48)*AR48*Y48^2*1E-4*DATOS!$C$86/100/1000)+(IF(AND(AY48&gt;0,BA48&gt;0),MIN(AY48,BA48),MAX(AY48,BA48))*AR48*Y48^2*1E-4*DATOS!$C$86/100/1000))/2)+BH48-(IF(AND(AY48&gt;0,BA48&gt;0),MIN(AY48,BA48),MAX(AY48,BA48))*AR48*Y48^2*1E-4*DATOS!$C$86/100/1000))^2-16*((BC48*AR48*Y48^2*1E-4*DATOS!$C$86/100/1000)+((MAX(AY48,BA48)*AR48*Y48^2*1E-4*DATOS!$C$86/100/1000)+(IF(AND(AY48&gt;0,BA48&gt;0),MIN(AY48,BA48),MAX(AY48,BA48))*AR48*Y48^2*1E-4*DATOS!$C$86/100/1000))/2)*BH48)&lt;0,CEILING(AB48,5),CEILING(MAX(AB48*((4*((BC48*AR48*Y48^2*1E-4*DATOS!$C$86/100/1000)+((MAX(AY48,BA48)*AR48*Y48^2*1E-4*DATOS!$C$86/100/1000)+(IF(AND(AY48&gt;0,BA48&gt;0),MIN(AY48,BA48),MAX(AY48,BA48))*AR48*Y48^2*1E-4*DATOS!$C$86/100/1000))/2)+BH48-(IF(AND(AY48&gt;0,BA48&gt;0),MIN(AY48,BA48),MAX(AY48,BA48))*AR48*Y48^2*1E-4*DATOS!$C$86/100/1000))-SQRT(MAX(0,((4*((BC48*AR48*Y48^2*1E-4*DATOS!$C$86/100/1000)+((MAX(AY48,BA48)*AR48*Y48^2*1E-4*DATOS!$C$86/100/1000)+(IF(AND(AY48&gt;0,BA48&gt;0),MIN(AY48,BA48),MAX(AY48,BA48))*AR48*Y48^2*1E-4*DATOS!$C$86/100/1000))/2)+BH48-(IF(AND(AY48&gt;0,BA48&gt;0),MIN(AY48,BA48),MAX(AY48,BA48))*AR48*Y48^2*1E-4*DATOS!$C$86/100/1000))^2-16*((BC48*AR48*Y48^2*1E-4*DATOS!$C$86/100/1000)+((MAX(AY48,BA48)*AR48*Y48^2*1E-4*DATOS!$C$86/100/1000)+(IF(AND(AY48&gt;0,BA48&gt;0),MIN(AY48,BA48),MAX(AY48,BA48))*AR48*Y48^2*1E-4*DATOS!$C$86/100/1000))/2)*BH48))))/(8*MAX(((BC48*AR48*Y48^2*1E-4*DATOS!$C$86/100/1000)+((MAX(AY48,BA48)*AR48*Y48^2*1E-4*DATOS!$C$86/100/1000)+(IF(AND(AY48&gt;0,BA48&gt;0),MIN(AY48,BA48),MAX(AY48,BA48))*AR48*Y48^2*1E-4*DATOS!$C$86/100/1000))/2),1E-9))+MAX(BX48,12*INDEX(TABLAS!$C$52:$C$58,MATCH(BV48,TABLAS!$B$52:$B$58,0)),AB48/16),IF(OR(AL48&lt;INDEX(TABLAS!$C$52:$C$58,MATCH(BV48,TABLAS!$B$52:$B$58,0)),AND(BW48&gt;=2,(AD48-2*AL48-BW48*INDEX(TABLAS!$C$52:$C$58,MATCH(BV48,TABLAS!$B$52:$B$58,0)))/MAX(BW48-1,1)&lt;2*INDEX(TABLAS!$C$52:$C$58,MATCH(BV48,TABLAS!$B$52:$B$58,0)))),INDEX(TABLAS!$I$52:$I$58,MATCH(BV48,TABLAS!$B$52:$B$58,0)),INDEX(TABLAS!$F$52:$F$58,MATCH(BV48,TABLAS!$B$52:$B$58,0)))),5))))</f>
        <v/>
      </c>
      <c r="DD48" s="60" t="str">
        <f>IF(V48&lt;&gt;"SÍ","",IF(C48="VOLADO",0,IF(((4*((BD48*AR48*Y48^2*1E-4*DATOS!$C$86/100/1000)+((MAX(AZ48,BB48)*AR48*Y48^2*1E-4*DATOS!$C$86/100/1000)+(IF(AND(AZ48&gt;0,BB48&gt;0),MIN(AZ48,BB48),MAX(AZ48,BB48))*AR48*Y48^2*1E-4*DATOS!$C$86/100/1000))/2)+BJ48-(IF(AND(AZ48&gt;0,BB48&gt;0),MIN(AZ48,BB48),MAX(AZ48,BB48))*AR48*Y48^2*1E-4*DATOS!$C$86/100/1000))^2-16*((BD48*AR48*Y48^2*1E-4*DATOS!$C$86/100/1000)+((MAX(AZ48,BB48)*AR48*Y48^2*1E-4*DATOS!$C$86/100/1000)+(IF(AND(AZ48&gt;0,BB48&gt;0),MIN(AZ48,BB48),MAX(AZ48,BB48))*AR48*Y48^2*1E-4*DATOS!$C$86/100/1000))/2)*BJ48)&lt;0,CEILING(AC48,5),CEILING(MAX(AC48*((4*((BD48*AR48*Y48^2*1E-4*DATOS!$C$86/100/1000)+((MAX(AZ48,BB48)*AR48*Y48^2*1E-4*DATOS!$C$86/100/1000)+(IF(AND(AZ48&gt;0,BB48&gt;0),MIN(AZ48,BB48),MAX(AZ48,BB48))*AR48*Y48^2*1E-4*DATOS!$C$86/100/1000))/2)+BJ48-(IF(AND(AZ48&gt;0,BB48&gt;0),MIN(AZ48,BB48),MAX(AZ48,BB48))*AR48*Y48^2*1E-4*DATOS!$C$86/100/1000))-SQRT(MAX(0,((4*((BD48*AR48*Y48^2*1E-4*DATOS!$C$86/100/1000)+((MAX(AZ48,BB48)*AR48*Y48^2*1E-4*DATOS!$C$86/100/1000)+(IF(AND(AZ48&gt;0,BB48&gt;0),MIN(AZ48,BB48),MAX(AZ48,BB48))*AR48*Y48^2*1E-4*DATOS!$C$86/100/1000))/2)+BJ48-(IF(AND(AZ48&gt;0,BB48&gt;0),MIN(AZ48,BB48),MAX(AZ48,BB48))*AR48*Y48^2*1E-4*DATOS!$C$86/100/1000))^2-16*((BD48*AR48*Y48^2*1E-4*DATOS!$C$86/100/1000)+((MAX(AZ48,BB48)*AR48*Y48^2*1E-4*DATOS!$C$86/100/1000)+(IF(AND(AZ48&gt;0,BB48&gt;0),MIN(AZ48,BB48),MAX(AZ48,BB48))*AR48*Y48^2*1E-4*DATOS!$C$86/100/1000))/2)*BJ48))))/(8*MAX(((BD48*AR48*Y48^2*1E-4*DATOS!$C$86/100/1000)+((MAX(AZ48,BB48)*AR48*Y48^2*1E-4*DATOS!$C$86/100/1000)+(IF(AND(AZ48&gt;0,BB48&gt;0),MIN(AZ48,BB48),MAX(AZ48,BB48))*AR48*Y48^2*1E-4*DATOS!$C$86/100/1000))/2),1E-9))+MAX(CN48,12*INDEX(TABLAS!$C$52:$C$58,MATCH(CL48,TABLAS!$B$52:$B$58,0)),AC48/16),IF(OR(AL48&lt;INDEX(TABLAS!$C$52:$C$58,MATCH(CL48,TABLAS!$B$52:$B$58,0)),AND(CM48&gt;=2,(DATOS!$C$83-2*AL48-CM48*INDEX(TABLAS!$C$52:$C$58,MATCH(CL48,TABLAS!$B$52:$B$58,0)))/MAX(CM48-1,1)&lt;2*INDEX(TABLAS!$C$52:$C$58,MATCH(CL48,TABLAS!$B$52:$B$58,0)))),INDEX(TABLAS!$I$52:$I$58,MATCH(CL48,TABLAS!$B$52:$B$58,0)),INDEX(TABLAS!$F$52:$F$58,MATCH(CL48,TABLAS!$B$52:$B$58,0)))),5))))</f>
        <v/>
      </c>
      <c r="DE48" s="55" t="str">
        <f>IF(V48&lt;&gt;"SÍ","",IF(AND(C48="PERIMETRAL",BW48&gt;=2,AS48-AT48&gt;0,BA48*AR48*Y48^2*1E-4*DATOS!$C$86/100/1000&gt;DATOS!$C$29*INDEX(TABLAS!$D$52:$D$58,MATCH(BV48,TABLAS!$B$52:$B$58,0))*DATOS!$C$14*(BX48-INDEX(TABLAS!$D$52:$D$58,MATCH(BV48,TABLAS!$B$52:$B$58,0))*DATOS!$C$14/(DATOS!$C$21*AF48)/2)/1E5),"SÍ","NO"))</f>
        <v/>
      </c>
      <c r="DF48" s="55" t="str">
        <f>IF(V48&lt;&gt;"SÍ","",IF(AND(C48="PERIMETRAL",CM48&gt;=2,AT48&gt;0,BB48*AR48*Y48^2*1E-4*DATOS!$C$86/100/1000&gt;DATOS!$C$29*INDEX(TABLAS!$D$52:$D$58,MATCH(CL48,TABLAS!$B$52:$B$58,0))*DATOS!$C$14*(CN48-INDEX(TABLAS!$D$52:$D$58,MATCH(CL48,TABLAS!$B$52:$B$58,0))*DATOS!$C$14/(DATOS!$C$21*AG48)/2)/1E5),"SÍ","NO"))</f>
        <v/>
      </c>
      <c r="DG48" s="63" t="str">
        <f>IF(V48&lt;&gt;"SÍ","",IF(OR(C48="VOLADO",AS48=0),"—",IF(AND(AND(1.25*INDEX(TABLAS!$G$52:$G$58,MATCH(MAX(BN48,CD48),TABLAS!$B$52:$B$58,0))&lt;=(DATOS!$C$75-DATOS!$C$63),(DATOS!$C$75-DATOS!$C$63)&gt;=15,INDEX(TABLAS!$G$52:$G$58,MATCH(MAX(BV48,CL48),TABLAS!$B$52:$B$58,0))&lt;=(DATOS!$C$75-DATOS!$C$63)),8*INDEX(TABLAS!$C$52:$C$58,MATCH(MAX(MAX(BN48,CD48),MAX(BV48,CL48)),TABLAS!$B$52:$B$58,0))&lt;=DATOS!$C$76-2*DATOS!$C$63),"CUMPLE (gancho de 180°)",IF(AND(1.25*INDEX(TABLAS!$G$52:$G$58,MATCH(MAX(BN48,CD48),TABLAS!$B$52:$B$58,0))&lt;=(DATOS!$C$75-DATOS!$C$63),(DATOS!$C$75-DATOS!$C$63)&gt;=15,INDEX(TABLAS!$G$52:$G$58,MATCH(MAX(BV48,CL48),TABLAS!$B$52:$B$58,0))&lt;=(DATOS!$C$75-DATOS!$C$63)),"NO CUMPLE: el gancho de 180° (8·d_b) no cabe en el peralte de la dala de borde","NO CUMPLE: dala de borde ≥ "&amp;TEXT(CEILING(MAX(1.25*INDEX(TABLAS!$G$52:$G$58,MATCH(MAX(BN48,CD48),TABLAS!$B$52:$B$58,0)),15,INDEX(TABLAS!$G$52:$G$58,MATCH(MAX(BV48,CL48),TABLAS!$B$52:$B$58,0)))+DATOS!$C$63,5),"0")&amp;" cm de ancho"&amp;IF(8*INDEX(TABLAS!$C$52:$C$58,MATCH(MAX(MAX(BN48,CD48),MAX(BV48,CL48)),TABLAS!$B$52:$B$58,0))&lt;=DATOS!$C$76-2*DATOS!$C$63,""," y más peralte para el gancho")))))</f>
        <v/>
      </c>
      <c r="DH48" s="59" t="str">
        <f>IF(V48&lt;&gt;"SÍ","",MAX(0,INT((E48*100-DATOS!$C$87-IF(AND(C48="PERIMETRAL",I48="DISCONTINUO"),MAX(0,DATOS!$C$75-DATOS!$C$87),0)-IF(AND(C48="PERIMETRAL",J48="DISCONTINUO"),MAX(0,DATOS!$C$75-DATOS!$C$87),0)+DATOS!$C$86-IF(X48="X",DATOS!$C$81,AE48))/DATOS!$C$86)))</f>
        <v/>
      </c>
      <c r="DI48" s="59" t="str">
        <f>IF(V48&lt;&gt;"SÍ","",MAX(0,INT((F48*100-DATOS!$C$87-IF(AND(C48="PERIMETRAL",G48="DISCONTINUO"),MAX(0,DATOS!$C$75-DATOS!$C$87),0)-IF(AND(C48="PERIMETRAL",H48="DISCONTINUO"),MAX(0,DATOS!$C$75-DATOS!$C$87),0)+DATOS!$C$86-IF(X48="Y",DATOS!$C$81,AE48))/DATOS!$C$86)))</f>
        <v/>
      </c>
      <c r="DJ48" s="57" t="str">
        <f>IF(V48&lt;&gt;"SÍ","",IF(DH48&gt;0,IF(AND(C48="PERIMETRAL",I48="DISCONTINUO"),MAX(0,DATOS!$C$75-DATOS!$C$87),0)+(E48*100-DATOS!$C$87-IF(AND(C48="PERIMETRAL",I48="DISCONTINUO"),MAX(0,DATOS!$C$75-DATOS!$C$87),0)-IF(AND(C48="PERIMETRAL",J48="DISCONTINUO"),MAX(0,DATOS!$C$75-DATOS!$C$87),0)-(DH48*IF(X48="X",DATOS!$C$81,AE48)+(DH48-1)*(DATOS!$C$86-IF(X48="X",DATOS!$C$81,AE48))))/2,E48*100/2))</f>
        <v/>
      </c>
      <c r="DK48" s="57" t="str">
        <f>IF(V48&lt;&gt;"SÍ","",IF(DH48&gt;0,IF(AND(C48="PERIMETRAL",J48="DISCONTINUO"),MAX(0,DATOS!$C$75-DATOS!$C$87),0)+(E48*100-DATOS!$C$87-IF(AND(C48="PERIMETRAL",I48="DISCONTINUO"),MAX(0,DATOS!$C$75-DATOS!$C$87),0)-IF(AND(C48="PERIMETRAL",J48="DISCONTINUO"),MAX(0,DATOS!$C$75-DATOS!$C$87),0)-(DH48*IF(X48="X",DATOS!$C$81,AE48)+(DH48-1)*(DATOS!$C$86-IF(X48="X",DATOS!$C$81,AE48))))/2,E48*100/2))</f>
        <v/>
      </c>
      <c r="DL48" s="57" t="str">
        <f>IF(V48&lt;&gt;"SÍ","",IF(DI48&gt;0,IF(AND(C48="PERIMETRAL",G48="DISCONTINUO"),MAX(0,DATOS!$C$75-DATOS!$C$87),0)+(F48*100-DATOS!$C$87-IF(AND(C48="PERIMETRAL",G48="DISCONTINUO"),MAX(0,DATOS!$C$75-DATOS!$C$87),0)-IF(AND(C48="PERIMETRAL",H48="DISCONTINUO"),MAX(0,DATOS!$C$75-DATOS!$C$87),0)-(DI48*IF(X48="Y",DATOS!$C$81,AE48)+(DI48-1)*(DATOS!$C$86-IF(X48="Y",DATOS!$C$81,AE48))))/2,F48*100/2))</f>
        <v/>
      </c>
      <c r="DM48" s="57" t="str">
        <f>IF(V48&lt;&gt;"SÍ","",IF(DI48&gt;0,IF(AND(C48="PERIMETRAL",H48="DISCONTINUO"),MAX(0,DATOS!$C$75-DATOS!$C$87),0)+(F48*100-DATOS!$C$87-IF(AND(C48="PERIMETRAL",G48="DISCONTINUO"),MAX(0,DATOS!$C$75-DATOS!$C$87),0)-IF(AND(C48="PERIMETRAL",H48="DISCONTINUO"),MAX(0,DATOS!$C$75-DATOS!$C$87),0)-(DI48*IF(X48="Y",DATOS!$C$81,AE48)+(DI48-1)*(DATOS!$C$86-IF(X48="Y",DATOS!$C$81,AE48))))/2,F48*100/2))</f>
        <v/>
      </c>
      <c r="DN48" s="59" t="str">
        <f>IF(V48&lt;&gt;"SÍ","",IF(NOT(AND(C48="VOLADO",AD48&gt;DATOS!$C$83)),0,IF(INDEX(TABLAS!$C$52:$C$58,MATCH(BV48,TABLAS!$B$52:$B$58,0))&lt;=DATOS!$C$83-2*DATOS!$C$63,1,0)))</f>
        <v/>
      </c>
      <c r="DO48" s="58" t="str">
        <f>IF(V48&lt;&gt;"SÍ","",IF(NOT(AND(C48="VOLADO",AD48&gt;DATOS!$C$83)),0,((DATOS!$C$85-MAX(DATOS!$C$63,(DATOS!$C$84-2*DATOS!$C$97)/2)-2*DATOS!$C$97-INDEX(TABLAS!$C$52:$C$58,MATCH(MAX(4,DATOS!$C$72),TABLAS!$B$52:$B$58,0))-INDEX(TABLAS!$C$52:$C$58,MATCH(BV48,TABLAS!$B$52:$B$58,0))/2)-IF(AND((DATOS!$C$85-MAX(DATOS!$C$63,(DATOS!$C$84-2*DATOS!$C$97)/2)-2*DATOS!$C$97-INDEX(TABLAS!$C$52:$C$58,MATCH(MAX(4,DATOS!$C$72),TABLAS!$B$52:$B$58,0))-INDEX(TABLAS!$C$52:$C$58,MATCH(BV48,TABLAS!$B$52:$B$58,0))/2)&lt;=20,DATOS!$C$65&lt;&gt;"SÍ"),2,0))))</f>
        <v/>
      </c>
      <c r="DP48" s="56" t="str">
        <f>IF(V48&lt;&gt;"SÍ","",IF(OR(NOT(AND(C48="VOLADO",AD48&gt;DATOS!$C$83)),DN48&lt;1),0,IF(0.003*(DO48-((DN48*INDEX(TABLAS!$D$52:$D$58,MATCH(BV48,TABLAS!$B$52:$B$58,0)))*DATOS!$C$14/(DATOS!$C$21*AG48)/DATOS!$C$22))/((DN48*INDEX(TABLAS!$D$52:$D$58,MATCH(BV48,TABLAS!$B$52:$B$58,0)))*DATOS!$C$14/(DATOS!$C$21*AG48)/DATOS!$C$22)&lt;0.005,0,DATOS!$C$29*(DN48*INDEX(TABLAS!$D$52:$D$58,MATCH(BV48,TABLAS!$B$52:$B$58,0)))*DATOS!$C$14*(DO48-(DN48*INDEX(TABLAS!$D$52:$D$58,MATCH(BV48,TABLAS!$B$52:$B$58,0)))*DATOS!$C$14/(DATOS!$C$21*AG48)/2)/1E5)))</f>
        <v/>
      </c>
      <c r="DQ48" s="56" t="str">
        <f>IF(V48&lt;&gt;"SÍ","",IF(OR(NOT(AND(C48="VOLADO",AD48&gt;DATOS!$C$83)),DN48&lt;1),0,DATOS!$C$30*2*MIN(1,SQRT(2/(1+0.04*DO48)))*((DN48*INDEX(TABLAS!$D$52:$D$58,MATCH(BV48,TABLAS!$B$52:$B$58,0)))/(AG48*DO48))^(1/3)*SQRT(DATOS!$C$13)*AG48*DO48/1000))</f>
        <v/>
      </c>
      <c r="DR48" s="56" t="str">
        <f>IF(V48&lt;&gt;"SÍ","",IF(NOT(AND(C48="VOLADO",AD48&gt;DATOS!$C$83)),0,IF((BH48-DP48)&lt;=0,0,IF(DP48&lt;=0,IF(ISNUMBER(P48),P48,Y48),IF(((0.9*DATOS!$C$90*DATOS!$C$86/100/1000)*IF(ISNUMBER(P48),P48,Y48)/2+BH48/IF(ISNUMBER(P48),P48,Y48))^2-4*((0.9*DATOS!$C$90*DATOS!$C$86/100/1000)/2)*(BH48-DP48)&lt;0,IF(ISNUMBER(P48),P48,Y48),MIN(IF(ISNUMBER(P48),P48,Y48),(((0.9*DATOS!$C$90*DATOS!$C$86/100/1000)*IF(ISNUMBER(P48),P48,Y48)/2+BH48/IF(ISNUMBER(P48),P48,Y48))-SQRT(((0.9*DATOS!$C$90*DATOS!$C$86/100/1000)*IF(ISNUMBER(P48),P48,Y48)/2+BH48/IF(ISNUMBER(P48),P48,Y48))^2-4*((0.9*DATOS!$C$90*DATOS!$C$86/100/1000)/2)*(BH48-DP48)))/(2*((0.9*DATOS!$C$90*DATOS!$C$86/100/1000)/2))))))))</f>
        <v/>
      </c>
      <c r="DS48" s="56" t="str">
        <f>IF(V48&lt;&gt;"SÍ","",IF(NOT(AND(C48="VOLADO",AD48&gt;DATOS!$C$83)),0,IF(DQ48&lt;=(BH48/((IF(ISNUMBER(P48),P48,Y48)*100-DATOS!$C$87)/100)),IF(ISNUMBER(P48),P48,Y48),MIN(IF(ISNUMBER(P48),P48,Y48),MAX(0,(IF(ISNUMBER(P48),P48,Y48)*100-DATOS!$C$87)/200-(DQ48-(BH48/((IF(ISNUMBER(P48),P48,Y48)*100-DATOS!$C$87)/100)))/((0.95-0.5*IF(N(Q48)&gt;0,MIN(IF(ISNUMBER(P48),P48,Y48),Q48)/MAX(IF(ISNUMBER(P48),P48,Y48),Q48),0))*DATOS!$C$33*AR48*DATOS!$C$86/100/1000))))))</f>
        <v/>
      </c>
      <c r="DT48" s="56" t="str">
        <f>IF(V48&lt;&gt;"SÍ","",IF(NOT(AND(C48="VOLADO",AD48&gt;DATOS!$C$83)),0,(BH48/((IF(ISNUMBER(P48),P48,Y48)*100-DATOS!$C$87)/100))+((0.95-0.5*IF(N(Q48)&gt;0,MIN(IF(ISNUMBER(P48),P48,Y48),Q48)/MAX(IF(ISNUMBER(P48),P48,Y48),Q48),0))*DATOS!$C$33*AR48*DATOS!$C$86/100/1000)*MAX(0,(IF(ISNUMBER(P48),P48,Y48)*100-DATOS!$C$87)/200-BX48/100)))</f>
        <v/>
      </c>
      <c r="DU48" s="59" t="str">
        <f>IF(V48&lt;&gt;"SÍ","",IF(NOT(AND(C48="VOLADO",AD48&gt;DATOS!$C$83)),0,MIN(FLOOR(100*IF(ISNUMBER(P48),P48,Y48)-DATOS!$C$63,5),CEILING(100*MIN(IF(ISNUMBER(P48),P48,Y48),MAX(IF(DR48&gt;0,DR48+IF(BW48&gt;=2,MAX(DO48,12*INDEX(TABLAS!$C$52:$C$58,MATCH(BV48,TABLAS!$B$52:$B$58,0)))/100,0),0),DS48,IF(BW48&gt;=2,INDEX(TABLAS!$F$52:$F$58,MATCH(BV48,TABLAS!$B$52:$B$58,0))/100,0))),5))))</f>
        <v/>
      </c>
      <c r="DV48" s="60" t="str">
        <f>IF(V48&lt;&gt;"SÍ","",IF(NOT(AND(C48="VOLADO",AD48&gt;DATOS!$C$83)),0,IF(DU48&lt;=0,0,CEILING(DU48/DATOS!$C$86,1))))</f>
        <v/>
      </c>
      <c r="DW48" s="61" t="str">
        <f>IF(V48&lt;&gt;"SÍ","",IF(C48&lt;&gt;"VOLADO","—",IF(AD48&lt;=DATOS!$C$83,"— (mismo b_w que el respaldo)",IF(DT48&gt;CS48,"NO CUMPLE: cortante de la nervadura ancha junto al apoyo ("&amp;TEXT(DT48,"0.00")&amp;" &gt; "&amp;TEXT(CS48,"0.00")&amp;" t)",IF(DU48&gt;=100*IF(ISNUMBER(P48),P48,Y48),"CUMPLE — todas las nervaduras del respaldo ‖ al volado con b_w = "&amp;AD48&amp;" cm","CUMPLE — "&amp;DV48&amp;" hilera(s) del respaldo con nervaduras de b_w = "&amp;AD48&amp;" cm (casetón "&amp;AE48&amp;" cm), hasta "&amp;TEXT(DU48/100,"0.00")&amp;" m del paño")))))</f>
        <v/>
      </c>
      <c r="DX48" s="69" t="str">
        <f>IF(V48&lt;&gt;"SÍ","",IF(BO48=0,"NO ALCANZA",BO48&amp;" No. "&amp;BN48&amp;IF(BO48&gt;1," corridas"," corrida")))</f>
        <v/>
      </c>
      <c r="DY48" s="69" t="str">
        <f>IF(V48&lt;&gt;"SÍ","",IF(BW48=0,"NO ALCANZA",IF(AND(C48="VOLADO",AD48&gt;DATOS!$C$83,BW48&gt;=2),"1 No. "&amp;BV48&amp;" corrida de la orilla al respaldo ("&amp;IF(DC48&gt;=FLOOR(100*IF(ISNUMBER(P48),P48,Y48)-DATOS!$C$63,5),"hasta su apoyo lejano, con gancho","entra "&amp;TEXT(DC48/100,"0.00")&amp;" m desde el paño")&amp;") + "&amp;(BW48-1)&amp;" bastón No. "&amp;BV48&amp;" hasta "&amp;TEXT(DU48/100,"0.00")&amp;" m del paño (fin de la nervadura ancha)",IF(C48="VOLADO",BW48&amp;" No. "&amp;BV48&amp;" de la orilla al respaldo ("&amp;IF(DC48&gt;=FLOOR(100*IF(ISNUMBER(P48),P48,Y48)-DATOS!$C$63,5),"hasta su apoyo lejano, con gancho","entran "&amp;TEXT(DC48/100,"0.00")&amp;" m desde el paño")&amp;")","1 No. "&amp;BV48&amp;" corrida"&amp;IF(BW48&gt;1," + "&amp;(BW48-1)&amp;" bastón No. "&amp;BV48&amp;" L = "&amp;TEXT(DC48/100,"0.00")&amp;" m desde el paño","")))))</f>
        <v/>
      </c>
      <c r="DZ48" s="69" t="str">
        <f>IF(V48&lt;&gt;"SÍ","",IF(CE48=0,"NO ALCANZA",CE48&amp;" No. "&amp;CD48&amp;IF(CE48&gt;1," corridas"," corrida")))</f>
        <v/>
      </c>
      <c r="EA48" s="69" t="str">
        <f>IF(V48&lt;&gt;"SÍ","",IF(CM48=0,"NO ALCANZA",IF(C48="VOLADO","1 No. "&amp;CL48&amp;" corrida (repartición)","1 No. "&amp;CL48&amp;" corrida"&amp;IF(CM48&gt;1," + "&amp;(CM48-1)&amp;" bastón No. "&amp;CL48&amp;" L = "&amp;TEXT(DD48/100,"0.00")&amp;" m desde el paño",""))))</f>
        <v/>
      </c>
      <c r="EB48" s="67" t="str">
        <f>IF(B48="","",IF(V48&lt;&gt;"SÍ","FALTAN DATOS: tipo, a_x, a_y, destino y, en volados, L_b",IF(L48="NO MONOLÍTICO (caso II)","FUERA DE ALCANCE: caso II no transcrito",IF(AND(C48="VOLADO",W48="?"),"REVISAR: el volado lleva UN solo borde CONTINUO (el empotrado)",IF(MIN(DH48,DI48)=0,"REVISAR: no cabe un casetón (tablero macizo): diséñalo en MACIZAS",IF(AND(MAX(BR48,BZ48,CH48,CP48)&lt;=1,NOT(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T(OR(AND(ISNUMBER(BS48),BS48&lt;0.005),AND(ISNUMBER(CA48),CA48&lt;0.005),AND(ISNUMBER(CI48),CI48&lt;0.005),AND(ISNUMBER(CQ48),CQ48&lt;0.005))),NOT(LEFT(DW48,2)="NO"),DA48="CUMPLE",DB48="CUMPLE",LEFT(CU48,2)&lt;&gt;"NO",LEFT(DATOS!$C$132,6)="CUMPLE"),IF(LEFT(CU48,6)="CUMPLE","CUMPLE","CUMPLE — "&amp;CU48)&amp;IF(LEFT(BK48,5)="FUERA"," · fuera de 3.4.2.1 c)","")&amp;IF(LEFT(DG48,2)="NO"," · REVISAR anclaje en borde discontinuo","")&amp;IF(DV48&gt;0," · respaldo: "&amp;DV48&amp;" hilera(s) de b_w "&amp;AD48&amp;" cm",""),IF(AND(MAX(BR48,BZ48,CH48,CP48)&lt;=1,NOT(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T(OR(AND(ISNUMBER(BS48),BS48&lt;0.005),AND(ISNUMBER(CA48),CA48&lt;0.005),AND(ISNUMBER(CI48),CI48&lt;0.005),AND(ISNUMBER(CQ48),CQ48&lt;0.005))),NOT(LEFT(DW48,2)="NO"),DA48="CALCULAR FLECHA",LEFT(CU48,2)&lt;&gt;"NO",LEFT(DATOS!$C$132,6)="CUMPLE"),"REVISAR: calcular flecha (h_eq &lt; h mín.)"&amp;IF(LEFT(BK48,5)="FUERA"," · fuera de 3.4.2.1 c)","")&amp;IF(LEFT(DG48,2)="NO"," · REVISAR anclaje en borde discontinuo","")&amp;IF(DV48&gt;0," · respaldo: "&amp;DV48&amp;" hilera(s) de b_w "&amp;AD48&amp;" cm",""),"NO CUMPLE: "&amp;IF(MAX(BR48,BZ48,CH48,CP48)&gt;1,"flexión ","")&amp;IF(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 caben ","")&amp;IF(OR(AND(ISNUMBER(BS48),BS48&lt;0.005),AND(ISNUMBER(CA48),CA48&lt;0.005),AND(ISNUMBER(CI48),CI48&lt;0.005),AND(ISNUMBER(CQ48),CQ48&lt;0.005)),"ε_t &lt; 0.005 ","")&amp;IF(LEFT(CU48,2)="NO","cortante ","")&amp;IF(DA48="NO CUMPLE","peralte ","")&amp;IF(DB48&lt;&gt;"CUMPLE","capa &lt; 6 cm ","")&amp;IF(LEFT(DATOS!$C$132,6)&lt;&gt;"CUMPLE","capa o malla (DATOS sección 7) ","")&amp;IF(LEFT(DW48,2)="NO","respaldo del volado",""))))))))</f>
        <v/>
      </c>
      <c r="EC48" s="70" t="str">
        <f>IF(V48&lt;&gt;"SÍ","",IF(LEFT(B48,7)="EJEMPLO","EJEMPLO de la hoja de Casa Rocha: bórralo o sobrescríbelo. ","")&amp;IF(AND(C48="PERIMETRAL",MIN(DH48,DI48)=0),"No cabe un casetón en el claro corto: es un tablero macizo, diséñalo en MACIZAS. ","")&amp;IF(AND(AJ48="NO",C48="PERIMETRAL"),"No cumple 6.7.8.1.4 (a_c = "&amp;MAX(DATOS!$C$81,AE48)&amp;" cm &gt; claro corto/6 = "&amp;TEXT(Y48*100/6,"0")&amp;" cm): se diseña como losa apoyada en vigas (6.7.8.1.9): r de viga = "&amp;DATOS!$C$63&amp;" cm y V_cR sin ×1.1. Para que cuente como encasetonada: casetón de "&amp;TEXT(FLOOR(MIN(80,Y48*100/6),1),"0")&amp;" cm o menor. ","")&amp;IF(C48="VOLADO","Volado de "&amp;TEXT(Y48,"0.00")&amp;" m empotrado en el borde "&amp;LOWER(W48)&amp;IF(N(O48)&gt;0,", con "&amp;TEXT(O48,"0.0")&amp;" kg/m en la orilla","")&amp;". Lecho inferior con r_ext. Si la orilla carga pretil u otro elemento frágil, calcula la flecha (13.4). El acero superior entra al respaldo de "&amp;TEXT(IF(ISNUMBER(P48),P48,Y48),"0.00")&amp;" m"&amp;" hasta pasar M = 0 con 0.9·PP sin carga viva; si ahí no se anula, llega al apoyo lejano y se ancla con gancho (NTC-Criterios 3.4.1 c y 5.1.2.2). "&amp;IF(AD48&gt;DATOS!$C$83,"Respaldo: "&amp;DW48&amp;". ",""),"")&amp;IF(AND(C48="VOLADO",((0.9*DATOS!$C$90*DATOS!$C$86/100/1000)*IF(ISNUMBER(P48),P48,Y48)/2-BH48/IF(ISNUMBER(P48),P48,Y48))&lt;0),"Con 0.9·PP y sin carga viva el apoyo lejano del respaldo levanta (R = "&amp;TEXT(-((0.9*DATOS!$C$90*DATOS!$C$86/100/1000)*IF(ISNUMBER(P48),P48,Y48)/2-BH48/IF(ISNUMBER(P48),P48,Y48)),"0.00")&amp;" t por nervadura): ancla ahí la corrida con gancho y revisa ese apoyo a tensión. ","")&amp;IF(LEFT(BK48,5)="FUERA","El M⁻ del vecino difiere más de 50 % (3.4.2.1 c): distribuye el desequilibrio (3.4.3.1) o confirma con un modelo; se arma con el mayor. ","")&amp;IF(OR(DE48="SÍ",DF48="SÍ"),"El M⁻ del borde discontinuo pide bastón también ahí (con gancho). ","")&amp;IF(LEFT(DG48,2)="NO","Anclaje: "&amp;DG48&amp;" (6.7.8.1.7). ","")&amp;IF(AND(C48="PERIMETRAL",AT48&gt;=1,AS48-AT48&gt;=1),"Esquinas exteriores sobre muro: refuerzo de esquina arriba y abajo en L_largo/5 (6.7.7.3.1). ",""))</f>
        <v/>
      </c>
    </row>
  </sheetData>
  <mergeCells count="33">
    <mergeCell ref="CR6:CU6"/>
    <mergeCell ref="BL5:BS5"/>
    <mergeCell ref="CV6:DB6"/>
    <mergeCell ref="AN6:AR6"/>
    <mergeCell ref="AN5:AR5"/>
    <mergeCell ref="CJ5:CQ5"/>
    <mergeCell ref="V6:AM6"/>
    <mergeCell ref="AS5:AV5"/>
    <mergeCell ref="DN5:DW5"/>
    <mergeCell ref="BL6:BS6"/>
    <mergeCell ref="BE6:BK6"/>
    <mergeCell ref="AW6:BD6"/>
    <mergeCell ref="B3:EC3"/>
    <mergeCell ref="AW5:BD5"/>
    <mergeCell ref="BE5:BK5"/>
    <mergeCell ref="CR5:CU5"/>
    <mergeCell ref="CJ6:CQ6"/>
    <mergeCell ref="DX6:EC6"/>
    <mergeCell ref="AS6:AV6"/>
    <mergeCell ref="DC6:DM6"/>
    <mergeCell ref="B2:EC2"/>
    <mergeCell ref="BT5:CA5"/>
    <mergeCell ref="DX5:EC5"/>
    <mergeCell ref="CB5:CI5"/>
    <mergeCell ref="DC5:DM5"/>
    <mergeCell ref="DN6:DW6"/>
    <mergeCell ref="B1:EC1"/>
    <mergeCell ref="CV5:DB5"/>
    <mergeCell ref="V5:AM5"/>
    <mergeCell ref="B6:U6"/>
    <mergeCell ref="BT6:CA6"/>
    <mergeCell ref="CB6:CI6"/>
    <mergeCell ref="B5:U5"/>
  </mergeCells>
  <conditionalFormatting sqref="V9:V48">
    <cfRule type="expression" priority="1" dxfId="0" stopIfTrue="1">
      <formula>OR(ISNUMBER(FIND("NO CUMPLE",V9)),ISNUMBER(FIND("REVISAR",V9)),ISNUMBER(FIND("NO CABE",V9)),ISNUMBER(FIND("FUERA",V9)),ISNUMBER(FIND("FALTA",V9)),ISNUMBER(FIND("INSUFICIENTE",V9)),ISNUMBER(FIND("PENDIENTE",V9)))</formula>
    </cfRule>
    <cfRule type="expression" priority="2" dxfId="1" stopIfTrue="1">
      <formula>OR(ISNUMBER(FIND("CUMPLE",V9)),ISNUMBER(FIND("SÍ aplica",V9)),ISNUMBER(FIND("MANDA",V9)))</formula>
    </cfRule>
    <cfRule type="expression" priority="3" dxfId="2" stopIfTrue="1">
      <formula>OR(ISNUMBER(FIND("MACIZAR",V9)),ISNUMBER(FIND("CALCULAR",V9)),ISNUMBER(FIND("PROPUESTO",V9)),ISNUMBER(FIND("VER ",V9)))</formula>
    </cfRule>
  </conditionalFormatting>
  <conditionalFormatting sqref="EB9:EB48">
    <cfRule type="expression" priority="4" dxfId="0" stopIfTrue="1">
      <formula>OR(ISNUMBER(FIND("NO CUMPLE",EB9)),ISNUMBER(FIND("REVISAR",EB9)),ISNUMBER(FIND("NO CABE",EB9)),ISNUMBER(FIND("FUERA",EB9)),ISNUMBER(FIND("FALTA",EB9)),ISNUMBER(FIND("INSUFICIENTE",EB9)),ISNUMBER(FIND("PENDIENTE",EB9)))</formula>
    </cfRule>
    <cfRule type="expression" priority="5" dxfId="1" stopIfTrue="1">
      <formula>OR(ISNUMBER(FIND("CUMPLE",EB9)),ISNUMBER(FIND("SÍ aplica",EB9)),ISNUMBER(FIND("MANDA",EB9)))</formula>
    </cfRule>
    <cfRule type="expression" priority="6" dxfId="2" stopIfTrue="1">
      <formula>OR(ISNUMBER(FIND("MACIZAR",EB9)),ISNUMBER(FIND("CALCULAR",EB9)),ISNUMBER(FIND("PROPUESTO",EB9)),ISNUMBER(FIND("VER ",EB9)))</formula>
    </cfRule>
  </conditionalFormatting>
  <conditionalFormatting sqref="CU9:CU48">
    <cfRule type="expression" priority="7" dxfId="0" stopIfTrue="1">
      <formula>OR(ISNUMBER(FIND("NO CUMPLE",CU9)),ISNUMBER(FIND("REVISAR",CU9)),ISNUMBER(FIND("NO CABE",CU9)),ISNUMBER(FIND("FUERA",CU9)),ISNUMBER(FIND("FALTA",CU9)),ISNUMBER(FIND("INSUFICIENTE",CU9)),ISNUMBER(FIND("PENDIENTE",CU9)))</formula>
    </cfRule>
    <cfRule type="expression" priority="8" dxfId="1" stopIfTrue="1">
      <formula>OR(ISNUMBER(FIND("CUMPLE",CU9)),ISNUMBER(FIND("SÍ aplica",CU9)),ISNUMBER(FIND("MANDA",CU9)))</formula>
    </cfRule>
    <cfRule type="expression" priority="9" dxfId="2" stopIfTrue="1">
      <formula>OR(ISNUMBER(FIND("MACIZAR",CU9)),ISNUMBER(FIND("CALCULAR",CU9)),ISNUMBER(FIND("PROPUESTO",CU9)),ISNUMBER(FIND("VER ",CU9)))</formula>
    </cfRule>
  </conditionalFormatting>
  <conditionalFormatting sqref="DA9:DA48">
    <cfRule type="expression" priority="10" dxfId="0" stopIfTrue="1">
      <formula>OR(ISNUMBER(FIND("NO CUMPLE",DA9)),ISNUMBER(FIND("REVISAR",DA9)),ISNUMBER(FIND("NO CABE",DA9)),ISNUMBER(FIND("FUERA",DA9)),ISNUMBER(FIND("FALTA",DA9)),ISNUMBER(FIND("INSUFICIENTE",DA9)),ISNUMBER(FIND("PENDIENTE",DA9)))</formula>
    </cfRule>
    <cfRule type="expression" priority="11" dxfId="1" stopIfTrue="1">
      <formula>OR(ISNUMBER(FIND("CUMPLE",DA9)),ISNUMBER(FIND("SÍ aplica",DA9)),ISNUMBER(FIND("MANDA",DA9)))</formula>
    </cfRule>
    <cfRule type="expression" priority="12" dxfId="2" stopIfTrue="1">
      <formula>OR(ISNUMBER(FIND("MACIZAR",DA9)),ISNUMBER(FIND("CALCULAR",DA9)),ISNUMBER(FIND("PROPUESTO",DA9)),ISNUMBER(FIND("VER ",DA9)))</formula>
    </cfRule>
  </conditionalFormatting>
  <conditionalFormatting sqref="BK9:BK48">
    <cfRule type="expression" priority="13" dxfId="0" stopIfTrue="1">
      <formula>OR(ISNUMBER(FIND("NO CUMPLE",BK9)),ISNUMBER(FIND("REVISAR",BK9)),ISNUMBER(FIND("NO CABE",BK9)),ISNUMBER(FIND("FUERA",BK9)),ISNUMBER(FIND("FALTA",BK9)),ISNUMBER(FIND("INSUFICIENTE",BK9)),ISNUMBER(FIND("PENDIENTE",BK9)))</formula>
    </cfRule>
    <cfRule type="expression" priority="14" dxfId="1" stopIfTrue="1">
      <formula>OR(ISNUMBER(FIND("CUMPLE",BK9)),ISNUMBER(FIND("SÍ aplica",BK9)),ISNUMBER(FIND("MANDA",BK9)))</formula>
    </cfRule>
    <cfRule type="expression" priority="15" dxfId="2" stopIfTrue="1">
      <formula>OR(ISNUMBER(FIND("MACIZAR",BK9)),ISNUMBER(FIND("CALCULAR",BK9)),ISNUMBER(FIND("PROPUESTO",BK9)),ISNUMBER(FIND("VER ",BK9)))</formula>
    </cfRule>
  </conditionalFormatting>
  <conditionalFormatting sqref="DG9:DG48">
    <cfRule type="expression" priority="16" dxfId="0" stopIfTrue="1">
      <formula>OR(ISNUMBER(FIND("NO CUMPLE",DG9)),ISNUMBER(FIND("REVISAR",DG9)),ISNUMBER(FIND("NO CABE",DG9)),ISNUMBER(FIND("FUERA",DG9)),ISNUMBER(FIND("FALTA",DG9)),ISNUMBER(FIND("INSUFICIENTE",DG9)),ISNUMBER(FIND("PENDIENTE",DG9)))</formula>
    </cfRule>
    <cfRule type="expression" priority="17" dxfId="1" stopIfTrue="1">
      <formula>OR(ISNUMBER(FIND("CUMPLE",DG9)),ISNUMBER(FIND("SÍ aplica",DG9)),ISNUMBER(FIND("MANDA",DG9)))</formula>
    </cfRule>
    <cfRule type="expression" priority="18" dxfId="2" stopIfTrue="1">
      <formula>OR(ISNUMBER(FIND("MACIZAR",DG9)),ISNUMBER(FIND("CALCULAR",DG9)),ISNUMBER(FIND("PROPUESTO",DG9)),ISNUMBER(FIND("VER ",DG9)))</formula>
    </cfRule>
  </conditionalFormatting>
  <conditionalFormatting sqref="AJ9:AJ48">
    <cfRule type="expression" priority="19" dxfId="0" stopIfTrue="1">
      <formula>OR(ISNUMBER(FIND("NO CUMPLE",AJ9)),ISNUMBER(FIND("REVISAR",AJ9)),ISNUMBER(FIND("NO CABE",AJ9)),ISNUMBER(FIND("FUERA",AJ9)),ISNUMBER(FIND("FALTA",AJ9)),ISNUMBER(FIND("INSUFICIENTE",AJ9)),ISNUMBER(FIND("PENDIENTE",AJ9)))</formula>
    </cfRule>
    <cfRule type="expression" priority="20" dxfId="1" stopIfTrue="1">
      <formula>OR(ISNUMBER(FIND("CUMPLE",AJ9)),ISNUMBER(FIND("SÍ aplica",AJ9)),ISNUMBER(FIND("MANDA",AJ9)))</formula>
    </cfRule>
    <cfRule type="expression" priority="21" dxfId="2" stopIfTrue="1">
      <formula>OR(ISNUMBER(FIND("MACIZAR",AJ9)),ISNUMBER(FIND("CALCULAR",AJ9)),ISNUMBER(FIND("PROPUESTO",AJ9)),ISNUMBER(FIND("VER ",AJ9)))</formula>
    </cfRule>
  </conditionalFormatting>
  <conditionalFormatting sqref="DB9:DB48">
    <cfRule type="expression" priority="22" dxfId="0" stopIfTrue="1">
      <formula>OR(ISNUMBER(FIND("NO CUMPLE",DB9)),ISNUMBER(FIND("REVISAR",DB9)),ISNUMBER(FIND("NO CABE",DB9)),ISNUMBER(FIND("FUERA",DB9)),ISNUMBER(FIND("FALTA",DB9)),ISNUMBER(FIND("INSUFICIENTE",DB9)),ISNUMBER(FIND("PENDIENTE",DB9)))</formula>
    </cfRule>
    <cfRule type="expression" priority="23" dxfId="1" stopIfTrue="1">
      <formula>OR(ISNUMBER(FIND("CUMPLE",DB9)),ISNUMBER(FIND("SÍ aplica",DB9)),ISNUMBER(FIND("MANDA",DB9)))</formula>
    </cfRule>
    <cfRule type="expression" priority="24" dxfId="2" stopIfTrue="1">
      <formula>OR(ISNUMBER(FIND("MACIZAR",DB9)),ISNUMBER(FIND("CALCULAR",DB9)),ISNUMBER(FIND("PROPUESTO",DB9)),ISNUMBER(FIND("VER ",DB9)))</formula>
    </cfRule>
  </conditionalFormatting>
  <conditionalFormatting sqref="DW9:DW48">
    <cfRule type="expression" priority="25" dxfId="0" stopIfTrue="1">
      <formula>OR(ISNUMBER(FIND("NO CUMPLE",DW9)),ISNUMBER(FIND("REVISAR",DW9)),ISNUMBER(FIND("NO CABE",DW9)),ISNUMBER(FIND("FUERA",DW9)),ISNUMBER(FIND("FALTA",DW9)),ISNUMBER(FIND("INSUFICIENTE",DW9)),ISNUMBER(FIND("PENDIENTE",DW9)))</formula>
    </cfRule>
    <cfRule type="expression" priority="26" dxfId="1" stopIfTrue="1">
      <formula>OR(ISNUMBER(FIND("CUMPLE",DW9)),ISNUMBER(FIND("SÍ aplica",DW9)),ISNUMBER(FIND("MANDA",DW9)))</formula>
    </cfRule>
    <cfRule type="expression" priority="27" dxfId="2" stopIfTrue="1">
      <formula>OR(ISNUMBER(FIND("MACIZAR",DW9)),ISNUMBER(FIND("CALCULAR",DW9)),ISNUMBER(FIND("PROPUESTO",DW9)),ISNUMBER(FIND("VER ",DW9)))</formula>
    </cfRule>
  </conditionalFormatting>
  <dataValidations count="5">
    <dataValidation sqref="C9:C48" showDropDown="0" showInputMessage="0" showErrorMessage="1" allowBlank="1" errorTitle="Valor no válido" error="Escoge un valor de la lista" type="list">
      <formula1>LST_TIPO</formula1>
    </dataValidation>
    <dataValidation sqref="D9:D48" showDropDown="0" showInputMessage="0" showErrorMessage="1" allowBlank="1" errorTitle="Valor no válido" error="Escoge un valor de la lista" type="list">
      <formula1>LST_DEST</formula1>
    </dataValidation>
    <dataValidation sqref="K9:K48" showDropDown="0" showInputMessage="0" showErrorMessage="1" allowBlank="1" errorTitle="Valor no válido" error="Escoge un valor de la lista" type="list">
      <formula1>LST_CASO</formula1>
    </dataValidation>
    <dataValidation sqref="L9:L48" showDropDown="0" showInputMessage="0" showErrorMessage="1" allowBlank="1" errorTitle="Valor no válido" error="Escoge un valor de la lista" type="list">
      <formula1>LST_COLADO</formula1>
    </dataValidation>
    <dataValidation sqref="G9:J48" showDropDown="0" showInputMessage="0" showErrorMessage="1" allowBlank="1" errorTitle="Valor no válido" error="Escoge un valor de la lista" type="list">
      <formula1>LST_BORDE</formula1>
    </dataValidation>
  </dataValidations>
  <printOptions horizontalCentered="1"/>
  <pageMargins left="0.4" right="0.4" top="0.5" bottom="0.5" header="0.5" footer="0.5"/>
  <pageSetup orientation="landscape" paperSize="3" fitToHeight="0" fitToWidth="1"/>
  <headerFooter>
    <oddHeader/>
    <oddFooter>&amp;C&amp;8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J48"/>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3.2" customWidth="1" min="1" max="1"/>
    <col width="22" customWidth="1" min="2" max="2"/>
    <col width="11.5" customWidth="1" min="3" max="3"/>
    <col width="19" customWidth="1" min="4" max="4"/>
    <col width="7.5" customWidth="1" min="5" max="5"/>
    <col width="7.5" customWidth="1" min="6" max="6"/>
    <col width="11" customWidth="1" min="7" max="7"/>
    <col width="11" customWidth="1" min="8" max="8"/>
    <col width="11" customWidth="1" min="9" max="9"/>
    <col width="11" customWidth="1" min="10" max="10"/>
    <col width="12" customWidth="1" min="11" max="11"/>
    <col width="13" customWidth="1" min="12" max="12"/>
    <col width="7" customWidth="1" min="13" max="13"/>
    <col width="7.5" customWidth="1" min="14" max="14"/>
    <col width="7.5" customWidth="1" min="15" max="15"/>
    <col width="8" customWidth="1" min="16" max="16"/>
    <col width="8" customWidth="1" min="17" max="17"/>
    <col width="7" customWidth="1" min="18" max="18"/>
    <col width="7" customWidth="1" min="19" max="19"/>
    <col width="8.5" customWidth="1" min="20" max="20"/>
    <col width="8.5" customWidth="1" min="21" max="21"/>
    <col width="7.5" customWidth="1" min="22" max="22"/>
    <col width="6" customWidth="1" min="23" max="23"/>
    <col width="10" customWidth="1" min="24" max="24"/>
    <col width="5.5" customWidth="1" min="25" max="25"/>
    <col width="7" customWidth="1" min="26" max="26"/>
    <col width="7" customWidth="1" min="27" max="27"/>
    <col width="6.5" customWidth="1" min="28" max="28"/>
    <col width="6.5" customWidth="1" min="29" max="29"/>
    <col width="6.5" customWidth="1" min="30" max="30"/>
    <col width="6" customWidth="1" min="31" max="31"/>
    <col width="6" customWidth="1" min="32" max="32"/>
    <col width="6.5" customWidth="1" min="33" max="33"/>
    <col width="6.5" customWidth="1" min="34" max="34"/>
    <col width="7" customWidth="1" min="35" max="35"/>
    <col width="6.5" customWidth="1" min="36" max="36"/>
    <col width="7" customWidth="1" min="37" max="37"/>
    <col width="6.5" customWidth="1" min="38" max="38"/>
    <col width="6" customWidth="1" min="39" max="39"/>
    <col width="14" customWidth="1" min="40" max="40"/>
    <col width="14" customWidth="1" min="41" max="41"/>
    <col width="5" customWidth="1" min="42" max="42"/>
    <col width="5.5"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15" customWidth="1" min="54" max="54"/>
    <col width="7" customWidth="1" min="55" max="55"/>
    <col width="6.5" customWidth="1" min="56" max="56"/>
    <col width="7" customWidth="1" min="57" max="57"/>
    <col width="6.5" customWidth="1" min="58" max="58"/>
    <col width="6.5" customWidth="1" min="59" max="59"/>
    <col width="5.5" customWidth="1" min="60" max="60"/>
    <col width="6.5" customWidth="1" min="61" max="61"/>
    <col width="6.5" customWidth="1" min="62" max="62"/>
    <col width="6" customWidth="1" min="63" max="63"/>
    <col width="6.5" customWidth="1" min="64" max="64"/>
    <col width="6.5" customWidth="1" min="65" max="65"/>
    <col width="6.5" customWidth="1" min="66" max="66"/>
    <col width="7" customWidth="1" min="67" max="67"/>
    <col width="6.5" customWidth="1" min="68" max="68"/>
    <col width="6.5" customWidth="1" min="69" max="69"/>
    <col width="5.5" customWidth="1" min="70" max="70"/>
    <col width="6.5" customWidth="1" min="71" max="71"/>
    <col width="6.5" customWidth="1" min="72" max="72"/>
    <col width="6" customWidth="1" min="73" max="73"/>
    <col width="6.5" customWidth="1" min="74" max="74"/>
    <col width="6.5" customWidth="1" min="75" max="75"/>
    <col width="6.5" customWidth="1" min="76" max="76"/>
    <col width="7" customWidth="1" min="77" max="77"/>
    <col width="6.5" customWidth="1" min="78" max="78"/>
    <col width="6.5" customWidth="1" min="79" max="79"/>
    <col width="5.5" customWidth="1" min="80" max="80"/>
    <col width="6.5" customWidth="1" min="81" max="81"/>
    <col width="6.5" customWidth="1" min="82" max="82"/>
    <col width="6" customWidth="1" min="83" max="83"/>
    <col width="6.5" customWidth="1" min="84" max="84"/>
    <col width="6.5" customWidth="1" min="85" max="85"/>
    <col width="6.5" customWidth="1" min="86" max="86"/>
    <col width="7" customWidth="1" min="87" max="87"/>
    <col width="6.5" customWidth="1" min="88" max="88"/>
    <col width="6.5" customWidth="1" min="89" max="89"/>
    <col width="5.5" customWidth="1" min="90" max="90"/>
    <col width="6.5" customWidth="1" min="91" max="91"/>
    <col width="6.5" customWidth="1" min="92" max="92"/>
    <col width="6" customWidth="1" min="93" max="93"/>
    <col width="6.5" customWidth="1" min="94" max="94"/>
    <col width="6.5" customWidth="1" min="95" max="95"/>
    <col width="6.5" customWidth="1" min="96" max="96"/>
    <col width="7" customWidth="1" min="97" max="97"/>
    <col width="7" customWidth="1" min="98" max="98"/>
    <col width="7" customWidth="1" min="99" max="99"/>
    <col width="15" customWidth="1" min="100" max="100"/>
    <col width="6" customWidth="1" min="101" max="101"/>
    <col width="8.5" customWidth="1" min="102" max="102"/>
    <col width="13" customWidth="1" min="103" max="103"/>
    <col width="8" customWidth="1" min="104" max="104"/>
    <col width="8" customWidth="1" min="105" max="105"/>
    <col width="8" customWidth="1" min="106" max="106"/>
    <col width="8" customWidth="1" min="107" max="107"/>
    <col width="16" customWidth="1" min="108" max="108"/>
    <col width="16" customWidth="1" min="109" max="109"/>
    <col width="28" customWidth="1" min="110" max="110"/>
    <col width="16" customWidth="1" min="111" max="111"/>
    <col width="28" customWidth="1" min="112" max="112"/>
    <col width="30" customWidth="1" min="113" max="113"/>
    <col width="70" customWidth="1" min="114" max="114"/>
  </cols>
  <sheetData>
    <row r="1" ht="26" customHeight="1">
      <c r="B1" s="43" t="inlineStr">
        <is>
          <t>MACIZAS — LOSA MACIZA, UN RENGLÓN POR TABLERO (FRANJA DE 1 m) · MÉTODO DE COEFICIENTES NTC-CONCRETO 2023, TABLA 3.4.2.1 (CASO I)</t>
        </is>
      </c>
    </row>
    <row r="2" ht="30" customHeight="1">
      <c r="B2" s="44" t="inlineStr">
        <is>
          <t>Momentos por metro = coef·10⁻⁴·w_u·a1². Cada lecho lleva al menos As mín = 0.0018·b·h. La varilla sube de número si la separación baja de la mínima práctica; la separación no pasa de la máxima (DATOS sección 8). Sólo se captura lo AMARILLO; los renglones vacíos quedan en blanco. Memoria en DETALLE y dibujo en CROQUIS.</t>
        </is>
      </c>
    </row>
    <row r="3" ht="42" customHeight="1">
      <c r="B3" s="45" t="inlineStr">
        <is>
          <t>ESTADO: «CUMPLE» = flexión, separación, ε_t ≥ 0.005, cortante y peralte bien. «REVISAR: calcular flecha» = h menor que el mínimo de la Tabla 6.7.3.1.2. «NO CUMPLE: cortante» = sube h (la losa no lleva estribos). «FUERA de 3.4.2.1 c)» = el M⁻ del vecino capturado difiere más de 50 %.</t>
        </is>
      </c>
    </row>
    <row r="4" ht="6" customHeight="1"/>
    <row r="5" ht="118" customHeight="1">
      <c r="B5" s="46" t="inlineStr">
        <is>
          <t>CAPTURA. Claros A EJES. Borde CONTINUO = sigue losa del otro lado; DISCONTINUO = orilla, hueco o losa que no sigue. VOLADO: marca CONTINUO sólo el borde empotrado. h propio, CV propia, α_fm y No. de varilla: vacío = el de DATOS. M⁻ del vecino por metro, en el borde común; la hoja arma con el mayor.</t>
        </is>
      </c>
      <c r="V5" s="46" t="inlineStr">
        <is>
          <t>Franja de 1 m. a1 = claro corto, a2 = largo (volado: a1 = largo perpendicular al borde empotrado). L_n = a − b_p (volado a − b_p/2). r inferior: r (r_ext en volados); r superior: r_ext si la cara queda expuesta (DATOS).</t>
        </is>
      </c>
      <c r="AG5" s="46" t="inlineStr">
        <is>
          <t>PP = h·γc + 20 + 20 (NTC-Criterios 5.1.2.1, p. 9). CM = PP + SCM. w_u = máx(1.3·CM + 1.5·W_m; azotea: 1.1·(CM + W_g)) (NTC-Criterios 3.4.1 a) y b), p. 7; ec. 7.3.2.1, p. 17).</t>
        </is>
      </c>
      <c r="AL5" s="46" t="inlineStr">
        <is>
          <t>Se cuentan los bordes DISCONTINUOS; «corto» = borde de largo a1. Tabla 3.4.2.1, p. 65 (mismo criterio que nervadas).</t>
        </is>
      </c>
      <c r="AP5" s="46" t="inlineStr">
        <is>
          <t>Interpolación lineal en m entre las columnas de la Tabla 3.4.2.1, caso I (TABLAS sección A).</t>
        </is>
      </c>
      <c r="AX5" s="46" t="inlineStr">
        <is>
          <t>M = coef·10⁻⁴·w_u·a1² por metro (NTC-Concreto 3.4.2.1, p. 64). M⁻ = el mayor de borde continuo, discontinuo y el del vecino capturado. Volado: M⁻ = w_u·L_n²/2 + 1.3·P·L_n. As mín = 0.0018·100·h en cada lecho (6.7.6.1.1, p. 175; 13.8.2.1.1, p. 345). Separación máx. = criterio de esta hoja (DATOS sección 8).</t>
        </is>
      </c>
      <c r="BE5" s="46" t="inlineStr">
        <is>
          <t>b = 100 cm. d = h − r − d_b/2 (preferida para As, real para M_R). As = q·f''c·b·d/fy (ecs. 5.2.2.1.1.1, p. 89), ≥ As mín; −1 = no alcanza o rebasa p_max (ε_t ≥ 0.005). Varilla: la preferida o la siguiente cuya separación (redondeada hacia abajo) no baje de la mínima; separación ≤ máx. ε_t ≥ 0.005 (Tabla 3.8.2.2, p. 70).</t>
        </is>
      </c>
      <c r="BO5" s="46" t="inlineStr">
        <is>
          <t>d = h − r − d_b/2, − 2 cm si d ≤ 20 cm sin la precaución de 3.9.2 (3.9.1 d), p. 74). Perimetral: bastones en los bordes; volado: acero principal de la orilla al respaldo.</t>
        </is>
      </c>
      <c r="BY5" s="46" t="inlineStr">
        <is>
          <t>El lecho del claro largo va encima del corto: d = h − r − d_b,corto − d_b/2.</t>
        </is>
      </c>
      <c r="CI5" s="46" t="inlineStr">
        <is>
          <t>Va debajo del lecho superior corto. En volados es el acero de repartición (As mín).</t>
        </is>
      </c>
      <c r="CS5" s="46" t="inlineStr">
        <is>
          <t>V_u a d del paño = (L_n/2 − d)(0.95 − 0.5m)·w_u, ×1.15 con bordes continuos y discontinuos (3.4.1.1, p. 64; 6.7.4.3.2, p. 172). Volado: w_u(L_n − d) + 1.3P. V_cR = F_R·2·λs·p^⅓·√f'c·b·d con b = 100 cm y p del acero superior (ec. 5.5.3.2.1, p. 95). Losa sin estribos: si no alcanza, sube h.</t>
        </is>
      </c>
      <c r="CW5" s="46" t="inlineStr">
        <is>
          <t>Tabla 6.7.3.1.2 (p. 168) con α_fm (igual que nervadas), contra h. Volado: L/10 (criterio de esta hoja, DATOS sección 8).</t>
        </is>
      </c>
      <c r="CZ5" s="46" t="inlineStr">
        <is>
          <t>Bastón desde el paño = punto de inflexión + máx(d, 12d_b, L_n/16), ≥ L_d (6.3.7.3.4, p. 127; 6.3.7.3.10.4, p. 129; Tabla 14.4.2.4, p. 353). Volado: entra al respaldo hasta M = 0 con 0.9·PP y sin CV. Anclaje en bordes discontinuos (dala de borde armada): L_dh del bastón ≤ ancho − r_np y ≥ 15 cm para la varilla inferior (6.7.7.4.1.1, p. 179); gancho de 180° con alto 8·d_b ≤ peralte de la dala − 2·r_np (Tabla 14.3.1, p. 349).</t>
        </is>
      </c>
      <c r="DE5" s="46" t="inlineStr">
        <is>
          <t>Armado por metro: «No. 3 @ 20 cm». Superior perimetral: bastones en los bordes continuos (y en los discontinuos con M⁻ de tabla, con gancho). ESTADO junta flexión, separación, ε_t, cortante y peralte.</t>
        </is>
      </c>
    </row>
    <row r="6" ht="18" customHeight="1">
      <c r="B6" s="47" t="inlineStr">
        <is>
          <t>DATOS DEL TABLERO — CAPTURA (amarillo)</t>
        </is>
      </c>
      <c r="V6" s="48" t="inlineStr">
        <is>
          <t>GEOMETRÍA</t>
        </is>
      </c>
      <c r="AG6" s="48" t="inlineStr">
        <is>
          <t>CARGAS</t>
        </is>
      </c>
      <c r="AL6" s="48" t="inlineStr">
        <is>
          <t>CASO DE LA TABLA</t>
        </is>
      </c>
      <c r="AP6" s="48" t="inlineStr">
        <is>
          <t>COEFICIENTES ×10⁻⁴ (Tabla 3.4.2.1)</t>
        </is>
      </c>
      <c r="AX6" s="48" t="inlineStr">
        <is>
          <t>MOMENTOS POR METRO Y ACERO MÍNIMO</t>
        </is>
      </c>
      <c r="BE6" s="48" t="inlineStr">
        <is>
          <t>LECHO INFERIOR ‖ CLARO CORTO</t>
        </is>
      </c>
      <c r="BO6" s="48" t="inlineStr">
        <is>
          <t>LECHO SUPERIOR ‖ CLARO CORTO</t>
        </is>
      </c>
      <c r="BY6" s="48" t="inlineStr">
        <is>
          <t>LECHO INFERIOR ‖ CLARO LARGO</t>
        </is>
      </c>
      <c r="CI6" s="48" t="inlineStr">
        <is>
          <t>LECHO SUPERIOR ‖ CLARO LARGO</t>
        </is>
      </c>
      <c r="CS6" s="48" t="inlineStr">
        <is>
          <t>CORTANTE</t>
        </is>
      </c>
      <c r="CW6" s="48" t="inlineStr">
        <is>
          <t>ESPESOR MÍNIMO</t>
        </is>
      </c>
      <c r="CZ6" s="48" t="inlineStr">
        <is>
          <t>BASTONES Y ANCLAJE</t>
        </is>
      </c>
      <c r="DE6" s="48" t="inlineStr">
        <is>
          <t>RESULTADO</t>
        </is>
      </c>
    </row>
    <row r="7" ht="54" customHeight="1">
      <c r="A7" s="11" t="inlineStr">
        <is>
          <t>#</t>
        </is>
      </c>
      <c r="B7" s="11" t="inlineStr">
        <is>
          <t>Tablero</t>
        </is>
      </c>
      <c r="C7" s="11" t="inlineStr">
        <is>
          <t>Tipo</t>
        </is>
      </c>
      <c r="D7" s="11" t="inlineStr">
        <is>
          <t>Destino (lista de DATOS)</t>
        </is>
      </c>
      <c r="E7" s="11" t="inlineStr">
        <is>
          <t>a_x — claro en X a ejes</t>
        </is>
      </c>
      <c r="F7" s="11" t="inlineStr">
        <is>
          <t>a_y — claro en Y a ejes</t>
        </is>
      </c>
      <c r="G7" s="11" t="inlineStr">
        <is>
          <t>Borde inferior (‖ X)</t>
        </is>
      </c>
      <c r="H7" s="11" t="inlineStr">
        <is>
          <t>Borde superior (‖ X)</t>
        </is>
      </c>
      <c r="I7" s="11" t="inlineStr">
        <is>
          <t>Borde izquierdo (‖ Y)</t>
        </is>
      </c>
      <c r="J7" s="11" t="inlineStr">
        <is>
          <t>Borde derecho (‖ Y)</t>
        </is>
      </c>
      <c r="K7" s="11" t="inlineStr">
        <is>
          <t>Forzar caso</t>
        </is>
      </c>
      <c r="L7" s="11" t="inlineStr">
        <is>
          <t>Colado con los apoyos</t>
        </is>
      </c>
      <c r="M7" s="11" t="inlineStr">
        <is>
          <t>h propio (vacío = DATOS)</t>
        </is>
      </c>
      <c r="N7" s="11" t="inlineStr">
        <is>
          <t>SCM — sobrecarga muerta</t>
        </is>
      </c>
      <c r="O7" s="11" t="inlineStr">
        <is>
          <t>CV propia (opcional)</t>
        </is>
      </c>
      <c r="P7" s="11" t="inlineStr">
        <is>
          <t>Carga en la orilla del volado</t>
        </is>
      </c>
      <c r="Q7" s="11" t="inlineStr">
        <is>
          <t>L_b — claro de respaldo (volado)</t>
        </is>
      </c>
      <c r="R7" s="11" t="inlineStr">
        <is>
          <t>α_fm propio (opcional)</t>
        </is>
      </c>
      <c r="S7" s="11" t="inlineStr">
        <is>
          <t>No. de varilla preferido (opcional)</t>
        </is>
      </c>
      <c r="T7" s="11" t="inlineStr">
        <is>
          <t>M⁻ del vecino ‖ corto (opcional)</t>
        </is>
      </c>
      <c r="U7" s="11" t="inlineStr">
        <is>
          <t>M⁻ del vecino ‖ largo (opcional)</t>
        </is>
      </c>
      <c r="V7" s="11" t="inlineStr">
        <is>
          <t>¿Datos completos?</t>
        </is>
      </c>
      <c r="W7" s="11" t="inlineStr">
        <is>
          <t>h usado</t>
        </is>
      </c>
      <c r="X7" s="11" t="inlineStr">
        <is>
          <t>Borde empotrado (volado)</t>
        </is>
      </c>
      <c r="Y7" s="11" t="inlineStr">
        <is>
          <t>Claro corto ‖</t>
        </is>
      </c>
      <c r="Z7" s="11" t="inlineStr">
        <is>
          <t>a1 corto (volado: largo)</t>
        </is>
      </c>
      <c r="AA7" s="11" t="inlineStr">
        <is>
          <t>a2 largo</t>
        </is>
      </c>
      <c r="AB7" s="11" t="inlineStr">
        <is>
          <t>m = a1/a2</t>
        </is>
      </c>
      <c r="AC7" s="11" t="inlineStr">
        <is>
          <t>L_n corto</t>
        </is>
      </c>
      <c r="AD7" s="11" t="inlineStr">
        <is>
          <t>L_n largo</t>
        </is>
      </c>
      <c r="AE7" s="11" t="inlineStr">
        <is>
          <t>r inferior</t>
        </is>
      </c>
      <c r="AF7" s="11" t="inlineStr">
        <is>
          <t>r superior</t>
        </is>
      </c>
      <c r="AG7" s="11" t="inlineStr">
        <is>
          <t>¿Azotea?</t>
        </is>
      </c>
      <c r="AH7" s="11" t="inlineStr">
        <is>
          <t>CV W_m</t>
        </is>
      </c>
      <c r="AI7" s="11" t="inlineStr">
        <is>
          <t>PP de diseño</t>
        </is>
      </c>
      <c r="AJ7" s="11" t="inlineStr">
        <is>
          <t>CM</t>
        </is>
      </c>
      <c r="AK7" s="11" t="inlineStr">
        <is>
          <t>w_u</t>
        </is>
      </c>
      <c r="AL7" s="11" t="inlineStr">
        <is>
          <t>Bordes discont.</t>
        </is>
      </c>
      <c r="AM7" s="11" t="inlineStr">
        <is>
          <t>… cortos</t>
        </is>
      </c>
      <c r="AN7" s="11" t="inlineStr">
        <is>
          <t>Caso automático</t>
        </is>
      </c>
      <c r="AO7" s="11" t="inlineStr">
        <is>
          <t>Caso usado</t>
        </is>
      </c>
      <c r="AP7" s="11" t="inlineStr">
        <is>
          <t>col. m</t>
        </is>
      </c>
      <c r="AQ7" s="11" t="inlineStr">
        <is>
          <t>interp.</t>
        </is>
      </c>
      <c r="AR7" s="11" t="inlineStr">
        <is>
          <t>M⁻ cont. corto</t>
        </is>
      </c>
      <c r="AS7" s="11" t="inlineStr">
        <is>
          <t>M⁻ cont. largo</t>
        </is>
      </c>
      <c r="AT7" s="11" t="inlineStr">
        <is>
          <t>M⁻ disc. corto</t>
        </is>
      </c>
      <c r="AU7" s="11" t="inlineStr">
        <is>
          <t>M⁻ disc. largo</t>
        </is>
      </c>
      <c r="AV7" s="11" t="inlineStr">
        <is>
          <t>M⁺ corto</t>
        </is>
      </c>
      <c r="AW7" s="11" t="inlineStr">
        <is>
          <t>M⁺ largo</t>
        </is>
      </c>
      <c r="AX7" s="11" t="inlineStr">
        <is>
          <t>M⁺ corto</t>
        </is>
      </c>
      <c r="AY7" s="11" t="inlineStr">
        <is>
          <t>M⁻ corto</t>
        </is>
      </c>
      <c r="AZ7" s="11" t="inlineStr">
        <is>
          <t>M⁺ largo</t>
        </is>
      </c>
      <c r="BA7" s="11" t="inlineStr">
        <is>
          <t>M⁻ largo</t>
        </is>
      </c>
      <c r="BB7" s="11" t="inlineStr">
        <is>
          <t>3.4.2.1 c) con el vecino</t>
        </is>
      </c>
      <c r="BC7" s="11" t="inlineStr">
        <is>
          <t>As mín = 0.0018·b·h</t>
        </is>
      </c>
      <c r="BD7" s="11" t="inlineStr">
        <is>
          <t>Separación máx.</t>
        </is>
      </c>
      <c r="BE7" s="11" t="inlineStr">
        <is>
          <t>d para As (var. preferida)</t>
        </is>
      </c>
      <c r="BF7" s="11" t="inlineStr">
        <is>
          <t>As flexión</t>
        </is>
      </c>
      <c r="BG7" s="11" t="inlineStr">
        <is>
          <t>As req. (≥ mín.)</t>
        </is>
      </c>
      <c r="BH7" s="11" t="inlineStr">
        <is>
          <t>Var. No.</t>
        </is>
      </c>
      <c r="BI7" s="11" t="inlineStr">
        <is>
          <t>Separación</t>
        </is>
      </c>
      <c r="BJ7" s="11" t="inlineStr">
        <is>
          <t>As colocada</t>
        </is>
      </c>
      <c r="BK7" s="11" t="inlineStr">
        <is>
          <t>d real</t>
        </is>
      </c>
      <c r="BL7" s="11" t="inlineStr">
        <is>
          <t>M_R</t>
        </is>
      </c>
      <c r="BM7" s="11" t="inlineStr">
        <is>
          <t>Mu/M_R</t>
        </is>
      </c>
      <c r="BN7" s="11" t="inlineStr">
        <is>
          <t>ε_t</t>
        </is>
      </c>
      <c r="BO7" s="11" t="inlineStr">
        <is>
          <t>d para As (var. preferida)</t>
        </is>
      </c>
      <c r="BP7" s="11" t="inlineStr">
        <is>
          <t>As flexión</t>
        </is>
      </c>
      <c r="BQ7" s="11" t="inlineStr">
        <is>
          <t>As req. (≥ mín.)</t>
        </is>
      </c>
      <c r="BR7" s="11" t="inlineStr">
        <is>
          <t>Var. No.</t>
        </is>
      </c>
      <c r="BS7" s="11" t="inlineStr">
        <is>
          <t>Separación</t>
        </is>
      </c>
      <c r="BT7" s="11" t="inlineStr">
        <is>
          <t>As colocada</t>
        </is>
      </c>
      <c r="BU7" s="11" t="inlineStr">
        <is>
          <t>d real</t>
        </is>
      </c>
      <c r="BV7" s="11" t="inlineStr">
        <is>
          <t>M_R</t>
        </is>
      </c>
      <c r="BW7" s="11" t="inlineStr">
        <is>
          <t>Mu/M_R</t>
        </is>
      </c>
      <c r="BX7" s="11" t="inlineStr">
        <is>
          <t>ε_t</t>
        </is>
      </c>
      <c r="BY7" s="11" t="inlineStr">
        <is>
          <t>d para As (var. preferida)</t>
        </is>
      </c>
      <c r="BZ7" s="11" t="inlineStr">
        <is>
          <t>As flexión</t>
        </is>
      </c>
      <c r="CA7" s="11" t="inlineStr">
        <is>
          <t>As req. (≥ mín.)</t>
        </is>
      </c>
      <c r="CB7" s="11" t="inlineStr">
        <is>
          <t>Var. No.</t>
        </is>
      </c>
      <c r="CC7" s="11" t="inlineStr">
        <is>
          <t>Separación</t>
        </is>
      </c>
      <c r="CD7" s="11" t="inlineStr">
        <is>
          <t>As colocada</t>
        </is>
      </c>
      <c r="CE7" s="11" t="inlineStr">
        <is>
          <t>d real</t>
        </is>
      </c>
      <c r="CF7" s="11" t="inlineStr">
        <is>
          <t>M_R</t>
        </is>
      </c>
      <c r="CG7" s="11" t="inlineStr">
        <is>
          <t>Mu/M_R</t>
        </is>
      </c>
      <c r="CH7" s="11" t="inlineStr">
        <is>
          <t>ε_t</t>
        </is>
      </c>
      <c r="CI7" s="11" t="inlineStr">
        <is>
          <t>d para As (var. preferida)</t>
        </is>
      </c>
      <c r="CJ7" s="11" t="inlineStr">
        <is>
          <t>As flexión</t>
        </is>
      </c>
      <c r="CK7" s="11" t="inlineStr">
        <is>
          <t>As req. (≥ mín.)</t>
        </is>
      </c>
      <c r="CL7" s="11" t="inlineStr">
        <is>
          <t>Var. No.</t>
        </is>
      </c>
      <c r="CM7" s="11" t="inlineStr">
        <is>
          <t>Separación</t>
        </is>
      </c>
      <c r="CN7" s="11" t="inlineStr">
        <is>
          <t>As colocada</t>
        </is>
      </c>
      <c r="CO7" s="11" t="inlineStr">
        <is>
          <t>d real</t>
        </is>
      </c>
      <c r="CP7" s="11" t="inlineStr">
        <is>
          <t>M_R</t>
        </is>
      </c>
      <c r="CQ7" s="11" t="inlineStr">
        <is>
          <t>Mu/M_R</t>
        </is>
      </c>
      <c r="CR7" s="11" t="inlineStr">
        <is>
          <t>ε_t</t>
        </is>
      </c>
      <c r="CS7" s="11" t="inlineStr">
        <is>
          <t>V_u</t>
        </is>
      </c>
      <c r="CT7" s="11" t="inlineStr">
        <is>
          <t>p superior en el apoyo</t>
        </is>
      </c>
      <c r="CU7" s="11" t="inlineStr">
        <is>
          <t>V_cR</t>
        </is>
      </c>
      <c r="CV7" s="11" t="inlineStr">
        <is>
          <t>Estado cortante</t>
        </is>
      </c>
      <c r="CW7" s="11" t="inlineStr">
        <is>
          <t>α_fm</t>
        </is>
      </c>
      <c r="CX7" s="11" t="inlineStr">
        <is>
          <t>h mín. (Tabla 6.7.3.1.2 / volado L/10)</t>
        </is>
      </c>
      <c r="CY7" s="11" t="inlineStr">
        <is>
          <t>Estado peralte</t>
        </is>
      </c>
      <c r="CZ7" s="11" t="inlineStr">
        <is>
          <t>Bastón ‖ corto desde el paño</t>
        </is>
      </c>
      <c r="DA7" s="11" t="inlineStr">
        <is>
          <t>Bastón ‖ largo desde el paño</t>
        </is>
      </c>
      <c r="DB7" s="11" t="inlineStr">
        <is>
          <t>Bastón también en borde disc. ‖ corto</t>
        </is>
      </c>
      <c r="DC7" s="11" t="inlineStr">
        <is>
          <t>Bastón también en borde disc. ‖ largo</t>
        </is>
      </c>
      <c r="DD7" s="11" t="inlineStr">
        <is>
          <t>Anclaje del bastón en bordes discontinuos</t>
        </is>
      </c>
      <c r="DE7" s="11" t="inlineStr">
        <is>
          <t>ARMADO inferior ‖ corto</t>
        </is>
      </c>
      <c r="DF7" s="11" t="inlineStr">
        <is>
          <t>ARMADO superior ‖ corto</t>
        </is>
      </c>
      <c r="DG7" s="11" t="inlineStr">
        <is>
          <t>ARMADO inferior ‖ largo</t>
        </is>
      </c>
      <c r="DH7" s="11" t="inlineStr">
        <is>
          <t>ARMADO superior ‖ largo</t>
        </is>
      </c>
      <c r="DI7" s="11" t="inlineStr">
        <is>
          <t>ESTADO</t>
        </is>
      </c>
      <c r="DJ7" s="11" t="inlineStr">
        <is>
          <t>NOTA</t>
        </is>
      </c>
    </row>
    <row r="8">
      <c r="A8" s="49" t="inlineStr">
        <is>
          <t>cuenta</t>
        </is>
      </c>
      <c r="B8" s="49" t="inlineStr"/>
      <c r="C8" s="49" t="inlineStr"/>
      <c r="D8" s="49" t="inlineStr"/>
      <c r="E8" s="49" t="inlineStr">
        <is>
          <t>m</t>
        </is>
      </c>
      <c r="F8" s="49" t="inlineStr">
        <is>
          <t>m</t>
        </is>
      </c>
      <c r="G8" s="49" t="inlineStr">
        <is>
          <t>CONT./DISC.</t>
        </is>
      </c>
      <c r="H8" s="49" t="inlineStr">
        <is>
          <t>CONT./DISC.</t>
        </is>
      </c>
      <c r="I8" s="49" t="inlineStr">
        <is>
          <t>CONT./DISC.</t>
        </is>
      </c>
      <c r="J8" s="49" t="inlineStr">
        <is>
          <t>CONT./DISC.</t>
        </is>
      </c>
      <c r="K8" s="49" t="inlineStr">
        <is>
          <t>AUTO = sale solo</t>
        </is>
      </c>
      <c r="L8" s="49" t="inlineStr">
        <is>
          <t>caso I / II</t>
        </is>
      </c>
      <c r="M8" s="49" t="inlineStr">
        <is>
          <t>cm</t>
        </is>
      </c>
      <c r="N8" s="49" t="inlineStr">
        <is>
          <t>kg/m²</t>
        </is>
      </c>
      <c r="O8" s="49" t="inlineStr">
        <is>
          <t>kg/m²</t>
        </is>
      </c>
      <c r="P8" s="49" t="inlineStr">
        <is>
          <t>kg/m serv.</t>
        </is>
      </c>
      <c r="Q8" s="49" t="inlineStr">
        <is>
          <t>m</t>
        </is>
      </c>
      <c r="R8" s="49" t="inlineStr">
        <is>
          <t>—</t>
        </is>
      </c>
      <c r="S8" s="49" t="inlineStr">
        <is>
          <t>No.</t>
        </is>
      </c>
      <c r="T8" s="49" t="inlineStr">
        <is>
          <t>t·m/m</t>
        </is>
      </c>
      <c r="U8" s="49" t="inlineStr">
        <is>
          <t>t·m/m</t>
        </is>
      </c>
      <c r="V8" s="49" t="inlineStr"/>
      <c r="W8" s="49" t="inlineStr">
        <is>
          <t>cm</t>
        </is>
      </c>
      <c r="X8" s="49" t="inlineStr"/>
      <c r="Y8" s="49" t="inlineStr"/>
      <c r="Z8" s="49" t="inlineStr">
        <is>
          <t>m</t>
        </is>
      </c>
      <c r="AA8" s="49" t="inlineStr">
        <is>
          <t>m</t>
        </is>
      </c>
      <c r="AB8" s="49" t="inlineStr"/>
      <c r="AC8" s="49" t="inlineStr">
        <is>
          <t>cm</t>
        </is>
      </c>
      <c r="AD8" s="49" t="inlineStr">
        <is>
          <t>cm</t>
        </is>
      </c>
      <c r="AE8" s="49" t="inlineStr">
        <is>
          <t>cm</t>
        </is>
      </c>
      <c r="AF8" s="49" t="inlineStr">
        <is>
          <t>cm</t>
        </is>
      </c>
      <c r="AG8" s="49" t="inlineStr"/>
      <c r="AH8" s="49" t="inlineStr">
        <is>
          <t>kg/m²</t>
        </is>
      </c>
      <c r="AI8" s="49" t="inlineStr">
        <is>
          <t>kg/m²</t>
        </is>
      </c>
      <c r="AJ8" s="49" t="inlineStr">
        <is>
          <t>kg/m²</t>
        </is>
      </c>
      <c r="AK8" s="49" t="inlineStr">
        <is>
          <t>kg/m²</t>
        </is>
      </c>
      <c r="AL8" s="49" t="inlineStr"/>
      <c r="AM8" s="49" t="inlineStr"/>
      <c r="AN8" s="49" t="inlineStr"/>
      <c r="AO8" s="49" t="inlineStr"/>
      <c r="AP8" s="49" t="inlineStr"/>
      <c r="AQ8" s="49" t="inlineStr"/>
      <c r="AR8" s="49" t="inlineStr">
        <is>
          <t>×10⁻⁴</t>
        </is>
      </c>
      <c r="AS8" s="49" t="inlineStr">
        <is>
          <t>×10⁻⁴</t>
        </is>
      </c>
      <c r="AT8" s="49" t="inlineStr">
        <is>
          <t>×10⁻⁴</t>
        </is>
      </c>
      <c r="AU8" s="49" t="inlineStr">
        <is>
          <t>×10⁻⁴</t>
        </is>
      </c>
      <c r="AV8" s="49" t="inlineStr">
        <is>
          <t>×10⁻⁴</t>
        </is>
      </c>
      <c r="AW8" s="49" t="inlineStr">
        <is>
          <t>×10⁻⁴</t>
        </is>
      </c>
      <c r="AX8" s="49" t="inlineStr">
        <is>
          <t>t·m/m</t>
        </is>
      </c>
      <c r="AY8" s="49" t="inlineStr">
        <is>
          <t>t·m/m</t>
        </is>
      </c>
      <c r="AZ8" s="49" t="inlineStr">
        <is>
          <t>t·m/m</t>
        </is>
      </c>
      <c r="BA8" s="49" t="inlineStr">
        <is>
          <t>t·m/m</t>
        </is>
      </c>
      <c r="BB8" s="49" t="inlineStr"/>
      <c r="BC8" s="49" t="inlineStr">
        <is>
          <t>cm²/m</t>
        </is>
      </c>
      <c r="BD8" s="49" t="inlineStr">
        <is>
          <t>cm</t>
        </is>
      </c>
      <c r="BE8" s="49" t="inlineStr">
        <is>
          <t>cm</t>
        </is>
      </c>
      <c r="BF8" s="49" t="inlineStr">
        <is>
          <t>cm²/m</t>
        </is>
      </c>
      <c r="BG8" s="49" t="inlineStr">
        <is>
          <t>cm²/m</t>
        </is>
      </c>
      <c r="BH8" s="49" t="inlineStr"/>
      <c r="BI8" s="49" t="inlineStr">
        <is>
          <t>cm</t>
        </is>
      </c>
      <c r="BJ8" s="49" t="inlineStr">
        <is>
          <t>cm²/m</t>
        </is>
      </c>
      <c r="BK8" s="49" t="inlineStr">
        <is>
          <t>cm</t>
        </is>
      </c>
      <c r="BL8" s="49" t="inlineStr">
        <is>
          <t>t·m/m</t>
        </is>
      </c>
      <c r="BM8" s="49" t="inlineStr">
        <is>
          <t>≤ 1</t>
        </is>
      </c>
      <c r="BN8" s="49" t="inlineStr">
        <is>
          <t>≥ 0.005</t>
        </is>
      </c>
      <c r="BO8" s="49" t="inlineStr">
        <is>
          <t>cm</t>
        </is>
      </c>
      <c r="BP8" s="49" t="inlineStr">
        <is>
          <t>cm²/m</t>
        </is>
      </c>
      <c r="BQ8" s="49" t="inlineStr">
        <is>
          <t>cm²/m</t>
        </is>
      </c>
      <c r="BR8" s="49" t="inlineStr"/>
      <c r="BS8" s="49" t="inlineStr">
        <is>
          <t>cm</t>
        </is>
      </c>
      <c r="BT8" s="49" t="inlineStr">
        <is>
          <t>cm²/m</t>
        </is>
      </c>
      <c r="BU8" s="49" t="inlineStr">
        <is>
          <t>cm</t>
        </is>
      </c>
      <c r="BV8" s="49" t="inlineStr">
        <is>
          <t>t·m/m</t>
        </is>
      </c>
      <c r="BW8" s="49" t="inlineStr">
        <is>
          <t>≤ 1</t>
        </is>
      </c>
      <c r="BX8" s="49" t="inlineStr">
        <is>
          <t>≥ 0.005</t>
        </is>
      </c>
      <c r="BY8" s="49" t="inlineStr">
        <is>
          <t>cm</t>
        </is>
      </c>
      <c r="BZ8" s="49" t="inlineStr">
        <is>
          <t>cm²/m</t>
        </is>
      </c>
      <c r="CA8" s="49" t="inlineStr">
        <is>
          <t>cm²/m</t>
        </is>
      </c>
      <c r="CB8" s="49" t="inlineStr"/>
      <c r="CC8" s="49" t="inlineStr">
        <is>
          <t>cm</t>
        </is>
      </c>
      <c r="CD8" s="49" t="inlineStr">
        <is>
          <t>cm²/m</t>
        </is>
      </c>
      <c r="CE8" s="49" t="inlineStr">
        <is>
          <t>cm</t>
        </is>
      </c>
      <c r="CF8" s="49" t="inlineStr">
        <is>
          <t>t·m/m</t>
        </is>
      </c>
      <c r="CG8" s="49" t="inlineStr">
        <is>
          <t>≤ 1</t>
        </is>
      </c>
      <c r="CH8" s="49" t="inlineStr">
        <is>
          <t>≥ 0.005</t>
        </is>
      </c>
      <c r="CI8" s="49" t="inlineStr">
        <is>
          <t>cm</t>
        </is>
      </c>
      <c r="CJ8" s="49" t="inlineStr">
        <is>
          <t>cm²/m</t>
        </is>
      </c>
      <c r="CK8" s="49" t="inlineStr">
        <is>
          <t>cm²/m</t>
        </is>
      </c>
      <c r="CL8" s="49" t="inlineStr"/>
      <c r="CM8" s="49" t="inlineStr">
        <is>
          <t>cm</t>
        </is>
      </c>
      <c r="CN8" s="49" t="inlineStr">
        <is>
          <t>cm²/m</t>
        </is>
      </c>
      <c r="CO8" s="49" t="inlineStr">
        <is>
          <t>cm</t>
        </is>
      </c>
      <c r="CP8" s="49" t="inlineStr">
        <is>
          <t>t·m/m</t>
        </is>
      </c>
      <c r="CQ8" s="49" t="inlineStr">
        <is>
          <t>≤ 1</t>
        </is>
      </c>
      <c r="CR8" s="49" t="inlineStr">
        <is>
          <t>≥ 0.005</t>
        </is>
      </c>
      <c r="CS8" s="49" t="inlineStr">
        <is>
          <t>t/m</t>
        </is>
      </c>
      <c r="CT8" s="49" t="inlineStr"/>
      <c r="CU8" s="49" t="inlineStr">
        <is>
          <t>t/m</t>
        </is>
      </c>
      <c r="CV8" s="49" t="inlineStr"/>
      <c r="CW8" s="49" t="inlineStr"/>
      <c r="CX8" s="49" t="inlineStr">
        <is>
          <t>cm</t>
        </is>
      </c>
      <c r="CY8" s="49" t="inlineStr"/>
      <c r="CZ8" s="49" t="inlineStr">
        <is>
          <t>cm</t>
        </is>
      </c>
      <c r="DA8" s="49" t="inlineStr">
        <is>
          <t>cm</t>
        </is>
      </c>
      <c r="DB8" s="49" t="inlineStr"/>
      <c r="DC8" s="49" t="inlineStr"/>
      <c r="DD8" s="49" t="inlineStr"/>
      <c r="DE8" s="49" t="inlineStr"/>
      <c r="DF8" s="49" t="inlineStr"/>
      <c r="DG8" s="49" t="inlineStr"/>
      <c r="DH8" s="49" t="inlineStr"/>
      <c r="DI8" s="49" t="inlineStr"/>
      <c r="DJ8" s="49" t="inlineStr"/>
    </row>
    <row r="9" ht="33" customHeight="1">
      <c r="A9" s="50">
        <f>IF(B9="",0,1)</f>
        <v>1</v>
      </c>
      <c r="B9" s="29" t="inlineStr">
        <is>
          <t>EJEMPLO M-1 (interior 3.0 × 4.0)</t>
        </is>
      </c>
      <c r="C9" s="51" t="inlineStr">
        <is>
          <t>PERIMETRAL</t>
        </is>
      </c>
      <c r="D9" s="29" t="inlineStr">
        <is>
          <t>HABITACIÓN</t>
        </is>
      </c>
      <c r="E9" s="52" t="n">
        <v>3</v>
      </c>
      <c r="F9" s="52" t="n">
        <v>4</v>
      </c>
      <c r="G9" s="51" t="inlineStr">
        <is>
          <t>CONTINUO</t>
        </is>
      </c>
      <c r="H9" s="51" t="inlineStr">
        <is>
          <t>CONTINUO</t>
        </is>
      </c>
      <c r="I9" s="51" t="inlineStr">
        <is>
          <t>CONTINUO</t>
        </is>
      </c>
      <c r="J9" s="51" t="inlineStr">
        <is>
          <t>CONTINUO</t>
        </is>
      </c>
      <c r="K9" s="51" t="inlineStr">
        <is>
          <t>AUTO</t>
        </is>
      </c>
      <c r="L9" s="51" t="inlineStr">
        <is>
          <t>MONOLÍTICO (caso I)</t>
        </is>
      </c>
      <c r="M9" s="54" t="n">
        <v>12</v>
      </c>
      <c r="N9" s="53" t="n">
        <v>160</v>
      </c>
      <c r="O9" s="53" t="n"/>
      <c r="P9" s="54" t="n"/>
      <c r="Q9" s="52" t="n"/>
      <c r="R9" s="54" t="n"/>
      <c r="S9" s="53" t="n"/>
      <c r="T9" s="52" t="n"/>
      <c r="U9" s="52" t="n"/>
      <c r="V9" s="55" t="str">
        <f>IF(B9="","",IF(AND(OR(C9="PERIMETRAL",C9="VOLADO"),ISNUMBER(E9),ISNUMBER(F9),E9&gt;0,F9&gt;0,OR(ISNUMBER(O9),ISNUMBER(MATCH(D9,DATOS!$B$46:$B$58,0))),OR(C9&lt;&gt;"VOLADO",N(Q9)&gt;0)),"SÍ","NO"))</f>
        <v>SÍ</v>
      </c>
      <c r="W9" s="57">
        <f>IF(V9&lt;&gt;"SÍ","",IF(ISNUMBER(M9),M9,DATOS!$C$137))</f>
        <v>12</v>
      </c>
      <c r="X9" s="55" t="str">
        <f>IF(V9&lt;&gt;"SÍ","",IF(C9&lt;&gt;"VOLADO","—",IF(COUNTIF(G9:J9,"CONTINUO")&lt;&gt;1,"?",IF(G9="CONTINUO","INFERIOR",IF(H9="CONTINUO","SUPERIOR",IF(I9="CONTINUO","IZQUIERDO","DERECHO"))))))</f>
        <v>—</v>
      </c>
      <c r="Y9" s="55" t="str">
        <f>IF(V9&lt;&gt;"SÍ","",IF(C9="VOLADO",IF(OR(X9="IZQUIERDO",X9="DERECHO"),"X","Y"),IF(E9&lt;=F9,"X","Y")))</f>
        <v>X</v>
      </c>
      <c r="Z9" s="56">
        <f>IF(V9&lt;&gt;"SÍ","",IF(C9="VOLADO",IF(Y9="X",E9,F9),MIN(E9,F9)))</f>
        <v>3</v>
      </c>
      <c r="AA9" s="56">
        <f>IF(V9&lt;&gt;"SÍ","",IF(C9="VOLADO",IF(Y9="X",F9,E9),MAX(E9,F9)))</f>
        <v>4</v>
      </c>
      <c r="AB9" s="56">
        <f>IF(V9&lt;&gt;"SÍ","",MIN(Z9,AA9)/MAX(Z9,AA9))</f>
        <v>0.75</v>
      </c>
      <c r="AC9" s="57">
        <f>IF(V9&lt;&gt;"SÍ","",MAX(1,Z9*100-IF(C9="VOLADO",DATOS!$C$87/2,DATOS!$C$87)))</f>
        <v>285</v>
      </c>
      <c r="AD9" s="57">
        <f>IF(V9&lt;&gt;"SÍ","",MAX(1,AA9*100-DATOS!$C$87))</f>
        <v>385</v>
      </c>
      <c r="AE9" s="57">
        <f>IF(V9&lt;&gt;"SÍ","",IF(C9="VOLADO",DATOS!$C$64,DATOS!$C$62))</f>
        <v>2</v>
      </c>
      <c r="AF9" s="57">
        <f>IF(V9&lt;&gt;"SÍ","",IF(OR(AND(AG9="SÍ",DATOS!$C$66="SÍ"),AND(C9="VOLADO",DATOS!$C$67="SÍ")),DATOS!$C$64,DATOS!$C$62))</f>
        <v>2</v>
      </c>
      <c r="AG9" s="55" t="str">
        <f>IF(V9&lt;&gt;"SÍ","",IFERROR(INDEX(DATOS!$D$46:$D$58,MATCH(D9,DATOS!$B$46:$B$58,0)),"NO"))</f>
        <v>NO</v>
      </c>
      <c r="AH9" s="59">
        <f>IF(V9&lt;&gt;"SÍ","",IF(ISNUMBER(O9),O9,IFERROR(INDEX(DATOS!$C$46:$C$58,MATCH(D9,DATOS!$B$46:$B$58,0)),0)))</f>
        <v>190</v>
      </c>
      <c r="AI9" s="59">
        <f>IF(V9&lt;&gt;"SÍ","",W9/100*DATOS!$C$16*1000+DATOS!$C$37+DATOS!$C$38)</f>
        <v>328</v>
      </c>
      <c r="AJ9" s="59">
        <f>IF(V9&lt;&gt;"SÍ","",AI9+N(N9))</f>
        <v>488</v>
      </c>
      <c r="AK9" s="60">
        <f>IF(V9&lt;&gt;"SÍ","",MAX(DATOS!$C$26*AJ9+DATOS!$C$27*AH9,IF(AG9="SÍ",DATOS!$C$28*(AJ9+DATOS!$C$41),0)))</f>
        <v>919.4</v>
      </c>
      <c r="AL9" s="59">
        <f>IF(V9&lt;&gt;"SÍ","",(G9="DISCONTINUO")+(H9="DISCONTINUO")+(I9="DISCONTINUO")+(J9="DISCONTINUO"))</f>
        <v>0</v>
      </c>
      <c r="AM9" s="59">
        <f>IF(V9&lt;&gt;"SÍ","",IF(Y9="X",(G9="DISCONTINUO")+(H9="DISCONTINUO"),(I9="DISCONTINUO")+(J9="DISCONTINUO")))</f>
        <v>0</v>
      </c>
      <c r="AN9" s="55" t="str">
        <f>IF(V9&lt;&gt;"SÍ","",IF(AL9=0,"INTERIOR",IF(AL9=1,IF(AM9=1,"BORDE-CORTO","BORDE-LARGO"),IF(AL9=2,IF(AM9=1,"ESQUINA",IF(AM9=2,"EXTREMO-LARGO","EXTREMO-CORTO")),IF(AL9=3,IF(AM9=2,"EXTREMO-LARGO","EXTREMO-CORTO"),"AISLADO")))))</f>
        <v>INTERIOR</v>
      </c>
      <c r="AO9" s="61" t="str">
        <f>IF(V9&lt;&gt;"SÍ","",IF(OR(K9="",K9="AUTO"),AN9,K9))</f>
        <v>INTERIOR</v>
      </c>
      <c r="AP9" s="59">
        <f>IF(V9&lt;&gt;"SÍ","",MATCH(AB9,TABLAS!$D$5:$J$5,1))</f>
        <v>4</v>
      </c>
      <c r="AQ9" s="58">
        <f>IF(V9&lt;&gt;"SÍ","",IF(AP9&gt;=7,0,(AB9-INDEX(TABLAS!$D$5:$J$5,AP9))/(INDEX(TABLAS!$D$5:$J$5,AP9+1)-INDEX(TABLAS!$D$5:$J$5,AP9))))</f>
        <v>0.5</v>
      </c>
      <c r="AR9" s="59">
        <f>IF(V9&lt;&gt;"SÍ","",INDEX(TABLAS!$D$6:$J$47,MATCH(AO9&amp;"|NIC",TABLAS!$B$6:$B$47,0),AP9)+AQ9*(INDEX(TABLAS!$D$6:$J$47,MATCH(AO9&amp;"|NIC",TABLAS!$B$6:$B$47,0),MIN(AP9+1,7))-INDEX(TABLAS!$D$6:$J$47,MATCH(AO9&amp;"|NIC",TABLAS!$B$6:$B$47,0),AP9)))</f>
        <v>671.5</v>
      </c>
      <c r="AS9" s="59">
        <f>IF(V9&lt;&gt;"SÍ","",INDEX(TABLAS!$D$6:$J$47,MATCH(AO9&amp;"|NIL",TABLAS!$B$6:$B$47,0),AP9)+AQ9*(INDEX(TABLAS!$D$6:$J$47,MATCH(AO9&amp;"|NIL",TABLAS!$B$6:$B$47,0),MIN(AP9+1,7))-INDEX(TABLAS!$D$6:$J$47,MATCH(AO9&amp;"|NIL",TABLAS!$B$6:$B$47,0),AP9)))</f>
        <v>479</v>
      </c>
      <c r="AT9" s="59">
        <f>IF(V9&lt;&gt;"SÍ","",INDEX(TABLAS!$D$6:$J$47,MATCH(AO9&amp;"|NDC",TABLAS!$B$6:$B$47,0),AP9)+AQ9*(INDEX(TABLAS!$D$6:$J$47,MATCH(AO9&amp;"|NDC",TABLAS!$B$6:$B$47,0),MIN(AP9+1,7))-INDEX(TABLAS!$D$6:$J$47,MATCH(AO9&amp;"|NDC",TABLAS!$B$6:$B$47,0),AP9)))</f>
        <v>0</v>
      </c>
      <c r="AU9" s="59">
        <f>IF(V9&lt;&gt;"SÍ","",INDEX(TABLAS!$D$6:$J$47,MATCH(AO9&amp;"|NDL",TABLAS!$B$6:$B$47,0),AP9)+AQ9*(INDEX(TABLAS!$D$6:$J$47,MATCH(AO9&amp;"|NDL",TABLAS!$B$6:$B$47,0),MIN(AP9+1,7))-INDEX(TABLAS!$D$6:$J$47,MATCH(AO9&amp;"|NDL",TABLAS!$B$6:$B$47,0),AP9)))</f>
        <v>0</v>
      </c>
      <c r="AV9" s="59">
        <f>IF(V9&lt;&gt;"SÍ","",INDEX(TABLAS!$D$6:$J$47,MATCH(AO9&amp;"|PC",TABLAS!$B$6:$B$47,0),AP9)+AQ9*(INDEX(TABLAS!$D$6:$J$47,MATCH(AO9&amp;"|PC",TABLAS!$B$6:$B$47,0),MIN(AP9+1,7))-INDEX(TABLAS!$D$6:$J$47,MATCH(AO9&amp;"|PC",TABLAS!$B$6:$B$47,0),AP9)))</f>
        <v>314</v>
      </c>
      <c r="AW9" s="59">
        <f>IF(V9&lt;&gt;"SÍ","",INDEX(TABLAS!$D$6:$J$47,MATCH(AO9&amp;"|PL",TABLAS!$B$6:$B$47,0),AP9)+AQ9*(INDEX(TABLAS!$D$6:$J$47,MATCH(AO9&amp;"|PL",TABLAS!$B$6:$B$47,0),MIN(AP9+1,7))-INDEX(TABLAS!$D$6:$J$47,MATCH(AO9&amp;"|PL",TABLAS!$B$6:$B$47,0),AP9)))</f>
        <v>206.5</v>
      </c>
      <c r="AX9" s="56">
        <f>IF(V9&lt;&gt;"SÍ","",IF(C9="PERIMETRAL",AV9*AK9*Z9^2*1E-4/1000,0))</f>
        <v>0.25982244</v>
      </c>
      <c r="AY9" s="62">
        <f>IF(V9&lt;&gt;"SÍ","",IF(C9="PERIMETRAL",MAX(MAX(AR9,AT9)*AK9*Z9^2*1E-4/1000,N(T9)),(AK9*(AC9/100)^2/2+DATOS!$C$26*N(P9)*AC9/100)/1000))</f>
        <v>0.55563939</v>
      </c>
      <c r="AZ9" s="56">
        <f>IF(V9&lt;&gt;"SÍ","",IF(C9="PERIMETRAL",AW9*AK9*Z9^2*1E-4/1000,0))</f>
        <v>0.17087049</v>
      </c>
      <c r="BA9" s="56">
        <f>IF(V9&lt;&gt;"SÍ","",IF(C9="PERIMETRAL",MAX(MAX(AS9,AU9)*AK9*Z9^2*1E-4/1000,N(U9)),0))</f>
        <v>0.39635334</v>
      </c>
      <c r="BB9" s="63" t="str">
        <f>IF(V9&lt;&gt;"SÍ","",IF(C9&lt;&gt;"PERIMETRAL","—",IF(AND(N(T9)=0,N(U9)=0),"— (sin M⁻ del vecino)",IF(OR(AND(N(T9)&gt;0,ABS(MAX(AR9,AT9)*AK9*Z9^2*1E-4/1000-N(T9))&gt;0.5*MIN(MAX(AR9,AT9)*AK9*Z9^2*1E-4/1000,N(T9))),AND(N(U9)&gt;0,ABS(MAX(AS9,AU9)*AK9*Z9^2*1E-4/1000-N(U9))&gt;0.5*MIN(MAX(AS9,AU9)*AK9*Z9^2*1E-4/1000,N(U9)))),"FUERA: difieren &gt; 50 %"&amp;IF(AND(N(T9)&gt;0,ABS(MAX(AR9,AT9)*AK9*Z9^2*1E-4/1000-N(T9))&gt;0.5*MIN(MAX(AR9,AT9)*AK9*Z9^2*1E-4/1000,N(T9)))," ‖ corto","")&amp;IF(AND(N(U9)&gt;0,ABS(MAX(AS9,AU9)*AK9*Z9^2*1E-4/1000-N(U9))&gt;0.5*MIN(MAX(AS9,AU9)*AK9*Z9^2*1E-4/1000,N(U9)))," ‖ largo",""),"CUMPLE"))))</f>
        <v>— (sin M⁻ del vecino)</v>
      </c>
      <c r="BC9" s="58">
        <f>IF(V9&lt;&gt;"SÍ","",DATOS!$C$139*100*W9)</f>
        <v>2.16</v>
      </c>
      <c r="BD9" s="57">
        <f>IF(V9&lt;&gt;"SÍ","",MIN(IF(C9="VOLADO",DATOS!$C$141,DATOS!$C$140)*W9,DATOS!$C$142))</f>
        <v>24</v>
      </c>
      <c r="BE9" s="58">
        <f>IF(V9&lt;&gt;"SÍ","",(W9-AE9-INDEX(TABLAS!$C$52:$C$58,MATCH(IF(ISNUMBER(S9),S9,DATOS!$C$138),TABLAS!$B$52:$B$58,0))/2))</f>
        <v>9.525</v>
      </c>
      <c r="BF9" s="58">
        <f>IF(V9&lt;&gt;"SÍ","",IF(AX9&lt;=0,0,IF((1-2*AX9*1E5/(DATOS!$C$29*100*BE9^2*DATOS!$C$21))&lt;0,-1,IF((1-SQRT((1-2*AX9*1E5/(DATOS!$C$29*100*BE9^2*DATOS!$C$21))))*DATOS!$C$21*100*BE9/DATOS!$C$14&gt;DATOS!$C$102*100*BE9,-1,(1-SQRT((1-2*AX9*1E5/(DATOS!$C$29*100*BE9^2*DATOS!$C$21))))*DATOS!$C$21*100*BE9/DATOS!$C$14))))</f>
        <v>0.72712424985834</v>
      </c>
      <c r="BG9" s="58">
        <f>IF(V9&lt;&gt;"SÍ","",IF(BF9&lt;0,-1,MAX(BF9,BC9)))</f>
        <v>2.16</v>
      </c>
      <c r="BH9" s="64">
        <f>IF(V9&lt;&gt;"SÍ","",IF(AND(BG9&gt;0,FLOOR(MIN(BD9,100*INDEX(TABLAS!$D$52:$D$58,MIN(MATCH(IF(ISNUMBER(S9),S9,DATOS!$C$138),TABLAS!$B$52:$B$58,0)+0,7))/MAX(BG9,0.0001)),DATOS!$C$144)&gt;=DATOS!$C$143),INDEX(TABLAS!$B$52:$B$58,MIN(MATCH(IF(ISNUMBER(S9),S9,DATOS!$C$138),TABLAS!$B$52:$B$58,0)+0,7)),IF(AND(BG9&gt;0,FLOOR(MIN(BD9,100*INDEX(TABLAS!$D$52:$D$58,MIN(MATCH(IF(ISNUMBER(S9),S9,DATOS!$C$138),TABLAS!$B$52:$B$58,0)+1,7))/MAX(BG9,0.0001)),DATOS!$C$144)&gt;=DATOS!$C$143),INDEX(TABLAS!$B$52:$B$58,MIN(MATCH(IF(ISNUMBER(S9),S9,DATOS!$C$138),TABLAS!$B$52:$B$58,0)+1,7)),IF(AND(BG9&gt;0,FLOOR(MIN(BD9,100*INDEX(TABLAS!$D$52:$D$58,MIN(MATCH(IF(ISNUMBER(S9),S9,DATOS!$C$138),TABLAS!$B$52:$B$58,0)+2,7))/MAX(BG9,0.0001)),DATOS!$C$144)&gt;=DATOS!$C$143),INDEX(TABLAS!$B$52:$B$58,MIN(MATCH(IF(ISNUMBER(S9),S9,DATOS!$C$138),TABLAS!$B$52:$B$58,0)+2,7)),IF(AND(BG9&gt;0,FLOOR(MIN(BD9,100*INDEX(TABLAS!$D$52:$D$58,MIN(MATCH(IF(ISNUMBER(S9),S9,DATOS!$C$138),TABLAS!$B$52:$B$58,0)+3,7))/MAX(BG9,0.0001)),DATOS!$C$144)&gt;=DATOS!$C$143),INDEX(TABLAS!$B$52:$B$58,MIN(MATCH(IF(ISNUMBER(S9),S9,DATOS!$C$138),TABLAS!$B$52:$B$58,0)+3,7)),IF(AND(BG9&gt;0,FLOOR(MIN(BD9,100*INDEX(TABLAS!$D$52:$D$58,MIN(MATCH(IF(ISNUMBER(S9),S9,DATOS!$C$138),TABLAS!$B$52:$B$58,0)+4,7))/MAX(BG9,0.0001)),DATOS!$C$144)&gt;=DATOS!$C$143),INDEX(TABLAS!$B$52:$B$58,MIN(MATCH(IF(ISNUMBER(S9),S9,DATOS!$C$138),TABLAS!$B$52:$B$58,0)+4,7)),INDEX(TABLAS!$B$52:$B$58,7)))))))</f>
        <v>3</v>
      </c>
      <c r="BI9" s="71">
        <f>IF(V9&lt;&gt;"SÍ","",IF(BG9&lt;=0,0,FLOOR(MIN(BD9,100*INDEX(TABLAS!$D$52:$D$58,MATCH(BH9,TABLAS!$B$52:$B$58,0))/BG9),DATOS!$C$144)))</f>
        <v>22.5</v>
      </c>
      <c r="BJ9" s="58">
        <f>IF(V9&lt;&gt;"SÍ","",IF(BI9&lt;=0,0,INDEX(TABLAS!$D$52:$D$58,MATCH(BH9,TABLAS!$B$52:$B$58,0))*100/BI9))</f>
        <v>3.15555555555556</v>
      </c>
      <c r="BK9" s="58">
        <f>IF(V9&lt;&gt;"SÍ","",W9-AE9-INDEX(TABLAS!$C$52:$C$58,MATCH(BH9,TABLAS!$B$52:$B$58,0))/2)</f>
        <v>9.525</v>
      </c>
      <c r="BL9" s="56">
        <f>IF(V9&lt;&gt;"SÍ","",IF(BJ9=0,0,DATOS!$C$29*BJ9*DATOS!$C$14*(BK9-BJ9*DATOS!$C$14/(DATOS!$C$21*100)/2)/1E5))</f>
        <v>1.09894535058824</v>
      </c>
      <c r="BM9" s="65">
        <f>IF(V9&lt;&gt;"SÍ","",IF(BG9&lt;0,9.99,IF(BL9&gt;0,AX9/BL9,0)))</f>
        <v>0.236428899636296</v>
      </c>
      <c r="BN9" s="66">
        <f>IF(V9&lt;&gt;"SÍ","",IF(BJ9=0,"—",0.003*(BK9-(BJ9*DATOS!$C$14/(DATOS!$C$21*100)/DATOS!$C$22))/(BJ9*DATOS!$C$14/(DATOS!$C$21*100)/DATOS!$C$22)))</f>
        <v>0.0359438584632797</v>
      </c>
      <c r="BO9" s="58">
        <f>IF(V9&lt;&gt;"SÍ","",((W9-AF9-INDEX(TABLAS!$C$52:$C$58,MATCH(IF(ISNUMBER(S9),S9,DATOS!$C$138),TABLAS!$B$52:$B$58,0))/2)-IF(AND((W9-AF9-INDEX(TABLAS!$C$52:$C$58,MATCH(IF(ISNUMBER(S9),S9,DATOS!$C$138),TABLAS!$B$52:$B$58,0))/2)&lt;=20,DATOS!$C$65&lt;&gt;"SÍ"),2,0)))</f>
        <v>9.525</v>
      </c>
      <c r="BP9" s="58">
        <f>IF(V9&lt;&gt;"SÍ","",IF(AY9&lt;=0,0,IF((1-2*AY9*1E5/(DATOS!$C$29*100*BO9^2*DATOS!$C$21))&lt;0,-1,IF((1-SQRT((1-2*AY9*1E5/(DATOS!$C$29*100*BO9^2*DATOS!$C$21))))*DATOS!$C$21*100*BO9/DATOS!$C$14&gt;DATOS!$C$102*100*BO9,-1,(1-SQRT((1-2*AY9*1E5/(DATOS!$C$29*100*BO9^2*DATOS!$C$21))))*DATOS!$C$21*100*BO9/DATOS!$C$14))))</f>
        <v>1.56878401017098</v>
      </c>
      <c r="BQ9" s="58">
        <f>IF(V9&lt;&gt;"SÍ","",IF(BP9&lt;0,-1,MAX(BP9,BC9)))</f>
        <v>2.16</v>
      </c>
      <c r="BR9" s="64">
        <f>IF(V9&lt;&gt;"SÍ","",IF(AND(BQ9&gt;0,FLOOR(MIN(BD9,100*INDEX(TABLAS!$D$52:$D$58,MIN(MATCH(IF(ISNUMBER(S9),S9,DATOS!$C$138),TABLAS!$B$52:$B$58,0)+0,7))/MAX(BQ9,0.0001)),DATOS!$C$144)&gt;=DATOS!$C$143),INDEX(TABLAS!$B$52:$B$58,MIN(MATCH(IF(ISNUMBER(S9),S9,DATOS!$C$138),TABLAS!$B$52:$B$58,0)+0,7)),IF(AND(BQ9&gt;0,FLOOR(MIN(BD9,100*INDEX(TABLAS!$D$52:$D$58,MIN(MATCH(IF(ISNUMBER(S9),S9,DATOS!$C$138),TABLAS!$B$52:$B$58,0)+1,7))/MAX(BQ9,0.0001)),DATOS!$C$144)&gt;=DATOS!$C$143),INDEX(TABLAS!$B$52:$B$58,MIN(MATCH(IF(ISNUMBER(S9),S9,DATOS!$C$138),TABLAS!$B$52:$B$58,0)+1,7)),IF(AND(BQ9&gt;0,FLOOR(MIN(BD9,100*INDEX(TABLAS!$D$52:$D$58,MIN(MATCH(IF(ISNUMBER(S9),S9,DATOS!$C$138),TABLAS!$B$52:$B$58,0)+2,7))/MAX(BQ9,0.0001)),DATOS!$C$144)&gt;=DATOS!$C$143),INDEX(TABLAS!$B$52:$B$58,MIN(MATCH(IF(ISNUMBER(S9),S9,DATOS!$C$138),TABLAS!$B$52:$B$58,0)+2,7)),IF(AND(BQ9&gt;0,FLOOR(MIN(BD9,100*INDEX(TABLAS!$D$52:$D$58,MIN(MATCH(IF(ISNUMBER(S9),S9,DATOS!$C$138),TABLAS!$B$52:$B$58,0)+3,7))/MAX(BQ9,0.0001)),DATOS!$C$144)&gt;=DATOS!$C$143),INDEX(TABLAS!$B$52:$B$58,MIN(MATCH(IF(ISNUMBER(S9),S9,DATOS!$C$138),TABLAS!$B$52:$B$58,0)+3,7)),IF(AND(BQ9&gt;0,FLOOR(MIN(BD9,100*INDEX(TABLAS!$D$52:$D$58,MIN(MATCH(IF(ISNUMBER(S9),S9,DATOS!$C$138),TABLAS!$B$52:$B$58,0)+4,7))/MAX(BQ9,0.0001)),DATOS!$C$144)&gt;=DATOS!$C$143),INDEX(TABLAS!$B$52:$B$58,MIN(MATCH(IF(ISNUMBER(S9),S9,DATOS!$C$138),TABLAS!$B$52:$B$58,0)+4,7)),INDEX(TABLAS!$B$52:$B$58,7)))))))</f>
        <v>3</v>
      </c>
      <c r="BS9" s="71">
        <f>IF(V9&lt;&gt;"SÍ","",IF(BQ9&lt;=0,0,FLOOR(MIN(BD9,100*INDEX(TABLAS!$D$52:$D$58,MATCH(BR9,TABLAS!$B$52:$B$58,0))/BQ9),DATOS!$C$144)))</f>
        <v>22.5</v>
      </c>
      <c r="BT9" s="58">
        <f>IF(V9&lt;&gt;"SÍ","",IF(BS9&lt;=0,0,INDEX(TABLAS!$D$52:$D$58,MATCH(BR9,TABLAS!$B$52:$B$58,0))*100/BS9))</f>
        <v>3.15555555555556</v>
      </c>
      <c r="BU9" s="58">
        <f>IF(V9&lt;&gt;"SÍ","",((W9-AF9-INDEX(TABLAS!$C$52:$C$58,MATCH(BR9,TABLAS!$B$52:$B$58,0))/2)-IF(AND((W9-AF9-INDEX(TABLAS!$C$52:$C$58,MATCH(BR9,TABLAS!$B$52:$B$58,0))/2)&lt;=20,DATOS!$C$65&lt;&gt;"SÍ"),2,0)))</f>
        <v>9.525</v>
      </c>
      <c r="BV9" s="56">
        <f>IF(V9&lt;&gt;"SÍ","",IF(BT9=0,0,DATOS!$C$29*BT9*DATOS!$C$14*(BU9-BT9*DATOS!$C$14/(DATOS!$C$21*100)/2)/1E5))</f>
        <v>1.09894535058824</v>
      </c>
      <c r="BW9" s="65">
        <f>IF(V9&lt;&gt;"SÍ","",IF(BQ9&lt;0,9.99,IF(BV9&gt;0,AY9/BV9,0)))</f>
        <v>0.505611484413289</v>
      </c>
      <c r="BX9" s="66">
        <f>IF(V9&lt;&gt;"SÍ","",IF(BT9=0,"—",0.003*(BU9-(BT9*DATOS!$C$14/(DATOS!$C$21*100)/DATOS!$C$22))/(BT9*DATOS!$C$14/(DATOS!$C$21*100)/DATOS!$C$22)))</f>
        <v>0.0359438584632797</v>
      </c>
      <c r="BY9" s="58">
        <f>IF(V9&lt;&gt;"SÍ","",(W9-AE9-1.5*INDEX(TABLAS!$C$52:$C$58,MATCH(IF(ISNUMBER(S9),S9,DATOS!$C$138),TABLAS!$B$52:$B$58,0))))</f>
        <v>8.575</v>
      </c>
      <c r="BZ9" s="58">
        <f>IF(V9&lt;&gt;"SÍ","",IF(AZ9&lt;=0,0,IF((1-2*AZ9*1E5/(DATOS!$C$29*100*BY9^2*DATOS!$C$21))&lt;0,-1,IF((1-SQRT((1-2*AZ9*1E5/(DATOS!$C$29*100*BY9^2*DATOS!$C$21))))*DATOS!$C$21*100*BY9/DATOS!$C$14&gt;DATOS!$C$102*100*BY9,-1,(1-SQRT((1-2*AZ9*1E5/(DATOS!$C$29*100*BY9^2*DATOS!$C$21))))*DATOS!$C$21*100*BY9/DATOS!$C$14))))</f>
        <v>0.530400564302075</v>
      </c>
      <c r="CA9" s="58">
        <f>IF(V9&lt;&gt;"SÍ","",IF(BZ9&lt;0,-1,MAX(BZ9,BC9)))</f>
        <v>2.16</v>
      </c>
      <c r="CB9" s="64">
        <f>IF(V9&lt;&gt;"SÍ","",IF(AND(CA9&gt;0,FLOOR(MIN(BD9,100*INDEX(TABLAS!$D$52:$D$58,MIN(MATCH(IF(ISNUMBER(S9),S9,DATOS!$C$138),TABLAS!$B$52:$B$58,0)+0,7))/MAX(CA9,0.0001)),DATOS!$C$144)&gt;=DATOS!$C$143),INDEX(TABLAS!$B$52:$B$58,MIN(MATCH(IF(ISNUMBER(S9),S9,DATOS!$C$138),TABLAS!$B$52:$B$58,0)+0,7)),IF(AND(CA9&gt;0,FLOOR(MIN(BD9,100*INDEX(TABLAS!$D$52:$D$58,MIN(MATCH(IF(ISNUMBER(S9),S9,DATOS!$C$138),TABLAS!$B$52:$B$58,0)+1,7))/MAX(CA9,0.0001)),DATOS!$C$144)&gt;=DATOS!$C$143),INDEX(TABLAS!$B$52:$B$58,MIN(MATCH(IF(ISNUMBER(S9),S9,DATOS!$C$138),TABLAS!$B$52:$B$58,0)+1,7)),IF(AND(CA9&gt;0,FLOOR(MIN(BD9,100*INDEX(TABLAS!$D$52:$D$58,MIN(MATCH(IF(ISNUMBER(S9),S9,DATOS!$C$138),TABLAS!$B$52:$B$58,0)+2,7))/MAX(CA9,0.0001)),DATOS!$C$144)&gt;=DATOS!$C$143),INDEX(TABLAS!$B$52:$B$58,MIN(MATCH(IF(ISNUMBER(S9),S9,DATOS!$C$138),TABLAS!$B$52:$B$58,0)+2,7)),IF(AND(CA9&gt;0,FLOOR(MIN(BD9,100*INDEX(TABLAS!$D$52:$D$58,MIN(MATCH(IF(ISNUMBER(S9),S9,DATOS!$C$138),TABLAS!$B$52:$B$58,0)+3,7))/MAX(CA9,0.0001)),DATOS!$C$144)&gt;=DATOS!$C$143),INDEX(TABLAS!$B$52:$B$58,MIN(MATCH(IF(ISNUMBER(S9),S9,DATOS!$C$138),TABLAS!$B$52:$B$58,0)+3,7)),IF(AND(CA9&gt;0,FLOOR(MIN(BD9,100*INDEX(TABLAS!$D$52:$D$58,MIN(MATCH(IF(ISNUMBER(S9),S9,DATOS!$C$138),TABLAS!$B$52:$B$58,0)+4,7))/MAX(CA9,0.0001)),DATOS!$C$144)&gt;=DATOS!$C$143),INDEX(TABLAS!$B$52:$B$58,MIN(MATCH(IF(ISNUMBER(S9),S9,DATOS!$C$138),TABLAS!$B$52:$B$58,0)+4,7)),INDEX(TABLAS!$B$52:$B$58,7)))))))</f>
        <v>3</v>
      </c>
      <c r="CC9" s="71">
        <f>IF(V9&lt;&gt;"SÍ","",IF(CA9&lt;=0,0,FLOOR(MIN(BD9,100*INDEX(TABLAS!$D$52:$D$58,MATCH(CB9,TABLAS!$B$52:$B$58,0))/CA9),DATOS!$C$144)))</f>
        <v>22.5</v>
      </c>
      <c r="CD9" s="58">
        <f>IF(V9&lt;&gt;"SÍ","",IF(CC9&lt;=0,0,INDEX(TABLAS!$D$52:$D$58,MATCH(CB9,TABLAS!$B$52:$B$58,0))*100/CC9))</f>
        <v>3.15555555555556</v>
      </c>
      <c r="CE9" s="58">
        <f>IF(V9&lt;&gt;"SÍ","",W9-AE9-INDEX(TABLAS!$C$52:$C$58,MATCH(BH9,TABLAS!$B$52:$B$58,0))-INDEX(TABLAS!$C$52:$C$58,MATCH(CB9,TABLAS!$B$52:$B$58,0))/2)</f>
        <v>8.575</v>
      </c>
      <c r="CF9" s="56">
        <f>IF(V9&lt;&gt;"SÍ","",IF(CD9=0,0,DATOS!$C$29*CD9*DATOS!$C$14*(CE9-CD9*DATOS!$C$14/(DATOS!$C$21*100)/2)/1E5))</f>
        <v>0.985629350588235</v>
      </c>
      <c r="CG9" s="65">
        <f>IF(V9&lt;&gt;"SÍ","",IF(CA9&lt;0,9.99,IF(CF9&gt;0,AZ9/CF9,0)))</f>
        <v>0.17336181181904</v>
      </c>
      <c r="CH9" s="66">
        <f>IF(V9&lt;&gt;"SÍ","",IF(CD9=0,"—",0.003*(CE9-(CD9*DATOS!$C$14/(DATOS!$C$21*100)/DATOS!$C$22))/(CD9*DATOS!$C$14/(DATOS!$C$21*100)/DATOS!$C$22)))</f>
        <v>0.0320596941021127</v>
      </c>
      <c r="CI9" s="58">
        <f>IF(V9&lt;&gt;"SÍ","",((W9-AF9-1.5*INDEX(TABLAS!$C$52:$C$58,MATCH(IF(ISNUMBER(S9),S9,DATOS!$C$138),TABLAS!$B$52:$B$58,0)))-IF(AND((W9-AF9-1.5*INDEX(TABLAS!$C$52:$C$58,MATCH(IF(ISNUMBER(S9),S9,DATOS!$C$138),TABLAS!$B$52:$B$58,0)))&lt;=20,DATOS!$C$65&lt;&gt;"SÍ"),2,0)))</f>
        <v>8.575</v>
      </c>
      <c r="CJ9" s="58">
        <f>IF(V9&lt;&gt;"SÍ","",IF(BA9&lt;=0,0,IF((1-2*BA9*1E5/(DATOS!$C$29*100*CI9^2*DATOS!$C$21))&lt;0,-1,IF((1-SQRT((1-2*BA9*1E5/(DATOS!$C$29*100*CI9^2*DATOS!$C$21))))*DATOS!$C$21*100*CI9/DATOS!$C$14&gt;DATOS!$C$102*100*CI9,-1,(1-SQRT((1-2*BA9*1E5/(DATOS!$C$29*100*CI9^2*DATOS!$C$21))))*DATOS!$C$21*100*CI9/DATOS!$C$14))))</f>
        <v>1.2405389228266</v>
      </c>
      <c r="CK9" s="58">
        <f>IF(V9&lt;&gt;"SÍ","",IF(CJ9&lt;0,-1,MAX(CJ9,BC9)))</f>
        <v>2.16</v>
      </c>
      <c r="CL9" s="64">
        <f>IF(V9&lt;&gt;"SÍ","",IF(AND(CK9&gt;0,FLOOR(MIN(BD9,100*INDEX(TABLAS!$D$52:$D$58,MIN(MATCH(IF(ISNUMBER(S9),S9,DATOS!$C$138),TABLAS!$B$52:$B$58,0)+0,7))/MAX(CK9,0.0001)),DATOS!$C$144)&gt;=DATOS!$C$143),INDEX(TABLAS!$B$52:$B$58,MIN(MATCH(IF(ISNUMBER(S9),S9,DATOS!$C$138),TABLAS!$B$52:$B$58,0)+0,7)),IF(AND(CK9&gt;0,FLOOR(MIN(BD9,100*INDEX(TABLAS!$D$52:$D$58,MIN(MATCH(IF(ISNUMBER(S9),S9,DATOS!$C$138),TABLAS!$B$52:$B$58,0)+1,7))/MAX(CK9,0.0001)),DATOS!$C$144)&gt;=DATOS!$C$143),INDEX(TABLAS!$B$52:$B$58,MIN(MATCH(IF(ISNUMBER(S9),S9,DATOS!$C$138),TABLAS!$B$52:$B$58,0)+1,7)),IF(AND(CK9&gt;0,FLOOR(MIN(BD9,100*INDEX(TABLAS!$D$52:$D$58,MIN(MATCH(IF(ISNUMBER(S9),S9,DATOS!$C$138),TABLAS!$B$52:$B$58,0)+2,7))/MAX(CK9,0.0001)),DATOS!$C$144)&gt;=DATOS!$C$143),INDEX(TABLAS!$B$52:$B$58,MIN(MATCH(IF(ISNUMBER(S9),S9,DATOS!$C$138),TABLAS!$B$52:$B$58,0)+2,7)),IF(AND(CK9&gt;0,FLOOR(MIN(BD9,100*INDEX(TABLAS!$D$52:$D$58,MIN(MATCH(IF(ISNUMBER(S9),S9,DATOS!$C$138),TABLAS!$B$52:$B$58,0)+3,7))/MAX(CK9,0.0001)),DATOS!$C$144)&gt;=DATOS!$C$143),INDEX(TABLAS!$B$52:$B$58,MIN(MATCH(IF(ISNUMBER(S9),S9,DATOS!$C$138),TABLAS!$B$52:$B$58,0)+3,7)),IF(AND(CK9&gt;0,FLOOR(MIN(BD9,100*INDEX(TABLAS!$D$52:$D$58,MIN(MATCH(IF(ISNUMBER(S9),S9,DATOS!$C$138),TABLAS!$B$52:$B$58,0)+4,7))/MAX(CK9,0.0001)),DATOS!$C$144)&gt;=DATOS!$C$143),INDEX(TABLAS!$B$52:$B$58,MIN(MATCH(IF(ISNUMBER(S9),S9,DATOS!$C$138),TABLAS!$B$52:$B$58,0)+4,7)),INDEX(TABLAS!$B$52:$B$58,7)))))))</f>
        <v>3</v>
      </c>
      <c r="CM9" s="71">
        <f>IF(V9&lt;&gt;"SÍ","",IF(CK9&lt;=0,0,FLOOR(MIN(BD9,100*INDEX(TABLAS!$D$52:$D$58,MATCH(CL9,TABLAS!$B$52:$B$58,0))/CK9),DATOS!$C$144)))</f>
        <v>22.5</v>
      </c>
      <c r="CN9" s="58">
        <f>IF(V9&lt;&gt;"SÍ","",IF(CM9&lt;=0,0,INDEX(TABLAS!$D$52:$D$58,MATCH(CL9,TABLAS!$B$52:$B$58,0))*100/CM9))</f>
        <v>3.15555555555556</v>
      </c>
      <c r="CO9" s="58">
        <f>IF(V9&lt;&gt;"SÍ","",((W9-AF9-INDEX(TABLAS!$C$52:$C$58,MATCH(BR9,TABLAS!$B$52:$B$58,0))-INDEX(TABLAS!$C$52:$C$58,MATCH(CL9,TABLAS!$B$52:$B$58,0))/2)-IF(AND((W9-AF9-INDEX(TABLAS!$C$52:$C$58,MATCH(BR9,TABLAS!$B$52:$B$58,0))-INDEX(TABLAS!$C$52:$C$58,MATCH(CL9,TABLAS!$B$52:$B$58,0))/2)&lt;=20,DATOS!$C$65&lt;&gt;"SÍ"),2,0)))</f>
        <v>8.575</v>
      </c>
      <c r="CP9" s="56">
        <f>IF(V9&lt;&gt;"SÍ","",IF(CN9=0,0,DATOS!$C$29*CN9*DATOS!$C$14*(CO9-CN9*DATOS!$C$14/(DATOS!$C$21*100)/2)/1E5))</f>
        <v>0.985629350588235</v>
      </c>
      <c r="CQ9" s="65">
        <f>IF(V9&lt;&gt;"SÍ","",IF(CK9&lt;0,9.99,IF(CP9&gt;0,BA9/CP9,0)))</f>
        <v>0.402132241459177</v>
      </c>
      <c r="CR9" s="66">
        <f>IF(V9&lt;&gt;"SÍ","",IF(CN9=0,"—",0.003*(CO9-(CN9*DATOS!$C$14/(DATOS!$C$21*100)/DATOS!$C$22))/(CN9*DATOS!$C$14/(DATOS!$C$21*100)/DATOS!$C$22)))</f>
        <v>0.0320596941021127</v>
      </c>
      <c r="CS9" s="56">
        <f>IF(V9&lt;&gt;"SÍ","",IF(C9="PERIMETRAL",MAX(0,(AC9/2-BU9)/100)*(0.95-0.5*AB9)*AK9*IF(AND(AL9&gt;0,AL9&lt;4),DATOS!$C$33,1)/1000,(AK9*MAX(0,AC9-BU9)/100+DATOS!$C$26*N(P9))/1000))</f>
        <v>0.70297898625</v>
      </c>
      <c r="CT9" s="66">
        <f>IF(V9&lt;&gt;"SÍ","",BT9/(100*BU9))</f>
        <v>0.00331291921843103</v>
      </c>
      <c r="CU9" s="56">
        <f>IF(V9&lt;&gt;"SÍ","",DATOS!$C$30*2*MIN(1,SQRT(2/(1+0.04*BU9)))*CT9^(1/3)*SQRT(DATOS!$C$13)*100*BU9/1000)</f>
        <v>3.36767259788685</v>
      </c>
      <c r="CV9" s="67" t="str">
        <f>IF(V9&lt;&gt;"SÍ","",IF(CS9&lt;=CU9,"CUMPLE","NO CUMPLE: sube h"))</f>
        <v>CUMPLE</v>
      </c>
      <c r="CW9" s="58">
        <f>IF(V9&lt;&gt;"SÍ","",IF(C9="PERIMETRAL",IF(ISNUMBER(R9),R9,DATOS!$C$104),0))</f>
        <v>99</v>
      </c>
      <c r="CX9" s="57">
        <f>IF(V9&lt;&gt;"SÍ","",IF(C9="PERIMETRAL",IF(CW9&gt;2,MAX(9,AD9*(0.8+DATOS!$C$14/14000)/(36+9*(AD9/MAX(AC9,1)))),IF(CW9&gt;0.2,MAX(13,AD9*(0.8+DATOS!$C$14/14000)/(36+5*(AD9/MAX(AC9,1))*(CW9-0.2))),MAX(13,AD9/IF(AL9&gt;0,30,33))))*IF(AND(CW9&gt;0.2,AL9&gt;0,DATOS!$C$105="NO"),1.1,1),Z9*100/DATOS!$C$145*(0.4+DATOS!$C$14/7000)))</f>
        <v>9</v>
      </c>
      <c r="CY9" s="61" t="str">
        <f>IF(V9&lt;&gt;"SÍ","",IF(W9&gt;=CX9-0.001,"CUMPLE",IF(C9="VOLADO","NO CUMPLE","CALCULAR FLECHA")))</f>
        <v>CUMPLE</v>
      </c>
      <c r="CZ9" s="60">
        <f>IF(V9&lt;&gt;"SÍ","",IF(C9="VOLADO",MIN(FLOOR(IF(ISNUMBER(Q9),Q9,Z9)*100-DATOS!$C$63,5),CEILING(MAX(IF((0.5*(0.9*W9/100*DATOS!$C$16)*IF(ISNUMBER(Q9),Q9,Z9)+AY9/IF(ISNUMBER(Q9),Q9,Z9))^2-4*(0.5*(0.9*W9/100*DATOS!$C$16))*AY9&lt;0,IF(ISNUMBER(Q9),Q9,Z9),MIN(IF(ISNUMBER(Q9),Q9,Z9),((0.5*(0.9*W9/100*DATOS!$C$16)*IF(ISNUMBER(Q9),Q9,Z9)+AY9/IF(ISNUMBER(Q9),Q9,Z9))-SQRT((0.5*(0.9*W9/100*DATOS!$C$16)*IF(ISNUMBER(Q9),Q9,Z9)+AY9/IF(ISNUMBER(Q9),Q9,Z9))^2-4*(0.5*(0.9*W9/100*DATOS!$C$16))*AY9))/(2*(0.5*(0.9*W9/100*DATOS!$C$16)))))*100+MAX(BU9,12*INDEX(TABLAS!$C$52:$C$58,MATCH(BR9,TABLAS!$B$52:$B$58,0)),IF(ISNUMBER(Q9),Q9,Z9)*100/16),IF(OR(AF9&lt;INDEX(TABLAS!$C$52:$C$58,MATCH(BR9,TABLAS!$B$52:$B$58,0)),BS9-INDEX(TABLAS!$C$52:$C$58,MATCH(BR9,TABLAS!$B$52:$B$58,0))&lt;2*INDEX(TABLAS!$C$52:$C$58,MATCH(BR9,TABLAS!$B$52:$B$58,0))),INDEX(TABLAS!$I$52:$I$58,MATCH(BR9,TABLAS!$B$52:$B$58,0)),INDEX(TABLAS!$F$52:$F$58,MATCH(BR9,TABLAS!$B$52:$B$58,0)))),5)),IF(((4*((AV9*AK9*Z9^2*1E-4/1000)+((MAX(AR9,AT9)*AK9*Z9^2*1E-4/1000)+(IF(AND(AR9&gt;0,AT9&gt;0),MIN(AR9,AT9),MAX(AR9,AT9))*AK9*Z9^2*1E-4/1000))/2)+AY9-(IF(AND(AR9&gt;0,AT9&gt;0),MIN(AR9,AT9),MAX(AR9,AT9))*AK9*Z9^2*1E-4/1000))^2-16*((AV9*AK9*Z9^2*1E-4/1000)+((MAX(AR9,AT9)*AK9*Z9^2*1E-4/1000)+(IF(AND(AR9&gt;0,AT9&gt;0),MIN(AR9,AT9),MAX(AR9,AT9))*AK9*Z9^2*1E-4/1000))/2)*AY9)&lt;0,CEILING(AC9,5),CEILING(MAX(AC9*((4*((AV9*AK9*Z9^2*1E-4/1000)+((MAX(AR9,AT9)*AK9*Z9^2*1E-4/1000)+(IF(AND(AR9&gt;0,AT9&gt;0),MIN(AR9,AT9),MAX(AR9,AT9))*AK9*Z9^2*1E-4/1000))/2)+AY9-(IF(AND(AR9&gt;0,AT9&gt;0),MIN(AR9,AT9),MAX(AR9,AT9))*AK9*Z9^2*1E-4/1000))-SQRT(MAX(0,((4*((AV9*AK9*Z9^2*1E-4/1000)+((MAX(AR9,AT9)*AK9*Z9^2*1E-4/1000)+(IF(AND(AR9&gt;0,AT9&gt;0),MIN(AR9,AT9),MAX(AR9,AT9))*AK9*Z9^2*1E-4/1000))/2)+AY9-(IF(AND(AR9&gt;0,AT9&gt;0),MIN(AR9,AT9),MAX(AR9,AT9))*AK9*Z9^2*1E-4/1000))^2-16*((AV9*AK9*Z9^2*1E-4/1000)+((MAX(AR9,AT9)*AK9*Z9^2*1E-4/1000)+(IF(AND(AR9&gt;0,AT9&gt;0),MIN(AR9,AT9),MAX(AR9,AT9))*AK9*Z9^2*1E-4/1000))/2)*AY9))))/(8*MAX(((AV9*AK9*Z9^2*1E-4/1000)+((MAX(AR9,AT9)*AK9*Z9^2*1E-4/1000)+(IF(AND(AR9&gt;0,AT9&gt;0),MIN(AR9,AT9),MAX(AR9,AT9))*AK9*Z9^2*1E-4/1000))/2),1E-9))+MAX(BU9,12*INDEX(TABLAS!$C$52:$C$58,MATCH(BR9,TABLAS!$B$52:$B$58,0)),AC9/16),IF(OR(AF9&lt;INDEX(TABLAS!$C$52:$C$58,MATCH(BR9,TABLAS!$B$52:$B$58,0)),BS9-INDEX(TABLAS!$C$52:$C$58,MATCH(BR9,TABLAS!$B$52:$B$58,0))&lt;2*INDEX(TABLAS!$C$52:$C$58,MATCH(BR9,TABLAS!$B$52:$B$58,0))),INDEX(TABLAS!$I$52:$I$58,MATCH(BR9,TABLAS!$B$52:$B$58,0)),INDEX(TABLAS!$F$52:$F$58,MATCH(BR9,TABLAS!$B$52:$B$58,0)))),5))))</f>
        <v>80</v>
      </c>
      <c r="DA9" s="60">
        <f>IF(V9&lt;&gt;"SÍ","",IF(C9="VOLADO",0,IF(((4*((AW9*AK9*Z9^2*1E-4/1000)+((MAX(AS9,AU9)*AK9*Z9^2*1E-4/1000)+(IF(AND(AS9&gt;0,AU9&gt;0),MIN(AS9,AU9),MAX(AS9,AU9))*AK9*Z9^2*1E-4/1000))/2)+BA9-(IF(AND(AS9&gt;0,AU9&gt;0),MIN(AS9,AU9),MAX(AS9,AU9))*AK9*Z9^2*1E-4/1000))^2-16*((AW9*AK9*Z9^2*1E-4/1000)+((MAX(AS9,AU9)*AK9*Z9^2*1E-4/1000)+(IF(AND(AS9&gt;0,AU9&gt;0),MIN(AS9,AU9),MAX(AS9,AU9))*AK9*Z9^2*1E-4/1000))/2)*BA9)&lt;0,CEILING(AD9,5),CEILING(MAX(AD9*((4*((AW9*AK9*Z9^2*1E-4/1000)+((MAX(AS9,AU9)*AK9*Z9^2*1E-4/1000)+(IF(AND(AS9&gt;0,AU9&gt;0),MIN(AS9,AU9),MAX(AS9,AU9))*AK9*Z9^2*1E-4/1000))/2)+BA9-(IF(AND(AS9&gt;0,AU9&gt;0),MIN(AS9,AU9),MAX(AS9,AU9))*AK9*Z9^2*1E-4/1000))-SQRT(MAX(0,((4*((AW9*AK9*Z9^2*1E-4/1000)+((MAX(AS9,AU9)*AK9*Z9^2*1E-4/1000)+(IF(AND(AS9&gt;0,AU9&gt;0),MIN(AS9,AU9),MAX(AS9,AU9))*AK9*Z9^2*1E-4/1000))/2)+BA9-(IF(AND(AS9&gt;0,AU9&gt;0),MIN(AS9,AU9),MAX(AS9,AU9))*AK9*Z9^2*1E-4/1000))^2-16*((AW9*AK9*Z9^2*1E-4/1000)+((MAX(AS9,AU9)*AK9*Z9^2*1E-4/1000)+(IF(AND(AS9&gt;0,AU9&gt;0),MIN(AS9,AU9),MAX(AS9,AU9))*AK9*Z9^2*1E-4/1000))/2)*BA9))))/(8*MAX(((AW9*AK9*Z9^2*1E-4/1000)+((MAX(AS9,AU9)*AK9*Z9^2*1E-4/1000)+(IF(AND(AS9&gt;0,AU9&gt;0),MIN(AS9,AU9),MAX(AS9,AU9))*AK9*Z9^2*1E-4/1000))/2),1E-9))+MAX(CO9,12*INDEX(TABLAS!$C$52:$C$58,MATCH(CL9,TABLAS!$B$52:$B$58,0)),AD9/16),IF(OR(AF9&lt;INDEX(TABLAS!$C$52:$C$58,MATCH(CL9,TABLAS!$B$52:$B$58,0)),CM9-INDEX(TABLAS!$C$52:$C$58,MATCH(CL9,TABLAS!$B$52:$B$58,0))&lt;2*INDEX(TABLAS!$C$52:$C$58,MATCH(CL9,TABLAS!$B$52:$B$58,0))),INDEX(TABLAS!$I$52:$I$58,MATCH(CL9,TABLAS!$B$52:$B$58,0)),INDEX(TABLAS!$F$52:$F$58,MATCH(CL9,TABLAS!$B$52:$B$58,0)))),5))))</f>
        <v>115</v>
      </c>
      <c r="DB9" s="55" t="str">
        <f>IF(V9&lt;&gt;"SÍ","",IF(AND(C9="PERIMETRAL",AL9-AM9&gt;0,AT9&gt;0),"SÍ","NO"))</f>
        <v>NO</v>
      </c>
      <c r="DC9" s="55" t="str">
        <f>IF(V9&lt;&gt;"SÍ","",IF(AND(C9="PERIMETRAL",AM9&gt;0,AU9&gt;0),"SÍ","NO"))</f>
        <v>NO</v>
      </c>
      <c r="DD9" s="63" t="str">
        <f>IF(V9&lt;&gt;"SÍ","",IF(OR(C9="VOLADO",AL9=0),"—",IF(AND(AND(INDEX(TABLAS!$G$52:$G$58,MATCH(MAX(BR9,CL9),TABLAS!$B$52:$B$58,0))&lt;=(DATOS!$C$75-DATOS!$C$63),(DATOS!$C$75-DATOS!$C$63)&gt;=15),8*INDEX(TABLAS!$C$52:$C$58,MATCH(MAX(BH9,CB9,BR9,CL9),TABLAS!$B$52:$B$58,0))&lt;=DATOS!$C$76-2*DATOS!$C$63),"CUMPLE (gancho de 180°)",IF(AND(INDEX(TABLAS!$G$52:$G$58,MATCH(MAX(BR9,CL9),TABLAS!$B$52:$B$58,0))&lt;=(DATOS!$C$75-DATOS!$C$63),(DATOS!$C$75-DATOS!$C$63)&gt;=15),"NO CUMPLE: el gancho de 180° (8·d_b) no cabe en el peralte de la dala de borde","NO CUMPLE: dala de borde ≥ "&amp;TEXT(CEILING(MAX(INDEX(TABLAS!$G$52:$G$58,MATCH(MAX(BR9,CL9),TABLAS!$B$52:$B$58,0)),15)+DATOS!$C$63,5),"0")&amp;" cm de ancho"&amp;IF(8*INDEX(TABLAS!$C$52:$C$58,MATCH(MAX(BH9,CB9,BR9,CL9),TABLAS!$B$52:$B$58,0))&lt;=DATOS!$C$76-2*DATOS!$C$63,""," y más peralte para el gancho")))))</f>
        <v>—</v>
      </c>
      <c r="DE9" s="69" t="str">
        <f>IF(V9&lt;&gt;"SÍ","",IF(BI9=0,"NO ALCANZA","No. "&amp;BH9&amp;" @ "&amp;BI9&amp;" cm"&amp;IF(C9="VOLADO"," (temperatura)","")))</f>
        <v>No. 3 @ 22.5 cm</v>
      </c>
      <c r="DF9" s="69" t="str">
        <f>IF(V9&lt;&gt;"SÍ","",IF(BS9=0,"NO ALCANZA",IF(C9="VOLADO","No. "&amp;BR9&amp;" @ "&amp;BS9&amp;" cm"&amp;" de la orilla al respaldo ("&amp;IF(CZ9&gt;=FLOOR(100*IF(ISNUMBER(Q9),Q9,Z9)-DATOS!$C$63,5),"hasta su apoyo lejano, con gancho","entran "&amp;TEXT(CZ9/100,"0.00")&amp;" m desde el paño")&amp;")","Bastones "&amp;"No. "&amp;BR9&amp;" @ "&amp;BS9&amp;" cm"&amp;", L = "&amp;TEXT(CZ9/100,"0.00")&amp;" m desde el paño")))</f>
        <v>Bastones No. 3 @ 22.5 cm, L = 0.80 m desde el paño</v>
      </c>
      <c r="DG9" s="69" t="str">
        <f>IF(V9&lt;&gt;"SÍ","",IF(CC9=0,"NO ALCANZA","No. "&amp;CB9&amp;" @ "&amp;CC9&amp;" cm"&amp;IF(C9="VOLADO"," (repartición)","")))</f>
        <v>No. 3 @ 22.5 cm</v>
      </c>
      <c r="DH9" s="69" t="str">
        <f>IF(V9&lt;&gt;"SÍ","",IF(CM9=0,"NO ALCANZA",IF(C9="VOLADO","No. "&amp;CL9&amp;" @ "&amp;CM9&amp;" cm"&amp;" (repartición)","Bastones "&amp;"No. "&amp;CL9&amp;" @ "&amp;CM9&amp;" cm"&amp;", L = "&amp;TEXT(DA9/100,"0.00")&amp;" m desde el paño")))</f>
        <v>Bastones No. 3 @ 22.5 cm, L = 1.15 m desde el paño</v>
      </c>
      <c r="DI9" s="67" t="str">
        <f>IF(B9="","",IF(V9&lt;&gt;"SÍ","FALTAN DATOS: tipo, a_x, a_y, destino y, en volados, L_b",IF(L9="NO MONOLÍTICO (caso II)","FUERA DE ALCANCE: caso II no transcrito",IF(AND(C9="VOLADO",X9="?"),"REVISAR: el volado lleva UN solo borde CONTINUO (el empotrado)",IF(AND(MAX(BM9,BW9,CG9,CQ9)&lt;=1,NOT(OR(BI9&lt;DATOS!$C$143,BS9&lt;DATOS!$C$143,CC9&lt;DATOS!$C$143,CM9&lt;DATOS!$C$143)),NOT(OR(AND(ISNUMBER(BN9),BN9&lt;0.005),AND(ISNUMBER(BX9),BX9&lt;0.005),AND(ISNUMBER(CH9),CH9&lt;0.005),AND(ISNUMBER(CR9),CR9&lt;0.005))),CV9="CUMPLE",CY9="CUMPLE"),"CUMPLE"&amp;IF(LEFT(BB9,5)="FUERA"," · fuera de 3.4.2.1 c)","")&amp;IF(LEFT(DD9,2)="NO"," · REVISAR anclaje en borde discontinuo",""),IF(AND(MAX(BM9,BW9,CG9,CQ9)&lt;=1,NOT(OR(BI9&lt;DATOS!$C$143,BS9&lt;DATOS!$C$143,CC9&lt;DATOS!$C$143,CM9&lt;DATOS!$C$143)),NOT(OR(AND(ISNUMBER(BN9),BN9&lt;0.005),AND(ISNUMBER(BX9),BX9&lt;0.005),AND(ISNUMBER(CH9),CH9&lt;0.005),AND(ISNUMBER(CR9),CR9&lt;0.005))),CV9="CUMPLE",CY9="CALCULAR FLECHA"),"REVISAR: calcular flecha (h &lt; h mín.)"&amp;IF(LEFT(BB9,5)="FUERA"," · fuera de 3.4.2.1 c)","")&amp;IF(LEFT(DD9,2)="NO"," · REVISAR anclaje en borde discontinuo",""),"NO CUMPLE: "&amp;IF(MAX(BM9,BW9,CG9,CQ9)&gt;1,"flexión ","")&amp;IF(OR(BI9&lt;DATOS!$C$143,BS9&lt;DATOS!$C$143,CC9&lt;DATOS!$C$143,CM9&lt;DATOS!$C$143),"separación &lt; mínima ","")&amp;IF(OR(AND(ISNUMBER(BN9),BN9&lt;0.005),AND(ISNUMBER(BX9),BX9&lt;0.005),AND(ISNUMBER(CH9),CH9&lt;0.005),AND(ISNUMBER(CR9),CR9&lt;0.005)),"ε_t &lt; 0.005 ","")&amp;IF(CV9&lt;&gt;"CUMPLE","cortante ","")&amp;IF(CY9="NO CUMPLE","peralte","")))))))</f>
        <v>CUMPLE</v>
      </c>
      <c r="DJ9" s="70" t="str">
        <f>IF(V9&lt;&gt;"SÍ","",IF(LEFT(B9,7)="EJEMPLO","EJEMPLO de tablero típico: bórralo o sobrescríbelo. ","")&amp;IF(C9="VOLADO","Volado de "&amp;TEXT(Z9,"0.00")&amp;" m empotrado en el borde "&amp;LOWER(X9)&amp;IF(N(P9)&gt;0,", con "&amp;TEXT(P9,"0.0")&amp;" kg/m en la orilla","")&amp;". Lecho inferior con r_ext. Si la orilla carga pretil u otro elemento frágil, calcula la flecha (13.4). El acero superior entra al respaldo de "&amp;TEXT(IF(ISNUMBER(Q9),Q9,Z9),"0.00")&amp;" m"&amp;" hasta pasar M = 0 con 0.9·PP sin carga viva; si ahí no se anula, llega al apoyo lejano y se ancla con gancho. ","")&amp;IF(AND(C9="VOLADO",(0.9*W9/100*DATOS!$C$16*IF(ISNUMBER(Q9),Q9,Z9)/2-AY9/IF(ISNUMBER(Q9),Q9,Z9))&lt;0),"Con 0.9·PP y sin carga viva el apoyo lejano del respaldo levanta (R = "&amp;TEXT(-(0.9*W9/100*DATOS!$C$16*IF(ISNUMBER(Q9),Q9,Z9)/2-AY9/IF(ISNUMBER(Q9),Q9,Z9)),"0.00")&amp;" t/m): ancla ahí el acero con gancho y revisa ese apoyo a tensión. ","")&amp;IF(LEFT(BB9,5)="FUERA","El M⁻ del vecino difiere más de 50 % (3.4.2.1 c): distribuye el desequilibrio (3.4.3.1) o confirma con un modelo; se arma con el mayor. ","")&amp;IF(OR(DB9="SÍ",DC9="SÍ"),"Bastones también en los bordes discontinuos (M⁻ de tabla), con gancho. ","")&amp;IF(LEFT(DD9,2)="NO","Anclaje: "&amp;DD9&amp;" (6.7.7.4.1.1). ","")&amp;IF(AND(C9="PERIMETRAL",AM9&gt;=1,AL9-AM9&gt;=1),"Esquinas exteriores sobre muro: refuerzo de esquina arriba y abajo en L_largo/5 (6.7.7.3.1). ",""))</f>
        <v>EJEMPLO de tablero típico: bórralo o sobrescríbelo. </v>
      </c>
    </row>
    <row r="10" ht="33" customHeight="1">
      <c r="A10" s="50">
        <f>IF(B10="",0,1)+A9</f>
        <v>2</v>
      </c>
      <c r="B10" s="29" t="inlineStr">
        <is>
          <t>EJEMPLO M-2 (esquina 2.0 × 3.4)</t>
        </is>
      </c>
      <c r="C10" s="51" t="inlineStr">
        <is>
          <t>PERIMETRAL</t>
        </is>
      </c>
      <c r="D10" s="29" t="inlineStr">
        <is>
          <t>HABITACIÓN</t>
        </is>
      </c>
      <c r="E10" s="52" t="n">
        <v>2</v>
      </c>
      <c r="F10" s="52" t="n">
        <v>3.4</v>
      </c>
      <c r="G10" s="51" t="inlineStr">
        <is>
          <t>DISCONTINUO</t>
        </is>
      </c>
      <c r="H10" s="51" t="inlineStr">
        <is>
          <t>CONTINUO</t>
        </is>
      </c>
      <c r="I10" s="51" t="inlineStr">
        <is>
          <t>DISCONTINUO</t>
        </is>
      </c>
      <c r="J10" s="51" t="inlineStr">
        <is>
          <t>CONTINUO</t>
        </is>
      </c>
      <c r="K10" s="51" t="inlineStr">
        <is>
          <t>AUTO</t>
        </is>
      </c>
      <c r="L10" s="51" t="inlineStr">
        <is>
          <t>MONOLÍTICO (caso I)</t>
        </is>
      </c>
      <c r="M10" s="54" t="n">
        <v>12</v>
      </c>
      <c r="N10" s="53" t="n">
        <v>160</v>
      </c>
      <c r="O10" s="53" t="n"/>
      <c r="P10" s="54" t="n"/>
      <c r="Q10" s="52" t="n"/>
      <c r="R10" s="54" t="n"/>
      <c r="S10" s="53" t="n"/>
      <c r="T10" s="52" t="n"/>
      <c r="U10" s="52" t="n"/>
      <c r="V10" s="55" t="str">
        <f>IF(B10="","",IF(AND(OR(C10="PERIMETRAL",C10="VOLADO"),ISNUMBER(E10),ISNUMBER(F10),E10&gt;0,F10&gt;0,OR(ISNUMBER(O10),ISNUMBER(MATCH(D10,DATOS!$B$46:$B$58,0))),OR(C10&lt;&gt;"VOLADO",N(Q10)&gt;0)),"SÍ","NO"))</f>
        <v>SÍ</v>
      </c>
      <c r="W10" s="57">
        <f>IF(V10&lt;&gt;"SÍ","",IF(ISNUMBER(M10),M10,DATOS!$C$137))</f>
        <v>12</v>
      </c>
      <c r="X10" s="55" t="str">
        <f>IF(V10&lt;&gt;"SÍ","",IF(C10&lt;&gt;"VOLADO","—",IF(COUNTIF(G10:J10,"CONTINUO")&lt;&gt;1,"?",IF(G10="CONTINUO","INFERIOR",IF(H10="CONTINUO","SUPERIOR",IF(I10="CONTINUO","IZQUIERDO","DERECHO"))))))</f>
        <v>—</v>
      </c>
      <c r="Y10" s="55" t="str">
        <f>IF(V10&lt;&gt;"SÍ","",IF(C10="VOLADO",IF(OR(X10="IZQUIERDO",X10="DERECHO"),"X","Y"),IF(E10&lt;=F10,"X","Y")))</f>
        <v>X</v>
      </c>
      <c r="Z10" s="56">
        <f>IF(V10&lt;&gt;"SÍ","",IF(C10="VOLADO",IF(Y10="X",E10,F10),MIN(E10,F10)))</f>
        <v>2</v>
      </c>
      <c r="AA10" s="56">
        <f>IF(V10&lt;&gt;"SÍ","",IF(C10="VOLADO",IF(Y10="X",F10,E10),MAX(E10,F10)))</f>
        <v>3.4</v>
      </c>
      <c r="AB10" s="56">
        <f>IF(V10&lt;&gt;"SÍ","",MIN(Z10,AA10)/MAX(Z10,AA10))</f>
        <v>0.588235294117647</v>
      </c>
      <c r="AC10" s="57">
        <f>IF(V10&lt;&gt;"SÍ","",MAX(1,Z10*100-IF(C10="VOLADO",DATOS!$C$87/2,DATOS!$C$87)))</f>
        <v>185</v>
      </c>
      <c r="AD10" s="57">
        <f>IF(V10&lt;&gt;"SÍ","",MAX(1,AA10*100-DATOS!$C$87))</f>
        <v>325</v>
      </c>
      <c r="AE10" s="57">
        <f>IF(V10&lt;&gt;"SÍ","",IF(C10="VOLADO",DATOS!$C$64,DATOS!$C$62))</f>
        <v>2</v>
      </c>
      <c r="AF10" s="57">
        <f>IF(V10&lt;&gt;"SÍ","",IF(OR(AND(AG10="SÍ",DATOS!$C$66="SÍ"),AND(C10="VOLADO",DATOS!$C$67="SÍ")),DATOS!$C$64,DATOS!$C$62))</f>
        <v>2</v>
      </c>
      <c r="AG10" s="55" t="str">
        <f>IF(V10&lt;&gt;"SÍ","",IFERROR(INDEX(DATOS!$D$46:$D$58,MATCH(D10,DATOS!$B$46:$B$58,0)),"NO"))</f>
        <v>NO</v>
      </c>
      <c r="AH10" s="59">
        <f>IF(V10&lt;&gt;"SÍ","",IF(ISNUMBER(O10),O10,IFERROR(INDEX(DATOS!$C$46:$C$58,MATCH(D10,DATOS!$B$46:$B$58,0)),0)))</f>
        <v>190</v>
      </c>
      <c r="AI10" s="59">
        <f>IF(V10&lt;&gt;"SÍ","",W10/100*DATOS!$C$16*1000+DATOS!$C$37+DATOS!$C$38)</f>
        <v>328</v>
      </c>
      <c r="AJ10" s="59">
        <f>IF(V10&lt;&gt;"SÍ","",AI10+N(N10))</f>
        <v>488</v>
      </c>
      <c r="AK10" s="60">
        <f>IF(V10&lt;&gt;"SÍ","",MAX(DATOS!$C$26*AJ10+DATOS!$C$27*AH10,IF(AG10="SÍ",DATOS!$C$28*(AJ10+DATOS!$C$41),0)))</f>
        <v>919.4</v>
      </c>
      <c r="AL10" s="59">
        <f>IF(V10&lt;&gt;"SÍ","",(G10="DISCONTINUO")+(H10="DISCONTINUO")+(I10="DISCONTINUO")+(J10="DISCONTINUO"))</f>
        <v>2</v>
      </c>
      <c r="AM10" s="59">
        <f>IF(V10&lt;&gt;"SÍ","",IF(Y10="X",(G10="DISCONTINUO")+(H10="DISCONTINUO"),(I10="DISCONTINUO")+(J10="DISCONTINUO")))</f>
        <v>1</v>
      </c>
      <c r="AN10" s="55" t="str">
        <f>IF(V10&lt;&gt;"SÍ","",IF(AL10=0,"INTERIOR",IF(AL10=1,IF(AM10=1,"BORDE-CORTO","BORDE-LARGO"),IF(AL10=2,IF(AM10=1,"ESQUINA",IF(AM10=2,"EXTREMO-LARGO","EXTREMO-CORTO")),IF(AL10=3,IF(AM10=2,"EXTREMO-LARGO","EXTREMO-CORTO"),"AISLADO")))))</f>
        <v>ESQUINA</v>
      </c>
      <c r="AO10" s="61" t="str">
        <f>IF(V10&lt;&gt;"SÍ","",IF(OR(K10="",K10="AUTO"),AN10,K10))</f>
        <v>ESQUINA</v>
      </c>
      <c r="AP10" s="59">
        <f>IF(V10&lt;&gt;"SÍ","",MATCH(AB10,TABLAS!$D$5:$J$5,1))</f>
        <v>2</v>
      </c>
      <c r="AQ10" s="58">
        <f>IF(V10&lt;&gt;"SÍ","",IF(AP10&gt;=7,0,(AB10-INDEX(TABLAS!$D$5:$J$5,AP10))/(INDEX(TABLAS!$D$5:$J$5,AP10+1)-INDEX(TABLAS!$D$5:$J$5,AP10))))</f>
        <v>0.882352941176471</v>
      </c>
      <c r="AR10" s="59">
        <f>IF(V10&lt;&gt;"SÍ","",INDEX(TABLAS!$D$6:$J$47,MATCH(AO10&amp;"|NIC",TABLAS!$B$6:$B$47,0),AP10)+AQ10*(INDEX(TABLAS!$D$6:$J$47,MATCH(AO10&amp;"|NIC",TABLAS!$B$6:$B$47,0),MIN(AP10+1,7))-INDEX(TABLAS!$D$6:$J$47,MATCH(AO10&amp;"|NIC",TABLAS!$B$6:$B$47,0),AP10)))</f>
        <v>1085.52941176471</v>
      </c>
      <c r="AS10" s="59">
        <f>IF(V10&lt;&gt;"SÍ","",INDEX(TABLAS!$D$6:$J$47,MATCH(AO10&amp;"|NIL",TABLAS!$B$6:$B$47,0),AP10)+AQ10*(INDEX(TABLAS!$D$6:$J$47,MATCH(AO10&amp;"|NIL",TABLAS!$B$6:$B$47,0),MIN(AP10+1,7))-INDEX(TABLAS!$D$6:$J$47,MATCH(AO10&amp;"|NIL",TABLAS!$B$6:$B$47,0),AP10)))</f>
        <v>549.117647058824</v>
      </c>
      <c r="AT10" s="59">
        <f>IF(V10&lt;&gt;"SÍ","",INDEX(TABLAS!$D$6:$J$47,MATCH(AO10&amp;"|NDC",TABLAS!$B$6:$B$47,0),AP10)+AQ10*(INDEX(TABLAS!$D$6:$J$47,MATCH(AO10&amp;"|NDC",TABLAS!$B$6:$B$47,0),MIN(AP10+1,7))-INDEX(TABLAS!$D$6:$J$47,MATCH(AO10&amp;"|NDC",TABLAS!$B$6:$B$47,0),AP10)))</f>
        <v>325.823529411765</v>
      </c>
      <c r="AU10" s="59">
        <f>IF(V10&lt;&gt;"SÍ","",INDEX(TABLAS!$D$6:$J$47,MATCH(AO10&amp;"|NDL",TABLAS!$B$6:$B$47,0),AP10)+AQ10*(INDEX(TABLAS!$D$6:$J$47,MATCH(AO10&amp;"|NDL",TABLAS!$B$6:$B$47,0),MIN(AP10+1,7))-INDEX(TABLAS!$D$6:$J$47,MATCH(AO10&amp;"|NDL",TABLAS!$B$6:$B$47,0),AP10)))</f>
        <v>321.529411764706</v>
      </c>
      <c r="AV10" s="59">
        <f>IF(V10&lt;&gt;"SÍ","",INDEX(TABLAS!$D$6:$J$47,MATCH(AO10&amp;"|PC",TABLAS!$B$6:$B$47,0),AP10)+AQ10*(INDEX(TABLAS!$D$6:$J$47,MATCH(AO10&amp;"|PC",TABLAS!$B$6:$B$47,0),MIN(AP10+1,7))-INDEX(TABLAS!$D$6:$J$47,MATCH(AO10&amp;"|PC",TABLAS!$B$6:$B$47,0),AP10)))</f>
        <v>438.764705882353</v>
      </c>
      <c r="AW10" s="59">
        <f>IF(V10&lt;&gt;"SÍ","",INDEX(TABLAS!$D$6:$J$47,MATCH(AO10&amp;"|PL",TABLAS!$B$6:$B$47,0),AP10)+AQ10*(INDEX(TABLAS!$D$6:$J$47,MATCH(AO10&amp;"|PL",TABLAS!$B$6:$B$47,0),MIN(AP10+1,7))-INDEX(TABLAS!$D$6:$J$47,MATCH(AO10&amp;"|PL",TABLAS!$B$6:$B$47,0),AP10)))</f>
        <v>294.470588235294</v>
      </c>
      <c r="AX10" s="56">
        <f>IF(V10&lt;&gt;"SÍ","",IF(C10="PERIMETRAL",AV10*AK10*Z10^2*1E-4/1000,0))</f>
        <v>0.161360108235294</v>
      </c>
      <c r="AY10" s="62">
        <f>IF(V10&lt;&gt;"SÍ","",IF(C10="PERIMETRAL",MAX(MAX(AR10,AT10)*AK10*Z10^2*1E-4/1000,N(T10)),(AK10*(AC10/100)^2/2+DATOS!$C$26*N(P10)*AC10/100)/1000))</f>
        <v>0.399214296470588</v>
      </c>
      <c r="AZ10" s="56">
        <f>IF(V10&lt;&gt;"SÍ","",IF(C10="PERIMETRAL",AW10*AK10*Z10^2*1E-4/1000,0))</f>
        <v>0.108294503529412</v>
      </c>
      <c r="BA10" s="56">
        <f>IF(V10&lt;&gt;"SÍ","",IF(C10="PERIMETRAL",MAX(MAX(AS10,AU10)*AK10*Z10^2*1E-4/1000,N(U10)),0))</f>
        <v>0.201943505882353</v>
      </c>
      <c r="BB10" s="63" t="str">
        <f>IF(V10&lt;&gt;"SÍ","",IF(C10&lt;&gt;"PERIMETRAL","—",IF(AND(N(T10)=0,N(U10)=0),"— (sin M⁻ del vecino)",IF(OR(AND(N(T10)&gt;0,ABS(MAX(AR10,AT10)*AK10*Z10^2*1E-4/1000-N(T10))&gt;0.5*MIN(MAX(AR10,AT10)*AK10*Z10^2*1E-4/1000,N(T10))),AND(N(U10)&gt;0,ABS(MAX(AS10,AU10)*AK10*Z10^2*1E-4/1000-N(U10))&gt;0.5*MIN(MAX(AS10,AU10)*AK10*Z10^2*1E-4/1000,N(U10)))),"FUERA: difieren &gt; 50 %"&amp;IF(AND(N(T10)&gt;0,ABS(MAX(AR10,AT10)*AK10*Z10^2*1E-4/1000-N(T10))&gt;0.5*MIN(MAX(AR10,AT10)*AK10*Z10^2*1E-4/1000,N(T10)))," ‖ corto","")&amp;IF(AND(N(U10)&gt;0,ABS(MAX(AS10,AU10)*AK10*Z10^2*1E-4/1000-N(U10))&gt;0.5*MIN(MAX(AS10,AU10)*AK10*Z10^2*1E-4/1000,N(U10)))," ‖ largo",""),"CUMPLE"))))</f>
        <v>— (sin M⁻ del vecino)</v>
      </c>
      <c r="BC10" s="58">
        <f>IF(V10&lt;&gt;"SÍ","",DATOS!$C$139*100*W10)</f>
        <v>2.16</v>
      </c>
      <c r="BD10" s="57">
        <f>IF(V10&lt;&gt;"SÍ","",MIN(IF(C10="VOLADO",DATOS!$C$141,DATOS!$C$140)*W10,DATOS!$C$142))</f>
        <v>24</v>
      </c>
      <c r="BE10" s="58">
        <f>IF(V10&lt;&gt;"SÍ","",(W10-AE10-INDEX(TABLAS!$C$52:$C$58,MATCH(IF(ISNUMBER(S10),S10,DATOS!$C$138),TABLAS!$B$52:$B$58,0))/2))</f>
        <v>9.525</v>
      </c>
      <c r="BF10" s="58">
        <f>IF(V10&lt;&gt;"SÍ","",IF(AX10&lt;=0,0,IF((1-2*AX10*1E5/(DATOS!$C$29*100*BE10^2*DATOS!$C$21))&lt;0,-1,IF((1-SQRT((1-2*AX10*1E5/(DATOS!$C$29*100*BE10^2*DATOS!$C$21))))*DATOS!$C$21*100*BE10/DATOS!$C$14&gt;DATOS!$C$102*100*BE10,-1,(1-SQRT((1-2*AX10*1E5/(DATOS!$C$29*100*BE10^2*DATOS!$C$21))))*DATOS!$C$21*100*BE10/DATOS!$C$14))))</f>
        <v>0.45026999662764</v>
      </c>
      <c r="BG10" s="58">
        <f>IF(V10&lt;&gt;"SÍ","",IF(BF10&lt;0,-1,MAX(BF10,BC10)))</f>
        <v>2.16</v>
      </c>
      <c r="BH10" s="64">
        <f>IF(V10&lt;&gt;"SÍ","",IF(AND(BG10&gt;0,FLOOR(MIN(BD10,100*INDEX(TABLAS!$D$52:$D$58,MIN(MATCH(IF(ISNUMBER(S10),S10,DATOS!$C$138),TABLAS!$B$52:$B$58,0)+0,7))/MAX(BG10,0.0001)),DATOS!$C$144)&gt;=DATOS!$C$143),INDEX(TABLAS!$B$52:$B$58,MIN(MATCH(IF(ISNUMBER(S10),S10,DATOS!$C$138),TABLAS!$B$52:$B$58,0)+0,7)),IF(AND(BG10&gt;0,FLOOR(MIN(BD10,100*INDEX(TABLAS!$D$52:$D$58,MIN(MATCH(IF(ISNUMBER(S10),S10,DATOS!$C$138),TABLAS!$B$52:$B$58,0)+1,7))/MAX(BG10,0.0001)),DATOS!$C$144)&gt;=DATOS!$C$143),INDEX(TABLAS!$B$52:$B$58,MIN(MATCH(IF(ISNUMBER(S10),S10,DATOS!$C$138),TABLAS!$B$52:$B$58,0)+1,7)),IF(AND(BG10&gt;0,FLOOR(MIN(BD10,100*INDEX(TABLAS!$D$52:$D$58,MIN(MATCH(IF(ISNUMBER(S10),S10,DATOS!$C$138),TABLAS!$B$52:$B$58,0)+2,7))/MAX(BG10,0.0001)),DATOS!$C$144)&gt;=DATOS!$C$143),INDEX(TABLAS!$B$52:$B$58,MIN(MATCH(IF(ISNUMBER(S10),S10,DATOS!$C$138),TABLAS!$B$52:$B$58,0)+2,7)),IF(AND(BG10&gt;0,FLOOR(MIN(BD10,100*INDEX(TABLAS!$D$52:$D$58,MIN(MATCH(IF(ISNUMBER(S10),S10,DATOS!$C$138),TABLAS!$B$52:$B$58,0)+3,7))/MAX(BG10,0.0001)),DATOS!$C$144)&gt;=DATOS!$C$143),INDEX(TABLAS!$B$52:$B$58,MIN(MATCH(IF(ISNUMBER(S10),S10,DATOS!$C$138),TABLAS!$B$52:$B$58,0)+3,7)),IF(AND(BG10&gt;0,FLOOR(MIN(BD10,100*INDEX(TABLAS!$D$52:$D$58,MIN(MATCH(IF(ISNUMBER(S10),S10,DATOS!$C$138),TABLAS!$B$52:$B$58,0)+4,7))/MAX(BG10,0.0001)),DATOS!$C$144)&gt;=DATOS!$C$143),INDEX(TABLAS!$B$52:$B$58,MIN(MATCH(IF(ISNUMBER(S10),S10,DATOS!$C$138),TABLAS!$B$52:$B$58,0)+4,7)),INDEX(TABLAS!$B$52:$B$58,7)))))))</f>
        <v>3</v>
      </c>
      <c r="BI10" s="71">
        <f>IF(V10&lt;&gt;"SÍ","",IF(BG10&lt;=0,0,FLOOR(MIN(BD10,100*INDEX(TABLAS!$D$52:$D$58,MATCH(BH10,TABLAS!$B$52:$B$58,0))/BG10),DATOS!$C$144)))</f>
        <v>22.5</v>
      </c>
      <c r="BJ10" s="58">
        <f>IF(V10&lt;&gt;"SÍ","",IF(BI10&lt;=0,0,INDEX(TABLAS!$D$52:$D$58,MATCH(BH10,TABLAS!$B$52:$B$58,0))*100/BI10))</f>
        <v>3.15555555555556</v>
      </c>
      <c r="BK10" s="58">
        <f>IF(V10&lt;&gt;"SÍ","",W10-AE10-INDEX(TABLAS!$C$52:$C$58,MATCH(BH10,TABLAS!$B$52:$B$58,0))/2)</f>
        <v>9.525</v>
      </c>
      <c r="BL10" s="56">
        <f>IF(V10&lt;&gt;"SÍ","",IF(BJ10=0,0,DATOS!$C$29*BJ10*DATOS!$C$14*(BK10-BJ10*DATOS!$C$14/(DATOS!$C$21*100)/2)/1E5))</f>
        <v>1.09894535058824</v>
      </c>
      <c r="BM10" s="65">
        <f>IF(V10&lt;&gt;"SÍ","",IF(BG10&lt;0,9.99,IF(BL10&gt;0,AX10/BL10,0)))</f>
        <v>0.146831785719756</v>
      </c>
      <c r="BN10" s="66">
        <f>IF(V10&lt;&gt;"SÍ","",IF(BJ10=0,"—",0.003*(BK10-(BJ10*DATOS!$C$14/(DATOS!$C$21*100)/DATOS!$C$22))/(BJ10*DATOS!$C$14/(DATOS!$C$21*100)/DATOS!$C$22)))</f>
        <v>0.0359438584632797</v>
      </c>
      <c r="BO10" s="58">
        <f>IF(V10&lt;&gt;"SÍ","",((W10-AF10-INDEX(TABLAS!$C$52:$C$58,MATCH(IF(ISNUMBER(S10),S10,DATOS!$C$138),TABLAS!$B$52:$B$58,0))/2)-IF(AND((W10-AF10-INDEX(TABLAS!$C$52:$C$58,MATCH(IF(ISNUMBER(S10),S10,DATOS!$C$138),TABLAS!$B$52:$B$58,0))/2)&lt;=20,DATOS!$C$65&lt;&gt;"SÍ"),2,0)))</f>
        <v>9.525</v>
      </c>
      <c r="BP10" s="58">
        <f>IF(V10&lt;&gt;"SÍ","",IF(AY10&lt;=0,0,IF((1-2*AY10*1E5/(DATOS!$C$29*100*BO10^2*DATOS!$C$21))&lt;0,-1,IF((1-SQRT((1-2*AY10*1E5/(DATOS!$C$29*100*BO10^2*DATOS!$C$21))))*DATOS!$C$21*100*BO10/DATOS!$C$14&gt;DATOS!$C$102*100*BO10,-1,(1-SQRT((1-2*AY10*1E5/(DATOS!$C$29*100*BO10^2*DATOS!$C$21))))*DATOS!$C$21*100*BO10/DATOS!$C$14))))</f>
        <v>1.12184759467128</v>
      </c>
      <c r="BQ10" s="58">
        <f>IF(V10&lt;&gt;"SÍ","",IF(BP10&lt;0,-1,MAX(BP10,BC10)))</f>
        <v>2.16</v>
      </c>
      <c r="BR10" s="64">
        <f>IF(V10&lt;&gt;"SÍ","",IF(AND(BQ10&gt;0,FLOOR(MIN(BD10,100*INDEX(TABLAS!$D$52:$D$58,MIN(MATCH(IF(ISNUMBER(S10),S10,DATOS!$C$138),TABLAS!$B$52:$B$58,0)+0,7))/MAX(BQ10,0.0001)),DATOS!$C$144)&gt;=DATOS!$C$143),INDEX(TABLAS!$B$52:$B$58,MIN(MATCH(IF(ISNUMBER(S10),S10,DATOS!$C$138),TABLAS!$B$52:$B$58,0)+0,7)),IF(AND(BQ10&gt;0,FLOOR(MIN(BD10,100*INDEX(TABLAS!$D$52:$D$58,MIN(MATCH(IF(ISNUMBER(S10),S10,DATOS!$C$138),TABLAS!$B$52:$B$58,0)+1,7))/MAX(BQ10,0.0001)),DATOS!$C$144)&gt;=DATOS!$C$143),INDEX(TABLAS!$B$52:$B$58,MIN(MATCH(IF(ISNUMBER(S10),S10,DATOS!$C$138),TABLAS!$B$52:$B$58,0)+1,7)),IF(AND(BQ10&gt;0,FLOOR(MIN(BD10,100*INDEX(TABLAS!$D$52:$D$58,MIN(MATCH(IF(ISNUMBER(S10),S10,DATOS!$C$138),TABLAS!$B$52:$B$58,0)+2,7))/MAX(BQ10,0.0001)),DATOS!$C$144)&gt;=DATOS!$C$143),INDEX(TABLAS!$B$52:$B$58,MIN(MATCH(IF(ISNUMBER(S10),S10,DATOS!$C$138),TABLAS!$B$52:$B$58,0)+2,7)),IF(AND(BQ10&gt;0,FLOOR(MIN(BD10,100*INDEX(TABLAS!$D$52:$D$58,MIN(MATCH(IF(ISNUMBER(S10),S10,DATOS!$C$138),TABLAS!$B$52:$B$58,0)+3,7))/MAX(BQ10,0.0001)),DATOS!$C$144)&gt;=DATOS!$C$143),INDEX(TABLAS!$B$52:$B$58,MIN(MATCH(IF(ISNUMBER(S10),S10,DATOS!$C$138),TABLAS!$B$52:$B$58,0)+3,7)),IF(AND(BQ10&gt;0,FLOOR(MIN(BD10,100*INDEX(TABLAS!$D$52:$D$58,MIN(MATCH(IF(ISNUMBER(S10),S10,DATOS!$C$138),TABLAS!$B$52:$B$58,0)+4,7))/MAX(BQ10,0.0001)),DATOS!$C$144)&gt;=DATOS!$C$143),INDEX(TABLAS!$B$52:$B$58,MIN(MATCH(IF(ISNUMBER(S10),S10,DATOS!$C$138),TABLAS!$B$52:$B$58,0)+4,7)),INDEX(TABLAS!$B$52:$B$58,7)))))))</f>
        <v>3</v>
      </c>
      <c r="BS10" s="71">
        <f>IF(V10&lt;&gt;"SÍ","",IF(BQ10&lt;=0,0,FLOOR(MIN(BD10,100*INDEX(TABLAS!$D$52:$D$58,MATCH(BR10,TABLAS!$B$52:$B$58,0))/BQ10),DATOS!$C$144)))</f>
        <v>22.5</v>
      </c>
      <c r="BT10" s="58">
        <f>IF(V10&lt;&gt;"SÍ","",IF(BS10&lt;=0,0,INDEX(TABLAS!$D$52:$D$58,MATCH(BR10,TABLAS!$B$52:$B$58,0))*100/BS10))</f>
        <v>3.15555555555556</v>
      </c>
      <c r="BU10" s="58">
        <f>IF(V10&lt;&gt;"SÍ","",((W10-AF10-INDEX(TABLAS!$C$52:$C$58,MATCH(BR10,TABLAS!$B$52:$B$58,0))/2)-IF(AND((W10-AF10-INDEX(TABLAS!$C$52:$C$58,MATCH(BR10,TABLAS!$B$52:$B$58,0))/2)&lt;=20,DATOS!$C$65&lt;&gt;"SÍ"),2,0)))</f>
        <v>9.525</v>
      </c>
      <c r="BV10" s="56">
        <f>IF(V10&lt;&gt;"SÍ","",IF(BT10=0,0,DATOS!$C$29*BT10*DATOS!$C$14*(BU10-BT10*DATOS!$C$14/(DATOS!$C$21*100)/2)/1E5))</f>
        <v>1.09894535058824</v>
      </c>
      <c r="BW10" s="65">
        <f>IF(V10&lt;&gt;"SÍ","",IF(BQ10&lt;0,9.99,IF(BV10&gt;0,AY10/BV10,0)))</f>
        <v>0.363270381240432</v>
      </c>
      <c r="BX10" s="66">
        <f>IF(V10&lt;&gt;"SÍ","",IF(BT10=0,"—",0.003*(BU10-(BT10*DATOS!$C$14/(DATOS!$C$21*100)/DATOS!$C$22))/(BT10*DATOS!$C$14/(DATOS!$C$21*100)/DATOS!$C$22)))</f>
        <v>0.0359438584632797</v>
      </c>
      <c r="BY10" s="58">
        <f>IF(V10&lt;&gt;"SÍ","",(W10-AE10-1.5*INDEX(TABLAS!$C$52:$C$58,MATCH(IF(ISNUMBER(S10),S10,DATOS!$C$138),TABLAS!$B$52:$B$58,0))))</f>
        <v>8.575</v>
      </c>
      <c r="BZ10" s="58">
        <f>IF(V10&lt;&gt;"SÍ","",IF(AZ10&lt;=0,0,IF((1-2*AZ10*1E5/(DATOS!$C$29*100*BY10^2*DATOS!$C$21))&lt;0,-1,IF((1-SQRT((1-2*AZ10*1E5/(DATOS!$C$29*100*BY10^2*DATOS!$C$21))))*DATOS!$C$21*100*BY10/DATOS!$C$14&gt;DATOS!$C$102*100*BY10,-1,(1-SQRT((1-2*AZ10*1E5/(DATOS!$C$29*100*BY10^2*DATOS!$C$21))))*DATOS!$C$21*100*BY10/DATOS!$C$14))))</f>
        <v>0.335399521303471</v>
      </c>
      <c r="CA10" s="58">
        <f>IF(V10&lt;&gt;"SÍ","",IF(BZ10&lt;0,-1,MAX(BZ10,BC10)))</f>
        <v>2.16</v>
      </c>
      <c r="CB10" s="64">
        <f>IF(V10&lt;&gt;"SÍ","",IF(AND(CA10&gt;0,FLOOR(MIN(BD10,100*INDEX(TABLAS!$D$52:$D$58,MIN(MATCH(IF(ISNUMBER(S10),S10,DATOS!$C$138),TABLAS!$B$52:$B$58,0)+0,7))/MAX(CA10,0.0001)),DATOS!$C$144)&gt;=DATOS!$C$143),INDEX(TABLAS!$B$52:$B$58,MIN(MATCH(IF(ISNUMBER(S10),S10,DATOS!$C$138),TABLAS!$B$52:$B$58,0)+0,7)),IF(AND(CA10&gt;0,FLOOR(MIN(BD10,100*INDEX(TABLAS!$D$52:$D$58,MIN(MATCH(IF(ISNUMBER(S10),S10,DATOS!$C$138),TABLAS!$B$52:$B$58,0)+1,7))/MAX(CA10,0.0001)),DATOS!$C$144)&gt;=DATOS!$C$143),INDEX(TABLAS!$B$52:$B$58,MIN(MATCH(IF(ISNUMBER(S10),S10,DATOS!$C$138),TABLAS!$B$52:$B$58,0)+1,7)),IF(AND(CA10&gt;0,FLOOR(MIN(BD10,100*INDEX(TABLAS!$D$52:$D$58,MIN(MATCH(IF(ISNUMBER(S10),S10,DATOS!$C$138),TABLAS!$B$52:$B$58,0)+2,7))/MAX(CA10,0.0001)),DATOS!$C$144)&gt;=DATOS!$C$143),INDEX(TABLAS!$B$52:$B$58,MIN(MATCH(IF(ISNUMBER(S10),S10,DATOS!$C$138),TABLAS!$B$52:$B$58,0)+2,7)),IF(AND(CA10&gt;0,FLOOR(MIN(BD10,100*INDEX(TABLAS!$D$52:$D$58,MIN(MATCH(IF(ISNUMBER(S10),S10,DATOS!$C$138),TABLAS!$B$52:$B$58,0)+3,7))/MAX(CA10,0.0001)),DATOS!$C$144)&gt;=DATOS!$C$143),INDEX(TABLAS!$B$52:$B$58,MIN(MATCH(IF(ISNUMBER(S10),S10,DATOS!$C$138),TABLAS!$B$52:$B$58,0)+3,7)),IF(AND(CA10&gt;0,FLOOR(MIN(BD10,100*INDEX(TABLAS!$D$52:$D$58,MIN(MATCH(IF(ISNUMBER(S10),S10,DATOS!$C$138),TABLAS!$B$52:$B$58,0)+4,7))/MAX(CA10,0.0001)),DATOS!$C$144)&gt;=DATOS!$C$143),INDEX(TABLAS!$B$52:$B$58,MIN(MATCH(IF(ISNUMBER(S10),S10,DATOS!$C$138),TABLAS!$B$52:$B$58,0)+4,7)),INDEX(TABLAS!$B$52:$B$58,7)))))))</f>
        <v>3</v>
      </c>
      <c r="CC10" s="71">
        <f>IF(V10&lt;&gt;"SÍ","",IF(CA10&lt;=0,0,FLOOR(MIN(BD10,100*INDEX(TABLAS!$D$52:$D$58,MATCH(CB10,TABLAS!$B$52:$B$58,0))/CA10),DATOS!$C$144)))</f>
        <v>22.5</v>
      </c>
      <c r="CD10" s="58">
        <f>IF(V10&lt;&gt;"SÍ","",IF(CC10&lt;=0,0,INDEX(TABLAS!$D$52:$D$58,MATCH(CB10,TABLAS!$B$52:$B$58,0))*100/CC10))</f>
        <v>3.15555555555556</v>
      </c>
      <c r="CE10" s="58">
        <f>IF(V10&lt;&gt;"SÍ","",W10-AE10-INDEX(TABLAS!$C$52:$C$58,MATCH(BH10,TABLAS!$B$52:$B$58,0))-INDEX(TABLAS!$C$52:$C$58,MATCH(CB10,TABLAS!$B$52:$B$58,0))/2)</f>
        <v>8.575</v>
      </c>
      <c r="CF10" s="56">
        <f>IF(V10&lt;&gt;"SÍ","",IF(CD10=0,0,DATOS!$C$29*CD10*DATOS!$C$14*(CE10-CD10*DATOS!$C$14/(DATOS!$C$21*100)/2)/1E5))</f>
        <v>0.985629350588235</v>
      </c>
      <c r="CG10" s="65">
        <f>IF(V10&lt;&gt;"SÍ","",IF(CA10&lt;0,9.99,IF(CF10&gt;0,AZ10/CF10,0)))</f>
        <v>0.109873456451738</v>
      </c>
      <c r="CH10" s="66">
        <f>IF(V10&lt;&gt;"SÍ","",IF(CD10=0,"—",0.003*(CE10-(CD10*DATOS!$C$14/(DATOS!$C$21*100)/DATOS!$C$22))/(CD10*DATOS!$C$14/(DATOS!$C$21*100)/DATOS!$C$22)))</f>
        <v>0.0320596941021127</v>
      </c>
      <c r="CI10" s="58">
        <f>IF(V10&lt;&gt;"SÍ","",((W10-AF10-1.5*INDEX(TABLAS!$C$52:$C$58,MATCH(IF(ISNUMBER(S10),S10,DATOS!$C$138),TABLAS!$B$52:$B$58,0)))-IF(AND((W10-AF10-1.5*INDEX(TABLAS!$C$52:$C$58,MATCH(IF(ISNUMBER(S10),S10,DATOS!$C$138),TABLAS!$B$52:$B$58,0)))&lt;=20,DATOS!$C$65&lt;&gt;"SÍ"),2,0)))</f>
        <v>8.575</v>
      </c>
      <c r="CJ10" s="58">
        <f>IF(V10&lt;&gt;"SÍ","",IF(BA10&lt;=0,0,IF((1-2*BA10*1E5/(DATOS!$C$29*100*CI10^2*DATOS!$C$21))&lt;0,-1,IF((1-SQRT((1-2*BA10*1E5/(DATOS!$C$29*100*CI10^2*DATOS!$C$21))))*DATOS!$C$21*100*CI10/DATOS!$C$14&gt;DATOS!$C$102*100*CI10,-1,(1-SQRT((1-2*BA10*1E5/(DATOS!$C$29*100*CI10^2*DATOS!$C$21))))*DATOS!$C$21*100*CI10/DATOS!$C$14))))</f>
        <v>0.62756161101836</v>
      </c>
      <c r="CK10" s="58">
        <f>IF(V10&lt;&gt;"SÍ","",IF(CJ10&lt;0,-1,MAX(CJ10,BC10)))</f>
        <v>2.16</v>
      </c>
      <c r="CL10" s="64">
        <f>IF(V10&lt;&gt;"SÍ","",IF(AND(CK10&gt;0,FLOOR(MIN(BD10,100*INDEX(TABLAS!$D$52:$D$58,MIN(MATCH(IF(ISNUMBER(S10),S10,DATOS!$C$138),TABLAS!$B$52:$B$58,0)+0,7))/MAX(CK10,0.0001)),DATOS!$C$144)&gt;=DATOS!$C$143),INDEX(TABLAS!$B$52:$B$58,MIN(MATCH(IF(ISNUMBER(S10),S10,DATOS!$C$138),TABLAS!$B$52:$B$58,0)+0,7)),IF(AND(CK10&gt;0,FLOOR(MIN(BD10,100*INDEX(TABLAS!$D$52:$D$58,MIN(MATCH(IF(ISNUMBER(S10),S10,DATOS!$C$138),TABLAS!$B$52:$B$58,0)+1,7))/MAX(CK10,0.0001)),DATOS!$C$144)&gt;=DATOS!$C$143),INDEX(TABLAS!$B$52:$B$58,MIN(MATCH(IF(ISNUMBER(S10),S10,DATOS!$C$138),TABLAS!$B$52:$B$58,0)+1,7)),IF(AND(CK10&gt;0,FLOOR(MIN(BD10,100*INDEX(TABLAS!$D$52:$D$58,MIN(MATCH(IF(ISNUMBER(S10),S10,DATOS!$C$138),TABLAS!$B$52:$B$58,0)+2,7))/MAX(CK10,0.0001)),DATOS!$C$144)&gt;=DATOS!$C$143),INDEX(TABLAS!$B$52:$B$58,MIN(MATCH(IF(ISNUMBER(S10),S10,DATOS!$C$138),TABLAS!$B$52:$B$58,0)+2,7)),IF(AND(CK10&gt;0,FLOOR(MIN(BD10,100*INDEX(TABLAS!$D$52:$D$58,MIN(MATCH(IF(ISNUMBER(S10),S10,DATOS!$C$138),TABLAS!$B$52:$B$58,0)+3,7))/MAX(CK10,0.0001)),DATOS!$C$144)&gt;=DATOS!$C$143),INDEX(TABLAS!$B$52:$B$58,MIN(MATCH(IF(ISNUMBER(S10),S10,DATOS!$C$138),TABLAS!$B$52:$B$58,0)+3,7)),IF(AND(CK10&gt;0,FLOOR(MIN(BD10,100*INDEX(TABLAS!$D$52:$D$58,MIN(MATCH(IF(ISNUMBER(S10),S10,DATOS!$C$138),TABLAS!$B$52:$B$58,0)+4,7))/MAX(CK10,0.0001)),DATOS!$C$144)&gt;=DATOS!$C$143),INDEX(TABLAS!$B$52:$B$58,MIN(MATCH(IF(ISNUMBER(S10),S10,DATOS!$C$138),TABLAS!$B$52:$B$58,0)+4,7)),INDEX(TABLAS!$B$52:$B$58,7)))))))</f>
        <v>3</v>
      </c>
      <c r="CM10" s="71">
        <f>IF(V10&lt;&gt;"SÍ","",IF(CK10&lt;=0,0,FLOOR(MIN(BD10,100*INDEX(TABLAS!$D$52:$D$58,MATCH(CL10,TABLAS!$B$52:$B$58,0))/CK10),DATOS!$C$144)))</f>
        <v>22.5</v>
      </c>
      <c r="CN10" s="58">
        <f>IF(V10&lt;&gt;"SÍ","",IF(CM10&lt;=0,0,INDEX(TABLAS!$D$52:$D$58,MATCH(CL10,TABLAS!$B$52:$B$58,0))*100/CM10))</f>
        <v>3.15555555555556</v>
      </c>
      <c r="CO10" s="58">
        <f>IF(V10&lt;&gt;"SÍ","",((W10-AF10-INDEX(TABLAS!$C$52:$C$58,MATCH(BR10,TABLAS!$B$52:$B$58,0))-INDEX(TABLAS!$C$52:$C$58,MATCH(CL10,TABLAS!$B$52:$B$58,0))/2)-IF(AND((W10-AF10-INDEX(TABLAS!$C$52:$C$58,MATCH(BR10,TABLAS!$B$52:$B$58,0))-INDEX(TABLAS!$C$52:$C$58,MATCH(CL10,TABLAS!$B$52:$B$58,0))/2)&lt;=20,DATOS!$C$65&lt;&gt;"SÍ"),2,0)))</f>
        <v>8.575</v>
      </c>
      <c r="CP10" s="56">
        <f>IF(V10&lt;&gt;"SÍ","",IF(CN10=0,0,DATOS!$C$29*CN10*DATOS!$C$14*(CO10-CN10*DATOS!$C$14/(DATOS!$C$21*100)/2)/1E5))</f>
        <v>0.985629350588235</v>
      </c>
      <c r="CQ10" s="65">
        <f>IF(V10&lt;&gt;"SÍ","",IF(CK10&lt;0,9.99,IF(CP10&gt;0,BA10/CP10,0)))</f>
        <v>0.204887877742105</v>
      </c>
      <c r="CR10" s="66">
        <f>IF(V10&lt;&gt;"SÍ","",IF(CN10=0,"—",0.003*(CO10-(CN10*DATOS!$C$14/(DATOS!$C$21*100)/DATOS!$C$22))/(CN10*DATOS!$C$14/(DATOS!$C$21*100)/DATOS!$C$22)))</f>
        <v>0.0320596941021127</v>
      </c>
      <c r="CS10" s="56">
        <f>IF(V10&lt;&gt;"SÍ","",IF(C10="PERIMETRAL",MAX(0,(AC10/2-BU10)/100)*(0.95-0.5*AB10)*AK10*IF(AND(AL10&gt;0,AL10&lt;4),DATOS!$C$33,1)/1000,(AK10*MAX(0,AC10-BU10)/100+DATOS!$C$26*N(P10))/1000))</f>
        <v>0.575407537845588</v>
      </c>
      <c r="CT10" s="66">
        <f>IF(V10&lt;&gt;"SÍ","",BT10/(100*BU10))</f>
        <v>0.00331291921843103</v>
      </c>
      <c r="CU10" s="56">
        <f>IF(V10&lt;&gt;"SÍ","",DATOS!$C$30*2*MIN(1,SQRT(2/(1+0.04*BU10)))*CT10^(1/3)*SQRT(DATOS!$C$13)*100*BU10/1000)</f>
        <v>3.36767259788685</v>
      </c>
      <c r="CV10" s="67" t="str">
        <f>IF(V10&lt;&gt;"SÍ","",IF(CS10&lt;=CU10,"CUMPLE","NO CUMPLE: sube h"))</f>
        <v>CUMPLE</v>
      </c>
      <c r="CW10" s="58">
        <f>IF(V10&lt;&gt;"SÍ","",IF(C10="PERIMETRAL",IF(ISNUMBER(R10),R10,DATOS!$C$104),0))</f>
        <v>99</v>
      </c>
      <c r="CX10" s="57">
        <f>IF(V10&lt;&gt;"SÍ","",IF(C10="PERIMETRAL",IF(CW10&gt;2,MAX(9,AD10*(0.8+DATOS!$C$14/14000)/(36+9*(AD10/MAX(AC10,1)))),IF(CW10&gt;0.2,MAX(13,AD10*(0.8+DATOS!$C$14/14000)/(36+5*(AD10/MAX(AC10,1))*(CW10-0.2))),MAX(13,AD10/IF(AL10&gt;0,30,33))))*IF(AND(CW10&gt;0.2,AL10&gt;0,DATOS!$C$105="NO"),1.1,1),Z10*100/DATOS!$C$145*(0.4+DATOS!$C$14/7000)))</f>
        <v>9</v>
      </c>
      <c r="CY10" s="61" t="str">
        <f>IF(V10&lt;&gt;"SÍ","",IF(W10&gt;=CX10-0.001,"CUMPLE",IF(C10="VOLADO","NO CUMPLE","CALCULAR FLECHA")))</f>
        <v>CUMPLE</v>
      </c>
      <c r="CZ10" s="60">
        <f>IF(V10&lt;&gt;"SÍ","",IF(C10="VOLADO",MIN(FLOOR(IF(ISNUMBER(Q10),Q10,Z10)*100-DATOS!$C$63,5),CEILING(MAX(IF((0.5*(0.9*W10/100*DATOS!$C$16)*IF(ISNUMBER(Q10),Q10,Z10)+AY10/IF(ISNUMBER(Q10),Q10,Z10))^2-4*(0.5*(0.9*W10/100*DATOS!$C$16))*AY10&lt;0,IF(ISNUMBER(Q10),Q10,Z10),MIN(IF(ISNUMBER(Q10),Q10,Z10),((0.5*(0.9*W10/100*DATOS!$C$16)*IF(ISNUMBER(Q10),Q10,Z10)+AY10/IF(ISNUMBER(Q10),Q10,Z10))-SQRT((0.5*(0.9*W10/100*DATOS!$C$16)*IF(ISNUMBER(Q10),Q10,Z10)+AY10/IF(ISNUMBER(Q10),Q10,Z10))^2-4*(0.5*(0.9*W10/100*DATOS!$C$16))*AY10))/(2*(0.5*(0.9*W10/100*DATOS!$C$16)))))*100+MAX(BU10,12*INDEX(TABLAS!$C$52:$C$58,MATCH(BR10,TABLAS!$B$52:$B$58,0)),IF(ISNUMBER(Q10),Q10,Z10)*100/16),IF(OR(AF10&lt;INDEX(TABLAS!$C$52:$C$58,MATCH(BR10,TABLAS!$B$52:$B$58,0)),BS10-INDEX(TABLAS!$C$52:$C$58,MATCH(BR10,TABLAS!$B$52:$B$58,0))&lt;2*INDEX(TABLAS!$C$52:$C$58,MATCH(BR10,TABLAS!$B$52:$B$58,0))),INDEX(TABLAS!$I$52:$I$58,MATCH(BR10,TABLAS!$B$52:$B$58,0)),INDEX(TABLAS!$F$52:$F$58,MATCH(BR10,TABLAS!$B$52:$B$58,0)))),5)),IF(((4*((AV10*AK10*Z10^2*1E-4/1000)+((MAX(AR10,AT10)*AK10*Z10^2*1E-4/1000)+(IF(AND(AR10&gt;0,AT10&gt;0),MIN(AR10,AT10),MAX(AR10,AT10))*AK10*Z10^2*1E-4/1000))/2)+AY10-(IF(AND(AR10&gt;0,AT10&gt;0),MIN(AR10,AT10),MAX(AR10,AT10))*AK10*Z10^2*1E-4/1000))^2-16*((AV10*AK10*Z10^2*1E-4/1000)+((MAX(AR10,AT10)*AK10*Z10^2*1E-4/1000)+(IF(AND(AR10&gt;0,AT10&gt;0),MIN(AR10,AT10),MAX(AR10,AT10))*AK10*Z10^2*1E-4/1000))/2)*AY10)&lt;0,CEILING(AC10,5),CEILING(MAX(AC10*((4*((AV10*AK10*Z10^2*1E-4/1000)+((MAX(AR10,AT10)*AK10*Z10^2*1E-4/1000)+(IF(AND(AR10&gt;0,AT10&gt;0),MIN(AR10,AT10),MAX(AR10,AT10))*AK10*Z10^2*1E-4/1000))/2)+AY10-(IF(AND(AR10&gt;0,AT10&gt;0),MIN(AR10,AT10),MAX(AR10,AT10))*AK10*Z10^2*1E-4/1000))-SQRT(MAX(0,((4*((AV10*AK10*Z10^2*1E-4/1000)+((MAX(AR10,AT10)*AK10*Z10^2*1E-4/1000)+(IF(AND(AR10&gt;0,AT10&gt;0),MIN(AR10,AT10),MAX(AR10,AT10))*AK10*Z10^2*1E-4/1000))/2)+AY10-(IF(AND(AR10&gt;0,AT10&gt;0),MIN(AR10,AT10),MAX(AR10,AT10))*AK10*Z10^2*1E-4/1000))^2-16*((AV10*AK10*Z10^2*1E-4/1000)+((MAX(AR10,AT10)*AK10*Z10^2*1E-4/1000)+(IF(AND(AR10&gt;0,AT10&gt;0),MIN(AR10,AT10),MAX(AR10,AT10))*AK10*Z10^2*1E-4/1000))/2)*AY10))))/(8*MAX(((AV10*AK10*Z10^2*1E-4/1000)+((MAX(AR10,AT10)*AK10*Z10^2*1E-4/1000)+(IF(AND(AR10&gt;0,AT10&gt;0),MIN(AR10,AT10),MAX(AR10,AT10))*AK10*Z10^2*1E-4/1000))/2),1E-9))+MAX(BU10,12*INDEX(TABLAS!$C$52:$C$58,MATCH(BR10,TABLAS!$B$52:$B$58,0)),AC10/16),IF(OR(AF10&lt;INDEX(TABLAS!$C$52:$C$58,MATCH(BR10,TABLAS!$B$52:$B$58,0)),BS10-INDEX(TABLAS!$C$52:$C$58,MATCH(BR10,TABLAS!$B$52:$B$58,0))&lt;2*INDEX(TABLAS!$C$52:$C$58,MATCH(BR10,TABLAS!$B$52:$B$58,0))),INDEX(TABLAS!$I$52:$I$58,MATCH(BR10,TABLAS!$B$52:$B$58,0)),INDEX(TABLAS!$F$52:$F$58,MATCH(BR10,TABLAS!$B$52:$B$58,0)))),5))))</f>
        <v>65</v>
      </c>
      <c r="DA10" s="60">
        <f>IF(V10&lt;&gt;"SÍ","",IF(C10="VOLADO",0,IF(((4*((AW10*AK10*Z10^2*1E-4/1000)+((MAX(AS10,AU10)*AK10*Z10^2*1E-4/1000)+(IF(AND(AS10&gt;0,AU10&gt;0),MIN(AS10,AU10),MAX(AS10,AU10))*AK10*Z10^2*1E-4/1000))/2)+BA10-(IF(AND(AS10&gt;0,AU10&gt;0),MIN(AS10,AU10),MAX(AS10,AU10))*AK10*Z10^2*1E-4/1000))^2-16*((AW10*AK10*Z10^2*1E-4/1000)+((MAX(AS10,AU10)*AK10*Z10^2*1E-4/1000)+(IF(AND(AS10&gt;0,AU10&gt;0),MIN(AS10,AU10),MAX(AS10,AU10))*AK10*Z10^2*1E-4/1000))/2)*BA10)&lt;0,CEILING(AD10,5),CEILING(MAX(AD10*((4*((AW10*AK10*Z10^2*1E-4/1000)+((MAX(AS10,AU10)*AK10*Z10^2*1E-4/1000)+(IF(AND(AS10&gt;0,AU10&gt;0),MIN(AS10,AU10),MAX(AS10,AU10))*AK10*Z10^2*1E-4/1000))/2)+BA10-(IF(AND(AS10&gt;0,AU10&gt;0),MIN(AS10,AU10),MAX(AS10,AU10))*AK10*Z10^2*1E-4/1000))-SQRT(MAX(0,((4*((AW10*AK10*Z10^2*1E-4/1000)+((MAX(AS10,AU10)*AK10*Z10^2*1E-4/1000)+(IF(AND(AS10&gt;0,AU10&gt;0),MIN(AS10,AU10),MAX(AS10,AU10))*AK10*Z10^2*1E-4/1000))/2)+BA10-(IF(AND(AS10&gt;0,AU10&gt;0),MIN(AS10,AU10),MAX(AS10,AU10))*AK10*Z10^2*1E-4/1000))^2-16*((AW10*AK10*Z10^2*1E-4/1000)+((MAX(AS10,AU10)*AK10*Z10^2*1E-4/1000)+(IF(AND(AS10&gt;0,AU10&gt;0),MIN(AS10,AU10),MAX(AS10,AU10))*AK10*Z10^2*1E-4/1000))/2)*BA10))))/(8*MAX(((AW10*AK10*Z10^2*1E-4/1000)+((MAX(AS10,AU10)*AK10*Z10^2*1E-4/1000)+(IF(AND(AS10&gt;0,AU10&gt;0),MIN(AS10,AU10),MAX(AS10,AU10))*AK10*Z10^2*1E-4/1000))/2),1E-9))+MAX(CO10,12*INDEX(TABLAS!$C$52:$C$58,MATCH(CL10,TABLAS!$B$52:$B$58,0)),AD10/16),IF(OR(AF10&lt;INDEX(TABLAS!$C$52:$C$58,MATCH(CL10,TABLAS!$B$52:$B$58,0)),CM10-INDEX(TABLAS!$C$52:$C$58,MATCH(CL10,TABLAS!$B$52:$B$58,0))&lt;2*INDEX(TABLAS!$C$52:$C$58,MATCH(CL10,TABLAS!$B$52:$B$58,0))),INDEX(TABLAS!$I$52:$I$58,MATCH(CL10,TABLAS!$B$52:$B$58,0)),INDEX(TABLAS!$F$52:$F$58,MATCH(CL10,TABLAS!$B$52:$B$58,0)))),5))))</f>
        <v>95</v>
      </c>
      <c r="DB10" s="55" t="str">
        <f>IF(V10&lt;&gt;"SÍ","",IF(AND(C10="PERIMETRAL",AL10-AM10&gt;0,AT10&gt;0),"SÍ","NO"))</f>
        <v>SÍ</v>
      </c>
      <c r="DC10" s="55" t="str">
        <f>IF(V10&lt;&gt;"SÍ","",IF(AND(C10="PERIMETRAL",AM10&gt;0,AU10&gt;0),"SÍ","NO"))</f>
        <v>SÍ</v>
      </c>
      <c r="DD10" s="63" t="str">
        <f>IF(V10&lt;&gt;"SÍ","",IF(OR(C10="VOLADO",AL10=0),"—",IF(AND(AND(INDEX(TABLAS!$G$52:$G$58,MATCH(MAX(BR10,CL10),TABLAS!$B$52:$B$58,0))&lt;=(DATOS!$C$75-DATOS!$C$63),(DATOS!$C$75-DATOS!$C$63)&gt;=15),8*INDEX(TABLAS!$C$52:$C$58,MATCH(MAX(BH10,CB10,BR10,CL10),TABLAS!$B$52:$B$58,0))&lt;=DATOS!$C$76-2*DATOS!$C$63),"CUMPLE (gancho de 180°)",IF(AND(INDEX(TABLAS!$G$52:$G$58,MATCH(MAX(BR10,CL10),TABLAS!$B$52:$B$58,0))&lt;=(DATOS!$C$75-DATOS!$C$63),(DATOS!$C$75-DATOS!$C$63)&gt;=15),"NO CUMPLE: el gancho de 180° (8·d_b) no cabe en el peralte de la dala de borde","NO CUMPLE: dala de borde ≥ "&amp;TEXT(CEILING(MAX(INDEX(TABLAS!$G$52:$G$58,MATCH(MAX(BR10,CL10),TABLAS!$B$52:$B$58,0)),15)+DATOS!$C$63,5),"0")&amp;" cm de ancho"&amp;IF(8*INDEX(TABLAS!$C$52:$C$58,MATCH(MAX(BH10,CB10,BR10,CL10),TABLAS!$B$52:$B$58,0))&lt;=DATOS!$C$76-2*DATOS!$C$63,""," y más peralte para el gancho")))))</f>
        <v>CUMPLE (gancho de 180°)</v>
      </c>
      <c r="DE10" s="69" t="str">
        <f>IF(V10&lt;&gt;"SÍ","",IF(BI10=0,"NO ALCANZA","No. "&amp;BH10&amp;" @ "&amp;BI10&amp;" cm"&amp;IF(C10="VOLADO"," (temperatura)","")))</f>
        <v>No. 3 @ 22.5 cm</v>
      </c>
      <c r="DF10" s="69" t="str">
        <f>IF(V10&lt;&gt;"SÍ","",IF(BS10=0,"NO ALCANZA",IF(C10="VOLADO","No. "&amp;BR10&amp;" @ "&amp;BS10&amp;" cm"&amp;" de la orilla al respaldo ("&amp;IF(CZ10&gt;=FLOOR(100*IF(ISNUMBER(Q10),Q10,Z10)-DATOS!$C$63,5),"hasta su apoyo lejano, con gancho","entran "&amp;TEXT(CZ10/100,"0.00")&amp;" m desde el paño")&amp;")","Bastones "&amp;"No. "&amp;BR10&amp;" @ "&amp;BS10&amp;" cm"&amp;", L = "&amp;TEXT(CZ10/100,"0.00")&amp;" m desde el paño")))</f>
        <v>Bastones No. 3 @ 22.5 cm, L = 0.65 m desde el paño</v>
      </c>
      <c r="DG10" s="69" t="str">
        <f>IF(V10&lt;&gt;"SÍ","",IF(CC10=0,"NO ALCANZA","No. "&amp;CB10&amp;" @ "&amp;CC10&amp;" cm"&amp;IF(C10="VOLADO"," (repartición)","")))</f>
        <v>No. 3 @ 22.5 cm</v>
      </c>
      <c r="DH10" s="69" t="str">
        <f>IF(V10&lt;&gt;"SÍ","",IF(CM10=0,"NO ALCANZA",IF(C10="VOLADO","No. "&amp;CL10&amp;" @ "&amp;CM10&amp;" cm"&amp;" (repartición)","Bastones "&amp;"No. "&amp;CL10&amp;" @ "&amp;CM10&amp;" cm"&amp;", L = "&amp;TEXT(DA10/100,"0.00")&amp;" m desde el paño")))</f>
        <v>Bastones No. 3 @ 22.5 cm, L = 0.95 m desde el paño</v>
      </c>
      <c r="DI10" s="67" t="str">
        <f>IF(B10="","",IF(V10&lt;&gt;"SÍ","FALTAN DATOS: tipo, a_x, a_y, destino y, en volados, L_b",IF(L10="NO MONOLÍTICO (caso II)","FUERA DE ALCANCE: caso II no transcrito",IF(AND(C10="VOLADO",X10="?"),"REVISAR: el volado lleva UN solo borde CONTINUO (el empotrado)",IF(AND(MAX(BM10,BW10,CG10,CQ10)&lt;=1,NOT(OR(BI10&lt;DATOS!$C$143,BS10&lt;DATOS!$C$143,CC10&lt;DATOS!$C$143,CM10&lt;DATOS!$C$143)),NOT(OR(AND(ISNUMBER(BN10),BN10&lt;0.005),AND(ISNUMBER(BX10),BX10&lt;0.005),AND(ISNUMBER(CH10),CH10&lt;0.005),AND(ISNUMBER(CR10),CR10&lt;0.005))),CV10="CUMPLE",CY10="CUMPLE"),"CUMPLE"&amp;IF(LEFT(BB10,5)="FUERA"," · fuera de 3.4.2.1 c)","")&amp;IF(LEFT(DD10,2)="NO"," · REVISAR anclaje en borde discontinuo",""),IF(AND(MAX(BM10,BW10,CG10,CQ10)&lt;=1,NOT(OR(BI10&lt;DATOS!$C$143,BS10&lt;DATOS!$C$143,CC10&lt;DATOS!$C$143,CM10&lt;DATOS!$C$143)),NOT(OR(AND(ISNUMBER(BN10),BN10&lt;0.005),AND(ISNUMBER(BX10),BX10&lt;0.005),AND(ISNUMBER(CH10),CH10&lt;0.005),AND(ISNUMBER(CR10),CR10&lt;0.005))),CV10="CUMPLE",CY10="CALCULAR FLECHA"),"REVISAR: calcular flecha (h &lt; h mín.)"&amp;IF(LEFT(BB10,5)="FUERA"," · fuera de 3.4.2.1 c)","")&amp;IF(LEFT(DD10,2)="NO"," · REVISAR anclaje en borde discontinuo",""),"NO CUMPLE: "&amp;IF(MAX(BM10,BW10,CG10,CQ10)&gt;1,"flexión ","")&amp;IF(OR(BI10&lt;DATOS!$C$143,BS10&lt;DATOS!$C$143,CC10&lt;DATOS!$C$143,CM10&lt;DATOS!$C$143),"separación &lt; mínima ","")&amp;IF(OR(AND(ISNUMBER(BN10),BN10&lt;0.005),AND(ISNUMBER(BX10),BX10&lt;0.005),AND(ISNUMBER(CH10),CH10&lt;0.005),AND(ISNUMBER(CR10),CR10&lt;0.005)),"ε_t &lt; 0.005 ","")&amp;IF(CV10&lt;&gt;"CUMPLE","cortante ","")&amp;IF(CY10="NO CUMPLE","peralte","")))))))</f>
        <v>CUMPLE</v>
      </c>
      <c r="DJ10" s="70" t="str">
        <f>IF(V10&lt;&gt;"SÍ","",IF(LEFT(B10,7)="EJEMPLO","EJEMPLO de tablero típico: bórralo o sobrescríbelo. ","")&amp;IF(C10="VOLADO","Volado de "&amp;TEXT(Z10,"0.00")&amp;" m empotrado en el borde "&amp;LOWER(X10)&amp;IF(N(P10)&gt;0,", con "&amp;TEXT(P10,"0.0")&amp;" kg/m en la orilla","")&amp;". Lecho inferior con r_ext. Si la orilla carga pretil u otro elemento frágil, calcula la flecha (13.4). El acero superior entra al respaldo de "&amp;TEXT(IF(ISNUMBER(Q10),Q10,Z10),"0.00")&amp;" m"&amp;" hasta pasar M = 0 con 0.9·PP sin carga viva; si ahí no se anula, llega al apoyo lejano y se ancla con gancho. ","")&amp;IF(AND(C10="VOLADO",(0.9*W10/100*DATOS!$C$16*IF(ISNUMBER(Q10),Q10,Z10)/2-AY10/IF(ISNUMBER(Q10),Q10,Z10))&lt;0),"Con 0.9·PP y sin carga viva el apoyo lejano del respaldo levanta (R = "&amp;TEXT(-(0.9*W10/100*DATOS!$C$16*IF(ISNUMBER(Q10),Q10,Z10)/2-AY10/IF(ISNUMBER(Q10),Q10,Z10)),"0.00")&amp;" t/m): ancla ahí el acero con gancho y revisa ese apoyo a tensión. ","")&amp;IF(LEFT(BB10,5)="FUERA","El M⁻ del vecino difiere más de 50 % (3.4.2.1 c): distribuye el desequilibrio (3.4.3.1) o confirma con un modelo; se arma con el mayor. ","")&amp;IF(OR(DB10="SÍ",DC10="SÍ"),"Bastones también en los bordes discontinuos (M⁻ de tabla), con gancho. ","")&amp;IF(LEFT(DD10,2)="NO","Anclaje: "&amp;DD10&amp;" (6.7.7.4.1.1). ","")&amp;IF(AND(C10="PERIMETRAL",AM10&gt;=1,AL10-AM10&gt;=1),"Esquinas exteriores sobre muro: refuerzo de esquina arriba y abajo en L_largo/5 (6.7.7.3.1). ",""))</f>
        <v>EJEMPLO de tablero típico: bórralo o sobrescríbelo. Bastones también en los bordes discontinuos (M⁻ de tabla), con gancho. Esquinas exteriores sobre muro: refuerzo de esquina arriba y abajo en L_largo/5 (6.7.7.3.1). </v>
      </c>
    </row>
    <row r="11" ht="33" customHeight="1">
      <c r="A11" s="50">
        <f>IF(B11="",0,1)+A10</f>
        <v>3</v>
      </c>
      <c r="B11" s="29" t="inlineStr">
        <is>
          <t>EJEMPLO M-3 (volado 1.2 m)</t>
        </is>
      </c>
      <c r="C11" s="51" t="inlineStr">
        <is>
          <t>VOLADO</t>
        </is>
      </c>
      <c r="D11" s="29" t="inlineStr">
        <is>
          <t>HABITACIÓN</t>
        </is>
      </c>
      <c r="E11" s="52" t="n">
        <v>1.2</v>
      </c>
      <c r="F11" s="52" t="n">
        <v>3</v>
      </c>
      <c r="G11" s="51" t="inlineStr">
        <is>
          <t>DISCONTINUO</t>
        </is>
      </c>
      <c r="H11" s="51" t="inlineStr">
        <is>
          <t>DISCONTINUO</t>
        </is>
      </c>
      <c r="I11" s="51" t="inlineStr">
        <is>
          <t>CONTINUO</t>
        </is>
      </c>
      <c r="J11" s="51" t="inlineStr">
        <is>
          <t>DISCONTINUO</t>
        </is>
      </c>
      <c r="K11" s="51" t="inlineStr">
        <is>
          <t>AUTO</t>
        </is>
      </c>
      <c r="L11" s="51" t="inlineStr">
        <is>
          <t>MONOLÍTICO (caso I)</t>
        </is>
      </c>
      <c r="M11" s="54" t="n">
        <v>12</v>
      </c>
      <c r="N11" s="53" t="n">
        <v>160</v>
      </c>
      <c r="O11" s="53" t="n"/>
      <c r="P11" s="54" t="n">
        <v>100</v>
      </c>
      <c r="Q11" s="52" t="n">
        <v>3</v>
      </c>
      <c r="R11" s="54" t="n"/>
      <c r="S11" s="53" t="n"/>
      <c r="T11" s="52" t="n"/>
      <c r="U11" s="52" t="n"/>
      <c r="V11" s="55" t="str">
        <f>IF(B11="","",IF(AND(OR(C11="PERIMETRAL",C11="VOLADO"),ISNUMBER(E11),ISNUMBER(F11),E11&gt;0,F11&gt;0,OR(ISNUMBER(O11),ISNUMBER(MATCH(D11,DATOS!$B$46:$B$58,0))),OR(C11&lt;&gt;"VOLADO",N(Q11)&gt;0)),"SÍ","NO"))</f>
        <v>SÍ</v>
      </c>
      <c r="W11" s="57">
        <f>IF(V11&lt;&gt;"SÍ","",IF(ISNUMBER(M11),M11,DATOS!$C$137))</f>
        <v>12</v>
      </c>
      <c r="X11" s="55" t="str">
        <f>IF(V11&lt;&gt;"SÍ","",IF(C11&lt;&gt;"VOLADO","—",IF(COUNTIF(G11:J11,"CONTINUO")&lt;&gt;1,"?",IF(G11="CONTINUO","INFERIOR",IF(H11="CONTINUO","SUPERIOR",IF(I11="CONTINUO","IZQUIERDO","DERECHO"))))))</f>
        <v>IZQUIERDO</v>
      </c>
      <c r="Y11" s="55" t="str">
        <f>IF(V11&lt;&gt;"SÍ","",IF(C11="VOLADO",IF(OR(X11="IZQUIERDO",X11="DERECHO"),"X","Y"),IF(E11&lt;=F11,"X","Y")))</f>
        <v>X</v>
      </c>
      <c r="Z11" s="56">
        <f>IF(V11&lt;&gt;"SÍ","",IF(C11="VOLADO",IF(Y11="X",E11,F11),MIN(E11,F11)))</f>
        <v>1.2</v>
      </c>
      <c r="AA11" s="56">
        <f>IF(V11&lt;&gt;"SÍ","",IF(C11="VOLADO",IF(Y11="X",F11,E11),MAX(E11,F11)))</f>
        <v>3</v>
      </c>
      <c r="AB11" s="56">
        <f>IF(V11&lt;&gt;"SÍ","",MIN(Z11,AA11)/MAX(Z11,AA11))</f>
        <v>0.4</v>
      </c>
      <c r="AC11" s="57">
        <f>IF(V11&lt;&gt;"SÍ","",MAX(1,Z11*100-IF(C11="VOLADO",DATOS!$C$87/2,DATOS!$C$87)))</f>
        <v>112.5</v>
      </c>
      <c r="AD11" s="57">
        <f>IF(V11&lt;&gt;"SÍ","",MAX(1,AA11*100-DATOS!$C$87))</f>
        <v>285</v>
      </c>
      <c r="AE11" s="57">
        <f>IF(V11&lt;&gt;"SÍ","",IF(C11="VOLADO",DATOS!$C$64,DATOS!$C$62))</f>
        <v>4</v>
      </c>
      <c r="AF11" s="57">
        <f>IF(V11&lt;&gt;"SÍ","",IF(OR(AND(AG11="SÍ",DATOS!$C$66="SÍ"),AND(C11="VOLADO",DATOS!$C$67="SÍ")),DATOS!$C$64,DATOS!$C$62))</f>
        <v>2</v>
      </c>
      <c r="AG11" s="55" t="str">
        <f>IF(V11&lt;&gt;"SÍ","",IFERROR(INDEX(DATOS!$D$46:$D$58,MATCH(D11,DATOS!$B$46:$B$58,0)),"NO"))</f>
        <v>NO</v>
      </c>
      <c r="AH11" s="59">
        <f>IF(V11&lt;&gt;"SÍ","",IF(ISNUMBER(O11),O11,IFERROR(INDEX(DATOS!$C$46:$C$58,MATCH(D11,DATOS!$B$46:$B$58,0)),0)))</f>
        <v>190</v>
      </c>
      <c r="AI11" s="59">
        <f>IF(V11&lt;&gt;"SÍ","",W11/100*DATOS!$C$16*1000+DATOS!$C$37+DATOS!$C$38)</f>
        <v>328</v>
      </c>
      <c r="AJ11" s="59">
        <f>IF(V11&lt;&gt;"SÍ","",AI11+N(N11))</f>
        <v>488</v>
      </c>
      <c r="AK11" s="60">
        <f>IF(V11&lt;&gt;"SÍ","",MAX(DATOS!$C$26*AJ11+DATOS!$C$27*AH11,IF(AG11="SÍ",DATOS!$C$28*(AJ11+DATOS!$C$41),0)))</f>
        <v>919.4</v>
      </c>
      <c r="AL11" s="59">
        <f>IF(V11&lt;&gt;"SÍ","",(G11="DISCONTINUO")+(H11="DISCONTINUO")+(I11="DISCONTINUO")+(J11="DISCONTINUO"))</f>
        <v>3</v>
      </c>
      <c r="AM11" s="59">
        <f>IF(V11&lt;&gt;"SÍ","",IF(Y11="X",(G11="DISCONTINUO")+(H11="DISCONTINUO"),(I11="DISCONTINUO")+(J11="DISCONTINUO")))</f>
        <v>2</v>
      </c>
      <c r="AN11" s="55" t="str">
        <f>IF(V11&lt;&gt;"SÍ","",IF(AL11=0,"INTERIOR",IF(AL11=1,IF(AM11=1,"BORDE-CORTO","BORDE-LARGO"),IF(AL11=2,IF(AM11=1,"ESQUINA",IF(AM11=2,"EXTREMO-LARGO","EXTREMO-CORTO")),IF(AL11=3,IF(AM11=2,"EXTREMO-LARGO","EXTREMO-CORTO"),"AISLADO")))))</f>
        <v>EXTREMO-LARGO</v>
      </c>
      <c r="AO11" s="61" t="str">
        <f>IF(V11&lt;&gt;"SÍ","",IF(OR(K11="",K11="AUTO"),AN11,K11))</f>
        <v>EXTREMO-LARGO</v>
      </c>
      <c r="AP11" s="59">
        <f>IF(V11&lt;&gt;"SÍ","",MATCH(AB11,TABLAS!$D$5:$J$5,1))</f>
        <v>1</v>
      </c>
      <c r="AQ11" s="58">
        <f>IF(V11&lt;&gt;"SÍ","",IF(AP11&gt;=7,0,(AB11-INDEX(TABLAS!$D$5:$J$5,AP11))/(INDEX(TABLAS!$D$5:$J$5,AP11+1)-INDEX(TABLAS!$D$5:$J$5,AP11))))</f>
        <v>0.8</v>
      </c>
      <c r="AR11" s="59">
        <f>IF(V11&lt;&gt;"SÍ","",INDEX(TABLAS!$D$6:$J$47,MATCH(AO11&amp;"|NIC",TABLAS!$B$6:$B$47,0),AP11)+AQ11*(INDEX(TABLAS!$D$6:$J$47,MATCH(AO11&amp;"|NIC",TABLAS!$B$6:$B$47,0),MIN(AP11+1,7))-INDEX(TABLAS!$D$6:$J$47,MATCH(AO11&amp;"|NIC",TABLAS!$B$6:$B$47,0),AP11)))</f>
        <v>1388</v>
      </c>
      <c r="AS11" s="59">
        <f>IF(V11&lt;&gt;"SÍ","",INDEX(TABLAS!$D$6:$J$47,MATCH(AO11&amp;"|NIL",TABLAS!$B$6:$B$47,0),AP11)+AQ11*(INDEX(TABLAS!$D$6:$J$47,MATCH(AO11&amp;"|NIL",TABLAS!$B$6:$B$47,0),MIN(AP11+1,7))-INDEX(TABLAS!$D$6:$J$47,MATCH(AO11&amp;"|NIL",TABLAS!$B$6:$B$47,0),AP11)))</f>
        <v>0</v>
      </c>
      <c r="AT11" s="59">
        <f>IF(V11&lt;&gt;"SÍ","",INDEX(TABLAS!$D$6:$J$47,MATCH(AO11&amp;"|NDC",TABLAS!$B$6:$B$47,0),AP11)+AQ11*(INDEX(TABLAS!$D$6:$J$47,MATCH(AO11&amp;"|NDC",TABLAS!$B$6:$B$47,0),MIN(AP11+1,7))-INDEX(TABLAS!$D$6:$J$47,MATCH(AO11&amp;"|NDC",TABLAS!$B$6:$B$47,0),AP11)))</f>
        <v>426.2</v>
      </c>
      <c r="AU11" s="59">
        <f>IF(V11&lt;&gt;"SÍ","",INDEX(TABLAS!$D$6:$J$47,MATCH(AO11&amp;"|NDL",TABLAS!$B$6:$B$47,0),AP11)+AQ11*(INDEX(TABLAS!$D$6:$J$47,MATCH(AO11&amp;"|NDL",TABLAS!$B$6:$B$47,0),MIN(AP11+1,7))-INDEX(TABLAS!$D$6:$J$47,MATCH(AO11&amp;"|NDL",TABLAS!$B$6:$B$47,0),AP11)))</f>
        <v>332.8</v>
      </c>
      <c r="AV11" s="59">
        <f>IF(V11&lt;&gt;"SÍ","",INDEX(TABLAS!$D$6:$J$47,MATCH(AO11&amp;"|PC",TABLAS!$B$6:$B$47,0),AP11)+AQ11*(INDEX(TABLAS!$D$6:$J$47,MATCH(AO11&amp;"|PC",TABLAS!$B$6:$B$47,0),MIN(AP11+1,7))-INDEX(TABLAS!$D$6:$J$47,MATCH(AO11&amp;"|PC",TABLAS!$B$6:$B$47,0),AP11)))</f>
        <v>734.2</v>
      </c>
      <c r="AW11" s="59">
        <f>IF(V11&lt;&gt;"SÍ","",INDEX(TABLAS!$D$6:$J$47,MATCH(AO11&amp;"|PL",TABLAS!$B$6:$B$47,0),AP11)+AQ11*(INDEX(TABLAS!$D$6:$J$47,MATCH(AO11&amp;"|PL",TABLAS!$B$6:$B$47,0),MIN(AP11+1,7))-INDEX(TABLAS!$D$6:$J$47,MATCH(AO11&amp;"|PL",TABLAS!$B$6:$B$47,0),AP11)))</f>
        <v>381</v>
      </c>
      <c r="AX11" s="56">
        <f>IF(V11&lt;&gt;"SÍ","",IF(C11="PERIMETRAL",AV11*AK11*Z11^2*1E-4/1000,0))</f>
        <v>0</v>
      </c>
      <c r="AY11" s="62">
        <f>IF(V11&lt;&gt;"SÍ","",IF(C11="PERIMETRAL",MAX(MAX(AR11,AT11)*AK11*Z11^2*1E-4/1000,N(T11)),(AK11*(AC11/100)^2/2+DATOS!$C$26*N(P11)*AC11/100)/1000))</f>
        <v>0.7280578125</v>
      </c>
      <c r="AZ11" s="56">
        <f>IF(V11&lt;&gt;"SÍ","",IF(C11="PERIMETRAL",AW11*AK11*Z11^2*1E-4/1000,0))</f>
        <v>0</v>
      </c>
      <c r="BA11" s="56">
        <f>IF(V11&lt;&gt;"SÍ","",IF(C11="PERIMETRAL",MAX(MAX(AS11,AU11)*AK11*Z11^2*1E-4/1000,N(U11)),0))</f>
        <v>0</v>
      </c>
      <c r="BB11" s="63" t="str">
        <f>IF(V11&lt;&gt;"SÍ","",IF(C11&lt;&gt;"PERIMETRAL","—",IF(AND(N(T11)=0,N(U11)=0),"— (sin M⁻ del vecino)",IF(OR(AND(N(T11)&gt;0,ABS(MAX(AR11,AT11)*AK11*Z11^2*1E-4/1000-N(T11))&gt;0.5*MIN(MAX(AR11,AT11)*AK11*Z11^2*1E-4/1000,N(T11))),AND(N(U11)&gt;0,ABS(MAX(AS11,AU11)*AK11*Z11^2*1E-4/1000-N(U11))&gt;0.5*MIN(MAX(AS11,AU11)*AK11*Z11^2*1E-4/1000,N(U11)))),"FUERA: difieren &gt; 50 %"&amp;IF(AND(N(T11)&gt;0,ABS(MAX(AR11,AT11)*AK11*Z11^2*1E-4/1000-N(T11))&gt;0.5*MIN(MAX(AR11,AT11)*AK11*Z11^2*1E-4/1000,N(T11)))," ‖ corto","")&amp;IF(AND(N(U11)&gt;0,ABS(MAX(AS11,AU11)*AK11*Z11^2*1E-4/1000-N(U11))&gt;0.5*MIN(MAX(AS11,AU11)*AK11*Z11^2*1E-4/1000,N(U11)))," ‖ largo",""),"CUMPLE"))))</f>
        <v>—</v>
      </c>
      <c r="BC11" s="58">
        <f>IF(V11&lt;&gt;"SÍ","",DATOS!$C$139*100*W11)</f>
        <v>2.16</v>
      </c>
      <c r="BD11" s="57">
        <f>IF(V11&lt;&gt;"SÍ","",MIN(IF(C11="VOLADO",DATOS!$C$141,DATOS!$C$140)*W11,DATOS!$C$142))</f>
        <v>36</v>
      </c>
      <c r="BE11" s="58">
        <f>IF(V11&lt;&gt;"SÍ","",(W11-AE11-INDEX(TABLAS!$C$52:$C$58,MATCH(IF(ISNUMBER(S11),S11,DATOS!$C$138),TABLAS!$B$52:$B$58,0))/2))</f>
        <v>7.525</v>
      </c>
      <c r="BF11" s="58">
        <f>IF(V11&lt;&gt;"SÍ","",IF(AX11&lt;=0,0,IF((1-2*AX11*1E5/(DATOS!$C$29*100*BE11^2*DATOS!$C$21))&lt;0,-1,IF((1-SQRT((1-2*AX11*1E5/(DATOS!$C$29*100*BE11^2*DATOS!$C$21))))*DATOS!$C$21*100*BE11/DATOS!$C$14&gt;DATOS!$C$102*100*BE11,-1,(1-SQRT((1-2*AX11*1E5/(DATOS!$C$29*100*BE11^2*DATOS!$C$21))))*DATOS!$C$21*100*BE11/DATOS!$C$14))))</f>
        <v>0</v>
      </c>
      <c r="BG11" s="58">
        <f>IF(V11&lt;&gt;"SÍ","",IF(BF11&lt;0,-1,MAX(BF11,BC11)))</f>
        <v>2.16</v>
      </c>
      <c r="BH11" s="64">
        <f>IF(V11&lt;&gt;"SÍ","",IF(AND(BG11&gt;0,FLOOR(MIN(BD11,100*INDEX(TABLAS!$D$52:$D$58,MIN(MATCH(IF(ISNUMBER(S11),S11,DATOS!$C$138),TABLAS!$B$52:$B$58,0)+0,7))/MAX(BG11,0.0001)),DATOS!$C$144)&gt;=DATOS!$C$143),INDEX(TABLAS!$B$52:$B$58,MIN(MATCH(IF(ISNUMBER(S11),S11,DATOS!$C$138),TABLAS!$B$52:$B$58,0)+0,7)),IF(AND(BG11&gt;0,FLOOR(MIN(BD11,100*INDEX(TABLAS!$D$52:$D$58,MIN(MATCH(IF(ISNUMBER(S11),S11,DATOS!$C$138),TABLAS!$B$52:$B$58,0)+1,7))/MAX(BG11,0.0001)),DATOS!$C$144)&gt;=DATOS!$C$143),INDEX(TABLAS!$B$52:$B$58,MIN(MATCH(IF(ISNUMBER(S11),S11,DATOS!$C$138),TABLAS!$B$52:$B$58,0)+1,7)),IF(AND(BG11&gt;0,FLOOR(MIN(BD11,100*INDEX(TABLAS!$D$52:$D$58,MIN(MATCH(IF(ISNUMBER(S11),S11,DATOS!$C$138),TABLAS!$B$52:$B$58,0)+2,7))/MAX(BG11,0.0001)),DATOS!$C$144)&gt;=DATOS!$C$143),INDEX(TABLAS!$B$52:$B$58,MIN(MATCH(IF(ISNUMBER(S11),S11,DATOS!$C$138),TABLAS!$B$52:$B$58,0)+2,7)),IF(AND(BG11&gt;0,FLOOR(MIN(BD11,100*INDEX(TABLAS!$D$52:$D$58,MIN(MATCH(IF(ISNUMBER(S11),S11,DATOS!$C$138),TABLAS!$B$52:$B$58,0)+3,7))/MAX(BG11,0.0001)),DATOS!$C$144)&gt;=DATOS!$C$143),INDEX(TABLAS!$B$52:$B$58,MIN(MATCH(IF(ISNUMBER(S11),S11,DATOS!$C$138),TABLAS!$B$52:$B$58,0)+3,7)),IF(AND(BG11&gt;0,FLOOR(MIN(BD11,100*INDEX(TABLAS!$D$52:$D$58,MIN(MATCH(IF(ISNUMBER(S11),S11,DATOS!$C$138),TABLAS!$B$52:$B$58,0)+4,7))/MAX(BG11,0.0001)),DATOS!$C$144)&gt;=DATOS!$C$143),INDEX(TABLAS!$B$52:$B$58,MIN(MATCH(IF(ISNUMBER(S11),S11,DATOS!$C$138),TABLAS!$B$52:$B$58,0)+4,7)),INDEX(TABLAS!$B$52:$B$58,7)))))))</f>
        <v>3</v>
      </c>
      <c r="BI11" s="71">
        <f>IF(V11&lt;&gt;"SÍ","",IF(BG11&lt;=0,0,FLOOR(MIN(BD11,100*INDEX(TABLAS!$D$52:$D$58,MATCH(BH11,TABLAS!$B$52:$B$58,0))/BG11),DATOS!$C$144)))</f>
        <v>32.5</v>
      </c>
      <c r="BJ11" s="58">
        <f>IF(V11&lt;&gt;"SÍ","",IF(BI11&lt;=0,0,INDEX(TABLAS!$D$52:$D$58,MATCH(BH11,TABLAS!$B$52:$B$58,0))*100/BI11))</f>
        <v>2.18461538461538</v>
      </c>
      <c r="BK11" s="58">
        <f>IF(V11&lt;&gt;"SÍ","",W11-AE11-INDEX(TABLAS!$C$52:$C$58,MATCH(BH11,TABLAS!$B$52:$B$58,0))/2)</f>
        <v>7.525</v>
      </c>
      <c r="BL11" s="56">
        <f>IF(V11&lt;&gt;"SÍ","",IF(BJ11=0,0,DATOS!$C$29*BJ11*DATOS!$C$14*(BK11-BJ11*DATOS!$C$14/(DATOS!$C$21*100)/2)/1E5))</f>
        <v>0.603574943181343</v>
      </c>
      <c r="BM11" s="65">
        <f>IF(V11&lt;&gt;"SÍ","",IF(BG11&lt;0,9.99,IF(BL11&gt;0,AX11/BL11,0)))</f>
        <v>0</v>
      </c>
      <c r="BN11" s="66">
        <f>IF(V11&lt;&gt;"SÍ","",IF(BJ11=0,"—",0.003*(BK11-(BJ11*DATOS!$C$14/(DATOS!$C$21*100)/DATOS!$C$22))/(BJ11*DATOS!$C$14/(DATOS!$C$21*100)/DATOS!$C$22)))</f>
        <v>0.0414407460387324</v>
      </c>
      <c r="BO11" s="58">
        <f>IF(V11&lt;&gt;"SÍ","",((W11-AF11-INDEX(TABLAS!$C$52:$C$58,MATCH(IF(ISNUMBER(S11),S11,DATOS!$C$138),TABLAS!$B$52:$B$58,0))/2)-IF(AND((W11-AF11-INDEX(TABLAS!$C$52:$C$58,MATCH(IF(ISNUMBER(S11),S11,DATOS!$C$138),TABLAS!$B$52:$B$58,0))/2)&lt;=20,DATOS!$C$65&lt;&gt;"SÍ"),2,0)))</f>
        <v>9.525</v>
      </c>
      <c r="BP11" s="58">
        <f>IF(V11&lt;&gt;"SÍ","",IF(AY11&lt;=0,0,IF((1-2*AY11*1E5/(DATOS!$C$29*100*BO11^2*DATOS!$C$21))&lt;0,-1,IF((1-SQRT((1-2*AY11*1E5/(DATOS!$C$29*100*BO11^2*DATOS!$C$21))))*DATOS!$C$21*100*BO11/DATOS!$C$14&gt;DATOS!$C$102*100*BO11,-1,(1-SQRT((1-2*AY11*1E5/(DATOS!$C$29*100*BO11^2*DATOS!$C$21))))*DATOS!$C$21*100*BO11/DATOS!$C$14))))</f>
        <v>2.0664335703261</v>
      </c>
      <c r="BQ11" s="58">
        <f>IF(V11&lt;&gt;"SÍ","",IF(BP11&lt;0,-1,MAX(BP11,BC11)))</f>
        <v>2.16</v>
      </c>
      <c r="BR11" s="64">
        <f>IF(V11&lt;&gt;"SÍ","",IF(AND(BQ11&gt;0,FLOOR(MIN(BD11,100*INDEX(TABLAS!$D$52:$D$58,MIN(MATCH(IF(ISNUMBER(S11),S11,DATOS!$C$138),TABLAS!$B$52:$B$58,0)+0,7))/MAX(BQ11,0.0001)),DATOS!$C$144)&gt;=DATOS!$C$143),INDEX(TABLAS!$B$52:$B$58,MIN(MATCH(IF(ISNUMBER(S11),S11,DATOS!$C$138),TABLAS!$B$52:$B$58,0)+0,7)),IF(AND(BQ11&gt;0,FLOOR(MIN(BD11,100*INDEX(TABLAS!$D$52:$D$58,MIN(MATCH(IF(ISNUMBER(S11),S11,DATOS!$C$138),TABLAS!$B$52:$B$58,0)+1,7))/MAX(BQ11,0.0001)),DATOS!$C$144)&gt;=DATOS!$C$143),INDEX(TABLAS!$B$52:$B$58,MIN(MATCH(IF(ISNUMBER(S11),S11,DATOS!$C$138),TABLAS!$B$52:$B$58,0)+1,7)),IF(AND(BQ11&gt;0,FLOOR(MIN(BD11,100*INDEX(TABLAS!$D$52:$D$58,MIN(MATCH(IF(ISNUMBER(S11),S11,DATOS!$C$138),TABLAS!$B$52:$B$58,0)+2,7))/MAX(BQ11,0.0001)),DATOS!$C$144)&gt;=DATOS!$C$143),INDEX(TABLAS!$B$52:$B$58,MIN(MATCH(IF(ISNUMBER(S11),S11,DATOS!$C$138),TABLAS!$B$52:$B$58,0)+2,7)),IF(AND(BQ11&gt;0,FLOOR(MIN(BD11,100*INDEX(TABLAS!$D$52:$D$58,MIN(MATCH(IF(ISNUMBER(S11),S11,DATOS!$C$138),TABLAS!$B$52:$B$58,0)+3,7))/MAX(BQ11,0.0001)),DATOS!$C$144)&gt;=DATOS!$C$143),INDEX(TABLAS!$B$52:$B$58,MIN(MATCH(IF(ISNUMBER(S11),S11,DATOS!$C$138),TABLAS!$B$52:$B$58,0)+3,7)),IF(AND(BQ11&gt;0,FLOOR(MIN(BD11,100*INDEX(TABLAS!$D$52:$D$58,MIN(MATCH(IF(ISNUMBER(S11),S11,DATOS!$C$138),TABLAS!$B$52:$B$58,0)+4,7))/MAX(BQ11,0.0001)),DATOS!$C$144)&gt;=DATOS!$C$143),INDEX(TABLAS!$B$52:$B$58,MIN(MATCH(IF(ISNUMBER(S11),S11,DATOS!$C$138),TABLAS!$B$52:$B$58,0)+4,7)),INDEX(TABLAS!$B$52:$B$58,7)))))))</f>
        <v>3</v>
      </c>
      <c r="BS11" s="71">
        <f>IF(V11&lt;&gt;"SÍ","",IF(BQ11&lt;=0,0,FLOOR(MIN(BD11,100*INDEX(TABLAS!$D$52:$D$58,MATCH(BR11,TABLAS!$B$52:$B$58,0))/BQ11),DATOS!$C$144)))</f>
        <v>32.5</v>
      </c>
      <c r="BT11" s="58">
        <f>IF(V11&lt;&gt;"SÍ","",IF(BS11&lt;=0,0,INDEX(TABLAS!$D$52:$D$58,MATCH(BR11,TABLAS!$B$52:$B$58,0))*100/BS11))</f>
        <v>2.18461538461538</v>
      </c>
      <c r="BU11" s="58">
        <f>IF(V11&lt;&gt;"SÍ","",((W11-AF11-INDEX(TABLAS!$C$52:$C$58,MATCH(BR11,TABLAS!$B$52:$B$58,0))/2)-IF(AND((W11-AF11-INDEX(TABLAS!$C$52:$C$58,MATCH(BR11,TABLAS!$B$52:$B$58,0))/2)&lt;=20,DATOS!$C$65&lt;&gt;"SÍ"),2,0)))</f>
        <v>9.525</v>
      </c>
      <c r="BV11" s="56">
        <f>IF(V11&lt;&gt;"SÍ","",IF(BT11=0,0,DATOS!$C$29*BT11*DATOS!$C$14*(BU11-BT11*DATOS!$C$14/(DATOS!$C$21*100)/2)/1E5))</f>
        <v>0.768731866258267</v>
      </c>
      <c r="BW11" s="65">
        <f>IF(V11&lt;&gt;"SÍ","",IF(BQ11&lt;0,9.99,IF(BV11&gt;0,AY11/BV11,0)))</f>
        <v>0.947089413690831</v>
      </c>
      <c r="BX11" s="66">
        <f>IF(V11&lt;&gt;"SÍ","",IF(BT11=0,"—",0.003*(BU11-(BT11*DATOS!$C$14/(DATOS!$C$21*100)/DATOS!$C$22))/(BT11*DATOS!$C$14/(DATOS!$C$21*100)/DATOS!$C$22)))</f>
        <v>0.0532522400025151</v>
      </c>
      <c r="BY11" s="58">
        <f>IF(V11&lt;&gt;"SÍ","",(W11-AE11-1.5*INDEX(TABLAS!$C$52:$C$58,MATCH(IF(ISNUMBER(S11),S11,DATOS!$C$138),TABLAS!$B$52:$B$58,0))))</f>
        <v>6.575</v>
      </c>
      <c r="BZ11" s="58">
        <f>IF(V11&lt;&gt;"SÍ","",IF(AZ11&lt;=0,0,IF((1-2*AZ11*1E5/(DATOS!$C$29*100*BY11^2*DATOS!$C$21))&lt;0,-1,IF((1-SQRT((1-2*AZ11*1E5/(DATOS!$C$29*100*BY11^2*DATOS!$C$21))))*DATOS!$C$21*100*BY11/DATOS!$C$14&gt;DATOS!$C$102*100*BY11,-1,(1-SQRT((1-2*AZ11*1E5/(DATOS!$C$29*100*BY11^2*DATOS!$C$21))))*DATOS!$C$21*100*BY11/DATOS!$C$14))))</f>
        <v>0</v>
      </c>
      <c r="CA11" s="58">
        <f>IF(V11&lt;&gt;"SÍ","",IF(BZ11&lt;0,-1,MAX(BZ11,BC11)))</f>
        <v>2.16</v>
      </c>
      <c r="CB11" s="64">
        <f>IF(V11&lt;&gt;"SÍ","",IF(AND(CA11&gt;0,FLOOR(MIN(BD11,100*INDEX(TABLAS!$D$52:$D$58,MIN(MATCH(IF(ISNUMBER(S11),S11,DATOS!$C$138),TABLAS!$B$52:$B$58,0)+0,7))/MAX(CA11,0.0001)),DATOS!$C$144)&gt;=DATOS!$C$143),INDEX(TABLAS!$B$52:$B$58,MIN(MATCH(IF(ISNUMBER(S11),S11,DATOS!$C$138),TABLAS!$B$52:$B$58,0)+0,7)),IF(AND(CA11&gt;0,FLOOR(MIN(BD11,100*INDEX(TABLAS!$D$52:$D$58,MIN(MATCH(IF(ISNUMBER(S11),S11,DATOS!$C$138),TABLAS!$B$52:$B$58,0)+1,7))/MAX(CA11,0.0001)),DATOS!$C$144)&gt;=DATOS!$C$143),INDEX(TABLAS!$B$52:$B$58,MIN(MATCH(IF(ISNUMBER(S11),S11,DATOS!$C$138),TABLAS!$B$52:$B$58,0)+1,7)),IF(AND(CA11&gt;0,FLOOR(MIN(BD11,100*INDEX(TABLAS!$D$52:$D$58,MIN(MATCH(IF(ISNUMBER(S11),S11,DATOS!$C$138),TABLAS!$B$52:$B$58,0)+2,7))/MAX(CA11,0.0001)),DATOS!$C$144)&gt;=DATOS!$C$143),INDEX(TABLAS!$B$52:$B$58,MIN(MATCH(IF(ISNUMBER(S11),S11,DATOS!$C$138),TABLAS!$B$52:$B$58,0)+2,7)),IF(AND(CA11&gt;0,FLOOR(MIN(BD11,100*INDEX(TABLAS!$D$52:$D$58,MIN(MATCH(IF(ISNUMBER(S11),S11,DATOS!$C$138),TABLAS!$B$52:$B$58,0)+3,7))/MAX(CA11,0.0001)),DATOS!$C$144)&gt;=DATOS!$C$143),INDEX(TABLAS!$B$52:$B$58,MIN(MATCH(IF(ISNUMBER(S11),S11,DATOS!$C$138),TABLAS!$B$52:$B$58,0)+3,7)),IF(AND(CA11&gt;0,FLOOR(MIN(BD11,100*INDEX(TABLAS!$D$52:$D$58,MIN(MATCH(IF(ISNUMBER(S11),S11,DATOS!$C$138),TABLAS!$B$52:$B$58,0)+4,7))/MAX(CA11,0.0001)),DATOS!$C$144)&gt;=DATOS!$C$143),INDEX(TABLAS!$B$52:$B$58,MIN(MATCH(IF(ISNUMBER(S11),S11,DATOS!$C$138),TABLAS!$B$52:$B$58,0)+4,7)),INDEX(TABLAS!$B$52:$B$58,7)))))))</f>
        <v>3</v>
      </c>
      <c r="CC11" s="71">
        <f>IF(V11&lt;&gt;"SÍ","",IF(CA11&lt;=0,0,FLOOR(MIN(BD11,100*INDEX(TABLAS!$D$52:$D$58,MATCH(CB11,TABLAS!$B$52:$B$58,0))/CA11),DATOS!$C$144)))</f>
        <v>32.5</v>
      </c>
      <c r="CD11" s="58">
        <f>IF(V11&lt;&gt;"SÍ","",IF(CC11&lt;=0,0,INDEX(TABLAS!$D$52:$D$58,MATCH(CB11,TABLAS!$B$52:$B$58,0))*100/CC11))</f>
        <v>2.18461538461538</v>
      </c>
      <c r="CE11" s="58">
        <f>IF(V11&lt;&gt;"SÍ","",W11-AE11-INDEX(TABLAS!$C$52:$C$58,MATCH(BH11,TABLAS!$B$52:$B$58,0))-INDEX(TABLAS!$C$52:$C$58,MATCH(CB11,TABLAS!$B$52:$B$58,0))/2)</f>
        <v>6.575</v>
      </c>
      <c r="CF11" s="56">
        <f>IF(V11&lt;&gt;"SÍ","",IF(CD11=0,0,DATOS!$C$29*CD11*DATOS!$C$14*(CE11-CD11*DATOS!$C$14/(DATOS!$C$21*100)/2)/1E5))</f>
        <v>0.525125404719805</v>
      </c>
      <c r="CG11" s="65">
        <f>IF(V11&lt;&gt;"SÍ","",IF(CA11&lt;0,9.99,IF(CF11&gt;0,AZ11/CF11,0)))</f>
        <v>0</v>
      </c>
      <c r="CH11" s="66">
        <f>IF(V11&lt;&gt;"SÍ","",IF(CD11=0,"—",0.003*(CE11-(CD11*DATOS!$C$14/(DATOS!$C$21*100)/DATOS!$C$22))/(CD11*DATOS!$C$14/(DATOS!$C$21*100)/DATOS!$C$22)))</f>
        <v>0.0358302864059356</v>
      </c>
      <c r="CI11" s="58">
        <f>IF(V11&lt;&gt;"SÍ","",((W11-AF11-1.5*INDEX(TABLAS!$C$52:$C$58,MATCH(IF(ISNUMBER(S11),S11,DATOS!$C$138),TABLAS!$B$52:$B$58,0)))-IF(AND((W11-AF11-1.5*INDEX(TABLAS!$C$52:$C$58,MATCH(IF(ISNUMBER(S11),S11,DATOS!$C$138),TABLAS!$B$52:$B$58,0)))&lt;=20,DATOS!$C$65&lt;&gt;"SÍ"),2,0)))</f>
        <v>8.575</v>
      </c>
      <c r="CJ11" s="58">
        <f>IF(V11&lt;&gt;"SÍ","",IF(BA11&lt;=0,0,IF((1-2*BA11*1E5/(DATOS!$C$29*100*CI11^2*DATOS!$C$21))&lt;0,-1,IF((1-SQRT((1-2*BA11*1E5/(DATOS!$C$29*100*CI11^2*DATOS!$C$21))))*DATOS!$C$21*100*CI11/DATOS!$C$14&gt;DATOS!$C$102*100*CI11,-1,(1-SQRT((1-2*BA11*1E5/(DATOS!$C$29*100*CI11^2*DATOS!$C$21))))*DATOS!$C$21*100*CI11/DATOS!$C$14))))</f>
        <v>0</v>
      </c>
      <c r="CK11" s="58">
        <f>IF(V11&lt;&gt;"SÍ","",IF(CJ11&lt;0,-1,MAX(CJ11,BC11)))</f>
        <v>2.16</v>
      </c>
      <c r="CL11" s="64">
        <f>IF(V11&lt;&gt;"SÍ","",IF(AND(CK11&gt;0,FLOOR(MIN(BD11,100*INDEX(TABLAS!$D$52:$D$58,MIN(MATCH(IF(ISNUMBER(S11),S11,DATOS!$C$138),TABLAS!$B$52:$B$58,0)+0,7))/MAX(CK11,0.0001)),DATOS!$C$144)&gt;=DATOS!$C$143),INDEX(TABLAS!$B$52:$B$58,MIN(MATCH(IF(ISNUMBER(S11),S11,DATOS!$C$138),TABLAS!$B$52:$B$58,0)+0,7)),IF(AND(CK11&gt;0,FLOOR(MIN(BD11,100*INDEX(TABLAS!$D$52:$D$58,MIN(MATCH(IF(ISNUMBER(S11),S11,DATOS!$C$138),TABLAS!$B$52:$B$58,0)+1,7))/MAX(CK11,0.0001)),DATOS!$C$144)&gt;=DATOS!$C$143),INDEX(TABLAS!$B$52:$B$58,MIN(MATCH(IF(ISNUMBER(S11),S11,DATOS!$C$138),TABLAS!$B$52:$B$58,0)+1,7)),IF(AND(CK11&gt;0,FLOOR(MIN(BD11,100*INDEX(TABLAS!$D$52:$D$58,MIN(MATCH(IF(ISNUMBER(S11),S11,DATOS!$C$138),TABLAS!$B$52:$B$58,0)+2,7))/MAX(CK11,0.0001)),DATOS!$C$144)&gt;=DATOS!$C$143),INDEX(TABLAS!$B$52:$B$58,MIN(MATCH(IF(ISNUMBER(S11),S11,DATOS!$C$138),TABLAS!$B$52:$B$58,0)+2,7)),IF(AND(CK11&gt;0,FLOOR(MIN(BD11,100*INDEX(TABLAS!$D$52:$D$58,MIN(MATCH(IF(ISNUMBER(S11),S11,DATOS!$C$138),TABLAS!$B$52:$B$58,0)+3,7))/MAX(CK11,0.0001)),DATOS!$C$144)&gt;=DATOS!$C$143),INDEX(TABLAS!$B$52:$B$58,MIN(MATCH(IF(ISNUMBER(S11),S11,DATOS!$C$138),TABLAS!$B$52:$B$58,0)+3,7)),IF(AND(CK11&gt;0,FLOOR(MIN(BD11,100*INDEX(TABLAS!$D$52:$D$58,MIN(MATCH(IF(ISNUMBER(S11),S11,DATOS!$C$138),TABLAS!$B$52:$B$58,0)+4,7))/MAX(CK11,0.0001)),DATOS!$C$144)&gt;=DATOS!$C$143),INDEX(TABLAS!$B$52:$B$58,MIN(MATCH(IF(ISNUMBER(S11),S11,DATOS!$C$138),TABLAS!$B$52:$B$58,0)+4,7)),INDEX(TABLAS!$B$52:$B$58,7)))))))</f>
        <v>3</v>
      </c>
      <c r="CM11" s="71">
        <f>IF(V11&lt;&gt;"SÍ","",IF(CK11&lt;=0,0,FLOOR(MIN(BD11,100*INDEX(TABLAS!$D$52:$D$58,MATCH(CL11,TABLAS!$B$52:$B$58,0))/CK11),DATOS!$C$144)))</f>
        <v>32.5</v>
      </c>
      <c r="CN11" s="58">
        <f>IF(V11&lt;&gt;"SÍ","",IF(CM11&lt;=0,0,INDEX(TABLAS!$D$52:$D$58,MATCH(CL11,TABLAS!$B$52:$B$58,0))*100/CM11))</f>
        <v>2.18461538461538</v>
      </c>
      <c r="CO11" s="58">
        <f>IF(V11&lt;&gt;"SÍ","",((W11-AF11-INDEX(TABLAS!$C$52:$C$58,MATCH(BR11,TABLAS!$B$52:$B$58,0))-INDEX(TABLAS!$C$52:$C$58,MATCH(CL11,TABLAS!$B$52:$B$58,0))/2)-IF(AND((W11-AF11-INDEX(TABLAS!$C$52:$C$58,MATCH(BR11,TABLAS!$B$52:$B$58,0))-INDEX(TABLAS!$C$52:$C$58,MATCH(CL11,TABLAS!$B$52:$B$58,0))/2)&lt;=20,DATOS!$C$65&lt;&gt;"SÍ"),2,0)))</f>
        <v>8.575</v>
      </c>
      <c r="CP11" s="56">
        <f>IF(V11&lt;&gt;"SÍ","",IF(CN11=0,0,DATOS!$C$29*CN11*DATOS!$C$14*(CO11-CN11*DATOS!$C$14/(DATOS!$C$21*100)/2)/1E5))</f>
        <v>0.690282327796728</v>
      </c>
      <c r="CQ11" s="65">
        <f>IF(V11&lt;&gt;"SÍ","",IF(CK11&lt;0,9.99,IF(CP11&gt;0,BA11/CP11,0)))</f>
        <v>0</v>
      </c>
      <c r="CR11" s="66">
        <f>IF(V11&lt;&gt;"SÍ","",IF(CN11=0,"—",0.003*(CO11-(CN11*DATOS!$C$14/(DATOS!$C$21*100)/DATOS!$C$22))/(CN11*DATOS!$C$14/(DATOS!$C$21*100)/DATOS!$C$22)))</f>
        <v>0.0476417803697183</v>
      </c>
      <c r="CS11" s="56">
        <f>IF(V11&lt;&gt;"SÍ","",IF(C11="PERIMETRAL",MAX(0,(AC11/2-BU11)/100)*(0.95-0.5*AB11)*AK11*IF(AND(AL11&gt;0,AL11&lt;4),DATOS!$C$33,1)/1000,(AK11*MAX(0,AC11-BU11)/100+DATOS!$C$26*N(P11))/1000))</f>
        <v>1.07675215</v>
      </c>
      <c r="CT11" s="66">
        <f>IF(V11&lt;&gt;"SÍ","",BT11/(100*BU11))</f>
        <v>0.00229355945891379</v>
      </c>
      <c r="CU11" s="56">
        <f>IF(V11&lt;&gt;"SÍ","",DATOS!$C$30*2*MIN(1,SQRT(2/(1+0.04*BU11)))*CT11^(1/3)*SQRT(DATOS!$C$13)*100*BU11/1000)</f>
        <v>2.97917660500721</v>
      </c>
      <c r="CV11" s="67" t="str">
        <f>IF(V11&lt;&gt;"SÍ","",IF(CS11&lt;=CU11,"CUMPLE","NO CUMPLE: sube h"))</f>
        <v>CUMPLE</v>
      </c>
      <c r="CW11" s="58">
        <f>IF(V11&lt;&gt;"SÍ","",IF(C11="PERIMETRAL",IF(ISNUMBER(R11),R11,DATOS!$C$104),0))</f>
        <v>0</v>
      </c>
      <c r="CX11" s="57">
        <f>IF(V11&lt;&gt;"SÍ","",IF(C11="PERIMETRAL",IF(CW11&gt;2,MAX(9,AD11*(0.8+DATOS!$C$14/14000)/(36+9*(AD11/MAX(AC11,1)))),IF(CW11&gt;0.2,MAX(13,AD11*(0.8+DATOS!$C$14/14000)/(36+5*(AD11/MAX(AC11,1))*(CW11-0.2))),MAX(13,AD11/IF(AL11&gt;0,30,33))))*IF(AND(CW11&gt;0.2,AL11&gt;0,DATOS!$C$105="NO"),1.1,1),Z11*100/DATOS!$C$145*(0.4+DATOS!$C$14/7000)))</f>
        <v>12</v>
      </c>
      <c r="CY11" s="61" t="str">
        <f>IF(V11&lt;&gt;"SÍ","",IF(W11&gt;=CX11-0.001,"CUMPLE",IF(C11="VOLADO","NO CUMPLE","CALCULAR FLECHA")))</f>
        <v>CUMPLE</v>
      </c>
      <c r="CZ11" s="60">
        <f>IF(V11&lt;&gt;"SÍ","",IF(C11="VOLADO",MIN(FLOOR(IF(ISNUMBER(Q11),Q11,Z11)*100-DATOS!$C$63,5),CEILING(MAX(IF((0.5*(0.9*W11/100*DATOS!$C$16)*IF(ISNUMBER(Q11),Q11,Z11)+AY11/IF(ISNUMBER(Q11),Q11,Z11))^2-4*(0.5*(0.9*W11/100*DATOS!$C$16))*AY11&lt;0,IF(ISNUMBER(Q11),Q11,Z11),MIN(IF(ISNUMBER(Q11),Q11,Z11),((0.5*(0.9*W11/100*DATOS!$C$16)*IF(ISNUMBER(Q11),Q11,Z11)+AY11/IF(ISNUMBER(Q11),Q11,Z11))-SQRT((0.5*(0.9*W11/100*DATOS!$C$16)*IF(ISNUMBER(Q11),Q11,Z11)+AY11/IF(ISNUMBER(Q11),Q11,Z11))^2-4*(0.5*(0.9*W11/100*DATOS!$C$16))*AY11))/(2*(0.5*(0.9*W11/100*DATOS!$C$16)))))*100+MAX(BU11,12*INDEX(TABLAS!$C$52:$C$58,MATCH(BR11,TABLAS!$B$52:$B$58,0)),IF(ISNUMBER(Q11),Q11,Z11)*100/16),IF(OR(AF11&lt;INDEX(TABLAS!$C$52:$C$58,MATCH(BR11,TABLAS!$B$52:$B$58,0)),BS11-INDEX(TABLAS!$C$52:$C$58,MATCH(BR11,TABLAS!$B$52:$B$58,0))&lt;2*INDEX(TABLAS!$C$52:$C$58,MATCH(BR11,TABLAS!$B$52:$B$58,0))),INDEX(TABLAS!$I$52:$I$58,MATCH(BR11,TABLAS!$B$52:$B$58,0)),INDEX(TABLAS!$F$52:$F$58,MATCH(BR11,TABLAS!$B$52:$B$58,0)))),5)),IF(((4*((AV11*AK11*Z11^2*1E-4/1000)+((MAX(AR11,AT11)*AK11*Z11^2*1E-4/1000)+(IF(AND(AR11&gt;0,AT11&gt;0),MIN(AR11,AT11),MAX(AR11,AT11))*AK11*Z11^2*1E-4/1000))/2)+AY11-(IF(AND(AR11&gt;0,AT11&gt;0),MIN(AR11,AT11),MAX(AR11,AT11))*AK11*Z11^2*1E-4/1000))^2-16*((AV11*AK11*Z11^2*1E-4/1000)+((MAX(AR11,AT11)*AK11*Z11^2*1E-4/1000)+(IF(AND(AR11&gt;0,AT11&gt;0),MIN(AR11,AT11),MAX(AR11,AT11))*AK11*Z11^2*1E-4/1000))/2)*AY11)&lt;0,CEILING(AC11,5),CEILING(MAX(AC11*((4*((AV11*AK11*Z11^2*1E-4/1000)+((MAX(AR11,AT11)*AK11*Z11^2*1E-4/1000)+(IF(AND(AR11&gt;0,AT11&gt;0),MIN(AR11,AT11),MAX(AR11,AT11))*AK11*Z11^2*1E-4/1000))/2)+AY11-(IF(AND(AR11&gt;0,AT11&gt;0),MIN(AR11,AT11),MAX(AR11,AT11))*AK11*Z11^2*1E-4/1000))-SQRT(MAX(0,((4*((AV11*AK11*Z11^2*1E-4/1000)+((MAX(AR11,AT11)*AK11*Z11^2*1E-4/1000)+(IF(AND(AR11&gt;0,AT11&gt;0),MIN(AR11,AT11),MAX(AR11,AT11))*AK11*Z11^2*1E-4/1000))/2)+AY11-(IF(AND(AR11&gt;0,AT11&gt;0),MIN(AR11,AT11),MAX(AR11,AT11))*AK11*Z11^2*1E-4/1000))^2-16*((AV11*AK11*Z11^2*1E-4/1000)+((MAX(AR11,AT11)*AK11*Z11^2*1E-4/1000)+(IF(AND(AR11&gt;0,AT11&gt;0),MIN(AR11,AT11),MAX(AR11,AT11))*AK11*Z11^2*1E-4/1000))/2)*AY11))))/(8*MAX(((AV11*AK11*Z11^2*1E-4/1000)+((MAX(AR11,AT11)*AK11*Z11^2*1E-4/1000)+(IF(AND(AR11&gt;0,AT11&gt;0),MIN(AR11,AT11),MAX(AR11,AT11))*AK11*Z11^2*1E-4/1000))/2),1E-9))+MAX(BU11,12*INDEX(TABLAS!$C$52:$C$58,MATCH(BR11,TABLAS!$B$52:$B$58,0)),AC11/16),IF(OR(AF11&lt;INDEX(TABLAS!$C$52:$C$58,MATCH(BR11,TABLAS!$B$52:$B$58,0)),BS11-INDEX(TABLAS!$C$52:$C$58,MATCH(BR11,TABLAS!$B$52:$B$58,0))&lt;2*INDEX(TABLAS!$C$52:$C$58,MATCH(BR11,TABLAS!$B$52:$B$58,0))),INDEX(TABLAS!$I$52:$I$58,MATCH(BR11,TABLAS!$B$52:$B$58,0)),INDEX(TABLAS!$F$52:$F$58,MATCH(BR11,TABLAS!$B$52:$B$58,0)))),5))))</f>
        <v>210</v>
      </c>
      <c r="DA11" s="60">
        <f>IF(V11&lt;&gt;"SÍ","",IF(C11="VOLADO",0,IF(((4*((AW11*AK11*Z11^2*1E-4/1000)+((MAX(AS11,AU11)*AK11*Z11^2*1E-4/1000)+(IF(AND(AS11&gt;0,AU11&gt;0),MIN(AS11,AU11),MAX(AS11,AU11))*AK11*Z11^2*1E-4/1000))/2)+BA11-(IF(AND(AS11&gt;0,AU11&gt;0),MIN(AS11,AU11),MAX(AS11,AU11))*AK11*Z11^2*1E-4/1000))^2-16*((AW11*AK11*Z11^2*1E-4/1000)+((MAX(AS11,AU11)*AK11*Z11^2*1E-4/1000)+(IF(AND(AS11&gt;0,AU11&gt;0),MIN(AS11,AU11),MAX(AS11,AU11))*AK11*Z11^2*1E-4/1000))/2)*BA11)&lt;0,CEILING(AD11,5),CEILING(MAX(AD11*((4*((AW11*AK11*Z11^2*1E-4/1000)+((MAX(AS11,AU11)*AK11*Z11^2*1E-4/1000)+(IF(AND(AS11&gt;0,AU11&gt;0),MIN(AS11,AU11),MAX(AS11,AU11))*AK11*Z11^2*1E-4/1000))/2)+BA11-(IF(AND(AS11&gt;0,AU11&gt;0),MIN(AS11,AU11),MAX(AS11,AU11))*AK11*Z11^2*1E-4/1000))-SQRT(MAX(0,((4*((AW11*AK11*Z11^2*1E-4/1000)+((MAX(AS11,AU11)*AK11*Z11^2*1E-4/1000)+(IF(AND(AS11&gt;0,AU11&gt;0),MIN(AS11,AU11),MAX(AS11,AU11))*AK11*Z11^2*1E-4/1000))/2)+BA11-(IF(AND(AS11&gt;0,AU11&gt;0),MIN(AS11,AU11),MAX(AS11,AU11))*AK11*Z11^2*1E-4/1000))^2-16*((AW11*AK11*Z11^2*1E-4/1000)+((MAX(AS11,AU11)*AK11*Z11^2*1E-4/1000)+(IF(AND(AS11&gt;0,AU11&gt;0),MIN(AS11,AU11),MAX(AS11,AU11))*AK11*Z11^2*1E-4/1000))/2)*BA11))))/(8*MAX(((AW11*AK11*Z11^2*1E-4/1000)+((MAX(AS11,AU11)*AK11*Z11^2*1E-4/1000)+(IF(AND(AS11&gt;0,AU11&gt;0),MIN(AS11,AU11),MAX(AS11,AU11))*AK11*Z11^2*1E-4/1000))/2),1E-9))+MAX(CO11,12*INDEX(TABLAS!$C$52:$C$58,MATCH(CL11,TABLAS!$B$52:$B$58,0)),AD11/16),IF(OR(AF11&lt;INDEX(TABLAS!$C$52:$C$58,MATCH(CL11,TABLAS!$B$52:$B$58,0)),CM11-INDEX(TABLAS!$C$52:$C$58,MATCH(CL11,TABLAS!$B$52:$B$58,0))&lt;2*INDEX(TABLAS!$C$52:$C$58,MATCH(CL11,TABLAS!$B$52:$B$58,0))),INDEX(TABLAS!$I$52:$I$58,MATCH(CL11,TABLAS!$B$52:$B$58,0)),INDEX(TABLAS!$F$52:$F$58,MATCH(CL11,TABLAS!$B$52:$B$58,0)))),5))))</f>
        <v>0</v>
      </c>
      <c r="DB11" s="55" t="str">
        <f>IF(V11&lt;&gt;"SÍ","",IF(AND(C11="PERIMETRAL",AL11-AM11&gt;0,AT11&gt;0),"SÍ","NO"))</f>
        <v>NO</v>
      </c>
      <c r="DC11" s="55" t="str">
        <f>IF(V11&lt;&gt;"SÍ","",IF(AND(C11="PERIMETRAL",AM11&gt;0,AU11&gt;0),"SÍ","NO"))</f>
        <v>NO</v>
      </c>
      <c r="DD11" s="63" t="str">
        <f>IF(V11&lt;&gt;"SÍ","",IF(OR(C11="VOLADO",AL11=0),"—",IF(AND(AND(INDEX(TABLAS!$G$52:$G$58,MATCH(MAX(BR11,CL11),TABLAS!$B$52:$B$58,0))&lt;=(DATOS!$C$75-DATOS!$C$63),(DATOS!$C$75-DATOS!$C$63)&gt;=15),8*INDEX(TABLAS!$C$52:$C$58,MATCH(MAX(BH11,CB11,BR11,CL11),TABLAS!$B$52:$B$58,0))&lt;=DATOS!$C$76-2*DATOS!$C$63),"CUMPLE (gancho de 180°)",IF(AND(INDEX(TABLAS!$G$52:$G$58,MATCH(MAX(BR11,CL11),TABLAS!$B$52:$B$58,0))&lt;=(DATOS!$C$75-DATOS!$C$63),(DATOS!$C$75-DATOS!$C$63)&gt;=15),"NO CUMPLE: el gancho de 180° (8·d_b) no cabe en el peralte de la dala de borde","NO CUMPLE: dala de borde ≥ "&amp;TEXT(CEILING(MAX(INDEX(TABLAS!$G$52:$G$58,MATCH(MAX(BR11,CL11),TABLAS!$B$52:$B$58,0)),15)+DATOS!$C$63,5),"0")&amp;" cm de ancho"&amp;IF(8*INDEX(TABLAS!$C$52:$C$58,MATCH(MAX(BH11,CB11,BR11,CL11),TABLAS!$B$52:$B$58,0))&lt;=DATOS!$C$76-2*DATOS!$C$63,""," y más peralte para el gancho")))))</f>
        <v>—</v>
      </c>
      <c r="DE11" s="69" t="str">
        <f>IF(V11&lt;&gt;"SÍ","",IF(BI11=0,"NO ALCANZA","No. "&amp;BH11&amp;" @ "&amp;BI11&amp;" cm"&amp;IF(C11="VOLADO"," (temperatura)","")))</f>
        <v>No. 3 @ 32.5 cm (temperatura)</v>
      </c>
      <c r="DF11" s="69" t="str">
        <f>IF(V11&lt;&gt;"SÍ","",IF(BS11=0,"NO ALCANZA",IF(C11="VOLADO","No. "&amp;BR11&amp;" @ "&amp;BS11&amp;" cm"&amp;" de la orilla al respaldo ("&amp;IF(CZ11&gt;=FLOOR(100*IF(ISNUMBER(Q11),Q11,Z11)-DATOS!$C$63,5),"hasta su apoyo lejano, con gancho","entran "&amp;TEXT(CZ11/100,"0.00")&amp;" m desde el paño")&amp;")","Bastones "&amp;"No. "&amp;BR11&amp;" @ "&amp;BS11&amp;" cm"&amp;", L = "&amp;TEXT(CZ11/100,"0.00")&amp;" m desde el paño")))</f>
        <v>No. 3 @ 32.5 cm de la orilla al respaldo (entran 2.10 m desde el paño)</v>
      </c>
      <c r="DG11" s="69" t="str">
        <f>IF(V11&lt;&gt;"SÍ","",IF(CC11=0,"NO ALCANZA","No. "&amp;CB11&amp;" @ "&amp;CC11&amp;" cm"&amp;IF(C11="VOLADO"," (repartición)","")))</f>
        <v>No. 3 @ 32.5 cm (repartición)</v>
      </c>
      <c r="DH11" s="69" t="str">
        <f>IF(V11&lt;&gt;"SÍ","",IF(CM11=0,"NO ALCANZA",IF(C11="VOLADO","No. "&amp;CL11&amp;" @ "&amp;CM11&amp;" cm"&amp;" (repartición)","Bastones "&amp;"No. "&amp;CL11&amp;" @ "&amp;CM11&amp;" cm"&amp;", L = "&amp;TEXT(DA11/100,"0.00")&amp;" m desde el paño")))</f>
        <v>No. 3 @ 32.5 cm (repartición)</v>
      </c>
      <c r="DI11" s="67" t="str">
        <f>IF(B11="","",IF(V11&lt;&gt;"SÍ","FALTAN DATOS: tipo, a_x, a_y, destino y, en volados, L_b",IF(L11="NO MONOLÍTICO (caso II)","FUERA DE ALCANCE: caso II no transcrito",IF(AND(C11="VOLADO",X11="?"),"REVISAR: el volado lleva UN solo borde CONTINUO (el empotrado)",IF(AND(MAX(BM11,BW11,CG11,CQ11)&lt;=1,NOT(OR(BI11&lt;DATOS!$C$143,BS11&lt;DATOS!$C$143,CC11&lt;DATOS!$C$143,CM11&lt;DATOS!$C$143)),NOT(OR(AND(ISNUMBER(BN11),BN11&lt;0.005),AND(ISNUMBER(BX11),BX11&lt;0.005),AND(ISNUMBER(CH11),CH11&lt;0.005),AND(ISNUMBER(CR11),CR11&lt;0.005))),CV11="CUMPLE",CY11="CUMPLE"),"CUMPLE"&amp;IF(LEFT(BB11,5)="FUERA"," · fuera de 3.4.2.1 c)","")&amp;IF(LEFT(DD11,2)="NO"," · REVISAR anclaje en borde discontinuo",""),IF(AND(MAX(BM11,BW11,CG11,CQ11)&lt;=1,NOT(OR(BI11&lt;DATOS!$C$143,BS11&lt;DATOS!$C$143,CC11&lt;DATOS!$C$143,CM11&lt;DATOS!$C$143)),NOT(OR(AND(ISNUMBER(BN11),BN11&lt;0.005),AND(ISNUMBER(BX11),BX11&lt;0.005),AND(ISNUMBER(CH11),CH11&lt;0.005),AND(ISNUMBER(CR11),CR11&lt;0.005))),CV11="CUMPLE",CY11="CALCULAR FLECHA"),"REVISAR: calcular flecha (h &lt; h mín.)"&amp;IF(LEFT(BB11,5)="FUERA"," · fuera de 3.4.2.1 c)","")&amp;IF(LEFT(DD11,2)="NO"," · REVISAR anclaje en borde discontinuo",""),"NO CUMPLE: "&amp;IF(MAX(BM11,BW11,CG11,CQ11)&gt;1,"flexión ","")&amp;IF(OR(BI11&lt;DATOS!$C$143,BS11&lt;DATOS!$C$143,CC11&lt;DATOS!$C$143,CM11&lt;DATOS!$C$143),"separación &lt; mínima ","")&amp;IF(OR(AND(ISNUMBER(BN11),BN11&lt;0.005),AND(ISNUMBER(BX11),BX11&lt;0.005),AND(ISNUMBER(CH11),CH11&lt;0.005),AND(ISNUMBER(CR11),CR11&lt;0.005)),"ε_t &lt; 0.005 ","")&amp;IF(CV11&lt;&gt;"CUMPLE","cortante ","")&amp;IF(CY11="NO CUMPLE","peralte","")))))))</f>
        <v>CUMPLE</v>
      </c>
      <c r="DJ11" s="70" t="str">
        <f>IF(V11&lt;&gt;"SÍ","",IF(LEFT(B11,7)="EJEMPLO","EJEMPLO de tablero típico: bórralo o sobrescríbelo. ","")&amp;IF(C11="VOLADO","Volado de "&amp;TEXT(Z11,"0.00")&amp;" m empotrado en el borde "&amp;LOWER(X11)&amp;IF(N(P11)&gt;0,", con "&amp;TEXT(P11,"0.0")&amp;" kg/m en la orilla","")&amp;". Lecho inferior con r_ext. Si la orilla carga pretil u otro elemento frágil, calcula la flecha (13.4). El acero superior entra al respaldo de "&amp;TEXT(IF(ISNUMBER(Q11),Q11,Z11),"0.00")&amp;" m"&amp;" hasta pasar M = 0 con 0.9·PP sin carga viva; si ahí no se anula, llega al apoyo lejano y se ancla con gancho. ","")&amp;IF(AND(C11="VOLADO",(0.9*W11/100*DATOS!$C$16*IF(ISNUMBER(Q11),Q11,Z11)/2-AY11/IF(ISNUMBER(Q11),Q11,Z11))&lt;0),"Con 0.9·PP y sin carga viva el apoyo lejano del respaldo levanta (R = "&amp;TEXT(-(0.9*W11/100*DATOS!$C$16*IF(ISNUMBER(Q11),Q11,Z11)/2-AY11/IF(ISNUMBER(Q11),Q11,Z11)),"0.00")&amp;" t/m): ancla ahí el acero con gancho y revisa ese apoyo a tensión. ","")&amp;IF(LEFT(BB11,5)="FUERA","El M⁻ del vecino difiere más de 50 % (3.4.2.1 c): distribuye el desequilibrio (3.4.3.1) o confirma con un modelo; se arma con el mayor. ","")&amp;IF(OR(DB11="SÍ",DC11="SÍ"),"Bastones también en los bordes discontinuos (M⁻ de tabla), con gancho. ","")&amp;IF(LEFT(DD11,2)="NO","Anclaje: "&amp;DD11&amp;" (6.7.7.4.1.1). ","")&amp;IF(AND(C11="PERIMETRAL",AM11&gt;=1,AL11-AM11&gt;=1),"Esquinas exteriores sobre muro: refuerzo de esquina arriba y abajo en L_largo/5 (6.7.7.3.1). ",""))</f>
        <v>EJEMPLO de tablero típico: bórralo o sobrescríbelo. Volado de 1.20 m empotrado en el borde izquierdo, con 100.0 kg/m en la orilla. Lecho inferior con r_ext. Si la orilla carga pretil u otro elemento frágil, calcula la flecha (13.4). El acero superior entra al respaldo de 3.00 m hasta pasar M = 0 con 0.9·PP sin carga viva; si ahí no se anula, llega al apoyo lejano y se ancla con gancho. </v>
      </c>
    </row>
    <row r="12" ht="33" customHeight="1">
      <c r="A12" s="50">
        <f>IF(B12="",0,1)+A11</f>
        <v>3</v>
      </c>
      <c r="B12" s="29" t="n"/>
      <c r="C12" s="51" t="n"/>
      <c r="D12" s="29" t="n"/>
      <c r="E12" s="52" t="n"/>
      <c r="F12" s="52" t="n"/>
      <c r="G12" s="51" t="n"/>
      <c r="H12" s="51" t="n"/>
      <c r="I12" s="51" t="n"/>
      <c r="J12" s="51" t="n"/>
      <c r="K12" s="51" t="n"/>
      <c r="L12" s="51" t="n"/>
      <c r="M12" s="54" t="n"/>
      <c r="N12" s="53" t="n"/>
      <c r="O12" s="53" t="n"/>
      <c r="P12" s="54" t="n"/>
      <c r="Q12" s="52" t="n"/>
      <c r="R12" s="54" t="n"/>
      <c r="S12" s="53" t="n"/>
      <c r="T12" s="52" t="n"/>
      <c r="U12" s="52" t="n"/>
      <c r="V12" s="55" t="str">
        <f>IF(B12="","",IF(AND(OR(C12="PERIMETRAL",C12="VOLADO"),ISNUMBER(E12),ISNUMBER(F12),E12&gt;0,F12&gt;0,OR(ISNUMBER(O12),ISNUMBER(MATCH(D12,DATOS!$B$46:$B$58,0))),OR(C12&lt;&gt;"VOLADO",N(Q12)&gt;0)),"SÍ","NO"))</f>
        <v/>
      </c>
      <c r="W12" s="57" t="str">
        <f>IF(V12&lt;&gt;"SÍ","",IF(ISNUMBER(M12),M12,DATOS!$C$137))</f>
        <v/>
      </c>
      <c r="X12" s="55" t="str">
        <f>IF(V12&lt;&gt;"SÍ","",IF(C12&lt;&gt;"VOLADO","—",IF(COUNTIF(G12:J12,"CONTINUO")&lt;&gt;1,"?",IF(G12="CONTINUO","INFERIOR",IF(H12="CONTINUO","SUPERIOR",IF(I12="CONTINUO","IZQUIERDO","DERECHO"))))))</f>
        <v/>
      </c>
      <c r="Y12" s="55" t="str">
        <f>IF(V12&lt;&gt;"SÍ","",IF(C12="VOLADO",IF(OR(X12="IZQUIERDO",X12="DERECHO"),"X","Y"),IF(E12&lt;=F12,"X","Y")))</f>
        <v/>
      </c>
      <c r="Z12" s="56" t="str">
        <f>IF(V12&lt;&gt;"SÍ","",IF(C12="VOLADO",IF(Y12="X",E12,F12),MIN(E12,F12)))</f>
        <v/>
      </c>
      <c r="AA12" s="56" t="str">
        <f>IF(V12&lt;&gt;"SÍ","",IF(C12="VOLADO",IF(Y12="X",F12,E12),MAX(E12,F12)))</f>
        <v/>
      </c>
      <c r="AB12" s="56" t="str">
        <f>IF(V12&lt;&gt;"SÍ","",MIN(Z12,AA12)/MAX(Z12,AA12))</f>
        <v/>
      </c>
      <c r="AC12" s="57" t="str">
        <f>IF(V12&lt;&gt;"SÍ","",MAX(1,Z12*100-IF(C12="VOLADO",DATOS!$C$87/2,DATOS!$C$87)))</f>
        <v/>
      </c>
      <c r="AD12" s="57" t="str">
        <f>IF(V12&lt;&gt;"SÍ","",MAX(1,AA12*100-DATOS!$C$87))</f>
        <v/>
      </c>
      <c r="AE12" s="57" t="str">
        <f>IF(V12&lt;&gt;"SÍ","",IF(C12="VOLADO",DATOS!$C$64,DATOS!$C$62))</f>
        <v/>
      </c>
      <c r="AF12" s="57" t="str">
        <f>IF(V12&lt;&gt;"SÍ","",IF(OR(AND(AG12="SÍ",DATOS!$C$66="SÍ"),AND(C12="VOLADO",DATOS!$C$67="SÍ")),DATOS!$C$64,DATOS!$C$62))</f>
        <v/>
      </c>
      <c r="AG12" s="55" t="str">
        <f>IF(V12&lt;&gt;"SÍ","",IFERROR(INDEX(DATOS!$D$46:$D$58,MATCH(D12,DATOS!$B$46:$B$58,0)),"NO"))</f>
        <v/>
      </c>
      <c r="AH12" s="59" t="str">
        <f>IF(V12&lt;&gt;"SÍ","",IF(ISNUMBER(O12),O12,IFERROR(INDEX(DATOS!$C$46:$C$58,MATCH(D12,DATOS!$B$46:$B$58,0)),0)))</f>
        <v/>
      </c>
      <c r="AI12" s="59" t="str">
        <f>IF(V12&lt;&gt;"SÍ","",W12/100*DATOS!$C$16*1000+DATOS!$C$37+DATOS!$C$38)</f>
        <v/>
      </c>
      <c r="AJ12" s="59" t="str">
        <f>IF(V12&lt;&gt;"SÍ","",AI12+N(N12))</f>
        <v/>
      </c>
      <c r="AK12" s="60" t="str">
        <f>IF(V12&lt;&gt;"SÍ","",MAX(DATOS!$C$26*AJ12+DATOS!$C$27*AH12,IF(AG12="SÍ",DATOS!$C$28*(AJ12+DATOS!$C$41),0)))</f>
        <v/>
      </c>
      <c r="AL12" s="59" t="str">
        <f>IF(V12&lt;&gt;"SÍ","",(G12="DISCONTINUO")+(H12="DISCONTINUO")+(I12="DISCONTINUO")+(J12="DISCONTINUO"))</f>
        <v/>
      </c>
      <c r="AM12" s="59" t="str">
        <f>IF(V12&lt;&gt;"SÍ","",IF(Y12="X",(G12="DISCONTINUO")+(H12="DISCONTINUO"),(I12="DISCONTINUO")+(J12="DISCONTINUO")))</f>
        <v/>
      </c>
      <c r="AN12" s="55" t="str">
        <f>IF(V12&lt;&gt;"SÍ","",IF(AL12=0,"INTERIOR",IF(AL12=1,IF(AM12=1,"BORDE-CORTO","BORDE-LARGO"),IF(AL12=2,IF(AM12=1,"ESQUINA",IF(AM12=2,"EXTREMO-LARGO","EXTREMO-CORTO")),IF(AL12=3,IF(AM12=2,"EXTREMO-LARGO","EXTREMO-CORTO"),"AISLADO")))))</f>
        <v/>
      </c>
      <c r="AO12" s="61" t="str">
        <f>IF(V12&lt;&gt;"SÍ","",IF(OR(K12="",K12="AUTO"),AN12,K12))</f>
        <v/>
      </c>
      <c r="AP12" s="59" t="str">
        <f>IF(V12&lt;&gt;"SÍ","",MATCH(AB12,TABLAS!$D$5:$J$5,1))</f>
        <v/>
      </c>
      <c r="AQ12" s="58" t="str">
        <f>IF(V12&lt;&gt;"SÍ","",IF(AP12&gt;=7,0,(AB12-INDEX(TABLAS!$D$5:$J$5,AP12))/(INDEX(TABLAS!$D$5:$J$5,AP12+1)-INDEX(TABLAS!$D$5:$J$5,AP12))))</f>
        <v/>
      </c>
      <c r="AR12" s="59" t="str">
        <f>IF(V12&lt;&gt;"SÍ","",INDEX(TABLAS!$D$6:$J$47,MATCH(AO12&amp;"|NIC",TABLAS!$B$6:$B$47,0),AP12)+AQ12*(INDEX(TABLAS!$D$6:$J$47,MATCH(AO12&amp;"|NIC",TABLAS!$B$6:$B$47,0),MIN(AP12+1,7))-INDEX(TABLAS!$D$6:$J$47,MATCH(AO12&amp;"|NIC",TABLAS!$B$6:$B$47,0),AP12)))</f>
        <v/>
      </c>
      <c r="AS12" s="59" t="str">
        <f>IF(V12&lt;&gt;"SÍ","",INDEX(TABLAS!$D$6:$J$47,MATCH(AO12&amp;"|NIL",TABLAS!$B$6:$B$47,0),AP12)+AQ12*(INDEX(TABLAS!$D$6:$J$47,MATCH(AO12&amp;"|NIL",TABLAS!$B$6:$B$47,0),MIN(AP12+1,7))-INDEX(TABLAS!$D$6:$J$47,MATCH(AO12&amp;"|NIL",TABLAS!$B$6:$B$47,0),AP12)))</f>
        <v/>
      </c>
      <c r="AT12" s="59" t="str">
        <f>IF(V12&lt;&gt;"SÍ","",INDEX(TABLAS!$D$6:$J$47,MATCH(AO12&amp;"|NDC",TABLAS!$B$6:$B$47,0),AP12)+AQ12*(INDEX(TABLAS!$D$6:$J$47,MATCH(AO12&amp;"|NDC",TABLAS!$B$6:$B$47,0),MIN(AP12+1,7))-INDEX(TABLAS!$D$6:$J$47,MATCH(AO12&amp;"|NDC",TABLAS!$B$6:$B$47,0),AP12)))</f>
        <v/>
      </c>
      <c r="AU12" s="59" t="str">
        <f>IF(V12&lt;&gt;"SÍ","",INDEX(TABLAS!$D$6:$J$47,MATCH(AO12&amp;"|NDL",TABLAS!$B$6:$B$47,0),AP12)+AQ12*(INDEX(TABLAS!$D$6:$J$47,MATCH(AO12&amp;"|NDL",TABLAS!$B$6:$B$47,0),MIN(AP12+1,7))-INDEX(TABLAS!$D$6:$J$47,MATCH(AO12&amp;"|NDL",TABLAS!$B$6:$B$47,0),AP12)))</f>
        <v/>
      </c>
      <c r="AV12" s="59" t="str">
        <f>IF(V12&lt;&gt;"SÍ","",INDEX(TABLAS!$D$6:$J$47,MATCH(AO12&amp;"|PC",TABLAS!$B$6:$B$47,0),AP12)+AQ12*(INDEX(TABLAS!$D$6:$J$47,MATCH(AO12&amp;"|PC",TABLAS!$B$6:$B$47,0),MIN(AP12+1,7))-INDEX(TABLAS!$D$6:$J$47,MATCH(AO12&amp;"|PC",TABLAS!$B$6:$B$47,0),AP12)))</f>
        <v/>
      </c>
      <c r="AW12" s="59" t="str">
        <f>IF(V12&lt;&gt;"SÍ","",INDEX(TABLAS!$D$6:$J$47,MATCH(AO12&amp;"|PL",TABLAS!$B$6:$B$47,0),AP12)+AQ12*(INDEX(TABLAS!$D$6:$J$47,MATCH(AO12&amp;"|PL",TABLAS!$B$6:$B$47,0),MIN(AP12+1,7))-INDEX(TABLAS!$D$6:$J$47,MATCH(AO12&amp;"|PL",TABLAS!$B$6:$B$47,0),AP12)))</f>
        <v/>
      </c>
      <c r="AX12" s="56" t="str">
        <f>IF(V12&lt;&gt;"SÍ","",IF(C12="PERIMETRAL",AV12*AK12*Z12^2*1E-4/1000,0))</f>
        <v/>
      </c>
      <c r="AY12" s="62" t="str">
        <f>IF(V12&lt;&gt;"SÍ","",IF(C12="PERIMETRAL",MAX(MAX(AR12,AT12)*AK12*Z12^2*1E-4/1000,N(T12)),(AK12*(AC12/100)^2/2+DATOS!$C$26*N(P12)*AC12/100)/1000))</f>
        <v/>
      </c>
      <c r="AZ12" s="56" t="str">
        <f>IF(V12&lt;&gt;"SÍ","",IF(C12="PERIMETRAL",AW12*AK12*Z12^2*1E-4/1000,0))</f>
        <v/>
      </c>
      <c r="BA12" s="56" t="str">
        <f>IF(V12&lt;&gt;"SÍ","",IF(C12="PERIMETRAL",MAX(MAX(AS12,AU12)*AK12*Z12^2*1E-4/1000,N(U12)),0))</f>
        <v/>
      </c>
      <c r="BB12" s="63" t="str">
        <f>IF(V12&lt;&gt;"SÍ","",IF(C12&lt;&gt;"PERIMETRAL","—",IF(AND(N(T12)=0,N(U12)=0),"— (sin M⁻ del vecino)",IF(OR(AND(N(T12)&gt;0,ABS(MAX(AR12,AT12)*AK12*Z12^2*1E-4/1000-N(T12))&gt;0.5*MIN(MAX(AR12,AT12)*AK12*Z12^2*1E-4/1000,N(T12))),AND(N(U12)&gt;0,ABS(MAX(AS12,AU12)*AK12*Z12^2*1E-4/1000-N(U12))&gt;0.5*MIN(MAX(AS12,AU12)*AK12*Z12^2*1E-4/1000,N(U12)))),"FUERA: difieren &gt; 50 %"&amp;IF(AND(N(T12)&gt;0,ABS(MAX(AR12,AT12)*AK12*Z12^2*1E-4/1000-N(T12))&gt;0.5*MIN(MAX(AR12,AT12)*AK12*Z12^2*1E-4/1000,N(T12)))," ‖ corto","")&amp;IF(AND(N(U12)&gt;0,ABS(MAX(AS12,AU12)*AK12*Z12^2*1E-4/1000-N(U12))&gt;0.5*MIN(MAX(AS12,AU12)*AK12*Z12^2*1E-4/1000,N(U12)))," ‖ largo",""),"CUMPLE"))))</f>
        <v/>
      </c>
      <c r="BC12" s="58" t="str">
        <f>IF(V12&lt;&gt;"SÍ","",DATOS!$C$139*100*W12)</f>
        <v/>
      </c>
      <c r="BD12" s="57" t="str">
        <f>IF(V12&lt;&gt;"SÍ","",MIN(IF(C12="VOLADO",DATOS!$C$141,DATOS!$C$140)*W12,DATOS!$C$142))</f>
        <v/>
      </c>
      <c r="BE12" s="58" t="str">
        <f>IF(V12&lt;&gt;"SÍ","",(W12-AE12-INDEX(TABLAS!$C$52:$C$58,MATCH(IF(ISNUMBER(S12),S12,DATOS!$C$138),TABLAS!$B$52:$B$58,0))/2))</f>
        <v/>
      </c>
      <c r="BF12" s="58" t="str">
        <f>IF(V12&lt;&gt;"SÍ","",IF(AX12&lt;=0,0,IF((1-2*AX12*1E5/(DATOS!$C$29*100*BE12^2*DATOS!$C$21))&lt;0,-1,IF((1-SQRT((1-2*AX12*1E5/(DATOS!$C$29*100*BE12^2*DATOS!$C$21))))*DATOS!$C$21*100*BE12/DATOS!$C$14&gt;DATOS!$C$102*100*BE12,-1,(1-SQRT((1-2*AX12*1E5/(DATOS!$C$29*100*BE12^2*DATOS!$C$21))))*DATOS!$C$21*100*BE12/DATOS!$C$14))))</f>
        <v/>
      </c>
      <c r="BG12" s="58" t="str">
        <f>IF(V12&lt;&gt;"SÍ","",IF(BF12&lt;0,-1,MAX(BF12,BC12)))</f>
        <v/>
      </c>
      <c r="BH12" s="64" t="str">
        <f>IF(V12&lt;&gt;"SÍ","",IF(AND(BG12&gt;0,FLOOR(MIN(BD12,100*INDEX(TABLAS!$D$52:$D$58,MIN(MATCH(IF(ISNUMBER(S12),S12,DATOS!$C$138),TABLAS!$B$52:$B$58,0)+0,7))/MAX(BG12,0.0001)),DATOS!$C$144)&gt;=DATOS!$C$143),INDEX(TABLAS!$B$52:$B$58,MIN(MATCH(IF(ISNUMBER(S12),S12,DATOS!$C$138),TABLAS!$B$52:$B$58,0)+0,7)),IF(AND(BG12&gt;0,FLOOR(MIN(BD12,100*INDEX(TABLAS!$D$52:$D$58,MIN(MATCH(IF(ISNUMBER(S12),S12,DATOS!$C$138),TABLAS!$B$52:$B$58,0)+1,7))/MAX(BG12,0.0001)),DATOS!$C$144)&gt;=DATOS!$C$143),INDEX(TABLAS!$B$52:$B$58,MIN(MATCH(IF(ISNUMBER(S12),S12,DATOS!$C$138),TABLAS!$B$52:$B$58,0)+1,7)),IF(AND(BG12&gt;0,FLOOR(MIN(BD12,100*INDEX(TABLAS!$D$52:$D$58,MIN(MATCH(IF(ISNUMBER(S12),S12,DATOS!$C$138),TABLAS!$B$52:$B$58,0)+2,7))/MAX(BG12,0.0001)),DATOS!$C$144)&gt;=DATOS!$C$143),INDEX(TABLAS!$B$52:$B$58,MIN(MATCH(IF(ISNUMBER(S12),S12,DATOS!$C$138),TABLAS!$B$52:$B$58,0)+2,7)),IF(AND(BG12&gt;0,FLOOR(MIN(BD12,100*INDEX(TABLAS!$D$52:$D$58,MIN(MATCH(IF(ISNUMBER(S12),S12,DATOS!$C$138),TABLAS!$B$52:$B$58,0)+3,7))/MAX(BG12,0.0001)),DATOS!$C$144)&gt;=DATOS!$C$143),INDEX(TABLAS!$B$52:$B$58,MIN(MATCH(IF(ISNUMBER(S12),S12,DATOS!$C$138),TABLAS!$B$52:$B$58,0)+3,7)),IF(AND(BG12&gt;0,FLOOR(MIN(BD12,100*INDEX(TABLAS!$D$52:$D$58,MIN(MATCH(IF(ISNUMBER(S12),S12,DATOS!$C$138),TABLAS!$B$52:$B$58,0)+4,7))/MAX(BG12,0.0001)),DATOS!$C$144)&gt;=DATOS!$C$143),INDEX(TABLAS!$B$52:$B$58,MIN(MATCH(IF(ISNUMBER(S12),S12,DATOS!$C$138),TABLAS!$B$52:$B$58,0)+4,7)),INDEX(TABLAS!$B$52:$B$58,7)))))))</f>
        <v/>
      </c>
      <c r="BI12" s="71" t="str">
        <f>IF(V12&lt;&gt;"SÍ","",IF(BG12&lt;=0,0,FLOOR(MIN(BD12,100*INDEX(TABLAS!$D$52:$D$58,MATCH(BH12,TABLAS!$B$52:$B$58,0))/BG12),DATOS!$C$144)))</f>
        <v/>
      </c>
      <c r="BJ12" s="58" t="str">
        <f>IF(V12&lt;&gt;"SÍ","",IF(BI12&lt;=0,0,INDEX(TABLAS!$D$52:$D$58,MATCH(BH12,TABLAS!$B$52:$B$58,0))*100/BI12))</f>
        <v/>
      </c>
      <c r="BK12" s="58" t="str">
        <f>IF(V12&lt;&gt;"SÍ","",W12-AE12-INDEX(TABLAS!$C$52:$C$58,MATCH(BH12,TABLAS!$B$52:$B$58,0))/2)</f>
        <v/>
      </c>
      <c r="BL12" s="56" t="str">
        <f>IF(V12&lt;&gt;"SÍ","",IF(BJ12=0,0,DATOS!$C$29*BJ12*DATOS!$C$14*(BK12-BJ12*DATOS!$C$14/(DATOS!$C$21*100)/2)/1E5))</f>
        <v/>
      </c>
      <c r="BM12" s="65" t="str">
        <f>IF(V12&lt;&gt;"SÍ","",IF(BG12&lt;0,9.99,IF(BL12&gt;0,AX12/BL12,0)))</f>
        <v/>
      </c>
      <c r="BN12" s="66" t="str">
        <f>IF(V12&lt;&gt;"SÍ","",IF(BJ12=0,"—",0.003*(BK12-(BJ12*DATOS!$C$14/(DATOS!$C$21*100)/DATOS!$C$22))/(BJ12*DATOS!$C$14/(DATOS!$C$21*100)/DATOS!$C$22)))</f>
        <v/>
      </c>
      <c r="BO12" s="58" t="str">
        <f>IF(V12&lt;&gt;"SÍ","",((W12-AF12-INDEX(TABLAS!$C$52:$C$58,MATCH(IF(ISNUMBER(S12),S12,DATOS!$C$138),TABLAS!$B$52:$B$58,0))/2)-IF(AND((W12-AF12-INDEX(TABLAS!$C$52:$C$58,MATCH(IF(ISNUMBER(S12),S12,DATOS!$C$138),TABLAS!$B$52:$B$58,0))/2)&lt;=20,DATOS!$C$65&lt;&gt;"SÍ"),2,0)))</f>
        <v/>
      </c>
      <c r="BP12" s="58" t="str">
        <f>IF(V12&lt;&gt;"SÍ","",IF(AY12&lt;=0,0,IF((1-2*AY12*1E5/(DATOS!$C$29*100*BO12^2*DATOS!$C$21))&lt;0,-1,IF((1-SQRT((1-2*AY12*1E5/(DATOS!$C$29*100*BO12^2*DATOS!$C$21))))*DATOS!$C$21*100*BO12/DATOS!$C$14&gt;DATOS!$C$102*100*BO12,-1,(1-SQRT((1-2*AY12*1E5/(DATOS!$C$29*100*BO12^2*DATOS!$C$21))))*DATOS!$C$21*100*BO12/DATOS!$C$14))))</f>
        <v/>
      </c>
      <c r="BQ12" s="58" t="str">
        <f>IF(V12&lt;&gt;"SÍ","",IF(BP12&lt;0,-1,MAX(BP12,BC12)))</f>
        <v/>
      </c>
      <c r="BR12" s="64" t="str">
        <f>IF(V12&lt;&gt;"SÍ","",IF(AND(BQ12&gt;0,FLOOR(MIN(BD12,100*INDEX(TABLAS!$D$52:$D$58,MIN(MATCH(IF(ISNUMBER(S12),S12,DATOS!$C$138),TABLAS!$B$52:$B$58,0)+0,7))/MAX(BQ12,0.0001)),DATOS!$C$144)&gt;=DATOS!$C$143),INDEX(TABLAS!$B$52:$B$58,MIN(MATCH(IF(ISNUMBER(S12),S12,DATOS!$C$138),TABLAS!$B$52:$B$58,0)+0,7)),IF(AND(BQ12&gt;0,FLOOR(MIN(BD12,100*INDEX(TABLAS!$D$52:$D$58,MIN(MATCH(IF(ISNUMBER(S12),S12,DATOS!$C$138),TABLAS!$B$52:$B$58,0)+1,7))/MAX(BQ12,0.0001)),DATOS!$C$144)&gt;=DATOS!$C$143),INDEX(TABLAS!$B$52:$B$58,MIN(MATCH(IF(ISNUMBER(S12),S12,DATOS!$C$138),TABLAS!$B$52:$B$58,0)+1,7)),IF(AND(BQ12&gt;0,FLOOR(MIN(BD12,100*INDEX(TABLAS!$D$52:$D$58,MIN(MATCH(IF(ISNUMBER(S12),S12,DATOS!$C$138),TABLAS!$B$52:$B$58,0)+2,7))/MAX(BQ12,0.0001)),DATOS!$C$144)&gt;=DATOS!$C$143),INDEX(TABLAS!$B$52:$B$58,MIN(MATCH(IF(ISNUMBER(S12),S12,DATOS!$C$138),TABLAS!$B$52:$B$58,0)+2,7)),IF(AND(BQ12&gt;0,FLOOR(MIN(BD12,100*INDEX(TABLAS!$D$52:$D$58,MIN(MATCH(IF(ISNUMBER(S12),S12,DATOS!$C$138),TABLAS!$B$52:$B$58,0)+3,7))/MAX(BQ12,0.0001)),DATOS!$C$144)&gt;=DATOS!$C$143),INDEX(TABLAS!$B$52:$B$58,MIN(MATCH(IF(ISNUMBER(S12),S12,DATOS!$C$138),TABLAS!$B$52:$B$58,0)+3,7)),IF(AND(BQ12&gt;0,FLOOR(MIN(BD12,100*INDEX(TABLAS!$D$52:$D$58,MIN(MATCH(IF(ISNUMBER(S12),S12,DATOS!$C$138),TABLAS!$B$52:$B$58,0)+4,7))/MAX(BQ12,0.0001)),DATOS!$C$144)&gt;=DATOS!$C$143),INDEX(TABLAS!$B$52:$B$58,MIN(MATCH(IF(ISNUMBER(S12),S12,DATOS!$C$138),TABLAS!$B$52:$B$58,0)+4,7)),INDEX(TABLAS!$B$52:$B$58,7)))))))</f>
        <v/>
      </c>
      <c r="BS12" s="71" t="str">
        <f>IF(V12&lt;&gt;"SÍ","",IF(BQ12&lt;=0,0,FLOOR(MIN(BD12,100*INDEX(TABLAS!$D$52:$D$58,MATCH(BR12,TABLAS!$B$52:$B$58,0))/BQ12),DATOS!$C$144)))</f>
        <v/>
      </c>
      <c r="BT12" s="58" t="str">
        <f>IF(V12&lt;&gt;"SÍ","",IF(BS12&lt;=0,0,INDEX(TABLAS!$D$52:$D$58,MATCH(BR12,TABLAS!$B$52:$B$58,0))*100/BS12))</f>
        <v/>
      </c>
      <c r="BU12" s="58" t="str">
        <f>IF(V12&lt;&gt;"SÍ","",((W12-AF12-INDEX(TABLAS!$C$52:$C$58,MATCH(BR12,TABLAS!$B$52:$B$58,0))/2)-IF(AND((W12-AF12-INDEX(TABLAS!$C$52:$C$58,MATCH(BR12,TABLAS!$B$52:$B$58,0))/2)&lt;=20,DATOS!$C$65&lt;&gt;"SÍ"),2,0)))</f>
        <v/>
      </c>
      <c r="BV12" s="56" t="str">
        <f>IF(V12&lt;&gt;"SÍ","",IF(BT12=0,0,DATOS!$C$29*BT12*DATOS!$C$14*(BU12-BT12*DATOS!$C$14/(DATOS!$C$21*100)/2)/1E5))</f>
        <v/>
      </c>
      <c r="BW12" s="65" t="str">
        <f>IF(V12&lt;&gt;"SÍ","",IF(BQ12&lt;0,9.99,IF(BV12&gt;0,AY12/BV12,0)))</f>
        <v/>
      </c>
      <c r="BX12" s="66" t="str">
        <f>IF(V12&lt;&gt;"SÍ","",IF(BT12=0,"—",0.003*(BU12-(BT12*DATOS!$C$14/(DATOS!$C$21*100)/DATOS!$C$22))/(BT12*DATOS!$C$14/(DATOS!$C$21*100)/DATOS!$C$22)))</f>
        <v/>
      </c>
      <c r="BY12" s="58" t="str">
        <f>IF(V12&lt;&gt;"SÍ","",(W12-AE12-1.5*INDEX(TABLAS!$C$52:$C$58,MATCH(IF(ISNUMBER(S12),S12,DATOS!$C$138),TABLAS!$B$52:$B$58,0))))</f>
        <v/>
      </c>
      <c r="BZ12" s="58" t="str">
        <f>IF(V12&lt;&gt;"SÍ","",IF(AZ12&lt;=0,0,IF((1-2*AZ12*1E5/(DATOS!$C$29*100*BY12^2*DATOS!$C$21))&lt;0,-1,IF((1-SQRT((1-2*AZ12*1E5/(DATOS!$C$29*100*BY12^2*DATOS!$C$21))))*DATOS!$C$21*100*BY12/DATOS!$C$14&gt;DATOS!$C$102*100*BY12,-1,(1-SQRT((1-2*AZ12*1E5/(DATOS!$C$29*100*BY12^2*DATOS!$C$21))))*DATOS!$C$21*100*BY12/DATOS!$C$14))))</f>
        <v/>
      </c>
      <c r="CA12" s="58" t="str">
        <f>IF(V12&lt;&gt;"SÍ","",IF(BZ12&lt;0,-1,MAX(BZ12,BC12)))</f>
        <v/>
      </c>
      <c r="CB12" s="64" t="str">
        <f>IF(V12&lt;&gt;"SÍ","",IF(AND(CA12&gt;0,FLOOR(MIN(BD12,100*INDEX(TABLAS!$D$52:$D$58,MIN(MATCH(IF(ISNUMBER(S12),S12,DATOS!$C$138),TABLAS!$B$52:$B$58,0)+0,7))/MAX(CA12,0.0001)),DATOS!$C$144)&gt;=DATOS!$C$143),INDEX(TABLAS!$B$52:$B$58,MIN(MATCH(IF(ISNUMBER(S12),S12,DATOS!$C$138),TABLAS!$B$52:$B$58,0)+0,7)),IF(AND(CA12&gt;0,FLOOR(MIN(BD12,100*INDEX(TABLAS!$D$52:$D$58,MIN(MATCH(IF(ISNUMBER(S12),S12,DATOS!$C$138),TABLAS!$B$52:$B$58,0)+1,7))/MAX(CA12,0.0001)),DATOS!$C$144)&gt;=DATOS!$C$143),INDEX(TABLAS!$B$52:$B$58,MIN(MATCH(IF(ISNUMBER(S12),S12,DATOS!$C$138),TABLAS!$B$52:$B$58,0)+1,7)),IF(AND(CA12&gt;0,FLOOR(MIN(BD12,100*INDEX(TABLAS!$D$52:$D$58,MIN(MATCH(IF(ISNUMBER(S12),S12,DATOS!$C$138),TABLAS!$B$52:$B$58,0)+2,7))/MAX(CA12,0.0001)),DATOS!$C$144)&gt;=DATOS!$C$143),INDEX(TABLAS!$B$52:$B$58,MIN(MATCH(IF(ISNUMBER(S12),S12,DATOS!$C$138),TABLAS!$B$52:$B$58,0)+2,7)),IF(AND(CA12&gt;0,FLOOR(MIN(BD12,100*INDEX(TABLAS!$D$52:$D$58,MIN(MATCH(IF(ISNUMBER(S12),S12,DATOS!$C$138),TABLAS!$B$52:$B$58,0)+3,7))/MAX(CA12,0.0001)),DATOS!$C$144)&gt;=DATOS!$C$143),INDEX(TABLAS!$B$52:$B$58,MIN(MATCH(IF(ISNUMBER(S12),S12,DATOS!$C$138),TABLAS!$B$52:$B$58,0)+3,7)),IF(AND(CA12&gt;0,FLOOR(MIN(BD12,100*INDEX(TABLAS!$D$52:$D$58,MIN(MATCH(IF(ISNUMBER(S12),S12,DATOS!$C$138),TABLAS!$B$52:$B$58,0)+4,7))/MAX(CA12,0.0001)),DATOS!$C$144)&gt;=DATOS!$C$143),INDEX(TABLAS!$B$52:$B$58,MIN(MATCH(IF(ISNUMBER(S12),S12,DATOS!$C$138),TABLAS!$B$52:$B$58,0)+4,7)),INDEX(TABLAS!$B$52:$B$58,7)))))))</f>
        <v/>
      </c>
      <c r="CC12" s="71" t="str">
        <f>IF(V12&lt;&gt;"SÍ","",IF(CA12&lt;=0,0,FLOOR(MIN(BD12,100*INDEX(TABLAS!$D$52:$D$58,MATCH(CB12,TABLAS!$B$52:$B$58,0))/CA12),DATOS!$C$144)))</f>
        <v/>
      </c>
      <c r="CD12" s="58" t="str">
        <f>IF(V12&lt;&gt;"SÍ","",IF(CC12&lt;=0,0,INDEX(TABLAS!$D$52:$D$58,MATCH(CB12,TABLAS!$B$52:$B$58,0))*100/CC12))</f>
        <v/>
      </c>
      <c r="CE12" s="58" t="str">
        <f>IF(V12&lt;&gt;"SÍ","",W12-AE12-INDEX(TABLAS!$C$52:$C$58,MATCH(BH12,TABLAS!$B$52:$B$58,0))-INDEX(TABLAS!$C$52:$C$58,MATCH(CB12,TABLAS!$B$52:$B$58,0))/2)</f>
        <v/>
      </c>
      <c r="CF12" s="56" t="str">
        <f>IF(V12&lt;&gt;"SÍ","",IF(CD12=0,0,DATOS!$C$29*CD12*DATOS!$C$14*(CE12-CD12*DATOS!$C$14/(DATOS!$C$21*100)/2)/1E5))</f>
        <v/>
      </c>
      <c r="CG12" s="65" t="str">
        <f>IF(V12&lt;&gt;"SÍ","",IF(CA12&lt;0,9.99,IF(CF12&gt;0,AZ12/CF12,0)))</f>
        <v/>
      </c>
      <c r="CH12" s="66" t="str">
        <f>IF(V12&lt;&gt;"SÍ","",IF(CD12=0,"—",0.003*(CE12-(CD12*DATOS!$C$14/(DATOS!$C$21*100)/DATOS!$C$22))/(CD12*DATOS!$C$14/(DATOS!$C$21*100)/DATOS!$C$22)))</f>
        <v/>
      </c>
      <c r="CI12" s="58" t="str">
        <f>IF(V12&lt;&gt;"SÍ","",((W12-AF12-1.5*INDEX(TABLAS!$C$52:$C$58,MATCH(IF(ISNUMBER(S12),S12,DATOS!$C$138),TABLAS!$B$52:$B$58,0)))-IF(AND((W12-AF12-1.5*INDEX(TABLAS!$C$52:$C$58,MATCH(IF(ISNUMBER(S12),S12,DATOS!$C$138),TABLAS!$B$52:$B$58,0)))&lt;=20,DATOS!$C$65&lt;&gt;"SÍ"),2,0)))</f>
        <v/>
      </c>
      <c r="CJ12" s="58" t="str">
        <f>IF(V12&lt;&gt;"SÍ","",IF(BA12&lt;=0,0,IF((1-2*BA12*1E5/(DATOS!$C$29*100*CI12^2*DATOS!$C$21))&lt;0,-1,IF((1-SQRT((1-2*BA12*1E5/(DATOS!$C$29*100*CI12^2*DATOS!$C$21))))*DATOS!$C$21*100*CI12/DATOS!$C$14&gt;DATOS!$C$102*100*CI12,-1,(1-SQRT((1-2*BA12*1E5/(DATOS!$C$29*100*CI12^2*DATOS!$C$21))))*DATOS!$C$21*100*CI12/DATOS!$C$14))))</f>
        <v/>
      </c>
      <c r="CK12" s="58" t="str">
        <f>IF(V12&lt;&gt;"SÍ","",IF(CJ12&lt;0,-1,MAX(CJ12,BC12)))</f>
        <v/>
      </c>
      <c r="CL12" s="64" t="str">
        <f>IF(V12&lt;&gt;"SÍ","",IF(AND(CK12&gt;0,FLOOR(MIN(BD12,100*INDEX(TABLAS!$D$52:$D$58,MIN(MATCH(IF(ISNUMBER(S12),S12,DATOS!$C$138),TABLAS!$B$52:$B$58,0)+0,7))/MAX(CK12,0.0001)),DATOS!$C$144)&gt;=DATOS!$C$143),INDEX(TABLAS!$B$52:$B$58,MIN(MATCH(IF(ISNUMBER(S12),S12,DATOS!$C$138),TABLAS!$B$52:$B$58,0)+0,7)),IF(AND(CK12&gt;0,FLOOR(MIN(BD12,100*INDEX(TABLAS!$D$52:$D$58,MIN(MATCH(IF(ISNUMBER(S12),S12,DATOS!$C$138),TABLAS!$B$52:$B$58,0)+1,7))/MAX(CK12,0.0001)),DATOS!$C$144)&gt;=DATOS!$C$143),INDEX(TABLAS!$B$52:$B$58,MIN(MATCH(IF(ISNUMBER(S12),S12,DATOS!$C$138),TABLAS!$B$52:$B$58,0)+1,7)),IF(AND(CK12&gt;0,FLOOR(MIN(BD12,100*INDEX(TABLAS!$D$52:$D$58,MIN(MATCH(IF(ISNUMBER(S12),S12,DATOS!$C$138),TABLAS!$B$52:$B$58,0)+2,7))/MAX(CK12,0.0001)),DATOS!$C$144)&gt;=DATOS!$C$143),INDEX(TABLAS!$B$52:$B$58,MIN(MATCH(IF(ISNUMBER(S12),S12,DATOS!$C$138),TABLAS!$B$52:$B$58,0)+2,7)),IF(AND(CK12&gt;0,FLOOR(MIN(BD12,100*INDEX(TABLAS!$D$52:$D$58,MIN(MATCH(IF(ISNUMBER(S12),S12,DATOS!$C$138),TABLAS!$B$52:$B$58,0)+3,7))/MAX(CK12,0.0001)),DATOS!$C$144)&gt;=DATOS!$C$143),INDEX(TABLAS!$B$52:$B$58,MIN(MATCH(IF(ISNUMBER(S12),S12,DATOS!$C$138),TABLAS!$B$52:$B$58,0)+3,7)),IF(AND(CK12&gt;0,FLOOR(MIN(BD12,100*INDEX(TABLAS!$D$52:$D$58,MIN(MATCH(IF(ISNUMBER(S12),S12,DATOS!$C$138),TABLAS!$B$52:$B$58,0)+4,7))/MAX(CK12,0.0001)),DATOS!$C$144)&gt;=DATOS!$C$143),INDEX(TABLAS!$B$52:$B$58,MIN(MATCH(IF(ISNUMBER(S12),S12,DATOS!$C$138),TABLAS!$B$52:$B$58,0)+4,7)),INDEX(TABLAS!$B$52:$B$58,7)))))))</f>
        <v/>
      </c>
      <c r="CM12" s="71" t="str">
        <f>IF(V12&lt;&gt;"SÍ","",IF(CK12&lt;=0,0,FLOOR(MIN(BD12,100*INDEX(TABLAS!$D$52:$D$58,MATCH(CL12,TABLAS!$B$52:$B$58,0))/CK12),DATOS!$C$144)))</f>
        <v/>
      </c>
      <c r="CN12" s="58" t="str">
        <f>IF(V12&lt;&gt;"SÍ","",IF(CM12&lt;=0,0,INDEX(TABLAS!$D$52:$D$58,MATCH(CL12,TABLAS!$B$52:$B$58,0))*100/CM12))</f>
        <v/>
      </c>
      <c r="CO12" s="58" t="str">
        <f>IF(V12&lt;&gt;"SÍ","",((W12-AF12-INDEX(TABLAS!$C$52:$C$58,MATCH(BR12,TABLAS!$B$52:$B$58,0))-INDEX(TABLAS!$C$52:$C$58,MATCH(CL12,TABLAS!$B$52:$B$58,0))/2)-IF(AND((W12-AF12-INDEX(TABLAS!$C$52:$C$58,MATCH(BR12,TABLAS!$B$52:$B$58,0))-INDEX(TABLAS!$C$52:$C$58,MATCH(CL12,TABLAS!$B$52:$B$58,0))/2)&lt;=20,DATOS!$C$65&lt;&gt;"SÍ"),2,0)))</f>
        <v/>
      </c>
      <c r="CP12" s="56" t="str">
        <f>IF(V12&lt;&gt;"SÍ","",IF(CN12=0,0,DATOS!$C$29*CN12*DATOS!$C$14*(CO12-CN12*DATOS!$C$14/(DATOS!$C$21*100)/2)/1E5))</f>
        <v/>
      </c>
      <c r="CQ12" s="65" t="str">
        <f>IF(V12&lt;&gt;"SÍ","",IF(CK12&lt;0,9.99,IF(CP12&gt;0,BA12/CP12,0)))</f>
        <v/>
      </c>
      <c r="CR12" s="66" t="str">
        <f>IF(V12&lt;&gt;"SÍ","",IF(CN12=0,"—",0.003*(CO12-(CN12*DATOS!$C$14/(DATOS!$C$21*100)/DATOS!$C$22))/(CN12*DATOS!$C$14/(DATOS!$C$21*100)/DATOS!$C$22)))</f>
        <v/>
      </c>
      <c r="CS12" s="56" t="str">
        <f>IF(V12&lt;&gt;"SÍ","",IF(C12="PERIMETRAL",MAX(0,(AC12/2-BU12)/100)*(0.95-0.5*AB12)*AK12*IF(AND(AL12&gt;0,AL12&lt;4),DATOS!$C$33,1)/1000,(AK12*MAX(0,AC12-BU12)/100+DATOS!$C$26*N(P12))/1000))</f>
        <v/>
      </c>
      <c r="CT12" s="66" t="str">
        <f>IF(V12&lt;&gt;"SÍ","",BT12/(100*BU12))</f>
        <v/>
      </c>
      <c r="CU12" s="56" t="str">
        <f>IF(V12&lt;&gt;"SÍ","",DATOS!$C$30*2*MIN(1,SQRT(2/(1+0.04*BU12)))*CT12^(1/3)*SQRT(DATOS!$C$13)*100*BU12/1000)</f>
        <v/>
      </c>
      <c r="CV12" s="67" t="str">
        <f>IF(V12&lt;&gt;"SÍ","",IF(CS12&lt;=CU12,"CUMPLE","NO CUMPLE: sube h"))</f>
        <v/>
      </c>
      <c r="CW12" s="58" t="str">
        <f>IF(V12&lt;&gt;"SÍ","",IF(C12="PERIMETRAL",IF(ISNUMBER(R12),R12,DATOS!$C$104),0))</f>
        <v/>
      </c>
      <c r="CX12" s="57" t="str">
        <f>IF(V12&lt;&gt;"SÍ","",IF(C12="PERIMETRAL",IF(CW12&gt;2,MAX(9,AD12*(0.8+DATOS!$C$14/14000)/(36+9*(AD12/MAX(AC12,1)))),IF(CW12&gt;0.2,MAX(13,AD12*(0.8+DATOS!$C$14/14000)/(36+5*(AD12/MAX(AC12,1))*(CW12-0.2))),MAX(13,AD12/IF(AL12&gt;0,30,33))))*IF(AND(CW12&gt;0.2,AL12&gt;0,DATOS!$C$105="NO"),1.1,1),Z12*100/DATOS!$C$145*(0.4+DATOS!$C$14/7000)))</f>
        <v/>
      </c>
      <c r="CY12" s="61" t="str">
        <f>IF(V12&lt;&gt;"SÍ","",IF(W12&gt;=CX12-0.001,"CUMPLE",IF(C12="VOLADO","NO CUMPLE","CALCULAR FLECHA")))</f>
        <v/>
      </c>
      <c r="CZ12" s="60" t="str">
        <f>IF(V12&lt;&gt;"SÍ","",IF(C12="VOLADO",MIN(FLOOR(IF(ISNUMBER(Q12),Q12,Z12)*100-DATOS!$C$63,5),CEILING(MAX(IF((0.5*(0.9*W12/100*DATOS!$C$16)*IF(ISNUMBER(Q12),Q12,Z12)+AY12/IF(ISNUMBER(Q12),Q12,Z12))^2-4*(0.5*(0.9*W12/100*DATOS!$C$16))*AY12&lt;0,IF(ISNUMBER(Q12),Q12,Z12),MIN(IF(ISNUMBER(Q12),Q12,Z12),((0.5*(0.9*W12/100*DATOS!$C$16)*IF(ISNUMBER(Q12),Q12,Z12)+AY12/IF(ISNUMBER(Q12),Q12,Z12))-SQRT((0.5*(0.9*W12/100*DATOS!$C$16)*IF(ISNUMBER(Q12),Q12,Z12)+AY12/IF(ISNUMBER(Q12),Q12,Z12))^2-4*(0.5*(0.9*W12/100*DATOS!$C$16))*AY12))/(2*(0.5*(0.9*W12/100*DATOS!$C$16)))))*100+MAX(BU12,12*INDEX(TABLAS!$C$52:$C$58,MATCH(BR12,TABLAS!$B$52:$B$58,0)),IF(ISNUMBER(Q12),Q12,Z12)*100/16),IF(OR(AF12&lt;INDEX(TABLAS!$C$52:$C$58,MATCH(BR12,TABLAS!$B$52:$B$58,0)),BS12-INDEX(TABLAS!$C$52:$C$58,MATCH(BR12,TABLAS!$B$52:$B$58,0))&lt;2*INDEX(TABLAS!$C$52:$C$58,MATCH(BR12,TABLAS!$B$52:$B$58,0))),INDEX(TABLAS!$I$52:$I$58,MATCH(BR12,TABLAS!$B$52:$B$58,0)),INDEX(TABLAS!$F$52:$F$58,MATCH(BR12,TABLAS!$B$52:$B$58,0)))),5)),IF(((4*((AV12*AK12*Z12^2*1E-4/1000)+((MAX(AR12,AT12)*AK12*Z12^2*1E-4/1000)+(IF(AND(AR12&gt;0,AT12&gt;0),MIN(AR12,AT12),MAX(AR12,AT12))*AK12*Z12^2*1E-4/1000))/2)+AY12-(IF(AND(AR12&gt;0,AT12&gt;0),MIN(AR12,AT12),MAX(AR12,AT12))*AK12*Z12^2*1E-4/1000))^2-16*((AV12*AK12*Z12^2*1E-4/1000)+((MAX(AR12,AT12)*AK12*Z12^2*1E-4/1000)+(IF(AND(AR12&gt;0,AT12&gt;0),MIN(AR12,AT12),MAX(AR12,AT12))*AK12*Z12^2*1E-4/1000))/2)*AY12)&lt;0,CEILING(AC12,5),CEILING(MAX(AC12*((4*((AV12*AK12*Z12^2*1E-4/1000)+((MAX(AR12,AT12)*AK12*Z12^2*1E-4/1000)+(IF(AND(AR12&gt;0,AT12&gt;0),MIN(AR12,AT12),MAX(AR12,AT12))*AK12*Z12^2*1E-4/1000))/2)+AY12-(IF(AND(AR12&gt;0,AT12&gt;0),MIN(AR12,AT12),MAX(AR12,AT12))*AK12*Z12^2*1E-4/1000))-SQRT(MAX(0,((4*((AV12*AK12*Z12^2*1E-4/1000)+((MAX(AR12,AT12)*AK12*Z12^2*1E-4/1000)+(IF(AND(AR12&gt;0,AT12&gt;0),MIN(AR12,AT12),MAX(AR12,AT12))*AK12*Z12^2*1E-4/1000))/2)+AY12-(IF(AND(AR12&gt;0,AT12&gt;0),MIN(AR12,AT12),MAX(AR12,AT12))*AK12*Z12^2*1E-4/1000))^2-16*((AV12*AK12*Z12^2*1E-4/1000)+((MAX(AR12,AT12)*AK12*Z12^2*1E-4/1000)+(IF(AND(AR12&gt;0,AT12&gt;0),MIN(AR12,AT12),MAX(AR12,AT12))*AK12*Z12^2*1E-4/1000))/2)*AY12))))/(8*MAX(((AV12*AK12*Z12^2*1E-4/1000)+((MAX(AR12,AT12)*AK12*Z12^2*1E-4/1000)+(IF(AND(AR12&gt;0,AT12&gt;0),MIN(AR12,AT12),MAX(AR12,AT12))*AK12*Z12^2*1E-4/1000))/2),1E-9))+MAX(BU12,12*INDEX(TABLAS!$C$52:$C$58,MATCH(BR12,TABLAS!$B$52:$B$58,0)),AC12/16),IF(OR(AF12&lt;INDEX(TABLAS!$C$52:$C$58,MATCH(BR12,TABLAS!$B$52:$B$58,0)),BS12-INDEX(TABLAS!$C$52:$C$58,MATCH(BR12,TABLAS!$B$52:$B$58,0))&lt;2*INDEX(TABLAS!$C$52:$C$58,MATCH(BR12,TABLAS!$B$52:$B$58,0))),INDEX(TABLAS!$I$52:$I$58,MATCH(BR12,TABLAS!$B$52:$B$58,0)),INDEX(TABLAS!$F$52:$F$58,MATCH(BR12,TABLAS!$B$52:$B$58,0)))),5))))</f>
        <v/>
      </c>
      <c r="DA12" s="60" t="str">
        <f>IF(V12&lt;&gt;"SÍ","",IF(C12="VOLADO",0,IF(((4*((AW12*AK12*Z12^2*1E-4/1000)+((MAX(AS12,AU12)*AK12*Z12^2*1E-4/1000)+(IF(AND(AS12&gt;0,AU12&gt;0),MIN(AS12,AU12),MAX(AS12,AU12))*AK12*Z12^2*1E-4/1000))/2)+BA12-(IF(AND(AS12&gt;0,AU12&gt;0),MIN(AS12,AU12),MAX(AS12,AU12))*AK12*Z12^2*1E-4/1000))^2-16*((AW12*AK12*Z12^2*1E-4/1000)+((MAX(AS12,AU12)*AK12*Z12^2*1E-4/1000)+(IF(AND(AS12&gt;0,AU12&gt;0),MIN(AS12,AU12),MAX(AS12,AU12))*AK12*Z12^2*1E-4/1000))/2)*BA12)&lt;0,CEILING(AD12,5),CEILING(MAX(AD12*((4*((AW12*AK12*Z12^2*1E-4/1000)+((MAX(AS12,AU12)*AK12*Z12^2*1E-4/1000)+(IF(AND(AS12&gt;0,AU12&gt;0),MIN(AS12,AU12),MAX(AS12,AU12))*AK12*Z12^2*1E-4/1000))/2)+BA12-(IF(AND(AS12&gt;0,AU12&gt;0),MIN(AS12,AU12),MAX(AS12,AU12))*AK12*Z12^2*1E-4/1000))-SQRT(MAX(0,((4*((AW12*AK12*Z12^2*1E-4/1000)+((MAX(AS12,AU12)*AK12*Z12^2*1E-4/1000)+(IF(AND(AS12&gt;0,AU12&gt;0),MIN(AS12,AU12),MAX(AS12,AU12))*AK12*Z12^2*1E-4/1000))/2)+BA12-(IF(AND(AS12&gt;0,AU12&gt;0),MIN(AS12,AU12),MAX(AS12,AU12))*AK12*Z12^2*1E-4/1000))^2-16*((AW12*AK12*Z12^2*1E-4/1000)+((MAX(AS12,AU12)*AK12*Z12^2*1E-4/1000)+(IF(AND(AS12&gt;0,AU12&gt;0),MIN(AS12,AU12),MAX(AS12,AU12))*AK12*Z12^2*1E-4/1000))/2)*BA12))))/(8*MAX(((AW12*AK12*Z12^2*1E-4/1000)+((MAX(AS12,AU12)*AK12*Z12^2*1E-4/1000)+(IF(AND(AS12&gt;0,AU12&gt;0),MIN(AS12,AU12),MAX(AS12,AU12))*AK12*Z12^2*1E-4/1000))/2),1E-9))+MAX(CO12,12*INDEX(TABLAS!$C$52:$C$58,MATCH(CL12,TABLAS!$B$52:$B$58,0)),AD12/16),IF(OR(AF12&lt;INDEX(TABLAS!$C$52:$C$58,MATCH(CL12,TABLAS!$B$52:$B$58,0)),CM12-INDEX(TABLAS!$C$52:$C$58,MATCH(CL12,TABLAS!$B$52:$B$58,0))&lt;2*INDEX(TABLAS!$C$52:$C$58,MATCH(CL12,TABLAS!$B$52:$B$58,0))),INDEX(TABLAS!$I$52:$I$58,MATCH(CL12,TABLAS!$B$52:$B$58,0)),INDEX(TABLAS!$F$52:$F$58,MATCH(CL12,TABLAS!$B$52:$B$58,0)))),5))))</f>
        <v/>
      </c>
      <c r="DB12" s="55" t="str">
        <f>IF(V12&lt;&gt;"SÍ","",IF(AND(C12="PERIMETRAL",AL12-AM12&gt;0,AT12&gt;0),"SÍ","NO"))</f>
        <v/>
      </c>
      <c r="DC12" s="55" t="str">
        <f>IF(V12&lt;&gt;"SÍ","",IF(AND(C12="PERIMETRAL",AM12&gt;0,AU12&gt;0),"SÍ","NO"))</f>
        <v/>
      </c>
      <c r="DD12" s="63" t="str">
        <f>IF(V12&lt;&gt;"SÍ","",IF(OR(C12="VOLADO",AL12=0),"—",IF(AND(AND(INDEX(TABLAS!$G$52:$G$58,MATCH(MAX(BR12,CL12),TABLAS!$B$52:$B$58,0))&lt;=(DATOS!$C$75-DATOS!$C$63),(DATOS!$C$75-DATOS!$C$63)&gt;=15),8*INDEX(TABLAS!$C$52:$C$58,MATCH(MAX(BH12,CB12,BR12,CL12),TABLAS!$B$52:$B$58,0))&lt;=DATOS!$C$76-2*DATOS!$C$63),"CUMPLE (gancho de 180°)",IF(AND(INDEX(TABLAS!$G$52:$G$58,MATCH(MAX(BR12,CL12),TABLAS!$B$52:$B$58,0))&lt;=(DATOS!$C$75-DATOS!$C$63),(DATOS!$C$75-DATOS!$C$63)&gt;=15),"NO CUMPLE: el gancho de 180° (8·d_b) no cabe en el peralte de la dala de borde","NO CUMPLE: dala de borde ≥ "&amp;TEXT(CEILING(MAX(INDEX(TABLAS!$G$52:$G$58,MATCH(MAX(BR12,CL12),TABLAS!$B$52:$B$58,0)),15)+DATOS!$C$63,5),"0")&amp;" cm de ancho"&amp;IF(8*INDEX(TABLAS!$C$52:$C$58,MATCH(MAX(BH12,CB12,BR12,CL12),TABLAS!$B$52:$B$58,0))&lt;=DATOS!$C$76-2*DATOS!$C$63,""," y más peralte para el gancho")))))</f>
        <v/>
      </c>
      <c r="DE12" s="69" t="str">
        <f>IF(V12&lt;&gt;"SÍ","",IF(BI12=0,"NO ALCANZA","No. "&amp;BH12&amp;" @ "&amp;BI12&amp;" cm"&amp;IF(C12="VOLADO"," (temperatura)","")))</f>
        <v/>
      </c>
      <c r="DF12" s="69" t="str">
        <f>IF(V12&lt;&gt;"SÍ","",IF(BS12=0,"NO ALCANZA",IF(C12="VOLADO","No. "&amp;BR12&amp;" @ "&amp;BS12&amp;" cm"&amp;" de la orilla al respaldo ("&amp;IF(CZ12&gt;=FLOOR(100*IF(ISNUMBER(Q12),Q12,Z12)-DATOS!$C$63,5),"hasta su apoyo lejano, con gancho","entran "&amp;TEXT(CZ12/100,"0.00")&amp;" m desde el paño")&amp;")","Bastones "&amp;"No. "&amp;BR12&amp;" @ "&amp;BS12&amp;" cm"&amp;", L = "&amp;TEXT(CZ12/100,"0.00")&amp;" m desde el paño")))</f>
        <v/>
      </c>
      <c r="DG12" s="69" t="str">
        <f>IF(V12&lt;&gt;"SÍ","",IF(CC12=0,"NO ALCANZA","No. "&amp;CB12&amp;" @ "&amp;CC12&amp;" cm"&amp;IF(C12="VOLADO"," (repartición)","")))</f>
        <v/>
      </c>
      <c r="DH12" s="69" t="str">
        <f>IF(V12&lt;&gt;"SÍ","",IF(CM12=0,"NO ALCANZA",IF(C12="VOLADO","No. "&amp;CL12&amp;" @ "&amp;CM12&amp;" cm"&amp;" (repartición)","Bastones "&amp;"No. "&amp;CL12&amp;" @ "&amp;CM12&amp;" cm"&amp;", L = "&amp;TEXT(DA12/100,"0.00")&amp;" m desde el paño")))</f>
        <v/>
      </c>
      <c r="DI12" s="67" t="str">
        <f>IF(B12="","",IF(V12&lt;&gt;"SÍ","FALTAN DATOS: tipo, a_x, a_y, destino y, en volados, L_b",IF(L12="NO MONOLÍTICO (caso II)","FUERA DE ALCANCE: caso II no transcrito",IF(AND(C12="VOLADO",X12="?"),"REVISAR: el volado lleva UN solo borde CONTINUO (el empotrado)",IF(AND(MAX(BM12,BW12,CG12,CQ12)&lt;=1,NOT(OR(BI12&lt;DATOS!$C$143,BS12&lt;DATOS!$C$143,CC12&lt;DATOS!$C$143,CM12&lt;DATOS!$C$143)),NOT(OR(AND(ISNUMBER(BN12),BN12&lt;0.005),AND(ISNUMBER(BX12),BX12&lt;0.005),AND(ISNUMBER(CH12),CH12&lt;0.005),AND(ISNUMBER(CR12),CR12&lt;0.005))),CV12="CUMPLE",CY12="CUMPLE"),"CUMPLE"&amp;IF(LEFT(BB12,5)="FUERA"," · fuera de 3.4.2.1 c)","")&amp;IF(LEFT(DD12,2)="NO"," · REVISAR anclaje en borde discontinuo",""),IF(AND(MAX(BM12,BW12,CG12,CQ12)&lt;=1,NOT(OR(BI12&lt;DATOS!$C$143,BS12&lt;DATOS!$C$143,CC12&lt;DATOS!$C$143,CM12&lt;DATOS!$C$143)),NOT(OR(AND(ISNUMBER(BN12),BN12&lt;0.005),AND(ISNUMBER(BX12),BX12&lt;0.005),AND(ISNUMBER(CH12),CH12&lt;0.005),AND(ISNUMBER(CR12),CR12&lt;0.005))),CV12="CUMPLE",CY12="CALCULAR FLECHA"),"REVISAR: calcular flecha (h &lt; h mín.)"&amp;IF(LEFT(BB12,5)="FUERA"," · fuera de 3.4.2.1 c)","")&amp;IF(LEFT(DD12,2)="NO"," · REVISAR anclaje en borde discontinuo",""),"NO CUMPLE: "&amp;IF(MAX(BM12,BW12,CG12,CQ12)&gt;1,"flexión ","")&amp;IF(OR(BI12&lt;DATOS!$C$143,BS12&lt;DATOS!$C$143,CC12&lt;DATOS!$C$143,CM12&lt;DATOS!$C$143),"separación &lt; mínima ","")&amp;IF(OR(AND(ISNUMBER(BN12),BN12&lt;0.005),AND(ISNUMBER(BX12),BX12&lt;0.005),AND(ISNUMBER(CH12),CH12&lt;0.005),AND(ISNUMBER(CR12),CR12&lt;0.005)),"ε_t &lt; 0.005 ","")&amp;IF(CV12&lt;&gt;"CUMPLE","cortante ","")&amp;IF(CY12="NO CUMPLE","peralte","")))))))</f>
        <v/>
      </c>
      <c r="DJ12" s="70" t="str">
        <f>IF(V12&lt;&gt;"SÍ","",IF(LEFT(B12,7)="EJEMPLO","EJEMPLO de tablero típico: bórralo o sobrescríbelo. ","")&amp;IF(C12="VOLADO","Volado de "&amp;TEXT(Z12,"0.00")&amp;" m empotrado en el borde "&amp;LOWER(X12)&amp;IF(N(P12)&gt;0,", con "&amp;TEXT(P12,"0.0")&amp;" kg/m en la orilla","")&amp;". Lecho inferior con r_ext. Si la orilla carga pretil u otro elemento frágil, calcula la flecha (13.4). El acero superior entra al respaldo de "&amp;TEXT(IF(ISNUMBER(Q12),Q12,Z12),"0.00")&amp;" m"&amp;" hasta pasar M = 0 con 0.9·PP sin carga viva; si ahí no se anula, llega al apoyo lejano y se ancla con gancho. ","")&amp;IF(AND(C12="VOLADO",(0.9*W12/100*DATOS!$C$16*IF(ISNUMBER(Q12),Q12,Z12)/2-AY12/IF(ISNUMBER(Q12),Q12,Z12))&lt;0),"Con 0.9·PP y sin carga viva el apoyo lejano del respaldo levanta (R = "&amp;TEXT(-(0.9*W12/100*DATOS!$C$16*IF(ISNUMBER(Q12),Q12,Z12)/2-AY12/IF(ISNUMBER(Q12),Q12,Z12)),"0.00")&amp;" t/m): ancla ahí el acero con gancho y revisa ese apoyo a tensión. ","")&amp;IF(LEFT(BB12,5)="FUERA","El M⁻ del vecino difiere más de 50 % (3.4.2.1 c): distribuye el desequilibrio (3.4.3.1) o confirma con un modelo; se arma con el mayor. ","")&amp;IF(OR(DB12="SÍ",DC12="SÍ"),"Bastones también en los bordes discontinuos (M⁻ de tabla), con gancho. ","")&amp;IF(LEFT(DD12,2)="NO","Anclaje: "&amp;DD12&amp;" (6.7.7.4.1.1). ","")&amp;IF(AND(C12="PERIMETRAL",AM12&gt;=1,AL12-AM12&gt;=1),"Esquinas exteriores sobre muro: refuerzo de esquina arriba y abajo en L_largo/5 (6.7.7.3.1). ",""))</f>
        <v/>
      </c>
    </row>
    <row r="13" ht="33" customHeight="1">
      <c r="A13" s="50">
        <f>IF(B13="",0,1)+A12</f>
        <v>3</v>
      </c>
      <c r="B13" s="29" t="n"/>
      <c r="C13" s="51" t="n"/>
      <c r="D13" s="29" t="n"/>
      <c r="E13" s="52" t="n"/>
      <c r="F13" s="52" t="n"/>
      <c r="G13" s="51" t="n"/>
      <c r="H13" s="51" t="n"/>
      <c r="I13" s="51" t="n"/>
      <c r="J13" s="51" t="n"/>
      <c r="K13" s="51" t="n"/>
      <c r="L13" s="51" t="n"/>
      <c r="M13" s="54" t="n"/>
      <c r="N13" s="53" t="n"/>
      <c r="O13" s="53" t="n"/>
      <c r="P13" s="54" t="n"/>
      <c r="Q13" s="52" t="n"/>
      <c r="R13" s="54" t="n"/>
      <c r="S13" s="53" t="n"/>
      <c r="T13" s="52" t="n"/>
      <c r="U13" s="52" t="n"/>
      <c r="V13" s="55" t="str">
        <f>IF(B13="","",IF(AND(OR(C13="PERIMETRAL",C13="VOLADO"),ISNUMBER(E13),ISNUMBER(F13),E13&gt;0,F13&gt;0,OR(ISNUMBER(O13),ISNUMBER(MATCH(D13,DATOS!$B$46:$B$58,0))),OR(C13&lt;&gt;"VOLADO",N(Q13)&gt;0)),"SÍ","NO"))</f>
        <v/>
      </c>
      <c r="W13" s="57" t="str">
        <f>IF(V13&lt;&gt;"SÍ","",IF(ISNUMBER(M13),M13,DATOS!$C$137))</f>
        <v/>
      </c>
      <c r="X13" s="55" t="str">
        <f>IF(V13&lt;&gt;"SÍ","",IF(C13&lt;&gt;"VOLADO","—",IF(COUNTIF(G13:J13,"CONTINUO")&lt;&gt;1,"?",IF(G13="CONTINUO","INFERIOR",IF(H13="CONTINUO","SUPERIOR",IF(I13="CONTINUO","IZQUIERDO","DERECHO"))))))</f>
        <v/>
      </c>
      <c r="Y13" s="55" t="str">
        <f>IF(V13&lt;&gt;"SÍ","",IF(C13="VOLADO",IF(OR(X13="IZQUIERDO",X13="DERECHO"),"X","Y"),IF(E13&lt;=F13,"X","Y")))</f>
        <v/>
      </c>
      <c r="Z13" s="56" t="str">
        <f>IF(V13&lt;&gt;"SÍ","",IF(C13="VOLADO",IF(Y13="X",E13,F13),MIN(E13,F13)))</f>
        <v/>
      </c>
      <c r="AA13" s="56" t="str">
        <f>IF(V13&lt;&gt;"SÍ","",IF(C13="VOLADO",IF(Y13="X",F13,E13),MAX(E13,F13)))</f>
        <v/>
      </c>
      <c r="AB13" s="56" t="str">
        <f>IF(V13&lt;&gt;"SÍ","",MIN(Z13,AA13)/MAX(Z13,AA13))</f>
        <v/>
      </c>
      <c r="AC13" s="57" t="str">
        <f>IF(V13&lt;&gt;"SÍ","",MAX(1,Z13*100-IF(C13="VOLADO",DATOS!$C$87/2,DATOS!$C$87)))</f>
        <v/>
      </c>
      <c r="AD13" s="57" t="str">
        <f>IF(V13&lt;&gt;"SÍ","",MAX(1,AA13*100-DATOS!$C$87))</f>
        <v/>
      </c>
      <c r="AE13" s="57" t="str">
        <f>IF(V13&lt;&gt;"SÍ","",IF(C13="VOLADO",DATOS!$C$64,DATOS!$C$62))</f>
        <v/>
      </c>
      <c r="AF13" s="57" t="str">
        <f>IF(V13&lt;&gt;"SÍ","",IF(OR(AND(AG13="SÍ",DATOS!$C$66="SÍ"),AND(C13="VOLADO",DATOS!$C$67="SÍ")),DATOS!$C$64,DATOS!$C$62))</f>
        <v/>
      </c>
      <c r="AG13" s="55" t="str">
        <f>IF(V13&lt;&gt;"SÍ","",IFERROR(INDEX(DATOS!$D$46:$D$58,MATCH(D13,DATOS!$B$46:$B$58,0)),"NO"))</f>
        <v/>
      </c>
      <c r="AH13" s="59" t="str">
        <f>IF(V13&lt;&gt;"SÍ","",IF(ISNUMBER(O13),O13,IFERROR(INDEX(DATOS!$C$46:$C$58,MATCH(D13,DATOS!$B$46:$B$58,0)),0)))</f>
        <v/>
      </c>
      <c r="AI13" s="59" t="str">
        <f>IF(V13&lt;&gt;"SÍ","",W13/100*DATOS!$C$16*1000+DATOS!$C$37+DATOS!$C$38)</f>
        <v/>
      </c>
      <c r="AJ13" s="59" t="str">
        <f>IF(V13&lt;&gt;"SÍ","",AI13+N(N13))</f>
        <v/>
      </c>
      <c r="AK13" s="60" t="str">
        <f>IF(V13&lt;&gt;"SÍ","",MAX(DATOS!$C$26*AJ13+DATOS!$C$27*AH13,IF(AG13="SÍ",DATOS!$C$28*(AJ13+DATOS!$C$41),0)))</f>
        <v/>
      </c>
      <c r="AL13" s="59" t="str">
        <f>IF(V13&lt;&gt;"SÍ","",(G13="DISCONTINUO")+(H13="DISCONTINUO")+(I13="DISCONTINUO")+(J13="DISCONTINUO"))</f>
        <v/>
      </c>
      <c r="AM13" s="59" t="str">
        <f>IF(V13&lt;&gt;"SÍ","",IF(Y13="X",(G13="DISCONTINUO")+(H13="DISCONTINUO"),(I13="DISCONTINUO")+(J13="DISCONTINUO")))</f>
        <v/>
      </c>
      <c r="AN13" s="55" t="str">
        <f>IF(V13&lt;&gt;"SÍ","",IF(AL13=0,"INTERIOR",IF(AL13=1,IF(AM13=1,"BORDE-CORTO","BORDE-LARGO"),IF(AL13=2,IF(AM13=1,"ESQUINA",IF(AM13=2,"EXTREMO-LARGO","EXTREMO-CORTO")),IF(AL13=3,IF(AM13=2,"EXTREMO-LARGO","EXTREMO-CORTO"),"AISLADO")))))</f>
        <v/>
      </c>
      <c r="AO13" s="61" t="str">
        <f>IF(V13&lt;&gt;"SÍ","",IF(OR(K13="",K13="AUTO"),AN13,K13))</f>
        <v/>
      </c>
      <c r="AP13" s="59" t="str">
        <f>IF(V13&lt;&gt;"SÍ","",MATCH(AB13,TABLAS!$D$5:$J$5,1))</f>
        <v/>
      </c>
      <c r="AQ13" s="58" t="str">
        <f>IF(V13&lt;&gt;"SÍ","",IF(AP13&gt;=7,0,(AB13-INDEX(TABLAS!$D$5:$J$5,AP13))/(INDEX(TABLAS!$D$5:$J$5,AP13+1)-INDEX(TABLAS!$D$5:$J$5,AP13))))</f>
        <v/>
      </c>
      <c r="AR13" s="59" t="str">
        <f>IF(V13&lt;&gt;"SÍ","",INDEX(TABLAS!$D$6:$J$47,MATCH(AO13&amp;"|NIC",TABLAS!$B$6:$B$47,0),AP13)+AQ13*(INDEX(TABLAS!$D$6:$J$47,MATCH(AO13&amp;"|NIC",TABLAS!$B$6:$B$47,0),MIN(AP13+1,7))-INDEX(TABLAS!$D$6:$J$47,MATCH(AO13&amp;"|NIC",TABLAS!$B$6:$B$47,0),AP13)))</f>
        <v/>
      </c>
      <c r="AS13" s="59" t="str">
        <f>IF(V13&lt;&gt;"SÍ","",INDEX(TABLAS!$D$6:$J$47,MATCH(AO13&amp;"|NIL",TABLAS!$B$6:$B$47,0),AP13)+AQ13*(INDEX(TABLAS!$D$6:$J$47,MATCH(AO13&amp;"|NIL",TABLAS!$B$6:$B$47,0),MIN(AP13+1,7))-INDEX(TABLAS!$D$6:$J$47,MATCH(AO13&amp;"|NIL",TABLAS!$B$6:$B$47,0),AP13)))</f>
        <v/>
      </c>
      <c r="AT13" s="59" t="str">
        <f>IF(V13&lt;&gt;"SÍ","",INDEX(TABLAS!$D$6:$J$47,MATCH(AO13&amp;"|NDC",TABLAS!$B$6:$B$47,0),AP13)+AQ13*(INDEX(TABLAS!$D$6:$J$47,MATCH(AO13&amp;"|NDC",TABLAS!$B$6:$B$47,0),MIN(AP13+1,7))-INDEX(TABLAS!$D$6:$J$47,MATCH(AO13&amp;"|NDC",TABLAS!$B$6:$B$47,0),AP13)))</f>
        <v/>
      </c>
      <c r="AU13" s="59" t="str">
        <f>IF(V13&lt;&gt;"SÍ","",INDEX(TABLAS!$D$6:$J$47,MATCH(AO13&amp;"|NDL",TABLAS!$B$6:$B$47,0),AP13)+AQ13*(INDEX(TABLAS!$D$6:$J$47,MATCH(AO13&amp;"|NDL",TABLAS!$B$6:$B$47,0),MIN(AP13+1,7))-INDEX(TABLAS!$D$6:$J$47,MATCH(AO13&amp;"|NDL",TABLAS!$B$6:$B$47,0),AP13)))</f>
        <v/>
      </c>
      <c r="AV13" s="59" t="str">
        <f>IF(V13&lt;&gt;"SÍ","",INDEX(TABLAS!$D$6:$J$47,MATCH(AO13&amp;"|PC",TABLAS!$B$6:$B$47,0),AP13)+AQ13*(INDEX(TABLAS!$D$6:$J$47,MATCH(AO13&amp;"|PC",TABLAS!$B$6:$B$47,0),MIN(AP13+1,7))-INDEX(TABLAS!$D$6:$J$47,MATCH(AO13&amp;"|PC",TABLAS!$B$6:$B$47,0),AP13)))</f>
        <v/>
      </c>
      <c r="AW13" s="59" t="str">
        <f>IF(V13&lt;&gt;"SÍ","",INDEX(TABLAS!$D$6:$J$47,MATCH(AO13&amp;"|PL",TABLAS!$B$6:$B$47,0),AP13)+AQ13*(INDEX(TABLAS!$D$6:$J$47,MATCH(AO13&amp;"|PL",TABLAS!$B$6:$B$47,0),MIN(AP13+1,7))-INDEX(TABLAS!$D$6:$J$47,MATCH(AO13&amp;"|PL",TABLAS!$B$6:$B$47,0),AP13)))</f>
        <v/>
      </c>
      <c r="AX13" s="56" t="str">
        <f>IF(V13&lt;&gt;"SÍ","",IF(C13="PERIMETRAL",AV13*AK13*Z13^2*1E-4/1000,0))</f>
        <v/>
      </c>
      <c r="AY13" s="62" t="str">
        <f>IF(V13&lt;&gt;"SÍ","",IF(C13="PERIMETRAL",MAX(MAX(AR13,AT13)*AK13*Z13^2*1E-4/1000,N(T13)),(AK13*(AC13/100)^2/2+DATOS!$C$26*N(P13)*AC13/100)/1000))</f>
        <v/>
      </c>
      <c r="AZ13" s="56" t="str">
        <f>IF(V13&lt;&gt;"SÍ","",IF(C13="PERIMETRAL",AW13*AK13*Z13^2*1E-4/1000,0))</f>
        <v/>
      </c>
      <c r="BA13" s="56" t="str">
        <f>IF(V13&lt;&gt;"SÍ","",IF(C13="PERIMETRAL",MAX(MAX(AS13,AU13)*AK13*Z13^2*1E-4/1000,N(U13)),0))</f>
        <v/>
      </c>
      <c r="BB13" s="63" t="str">
        <f>IF(V13&lt;&gt;"SÍ","",IF(C13&lt;&gt;"PERIMETRAL","—",IF(AND(N(T13)=0,N(U13)=0),"— (sin M⁻ del vecino)",IF(OR(AND(N(T13)&gt;0,ABS(MAX(AR13,AT13)*AK13*Z13^2*1E-4/1000-N(T13))&gt;0.5*MIN(MAX(AR13,AT13)*AK13*Z13^2*1E-4/1000,N(T13))),AND(N(U13)&gt;0,ABS(MAX(AS13,AU13)*AK13*Z13^2*1E-4/1000-N(U13))&gt;0.5*MIN(MAX(AS13,AU13)*AK13*Z13^2*1E-4/1000,N(U13)))),"FUERA: difieren &gt; 50 %"&amp;IF(AND(N(T13)&gt;0,ABS(MAX(AR13,AT13)*AK13*Z13^2*1E-4/1000-N(T13))&gt;0.5*MIN(MAX(AR13,AT13)*AK13*Z13^2*1E-4/1000,N(T13)))," ‖ corto","")&amp;IF(AND(N(U13)&gt;0,ABS(MAX(AS13,AU13)*AK13*Z13^2*1E-4/1000-N(U13))&gt;0.5*MIN(MAX(AS13,AU13)*AK13*Z13^2*1E-4/1000,N(U13)))," ‖ largo",""),"CUMPLE"))))</f>
        <v/>
      </c>
      <c r="BC13" s="58" t="str">
        <f>IF(V13&lt;&gt;"SÍ","",DATOS!$C$139*100*W13)</f>
        <v/>
      </c>
      <c r="BD13" s="57" t="str">
        <f>IF(V13&lt;&gt;"SÍ","",MIN(IF(C13="VOLADO",DATOS!$C$141,DATOS!$C$140)*W13,DATOS!$C$142))</f>
        <v/>
      </c>
      <c r="BE13" s="58" t="str">
        <f>IF(V13&lt;&gt;"SÍ","",(W13-AE13-INDEX(TABLAS!$C$52:$C$58,MATCH(IF(ISNUMBER(S13),S13,DATOS!$C$138),TABLAS!$B$52:$B$58,0))/2))</f>
        <v/>
      </c>
      <c r="BF13" s="58" t="str">
        <f>IF(V13&lt;&gt;"SÍ","",IF(AX13&lt;=0,0,IF((1-2*AX13*1E5/(DATOS!$C$29*100*BE13^2*DATOS!$C$21))&lt;0,-1,IF((1-SQRT((1-2*AX13*1E5/(DATOS!$C$29*100*BE13^2*DATOS!$C$21))))*DATOS!$C$21*100*BE13/DATOS!$C$14&gt;DATOS!$C$102*100*BE13,-1,(1-SQRT((1-2*AX13*1E5/(DATOS!$C$29*100*BE13^2*DATOS!$C$21))))*DATOS!$C$21*100*BE13/DATOS!$C$14))))</f>
        <v/>
      </c>
      <c r="BG13" s="58" t="str">
        <f>IF(V13&lt;&gt;"SÍ","",IF(BF13&lt;0,-1,MAX(BF13,BC13)))</f>
        <v/>
      </c>
      <c r="BH13" s="64" t="str">
        <f>IF(V13&lt;&gt;"SÍ","",IF(AND(BG13&gt;0,FLOOR(MIN(BD13,100*INDEX(TABLAS!$D$52:$D$58,MIN(MATCH(IF(ISNUMBER(S13),S13,DATOS!$C$138),TABLAS!$B$52:$B$58,0)+0,7))/MAX(BG13,0.0001)),DATOS!$C$144)&gt;=DATOS!$C$143),INDEX(TABLAS!$B$52:$B$58,MIN(MATCH(IF(ISNUMBER(S13),S13,DATOS!$C$138),TABLAS!$B$52:$B$58,0)+0,7)),IF(AND(BG13&gt;0,FLOOR(MIN(BD13,100*INDEX(TABLAS!$D$52:$D$58,MIN(MATCH(IF(ISNUMBER(S13),S13,DATOS!$C$138),TABLAS!$B$52:$B$58,0)+1,7))/MAX(BG13,0.0001)),DATOS!$C$144)&gt;=DATOS!$C$143),INDEX(TABLAS!$B$52:$B$58,MIN(MATCH(IF(ISNUMBER(S13),S13,DATOS!$C$138),TABLAS!$B$52:$B$58,0)+1,7)),IF(AND(BG13&gt;0,FLOOR(MIN(BD13,100*INDEX(TABLAS!$D$52:$D$58,MIN(MATCH(IF(ISNUMBER(S13),S13,DATOS!$C$138),TABLAS!$B$52:$B$58,0)+2,7))/MAX(BG13,0.0001)),DATOS!$C$144)&gt;=DATOS!$C$143),INDEX(TABLAS!$B$52:$B$58,MIN(MATCH(IF(ISNUMBER(S13),S13,DATOS!$C$138),TABLAS!$B$52:$B$58,0)+2,7)),IF(AND(BG13&gt;0,FLOOR(MIN(BD13,100*INDEX(TABLAS!$D$52:$D$58,MIN(MATCH(IF(ISNUMBER(S13),S13,DATOS!$C$138),TABLAS!$B$52:$B$58,0)+3,7))/MAX(BG13,0.0001)),DATOS!$C$144)&gt;=DATOS!$C$143),INDEX(TABLAS!$B$52:$B$58,MIN(MATCH(IF(ISNUMBER(S13),S13,DATOS!$C$138),TABLAS!$B$52:$B$58,0)+3,7)),IF(AND(BG13&gt;0,FLOOR(MIN(BD13,100*INDEX(TABLAS!$D$52:$D$58,MIN(MATCH(IF(ISNUMBER(S13),S13,DATOS!$C$138),TABLAS!$B$52:$B$58,0)+4,7))/MAX(BG13,0.0001)),DATOS!$C$144)&gt;=DATOS!$C$143),INDEX(TABLAS!$B$52:$B$58,MIN(MATCH(IF(ISNUMBER(S13),S13,DATOS!$C$138),TABLAS!$B$52:$B$58,0)+4,7)),INDEX(TABLAS!$B$52:$B$58,7)))))))</f>
        <v/>
      </c>
      <c r="BI13" s="71" t="str">
        <f>IF(V13&lt;&gt;"SÍ","",IF(BG13&lt;=0,0,FLOOR(MIN(BD13,100*INDEX(TABLAS!$D$52:$D$58,MATCH(BH13,TABLAS!$B$52:$B$58,0))/BG13),DATOS!$C$144)))</f>
        <v/>
      </c>
      <c r="BJ13" s="58" t="str">
        <f>IF(V13&lt;&gt;"SÍ","",IF(BI13&lt;=0,0,INDEX(TABLAS!$D$52:$D$58,MATCH(BH13,TABLAS!$B$52:$B$58,0))*100/BI13))</f>
        <v/>
      </c>
      <c r="BK13" s="58" t="str">
        <f>IF(V13&lt;&gt;"SÍ","",W13-AE13-INDEX(TABLAS!$C$52:$C$58,MATCH(BH13,TABLAS!$B$52:$B$58,0))/2)</f>
        <v/>
      </c>
      <c r="BL13" s="56" t="str">
        <f>IF(V13&lt;&gt;"SÍ","",IF(BJ13=0,0,DATOS!$C$29*BJ13*DATOS!$C$14*(BK13-BJ13*DATOS!$C$14/(DATOS!$C$21*100)/2)/1E5))</f>
        <v/>
      </c>
      <c r="BM13" s="65" t="str">
        <f>IF(V13&lt;&gt;"SÍ","",IF(BG13&lt;0,9.99,IF(BL13&gt;0,AX13/BL13,0)))</f>
        <v/>
      </c>
      <c r="BN13" s="66" t="str">
        <f>IF(V13&lt;&gt;"SÍ","",IF(BJ13=0,"—",0.003*(BK13-(BJ13*DATOS!$C$14/(DATOS!$C$21*100)/DATOS!$C$22))/(BJ13*DATOS!$C$14/(DATOS!$C$21*100)/DATOS!$C$22)))</f>
        <v/>
      </c>
      <c r="BO13" s="58" t="str">
        <f>IF(V13&lt;&gt;"SÍ","",((W13-AF13-INDEX(TABLAS!$C$52:$C$58,MATCH(IF(ISNUMBER(S13),S13,DATOS!$C$138),TABLAS!$B$52:$B$58,0))/2)-IF(AND((W13-AF13-INDEX(TABLAS!$C$52:$C$58,MATCH(IF(ISNUMBER(S13),S13,DATOS!$C$138),TABLAS!$B$52:$B$58,0))/2)&lt;=20,DATOS!$C$65&lt;&gt;"SÍ"),2,0)))</f>
        <v/>
      </c>
      <c r="BP13" s="58" t="str">
        <f>IF(V13&lt;&gt;"SÍ","",IF(AY13&lt;=0,0,IF((1-2*AY13*1E5/(DATOS!$C$29*100*BO13^2*DATOS!$C$21))&lt;0,-1,IF((1-SQRT((1-2*AY13*1E5/(DATOS!$C$29*100*BO13^2*DATOS!$C$21))))*DATOS!$C$21*100*BO13/DATOS!$C$14&gt;DATOS!$C$102*100*BO13,-1,(1-SQRT((1-2*AY13*1E5/(DATOS!$C$29*100*BO13^2*DATOS!$C$21))))*DATOS!$C$21*100*BO13/DATOS!$C$14))))</f>
        <v/>
      </c>
      <c r="BQ13" s="58" t="str">
        <f>IF(V13&lt;&gt;"SÍ","",IF(BP13&lt;0,-1,MAX(BP13,BC13)))</f>
        <v/>
      </c>
      <c r="BR13" s="64" t="str">
        <f>IF(V13&lt;&gt;"SÍ","",IF(AND(BQ13&gt;0,FLOOR(MIN(BD13,100*INDEX(TABLAS!$D$52:$D$58,MIN(MATCH(IF(ISNUMBER(S13),S13,DATOS!$C$138),TABLAS!$B$52:$B$58,0)+0,7))/MAX(BQ13,0.0001)),DATOS!$C$144)&gt;=DATOS!$C$143),INDEX(TABLAS!$B$52:$B$58,MIN(MATCH(IF(ISNUMBER(S13),S13,DATOS!$C$138),TABLAS!$B$52:$B$58,0)+0,7)),IF(AND(BQ13&gt;0,FLOOR(MIN(BD13,100*INDEX(TABLAS!$D$52:$D$58,MIN(MATCH(IF(ISNUMBER(S13),S13,DATOS!$C$138),TABLAS!$B$52:$B$58,0)+1,7))/MAX(BQ13,0.0001)),DATOS!$C$144)&gt;=DATOS!$C$143),INDEX(TABLAS!$B$52:$B$58,MIN(MATCH(IF(ISNUMBER(S13),S13,DATOS!$C$138),TABLAS!$B$52:$B$58,0)+1,7)),IF(AND(BQ13&gt;0,FLOOR(MIN(BD13,100*INDEX(TABLAS!$D$52:$D$58,MIN(MATCH(IF(ISNUMBER(S13),S13,DATOS!$C$138),TABLAS!$B$52:$B$58,0)+2,7))/MAX(BQ13,0.0001)),DATOS!$C$144)&gt;=DATOS!$C$143),INDEX(TABLAS!$B$52:$B$58,MIN(MATCH(IF(ISNUMBER(S13),S13,DATOS!$C$138),TABLAS!$B$52:$B$58,0)+2,7)),IF(AND(BQ13&gt;0,FLOOR(MIN(BD13,100*INDEX(TABLAS!$D$52:$D$58,MIN(MATCH(IF(ISNUMBER(S13),S13,DATOS!$C$138),TABLAS!$B$52:$B$58,0)+3,7))/MAX(BQ13,0.0001)),DATOS!$C$144)&gt;=DATOS!$C$143),INDEX(TABLAS!$B$52:$B$58,MIN(MATCH(IF(ISNUMBER(S13),S13,DATOS!$C$138),TABLAS!$B$52:$B$58,0)+3,7)),IF(AND(BQ13&gt;0,FLOOR(MIN(BD13,100*INDEX(TABLAS!$D$52:$D$58,MIN(MATCH(IF(ISNUMBER(S13),S13,DATOS!$C$138),TABLAS!$B$52:$B$58,0)+4,7))/MAX(BQ13,0.0001)),DATOS!$C$144)&gt;=DATOS!$C$143),INDEX(TABLAS!$B$52:$B$58,MIN(MATCH(IF(ISNUMBER(S13),S13,DATOS!$C$138),TABLAS!$B$52:$B$58,0)+4,7)),INDEX(TABLAS!$B$52:$B$58,7)))))))</f>
        <v/>
      </c>
      <c r="BS13" s="71" t="str">
        <f>IF(V13&lt;&gt;"SÍ","",IF(BQ13&lt;=0,0,FLOOR(MIN(BD13,100*INDEX(TABLAS!$D$52:$D$58,MATCH(BR13,TABLAS!$B$52:$B$58,0))/BQ13),DATOS!$C$144)))</f>
        <v/>
      </c>
      <c r="BT13" s="58" t="str">
        <f>IF(V13&lt;&gt;"SÍ","",IF(BS13&lt;=0,0,INDEX(TABLAS!$D$52:$D$58,MATCH(BR13,TABLAS!$B$52:$B$58,0))*100/BS13))</f>
        <v/>
      </c>
      <c r="BU13" s="58" t="str">
        <f>IF(V13&lt;&gt;"SÍ","",((W13-AF13-INDEX(TABLAS!$C$52:$C$58,MATCH(BR13,TABLAS!$B$52:$B$58,0))/2)-IF(AND((W13-AF13-INDEX(TABLAS!$C$52:$C$58,MATCH(BR13,TABLAS!$B$52:$B$58,0))/2)&lt;=20,DATOS!$C$65&lt;&gt;"SÍ"),2,0)))</f>
        <v/>
      </c>
      <c r="BV13" s="56" t="str">
        <f>IF(V13&lt;&gt;"SÍ","",IF(BT13=0,0,DATOS!$C$29*BT13*DATOS!$C$14*(BU13-BT13*DATOS!$C$14/(DATOS!$C$21*100)/2)/1E5))</f>
        <v/>
      </c>
      <c r="BW13" s="65" t="str">
        <f>IF(V13&lt;&gt;"SÍ","",IF(BQ13&lt;0,9.99,IF(BV13&gt;0,AY13/BV13,0)))</f>
        <v/>
      </c>
      <c r="BX13" s="66" t="str">
        <f>IF(V13&lt;&gt;"SÍ","",IF(BT13=0,"—",0.003*(BU13-(BT13*DATOS!$C$14/(DATOS!$C$21*100)/DATOS!$C$22))/(BT13*DATOS!$C$14/(DATOS!$C$21*100)/DATOS!$C$22)))</f>
        <v/>
      </c>
      <c r="BY13" s="58" t="str">
        <f>IF(V13&lt;&gt;"SÍ","",(W13-AE13-1.5*INDEX(TABLAS!$C$52:$C$58,MATCH(IF(ISNUMBER(S13),S13,DATOS!$C$138),TABLAS!$B$52:$B$58,0))))</f>
        <v/>
      </c>
      <c r="BZ13" s="58" t="str">
        <f>IF(V13&lt;&gt;"SÍ","",IF(AZ13&lt;=0,0,IF((1-2*AZ13*1E5/(DATOS!$C$29*100*BY13^2*DATOS!$C$21))&lt;0,-1,IF((1-SQRT((1-2*AZ13*1E5/(DATOS!$C$29*100*BY13^2*DATOS!$C$21))))*DATOS!$C$21*100*BY13/DATOS!$C$14&gt;DATOS!$C$102*100*BY13,-1,(1-SQRT((1-2*AZ13*1E5/(DATOS!$C$29*100*BY13^2*DATOS!$C$21))))*DATOS!$C$21*100*BY13/DATOS!$C$14))))</f>
        <v/>
      </c>
      <c r="CA13" s="58" t="str">
        <f>IF(V13&lt;&gt;"SÍ","",IF(BZ13&lt;0,-1,MAX(BZ13,BC13)))</f>
        <v/>
      </c>
      <c r="CB13" s="64" t="str">
        <f>IF(V13&lt;&gt;"SÍ","",IF(AND(CA13&gt;0,FLOOR(MIN(BD13,100*INDEX(TABLAS!$D$52:$D$58,MIN(MATCH(IF(ISNUMBER(S13),S13,DATOS!$C$138),TABLAS!$B$52:$B$58,0)+0,7))/MAX(CA13,0.0001)),DATOS!$C$144)&gt;=DATOS!$C$143),INDEX(TABLAS!$B$52:$B$58,MIN(MATCH(IF(ISNUMBER(S13),S13,DATOS!$C$138),TABLAS!$B$52:$B$58,0)+0,7)),IF(AND(CA13&gt;0,FLOOR(MIN(BD13,100*INDEX(TABLAS!$D$52:$D$58,MIN(MATCH(IF(ISNUMBER(S13),S13,DATOS!$C$138),TABLAS!$B$52:$B$58,0)+1,7))/MAX(CA13,0.0001)),DATOS!$C$144)&gt;=DATOS!$C$143),INDEX(TABLAS!$B$52:$B$58,MIN(MATCH(IF(ISNUMBER(S13),S13,DATOS!$C$138),TABLAS!$B$52:$B$58,0)+1,7)),IF(AND(CA13&gt;0,FLOOR(MIN(BD13,100*INDEX(TABLAS!$D$52:$D$58,MIN(MATCH(IF(ISNUMBER(S13),S13,DATOS!$C$138),TABLAS!$B$52:$B$58,0)+2,7))/MAX(CA13,0.0001)),DATOS!$C$144)&gt;=DATOS!$C$143),INDEX(TABLAS!$B$52:$B$58,MIN(MATCH(IF(ISNUMBER(S13),S13,DATOS!$C$138),TABLAS!$B$52:$B$58,0)+2,7)),IF(AND(CA13&gt;0,FLOOR(MIN(BD13,100*INDEX(TABLAS!$D$52:$D$58,MIN(MATCH(IF(ISNUMBER(S13),S13,DATOS!$C$138),TABLAS!$B$52:$B$58,0)+3,7))/MAX(CA13,0.0001)),DATOS!$C$144)&gt;=DATOS!$C$143),INDEX(TABLAS!$B$52:$B$58,MIN(MATCH(IF(ISNUMBER(S13),S13,DATOS!$C$138),TABLAS!$B$52:$B$58,0)+3,7)),IF(AND(CA13&gt;0,FLOOR(MIN(BD13,100*INDEX(TABLAS!$D$52:$D$58,MIN(MATCH(IF(ISNUMBER(S13),S13,DATOS!$C$138),TABLAS!$B$52:$B$58,0)+4,7))/MAX(CA13,0.0001)),DATOS!$C$144)&gt;=DATOS!$C$143),INDEX(TABLAS!$B$52:$B$58,MIN(MATCH(IF(ISNUMBER(S13),S13,DATOS!$C$138),TABLAS!$B$52:$B$58,0)+4,7)),INDEX(TABLAS!$B$52:$B$58,7)))))))</f>
        <v/>
      </c>
      <c r="CC13" s="71" t="str">
        <f>IF(V13&lt;&gt;"SÍ","",IF(CA13&lt;=0,0,FLOOR(MIN(BD13,100*INDEX(TABLAS!$D$52:$D$58,MATCH(CB13,TABLAS!$B$52:$B$58,0))/CA13),DATOS!$C$144)))</f>
        <v/>
      </c>
      <c r="CD13" s="58" t="str">
        <f>IF(V13&lt;&gt;"SÍ","",IF(CC13&lt;=0,0,INDEX(TABLAS!$D$52:$D$58,MATCH(CB13,TABLAS!$B$52:$B$58,0))*100/CC13))</f>
        <v/>
      </c>
      <c r="CE13" s="58" t="str">
        <f>IF(V13&lt;&gt;"SÍ","",W13-AE13-INDEX(TABLAS!$C$52:$C$58,MATCH(BH13,TABLAS!$B$52:$B$58,0))-INDEX(TABLAS!$C$52:$C$58,MATCH(CB13,TABLAS!$B$52:$B$58,0))/2)</f>
        <v/>
      </c>
      <c r="CF13" s="56" t="str">
        <f>IF(V13&lt;&gt;"SÍ","",IF(CD13=0,0,DATOS!$C$29*CD13*DATOS!$C$14*(CE13-CD13*DATOS!$C$14/(DATOS!$C$21*100)/2)/1E5))</f>
        <v/>
      </c>
      <c r="CG13" s="65" t="str">
        <f>IF(V13&lt;&gt;"SÍ","",IF(CA13&lt;0,9.99,IF(CF13&gt;0,AZ13/CF13,0)))</f>
        <v/>
      </c>
      <c r="CH13" s="66" t="str">
        <f>IF(V13&lt;&gt;"SÍ","",IF(CD13=0,"—",0.003*(CE13-(CD13*DATOS!$C$14/(DATOS!$C$21*100)/DATOS!$C$22))/(CD13*DATOS!$C$14/(DATOS!$C$21*100)/DATOS!$C$22)))</f>
        <v/>
      </c>
      <c r="CI13" s="58" t="str">
        <f>IF(V13&lt;&gt;"SÍ","",((W13-AF13-1.5*INDEX(TABLAS!$C$52:$C$58,MATCH(IF(ISNUMBER(S13),S13,DATOS!$C$138),TABLAS!$B$52:$B$58,0)))-IF(AND((W13-AF13-1.5*INDEX(TABLAS!$C$52:$C$58,MATCH(IF(ISNUMBER(S13),S13,DATOS!$C$138),TABLAS!$B$52:$B$58,0)))&lt;=20,DATOS!$C$65&lt;&gt;"SÍ"),2,0)))</f>
        <v/>
      </c>
      <c r="CJ13" s="58" t="str">
        <f>IF(V13&lt;&gt;"SÍ","",IF(BA13&lt;=0,0,IF((1-2*BA13*1E5/(DATOS!$C$29*100*CI13^2*DATOS!$C$21))&lt;0,-1,IF((1-SQRT((1-2*BA13*1E5/(DATOS!$C$29*100*CI13^2*DATOS!$C$21))))*DATOS!$C$21*100*CI13/DATOS!$C$14&gt;DATOS!$C$102*100*CI13,-1,(1-SQRT((1-2*BA13*1E5/(DATOS!$C$29*100*CI13^2*DATOS!$C$21))))*DATOS!$C$21*100*CI13/DATOS!$C$14))))</f>
        <v/>
      </c>
      <c r="CK13" s="58" t="str">
        <f>IF(V13&lt;&gt;"SÍ","",IF(CJ13&lt;0,-1,MAX(CJ13,BC13)))</f>
        <v/>
      </c>
      <c r="CL13" s="64" t="str">
        <f>IF(V13&lt;&gt;"SÍ","",IF(AND(CK13&gt;0,FLOOR(MIN(BD13,100*INDEX(TABLAS!$D$52:$D$58,MIN(MATCH(IF(ISNUMBER(S13),S13,DATOS!$C$138),TABLAS!$B$52:$B$58,0)+0,7))/MAX(CK13,0.0001)),DATOS!$C$144)&gt;=DATOS!$C$143),INDEX(TABLAS!$B$52:$B$58,MIN(MATCH(IF(ISNUMBER(S13),S13,DATOS!$C$138),TABLAS!$B$52:$B$58,0)+0,7)),IF(AND(CK13&gt;0,FLOOR(MIN(BD13,100*INDEX(TABLAS!$D$52:$D$58,MIN(MATCH(IF(ISNUMBER(S13),S13,DATOS!$C$138),TABLAS!$B$52:$B$58,0)+1,7))/MAX(CK13,0.0001)),DATOS!$C$144)&gt;=DATOS!$C$143),INDEX(TABLAS!$B$52:$B$58,MIN(MATCH(IF(ISNUMBER(S13),S13,DATOS!$C$138),TABLAS!$B$52:$B$58,0)+1,7)),IF(AND(CK13&gt;0,FLOOR(MIN(BD13,100*INDEX(TABLAS!$D$52:$D$58,MIN(MATCH(IF(ISNUMBER(S13),S13,DATOS!$C$138),TABLAS!$B$52:$B$58,0)+2,7))/MAX(CK13,0.0001)),DATOS!$C$144)&gt;=DATOS!$C$143),INDEX(TABLAS!$B$52:$B$58,MIN(MATCH(IF(ISNUMBER(S13),S13,DATOS!$C$138),TABLAS!$B$52:$B$58,0)+2,7)),IF(AND(CK13&gt;0,FLOOR(MIN(BD13,100*INDEX(TABLAS!$D$52:$D$58,MIN(MATCH(IF(ISNUMBER(S13),S13,DATOS!$C$138),TABLAS!$B$52:$B$58,0)+3,7))/MAX(CK13,0.0001)),DATOS!$C$144)&gt;=DATOS!$C$143),INDEX(TABLAS!$B$52:$B$58,MIN(MATCH(IF(ISNUMBER(S13),S13,DATOS!$C$138),TABLAS!$B$52:$B$58,0)+3,7)),IF(AND(CK13&gt;0,FLOOR(MIN(BD13,100*INDEX(TABLAS!$D$52:$D$58,MIN(MATCH(IF(ISNUMBER(S13),S13,DATOS!$C$138),TABLAS!$B$52:$B$58,0)+4,7))/MAX(CK13,0.0001)),DATOS!$C$144)&gt;=DATOS!$C$143),INDEX(TABLAS!$B$52:$B$58,MIN(MATCH(IF(ISNUMBER(S13),S13,DATOS!$C$138),TABLAS!$B$52:$B$58,0)+4,7)),INDEX(TABLAS!$B$52:$B$58,7)))))))</f>
        <v/>
      </c>
      <c r="CM13" s="71" t="str">
        <f>IF(V13&lt;&gt;"SÍ","",IF(CK13&lt;=0,0,FLOOR(MIN(BD13,100*INDEX(TABLAS!$D$52:$D$58,MATCH(CL13,TABLAS!$B$52:$B$58,0))/CK13),DATOS!$C$144)))</f>
        <v/>
      </c>
      <c r="CN13" s="58" t="str">
        <f>IF(V13&lt;&gt;"SÍ","",IF(CM13&lt;=0,0,INDEX(TABLAS!$D$52:$D$58,MATCH(CL13,TABLAS!$B$52:$B$58,0))*100/CM13))</f>
        <v/>
      </c>
      <c r="CO13" s="58" t="str">
        <f>IF(V13&lt;&gt;"SÍ","",((W13-AF13-INDEX(TABLAS!$C$52:$C$58,MATCH(BR13,TABLAS!$B$52:$B$58,0))-INDEX(TABLAS!$C$52:$C$58,MATCH(CL13,TABLAS!$B$52:$B$58,0))/2)-IF(AND((W13-AF13-INDEX(TABLAS!$C$52:$C$58,MATCH(BR13,TABLAS!$B$52:$B$58,0))-INDEX(TABLAS!$C$52:$C$58,MATCH(CL13,TABLAS!$B$52:$B$58,0))/2)&lt;=20,DATOS!$C$65&lt;&gt;"SÍ"),2,0)))</f>
        <v/>
      </c>
      <c r="CP13" s="56" t="str">
        <f>IF(V13&lt;&gt;"SÍ","",IF(CN13=0,0,DATOS!$C$29*CN13*DATOS!$C$14*(CO13-CN13*DATOS!$C$14/(DATOS!$C$21*100)/2)/1E5))</f>
        <v/>
      </c>
      <c r="CQ13" s="65" t="str">
        <f>IF(V13&lt;&gt;"SÍ","",IF(CK13&lt;0,9.99,IF(CP13&gt;0,BA13/CP13,0)))</f>
        <v/>
      </c>
      <c r="CR13" s="66" t="str">
        <f>IF(V13&lt;&gt;"SÍ","",IF(CN13=0,"—",0.003*(CO13-(CN13*DATOS!$C$14/(DATOS!$C$21*100)/DATOS!$C$22))/(CN13*DATOS!$C$14/(DATOS!$C$21*100)/DATOS!$C$22)))</f>
        <v/>
      </c>
      <c r="CS13" s="56" t="str">
        <f>IF(V13&lt;&gt;"SÍ","",IF(C13="PERIMETRAL",MAX(0,(AC13/2-BU13)/100)*(0.95-0.5*AB13)*AK13*IF(AND(AL13&gt;0,AL13&lt;4),DATOS!$C$33,1)/1000,(AK13*MAX(0,AC13-BU13)/100+DATOS!$C$26*N(P13))/1000))</f>
        <v/>
      </c>
      <c r="CT13" s="66" t="str">
        <f>IF(V13&lt;&gt;"SÍ","",BT13/(100*BU13))</f>
        <v/>
      </c>
      <c r="CU13" s="56" t="str">
        <f>IF(V13&lt;&gt;"SÍ","",DATOS!$C$30*2*MIN(1,SQRT(2/(1+0.04*BU13)))*CT13^(1/3)*SQRT(DATOS!$C$13)*100*BU13/1000)</f>
        <v/>
      </c>
      <c r="CV13" s="67" t="str">
        <f>IF(V13&lt;&gt;"SÍ","",IF(CS13&lt;=CU13,"CUMPLE","NO CUMPLE: sube h"))</f>
        <v/>
      </c>
      <c r="CW13" s="58" t="str">
        <f>IF(V13&lt;&gt;"SÍ","",IF(C13="PERIMETRAL",IF(ISNUMBER(R13),R13,DATOS!$C$104),0))</f>
        <v/>
      </c>
      <c r="CX13" s="57" t="str">
        <f>IF(V13&lt;&gt;"SÍ","",IF(C13="PERIMETRAL",IF(CW13&gt;2,MAX(9,AD13*(0.8+DATOS!$C$14/14000)/(36+9*(AD13/MAX(AC13,1)))),IF(CW13&gt;0.2,MAX(13,AD13*(0.8+DATOS!$C$14/14000)/(36+5*(AD13/MAX(AC13,1))*(CW13-0.2))),MAX(13,AD13/IF(AL13&gt;0,30,33))))*IF(AND(CW13&gt;0.2,AL13&gt;0,DATOS!$C$105="NO"),1.1,1),Z13*100/DATOS!$C$145*(0.4+DATOS!$C$14/7000)))</f>
        <v/>
      </c>
      <c r="CY13" s="61" t="str">
        <f>IF(V13&lt;&gt;"SÍ","",IF(W13&gt;=CX13-0.001,"CUMPLE",IF(C13="VOLADO","NO CUMPLE","CALCULAR FLECHA")))</f>
        <v/>
      </c>
      <c r="CZ13" s="60" t="str">
        <f>IF(V13&lt;&gt;"SÍ","",IF(C13="VOLADO",MIN(FLOOR(IF(ISNUMBER(Q13),Q13,Z13)*100-DATOS!$C$63,5),CEILING(MAX(IF((0.5*(0.9*W13/100*DATOS!$C$16)*IF(ISNUMBER(Q13),Q13,Z13)+AY13/IF(ISNUMBER(Q13),Q13,Z13))^2-4*(0.5*(0.9*W13/100*DATOS!$C$16))*AY13&lt;0,IF(ISNUMBER(Q13),Q13,Z13),MIN(IF(ISNUMBER(Q13),Q13,Z13),((0.5*(0.9*W13/100*DATOS!$C$16)*IF(ISNUMBER(Q13),Q13,Z13)+AY13/IF(ISNUMBER(Q13),Q13,Z13))-SQRT((0.5*(0.9*W13/100*DATOS!$C$16)*IF(ISNUMBER(Q13),Q13,Z13)+AY13/IF(ISNUMBER(Q13),Q13,Z13))^2-4*(0.5*(0.9*W13/100*DATOS!$C$16))*AY13))/(2*(0.5*(0.9*W13/100*DATOS!$C$16)))))*100+MAX(BU13,12*INDEX(TABLAS!$C$52:$C$58,MATCH(BR13,TABLAS!$B$52:$B$58,0)),IF(ISNUMBER(Q13),Q13,Z13)*100/16),IF(OR(AF13&lt;INDEX(TABLAS!$C$52:$C$58,MATCH(BR13,TABLAS!$B$52:$B$58,0)),BS13-INDEX(TABLAS!$C$52:$C$58,MATCH(BR13,TABLAS!$B$52:$B$58,0))&lt;2*INDEX(TABLAS!$C$52:$C$58,MATCH(BR13,TABLAS!$B$52:$B$58,0))),INDEX(TABLAS!$I$52:$I$58,MATCH(BR13,TABLAS!$B$52:$B$58,0)),INDEX(TABLAS!$F$52:$F$58,MATCH(BR13,TABLAS!$B$52:$B$58,0)))),5)),IF(((4*((AV13*AK13*Z13^2*1E-4/1000)+((MAX(AR13,AT13)*AK13*Z13^2*1E-4/1000)+(IF(AND(AR13&gt;0,AT13&gt;0),MIN(AR13,AT13),MAX(AR13,AT13))*AK13*Z13^2*1E-4/1000))/2)+AY13-(IF(AND(AR13&gt;0,AT13&gt;0),MIN(AR13,AT13),MAX(AR13,AT13))*AK13*Z13^2*1E-4/1000))^2-16*((AV13*AK13*Z13^2*1E-4/1000)+((MAX(AR13,AT13)*AK13*Z13^2*1E-4/1000)+(IF(AND(AR13&gt;0,AT13&gt;0),MIN(AR13,AT13),MAX(AR13,AT13))*AK13*Z13^2*1E-4/1000))/2)*AY13)&lt;0,CEILING(AC13,5),CEILING(MAX(AC13*((4*((AV13*AK13*Z13^2*1E-4/1000)+((MAX(AR13,AT13)*AK13*Z13^2*1E-4/1000)+(IF(AND(AR13&gt;0,AT13&gt;0),MIN(AR13,AT13),MAX(AR13,AT13))*AK13*Z13^2*1E-4/1000))/2)+AY13-(IF(AND(AR13&gt;0,AT13&gt;0),MIN(AR13,AT13),MAX(AR13,AT13))*AK13*Z13^2*1E-4/1000))-SQRT(MAX(0,((4*((AV13*AK13*Z13^2*1E-4/1000)+((MAX(AR13,AT13)*AK13*Z13^2*1E-4/1000)+(IF(AND(AR13&gt;0,AT13&gt;0),MIN(AR13,AT13),MAX(AR13,AT13))*AK13*Z13^2*1E-4/1000))/2)+AY13-(IF(AND(AR13&gt;0,AT13&gt;0),MIN(AR13,AT13),MAX(AR13,AT13))*AK13*Z13^2*1E-4/1000))^2-16*((AV13*AK13*Z13^2*1E-4/1000)+((MAX(AR13,AT13)*AK13*Z13^2*1E-4/1000)+(IF(AND(AR13&gt;0,AT13&gt;0),MIN(AR13,AT13),MAX(AR13,AT13))*AK13*Z13^2*1E-4/1000))/2)*AY13))))/(8*MAX(((AV13*AK13*Z13^2*1E-4/1000)+((MAX(AR13,AT13)*AK13*Z13^2*1E-4/1000)+(IF(AND(AR13&gt;0,AT13&gt;0),MIN(AR13,AT13),MAX(AR13,AT13))*AK13*Z13^2*1E-4/1000))/2),1E-9))+MAX(BU13,12*INDEX(TABLAS!$C$52:$C$58,MATCH(BR13,TABLAS!$B$52:$B$58,0)),AC13/16),IF(OR(AF13&lt;INDEX(TABLAS!$C$52:$C$58,MATCH(BR13,TABLAS!$B$52:$B$58,0)),BS13-INDEX(TABLAS!$C$52:$C$58,MATCH(BR13,TABLAS!$B$52:$B$58,0))&lt;2*INDEX(TABLAS!$C$52:$C$58,MATCH(BR13,TABLAS!$B$52:$B$58,0))),INDEX(TABLAS!$I$52:$I$58,MATCH(BR13,TABLAS!$B$52:$B$58,0)),INDEX(TABLAS!$F$52:$F$58,MATCH(BR13,TABLAS!$B$52:$B$58,0)))),5))))</f>
        <v/>
      </c>
      <c r="DA13" s="60" t="str">
        <f>IF(V13&lt;&gt;"SÍ","",IF(C13="VOLADO",0,IF(((4*((AW13*AK13*Z13^2*1E-4/1000)+((MAX(AS13,AU13)*AK13*Z13^2*1E-4/1000)+(IF(AND(AS13&gt;0,AU13&gt;0),MIN(AS13,AU13),MAX(AS13,AU13))*AK13*Z13^2*1E-4/1000))/2)+BA13-(IF(AND(AS13&gt;0,AU13&gt;0),MIN(AS13,AU13),MAX(AS13,AU13))*AK13*Z13^2*1E-4/1000))^2-16*((AW13*AK13*Z13^2*1E-4/1000)+((MAX(AS13,AU13)*AK13*Z13^2*1E-4/1000)+(IF(AND(AS13&gt;0,AU13&gt;0),MIN(AS13,AU13),MAX(AS13,AU13))*AK13*Z13^2*1E-4/1000))/2)*BA13)&lt;0,CEILING(AD13,5),CEILING(MAX(AD13*((4*((AW13*AK13*Z13^2*1E-4/1000)+((MAX(AS13,AU13)*AK13*Z13^2*1E-4/1000)+(IF(AND(AS13&gt;0,AU13&gt;0),MIN(AS13,AU13),MAX(AS13,AU13))*AK13*Z13^2*1E-4/1000))/2)+BA13-(IF(AND(AS13&gt;0,AU13&gt;0),MIN(AS13,AU13),MAX(AS13,AU13))*AK13*Z13^2*1E-4/1000))-SQRT(MAX(0,((4*((AW13*AK13*Z13^2*1E-4/1000)+((MAX(AS13,AU13)*AK13*Z13^2*1E-4/1000)+(IF(AND(AS13&gt;0,AU13&gt;0),MIN(AS13,AU13),MAX(AS13,AU13))*AK13*Z13^2*1E-4/1000))/2)+BA13-(IF(AND(AS13&gt;0,AU13&gt;0),MIN(AS13,AU13),MAX(AS13,AU13))*AK13*Z13^2*1E-4/1000))^2-16*((AW13*AK13*Z13^2*1E-4/1000)+((MAX(AS13,AU13)*AK13*Z13^2*1E-4/1000)+(IF(AND(AS13&gt;0,AU13&gt;0),MIN(AS13,AU13),MAX(AS13,AU13))*AK13*Z13^2*1E-4/1000))/2)*BA13))))/(8*MAX(((AW13*AK13*Z13^2*1E-4/1000)+((MAX(AS13,AU13)*AK13*Z13^2*1E-4/1000)+(IF(AND(AS13&gt;0,AU13&gt;0),MIN(AS13,AU13),MAX(AS13,AU13))*AK13*Z13^2*1E-4/1000))/2),1E-9))+MAX(CO13,12*INDEX(TABLAS!$C$52:$C$58,MATCH(CL13,TABLAS!$B$52:$B$58,0)),AD13/16),IF(OR(AF13&lt;INDEX(TABLAS!$C$52:$C$58,MATCH(CL13,TABLAS!$B$52:$B$58,0)),CM13-INDEX(TABLAS!$C$52:$C$58,MATCH(CL13,TABLAS!$B$52:$B$58,0))&lt;2*INDEX(TABLAS!$C$52:$C$58,MATCH(CL13,TABLAS!$B$52:$B$58,0))),INDEX(TABLAS!$I$52:$I$58,MATCH(CL13,TABLAS!$B$52:$B$58,0)),INDEX(TABLAS!$F$52:$F$58,MATCH(CL13,TABLAS!$B$52:$B$58,0)))),5))))</f>
        <v/>
      </c>
      <c r="DB13" s="55" t="str">
        <f>IF(V13&lt;&gt;"SÍ","",IF(AND(C13="PERIMETRAL",AL13-AM13&gt;0,AT13&gt;0),"SÍ","NO"))</f>
        <v/>
      </c>
      <c r="DC13" s="55" t="str">
        <f>IF(V13&lt;&gt;"SÍ","",IF(AND(C13="PERIMETRAL",AM13&gt;0,AU13&gt;0),"SÍ","NO"))</f>
        <v/>
      </c>
      <c r="DD13" s="63" t="str">
        <f>IF(V13&lt;&gt;"SÍ","",IF(OR(C13="VOLADO",AL13=0),"—",IF(AND(AND(INDEX(TABLAS!$G$52:$G$58,MATCH(MAX(BR13,CL13),TABLAS!$B$52:$B$58,0))&lt;=(DATOS!$C$75-DATOS!$C$63),(DATOS!$C$75-DATOS!$C$63)&gt;=15),8*INDEX(TABLAS!$C$52:$C$58,MATCH(MAX(BH13,CB13,BR13,CL13),TABLAS!$B$52:$B$58,0))&lt;=DATOS!$C$76-2*DATOS!$C$63),"CUMPLE (gancho de 180°)",IF(AND(INDEX(TABLAS!$G$52:$G$58,MATCH(MAX(BR13,CL13),TABLAS!$B$52:$B$58,0))&lt;=(DATOS!$C$75-DATOS!$C$63),(DATOS!$C$75-DATOS!$C$63)&gt;=15),"NO CUMPLE: el gancho de 180° (8·d_b) no cabe en el peralte de la dala de borde","NO CUMPLE: dala de borde ≥ "&amp;TEXT(CEILING(MAX(INDEX(TABLAS!$G$52:$G$58,MATCH(MAX(BR13,CL13),TABLAS!$B$52:$B$58,0)),15)+DATOS!$C$63,5),"0")&amp;" cm de ancho"&amp;IF(8*INDEX(TABLAS!$C$52:$C$58,MATCH(MAX(BH13,CB13,BR13,CL13),TABLAS!$B$52:$B$58,0))&lt;=DATOS!$C$76-2*DATOS!$C$63,""," y más peralte para el gancho")))))</f>
        <v/>
      </c>
      <c r="DE13" s="69" t="str">
        <f>IF(V13&lt;&gt;"SÍ","",IF(BI13=0,"NO ALCANZA","No. "&amp;BH13&amp;" @ "&amp;BI13&amp;" cm"&amp;IF(C13="VOLADO"," (temperatura)","")))</f>
        <v/>
      </c>
      <c r="DF13" s="69" t="str">
        <f>IF(V13&lt;&gt;"SÍ","",IF(BS13=0,"NO ALCANZA",IF(C13="VOLADO","No. "&amp;BR13&amp;" @ "&amp;BS13&amp;" cm"&amp;" de la orilla al respaldo ("&amp;IF(CZ13&gt;=FLOOR(100*IF(ISNUMBER(Q13),Q13,Z13)-DATOS!$C$63,5),"hasta su apoyo lejano, con gancho","entran "&amp;TEXT(CZ13/100,"0.00")&amp;" m desde el paño")&amp;")","Bastones "&amp;"No. "&amp;BR13&amp;" @ "&amp;BS13&amp;" cm"&amp;", L = "&amp;TEXT(CZ13/100,"0.00")&amp;" m desde el paño")))</f>
        <v/>
      </c>
      <c r="DG13" s="69" t="str">
        <f>IF(V13&lt;&gt;"SÍ","",IF(CC13=0,"NO ALCANZA","No. "&amp;CB13&amp;" @ "&amp;CC13&amp;" cm"&amp;IF(C13="VOLADO"," (repartición)","")))</f>
        <v/>
      </c>
      <c r="DH13" s="69" t="str">
        <f>IF(V13&lt;&gt;"SÍ","",IF(CM13=0,"NO ALCANZA",IF(C13="VOLADO","No. "&amp;CL13&amp;" @ "&amp;CM13&amp;" cm"&amp;" (repartición)","Bastones "&amp;"No. "&amp;CL13&amp;" @ "&amp;CM13&amp;" cm"&amp;", L = "&amp;TEXT(DA13/100,"0.00")&amp;" m desde el paño")))</f>
        <v/>
      </c>
      <c r="DI13" s="67" t="str">
        <f>IF(B13="","",IF(V13&lt;&gt;"SÍ","FALTAN DATOS: tipo, a_x, a_y, destino y, en volados, L_b",IF(L13="NO MONOLÍTICO (caso II)","FUERA DE ALCANCE: caso II no transcrito",IF(AND(C13="VOLADO",X13="?"),"REVISAR: el volado lleva UN solo borde CONTINUO (el empotrado)",IF(AND(MAX(BM13,BW13,CG13,CQ13)&lt;=1,NOT(OR(BI13&lt;DATOS!$C$143,BS13&lt;DATOS!$C$143,CC13&lt;DATOS!$C$143,CM13&lt;DATOS!$C$143)),NOT(OR(AND(ISNUMBER(BN13),BN13&lt;0.005),AND(ISNUMBER(BX13),BX13&lt;0.005),AND(ISNUMBER(CH13),CH13&lt;0.005),AND(ISNUMBER(CR13),CR13&lt;0.005))),CV13="CUMPLE",CY13="CUMPLE"),"CUMPLE"&amp;IF(LEFT(BB13,5)="FUERA"," · fuera de 3.4.2.1 c)","")&amp;IF(LEFT(DD13,2)="NO"," · REVISAR anclaje en borde discontinuo",""),IF(AND(MAX(BM13,BW13,CG13,CQ13)&lt;=1,NOT(OR(BI13&lt;DATOS!$C$143,BS13&lt;DATOS!$C$143,CC13&lt;DATOS!$C$143,CM13&lt;DATOS!$C$143)),NOT(OR(AND(ISNUMBER(BN13),BN13&lt;0.005),AND(ISNUMBER(BX13),BX13&lt;0.005),AND(ISNUMBER(CH13),CH13&lt;0.005),AND(ISNUMBER(CR13),CR13&lt;0.005))),CV13="CUMPLE",CY13="CALCULAR FLECHA"),"REVISAR: calcular flecha (h &lt; h mín.)"&amp;IF(LEFT(BB13,5)="FUERA"," · fuera de 3.4.2.1 c)","")&amp;IF(LEFT(DD13,2)="NO"," · REVISAR anclaje en borde discontinuo",""),"NO CUMPLE: "&amp;IF(MAX(BM13,BW13,CG13,CQ13)&gt;1,"flexión ","")&amp;IF(OR(BI13&lt;DATOS!$C$143,BS13&lt;DATOS!$C$143,CC13&lt;DATOS!$C$143,CM13&lt;DATOS!$C$143),"separación &lt; mínima ","")&amp;IF(OR(AND(ISNUMBER(BN13),BN13&lt;0.005),AND(ISNUMBER(BX13),BX13&lt;0.005),AND(ISNUMBER(CH13),CH13&lt;0.005),AND(ISNUMBER(CR13),CR13&lt;0.005)),"ε_t &lt; 0.005 ","")&amp;IF(CV13&lt;&gt;"CUMPLE","cortante ","")&amp;IF(CY13="NO CUMPLE","peralte","")))))))</f>
        <v/>
      </c>
      <c r="DJ13" s="70" t="str">
        <f>IF(V13&lt;&gt;"SÍ","",IF(LEFT(B13,7)="EJEMPLO","EJEMPLO de tablero típico: bórralo o sobrescríbelo. ","")&amp;IF(C13="VOLADO","Volado de "&amp;TEXT(Z13,"0.00")&amp;" m empotrado en el borde "&amp;LOWER(X13)&amp;IF(N(P13)&gt;0,", con "&amp;TEXT(P13,"0.0")&amp;" kg/m en la orilla","")&amp;". Lecho inferior con r_ext. Si la orilla carga pretil u otro elemento frágil, calcula la flecha (13.4). El acero superior entra al respaldo de "&amp;TEXT(IF(ISNUMBER(Q13),Q13,Z13),"0.00")&amp;" m"&amp;" hasta pasar M = 0 con 0.9·PP sin carga viva; si ahí no se anula, llega al apoyo lejano y se ancla con gancho. ","")&amp;IF(AND(C13="VOLADO",(0.9*W13/100*DATOS!$C$16*IF(ISNUMBER(Q13),Q13,Z13)/2-AY13/IF(ISNUMBER(Q13),Q13,Z13))&lt;0),"Con 0.9·PP y sin carga viva el apoyo lejano del respaldo levanta (R = "&amp;TEXT(-(0.9*W13/100*DATOS!$C$16*IF(ISNUMBER(Q13),Q13,Z13)/2-AY13/IF(ISNUMBER(Q13),Q13,Z13)),"0.00")&amp;" t/m): ancla ahí el acero con gancho y revisa ese apoyo a tensión. ","")&amp;IF(LEFT(BB13,5)="FUERA","El M⁻ del vecino difiere más de 50 % (3.4.2.1 c): distribuye el desequilibrio (3.4.3.1) o confirma con un modelo; se arma con el mayor. ","")&amp;IF(OR(DB13="SÍ",DC13="SÍ"),"Bastones también en los bordes discontinuos (M⁻ de tabla), con gancho. ","")&amp;IF(LEFT(DD13,2)="NO","Anclaje: "&amp;DD13&amp;" (6.7.7.4.1.1). ","")&amp;IF(AND(C13="PERIMETRAL",AM13&gt;=1,AL13-AM13&gt;=1),"Esquinas exteriores sobre muro: refuerzo de esquina arriba y abajo en L_largo/5 (6.7.7.3.1). ",""))</f>
        <v/>
      </c>
    </row>
    <row r="14" ht="33" customHeight="1">
      <c r="A14" s="50">
        <f>IF(B14="",0,1)+A13</f>
        <v>3</v>
      </c>
      <c r="B14" s="29" t="n"/>
      <c r="C14" s="51" t="n"/>
      <c r="D14" s="29" t="n"/>
      <c r="E14" s="52" t="n"/>
      <c r="F14" s="52" t="n"/>
      <c r="G14" s="51" t="n"/>
      <c r="H14" s="51" t="n"/>
      <c r="I14" s="51" t="n"/>
      <c r="J14" s="51" t="n"/>
      <c r="K14" s="51" t="n"/>
      <c r="L14" s="51" t="n"/>
      <c r="M14" s="54" t="n"/>
      <c r="N14" s="53" t="n"/>
      <c r="O14" s="53" t="n"/>
      <c r="P14" s="54" t="n"/>
      <c r="Q14" s="52" t="n"/>
      <c r="R14" s="54" t="n"/>
      <c r="S14" s="53" t="n"/>
      <c r="T14" s="52" t="n"/>
      <c r="U14" s="52" t="n"/>
      <c r="V14" s="55" t="str">
        <f>IF(B14="","",IF(AND(OR(C14="PERIMETRAL",C14="VOLADO"),ISNUMBER(E14),ISNUMBER(F14),E14&gt;0,F14&gt;0,OR(ISNUMBER(O14),ISNUMBER(MATCH(D14,DATOS!$B$46:$B$58,0))),OR(C14&lt;&gt;"VOLADO",N(Q14)&gt;0)),"SÍ","NO"))</f>
        <v/>
      </c>
      <c r="W14" s="57" t="str">
        <f>IF(V14&lt;&gt;"SÍ","",IF(ISNUMBER(M14),M14,DATOS!$C$137))</f>
        <v/>
      </c>
      <c r="X14" s="55" t="str">
        <f>IF(V14&lt;&gt;"SÍ","",IF(C14&lt;&gt;"VOLADO","—",IF(COUNTIF(G14:J14,"CONTINUO")&lt;&gt;1,"?",IF(G14="CONTINUO","INFERIOR",IF(H14="CONTINUO","SUPERIOR",IF(I14="CONTINUO","IZQUIERDO","DERECHO"))))))</f>
        <v/>
      </c>
      <c r="Y14" s="55" t="str">
        <f>IF(V14&lt;&gt;"SÍ","",IF(C14="VOLADO",IF(OR(X14="IZQUIERDO",X14="DERECHO"),"X","Y"),IF(E14&lt;=F14,"X","Y")))</f>
        <v/>
      </c>
      <c r="Z14" s="56" t="str">
        <f>IF(V14&lt;&gt;"SÍ","",IF(C14="VOLADO",IF(Y14="X",E14,F14),MIN(E14,F14)))</f>
        <v/>
      </c>
      <c r="AA14" s="56" t="str">
        <f>IF(V14&lt;&gt;"SÍ","",IF(C14="VOLADO",IF(Y14="X",F14,E14),MAX(E14,F14)))</f>
        <v/>
      </c>
      <c r="AB14" s="56" t="str">
        <f>IF(V14&lt;&gt;"SÍ","",MIN(Z14,AA14)/MAX(Z14,AA14))</f>
        <v/>
      </c>
      <c r="AC14" s="57" t="str">
        <f>IF(V14&lt;&gt;"SÍ","",MAX(1,Z14*100-IF(C14="VOLADO",DATOS!$C$87/2,DATOS!$C$87)))</f>
        <v/>
      </c>
      <c r="AD14" s="57" t="str">
        <f>IF(V14&lt;&gt;"SÍ","",MAX(1,AA14*100-DATOS!$C$87))</f>
        <v/>
      </c>
      <c r="AE14" s="57" t="str">
        <f>IF(V14&lt;&gt;"SÍ","",IF(C14="VOLADO",DATOS!$C$64,DATOS!$C$62))</f>
        <v/>
      </c>
      <c r="AF14" s="57" t="str">
        <f>IF(V14&lt;&gt;"SÍ","",IF(OR(AND(AG14="SÍ",DATOS!$C$66="SÍ"),AND(C14="VOLADO",DATOS!$C$67="SÍ")),DATOS!$C$64,DATOS!$C$62))</f>
        <v/>
      </c>
      <c r="AG14" s="55" t="str">
        <f>IF(V14&lt;&gt;"SÍ","",IFERROR(INDEX(DATOS!$D$46:$D$58,MATCH(D14,DATOS!$B$46:$B$58,0)),"NO"))</f>
        <v/>
      </c>
      <c r="AH14" s="59" t="str">
        <f>IF(V14&lt;&gt;"SÍ","",IF(ISNUMBER(O14),O14,IFERROR(INDEX(DATOS!$C$46:$C$58,MATCH(D14,DATOS!$B$46:$B$58,0)),0)))</f>
        <v/>
      </c>
      <c r="AI14" s="59" t="str">
        <f>IF(V14&lt;&gt;"SÍ","",W14/100*DATOS!$C$16*1000+DATOS!$C$37+DATOS!$C$38)</f>
        <v/>
      </c>
      <c r="AJ14" s="59" t="str">
        <f>IF(V14&lt;&gt;"SÍ","",AI14+N(N14))</f>
        <v/>
      </c>
      <c r="AK14" s="60" t="str">
        <f>IF(V14&lt;&gt;"SÍ","",MAX(DATOS!$C$26*AJ14+DATOS!$C$27*AH14,IF(AG14="SÍ",DATOS!$C$28*(AJ14+DATOS!$C$41),0)))</f>
        <v/>
      </c>
      <c r="AL14" s="59" t="str">
        <f>IF(V14&lt;&gt;"SÍ","",(G14="DISCONTINUO")+(H14="DISCONTINUO")+(I14="DISCONTINUO")+(J14="DISCONTINUO"))</f>
        <v/>
      </c>
      <c r="AM14" s="59" t="str">
        <f>IF(V14&lt;&gt;"SÍ","",IF(Y14="X",(G14="DISCONTINUO")+(H14="DISCONTINUO"),(I14="DISCONTINUO")+(J14="DISCONTINUO")))</f>
        <v/>
      </c>
      <c r="AN14" s="55" t="str">
        <f>IF(V14&lt;&gt;"SÍ","",IF(AL14=0,"INTERIOR",IF(AL14=1,IF(AM14=1,"BORDE-CORTO","BORDE-LARGO"),IF(AL14=2,IF(AM14=1,"ESQUINA",IF(AM14=2,"EXTREMO-LARGO","EXTREMO-CORTO")),IF(AL14=3,IF(AM14=2,"EXTREMO-LARGO","EXTREMO-CORTO"),"AISLADO")))))</f>
        <v/>
      </c>
      <c r="AO14" s="61" t="str">
        <f>IF(V14&lt;&gt;"SÍ","",IF(OR(K14="",K14="AUTO"),AN14,K14))</f>
        <v/>
      </c>
      <c r="AP14" s="59" t="str">
        <f>IF(V14&lt;&gt;"SÍ","",MATCH(AB14,TABLAS!$D$5:$J$5,1))</f>
        <v/>
      </c>
      <c r="AQ14" s="58" t="str">
        <f>IF(V14&lt;&gt;"SÍ","",IF(AP14&gt;=7,0,(AB14-INDEX(TABLAS!$D$5:$J$5,AP14))/(INDEX(TABLAS!$D$5:$J$5,AP14+1)-INDEX(TABLAS!$D$5:$J$5,AP14))))</f>
        <v/>
      </c>
      <c r="AR14" s="59" t="str">
        <f>IF(V14&lt;&gt;"SÍ","",INDEX(TABLAS!$D$6:$J$47,MATCH(AO14&amp;"|NIC",TABLAS!$B$6:$B$47,0),AP14)+AQ14*(INDEX(TABLAS!$D$6:$J$47,MATCH(AO14&amp;"|NIC",TABLAS!$B$6:$B$47,0),MIN(AP14+1,7))-INDEX(TABLAS!$D$6:$J$47,MATCH(AO14&amp;"|NIC",TABLAS!$B$6:$B$47,0),AP14)))</f>
        <v/>
      </c>
      <c r="AS14" s="59" t="str">
        <f>IF(V14&lt;&gt;"SÍ","",INDEX(TABLAS!$D$6:$J$47,MATCH(AO14&amp;"|NIL",TABLAS!$B$6:$B$47,0),AP14)+AQ14*(INDEX(TABLAS!$D$6:$J$47,MATCH(AO14&amp;"|NIL",TABLAS!$B$6:$B$47,0),MIN(AP14+1,7))-INDEX(TABLAS!$D$6:$J$47,MATCH(AO14&amp;"|NIL",TABLAS!$B$6:$B$47,0),AP14)))</f>
        <v/>
      </c>
      <c r="AT14" s="59" t="str">
        <f>IF(V14&lt;&gt;"SÍ","",INDEX(TABLAS!$D$6:$J$47,MATCH(AO14&amp;"|NDC",TABLAS!$B$6:$B$47,0),AP14)+AQ14*(INDEX(TABLAS!$D$6:$J$47,MATCH(AO14&amp;"|NDC",TABLAS!$B$6:$B$47,0),MIN(AP14+1,7))-INDEX(TABLAS!$D$6:$J$47,MATCH(AO14&amp;"|NDC",TABLAS!$B$6:$B$47,0),AP14)))</f>
        <v/>
      </c>
      <c r="AU14" s="59" t="str">
        <f>IF(V14&lt;&gt;"SÍ","",INDEX(TABLAS!$D$6:$J$47,MATCH(AO14&amp;"|NDL",TABLAS!$B$6:$B$47,0),AP14)+AQ14*(INDEX(TABLAS!$D$6:$J$47,MATCH(AO14&amp;"|NDL",TABLAS!$B$6:$B$47,0),MIN(AP14+1,7))-INDEX(TABLAS!$D$6:$J$47,MATCH(AO14&amp;"|NDL",TABLAS!$B$6:$B$47,0),AP14)))</f>
        <v/>
      </c>
      <c r="AV14" s="59" t="str">
        <f>IF(V14&lt;&gt;"SÍ","",INDEX(TABLAS!$D$6:$J$47,MATCH(AO14&amp;"|PC",TABLAS!$B$6:$B$47,0),AP14)+AQ14*(INDEX(TABLAS!$D$6:$J$47,MATCH(AO14&amp;"|PC",TABLAS!$B$6:$B$47,0),MIN(AP14+1,7))-INDEX(TABLAS!$D$6:$J$47,MATCH(AO14&amp;"|PC",TABLAS!$B$6:$B$47,0),AP14)))</f>
        <v/>
      </c>
      <c r="AW14" s="59" t="str">
        <f>IF(V14&lt;&gt;"SÍ","",INDEX(TABLAS!$D$6:$J$47,MATCH(AO14&amp;"|PL",TABLAS!$B$6:$B$47,0),AP14)+AQ14*(INDEX(TABLAS!$D$6:$J$47,MATCH(AO14&amp;"|PL",TABLAS!$B$6:$B$47,0),MIN(AP14+1,7))-INDEX(TABLAS!$D$6:$J$47,MATCH(AO14&amp;"|PL",TABLAS!$B$6:$B$47,0),AP14)))</f>
        <v/>
      </c>
      <c r="AX14" s="56" t="str">
        <f>IF(V14&lt;&gt;"SÍ","",IF(C14="PERIMETRAL",AV14*AK14*Z14^2*1E-4/1000,0))</f>
        <v/>
      </c>
      <c r="AY14" s="62" t="str">
        <f>IF(V14&lt;&gt;"SÍ","",IF(C14="PERIMETRAL",MAX(MAX(AR14,AT14)*AK14*Z14^2*1E-4/1000,N(T14)),(AK14*(AC14/100)^2/2+DATOS!$C$26*N(P14)*AC14/100)/1000))</f>
        <v/>
      </c>
      <c r="AZ14" s="56" t="str">
        <f>IF(V14&lt;&gt;"SÍ","",IF(C14="PERIMETRAL",AW14*AK14*Z14^2*1E-4/1000,0))</f>
        <v/>
      </c>
      <c r="BA14" s="56" t="str">
        <f>IF(V14&lt;&gt;"SÍ","",IF(C14="PERIMETRAL",MAX(MAX(AS14,AU14)*AK14*Z14^2*1E-4/1000,N(U14)),0))</f>
        <v/>
      </c>
      <c r="BB14" s="63" t="str">
        <f>IF(V14&lt;&gt;"SÍ","",IF(C14&lt;&gt;"PERIMETRAL","—",IF(AND(N(T14)=0,N(U14)=0),"— (sin M⁻ del vecino)",IF(OR(AND(N(T14)&gt;0,ABS(MAX(AR14,AT14)*AK14*Z14^2*1E-4/1000-N(T14))&gt;0.5*MIN(MAX(AR14,AT14)*AK14*Z14^2*1E-4/1000,N(T14))),AND(N(U14)&gt;0,ABS(MAX(AS14,AU14)*AK14*Z14^2*1E-4/1000-N(U14))&gt;0.5*MIN(MAX(AS14,AU14)*AK14*Z14^2*1E-4/1000,N(U14)))),"FUERA: difieren &gt; 50 %"&amp;IF(AND(N(T14)&gt;0,ABS(MAX(AR14,AT14)*AK14*Z14^2*1E-4/1000-N(T14))&gt;0.5*MIN(MAX(AR14,AT14)*AK14*Z14^2*1E-4/1000,N(T14)))," ‖ corto","")&amp;IF(AND(N(U14)&gt;0,ABS(MAX(AS14,AU14)*AK14*Z14^2*1E-4/1000-N(U14))&gt;0.5*MIN(MAX(AS14,AU14)*AK14*Z14^2*1E-4/1000,N(U14)))," ‖ largo",""),"CUMPLE"))))</f>
        <v/>
      </c>
      <c r="BC14" s="58" t="str">
        <f>IF(V14&lt;&gt;"SÍ","",DATOS!$C$139*100*W14)</f>
        <v/>
      </c>
      <c r="BD14" s="57" t="str">
        <f>IF(V14&lt;&gt;"SÍ","",MIN(IF(C14="VOLADO",DATOS!$C$141,DATOS!$C$140)*W14,DATOS!$C$142))</f>
        <v/>
      </c>
      <c r="BE14" s="58" t="str">
        <f>IF(V14&lt;&gt;"SÍ","",(W14-AE14-INDEX(TABLAS!$C$52:$C$58,MATCH(IF(ISNUMBER(S14),S14,DATOS!$C$138),TABLAS!$B$52:$B$58,0))/2))</f>
        <v/>
      </c>
      <c r="BF14" s="58" t="str">
        <f>IF(V14&lt;&gt;"SÍ","",IF(AX14&lt;=0,0,IF((1-2*AX14*1E5/(DATOS!$C$29*100*BE14^2*DATOS!$C$21))&lt;0,-1,IF((1-SQRT((1-2*AX14*1E5/(DATOS!$C$29*100*BE14^2*DATOS!$C$21))))*DATOS!$C$21*100*BE14/DATOS!$C$14&gt;DATOS!$C$102*100*BE14,-1,(1-SQRT((1-2*AX14*1E5/(DATOS!$C$29*100*BE14^2*DATOS!$C$21))))*DATOS!$C$21*100*BE14/DATOS!$C$14))))</f>
        <v/>
      </c>
      <c r="BG14" s="58" t="str">
        <f>IF(V14&lt;&gt;"SÍ","",IF(BF14&lt;0,-1,MAX(BF14,BC14)))</f>
        <v/>
      </c>
      <c r="BH14" s="64" t="str">
        <f>IF(V14&lt;&gt;"SÍ","",IF(AND(BG14&gt;0,FLOOR(MIN(BD14,100*INDEX(TABLAS!$D$52:$D$58,MIN(MATCH(IF(ISNUMBER(S14),S14,DATOS!$C$138),TABLAS!$B$52:$B$58,0)+0,7))/MAX(BG14,0.0001)),DATOS!$C$144)&gt;=DATOS!$C$143),INDEX(TABLAS!$B$52:$B$58,MIN(MATCH(IF(ISNUMBER(S14),S14,DATOS!$C$138),TABLAS!$B$52:$B$58,0)+0,7)),IF(AND(BG14&gt;0,FLOOR(MIN(BD14,100*INDEX(TABLAS!$D$52:$D$58,MIN(MATCH(IF(ISNUMBER(S14),S14,DATOS!$C$138),TABLAS!$B$52:$B$58,0)+1,7))/MAX(BG14,0.0001)),DATOS!$C$144)&gt;=DATOS!$C$143),INDEX(TABLAS!$B$52:$B$58,MIN(MATCH(IF(ISNUMBER(S14),S14,DATOS!$C$138),TABLAS!$B$52:$B$58,0)+1,7)),IF(AND(BG14&gt;0,FLOOR(MIN(BD14,100*INDEX(TABLAS!$D$52:$D$58,MIN(MATCH(IF(ISNUMBER(S14),S14,DATOS!$C$138),TABLAS!$B$52:$B$58,0)+2,7))/MAX(BG14,0.0001)),DATOS!$C$144)&gt;=DATOS!$C$143),INDEX(TABLAS!$B$52:$B$58,MIN(MATCH(IF(ISNUMBER(S14),S14,DATOS!$C$138),TABLAS!$B$52:$B$58,0)+2,7)),IF(AND(BG14&gt;0,FLOOR(MIN(BD14,100*INDEX(TABLAS!$D$52:$D$58,MIN(MATCH(IF(ISNUMBER(S14),S14,DATOS!$C$138),TABLAS!$B$52:$B$58,0)+3,7))/MAX(BG14,0.0001)),DATOS!$C$144)&gt;=DATOS!$C$143),INDEX(TABLAS!$B$52:$B$58,MIN(MATCH(IF(ISNUMBER(S14),S14,DATOS!$C$138),TABLAS!$B$52:$B$58,0)+3,7)),IF(AND(BG14&gt;0,FLOOR(MIN(BD14,100*INDEX(TABLAS!$D$52:$D$58,MIN(MATCH(IF(ISNUMBER(S14),S14,DATOS!$C$138),TABLAS!$B$52:$B$58,0)+4,7))/MAX(BG14,0.0001)),DATOS!$C$144)&gt;=DATOS!$C$143),INDEX(TABLAS!$B$52:$B$58,MIN(MATCH(IF(ISNUMBER(S14),S14,DATOS!$C$138),TABLAS!$B$52:$B$58,0)+4,7)),INDEX(TABLAS!$B$52:$B$58,7)))))))</f>
        <v/>
      </c>
      <c r="BI14" s="71" t="str">
        <f>IF(V14&lt;&gt;"SÍ","",IF(BG14&lt;=0,0,FLOOR(MIN(BD14,100*INDEX(TABLAS!$D$52:$D$58,MATCH(BH14,TABLAS!$B$52:$B$58,0))/BG14),DATOS!$C$144)))</f>
        <v/>
      </c>
      <c r="BJ14" s="58" t="str">
        <f>IF(V14&lt;&gt;"SÍ","",IF(BI14&lt;=0,0,INDEX(TABLAS!$D$52:$D$58,MATCH(BH14,TABLAS!$B$52:$B$58,0))*100/BI14))</f>
        <v/>
      </c>
      <c r="BK14" s="58" t="str">
        <f>IF(V14&lt;&gt;"SÍ","",W14-AE14-INDEX(TABLAS!$C$52:$C$58,MATCH(BH14,TABLAS!$B$52:$B$58,0))/2)</f>
        <v/>
      </c>
      <c r="BL14" s="56" t="str">
        <f>IF(V14&lt;&gt;"SÍ","",IF(BJ14=0,0,DATOS!$C$29*BJ14*DATOS!$C$14*(BK14-BJ14*DATOS!$C$14/(DATOS!$C$21*100)/2)/1E5))</f>
        <v/>
      </c>
      <c r="BM14" s="65" t="str">
        <f>IF(V14&lt;&gt;"SÍ","",IF(BG14&lt;0,9.99,IF(BL14&gt;0,AX14/BL14,0)))</f>
        <v/>
      </c>
      <c r="BN14" s="66" t="str">
        <f>IF(V14&lt;&gt;"SÍ","",IF(BJ14=0,"—",0.003*(BK14-(BJ14*DATOS!$C$14/(DATOS!$C$21*100)/DATOS!$C$22))/(BJ14*DATOS!$C$14/(DATOS!$C$21*100)/DATOS!$C$22)))</f>
        <v/>
      </c>
      <c r="BO14" s="58" t="str">
        <f>IF(V14&lt;&gt;"SÍ","",((W14-AF14-INDEX(TABLAS!$C$52:$C$58,MATCH(IF(ISNUMBER(S14),S14,DATOS!$C$138),TABLAS!$B$52:$B$58,0))/2)-IF(AND((W14-AF14-INDEX(TABLAS!$C$52:$C$58,MATCH(IF(ISNUMBER(S14),S14,DATOS!$C$138),TABLAS!$B$52:$B$58,0))/2)&lt;=20,DATOS!$C$65&lt;&gt;"SÍ"),2,0)))</f>
        <v/>
      </c>
      <c r="BP14" s="58" t="str">
        <f>IF(V14&lt;&gt;"SÍ","",IF(AY14&lt;=0,0,IF((1-2*AY14*1E5/(DATOS!$C$29*100*BO14^2*DATOS!$C$21))&lt;0,-1,IF((1-SQRT((1-2*AY14*1E5/(DATOS!$C$29*100*BO14^2*DATOS!$C$21))))*DATOS!$C$21*100*BO14/DATOS!$C$14&gt;DATOS!$C$102*100*BO14,-1,(1-SQRT((1-2*AY14*1E5/(DATOS!$C$29*100*BO14^2*DATOS!$C$21))))*DATOS!$C$21*100*BO14/DATOS!$C$14))))</f>
        <v/>
      </c>
      <c r="BQ14" s="58" t="str">
        <f>IF(V14&lt;&gt;"SÍ","",IF(BP14&lt;0,-1,MAX(BP14,BC14)))</f>
        <v/>
      </c>
      <c r="BR14" s="64" t="str">
        <f>IF(V14&lt;&gt;"SÍ","",IF(AND(BQ14&gt;0,FLOOR(MIN(BD14,100*INDEX(TABLAS!$D$52:$D$58,MIN(MATCH(IF(ISNUMBER(S14),S14,DATOS!$C$138),TABLAS!$B$52:$B$58,0)+0,7))/MAX(BQ14,0.0001)),DATOS!$C$144)&gt;=DATOS!$C$143),INDEX(TABLAS!$B$52:$B$58,MIN(MATCH(IF(ISNUMBER(S14),S14,DATOS!$C$138),TABLAS!$B$52:$B$58,0)+0,7)),IF(AND(BQ14&gt;0,FLOOR(MIN(BD14,100*INDEX(TABLAS!$D$52:$D$58,MIN(MATCH(IF(ISNUMBER(S14),S14,DATOS!$C$138),TABLAS!$B$52:$B$58,0)+1,7))/MAX(BQ14,0.0001)),DATOS!$C$144)&gt;=DATOS!$C$143),INDEX(TABLAS!$B$52:$B$58,MIN(MATCH(IF(ISNUMBER(S14),S14,DATOS!$C$138),TABLAS!$B$52:$B$58,0)+1,7)),IF(AND(BQ14&gt;0,FLOOR(MIN(BD14,100*INDEX(TABLAS!$D$52:$D$58,MIN(MATCH(IF(ISNUMBER(S14),S14,DATOS!$C$138),TABLAS!$B$52:$B$58,0)+2,7))/MAX(BQ14,0.0001)),DATOS!$C$144)&gt;=DATOS!$C$143),INDEX(TABLAS!$B$52:$B$58,MIN(MATCH(IF(ISNUMBER(S14),S14,DATOS!$C$138),TABLAS!$B$52:$B$58,0)+2,7)),IF(AND(BQ14&gt;0,FLOOR(MIN(BD14,100*INDEX(TABLAS!$D$52:$D$58,MIN(MATCH(IF(ISNUMBER(S14),S14,DATOS!$C$138),TABLAS!$B$52:$B$58,0)+3,7))/MAX(BQ14,0.0001)),DATOS!$C$144)&gt;=DATOS!$C$143),INDEX(TABLAS!$B$52:$B$58,MIN(MATCH(IF(ISNUMBER(S14),S14,DATOS!$C$138),TABLAS!$B$52:$B$58,0)+3,7)),IF(AND(BQ14&gt;0,FLOOR(MIN(BD14,100*INDEX(TABLAS!$D$52:$D$58,MIN(MATCH(IF(ISNUMBER(S14),S14,DATOS!$C$138),TABLAS!$B$52:$B$58,0)+4,7))/MAX(BQ14,0.0001)),DATOS!$C$144)&gt;=DATOS!$C$143),INDEX(TABLAS!$B$52:$B$58,MIN(MATCH(IF(ISNUMBER(S14),S14,DATOS!$C$138),TABLAS!$B$52:$B$58,0)+4,7)),INDEX(TABLAS!$B$52:$B$58,7)))))))</f>
        <v/>
      </c>
      <c r="BS14" s="71" t="str">
        <f>IF(V14&lt;&gt;"SÍ","",IF(BQ14&lt;=0,0,FLOOR(MIN(BD14,100*INDEX(TABLAS!$D$52:$D$58,MATCH(BR14,TABLAS!$B$52:$B$58,0))/BQ14),DATOS!$C$144)))</f>
        <v/>
      </c>
      <c r="BT14" s="58" t="str">
        <f>IF(V14&lt;&gt;"SÍ","",IF(BS14&lt;=0,0,INDEX(TABLAS!$D$52:$D$58,MATCH(BR14,TABLAS!$B$52:$B$58,0))*100/BS14))</f>
        <v/>
      </c>
      <c r="BU14" s="58" t="str">
        <f>IF(V14&lt;&gt;"SÍ","",((W14-AF14-INDEX(TABLAS!$C$52:$C$58,MATCH(BR14,TABLAS!$B$52:$B$58,0))/2)-IF(AND((W14-AF14-INDEX(TABLAS!$C$52:$C$58,MATCH(BR14,TABLAS!$B$52:$B$58,0))/2)&lt;=20,DATOS!$C$65&lt;&gt;"SÍ"),2,0)))</f>
        <v/>
      </c>
      <c r="BV14" s="56" t="str">
        <f>IF(V14&lt;&gt;"SÍ","",IF(BT14=0,0,DATOS!$C$29*BT14*DATOS!$C$14*(BU14-BT14*DATOS!$C$14/(DATOS!$C$21*100)/2)/1E5))</f>
        <v/>
      </c>
      <c r="BW14" s="65" t="str">
        <f>IF(V14&lt;&gt;"SÍ","",IF(BQ14&lt;0,9.99,IF(BV14&gt;0,AY14/BV14,0)))</f>
        <v/>
      </c>
      <c r="BX14" s="66" t="str">
        <f>IF(V14&lt;&gt;"SÍ","",IF(BT14=0,"—",0.003*(BU14-(BT14*DATOS!$C$14/(DATOS!$C$21*100)/DATOS!$C$22))/(BT14*DATOS!$C$14/(DATOS!$C$21*100)/DATOS!$C$22)))</f>
        <v/>
      </c>
      <c r="BY14" s="58" t="str">
        <f>IF(V14&lt;&gt;"SÍ","",(W14-AE14-1.5*INDEX(TABLAS!$C$52:$C$58,MATCH(IF(ISNUMBER(S14),S14,DATOS!$C$138),TABLAS!$B$52:$B$58,0))))</f>
        <v/>
      </c>
      <c r="BZ14" s="58" t="str">
        <f>IF(V14&lt;&gt;"SÍ","",IF(AZ14&lt;=0,0,IF((1-2*AZ14*1E5/(DATOS!$C$29*100*BY14^2*DATOS!$C$21))&lt;0,-1,IF((1-SQRT((1-2*AZ14*1E5/(DATOS!$C$29*100*BY14^2*DATOS!$C$21))))*DATOS!$C$21*100*BY14/DATOS!$C$14&gt;DATOS!$C$102*100*BY14,-1,(1-SQRT((1-2*AZ14*1E5/(DATOS!$C$29*100*BY14^2*DATOS!$C$21))))*DATOS!$C$21*100*BY14/DATOS!$C$14))))</f>
        <v/>
      </c>
      <c r="CA14" s="58" t="str">
        <f>IF(V14&lt;&gt;"SÍ","",IF(BZ14&lt;0,-1,MAX(BZ14,BC14)))</f>
        <v/>
      </c>
      <c r="CB14" s="64" t="str">
        <f>IF(V14&lt;&gt;"SÍ","",IF(AND(CA14&gt;0,FLOOR(MIN(BD14,100*INDEX(TABLAS!$D$52:$D$58,MIN(MATCH(IF(ISNUMBER(S14),S14,DATOS!$C$138),TABLAS!$B$52:$B$58,0)+0,7))/MAX(CA14,0.0001)),DATOS!$C$144)&gt;=DATOS!$C$143),INDEX(TABLAS!$B$52:$B$58,MIN(MATCH(IF(ISNUMBER(S14),S14,DATOS!$C$138),TABLAS!$B$52:$B$58,0)+0,7)),IF(AND(CA14&gt;0,FLOOR(MIN(BD14,100*INDEX(TABLAS!$D$52:$D$58,MIN(MATCH(IF(ISNUMBER(S14),S14,DATOS!$C$138),TABLAS!$B$52:$B$58,0)+1,7))/MAX(CA14,0.0001)),DATOS!$C$144)&gt;=DATOS!$C$143),INDEX(TABLAS!$B$52:$B$58,MIN(MATCH(IF(ISNUMBER(S14),S14,DATOS!$C$138),TABLAS!$B$52:$B$58,0)+1,7)),IF(AND(CA14&gt;0,FLOOR(MIN(BD14,100*INDEX(TABLAS!$D$52:$D$58,MIN(MATCH(IF(ISNUMBER(S14),S14,DATOS!$C$138),TABLAS!$B$52:$B$58,0)+2,7))/MAX(CA14,0.0001)),DATOS!$C$144)&gt;=DATOS!$C$143),INDEX(TABLAS!$B$52:$B$58,MIN(MATCH(IF(ISNUMBER(S14),S14,DATOS!$C$138),TABLAS!$B$52:$B$58,0)+2,7)),IF(AND(CA14&gt;0,FLOOR(MIN(BD14,100*INDEX(TABLAS!$D$52:$D$58,MIN(MATCH(IF(ISNUMBER(S14),S14,DATOS!$C$138),TABLAS!$B$52:$B$58,0)+3,7))/MAX(CA14,0.0001)),DATOS!$C$144)&gt;=DATOS!$C$143),INDEX(TABLAS!$B$52:$B$58,MIN(MATCH(IF(ISNUMBER(S14),S14,DATOS!$C$138),TABLAS!$B$52:$B$58,0)+3,7)),IF(AND(CA14&gt;0,FLOOR(MIN(BD14,100*INDEX(TABLAS!$D$52:$D$58,MIN(MATCH(IF(ISNUMBER(S14),S14,DATOS!$C$138),TABLAS!$B$52:$B$58,0)+4,7))/MAX(CA14,0.0001)),DATOS!$C$144)&gt;=DATOS!$C$143),INDEX(TABLAS!$B$52:$B$58,MIN(MATCH(IF(ISNUMBER(S14),S14,DATOS!$C$138),TABLAS!$B$52:$B$58,0)+4,7)),INDEX(TABLAS!$B$52:$B$58,7)))))))</f>
        <v/>
      </c>
      <c r="CC14" s="71" t="str">
        <f>IF(V14&lt;&gt;"SÍ","",IF(CA14&lt;=0,0,FLOOR(MIN(BD14,100*INDEX(TABLAS!$D$52:$D$58,MATCH(CB14,TABLAS!$B$52:$B$58,0))/CA14),DATOS!$C$144)))</f>
        <v/>
      </c>
      <c r="CD14" s="58" t="str">
        <f>IF(V14&lt;&gt;"SÍ","",IF(CC14&lt;=0,0,INDEX(TABLAS!$D$52:$D$58,MATCH(CB14,TABLAS!$B$52:$B$58,0))*100/CC14))</f>
        <v/>
      </c>
      <c r="CE14" s="58" t="str">
        <f>IF(V14&lt;&gt;"SÍ","",W14-AE14-INDEX(TABLAS!$C$52:$C$58,MATCH(BH14,TABLAS!$B$52:$B$58,0))-INDEX(TABLAS!$C$52:$C$58,MATCH(CB14,TABLAS!$B$52:$B$58,0))/2)</f>
        <v/>
      </c>
      <c r="CF14" s="56" t="str">
        <f>IF(V14&lt;&gt;"SÍ","",IF(CD14=0,0,DATOS!$C$29*CD14*DATOS!$C$14*(CE14-CD14*DATOS!$C$14/(DATOS!$C$21*100)/2)/1E5))</f>
        <v/>
      </c>
      <c r="CG14" s="65" t="str">
        <f>IF(V14&lt;&gt;"SÍ","",IF(CA14&lt;0,9.99,IF(CF14&gt;0,AZ14/CF14,0)))</f>
        <v/>
      </c>
      <c r="CH14" s="66" t="str">
        <f>IF(V14&lt;&gt;"SÍ","",IF(CD14=0,"—",0.003*(CE14-(CD14*DATOS!$C$14/(DATOS!$C$21*100)/DATOS!$C$22))/(CD14*DATOS!$C$14/(DATOS!$C$21*100)/DATOS!$C$22)))</f>
        <v/>
      </c>
      <c r="CI14" s="58" t="str">
        <f>IF(V14&lt;&gt;"SÍ","",((W14-AF14-1.5*INDEX(TABLAS!$C$52:$C$58,MATCH(IF(ISNUMBER(S14),S14,DATOS!$C$138),TABLAS!$B$52:$B$58,0)))-IF(AND((W14-AF14-1.5*INDEX(TABLAS!$C$52:$C$58,MATCH(IF(ISNUMBER(S14),S14,DATOS!$C$138),TABLAS!$B$52:$B$58,0)))&lt;=20,DATOS!$C$65&lt;&gt;"SÍ"),2,0)))</f>
        <v/>
      </c>
      <c r="CJ14" s="58" t="str">
        <f>IF(V14&lt;&gt;"SÍ","",IF(BA14&lt;=0,0,IF((1-2*BA14*1E5/(DATOS!$C$29*100*CI14^2*DATOS!$C$21))&lt;0,-1,IF((1-SQRT((1-2*BA14*1E5/(DATOS!$C$29*100*CI14^2*DATOS!$C$21))))*DATOS!$C$21*100*CI14/DATOS!$C$14&gt;DATOS!$C$102*100*CI14,-1,(1-SQRT((1-2*BA14*1E5/(DATOS!$C$29*100*CI14^2*DATOS!$C$21))))*DATOS!$C$21*100*CI14/DATOS!$C$14))))</f>
        <v/>
      </c>
      <c r="CK14" s="58" t="str">
        <f>IF(V14&lt;&gt;"SÍ","",IF(CJ14&lt;0,-1,MAX(CJ14,BC14)))</f>
        <v/>
      </c>
      <c r="CL14" s="64" t="str">
        <f>IF(V14&lt;&gt;"SÍ","",IF(AND(CK14&gt;0,FLOOR(MIN(BD14,100*INDEX(TABLAS!$D$52:$D$58,MIN(MATCH(IF(ISNUMBER(S14),S14,DATOS!$C$138),TABLAS!$B$52:$B$58,0)+0,7))/MAX(CK14,0.0001)),DATOS!$C$144)&gt;=DATOS!$C$143),INDEX(TABLAS!$B$52:$B$58,MIN(MATCH(IF(ISNUMBER(S14),S14,DATOS!$C$138),TABLAS!$B$52:$B$58,0)+0,7)),IF(AND(CK14&gt;0,FLOOR(MIN(BD14,100*INDEX(TABLAS!$D$52:$D$58,MIN(MATCH(IF(ISNUMBER(S14),S14,DATOS!$C$138),TABLAS!$B$52:$B$58,0)+1,7))/MAX(CK14,0.0001)),DATOS!$C$144)&gt;=DATOS!$C$143),INDEX(TABLAS!$B$52:$B$58,MIN(MATCH(IF(ISNUMBER(S14),S14,DATOS!$C$138),TABLAS!$B$52:$B$58,0)+1,7)),IF(AND(CK14&gt;0,FLOOR(MIN(BD14,100*INDEX(TABLAS!$D$52:$D$58,MIN(MATCH(IF(ISNUMBER(S14),S14,DATOS!$C$138),TABLAS!$B$52:$B$58,0)+2,7))/MAX(CK14,0.0001)),DATOS!$C$144)&gt;=DATOS!$C$143),INDEX(TABLAS!$B$52:$B$58,MIN(MATCH(IF(ISNUMBER(S14),S14,DATOS!$C$138),TABLAS!$B$52:$B$58,0)+2,7)),IF(AND(CK14&gt;0,FLOOR(MIN(BD14,100*INDEX(TABLAS!$D$52:$D$58,MIN(MATCH(IF(ISNUMBER(S14),S14,DATOS!$C$138),TABLAS!$B$52:$B$58,0)+3,7))/MAX(CK14,0.0001)),DATOS!$C$144)&gt;=DATOS!$C$143),INDEX(TABLAS!$B$52:$B$58,MIN(MATCH(IF(ISNUMBER(S14),S14,DATOS!$C$138),TABLAS!$B$52:$B$58,0)+3,7)),IF(AND(CK14&gt;0,FLOOR(MIN(BD14,100*INDEX(TABLAS!$D$52:$D$58,MIN(MATCH(IF(ISNUMBER(S14),S14,DATOS!$C$138),TABLAS!$B$52:$B$58,0)+4,7))/MAX(CK14,0.0001)),DATOS!$C$144)&gt;=DATOS!$C$143),INDEX(TABLAS!$B$52:$B$58,MIN(MATCH(IF(ISNUMBER(S14),S14,DATOS!$C$138),TABLAS!$B$52:$B$58,0)+4,7)),INDEX(TABLAS!$B$52:$B$58,7)))))))</f>
        <v/>
      </c>
      <c r="CM14" s="71" t="str">
        <f>IF(V14&lt;&gt;"SÍ","",IF(CK14&lt;=0,0,FLOOR(MIN(BD14,100*INDEX(TABLAS!$D$52:$D$58,MATCH(CL14,TABLAS!$B$52:$B$58,0))/CK14),DATOS!$C$144)))</f>
        <v/>
      </c>
      <c r="CN14" s="58" t="str">
        <f>IF(V14&lt;&gt;"SÍ","",IF(CM14&lt;=0,0,INDEX(TABLAS!$D$52:$D$58,MATCH(CL14,TABLAS!$B$52:$B$58,0))*100/CM14))</f>
        <v/>
      </c>
      <c r="CO14" s="58" t="str">
        <f>IF(V14&lt;&gt;"SÍ","",((W14-AF14-INDEX(TABLAS!$C$52:$C$58,MATCH(BR14,TABLAS!$B$52:$B$58,0))-INDEX(TABLAS!$C$52:$C$58,MATCH(CL14,TABLAS!$B$52:$B$58,0))/2)-IF(AND((W14-AF14-INDEX(TABLAS!$C$52:$C$58,MATCH(BR14,TABLAS!$B$52:$B$58,0))-INDEX(TABLAS!$C$52:$C$58,MATCH(CL14,TABLAS!$B$52:$B$58,0))/2)&lt;=20,DATOS!$C$65&lt;&gt;"SÍ"),2,0)))</f>
        <v/>
      </c>
      <c r="CP14" s="56" t="str">
        <f>IF(V14&lt;&gt;"SÍ","",IF(CN14=0,0,DATOS!$C$29*CN14*DATOS!$C$14*(CO14-CN14*DATOS!$C$14/(DATOS!$C$21*100)/2)/1E5))</f>
        <v/>
      </c>
      <c r="CQ14" s="65" t="str">
        <f>IF(V14&lt;&gt;"SÍ","",IF(CK14&lt;0,9.99,IF(CP14&gt;0,BA14/CP14,0)))</f>
        <v/>
      </c>
      <c r="CR14" s="66" t="str">
        <f>IF(V14&lt;&gt;"SÍ","",IF(CN14=0,"—",0.003*(CO14-(CN14*DATOS!$C$14/(DATOS!$C$21*100)/DATOS!$C$22))/(CN14*DATOS!$C$14/(DATOS!$C$21*100)/DATOS!$C$22)))</f>
        <v/>
      </c>
      <c r="CS14" s="56" t="str">
        <f>IF(V14&lt;&gt;"SÍ","",IF(C14="PERIMETRAL",MAX(0,(AC14/2-BU14)/100)*(0.95-0.5*AB14)*AK14*IF(AND(AL14&gt;0,AL14&lt;4),DATOS!$C$33,1)/1000,(AK14*MAX(0,AC14-BU14)/100+DATOS!$C$26*N(P14))/1000))</f>
        <v/>
      </c>
      <c r="CT14" s="66" t="str">
        <f>IF(V14&lt;&gt;"SÍ","",BT14/(100*BU14))</f>
        <v/>
      </c>
      <c r="CU14" s="56" t="str">
        <f>IF(V14&lt;&gt;"SÍ","",DATOS!$C$30*2*MIN(1,SQRT(2/(1+0.04*BU14)))*CT14^(1/3)*SQRT(DATOS!$C$13)*100*BU14/1000)</f>
        <v/>
      </c>
      <c r="CV14" s="67" t="str">
        <f>IF(V14&lt;&gt;"SÍ","",IF(CS14&lt;=CU14,"CUMPLE","NO CUMPLE: sube h"))</f>
        <v/>
      </c>
      <c r="CW14" s="58" t="str">
        <f>IF(V14&lt;&gt;"SÍ","",IF(C14="PERIMETRAL",IF(ISNUMBER(R14),R14,DATOS!$C$104),0))</f>
        <v/>
      </c>
      <c r="CX14" s="57" t="str">
        <f>IF(V14&lt;&gt;"SÍ","",IF(C14="PERIMETRAL",IF(CW14&gt;2,MAX(9,AD14*(0.8+DATOS!$C$14/14000)/(36+9*(AD14/MAX(AC14,1)))),IF(CW14&gt;0.2,MAX(13,AD14*(0.8+DATOS!$C$14/14000)/(36+5*(AD14/MAX(AC14,1))*(CW14-0.2))),MAX(13,AD14/IF(AL14&gt;0,30,33))))*IF(AND(CW14&gt;0.2,AL14&gt;0,DATOS!$C$105="NO"),1.1,1),Z14*100/DATOS!$C$145*(0.4+DATOS!$C$14/7000)))</f>
        <v/>
      </c>
      <c r="CY14" s="61" t="str">
        <f>IF(V14&lt;&gt;"SÍ","",IF(W14&gt;=CX14-0.001,"CUMPLE",IF(C14="VOLADO","NO CUMPLE","CALCULAR FLECHA")))</f>
        <v/>
      </c>
      <c r="CZ14" s="60" t="str">
        <f>IF(V14&lt;&gt;"SÍ","",IF(C14="VOLADO",MIN(FLOOR(IF(ISNUMBER(Q14),Q14,Z14)*100-DATOS!$C$63,5),CEILING(MAX(IF((0.5*(0.9*W14/100*DATOS!$C$16)*IF(ISNUMBER(Q14),Q14,Z14)+AY14/IF(ISNUMBER(Q14),Q14,Z14))^2-4*(0.5*(0.9*W14/100*DATOS!$C$16))*AY14&lt;0,IF(ISNUMBER(Q14),Q14,Z14),MIN(IF(ISNUMBER(Q14),Q14,Z14),((0.5*(0.9*W14/100*DATOS!$C$16)*IF(ISNUMBER(Q14),Q14,Z14)+AY14/IF(ISNUMBER(Q14),Q14,Z14))-SQRT((0.5*(0.9*W14/100*DATOS!$C$16)*IF(ISNUMBER(Q14),Q14,Z14)+AY14/IF(ISNUMBER(Q14),Q14,Z14))^2-4*(0.5*(0.9*W14/100*DATOS!$C$16))*AY14))/(2*(0.5*(0.9*W14/100*DATOS!$C$16)))))*100+MAX(BU14,12*INDEX(TABLAS!$C$52:$C$58,MATCH(BR14,TABLAS!$B$52:$B$58,0)),IF(ISNUMBER(Q14),Q14,Z14)*100/16),IF(OR(AF14&lt;INDEX(TABLAS!$C$52:$C$58,MATCH(BR14,TABLAS!$B$52:$B$58,0)),BS14-INDEX(TABLAS!$C$52:$C$58,MATCH(BR14,TABLAS!$B$52:$B$58,0))&lt;2*INDEX(TABLAS!$C$52:$C$58,MATCH(BR14,TABLAS!$B$52:$B$58,0))),INDEX(TABLAS!$I$52:$I$58,MATCH(BR14,TABLAS!$B$52:$B$58,0)),INDEX(TABLAS!$F$52:$F$58,MATCH(BR14,TABLAS!$B$52:$B$58,0)))),5)),IF(((4*((AV14*AK14*Z14^2*1E-4/1000)+((MAX(AR14,AT14)*AK14*Z14^2*1E-4/1000)+(IF(AND(AR14&gt;0,AT14&gt;0),MIN(AR14,AT14),MAX(AR14,AT14))*AK14*Z14^2*1E-4/1000))/2)+AY14-(IF(AND(AR14&gt;0,AT14&gt;0),MIN(AR14,AT14),MAX(AR14,AT14))*AK14*Z14^2*1E-4/1000))^2-16*((AV14*AK14*Z14^2*1E-4/1000)+((MAX(AR14,AT14)*AK14*Z14^2*1E-4/1000)+(IF(AND(AR14&gt;0,AT14&gt;0),MIN(AR14,AT14),MAX(AR14,AT14))*AK14*Z14^2*1E-4/1000))/2)*AY14)&lt;0,CEILING(AC14,5),CEILING(MAX(AC14*((4*((AV14*AK14*Z14^2*1E-4/1000)+((MAX(AR14,AT14)*AK14*Z14^2*1E-4/1000)+(IF(AND(AR14&gt;0,AT14&gt;0),MIN(AR14,AT14),MAX(AR14,AT14))*AK14*Z14^2*1E-4/1000))/2)+AY14-(IF(AND(AR14&gt;0,AT14&gt;0),MIN(AR14,AT14),MAX(AR14,AT14))*AK14*Z14^2*1E-4/1000))-SQRT(MAX(0,((4*((AV14*AK14*Z14^2*1E-4/1000)+((MAX(AR14,AT14)*AK14*Z14^2*1E-4/1000)+(IF(AND(AR14&gt;0,AT14&gt;0),MIN(AR14,AT14),MAX(AR14,AT14))*AK14*Z14^2*1E-4/1000))/2)+AY14-(IF(AND(AR14&gt;0,AT14&gt;0),MIN(AR14,AT14),MAX(AR14,AT14))*AK14*Z14^2*1E-4/1000))^2-16*((AV14*AK14*Z14^2*1E-4/1000)+((MAX(AR14,AT14)*AK14*Z14^2*1E-4/1000)+(IF(AND(AR14&gt;0,AT14&gt;0),MIN(AR14,AT14),MAX(AR14,AT14))*AK14*Z14^2*1E-4/1000))/2)*AY14))))/(8*MAX(((AV14*AK14*Z14^2*1E-4/1000)+((MAX(AR14,AT14)*AK14*Z14^2*1E-4/1000)+(IF(AND(AR14&gt;0,AT14&gt;0),MIN(AR14,AT14),MAX(AR14,AT14))*AK14*Z14^2*1E-4/1000))/2),1E-9))+MAX(BU14,12*INDEX(TABLAS!$C$52:$C$58,MATCH(BR14,TABLAS!$B$52:$B$58,0)),AC14/16),IF(OR(AF14&lt;INDEX(TABLAS!$C$52:$C$58,MATCH(BR14,TABLAS!$B$52:$B$58,0)),BS14-INDEX(TABLAS!$C$52:$C$58,MATCH(BR14,TABLAS!$B$52:$B$58,0))&lt;2*INDEX(TABLAS!$C$52:$C$58,MATCH(BR14,TABLAS!$B$52:$B$58,0))),INDEX(TABLAS!$I$52:$I$58,MATCH(BR14,TABLAS!$B$52:$B$58,0)),INDEX(TABLAS!$F$52:$F$58,MATCH(BR14,TABLAS!$B$52:$B$58,0)))),5))))</f>
        <v/>
      </c>
      <c r="DA14" s="60" t="str">
        <f>IF(V14&lt;&gt;"SÍ","",IF(C14="VOLADO",0,IF(((4*((AW14*AK14*Z14^2*1E-4/1000)+((MAX(AS14,AU14)*AK14*Z14^2*1E-4/1000)+(IF(AND(AS14&gt;0,AU14&gt;0),MIN(AS14,AU14),MAX(AS14,AU14))*AK14*Z14^2*1E-4/1000))/2)+BA14-(IF(AND(AS14&gt;0,AU14&gt;0),MIN(AS14,AU14),MAX(AS14,AU14))*AK14*Z14^2*1E-4/1000))^2-16*((AW14*AK14*Z14^2*1E-4/1000)+((MAX(AS14,AU14)*AK14*Z14^2*1E-4/1000)+(IF(AND(AS14&gt;0,AU14&gt;0),MIN(AS14,AU14),MAX(AS14,AU14))*AK14*Z14^2*1E-4/1000))/2)*BA14)&lt;0,CEILING(AD14,5),CEILING(MAX(AD14*((4*((AW14*AK14*Z14^2*1E-4/1000)+((MAX(AS14,AU14)*AK14*Z14^2*1E-4/1000)+(IF(AND(AS14&gt;0,AU14&gt;0),MIN(AS14,AU14),MAX(AS14,AU14))*AK14*Z14^2*1E-4/1000))/2)+BA14-(IF(AND(AS14&gt;0,AU14&gt;0),MIN(AS14,AU14),MAX(AS14,AU14))*AK14*Z14^2*1E-4/1000))-SQRT(MAX(0,((4*((AW14*AK14*Z14^2*1E-4/1000)+((MAX(AS14,AU14)*AK14*Z14^2*1E-4/1000)+(IF(AND(AS14&gt;0,AU14&gt;0),MIN(AS14,AU14),MAX(AS14,AU14))*AK14*Z14^2*1E-4/1000))/2)+BA14-(IF(AND(AS14&gt;0,AU14&gt;0),MIN(AS14,AU14),MAX(AS14,AU14))*AK14*Z14^2*1E-4/1000))^2-16*((AW14*AK14*Z14^2*1E-4/1000)+((MAX(AS14,AU14)*AK14*Z14^2*1E-4/1000)+(IF(AND(AS14&gt;0,AU14&gt;0),MIN(AS14,AU14),MAX(AS14,AU14))*AK14*Z14^2*1E-4/1000))/2)*BA14))))/(8*MAX(((AW14*AK14*Z14^2*1E-4/1000)+((MAX(AS14,AU14)*AK14*Z14^2*1E-4/1000)+(IF(AND(AS14&gt;0,AU14&gt;0),MIN(AS14,AU14),MAX(AS14,AU14))*AK14*Z14^2*1E-4/1000))/2),1E-9))+MAX(CO14,12*INDEX(TABLAS!$C$52:$C$58,MATCH(CL14,TABLAS!$B$52:$B$58,0)),AD14/16),IF(OR(AF14&lt;INDEX(TABLAS!$C$52:$C$58,MATCH(CL14,TABLAS!$B$52:$B$58,0)),CM14-INDEX(TABLAS!$C$52:$C$58,MATCH(CL14,TABLAS!$B$52:$B$58,0))&lt;2*INDEX(TABLAS!$C$52:$C$58,MATCH(CL14,TABLAS!$B$52:$B$58,0))),INDEX(TABLAS!$I$52:$I$58,MATCH(CL14,TABLAS!$B$52:$B$58,0)),INDEX(TABLAS!$F$52:$F$58,MATCH(CL14,TABLAS!$B$52:$B$58,0)))),5))))</f>
        <v/>
      </c>
      <c r="DB14" s="55" t="str">
        <f>IF(V14&lt;&gt;"SÍ","",IF(AND(C14="PERIMETRAL",AL14-AM14&gt;0,AT14&gt;0),"SÍ","NO"))</f>
        <v/>
      </c>
      <c r="DC14" s="55" t="str">
        <f>IF(V14&lt;&gt;"SÍ","",IF(AND(C14="PERIMETRAL",AM14&gt;0,AU14&gt;0),"SÍ","NO"))</f>
        <v/>
      </c>
      <c r="DD14" s="63" t="str">
        <f>IF(V14&lt;&gt;"SÍ","",IF(OR(C14="VOLADO",AL14=0),"—",IF(AND(AND(INDEX(TABLAS!$G$52:$G$58,MATCH(MAX(BR14,CL14),TABLAS!$B$52:$B$58,0))&lt;=(DATOS!$C$75-DATOS!$C$63),(DATOS!$C$75-DATOS!$C$63)&gt;=15),8*INDEX(TABLAS!$C$52:$C$58,MATCH(MAX(BH14,CB14,BR14,CL14),TABLAS!$B$52:$B$58,0))&lt;=DATOS!$C$76-2*DATOS!$C$63),"CUMPLE (gancho de 180°)",IF(AND(INDEX(TABLAS!$G$52:$G$58,MATCH(MAX(BR14,CL14),TABLAS!$B$52:$B$58,0))&lt;=(DATOS!$C$75-DATOS!$C$63),(DATOS!$C$75-DATOS!$C$63)&gt;=15),"NO CUMPLE: el gancho de 180° (8·d_b) no cabe en el peralte de la dala de borde","NO CUMPLE: dala de borde ≥ "&amp;TEXT(CEILING(MAX(INDEX(TABLAS!$G$52:$G$58,MATCH(MAX(BR14,CL14),TABLAS!$B$52:$B$58,0)),15)+DATOS!$C$63,5),"0")&amp;" cm de ancho"&amp;IF(8*INDEX(TABLAS!$C$52:$C$58,MATCH(MAX(BH14,CB14,BR14,CL14),TABLAS!$B$52:$B$58,0))&lt;=DATOS!$C$76-2*DATOS!$C$63,""," y más peralte para el gancho")))))</f>
        <v/>
      </c>
      <c r="DE14" s="69" t="str">
        <f>IF(V14&lt;&gt;"SÍ","",IF(BI14=0,"NO ALCANZA","No. "&amp;BH14&amp;" @ "&amp;BI14&amp;" cm"&amp;IF(C14="VOLADO"," (temperatura)","")))</f>
        <v/>
      </c>
      <c r="DF14" s="69" t="str">
        <f>IF(V14&lt;&gt;"SÍ","",IF(BS14=0,"NO ALCANZA",IF(C14="VOLADO","No. "&amp;BR14&amp;" @ "&amp;BS14&amp;" cm"&amp;" de la orilla al respaldo ("&amp;IF(CZ14&gt;=FLOOR(100*IF(ISNUMBER(Q14),Q14,Z14)-DATOS!$C$63,5),"hasta su apoyo lejano, con gancho","entran "&amp;TEXT(CZ14/100,"0.00")&amp;" m desde el paño")&amp;")","Bastones "&amp;"No. "&amp;BR14&amp;" @ "&amp;BS14&amp;" cm"&amp;", L = "&amp;TEXT(CZ14/100,"0.00")&amp;" m desde el paño")))</f>
        <v/>
      </c>
      <c r="DG14" s="69" t="str">
        <f>IF(V14&lt;&gt;"SÍ","",IF(CC14=0,"NO ALCANZA","No. "&amp;CB14&amp;" @ "&amp;CC14&amp;" cm"&amp;IF(C14="VOLADO"," (repartición)","")))</f>
        <v/>
      </c>
      <c r="DH14" s="69" t="str">
        <f>IF(V14&lt;&gt;"SÍ","",IF(CM14=0,"NO ALCANZA",IF(C14="VOLADO","No. "&amp;CL14&amp;" @ "&amp;CM14&amp;" cm"&amp;" (repartición)","Bastones "&amp;"No. "&amp;CL14&amp;" @ "&amp;CM14&amp;" cm"&amp;", L = "&amp;TEXT(DA14/100,"0.00")&amp;" m desde el paño")))</f>
        <v/>
      </c>
      <c r="DI14" s="67" t="str">
        <f>IF(B14="","",IF(V14&lt;&gt;"SÍ","FALTAN DATOS: tipo, a_x, a_y, destino y, en volados, L_b",IF(L14="NO MONOLÍTICO (caso II)","FUERA DE ALCANCE: caso II no transcrito",IF(AND(C14="VOLADO",X14="?"),"REVISAR: el volado lleva UN solo borde CONTINUO (el empotrado)",IF(AND(MAX(BM14,BW14,CG14,CQ14)&lt;=1,NOT(OR(BI14&lt;DATOS!$C$143,BS14&lt;DATOS!$C$143,CC14&lt;DATOS!$C$143,CM14&lt;DATOS!$C$143)),NOT(OR(AND(ISNUMBER(BN14),BN14&lt;0.005),AND(ISNUMBER(BX14),BX14&lt;0.005),AND(ISNUMBER(CH14),CH14&lt;0.005),AND(ISNUMBER(CR14),CR14&lt;0.005))),CV14="CUMPLE",CY14="CUMPLE"),"CUMPLE"&amp;IF(LEFT(BB14,5)="FUERA"," · fuera de 3.4.2.1 c)","")&amp;IF(LEFT(DD14,2)="NO"," · REVISAR anclaje en borde discontinuo",""),IF(AND(MAX(BM14,BW14,CG14,CQ14)&lt;=1,NOT(OR(BI14&lt;DATOS!$C$143,BS14&lt;DATOS!$C$143,CC14&lt;DATOS!$C$143,CM14&lt;DATOS!$C$143)),NOT(OR(AND(ISNUMBER(BN14),BN14&lt;0.005),AND(ISNUMBER(BX14),BX14&lt;0.005),AND(ISNUMBER(CH14),CH14&lt;0.005),AND(ISNUMBER(CR14),CR14&lt;0.005))),CV14="CUMPLE",CY14="CALCULAR FLECHA"),"REVISAR: calcular flecha (h &lt; h mín.)"&amp;IF(LEFT(BB14,5)="FUERA"," · fuera de 3.4.2.1 c)","")&amp;IF(LEFT(DD14,2)="NO"," · REVISAR anclaje en borde discontinuo",""),"NO CUMPLE: "&amp;IF(MAX(BM14,BW14,CG14,CQ14)&gt;1,"flexión ","")&amp;IF(OR(BI14&lt;DATOS!$C$143,BS14&lt;DATOS!$C$143,CC14&lt;DATOS!$C$143,CM14&lt;DATOS!$C$143),"separación &lt; mínima ","")&amp;IF(OR(AND(ISNUMBER(BN14),BN14&lt;0.005),AND(ISNUMBER(BX14),BX14&lt;0.005),AND(ISNUMBER(CH14),CH14&lt;0.005),AND(ISNUMBER(CR14),CR14&lt;0.005)),"ε_t &lt; 0.005 ","")&amp;IF(CV14&lt;&gt;"CUMPLE","cortante ","")&amp;IF(CY14="NO CUMPLE","peralte","")))))))</f>
        <v/>
      </c>
      <c r="DJ14" s="70" t="str">
        <f>IF(V14&lt;&gt;"SÍ","",IF(LEFT(B14,7)="EJEMPLO","EJEMPLO de tablero típico: bórralo o sobrescríbelo. ","")&amp;IF(C14="VOLADO","Volado de "&amp;TEXT(Z14,"0.00")&amp;" m empotrado en el borde "&amp;LOWER(X14)&amp;IF(N(P14)&gt;0,", con "&amp;TEXT(P14,"0.0")&amp;" kg/m en la orilla","")&amp;". Lecho inferior con r_ext. Si la orilla carga pretil u otro elemento frágil, calcula la flecha (13.4). El acero superior entra al respaldo de "&amp;TEXT(IF(ISNUMBER(Q14),Q14,Z14),"0.00")&amp;" m"&amp;" hasta pasar M = 0 con 0.9·PP sin carga viva; si ahí no se anula, llega al apoyo lejano y se ancla con gancho. ","")&amp;IF(AND(C14="VOLADO",(0.9*W14/100*DATOS!$C$16*IF(ISNUMBER(Q14),Q14,Z14)/2-AY14/IF(ISNUMBER(Q14),Q14,Z14))&lt;0),"Con 0.9·PP y sin carga viva el apoyo lejano del respaldo levanta (R = "&amp;TEXT(-(0.9*W14/100*DATOS!$C$16*IF(ISNUMBER(Q14),Q14,Z14)/2-AY14/IF(ISNUMBER(Q14),Q14,Z14)),"0.00")&amp;" t/m): ancla ahí el acero con gancho y revisa ese apoyo a tensión. ","")&amp;IF(LEFT(BB14,5)="FUERA","El M⁻ del vecino difiere más de 50 % (3.4.2.1 c): distribuye el desequilibrio (3.4.3.1) o confirma con un modelo; se arma con el mayor. ","")&amp;IF(OR(DB14="SÍ",DC14="SÍ"),"Bastones también en los bordes discontinuos (M⁻ de tabla), con gancho. ","")&amp;IF(LEFT(DD14,2)="NO","Anclaje: "&amp;DD14&amp;" (6.7.7.4.1.1). ","")&amp;IF(AND(C14="PERIMETRAL",AM14&gt;=1,AL14-AM14&gt;=1),"Esquinas exteriores sobre muro: refuerzo de esquina arriba y abajo en L_largo/5 (6.7.7.3.1). ",""))</f>
        <v/>
      </c>
    </row>
    <row r="15" ht="33" customHeight="1">
      <c r="A15" s="50">
        <f>IF(B15="",0,1)+A14</f>
        <v>3</v>
      </c>
      <c r="B15" s="29" t="n"/>
      <c r="C15" s="51" t="n"/>
      <c r="D15" s="29" t="n"/>
      <c r="E15" s="52" t="n"/>
      <c r="F15" s="52" t="n"/>
      <c r="G15" s="51" t="n"/>
      <c r="H15" s="51" t="n"/>
      <c r="I15" s="51" t="n"/>
      <c r="J15" s="51" t="n"/>
      <c r="K15" s="51" t="n"/>
      <c r="L15" s="51" t="n"/>
      <c r="M15" s="54" t="n"/>
      <c r="N15" s="53" t="n"/>
      <c r="O15" s="53" t="n"/>
      <c r="P15" s="54" t="n"/>
      <c r="Q15" s="52" t="n"/>
      <c r="R15" s="54" t="n"/>
      <c r="S15" s="53" t="n"/>
      <c r="T15" s="52" t="n"/>
      <c r="U15" s="52" t="n"/>
      <c r="V15" s="55" t="str">
        <f>IF(B15="","",IF(AND(OR(C15="PERIMETRAL",C15="VOLADO"),ISNUMBER(E15),ISNUMBER(F15),E15&gt;0,F15&gt;0,OR(ISNUMBER(O15),ISNUMBER(MATCH(D15,DATOS!$B$46:$B$58,0))),OR(C15&lt;&gt;"VOLADO",N(Q15)&gt;0)),"SÍ","NO"))</f>
        <v/>
      </c>
      <c r="W15" s="57" t="str">
        <f>IF(V15&lt;&gt;"SÍ","",IF(ISNUMBER(M15),M15,DATOS!$C$137))</f>
        <v/>
      </c>
      <c r="X15" s="55" t="str">
        <f>IF(V15&lt;&gt;"SÍ","",IF(C15&lt;&gt;"VOLADO","—",IF(COUNTIF(G15:J15,"CONTINUO")&lt;&gt;1,"?",IF(G15="CONTINUO","INFERIOR",IF(H15="CONTINUO","SUPERIOR",IF(I15="CONTINUO","IZQUIERDO","DERECHO"))))))</f>
        <v/>
      </c>
      <c r="Y15" s="55" t="str">
        <f>IF(V15&lt;&gt;"SÍ","",IF(C15="VOLADO",IF(OR(X15="IZQUIERDO",X15="DERECHO"),"X","Y"),IF(E15&lt;=F15,"X","Y")))</f>
        <v/>
      </c>
      <c r="Z15" s="56" t="str">
        <f>IF(V15&lt;&gt;"SÍ","",IF(C15="VOLADO",IF(Y15="X",E15,F15),MIN(E15,F15)))</f>
        <v/>
      </c>
      <c r="AA15" s="56" t="str">
        <f>IF(V15&lt;&gt;"SÍ","",IF(C15="VOLADO",IF(Y15="X",F15,E15),MAX(E15,F15)))</f>
        <v/>
      </c>
      <c r="AB15" s="56" t="str">
        <f>IF(V15&lt;&gt;"SÍ","",MIN(Z15,AA15)/MAX(Z15,AA15))</f>
        <v/>
      </c>
      <c r="AC15" s="57" t="str">
        <f>IF(V15&lt;&gt;"SÍ","",MAX(1,Z15*100-IF(C15="VOLADO",DATOS!$C$87/2,DATOS!$C$87)))</f>
        <v/>
      </c>
      <c r="AD15" s="57" t="str">
        <f>IF(V15&lt;&gt;"SÍ","",MAX(1,AA15*100-DATOS!$C$87))</f>
        <v/>
      </c>
      <c r="AE15" s="57" t="str">
        <f>IF(V15&lt;&gt;"SÍ","",IF(C15="VOLADO",DATOS!$C$64,DATOS!$C$62))</f>
        <v/>
      </c>
      <c r="AF15" s="57" t="str">
        <f>IF(V15&lt;&gt;"SÍ","",IF(OR(AND(AG15="SÍ",DATOS!$C$66="SÍ"),AND(C15="VOLADO",DATOS!$C$67="SÍ")),DATOS!$C$64,DATOS!$C$62))</f>
        <v/>
      </c>
      <c r="AG15" s="55" t="str">
        <f>IF(V15&lt;&gt;"SÍ","",IFERROR(INDEX(DATOS!$D$46:$D$58,MATCH(D15,DATOS!$B$46:$B$58,0)),"NO"))</f>
        <v/>
      </c>
      <c r="AH15" s="59" t="str">
        <f>IF(V15&lt;&gt;"SÍ","",IF(ISNUMBER(O15),O15,IFERROR(INDEX(DATOS!$C$46:$C$58,MATCH(D15,DATOS!$B$46:$B$58,0)),0)))</f>
        <v/>
      </c>
      <c r="AI15" s="59" t="str">
        <f>IF(V15&lt;&gt;"SÍ","",W15/100*DATOS!$C$16*1000+DATOS!$C$37+DATOS!$C$38)</f>
        <v/>
      </c>
      <c r="AJ15" s="59" t="str">
        <f>IF(V15&lt;&gt;"SÍ","",AI15+N(N15))</f>
        <v/>
      </c>
      <c r="AK15" s="60" t="str">
        <f>IF(V15&lt;&gt;"SÍ","",MAX(DATOS!$C$26*AJ15+DATOS!$C$27*AH15,IF(AG15="SÍ",DATOS!$C$28*(AJ15+DATOS!$C$41),0)))</f>
        <v/>
      </c>
      <c r="AL15" s="59" t="str">
        <f>IF(V15&lt;&gt;"SÍ","",(G15="DISCONTINUO")+(H15="DISCONTINUO")+(I15="DISCONTINUO")+(J15="DISCONTINUO"))</f>
        <v/>
      </c>
      <c r="AM15" s="59" t="str">
        <f>IF(V15&lt;&gt;"SÍ","",IF(Y15="X",(G15="DISCONTINUO")+(H15="DISCONTINUO"),(I15="DISCONTINUO")+(J15="DISCONTINUO")))</f>
        <v/>
      </c>
      <c r="AN15" s="55" t="str">
        <f>IF(V15&lt;&gt;"SÍ","",IF(AL15=0,"INTERIOR",IF(AL15=1,IF(AM15=1,"BORDE-CORTO","BORDE-LARGO"),IF(AL15=2,IF(AM15=1,"ESQUINA",IF(AM15=2,"EXTREMO-LARGO","EXTREMO-CORTO")),IF(AL15=3,IF(AM15=2,"EXTREMO-LARGO","EXTREMO-CORTO"),"AISLADO")))))</f>
        <v/>
      </c>
      <c r="AO15" s="61" t="str">
        <f>IF(V15&lt;&gt;"SÍ","",IF(OR(K15="",K15="AUTO"),AN15,K15))</f>
        <v/>
      </c>
      <c r="AP15" s="59" t="str">
        <f>IF(V15&lt;&gt;"SÍ","",MATCH(AB15,TABLAS!$D$5:$J$5,1))</f>
        <v/>
      </c>
      <c r="AQ15" s="58" t="str">
        <f>IF(V15&lt;&gt;"SÍ","",IF(AP15&gt;=7,0,(AB15-INDEX(TABLAS!$D$5:$J$5,AP15))/(INDEX(TABLAS!$D$5:$J$5,AP15+1)-INDEX(TABLAS!$D$5:$J$5,AP15))))</f>
        <v/>
      </c>
      <c r="AR15" s="59" t="str">
        <f>IF(V15&lt;&gt;"SÍ","",INDEX(TABLAS!$D$6:$J$47,MATCH(AO15&amp;"|NIC",TABLAS!$B$6:$B$47,0),AP15)+AQ15*(INDEX(TABLAS!$D$6:$J$47,MATCH(AO15&amp;"|NIC",TABLAS!$B$6:$B$47,0),MIN(AP15+1,7))-INDEX(TABLAS!$D$6:$J$47,MATCH(AO15&amp;"|NIC",TABLAS!$B$6:$B$47,0),AP15)))</f>
        <v/>
      </c>
      <c r="AS15" s="59" t="str">
        <f>IF(V15&lt;&gt;"SÍ","",INDEX(TABLAS!$D$6:$J$47,MATCH(AO15&amp;"|NIL",TABLAS!$B$6:$B$47,0),AP15)+AQ15*(INDEX(TABLAS!$D$6:$J$47,MATCH(AO15&amp;"|NIL",TABLAS!$B$6:$B$47,0),MIN(AP15+1,7))-INDEX(TABLAS!$D$6:$J$47,MATCH(AO15&amp;"|NIL",TABLAS!$B$6:$B$47,0),AP15)))</f>
        <v/>
      </c>
      <c r="AT15" s="59" t="str">
        <f>IF(V15&lt;&gt;"SÍ","",INDEX(TABLAS!$D$6:$J$47,MATCH(AO15&amp;"|NDC",TABLAS!$B$6:$B$47,0),AP15)+AQ15*(INDEX(TABLAS!$D$6:$J$47,MATCH(AO15&amp;"|NDC",TABLAS!$B$6:$B$47,0),MIN(AP15+1,7))-INDEX(TABLAS!$D$6:$J$47,MATCH(AO15&amp;"|NDC",TABLAS!$B$6:$B$47,0),AP15)))</f>
        <v/>
      </c>
      <c r="AU15" s="59" t="str">
        <f>IF(V15&lt;&gt;"SÍ","",INDEX(TABLAS!$D$6:$J$47,MATCH(AO15&amp;"|NDL",TABLAS!$B$6:$B$47,0),AP15)+AQ15*(INDEX(TABLAS!$D$6:$J$47,MATCH(AO15&amp;"|NDL",TABLAS!$B$6:$B$47,0),MIN(AP15+1,7))-INDEX(TABLAS!$D$6:$J$47,MATCH(AO15&amp;"|NDL",TABLAS!$B$6:$B$47,0),AP15)))</f>
        <v/>
      </c>
      <c r="AV15" s="59" t="str">
        <f>IF(V15&lt;&gt;"SÍ","",INDEX(TABLAS!$D$6:$J$47,MATCH(AO15&amp;"|PC",TABLAS!$B$6:$B$47,0),AP15)+AQ15*(INDEX(TABLAS!$D$6:$J$47,MATCH(AO15&amp;"|PC",TABLAS!$B$6:$B$47,0),MIN(AP15+1,7))-INDEX(TABLAS!$D$6:$J$47,MATCH(AO15&amp;"|PC",TABLAS!$B$6:$B$47,0),AP15)))</f>
        <v/>
      </c>
      <c r="AW15" s="59" t="str">
        <f>IF(V15&lt;&gt;"SÍ","",INDEX(TABLAS!$D$6:$J$47,MATCH(AO15&amp;"|PL",TABLAS!$B$6:$B$47,0),AP15)+AQ15*(INDEX(TABLAS!$D$6:$J$47,MATCH(AO15&amp;"|PL",TABLAS!$B$6:$B$47,0),MIN(AP15+1,7))-INDEX(TABLAS!$D$6:$J$47,MATCH(AO15&amp;"|PL",TABLAS!$B$6:$B$47,0),AP15)))</f>
        <v/>
      </c>
      <c r="AX15" s="56" t="str">
        <f>IF(V15&lt;&gt;"SÍ","",IF(C15="PERIMETRAL",AV15*AK15*Z15^2*1E-4/1000,0))</f>
        <v/>
      </c>
      <c r="AY15" s="62" t="str">
        <f>IF(V15&lt;&gt;"SÍ","",IF(C15="PERIMETRAL",MAX(MAX(AR15,AT15)*AK15*Z15^2*1E-4/1000,N(T15)),(AK15*(AC15/100)^2/2+DATOS!$C$26*N(P15)*AC15/100)/1000))</f>
        <v/>
      </c>
      <c r="AZ15" s="56" t="str">
        <f>IF(V15&lt;&gt;"SÍ","",IF(C15="PERIMETRAL",AW15*AK15*Z15^2*1E-4/1000,0))</f>
        <v/>
      </c>
      <c r="BA15" s="56" t="str">
        <f>IF(V15&lt;&gt;"SÍ","",IF(C15="PERIMETRAL",MAX(MAX(AS15,AU15)*AK15*Z15^2*1E-4/1000,N(U15)),0))</f>
        <v/>
      </c>
      <c r="BB15" s="63" t="str">
        <f>IF(V15&lt;&gt;"SÍ","",IF(C15&lt;&gt;"PERIMETRAL","—",IF(AND(N(T15)=0,N(U15)=0),"— (sin M⁻ del vecino)",IF(OR(AND(N(T15)&gt;0,ABS(MAX(AR15,AT15)*AK15*Z15^2*1E-4/1000-N(T15))&gt;0.5*MIN(MAX(AR15,AT15)*AK15*Z15^2*1E-4/1000,N(T15))),AND(N(U15)&gt;0,ABS(MAX(AS15,AU15)*AK15*Z15^2*1E-4/1000-N(U15))&gt;0.5*MIN(MAX(AS15,AU15)*AK15*Z15^2*1E-4/1000,N(U15)))),"FUERA: difieren &gt; 50 %"&amp;IF(AND(N(T15)&gt;0,ABS(MAX(AR15,AT15)*AK15*Z15^2*1E-4/1000-N(T15))&gt;0.5*MIN(MAX(AR15,AT15)*AK15*Z15^2*1E-4/1000,N(T15)))," ‖ corto","")&amp;IF(AND(N(U15)&gt;0,ABS(MAX(AS15,AU15)*AK15*Z15^2*1E-4/1000-N(U15))&gt;0.5*MIN(MAX(AS15,AU15)*AK15*Z15^2*1E-4/1000,N(U15)))," ‖ largo",""),"CUMPLE"))))</f>
        <v/>
      </c>
      <c r="BC15" s="58" t="str">
        <f>IF(V15&lt;&gt;"SÍ","",DATOS!$C$139*100*W15)</f>
        <v/>
      </c>
      <c r="BD15" s="57" t="str">
        <f>IF(V15&lt;&gt;"SÍ","",MIN(IF(C15="VOLADO",DATOS!$C$141,DATOS!$C$140)*W15,DATOS!$C$142))</f>
        <v/>
      </c>
      <c r="BE15" s="58" t="str">
        <f>IF(V15&lt;&gt;"SÍ","",(W15-AE15-INDEX(TABLAS!$C$52:$C$58,MATCH(IF(ISNUMBER(S15),S15,DATOS!$C$138),TABLAS!$B$52:$B$58,0))/2))</f>
        <v/>
      </c>
      <c r="BF15" s="58" t="str">
        <f>IF(V15&lt;&gt;"SÍ","",IF(AX15&lt;=0,0,IF((1-2*AX15*1E5/(DATOS!$C$29*100*BE15^2*DATOS!$C$21))&lt;0,-1,IF((1-SQRT((1-2*AX15*1E5/(DATOS!$C$29*100*BE15^2*DATOS!$C$21))))*DATOS!$C$21*100*BE15/DATOS!$C$14&gt;DATOS!$C$102*100*BE15,-1,(1-SQRT((1-2*AX15*1E5/(DATOS!$C$29*100*BE15^2*DATOS!$C$21))))*DATOS!$C$21*100*BE15/DATOS!$C$14))))</f>
        <v/>
      </c>
      <c r="BG15" s="58" t="str">
        <f>IF(V15&lt;&gt;"SÍ","",IF(BF15&lt;0,-1,MAX(BF15,BC15)))</f>
        <v/>
      </c>
      <c r="BH15" s="64" t="str">
        <f>IF(V15&lt;&gt;"SÍ","",IF(AND(BG15&gt;0,FLOOR(MIN(BD15,100*INDEX(TABLAS!$D$52:$D$58,MIN(MATCH(IF(ISNUMBER(S15),S15,DATOS!$C$138),TABLAS!$B$52:$B$58,0)+0,7))/MAX(BG15,0.0001)),DATOS!$C$144)&gt;=DATOS!$C$143),INDEX(TABLAS!$B$52:$B$58,MIN(MATCH(IF(ISNUMBER(S15),S15,DATOS!$C$138),TABLAS!$B$52:$B$58,0)+0,7)),IF(AND(BG15&gt;0,FLOOR(MIN(BD15,100*INDEX(TABLAS!$D$52:$D$58,MIN(MATCH(IF(ISNUMBER(S15),S15,DATOS!$C$138),TABLAS!$B$52:$B$58,0)+1,7))/MAX(BG15,0.0001)),DATOS!$C$144)&gt;=DATOS!$C$143),INDEX(TABLAS!$B$52:$B$58,MIN(MATCH(IF(ISNUMBER(S15),S15,DATOS!$C$138),TABLAS!$B$52:$B$58,0)+1,7)),IF(AND(BG15&gt;0,FLOOR(MIN(BD15,100*INDEX(TABLAS!$D$52:$D$58,MIN(MATCH(IF(ISNUMBER(S15),S15,DATOS!$C$138),TABLAS!$B$52:$B$58,0)+2,7))/MAX(BG15,0.0001)),DATOS!$C$144)&gt;=DATOS!$C$143),INDEX(TABLAS!$B$52:$B$58,MIN(MATCH(IF(ISNUMBER(S15),S15,DATOS!$C$138),TABLAS!$B$52:$B$58,0)+2,7)),IF(AND(BG15&gt;0,FLOOR(MIN(BD15,100*INDEX(TABLAS!$D$52:$D$58,MIN(MATCH(IF(ISNUMBER(S15),S15,DATOS!$C$138),TABLAS!$B$52:$B$58,0)+3,7))/MAX(BG15,0.0001)),DATOS!$C$144)&gt;=DATOS!$C$143),INDEX(TABLAS!$B$52:$B$58,MIN(MATCH(IF(ISNUMBER(S15),S15,DATOS!$C$138),TABLAS!$B$52:$B$58,0)+3,7)),IF(AND(BG15&gt;0,FLOOR(MIN(BD15,100*INDEX(TABLAS!$D$52:$D$58,MIN(MATCH(IF(ISNUMBER(S15),S15,DATOS!$C$138),TABLAS!$B$52:$B$58,0)+4,7))/MAX(BG15,0.0001)),DATOS!$C$144)&gt;=DATOS!$C$143),INDEX(TABLAS!$B$52:$B$58,MIN(MATCH(IF(ISNUMBER(S15),S15,DATOS!$C$138),TABLAS!$B$52:$B$58,0)+4,7)),INDEX(TABLAS!$B$52:$B$58,7)))))))</f>
        <v/>
      </c>
      <c r="BI15" s="71" t="str">
        <f>IF(V15&lt;&gt;"SÍ","",IF(BG15&lt;=0,0,FLOOR(MIN(BD15,100*INDEX(TABLAS!$D$52:$D$58,MATCH(BH15,TABLAS!$B$52:$B$58,0))/BG15),DATOS!$C$144)))</f>
        <v/>
      </c>
      <c r="BJ15" s="58" t="str">
        <f>IF(V15&lt;&gt;"SÍ","",IF(BI15&lt;=0,0,INDEX(TABLAS!$D$52:$D$58,MATCH(BH15,TABLAS!$B$52:$B$58,0))*100/BI15))</f>
        <v/>
      </c>
      <c r="BK15" s="58" t="str">
        <f>IF(V15&lt;&gt;"SÍ","",W15-AE15-INDEX(TABLAS!$C$52:$C$58,MATCH(BH15,TABLAS!$B$52:$B$58,0))/2)</f>
        <v/>
      </c>
      <c r="BL15" s="56" t="str">
        <f>IF(V15&lt;&gt;"SÍ","",IF(BJ15=0,0,DATOS!$C$29*BJ15*DATOS!$C$14*(BK15-BJ15*DATOS!$C$14/(DATOS!$C$21*100)/2)/1E5))</f>
        <v/>
      </c>
      <c r="BM15" s="65" t="str">
        <f>IF(V15&lt;&gt;"SÍ","",IF(BG15&lt;0,9.99,IF(BL15&gt;0,AX15/BL15,0)))</f>
        <v/>
      </c>
      <c r="BN15" s="66" t="str">
        <f>IF(V15&lt;&gt;"SÍ","",IF(BJ15=0,"—",0.003*(BK15-(BJ15*DATOS!$C$14/(DATOS!$C$21*100)/DATOS!$C$22))/(BJ15*DATOS!$C$14/(DATOS!$C$21*100)/DATOS!$C$22)))</f>
        <v/>
      </c>
      <c r="BO15" s="58" t="str">
        <f>IF(V15&lt;&gt;"SÍ","",((W15-AF15-INDEX(TABLAS!$C$52:$C$58,MATCH(IF(ISNUMBER(S15),S15,DATOS!$C$138),TABLAS!$B$52:$B$58,0))/2)-IF(AND((W15-AF15-INDEX(TABLAS!$C$52:$C$58,MATCH(IF(ISNUMBER(S15),S15,DATOS!$C$138),TABLAS!$B$52:$B$58,0))/2)&lt;=20,DATOS!$C$65&lt;&gt;"SÍ"),2,0)))</f>
        <v/>
      </c>
      <c r="BP15" s="58" t="str">
        <f>IF(V15&lt;&gt;"SÍ","",IF(AY15&lt;=0,0,IF((1-2*AY15*1E5/(DATOS!$C$29*100*BO15^2*DATOS!$C$21))&lt;0,-1,IF((1-SQRT((1-2*AY15*1E5/(DATOS!$C$29*100*BO15^2*DATOS!$C$21))))*DATOS!$C$21*100*BO15/DATOS!$C$14&gt;DATOS!$C$102*100*BO15,-1,(1-SQRT((1-2*AY15*1E5/(DATOS!$C$29*100*BO15^2*DATOS!$C$21))))*DATOS!$C$21*100*BO15/DATOS!$C$14))))</f>
        <v/>
      </c>
      <c r="BQ15" s="58" t="str">
        <f>IF(V15&lt;&gt;"SÍ","",IF(BP15&lt;0,-1,MAX(BP15,BC15)))</f>
        <v/>
      </c>
      <c r="BR15" s="64" t="str">
        <f>IF(V15&lt;&gt;"SÍ","",IF(AND(BQ15&gt;0,FLOOR(MIN(BD15,100*INDEX(TABLAS!$D$52:$D$58,MIN(MATCH(IF(ISNUMBER(S15),S15,DATOS!$C$138),TABLAS!$B$52:$B$58,0)+0,7))/MAX(BQ15,0.0001)),DATOS!$C$144)&gt;=DATOS!$C$143),INDEX(TABLAS!$B$52:$B$58,MIN(MATCH(IF(ISNUMBER(S15),S15,DATOS!$C$138),TABLAS!$B$52:$B$58,0)+0,7)),IF(AND(BQ15&gt;0,FLOOR(MIN(BD15,100*INDEX(TABLAS!$D$52:$D$58,MIN(MATCH(IF(ISNUMBER(S15),S15,DATOS!$C$138),TABLAS!$B$52:$B$58,0)+1,7))/MAX(BQ15,0.0001)),DATOS!$C$144)&gt;=DATOS!$C$143),INDEX(TABLAS!$B$52:$B$58,MIN(MATCH(IF(ISNUMBER(S15),S15,DATOS!$C$138),TABLAS!$B$52:$B$58,0)+1,7)),IF(AND(BQ15&gt;0,FLOOR(MIN(BD15,100*INDEX(TABLAS!$D$52:$D$58,MIN(MATCH(IF(ISNUMBER(S15),S15,DATOS!$C$138),TABLAS!$B$52:$B$58,0)+2,7))/MAX(BQ15,0.0001)),DATOS!$C$144)&gt;=DATOS!$C$143),INDEX(TABLAS!$B$52:$B$58,MIN(MATCH(IF(ISNUMBER(S15),S15,DATOS!$C$138),TABLAS!$B$52:$B$58,0)+2,7)),IF(AND(BQ15&gt;0,FLOOR(MIN(BD15,100*INDEX(TABLAS!$D$52:$D$58,MIN(MATCH(IF(ISNUMBER(S15),S15,DATOS!$C$138),TABLAS!$B$52:$B$58,0)+3,7))/MAX(BQ15,0.0001)),DATOS!$C$144)&gt;=DATOS!$C$143),INDEX(TABLAS!$B$52:$B$58,MIN(MATCH(IF(ISNUMBER(S15),S15,DATOS!$C$138),TABLAS!$B$52:$B$58,0)+3,7)),IF(AND(BQ15&gt;0,FLOOR(MIN(BD15,100*INDEX(TABLAS!$D$52:$D$58,MIN(MATCH(IF(ISNUMBER(S15),S15,DATOS!$C$138),TABLAS!$B$52:$B$58,0)+4,7))/MAX(BQ15,0.0001)),DATOS!$C$144)&gt;=DATOS!$C$143),INDEX(TABLAS!$B$52:$B$58,MIN(MATCH(IF(ISNUMBER(S15),S15,DATOS!$C$138),TABLAS!$B$52:$B$58,0)+4,7)),INDEX(TABLAS!$B$52:$B$58,7)))))))</f>
        <v/>
      </c>
      <c r="BS15" s="71" t="str">
        <f>IF(V15&lt;&gt;"SÍ","",IF(BQ15&lt;=0,0,FLOOR(MIN(BD15,100*INDEX(TABLAS!$D$52:$D$58,MATCH(BR15,TABLAS!$B$52:$B$58,0))/BQ15),DATOS!$C$144)))</f>
        <v/>
      </c>
      <c r="BT15" s="58" t="str">
        <f>IF(V15&lt;&gt;"SÍ","",IF(BS15&lt;=0,0,INDEX(TABLAS!$D$52:$D$58,MATCH(BR15,TABLAS!$B$52:$B$58,0))*100/BS15))</f>
        <v/>
      </c>
      <c r="BU15" s="58" t="str">
        <f>IF(V15&lt;&gt;"SÍ","",((W15-AF15-INDEX(TABLAS!$C$52:$C$58,MATCH(BR15,TABLAS!$B$52:$B$58,0))/2)-IF(AND((W15-AF15-INDEX(TABLAS!$C$52:$C$58,MATCH(BR15,TABLAS!$B$52:$B$58,0))/2)&lt;=20,DATOS!$C$65&lt;&gt;"SÍ"),2,0)))</f>
        <v/>
      </c>
      <c r="BV15" s="56" t="str">
        <f>IF(V15&lt;&gt;"SÍ","",IF(BT15=0,0,DATOS!$C$29*BT15*DATOS!$C$14*(BU15-BT15*DATOS!$C$14/(DATOS!$C$21*100)/2)/1E5))</f>
        <v/>
      </c>
      <c r="BW15" s="65" t="str">
        <f>IF(V15&lt;&gt;"SÍ","",IF(BQ15&lt;0,9.99,IF(BV15&gt;0,AY15/BV15,0)))</f>
        <v/>
      </c>
      <c r="BX15" s="66" t="str">
        <f>IF(V15&lt;&gt;"SÍ","",IF(BT15=0,"—",0.003*(BU15-(BT15*DATOS!$C$14/(DATOS!$C$21*100)/DATOS!$C$22))/(BT15*DATOS!$C$14/(DATOS!$C$21*100)/DATOS!$C$22)))</f>
        <v/>
      </c>
      <c r="BY15" s="58" t="str">
        <f>IF(V15&lt;&gt;"SÍ","",(W15-AE15-1.5*INDEX(TABLAS!$C$52:$C$58,MATCH(IF(ISNUMBER(S15),S15,DATOS!$C$138),TABLAS!$B$52:$B$58,0))))</f>
        <v/>
      </c>
      <c r="BZ15" s="58" t="str">
        <f>IF(V15&lt;&gt;"SÍ","",IF(AZ15&lt;=0,0,IF((1-2*AZ15*1E5/(DATOS!$C$29*100*BY15^2*DATOS!$C$21))&lt;0,-1,IF((1-SQRT((1-2*AZ15*1E5/(DATOS!$C$29*100*BY15^2*DATOS!$C$21))))*DATOS!$C$21*100*BY15/DATOS!$C$14&gt;DATOS!$C$102*100*BY15,-1,(1-SQRT((1-2*AZ15*1E5/(DATOS!$C$29*100*BY15^2*DATOS!$C$21))))*DATOS!$C$21*100*BY15/DATOS!$C$14))))</f>
        <v/>
      </c>
      <c r="CA15" s="58" t="str">
        <f>IF(V15&lt;&gt;"SÍ","",IF(BZ15&lt;0,-1,MAX(BZ15,BC15)))</f>
        <v/>
      </c>
      <c r="CB15" s="64" t="str">
        <f>IF(V15&lt;&gt;"SÍ","",IF(AND(CA15&gt;0,FLOOR(MIN(BD15,100*INDEX(TABLAS!$D$52:$D$58,MIN(MATCH(IF(ISNUMBER(S15),S15,DATOS!$C$138),TABLAS!$B$52:$B$58,0)+0,7))/MAX(CA15,0.0001)),DATOS!$C$144)&gt;=DATOS!$C$143),INDEX(TABLAS!$B$52:$B$58,MIN(MATCH(IF(ISNUMBER(S15),S15,DATOS!$C$138),TABLAS!$B$52:$B$58,0)+0,7)),IF(AND(CA15&gt;0,FLOOR(MIN(BD15,100*INDEX(TABLAS!$D$52:$D$58,MIN(MATCH(IF(ISNUMBER(S15),S15,DATOS!$C$138),TABLAS!$B$52:$B$58,0)+1,7))/MAX(CA15,0.0001)),DATOS!$C$144)&gt;=DATOS!$C$143),INDEX(TABLAS!$B$52:$B$58,MIN(MATCH(IF(ISNUMBER(S15),S15,DATOS!$C$138),TABLAS!$B$52:$B$58,0)+1,7)),IF(AND(CA15&gt;0,FLOOR(MIN(BD15,100*INDEX(TABLAS!$D$52:$D$58,MIN(MATCH(IF(ISNUMBER(S15),S15,DATOS!$C$138),TABLAS!$B$52:$B$58,0)+2,7))/MAX(CA15,0.0001)),DATOS!$C$144)&gt;=DATOS!$C$143),INDEX(TABLAS!$B$52:$B$58,MIN(MATCH(IF(ISNUMBER(S15),S15,DATOS!$C$138),TABLAS!$B$52:$B$58,0)+2,7)),IF(AND(CA15&gt;0,FLOOR(MIN(BD15,100*INDEX(TABLAS!$D$52:$D$58,MIN(MATCH(IF(ISNUMBER(S15),S15,DATOS!$C$138),TABLAS!$B$52:$B$58,0)+3,7))/MAX(CA15,0.0001)),DATOS!$C$144)&gt;=DATOS!$C$143),INDEX(TABLAS!$B$52:$B$58,MIN(MATCH(IF(ISNUMBER(S15),S15,DATOS!$C$138),TABLAS!$B$52:$B$58,0)+3,7)),IF(AND(CA15&gt;0,FLOOR(MIN(BD15,100*INDEX(TABLAS!$D$52:$D$58,MIN(MATCH(IF(ISNUMBER(S15),S15,DATOS!$C$138),TABLAS!$B$52:$B$58,0)+4,7))/MAX(CA15,0.0001)),DATOS!$C$144)&gt;=DATOS!$C$143),INDEX(TABLAS!$B$52:$B$58,MIN(MATCH(IF(ISNUMBER(S15),S15,DATOS!$C$138),TABLAS!$B$52:$B$58,0)+4,7)),INDEX(TABLAS!$B$52:$B$58,7)))))))</f>
        <v/>
      </c>
      <c r="CC15" s="71" t="str">
        <f>IF(V15&lt;&gt;"SÍ","",IF(CA15&lt;=0,0,FLOOR(MIN(BD15,100*INDEX(TABLAS!$D$52:$D$58,MATCH(CB15,TABLAS!$B$52:$B$58,0))/CA15),DATOS!$C$144)))</f>
        <v/>
      </c>
      <c r="CD15" s="58" t="str">
        <f>IF(V15&lt;&gt;"SÍ","",IF(CC15&lt;=0,0,INDEX(TABLAS!$D$52:$D$58,MATCH(CB15,TABLAS!$B$52:$B$58,0))*100/CC15))</f>
        <v/>
      </c>
      <c r="CE15" s="58" t="str">
        <f>IF(V15&lt;&gt;"SÍ","",W15-AE15-INDEX(TABLAS!$C$52:$C$58,MATCH(BH15,TABLAS!$B$52:$B$58,0))-INDEX(TABLAS!$C$52:$C$58,MATCH(CB15,TABLAS!$B$52:$B$58,0))/2)</f>
        <v/>
      </c>
      <c r="CF15" s="56" t="str">
        <f>IF(V15&lt;&gt;"SÍ","",IF(CD15=0,0,DATOS!$C$29*CD15*DATOS!$C$14*(CE15-CD15*DATOS!$C$14/(DATOS!$C$21*100)/2)/1E5))</f>
        <v/>
      </c>
      <c r="CG15" s="65" t="str">
        <f>IF(V15&lt;&gt;"SÍ","",IF(CA15&lt;0,9.99,IF(CF15&gt;0,AZ15/CF15,0)))</f>
        <v/>
      </c>
      <c r="CH15" s="66" t="str">
        <f>IF(V15&lt;&gt;"SÍ","",IF(CD15=0,"—",0.003*(CE15-(CD15*DATOS!$C$14/(DATOS!$C$21*100)/DATOS!$C$22))/(CD15*DATOS!$C$14/(DATOS!$C$21*100)/DATOS!$C$22)))</f>
        <v/>
      </c>
      <c r="CI15" s="58" t="str">
        <f>IF(V15&lt;&gt;"SÍ","",((W15-AF15-1.5*INDEX(TABLAS!$C$52:$C$58,MATCH(IF(ISNUMBER(S15),S15,DATOS!$C$138),TABLAS!$B$52:$B$58,0)))-IF(AND((W15-AF15-1.5*INDEX(TABLAS!$C$52:$C$58,MATCH(IF(ISNUMBER(S15),S15,DATOS!$C$138),TABLAS!$B$52:$B$58,0)))&lt;=20,DATOS!$C$65&lt;&gt;"SÍ"),2,0)))</f>
        <v/>
      </c>
      <c r="CJ15" s="58" t="str">
        <f>IF(V15&lt;&gt;"SÍ","",IF(BA15&lt;=0,0,IF((1-2*BA15*1E5/(DATOS!$C$29*100*CI15^2*DATOS!$C$21))&lt;0,-1,IF((1-SQRT((1-2*BA15*1E5/(DATOS!$C$29*100*CI15^2*DATOS!$C$21))))*DATOS!$C$21*100*CI15/DATOS!$C$14&gt;DATOS!$C$102*100*CI15,-1,(1-SQRT((1-2*BA15*1E5/(DATOS!$C$29*100*CI15^2*DATOS!$C$21))))*DATOS!$C$21*100*CI15/DATOS!$C$14))))</f>
        <v/>
      </c>
      <c r="CK15" s="58" t="str">
        <f>IF(V15&lt;&gt;"SÍ","",IF(CJ15&lt;0,-1,MAX(CJ15,BC15)))</f>
        <v/>
      </c>
      <c r="CL15" s="64" t="str">
        <f>IF(V15&lt;&gt;"SÍ","",IF(AND(CK15&gt;0,FLOOR(MIN(BD15,100*INDEX(TABLAS!$D$52:$D$58,MIN(MATCH(IF(ISNUMBER(S15),S15,DATOS!$C$138),TABLAS!$B$52:$B$58,0)+0,7))/MAX(CK15,0.0001)),DATOS!$C$144)&gt;=DATOS!$C$143),INDEX(TABLAS!$B$52:$B$58,MIN(MATCH(IF(ISNUMBER(S15),S15,DATOS!$C$138),TABLAS!$B$52:$B$58,0)+0,7)),IF(AND(CK15&gt;0,FLOOR(MIN(BD15,100*INDEX(TABLAS!$D$52:$D$58,MIN(MATCH(IF(ISNUMBER(S15),S15,DATOS!$C$138),TABLAS!$B$52:$B$58,0)+1,7))/MAX(CK15,0.0001)),DATOS!$C$144)&gt;=DATOS!$C$143),INDEX(TABLAS!$B$52:$B$58,MIN(MATCH(IF(ISNUMBER(S15),S15,DATOS!$C$138),TABLAS!$B$52:$B$58,0)+1,7)),IF(AND(CK15&gt;0,FLOOR(MIN(BD15,100*INDEX(TABLAS!$D$52:$D$58,MIN(MATCH(IF(ISNUMBER(S15),S15,DATOS!$C$138),TABLAS!$B$52:$B$58,0)+2,7))/MAX(CK15,0.0001)),DATOS!$C$144)&gt;=DATOS!$C$143),INDEX(TABLAS!$B$52:$B$58,MIN(MATCH(IF(ISNUMBER(S15),S15,DATOS!$C$138),TABLAS!$B$52:$B$58,0)+2,7)),IF(AND(CK15&gt;0,FLOOR(MIN(BD15,100*INDEX(TABLAS!$D$52:$D$58,MIN(MATCH(IF(ISNUMBER(S15),S15,DATOS!$C$138),TABLAS!$B$52:$B$58,0)+3,7))/MAX(CK15,0.0001)),DATOS!$C$144)&gt;=DATOS!$C$143),INDEX(TABLAS!$B$52:$B$58,MIN(MATCH(IF(ISNUMBER(S15),S15,DATOS!$C$138),TABLAS!$B$52:$B$58,0)+3,7)),IF(AND(CK15&gt;0,FLOOR(MIN(BD15,100*INDEX(TABLAS!$D$52:$D$58,MIN(MATCH(IF(ISNUMBER(S15),S15,DATOS!$C$138),TABLAS!$B$52:$B$58,0)+4,7))/MAX(CK15,0.0001)),DATOS!$C$144)&gt;=DATOS!$C$143),INDEX(TABLAS!$B$52:$B$58,MIN(MATCH(IF(ISNUMBER(S15),S15,DATOS!$C$138),TABLAS!$B$52:$B$58,0)+4,7)),INDEX(TABLAS!$B$52:$B$58,7)))))))</f>
        <v/>
      </c>
      <c r="CM15" s="71" t="str">
        <f>IF(V15&lt;&gt;"SÍ","",IF(CK15&lt;=0,0,FLOOR(MIN(BD15,100*INDEX(TABLAS!$D$52:$D$58,MATCH(CL15,TABLAS!$B$52:$B$58,0))/CK15),DATOS!$C$144)))</f>
        <v/>
      </c>
      <c r="CN15" s="58" t="str">
        <f>IF(V15&lt;&gt;"SÍ","",IF(CM15&lt;=0,0,INDEX(TABLAS!$D$52:$D$58,MATCH(CL15,TABLAS!$B$52:$B$58,0))*100/CM15))</f>
        <v/>
      </c>
      <c r="CO15" s="58" t="str">
        <f>IF(V15&lt;&gt;"SÍ","",((W15-AF15-INDEX(TABLAS!$C$52:$C$58,MATCH(BR15,TABLAS!$B$52:$B$58,0))-INDEX(TABLAS!$C$52:$C$58,MATCH(CL15,TABLAS!$B$52:$B$58,0))/2)-IF(AND((W15-AF15-INDEX(TABLAS!$C$52:$C$58,MATCH(BR15,TABLAS!$B$52:$B$58,0))-INDEX(TABLAS!$C$52:$C$58,MATCH(CL15,TABLAS!$B$52:$B$58,0))/2)&lt;=20,DATOS!$C$65&lt;&gt;"SÍ"),2,0)))</f>
        <v/>
      </c>
      <c r="CP15" s="56" t="str">
        <f>IF(V15&lt;&gt;"SÍ","",IF(CN15=0,0,DATOS!$C$29*CN15*DATOS!$C$14*(CO15-CN15*DATOS!$C$14/(DATOS!$C$21*100)/2)/1E5))</f>
        <v/>
      </c>
      <c r="CQ15" s="65" t="str">
        <f>IF(V15&lt;&gt;"SÍ","",IF(CK15&lt;0,9.99,IF(CP15&gt;0,BA15/CP15,0)))</f>
        <v/>
      </c>
      <c r="CR15" s="66" t="str">
        <f>IF(V15&lt;&gt;"SÍ","",IF(CN15=0,"—",0.003*(CO15-(CN15*DATOS!$C$14/(DATOS!$C$21*100)/DATOS!$C$22))/(CN15*DATOS!$C$14/(DATOS!$C$21*100)/DATOS!$C$22)))</f>
        <v/>
      </c>
      <c r="CS15" s="56" t="str">
        <f>IF(V15&lt;&gt;"SÍ","",IF(C15="PERIMETRAL",MAX(0,(AC15/2-BU15)/100)*(0.95-0.5*AB15)*AK15*IF(AND(AL15&gt;0,AL15&lt;4),DATOS!$C$33,1)/1000,(AK15*MAX(0,AC15-BU15)/100+DATOS!$C$26*N(P15))/1000))</f>
        <v/>
      </c>
      <c r="CT15" s="66" t="str">
        <f>IF(V15&lt;&gt;"SÍ","",BT15/(100*BU15))</f>
        <v/>
      </c>
      <c r="CU15" s="56" t="str">
        <f>IF(V15&lt;&gt;"SÍ","",DATOS!$C$30*2*MIN(1,SQRT(2/(1+0.04*BU15)))*CT15^(1/3)*SQRT(DATOS!$C$13)*100*BU15/1000)</f>
        <v/>
      </c>
      <c r="CV15" s="67" t="str">
        <f>IF(V15&lt;&gt;"SÍ","",IF(CS15&lt;=CU15,"CUMPLE","NO CUMPLE: sube h"))</f>
        <v/>
      </c>
      <c r="CW15" s="58" t="str">
        <f>IF(V15&lt;&gt;"SÍ","",IF(C15="PERIMETRAL",IF(ISNUMBER(R15),R15,DATOS!$C$104),0))</f>
        <v/>
      </c>
      <c r="CX15" s="57" t="str">
        <f>IF(V15&lt;&gt;"SÍ","",IF(C15="PERIMETRAL",IF(CW15&gt;2,MAX(9,AD15*(0.8+DATOS!$C$14/14000)/(36+9*(AD15/MAX(AC15,1)))),IF(CW15&gt;0.2,MAX(13,AD15*(0.8+DATOS!$C$14/14000)/(36+5*(AD15/MAX(AC15,1))*(CW15-0.2))),MAX(13,AD15/IF(AL15&gt;0,30,33))))*IF(AND(CW15&gt;0.2,AL15&gt;0,DATOS!$C$105="NO"),1.1,1),Z15*100/DATOS!$C$145*(0.4+DATOS!$C$14/7000)))</f>
        <v/>
      </c>
      <c r="CY15" s="61" t="str">
        <f>IF(V15&lt;&gt;"SÍ","",IF(W15&gt;=CX15-0.001,"CUMPLE",IF(C15="VOLADO","NO CUMPLE","CALCULAR FLECHA")))</f>
        <v/>
      </c>
      <c r="CZ15" s="60" t="str">
        <f>IF(V15&lt;&gt;"SÍ","",IF(C15="VOLADO",MIN(FLOOR(IF(ISNUMBER(Q15),Q15,Z15)*100-DATOS!$C$63,5),CEILING(MAX(IF((0.5*(0.9*W15/100*DATOS!$C$16)*IF(ISNUMBER(Q15),Q15,Z15)+AY15/IF(ISNUMBER(Q15),Q15,Z15))^2-4*(0.5*(0.9*W15/100*DATOS!$C$16))*AY15&lt;0,IF(ISNUMBER(Q15),Q15,Z15),MIN(IF(ISNUMBER(Q15),Q15,Z15),((0.5*(0.9*W15/100*DATOS!$C$16)*IF(ISNUMBER(Q15),Q15,Z15)+AY15/IF(ISNUMBER(Q15),Q15,Z15))-SQRT((0.5*(0.9*W15/100*DATOS!$C$16)*IF(ISNUMBER(Q15),Q15,Z15)+AY15/IF(ISNUMBER(Q15),Q15,Z15))^2-4*(0.5*(0.9*W15/100*DATOS!$C$16))*AY15))/(2*(0.5*(0.9*W15/100*DATOS!$C$16)))))*100+MAX(BU15,12*INDEX(TABLAS!$C$52:$C$58,MATCH(BR15,TABLAS!$B$52:$B$58,0)),IF(ISNUMBER(Q15),Q15,Z15)*100/16),IF(OR(AF15&lt;INDEX(TABLAS!$C$52:$C$58,MATCH(BR15,TABLAS!$B$52:$B$58,0)),BS15-INDEX(TABLAS!$C$52:$C$58,MATCH(BR15,TABLAS!$B$52:$B$58,0))&lt;2*INDEX(TABLAS!$C$52:$C$58,MATCH(BR15,TABLAS!$B$52:$B$58,0))),INDEX(TABLAS!$I$52:$I$58,MATCH(BR15,TABLAS!$B$52:$B$58,0)),INDEX(TABLAS!$F$52:$F$58,MATCH(BR15,TABLAS!$B$52:$B$58,0)))),5)),IF(((4*((AV15*AK15*Z15^2*1E-4/1000)+((MAX(AR15,AT15)*AK15*Z15^2*1E-4/1000)+(IF(AND(AR15&gt;0,AT15&gt;0),MIN(AR15,AT15),MAX(AR15,AT15))*AK15*Z15^2*1E-4/1000))/2)+AY15-(IF(AND(AR15&gt;0,AT15&gt;0),MIN(AR15,AT15),MAX(AR15,AT15))*AK15*Z15^2*1E-4/1000))^2-16*((AV15*AK15*Z15^2*1E-4/1000)+((MAX(AR15,AT15)*AK15*Z15^2*1E-4/1000)+(IF(AND(AR15&gt;0,AT15&gt;0),MIN(AR15,AT15),MAX(AR15,AT15))*AK15*Z15^2*1E-4/1000))/2)*AY15)&lt;0,CEILING(AC15,5),CEILING(MAX(AC15*((4*((AV15*AK15*Z15^2*1E-4/1000)+((MAX(AR15,AT15)*AK15*Z15^2*1E-4/1000)+(IF(AND(AR15&gt;0,AT15&gt;0),MIN(AR15,AT15),MAX(AR15,AT15))*AK15*Z15^2*1E-4/1000))/2)+AY15-(IF(AND(AR15&gt;0,AT15&gt;0),MIN(AR15,AT15),MAX(AR15,AT15))*AK15*Z15^2*1E-4/1000))-SQRT(MAX(0,((4*((AV15*AK15*Z15^2*1E-4/1000)+((MAX(AR15,AT15)*AK15*Z15^2*1E-4/1000)+(IF(AND(AR15&gt;0,AT15&gt;0),MIN(AR15,AT15),MAX(AR15,AT15))*AK15*Z15^2*1E-4/1000))/2)+AY15-(IF(AND(AR15&gt;0,AT15&gt;0),MIN(AR15,AT15),MAX(AR15,AT15))*AK15*Z15^2*1E-4/1000))^2-16*((AV15*AK15*Z15^2*1E-4/1000)+((MAX(AR15,AT15)*AK15*Z15^2*1E-4/1000)+(IF(AND(AR15&gt;0,AT15&gt;0),MIN(AR15,AT15),MAX(AR15,AT15))*AK15*Z15^2*1E-4/1000))/2)*AY15))))/(8*MAX(((AV15*AK15*Z15^2*1E-4/1000)+((MAX(AR15,AT15)*AK15*Z15^2*1E-4/1000)+(IF(AND(AR15&gt;0,AT15&gt;0),MIN(AR15,AT15),MAX(AR15,AT15))*AK15*Z15^2*1E-4/1000))/2),1E-9))+MAX(BU15,12*INDEX(TABLAS!$C$52:$C$58,MATCH(BR15,TABLAS!$B$52:$B$58,0)),AC15/16),IF(OR(AF15&lt;INDEX(TABLAS!$C$52:$C$58,MATCH(BR15,TABLAS!$B$52:$B$58,0)),BS15-INDEX(TABLAS!$C$52:$C$58,MATCH(BR15,TABLAS!$B$52:$B$58,0))&lt;2*INDEX(TABLAS!$C$52:$C$58,MATCH(BR15,TABLAS!$B$52:$B$58,0))),INDEX(TABLAS!$I$52:$I$58,MATCH(BR15,TABLAS!$B$52:$B$58,0)),INDEX(TABLAS!$F$52:$F$58,MATCH(BR15,TABLAS!$B$52:$B$58,0)))),5))))</f>
        <v/>
      </c>
      <c r="DA15" s="60" t="str">
        <f>IF(V15&lt;&gt;"SÍ","",IF(C15="VOLADO",0,IF(((4*((AW15*AK15*Z15^2*1E-4/1000)+((MAX(AS15,AU15)*AK15*Z15^2*1E-4/1000)+(IF(AND(AS15&gt;0,AU15&gt;0),MIN(AS15,AU15),MAX(AS15,AU15))*AK15*Z15^2*1E-4/1000))/2)+BA15-(IF(AND(AS15&gt;0,AU15&gt;0),MIN(AS15,AU15),MAX(AS15,AU15))*AK15*Z15^2*1E-4/1000))^2-16*((AW15*AK15*Z15^2*1E-4/1000)+((MAX(AS15,AU15)*AK15*Z15^2*1E-4/1000)+(IF(AND(AS15&gt;0,AU15&gt;0),MIN(AS15,AU15),MAX(AS15,AU15))*AK15*Z15^2*1E-4/1000))/2)*BA15)&lt;0,CEILING(AD15,5),CEILING(MAX(AD15*((4*((AW15*AK15*Z15^2*1E-4/1000)+((MAX(AS15,AU15)*AK15*Z15^2*1E-4/1000)+(IF(AND(AS15&gt;0,AU15&gt;0),MIN(AS15,AU15),MAX(AS15,AU15))*AK15*Z15^2*1E-4/1000))/2)+BA15-(IF(AND(AS15&gt;0,AU15&gt;0),MIN(AS15,AU15),MAX(AS15,AU15))*AK15*Z15^2*1E-4/1000))-SQRT(MAX(0,((4*((AW15*AK15*Z15^2*1E-4/1000)+((MAX(AS15,AU15)*AK15*Z15^2*1E-4/1000)+(IF(AND(AS15&gt;0,AU15&gt;0),MIN(AS15,AU15),MAX(AS15,AU15))*AK15*Z15^2*1E-4/1000))/2)+BA15-(IF(AND(AS15&gt;0,AU15&gt;0),MIN(AS15,AU15),MAX(AS15,AU15))*AK15*Z15^2*1E-4/1000))^2-16*((AW15*AK15*Z15^2*1E-4/1000)+((MAX(AS15,AU15)*AK15*Z15^2*1E-4/1000)+(IF(AND(AS15&gt;0,AU15&gt;0),MIN(AS15,AU15),MAX(AS15,AU15))*AK15*Z15^2*1E-4/1000))/2)*BA15))))/(8*MAX(((AW15*AK15*Z15^2*1E-4/1000)+((MAX(AS15,AU15)*AK15*Z15^2*1E-4/1000)+(IF(AND(AS15&gt;0,AU15&gt;0),MIN(AS15,AU15),MAX(AS15,AU15))*AK15*Z15^2*1E-4/1000))/2),1E-9))+MAX(CO15,12*INDEX(TABLAS!$C$52:$C$58,MATCH(CL15,TABLAS!$B$52:$B$58,0)),AD15/16),IF(OR(AF15&lt;INDEX(TABLAS!$C$52:$C$58,MATCH(CL15,TABLAS!$B$52:$B$58,0)),CM15-INDEX(TABLAS!$C$52:$C$58,MATCH(CL15,TABLAS!$B$52:$B$58,0))&lt;2*INDEX(TABLAS!$C$52:$C$58,MATCH(CL15,TABLAS!$B$52:$B$58,0))),INDEX(TABLAS!$I$52:$I$58,MATCH(CL15,TABLAS!$B$52:$B$58,0)),INDEX(TABLAS!$F$52:$F$58,MATCH(CL15,TABLAS!$B$52:$B$58,0)))),5))))</f>
        <v/>
      </c>
      <c r="DB15" s="55" t="str">
        <f>IF(V15&lt;&gt;"SÍ","",IF(AND(C15="PERIMETRAL",AL15-AM15&gt;0,AT15&gt;0),"SÍ","NO"))</f>
        <v/>
      </c>
      <c r="DC15" s="55" t="str">
        <f>IF(V15&lt;&gt;"SÍ","",IF(AND(C15="PERIMETRAL",AM15&gt;0,AU15&gt;0),"SÍ","NO"))</f>
        <v/>
      </c>
      <c r="DD15" s="63" t="str">
        <f>IF(V15&lt;&gt;"SÍ","",IF(OR(C15="VOLADO",AL15=0),"—",IF(AND(AND(INDEX(TABLAS!$G$52:$G$58,MATCH(MAX(BR15,CL15),TABLAS!$B$52:$B$58,0))&lt;=(DATOS!$C$75-DATOS!$C$63),(DATOS!$C$75-DATOS!$C$63)&gt;=15),8*INDEX(TABLAS!$C$52:$C$58,MATCH(MAX(BH15,CB15,BR15,CL15),TABLAS!$B$52:$B$58,0))&lt;=DATOS!$C$76-2*DATOS!$C$63),"CUMPLE (gancho de 180°)",IF(AND(INDEX(TABLAS!$G$52:$G$58,MATCH(MAX(BR15,CL15),TABLAS!$B$52:$B$58,0))&lt;=(DATOS!$C$75-DATOS!$C$63),(DATOS!$C$75-DATOS!$C$63)&gt;=15),"NO CUMPLE: el gancho de 180° (8·d_b) no cabe en el peralte de la dala de borde","NO CUMPLE: dala de borde ≥ "&amp;TEXT(CEILING(MAX(INDEX(TABLAS!$G$52:$G$58,MATCH(MAX(BR15,CL15),TABLAS!$B$52:$B$58,0)),15)+DATOS!$C$63,5),"0")&amp;" cm de ancho"&amp;IF(8*INDEX(TABLAS!$C$52:$C$58,MATCH(MAX(BH15,CB15,BR15,CL15),TABLAS!$B$52:$B$58,0))&lt;=DATOS!$C$76-2*DATOS!$C$63,""," y más peralte para el gancho")))))</f>
        <v/>
      </c>
      <c r="DE15" s="69" t="str">
        <f>IF(V15&lt;&gt;"SÍ","",IF(BI15=0,"NO ALCANZA","No. "&amp;BH15&amp;" @ "&amp;BI15&amp;" cm"&amp;IF(C15="VOLADO"," (temperatura)","")))</f>
        <v/>
      </c>
      <c r="DF15" s="69" t="str">
        <f>IF(V15&lt;&gt;"SÍ","",IF(BS15=0,"NO ALCANZA",IF(C15="VOLADO","No. "&amp;BR15&amp;" @ "&amp;BS15&amp;" cm"&amp;" de la orilla al respaldo ("&amp;IF(CZ15&gt;=FLOOR(100*IF(ISNUMBER(Q15),Q15,Z15)-DATOS!$C$63,5),"hasta su apoyo lejano, con gancho","entran "&amp;TEXT(CZ15/100,"0.00")&amp;" m desde el paño")&amp;")","Bastones "&amp;"No. "&amp;BR15&amp;" @ "&amp;BS15&amp;" cm"&amp;", L = "&amp;TEXT(CZ15/100,"0.00")&amp;" m desde el paño")))</f>
        <v/>
      </c>
      <c r="DG15" s="69" t="str">
        <f>IF(V15&lt;&gt;"SÍ","",IF(CC15=0,"NO ALCANZA","No. "&amp;CB15&amp;" @ "&amp;CC15&amp;" cm"&amp;IF(C15="VOLADO"," (repartición)","")))</f>
        <v/>
      </c>
      <c r="DH15" s="69" t="str">
        <f>IF(V15&lt;&gt;"SÍ","",IF(CM15=0,"NO ALCANZA",IF(C15="VOLADO","No. "&amp;CL15&amp;" @ "&amp;CM15&amp;" cm"&amp;" (repartición)","Bastones "&amp;"No. "&amp;CL15&amp;" @ "&amp;CM15&amp;" cm"&amp;", L = "&amp;TEXT(DA15/100,"0.00")&amp;" m desde el paño")))</f>
        <v/>
      </c>
      <c r="DI15" s="67" t="str">
        <f>IF(B15="","",IF(V15&lt;&gt;"SÍ","FALTAN DATOS: tipo, a_x, a_y, destino y, en volados, L_b",IF(L15="NO MONOLÍTICO (caso II)","FUERA DE ALCANCE: caso II no transcrito",IF(AND(C15="VOLADO",X15="?"),"REVISAR: el volado lleva UN solo borde CONTINUO (el empotrado)",IF(AND(MAX(BM15,BW15,CG15,CQ15)&lt;=1,NOT(OR(BI15&lt;DATOS!$C$143,BS15&lt;DATOS!$C$143,CC15&lt;DATOS!$C$143,CM15&lt;DATOS!$C$143)),NOT(OR(AND(ISNUMBER(BN15),BN15&lt;0.005),AND(ISNUMBER(BX15),BX15&lt;0.005),AND(ISNUMBER(CH15),CH15&lt;0.005),AND(ISNUMBER(CR15),CR15&lt;0.005))),CV15="CUMPLE",CY15="CUMPLE"),"CUMPLE"&amp;IF(LEFT(BB15,5)="FUERA"," · fuera de 3.4.2.1 c)","")&amp;IF(LEFT(DD15,2)="NO"," · REVISAR anclaje en borde discontinuo",""),IF(AND(MAX(BM15,BW15,CG15,CQ15)&lt;=1,NOT(OR(BI15&lt;DATOS!$C$143,BS15&lt;DATOS!$C$143,CC15&lt;DATOS!$C$143,CM15&lt;DATOS!$C$143)),NOT(OR(AND(ISNUMBER(BN15),BN15&lt;0.005),AND(ISNUMBER(BX15),BX15&lt;0.005),AND(ISNUMBER(CH15),CH15&lt;0.005),AND(ISNUMBER(CR15),CR15&lt;0.005))),CV15="CUMPLE",CY15="CALCULAR FLECHA"),"REVISAR: calcular flecha (h &lt; h mín.)"&amp;IF(LEFT(BB15,5)="FUERA"," · fuera de 3.4.2.1 c)","")&amp;IF(LEFT(DD15,2)="NO"," · REVISAR anclaje en borde discontinuo",""),"NO CUMPLE: "&amp;IF(MAX(BM15,BW15,CG15,CQ15)&gt;1,"flexión ","")&amp;IF(OR(BI15&lt;DATOS!$C$143,BS15&lt;DATOS!$C$143,CC15&lt;DATOS!$C$143,CM15&lt;DATOS!$C$143),"separación &lt; mínima ","")&amp;IF(OR(AND(ISNUMBER(BN15),BN15&lt;0.005),AND(ISNUMBER(BX15),BX15&lt;0.005),AND(ISNUMBER(CH15),CH15&lt;0.005),AND(ISNUMBER(CR15),CR15&lt;0.005)),"ε_t &lt; 0.005 ","")&amp;IF(CV15&lt;&gt;"CUMPLE","cortante ","")&amp;IF(CY15="NO CUMPLE","peralte","")))))))</f>
        <v/>
      </c>
      <c r="DJ15" s="70" t="str">
        <f>IF(V15&lt;&gt;"SÍ","",IF(LEFT(B15,7)="EJEMPLO","EJEMPLO de tablero típico: bórralo o sobrescríbelo. ","")&amp;IF(C15="VOLADO","Volado de "&amp;TEXT(Z15,"0.00")&amp;" m empotrado en el borde "&amp;LOWER(X15)&amp;IF(N(P15)&gt;0,", con "&amp;TEXT(P15,"0.0")&amp;" kg/m en la orilla","")&amp;". Lecho inferior con r_ext. Si la orilla carga pretil u otro elemento frágil, calcula la flecha (13.4). El acero superior entra al respaldo de "&amp;TEXT(IF(ISNUMBER(Q15),Q15,Z15),"0.00")&amp;" m"&amp;" hasta pasar M = 0 con 0.9·PP sin carga viva; si ahí no se anula, llega al apoyo lejano y se ancla con gancho. ","")&amp;IF(AND(C15="VOLADO",(0.9*W15/100*DATOS!$C$16*IF(ISNUMBER(Q15),Q15,Z15)/2-AY15/IF(ISNUMBER(Q15),Q15,Z15))&lt;0),"Con 0.9·PP y sin carga viva el apoyo lejano del respaldo levanta (R = "&amp;TEXT(-(0.9*W15/100*DATOS!$C$16*IF(ISNUMBER(Q15),Q15,Z15)/2-AY15/IF(ISNUMBER(Q15),Q15,Z15)),"0.00")&amp;" t/m): ancla ahí el acero con gancho y revisa ese apoyo a tensión. ","")&amp;IF(LEFT(BB15,5)="FUERA","El M⁻ del vecino difiere más de 50 % (3.4.2.1 c): distribuye el desequilibrio (3.4.3.1) o confirma con un modelo; se arma con el mayor. ","")&amp;IF(OR(DB15="SÍ",DC15="SÍ"),"Bastones también en los bordes discontinuos (M⁻ de tabla), con gancho. ","")&amp;IF(LEFT(DD15,2)="NO","Anclaje: "&amp;DD15&amp;" (6.7.7.4.1.1). ","")&amp;IF(AND(C15="PERIMETRAL",AM15&gt;=1,AL15-AM15&gt;=1),"Esquinas exteriores sobre muro: refuerzo de esquina arriba y abajo en L_largo/5 (6.7.7.3.1). ",""))</f>
        <v/>
      </c>
    </row>
    <row r="16" ht="33" customHeight="1">
      <c r="A16" s="50">
        <f>IF(B16="",0,1)+A15</f>
        <v>3</v>
      </c>
      <c r="B16" s="29" t="n"/>
      <c r="C16" s="51" t="n"/>
      <c r="D16" s="29" t="n"/>
      <c r="E16" s="52" t="n"/>
      <c r="F16" s="52" t="n"/>
      <c r="G16" s="51" t="n"/>
      <c r="H16" s="51" t="n"/>
      <c r="I16" s="51" t="n"/>
      <c r="J16" s="51" t="n"/>
      <c r="K16" s="51" t="n"/>
      <c r="L16" s="51" t="n"/>
      <c r="M16" s="54" t="n"/>
      <c r="N16" s="53" t="n"/>
      <c r="O16" s="53" t="n"/>
      <c r="P16" s="54" t="n"/>
      <c r="Q16" s="52" t="n"/>
      <c r="R16" s="54" t="n"/>
      <c r="S16" s="53" t="n"/>
      <c r="T16" s="52" t="n"/>
      <c r="U16" s="52" t="n"/>
      <c r="V16" s="55" t="str">
        <f>IF(B16="","",IF(AND(OR(C16="PERIMETRAL",C16="VOLADO"),ISNUMBER(E16),ISNUMBER(F16),E16&gt;0,F16&gt;0,OR(ISNUMBER(O16),ISNUMBER(MATCH(D16,DATOS!$B$46:$B$58,0))),OR(C16&lt;&gt;"VOLADO",N(Q16)&gt;0)),"SÍ","NO"))</f>
        <v/>
      </c>
      <c r="W16" s="57" t="str">
        <f>IF(V16&lt;&gt;"SÍ","",IF(ISNUMBER(M16),M16,DATOS!$C$137))</f>
        <v/>
      </c>
      <c r="X16" s="55" t="str">
        <f>IF(V16&lt;&gt;"SÍ","",IF(C16&lt;&gt;"VOLADO","—",IF(COUNTIF(G16:J16,"CONTINUO")&lt;&gt;1,"?",IF(G16="CONTINUO","INFERIOR",IF(H16="CONTINUO","SUPERIOR",IF(I16="CONTINUO","IZQUIERDO","DERECHO"))))))</f>
        <v/>
      </c>
      <c r="Y16" s="55" t="str">
        <f>IF(V16&lt;&gt;"SÍ","",IF(C16="VOLADO",IF(OR(X16="IZQUIERDO",X16="DERECHO"),"X","Y"),IF(E16&lt;=F16,"X","Y")))</f>
        <v/>
      </c>
      <c r="Z16" s="56" t="str">
        <f>IF(V16&lt;&gt;"SÍ","",IF(C16="VOLADO",IF(Y16="X",E16,F16),MIN(E16,F16)))</f>
        <v/>
      </c>
      <c r="AA16" s="56" t="str">
        <f>IF(V16&lt;&gt;"SÍ","",IF(C16="VOLADO",IF(Y16="X",F16,E16),MAX(E16,F16)))</f>
        <v/>
      </c>
      <c r="AB16" s="56" t="str">
        <f>IF(V16&lt;&gt;"SÍ","",MIN(Z16,AA16)/MAX(Z16,AA16))</f>
        <v/>
      </c>
      <c r="AC16" s="57" t="str">
        <f>IF(V16&lt;&gt;"SÍ","",MAX(1,Z16*100-IF(C16="VOLADO",DATOS!$C$87/2,DATOS!$C$87)))</f>
        <v/>
      </c>
      <c r="AD16" s="57" t="str">
        <f>IF(V16&lt;&gt;"SÍ","",MAX(1,AA16*100-DATOS!$C$87))</f>
        <v/>
      </c>
      <c r="AE16" s="57" t="str">
        <f>IF(V16&lt;&gt;"SÍ","",IF(C16="VOLADO",DATOS!$C$64,DATOS!$C$62))</f>
        <v/>
      </c>
      <c r="AF16" s="57" t="str">
        <f>IF(V16&lt;&gt;"SÍ","",IF(OR(AND(AG16="SÍ",DATOS!$C$66="SÍ"),AND(C16="VOLADO",DATOS!$C$67="SÍ")),DATOS!$C$64,DATOS!$C$62))</f>
        <v/>
      </c>
      <c r="AG16" s="55" t="str">
        <f>IF(V16&lt;&gt;"SÍ","",IFERROR(INDEX(DATOS!$D$46:$D$58,MATCH(D16,DATOS!$B$46:$B$58,0)),"NO"))</f>
        <v/>
      </c>
      <c r="AH16" s="59" t="str">
        <f>IF(V16&lt;&gt;"SÍ","",IF(ISNUMBER(O16),O16,IFERROR(INDEX(DATOS!$C$46:$C$58,MATCH(D16,DATOS!$B$46:$B$58,0)),0)))</f>
        <v/>
      </c>
      <c r="AI16" s="59" t="str">
        <f>IF(V16&lt;&gt;"SÍ","",W16/100*DATOS!$C$16*1000+DATOS!$C$37+DATOS!$C$38)</f>
        <v/>
      </c>
      <c r="AJ16" s="59" t="str">
        <f>IF(V16&lt;&gt;"SÍ","",AI16+N(N16))</f>
        <v/>
      </c>
      <c r="AK16" s="60" t="str">
        <f>IF(V16&lt;&gt;"SÍ","",MAX(DATOS!$C$26*AJ16+DATOS!$C$27*AH16,IF(AG16="SÍ",DATOS!$C$28*(AJ16+DATOS!$C$41),0)))</f>
        <v/>
      </c>
      <c r="AL16" s="59" t="str">
        <f>IF(V16&lt;&gt;"SÍ","",(G16="DISCONTINUO")+(H16="DISCONTINUO")+(I16="DISCONTINUO")+(J16="DISCONTINUO"))</f>
        <v/>
      </c>
      <c r="AM16" s="59" t="str">
        <f>IF(V16&lt;&gt;"SÍ","",IF(Y16="X",(G16="DISCONTINUO")+(H16="DISCONTINUO"),(I16="DISCONTINUO")+(J16="DISCONTINUO")))</f>
        <v/>
      </c>
      <c r="AN16" s="55" t="str">
        <f>IF(V16&lt;&gt;"SÍ","",IF(AL16=0,"INTERIOR",IF(AL16=1,IF(AM16=1,"BORDE-CORTO","BORDE-LARGO"),IF(AL16=2,IF(AM16=1,"ESQUINA",IF(AM16=2,"EXTREMO-LARGO","EXTREMO-CORTO")),IF(AL16=3,IF(AM16=2,"EXTREMO-LARGO","EXTREMO-CORTO"),"AISLADO")))))</f>
        <v/>
      </c>
      <c r="AO16" s="61" t="str">
        <f>IF(V16&lt;&gt;"SÍ","",IF(OR(K16="",K16="AUTO"),AN16,K16))</f>
        <v/>
      </c>
      <c r="AP16" s="59" t="str">
        <f>IF(V16&lt;&gt;"SÍ","",MATCH(AB16,TABLAS!$D$5:$J$5,1))</f>
        <v/>
      </c>
      <c r="AQ16" s="58" t="str">
        <f>IF(V16&lt;&gt;"SÍ","",IF(AP16&gt;=7,0,(AB16-INDEX(TABLAS!$D$5:$J$5,AP16))/(INDEX(TABLAS!$D$5:$J$5,AP16+1)-INDEX(TABLAS!$D$5:$J$5,AP16))))</f>
        <v/>
      </c>
      <c r="AR16" s="59" t="str">
        <f>IF(V16&lt;&gt;"SÍ","",INDEX(TABLAS!$D$6:$J$47,MATCH(AO16&amp;"|NIC",TABLAS!$B$6:$B$47,0),AP16)+AQ16*(INDEX(TABLAS!$D$6:$J$47,MATCH(AO16&amp;"|NIC",TABLAS!$B$6:$B$47,0),MIN(AP16+1,7))-INDEX(TABLAS!$D$6:$J$47,MATCH(AO16&amp;"|NIC",TABLAS!$B$6:$B$47,0),AP16)))</f>
        <v/>
      </c>
      <c r="AS16" s="59" t="str">
        <f>IF(V16&lt;&gt;"SÍ","",INDEX(TABLAS!$D$6:$J$47,MATCH(AO16&amp;"|NIL",TABLAS!$B$6:$B$47,0),AP16)+AQ16*(INDEX(TABLAS!$D$6:$J$47,MATCH(AO16&amp;"|NIL",TABLAS!$B$6:$B$47,0),MIN(AP16+1,7))-INDEX(TABLAS!$D$6:$J$47,MATCH(AO16&amp;"|NIL",TABLAS!$B$6:$B$47,0),AP16)))</f>
        <v/>
      </c>
      <c r="AT16" s="59" t="str">
        <f>IF(V16&lt;&gt;"SÍ","",INDEX(TABLAS!$D$6:$J$47,MATCH(AO16&amp;"|NDC",TABLAS!$B$6:$B$47,0),AP16)+AQ16*(INDEX(TABLAS!$D$6:$J$47,MATCH(AO16&amp;"|NDC",TABLAS!$B$6:$B$47,0),MIN(AP16+1,7))-INDEX(TABLAS!$D$6:$J$47,MATCH(AO16&amp;"|NDC",TABLAS!$B$6:$B$47,0),AP16)))</f>
        <v/>
      </c>
      <c r="AU16" s="59" t="str">
        <f>IF(V16&lt;&gt;"SÍ","",INDEX(TABLAS!$D$6:$J$47,MATCH(AO16&amp;"|NDL",TABLAS!$B$6:$B$47,0),AP16)+AQ16*(INDEX(TABLAS!$D$6:$J$47,MATCH(AO16&amp;"|NDL",TABLAS!$B$6:$B$47,0),MIN(AP16+1,7))-INDEX(TABLAS!$D$6:$J$47,MATCH(AO16&amp;"|NDL",TABLAS!$B$6:$B$47,0),AP16)))</f>
        <v/>
      </c>
      <c r="AV16" s="59" t="str">
        <f>IF(V16&lt;&gt;"SÍ","",INDEX(TABLAS!$D$6:$J$47,MATCH(AO16&amp;"|PC",TABLAS!$B$6:$B$47,0),AP16)+AQ16*(INDEX(TABLAS!$D$6:$J$47,MATCH(AO16&amp;"|PC",TABLAS!$B$6:$B$47,0),MIN(AP16+1,7))-INDEX(TABLAS!$D$6:$J$47,MATCH(AO16&amp;"|PC",TABLAS!$B$6:$B$47,0),AP16)))</f>
        <v/>
      </c>
      <c r="AW16" s="59" t="str">
        <f>IF(V16&lt;&gt;"SÍ","",INDEX(TABLAS!$D$6:$J$47,MATCH(AO16&amp;"|PL",TABLAS!$B$6:$B$47,0),AP16)+AQ16*(INDEX(TABLAS!$D$6:$J$47,MATCH(AO16&amp;"|PL",TABLAS!$B$6:$B$47,0),MIN(AP16+1,7))-INDEX(TABLAS!$D$6:$J$47,MATCH(AO16&amp;"|PL",TABLAS!$B$6:$B$47,0),AP16)))</f>
        <v/>
      </c>
      <c r="AX16" s="56" t="str">
        <f>IF(V16&lt;&gt;"SÍ","",IF(C16="PERIMETRAL",AV16*AK16*Z16^2*1E-4/1000,0))</f>
        <v/>
      </c>
      <c r="AY16" s="62" t="str">
        <f>IF(V16&lt;&gt;"SÍ","",IF(C16="PERIMETRAL",MAX(MAX(AR16,AT16)*AK16*Z16^2*1E-4/1000,N(T16)),(AK16*(AC16/100)^2/2+DATOS!$C$26*N(P16)*AC16/100)/1000))</f>
        <v/>
      </c>
      <c r="AZ16" s="56" t="str">
        <f>IF(V16&lt;&gt;"SÍ","",IF(C16="PERIMETRAL",AW16*AK16*Z16^2*1E-4/1000,0))</f>
        <v/>
      </c>
      <c r="BA16" s="56" t="str">
        <f>IF(V16&lt;&gt;"SÍ","",IF(C16="PERIMETRAL",MAX(MAX(AS16,AU16)*AK16*Z16^2*1E-4/1000,N(U16)),0))</f>
        <v/>
      </c>
      <c r="BB16" s="63" t="str">
        <f>IF(V16&lt;&gt;"SÍ","",IF(C16&lt;&gt;"PERIMETRAL","—",IF(AND(N(T16)=0,N(U16)=0),"— (sin M⁻ del vecino)",IF(OR(AND(N(T16)&gt;0,ABS(MAX(AR16,AT16)*AK16*Z16^2*1E-4/1000-N(T16))&gt;0.5*MIN(MAX(AR16,AT16)*AK16*Z16^2*1E-4/1000,N(T16))),AND(N(U16)&gt;0,ABS(MAX(AS16,AU16)*AK16*Z16^2*1E-4/1000-N(U16))&gt;0.5*MIN(MAX(AS16,AU16)*AK16*Z16^2*1E-4/1000,N(U16)))),"FUERA: difieren &gt; 50 %"&amp;IF(AND(N(T16)&gt;0,ABS(MAX(AR16,AT16)*AK16*Z16^2*1E-4/1000-N(T16))&gt;0.5*MIN(MAX(AR16,AT16)*AK16*Z16^2*1E-4/1000,N(T16)))," ‖ corto","")&amp;IF(AND(N(U16)&gt;0,ABS(MAX(AS16,AU16)*AK16*Z16^2*1E-4/1000-N(U16))&gt;0.5*MIN(MAX(AS16,AU16)*AK16*Z16^2*1E-4/1000,N(U16)))," ‖ largo",""),"CUMPLE"))))</f>
        <v/>
      </c>
      <c r="BC16" s="58" t="str">
        <f>IF(V16&lt;&gt;"SÍ","",DATOS!$C$139*100*W16)</f>
        <v/>
      </c>
      <c r="BD16" s="57" t="str">
        <f>IF(V16&lt;&gt;"SÍ","",MIN(IF(C16="VOLADO",DATOS!$C$141,DATOS!$C$140)*W16,DATOS!$C$142))</f>
        <v/>
      </c>
      <c r="BE16" s="58" t="str">
        <f>IF(V16&lt;&gt;"SÍ","",(W16-AE16-INDEX(TABLAS!$C$52:$C$58,MATCH(IF(ISNUMBER(S16),S16,DATOS!$C$138),TABLAS!$B$52:$B$58,0))/2))</f>
        <v/>
      </c>
      <c r="BF16" s="58" t="str">
        <f>IF(V16&lt;&gt;"SÍ","",IF(AX16&lt;=0,0,IF((1-2*AX16*1E5/(DATOS!$C$29*100*BE16^2*DATOS!$C$21))&lt;0,-1,IF((1-SQRT((1-2*AX16*1E5/(DATOS!$C$29*100*BE16^2*DATOS!$C$21))))*DATOS!$C$21*100*BE16/DATOS!$C$14&gt;DATOS!$C$102*100*BE16,-1,(1-SQRT((1-2*AX16*1E5/(DATOS!$C$29*100*BE16^2*DATOS!$C$21))))*DATOS!$C$21*100*BE16/DATOS!$C$14))))</f>
        <v/>
      </c>
      <c r="BG16" s="58" t="str">
        <f>IF(V16&lt;&gt;"SÍ","",IF(BF16&lt;0,-1,MAX(BF16,BC16)))</f>
        <v/>
      </c>
      <c r="BH16" s="64" t="str">
        <f>IF(V16&lt;&gt;"SÍ","",IF(AND(BG16&gt;0,FLOOR(MIN(BD16,100*INDEX(TABLAS!$D$52:$D$58,MIN(MATCH(IF(ISNUMBER(S16),S16,DATOS!$C$138),TABLAS!$B$52:$B$58,0)+0,7))/MAX(BG16,0.0001)),DATOS!$C$144)&gt;=DATOS!$C$143),INDEX(TABLAS!$B$52:$B$58,MIN(MATCH(IF(ISNUMBER(S16),S16,DATOS!$C$138),TABLAS!$B$52:$B$58,0)+0,7)),IF(AND(BG16&gt;0,FLOOR(MIN(BD16,100*INDEX(TABLAS!$D$52:$D$58,MIN(MATCH(IF(ISNUMBER(S16),S16,DATOS!$C$138),TABLAS!$B$52:$B$58,0)+1,7))/MAX(BG16,0.0001)),DATOS!$C$144)&gt;=DATOS!$C$143),INDEX(TABLAS!$B$52:$B$58,MIN(MATCH(IF(ISNUMBER(S16),S16,DATOS!$C$138),TABLAS!$B$52:$B$58,0)+1,7)),IF(AND(BG16&gt;0,FLOOR(MIN(BD16,100*INDEX(TABLAS!$D$52:$D$58,MIN(MATCH(IF(ISNUMBER(S16),S16,DATOS!$C$138),TABLAS!$B$52:$B$58,0)+2,7))/MAX(BG16,0.0001)),DATOS!$C$144)&gt;=DATOS!$C$143),INDEX(TABLAS!$B$52:$B$58,MIN(MATCH(IF(ISNUMBER(S16),S16,DATOS!$C$138),TABLAS!$B$52:$B$58,0)+2,7)),IF(AND(BG16&gt;0,FLOOR(MIN(BD16,100*INDEX(TABLAS!$D$52:$D$58,MIN(MATCH(IF(ISNUMBER(S16),S16,DATOS!$C$138),TABLAS!$B$52:$B$58,0)+3,7))/MAX(BG16,0.0001)),DATOS!$C$144)&gt;=DATOS!$C$143),INDEX(TABLAS!$B$52:$B$58,MIN(MATCH(IF(ISNUMBER(S16),S16,DATOS!$C$138),TABLAS!$B$52:$B$58,0)+3,7)),IF(AND(BG16&gt;0,FLOOR(MIN(BD16,100*INDEX(TABLAS!$D$52:$D$58,MIN(MATCH(IF(ISNUMBER(S16),S16,DATOS!$C$138),TABLAS!$B$52:$B$58,0)+4,7))/MAX(BG16,0.0001)),DATOS!$C$144)&gt;=DATOS!$C$143),INDEX(TABLAS!$B$52:$B$58,MIN(MATCH(IF(ISNUMBER(S16),S16,DATOS!$C$138),TABLAS!$B$52:$B$58,0)+4,7)),INDEX(TABLAS!$B$52:$B$58,7)))))))</f>
        <v/>
      </c>
      <c r="BI16" s="71" t="str">
        <f>IF(V16&lt;&gt;"SÍ","",IF(BG16&lt;=0,0,FLOOR(MIN(BD16,100*INDEX(TABLAS!$D$52:$D$58,MATCH(BH16,TABLAS!$B$52:$B$58,0))/BG16),DATOS!$C$144)))</f>
        <v/>
      </c>
      <c r="BJ16" s="58" t="str">
        <f>IF(V16&lt;&gt;"SÍ","",IF(BI16&lt;=0,0,INDEX(TABLAS!$D$52:$D$58,MATCH(BH16,TABLAS!$B$52:$B$58,0))*100/BI16))</f>
        <v/>
      </c>
      <c r="BK16" s="58" t="str">
        <f>IF(V16&lt;&gt;"SÍ","",W16-AE16-INDEX(TABLAS!$C$52:$C$58,MATCH(BH16,TABLAS!$B$52:$B$58,0))/2)</f>
        <v/>
      </c>
      <c r="BL16" s="56" t="str">
        <f>IF(V16&lt;&gt;"SÍ","",IF(BJ16=0,0,DATOS!$C$29*BJ16*DATOS!$C$14*(BK16-BJ16*DATOS!$C$14/(DATOS!$C$21*100)/2)/1E5))</f>
        <v/>
      </c>
      <c r="BM16" s="65" t="str">
        <f>IF(V16&lt;&gt;"SÍ","",IF(BG16&lt;0,9.99,IF(BL16&gt;0,AX16/BL16,0)))</f>
        <v/>
      </c>
      <c r="BN16" s="66" t="str">
        <f>IF(V16&lt;&gt;"SÍ","",IF(BJ16=0,"—",0.003*(BK16-(BJ16*DATOS!$C$14/(DATOS!$C$21*100)/DATOS!$C$22))/(BJ16*DATOS!$C$14/(DATOS!$C$21*100)/DATOS!$C$22)))</f>
        <v/>
      </c>
      <c r="BO16" s="58" t="str">
        <f>IF(V16&lt;&gt;"SÍ","",((W16-AF16-INDEX(TABLAS!$C$52:$C$58,MATCH(IF(ISNUMBER(S16),S16,DATOS!$C$138),TABLAS!$B$52:$B$58,0))/2)-IF(AND((W16-AF16-INDEX(TABLAS!$C$52:$C$58,MATCH(IF(ISNUMBER(S16),S16,DATOS!$C$138),TABLAS!$B$52:$B$58,0))/2)&lt;=20,DATOS!$C$65&lt;&gt;"SÍ"),2,0)))</f>
        <v/>
      </c>
      <c r="BP16" s="58" t="str">
        <f>IF(V16&lt;&gt;"SÍ","",IF(AY16&lt;=0,0,IF((1-2*AY16*1E5/(DATOS!$C$29*100*BO16^2*DATOS!$C$21))&lt;0,-1,IF((1-SQRT((1-2*AY16*1E5/(DATOS!$C$29*100*BO16^2*DATOS!$C$21))))*DATOS!$C$21*100*BO16/DATOS!$C$14&gt;DATOS!$C$102*100*BO16,-1,(1-SQRT((1-2*AY16*1E5/(DATOS!$C$29*100*BO16^2*DATOS!$C$21))))*DATOS!$C$21*100*BO16/DATOS!$C$14))))</f>
        <v/>
      </c>
      <c r="BQ16" s="58" t="str">
        <f>IF(V16&lt;&gt;"SÍ","",IF(BP16&lt;0,-1,MAX(BP16,BC16)))</f>
        <v/>
      </c>
      <c r="BR16" s="64" t="str">
        <f>IF(V16&lt;&gt;"SÍ","",IF(AND(BQ16&gt;0,FLOOR(MIN(BD16,100*INDEX(TABLAS!$D$52:$D$58,MIN(MATCH(IF(ISNUMBER(S16),S16,DATOS!$C$138),TABLAS!$B$52:$B$58,0)+0,7))/MAX(BQ16,0.0001)),DATOS!$C$144)&gt;=DATOS!$C$143),INDEX(TABLAS!$B$52:$B$58,MIN(MATCH(IF(ISNUMBER(S16),S16,DATOS!$C$138),TABLAS!$B$52:$B$58,0)+0,7)),IF(AND(BQ16&gt;0,FLOOR(MIN(BD16,100*INDEX(TABLAS!$D$52:$D$58,MIN(MATCH(IF(ISNUMBER(S16),S16,DATOS!$C$138),TABLAS!$B$52:$B$58,0)+1,7))/MAX(BQ16,0.0001)),DATOS!$C$144)&gt;=DATOS!$C$143),INDEX(TABLAS!$B$52:$B$58,MIN(MATCH(IF(ISNUMBER(S16),S16,DATOS!$C$138),TABLAS!$B$52:$B$58,0)+1,7)),IF(AND(BQ16&gt;0,FLOOR(MIN(BD16,100*INDEX(TABLAS!$D$52:$D$58,MIN(MATCH(IF(ISNUMBER(S16),S16,DATOS!$C$138),TABLAS!$B$52:$B$58,0)+2,7))/MAX(BQ16,0.0001)),DATOS!$C$144)&gt;=DATOS!$C$143),INDEX(TABLAS!$B$52:$B$58,MIN(MATCH(IF(ISNUMBER(S16),S16,DATOS!$C$138),TABLAS!$B$52:$B$58,0)+2,7)),IF(AND(BQ16&gt;0,FLOOR(MIN(BD16,100*INDEX(TABLAS!$D$52:$D$58,MIN(MATCH(IF(ISNUMBER(S16),S16,DATOS!$C$138),TABLAS!$B$52:$B$58,0)+3,7))/MAX(BQ16,0.0001)),DATOS!$C$144)&gt;=DATOS!$C$143),INDEX(TABLAS!$B$52:$B$58,MIN(MATCH(IF(ISNUMBER(S16),S16,DATOS!$C$138),TABLAS!$B$52:$B$58,0)+3,7)),IF(AND(BQ16&gt;0,FLOOR(MIN(BD16,100*INDEX(TABLAS!$D$52:$D$58,MIN(MATCH(IF(ISNUMBER(S16),S16,DATOS!$C$138),TABLAS!$B$52:$B$58,0)+4,7))/MAX(BQ16,0.0001)),DATOS!$C$144)&gt;=DATOS!$C$143),INDEX(TABLAS!$B$52:$B$58,MIN(MATCH(IF(ISNUMBER(S16),S16,DATOS!$C$138),TABLAS!$B$52:$B$58,0)+4,7)),INDEX(TABLAS!$B$52:$B$58,7)))))))</f>
        <v/>
      </c>
      <c r="BS16" s="71" t="str">
        <f>IF(V16&lt;&gt;"SÍ","",IF(BQ16&lt;=0,0,FLOOR(MIN(BD16,100*INDEX(TABLAS!$D$52:$D$58,MATCH(BR16,TABLAS!$B$52:$B$58,0))/BQ16),DATOS!$C$144)))</f>
        <v/>
      </c>
      <c r="BT16" s="58" t="str">
        <f>IF(V16&lt;&gt;"SÍ","",IF(BS16&lt;=0,0,INDEX(TABLAS!$D$52:$D$58,MATCH(BR16,TABLAS!$B$52:$B$58,0))*100/BS16))</f>
        <v/>
      </c>
      <c r="BU16" s="58" t="str">
        <f>IF(V16&lt;&gt;"SÍ","",((W16-AF16-INDEX(TABLAS!$C$52:$C$58,MATCH(BR16,TABLAS!$B$52:$B$58,0))/2)-IF(AND((W16-AF16-INDEX(TABLAS!$C$52:$C$58,MATCH(BR16,TABLAS!$B$52:$B$58,0))/2)&lt;=20,DATOS!$C$65&lt;&gt;"SÍ"),2,0)))</f>
        <v/>
      </c>
      <c r="BV16" s="56" t="str">
        <f>IF(V16&lt;&gt;"SÍ","",IF(BT16=0,0,DATOS!$C$29*BT16*DATOS!$C$14*(BU16-BT16*DATOS!$C$14/(DATOS!$C$21*100)/2)/1E5))</f>
        <v/>
      </c>
      <c r="BW16" s="65" t="str">
        <f>IF(V16&lt;&gt;"SÍ","",IF(BQ16&lt;0,9.99,IF(BV16&gt;0,AY16/BV16,0)))</f>
        <v/>
      </c>
      <c r="BX16" s="66" t="str">
        <f>IF(V16&lt;&gt;"SÍ","",IF(BT16=0,"—",0.003*(BU16-(BT16*DATOS!$C$14/(DATOS!$C$21*100)/DATOS!$C$22))/(BT16*DATOS!$C$14/(DATOS!$C$21*100)/DATOS!$C$22)))</f>
        <v/>
      </c>
      <c r="BY16" s="58" t="str">
        <f>IF(V16&lt;&gt;"SÍ","",(W16-AE16-1.5*INDEX(TABLAS!$C$52:$C$58,MATCH(IF(ISNUMBER(S16),S16,DATOS!$C$138),TABLAS!$B$52:$B$58,0))))</f>
        <v/>
      </c>
      <c r="BZ16" s="58" t="str">
        <f>IF(V16&lt;&gt;"SÍ","",IF(AZ16&lt;=0,0,IF((1-2*AZ16*1E5/(DATOS!$C$29*100*BY16^2*DATOS!$C$21))&lt;0,-1,IF((1-SQRT((1-2*AZ16*1E5/(DATOS!$C$29*100*BY16^2*DATOS!$C$21))))*DATOS!$C$21*100*BY16/DATOS!$C$14&gt;DATOS!$C$102*100*BY16,-1,(1-SQRT((1-2*AZ16*1E5/(DATOS!$C$29*100*BY16^2*DATOS!$C$21))))*DATOS!$C$21*100*BY16/DATOS!$C$14))))</f>
        <v/>
      </c>
      <c r="CA16" s="58" t="str">
        <f>IF(V16&lt;&gt;"SÍ","",IF(BZ16&lt;0,-1,MAX(BZ16,BC16)))</f>
        <v/>
      </c>
      <c r="CB16" s="64" t="str">
        <f>IF(V16&lt;&gt;"SÍ","",IF(AND(CA16&gt;0,FLOOR(MIN(BD16,100*INDEX(TABLAS!$D$52:$D$58,MIN(MATCH(IF(ISNUMBER(S16),S16,DATOS!$C$138),TABLAS!$B$52:$B$58,0)+0,7))/MAX(CA16,0.0001)),DATOS!$C$144)&gt;=DATOS!$C$143),INDEX(TABLAS!$B$52:$B$58,MIN(MATCH(IF(ISNUMBER(S16),S16,DATOS!$C$138),TABLAS!$B$52:$B$58,0)+0,7)),IF(AND(CA16&gt;0,FLOOR(MIN(BD16,100*INDEX(TABLAS!$D$52:$D$58,MIN(MATCH(IF(ISNUMBER(S16),S16,DATOS!$C$138),TABLAS!$B$52:$B$58,0)+1,7))/MAX(CA16,0.0001)),DATOS!$C$144)&gt;=DATOS!$C$143),INDEX(TABLAS!$B$52:$B$58,MIN(MATCH(IF(ISNUMBER(S16),S16,DATOS!$C$138),TABLAS!$B$52:$B$58,0)+1,7)),IF(AND(CA16&gt;0,FLOOR(MIN(BD16,100*INDEX(TABLAS!$D$52:$D$58,MIN(MATCH(IF(ISNUMBER(S16),S16,DATOS!$C$138),TABLAS!$B$52:$B$58,0)+2,7))/MAX(CA16,0.0001)),DATOS!$C$144)&gt;=DATOS!$C$143),INDEX(TABLAS!$B$52:$B$58,MIN(MATCH(IF(ISNUMBER(S16),S16,DATOS!$C$138),TABLAS!$B$52:$B$58,0)+2,7)),IF(AND(CA16&gt;0,FLOOR(MIN(BD16,100*INDEX(TABLAS!$D$52:$D$58,MIN(MATCH(IF(ISNUMBER(S16),S16,DATOS!$C$138),TABLAS!$B$52:$B$58,0)+3,7))/MAX(CA16,0.0001)),DATOS!$C$144)&gt;=DATOS!$C$143),INDEX(TABLAS!$B$52:$B$58,MIN(MATCH(IF(ISNUMBER(S16),S16,DATOS!$C$138),TABLAS!$B$52:$B$58,0)+3,7)),IF(AND(CA16&gt;0,FLOOR(MIN(BD16,100*INDEX(TABLAS!$D$52:$D$58,MIN(MATCH(IF(ISNUMBER(S16),S16,DATOS!$C$138),TABLAS!$B$52:$B$58,0)+4,7))/MAX(CA16,0.0001)),DATOS!$C$144)&gt;=DATOS!$C$143),INDEX(TABLAS!$B$52:$B$58,MIN(MATCH(IF(ISNUMBER(S16),S16,DATOS!$C$138),TABLAS!$B$52:$B$58,0)+4,7)),INDEX(TABLAS!$B$52:$B$58,7)))))))</f>
        <v/>
      </c>
      <c r="CC16" s="71" t="str">
        <f>IF(V16&lt;&gt;"SÍ","",IF(CA16&lt;=0,0,FLOOR(MIN(BD16,100*INDEX(TABLAS!$D$52:$D$58,MATCH(CB16,TABLAS!$B$52:$B$58,0))/CA16),DATOS!$C$144)))</f>
        <v/>
      </c>
      <c r="CD16" s="58" t="str">
        <f>IF(V16&lt;&gt;"SÍ","",IF(CC16&lt;=0,0,INDEX(TABLAS!$D$52:$D$58,MATCH(CB16,TABLAS!$B$52:$B$58,0))*100/CC16))</f>
        <v/>
      </c>
      <c r="CE16" s="58" t="str">
        <f>IF(V16&lt;&gt;"SÍ","",W16-AE16-INDEX(TABLAS!$C$52:$C$58,MATCH(BH16,TABLAS!$B$52:$B$58,0))-INDEX(TABLAS!$C$52:$C$58,MATCH(CB16,TABLAS!$B$52:$B$58,0))/2)</f>
        <v/>
      </c>
      <c r="CF16" s="56" t="str">
        <f>IF(V16&lt;&gt;"SÍ","",IF(CD16=0,0,DATOS!$C$29*CD16*DATOS!$C$14*(CE16-CD16*DATOS!$C$14/(DATOS!$C$21*100)/2)/1E5))</f>
        <v/>
      </c>
      <c r="CG16" s="65" t="str">
        <f>IF(V16&lt;&gt;"SÍ","",IF(CA16&lt;0,9.99,IF(CF16&gt;0,AZ16/CF16,0)))</f>
        <v/>
      </c>
      <c r="CH16" s="66" t="str">
        <f>IF(V16&lt;&gt;"SÍ","",IF(CD16=0,"—",0.003*(CE16-(CD16*DATOS!$C$14/(DATOS!$C$21*100)/DATOS!$C$22))/(CD16*DATOS!$C$14/(DATOS!$C$21*100)/DATOS!$C$22)))</f>
        <v/>
      </c>
      <c r="CI16" s="58" t="str">
        <f>IF(V16&lt;&gt;"SÍ","",((W16-AF16-1.5*INDEX(TABLAS!$C$52:$C$58,MATCH(IF(ISNUMBER(S16),S16,DATOS!$C$138),TABLAS!$B$52:$B$58,0)))-IF(AND((W16-AF16-1.5*INDEX(TABLAS!$C$52:$C$58,MATCH(IF(ISNUMBER(S16),S16,DATOS!$C$138),TABLAS!$B$52:$B$58,0)))&lt;=20,DATOS!$C$65&lt;&gt;"SÍ"),2,0)))</f>
        <v/>
      </c>
      <c r="CJ16" s="58" t="str">
        <f>IF(V16&lt;&gt;"SÍ","",IF(BA16&lt;=0,0,IF((1-2*BA16*1E5/(DATOS!$C$29*100*CI16^2*DATOS!$C$21))&lt;0,-1,IF((1-SQRT((1-2*BA16*1E5/(DATOS!$C$29*100*CI16^2*DATOS!$C$21))))*DATOS!$C$21*100*CI16/DATOS!$C$14&gt;DATOS!$C$102*100*CI16,-1,(1-SQRT((1-2*BA16*1E5/(DATOS!$C$29*100*CI16^2*DATOS!$C$21))))*DATOS!$C$21*100*CI16/DATOS!$C$14))))</f>
        <v/>
      </c>
      <c r="CK16" s="58" t="str">
        <f>IF(V16&lt;&gt;"SÍ","",IF(CJ16&lt;0,-1,MAX(CJ16,BC16)))</f>
        <v/>
      </c>
      <c r="CL16" s="64" t="str">
        <f>IF(V16&lt;&gt;"SÍ","",IF(AND(CK16&gt;0,FLOOR(MIN(BD16,100*INDEX(TABLAS!$D$52:$D$58,MIN(MATCH(IF(ISNUMBER(S16),S16,DATOS!$C$138),TABLAS!$B$52:$B$58,0)+0,7))/MAX(CK16,0.0001)),DATOS!$C$144)&gt;=DATOS!$C$143),INDEX(TABLAS!$B$52:$B$58,MIN(MATCH(IF(ISNUMBER(S16),S16,DATOS!$C$138),TABLAS!$B$52:$B$58,0)+0,7)),IF(AND(CK16&gt;0,FLOOR(MIN(BD16,100*INDEX(TABLAS!$D$52:$D$58,MIN(MATCH(IF(ISNUMBER(S16),S16,DATOS!$C$138),TABLAS!$B$52:$B$58,0)+1,7))/MAX(CK16,0.0001)),DATOS!$C$144)&gt;=DATOS!$C$143),INDEX(TABLAS!$B$52:$B$58,MIN(MATCH(IF(ISNUMBER(S16),S16,DATOS!$C$138),TABLAS!$B$52:$B$58,0)+1,7)),IF(AND(CK16&gt;0,FLOOR(MIN(BD16,100*INDEX(TABLAS!$D$52:$D$58,MIN(MATCH(IF(ISNUMBER(S16),S16,DATOS!$C$138),TABLAS!$B$52:$B$58,0)+2,7))/MAX(CK16,0.0001)),DATOS!$C$144)&gt;=DATOS!$C$143),INDEX(TABLAS!$B$52:$B$58,MIN(MATCH(IF(ISNUMBER(S16),S16,DATOS!$C$138),TABLAS!$B$52:$B$58,0)+2,7)),IF(AND(CK16&gt;0,FLOOR(MIN(BD16,100*INDEX(TABLAS!$D$52:$D$58,MIN(MATCH(IF(ISNUMBER(S16),S16,DATOS!$C$138),TABLAS!$B$52:$B$58,0)+3,7))/MAX(CK16,0.0001)),DATOS!$C$144)&gt;=DATOS!$C$143),INDEX(TABLAS!$B$52:$B$58,MIN(MATCH(IF(ISNUMBER(S16),S16,DATOS!$C$138),TABLAS!$B$52:$B$58,0)+3,7)),IF(AND(CK16&gt;0,FLOOR(MIN(BD16,100*INDEX(TABLAS!$D$52:$D$58,MIN(MATCH(IF(ISNUMBER(S16),S16,DATOS!$C$138),TABLAS!$B$52:$B$58,0)+4,7))/MAX(CK16,0.0001)),DATOS!$C$144)&gt;=DATOS!$C$143),INDEX(TABLAS!$B$52:$B$58,MIN(MATCH(IF(ISNUMBER(S16),S16,DATOS!$C$138),TABLAS!$B$52:$B$58,0)+4,7)),INDEX(TABLAS!$B$52:$B$58,7)))))))</f>
        <v/>
      </c>
      <c r="CM16" s="71" t="str">
        <f>IF(V16&lt;&gt;"SÍ","",IF(CK16&lt;=0,0,FLOOR(MIN(BD16,100*INDEX(TABLAS!$D$52:$D$58,MATCH(CL16,TABLAS!$B$52:$B$58,0))/CK16),DATOS!$C$144)))</f>
        <v/>
      </c>
      <c r="CN16" s="58" t="str">
        <f>IF(V16&lt;&gt;"SÍ","",IF(CM16&lt;=0,0,INDEX(TABLAS!$D$52:$D$58,MATCH(CL16,TABLAS!$B$52:$B$58,0))*100/CM16))</f>
        <v/>
      </c>
      <c r="CO16" s="58" t="str">
        <f>IF(V16&lt;&gt;"SÍ","",((W16-AF16-INDEX(TABLAS!$C$52:$C$58,MATCH(BR16,TABLAS!$B$52:$B$58,0))-INDEX(TABLAS!$C$52:$C$58,MATCH(CL16,TABLAS!$B$52:$B$58,0))/2)-IF(AND((W16-AF16-INDEX(TABLAS!$C$52:$C$58,MATCH(BR16,TABLAS!$B$52:$B$58,0))-INDEX(TABLAS!$C$52:$C$58,MATCH(CL16,TABLAS!$B$52:$B$58,0))/2)&lt;=20,DATOS!$C$65&lt;&gt;"SÍ"),2,0)))</f>
        <v/>
      </c>
      <c r="CP16" s="56" t="str">
        <f>IF(V16&lt;&gt;"SÍ","",IF(CN16=0,0,DATOS!$C$29*CN16*DATOS!$C$14*(CO16-CN16*DATOS!$C$14/(DATOS!$C$21*100)/2)/1E5))</f>
        <v/>
      </c>
      <c r="CQ16" s="65" t="str">
        <f>IF(V16&lt;&gt;"SÍ","",IF(CK16&lt;0,9.99,IF(CP16&gt;0,BA16/CP16,0)))</f>
        <v/>
      </c>
      <c r="CR16" s="66" t="str">
        <f>IF(V16&lt;&gt;"SÍ","",IF(CN16=0,"—",0.003*(CO16-(CN16*DATOS!$C$14/(DATOS!$C$21*100)/DATOS!$C$22))/(CN16*DATOS!$C$14/(DATOS!$C$21*100)/DATOS!$C$22)))</f>
        <v/>
      </c>
      <c r="CS16" s="56" t="str">
        <f>IF(V16&lt;&gt;"SÍ","",IF(C16="PERIMETRAL",MAX(0,(AC16/2-BU16)/100)*(0.95-0.5*AB16)*AK16*IF(AND(AL16&gt;0,AL16&lt;4),DATOS!$C$33,1)/1000,(AK16*MAX(0,AC16-BU16)/100+DATOS!$C$26*N(P16))/1000))</f>
        <v/>
      </c>
      <c r="CT16" s="66" t="str">
        <f>IF(V16&lt;&gt;"SÍ","",BT16/(100*BU16))</f>
        <v/>
      </c>
      <c r="CU16" s="56" t="str">
        <f>IF(V16&lt;&gt;"SÍ","",DATOS!$C$30*2*MIN(1,SQRT(2/(1+0.04*BU16)))*CT16^(1/3)*SQRT(DATOS!$C$13)*100*BU16/1000)</f>
        <v/>
      </c>
      <c r="CV16" s="67" t="str">
        <f>IF(V16&lt;&gt;"SÍ","",IF(CS16&lt;=CU16,"CUMPLE","NO CUMPLE: sube h"))</f>
        <v/>
      </c>
      <c r="CW16" s="58" t="str">
        <f>IF(V16&lt;&gt;"SÍ","",IF(C16="PERIMETRAL",IF(ISNUMBER(R16),R16,DATOS!$C$104),0))</f>
        <v/>
      </c>
      <c r="CX16" s="57" t="str">
        <f>IF(V16&lt;&gt;"SÍ","",IF(C16="PERIMETRAL",IF(CW16&gt;2,MAX(9,AD16*(0.8+DATOS!$C$14/14000)/(36+9*(AD16/MAX(AC16,1)))),IF(CW16&gt;0.2,MAX(13,AD16*(0.8+DATOS!$C$14/14000)/(36+5*(AD16/MAX(AC16,1))*(CW16-0.2))),MAX(13,AD16/IF(AL16&gt;0,30,33))))*IF(AND(CW16&gt;0.2,AL16&gt;0,DATOS!$C$105="NO"),1.1,1),Z16*100/DATOS!$C$145*(0.4+DATOS!$C$14/7000)))</f>
        <v/>
      </c>
      <c r="CY16" s="61" t="str">
        <f>IF(V16&lt;&gt;"SÍ","",IF(W16&gt;=CX16-0.001,"CUMPLE",IF(C16="VOLADO","NO CUMPLE","CALCULAR FLECHA")))</f>
        <v/>
      </c>
      <c r="CZ16" s="60" t="str">
        <f>IF(V16&lt;&gt;"SÍ","",IF(C16="VOLADO",MIN(FLOOR(IF(ISNUMBER(Q16),Q16,Z16)*100-DATOS!$C$63,5),CEILING(MAX(IF((0.5*(0.9*W16/100*DATOS!$C$16)*IF(ISNUMBER(Q16),Q16,Z16)+AY16/IF(ISNUMBER(Q16),Q16,Z16))^2-4*(0.5*(0.9*W16/100*DATOS!$C$16))*AY16&lt;0,IF(ISNUMBER(Q16),Q16,Z16),MIN(IF(ISNUMBER(Q16),Q16,Z16),((0.5*(0.9*W16/100*DATOS!$C$16)*IF(ISNUMBER(Q16),Q16,Z16)+AY16/IF(ISNUMBER(Q16),Q16,Z16))-SQRT((0.5*(0.9*W16/100*DATOS!$C$16)*IF(ISNUMBER(Q16),Q16,Z16)+AY16/IF(ISNUMBER(Q16),Q16,Z16))^2-4*(0.5*(0.9*W16/100*DATOS!$C$16))*AY16))/(2*(0.5*(0.9*W16/100*DATOS!$C$16)))))*100+MAX(BU16,12*INDEX(TABLAS!$C$52:$C$58,MATCH(BR16,TABLAS!$B$52:$B$58,0)),IF(ISNUMBER(Q16),Q16,Z16)*100/16),IF(OR(AF16&lt;INDEX(TABLAS!$C$52:$C$58,MATCH(BR16,TABLAS!$B$52:$B$58,0)),BS16-INDEX(TABLAS!$C$52:$C$58,MATCH(BR16,TABLAS!$B$52:$B$58,0))&lt;2*INDEX(TABLAS!$C$52:$C$58,MATCH(BR16,TABLAS!$B$52:$B$58,0))),INDEX(TABLAS!$I$52:$I$58,MATCH(BR16,TABLAS!$B$52:$B$58,0)),INDEX(TABLAS!$F$52:$F$58,MATCH(BR16,TABLAS!$B$52:$B$58,0)))),5)),IF(((4*((AV16*AK16*Z16^2*1E-4/1000)+((MAX(AR16,AT16)*AK16*Z16^2*1E-4/1000)+(IF(AND(AR16&gt;0,AT16&gt;0),MIN(AR16,AT16),MAX(AR16,AT16))*AK16*Z16^2*1E-4/1000))/2)+AY16-(IF(AND(AR16&gt;0,AT16&gt;0),MIN(AR16,AT16),MAX(AR16,AT16))*AK16*Z16^2*1E-4/1000))^2-16*((AV16*AK16*Z16^2*1E-4/1000)+((MAX(AR16,AT16)*AK16*Z16^2*1E-4/1000)+(IF(AND(AR16&gt;0,AT16&gt;0),MIN(AR16,AT16),MAX(AR16,AT16))*AK16*Z16^2*1E-4/1000))/2)*AY16)&lt;0,CEILING(AC16,5),CEILING(MAX(AC16*((4*((AV16*AK16*Z16^2*1E-4/1000)+((MAX(AR16,AT16)*AK16*Z16^2*1E-4/1000)+(IF(AND(AR16&gt;0,AT16&gt;0),MIN(AR16,AT16),MAX(AR16,AT16))*AK16*Z16^2*1E-4/1000))/2)+AY16-(IF(AND(AR16&gt;0,AT16&gt;0),MIN(AR16,AT16),MAX(AR16,AT16))*AK16*Z16^2*1E-4/1000))-SQRT(MAX(0,((4*((AV16*AK16*Z16^2*1E-4/1000)+((MAX(AR16,AT16)*AK16*Z16^2*1E-4/1000)+(IF(AND(AR16&gt;0,AT16&gt;0),MIN(AR16,AT16),MAX(AR16,AT16))*AK16*Z16^2*1E-4/1000))/2)+AY16-(IF(AND(AR16&gt;0,AT16&gt;0),MIN(AR16,AT16),MAX(AR16,AT16))*AK16*Z16^2*1E-4/1000))^2-16*((AV16*AK16*Z16^2*1E-4/1000)+((MAX(AR16,AT16)*AK16*Z16^2*1E-4/1000)+(IF(AND(AR16&gt;0,AT16&gt;0),MIN(AR16,AT16),MAX(AR16,AT16))*AK16*Z16^2*1E-4/1000))/2)*AY16))))/(8*MAX(((AV16*AK16*Z16^2*1E-4/1000)+((MAX(AR16,AT16)*AK16*Z16^2*1E-4/1000)+(IF(AND(AR16&gt;0,AT16&gt;0),MIN(AR16,AT16),MAX(AR16,AT16))*AK16*Z16^2*1E-4/1000))/2),1E-9))+MAX(BU16,12*INDEX(TABLAS!$C$52:$C$58,MATCH(BR16,TABLAS!$B$52:$B$58,0)),AC16/16),IF(OR(AF16&lt;INDEX(TABLAS!$C$52:$C$58,MATCH(BR16,TABLAS!$B$52:$B$58,0)),BS16-INDEX(TABLAS!$C$52:$C$58,MATCH(BR16,TABLAS!$B$52:$B$58,0))&lt;2*INDEX(TABLAS!$C$52:$C$58,MATCH(BR16,TABLAS!$B$52:$B$58,0))),INDEX(TABLAS!$I$52:$I$58,MATCH(BR16,TABLAS!$B$52:$B$58,0)),INDEX(TABLAS!$F$52:$F$58,MATCH(BR16,TABLAS!$B$52:$B$58,0)))),5))))</f>
        <v/>
      </c>
      <c r="DA16" s="60" t="str">
        <f>IF(V16&lt;&gt;"SÍ","",IF(C16="VOLADO",0,IF(((4*((AW16*AK16*Z16^2*1E-4/1000)+((MAX(AS16,AU16)*AK16*Z16^2*1E-4/1000)+(IF(AND(AS16&gt;0,AU16&gt;0),MIN(AS16,AU16),MAX(AS16,AU16))*AK16*Z16^2*1E-4/1000))/2)+BA16-(IF(AND(AS16&gt;0,AU16&gt;0),MIN(AS16,AU16),MAX(AS16,AU16))*AK16*Z16^2*1E-4/1000))^2-16*((AW16*AK16*Z16^2*1E-4/1000)+((MAX(AS16,AU16)*AK16*Z16^2*1E-4/1000)+(IF(AND(AS16&gt;0,AU16&gt;0),MIN(AS16,AU16),MAX(AS16,AU16))*AK16*Z16^2*1E-4/1000))/2)*BA16)&lt;0,CEILING(AD16,5),CEILING(MAX(AD16*((4*((AW16*AK16*Z16^2*1E-4/1000)+((MAX(AS16,AU16)*AK16*Z16^2*1E-4/1000)+(IF(AND(AS16&gt;0,AU16&gt;0),MIN(AS16,AU16),MAX(AS16,AU16))*AK16*Z16^2*1E-4/1000))/2)+BA16-(IF(AND(AS16&gt;0,AU16&gt;0),MIN(AS16,AU16),MAX(AS16,AU16))*AK16*Z16^2*1E-4/1000))-SQRT(MAX(0,((4*((AW16*AK16*Z16^2*1E-4/1000)+((MAX(AS16,AU16)*AK16*Z16^2*1E-4/1000)+(IF(AND(AS16&gt;0,AU16&gt;0),MIN(AS16,AU16),MAX(AS16,AU16))*AK16*Z16^2*1E-4/1000))/2)+BA16-(IF(AND(AS16&gt;0,AU16&gt;0),MIN(AS16,AU16),MAX(AS16,AU16))*AK16*Z16^2*1E-4/1000))^2-16*((AW16*AK16*Z16^2*1E-4/1000)+((MAX(AS16,AU16)*AK16*Z16^2*1E-4/1000)+(IF(AND(AS16&gt;0,AU16&gt;0),MIN(AS16,AU16),MAX(AS16,AU16))*AK16*Z16^2*1E-4/1000))/2)*BA16))))/(8*MAX(((AW16*AK16*Z16^2*1E-4/1000)+((MAX(AS16,AU16)*AK16*Z16^2*1E-4/1000)+(IF(AND(AS16&gt;0,AU16&gt;0),MIN(AS16,AU16),MAX(AS16,AU16))*AK16*Z16^2*1E-4/1000))/2),1E-9))+MAX(CO16,12*INDEX(TABLAS!$C$52:$C$58,MATCH(CL16,TABLAS!$B$52:$B$58,0)),AD16/16),IF(OR(AF16&lt;INDEX(TABLAS!$C$52:$C$58,MATCH(CL16,TABLAS!$B$52:$B$58,0)),CM16-INDEX(TABLAS!$C$52:$C$58,MATCH(CL16,TABLAS!$B$52:$B$58,0))&lt;2*INDEX(TABLAS!$C$52:$C$58,MATCH(CL16,TABLAS!$B$52:$B$58,0))),INDEX(TABLAS!$I$52:$I$58,MATCH(CL16,TABLAS!$B$52:$B$58,0)),INDEX(TABLAS!$F$52:$F$58,MATCH(CL16,TABLAS!$B$52:$B$58,0)))),5))))</f>
        <v/>
      </c>
      <c r="DB16" s="55" t="str">
        <f>IF(V16&lt;&gt;"SÍ","",IF(AND(C16="PERIMETRAL",AL16-AM16&gt;0,AT16&gt;0),"SÍ","NO"))</f>
        <v/>
      </c>
      <c r="DC16" s="55" t="str">
        <f>IF(V16&lt;&gt;"SÍ","",IF(AND(C16="PERIMETRAL",AM16&gt;0,AU16&gt;0),"SÍ","NO"))</f>
        <v/>
      </c>
      <c r="DD16" s="63" t="str">
        <f>IF(V16&lt;&gt;"SÍ","",IF(OR(C16="VOLADO",AL16=0),"—",IF(AND(AND(INDEX(TABLAS!$G$52:$G$58,MATCH(MAX(BR16,CL16),TABLAS!$B$52:$B$58,0))&lt;=(DATOS!$C$75-DATOS!$C$63),(DATOS!$C$75-DATOS!$C$63)&gt;=15),8*INDEX(TABLAS!$C$52:$C$58,MATCH(MAX(BH16,CB16,BR16,CL16),TABLAS!$B$52:$B$58,0))&lt;=DATOS!$C$76-2*DATOS!$C$63),"CUMPLE (gancho de 180°)",IF(AND(INDEX(TABLAS!$G$52:$G$58,MATCH(MAX(BR16,CL16),TABLAS!$B$52:$B$58,0))&lt;=(DATOS!$C$75-DATOS!$C$63),(DATOS!$C$75-DATOS!$C$63)&gt;=15),"NO CUMPLE: el gancho de 180° (8·d_b) no cabe en el peralte de la dala de borde","NO CUMPLE: dala de borde ≥ "&amp;TEXT(CEILING(MAX(INDEX(TABLAS!$G$52:$G$58,MATCH(MAX(BR16,CL16),TABLAS!$B$52:$B$58,0)),15)+DATOS!$C$63,5),"0")&amp;" cm de ancho"&amp;IF(8*INDEX(TABLAS!$C$52:$C$58,MATCH(MAX(BH16,CB16,BR16,CL16),TABLAS!$B$52:$B$58,0))&lt;=DATOS!$C$76-2*DATOS!$C$63,""," y más peralte para el gancho")))))</f>
        <v/>
      </c>
      <c r="DE16" s="69" t="str">
        <f>IF(V16&lt;&gt;"SÍ","",IF(BI16=0,"NO ALCANZA","No. "&amp;BH16&amp;" @ "&amp;BI16&amp;" cm"&amp;IF(C16="VOLADO"," (temperatura)","")))</f>
        <v/>
      </c>
      <c r="DF16" s="69" t="str">
        <f>IF(V16&lt;&gt;"SÍ","",IF(BS16=0,"NO ALCANZA",IF(C16="VOLADO","No. "&amp;BR16&amp;" @ "&amp;BS16&amp;" cm"&amp;" de la orilla al respaldo ("&amp;IF(CZ16&gt;=FLOOR(100*IF(ISNUMBER(Q16),Q16,Z16)-DATOS!$C$63,5),"hasta su apoyo lejano, con gancho","entran "&amp;TEXT(CZ16/100,"0.00")&amp;" m desde el paño")&amp;")","Bastones "&amp;"No. "&amp;BR16&amp;" @ "&amp;BS16&amp;" cm"&amp;", L = "&amp;TEXT(CZ16/100,"0.00")&amp;" m desde el paño")))</f>
        <v/>
      </c>
      <c r="DG16" s="69" t="str">
        <f>IF(V16&lt;&gt;"SÍ","",IF(CC16=0,"NO ALCANZA","No. "&amp;CB16&amp;" @ "&amp;CC16&amp;" cm"&amp;IF(C16="VOLADO"," (repartición)","")))</f>
        <v/>
      </c>
      <c r="DH16" s="69" t="str">
        <f>IF(V16&lt;&gt;"SÍ","",IF(CM16=0,"NO ALCANZA",IF(C16="VOLADO","No. "&amp;CL16&amp;" @ "&amp;CM16&amp;" cm"&amp;" (repartición)","Bastones "&amp;"No. "&amp;CL16&amp;" @ "&amp;CM16&amp;" cm"&amp;", L = "&amp;TEXT(DA16/100,"0.00")&amp;" m desde el paño")))</f>
        <v/>
      </c>
      <c r="DI16" s="67" t="str">
        <f>IF(B16="","",IF(V16&lt;&gt;"SÍ","FALTAN DATOS: tipo, a_x, a_y, destino y, en volados, L_b",IF(L16="NO MONOLÍTICO (caso II)","FUERA DE ALCANCE: caso II no transcrito",IF(AND(C16="VOLADO",X16="?"),"REVISAR: el volado lleva UN solo borde CONTINUO (el empotrado)",IF(AND(MAX(BM16,BW16,CG16,CQ16)&lt;=1,NOT(OR(BI16&lt;DATOS!$C$143,BS16&lt;DATOS!$C$143,CC16&lt;DATOS!$C$143,CM16&lt;DATOS!$C$143)),NOT(OR(AND(ISNUMBER(BN16),BN16&lt;0.005),AND(ISNUMBER(BX16),BX16&lt;0.005),AND(ISNUMBER(CH16),CH16&lt;0.005),AND(ISNUMBER(CR16),CR16&lt;0.005))),CV16="CUMPLE",CY16="CUMPLE"),"CUMPLE"&amp;IF(LEFT(BB16,5)="FUERA"," · fuera de 3.4.2.1 c)","")&amp;IF(LEFT(DD16,2)="NO"," · REVISAR anclaje en borde discontinuo",""),IF(AND(MAX(BM16,BW16,CG16,CQ16)&lt;=1,NOT(OR(BI16&lt;DATOS!$C$143,BS16&lt;DATOS!$C$143,CC16&lt;DATOS!$C$143,CM16&lt;DATOS!$C$143)),NOT(OR(AND(ISNUMBER(BN16),BN16&lt;0.005),AND(ISNUMBER(BX16),BX16&lt;0.005),AND(ISNUMBER(CH16),CH16&lt;0.005),AND(ISNUMBER(CR16),CR16&lt;0.005))),CV16="CUMPLE",CY16="CALCULAR FLECHA"),"REVISAR: calcular flecha (h &lt; h mín.)"&amp;IF(LEFT(BB16,5)="FUERA"," · fuera de 3.4.2.1 c)","")&amp;IF(LEFT(DD16,2)="NO"," · REVISAR anclaje en borde discontinuo",""),"NO CUMPLE: "&amp;IF(MAX(BM16,BW16,CG16,CQ16)&gt;1,"flexión ","")&amp;IF(OR(BI16&lt;DATOS!$C$143,BS16&lt;DATOS!$C$143,CC16&lt;DATOS!$C$143,CM16&lt;DATOS!$C$143),"separación &lt; mínima ","")&amp;IF(OR(AND(ISNUMBER(BN16),BN16&lt;0.005),AND(ISNUMBER(BX16),BX16&lt;0.005),AND(ISNUMBER(CH16),CH16&lt;0.005),AND(ISNUMBER(CR16),CR16&lt;0.005)),"ε_t &lt; 0.005 ","")&amp;IF(CV16&lt;&gt;"CUMPLE","cortante ","")&amp;IF(CY16="NO CUMPLE","peralte","")))))))</f>
        <v/>
      </c>
      <c r="DJ16" s="70" t="str">
        <f>IF(V16&lt;&gt;"SÍ","",IF(LEFT(B16,7)="EJEMPLO","EJEMPLO de tablero típico: bórralo o sobrescríbelo. ","")&amp;IF(C16="VOLADO","Volado de "&amp;TEXT(Z16,"0.00")&amp;" m empotrado en el borde "&amp;LOWER(X16)&amp;IF(N(P16)&gt;0,", con "&amp;TEXT(P16,"0.0")&amp;" kg/m en la orilla","")&amp;". Lecho inferior con r_ext. Si la orilla carga pretil u otro elemento frágil, calcula la flecha (13.4). El acero superior entra al respaldo de "&amp;TEXT(IF(ISNUMBER(Q16),Q16,Z16),"0.00")&amp;" m"&amp;" hasta pasar M = 0 con 0.9·PP sin carga viva; si ahí no se anula, llega al apoyo lejano y se ancla con gancho. ","")&amp;IF(AND(C16="VOLADO",(0.9*W16/100*DATOS!$C$16*IF(ISNUMBER(Q16),Q16,Z16)/2-AY16/IF(ISNUMBER(Q16),Q16,Z16))&lt;0),"Con 0.9·PP y sin carga viva el apoyo lejano del respaldo levanta (R = "&amp;TEXT(-(0.9*W16/100*DATOS!$C$16*IF(ISNUMBER(Q16),Q16,Z16)/2-AY16/IF(ISNUMBER(Q16),Q16,Z16)),"0.00")&amp;" t/m): ancla ahí el acero con gancho y revisa ese apoyo a tensión. ","")&amp;IF(LEFT(BB16,5)="FUERA","El M⁻ del vecino difiere más de 50 % (3.4.2.1 c): distribuye el desequilibrio (3.4.3.1) o confirma con un modelo; se arma con el mayor. ","")&amp;IF(OR(DB16="SÍ",DC16="SÍ"),"Bastones también en los bordes discontinuos (M⁻ de tabla), con gancho. ","")&amp;IF(LEFT(DD16,2)="NO","Anclaje: "&amp;DD16&amp;" (6.7.7.4.1.1). ","")&amp;IF(AND(C16="PERIMETRAL",AM16&gt;=1,AL16-AM16&gt;=1),"Esquinas exteriores sobre muro: refuerzo de esquina arriba y abajo en L_largo/5 (6.7.7.3.1). ",""))</f>
        <v/>
      </c>
    </row>
    <row r="17" ht="33" customHeight="1">
      <c r="A17" s="50">
        <f>IF(B17="",0,1)+A16</f>
        <v>3</v>
      </c>
      <c r="B17" s="29" t="n"/>
      <c r="C17" s="51" t="n"/>
      <c r="D17" s="29" t="n"/>
      <c r="E17" s="52" t="n"/>
      <c r="F17" s="52" t="n"/>
      <c r="G17" s="51" t="n"/>
      <c r="H17" s="51" t="n"/>
      <c r="I17" s="51" t="n"/>
      <c r="J17" s="51" t="n"/>
      <c r="K17" s="51" t="n"/>
      <c r="L17" s="51" t="n"/>
      <c r="M17" s="54" t="n"/>
      <c r="N17" s="53" t="n"/>
      <c r="O17" s="53" t="n"/>
      <c r="P17" s="54" t="n"/>
      <c r="Q17" s="52" t="n"/>
      <c r="R17" s="54" t="n"/>
      <c r="S17" s="53" t="n"/>
      <c r="T17" s="52" t="n"/>
      <c r="U17" s="52" t="n"/>
      <c r="V17" s="55" t="str">
        <f>IF(B17="","",IF(AND(OR(C17="PERIMETRAL",C17="VOLADO"),ISNUMBER(E17),ISNUMBER(F17),E17&gt;0,F17&gt;0,OR(ISNUMBER(O17),ISNUMBER(MATCH(D17,DATOS!$B$46:$B$58,0))),OR(C17&lt;&gt;"VOLADO",N(Q17)&gt;0)),"SÍ","NO"))</f>
        <v/>
      </c>
      <c r="W17" s="57" t="str">
        <f>IF(V17&lt;&gt;"SÍ","",IF(ISNUMBER(M17),M17,DATOS!$C$137))</f>
        <v/>
      </c>
      <c r="X17" s="55" t="str">
        <f>IF(V17&lt;&gt;"SÍ","",IF(C17&lt;&gt;"VOLADO","—",IF(COUNTIF(G17:J17,"CONTINUO")&lt;&gt;1,"?",IF(G17="CONTINUO","INFERIOR",IF(H17="CONTINUO","SUPERIOR",IF(I17="CONTINUO","IZQUIERDO","DERECHO"))))))</f>
        <v/>
      </c>
      <c r="Y17" s="55" t="str">
        <f>IF(V17&lt;&gt;"SÍ","",IF(C17="VOLADO",IF(OR(X17="IZQUIERDO",X17="DERECHO"),"X","Y"),IF(E17&lt;=F17,"X","Y")))</f>
        <v/>
      </c>
      <c r="Z17" s="56" t="str">
        <f>IF(V17&lt;&gt;"SÍ","",IF(C17="VOLADO",IF(Y17="X",E17,F17),MIN(E17,F17)))</f>
        <v/>
      </c>
      <c r="AA17" s="56" t="str">
        <f>IF(V17&lt;&gt;"SÍ","",IF(C17="VOLADO",IF(Y17="X",F17,E17),MAX(E17,F17)))</f>
        <v/>
      </c>
      <c r="AB17" s="56" t="str">
        <f>IF(V17&lt;&gt;"SÍ","",MIN(Z17,AA17)/MAX(Z17,AA17))</f>
        <v/>
      </c>
      <c r="AC17" s="57" t="str">
        <f>IF(V17&lt;&gt;"SÍ","",MAX(1,Z17*100-IF(C17="VOLADO",DATOS!$C$87/2,DATOS!$C$87)))</f>
        <v/>
      </c>
      <c r="AD17" s="57" t="str">
        <f>IF(V17&lt;&gt;"SÍ","",MAX(1,AA17*100-DATOS!$C$87))</f>
        <v/>
      </c>
      <c r="AE17" s="57" t="str">
        <f>IF(V17&lt;&gt;"SÍ","",IF(C17="VOLADO",DATOS!$C$64,DATOS!$C$62))</f>
        <v/>
      </c>
      <c r="AF17" s="57" t="str">
        <f>IF(V17&lt;&gt;"SÍ","",IF(OR(AND(AG17="SÍ",DATOS!$C$66="SÍ"),AND(C17="VOLADO",DATOS!$C$67="SÍ")),DATOS!$C$64,DATOS!$C$62))</f>
        <v/>
      </c>
      <c r="AG17" s="55" t="str">
        <f>IF(V17&lt;&gt;"SÍ","",IFERROR(INDEX(DATOS!$D$46:$D$58,MATCH(D17,DATOS!$B$46:$B$58,0)),"NO"))</f>
        <v/>
      </c>
      <c r="AH17" s="59" t="str">
        <f>IF(V17&lt;&gt;"SÍ","",IF(ISNUMBER(O17),O17,IFERROR(INDEX(DATOS!$C$46:$C$58,MATCH(D17,DATOS!$B$46:$B$58,0)),0)))</f>
        <v/>
      </c>
      <c r="AI17" s="59" t="str">
        <f>IF(V17&lt;&gt;"SÍ","",W17/100*DATOS!$C$16*1000+DATOS!$C$37+DATOS!$C$38)</f>
        <v/>
      </c>
      <c r="AJ17" s="59" t="str">
        <f>IF(V17&lt;&gt;"SÍ","",AI17+N(N17))</f>
        <v/>
      </c>
      <c r="AK17" s="60" t="str">
        <f>IF(V17&lt;&gt;"SÍ","",MAX(DATOS!$C$26*AJ17+DATOS!$C$27*AH17,IF(AG17="SÍ",DATOS!$C$28*(AJ17+DATOS!$C$41),0)))</f>
        <v/>
      </c>
      <c r="AL17" s="59" t="str">
        <f>IF(V17&lt;&gt;"SÍ","",(G17="DISCONTINUO")+(H17="DISCONTINUO")+(I17="DISCONTINUO")+(J17="DISCONTINUO"))</f>
        <v/>
      </c>
      <c r="AM17" s="59" t="str">
        <f>IF(V17&lt;&gt;"SÍ","",IF(Y17="X",(G17="DISCONTINUO")+(H17="DISCONTINUO"),(I17="DISCONTINUO")+(J17="DISCONTINUO")))</f>
        <v/>
      </c>
      <c r="AN17" s="55" t="str">
        <f>IF(V17&lt;&gt;"SÍ","",IF(AL17=0,"INTERIOR",IF(AL17=1,IF(AM17=1,"BORDE-CORTO","BORDE-LARGO"),IF(AL17=2,IF(AM17=1,"ESQUINA",IF(AM17=2,"EXTREMO-LARGO","EXTREMO-CORTO")),IF(AL17=3,IF(AM17=2,"EXTREMO-LARGO","EXTREMO-CORTO"),"AISLADO")))))</f>
        <v/>
      </c>
      <c r="AO17" s="61" t="str">
        <f>IF(V17&lt;&gt;"SÍ","",IF(OR(K17="",K17="AUTO"),AN17,K17))</f>
        <v/>
      </c>
      <c r="AP17" s="59" t="str">
        <f>IF(V17&lt;&gt;"SÍ","",MATCH(AB17,TABLAS!$D$5:$J$5,1))</f>
        <v/>
      </c>
      <c r="AQ17" s="58" t="str">
        <f>IF(V17&lt;&gt;"SÍ","",IF(AP17&gt;=7,0,(AB17-INDEX(TABLAS!$D$5:$J$5,AP17))/(INDEX(TABLAS!$D$5:$J$5,AP17+1)-INDEX(TABLAS!$D$5:$J$5,AP17))))</f>
        <v/>
      </c>
      <c r="AR17" s="59" t="str">
        <f>IF(V17&lt;&gt;"SÍ","",INDEX(TABLAS!$D$6:$J$47,MATCH(AO17&amp;"|NIC",TABLAS!$B$6:$B$47,0),AP17)+AQ17*(INDEX(TABLAS!$D$6:$J$47,MATCH(AO17&amp;"|NIC",TABLAS!$B$6:$B$47,0),MIN(AP17+1,7))-INDEX(TABLAS!$D$6:$J$47,MATCH(AO17&amp;"|NIC",TABLAS!$B$6:$B$47,0),AP17)))</f>
        <v/>
      </c>
      <c r="AS17" s="59" t="str">
        <f>IF(V17&lt;&gt;"SÍ","",INDEX(TABLAS!$D$6:$J$47,MATCH(AO17&amp;"|NIL",TABLAS!$B$6:$B$47,0),AP17)+AQ17*(INDEX(TABLAS!$D$6:$J$47,MATCH(AO17&amp;"|NIL",TABLAS!$B$6:$B$47,0),MIN(AP17+1,7))-INDEX(TABLAS!$D$6:$J$47,MATCH(AO17&amp;"|NIL",TABLAS!$B$6:$B$47,0),AP17)))</f>
        <v/>
      </c>
      <c r="AT17" s="59" t="str">
        <f>IF(V17&lt;&gt;"SÍ","",INDEX(TABLAS!$D$6:$J$47,MATCH(AO17&amp;"|NDC",TABLAS!$B$6:$B$47,0),AP17)+AQ17*(INDEX(TABLAS!$D$6:$J$47,MATCH(AO17&amp;"|NDC",TABLAS!$B$6:$B$47,0),MIN(AP17+1,7))-INDEX(TABLAS!$D$6:$J$47,MATCH(AO17&amp;"|NDC",TABLAS!$B$6:$B$47,0),AP17)))</f>
        <v/>
      </c>
      <c r="AU17" s="59" t="str">
        <f>IF(V17&lt;&gt;"SÍ","",INDEX(TABLAS!$D$6:$J$47,MATCH(AO17&amp;"|NDL",TABLAS!$B$6:$B$47,0),AP17)+AQ17*(INDEX(TABLAS!$D$6:$J$47,MATCH(AO17&amp;"|NDL",TABLAS!$B$6:$B$47,0),MIN(AP17+1,7))-INDEX(TABLAS!$D$6:$J$47,MATCH(AO17&amp;"|NDL",TABLAS!$B$6:$B$47,0),AP17)))</f>
        <v/>
      </c>
      <c r="AV17" s="59" t="str">
        <f>IF(V17&lt;&gt;"SÍ","",INDEX(TABLAS!$D$6:$J$47,MATCH(AO17&amp;"|PC",TABLAS!$B$6:$B$47,0),AP17)+AQ17*(INDEX(TABLAS!$D$6:$J$47,MATCH(AO17&amp;"|PC",TABLAS!$B$6:$B$47,0),MIN(AP17+1,7))-INDEX(TABLAS!$D$6:$J$47,MATCH(AO17&amp;"|PC",TABLAS!$B$6:$B$47,0),AP17)))</f>
        <v/>
      </c>
      <c r="AW17" s="59" t="str">
        <f>IF(V17&lt;&gt;"SÍ","",INDEX(TABLAS!$D$6:$J$47,MATCH(AO17&amp;"|PL",TABLAS!$B$6:$B$47,0),AP17)+AQ17*(INDEX(TABLAS!$D$6:$J$47,MATCH(AO17&amp;"|PL",TABLAS!$B$6:$B$47,0),MIN(AP17+1,7))-INDEX(TABLAS!$D$6:$J$47,MATCH(AO17&amp;"|PL",TABLAS!$B$6:$B$47,0),AP17)))</f>
        <v/>
      </c>
      <c r="AX17" s="56" t="str">
        <f>IF(V17&lt;&gt;"SÍ","",IF(C17="PERIMETRAL",AV17*AK17*Z17^2*1E-4/1000,0))</f>
        <v/>
      </c>
      <c r="AY17" s="62" t="str">
        <f>IF(V17&lt;&gt;"SÍ","",IF(C17="PERIMETRAL",MAX(MAX(AR17,AT17)*AK17*Z17^2*1E-4/1000,N(T17)),(AK17*(AC17/100)^2/2+DATOS!$C$26*N(P17)*AC17/100)/1000))</f>
        <v/>
      </c>
      <c r="AZ17" s="56" t="str">
        <f>IF(V17&lt;&gt;"SÍ","",IF(C17="PERIMETRAL",AW17*AK17*Z17^2*1E-4/1000,0))</f>
        <v/>
      </c>
      <c r="BA17" s="56" t="str">
        <f>IF(V17&lt;&gt;"SÍ","",IF(C17="PERIMETRAL",MAX(MAX(AS17,AU17)*AK17*Z17^2*1E-4/1000,N(U17)),0))</f>
        <v/>
      </c>
      <c r="BB17" s="63" t="str">
        <f>IF(V17&lt;&gt;"SÍ","",IF(C17&lt;&gt;"PERIMETRAL","—",IF(AND(N(T17)=0,N(U17)=0),"— (sin M⁻ del vecino)",IF(OR(AND(N(T17)&gt;0,ABS(MAX(AR17,AT17)*AK17*Z17^2*1E-4/1000-N(T17))&gt;0.5*MIN(MAX(AR17,AT17)*AK17*Z17^2*1E-4/1000,N(T17))),AND(N(U17)&gt;0,ABS(MAX(AS17,AU17)*AK17*Z17^2*1E-4/1000-N(U17))&gt;0.5*MIN(MAX(AS17,AU17)*AK17*Z17^2*1E-4/1000,N(U17)))),"FUERA: difieren &gt; 50 %"&amp;IF(AND(N(T17)&gt;0,ABS(MAX(AR17,AT17)*AK17*Z17^2*1E-4/1000-N(T17))&gt;0.5*MIN(MAX(AR17,AT17)*AK17*Z17^2*1E-4/1000,N(T17)))," ‖ corto","")&amp;IF(AND(N(U17)&gt;0,ABS(MAX(AS17,AU17)*AK17*Z17^2*1E-4/1000-N(U17))&gt;0.5*MIN(MAX(AS17,AU17)*AK17*Z17^2*1E-4/1000,N(U17)))," ‖ largo",""),"CUMPLE"))))</f>
        <v/>
      </c>
      <c r="BC17" s="58" t="str">
        <f>IF(V17&lt;&gt;"SÍ","",DATOS!$C$139*100*W17)</f>
        <v/>
      </c>
      <c r="BD17" s="57" t="str">
        <f>IF(V17&lt;&gt;"SÍ","",MIN(IF(C17="VOLADO",DATOS!$C$141,DATOS!$C$140)*W17,DATOS!$C$142))</f>
        <v/>
      </c>
      <c r="BE17" s="58" t="str">
        <f>IF(V17&lt;&gt;"SÍ","",(W17-AE17-INDEX(TABLAS!$C$52:$C$58,MATCH(IF(ISNUMBER(S17),S17,DATOS!$C$138),TABLAS!$B$52:$B$58,0))/2))</f>
        <v/>
      </c>
      <c r="BF17" s="58" t="str">
        <f>IF(V17&lt;&gt;"SÍ","",IF(AX17&lt;=0,0,IF((1-2*AX17*1E5/(DATOS!$C$29*100*BE17^2*DATOS!$C$21))&lt;0,-1,IF((1-SQRT((1-2*AX17*1E5/(DATOS!$C$29*100*BE17^2*DATOS!$C$21))))*DATOS!$C$21*100*BE17/DATOS!$C$14&gt;DATOS!$C$102*100*BE17,-1,(1-SQRT((1-2*AX17*1E5/(DATOS!$C$29*100*BE17^2*DATOS!$C$21))))*DATOS!$C$21*100*BE17/DATOS!$C$14))))</f>
        <v/>
      </c>
      <c r="BG17" s="58" t="str">
        <f>IF(V17&lt;&gt;"SÍ","",IF(BF17&lt;0,-1,MAX(BF17,BC17)))</f>
        <v/>
      </c>
      <c r="BH17" s="64" t="str">
        <f>IF(V17&lt;&gt;"SÍ","",IF(AND(BG17&gt;0,FLOOR(MIN(BD17,100*INDEX(TABLAS!$D$52:$D$58,MIN(MATCH(IF(ISNUMBER(S17),S17,DATOS!$C$138),TABLAS!$B$52:$B$58,0)+0,7))/MAX(BG17,0.0001)),DATOS!$C$144)&gt;=DATOS!$C$143),INDEX(TABLAS!$B$52:$B$58,MIN(MATCH(IF(ISNUMBER(S17),S17,DATOS!$C$138),TABLAS!$B$52:$B$58,0)+0,7)),IF(AND(BG17&gt;0,FLOOR(MIN(BD17,100*INDEX(TABLAS!$D$52:$D$58,MIN(MATCH(IF(ISNUMBER(S17),S17,DATOS!$C$138),TABLAS!$B$52:$B$58,0)+1,7))/MAX(BG17,0.0001)),DATOS!$C$144)&gt;=DATOS!$C$143),INDEX(TABLAS!$B$52:$B$58,MIN(MATCH(IF(ISNUMBER(S17),S17,DATOS!$C$138),TABLAS!$B$52:$B$58,0)+1,7)),IF(AND(BG17&gt;0,FLOOR(MIN(BD17,100*INDEX(TABLAS!$D$52:$D$58,MIN(MATCH(IF(ISNUMBER(S17),S17,DATOS!$C$138),TABLAS!$B$52:$B$58,0)+2,7))/MAX(BG17,0.0001)),DATOS!$C$144)&gt;=DATOS!$C$143),INDEX(TABLAS!$B$52:$B$58,MIN(MATCH(IF(ISNUMBER(S17),S17,DATOS!$C$138),TABLAS!$B$52:$B$58,0)+2,7)),IF(AND(BG17&gt;0,FLOOR(MIN(BD17,100*INDEX(TABLAS!$D$52:$D$58,MIN(MATCH(IF(ISNUMBER(S17),S17,DATOS!$C$138),TABLAS!$B$52:$B$58,0)+3,7))/MAX(BG17,0.0001)),DATOS!$C$144)&gt;=DATOS!$C$143),INDEX(TABLAS!$B$52:$B$58,MIN(MATCH(IF(ISNUMBER(S17),S17,DATOS!$C$138),TABLAS!$B$52:$B$58,0)+3,7)),IF(AND(BG17&gt;0,FLOOR(MIN(BD17,100*INDEX(TABLAS!$D$52:$D$58,MIN(MATCH(IF(ISNUMBER(S17),S17,DATOS!$C$138),TABLAS!$B$52:$B$58,0)+4,7))/MAX(BG17,0.0001)),DATOS!$C$144)&gt;=DATOS!$C$143),INDEX(TABLAS!$B$52:$B$58,MIN(MATCH(IF(ISNUMBER(S17),S17,DATOS!$C$138),TABLAS!$B$52:$B$58,0)+4,7)),INDEX(TABLAS!$B$52:$B$58,7)))))))</f>
        <v/>
      </c>
      <c r="BI17" s="71" t="str">
        <f>IF(V17&lt;&gt;"SÍ","",IF(BG17&lt;=0,0,FLOOR(MIN(BD17,100*INDEX(TABLAS!$D$52:$D$58,MATCH(BH17,TABLAS!$B$52:$B$58,0))/BG17),DATOS!$C$144)))</f>
        <v/>
      </c>
      <c r="BJ17" s="58" t="str">
        <f>IF(V17&lt;&gt;"SÍ","",IF(BI17&lt;=0,0,INDEX(TABLAS!$D$52:$D$58,MATCH(BH17,TABLAS!$B$52:$B$58,0))*100/BI17))</f>
        <v/>
      </c>
      <c r="BK17" s="58" t="str">
        <f>IF(V17&lt;&gt;"SÍ","",W17-AE17-INDEX(TABLAS!$C$52:$C$58,MATCH(BH17,TABLAS!$B$52:$B$58,0))/2)</f>
        <v/>
      </c>
      <c r="BL17" s="56" t="str">
        <f>IF(V17&lt;&gt;"SÍ","",IF(BJ17=0,0,DATOS!$C$29*BJ17*DATOS!$C$14*(BK17-BJ17*DATOS!$C$14/(DATOS!$C$21*100)/2)/1E5))</f>
        <v/>
      </c>
      <c r="BM17" s="65" t="str">
        <f>IF(V17&lt;&gt;"SÍ","",IF(BG17&lt;0,9.99,IF(BL17&gt;0,AX17/BL17,0)))</f>
        <v/>
      </c>
      <c r="BN17" s="66" t="str">
        <f>IF(V17&lt;&gt;"SÍ","",IF(BJ17=0,"—",0.003*(BK17-(BJ17*DATOS!$C$14/(DATOS!$C$21*100)/DATOS!$C$22))/(BJ17*DATOS!$C$14/(DATOS!$C$21*100)/DATOS!$C$22)))</f>
        <v/>
      </c>
      <c r="BO17" s="58" t="str">
        <f>IF(V17&lt;&gt;"SÍ","",((W17-AF17-INDEX(TABLAS!$C$52:$C$58,MATCH(IF(ISNUMBER(S17),S17,DATOS!$C$138),TABLAS!$B$52:$B$58,0))/2)-IF(AND((W17-AF17-INDEX(TABLAS!$C$52:$C$58,MATCH(IF(ISNUMBER(S17),S17,DATOS!$C$138),TABLAS!$B$52:$B$58,0))/2)&lt;=20,DATOS!$C$65&lt;&gt;"SÍ"),2,0)))</f>
        <v/>
      </c>
      <c r="BP17" s="58" t="str">
        <f>IF(V17&lt;&gt;"SÍ","",IF(AY17&lt;=0,0,IF((1-2*AY17*1E5/(DATOS!$C$29*100*BO17^2*DATOS!$C$21))&lt;0,-1,IF((1-SQRT((1-2*AY17*1E5/(DATOS!$C$29*100*BO17^2*DATOS!$C$21))))*DATOS!$C$21*100*BO17/DATOS!$C$14&gt;DATOS!$C$102*100*BO17,-1,(1-SQRT((1-2*AY17*1E5/(DATOS!$C$29*100*BO17^2*DATOS!$C$21))))*DATOS!$C$21*100*BO17/DATOS!$C$14))))</f>
        <v/>
      </c>
      <c r="BQ17" s="58" t="str">
        <f>IF(V17&lt;&gt;"SÍ","",IF(BP17&lt;0,-1,MAX(BP17,BC17)))</f>
        <v/>
      </c>
      <c r="BR17" s="64" t="str">
        <f>IF(V17&lt;&gt;"SÍ","",IF(AND(BQ17&gt;0,FLOOR(MIN(BD17,100*INDEX(TABLAS!$D$52:$D$58,MIN(MATCH(IF(ISNUMBER(S17),S17,DATOS!$C$138),TABLAS!$B$52:$B$58,0)+0,7))/MAX(BQ17,0.0001)),DATOS!$C$144)&gt;=DATOS!$C$143),INDEX(TABLAS!$B$52:$B$58,MIN(MATCH(IF(ISNUMBER(S17),S17,DATOS!$C$138),TABLAS!$B$52:$B$58,0)+0,7)),IF(AND(BQ17&gt;0,FLOOR(MIN(BD17,100*INDEX(TABLAS!$D$52:$D$58,MIN(MATCH(IF(ISNUMBER(S17),S17,DATOS!$C$138),TABLAS!$B$52:$B$58,0)+1,7))/MAX(BQ17,0.0001)),DATOS!$C$144)&gt;=DATOS!$C$143),INDEX(TABLAS!$B$52:$B$58,MIN(MATCH(IF(ISNUMBER(S17),S17,DATOS!$C$138),TABLAS!$B$52:$B$58,0)+1,7)),IF(AND(BQ17&gt;0,FLOOR(MIN(BD17,100*INDEX(TABLAS!$D$52:$D$58,MIN(MATCH(IF(ISNUMBER(S17),S17,DATOS!$C$138),TABLAS!$B$52:$B$58,0)+2,7))/MAX(BQ17,0.0001)),DATOS!$C$144)&gt;=DATOS!$C$143),INDEX(TABLAS!$B$52:$B$58,MIN(MATCH(IF(ISNUMBER(S17),S17,DATOS!$C$138),TABLAS!$B$52:$B$58,0)+2,7)),IF(AND(BQ17&gt;0,FLOOR(MIN(BD17,100*INDEX(TABLAS!$D$52:$D$58,MIN(MATCH(IF(ISNUMBER(S17),S17,DATOS!$C$138),TABLAS!$B$52:$B$58,0)+3,7))/MAX(BQ17,0.0001)),DATOS!$C$144)&gt;=DATOS!$C$143),INDEX(TABLAS!$B$52:$B$58,MIN(MATCH(IF(ISNUMBER(S17),S17,DATOS!$C$138),TABLAS!$B$52:$B$58,0)+3,7)),IF(AND(BQ17&gt;0,FLOOR(MIN(BD17,100*INDEX(TABLAS!$D$52:$D$58,MIN(MATCH(IF(ISNUMBER(S17),S17,DATOS!$C$138),TABLAS!$B$52:$B$58,0)+4,7))/MAX(BQ17,0.0001)),DATOS!$C$144)&gt;=DATOS!$C$143),INDEX(TABLAS!$B$52:$B$58,MIN(MATCH(IF(ISNUMBER(S17),S17,DATOS!$C$138),TABLAS!$B$52:$B$58,0)+4,7)),INDEX(TABLAS!$B$52:$B$58,7)))))))</f>
        <v/>
      </c>
      <c r="BS17" s="71" t="str">
        <f>IF(V17&lt;&gt;"SÍ","",IF(BQ17&lt;=0,0,FLOOR(MIN(BD17,100*INDEX(TABLAS!$D$52:$D$58,MATCH(BR17,TABLAS!$B$52:$B$58,0))/BQ17),DATOS!$C$144)))</f>
        <v/>
      </c>
      <c r="BT17" s="58" t="str">
        <f>IF(V17&lt;&gt;"SÍ","",IF(BS17&lt;=0,0,INDEX(TABLAS!$D$52:$D$58,MATCH(BR17,TABLAS!$B$52:$B$58,0))*100/BS17))</f>
        <v/>
      </c>
      <c r="BU17" s="58" t="str">
        <f>IF(V17&lt;&gt;"SÍ","",((W17-AF17-INDEX(TABLAS!$C$52:$C$58,MATCH(BR17,TABLAS!$B$52:$B$58,0))/2)-IF(AND((W17-AF17-INDEX(TABLAS!$C$52:$C$58,MATCH(BR17,TABLAS!$B$52:$B$58,0))/2)&lt;=20,DATOS!$C$65&lt;&gt;"SÍ"),2,0)))</f>
        <v/>
      </c>
      <c r="BV17" s="56" t="str">
        <f>IF(V17&lt;&gt;"SÍ","",IF(BT17=0,0,DATOS!$C$29*BT17*DATOS!$C$14*(BU17-BT17*DATOS!$C$14/(DATOS!$C$21*100)/2)/1E5))</f>
        <v/>
      </c>
      <c r="BW17" s="65" t="str">
        <f>IF(V17&lt;&gt;"SÍ","",IF(BQ17&lt;0,9.99,IF(BV17&gt;0,AY17/BV17,0)))</f>
        <v/>
      </c>
      <c r="BX17" s="66" t="str">
        <f>IF(V17&lt;&gt;"SÍ","",IF(BT17=0,"—",0.003*(BU17-(BT17*DATOS!$C$14/(DATOS!$C$21*100)/DATOS!$C$22))/(BT17*DATOS!$C$14/(DATOS!$C$21*100)/DATOS!$C$22)))</f>
        <v/>
      </c>
      <c r="BY17" s="58" t="str">
        <f>IF(V17&lt;&gt;"SÍ","",(W17-AE17-1.5*INDEX(TABLAS!$C$52:$C$58,MATCH(IF(ISNUMBER(S17),S17,DATOS!$C$138),TABLAS!$B$52:$B$58,0))))</f>
        <v/>
      </c>
      <c r="BZ17" s="58" t="str">
        <f>IF(V17&lt;&gt;"SÍ","",IF(AZ17&lt;=0,0,IF((1-2*AZ17*1E5/(DATOS!$C$29*100*BY17^2*DATOS!$C$21))&lt;0,-1,IF((1-SQRT((1-2*AZ17*1E5/(DATOS!$C$29*100*BY17^2*DATOS!$C$21))))*DATOS!$C$21*100*BY17/DATOS!$C$14&gt;DATOS!$C$102*100*BY17,-1,(1-SQRT((1-2*AZ17*1E5/(DATOS!$C$29*100*BY17^2*DATOS!$C$21))))*DATOS!$C$21*100*BY17/DATOS!$C$14))))</f>
        <v/>
      </c>
      <c r="CA17" s="58" t="str">
        <f>IF(V17&lt;&gt;"SÍ","",IF(BZ17&lt;0,-1,MAX(BZ17,BC17)))</f>
        <v/>
      </c>
      <c r="CB17" s="64" t="str">
        <f>IF(V17&lt;&gt;"SÍ","",IF(AND(CA17&gt;0,FLOOR(MIN(BD17,100*INDEX(TABLAS!$D$52:$D$58,MIN(MATCH(IF(ISNUMBER(S17),S17,DATOS!$C$138),TABLAS!$B$52:$B$58,0)+0,7))/MAX(CA17,0.0001)),DATOS!$C$144)&gt;=DATOS!$C$143),INDEX(TABLAS!$B$52:$B$58,MIN(MATCH(IF(ISNUMBER(S17),S17,DATOS!$C$138),TABLAS!$B$52:$B$58,0)+0,7)),IF(AND(CA17&gt;0,FLOOR(MIN(BD17,100*INDEX(TABLAS!$D$52:$D$58,MIN(MATCH(IF(ISNUMBER(S17),S17,DATOS!$C$138),TABLAS!$B$52:$B$58,0)+1,7))/MAX(CA17,0.0001)),DATOS!$C$144)&gt;=DATOS!$C$143),INDEX(TABLAS!$B$52:$B$58,MIN(MATCH(IF(ISNUMBER(S17),S17,DATOS!$C$138),TABLAS!$B$52:$B$58,0)+1,7)),IF(AND(CA17&gt;0,FLOOR(MIN(BD17,100*INDEX(TABLAS!$D$52:$D$58,MIN(MATCH(IF(ISNUMBER(S17),S17,DATOS!$C$138),TABLAS!$B$52:$B$58,0)+2,7))/MAX(CA17,0.0001)),DATOS!$C$144)&gt;=DATOS!$C$143),INDEX(TABLAS!$B$52:$B$58,MIN(MATCH(IF(ISNUMBER(S17),S17,DATOS!$C$138),TABLAS!$B$52:$B$58,0)+2,7)),IF(AND(CA17&gt;0,FLOOR(MIN(BD17,100*INDEX(TABLAS!$D$52:$D$58,MIN(MATCH(IF(ISNUMBER(S17),S17,DATOS!$C$138),TABLAS!$B$52:$B$58,0)+3,7))/MAX(CA17,0.0001)),DATOS!$C$144)&gt;=DATOS!$C$143),INDEX(TABLAS!$B$52:$B$58,MIN(MATCH(IF(ISNUMBER(S17),S17,DATOS!$C$138),TABLAS!$B$52:$B$58,0)+3,7)),IF(AND(CA17&gt;0,FLOOR(MIN(BD17,100*INDEX(TABLAS!$D$52:$D$58,MIN(MATCH(IF(ISNUMBER(S17),S17,DATOS!$C$138),TABLAS!$B$52:$B$58,0)+4,7))/MAX(CA17,0.0001)),DATOS!$C$144)&gt;=DATOS!$C$143),INDEX(TABLAS!$B$52:$B$58,MIN(MATCH(IF(ISNUMBER(S17),S17,DATOS!$C$138),TABLAS!$B$52:$B$58,0)+4,7)),INDEX(TABLAS!$B$52:$B$58,7)))))))</f>
        <v/>
      </c>
      <c r="CC17" s="71" t="str">
        <f>IF(V17&lt;&gt;"SÍ","",IF(CA17&lt;=0,0,FLOOR(MIN(BD17,100*INDEX(TABLAS!$D$52:$D$58,MATCH(CB17,TABLAS!$B$52:$B$58,0))/CA17),DATOS!$C$144)))</f>
        <v/>
      </c>
      <c r="CD17" s="58" t="str">
        <f>IF(V17&lt;&gt;"SÍ","",IF(CC17&lt;=0,0,INDEX(TABLAS!$D$52:$D$58,MATCH(CB17,TABLAS!$B$52:$B$58,0))*100/CC17))</f>
        <v/>
      </c>
      <c r="CE17" s="58" t="str">
        <f>IF(V17&lt;&gt;"SÍ","",W17-AE17-INDEX(TABLAS!$C$52:$C$58,MATCH(BH17,TABLAS!$B$52:$B$58,0))-INDEX(TABLAS!$C$52:$C$58,MATCH(CB17,TABLAS!$B$52:$B$58,0))/2)</f>
        <v/>
      </c>
      <c r="CF17" s="56" t="str">
        <f>IF(V17&lt;&gt;"SÍ","",IF(CD17=0,0,DATOS!$C$29*CD17*DATOS!$C$14*(CE17-CD17*DATOS!$C$14/(DATOS!$C$21*100)/2)/1E5))</f>
        <v/>
      </c>
      <c r="CG17" s="65" t="str">
        <f>IF(V17&lt;&gt;"SÍ","",IF(CA17&lt;0,9.99,IF(CF17&gt;0,AZ17/CF17,0)))</f>
        <v/>
      </c>
      <c r="CH17" s="66" t="str">
        <f>IF(V17&lt;&gt;"SÍ","",IF(CD17=0,"—",0.003*(CE17-(CD17*DATOS!$C$14/(DATOS!$C$21*100)/DATOS!$C$22))/(CD17*DATOS!$C$14/(DATOS!$C$21*100)/DATOS!$C$22)))</f>
        <v/>
      </c>
      <c r="CI17" s="58" t="str">
        <f>IF(V17&lt;&gt;"SÍ","",((W17-AF17-1.5*INDEX(TABLAS!$C$52:$C$58,MATCH(IF(ISNUMBER(S17),S17,DATOS!$C$138),TABLAS!$B$52:$B$58,0)))-IF(AND((W17-AF17-1.5*INDEX(TABLAS!$C$52:$C$58,MATCH(IF(ISNUMBER(S17),S17,DATOS!$C$138),TABLAS!$B$52:$B$58,0)))&lt;=20,DATOS!$C$65&lt;&gt;"SÍ"),2,0)))</f>
        <v/>
      </c>
      <c r="CJ17" s="58" t="str">
        <f>IF(V17&lt;&gt;"SÍ","",IF(BA17&lt;=0,0,IF((1-2*BA17*1E5/(DATOS!$C$29*100*CI17^2*DATOS!$C$21))&lt;0,-1,IF((1-SQRT((1-2*BA17*1E5/(DATOS!$C$29*100*CI17^2*DATOS!$C$21))))*DATOS!$C$21*100*CI17/DATOS!$C$14&gt;DATOS!$C$102*100*CI17,-1,(1-SQRT((1-2*BA17*1E5/(DATOS!$C$29*100*CI17^2*DATOS!$C$21))))*DATOS!$C$21*100*CI17/DATOS!$C$14))))</f>
        <v/>
      </c>
      <c r="CK17" s="58" t="str">
        <f>IF(V17&lt;&gt;"SÍ","",IF(CJ17&lt;0,-1,MAX(CJ17,BC17)))</f>
        <v/>
      </c>
      <c r="CL17" s="64" t="str">
        <f>IF(V17&lt;&gt;"SÍ","",IF(AND(CK17&gt;0,FLOOR(MIN(BD17,100*INDEX(TABLAS!$D$52:$D$58,MIN(MATCH(IF(ISNUMBER(S17),S17,DATOS!$C$138),TABLAS!$B$52:$B$58,0)+0,7))/MAX(CK17,0.0001)),DATOS!$C$144)&gt;=DATOS!$C$143),INDEX(TABLAS!$B$52:$B$58,MIN(MATCH(IF(ISNUMBER(S17),S17,DATOS!$C$138),TABLAS!$B$52:$B$58,0)+0,7)),IF(AND(CK17&gt;0,FLOOR(MIN(BD17,100*INDEX(TABLAS!$D$52:$D$58,MIN(MATCH(IF(ISNUMBER(S17),S17,DATOS!$C$138),TABLAS!$B$52:$B$58,0)+1,7))/MAX(CK17,0.0001)),DATOS!$C$144)&gt;=DATOS!$C$143),INDEX(TABLAS!$B$52:$B$58,MIN(MATCH(IF(ISNUMBER(S17),S17,DATOS!$C$138),TABLAS!$B$52:$B$58,0)+1,7)),IF(AND(CK17&gt;0,FLOOR(MIN(BD17,100*INDEX(TABLAS!$D$52:$D$58,MIN(MATCH(IF(ISNUMBER(S17),S17,DATOS!$C$138),TABLAS!$B$52:$B$58,0)+2,7))/MAX(CK17,0.0001)),DATOS!$C$144)&gt;=DATOS!$C$143),INDEX(TABLAS!$B$52:$B$58,MIN(MATCH(IF(ISNUMBER(S17),S17,DATOS!$C$138),TABLAS!$B$52:$B$58,0)+2,7)),IF(AND(CK17&gt;0,FLOOR(MIN(BD17,100*INDEX(TABLAS!$D$52:$D$58,MIN(MATCH(IF(ISNUMBER(S17),S17,DATOS!$C$138),TABLAS!$B$52:$B$58,0)+3,7))/MAX(CK17,0.0001)),DATOS!$C$144)&gt;=DATOS!$C$143),INDEX(TABLAS!$B$52:$B$58,MIN(MATCH(IF(ISNUMBER(S17),S17,DATOS!$C$138),TABLAS!$B$52:$B$58,0)+3,7)),IF(AND(CK17&gt;0,FLOOR(MIN(BD17,100*INDEX(TABLAS!$D$52:$D$58,MIN(MATCH(IF(ISNUMBER(S17),S17,DATOS!$C$138),TABLAS!$B$52:$B$58,0)+4,7))/MAX(CK17,0.0001)),DATOS!$C$144)&gt;=DATOS!$C$143),INDEX(TABLAS!$B$52:$B$58,MIN(MATCH(IF(ISNUMBER(S17),S17,DATOS!$C$138),TABLAS!$B$52:$B$58,0)+4,7)),INDEX(TABLAS!$B$52:$B$58,7)))))))</f>
        <v/>
      </c>
      <c r="CM17" s="71" t="str">
        <f>IF(V17&lt;&gt;"SÍ","",IF(CK17&lt;=0,0,FLOOR(MIN(BD17,100*INDEX(TABLAS!$D$52:$D$58,MATCH(CL17,TABLAS!$B$52:$B$58,0))/CK17),DATOS!$C$144)))</f>
        <v/>
      </c>
      <c r="CN17" s="58" t="str">
        <f>IF(V17&lt;&gt;"SÍ","",IF(CM17&lt;=0,0,INDEX(TABLAS!$D$52:$D$58,MATCH(CL17,TABLAS!$B$52:$B$58,0))*100/CM17))</f>
        <v/>
      </c>
      <c r="CO17" s="58" t="str">
        <f>IF(V17&lt;&gt;"SÍ","",((W17-AF17-INDEX(TABLAS!$C$52:$C$58,MATCH(BR17,TABLAS!$B$52:$B$58,0))-INDEX(TABLAS!$C$52:$C$58,MATCH(CL17,TABLAS!$B$52:$B$58,0))/2)-IF(AND((W17-AF17-INDEX(TABLAS!$C$52:$C$58,MATCH(BR17,TABLAS!$B$52:$B$58,0))-INDEX(TABLAS!$C$52:$C$58,MATCH(CL17,TABLAS!$B$52:$B$58,0))/2)&lt;=20,DATOS!$C$65&lt;&gt;"SÍ"),2,0)))</f>
        <v/>
      </c>
      <c r="CP17" s="56" t="str">
        <f>IF(V17&lt;&gt;"SÍ","",IF(CN17=0,0,DATOS!$C$29*CN17*DATOS!$C$14*(CO17-CN17*DATOS!$C$14/(DATOS!$C$21*100)/2)/1E5))</f>
        <v/>
      </c>
      <c r="CQ17" s="65" t="str">
        <f>IF(V17&lt;&gt;"SÍ","",IF(CK17&lt;0,9.99,IF(CP17&gt;0,BA17/CP17,0)))</f>
        <v/>
      </c>
      <c r="CR17" s="66" t="str">
        <f>IF(V17&lt;&gt;"SÍ","",IF(CN17=0,"—",0.003*(CO17-(CN17*DATOS!$C$14/(DATOS!$C$21*100)/DATOS!$C$22))/(CN17*DATOS!$C$14/(DATOS!$C$21*100)/DATOS!$C$22)))</f>
        <v/>
      </c>
      <c r="CS17" s="56" t="str">
        <f>IF(V17&lt;&gt;"SÍ","",IF(C17="PERIMETRAL",MAX(0,(AC17/2-BU17)/100)*(0.95-0.5*AB17)*AK17*IF(AND(AL17&gt;0,AL17&lt;4),DATOS!$C$33,1)/1000,(AK17*MAX(0,AC17-BU17)/100+DATOS!$C$26*N(P17))/1000))</f>
        <v/>
      </c>
      <c r="CT17" s="66" t="str">
        <f>IF(V17&lt;&gt;"SÍ","",BT17/(100*BU17))</f>
        <v/>
      </c>
      <c r="CU17" s="56" t="str">
        <f>IF(V17&lt;&gt;"SÍ","",DATOS!$C$30*2*MIN(1,SQRT(2/(1+0.04*BU17)))*CT17^(1/3)*SQRT(DATOS!$C$13)*100*BU17/1000)</f>
        <v/>
      </c>
      <c r="CV17" s="67" t="str">
        <f>IF(V17&lt;&gt;"SÍ","",IF(CS17&lt;=CU17,"CUMPLE","NO CUMPLE: sube h"))</f>
        <v/>
      </c>
      <c r="CW17" s="58" t="str">
        <f>IF(V17&lt;&gt;"SÍ","",IF(C17="PERIMETRAL",IF(ISNUMBER(R17),R17,DATOS!$C$104),0))</f>
        <v/>
      </c>
      <c r="CX17" s="57" t="str">
        <f>IF(V17&lt;&gt;"SÍ","",IF(C17="PERIMETRAL",IF(CW17&gt;2,MAX(9,AD17*(0.8+DATOS!$C$14/14000)/(36+9*(AD17/MAX(AC17,1)))),IF(CW17&gt;0.2,MAX(13,AD17*(0.8+DATOS!$C$14/14000)/(36+5*(AD17/MAX(AC17,1))*(CW17-0.2))),MAX(13,AD17/IF(AL17&gt;0,30,33))))*IF(AND(CW17&gt;0.2,AL17&gt;0,DATOS!$C$105="NO"),1.1,1),Z17*100/DATOS!$C$145*(0.4+DATOS!$C$14/7000)))</f>
        <v/>
      </c>
      <c r="CY17" s="61" t="str">
        <f>IF(V17&lt;&gt;"SÍ","",IF(W17&gt;=CX17-0.001,"CUMPLE",IF(C17="VOLADO","NO CUMPLE","CALCULAR FLECHA")))</f>
        <v/>
      </c>
      <c r="CZ17" s="60" t="str">
        <f>IF(V17&lt;&gt;"SÍ","",IF(C17="VOLADO",MIN(FLOOR(IF(ISNUMBER(Q17),Q17,Z17)*100-DATOS!$C$63,5),CEILING(MAX(IF((0.5*(0.9*W17/100*DATOS!$C$16)*IF(ISNUMBER(Q17),Q17,Z17)+AY17/IF(ISNUMBER(Q17),Q17,Z17))^2-4*(0.5*(0.9*W17/100*DATOS!$C$16))*AY17&lt;0,IF(ISNUMBER(Q17),Q17,Z17),MIN(IF(ISNUMBER(Q17),Q17,Z17),((0.5*(0.9*W17/100*DATOS!$C$16)*IF(ISNUMBER(Q17),Q17,Z17)+AY17/IF(ISNUMBER(Q17),Q17,Z17))-SQRT((0.5*(0.9*W17/100*DATOS!$C$16)*IF(ISNUMBER(Q17),Q17,Z17)+AY17/IF(ISNUMBER(Q17),Q17,Z17))^2-4*(0.5*(0.9*W17/100*DATOS!$C$16))*AY17))/(2*(0.5*(0.9*W17/100*DATOS!$C$16)))))*100+MAX(BU17,12*INDEX(TABLAS!$C$52:$C$58,MATCH(BR17,TABLAS!$B$52:$B$58,0)),IF(ISNUMBER(Q17),Q17,Z17)*100/16),IF(OR(AF17&lt;INDEX(TABLAS!$C$52:$C$58,MATCH(BR17,TABLAS!$B$52:$B$58,0)),BS17-INDEX(TABLAS!$C$52:$C$58,MATCH(BR17,TABLAS!$B$52:$B$58,0))&lt;2*INDEX(TABLAS!$C$52:$C$58,MATCH(BR17,TABLAS!$B$52:$B$58,0))),INDEX(TABLAS!$I$52:$I$58,MATCH(BR17,TABLAS!$B$52:$B$58,0)),INDEX(TABLAS!$F$52:$F$58,MATCH(BR17,TABLAS!$B$52:$B$58,0)))),5)),IF(((4*((AV17*AK17*Z17^2*1E-4/1000)+((MAX(AR17,AT17)*AK17*Z17^2*1E-4/1000)+(IF(AND(AR17&gt;0,AT17&gt;0),MIN(AR17,AT17),MAX(AR17,AT17))*AK17*Z17^2*1E-4/1000))/2)+AY17-(IF(AND(AR17&gt;0,AT17&gt;0),MIN(AR17,AT17),MAX(AR17,AT17))*AK17*Z17^2*1E-4/1000))^2-16*((AV17*AK17*Z17^2*1E-4/1000)+((MAX(AR17,AT17)*AK17*Z17^2*1E-4/1000)+(IF(AND(AR17&gt;0,AT17&gt;0),MIN(AR17,AT17),MAX(AR17,AT17))*AK17*Z17^2*1E-4/1000))/2)*AY17)&lt;0,CEILING(AC17,5),CEILING(MAX(AC17*((4*((AV17*AK17*Z17^2*1E-4/1000)+((MAX(AR17,AT17)*AK17*Z17^2*1E-4/1000)+(IF(AND(AR17&gt;0,AT17&gt;0),MIN(AR17,AT17),MAX(AR17,AT17))*AK17*Z17^2*1E-4/1000))/2)+AY17-(IF(AND(AR17&gt;0,AT17&gt;0),MIN(AR17,AT17),MAX(AR17,AT17))*AK17*Z17^2*1E-4/1000))-SQRT(MAX(0,((4*((AV17*AK17*Z17^2*1E-4/1000)+((MAX(AR17,AT17)*AK17*Z17^2*1E-4/1000)+(IF(AND(AR17&gt;0,AT17&gt;0),MIN(AR17,AT17),MAX(AR17,AT17))*AK17*Z17^2*1E-4/1000))/2)+AY17-(IF(AND(AR17&gt;0,AT17&gt;0),MIN(AR17,AT17),MAX(AR17,AT17))*AK17*Z17^2*1E-4/1000))^2-16*((AV17*AK17*Z17^2*1E-4/1000)+((MAX(AR17,AT17)*AK17*Z17^2*1E-4/1000)+(IF(AND(AR17&gt;0,AT17&gt;0),MIN(AR17,AT17),MAX(AR17,AT17))*AK17*Z17^2*1E-4/1000))/2)*AY17))))/(8*MAX(((AV17*AK17*Z17^2*1E-4/1000)+((MAX(AR17,AT17)*AK17*Z17^2*1E-4/1000)+(IF(AND(AR17&gt;0,AT17&gt;0),MIN(AR17,AT17),MAX(AR17,AT17))*AK17*Z17^2*1E-4/1000))/2),1E-9))+MAX(BU17,12*INDEX(TABLAS!$C$52:$C$58,MATCH(BR17,TABLAS!$B$52:$B$58,0)),AC17/16),IF(OR(AF17&lt;INDEX(TABLAS!$C$52:$C$58,MATCH(BR17,TABLAS!$B$52:$B$58,0)),BS17-INDEX(TABLAS!$C$52:$C$58,MATCH(BR17,TABLAS!$B$52:$B$58,0))&lt;2*INDEX(TABLAS!$C$52:$C$58,MATCH(BR17,TABLAS!$B$52:$B$58,0))),INDEX(TABLAS!$I$52:$I$58,MATCH(BR17,TABLAS!$B$52:$B$58,0)),INDEX(TABLAS!$F$52:$F$58,MATCH(BR17,TABLAS!$B$52:$B$58,0)))),5))))</f>
        <v/>
      </c>
      <c r="DA17" s="60" t="str">
        <f>IF(V17&lt;&gt;"SÍ","",IF(C17="VOLADO",0,IF(((4*((AW17*AK17*Z17^2*1E-4/1000)+((MAX(AS17,AU17)*AK17*Z17^2*1E-4/1000)+(IF(AND(AS17&gt;0,AU17&gt;0),MIN(AS17,AU17),MAX(AS17,AU17))*AK17*Z17^2*1E-4/1000))/2)+BA17-(IF(AND(AS17&gt;0,AU17&gt;0),MIN(AS17,AU17),MAX(AS17,AU17))*AK17*Z17^2*1E-4/1000))^2-16*((AW17*AK17*Z17^2*1E-4/1000)+((MAX(AS17,AU17)*AK17*Z17^2*1E-4/1000)+(IF(AND(AS17&gt;0,AU17&gt;0),MIN(AS17,AU17),MAX(AS17,AU17))*AK17*Z17^2*1E-4/1000))/2)*BA17)&lt;0,CEILING(AD17,5),CEILING(MAX(AD17*((4*((AW17*AK17*Z17^2*1E-4/1000)+((MAX(AS17,AU17)*AK17*Z17^2*1E-4/1000)+(IF(AND(AS17&gt;0,AU17&gt;0),MIN(AS17,AU17),MAX(AS17,AU17))*AK17*Z17^2*1E-4/1000))/2)+BA17-(IF(AND(AS17&gt;0,AU17&gt;0),MIN(AS17,AU17),MAX(AS17,AU17))*AK17*Z17^2*1E-4/1000))-SQRT(MAX(0,((4*((AW17*AK17*Z17^2*1E-4/1000)+((MAX(AS17,AU17)*AK17*Z17^2*1E-4/1000)+(IF(AND(AS17&gt;0,AU17&gt;0),MIN(AS17,AU17),MAX(AS17,AU17))*AK17*Z17^2*1E-4/1000))/2)+BA17-(IF(AND(AS17&gt;0,AU17&gt;0),MIN(AS17,AU17),MAX(AS17,AU17))*AK17*Z17^2*1E-4/1000))^2-16*((AW17*AK17*Z17^2*1E-4/1000)+((MAX(AS17,AU17)*AK17*Z17^2*1E-4/1000)+(IF(AND(AS17&gt;0,AU17&gt;0),MIN(AS17,AU17),MAX(AS17,AU17))*AK17*Z17^2*1E-4/1000))/2)*BA17))))/(8*MAX(((AW17*AK17*Z17^2*1E-4/1000)+((MAX(AS17,AU17)*AK17*Z17^2*1E-4/1000)+(IF(AND(AS17&gt;0,AU17&gt;0),MIN(AS17,AU17),MAX(AS17,AU17))*AK17*Z17^2*1E-4/1000))/2),1E-9))+MAX(CO17,12*INDEX(TABLAS!$C$52:$C$58,MATCH(CL17,TABLAS!$B$52:$B$58,0)),AD17/16),IF(OR(AF17&lt;INDEX(TABLAS!$C$52:$C$58,MATCH(CL17,TABLAS!$B$52:$B$58,0)),CM17-INDEX(TABLAS!$C$52:$C$58,MATCH(CL17,TABLAS!$B$52:$B$58,0))&lt;2*INDEX(TABLAS!$C$52:$C$58,MATCH(CL17,TABLAS!$B$52:$B$58,0))),INDEX(TABLAS!$I$52:$I$58,MATCH(CL17,TABLAS!$B$52:$B$58,0)),INDEX(TABLAS!$F$52:$F$58,MATCH(CL17,TABLAS!$B$52:$B$58,0)))),5))))</f>
        <v/>
      </c>
      <c r="DB17" s="55" t="str">
        <f>IF(V17&lt;&gt;"SÍ","",IF(AND(C17="PERIMETRAL",AL17-AM17&gt;0,AT17&gt;0),"SÍ","NO"))</f>
        <v/>
      </c>
      <c r="DC17" s="55" t="str">
        <f>IF(V17&lt;&gt;"SÍ","",IF(AND(C17="PERIMETRAL",AM17&gt;0,AU17&gt;0),"SÍ","NO"))</f>
        <v/>
      </c>
      <c r="DD17" s="63" t="str">
        <f>IF(V17&lt;&gt;"SÍ","",IF(OR(C17="VOLADO",AL17=0),"—",IF(AND(AND(INDEX(TABLAS!$G$52:$G$58,MATCH(MAX(BR17,CL17),TABLAS!$B$52:$B$58,0))&lt;=(DATOS!$C$75-DATOS!$C$63),(DATOS!$C$75-DATOS!$C$63)&gt;=15),8*INDEX(TABLAS!$C$52:$C$58,MATCH(MAX(BH17,CB17,BR17,CL17),TABLAS!$B$52:$B$58,0))&lt;=DATOS!$C$76-2*DATOS!$C$63),"CUMPLE (gancho de 180°)",IF(AND(INDEX(TABLAS!$G$52:$G$58,MATCH(MAX(BR17,CL17),TABLAS!$B$52:$B$58,0))&lt;=(DATOS!$C$75-DATOS!$C$63),(DATOS!$C$75-DATOS!$C$63)&gt;=15),"NO CUMPLE: el gancho de 180° (8·d_b) no cabe en el peralte de la dala de borde","NO CUMPLE: dala de borde ≥ "&amp;TEXT(CEILING(MAX(INDEX(TABLAS!$G$52:$G$58,MATCH(MAX(BR17,CL17),TABLAS!$B$52:$B$58,0)),15)+DATOS!$C$63,5),"0")&amp;" cm de ancho"&amp;IF(8*INDEX(TABLAS!$C$52:$C$58,MATCH(MAX(BH17,CB17,BR17,CL17),TABLAS!$B$52:$B$58,0))&lt;=DATOS!$C$76-2*DATOS!$C$63,""," y más peralte para el gancho")))))</f>
        <v/>
      </c>
      <c r="DE17" s="69" t="str">
        <f>IF(V17&lt;&gt;"SÍ","",IF(BI17=0,"NO ALCANZA","No. "&amp;BH17&amp;" @ "&amp;BI17&amp;" cm"&amp;IF(C17="VOLADO"," (temperatura)","")))</f>
        <v/>
      </c>
      <c r="DF17" s="69" t="str">
        <f>IF(V17&lt;&gt;"SÍ","",IF(BS17=0,"NO ALCANZA",IF(C17="VOLADO","No. "&amp;BR17&amp;" @ "&amp;BS17&amp;" cm"&amp;" de la orilla al respaldo ("&amp;IF(CZ17&gt;=FLOOR(100*IF(ISNUMBER(Q17),Q17,Z17)-DATOS!$C$63,5),"hasta su apoyo lejano, con gancho","entran "&amp;TEXT(CZ17/100,"0.00")&amp;" m desde el paño")&amp;")","Bastones "&amp;"No. "&amp;BR17&amp;" @ "&amp;BS17&amp;" cm"&amp;", L = "&amp;TEXT(CZ17/100,"0.00")&amp;" m desde el paño")))</f>
        <v/>
      </c>
      <c r="DG17" s="69" t="str">
        <f>IF(V17&lt;&gt;"SÍ","",IF(CC17=0,"NO ALCANZA","No. "&amp;CB17&amp;" @ "&amp;CC17&amp;" cm"&amp;IF(C17="VOLADO"," (repartición)","")))</f>
        <v/>
      </c>
      <c r="DH17" s="69" t="str">
        <f>IF(V17&lt;&gt;"SÍ","",IF(CM17=0,"NO ALCANZA",IF(C17="VOLADO","No. "&amp;CL17&amp;" @ "&amp;CM17&amp;" cm"&amp;" (repartición)","Bastones "&amp;"No. "&amp;CL17&amp;" @ "&amp;CM17&amp;" cm"&amp;", L = "&amp;TEXT(DA17/100,"0.00")&amp;" m desde el paño")))</f>
        <v/>
      </c>
      <c r="DI17" s="67" t="str">
        <f>IF(B17="","",IF(V17&lt;&gt;"SÍ","FALTAN DATOS: tipo, a_x, a_y, destino y, en volados, L_b",IF(L17="NO MONOLÍTICO (caso II)","FUERA DE ALCANCE: caso II no transcrito",IF(AND(C17="VOLADO",X17="?"),"REVISAR: el volado lleva UN solo borde CONTINUO (el empotrado)",IF(AND(MAX(BM17,BW17,CG17,CQ17)&lt;=1,NOT(OR(BI17&lt;DATOS!$C$143,BS17&lt;DATOS!$C$143,CC17&lt;DATOS!$C$143,CM17&lt;DATOS!$C$143)),NOT(OR(AND(ISNUMBER(BN17),BN17&lt;0.005),AND(ISNUMBER(BX17),BX17&lt;0.005),AND(ISNUMBER(CH17),CH17&lt;0.005),AND(ISNUMBER(CR17),CR17&lt;0.005))),CV17="CUMPLE",CY17="CUMPLE"),"CUMPLE"&amp;IF(LEFT(BB17,5)="FUERA"," · fuera de 3.4.2.1 c)","")&amp;IF(LEFT(DD17,2)="NO"," · REVISAR anclaje en borde discontinuo",""),IF(AND(MAX(BM17,BW17,CG17,CQ17)&lt;=1,NOT(OR(BI17&lt;DATOS!$C$143,BS17&lt;DATOS!$C$143,CC17&lt;DATOS!$C$143,CM17&lt;DATOS!$C$143)),NOT(OR(AND(ISNUMBER(BN17),BN17&lt;0.005),AND(ISNUMBER(BX17),BX17&lt;0.005),AND(ISNUMBER(CH17),CH17&lt;0.005),AND(ISNUMBER(CR17),CR17&lt;0.005))),CV17="CUMPLE",CY17="CALCULAR FLECHA"),"REVISAR: calcular flecha (h &lt; h mín.)"&amp;IF(LEFT(BB17,5)="FUERA"," · fuera de 3.4.2.1 c)","")&amp;IF(LEFT(DD17,2)="NO"," · REVISAR anclaje en borde discontinuo",""),"NO CUMPLE: "&amp;IF(MAX(BM17,BW17,CG17,CQ17)&gt;1,"flexión ","")&amp;IF(OR(BI17&lt;DATOS!$C$143,BS17&lt;DATOS!$C$143,CC17&lt;DATOS!$C$143,CM17&lt;DATOS!$C$143),"separación &lt; mínima ","")&amp;IF(OR(AND(ISNUMBER(BN17),BN17&lt;0.005),AND(ISNUMBER(BX17),BX17&lt;0.005),AND(ISNUMBER(CH17),CH17&lt;0.005),AND(ISNUMBER(CR17),CR17&lt;0.005)),"ε_t &lt; 0.005 ","")&amp;IF(CV17&lt;&gt;"CUMPLE","cortante ","")&amp;IF(CY17="NO CUMPLE","peralte","")))))))</f>
        <v/>
      </c>
      <c r="DJ17" s="70" t="str">
        <f>IF(V17&lt;&gt;"SÍ","",IF(LEFT(B17,7)="EJEMPLO","EJEMPLO de tablero típico: bórralo o sobrescríbelo. ","")&amp;IF(C17="VOLADO","Volado de "&amp;TEXT(Z17,"0.00")&amp;" m empotrado en el borde "&amp;LOWER(X17)&amp;IF(N(P17)&gt;0,", con "&amp;TEXT(P17,"0.0")&amp;" kg/m en la orilla","")&amp;". Lecho inferior con r_ext. Si la orilla carga pretil u otro elemento frágil, calcula la flecha (13.4). El acero superior entra al respaldo de "&amp;TEXT(IF(ISNUMBER(Q17),Q17,Z17),"0.00")&amp;" m"&amp;" hasta pasar M = 0 con 0.9·PP sin carga viva; si ahí no se anula, llega al apoyo lejano y se ancla con gancho. ","")&amp;IF(AND(C17="VOLADO",(0.9*W17/100*DATOS!$C$16*IF(ISNUMBER(Q17),Q17,Z17)/2-AY17/IF(ISNUMBER(Q17),Q17,Z17))&lt;0),"Con 0.9·PP y sin carga viva el apoyo lejano del respaldo levanta (R = "&amp;TEXT(-(0.9*W17/100*DATOS!$C$16*IF(ISNUMBER(Q17),Q17,Z17)/2-AY17/IF(ISNUMBER(Q17),Q17,Z17)),"0.00")&amp;" t/m): ancla ahí el acero con gancho y revisa ese apoyo a tensión. ","")&amp;IF(LEFT(BB17,5)="FUERA","El M⁻ del vecino difiere más de 50 % (3.4.2.1 c): distribuye el desequilibrio (3.4.3.1) o confirma con un modelo; se arma con el mayor. ","")&amp;IF(OR(DB17="SÍ",DC17="SÍ"),"Bastones también en los bordes discontinuos (M⁻ de tabla), con gancho. ","")&amp;IF(LEFT(DD17,2)="NO","Anclaje: "&amp;DD17&amp;" (6.7.7.4.1.1). ","")&amp;IF(AND(C17="PERIMETRAL",AM17&gt;=1,AL17-AM17&gt;=1),"Esquinas exteriores sobre muro: refuerzo de esquina arriba y abajo en L_largo/5 (6.7.7.3.1). ",""))</f>
        <v/>
      </c>
    </row>
    <row r="18" ht="33" customHeight="1">
      <c r="A18" s="50">
        <f>IF(B18="",0,1)+A17</f>
        <v>3</v>
      </c>
      <c r="B18" s="29" t="n"/>
      <c r="C18" s="51" t="n"/>
      <c r="D18" s="29" t="n"/>
      <c r="E18" s="52" t="n"/>
      <c r="F18" s="52" t="n"/>
      <c r="G18" s="51" t="n"/>
      <c r="H18" s="51" t="n"/>
      <c r="I18" s="51" t="n"/>
      <c r="J18" s="51" t="n"/>
      <c r="K18" s="51" t="n"/>
      <c r="L18" s="51" t="n"/>
      <c r="M18" s="54" t="n"/>
      <c r="N18" s="53" t="n"/>
      <c r="O18" s="53" t="n"/>
      <c r="P18" s="54" t="n"/>
      <c r="Q18" s="52" t="n"/>
      <c r="R18" s="54" t="n"/>
      <c r="S18" s="53" t="n"/>
      <c r="T18" s="52" t="n"/>
      <c r="U18" s="52" t="n"/>
      <c r="V18" s="55" t="str">
        <f>IF(B18="","",IF(AND(OR(C18="PERIMETRAL",C18="VOLADO"),ISNUMBER(E18),ISNUMBER(F18),E18&gt;0,F18&gt;0,OR(ISNUMBER(O18),ISNUMBER(MATCH(D18,DATOS!$B$46:$B$58,0))),OR(C18&lt;&gt;"VOLADO",N(Q18)&gt;0)),"SÍ","NO"))</f>
        <v/>
      </c>
      <c r="W18" s="57" t="str">
        <f>IF(V18&lt;&gt;"SÍ","",IF(ISNUMBER(M18),M18,DATOS!$C$137))</f>
        <v/>
      </c>
      <c r="X18" s="55" t="str">
        <f>IF(V18&lt;&gt;"SÍ","",IF(C18&lt;&gt;"VOLADO","—",IF(COUNTIF(G18:J18,"CONTINUO")&lt;&gt;1,"?",IF(G18="CONTINUO","INFERIOR",IF(H18="CONTINUO","SUPERIOR",IF(I18="CONTINUO","IZQUIERDO","DERECHO"))))))</f>
        <v/>
      </c>
      <c r="Y18" s="55" t="str">
        <f>IF(V18&lt;&gt;"SÍ","",IF(C18="VOLADO",IF(OR(X18="IZQUIERDO",X18="DERECHO"),"X","Y"),IF(E18&lt;=F18,"X","Y")))</f>
        <v/>
      </c>
      <c r="Z18" s="56" t="str">
        <f>IF(V18&lt;&gt;"SÍ","",IF(C18="VOLADO",IF(Y18="X",E18,F18),MIN(E18,F18)))</f>
        <v/>
      </c>
      <c r="AA18" s="56" t="str">
        <f>IF(V18&lt;&gt;"SÍ","",IF(C18="VOLADO",IF(Y18="X",F18,E18),MAX(E18,F18)))</f>
        <v/>
      </c>
      <c r="AB18" s="56" t="str">
        <f>IF(V18&lt;&gt;"SÍ","",MIN(Z18,AA18)/MAX(Z18,AA18))</f>
        <v/>
      </c>
      <c r="AC18" s="57" t="str">
        <f>IF(V18&lt;&gt;"SÍ","",MAX(1,Z18*100-IF(C18="VOLADO",DATOS!$C$87/2,DATOS!$C$87)))</f>
        <v/>
      </c>
      <c r="AD18" s="57" t="str">
        <f>IF(V18&lt;&gt;"SÍ","",MAX(1,AA18*100-DATOS!$C$87))</f>
        <v/>
      </c>
      <c r="AE18" s="57" t="str">
        <f>IF(V18&lt;&gt;"SÍ","",IF(C18="VOLADO",DATOS!$C$64,DATOS!$C$62))</f>
        <v/>
      </c>
      <c r="AF18" s="57" t="str">
        <f>IF(V18&lt;&gt;"SÍ","",IF(OR(AND(AG18="SÍ",DATOS!$C$66="SÍ"),AND(C18="VOLADO",DATOS!$C$67="SÍ")),DATOS!$C$64,DATOS!$C$62))</f>
        <v/>
      </c>
      <c r="AG18" s="55" t="str">
        <f>IF(V18&lt;&gt;"SÍ","",IFERROR(INDEX(DATOS!$D$46:$D$58,MATCH(D18,DATOS!$B$46:$B$58,0)),"NO"))</f>
        <v/>
      </c>
      <c r="AH18" s="59" t="str">
        <f>IF(V18&lt;&gt;"SÍ","",IF(ISNUMBER(O18),O18,IFERROR(INDEX(DATOS!$C$46:$C$58,MATCH(D18,DATOS!$B$46:$B$58,0)),0)))</f>
        <v/>
      </c>
      <c r="AI18" s="59" t="str">
        <f>IF(V18&lt;&gt;"SÍ","",W18/100*DATOS!$C$16*1000+DATOS!$C$37+DATOS!$C$38)</f>
        <v/>
      </c>
      <c r="AJ18" s="59" t="str">
        <f>IF(V18&lt;&gt;"SÍ","",AI18+N(N18))</f>
        <v/>
      </c>
      <c r="AK18" s="60" t="str">
        <f>IF(V18&lt;&gt;"SÍ","",MAX(DATOS!$C$26*AJ18+DATOS!$C$27*AH18,IF(AG18="SÍ",DATOS!$C$28*(AJ18+DATOS!$C$41),0)))</f>
        <v/>
      </c>
      <c r="AL18" s="59" t="str">
        <f>IF(V18&lt;&gt;"SÍ","",(G18="DISCONTINUO")+(H18="DISCONTINUO")+(I18="DISCONTINUO")+(J18="DISCONTINUO"))</f>
        <v/>
      </c>
      <c r="AM18" s="59" t="str">
        <f>IF(V18&lt;&gt;"SÍ","",IF(Y18="X",(G18="DISCONTINUO")+(H18="DISCONTINUO"),(I18="DISCONTINUO")+(J18="DISCONTINUO")))</f>
        <v/>
      </c>
      <c r="AN18" s="55" t="str">
        <f>IF(V18&lt;&gt;"SÍ","",IF(AL18=0,"INTERIOR",IF(AL18=1,IF(AM18=1,"BORDE-CORTO","BORDE-LARGO"),IF(AL18=2,IF(AM18=1,"ESQUINA",IF(AM18=2,"EXTREMO-LARGO","EXTREMO-CORTO")),IF(AL18=3,IF(AM18=2,"EXTREMO-LARGO","EXTREMO-CORTO"),"AISLADO")))))</f>
        <v/>
      </c>
      <c r="AO18" s="61" t="str">
        <f>IF(V18&lt;&gt;"SÍ","",IF(OR(K18="",K18="AUTO"),AN18,K18))</f>
        <v/>
      </c>
      <c r="AP18" s="59" t="str">
        <f>IF(V18&lt;&gt;"SÍ","",MATCH(AB18,TABLAS!$D$5:$J$5,1))</f>
        <v/>
      </c>
      <c r="AQ18" s="58" t="str">
        <f>IF(V18&lt;&gt;"SÍ","",IF(AP18&gt;=7,0,(AB18-INDEX(TABLAS!$D$5:$J$5,AP18))/(INDEX(TABLAS!$D$5:$J$5,AP18+1)-INDEX(TABLAS!$D$5:$J$5,AP18))))</f>
        <v/>
      </c>
      <c r="AR18" s="59" t="str">
        <f>IF(V18&lt;&gt;"SÍ","",INDEX(TABLAS!$D$6:$J$47,MATCH(AO18&amp;"|NIC",TABLAS!$B$6:$B$47,0),AP18)+AQ18*(INDEX(TABLAS!$D$6:$J$47,MATCH(AO18&amp;"|NIC",TABLAS!$B$6:$B$47,0),MIN(AP18+1,7))-INDEX(TABLAS!$D$6:$J$47,MATCH(AO18&amp;"|NIC",TABLAS!$B$6:$B$47,0),AP18)))</f>
        <v/>
      </c>
      <c r="AS18" s="59" t="str">
        <f>IF(V18&lt;&gt;"SÍ","",INDEX(TABLAS!$D$6:$J$47,MATCH(AO18&amp;"|NIL",TABLAS!$B$6:$B$47,0),AP18)+AQ18*(INDEX(TABLAS!$D$6:$J$47,MATCH(AO18&amp;"|NIL",TABLAS!$B$6:$B$47,0),MIN(AP18+1,7))-INDEX(TABLAS!$D$6:$J$47,MATCH(AO18&amp;"|NIL",TABLAS!$B$6:$B$47,0),AP18)))</f>
        <v/>
      </c>
      <c r="AT18" s="59" t="str">
        <f>IF(V18&lt;&gt;"SÍ","",INDEX(TABLAS!$D$6:$J$47,MATCH(AO18&amp;"|NDC",TABLAS!$B$6:$B$47,0),AP18)+AQ18*(INDEX(TABLAS!$D$6:$J$47,MATCH(AO18&amp;"|NDC",TABLAS!$B$6:$B$47,0),MIN(AP18+1,7))-INDEX(TABLAS!$D$6:$J$47,MATCH(AO18&amp;"|NDC",TABLAS!$B$6:$B$47,0),AP18)))</f>
        <v/>
      </c>
      <c r="AU18" s="59" t="str">
        <f>IF(V18&lt;&gt;"SÍ","",INDEX(TABLAS!$D$6:$J$47,MATCH(AO18&amp;"|NDL",TABLAS!$B$6:$B$47,0),AP18)+AQ18*(INDEX(TABLAS!$D$6:$J$47,MATCH(AO18&amp;"|NDL",TABLAS!$B$6:$B$47,0),MIN(AP18+1,7))-INDEX(TABLAS!$D$6:$J$47,MATCH(AO18&amp;"|NDL",TABLAS!$B$6:$B$47,0),AP18)))</f>
        <v/>
      </c>
      <c r="AV18" s="59" t="str">
        <f>IF(V18&lt;&gt;"SÍ","",INDEX(TABLAS!$D$6:$J$47,MATCH(AO18&amp;"|PC",TABLAS!$B$6:$B$47,0),AP18)+AQ18*(INDEX(TABLAS!$D$6:$J$47,MATCH(AO18&amp;"|PC",TABLAS!$B$6:$B$47,0),MIN(AP18+1,7))-INDEX(TABLAS!$D$6:$J$47,MATCH(AO18&amp;"|PC",TABLAS!$B$6:$B$47,0),AP18)))</f>
        <v/>
      </c>
      <c r="AW18" s="59" t="str">
        <f>IF(V18&lt;&gt;"SÍ","",INDEX(TABLAS!$D$6:$J$47,MATCH(AO18&amp;"|PL",TABLAS!$B$6:$B$47,0),AP18)+AQ18*(INDEX(TABLAS!$D$6:$J$47,MATCH(AO18&amp;"|PL",TABLAS!$B$6:$B$47,0),MIN(AP18+1,7))-INDEX(TABLAS!$D$6:$J$47,MATCH(AO18&amp;"|PL",TABLAS!$B$6:$B$47,0),AP18)))</f>
        <v/>
      </c>
      <c r="AX18" s="56" t="str">
        <f>IF(V18&lt;&gt;"SÍ","",IF(C18="PERIMETRAL",AV18*AK18*Z18^2*1E-4/1000,0))</f>
        <v/>
      </c>
      <c r="AY18" s="62" t="str">
        <f>IF(V18&lt;&gt;"SÍ","",IF(C18="PERIMETRAL",MAX(MAX(AR18,AT18)*AK18*Z18^2*1E-4/1000,N(T18)),(AK18*(AC18/100)^2/2+DATOS!$C$26*N(P18)*AC18/100)/1000))</f>
        <v/>
      </c>
      <c r="AZ18" s="56" t="str">
        <f>IF(V18&lt;&gt;"SÍ","",IF(C18="PERIMETRAL",AW18*AK18*Z18^2*1E-4/1000,0))</f>
        <v/>
      </c>
      <c r="BA18" s="56" t="str">
        <f>IF(V18&lt;&gt;"SÍ","",IF(C18="PERIMETRAL",MAX(MAX(AS18,AU18)*AK18*Z18^2*1E-4/1000,N(U18)),0))</f>
        <v/>
      </c>
      <c r="BB18" s="63" t="str">
        <f>IF(V18&lt;&gt;"SÍ","",IF(C18&lt;&gt;"PERIMETRAL","—",IF(AND(N(T18)=0,N(U18)=0),"— (sin M⁻ del vecino)",IF(OR(AND(N(T18)&gt;0,ABS(MAX(AR18,AT18)*AK18*Z18^2*1E-4/1000-N(T18))&gt;0.5*MIN(MAX(AR18,AT18)*AK18*Z18^2*1E-4/1000,N(T18))),AND(N(U18)&gt;0,ABS(MAX(AS18,AU18)*AK18*Z18^2*1E-4/1000-N(U18))&gt;0.5*MIN(MAX(AS18,AU18)*AK18*Z18^2*1E-4/1000,N(U18)))),"FUERA: difieren &gt; 50 %"&amp;IF(AND(N(T18)&gt;0,ABS(MAX(AR18,AT18)*AK18*Z18^2*1E-4/1000-N(T18))&gt;0.5*MIN(MAX(AR18,AT18)*AK18*Z18^2*1E-4/1000,N(T18)))," ‖ corto","")&amp;IF(AND(N(U18)&gt;0,ABS(MAX(AS18,AU18)*AK18*Z18^2*1E-4/1000-N(U18))&gt;0.5*MIN(MAX(AS18,AU18)*AK18*Z18^2*1E-4/1000,N(U18)))," ‖ largo",""),"CUMPLE"))))</f>
        <v/>
      </c>
      <c r="BC18" s="58" t="str">
        <f>IF(V18&lt;&gt;"SÍ","",DATOS!$C$139*100*W18)</f>
        <v/>
      </c>
      <c r="BD18" s="57" t="str">
        <f>IF(V18&lt;&gt;"SÍ","",MIN(IF(C18="VOLADO",DATOS!$C$141,DATOS!$C$140)*W18,DATOS!$C$142))</f>
        <v/>
      </c>
      <c r="BE18" s="58" t="str">
        <f>IF(V18&lt;&gt;"SÍ","",(W18-AE18-INDEX(TABLAS!$C$52:$C$58,MATCH(IF(ISNUMBER(S18),S18,DATOS!$C$138),TABLAS!$B$52:$B$58,0))/2))</f>
        <v/>
      </c>
      <c r="BF18" s="58" t="str">
        <f>IF(V18&lt;&gt;"SÍ","",IF(AX18&lt;=0,0,IF((1-2*AX18*1E5/(DATOS!$C$29*100*BE18^2*DATOS!$C$21))&lt;0,-1,IF((1-SQRT((1-2*AX18*1E5/(DATOS!$C$29*100*BE18^2*DATOS!$C$21))))*DATOS!$C$21*100*BE18/DATOS!$C$14&gt;DATOS!$C$102*100*BE18,-1,(1-SQRT((1-2*AX18*1E5/(DATOS!$C$29*100*BE18^2*DATOS!$C$21))))*DATOS!$C$21*100*BE18/DATOS!$C$14))))</f>
        <v/>
      </c>
      <c r="BG18" s="58" t="str">
        <f>IF(V18&lt;&gt;"SÍ","",IF(BF18&lt;0,-1,MAX(BF18,BC18)))</f>
        <v/>
      </c>
      <c r="BH18" s="64" t="str">
        <f>IF(V18&lt;&gt;"SÍ","",IF(AND(BG18&gt;0,FLOOR(MIN(BD18,100*INDEX(TABLAS!$D$52:$D$58,MIN(MATCH(IF(ISNUMBER(S18),S18,DATOS!$C$138),TABLAS!$B$52:$B$58,0)+0,7))/MAX(BG18,0.0001)),DATOS!$C$144)&gt;=DATOS!$C$143),INDEX(TABLAS!$B$52:$B$58,MIN(MATCH(IF(ISNUMBER(S18),S18,DATOS!$C$138),TABLAS!$B$52:$B$58,0)+0,7)),IF(AND(BG18&gt;0,FLOOR(MIN(BD18,100*INDEX(TABLAS!$D$52:$D$58,MIN(MATCH(IF(ISNUMBER(S18),S18,DATOS!$C$138),TABLAS!$B$52:$B$58,0)+1,7))/MAX(BG18,0.0001)),DATOS!$C$144)&gt;=DATOS!$C$143),INDEX(TABLAS!$B$52:$B$58,MIN(MATCH(IF(ISNUMBER(S18),S18,DATOS!$C$138),TABLAS!$B$52:$B$58,0)+1,7)),IF(AND(BG18&gt;0,FLOOR(MIN(BD18,100*INDEX(TABLAS!$D$52:$D$58,MIN(MATCH(IF(ISNUMBER(S18),S18,DATOS!$C$138),TABLAS!$B$52:$B$58,0)+2,7))/MAX(BG18,0.0001)),DATOS!$C$144)&gt;=DATOS!$C$143),INDEX(TABLAS!$B$52:$B$58,MIN(MATCH(IF(ISNUMBER(S18),S18,DATOS!$C$138),TABLAS!$B$52:$B$58,0)+2,7)),IF(AND(BG18&gt;0,FLOOR(MIN(BD18,100*INDEX(TABLAS!$D$52:$D$58,MIN(MATCH(IF(ISNUMBER(S18),S18,DATOS!$C$138),TABLAS!$B$52:$B$58,0)+3,7))/MAX(BG18,0.0001)),DATOS!$C$144)&gt;=DATOS!$C$143),INDEX(TABLAS!$B$52:$B$58,MIN(MATCH(IF(ISNUMBER(S18),S18,DATOS!$C$138),TABLAS!$B$52:$B$58,0)+3,7)),IF(AND(BG18&gt;0,FLOOR(MIN(BD18,100*INDEX(TABLAS!$D$52:$D$58,MIN(MATCH(IF(ISNUMBER(S18),S18,DATOS!$C$138),TABLAS!$B$52:$B$58,0)+4,7))/MAX(BG18,0.0001)),DATOS!$C$144)&gt;=DATOS!$C$143),INDEX(TABLAS!$B$52:$B$58,MIN(MATCH(IF(ISNUMBER(S18),S18,DATOS!$C$138),TABLAS!$B$52:$B$58,0)+4,7)),INDEX(TABLAS!$B$52:$B$58,7)))))))</f>
        <v/>
      </c>
      <c r="BI18" s="71" t="str">
        <f>IF(V18&lt;&gt;"SÍ","",IF(BG18&lt;=0,0,FLOOR(MIN(BD18,100*INDEX(TABLAS!$D$52:$D$58,MATCH(BH18,TABLAS!$B$52:$B$58,0))/BG18),DATOS!$C$144)))</f>
        <v/>
      </c>
      <c r="BJ18" s="58" t="str">
        <f>IF(V18&lt;&gt;"SÍ","",IF(BI18&lt;=0,0,INDEX(TABLAS!$D$52:$D$58,MATCH(BH18,TABLAS!$B$52:$B$58,0))*100/BI18))</f>
        <v/>
      </c>
      <c r="BK18" s="58" t="str">
        <f>IF(V18&lt;&gt;"SÍ","",W18-AE18-INDEX(TABLAS!$C$52:$C$58,MATCH(BH18,TABLAS!$B$52:$B$58,0))/2)</f>
        <v/>
      </c>
      <c r="BL18" s="56" t="str">
        <f>IF(V18&lt;&gt;"SÍ","",IF(BJ18=0,0,DATOS!$C$29*BJ18*DATOS!$C$14*(BK18-BJ18*DATOS!$C$14/(DATOS!$C$21*100)/2)/1E5))</f>
        <v/>
      </c>
      <c r="BM18" s="65" t="str">
        <f>IF(V18&lt;&gt;"SÍ","",IF(BG18&lt;0,9.99,IF(BL18&gt;0,AX18/BL18,0)))</f>
        <v/>
      </c>
      <c r="BN18" s="66" t="str">
        <f>IF(V18&lt;&gt;"SÍ","",IF(BJ18=0,"—",0.003*(BK18-(BJ18*DATOS!$C$14/(DATOS!$C$21*100)/DATOS!$C$22))/(BJ18*DATOS!$C$14/(DATOS!$C$21*100)/DATOS!$C$22)))</f>
        <v/>
      </c>
      <c r="BO18" s="58" t="str">
        <f>IF(V18&lt;&gt;"SÍ","",((W18-AF18-INDEX(TABLAS!$C$52:$C$58,MATCH(IF(ISNUMBER(S18),S18,DATOS!$C$138),TABLAS!$B$52:$B$58,0))/2)-IF(AND((W18-AF18-INDEX(TABLAS!$C$52:$C$58,MATCH(IF(ISNUMBER(S18),S18,DATOS!$C$138),TABLAS!$B$52:$B$58,0))/2)&lt;=20,DATOS!$C$65&lt;&gt;"SÍ"),2,0)))</f>
        <v/>
      </c>
      <c r="BP18" s="58" t="str">
        <f>IF(V18&lt;&gt;"SÍ","",IF(AY18&lt;=0,0,IF((1-2*AY18*1E5/(DATOS!$C$29*100*BO18^2*DATOS!$C$21))&lt;0,-1,IF((1-SQRT((1-2*AY18*1E5/(DATOS!$C$29*100*BO18^2*DATOS!$C$21))))*DATOS!$C$21*100*BO18/DATOS!$C$14&gt;DATOS!$C$102*100*BO18,-1,(1-SQRT((1-2*AY18*1E5/(DATOS!$C$29*100*BO18^2*DATOS!$C$21))))*DATOS!$C$21*100*BO18/DATOS!$C$14))))</f>
        <v/>
      </c>
      <c r="BQ18" s="58" t="str">
        <f>IF(V18&lt;&gt;"SÍ","",IF(BP18&lt;0,-1,MAX(BP18,BC18)))</f>
        <v/>
      </c>
      <c r="BR18" s="64" t="str">
        <f>IF(V18&lt;&gt;"SÍ","",IF(AND(BQ18&gt;0,FLOOR(MIN(BD18,100*INDEX(TABLAS!$D$52:$D$58,MIN(MATCH(IF(ISNUMBER(S18),S18,DATOS!$C$138),TABLAS!$B$52:$B$58,0)+0,7))/MAX(BQ18,0.0001)),DATOS!$C$144)&gt;=DATOS!$C$143),INDEX(TABLAS!$B$52:$B$58,MIN(MATCH(IF(ISNUMBER(S18),S18,DATOS!$C$138),TABLAS!$B$52:$B$58,0)+0,7)),IF(AND(BQ18&gt;0,FLOOR(MIN(BD18,100*INDEX(TABLAS!$D$52:$D$58,MIN(MATCH(IF(ISNUMBER(S18),S18,DATOS!$C$138),TABLAS!$B$52:$B$58,0)+1,7))/MAX(BQ18,0.0001)),DATOS!$C$144)&gt;=DATOS!$C$143),INDEX(TABLAS!$B$52:$B$58,MIN(MATCH(IF(ISNUMBER(S18),S18,DATOS!$C$138),TABLAS!$B$52:$B$58,0)+1,7)),IF(AND(BQ18&gt;0,FLOOR(MIN(BD18,100*INDEX(TABLAS!$D$52:$D$58,MIN(MATCH(IF(ISNUMBER(S18),S18,DATOS!$C$138),TABLAS!$B$52:$B$58,0)+2,7))/MAX(BQ18,0.0001)),DATOS!$C$144)&gt;=DATOS!$C$143),INDEX(TABLAS!$B$52:$B$58,MIN(MATCH(IF(ISNUMBER(S18),S18,DATOS!$C$138),TABLAS!$B$52:$B$58,0)+2,7)),IF(AND(BQ18&gt;0,FLOOR(MIN(BD18,100*INDEX(TABLAS!$D$52:$D$58,MIN(MATCH(IF(ISNUMBER(S18),S18,DATOS!$C$138),TABLAS!$B$52:$B$58,0)+3,7))/MAX(BQ18,0.0001)),DATOS!$C$144)&gt;=DATOS!$C$143),INDEX(TABLAS!$B$52:$B$58,MIN(MATCH(IF(ISNUMBER(S18),S18,DATOS!$C$138),TABLAS!$B$52:$B$58,0)+3,7)),IF(AND(BQ18&gt;0,FLOOR(MIN(BD18,100*INDEX(TABLAS!$D$52:$D$58,MIN(MATCH(IF(ISNUMBER(S18),S18,DATOS!$C$138),TABLAS!$B$52:$B$58,0)+4,7))/MAX(BQ18,0.0001)),DATOS!$C$144)&gt;=DATOS!$C$143),INDEX(TABLAS!$B$52:$B$58,MIN(MATCH(IF(ISNUMBER(S18),S18,DATOS!$C$138),TABLAS!$B$52:$B$58,0)+4,7)),INDEX(TABLAS!$B$52:$B$58,7)))))))</f>
        <v/>
      </c>
      <c r="BS18" s="71" t="str">
        <f>IF(V18&lt;&gt;"SÍ","",IF(BQ18&lt;=0,0,FLOOR(MIN(BD18,100*INDEX(TABLAS!$D$52:$D$58,MATCH(BR18,TABLAS!$B$52:$B$58,0))/BQ18),DATOS!$C$144)))</f>
        <v/>
      </c>
      <c r="BT18" s="58" t="str">
        <f>IF(V18&lt;&gt;"SÍ","",IF(BS18&lt;=0,0,INDEX(TABLAS!$D$52:$D$58,MATCH(BR18,TABLAS!$B$52:$B$58,0))*100/BS18))</f>
        <v/>
      </c>
      <c r="BU18" s="58" t="str">
        <f>IF(V18&lt;&gt;"SÍ","",((W18-AF18-INDEX(TABLAS!$C$52:$C$58,MATCH(BR18,TABLAS!$B$52:$B$58,0))/2)-IF(AND((W18-AF18-INDEX(TABLAS!$C$52:$C$58,MATCH(BR18,TABLAS!$B$52:$B$58,0))/2)&lt;=20,DATOS!$C$65&lt;&gt;"SÍ"),2,0)))</f>
        <v/>
      </c>
      <c r="BV18" s="56" t="str">
        <f>IF(V18&lt;&gt;"SÍ","",IF(BT18=0,0,DATOS!$C$29*BT18*DATOS!$C$14*(BU18-BT18*DATOS!$C$14/(DATOS!$C$21*100)/2)/1E5))</f>
        <v/>
      </c>
      <c r="BW18" s="65" t="str">
        <f>IF(V18&lt;&gt;"SÍ","",IF(BQ18&lt;0,9.99,IF(BV18&gt;0,AY18/BV18,0)))</f>
        <v/>
      </c>
      <c r="BX18" s="66" t="str">
        <f>IF(V18&lt;&gt;"SÍ","",IF(BT18=0,"—",0.003*(BU18-(BT18*DATOS!$C$14/(DATOS!$C$21*100)/DATOS!$C$22))/(BT18*DATOS!$C$14/(DATOS!$C$21*100)/DATOS!$C$22)))</f>
        <v/>
      </c>
      <c r="BY18" s="58" t="str">
        <f>IF(V18&lt;&gt;"SÍ","",(W18-AE18-1.5*INDEX(TABLAS!$C$52:$C$58,MATCH(IF(ISNUMBER(S18),S18,DATOS!$C$138),TABLAS!$B$52:$B$58,0))))</f>
        <v/>
      </c>
      <c r="BZ18" s="58" t="str">
        <f>IF(V18&lt;&gt;"SÍ","",IF(AZ18&lt;=0,0,IF((1-2*AZ18*1E5/(DATOS!$C$29*100*BY18^2*DATOS!$C$21))&lt;0,-1,IF((1-SQRT((1-2*AZ18*1E5/(DATOS!$C$29*100*BY18^2*DATOS!$C$21))))*DATOS!$C$21*100*BY18/DATOS!$C$14&gt;DATOS!$C$102*100*BY18,-1,(1-SQRT((1-2*AZ18*1E5/(DATOS!$C$29*100*BY18^2*DATOS!$C$21))))*DATOS!$C$21*100*BY18/DATOS!$C$14))))</f>
        <v/>
      </c>
      <c r="CA18" s="58" t="str">
        <f>IF(V18&lt;&gt;"SÍ","",IF(BZ18&lt;0,-1,MAX(BZ18,BC18)))</f>
        <v/>
      </c>
      <c r="CB18" s="64" t="str">
        <f>IF(V18&lt;&gt;"SÍ","",IF(AND(CA18&gt;0,FLOOR(MIN(BD18,100*INDEX(TABLAS!$D$52:$D$58,MIN(MATCH(IF(ISNUMBER(S18),S18,DATOS!$C$138),TABLAS!$B$52:$B$58,0)+0,7))/MAX(CA18,0.0001)),DATOS!$C$144)&gt;=DATOS!$C$143),INDEX(TABLAS!$B$52:$B$58,MIN(MATCH(IF(ISNUMBER(S18),S18,DATOS!$C$138),TABLAS!$B$52:$B$58,0)+0,7)),IF(AND(CA18&gt;0,FLOOR(MIN(BD18,100*INDEX(TABLAS!$D$52:$D$58,MIN(MATCH(IF(ISNUMBER(S18),S18,DATOS!$C$138),TABLAS!$B$52:$B$58,0)+1,7))/MAX(CA18,0.0001)),DATOS!$C$144)&gt;=DATOS!$C$143),INDEX(TABLAS!$B$52:$B$58,MIN(MATCH(IF(ISNUMBER(S18),S18,DATOS!$C$138),TABLAS!$B$52:$B$58,0)+1,7)),IF(AND(CA18&gt;0,FLOOR(MIN(BD18,100*INDEX(TABLAS!$D$52:$D$58,MIN(MATCH(IF(ISNUMBER(S18),S18,DATOS!$C$138),TABLAS!$B$52:$B$58,0)+2,7))/MAX(CA18,0.0001)),DATOS!$C$144)&gt;=DATOS!$C$143),INDEX(TABLAS!$B$52:$B$58,MIN(MATCH(IF(ISNUMBER(S18),S18,DATOS!$C$138),TABLAS!$B$52:$B$58,0)+2,7)),IF(AND(CA18&gt;0,FLOOR(MIN(BD18,100*INDEX(TABLAS!$D$52:$D$58,MIN(MATCH(IF(ISNUMBER(S18),S18,DATOS!$C$138),TABLAS!$B$52:$B$58,0)+3,7))/MAX(CA18,0.0001)),DATOS!$C$144)&gt;=DATOS!$C$143),INDEX(TABLAS!$B$52:$B$58,MIN(MATCH(IF(ISNUMBER(S18),S18,DATOS!$C$138),TABLAS!$B$52:$B$58,0)+3,7)),IF(AND(CA18&gt;0,FLOOR(MIN(BD18,100*INDEX(TABLAS!$D$52:$D$58,MIN(MATCH(IF(ISNUMBER(S18),S18,DATOS!$C$138),TABLAS!$B$52:$B$58,0)+4,7))/MAX(CA18,0.0001)),DATOS!$C$144)&gt;=DATOS!$C$143),INDEX(TABLAS!$B$52:$B$58,MIN(MATCH(IF(ISNUMBER(S18),S18,DATOS!$C$138),TABLAS!$B$52:$B$58,0)+4,7)),INDEX(TABLAS!$B$52:$B$58,7)))))))</f>
        <v/>
      </c>
      <c r="CC18" s="71" t="str">
        <f>IF(V18&lt;&gt;"SÍ","",IF(CA18&lt;=0,0,FLOOR(MIN(BD18,100*INDEX(TABLAS!$D$52:$D$58,MATCH(CB18,TABLAS!$B$52:$B$58,0))/CA18),DATOS!$C$144)))</f>
        <v/>
      </c>
      <c r="CD18" s="58" t="str">
        <f>IF(V18&lt;&gt;"SÍ","",IF(CC18&lt;=0,0,INDEX(TABLAS!$D$52:$D$58,MATCH(CB18,TABLAS!$B$52:$B$58,0))*100/CC18))</f>
        <v/>
      </c>
      <c r="CE18" s="58" t="str">
        <f>IF(V18&lt;&gt;"SÍ","",W18-AE18-INDEX(TABLAS!$C$52:$C$58,MATCH(BH18,TABLAS!$B$52:$B$58,0))-INDEX(TABLAS!$C$52:$C$58,MATCH(CB18,TABLAS!$B$52:$B$58,0))/2)</f>
        <v/>
      </c>
      <c r="CF18" s="56" t="str">
        <f>IF(V18&lt;&gt;"SÍ","",IF(CD18=0,0,DATOS!$C$29*CD18*DATOS!$C$14*(CE18-CD18*DATOS!$C$14/(DATOS!$C$21*100)/2)/1E5))</f>
        <v/>
      </c>
      <c r="CG18" s="65" t="str">
        <f>IF(V18&lt;&gt;"SÍ","",IF(CA18&lt;0,9.99,IF(CF18&gt;0,AZ18/CF18,0)))</f>
        <v/>
      </c>
      <c r="CH18" s="66" t="str">
        <f>IF(V18&lt;&gt;"SÍ","",IF(CD18=0,"—",0.003*(CE18-(CD18*DATOS!$C$14/(DATOS!$C$21*100)/DATOS!$C$22))/(CD18*DATOS!$C$14/(DATOS!$C$21*100)/DATOS!$C$22)))</f>
        <v/>
      </c>
      <c r="CI18" s="58" t="str">
        <f>IF(V18&lt;&gt;"SÍ","",((W18-AF18-1.5*INDEX(TABLAS!$C$52:$C$58,MATCH(IF(ISNUMBER(S18),S18,DATOS!$C$138),TABLAS!$B$52:$B$58,0)))-IF(AND((W18-AF18-1.5*INDEX(TABLAS!$C$52:$C$58,MATCH(IF(ISNUMBER(S18),S18,DATOS!$C$138),TABLAS!$B$52:$B$58,0)))&lt;=20,DATOS!$C$65&lt;&gt;"SÍ"),2,0)))</f>
        <v/>
      </c>
      <c r="CJ18" s="58" t="str">
        <f>IF(V18&lt;&gt;"SÍ","",IF(BA18&lt;=0,0,IF((1-2*BA18*1E5/(DATOS!$C$29*100*CI18^2*DATOS!$C$21))&lt;0,-1,IF((1-SQRT((1-2*BA18*1E5/(DATOS!$C$29*100*CI18^2*DATOS!$C$21))))*DATOS!$C$21*100*CI18/DATOS!$C$14&gt;DATOS!$C$102*100*CI18,-1,(1-SQRT((1-2*BA18*1E5/(DATOS!$C$29*100*CI18^2*DATOS!$C$21))))*DATOS!$C$21*100*CI18/DATOS!$C$14))))</f>
        <v/>
      </c>
      <c r="CK18" s="58" t="str">
        <f>IF(V18&lt;&gt;"SÍ","",IF(CJ18&lt;0,-1,MAX(CJ18,BC18)))</f>
        <v/>
      </c>
      <c r="CL18" s="64" t="str">
        <f>IF(V18&lt;&gt;"SÍ","",IF(AND(CK18&gt;0,FLOOR(MIN(BD18,100*INDEX(TABLAS!$D$52:$D$58,MIN(MATCH(IF(ISNUMBER(S18),S18,DATOS!$C$138),TABLAS!$B$52:$B$58,0)+0,7))/MAX(CK18,0.0001)),DATOS!$C$144)&gt;=DATOS!$C$143),INDEX(TABLAS!$B$52:$B$58,MIN(MATCH(IF(ISNUMBER(S18),S18,DATOS!$C$138),TABLAS!$B$52:$B$58,0)+0,7)),IF(AND(CK18&gt;0,FLOOR(MIN(BD18,100*INDEX(TABLAS!$D$52:$D$58,MIN(MATCH(IF(ISNUMBER(S18),S18,DATOS!$C$138),TABLAS!$B$52:$B$58,0)+1,7))/MAX(CK18,0.0001)),DATOS!$C$144)&gt;=DATOS!$C$143),INDEX(TABLAS!$B$52:$B$58,MIN(MATCH(IF(ISNUMBER(S18),S18,DATOS!$C$138),TABLAS!$B$52:$B$58,0)+1,7)),IF(AND(CK18&gt;0,FLOOR(MIN(BD18,100*INDEX(TABLAS!$D$52:$D$58,MIN(MATCH(IF(ISNUMBER(S18),S18,DATOS!$C$138),TABLAS!$B$52:$B$58,0)+2,7))/MAX(CK18,0.0001)),DATOS!$C$144)&gt;=DATOS!$C$143),INDEX(TABLAS!$B$52:$B$58,MIN(MATCH(IF(ISNUMBER(S18),S18,DATOS!$C$138),TABLAS!$B$52:$B$58,0)+2,7)),IF(AND(CK18&gt;0,FLOOR(MIN(BD18,100*INDEX(TABLAS!$D$52:$D$58,MIN(MATCH(IF(ISNUMBER(S18),S18,DATOS!$C$138),TABLAS!$B$52:$B$58,0)+3,7))/MAX(CK18,0.0001)),DATOS!$C$144)&gt;=DATOS!$C$143),INDEX(TABLAS!$B$52:$B$58,MIN(MATCH(IF(ISNUMBER(S18),S18,DATOS!$C$138),TABLAS!$B$52:$B$58,0)+3,7)),IF(AND(CK18&gt;0,FLOOR(MIN(BD18,100*INDEX(TABLAS!$D$52:$D$58,MIN(MATCH(IF(ISNUMBER(S18),S18,DATOS!$C$138),TABLAS!$B$52:$B$58,0)+4,7))/MAX(CK18,0.0001)),DATOS!$C$144)&gt;=DATOS!$C$143),INDEX(TABLAS!$B$52:$B$58,MIN(MATCH(IF(ISNUMBER(S18),S18,DATOS!$C$138),TABLAS!$B$52:$B$58,0)+4,7)),INDEX(TABLAS!$B$52:$B$58,7)))))))</f>
        <v/>
      </c>
      <c r="CM18" s="71" t="str">
        <f>IF(V18&lt;&gt;"SÍ","",IF(CK18&lt;=0,0,FLOOR(MIN(BD18,100*INDEX(TABLAS!$D$52:$D$58,MATCH(CL18,TABLAS!$B$52:$B$58,0))/CK18),DATOS!$C$144)))</f>
        <v/>
      </c>
      <c r="CN18" s="58" t="str">
        <f>IF(V18&lt;&gt;"SÍ","",IF(CM18&lt;=0,0,INDEX(TABLAS!$D$52:$D$58,MATCH(CL18,TABLAS!$B$52:$B$58,0))*100/CM18))</f>
        <v/>
      </c>
      <c r="CO18" s="58" t="str">
        <f>IF(V18&lt;&gt;"SÍ","",((W18-AF18-INDEX(TABLAS!$C$52:$C$58,MATCH(BR18,TABLAS!$B$52:$B$58,0))-INDEX(TABLAS!$C$52:$C$58,MATCH(CL18,TABLAS!$B$52:$B$58,0))/2)-IF(AND((W18-AF18-INDEX(TABLAS!$C$52:$C$58,MATCH(BR18,TABLAS!$B$52:$B$58,0))-INDEX(TABLAS!$C$52:$C$58,MATCH(CL18,TABLAS!$B$52:$B$58,0))/2)&lt;=20,DATOS!$C$65&lt;&gt;"SÍ"),2,0)))</f>
        <v/>
      </c>
      <c r="CP18" s="56" t="str">
        <f>IF(V18&lt;&gt;"SÍ","",IF(CN18=0,0,DATOS!$C$29*CN18*DATOS!$C$14*(CO18-CN18*DATOS!$C$14/(DATOS!$C$21*100)/2)/1E5))</f>
        <v/>
      </c>
      <c r="CQ18" s="65" t="str">
        <f>IF(V18&lt;&gt;"SÍ","",IF(CK18&lt;0,9.99,IF(CP18&gt;0,BA18/CP18,0)))</f>
        <v/>
      </c>
      <c r="CR18" s="66" t="str">
        <f>IF(V18&lt;&gt;"SÍ","",IF(CN18=0,"—",0.003*(CO18-(CN18*DATOS!$C$14/(DATOS!$C$21*100)/DATOS!$C$22))/(CN18*DATOS!$C$14/(DATOS!$C$21*100)/DATOS!$C$22)))</f>
        <v/>
      </c>
      <c r="CS18" s="56" t="str">
        <f>IF(V18&lt;&gt;"SÍ","",IF(C18="PERIMETRAL",MAX(0,(AC18/2-BU18)/100)*(0.95-0.5*AB18)*AK18*IF(AND(AL18&gt;0,AL18&lt;4),DATOS!$C$33,1)/1000,(AK18*MAX(0,AC18-BU18)/100+DATOS!$C$26*N(P18))/1000))</f>
        <v/>
      </c>
      <c r="CT18" s="66" t="str">
        <f>IF(V18&lt;&gt;"SÍ","",BT18/(100*BU18))</f>
        <v/>
      </c>
      <c r="CU18" s="56" t="str">
        <f>IF(V18&lt;&gt;"SÍ","",DATOS!$C$30*2*MIN(1,SQRT(2/(1+0.04*BU18)))*CT18^(1/3)*SQRT(DATOS!$C$13)*100*BU18/1000)</f>
        <v/>
      </c>
      <c r="CV18" s="67" t="str">
        <f>IF(V18&lt;&gt;"SÍ","",IF(CS18&lt;=CU18,"CUMPLE","NO CUMPLE: sube h"))</f>
        <v/>
      </c>
      <c r="CW18" s="58" t="str">
        <f>IF(V18&lt;&gt;"SÍ","",IF(C18="PERIMETRAL",IF(ISNUMBER(R18),R18,DATOS!$C$104),0))</f>
        <v/>
      </c>
      <c r="CX18" s="57" t="str">
        <f>IF(V18&lt;&gt;"SÍ","",IF(C18="PERIMETRAL",IF(CW18&gt;2,MAX(9,AD18*(0.8+DATOS!$C$14/14000)/(36+9*(AD18/MAX(AC18,1)))),IF(CW18&gt;0.2,MAX(13,AD18*(0.8+DATOS!$C$14/14000)/(36+5*(AD18/MAX(AC18,1))*(CW18-0.2))),MAX(13,AD18/IF(AL18&gt;0,30,33))))*IF(AND(CW18&gt;0.2,AL18&gt;0,DATOS!$C$105="NO"),1.1,1),Z18*100/DATOS!$C$145*(0.4+DATOS!$C$14/7000)))</f>
        <v/>
      </c>
      <c r="CY18" s="61" t="str">
        <f>IF(V18&lt;&gt;"SÍ","",IF(W18&gt;=CX18-0.001,"CUMPLE",IF(C18="VOLADO","NO CUMPLE","CALCULAR FLECHA")))</f>
        <v/>
      </c>
      <c r="CZ18" s="60" t="str">
        <f>IF(V18&lt;&gt;"SÍ","",IF(C18="VOLADO",MIN(FLOOR(IF(ISNUMBER(Q18),Q18,Z18)*100-DATOS!$C$63,5),CEILING(MAX(IF((0.5*(0.9*W18/100*DATOS!$C$16)*IF(ISNUMBER(Q18),Q18,Z18)+AY18/IF(ISNUMBER(Q18),Q18,Z18))^2-4*(0.5*(0.9*W18/100*DATOS!$C$16))*AY18&lt;0,IF(ISNUMBER(Q18),Q18,Z18),MIN(IF(ISNUMBER(Q18),Q18,Z18),((0.5*(0.9*W18/100*DATOS!$C$16)*IF(ISNUMBER(Q18),Q18,Z18)+AY18/IF(ISNUMBER(Q18),Q18,Z18))-SQRT((0.5*(0.9*W18/100*DATOS!$C$16)*IF(ISNUMBER(Q18),Q18,Z18)+AY18/IF(ISNUMBER(Q18),Q18,Z18))^2-4*(0.5*(0.9*W18/100*DATOS!$C$16))*AY18))/(2*(0.5*(0.9*W18/100*DATOS!$C$16)))))*100+MAX(BU18,12*INDEX(TABLAS!$C$52:$C$58,MATCH(BR18,TABLAS!$B$52:$B$58,0)),IF(ISNUMBER(Q18),Q18,Z18)*100/16),IF(OR(AF18&lt;INDEX(TABLAS!$C$52:$C$58,MATCH(BR18,TABLAS!$B$52:$B$58,0)),BS18-INDEX(TABLAS!$C$52:$C$58,MATCH(BR18,TABLAS!$B$52:$B$58,0))&lt;2*INDEX(TABLAS!$C$52:$C$58,MATCH(BR18,TABLAS!$B$52:$B$58,0))),INDEX(TABLAS!$I$52:$I$58,MATCH(BR18,TABLAS!$B$52:$B$58,0)),INDEX(TABLAS!$F$52:$F$58,MATCH(BR18,TABLAS!$B$52:$B$58,0)))),5)),IF(((4*((AV18*AK18*Z18^2*1E-4/1000)+((MAX(AR18,AT18)*AK18*Z18^2*1E-4/1000)+(IF(AND(AR18&gt;0,AT18&gt;0),MIN(AR18,AT18),MAX(AR18,AT18))*AK18*Z18^2*1E-4/1000))/2)+AY18-(IF(AND(AR18&gt;0,AT18&gt;0),MIN(AR18,AT18),MAX(AR18,AT18))*AK18*Z18^2*1E-4/1000))^2-16*((AV18*AK18*Z18^2*1E-4/1000)+((MAX(AR18,AT18)*AK18*Z18^2*1E-4/1000)+(IF(AND(AR18&gt;0,AT18&gt;0),MIN(AR18,AT18),MAX(AR18,AT18))*AK18*Z18^2*1E-4/1000))/2)*AY18)&lt;0,CEILING(AC18,5),CEILING(MAX(AC18*((4*((AV18*AK18*Z18^2*1E-4/1000)+((MAX(AR18,AT18)*AK18*Z18^2*1E-4/1000)+(IF(AND(AR18&gt;0,AT18&gt;0),MIN(AR18,AT18),MAX(AR18,AT18))*AK18*Z18^2*1E-4/1000))/2)+AY18-(IF(AND(AR18&gt;0,AT18&gt;0),MIN(AR18,AT18),MAX(AR18,AT18))*AK18*Z18^2*1E-4/1000))-SQRT(MAX(0,((4*((AV18*AK18*Z18^2*1E-4/1000)+((MAX(AR18,AT18)*AK18*Z18^2*1E-4/1000)+(IF(AND(AR18&gt;0,AT18&gt;0),MIN(AR18,AT18),MAX(AR18,AT18))*AK18*Z18^2*1E-4/1000))/2)+AY18-(IF(AND(AR18&gt;0,AT18&gt;0),MIN(AR18,AT18),MAX(AR18,AT18))*AK18*Z18^2*1E-4/1000))^2-16*((AV18*AK18*Z18^2*1E-4/1000)+((MAX(AR18,AT18)*AK18*Z18^2*1E-4/1000)+(IF(AND(AR18&gt;0,AT18&gt;0),MIN(AR18,AT18),MAX(AR18,AT18))*AK18*Z18^2*1E-4/1000))/2)*AY18))))/(8*MAX(((AV18*AK18*Z18^2*1E-4/1000)+((MAX(AR18,AT18)*AK18*Z18^2*1E-4/1000)+(IF(AND(AR18&gt;0,AT18&gt;0),MIN(AR18,AT18),MAX(AR18,AT18))*AK18*Z18^2*1E-4/1000))/2),1E-9))+MAX(BU18,12*INDEX(TABLAS!$C$52:$C$58,MATCH(BR18,TABLAS!$B$52:$B$58,0)),AC18/16),IF(OR(AF18&lt;INDEX(TABLAS!$C$52:$C$58,MATCH(BR18,TABLAS!$B$52:$B$58,0)),BS18-INDEX(TABLAS!$C$52:$C$58,MATCH(BR18,TABLAS!$B$52:$B$58,0))&lt;2*INDEX(TABLAS!$C$52:$C$58,MATCH(BR18,TABLAS!$B$52:$B$58,0))),INDEX(TABLAS!$I$52:$I$58,MATCH(BR18,TABLAS!$B$52:$B$58,0)),INDEX(TABLAS!$F$52:$F$58,MATCH(BR18,TABLAS!$B$52:$B$58,0)))),5))))</f>
        <v/>
      </c>
      <c r="DA18" s="60" t="str">
        <f>IF(V18&lt;&gt;"SÍ","",IF(C18="VOLADO",0,IF(((4*((AW18*AK18*Z18^2*1E-4/1000)+((MAX(AS18,AU18)*AK18*Z18^2*1E-4/1000)+(IF(AND(AS18&gt;0,AU18&gt;0),MIN(AS18,AU18),MAX(AS18,AU18))*AK18*Z18^2*1E-4/1000))/2)+BA18-(IF(AND(AS18&gt;0,AU18&gt;0),MIN(AS18,AU18),MAX(AS18,AU18))*AK18*Z18^2*1E-4/1000))^2-16*((AW18*AK18*Z18^2*1E-4/1000)+((MAX(AS18,AU18)*AK18*Z18^2*1E-4/1000)+(IF(AND(AS18&gt;0,AU18&gt;0),MIN(AS18,AU18),MAX(AS18,AU18))*AK18*Z18^2*1E-4/1000))/2)*BA18)&lt;0,CEILING(AD18,5),CEILING(MAX(AD18*((4*((AW18*AK18*Z18^2*1E-4/1000)+((MAX(AS18,AU18)*AK18*Z18^2*1E-4/1000)+(IF(AND(AS18&gt;0,AU18&gt;0),MIN(AS18,AU18),MAX(AS18,AU18))*AK18*Z18^2*1E-4/1000))/2)+BA18-(IF(AND(AS18&gt;0,AU18&gt;0),MIN(AS18,AU18),MAX(AS18,AU18))*AK18*Z18^2*1E-4/1000))-SQRT(MAX(0,((4*((AW18*AK18*Z18^2*1E-4/1000)+((MAX(AS18,AU18)*AK18*Z18^2*1E-4/1000)+(IF(AND(AS18&gt;0,AU18&gt;0),MIN(AS18,AU18),MAX(AS18,AU18))*AK18*Z18^2*1E-4/1000))/2)+BA18-(IF(AND(AS18&gt;0,AU18&gt;0),MIN(AS18,AU18),MAX(AS18,AU18))*AK18*Z18^2*1E-4/1000))^2-16*((AW18*AK18*Z18^2*1E-4/1000)+((MAX(AS18,AU18)*AK18*Z18^2*1E-4/1000)+(IF(AND(AS18&gt;0,AU18&gt;0),MIN(AS18,AU18),MAX(AS18,AU18))*AK18*Z18^2*1E-4/1000))/2)*BA18))))/(8*MAX(((AW18*AK18*Z18^2*1E-4/1000)+((MAX(AS18,AU18)*AK18*Z18^2*1E-4/1000)+(IF(AND(AS18&gt;0,AU18&gt;0),MIN(AS18,AU18),MAX(AS18,AU18))*AK18*Z18^2*1E-4/1000))/2),1E-9))+MAX(CO18,12*INDEX(TABLAS!$C$52:$C$58,MATCH(CL18,TABLAS!$B$52:$B$58,0)),AD18/16),IF(OR(AF18&lt;INDEX(TABLAS!$C$52:$C$58,MATCH(CL18,TABLAS!$B$52:$B$58,0)),CM18-INDEX(TABLAS!$C$52:$C$58,MATCH(CL18,TABLAS!$B$52:$B$58,0))&lt;2*INDEX(TABLAS!$C$52:$C$58,MATCH(CL18,TABLAS!$B$52:$B$58,0))),INDEX(TABLAS!$I$52:$I$58,MATCH(CL18,TABLAS!$B$52:$B$58,0)),INDEX(TABLAS!$F$52:$F$58,MATCH(CL18,TABLAS!$B$52:$B$58,0)))),5))))</f>
        <v/>
      </c>
      <c r="DB18" s="55" t="str">
        <f>IF(V18&lt;&gt;"SÍ","",IF(AND(C18="PERIMETRAL",AL18-AM18&gt;0,AT18&gt;0),"SÍ","NO"))</f>
        <v/>
      </c>
      <c r="DC18" s="55" t="str">
        <f>IF(V18&lt;&gt;"SÍ","",IF(AND(C18="PERIMETRAL",AM18&gt;0,AU18&gt;0),"SÍ","NO"))</f>
        <v/>
      </c>
      <c r="DD18" s="63" t="str">
        <f>IF(V18&lt;&gt;"SÍ","",IF(OR(C18="VOLADO",AL18=0),"—",IF(AND(AND(INDEX(TABLAS!$G$52:$G$58,MATCH(MAX(BR18,CL18),TABLAS!$B$52:$B$58,0))&lt;=(DATOS!$C$75-DATOS!$C$63),(DATOS!$C$75-DATOS!$C$63)&gt;=15),8*INDEX(TABLAS!$C$52:$C$58,MATCH(MAX(BH18,CB18,BR18,CL18),TABLAS!$B$52:$B$58,0))&lt;=DATOS!$C$76-2*DATOS!$C$63),"CUMPLE (gancho de 180°)",IF(AND(INDEX(TABLAS!$G$52:$G$58,MATCH(MAX(BR18,CL18),TABLAS!$B$52:$B$58,0))&lt;=(DATOS!$C$75-DATOS!$C$63),(DATOS!$C$75-DATOS!$C$63)&gt;=15),"NO CUMPLE: el gancho de 180° (8·d_b) no cabe en el peralte de la dala de borde","NO CUMPLE: dala de borde ≥ "&amp;TEXT(CEILING(MAX(INDEX(TABLAS!$G$52:$G$58,MATCH(MAX(BR18,CL18),TABLAS!$B$52:$B$58,0)),15)+DATOS!$C$63,5),"0")&amp;" cm de ancho"&amp;IF(8*INDEX(TABLAS!$C$52:$C$58,MATCH(MAX(BH18,CB18,BR18,CL18),TABLAS!$B$52:$B$58,0))&lt;=DATOS!$C$76-2*DATOS!$C$63,""," y más peralte para el gancho")))))</f>
        <v/>
      </c>
      <c r="DE18" s="69" t="str">
        <f>IF(V18&lt;&gt;"SÍ","",IF(BI18=0,"NO ALCANZA","No. "&amp;BH18&amp;" @ "&amp;BI18&amp;" cm"&amp;IF(C18="VOLADO"," (temperatura)","")))</f>
        <v/>
      </c>
      <c r="DF18" s="69" t="str">
        <f>IF(V18&lt;&gt;"SÍ","",IF(BS18=0,"NO ALCANZA",IF(C18="VOLADO","No. "&amp;BR18&amp;" @ "&amp;BS18&amp;" cm"&amp;" de la orilla al respaldo ("&amp;IF(CZ18&gt;=FLOOR(100*IF(ISNUMBER(Q18),Q18,Z18)-DATOS!$C$63,5),"hasta su apoyo lejano, con gancho","entran "&amp;TEXT(CZ18/100,"0.00")&amp;" m desde el paño")&amp;")","Bastones "&amp;"No. "&amp;BR18&amp;" @ "&amp;BS18&amp;" cm"&amp;", L = "&amp;TEXT(CZ18/100,"0.00")&amp;" m desde el paño")))</f>
        <v/>
      </c>
      <c r="DG18" s="69" t="str">
        <f>IF(V18&lt;&gt;"SÍ","",IF(CC18=0,"NO ALCANZA","No. "&amp;CB18&amp;" @ "&amp;CC18&amp;" cm"&amp;IF(C18="VOLADO"," (repartición)","")))</f>
        <v/>
      </c>
      <c r="DH18" s="69" t="str">
        <f>IF(V18&lt;&gt;"SÍ","",IF(CM18=0,"NO ALCANZA",IF(C18="VOLADO","No. "&amp;CL18&amp;" @ "&amp;CM18&amp;" cm"&amp;" (repartición)","Bastones "&amp;"No. "&amp;CL18&amp;" @ "&amp;CM18&amp;" cm"&amp;", L = "&amp;TEXT(DA18/100,"0.00")&amp;" m desde el paño")))</f>
        <v/>
      </c>
      <c r="DI18" s="67" t="str">
        <f>IF(B18="","",IF(V18&lt;&gt;"SÍ","FALTAN DATOS: tipo, a_x, a_y, destino y, en volados, L_b",IF(L18="NO MONOLÍTICO (caso II)","FUERA DE ALCANCE: caso II no transcrito",IF(AND(C18="VOLADO",X18="?"),"REVISAR: el volado lleva UN solo borde CONTINUO (el empotrado)",IF(AND(MAX(BM18,BW18,CG18,CQ18)&lt;=1,NOT(OR(BI18&lt;DATOS!$C$143,BS18&lt;DATOS!$C$143,CC18&lt;DATOS!$C$143,CM18&lt;DATOS!$C$143)),NOT(OR(AND(ISNUMBER(BN18),BN18&lt;0.005),AND(ISNUMBER(BX18),BX18&lt;0.005),AND(ISNUMBER(CH18),CH18&lt;0.005),AND(ISNUMBER(CR18),CR18&lt;0.005))),CV18="CUMPLE",CY18="CUMPLE"),"CUMPLE"&amp;IF(LEFT(BB18,5)="FUERA"," · fuera de 3.4.2.1 c)","")&amp;IF(LEFT(DD18,2)="NO"," · REVISAR anclaje en borde discontinuo",""),IF(AND(MAX(BM18,BW18,CG18,CQ18)&lt;=1,NOT(OR(BI18&lt;DATOS!$C$143,BS18&lt;DATOS!$C$143,CC18&lt;DATOS!$C$143,CM18&lt;DATOS!$C$143)),NOT(OR(AND(ISNUMBER(BN18),BN18&lt;0.005),AND(ISNUMBER(BX18),BX18&lt;0.005),AND(ISNUMBER(CH18),CH18&lt;0.005),AND(ISNUMBER(CR18),CR18&lt;0.005))),CV18="CUMPLE",CY18="CALCULAR FLECHA"),"REVISAR: calcular flecha (h &lt; h mín.)"&amp;IF(LEFT(BB18,5)="FUERA"," · fuera de 3.4.2.1 c)","")&amp;IF(LEFT(DD18,2)="NO"," · REVISAR anclaje en borde discontinuo",""),"NO CUMPLE: "&amp;IF(MAX(BM18,BW18,CG18,CQ18)&gt;1,"flexión ","")&amp;IF(OR(BI18&lt;DATOS!$C$143,BS18&lt;DATOS!$C$143,CC18&lt;DATOS!$C$143,CM18&lt;DATOS!$C$143),"separación &lt; mínima ","")&amp;IF(OR(AND(ISNUMBER(BN18),BN18&lt;0.005),AND(ISNUMBER(BX18),BX18&lt;0.005),AND(ISNUMBER(CH18),CH18&lt;0.005),AND(ISNUMBER(CR18),CR18&lt;0.005)),"ε_t &lt; 0.005 ","")&amp;IF(CV18&lt;&gt;"CUMPLE","cortante ","")&amp;IF(CY18="NO CUMPLE","peralte","")))))))</f>
        <v/>
      </c>
      <c r="DJ18" s="70" t="str">
        <f>IF(V18&lt;&gt;"SÍ","",IF(LEFT(B18,7)="EJEMPLO","EJEMPLO de tablero típico: bórralo o sobrescríbelo. ","")&amp;IF(C18="VOLADO","Volado de "&amp;TEXT(Z18,"0.00")&amp;" m empotrado en el borde "&amp;LOWER(X18)&amp;IF(N(P18)&gt;0,", con "&amp;TEXT(P18,"0.0")&amp;" kg/m en la orilla","")&amp;". Lecho inferior con r_ext. Si la orilla carga pretil u otro elemento frágil, calcula la flecha (13.4). El acero superior entra al respaldo de "&amp;TEXT(IF(ISNUMBER(Q18),Q18,Z18),"0.00")&amp;" m"&amp;" hasta pasar M = 0 con 0.9·PP sin carga viva; si ahí no se anula, llega al apoyo lejano y se ancla con gancho. ","")&amp;IF(AND(C18="VOLADO",(0.9*W18/100*DATOS!$C$16*IF(ISNUMBER(Q18),Q18,Z18)/2-AY18/IF(ISNUMBER(Q18),Q18,Z18))&lt;0),"Con 0.9·PP y sin carga viva el apoyo lejano del respaldo levanta (R = "&amp;TEXT(-(0.9*W18/100*DATOS!$C$16*IF(ISNUMBER(Q18),Q18,Z18)/2-AY18/IF(ISNUMBER(Q18),Q18,Z18)),"0.00")&amp;" t/m): ancla ahí el acero con gancho y revisa ese apoyo a tensión. ","")&amp;IF(LEFT(BB18,5)="FUERA","El M⁻ del vecino difiere más de 50 % (3.4.2.1 c): distribuye el desequilibrio (3.4.3.1) o confirma con un modelo; se arma con el mayor. ","")&amp;IF(OR(DB18="SÍ",DC18="SÍ"),"Bastones también en los bordes discontinuos (M⁻ de tabla), con gancho. ","")&amp;IF(LEFT(DD18,2)="NO","Anclaje: "&amp;DD18&amp;" (6.7.7.4.1.1). ","")&amp;IF(AND(C18="PERIMETRAL",AM18&gt;=1,AL18-AM18&gt;=1),"Esquinas exteriores sobre muro: refuerzo de esquina arriba y abajo en L_largo/5 (6.7.7.3.1). ",""))</f>
        <v/>
      </c>
    </row>
    <row r="19" ht="33" customHeight="1">
      <c r="A19" s="50">
        <f>IF(B19="",0,1)+A18</f>
        <v>3</v>
      </c>
      <c r="B19" s="29" t="n"/>
      <c r="C19" s="51" t="n"/>
      <c r="D19" s="29" t="n"/>
      <c r="E19" s="52" t="n"/>
      <c r="F19" s="52" t="n"/>
      <c r="G19" s="51" t="n"/>
      <c r="H19" s="51" t="n"/>
      <c r="I19" s="51" t="n"/>
      <c r="J19" s="51" t="n"/>
      <c r="K19" s="51" t="n"/>
      <c r="L19" s="51" t="n"/>
      <c r="M19" s="54" t="n"/>
      <c r="N19" s="53" t="n"/>
      <c r="O19" s="53" t="n"/>
      <c r="P19" s="54" t="n"/>
      <c r="Q19" s="52" t="n"/>
      <c r="R19" s="54" t="n"/>
      <c r="S19" s="53" t="n"/>
      <c r="T19" s="52" t="n"/>
      <c r="U19" s="52" t="n"/>
      <c r="V19" s="55" t="str">
        <f>IF(B19="","",IF(AND(OR(C19="PERIMETRAL",C19="VOLADO"),ISNUMBER(E19),ISNUMBER(F19),E19&gt;0,F19&gt;0,OR(ISNUMBER(O19),ISNUMBER(MATCH(D19,DATOS!$B$46:$B$58,0))),OR(C19&lt;&gt;"VOLADO",N(Q19)&gt;0)),"SÍ","NO"))</f>
        <v/>
      </c>
      <c r="W19" s="57" t="str">
        <f>IF(V19&lt;&gt;"SÍ","",IF(ISNUMBER(M19),M19,DATOS!$C$137))</f>
        <v/>
      </c>
      <c r="X19" s="55" t="str">
        <f>IF(V19&lt;&gt;"SÍ","",IF(C19&lt;&gt;"VOLADO","—",IF(COUNTIF(G19:J19,"CONTINUO")&lt;&gt;1,"?",IF(G19="CONTINUO","INFERIOR",IF(H19="CONTINUO","SUPERIOR",IF(I19="CONTINUO","IZQUIERDO","DERECHO"))))))</f>
        <v/>
      </c>
      <c r="Y19" s="55" t="str">
        <f>IF(V19&lt;&gt;"SÍ","",IF(C19="VOLADO",IF(OR(X19="IZQUIERDO",X19="DERECHO"),"X","Y"),IF(E19&lt;=F19,"X","Y")))</f>
        <v/>
      </c>
      <c r="Z19" s="56" t="str">
        <f>IF(V19&lt;&gt;"SÍ","",IF(C19="VOLADO",IF(Y19="X",E19,F19),MIN(E19,F19)))</f>
        <v/>
      </c>
      <c r="AA19" s="56" t="str">
        <f>IF(V19&lt;&gt;"SÍ","",IF(C19="VOLADO",IF(Y19="X",F19,E19),MAX(E19,F19)))</f>
        <v/>
      </c>
      <c r="AB19" s="56" t="str">
        <f>IF(V19&lt;&gt;"SÍ","",MIN(Z19,AA19)/MAX(Z19,AA19))</f>
        <v/>
      </c>
      <c r="AC19" s="57" t="str">
        <f>IF(V19&lt;&gt;"SÍ","",MAX(1,Z19*100-IF(C19="VOLADO",DATOS!$C$87/2,DATOS!$C$87)))</f>
        <v/>
      </c>
      <c r="AD19" s="57" t="str">
        <f>IF(V19&lt;&gt;"SÍ","",MAX(1,AA19*100-DATOS!$C$87))</f>
        <v/>
      </c>
      <c r="AE19" s="57" t="str">
        <f>IF(V19&lt;&gt;"SÍ","",IF(C19="VOLADO",DATOS!$C$64,DATOS!$C$62))</f>
        <v/>
      </c>
      <c r="AF19" s="57" t="str">
        <f>IF(V19&lt;&gt;"SÍ","",IF(OR(AND(AG19="SÍ",DATOS!$C$66="SÍ"),AND(C19="VOLADO",DATOS!$C$67="SÍ")),DATOS!$C$64,DATOS!$C$62))</f>
        <v/>
      </c>
      <c r="AG19" s="55" t="str">
        <f>IF(V19&lt;&gt;"SÍ","",IFERROR(INDEX(DATOS!$D$46:$D$58,MATCH(D19,DATOS!$B$46:$B$58,0)),"NO"))</f>
        <v/>
      </c>
      <c r="AH19" s="59" t="str">
        <f>IF(V19&lt;&gt;"SÍ","",IF(ISNUMBER(O19),O19,IFERROR(INDEX(DATOS!$C$46:$C$58,MATCH(D19,DATOS!$B$46:$B$58,0)),0)))</f>
        <v/>
      </c>
      <c r="AI19" s="59" t="str">
        <f>IF(V19&lt;&gt;"SÍ","",W19/100*DATOS!$C$16*1000+DATOS!$C$37+DATOS!$C$38)</f>
        <v/>
      </c>
      <c r="AJ19" s="59" t="str">
        <f>IF(V19&lt;&gt;"SÍ","",AI19+N(N19))</f>
        <v/>
      </c>
      <c r="AK19" s="60" t="str">
        <f>IF(V19&lt;&gt;"SÍ","",MAX(DATOS!$C$26*AJ19+DATOS!$C$27*AH19,IF(AG19="SÍ",DATOS!$C$28*(AJ19+DATOS!$C$41),0)))</f>
        <v/>
      </c>
      <c r="AL19" s="59" t="str">
        <f>IF(V19&lt;&gt;"SÍ","",(G19="DISCONTINUO")+(H19="DISCONTINUO")+(I19="DISCONTINUO")+(J19="DISCONTINUO"))</f>
        <v/>
      </c>
      <c r="AM19" s="59" t="str">
        <f>IF(V19&lt;&gt;"SÍ","",IF(Y19="X",(G19="DISCONTINUO")+(H19="DISCONTINUO"),(I19="DISCONTINUO")+(J19="DISCONTINUO")))</f>
        <v/>
      </c>
      <c r="AN19" s="55" t="str">
        <f>IF(V19&lt;&gt;"SÍ","",IF(AL19=0,"INTERIOR",IF(AL19=1,IF(AM19=1,"BORDE-CORTO","BORDE-LARGO"),IF(AL19=2,IF(AM19=1,"ESQUINA",IF(AM19=2,"EXTREMO-LARGO","EXTREMO-CORTO")),IF(AL19=3,IF(AM19=2,"EXTREMO-LARGO","EXTREMO-CORTO"),"AISLADO")))))</f>
        <v/>
      </c>
      <c r="AO19" s="61" t="str">
        <f>IF(V19&lt;&gt;"SÍ","",IF(OR(K19="",K19="AUTO"),AN19,K19))</f>
        <v/>
      </c>
      <c r="AP19" s="59" t="str">
        <f>IF(V19&lt;&gt;"SÍ","",MATCH(AB19,TABLAS!$D$5:$J$5,1))</f>
        <v/>
      </c>
      <c r="AQ19" s="58" t="str">
        <f>IF(V19&lt;&gt;"SÍ","",IF(AP19&gt;=7,0,(AB19-INDEX(TABLAS!$D$5:$J$5,AP19))/(INDEX(TABLAS!$D$5:$J$5,AP19+1)-INDEX(TABLAS!$D$5:$J$5,AP19))))</f>
        <v/>
      </c>
      <c r="AR19" s="59" t="str">
        <f>IF(V19&lt;&gt;"SÍ","",INDEX(TABLAS!$D$6:$J$47,MATCH(AO19&amp;"|NIC",TABLAS!$B$6:$B$47,0),AP19)+AQ19*(INDEX(TABLAS!$D$6:$J$47,MATCH(AO19&amp;"|NIC",TABLAS!$B$6:$B$47,0),MIN(AP19+1,7))-INDEX(TABLAS!$D$6:$J$47,MATCH(AO19&amp;"|NIC",TABLAS!$B$6:$B$47,0),AP19)))</f>
        <v/>
      </c>
      <c r="AS19" s="59" t="str">
        <f>IF(V19&lt;&gt;"SÍ","",INDEX(TABLAS!$D$6:$J$47,MATCH(AO19&amp;"|NIL",TABLAS!$B$6:$B$47,0),AP19)+AQ19*(INDEX(TABLAS!$D$6:$J$47,MATCH(AO19&amp;"|NIL",TABLAS!$B$6:$B$47,0),MIN(AP19+1,7))-INDEX(TABLAS!$D$6:$J$47,MATCH(AO19&amp;"|NIL",TABLAS!$B$6:$B$47,0),AP19)))</f>
        <v/>
      </c>
      <c r="AT19" s="59" t="str">
        <f>IF(V19&lt;&gt;"SÍ","",INDEX(TABLAS!$D$6:$J$47,MATCH(AO19&amp;"|NDC",TABLAS!$B$6:$B$47,0),AP19)+AQ19*(INDEX(TABLAS!$D$6:$J$47,MATCH(AO19&amp;"|NDC",TABLAS!$B$6:$B$47,0),MIN(AP19+1,7))-INDEX(TABLAS!$D$6:$J$47,MATCH(AO19&amp;"|NDC",TABLAS!$B$6:$B$47,0),AP19)))</f>
        <v/>
      </c>
      <c r="AU19" s="59" t="str">
        <f>IF(V19&lt;&gt;"SÍ","",INDEX(TABLAS!$D$6:$J$47,MATCH(AO19&amp;"|NDL",TABLAS!$B$6:$B$47,0),AP19)+AQ19*(INDEX(TABLAS!$D$6:$J$47,MATCH(AO19&amp;"|NDL",TABLAS!$B$6:$B$47,0),MIN(AP19+1,7))-INDEX(TABLAS!$D$6:$J$47,MATCH(AO19&amp;"|NDL",TABLAS!$B$6:$B$47,0),AP19)))</f>
        <v/>
      </c>
      <c r="AV19" s="59" t="str">
        <f>IF(V19&lt;&gt;"SÍ","",INDEX(TABLAS!$D$6:$J$47,MATCH(AO19&amp;"|PC",TABLAS!$B$6:$B$47,0),AP19)+AQ19*(INDEX(TABLAS!$D$6:$J$47,MATCH(AO19&amp;"|PC",TABLAS!$B$6:$B$47,0),MIN(AP19+1,7))-INDEX(TABLAS!$D$6:$J$47,MATCH(AO19&amp;"|PC",TABLAS!$B$6:$B$47,0),AP19)))</f>
        <v/>
      </c>
      <c r="AW19" s="59" t="str">
        <f>IF(V19&lt;&gt;"SÍ","",INDEX(TABLAS!$D$6:$J$47,MATCH(AO19&amp;"|PL",TABLAS!$B$6:$B$47,0),AP19)+AQ19*(INDEX(TABLAS!$D$6:$J$47,MATCH(AO19&amp;"|PL",TABLAS!$B$6:$B$47,0),MIN(AP19+1,7))-INDEX(TABLAS!$D$6:$J$47,MATCH(AO19&amp;"|PL",TABLAS!$B$6:$B$47,0),AP19)))</f>
        <v/>
      </c>
      <c r="AX19" s="56" t="str">
        <f>IF(V19&lt;&gt;"SÍ","",IF(C19="PERIMETRAL",AV19*AK19*Z19^2*1E-4/1000,0))</f>
        <v/>
      </c>
      <c r="AY19" s="62" t="str">
        <f>IF(V19&lt;&gt;"SÍ","",IF(C19="PERIMETRAL",MAX(MAX(AR19,AT19)*AK19*Z19^2*1E-4/1000,N(T19)),(AK19*(AC19/100)^2/2+DATOS!$C$26*N(P19)*AC19/100)/1000))</f>
        <v/>
      </c>
      <c r="AZ19" s="56" t="str">
        <f>IF(V19&lt;&gt;"SÍ","",IF(C19="PERIMETRAL",AW19*AK19*Z19^2*1E-4/1000,0))</f>
        <v/>
      </c>
      <c r="BA19" s="56" t="str">
        <f>IF(V19&lt;&gt;"SÍ","",IF(C19="PERIMETRAL",MAX(MAX(AS19,AU19)*AK19*Z19^2*1E-4/1000,N(U19)),0))</f>
        <v/>
      </c>
      <c r="BB19" s="63" t="str">
        <f>IF(V19&lt;&gt;"SÍ","",IF(C19&lt;&gt;"PERIMETRAL","—",IF(AND(N(T19)=0,N(U19)=0),"— (sin M⁻ del vecino)",IF(OR(AND(N(T19)&gt;0,ABS(MAX(AR19,AT19)*AK19*Z19^2*1E-4/1000-N(T19))&gt;0.5*MIN(MAX(AR19,AT19)*AK19*Z19^2*1E-4/1000,N(T19))),AND(N(U19)&gt;0,ABS(MAX(AS19,AU19)*AK19*Z19^2*1E-4/1000-N(U19))&gt;0.5*MIN(MAX(AS19,AU19)*AK19*Z19^2*1E-4/1000,N(U19)))),"FUERA: difieren &gt; 50 %"&amp;IF(AND(N(T19)&gt;0,ABS(MAX(AR19,AT19)*AK19*Z19^2*1E-4/1000-N(T19))&gt;0.5*MIN(MAX(AR19,AT19)*AK19*Z19^2*1E-4/1000,N(T19)))," ‖ corto","")&amp;IF(AND(N(U19)&gt;0,ABS(MAX(AS19,AU19)*AK19*Z19^2*1E-4/1000-N(U19))&gt;0.5*MIN(MAX(AS19,AU19)*AK19*Z19^2*1E-4/1000,N(U19)))," ‖ largo",""),"CUMPLE"))))</f>
        <v/>
      </c>
      <c r="BC19" s="58" t="str">
        <f>IF(V19&lt;&gt;"SÍ","",DATOS!$C$139*100*W19)</f>
        <v/>
      </c>
      <c r="BD19" s="57" t="str">
        <f>IF(V19&lt;&gt;"SÍ","",MIN(IF(C19="VOLADO",DATOS!$C$141,DATOS!$C$140)*W19,DATOS!$C$142))</f>
        <v/>
      </c>
      <c r="BE19" s="58" t="str">
        <f>IF(V19&lt;&gt;"SÍ","",(W19-AE19-INDEX(TABLAS!$C$52:$C$58,MATCH(IF(ISNUMBER(S19),S19,DATOS!$C$138),TABLAS!$B$52:$B$58,0))/2))</f>
        <v/>
      </c>
      <c r="BF19" s="58" t="str">
        <f>IF(V19&lt;&gt;"SÍ","",IF(AX19&lt;=0,0,IF((1-2*AX19*1E5/(DATOS!$C$29*100*BE19^2*DATOS!$C$21))&lt;0,-1,IF((1-SQRT((1-2*AX19*1E5/(DATOS!$C$29*100*BE19^2*DATOS!$C$21))))*DATOS!$C$21*100*BE19/DATOS!$C$14&gt;DATOS!$C$102*100*BE19,-1,(1-SQRT((1-2*AX19*1E5/(DATOS!$C$29*100*BE19^2*DATOS!$C$21))))*DATOS!$C$21*100*BE19/DATOS!$C$14))))</f>
        <v/>
      </c>
      <c r="BG19" s="58" t="str">
        <f>IF(V19&lt;&gt;"SÍ","",IF(BF19&lt;0,-1,MAX(BF19,BC19)))</f>
        <v/>
      </c>
      <c r="BH19" s="64" t="str">
        <f>IF(V19&lt;&gt;"SÍ","",IF(AND(BG19&gt;0,FLOOR(MIN(BD19,100*INDEX(TABLAS!$D$52:$D$58,MIN(MATCH(IF(ISNUMBER(S19),S19,DATOS!$C$138),TABLAS!$B$52:$B$58,0)+0,7))/MAX(BG19,0.0001)),DATOS!$C$144)&gt;=DATOS!$C$143),INDEX(TABLAS!$B$52:$B$58,MIN(MATCH(IF(ISNUMBER(S19),S19,DATOS!$C$138),TABLAS!$B$52:$B$58,0)+0,7)),IF(AND(BG19&gt;0,FLOOR(MIN(BD19,100*INDEX(TABLAS!$D$52:$D$58,MIN(MATCH(IF(ISNUMBER(S19),S19,DATOS!$C$138),TABLAS!$B$52:$B$58,0)+1,7))/MAX(BG19,0.0001)),DATOS!$C$144)&gt;=DATOS!$C$143),INDEX(TABLAS!$B$52:$B$58,MIN(MATCH(IF(ISNUMBER(S19),S19,DATOS!$C$138),TABLAS!$B$52:$B$58,0)+1,7)),IF(AND(BG19&gt;0,FLOOR(MIN(BD19,100*INDEX(TABLAS!$D$52:$D$58,MIN(MATCH(IF(ISNUMBER(S19),S19,DATOS!$C$138),TABLAS!$B$52:$B$58,0)+2,7))/MAX(BG19,0.0001)),DATOS!$C$144)&gt;=DATOS!$C$143),INDEX(TABLAS!$B$52:$B$58,MIN(MATCH(IF(ISNUMBER(S19),S19,DATOS!$C$138),TABLAS!$B$52:$B$58,0)+2,7)),IF(AND(BG19&gt;0,FLOOR(MIN(BD19,100*INDEX(TABLAS!$D$52:$D$58,MIN(MATCH(IF(ISNUMBER(S19),S19,DATOS!$C$138),TABLAS!$B$52:$B$58,0)+3,7))/MAX(BG19,0.0001)),DATOS!$C$144)&gt;=DATOS!$C$143),INDEX(TABLAS!$B$52:$B$58,MIN(MATCH(IF(ISNUMBER(S19),S19,DATOS!$C$138),TABLAS!$B$52:$B$58,0)+3,7)),IF(AND(BG19&gt;0,FLOOR(MIN(BD19,100*INDEX(TABLAS!$D$52:$D$58,MIN(MATCH(IF(ISNUMBER(S19),S19,DATOS!$C$138),TABLAS!$B$52:$B$58,0)+4,7))/MAX(BG19,0.0001)),DATOS!$C$144)&gt;=DATOS!$C$143),INDEX(TABLAS!$B$52:$B$58,MIN(MATCH(IF(ISNUMBER(S19),S19,DATOS!$C$138),TABLAS!$B$52:$B$58,0)+4,7)),INDEX(TABLAS!$B$52:$B$58,7)))))))</f>
        <v/>
      </c>
      <c r="BI19" s="71" t="str">
        <f>IF(V19&lt;&gt;"SÍ","",IF(BG19&lt;=0,0,FLOOR(MIN(BD19,100*INDEX(TABLAS!$D$52:$D$58,MATCH(BH19,TABLAS!$B$52:$B$58,0))/BG19),DATOS!$C$144)))</f>
        <v/>
      </c>
      <c r="BJ19" s="58" t="str">
        <f>IF(V19&lt;&gt;"SÍ","",IF(BI19&lt;=0,0,INDEX(TABLAS!$D$52:$D$58,MATCH(BH19,TABLAS!$B$52:$B$58,0))*100/BI19))</f>
        <v/>
      </c>
      <c r="BK19" s="58" t="str">
        <f>IF(V19&lt;&gt;"SÍ","",W19-AE19-INDEX(TABLAS!$C$52:$C$58,MATCH(BH19,TABLAS!$B$52:$B$58,0))/2)</f>
        <v/>
      </c>
      <c r="BL19" s="56" t="str">
        <f>IF(V19&lt;&gt;"SÍ","",IF(BJ19=0,0,DATOS!$C$29*BJ19*DATOS!$C$14*(BK19-BJ19*DATOS!$C$14/(DATOS!$C$21*100)/2)/1E5))</f>
        <v/>
      </c>
      <c r="BM19" s="65" t="str">
        <f>IF(V19&lt;&gt;"SÍ","",IF(BG19&lt;0,9.99,IF(BL19&gt;0,AX19/BL19,0)))</f>
        <v/>
      </c>
      <c r="BN19" s="66" t="str">
        <f>IF(V19&lt;&gt;"SÍ","",IF(BJ19=0,"—",0.003*(BK19-(BJ19*DATOS!$C$14/(DATOS!$C$21*100)/DATOS!$C$22))/(BJ19*DATOS!$C$14/(DATOS!$C$21*100)/DATOS!$C$22)))</f>
        <v/>
      </c>
      <c r="BO19" s="58" t="str">
        <f>IF(V19&lt;&gt;"SÍ","",((W19-AF19-INDEX(TABLAS!$C$52:$C$58,MATCH(IF(ISNUMBER(S19),S19,DATOS!$C$138),TABLAS!$B$52:$B$58,0))/2)-IF(AND((W19-AF19-INDEX(TABLAS!$C$52:$C$58,MATCH(IF(ISNUMBER(S19),S19,DATOS!$C$138),TABLAS!$B$52:$B$58,0))/2)&lt;=20,DATOS!$C$65&lt;&gt;"SÍ"),2,0)))</f>
        <v/>
      </c>
      <c r="BP19" s="58" t="str">
        <f>IF(V19&lt;&gt;"SÍ","",IF(AY19&lt;=0,0,IF((1-2*AY19*1E5/(DATOS!$C$29*100*BO19^2*DATOS!$C$21))&lt;0,-1,IF((1-SQRT((1-2*AY19*1E5/(DATOS!$C$29*100*BO19^2*DATOS!$C$21))))*DATOS!$C$21*100*BO19/DATOS!$C$14&gt;DATOS!$C$102*100*BO19,-1,(1-SQRT((1-2*AY19*1E5/(DATOS!$C$29*100*BO19^2*DATOS!$C$21))))*DATOS!$C$21*100*BO19/DATOS!$C$14))))</f>
        <v/>
      </c>
      <c r="BQ19" s="58" t="str">
        <f>IF(V19&lt;&gt;"SÍ","",IF(BP19&lt;0,-1,MAX(BP19,BC19)))</f>
        <v/>
      </c>
      <c r="BR19" s="64" t="str">
        <f>IF(V19&lt;&gt;"SÍ","",IF(AND(BQ19&gt;0,FLOOR(MIN(BD19,100*INDEX(TABLAS!$D$52:$D$58,MIN(MATCH(IF(ISNUMBER(S19),S19,DATOS!$C$138),TABLAS!$B$52:$B$58,0)+0,7))/MAX(BQ19,0.0001)),DATOS!$C$144)&gt;=DATOS!$C$143),INDEX(TABLAS!$B$52:$B$58,MIN(MATCH(IF(ISNUMBER(S19),S19,DATOS!$C$138),TABLAS!$B$52:$B$58,0)+0,7)),IF(AND(BQ19&gt;0,FLOOR(MIN(BD19,100*INDEX(TABLAS!$D$52:$D$58,MIN(MATCH(IF(ISNUMBER(S19),S19,DATOS!$C$138),TABLAS!$B$52:$B$58,0)+1,7))/MAX(BQ19,0.0001)),DATOS!$C$144)&gt;=DATOS!$C$143),INDEX(TABLAS!$B$52:$B$58,MIN(MATCH(IF(ISNUMBER(S19),S19,DATOS!$C$138),TABLAS!$B$52:$B$58,0)+1,7)),IF(AND(BQ19&gt;0,FLOOR(MIN(BD19,100*INDEX(TABLAS!$D$52:$D$58,MIN(MATCH(IF(ISNUMBER(S19),S19,DATOS!$C$138),TABLAS!$B$52:$B$58,0)+2,7))/MAX(BQ19,0.0001)),DATOS!$C$144)&gt;=DATOS!$C$143),INDEX(TABLAS!$B$52:$B$58,MIN(MATCH(IF(ISNUMBER(S19),S19,DATOS!$C$138),TABLAS!$B$52:$B$58,0)+2,7)),IF(AND(BQ19&gt;0,FLOOR(MIN(BD19,100*INDEX(TABLAS!$D$52:$D$58,MIN(MATCH(IF(ISNUMBER(S19),S19,DATOS!$C$138),TABLAS!$B$52:$B$58,0)+3,7))/MAX(BQ19,0.0001)),DATOS!$C$144)&gt;=DATOS!$C$143),INDEX(TABLAS!$B$52:$B$58,MIN(MATCH(IF(ISNUMBER(S19),S19,DATOS!$C$138),TABLAS!$B$52:$B$58,0)+3,7)),IF(AND(BQ19&gt;0,FLOOR(MIN(BD19,100*INDEX(TABLAS!$D$52:$D$58,MIN(MATCH(IF(ISNUMBER(S19),S19,DATOS!$C$138),TABLAS!$B$52:$B$58,0)+4,7))/MAX(BQ19,0.0001)),DATOS!$C$144)&gt;=DATOS!$C$143),INDEX(TABLAS!$B$52:$B$58,MIN(MATCH(IF(ISNUMBER(S19),S19,DATOS!$C$138),TABLAS!$B$52:$B$58,0)+4,7)),INDEX(TABLAS!$B$52:$B$58,7)))))))</f>
        <v/>
      </c>
      <c r="BS19" s="71" t="str">
        <f>IF(V19&lt;&gt;"SÍ","",IF(BQ19&lt;=0,0,FLOOR(MIN(BD19,100*INDEX(TABLAS!$D$52:$D$58,MATCH(BR19,TABLAS!$B$52:$B$58,0))/BQ19),DATOS!$C$144)))</f>
        <v/>
      </c>
      <c r="BT19" s="58" t="str">
        <f>IF(V19&lt;&gt;"SÍ","",IF(BS19&lt;=0,0,INDEX(TABLAS!$D$52:$D$58,MATCH(BR19,TABLAS!$B$52:$B$58,0))*100/BS19))</f>
        <v/>
      </c>
      <c r="BU19" s="58" t="str">
        <f>IF(V19&lt;&gt;"SÍ","",((W19-AF19-INDEX(TABLAS!$C$52:$C$58,MATCH(BR19,TABLAS!$B$52:$B$58,0))/2)-IF(AND((W19-AF19-INDEX(TABLAS!$C$52:$C$58,MATCH(BR19,TABLAS!$B$52:$B$58,0))/2)&lt;=20,DATOS!$C$65&lt;&gt;"SÍ"),2,0)))</f>
        <v/>
      </c>
      <c r="BV19" s="56" t="str">
        <f>IF(V19&lt;&gt;"SÍ","",IF(BT19=0,0,DATOS!$C$29*BT19*DATOS!$C$14*(BU19-BT19*DATOS!$C$14/(DATOS!$C$21*100)/2)/1E5))</f>
        <v/>
      </c>
      <c r="BW19" s="65" t="str">
        <f>IF(V19&lt;&gt;"SÍ","",IF(BQ19&lt;0,9.99,IF(BV19&gt;0,AY19/BV19,0)))</f>
        <v/>
      </c>
      <c r="BX19" s="66" t="str">
        <f>IF(V19&lt;&gt;"SÍ","",IF(BT19=0,"—",0.003*(BU19-(BT19*DATOS!$C$14/(DATOS!$C$21*100)/DATOS!$C$22))/(BT19*DATOS!$C$14/(DATOS!$C$21*100)/DATOS!$C$22)))</f>
        <v/>
      </c>
      <c r="BY19" s="58" t="str">
        <f>IF(V19&lt;&gt;"SÍ","",(W19-AE19-1.5*INDEX(TABLAS!$C$52:$C$58,MATCH(IF(ISNUMBER(S19),S19,DATOS!$C$138),TABLAS!$B$52:$B$58,0))))</f>
        <v/>
      </c>
      <c r="BZ19" s="58" t="str">
        <f>IF(V19&lt;&gt;"SÍ","",IF(AZ19&lt;=0,0,IF((1-2*AZ19*1E5/(DATOS!$C$29*100*BY19^2*DATOS!$C$21))&lt;0,-1,IF((1-SQRT((1-2*AZ19*1E5/(DATOS!$C$29*100*BY19^2*DATOS!$C$21))))*DATOS!$C$21*100*BY19/DATOS!$C$14&gt;DATOS!$C$102*100*BY19,-1,(1-SQRT((1-2*AZ19*1E5/(DATOS!$C$29*100*BY19^2*DATOS!$C$21))))*DATOS!$C$21*100*BY19/DATOS!$C$14))))</f>
        <v/>
      </c>
      <c r="CA19" s="58" t="str">
        <f>IF(V19&lt;&gt;"SÍ","",IF(BZ19&lt;0,-1,MAX(BZ19,BC19)))</f>
        <v/>
      </c>
      <c r="CB19" s="64" t="str">
        <f>IF(V19&lt;&gt;"SÍ","",IF(AND(CA19&gt;0,FLOOR(MIN(BD19,100*INDEX(TABLAS!$D$52:$D$58,MIN(MATCH(IF(ISNUMBER(S19),S19,DATOS!$C$138),TABLAS!$B$52:$B$58,0)+0,7))/MAX(CA19,0.0001)),DATOS!$C$144)&gt;=DATOS!$C$143),INDEX(TABLAS!$B$52:$B$58,MIN(MATCH(IF(ISNUMBER(S19),S19,DATOS!$C$138),TABLAS!$B$52:$B$58,0)+0,7)),IF(AND(CA19&gt;0,FLOOR(MIN(BD19,100*INDEX(TABLAS!$D$52:$D$58,MIN(MATCH(IF(ISNUMBER(S19),S19,DATOS!$C$138),TABLAS!$B$52:$B$58,0)+1,7))/MAX(CA19,0.0001)),DATOS!$C$144)&gt;=DATOS!$C$143),INDEX(TABLAS!$B$52:$B$58,MIN(MATCH(IF(ISNUMBER(S19),S19,DATOS!$C$138),TABLAS!$B$52:$B$58,0)+1,7)),IF(AND(CA19&gt;0,FLOOR(MIN(BD19,100*INDEX(TABLAS!$D$52:$D$58,MIN(MATCH(IF(ISNUMBER(S19),S19,DATOS!$C$138),TABLAS!$B$52:$B$58,0)+2,7))/MAX(CA19,0.0001)),DATOS!$C$144)&gt;=DATOS!$C$143),INDEX(TABLAS!$B$52:$B$58,MIN(MATCH(IF(ISNUMBER(S19),S19,DATOS!$C$138),TABLAS!$B$52:$B$58,0)+2,7)),IF(AND(CA19&gt;0,FLOOR(MIN(BD19,100*INDEX(TABLAS!$D$52:$D$58,MIN(MATCH(IF(ISNUMBER(S19),S19,DATOS!$C$138),TABLAS!$B$52:$B$58,0)+3,7))/MAX(CA19,0.0001)),DATOS!$C$144)&gt;=DATOS!$C$143),INDEX(TABLAS!$B$52:$B$58,MIN(MATCH(IF(ISNUMBER(S19),S19,DATOS!$C$138),TABLAS!$B$52:$B$58,0)+3,7)),IF(AND(CA19&gt;0,FLOOR(MIN(BD19,100*INDEX(TABLAS!$D$52:$D$58,MIN(MATCH(IF(ISNUMBER(S19),S19,DATOS!$C$138),TABLAS!$B$52:$B$58,0)+4,7))/MAX(CA19,0.0001)),DATOS!$C$144)&gt;=DATOS!$C$143),INDEX(TABLAS!$B$52:$B$58,MIN(MATCH(IF(ISNUMBER(S19),S19,DATOS!$C$138),TABLAS!$B$52:$B$58,0)+4,7)),INDEX(TABLAS!$B$52:$B$58,7)))))))</f>
        <v/>
      </c>
      <c r="CC19" s="71" t="str">
        <f>IF(V19&lt;&gt;"SÍ","",IF(CA19&lt;=0,0,FLOOR(MIN(BD19,100*INDEX(TABLAS!$D$52:$D$58,MATCH(CB19,TABLAS!$B$52:$B$58,0))/CA19),DATOS!$C$144)))</f>
        <v/>
      </c>
      <c r="CD19" s="58" t="str">
        <f>IF(V19&lt;&gt;"SÍ","",IF(CC19&lt;=0,0,INDEX(TABLAS!$D$52:$D$58,MATCH(CB19,TABLAS!$B$52:$B$58,0))*100/CC19))</f>
        <v/>
      </c>
      <c r="CE19" s="58" t="str">
        <f>IF(V19&lt;&gt;"SÍ","",W19-AE19-INDEX(TABLAS!$C$52:$C$58,MATCH(BH19,TABLAS!$B$52:$B$58,0))-INDEX(TABLAS!$C$52:$C$58,MATCH(CB19,TABLAS!$B$52:$B$58,0))/2)</f>
        <v/>
      </c>
      <c r="CF19" s="56" t="str">
        <f>IF(V19&lt;&gt;"SÍ","",IF(CD19=0,0,DATOS!$C$29*CD19*DATOS!$C$14*(CE19-CD19*DATOS!$C$14/(DATOS!$C$21*100)/2)/1E5))</f>
        <v/>
      </c>
      <c r="CG19" s="65" t="str">
        <f>IF(V19&lt;&gt;"SÍ","",IF(CA19&lt;0,9.99,IF(CF19&gt;0,AZ19/CF19,0)))</f>
        <v/>
      </c>
      <c r="CH19" s="66" t="str">
        <f>IF(V19&lt;&gt;"SÍ","",IF(CD19=0,"—",0.003*(CE19-(CD19*DATOS!$C$14/(DATOS!$C$21*100)/DATOS!$C$22))/(CD19*DATOS!$C$14/(DATOS!$C$21*100)/DATOS!$C$22)))</f>
        <v/>
      </c>
      <c r="CI19" s="58" t="str">
        <f>IF(V19&lt;&gt;"SÍ","",((W19-AF19-1.5*INDEX(TABLAS!$C$52:$C$58,MATCH(IF(ISNUMBER(S19),S19,DATOS!$C$138),TABLAS!$B$52:$B$58,0)))-IF(AND((W19-AF19-1.5*INDEX(TABLAS!$C$52:$C$58,MATCH(IF(ISNUMBER(S19),S19,DATOS!$C$138),TABLAS!$B$52:$B$58,0)))&lt;=20,DATOS!$C$65&lt;&gt;"SÍ"),2,0)))</f>
        <v/>
      </c>
      <c r="CJ19" s="58" t="str">
        <f>IF(V19&lt;&gt;"SÍ","",IF(BA19&lt;=0,0,IF((1-2*BA19*1E5/(DATOS!$C$29*100*CI19^2*DATOS!$C$21))&lt;0,-1,IF((1-SQRT((1-2*BA19*1E5/(DATOS!$C$29*100*CI19^2*DATOS!$C$21))))*DATOS!$C$21*100*CI19/DATOS!$C$14&gt;DATOS!$C$102*100*CI19,-1,(1-SQRT((1-2*BA19*1E5/(DATOS!$C$29*100*CI19^2*DATOS!$C$21))))*DATOS!$C$21*100*CI19/DATOS!$C$14))))</f>
        <v/>
      </c>
      <c r="CK19" s="58" t="str">
        <f>IF(V19&lt;&gt;"SÍ","",IF(CJ19&lt;0,-1,MAX(CJ19,BC19)))</f>
        <v/>
      </c>
      <c r="CL19" s="64" t="str">
        <f>IF(V19&lt;&gt;"SÍ","",IF(AND(CK19&gt;0,FLOOR(MIN(BD19,100*INDEX(TABLAS!$D$52:$D$58,MIN(MATCH(IF(ISNUMBER(S19),S19,DATOS!$C$138),TABLAS!$B$52:$B$58,0)+0,7))/MAX(CK19,0.0001)),DATOS!$C$144)&gt;=DATOS!$C$143),INDEX(TABLAS!$B$52:$B$58,MIN(MATCH(IF(ISNUMBER(S19),S19,DATOS!$C$138),TABLAS!$B$52:$B$58,0)+0,7)),IF(AND(CK19&gt;0,FLOOR(MIN(BD19,100*INDEX(TABLAS!$D$52:$D$58,MIN(MATCH(IF(ISNUMBER(S19),S19,DATOS!$C$138),TABLAS!$B$52:$B$58,0)+1,7))/MAX(CK19,0.0001)),DATOS!$C$144)&gt;=DATOS!$C$143),INDEX(TABLAS!$B$52:$B$58,MIN(MATCH(IF(ISNUMBER(S19),S19,DATOS!$C$138),TABLAS!$B$52:$B$58,0)+1,7)),IF(AND(CK19&gt;0,FLOOR(MIN(BD19,100*INDEX(TABLAS!$D$52:$D$58,MIN(MATCH(IF(ISNUMBER(S19),S19,DATOS!$C$138),TABLAS!$B$52:$B$58,0)+2,7))/MAX(CK19,0.0001)),DATOS!$C$144)&gt;=DATOS!$C$143),INDEX(TABLAS!$B$52:$B$58,MIN(MATCH(IF(ISNUMBER(S19),S19,DATOS!$C$138),TABLAS!$B$52:$B$58,0)+2,7)),IF(AND(CK19&gt;0,FLOOR(MIN(BD19,100*INDEX(TABLAS!$D$52:$D$58,MIN(MATCH(IF(ISNUMBER(S19),S19,DATOS!$C$138),TABLAS!$B$52:$B$58,0)+3,7))/MAX(CK19,0.0001)),DATOS!$C$144)&gt;=DATOS!$C$143),INDEX(TABLAS!$B$52:$B$58,MIN(MATCH(IF(ISNUMBER(S19),S19,DATOS!$C$138),TABLAS!$B$52:$B$58,0)+3,7)),IF(AND(CK19&gt;0,FLOOR(MIN(BD19,100*INDEX(TABLAS!$D$52:$D$58,MIN(MATCH(IF(ISNUMBER(S19),S19,DATOS!$C$138),TABLAS!$B$52:$B$58,0)+4,7))/MAX(CK19,0.0001)),DATOS!$C$144)&gt;=DATOS!$C$143),INDEX(TABLAS!$B$52:$B$58,MIN(MATCH(IF(ISNUMBER(S19),S19,DATOS!$C$138),TABLAS!$B$52:$B$58,0)+4,7)),INDEX(TABLAS!$B$52:$B$58,7)))))))</f>
        <v/>
      </c>
      <c r="CM19" s="71" t="str">
        <f>IF(V19&lt;&gt;"SÍ","",IF(CK19&lt;=0,0,FLOOR(MIN(BD19,100*INDEX(TABLAS!$D$52:$D$58,MATCH(CL19,TABLAS!$B$52:$B$58,0))/CK19),DATOS!$C$144)))</f>
        <v/>
      </c>
      <c r="CN19" s="58" t="str">
        <f>IF(V19&lt;&gt;"SÍ","",IF(CM19&lt;=0,0,INDEX(TABLAS!$D$52:$D$58,MATCH(CL19,TABLAS!$B$52:$B$58,0))*100/CM19))</f>
        <v/>
      </c>
      <c r="CO19" s="58" t="str">
        <f>IF(V19&lt;&gt;"SÍ","",((W19-AF19-INDEX(TABLAS!$C$52:$C$58,MATCH(BR19,TABLAS!$B$52:$B$58,0))-INDEX(TABLAS!$C$52:$C$58,MATCH(CL19,TABLAS!$B$52:$B$58,0))/2)-IF(AND((W19-AF19-INDEX(TABLAS!$C$52:$C$58,MATCH(BR19,TABLAS!$B$52:$B$58,0))-INDEX(TABLAS!$C$52:$C$58,MATCH(CL19,TABLAS!$B$52:$B$58,0))/2)&lt;=20,DATOS!$C$65&lt;&gt;"SÍ"),2,0)))</f>
        <v/>
      </c>
      <c r="CP19" s="56" t="str">
        <f>IF(V19&lt;&gt;"SÍ","",IF(CN19=0,0,DATOS!$C$29*CN19*DATOS!$C$14*(CO19-CN19*DATOS!$C$14/(DATOS!$C$21*100)/2)/1E5))</f>
        <v/>
      </c>
      <c r="CQ19" s="65" t="str">
        <f>IF(V19&lt;&gt;"SÍ","",IF(CK19&lt;0,9.99,IF(CP19&gt;0,BA19/CP19,0)))</f>
        <v/>
      </c>
      <c r="CR19" s="66" t="str">
        <f>IF(V19&lt;&gt;"SÍ","",IF(CN19=0,"—",0.003*(CO19-(CN19*DATOS!$C$14/(DATOS!$C$21*100)/DATOS!$C$22))/(CN19*DATOS!$C$14/(DATOS!$C$21*100)/DATOS!$C$22)))</f>
        <v/>
      </c>
      <c r="CS19" s="56" t="str">
        <f>IF(V19&lt;&gt;"SÍ","",IF(C19="PERIMETRAL",MAX(0,(AC19/2-BU19)/100)*(0.95-0.5*AB19)*AK19*IF(AND(AL19&gt;0,AL19&lt;4),DATOS!$C$33,1)/1000,(AK19*MAX(0,AC19-BU19)/100+DATOS!$C$26*N(P19))/1000))</f>
        <v/>
      </c>
      <c r="CT19" s="66" t="str">
        <f>IF(V19&lt;&gt;"SÍ","",BT19/(100*BU19))</f>
        <v/>
      </c>
      <c r="CU19" s="56" t="str">
        <f>IF(V19&lt;&gt;"SÍ","",DATOS!$C$30*2*MIN(1,SQRT(2/(1+0.04*BU19)))*CT19^(1/3)*SQRT(DATOS!$C$13)*100*BU19/1000)</f>
        <v/>
      </c>
      <c r="CV19" s="67" t="str">
        <f>IF(V19&lt;&gt;"SÍ","",IF(CS19&lt;=CU19,"CUMPLE","NO CUMPLE: sube h"))</f>
        <v/>
      </c>
      <c r="CW19" s="58" t="str">
        <f>IF(V19&lt;&gt;"SÍ","",IF(C19="PERIMETRAL",IF(ISNUMBER(R19),R19,DATOS!$C$104),0))</f>
        <v/>
      </c>
      <c r="CX19" s="57" t="str">
        <f>IF(V19&lt;&gt;"SÍ","",IF(C19="PERIMETRAL",IF(CW19&gt;2,MAX(9,AD19*(0.8+DATOS!$C$14/14000)/(36+9*(AD19/MAX(AC19,1)))),IF(CW19&gt;0.2,MAX(13,AD19*(0.8+DATOS!$C$14/14000)/(36+5*(AD19/MAX(AC19,1))*(CW19-0.2))),MAX(13,AD19/IF(AL19&gt;0,30,33))))*IF(AND(CW19&gt;0.2,AL19&gt;0,DATOS!$C$105="NO"),1.1,1),Z19*100/DATOS!$C$145*(0.4+DATOS!$C$14/7000)))</f>
        <v/>
      </c>
      <c r="CY19" s="61" t="str">
        <f>IF(V19&lt;&gt;"SÍ","",IF(W19&gt;=CX19-0.001,"CUMPLE",IF(C19="VOLADO","NO CUMPLE","CALCULAR FLECHA")))</f>
        <v/>
      </c>
      <c r="CZ19" s="60" t="str">
        <f>IF(V19&lt;&gt;"SÍ","",IF(C19="VOLADO",MIN(FLOOR(IF(ISNUMBER(Q19),Q19,Z19)*100-DATOS!$C$63,5),CEILING(MAX(IF((0.5*(0.9*W19/100*DATOS!$C$16)*IF(ISNUMBER(Q19),Q19,Z19)+AY19/IF(ISNUMBER(Q19),Q19,Z19))^2-4*(0.5*(0.9*W19/100*DATOS!$C$16))*AY19&lt;0,IF(ISNUMBER(Q19),Q19,Z19),MIN(IF(ISNUMBER(Q19),Q19,Z19),((0.5*(0.9*W19/100*DATOS!$C$16)*IF(ISNUMBER(Q19),Q19,Z19)+AY19/IF(ISNUMBER(Q19),Q19,Z19))-SQRT((0.5*(0.9*W19/100*DATOS!$C$16)*IF(ISNUMBER(Q19),Q19,Z19)+AY19/IF(ISNUMBER(Q19),Q19,Z19))^2-4*(0.5*(0.9*W19/100*DATOS!$C$16))*AY19))/(2*(0.5*(0.9*W19/100*DATOS!$C$16)))))*100+MAX(BU19,12*INDEX(TABLAS!$C$52:$C$58,MATCH(BR19,TABLAS!$B$52:$B$58,0)),IF(ISNUMBER(Q19),Q19,Z19)*100/16),IF(OR(AF19&lt;INDEX(TABLAS!$C$52:$C$58,MATCH(BR19,TABLAS!$B$52:$B$58,0)),BS19-INDEX(TABLAS!$C$52:$C$58,MATCH(BR19,TABLAS!$B$52:$B$58,0))&lt;2*INDEX(TABLAS!$C$52:$C$58,MATCH(BR19,TABLAS!$B$52:$B$58,0))),INDEX(TABLAS!$I$52:$I$58,MATCH(BR19,TABLAS!$B$52:$B$58,0)),INDEX(TABLAS!$F$52:$F$58,MATCH(BR19,TABLAS!$B$52:$B$58,0)))),5)),IF(((4*((AV19*AK19*Z19^2*1E-4/1000)+((MAX(AR19,AT19)*AK19*Z19^2*1E-4/1000)+(IF(AND(AR19&gt;0,AT19&gt;0),MIN(AR19,AT19),MAX(AR19,AT19))*AK19*Z19^2*1E-4/1000))/2)+AY19-(IF(AND(AR19&gt;0,AT19&gt;0),MIN(AR19,AT19),MAX(AR19,AT19))*AK19*Z19^2*1E-4/1000))^2-16*((AV19*AK19*Z19^2*1E-4/1000)+((MAX(AR19,AT19)*AK19*Z19^2*1E-4/1000)+(IF(AND(AR19&gt;0,AT19&gt;0),MIN(AR19,AT19),MAX(AR19,AT19))*AK19*Z19^2*1E-4/1000))/2)*AY19)&lt;0,CEILING(AC19,5),CEILING(MAX(AC19*((4*((AV19*AK19*Z19^2*1E-4/1000)+((MAX(AR19,AT19)*AK19*Z19^2*1E-4/1000)+(IF(AND(AR19&gt;0,AT19&gt;0),MIN(AR19,AT19),MAX(AR19,AT19))*AK19*Z19^2*1E-4/1000))/2)+AY19-(IF(AND(AR19&gt;0,AT19&gt;0),MIN(AR19,AT19),MAX(AR19,AT19))*AK19*Z19^2*1E-4/1000))-SQRT(MAX(0,((4*((AV19*AK19*Z19^2*1E-4/1000)+((MAX(AR19,AT19)*AK19*Z19^2*1E-4/1000)+(IF(AND(AR19&gt;0,AT19&gt;0),MIN(AR19,AT19),MAX(AR19,AT19))*AK19*Z19^2*1E-4/1000))/2)+AY19-(IF(AND(AR19&gt;0,AT19&gt;0),MIN(AR19,AT19),MAX(AR19,AT19))*AK19*Z19^2*1E-4/1000))^2-16*((AV19*AK19*Z19^2*1E-4/1000)+((MAX(AR19,AT19)*AK19*Z19^2*1E-4/1000)+(IF(AND(AR19&gt;0,AT19&gt;0),MIN(AR19,AT19),MAX(AR19,AT19))*AK19*Z19^2*1E-4/1000))/2)*AY19))))/(8*MAX(((AV19*AK19*Z19^2*1E-4/1000)+((MAX(AR19,AT19)*AK19*Z19^2*1E-4/1000)+(IF(AND(AR19&gt;0,AT19&gt;0),MIN(AR19,AT19),MAX(AR19,AT19))*AK19*Z19^2*1E-4/1000))/2),1E-9))+MAX(BU19,12*INDEX(TABLAS!$C$52:$C$58,MATCH(BR19,TABLAS!$B$52:$B$58,0)),AC19/16),IF(OR(AF19&lt;INDEX(TABLAS!$C$52:$C$58,MATCH(BR19,TABLAS!$B$52:$B$58,0)),BS19-INDEX(TABLAS!$C$52:$C$58,MATCH(BR19,TABLAS!$B$52:$B$58,0))&lt;2*INDEX(TABLAS!$C$52:$C$58,MATCH(BR19,TABLAS!$B$52:$B$58,0))),INDEX(TABLAS!$I$52:$I$58,MATCH(BR19,TABLAS!$B$52:$B$58,0)),INDEX(TABLAS!$F$52:$F$58,MATCH(BR19,TABLAS!$B$52:$B$58,0)))),5))))</f>
        <v/>
      </c>
      <c r="DA19" s="60" t="str">
        <f>IF(V19&lt;&gt;"SÍ","",IF(C19="VOLADO",0,IF(((4*((AW19*AK19*Z19^2*1E-4/1000)+((MAX(AS19,AU19)*AK19*Z19^2*1E-4/1000)+(IF(AND(AS19&gt;0,AU19&gt;0),MIN(AS19,AU19),MAX(AS19,AU19))*AK19*Z19^2*1E-4/1000))/2)+BA19-(IF(AND(AS19&gt;0,AU19&gt;0),MIN(AS19,AU19),MAX(AS19,AU19))*AK19*Z19^2*1E-4/1000))^2-16*((AW19*AK19*Z19^2*1E-4/1000)+((MAX(AS19,AU19)*AK19*Z19^2*1E-4/1000)+(IF(AND(AS19&gt;0,AU19&gt;0),MIN(AS19,AU19),MAX(AS19,AU19))*AK19*Z19^2*1E-4/1000))/2)*BA19)&lt;0,CEILING(AD19,5),CEILING(MAX(AD19*((4*((AW19*AK19*Z19^2*1E-4/1000)+((MAX(AS19,AU19)*AK19*Z19^2*1E-4/1000)+(IF(AND(AS19&gt;0,AU19&gt;0),MIN(AS19,AU19),MAX(AS19,AU19))*AK19*Z19^2*1E-4/1000))/2)+BA19-(IF(AND(AS19&gt;0,AU19&gt;0),MIN(AS19,AU19),MAX(AS19,AU19))*AK19*Z19^2*1E-4/1000))-SQRT(MAX(0,((4*((AW19*AK19*Z19^2*1E-4/1000)+((MAX(AS19,AU19)*AK19*Z19^2*1E-4/1000)+(IF(AND(AS19&gt;0,AU19&gt;0),MIN(AS19,AU19),MAX(AS19,AU19))*AK19*Z19^2*1E-4/1000))/2)+BA19-(IF(AND(AS19&gt;0,AU19&gt;0),MIN(AS19,AU19),MAX(AS19,AU19))*AK19*Z19^2*1E-4/1000))^2-16*((AW19*AK19*Z19^2*1E-4/1000)+((MAX(AS19,AU19)*AK19*Z19^2*1E-4/1000)+(IF(AND(AS19&gt;0,AU19&gt;0),MIN(AS19,AU19),MAX(AS19,AU19))*AK19*Z19^2*1E-4/1000))/2)*BA19))))/(8*MAX(((AW19*AK19*Z19^2*1E-4/1000)+((MAX(AS19,AU19)*AK19*Z19^2*1E-4/1000)+(IF(AND(AS19&gt;0,AU19&gt;0),MIN(AS19,AU19),MAX(AS19,AU19))*AK19*Z19^2*1E-4/1000))/2),1E-9))+MAX(CO19,12*INDEX(TABLAS!$C$52:$C$58,MATCH(CL19,TABLAS!$B$52:$B$58,0)),AD19/16),IF(OR(AF19&lt;INDEX(TABLAS!$C$52:$C$58,MATCH(CL19,TABLAS!$B$52:$B$58,0)),CM19-INDEX(TABLAS!$C$52:$C$58,MATCH(CL19,TABLAS!$B$52:$B$58,0))&lt;2*INDEX(TABLAS!$C$52:$C$58,MATCH(CL19,TABLAS!$B$52:$B$58,0))),INDEX(TABLAS!$I$52:$I$58,MATCH(CL19,TABLAS!$B$52:$B$58,0)),INDEX(TABLAS!$F$52:$F$58,MATCH(CL19,TABLAS!$B$52:$B$58,0)))),5))))</f>
        <v/>
      </c>
      <c r="DB19" s="55" t="str">
        <f>IF(V19&lt;&gt;"SÍ","",IF(AND(C19="PERIMETRAL",AL19-AM19&gt;0,AT19&gt;0),"SÍ","NO"))</f>
        <v/>
      </c>
      <c r="DC19" s="55" t="str">
        <f>IF(V19&lt;&gt;"SÍ","",IF(AND(C19="PERIMETRAL",AM19&gt;0,AU19&gt;0),"SÍ","NO"))</f>
        <v/>
      </c>
      <c r="DD19" s="63" t="str">
        <f>IF(V19&lt;&gt;"SÍ","",IF(OR(C19="VOLADO",AL19=0),"—",IF(AND(AND(INDEX(TABLAS!$G$52:$G$58,MATCH(MAX(BR19,CL19),TABLAS!$B$52:$B$58,0))&lt;=(DATOS!$C$75-DATOS!$C$63),(DATOS!$C$75-DATOS!$C$63)&gt;=15),8*INDEX(TABLAS!$C$52:$C$58,MATCH(MAX(BH19,CB19,BR19,CL19),TABLAS!$B$52:$B$58,0))&lt;=DATOS!$C$76-2*DATOS!$C$63),"CUMPLE (gancho de 180°)",IF(AND(INDEX(TABLAS!$G$52:$G$58,MATCH(MAX(BR19,CL19),TABLAS!$B$52:$B$58,0))&lt;=(DATOS!$C$75-DATOS!$C$63),(DATOS!$C$75-DATOS!$C$63)&gt;=15),"NO CUMPLE: el gancho de 180° (8·d_b) no cabe en el peralte de la dala de borde","NO CUMPLE: dala de borde ≥ "&amp;TEXT(CEILING(MAX(INDEX(TABLAS!$G$52:$G$58,MATCH(MAX(BR19,CL19),TABLAS!$B$52:$B$58,0)),15)+DATOS!$C$63,5),"0")&amp;" cm de ancho"&amp;IF(8*INDEX(TABLAS!$C$52:$C$58,MATCH(MAX(BH19,CB19,BR19,CL19),TABLAS!$B$52:$B$58,0))&lt;=DATOS!$C$76-2*DATOS!$C$63,""," y más peralte para el gancho")))))</f>
        <v/>
      </c>
      <c r="DE19" s="69" t="str">
        <f>IF(V19&lt;&gt;"SÍ","",IF(BI19=0,"NO ALCANZA","No. "&amp;BH19&amp;" @ "&amp;BI19&amp;" cm"&amp;IF(C19="VOLADO"," (temperatura)","")))</f>
        <v/>
      </c>
      <c r="DF19" s="69" t="str">
        <f>IF(V19&lt;&gt;"SÍ","",IF(BS19=0,"NO ALCANZA",IF(C19="VOLADO","No. "&amp;BR19&amp;" @ "&amp;BS19&amp;" cm"&amp;" de la orilla al respaldo ("&amp;IF(CZ19&gt;=FLOOR(100*IF(ISNUMBER(Q19),Q19,Z19)-DATOS!$C$63,5),"hasta su apoyo lejano, con gancho","entran "&amp;TEXT(CZ19/100,"0.00")&amp;" m desde el paño")&amp;")","Bastones "&amp;"No. "&amp;BR19&amp;" @ "&amp;BS19&amp;" cm"&amp;", L = "&amp;TEXT(CZ19/100,"0.00")&amp;" m desde el paño")))</f>
        <v/>
      </c>
      <c r="DG19" s="69" t="str">
        <f>IF(V19&lt;&gt;"SÍ","",IF(CC19=0,"NO ALCANZA","No. "&amp;CB19&amp;" @ "&amp;CC19&amp;" cm"&amp;IF(C19="VOLADO"," (repartición)","")))</f>
        <v/>
      </c>
      <c r="DH19" s="69" t="str">
        <f>IF(V19&lt;&gt;"SÍ","",IF(CM19=0,"NO ALCANZA",IF(C19="VOLADO","No. "&amp;CL19&amp;" @ "&amp;CM19&amp;" cm"&amp;" (repartición)","Bastones "&amp;"No. "&amp;CL19&amp;" @ "&amp;CM19&amp;" cm"&amp;", L = "&amp;TEXT(DA19/100,"0.00")&amp;" m desde el paño")))</f>
        <v/>
      </c>
      <c r="DI19" s="67" t="str">
        <f>IF(B19="","",IF(V19&lt;&gt;"SÍ","FALTAN DATOS: tipo, a_x, a_y, destino y, en volados, L_b",IF(L19="NO MONOLÍTICO (caso II)","FUERA DE ALCANCE: caso II no transcrito",IF(AND(C19="VOLADO",X19="?"),"REVISAR: el volado lleva UN solo borde CONTINUO (el empotrado)",IF(AND(MAX(BM19,BW19,CG19,CQ19)&lt;=1,NOT(OR(BI19&lt;DATOS!$C$143,BS19&lt;DATOS!$C$143,CC19&lt;DATOS!$C$143,CM19&lt;DATOS!$C$143)),NOT(OR(AND(ISNUMBER(BN19),BN19&lt;0.005),AND(ISNUMBER(BX19),BX19&lt;0.005),AND(ISNUMBER(CH19),CH19&lt;0.005),AND(ISNUMBER(CR19),CR19&lt;0.005))),CV19="CUMPLE",CY19="CUMPLE"),"CUMPLE"&amp;IF(LEFT(BB19,5)="FUERA"," · fuera de 3.4.2.1 c)","")&amp;IF(LEFT(DD19,2)="NO"," · REVISAR anclaje en borde discontinuo",""),IF(AND(MAX(BM19,BW19,CG19,CQ19)&lt;=1,NOT(OR(BI19&lt;DATOS!$C$143,BS19&lt;DATOS!$C$143,CC19&lt;DATOS!$C$143,CM19&lt;DATOS!$C$143)),NOT(OR(AND(ISNUMBER(BN19),BN19&lt;0.005),AND(ISNUMBER(BX19),BX19&lt;0.005),AND(ISNUMBER(CH19),CH19&lt;0.005),AND(ISNUMBER(CR19),CR19&lt;0.005))),CV19="CUMPLE",CY19="CALCULAR FLECHA"),"REVISAR: calcular flecha (h &lt; h mín.)"&amp;IF(LEFT(BB19,5)="FUERA"," · fuera de 3.4.2.1 c)","")&amp;IF(LEFT(DD19,2)="NO"," · REVISAR anclaje en borde discontinuo",""),"NO CUMPLE: "&amp;IF(MAX(BM19,BW19,CG19,CQ19)&gt;1,"flexión ","")&amp;IF(OR(BI19&lt;DATOS!$C$143,BS19&lt;DATOS!$C$143,CC19&lt;DATOS!$C$143,CM19&lt;DATOS!$C$143),"separación &lt; mínima ","")&amp;IF(OR(AND(ISNUMBER(BN19),BN19&lt;0.005),AND(ISNUMBER(BX19),BX19&lt;0.005),AND(ISNUMBER(CH19),CH19&lt;0.005),AND(ISNUMBER(CR19),CR19&lt;0.005)),"ε_t &lt; 0.005 ","")&amp;IF(CV19&lt;&gt;"CUMPLE","cortante ","")&amp;IF(CY19="NO CUMPLE","peralte","")))))))</f>
        <v/>
      </c>
      <c r="DJ19" s="70" t="str">
        <f>IF(V19&lt;&gt;"SÍ","",IF(LEFT(B19,7)="EJEMPLO","EJEMPLO de tablero típico: bórralo o sobrescríbelo. ","")&amp;IF(C19="VOLADO","Volado de "&amp;TEXT(Z19,"0.00")&amp;" m empotrado en el borde "&amp;LOWER(X19)&amp;IF(N(P19)&gt;0,", con "&amp;TEXT(P19,"0.0")&amp;" kg/m en la orilla","")&amp;". Lecho inferior con r_ext. Si la orilla carga pretil u otro elemento frágil, calcula la flecha (13.4). El acero superior entra al respaldo de "&amp;TEXT(IF(ISNUMBER(Q19),Q19,Z19),"0.00")&amp;" m"&amp;" hasta pasar M = 0 con 0.9·PP sin carga viva; si ahí no se anula, llega al apoyo lejano y se ancla con gancho. ","")&amp;IF(AND(C19="VOLADO",(0.9*W19/100*DATOS!$C$16*IF(ISNUMBER(Q19),Q19,Z19)/2-AY19/IF(ISNUMBER(Q19),Q19,Z19))&lt;0),"Con 0.9·PP y sin carga viva el apoyo lejano del respaldo levanta (R = "&amp;TEXT(-(0.9*W19/100*DATOS!$C$16*IF(ISNUMBER(Q19),Q19,Z19)/2-AY19/IF(ISNUMBER(Q19),Q19,Z19)),"0.00")&amp;" t/m): ancla ahí el acero con gancho y revisa ese apoyo a tensión. ","")&amp;IF(LEFT(BB19,5)="FUERA","El M⁻ del vecino difiere más de 50 % (3.4.2.1 c): distribuye el desequilibrio (3.4.3.1) o confirma con un modelo; se arma con el mayor. ","")&amp;IF(OR(DB19="SÍ",DC19="SÍ"),"Bastones también en los bordes discontinuos (M⁻ de tabla), con gancho. ","")&amp;IF(LEFT(DD19,2)="NO","Anclaje: "&amp;DD19&amp;" (6.7.7.4.1.1). ","")&amp;IF(AND(C19="PERIMETRAL",AM19&gt;=1,AL19-AM19&gt;=1),"Esquinas exteriores sobre muro: refuerzo de esquina arriba y abajo en L_largo/5 (6.7.7.3.1). ",""))</f>
        <v/>
      </c>
    </row>
    <row r="20" ht="33" customHeight="1">
      <c r="A20" s="50">
        <f>IF(B20="",0,1)+A19</f>
        <v>3</v>
      </c>
      <c r="B20" s="29" t="n"/>
      <c r="C20" s="51" t="n"/>
      <c r="D20" s="29" t="n"/>
      <c r="E20" s="52" t="n"/>
      <c r="F20" s="52" t="n"/>
      <c r="G20" s="51" t="n"/>
      <c r="H20" s="51" t="n"/>
      <c r="I20" s="51" t="n"/>
      <c r="J20" s="51" t="n"/>
      <c r="K20" s="51" t="n"/>
      <c r="L20" s="51" t="n"/>
      <c r="M20" s="54" t="n"/>
      <c r="N20" s="53" t="n"/>
      <c r="O20" s="53" t="n"/>
      <c r="P20" s="54" t="n"/>
      <c r="Q20" s="52" t="n"/>
      <c r="R20" s="54" t="n"/>
      <c r="S20" s="53" t="n"/>
      <c r="T20" s="52" t="n"/>
      <c r="U20" s="52" t="n"/>
      <c r="V20" s="55" t="str">
        <f>IF(B20="","",IF(AND(OR(C20="PERIMETRAL",C20="VOLADO"),ISNUMBER(E20),ISNUMBER(F20),E20&gt;0,F20&gt;0,OR(ISNUMBER(O20),ISNUMBER(MATCH(D20,DATOS!$B$46:$B$58,0))),OR(C20&lt;&gt;"VOLADO",N(Q20)&gt;0)),"SÍ","NO"))</f>
        <v/>
      </c>
      <c r="W20" s="57" t="str">
        <f>IF(V20&lt;&gt;"SÍ","",IF(ISNUMBER(M20),M20,DATOS!$C$137))</f>
        <v/>
      </c>
      <c r="X20" s="55" t="str">
        <f>IF(V20&lt;&gt;"SÍ","",IF(C20&lt;&gt;"VOLADO","—",IF(COUNTIF(G20:J20,"CONTINUO")&lt;&gt;1,"?",IF(G20="CONTINUO","INFERIOR",IF(H20="CONTINUO","SUPERIOR",IF(I20="CONTINUO","IZQUIERDO","DERECHO"))))))</f>
        <v/>
      </c>
      <c r="Y20" s="55" t="str">
        <f>IF(V20&lt;&gt;"SÍ","",IF(C20="VOLADO",IF(OR(X20="IZQUIERDO",X20="DERECHO"),"X","Y"),IF(E20&lt;=F20,"X","Y")))</f>
        <v/>
      </c>
      <c r="Z20" s="56" t="str">
        <f>IF(V20&lt;&gt;"SÍ","",IF(C20="VOLADO",IF(Y20="X",E20,F20),MIN(E20,F20)))</f>
        <v/>
      </c>
      <c r="AA20" s="56" t="str">
        <f>IF(V20&lt;&gt;"SÍ","",IF(C20="VOLADO",IF(Y20="X",F20,E20),MAX(E20,F20)))</f>
        <v/>
      </c>
      <c r="AB20" s="56" t="str">
        <f>IF(V20&lt;&gt;"SÍ","",MIN(Z20,AA20)/MAX(Z20,AA20))</f>
        <v/>
      </c>
      <c r="AC20" s="57" t="str">
        <f>IF(V20&lt;&gt;"SÍ","",MAX(1,Z20*100-IF(C20="VOLADO",DATOS!$C$87/2,DATOS!$C$87)))</f>
        <v/>
      </c>
      <c r="AD20" s="57" t="str">
        <f>IF(V20&lt;&gt;"SÍ","",MAX(1,AA20*100-DATOS!$C$87))</f>
        <v/>
      </c>
      <c r="AE20" s="57" t="str">
        <f>IF(V20&lt;&gt;"SÍ","",IF(C20="VOLADO",DATOS!$C$64,DATOS!$C$62))</f>
        <v/>
      </c>
      <c r="AF20" s="57" t="str">
        <f>IF(V20&lt;&gt;"SÍ","",IF(OR(AND(AG20="SÍ",DATOS!$C$66="SÍ"),AND(C20="VOLADO",DATOS!$C$67="SÍ")),DATOS!$C$64,DATOS!$C$62))</f>
        <v/>
      </c>
      <c r="AG20" s="55" t="str">
        <f>IF(V20&lt;&gt;"SÍ","",IFERROR(INDEX(DATOS!$D$46:$D$58,MATCH(D20,DATOS!$B$46:$B$58,0)),"NO"))</f>
        <v/>
      </c>
      <c r="AH20" s="59" t="str">
        <f>IF(V20&lt;&gt;"SÍ","",IF(ISNUMBER(O20),O20,IFERROR(INDEX(DATOS!$C$46:$C$58,MATCH(D20,DATOS!$B$46:$B$58,0)),0)))</f>
        <v/>
      </c>
      <c r="AI20" s="59" t="str">
        <f>IF(V20&lt;&gt;"SÍ","",W20/100*DATOS!$C$16*1000+DATOS!$C$37+DATOS!$C$38)</f>
        <v/>
      </c>
      <c r="AJ20" s="59" t="str">
        <f>IF(V20&lt;&gt;"SÍ","",AI20+N(N20))</f>
        <v/>
      </c>
      <c r="AK20" s="60" t="str">
        <f>IF(V20&lt;&gt;"SÍ","",MAX(DATOS!$C$26*AJ20+DATOS!$C$27*AH20,IF(AG20="SÍ",DATOS!$C$28*(AJ20+DATOS!$C$41),0)))</f>
        <v/>
      </c>
      <c r="AL20" s="59" t="str">
        <f>IF(V20&lt;&gt;"SÍ","",(G20="DISCONTINUO")+(H20="DISCONTINUO")+(I20="DISCONTINUO")+(J20="DISCONTINUO"))</f>
        <v/>
      </c>
      <c r="AM20" s="59" t="str">
        <f>IF(V20&lt;&gt;"SÍ","",IF(Y20="X",(G20="DISCONTINUO")+(H20="DISCONTINUO"),(I20="DISCONTINUO")+(J20="DISCONTINUO")))</f>
        <v/>
      </c>
      <c r="AN20" s="55" t="str">
        <f>IF(V20&lt;&gt;"SÍ","",IF(AL20=0,"INTERIOR",IF(AL20=1,IF(AM20=1,"BORDE-CORTO","BORDE-LARGO"),IF(AL20=2,IF(AM20=1,"ESQUINA",IF(AM20=2,"EXTREMO-LARGO","EXTREMO-CORTO")),IF(AL20=3,IF(AM20=2,"EXTREMO-LARGO","EXTREMO-CORTO"),"AISLADO")))))</f>
        <v/>
      </c>
      <c r="AO20" s="61" t="str">
        <f>IF(V20&lt;&gt;"SÍ","",IF(OR(K20="",K20="AUTO"),AN20,K20))</f>
        <v/>
      </c>
      <c r="AP20" s="59" t="str">
        <f>IF(V20&lt;&gt;"SÍ","",MATCH(AB20,TABLAS!$D$5:$J$5,1))</f>
        <v/>
      </c>
      <c r="AQ20" s="58" t="str">
        <f>IF(V20&lt;&gt;"SÍ","",IF(AP20&gt;=7,0,(AB20-INDEX(TABLAS!$D$5:$J$5,AP20))/(INDEX(TABLAS!$D$5:$J$5,AP20+1)-INDEX(TABLAS!$D$5:$J$5,AP20))))</f>
        <v/>
      </c>
      <c r="AR20" s="59" t="str">
        <f>IF(V20&lt;&gt;"SÍ","",INDEX(TABLAS!$D$6:$J$47,MATCH(AO20&amp;"|NIC",TABLAS!$B$6:$B$47,0),AP20)+AQ20*(INDEX(TABLAS!$D$6:$J$47,MATCH(AO20&amp;"|NIC",TABLAS!$B$6:$B$47,0),MIN(AP20+1,7))-INDEX(TABLAS!$D$6:$J$47,MATCH(AO20&amp;"|NIC",TABLAS!$B$6:$B$47,0),AP20)))</f>
        <v/>
      </c>
      <c r="AS20" s="59" t="str">
        <f>IF(V20&lt;&gt;"SÍ","",INDEX(TABLAS!$D$6:$J$47,MATCH(AO20&amp;"|NIL",TABLAS!$B$6:$B$47,0),AP20)+AQ20*(INDEX(TABLAS!$D$6:$J$47,MATCH(AO20&amp;"|NIL",TABLAS!$B$6:$B$47,0),MIN(AP20+1,7))-INDEX(TABLAS!$D$6:$J$47,MATCH(AO20&amp;"|NIL",TABLAS!$B$6:$B$47,0),AP20)))</f>
        <v/>
      </c>
      <c r="AT20" s="59" t="str">
        <f>IF(V20&lt;&gt;"SÍ","",INDEX(TABLAS!$D$6:$J$47,MATCH(AO20&amp;"|NDC",TABLAS!$B$6:$B$47,0),AP20)+AQ20*(INDEX(TABLAS!$D$6:$J$47,MATCH(AO20&amp;"|NDC",TABLAS!$B$6:$B$47,0),MIN(AP20+1,7))-INDEX(TABLAS!$D$6:$J$47,MATCH(AO20&amp;"|NDC",TABLAS!$B$6:$B$47,0),AP20)))</f>
        <v/>
      </c>
      <c r="AU20" s="59" t="str">
        <f>IF(V20&lt;&gt;"SÍ","",INDEX(TABLAS!$D$6:$J$47,MATCH(AO20&amp;"|NDL",TABLAS!$B$6:$B$47,0),AP20)+AQ20*(INDEX(TABLAS!$D$6:$J$47,MATCH(AO20&amp;"|NDL",TABLAS!$B$6:$B$47,0),MIN(AP20+1,7))-INDEX(TABLAS!$D$6:$J$47,MATCH(AO20&amp;"|NDL",TABLAS!$B$6:$B$47,0),AP20)))</f>
        <v/>
      </c>
      <c r="AV20" s="59" t="str">
        <f>IF(V20&lt;&gt;"SÍ","",INDEX(TABLAS!$D$6:$J$47,MATCH(AO20&amp;"|PC",TABLAS!$B$6:$B$47,0),AP20)+AQ20*(INDEX(TABLAS!$D$6:$J$47,MATCH(AO20&amp;"|PC",TABLAS!$B$6:$B$47,0),MIN(AP20+1,7))-INDEX(TABLAS!$D$6:$J$47,MATCH(AO20&amp;"|PC",TABLAS!$B$6:$B$47,0),AP20)))</f>
        <v/>
      </c>
      <c r="AW20" s="59" t="str">
        <f>IF(V20&lt;&gt;"SÍ","",INDEX(TABLAS!$D$6:$J$47,MATCH(AO20&amp;"|PL",TABLAS!$B$6:$B$47,0),AP20)+AQ20*(INDEX(TABLAS!$D$6:$J$47,MATCH(AO20&amp;"|PL",TABLAS!$B$6:$B$47,0),MIN(AP20+1,7))-INDEX(TABLAS!$D$6:$J$47,MATCH(AO20&amp;"|PL",TABLAS!$B$6:$B$47,0),AP20)))</f>
        <v/>
      </c>
      <c r="AX20" s="56" t="str">
        <f>IF(V20&lt;&gt;"SÍ","",IF(C20="PERIMETRAL",AV20*AK20*Z20^2*1E-4/1000,0))</f>
        <v/>
      </c>
      <c r="AY20" s="62" t="str">
        <f>IF(V20&lt;&gt;"SÍ","",IF(C20="PERIMETRAL",MAX(MAX(AR20,AT20)*AK20*Z20^2*1E-4/1000,N(T20)),(AK20*(AC20/100)^2/2+DATOS!$C$26*N(P20)*AC20/100)/1000))</f>
        <v/>
      </c>
      <c r="AZ20" s="56" t="str">
        <f>IF(V20&lt;&gt;"SÍ","",IF(C20="PERIMETRAL",AW20*AK20*Z20^2*1E-4/1000,0))</f>
        <v/>
      </c>
      <c r="BA20" s="56" t="str">
        <f>IF(V20&lt;&gt;"SÍ","",IF(C20="PERIMETRAL",MAX(MAX(AS20,AU20)*AK20*Z20^2*1E-4/1000,N(U20)),0))</f>
        <v/>
      </c>
      <c r="BB20" s="63" t="str">
        <f>IF(V20&lt;&gt;"SÍ","",IF(C20&lt;&gt;"PERIMETRAL","—",IF(AND(N(T20)=0,N(U20)=0),"— (sin M⁻ del vecino)",IF(OR(AND(N(T20)&gt;0,ABS(MAX(AR20,AT20)*AK20*Z20^2*1E-4/1000-N(T20))&gt;0.5*MIN(MAX(AR20,AT20)*AK20*Z20^2*1E-4/1000,N(T20))),AND(N(U20)&gt;0,ABS(MAX(AS20,AU20)*AK20*Z20^2*1E-4/1000-N(U20))&gt;0.5*MIN(MAX(AS20,AU20)*AK20*Z20^2*1E-4/1000,N(U20)))),"FUERA: difieren &gt; 50 %"&amp;IF(AND(N(T20)&gt;0,ABS(MAX(AR20,AT20)*AK20*Z20^2*1E-4/1000-N(T20))&gt;0.5*MIN(MAX(AR20,AT20)*AK20*Z20^2*1E-4/1000,N(T20)))," ‖ corto","")&amp;IF(AND(N(U20)&gt;0,ABS(MAX(AS20,AU20)*AK20*Z20^2*1E-4/1000-N(U20))&gt;0.5*MIN(MAX(AS20,AU20)*AK20*Z20^2*1E-4/1000,N(U20)))," ‖ largo",""),"CUMPLE"))))</f>
        <v/>
      </c>
      <c r="BC20" s="58" t="str">
        <f>IF(V20&lt;&gt;"SÍ","",DATOS!$C$139*100*W20)</f>
        <v/>
      </c>
      <c r="BD20" s="57" t="str">
        <f>IF(V20&lt;&gt;"SÍ","",MIN(IF(C20="VOLADO",DATOS!$C$141,DATOS!$C$140)*W20,DATOS!$C$142))</f>
        <v/>
      </c>
      <c r="BE20" s="58" t="str">
        <f>IF(V20&lt;&gt;"SÍ","",(W20-AE20-INDEX(TABLAS!$C$52:$C$58,MATCH(IF(ISNUMBER(S20),S20,DATOS!$C$138),TABLAS!$B$52:$B$58,0))/2))</f>
        <v/>
      </c>
      <c r="BF20" s="58" t="str">
        <f>IF(V20&lt;&gt;"SÍ","",IF(AX20&lt;=0,0,IF((1-2*AX20*1E5/(DATOS!$C$29*100*BE20^2*DATOS!$C$21))&lt;0,-1,IF((1-SQRT((1-2*AX20*1E5/(DATOS!$C$29*100*BE20^2*DATOS!$C$21))))*DATOS!$C$21*100*BE20/DATOS!$C$14&gt;DATOS!$C$102*100*BE20,-1,(1-SQRT((1-2*AX20*1E5/(DATOS!$C$29*100*BE20^2*DATOS!$C$21))))*DATOS!$C$21*100*BE20/DATOS!$C$14))))</f>
        <v/>
      </c>
      <c r="BG20" s="58" t="str">
        <f>IF(V20&lt;&gt;"SÍ","",IF(BF20&lt;0,-1,MAX(BF20,BC20)))</f>
        <v/>
      </c>
      <c r="BH20" s="64" t="str">
        <f>IF(V20&lt;&gt;"SÍ","",IF(AND(BG20&gt;0,FLOOR(MIN(BD20,100*INDEX(TABLAS!$D$52:$D$58,MIN(MATCH(IF(ISNUMBER(S20),S20,DATOS!$C$138),TABLAS!$B$52:$B$58,0)+0,7))/MAX(BG20,0.0001)),DATOS!$C$144)&gt;=DATOS!$C$143),INDEX(TABLAS!$B$52:$B$58,MIN(MATCH(IF(ISNUMBER(S20),S20,DATOS!$C$138),TABLAS!$B$52:$B$58,0)+0,7)),IF(AND(BG20&gt;0,FLOOR(MIN(BD20,100*INDEX(TABLAS!$D$52:$D$58,MIN(MATCH(IF(ISNUMBER(S20),S20,DATOS!$C$138),TABLAS!$B$52:$B$58,0)+1,7))/MAX(BG20,0.0001)),DATOS!$C$144)&gt;=DATOS!$C$143),INDEX(TABLAS!$B$52:$B$58,MIN(MATCH(IF(ISNUMBER(S20),S20,DATOS!$C$138),TABLAS!$B$52:$B$58,0)+1,7)),IF(AND(BG20&gt;0,FLOOR(MIN(BD20,100*INDEX(TABLAS!$D$52:$D$58,MIN(MATCH(IF(ISNUMBER(S20),S20,DATOS!$C$138),TABLAS!$B$52:$B$58,0)+2,7))/MAX(BG20,0.0001)),DATOS!$C$144)&gt;=DATOS!$C$143),INDEX(TABLAS!$B$52:$B$58,MIN(MATCH(IF(ISNUMBER(S20),S20,DATOS!$C$138),TABLAS!$B$52:$B$58,0)+2,7)),IF(AND(BG20&gt;0,FLOOR(MIN(BD20,100*INDEX(TABLAS!$D$52:$D$58,MIN(MATCH(IF(ISNUMBER(S20),S20,DATOS!$C$138),TABLAS!$B$52:$B$58,0)+3,7))/MAX(BG20,0.0001)),DATOS!$C$144)&gt;=DATOS!$C$143),INDEX(TABLAS!$B$52:$B$58,MIN(MATCH(IF(ISNUMBER(S20),S20,DATOS!$C$138),TABLAS!$B$52:$B$58,0)+3,7)),IF(AND(BG20&gt;0,FLOOR(MIN(BD20,100*INDEX(TABLAS!$D$52:$D$58,MIN(MATCH(IF(ISNUMBER(S20),S20,DATOS!$C$138),TABLAS!$B$52:$B$58,0)+4,7))/MAX(BG20,0.0001)),DATOS!$C$144)&gt;=DATOS!$C$143),INDEX(TABLAS!$B$52:$B$58,MIN(MATCH(IF(ISNUMBER(S20),S20,DATOS!$C$138),TABLAS!$B$52:$B$58,0)+4,7)),INDEX(TABLAS!$B$52:$B$58,7)))))))</f>
        <v/>
      </c>
      <c r="BI20" s="71" t="str">
        <f>IF(V20&lt;&gt;"SÍ","",IF(BG20&lt;=0,0,FLOOR(MIN(BD20,100*INDEX(TABLAS!$D$52:$D$58,MATCH(BH20,TABLAS!$B$52:$B$58,0))/BG20),DATOS!$C$144)))</f>
        <v/>
      </c>
      <c r="BJ20" s="58" t="str">
        <f>IF(V20&lt;&gt;"SÍ","",IF(BI20&lt;=0,0,INDEX(TABLAS!$D$52:$D$58,MATCH(BH20,TABLAS!$B$52:$B$58,0))*100/BI20))</f>
        <v/>
      </c>
      <c r="BK20" s="58" t="str">
        <f>IF(V20&lt;&gt;"SÍ","",W20-AE20-INDEX(TABLAS!$C$52:$C$58,MATCH(BH20,TABLAS!$B$52:$B$58,0))/2)</f>
        <v/>
      </c>
      <c r="BL20" s="56" t="str">
        <f>IF(V20&lt;&gt;"SÍ","",IF(BJ20=0,0,DATOS!$C$29*BJ20*DATOS!$C$14*(BK20-BJ20*DATOS!$C$14/(DATOS!$C$21*100)/2)/1E5))</f>
        <v/>
      </c>
      <c r="BM20" s="65" t="str">
        <f>IF(V20&lt;&gt;"SÍ","",IF(BG20&lt;0,9.99,IF(BL20&gt;0,AX20/BL20,0)))</f>
        <v/>
      </c>
      <c r="BN20" s="66" t="str">
        <f>IF(V20&lt;&gt;"SÍ","",IF(BJ20=0,"—",0.003*(BK20-(BJ20*DATOS!$C$14/(DATOS!$C$21*100)/DATOS!$C$22))/(BJ20*DATOS!$C$14/(DATOS!$C$21*100)/DATOS!$C$22)))</f>
        <v/>
      </c>
      <c r="BO20" s="58" t="str">
        <f>IF(V20&lt;&gt;"SÍ","",((W20-AF20-INDEX(TABLAS!$C$52:$C$58,MATCH(IF(ISNUMBER(S20),S20,DATOS!$C$138),TABLAS!$B$52:$B$58,0))/2)-IF(AND((W20-AF20-INDEX(TABLAS!$C$52:$C$58,MATCH(IF(ISNUMBER(S20),S20,DATOS!$C$138),TABLAS!$B$52:$B$58,0))/2)&lt;=20,DATOS!$C$65&lt;&gt;"SÍ"),2,0)))</f>
        <v/>
      </c>
      <c r="BP20" s="58" t="str">
        <f>IF(V20&lt;&gt;"SÍ","",IF(AY20&lt;=0,0,IF((1-2*AY20*1E5/(DATOS!$C$29*100*BO20^2*DATOS!$C$21))&lt;0,-1,IF((1-SQRT((1-2*AY20*1E5/(DATOS!$C$29*100*BO20^2*DATOS!$C$21))))*DATOS!$C$21*100*BO20/DATOS!$C$14&gt;DATOS!$C$102*100*BO20,-1,(1-SQRT((1-2*AY20*1E5/(DATOS!$C$29*100*BO20^2*DATOS!$C$21))))*DATOS!$C$21*100*BO20/DATOS!$C$14))))</f>
        <v/>
      </c>
      <c r="BQ20" s="58" t="str">
        <f>IF(V20&lt;&gt;"SÍ","",IF(BP20&lt;0,-1,MAX(BP20,BC20)))</f>
        <v/>
      </c>
      <c r="BR20" s="64" t="str">
        <f>IF(V20&lt;&gt;"SÍ","",IF(AND(BQ20&gt;0,FLOOR(MIN(BD20,100*INDEX(TABLAS!$D$52:$D$58,MIN(MATCH(IF(ISNUMBER(S20),S20,DATOS!$C$138),TABLAS!$B$52:$B$58,0)+0,7))/MAX(BQ20,0.0001)),DATOS!$C$144)&gt;=DATOS!$C$143),INDEX(TABLAS!$B$52:$B$58,MIN(MATCH(IF(ISNUMBER(S20),S20,DATOS!$C$138),TABLAS!$B$52:$B$58,0)+0,7)),IF(AND(BQ20&gt;0,FLOOR(MIN(BD20,100*INDEX(TABLAS!$D$52:$D$58,MIN(MATCH(IF(ISNUMBER(S20),S20,DATOS!$C$138),TABLAS!$B$52:$B$58,0)+1,7))/MAX(BQ20,0.0001)),DATOS!$C$144)&gt;=DATOS!$C$143),INDEX(TABLAS!$B$52:$B$58,MIN(MATCH(IF(ISNUMBER(S20),S20,DATOS!$C$138),TABLAS!$B$52:$B$58,0)+1,7)),IF(AND(BQ20&gt;0,FLOOR(MIN(BD20,100*INDEX(TABLAS!$D$52:$D$58,MIN(MATCH(IF(ISNUMBER(S20),S20,DATOS!$C$138),TABLAS!$B$52:$B$58,0)+2,7))/MAX(BQ20,0.0001)),DATOS!$C$144)&gt;=DATOS!$C$143),INDEX(TABLAS!$B$52:$B$58,MIN(MATCH(IF(ISNUMBER(S20),S20,DATOS!$C$138),TABLAS!$B$52:$B$58,0)+2,7)),IF(AND(BQ20&gt;0,FLOOR(MIN(BD20,100*INDEX(TABLAS!$D$52:$D$58,MIN(MATCH(IF(ISNUMBER(S20),S20,DATOS!$C$138),TABLAS!$B$52:$B$58,0)+3,7))/MAX(BQ20,0.0001)),DATOS!$C$144)&gt;=DATOS!$C$143),INDEX(TABLAS!$B$52:$B$58,MIN(MATCH(IF(ISNUMBER(S20),S20,DATOS!$C$138),TABLAS!$B$52:$B$58,0)+3,7)),IF(AND(BQ20&gt;0,FLOOR(MIN(BD20,100*INDEX(TABLAS!$D$52:$D$58,MIN(MATCH(IF(ISNUMBER(S20),S20,DATOS!$C$138),TABLAS!$B$52:$B$58,0)+4,7))/MAX(BQ20,0.0001)),DATOS!$C$144)&gt;=DATOS!$C$143),INDEX(TABLAS!$B$52:$B$58,MIN(MATCH(IF(ISNUMBER(S20),S20,DATOS!$C$138),TABLAS!$B$52:$B$58,0)+4,7)),INDEX(TABLAS!$B$52:$B$58,7)))))))</f>
        <v/>
      </c>
      <c r="BS20" s="71" t="str">
        <f>IF(V20&lt;&gt;"SÍ","",IF(BQ20&lt;=0,0,FLOOR(MIN(BD20,100*INDEX(TABLAS!$D$52:$D$58,MATCH(BR20,TABLAS!$B$52:$B$58,0))/BQ20),DATOS!$C$144)))</f>
        <v/>
      </c>
      <c r="BT20" s="58" t="str">
        <f>IF(V20&lt;&gt;"SÍ","",IF(BS20&lt;=0,0,INDEX(TABLAS!$D$52:$D$58,MATCH(BR20,TABLAS!$B$52:$B$58,0))*100/BS20))</f>
        <v/>
      </c>
      <c r="BU20" s="58" t="str">
        <f>IF(V20&lt;&gt;"SÍ","",((W20-AF20-INDEX(TABLAS!$C$52:$C$58,MATCH(BR20,TABLAS!$B$52:$B$58,0))/2)-IF(AND((W20-AF20-INDEX(TABLAS!$C$52:$C$58,MATCH(BR20,TABLAS!$B$52:$B$58,0))/2)&lt;=20,DATOS!$C$65&lt;&gt;"SÍ"),2,0)))</f>
        <v/>
      </c>
      <c r="BV20" s="56" t="str">
        <f>IF(V20&lt;&gt;"SÍ","",IF(BT20=0,0,DATOS!$C$29*BT20*DATOS!$C$14*(BU20-BT20*DATOS!$C$14/(DATOS!$C$21*100)/2)/1E5))</f>
        <v/>
      </c>
      <c r="BW20" s="65" t="str">
        <f>IF(V20&lt;&gt;"SÍ","",IF(BQ20&lt;0,9.99,IF(BV20&gt;0,AY20/BV20,0)))</f>
        <v/>
      </c>
      <c r="BX20" s="66" t="str">
        <f>IF(V20&lt;&gt;"SÍ","",IF(BT20=0,"—",0.003*(BU20-(BT20*DATOS!$C$14/(DATOS!$C$21*100)/DATOS!$C$22))/(BT20*DATOS!$C$14/(DATOS!$C$21*100)/DATOS!$C$22)))</f>
        <v/>
      </c>
      <c r="BY20" s="58" t="str">
        <f>IF(V20&lt;&gt;"SÍ","",(W20-AE20-1.5*INDEX(TABLAS!$C$52:$C$58,MATCH(IF(ISNUMBER(S20),S20,DATOS!$C$138),TABLAS!$B$52:$B$58,0))))</f>
        <v/>
      </c>
      <c r="BZ20" s="58" t="str">
        <f>IF(V20&lt;&gt;"SÍ","",IF(AZ20&lt;=0,0,IF((1-2*AZ20*1E5/(DATOS!$C$29*100*BY20^2*DATOS!$C$21))&lt;0,-1,IF((1-SQRT((1-2*AZ20*1E5/(DATOS!$C$29*100*BY20^2*DATOS!$C$21))))*DATOS!$C$21*100*BY20/DATOS!$C$14&gt;DATOS!$C$102*100*BY20,-1,(1-SQRT((1-2*AZ20*1E5/(DATOS!$C$29*100*BY20^2*DATOS!$C$21))))*DATOS!$C$21*100*BY20/DATOS!$C$14))))</f>
        <v/>
      </c>
      <c r="CA20" s="58" t="str">
        <f>IF(V20&lt;&gt;"SÍ","",IF(BZ20&lt;0,-1,MAX(BZ20,BC20)))</f>
        <v/>
      </c>
      <c r="CB20" s="64" t="str">
        <f>IF(V20&lt;&gt;"SÍ","",IF(AND(CA20&gt;0,FLOOR(MIN(BD20,100*INDEX(TABLAS!$D$52:$D$58,MIN(MATCH(IF(ISNUMBER(S20),S20,DATOS!$C$138),TABLAS!$B$52:$B$58,0)+0,7))/MAX(CA20,0.0001)),DATOS!$C$144)&gt;=DATOS!$C$143),INDEX(TABLAS!$B$52:$B$58,MIN(MATCH(IF(ISNUMBER(S20),S20,DATOS!$C$138),TABLAS!$B$52:$B$58,0)+0,7)),IF(AND(CA20&gt;0,FLOOR(MIN(BD20,100*INDEX(TABLAS!$D$52:$D$58,MIN(MATCH(IF(ISNUMBER(S20),S20,DATOS!$C$138),TABLAS!$B$52:$B$58,0)+1,7))/MAX(CA20,0.0001)),DATOS!$C$144)&gt;=DATOS!$C$143),INDEX(TABLAS!$B$52:$B$58,MIN(MATCH(IF(ISNUMBER(S20),S20,DATOS!$C$138),TABLAS!$B$52:$B$58,0)+1,7)),IF(AND(CA20&gt;0,FLOOR(MIN(BD20,100*INDEX(TABLAS!$D$52:$D$58,MIN(MATCH(IF(ISNUMBER(S20),S20,DATOS!$C$138),TABLAS!$B$52:$B$58,0)+2,7))/MAX(CA20,0.0001)),DATOS!$C$144)&gt;=DATOS!$C$143),INDEX(TABLAS!$B$52:$B$58,MIN(MATCH(IF(ISNUMBER(S20),S20,DATOS!$C$138),TABLAS!$B$52:$B$58,0)+2,7)),IF(AND(CA20&gt;0,FLOOR(MIN(BD20,100*INDEX(TABLAS!$D$52:$D$58,MIN(MATCH(IF(ISNUMBER(S20),S20,DATOS!$C$138),TABLAS!$B$52:$B$58,0)+3,7))/MAX(CA20,0.0001)),DATOS!$C$144)&gt;=DATOS!$C$143),INDEX(TABLAS!$B$52:$B$58,MIN(MATCH(IF(ISNUMBER(S20),S20,DATOS!$C$138),TABLAS!$B$52:$B$58,0)+3,7)),IF(AND(CA20&gt;0,FLOOR(MIN(BD20,100*INDEX(TABLAS!$D$52:$D$58,MIN(MATCH(IF(ISNUMBER(S20),S20,DATOS!$C$138),TABLAS!$B$52:$B$58,0)+4,7))/MAX(CA20,0.0001)),DATOS!$C$144)&gt;=DATOS!$C$143),INDEX(TABLAS!$B$52:$B$58,MIN(MATCH(IF(ISNUMBER(S20),S20,DATOS!$C$138),TABLAS!$B$52:$B$58,0)+4,7)),INDEX(TABLAS!$B$52:$B$58,7)))))))</f>
        <v/>
      </c>
      <c r="CC20" s="71" t="str">
        <f>IF(V20&lt;&gt;"SÍ","",IF(CA20&lt;=0,0,FLOOR(MIN(BD20,100*INDEX(TABLAS!$D$52:$D$58,MATCH(CB20,TABLAS!$B$52:$B$58,0))/CA20),DATOS!$C$144)))</f>
        <v/>
      </c>
      <c r="CD20" s="58" t="str">
        <f>IF(V20&lt;&gt;"SÍ","",IF(CC20&lt;=0,0,INDEX(TABLAS!$D$52:$D$58,MATCH(CB20,TABLAS!$B$52:$B$58,0))*100/CC20))</f>
        <v/>
      </c>
      <c r="CE20" s="58" t="str">
        <f>IF(V20&lt;&gt;"SÍ","",W20-AE20-INDEX(TABLAS!$C$52:$C$58,MATCH(BH20,TABLAS!$B$52:$B$58,0))-INDEX(TABLAS!$C$52:$C$58,MATCH(CB20,TABLAS!$B$52:$B$58,0))/2)</f>
        <v/>
      </c>
      <c r="CF20" s="56" t="str">
        <f>IF(V20&lt;&gt;"SÍ","",IF(CD20=0,0,DATOS!$C$29*CD20*DATOS!$C$14*(CE20-CD20*DATOS!$C$14/(DATOS!$C$21*100)/2)/1E5))</f>
        <v/>
      </c>
      <c r="CG20" s="65" t="str">
        <f>IF(V20&lt;&gt;"SÍ","",IF(CA20&lt;0,9.99,IF(CF20&gt;0,AZ20/CF20,0)))</f>
        <v/>
      </c>
      <c r="CH20" s="66" t="str">
        <f>IF(V20&lt;&gt;"SÍ","",IF(CD20=0,"—",0.003*(CE20-(CD20*DATOS!$C$14/(DATOS!$C$21*100)/DATOS!$C$22))/(CD20*DATOS!$C$14/(DATOS!$C$21*100)/DATOS!$C$22)))</f>
        <v/>
      </c>
      <c r="CI20" s="58" t="str">
        <f>IF(V20&lt;&gt;"SÍ","",((W20-AF20-1.5*INDEX(TABLAS!$C$52:$C$58,MATCH(IF(ISNUMBER(S20),S20,DATOS!$C$138),TABLAS!$B$52:$B$58,0)))-IF(AND((W20-AF20-1.5*INDEX(TABLAS!$C$52:$C$58,MATCH(IF(ISNUMBER(S20),S20,DATOS!$C$138),TABLAS!$B$52:$B$58,0)))&lt;=20,DATOS!$C$65&lt;&gt;"SÍ"),2,0)))</f>
        <v/>
      </c>
      <c r="CJ20" s="58" t="str">
        <f>IF(V20&lt;&gt;"SÍ","",IF(BA20&lt;=0,0,IF((1-2*BA20*1E5/(DATOS!$C$29*100*CI20^2*DATOS!$C$21))&lt;0,-1,IF((1-SQRT((1-2*BA20*1E5/(DATOS!$C$29*100*CI20^2*DATOS!$C$21))))*DATOS!$C$21*100*CI20/DATOS!$C$14&gt;DATOS!$C$102*100*CI20,-1,(1-SQRT((1-2*BA20*1E5/(DATOS!$C$29*100*CI20^2*DATOS!$C$21))))*DATOS!$C$21*100*CI20/DATOS!$C$14))))</f>
        <v/>
      </c>
      <c r="CK20" s="58" t="str">
        <f>IF(V20&lt;&gt;"SÍ","",IF(CJ20&lt;0,-1,MAX(CJ20,BC20)))</f>
        <v/>
      </c>
      <c r="CL20" s="64" t="str">
        <f>IF(V20&lt;&gt;"SÍ","",IF(AND(CK20&gt;0,FLOOR(MIN(BD20,100*INDEX(TABLAS!$D$52:$D$58,MIN(MATCH(IF(ISNUMBER(S20),S20,DATOS!$C$138),TABLAS!$B$52:$B$58,0)+0,7))/MAX(CK20,0.0001)),DATOS!$C$144)&gt;=DATOS!$C$143),INDEX(TABLAS!$B$52:$B$58,MIN(MATCH(IF(ISNUMBER(S20),S20,DATOS!$C$138),TABLAS!$B$52:$B$58,0)+0,7)),IF(AND(CK20&gt;0,FLOOR(MIN(BD20,100*INDEX(TABLAS!$D$52:$D$58,MIN(MATCH(IF(ISNUMBER(S20),S20,DATOS!$C$138),TABLAS!$B$52:$B$58,0)+1,7))/MAX(CK20,0.0001)),DATOS!$C$144)&gt;=DATOS!$C$143),INDEX(TABLAS!$B$52:$B$58,MIN(MATCH(IF(ISNUMBER(S20),S20,DATOS!$C$138),TABLAS!$B$52:$B$58,0)+1,7)),IF(AND(CK20&gt;0,FLOOR(MIN(BD20,100*INDEX(TABLAS!$D$52:$D$58,MIN(MATCH(IF(ISNUMBER(S20),S20,DATOS!$C$138),TABLAS!$B$52:$B$58,0)+2,7))/MAX(CK20,0.0001)),DATOS!$C$144)&gt;=DATOS!$C$143),INDEX(TABLAS!$B$52:$B$58,MIN(MATCH(IF(ISNUMBER(S20),S20,DATOS!$C$138),TABLAS!$B$52:$B$58,0)+2,7)),IF(AND(CK20&gt;0,FLOOR(MIN(BD20,100*INDEX(TABLAS!$D$52:$D$58,MIN(MATCH(IF(ISNUMBER(S20),S20,DATOS!$C$138),TABLAS!$B$52:$B$58,0)+3,7))/MAX(CK20,0.0001)),DATOS!$C$144)&gt;=DATOS!$C$143),INDEX(TABLAS!$B$52:$B$58,MIN(MATCH(IF(ISNUMBER(S20),S20,DATOS!$C$138),TABLAS!$B$52:$B$58,0)+3,7)),IF(AND(CK20&gt;0,FLOOR(MIN(BD20,100*INDEX(TABLAS!$D$52:$D$58,MIN(MATCH(IF(ISNUMBER(S20),S20,DATOS!$C$138),TABLAS!$B$52:$B$58,0)+4,7))/MAX(CK20,0.0001)),DATOS!$C$144)&gt;=DATOS!$C$143),INDEX(TABLAS!$B$52:$B$58,MIN(MATCH(IF(ISNUMBER(S20),S20,DATOS!$C$138),TABLAS!$B$52:$B$58,0)+4,7)),INDEX(TABLAS!$B$52:$B$58,7)))))))</f>
        <v/>
      </c>
      <c r="CM20" s="71" t="str">
        <f>IF(V20&lt;&gt;"SÍ","",IF(CK20&lt;=0,0,FLOOR(MIN(BD20,100*INDEX(TABLAS!$D$52:$D$58,MATCH(CL20,TABLAS!$B$52:$B$58,0))/CK20),DATOS!$C$144)))</f>
        <v/>
      </c>
      <c r="CN20" s="58" t="str">
        <f>IF(V20&lt;&gt;"SÍ","",IF(CM20&lt;=0,0,INDEX(TABLAS!$D$52:$D$58,MATCH(CL20,TABLAS!$B$52:$B$58,0))*100/CM20))</f>
        <v/>
      </c>
      <c r="CO20" s="58" t="str">
        <f>IF(V20&lt;&gt;"SÍ","",((W20-AF20-INDEX(TABLAS!$C$52:$C$58,MATCH(BR20,TABLAS!$B$52:$B$58,0))-INDEX(TABLAS!$C$52:$C$58,MATCH(CL20,TABLAS!$B$52:$B$58,0))/2)-IF(AND((W20-AF20-INDEX(TABLAS!$C$52:$C$58,MATCH(BR20,TABLAS!$B$52:$B$58,0))-INDEX(TABLAS!$C$52:$C$58,MATCH(CL20,TABLAS!$B$52:$B$58,0))/2)&lt;=20,DATOS!$C$65&lt;&gt;"SÍ"),2,0)))</f>
        <v/>
      </c>
      <c r="CP20" s="56" t="str">
        <f>IF(V20&lt;&gt;"SÍ","",IF(CN20=0,0,DATOS!$C$29*CN20*DATOS!$C$14*(CO20-CN20*DATOS!$C$14/(DATOS!$C$21*100)/2)/1E5))</f>
        <v/>
      </c>
      <c r="CQ20" s="65" t="str">
        <f>IF(V20&lt;&gt;"SÍ","",IF(CK20&lt;0,9.99,IF(CP20&gt;0,BA20/CP20,0)))</f>
        <v/>
      </c>
      <c r="CR20" s="66" t="str">
        <f>IF(V20&lt;&gt;"SÍ","",IF(CN20=0,"—",0.003*(CO20-(CN20*DATOS!$C$14/(DATOS!$C$21*100)/DATOS!$C$22))/(CN20*DATOS!$C$14/(DATOS!$C$21*100)/DATOS!$C$22)))</f>
        <v/>
      </c>
      <c r="CS20" s="56" t="str">
        <f>IF(V20&lt;&gt;"SÍ","",IF(C20="PERIMETRAL",MAX(0,(AC20/2-BU20)/100)*(0.95-0.5*AB20)*AK20*IF(AND(AL20&gt;0,AL20&lt;4),DATOS!$C$33,1)/1000,(AK20*MAX(0,AC20-BU20)/100+DATOS!$C$26*N(P20))/1000))</f>
        <v/>
      </c>
      <c r="CT20" s="66" t="str">
        <f>IF(V20&lt;&gt;"SÍ","",BT20/(100*BU20))</f>
        <v/>
      </c>
      <c r="CU20" s="56" t="str">
        <f>IF(V20&lt;&gt;"SÍ","",DATOS!$C$30*2*MIN(1,SQRT(2/(1+0.04*BU20)))*CT20^(1/3)*SQRT(DATOS!$C$13)*100*BU20/1000)</f>
        <v/>
      </c>
      <c r="CV20" s="67" t="str">
        <f>IF(V20&lt;&gt;"SÍ","",IF(CS20&lt;=CU20,"CUMPLE","NO CUMPLE: sube h"))</f>
        <v/>
      </c>
      <c r="CW20" s="58" t="str">
        <f>IF(V20&lt;&gt;"SÍ","",IF(C20="PERIMETRAL",IF(ISNUMBER(R20),R20,DATOS!$C$104),0))</f>
        <v/>
      </c>
      <c r="CX20" s="57" t="str">
        <f>IF(V20&lt;&gt;"SÍ","",IF(C20="PERIMETRAL",IF(CW20&gt;2,MAX(9,AD20*(0.8+DATOS!$C$14/14000)/(36+9*(AD20/MAX(AC20,1)))),IF(CW20&gt;0.2,MAX(13,AD20*(0.8+DATOS!$C$14/14000)/(36+5*(AD20/MAX(AC20,1))*(CW20-0.2))),MAX(13,AD20/IF(AL20&gt;0,30,33))))*IF(AND(CW20&gt;0.2,AL20&gt;0,DATOS!$C$105="NO"),1.1,1),Z20*100/DATOS!$C$145*(0.4+DATOS!$C$14/7000)))</f>
        <v/>
      </c>
      <c r="CY20" s="61" t="str">
        <f>IF(V20&lt;&gt;"SÍ","",IF(W20&gt;=CX20-0.001,"CUMPLE",IF(C20="VOLADO","NO CUMPLE","CALCULAR FLECHA")))</f>
        <v/>
      </c>
      <c r="CZ20" s="60" t="str">
        <f>IF(V20&lt;&gt;"SÍ","",IF(C20="VOLADO",MIN(FLOOR(IF(ISNUMBER(Q20),Q20,Z20)*100-DATOS!$C$63,5),CEILING(MAX(IF((0.5*(0.9*W20/100*DATOS!$C$16)*IF(ISNUMBER(Q20),Q20,Z20)+AY20/IF(ISNUMBER(Q20),Q20,Z20))^2-4*(0.5*(0.9*W20/100*DATOS!$C$16))*AY20&lt;0,IF(ISNUMBER(Q20),Q20,Z20),MIN(IF(ISNUMBER(Q20),Q20,Z20),((0.5*(0.9*W20/100*DATOS!$C$16)*IF(ISNUMBER(Q20),Q20,Z20)+AY20/IF(ISNUMBER(Q20),Q20,Z20))-SQRT((0.5*(0.9*W20/100*DATOS!$C$16)*IF(ISNUMBER(Q20),Q20,Z20)+AY20/IF(ISNUMBER(Q20),Q20,Z20))^2-4*(0.5*(0.9*W20/100*DATOS!$C$16))*AY20))/(2*(0.5*(0.9*W20/100*DATOS!$C$16)))))*100+MAX(BU20,12*INDEX(TABLAS!$C$52:$C$58,MATCH(BR20,TABLAS!$B$52:$B$58,0)),IF(ISNUMBER(Q20),Q20,Z20)*100/16),IF(OR(AF20&lt;INDEX(TABLAS!$C$52:$C$58,MATCH(BR20,TABLAS!$B$52:$B$58,0)),BS20-INDEX(TABLAS!$C$52:$C$58,MATCH(BR20,TABLAS!$B$52:$B$58,0))&lt;2*INDEX(TABLAS!$C$52:$C$58,MATCH(BR20,TABLAS!$B$52:$B$58,0))),INDEX(TABLAS!$I$52:$I$58,MATCH(BR20,TABLAS!$B$52:$B$58,0)),INDEX(TABLAS!$F$52:$F$58,MATCH(BR20,TABLAS!$B$52:$B$58,0)))),5)),IF(((4*((AV20*AK20*Z20^2*1E-4/1000)+((MAX(AR20,AT20)*AK20*Z20^2*1E-4/1000)+(IF(AND(AR20&gt;0,AT20&gt;0),MIN(AR20,AT20),MAX(AR20,AT20))*AK20*Z20^2*1E-4/1000))/2)+AY20-(IF(AND(AR20&gt;0,AT20&gt;0),MIN(AR20,AT20),MAX(AR20,AT20))*AK20*Z20^2*1E-4/1000))^2-16*((AV20*AK20*Z20^2*1E-4/1000)+((MAX(AR20,AT20)*AK20*Z20^2*1E-4/1000)+(IF(AND(AR20&gt;0,AT20&gt;0),MIN(AR20,AT20),MAX(AR20,AT20))*AK20*Z20^2*1E-4/1000))/2)*AY20)&lt;0,CEILING(AC20,5),CEILING(MAX(AC20*((4*((AV20*AK20*Z20^2*1E-4/1000)+((MAX(AR20,AT20)*AK20*Z20^2*1E-4/1000)+(IF(AND(AR20&gt;0,AT20&gt;0),MIN(AR20,AT20),MAX(AR20,AT20))*AK20*Z20^2*1E-4/1000))/2)+AY20-(IF(AND(AR20&gt;0,AT20&gt;0),MIN(AR20,AT20),MAX(AR20,AT20))*AK20*Z20^2*1E-4/1000))-SQRT(MAX(0,((4*((AV20*AK20*Z20^2*1E-4/1000)+((MAX(AR20,AT20)*AK20*Z20^2*1E-4/1000)+(IF(AND(AR20&gt;0,AT20&gt;0),MIN(AR20,AT20),MAX(AR20,AT20))*AK20*Z20^2*1E-4/1000))/2)+AY20-(IF(AND(AR20&gt;0,AT20&gt;0),MIN(AR20,AT20),MAX(AR20,AT20))*AK20*Z20^2*1E-4/1000))^2-16*((AV20*AK20*Z20^2*1E-4/1000)+((MAX(AR20,AT20)*AK20*Z20^2*1E-4/1000)+(IF(AND(AR20&gt;0,AT20&gt;0),MIN(AR20,AT20),MAX(AR20,AT20))*AK20*Z20^2*1E-4/1000))/2)*AY20))))/(8*MAX(((AV20*AK20*Z20^2*1E-4/1000)+((MAX(AR20,AT20)*AK20*Z20^2*1E-4/1000)+(IF(AND(AR20&gt;0,AT20&gt;0),MIN(AR20,AT20),MAX(AR20,AT20))*AK20*Z20^2*1E-4/1000))/2),1E-9))+MAX(BU20,12*INDEX(TABLAS!$C$52:$C$58,MATCH(BR20,TABLAS!$B$52:$B$58,0)),AC20/16),IF(OR(AF20&lt;INDEX(TABLAS!$C$52:$C$58,MATCH(BR20,TABLAS!$B$52:$B$58,0)),BS20-INDEX(TABLAS!$C$52:$C$58,MATCH(BR20,TABLAS!$B$52:$B$58,0))&lt;2*INDEX(TABLAS!$C$52:$C$58,MATCH(BR20,TABLAS!$B$52:$B$58,0))),INDEX(TABLAS!$I$52:$I$58,MATCH(BR20,TABLAS!$B$52:$B$58,0)),INDEX(TABLAS!$F$52:$F$58,MATCH(BR20,TABLAS!$B$52:$B$58,0)))),5))))</f>
        <v/>
      </c>
      <c r="DA20" s="60" t="str">
        <f>IF(V20&lt;&gt;"SÍ","",IF(C20="VOLADO",0,IF(((4*((AW20*AK20*Z20^2*1E-4/1000)+((MAX(AS20,AU20)*AK20*Z20^2*1E-4/1000)+(IF(AND(AS20&gt;0,AU20&gt;0),MIN(AS20,AU20),MAX(AS20,AU20))*AK20*Z20^2*1E-4/1000))/2)+BA20-(IF(AND(AS20&gt;0,AU20&gt;0),MIN(AS20,AU20),MAX(AS20,AU20))*AK20*Z20^2*1E-4/1000))^2-16*((AW20*AK20*Z20^2*1E-4/1000)+((MAX(AS20,AU20)*AK20*Z20^2*1E-4/1000)+(IF(AND(AS20&gt;0,AU20&gt;0),MIN(AS20,AU20),MAX(AS20,AU20))*AK20*Z20^2*1E-4/1000))/2)*BA20)&lt;0,CEILING(AD20,5),CEILING(MAX(AD20*((4*((AW20*AK20*Z20^2*1E-4/1000)+((MAX(AS20,AU20)*AK20*Z20^2*1E-4/1000)+(IF(AND(AS20&gt;0,AU20&gt;0),MIN(AS20,AU20),MAX(AS20,AU20))*AK20*Z20^2*1E-4/1000))/2)+BA20-(IF(AND(AS20&gt;0,AU20&gt;0),MIN(AS20,AU20),MAX(AS20,AU20))*AK20*Z20^2*1E-4/1000))-SQRT(MAX(0,((4*((AW20*AK20*Z20^2*1E-4/1000)+((MAX(AS20,AU20)*AK20*Z20^2*1E-4/1000)+(IF(AND(AS20&gt;0,AU20&gt;0),MIN(AS20,AU20),MAX(AS20,AU20))*AK20*Z20^2*1E-4/1000))/2)+BA20-(IF(AND(AS20&gt;0,AU20&gt;0),MIN(AS20,AU20),MAX(AS20,AU20))*AK20*Z20^2*1E-4/1000))^2-16*((AW20*AK20*Z20^2*1E-4/1000)+((MAX(AS20,AU20)*AK20*Z20^2*1E-4/1000)+(IF(AND(AS20&gt;0,AU20&gt;0),MIN(AS20,AU20),MAX(AS20,AU20))*AK20*Z20^2*1E-4/1000))/2)*BA20))))/(8*MAX(((AW20*AK20*Z20^2*1E-4/1000)+((MAX(AS20,AU20)*AK20*Z20^2*1E-4/1000)+(IF(AND(AS20&gt;0,AU20&gt;0),MIN(AS20,AU20),MAX(AS20,AU20))*AK20*Z20^2*1E-4/1000))/2),1E-9))+MAX(CO20,12*INDEX(TABLAS!$C$52:$C$58,MATCH(CL20,TABLAS!$B$52:$B$58,0)),AD20/16),IF(OR(AF20&lt;INDEX(TABLAS!$C$52:$C$58,MATCH(CL20,TABLAS!$B$52:$B$58,0)),CM20-INDEX(TABLAS!$C$52:$C$58,MATCH(CL20,TABLAS!$B$52:$B$58,0))&lt;2*INDEX(TABLAS!$C$52:$C$58,MATCH(CL20,TABLAS!$B$52:$B$58,0))),INDEX(TABLAS!$I$52:$I$58,MATCH(CL20,TABLAS!$B$52:$B$58,0)),INDEX(TABLAS!$F$52:$F$58,MATCH(CL20,TABLAS!$B$52:$B$58,0)))),5))))</f>
        <v/>
      </c>
      <c r="DB20" s="55" t="str">
        <f>IF(V20&lt;&gt;"SÍ","",IF(AND(C20="PERIMETRAL",AL20-AM20&gt;0,AT20&gt;0),"SÍ","NO"))</f>
        <v/>
      </c>
      <c r="DC20" s="55" t="str">
        <f>IF(V20&lt;&gt;"SÍ","",IF(AND(C20="PERIMETRAL",AM20&gt;0,AU20&gt;0),"SÍ","NO"))</f>
        <v/>
      </c>
      <c r="DD20" s="63" t="str">
        <f>IF(V20&lt;&gt;"SÍ","",IF(OR(C20="VOLADO",AL20=0),"—",IF(AND(AND(INDEX(TABLAS!$G$52:$G$58,MATCH(MAX(BR20,CL20),TABLAS!$B$52:$B$58,0))&lt;=(DATOS!$C$75-DATOS!$C$63),(DATOS!$C$75-DATOS!$C$63)&gt;=15),8*INDEX(TABLAS!$C$52:$C$58,MATCH(MAX(BH20,CB20,BR20,CL20),TABLAS!$B$52:$B$58,0))&lt;=DATOS!$C$76-2*DATOS!$C$63),"CUMPLE (gancho de 180°)",IF(AND(INDEX(TABLAS!$G$52:$G$58,MATCH(MAX(BR20,CL20),TABLAS!$B$52:$B$58,0))&lt;=(DATOS!$C$75-DATOS!$C$63),(DATOS!$C$75-DATOS!$C$63)&gt;=15),"NO CUMPLE: el gancho de 180° (8·d_b) no cabe en el peralte de la dala de borde","NO CUMPLE: dala de borde ≥ "&amp;TEXT(CEILING(MAX(INDEX(TABLAS!$G$52:$G$58,MATCH(MAX(BR20,CL20),TABLAS!$B$52:$B$58,0)),15)+DATOS!$C$63,5),"0")&amp;" cm de ancho"&amp;IF(8*INDEX(TABLAS!$C$52:$C$58,MATCH(MAX(BH20,CB20,BR20,CL20),TABLAS!$B$52:$B$58,0))&lt;=DATOS!$C$76-2*DATOS!$C$63,""," y más peralte para el gancho")))))</f>
        <v/>
      </c>
      <c r="DE20" s="69" t="str">
        <f>IF(V20&lt;&gt;"SÍ","",IF(BI20=0,"NO ALCANZA","No. "&amp;BH20&amp;" @ "&amp;BI20&amp;" cm"&amp;IF(C20="VOLADO"," (temperatura)","")))</f>
        <v/>
      </c>
      <c r="DF20" s="69" t="str">
        <f>IF(V20&lt;&gt;"SÍ","",IF(BS20=0,"NO ALCANZA",IF(C20="VOLADO","No. "&amp;BR20&amp;" @ "&amp;BS20&amp;" cm"&amp;" de la orilla al respaldo ("&amp;IF(CZ20&gt;=FLOOR(100*IF(ISNUMBER(Q20),Q20,Z20)-DATOS!$C$63,5),"hasta su apoyo lejano, con gancho","entran "&amp;TEXT(CZ20/100,"0.00")&amp;" m desde el paño")&amp;")","Bastones "&amp;"No. "&amp;BR20&amp;" @ "&amp;BS20&amp;" cm"&amp;", L = "&amp;TEXT(CZ20/100,"0.00")&amp;" m desde el paño")))</f>
        <v/>
      </c>
      <c r="DG20" s="69" t="str">
        <f>IF(V20&lt;&gt;"SÍ","",IF(CC20=0,"NO ALCANZA","No. "&amp;CB20&amp;" @ "&amp;CC20&amp;" cm"&amp;IF(C20="VOLADO"," (repartición)","")))</f>
        <v/>
      </c>
      <c r="DH20" s="69" t="str">
        <f>IF(V20&lt;&gt;"SÍ","",IF(CM20=0,"NO ALCANZA",IF(C20="VOLADO","No. "&amp;CL20&amp;" @ "&amp;CM20&amp;" cm"&amp;" (repartición)","Bastones "&amp;"No. "&amp;CL20&amp;" @ "&amp;CM20&amp;" cm"&amp;", L = "&amp;TEXT(DA20/100,"0.00")&amp;" m desde el paño")))</f>
        <v/>
      </c>
      <c r="DI20" s="67" t="str">
        <f>IF(B20="","",IF(V20&lt;&gt;"SÍ","FALTAN DATOS: tipo, a_x, a_y, destino y, en volados, L_b",IF(L20="NO MONOLÍTICO (caso II)","FUERA DE ALCANCE: caso II no transcrito",IF(AND(C20="VOLADO",X20="?"),"REVISAR: el volado lleva UN solo borde CONTINUO (el empotrado)",IF(AND(MAX(BM20,BW20,CG20,CQ20)&lt;=1,NOT(OR(BI20&lt;DATOS!$C$143,BS20&lt;DATOS!$C$143,CC20&lt;DATOS!$C$143,CM20&lt;DATOS!$C$143)),NOT(OR(AND(ISNUMBER(BN20),BN20&lt;0.005),AND(ISNUMBER(BX20),BX20&lt;0.005),AND(ISNUMBER(CH20),CH20&lt;0.005),AND(ISNUMBER(CR20),CR20&lt;0.005))),CV20="CUMPLE",CY20="CUMPLE"),"CUMPLE"&amp;IF(LEFT(BB20,5)="FUERA"," · fuera de 3.4.2.1 c)","")&amp;IF(LEFT(DD20,2)="NO"," · REVISAR anclaje en borde discontinuo",""),IF(AND(MAX(BM20,BW20,CG20,CQ20)&lt;=1,NOT(OR(BI20&lt;DATOS!$C$143,BS20&lt;DATOS!$C$143,CC20&lt;DATOS!$C$143,CM20&lt;DATOS!$C$143)),NOT(OR(AND(ISNUMBER(BN20),BN20&lt;0.005),AND(ISNUMBER(BX20),BX20&lt;0.005),AND(ISNUMBER(CH20),CH20&lt;0.005),AND(ISNUMBER(CR20),CR20&lt;0.005))),CV20="CUMPLE",CY20="CALCULAR FLECHA"),"REVISAR: calcular flecha (h &lt; h mín.)"&amp;IF(LEFT(BB20,5)="FUERA"," · fuera de 3.4.2.1 c)","")&amp;IF(LEFT(DD20,2)="NO"," · REVISAR anclaje en borde discontinuo",""),"NO CUMPLE: "&amp;IF(MAX(BM20,BW20,CG20,CQ20)&gt;1,"flexión ","")&amp;IF(OR(BI20&lt;DATOS!$C$143,BS20&lt;DATOS!$C$143,CC20&lt;DATOS!$C$143,CM20&lt;DATOS!$C$143),"separación &lt; mínima ","")&amp;IF(OR(AND(ISNUMBER(BN20),BN20&lt;0.005),AND(ISNUMBER(BX20),BX20&lt;0.005),AND(ISNUMBER(CH20),CH20&lt;0.005),AND(ISNUMBER(CR20),CR20&lt;0.005)),"ε_t &lt; 0.005 ","")&amp;IF(CV20&lt;&gt;"CUMPLE","cortante ","")&amp;IF(CY20="NO CUMPLE","peralte","")))))))</f>
        <v/>
      </c>
      <c r="DJ20" s="70" t="str">
        <f>IF(V20&lt;&gt;"SÍ","",IF(LEFT(B20,7)="EJEMPLO","EJEMPLO de tablero típico: bórralo o sobrescríbelo. ","")&amp;IF(C20="VOLADO","Volado de "&amp;TEXT(Z20,"0.00")&amp;" m empotrado en el borde "&amp;LOWER(X20)&amp;IF(N(P20)&gt;0,", con "&amp;TEXT(P20,"0.0")&amp;" kg/m en la orilla","")&amp;". Lecho inferior con r_ext. Si la orilla carga pretil u otro elemento frágil, calcula la flecha (13.4). El acero superior entra al respaldo de "&amp;TEXT(IF(ISNUMBER(Q20),Q20,Z20),"0.00")&amp;" m"&amp;" hasta pasar M = 0 con 0.9·PP sin carga viva; si ahí no se anula, llega al apoyo lejano y se ancla con gancho. ","")&amp;IF(AND(C20="VOLADO",(0.9*W20/100*DATOS!$C$16*IF(ISNUMBER(Q20),Q20,Z20)/2-AY20/IF(ISNUMBER(Q20),Q20,Z20))&lt;0),"Con 0.9·PP y sin carga viva el apoyo lejano del respaldo levanta (R = "&amp;TEXT(-(0.9*W20/100*DATOS!$C$16*IF(ISNUMBER(Q20),Q20,Z20)/2-AY20/IF(ISNUMBER(Q20),Q20,Z20)),"0.00")&amp;" t/m): ancla ahí el acero con gancho y revisa ese apoyo a tensión. ","")&amp;IF(LEFT(BB20,5)="FUERA","El M⁻ del vecino difiere más de 50 % (3.4.2.1 c): distribuye el desequilibrio (3.4.3.1) o confirma con un modelo; se arma con el mayor. ","")&amp;IF(OR(DB20="SÍ",DC20="SÍ"),"Bastones también en los bordes discontinuos (M⁻ de tabla), con gancho. ","")&amp;IF(LEFT(DD20,2)="NO","Anclaje: "&amp;DD20&amp;" (6.7.7.4.1.1). ","")&amp;IF(AND(C20="PERIMETRAL",AM20&gt;=1,AL20-AM20&gt;=1),"Esquinas exteriores sobre muro: refuerzo de esquina arriba y abajo en L_largo/5 (6.7.7.3.1). ",""))</f>
        <v/>
      </c>
    </row>
    <row r="21" ht="33" customHeight="1">
      <c r="A21" s="50">
        <f>IF(B21="",0,1)+A20</f>
        <v>3</v>
      </c>
      <c r="B21" s="29" t="n"/>
      <c r="C21" s="51" t="n"/>
      <c r="D21" s="29" t="n"/>
      <c r="E21" s="52" t="n"/>
      <c r="F21" s="52" t="n"/>
      <c r="G21" s="51" t="n"/>
      <c r="H21" s="51" t="n"/>
      <c r="I21" s="51" t="n"/>
      <c r="J21" s="51" t="n"/>
      <c r="K21" s="51" t="n"/>
      <c r="L21" s="51" t="n"/>
      <c r="M21" s="54" t="n"/>
      <c r="N21" s="53" t="n"/>
      <c r="O21" s="53" t="n"/>
      <c r="P21" s="54" t="n"/>
      <c r="Q21" s="52" t="n"/>
      <c r="R21" s="54" t="n"/>
      <c r="S21" s="53" t="n"/>
      <c r="T21" s="52" t="n"/>
      <c r="U21" s="52" t="n"/>
      <c r="V21" s="55" t="str">
        <f>IF(B21="","",IF(AND(OR(C21="PERIMETRAL",C21="VOLADO"),ISNUMBER(E21),ISNUMBER(F21),E21&gt;0,F21&gt;0,OR(ISNUMBER(O21),ISNUMBER(MATCH(D21,DATOS!$B$46:$B$58,0))),OR(C21&lt;&gt;"VOLADO",N(Q21)&gt;0)),"SÍ","NO"))</f>
        <v/>
      </c>
      <c r="W21" s="57" t="str">
        <f>IF(V21&lt;&gt;"SÍ","",IF(ISNUMBER(M21),M21,DATOS!$C$137))</f>
        <v/>
      </c>
      <c r="X21" s="55" t="str">
        <f>IF(V21&lt;&gt;"SÍ","",IF(C21&lt;&gt;"VOLADO","—",IF(COUNTIF(G21:J21,"CONTINUO")&lt;&gt;1,"?",IF(G21="CONTINUO","INFERIOR",IF(H21="CONTINUO","SUPERIOR",IF(I21="CONTINUO","IZQUIERDO","DERECHO"))))))</f>
        <v/>
      </c>
      <c r="Y21" s="55" t="str">
        <f>IF(V21&lt;&gt;"SÍ","",IF(C21="VOLADO",IF(OR(X21="IZQUIERDO",X21="DERECHO"),"X","Y"),IF(E21&lt;=F21,"X","Y")))</f>
        <v/>
      </c>
      <c r="Z21" s="56" t="str">
        <f>IF(V21&lt;&gt;"SÍ","",IF(C21="VOLADO",IF(Y21="X",E21,F21),MIN(E21,F21)))</f>
        <v/>
      </c>
      <c r="AA21" s="56" t="str">
        <f>IF(V21&lt;&gt;"SÍ","",IF(C21="VOLADO",IF(Y21="X",F21,E21),MAX(E21,F21)))</f>
        <v/>
      </c>
      <c r="AB21" s="56" t="str">
        <f>IF(V21&lt;&gt;"SÍ","",MIN(Z21,AA21)/MAX(Z21,AA21))</f>
        <v/>
      </c>
      <c r="AC21" s="57" t="str">
        <f>IF(V21&lt;&gt;"SÍ","",MAX(1,Z21*100-IF(C21="VOLADO",DATOS!$C$87/2,DATOS!$C$87)))</f>
        <v/>
      </c>
      <c r="AD21" s="57" t="str">
        <f>IF(V21&lt;&gt;"SÍ","",MAX(1,AA21*100-DATOS!$C$87))</f>
        <v/>
      </c>
      <c r="AE21" s="57" t="str">
        <f>IF(V21&lt;&gt;"SÍ","",IF(C21="VOLADO",DATOS!$C$64,DATOS!$C$62))</f>
        <v/>
      </c>
      <c r="AF21" s="57" t="str">
        <f>IF(V21&lt;&gt;"SÍ","",IF(OR(AND(AG21="SÍ",DATOS!$C$66="SÍ"),AND(C21="VOLADO",DATOS!$C$67="SÍ")),DATOS!$C$64,DATOS!$C$62))</f>
        <v/>
      </c>
      <c r="AG21" s="55" t="str">
        <f>IF(V21&lt;&gt;"SÍ","",IFERROR(INDEX(DATOS!$D$46:$D$58,MATCH(D21,DATOS!$B$46:$B$58,0)),"NO"))</f>
        <v/>
      </c>
      <c r="AH21" s="59" t="str">
        <f>IF(V21&lt;&gt;"SÍ","",IF(ISNUMBER(O21),O21,IFERROR(INDEX(DATOS!$C$46:$C$58,MATCH(D21,DATOS!$B$46:$B$58,0)),0)))</f>
        <v/>
      </c>
      <c r="AI21" s="59" t="str">
        <f>IF(V21&lt;&gt;"SÍ","",W21/100*DATOS!$C$16*1000+DATOS!$C$37+DATOS!$C$38)</f>
        <v/>
      </c>
      <c r="AJ21" s="59" t="str">
        <f>IF(V21&lt;&gt;"SÍ","",AI21+N(N21))</f>
        <v/>
      </c>
      <c r="AK21" s="60" t="str">
        <f>IF(V21&lt;&gt;"SÍ","",MAX(DATOS!$C$26*AJ21+DATOS!$C$27*AH21,IF(AG21="SÍ",DATOS!$C$28*(AJ21+DATOS!$C$41),0)))</f>
        <v/>
      </c>
      <c r="AL21" s="59" t="str">
        <f>IF(V21&lt;&gt;"SÍ","",(G21="DISCONTINUO")+(H21="DISCONTINUO")+(I21="DISCONTINUO")+(J21="DISCONTINUO"))</f>
        <v/>
      </c>
      <c r="AM21" s="59" t="str">
        <f>IF(V21&lt;&gt;"SÍ","",IF(Y21="X",(G21="DISCONTINUO")+(H21="DISCONTINUO"),(I21="DISCONTINUO")+(J21="DISCONTINUO")))</f>
        <v/>
      </c>
      <c r="AN21" s="55" t="str">
        <f>IF(V21&lt;&gt;"SÍ","",IF(AL21=0,"INTERIOR",IF(AL21=1,IF(AM21=1,"BORDE-CORTO","BORDE-LARGO"),IF(AL21=2,IF(AM21=1,"ESQUINA",IF(AM21=2,"EXTREMO-LARGO","EXTREMO-CORTO")),IF(AL21=3,IF(AM21=2,"EXTREMO-LARGO","EXTREMO-CORTO"),"AISLADO")))))</f>
        <v/>
      </c>
      <c r="AO21" s="61" t="str">
        <f>IF(V21&lt;&gt;"SÍ","",IF(OR(K21="",K21="AUTO"),AN21,K21))</f>
        <v/>
      </c>
      <c r="AP21" s="59" t="str">
        <f>IF(V21&lt;&gt;"SÍ","",MATCH(AB21,TABLAS!$D$5:$J$5,1))</f>
        <v/>
      </c>
      <c r="AQ21" s="58" t="str">
        <f>IF(V21&lt;&gt;"SÍ","",IF(AP21&gt;=7,0,(AB21-INDEX(TABLAS!$D$5:$J$5,AP21))/(INDEX(TABLAS!$D$5:$J$5,AP21+1)-INDEX(TABLAS!$D$5:$J$5,AP21))))</f>
        <v/>
      </c>
      <c r="AR21" s="59" t="str">
        <f>IF(V21&lt;&gt;"SÍ","",INDEX(TABLAS!$D$6:$J$47,MATCH(AO21&amp;"|NIC",TABLAS!$B$6:$B$47,0),AP21)+AQ21*(INDEX(TABLAS!$D$6:$J$47,MATCH(AO21&amp;"|NIC",TABLAS!$B$6:$B$47,0),MIN(AP21+1,7))-INDEX(TABLAS!$D$6:$J$47,MATCH(AO21&amp;"|NIC",TABLAS!$B$6:$B$47,0),AP21)))</f>
        <v/>
      </c>
      <c r="AS21" s="59" t="str">
        <f>IF(V21&lt;&gt;"SÍ","",INDEX(TABLAS!$D$6:$J$47,MATCH(AO21&amp;"|NIL",TABLAS!$B$6:$B$47,0),AP21)+AQ21*(INDEX(TABLAS!$D$6:$J$47,MATCH(AO21&amp;"|NIL",TABLAS!$B$6:$B$47,0),MIN(AP21+1,7))-INDEX(TABLAS!$D$6:$J$47,MATCH(AO21&amp;"|NIL",TABLAS!$B$6:$B$47,0),AP21)))</f>
        <v/>
      </c>
      <c r="AT21" s="59" t="str">
        <f>IF(V21&lt;&gt;"SÍ","",INDEX(TABLAS!$D$6:$J$47,MATCH(AO21&amp;"|NDC",TABLAS!$B$6:$B$47,0),AP21)+AQ21*(INDEX(TABLAS!$D$6:$J$47,MATCH(AO21&amp;"|NDC",TABLAS!$B$6:$B$47,0),MIN(AP21+1,7))-INDEX(TABLAS!$D$6:$J$47,MATCH(AO21&amp;"|NDC",TABLAS!$B$6:$B$47,0),AP21)))</f>
        <v/>
      </c>
      <c r="AU21" s="59" t="str">
        <f>IF(V21&lt;&gt;"SÍ","",INDEX(TABLAS!$D$6:$J$47,MATCH(AO21&amp;"|NDL",TABLAS!$B$6:$B$47,0),AP21)+AQ21*(INDEX(TABLAS!$D$6:$J$47,MATCH(AO21&amp;"|NDL",TABLAS!$B$6:$B$47,0),MIN(AP21+1,7))-INDEX(TABLAS!$D$6:$J$47,MATCH(AO21&amp;"|NDL",TABLAS!$B$6:$B$47,0),AP21)))</f>
        <v/>
      </c>
      <c r="AV21" s="59" t="str">
        <f>IF(V21&lt;&gt;"SÍ","",INDEX(TABLAS!$D$6:$J$47,MATCH(AO21&amp;"|PC",TABLAS!$B$6:$B$47,0),AP21)+AQ21*(INDEX(TABLAS!$D$6:$J$47,MATCH(AO21&amp;"|PC",TABLAS!$B$6:$B$47,0),MIN(AP21+1,7))-INDEX(TABLAS!$D$6:$J$47,MATCH(AO21&amp;"|PC",TABLAS!$B$6:$B$47,0),AP21)))</f>
        <v/>
      </c>
      <c r="AW21" s="59" t="str">
        <f>IF(V21&lt;&gt;"SÍ","",INDEX(TABLAS!$D$6:$J$47,MATCH(AO21&amp;"|PL",TABLAS!$B$6:$B$47,0),AP21)+AQ21*(INDEX(TABLAS!$D$6:$J$47,MATCH(AO21&amp;"|PL",TABLAS!$B$6:$B$47,0),MIN(AP21+1,7))-INDEX(TABLAS!$D$6:$J$47,MATCH(AO21&amp;"|PL",TABLAS!$B$6:$B$47,0),AP21)))</f>
        <v/>
      </c>
      <c r="AX21" s="56" t="str">
        <f>IF(V21&lt;&gt;"SÍ","",IF(C21="PERIMETRAL",AV21*AK21*Z21^2*1E-4/1000,0))</f>
        <v/>
      </c>
      <c r="AY21" s="62" t="str">
        <f>IF(V21&lt;&gt;"SÍ","",IF(C21="PERIMETRAL",MAX(MAX(AR21,AT21)*AK21*Z21^2*1E-4/1000,N(T21)),(AK21*(AC21/100)^2/2+DATOS!$C$26*N(P21)*AC21/100)/1000))</f>
        <v/>
      </c>
      <c r="AZ21" s="56" t="str">
        <f>IF(V21&lt;&gt;"SÍ","",IF(C21="PERIMETRAL",AW21*AK21*Z21^2*1E-4/1000,0))</f>
        <v/>
      </c>
      <c r="BA21" s="56" t="str">
        <f>IF(V21&lt;&gt;"SÍ","",IF(C21="PERIMETRAL",MAX(MAX(AS21,AU21)*AK21*Z21^2*1E-4/1000,N(U21)),0))</f>
        <v/>
      </c>
      <c r="BB21" s="63" t="str">
        <f>IF(V21&lt;&gt;"SÍ","",IF(C21&lt;&gt;"PERIMETRAL","—",IF(AND(N(T21)=0,N(U21)=0),"— (sin M⁻ del vecino)",IF(OR(AND(N(T21)&gt;0,ABS(MAX(AR21,AT21)*AK21*Z21^2*1E-4/1000-N(T21))&gt;0.5*MIN(MAX(AR21,AT21)*AK21*Z21^2*1E-4/1000,N(T21))),AND(N(U21)&gt;0,ABS(MAX(AS21,AU21)*AK21*Z21^2*1E-4/1000-N(U21))&gt;0.5*MIN(MAX(AS21,AU21)*AK21*Z21^2*1E-4/1000,N(U21)))),"FUERA: difieren &gt; 50 %"&amp;IF(AND(N(T21)&gt;0,ABS(MAX(AR21,AT21)*AK21*Z21^2*1E-4/1000-N(T21))&gt;0.5*MIN(MAX(AR21,AT21)*AK21*Z21^2*1E-4/1000,N(T21)))," ‖ corto","")&amp;IF(AND(N(U21)&gt;0,ABS(MAX(AS21,AU21)*AK21*Z21^2*1E-4/1000-N(U21))&gt;0.5*MIN(MAX(AS21,AU21)*AK21*Z21^2*1E-4/1000,N(U21)))," ‖ largo",""),"CUMPLE"))))</f>
        <v/>
      </c>
      <c r="BC21" s="58" t="str">
        <f>IF(V21&lt;&gt;"SÍ","",DATOS!$C$139*100*W21)</f>
        <v/>
      </c>
      <c r="BD21" s="57" t="str">
        <f>IF(V21&lt;&gt;"SÍ","",MIN(IF(C21="VOLADO",DATOS!$C$141,DATOS!$C$140)*W21,DATOS!$C$142))</f>
        <v/>
      </c>
      <c r="BE21" s="58" t="str">
        <f>IF(V21&lt;&gt;"SÍ","",(W21-AE21-INDEX(TABLAS!$C$52:$C$58,MATCH(IF(ISNUMBER(S21),S21,DATOS!$C$138),TABLAS!$B$52:$B$58,0))/2))</f>
        <v/>
      </c>
      <c r="BF21" s="58" t="str">
        <f>IF(V21&lt;&gt;"SÍ","",IF(AX21&lt;=0,0,IF((1-2*AX21*1E5/(DATOS!$C$29*100*BE21^2*DATOS!$C$21))&lt;0,-1,IF((1-SQRT((1-2*AX21*1E5/(DATOS!$C$29*100*BE21^2*DATOS!$C$21))))*DATOS!$C$21*100*BE21/DATOS!$C$14&gt;DATOS!$C$102*100*BE21,-1,(1-SQRT((1-2*AX21*1E5/(DATOS!$C$29*100*BE21^2*DATOS!$C$21))))*DATOS!$C$21*100*BE21/DATOS!$C$14))))</f>
        <v/>
      </c>
      <c r="BG21" s="58" t="str">
        <f>IF(V21&lt;&gt;"SÍ","",IF(BF21&lt;0,-1,MAX(BF21,BC21)))</f>
        <v/>
      </c>
      <c r="BH21" s="64" t="str">
        <f>IF(V21&lt;&gt;"SÍ","",IF(AND(BG21&gt;0,FLOOR(MIN(BD21,100*INDEX(TABLAS!$D$52:$D$58,MIN(MATCH(IF(ISNUMBER(S21),S21,DATOS!$C$138),TABLAS!$B$52:$B$58,0)+0,7))/MAX(BG21,0.0001)),DATOS!$C$144)&gt;=DATOS!$C$143),INDEX(TABLAS!$B$52:$B$58,MIN(MATCH(IF(ISNUMBER(S21),S21,DATOS!$C$138),TABLAS!$B$52:$B$58,0)+0,7)),IF(AND(BG21&gt;0,FLOOR(MIN(BD21,100*INDEX(TABLAS!$D$52:$D$58,MIN(MATCH(IF(ISNUMBER(S21),S21,DATOS!$C$138),TABLAS!$B$52:$B$58,0)+1,7))/MAX(BG21,0.0001)),DATOS!$C$144)&gt;=DATOS!$C$143),INDEX(TABLAS!$B$52:$B$58,MIN(MATCH(IF(ISNUMBER(S21),S21,DATOS!$C$138),TABLAS!$B$52:$B$58,0)+1,7)),IF(AND(BG21&gt;0,FLOOR(MIN(BD21,100*INDEX(TABLAS!$D$52:$D$58,MIN(MATCH(IF(ISNUMBER(S21),S21,DATOS!$C$138),TABLAS!$B$52:$B$58,0)+2,7))/MAX(BG21,0.0001)),DATOS!$C$144)&gt;=DATOS!$C$143),INDEX(TABLAS!$B$52:$B$58,MIN(MATCH(IF(ISNUMBER(S21),S21,DATOS!$C$138),TABLAS!$B$52:$B$58,0)+2,7)),IF(AND(BG21&gt;0,FLOOR(MIN(BD21,100*INDEX(TABLAS!$D$52:$D$58,MIN(MATCH(IF(ISNUMBER(S21),S21,DATOS!$C$138),TABLAS!$B$52:$B$58,0)+3,7))/MAX(BG21,0.0001)),DATOS!$C$144)&gt;=DATOS!$C$143),INDEX(TABLAS!$B$52:$B$58,MIN(MATCH(IF(ISNUMBER(S21),S21,DATOS!$C$138),TABLAS!$B$52:$B$58,0)+3,7)),IF(AND(BG21&gt;0,FLOOR(MIN(BD21,100*INDEX(TABLAS!$D$52:$D$58,MIN(MATCH(IF(ISNUMBER(S21),S21,DATOS!$C$138),TABLAS!$B$52:$B$58,0)+4,7))/MAX(BG21,0.0001)),DATOS!$C$144)&gt;=DATOS!$C$143),INDEX(TABLAS!$B$52:$B$58,MIN(MATCH(IF(ISNUMBER(S21),S21,DATOS!$C$138),TABLAS!$B$52:$B$58,0)+4,7)),INDEX(TABLAS!$B$52:$B$58,7)))))))</f>
        <v/>
      </c>
      <c r="BI21" s="71" t="str">
        <f>IF(V21&lt;&gt;"SÍ","",IF(BG21&lt;=0,0,FLOOR(MIN(BD21,100*INDEX(TABLAS!$D$52:$D$58,MATCH(BH21,TABLAS!$B$52:$B$58,0))/BG21),DATOS!$C$144)))</f>
        <v/>
      </c>
      <c r="BJ21" s="58" t="str">
        <f>IF(V21&lt;&gt;"SÍ","",IF(BI21&lt;=0,0,INDEX(TABLAS!$D$52:$D$58,MATCH(BH21,TABLAS!$B$52:$B$58,0))*100/BI21))</f>
        <v/>
      </c>
      <c r="BK21" s="58" t="str">
        <f>IF(V21&lt;&gt;"SÍ","",W21-AE21-INDEX(TABLAS!$C$52:$C$58,MATCH(BH21,TABLAS!$B$52:$B$58,0))/2)</f>
        <v/>
      </c>
      <c r="BL21" s="56" t="str">
        <f>IF(V21&lt;&gt;"SÍ","",IF(BJ21=0,0,DATOS!$C$29*BJ21*DATOS!$C$14*(BK21-BJ21*DATOS!$C$14/(DATOS!$C$21*100)/2)/1E5))</f>
        <v/>
      </c>
      <c r="BM21" s="65" t="str">
        <f>IF(V21&lt;&gt;"SÍ","",IF(BG21&lt;0,9.99,IF(BL21&gt;0,AX21/BL21,0)))</f>
        <v/>
      </c>
      <c r="BN21" s="66" t="str">
        <f>IF(V21&lt;&gt;"SÍ","",IF(BJ21=0,"—",0.003*(BK21-(BJ21*DATOS!$C$14/(DATOS!$C$21*100)/DATOS!$C$22))/(BJ21*DATOS!$C$14/(DATOS!$C$21*100)/DATOS!$C$22)))</f>
        <v/>
      </c>
      <c r="BO21" s="58" t="str">
        <f>IF(V21&lt;&gt;"SÍ","",((W21-AF21-INDEX(TABLAS!$C$52:$C$58,MATCH(IF(ISNUMBER(S21),S21,DATOS!$C$138),TABLAS!$B$52:$B$58,0))/2)-IF(AND((W21-AF21-INDEX(TABLAS!$C$52:$C$58,MATCH(IF(ISNUMBER(S21),S21,DATOS!$C$138),TABLAS!$B$52:$B$58,0))/2)&lt;=20,DATOS!$C$65&lt;&gt;"SÍ"),2,0)))</f>
        <v/>
      </c>
      <c r="BP21" s="58" t="str">
        <f>IF(V21&lt;&gt;"SÍ","",IF(AY21&lt;=0,0,IF((1-2*AY21*1E5/(DATOS!$C$29*100*BO21^2*DATOS!$C$21))&lt;0,-1,IF((1-SQRT((1-2*AY21*1E5/(DATOS!$C$29*100*BO21^2*DATOS!$C$21))))*DATOS!$C$21*100*BO21/DATOS!$C$14&gt;DATOS!$C$102*100*BO21,-1,(1-SQRT((1-2*AY21*1E5/(DATOS!$C$29*100*BO21^2*DATOS!$C$21))))*DATOS!$C$21*100*BO21/DATOS!$C$14))))</f>
        <v/>
      </c>
      <c r="BQ21" s="58" t="str">
        <f>IF(V21&lt;&gt;"SÍ","",IF(BP21&lt;0,-1,MAX(BP21,BC21)))</f>
        <v/>
      </c>
      <c r="BR21" s="64" t="str">
        <f>IF(V21&lt;&gt;"SÍ","",IF(AND(BQ21&gt;0,FLOOR(MIN(BD21,100*INDEX(TABLAS!$D$52:$D$58,MIN(MATCH(IF(ISNUMBER(S21),S21,DATOS!$C$138),TABLAS!$B$52:$B$58,0)+0,7))/MAX(BQ21,0.0001)),DATOS!$C$144)&gt;=DATOS!$C$143),INDEX(TABLAS!$B$52:$B$58,MIN(MATCH(IF(ISNUMBER(S21),S21,DATOS!$C$138),TABLAS!$B$52:$B$58,0)+0,7)),IF(AND(BQ21&gt;0,FLOOR(MIN(BD21,100*INDEX(TABLAS!$D$52:$D$58,MIN(MATCH(IF(ISNUMBER(S21),S21,DATOS!$C$138),TABLAS!$B$52:$B$58,0)+1,7))/MAX(BQ21,0.0001)),DATOS!$C$144)&gt;=DATOS!$C$143),INDEX(TABLAS!$B$52:$B$58,MIN(MATCH(IF(ISNUMBER(S21),S21,DATOS!$C$138),TABLAS!$B$52:$B$58,0)+1,7)),IF(AND(BQ21&gt;0,FLOOR(MIN(BD21,100*INDEX(TABLAS!$D$52:$D$58,MIN(MATCH(IF(ISNUMBER(S21),S21,DATOS!$C$138),TABLAS!$B$52:$B$58,0)+2,7))/MAX(BQ21,0.0001)),DATOS!$C$144)&gt;=DATOS!$C$143),INDEX(TABLAS!$B$52:$B$58,MIN(MATCH(IF(ISNUMBER(S21),S21,DATOS!$C$138),TABLAS!$B$52:$B$58,0)+2,7)),IF(AND(BQ21&gt;0,FLOOR(MIN(BD21,100*INDEX(TABLAS!$D$52:$D$58,MIN(MATCH(IF(ISNUMBER(S21),S21,DATOS!$C$138),TABLAS!$B$52:$B$58,0)+3,7))/MAX(BQ21,0.0001)),DATOS!$C$144)&gt;=DATOS!$C$143),INDEX(TABLAS!$B$52:$B$58,MIN(MATCH(IF(ISNUMBER(S21),S21,DATOS!$C$138),TABLAS!$B$52:$B$58,0)+3,7)),IF(AND(BQ21&gt;0,FLOOR(MIN(BD21,100*INDEX(TABLAS!$D$52:$D$58,MIN(MATCH(IF(ISNUMBER(S21),S21,DATOS!$C$138),TABLAS!$B$52:$B$58,0)+4,7))/MAX(BQ21,0.0001)),DATOS!$C$144)&gt;=DATOS!$C$143),INDEX(TABLAS!$B$52:$B$58,MIN(MATCH(IF(ISNUMBER(S21),S21,DATOS!$C$138),TABLAS!$B$52:$B$58,0)+4,7)),INDEX(TABLAS!$B$52:$B$58,7)))))))</f>
        <v/>
      </c>
      <c r="BS21" s="71" t="str">
        <f>IF(V21&lt;&gt;"SÍ","",IF(BQ21&lt;=0,0,FLOOR(MIN(BD21,100*INDEX(TABLAS!$D$52:$D$58,MATCH(BR21,TABLAS!$B$52:$B$58,0))/BQ21),DATOS!$C$144)))</f>
        <v/>
      </c>
      <c r="BT21" s="58" t="str">
        <f>IF(V21&lt;&gt;"SÍ","",IF(BS21&lt;=0,0,INDEX(TABLAS!$D$52:$D$58,MATCH(BR21,TABLAS!$B$52:$B$58,0))*100/BS21))</f>
        <v/>
      </c>
      <c r="BU21" s="58" t="str">
        <f>IF(V21&lt;&gt;"SÍ","",((W21-AF21-INDEX(TABLAS!$C$52:$C$58,MATCH(BR21,TABLAS!$B$52:$B$58,0))/2)-IF(AND((W21-AF21-INDEX(TABLAS!$C$52:$C$58,MATCH(BR21,TABLAS!$B$52:$B$58,0))/2)&lt;=20,DATOS!$C$65&lt;&gt;"SÍ"),2,0)))</f>
        <v/>
      </c>
      <c r="BV21" s="56" t="str">
        <f>IF(V21&lt;&gt;"SÍ","",IF(BT21=0,0,DATOS!$C$29*BT21*DATOS!$C$14*(BU21-BT21*DATOS!$C$14/(DATOS!$C$21*100)/2)/1E5))</f>
        <v/>
      </c>
      <c r="BW21" s="65" t="str">
        <f>IF(V21&lt;&gt;"SÍ","",IF(BQ21&lt;0,9.99,IF(BV21&gt;0,AY21/BV21,0)))</f>
        <v/>
      </c>
      <c r="BX21" s="66" t="str">
        <f>IF(V21&lt;&gt;"SÍ","",IF(BT21=0,"—",0.003*(BU21-(BT21*DATOS!$C$14/(DATOS!$C$21*100)/DATOS!$C$22))/(BT21*DATOS!$C$14/(DATOS!$C$21*100)/DATOS!$C$22)))</f>
        <v/>
      </c>
      <c r="BY21" s="58" t="str">
        <f>IF(V21&lt;&gt;"SÍ","",(W21-AE21-1.5*INDEX(TABLAS!$C$52:$C$58,MATCH(IF(ISNUMBER(S21),S21,DATOS!$C$138),TABLAS!$B$52:$B$58,0))))</f>
        <v/>
      </c>
      <c r="BZ21" s="58" t="str">
        <f>IF(V21&lt;&gt;"SÍ","",IF(AZ21&lt;=0,0,IF((1-2*AZ21*1E5/(DATOS!$C$29*100*BY21^2*DATOS!$C$21))&lt;0,-1,IF((1-SQRT((1-2*AZ21*1E5/(DATOS!$C$29*100*BY21^2*DATOS!$C$21))))*DATOS!$C$21*100*BY21/DATOS!$C$14&gt;DATOS!$C$102*100*BY21,-1,(1-SQRT((1-2*AZ21*1E5/(DATOS!$C$29*100*BY21^2*DATOS!$C$21))))*DATOS!$C$21*100*BY21/DATOS!$C$14))))</f>
        <v/>
      </c>
      <c r="CA21" s="58" t="str">
        <f>IF(V21&lt;&gt;"SÍ","",IF(BZ21&lt;0,-1,MAX(BZ21,BC21)))</f>
        <v/>
      </c>
      <c r="CB21" s="64" t="str">
        <f>IF(V21&lt;&gt;"SÍ","",IF(AND(CA21&gt;0,FLOOR(MIN(BD21,100*INDEX(TABLAS!$D$52:$D$58,MIN(MATCH(IF(ISNUMBER(S21),S21,DATOS!$C$138),TABLAS!$B$52:$B$58,0)+0,7))/MAX(CA21,0.0001)),DATOS!$C$144)&gt;=DATOS!$C$143),INDEX(TABLAS!$B$52:$B$58,MIN(MATCH(IF(ISNUMBER(S21),S21,DATOS!$C$138),TABLAS!$B$52:$B$58,0)+0,7)),IF(AND(CA21&gt;0,FLOOR(MIN(BD21,100*INDEX(TABLAS!$D$52:$D$58,MIN(MATCH(IF(ISNUMBER(S21),S21,DATOS!$C$138),TABLAS!$B$52:$B$58,0)+1,7))/MAX(CA21,0.0001)),DATOS!$C$144)&gt;=DATOS!$C$143),INDEX(TABLAS!$B$52:$B$58,MIN(MATCH(IF(ISNUMBER(S21),S21,DATOS!$C$138),TABLAS!$B$52:$B$58,0)+1,7)),IF(AND(CA21&gt;0,FLOOR(MIN(BD21,100*INDEX(TABLAS!$D$52:$D$58,MIN(MATCH(IF(ISNUMBER(S21),S21,DATOS!$C$138),TABLAS!$B$52:$B$58,0)+2,7))/MAX(CA21,0.0001)),DATOS!$C$144)&gt;=DATOS!$C$143),INDEX(TABLAS!$B$52:$B$58,MIN(MATCH(IF(ISNUMBER(S21),S21,DATOS!$C$138),TABLAS!$B$52:$B$58,0)+2,7)),IF(AND(CA21&gt;0,FLOOR(MIN(BD21,100*INDEX(TABLAS!$D$52:$D$58,MIN(MATCH(IF(ISNUMBER(S21),S21,DATOS!$C$138),TABLAS!$B$52:$B$58,0)+3,7))/MAX(CA21,0.0001)),DATOS!$C$144)&gt;=DATOS!$C$143),INDEX(TABLAS!$B$52:$B$58,MIN(MATCH(IF(ISNUMBER(S21),S21,DATOS!$C$138),TABLAS!$B$52:$B$58,0)+3,7)),IF(AND(CA21&gt;0,FLOOR(MIN(BD21,100*INDEX(TABLAS!$D$52:$D$58,MIN(MATCH(IF(ISNUMBER(S21),S21,DATOS!$C$138),TABLAS!$B$52:$B$58,0)+4,7))/MAX(CA21,0.0001)),DATOS!$C$144)&gt;=DATOS!$C$143),INDEX(TABLAS!$B$52:$B$58,MIN(MATCH(IF(ISNUMBER(S21),S21,DATOS!$C$138),TABLAS!$B$52:$B$58,0)+4,7)),INDEX(TABLAS!$B$52:$B$58,7)))))))</f>
        <v/>
      </c>
      <c r="CC21" s="71" t="str">
        <f>IF(V21&lt;&gt;"SÍ","",IF(CA21&lt;=0,0,FLOOR(MIN(BD21,100*INDEX(TABLAS!$D$52:$D$58,MATCH(CB21,TABLAS!$B$52:$B$58,0))/CA21),DATOS!$C$144)))</f>
        <v/>
      </c>
      <c r="CD21" s="58" t="str">
        <f>IF(V21&lt;&gt;"SÍ","",IF(CC21&lt;=0,0,INDEX(TABLAS!$D$52:$D$58,MATCH(CB21,TABLAS!$B$52:$B$58,0))*100/CC21))</f>
        <v/>
      </c>
      <c r="CE21" s="58" t="str">
        <f>IF(V21&lt;&gt;"SÍ","",W21-AE21-INDEX(TABLAS!$C$52:$C$58,MATCH(BH21,TABLAS!$B$52:$B$58,0))-INDEX(TABLAS!$C$52:$C$58,MATCH(CB21,TABLAS!$B$52:$B$58,0))/2)</f>
        <v/>
      </c>
      <c r="CF21" s="56" t="str">
        <f>IF(V21&lt;&gt;"SÍ","",IF(CD21=0,0,DATOS!$C$29*CD21*DATOS!$C$14*(CE21-CD21*DATOS!$C$14/(DATOS!$C$21*100)/2)/1E5))</f>
        <v/>
      </c>
      <c r="CG21" s="65" t="str">
        <f>IF(V21&lt;&gt;"SÍ","",IF(CA21&lt;0,9.99,IF(CF21&gt;0,AZ21/CF21,0)))</f>
        <v/>
      </c>
      <c r="CH21" s="66" t="str">
        <f>IF(V21&lt;&gt;"SÍ","",IF(CD21=0,"—",0.003*(CE21-(CD21*DATOS!$C$14/(DATOS!$C$21*100)/DATOS!$C$22))/(CD21*DATOS!$C$14/(DATOS!$C$21*100)/DATOS!$C$22)))</f>
        <v/>
      </c>
      <c r="CI21" s="58" t="str">
        <f>IF(V21&lt;&gt;"SÍ","",((W21-AF21-1.5*INDEX(TABLAS!$C$52:$C$58,MATCH(IF(ISNUMBER(S21),S21,DATOS!$C$138),TABLAS!$B$52:$B$58,0)))-IF(AND((W21-AF21-1.5*INDEX(TABLAS!$C$52:$C$58,MATCH(IF(ISNUMBER(S21),S21,DATOS!$C$138),TABLAS!$B$52:$B$58,0)))&lt;=20,DATOS!$C$65&lt;&gt;"SÍ"),2,0)))</f>
        <v/>
      </c>
      <c r="CJ21" s="58" t="str">
        <f>IF(V21&lt;&gt;"SÍ","",IF(BA21&lt;=0,0,IF((1-2*BA21*1E5/(DATOS!$C$29*100*CI21^2*DATOS!$C$21))&lt;0,-1,IF((1-SQRT((1-2*BA21*1E5/(DATOS!$C$29*100*CI21^2*DATOS!$C$21))))*DATOS!$C$21*100*CI21/DATOS!$C$14&gt;DATOS!$C$102*100*CI21,-1,(1-SQRT((1-2*BA21*1E5/(DATOS!$C$29*100*CI21^2*DATOS!$C$21))))*DATOS!$C$21*100*CI21/DATOS!$C$14))))</f>
        <v/>
      </c>
      <c r="CK21" s="58" t="str">
        <f>IF(V21&lt;&gt;"SÍ","",IF(CJ21&lt;0,-1,MAX(CJ21,BC21)))</f>
        <v/>
      </c>
      <c r="CL21" s="64" t="str">
        <f>IF(V21&lt;&gt;"SÍ","",IF(AND(CK21&gt;0,FLOOR(MIN(BD21,100*INDEX(TABLAS!$D$52:$D$58,MIN(MATCH(IF(ISNUMBER(S21),S21,DATOS!$C$138),TABLAS!$B$52:$B$58,0)+0,7))/MAX(CK21,0.0001)),DATOS!$C$144)&gt;=DATOS!$C$143),INDEX(TABLAS!$B$52:$B$58,MIN(MATCH(IF(ISNUMBER(S21),S21,DATOS!$C$138),TABLAS!$B$52:$B$58,0)+0,7)),IF(AND(CK21&gt;0,FLOOR(MIN(BD21,100*INDEX(TABLAS!$D$52:$D$58,MIN(MATCH(IF(ISNUMBER(S21),S21,DATOS!$C$138),TABLAS!$B$52:$B$58,0)+1,7))/MAX(CK21,0.0001)),DATOS!$C$144)&gt;=DATOS!$C$143),INDEX(TABLAS!$B$52:$B$58,MIN(MATCH(IF(ISNUMBER(S21),S21,DATOS!$C$138),TABLAS!$B$52:$B$58,0)+1,7)),IF(AND(CK21&gt;0,FLOOR(MIN(BD21,100*INDEX(TABLAS!$D$52:$D$58,MIN(MATCH(IF(ISNUMBER(S21),S21,DATOS!$C$138),TABLAS!$B$52:$B$58,0)+2,7))/MAX(CK21,0.0001)),DATOS!$C$144)&gt;=DATOS!$C$143),INDEX(TABLAS!$B$52:$B$58,MIN(MATCH(IF(ISNUMBER(S21),S21,DATOS!$C$138),TABLAS!$B$52:$B$58,0)+2,7)),IF(AND(CK21&gt;0,FLOOR(MIN(BD21,100*INDEX(TABLAS!$D$52:$D$58,MIN(MATCH(IF(ISNUMBER(S21),S21,DATOS!$C$138),TABLAS!$B$52:$B$58,0)+3,7))/MAX(CK21,0.0001)),DATOS!$C$144)&gt;=DATOS!$C$143),INDEX(TABLAS!$B$52:$B$58,MIN(MATCH(IF(ISNUMBER(S21),S21,DATOS!$C$138),TABLAS!$B$52:$B$58,0)+3,7)),IF(AND(CK21&gt;0,FLOOR(MIN(BD21,100*INDEX(TABLAS!$D$52:$D$58,MIN(MATCH(IF(ISNUMBER(S21),S21,DATOS!$C$138),TABLAS!$B$52:$B$58,0)+4,7))/MAX(CK21,0.0001)),DATOS!$C$144)&gt;=DATOS!$C$143),INDEX(TABLAS!$B$52:$B$58,MIN(MATCH(IF(ISNUMBER(S21),S21,DATOS!$C$138),TABLAS!$B$52:$B$58,0)+4,7)),INDEX(TABLAS!$B$52:$B$58,7)))))))</f>
        <v/>
      </c>
      <c r="CM21" s="71" t="str">
        <f>IF(V21&lt;&gt;"SÍ","",IF(CK21&lt;=0,0,FLOOR(MIN(BD21,100*INDEX(TABLAS!$D$52:$D$58,MATCH(CL21,TABLAS!$B$52:$B$58,0))/CK21),DATOS!$C$144)))</f>
        <v/>
      </c>
      <c r="CN21" s="58" t="str">
        <f>IF(V21&lt;&gt;"SÍ","",IF(CM21&lt;=0,0,INDEX(TABLAS!$D$52:$D$58,MATCH(CL21,TABLAS!$B$52:$B$58,0))*100/CM21))</f>
        <v/>
      </c>
      <c r="CO21" s="58" t="str">
        <f>IF(V21&lt;&gt;"SÍ","",((W21-AF21-INDEX(TABLAS!$C$52:$C$58,MATCH(BR21,TABLAS!$B$52:$B$58,0))-INDEX(TABLAS!$C$52:$C$58,MATCH(CL21,TABLAS!$B$52:$B$58,0))/2)-IF(AND((W21-AF21-INDEX(TABLAS!$C$52:$C$58,MATCH(BR21,TABLAS!$B$52:$B$58,0))-INDEX(TABLAS!$C$52:$C$58,MATCH(CL21,TABLAS!$B$52:$B$58,0))/2)&lt;=20,DATOS!$C$65&lt;&gt;"SÍ"),2,0)))</f>
        <v/>
      </c>
      <c r="CP21" s="56" t="str">
        <f>IF(V21&lt;&gt;"SÍ","",IF(CN21=0,0,DATOS!$C$29*CN21*DATOS!$C$14*(CO21-CN21*DATOS!$C$14/(DATOS!$C$21*100)/2)/1E5))</f>
        <v/>
      </c>
      <c r="CQ21" s="65" t="str">
        <f>IF(V21&lt;&gt;"SÍ","",IF(CK21&lt;0,9.99,IF(CP21&gt;0,BA21/CP21,0)))</f>
        <v/>
      </c>
      <c r="CR21" s="66" t="str">
        <f>IF(V21&lt;&gt;"SÍ","",IF(CN21=0,"—",0.003*(CO21-(CN21*DATOS!$C$14/(DATOS!$C$21*100)/DATOS!$C$22))/(CN21*DATOS!$C$14/(DATOS!$C$21*100)/DATOS!$C$22)))</f>
        <v/>
      </c>
      <c r="CS21" s="56" t="str">
        <f>IF(V21&lt;&gt;"SÍ","",IF(C21="PERIMETRAL",MAX(0,(AC21/2-BU21)/100)*(0.95-0.5*AB21)*AK21*IF(AND(AL21&gt;0,AL21&lt;4),DATOS!$C$33,1)/1000,(AK21*MAX(0,AC21-BU21)/100+DATOS!$C$26*N(P21))/1000))</f>
        <v/>
      </c>
      <c r="CT21" s="66" t="str">
        <f>IF(V21&lt;&gt;"SÍ","",BT21/(100*BU21))</f>
        <v/>
      </c>
      <c r="CU21" s="56" t="str">
        <f>IF(V21&lt;&gt;"SÍ","",DATOS!$C$30*2*MIN(1,SQRT(2/(1+0.04*BU21)))*CT21^(1/3)*SQRT(DATOS!$C$13)*100*BU21/1000)</f>
        <v/>
      </c>
      <c r="CV21" s="67" t="str">
        <f>IF(V21&lt;&gt;"SÍ","",IF(CS21&lt;=CU21,"CUMPLE","NO CUMPLE: sube h"))</f>
        <v/>
      </c>
      <c r="CW21" s="58" t="str">
        <f>IF(V21&lt;&gt;"SÍ","",IF(C21="PERIMETRAL",IF(ISNUMBER(R21),R21,DATOS!$C$104),0))</f>
        <v/>
      </c>
      <c r="CX21" s="57" t="str">
        <f>IF(V21&lt;&gt;"SÍ","",IF(C21="PERIMETRAL",IF(CW21&gt;2,MAX(9,AD21*(0.8+DATOS!$C$14/14000)/(36+9*(AD21/MAX(AC21,1)))),IF(CW21&gt;0.2,MAX(13,AD21*(0.8+DATOS!$C$14/14000)/(36+5*(AD21/MAX(AC21,1))*(CW21-0.2))),MAX(13,AD21/IF(AL21&gt;0,30,33))))*IF(AND(CW21&gt;0.2,AL21&gt;0,DATOS!$C$105="NO"),1.1,1),Z21*100/DATOS!$C$145*(0.4+DATOS!$C$14/7000)))</f>
        <v/>
      </c>
      <c r="CY21" s="61" t="str">
        <f>IF(V21&lt;&gt;"SÍ","",IF(W21&gt;=CX21-0.001,"CUMPLE",IF(C21="VOLADO","NO CUMPLE","CALCULAR FLECHA")))</f>
        <v/>
      </c>
      <c r="CZ21" s="60" t="str">
        <f>IF(V21&lt;&gt;"SÍ","",IF(C21="VOLADO",MIN(FLOOR(IF(ISNUMBER(Q21),Q21,Z21)*100-DATOS!$C$63,5),CEILING(MAX(IF((0.5*(0.9*W21/100*DATOS!$C$16)*IF(ISNUMBER(Q21),Q21,Z21)+AY21/IF(ISNUMBER(Q21),Q21,Z21))^2-4*(0.5*(0.9*W21/100*DATOS!$C$16))*AY21&lt;0,IF(ISNUMBER(Q21),Q21,Z21),MIN(IF(ISNUMBER(Q21),Q21,Z21),((0.5*(0.9*W21/100*DATOS!$C$16)*IF(ISNUMBER(Q21),Q21,Z21)+AY21/IF(ISNUMBER(Q21),Q21,Z21))-SQRT((0.5*(0.9*W21/100*DATOS!$C$16)*IF(ISNUMBER(Q21),Q21,Z21)+AY21/IF(ISNUMBER(Q21),Q21,Z21))^2-4*(0.5*(0.9*W21/100*DATOS!$C$16))*AY21))/(2*(0.5*(0.9*W21/100*DATOS!$C$16)))))*100+MAX(BU21,12*INDEX(TABLAS!$C$52:$C$58,MATCH(BR21,TABLAS!$B$52:$B$58,0)),IF(ISNUMBER(Q21),Q21,Z21)*100/16),IF(OR(AF21&lt;INDEX(TABLAS!$C$52:$C$58,MATCH(BR21,TABLAS!$B$52:$B$58,0)),BS21-INDEX(TABLAS!$C$52:$C$58,MATCH(BR21,TABLAS!$B$52:$B$58,0))&lt;2*INDEX(TABLAS!$C$52:$C$58,MATCH(BR21,TABLAS!$B$52:$B$58,0))),INDEX(TABLAS!$I$52:$I$58,MATCH(BR21,TABLAS!$B$52:$B$58,0)),INDEX(TABLAS!$F$52:$F$58,MATCH(BR21,TABLAS!$B$52:$B$58,0)))),5)),IF(((4*((AV21*AK21*Z21^2*1E-4/1000)+((MAX(AR21,AT21)*AK21*Z21^2*1E-4/1000)+(IF(AND(AR21&gt;0,AT21&gt;0),MIN(AR21,AT21),MAX(AR21,AT21))*AK21*Z21^2*1E-4/1000))/2)+AY21-(IF(AND(AR21&gt;0,AT21&gt;0),MIN(AR21,AT21),MAX(AR21,AT21))*AK21*Z21^2*1E-4/1000))^2-16*((AV21*AK21*Z21^2*1E-4/1000)+((MAX(AR21,AT21)*AK21*Z21^2*1E-4/1000)+(IF(AND(AR21&gt;0,AT21&gt;0),MIN(AR21,AT21),MAX(AR21,AT21))*AK21*Z21^2*1E-4/1000))/2)*AY21)&lt;0,CEILING(AC21,5),CEILING(MAX(AC21*((4*((AV21*AK21*Z21^2*1E-4/1000)+((MAX(AR21,AT21)*AK21*Z21^2*1E-4/1000)+(IF(AND(AR21&gt;0,AT21&gt;0),MIN(AR21,AT21),MAX(AR21,AT21))*AK21*Z21^2*1E-4/1000))/2)+AY21-(IF(AND(AR21&gt;0,AT21&gt;0),MIN(AR21,AT21),MAX(AR21,AT21))*AK21*Z21^2*1E-4/1000))-SQRT(MAX(0,((4*((AV21*AK21*Z21^2*1E-4/1000)+((MAX(AR21,AT21)*AK21*Z21^2*1E-4/1000)+(IF(AND(AR21&gt;0,AT21&gt;0),MIN(AR21,AT21),MAX(AR21,AT21))*AK21*Z21^2*1E-4/1000))/2)+AY21-(IF(AND(AR21&gt;0,AT21&gt;0),MIN(AR21,AT21),MAX(AR21,AT21))*AK21*Z21^2*1E-4/1000))^2-16*((AV21*AK21*Z21^2*1E-4/1000)+((MAX(AR21,AT21)*AK21*Z21^2*1E-4/1000)+(IF(AND(AR21&gt;0,AT21&gt;0),MIN(AR21,AT21),MAX(AR21,AT21))*AK21*Z21^2*1E-4/1000))/2)*AY21))))/(8*MAX(((AV21*AK21*Z21^2*1E-4/1000)+((MAX(AR21,AT21)*AK21*Z21^2*1E-4/1000)+(IF(AND(AR21&gt;0,AT21&gt;0),MIN(AR21,AT21),MAX(AR21,AT21))*AK21*Z21^2*1E-4/1000))/2),1E-9))+MAX(BU21,12*INDEX(TABLAS!$C$52:$C$58,MATCH(BR21,TABLAS!$B$52:$B$58,0)),AC21/16),IF(OR(AF21&lt;INDEX(TABLAS!$C$52:$C$58,MATCH(BR21,TABLAS!$B$52:$B$58,0)),BS21-INDEX(TABLAS!$C$52:$C$58,MATCH(BR21,TABLAS!$B$52:$B$58,0))&lt;2*INDEX(TABLAS!$C$52:$C$58,MATCH(BR21,TABLAS!$B$52:$B$58,0))),INDEX(TABLAS!$I$52:$I$58,MATCH(BR21,TABLAS!$B$52:$B$58,0)),INDEX(TABLAS!$F$52:$F$58,MATCH(BR21,TABLAS!$B$52:$B$58,0)))),5))))</f>
        <v/>
      </c>
      <c r="DA21" s="60" t="str">
        <f>IF(V21&lt;&gt;"SÍ","",IF(C21="VOLADO",0,IF(((4*((AW21*AK21*Z21^2*1E-4/1000)+((MAX(AS21,AU21)*AK21*Z21^2*1E-4/1000)+(IF(AND(AS21&gt;0,AU21&gt;0),MIN(AS21,AU21),MAX(AS21,AU21))*AK21*Z21^2*1E-4/1000))/2)+BA21-(IF(AND(AS21&gt;0,AU21&gt;0),MIN(AS21,AU21),MAX(AS21,AU21))*AK21*Z21^2*1E-4/1000))^2-16*((AW21*AK21*Z21^2*1E-4/1000)+((MAX(AS21,AU21)*AK21*Z21^2*1E-4/1000)+(IF(AND(AS21&gt;0,AU21&gt;0),MIN(AS21,AU21),MAX(AS21,AU21))*AK21*Z21^2*1E-4/1000))/2)*BA21)&lt;0,CEILING(AD21,5),CEILING(MAX(AD21*((4*((AW21*AK21*Z21^2*1E-4/1000)+((MAX(AS21,AU21)*AK21*Z21^2*1E-4/1000)+(IF(AND(AS21&gt;0,AU21&gt;0),MIN(AS21,AU21),MAX(AS21,AU21))*AK21*Z21^2*1E-4/1000))/2)+BA21-(IF(AND(AS21&gt;0,AU21&gt;0),MIN(AS21,AU21),MAX(AS21,AU21))*AK21*Z21^2*1E-4/1000))-SQRT(MAX(0,((4*((AW21*AK21*Z21^2*1E-4/1000)+((MAX(AS21,AU21)*AK21*Z21^2*1E-4/1000)+(IF(AND(AS21&gt;0,AU21&gt;0),MIN(AS21,AU21),MAX(AS21,AU21))*AK21*Z21^2*1E-4/1000))/2)+BA21-(IF(AND(AS21&gt;0,AU21&gt;0),MIN(AS21,AU21),MAX(AS21,AU21))*AK21*Z21^2*1E-4/1000))^2-16*((AW21*AK21*Z21^2*1E-4/1000)+((MAX(AS21,AU21)*AK21*Z21^2*1E-4/1000)+(IF(AND(AS21&gt;0,AU21&gt;0),MIN(AS21,AU21),MAX(AS21,AU21))*AK21*Z21^2*1E-4/1000))/2)*BA21))))/(8*MAX(((AW21*AK21*Z21^2*1E-4/1000)+((MAX(AS21,AU21)*AK21*Z21^2*1E-4/1000)+(IF(AND(AS21&gt;0,AU21&gt;0),MIN(AS21,AU21),MAX(AS21,AU21))*AK21*Z21^2*1E-4/1000))/2),1E-9))+MAX(CO21,12*INDEX(TABLAS!$C$52:$C$58,MATCH(CL21,TABLAS!$B$52:$B$58,0)),AD21/16),IF(OR(AF21&lt;INDEX(TABLAS!$C$52:$C$58,MATCH(CL21,TABLAS!$B$52:$B$58,0)),CM21-INDEX(TABLAS!$C$52:$C$58,MATCH(CL21,TABLAS!$B$52:$B$58,0))&lt;2*INDEX(TABLAS!$C$52:$C$58,MATCH(CL21,TABLAS!$B$52:$B$58,0))),INDEX(TABLAS!$I$52:$I$58,MATCH(CL21,TABLAS!$B$52:$B$58,0)),INDEX(TABLAS!$F$52:$F$58,MATCH(CL21,TABLAS!$B$52:$B$58,0)))),5))))</f>
        <v/>
      </c>
      <c r="DB21" s="55" t="str">
        <f>IF(V21&lt;&gt;"SÍ","",IF(AND(C21="PERIMETRAL",AL21-AM21&gt;0,AT21&gt;0),"SÍ","NO"))</f>
        <v/>
      </c>
      <c r="DC21" s="55" t="str">
        <f>IF(V21&lt;&gt;"SÍ","",IF(AND(C21="PERIMETRAL",AM21&gt;0,AU21&gt;0),"SÍ","NO"))</f>
        <v/>
      </c>
      <c r="DD21" s="63" t="str">
        <f>IF(V21&lt;&gt;"SÍ","",IF(OR(C21="VOLADO",AL21=0),"—",IF(AND(AND(INDEX(TABLAS!$G$52:$G$58,MATCH(MAX(BR21,CL21),TABLAS!$B$52:$B$58,0))&lt;=(DATOS!$C$75-DATOS!$C$63),(DATOS!$C$75-DATOS!$C$63)&gt;=15),8*INDEX(TABLAS!$C$52:$C$58,MATCH(MAX(BH21,CB21,BR21,CL21),TABLAS!$B$52:$B$58,0))&lt;=DATOS!$C$76-2*DATOS!$C$63),"CUMPLE (gancho de 180°)",IF(AND(INDEX(TABLAS!$G$52:$G$58,MATCH(MAX(BR21,CL21),TABLAS!$B$52:$B$58,0))&lt;=(DATOS!$C$75-DATOS!$C$63),(DATOS!$C$75-DATOS!$C$63)&gt;=15),"NO CUMPLE: el gancho de 180° (8·d_b) no cabe en el peralte de la dala de borde","NO CUMPLE: dala de borde ≥ "&amp;TEXT(CEILING(MAX(INDEX(TABLAS!$G$52:$G$58,MATCH(MAX(BR21,CL21),TABLAS!$B$52:$B$58,0)),15)+DATOS!$C$63,5),"0")&amp;" cm de ancho"&amp;IF(8*INDEX(TABLAS!$C$52:$C$58,MATCH(MAX(BH21,CB21,BR21,CL21),TABLAS!$B$52:$B$58,0))&lt;=DATOS!$C$76-2*DATOS!$C$63,""," y más peralte para el gancho")))))</f>
        <v/>
      </c>
      <c r="DE21" s="69" t="str">
        <f>IF(V21&lt;&gt;"SÍ","",IF(BI21=0,"NO ALCANZA","No. "&amp;BH21&amp;" @ "&amp;BI21&amp;" cm"&amp;IF(C21="VOLADO"," (temperatura)","")))</f>
        <v/>
      </c>
      <c r="DF21" s="69" t="str">
        <f>IF(V21&lt;&gt;"SÍ","",IF(BS21=0,"NO ALCANZA",IF(C21="VOLADO","No. "&amp;BR21&amp;" @ "&amp;BS21&amp;" cm"&amp;" de la orilla al respaldo ("&amp;IF(CZ21&gt;=FLOOR(100*IF(ISNUMBER(Q21),Q21,Z21)-DATOS!$C$63,5),"hasta su apoyo lejano, con gancho","entran "&amp;TEXT(CZ21/100,"0.00")&amp;" m desde el paño")&amp;")","Bastones "&amp;"No. "&amp;BR21&amp;" @ "&amp;BS21&amp;" cm"&amp;", L = "&amp;TEXT(CZ21/100,"0.00")&amp;" m desde el paño")))</f>
        <v/>
      </c>
      <c r="DG21" s="69" t="str">
        <f>IF(V21&lt;&gt;"SÍ","",IF(CC21=0,"NO ALCANZA","No. "&amp;CB21&amp;" @ "&amp;CC21&amp;" cm"&amp;IF(C21="VOLADO"," (repartición)","")))</f>
        <v/>
      </c>
      <c r="DH21" s="69" t="str">
        <f>IF(V21&lt;&gt;"SÍ","",IF(CM21=0,"NO ALCANZA",IF(C21="VOLADO","No. "&amp;CL21&amp;" @ "&amp;CM21&amp;" cm"&amp;" (repartición)","Bastones "&amp;"No. "&amp;CL21&amp;" @ "&amp;CM21&amp;" cm"&amp;", L = "&amp;TEXT(DA21/100,"0.00")&amp;" m desde el paño")))</f>
        <v/>
      </c>
      <c r="DI21" s="67" t="str">
        <f>IF(B21="","",IF(V21&lt;&gt;"SÍ","FALTAN DATOS: tipo, a_x, a_y, destino y, en volados, L_b",IF(L21="NO MONOLÍTICO (caso II)","FUERA DE ALCANCE: caso II no transcrito",IF(AND(C21="VOLADO",X21="?"),"REVISAR: el volado lleva UN solo borde CONTINUO (el empotrado)",IF(AND(MAX(BM21,BW21,CG21,CQ21)&lt;=1,NOT(OR(BI21&lt;DATOS!$C$143,BS21&lt;DATOS!$C$143,CC21&lt;DATOS!$C$143,CM21&lt;DATOS!$C$143)),NOT(OR(AND(ISNUMBER(BN21),BN21&lt;0.005),AND(ISNUMBER(BX21),BX21&lt;0.005),AND(ISNUMBER(CH21),CH21&lt;0.005),AND(ISNUMBER(CR21),CR21&lt;0.005))),CV21="CUMPLE",CY21="CUMPLE"),"CUMPLE"&amp;IF(LEFT(BB21,5)="FUERA"," · fuera de 3.4.2.1 c)","")&amp;IF(LEFT(DD21,2)="NO"," · REVISAR anclaje en borde discontinuo",""),IF(AND(MAX(BM21,BW21,CG21,CQ21)&lt;=1,NOT(OR(BI21&lt;DATOS!$C$143,BS21&lt;DATOS!$C$143,CC21&lt;DATOS!$C$143,CM21&lt;DATOS!$C$143)),NOT(OR(AND(ISNUMBER(BN21),BN21&lt;0.005),AND(ISNUMBER(BX21),BX21&lt;0.005),AND(ISNUMBER(CH21),CH21&lt;0.005),AND(ISNUMBER(CR21),CR21&lt;0.005))),CV21="CUMPLE",CY21="CALCULAR FLECHA"),"REVISAR: calcular flecha (h &lt; h mín.)"&amp;IF(LEFT(BB21,5)="FUERA"," · fuera de 3.4.2.1 c)","")&amp;IF(LEFT(DD21,2)="NO"," · REVISAR anclaje en borde discontinuo",""),"NO CUMPLE: "&amp;IF(MAX(BM21,BW21,CG21,CQ21)&gt;1,"flexión ","")&amp;IF(OR(BI21&lt;DATOS!$C$143,BS21&lt;DATOS!$C$143,CC21&lt;DATOS!$C$143,CM21&lt;DATOS!$C$143),"separación &lt; mínima ","")&amp;IF(OR(AND(ISNUMBER(BN21),BN21&lt;0.005),AND(ISNUMBER(BX21),BX21&lt;0.005),AND(ISNUMBER(CH21),CH21&lt;0.005),AND(ISNUMBER(CR21),CR21&lt;0.005)),"ε_t &lt; 0.005 ","")&amp;IF(CV21&lt;&gt;"CUMPLE","cortante ","")&amp;IF(CY21="NO CUMPLE","peralte","")))))))</f>
        <v/>
      </c>
      <c r="DJ21" s="70" t="str">
        <f>IF(V21&lt;&gt;"SÍ","",IF(LEFT(B21,7)="EJEMPLO","EJEMPLO de tablero típico: bórralo o sobrescríbelo. ","")&amp;IF(C21="VOLADO","Volado de "&amp;TEXT(Z21,"0.00")&amp;" m empotrado en el borde "&amp;LOWER(X21)&amp;IF(N(P21)&gt;0,", con "&amp;TEXT(P21,"0.0")&amp;" kg/m en la orilla","")&amp;". Lecho inferior con r_ext. Si la orilla carga pretil u otro elemento frágil, calcula la flecha (13.4). El acero superior entra al respaldo de "&amp;TEXT(IF(ISNUMBER(Q21),Q21,Z21),"0.00")&amp;" m"&amp;" hasta pasar M = 0 con 0.9·PP sin carga viva; si ahí no se anula, llega al apoyo lejano y se ancla con gancho. ","")&amp;IF(AND(C21="VOLADO",(0.9*W21/100*DATOS!$C$16*IF(ISNUMBER(Q21),Q21,Z21)/2-AY21/IF(ISNUMBER(Q21),Q21,Z21))&lt;0),"Con 0.9·PP y sin carga viva el apoyo lejano del respaldo levanta (R = "&amp;TEXT(-(0.9*W21/100*DATOS!$C$16*IF(ISNUMBER(Q21),Q21,Z21)/2-AY21/IF(ISNUMBER(Q21),Q21,Z21)),"0.00")&amp;" t/m): ancla ahí el acero con gancho y revisa ese apoyo a tensión. ","")&amp;IF(LEFT(BB21,5)="FUERA","El M⁻ del vecino difiere más de 50 % (3.4.2.1 c): distribuye el desequilibrio (3.4.3.1) o confirma con un modelo; se arma con el mayor. ","")&amp;IF(OR(DB21="SÍ",DC21="SÍ"),"Bastones también en los bordes discontinuos (M⁻ de tabla), con gancho. ","")&amp;IF(LEFT(DD21,2)="NO","Anclaje: "&amp;DD21&amp;" (6.7.7.4.1.1). ","")&amp;IF(AND(C21="PERIMETRAL",AM21&gt;=1,AL21-AM21&gt;=1),"Esquinas exteriores sobre muro: refuerzo de esquina arriba y abajo en L_largo/5 (6.7.7.3.1). ",""))</f>
        <v/>
      </c>
    </row>
    <row r="22" ht="33" customHeight="1">
      <c r="A22" s="50">
        <f>IF(B22="",0,1)+A21</f>
        <v>3</v>
      </c>
      <c r="B22" s="29" t="n"/>
      <c r="C22" s="51" t="n"/>
      <c r="D22" s="29" t="n"/>
      <c r="E22" s="52" t="n"/>
      <c r="F22" s="52" t="n"/>
      <c r="G22" s="51" t="n"/>
      <c r="H22" s="51" t="n"/>
      <c r="I22" s="51" t="n"/>
      <c r="J22" s="51" t="n"/>
      <c r="K22" s="51" t="n"/>
      <c r="L22" s="51" t="n"/>
      <c r="M22" s="54" t="n"/>
      <c r="N22" s="53" t="n"/>
      <c r="O22" s="53" t="n"/>
      <c r="P22" s="54" t="n"/>
      <c r="Q22" s="52" t="n"/>
      <c r="R22" s="54" t="n"/>
      <c r="S22" s="53" t="n"/>
      <c r="T22" s="52" t="n"/>
      <c r="U22" s="52" t="n"/>
      <c r="V22" s="55" t="str">
        <f>IF(B22="","",IF(AND(OR(C22="PERIMETRAL",C22="VOLADO"),ISNUMBER(E22),ISNUMBER(F22),E22&gt;0,F22&gt;0,OR(ISNUMBER(O22),ISNUMBER(MATCH(D22,DATOS!$B$46:$B$58,0))),OR(C22&lt;&gt;"VOLADO",N(Q22)&gt;0)),"SÍ","NO"))</f>
        <v/>
      </c>
      <c r="W22" s="57" t="str">
        <f>IF(V22&lt;&gt;"SÍ","",IF(ISNUMBER(M22),M22,DATOS!$C$137))</f>
        <v/>
      </c>
      <c r="X22" s="55" t="str">
        <f>IF(V22&lt;&gt;"SÍ","",IF(C22&lt;&gt;"VOLADO","—",IF(COUNTIF(G22:J22,"CONTINUO")&lt;&gt;1,"?",IF(G22="CONTINUO","INFERIOR",IF(H22="CONTINUO","SUPERIOR",IF(I22="CONTINUO","IZQUIERDO","DERECHO"))))))</f>
        <v/>
      </c>
      <c r="Y22" s="55" t="str">
        <f>IF(V22&lt;&gt;"SÍ","",IF(C22="VOLADO",IF(OR(X22="IZQUIERDO",X22="DERECHO"),"X","Y"),IF(E22&lt;=F22,"X","Y")))</f>
        <v/>
      </c>
      <c r="Z22" s="56" t="str">
        <f>IF(V22&lt;&gt;"SÍ","",IF(C22="VOLADO",IF(Y22="X",E22,F22),MIN(E22,F22)))</f>
        <v/>
      </c>
      <c r="AA22" s="56" t="str">
        <f>IF(V22&lt;&gt;"SÍ","",IF(C22="VOLADO",IF(Y22="X",F22,E22),MAX(E22,F22)))</f>
        <v/>
      </c>
      <c r="AB22" s="56" t="str">
        <f>IF(V22&lt;&gt;"SÍ","",MIN(Z22,AA22)/MAX(Z22,AA22))</f>
        <v/>
      </c>
      <c r="AC22" s="57" t="str">
        <f>IF(V22&lt;&gt;"SÍ","",MAX(1,Z22*100-IF(C22="VOLADO",DATOS!$C$87/2,DATOS!$C$87)))</f>
        <v/>
      </c>
      <c r="AD22" s="57" t="str">
        <f>IF(V22&lt;&gt;"SÍ","",MAX(1,AA22*100-DATOS!$C$87))</f>
        <v/>
      </c>
      <c r="AE22" s="57" t="str">
        <f>IF(V22&lt;&gt;"SÍ","",IF(C22="VOLADO",DATOS!$C$64,DATOS!$C$62))</f>
        <v/>
      </c>
      <c r="AF22" s="57" t="str">
        <f>IF(V22&lt;&gt;"SÍ","",IF(OR(AND(AG22="SÍ",DATOS!$C$66="SÍ"),AND(C22="VOLADO",DATOS!$C$67="SÍ")),DATOS!$C$64,DATOS!$C$62))</f>
        <v/>
      </c>
      <c r="AG22" s="55" t="str">
        <f>IF(V22&lt;&gt;"SÍ","",IFERROR(INDEX(DATOS!$D$46:$D$58,MATCH(D22,DATOS!$B$46:$B$58,0)),"NO"))</f>
        <v/>
      </c>
      <c r="AH22" s="59" t="str">
        <f>IF(V22&lt;&gt;"SÍ","",IF(ISNUMBER(O22),O22,IFERROR(INDEX(DATOS!$C$46:$C$58,MATCH(D22,DATOS!$B$46:$B$58,0)),0)))</f>
        <v/>
      </c>
      <c r="AI22" s="59" t="str">
        <f>IF(V22&lt;&gt;"SÍ","",W22/100*DATOS!$C$16*1000+DATOS!$C$37+DATOS!$C$38)</f>
        <v/>
      </c>
      <c r="AJ22" s="59" t="str">
        <f>IF(V22&lt;&gt;"SÍ","",AI22+N(N22))</f>
        <v/>
      </c>
      <c r="AK22" s="60" t="str">
        <f>IF(V22&lt;&gt;"SÍ","",MAX(DATOS!$C$26*AJ22+DATOS!$C$27*AH22,IF(AG22="SÍ",DATOS!$C$28*(AJ22+DATOS!$C$41),0)))</f>
        <v/>
      </c>
      <c r="AL22" s="59" t="str">
        <f>IF(V22&lt;&gt;"SÍ","",(G22="DISCONTINUO")+(H22="DISCONTINUO")+(I22="DISCONTINUO")+(J22="DISCONTINUO"))</f>
        <v/>
      </c>
      <c r="AM22" s="59" t="str">
        <f>IF(V22&lt;&gt;"SÍ","",IF(Y22="X",(G22="DISCONTINUO")+(H22="DISCONTINUO"),(I22="DISCONTINUO")+(J22="DISCONTINUO")))</f>
        <v/>
      </c>
      <c r="AN22" s="55" t="str">
        <f>IF(V22&lt;&gt;"SÍ","",IF(AL22=0,"INTERIOR",IF(AL22=1,IF(AM22=1,"BORDE-CORTO","BORDE-LARGO"),IF(AL22=2,IF(AM22=1,"ESQUINA",IF(AM22=2,"EXTREMO-LARGO","EXTREMO-CORTO")),IF(AL22=3,IF(AM22=2,"EXTREMO-LARGO","EXTREMO-CORTO"),"AISLADO")))))</f>
        <v/>
      </c>
      <c r="AO22" s="61" t="str">
        <f>IF(V22&lt;&gt;"SÍ","",IF(OR(K22="",K22="AUTO"),AN22,K22))</f>
        <v/>
      </c>
      <c r="AP22" s="59" t="str">
        <f>IF(V22&lt;&gt;"SÍ","",MATCH(AB22,TABLAS!$D$5:$J$5,1))</f>
        <v/>
      </c>
      <c r="AQ22" s="58" t="str">
        <f>IF(V22&lt;&gt;"SÍ","",IF(AP22&gt;=7,0,(AB22-INDEX(TABLAS!$D$5:$J$5,AP22))/(INDEX(TABLAS!$D$5:$J$5,AP22+1)-INDEX(TABLAS!$D$5:$J$5,AP22))))</f>
        <v/>
      </c>
      <c r="AR22" s="59" t="str">
        <f>IF(V22&lt;&gt;"SÍ","",INDEX(TABLAS!$D$6:$J$47,MATCH(AO22&amp;"|NIC",TABLAS!$B$6:$B$47,0),AP22)+AQ22*(INDEX(TABLAS!$D$6:$J$47,MATCH(AO22&amp;"|NIC",TABLAS!$B$6:$B$47,0),MIN(AP22+1,7))-INDEX(TABLAS!$D$6:$J$47,MATCH(AO22&amp;"|NIC",TABLAS!$B$6:$B$47,0),AP22)))</f>
        <v/>
      </c>
      <c r="AS22" s="59" t="str">
        <f>IF(V22&lt;&gt;"SÍ","",INDEX(TABLAS!$D$6:$J$47,MATCH(AO22&amp;"|NIL",TABLAS!$B$6:$B$47,0),AP22)+AQ22*(INDEX(TABLAS!$D$6:$J$47,MATCH(AO22&amp;"|NIL",TABLAS!$B$6:$B$47,0),MIN(AP22+1,7))-INDEX(TABLAS!$D$6:$J$47,MATCH(AO22&amp;"|NIL",TABLAS!$B$6:$B$47,0),AP22)))</f>
        <v/>
      </c>
      <c r="AT22" s="59" t="str">
        <f>IF(V22&lt;&gt;"SÍ","",INDEX(TABLAS!$D$6:$J$47,MATCH(AO22&amp;"|NDC",TABLAS!$B$6:$B$47,0),AP22)+AQ22*(INDEX(TABLAS!$D$6:$J$47,MATCH(AO22&amp;"|NDC",TABLAS!$B$6:$B$47,0),MIN(AP22+1,7))-INDEX(TABLAS!$D$6:$J$47,MATCH(AO22&amp;"|NDC",TABLAS!$B$6:$B$47,0),AP22)))</f>
        <v/>
      </c>
      <c r="AU22" s="59" t="str">
        <f>IF(V22&lt;&gt;"SÍ","",INDEX(TABLAS!$D$6:$J$47,MATCH(AO22&amp;"|NDL",TABLAS!$B$6:$B$47,0),AP22)+AQ22*(INDEX(TABLAS!$D$6:$J$47,MATCH(AO22&amp;"|NDL",TABLAS!$B$6:$B$47,0),MIN(AP22+1,7))-INDEX(TABLAS!$D$6:$J$47,MATCH(AO22&amp;"|NDL",TABLAS!$B$6:$B$47,0),AP22)))</f>
        <v/>
      </c>
      <c r="AV22" s="59" t="str">
        <f>IF(V22&lt;&gt;"SÍ","",INDEX(TABLAS!$D$6:$J$47,MATCH(AO22&amp;"|PC",TABLAS!$B$6:$B$47,0),AP22)+AQ22*(INDEX(TABLAS!$D$6:$J$47,MATCH(AO22&amp;"|PC",TABLAS!$B$6:$B$47,0),MIN(AP22+1,7))-INDEX(TABLAS!$D$6:$J$47,MATCH(AO22&amp;"|PC",TABLAS!$B$6:$B$47,0),AP22)))</f>
        <v/>
      </c>
      <c r="AW22" s="59" t="str">
        <f>IF(V22&lt;&gt;"SÍ","",INDEX(TABLAS!$D$6:$J$47,MATCH(AO22&amp;"|PL",TABLAS!$B$6:$B$47,0),AP22)+AQ22*(INDEX(TABLAS!$D$6:$J$47,MATCH(AO22&amp;"|PL",TABLAS!$B$6:$B$47,0),MIN(AP22+1,7))-INDEX(TABLAS!$D$6:$J$47,MATCH(AO22&amp;"|PL",TABLAS!$B$6:$B$47,0),AP22)))</f>
        <v/>
      </c>
      <c r="AX22" s="56" t="str">
        <f>IF(V22&lt;&gt;"SÍ","",IF(C22="PERIMETRAL",AV22*AK22*Z22^2*1E-4/1000,0))</f>
        <v/>
      </c>
      <c r="AY22" s="62" t="str">
        <f>IF(V22&lt;&gt;"SÍ","",IF(C22="PERIMETRAL",MAX(MAX(AR22,AT22)*AK22*Z22^2*1E-4/1000,N(T22)),(AK22*(AC22/100)^2/2+DATOS!$C$26*N(P22)*AC22/100)/1000))</f>
        <v/>
      </c>
      <c r="AZ22" s="56" t="str">
        <f>IF(V22&lt;&gt;"SÍ","",IF(C22="PERIMETRAL",AW22*AK22*Z22^2*1E-4/1000,0))</f>
        <v/>
      </c>
      <c r="BA22" s="56" t="str">
        <f>IF(V22&lt;&gt;"SÍ","",IF(C22="PERIMETRAL",MAX(MAX(AS22,AU22)*AK22*Z22^2*1E-4/1000,N(U22)),0))</f>
        <v/>
      </c>
      <c r="BB22" s="63" t="str">
        <f>IF(V22&lt;&gt;"SÍ","",IF(C22&lt;&gt;"PERIMETRAL","—",IF(AND(N(T22)=0,N(U22)=0),"— (sin M⁻ del vecino)",IF(OR(AND(N(T22)&gt;0,ABS(MAX(AR22,AT22)*AK22*Z22^2*1E-4/1000-N(T22))&gt;0.5*MIN(MAX(AR22,AT22)*AK22*Z22^2*1E-4/1000,N(T22))),AND(N(U22)&gt;0,ABS(MAX(AS22,AU22)*AK22*Z22^2*1E-4/1000-N(U22))&gt;0.5*MIN(MAX(AS22,AU22)*AK22*Z22^2*1E-4/1000,N(U22)))),"FUERA: difieren &gt; 50 %"&amp;IF(AND(N(T22)&gt;0,ABS(MAX(AR22,AT22)*AK22*Z22^2*1E-4/1000-N(T22))&gt;0.5*MIN(MAX(AR22,AT22)*AK22*Z22^2*1E-4/1000,N(T22)))," ‖ corto","")&amp;IF(AND(N(U22)&gt;0,ABS(MAX(AS22,AU22)*AK22*Z22^2*1E-4/1000-N(U22))&gt;0.5*MIN(MAX(AS22,AU22)*AK22*Z22^2*1E-4/1000,N(U22)))," ‖ largo",""),"CUMPLE"))))</f>
        <v/>
      </c>
      <c r="BC22" s="58" t="str">
        <f>IF(V22&lt;&gt;"SÍ","",DATOS!$C$139*100*W22)</f>
        <v/>
      </c>
      <c r="BD22" s="57" t="str">
        <f>IF(V22&lt;&gt;"SÍ","",MIN(IF(C22="VOLADO",DATOS!$C$141,DATOS!$C$140)*W22,DATOS!$C$142))</f>
        <v/>
      </c>
      <c r="BE22" s="58" t="str">
        <f>IF(V22&lt;&gt;"SÍ","",(W22-AE22-INDEX(TABLAS!$C$52:$C$58,MATCH(IF(ISNUMBER(S22),S22,DATOS!$C$138),TABLAS!$B$52:$B$58,0))/2))</f>
        <v/>
      </c>
      <c r="BF22" s="58" t="str">
        <f>IF(V22&lt;&gt;"SÍ","",IF(AX22&lt;=0,0,IF((1-2*AX22*1E5/(DATOS!$C$29*100*BE22^2*DATOS!$C$21))&lt;0,-1,IF((1-SQRT((1-2*AX22*1E5/(DATOS!$C$29*100*BE22^2*DATOS!$C$21))))*DATOS!$C$21*100*BE22/DATOS!$C$14&gt;DATOS!$C$102*100*BE22,-1,(1-SQRT((1-2*AX22*1E5/(DATOS!$C$29*100*BE22^2*DATOS!$C$21))))*DATOS!$C$21*100*BE22/DATOS!$C$14))))</f>
        <v/>
      </c>
      <c r="BG22" s="58" t="str">
        <f>IF(V22&lt;&gt;"SÍ","",IF(BF22&lt;0,-1,MAX(BF22,BC22)))</f>
        <v/>
      </c>
      <c r="BH22" s="64" t="str">
        <f>IF(V22&lt;&gt;"SÍ","",IF(AND(BG22&gt;0,FLOOR(MIN(BD22,100*INDEX(TABLAS!$D$52:$D$58,MIN(MATCH(IF(ISNUMBER(S22),S22,DATOS!$C$138),TABLAS!$B$52:$B$58,0)+0,7))/MAX(BG22,0.0001)),DATOS!$C$144)&gt;=DATOS!$C$143),INDEX(TABLAS!$B$52:$B$58,MIN(MATCH(IF(ISNUMBER(S22),S22,DATOS!$C$138),TABLAS!$B$52:$B$58,0)+0,7)),IF(AND(BG22&gt;0,FLOOR(MIN(BD22,100*INDEX(TABLAS!$D$52:$D$58,MIN(MATCH(IF(ISNUMBER(S22),S22,DATOS!$C$138),TABLAS!$B$52:$B$58,0)+1,7))/MAX(BG22,0.0001)),DATOS!$C$144)&gt;=DATOS!$C$143),INDEX(TABLAS!$B$52:$B$58,MIN(MATCH(IF(ISNUMBER(S22),S22,DATOS!$C$138),TABLAS!$B$52:$B$58,0)+1,7)),IF(AND(BG22&gt;0,FLOOR(MIN(BD22,100*INDEX(TABLAS!$D$52:$D$58,MIN(MATCH(IF(ISNUMBER(S22),S22,DATOS!$C$138),TABLAS!$B$52:$B$58,0)+2,7))/MAX(BG22,0.0001)),DATOS!$C$144)&gt;=DATOS!$C$143),INDEX(TABLAS!$B$52:$B$58,MIN(MATCH(IF(ISNUMBER(S22),S22,DATOS!$C$138),TABLAS!$B$52:$B$58,0)+2,7)),IF(AND(BG22&gt;0,FLOOR(MIN(BD22,100*INDEX(TABLAS!$D$52:$D$58,MIN(MATCH(IF(ISNUMBER(S22),S22,DATOS!$C$138),TABLAS!$B$52:$B$58,0)+3,7))/MAX(BG22,0.0001)),DATOS!$C$144)&gt;=DATOS!$C$143),INDEX(TABLAS!$B$52:$B$58,MIN(MATCH(IF(ISNUMBER(S22),S22,DATOS!$C$138),TABLAS!$B$52:$B$58,0)+3,7)),IF(AND(BG22&gt;0,FLOOR(MIN(BD22,100*INDEX(TABLAS!$D$52:$D$58,MIN(MATCH(IF(ISNUMBER(S22),S22,DATOS!$C$138),TABLAS!$B$52:$B$58,0)+4,7))/MAX(BG22,0.0001)),DATOS!$C$144)&gt;=DATOS!$C$143),INDEX(TABLAS!$B$52:$B$58,MIN(MATCH(IF(ISNUMBER(S22),S22,DATOS!$C$138),TABLAS!$B$52:$B$58,0)+4,7)),INDEX(TABLAS!$B$52:$B$58,7)))))))</f>
        <v/>
      </c>
      <c r="BI22" s="71" t="str">
        <f>IF(V22&lt;&gt;"SÍ","",IF(BG22&lt;=0,0,FLOOR(MIN(BD22,100*INDEX(TABLAS!$D$52:$D$58,MATCH(BH22,TABLAS!$B$52:$B$58,0))/BG22),DATOS!$C$144)))</f>
        <v/>
      </c>
      <c r="BJ22" s="58" t="str">
        <f>IF(V22&lt;&gt;"SÍ","",IF(BI22&lt;=0,0,INDEX(TABLAS!$D$52:$D$58,MATCH(BH22,TABLAS!$B$52:$B$58,0))*100/BI22))</f>
        <v/>
      </c>
      <c r="BK22" s="58" t="str">
        <f>IF(V22&lt;&gt;"SÍ","",W22-AE22-INDEX(TABLAS!$C$52:$C$58,MATCH(BH22,TABLAS!$B$52:$B$58,0))/2)</f>
        <v/>
      </c>
      <c r="BL22" s="56" t="str">
        <f>IF(V22&lt;&gt;"SÍ","",IF(BJ22=0,0,DATOS!$C$29*BJ22*DATOS!$C$14*(BK22-BJ22*DATOS!$C$14/(DATOS!$C$21*100)/2)/1E5))</f>
        <v/>
      </c>
      <c r="BM22" s="65" t="str">
        <f>IF(V22&lt;&gt;"SÍ","",IF(BG22&lt;0,9.99,IF(BL22&gt;0,AX22/BL22,0)))</f>
        <v/>
      </c>
      <c r="BN22" s="66" t="str">
        <f>IF(V22&lt;&gt;"SÍ","",IF(BJ22=0,"—",0.003*(BK22-(BJ22*DATOS!$C$14/(DATOS!$C$21*100)/DATOS!$C$22))/(BJ22*DATOS!$C$14/(DATOS!$C$21*100)/DATOS!$C$22)))</f>
        <v/>
      </c>
      <c r="BO22" s="58" t="str">
        <f>IF(V22&lt;&gt;"SÍ","",((W22-AF22-INDEX(TABLAS!$C$52:$C$58,MATCH(IF(ISNUMBER(S22),S22,DATOS!$C$138),TABLAS!$B$52:$B$58,0))/2)-IF(AND((W22-AF22-INDEX(TABLAS!$C$52:$C$58,MATCH(IF(ISNUMBER(S22),S22,DATOS!$C$138),TABLAS!$B$52:$B$58,0))/2)&lt;=20,DATOS!$C$65&lt;&gt;"SÍ"),2,0)))</f>
        <v/>
      </c>
      <c r="BP22" s="58" t="str">
        <f>IF(V22&lt;&gt;"SÍ","",IF(AY22&lt;=0,0,IF((1-2*AY22*1E5/(DATOS!$C$29*100*BO22^2*DATOS!$C$21))&lt;0,-1,IF((1-SQRT((1-2*AY22*1E5/(DATOS!$C$29*100*BO22^2*DATOS!$C$21))))*DATOS!$C$21*100*BO22/DATOS!$C$14&gt;DATOS!$C$102*100*BO22,-1,(1-SQRT((1-2*AY22*1E5/(DATOS!$C$29*100*BO22^2*DATOS!$C$21))))*DATOS!$C$21*100*BO22/DATOS!$C$14))))</f>
        <v/>
      </c>
      <c r="BQ22" s="58" t="str">
        <f>IF(V22&lt;&gt;"SÍ","",IF(BP22&lt;0,-1,MAX(BP22,BC22)))</f>
        <v/>
      </c>
      <c r="BR22" s="64" t="str">
        <f>IF(V22&lt;&gt;"SÍ","",IF(AND(BQ22&gt;0,FLOOR(MIN(BD22,100*INDEX(TABLAS!$D$52:$D$58,MIN(MATCH(IF(ISNUMBER(S22),S22,DATOS!$C$138),TABLAS!$B$52:$B$58,0)+0,7))/MAX(BQ22,0.0001)),DATOS!$C$144)&gt;=DATOS!$C$143),INDEX(TABLAS!$B$52:$B$58,MIN(MATCH(IF(ISNUMBER(S22),S22,DATOS!$C$138),TABLAS!$B$52:$B$58,0)+0,7)),IF(AND(BQ22&gt;0,FLOOR(MIN(BD22,100*INDEX(TABLAS!$D$52:$D$58,MIN(MATCH(IF(ISNUMBER(S22),S22,DATOS!$C$138),TABLAS!$B$52:$B$58,0)+1,7))/MAX(BQ22,0.0001)),DATOS!$C$144)&gt;=DATOS!$C$143),INDEX(TABLAS!$B$52:$B$58,MIN(MATCH(IF(ISNUMBER(S22),S22,DATOS!$C$138),TABLAS!$B$52:$B$58,0)+1,7)),IF(AND(BQ22&gt;0,FLOOR(MIN(BD22,100*INDEX(TABLAS!$D$52:$D$58,MIN(MATCH(IF(ISNUMBER(S22),S22,DATOS!$C$138),TABLAS!$B$52:$B$58,0)+2,7))/MAX(BQ22,0.0001)),DATOS!$C$144)&gt;=DATOS!$C$143),INDEX(TABLAS!$B$52:$B$58,MIN(MATCH(IF(ISNUMBER(S22),S22,DATOS!$C$138),TABLAS!$B$52:$B$58,0)+2,7)),IF(AND(BQ22&gt;0,FLOOR(MIN(BD22,100*INDEX(TABLAS!$D$52:$D$58,MIN(MATCH(IF(ISNUMBER(S22),S22,DATOS!$C$138),TABLAS!$B$52:$B$58,0)+3,7))/MAX(BQ22,0.0001)),DATOS!$C$144)&gt;=DATOS!$C$143),INDEX(TABLAS!$B$52:$B$58,MIN(MATCH(IF(ISNUMBER(S22),S22,DATOS!$C$138),TABLAS!$B$52:$B$58,0)+3,7)),IF(AND(BQ22&gt;0,FLOOR(MIN(BD22,100*INDEX(TABLAS!$D$52:$D$58,MIN(MATCH(IF(ISNUMBER(S22),S22,DATOS!$C$138),TABLAS!$B$52:$B$58,0)+4,7))/MAX(BQ22,0.0001)),DATOS!$C$144)&gt;=DATOS!$C$143),INDEX(TABLAS!$B$52:$B$58,MIN(MATCH(IF(ISNUMBER(S22),S22,DATOS!$C$138),TABLAS!$B$52:$B$58,0)+4,7)),INDEX(TABLAS!$B$52:$B$58,7)))))))</f>
        <v/>
      </c>
      <c r="BS22" s="71" t="str">
        <f>IF(V22&lt;&gt;"SÍ","",IF(BQ22&lt;=0,0,FLOOR(MIN(BD22,100*INDEX(TABLAS!$D$52:$D$58,MATCH(BR22,TABLAS!$B$52:$B$58,0))/BQ22),DATOS!$C$144)))</f>
        <v/>
      </c>
      <c r="BT22" s="58" t="str">
        <f>IF(V22&lt;&gt;"SÍ","",IF(BS22&lt;=0,0,INDEX(TABLAS!$D$52:$D$58,MATCH(BR22,TABLAS!$B$52:$B$58,0))*100/BS22))</f>
        <v/>
      </c>
      <c r="BU22" s="58" t="str">
        <f>IF(V22&lt;&gt;"SÍ","",((W22-AF22-INDEX(TABLAS!$C$52:$C$58,MATCH(BR22,TABLAS!$B$52:$B$58,0))/2)-IF(AND((W22-AF22-INDEX(TABLAS!$C$52:$C$58,MATCH(BR22,TABLAS!$B$52:$B$58,0))/2)&lt;=20,DATOS!$C$65&lt;&gt;"SÍ"),2,0)))</f>
        <v/>
      </c>
      <c r="BV22" s="56" t="str">
        <f>IF(V22&lt;&gt;"SÍ","",IF(BT22=0,0,DATOS!$C$29*BT22*DATOS!$C$14*(BU22-BT22*DATOS!$C$14/(DATOS!$C$21*100)/2)/1E5))</f>
        <v/>
      </c>
      <c r="BW22" s="65" t="str">
        <f>IF(V22&lt;&gt;"SÍ","",IF(BQ22&lt;0,9.99,IF(BV22&gt;0,AY22/BV22,0)))</f>
        <v/>
      </c>
      <c r="BX22" s="66" t="str">
        <f>IF(V22&lt;&gt;"SÍ","",IF(BT22=0,"—",0.003*(BU22-(BT22*DATOS!$C$14/(DATOS!$C$21*100)/DATOS!$C$22))/(BT22*DATOS!$C$14/(DATOS!$C$21*100)/DATOS!$C$22)))</f>
        <v/>
      </c>
      <c r="BY22" s="58" t="str">
        <f>IF(V22&lt;&gt;"SÍ","",(W22-AE22-1.5*INDEX(TABLAS!$C$52:$C$58,MATCH(IF(ISNUMBER(S22),S22,DATOS!$C$138),TABLAS!$B$52:$B$58,0))))</f>
        <v/>
      </c>
      <c r="BZ22" s="58" t="str">
        <f>IF(V22&lt;&gt;"SÍ","",IF(AZ22&lt;=0,0,IF((1-2*AZ22*1E5/(DATOS!$C$29*100*BY22^2*DATOS!$C$21))&lt;0,-1,IF((1-SQRT((1-2*AZ22*1E5/(DATOS!$C$29*100*BY22^2*DATOS!$C$21))))*DATOS!$C$21*100*BY22/DATOS!$C$14&gt;DATOS!$C$102*100*BY22,-1,(1-SQRT((1-2*AZ22*1E5/(DATOS!$C$29*100*BY22^2*DATOS!$C$21))))*DATOS!$C$21*100*BY22/DATOS!$C$14))))</f>
        <v/>
      </c>
      <c r="CA22" s="58" t="str">
        <f>IF(V22&lt;&gt;"SÍ","",IF(BZ22&lt;0,-1,MAX(BZ22,BC22)))</f>
        <v/>
      </c>
      <c r="CB22" s="64" t="str">
        <f>IF(V22&lt;&gt;"SÍ","",IF(AND(CA22&gt;0,FLOOR(MIN(BD22,100*INDEX(TABLAS!$D$52:$D$58,MIN(MATCH(IF(ISNUMBER(S22),S22,DATOS!$C$138),TABLAS!$B$52:$B$58,0)+0,7))/MAX(CA22,0.0001)),DATOS!$C$144)&gt;=DATOS!$C$143),INDEX(TABLAS!$B$52:$B$58,MIN(MATCH(IF(ISNUMBER(S22),S22,DATOS!$C$138),TABLAS!$B$52:$B$58,0)+0,7)),IF(AND(CA22&gt;0,FLOOR(MIN(BD22,100*INDEX(TABLAS!$D$52:$D$58,MIN(MATCH(IF(ISNUMBER(S22),S22,DATOS!$C$138),TABLAS!$B$52:$B$58,0)+1,7))/MAX(CA22,0.0001)),DATOS!$C$144)&gt;=DATOS!$C$143),INDEX(TABLAS!$B$52:$B$58,MIN(MATCH(IF(ISNUMBER(S22),S22,DATOS!$C$138),TABLAS!$B$52:$B$58,0)+1,7)),IF(AND(CA22&gt;0,FLOOR(MIN(BD22,100*INDEX(TABLAS!$D$52:$D$58,MIN(MATCH(IF(ISNUMBER(S22),S22,DATOS!$C$138),TABLAS!$B$52:$B$58,0)+2,7))/MAX(CA22,0.0001)),DATOS!$C$144)&gt;=DATOS!$C$143),INDEX(TABLAS!$B$52:$B$58,MIN(MATCH(IF(ISNUMBER(S22),S22,DATOS!$C$138),TABLAS!$B$52:$B$58,0)+2,7)),IF(AND(CA22&gt;0,FLOOR(MIN(BD22,100*INDEX(TABLAS!$D$52:$D$58,MIN(MATCH(IF(ISNUMBER(S22),S22,DATOS!$C$138),TABLAS!$B$52:$B$58,0)+3,7))/MAX(CA22,0.0001)),DATOS!$C$144)&gt;=DATOS!$C$143),INDEX(TABLAS!$B$52:$B$58,MIN(MATCH(IF(ISNUMBER(S22),S22,DATOS!$C$138),TABLAS!$B$52:$B$58,0)+3,7)),IF(AND(CA22&gt;0,FLOOR(MIN(BD22,100*INDEX(TABLAS!$D$52:$D$58,MIN(MATCH(IF(ISNUMBER(S22),S22,DATOS!$C$138),TABLAS!$B$52:$B$58,0)+4,7))/MAX(CA22,0.0001)),DATOS!$C$144)&gt;=DATOS!$C$143),INDEX(TABLAS!$B$52:$B$58,MIN(MATCH(IF(ISNUMBER(S22),S22,DATOS!$C$138),TABLAS!$B$52:$B$58,0)+4,7)),INDEX(TABLAS!$B$52:$B$58,7)))))))</f>
        <v/>
      </c>
      <c r="CC22" s="71" t="str">
        <f>IF(V22&lt;&gt;"SÍ","",IF(CA22&lt;=0,0,FLOOR(MIN(BD22,100*INDEX(TABLAS!$D$52:$D$58,MATCH(CB22,TABLAS!$B$52:$B$58,0))/CA22),DATOS!$C$144)))</f>
        <v/>
      </c>
      <c r="CD22" s="58" t="str">
        <f>IF(V22&lt;&gt;"SÍ","",IF(CC22&lt;=0,0,INDEX(TABLAS!$D$52:$D$58,MATCH(CB22,TABLAS!$B$52:$B$58,0))*100/CC22))</f>
        <v/>
      </c>
      <c r="CE22" s="58" t="str">
        <f>IF(V22&lt;&gt;"SÍ","",W22-AE22-INDEX(TABLAS!$C$52:$C$58,MATCH(BH22,TABLAS!$B$52:$B$58,0))-INDEX(TABLAS!$C$52:$C$58,MATCH(CB22,TABLAS!$B$52:$B$58,0))/2)</f>
        <v/>
      </c>
      <c r="CF22" s="56" t="str">
        <f>IF(V22&lt;&gt;"SÍ","",IF(CD22=0,0,DATOS!$C$29*CD22*DATOS!$C$14*(CE22-CD22*DATOS!$C$14/(DATOS!$C$21*100)/2)/1E5))</f>
        <v/>
      </c>
      <c r="CG22" s="65" t="str">
        <f>IF(V22&lt;&gt;"SÍ","",IF(CA22&lt;0,9.99,IF(CF22&gt;0,AZ22/CF22,0)))</f>
        <v/>
      </c>
      <c r="CH22" s="66" t="str">
        <f>IF(V22&lt;&gt;"SÍ","",IF(CD22=0,"—",0.003*(CE22-(CD22*DATOS!$C$14/(DATOS!$C$21*100)/DATOS!$C$22))/(CD22*DATOS!$C$14/(DATOS!$C$21*100)/DATOS!$C$22)))</f>
        <v/>
      </c>
      <c r="CI22" s="58" t="str">
        <f>IF(V22&lt;&gt;"SÍ","",((W22-AF22-1.5*INDEX(TABLAS!$C$52:$C$58,MATCH(IF(ISNUMBER(S22),S22,DATOS!$C$138),TABLAS!$B$52:$B$58,0)))-IF(AND((W22-AF22-1.5*INDEX(TABLAS!$C$52:$C$58,MATCH(IF(ISNUMBER(S22),S22,DATOS!$C$138),TABLAS!$B$52:$B$58,0)))&lt;=20,DATOS!$C$65&lt;&gt;"SÍ"),2,0)))</f>
        <v/>
      </c>
      <c r="CJ22" s="58" t="str">
        <f>IF(V22&lt;&gt;"SÍ","",IF(BA22&lt;=0,0,IF((1-2*BA22*1E5/(DATOS!$C$29*100*CI22^2*DATOS!$C$21))&lt;0,-1,IF((1-SQRT((1-2*BA22*1E5/(DATOS!$C$29*100*CI22^2*DATOS!$C$21))))*DATOS!$C$21*100*CI22/DATOS!$C$14&gt;DATOS!$C$102*100*CI22,-1,(1-SQRT((1-2*BA22*1E5/(DATOS!$C$29*100*CI22^2*DATOS!$C$21))))*DATOS!$C$21*100*CI22/DATOS!$C$14))))</f>
        <v/>
      </c>
      <c r="CK22" s="58" t="str">
        <f>IF(V22&lt;&gt;"SÍ","",IF(CJ22&lt;0,-1,MAX(CJ22,BC22)))</f>
        <v/>
      </c>
      <c r="CL22" s="64" t="str">
        <f>IF(V22&lt;&gt;"SÍ","",IF(AND(CK22&gt;0,FLOOR(MIN(BD22,100*INDEX(TABLAS!$D$52:$D$58,MIN(MATCH(IF(ISNUMBER(S22),S22,DATOS!$C$138),TABLAS!$B$52:$B$58,0)+0,7))/MAX(CK22,0.0001)),DATOS!$C$144)&gt;=DATOS!$C$143),INDEX(TABLAS!$B$52:$B$58,MIN(MATCH(IF(ISNUMBER(S22),S22,DATOS!$C$138),TABLAS!$B$52:$B$58,0)+0,7)),IF(AND(CK22&gt;0,FLOOR(MIN(BD22,100*INDEX(TABLAS!$D$52:$D$58,MIN(MATCH(IF(ISNUMBER(S22),S22,DATOS!$C$138),TABLAS!$B$52:$B$58,0)+1,7))/MAX(CK22,0.0001)),DATOS!$C$144)&gt;=DATOS!$C$143),INDEX(TABLAS!$B$52:$B$58,MIN(MATCH(IF(ISNUMBER(S22),S22,DATOS!$C$138),TABLAS!$B$52:$B$58,0)+1,7)),IF(AND(CK22&gt;0,FLOOR(MIN(BD22,100*INDEX(TABLAS!$D$52:$D$58,MIN(MATCH(IF(ISNUMBER(S22),S22,DATOS!$C$138),TABLAS!$B$52:$B$58,0)+2,7))/MAX(CK22,0.0001)),DATOS!$C$144)&gt;=DATOS!$C$143),INDEX(TABLAS!$B$52:$B$58,MIN(MATCH(IF(ISNUMBER(S22),S22,DATOS!$C$138),TABLAS!$B$52:$B$58,0)+2,7)),IF(AND(CK22&gt;0,FLOOR(MIN(BD22,100*INDEX(TABLAS!$D$52:$D$58,MIN(MATCH(IF(ISNUMBER(S22),S22,DATOS!$C$138),TABLAS!$B$52:$B$58,0)+3,7))/MAX(CK22,0.0001)),DATOS!$C$144)&gt;=DATOS!$C$143),INDEX(TABLAS!$B$52:$B$58,MIN(MATCH(IF(ISNUMBER(S22),S22,DATOS!$C$138),TABLAS!$B$52:$B$58,0)+3,7)),IF(AND(CK22&gt;0,FLOOR(MIN(BD22,100*INDEX(TABLAS!$D$52:$D$58,MIN(MATCH(IF(ISNUMBER(S22),S22,DATOS!$C$138),TABLAS!$B$52:$B$58,0)+4,7))/MAX(CK22,0.0001)),DATOS!$C$144)&gt;=DATOS!$C$143),INDEX(TABLAS!$B$52:$B$58,MIN(MATCH(IF(ISNUMBER(S22),S22,DATOS!$C$138),TABLAS!$B$52:$B$58,0)+4,7)),INDEX(TABLAS!$B$52:$B$58,7)))))))</f>
        <v/>
      </c>
      <c r="CM22" s="71" t="str">
        <f>IF(V22&lt;&gt;"SÍ","",IF(CK22&lt;=0,0,FLOOR(MIN(BD22,100*INDEX(TABLAS!$D$52:$D$58,MATCH(CL22,TABLAS!$B$52:$B$58,0))/CK22),DATOS!$C$144)))</f>
        <v/>
      </c>
      <c r="CN22" s="58" t="str">
        <f>IF(V22&lt;&gt;"SÍ","",IF(CM22&lt;=0,0,INDEX(TABLAS!$D$52:$D$58,MATCH(CL22,TABLAS!$B$52:$B$58,0))*100/CM22))</f>
        <v/>
      </c>
      <c r="CO22" s="58" t="str">
        <f>IF(V22&lt;&gt;"SÍ","",((W22-AF22-INDEX(TABLAS!$C$52:$C$58,MATCH(BR22,TABLAS!$B$52:$B$58,0))-INDEX(TABLAS!$C$52:$C$58,MATCH(CL22,TABLAS!$B$52:$B$58,0))/2)-IF(AND((W22-AF22-INDEX(TABLAS!$C$52:$C$58,MATCH(BR22,TABLAS!$B$52:$B$58,0))-INDEX(TABLAS!$C$52:$C$58,MATCH(CL22,TABLAS!$B$52:$B$58,0))/2)&lt;=20,DATOS!$C$65&lt;&gt;"SÍ"),2,0)))</f>
        <v/>
      </c>
      <c r="CP22" s="56" t="str">
        <f>IF(V22&lt;&gt;"SÍ","",IF(CN22=0,0,DATOS!$C$29*CN22*DATOS!$C$14*(CO22-CN22*DATOS!$C$14/(DATOS!$C$21*100)/2)/1E5))</f>
        <v/>
      </c>
      <c r="CQ22" s="65" t="str">
        <f>IF(V22&lt;&gt;"SÍ","",IF(CK22&lt;0,9.99,IF(CP22&gt;0,BA22/CP22,0)))</f>
        <v/>
      </c>
      <c r="CR22" s="66" t="str">
        <f>IF(V22&lt;&gt;"SÍ","",IF(CN22=0,"—",0.003*(CO22-(CN22*DATOS!$C$14/(DATOS!$C$21*100)/DATOS!$C$22))/(CN22*DATOS!$C$14/(DATOS!$C$21*100)/DATOS!$C$22)))</f>
        <v/>
      </c>
      <c r="CS22" s="56" t="str">
        <f>IF(V22&lt;&gt;"SÍ","",IF(C22="PERIMETRAL",MAX(0,(AC22/2-BU22)/100)*(0.95-0.5*AB22)*AK22*IF(AND(AL22&gt;0,AL22&lt;4),DATOS!$C$33,1)/1000,(AK22*MAX(0,AC22-BU22)/100+DATOS!$C$26*N(P22))/1000))</f>
        <v/>
      </c>
      <c r="CT22" s="66" t="str">
        <f>IF(V22&lt;&gt;"SÍ","",BT22/(100*BU22))</f>
        <v/>
      </c>
      <c r="CU22" s="56" t="str">
        <f>IF(V22&lt;&gt;"SÍ","",DATOS!$C$30*2*MIN(1,SQRT(2/(1+0.04*BU22)))*CT22^(1/3)*SQRT(DATOS!$C$13)*100*BU22/1000)</f>
        <v/>
      </c>
      <c r="CV22" s="67" t="str">
        <f>IF(V22&lt;&gt;"SÍ","",IF(CS22&lt;=CU22,"CUMPLE","NO CUMPLE: sube h"))</f>
        <v/>
      </c>
      <c r="CW22" s="58" t="str">
        <f>IF(V22&lt;&gt;"SÍ","",IF(C22="PERIMETRAL",IF(ISNUMBER(R22),R22,DATOS!$C$104),0))</f>
        <v/>
      </c>
      <c r="CX22" s="57" t="str">
        <f>IF(V22&lt;&gt;"SÍ","",IF(C22="PERIMETRAL",IF(CW22&gt;2,MAX(9,AD22*(0.8+DATOS!$C$14/14000)/(36+9*(AD22/MAX(AC22,1)))),IF(CW22&gt;0.2,MAX(13,AD22*(0.8+DATOS!$C$14/14000)/(36+5*(AD22/MAX(AC22,1))*(CW22-0.2))),MAX(13,AD22/IF(AL22&gt;0,30,33))))*IF(AND(CW22&gt;0.2,AL22&gt;0,DATOS!$C$105="NO"),1.1,1),Z22*100/DATOS!$C$145*(0.4+DATOS!$C$14/7000)))</f>
        <v/>
      </c>
      <c r="CY22" s="61" t="str">
        <f>IF(V22&lt;&gt;"SÍ","",IF(W22&gt;=CX22-0.001,"CUMPLE",IF(C22="VOLADO","NO CUMPLE","CALCULAR FLECHA")))</f>
        <v/>
      </c>
      <c r="CZ22" s="60" t="str">
        <f>IF(V22&lt;&gt;"SÍ","",IF(C22="VOLADO",MIN(FLOOR(IF(ISNUMBER(Q22),Q22,Z22)*100-DATOS!$C$63,5),CEILING(MAX(IF((0.5*(0.9*W22/100*DATOS!$C$16)*IF(ISNUMBER(Q22),Q22,Z22)+AY22/IF(ISNUMBER(Q22),Q22,Z22))^2-4*(0.5*(0.9*W22/100*DATOS!$C$16))*AY22&lt;0,IF(ISNUMBER(Q22),Q22,Z22),MIN(IF(ISNUMBER(Q22),Q22,Z22),((0.5*(0.9*W22/100*DATOS!$C$16)*IF(ISNUMBER(Q22),Q22,Z22)+AY22/IF(ISNUMBER(Q22),Q22,Z22))-SQRT((0.5*(0.9*W22/100*DATOS!$C$16)*IF(ISNUMBER(Q22),Q22,Z22)+AY22/IF(ISNUMBER(Q22),Q22,Z22))^2-4*(0.5*(0.9*W22/100*DATOS!$C$16))*AY22))/(2*(0.5*(0.9*W22/100*DATOS!$C$16)))))*100+MAX(BU22,12*INDEX(TABLAS!$C$52:$C$58,MATCH(BR22,TABLAS!$B$52:$B$58,0)),IF(ISNUMBER(Q22),Q22,Z22)*100/16),IF(OR(AF22&lt;INDEX(TABLAS!$C$52:$C$58,MATCH(BR22,TABLAS!$B$52:$B$58,0)),BS22-INDEX(TABLAS!$C$52:$C$58,MATCH(BR22,TABLAS!$B$52:$B$58,0))&lt;2*INDEX(TABLAS!$C$52:$C$58,MATCH(BR22,TABLAS!$B$52:$B$58,0))),INDEX(TABLAS!$I$52:$I$58,MATCH(BR22,TABLAS!$B$52:$B$58,0)),INDEX(TABLAS!$F$52:$F$58,MATCH(BR22,TABLAS!$B$52:$B$58,0)))),5)),IF(((4*((AV22*AK22*Z22^2*1E-4/1000)+((MAX(AR22,AT22)*AK22*Z22^2*1E-4/1000)+(IF(AND(AR22&gt;0,AT22&gt;0),MIN(AR22,AT22),MAX(AR22,AT22))*AK22*Z22^2*1E-4/1000))/2)+AY22-(IF(AND(AR22&gt;0,AT22&gt;0),MIN(AR22,AT22),MAX(AR22,AT22))*AK22*Z22^2*1E-4/1000))^2-16*((AV22*AK22*Z22^2*1E-4/1000)+((MAX(AR22,AT22)*AK22*Z22^2*1E-4/1000)+(IF(AND(AR22&gt;0,AT22&gt;0),MIN(AR22,AT22),MAX(AR22,AT22))*AK22*Z22^2*1E-4/1000))/2)*AY22)&lt;0,CEILING(AC22,5),CEILING(MAX(AC22*((4*((AV22*AK22*Z22^2*1E-4/1000)+((MAX(AR22,AT22)*AK22*Z22^2*1E-4/1000)+(IF(AND(AR22&gt;0,AT22&gt;0),MIN(AR22,AT22),MAX(AR22,AT22))*AK22*Z22^2*1E-4/1000))/2)+AY22-(IF(AND(AR22&gt;0,AT22&gt;0),MIN(AR22,AT22),MAX(AR22,AT22))*AK22*Z22^2*1E-4/1000))-SQRT(MAX(0,((4*((AV22*AK22*Z22^2*1E-4/1000)+((MAX(AR22,AT22)*AK22*Z22^2*1E-4/1000)+(IF(AND(AR22&gt;0,AT22&gt;0),MIN(AR22,AT22),MAX(AR22,AT22))*AK22*Z22^2*1E-4/1000))/2)+AY22-(IF(AND(AR22&gt;0,AT22&gt;0),MIN(AR22,AT22),MAX(AR22,AT22))*AK22*Z22^2*1E-4/1000))^2-16*((AV22*AK22*Z22^2*1E-4/1000)+((MAX(AR22,AT22)*AK22*Z22^2*1E-4/1000)+(IF(AND(AR22&gt;0,AT22&gt;0),MIN(AR22,AT22),MAX(AR22,AT22))*AK22*Z22^2*1E-4/1000))/2)*AY22))))/(8*MAX(((AV22*AK22*Z22^2*1E-4/1000)+((MAX(AR22,AT22)*AK22*Z22^2*1E-4/1000)+(IF(AND(AR22&gt;0,AT22&gt;0),MIN(AR22,AT22),MAX(AR22,AT22))*AK22*Z22^2*1E-4/1000))/2),1E-9))+MAX(BU22,12*INDEX(TABLAS!$C$52:$C$58,MATCH(BR22,TABLAS!$B$52:$B$58,0)),AC22/16),IF(OR(AF22&lt;INDEX(TABLAS!$C$52:$C$58,MATCH(BR22,TABLAS!$B$52:$B$58,0)),BS22-INDEX(TABLAS!$C$52:$C$58,MATCH(BR22,TABLAS!$B$52:$B$58,0))&lt;2*INDEX(TABLAS!$C$52:$C$58,MATCH(BR22,TABLAS!$B$52:$B$58,0))),INDEX(TABLAS!$I$52:$I$58,MATCH(BR22,TABLAS!$B$52:$B$58,0)),INDEX(TABLAS!$F$52:$F$58,MATCH(BR22,TABLAS!$B$52:$B$58,0)))),5))))</f>
        <v/>
      </c>
      <c r="DA22" s="60" t="str">
        <f>IF(V22&lt;&gt;"SÍ","",IF(C22="VOLADO",0,IF(((4*((AW22*AK22*Z22^2*1E-4/1000)+((MAX(AS22,AU22)*AK22*Z22^2*1E-4/1000)+(IF(AND(AS22&gt;0,AU22&gt;0),MIN(AS22,AU22),MAX(AS22,AU22))*AK22*Z22^2*1E-4/1000))/2)+BA22-(IF(AND(AS22&gt;0,AU22&gt;0),MIN(AS22,AU22),MAX(AS22,AU22))*AK22*Z22^2*1E-4/1000))^2-16*((AW22*AK22*Z22^2*1E-4/1000)+((MAX(AS22,AU22)*AK22*Z22^2*1E-4/1000)+(IF(AND(AS22&gt;0,AU22&gt;0),MIN(AS22,AU22),MAX(AS22,AU22))*AK22*Z22^2*1E-4/1000))/2)*BA22)&lt;0,CEILING(AD22,5),CEILING(MAX(AD22*((4*((AW22*AK22*Z22^2*1E-4/1000)+((MAX(AS22,AU22)*AK22*Z22^2*1E-4/1000)+(IF(AND(AS22&gt;0,AU22&gt;0),MIN(AS22,AU22),MAX(AS22,AU22))*AK22*Z22^2*1E-4/1000))/2)+BA22-(IF(AND(AS22&gt;0,AU22&gt;0),MIN(AS22,AU22),MAX(AS22,AU22))*AK22*Z22^2*1E-4/1000))-SQRT(MAX(0,((4*((AW22*AK22*Z22^2*1E-4/1000)+((MAX(AS22,AU22)*AK22*Z22^2*1E-4/1000)+(IF(AND(AS22&gt;0,AU22&gt;0),MIN(AS22,AU22),MAX(AS22,AU22))*AK22*Z22^2*1E-4/1000))/2)+BA22-(IF(AND(AS22&gt;0,AU22&gt;0),MIN(AS22,AU22),MAX(AS22,AU22))*AK22*Z22^2*1E-4/1000))^2-16*((AW22*AK22*Z22^2*1E-4/1000)+((MAX(AS22,AU22)*AK22*Z22^2*1E-4/1000)+(IF(AND(AS22&gt;0,AU22&gt;0),MIN(AS22,AU22),MAX(AS22,AU22))*AK22*Z22^2*1E-4/1000))/2)*BA22))))/(8*MAX(((AW22*AK22*Z22^2*1E-4/1000)+((MAX(AS22,AU22)*AK22*Z22^2*1E-4/1000)+(IF(AND(AS22&gt;0,AU22&gt;0),MIN(AS22,AU22),MAX(AS22,AU22))*AK22*Z22^2*1E-4/1000))/2),1E-9))+MAX(CO22,12*INDEX(TABLAS!$C$52:$C$58,MATCH(CL22,TABLAS!$B$52:$B$58,0)),AD22/16),IF(OR(AF22&lt;INDEX(TABLAS!$C$52:$C$58,MATCH(CL22,TABLAS!$B$52:$B$58,0)),CM22-INDEX(TABLAS!$C$52:$C$58,MATCH(CL22,TABLAS!$B$52:$B$58,0))&lt;2*INDEX(TABLAS!$C$52:$C$58,MATCH(CL22,TABLAS!$B$52:$B$58,0))),INDEX(TABLAS!$I$52:$I$58,MATCH(CL22,TABLAS!$B$52:$B$58,0)),INDEX(TABLAS!$F$52:$F$58,MATCH(CL22,TABLAS!$B$52:$B$58,0)))),5))))</f>
        <v/>
      </c>
      <c r="DB22" s="55" t="str">
        <f>IF(V22&lt;&gt;"SÍ","",IF(AND(C22="PERIMETRAL",AL22-AM22&gt;0,AT22&gt;0),"SÍ","NO"))</f>
        <v/>
      </c>
      <c r="DC22" s="55" t="str">
        <f>IF(V22&lt;&gt;"SÍ","",IF(AND(C22="PERIMETRAL",AM22&gt;0,AU22&gt;0),"SÍ","NO"))</f>
        <v/>
      </c>
      <c r="DD22" s="63" t="str">
        <f>IF(V22&lt;&gt;"SÍ","",IF(OR(C22="VOLADO",AL22=0),"—",IF(AND(AND(INDEX(TABLAS!$G$52:$G$58,MATCH(MAX(BR22,CL22),TABLAS!$B$52:$B$58,0))&lt;=(DATOS!$C$75-DATOS!$C$63),(DATOS!$C$75-DATOS!$C$63)&gt;=15),8*INDEX(TABLAS!$C$52:$C$58,MATCH(MAX(BH22,CB22,BR22,CL22),TABLAS!$B$52:$B$58,0))&lt;=DATOS!$C$76-2*DATOS!$C$63),"CUMPLE (gancho de 180°)",IF(AND(INDEX(TABLAS!$G$52:$G$58,MATCH(MAX(BR22,CL22),TABLAS!$B$52:$B$58,0))&lt;=(DATOS!$C$75-DATOS!$C$63),(DATOS!$C$75-DATOS!$C$63)&gt;=15),"NO CUMPLE: el gancho de 180° (8·d_b) no cabe en el peralte de la dala de borde","NO CUMPLE: dala de borde ≥ "&amp;TEXT(CEILING(MAX(INDEX(TABLAS!$G$52:$G$58,MATCH(MAX(BR22,CL22),TABLAS!$B$52:$B$58,0)),15)+DATOS!$C$63,5),"0")&amp;" cm de ancho"&amp;IF(8*INDEX(TABLAS!$C$52:$C$58,MATCH(MAX(BH22,CB22,BR22,CL22),TABLAS!$B$52:$B$58,0))&lt;=DATOS!$C$76-2*DATOS!$C$63,""," y más peralte para el gancho")))))</f>
        <v/>
      </c>
      <c r="DE22" s="69" t="str">
        <f>IF(V22&lt;&gt;"SÍ","",IF(BI22=0,"NO ALCANZA","No. "&amp;BH22&amp;" @ "&amp;BI22&amp;" cm"&amp;IF(C22="VOLADO"," (temperatura)","")))</f>
        <v/>
      </c>
      <c r="DF22" s="69" t="str">
        <f>IF(V22&lt;&gt;"SÍ","",IF(BS22=0,"NO ALCANZA",IF(C22="VOLADO","No. "&amp;BR22&amp;" @ "&amp;BS22&amp;" cm"&amp;" de la orilla al respaldo ("&amp;IF(CZ22&gt;=FLOOR(100*IF(ISNUMBER(Q22),Q22,Z22)-DATOS!$C$63,5),"hasta su apoyo lejano, con gancho","entran "&amp;TEXT(CZ22/100,"0.00")&amp;" m desde el paño")&amp;")","Bastones "&amp;"No. "&amp;BR22&amp;" @ "&amp;BS22&amp;" cm"&amp;", L = "&amp;TEXT(CZ22/100,"0.00")&amp;" m desde el paño")))</f>
        <v/>
      </c>
      <c r="DG22" s="69" t="str">
        <f>IF(V22&lt;&gt;"SÍ","",IF(CC22=0,"NO ALCANZA","No. "&amp;CB22&amp;" @ "&amp;CC22&amp;" cm"&amp;IF(C22="VOLADO"," (repartición)","")))</f>
        <v/>
      </c>
      <c r="DH22" s="69" t="str">
        <f>IF(V22&lt;&gt;"SÍ","",IF(CM22=0,"NO ALCANZA",IF(C22="VOLADO","No. "&amp;CL22&amp;" @ "&amp;CM22&amp;" cm"&amp;" (repartición)","Bastones "&amp;"No. "&amp;CL22&amp;" @ "&amp;CM22&amp;" cm"&amp;", L = "&amp;TEXT(DA22/100,"0.00")&amp;" m desde el paño")))</f>
        <v/>
      </c>
      <c r="DI22" s="67" t="str">
        <f>IF(B22="","",IF(V22&lt;&gt;"SÍ","FALTAN DATOS: tipo, a_x, a_y, destino y, en volados, L_b",IF(L22="NO MONOLÍTICO (caso II)","FUERA DE ALCANCE: caso II no transcrito",IF(AND(C22="VOLADO",X22="?"),"REVISAR: el volado lleva UN solo borde CONTINUO (el empotrado)",IF(AND(MAX(BM22,BW22,CG22,CQ22)&lt;=1,NOT(OR(BI22&lt;DATOS!$C$143,BS22&lt;DATOS!$C$143,CC22&lt;DATOS!$C$143,CM22&lt;DATOS!$C$143)),NOT(OR(AND(ISNUMBER(BN22),BN22&lt;0.005),AND(ISNUMBER(BX22),BX22&lt;0.005),AND(ISNUMBER(CH22),CH22&lt;0.005),AND(ISNUMBER(CR22),CR22&lt;0.005))),CV22="CUMPLE",CY22="CUMPLE"),"CUMPLE"&amp;IF(LEFT(BB22,5)="FUERA"," · fuera de 3.4.2.1 c)","")&amp;IF(LEFT(DD22,2)="NO"," · REVISAR anclaje en borde discontinuo",""),IF(AND(MAX(BM22,BW22,CG22,CQ22)&lt;=1,NOT(OR(BI22&lt;DATOS!$C$143,BS22&lt;DATOS!$C$143,CC22&lt;DATOS!$C$143,CM22&lt;DATOS!$C$143)),NOT(OR(AND(ISNUMBER(BN22),BN22&lt;0.005),AND(ISNUMBER(BX22),BX22&lt;0.005),AND(ISNUMBER(CH22),CH22&lt;0.005),AND(ISNUMBER(CR22),CR22&lt;0.005))),CV22="CUMPLE",CY22="CALCULAR FLECHA"),"REVISAR: calcular flecha (h &lt; h mín.)"&amp;IF(LEFT(BB22,5)="FUERA"," · fuera de 3.4.2.1 c)","")&amp;IF(LEFT(DD22,2)="NO"," · REVISAR anclaje en borde discontinuo",""),"NO CUMPLE: "&amp;IF(MAX(BM22,BW22,CG22,CQ22)&gt;1,"flexión ","")&amp;IF(OR(BI22&lt;DATOS!$C$143,BS22&lt;DATOS!$C$143,CC22&lt;DATOS!$C$143,CM22&lt;DATOS!$C$143),"separación &lt; mínima ","")&amp;IF(OR(AND(ISNUMBER(BN22),BN22&lt;0.005),AND(ISNUMBER(BX22),BX22&lt;0.005),AND(ISNUMBER(CH22),CH22&lt;0.005),AND(ISNUMBER(CR22),CR22&lt;0.005)),"ε_t &lt; 0.005 ","")&amp;IF(CV22&lt;&gt;"CUMPLE","cortante ","")&amp;IF(CY22="NO CUMPLE","peralte","")))))))</f>
        <v/>
      </c>
      <c r="DJ22" s="70" t="str">
        <f>IF(V22&lt;&gt;"SÍ","",IF(LEFT(B22,7)="EJEMPLO","EJEMPLO de tablero típico: bórralo o sobrescríbelo. ","")&amp;IF(C22="VOLADO","Volado de "&amp;TEXT(Z22,"0.00")&amp;" m empotrado en el borde "&amp;LOWER(X22)&amp;IF(N(P22)&gt;0,", con "&amp;TEXT(P22,"0.0")&amp;" kg/m en la orilla","")&amp;". Lecho inferior con r_ext. Si la orilla carga pretil u otro elemento frágil, calcula la flecha (13.4). El acero superior entra al respaldo de "&amp;TEXT(IF(ISNUMBER(Q22),Q22,Z22),"0.00")&amp;" m"&amp;" hasta pasar M = 0 con 0.9·PP sin carga viva; si ahí no se anula, llega al apoyo lejano y se ancla con gancho. ","")&amp;IF(AND(C22="VOLADO",(0.9*W22/100*DATOS!$C$16*IF(ISNUMBER(Q22),Q22,Z22)/2-AY22/IF(ISNUMBER(Q22),Q22,Z22))&lt;0),"Con 0.9·PP y sin carga viva el apoyo lejano del respaldo levanta (R = "&amp;TEXT(-(0.9*W22/100*DATOS!$C$16*IF(ISNUMBER(Q22),Q22,Z22)/2-AY22/IF(ISNUMBER(Q22),Q22,Z22)),"0.00")&amp;" t/m): ancla ahí el acero con gancho y revisa ese apoyo a tensión. ","")&amp;IF(LEFT(BB22,5)="FUERA","El M⁻ del vecino difiere más de 50 % (3.4.2.1 c): distribuye el desequilibrio (3.4.3.1) o confirma con un modelo; se arma con el mayor. ","")&amp;IF(OR(DB22="SÍ",DC22="SÍ"),"Bastones también en los bordes discontinuos (M⁻ de tabla), con gancho. ","")&amp;IF(LEFT(DD22,2)="NO","Anclaje: "&amp;DD22&amp;" (6.7.7.4.1.1). ","")&amp;IF(AND(C22="PERIMETRAL",AM22&gt;=1,AL22-AM22&gt;=1),"Esquinas exteriores sobre muro: refuerzo de esquina arriba y abajo en L_largo/5 (6.7.7.3.1). ",""))</f>
        <v/>
      </c>
    </row>
    <row r="23" ht="33" customHeight="1">
      <c r="A23" s="50">
        <f>IF(B23="",0,1)+A22</f>
        <v>3</v>
      </c>
      <c r="B23" s="29" t="n"/>
      <c r="C23" s="51" t="n"/>
      <c r="D23" s="29" t="n"/>
      <c r="E23" s="52" t="n"/>
      <c r="F23" s="52" t="n"/>
      <c r="G23" s="51" t="n"/>
      <c r="H23" s="51" t="n"/>
      <c r="I23" s="51" t="n"/>
      <c r="J23" s="51" t="n"/>
      <c r="K23" s="51" t="n"/>
      <c r="L23" s="51" t="n"/>
      <c r="M23" s="54" t="n"/>
      <c r="N23" s="53" t="n"/>
      <c r="O23" s="53" t="n"/>
      <c r="P23" s="54" t="n"/>
      <c r="Q23" s="52" t="n"/>
      <c r="R23" s="54" t="n"/>
      <c r="S23" s="53" t="n"/>
      <c r="T23" s="52" t="n"/>
      <c r="U23" s="52" t="n"/>
      <c r="V23" s="55" t="str">
        <f>IF(B23="","",IF(AND(OR(C23="PERIMETRAL",C23="VOLADO"),ISNUMBER(E23),ISNUMBER(F23),E23&gt;0,F23&gt;0,OR(ISNUMBER(O23),ISNUMBER(MATCH(D23,DATOS!$B$46:$B$58,0))),OR(C23&lt;&gt;"VOLADO",N(Q23)&gt;0)),"SÍ","NO"))</f>
        <v/>
      </c>
      <c r="W23" s="57" t="str">
        <f>IF(V23&lt;&gt;"SÍ","",IF(ISNUMBER(M23),M23,DATOS!$C$137))</f>
        <v/>
      </c>
      <c r="X23" s="55" t="str">
        <f>IF(V23&lt;&gt;"SÍ","",IF(C23&lt;&gt;"VOLADO","—",IF(COUNTIF(G23:J23,"CONTINUO")&lt;&gt;1,"?",IF(G23="CONTINUO","INFERIOR",IF(H23="CONTINUO","SUPERIOR",IF(I23="CONTINUO","IZQUIERDO","DERECHO"))))))</f>
        <v/>
      </c>
      <c r="Y23" s="55" t="str">
        <f>IF(V23&lt;&gt;"SÍ","",IF(C23="VOLADO",IF(OR(X23="IZQUIERDO",X23="DERECHO"),"X","Y"),IF(E23&lt;=F23,"X","Y")))</f>
        <v/>
      </c>
      <c r="Z23" s="56" t="str">
        <f>IF(V23&lt;&gt;"SÍ","",IF(C23="VOLADO",IF(Y23="X",E23,F23),MIN(E23,F23)))</f>
        <v/>
      </c>
      <c r="AA23" s="56" t="str">
        <f>IF(V23&lt;&gt;"SÍ","",IF(C23="VOLADO",IF(Y23="X",F23,E23),MAX(E23,F23)))</f>
        <v/>
      </c>
      <c r="AB23" s="56" t="str">
        <f>IF(V23&lt;&gt;"SÍ","",MIN(Z23,AA23)/MAX(Z23,AA23))</f>
        <v/>
      </c>
      <c r="AC23" s="57" t="str">
        <f>IF(V23&lt;&gt;"SÍ","",MAX(1,Z23*100-IF(C23="VOLADO",DATOS!$C$87/2,DATOS!$C$87)))</f>
        <v/>
      </c>
      <c r="AD23" s="57" t="str">
        <f>IF(V23&lt;&gt;"SÍ","",MAX(1,AA23*100-DATOS!$C$87))</f>
        <v/>
      </c>
      <c r="AE23" s="57" t="str">
        <f>IF(V23&lt;&gt;"SÍ","",IF(C23="VOLADO",DATOS!$C$64,DATOS!$C$62))</f>
        <v/>
      </c>
      <c r="AF23" s="57" t="str">
        <f>IF(V23&lt;&gt;"SÍ","",IF(OR(AND(AG23="SÍ",DATOS!$C$66="SÍ"),AND(C23="VOLADO",DATOS!$C$67="SÍ")),DATOS!$C$64,DATOS!$C$62))</f>
        <v/>
      </c>
      <c r="AG23" s="55" t="str">
        <f>IF(V23&lt;&gt;"SÍ","",IFERROR(INDEX(DATOS!$D$46:$D$58,MATCH(D23,DATOS!$B$46:$B$58,0)),"NO"))</f>
        <v/>
      </c>
      <c r="AH23" s="59" t="str">
        <f>IF(V23&lt;&gt;"SÍ","",IF(ISNUMBER(O23),O23,IFERROR(INDEX(DATOS!$C$46:$C$58,MATCH(D23,DATOS!$B$46:$B$58,0)),0)))</f>
        <v/>
      </c>
      <c r="AI23" s="59" t="str">
        <f>IF(V23&lt;&gt;"SÍ","",W23/100*DATOS!$C$16*1000+DATOS!$C$37+DATOS!$C$38)</f>
        <v/>
      </c>
      <c r="AJ23" s="59" t="str">
        <f>IF(V23&lt;&gt;"SÍ","",AI23+N(N23))</f>
        <v/>
      </c>
      <c r="AK23" s="60" t="str">
        <f>IF(V23&lt;&gt;"SÍ","",MAX(DATOS!$C$26*AJ23+DATOS!$C$27*AH23,IF(AG23="SÍ",DATOS!$C$28*(AJ23+DATOS!$C$41),0)))</f>
        <v/>
      </c>
      <c r="AL23" s="59" t="str">
        <f>IF(V23&lt;&gt;"SÍ","",(G23="DISCONTINUO")+(H23="DISCONTINUO")+(I23="DISCONTINUO")+(J23="DISCONTINUO"))</f>
        <v/>
      </c>
      <c r="AM23" s="59" t="str">
        <f>IF(V23&lt;&gt;"SÍ","",IF(Y23="X",(G23="DISCONTINUO")+(H23="DISCONTINUO"),(I23="DISCONTINUO")+(J23="DISCONTINUO")))</f>
        <v/>
      </c>
      <c r="AN23" s="55" t="str">
        <f>IF(V23&lt;&gt;"SÍ","",IF(AL23=0,"INTERIOR",IF(AL23=1,IF(AM23=1,"BORDE-CORTO","BORDE-LARGO"),IF(AL23=2,IF(AM23=1,"ESQUINA",IF(AM23=2,"EXTREMO-LARGO","EXTREMO-CORTO")),IF(AL23=3,IF(AM23=2,"EXTREMO-LARGO","EXTREMO-CORTO"),"AISLADO")))))</f>
        <v/>
      </c>
      <c r="AO23" s="61" t="str">
        <f>IF(V23&lt;&gt;"SÍ","",IF(OR(K23="",K23="AUTO"),AN23,K23))</f>
        <v/>
      </c>
      <c r="AP23" s="59" t="str">
        <f>IF(V23&lt;&gt;"SÍ","",MATCH(AB23,TABLAS!$D$5:$J$5,1))</f>
        <v/>
      </c>
      <c r="AQ23" s="58" t="str">
        <f>IF(V23&lt;&gt;"SÍ","",IF(AP23&gt;=7,0,(AB23-INDEX(TABLAS!$D$5:$J$5,AP23))/(INDEX(TABLAS!$D$5:$J$5,AP23+1)-INDEX(TABLAS!$D$5:$J$5,AP23))))</f>
        <v/>
      </c>
      <c r="AR23" s="59" t="str">
        <f>IF(V23&lt;&gt;"SÍ","",INDEX(TABLAS!$D$6:$J$47,MATCH(AO23&amp;"|NIC",TABLAS!$B$6:$B$47,0),AP23)+AQ23*(INDEX(TABLAS!$D$6:$J$47,MATCH(AO23&amp;"|NIC",TABLAS!$B$6:$B$47,0),MIN(AP23+1,7))-INDEX(TABLAS!$D$6:$J$47,MATCH(AO23&amp;"|NIC",TABLAS!$B$6:$B$47,0),AP23)))</f>
        <v/>
      </c>
      <c r="AS23" s="59" t="str">
        <f>IF(V23&lt;&gt;"SÍ","",INDEX(TABLAS!$D$6:$J$47,MATCH(AO23&amp;"|NIL",TABLAS!$B$6:$B$47,0),AP23)+AQ23*(INDEX(TABLAS!$D$6:$J$47,MATCH(AO23&amp;"|NIL",TABLAS!$B$6:$B$47,0),MIN(AP23+1,7))-INDEX(TABLAS!$D$6:$J$47,MATCH(AO23&amp;"|NIL",TABLAS!$B$6:$B$47,0),AP23)))</f>
        <v/>
      </c>
      <c r="AT23" s="59" t="str">
        <f>IF(V23&lt;&gt;"SÍ","",INDEX(TABLAS!$D$6:$J$47,MATCH(AO23&amp;"|NDC",TABLAS!$B$6:$B$47,0),AP23)+AQ23*(INDEX(TABLAS!$D$6:$J$47,MATCH(AO23&amp;"|NDC",TABLAS!$B$6:$B$47,0),MIN(AP23+1,7))-INDEX(TABLAS!$D$6:$J$47,MATCH(AO23&amp;"|NDC",TABLAS!$B$6:$B$47,0),AP23)))</f>
        <v/>
      </c>
      <c r="AU23" s="59" t="str">
        <f>IF(V23&lt;&gt;"SÍ","",INDEX(TABLAS!$D$6:$J$47,MATCH(AO23&amp;"|NDL",TABLAS!$B$6:$B$47,0),AP23)+AQ23*(INDEX(TABLAS!$D$6:$J$47,MATCH(AO23&amp;"|NDL",TABLAS!$B$6:$B$47,0),MIN(AP23+1,7))-INDEX(TABLAS!$D$6:$J$47,MATCH(AO23&amp;"|NDL",TABLAS!$B$6:$B$47,0),AP23)))</f>
        <v/>
      </c>
      <c r="AV23" s="59" t="str">
        <f>IF(V23&lt;&gt;"SÍ","",INDEX(TABLAS!$D$6:$J$47,MATCH(AO23&amp;"|PC",TABLAS!$B$6:$B$47,0),AP23)+AQ23*(INDEX(TABLAS!$D$6:$J$47,MATCH(AO23&amp;"|PC",TABLAS!$B$6:$B$47,0),MIN(AP23+1,7))-INDEX(TABLAS!$D$6:$J$47,MATCH(AO23&amp;"|PC",TABLAS!$B$6:$B$47,0),AP23)))</f>
        <v/>
      </c>
      <c r="AW23" s="59" t="str">
        <f>IF(V23&lt;&gt;"SÍ","",INDEX(TABLAS!$D$6:$J$47,MATCH(AO23&amp;"|PL",TABLAS!$B$6:$B$47,0),AP23)+AQ23*(INDEX(TABLAS!$D$6:$J$47,MATCH(AO23&amp;"|PL",TABLAS!$B$6:$B$47,0),MIN(AP23+1,7))-INDEX(TABLAS!$D$6:$J$47,MATCH(AO23&amp;"|PL",TABLAS!$B$6:$B$47,0),AP23)))</f>
        <v/>
      </c>
      <c r="AX23" s="56" t="str">
        <f>IF(V23&lt;&gt;"SÍ","",IF(C23="PERIMETRAL",AV23*AK23*Z23^2*1E-4/1000,0))</f>
        <v/>
      </c>
      <c r="AY23" s="62" t="str">
        <f>IF(V23&lt;&gt;"SÍ","",IF(C23="PERIMETRAL",MAX(MAX(AR23,AT23)*AK23*Z23^2*1E-4/1000,N(T23)),(AK23*(AC23/100)^2/2+DATOS!$C$26*N(P23)*AC23/100)/1000))</f>
        <v/>
      </c>
      <c r="AZ23" s="56" t="str">
        <f>IF(V23&lt;&gt;"SÍ","",IF(C23="PERIMETRAL",AW23*AK23*Z23^2*1E-4/1000,0))</f>
        <v/>
      </c>
      <c r="BA23" s="56" t="str">
        <f>IF(V23&lt;&gt;"SÍ","",IF(C23="PERIMETRAL",MAX(MAX(AS23,AU23)*AK23*Z23^2*1E-4/1000,N(U23)),0))</f>
        <v/>
      </c>
      <c r="BB23" s="63" t="str">
        <f>IF(V23&lt;&gt;"SÍ","",IF(C23&lt;&gt;"PERIMETRAL","—",IF(AND(N(T23)=0,N(U23)=0),"— (sin M⁻ del vecino)",IF(OR(AND(N(T23)&gt;0,ABS(MAX(AR23,AT23)*AK23*Z23^2*1E-4/1000-N(T23))&gt;0.5*MIN(MAX(AR23,AT23)*AK23*Z23^2*1E-4/1000,N(T23))),AND(N(U23)&gt;0,ABS(MAX(AS23,AU23)*AK23*Z23^2*1E-4/1000-N(U23))&gt;0.5*MIN(MAX(AS23,AU23)*AK23*Z23^2*1E-4/1000,N(U23)))),"FUERA: difieren &gt; 50 %"&amp;IF(AND(N(T23)&gt;0,ABS(MAX(AR23,AT23)*AK23*Z23^2*1E-4/1000-N(T23))&gt;0.5*MIN(MAX(AR23,AT23)*AK23*Z23^2*1E-4/1000,N(T23)))," ‖ corto","")&amp;IF(AND(N(U23)&gt;0,ABS(MAX(AS23,AU23)*AK23*Z23^2*1E-4/1000-N(U23))&gt;0.5*MIN(MAX(AS23,AU23)*AK23*Z23^2*1E-4/1000,N(U23)))," ‖ largo",""),"CUMPLE"))))</f>
        <v/>
      </c>
      <c r="BC23" s="58" t="str">
        <f>IF(V23&lt;&gt;"SÍ","",DATOS!$C$139*100*W23)</f>
        <v/>
      </c>
      <c r="BD23" s="57" t="str">
        <f>IF(V23&lt;&gt;"SÍ","",MIN(IF(C23="VOLADO",DATOS!$C$141,DATOS!$C$140)*W23,DATOS!$C$142))</f>
        <v/>
      </c>
      <c r="BE23" s="58" t="str">
        <f>IF(V23&lt;&gt;"SÍ","",(W23-AE23-INDEX(TABLAS!$C$52:$C$58,MATCH(IF(ISNUMBER(S23),S23,DATOS!$C$138),TABLAS!$B$52:$B$58,0))/2))</f>
        <v/>
      </c>
      <c r="BF23" s="58" t="str">
        <f>IF(V23&lt;&gt;"SÍ","",IF(AX23&lt;=0,0,IF((1-2*AX23*1E5/(DATOS!$C$29*100*BE23^2*DATOS!$C$21))&lt;0,-1,IF((1-SQRT((1-2*AX23*1E5/(DATOS!$C$29*100*BE23^2*DATOS!$C$21))))*DATOS!$C$21*100*BE23/DATOS!$C$14&gt;DATOS!$C$102*100*BE23,-1,(1-SQRT((1-2*AX23*1E5/(DATOS!$C$29*100*BE23^2*DATOS!$C$21))))*DATOS!$C$21*100*BE23/DATOS!$C$14))))</f>
        <v/>
      </c>
      <c r="BG23" s="58" t="str">
        <f>IF(V23&lt;&gt;"SÍ","",IF(BF23&lt;0,-1,MAX(BF23,BC23)))</f>
        <v/>
      </c>
      <c r="BH23" s="64" t="str">
        <f>IF(V23&lt;&gt;"SÍ","",IF(AND(BG23&gt;0,FLOOR(MIN(BD23,100*INDEX(TABLAS!$D$52:$D$58,MIN(MATCH(IF(ISNUMBER(S23),S23,DATOS!$C$138),TABLAS!$B$52:$B$58,0)+0,7))/MAX(BG23,0.0001)),DATOS!$C$144)&gt;=DATOS!$C$143),INDEX(TABLAS!$B$52:$B$58,MIN(MATCH(IF(ISNUMBER(S23),S23,DATOS!$C$138),TABLAS!$B$52:$B$58,0)+0,7)),IF(AND(BG23&gt;0,FLOOR(MIN(BD23,100*INDEX(TABLAS!$D$52:$D$58,MIN(MATCH(IF(ISNUMBER(S23),S23,DATOS!$C$138),TABLAS!$B$52:$B$58,0)+1,7))/MAX(BG23,0.0001)),DATOS!$C$144)&gt;=DATOS!$C$143),INDEX(TABLAS!$B$52:$B$58,MIN(MATCH(IF(ISNUMBER(S23),S23,DATOS!$C$138),TABLAS!$B$52:$B$58,0)+1,7)),IF(AND(BG23&gt;0,FLOOR(MIN(BD23,100*INDEX(TABLAS!$D$52:$D$58,MIN(MATCH(IF(ISNUMBER(S23),S23,DATOS!$C$138),TABLAS!$B$52:$B$58,0)+2,7))/MAX(BG23,0.0001)),DATOS!$C$144)&gt;=DATOS!$C$143),INDEX(TABLAS!$B$52:$B$58,MIN(MATCH(IF(ISNUMBER(S23),S23,DATOS!$C$138),TABLAS!$B$52:$B$58,0)+2,7)),IF(AND(BG23&gt;0,FLOOR(MIN(BD23,100*INDEX(TABLAS!$D$52:$D$58,MIN(MATCH(IF(ISNUMBER(S23),S23,DATOS!$C$138),TABLAS!$B$52:$B$58,0)+3,7))/MAX(BG23,0.0001)),DATOS!$C$144)&gt;=DATOS!$C$143),INDEX(TABLAS!$B$52:$B$58,MIN(MATCH(IF(ISNUMBER(S23),S23,DATOS!$C$138),TABLAS!$B$52:$B$58,0)+3,7)),IF(AND(BG23&gt;0,FLOOR(MIN(BD23,100*INDEX(TABLAS!$D$52:$D$58,MIN(MATCH(IF(ISNUMBER(S23),S23,DATOS!$C$138),TABLAS!$B$52:$B$58,0)+4,7))/MAX(BG23,0.0001)),DATOS!$C$144)&gt;=DATOS!$C$143),INDEX(TABLAS!$B$52:$B$58,MIN(MATCH(IF(ISNUMBER(S23),S23,DATOS!$C$138),TABLAS!$B$52:$B$58,0)+4,7)),INDEX(TABLAS!$B$52:$B$58,7)))))))</f>
        <v/>
      </c>
      <c r="BI23" s="71" t="str">
        <f>IF(V23&lt;&gt;"SÍ","",IF(BG23&lt;=0,0,FLOOR(MIN(BD23,100*INDEX(TABLAS!$D$52:$D$58,MATCH(BH23,TABLAS!$B$52:$B$58,0))/BG23),DATOS!$C$144)))</f>
        <v/>
      </c>
      <c r="BJ23" s="58" t="str">
        <f>IF(V23&lt;&gt;"SÍ","",IF(BI23&lt;=0,0,INDEX(TABLAS!$D$52:$D$58,MATCH(BH23,TABLAS!$B$52:$B$58,0))*100/BI23))</f>
        <v/>
      </c>
      <c r="BK23" s="58" t="str">
        <f>IF(V23&lt;&gt;"SÍ","",W23-AE23-INDEX(TABLAS!$C$52:$C$58,MATCH(BH23,TABLAS!$B$52:$B$58,0))/2)</f>
        <v/>
      </c>
      <c r="BL23" s="56" t="str">
        <f>IF(V23&lt;&gt;"SÍ","",IF(BJ23=0,0,DATOS!$C$29*BJ23*DATOS!$C$14*(BK23-BJ23*DATOS!$C$14/(DATOS!$C$21*100)/2)/1E5))</f>
        <v/>
      </c>
      <c r="BM23" s="65" t="str">
        <f>IF(V23&lt;&gt;"SÍ","",IF(BG23&lt;0,9.99,IF(BL23&gt;0,AX23/BL23,0)))</f>
        <v/>
      </c>
      <c r="BN23" s="66" t="str">
        <f>IF(V23&lt;&gt;"SÍ","",IF(BJ23=0,"—",0.003*(BK23-(BJ23*DATOS!$C$14/(DATOS!$C$21*100)/DATOS!$C$22))/(BJ23*DATOS!$C$14/(DATOS!$C$21*100)/DATOS!$C$22)))</f>
        <v/>
      </c>
      <c r="BO23" s="58" t="str">
        <f>IF(V23&lt;&gt;"SÍ","",((W23-AF23-INDEX(TABLAS!$C$52:$C$58,MATCH(IF(ISNUMBER(S23),S23,DATOS!$C$138),TABLAS!$B$52:$B$58,0))/2)-IF(AND((W23-AF23-INDEX(TABLAS!$C$52:$C$58,MATCH(IF(ISNUMBER(S23),S23,DATOS!$C$138),TABLAS!$B$52:$B$58,0))/2)&lt;=20,DATOS!$C$65&lt;&gt;"SÍ"),2,0)))</f>
        <v/>
      </c>
      <c r="BP23" s="58" t="str">
        <f>IF(V23&lt;&gt;"SÍ","",IF(AY23&lt;=0,0,IF((1-2*AY23*1E5/(DATOS!$C$29*100*BO23^2*DATOS!$C$21))&lt;0,-1,IF((1-SQRT((1-2*AY23*1E5/(DATOS!$C$29*100*BO23^2*DATOS!$C$21))))*DATOS!$C$21*100*BO23/DATOS!$C$14&gt;DATOS!$C$102*100*BO23,-1,(1-SQRT((1-2*AY23*1E5/(DATOS!$C$29*100*BO23^2*DATOS!$C$21))))*DATOS!$C$21*100*BO23/DATOS!$C$14))))</f>
        <v/>
      </c>
      <c r="BQ23" s="58" t="str">
        <f>IF(V23&lt;&gt;"SÍ","",IF(BP23&lt;0,-1,MAX(BP23,BC23)))</f>
        <v/>
      </c>
      <c r="BR23" s="64" t="str">
        <f>IF(V23&lt;&gt;"SÍ","",IF(AND(BQ23&gt;0,FLOOR(MIN(BD23,100*INDEX(TABLAS!$D$52:$D$58,MIN(MATCH(IF(ISNUMBER(S23),S23,DATOS!$C$138),TABLAS!$B$52:$B$58,0)+0,7))/MAX(BQ23,0.0001)),DATOS!$C$144)&gt;=DATOS!$C$143),INDEX(TABLAS!$B$52:$B$58,MIN(MATCH(IF(ISNUMBER(S23),S23,DATOS!$C$138),TABLAS!$B$52:$B$58,0)+0,7)),IF(AND(BQ23&gt;0,FLOOR(MIN(BD23,100*INDEX(TABLAS!$D$52:$D$58,MIN(MATCH(IF(ISNUMBER(S23),S23,DATOS!$C$138),TABLAS!$B$52:$B$58,0)+1,7))/MAX(BQ23,0.0001)),DATOS!$C$144)&gt;=DATOS!$C$143),INDEX(TABLAS!$B$52:$B$58,MIN(MATCH(IF(ISNUMBER(S23),S23,DATOS!$C$138),TABLAS!$B$52:$B$58,0)+1,7)),IF(AND(BQ23&gt;0,FLOOR(MIN(BD23,100*INDEX(TABLAS!$D$52:$D$58,MIN(MATCH(IF(ISNUMBER(S23),S23,DATOS!$C$138),TABLAS!$B$52:$B$58,0)+2,7))/MAX(BQ23,0.0001)),DATOS!$C$144)&gt;=DATOS!$C$143),INDEX(TABLAS!$B$52:$B$58,MIN(MATCH(IF(ISNUMBER(S23),S23,DATOS!$C$138),TABLAS!$B$52:$B$58,0)+2,7)),IF(AND(BQ23&gt;0,FLOOR(MIN(BD23,100*INDEX(TABLAS!$D$52:$D$58,MIN(MATCH(IF(ISNUMBER(S23),S23,DATOS!$C$138),TABLAS!$B$52:$B$58,0)+3,7))/MAX(BQ23,0.0001)),DATOS!$C$144)&gt;=DATOS!$C$143),INDEX(TABLAS!$B$52:$B$58,MIN(MATCH(IF(ISNUMBER(S23),S23,DATOS!$C$138),TABLAS!$B$52:$B$58,0)+3,7)),IF(AND(BQ23&gt;0,FLOOR(MIN(BD23,100*INDEX(TABLAS!$D$52:$D$58,MIN(MATCH(IF(ISNUMBER(S23),S23,DATOS!$C$138),TABLAS!$B$52:$B$58,0)+4,7))/MAX(BQ23,0.0001)),DATOS!$C$144)&gt;=DATOS!$C$143),INDEX(TABLAS!$B$52:$B$58,MIN(MATCH(IF(ISNUMBER(S23),S23,DATOS!$C$138),TABLAS!$B$52:$B$58,0)+4,7)),INDEX(TABLAS!$B$52:$B$58,7)))))))</f>
        <v/>
      </c>
      <c r="BS23" s="71" t="str">
        <f>IF(V23&lt;&gt;"SÍ","",IF(BQ23&lt;=0,0,FLOOR(MIN(BD23,100*INDEX(TABLAS!$D$52:$D$58,MATCH(BR23,TABLAS!$B$52:$B$58,0))/BQ23),DATOS!$C$144)))</f>
        <v/>
      </c>
      <c r="BT23" s="58" t="str">
        <f>IF(V23&lt;&gt;"SÍ","",IF(BS23&lt;=0,0,INDEX(TABLAS!$D$52:$D$58,MATCH(BR23,TABLAS!$B$52:$B$58,0))*100/BS23))</f>
        <v/>
      </c>
      <c r="BU23" s="58" t="str">
        <f>IF(V23&lt;&gt;"SÍ","",((W23-AF23-INDEX(TABLAS!$C$52:$C$58,MATCH(BR23,TABLAS!$B$52:$B$58,0))/2)-IF(AND((W23-AF23-INDEX(TABLAS!$C$52:$C$58,MATCH(BR23,TABLAS!$B$52:$B$58,0))/2)&lt;=20,DATOS!$C$65&lt;&gt;"SÍ"),2,0)))</f>
        <v/>
      </c>
      <c r="BV23" s="56" t="str">
        <f>IF(V23&lt;&gt;"SÍ","",IF(BT23=0,0,DATOS!$C$29*BT23*DATOS!$C$14*(BU23-BT23*DATOS!$C$14/(DATOS!$C$21*100)/2)/1E5))</f>
        <v/>
      </c>
      <c r="BW23" s="65" t="str">
        <f>IF(V23&lt;&gt;"SÍ","",IF(BQ23&lt;0,9.99,IF(BV23&gt;0,AY23/BV23,0)))</f>
        <v/>
      </c>
      <c r="BX23" s="66" t="str">
        <f>IF(V23&lt;&gt;"SÍ","",IF(BT23=0,"—",0.003*(BU23-(BT23*DATOS!$C$14/(DATOS!$C$21*100)/DATOS!$C$22))/(BT23*DATOS!$C$14/(DATOS!$C$21*100)/DATOS!$C$22)))</f>
        <v/>
      </c>
      <c r="BY23" s="58" t="str">
        <f>IF(V23&lt;&gt;"SÍ","",(W23-AE23-1.5*INDEX(TABLAS!$C$52:$C$58,MATCH(IF(ISNUMBER(S23),S23,DATOS!$C$138),TABLAS!$B$52:$B$58,0))))</f>
        <v/>
      </c>
      <c r="BZ23" s="58" t="str">
        <f>IF(V23&lt;&gt;"SÍ","",IF(AZ23&lt;=0,0,IF((1-2*AZ23*1E5/(DATOS!$C$29*100*BY23^2*DATOS!$C$21))&lt;0,-1,IF((1-SQRT((1-2*AZ23*1E5/(DATOS!$C$29*100*BY23^2*DATOS!$C$21))))*DATOS!$C$21*100*BY23/DATOS!$C$14&gt;DATOS!$C$102*100*BY23,-1,(1-SQRT((1-2*AZ23*1E5/(DATOS!$C$29*100*BY23^2*DATOS!$C$21))))*DATOS!$C$21*100*BY23/DATOS!$C$14))))</f>
        <v/>
      </c>
      <c r="CA23" s="58" t="str">
        <f>IF(V23&lt;&gt;"SÍ","",IF(BZ23&lt;0,-1,MAX(BZ23,BC23)))</f>
        <v/>
      </c>
      <c r="CB23" s="64" t="str">
        <f>IF(V23&lt;&gt;"SÍ","",IF(AND(CA23&gt;0,FLOOR(MIN(BD23,100*INDEX(TABLAS!$D$52:$D$58,MIN(MATCH(IF(ISNUMBER(S23),S23,DATOS!$C$138),TABLAS!$B$52:$B$58,0)+0,7))/MAX(CA23,0.0001)),DATOS!$C$144)&gt;=DATOS!$C$143),INDEX(TABLAS!$B$52:$B$58,MIN(MATCH(IF(ISNUMBER(S23),S23,DATOS!$C$138),TABLAS!$B$52:$B$58,0)+0,7)),IF(AND(CA23&gt;0,FLOOR(MIN(BD23,100*INDEX(TABLAS!$D$52:$D$58,MIN(MATCH(IF(ISNUMBER(S23),S23,DATOS!$C$138),TABLAS!$B$52:$B$58,0)+1,7))/MAX(CA23,0.0001)),DATOS!$C$144)&gt;=DATOS!$C$143),INDEX(TABLAS!$B$52:$B$58,MIN(MATCH(IF(ISNUMBER(S23),S23,DATOS!$C$138),TABLAS!$B$52:$B$58,0)+1,7)),IF(AND(CA23&gt;0,FLOOR(MIN(BD23,100*INDEX(TABLAS!$D$52:$D$58,MIN(MATCH(IF(ISNUMBER(S23),S23,DATOS!$C$138),TABLAS!$B$52:$B$58,0)+2,7))/MAX(CA23,0.0001)),DATOS!$C$144)&gt;=DATOS!$C$143),INDEX(TABLAS!$B$52:$B$58,MIN(MATCH(IF(ISNUMBER(S23),S23,DATOS!$C$138),TABLAS!$B$52:$B$58,0)+2,7)),IF(AND(CA23&gt;0,FLOOR(MIN(BD23,100*INDEX(TABLAS!$D$52:$D$58,MIN(MATCH(IF(ISNUMBER(S23),S23,DATOS!$C$138),TABLAS!$B$52:$B$58,0)+3,7))/MAX(CA23,0.0001)),DATOS!$C$144)&gt;=DATOS!$C$143),INDEX(TABLAS!$B$52:$B$58,MIN(MATCH(IF(ISNUMBER(S23),S23,DATOS!$C$138),TABLAS!$B$52:$B$58,0)+3,7)),IF(AND(CA23&gt;0,FLOOR(MIN(BD23,100*INDEX(TABLAS!$D$52:$D$58,MIN(MATCH(IF(ISNUMBER(S23),S23,DATOS!$C$138),TABLAS!$B$52:$B$58,0)+4,7))/MAX(CA23,0.0001)),DATOS!$C$144)&gt;=DATOS!$C$143),INDEX(TABLAS!$B$52:$B$58,MIN(MATCH(IF(ISNUMBER(S23),S23,DATOS!$C$138),TABLAS!$B$52:$B$58,0)+4,7)),INDEX(TABLAS!$B$52:$B$58,7)))))))</f>
        <v/>
      </c>
      <c r="CC23" s="71" t="str">
        <f>IF(V23&lt;&gt;"SÍ","",IF(CA23&lt;=0,0,FLOOR(MIN(BD23,100*INDEX(TABLAS!$D$52:$D$58,MATCH(CB23,TABLAS!$B$52:$B$58,0))/CA23),DATOS!$C$144)))</f>
        <v/>
      </c>
      <c r="CD23" s="58" t="str">
        <f>IF(V23&lt;&gt;"SÍ","",IF(CC23&lt;=0,0,INDEX(TABLAS!$D$52:$D$58,MATCH(CB23,TABLAS!$B$52:$B$58,0))*100/CC23))</f>
        <v/>
      </c>
      <c r="CE23" s="58" t="str">
        <f>IF(V23&lt;&gt;"SÍ","",W23-AE23-INDEX(TABLAS!$C$52:$C$58,MATCH(BH23,TABLAS!$B$52:$B$58,0))-INDEX(TABLAS!$C$52:$C$58,MATCH(CB23,TABLAS!$B$52:$B$58,0))/2)</f>
        <v/>
      </c>
      <c r="CF23" s="56" t="str">
        <f>IF(V23&lt;&gt;"SÍ","",IF(CD23=0,0,DATOS!$C$29*CD23*DATOS!$C$14*(CE23-CD23*DATOS!$C$14/(DATOS!$C$21*100)/2)/1E5))</f>
        <v/>
      </c>
      <c r="CG23" s="65" t="str">
        <f>IF(V23&lt;&gt;"SÍ","",IF(CA23&lt;0,9.99,IF(CF23&gt;0,AZ23/CF23,0)))</f>
        <v/>
      </c>
      <c r="CH23" s="66" t="str">
        <f>IF(V23&lt;&gt;"SÍ","",IF(CD23=0,"—",0.003*(CE23-(CD23*DATOS!$C$14/(DATOS!$C$21*100)/DATOS!$C$22))/(CD23*DATOS!$C$14/(DATOS!$C$21*100)/DATOS!$C$22)))</f>
        <v/>
      </c>
      <c r="CI23" s="58" t="str">
        <f>IF(V23&lt;&gt;"SÍ","",((W23-AF23-1.5*INDEX(TABLAS!$C$52:$C$58,MATCH(IF(ISNUMBER(S23),S23,DATOS!$C$138),TABLAS!$B$52:$B$58,0)))-IF(AND((W23-AF23-1.5*INDEX(TABLAS!$C$52:$C$58,MATCH(IF(ISNUMBER(S23),S23,DATOS!$C$138),TABLAS!$B$52:$B$58,0)))&lt;=20,DATOS!$C$65&lt;&gt;"SÍ"),2,0)))</f>
        <v/>
      </c>
      <c r="CJ23" s="58" t="str">
        <f>IF(V23&lt;&gt;"SÍ","",IF(BA23&lt;=0,0,IF((1-2*BA23*1E5/(DATOS!$C$29*100*CI23^2*DATOS!$C$21))&lt;0,-1,IF((1-SQRT((1-2*BA23*1E5/(DATOS!$C$29*100*CI23^2*DATOS!$C$21))))*DATOS!$C$21*100*CI23/DATOS!$C$14&gt;DATOS!$C$102*100*CI23,-1,(1-SQRT((1-2*BA23*1E5/(DATOS!$C$29*100*CI23^2*DATOS!$C$21))))*DATOS!$C$21*100*CI23/DATOS!$C$14))))</f>
        <v/>
      </c>
      <c r="CK23" s="58" t="str">
        <f>IF(V23&lt;&gt;"SÍ","",IF(CJ23&lt;0,-1,MAX(CJ23,BC23)))</f>
        <v/>
      </c>
      <c r="CL23" s="64" t="str">
        <f>IF(V23&lt;&gt;"SÍ","",IF(AND(CK23&gt;0,FLOOR(MIN(BD23,100*INDEX(TABLAS!$D$52:$D$58,MIN(MATCH(IF(ISNUMBER(S23),S23,DATOS!$C$138),TABLAS!$B$52:$B$58,0)+0,7))/MAX(CK23,0.0001)),DATOS!$C$144)&gt;=DATOS!$C$143),INDEX(TABLAS!$B$52:$B$58,MIN(MATCH(IF(ISNUMBER(S23),S23,DATOS!$C$138),TABLAS!$B$52:$B$58,0)+0,7)),IF(AND(CK23&gt;0,FLOOR(MIN(BD23,100*INDEX(TABLAS!$D$52:$D$58,MIN(MATCH(IF(ISNUMBER(S23),S23,DATOS!$C$138),TABLAS!$B$52:$B$58,0)+1,7))/MAX(CK23,0.0001)),DATOS!$C$144)&gt;=DATOS!$C$143),INDEX(TABLAS!$B$52:$B$58,MIN(MATCH(IF(ISNUMBER(S23),S23,DATOS!$C$138),TABLAS!$B$52:$B$58,0)+1,7)),IF(AND(CK23&gt;0,FLOOR(MIN(BD23,100*INDEX(TABLAS!$D$52:$D$58,MIN(MATCH(IF(ISNUMBER(S23),S23,DATOS!$C$138),TABLAS!$B$52:$B$58,0)+2,7))/MAX(CK23,0.0001)),DATOS!$C$144)&gt;=DATOS!$C$143),INDEX(TABLAS!$B$52:$B$58,MIN(MATCH(IF(ISNUMBER(S23),S23,DATOS!$C$138),TABLAS!$B$52:$B$58,0)+2,7)),IF(AND(CK23&gt;0,FLOOR(MIN(BD23,100*INDEX(TABLAS!$D$52:$D$58,MIN(MATCH(IF(ISNUMBER(S23),S23,DATOS!$C$138),TABLAS!$B$52:$B$58,0)+3,7))/MAX(CK23,0.0001)),DATOS!$C$144)&gt;=DATOS!$C$143),INDEX(TABLAS!$B$52:$B$58,MIN(MATCH(IF(ISNUMBER(S23),S23,DATOS!$C$138),TABLAS!$B$52:$B$58,0)+3,7)),IF(AND(CK23&gt;0,FLOOR(MIN(BD23,100*INDEX(TABLAS!$D$52:$D$58,MIN(MATCH(IF(ISNUMBER(S23),S23,DATOS!$C$138),TABLAS!$B$52:$B$58,0)+4,7))/MAX(CK23,0.0001)),DATOS!$C$144)&gt;=DATOS!$C$143),INDEX(TABLAS!$B$52:$B$58,MIN(MATCH(IF(ISNUMBER(S23),S23,DATOS!$C$138),TABLAS!$B$52:$B$58,0)+4,7)),INDEX(TABLAS!$B$52:$B$58,7)))))))</f>
        <v/>
      </c>
      <c r="CM23" s="71" t="str">
        <f>IF(V23&lt;&gt;"SÍ","",IF(CK23&lt;=0,0,FLOOR(MIN(BD23,100*INDEX(TABLAS!$D$52:$D$58,MATCH(CL23,TABLAS!$B$52:$B$58,0))/CK23),DATOS!$C$144)))</f>
        <v/>
      </c>
      <c r="CN23" s="58" t="str">
        <f>IF(V23&lt;&gt;"SÍ","",IF(CM23&lt;=0,0,INDEX(TABLAS!$D$52:$D$58,MATCH(CL23,TABLAS!$B$52:$B$58,0))*100/CM23))</f>
        <v/>
      </c>
      <c r="CO23" s="58" t="str">
        <f>IF(V23&lt;&gt;"SÍ","",((W23-AF23-INDEX(TABLAS!$C$52:$C$58,MATCH(BR23,TABLAS!$B$52:$B$58,0))-INDEX(TABLAS!$C$52:$C$58,MATCH(CL23,TABLAS!$B$52:$B$58,0))/2)-IF(AND((W23-AF23-INDEX(TABLAS!$C$52:$C$58,MATCH(BR23,TABLAS!$B$52:$B$58,0))-INDEX(TABLAS!$C$52:$C$58,MATCH(CL23,TABLAS!$B$52:$B$58,0))/2)&lt;=20,DATOS!$C$65&lt;&gt;"SÍ"),2,0)))</f>
        <v/>
      </c>
      <c r="CP23" s="56" t="str">
        <f>IF(V23&lt;&gt;"SÍ","",IF(CN23=0,0,DATOS!$C$29*CN23*DATOS!$C$14*(CO23-CN23*DATOS!$C$14/(DATOS!$C$21*100)/2)/1E5))</f>
        <v/>
      </c>
      <c r="CQ23" s="65" t="str">
        <f>IF(V23&lt;&gt;"SÍ","",IF(CK23&lt;0,9.99,IF(CP23&gt;0,BA23/CP23,0)))</f>
        <v/>
      </c>
      <c r="CR23" s="66" t="str">
        <f>IF(V23&lt;&gt;"SÍ","",IF(CN23=0,"—",0.003*(CO23-(CN23*DATOS!$C$14/(DATOS!$C$21*100)/DATOS!$C$22))/(CN23*DATOS!$C$14/(DATOS!$C$21*100)/DATOS!$C$22)))</f>
        <v/>
      </c>
      <c r="CS23" s="56" t="str">
        <f>IF(V23&lt;&gt;"SÍ","",IF(C23="PERIMETRAL",MAX(0,(AC23/2-BU23)/100)*(0.95-0.5*AB23)*AK23*IF(AND(AL23&gt;0,AL23&lt;4),DATOS!$C$33,1)/1000,(AK23*MAX(0,AC23-BU23)/100+DATOS!$C$26*N(P23))/1000))</f>
        <v/>
      </c>
      <c r="CT23" s="66" t="str">
        <f>IF(V23&lt;&gt;"SÍ","",BT23/(100*BU23))</f>
        <v/>
      </c>
      <c r="CU23" s="56" t="str">
        <f>IF(V23&lt;&gt;"SÍ","",DATOS!$C$30*2*MIN(1,SQRT(2/(1+0.04*BU23)))*CT23^(1/3)*SQRT(DATOS!$C$13)*100*BU23/1000)</f>
        <v/>
      </c>
      <c r="CV23" s="67" t="str">
        <f>IF(V23&lt;&gt;"SÍ","",IF(CS23&lt;=CU23,"CUMPLE","NO CUMPLE: sube h"))</f>
        <v/>
      </c>
      <c r="CW23" s="58" t="str">
        <f>IF(V23&lt;&gt;"SÍ","",IF(C23="PERIMETRAL",IF(ISNUMBER(R23),R23,DATOS!$C$104),0))</f>
        <v/>
      </c>
      <c r="CX23" s="57" t="str">
        <f>IF(V23&lt;&gt;"SÍ","",IF(C23="PERIMETRAL",IF(CW23&gt;2,MAX(9,AD23*(0.8+DATOS!$C$14/14000)/(36+9*(AD23/MAX(AC23,1)))),IF(CW23&gt;0.2,MAX(13,AD23*(0.8+DATOS!$C$14/14000)/(36+5*(AD23/MAX(AC23,1))*(CW23-0.2))),MAX(13,AD23/IF(AL23&gt;0,30,33))))*IF(AND(CW23&gt;0.2,AL23&gt;0,DATOS!$C$105="NO"),1.1,1),Z23*100/DATOS!$C$145*(0.4+DATOS!$C$14/7000)))</f>
        <v/>
      </c>
      <c r="CY23" s="61" t="str">
        <f>IF(V23&lt;&gt;"SÍ","",IF(W23&gt;=CX23-0.001,"CUMPLE",IF(C23="VOLADO","NO CUMPLE","CALCULAR FLECHA")))</f>
        <v/>
      </c>
      <c r="CZ23" s="60" t="str">
        <f>IF(V23&lt;&gt;"SÍ","",IF(C23="VOLADO",MIN(FLOOR(IF(ISNUMBER(Q23),Q23,Z23)*100-DATOS!$C$63,5),CEILING(MAX(IF((0.5*(0.9*W23/100*DATOS!$C$16)*IF(ISNUMBER(Q23),Q23,Z23)+AY23/IF(ISNUMBER(Q23),Q23,Z23))^2-4*(0.5*(0.9*W23/100*DATOS!$C$16))*AY23&lt;0,IF(ISNUMBER(Q23),Q23,Z23),MIN(IF(ISNUMBER(Q23),Q23,Z23),((0.5*(0.9*W23/100*DATOS!$C$16)*IF(ISNUMBER(Q23),Q23,Z23)+AY23/IF(ISNUMBER(Q23),Q23,Z23))-SQRT((0.5*(0.9*W23/100*DATOS!$C$16)*IF(ISNUMBER(Q23),Q23,Z23)+AY23/IF(ISNUMBER(Q23),Q23,Z23))^2-4*(0.5*(0.9*W23/100*DATOS!$C$16))*AY23))/(2*(0.5*(0.9*W23/100*DATOS!$C$16)))))*100+MAX(BU23,12*INDEX(TABLAS!$C$52:$C$58,MATCH(BR23,TABLAS!$B$52:$B$58,0)),IF(ISNUMBER(Q23),Q23,Z23)*100/16),IF(OR(AF23&lt;INDEX(TABLAS!$C$52:$C$58,MATCH(BR23,TABLAS!$B$52:$B$58,0)),BS23-INDEX(TABLAS!$C$52:$C$58,MATCH(BR23,TABLAS!$B$52:$B$58,0))&lt;2*INDEX(TABLAS!$C$52:$C$58,MATCH(BR23,TABLAS!$B$52:$B$58,0))),INDEX(TABLAS!$I$52:$I$58,MATCH(BR23,TABLAS!$B$52:$B$58,0)),INDEX(TABLAS!$F$52:$F$58,MATCH(BR23,TABLAS!$B$52:$B$58,0)))),5)),IF(((4*((AV23*AK23*Z23^2*1E-4/1000)+((MAX(AR23,AT23)*AK23*Z23^2*1E-4/1000)+(IF(AND(AR23&gt;0,AT23&gt;0),MIN(AR23,AT23),MAX(AR23,AT23))*AK23*Z23^2*1E-4/1000))/2)+AY23-(IF(AND(AR23&gt;0,AT23&gt;0),MIN(AR23,AT23),MAX(AR23,AT23))*AK23*Z23^2*1E-4/1000))^2-16*((AV23*AK23*Z23^2*1E-4/1000)+((MAX(AR23,AT23)*AK23*Z23^2*1E-4/1000)+(IF(AND(AR23&gt;0,AT23&gt;0),MIN(AR23,AT23),MAX(AR23,AT23))*AK23*Z23^2*1E-4/1000))/2)*AY23)&lt;0,CEILING(AC23,5),CEILING(MAX(AC23*((4*((AV23*AK23*Z23^2*1E-4/1000)+((MAX(AR23,AT23)*AK23*Z23^2*1E-4/1000)+(IF(AND(AR23&gt;0,AT23&gt;0),MIN(AR23,AT23),MAX(AR23,AT23))*AK23*Z23^2*1E-4/1000))/2)+AY23-(IF(AND(AR23&gt;0,AT23&gt;0),MIN(AR23,AT23),MAX(AR23,AT23))*AK23*Z23^2*1E-4/1000))-SQRT(MAX(0,((4*((AV23*AK23*Z23^2*1E-4/1000)+((MAX(AR23,AT23)*AK23*Z23^2*1E-4/1000)+(IF(AND(AR23&gt;0,AT23&gt;0),MIN(AR23,AT23),MAX(AR23,AT23))*AK23*Z23^2*1E-4/1000))/2)+AY23-(IF(AND(AR23&gt;0,AT23&gt;0),MIN(AR23,AT23),MAX(AR23,AT23))*AK23*Z23^2*1E-4/1000))^2-16*((AV23*AK23*Z23^2*1E-4/1000)+((MAX(AR23,AT23)*AK23*Z23^2*1E-4/1000)+(IF(AND(AR23&gt;0,AT23&gt;0),MIN(AR23,AT23),MAX(AR23,AT23))*AK23*Z23^2*1E-4/1000))/2)*AY23))))/(8*MAX(((AV23*AK23*Z23^2*1E-4/1000)+((MAX(AR23,AT23)*AK23*Z23^2*1E-4/1000)+(IF(AND(AR23&gt;0,AT23&gt;0),MIN(AR23,AT23),MAX(AR23,AT23))*AK23*Z23^2*1E-4/1000))/2),1E-9))+MAX(BU23,12*INDEX(TABLAS!$C$52:$C$58,MATCH(BR23,TABLAS!$B$52:$B$58,0)),AC23/16),IF(OR(AF23&lt;INDEX(TABLAS!$C$52:$C$58,MATCH(BR23,TABLAS!$B$52:$B$58,0)),BS23-INDEX(TABLAS!$C$52:$C$58,MATCH(BR23,TABLAS!$B$52:$B$58,0))&lt;2*INDEX(TABLAS!$C$52:$C$58,MATCH(BR23,TABLAS!$B$52:$B$58,0))),INDEX(TABLAS!$I$52:$I$58,MATCH(BR23,TABLAS!$B$52:$B$58,0)),INDEX(TABLAS!$F$52:$F$58,MATCH(BR23,TABLAS!$B$52:$B$58,0)))),5))))</f>
        <v/>
      </c>
      <c r="DA23" s="60" t="str">
        <f>IF(V23&lt;&gt;"SÍ","",IF(C23="VOLADO",0,IF(((4*((AW23*AK23*Z23^2*1E-4/1000)+((MAX(AS23,AU23)*AK23*Z23^2*1E-4/1000)+(IF(AND(AS23&gt;0,AU23&gt;0),MIN(AS23,AU23),MAX(AS23,AU23))*AK23*Z23^2*1E-4/1000))/2)+BA23-(IF(AND(AS23&gt;0,AU23&gt;0),MIN(AS23,AU23),MAX(AS23,AU23))*AK23*Z23^2*1E-4/1000))^2-16*((AW23*AK23*Z23^2*1E-4/1000)+((MAX(AS23,AU23)*AK23*Z23^2*1E-4/1000)+(IF(AND(AS23&gt;0,AU23&gt;0),MIN(AS23,AU23),MAX(AS23,AU23))*AK23*Z23^2*1E-4/1000))/2)*BA23)&lt;0,CEILING(AD23,5),CEILING(MAX(AD23*((4*((AW23*AK23*Z23^2*1E-4/1000)+((MAX(AS23,AU23)*AK23*Z23^2*1E-4/1000)+(IF(AND(AS23&gt;0,AU23&gt;0),MIN(AS23,AU23),MAX(AS23,AU23))*AK23*Z23^2*1E-4/1000))/2)+BA23-(IF(AND(AS23&gt;0,AU23&gt;0),MIN(AS23,AU23),MAX(AS23,AU23))*AK23*Z23^2*1E-4/1000))-SQRT(MAX(0,((4*((AW23*AK23*Z23^2*1E-4/1000)+((MAX(AS23,AU23)*AK23*Z23^2*1E-4/1000)+(IF(AND(AS23&gt;0,AU23&gt;0),MIN(AS23,AU23),MAX(AS23,AU23))*AK23*Z23^2*1E-4/1000))/2)+BA23-(IF(AND(AS23&gt;0,AU23&gt;0),MIN(AS23,AU23),MAX(AS23,AU23))*AK23*Z23^2*1E-4/1000))^2-16*((AW23*AK23*Z23^2*1E-4/1000)+((MAX(AS23,AU23)*AK23*Z23^2*1E-4/1000)+(IF(AND(AS23&gt;0,AU23&gt;0),MIN(AS23,AU23),MAX(AS23,AU23))*AK23*Z23^2*1E-4/1000))/2)*BA23))))/(8*MAX(((AW23*AK23*Z23^2*1E-4/1000)+((MAX(AS23,AU23)*AK23*Z23^2*1E-4/1000)+(IF(AND(AS23&gt;0,AU23&gt;0),MIN(AS23,AU23),MAX(AS23,AU23))*AK23*Z23^2*1E-4/1000))/2),1E-9))+MAX(CO23,12*INDEX(TABLAS!$C$52:$C$58,MATCH(CL23,TABLAS!$B$52:$B$58,0)),AD23/16),IF(OR(AF23&lt;INDEX(TABLAS!$C$52:$C$58,MATCH(CL23,TABLAS!$B$52:$B$58,0)),CM23-INDEX(TABLAS!$C$52:$C$58,MATCH(CL23,TABLAS!$B$52:$B$58,0))&lt;2*INDEX(TABLAS!$C$52:$C$58,MATCH(CL23,TABLAS!$B$52:$B$58,0))),INDEX(TABLAS!$I$52:$I$58,MATCH(CL23,TABLAS!$B$52:$B$58,0)),INDEX(TABLAS!$F$52:$F$58,MATCH(CL23,TABLAS!$B$52:$B$58,0)))),5))))</f>
        <v/>
      </c>
      <c r="DB23" s="55" t="str">
        <f>IF(V23&lt;&gt;"SÍ","",IF(AND(C23="PERIMETRAL",AL23-AM23&gt;0,AT23&gt;0),"SÍ","NO"))</f>
        <v/>
      </c>
      <c r="DC23" s="55" t="str">
        <f>IF(V23&lt;&gt;"SÍ","",IF(AND(C23="PERIMETRAL",AM23&gt;0,AU23&gt;0),"SÍ","NO"))</f>
        <v/>
      </c>
      <c r="DD23" s="63" t="str">
        <f>IF(V23&lt;&gt;"SÍ","",IF(OR(C23="VOLADO",AL23=0),"—",IF(AND(AND(INDEX(TABLAS!$G$52:$G$58,MATCH(MAX(BR23,CL23),TABLAS!$B$52:$B$58,0))&lt;=(DATOS!$C$75-DATOS!$C$63),(DATOS!$C$75-DATOS!$C$63)&gt;=15),8*INDEX(TABLAS!$C$52:$C$58,MATCH(MAX(BH23,CB23,BR23,CL23),TABLAS!$B$52:$B$58,0))&lt;=DATOS!$C$76-2*DATOS!$C$63),"CUMPLE (gancho de 180°)",IF(AND(INDEX(TABLAS!$G$52:$G$58,MATCH(MAX(BR23,CL23),TABLAS!$B$52:$B$58,0))&lt;=(DATOS!$C$75-DATOS!$C$63),(DATOS!$C$75-DATOS!$C$63)&gt;=15),"NO CUMPLE: el gancho de 180° (8·d_b) no cabe en el peralte de la dala de borde","NO CUMPLE: dala de borde ≥ "&amp;TEXT(CEILING(MAX(INDEX(TABLAS!$G$52:$G$58,MATCH(MAX(BR23,CL23),TABLAS!$B$52:$B$58,0)),15)+DATOS!$C$63,5),"0")&amp;" cm de ancho"&amp;IF(8*INDEX(TABLAS!$C$52:$C$58,MATCH(MAX(BH23,CB23,BR23,CL23),TABLAS!$B$52:$B$58,0))&lt;=DATOS!$C$76-2*DATOS!$C$63,""," y más peralte para el gancho")))))</f>
        <v/>
      </c>
      <c r="DE23" s="69" t="str">
        <f>IF(V23&lt;&gt;"SÍ","",IF(BI23=0,"NO ALCANZA","No. "&amp;BH23&amp;" @ "&amp;BI23&amp;" cm"&amp;IF(C23="VOLADO"," (temperatura)","")))</f>
        <v/>
      </c>
      <c r="DF23" s="69" t="str">
        <f>IF(V23&lt;&gt;"SÍ","",IF(BS23=0,"NO ALCANZA",IF(C23="VOLADO","No. "&amp;BR23&amp;" @ "&amp;BS23&amp;" cm"&amp;" de la orilla al respaldo ("&amp;IF(CZ23&gt;=FLOOR(100*IF(ISNUMBER(Q23),Q23,Z23)-DATOS!$C$63,5),"hasta su apoyo lejano, con gancho","entran "&amp;TEXT(CZ23/100,"0.00")&amp;" m desde el paño")&amp;")","Bastones "&amp;"No. "&amp;BR23&amp;" @ "&amp;BS23&amp;" cm"&amp;", L = "&amp;TEXT(CZ23/100,"0.00")&amp;" m desde el paño")))</f>
        <v/>
      </c>
      <c r="DG23" s="69" t="str">
        <f>IF(V23&lt;&gt;"SÍ","",IF(CC23=0,"NO ALCANZA","No. "&amp;CB23&amp;" @ "&amp;CC23&amp;" cm"&amp;IF(C23="VOLADO"," (repartición)","")))</f>
        <v/>
      </c>
      <c r="DH23" s="69" t="str">
        <f>IF(V23&lt;&gt;"SÍ","",IF(CM23=0,"NO ALCANZA",IF(C23="VOLADO","No. "&amp;CL23&amp;" @ "&amp;CM23&amp;" cm"&amp;" (repartición)","Bastones "&amp;"No. "&amp;CL23&amp;" @ "&amp;CM23&amp;" cm"&amp;", L = "&amp;TEXT(DA23/100,"0.00")&amp;" m desde el paño")))</f>
        <v/>
      </c>
      <c r="DI23" s="67" t="str">
        <f>IF(B23="","",IF(V23&lt;&gt;"SÍ","FALTAN DATOS: tipo, a_x, a_y, destino y, en volados, L_b",IF(L23="NO MONOLÍTICO (caso II)","FUERA DE ALCANCE: caso II no transcrito",IF(AND(C23="VOLADO",X23="?"),"REVISAR: el volado lleva UN solo borde CONTINUO (el empotrado)",IF(AND(MAX(BM23,BW23,CG23,CQ23)&lt;=1,NOT(OR(BI23&lt;DATOS!$C$143,BS23&lt;DATOS!$C$143,CC23&lt;DATOS!$C$143,CM23&lt;DATOS!$C$143)),NOT(OR(AND(ISNUMBER(BN23),BN23&lt;0.005),AND(ISNUMBER(BX23),BX23&lt;0.005),AND(ISNUMBER(CH23),CH23&lt;0.005),AND(ISNUMBER(CR23),CR23&lt;0.005))),CV23="CUMPLE",CY23="CUMPLE"),"CUMPLE"&amp;IF(LEFT(BB23,5)="FUERA"," · fuera de 3.4.2.1 c)","")&amp;IF(LEFT(DD23,2)="NO"," · REVISAR anclaje en borde discontinuo",""),IF(AND(MAX(BM23,BW23,CG23,CQ23)&lt;=1,NOT(OR(BI23&lt;DATOS!$C$143,BS23&lt;DATOS!$C$143,CC23&lt;DATOS!$C$143,CM23&lt;DATOS!$C$143)),NOT(OR(AND(ISNUMBER(BN23),BN23&lt;0.005),AND(ISNUMBER(BX23),BX23&lt;0.005),AND(ISNUMBER(CH23),CH23&lt;0.005),AND(ISNUMBER(CR23),CR23&lt;0.005))),CV23="CUMPLE",CY23="CALCULAR FLECHA"),"REVISAR: calcular flecha (h &lt; h mín.)"&amp;IF(LEFT(BB23,5)="FUERA"," · fuera de 3.4.2.1 c)","")&amp;IF(LEFT(DD23,2)="NO"," · REVISAR anclaje en borde discontinuo",""),"NO CUMPLE: "&amp;IF(MAX(BM23,BW23,CG23,CQ23)&gt;1,"flexión ","")&amp;IF(OR(BI23&lt;DATOS!$C$143,BS23&lt;DATOS!$C$143,CC23&lt;DATOS!$C$143,CM23&lt;DATOS!$C$143),"separación &lt; mínima ","")&amp;IF(OR(AND(ISNUMBER(BN23),BN23&lt;0.005),AND(ISNUMBER(BX23),BX23&lt;0.005),AND(ISNUMBER(CH23),CH23&lt;0.005),AND(ISNUMBER(CR23),CR23&lt;0.005)),"ε_t &lt; 0.005 ","")&amp;IF(CV23&lt;&gt;"CUMPLE","cortante ","")&amp;IF(CY23="NO CUMPLE","peralte","")))))))</f>
        <v/>
      </c>
      <c r="DJ23" s="70" t="str">
        <f>IF(V23&lt;&gt;"SÍ","",IF(LEFT(B23,7)="EJEMPLO","EJEMPLO de tablero típico: bórralo o sobrescríbelo. ","")&amp;IF(C23="VOLADO","Volado de "&amp;TEXT(Z23,"0.00")&amp;" m empotrado en el borde "&amp;LOWER(X23)&amp;IF(N(P23)&gt;0,", con "&amp;TEXT(P23,"0.0")&amp;" kg/m en la orilla","")&amp;". Lecho inferior con r_ext. Si la orilla carga pretil u otro elemento frágil, calcula la flecha (13.4). El acero superior entra al respaldo de "&amp;TEXT(IF(ISNUMBER(Q23),Q23,Z23),"0.00")&amp;" m"&amp;" hasta pasar M = 0 con 0.9·PP sin carga viva; si ahí no se anula, llega al apoyo lejano y se ancla con gancho. ","")&amp;IF(AND(C23="VOLADO",(0.9*W23/100*DATOS!$C$16*IF(ISNUMBER(Q23),Q23,Z23)/2-AY23/IF(ISNUMBER(Q23),Q23,Z23))&lt;0),"Con 0.9·PP y sin carga viva el apoyo lejano del respaldo levanta (R = "&amp;TEXT(-(0.9*W23/100*DATOS!$C$16*IF(ISNUMBER(Q23),Q23,Z23)/2-AY23/IF(ISNUMBER(Q23),Q23,Z23)),"0.00")&amp;" t/m): ancla ahí el acero con gancho y revisa ese apoyo a tensión. ","")&amp;IF(LEFT(BB23,5)="FUERA","El M⁻ del vecino difiere más de 50 % (3.4.2.1 c): distribuye el desequilibrio (3.4.3.1) o confirma con un modelo; se arma con el mayor. ","")&amp;IF(OR(DB23="SÍ",DC23="SÍ"),"Bastones también en los bordes discontinuos (M⁻ de tabla), con gancho. ","")&amp;IF(LEFT(DD23,2)="NO","Anclaje: "&amp;DD23&amp;" (6.7.7.4.1.1). ","")&amp;IF(AND(C23="PERIMETRAL",AM23&gt;=1,AL23-AM23&gt;=1),"Esquinas exteriores sobre muro: refuerzo de esquina arriba y abajo en L_largo/5 (6.7.7.3.1). ",""))</f>
        <v/>
      </c>
    </row>
    <row r="24" ht="33" customHeight="1">
      <c r="A24" s="50">
        <f>IF(B24="",0,1)+A23</f>
        <v>3</v>
      </c>
      <c r="B24" s="29" t="n"/>
      <c r="C24" s="51" t="n"/>
      <c r="D24" s="29" t="n"/>
      <c r="E24" s="52" t="n"/>
      <c r="F24" s="52" t="n"/>
      <c r="G24" s="51" t="n"/>
      <c r="H24" s="51" t="n"/>
      <c r="I24" s="51" t="n"/>
      <c r="J24" s="51" t="n"/>
      <c r="K24" s="51" t="n"/>
      <c r="L24" s="51" t="n"/>
      <c r="M24" s="54" t="n"/>
      <c r="N24" s="53" t="n"/>
      <c r="O24" s="53" t="n"/>
      <c r="P24" s="54" t="n"/>
      <c r="Q24" s="52" t="n"/>
      <c r="R24" s="54" t="n"/>
      <c r="S24" s="53" t="n"/>
      <c r="T24" s="52" t="n"/>
      <c r="U24" s="52" t="n"/>
      <c r="V24" s="55" t="str">
        <f>IF(B24="","",IF(AND(OR(C24="PERIMETRAL",C24="VOLADO"),ISNUMBER(E24),ISNUMBER(F24),E24&gt;0,F24&gt;0,OR(ISNUMBER(O24),ISNUMBER(MATCH(D24,DATOS!$B$46:$B$58,0))),OR(C24&lt;&gt;"VOLADO",N(Q24)&gt;0)),"SÍ","NO"))</f>
        <v/>
      </c>
      <c r="W24" s="57" t="str">
        <f>IF(V24&lt;&gt;"SÍ","",IF(ISNUMBER(M24),M24,DATOS!$C$137))</f>
        <v/>
      </c>
      <c r="X24" s="55" t="str">
        <f>IF(V24&lt;&gt;"SÍ","",IF(C24&lt;&gt;"VOLADO","—",IF(COUNTIF(G24:J24,"CONTINUO")&lt;&gt;1,"?",IF(G24="CONTINUO","INFERIOR",IF(H24="CONTINUO","SUPERIOR",IF(I24="CONTINUO","IZQUIERDO","DERECHO"))))))</f>
        <v/>
      </c>
      <c r="Y24" s="55" t="str">
        <f>IF(V24&lt;&gt;"SÍ","",IF(C24="VOLADO",IF(OR(X24="IZQUIERDO",X24="DERECHO"),"X","Y"),IF(E24&lt;=F24,"X","Y")))</f>
        <v/>
      </c>
      <c r="Z24" s="56" t="str">
        <f>IF(V24&lt;&gt;"SÍ","",IF(C24="VOLADO",IF(Y24="X",E24,F24),MIN(E24,F24)))</f>
        <v/>
      </c>
      <c r="AA24" s="56" t="str">
        <f>IF(V24&lt;&gt;"SÍ","",IF(C24="VOLADO",IF(Y24="X",F24,E24),MAX(E24,F24)))</f>
        <v/>
      </c>
      <c r="AB24" s="56" t="str">
        <f>IF(V24&lt;&gt;"SÍ","",MIN(Z24,AA24)/MAX(Z24,AA24))</f>
        <v/>
      </c>
      <c r="AC24" s="57" t="str">
        <f>IF(V24&lt;&gt;"SÍ","",MAX(1,Z24*100-IF(C24="VOLADO",DATOS!$C$87/2,DATOS!$C$87)))</f>
        <v/>
      </c>
      <c r="AD24" s="57" t="str">
        <f>IF(V24&lt;&gt;"SÍ","",MAX(1,AA24*100-DATOS!$C$87))</f>
        <v/>
      </c>
      <c r="AE24" s="57" t="str">
        <f>IF(V24&lt;&gt;"SÍ","",IF(C24="VOLADO",DATOS!$C$64,DATOS!$C$62))</f>
        <v/>
      </c>
      <c r="AF24" s="57" t="str">
        <f>IF(V24&lt;&gt;"SÍ","",IF(OR(AND(AG24="SÍ",DATOS!$C$66="SÍ"),AND(C24="VOLADO",DATOS!$C$67="SÍ")),DATOS!$C$64,DATOS!$C$62))</f>
        <v/>
      </c>
      <c r="AG24" s="55" t="str">
        <f>IF(V24&lt;&gt;"SÍ","",IFERROR(INDEX(DATOS!$D$46:$D$58,MATCH(D24,DATOS!$B$46:$B$58,0)),"NO"))</f>
        <v/>
      </c>
      <c r="AH24" s="59" t="str">
        <f>IF(V24&lt;&gt;"SÍ","",IF(ISNUMBER(O24),O24,IFERROR(INDEX(DATOS!$C$46:$C$58,MATCH(D24,DATOS!$B$46:$B$58,0)),0)))</f>
        <v/>
      </c>
      <c r="AI24" s="59" t="str">
        <f>IF(V24&lt;&gt;"SÍ","",W24/100*DATOS!$C$16*1000+DATOS!$C$37+DATOS!$C$38)</f>
        <v/>
      </c>
      <c r="AJ24" s="59" t="str">
        <f>IF(V24&lt;&gt;"SÍ","",AI24+N(N24))</f>
        <v/>
      </c>
      <c r="AK24" s="60" t="str">
        <f>IF(V24&lt;&gt;"SÍ","",MAX(DATOS!$C$26*AJ24+DATOS!$C$27*AH24,IF(AG24="SÍ",DATOS!$C$28*(AJ24+DATOS!$C$41),0)))</f>
        <v/>
      </c>
      <c r="AL24" s="59" t="str">
        <f>IF(V24&lt;&gt;"SÍ","",(G24="DISCONTINUO")+(H24="DISCONTINUO")+(I24="DISCONTINUO")+(J24="DISCONTINUO"))</f>
        <v/>
      </c>
      <c r="AM24" s="59" t="str">
        <f>IF(V24&lt;&gt;"SÍ","",IF(Y24="X",(G24="DISCONTINUO")+(H24="DISCONTINUO"),(I24="DISCONTINUO")+(J24="DISCONTINUO")))</f>
        <v/>
      </c>
      <c r="AN24" s="55" t="str">
        <f>IF(V24&lt;&gt;"SÍ","",IF(AL24=0,"INTERIOR",IF(AL24=1,IF(AM24=1,"BORDE-CORTO","BORDE-LARGO"),IF(AL24=2,IF(AM24=1,"ESQUINA",IF(AM24=2,"EXTREMO-LARGO","EXTREMO-CORTO")),IF(AL24=3,IF(AM24=2,"EXTREMO-LARGO","EXTREMO-CORTO"),"AISLADO")))))</f>
        <v/>
      </c>
      <c r="AO24" s="61" t="str">
        <f>IF(V24&lt;&gt;"SÍ","",IF(OR(K24="",K24="AUTO"),AN24,K24))</f>
        <v/>
      </c>
      <c r="AP24" s="59" t="str">
        <f>IF(V24&lt;&gt;"SÍ","",MATCH(AB24,TABLAS!$D$5:$J$5,1))</f>
        <v/>
      </c>
      <c r="AQ24" s="58" t="str">
        <f>IF(V24&lt;&gt;"SÍ","",IF(AP24&gt;=7,0,(AB24-INDEX(TABLAS!$D$5:$J$5,AP24))/(INDEX(TABLAS!$D$5:$J$5,AP24+1)-INDEX(TABLAS!$D$5:$J$5,AP24))))</f>
        <v/>
      </c>
      <c r="AR24" s="59" t="str">
        <f>IF(V24&lt;&gt;"SÍ","",INDEX(TABLAS!$D$6:$J$47,MATCH(AO24&amp;"|NIC",TABLAS!$B$6:$B$47,0),AP24)+AQ24*(INDEX(TABLAS!$D$6:$J$47,MATCH(AO24&amp;"|NIC",TABLAS!$B$6:$B$47,0),MIN(AP24+1,7))-INDEX(TABLAS!$D$6:$J$47,MATCH(AO24&amp;"|NIC",TABLAS!$B$6:$B$47,0),AP24)))</f>
        <v/>
      </c>
      <c r="AS24" s="59" t="str">
        <f>IF(V24&lt;&gt;"SÍ","",INDEX(TABLAS!$D$6:$J$47,MATCH(AO24&amp;"|NIL",TABLAS!$B$6:$B$47,0),AP24)+AQ24*(INDEX(TABLAS!$D$6:$J$47,MATCH(AO24&amp;"|NIL",TABLAS!$B$6:$B$47,0),MIN(AP24+1,7))-INDEX(TABLAS!$D$6:$J$47,MATCH(AO24&amp;"|NIL",TABLAS!$B$6:$B$47,0),AP24)))</f>
        <v/>
      </c>
      <c r="AT24" s="59" t="str">
        <f>IF(V24&lt;&gt;"SÍ","",INDEX(TABLAS!$D$6:$J$47,MATCH(AO24&amp;"|NDC",TABLAS!$B$6:$B$47,0),AP24)+AQ24*(INDEX(TABLAS!$D$6:$J$47,MATCH(AO24&amp;"|NDC",TABLAS!$B$6:$B$47,0),MIN(AP24+1,7))-INDEX(TABLAS!$D$6:$J$47,MATCH(AO24&amp;"|NDC",TABLAS!$B$6:$B$47,0),AP24)))</f>
        <v/>
      </c>
      <c r="AU24" s="59" t="str">
        <f>IF(V24&lt;&gt;"SÍ","",INDEX(TABLAS!$D$6:$J$47,MATCH(AO24&amp;"|NDL",TABLAS!$B$6:$B$47,0),AP24)+AQ24*(INDEX(TABLAS!$D$6:$J$47,MATCH(AO24&amp;"|NDL",TABLAS!$B$6:$B$47,0),MIN(AP24+1,7))-INDEX(TABLAS!$D$6:$J$47,MATCH(AO24&amp;"|NDL",TABLAS!$B$6:$B$47,0),AP24)))</f>
        <v/>
      </c>
      <c r="AV24" s="59" t="str">
        <f>IF(V24&lt;&gt;"SÍ","",INDEX(TABLAS!$D$6:$J$47,MATCH(AO24&amp;"|PC",TABLAS!$B$6:$B$47,0),AP24)+AQ24*(INDEX(TABLAS!$D$6:$J$47,MATCH(AO24&amp;"|PC",TABLAS!$B$6:$B$47,0),MIN(AP24+1,7))-INDEX(TABLAS!$D$6:$J$47,MATCH(AO24&amp;"|PC",TABLAS!$B$6:$B$47,0),AP24)))</f>
        <v/>
      </c>
      <c r="AW24" s="59" t="str">
        <f>IF(V24&lt;&gt;"SÍ","",INDEX(TABLAS!$D$6:$J$47,MATCH(AO24&amp;"|PL",TABLAS!$B$6:$B$47,0),AP24)+AQ24*(INDEX(TABLAS!$D$6:$J$47,MATCH(AO24&amp;"|PL",TABLAS!$B$6:$B$47,0),MIN(AP24+1,7))-INDEX(TABLAS!$D$6:$J$47,MATCH(AO24&amp;"|PL",TABLAS!$B$6:$B$47,0),AP24)))</f>
        <v/>
      </c>
      <c r="AX24" s="56" t="str">
        <f>IF(V24&lt;&gt;"SÍ","",IF(C24="PERIMETRAL",AV24*AK24*Z24^2*1E-4/1000,0))</f>
        <v/>
      </c>
      <c r="AY24" s="62" t="str">
        <f>IF(V24&lt;&gt;"SÍ","",IF(C24="PERIMETRAL",MAX(MAX(AR24,AT24)*AK24*Z24^2*1E-4/1000,N(T24)),(AK24*(AC24/100)^2/2+DATOS!$C$26*N(P24)*AC24/100)/1000))</f>
        <v/>
      </c>
      <c r="AZ24" s="56" t="str">
        <f>IF(V24&lt;&gt;"SÍ","",IF(C24="PERIMETRAL",AW24*AK24*Z24^2*1E-4/1000,0))</f>
        <v/>
      </c>
      <c r="BA24" s="56" t="str">
        <f>IF(V24&lt;&gt;"SÍ","",IF(C24="PERIMETRAL",MAX(MAX(AS24,AU24)*AK24*Z24^2*1E-4/1000,N(U24)),0))</f>
        <v/>
      </c>
      <c r="BB24" s="63" t="str">
        <f>IF(V24&lt;&gt;"SÍ","",IF(C24&lt;&gt;"PERIMETRAL","—",IF(AND(N(T24)=0,N(U24)=0),"— (sin M⁻ del vecino)",IF(OR(AND(N(T24)&gt;0,ABS(MAX(AR24,AT24)*AK24*Z24^2*1E-4/1000-N(T24))&gt;0.5*MIN(MAX(AR24,AT24)*AK24*Z24^2*1E-4/1000,N(T24))),AND(N(U24)&gt;0,ABS(MAX(AS24,AU24)*AK24*Z24^2*1E-4/1000-N(U24))&gt;0.5*MIN(MAX(AS24,AU24)*AK24*Z24^2*1E-4/1000,N(U24)))),"FUERA: difieren &gt; 50 %"&amp;IF(AND(N(T24)&gt;0,ABS(MAX(AR24,AT24)*AK24*Z24^2*1E-4/1000-N(T24))&gt;0.5*MIN(MAX(AR24,AT24)*AK24*Z24^2*1E-4/1000,N(T24)))," ‖ corto","")&amp;IF(AND(N(U24)&gt;0,ABS(MAX(AS24,AU24)*AK24*Z24^2*1E-4/1000-N(U24))&gt;0.5*MIN(MAX(AS24,AU24)*AK24*Z24^2*1E-4/1000,N(U24)))," ‖ largo",""),"CUMPLE"))))</f>
        <v/>
      </c>
      <c r="BC24" s="58" t="str">
        <f>IF(V24&lt;&gt;"SÍ","",DATOS!$C$139*100*W24)</f>
        <v/>
      </c>
      <c r="BD24" s="57" t="str">
        <f>IF(V24&lt;&gt;"SÍ","",MIN(IF(C24="VOLADO",DATOS!$C$141,DATOS!$C$140)*W24,DATOS!$C$142))</f>
        <v/>
      </c>
      <c r="BE24" s="58" t="str">
        <f>IF(V24&lt;&gt;"SÍ","",(W24-AE24-INDEX(TABLAS!$C$52:$C$58,MATCH(IF(ISNUMBER(S24),S24,DATOS!$C$138),TABLAS!$B$52:$B$58,0))/2))</f>
        <v/>
      </c>
      <c r="BF24" s="58" t="str">
        <f>IF(V24&lt;&gt;"SÍ","",IF(AX24&lt;=0,0,IF((1-2*AX24*1E5/(DATOS!$C$29*100*BE24^2*DATOS!$C$21))&lt;0,-1,IF((1-SQRT((1-2*AX24*1E5/(DATOS!$C$29*100*BE24^2*DATOS!$C$21))))*DATOS!$C$21*100*BE24/DATOS!$C$14&gt;DATOS!$C$102*100*BE24,-1,(1-SQRT((1-2*AX24*1E5/(DATOS!$C$29*100*BE24^2*DATOS!$C$21))))*DATOS!$C$21*100*BE24/DATOS!$C$14))))</f>
        <v/>
      </c>
      <c r="BG24" s="58" t="str">
        <f>IF(V24&lt;&gt;"SÍ","",IF(BF24&lt;0,-1,MAX(BF24,BC24)))</f>
        <v/>
      </c>
      <c r="BH24" s="64" t="str">
        <f>IF(V24&lt;&gt;"SÍ","",IF(AND(BG24&gt;0,FLOOR(MIN(BD24,100*INDEX(TABLAS!$D$52:$D$58,MIN(MATCH(IF(ISNUMBER(S24),S24,DATOS!$C$138),TABLAS!$B$52:$B$58,0)+0,7))/MAX(BG24,0.0001)),DATOS!$C$144)&gt;=DATOS!$C$143),INDEX(TABLAS!$B$52:$B$58,MIN(MATCH(IF(ISNUMBER(S24),S24,DATOS!$C$138),TABLAS!$B$52:$B$58,0)+0,7)),IF(AND(BG24&gt;0,FLOOR(MIN(BD24,100*INDEX(TABLAS!$D$52:$D$58,MIN(MATCH(IF(ISNUMBER(S24),S24,DATOS!$C$138),TABLAS!$B$52:$B$58,0)+1,7))/MAX(BG24,0.0001)),DATOS!$C$144)&gt;=DATOS!$C$143),INDEX(TABLAS!$B$52:$B$58,MIN(MATCH(IF(ISNUMBER(S24),S24,DATOS!$C$138),TABLAS!$B$52:$B$58,0)+1,7)),IF(AND(BG24&gt;0,FLOOR(MIN(BD24,100*INDEX(TABLAS!$D$52:$D$58,MIN(MATCH(IF(ISNUMBER(S24),S24,DATOS!$C$138),TABLAS!$B$52:$B$58,0)+2,7))/MAX(BG24,0.0001)),DATOS!$C$144)&gt;=DATOS!$C$143),INDEX(TABLAS!$B$52:$B$58,MIN(MATCH(IF(ISNUMBER(S24),S24,DATOS!$C$138),TABLAS!$B$52:$B$58,0)+2,7)),IF(AND(BG24&gt;0,FLOOR(MIN(BD24,100*INDEX(TABLAS!$D$52:$D$58,MIN(MATCH(IF(ISNUMBER(S24),S24,DATOS!$C$138),TABLAS!$B$52:$B$58,0)+3,7))/MAX(BG24,0.0001)),DATOS!$C$144)&gt;=DATOS!$C$143),INDEX(TABLAS!$B$52:$B$58,MIN(MATCH(IF(ISNUMBER(S24),S24,DATOS!$C$138),TABLAS!$B$52:$B$58,0)+3,7)),IF(AND(BG24&gt;0,FLOOR(MIN(BD24,100*INDEX(TABLAS!$D$52:$D$58,MIN(MATCH(IF(ISNUMBER(S24),S24,DATOS!$C$138),TABLAS!$B$52:$B$58,0)+4,7))/MAX(BG24,0.0001)),DATOS!$C$144)&gt;=DATOS!$C$143),INDEX(TABLAS!$B$52:$B$58,MIN(MATCH(IF(ISNUMBER(S24),S24,DATOS!$C$138),TABLAS!$B$52:$B$58,0)+4,7)),INDEX(TABLAS!$B$52:$B$58,7)))))))</f>
        <v/>
      </c>
      <c r="BI24" s="71" t="str">
        <f>IF(V24&lt;&gt;"SÍ","",IF(BG24&lt;=0,0,FLOOR(MIN(BD24,100*INDEX(TABLAS!$D$52:$D$58,MATCH(BH24,TABLAS!$B$52:$B$58,0))/BG24),DATOS!$C$144)))</f>
        <v/>
      </c>
      <c r="BJ24" s="58" t="str">
        <f>IF(V24&lt;&gt;"SÍ","",IF(BI24&lt;=0,0,INDEX(TABLAS!$D$52:$D$58,MATCH(BH24,TABLAS!$B$52:$B$58,0))*100/BI24))</f>
        <v/>
      </c>
      <c r="BK24" s="58" t="str">
        <f>IF(V24&lt;&gt;"SÍ","",W24-AE24-INDEX(TABLAS!$C$52:$C$58,MATCH(BH24,TABLAS!$B$52:$B$58,0))/2)</f>
        <v/>
      </c>
      <c r="BL24" s="56" t="str">
        <f>IF(V24&lt;&gt;"SÍ","",IF(BJ24=0,0,DATOS!$C$29*BJ24*DATOS!$C$14*(BK24-BJ24*DATOS!$C$14/(DATOS!$C$21*100)/2)/1E5))</f>
        <v/>
      </c>
      <c r="BM24" s="65" t="str">
        <f>IF(V24&lt;&gt;"SÍ","",IF(BG24&lt;0,9.99,IF(BL24&gt;0,AX24/BL24,0)))</f>
        <v/>
      </c>
      <c r="BN24" s="66" t="str">
        <f>IF(V24&lt;&gt;"SÍ","",IF(BJ24=0,"—",0.003*(BK24-(BJ24*DATOS!$C$14/(DATOS!$C$21*100)/DATOS!$C$22))/(BJ24*DATOS!$C$14/(DATOS!$C$21*100)/DATOS!$C$22)))</f>
        <v/>
      </c>
      <c r="BO24" s="58" t="str">
        <f>IF(V24&lt;&gt;"SÍ","",((W24-AF24-INDEX(TABLAS!$C$52:$C$58,MATCH(IF(ISNUMBER(S24),S24,DATOS!$C$138),TABLAS!$B$52:$B$58,0))/2)-IF(AND((W24-AF24-INDEX(TABLAS!$C$52:$C$58,MATCH(IF(ISNUMBER(S24),S24,DATOS!$C$138),TABLAS!$B$52:$B$58,0))/2)&lt;=20,DATOS!$C$65&lt;&gt;"SÍ"),2,0)))</f>
        <v/>
      </c>
      <c r="BP24" s="58" t="str">
        <f>IF(V24&lt;&gt;"SÍ","",IF(AY24&lt;=0,0,IF((1-2*AY24*1E5/(DATOS!$C$29*100*BO24^2*DATOS!$C$21))&lt;0,-1,IF((1-SQRT((1-2*AY24*1E5/(DATOS!$C$29*100*BO24^2*DATOS!$C$21))))*DATOS!$C$21*100*BO24/DATOS!$C$14&gt;DATOS!$C$102*100*BO24,-1,(1-SQRT((1-2*AY24*1E5/(DATOS!$C$29*100*BO24^2*DATOS!$C$21))))*DATOS!$C$21*100*BO24/DATOS!$C$14))))</f>
        <v/>
      </c>
      <c r="BQ24" s="58" t="str">
        <f>IF(V24&lt;&gt;"SÍ","",IF(BP24&lt;0,-1,MAX(BP24,BC24)))</f>
        <v/>
      </c>
      <c r="BR24" s="64" t="str">
        <f>IF(V24&lt;&gt;"SÍ","",IF(AND(BQ24&gt;0,FLOOR(MIN(BD24,100*INDEX(TABLAS!$D$52:$D$58,MIN(MATCH(IF(ISNUMBER(S24),S24,DATOS!$C$138),TABLAS!$B$52:$B$58,0)+0,7))/MAX(BQ24,0.0001)),DATOS!$C$144)&gt;=DATOS!$C$143),INDEX(TABLAS!$B$52:$B$58,MIN(MATCH(IF(ISNUMBER(S24),S24,DATOS!$C$138),TABLAS!$B$52:$B$58,0)+0,7)),IF(AND(BQ24&gt;0,FLOOR(MIN(BD24,100*INDEX(TABLAS!$D$52:$D$58,MIN(MATCH(IF(ISNUMBER(S24),S24,DATOS!$C$138),TABLAS!$B$52:$B$58,0)+1,7))/MAX(BQ24,0.0001)),DATOS!$C$144)&gt;=DATOS!$C$143),INDEX(TABLAS!$B$52:$B$58,MIN(MATCH(IF(ISNUMBER(S24),S24,DATOS!$C$138),TABLAS!$B$52:$B$58,0)+1,7)),IF(AND(BQ24&gt;0,FLOOR(MIN(BD24,100*INDEX(TABLAS!$D$52:$D$58,MIN(MATCH(IF(ISNUMBER(S24),S24,DATOS!$C$138),TABLAS!$B$52:$B$58,0)+2,7))/MAX(BQ24,0.0001)),DATOS!$C$144)&gt;=DATOS!$C$143),INDEX(TABLAS!$B$52:$B$58,MIN(MATCH(IF(ISNUMBER(S24),S24,DATOS!$C$138),TABLAS!$B$52:$B$58,0)+2,7)),IF(AND(BQ24&gt;0,FLOOR(MIN(BD24,100*INDEX(TABLAS!$D$52:$D$58,MIN(MATCH(IF(ISNUMBER(S24),S24,DATOS!$C$138),TABLAS!$B$52:$B$58,0)+3,7))/MAX(BQ24,0.0001)),DATOS!$C$144)&gt;=DATOS!$C$143),INDEX(TABLAS!$B$52:$B$58,MIN(MATCH(IF(ISNUMBER(S24),S24,DATOS!$C$138),TABLAS!$B$52:$B$58,0)+3,7)),IF(AND(BQ24&gt;0,FLOOR(MIN(BD24,100*INDEX(TABLAS!$D$52:$D$58,MIN(MATCH(IF(ISNUMBER(S24),S24,DATOS!$C$138),TABLAS!$B$52:$B$58,0)+4,7))/MAX(BQ24,0.0001)),DATOS!$C$144)&gt;=DATOS!$C$143),INDEX(TABLAS!$B$52:$B$58,MIN(MATCH(IF(ISNUMBER(S24),S24,DATOS!$C$138),TABLAS!$B$52:$B$58,0)+4,7)),INDEX(TABLAS!$B$52:$B$58,7)))))))</f>
        <v/>
      </c>
      <c r="BS24" s="71" t="str">
        <f>IF(V24&lt;&gt;"SÍ","",IF(BQ24&lt;=0,0,FLOOR(MIN(BD24,100*INDEX(TABLAS!$D$52:$D$58,MATCH(BR24,TABLAS!$B$52:$B$58,0))/BQ24),DATOS!$C$144)))</f>
        <v/>
      </c>
      <c r="BT24" s="58" t="str">
        <f>IF(V24&lt;&gt;"SÍ","",IF(BS24&lt;=0,0,INDEX(TABLAS!$D$52:$D$58,MATCH(BR24,TABLAS!$B$52:$B$58,0))*100/BS24))</f>
        <v/>
      </c>
      <c r="BU24" s="58" t="str">
        <f>IF(V24&lt;&gt;"SÍ","",((W24-AF24-INDEX(TABLAS!$C$52:$C$58,MATCH(BR24,TABLAS!$B$52:$B$58,0))/2)-IF(AND((W24-AF24-INDEX(TABLAS!$C$52:$C$58,MATCH(BR24,TABLAS!$B$52:$B$58,0))/2)&lt;=20,DATOS!$C$65&lt;&gt;"SÍ"),2,0)))</f>
        <v/>
      </c>
      <c r="BV24" s="56" t="str">
        <f>IF(V24&lt;&gt;"SÍ","",IF(BT24=0,0,DATOS!$C$29*BT24*DATOS!$C$14*(BU24-BT24*DATOS!$C$14/(DATOS!$C$21*100)/2)/1E5))</f>
        <v/>
      </c>
      <c r="BW24" s="65" t="str">
        <f>IF(V24&lt;&gt;"SÍ","",IF(BQ24&lt;0,9.99,IF(BV24&gt;0,AY24/BV24,0)))</f>
        <v/>
      </c>
      <c r="BX24" s="66" t="str">
        <f>IF(V24&lt;&gt;"SÍ","",IF(BT24=0,"—",0.003*(BU24-(BT24*DATOS!$C$14/(DATOS!$C$21*100)/DATOS!$C$22))/(BT24*DATOS!$C$14/(DATOS!$C$21*100)/DATOS!$C$22)))</f>
        <v/>
      </c>
      <c r="BY24" s="58" t="str">
        <f>IF(V24&lt;&gt;"SÍ","",(W24-AE24-1.5*INDEX(TABLAS!$C$52:$C$58,MATCH(IF(ISNUMBER(S24),S24,DATOS!$C$138),TABLAS!$B$52:$B$58,0))))</f>
        <v/>
      </c>
      <c r="BZ24" s="58" t="str">
        <f>IF(V24&lt;&gt;"SÍ","",IF(AZ24&lt;=0,0,IF((1-2*AZ24*1E5/(DATOS!$C$29*100*BY24^2*DATOS!$C$21))&lt;0,-1,IF((1-SQRT((1-2*AZ24*1E5/(DATOS!$C$29*100*BY24^2*DATOS!$C$21))))*DATOS!$C$21*100*BY24/DATOS!$C$14&gt;DATOS!$C$102*100*BY24,-1,(1-SQRT((1-2*AZ24*1E5/(DATOS!$C$29*100*BY24^2*DATOS!$C$21))))*DATOS!$C$21*100*BY24/DATOS!$C$14))))</f>
        <v/>
      </c>
      <c r="CA24" s="58" t="str">
        <f>IF(V24&lt;&gt;"SÍ","",IF(BZ24&lt;0,-1,MAX(BZ24,BC24)))</f>
        <v/>
      </c>
      <c r="CB24" s="64" t="str">
        <f>IF(V24&lt;&gt;"SÍ","",IF(AND(CA24&gt;0,FLOOR(MIN(BD24,100*INDEX(TABLAS!$D$52:$D$58,MIN(MATCH(IF(ISNUMBER(S24),S24,DATOS!$C$138),TABLAS!$B$52:$B$58,0)+0,7))/MAX(CA24,0.0001)),DATOS!$C$144)&gt;=DATOS!$C$143),INDEX(TABLAS!$B$52:$B$58,MIN(MATCH(IF(ISNUMBER(S24),S24,DATOS!$C$138),TABLAS!$B$52:$B$58,0)+0,7)),IF(AND(CA24&gt;0,FLOOR(MIN(BD24,100*INDEX(TABLAS!$D$52:$D$58,MIN(MATCH(IF(ISNUMBER(S24),S24,DATOS!$C$138),TABLAS!$B$52:$B$58,0)+1,7))/MAX(CA24,0.0001)),DATOS!$C$144)&gt;=DATOS!$C$143),INDEX(TABLAS!$B$52:$B$58,MIN(MATCH(IF(ISNUMBER(S24),S24,DATOS!$C$138),TABLAS!$B$52:$B$58,0)+1,7)),IF(AND(CA24&gt;0,FLOOR(MIN(BD24,100*INDEX(TABLAS!$D$52:$D$58,MIN(MATCH(IF(ISNUMBER(S24),S24,DATOS!$C$138),TABLAS!$B$52:$B$58,0)+2,7))/MAX(CA24,0.0001)),DATOS!$C$144)&gt;=DATOS!$C$143),INDEX(TABLAS!$B$52:$B$58,MIN(MATCH(IF(ISNUMBER(S24),S24,DATOS!$C$138),TABLAS!$B$52:$B$58,0)+2,7)),IF(AND(CA24&gt;0,FLOOR(MIN(BD24,100*INDEX(TABLAS!$D$52:$D$58,MIN(MATCH(IF(ISNUMBER(S24),S24,DATOS!$C$138),TABLAS!$B$52:$B$58,0)+3,7))/MAX(CA24,0.0001)),DATOS!$C$144)&gt;=DATOS!$C$143),INDEX(TABLAS!$B$52:$B$58,MIN(MATCH(IF(ISNUMBER(S24),S24,DATOS!$C$138),TABLAS!$B$52:$B$58,0)+3,7)),IF(AND(CA24&gt;0,FLOOR(MIN(BD24,100*INDEX(TABLAS!$D$52:$D$58,MIN(MATCH(IF(ISNUMBER(S24),S24,DATOS!$C$138),TABLAS!$B$52:$B$58,0)+4,7))/MAX(CA24,0.0001)),DATOS!$C$144)&gt;=DATOS!$C$143),INDEX(TABLAS!$B$52:$B$58,MIN(MATCH(IF(ISNUMBER(S24),S24,DATOS!$C$138),TABLAS!$B$52:$B$58,0)+4,7)),INDEX(TABLAS!$B$52:$B$58,7)))))))</f>
        <v/>
      </c>
      <c r="CC24" s="71" t="str">
        <f>IF(V24&lt;&gt;"SÍ","",IF(CA24&lt;=0,0,FLOOR(MIN(BD24,100*INDEX(TABLAS!$D$52:$D$58,MATCH(CB24,TABLAS!$B$52:$B$58,0))/CA24),DATOS!$C$144)))</f>
        <v/>
      </c>
      <c r="CD24" s="58" t="str">
        <f>IF(V24&lt;&gt;"SÍ","",IF(CC24&lt;=0,0,INDEX(TABLAS!$D$52:$D$58,MATCH(CB24,TABLAS!$B$52:$B$58,0))*100/CC24))</f>
        <v/>
      </c>
      <c r="CE24" s="58" t="str">
        <f>IF(V24&lt;&gt;"SÍ","",W24-AE24-INDEX(TABLAS!$C$52:$C$58,MATCH(BH24,TABLAS!$B$52:$B$58,0))-INDEX(TABLAS!$C$52:$C$58,MATCH(CB24,TABLAS!$B$52:$B$58,0))/2)</f>
        <v/>
      </c>
      <c r="CF24" s="56" t="str">
        <f>IF(V24&lt;&gt;"SÍ","",IF(CD24=0,0,DATOS!$C$29*CD24*DATOS!$C$14*(CE24-CD24*DATOS!$C$14/(DATOS!$C$21*100)/2)/1E5))</f>
        <v/>
      </c>
      <c r="CG24" s="65" t="str">
        <f>IF(V24&lt;&gt;"SÍ","",IF(CA24&lt;0,9.99,IF(CF24&gt;0,AZ24/CF24,0)))</f>
        <v/>
      </c>
      <c r="CH24" s="66" t="str">
        <f>IF(V24&lt;&gt;"SÍ","",IF(CD24=0,"—",0.003*(CE24-(CD24*DATOS!$C$14/(DATOS!$C$21*100)/DATOS!$C$22))/(CD24*DATOS!$C$14/(DATOS!$C$21*100)/DATOS!$C$22)))</f>
        <v/>
      </c>
      <c r="CI24" s="58" t="str">
        <f>IF(V24&lt;&gt;"SÍ","",((W24-AF24-1.5*INDEX(TABLAS!$C$52:$C$58,MATCH(IF(ISNUMBER(S24),S24,DATOS!$C$138),TABLAS!$B$52:$B$58,0)))-IF(AND((W24-AF24-1.5*INDEX(TABLAS!$C$52:$C$58,MATCH(IF(ISNUMBER(S24),S24,DATOS!$C$138),TABLAS!$B$52:$B$58,0)))&lt;=20,DATOS!$C$65&lt;&gt;"SÍ"),2,0)))</f>
        <v/>
      </c>
      <c r="CJ24" s="58" t="str">
        <f>IF(V24&lt;&gt;"SÍ","",IF(BA24&lt;=0,0,IF((1-2*BA24*1E5/(DATOS!$C$29*100*CI24^2*DATOS!$C$21))&lt;0,-1,IF((1-SQRT((1-2*BA24*1E5/(DATOS!$C$29*100*CI24^2*DATOS!$C$21))))*DATOS!$C$21*100*CI24/DATOS!$C$14&gt;DATOS!$C$102*100*CI24,-1,(1-SQRT((1-2*BA24*1E5/(DATOS!$C$29*100*CI24^2*DATOS!$C$21))))*DATOS!$C$21*100*CI24/DATOS!$C$14))))</f>
        <v/>
      </c>
      <c r="CK24" s="58" t="str">
        <f>IF(V24&lt;&gt;"SÍ","",IF(CJ24&lt;0,-1,MAX(CJ24,BC24)))</f>
        <v/>
      </c>
      <c r="CL24" s="64" t="str">
        <f>IF(V24&lt;&gt;"SÍ","",IF(AND(CK24&gt;0,FLOOR(MIN(BD24,100*INDEX(TABLAS!$D$52:$D$58,MIN(MATCH(IF(ISNUMBER(S24),S24,DATOS!$C$138),TABLAS!$B$52:$B$58,0)+0,7))/MAX(CK24,0.0001)),DATOS!$C$144)&gt;=DATOS!$C$143),INDEX(TABLAS!$B$52:$B$58,MIN(MATCH(IF(ISNUMBER(S24),S24,DATOS!$C$138),TABLAS!$B$52:$B$58,0)+0,7)),IF(AND(CK24&gt;0,FLOOR(MIN(BD24,100*INDEX(TABLAS!$D$52:$D$58,MIN(MATCH(IF(ISNUMBER(S24),S24,DATOS!$C$138),TABLAS!$B$52:$B$58,0)+1,7))/MAX(CK24,0.0001)),DATOS!$C$144)&gt;=DATOS!$C$143),INDEX(TABLAS!$B$52:$B$58,MIN(MATCH(IF(ISNUMBER(S24),S24,DATOS!$C$138),TABLAS!$B$52:$B$58,0)+1,7)),IF(AND(CK24&gt;0,FLOOR(MIN(BD24,100*INDEX(TABLAS!$D$52:$D$58,MIN(MATCH(IF(ISNUMBER(S24),S24,DATOS!$C$138),TABLAS!$B$52:$B$58,0)+2,7))/MAX(CK24,0.0001)),DATOS!$C$144)&gt;=DATOS!$C$143),INDEX(TABLAS!$B$52:$B$58,MIN(MATCH(IF(ISNUMBER(S24),S24,DATOS!$C$138),TABLAS!$B$52:$B$58,0)+2,7)),IF(AND(CK24&gt;0,FLOOR(MIN(BD24,100*INDEX(TABLAS!$D$52:$D$58,MIN(MATCH(IF(ISNUMBER(S24),S24,DATOS!$C$138),TABLAS!$B$52:$B$58,0)+3,7))/MAX(CK24,0.0001)),DATOS!$C$144)&gt;=DATOS!$C$143),INDEX(TABLAS!$B$52:$B$58,MIN(MATCH(IF(ISNUMBER(S24),S24,DATOS!$C$138),TABLAS!$B$52:$B$58,0)+3,7)),IF(AND(CK24&gt;0,FLOOR(MIN(BD24,100*INDEX(TABLAS!$D$52:$D$58,MIN(MATCH(IF(ISNUMBER(S24),S24,DATOS!$C$138),TABLAS!$B$52:$B$58,0)+4,7))/MAX(CK24,0.0001)),DATOS!$C$144)&gt;=DATOS!$C$143),INDEX(TABLAS!$B$52:$B$58,MIN(MATCH(IF(ISNUMBER(S24),S24,DATOS!$C$138),TABLAS!$B$52:$B$58,0)+4,7)),INDEX(TABLAS!$B$52:$B$58,7)))))))</f>
        <v/>
      </c>
      <c r="CM24" s="71" t="str">
        <f>IF(V24&lt;&gt;"SÍ","",IF(CK24&lt;=0,0,FLOOR(MIN(BD24,100*INDEX(TABLAS!$D$52:$D$58,MATCH(CL24,TABLAS!$B$52:$B$58,0))/CK24),DATOS!$C$144)))</f>
        <v/>
      </c>
      <c r="CN24" s="58" t="str">
        <f>IF(V24&lt;&gt;"SÍ","",IF(CM24&lt;=0,0,INDEX(TABLAS!$D$52:$D$58,MATCH(CL24,TABLAS!$B$52:$B$58,0))*100/CM24))</f>
        <v/>
      </c>
      <c r="CO24" s="58" t="str">
        <f>IF(V24&lt;&gt;"SÍ","",((W24-AF24-INDEX(TABLAS!$C$52:$C$58,MATCH(BR24,TABLAS!$B$52:$B$58,0))-INDEX(TABLAS!$C$52:$C$58,MATCH(CL24,TABLAS!$B$52:$B$58,0))/2)-IF(AND((W24-AF24-INDEX(TABLAS!$C$52:$C$58,MATCH(BR24,TABLAS!$B$52:$B$58,0))-INDEX(TABLAS!$C$52:$C$58,MATCH(CL24,TABLAS!$B$52:$B$58,0))/2)&lt;=20,DATOS!$C$65&lt;&gt;"SÍ"),2,0)))</f>
        <v/>
      </c>
      <c r="CP24" s="56" t="str">
        <f>IF(V24&lt;&gt;"SÍ","",IF(CN24=0,0,DATOS!$C$29*CN24*DATOS!$C$14*(CO24-CN24*DATOS!$C$14/(DATOS!$C$21*100)/2)/1E5))</f>
        <v/>
      </c>
      <c r="CQ24" s="65" t="str">
        <f>IF(V24&lt;&gt;"SÍ","",IF(CK24&lt;0,9.99,IF(CP24&gt;0,BA24/CP24,0)))</f>
        <v/>
      </c>
      <c r="CR24" s="66" t="str">
        <f>IF(V24&lt;&gt;"SÍ","",IF(CN24=0,"—",0.003*(CO24-(CN24*DATOS!$C$14/(DATOS!$C$21*100)/DATOS!$C$22))/(CN24*DATOS!$C$14/(DATOS!$C$21*100)/DATOS!$C$22)))</f>
        <v/>
      </c>
      <c r="CS24" s="56" t="str">
        <f>IF(V24&lt;&gt;"SÍ","",IF(C24="PERIMETRAL",MAX(0,(AC24/2-BU24)/100)*(0.95-0.5*AB24)*AK24*IF(AND(AL24&gt;0,AL24&lt;4),DATOS!$C$33,1)/1000,(AK24*MAX(0,AC24-BU24)/100+DATOS!$C$26*N(P24))/1000))</f>
        <v/>
      </c>
      <c r="CT24" s="66" t="str">
        <f>IF(V24&lt;&gt;"SÍ","",BT24/(100*BU24))</f>
        <v/>
      </c>
      <c r="CU24" s="56" t="str">
        <f>IF(V24&lt;&gt;"SÍ","",DATOS!$C$30*2*MIN(1,SQRT(2/(1+0.04*BU24)))*CT24^(1/3)*SQRT(DATOS!$C$13)*100*BU24/1000)</f>
        <v/>
      </c>
      <c r="CV24" s="67" t="str">
        <f>IF(V24&lt;&gt;"SÍ","",IF(CS24&lt;=CU24,"CUMPLE","NO CUMPLE: sube h"))</f>
        <v/>
      </c>
      <c r="CW24" s="58" t="str">
        <f>IF(V24&lt;&gt;"SÍ","",IF(C24="PERIMETRAL",IF(ISNUMBER(R24),R24,DATOS!$C$104),0))</f>
        <v/>
      </c>
      <c r="CX24" s="57" t="str">
        <f>IF(V24&lt;&gt;"SÍ","",IF(C24="PERIMETRAL",IF(CW24&gt;2,MAX(9,AD24*(0.8+DATOS!$C$14/14000)/(36+9*(AD24/MAX(AC24,1)))),IF(CW24&gt;0.2,MAX(13,AD24*(0.8+DATOS!$C$14/14000)/(36+5*(AD24/MAX(AC24,1))*(CW24-0.2))),MAX(13,AD24/IF(AL24&gt;0,30,33))))*IF(AND(CW24&gt;0.2,AL24&gt;0,DATOS!$C$105="NO"),1.1,1),Z24*100/DATOS!$C$145*(0.4+DATOS!$C$14/7000)))</f>
        <v/>
      </c>
      <c r="CY24" s="61" t="str">
        <f>IF(V24&lt;&gt;"SÍ","",IF(W24&gt;=CX24-0.001,"CUMPLE",IF(C24="VOLADO","NO CUMPLE","CALCULAR FLECHA")))</f>
        <v/>
      </c>
      <c r="CZ24" s="60" t="str">
        <f>IF(V24&lt;&gt;"SÍ","",IF(C24="VOLADO",MIN(FLOOR(IF(ISNUMBER(Q24),Q24,Z24)*100-DATOS!$C$63,5),CEILING(MAX(IF((0.5*(0.9*W24/100*DATOS!$C$16)*IF(ISNUMBER(Q24),Q24,Z24)+AY24/IF(ISNUMBER(Q24),Q24,Z24))^2-4*(0.5*(0.9*W24/100*DATOS!$C$16))*AY24&lt;0,IF(ISNUMBER(Q24),Q24,Z24),MIN(IF(ISNUMBER(Q24),Q24,Z24),((0.5*(0.9*W24/100*DATOS!$C$16)*IF(ISNUMBER(Q24),Q24,Z24)+AY24/IF(ISNUMBER(Q24),Q24,Z24))-SQRT((0.5*(0.9*W24/100*DATOS!$C$16)*IF(ISNUMBER(Q24),Q24,Z24)+AY24/IF(ISNUMBER(Q24),Q24,Z24))^2-4*(0.5*(0.9*W24/100*DATOS!$C$16))*AY24))/(2*(0.5*(0.9*W24/100*DATOS!$C$16)))))*100+MAX(BU24,12*INDEX(TABLAS!$C$52:$C$58,MATCH(BR24,TABLAS!$B$52:$B$58,0)),IF(ISNUMBER(Q24),Q24,Z24)*100/16),IF(OR(AF24&lt;INDEX(TABLAS!$C$52:$C$58,MATCH(BR24,TABLAS!$B$52:$B$58,0)),BS24-INDEX(TABLAS!$C$52:$C$58,MATCH(BR24,TABLAS!$B$52:$B$58,0))&lt;2*INDEX(TABLAS!$C$52:$C$58,MATCH(BR24,TABLAS!$B$52:$B$58,0))),INDEX(TABLAS!$I$52:$I$58,MATCH(BR24,TABLAS!$B$52:$B$58,0)),INDEX(TABLAS!$F$52:$F$58,MATCH(BR24,TABLAS!$B$52:$B$58,0)))),5)),IF(((4*((AV24*AK24*Z24^2*1E-4/1000)+((MAX(AR24,AT24)*AK24*Z24^2*1E-4/1000)+(IF(AND(AR24&gt;0,AT24&gt;0),MIN(AR24,AT24),MAX(AR24,AT24))*AK24*Z24^2*1E-4/1000))/2)+AY24-(IF(AND(AR24&gt;0,AT24&gt;0),MIN(AR24,AT24),MAX(AR24,AT24))*AK24*Z24^2*1E-4/1000))^2-16*((AV24*AK24*Z24^2*1E-4/1000)+((MAX(AR24,AT24)*AK24*Z24^2*1E-4/1000)+(IF(AND(AR24&gt;0,AT24&gt;0),MIN(AR24,AT24),MAX(AR24,AT24))*AK24*Z24^2*1E-4/1000))/2)*AY24)&lt;0,CEILING(AC24,5),CEILING(MAX(AC24*((4*((AV24*AK24*Z24^2*1E-4/1000)+((MAX(AR24,AT24)*AK24*Z24^2*1E-4/1000)+(IF(AND(AR24&gt;0,AT24&gt;0),MIN(AR24,AT24),MAX(AR24,AT24))*AK24*Z24^2*1E-4/1000))/2)+AY24-(IF(AND(AR24&gt;0,AT24&gt;0),MIN(AR24,AT24),MAX(AR24,AT24))*AK24*Z24^2*1E-4/1000))-SQRT(MAX(0,((4*((AV24*AK24*Z24^2*1E-4/1000)+((MAX(AR24,AT24)*AK24*Z24^2*1E-4/1000)+(IF(AND(AR24&gt;0,AT24&gt;0),MIN(AR24,AT24),MAX(AR24,AT24))*AK24*Z24^2*1E-4/1000))/2)+AY24-(IF(AND(AR24&gt;0,AT24&gt;0),MIN(AR24,AT24),MAX(AR24,AT24))*AK24*Z24^2*1E-4/1000))^2-16*((AV24*AK24*Z24^2*1E-4/1000)+((MAX(AR24,AT24)*AK24*Z24^2*1E-4/1000)+(IF(AND(AR24&gt;0,AT24&gt;0),MIN(AR24,AT24),MAX(AR24,AT24))*AK24*Z24^2*1E-4/1000))/2)*AY24))))/(8*MAX(((AV24*AK24*Z24^2*1E-4/1000)+((MAX(AR24,AT24)*AK24*Z24^2*1E-4/1000)+(IF(AND(AR24&gt;0,AT24&gt;0),MIN(AR24,AT24),MAX(AR24,AT24))*AK24*Z24^2*1E-4/1000))/2),1E-9))+MAX(BU24,12*INDEX(TABLAS!$C$52:$C$58,MATCH(BR24,TABLAS!$B$52:$B$58,0)),AC24/16),IF(OR(AF24&lt;INDEX(TABLAS!$C$52:$C$58,MATCH(BR24,TABLAS!$B$52:$B$58,0)),BS24-INDEX(TABLAS!$C$52:$C$58,MATCH(BR24,TABLAS!$B$52:$B$58,0))&lt;2*INDEX(TABLAS!$C$52:$C$58,MATCH(BR24,TABLAS!$B$52:$B$58,0))),INDEX(TABLAS!$I$52:$I$58,MATCH(BR24,TABLAS!$B$52:$B$58,0)),INDEX(TABLAS!$F$52:$F$58,MATCH(BR24,TABLAS!$B$52:$B$58,0)))),5))))</f>
        <v/>
      </c>
      <c r="DA24" s="60" t="str">
        <f>IF(V24&lt;&gt;"SÍ","",IF(C24="VOLADO",0,IF(((4*((AW24*AK24*Z24^2*1E-4/1000)+((MAX(AS24,AU24)*AK24*Z24^2*1E-4/1000)+(IF(AND(AS24&gt;0,AU24&gt;0),MIN(AS24,AU24),MAX(AS24,AU24))*AK24*Z24^2*1E-4/1000))/2)+BA24-(IF(AND(AS24&gt;0,AU24&gt;0),MIN(AS24,AU24),MAX(AS24,AU24))*AK24*Z24^2*1E-4/1000))^2-16*((AW24*AK24*Z24^2*1E-4/1000)+((MAX(AS24,AU24)*AK24*Z24^2*1E-4/1000)+(IF(AND(AS24&gt;0,AU24&gt;0),MIN(AS24,AU24),MAX(AS24,AU24))*AK24*Z24^2*1E-4/1000))/2)*BA24)&lt;0,CEILING(AD24,5),CEILING(MAX(AD24*((4*((AW24*AK24*Z24^2*1E-4/1000)+((MAX(AS24,AU24)*AK24*Z24^2*1E-4/1000)+(IF(AND(AS24&gt;0,AU24&gt;0),MIN(AS24,AU24),MAX(AS24,AU24))*AK24*Z24^2*1E-4/1000))/2)+BA24-(IF(AND(AS24&gt;0,AU24&gt;0),MIN(AS24,AU24),MAX(AS24,AU24))*AK24*Z24^2*1E-4/1000))-SQRT(MAX(0,((4*((AW24*AK24*Z24^2*1E-4/1000)+((MAX(AS24,AU24)*AK24*Z24^2*1E-4/1000)+(IF(AND(AS24&gt;0,AU24&gt;0),MIN(AS24,AU24),MAX(AS24,AU24))*AK24*Z24^2*1E-4/1000))/2)+BA24-(IF(AND(AS24&gt;0,AU24&gt;0),MIN(AS24,AU24),MAX(AS24,AU24))*AK24*Z24^2*1E-4/1000))^2-16*((AW24*AK24*Z24^2*1E-4/1000)+((MAX(AS24,AU24)*AK24*Z24^2*1E-4/1000)+(IF(AND(AS24&gt;0,AU24&gt;0),MIN(AS24,AU24),MAX(AS24,AU24))*AK24*Z24^2*1E-4/1000))/2)*BA24))))/(8*MAX(((AW24*AK24*Z24^2*1E-4/1000)+((MAX(AS24,AU24)*AK24*Z24^2*1E-4/1000)+(IF(AND(AS24&gt;0,AU24&gt;0),MIN(AS24,AU24),MAX(AS24,AU24))*AK24*Z24^2*1E-4/1000))/2),1E-9))+MAX(CO24,12*INDEX(TABLAS!$C$52:$C$58,MATCH(CL24,TABLAS!$B$52:$B$58,0)),AD24/16),IF(OR(AF24&lt;INDEX(TABLAS!$C$52:$C$58,MATCH(CL24,TABLAS!$B$52:$B$58,0)),CM24-INDEX(TABLAS!$C$52:$C$58,MATCH(CL24,TABLAS!$B$52:$B$58,0))&lt;2*INDEX(TABLAS!$C$52:$C$58,MATCH(CL24,TABLAS!$B$52:$B$58,0))),INDEX(TABLAS!$I$52:$I$58,MATCH(CL24,TABLAS!$B$52:$B$58,0)),INDEX(TABLAS!$F$52:$F$58,MATCH(CL24,TABLAS!$B$52:$B$58,0)))),5))))</f>
        <v/>
      </c>
      <c r="DB24" s="55" t="str">
        <f>IF(V24&lt;&gt;"SÍ","",IF(AND(C24="PERIMETRAL",AL24-AM24&gt;0,AT24&gt;0),"SÍ","NO"))</f>
        <v/>
      </c>
      <c r="DC24" s="55" t="str">
        <f>IF(V24&lt;&gt;"SÍ","",IF(AND(C24="PERIMETRAL",AM24&gt;0,AU24&gt;0),"SÍ","NO"))</f>
        <v/>
      </c>
      <c r="DD24" s="63" t="str">
        <f>IF(V24&lt;&gt;"SÍ","",IF(OR(C24="VOLADO",AL24=0),"—",IF(AND(AND(INDEX(TABLAS!$G$52:$G$58,MATCH(MAX(BR24,CL24),TABLAS!$B$52:$B$58,0))&lt;=(DATOS!$C$75-DATOS!$C$63),(DATOS!$C$75-DATOS!$C$63)&gt;=15),8*INDEX(TABLAS!$C$52:$C$58,MATCH(MAX(BH24,CB24,BR24,CL24),TABLAS!$B$52:$B$58,0))&lt;=DATOS!$C$76-2*DATOS!$C$63),"CUMPLE (gancho de 180°)",IF(AND(INDEX(TABLAS!$G$52:$G$58,MATCH(MAX(BR24,CL24),TABLAS!$B$52:$B$58,0))&lt;=(DATOS!$C$75-DATOS!$C$63),(DATOS!$C$75-DATOS!$C$63)&gt;=15),"NO CUMPLE: el gancho de 180° (8·d_b) no cabe en el peralte de la dala de borde","NO CUMPLE: dala de borde ≥ "&amp;TEXT(CEILING(MAX(INDEX(TABLAS!$G$52:$G$58,MATCH(MAX(BR24,CL24),TABLAS!$B$52:$B$58,0)),15)+DATOS!$C$63,5),"0")&amp;" cm de ancho"&amp;IF(8*INDEX(TABLAS!$C$52:$C$58,MATCH(MAX(BH24,CB24,BR24,CL24),TABLAS!$B$52:$B$58,0))&lt;=DATOS!$C$76-2*DATOS!$C$63,""," y más peralte para el gancho")))))</f>
        <v/>
      </c>
      <c r="DE24" s="69" t="str">
        <f>IF(V24&lt;&gt;"SÍ","",IF(BI24=0,"NO ALCANZA","No. "&amp;BH24&amp;" @ "&amp;BI24&amp;" cm"&amp;IF(C24="VOLADO"," (temperatura)","")))</f>
        <v/>
      </c>
      <c r="DF24" s="69" t="str">
        <f>IF(V24&lt;&gt;"SÍ","",IF(BS24=0,"NO ALCANZA",IF(C24="VOLADO","No. "&amp;BR24&amp;" @ "&amp;BS24&amp;" cm"&amp;" de la orilla al respaldo ("&amp;IF(CZ24&gt;=FLOOR(100*IF(ISNUMBER(Q24),Q24,Z24)-DATOS!$C$63,5),"hasta su apoyo lejano, con gancho","entran "&amp;TEXT(CZ24/100,"0.00")&amp;" m desde el paño")&amp;")","Bastones "&amp;"No. "&amp;BR24&amp;" @ "&amp;BS24&amp;" cm"&amp;", L = "&amp;TEXT(CZ24/100,"0.00")&amp;" m desde el paño")))</f>
        <v/>
      </c>
      <c r="DG24" s="69" t="str">
        <f>IF(V24&lt;&gt;"SÍ","",IF(CC24=0,"NO ALCANZA","No. "&amp;CB24&amp;" @ "&amp;CC24&amp;" cm"&amp;IF(C24="VOLADO"," (repartición)","")))</f>
        <v/>
      </c>
      <c r="DH24" s="69" t="str">
        <f>IF(V24&lt;&gt;"SÍ","",IF(CM24=0,"NO ALCANZA",IF(C24="VOLADO","No. "&amp;CL24&amp;" @ "&amp;CM24&amp;" cm"&amp;" (repartición)","Bastones "&amp;"No. "&amp;CL24&amp;" @ "&amp;CM24&amp;" cm"&amp;", L = "&amp;TEXT(DA24/100,"0.00")&amp;" m desde el paño")))</f>
        <v/>
      </c>
      <c r="DI24" s="67" t="str">
        <f>IF(B24="","",IF(V24&lt;&gt;"SÍ","FALTAN DATOS: tipo, a_x, a_y, destino y, en volados, L_b",IF(L24="NO MONOLÍTICO (caso II)","FUERA DE ALCANCE: caso II no transcrito",IF(AND(C24="VOLADO",X24="?"),"REVISAR: el volado lleva UN solo borde CONTINUO (el empotrado)",IF(AND(MAX(BM24,BW24,CG24,CQ24)&lt;=1,NOT(OR(BI24&lt;DATOS!$C$143,BS24&lt;DATOS!$C$143,CC24&lt;DATOS!$C$143,CM24&lt;DATOS!$C$143)),NOT(OR(AND(ISNUMBER(BN24),BN24&lt;0.005),AND(ISNUMBER(BX24),BX24&lt;0.005),AND(ISNUMBER(CH24),CH24&lt;0.005),AND(ISNUMBER(CR24),CR24&lt;0.005))),CV24="CUMPLE",CY24="CUMPLE"),"CUMPLE"&amp;IF(LEFT(BB24,5)="FUERA"," · fuera de 3.4.2.1 c)","")&amp;IF(LEFT(DD24,2)="NO"," · REVISAR anclaje en borde discontinuo",""),IF(AND(MAX(BM24,BW24,CG24,CQ24)&lt;=1,NOT(OR(BI24&lt;DATOS!$C$143,BS24&lt;DATOS!$C$143,CC24&lt;DATOS!$C$143,CM24&lt;DATOS!$C$143)),NOT(OR(AND(ISNUMBER(BN24),BN24&lt;0.005),AND(ISNUMBER(BX24),BX24&lt;0.005),AND(ISNUMBER(CH24),CH24&lt;0.005),AND(ISNUMBER(CR24),CR24&lt;0.005))),CV24="CUMPLE",CY24="CALCULAR FLECHA"),"REVISAR: calcular flecha (h &lt; h mín.)"&amp;IF(LEFT(BB24,5)="FUERA"," · fuera de 3.4.2.1 c)","")&amp;IF(LEFT(DD24,2)="NO"," · REVISAR anclaje en borde discontinuo",""),"NO CUMPLE: "&amp;IF(MAX(BM24,BW24,CG24,CQ24)&gt;1,"flexión ","")&amp;IF(OR(BI24&lt;DATOS!$C$143,BS24&lt;DATOS!$C$143,CC24&lt;DATOS!$C$143,CM24&lt;DATOS!$C$143),"separación &lt; mínima ","")&amp;IF(OR(AND(ISNUMBER(BN24),BN24&lt;0.005),AND(ISNUMBER(BX24),BX24&lt;0.005),AND(ISNUMBER(CH24),CH24&lt;0.005),AND(ISNUMBER(CR24),CR24&lt;0.005)),"ε_t &lt; 0.005 ","")&amp;IF(CV24&lt;&gt;"CUMPLE","cortante ","")&amp;IF(CY24="NO CUMPLE","peralte","")))))))</f>
        <v/>
      </c>
      <c r="DJ24" s="70" t="str">
        <f>IF(V24&lt;&gt;"SÍ","",IF(LEFT(B24,7)="EJEMPLO","EJEMPLO de tablero típico: bórralo o sobrescríbelo. ","")&amp;IF(C24="VOLADO","Volado de "&amp;TEXT(Z24,"0.00")&amp;" m empotrado en el borde "&amp;LOWER(X24)&amp;IF(N(P24)&gt;0,", con "&amp;TEXT(P24,"0.0")&amp;" kg/m en la orilla","")&amp;". Lecho inferior con r_ext. Si la orilla carga pretil u otro elemento frágil, calcula la flecha (13.4). El acero superior entra al respaldo de "&amp;TEXT(IF(ISNUMBER(Q24),Q24,Z24),"0.00")&amp;" m"&amp;" hasta pasar M = 0 con 0.9·PP sin carga viva; si ahí no se anula, llega al apoyo lejano y se ancla con gancho. ","")&amp;IF(AND(C24="VOLADO",(0.9*W24/100*DATOS!$C$16*IF(ISNUMBER(Q24),Q24,Z24)/2-AY24/IF(ISNUMBER(Q24),Q24,Z24))&lt;0),"Con 0.9·PP y sin carga viva el apoyo lejano del respaldo levanta (R = "&amp;TEXT(-(0.9*W24/100*DATOS!$C$16*IF(ISNUMBER(Q24),Q24,Z24)/2-AY24/IF(ISNUMBER(Q24),Q24,Z24)),"0.00")&amp;" t/m): ancla ahí el acero con gancho y revisa ese apoyo a tensión. ","")&amp;IF(LEFT(BB24,5)="FUERA","El M⁻ del vecino difiere más de 50 % (3.4.2.1 c): distribuye el desequilibrio (3.4.3.1) o confirma con un modelo; se arma con el mayor. ","")&amp;IF(OR(DB24="SÍ",DC24="SÍ"),"Bastones también en los bordes discontinuos (M⁻ de tabla), con gancho. ","")&amp;IF(LEFT(DD24,2)="NO","Anclaje: "&amp;DD24&amp;" (6.7.7.4.1.1). ","")&amp;IF(AND(C24="PERIMETRAL",AM24&gt;=1,AL24-AM24&gt;=1),"Esquinas exteriores sobre muro: refuerzo de esquina arriba y abajo en L_largo/5 (6.7.7.3.1). ",""))</f>
        <v/>
      </c>
    </row>
    <row r="25" ht="33" customHeight="1">
      <c r="A25" s="50">
        <f>IF(B25="",0,1)+A24</f>
        <v>3</v>
      </c>
      <c r="B25" s="29" t="n"/>
      <c r="C25" s="51" t="n"/>
      <c r="D25" s="29" t="n"/>
      <c r="E25" s="52" t="n"/>
      <c r="F25" s="52" t="n"/>
      <c r="G25" s="51" t="n"/>
      <c r="H25" s="51" t="n"/>
      <c r="I25" s="51" t="n"/>
      <c r="J25" s="51" t="n"/>
      <c r="K25" s="51" t="n"/>
      <c r="L25" s="51" t="n"/>
      <c r="M25" s="54" t="n"/>
      <c r="N25" s="53" t="n"/>
      <c r="O25" s="53" t="n"/>
      <c r="P25" s="54" t="n"/>
      <c r="Q25" s="52" t="n"/>
      <c r="R25" s="54" t="n"/>
      <c r="S25" s="53" t="n"/>
      <c r="T25" s="52" t="n"/>
      <c r="U25" s="52" t="n"/>
      <c r="V25" s="55" t="str">
        <f>IF(B25="","",IF(AND(OR(C25="PERIMETRAL",C25="VOLADO"),ISNUMBER(E25),ISNUMBER(F25),E25&gt;0,F25&gt;0,OR(ISNUMBER(O25),ISNUMBER(MATCH(D25,DATOS!$B$46:$B$58,0))),OR(C25&lt;&gt;"VOLADO",N(Q25)&gt;0)),"SÍ","NO"))</f>
        <v/>
      </c>
      <c r="W25" s="57" t="str">
        <f>IF(V25&lt;&gt;"SÍ","",IF(ISNUMBER(M25),M25,DATOS!$C$137))</f>
        <v/>
      </c>
      <c r="X25" s="55" t="str">
        <f>IF(V25&lt;&gt;"SÍ","",IF(C25&lt;&gt;"VOLADO","—",IF(COUNTIF(G25:J25,"CONTINUO")&lt;&gt;1,"?",IF(G25="CONTINUO","INFERIOR",IF(H25="CONTINUO","SUPERIOR",IF(I25="CONTINUO","IZQUIERDO","DERECHO"))))))</f>
        <v/>
      </c>
      <c r="Y25" s="55" t="str">
        <f>IF(V25&lt;&gt;"SÍ","",IF(C25="VOLADO",IF(OR(X25="IZQUIERDO",X25="DERECHO"),"X","Y"),IF(E25&lt;=F25,"X","Y")))</f>
        <v/>
      </c>
      <c r="Z25" s="56" t="str">
        <f>IF(V25&lt;&gt;"SÍ","",IF(C25="VOLADO",IF(Y25="X",E25,F25),MIN(E25,F25)))</f>
        <v/>
      </c>
      <c r="AA25" s="56" t="str">
        <f>IF(V25&lt;&gt;"SÍ","",IF(C25="VOLADO",IF(Y25="X",F25,E25),MAX(E25,F25)))</f>
        <v/>
      </c>
      <c r="AB25" s="56" t="str">
        <f>IF(V25&lt;&gt;"SÍ","",MIN(Z25,AA25)/MAX(Z25,AA25))</f>
        <v/>
      </c>
      <c r="AC25" s="57" t="str">
        <f>IF(V25&lt;&gt;"SÍ","",MAX(1,Z25*100-IF(C25="VOLADO",DATOS!$C$87/2,DATOS!$C$87)))</f>
        <v/>
      </c>
      <c r="AD25" s="57" t="str">
        <f>IF(V25&lt;&gt;"SÍ","",MAX(1,AA25*100-DATOS!$C$87))</f>
        <v/>
      </c>
      <c r="AE25" s="57" t="str">
        <f>IF(V25&lt;&gt;"SÍ","",IF(C25="VOLADO",DATOS!$C$64,DATOS!$C$62))</f>
        <v/>
      </c>
      <c r="AF25" s="57" t="str">
        <f>IF(V25&lt;&gt;"SÍ","",IF(OR(AND(AG25="SÍ",DATOS!$C$66="SÍ"),AND(C25="VOLADO",DATOS!$C$67="SÍ")),DATOS!$C$64,DATOS!$C$62))</f>
        <v/>
      </c>
      <c r="AG25" s="55" t="str">
        <f>IF(V25&lt;&gt;"SÍ","",IFERROR(INDEX(DATOS!$D$46:$D$58,MATCH(D25,DATOS!$B$46:$B$58,0)),"NO"))</f>
        <v/>
      </c>
      <c r="AH25" s="59" t="str">
        <f>IF(V25&lt;&gt;"SÍ","",IF(ISNUMBER(O25),O25,IFERROR(INDEX(DATOS!$C$46:$C$58,MATCH(D25,DATOS!$B$46:$B$58,0)),0)))</f>
        <v/>
      </c>
      <c r="AI25" s="59" t="str">
        <f>IF(V25&lt;&gt;"SÍ","",W25/100*DATOS!$C$16*1000+DATOS!$C$37+DATOS!$C$38)</f>
        <v/>
      </c>
      <c r="AJ25" s="59" t="str">
        <f>IF(V25&lt;&gt;"SÍ","",AI25+N(N25))</f>
        <v/>
      </c>
      <c r="AK25" s="60" t="str">
        <f>IF(V25&lt;&gt;"SÍ","",MAX(DATOS!$C$26*AJ25+DATOS!$C$27*AH25,IF(AG25="SÍ",DATOS!$C$28*(AJ25+DATOS!$C$41),0)))</f>
        <v/>
      </c>
      <c r="AL25" s="59" t="str">
        <f>IF(V25&lt;&gt;"SÍ","",(G25="DISCONTINUO")+(H25="DISCONTINUO")+(I25="DISCONTINUO")+(J25="DISCONTINUO"))</f>
        <v/>
      </c>
      <c r="AM25" s="59" t="str">
        <f>IF(V25&lt;&gt;"SÍ","",IF(Y25="X",(G25="DISCONTINUO")+(H25="DISCONTINUO"),(I25="DISCONTINUO")+(J25="DISCONTINUO")))</f>
        <v/>
      </c>
      <c r="AN25" s="55" t="str">
        <f>IF(V25&lt;&gt;"SÍ","",IF(AL25=0,"INTERIOR",IF(AL25=1,IF(AM25=1,"BORDE-CORTO","BORDE-LARGO"),IF(AL25=2,IF(AM25=1,"ESQUINA",IF(AM25=2,"EXTREMO-LARGO","EXTREMO-CORTO")),IF(AL25=3,IF(AM25=2,"EXTREMO-LARGO","EXTREMO-CORTO"),"AISLADO")))))</f>
        <v/>
      </c>
      <c r="AO25" s="61" t="str">
        <f>IF(V25&lt;&gt;"SÍ","",IF(OR(K25="",K25="AUTO"),AN25,K25))</f>
        <v/>
      </c>
      <c r="AP25" s="59" t="str">
        <f>IF(V25&lt;&gt;"SÍ","",MATCH(AB25,TABLAS!$D$5:$J$5,1))</f>
        <v/>
      </c>
      <c r="AQ25" s="58" t="str">
        <f>IF(V25&lt;&gt;"SÍ","",IF(AP25&gt;=7,0,(AB25-INDEX(TABLAS!$D$5:$J$5,AP25))/(INDEX(TABLAS!$D$5:$J$5,AP25+1)-INDEX(TABLAS!$D$5:$J$5,AP25))))</f>
        <v/>
      </c>
      <c r="AR25" s="59" t="str">
        <f>IF(V25&lt;&gt;"SÍ","",INDEX(TABLAS!$D$6:$J$47,MATCH(AO25&amp;"|NIC",TABLAS!$B$6:$B$47,0),AP25)+AQ25*(INDEX(TABLAS!$D$6:$J$47,MATCH(AO25&amp;"|NIC",TABLAS!$B$6:$B$47,0),MIN(AP25+1,7))-INDEX(TABLAS!$D$6:$J$47,MATCH(AO25&amp;"|NIC",TABLAS!$B$6:$B$47,0),AP25)))</f>
        <v/>
      </c>
      <c r="AS25" s="59" t="str">
        <f>IF(V25&lt;&gt;"SÍ","",INDEX(TABLAS!$D$6:$J$47,MATCH(AO25&amp;"|NIL",TABLAS!$B$6:$B$47,0),AP25)+AQ25*(INDEX(TABLAS!$D$6:$J$47,MATCH(AO25&amp;"|NIL",TABLAS!$B$6:$B$47,0),MIN(AP25+1,7))-INDEX(TABLAS!$D$6:$J$47,MATCH(AO25&amp;"|NIL",TABLAS!$B$6:$B$47,0),AP25)))</f>
        <v/>
      </c>
      <c r="AT25" s="59" t="str">
        <f>IF(V25&lt;&gt;"SÍ","",INDEX(TABLAS!$D$6:$J$47,MATCH(AO25&amp;"|NDC",TABLAS!$B$6:$B$47,0),AP25)+AQ25*(INDEX(TABLAS!$D$6:$J$47,MATCH(AO25&amp;"|NDC",TABLAS!$B$6:$B$47,0),MIN(AP25+1,7))-INDEX(TABLAS!$D$6:$J$47,MATCH(AO25&amp;"|NDC",TABLAS!$B$6:$B$47,0),AP25)))</f>
        <v/>
      </c>
      <c r="AU25" s="59" t="str">
        <f>IF(V25&lt;&gt;"SÍ","",INDEX(TABLAS!$D$6:$J$47,MATCH(AO25&amp;"|NDL",TABLAS!$B$6:$B$47,0),AP25)+AQ25*(INDEX(TABLAS!$D$6:$J$47,MATCH(AO25&amp;"|NDL",TABLAS!$B$6:$B$47,0),MIN(AP25+1,7))-INDEX(TABLAS!$D$6:$J$47,MATCH(AO25&amp;"|NDL",TABLAS!$B$6:$B$47,0),AP25)))</f>
        <v/>
      </c>
      <c r="AV25" s="59" t="str">
        <f>IF(V25&lt;&gt;"SÍ","",INDEX(TABLAS!$D$6:$J$47,MATCH(AO25&amp;"|PC",TABLAS!$B$6:$B$47,0),AP25)+AQ25*(INDEX(TABLAS!$D$6:$J$47,MATCH(AO25&amp;"|PC",TABLAS!$B$6:$B$47,0),MIN(AP25+1,7))-INDEX(TABLAS!$D$6:$J$47,MATCH(AO25&amp;"|PC",TABLAS!$B$6:$B$47,0),AP25)))</f>
        <v/>
      </c>
      <c r="AW25" s="59" t="str">
        <f>IF(V25&lt;&gt;"SÍ","",INDEX(TABLAS!$D$6:$J$47,MATCH(AO25&amp;"|PL",TABLAS!$B$6:$B$47,0),AP25)+AQ25*(INDEX(TABLAS!$D$6:$J$47,MATCH(AO25&amp;"|PL",TABLAS!$B$6:$B$47,0),MIN(AP25+1,7))-INDEX(TABLAS!$D$6:$J$47,MATCH(AO25&amp;"|PL",TABLAS!$B$6:$B$47,0),AP25)))</f>
        <v/>
      </c>
      <c r="AX25" s="56" t="str">
        <f>IF(V25&lt;&gt;"SÍ","",IF(C25="PERIMETRAL",AV25*AK25*Z25^2*1E-4/1000,0))</f>
        <v/>
      </c>
      <c r="AY25" s="62" t="str">
        <f>IF(V25&lt;&gt;"SÍ","",IF(C25="PERIMETRAL",MAX(MAX(AR25,AT25)*AK25*Z25^2*1E-4/1000,N(T25)),(AK25*(AC25/100)^2/2+DATOS!$C$26*N(P25)*AC25/100)/1000))</f>
        <v/>
      </c>
      <c r="AZ25" s="56" t="str">
        <f>IF(V25&lt;&gt;"SÍ","",IF(C25="PERIMETRAL",AW25*AK25*Z25^2*1E-4/1000,0))</f>
        <v/>
      </c>
      <c r="BA25" s="56" t="str">
        <f>IF(V25&lt;&gt;"SÍ","",IF(C25="PERIMETRAL",MAX(MAX(AS25,AU25)*AK25*Z25^2*1E-4/1000,N(U25)),0))</f>
        <v/>
      </c>
      <c r="BB25" s="63" t="str">
        <f>IF(V25&lt;&gt;"SÍ","",IF(C25&lt;&gt;"PERIMETRAL","—",IF(AND(N(T25)=0,N(U25)=0),"— (sin M⁻ del vecino)",IF(OR(AND(N(T25)&gt;0,ABS(MAX(AR25,AT25)*AK25*Z25^2*1E-4/1000-N(T25))&gt;0.5*MIN(MAX(AR25,AT25)*AK25*Z25^2*1E-4/1000,N(T25))),AND(N(U25)&gt;0,ABS(MAX(AS25,AU25)*AK25*Z25^2*1E-4/1000-N(U25))&gt;0.5*MIN(MAX(AS25,AU25)*AK25*Z25^2*1E-4/1000,N(U25)))),"FUERA: difieren &gt; 50 %"&amp;IF(AND(N(T25)&gt;0,ABS(MAX(AR25,AT25)*AK25*Z25^2*1E-4/1000-N(T25))&gt;0.5*MIN(MAX(AR25,AT25)*AK25*Z25^2*1E-4/1000,N(T25)))," ‖ corto","")&amp;IF(AND(N(U25)&gt;0,ABS(MAX(AS25,AU25)*AK25*Z25^2*1E-4/1000-N(U25))&gt;0.5*MIN(MAX(AS25,AU25)*AK25*Z25^2*1E-4/1000,N(U25)))," ‖ largo",""),"CUMPLE"))))</f>
        <v/>
      </c>
      <c r="BC25" s="58" t="str">
        <f>IF(V25&lt;&gt;"SÍ","",DATOS!$C$139*100*W25)</f>
        <v/>
      </c>
      <c r="BD25" s="57" t="str">
        <f>IF(V25&lt;&gt;"SÍ","",MIN(IF(C25="VOLADO",DATOS!$C$141,DATOS!$C$140)*W25,DATOS!$C$142))</f>
        <v/>
      </c>
      <c r="BE25" s="58" t="str">
        <f>IF(V25&lt;&gt;"SÍ","",(W25-AE25-INDEX(TABLAS!$C$52:$C$58,MATCH(IF(ISNUMBER(S25),S25,DATOS!$C$138),TABLAS!$B$52:$B$58,0))/2))</f>
        <v/>
      </c>
      <c r="BF25" s="58" t="str">
        <f>IF(V25&lt;&gt;"SÍ","",IF(AX25&lt;=0,0,IF((1-2*AX25*1E5/(DATOS!$C$29*100*BE25^2*DATOS!$C$21))&lt;0,-1,IF((1-SQRT((1-2*AX25*1E5/(DATOS!$C$29*100*BE25^2*DATOS!$C$21))))*DATOS!$C$21*100*BE25/DATOS!$C$14&gt;DATOS!$C$102*100*BE25,-1,(1-SQRT((1-2*AX25*1E5/(DATOS!$C$29*100*BE25^2*DATOS!$C$21))))*DATOS!$C$21*100*BE25/DATOS!$C$14))))</f>
        <v/>
      </c>
      <c r="BG25" s="58" t="str">
        <f>IF(V25&lt;&gt;"SÍ","",IF(BF25&lt;0,-1,MAX(BF25,BC25)))</f>
        <v/>
      </c>
      <c r="BH25" s="64" t="str">
        <f>IF(V25&lt;&gt;"SÍ","",IF(AND(BG25&gt;0,FLOOR(MIN(BD25,100*INDEX(TABLAS!$D$52:$D$58,MIN(MATCH(IF(ISNUMBER(S25),S25,DATOS!$C$138),TABLAS!$B$52:$B$58,0)+0,7))/MAX(BG25,0.0001)),DATOS!$C$144)&gt;=DATOS!$C$143),INDEX(TABLAS!$B$52:$B$58,MIN(MATCH(IF(ISNUMBER(S25),S25,DATOS!$C$138),TABLAS!$B$52:$B$58,0)+0,7)),IF(AND(BG25&gt;0,FLOOR(MIN(BD25,100*INDEX(TABLAS!$D$52:$D$58,MIN(MATCH(IF(ISNUMBER(S25),S25,DATOS!$C$138),TABLAS!$B$52:$B$58,0)+1,7))/MAX(BG25,0.0001)),DATOS!$C$144)&gt;=DATOS!$C$143),INDEX(TABLAS!$B$52:$B$58,MIN(MATCH(IF(ISNUMBER(S25),S25,DATOS!$C$138),TABLAS!$B$52:$B$58,0)+1,7)),IF(AND(BG25&gt;0,FLOOR(MIN(BD25,100*INDEX(TABLAS!$D$52:$D$58,MIN(MATCH(IF(ISNUMBER(S25),S25,DATOS!$C$138),TABLAS!$B$52:$B$58,0)+2,7))/MAX(BG25,0.0001)),DATOS!$C$144)&gt;=DATOS!$C$143),INDEX(TABLAS!$B$52:$B$58,MIN(MATCH(IF(ISNUMBER(S25),S25,DATOS!$C$138),TABLAS!$B$52:$B$58,0)+2,7)),IF(AND(BG25&gt;0,FLOOR(MIN(BD25,100*INDEX(TABLAS!$D$52:$D$58,MIN(MATCH(IF(ISNUMBER(S25),S25,DATOS!$C$138),TABLAS!$B$52:$B$58,0)+3,7))/MAX(BG25,0.0001)),DATOS!$C$144)&gt;=DATOS!$C$143),INDEX(TABLAS!$B$52:$B$58,MIN(MATCH(IF(ISNUMBER(S25),S25,DATOS!$C$138),TABLAS!$B$52:$B$58,0)+3,7)),IF(AND(BG25&gt;0,FLOOR(MIN(BD25,100*INDEX(TABLAS!$D$52:$D$58,MIN(MATCH(IF(ISNUMBER(S25),S25,DATOS!$C$138),TABLAS!$B$52:$B$58,0)+4,7))/MAX(BG25,0.0001)),DATOS!$C$144)&gt;=DATOS!$C$143),INDEX(TABLAS!$B$52:$B$58,MIN(MATCH(IF(ISNUMBER(S25),S25,DATOS!$C$138),TABLAS!$B$52:$B$58,0)+4,7)),INDEX(TABLAS!$B$52:$B$58,7)))))))</f>
        <v/>
      </c>
      <c r="BI25" s="71" t="str">
        <f>IF(V25&lt;&gt;"SÍ","",IF(BG25&lt;=0,0,FLOOR(MIN(BD25,100*INDEX(TABLAS!$D$52:$D$58,MATCH(BH25,TABLAS!$B$52:$B$58,0))/BG25),DATOS!$C$144)))</f>
        <v/>
      </c>
      <c r="BJ25" s="58" t="str">
        <f>IF(V25&lt;&gt;"SÍ","",IF(BI25&lt;=0,0,INDEX(TABLAS!$D$52:$D$58,MATCH(BH25,TABLAS!$B$52:$B$58,0))*100/BI25))</f>
        <v/>
      </c>
      <c r="BK25" s="58" t="str">
        <f>IF(V25&lt;&gt;"SÍ","",W25-AE25-INDEX(TABLAS!$C$52:$C$58,MATCH(BH25,TABLAS!$B$52:$B$58,0))/2)</f>
        <v/>
      </c>
      <c r="BL25" s="56" t="str">
        <f>IF(V25&lt;&gt;"SÍ","",IF(BJ25=0,0,DATOS!$C$29*BJ25*DATOS!$C$14*(BK25-BJ25*DATOS!$C$14/(DATOS!$C$21*100)/2)/1E5))</f>
        <v/>
      </c>
      <c r="BM25" s="65" t="str">
        <f>IF(V25&lt;&gt;"SÍ","",IF(BG25&lt;0,9.99,IF(BL25&gt;0,AX25/BL25,0)))</f>
        <v/>
      </c>
      <c r="BN25" s="66" t="str">
        <f>IF(V25&lt;&gt;"SÍ","",IF(BJ25=0,"—",0.003*(BK25-(BJ25*DATOS!$C$14/(DATOS!$C$21*100)/DATOS!$C$22))/(BJ25*DATOS!$C$14/(DATOS!$C$21*100)/DATOS!$C$22)))</f>
        <v/>
      </c>
      <c r="BO25" s="58" t="str">
        <f>IF(V25&lt;&gt;"SÍ","",((W25-AF25-INDEX(TABLAS!$C$52:$C$58,MATCH(IF(ISNUMBER(S25),S25,DATOS!$C$138),TABLAS!$B$52:$B$58,0))/2)-IF(AND((W25-AF25-INDEX(TABLAS!$C$52:$C$58,MATCH(IF(ISNUMBER(S25),S25,DATOS!$C$138),TABLAS!$B$52:$B$58,0))/2)&lt;=20,DATOS!$C$65&lt;&gt;"SÍ"),2,0)))</f>
        <v/>
      </c>
      <c r="BP25" s="58" t="str">
        <f>IF(V25&lt;&gt;"SÍ","",IF(AY25&lt;=0,0,IF((1-2*AY25*1E5/(DATOS!$C$29*100*BO25^2*DATOS!$C$21))&lt;0,-1,IF((1-SQRT((1-2*AY25*1E5/(DATOS!$C$29*100*BO25^2*DATOS!$C$21))))*DATOS!$C$21*100*BO25/DATOS!$C$14&gt;DATOS!$C$102*100*BO25,-1,(1-SQRT((1-2*AY25*1E5/(DATOS!$C$29*100*BO25^2*DATOS!$C$21))))*DATOS!$C$21*100*BO25/DATOS!$C$14))))</f>
        <v/>
      </c>
      <c r="BQ25" s="58" t="str">
        <f>IF(V25&lt;&gt;"SÍ","",IF(BP25&lt;0,-1,MAX(BP25,BC25)))</f>
        <v/>
      </c>
      <c r="BR25" s="64" t="str">
        <f>IF(V25&lt;&gt;"SÍ","",IF(AND(BQ25&gt;0,FLOOR(MIN(BD25,100*INDEX(TABLAS!$D$52:$D$58,MIN(MATCH(IF(ISNUMBER(S25),S25,DATOS!$C$138),TABLAS!$B$52:$B$58,0)+0,7))/MAX(BQ25,0.0001)),DATOS!$C$144)&gt;=DATOS!$C$143),INDEX(TABLAS!$B$52:$B$58,MIN(MATCH(IF(ISNUMBER(S25),S25,DATOS!$C$138),TABLAS!$B$52:$B$58,0)+0,7)),IF(AND(BQ25&gt;0,FLOOR(MIN(BD25,100*INDEX(TABLAS!$D$52:$D$58,MIN(MATCH(IF(ISNUMBER(S25),S25,DATOS!$C$138),TABLAS!$B$52:$B$58,0)+1,7))/MAX(BQ25,0.0001)),DATOS!$C$144)&gt;=DATOS!$C$143),INDEX(TABLAS!$B$52:$B$58,MIN(MATCH(IF(ISNUMBER(S25),S25,DATOS!$C$138),TABLAS!$B$52:$B$58,0)+1,7)),IF(AND(BQ25&gt;0,FLOOR(MIN(BD25,100*INDEX(TABLAS!$D$52:$D$58,MIN(MATCH(IF(ISNUMBER(S25),S25,DATOS!$C$138),TABLAS!$B$52:$B$58,0)+2,7))/MAX(BQ25,0.0001)),DATOS!$C$144)&gt;=DATOS!$C$143),INDEX(TABLAS!$B$52:$B$58,MIN(MATCH(IF(ISNUMBER(S25),S25,DATOS!$C$138),TABLAS!$B$52:$B$58,0)+2,7)),IF(AND(BQ25&gt;0,FLOOR(MIN(BD25,100*INDEX(TABLAS!$D$52:$D$58,MIN(MATCH(IF(ISNUMBER(S25),S25,DATOS!$C$138),TABLAS!$B$52:$B$58,0)+3,7))/MAX(BQ25,0.0001)),DATOS!$C$144)&gt;=DATOS!$C$143),INDEX(TABLAS!$B$52:$B$58,MIN(MATCH(IF(ISNUMBER(S25),S25,DATOS!$C$138),TABLAS!$B$52:$B$58,0)+3,7)),IF(AND(BQ25&gt;0,FLOOR(MIN(BD25,100*INDEX(TABLAS!$D$52:$D$58,MIN(MATCH(IF(ISNUMBER(S25),S25,DATOS!$C$138),TABLAS!$B$52:$B$58,0)+4,7))/MAX(BQ25,0.0001)),DATOS!$C$144)&gt;=DATOS!$C$143),INDEX(TABLAS!$B$52:$B$58,MIN(MATCH(IF(ISNUMBER(S25),S25,DATOS!$C$138),TABLAS!$B$52:$B$58,0)+4,7)),INDEX(TABLAS!$B$52:$B$58,7)))))))</f>
        <v/>
      </c>
      <c r="BS25" s="71" t="str">
        <f>IF(V25&lt;&gt;"SÍ","",IF(BQ25&lt;=0,0,FLOOR(MIN(BD25,100*INDEX(TABLAS!$D$52:$D$58,MATCH(BR25,TABLAS!$B$52:$B$58,0))/BQ25),DATOS!$C$144)))</f>
        <v/>
      </c>
      <c r="BT25" s="58" t="str">
        <f>IF(V25&lt;&gt;"SÍ","",IF(BS25&lt;=0,0,INDEX(TABLAS!$D$52:$D$58,MATCH(BR25,TABLAS!$B$52:$B$58,0))*100/BS25))</f>
        <v/>
      </c>
      <c r="BU25" s="58" t="str">
        <f>IF(V25&lt;&gt;"SÍ","",((W25-AF25-INDEX(TABLAS!$C$52:$C$58,MATCH(BR25,TABLAS!$B$52:$B$58,0))/2)-IF(AND((W25-AF25-INDEX(TABLAS!$C$52:$C$58,MATCH(BR25,TABLAS!$B$52:$B$58,0))/2)&lt;=20,DATOS!$C$65&lt;&gt;"SÍ"),2,0)))</f>
        <v/>
      </c>
      <c r="BV25" s="56" t="str">
        <f>IF(V25&lt;&gt;"SÍ","",IF(BT25=0,0,DATOS!$C$29*BT25*DATOS!$C$14*(BU25-BT25*DATOS!$C$14/(DATOS!$C$21*100)/2)/1E5))</f>
        <v/>
      </c>
      <c r="BW25" s="65" t="str">
        <f>IF(V25&lt;&gt;"SÍ","",IF(BQ25&lt;0,9.99,IF(BV25&gt;0,AY25/BV25,0)))</f>
        <v/>
      </c>
      <c r="BX25" s="66" t="str">
        <f>IF(V25&lt;&gt;"SÍ","",IF(BT25=0,"—",0.003*(BU25-(BT25*DATOS!$C$14/(DATOS!$C$21*100)/DATOS!$C$22))/(BT25*DATOS!$C$14/(DATOS!$C$21*100)/DATOS!$C$22)))</f>
        <v/>
      </c>
      <c r="BY25" s="58" t="str">
        <f>IF(V25&lt;&gt;"SÍ","",(W25-AE25-1.5*INDEX(TABLAS!$C$52:$C$58,MATCH(IF(ISNUMBER(S25),S25,DATOS!$C$138),TABLAS!$B$52:$B$58,0))))</f>
        <v/>
      </c>
      <c r="BZ25" s="58" t="str">
        <f>IF(V25&lt;&gt;"SÍ","",IF(AZ25&lt;=0,0,IF((1-2*AZ25*1E5/(DATOS!$C$29*100*BY25^2*DATOS!$C$21))&lt;0,-1,IF((1-SQRT((1-2*AZ25*1E5/(DATOS!$C$29*100*BY25^2*DATOS!$C$21))))*DATOS!$C$21*100*BY25/DATOS!$C$14&gt;DATOS!$C$102*100*BY25,-1,(1-SQRT((1-2*AZ25*1E5/(DATOS!$C$29*100*BY25^2*DATOS!$C$21))))*DATOS!$C$21*100*BY25/DATOS!$C$14))))</f>
        <v/>
      </c>
      <c r="CA25" s="58" t="str">
        <f>IF(V25&lt;&gt;"SÍ","",IF(BZ25&lt;0,-1,MAX(BZ25,BC25)))</f>
        <v/>
      </c>
      <c r="CB25" s="64" t="str">
        <f>IF(V25&lt;&gt;"SÍ","",IF(AND(CA25&gt;0,FLOOR(MIN(BD25,100*INDEX(TABLAS!$D$52:$D$58,MIN(MATCH(IF(ISNUMBER(S25),S25,DATOS!$C$138),TABLAS!$B$52:$B$58,0)+0,7))/MAX(CA25,0.0001)),DATOS!$C$144)&gt;=DATOS!$C$143),INDEX(TABLAS!$B$52:$B$58,MIN(MATCH(IF(ISNUMBER(S25),S25,DATOS!$C$138),TABLAS!$B$52:$B$58,0)+0,7)),IF(AND(CA25&gt;0,FLOOR(MIN(BD25,100*INDEX(TABLAS!$D$52:$D$58,MIN(MATCH(IF(ISNUMBER(S25),S25,DATOS!$C$138),TABLAS!$B$52:$B$58,0)+1,7))/MAX(CA25,0.0001)),DATOS!$C$144)&gt;=DATOS!$C$143),INDEX(TABLAS!$B$52:$B$58,MIN(MATCH(IF(ISNUMBER(S25),S25,DATOS!$C$138),TABLAS!$B$52:$B$58,0)+1,7)),IF(AND(CA25&gt;0,FLOOR(MIN(BD25,100*INDEX(TABLAS!$D$52:$D$58,MIN(MATCH(IF(ISNUMBER(S25),S25,DATOS!$C$138),TABLAS!$B$52:$B$58,0)+2,7))/MAX(CA25,0.0001)),DATOS!$C$144)&gt;=DATOS!$C$143),INDEX(TABLAS!$B$52:$B$58,MIN(MATCH(IF(ISNUMBER(S25),S25,DATOS!$C$138),TABLAS!$B$52:$B$58,0)+2,7)),IF(AND(CA25&gt;0,FLOOR(MIN(BD25,100*INDEX(TABLAS!$D$52:$D$58,MIN(MATCH(IF(ISNUMBER(S25),S25,DATOS!$C$138),TABLAS!$B$52:$B$58,0)+3,7))/MAX(CA25,0.0001)),DATOS!$C$144)&gt;=DATOS!$C$143),INDEX(TABLAS!$B$52:$B$58,MIN(MATCH(IF(ISNUMBER(S25),S25,DATOS!$C$138),TABLAS!$B$52:$B$58,0)+3,7)),IF(AND(CA25&gt;0,FLOOR(MIN(BD25,100*INDEX(TABLAS!$D$52:$D$58,MIN(MATCH(IF(ISNUMBER(S25),S25,DATOS!$C$138),TABLAS!$B$52:$B$58,0)+4,7))/MAX(CA25,0.0001)),DATOS!$C$144)&gt;=DATOS!$C$143),INDEX(TABLAS!$B$52:$B$58,MIN(MATCH(IF(ISNUMBER(S25),S25,DATOS!$C$138),TABLAS!$B$52:$B$58,0)+4,7)),INDEX(TABLAS!$B$52:$B$58,7)))))))</f>
        <v/>
      </c>
      <c r="CC25" s="71" t="str">
        <f>IF(V25&lt;&gt;"SÍ","",IF(CA25&lt;=0,0,FLOOR(MIN(BD25,100*INDEX(TABLAS!$D$52:$D$58,MATCH(CB25,TABLAS!$B$52:$B$58,0))/CA25),DATOS!$C$144)))</f>
        <v/>
      </c>
      <c r="CD25" s="58" t="str">
        <f>IF(V25&lt;&gt;"SÍ","",IF(CC25&lt;=0,0,INDEX(TABLAS!$D$52:$D$58,MATCH(CB25,TABLAS!$B$52:$B$58,0))*100/CC25))</f>
        <v/>
      </c>
      <c r="CE25" s="58" t="str">
        <f>IF(V25&lt;&gt;"SÍ","",W25-AE25-INDEX(TABLAS!$C$52:$C$58,MATCH(BH25,TABLAS!$B$52:$B$58,0))-INDEX(TABLAS!$C$52:$C$58,MATCH(CB25,TABLAS!$B$52:$B$58,0))/2)</f>
        <v/>
      </c>
      <c r="CF25" s="56" t="str">
        <f>IF(V25&lt;&gt;"SÍ","",IF(CD25=0,0,DATOS!$C$29*CD25*DATOS!$C$14*(CE25-CD25*DATOS!$C$14/(DATOS!$C$21*100)/2)/1E5))</f>
        <v/>
      </c>
      <c r="CG25" s="65" t="str">
        <f>IF(V25&lt;&gt;"SÍ","",IF(CA25&lt;0,9.99,IF(CF25&gt;0,AZ25/CF25,0)))</f>
        <v/>
      </c>
      <c r="CH25" s="66" t="str">
        <f>IF(V25&lt;&gt;"SÍ","",IF(CD25=0,"—",0.003*(CE25-(CD25*DATOS!$C$14/(DATOS!$C$21*100)/DATOS!$C$22))/(CD25*DATOS!$C$14/(DATOS!$C$21*100)/DATOS!$C$22)))</f>
        <v/>
      </c>
      <c r="CI25" s="58" t="str">
        <f>IF(V25&lt;&gt;"SÍ","",((W25-AF25-1.5*INDEX(TABLAS!$C$52:$C$58,MATCH(IF(ISNUMBER(S25),S25,DATOS!$C$138),TABLAS!$B$52:$B$58,0)))-IF(AND((W25-AF25-1.5*INDEX(TABLAS!$C$52:$C$58,MATCH(IF(ISNUMBER(S25),S25,DATOS!$C$138),TABLAS!$B$52:$B$58,0)))&lt;=20,DATOS!$C$65&lt;&gt;"SÍ"),2,0)))</f>
        <v/>
      </c>
      <c r="CJ25" s="58" t="str">
        <f>IF(V25&lt;&gt;"SÍ","",IF(BA25&lt;=0,0,IF((1-2*BA25*1E5/(DATOS!$C$29*100*CI25^2*DATOS!$C$21))&lt;0,-1,IF((1-SQRT((1-2*BA25*1E5/(DATOS!$C$29*100*CI25^2*DATOS!$C$21))))*DATOS!$C$21*100*CI25/DATOS!$C$14&gt;DATOS!$C$102*100*CI25,-1,(1-SQRT((1-2*BA25*1E5/(DATOS!$C$29*100*CI25^2*DATOS!$C$21))))*DATOS!$C$21*100*CI25/DATOS!$C$14))))</f>
        <v/>
      </c>
      <c r="CK25" s="58" t="str">
        <f>IF(V25&lt;&gt;"SÍ","",IF(CJ25&lt;0,-1,MAX(CJ25,BC25)))</f>
        <v/>
      </c>
      <c r="CL25" s="64" t="str">
        <f>IF(V25&lt;&gt;"SÍ","",IF(AND(CK25&gt;0,FLOOR(MIN(BD25,100*INDEX(TABLAS!$D$52:$D$58,MIN(MATCH(IF(ISNUMBER(S25),S25,DATOS!$C$138),TABLAS!$B$52:$B$58,0)+0,7))/MAX(CK25,0.0001)),DATOS!$C$144)&gt;=DATOS!$C$143),INDEX(TABLAS!$B$52:$B$58,MIN(MATCH(IF(ISNUMBER(S25),S25,DATOS!$C$138),TABLAS!$B$52:$B$58,0)+0,7)),IF(AND(CK25&gt;0,FLOOR(MIN(BD25,100*INDEX(TABLAS!$D$52:$D$58,MIN(MATCH(IF(ISNUMBER(S25),S25,DATOS!$C$138),TABLAS!$B$52:$B$58,0)+1,7))/MAX(CK25,0.0001)),DATOS!$C$144)&gt;=DATOS!$C$143),INDEX(TABLAS!$B$52:$B$58,MIN(MATCH(IF(ISNUMBER(S25),S25,DATOS!$C$138),TABLAS!$B$52:$B$58,0)+1,7)),IF(AND(CK25&gt;0,FLOOR(MIN(BD25,100*INDEX(TABLAS!$D$52:$D$58,MIN(MATCH(IF(ISNUMBER(S25),S25,DATOS!$C$138),TABLAS!$B$52:$B$58,0)+2,7))/MAX(CK25,0.0001)),DATOS!$C$144)&gt;=DATOS!$C$143),INDEX(TABLAS!$B$52:$B$58,MIN(MATCH(IF(ISNUMBER(S25),S25,DATOS!$C$138),TABLAS!$B$52:$B$58,0)+2,7)),IF(AND(CK25&gt;0,FLOOR(MIN(BD25,100*INDEX(TABLAS!$D$52:$D$58,MIN(MATCH(IF(ISNUMBER(S25),S25,DATOS!$C$138),TABLAS!$B$52:$B$58,0)+3,7))/MAX(CK25,0.0001)),DATOS!$C$144)&gt;=DATOS!$C$143),INDEX(TABLAS!$B$52:$B$58,MIN(MATCH(IF(ISNUMBER(S25),S25,DATOS!$C$138),TABLAS!$B$52:$B$58,0)+3,7)),IF(AND(CK25&gt;0,FLOOR(MIN(BD25,100*INDEX(TABLAS!$D$52:$D$58,MIN(MATCH(IF(ISNUMBER(S25),S25,DATOS!$C$138),TABLAS!$B$52:$B$58,0)+4,7))/MAX(CK25,0.0001)),DATOS!$C$144)&gt;=DATOS!$C$143),INDEX(TABLAS!$B$52:$B$58,MIN(MATCH(IF(ISNUMBER(S25),S25,DATOS!$C$138),TABLAS!$B$52:$B$58,0)+4,7)),INDEX(TABLAS!$B$52:$B$58,7)))))))</f>
        <v/>
      </c>
      <c r="CM25" s="71" t="str">
        <f>IF(V25&lt;&gt;"SÍ","",IF(CK25&lt;=0,0,FLOOR(MIN(BD25,100*INDEX(TABLAS!$D$52:$D$58,MATCH(CL25,TABLAS!$B$52:$B$58,0))/CK25),DATOS!$C$144)))</f>
        <v/>
      </c>
      <c r="CN25" s="58" t="str">
        <f>IF(V25&lt;&gt;"SÍ","",IF(CM25&lt;=0,0,INDEX(TABLAS!$D$52:$D$58,MATCH(CL25,TABLAS!$B$52:$B$58,0))*100/CM25))</f>
        <v/>
      </c>
      <c r="CO25" s="58" t="str">
        <f>IF(V25&lt;&gt;"SÍ","",((W25-AF25-INDEX(TABLAS!$C$52:$C$58,MATCH(BR25,TABLAS!$B$52:$B$58,0))-INDEX(TABLAS!$C$52:$C$58,MATCH(CL25,TABLAS!$B$52:$B$58,0))/2)-IF(AND((W25-AF25-INDEX(TABLAS!$C$52:$C$58,MATCH(BR25,TABLAS!$B$52:$B$58,0))-INDEX(TABLAS!$C$52:$C$58,MATCH(CL25,TABLAS!$B$52:$B$58,0))/2)&lt;=20,DATOS!$C$65&lt;&gt;"SÍ"),2,0)))</f>
        <v/>
      </c>
      <c r="CP25" s="56" t="str">
        <f>IF(V25&lt;&gt;"SÍ","",IF(CN25=0,0,DATOS!$C$29*CN25*DATOS!$C$14*(CO25-CN25*DATOS!$C$14/(DATOS!$C$21*100)/2)/1E5))</f>
        <v/>
      </c>
      <c r="CQ25" s="65" t="str">
        <f>IF(V25&lt;&gt;"SÍ","",IF(CK25&lt;0,9.99,IF(CP25&gt;0,BA25/CP25,0)))</f>
        <v/>
      </c>
      <c r="CR25" s="66" t="str">
        <f>IF(V25&lt;&gt;"SÍ","",IF(CN25=0,"—",0.003*(CO25-(CN25*DATOS!$C$14/(DATOS!$C$21*100)/DATOS!$C$22))/(CN25*DATOS!$C$14/(DATOS!$C$21*100)/DATOS!$C$22)))</f>
        <v/>
      </c>
      <c r="CS25" s="56" t="str">
        <f>IF(V25&lt;&gt;"SÍ","",IF(C25="PERIMETRAL",MAX(0,(AC25/2-BU25)/100)*(0.95-0.5*AB25)*AK25*IF(AND(AL25&gt;0,AL25&lt;4),DATOS!$C$33,1)/1000,(AK25*MAX(0,AC25-BU25)/100+DATOS!$C$26*N(P25))/1000))</f>
        <v/>
      </c>
      <c r="CT25" s="66" t="str">
        <f>IF(V25&lt;&gt;"SÍ","",BT25/(100*BU25))</f>
        <v/>
      </c>
      <c r="CU25" s="56" t="str">
        <f>IF(V25&lt;&gt;"SÍ","",DATOS!$C$30*2*MIN(1,SQRT(2/(1+0.04*BU25)))*CT25^(1/3)*SQRT(DATOS!$C$13)*100*BU25/1000)</f>
        <v/>
      </c>
      <c r="CV25" s="67" t="str">
        <f>IF(V25&lt;&gt;"SÍ","",IF(CS25&lt;=CU25,"CUMPLE","NO CUMPLE: sube h"))</f>
        <v/>
      </c>
      <c r="CW25" s="58" t="str">
        <f>IF(V25&lt;&gt;"SÍ","",IF(C25="PERIMETRAL",IF(ISNUMBER(R25),R25,DATOS!$C$104),0))</f>
        <v/>
      </c>
      <c r="CX25" s="57" t="str">
        <f>IF(V25&lt;&gt;"SÍ","",IF(C25="PERIMETRAL",IF(CW25&gt;2,MAX(9,AD25*(0.8+DATOS!$C$14/14000)/(36+9*(AD25/MAX(AC25,1)))),IF(CW25&gt;0.2,MAX(13,AD25*(0.8+DATOS!$C$14/14000)/(36+5*(AD25/MAX(AC25,1))*(CW25-0.2))),MAX(13,AD25/IF(AL25&gt;0,30,33))))*IF(AND(CW25&gt;0.2,AL25&gt;0,DATOS!$C$105="NO"),1.1,1),Z25*100/DATOS!$C$145*(0.4+DATOS!$C$14/7000)))</f>
        <v/>
      </c>
      <c r="CY25" s="61" t="str">
        <f>IF(V25&lt;&gt;"SÍ","",IF(W25&gt;=CX25-0.001,"CUMPLE",IF(C25="VOLADO","NO CUMPLE","CALCULAR FLECHA")))</f>
        <v/>
      </c>
      <c r="CZ25" s="60" t="str">
        <f>IF(V25&lt;&gt;"SÍ","",IF(C25="VOLADO",MIN(FLOOR(IF(ISNUMBER(Q25),Q25,Z25)*100-DATOS!$C$63,5),CEILING(MAX(IF((0.5*(0.9*W25/100*DATOS!$C$16)*IF(ISNUMBER(Q25),Q25,Z25)+AY25/IF(ISNUMBER(Q25),Q25,Z25))^2-4*(0.5*(0.9*W25/100*DATOS!$C$16))*AY25&lt;0,IF(ISNUMBER(Q25),Q25,Z25),MIN(IF(ISNUMBER(Q25),Q25,Z25),((0.5*(0.9*W25/100*DATOS!$C$16)*IF(ISNUMBER(Q25),Q25,Z25)+AY25/IF(ISNUMBER(Q25),Q25,Z25))-SQRT((0.5*(0.9*W25/100*DATOS!$C$16)*IF(ISNUMBER(Q25),Q25,Z25)+AY25/IF(ISNUMBER(Q25),Q25,Z25))^2-4*(0.5*(0.9*W25/100*DATOS!$C$16))*AY25))/(2*(0.5*(0.9*W25/100*DATOS!$C$16)))))*100+MAX(BU25,12*INDEX(TABLAS!$C$52:$C$58,MATCH(BR25,TABLAS!$B$52:$B$58,0)),IF(ISNUMBER(Q25),Q25,Z25)*100/16),IF(OR(AF25&lt;INDEX(TABLAS!$C$52:$C$58,MATCH(BR25,TABLAS!$B$52:$B$58,0)),BS25-INDEX(TABLAS!$C$52:$C$58,MATCH(BR25,TABLAS!$B$52:$B$58,0))&lt;2*INDEX(TABLAS!$C$52:$C$58,MATCH(BR25,TABLAS!$B$52:$B$58,0))),INDEX(TABLAS!$I$52:$I$58,MATCH(BR25,TABLAS!$B$52:$B$58,0)),INDEX(TABLAS!$F$52:$F$58,MATCH(BR25,TABLAS!$B$52:$B$58,0)))),5)),IF(((4*((AV25*AK25*Z25^2*1E-4/1000)+((MAX(AR25,AT25)*AK25*Z25^2*1E-4/1000)+(IF(AND(AR25&gt;0,AT25&gt;0),MIN(AR25,AT25),MAX(AR25,AT25))*AK25*Z25^2*1E-4/1000))/2)+AY25-(IF(AND(AR25&gt;0,AT25&gt;0),MIN(AR25,AT25),MAX(AR25,AT25))*AK25*Z25^2*1E-4/1000))^2-16*((AV25*AK25*Z25^2*1E-4/1000)+((MAX(AR25,AT25)*AK25*Z25^2*1E-4/1000)+(IF(AND(AR25&gt;0,AT25&gt;0),MIN(AR25,AT25),MAX(AR25,AT25))*AK25*Z25^2*1E-4/1000))/2)*AY25)&lt;0,CEILING(AC25,5),CEILING(MAX(AC25*((4*((AV25*AK25*Z25^2*1E-4/1000)+((MAX(AR25,AT25)*AK25*Z25^2*1E-4/1000)+(IF(AND(AR25&gt;0,AT25&gt;0),MIN(AR25,AT25),MAX(AR25,AT25))*AK25*Z25^2*1E-4/1000))/2)+AY25-(IF(AND(AR25&gt;0,AT25&gt;0),MIN(AR25,AT25),MAX(AR25,AT25))*AK25*Z25^2*1E-4/1000))-SQRT(MAX(0,((4*((AV25*AK25*Z25^2*1E-4/1000)+((MAX(AR25,AT25)*AK25*Z25^2*1E-4/1000)+(IF(AND(AR25&gt;0,AT25&gt;0),MIN(AR25,AT25),MAX(AR25,AT25))*AK25*Z25^2*1E-4/1000))/2)+AY25-(IF(AND(AR25&gt;0,AT25&gt;0),MIN(AR25,AT25),MAX(AR25,AT25))*AK25*Z25^2*1E-4/1000))^2-16*((AV25*AK25*Z25^2*1E-4/1000)+((MAX(AR25,AT25)*AK25*Z25^2*1E-4/1000)+(IF(AND(AR25&gt;0,AT25&gt;0),MIN(AR25,AT25),MAX(AR25,AT25))*AK25*Z25^2*1E-4/1000))/2)*AY25))))/(8*MAX(((AV25*AK25*Z25^2*1E-4/1000)+((MAX(AR25,AT25)*AK25*Z25^2*1E-4/1000)+(IF(AND(AR25&gt;0,AT25&gt;0),MIN(AR25,AT25),MAX(AR25,AT25))*AK25*Z25^2*1E-4/1000))/2),1E-9))+MAX(BU25,12*INDEX(TABLAS!$C$52:$C$58,MATCH(BR25,TABLAS!$B$52:$B$58,0)),AC25/16),IF(OR(AF25&lt;INDEX(TABLAS!$C$52:$C$58,MATCH(BR25,TABLAS!$B$52:$B$58,0)),BS25-INDEX(TABLAS!$C$52:$C$58,MATCH(BR25,TABLAS!$B$52:$B$58,0))&lt;2*INDEX(TABLAS!$C$52:$C$58,MATCH(BR25,TABLAS!$B$52:$B$58,0))),INDEX(TABLAS!$I$52:$I$58,MATCH(BR25,TABLAS!$B$52:$B$58,0)),INDEX(TABLAS!$F$52:$F$58,MATCH(BR25,TABLAS!$B$52:$B$58,0)))),5))))</f>
        <v/>
      </c>
      <c r="DA25" s="60" t="str">
        <f>IF(V25&lt;&gt;"SÍ","",IF(C25="VOLADO",0,IF(((4*((AW25*AK25*Z25^2*1E-4/1000)+((MAX(AS25,AU25)*AK25*Z25^2*1E-4/1000)+(IF(AND(AS25&gt;0,AU25&gt;0),MIN(AS25,AU25),MAX(AS25,AU25))*AK25*Z25^2*1E-4/1000))/2)+BA25-(IF(AND(AS25&gt;0,AU25&gt;0),MIN(AS25,AU25),MAX(AS25,AU25))*AK25*Z25^2*1E-4/1000))^2-16*((AW25*AK25*Z25^2*1E-4/1000)+((MAX(AS25,AU25)*AK25*Z25^2*1E-4/1000)+(IF(AND(AS25&gt;0,AU25&gt;0),MIN(AS25,AU25),MAX(AS25,AU25))*AK25*Z25^2*1E-4/1000))/2)*BA25)&lt;0,CEILING(AD25,5),CEILING(MAX(AD25*((4*((AW25*AK25*Z25^2*1E-4/1000)+((MAX(AS25,AU25)*AK25*Z25^2*1E-4/1000)+(IF(AND(AS25&gt;0,AU25&gt;0),MIN(AS25,AU25),MAX(AS25,AU25))*AK25*Z25^2*1E-4/1000))/2)+BA25-(IF(AND(AS25&gt;0,AU25&gt;0),MIN(AS25,AU25),MAX(AS25,AU25))*AK25*Z25^2*1E-4/1000))-SQRT(MAX(0,((4*((AW25*AK25*Z25^2*1E-4/1000)+((MAX(AS25,AU25)*AK25*Z25^2*1E-4/1000)+(IF(AND(AS25&gt;0,AU25&gt;0),MIN(AS25,AU25),MAX(AS25,AU25))*AK25*Z25^2*1E-4/1000))/2)+BA25-(IF(AND(AS25&gt;0,AU25&gt;0),MIN(AS25,AU25),MAX(AS25,AU25))*AK25*Z25^2*1E-4/1000))^2-16*((AW25*AK25*Z25^2*1E-4/1000)+((MAX(AS25,AU25)*AK25*Z25^2*1E-4/1000)+(IF(AND(AS25&gt;0,AU25&gt;0),MIN(AS25,AU25),MAX(AS25,AU25))*AK25*Z25^2*1E-4/1000))/2)*BA25))))/(8*MAX(((AW25*AK25*Z25^2*1E-4/1000)+((MAX(AS25,AU25)*AK25*Z25^2*1E-4/1000)+(IF(AND(AS25&gt;0,AU25&gt;0),MIN(AS25,AU25),MAX(AS25,AU25))*AK25*Z25^2*1E-4/1000))/2),1E-9))+MAX(CO25,12*INDEX(TABLAS!$C$52:$C$58,MATCH(CL25,TABLAS!$B$52:$B$58,0)),AD25/16),IF(OR(AF25&lt;INDEX(TABLAS!$C$52:$C$58,MATCH(CL25,TABLAS!$B$52:$B$58,0)),CM25-INDEX(TABLAS!$C$52:$C$58,MATCH(CL25,TABLAS!$B$52:$B$58,0))&lt;2*INDEX(TABLAS!$C$52:$C$58,MATCH(CL25,TABLAS!$B$52:$B$58,0))),INDEX(TABLAS!$I$52:$I$58,MATCH(CL25,TABLAS!$B$52:$B$58,0)),INDEX(TABLAS!$F$52:$F$58,MATCH(CL25,TABLAS!$B$52:$B$58,0)))),5))))</f>
        <v/>
      </c>
      <c r="DB25" s="55" t="str">
        <f>IF(V25&lt;&gt;"SÍ","",IF(AND(C25="PERIMETRAL",AL25-AM25&gt;0,AT25&gt;0),"SÍ","NO"))</f>
        <v/>
      </c>
      <c r="DC25" s="55" t="str">
        <f>IF(V25&lt;&gt;"SÍ","",IF(AND(C25="PERIMETRAL",AM25&gt;0,AU25&gt;0),"SÍ","NO"))</f>
        <v/>
      </c>
      <c r="DD25" s="63" t="str">
        <f>IF(V25&lt;&gt;"SÍ","",IF(OR(C25="VOLADO",AL25=0),"—",IF(AND(AND(INDEX(TABLAS!$G$52:$G$58,MATCH(MAX(BR25,CL25),TABLAS!$B$52:$B$58,0))&lt;=(DATOS!$C$75-DATOS!$C$63),(DATOS!$C$75-DATOS!$C$63)&gt;=15),8*INDEX(TABLAS!$C$52:$C$58,MATCH(MAX(BH25,CB25,BR25,CL25),TABLAS!$B$52:$B$58,0))&lt;=DATOS!$C$76-2*DATOS!$C$63),"CUMPLE (gancho de 180°)",IF(AND(INDEX(TABLAS!$G$52:$G$58,MATCH(MAX(BR25,CL25),TABLAS!$B$52:$B$58,0))&lt;=(DATOS!$C$75-DATOS!$C$63),(DATOS!$C$75-DATOS!$C$63)&gt;=15),"NO CUMPLE: el gancho de 180° (8·d_b) no cabe en el peralte de la dala de borde","NO CUMPLE: dala de borde ≥ "&amp;TEXT(CEILING(MAX(INDEX(TABLAS!$G$52:$G$58,MATCH(MAX(BR25,CL25),TABLAS!$B$52:$B$58,0)),15)+DATOS!$C$63,5),"0")&amp;" cm de ancho"&amp;IF(8*INDEX(TABLAS!$C$52:$C$58,MATCH(MAX(BH25,CB25,BR25,CL25),TABLAS!$B$52:$B$58,0))&lt;=DATOS!$C$76-2*DATOS!$C$63,""," y más peralte para el gancho")))))</f>
        <v/>
      </c>
      <c r="DE25" s="69" t="str">
        <f>IF(V25&lt;&gt;"SÍ","",IF(BI25=0,"NO ALCANZA","No. "&amp;BH25&amp;" @ "&amp;BI25&amp;" cm"&amp;IF(C25="VOLADO"," (temperatura)","")))</f>
        <v/>
      </c>
      <c r="DF25" s="69" t="str">
        <f>IF(V25&lt;&gt;"SÍ","",IF(BS25=0,"NO ALCANZA",IF(C25="VOLADO","No. "&amp;BR25&amp;" @ "&amp;BS25&amp;" cm"&amp;" de la orilla al respaldo ("&amp;IF(CZ25&gt;=FLOOR(100*IF(ISNUMBER(Q25),Q25,Z25)-DATOS!$C$63,5),"hasta su apoyo lejano, con gancho","entran "&amp;TEXT(CZ25/100,"0.00")&amp;" m desde el paño")&amp;")","Bastones "&amp;"No. "&amp;BR25&amp;" @ "&amp;BS25&amp;" cm"&amp;", L = "&amp;TEXT(CZ25/100,"0.00")&amp;" m desde el paño")))</f>
        <v/>
      </c>
      <c r="DG25" s="69" t="str">
        <f>IF(V25&lt;&gt;"SÍ","",IF(CC25=0,"NO ALCANZA","No. "&amp;CB25&amp;" @ "&amp;CC25&amp;" cm"&amp;IF(C25="VOLADO"," (repartición)","")))</f>
        <v/>
      </c>
      <c r="DH25" s="69" t="str">
        <f>IF(V25&lt;&gt;"SÍ","",IF(CM25=0,"NO ALCANZA",IF(C25="VOLADO","No. "&amp;CL25&amp;" @ "&amp;CM25&amp;" cm"&amp;" (repartición)","Bastones "&amp;"No. "&amp;CL25&amp;" @ "&amp;CM25&amp;" cm"&amp;", L = "&amp;TEXT(DA25/100,"0.00")&amp;" m desde el paño")))</f>
        <v/>
      </c>
      <c r="DI25" s="67" t="str">
        <f>IF(B25="","",IF(V25&lt;&gt;"SÍ","FALTAN DATOS: tipo, a_x, a_y, destino y, en volados, L_b",IF(L25="NO MONOLÍTICO (caso II)","FUERA DE ALCANCE: caso II no transcrito",IF(AND(C25="VOLADO",X25="?"),"REVISAR: el volado lleva UN solo borde CONTINUO (el empotrado)",IF(AND(MAX(BM25,BW25,CG25,CQ25)&lt;=1,NOT(OR(BI25&lt;DATOS!$C$143,BS25&lt;DATOS!$C$143,CC25&lt;DATOS!$C$143,CM25&lt;DATOS!$C$143)),NOT(OR(AND(ISNUMBER(BN25),BN25&lt;0.005),AND(ISNUMBER(BX25),BX25&lt;0.005),AND(ISNUMBER(CH25),CH25&lt;0.005),AND(ISNUMBER(CR25),CR25&lt;0.005))),CV25="CUMPLE",CY25="CUMPLE"),"CUMPLE"&amp;IF(LEFT(BB25,5)="FUERA"," · fuera de 3.4.2.1 c)","")&amp;IF(LEFT(DD25,2)="NO"," · REVISAR anclaje en borde discontinuo",""),IF(AND(MAX(BM25,BW25,CG25,CQ25)&lt;=1,NOT(OR(BI25&lt;DATOS!$C$143,BS25&lt;DATOS!$C$143,CC25&lt;DATOS!$C$143,CM25&lt;DATOS!$C$143)),NOT(OR(AND(ISNUMBER(BN25),BN25&lt;0.005),AND(ISNUMBER(BX25),BX25&lt;0.005),AND(ISNUMBER(CH25),CH25&lt;0.005),AND(ISNUMBER(CR25),CR25&lt;0.005))),CV25="CUMPLE",CY25="CALCULAR FLECHA"),"REVISAR: calcular flecha (h &lt; h mín.)"&amp;IF(LEFT(BB25,5)="FUERA"," · fuera de 3.4.2.1 c)","")&amp;IF(LEFT(DD25,2)="NO"," · REVISAR anclaje en borde discontinuo",""),"NO CUMPLE: "&amp;IF(MAX(BM25,BW25,CG25,CQ25)&gt;1,"flexión ","")&amp;IF(OR(BI25&lt;DATOS!$C$143,BS25&lt;DATOS!$C$143,CC25&lt;DATOS!$C$143,CM25&lt;DATOS!$C$143),"separación &lt; mínima ","")&amp;IF(OR(AND(ISNUMBER(BN25),BN25&lt;0.005),AND(ISNUMBER(BX25),BX25&lt;0.005),AND(ISNUMBER(CH25),CH25&lt;0.005),AND(ISNUMBER(CR25),CR25&lt;0.005)),"ε_t &lt; 0.005 ","")&amp;IF(CV25&lt;&gt;"CUMPLE","cortante ","")&amp;IF(CY25="NO CUMPLE","peralte","")))))))</f>
        <v/>
      </c>
      <c r="DJ25" s="70" t="str">
        <f>IF(V25&lt;&gt;"SÍ","",IF(LEFT(B25,7)="EJEMPLO","EJEMPLO de tablero típico: bórralo o sobrescríbelo. ","")&amp;IF(C25="VOLADO","Volado de "&amp;TEXT(Z25,"0.00")&amp;" m empotrado en el borde "&amp;LOWER(X25)&amp;IF(N(P25)&gt;0,", con "&amp;TEXT(P25,"0.0")&amp;" kg/m en la orilla","")&amp;". Lecho inferior con r_ext. Si la orilla carga pretil u otro elemento frágil, calcula la flecha (13.4). El acero superior entra al respaldo de "&amp;TEXT(IF(ISNUMBER(Q25),Q25,Z25),"0.00")&amp;" m"&amp;" hasta pasar M = 0 con 0.9·PP sin carga viva; si ahí no se anula, llega al apoyo lejano y se ancla con gancho. ","")&amp;IF(AND(C25="VOLADO",(0.9*W25/100*DATOS!$C$16*IF(ISNUMBER(Q25),Q25,Z25)/2-AY25/IF(ISNUMBER(Q25),Q25,Z25))&lt;0),"Con 0.9·PP y sin carga viva el apoyo lejano del respaldo levanta (R = "&amp;TEXT(-(0.9*W25/100*DATOS!$C$16*IF(ISNUMBER(Q25),Q25,Z25)/2-AY25/IF(ISNUMBER(Q25),Q25,Z25)),"0.00")&amp;" t/m): ancla ahí el acero con gancho y revisa ese apoyo a tensión. ","")&amp;IF(LEFT(BB25,5)="FUERA","El M⁻ del vecino difiere más de 50 % (3.4.2.1 c): distribuye el desequilibrio (3.4.3.1) o confirma con un modelo; se arma con el mayor. ","")&amp;IF(OR(DB25="SÍ",DC25="SÍ"),"Bastones también en los bordes discontinuos (M⁻ de tabla), con gancho. ","")&amp;IF(LEFT(DD25,2)="NO","Anclaje: "&amp;DD25&amp;" (6.7.7.4.1.1). ","")&amp;IF(AND(C25="PERIMETRAL",AM25&gt;=1,AL25-AM25&gt;=1),"Esquinas exteriores sobre muro: refuerzo de esquina arriba y abajo en L_largo/5 (6.7.7.3.1). ",""))</f>
        <v/>
      </c>
    </row>
    <row r="26" ht="33" customHeight="1">
      <c r="A26" s="50">
        <f>IF(B26="",0,1)+A25</f>
        <v>3</v>
      </c>
      <c r="B26" s="29" t="n"/>
      <c r="C26" s="51" t="n"/>
      <c r="D26" s="29" t="n"/>
      <c r="E26" s="52" t="n"/>
      <c r="F26" s="52" t="n"/>
      <c r="G26" s="51" t="n"/>
      <c r="H26" s="51" t="n"/>
      <c r="I26" s="51" t="n"/>
      <c r="J26" s="51" t="n"/>
      <c r="K26" s="51" t="n"/>
      <c r="L26" s="51" t="n"/>
      <c r="M26" s="54" t="n"/>
      <c r="N26" s="53" t="n"/>
      <c r="O26" s="53" t="n"/>
      <c r="P26" s="54" t="n"/>
      <c r="Q26" s="52" t="n"/>
      <c r="R26" s="54" t="n"/>
      <c r="S26" s="53" t="n"/>
      <c r="T26" s="52" t="n"/>
      <c r="U26" s="52" t="n"/>
      <c r="V26" s="55" t="str">
        <f>IF(B26="","",IF(AND(OR(C26="PERIMETRAL",C26="VOLADO"),ISNUMBER(E26),ISNUMBER(F26),E26&gt;0,F26&gt;0,OR(ISNUMBER(O26),ISNUMBER(MATCH(D26,DATOS!$B$46:$B$58,0))),OR(C26&lt;&gt;"VOLADO",N(Q26)&gt;0)),"SÍ","NO"))</f>
        <v/>
      </c>
      <c r="W26" s="57" t="str">
        <f>IF(V26&lt;&gt;"SÍ","",IF(ISNUMBER(M26),M26,DATOS!$C$137))</f>
        <v/>
      </c>
      <c r="X26" s="55" t="str">
        <f>IF(V26&lt;&gt;"SÍ","",IF(C26&lt;&gt;"VOLADO","—",IF(COUNTIF(G26:J26,"CONTINUO")&lt;&gt;1,"?",IF(G26="CONTINUO","INFERIOR",IF(H26="CONTINUO","SUPERIOR",IF(I26="CONTINUO","IZQUIERDO","DERECHO"))))))</f>
        <v/>
      </c>
      <c r="Y26" s="55" t="str">
        <f>IF(V26&lt;&gt;"SÍ","",IF(C26="VOLADO",IF(OR(X26="IZQUIERDO",X26="DERECHO"),"X","Y"),IF(E26&lt;=F26,"X","Y")))</f>
        <v/>
      </c>
      <c r="Z26" s="56" t="str">
        <f>IF(V26&lt;&gt;"SÍ","",IF(C26="VOLADO",IF(Y26="X",E26,F26),MIN(E26,F26)))</f>
        <v/>
      </c>
      <c r="AA26" s="56" t="str">
        <f>IF(V26&lt;&gt;"SÍ","",IF(C26="VOLADO",IF(Y26="X",F26,E26),MAX(E26,F26)))</f>
        <v/>
      </c>
      <c r="AB26" s="56" t="str">
        <f>IF(V26&lt;&gt;"SÍ","",MIN(Z26,AA26)/MAX(Z26,AA26))</f>
        <v/>
      </c>
      <c r="AC26" s="57" t="str">
        <f>IF(V26&lt;&gt;"SÍ","",MAX(1,Z26*100-IF(C26="VOLADO",DATOS!$C$87/2,DATOS!$C$87)))</f>
        <v/>
      </c>
      <c r="AD26" s="57" t="str">
        <f>IF(V26&lt;&gt;"SÍ","",MAX(1,AA26*100-DATOS!$C$87))</f>
        <v/>
      </c>
      <c r="AE26" s="57" t="str">
        <f>IF(V26&lt;&gt;"SÍ","",IF(C26="VOLADO",DATOS!$C$64,DATOS!$C$62))</f>
        <v/>
      </c>
      <c r="AF26" s="57" t="str">
        <f>IF(V26&lt;&gt;"SÍ","",IF(OR(AND(AG26="SÍ",DATOS!$C$66="SÍ"),AND(C26="VOLADO",DATOS!$C$67="SÍ")),DATOS!$C$64,DATOS!$C$62))</f>
        <v/>
      </c>
      <c r="AG26" s="55" t="str">
        <f>IF(V26&lt;&gt;"SÍ","",IFERROR(INDEX(DATOS!$D$46:$D$58,MATCH(D26,DATOS!$B$46:$B$58,0)),"NO"))</f>
        <v/>
      </c>
      <c r="AH26" s="59" t="str">
        <f>IF(V26&lt;&gt;"SÍ","",IF(ISNUMBER(O26),O26,IFERROR(INDEX(DATOS!$C$46:$C$58,MATCH(D26,DATOS!$B$46:$B$58,0)),0)))</f>
        <v/>
      </c>
      <c r="AI26" s="59" t="str">
        <f>IF(V26&lt;&gt;"SÍ","",W26/100*DATOS!$C$16*1000+DATOS!$C$37+DATOS!$C$38)</f>
        <v/>
      </c>
      <c r="AJ26" s="59" t="str">
        <f>IF(V26&lt;&gt;"SÍ","",AI26+N(N26))</f>
        <v/>
      </c>
      <c r="AK26" s="60" t="str">
        <f>IF(V26&lt;&gt;"SÍ","",MAX(DATOS!$C$26*AJ26+DATOS!$C$27*AH26,IF(AG26="SÍ",DATOS!$C$28*(AJ26+DATOS!$C$41),0)))</f>
        <v/>
      </c>
      <c r="AL26" s="59" t="str">
        <f>IF(V26&lt;&gt;"SÍ","",(G26="DISCONTINUO")+(H26="DISCONTINUO")+(I26="DISCONTINUO")+(J26="DISCONTINUO"))</f>
        <v/>
      </c>
      <c r="AM26" s="59" t="str">
        <f>IF(V26&lt;&gt;"SÍ","",IF(Y26="X",(G26="DISCONTINUO")+(H26="DISCONTINUO"),(I26="DISCONTINUO")+(J26="DISCONTINUO")))</f>
        <v/>
      </c>
      <c r="AN26" s="55" t="str">
        <f>IF(V26&lt;&gt;"SÍ","",IF(AL26=0,"INTERIOR",IF(AL26=1,IF(AM26=1,"BORDE-CORTO","BORDE-LARGO"),IF(AL26=2,IF(AM26=1,"ESQUINA",IF(AM26=2,"EXTREMO-LARGO","EXTREMO-CORTO")),IF(AL26=3,IF(AM26=2,"EXTREMO-LARGO","EXTREMO-CORTO"),"AISLADO")))))</f>
        <v/>
      </c>
      <c r="AO26" s="61" t="str">
        <f>IF(V26&lt;&gt;"SÍ","",IF(OR(K26="",K26="AUTO"),AN26,K26))</f>
        <v/>
      </c>
      <c r="AP26" s="59" t="str">
        <f>IF(V26&lt;&gt;"SÍ","",MATCH(AB26,TABLAS!$D$5:$J$5,1))</f>
        <v/>
      </c>
      <c r="AQ26" s="58" t="str">
        <f>IF(V26&lt;&gt;"SÍ","",IF(AP26&gt;=7,0,(AB26-INDEX(TABLAS!$D$5:$J$5,AP26))/(INDEX(TABLAS!$D$5:$J$5,AP26+1)-INDEX(TABLAS!$D$5:$J$5,AP26))))</f>
        <v/>
      </c>
      <c r="AR26" s="59" t="str">
        <f>IF(V26&lt;&gt;"SÍ","",INDEX(TABLAS!$D$6:$J$47,MATCH(AO26&amp;"|NIC",TABLAS!$B$6:$B$47,0),AP26)+AQ26*(INDEX(TABLAS!$D$6:$J$47,MATCH(AO26&amp;"|NIC",TABLAS!$B$6:$B$47,0),MIN(AP26+1,7))-INDEX(TABLAS!$D$6:$J$47,MATCH(AO26&amp;"|NIC",TABLAS!$B$6:$B$47,0),AP26)))</f>
        <v/>
      </c>
      <c r="AS26" s="59" t="str">
        <f>IF(V26&lt;&gt;"SÍ","",INDEX(TABLAS!$D$6:$J$47,MATCH(AO26&amp;"|NIL",TABLAS!$B$6:$B$47,0),AP26)+AQ26*(INDEX(TABLAS!$D$6:$J$47,MATCH(AO26&amp;"|NIL",TABLAS!$B$6:$B$47,0),MIN(AP26+1,7))-INDEX(TABLAS!$D$6:$J$47,MATCH(AO26&amp;"|NIL",TABLAS!$B$6:$B$47,0),AP26)))</f>
        <v/>
      </c>
      <c r="AT26" s="59" t="str">
        <f>IF(V26&lt;&gt;"SÍ","",INDEX(TABLAS!$D$6:$J$47,MATCH(AO26&amp;"|NDC",TABLAS!$B$6:$B$47,0),AP26)+AQ26*(INDEX(TABLAS!$D$6:$J$47,MATCH(AO26&amp;"|NDC",TABLAS!$B$6:$B$47,0),MIN(AP26+1,7))-INDEX(TABLAS!$D$6:$J$47,MATCH(AO26&amp;"|NDC",TABLAS!$B$6:$B$47,0),AP26)))</f>
        <v/>
      </c>
      <c r="AU26" s="59" t="str">
        <f>IF(V26&lt;&gt;"SÍ","",INDEX(TABLAS!$D$6:$J$47,MATCH(AO26&amp;"|NDL",TABLAS!$B$6:$B$47,0),AP26)+AQ26*(INDEX(TABLAS!$D$6:$J$47,MATCH(AO26&amp;"|NDL",TABLAS!$B$6:$B$47,0),MIN(AP26+1,7))-INDEX(TABLAS!$D$6:$J$47,MATCH(AO26&amp;"|NDL",TABLAS!$B$6:$B$47,0),AP26)))</f>
        <v/>
      </c>
      <c r="AV26" s="59" t="str">
        <f>IF(V26&lt;&gt;"SÍ","",INDEX(TABLAS!$D$6:$J$47,MATCH(AO26&amp;"|PC",TABLAS!$B$6:$B$47,0),AP26)+AQ26*(INDEX(TABLAS!$D$6:$J$47,MATCH(AO26&amp;"|PC",TABLAS!$B$6:$B$47,0),MIN(AP26+1,7))-INDEX(TABLAS!$D$6:$J$47,MATCH(AO26&amp;"|PC",TABLAS!$B$6:$B$47,0),AP26)))</f>
        <v/>
      </c>
      <c r="AW26" s="59" t="str">
        <f>IF(V26&lt;&gt;"SÍ","",INDEX(TABLAS!$D$6:$J$47,MATCH(AO26&amp;"|PL",TABLAS!$B$6:$B$47,0),AP26)+AQ26*(INDEX(TABLAS!$D$6:$J$47,MATCH(AO26&amp;"|PL",TABLAS!$B$6:$B$47,0),MIN(AP26+1,7))-INDEX(TABLAS!$D$6:$J$47,MATCH(AO26&amp;"|PL",TABLAS!$B$6:$B$47,0),AP26)))</f>
        <v/>
      </c>
      <c r="AX26" s="56" t="str">
        <f>IF(V26&lt;&gt;"SÍ","",IF(C26="PERIMETRAL",AV26*AK26*Z26^2*1E-4/1000,0))</f>
        <v/>
      </c>
      <c r="AY26" s="62" t="str">
        <f>IF(V26&lt;&gt;"SÍ","",IF(C26="PERIMETRAL",MAX(MAX(AR26,AT26)*AK26*Z26^2*1E-4/1000,N(T26)),(AK26*(AC26/100)^2/2+DATOS!$C$26*N(P26)*AC26/100)/1000))</f>
        <v/>
      </c>
      <c r="AZ26" s="56" t="str">
        <f>IF(V26&lt;&gt;"SÍ","",IF(C26="PERIMETRAL",AW26*AK26*Z26^2*1E-4/1000,0))</f>
        <v/>
      </c>
      <c r="BA26" s="56" t="str">
        <f>IF(V26&lt;&gt;"SÍ","",IF(C26="PERIMETRAL",MAX(MAX(AS26,AU26)*AK26*Z26^2*1E-4/1000,N(U26)),0))</f>
        <v/>
      </c>
      <c r="BB26" s="63" t="str">
        <f>IF(V26&lt;&gt;"SÍ","",IF(C26&lt;&gt;"PERIMETRAL","—",IF(AND(N(T26)=0,N(U26)=0),"— (sin M⁻ del vecino)",IF(OR(AND(N(T26)&gt;0,ABS(MAX(AR26,AT26)*AK26*Z26^2*1E-4/1000-N(T26))&gt;0.5*MIN(MAX(AR26,AT26)*AK26*Z26^2*1E-4/1000,N(T26))),AND(N(U26)&gt;0,ABS(MAX(AS26,AU26)*AK26*Z26^2*1E-4/1000-N(U26))&gt;0.5*MIN(MAX(AS26,AU26)*AK26*Z26^2*1E-4/1000,N(U26)))),"FUERA: difieren &gt; 50 %"&amp;IF(AND(N(T26)&gt;0,ABS(MAX(AR26,AT26)*AK26*Z26^2*1E-4/1000-N(T26))&gt;0.5*MIN(MAX(AR26,AT26)*AK26*Z26^2*1E-4/1000,N(T26)))," ‖ corto","")&amp;IF(AND(N(U26)&gt;0,ABS(MAX(AS26,AU26)*AK26*Z26^2*1E-4/1000-N(U26))&gt;0.5*MIN(MAX(AS26,AU26)*AK26*Z26^2*1E-4/1000,N(U26)))," ‖ largo",""),"CUMPLE"))))</f>
        <v/>
      </c>
      <c r="BC26" s="58" t="str">
        <f>IF(V26&lt;&gt;"SÍ","",DATOS!$C$139*100*W26)</f>
        <v/>
      </c>
      <c r="BD26" s="57" t="str">
        <f>IF(V26&lt;&gt;"SÍ","",MIN(IF(C26="VOLADO",DATOS!$C$141,DATOS!$C$140)*W26,DATOS!$C$142))</f>
        <v/>
      </c>
      <c r="BE26" s="58" t="str">
        <f>IF(V26&lt;&gt;"SÍ","",(W26-AE26-INDEX(TABLAS!$C$52:$C$58,MATCH(IF(ISNUMBER(S26),S26,DATOS!$C$138),TABLAS!$B$52:$B$58,0))/2))</f>
        <v/>
      </c>
      <c r="BF26" s="58" t="str">
        <f>IF(V26&lt;&gt;"SÍ","",IF(AX26&lt;=0,0,IF((1-2*AX26*1E5/(DATOS!$C$29*100*BE26^2*DATOS!$C$21))&lt;0,-1,IF((1-SQRT((1-2*AX26*1E5/(DATOS!$C$29*100*BE26^2*DATOS!$C$21))))*DATOS!$C$21*100*BE26/DATOS!$C$14&gt;DATOS!$C$102*100*BE26,-1,(1-SQRT((1-2*AX26*1E5/(DATOS!$C$29*100*BE26^2*DATOS!$C$21))))*DATOS!$C$21*100*BE26/DATOS!$C$14))))</f>
        <v/>
      </c>
      <c r="BG26" s="58" t="str">
        <f>IF(V26&lt;&gt;"SÍ","",IF(BF26&lt;0,-1,MAX(BF26,BC26)))</f>
        <v/>
      </c>
      <c r="BH26" s="64" t="str">
        <f>IF(V26&lt;&gt;"SÍ","",IF(AND(BG26&gt;0,FLOOR(MIN(BD26,100*INDEX(TABLAS!$D$52:$D$58,MIN(MATCH(IF(ISNUMBER(S26),S26,DATOS!$C$138),TABLAS!$B$52:$B$58,0)+0,7))/MAX(BG26,0.0001)),DATOS!$C$144)&gt;=DATOS!$C$143),INDEX(TABLAS!$B$52:$B$58,MIN(MATCH(IF(ISNUMBER(S26),S26,DATOS!$C$138),TABLAS!$B$52:$B$58,0)+0,7)),IF(AND(BG26&gt;0,FLOOR(MIN(BD26,100*INDEX(TABLAS!$D$52:$D$58,MIN(MATCH(IF(ISNUMBER(S26),S26,DATOS!$C$138),TABLAS!$B$52:$B$58,0)+1,7))/MAX(BG26,0.0001)),DATOS!$C$144)&gt;=DATOS!$C$143),INDEX(TABLAS!$B$52:$B$58,MIN(MATCH(IF(ISNUMBER(S26),S26,DATOS!$C$138),TABLAS!$B$52:$B$58,0)+1,7)),IF(AND(BG26&gt;0,FLOOR(MIN(BD26,100*INDEX(TABLAS!$D$52:$D$58,MIN(MATCH(IF(ISNUMBER(S26),S26,DATOS!$C$138),TABLAS!$B$52:$B$58,0)+2,7))/MAX(BG26,0.0001)),DATOS!$C$144)&gt;=DATOS!$C$143),INDEX(TABLAS!$B$52:$B$58,MIN(MATCH(IF(ISNUMBER(S26),S26,DATOS!$C$138),TABLAS!$B$52:$B$58,0)+2,7)),IF(AND(BG26&gt;0,FLOOR(MIN(BD26,100*INDEX(TABLAS!$D$52:$D$58,MIN(MATCH(IF(ISNUMBER(S26),S26,DATOS!$C$138),TABLAS!$B$52:$B$58,0)+3,7))/MAX(BG26,0.0001)),DATOS!$C$144)&gt;=DATOS!$C$143),INDEX(TABLAS!$B$52:$B$58,MIN(MATCH(IF(ISNUMBER(S26),S26,DATOS!$C$138),TABLAS!$B$52:$B$58,0)+3,7)),IF(AND(BG26&gt;0,FLOOR(MIN(BD26,100*INDEX(TABLAS!$D$52:$D$58,MIN(MATCH(IF(ISNUMBER(S26),S26,DATOS!$C$138),TABLAS!$B$52:$B$58,0)+4,7))/MAX(BG26,0.0001)),DATOS!$C$144)&gt;=DATOS!$C$143),INDEX(TABLAS!$B$52:$B$58,MIN(MATCH(IF(ISNUMBER(S26),S26,DATOS!$C$138),TABLAS!$B$52:$B$58,0)+4,7)),INDEX(TABLAS!$B$52:$B$58,7)))))))</f>
        <v/>
      </c>
      <c r="BI26" s="71" t="str">
        <f>IF(V26&lt;&gt;"SÍ","",IF(BG26&lt;=0,0,FLOOR(MIN(BD26,100*INDEX(TABLAS!$D$52:$D$58,MATCH(BH26,TABLAS!$B$52:$B$58,0))/BG26),DATOS!$C$144)))</f>
        <v/>
      </c>
      <c r="BJ26" s="58" t="str">
        <f>IF(V26&lt;&gt;"SÍ","",IF(BI26&lt;=0,0,INDEX(TABLAS!$D$52:$D$58,MATCH(BH26,TABLAS!$B$52:$B$58,0))*100/BI26))</f>
        <v/>
      </c>
      <c r="BK26" s="58" t="str">
        <f>IF(V26&lt;&gt;"SÍ","",W26-AE26-INDEX(TABLAS!$C$52:$C$58,MATCH(BH26,TABLAS!$B$52:$B$58,0))/2)</f>
        <v/>
      </c>
      <c r="BL26" s="56" t="str">
        <f>IF(V26&lt;&gt;"SÍ","",IF(BJ26=0,0,DATOS!$C$29*BJ26*DATOS!$C$14*(BK26-BJ26*DATOS!$C$14/(DATOS!$C$21*100)/2)/1E5))</f>
        <v/>
      </c>
      <c r="BM26" s="65" t="str">
        <f>IF(V26&lt;&gt;"SÍ","",IF(BG26&lt;0,9.99,IF(BL26&gt;0,AX26/BL26,0)))</f>
        <v/>
      </c>
      <c r="BN26" s="66" t="str">
        <f>IF(V26&lt;&gt;"SÍ","",IF(BJ26=0,"—",0.003*(BK26-(BJ26*DATOS!$C$14/(DATOS!$C$21*100)/DATOS!$C$22))/(BJ26*DATOS!$C$14/(DATOS!$C$21*100)/DATOS!$C$22)))</f>
        <v/>
      </c>
      <c r="BO26" s="58" t="str">
        <f>IF(V26&lt;&gt;"SÍ","",((W26-AF26-INDEX(TABLAS!$C$52:$C$58,MATCH(IF(ISNUMBER(S26),S26,DATOS!$C$138),TABLAS!$B$52:$B$58,0))/2)-IF(AND((W26-AF26-INDEX(TABLAS!$C$52:$C$58,MATCH(IF(ISNUMBER(S26),S26,DATOS!$C$138),TABLAS!$B$52:$B$58,0))/2)&lt;=20,DATOS!$C$65&lt;&gt;"SÍ"),2,0)))</f>
        <v/>
      </c>
      <c r="BP26" s="58" t="str">
        <f>IF(V26&lt;&gt;"SÍ","",IF(AY26&lt;=0,0,IF((1-2*AY26*1E5/(DATOS!$C$29*100*BO26^2*DATOS!$C$21))&lt;0,-1,IF((1-SQRT((1-2*AY26*1E5/(DATOS!$C$29*100*BO26^2*DATOS!$C$21))))*DATOS!$C$21*100*BO26/DATOS!$C$14&gt;DATOS!$C$102*100*BO26,-1,(1-SQRT((1-2*AY26*1E5/(DATOS!$C$29*100*BO26^2*DATOS!$C$21))))*DATOS!$C$21*100*BO26/DATOS!$C$14))))</f>
        <v/>
      </c>
      <c r="BQ26" s="58" t="str">
        <f>IF(V26&lt;&gt;"SÍ","",IF(BP26&lt;0,-1,MAX(BP26,BC26)))</f>
        <v/>
      </c>
      <c r="BR26" s="64" t="str">
        <f>IF(V26&lt;&gt;"SÍ","",IF(AND(BQ26&gt;0,FLOOR(MIN(BD26,100*INDEX(TABLAS!$D$52:$D$58,MIN(MATCH(IF(ISNUMBER(S26),S26,DATOS!$C$138),TABLAS!$B$52:$B$58,0)+0,7))/MAX(BQ26,0.0001)),DATOS!$C$144)&gt;=DATOS!$C$143),INDEX(TABLAS!$B$52:$B$58,MIN(MATCH(IF(ISNUMBER(S26),S26,DATOS!$C$138),TABLAS!$B$52:$B$58,0)+0,7)),IF(AND(BQ26&gt;0,FLOOR(MIN(BD26,100*INDEX(TABLAS!$D$52:$D$58,MIN(MATCH(IF(ISNUMBER(S26),S26,DATOS!$C$138),TABLAS!$B$52:$B$58,0)+1,7))/MAX(BQ26,0.0001)),DATOS!$C$144)&gt;=DATOS!$C$143),INDEX(TABLAS!$B$52:$B$58,MIN(MATCH(IF(ISNUMBER(S26),S26,DATOS!$C$138),TABLAS!$B$52:$B$58,0)+1,7)),IF(AND(BQ26&gt;0,FLOOR(MIN(BD26,100*INDEX(TABLAS!$D$52:$D$58,MIN(MATCH(IF(ISNUMBER(S26),S26,DATOS!$C$138),TABLAS!$B$52:$B$58,0)+2,7))/MAX(BQ26,0.0001)),DATOS!$C$144)&gt;=DATOS!$C$143),INDEX(TABLAS!$B$52:$B$58,MIN(MATCH(IF(ISNUMBER(S26),S26,DATOS!$C$138),TABLAS!$B$52:$B$58,0)+2,7)),IF(AND(BQ26&gt;0,FLOOR(MIN(BD26,100*INDEX(TABLAS!$D$52:$D$58,MIN(MATCH(IF(ISNUMBER(S26),S26,DATOS!$C$138),TABLAS!$B$52:$B$58,0)+3,7))/MAX(BQ26,0.0001)),DATOS!$C$144)&gt;=DATOS!$C$143),INDEX(TABLAS!$B$52:$B$58,MIN(MATCH(IF(ISNUMBER(S26),S26,DATOS!$C$138),TABLAS!$B$52:$B$58,0)+3,7)),IF(AND(BQ26&gt;0,FLOOR(MIN(BD26,100*INDEX(TABLAS!$D$52:$D$58,MIN(MATCH(IF(ISNUMBER(S26),S26,DATOS!$C$138),TABLAS!$B$52:$B$58,0)+4,7))/MAX(BQ26,0.0001)),DATOS!$C$144)&gt;=DATOS!$C$143),INDEX(TABLAS!$B$52:$B$58,MIN(MATCH(IF(ISNUMBER(S26),S26,DATOS!$C$138),TABLAS!$B$52:$B$58,0)+4,7)),INDEX(TABLAS!$B$52:$B$58,7)))))))</f>
        <v/>
      </c>
      <c r="BS26" s="71" t="str">
        <f>IF(V26&lt;&gt;"SÍ","",IF(BQ26&lt;=0,0,FLOOR(MIN(BD26,100*INDEX(TABLAS!$D$52:$D$58,MATCH(BR26,TABLAS!$B$52:$B$58,0))/BQ26),DATOS!$C$144)))</f>
        <v/>
      </c>
      <c r="BT26" s="58" t="str">
        <f>IF(V26&lt;&gt;"SÍ","",IF(BS26&lt;=0,0,INDEX(TABLAS!$D$52:$D$58,MATCH(BR26,TABLAS!$B$52:$B$58,0))*100/BS26))</f>
        <v/>
      </c>
      <c r="BU26" s="58" t="str">
        <f>IF(V26&lt;&gt;"SÍ","",((W26-AF26-INDEX(TABLAS!$C$52:$C$58,MATCH(BR26,TABLAS!$B$52:$B$58,0))/2)-IF(AND((W26-AF26-INDEX(TABLAS!$C$52:$C$58,MATCH(BR26,TABLAS!$B$52:$B$58,0))/2)&lt;=20,DATOS!$C$65&lt;&gt;"SÍ"),2,0)))</f>
        <v/>
      </c>
      <c r="BV26" s="56" t="str">
        <f>IF(V26&lt;&gt;"SÍ","",IF(BT26=0,0,DATOS!$C$29*BT26*DATOS!$C$14*(BU26-BT26*DATOS!$C$14/(DATOS!$C$21*100)/2)/1E5))</f>
        <v/>
      </c>
      <c r="BW26" s="65" t="str">
        <f>IF(V26&lt;&gt;"SÍ","",IF(BQ26&lt;0,9.99,IF(BV26&gt;0,AY26/BV26,0)))</f>
        <v/>
      </c>
      <c r="BX26" s="66" t="str">
        <f>IF(V26&lt;&gt;"SÍ","",IF(BT26=0,"—",0.003*(BU26-(BT26*DATOS!$C$14/(DATOS!$C$21*100)/DATOS!$C$22))/(BT26*DATOS!$C$14/(DATOS!$C$21*100)/DATOS!$C$22)))</f>
        <v/>
      </c>
      <c r="BY26" s="58" t="str">
        <f>IF(V26&lt;&gt;"SÍ","",(W26-AE26-1.5*INDEX(TABLAS!$C$52:$C$58,MATCH(IF(ISNUMBER(S26),S26,DATOS!$C$138),TABLAS!$B$52:$B$58,0))))</f>
        <v/>
      </c>
      <c r="BZ26" s="58" t="str">
        <f>IF(V26&lt;&gt;"SÍ","",IF(AZ26&lt;=0,0,IF((1-2*AZ26*1E5/(DATOS!$C$29*100*BY26^2*DATOS!$C$21))&lt;0,-1,IF((1-SQRT((1-2*AZ26*1E5/(DATOS!$C$29*100*BY26^2*DATOS!$C$21))))*DATOS!$C$21*100*BY26/DATOS!$C$14&gt;DATOS!$C$102*100*BY26,-1,(1-SQRT((1-2*AZ26*1E5/(DATOS!$C$29*100*BY26^2*DATOS!$C$21))))*DATOS!$C$21*100*BY26/DATOS!$C$14))))</f>
        <v/>
      </c>
      <c r="CA26" s="58" t="str">
        <f>IF(V26&lt;&gt;"SÍ","",IF(BZ26&lt;0,-1,MAX(BZ26,BC26)))</f>
        <v/>
      </c>
      <c r="CB26" s="64" t="str">
        <f>IF(V26&lt;&gt;"SÍ","",IF(AND(CA26&gt;0,FLOOR(MIN(BD26,100*INDEX(TABLAS!$D$52:$D$58,MIN(MATCH(IF(ISNUMBER(S26),S26,DATOS!$C$138),TABLAS!$B$52:$B$58,0)+0,7))/MAX(CA26,0.0001)),DATOS!$C$144)&gt;=DATOS!$C$143),INDEX(TABLAS!$B$52:$B$58,MIN(MATCH(IF(ISNUMBER(S26),S26,DATOS!$C$138),TABLAS!$B$52:$B$58,0)+0,7)),IF(AND(CA26&gt;0,FLOOR(MIN(BD26,100*INDEX(TABLAS!$D$52:$D$58,MIN(MATCH(IF(ISNUMBER(S26),S26,DATOS!$C$138),TABLAS!$B$52:$B$58,0)+1,7))/MAX(CA26,0.0001)),DATOS!$C$144)&gt;=DATOS!$C$143),INDEX(TABLAS!$B$52:$B$58,MIN(MATCH(IF(ISNUMBER(S26),S26,DATOS!$C$138),TABLAS!$B$52:$B$58,0)+1,7)),IF(AND(CA26&gt;0,FLOOR(MIN(BD26,100*INDEX(TABLAS!$D$52:$D$58,MIN(MATCH(IF(ISNUMBER(S26),S26,DATOS!$C$138),TABLAS!$B$52:$B$58,0)+2,7))/MAX(CA26,0.0001)),DATOS!$C$144)&gt;=DATOS!$C$143),INDEX(TABLAS!$B$52:$B$58,MIN(MATCH(IF(ISNUMBER(S26),S26,DATOS!$C$138),TABLAS!$B$52:$B$58,0)+2,7)),IF(AND(CA26&gt;0,FLOOR(MIN(BD26,100*INDEX(TABLAS!$D$52:$D$58,MIN(MATCH(IF(ISNUMBER(S26),S26,DATOS!$C$138),TABLAS!$B$52:$B$58,0)+3,7))/MAX(CA26,0.0001)),DATOS!$C$144)&gt;=DATOS!$C$143),INDEX(TABLAS!$B$52:$B$58,MIN(MATCH(IF(ISNUMBER(S26),S26,DATOS!$C$138),TABLAS!$B$52:$B$58,0)+3,7)),IF(AND(CA26&gt;0,FLOOR(MIN(BD26,100*INDEX(TABLAS!$D$52:$D$58,MIN(MATCH(IF(ISNUMBER(S26),S26,DATOS!$C$138),TABLAS!$B$52:$B$58,0)+4,7))/MAX(CA26,0.0001)),DATOS!$C$144)&gt;=DATOS!$C$143),INDEX(TABLAS!$B$52:$B$58,MIN(MATCH(IF(ISNUMBER(S26),S26,DATOS!$C$138),TABLAS!$B$52:$B$58,0)+4,7)),INDEX(TABLAS!$B$52:$B$58,7)))))))</f>
        <v/>
      </c>
      <c r="CC26" s="71" t="str">
        <f>IF(V26&lt;&gt;"SÍ","",IF(CA26&lt;=0,0,FLOOR(MIN(BD26,100*INDEX(TABLAS!$D$52:$D$58,MATCH(CB26,TABLAS!$B$52:$B$58,0))/CA26),DATOS!$C$144)))</f>
        <v/>
      </c>
      <c r="CD26" s="58" t="str">
        <f>IF(V26&lt;&gt;"SÍ","",IF(CC26&lt;=0,0,INDEX(TABLAS!$D$52:$D$58,MATCH(CB26,TABLAS!$B$52:$B$58,0))*100/CC26))</f>
        <v/>
      </c>
      <c r="CE26" s="58" t="str">
        <f>IF(V26&lt;&gt;"SÍ","",W26-AE26-INDEX(TABLAS!$C$52:$C$58,MATCH(BH26,TABLAS!$B$52:$B$58,0))-INDEX(TABLAS!$C$52:$C$58,MATCH(CB26,TABLAS!$B$52:$B$58,0))/2)</f>
        <v/>
      </c>
      <c r="CF26" s="56" t="str">
        <f>IF(V26&lt;&gt;"SÍ","",IF(CD26=0,0,DATOS!$C$29*CD26*DATOS!$C$14*(CE26-CD26*DATOS!$C$14/(DATOS!$C$21*100)/2)/1E5))</f>
        <v/>
      </c>
      <c r="CG26" s="65" t="str">
        <f>IF(V26&lt;&gt;"SÍ","",IF(CA26&lt;0,9.99,IF(CF26&gt;0,AZ26/CF26,0)))</f>
        <v/>
      </c>
      <c r="CH26" s="66" t="str">
        <f>IF(V26&lt;&gt;"SÍ","",IF(CD26=0,"—",0.003*(CE26-(CD26*DATOS!$C$14/(DATOS!$C$21*100)/DATOS!$C$22))/(CD26*DATOS!$C$14/(DATOS!$C$21*100)/DATOS!$C$22)))</f>
        <v/>
      </c>
      <c r="CI26" s="58" t="str">
        <f>IF(V26&lt;&gt;"SÍ","",((W26-AF26-1.5*INDEX(TABLAS!$C$52:$C$58,MATCH(IF(ISNUMBER(S26),S26,DATOS!$C$138),TABLAS!$B$52:$B$58,0)))-IF(AND((W26-AF26-1.5*INDEX(TABLAS!$C$52:$C$58,MATCH(IF(ISNUMBER(S26),S26,DATOS!$C$138),TABLAS!$B$52:$B$58,0)))&lt;=20,DATOS!$C$65&lt;&gt;"SÍ"),2,0)))</f>
        <v/>
      </c>
      <c r="CJ26" s="58" t="str">
        <f>IF(V26&lt;&gt;"SÍ","",IF(BA26&lt;=0,0,IF((1-2*BA26*1E5/(DATOS!$C$29*100*CI26^2*DATOS!$C$21))&lt;0,-1,IF((1-SQRT((1-2*BA26*1E5/(DATOS!$C$29*100*CI26^2*DATOS!$C$21))))*DATOS!$C$21*100*CI26/DATOS!$C$14&gt;DATOS!$C$102*100*CI26,-1,(1-SQRT((1-2*BA26*1E5/(DATOS!$C$29*100*CI26^2*DATOS!$C$21))))*DATOS!$C$21*100*CI26/DATOS!$C$14))))</f>
        <v/>
      </c>
      <c r="CK26" s="58" t="str">
        <f>IF(V26&lt;&gt;"SÍ","",IF(CJ26&lt;0,-1,MAX(CJ26,BC26)))</f>
        <v/>
      </c>
      <c r="CL26" s="64" t="str">
        <f>IF(V26&lt;&gt;"SÍ","",IF(AND(CK26&gt;0,FLOOR(MIN(BD26,100*INDEX(TABLAS!$D$52:$D$58,MIN(MATCH(IF(ISNUMBER(S26),S26,DATOS!$C$138),TABLAS!$B$52:$B$58,0)+0,7))/MAX(CK26,0.0001)),DATOS!$C$144)&gt;=DATOS!$C$143),INDEX(TABLAS!$B$52:$B$58,MIN(MATCH(IF(ISNUMBER(S26),S26,DATOS!$C$138),TABLAS!$B$52:$B$58,0)+0,7)),IF(AND(CK26&gt;0,FLOOR(MIN(BD26,100*INDEX(TABLAS!$D$52:$D$58,MIN(MATCH(IF(ISNUMBER(S26),S26,DATOS!$C$138),TABLAS!$B$52:$B$58,0)+1,7))/MAX(CK26,0.0001)),DATOS!$C$144)&gt;=DATOS!$C$143),INDEX(TABLAS!$B$52:$B$58,MIN(MATCH(IF(ISNUMBER(S26),S26,DATOS!$C$138),TABLAS!$B$52:$B$58,0)+1,7)),IF(AND(CK26&gt;0,FLOOR(MIN(BD26,100*INDEX(TABLAS!$D$52:$D$58,MIN(MATCH(IF(ISNUMBER(S26),S26,DATOS!$C$138),TABLAS!$B$52:$B$58,0)+2,7))/MAX(CK26,0.0001)),DATOS!$C$144)&gt;=DATOS!$C$143),INDEX(TABLAS!$B$52:$B$58,MIN(MATCH(IF(ISNUMBER(S26),S26,DATOS!$C$138),TABLAS!$B$52:$B$58,0)+2,7)),IF(AND(CK26&gt;0,FLOOR(MIN(BD26,100*INDEX(TABLAS!$D$52:$D$58,MIN(MATCH(IF(ISNUMBER(S26),S26,DATOS!$C$138),TABLAS!$B$52:$B$58,0)+3,7))/MAX(CK26,0.0001)),DATOS!$C$144)&gt;=DATOS!$C$143),INDEX(TABLAS!$B$52:$B$58,MIN(MATCH(IF(ISNUMBER(S26),S26,DATOS!$C$138),TABLAS!$B$52:$B$58,0)+3,7)),IF(AND(CK26&gt;0,FLOOR(MIN(BD26,100*INDEX(TABLAS!$D$52:$D$58,MIN(MATCH(IF(ISNUMBER(S26),S26,DATOS!$C$138),TABLAS!$B$52:$B$58,0)+4,7))/MAX(CK26,0.0001)),DATOS!$C$144)&gt;=DATOS!$C$143),INDEX(TABLAS!$B$52:$B$58,MIN(MATCH(IF(ISNUMBER(S26),S26,DATOS!$C$138),TABLAS!$B$52:$B$58,0)+4,7)),INDEX(TABLAS!$B$52:$B$58,7)))))))</f>
        <v/>
      </c>
      <c r="CM26" s="71" t="str">
        <f>IF(V26&lt;&gt;"SÍ","",IF(CK26&lt;=0,0,FLOOR(MIN(BD26,100*INDEX(TABLAS!$D$52:$D$58,MATCH(CL26,TABLAS!$B$52:$B$58,0))/CK26),DATOS!$C$144)))</f>
        <v/>
      </c>
      <c r="CN26" s="58" t="str">
        <f>IF(V26&lt;&gt;"SÍ","",IF(CM26&lt;=0,0,INDEX(TABLAS!$D$52:$D$58,MATCH(CL26,TABLAS!$B$52:$B$58,0))*100/CM26))</f>
        <v/>
      </c>
      <c r="CO26" s="58" t="str">
        <f>IF(V26&lt;&gt;"SÍ","",((W26-AF26-INDEX(TABLAS!$C$52:$C$58,MATCH(BR26,TABLAS!$B$52:$B$58,0))-INDEX(TABLAS!$C$52:$C$58,MATCH(CL26,TABLAS!$B$52:$B$58,0))/2)-IF(AND((W26-AF26-INDEX(TABLAS!$C$52:$C$58,MATCH(BR26,TABLAS!$B$52:$B$58,0))-INDEX(TABLAS!$C$52:$C$58,MATCH(CL26,TABLAS!$B$52:$B$58,0))/2)&lt;=20,DATOS!$C$65&lt;&gt;"SÍ"),2,0)))</f>
        <v/>
      </c>
      <c r="CP26" s="56" t="str">
        <f>IF(V26&lt;&gt;"SÍ","",IF(CN26=0,0,DATOS!$C$29*CN26*DATOS!$C$14*(CO26-CN26*DATOS!$C$14/(DATOS!$C$21*100)/2)/1E5))</f>
        <v/>
      </c>
      <c r="CQ26" s="65" t="str">
        <f>IF(V26&lt;&gt;"SÍ","",IF(CK26&lt;0,9.99,IF(CP26&gt;0,BA26/CP26,0)))</f>
        <v/>
      </c>
      <c r="CR26" s="66" t="str">
        <f>IF(V26&lt;&gt;"SÍ","",IF(CN26=0,"—",0.003*(CO26-(CN26*DATOS!$C$14/(DATOS!$C$21*100)/DATOS!$C$22))/(CN26*DATOS!$C$14/(DATOS!$C$21*100)/DATOS!$C$22)))</f>
        <v/>
      </c>
      <c r="CS26" s="56" t="str">
        <f>IF(V26&lt;&gt;"SÍ","",IF(C26="PERIMETRAL",MAX(0,(AC26/2-BU26)/100)*(0.95-0.5*AB26)*AK26*IF(AND(AL26&gt;0,AL26&lt;4),DATOS!$C$33,1)/1000,(AK26*MAX(0,AC26-BU26)/100+DATOS!$C$26*N(P26))/1000))</f>
        <v/>
      </c>
      <c r="CT26" s="66" t="str">
        <f>IF(V26&lt;&gt;"SÍ","",BT26/(100*BU26))</f>
        <v/>
      </c>
      <c r="CU26" s="56" t="str">
        <f>IF(V26&lt;&gt;"SÍ","",DATOS!$C$30*2*MIN(1,SQRT(2/(1+0.04*BU26)))*CT26^(1/3)*SQRT(DATOS!$C$13)*100*BU26/1000)</f>
        <v/>
      </c>
      <c r="CV26" s="67" t="str">
        <f>IF(V26&lt;&gt;"SÍ","",IF(CS26&lt;=CU26,"CUMPLE","NO CUMPLE: sube h"))</f>
        <v/>
      </c>
      <c r="CW26" s="58" t="str">
        <f>IF(V26&lt;&gt;"SÍ","",IF(C26="PERIMETRAL",IF(ISNUMBER(R26),R26,DATOS!$C$104),0))</f>
        <v/>
      </c>
      <c r="CX26" s="57" t="str">
        <f>IF(V26&lt;&gt;"SÍ","",IF(C26="PERIMETRAL",IF(CW26&gt;2,MAX(9,AD26*(0.8+DATOS!$C$14/14000)/(36+9*(AD26/MAX(AC26,1)))),IF(CW26&gt;0.2,MAX(13,AD26*(0.8+DATOS!$C$14/14000)/(36+5*(AD26/MAX(AC26,1))*(CW26-0.2))),MAX(13,AD26/IF(AL26&gt;0,30,33))))*IF(AND(CW26&gt;0.2,AL26&gt;0,DATOS!$C$105="NO"),1.1,1),Z26*100/DATOS!$C$145*(0.4+DATOS!$C$14/7000)))</f>
        <v/>
      </c>
      <c r="CY26" s="61" t="str">
        <f>IF(V26&lt;&gt;"SÍ","",IF(W26&gt;=CX26-0.001,"CUMPLE",IF(C26="VOLADO","NO CUMPLE","CALCULAR FLECHA")))</f>
        <v/>
      </c>
      <c r="CZ26" s="60" t="str">
        <f>IF(V26&lt;&gt;"SÍ","",IF(C26="VOLADO",MIN(FLOOR(IF(ISNUMBER(Q26),Q26,Z26)*100-DATOS!$C$63,5),CEILING(MAX(IF((0.5*(0.9*W26/100*DATOS!$C$16)*IF(ISNUMBER(Q26),Q26,Z26)+AY26/IF(ISNUMBER(Q26),Q26,Z26))^2-4*(0.5*(0.9*W26/100*DATOS!$C$16))*AY26&lt;0,IF(ISNUMBER(Q26),Q26,Z26),MIN(IF(ISNUMBER(Q26),Q26,Z26),((0.5*(0.9*W26/100*DATOS!$C$16)*IF(ISNUMBER(Q26),Q26,Z26)+AY26/IF(ISNUMBER(Q26),Q26,Z26))-SQRT((0.5*(0.9*W26/100*DATOS!$C$16)*IF(ISNUMBER(Q26),Q26,Z26)+AY26/IF(ISNUMBER(Q26),Q26,Z26))^2-4*(0.5*(0.9*W26/100*DATOS!$C$16))*AY26))/(2*(0.5*(0.9*W26/100*DATOS!$C$16)))))*100+MAX(BU26,12*INDEX(TABLAS!$C$52:$C$58,MATCH(BR26,TABLAS!$B$52:$B$58,0)),IF(ISNUMBER(Q26),Q26,Z26)*100/16),IF(OR(AF26&lt;INDEX(TABLAS!$C$52:$C$58,MATCH(BR26,TABLAS!$B$52:$B$58,0)),BS26-INDEX(TABLAS!$C$52:$C$58,MATCH(BR26,TABLAS!$B$52:$B$58,0))&lt;2*INDEX(TABLAS!$C$52:$C$58,MATCH(BR26,TABLAS!$B$52:$B$58,0))),INDEX(TABLAS!$I$52:$I$58,MATCH(BR26,TABLAS!$B$52:$B$58,0)),INDEX(TABLAS!$F$52:$F$58,MATCH(BR26,TABLAS!$B$52:$B$58,0)))),5)),IF(((4*((AV26*AK26*Z26^2*1E-4/1000)+((MAX(AR26,AT26)*AK26*Z26^2*1E-4/1000)+(IF(AND(AR26&gt;0,AT26&gt;0),MIN(AR26,AT26),MAX(AR26,AT26))*AK26*Z26^2*1E-4/1000))/2)+AY26-(IF(AND(AR26&gt;0,AT26&gt;0),MIN(AR26,AT26),MAX(AR26,AT26))*AK26*Z26^2*1E-4/1000))^2-16*((AV26*AK26*Z26^2*1E-4/1000)+((MAX(AR26,AT26)*AK26*Z26^2*1E-4/1000)+(IF(AND(AR26&gt;0,AT26&gt;0),MIN(AR26,AT26),MAX(AR26,AT26))*AK26*Z26^2*1E-4/1000))/2)*AY26)&lt;0,CEILING(AC26,5),CEILING(MAX(AC26*((4*((AV26*AK26*Z26^2*1E-4/1000)+((MAX(AR26,AT26)*AK26*Z26^2*1E-4/1000)+(IF(AND(AR26&gt;0,AT26&gt;0),MIN(AR26,AT26),MAX(AR26,AT26))*AK26*Z26^2*1E-4/1000))/2)+AY26-(IF(AND(AR26&gt;0,AT26&gt;0),MIN(AR26,AT26),MAX(AR26,AT26))*AK26*Z26^2*1E-4/1000))-SQRT(MAX(0,((4*((AV26*AK26*Z26^2*1E-4/1000)+((MAX(AR26,AT26)*AK26*Z26^2*1E-4/1000)+(IF(AND(AR26&gt;0,AT26&gt;0),MIN(AR26,AT26),MAX(AR26,AT26))*AK26*Z26^2*1E-4/1000))/2)+AY26-(IF(AND(AR26&gt;0,AT26&gt;0),MIN(AR26,AT26),MAX(AR26,AT26))*AK26*Z26^2*1E-4/1000))^2-16*((AV26*AK26*Z26^2*1E-4/1000)+((MAX(AR26,AT26)*AK26*Z26^2*1E-4/1000)+(IF(AND(AR26&gt;0,AT26&gt;0),MIN(AR26,AT26),MAX(AR26,AT26))*AK26*Z26^2*1E-4/1000))/2)*AY26))))/(8*MAX(((AV26*AK26*Z26^2*1E-4/1000)+((MAX(AR26,AT26)*AK26*Z26^2*1E-4/1000)+(IF(AND(AR26&gt;0,AT26&gt;0),MIN(AR26,AT26),MAX(AR26,AT26))*AK26*Z26^2*1E-4/1000))/2),1E-9))+MAX(BU26,12*INDEX(TABLAS!$C$52:$C$58,MATCH(BR26,TABLAS!$B$52:$B$58,0)),AC26/16),IF(OR(AF26&lt;INDEX(TABLAS!$C$52:$C$58,MATCH(BR26,TABLAS!$B$52:$B$58,0)),BS26-INDEX(TABLAS!$C$52:$C$58,MATCH(BR26,TABLAS!$B$52:$B$58,0))&lt;2*INDEX(TABLAS!$C$52:$C$58,MATCH(BR26,TABLAS!$B$52:$B$58,0))),INDEX(TABLAS!$I$52:$I$58,MATCH(BR26,TABLAS!$B$52:$B$58,0)),INDEX(TABLAS!$F$52:$F$58,MATCH(BR26,TABLAS!$B$52:$B$58,0)))),5))))</f>
        <v/>
      </c>
      <c r="DA26" s="60" t="str">
        <f>IF(V26&lt;&gt;"SÍ","",IF(C26="VOLADO",0,IF(((4*((AW26*AK26*Z26^2*1E-4/1000)+((MAX(AS26,AU26)*AK26*Z26^2*1E-4/1000)+(IF(AND(AS26&gt;0,AU26&gt;0),MIN(AS26,AU26),MAX(AS26,AU26))*AK26*Z26^2*1E-4/1000))/2)+BA26-(IF(AND(AS26&gt;0,AU26&gt;0),MIN(AS26,AU26),MAX(AS26,AU26))*AK26*Z26^2*1E-4/1000))^2-16*((AW26*AK26*Z26^2*1E-4/1000)+((MAX(AS26,AU26)*AK26*Z26^2*1E-4/1000)+(IF(AND(AS26&gt;0,AU26&gt;0),MIN(AS26,AU26),MAX(AS26,AU26))*AK26*Z26^2*1E-4/1000))/2)*BA26)&lt;0,CEILING(AD26,5),CEILING(MAX(AD26*((4*((AW26*AK26*Z26^2*1E-4/1000)+((MAX(AS26,AU26)*AK26*Z26^2*1E-4/1000)+(IF(AND(AS26&gt;0,AU26&gt;0),MIN(AS26,AU26),MAX(AS26,AU26))*AK26*Z26^2*1E-4/1000))/2)+BA26-(IF(AND(AS26&gt;0,AU26&gt;0),MIN(AS26,AU26),MAX(AS26,AU26))*AK26*Z26^2*1E-4/1000))-SQRT(MAX(0,((4*((AW26*AK26*Z26^2*1E-4/1000)+((MAX(AS26,AU26)*AK26*Z26^2*1E-4/1000)+(IF(AND(AS26&gt;0,AU26&gt;0),MIN(AS26,AU26),MAX(AS26,AU26))*AK26*Z26^2*1E-4/1000))/2)+BA26-(IF(AND(AS26&gt;0,AU26&gt;0),MIN(AS26,AU26),MAX(AS26,AU26))*AK26*Z26^2*1E-4/1000))^2-16*((AW26*AK26*Z26^2*1E-4/1000)+((MAX(AS26,AU26)*AK26*Z26^2*1E-4/1000)+(IF(AND(AS26&gt;0,AU26&gt;0),MIN(AS26,AU26),MAX(AS26,AU26))*AK26*Z26^2*1E-4/1000))/2)*BA26))))/(8*MAX(((AW26*AK26*Z26^2*1E-4/1000)+((MAX(AS26,AU26)*AK26*Z26^2*1E-4/1000)+(IF(AND(AS26&gt;0,AU26&gt;0),MIN(AS26,AU26),MAX(AS26,AU26))*AK26*Z26^2*1E-4/1000))/2),1E-9))+MAX(CO26,12*INDEX(TABLAS!$C$52:$C$58,MATCH(CL26,TABLAS!$B$52:$B$58,0)),AD26/16),IF(OR(AF26&lt;INDEX(TABLAS!$C$52:$C$58,MATCH(CL26,TABLAS!$B$52:$B$58,0)),CM26-INDEX(TABLAS!$C$52:$C$58,MATCH(CL26,TABLAS!$B$52:$B$58,0))&lt;2*INDEX(TABLAS!$C$52:$C$58,MATCH(CL26,TABLAS!$B$52:$B$58,0))),INDEX(TABLAS!$I$52:$I$58,MATCH(CL26,TABLAS!$B$52:$B$58,0)),INDEX(TABLAS!$F$52:$F$58,MATCH(CL26,TABLAS!$B$52:$B$58,0)))),5))))</f>
        <v/>
      </c>
      <c r="DB26" s="55" t="str">
        <f>IF(V26&lt;&gt;"SÍ","",IF(AND(C26="PERIMETRAL",AL26-AM26&gt;0,AT26&gt;0),"SÍ","NO"))</f>
        <v/>
      </c>
      <c r="DC26" s="55" t="str">
        <f>IF(V26&lt;&gt;"SÍ","",IF(AND(C26="PERIMETRAL",AM26&gt;0,AU26&gt;0),"SÍ","NO"))</f>
        <v/>
      </c>
      <c r="DD26" s="63" t="str">
        <f>IF(V26&lt;&gt;"SÍ","",IF(OR(C26="VOLADO",AL26=0),"—",IF(AND(AND(INDEX(TABLAS!$G$52:$G$58,MATCH(MAX(BR26,CL26),TABLAS!$B$52:$B$58,0))&lt;=(DATOS!$C$75-DATOS!$C$63),(DATOS!$C$75-DATOS!$C$63)&gt;=15),8*INDEX(TABLAS!$C$52:$C$58,MATCH(MAX(BH26,CB26,BR26,CL26),TABLAS!$B$52:$B$58,0))&lt;=DATOS!$C$76-2*DATOS!$C$63),"CUMPLE (gancho de 180°)",IF(AND(INDEX(TABLAS!$G$52:$G$58,MATCH(MAX(BR26,CL26),TABLAS!$B$52:$B$58,0))&lt;=(DATOS!$C$75-DATOS!$C$63),(DATOS!$C$75-DATOS!$C$63)&gt;=15),"NO CUMPLE: el gancho de 180° (8·d_b) no cabe en el peralte de la dala de borde","NO CUMPLE: dala de borde ≥ "&amp;TEXT(CEILING(MAX(INDEX(TABLAS!$G$52:$G$58,MATCH(MAX(BR26,CL26),TABLAS!$B$52:$B$58,0)),15)+DATOS!$C$63,5),"0")&amp;" cm de ancho"&amp;IF(8*INDEX(TABLAS!$C$52:$C$58,MATCH(MAX(BH26,CB26,BR26,CL26),TABLAS!$B$52:$B$58,0))&lt;=DATOS!$C$76-2*DATOS!$C$63,""," y más peralte para el gancho")))))</f>
        <v/>
      </c>
      <c r="DE26" s="69" t="str">
        <f>IF(V26&lt;&gt;"SÍ","",IF(BI26=0,"NO ALCANZA","No. "&amp;BH26&amp;" @ "&amp;BI26&amp;" cm"&amp;IF(C26="VOLADO"," (temperatura)","")))</f>
        <v/>
      </c>
      <c r="DF26" s="69" t="str">
        <f>IF(V26&lt;&gt;"SÍ","",IF(BS26=0,"NO ALCANZA",IF(C26="VOLADO","No. "&amp;BR26&amp;" @ "&amp;BS26&amp;" cm"&amp;" de la orilla al respaldo ("&amp;IF(CZ26&gt;=FLOOR(100*IF(ISNUMBER(Q26),Q26,Z26)-DATOS!$C$63,5),"hasta su apoyo lejano, con gancho","entran "&amp;TEXT(CZ26/100,"0.00")&amp;" m desde el paño")&amp;")","Bastones "&amp;"No. "&amp;BR26&amp;" @ "&amp;BS26&amp;" cm"&amp;", L = "&amp;TEXT(CZ26/100,"0.00")&amp;" m desde el paño")))</f>
        <v/>
      </c>
      <c r="DG26" s="69" t="str">
        <f>IF(V26&lt;&gt;"SÍ","",IF(CC26=0,"NO ALCANZA","No. "&amp;CB26&amp;" @ "&amp;CC26&amp;" cm"&amp;IF(C26="VOLADO"," (repartición)","")))</f>
        <v/>
      </c>
      <c r="DH26" s="69" t="str">
        <f>IF(V26&lt;&gt;"SÍ","",IF(CM26=0,"NO ALCANZA",IF(C26="VOLADO","No. "&amp;CL26&amp;" @ "&amp;CM26&amp;" cm"&amp;" (repartición)","Bastones "&amp;"No. "&amp;CL26&amp;" @ "&amp;CM26&amp;" cm"&amp;", L = "&amp;TEXT(DA26/100,"0.00")&amp;" m desde el paño")))</f>
        <v/>
      </c>
      <c r="DI26" s="67" t="str">
        <f>IF(B26="","",IF(V26&lt;&gt;"SÍ","FALTAN DATOS: tipo, a_x, a_y, destino y, en volados, L_b",IF(L26="NO MONOLÍTICO (caso II)","FUERA DE ALCANCE: caso II no transcrito",IF(AND(C26="VOLADO",X26="?"),"REVISAR: el volado lleva UN solo borde CONTINUO (el empotrado)",IF(AND(MAX(BM26,BW26,CG26,CQ26)&lt;=1,NOT(OR(BI26&lt;DATOS!$C$143,BS26&lt;DATOS!$C$143,CC26&lt;DATOS!$C$143,CM26&lt;DATOS!$C$143)),NOT(OR(AND(ISNUMBER(BN26),BN26&lt;0.005),AND(ISNUMBER(BX26),BX26&lt;0.005),AND(ISNUMBER(CH26),CH26&lt;0.005),AND(ISNUMBER(CR26),CR26&lt;0.005))),CV26="CUMPLE",CY26="CUMPLE"),"CUMPLE"&amp;IF(LEFT(BB26,5)="FUERA"," · fuera de 3.4.2.1 c)","")&amp;IF(LEFT(DD26,2)="NO"," · REVISAR anclaje en borde discontinuo",""),IF(AND(MAX(BM26,BW26,CG26,CQ26)&lt;=1,NOT(OR(BI26&lt;DATOS!$C$143,BS26&lt;DATOS!$C$143,CC26&lt;DATOS!$C$143,CM26&lt;DATOS!$C$143)),NOT(OR(AND(ISNUMBER(BN26),BN26&lt;0.005),AND(ISNUMBER(BX26),BX26&lt;0.005),AND(ISNUMBER(CH26),CH26&lt;0.005),AND(ISNUMBER(CR26),CR26&lt;0.005))),CV26="CUMPLE",CY26="CALCULAR FLECHA"),"REVISAR: calcular flecha (h &lt; h mín.)"&amp;IF(LEFT(BB26,5)="FUERA"," · fuera de 3.4.2.1 c)","")&amp;IF(LEFT(DD26,2)="NO"," · REVISAR anclaje en borde discontinuo",""),"NO CUMPLE: "&amp;IF(MAX(BM26,BW26,CG26,CQ26)&gt;1,"flexión ","")&amp;IF(OR(BI26&lt;DATOS!$C$143,BS26&lt;DATOS!$C$143,CC26&lt;DATOS!$C$143,CM26&lt;DATOS!$C$143),"separación &lt; mínima ","")&amp;IF(OR(AND(ISNUMBER(BN26),BN26&lt;0.005),AND(ISNUMBER(BX26),BX26&lt;0.005),AND(ISNUMBER(CH26),CH26&lt;0.005),AND(ISNUMBER(CR26),CR26&lt;0.005)),"ε_t &lt; 0.005 ","")&amp;IF(CV26&lt;&gt;"CUMPLE","cortante ","")&amp;IF(CY26="NO CUMPLE","peralte","")))))))</f>
        <v/>
      </c>
      <c r="DJ26" s="70" t="str">
        <f>IF(V26&lt;&gt;"SÍ","",IF(LEFT(B26,7)="EJEMPLO","EJEMPLO de tablero típico: bórralo o sobrescríbelo. ","")&amp;IF(C26="VOLADO","Volado de "&amp;TEXT(Z26,"0.00")&amp;" m empotrado en el borde "&amp;LOWER(X26)&amp;IF(N(P26)&gt;0,", con "&amp;TEXT(P26,"0.0")&amp;" kg/m en la orilla","")&amp;". Lecho inferior con r_ext. Si la orilla carga pretil u otro elemento frágil, calcula la flecha (13.4). El acero superior entra al respaldo de "&amp;TEXT(IF(ISNUMBER(Q26),Q26,Z26),"0.00")&amp;" m"&amp;" hasta pasar M = 0 con 0.9·PP sin carga viva; si ahí no se anula, llega al apoyo lejano y se ancla con gancho. ","")&amp;IF(AND(C26="VOLADO",(0.9*W26/100*DATOS!$C$16*IF(ISNUMBER(Q26),Q26,Z26)/2-AY26/IF(ISNUMBER(Q26),Q26,Z26))&lt;0),"Con 0.9·PP y sin carga viva el apoyo lejano del respaldo levanta (R = "&amp;TEXT(-(0.9*W26/100*DATOS!$C$16*IF(ISNUMBER(Q26),Q26,Z26)/2-AY26/IF(ISNUMBER(Q26),Q26,Z26)),"0.00")&amp;" t/m): ancla ahí el acero con gancho y revisa ese apoyo a tensión. ","")&amp;IF(LEFT(BB26,5)="FUERA","El M⁻ del vecino difiere más de 50 % (3.4.2.1 c): distribuye el desequilibrio (3.4.3.1) o confirma con un modelo; se arma con el mayor. ","")&amp;IF(OR(DB26="SÍ",DC26="SÍ"),"Bastones también en los bordes discontinuos (M⁻ de tabla), con gancho. ","")&amp;IF(LEFT(DD26,2)="NO","Anclaje: "&amp;DD26&amp;" (6.7.7.4.1.1). ","")&amp;IF(AND(C26="PERIMETRAL",AM26&gt;=1,AL26-AM26&gt;=1),"Esquinas exteriores sobre muro: refuerzo de esquina arriba y abajo en L_largo/5 (6.7.7.3.1). ",""))</f>
        <v/>
      </c>
    </row>
    <row r="27" ht="33" customHeight="1">
      <c r="A27" s="50">
        <f>IF(B27="",0,1)+A26</f>
        <v>3</v>
      </c>
      <c r="B27" s="29" t="n"/>
      <c r="C27" s="51" t="n"/>
      <c r="D27" s="29" t="n"/>
      <c r="E27" s="52" t="n"/>
      <c r="F27" s="52" t="n"/>
      <c r="G27" s="51" t="n"/>
      <c r="H27" s="51" t="n"/>
      <c r="I27" s="51" t="n"/>
      <c r="J27" s="51" t="n"/>
      <c r="K27" s="51" t="n"/>
      <c r="L27" s="51" t="n"/>
      <c r="M27" s="54" t="n"/>
      <c r="N27" s="53" t="n"/>
      <c r="O27" s="53" t="n"/>
      <c r="P27" s="54" t="n"/>
      <c r="Q27" s="52" t="n"/>
      <c r="R27" s="54" t="n"/>
      <c r="S27" s="53" t="n"/>
      <c r="T27" s="52" t="n"/>
      <c r="U27" s="52" t="n"/>
      <c r="V27" s="55" t="str">
        <f>IF(B27="","",IF(AND(OR(C27="PERIMETRAL",C27="VOLADO"),ISNUMBER(E27),ISNUMBER(F27),E27&gt;0,F27&gt;0,OR(ISNUMBER(O27),ISNUMBER(MATCH(D27,DATOS!$B$46:$B$58,0))),OR(C27&lt;&gt;"VOLADO",N(Q27)&gt;0)),"SÍ","NO"))</f>
        <v/>
      </c>
      <c r="W27" s="57" t="str">
        <f>IF(V27&lt;&gt;"SÍ","",IF(ISNUMBER(M27),M27,DATOS!$C$137))</f>
        <v/>
      </c>
      <c r="X27" s="55" t="str">
        <f>IF(V27&lt;&gt;"SÍ","",IF(C27&lt;&gt;"VOLADO","—",IF(COUNTIF(G27:J27,"CONTINUO")&lt;&gt;1,"?",IF(G27="CONTINUO","INFERIOR",IF(H27="CONTINUO","SUPERIOR",IF(I27="CONTINUO","IZQUIERDO","DERECHO"))))))</f>
        <v/>
      </c>
      <c r="Y27" s="55" t="str">
        <f>IF(V27&lt;&gt;"SÍ","",IF(C27="VOLADO",IF(OR(X27="IZQUIERDO",X27="DERECHO"),"X","Y"),IF(E27&lt;=F27,"X","Y")))</f>
        <v/>
      </c>
      <c r="Z27" s="56" t="str">
        <f>IF(V27&lt;&gt;"SÍ","",IF(C27="VOLADO",IF(Y27="X",E27,F27),MIN(E27,F27)))</f>
        <v/>
      </c>
      <c r="AA27" s="56" t="str">
        <f>IF(V27&lt;&gt;"SÍ","",IF(C27="VOLADO",IF(Y27="X",F27,E27),MAX(E27,F27)))</f>
        <v/>
      </c>
      <c r="AB27" s="56" t="str">
        <f>IF(V27&lt;&gt;"SÍ","",MIN(Z27,AA27)/MAX(Z27,AA27))</f>
        <v/>
      </c>
      <c r="AC27" s="57" t="str">
        <f>IF(V27&lt;&gt;"SÍ","",MAX(1,Z27*100-IF(C27="VOLADO",DATOS!$C$87/2,DATOS!$C$87)))</f>
        <v/>
      </c>
      <c r="AD27" s="57" t="str">
        <f>IF(V27&lt;&gt;"SÍ","",MAX(1,AA27*100-DATOS!$C$87))</f>
        <v/>
      </c>
      <c r="AE27" s="57" t="str">
        <f>IF(V27&lt;&gt;"SÍ","",IF(C27="VOLADO",DATOS!$C$64,DATOS!$C$62))</f>
        <v/>
      </c>
      <c r="AF27" s="57" t="str">
        <f>IF(V27&lt;&gt;"SÍ","",IF(OR(AND(AG27="SÍ",DATOS!$C$66="SÍ"),AND(C27="VOLADO",DATOS!$C$67="SÍ")),DATOS!$C$64,DATOS!$C$62))</f>
        <v/>
      </c>
      <c r="AG27" s="55" t="str">
        <f>IF(V27&lt;&gt;"SÍ","",IFERROR(INDEX(DATOS!$D$46:$D$58,MATCH(D27,DATOS!$B$46:$B$58,0)),"NO"))</f>
        <v/>
      </c>
      <c r="AH27" s="59" t="str">
        <f>IF(V27&lt;&gt;"SÍ","",IF(ISNUMBER(O27),O27,IFERROR(INDEX(DATOS!$C$46:$C$58,MATCH(D27,DATOS!$B$46:$B$58,0)),0)))</f>
        <v/>
      </c>
      <c r="AI27" s="59" t="str">
        <f>IF(V27&lt;&gt;"SÍ","",W27/100*DATOS!$C$16*1000+DATOS!$C$37+DATOS!$C$38)</f>
        <v/>
      </c>
      <c r="AJ27" s="59" t="str">
        <f>IF(V27&lt;&gt;"SÍ","",AI27+N(N27))</f>
        <v/>
      </c>
      <c r="AK27" s="60" t="str">
        <f>IF(V27&lt;&gt;"SÍ","",MAX(DATOS!$C$26*AJ27+DATOS!$C$27*AH27,IF(AG27="SÍ",DATOS!$C$28*(AJ27+DATOS!$C$41),0)))</f>
        <v/>
      </c>
      <c r="AL27" s="59" t="str">
        <f>IF(V27&lt;&gt;"SÍ","",(G27="DISCONTINUO")+(H27="DISCONTINUO")+(I27="DISCONTINUO")+(J27="DISCONTINUO"))</f>
        <v/>
      </c>
      <c r="AM27" s="59" t="str">
        <f>IF(V27&lt;&gt;"SÍ","",IF(Y27="X",(G27="DISCONTINUO")+(H27="DISCONTINUO"),(I27="DISCONTINUO")+(J27="DISCONTINUO")))</f>
        <v/>
      </c>
      <c r="AN27" s="55" t="str">
        <f>IF(V27&lt;&gt;"SÍ","",IF(AL27=0,"INTERIOR",IF(AL27=1,IF(AM27=1,"BORDE-CORTO","BORDE-LARGO"),IF(AL27=2,IF(AM27=1,"ESQUINA",IF(AM27=2,"EXTREMO-LARGO","EXTREMO-CORTO")),IF(AL27=3,IF(AM27=2,"EXTREMO-LARGO","EXTREMO-CORTO"),"AISLADO")))))</f>
        <v/>
      </c>
      <c r="AO27" s="61" t="str">
        <f>IF(V27&lt;&gt;"SÍ","",IF(OR(K27="",K27="AUTO"),AN27,K27))</f>
        <v/>
      </c>
      <c r="AP27" s="59" t="str">
        <f>IF(V27&lt;&gt;"SÍ","",MATCH(AB27,TABLAS!$D$5:$J$5,1))</f>
        <v/>
      </c>
      <c r="AQ27" s="58" t="str">
        <f>IF(V27&lt;&gt;"SÍ","",IF(AP27&gt;=7,0,(AB27-INDEX(TABLAS!$D$5:$J$5,AP27))/(INDEX(TABLAS!$D$5:$J$5,AP27+1)-INDEX(TABLAS!$D$5:$J$5,AP27))))</f>
        <v/>
      </c>
      <c r="AR27" s="59" t="str">
        <f>IF(V27&lt;&gt;"SÍ","",INDEX(TABLAS!$D$6:$J$47,MATCH(AO27&amp;"|NIC",TABLAS!$B$6:$B$47,0),AP27)+AQ27*(INDEX(TABLAS!$D$6:$J$47,MATCH(AO27&amp;"|NIC",TABLAS!$B$6:$B$47,0),MIN(AP27+1,7))-INDEX(TABLAS!$D$6:$J$47,MATCH(AO27&amp;"|NIC",TABLAS!$B$6:$B$47,0),AP27)))</f>
        <v/>
      </c>
      <c r="AS27" s="59" t="str">
        <f>IF(V27&lt;&gt;"SÍ","",INDEX(TABLAS!$D$6:$J$47,MATCH(AO27&amp;"|NIL",TABLAS!$B$6:$B$47,0),AP27)+AQ27*(INDEX(TABLAS!$D$6:$J$47,MATCH(AO27&amp;"|NIL",TABLAS!$B$6:$B$47,0),MIN(AP27+1,7))-INDEX(TABLAS!$D$6:$J$47,MATCH(AO27&amp;"|NIL",TABLAS!$B$6:$B$47,0),AP27)))</f>
        <v/>
      </c>
      <c r="AT27" s="59" t="str">
        <f>IF(V27&lt;&gt;"SÍ","",INDEX(TABLAS!$D$6:$J$47,MATCH(AO27&amp;"|NDC",TABLAS!$B$6:$B$47,0),AP27)+AQ27*(INDEX(TABLAS!$D$6:$J$47,MATCH(AO27&amp;"|NDC",TABLAS!$B$6:$B$47,0),MIN(AP27+1,7))-INDEX(TABLAS!$D$6:$J$47,MATCH(AO27&amp;"|NDC",TABLAS!$B$6:$B$47,0),AP27)))</f>
        <v/>
      </c>
      <c r="AU27" s="59" t="str">
        <f>IF(V27&lt;&gt;"SÍ","",INDEX(TABLAS!$D$6:$J$47,MATCH(AO27&amp;"|NDL",TABLAS!$B$6:$B$47,0),AP27)+AQ27*(INDEX(TABLAS!$D$6:$J$47,MATCH(AO27&amp;"|NDL",TABLAS!$B$6:$B$47,0),MIN(AP27+1,7))-INDEX(TABLAS!$D$6:$J$47,MATCH(AO27&amp;"|NDL",TABLAS!$B$6:$B$47,0),AP27)))</f>
        <v/>
      </c>
      <c r="AV27" s="59" t="str">
        <f>IF(V27&lt;&gt;"SÍ","",INDEX(TABLAS!$D$6:$J$47,MATCH(AO27&amp;"|PC",TABLAS!$B$6:$B$47,0),AP27)+AQ27*(INDEX(TABLAS!$D$6:$J$47,MATCH(AO27&amp;"|PC",TABLAS!$B$6:$B$47,0),MIN(AP27+1,7))-INDEX(TABLAS!$D$6:$J$47,MATCH(AO27&amp;"|PC",TABLAS!$B$6:$B$47,0),AP27)))</f>
        <v/>
      </c>
      <c r="AW27" s="59" t="str">
        <f>IF(V27&lt;&gt;"SÍ","",INDEX(TABLAS!$D$6:$J$47,MATCH(AO27&amp;"|PL",TABLAS!$B$6:$B$47,0),AP27)+AQ27*(INDEX(TABLAS!$D$6:$J$47,MATCH(AO27&amp;"|PL",TABLAS!$B$6:$B$47,0),MIN(AP27+1,7))-INDEX(TABLAS!$D$6:$J$47,MATCH(AO27&amp;"|PL",TABLAS!$B$6:$B$47,0),AP27)))</f>
        <v/>
      </c>
      <c r="AX27" s="56" t="str">
        <f>IF(V27&lt;&gt;"SÍ","",IF(C27="PERIMETRAL",AV27*AK27*Z27^2*1E-4/1000,0))</f>
        <v/>
      </c>
      <c r="AY27" s="62" t="str">
        <f>IF(V27&lt;&gt;"SÍ","",IF(C27="PERIMETRAL",MAX(MAX(AR27,AT27)*AK27*Z27^2*1E-4/1000,N(T27)),(AK27*(AC27/100)^2/2+DATOS!$C$26*N(P27)*AC27/100)/1000))</f>
        <v/>
      </c>
      <c r="AZ27" s="56" t="str">
        <f>IF(V27&lt;&gt;"SÍ","",IF(C27="PERIMETRAL",AW27*AK27*Z27^2*1E-4/1000,0))</f>
        <v/>
      </c>
      <c r="BA27" s="56" t="str">
        <f>IF(V27&lt;&gt;"SÍ","",IF(C27="PERIMETRAL",MAX(MAX(AS27,AU27)*AK27*Z27^2*1E-4/1000,N(U27)),0))</f>
        <v/>
      </c>
      <c r="BB27" s="63" t="str">
        <f>IF(V27&lt;&gt;"SÍ","",IF(C27&lt;&gt;"PERIMETRAL","—",IF(AND(N(T27)=0,N(U27)=0),"— (sin M⁻ del vecino)",IF(OR(AND(N(T27)&gt;0,ABS(MAX(AR27,AT27)*AK27*Z27^2*1E-4/1000-N(T27))&gt;0.5*MIN(MAX(AR27,AT27)*AK27*Z27^2*1E-4/1000,N(T27))),AND(N(U27)&gt;0,ABS(MAX(AS27,AU27)*AK27*Z27^2*1E-4/1000-N(U27))&gt;0.5*MIN(MAX(AS27,AU27)*AK27*Z27^2*1E-4/1000,N(U27)))),"FUERA: difieren &gt; 50 %"&amp;IF(AND(N(T27)&gt;0,ABS(MAX(AR27,AT27)*AK27*Z27^2*1E-4/1000-N(T27))&gt;0.5*MIN(MAX(AR27,AT27)*AK27*Z27^2*1E-4/1000,N(T27)))," ‖ corto","")&amp;IF(AND(N(U27)&gt;0,ABS(MAX(AS27,AU27)*AK27*Z27^2*1E-4/1000-N(U27))&gt;0.5*MIN(MAX(AS27,AU27)*AK27*Z27^2*1E-4/1000,N(U27)))," ‖ largo",""),"CUMPLE"))))</f>
        <v/>
      </c>
      <c r="BC27" s="58" t="str">
        <f>IF(V27&lt;&gt;"SÍ","",DATOS!$C$139*100*W27)</f>
        <v/>
      </c>
      <c r="BD27" s="57" t="str">
        <f>IF(V27&lt;&gt;"SÍ","",MIN(IF(C27="VOLADO",DATOS!$C$141,DATOS!$C$140)*W27,DATOS!$C$142))</f>
        <v/>
      </c>
      <c r="BE27" s="58" t="str">
        <f>IF(V27&lt;&gt;"SÍ","",(W27-AE27-INDEX(TABLAS!$C$52:$C$58,MATCH(IF(ISNUMBER(S27),S27,DATOS!$C$138),TABLAS!$B$52:$B$58,0))/2))</f>
        <v/>
      </c>
      <c r="BF27" s="58" t="str">
        <f>IF(V27&lt;&gt;"SÍ","",IF(AX27&lt;=0,0,IF((1-2*AX27*1E5/(DATOS!$C$29*100*BE27^2*DATOS!$C$21))&lt;0,-1,IF((1-SQRT((1-2*AX27*1E5/(DATOS!$C$29*100*BE27^2*DATOS!$C$21))))*DATOS!$C$21*100*BE27/DATOS!$C$14&gt;DATOS!$C$102*100*BE27,-1,(1-SQRT((1-2*AX27*1E5/(DATOS!$C$29*100*BE27^2*DATOS!$C$21))))*DATOS!$C$21*100*BE27/DATOS!$C$14))))</f>
        <v/>
      </c>
      <c r="BG27" s="58" t="str">
        <f>IF(V27&lt;&gt;"SÍ","",IF(BF27&lt;0,-1,MAX(BF27,BC27)))</f>
        <v/>
      </c>
      <c r="BH27" s="64" t="str">
        <f>IF(V27&lt;&gt;"SÍ","",IF(AND(BG27&gt;0,FLOOR(MIN(BD27,100*INDEX(TABLAS!$D$52:$D$58,MIN(MATCH(IF(ISNUMBER(S27),S27,DATOS!$C$138),TABLAS!$B$52:$B$58,0)+0,7))/MAX(BG27,0.0001)),DATOS!$C$144)&gt;=DATOS!$C$143),INDEX(TABLAS!$B$52:$B$58,MIN(MATCH(IF(ISNUMBER(S27),S27,DATOS!$C$138),TABLAS!$B$52:$B$58,0)+0,7)),IF(AND(BG27&gt;0,FLOOR(MIN(BD27,100*INDEX(TABLAS!$D$52:$D$58,MIN(MATCH(IF(ISNUMBER(S27),S27,DATOS!$C$138),TABLAS!$B$52:$B$58,0)+1,7))/MAX(BG27,0.0001)),DATOS!$C$144)&gt;=DATOS!$C$143),INDEX(TABLAS!$B$52:$B$58,MIN(MATCH(IF(ISNUMBER(S27),S27,DATOS!$C$138),TABLAS!$B$52:$B$58,0)+1,7)),IF(AND(BG27&gt;0,FLOOR(MIN(BD27,100*INDEX(TABLAS!$D$52:$D$58,MIN(MATCH(IF(ISNUMBER(S27),S27,DATOS!$C$138),TABLAS!$B$52:$B$58,0)+2,7))/MAX(BG27,0.0001)),DATOS!$C$144)&gt;=DATOS!$C$143),INDEX(TABLAS!$B$52:$B$58,MIN(MATCH(IF(ISNUMBER(S27),S27,DATOS!$C$138),TABLAS!$B$52:$B$58,0)+2,7)),IF(AND(BG27&gt;0,FLOOR(MIN(BD27,100*INDEX(TABLAS!$D$52:$D$58,MIN(MATCH(IF(ISNUMBER(S27),S27,DATOS!$C$138),TABLAS!$B$52:$B$58,0)+3,7))/MAX(BG27,0.0001)),DATOS!$C$144)&gt;=DATOS!$C$143),INDEX(TABLAS!$B$52:$B$58,MIN(MATCH(IF(ISNUMBER(S27),S27,DATOS!$C$138),TABLAS!$B$52:$B$58,0)+3,7)),IF(AND(BG27&gt;0,FLOOR(MIN(BD27,100*INDEX(TABLAS!$D$52:$D$58,MIN(MATCH(IF(ISNUMBER(S27),S27,DATOS!$C$138),TABLAS!$B$52:$B$58,0)+4,7))/MAX(BG27,0.0001)),DATOS!$C$144)&gt;=DATOS!$C$143),INDEX(TABLAS!$B$52:$B$58,MIN(MATCH(IF(ISNUMBER(S27),S27,DATOS!$C$138),TABLAS!$B$52:$B$58,0)+4,7)),INDEX(TABLAS!$B$52:$B$58,7)))))))</f>
        <v/>
      </c>
      <c r="BI27" s="71" t="str">
        <f>IF(V27&lt;&gt;"SÍ","",IF(BG27&lt;=0,0,FLOOR(MIN(BD27,100*INDEX(TABLAS!$D$52:$D$58,MATCH(BH27,TABLAS!$B$52:$B$58,0))/BG27),DATOS!$C$144)))</f>
        <v/>
      </c>
      <c r="BJ27" s="58" t="str">
        <f>IF(V27&lt;&gt;"SÍ","",IF(BI27&lt;=0,0,INDEX(TABLAS!$D$52:$D$58,MATCH(BH27,TABLAS!$B$52:$B$58,0))*100/BI27))</f>
        <v/>
      </c>
      <c r="BK27" s="58" t="str">
        <f>IF(V27&lt;&gt;"SÍ","",W27-AE27-INDEX(TABLAS!$C$52:$C$58,MATCH(BH27,TABLAS!$B$52:$B$58,0))/2)</f>
        <v/>
      </c>
      <c r="BL27" s="56" t="str">
        <f>IF(V27&lt;&gt;"SÍ","",IF(BJ27=0,0,DATOS!$C$29*BJ27*DATOS!$C$14*(BK27-BJ27*DATOS!$C$14/(DATOS!$C$21*100)/2)/1E5))</f>
        <v/>
      </c>
      <c r="BM27" s="65" t="str">
        <f>IF(V27&lt;&gt;"SÍ","",IF(BG27&lt;0,9.99,IF(BL27&gt;0,AX27/BL27,0)))</f>
        <v/>
      </c>
      <c r="BN27" s="66" t="str">
        <f>IF(V27&lt;&gt;"SÍ","",IF(BJ27=0,"—",0.003*(BK27-(BJ27*DATOS!$C$14/(DATOS!$C$21*100)/DATOS!$C$22))/(BJ27*DATOS!$C$14/(DATOS!$C$21*100)/DATOS!$C$22)))</f>
        <v/>
      </c>
      <c r="BO27" s="58" t="str">
        <f>IF(V27&lt;&gt;"SÍ","",((W27-AF27-INDEX(TABLAS!$C$52:$C$58,MATCH(IF(ISNUMBER(S27),S27,DATOS!$C$138),TABLAS!$B$52:$B$58,0))/2)-IF(AND((W27-AF27-INDEX(TABLAS!$C$52:$C$58,MATCH(IF(ISNUMBER(S27),S27,DATOS!$C$138),TABLAS!$B$52:$B$58,0))/2)&lt;=20,DATOS!$C$65&lt;&gt;"SÍ"),2,0)))</f>
        <v/>
      </c>
      <c r="BP27" s="58" t="str">
        <f>IF(V27&lt;&gt;"SÍ","",IF(AY27&lt;=0,0,IF((1-2*AY27*1E5/(DATOS!$C$29*100*BO27^2*DATOS!$C$21))&lt;0,-1,IF((1-SQRT((1-2*AY27*1E5/(DATOS!$C$29*100*BO27^2*DATOS!$C$21))))*DATOS!$C$21*100*BO27/DATOS!$C$14&gt;DATOS!$C$102*100*BO27,-1,(1-SQRT((1-2*AY27*1E5/(DATOS!$C$29*100*BO27^2*DATOS!$C$21))))*DATOS!$C$21*100*BO27/DATOS!$C$14))))</f>
        <v/>
      </c>
      <c r="BQ27" s="58" t="str">
        <f>IF(V27&lt;&gt;"SÍ","",IF(BP27&lt;0,-1,MAX(BP27,BC27)))</f>
        <v/>
      </c>
      <c r="BR27" s="64" t="str">
        <f>IF(V27&lt;&gt;"SÍ","",IF(AND(BQ27&gt;0,FLOOR(MIN(BD27,100*INDEX(TABLAS!$D$52:$D$58,MIN(MATCH(IF(ISNUMBER(S27),S27,DATOS!$C$138),TABLAS!$B$52:$B$58,0)+0,7))/MAX(BQ27,0.0001)),DATOS!$C$144)&gt;=DATOS!$C$143),INDEX(TABLAS!$B$52:$B$58,MIN(MATCH(IF(ISNUMBER(S27),S27,DATOS!$C$138),TABLAS!$B$52:$B$58,0)+0,7)),IF(AND(BQ27&gt;0,FLOOR(MIN(BD27,100*INDEX(TABLAS!$D$52:$D$58,MIN(MATCH(IF(ISNUMBER(S27),S27,DATOS!$C$138),TABLAS!$B$52:$B$58,0)+1,7))/MAX(BQ27,0.0001)),DATOS!$C$144)&gt;=DATOS!$C$143),INDEX(TABLAS!$B$52:$B$58,MIN(MATCH(IF(ISNUMBER(S27),S27,DATOS!$C$138),TABLAS!$B$52:$B$58,0)+1,7)),IF(AND(BQ27&gt;0,FLOOR(MIN(BD27,100*INDEX(TABLAS!$D$52:$D$58,MIN(MATCH(IF(ISNUMBER(S27),S27,DATOS!$C$138),TABLAS!$B$52:$B$58,0)+2,7))/MAX(BQ27,0.0001)),DATOS!$C$144)&gt;=DATOS!$C$143),INDEX(TABLAS!$B$52:$B$58,MIN(MATCH(IF(ISNUMBER(S27),S27,DATOS!$C$138),TABLAS!$B$52:$B$58,0)+2,7)),IF(AND(BQ27&gt;0,FLOOR(MIN(BD27,100*INDEX(TABLAS!$D$52:$D$58,MIN(MATCH(IF(ISNUMBER(S27),S27,DATOS!$C$138),TABLAS!$B$52:$B$58,0)+3,7))/MAX(BQ27,0.0001)),DATOS!$C$144)&gt;=DATOS!$C$143),INDEX(TABLAS!$B$52:$B$58,MIN(MATCH(IF(ISNUMBER(S27),S27,DATOS!$C$138),TABLAS!$B$52:$B$58,0)+3,7)),IF(AND(BQ27&gt;0,FLOOR(MIN(BD27,100*INDEX(TABLAS!$D$52:$D$58,MIN(MATCH(IF(ISNUMBER(S27),S27,DATOS!$C$138),TABLAS!$B$52:$B$58,0)+4,7))/MAX(BQ27,0.0001)),DATOS!$C$144)&gt;=DATOS!$C$143),INDEX(TABLAS!$B$52:$B$58,MIN(MATCH(IF(ISNUMBER(S27),S27,DATOS!$C$138),TABLAS!$B$52:$B$58,0)+4,7)),INDEX(TABLAS!$B$52:$B$58,7)))))))</f>
        <v/>
      </c>
      <c r="BS27" s="71" t="str">
        <f>IF(V27&lt;&gt;"SÍ","",IF(BQ27&lt;=0,0,FLOOR(MIN(BD27,100*INDEX(TABLAS!$D$52:$D$58,MATCH(BR27,TABLAS!$B$52:$B$58,0))/BQ27),DATOS!$C$144)))</f>
        <v/>
      </c>
      <c r="BT27" s="58" t="str">
        <f>IF(V27&lt;&gt;"SÍ","",IF(BS27&lt;=0,0,INDEX(TABLAS!$D$52:$D$58,MATCH(BR27,TABLAS!$B$52:$B$58,0))*100/BS27))</f>
        <v/>
      </c>
      <c r="BU27" s="58" t="str">
        <f>IF(V27&lt;&gt;"SÍ","",((W27-AF27-INDEX(TABLAS!$C$52:$C$58,MATCH(BR27,TABLAS!$B$52:$B$58,0))/2)-IF(AND((W27-AF27-INDEX(TABLAS!$C$52:$C$58,MATCH(BR27,TABLAS!$B$52:$B$58,0))/2)&lt;=20,DATOS!$C$65&lt;&gt;"SÍ"),2,0)))</f>
        <v/>
      </c>
      <c r="BV27" s="56" t="str">
        <f>IF(V27&lt;&gt;"SÍ","",IF(BT27=0,0,DATOS!$C$29*BT27*DATOS!$C$14*(BU27-BT27*DATOS!$C$14/(DATOS!$C$21*100)/2)/1E5))</f>
        <v/>
      </c>
      <c r="BW27" s="65" t="str">
        <f>IF(V27&lt;&gt;"SÍ","",IF(BQ27&lt;0,9.99,IF(BV27&gt;0,AY27/BV27,0)))</f>
        <v/>
      </c>
      <c r="BX27" s="66" t="str">
        <f>IF(V27&lt;&gt;"SÍ","",IF(BT27=0,"—",0.003*(BU27-(BT27*DATOS!$C$14/(DATOS!$C$21*100)/DATOS!$C$22))/(BT27*DATOS!$C$14/(DATOS!$C$21*100)/DATOS!$C$22)))</f>
        <v/>
      </c>
      <c r="BY27" s="58" t="str">
        <f>IF(V27&lt;&gt;"SÍ","",(W27-AE27-1.5*INDEX(TABLAS!$C$52:$C$58,MATCH(IF(ISNUMBER(S27),S27,DATOS!$C$138),TABLAS!$B$52:$B$58,0))))</f>
        <v/>
      </c>
      <c r="BZ27" s="58" t="str">
        <f>IF(V27&lt;&gt;"SÍ","",IF(AZ27&lt;=0,0,IF((1-2*AZ27*1E5/(DATOS!$C$29*100*BY27^2*DATOS!$C$21))&lt;0,-1,IF((1-SQRT((1-2*AZ27*1E5/(DATOS!$C$29*100*BY27^2*DATOS!$C$21))))*DATOS!$C$21*100*BY27/DATOS!$C$14&gt;DATOS!$C$102*100*BY27,-1,(1-SQRT((1-2*AZ27*1E5/(DATOS!$C$29*100*BY27^2*DATOS!$C$21))))*DATOS!$C$21*100*BY27/DATOS!$C$14))))</f>
        <v/>
      </c>
      <c r="CA27" s="58" t="str">
        <f>IF(V27&lt;&gt;"SÍ","",IF(BZ27&lt;0,-1,MAX(BZ27,BC27)))</f>
        <v/>
      </c>
      <c r="CB27" s="64" t="str">
        <f>IF(V27&lt;&gt;"SÍ","",IF(AND(CA27&gt;0,FLOOR(MIN(BD27,100*INDEX(TABLAS!$D$52:$D$58,MIN(MATCH(IF(ISNUMBER(S27),S27,DATOS!$C$138),TABLAS!$B$52:$B$58,0)+0,7))/MAX(CA27,0.0001)),DATOS!$C$144)&gt;=DATOS!$C$143),INDEX(TABLAS!$B$52:$B$58,MIN(MATCH(IF(ISNUMBER(S27),S27,DATOS!$C$138),TABLAS!$B$52:$B$58,0)+0,7)),IF(AND(CA27&gt;0,FLOOR(MIN(BD27,100*INDEX(TABLAS!$D$52:$D$58,MIN(MATCH(IF(ISNUMBER(S27),S27,DATOS!$C$138),TABLAS!$B$52:$B$58,0)+1,7))/MAX(CA27,0.0001)),DATOS!$C$144)&gt;=DATOS!$C$143),INDEX(TABLAS!$B$52:$B$58,MIN(MATCH(IF(ISNUMBER(S27),S27,DATOS!$C$138),TABLAS!$B$52:$B$58,0)+1,7)),IF(AND(CA27&gt;0,FLOOR(MIN(BD27,100*INDEX(TABLAS!$D$52:$D$58,MIN(MATCH(IF(ISNUMBER(S27),S27,DATOS!$C$138),TABLAS!$B$52:$B$58,0)+2,7))/MAX(CA27,0.0001)),DATOS!$C$144)&gt;=DATOS!$C$143),INDEX(TABLAS!$B$52:$B$58,MIN(MATCH(IF(ISNUMBER(S27),S27,DATOS!$C$138),TABLAS!$B$52:$B$58,0)+2,7)),IF(AND(CA27&gt;0,FLOOR(MIN(BD27,100*INDEX(TABLAS!$D$52:$D$58,MIN(MATCH(IF(ISNUMBER(S27),S27,DATOS!$C$138),TABLAS!$B$52:$B$58,0)+3,7))/MAX(CA27,0.0001)),DATOS!$C$144)&gt;=DATOS!$C$143),INDEX(TABLAS!$B$52:$B$58,MIN(MATCH(IF(ISNUMBER(S27),S27,DATOS!$C$138),TABLAS!$B$52:$B$58,0)+3,7)),IF(AND(CA27&gt;0,FLOOR(MIN(BD27,100*INDEX(TABLAS!$D$52:$D$58,MIN(MATCH(IF(ISNUMBER(S27),S27,DATOS!$C$138),TABLAS!$B$52:$B$58,0)+4,7))/MAX(CA27,0.0001)),DATOS!$C$144)&gt;=DATOS!$C$143),INDEX(TABLAS!$B$52:$B$58,MIN(MATCH(IF(ISNUMBER(S27),S27,DATOS!$C$138),TABLAS!$B$52:$B$58,0)+4,7)),INDEX(TABLAS!$B$52:$B$58,7)))))))</f>
        <v/>
      </c>
      <c r="CC27" s="71" t="str">
        <f>IF(V27&lt;&gt;"SÍ","",IF(CA27&lt;=0,0,FLOOR(MIN(BD27,100*INDEX(TABLAS!$D$52:$D$58,MATCH(CB27,TABLAS!$B$52:$B$58,0))/CA27),DATOS!$C$144)))</f>
        <v/>
      </c>
      <c r="CD27" s="58" t="str">
        <f>IF(V27&lt;&gt;"SÍ","",IF(CC27&lt;=0,0,INDEX(TABLAS!$D$52:$D$58,MATCH(CB27,TABLAS!$B$52:$B$58,0))*100/CC27))</f>
        <v/>
      </c>
      <c r="CE27" s="58" t="str">
        <f>IF(V27&lt;&gt;"SÍ","",W27-AE27-INDEX(TABLAS!$C$52:$C$58,MATCH(BH27,TABLAS!$B$52:$B$58,0))-INDEX(TABLAS!$C$52:$C$58,MATCH(CB27,TABLAS!$B$52:$B$58,0))/2)</f>
        <v/>
      </c>
      <c r="CF27" s="56" t="str">
        <f>IF(V27&lt;&gt;"SÍ","",IF(CD27=0,0,DATOS!$C$29*CD27*DATOS!$C$14*(CE27-CD27*DATOS!$C$14/(DATOS!$C$21*100)/2)/1E5))</f>
        <v/>
      </c>
      <c r="CG27" s="65" t="str">
        <f>IF(V27&lt;&gt;"SÍ","",IF(CA27&lt;0,9.99,IF(CF27&gt;0,AZ27/CF27,0)))</f>
        <v/>
      </c>
      <c r="CH27" s="66" t="str">
        <f>IF(V27&lt;&gt;"SÍ","",IF(CD27=0,"—",0.003*(CE27-(CD27*DATOS!$C$14/(DATOS!$C$21*100)/DATOS!$C$22))/(CD27*DATOS!$C$14/(DATOS!$C$21*100)/DATOS!$C$22)))</f>
        <v/>
      </c>
      <c r="CI27" s="58" t="str">
        <f>IF(V27&lt;&gt;"SÍ","",((W27-AF27-1.5*INDEX(TABLAS!$C$52:$C$58,MATCH(IF(ISNUMBER(S27),S27,DATOS!$C$138),TABLAS!$B$52:$B$58,0)))-IF(AND((W27-AF27-1.5*INDEX(TABLAS!$C$52:$C$58,MATCH(IF(ISNUMBER(S27),S27,DATOS!$C$138),TABLAS!$B$52:$B$58,0)))&lt;=20,DATOS!$C$65&lt;&gt;"SÍ"),2,0)))</f>
        <v/>
      </c>
      <c r="CJ27" s="58" t="str">
        <f>IF(V27&lt;&gt;"SÍ","",IF(BA27&lt;=0,0,IF((1-2*BA27*1E5/(DATOS!$C$29*100*CI27^2*DATOS!$C$21))&lt;0,-1,IF((1-SQRT((1-2*BA27*1E5/(DATOS!$C$29*100*CI27^2*DATOS!$C$21))))*DATOS!$C$21*100*CI27/DATOS!$C$14&gt;DATOS!$C$102*100*CI27,-1,(1-SQRT((1-2*BA27*1E5/(DATOS!$C$29*100*CI27^2*DATOS!$C$21))))*DATOS!$C$21*100*CI27/DATOS!$C$14))))</f>
        <v/>
      </c>
      <c r="CK27" s="58" t="str">
        <f>IF(V27&lt;&gt;"SÍ","",IF(CJ27&lt;0,-1,MAX(CJ27,BC27)))</f>
        <v/>
      </c>
      <c r="CL27" s="64" t="str">
        <f>IF(V27&lt;&gt;"SÍ","",IF(AND(CK27&gt;0,FLOOR(MIN(BD27,100*INDEX(TABLAS!$D$52:$D$58,MIN(MATCH(IF(ISNUMBER(S27),S27,DATOS!$C$138),TABLAS!$B$52:$B$58,0)+0,7))/MAX(CK27,0.0001)),DATOS!$C$144)&gt;=DATOS!$C$143),INDEX(TABLAS!$B$52:$B$58,MIN(MATCH(IF(ISNUMBER(S27),S27,DATOS!$C$138),TABLAS!$B$52:$B$58,0)+0,7)),IF(AND(CK27&gt;0,FLOOR(MIN(BD27,100*INDEX(TABLAS!$D$52:$D$58,MIN(MATCH(IF(ISNUMBER(S27),S27,DATOS!$C$138),TABLAS!$B$52:$B$58,0)+1,7))/MAX(CK27,0.0001)),DATOS!$C$144)&gt;=DATOS!$C$143),INDEX(TABLAS!$B$52:$B$58,MIN(MATCH(IF(ISNUMBER(S27),S27,DATOS!$C$138),TABLAS!$B$52:$B$58,0)+1,7)),IF(AND(CK27&gt;0,FLOOR(MIN(BD27,100*INDEX(TABLAS!$D$52:$D$58,MIN(MATCH(IF(ISNUMBER(S27),S27,DATOS!$C$138),TABLAS!$B$52:$B$58,0)+2,7))/MAX(CK27,0.0001)),DATOS!$C$144)&gt;=DATOS!$C$143),INDEX(TABLAS!$B$52:$B$58,MIN(MATCH(IF(ISNUMBER(S27),S27,DATOS!$C$138),TABLAS!$B$52:$B$58,0)+2,7)),IF(AND(CK27&gt;0,FLOOR(MIN(BD27,100*INDEX(TABLAS!$D$52:$D$58,MIN(MATCH(IF(ISNUMBER(S27),S27,DATOS!$C$138),TABLAS!$B$52:$B$58,0)+3,7))/MAX(CK27,0.0001)),DATOS!$C$144)&gt;=DATOS!$C$143),INDEX(TABLAS!$B$52:$B$58,MIN(MATCH(IF(ISNUMBER(S27),S27,DATOS!$C$138),TABLAS!$B$52:$B$58,0)+3,7)),IF(AND(CK27&gt;0,FLOOR(MIN(BD27,100*INDEX(TABLAS!$D$52:$D$58,MIN(MATCH(IF(ISNUMBER(S27),S27,DATOS!$C$138),TABLAS!$B$52:$B$58,0)+4,7))/MAX(CK27,0.0001)),DATOS!$C$144)&gt;=DATOS!$C$143),INDEX(TABLAS!$B$52:$B$58,MIN(MATCH(IF(ISNUMBER(S27),S27,DATOS!$C$138),TABLAS!$B$52:$B$58,0)+4,7)),INDEX(TABLAS!$B$52:$B$58,7)))))))</f>
        <v/>
      </c>
      <c r="CM27" s="71" t="str">
        <f>IF(V27&lt;&gt;"SÍ","",IF(CK27&lt;=0,0,FLOOR(MIN(BD27,100*INDEX(TABLAS!$D$52:$D$58,MATCH(CL27,TABLAS!$B$52:$B$58,0))/CK27),DATOS!$C$144)))</f>
        <v/>
      </c>
      <c r="CN27" s="58" t="str">
        <f>IF(V27&lt;&gt;"SÍ","",IF(CM27&lt;=0,0,INDEX(TABLAS!$D$52:$D$58,MATCH(CL27,TABLAS!$B$52:$B$58,0))*100/CM27))</f>
        <v/>
      </c>
      <c r="CO27" s="58" t="str">
        <f>IF(V27&lt;&gt;"SÍ","",((W27-AF27-INDEX(TABLAS!$C$52:$C$58,MATCH(BR27,TABLAS!$B$52:$B$58,0))-INDEX(TABLAS!$C$52:$C$58,MATCH(CL27,TABLAS!$B$52:$B$58,0))/2)-IF(AND((W27-AF27-INDEX(TABLAS!$C$52:$C$58,MATCH(BR27,TABLAS!$B$52:$B$58,0))-INDEX(TABLAS!$C$52:$C$58,MATCH(CL27,TABLAS!$B$52:$B$58,0))/2)&lt;=20,DATOS!$C$65&lt;&gt;"SÍ"),2,0)))</f>
        <v/>
      </c>
      <c r="CP27" s="56" t="str">
        <f>IF(V27&lt;&gt;"SÍ","",IF(CN27=0,0,DATOS!$C$29*CN27*DATOS!$C$14*(CO27-CN27*DATOS!$C$14/(DATOS!$C$21*100)/2)/1E5))</f>
        <v/>
      </c>
      <c r="CQ27" s="65" t="str">
        <f>IF(V27&lt;&gt;"SÍ","",IF(CK27&lt;0,9.99,IF(CP27&gt;0,BA27/CP27,0)))</f>
        <v/>
      </c>
      <c r="CR27" s="66" t="str">
        <f>IF(V27&lt;&gt;"SÍ","",IF(CN27=0,"—",0.003*(CO27-(CN27*DATOS!$C$14/(DATOS!$C$21*100)/DATOS!$C$22))/(CN27*DATOS!$C$14/(DATOS!$C$21*100)/DATOS!$C$22)))</f>
        <v/>
      </c>
      <c r="CS27" s="56" t="str">
        <f>IF(V27&lt;&gt;"SÍ","",IF(C27="PERIMETRAL",MAX(0,(AC27/2-BU27)/100)*(0.95-0.5*AB27)*AK27*IF(AND(AL27&gt;0,AL27&lt;4),DATOS!$C$33,1)/1000,(AK27*MAX(0,AC27-BU27)/100+DATOS!$C$26*N(P27))/1000))</f>
        <v/>
      </c>
      <c r="CT27" s="66" t="str">
        <f>IF(V27&lt;&gt;"SÍ","",BT27/(100*BU27))</f>
        <v/>
      </c>
      <c r="CU27" s="56" t="str">
        <f>IF(V27&lt;&gt;"SÍ","",DATOS!$C$30*2*MIN(1,SQRT(2/(1+0.04*BU27)))*CT27^(1/3)*SQRT(DATOS!$C$13)*100*BU27/1000)</f>
        <v/>
      </c>
      <c r="CV27" s="67" t="str">
        <f>IF(V27&lt;&gt;"SÍ","",IF(CS27&lt;=CU27,"CUMPLE","NO CUMPLE: sube h"))</f>
        <v/>
      </c>
      <c r="CW27" s="58" t="str">
        <f>IF(V27&lt;&gt;"SÍ","",IF(C27="PERIMETRAL",IF(ISNUMBER(R27),R27,DATOS!$C$104),0))</f>
        <v/>
      </c>
      <c r="CX27" s="57" t="str">
        <f>IF(V27&lt;&gt;"SÍ","",IF(C27="PERIMETRAL",IF(CW27&gt;2,MAX(9,AD27*(0.8+DATOS!$C$14/14000)/(36+9*(AD27/MAX(AC27,1)))),IF(CW27&gt;0.2,MAX(13,AD27*(0.8+DATOS!$C$14/14000)/(36+5*(AD27/MAX(AC27,1))*(CW27-0.2))),MAX(13,AD27/IF(AL27&gt;0,30,33))))*IF(AND(CW27&gt;0.2,AL27&gt;0,DATOS!$C$105="NO"),1.1,1),Z27*100/DATOS!$C$145*(0.4+DATOS!$C$14/7000)))</f>
        <v/>
      </c>
      <c r="CY27" s="61" t="str">
        <f>IF(V27&lt;&gt;"SÍ","",IF(W27&gt;=CX27-0.001,"CUMPLE",IF(C27="VOLADO","NO CUMPLE","CALCULAR FLECHA")))</f>
        <v/>
      </c>
      <c r="CZ27" s="60" t="str">
        <f>IF(V27&lt;&gt;"SÍ","",IF(C27="VOLADO",MIN(FLOOR(IF(ISNUMBER(Q27),Q27,Z27)*100-DATOS!$C$63,5),CEILING(MAX(IF((0.5*(0.9*W27/100*DATOS!$C$16)*IF(ISNUMBER(Q27),Q27,Z27)+AY27/IF(ISNUMBER(Q27),Q27,Z27))^2-4*(0.5*(0.9*W27/100*DATOS!$C$16))*AY27&lt;0,IF(ISNUMBER(Q27),Q27,Z27),MIN(IF(ISNUMBER(Q27),Q27,Z27),((0.5*(0.9*W27/100*DATOS!$C$16)*IF(ISNUMBER(Q27),Q27,Z27)+AY27/IF(ISNUMBER(Q27),Q27,Z27))-SQRT((0.5*(0.9*W27/100*DATOS!$C$16)*IF(ISNUMBER(Q27),Q27,Z27)+AY27/IF(ISNUMBER(Q27),Q27,Z27))^2-4*(0.5*(0.9*W27/100*DATOS!$C$16))*AY27))/(2*(0.5*(0.9*W27/100*DATOS!$C$16)))))*100+MAX(BU27,12*INDEX(TABLAS!$C$52:$C$58,MATCH(BR27,TABLAS!$B$52:$B$58,0)),IF(ISNUMBER(Q27),Q27,Z27)*100/16),IF(OR(AF27&lt;INDEX(TABLAS!$C$52:$C$58,MATCH(BR27,TABLAS!$B$52:$B$58,0)),BS27-INDEX(TABLAS!$C$52:$C$58,MATCH(BR27,TABLAS!$B$52:$B$58,0))&lt;2*INDEX(TABLAS!$C$52:$C$58,MATCH(BR27,TABLAS!$B$52:$B$58,0))),INDEX(TABLAS!$I$52:$I$58,MATCH(BR27,TABLAS!$B$52:$B$58,0)),INDEX(TABLAS!$F$52:$F$58,MATCH(BR27,TABLAS!$B$52:$B$58,0)))),5)),IF(((4*((AV27*AK27*Z27^2*1E-4/1000)+((MAX(AR27,AT27)*AK27*Z27^2*1E-4/1000)+(IF(AND(AR27&gt;0,AT27&gt;0),MIN(AR27,AT27),MAX(AR27,AT27))*AK27*Z27^2*1E-4/1000))/2)+AY27-(IF(AND(AR27&gt;0,AT27&gt;0),MIN(AR27,AT27),MAX(AR27,AT27))*AK27*Z27^2*1E-4/1000))^2-16*((AV27*AK27*Z27^2*1E-4/1000)+((MAX(AR27,AT27)*AK27*Z27^2*1E-4/1000)+(IF(AND(AR27&gt;0,AT27&gt;0),MIN(AR27,AT27),MAX(AR27,AT27))*AK27*Z27^2*1E-4/1000))/2)*AY27)&lt;0,CEILING(AC27,5),CEILING(MAX(AC27*((4*((AV27*AK27*Z27^2*1E-4/1000)+((MAX(AR27,AT27)*AK27*Z27^2*1E-4/1000)+(IF(AND(AR27&gt;0,AT27&gt;0),MIN(AR27,AT27),MAX(AR27,AT27))*AK27*Z27^2*1E-4/1000))/2)+AY27-(IF(AND(AR27&gt;0,AT27&gt;0),MIN(AR27,AT27),MAX(AR27,AT27))*AK27*Z27^2*1E-4/1000))-SQRT(MAX(0,((4*((AV27*AK27*Z27^2*1E-4/1000)+((MAX(AR27,AT27)*AK27*Z27^2*1E-4/1000)+(IF(AND(AR27&gt;0,AT27&gt;0),MIN(AR27,AT27),MAX(AR27,AT27))*AK27*Z27^2*1E-4/1000))/2)+AY27-(IF(AND(AR27&gt;0,AT27&gt;0),MIN(AR27,AT27),MAX(AR27,AT27))*AK27*Z27^2*1E-4/1000))^2-16*((AV27*AK27*Z27^2*1E-4/1000)+((MAX(AR27,AT27)*AK27*Z27^2*1E-4/1000)+(IF(AND(AR27&gt;0,AT27&gt;0),MIN(AR27,AT27),MAX(AR27,AT27))*AK27*Z27^2*1E-4/1000))/2)*AY27))))/(8*MAX(((AV27*AK27*Z27^2*1E-4/1000)+((MAX(AR27,AT27)*AK27*Z27^2*1E-4/1000)+(IF(AND(AR27&gt;0,AT27&gt;0),MIN(AR27,AT27),MAX(AR27,AT27))*AK27*Z27^2*1E-4/1000))/2),1E-9))+MAX(BU27,12*INDEX(TABLAS!$C$52:$C$58,MATCH(BR27,TABLAS!$B$52:$B$58,0)),AC27/16),IF(OR(AF27&lt;INDEX(TABLAS!$C$52:$C$58,MATCH(BR27,TABLAS!$B$52:$B$58,0)),BS27-INDEX(TABLAS!$C$52:$C$58,MATCH(BR27,TABLAS!$B$52:$B$58,0))&lt;2*INDEX(TABLAS!$C$52:$C$58,MATCH(BR27,TABLAS!$B$52:$B$58,0))),INDEX(TABLAS!$I$52:$I$58,MATCH(BR27,TABLAS!$B$52:$B$58,0)),INDEX(TABLAS!$F$52:$F$58,MATCH(BR27,TABLAS!$B$52:$B$58,0)))),5))))</f>
        <v/>
      </c>
      <c r="DA27" s="60" t="str">
        <f>IF(V27&lt;&gt;"SÍ","",IF(C27="VOLADO",0,IF(((4*((AW27*AK27*Z27^2*1E-4/1000)+((MAX(AS27,AU27)*AK27*Z27^2*1E-4/1000)+(IF(AND(AS27&gt;0,AU27&gt;0),MIN(AS27,AU27),MAX(AS27,AU27))*AK27*Z27^2*1E-4/1000))/2)+BA27-(IF(AND(AS27&gt;0,AU27&gt;0),MIN(AS27,AU27),MAX(AS27,AU27))*AK27*Z27^2*1E-4/1000))^2-16*((AW27*AK27*Z27^2*1E-4/1000)+((MAX(AS27,AU27)*AK27*Z27^2*1E-4/1000)+(IF(AND(AS27&gt;0,AU27&gt;0),MIN(AS27,AU27),MAX(AS27,AU27))*AK27*Z27^2*1E-4/1000))/2)*BA27)&lt;0,CEILING(AD27,5),CEILING(MAX(AD27*((4*((AW27*AK27*Z27^2*1E-4/1000)+((MAX(AS27,AU27)*AK27*Z27^2*1E-4/1000)+(IF(AND(AS27&gt;0,AU27&gt;0),MIN(AS27,AU27),MAX(AS27,AU27))*AK27*Z27^2*1E-4/1000))/2)+BA27-(IF(AND(AS27&gt;0,AU27&gt;0),MIN(AS27,AU27),MAX(AS27,AU27))*AK27*Z27^2*1E-4/1000))-SQRT(MAX(0,((4*((AW27*AK27*Z27^2*1E-4/1000)+((MAX(AS27,AU27)*AK27*Z27^2*1E-4/1000)+(IF(AND(AS27&gt;0,AU27&gt;0),MIN(AS27,AU27),MAX(AS27,AU27))*AK27*Z27^2*1E-4/1000))/2)+BA27-(IF(AND(AS27&gt;0,AU27&gt;0),MIN(AS27,AU27),MAX(AS27,AU27))*AK27*Z27^2*1E-4/1000))^2-16*((AW27*AK27*Z27^2*1E-4/1000)+((MAX(AS27,AU27)*AK27*Z27^2*1E-4/1000)+(IF(AND(AS27&gt;0,AU27&gt;0),MIN(AS27,AU27),MAX(AS27,AU27))*AK27*Z27^2*1E-4/1000))/2)*BA27))))/(8*MAX(((AW27*AK27*Z27^2*1E-4/1000)+((MAX(AS27,AU27)*AK27*Z27^2*1E-4/1000)+(IF(AND(AS27&gt;0,AU27&gt;0),MIN(AS27,AU27),MAX(AS27,AU27))*AK27*Z27^2*1E-4/1000))/2),1E-9))+MAX(CO27,12*INDEX(TABLAS!$C$52:$C$58,MATCH(CL27,TABLAS!$B$52:$B$58,0)),AD27/16),IF(OR(AF27&lt;INDEX(TABLAS!$C$52:$C$58,MATCH(CL27,TABLAS!$B$52:$B$58,0)),CM27-INDEX(TABLAS!$C$52:$C$58,MATCH(CL27,TABLAS!$B$52:$B$58,0))&lt;2*INDEX(TABLAS!$C$52:$C$58,MATCH(CL27,TABLAS!$B$52:$B$58,0))),INDEX(TABLAS!$I$52:$I$58,MATCH(CL27,TABLAS!$B$52:$B$58,0)),INDEX(TABLAS!$F$52:$F$58,MATCH(CL27,TABLAS!$B$52:$B$58,0)))),5))))</f>
        <v/>
      </c>
      <c r="DB27" s="55" t="str">
        <f>IF(V27&lt;&gt;"SÍ","",IF(AND(C27="PERIMETRAL",AL27-AM27&gt;0,AT27&gt;0),"SÍ","NO"))</f>
        <v/>
      </c>
      <c r="DC27" s="55" t="str">
        <f>IF(V27&lt;&gt;"SÍ","",IF(AND(C27="PERIMETRAL",AM27&gt;0,AU27&gt;0),"SÍ","NO"))</f>
        <v/>
      </c>
      <c r="DD27" s="63" t="str">
        <f>IF(V27&lt;&gt;"SÍ","",IF(OR(C27="VOLADO",AL27=0),"—",IF(AND(AND(INDEX(TABLAS!$G$52:$G$58,MATCH(MAX(BR27,CL27),TABLAS!$B$52:$B$58,0))&lt;=(DATOS!$C$75-DATOS!$C$63),(DATOS!$C$75-DATOS!$C$63)&gt;=15),8*INDEX(TABLAS!$C$52:$C$58,MATCH(MAX(BH27,CB27,BR27,CL27),TABLAS!$B$52:$B$58,0))&lt;=DATOS!$C$76-2*DATOS!$C$63),"CUMPLE (gancho de 180°)",IF(AND(INDEX(TABLAS!$G$52:$G$58,MATCH(MAX(BR27,CL27),TABLAS!$B$52:$B$58,0))&lt;=(DATOS!$C$75-DATOS!$C$63),(DATOS!$C$75-DATOS!$C$63)&gt;=15),"NO CUMPLE: el gancho de 180° (8·d_b) no cabe en el peralte de la dala de borde","NO CUMPLE: dala de borde ≥ "&amp;TEXT(CEILING(MAX(INDEX(TABLAS!$G$52:$G$58,MATCH(MAX(BR27,CL27),TABLAS!$B$52:$B$58,0)),15)+DATOS!$C$63,5),"0")&amp;" cm de ancho"&amp;IF(8*INDEX(TABLAS!$C$52:$C$58,MATCH(MAX(BH27,CB27,BR27,CL27),TABLAS!$B$52:$B$58,0))&lt;=DATOS!$C$76-2*DATOS!$C$63,""," y más peralte para el gancho")))))</f>
        <v/>
      </c>
      <c r="DE27" s="69" t="str">
        <f>IF(V27&lt;&gt;"SÍ","",IF(BI27=0,"NO ALCANZA","No. "&amp;BH27&amp;" @ "&amp;BI27&amp;" cm"&amp;IF(C27="VOLADO"," (temperatura)","")))</f>
        <v/>
      </c>
      <c r="DF27" s="69" t="str">
        <f>IF(V27&lt;&gt;"SÍ","",IF(BS27=0,"NO ALCANZA",IF(C27="VOLADO","No. "&amp;BR27&amp;" @ "&amp;BS27&amp;" cm"&amp;" de la orilla al respaldo ("&amp;IF(CZ27&gt;=FLOOR(100*IF(ISNUMBER(Q27),Q27,Z27)-DATOS!$C$63,5),"hasta su apoyo lejano, con gancho","entran "&amp;TEXT(CZ27/100,"0.00")&amp;" m desde el paño")&amp;")","Bastones "&amp;"No. "&amp;BR27&amp;" @ "&amp;BS27&amp;" cm"&amp;", L = "&amp;TEXT(CZ27/100,"0.00")&amp;" m desde el paño")))</f>
        <v/>
      </c>
      <c r="DG27" s="69" t="str">
        <f>IF(V27&lt;&gt;"SÍ","",IF(CC27=0,"NO ALCANZA","No. "&amp;CB27&amp;" @ "&amp;CC27&amp;" cm"&amp;IF(C27="VOLADO"," (repartición)","")))</f>
        <v/>
      </c>
      <c r="DH27" s="69" t="str">
        <f>IF(V27&lt;&gt;"SÍ","",IF(CM27=0,"NO ALCANZA",IF(C27="VOLADO","No. "&amp;CL27&amp;" @ "&amp;CM27&amp;" cm"&amp;" (repartición)","Bastones "&amp;"No. "&amp;CL27&amp;" @ "&amp;CM27&amp;" cm"&amp;", L = "&amp;TEXT(DA27/100,"0.00")&amp;" m desde el paño")))</f>
        <v/>
      </c>
      <c r="DI27" s="67" t="str">
        <f>IF(B27="","",IF(V27&lt;&gt;"SÍ","FALTAN DATOS: tipo, a_x, a_y, destino y, en volados, L_b",IF(L27="NO MONOLÍTICO (caso II)","FUERA DE ALCANCE: caso II no transcrito",IF(AND(C27="VOLADO",X27="?"),"REVISAR: el volado lleva UN solo borde CONTINUO (el empotrado)",IF(AND(MAX(BM27,BW27,CG27,CQ27)&lt;=1,NOT(OR(BI27&lt;DATOS!$C$143,BS27&lt;DATOS!$C$143,CC27&lt;DATOS!$C$143,CM27&lt;DATOS!$C$143)),NOT(OR(AND(ISNUMBER(BN27),BN27&lt;0.005),AND(ISNUMBER(BX27),BX27&lt;0.005),AND(ISNUMBER(CH27),CH27&lt;0.005),AND(ISNUMBER(CR27),CR27&lt;0.005))),CV27="CUMPLE",CY27="CUMPLE"),"CUMPLE"&amp;IF(LEFT(BB27,5)="FUERA"," · fuera de 3.4.2.1 c)","")&amp;IF(LEFT(DD27,2)="NO"," · REVISAR anclaje en borde discontinuo",""),IF(AND(MAX(BM27,BW27,CG27,CQ27)&lt;=1,NOT(OR(BI27&lt;DATOS!$C$143,BS27&lt;DATOS!$C$143,CC27&lt;DATOS!$C$143,CM27&lt;DATOS!$C$143)),NOT(OR(AND(ISNUMBER(BN27),BN27&lt;0.005),AND(ISNUMBER(BX27),BX27&lt;0.005),AND(ISNUMBER(CH27),CH27&lt;0.005),AND(ISNUMBER(CR27),CR27&lt;0.005))),CV27="CUMPLE",CY27="CALCULAR FLECHA"),"REVISAR: calcular flecha (h &lt; h mín.)"&amp;IF(LEFT(BB27,5)="FUERA"," · fuera de 3.4.2.1 c)","")&amp;IF(LEFT(DD27,2)="NO"," · REVISAR anclaje en borde discontinuo",""),"NO CUMPLE: "&amp;IF(MAX(BM27,BW27,CG27,CQ27)&gt;1,"flexión ","")&amp;IF(OR(BI27&lt;DATOS!$C$143,BS27&lt;DATOS!$C$143,CC27&lt;DATOS!$C$143,CM27&lt;DATOS!$C$143),"separación &lt; mínima ","")&amp;IF(OR(AND(ISNUMBER(BN27),BN27&lt;0.005),AND(ISNUMBER(BX27),BX27&lt;0.005),AND(ISNUMBER(CH27),CH27&lt;0.005),AND(ISNUMBER(CR27),CR27&lt;0.005)),"ε_t &lt; 0.005 ","")&amp;IF(CV27&lt;&gt;"CUMPLE","cortante ","")&amp;IF(CY27="NO CUMPLE","peralte","")))))))</f>
        <v/>
      </c>
      <c r="DJ27" s="70" t="str">
        <f>IF(V27&lt;&gt;"SÍ","",IF(LEFT(B27,7)="EJEMPLO","EJEMPLO de tablero típico: bórralo o sobrescríbelo. ","")&amp;IF(C27="VOLADO","Volado de "&amp;TEXT(Z27,"0.00")&amp;" m empotrado en el borde "&amp;LOWER(X27)&amp;IF(N(P27)&gt;0,", con "&amp;TEXT(P27,"0.0")&amp;" kg/m en la orilla","")&amp;". Lecho inferior con r_ext. Si la orilla carga pretil u otro elemento frágil, calcula la flecha (13.4). El acero superior entra al respaldo de "&amp;TEXT(IF(ISNUMBER(Q27),Q27,Z27),"0.00")&amp;" m"&amp;" hasta pasar M = 0 con 0.9·PP sin carga viva; si ahí no se anula, llega al apoyo lejano y se ancla con gancho. ","")&amp;IF(AND(C27="VOLADO",(0.9*W27/100*DATOS!$C$16*IF(ISNUMBER(Q27),Q27,Z27)/2-AY27/IF(ISNUMBER(Q27),Q27,Z27))&lt;0),"Con 0.9·PP y sin carga viva el apoyo lejano del respaldo levanta (R = "&amp;TEXT(-(0.9*W27/100*DATOS!$C$16*IF(ISNUMBER(Q27),Q27,Z27)/2-AY27/IF(ISNUMBER(Q27),Q27,Z27)),"0.00")&amp;" t/m): ancla ahí el acero con gancho y revisa ese apoyo a tensión. ","")&amp;IF(LEFT(BB27,5)="FUERA","El M⁻ del vecino difiere más de 50 % (3.4.2.1 c): distribuye el desequilibrio (3.4.3.1) o confirma con un modelo; se arma con el mayor. ","")&amp;IF(OR(DB27="SÍ",DC27="SÍ"),"Bastones también en los bordes discontinuos (M⁻ de tabla), con gancho. ","")&amp;IF(LEFT(DD27,2)="NO","Anclaje: "&amp;DD27&amp;" (6.7.7.4.1.1). ","")&amp;IF(AND(C27="PERIMETRAL",AM27&gt;=1,AL27-AM27&gt;=1),"Esquinas exteriores sobre muro: refuerzo de esquina arriba y abajo en L_largo/5 (6.7.7.3.1). ",""))</f>
        <v/>
      </c>
    </row>
    <row r="28" ht="33" customHeight="1">
      <c r="A28" s="50">
        <f>IF(B28="",0,1)+A27</f>
        <v>3</v>
      </c>
      <c r="B28" s="29" t="n"/>
      <c r="C28" s="51" t="n"/>
      <c r="D28" s="29" t="n"/>
      <c r="E28" s="52" t="n"/>
      <c r="F28" s="52" t="n"/>
      <c r="G28" s="51" t="n"/>
      <c r="H28" s="51" t="n"/>
      <c r="I28" s="51" t="n"/>
      <c r="J28" s="51" t="n"/>
      <c r="K28" s="51" t="n"/>
      <c r="L28" s="51" t="n"/>
      <c r="M28" s="54" t="n"/>
      <c r="N28" s="53" t="n"/>
      <c r="O28" s="53" t="n"/>
      <c r="P28" s="54" t="n"/>
      <c r="Q28" s="52" t="n"/>
      <c r="R28" s="54" t="n"/>
      <c r="S28" s="53" t="n"/>
      <c r="T28" s="52" t="n"/>
      <c r="U28" s="52" t="n"/>
      <c r="V28" s="55" t="str">
        <f>IF(B28="","",IF(AND(OR(C28="PERIMETRAL",C28="VOLADO"),ISNUMBER(E28),ISNUMBER(F28),E28&gt;0,F28&gt;0,OR(ISNUMBER(O28),ISNUMBER(MATCH(D28,DATOS!$B$46:$B$58,0))),OR(C28&lt;&gt;"VOLADO",N(Q28)&gt;0)),"SÍ","NO"))</f>
        <v/>
      </c>
      <c r="W28" s="57" t="str">
        <f>IF(V28&lt;&gt;"SÍ","",IF(ISNUMBER(M28),M28,DATOS!$C$137))</f>
        <v/>
      </c>
      <c r="X28" s="55" t="str">
        <f>IF(V28&lt;&gt;"SÍ","",IF(C28&lt;&gt;"VOLADO","—",IF(COUNTIF(G28:J28,"CONTINUO")&lt;&gt;1,"?",IF(G28="CONTINUO","INFERIOR",IF(H28="CONTINUO","SUPERIOR",IF(I28="CONTINUO","IZQUIERDO","DERECHO"))))))</f>
        <v/>
      </c>
      <c r="Y28" s="55" t="str">
        <f>IF(V28&lt;&gt;"SÍ","",IF(C28="VOLADO",IF(OR(X28="IZQUIERDO",X28="DERECHO"),"X","Y"),IF(E28&lt;=F28,"X","Y")))</f>
        <v/>
      </c>
      <c r="Z28" s="56" t="str">
        <f>IF(V28&lt;&gt;"SÍ","",IF(C28="VOLADO",IF(Y28="X",E28,F28),MIN(E28,F28)))</f>
        <v/>
      </c>
      <c r="AA28" s="56" t="str">
        <f>IF(V28&lt;&gt;"SÍ","",IF(C28="VOLADO",IF(Y28="X",F28,E28),MAX(E28,F28)))</f>
        <v/>
      </c>
      <c r="AB28" s="56" t="str">
        <f>IF(V28&lt;&gt;"SÍ","",MIN(Z28,AA28)/MAX(Z28,AA28))</f>
        <v/>
      </c>
      <c r="AC28" s="57" t="str">
        <f>IF(V28&lt;&gt;"SÍ","",MAX(1,Z28*100-IF(C28="VOLADO",DATOS!$C$87/2,DATOS!$C$87)))</f>
        <v/>
      </c>
      <c r="AD28" s="57" t="str">
        <f>IF(V28&lt;&gt;"SÍ","",MAX(1,AA28*100-DATOS!$C$87))</f>
        <v/>
      </c>
      <c r="AE28" s="57" t="str">
        <f>IF(V28&lt;&gt;"SÍ","",IF(C28="VOLADO",DATOS!$C$64,DATOS!$C$62))</f>
        <v/>
      </c>
      <c r="AF28" s="57" t="str">
        <f>IF(V28&lt;&gt;"SÍ","",IF(OR(AND(AG28="SÍ",DATOS!$C$66="SÍ"),AND(C28="VOLADO",DATOS!$C$67="SÍ")),DATOS!$C$64,DATOS!$C$62))</f>
        <v/>
      </c>
      <c r="AG28" s="55" t="str">
        <f>IF(V28&lt;&gt;"SÍ","",IFERROR(INDEX(DATOS!$D$46:$D$58,MATCH(D28,DATOS!$B$46:$B$58,0)),"NO"))</f>
        <v/>
      </c>
      <c r="AH28" s="59" t="str">
        <f>IF(V28&lt;&gt;"SÍ","",IF(ISNUMBER(O28),O28,IFERROR(INDEX(DATOS!$C$46:$C$58,MATCH(D28,DATOS!$B$46:$B$58,0)),0)))</f>
        <v/>
      </c>
      <c r="AI28" s="59" t="str">
        <f>IF(V28&lt;&gt;"SÍ","",W28/100*DATOS!$C$16*1000+DATOS!$C$37+DATOS!$C$38)</f>
        <v/>
      </c>
      <c r="AJ28" s="59" t="str">
        <f>IF(V28&lt;&gt;"SÍ","",AI28+N(N28))</f>
        <v/>
      </c>
      <c r="AK28" s="60" t="str">
        <f>IF(V28&lt;&gt;"SÍ","",MAX(DATOS!$C$26*AJ28+DATOS!$C$27*AH28,IF(AG28="SÍ",DATOS!$C$28*(AJ28+DATOS!$C$41),0)))</f>
        <v/>
      </c>
      <c r="AL28" s="59" t="str">
        <f>IF(V28&lt;&gt;"SÍ","",(G28="DISCONTINUO")+(H28="DISCONTINUO")+(I28="DISCONTINUO")+(J28="DISCONTINUO"))</f>
        <v/>
      </c>
      <c r="AM28" s="59" t="str">
        <f>IF(V28&lt;&gt;"SÍ","",IF(Y28="X",(G28="DISCONTINUO")+(H28="DISCONTINUO"),(I28="DISCONTINUO")+(J28="DISCONTINUO")))</f>
        <v/>
      </c>
      <c r="AN28" s="55" t="str">
        <f>IF(V28&lt;&gt;"SÍ","",IF(AL28=0,"INTERIOR",IF(AL28=1,IF(AM28=1,"BORDE-CORTO","BORDE-LARGO"),IF(AL28=2,IF(AM28=1,"ESQUINA",IF(AM28=2,"EXTREMO-LARGO","EXTREMO-CORTO")),IF(AL28=3,IF(AM28=2,"EXTREMO-LARGO","EXTREMO-CORTO"),"AISLADO")))))</f>
        <v/>
      </c>
      <c r="AO28" s="61" t="str">
        <f>IF(V28&lt;&gt;"SÍ","",IF(OR(K28="",K28="AUTO"),AN28,K28))</f>
        <v/>
      </c>
      <c r="AP28" s="59" t="str">
        <f>IF(V28&lt;&gt;"SÍ","",MATCH(AB28,TABLAS!$D$5:$J$5,1))</f>
        <v/>
      </c>
      <c r="AQ28" s="58" t="str">
        <f>IF(V28&lt;&gt;"SÍ","",IF(AP28&gt;=7,0,(AB28-INDEX(TABLAS!$D$5:$J$5,AP28))/(INDEX(TABLAS!$D$5:$J$5,AP28+1)-INDEX(TABLAS!$D$5:$J$5,AP28))))</f>
        <v/>
      </c>
      <c r="AR28" s="59" t="str">
        <f>IF(V28&lt;&gt;"SÍ","",INDEX(TABLAS!$D$6:$J$47,MATCH(AO28&amp;"|NIC",TABLAS!$B$6:$B$47,0),AP28)+AQ28*(INDEX(TABLAS!$D$6:$J$47,MATCH(AO28&amp;"|NIC",TABLAS!$B$6:$B$47,0),MIN(AP28+1,7))-INDEX(TABLAS!$D$6:$J$47,MATCH(AO28&amp;"|NIC",TABLAS!$B$6:$B$47,0),AP28)))</f>
        <v/>
      </c>
      <c r="AS28" s="59" t="str">
        <f>IF(V28&lt;&gt;"SÍ","",INDEX(TABLAS!$D$6:$J$47,MATCH(AO28&amp;"|NIL",TABLAS!$B$6:$B$47,0),AP28)+AQ28*(INDEX(TABLAS!$D$6:$J$47,MATCH(AO28&amp;"|NIL",TABLAS!$B$6:$B$47,0),MIN(AP28+1,7))-INDEX(TABLAS!$D$6:$J$47,MATCH(AO28&amp;"|NIL",TABLAS!$B$6:$B$47,0),AP28)))</f>
        <v/>
      </c>
      <c r="AT28" s="59" t="str">
        <f>IF(V28&lt;&gt;"SÍ","",INDEX(TABLAS!$D$6:$J$47,MATCH(AO28&amp;"|NDC",TABLAS!$B$6:$B$47,0),AP28)+AQ28*(INDEX(TABLAS!$D$6:$J$47,MATCH(AO28&amp;"|NDC",TABLAS!$B$6:$B$47,0),MIN(AP28+1,7))-INDEX(TABLAS!$D$6:$J$47,MATCH(AO28&amp;"|NDC",TABLAS!$B$6:$B$47,0),AP28)))</f>
        <v/>
      </c>
      <c r="AU28" s="59" t="str">
        <f>IF(V28&lt;&gt;"SÍ","",INDEX(TABLAS!$D$6:$J$47,MATCH(AO28&amp;"|NDL",TABLAS!$B$6:$B$47,0),AP28)+AQ28*(INDEX(TABLAS!$D$6:$J$47,MATCH(AO28&amp;"|NDL",TABLAS!$B$6:$B$47,0),MIN(AP28+1,7))-INDEX(TABLAS!$D$6:$J$47,MATCH(AO28&amp;"|NDL",TABLAS!$B$6:$B$47,0),AP28)))</f>
        <v/>
      </c>
      <c r="AV28" s="59" t="str">
        <f>IF(V28&lt;&gt;"SÍ","",INDEX(TABLAS!$D$6:$J$47,MATCH(AO28&amp;"|PC",TABLAS!$B$6:$B$47,0),AP28)+AQ28*(INDEX(TABLAS!$D$6:$J$47,MATCH(AO28&amp;"|PC",TABLAS!$B$6:$B$47,0),MIN(AP28+1,7))-INDEX(TABLAS!$D$6:$J$47,MATCH(AO28&amp;"|PC",TABLAS!$B$6:$B$47,0),AP28)))</f>
        <v/>
      </c>
      <c r="AW28" s="59" t="str">
        <f>IF(V28&lt;&gt;"SÍ","",INDEX(TABLAS!$D$6:$J$47,MATCH(AO28&amp;"|PL",TABLAS!$B$6:$B$47,0),AP28)+AQ28*(INDEX(TABLAS!$D$6:$J$47,MATCH(AO28&amp;"|PL",TABLAS!$B$6:$B$47,0),MIN(AP28+1,7))-INDEX(TABLAS!$D$6:$J$47,MATCH(AO28&amp;"|PL",TABLAS!$B$6:$B$47,0),AP28)))</f>
        <v/>
      </c>
      <c r="AX28" s="56" t="str">
        <f>IF(V28&lt;&gt;"SÍ","",IF(C28="PERIMETRAL",AV28*AK28*Z28^2*1E-4/1000,0))</f>
        <v/>
      </c>
      <c r="AY28" s="62" t="str">
        <f>IF(V28&lt;&gt;"SÍ","",IF(C28="PERIMETRAL",MAX(MAX(AR28,AT28)*AK28*Z28^2*1E-4/1000,N(T28)),(AK28*(AC28/100)^2/2+DATOS!$C$26*N(P28)*AC28/100)/1000))</f>
        <v/>
      </c>
      <c r="AZ28" s="56" t="str">
        <f>IF(V28&lt;&gt;"SÍ","",IF(C28="PERIMETRAL",AW28*AK28*Z28^2*1E-4/1000,0))</f>
        <v/>
      </c>
      <c r="BA28" s="56" t="str">
        <f>IF(V28&lt;&gt;"SÍ","",IF(C28="PERIMETRAL",MAX(MAX(AS28,AU28)*AK28*Z28^2*1E-4/1000,N(U28)),0))</f>
        <v/>
      </c>
      <c r="BB28" s="63" t="str">
        <f>IF(V28&lt;&gt;"SÍ","",IF(C28&lt;&gt;"PERIMETRAL","—",IF(AND(N(T28)=0,N(U28)=0),"— (sin M⁻ del vecino)",IF(OR(AND(N(T28)&gt;0,ABS(MAX(AR28,AT28)*AK28*Z28^2*1E-4/1000-N(T28))&gt;0.5*MIN(MAX(AR28,AT28)*AK28*Z28^2*1E-4/1000,N(T28))),AND(N(U28)&gt;0,ABS(MAX(AS28,AU28)*AK28*Z28^2*1E-4/1000-N(U28))&gt;0.5*MIN(MAX(AS28,AU28)*AK28*Z28^2*1E-4/1000,N(U28)))),"FUERA: difieren &gt; 50 %"&amp;IF(AND(N(T28)&gt;0,ABS(MAX(AR28,AT28)*AK28*Z28^2*1E-4/1000-N(T28))&gt;0.5*MIN(MAX(AR28,AT28)*AK28*Z28^2*1E-4/1000,N(T28)))," ‖ corto","")&amp;IF(AND(N(U28)&gt;0,ABS(MAX(AS28,AU28)*AK28*Z28^2*1E-4/1000-N(U28))&gt;0.5*MIN(MAX(AS28,AU28)*AK28*Z28^2*1E-4/1000,N(U28)))," ‖ largo",""),"CUMPLE"))))</f>
        <v/>
      </c>
      <c r="BC28" s="58" t="str">
        <f>IF(V28&lt;&gt;"SÍ","",DATOS!$C$139*100*W28)</f>
        <v/>
      </c>
      <c r="BD28" s="57" t="str">
        <f>IF(V28&lt;&gt;"SÍ","",MIN(IF(C28="VOLADO",DATOS!$C$141,DATOS!$C$140)*W28,DATOS!$C$142))</f>
        <v/>
      </c>
      <c r="BE28" s="58" t="str">
        <f>IF(V28&lt;&gt;"SÍ","",(W28-AE28-INDEX(TABLAS!$C$52:$C$58,MATCH(IF(ISNUMBER(S28),S28,DATOS!$C$138),TABLAS!$B$52:$B$58,0))/2))</f>
        <v/>
      </c>
      <c r="BF28" s="58" t="str">
        <f>IF(V28&lt;&gt;"SÍ","",IF(AX28&lt;=0,0,IF((1-2*AX28*1E5/(DATOS!$C$29*100*BE28^2*DATOS!$C$21))&lt;0,-1,IF((1-SQRT((1-2*AX28*1E5/(DATOS!$C$29*100*BE28^2*DATOS!$C$21))))*DATOS!$C$21*100*BE28/DATOS!$C$14&gt;DATOS!$C$102*100*BE28,-1,(1-SQRT((1-2*AX28*1E5/(DATOS!$C$29*100*BE28^2*DATOS!$C$21))))*DATOS!$C$21*100*BE28/DATOS!$C$14))))</f>
        <v/>
      </c>
      <c r="BG28" s="58" t="str">
        <f>IF(V28&lt;&gt;"SÍ","",IF(BF28&lt;0,-1,MAX(BF28,BC28)))</f>
        <v/>
      </c>
      <c r="BH28" s="64" t="str">
        <f>IF(V28&lt;&gt;"SÍ","",IF(AND(BG28&gt;0,FLOOR(MIN(BD28,100*INDEX(TABLAS!$D$52:$D$58,MIN(MATCH(IF(ISNUMBER(S28),S28,DATOS!$C$138),TABLAS!$B$52:$B$58,0)+0,7))/MAX(BG28,0.0001)),DATOS!$C$144)&gt;=DATOS!$C$143),INDEX(TABLAS!$B$52:$B$58,MIN(MATCH(IF(ISNUMBER(S28),S28,DATOS!$C$138),TABLAS!$B$52:$B$58,0)+0,7)),IF(AND(BG28&gt;0,FLOOR(MIN(BD28,100*INDEX(TABLAS!$D$52:$D$58,MIN(MATCH(IF(ISNUMBER(S28),S28,DATOS!$C$138),TABLAS!$B$52:$B$58,0)+1,7))/MAX(BG28,0.0001)),DATOS!$C$144)&gt;=DATOS!$C$143),INDEX(TABLAS!$B$52:$B$58,MIN(MATCH(IF(ISNUMBER(S28),S28,DATOS!$C$138),TABLAS!$B$52:$B$58,0)+1,7)),IF(AND(BG28&gt;0,FLOOR(MIN(BD28,100*INDEX(TABLAS!$D$52:$D$58,MIN(MATCH(IF(ISNUMBER(S28),S28,DATOS!$C$138),TABLAS!$B$52:$B$58,0)+2,7))/MAX(BG28,0.0001)),DATOS!$C$144)&gt;=DATOS!$C$143),INDEX(TABLAS!$B$52:$B$58,MIN(MATCH(IF(ISNUMBER(S28),S28,DATOS!$C$138),TABLAS!$B$52:$B$58,0)+2,7)),IF(AND(BG28&gt;0,FLOOR(MIN(BD28,100*INDEX(TABLAS!$D$52:$D$58,MIN(MATCH(IF(ISNUMBER(S28),S28,DATOS!$C$138),TABLAS!$B$52:$B$58,0)+3,7))/MAX(BG28,0.0001)),DATOS!$C$144)&gt;=DATOS!$C$143),INDEX(TABLAS!$B$52:$B$58,MIN(MATCH(IF(ISNUMBER(S28),S28,DATOS!$C$138),TABLAS!$B$52:$B$58,0)+3,7)),IF(AND(BG28&gt;0,FLOOR(MIN(BD28,100*INDEX(TABLAS!$D$52:$D$58,MIN(MATCH(IF(ISNUMBER(S28),S28,DATOS!$C$138),TABLAS!$B$52:$B$58,0)+4,7))/MAX(BG28,0.0001)),DATOS!$C$144)&gt;=DATOS!$C$143),INDEX(TABLAS!$B$52:$B$58,MIN(MATCH(IF(ISNUMBER(S28),S28,DATOS!$C$138),TABLAS!$B$52:$B$58,0)+4,7)),INDEX(TABLAS!$B$52:$B$58,7)))))))</f>
        <v/>
      </c>
      <c r="BI28" s="71" t="str">
        <f>IF(V28&lt;&gt;"SÍ","",IF(BG28&lt;=0,0,FLOOR(MIN(BD28,100*INDEX(TABLAS!$D$52:$D$58,MATCH(BH28,TABLAS!$B$52:$B$58,0))/BG28),DATOS!$C$144)))</f>
        <v/>
      </c>
      <c r="BJ28" s="58" t="str">
        <f>IF(V28&lt;&gt;"SÍ","",IF(BI28&lt;=0,0,INDEX(TABLAS!$D$52:$D$58,MATCH(BH28,TABLAS!$B$52:$B$58,0))*100/BI28))</f>
        <v/>
      </c>
      <c r="BK28" s="58" t="str">
        <f>IF(V28&lt;&gt;"SÍ","",W28-AE28-INDEX(TABLAS!$C$52:$C$58,MATCH(BH28,TABLAS!$B$52:$B$58,0))/2)</f>
        <v/>
      </c>
      <c r="BL28" s="56" t="str">
        <f>IF(V28&lt;&gt;"SÍ","",IF(BJ28=0,0,DATOS!$C$29*BJ28*DATOS!$C$14*(BK28-BJ28*DATOS!$C$14/(DATOS!$C$21*100)/2)/1E5))</f>
        <v/>
      </c>
      <c r="BM28" s="65" t="str">
        <f>IF(V28&lt;&gt;"SÍ","",IF(BG28&lt;0,9.99,IF(BL28&gt;0,AX28/BL28,0)))</f>
        <v/>
      </c>
      <c r="BN28" s="66" t="str">
        <f>IF(V28&lt;&gt;"SÍ","",IF(BJ28=0,"—",0.003*(BK28-(BJ28*DATOS!$C$14/(DATOS!$C$21*100)/DATOS!$C$22))/(BJ28*DATOS!$C$14/(DATOS!$C$21*100)/DATOS!$C$22)))</f>
        <v/>
      </c>
      <c r="BO28" s="58" t="str">
        <f>IF(V28&lt;&gt;"SÍ","",((W28-AF28-INDEX(TABLAS!$C$52:$C$58,MATCH(IF(ISNUMBER(S28),S28,DATOS!$C$138),TABLAS!$B$52:$B$58,0))/2)-IF(AND((W28-AF28-INDEX(TABLAS!$C$52:$C$58,MATCH(IF(ISNUMBER(S28),S28,DATOS!$C$138),TABLAS!$B$52:$B$58,0))/2)&lt;=20,DATOS!$C$65&lt;&gt;"SÍ"),2,0)))</f>
        <v/>
      </c>
      <c r="BP28" s="58" t="str">
        <f>IF(V28&lt;&gt;"SÍ","",IF(AY28&lt;=0,0,IF((1-2*AY28*1E5/(DATOS!$C$29*100*BO28^2*DATOS!$C$21))&lt;0,-1,IF((1-SQRT((1-2*AY28*1E5/(DATOS!$C$29*100*BO28^2*DATOS!$C$21))))*DATOS!$C$21*100*BO28/DATOS!$C$14&gt;DATOS!$C$102*100*BO28,-1,(1-SQRT((1-2*AY28*1E5/(DATOS!$C$29*100*BO28^2*DATOS!$C$21))))*DATOS!$C$21*100*BO28/DATOS!$C$14))))</f>
        <v/>
      </c>
      <c r="BQ28" s="58" t="str">
        <f>IF(V28&lt;&gt;"SÍ","",IF(BP28&lt;0,-1,MAX(BP28,BC28)))</f>
        <v/>
      </c>
      <c r="BR28" s="64" t="str">
        <f>IF(V28&lt;&gt;"SÍ","",IF(AND(BQ28&gt;0,FLOOR(MIN(BD28,100*INDEX(TABLAS!$D$52:$D$58,MIN(MATCH(IF(ISNUMBER(S28),S28,DATOS!$C$138),TABLAS!$B$52:$B$58,0)+0,7))/MAX(BQ28,0.0001)),DATOS!$C$144)&gt;=DATOS!$C$143),INDEX(TABLAS!$B$52:$B$58,MIN(MATCH(IF(ISNUMBER(S28),S28,DATOS!$C$138),TABLAS!$B$52:$B$58,0)+0,7)),IF(AND(BQ28&gt;0,FLOOR(MIN(BD28,100*INDEX(TABLAS!$D$52:$D$58,MIN(MATCH(IF(ISNUMBER(S28),S28,DATOS!$C$138),TABLAS!$B$52:$B$58,0)+1,7))/MAX(BQ28,0.0001)),DATOS!$C$144)&gt;=DATOS!$C$143),INDEX(TABLAS!$B$52:$B$58,MIN(MATCH(IF(ISNUMBER(S28),S28,DATOS!$C$138),TABLAS!$B$52:$B$58,0)+1,7)),IF(AND(BQ28&gt;0,FLOOR(MIN(BD28,100*INDEX(TABLAS!$D$52:$D$58,MIN(MATCH(IF(ISNUMBER(S28),S28,DATOS!$C$138),TABLAS!$B$52:$B$58,0)+2,7))/MAX(BQ28,0.0001)),DATOS!$C$144)&gt;=DATOS!$C$143),INDEX(TABLAS!$B$52:$B$58,MIN(MATCH(IF(ISNUMBER(S28),S28,DATOS!$C$138),TABLAS!$B$52:$B$58,0)+2,7)),IF(AND(BQ28&gt;0,FLOOR(MIN(BD28,100*INDEX(TABLAS!$D$52:$D$58,MIN(MATCH(IF(ISNUMBER(S28),S28,DATOS!$C$138),TABLAS!$B$52:$B$58,0)+3,7))/MAX(BQ28,0.0001)),DATOS!$C$144)&gt;=DATOS!$C$143),INDEX(TABLAS!$B$52:$B$58,MIN(MATCH(IF(ISNUMBER(S28),S28,DATOS!$C$138),TABLAS!$B$52:$B$58,0)+3,7)),IF(AND(BQ28&gt;0,FLOOR(MIN(BD28,100*INDEX(TABLAS!$D$52:$D$58,MIN(MATCH(IF(ISNUMBER(S28),S28,DATOS!$C$138),TABLAS!$B$52:$B$58,0)+4,7))/MAX(BQ28,0.0001)),DATOS!$C$144)&gt;=DATOS!$C$143),INDEX(TABLAS!$B$52:$B$58,MIN(MATCH(IF(ISNUMBER(S28),S28,DATOS!$C$138),TABLAS!$B$52:$B$58,0)+4,7)),INDEX(TABLAS!$B$52:$B$58,7)))))))</f>
        <v/>
      </c>
      <c r="BS28" s="71" t="str">
        <f>IF(V28&lt;&gt;"SÍ","",IF(BQ28&lt;=0,0,FLOOR(MIN(BD28,100*INDEX(TABLAS!$D$52:$D$58,MATCH(BR28,TABLAS!$B$52:$B$58,0))/BQ28),DATOS!$C$144)))</f>
        <v/>
      </c>
      <c r="BT28" s="58" t="str">
        <f>IF(V28&lt;&gt;"SÍ","",IF(BS28&lt;=0,0,INDEX(TABLAS!$D$52:$D$58,MATCH(BR28,TABLAS!$B$52:$B$58,0))*100/BS28))</f>
        <v/>
      </c>
      <c r="BU28" s="58" t="str">
        <f>IF(V28&lt;&gt;"SÍ","",((W28-AF28-INDEX(TABLAS!$C$52:$C$58,MATCH(BR28,TABLAS!$B$52:$B$58,0))/2)-IF(AND((W28-AF28-INDEX(TABLAS!$C$52:$C$58,MATCH(BR28,TABLAS!$B$52:$B$58,0))/2)&lt;=20,DATOS!$C$65&lt;&gt;"SÍ"),2,0)))</f>
        <v/>
      </c>
      <c r="BV28" s="56" t="str">
        <f>IF(V28&lt;&gt;"SÍ","",IF(BT28=0,0,DATOS!$C$29*BT28*DATOS!$C$14*(BU28-BT28*DATOS!$C$14/(DATOS!$C$21*100)/2)/1E5))</f>
        <v/>
      </c>
      <c r="BW28" s="65" t="str">
        <f>IF(V28&lt;&gt;"SÍ","",IF(BQ28&lt;0,9.99,IF(BV28&gt;0,AY28/BV28,0)))</f>
        <v/>
      </c>
      <c r="BX28" s="66" t="str">
        <f>IF(V28&lt;&gt;"SÍ","",IF(BT28=0,"—",0.003*(BU28-(BT28*DATOS!$C$14/(DATOS!$C$21*100)/DATOS!$C$22))/(BT28*DATOS!$C$14/(DATOS!$C$21*100)/DATOS!$C$22)))</f>
        <v/>
      </c>
      <c r="BY28" s="58" t="str">
        <f>IF(V28&lt;&gt;"SÍ","",(W28-AE28-1.5*INDEX(TABLAS!$C$52:$C$58,MATCH(IF(ISNUMBER(S28),S28,DATOS!$C$138),TABLAS!$B$52:$B$58,0))))</f>
        <v/>
      </c>
      <c r="BZ28" s="58" t="str">
        <f>IF(V28&lt;&gt;"SÍ","",IF(AZ28&lt;=0,0,IF((1-2*AZ28*1E5/(DATOS!$C$29*100*BY28^2*DATOS!$C$21))&lt;0,-1,IF((1-SQRT((1-2*AZ28*1E5/(DATOS!$C$29*100*BY28^2*DATOS!$C$21))))*DATOS!$C$21*100*BY28/DATOS!$C$14&gt;DATOS!$C$102*100*BY28,-1,(1-SQRT((1-2*AZ28*1E5/(DATOS!$C$29*100*BY28^2*DATOS!$C$21))))*DATOS!$C$21*100*BY28/DATOS!$C$14))))</f>
        <v/>
      </c>
      <c r="CA28" s="58" t="str">
        <f>IF(V28&lt;&gt;"SÍ","",IF(BZ28&lt;0,-1,MAX(BZ28,BC28)))</f>
        <v/>
      </c>
      <c r="CB28" s="64" t="str">
        <f>IF(V28&lt;&gt;"SÍ","",IF(AND(CA28&gt;0,FLOOR(MIN(BD28,100*INDEX(TABLAS!$D$52:$D$58,MIN(MATCH(IF(ISNUMBER(S28),S28,DATOS!$C$138),TABLAS!$B$52:$B$58,0)+0,7))/MAX(CA28,0.0001)),DATOS!$C$144)&gt;=DATOS!$C$143),INDEX(TABLAS!$B$52:$B$58,MIN(MATCH(IF(ISNUMBER(S28),S28,DATOS!$C$138),TABLAS!$B$52:$B$58,0)+0,7)),IF(AND(CA28&gt;0,FLOOR(MIN(BD28,100*INDEX(TABLAS!$D$52:$D$58,MIN(MATCH(IF(ISNUMBER(S28),S28,DATOS!$C$138),TABLAS!$B$52:$B$58,0)+1,7))/MAX(CA28,0.0001)),DATOS!$C$144)&gt;=DATOS!$C$143),INDEX(TABLAS!$B$52:$B$58,MIN(MATCH(IF(ISNUMBER(S28),S28,DATOS!$C$138),TABLAS!$B$52:$B$58,0)+1,7)),IF(AND(CA28&gt;0,FLOOR(MIN(BD28,100*INDEX(TABLAS!$D$52:$D$58,MIN(MATCH(IF(ISNUMBER(S28),S28,DATOS!$C$138),TABLAS!$B$52:$B$58,0)+2,7))/MAX(CA28,0.0001)),DATOS!$C$144)&gt;=DATOS!$C$143),INDEX(TABLAS!$B$52:$B$58,MIN(MATCH(IF(ISNUMBER(S28),S28,DATOS!$C$138),TABLAS!$B$52:$B$58,0)+2,7)),IF(AND(CA28&gt;0,FLOOR(MIN(BD28,100*INDEX(TABLAS!$D$52:$D$58,MIN(MATCH(IF(ISNUMBER(S28),S28,DATOS!$C$138),TABLAS!$B$52:$B$58,0)+3,7))/MAX(CA28,0.0001)),DATOS!$C$144)&gt;=DATOS!$C$143),INDEX(TABLAS!$B$52:$B$58,MIN(MATCH(IF(ISNUMBER(S28),S28,DATOS!$C$138),TABLAS!$B$52:$B$58,0)+3,7)),IF(AND(CA28&gt;0,FLOOR(MIN(BD28,100*INDEX(TABLAS!$D$52:$D$58,MIN(MATCH(IF(ISNUMBER(S28),S28,DATOS!$C$138),TABLAS!$B$52:$B$58,0)+4,7))/MAX(CA28,0.0001)),DATOS!$C$144)&gt;=DATOS!$C$143),INDEX(TABLAS!$B$52:$B$58,MIN(MATCH(IF(ISNUMBER(S28),S28,DATOS!$C$138),TABLAS!$B$52:$B$58,0)+4,7)),INDEX(TABLAS!$B$52:$B$58,7)))))))</f>
        <v/>
      </c>
      <c r="CC28" s="71" t="str">
        <f>IF(V28&lt;&gt;"SÍ","",IF(CA28&lt;=0,0,FLOOR(MIN(BD28,100*INDEX(TABLAS!$D$52:$D$58,MATCH(CB28,TABLAS!$B$52:$B$58,0))/CA28),DATOS!$C$144)))</f>
        <v/>
      </c>
      <c r="CD28" s="58" t="str">
        <f>IF(V28&lt;&gt;"SÍ","",IF(CC28&lt;=0,0,INDEX(TABLAS!$D$52:$D$58,MATCH(CB28,TABLAS!$B$52:$B$58,0))*100/CC28))</f>
        <v/>
      </c>
      <c r="CE28" s="58" t="str">
        <f>IF(V28&lt;&gt;"SÍ","",W28-AE28-INDEX(TABLAS!$C$52:$C$58,MATCH(BH28,TABLAS!$B$52:$B$58,0))-INDEX(TABLAS!$C$52:$C$58,MATCH(CB28,TABLAS!$B$52:$B$58,0))/2)</f>
        <v/>
      </c>
      <c r="CF28" s="56" t="str">
        <f>IF(V28&lt;&gt;"SÍ","",IF(CD28=0,0,DATOS!$C$29*CD28*DATOS!$C$14*(CE28-CD28*DATOS!$C$14/(DATOS!$C$21*100)/2)/1E5))</f>
        <v/>
      </c>
      <c r="CG28" s="65" t="str">
        <f>IF(V28&lt;&gt;"SÍ","",IF(CA28&lt;0,9.99,IF(CF28&gt;0,AZ28/CF28,0)))</f>
        <v/>
      </c>
      <c r="CH28" s="66" t="str">
        <f>IF(V28&lt;&gt;"SÍ","",IF(CD28=0,"—",0.003*(CE28-(CD28*DATOS!$C$14/(DATOS!$C$21*100)/DATOS!$C$22))/(CD28*DATOS!$C$14/(DATOS!$C$21*100)/DATOS!$C$22)))</f>
        <v/>
      </c>
      <c r="CI28" s="58" t="str">
        <f>IF(V28&lt;&gt;"SÍ","",((W28-AF28-1.5*INDEX(TABLAS!$C$52:$C$58,MATCH(IF(ISNUMBER(S28),S28,DATOS!$C$138),TABLAS!$B$52:$B$58,0)))-IF(AND((W28-AF28-1.5*INDEX(TABLAS!$C$52:$C$58,MATCH(IF(ISNUMBER(S28),S28,DATOS!$C$138),TABLAS!$B$52:$B$58,0)))&lt;=20,DATOS!$C$65&lt;&gt;"SÍ"),2,0)))</f>
        <v/>
      </c>
      <c r="CJ28" s="58" t="str">
        <f>IF(V28&lt;&gt;"SÍ","",IF(BA28&lt;=0,0,IF((1-2*BA28*1E5/(DATOS!$C$29*100*CI28^2*DATOS!$C$21))&lt;0,-1,IF((1-SQRT((1-2*BA28*1E5/(DATOS!$C$29*100*CI28^2*DATOS!$C$21))))*DATOS!$C$21*100*CI28/DATOS!$C$14&gt;DATOS!$C$102*100*CI28,-1,(1-SQRT((1-2*BA28*1E5/(DATOS!$C$29*100*CI28^2*DATOS!$C$21))))*DATOS!$C$21*100*CI28/DATOS!$C$14))))</f>
        <v/>
      </c>
      <c r="CK28" s="58" t="str">
        <f>IF(V28&lt;&gt;"SÍ","",IF(CJ28&lt;0,-1,MAX(CJ28,BC28)))</f>
        <v/>
      </c>
      <c r="CL28" s="64" t="str">
        <f>IF(V28&lt;&gt;"SÍ","",IF(AND(CK28&gt;0,FLOOR(MIN(BD28,100*INDEX(TABLAS!$D$52:$D$58,MIN(MATCH(IF(ISNUMBER(S28),S28,DATOS!$C$138),TABLAS!$B$52:$B$58,0)+0,7))/MAX(CK28,0.0001)),DATOS!$C$144)&gt;=DATOS!$C$143),INDEX(TABLAS!$B$52:$B$58,MIN(MATCH(IF(ISNUMBER(S28),S28,DATOS!$C$138),TABLAS!$B$52:$B$58,0)+0,7)),IF(AND(CK28&gt;0,FLOOR(MIN(BD28,100*INDEX(TABLAS!$D$52:$D$58,MIN(MATCH(IF(ISNUMBER(S28),S28,DATOS!$C$138),TABLAS!$B$52:$B$58,0)+1,7))/MAX(CK28,0.0001)),DATOS!$C$144)&gt;=DATOS!$C$143),INDEX(TABLAS!$B$52:$B$58,MIN(MATCH(IF(ISNUMBER(S28),S28,DATOS!$C$138),TABLAS!$B$52:$B$58,0)+1,7)),IF(AND(CK28&gt;0,FLOOR(MIN(BD28,100*INDEX(TABLAS!$D$52:$D$58,MIN(MATCH(IF(ISNUMBER(S28),S28,DATOS!$C$138),TABLAS!$B$52:$B$58,0)+2,7))/MAX(CK28,0.0001)),DATOS!$C$144)&gt;=DATOS!$C$143),INDEX(TABLAS!$B$52:$B$58,MIN(MATCH(IF(ISNUMBER(S28),S28,DATOS!$C$138),TABLAS!$B$52:$B$58,0)+2,7)),IF(AND(CK28&gt;0,FLOOR(MIN(BD28,100*INDEX(TABLAS!$D$52:$D$58,MIN(MATCH(IF(ISNUMBER(S28),S28,DATOS!$C$138),TABLAS!$B$52:$B$58,0)+3,7))/MAX(CK28,0.0001)),DATOS!$C$144)&gt;=DATOS!$C$143),INDEX(TABLAS!$B$52:$B$58,MIN(MATCH(IF(ISNUMBER(S28),S28,DATOS!$C$138),TABLAS!$B$52:$B$58,0)+3,7)),IF(AND(CK28&gt;0,FLOOR(MIN(BD28,100*INDEX(TABLAS!$D$52:$D$58,MIN(MATCH(IF(ISNUMBER(S28),S28,DATOS!$C$138),TABLAS!$B$52:$B$58,0)+4,7))/MAX(CK28,0.0001)),DATOS!$C$144)&gt;=DATOS!$C$143),INDEX(TABLAS!$B$52:$B$58,MIN(MATCH(IF(ISNUMBER(S28),S28,DATOS!$C$138),TABLAS!$B$52:$B$58,0)+4,7)),INDEX(TABLAS!$B$52:$B$58,7)))))))</f>
        <v/>
      </c>
      <c r="CM28" s="71" t="str">
        <f>IF(V28&lt;&gt;"SÍ","",IF(CK28&lt;=0,0,FLOOR(MIN(BD28,100*INDEX(TABLAS!$D$52:$D$58,MATCH(CL28,TABLAS!$B$52:$B$58,0))/CK28),DATOS!$C$144)))</f>
        <v/>
      </c>
      <c r="CN28" s="58" t="str">
        <f>IF(V28&lt;&gt;"SÍ","",IF(CM28&lt;=0,0,INDEX(TABLAS!$D$52:$D$58,MATCH(CL28,TABLAS!$B$52:$B$58,0))*100/CM28))</f>
        <v/>
      </c>
      <c r="CO28" s="58" t="str">
        <f>IF(V28&lt;&gt;"SÍ","",((W28-AF28-INDEX(TABLAS!$C$52:$C$58,MATCH(BR28,TABLAS!$B$52:$B$58,0))-INDEX(TABLAS!$C$52:$C$58,MATCH(CL28,TABLAS!$B$52:$B$58,0))/2)-IF(AND((W28-AF28-INDEX(TABLAS!$C$52:$C$58,MATCH(BR28,TABLAS!$B$52:$B$58,0))-INDEX(TABLAS!$C$52:$C$58,MATCH(CL28,TABLAS!$B$52:$B$58,0))/2)&lt;=20,DATOS!$C$65&lt;&gt;"SÍ"),2,0)))</f>
        <v/>
      </c>
      <c r="CP28" s="56" t="str">
        <f>IF(V28&lt;&gt;"SÍ","",IF(CN28=0,0,DATOS!$C$29*CN28*DATOS!$C$14*(CO28-CN28*DATOS!$C$14/(DATOS!$C$21*100)/2)/1E5))</f>
        <v/>
      </c>
      <c r="CQ28" s="65" t="str">
        <f>IF(V28&lt;&gt;"SÍ","",IF(CK28&lt;0,9.99,IF(CP28&gt;0,BA28/CP28,0)))</f>
        <v/>
      </c>
      <c r="CR28" s="66" t="str">
        <f>IF(V28&lt;&gt;"SÍ","",IF(CN28=0,"—",0.003*(CO28-(CN28*DATOS!$C$14/(DATOS!$C$21*100)/DATOS!$C$22))/(CN28*DATOS!$C$14/(DATOS!$C$21*100)/DATOS!$C$22)))</f>
        <v/>
      </c>
      <c r="CS28" s="56" t="str">
        <f>IF(V28&lt;&gt;"SÍ","",IF(C28="PERIMETRAL",MAX(0,(AC28/2-BU28)/100)*(0.95-0.5*AB28)*AK28*IF(AND(AL28&gt;0,AL28&lt;4),DATOS!$C$33,1)/1000,(AK28*MAX(0,AC28-BU28)/100+DATOS!$C$26*N(P28))/1000))</f>
        <v/>
      </c>
      <c r="CT28" s="66" t="str">
        <f>IF(V28&lt;&gt;"SÍ","",BT28/(100*BU28))</f>
        <v/>
      </c>
      <c r="CU28" s="56" t="str">
        <f>IF(V28&lt;&gt;"SÍ","",DATOS!$C$30*2*MIN(1,SQRT(2/(1+0.04*BU28)))*CT28^(1/3)*SQRT(DATOS!$C$13)*100*BU28/1000)</f>
        <v/>
      </c>
      <c r="CV28" s="67" t="str">
        <f>IF(V28&lt;&gt;"SÍ","",IF(CS28&lt;=CU28,"CUMPLE","NO CUMPLE: sube h"))</f>
        <v/>
      </c>
      <c r="CW28" s="58" t="str">
        <f>IF(V28&lt;&gt;"SÍ","",IF(C28="PERIMETRAL",IF(ISNUMBER(R28),R28,DATOS!$C$104),0))</f>
        <v/>
      </c>
      <c r="CX28" s="57" t="str">
        <f>IF(V28&lt;&gt;"SÍ","",IF(C28="PERIMETRAL",IF(CW28&gt;2,MAX(9,AD28*(0.8+DATOS!$C$14/14000)/(36+9*(AD28/MAX(AC28,1)))),IF(CW28&gt;0.2,MAX(13,AD28*(0.8+DATOS!$C$14/14000)/(36+5*(AD28/MAX(AC28,1))*(CW28-0.2))),MAX(13,AD28/IF(AL28&gt;0,30,33))))*IF(AND(CW28&gt;0.2,AL28&gt;0,DATOS!$C$105="NO"),1.1,1),Z28*100/DATOS!$C$145*(0.4+DATOS!$C$14/7000)))</f>
        <v/>
      </c>
      <c r="CY28" s="61" t="str">
        <f>IF(V28&lt;&gt;"SÍ","",IF(W28&gt;=CX28-0.001,"CUMPLE",IF(C28="VOLADO","NO CUMPLE","CALCULAR FLECHA")))</f>
        <v/>
      </c>
      <c r="CZ28" s="60" t="str">
        <f>IF(V28&lt;&gt;"SÍ","",IF(C28="VOLADO",MIN(FLOOR(IF(ISNUMBER(Q28),Q28,Z28)*100-DATOS!$C$63,5),CEILING(MAX(IF((0.5*(0.9*W28/100*DATOS!$C$16)*IF(ISNUMBER(Q28),Q28,Z28)+AY28/IF(ISNUMBER(Q28),Q28,Z28))^2-4*(0.5*(0.9*W28/100*DATOS!$C$16))*AY28&lt;0,IF(ISNUMBER(Q28),Q28,Z28),MIN(IF(ISNUMBER(Q28),Q28,Z28),((0.5*(0.9*W28/100*DATOS!$C$16)*IF(ISNUMBER(Q28),Q28,Z28)+AY28/IF(ISNUMBER(Q28),Q28,Z28))-SQRT((0.5*(0.9*W28/100*DATOS!$C$16)*IF(ISNUMBER(Q28),Q28,Z28)+AY28/IF(ISNUMBER(Q28),Q28,Z28))^2-4*(0.5*(0.9*W28/100*DATOS!$C$16))*AY28))/(2*(0.5*(0.9*W28/100*DATOS!$C$16)))))*100+MAX(BU28,12*INDEX(TABLAS!$C$52:$C$58,MATCH(BR28,TABLAS!$B$52:$B$58,0)),IF(ISNUMBER(Q28),Q28,Z28)*100/16),IF(OR(AF28&lt;INDEX(TABLAS!$C$52:$C$58,MATCH(BR28,TABLAS!$B$52:$B$58,0)),BS28-INDEX(TABLAS!$C$52:$C$58,MATCH(BR28,TABLAS!$B$52:$B$58,0))&lt;2*INDEX(TABLAS!$C$52:$C$58,MATCH(BR28,TABLAS!$B$52:$B$58,0))),INDEX(TABLAS!$I$52:$I$58,MATCH(BR28,TABLAS!$B$52:$B$58,0)),INDEX(TABLAS!$F$52:$F$58,MATCH(BR28,TABLAS!$B$52:$B$58,0)))),5)),IF(((4*((AV28*AK28*Z28^2*1E-4/1000)+((MAX(AR28,AT28)*AK28*Z28^2*1E-4/1000)+(IF(AND(AR28&gt;0,AT28&gt;0),MIN(AR28,AT28),MAX(AR28,AT28))*AK28*Z28^2*1E-4/1000))/2)+AY28-(IF(AND(AR28&gt;0,AT28&gt;0),MIN(AR28,AT28),MAX(AR28,AT28))*AK28*Z28^2*1E-4/1000))^2-16*((AV28*AK28*Z28^2*1E-4/1000)+((MAX(AR28,AT28)*AK28*Z28^2*1E-4/1000)+(IF(AND(AR28&gt;0,AT28&gt;0),MIN(AR28,AT28),MAX(AR28,AT28))*AK28*Z28^2*1E-4/1000))/2)*AY28)&lt;0,CEILING(AC28,5),CEILING(MAX(AC28*((4*((AV28*AK28*Z28^2*1E-4/1000)+((MAX(AR28,AT28)*AK28*Z28^2*1E-4/1000)+(IF(AND(AR28&gt;0,AT28&gt;0),MIN(AR28,AT28),MAX(AR28,AT28))*AK28*Z28^2*1E-4/1000))/2)+AY28-(IF(AND(AR28&gt;0,AT28&gt;0),MIN(AR28,AT28),MAX(AR28,AT28))*AK28*Z28^2*1E-4/1000))-SQRT(MAX(0,((4*((AV28*AK28*Z28^2*1E-4/1000)+((MAX(AR28,AT28)*AK28*Z28^2*1E-4/1000)+(IF(AND(AR28&gt;0,AT28&gt;0),MIN(AR28,AT28),MAX(AR28,AT28))*AK28*Z28^2*1E-4/1000))/2)+AY28-(IF(AND(AR28&gt;0,AT28&gt;0),MIN(AR28,AT28),MAX(AR28,AT28))*AK28*Z28^2*1E-4/1000))^2-16*((AV28*AK28*Z28^2*1E-4/1000)+((MAX(AR28,AT28)*AK28*Z28^2*1E-4/1000)+(IF(AND(AR28&gt;0,AT28&gt;0),MIN(AR28,AT28),MAX(AR28,AT28))*AK28*Z28^2*1E-4/1000))/2)*AY28))))/(8*MAX(((AV28*AK28*Z28^2*1E-4/1000)+((MAX(AR28,AT28)*AK28*Z28^2*1E-4/1000)+(IF(AND(AR28&gt;0,AT28&gt;0),MIN(AR28,AT28),MAX(AR28,AT28))*AK28*Z28^2*1E-4/1000))/2),1E-9))+MAX(BU28,12*INDEX(TABLAS!$C$52:$C$58,MATCH(BR28,TABLAS!$B$52:$B$58,0)),AC28/16),IF(OR(AF28&lt;INDEX(TABLAS!$C$52:$C$58,MATCH(BR28,TABLAS!$B$52:$B$58,0)),BS28-INDEX(TABLAS!$C$52:$C$58,MATCH(BR28,TABLAS!$B$52:$B$58,0))&lt;2*INDEX(TABLAS!$C$52:$C$58,MATCH(BR28,TABLAS!$B$52:$B$58,0))),INDEX(TABLAS!$I$52:$I$58,MATCH(BR28,TABLAS!$B$52:$B$58,0)),INDEX(TABLAS!$F$52:$F$58,MATCH(BR28,TABLAS!$B$52:$B$58,0)))),5))))</f>
        <v/>
      </c>
      <c r="DA28" s="60" t="str">
        <f>IF(V28&lt;&gt;"SÍ","",IF(C28="VOLADO",0,IF(((4*((AW28*AK28*Z28^2*1E-4/1000)+((MAX(AS28,AU28)*AK28*Z28^2*1E-4/1000)+(IF(AND(AS28&gt;0,AU28&gt;0),MIN(AS28,AU28),MAX(AS28,AU28))*AK28*Z28^2*1E-4/1000))/2)+BA28-(IF(AND(AS28&gt;0,AU28&gt;0),MIN(AS28,AU28),MAX(AS28,AU28))*AK28*Z28^2*1E-4/1000))^2-16*((AW28*AK28*Z28^2*1E-4/1000)+((MAX(AS28,AU28)*AK28*Z28^2*1E-4/1000)+(IF(AND(AS28&gt;0,AU28&gt;0),MIN(AS28,AU28),MAX(AS28,AU28))*AK28*Z28^2*1E-4/1000))/2)*BA28)&lt;0,CEILING(AD28,5),CEILING(MAX(AD28*((4*((AW28*AK28*Z28^2*1E-4/1000)+((MAX(AS28,AU28)*AK28*Z28^2*1E-4/1000)+(IF(AND(AS28&gt;0,AU28&gt;0),MIN(AS28,AU28),MAX(AS28,AU28))*AK28*Z28^2*1E-4/1000))/2)+BA28-(IF(AND(AS28&gt;0,AU28&gt;0),MIN(AS28,AU28),MAX(AS28,AU28))*AK28*Z28^2*1E-4/1000))-SQRT(MAX(0,((4*((AW28*AK28*Z28^2*1E-4/1000)+((MAX(AS28,AU28)*AK28*Z28^2*1E-4/1000)+(IF(AND(AS28&gt;0,AU28&gt;0),MIN(AS28,AU28),MAX(AS28,AU28))*AK28*Z28^2*1E-4/1000))/2)+BA28-(IF(AND(AS28&gt;0,AU28&gt;0),MIN(AS28,AU28),MAX(AS28,AU28))*AK28*Z28^2*1E-4/1000))^2-16*((AW28*AK28*Z28^2*1E-4/1000)+((MAX(AS28,AU28)*AK28*Z28^2*1E-4/1000)+(IF(AND(AS28&gt;0,AU28&gt;0),MIN(AS28,AU28),MAX(AS28,AU28))*AK28*Z28^2*1E-4/1000))/2)*BA28))))/(8*MAX(((AW28*AK28*Z28^2*1E-4/1000)+((MAX(AS28,AU28)*AK28*Z28^2*1E-4/1000)+(IF(AND(AS28&gt;0,AU28&gt;0),MIN(AS28,AU28),MAX(AS28,AU28))*AK28*Z28^2*1E-4/1000))/2),1E-9))+MAX(CO28,12*INDEX(TABLAS!$C$52:$C$58,MATCH(CL28,TABLAS!$B$52:$B$58,0)),AD28/16),IF(OR(AF28&lt;INDEX(TABLAS!$C$52:$C$58,MATCH(CL28,TABLAS!$B$52:$B$58,0)),CM28-INDEX(TABLAS!$C$52:$C$58,MATCH(CL28,TABLAS!$B$52:$B$58,0))&lt;2*INDEX(TABLAS!$C$52:$C$58,MATCH(CL28,TABLAS!$B$52:$B$58,0))),INDEX(TABLAS!$I$52:$I$58,MATCH(CL28,TABLAS!$B$52:$B$58,0)),INDEX(TABLAS!$F$52:$F$58,MATCH(CL28,TABLAS!$B$52:$B$58,0)))),5))))</f>
        <v/>
      </c>
      <c r="DB28" s="55" t="str">
        <f>IF(V28&lt;&gt;"SÍ","",IF(AND(C28="PERIMETRAL",AL28-AM28&gt;0,AT28&gt;0),"SÍ","NO"))</f>
        <v/>
      </c>
      <c r="DC28" s="55" t="str">
        <f>IF(V28&lt;&gt;"SÍ","",IF(AND(C28="PERIMETRAL",AM28&gt;0,AU28&gt;0),"SÍ","NO"))</f>
        <v/>
      </c>
      <c r="DD28" s="63" t="str">
        <f>IF(V28&lt;&gt;"SÍ","",IF(OR(C28="VOLADO",AL28=0),"—",IF(AND(AND(INDEX(TABLAS!$G$52:$G$58,MATCH(MAX(BR28,CL28),TABLAS!$B$52:$B$58,0))&lt;=(DATOS!$C$75-DATOS!$C$63),(DATOS!$C$75-DATOS!$C$63)&gt;=15),8*INDEX(TABLAS!$C$52:$C$58,MATCH(MAX(BH28,CB28,BR28,CL28),TABLAS!$B$52:$B$58,0))&lt;=DATOS!$C$76-2*DATOS!$C$63),"CUMPLE (gancho de 180°)",IF(AND(INDEX(TABLAS!$G$52:$G$58,MATCH(MAX(BR28,CL28),TABLAS!$B$52:$B$58,0))&lt;=(DATOS!$C$75-DATOS!$C$63),(DATOS!$C$75-DATOS!$C$63)&gt;=15),"NO CUMPLE: el gancho de 180° (8·d_b) no cabe en el peralte de la dala de borde","NO CUMPLE: dala de borde ≥ "&amp;TEXT(CEILING(MAX(INDEX(TABLAS!$G$52:$G$58,MATCH(MAX(BR28,CL28),TABLAS!$B$52:$B$58,0)),15)+DATOS!$C$63,5),"0")&amp;" cm de ancho"&amp;IF(8*INDEX(TABLAS!$C$52:$C$58,MATCH(MAX(BH28,CB28,BR28,CL28),TABLAS!$B$52:$B$58,0))&lt;=DATOS!$C$76-2*DATOS!$C$63,""," y más peralte para el gancho")))))</f>
        <v/>
      </c>
      <c r="DE28" s="69" t="str">
        <f>IF(V28&lt;&gt;"SÍ","",IF(BI28=0,"NO ALCANZA","No. "&amp;BH28&amp;" @ "&amp;BI28&amp;" cm"&amp;IF(C28="VOLADO"," (temperatura)","")))</f>
        <v/>
      </c>
      <c r="DF28" s="69" t="str">
        <f>IF(V28&lt;&gt;"SÍ","",IF(BS28=0,"NO ALCANZA",IF(C28="VOLADO","No. "&amp;BR28&amp;" @ "&amp;BS28&amp;" cm"&amp;" de la orilla al respaldo ("&amp;IF(CZ28&gt;=FLOOR(100*IF(ISNUMBER(Q28),Q28,Z28)-DATOS!$C$63,5),"hasta su apoyo lejano, con gancho","entran "&amp;TEXT(CZ28/100,"0.00")&amp;" m desde el paño")&amp;")","Bastones "&amp;"No. "&amp;BR28&amp;" @ "&amp;BS28&amp;" cm"&amp;", L = "&amp;TEXT(CZ28/100,"0.00")&amp;" m desde el paño")))</f>
        <v/>
      </c>
      <c r="DG28" s="69" t="str">
        <f>IF(V28&lt;&gt;"SÍ","",IF(CC28=0,"NO ALCANZA","No. "&amp;CB28&amp;" @ "&amp;CC28&amp;" cm"&amp;IF(C28="VOLADO"," (repartición)","")))</f>
        <v/>
      </c>
      <c r="DH28" s="69" t="str">
        <f>IF(V28&lt;&gt;"SÍ","",IF(CM28=0,"NO ALCANZA",IF(C28="VOLADO","No. "&amp;CL28&amp;" @ "&amp;CM28&amp;" cm"&amp;" (repartición)","Bastones "&amp;"No. "&amp;CL28&amp;" @ "&amp;CM28&amp;" cm"&amp;", L = "&amp;TEXT(DA28/100,"0.00")&amp;" m desde el paño")))</f>
        <v/>
      </c>
      <c r="DI28" s="67" t="str">
        <f>IF(B28="","",IF(V28&lt;&gt;"SÍ","FALTAN DATOS: tipo, a_x, a_y, destino y, en volados, L_b",IF(L28="NO MONOLÍTICO (caso II)","FUERA DE ALCANCE: caso II no transcrito",IF(AND(C28="VOLADO",X28="?"),"REVISAR: el volado lleva UN solo borde CONTINUO (el empotrado)",IF(AND(MAX(BM28,BW28,CG28,CQ28)&lt;=1,NOT(OR(BI28&lt;DATOS!$C$143,BS28&lt;DATOS!$C$143,CC28&lt;DATOS!$C$143,CM28&lt;DATOS!$C$143)),NOT(OR(AND(ISNUMBER(BN28),BN28&lt;0.005),AND(ISNUMBER(BX28),BX28&lt;0.005),AND(ISNUMBER(CH28),CH28&lt;0.005),AND(ISNUMBER(CR28),CR28&lt;0.005))),CV28="CUMPLE",CY28="CUMPLE"),"CUMPLE"&amp;IF(LEFT(BB28,5)="FUERA"," · fuera de 3.4.2.1 c)","")&amp;IF(LEFT(DD28,2)="NO"," · REVISAR anclaje en borde discontinuo",""),IF(AND(MAX(BM28,BW28,CG28,CQ28)&lt;=1,NOT(OR(BI28&lt;DATOS!$C$143,BS28&lt;DATOS!$C$143,CC28&lt;DATOS!$C$143,CM28&lt;DATOS!$C$143)),NOT(OR(AND(ISNUMBER(BN28),BN28&lt;0.005),AND(ISNUMBER(BX28),BX28&lt;0.005),AND(ISNUMBER(CH28),CH28&lt;0.005),AND(ISNUMBER(CR28),CR28&lt;0.005))),CV28="CUMPLE",CY28="CALCULAR FLECHA"),"REVISAR: calcular flecha (h &lt; h mín.)"&amp;IF(LEFT(BB28,5)="FUERA"," · fuera de 3.4.2.1 c)","")&amp;IF(LEFT(DD28,2)="NO"," · REVISAR anclaje en borde discontinuo",""),"NO CUMPLE: "&amp;IF(MAX(BM28,BW28,CG28,CQ28)&gt;1,"flexión ","")&amp;IF(OR(BI28&lt;DATOS!$C$143,BS28&lt;DATOS!$C$143,CC28&lt;DATOS!$C$143,CM28&lt;DATOS!$C$143),"separación &lt; mínima ","")&amp;IF(OR(AND(ISNUMBER(BN28),BN28&lt;0.005),AND(ISNUMBER(BX28),BX28&lt;0.005),AND(ISNUMBER(CH28),CH28&lt;0.005),AND(ISNUMBER(CR28),CR28&lt;0.005)),"ε_t &lt; 0.005 ","")&amp;IF(CV28&lt;&gt;"CUMPLE","cortante ","")&amp;IF(CY28="NO CUMPLE","peralte","")))))))</f>
        <v/>
      </c>
      <c r="DJ28" s="70" t="str">
        <f>IF(V28&lt;&gt;"SÍ","",IF(LEFT(B28,7)="EJEMPLO","EJEMPLO de tablero típico: bórralo o sobrescríbelo. ","")&amp;IF(C28="VOLADO","Volado de "&amp;TEXT(Z28,"0.00")&amp;" m empotrado en el borde "&amp;LOWER(X28)&amp;IF(N(P28)&gt;0,", con "&amp;TEXT(P28,"0.0")&amp;" kg/m en la orilla","")&amp;". Lecho inferior con r_ext. Si la orilla carga pretil u otro elemento frágil, calcula la flecha (13.4). El acero superior entra al respaldo de "&amp;TEXT(IF(ISNUMBER(Q28),Q28,Z28),"0.00")&amp;" m"&amp;" hasta pasar M = 0 con 0.9·PP sin carga viva; si ahí no se anula, llega al apoyo lejano y se ancla con gancho. ","")&amp;IF(AND(C28="VOLADO",(0.9*W28/100*DATOS!$C$16*IF(ISNUMBER(Q28),Q28,Z28)/2-AY28/IF(ISNUMBER(Q28),Q28,Z28))&lt;0),"Con 0.9·PP y sin carga viva el apoyo lejano del respaldo levanta (R = "&amp;TEXT(-(0.9*W28/100*DATOS!$C$16*IF(ISNUMBER(Q28),Q28,Z28)/2-AY28/IF(ISNUMBER(Q28),Q28,Z28)),"0.00")&amp;" t/m): ancla ahí el acero con gancho y revisa ese apoyo a tensión. ","")&amp;IF(LEFT(BB28,5)="FUERA","El M⁻ del vecino difiere más de 50 % (3.4.2.1 c): distribuye el desequilibrio (3.4.3.1) o confirma con un modelo; se arma con el mayor. ","")&amp;IF(OR(DB28="SÍ",DC28="SÍ"),"Bastones también en los bordes discontinuos (M⁻ de tabla), con gancho. ","")&amp;IF(LEFT(DD28,2)="NO","Anclaje: "&amp;DD28&amp;" (6.7.7.4.1.1). ","")&amp;IF(AND(C28="PERIMETRAL",AM28&gt;=1,AL28-AM28&gt;=1),"Esquinas exteriores sobre muro: refuerzo de esquina arriba y abajo en L_largo/5 (6.7.7.3.1). ",""))</f>
        <v/>
      </c>
    </row>
    <row r="29" ht="33" customHeight="1">
      <c r="A29" s="50">
        <f>IF(B29="",0,1)+A28</f>
        <v>3</v>
      </c>
      <c r="B29" s="29" t="n"/>
      <c r="C29" s="51" t="n"/>
      <c r="D29" s="29" t="n"/>
      <c r="E29" s="52" t="n"/>
      <c r="F29" s="52" t="n"/>
      <c r="G29" s="51" t="n"/>
      <c r="H29" s="51" t="n"/>
      <c r="I29" s="51" t="n"/>
      <c r="J29" s="51" t="n"/>
      <c r="K29" s="51" t="n"/>
      <c r="L29" s="51" t="n"/>
      <c r="M29" s="54" t="n"/>
      <c r="N29" s="53" t="n"/>
      <c r="O29" s="53" t="n"/>
      <c r="P29" s="54" t="n"/>
      <c r="Q29" s="52" t="n"/>
      <c r="R29" s="54" t="n"/>
      <c r="S29" s="53" t="n"/>
      <c r="T29" s="52" t="n"/>
      <c r="U29" s="52" t="n"/>
      <c r="V29" s="55" t="str">
        <f>IF(B29="","",IF(AND(OR(C29="PERIMETRAL",C29="VOLADO"),ISNUMBER(E29),ISNUMBER(F29),E29&gt;0,F29&gt;0,OR(ISNUMBER(O29),ISNUMBER(MATCH(D29,DATOS!$B$46:$B$58,0))),OR(C29&lt;&gt;"VOLADO",N(Q29)&gt;0)),"SÍ","NO"))</f>
        <v/>
      </c>
      <c r="W29" s="57" t="str">
        <f>IF(V29&lt;&gt;"SÍ","",IF(ISNUMBER(M29),M29,DATOS!$C$137))</f>
        <v/>
      </c>
      <c r="X29" s="55" t="str">
        <f>IF(V29&lt;&gt;"SÍ","",IF(C29&lt;&gt;"VOLADO","—",IF(COUNTIF(G29:J29,"CONTINUO")&lt;&gt;1,"?",IF(G29="CONTINUO","INFERIOR",IF(H29="CONTINUO","SUPERIOR",IF(I29="CONTINUO","IZQUIERDO","DERECHO"))))))</f>
        <v/>
      </c>
      <c r="Y29" s="55" t="str">
        <f>IF(V29&lt;&gt;"SÍ","",IF(C29="VOLADO",IF(OR(X29="IZQUIERDO",X29="DERECHO"),"X","Y"),IF(E29&lt;=F29,"X","Y")))</f>
        <v/>
      </c>
      <c r="Z29" s="56" t="str">
        <f>IF(V29&lt;&gt;"SÍ","",IF(C29="VOLADO",IF(Y29="X",E29,F29),MIN(E29,F29)))</f>
        <v/>
      </c>
      <c r="AA29" s="56" t="str">
        <f>IF(V29&lt;&gt;"SÍ","",IF(C29="VOLADO",IF(Y29="X",F29,E29),MAX(E29,F29)))</f>
        <v/>
      </c>
      <c r="AB29" s="56" t="str">
        <f>IF(V29&lt;&gt;"SÍ","",MIN(Z29,AA29)/MAX(Z29,AA29))</f>
        <v/>
      </c>
      <c r="AC29" s="57" t="str">
        <f>IF(V29&lt;&gt;"SÍ","",MAX(1,Z29*100-IF(C29="VOLADO",DATOS!$C$87/2,DATOS!$C$87)))</f>
        <v/>
      </c>
      <c r="AD29" s="57" t="str">
        <f>IF(V29&lt;&gt;"SÍ","",MAX(1,AA29*100-DATOS!$C$87))</f>
        <v/>
      </c>
      <c r="AE29" s="57" t="str">
        <f>IF(V29&lt;&gt;"SÍ","",IF(C29="VOLADO",DATOS!$C$64,DATOS!$C$62))</f>
        <v/>
      </c>
      <c r="AF29" s="57" t="str">
        <f>IF(V29&lt;&gt;"SÍ","",IF(OR(AND(AG29="SÍ",DATOS!$C$66="SÍ"),AND(C29="VOLADO",DATOS!$C$67="SÍ")),DATOS!$C$64,DATOS!$C$62))</f>
        <v/>
      </c>
      <c r="AG29" s="55" t="str">
        <f>IF(V29&lt;&gt;"SÍ","",IFERROR(INDEX(DATOS!$D$46:$D$58,MATCH(D29,DATOS!$B$46:$B$58,0)),"NO"))</f>
        <v/>
      </c>
      <c r="AH29" s="59" t="str">
        <f>IF(V29&lt;&gt;"SÍ","",IF(ISNUMBER(O29),O29,IFERROR(INDEX(DATOS!$C$46:$C$58,MATCH(D29,DATOS!$B$46:$B$58,0)),0)))</f>
        <v/>
      </c>
      <c r="AI29" s="59" t="str">
        <f>IF(V29&lt;&gt;"SÍ","",W29/100*DATOS!$C$16*1000+DATOS!$C$37+DATOS!$C$38)</f>
        <v/>
      </c>
      <c r="AJ29" s="59" t="str">
        <f>IF(V29&lt;&gt;"SÍ","",AI29+N(N29))</f>
        <v/>
      </c>
      <c r="AK29" s="60" t="str">
        <f>IF(V29&lt;&gt;"SÍ","",MAX(DATOS!$C$26*AJ29+DATOS!$C$27*AH29,IF(AG29="SÍ",DATOS!$C$28*(AJ29+DATOS!$C$41),0)))</f>
        <v/>
      </c>
      <c r="AL29" s="59" t="str">
        <f>IF(V29&lt;&gt;"SÍ","",(G29="DISCONTINUO")+(H29="DISCONTINUO")+(I29="DISCONTINUO")+(J29="DISCONTINUO"))</f>
        <v/>
      </c>
      <c r="AM29" s="59" t="str">
        <f>IF(V29&lt;&gt;"SÍ","",IF(Y29="X",(G29="DISCONTINUO")+(H29="DISCONTINUO"),(I29="DISCONTINUO")+(J29="DISCONTINUO")))</f>
        <v/>
      </c>
      <c r="AN29" s="55" t="str">
        <f>IF(V29&lt;&gt;"SÍ","",IF(AL29=0,"INTERIOR",IF(AL29=1,IF(AM29=1,"BORDE-CORTO","BORDE-LARGO"),IF(AL29=2,IF(AM29=1,"ESQUINA",IF(AM29=2,"EXTREMO-LARGO","EXTREMO-CORTO")),IF(AL29=3,IF(AM29=2,"EXTREMO-LARGO","EXTREMO-CORTO"),"AISLADO")))))</f>
        <v/>
      </c>
      <c r="AO29" s="61" t="str">
        <f>IF(V29&lt;&gt;"SÍ","",IF(OR(K29="",K29="AUTO"),AN29,K29))</f>
        <v/>
      </c>
      <c r="AP29" s="59" t="str">
        <f>IF(V29&lt;&gt;"SÍ","",MATCH(AB29,TABLAS!$D$5:$J$5,1))</f>
        <v/>
      </c>
      <c r="AQ29" s="58" t="str">
        <f>IF(V29&lt;&gt;"SÍ","",IF(AP29&gt;=7,0,(AB29-INDEX(TABLAS!$D$5:$J$5,AP29))/(INDEX(TABLAS!$D$5:$J$5,AP29+1)-INDEX(TABLAS!$D$5:$J$5,AP29))))</f>
        <v/>
      </c>
      <c r="AR29" s="59" t="str">
        <f>IF(V29&lt;&gt;"SÍ","",INDEX(TABLAS!$D$6:$J$47,MATCH(AO29&amp;"|NIC",TABLAS!$B$6:$B$47,0),AP29)+AQ29*(INDEX(TABLAS!$D$6:$J$47,MATCH(AO29&amp;"|NIC",TABLAS!$B$6:$B$47,0),MIN(AP29+1,7))-INDEX(TABLAS!$D$6:$J$47,MATCH(AO29&amp;"|NIC",TABLAS!$B$6:$B$47,0),AP29)))</f>
        <v/>
      </c>
      <c r="AS29" s="59" t="str">
        <f>IF(V29&lt;&gt;"SÍ","",INDEX(TABLAS!$D$6:$J$47,MATCH(AO29&amp;"|NIL",TABLAS!$B$6:$B$47,0),AP29)+AQ29*(INDEX(TABLAS!$D$6:$J$47,MATCH(AO29&amp;"|NIL",TABLAS!$B$6:$B$47,0),MIN(AP29+1,7))-INDEX(TABLAS!$D$6:$J$47,MATCH(AO29&amp;"|NIL",TABLAS!$B$6:$B$47,0),AP29)))</f>
        <v/>
      </c>
      <c r="AT29" s="59" t="str">
        <f>IF(V29&lt;&gt;"SÍ","",INDEX(TABLAS!$D$6:$J$47,MATCH(AO29&amp;"|NDC",TABLAS!$B$6:$B$47,0),AP29)+AQ29*(INDEX(TABLAS!$D$6:$J$47,MATCH(AO29&amp;"|NDC",TABLAS!$B$6:$B$47,0),MIN(AP29+1,7))-INDEX(TABLAS!$D$6:$J$47,MATCH(AO29&amp;"|NDC",TABLAS!$B$6:$B$47,0),AP29)))</f>
        <v/>
      </c>
      <c r="AU29" s="59" t="str">
        <f>IF(V29&lt;&gt;"SÍ","",INDEX(TABLAS!$D$6:$J$47,MATCH(AO29&amp;"|NDL",TABLAS!$B$6:$B$47,0),AP29)+AQ29*(INDEX(TABLAS!$D$6:$J$47,MATCH(AO29&amp;"|NDL",TABLAS!$B$6:$B$47,0),MIN(AP29+1,7))-INDEX(TABLAS!$D$6:$J$47,MATCH(AO29&amp;"|NDL",TABLAS!$B$6:$B$47,0),AP29)))</f>
        <v/>
      </c>
      <c r="AV29" s="59" t="str">
        <f>IF(V29&lt;&gt;"SÍ","",INDEX(TABLAS!$D$6:$J$47,MATCH(AO29&amp;"|PC",TABLAS!$B$6:$B$47,0),AP29)+AQ29*(INDEX(TABLAS!$D$6:$J$47,MATCH(AO29&amp;"|PC",TABLAS!$B$6:$B$47,0),MIN(AP29+1,7))-INDEX(TABLAS!$D$6:$J$47,MATCH(AO29&amp;"|PC",TABLAS!$B$6:$B$47,0),AP29)))</f>
        <v/>
      </c>
      <c r="AW29" s="59" t="str">
        <f>IF(V29&lt;&gt;"SÍ","",INDEX(TABLAS!$D$6:$J$47,MATCH(AO29&amp;"|PL",TABLAS!$B$6:$B$47,0),AP29)+AQ29*(INDEX(TABLAS!$D$6:$J$47,MATCH(AO29&amp;"|PL",TABLAS!$B$6:$B$47,0),MIN(AP29+1,7))-INDEX(TABLAS!$D$6:$J$47,MATCH(AO29&amp;"|PL",TABLAS!$B$6:$B$47,0),AP29)))</f>
        <v/>
      </c>
      <c r="AX29" s="56" t="str">
        <f>IF(V29&lt;&gt;"SÍ","",IF(C29="PERIMETRAL",AV29*AK29*Z29^2*1E-4/1000,0))</f>
        <v/>
      </c>
      <c r="AY29" s="62" t="str">
        <f>IF(V29&lt;&gt;"SÍ","",IF(C29="PERIMETRAL",MAX(MAX(AR29,AT29)*AK29*Z29^2*1E-4/1000,N(T29)),(AK29*(AC29/100)^2/2+DATOS!$C$26*N(P29)*AC29/100)/1000))</f>
        <v/>
      </c>
      <c r="AZ29" s="56" t="str">
        <f>IF(V29&lt;&gt;"SÍ","",IF(C29="PERIMETRAL",AW29*AK29*Z29^2*1E-4/1000,0))</f>
        <v/>
      </c>
      <c r="BA29" s="56" t="str">
        <f>IF(V29&lt;&gt;"SÍ","",IF(C29="PERIMETRAL",MAX(MAX(AS29,AU29)*AK29*Z29^2*1E-4/1000,N(U29)),0))</f>
        <v/>
      </c>
      <c r="BB29" s="63" t="str">
        <f>IF(V29&lt;&gt;"SÍ","",IF(C29&lt;&gt;"PERIMETRAL","—",IF(AND(N(T29)=0,N(U29)=0),"— (sin M⁻ del vecino)",IF(OR(AND(N(T29)&gt;0,ABS(MAX(AR29,AT29)*AK29*Z29^2*1E-4/1000-N(T29))&gt;0.5*MIN(MAX(AR29,AT29)*AK29*Z29^2*1E-4/1000,N(T29))),AND(N(U29)&gt;0,ABS(MAX(AS29,AU29)*AK29*Z29^2*1E-4/1000-N(U29))&gt;0.5*MIN(MAX(AS29,AU29)*AK29*Z29^2*1E-4/1000,N(U29)))),"FUERA: difieren &gt; 50 %"&amp;IF(AND(N(T29)&gt;0,ABS(MAX(AR29,AT29)*AK29*Z29^2*1E-4/1000-N(T29))&gt;0.5*MIN(MAX(AR29,AT29)*AK29*Z29^2*1E-4/1000,N(T29)))," ‖ corto","")&amp;IF(AND(N(U29)&gt;0,ABS(MAX(AS29,AU29)*AK29*Z29^2*1E-4/1000-N(U29))&gt;0.5*MIN(MAX(AS29,AU29)*AK29*Z29^2*1E-4/1000,N(U29)))," ‖ largo",""),"CUMPLE"))))</f>
        <v/>
      </c>
      <c r="BC29" s="58" t="str">
        <f>IF(V29&lt;&gt;"SÍ","",DATOS!$C$139*100*W29)</f>
        <v/>
      </c>
      <c r="BD29" s="57" t="str">
        <f>IF(V29&lt;&gt;"SÍ","",MIN(IF(C29="VOLADO",DATOS!$C$141,DATOS!$C$140)*W29,DATOS!$C$142))</f>
        <v/>
      </c>
      <c r="BE29" s="58" t="str">
        <f>IF(V29&lt;&gt;"SÍ","",(W29-AE29-INDEX(TABLAS!$C$52:$C$58,MATCH(IF(ISNUMBER(S29),S29,DATOS!$C$138),TABLAS!$B$52:$B$58,0))/2))</f>
        <v/>
      </c>
      <c r="BF29" s="58" t="str">
        <f>IF(V29&lt;&gt;"SÍ","",IF(AX29&lt;=0,0,IF((1-2*AX29*1E5/(DATOS!$C$29*100*BE29^2*DATOS!$C$21))&lt;0,-1,IF((1-SQRT((1-2*AX29*1E5/(DATOS!$C$29*100*BE29^2*DATOS!$C$21))))*DATOS!$C$21*100*BE29/DATOS!$C$14&gt;DATOS!$C$102*100*BE29,-1,(1-SQRT((1-2*AX29*1E5/(DATOS!$C$29*100*BE29^2*DATOS!$C$21))))*DATOS!$C$21*100*BE29/DATOS!$C$14))))</f>
        <v/>
      </c>
      <c r="BG29" s="58" t="str">
        <f>IF(V29&lt;&gt;"SÍ","",IF(BF29&lt;0,-1,MAX(BF29,BC29)))</f>
        <v/>
      </c>
      <c r="BH29" s="64" t="str">
        <f>IF(V29&lt;&gt;"SÍ","",IF(AND(BG29&gt;0,FLOOR(MIN(BD29,100*INDEX(TABLAS!$D$52:$D$58,MIN(MATCH(IF(ISNUMBER(S29),S29,DATOS!$C$138),TABLAS!$B$52:$B$58,0)+0,7))/MAX(BG29,0.0001)),DATOS!$C$144)&gt;=DATOS!$C$143),INDEX(TABLAS!$B$52:$B$58,MIN(MATCH(IF(ISNUMBER(S29),S29,DATOS!$C$138),TABLAS!$B$52:$B$58,0)+0,7)),IF(AND(BG29&gt;0,FLOOR(MIN(BD29,100*INDEX(TABLAS!$D$52:$D$58,MIN(MATCH(IF(ISNUMBER(S29),S29,DATOS!$C$138),TABLAS!$B$52:$B$58,0)+1,7))/MAX(BG29,0.0001)),DATOS!$C$144)&gt;=DATOS!$C$143),INDEX(TABLAS!$B$52:$B$58,MIN(MATCH(IF(ISNUMBER(S29),S29,DATOS!$C$138),TABLAS!$B$52:$B$58,0)+1,7)),IF(AND(BG29&gt;0,FLOOR(MIN(BD29,100*INDEX(TABLAS!$D$52:$D$58,MIN(MATCH(IF(ISNUMBER(S29),S29,DATOS!$C$138),TABLAS!$B$52:$B$58,0)+2,7))/MAX(BG29,0.0001)),DATOS!$C$144)&gt;=DATOS!$C$143),INDEX(TABLAS!$B$52:$B$58,MIN(MATCH(IF(ISNUMBER(S29),S29,DATOS!$C$138),TABLAS!$B$52:$B$58,0)+2,7)),IF(AND(BG29&gt;0,FLOOR(MIN(BD29,100*INDEX(TABLAS!$D$52:$D$58,MIN(MATCH(IF(ISNUMBER(S29),S29,DATOS!$C$138),TABLAS!$B$52:$B$58,0)+3,7))/MAX(BG29,0.0001)),DATOS!$C$144)&gt;=DATOS!$C$143),INDEX(TABLAS!$B$52:$B$58,MIN(MATCH(IF(ISNUMBER(S29),S29,DATOS!$C$138),TABLAS!$B$52:$B$58,0)+3,7)),IF(AND(BG29&gt;0,FLOOR(MIN(BD29,100*INDEX(TABLAS!$D$52:$D$58,MIN(MATCH(IF(ISNUMBER(S29),S29,DATOS!$C$138),TABLAS!$B$52:$B$58,0)+4,7))/MAX(BG29,0.0001)),DATOS!$C$144)&gt;=DATOS!$C$143),INDEX(TABLAS!$B$52:$B$58,MIN(MATCH(IF(ISNUMBER(S29),S29,DATOS!$C$138),TABLAS!$B$52:$B$58,0)+4,7)),INDEX(TABLAS!$B$52:$B$58,7)))))))</f>
        <v/>
      </c>
      <c r="BI29" s="71" t="str">
        <f>IF(V29&lt;&gt;"SÍ","",IF(BG29&lt;=0,0,FLOOR(MIN(BD29,100*INDEX(TABLAS!$D$52:$D$58,MATCH(BH29,TABLAS!$B$52:$B$58,0))/BG29),DATOS!$C$144)))</f>
        <v/>
      </c>
      <c r="BJ29" s="58" t="str">
        <f>IF(V29&lt;&gt;"SÍ","",IF(BI29&lt;=0,0,INDEX(TABLAS!$D$52:$D$58,MATCH(BH29,TABLAS!$B$52:$B$58,0))*100/BI29))</f>
        <v/>
      </c>
      <c r="BK29" s="58" t="str">
        <f>IF(V29&lt;&gt;"SÍ","",W29-AE29-INDEX(TABLAS!$C$52:$C$58,MATCH(BH29,TABLAS!$B$52:$B$58,0))/2)</f>
        <v/>
      </c>
      <c r="BL29" s="56" t="str">
        <f>IF(V29&lt;&gt;"SÍ","",IF(BJ29=0,0,DATOS!$C$29*BJ29*DATOS!$C$14*(BK29-BJ29*DATOS!$C$14/(DATOS!$C$21*100)/2)/1E5))</f>
        <v/>
      </c>
      <c r="BM29" s="65" t="str">
        <f>IF(V29&lt;&gt;"SÍ","",IF(BG29&lt;0,9.99,IF(BL29&gt;0,AX29/BL29,0)))</f>
        <v/>
      </c>
      <c r="BN29" s="66" t="str">
        <f>IF(V29&lt;&gt;"SÍ","",IF(BJ29=0,"—",0.003*(BK29-(BJ29*DATOS!$C$14/(DATOS!$C$21*100)/DATOS!$C$22))/(BJ29*DATOS!$C$14/(DATOS!$C$21*100)/DATOS!$C$22)))</f>
        <v/>
      </c>
      <c r="BO29" s="58" t="str">
        <f>IF(V29&lt;&gt;"SÍ","",((W29-AF29-INDEX(TABLAS!$C$52:$C$58,MATCH(IF(ISNUMBER(S29),S29,DATOS!$C$138),TABLAS!$B$52:$B$58,0))/2)-IF(AND((W29-AF29-INDEX(TABLAS!$C$52:$C$58,MATCH(IF(ISNUMBER(S29),S29,DATOS!$C$138),TABLAS!$B$52:$B$58,0))/2)&lt;=20,DATOS!$C$65&lt;&gt;"SÍ"),2,0)))</f>
        <v/>
      </c>
      <c r="BP29" s="58" t="str">
        <f>IF(V29&lt;&gt;"SÍ","",IF(AY29&lt;=0,0,IF((1-2*AY29*1E5/(DATOS!$C$29*100*BO29^2*DATOS!$C$21))&lt;0,-1,IF((1-SQRT((1-2*AY29*1E5/(DATOS!$C$29*100*BO29^2*DATOS!$C$21))))*DATOS!$C$21*100*BO29/DATOS!$C$14&gt;DATOS!$C$102*100*BO29,-1,(1-SQRT((1-2*AY29*1E5/(DATOS!$C$29*100*BO29^2*DATOS!$C$21))))*DATOS!$C$21*100*BO29/DATOS!$C$14))))</f>
        <v/>
      </c>
      <c r="BQ29" s="58" t="str">
        <f>IF(V29&lt;&gt;"SÍ","",IF(BP29&lt;0,-1,MAX(BP29,BC29)))</f>
        <v/>
      </c>
      <c r="BR29" s="64" t="str">
        <f>IF(V29&lt;&gt;"SÍ","",IF(AND(BQ29&gt;0,FLOOR(MIN(BD29,100*INDEX(TABLAS!$D$52:$D$58,MIN(MATCH(IF(ISNUMBER(S29),S29,DATOS!$C$138),TABLAS!$B$52:$B$58,0)+0,7))/MAX(BQ29,0.0001)),DATOS!$C$144)&gt;=DATOS!$C$143),INDEX(TABLAS!$B$52:$B$58,MIN(MATCH(IF(ISNUMBER(S29),S29,DATOS!$C$138),TABLAS!$B$52:$B$58,0)+0,7)),IF(AND(BQ29&gt;0,FLOOR(MIN(BD29,100*INDEX(TABLAS!$D$52:$D$58,MIN(MATCH(IF(ISNUMBER(S29),S29,DATOS!$C$138),TABLAS!$B$52:$B$58,0)+1,7))/MAX(BQ29,0.0001)),DATOS!$C$144)&gt;=DATOS!$C$143),INDEX(TABLAS!$B$52:$B$58,MIN(MATCH(IF(ISNUMBER(S29),S29,DATOS!$C$138),TABLAS!$B$52:$B$58,0)+1,7)),IF(AND(BQ29&gt;0,FLOOR(MIN(BD29,100*INDEX(TABLAS!$D$52:$D$58,MIN(MATCH(IF(ISNUMBER(S29),S29,DATOS!$C$138),TABLAS!$B$52:$B$58,0)+2,7))/MAX(BQ29,0.0001)),DATOS!$C$144)&gt;=DATOS!$C$143),INDEX(TABLAS!$B$52:$B$58,MIN(MATCH(IF(ISNUMBER(S29),S29,DATOS!$C$138),TABLAS!$B$52:$B$58,0)+2,7)),IF(AND(BQ29&gt;0,FLOOR(MIN(BD29,100*INDEX(TABLAS!$D$52:$D$58,MIN(MATCH(IF(ISNUMBER(S29),S29,DATOS!$C$138),TABLAS!$B$52:$B$58,0)+3,7))/MAX(BQ29,0.0001)),DATOS!$C$144)&gt;=DATOS!$C$143),INDEX(TABLAS!$B$52:$B$58,MIN(MATCH(IF(ISNUMBER(S29),S29,DATOS!$C$138),TABLAS!$B$52:$B$58,0)+3,7)),IF(AND(BQ29&gt;0,FLOOR(MIN(BD29,100*INDEX(TABLAS!$D$52:$D$58,MIN(MATCH(IF(ISNUMBER(S29),S29,DATOS!$C$138),TABLAS!$B$52:$B$58,0)+4,7))/MAX(BQ29,0.0001)),DATOS!$C$144)&gt;=DATOS!$C$143),INDEX(TABLAS!$B$52:$B$58,MIN(MATCH(IF(ISNUMBER(S29),S29,DATOS!$C$138),TABLAS!$B$52:$B$58,0)+4,7)),INDEX(TABLAS!$B$52:$B$58,7)))))))</f>
        <v/>
      </c>
      <c r="BS29" s="71" t="str">
        <f>IF(V29&lt;&gt;"SÍ","",IF(BQ29&lt;=0,0,FLOOR(MIN(BD29,100*INDEX(TABLAS!$D$52:$D$58,MATCH(BR29,TABLAS!$B$52:$B$58,0))/BQ29),DATOS!$C$144)))</f>
        <v/>
      </c>
      <c r="BT29" s="58" t="str">
        <f>IF(V29&lt;&gt;"SÍ","",IF(BS29&lt;=0,0,INDEX(TABLAS!$D$52:$D$58,MATCH(BR29,TABLAS!$B$52:$B$58,0))*100/BS29))</f>
        <v/>
      </c>
      <c r="BU29" s="58" t="str">
        <f>IF(V29&lt;&gt;"SÍ","",((W29-AF29-INDEX(TABLAS!$C$52:$C$58,MATCH(BR29,TABLAS!$B$52:$B$58,0))/2)-IF(AND((W29-AF29-INDEX(TABLAS!$C$52:$C$58,MATCH(BR29,TABLAS!$B$52:$B$58,0))/2)&lt;=20,DATOS!$C$65&lt;&gt;"SÍ"),2,0)))</f>
        <v/>
      </c>
      <c r="BV29" s="56" t="str">
        <f>IF(V29&lt;&gt;"SÍ","",IF(BT29=0,0,DATOS!$C$29*BT29*DATOS!$C$14*(BU29-BT29*DATOS!$C$14/(DATOS!$C$21*100)/2)/1E5))</f>
        <v/>
      </c>
      <c r="BW29" s="65" t="str">
        <f>IF(V29&lt;&gt;"SÍ","",IF(BQ29&lt;0,9.99,IF(BV29&gt;0,AY29/BV29,0)))</f>
        <v/>
      </c>
      <c r="BX29" s="66" t="str">
        <f>IF(V29&lt;&gt;"SÍ","",IF(BT29=0,"—",0.003*(BU29-(BT29*DATOS!$C$14/(DATOS!$C$21*100)/DATOS!$C$22))/(BT29*DATOS!$C$14/(DATOS!$C$21*100)/DATOS!$C$22)))</f>
        <v/>
      </c>
      <c r="BY29" s="58" t="str">
        <f>IF(V29&lt;&gt;"SÍ","",(W29-AE29-1.5*INDEX(TABLAS!$C$52:$C$58,MATCH(IF(ISNUMBER(S29),S29,DATOS!$C$138),TABLAS!$B$52:$B$58,0))))</f>
        <v/>
      </c>
      <c r="BZ29" s="58" t="str">
        <f>IF(V29&lt;&gt;"SÍ","",IF(AZ29&lt;=0,0,IF((1-2*AZ29*1E5/(DATOS!$C$29*100*BY29^2*DATOS!$C$21))&lt;0,-1,IF((1-SQRT((1-2*AZ29*1E5/(DATOS!$C$29*100*BY29^2*DATOS!$C$21))))*DATOS!$C$21*100*BY29/DATOS!$C$14&gt;DATOS!$C$102*100*BY29,-1,(1-SQRT((1-2*AZ29*1E5/(DATOS!$C$29*100*BY29^2*DATOS!$C$21))))*DATOS!$C$21*100*BY29/DATOS!$C$14))))</f>
        <v/>
      </c>
      <c r="CA29" s="58" t="str">
        <f>IF(V29&lt;&gt;"SÍ","",IF(BZ29&lt;0,-1,MAX(BZ29,BC29)))</f>
        <v/>
      </c>
      <c r="CB29" s="64" t="str">
        <f>IF(V29&lt;&gt;"SÍ","",IF(AND(CA29&gt;0,FLOOR(MIN(BD29,100*INDEX(TABLAS!$D$52:$D$58,MIN(MATCH(IF(ISNUMBER(S29),S29,DATOS!$C$138),TABLAS!$B$52:$B$58,0)+0,7))/MAX(CA29,0.0001)),DATOS!$C$144)&gt;=DATOS!$C$143),INDEX(TABLAS!$B$52:$B$58,MIN(MATCH(IF(ISNUMBER(S29),S29,DATOS!$C$138),TABLAS!$B$52:$B$58,0)+0,7)),IF(AND(CA29&gt;0,FLOOR(MIN(BD29,100*INDEX(TABLAS!$D$52:$D$58,MIN(MATCH(IF(ISNUMBER(S29),S29,DATOS!$C$138),TABLAS!$B$52:$B$58,0)+1,7))/MAX(CA29,0.0001)),DATOS!$C$144)&gt;=DATOS!$C$143),INDEX(TABLAS!$B$52:$B$58,MIN(MATCH(IF(ISNUMBER(S29),S29,DATOS!$C$138),TABLAS!$B$52:$B$58,0)+1,7)),IF(AND(CA29&gt;0,FLOOR(MIN(BD29,100*INDEX(TABLAS!$D$52:$D$58,MIN(MATCH(IF(ISNUMBER(S29),S29,DATOS!$C$138),TABLAS!$B$52:$B$58,0)+2,7))/MAX(CA29,0.0001)),DATOS!$C$144)&gt;=DATOS!$C$143),INDEX(TABLAS!$B$52:$B$58,MIN(MATCH(IF(ISNUMBER(S29),S29,DATOS!$C$138),TABLAS!$B$52:$B$58,0)+2,7)),IF(AND(CA29&gt;0,FLOOR(MIN(BD29,100*INDEX(TABLAS!$D$52:$D$58,MIN(MATCH(IF(ISNUMBER(S29),S29,DATOS!$C$138),TABLAS!$B$52:$B$58,0)+3,7))/MAX(CA29,0.0001)),DATOS!$C$144)&gt;=DATOS!$C$143),INDEX(TABLAS!$B$52:$B$58,MIN(MATCH(IF(ISNUMBER(S29),S29,DATOS!$C$138),TABLAS!$B$52:$B$58,0)+3,7)),IF(AND(CA29&gt;0,FLOOR(MIN(BD29,100*INDEX(TABLAS!$D$52:$D$58,MIN(MATCH(IF(ISNUMBER(S29),S29,DATOS!$C$138),TABLAS!$B$52:$B$58,0)+4,7))/MAX(CA29,0.0001)),DATOS!$C$144)&gt;=DATOS!$C$143),INDEX(TABLAS!$B$52:$B$58,MIN(MATCH(IF(ISNUMBER(S29),S29,DATOS!$C$138),TABLAS!$B$52:$B$58,0)+4,7)),INDEX(TABLAS!$B$52:$B$58,7)))))))</f>
        <v/>
      </c>
      <c r="CC29" s="71" t="str">
        <f>IF(V29&lt;&gt;"SÍ","",IF(CA29&lt;=0,0,FLOOR(MIN(BD29,100*INDEX(TABLAS!$D$52:$D$58,MATCH(CB29,TABLAS!$B$52:$B$58,0))/CA29),DATOS!$C$144)))</f>
        <v/>
      </c>
      <c r="CD29" s="58" t="str">
        <f>IF(V29&lt;&gt;"SÍ","",IF(CC29&lt;=0,0,INDEX(TABLAS!$D$52:$D$58,MATCH(CB29,TABLAS!$B$52:$B$58,0))*100/CC29))</f>
        <v/>
      </c>
      <c r="CE29" s="58" t="str">
        <f>IF(V29&lt;&gt;"SÍ","",W29-AE29-INDEX(TABLAS!$C$52:$C$58,MATCH(BH29,TABLAS!$B$52:$B$58,0))-INDEX(TABLAS!$C$52:$C$58,MATCH(CB29,TABLAS!$B$52:$B$58,0))/2)</f>
        <v/>
      </c>
      <c r="CF29" s="56" t="str">
        <f>IF(V29&lt;&gt;"SÍ","",IF(CD29=0,0,DATOS!$C$29*CD29*DATOS!$C$14*(CE29-CD29*DATOS!$C$14/(DATOS!$C$21*100)/2)/1E5))</f>
        <v/>
      </c>
      <c r="CG29" s="65" t="str">
        <f>IF(V29&lt;&gt;"SÍ","",IF(CA29&lt;0,9.99,IF(CF29&gt;0,AZ29/CF29,0)))</f>
        <v/>
      </c>
      <c r="CH29" s="66" t="str">
        <f>IF(V29&lt;&gt;"SÍ","",IF(CD29=0,"—",0.003*(CE29-(CD29*DATOS!$C$14/(DATOS!$C$21*100)/DATOS!$C$22))/(CD29*DATOS!$C$14/(DATOS!$C$21*100)/DATOS!$C$22)))</f>
        <v/>
      </c>
      <c r="CI29" s="58" t="str">
        <f>IF(V29&lt;&gt;"SÍ","",((W29-AF29-1.5*INDEX(TABLAS!$C$52:$C$58,MATCH(IF(ISNUMBER(S29),S29,DATOS!$C$138),TABLAS!$B$52:$B$58,0)))-IF(AND((W29-AF29-1.5*INDEX(TABLAS!$C$52:$C$58,MATCH(IF(ISNUMBER(S29),S29,DATOS!$C$138),TABLAS!$B$52:$B$58,0)))&lt;=20,DATOS!$C$65&lt;&gt;"SÍ"),2,0)))</f>
        <v/>
      </c>
      <c r="CJ29" s="58" t="str">
        <f>IF(V29&lt;&gt;"SÍ","",IF(BA29&lt;=0,0,IF((1-2*BA29*1E5/(DATOS!$C$29*100*CI29^2*DATOS!$C$21))&lt;0,-1,IF((1-SQRT((1-2*BA29*1E5/(DATOS!$C$29*100*CI29^2*DATOS!$C$21))))*DATOS!$C$21*100*CI29/DATOS!$C$14&gt;DATOS!$C$102*100*CI29,-1,(1-SQRT((1-2*BA29*1E5/(DATOS!$C$29*100*CI29^2*DATOS!$C$21))))*DATOS!$C$21*100*CI29/DATOS!$C$14))))</f>
        <v/>
      </c>
      <c r="CK29" s="58" t="str">
        <f>IF(V29&lt;&gt;"SÍ","",IF(CJ29&lt;0,-1,MAX(CJ29,BC29)))</f>
        <v/>
      </c>
      <c r="CL29" s="64" t="str">
        <f>IF(V29&lt;&gt;"SÍ","",IF(AND(CK29&gt;0,FLOOR(MIN(BD29,100*INDEX(TABLAS!$D$52:$D$58,MIN(MATCH(IF(ISNUMBER(S29),S29,DATOS!$C$138),TABLAS!$B$52:$B$58,0)+0,7))/MAX(CK29,0.0001)),DATOS!$C$144)&gt;=DATOS!$C$143),INDEX(TABLAS!$B$52:$B$58,MIN(MATCH(IF(ISNUMBER(S29),S29,DATOS!$C$138),TABLAS!$B$52:$B$58,0)+0,7)),IF(AND(CK29&gt;0,FLOOR(MIN(BD29,100*INDEX(TABLAS!$D$52:$D$58,MIN(MATCH(IF(ISNUMBER(S29),S29,DATOS!$C$138),TABLAS!$B$52:$B$58,0)+1,7))/MAX(CK29,0.0001)),DATOS!$C$144)&gt;=DATOS!$C$143),INDEX(TABLAS!$B$52:$B$58,MIN(MATCH(IF(ISNUMBER(S29),S29,DATOS!$C$138),TABLAS!$B$52:$B$58,0)+1,7)),IF(AND(CK29&gt;0,FLOOR(MIN(BD29,100*INDEX(TABLAS!$D$52:$D$58,MIN(MATCH(IF(ISNUMBER(S29),S29,DATOS!$C$138),TABLAS!$B$52:$B$58,0)+2,7))/MAX(CK29,0.0001)),DATOS!$C$144)&gt;=DATOS!$C$143),INDEX(TABLAS!$B$52:$B$58,MIN(MATCH(IF(ISNUMBER(S29),S29,DATOS!$C$138),TABLAS!$B$52:$B$58,0)+2,7)),IF(AND(CK29&gt;0,FLOOR(MIN(BD29,100*INDEX(TABLAS!$D$52:$D$58,MIN(MATCH(IF(ISNUMBER(S29),S29,DATOS!$C$138),TABLAS!$B$52:$B$58,0)+3,7))/MAX(CK29,0.0001)),DATOS!$C$144)&gt;=DATOS!$C$143),INDEX(TABLAS!$B$52:$B$58,MIN(MATCH(IF(ISNUMBER(S29),S29,DATOS!$C$138),TABLAS!$B$52:$B$58,0)+3,7)),IF(AND(CK29&gt;0,FLOOR(MIN(BD29,100*INDEX(TABLAS!$D$52:$D$58,MIN(MATCH(IF(ISNUMBER(S29),S29,DATOS!$C$138),TABLAS!$B$52:$B$58,0)+4,7))/MAX(CK29,0.0001)),DATOS!$C$144)&gt;=DATOS!$C$143),INDEX(TABLAS!$B$52:$B$58,MIN(MATCH(IF(ISNUMBER(S29),S29,DATOS!$C$138),TABLAS!$B$52:$B$58,0)+4,7)),INDEX(TABLAS!$B$52:$B$58,7)))))))</f>
        <v/>
      </c>
      <c r="CM29" s="71" t="str">
        <f>IF(V29&lt;&gt;"SÍ","",IF(CK29&lt;=0,0,FLOOR(MIN(BD29,100*INDEX(TABLAS!$D$52:$D$58,MATCH(CL29,TABLAS!$B$52:$B$58,0))/CK29),DATOS!$C$144)))</f>
        <v/>
      </c>
      <c r="CN29" s="58" t="str">
        <f>IF(V29&lt;&gt;"SÍ","",IF(CM29&lt;=0,0,INDEX(TABLAS!$D$52:$D$58,MATCH(CL29,TABLAS!$B$52:$B$58,0))*100/CM29))</f>
        <v/>
      </c>
      <c r="CO29" s="58" t="str">
        <f>IF(V29&lt;&gt;"SÍ","",((W29-AF29-INDEX(TABLAS!$C$52:$C$58,MATCH(BR29,TABLAS!$B$52:$B$58,0))-INDEX(TABLAS!$C$52:$C$58,MATCH(CL29,TABLAS!$B$52:$B$58,0))/2)-IF(AND((W29-AF29-INDEX(TABLAS!$C$52:$C$58,MATCH(BR29,TABLAS!$B$52:$B$58,0))-INDEX(TABLAS!$C$52:$C$58,MATCH(CL29,TABLAS!$B$52:$B$58,0))/2)&lt;=20,DATOS!$C$65&lt;&gt;"SÍ"),2,0)))</f>
        <v/>
      </c>
      <c r="CP29" s="56" t="str">
        <f>IF(V29&lt;&gt;"SÍ","",IF(CN29=0,0,DATOS!$C$29*CN29*DATOS!$C$14*(CO29-CN29*DATOS!$C$14/(DATOS!$C$21*100)/2)/1E5))</f>
        <v/>
      </c>
      <c r="CQ29" s="65" t="str">
        <f>IF(V29&lt;&gt;"SÍ","",IF(CK29&lt;0,9.99,IF(CP29&gt;0,BA29/CP29,0)))</f>
        <v/>
      </c>
      <c r="CR29" s="66" t="str">
        <f>IF(V29&lt;&gt;"SÍ","",IF(CN29=0,"—",0.003*(CO29-(CN29*DATOS!$C$14/(DATOS!$C$21*100)/DATOS!$C$22))/(CN29*DATOS!$C$14/(DATOS!$C$21*100)/DATOS!$C$22)))</f>
        <v/>
      </c>
      <c r="CS29" s="56" t="str">
        <f>IF(V29&lt;&gt;"SÍ","",IF(C29="PERIMETRAL",MAX(0,(AC29/2-BU29)/100)*(0.95-0.5*AB29)*AK29*IF(AND(AL29&gt;0,AL29&lt;4),DATOS!$C$33,1)/1000,(AK29*MAX(0,AC29-BU29)/100+DATOS!$C$26*N(P29))/1000))</f>
        <v/>
      </c>
      <c r="CT29" s="66" t="str">
        <f>IF(V29&lt;&gt;"SÍ","",BT29/(100*BU29))</f>
        <v/>
      </c>
      <c r="CU29" s="56" t="str">
        <f>IF(V29&lt;&gt;"SÍ","",DATOS!$C$30*2*MIN(1,SQRT(2/(1+0.04*BU29)))*CT29^(1/3)*SQRT(DATOS!$C$13)*100*BU29/1000)</f>
        <v/>
      </c>
      <c r="CV29" s="67" t="str">
        <f>IF(V29&lt;&gt;"SÍ","",IF(CS29&lt;=CU29,"CUMPLE","NO CUMPLE: sube h"))</f>
        <v/>
      </c>
      <c r="CW29" s="58" t="str">
        <f>IF(V29&lt;&gt;"SÍ","",IF(C29="PERIMETRAL",IF(ISNUMBER(R29),R29,DATOS!$C$104),0))</f>
        <v/>
      </c>
      <c r="CX29" s="57" t="str">
        <f>IF(V29&lt;&gt;"SÍ","",IF(C29="PERIMETRAL",IF(CW29&gt;2,MAX(9,AD29*(0.8+DATOS!$C$14/14000)/(36+9*(AD29/MAX(AC29,1)))),IF(CW29&gt;0.2,MAX(13,AD29*(0.8+DATOS!$C$14/14000)/(36+5*(AD29/MAX(AC29,1))*(CW29-0.2))),MAX(13,AD29/IF(AL29&gt;0,30,33))))*IF(AND(CW29&gt;0.2,AL29&gt;0,DATOS!$C$105="NO"),1.1,1),Z29*100/DATOS!$C$145*(0.4+DATOS!$C$14/7000)))</f>
        <v/>
      </c>
      <c r="CY29" s="61" t="str">
        <f>IF(V29&lt;&gt;"SÍ","",IF(W29&gt;=CX29-0.001,"CUMPLE",IF(C29="VOLADO","NO CUMPLE","CALCULAR FLECHA")))</f>
        <v/>
      </c>
      <c r="CZ29" s="60" t="str">
        <f>IF(V29&lt;&gt;"SÍ","",IF(C29="VOLADO",MIN(FLOOR(IF(ISNUMBER(Q29),Q29,Z29)*100-DATOS!$C$63,5),CEILING(MAX(IF((0.5*(0.9*W29/100*DATOS!$C$16)*IF(ISNUMBER(Q29),Q29,Z29)+AY29/IF(ISNUMBER(Q29),Q29,Z29))^2-4*(0.5*(0.9*W29/100*DATOS!$C$16))*AY29&lt;0,IF(ISNUMBER(Q29),Q29,Z29),MIN(IF(ISNUMBER(Q29),Q29,Z29),((0.5*(0.9*W29/100*DATOS!$C$16)*IF(ISNUMBER(Q29),Q29,Z29)+AY29/IF(ISNUMBER(Q29),Q29,Z29))-SQRT((0.5*(0.9*W29/100*DATOS!$C$16)*IF(ISNUMBER(Q29),Q29,Z29)+AY29/IF(ISNUMBER(Q29),Q29,Z29))^2-4*(0.5*(0.9*W29/100*DATOS!$C$16))*AY29))/(2*(0.5*(0.9*W29/100*DATOS!$C$16)))))*100+MAX(BU29,12*INDEX(TABLAS!$C$52:$C$58,MATCH(BR29,TABLAS!$B$52:$B$58,0)),IF(ISNUMBER(Q29),Q29,Z29)*100/16),IF(OR(AF29&lt;INDEX(TABLAS!$C$52:$C$58,MATCH(BR29,TABLAS!$B$52:$B$58,0)),BS29-INDEX(TABLAS!$C$52:$C$58,MATCH(BR29,TABLAS!$B$52:$B$58,0))&lt;2*INDEX(TABLAS!$C$52:$C$58,MATCH(BR29,TABLAS!$B$52:$B$58,0))),INDEX(TABLAS!$I$52:$I$58,MATCH(BR29,TABLAS!$B$52:$B$58,0)),INDEX(TABLAS!$F$52:$F$58,MATCH(BR29,TABLAS!$B$52:$B$58,0)))),5)),IF(((4*((AV29*AK29*Z29^2*1E-4/1000)+((MAX(AR29,AT29)*AK29*Z29^2*1E-4/1000)+(IF(AND(AR29&gt;0,AT29&gt;0),MIN(AR29,AT29),MAX(AR29,AT29))*AK29*Z29^2*1E-4/1000))/2)+AY29-(IF(AND(AR29&gt;0,AT29&gt;0),MIN(AR29,AT29),MAX(AR29,AT29))*AK29*Z29^2*1E-4/1000))^2-16*((AV29*AK29*Z29^2*1E-4/1000)+((MAX(AR29,AT29)*AK29*Z29^2*1E-4/1000)+(IF(AND(AR29&gt;0,AT29&gt;0),MIN(AR29,AT29),MAX(AR29,AT29))*AK29*Z29^2*1E-4/1000))/2)*AY29)&lt;0,CEILING(AC29,5),CEILING(MAX(AC29*((4*((AV29*AK29*Z29^2*1E-4/1000)+((MAX(AR29,AT29)*AK29*Z29^2*1E-4/1000)+(IF(AND(AR29&gt;0,AT29&gt;0),MIN(AR29,AT29),MAX(AR29,AT29))*AK29*Z29^2*1E-4/1000))/2)+AY29-(IF(AND(AR29&gt;0,AT29&gt;0),MIN(AR29,AT29),MAX(AR29,AT29))*AK29*Z29^2*1E-4/1000))-SQRT(MAX(0,((4*((AV29*AK29*Z29^2*1E-4/1000)+((MAX(AR29,AT29)*AK29*Z29^2*1E-4/1000)+(IF(AND(AR29&gt;0,AT29&gt;0),MIN(AR29,AT29),MAX(AR29,AT29))*AK29*Z29^2*1E-4/1000))/2)+AY29-(IF(AND(AR29&gt;0,AT29&gt;0),MIN(AR29,AT29),MAX(AR29,AT29))*AK29*Z29^2*1E-4/1000))^2-16*((AV29*AK29*Z29^2*1E-4/1000)+((MAX(AR29,AT29)*AK29*Z29^2*1E-4/1000)+(IF(AND(AR29&gt;0,AT29&gt;0),MIN(AR29,AT29),MAX(AR29,AT29))*AK29*Z29^2*1E-4/1000))/2)*AY29))))/(8*MAX(((AV29*AK29*Z29^2*1E-4/1000)+((MAX(AR29,AT29)*AK29*Z29^2*1E-4/1000)+(IF(AND(AR29&gt;0,AT29&gt;0),MIN(AR29,AT29),MAX(AR29,AT29))*AK29*Z29^2*1E-4/1000))/2),1E-9))+MAX(BU29,12*INDEX(TABLAS!$C$52:$C$58,MATCH(BR29,TABLAS!$B$52:$B$58,0)),AC29/16),IF(OR(AF29&lt;INDEX(TABLAS!$C$52:$C$58,MATCH(BR29,TABLAS!$B$52:$B$58,0)),BS29-INDEX(TABLAS!$C$52:$C$58,MATCH(BR29,TABLAS!$B$52:$B$58,0))&lt;2*INDEX(TABLAS!$C$52:$C$58,MATCH(BR29,TABLAS!$B$52:$B$58,0))),INDEX(TABLAS!$I$52:$I$58,MATCH(BR29,TABLAS!$B$52:$B$58,0)),INDEX(TABLAS!$F$52:$F$58,MATCH(BR29,TABLAS!$B$52:$B$58,0)))),5))))</f>
        <v/>
      </c>
      <c r="DA29" s="60" t="str">
        <f>IF(V29&lt;&gt;"SÍ","",IF(C29="VOLADO",0,IF(((4*((AW29*AK29*Z29^2*1E-4/1000)+((MAX(AS29,AU29)*AK29*Z29^2*1E-4/1000)+(IF(AND(AS29&gt;0,AU29&gt;0),MIN(AS29,AU29),MAX(AS29,AU29))*AK29*Z29^2*1E-4/1000))/2)+BA29-(IF(AND(AS29&gt;0,AU29&gt;0),MIN(AS29,AU29),MAX(AS29,AU29))*AK29*Z29^2*1E-4/1000))^2-16*((AW29*AK29*Z29^2*1E-4/1000)+((MAX(AS29,AU29)*AK29*Z29^2*1E-4/1000)+(IF(AND(AS29&gt;0,AU29&gt;0),MIN(AS29,AU29),MAX(AS29,AU29))*AK29*Z29^2*1E-4/1000))/2)*BA29)&lt;0,CEILING(AD29,5),CEILING(MAX(AD29*((4*((AW29*AK29*Z29^2*1E-4/1000)+((MAX(AS29,AU29)*AK29*Z29^2*1E-4/1000)+(IF(AND(AS29&gt;0,AU29&gt;0),MIN(AS29,AU29),MAX(AS29,AU29))*AK29*Z29^2*1E-4/1000))/2)+BA29-(IF(AND(AS29&gt;0,AU29&gt;0),MIN(AS29,AU29),MAX(AS29,AU29))*AK29*Z29^2*1E-4/1000))-SQRT(MAX(0,((4*((AW29*AK29*Z29^2*1E-4/1000)+((MAX(AS29,AU29)*AK29*Z29^2*1E-4/1000)+(IF(AND(AS29&gt;0,AU29&gt;0),MIN(AS29,AU29),MAX(AS29,AU29))*AK29*Z29^2*1E-4/1000))/2)+BA29-(IF(AND(AS29&gt;0,AU29&gt;0),MIN(AS29,AU29),MAX(AS29,AU29))*AK29*Z29^2*1E-4/1000))^2-16*((AW29*AK29*Z29^2*1E-4/1000)+((MAX(AS29,AU29)*AK29*Z29^2*1E-4/1000)+(IF(AND(AS29&gt;0,AU29&gt;0),MIN(AS29,AU29),MAX(AS29,AU29))*AK29*Z29^2*1E-4/1000))/2)*BA29))))/(8*MAX(((AW29*AK29*Z29^2*1E-4/1000)+((MAX(AS29,AU29)*AK29*Z29^2*1E-4/1000)+(IF(AND(AS29&gt;0,AU29&gt;0),MIN(AS29,AU29),MAX(AS29,AU29))*AK29*Z29^2*1E-4/1000))/2),1E-9))+MAX(CO29,12*INDEX(TABLAS!$C$52:$C$58,MATCH(CL29,TABLAS!$B$52:$B$58,0)),AD29/16),IF(OR(AF29&lt;INDEX(TABLAS!$C$52:$C$58,MATCH(CL29,TABLAS!$B$52:$B$58,0)),CM29-INDEX(TABLAS!$C$52:$C$58,MATCH(CL29,TABLAS!$B$52:$B$58,0))&lt;2*INDEX(TABLAS!$C$52:$C$58,MATCH(CL29,TABLAS!$B$52:$B$58,0))),INDEX(TABLAS!$I$52:$I$58,MATCH(CL29,TABLAS!$B$52:$B$58,0)),INDEX(TABLAS!$F$52:$F$58,MATCH(CL29,TABLAS!$B$52:$B$58,0)))),5))))</f>
        <v/>
      </c>
      <c r="DB29" s="55" t="str">
        <f>IF(V29&lt;&gt;"SÍ","",IF(AND(C29="PERIMETRAL",AL29-AM29&gt;0,AT29&gt;0),"SÍ","NO"))</f>
        <v/>
      </c>
      <c r="DC29" s="55" t="str">
        <f>IF(V29&lt;&gt;"SÍ","",IF(AND(C29="PERIMETRAL",AM29&gt;0,AU29&gt;0),"SÍ","NO"))</f>
        <v/>
      </c>
      <c r="DD29" s="63" t="str">
        <f>IF(V29&lt;&gt;"SÍ","",IF(OR(C29="VOLADO",AL29=0),"—",IF(AND(AND(INDEX(TABLAS!$G$52:$G$58,MATCH(MAX(BR29,CL29),TABLAS!$B$52:$B$58,0))&lt;=(DATOS!$C$75-DATOS!$C$63),(DATOS!$C$75-DATOS!$C$63)&gt;=15),8*INDEX(TABLAS!$C$52:$C$58,MATCH(MAX(BH29,CB29,BR29,CL29),TABLAS!$B$52:$B$58,0))&lt;=DATOS!$C$76-2*DATOS!$C$63),"CUMPLE (gancho de 180°)",IF(AND(INDEX(TABLAS!$G$52:$G$58,MATCH(MAX(BR29,CL29),TABLAS!$B$52:$B$58,0))&lt;=(DATOS!$C$75-DATOS!$C$63),(DATOS!$C$75-DATOS!$C$63)&gt;=15),"NO CUMPLE: el gancho de 180° (8·d_b) no cabe en el peralte de la dala de borde","NO CUMPLE: dala de borde ≥ "&amp;TEXT(CEILING(MAX(INDEX(TABLAS!$G$52:$G$58,MATCH(MAX(BR29,CL29),TABLAS!$B$52:$B$58,0)),15)+DATOS!$C$63,5),"0")&amp;" cm de ancho"&amp;IF(8*INDEX(TABLAS!$C$52:$C$58,MATCH(MAX(BH29,CB29,BR29,CL29),TABLAS!$B$52:$B$58,0))&lt;=DATOS!$C$76-2*DATOS!$C$63,""," y más peralte para el gancho")))))</f>
        <v/>
      </c>
      <c r="DE29" s="69" t="str">
        <f>IF(V29&lt;&gt;"SÍ","",IF(BI29=0,"NO ALCANZA","No. "&amp;BH29&amp;" @ "&amp;BI29&amp;" cm"&amp;IF(C29="VOLADO"," (temperatura)","")))</f>
        <v/>
      </c>
      <c r="DF29" s="69" t="str">
        <f>IF(V29&lt;&gt;"SÍ","",IF(BS29=0,"NO ALCANZA",IF(C29="VOLADO","No. "&amp;BR29&amp;" @ "&amp;BS29&amp;" cm"&amp;" de la orilla al respaldo ("&amp;IF(CZ29&gt;=FLOOR(100*IF(ISNUMBER(Q29),Q29,Z29)-DATOS!$C$63,5),"hasta su apoyo lejano, con gancho","entran "&amp;TEXT(CZ29/100,"0.00")&amp;" m desde el paño")&amp;")","Bastones "&amp;"No. "&amp;BR29&amp;" @ "&amp;BS29&amp;" cm"&amp;", L = "&amp;TEXT(CZ29/100,"0.00")&amp;" m desde el paño")))</f>
        <v/>
      </c>
      <c r="DG29" s="69" t="str">
        <f>IF(V29&lt;&gt;"SÍ","",IF(CC29=0,"NO ALCANZA","No. "&amp;CB29&amp;" @ "&amp;CC29&amp;" cm"&amp;IF(C29="VOLADO"," (repartición)","")))</f>
        <v/>
      </c>
      <c r="DH29" s="69" t="str">
        <f>IF(V29&lt;&gt;"SÍ","",IF(CM29=0,"NO ALCANZA",IF(C29="VOLADO","No. "&amp;CL29&amp;" @ "&amp;CM29&amp;" cm"&amp;" (repartición)","Bastones "&amp;"No. "&amp;CL29&amp;" @ "&amp;CM29&amp;" cm"&amp;", L = "&amp;TEXT(DA29/100,"0.00")&amp;" m desde el paño")))</f>
        <v/>
      </c>
      <c r="DI29" s="67" t="str">
        <f>IF(B29="","",IF(V29&lt;&gt;"SÍ","FALTAN DATOS: tipo, a_x, a_y, destino y, en volados, L_b",IF(L29="NO MONOLÍTICO (caso II)","FUERA DE ALCANCE: caso II no transcrito",IF(AND(C29="VOLADO",X29="?"),"REVISAR: el volado lleva UN solo borde CONTINUO (el empotrado)",IF(AND(MAX(BM29,BW29,CG29,CQ29)&lt;=1,NOT(OR(BI29&lt;DATOS!$C$143,BS29&lt;DATOS!$C$143,CC29&lt;DATOS!$C$143,CM29&lt;DATOS!$C$143)),NOT(OR(AND(ISNUMBER(BN29),BN29&lt;0.005),AND(ISNUMBER(BX29),BX29&lt;0.005),AND(ISNUMBER(CH29),CH29&lt;0.005),AND(ISNUMBER(CR29),CR29&lt;0.005))),CV29="CUMPLE",CY29="CUMPLE"),"CUMPLE"&amp;IF(LEFT(BB29,5)="FUERA"," · fuera de 3.4.2.1 c)","")&amp;IF(LEFT(DD29,2)="NO"," · REVISAR anclaje en borde discontinuo",""),IF(AND(MAX(BM29,BW29,CG29,CQ29)&lt;=1,NOT(OR(BI29&lt;DATOS!$C$143,BS29&lt;DATOS!$C$143,CC29&lt;DATOS!$C$143,CM29&lt;DATOS!$C$143)),NOT(OR(AND(ISNUMBER(BN29),BN29&lt;0.005),AND(ISNUMBER(BX29),BX29&lt;0.005),AND(ISNUMBER(CH29),CH29&lt;0.005),AND(ISNUMBER(CR29),CR29&lt;0.005))),CV29="CUMPLE",CY29="CALCULAR FLECHA"),"REVISAR: calcular flecha (h &lt; h mín.)"&amp;IF(LEFT(BB29,5)="FUERA"," · fuera de 3.4.2.1 c)","")&amp;IF(LEFT(DD29,2)="NO"," · REVISAR anclaje en borde discontinuo",""),"NO CUMPLE: "&amp;IF(MAX(BM29,BW29,CG29,CQ29)&gt;1,"flexión ","")&amp;IF(OR(BI29&lt;DATOS!$C$143,BS29&lt;DATOS!$C$143,CC29&lt;DATOS!$C$143,CM29&lt;DATOS!$C$143),"separación &lt; mínima ","")&amp;IF(OR(AND(ISNUMBER(BN29),BN29&lt;0.005),AND(ISNUMBER(BX29),BX29&lt;0.005),AND(ISNUMBER(CH29),CH29&lt;0.005),AND(ISNUMBER(CR29),CR29&lt;0.005)),"ε_t &lt; 0.005 ","")&amp;IF(CV29&lt;&gt;"CUMPLE","cortante ","")&amp;IF(CY29="NO CUMPLE","peralte","")))))))</f>
        <v/>
      </c>
      <c r="DJ29" s="70" t="str">
        <f>IF(V29&lt;&gt;"SÍ","",IF(LEFT(B29,7)="EJEMPLO","EJEMPLO de tablero típico: bórralo o sobrescríbelo. ","")&amp;IF(C29="VOLADO","Volado de "&amp;TEXT(Z29,"0.00")&amp;" m empotrado en el borde "&amp;LOWER(X29)&amp;IF(N(P29)&gt;0,", con "&amp;TEXT(P29,"0.0")&amp;" kg/m en la orilla","")&amp;". Lecho inferior con r_ext. Si la orilla carga pretil u otro elemento frágil, calcula la flecha (13.4). El acero superior entra al respaldo de "&amp;TEXT(IF(ISNUMBER(Q29),Q29,Z29),"0.00")&amp;" m"&amp;" hasta pasar M = 0 con 0.9·PP sin carga viva; si ahí no se anula, llega al apoyo lejano y se ancla con gancho. ","")&amp;IF(AND(C29="VOLADO",(0.9*W29/100*DATOS!$C$16*IF(ISNUMBER(Q29),Q29,Z29)/2-AY29/IF(ISNUMBER(Q29),Q29,Z29))&lt;0),"Con 0.9·PP y sin carga viva el apoyo lejano del respaldo levanta (R = "&amp;TEXT(-(0.9*W29/100*DATOS!$C$16*IF(ISNUMBER(Q29),Q29,Z29)/2-AY29/IF(ISNUMBER(Q29),Q29,Z29)),"0.00")&amp;" t/m): ancla ahí el acero con gancho y revisa ese apoyo a tensión. ","")&amp;IF(LEFT(BB29,5)="FUERA","El M⁻ del vecino difiere más de 50 % (3.4.2.1 c): distribuye el desequilibrio (3.4.3.1) o confirma con un modelo; se arma con el mayor. ","")&amp;IF(OR(DB29="SÍ",DC29="SÍ"),"Bastones también en los bordes discontinuos (M⁻ de tabla), con gancho. ","")&amp;IF(LEFT(DD29,2)="NO","Anclaje: "&amp;DD29&amp;" (6.7.7.4.1.1). ","")&amp;IF(AND(C29="PERIMETRAL",AM29&gt;=1,AL29-AM29&gt;=1),"Esquinas exteriores sobre muro: refuerzo de esquina arriba y abajo en L_largo/5 (6.7.7.3.1). ",""))</f>
        <v/>
      </c>
    </row>
    <row r="30" ht="33" customHeight="1">
      <c r="A30" s="50">
        <f>IF(B30="",0,1)+A29</f>
        <v>3</v>
      </c>
      <c r="B30" s="29" t="n"/>
      <c r="C30" s="51" t="n"/>
      <c r="D30" s="29" t="n"/>
      <c r="E30" s="52" t="n"/>
      <c r="F30" s="52" t="n"/>
      <c r="G30" s="51" t="n"/>
      <c r="H30" s="51" t="n"/>
      <c r="I30" s="51" t="n"/>
      <c r="J30" s="51" t="n"/>
      <c r="K30" s="51" t="n"/>
      <c r="L30" s="51" t="n"/>
      <c r="M30" s="54" t="n"/>
      <c r="N30" s="53" t="n"/>
      <c r="O30" s="53" t="n"/>
      <c r="P30" s="54" t="n"/>
      <c r="Q30" s="52" t="n"/>
      <c r="R30" s="54" t="n"/>
      <c r="S30" s="53" t="n"/>
      <c r="T30" s="52" t="n"/>
      <c r="U30" s="52" t="n"/>
      <c r="V30" s="55" t="str">
        <f>IF(B30="","",IF(AND(OR(C30="PERIMETRAL",C30="VOLADO"),ISNUMBER(E30),ISNUMBER(F30),E30&gt;0,F30&gt;0,OR(ISNUMBER(O30),ISNUMBER(MATCH(D30,DATOS!$B$46:$B$58,0))),OR(C30&lt;&gt;"VOLADO",N(Q30)&gt;0)),"SÍ","NO"))</f>
        <v/>
      </c>
      <c r="W30" s="57" t="str">
        <f>IF(V30&lt;&gt;"SÍ","",IF(ISNUMBER(M30),M30,DATOS!$C$137))</f>
        <v/>
      </c>
      <c r="X30" s="55" t="str">
        <f>IF(V30&lt;&gt;"SÍ","",IF(C30&lt;&gt;"VOLADO","—",IF(COUNTIF(G30:J30,"CONTINUO")&lt;&gt;1,"?",IF(G30="CONTINUO","INFERIOR",IF(H30="CONTINUO","SUPERIOR",IF(I30="CONTINUO","IZQUIERDO","DERECHO"))))))</f>
        <v/>
      </c>
      <c r="Y30" s="55" t="str">
        <f>IF(V30&lt;&gt;"SÍ","",IF(C30="VOLADO",IF(OR(X30="IZQUIERDO",X30="DERECHO"),"X","Y"),IF(E30&lt;=F30,"X","Y")))</f>
        <v/>
      </c>
      <c r="Z30" s="56" t="str">
        <f>IF(V30&lt;&gt;"SÍ","",IF(C30="VOLADO",IF(Y30="X",E30,F30),MIN(E30,F30)))</f>
        <v/>
      </c>
      <c r="AA30" s="56" t="str">
        <f>IF(V30&lt;&gt;"SÍ","",IF(C30="VOLADO",IF(Y30="X",F30,E30),MAX(E30,F30)))</f>
        <v/>
      </c>
      <c r="AB30" s="56" t="str">
        <f>IF(V30&lt;&gt;"SÍ","",MIN(Z30,AA30)/MAX(Z30,AA30))</f>
        <v/>
      </c>
      <c r="AC30" s="57" t="str">
        <f>IF(V30&lt;&gt;"SÍ","",MAX(1,Z30*100-IF(C30="VOLADO",DATOS!$C$87/2,DATOS!$C$87)))</f>
        <v/>
      </c>
      <c r="AD30" s="57" t="str">
        <f>IF(V30&lt;&gt;"SÍ","",MAX(1,AA30*100-DATOS!$C$87))</f>
        <v/>
      </c>
      <c r="AE30" s="57" t="str">
        <f>IF(V30&lt;&gt;"SÍ","",IF(C30="VOLADO",DATOS!$C$64,DATOS!$C$62))</f>
        <v/>
      </c>
      <c r="AF30" s="57" t="str">
        <f>IF(V30&lt;&gt;"SÍ","",IF(OR(AND(AG30="SÍ",DATOS!$C$66="SÍ"),AND(C30="VOLADO",DATOS!$C$67="SÍ")),DATOS!$C$64,DATOS!$C$62))</f>
        <v/>
      </c>
      <c r="AG30" s="55" t="str">
        <f>IF(V30&lt;&gt;"SÍ","",IFERROR(INDEX(DATOS!$D$46:$D$58,MATCH(D30,DATOS!$B$46:$B$58,0)),"NO"))</f>
        <v/>
      </c>
      <c r="AH30" s="59" t="str">
        <f>IF(V30&lt;&gt;"SÍ","",IF(ISNUMBER(O30),O30,IFERROR(INDEX(DATOS!$C$46:$C$58,MATCH(D30,DATOS!$B$46:$B$58,0)),0)))</f>
        <v/>
      </c>
      <c r="AI30" s="59" t="str">
        <f>IF(V30&lt;&gt;"SÍ","",W30/100*DATOS!$C$16*1000+DATOS!$C$37+DATOS!$C$38)</f>
        <v/>
      </c>
      <c r="AJ30" s="59" t="str">
        <f>IF(V30&lt;&gt;"SÍ","",AI30+N(N30))</f>
        <v/>
      </c>
      <c r="AK30" s="60" t="str">
        <f>IF(V30&lt;&gt;"SÍ","",MAX(DATOS!$C$26*AJ30+DATOS!$C$27*AH30,IF(AG30="SÍ",DATOS!$C$28*(AJ30+DATOS!$C$41),0)))</f>
        <v/>
      </c>
      <c r="AL30" s="59" t="str">
        <f>IF(V30&lt;&gt;"SÍ","",(G30="DISCONTINUO")+(H30="DISCONTINUO")+(I30="DISCONTINUO")+(J30="DISCONTINUO"))</f>
        <v/>
      </c>
      <c r="AM30" s="59" t="str">
        <f>IF(V30&lt;&gt;"SÍ","",IF(Y30="X",(G30="DISCONTINUO")+(H30="DISCONTINUO"),(I30="DISCONTINUO")+(J30="DISCONTINUO")))</f>
        <v/>
      </c>
      <c r="AN30" s="55" t="str">
        <f>IF(V30&lt;&gt;"SÍ","",IF(AL30=0,"INTERIOR",IF(AL30=1,IF(AM30=1,"BORDE-CORTO","BORDE-LARGO"),IF(AL30=2,IF(AM30=1,"ESQUINA",IF(AM30=2,"EXTREMO-LARGO","EXTREMO-CORTO")),IF(AL30=3,IF(AM30=2,"EXTREMO-LARGO","EXTREMO-CORTO"),"AISLADO")))))</f>
        <v/>
      </c>
      <c r="AO30" s="61" t="str">
        <f>IF(V30&lt;&gt;"SÍ","",IF(OR(K30="",K30="AUTO"),AN30,K30))</f>
        <v/>
      </c>
      <c r="AP30" s="59" t="str">
        <f>IF(V30&lt;&gt;"SÍ","",MATCH(AB30,TABLAS!$D$5:$J$5,1))</f>
        <v/>
      </c>
      <c r="AQ30" s="58" t="str">
        <f>IF(V30&lt;&gt;"SÍ","",IF(AP30&gt;=7,0,(AB30-INDEX(TABLAS!$D$5:$J$5,AP30))/(INDEX(TABLAS!$D$5:$J$5,AP30+1)-INDEX(TABLAS!$D$5:$J$5,AP30))))</f>
        <v/>
      </c>
      <c r="AR30" s="59" t="str">
        <f>IF(V30&lt;&gt;"SÍ","",INDEX(TABLAS!$D$6:$J$47,MATCH(AO30&amp;"|NIC",TABLAS!$B$6:$B$47,0),AP30)+AQ30*(INDEX(TABLAS!$D$6:$J$47,MATCH(AO30&amp;"|NIC",TABLAS!$B$6:$B$47,0),MIN(AP30+1,7))-INDEX(TABLAS!$D$6:$J$47,MATCH(AO30&amp;"|NIC",TABLAS!$B$6:$B$47,0),AP30)))</f>
        <v/>
      </c>
      <c r="AS30" s="59" t="str">
        <f>IF(V30&lt;&gt;"SÍ","",INDEX(TABLAS!$D$6:$J$47,MATCH(AO30&amp;"|NIL",TABLAS!$B$6:$B$47,0),AP30)+AQ30*(INDEX(TABLAS!$D$6:$J$47,MATCH(AO30&amp;"|NIL",TABLAS!$B$6:$B$47,0),MIN(AP30+1,7))-INDEX(TABLAS!$D$6:$J$47,MATCH(AO30&amp;"|NIL",TABLAS!$B$6:$B$47,0),AP30)))</f>
        <v/>
      </c>
      <c r="AT30" s="59" t="str">
        <f>IF(V30&lt;&gt;"SÍ","",INDEX(TABLAS!$D$6:$J$47,MATCH(AO30&amp;"|NDC",TABLAS!$B$6:$B$47,0),AP30)+AQ30*(INDEX(TABLAS!$D$6:$J$47,MATCH(AO30&amp;"|NDC",TABLAS!$B$6:$B$47,0),MIN(AP30+1,7))-INDEX(TABLAS!$D$6:$J$47,MATCH(AO30&amp;"|NDC",TABLAS!$B$6:$B$47,0),AP30)))</f>
        <v/>
      </c>
      <c r="AU30" s="59" t="str">
        <f>IF(V30&lt;&gt;"SÍ","",INDEX(TABLAS!$D$6:$J$47,MATCH(AO30&amp;"|NDL",TABLAS!$B$6:$B$47,0),AP30)+AQ30*(INDEX(TABLAS!$D$6:$J$47,MATCH(AO30&amp;"|NDL",TABLAS!$B$6:$B$47,0),MIN(AP30+1,7))-INDEX(TABLAS!$D$6:$J$47,MATCH(AO30&amp;"|NDL",TABLAS!$B$6:$B$47,0),AP30)))</f>
        <v/>
      </c>
      <c r="AV30" s="59" t="str">
        <f>IF(V30&lt;&gt;"SÍ","",INDEX(TABLAS!$D$6:$J$47,MATCH(AO30&amp;"|PC",TABLAS!$B$6:$B$47,0),AP30)+AQ30*(INDEX(TABLAS!$D$6:$J$47,MATCH(AO30&amp;"|PC",TABLAS!$B$6:$B$47,0),MIN(AP30+1,7))-INDEX(TABLAS!$D$6:$J$47,MATCH(AO30&amp;"|PC",TABLAS!$B$6:$B$47,0),AP30)))</f>
        <v/>
      </c>
      <c r="AW30" s="59" t="str">
        <f>IF(V30&lt;&gt;"SÍ","",INDEX(TABLAS!$D$6:$J$47,MATCH(AO30&amp;"|PL",TABLAS!$B$6:$B$47,0),AP30)+AQ30*(INDEX(TABLAS!$D$6:$J$47,MATCH(AO30&amp;"|PL",TABLAS!$B$6:$B$47,0),MIN(AP30+1,7))-INDEX(TABLAS!$D$6:$J$47,MATCH(AO30&amp;"|PL",TABLAS!$B$6:$B$47,0),AP30)))</f>
        <v/>
      </c>
      <c r="AX30" s="56" t="str">
        <f>IF(V30&lt;&gt;"SÍ","",IF(C30="PERIMETRAL",AV30*AK30*Z30^2*1E-4/1000,0))</f>
        <v/>
      </c>
      <c r="AY30" s="62" t="str">
        <f>IF(V30&lt;&gt;"SÍ","",IF(C30="PERIMETRAL",MAX(MAX(AR30,AT30)*AK30*Z30^2*1E-4/1000,N(T30)),(AK30*(AC30/100)^2/2+DATOS!$C$26*N(P30)*AC30/100)/1000))</f>
        <v/>
      </c>
      <c r="AZ30" s="56" t="str">
        <f>IF(V30&lt;&gt;"SÍ","",IF(C30="PERIMETRAL",AW30*AK30*Z30^2*1E-4/1000,0))</f>
        <v/>
      </c>
      <c r="BA30" s="56" t="str">
        <f>IF(V30&lt;&gt;"SÍ","",IF(C30="PERIMETRAL",MAX(MAX(AS30,AU30)*AK30*Z30^2*1E-4/1000,N(U30)),0))</f>
        <v/>
      </c>
      <c r="BB30" s="63" t="str">
        <f>IF(V30&lt;&gt;"SÍ","",IF(C30&lt;&gt;"PERIMETRAL","—",IF(AND(N(T30)=0,N(U30)=0),"— (sin M⁻ del vecino)",IF(OR(AND(N(T30)&gt;0,ABS(MAX(AR30,AT30)*AK30*Z30^2*1E-4/1000-N(T30))&gt;0.5*MIN(MAX(AR30,AT30)*AK30*Z30^2*1E-4/1000,N(T30))),AND(N(U30)&gt;0,ABS(MAX(AS30,AU30)*AK30*Z30^2*1E-4/1000-N(U30))&gt;0.5*MIN(MAX(AS30,AU30)*AK30*Z30^2*1E-4/1000,N(U30)))),"FUERA: difieren &gt; 50 %"&amp;IF(AND(N(T30)&gt;0,ABS(MAX(AR30,AT30)*AK30*Z30^2*1E-4/1000-N(T30))&gt;0.5*MIN(MAX(AR30,AT30)*AK30*Z30^2*1E-4/1000,N(T30)))," ‖ corto","")&amp;IF(AND(N(U30)&gt;0,ABS(MAX(AS30,AU30)*AK30*Z30^2*1E-4/1000-N(U30))&gt;0.5*MIN(MAX(AS30,AU30)*AK30*Z30^2*1E-4/1000,N(U30)))," ‖ largo",""),"CUMPLE"))))</f>
        <v/>
      </c>
      <c r="BC30" s="58" t="str">
        <f>IF(V30&lt;&gt;"SÍ","",DATOS!$C$139*100*W30)</f>
        <v/>
      </c>
      <c r="BD30" s="57" t="str">
        <f>IF(V30&lt;&gt;"SÍ","",MIN(IF(C30="VOLADO",DATOS!$C$141,DATOS!$C$140)*W30,DATOS!$C$142))</f>
        <v/>
      </c>
      <c r="BE30" s="58" t="str">
        <f>IF(V30&lt;&gt;"SÍ","",(W30-AE30-INDEX(TABLAS!$C$52:$C$58,MATCH(IF(ISNUMBER(S30),S30,DATOS!$C$138),TABLAS!$B$52:$B$58,0))/2))</f>
        <v/>
      </c>
      <c r="BF30" s="58" t="str">
        <f>IF(V30&lt;&gt;"SÍ","",IF(AX30&lt;=0,0,IF((1-2*AX30*1E5/(DATOS!$C$29*100*BE30^2*DATOS!$C$21))&lt;0,-1,IF((1-SQRT((1-2*AX30*1E5/(DATOS!$C$29*100*BE30^2*DATOS!$C$21))))*DATOS!$C$21*100*BE30/DATOS!$C$14&gt;DATOS!$C$102*100*BE30,-1,(1-SQRT((1-2*AX30*1E5/(DATOS!$C$29*100*BE30^2*DATOS!$C$21))))*DATOS!$C$21*100*BE30/DATOS!$C$14))))</f>
        <v/>
      </c>
      <c r="BG30" s="58" t="str">
        <f>IF(V30&lt;&gt;"SÍ","",IF(BF30&lt;0,-1,MAX(BF30,BC30)))</f>
        <v/>
      </c>
      <c r="BH30" s="64" t="str">
        <f>IF(V30&lt;&gt;"SÍ","",IF(AND(BG30&gt;0,FLOOR(MIN(BD30,100*INDEX(TABLAS!$D$52:$D$58,MIN(MATCH(IF(ISNUMBER(S30),S30,DATOS!$C$138),TABLAS!$B$52:$B$58,0)+0,7))/MAX(BG30,0.0001)),DATOS!$C$144)&gt;=DATOS!$C$143),INDEX(TABLAS!$B$52:$B$58,MIN(MATCH(IF(ISNUMBER(S30),S30,DATOS!$C$138),TABLAS!$B$52:$B$58,0)+0,7)),IF(AND(BG30&gt;0,FLOOR(MIN(BD30,100*INDEX(TABLAS!$D$52:$D$58,MIN(MATCH(IF(ISNUMBER(S30),S30,DATOS!$C$138),TABLAS!$B$52:$B$58,0)+1,7))/MAX(BG30,0.0001)),DATOS!$C$144)&gt;=DATOS!$C$143),INDEX(TABLAS!$B$52:$B$58,MIN(MATCH(IF(ISNUMBER(S30),S30,DATOS!$C$138),TABLAS!$B$52:$B$58,0)+1,7)),IF(AND(BG30&gt;0,FLOOR(MIN(BD30,100*INDEX(TABLAS!$D$52:$D$58,MIN(MATCH(IF(ISNUMBER(S30),S30,DATOS!$C$138),TABLAS!$B$52:$B$58,0)+2,7))/MAX(BG30,0.0001)),DATOS!$C$144)&gt;=DATOS!$C$143),INDEX(TABLAS!$B$52:$B$58,MIN(MATCH(IF(ISNUMBER(S30),S30,DATOS!$C$138),TABLAS!$B$52:$B$58,0)+2,7)),IF(AND(BG30&gt;0,FLOOR(MIN(BD30,100*INDEX(TABLAS!$D$52:$D$58,MIN(MATCH(IF(ISNUMBER(S30),S30,DATOS!$C$138),TABLAS!$B$52:$B$58,0)+3,7))/MAX(BG30,0.0001)),DATOS!$C$144)&gt;=DATOS!$C$143),INDEX(TABLAS!$B$52:$B$58,MIN(MATCH(IF(ISNUMBER(S30),S30,DATOS!$C$138),TABLAS!$B$52:$B$58,0)+3,7)),IF(AND(BG30&gt;0,FLOOR(MIN(BD30,100*INDEX(TABLAS!$D$52:$D$58,MIN(MATCH(IF(ISNUMBER(S30),S30,DATOS!$C$138),TABLAS!$B$52:$B$58,0)+4,7))/MAX(BG30,0.0001)),DATOS!$C$144)&gt;=DATOS!$C$143),INDEX(TABLAS!$B$52:$B$58,MIN(MATCH(IF(ISNUMBER(S30),S30,DATOS!$C$138),TABLAS!$B$52:$B$58,0)+4,7)),INDEX(TABLAS!$B$52:$B$58,7)))))))</f>
        <v/>
      </c>
      <c r="BI30" s="71" t="str">
        <f>IF(V30&lt;&gt;"SÍ","",IF(BG30&lt;=0,0,FLOOR(MIN(BD30,100*INDEX(TABLAS!$D$52:$D$58,MATCH(BH30,TABLAS!$B$52:$B$58,0))/BG30),DATOS!$C$144)))</f>
        <v/>
      </c>
      <c r="BJ30" s="58" t="str">
        <f>IF(V30&lt;&gt;"SÍ","",IF(BI30&lt;=0,0,INDEX(TABLAS!$D$52:$D$58,MATCH(BH30,TABLAS!$B$52:$B$58,0))*100/BI30))</f>
        <v/>
      </c>
      <c r="BK30" s="58" t="str">
        <f>IF(V30&lt;&gt;"SÍ","",W30-AE30-INDEX(TABLAS!$C$52:$C$58,MATCH(BH30,TABLAS!$B$52:$B$58,0))/2)</f>
        <v/>
      </c>
      <c r="BL30" s="56" t="str">
        <f>IF(V30&lt;&gt;"SÍ","",IF(BJ30=0,0,DATOS!$C$29*BJ30*DATOS!$C$14*(BK30-BJ30*DATOS!$C$14/(DATOS!$C$21*100)/2)/1E5))</f>
        <v/>
      </c>
      <c r="BM30" s="65" t="str">
        <f>IF(V30&lt;&gt;"SÍ","",IF(BG30&lt;0,9.99,IF(BL30&gt;0,AX30/BL30,0)))</f>
        <v/>
      </c>
      <c r="BN30" s="66" t="str">
        <f>IF(V30&lt;&gt;"SÍ","",IF(BJ30=0,"—",0.003*(BK30-(BJ30*DATOS!$C$14/(DATOS!$C$21*100)/DATOS!$C$22))/(BJ30*DATOS!$C$14/(DATOS!$C$21*100)/DATOS!$C$22)))</f>
        <v/>
      </c>
      <c r="BO30" s="58" t="str">
        <f>IF(V30&lt;&gt;"SÍ","",((W30-AF30-INDEX(TABLAS!$C$52:$C$58,MATCH(IF(ISNUMBER(S30),S30,DATOS!$C$138),TABLAS!$B$52:$B$58,0))/2)-IF(AND((W30-AF30-INDEX(TABLAS!$C$52:$C$58,MATCH(IF(ISNUMBER(S30),S30,DATOS!$C$138),TABLAS!$B$52:$B$58,0))/2)&lt;=20,DATOS!$C$65&lt;&gt;"SÍ"),2,0)))</f>
        <v/>
      </c>
      <c r="BP30" s="58" t="str">
        <f>IF(V30&lt;&gt;"SÍ","",IF(AY30&lt;=0,0,IF((1-2*AY30*1E5/(DATOS!$C$29*100*BO30^2*DATOS!$C$21))&lt;0,-1,IF((1-SQRT((1-2*AY30*1E5/(DATOS!$C$29*100*BO30^2*DATOS!$C$21))))*DATOS!$C$21*100*BO30/DATOS!$C$14&gt;DATOS!$C$102*100*BO30,-1,(1-SQRT((1-2*AY30*1E5/(DATOS!$C$29*100*BO30^2*DATOS!$C$21))))*DATOS!$C$21*100*BO30/DATOS!$C$14))))</f>
        <v/>
      </c>
      <c r="BQ30" s="58" t="str">
        <f>IF(V30&lt;&gt;"SÍ","",IF(BP30&lt;0,-1,MAX(BP30,BC30)))</f>
        <v/>
      </c>
      <c r="BR30" s="64" t="str">
        <f>IF(V30&lt;&gt;"SÍ","",IF(AND(BQ30&gt;0,FLOOR(MIN(BD30,100*INDEX(TABLAS!$D$52:$D$58,MIN(MATCH(IF(ISNUMBER(S30),S30,DATOS!$C$138),TABLAS!$B$52:$B$58,0)+0,7))/MAX(BQ30,0.0001)),DATOS!$C$144)&gt;=DATOS!$C$143),INDEX(TABLAS!$B$52:$B$58,MIN(MATCH(IF(ISNUMBER(S30),S30,DATOS!$C$138),TABLAS!$B$52:$B$58,0)+0,7)),IF(AND(BQ30&gt;0,FLOOR(MIN(BD30,100*INDEX(TABLAS!$D$52:$D$58,MIN(MATCH(IF(ISNUMBER(S30),S30,DATOS!$C$138),TABLAS!$B$52:$B$58,0)+1,7))/MAX(BQ30,0.0001)),DATOS!$C$144)&gt;=DATOS!$C$143),INDEX(TABLAS!$B$52:$B$58,MIN(MATCH(IF(ISNUMBER(S30),S30,DATOS!$C$138),TABLAS!$B$52:$B$58,0)+1,7)),IF(AND(BQ30&gt;0,FLOOR(MIN(BD30,100*INDEX(TABLAS!$D$52:$D$58,MIN(MATCH(IF(ISNUMBER(S30),S30,DATOS!$C$138),TABLAS!$B$52:$B$58,0)+2,7))/MAX(BQ30,0.0001)),DATOS!$C$144)&gt;=DATOS!$C$143),INDEX(TABLAS!$B$52:$B$58,MIN(MATCH(IF(ISNUMBER(S30),S30,DATOS!$C$138),TABLAS!$B$52:$B$58,0)+2,7)),IF(AND(BQ30&gt;0,FLOOR(MIN(BD30,100*INDEX(TABLAS!$D$52:$D$58,MIN(MATCH(IF(ISNUMBER(S30),S30,DATOS!$C$138),TABLAS!$B$52:$B$58,0)+3,7))/MAX(BQ30,0.0001)),DATOS!$C$144)&gt;=DATOS!$C$143),INDEX(TABLAS!$B$52:$B$58,MIN(MATCH(IF(ISNUMBER(S30),S30,DATOS!$C$138),TABLAS!$B$52:$B$58,0)+3,7)),IF(AND(BQ30&gt;0,FLOOR(MIN(BD30,100*INDEX(TABLAS!$D$52:$D$58,MIN(MATCH(IF(ISNUMBER(S30),S30,DATOS!$C$138),TABLAS!$B$52:$B$58,0)+4,7))/MAX(BQ30,0.0001)),DATOS!$C$144)&gt;=DATOS!$C$143),INDEX(TABLAS!$B$52:$B$58,MIN(MATCH(IF(ISNUMBER(S30),S30,DATOS!$C$138),TABLAS!$B$52:$B$58,0)+4,7)),INDEX(TABLAS!$B$52:$B$58,7)))))))</f>
        <v/>
      </c>
      <c r="BS30" s="71" t="str">
        <f>IF(V30&lt;&gt;"SÍ","",IF(BQ30&lt;=0,0,FLOOR(MIN(BD30,100*INDEX(TABLAS!$D$52:$D$58,MATCH(BR30,TABLAS!$B$52:$B$58,0))/BQ30),DATOS!$C$144)))</f>
        <v/>
      </c>
      <c r="BT30" s="58" t="str">
        <f>IF(V30&lt;&gt;"SÍ","",IF(BS30&lt;=0,0,INDEX(TABLAS!$D$52:$D$58,MATCH(BR30,TABLAS!$B$52:$B$58,0))*100/BS30))</f>
        <v/>
      </c>
      <c r="BU30" s="58" t="str">
        <f>IF(V30&lt;&gt;"SÍ","",((W30-AF30-INDEX(TABLAS!$C$52:$C$58,MATCH(BR30,TABLAS!$B$52:$B$58,0))/2)-IF(AND((W30-AF30-INDEX(TABLAS!$C$52:$C$58,MATCH(BR30,TABLAS!$B$52:$B$58,0))/2)&lt;=20,DATOS!$C$65&lt;&gt;"SÍ"),2,0)))</f>
        <v/>
      </c>
      <c r="BV30" s="56" t="str">
        <f>IF(V30&lt;&gt;"SÍ","",IF(BT30=0,0,DATOS!$C$29*BT30*DATOS!$C$14*(BU30-BT30*DATOS!$C$14/(DATOS!$C$21*100)/2)/1E5))</f>
        <v/>
      </c>
      <c r="BW30" s="65" t="str">
        <f>IF(V30&lt;&gt;"SÍ","",IF(BQ30&lt;0,9.99,IF(BV30&gt;0,AY30/BV30,0)))</f>
        <v/>
      </c>
      <c r="BX30" s="66" t="str">
        <f>IF(V30&lt;&gt;"SÍ","",IF(BT30=0,"—",0.003*(BU30-(BT30*DATOS!$C$14/(DATOS!$C$21*100)/DATOS!$C$22))/(BT30*DATOS!$C$14/(DATOS!$C$21*100)/DATOS!$C$22)))</f>
        <v/>
      </c>
      <c r="BY30" s="58" t="str">
        <f>IF(V30&lt;&gt;"SÍ","",(W30-AE30-1.5*INDEX(TABLAS!$C$52:$C$58,MATCH(IF(ISNUMBER(S30),S30,DATOS!$C$138),TABLAS!$B$52:$B$58,0))))</f>
        <v/>
      </c>
      <c r="BZ30" s="58" t="str">
        <f>IF(V30&lt;&gt;"SÍ","",IF(AZ30&lt;=0,0,IF((1-2*AZ30*1E5/(DATOS!$C$29*100*BY30^2*DATOS!$C$21))&lt;0,-1,IF((1-SQRT((1-2*AZ30*1E5/(DATOS!$C$29*100*BY30^2*DATOS!$C$21))))*DATOS!$C$21*100*BY30/DATOS!$C$14&gt;DATOS!$C$102*100*BY30,-1,(1-SQRT((1-2*AZ30*1E5/(DATOS!$C$29*100*BY30^2*DATOS!$C$21))))*DATOS!$C$21*100*BY30/DATOS!$C$14))))</f>
        <v/>
      </c>
      <c r="CA30" s="58" t="str">
        <f>IF(V30&lt;&gt;"SÍ","",IF(BZ30&lt;0,-1,MAX(BZ30,BC30)))</f>
        <v/>
      </c>
      <c r="CB30" s="64" t="str">
        <f>IF(V30&lt;&gt;"SÍ","",IF(AND(CA30&gt;0,FLOOR(MIN(BD30,100*INDEX(TABLAS!$D$52:$D$58,MIN(MATCH(IF(ISNUMBER(S30),S30,DATOS!$C$138),TABLAS!$B$52:$B$58,0)+0,7))/MAX(CA30,0.0001)),DATOS!$C$144)&gt;=DATOS!$C$143),INDEX(TABLAS!$B$52:$B$58,MIN(MATCH(IF(ISNUMBER(S30),S30,DATOS!$C$138),TABLAS!$B$52:$B$58,0)+0,7)),IF(AND(CA30&gt;0,FLOOR(MIN(BD30,100*INDEX(TABLAS!$D$52:$D$58,MIN(MATCH(IF(ISNUMBER(S30),S30,DATOS!$C$138),TABLAS!$B$52:$B$58,0)+1,7))/MAX(CA30,0.0001)),DATOS!$C$144)&gt;=DATOS!$C$143),INDEX(TABLAS!$B$52:$B$58,MIN(MATCH(IF(ISNUMBER(S30),S30,DATOS!$C$138),TABLAS!$B$52:$B$58,0)+1,7)),IF(AND(CA30&gt;0,FLOOR(MIN(BD30,100*INDEX(TABLAS!$D$52:$D$58,MIN(MATCH(IF(ISNUMBER(S30),S30,DATOS!$C$138),TABLAS!$B$52:$B$58,0)+2,7))/MAX(CA30,0.0001)),DATOS!$C$144)&gt;=DATOS!$C$143),INDEX(TABLAS!$B$52:$B$58,MIN(MATCH(IF(ISNUMBER(S30),S30,DATOS!$C$138),TABLAS!$B$52:$B$58,0)+2,7)),IF(AND(CA30&gt;0,FLOOR(MIN(BD30,100*INDEX(TABLAS!$D$52:$D$58,MIN(MATCH(IF(ISNUMBER(S30),S30,DATOS!$C$138),TABLAS!$B$52:$B$58,0)+3,7))/MAX(CA30,0.0001)),DATOS!$C$144)&gt;=DATOS!$C$143),INDEX(TABLAS!$B$52:$B$58,MIN(MATCH(IF(ISNUMBER(S30),S30,DATOS!$C$138),TABLAS!$B$52:$B$58,0)+3,7)),IF(AND(CA30&gt;0,FLOOR(MIN(BD30,100*INDEX(TABLAS!$D$52:$D$58,MIN(MATCH(IF(ISNUMBER(S30),S30,DATOS!$C$138),TABLAS!$B$52:$B$58,0)+4,7))/MAX(CA30,0.0001)),DATOS!$C$144)&gt;=DATOS!$C$143),INDEX(TABLAS!$B$52:$B$58,MIN(MATCH(IF(ISNUMBER(S30),S30,DATOS!$C$138),TABLAS!$B$52:$B$58,0)+4,7)),INDEX(TABLAS!$B$52:$B$58,7)))))))</f>
        <v/>
      </c>
      <c r="CC30" s="71" t="str">
        <f>IF(V30&lt;&gt;"SÍ","",IF(CA30&lt;=0,0,FLOOR(MIN(BD30,100*INDEX(TABLAS!$D$52:$D$58,MATCH(CB30,TABLAS!$B$52:$B$58,0))/CA30),DATOS!$C$144)))</f>
        <v/>
      </c>
      <c r="CD30" s="58" t="str">
        <f>IF(V30&lt;&gt;"SÍ","",IF(CC30&lt;=0,0,INDEX(TABLAS!$D$52:$D$58,MATCH(CB30,TABLAS!$B$52:$B$58,0))*100/CC30))</f>
        <v/>
      </c>
      <c r="CE30" s="58" t="str">
        <f>IF(V30&lt;&gt;"SÍ","",W30-AE30-INDEX(TABLAS!$C$52:$C$58,MATCH(BH30,TABLAS!$B$52:$B$58,0))-INDEX(TABLAS!$C$52:$C$58,MATCH(CB30,TABLAS!$B$52:$B$58,0))/2)</f>
        <v/>
      </c>
      <c r="CF30" s="56" t="str">
        <f>IF(V30&lt;&gt;"SÍ","",IF(CD30=0,0,DATOS!$C$29*CD30*DATOS!$C$14*(CE30-CD30*DATOS!$C$14/(DATOS!$C$21*100)/2)/1E5))</f>
        <v/>
      </c>
      <c r="CG30" s="65" t="str">
        <f>IF(V30&lt;&gt;"SÍ","",IF(CA30&lt;0,9.99,IF(CF30&gt;0,AZ30/CF30,0)))</f>
        <v/>
      </c>
      <c r="CH30" s="66" t="str">
        <f>IF(V30&lt;&gt;"SÍ","",IF(CD30=0,"—",0.003*(CE30-(CD30*DATOS!$C$14/(DATOS!$C$21*100)/DATOS!$C$22))/(CD30*DATOS!$C$14/(DATOS!$C$21*100)/DATOS!$C$22)))</f>
        <v/>
      </c>
      <c r="CI30" s="58" t="str">
        <f>IF(V30&lt;&gt;"SÍ","",((W30-AF30-1.5*INDEX(TABLAS!$C$52:$C$58,MATCH(IF(ISNUMBER(S30),S30,DATOS!$C$138),TABLAS!$B$52:$B$58,0)))-IF(AND((W30-AF30-1.5*INDEX(TABLAS!$C$52:$C$58,MATCH(IF(ISNUMBER(S30),S30,DATOS!$C$138),TABLAS!$B$52:$B$58,0)))&lt;=20,DATOS!$C$65&lt;&gt;"SÍ"),2,0)))</f>
        <v/>
      </c>
      <c r="CJ30" s="58" t="str">
        <f>IF(V30&lt;&gt;"SÍ","",IF(BA30&lt;=0,0,IF((1-2*BA30*1E5/(DATOS!$C$29*100*CI30^2*DATOS!$C$21))&lt;0,-1,IF((1-SQRT((1-2*BA30*1E5/(DATOS!$C$29*100*CI30^2*DATOS!$C$21))))*DATOS!$C$21*100*CI30/DATOS!$C$14&gt;DATOS!$C$102*100*CI30,-1,(1-SQRT((1-2*BA30*1E5/(DATOS!$C$29*100*CI30^2*DATOS!$C$21))))*DATOS!$C$21*100*CI30/DATOS!$C$14))))</f>
        <v/>
      </c>
      <c r="CK30" s="58" t="str">
        <f>IF(V30&lt;&gt;"SÍ","",IF(CJ30&lt;0,-1,MAX(CJ30,BC30)))</f>
        <v/>
      </c>
      <c r="CL30" s="64" t="str">
        <f>IF(V30&lt;&gt;"SÍ","",IF(AND(CK30&gt;0,FLOOR(MIN(BD30,100*INDEX(TABLAS!$D$52:$D$58,MIN(MATCH(IF(ISNUMBER(S30),S30,DATOS!$C$138),TABLAS!$B$52:$B$58,0)+0,7))/MAX(CK30,0.0001)),DATOS!$C$144)&gt;=DATOS!$C$143),INDEX(TABLAS!$B$52:$B$58,MIN(MATCH(IF(ISNUMBER(S30),S30,DATOS!$C$138),TABLAS!$B$52:$B$58,0)+0,7)),IF(AND(CK30&gt;0,FLOOR(MIN(BD30,100*INDEX(TABLAS!$D$52:$D$58,MIN(MATCH(IF(ISNUMBER(S30),S30,DATOS!$C$138),TABLAS!$B$52:$B$58,0)+1,7))/MAX(CK30,0.0001)),DATOS!$C$144)&gt;=DATOS!$C$143),INDEX(TABLAS!$B$52:$B$58,MIN(MATCH(IF(ISNUMBER(S30),S30,DATOS!$C$138),TABLAS!$B$52:$B$58,0)+1,7)),IF(AND(CK30&gt;0,FLOOR(MIN(BD30,100*INDEX(TABLAS!$D$52:$D$58,MIN(MATCH(IF(ISNUMBER(S30),S30,DATOS!$C$138),TABLAS!$B$52:$B$58,0)+2,7))/MAX(CK30,0.0001)),DATOS!$C$144)&gt;=DATOS!$C$143),INDEX(TABLAS!$B$52:$B$58,MIN(MATCH(IF(ISNUMBER(S30),S30,DATOS!$C$138),TABLAS!$B$52:$B$58,0)+2,7)),IF(AND(CK30&gt;0,FLOOR(MIN(BD30,100*INDEX(TABLAS!$D$52:$D$58,MIN(MATCH(IF(ISNUMBER(S30),S30,DATOS!$C$138),TABLAS!$B$52:$B$58,0)+3,7))/MAX(CK30,0.0001)),DATOS!$C$144)&gt;=DATOS!$C$143),INDEX(TABLAS!$B$52:$B$58,MIN(MATCH(IF(ISNUMBER(S30),S30,DATOS!$C$138),TABLAS!$B$52:$B$58,0)+3,7)),IF(AND(CK30&gt;0,FLOOR(MIN(BD30,100*INDEX(TABLAS!$D$52:$D$58,MIN(MATCH(IF(ISNUMBER(S30),S30,DATOS!$C$138),TABLAS!$B$52:$B$58,0)+4,7))/MAX(CK30,0.0001)),DATOS!$C$144)&gt;=DATOS!$C$143),INDEX(TABLAS!$B$52:$B$58,MIN(MATCH(IF(ISNUMBER(S30),S30,DATOS!$C$138),TABLAS!$B$52:$B$58,0)+4,7)),INDEX(TABLAS!$B$52:$B$58,7)))))))</f>
        <v/>
      </c>
      <c r="CM30" s="71" t="str">
        <f>IF(V30&lt;&gt;"SÍ","",IF(CK30&lt;=0,0,FLOOR(MIN(BD30,100*INDEX(TABLAS!$D$52:$D$58,MATCH(CL30,TABLAS!$B$52:$B$58,0))/CK30),DATOS!$C$144)))</f>
        <v/>
      </c>
      <c r="CN30" s="58" t="str">
        <f>IF(V30&lt;&gt;"SÍ","",IF(CM30&lt;=0,0,INDEX(TABLAS!$D$52:$D$58,MATCH(CL30,TABLAS!$B$52:$B$58,0))*100/CM30))</f>
        <v/>
      </c>
      <c r="CO30" s="58" t="str">
        <f>IF(V30&lt;&gt;"SÍ","",((W30-AF30-INDEX(TABLAS!$C$52:$C$58,MATCH(BR30,TABLAS!$B$52:$B$58,0))-INDEX(TABLAS!$C$52:$C$58,MATCH(CL30,TABLAS!$B$52:$B$58,0))/2)-IF(AND((W30-AF30-INDEX(TABLAS!$C$52:$C$58,MATCH(BR30,TABLAS!$B$52:$B$58,0))-INDEX(TABLAS!$C$52:$C$58,MATCH(CL30,TABLAS!$B$52:$B$58,0))/2)&lt;=20,DATOS!$C$65&lt;&gt;"SÍ"),2,0)))</f>
        <v/>
      </c>
      <c r="CP30" s="56" t="str">
        <f>IF(V30&lt;&gt;"SÍ","",IF(CN30=0,0,DATOS!$C$29*CN30*DATOS!$C$14*(CO30-CN30*DATOS!$C$14/(DATOS!$C$21*100)/2)/1E5))</f>
        <v/>
      </c>
      <c r="CQ30" s="65" t="str">
        <f>IF(V30&lt;&gt;"SÍ","",IF(CK30&lt;0,9.99,IF(CP30&gt;0,BA30/CP30,0)))</f>
        <v/>
      </c>
      <c r="CR30" s="66" t="str">
        <f>IF(V30&lt;&gt;"SÍ","",IF(CN30=0,"—",0.003*(CO30-(CN30*DATOS!$C$14/(DATOS!$C$21*100)/DATOS!$C$22))/(CN30*DATOS!$C$14/(DATOS!$C$21*100)/DATOS!$C$22)))</f>
        <v/>
      </c>
      <c r="CS30" s="56" t="str">
        <f>IF(V30&lt;&gt;"SÍ","",IF(C30="PERIMETRAL",MAX(0,(AC30/2-BU30)/100)*(0.95-0.5*AB30)*AK30*IF(AND(AL30&gt;0,AL30&lt;4),DATOS!$C$33,1)/1000,(AK30*MAX(0,AC30-BU30)/100+DATOS!$C$26*N(P30))/1000))</f>
        <v/>
      </c>
      <c r="CT30" s="66" t="str">
        <f>IF(V30&lt;&gt;"SÍ","",BT30/(100*BU30))</f>
        <v/>
      </c>
      <c r="CU30" s="56" t="str">
        <f>IF(V30&lt;&gt;"SÍ","",DATOS!$C$30*2*MIN(1,SQRT(2/(1+0.04*BU30)))*CT30^(1/3)*SQRT(DATOS!$C$13)*100*BU30/1000)</f>
        <v/>
      </c>
      <c r="CV30" s="67" t="str">
        <f>IF(V30&lt;&gt;"SÍ","",IF(CS30&lt;=CU30,"CUMPLE","NO CUMPLE: sube h"))</f>
        <v/>
      </c>
      <c r="CW30" s="58" t="str">
        <f>IF(V30&lt;&gt;"SÍ","",IF(C30="PERIMETRAL",IF(ISNUMBER(R30),R30,DATOS!$C$104),0))</f>
        <v/>
      </c>
      <c r="CX30" s="57" t="str">
        <f>IF(V30&lt;&gt;"SÍ","",IF(C30="PERIMETRAL",IF(CW30&gt;2,MAX(9,AD30*(0.8+DATOS!$C$14/14000)/(36+9*(AD30/MAX(AC30,1)))),IF(CW30&gt;0.2,MAX(13,AD30*(0.8+DATOS!$C$14/14000)/(36+5*(AD30/MAX(AC30,1))*(CW30-0.2))),MAX(13,AD30/IF(AL30&gt;0,30,33))))*IF(AND(CW30&gt;0.2,AL30&gt;0,DATOS!$C$105="NO"),1.1,1),Z30*100/DATOS!$C$145*(0.4+DATOS!$C$14/7000)))</f>
        <v/>
      </c>
      <c r="CY30" s="61" t="str">
        <f>IF(V30&lt;&gt;"SÍ","",IF(W30&gt;=CX30-0.001,"CUMPLE",IF(C30="VOLADO","NO CUMPLE","CALCULAR FLECHA")))</f>
        <v/>
      </c>
      <c r="CZ30" s="60" t="str">
        <f>IF(V30&lt;&gt;"SÍ","",IF(C30="VOLADO",MIN(FLOOR(IF(ISNUMBER(Q30),Q30,Z30)*100-DATOS!$C$63,5),CEILING(MAX(IF((0.5*(0.9*W30/100*DATOS!$C$16)*IF(ISNUMBER(Q30),Q30,Z30)+AY30/IF(ISNUMBER(Q30),Q30,Z30))^2-4*(0.5*(0.9*W30/100*DATOS!$C$16))*AY30&lt;0,IF(ISNUMBER(Q30),Q30,Z30),MIN(IF(ISNUMBER(Q30),Q30,Z30),((0.5*(0.9*W30/100*DATOS!$C$16)*IF(ISNUMBER(Q30),Q30,Z30)+AY30/IF(ISNUMBER(Q30),Q30,Z30))-SQRT((0.5*(0.9*W30/100*DATOS!$C$16)*IF(ISNUMBER(Q30),Q30,Z30)+AY30/IF(ISNUMBER(Q30),Q30,Z30))^2-4*(0.5*(0.9*W30/100*DATOS!$C$16))*AY30))/(2*(0.5*(0.9*W30/100*DATOS!$C$16)))))*100+MAX(BU30,12*INDEX(TABLAS!$C$52:$C$58,MATCH(BR30,TABLAS!$B$52:$B$58,0)),IF(ISNUMBER(Q30),Q30,Z30)*100/16),IF(OR(AF30&lt;INDEX(TABLAS!$C$52:$C$58,MATCH(BR30,TABLAS!$B$52:$B$58,0)),BS30-INDEX(TABLAS!$C$52:$C$58,MATCH(BR30,TABLAS!$B$52:$B$58,0))&lt;2*INDEX(TABLAS!$C$52:$C$58,MATCH(BR30,TABLAS!$B$52:$B$58,0))),INDEX(TABLAS!$I$52:$I$58,MATCH(BR30,TABLAS!$B$52:$B$58,0)),INDEX(TABLAS!$F$52:$F$58,MATCH(BR30,TABLAS!$B$52:$B$58,0)))),5)),IF(((4*((AV30*AK30*Z30^2*1E-4/1000)+((MAX(AR30,AT30)*AK30*Z30^2*1E-4/1000)+(IF(AND(AR30&gt;0,AT30&gt;0),MIN(AR30,AT30),MAX(AR30,AT30))*AK30*Z30^2*1E-4/1000))/2)+AY30-(IF(AND(AR30&gt;0,AT30&gt;0),MIN(AR30,AT30),MAX(AR30,AT30))*AK30*Z30^2*1E-4/1000))^2-16*((AV30*AK30*Z30^2*1E-4/1000)+((MAX(AR30,AT30)*AK30*Z30^2*1E-4/1000)+(IF(AND(AR30&gt;0,AT30&gt;0),MIN(AR30,AT30),MAX(AR30,AT30))*AK30*Z30^2*1E-4/1000))/2)*AY30)&lt;0,CEILING(AC30,5),CEILING(MAX(AC30*((4*((AV30*AK30*Z30^2*1E-4/1000)+((MAX(AR30,AT30)*AK30*Z30^2*1E-4/1000)+(IF(AND(AR30&gt;0,AT30&gt;0),MIN(AR30,AT30),MAX(AR30,AT30))*AK30*Z30^2*1E-4/1000))/2)+AY30-(IF(AND(AR30&gt;0,AT30&gt;0),MIN(AR30,AT30),MAX(AR30,AT30))*AK30*Z30^2*1E-4/1000))-SQRT(MAX(0,((4*((AV30*AK30*Z30^2*1E-4/1000)+((MAX(AR30,AT30)*AK30*Z30^2*1E-4/1000)+(IF(AND(AR30&gt;0,AT30&gt;0),MIN(AR30,AT30),MAX(AR30,AT30))*AK30*Z30^2*1E-4/1000))/2)+AY30-(IF(AND(AR30&gt;0,AT30&gt;0),MIN(AR30,AT30),MAX(AR30,AT30))*AK30*Z30^2*1E-4/1000))^2-16*((AV30*AK30*Z30^2*1E-4/1000)+((MAX(AR30,AT30)*AK30*Z30^2*1E-4/1000)+(IF(AND(AR30&gt;0,AT30&gt;0),MIN(AR30,AT30),MAX(AR30,AT30))*AK30*Z30^2*1E-4/1000))/2)*AY30))))/(8*MAX(((AV30*AK30*Z30^2*1E-4/1000)+((MAX(AR30,AT30)*AK30*Z30^2*1E-4/1000)+(IF(AND(AR30&gt;0,AT30&gt;0),MIN(AR30,AT30),MAX(AR30,AT30))*AK30*Z30^2*1E-4/1000))/2),1E-9))+MAX(BU30,12*INDEX(TABLAS!$C$52:$C$58,MATCH(BR30,TABLAS!$B$52:$B$58,0)),AC30/16),IF(OR(AF30&lt;INDEX(TABLAS!$C$52:$C$58,MATCH(BR30,TABLAS!$B$52:$B$58,0)),BS30-INDEX(TABLAS!$C$52:$C$58,MATCH(BR30,TABLAS!$B$52:$B$58,0))&lt;2*INDEX(TABLAS!$C$52:$C$58,MATCH(BR30,TABLAS!$B$52:$B$58,0))),INDEX(TABLAS!$I$52:$I$58,MATCH(BR30,TABLAS!$B$52:$B$58,0)),INDEX(TABLAS!$F$52:$F$58,MATCH(BR30,TABLAS!$B$52:$B$58,0)))),5))))</f>
        <v/>
      </c>
      <c r="DA30" s="60" t="str">
        <f>IF(V30&lt;&gt;"SÍ","",IF(C30="VOLADO",0,IF(((4*((AW30*AK30*Z30^2*1E-4/1000)+((MAX(AS30,AU30)*AK30*Z30^2*1E-4/1000)+(IF(AND(AS30&gt;0,AU30&gt;0),MIN(AS30,AU30),MAX(AS30,AU30))*AK30*Z30^2*1E-4/1000))/2)+BA30-(IF(AND(AS30&gt;0,AU30&gt;0),MIN(AS30,AU30),MAX(AS30,AU30))*AK30*Z30^2*1E-4/1000))^2-16*((AW30*AK30*Z30^2*1E-4/1000)+((MAX(AS30,AU30)*AK30*Z30^2*1E-4/1000)+(IF(AND(AS30&gt;0,AU30&gt;0),MIN(AS30,AU30),MAX(AS30,AU30))*AK30*Z30^2*1E-4/1000))/2)*BA30)&lt;0,CEILING(AD30,5),CEILING(MAX(AD30*((4*((AW30*AK30*Z30^2*1E-4/1000)+((MAX(AS30,AU30)*AK30*Z30^2*1E-4/1000)+(IF(AND(AS30&gt;0,AU30&gt;0),MIN(AS30,AU30),MAX(AS30,AU30))*AK30*Z30^2*1E-4/1000))/2)+BA30-(IF(AND(AS30&gt;0,AU30&gt;0),MIN(AS30,AU30),MAX(AS30,AU30))*AK30*Z30^2*1E-4/1000))-SQRT(MAX(0,((4*((AW30*AK30*Z30^2*1E-4/1000)+((MAX(AS30,AU30)*AK30*Z30^2*1E-4/1000)+(IF(AND(AS30&gt;0,AU30&gt;0),MIN(AS30,AU30),MAX(AS30,AU30))*AK30*Z30^2*1E-4/1000))/2)+BA30-(IF(AND(AS30&gt;0,AU30&gt;0),MIN(AS30,AU30),MAX(AS30,AU30))*AK30*Z30^2*1E-4/1000))^2-16*((AW30*AK30*Z30^2*1E-4/1000)+((MAX(AS30,AU30)*AK30*Z30^2*1E-4/1000)+(IF(AND(AS30&gt;0,AU30&gt;0),MIN(AS30,AU30),MAX(AS30,AU30))*AK30*Z30^2*1E-4/1000))/2)*BA30))))/(8*MAX(((AW30*AK30*Z30^2*1E-4/1000)+((MAX(AS30,AU30)*AK30*Z30^2*1E-4/1000)+(IF(AND(AS30&gt;0,AU30&gt;0),MIN(AS30,AU30),MAX(AS30,AU30))*AK30*Z30^2*1E-4/1000))/2),1E-9))+MAX(CO30,12*INDEX(TABLAS!$C$52:$C$58,MATCH(CL30,TABLAS!$B$52:$B$58,0)),AD30/16),IF(OR(AF30&lt;INDEX(TABLAS!$C$52:$C$58,MATCH(CL30,TABLAS!$B$52:$B$58,0)),CM30-INDEX(TABLAS!$C$52:$C$58,MATCH(CL30,TABLAS!$B$52:$B$58,0))&lt;2*INDEX(TABLAS!$C$52:$C$58,MATCH(CL30,TABLAS!$B$52:$B$58,0))),INDEX(TABLAS!$I$52:$I$58,MATCH(CL30,TABLAS!$B$52:$B$58,0)),INDEX(TABLAS!$F$52:$F$58,MATCH(CL30,TABLAS!$B$52:$B$58,0)))),5))))</f>
        <v/>
      </c>
      <c r="DB30" s="55" t="str">
        <f>IF(V30&lt;&gt;"SÍ","",IF(AND(C30="PERIMETRAL",AL30-AM30&gt;0,AT30&gt;0),"SÍ","NO"))</f>
        <v/>
      </c>
      <c r="DC30" s="55" t="str">
        <f>IF(V30&lt;&gt;"SÍ","",IF(AND(C30="PERIMETRAL",AM30&gt;0,AU30&gt;0),"SÍ","NO"))</f>
        <v/>
      </c>
      <c r="DD30" s="63" t="str">
        <f>IF(V30&lt;&gt;"SÍ","",IF(OR(C30="VOLADO",AL30=0),"—",IF(AND(AND(INDEX(TABLAS!$G$52:$G$58,MATCH(MAX(BR30,CL30),TABLAS!$B$52:$B$58,0))&lt;=(DATOS!$C$75-DATOS!$C$63),(DATOS!$C$75-DATOS!$C$63)&gt;=15),8*INDEX(TABLAS!$C$52:$C$58,MATCH(MAX(BH30,CB30,BR30,CL30),TABLAS!$B$52:$B$58,0))&lt;=DATOS!$C$76-2*DATOS!$C$63),"CUMPLE (gancho de 180°)",IF(AND(INDEX(TABLAS!$G$52:$G$58,MATCH(MAX(BR30,CL30),TABLAS!$B$52:$B$58,0))&lt;=(DATOS!$C$75-DATOS!$C$63),(DATOS!$C$75-DATOS!$C$63)&gt;=15),"NO CUMPLE: el gancho de 180° (8·d_b) no cabe en el peralte de la dala de borde","NO CUMPLE: dala de borde ≥ "&amp;TEXT(CEILING(MAX(INDEX(TABLAS!$G$52:$G$58,MATCH(MAX(BR30,CL30),TABLAS!$B$52:$B$58,0)),15)+DATOS!$C$63,5),"0")&amp;" cm de ancho"&amp;IF(8*INDEX(TABLAS!$C$52:$C$58,MATCH(MAX(BH30,CB30,BR30,CL30),TABLAS!$B$52:$B$58,0))&lt;=DATOS!$C$76-2*DATOS!$C$63,""," y más peralte para el gancho")))))</f>
        <v/>
      </c>
      <c r="DE30" s="69" t="str">
        <f>IF(V30&lt;&gt;"SÍ","",IF(BI30=0,"NO ALCANZA","No. "&amp;BH30&amp;" @ "&amp;BI30&amp;" cm"&amp;IF(C30="VOLADO"," (temperatura)","")))</f>
        <v/>
      </c>
      <c r="DF30" s="69" t="str">
        <f>IF(V30&lt;&gt;"SÍ","",IF(BS30=0,"NO ALCANZA",IF(C30="VOLADO","No. "&amp;BR30&amp;" @ "&amp;BS30&amp;" cm"&amp;" de la orilla al respaldo ("&amp;IF(CZ30&gt;=FLOOR(100*IF(ISNUMBER(Q30),Q30,Z30)-DATOS!$C$63,5),"hasta su apoyo lejano, con gancho","entran "&amp;TEXT(CZ30/100,"0.00")&amp;" m desde el paño")&amp;")","Bastones "&amp;"No. "&amp;BR30&amp;" @ "&amp;BS30&amp;" cm"&amp;", L = "&amp;TEXT(CZ30/100,"0.00")&amp;" m desde el paño")))</f>
        <v/>
      </c>
      <c r="DG30" s="69" t="str">
        <f>IF(V30&lt;&gt;"SÍ","",IF(CC30=0,"NO ALCANZA","No. "&amp;CB30&amp;" @ "&amp;CC30&amp;" cm"&amp;IF(C30="VOLADO"," (repartición)","")))</f>
        <v/>
      </c>
      <c r="DH30" s="69" t="str">
        <f>IF(V30&lt;&gt;"SÍ","",IF(CM30=0,"NO ALCANZA",IF(C30="VOLADO","No. "&amp;CL30&amp;" @ "&amp;CM30&amp;" cm"&amp;" (repartición)","Bastones "&amp;"No. "&amp;CL30&amp;" @ "&amp;CM30&amp;" cm"&amp;", L = "&amp;TEXT(DA30/100,"0.00")&amp;" m desde el paño")))</f>
        <v/>
      </c>
      <c r="DI30" s="67" t="str">
        <f>IF(B30="","",IF(V30&lt;&gt;"SÍ","FALTAN DATOS: tipo, a_x, a_y, destino y, en volados, L_b",IF(L30="NO MONOLÍTICO (caso II)","FUERA DE ALCANCE: caso II no transcrito",IF(AND(C30="VOLADO",X30="?"),"REVISAR: el volado lleva UN solo borde CONTINUO (el empotrado)",IF(AND(MAX(BM30,BW30,CG30,CQ30)&lt;=1,NOT(OR(BI30&lt;DATOS!$C$143,BS30&lt;DATOS!$C$143,CC30&lt;DATOS!$C$143,CM30&lt;DATOS!$C$143)),NOT(OR(AND(ISNUMBER(BN30),BN30&lt;0.005),AND(ISNUMBER(BX30),BX30&lt;0.005),AND(ISNUMBER(CH30),CH30&lt;0.005),AND(ISNUMBER(CR30),CR30&lt;0.005))),CV30="CUMPLE",CY30="CUMPLE"),"CUMPLE"&amp;IF(LEFT(BB30,5)="FUERA"," · fuera de 3.4.2.1 c)","")&amp;IF(LEFT(DD30,2)="NO"," · REVISAR anclaje en borde discontinuo",""),IF(AND(MAX(BM30,BW30,CG30,CQ30)&lt;=1,NOT(OR(BI30&lt;DATOS!$C$143,BS30&lt;DATOS!$C$143,CC30&lt;DATOS!$C$143,CM30&lt;DATOS!$C$143)),NOT(OR(AND(ISNUMBER(BN30),BN30&lt;0.005),AND(ISNUMBER(BX30),BX30&lt;0.005),AND(ISNUMBER(CH30),CH30&lt;0.005),AND(ISNUMBER(CR30),CR30&lt;0.005))),CV30="CUMPLE",CY30="CALCULAR FLECHA"),"REVISAR: calcular flecha (h &lt; h mín.)"&amp;IF(LEFT(BB30,5)="FUERA"," · fuera de 3.4.2.1 c)","")&amp;IF(LEFT(DD30,2)="NO"," · REVISAR anclaje en borde discontinuo",""),"NO CUMPLE: "&amp;IF(MAX(BM30,BW30,CG30,CQ30)&gt;1,"flexión ","")&amp;IF(OR(BI30&lt;DATOS!$C$143,BS30&lt;DATOS!$C$143,CC30&lt;DATOS!$C$143,CM30&lt;DATOS!$C$143),"separación &lt; mínima ","")&amp;IF(OR(AND(ISNUMBER(BN30),BN30&lt;0.005),AND(ISNUMBER(BX30),BX30&lt;0.005),AND(ISNUMBER(CH30),CH30&lt;0.005),AND(ISNUMBER(CR30),CR30&lt;0.005)),"ε_t &lt; 0.005 ","")&amp;IF(CV30&lt;&gt;"CUMPLE","cortante ","")&amp;IF(CY30="NO CUMPLE","peralte","")))))))</f>
        <v/>
      </c>
      <c r="DJ30" s="70" t="str">
        <f>IF(V30&lt;&gt;"SÍ","",IF(LEFT(B30,7)="EJEMPLO","EJEMPLO de tablero típico: bórralo o sobrescríbelo. ","")&amp;IF(C30="VOLADO","Volado de "&amp;TEXT(Z30,"0.00")&amp;" m empotrado en el borde "&amp;LOWER(X30)&amp;IF(N(P30)&gt;0,", con "&amp;TEXT(P30,"0.0")&amp;" kg/m en la orilla","")&amp;". Lecho inferior con r_ext. Si la orilla carga pretil u otro elemento frágil, calcula la flecha (13.4). El acero superior entra al respaldo de "&amp;TEXT(IF(ISNUMBER(Q30),Q30,Z30),"0.00")&amp;" m"&amp;" hasta pasar M = 0 con 0.9·PP sin carga viva; si ahí no se anula, llega al apoyo lejano y se ancla con gancho. ","")&amp;IF(AND(C30="VOLADO",(0.9*W30/100*DATOS!$C$16*IF(ISNUMBER(Q30),Q30,Z30)/2-AY30/IF(ISNUMBER(Q30),Q30,Z30))&lt;0),"Con 0.9·PP y sin carga viva el apoyo lejano del respaldo levanta (R = "&amp;TEXT(-(0.9*W30/100*DATOS!$C$16*IF(ISNUMBER(Q30),Q30,Z30)/2-AY30/IF(ISNUMBER(Q30),Q30,Z30)),"0.00")&amp;" t/m): ancla ahí el acero con gancho y revisa ese apoyo a tensión. ","")&amp;IF(LEFT(BB30,5)="FUERA","El M⁻ del vecino difiere más de 50 % (3.4.2.1 c): distribuye el desequilibrio (3.4.3.1) o confirma con un modelo; se arma con el mayor. ","")&amp;IF(OR(DB30="SÍ",DC30="SÍ"),"Bastones también en los bordes discontinuos (M⁻ de tabla), con gancho. ","")&amp;IF(LEFT(DD30,2)="NO","Anclaje: "&amp;DD30&amp;" (6.7.7.4.1.1). ","")&amp;IF(AND(C30="PERIMETRAL",AM30&gt;=1,AL30-AM30&gt;=1),"Esquinas exteriores sobre muro: refuerzo de esquina arriba y abajo en L_largo/5 (6.7.7.3.1). ",""))</f>
        <v/>
      </c>
    </row>
    <row r="31" ht="33" customHeight="1">
      <c r="A31" s="50">
        <f>IF(B31="",0,1)+A30</f>
        <v>3</v>
      </c>
      <c r="B31" s="29" t="n"/>
      <c r="C31" s="51" t="n"/>
      <c r="D31" s="29" t="n"/>
      <c r="E31" s="52" t="n"/>
      <c r="F31" s="52" t="n"/>
      <c r="G31" s="51" t="n"/>
      <c r="H31" s="51" t="n"/>
      <c r="I31" s="51" t="n"/>
      <c r="J31" s="51" t="n"/>
      <c r="K31" s="51" t="n"/>
      <c r="L31" s="51" t="n"/>
      <c r="M31" s="54" t="n"/>
      <c r="N31" s="53" t="n"/>
      <c r="O31" s="53" t="n"/>
      <c r="P31" s="54" t="n"/>
      <c r="Q31" s="52" t="n"/>
      <c r="R31" s="54" t="n"/>
      <c r="S31" s="53" t="n"/>
      <c r="T31" s="52" t="n"/>
      <c r="U31" s="52" t="n"/>
      <c r="V31" s="55" t="str">
        <f>IF(B31="","",IF(AND(OR(C31="PERIMETRAL",C31="VOLADO"),ISNUMBER(E31),ISNUMBER(F31),E31&gt;0,F31&gt;0,OR(ISNUMBER(O31),ISNUMBER(MATCH(D31,DATOS!$B$46:$B$58,0))),OR(C31&lt;&gt;"VOLADO",N(Q31)&gt;0)),"SÍ","NO"))</f>
        <v/>
      </c>
      <c r="W31" s="57" t="str">
        <f>IF(V31&lt;&gt;"SÍ","",IF(ISNUMBER(M31),M31,DATOS!$C$137))</f>
        <v/>
      </c>
      <c r="X31" s="55" t="str">
        <f>IF(V31&lt;&gt;"SÍ","",IF(C31&lt;&gt;"VOLADO","—",IF(COUNTIF(G31:J31,"CONTINUO")&lt;&gt;1,"?",IF(G31="CONTINUO","INFERIOR",IF(H31="CONTINUO","SUPERIOR",IF(I31="CONTINUO","IZQUIERDO","DERECHO"))))))</f>
        <v/>
      </c>
      <c r="Y31" s="55" t="str">
        <f>IF(V31&lt;&gt;"SÍ","",IF(C31="VOLADO",IF(OR(X31="IZQUIERDO",X31="DERECHO"),"X","Y"),IF(E31&lt;=F31,"X","Y")))</f>
        <v/>
      </c>
      <c r="Z31" s="56" t="str">
        <f>IF(V31&lt;&gt;"SÍ","",IF(C31="VOLADO",IF(Y31="X",E31,F31),MIN(E31,F31)))</f>
        <v/>
      </c>
      <c r="AA31" s="56" t="str">
        <f>IF(V31&lt;&gt;"SÍ","",IF(C31="VOLADO",IF(Y31="X",F31,E31),MAX(E31,F31)))</f>
        <v/>
      </c>
      <c r="AB31" s="56" t="str">
        <f>IF(V31&lt;&gt;"SÍ","",MIN(Z31,AA31)/MAX(Z31,AA31))</f>
        <v/>
      </c>
      <c r="AC31" s="57" t="str">
        <f>IF(V31&lt;&gt;"SÍ","",MAX(1,Z31*100-IF(C31="VOLADO",DATOS!$C$87/2,DATOS!$C$87)))</f>
        <v/>
      </c>
      <c r="AD31" s="57" t="str">
        <f>IF(V31&lt;&gt;"SÍ","",MAX(1,AA31*100-DATOS!$C$87))</f>
        <v/>
      </c>
      <c r="AE31" s="57" t="str">
        <f>IF(V31&lt;&gt;"SÍ","",IF(C31="VOLADO",DATOS!$C$64,DATOS!$C$62))</f>
        <v/>
      </c>
      <c r="AF31" s="57" t="str">
        <f>IF(V31&lt;&gt;"SÍ","",IF(OR(AND(AG31="SÍ",DATOS!$C$66="SÍ"),AND(C31="VOLADO",DATOS!$C$67="SÍ")),DATOS!$C$64,DATOS!$C$62))</f>
        <v/>
      </c>
      <c r="AG31" s="55" t="str">
        <f>IF(V31&lt;&gt;"SÍ","",IFERROR(INDEX(DATOS!$D$46:$D$58,MATCH(D31,DATOS!$B$46:$B$58,0)),"NO"))</f>
        <v/>
      </c>
      <c r="AH31" s="59" t="str">
        <f>IF(V31&lt;&gt;"SÍ","",IF(ISNUMBER(O31),O31,IFERROR(INDEX(DATOS!$C$46:$C$58,MATCH(D31,DATOS!$B$46:$B$58,0)),0)))</f>
        <v/>
      </c>
      <c r="AI31" s="59" t="str">
        <f>IF(V31&lt;&gt;"SÍ","",W31/100*DATOS!$C$16*1000+DATOS!$C$37+DATOS!$C$38)</f>
        <v/>
      </c>
      <c r="AJ31" s="59" t="str">
        <f>IF(V31&lt;&gt;"SÍ","",AI31+N(N31))</f>
        <v/>
      </c>
      <c r="AK31" s="60" t="str">
        <f>IF(V31&lt;&gt;"SÍ","",MAX(DATOS!$C$26*AJ31+DATOS!$C$27*AH31,IF(AG31="SÍ",DATOS!$C$28*(AJ31+DATOS!$C$41),0)))</f>
        <v/>
      </c>
      <c r="AL31" s="59" t="str">
        <f>IF(V31&lt;&gt;"SÍ","",(G31="DISCONTINUO")+(H31="DISCONTINUO")+(I31="DISCONTINUO")+(J31="DISCONTINUO"))</f>
        <v/>
      </c>
      <c r="AM31" s="59" t="str">
        <f>IF(V31&lt;&gt;"SÍ","",IF(Y31="X",(G31="DISCONTINUO")+(H31="DISCONTINUO"),(I31="DISCONTINUO")+(J31="DISCONTINUO")))</f>
        <v/>
      </c>
      <c r="AN31" s="55" t="str">
        <f>IF(V31&lt;&gt;"SÍ","",IF(AL31=0,"INTERIOR",IF(AL31=1,IF(AM31=1,"BORDE-CORTO","BORDE-LARGO"),IF(AL31=2,IF(AM31=1,"ESQUINA",IF(AM31=2,"EXTREMO-LARGO","EXTREMO-CORTO")),IF(AL31=3,IF(AM31=2,"EXTREMO-LARGO","EXTREMO-CORTO"),"AISLADO")))))</f>
        <v/>
      </c>
      <c r="AO31" s="61" t="str">
        <f>IF(V31&lt;&gt;"SÍ","",IF(OR(K31="",K31="AUTO"),AN31,K31))</f>
        <v/>
      </c>
      <c r="AP31" s="59" t="str">
        <f>IF(V31&lt;&gt;"SÍ","",MATCH(AB31,TABLAS!$D$5:$J$5,1))</f>
        <v/>
      </c>
      <c r="AQ31" s="58" t="str">
        <f>IF(V31&lt;&gt;"SÍ","",IF(AP31&gt;=7,0,(AB31-INDEX(TABLAS!$D$5:$J$5,AP31))/(INDEX(TABLAS!$D$5:$J$5,AP31+1)-INDEX(TABLAS!$D$5:$J$5,AP31))))</f>
        <v/>
      </c>
      <c r="AR31" s="59" t="str">
        <f>IF(V31&lt;&gt;"SÍ","",INDEX(TABLAS!$D$6:$J$47,MATCH(AO31&amp;"|NIC",TABLAS!$B$6:$B$47,0),AP31)+AQ31*(INDEX(TABLAS!$D$6:$J$47,MATCH(AO31&amp;"|NIC",TABLAS!$B$6:$B$47,0),MIN(AP31+1,7))-INDEX(TABLAS!$D$6:$J$47,MATCH(AO31&amp;"|NIC",TABLAS!$B$6:$B$47,0),AP31)))</f>
        <v/>
      </c>
      <c r="AS31" s="59" t="str">
        <f>IF(V31&lt;&gt;"SÍ","",INDEX(TABLAS!$D$6:$J$47,MATCH(AO31&amp;"|NIL",TABLAS!$B$6:$B$47,0),AP31)+AQ31*(INDEX(TABLAS!$D$6:$J$47,MATCH(AO31&amp;"|NIL",TABLAS!$B$6:$B$47,0),MIN(AP31+1,7))-INDEX(TABLAS!$D$6:$J$47,MATCH(AO31&amp;"|NIL",TABLAS!$B$6:$B$47,0),AP31)))</f>
        <v/>
      </c>
      <c r="AT31" s="59" t="str">
        <f>IF(V31&lt;&gt;"SÍ","",INDEX(TABLAS!$D$6:$J$47,MATCH(AO31&amp;"|NDC",TABLAS!$B$6:$B$47,0),AP31)+AQ31*(INDEX(TABLAS!$D$6:$J$47,MATCH(AO31&amp;"|NDC",TABLAS!$B$6:$B$47,0),MIN(AP31+1,7))-INDEX(TABLAS!$D$6:$J$47,MATCH(AO31&amp;"|NDC",TABLAS!$B$6:$B$47,0),AP31)))</f>
        <v/>
      </c>
      <c r="AU31" s="59" t="str">
        <f>IF(V31&lt;&gt;"SÍ","",INDEX(TABLAS!$D$6:$J$47,MATCH(AO31&amp;"|NDL",TABLAS!$B$6:$B$47,0),AP31)+AQ31*(INDEX(TABLAS!$D$6:$J$47,MATCH(AO31&amp;"|NDL",TABLAS!$B$6:$B$47,0),MIN(AP31+1,7))-INDEX(TABLAS!$D$6:$J$47,MATCH(AO31&amp;"|NDL",TABLAS!$B$6:$B$47,0),AP31)))</f>
        <v/>
      </c>
      <c r="AV31" s="59" t="str">
        <f>IF(V31&lt;&gt;"SÍ","",INDEX(TABLAS!$D$6:$J$47,MATCH(AO31&amp;"|PC",TABLAS!$B$6:$B$47,0),AP31)+AQ31*(INDEX(TABLAS!$D$6:$J$47,MATCH(AO31&amp;"|PC",TABLAS!$B$6:$B$47,0),MIN(AP31+1,7))-INDEX(TABLAS!$D$6:$J$47,MATCH(AO31&amp;"|PC",TABLAS!$B$6:$B$47,0),AP31)))</f>
        <v/>
      </c>
      <c r="AW31" s="59" t="str">
        <f>IF(V31&lt;&gt;"SÍ","",INDEX(TABLAS!$D$6:$J$47,MATCH(AO31&amp;"|PL",TABLAS!$B$6:$B$47,0),AP31)+AQ31*(INDEX(TABLAS!$D$6:$J$47,MATCH(AO31&amp;"|PL",TABLAS!$B$6:$B$47,0),MIN(AP31+1,7))-INDEX(TABLAS!$D$6:$J$47,MATCH(AO31&amp;"|PL",TABLAS!$B$6:$B$47,0),AP31)))</f>
        <v/>
      </c>
      <c r="AX31" s="56" t="str">
        <f>IF(V31&lt;&gt;"SÍ","",IF(C31="PERIMETRAL",AV31*AK31*Z31^2*1E-4/1000,0))</f>
        <v/>
      </c>
      <c r="AY31" s="62" t="str">
        <f>IF(V31&lt;&gt;"SÍ","",IF(C31="PERIMETRAL",MAX(MAX(AR31,AT31)*AK31*Z31^2*1E-4/1000,N(T31)),(AK31*(AC31/100)^2/2+DATOS!$C$26*N(P31)*AC31/100)/1000))</f>
        <v/>
      </c>
      <c r="AZ31" s="56" t="str">
        <f>IF(V31&lt;&gt;"SÍ","",IF(C31="PERIMETRAL",AW31*AK31*Z31^2*1E-4/1000,0))</f>
        <v/>
      </c>
      <c r="BA31" s="56" t="str">
        <f>IF(V31&lt;&gt;"SÍ","",IF(C31="PERIMETRAL",MAX(MAX(AS31,AU31)*AK31*Z31^2*1E-4/1000,N(U31)),0))</f>
        <v/>
      </c>
      <c r="BB31" s="63" t="str">
        <f>IF(V31&lt;&gt;"SÍ","",IF(C31&lt;&gt;"PERIMETRAL","—",IF(AND(N(T31)=0,N(U31)=0),"— (sin M⁻ del vecino)",IF(OR(AND(N(T31)&gt;0,ABS(MAX(AR31,AT31)*AK31*Z31^2*1E-4/1000-N(T31))&gt;0.5*MIN(MAX(AR31,AT31)*AK31*Z31^2*1E-4/1000,N(T31))),AND(N(U31)&gt;0,ABS(MAX(AS31,AU31)*AK31*Z31^2*1E-4/1000-N(U31))&gt;0.5*MIN(MAX(AS31,AU31)*AK31*Z31^2*1E-4/1000,N(U31)))),"FUERA: difieren &gt; 50 %"&amp;IF(AND(N(T31)&gt;0,ABS(MAX(AR31,AT31)*AK31*Z31^2*1E-4/1000-N(T31))&gt;0.5*MIN(MAX(AR31,AT31)*AK31*Z31^2*1E-4/1000,N(T31)))," ‖ corto","")&amp;IF(AND(N(U31)&gt;0,ABS(MAX(AS31,AU31)*AK31*Z31^2*1E-4/1000-N(U31))&gt;0.5*MIN(MAX(AS31,AU31)*AK31*Z31^2*1E-4/1000,N(U31)))," ‖ largo",""),"CUMPLE"))))</f>
        <v/>
      </c>
      <c r="BC31" s="58" t="str">
        <f>IF(V31&lt;&gt;"SÍ","",DATOS!$C$139*100*W31)</f>
        <v/>
      </c>
      <c r="BD31" s="57" t="str">
        <f>IF(V31&lt;&gt;"SÍ","",MIN(IF(C31="VOLADO",DATOS!$C$141,DATOS!$C$140)*W31,DATOS!$C$142))</f>
        <v/>
      </c>
      <c r="BE31" s="58" t="str">
        <f>IF(V31&lt;&gt;"SÍ","",(W31-AE31-INDEX(TABLAS!$C$52:$C$58,MATCH(IF(ISNUMBER(S31),S31,DATOS!$C$138),TABLAS!$B$52:$B$58,0))/2))</f>
        <v/>
      </c>
      <c r="BF31" s="58" t="str">
        <f>IF(V31&lt;&gt;"SÍ","",IF(AX31&lt;=0,0,IF((1-2*AX31*1E5/(DATOS!$C$29*100*BE31^2*DATOS!$C$21))&lt;0,-1,IF((1-SQRT((1-2*AX31*1E5/(DATOS!$C$29*100*BE31^2*DATOS!$C$21))))*DATOS!$C$21*100*BE31/DATOS!$C$14&gt;DATOS!$C$102*100*BE31,-1,(1-SQRT((1-2*AX31*1E5/(DATOS!$C$29*100*BE31^2*DATOS!$C$21))))*DATOS!$C$21*100*BE31/DATOS!$C$14))))</f>
        <v/>
      </c>
      <c r="BG31" s="58" t="str">
        <f>IF(V31&lt;&gt;"SÍ","",IF(BF31&lt;0,-1,MAX(BF31,BC31)))</f>
        <v/>
      </c>
      <c r="BH31" s="64" t="str">
        <f>IF(V31&lt;&gt;"SÍ","",IF(AND(BG31&gt;0,FLOOR(MIN(BD31,100*INDEX(TABLAS!$D$52:$D$58,MIN(MATCH(IF(ISNUMBER(S31),S31,DATOS!$C$138),TABLAS!$B$52:$B$58,0)+0,7))/MAX(BG31,0.0001)),DATOS!$C$144)&gt;=DATOS!$C$143),INDEX(TABLAS!$B$52:$B$58,MIN(MATCH(IF(ISNUMBER(S31),S31,DATOS!$C$138),TABLAS!$B$52:$B$58,0)+0,7)),IF(AND(BG31&gt;0,FLOOR(MIN(BD31,100*INDEX(TABLAS!$D$52:$D$58,MIN(MATCH(IF(ISNUMBER(S31),S31,DATOS!$C$138),TABLAS!$B$52:$B$58,0)+1,7))/MAX(BG31,0.0001)),DATOS!$C$144)&gt;=DATOS!$C$143),INDEX(TABLAS!$B$52:$B$58,MIN(MATCH(IF(ISNUMBER(S31),S31,DATOS!$C$138),TABLAS!$B$52:$B$58,0)+1,7)),IF(AND(BG31&gt;0,FLOOR(MIN(BD31,100*INDEX(TABLAS!$D$52:$D$58,MIN(MATCH(IF(ISNUMBER(S31),S31,DATOS!$C$138),TABLAS!$B$52:$B$58,0)+2,7))/MAX(BG31,0.0001)),DATOS!$C$144)&gt;=DATOS!$C$143),INDEX(TABLAS!$B$52:$B$58,MIN(MATCH(IF(ISNUMBER(S31),S31,DATOS!$C$138),TABLAS!$B$52:$B$58,0)+2,7)),IF(AND(BG31&gt;0,FLOOR(MIN(BD31,100*INDEX(TABLAS!$D$52:$D$58,MIN(MATCH(IF(ISNUMBER(S31),S31,DATOS!$C$138),TABLAS!$B$52:$B$58,0)+3,7))/MAX(BG31,0.0001)),DATOS!$C$144)&gt;=DATOS!$C$143),INDEX(TABLAS!$B$52:$B$58,MIN(MATCH(IF(ISNUMBER(S31),S31,DATOS!$C$138),TABLAS!$B$52:$B$58,0)+3,7)),IF(AND(BG31&gt;0,FLOOR(MIN(BD31,100*INDEX(TABLAS!$D$52:$D$58,MIN(MATCH(IF(ISNUMBER(S31),S31,DATOS!$C$138),TABLAS!$B$52:$B$58,0)+4,7))/MAX(BG31,0.0001)),DATOS!$C$144)&gt;=DATOS!$C$143),INDEX(TABLAS!$B$52:$B$58,MIN(MATCH(IF(ISNUMBER(S31),S31,DATOS!$C$138),TABLAS!$B$52:$B$58,0)+4,7)),INDEX(TABLAS!$B$52:$B$58,7)))))))</f>
        <v/>
      </c>
      <c r="BI31" s="71" t="str">
        <f>IF(V31&lt;&gt;"SÍ","",IF(BG31&lt;=0,0,FLOOR(MIN(BD31,100*INDEX(TABLAS!$D$52:$D$58,MATCH(BH31,TABLAS!$B$52:$B$58,0))/BG31),DATOS!$C$144)))</f>
        <v/>
      </c>
      <c r="BJ31" s="58" t="str">
        <f>IF(V31&lt;&gt;"SÍ","",IF(BI31&lt;=0,0,INDEX(TABLAS!$D$52:$D$58,MATCH(BH31,TABLAS!$B$52:$B$58,0))*100/BI31))</f>
        <v/>
      </c>
      <c r="BK31" s="58" t="str">
        <f>IF(V31&lt;&gt;"SÍ","",W31-AE31-INDEX(TABLAS!$C$52:$C$58,MATCH(BH31,TABLAS!$B$52:$B$58,0))/2)</f>
        <v/>
      </c>
      <c r="BL31" s="56" t="str">
        <f>IF(V31&lt;&gt;"SÍ","",IF(BJ31=0,0,DATOS!$C$29*BJ31*DATOS!$C$14*(BK31-BJ31*DATOS!$C$14/(DATOS!$C$21*100)/2)/1E5))</f>
        <v/>
      </c>
      <c r="BM31" s="65" t="str">
        <f>IF(V31&lt;&gt;"SÍ","",IF(BG31&lt;0,9.99,IF(BL31&gt;0,AX31/BL31,0)))</f>
        <v/>
      </c>
      <c r="BN31" s="66" t="str">
        <f>IF(V31&lt;&gt;"SÍ","",IF(BJ31=0,"—",0.003*(BK31-(BJ31*DATOS!$C$14/(DATOS!$C$21*100)/DATOS!$C$22))/(BJ31*DATOS!$C$14/(DATOS!$C$21*100)/DATOS!$C$22)))</f>
        <v/>
      </c>
      <c r="BO31" s="58" t="str">
        <f>IF(V31&lt;&gt;"SÍ","",((W31-AF31-INDEX(TABLAS!$C$52:$C$58,MATCH(IF(ISNUMBER(S31),S31,DATOS!$C$138),TABLAS!$B$52:$B$58,0))/2)-IF(AND((W31-AF31-INDEX(TABLAS!$C$52:$C$58,MATCH(IF(ISNUMBER(S31),S31,DATOS!$C$138),TABLAS!$B$52:$B$58,0))/2)&lt;=20,DATOS!$C$65&lt;&gt;"SÍ"),2,0)))</f>
        <v/>
      </c>
      <c r="BP31" s="58" t="str">
        <f>IF(V31&lt;&gt;"SÍ","",IF(AY31&lt;=0,0,IF((1-2*AY31*1E5/(DATOS!$C$29*100*BO31^2*DATOS!$C$21))&lt;0,-1,IF((1-SQRT((1-2*AY31*1E5/(DATOS!$C$29*100*BO31^2*DATOS!$C$21))))*DATOS!$C$21*100*BO31/DATOS!$C$14&gt;DATOS!$C$102*100*BO31,-1,(1-SQRT((1-2*AY31*1E5/(DATOS!$C$29*100*BO31^2*DATOS!$C$21))))*DATOS!$C$21*100*BO31/DATOS!$C$14))))</f>
        <v/>
      </c>
      <c r="BQ31" s="58" t="str">
        <f>IF(V31&lt;&gt;"SÍ","",IF(BP31&lt;0,-1,MAX(BP31,BC31)))</f>
        <v/>
      </c>
      <c r="BR31" s="64" t="str">
        <f>IF(V31&lt;&gt;"SÍ","",IF(AND(BQ31&gt;0,FLOOR(MIN(BD31,100*INDEX(TABLAS!$D$52:$D$58,MIN(MATCH(IF(ISNUMBER(S31),S31,DATOS!$C$138),TABLAS!$B$52:$B$58,0)+0,7))/MAX(BQ31,0.0001)),DATOS!$C$144)&gt;=DATOS!$C$143),INDEX(TABLAS!$B$52:$B$58,MIN(MATCH(IF(ISNUMBER(S31),S31,DATOS!$C$138),TABLAS!$B$52:$B$58,0)+0,7)),IF(AND(BQ31&gt;0,FLOOR(MIN(BD31,100*INDEX(TABLAS!$D$52:$D$58,MIN(MATCH(IF(ISNUMBER(S31),S31,DATOS!$C$138),TABLAS!$B$52:$B$58,0)+1,7))/MAX(BQ31,0.0001)),DATOS!$C$144)&gt;=DATOS!$C$143),INDEX(TABLAS!$B$52:$B$58,MIN(MATCH(IF(ISNUMBER(S31),S31,DATOS!$C$138),TABLAS!$B$52:$B$58,0)+1,7)),IF(AND(BQ31&gt;0,FLOOR(MIN(BD31,100*INDEX(TABLAS!$D$52:$D$58,MIN(MATCH(IF(ISNUMBER(S31),S31,DATOS!$C$138),TABLAS!$B$52:$B$58,0)+2,7))/MAX(BQ31,0.0001)),DATOS!$C$144)&gt;=DATOS!$C$143),INDEX(TABLAS!$B$52:$B$58,MIN(MATCH(IF(ISNUMBER(S31),S31,DATOS!$C$138),TABLAS!$B$52:$B$58,0)+2,7)),IF(AND(BQ31&gt;0,FLOOR(MIN(BD31,100*INDEX(TABLAS!$D$52:$D$58,MIN(MATCH(IF(ISNUMBER(S31),S31,DATOS!$C$138),TABLAS!$B$52:$B$58,0)+3,7))/MAX(BQ31,0.0001)),DATOS!$C$144)&gt;=DATOS!$C$143),INDEX(TABLAS!$B$52:$B$58,MIN(MATCH(IF(ISNUMBER(S31),S31,DATOS!$C$138),TABLAS!$B$52:$B$58,0)+3,7)),IF(AND(BQ31&gt;0,FLOOR(MIN(BD31,100*INDEX(TABLAS!$D$52:$D$58,MIN(MATCH(IF(ISNUMBER(S31),S31,DATOS!$C$138),TABLAS!$B$52:$B$58,0)+4,7))/MAX(BQ31,0.0001)),DATOS!$C$144)&gt;=DATOS!$C$143),INDEX(TABLAS!$B$52:$B$58,MIN(MATCH(IF(ISNUMBER(S31),S31,DATOS!$C$138),TABLAS!$B$52:$B$58,0)+4,7)),INDEX(TABLAS!$B$52:$B$58,7)))))))</f>
        <v/>
      </c>
      <c r="BS31" s="71" t="str">
        <f>IF(V31&lt;&gt;"SÍ","",IF(BQ31&lt;=0,0,FLOOR(MIN(BD31,100*INDEX(TABLAS!$D$52:$D$58,MATCH(BR31,TABLAS!$B$52:$B$58,0))/BQ31),DATOS!$C$144)))</f>
        <v/>
      </c>
      <c r="BT31" s="58" t="str">
        <f>IF(V31&lt;&gt;"SÍ","",IF(BS31&lt;=0,0,INDEX(TABLAS!$D$52:$D$58,MATCH(BR31,TABLAS!$B$52:$B$58,0))*100/BS31))</f>
        <v/>
      </c>
      <c r="BU31" s="58" t="str">
        <f>IF(V31&lt;&gt;"SÍ","",((W31-AF31-INDEX(TABLAS!$C$52:$C$58,MATCH(BR31,TABLAS!$B$52:$B$58,0))/2)-IF(AND((W31-AF31-INDEX(TABLAS!$C$52:$C$58,MATCH(BR31,TABLAS!$B$52:$B$58,0))/2)&lt;=20,DATOS!$C$65&lt;&gt;"SÍ"),2,0)))</f>
        <v/>
      </c>
      <c r="BV31" s="56" t="str">
        <f>IF(V31&lt;&gt;"SÍ","",IF(BT31=0,0,DATOS!$C$29*BT31*DATOS!$C$14*(BU31-BT31*DATOS!$C$14/(DATOS!$C$21*100)/2)/1E5))</f>
        <v/>
      </c>
      <c r="BW31" s="65" t="str">
        <f>IF(V31&lt;&gt;"SÍ","",IF(BQ31&lt;0,9.99,IF(BV31&gt;0,AY31/BV31,0)))</f>
        <v/>
      </c>
      <c r="BX31" s="66" t="str">
        <f>IF(V31&lt;&gt;"SÍ","",IF(BT31=0,"—",0.003*(BU31-(BT31*DATOS!$C$14/(DATOS!$C$21*100)/DATOS!$C$22))/(BT31*DATOS!$C$14/(DATOS!$C$21*100)/DATOS!$C$22)))</f>
        <v/>
      </c>
      <c r="BY31" s="58" t="str">
        <f>IF(V31&lt;&gt;"SÍ","",(W31-AE31-1.5*INDEX(TABLAS!$C$52:$C$58,MATCH(IF(ISNUMBER(S31),S31,DATOS!$C$138),TABLAS!$B$52:$B$58,0))))</f>
        <v/>
      </c>
      <c r="BZ31" s="58" t="str">
        <f>IF(V31&lt;&gt;"SÍ","",IF(AZ31&lt;=0,0,IF((1-2*AZ31*1E5/(DATOS!$C$29*100*BY31^2*DATOS!$C$21))&lt;0,-1,IF((1-SQRT((1-2*AZ31*1E5/(DATOS!$C$29*100*BY31^2*DATOS!$C$21))))*DATOS!$C$21*100*BY31/DATOS!$C$14&gt;DATOS!$C$102*100*BY31,-1,(1-SQRT((1-2*AZ31*1E5/(DATOS!$C$29*100*BY31^2*DATOS!$C$21))))*DATOS!$C$21*100*BY31/DATOS!$C$14))))</f>
        <v/>
      </c>
      <c r="CA31" s="58" t="str">
        <f>IF(V31&lt;&gt;"SÍ","",IF(BZ31&lt;0,-1,MAX(BZ31,BC31)))</f>
        <v/>
      </c>
      <c r="CB31" s="64" t="str">
        <f>IF(V31&lt;&gt;"SÍ","",IF(AND(CA31&gt;0,FLOOR(MIN(BD31,100*INDEX(TABLAS!$D$52:$D$58,MIN(MATCH(IF(ISNUMBER(S31),S31,DATOS!$C$138),TABLAS!$B$52:$B$58,0)+0,7))/MAX(CA31,0.0001)),DATOS!$C$144)&gt;=DATOS!$C$143),INDEX(TABLAS!$B$52:$B$58,MIN(MATCH(IF(ISNUMBER(S31),S31,DATOS!$C$138),TABLAS!$B$52:$B$58,0)+0,7)),IF(AND(CA31&gt;0,FLOOR(MIN(BD31,100*INDEX(TABLAS!$D$52:$D$58,MIN(MATCH(IF(ISNUMBER(S31),S31,DATOS!$C$138),TABLAS!$B$52:$B$58,0)+1,7))/MAX(CA31,0.0001)),DATOS!$C$144)&gt;=DATOS!$C$143),INDEX(TABLAS!$B$52:$B$58,MIN(MATCH(IF(ISNUMBER(S31),S31,DATOS!$C$138),TABLAS!$B$52:$B$58,0)+1,7)),IF(AND(CA31&gt;0,FLOOR(MIN(BD31,100*INDEX(TABLAS!$D$52:$D$58,MIN(MATCH(IF(ISNUMBER(S31),S31,DATOS!$C$138),TABLAS!$B$52:$B$58,0)+2,7))/MAX(CA31,0.0001)),DATOS!$C$144)&gt;=DATOS!$C$143),INDEX(TABLAS!$B$52:$B$58,MIN(MATCH(IF(ISNUMBER(S31),S31,DATOS!$C$138),TABLAS!$B$52:$B$58,0)+2,7)),IF(AND(CA31&gt;0,FLOOR(MIN(BD31,100*INDEX(TABLAS!$D$52:$D$58,MIN(MATCH(IF(ISNUMBER(S31),S31,DATOS!$C$138),TABLAS!$B$52:$B$58,0)+3,7))/MAX(CA31,0.0001)),DATOS!$C$144)&gt;=DATOS!$C$143),INDEX(TABLAS!$B$52:$B$58,MIN(MATCH(IF(ISNUMBER(S31),S31,DATOS!$C$138),TABLAS!$B$52:$B$58,0)+3,7)),IF(AND(CA31&gt;0,FLOOR(MIN(BD31,100*INDEX(TABLAS!$D$52:$D$58,MIN(MATCH(IF(ISNUMBER(S31),S31,DATOS!$C$138),TABLAS!$B$52:$B$58,0)+4,7))/MAX(CA31,0.0001)),DATOS!$C$144)&gt;=DATOS!$C$143),INDEX(TABLAS!$B$52:$B$58,MIN(MATCH(IF(ISNUMBER(S31),S31,DATOS!$C$138),TABLAS!$B$52:$B$58,0)+4,7)),INDEX(TABLAS!$B$52:$B$58,7)))))))</f>
        <v/>
      </c>
      <c r="CC31" s="71" t="str">
        <f>IF(V31&lt;&gt;"SÍ","",IF(CA31&lt;=0,0,FLOOR(MIN(BD31,100*INDEX(TABLAS!$D$52:$D$58,MATCH(CB31,TABLAS!$B$52:$B$58,0))/CA31),DATOS!$C$144)))</f>
        <v/>
      </c>
      <c r="CD31" s="58" t="str">
        <f>IF(V31&lt;&gt;"SÍ","",IF(CC31&lt;=0,0,INDEX(TABLAS!$D$52:$D$58,MATCH(CB31,TABLAS!$B$52:$B$58,0))*100/CC31))</f>
        <v/>
      </c>
      <c r="CE31" s="58" t="str">
        <f>IF(V31&lt;&gt;"SÍ","",W31-AE31-INDEX(TABLAS!$C$52:$C$58,MATCH(BH31,TABLAS!$B$52:$B$58,0))-INDEX(TABLAS!$C$52:$C$58,MATCH(CB31,TABLAS!$B$52:$B$58,0))/2)</f>
        <v/>
      </c>
      <c r="CF31" s="56" t="str">
        <f>IF(V31&lt;&gt;"SÍ","",IF(CD31=0,0,DATOS!$C$29*CD31*DATOS!$C$14*(CE31-CD31*DATOS!$C$14/(DATOS!$C$21*100)/2)/1E5))</f>
        <v/>
      </c>
      <c r="CG31" s="65" t="str">
        <f>IF(V31&lt;&gt;"SÍ","",IF(CA31&lt;0,9.99,IF(CF31&gt;0,AZ31/CF31,0)))</f>
        <v/>
      </c>
      <c r="CH31" s="66" t="str">
        <f>IF(V31&lt;&gt;"SÍ","",IF(CD31=0,"—",0.003*(CE31-(CD31*DATOS!$C$14/(DATOS!$C$21*100)/DATOS!$C$22))/(CD31*DATOS!$C$14/(DATOS!$C$21*100)/DATOS!$C$22)))</f>
        <v/>
      </c>
      <c r="CI31" s="58" t="str">
        <f>IF(V31&lt;&gt;"SÍ","",((W31-AF31-1.5*INDEX(TABLAS!$C$52:$C$58,MATCH(IF(ISNUMBER(S31),S31,DATOS!$C$138),TABLAS!$B$52:$B$58,0)))-IF(AND((W31-AF31-1.5*INDEX(TABLAS!$C$52:$C$58,MATCH(IF(ISNUMBER(S31),S31,DATOS!$C$138),TABLAS!$B$52:$B$58,0)))&lt;=20,DATOS!$C$65&lt;&gt;"SÍ"),2,0)))</f>
        <v/>
      </c>
      <c r="CJ31" s="58" t="str">
        <f>IF(V31&lt;&gt;"SÍ","",IF(BA31&lt;=0,0,IF((1-2*BA31*1E5/(DATOS!$C$29*100*CI31^2*DATOS!$C$21))&lt;0,-1,IF((1-SQRT((1-2*BA31*1E5/(DATOS!$C$29*100*CI31^2*DATOS!$C$21))))*DATOS!$C$21*100*CI31/DATOS!$C$14&gt;DATOS!$C$102*100*CI31,-1,(1-SQRT((1-2*BA31*1E5/(DATOS!$C$29*100*CI31^2*DATOS!$C$21))))*DATOS!$C$21*100*CI31/DATOS!$C$14))))</f>
        <v/>
      </c>
      <c r="CK31" s="58" t="str">
        <f>IF(V31&lt;&gt;"SÍ","",IF(CJ31&lt;0,-1,MAX(CJ31,BC31)))</f>
        <v/>
      </c>
      <c r="CL31" s="64" t="str">
        <f>IF(V31&lt;&gt;"SÍ","",IF(AND(CK31&gt;0,FLOOR(MIN(BD31,100*INDEX(TABLAS!$D$52:$D$58,MIN(MATCH(IF(ISNUMBER(S31),S31,DATOS!$C$138),TABLAS!$B$52:$B$58,0)+0,7))/MAX(CK31,0.0001)),DATOS!$C$144)&gt;=DATOS!$C$143),INDEX(TABLAS!$B$52:$B$58,MIN(MATCH(IF(ISNUMBER(S31),S31,DATOS!$C$138),TABLAS!$B$52:$B$58,0)+0,7)),IF(AND(CK31&gt;0,FLOOR(MIN(BD31,100*INDEX(TABLAS!$D$52:$D$58,MIN(MATCH(IF(ISNUMBER(S31),S31,DATOS!$C$138),TABLAS!$B$52:$B$58,0)+1,7))/MAX(CK31,0.0001)),DATOS!$C$144)&gt;=DATOS!$C$143),INDEX(TABLAS!$B$52:$B$58,MIN(MATCH(IF(ISNUMBER(S31),S31,DATOS!$C$138),TABLAS!$B$52:$B$58,0)+1,7)),IF(AND(CK31&gt;0,FLOOR(MIN(BD31,100*INDEX(TABLAS!$D$52:$D$58,MIN(MATCH(IF(ISNUMBER(S31),S31,DATOS!$C$138),TABLAS!$B$52:$B$58,0)+2,7))/MAX(CK31,0.0001)),DATOS!$C$144)&gt;=DATOS!$C$143),INDEX(TABLAS!$B$52:$B$58,MIN(MATCH(IF(ISNUMBER(S31),S31,DATOS!$C$138),TABLAS!$B$52:$B$58,0)+2,7)),IF(AND(CK31&gt;0,FLOOR(MIN(BD31,100*INDEX(TABLAS!$D$52:$D$58,MIN(MATCH(IF(ISNUMBER(S31),S31,DATOS!$C$138),TABLAS!$B$52:$B$58,0)+3,7))/MAX(CK31,0.0001)),DATOS!$C$144)&gt;=DATOS!$C$143),INDEX(TABLAS!$B$52:$B$58,MIN(MATCH(IF(ISNUMBER(S31),S31,DATOS!$C$138),TABLAS!$B$52:$B$58,0)+3,7)),IF(AND(CK31&gt;0,FLOOR(MIN(BD31,100*INDEX(TABLAS!$D$52:$D$58,MIN(MATCH(IF(ISNUMBER(S31),S31,DATOS!$C$138),TABLAS!$B$52:$B$58,0)+4,7))/MAX(CK31,0.0001)),DATOS!$C$144)&gt;=DATOS!$C$143),INDEX(TABLAS!$B$52:$B$58,MIN(MATCH(IF(ISNUMBER(S31),S31,DATOS!$C$138),TABLAS!$B$52:$B$58,0)+4,7)),INDEX(TABLAS!$B$52:$B$58,7)))))))</f>
        <v/>
      </c>
      <c r="CM31" s="71" t="str">
        <f>IF(V31&lt;&gt;"SÍ","",IF(CK31&lt;=0,0,FLOOR(MIN(BD31,100*INDEX(TABLAS!$D$52:$D$58,MATCH(CL31,TABLAS!$B$52:$B$58,0))/CK31),DATOS!$C$144)))</f>
        <v/>
      </c>
      <c r="CN31" s="58" t="str">
        <f>IF(V31&lt;&gt;"SÍ","",IF(CM31&lt;=0,0,INDEX(TABLAS!$D$52:$D$58,MATCH(CL31,TABLAS!$B$52:$B$58,0))*100/CM31))</f>
        <v/>
      </c>
      <c r="CO31" s="58" t="str">
        <f>IF(V31&lt;&gt;"SÍ","",((W31-AF31-INDEX(TABLAS!$C$52:$C$58,MATCH(BR31,TABLAS!$B$52:$B$58,0))-INDEX(TABLAS!$C$52:$C$58,MATCH(CL31,TABLAS!$B$52:$B$58,0))/2)-IF(AND((W31-AF31-INDEX(TABLAS!$C$52:$C$58,MATCH(BR31,TABLAS!$B$52:$B$58,0))-INDEX(TABLAS!$C$52:$C$58,MATCH(CL31,TABLAS!$B$52:$B$58,0))/2)&lt;=20,DATOS!$C$65&lt;&gt;"SÍ"),2,0)))</f>
        <v/>
      </c>
      <c r="CP31" s="56" t="str">
        <f>IF(V31&lt;&gt;"SÍ","",IF(CN31=0,0,DATOS!$C$29*CN31*DATOS!$C$14*(CO31-CN31*DATOS!$C$14/(DATOS!$C$21*100)/2)/1E5))</f>
        <v/>
      </c>
      <c r="CQ31" s="65" t="str">
        <f>IF(V31&lt;&gt;"SÍ","",IF(CK31&lt;0,9.99,IF(CP31&gt;0,BA31/CP31,0)))</f>
        <v/>
      </c>
      <c r="CR31" s="66" t="str">
        <f>IF(V31&lt;&gt;"SÍ","",IF(CN31=0,"—",0.003*(CO31-(CN31*DATOS!$C$14/(DATOS!$C$21*100)/DATOS!$C$22))/(CN31*DATOS!$C$14/(DATOS!$C$21*100)/DATOS!$C$22)))</f>
        <v/>
      </c>
      <c r="CS31" s="56" t="str">
        <f>IF(V31&lt;&gt;"SÍ","",IF(C31="PERIMETRAL",MAX(0,(AC31/2-BU31)/100)*(0.95-0.5*AB31)*AK31*IF(AND(AL31&gt;0,AL31&lt;4),DATOS!$C$33,1)/1000,(AK31*MAX(0,AC31-BU31)/100+DATOS!$C$26*N(P31))/1000))</f>
        <v/>
      </c>
      <c r="CT31" s="66" t="str">
        <f>IF(V31&lt;&gt;"SÍ","",BT31/(100*BU31))</f>
        <v/>
      </c>
      <c r="CU31" s="56" t="str">
        <f>IF(V31&lt;&gt;"SÍ","",DATOS!$C$30*2*MIN(1,SQRT(2/(1+0.04*BU31)))*CT31^(1/3)*SQRT(DATOS!$C$13)*100*BU31/1000)</f>
        <v/>
      </c>
      <c r="CV31" s="67" t="str">
        <f>IF(V31&lt;&gt;"SÍ","",IF(CS31&lt;=CU31,"CUMPLE","NO CUMPLE: sube h"))</f>
        <v/>
      </c>
      <c r="CW31" s="58" t="str">
        <f>IF(V31&lt;&gt;"SÍ","",IF(C31="PERIMETRAL",IF(ISNUMBER(R31),R31,DATOS!$C$104),0))</f>
        <v/>
      </c>
      <c r="CX31" s="57" t="str">
        <f>IF(V31&lt;&gt;"SÍ","",IF(C31="PERIMETRAL",IF(CW31&gt;2,MAX(9,AD31*(0.8+DATOS!$C$14/14000)/(36+9*(AD31/MAX(AC31,1)))),IF(CW31&gt;0.2,MAX(13,AD31*(0.8+DATOS!$C$14/14000)/(36+5*(AD31/MAX(AC31,1))*(CW31-0.2))),MAX(13,AD31/IF(AL31&gt;0,30,33))))*IF(AND(CW31&gt;0.2,AL31&gt;0,DATOS!$C$105="NO"),1.1,1),Z31*100/DATOS!$C$145*(0.4+DATOS!$C$14/7000)))</f>
        <v/>
      </c>
      <c r="CY31" s="61" t="str">
        <f>IF(V31&lt;&gt;"SÍ","",IF(W31&gt;=CX31-0.001,"CUMPLE",IF(C31="VOLADO","NO CUMPLE","CALCULAR FLECHA")))</f>
        <v/>
      </c>
      <c r="CZ31" s="60" t="str">
        <f>IF(V31&lt;&gt;"SÍ","",IF(C31="VOLADO",MIN(FLOOR(IF(ISNUMBER(Q31),Q31,Z31)*100-DATOS!$C$63,5),CEILING(MAX(IF((0.5*(0.9*W31/100*DATOS!$C$16)*IF(ISNUMBER(Q31),Q31,Z31)+AY31/IF(ISNUMBER(Q31),Q31,Z31))^2-4*(0.5*(0.9*W31/100*DATOS!$C$16))*AY31&lt;0,IF(ISNUMBER(Q31),Q31,Z31),MIN(IF(ISNUMBER(Q31),Q31,Z31),((0.5*(0.9*W31/100*DATOS!$C$16)*IF(ISNUMBER(Q31),Q31,Z31)+AY31/IF(ISNUMBER(Q31),Q31,Z31))-SQRT((0.5*(0.9*W31/100*DATOS!$C$16)*IF(ISNUMBER(Q31),Q31,Z31)+AY31/IF(ISNUMBER(Q31),Q31,Z31))^2-4*(0.5*(0.9*W31/100*DATOS!$C$16))*AY31))/(2*(0.5*(0.9*W31/100*DATOS!$C$16)))))*100+MAX(BU31,12*INDEX(TABLAS!$C$52:$C$58,MATCH(BR31,TABLAS!$B$52:$B$58,0)),IF(ISNUMBER(Q31),Q31,Z31)*100/16),IF(OR(AF31&lt;INDEX(TABLAS!$C$52:$C$58,MATCH(BR31,TABLAS!$B$52:$B$58,0)),BS31-INDEX(TABLAS!$C$52:$C$58,MATCH(BR31,TABLAS!$B$52:$B$58,0))&lt;2*INDEX(TABLAS!$C$52:$C$58,MATCH(BR31,TABLAS!$B$52:$B$58,0))),INDEX(TABLAS!$I$52:$I$58,MATCH(BR31,TABLAS!$B$52:$B$58,0)),INDEX(TABLAS!$F$52:$F$58,MATCH(BR31,TABLAS!$B$52:$B$58,0)))),5)),IF(((4*((AV31*AK31*Z31^2*1E-4/1000)+((MAX(AR31,AT31)*AK31*Z31^2*1E-4/1000)+(IF(AND(AR31&gt;0,AT31&gt;0),MIN(AR31,AT31),MAX(AR31,AT31))*AK31*Z31^2*1E-4/1000))/2)+AY31-(IF(AND(AR31&gt;0,AT31&gt;0),MIN(AR31,AT31),MAX(AR31,AT31))*AK31*Z31^2*1E-4/1000))^2-16*((AV31*AK31*Z31^2*1E-4/1000)+((MAX(AR31,AT31)*AK31*Z31^2*1E-4/1000)+(IF(AND(AR31&gt;0,AT31&gt;0),MIN(AR31,AT31),MAX(AR31,AT31))*AK31*Z31^2*1E-4/1000))/2)*AY31)&lt;0,CEILING(AC31,5),CEILING(MAX(AC31*((4*((AV31*AK31*Z31^2*1E-4/1000)+((MAX(AR31,AT31)*AK31*Z31^2*1E-4/1000)+(IF(AND(AR31&gt;0,AT31&gt;0),MIN(AR31,AT31),MAX(AR31,AT31))*AK31*Z31^2*1E-4/1000))/2)+AY31-(IF(AND(AR31&gt;0,AT31&gt;0),MIN(AR31,AT31),MAX(AR31,AT31))*AK31*Z31^2*1E-4/1000))-SQRT(MAX(0,((4*((AV31*AK31*Z31^2*1E-4/1000)+((MAX(AR31,AT31)*AK31*Z31^2*1E-4/1000)+(IF(AND(AR31&gt;0,AT31&gt;0),MIN(AR31,AT31),MAX(AR31,AT31))*AK31*Z31^2*1E-4/1000))/2)+AY31-(IF(AND(AR31&gt;0,AT31&gt;0),MIN(AR31,AT31),MAX(AR31,AT31))*AK31*Z31^2*1E-4/1000))^2-16*((AV31*AK31*Z31^2*1E-4/1000)+((MAX(AR31,AT31)*AK31*Z31^2*1E-4/1000)+(IF(AND(AR31&gt;0,AT31&gt;0),MIN(AR31,AT31),MAX(AR31,AT31))*AK31*Z31^2*1E-4/1000))/2)*AY31))))/(8*MAX(((AV31*AK31*Z31^2*1E-4/1000)+((MAX(AR31,AT31)*AK31*Z31^2*1E-4/1000)+(IF(AND(AR31&gt;0,AT31&gt;0),MIN(AR31,AT31),MAX(AR31,AT31))*AK31*Z31^2*1E-4/1000))/2),1E-9))+MAX(BU31,12*INDEX(TABLAS!$C$52:$C$58,MATCH(BR31,TABLAS!$B$52:$B$58,0)),AC31/16),IF(OR(AF31&lt;INDEX(TABLAS!$C$52:$C$58,MATCH(BR31,TABLAS!$B$52:$B$58,0)),BS31-INDEX(TABLAS!$C$52:$C$58,MATCH(BR31,TABLAS!$B$52:$B$58,0))&lt;2*INDEX(TABLAS!$C$52:$C$58,MATCH(BR31,TABLAS!$B$52:$B$58,0))),INDEX(TABLAS!$I$52:$I$58,MATCH(BR31,TABLAS!$B$52:$B$58,0)),INDEX(TABLAS!$F$52:$F$58,MATCH(BR31,TABLAS!$B$52:$B$58,0)))),5))))</f>
        <v/>
      </c>
      <c r="DA31" s="60" t="str">
        <f>IF(V31&lt;&gt;"SÍ","",IF(C31="VOLADO",0,IF(((4*((AW31*AK31*Z31^2*1E-4/1000)+((MAX(AS31,AU31)*AK31*Z31^2*1E-4/1000)+(IF(AND(AS31&gt;0,AU31&gt;0),MIN(AS31,AU31),MAX(AS31,AU31))*AK31*Z31^2*1E-4/1000))/2)+BA31-(IF(AND(AS31&gt;0,AU31&gt;0),MIN(AS31,AU31),MAX(AS31,AU31))*AK31*Z31^2*1E-4/1000))^2-16*((AW31*AK31*Z31^2*1E-4/1000)+((MAX(AS31,AU31)*AK31*Z31^2*1E-4/1000)+(IF(AND(AS31&gt;0,AU31&gt;0),MIN(AS31,AU31),MAX(AS31,AU31))*AK31*Z31^2*1E-4/1000))/2)*BA31)&lt;0,CEILING(AD31,5),CEILING(MAX(AD31*((4*((AW31*AK31*Z31^2*1E-4/1000)+((MAX(AS31,AU31)*AK31*Z31^2*1E-4/1000)+(IF(AND(AS31&gt;0,AU31&gt;0),MIN(AS31,AU31),MAX(AS31,AU31))*AK31*Z31^2*1E-4/1000))/2)+BA31-(IF(AND(AS31&gt;0,AU31&gt;0),MIN(AS31,AU31),MAX(AS31,AU31))*AK31*Z31^2*1E-4/1000))-SQRT(MAX(0,((4*((AW31*AK31*Z31^2*1E-4/1000)+((MAX(AS31,AU31)*AK31*Z31^2*1E-4/1000)+(IF(AND(AS31&gt;0,AU31&gt;0),MIN(AS31,AU31),MAX(AS31,AU31))*AK31*Z31^2*1E-4/1000))/2)+BA31-(IF(AND(AS31&gt;0,AU31&gt;0),MIN(AS31,AU31),MAX(AS31,AU31))*AK31*Z31^2*1E-4/1000))^2-16*((AW31*AK31*Z31^2*1E-4/1000)+((MAX(AS31,AU31)*AK31*Z31^2*1E-4/1000)+(IF(AND(AS31&gt;0,AU31&gt;0),MIN(AS31,AU31),MAX(AS31,AU31))*AK31*Z31^2*1E-4/1000))/2)*BA31))))/(8*MAX(((AW31*AK31*Z31^2*1E-4/1000)+((MAX(AS31,AU31)*AK31*Z31^2*1E-4/1000)+(IF(AND(AS31&gt;0,AU31&gt;0),MIN(AS31,AU31),MAX(AS31,AU31))*AK31*Z31^2*1E-4/1000))/2),1E-9))+MAX(CO31,12*INDEX(TABLAS!$C$52:$C$58,MATCH(CL31,TABLAS!$B$52:$B$58,0)),AD31/16),IF(OR(AF31&lt;INDEX(TABLAS!$C$52:$C$58,MATCH(CL31,TABLAS!$B$52:$B$58,0)),CM31-INDEX(TABLAS!$C$52:$C$58,MATCH(CL31,TABLAS!$B$52:$B$58,0))&lt;2*INDEX(TABLAS!$C$52:$C$58,MATCH(CL31,TABLAS!$B$52:$B$58,0))),INDEX(TABLAS!$I$52:$I$58,MATCH(CL31,TABLAS!$B$52:$B$58,0)),INDEX(TABLAS!$F$52:$F$58,MATCH(CL31,TABLAS!$B$52:$B$58,0)))),5))))</f>
        <v/>
      </c>
      <c r="DB31" s="55" t="str">
        <f>IF(V31&lt;&gt;"SÍ","",IF(AND(C31="PERIMETRAL",AL31-AM31&gt;0,AT31&gt;0),"SÍ","NO"))</f>
        <v/>
      </c>
      <c r="DC31" s="55" t="str">
        <f>IF(V31&lt;&gt;"SÍ","",IF(AND(C31="PERIMETRAL",AM31&gt;0,AU31&gt;0),"SÍ","NO"))</f>
        <v/>
      </c>
      <c r="DD31" s="63" t="str">
        <f>IF(V31&lt;&gt;"SÍ","",IF(OR(C31="VOLADO",AL31=0),"—",IF(AND(AND(INDEX(TABLAS!$G$52:$G$58,MATCH(MAX(BR31,CL31),TABLAS!$B$52:$B$58,0))&lt;=(DATOS!$C$75-DATOS!$C$63),(DATOS!$C$75-DATOS!$C$63)&gt;=15),8*INDEX(TABLAS!$C$52:$C$58,MATCH(MAX(BH31,CB31,BR31,CL31),TABLAS!$B$52:$B$58,0))&lt;=DATOS!$C$76-2*DATOS!$C$63),"CUMPLE (gancho de 180°)",IF(AND(INDEX(TABLAS!$G$52:$G$58,MATCH(MAX(BR31,CL31),TABLAS!$B$52:$B$58,0))&lt;=(DATOS!$C$75-DATOS!$C$63),(DATOS!$C$75-DATOS!$C$63)&gt;=15),"NO CUMPLE: el gancho de 180° (8·d_b) no cabe en el peralte de la dala de borde","NO CUMPLE: dala de borde ≥ "&amp;TEXT(CEILING(MAX(INDEX(TABLAS!$G$52:$G$58,MATCH(MAX(BR31,CL31),TABLAS!$B$52:$B$58,0)),15)+DATOS!$C$63,5),"0")&amp;" cm de ancho"&amp;IF(8*INDEX(TABLAS!$C$52:$C$58,MATCH(MAX(BH31,CB31,BR31,CL31),TABLAS!$B$52:$B$58,0))&lt;=DATOS!$C$76-2*DATOS!$C$63,""," y más peralte para el gancho")))))</f>
        <v/>
      </c>
      <c r="DE31" s="69" t="str">
        <f>IF(V31&lt;&gt;"SÍ","",IF(BI31=0,"NO ALCANZA","No. "&amp;BH31&amp;" @ "&amp;BI31&amp;" cm"&amp;IF(C31="VOLADO"," (temperatura)","")))</f>
        <v/>
      </c>
      <c r="DF31" s="69" t="str">
        <f>IF(V31&lt;&gt;"SÍ","",IF(BS31=0,"NO ALCANZA",IF(C31="VOLADO","No. "&amp;BR31&amp;" @ "&amp;BS31&amp;" cm"&amp;" de la orilla al respaldo ("&amp;IF(CZ31&gt;=FLOOR(100*IF(ISNUMBER(Q31),Q31,Z31)-DATOS!$C$63,5),"hasta su apoyo lejano, con gancho","entran "&amp;TEXT(CZ31/100,"0.00")&amp;" m desde el paño")&amp;")","Bastones "&amp;"No. "&amp;BR31&amp;" @ "&amp;BS31&amp;" cm"&amp;", L = "&amp;TEXT(CZ31/100,"0.00")&amp;" m desde el paño")))</f>
        <v/>
      </c>
      <c r="DG31" s="69" t="str">
        <f>IF(V31&lt;&gt;"SÍ","",IF(CC31=0,"NO ALCANZA","No. "&amp;CB31&amp;" @ "&amp;CC31&amp;" cm"&amp;IF(C31="VOLADO"," (repartición)","")))</f>
        <v/>
      </c>
      <c r="DH31" s="69" t="str">
        <f>IF(V31&lt;&gt;"SÍ","",IF(CM31=0,"NO ALCANZA",IF(C31="VOLADO","No. "&amp;CL31&amp;" @ "&amp;CM31&amp;" cm"&amp;" (repartición)","Bastones "&amp;"No. "&amp;CL31&amp;" @ "&amp;CM31&amp;" cm"&amp;", L = "&amp;TEXT(DA31/100,"0.00")&amp;" m desde el paño")))</f>
        <v/>
      </c>
      <c r="DI31" s="67" t="str">
        <f>IF(B31="","",IF(V31&lt;&gt;"SÍ","FALTAN DATOS: tipo, a_x, a_y, destino y, en volados, L_b",IF(L31="NO MONOLÍTICO (caso II)","FUERA DE ALCANCE: caso II no transcrito",IF(AND(C31="VOLADO",X31="?"),"REVISAR: el volado lleva UN solo borde CONTINUO (el empotrado)",IF(AND(MAX(BM31,BW31,CG31,CQ31)&lt;=1,NOT(OR(BI31&lt;DATOS!$C$143,BS31&lt;DATOS!$C$143,CC31&lt;DATOS!$C$143,CM31&lt;DATOS!$C$143)),NOT(OR(AND(ISNUMBER(BN31),BN31&lt;0.005),AND(ISNUMBER(BX31),BX31&lt;0.005),AND(ISNUMBER(CH31),CH31&lt;0.005),AND(ISNUMBER(CR31),CR31&lt;0.005))),CV31="CUMPLE",CY31="CUMPLE"),"CUMPLE"&amp;IF(LEFT(BB31,5)="FUERA"," · fuera de 3.4.2.1 c)","")&amp;IF(LEFT(DD31,2)="NO"," · REVISAR anclaje en borde discontinuo",""),IF(AND(MAX(BM31,BW31,CG31,CQ31)&lt;=1,NOT(OR(BI31&lt;DATOS!$C$143,BS31&lt;DATOS!$C$143,CC31&lt;DATOS!$C$143,CM31&lt;DATOS!$C$143)),NOT(OR(AND(ISNUMBER(BN31),BN31&lt;0.005),AND(ISNUMBER(BX31),BX31&lt;0.005),AND(ISNUMBER(CH31),CH31&lt;0.005),AND(ISNUMBER(CR31),CR31&lt;0.005))),CV31="CUMPLE",CY31="CALCULAR FLECHA"),"REVISAR: calcular flecha (h &lt; h mín.)"&amp;IF(LEFT(BB31,5)="FUERA"," · fuera de 3.4.2.1 c)","")&amp;IF(LEFT(DD31,2)="NO"," · REVISAR anclaje en borde discontinuo",""),"NO CUMPLE: "&amp;IF(MAX(BM31,BW31,CG31,CQ31)&gt;1,"flexión ","")&amp;IF(OR(BI31&lt;DATOS!$C$143,BS31&lt;DATOS!$C$143,CC31&lt;DATOS!$C$143,CM31&lt;DATOS!$C$143),"separación &lt; mínima ","")&amp;IF(OR(AND(ISNUMBER(BN31),BN31&lt;0.005),AND(ISNUMBER(BX31),BX31&lt;0.005),AND(ISNUMBER(CH31),CH31&lt;0.005),AND(ISNUMBER(CR31),CR31&lt;0.005)),"ε_t &lt; 0.005 ","")&amp;IF(CV31&lt;&gt;"CUMPLE","cortante ","")&amp;IF(CY31="NO CUMPLE","peralte","")))))))</f>
        <v/>
      </c>
      <c r="DJ31" s="70" t="str">
        <f>IF(V31&lt;&gt;"SÍ","",IF(LEFT(B31,7)="EJEMPLO","EJEMPLO de tablero típico: bórralo o sobrescríbelo. ","")&amp;IF(C31="VOLADO","Volado de "&amp;TEXT(Z31,"0.00")&amp;" m empotrado en el borde "&amp;LOWER(X31)&amp;IF(N(P31)&gt;0,", con "&amp;TEXT(P31,"0.0")&amp;" kg/m en la orilla","")&amp;". Lecho inferior con r_ext. Si la orilla carga pretil u otro elemento frágil, calcula la flecha (13.4). El acero superior entra al respaldo de "&amp;TEXT(IF(ISNUMBER(Q31),Q31,Z31),"0.00")&amp;" m"&amp;" hasta pasar M = 0 con 0.9·PP sin carga viva; si ahí no se anula, llega al apoyo lejano y se ancla con gancho. ","")&amp;IF(AND(C31="VOLADO",(0.9*W31/100*DATOS!$C$16*IF(ISNUMBER(Q31),Q31,Z31)/2-AY31/IF(ISNUMBER(Q31),Q31,Z31))&lt;0),"Con 0.9·PP y sin carga viva el apoyo lejano del respaldo levanta (R = "&amp;TEXT(-(0.9*W31/100*DATOS!$C$16*IF(ISNUMBER(Q31),Q31,Z31)/2-AY31/IF(ISNUMBER(Q31),Q31,Z31)),"0.00")&amp;" t/m): ancla ahí el acero con gancho y revisa ese apoyo a tensión. ","")&amp;IF(LEFT(BB31,5)="FUERA","El M⁻ del vecino difiere más de 50 % (3.4.2.1 c): distribuye el desequilibrio (3.4.3.1) o confirma con un modelo; se arma con el mayor. ","")&amp;IF(OR(DB31="SÍ",DC31="SÍ"),"Bastones también en los bordes discontinuos (M⁻ de tabla), con gancho. ","")&amp;IF(LEFT(DD31,2)="NO","Anclaje: "&amp;DD31&amp;" (6.7.7.4.1.1). ","")&amp;IF(AND(C31="PERIMETRAL",AM31&gt;=1,AL31-AM31&gt;=1),"Esquinas exteriores sobre muro: refuerzo de esquina arriba y abajo en L_largo/5 (6.7.7.3.1). ",""))</f>
        <v/>
      </c>
    </row>
    <row r="32" ht="33" customHeight="1">
      <c r="A32" s="50">
        <f>IF(B32="",0,1)+A31</f>
        <v>3</v>
      </c>
      <c r="B32" s="29" t="n"/>
      <c r="C32" s="51" t="n"/>
      <c r="D32" s="29" t="n"/>
      <c r="E32" s="52" t="n"/>
      <c r="F32" s="52" t="n"/>
      <c r="G32" s="51" t="n"/>
      <c r="H32" s="51" t="n"/>
      <c r="I32" s="51" t="n"/>
      <c r="J32" s="51" t="n"/>
      <c r="K32" s="51" t="n"/>
      <c r="L32" s="51" t="n"/>
      <c r="M32" s="54" t="n"/>
      <c r="N32" s="53" t="n"/>
      <c r="O32" s="53" t="n"/>
      <c r="P32" s="54" t="n"/>
      <c r="Q32" s="52" t="n"/>
      <c r="R32" s="54" t="n"/>
      <c r="S32" s="53" t="n"/>
      <c r="T32" s="52" t="n"/>
      <c r="U32" s="52" t="n"/>
      <c r="V32" s="55" t="str">
        <f>IF(B32="","",IF(AND(OR(C32="PERIMETRAL",C32="VOLADO"),ISNUMBER(E32),ISNUMBER(F32),E32&gt;0,F32&gt;0,OR(ISNUMBER(O32),ISNUMBER(MATCH(D32,DATOS!$B$46:$B$58,0))),OR(C32&lt;&gt;"VOLADO",N(Q32)&gt;0)),"SÍ","NO"))</f>
        <v/>
      </c>
      <c r="W32" s="57" t="str">
        <f>IF(V32&lt;&gt;"SÍ","",IF(ISNUMBER(M32),M32,DATOS!$C$137))</f>
        <v/>
      </c>
      <c r="X32" s="55" t="str">
        <f>IF(V32&lt;&gt;"SÍ","",IF(C32&lt;&gt;"VOLADO","—",IF(COUNTIF(G32:J32,"CONTINUO")&lt;&gt;1,"?",IF(G32="CONTINUO","INFERIOR",IF(H32="CONTINUO","SUPERIOR",IF(I32="CONTINUO","IZQUIERDO","DERECHO"))))))</f>
        <v/>
      </c>
      <c r="Y32" s="55" t="str">
        <f>IF(V32&lt;&gt;"SÍ","",IF(C32="VOLADO",IF(OR(X32="IZQUIERDO",X32="DERECHO"),"X","Y"),IF(E32&lt;=F32,"X","Y")))</f>
        <v/>
      </c>
      <c r="Z32" s="56" t="str">
        <f>IF(V32&lt;&gt;"SÍ","",IF(C32="VOLADO",IF(Y32="X",E32,F32),MIN(E32,F32)))</f>
        <v/>
      </c>
      <c r="AA32" s="56" t="str">
        <f>IF(V32&lt;&gt;"SÍ","",IF(C32="VOLADO",IF(Y32="X",F32,E32),MAX(E32,F32)))</f>
        <v/>
      </c>
      <c r="AB32" s="56" t="str">
        <f>IF(V32&lt;&gt;"SÍ","",MIN(Z32,AA32)/MAX(Z32,AA32))</f>
        <v/>
      </c>
      <c r="AC32" s="57" t="str">
        <f>IF(V32&lt;&gt;"SÍ","",MAX(1,Z32*100-IF(C32="VOLADO",DATOS!$C$87/2,DATOS!$C$87)))</f>
        <v/>
      </c>
      <c r="AD32" s="57" t="str">
        <f>IF(V32&lt;&gt;"SÍ","",MAX(1,AA32*100-DATOS!$C$87))</f>
        <v/>
      </c>
      <c r="AE32" s="57" t="str">
        <f>IF(V32&lt;&gt;"SÍ","",IF(C32="VOLADO",DATOS!$C$64,DATOS!$C$62))</f>
        <v/>
      </c>
      <c r="AF32" s="57" t="str">
        <f>IF(V32&lt;&gt;"SÍ","",IF(OR(AND(AG32="SÍ",DATOS!$C$66="SÍ"),AND(C32="VOLADO",DATOS!$C$67="SÍ")),DATOS!$C$64,DATOS!$C$62))</f>
        <v/>
      </c>
      <c r="AG32" s="55" t="str">
        <f>IF(V32&lt;&gt;"SÍ","",IFERROR(INDEX(DATOS!$D$46:$D$58,MATCH(D32,DATOS!$B$46:$B$58,0)),"NO"))</f>
        <v/>
      </c>
      <c r="AH32" s="59" t="str">
        <f>IF(V32&lt;&gt;"SÍ","",IF(ISNUMBER(O32),O32,IFERROR(INDEX(DATOS!$C$46:$C$58,MATCH(D32,DATOS!$B$46:$B$58,0)),0)))</f>
        <v/>
      </c>
      <c r="AI32" s="59" t="str">
        <f>IF(V32&lt;&gt;"SÍ","",W32/100*DATOS!$C$16*1000+DATOS!$C$37+DATOS!$C$38)</f>
        <v/>
      </c>
      <c r="AJ32" s="59" t="str">
        <f>IF(V32&lt;&gt;"SÍ","",AI32+N(N32))</f>
        <v/>
      </c>
      <c r="AK32" s="60" t="str">
        <f>IF(V32&lt;&gt;"SÍ","",MAX(DATOS!$C$26*AJ32+DATOS!$C$27*AH32,IF(AG32="SÍ",DATOS!$C$28*(AJ32+DATOS!$C$41),0)))</f>
        <v/>
      </c>
      <c r="AL32" s="59" t="str">
        <f>IF(V32&lt;&gt;"SÍ","",(G32="DISCONTINUO")+(H32="DISCONTINUO")+(I32="DISCONTINUO")+(J32="DISCONTINUO"))</f>
        <v/>
      </c>
      <c r="AM32" s="59" t="str">
        <f>IF(V32&lt;&gt;"SÍ","",IF(Y32="X",(G32="DISCONTINUO")+(H32="DISCONTINUO"),(I32="DISCONTINUO")+(J32="DISCONTINUO")))</f>
        <v/>
      </c>
      <c r="AN32" s="55" t="str">
        <f>IF(V32&lt;&gt;"SÍ","",IF(AL32=0,"INTERIOR",IF(AL32=1,IF(AM32=1,"BORDE-CORTO","BORDE-LARGO"),IF(AL32=2,IF(AM32=1,"ESQUINA",IF(AM32=2,"EXTREMO-LARGO","EXTREMO-CORTO")),IF(AL32=3,IF(AM32=2,"EXTREMO-LARGO","EXTREMO-CORTO"),"AISLADO")))))</f>
        <v/>
      </c>
      <c r="AO32" s="61" t="str">
        <f>IF(V32&lt;&gt;"SÍ","",IF(OR(K32="",K32="AUTO"),AN32,K32))</f>
        <v/>
      </c>
      <c r="AP32" s="59" t="str">
        <f>IF(V32&lt;&gt;"SÍ","",MATCH(AB32,TABLAS!$D$5:$J$5,1))</f>
        <v/>
      </c>
      <c r="AQ32" s="58" t="str">
        <f>IF(V32&lt;&gt;"SÍ","",IF(AP32&gt;=7,0,(AB32-INDEX(TABLAS!$D$5:$J$5,AP32))/(INDEX(TABLAS!$D$5:$J$5,AP32+1)-INDEX(TABLAS!$D$5:$J$5,AP32))))</f>
        <v/>
      </c>
      <c r="AR32" s="59" t="str">
        <f>IF(V32&lt;&gt;"SÍ","",INDEX(TABLAS!$D$6:$J$47,MATCH(AO32&amp;"|NIC",TABLAS!$B$6:$B$47,0),AP32)+AQ32*(INDEX(TABLAS!$D$6:$J$47,MATCH(AO32&amp;"|NIC",TABLAS!$B$6:$B$47,0),MIN(AP32+1,7))-INDEX(TABLAS!$D$6:$J$47,MATCH(AO32&amp;"|NIC",TABLAS!$B$6:$B$47,0),AP32)))</f>
        <v/>
      </c>
      <c r="AS32" s="59" t="str">
        <f>IF(V32&lt;&gt;"SÍ","",INDEX(TABLAS!$D$6:$J$47,MATCH(AO32&amp;"|NIL",TABLAS!$B$6:$B$47,0),AP32)+AQ32*(INDEX(TABLAS!$D$6:$J$47,MATCH(AO32&amp;"|NIL",TABLAS!$B$6:$B$47,0),MIN(AP32+1,7))-INDEX(TABLAS!$D$6:$J$47,MATCH(AO32&amp;"|NIL",TABLAS!$B$6:$B$47,0),AP32)))</f>
        <v/>
      </c>
      <c r="AT32" s="59" t="str">
        <f>IF(V32&lt;&gt;"SÍ","",INDEX(TABLAS!$D$6:$J$47,MATCH(AO32&amp;"|NDC",TABLAS!$B$6:$B$47,0),AP32)+AQ32*(INDEX(TABLAS!$D$6:$J$47,MATCH(AO32&amp;"|NDC",TABLAS!$B$6:$B$47,0),MIN(AP32+1,7))-INDEX(TABLAS!$D$6:$J$47,MATCH(AO32&amp;"|NDC",TABLAS!$B$6:$B$47,0),AP32)))</f>
        <v/>
      </c>
      <c r="AU32" s="59" t="str">
        <f>IF(V32&lt;&gt;"SÍ","",INDEX(TABLAS!$D$6:$J$47,MATCH(AO32&amp;"|NDL",TABLAS!$B$6:$B$47,0),AP32)+AQ32*(INDEX(TABLAS!$D$6:$J$47,MATCH(AO32&amp;"|NDL",TABLAS!$B$6:$B$47,0),MIN(AP32+1,7))-INDEX(TABLAS!$D$6:$J$47,MATCH(AO32&amp;"|NDL",TABLAS!$B$6:$B$47,0),AP32)))</f>
        <v/>
      </c>
      <c r="AV32" s="59" t="str">
        <f>IF(V32&lt;&gt;"SÍ","",INDEX(TABLAS!$D$6:$J$47,MATCH(AO32&amp;"|PC",TABLAS!$B$6:$B$47,0),AP32)+AQ32*(INDEX(TABLAS!$D$6:$J$47,MATCH(AO32&amp;"|PC",TABLAS!$B$6:$B$47,0),MIN(AP32+1,7))-INDEX(TABLAS!$D$6:$J$47,MATCH(AO32&amp;"|PC",TABLAS!$B$6:$B$47,0),AP32)))</f>
        <v/>
      </c>
      <c r="AW32" s="59" t="str">
        <f>IF(V32&lt;&gt;"SÍ","",INDEX(TABLAS!$D$6:$J$47,MATCH(AO32&amp;"|PL",TABLAS!$B$6:$B$47,0),AP32)+AQ32*(INDEX(TABLAS!$D$6:$J$47,MATCH(AO32&amp;"|PL",TABLAS!$B$6:$B$47,0),MIN(AP32+1,7))-INDEX(TABLAS!$D$6:$J$47,MATCH(AO32&amp;"|PL",TABLAS!$B$6:$B$47,0),AP32)))</f>
        <v/>
      </c>
      <c r="AX32" s="56" t="str">
        <f>IF(V32&lt;&gt;"SÍ","",IF(C32="PERIMETRAL",AV32*AK32*Z32^2*1E-4/1000,0))</f>
        <v/>
      </c>
      <c r="AY32" s="62" t="str">
        <f>IF(V32&lt;&gt;"SÍ","",IF(C32="PERIMETRAL",MAX(MAX(AR32,AT32)*AK32*Z32^2*1E-4/1000,N(T32)),(AK32*(AC32/100)^2/2+DATOS!$C$26*N(P32)*AC32/100)/1000))</f>
        <v/>
      </c>
      <c r="AZ32" s="56" t="str">
        <f>IF(V32&lt;&gt;"SÍ","",IF(C32="PERIMETRAL",AW32*AK32*Z32^2*1E-4/1000,0))</f>
        <v/>
      </c>
      <c r="BA32" s="56" t="str">
        <f>IF(V32&lt;&gt;"SÍ","",IF(C32="PERIMETRAL",MAX(MAX(AS32,AU32)*AK32*Z32^2*1E-4/1000,N(U32)),0))</f>
        <v/>
      </c>
      <c r="BB32" s="63" t="str">
        <f>IF(V32&lt;&gt;"SÍ","",IF(C32&lt;&gt;"PERIMETRAL","—",IF(AND(N(T32)=0,N(U32)=0),"— (sin M⁻ del vecino)",IF(OR(AND(N(T32)&gt;0,ABS(MAX(AR32,AT32)*AK32*Z32^2*1E-4/1000-N(T32))&gt;0.5*MIN(MAX(AR32,AT32)*AK32*Z32^2*1E-4/1000,N(T32))),AND(N(U32)&gt;0,ABS(MAX(AS32,AU32)*AK32*Z32^2*1E-4/1000-N(U32))&gt;0.5*MIN(MAX(AS32,AU32)*AK32*Z32^2*1E-4/1000,N(U32)))),"FUERA: difieren &gt; 50 %"&amp;IF(AND(N(T32)&gt;0,ABS(MAX(AR32,AT32)*AK32*Z32^2*1E-4/1000-N(T32))&gt;0.5*MIN(MAX(AR32,AT32)*AK32*Z32^2*1E-4/1000,N(T32)))," ‖ corto","")&amp;IF(AND(N(U32)&gt;0,ABS(MAX(AS32,AU32)*AK32*Z32^2*1E-4/1000-N(U32))&gt;0.5*MIN(MAX(AS32,AU32)*AK32*Z32^2*1E-4/1000,N(U32)))," ‖ largo",""),"CUMPLE"))))</f>
        <v/>
      </c>
      <c r="BC32" s="58" t="str">
        <f>IF(V32&lt;&gt;"SÍ","",DATOS!$C$139*100*W32)</f>
        <v/>
      </c>
      <c r="BD32" s="57" t="str">
        <f>IF(V32&lt;&gt;"SÍ","",MIN(IF(C32="VOLADO",DATOS!$C$141,DATOS!$C$140)*W32,DATOS!$C$142))</f>
        <v/>
      </c>
      <c r="BE32" s="58" t="str">
        <f>IF(V32&lt;&gt;"SÍ","",(W32-AE32-INDEX(TABLAS!$C$52:$C$58,MATCH(IF(ISNUMBER(S32),S32,DATOS!$C$138),TABLAS!$B$52:$B$58,0))/2))</f>
        <v/>
      </c>
      <c r="BF32" s="58" t="str">
        <f>IF(V32&lt;&gt;"SÍ","",IF(AX32&lt;=0,0,IF((1-2*AX32*1E5/(DATOS!$C$29*100*BE32^2*DATOS!$C$21))&lt;0,-1,IF((1-SQRT((1-2*AX32*1E5/(DATOS!$C$29*100*BE32^2*DATOS!$C$21))))*DATOS!$C$21*100*BE32/DATOS!$C$14&gt;DATOS!$C$102*100*BE32,-1,(1-SQRT((1-2*AX32*1E5/(DATOS!$C$29*100*BE32^2*DATOS!$C$21))))*DATOS!$C$21*100*BE32/DATOS!$C$14))))</f>
        <v/>
      </c>
      <c r="BG32" s="58" t="str">
        <f>IF(V32&lt;&gt;"SÍ","",IF(BF32&lt;0,-1,MAX(BF32,BC32)))</f>
        <v/>
      </c>
      <c r="BH32" s="64" t="str">
        <f>IF(V32&lt;&gt;"SÍ","",IF(AND(BG32&gt;0,FLOOR(MIN(BD32,100*INDEX(TABLAS!$D$52:$D$58,MIN(MATCH(IF(ISNUMBER(S32),S32,DATOS!$C$138),TABLAS!$B$52:$B$58,0)+0,7))/MAX(BG32,0.0001)),DATOS!$C$144)&gt;=DATOS!$C$143),INDEX(TABLAS!$B$52:$B$58,MIN(MATCH(IF(ISNUMBER(S32),S32,DATOS!$C$138),TABLAS!$B$52:$B$58,0)+0,7)),IF(AND(BG32&gt;0,FLOOR(MIN(BD32,100*INDEX(TABLAS!$D$52:$D$58,MIN(MATCH(IF(ISNUMBER(S32),S32,DATOS!$C$138),TABLAS!$B$52:$B$58,0)+1,7))/MAX(BG32,0.0001)),DATOS!$C$144)&gt;=DATOS!$C$143),INDEX(TABLAS!$B$52:$B$58,MIN(MATCH(IF(ISNUMBER(S32),S32,DATOS!$C$138),TABLAS!$B$52:$B$58,0)+1,7)),IF(AND(BG32&gt;0,FLOOR(MIN(BD32,100*INDEX(TABLAS!$D$52:$D$58,MIN(MATCH(IF(ISNUMBER(S32),S32,DATOS!$C$138),TABLAS!$B$52:$B$58,0)+2,7))/MAX(BG32,0.0001)),DATOS!$C$144)&gt;=DATOS!$C$143),INDEX(TABLAS!$B$52:$B$58,MIN(MATCH(IF(ISNUMBER(S32),S32,DATOS!$C$138),TABLAS!$B$52:$B$58,0)+2,7)),IF(AND(BG32&gt;0,FLOOR(MIN(BD32,100*INDEX(TABLAS!$D$52:$D$58,MIN(MATCH(IF(ISNUMBER(S32),S32,DATOS!$C$138),TABLAS!$B$52:$B$58,0)+3,7))/MAX(BG32,0.0001)),DATOS!$C$144)&gt;=DATOS!$C$143),INDEX(TABLAS!$B$52:$B$58,MIN(MATCH(IF(ISNUMBER(S32),S32,DATOS!$C$138),TABLAS!$B$52:$B$58,0)+3,7)),IF(AND(BG32&gt;0,FLOOR(MIN(BD32,100*INDEX(TABLAS!$D$52:$D$58,MIN(MATCH(IF(ISNUMBER(S32),S32,DATOS!$C$138),TABLAS!$B$52:$B$58,0)+4,7))/MAX(BG32,0.0001)),DATOS!$C$144)&gt;=DATOS!$C$143),INDEX(TABLAS!$B$52:$B$58,MIN(MATCH(IF(ISNUMBER(S32),S32,DATOS!$C$138),TABLAS!$B$52:$B$58,0)+4,7)),INDEX(TABLAS!$B$52:$B$58,7)))))))</f>
        <v/>
      </c>
      <c r="BI32" s="71" t="str">
        <f>IF(V32&lt;&gt;"SÍ","",IF(BG32&lt;=0,0,FLOOR(MIN(BD32,100*INDEX(TABLAS!$D$52:$D$58,MATCH(BH32,TABLAS!$B$52:$B$58,0))/BG32),DATOS!$C$144)))</f>
        <v/>
      </c>
      <c r="BJ32" s="58" t="str">
        <f>IF(V32&lt;&gt;"SÍ","",IF(BI32&lt;=0,0,INDEX(TABLAS!$D$52:$D$58,MATCH(BH32,TABLAS!$B$52:$B$58,0))*100/BI32))</f>
        <v/>
      </c>
      <c r="BK32" s="58" t="str">
        <f>IF(V32&lt;&gt;"SÍ","",W32-AE32-INDEX(TABLAS!$C$52:$C$58,MATCH(BH32,TABLAS!$B$52:$B$58,0))/2)</f>
        <v/>
      </c>
      <c r="BL32" s="56" t="str">
        <f>IF(V32&lt;&gt;"SÍ","",IF(BJ32=0,0,DATOS!$C$29*BJ32*DATOS!$C$14*(BK32-BJ32*DATOS!$C$14/(DATOS!$C$21*100)/2)/1E5))</f>
        <v/>
      </c>
      <c r="BM32" s="65" t="str">
        <f>IF(V32&lt;&gt;"SÍ","",IF(BG32&lt;0,9.99,IF(BL32&gt;0,AX32/BL32,0)))</f>
        <v/>
      </c>
      <c r="BN32" s="66" t="str">
        <f>IF(V32&lt;&gt;"SÍ","",IF(BJ32=0,"—",0.003*(BK32-(BJ32*DATOS!$C$14/(DATOS!$C$21*100)/DATOS!$C$22))/(BJ32*DATOS!$C$14/(DATOS!$C$21*100)/DATOS!$C$22)))</f>
        <v/>
      </c>
      <c r="BO32" s="58" t="str">
        <f>IF(V32&lt;&gt;"SÍ","",((W32-AF32-INDEX(TABLAS!$C$52:$C$58,MATCH(IF(ISNUMBER(S32),S32,DATOS!$C$138),TABLAS!$B$52:$B$58,0))/2)-IF(AND((W32-AF32-INDEX(TABLAS!$C$52:$C$58,MATCH(IF(ISNUMBER(S32),S32,DATOS!$C$138),TABLAS!$B$52:$B$58,0))/2)&lt;=20,DATOS!$C$65&lt;&gt;"SÍ"),2,0)))</f>
        <v/>
      </c>
      <c r="BP32" s="58" t="str">
        <f>IF(V32&lt;&gt;"SÍ","",IF(AY32&lt;=0,0,IF((1-2*AY32*1E5/(DATOS!$C$29*100*BO32^2*DATOS!$C$21))&lt;0,-1,IF((1-SQRT((1-2*AY32*1E5/(DATOS!$C$29*100*BO32^2*DATOS!$C$21))))*DATOS!$C$21*100*BO32/DATOS!$C$14&gt;DATOS!$C$102*100*BO32,-1,(1-SQRT((1-2*AY32*1E5/(DATOS!$C$29*100*BO32^2*DATOS!$C$21))))*DATOS!$C$21*100*BO32/DATOS!$C$14))))</f>
        <v/>
      </c>
      <c r="BQ32" s="58" t="str">
        <f>IF(V32&lt;&gt;"SÍ","",IF(BP32&lt;0,-1,MAX(BP32,BC32)))</f>
        <v/>
      </c>
      <c r="BR32" s="64" t="str">
        <f>IF(V32&lt;&gt;"SÍ","",IF(AND(BQ32&gt;0,FLOOR(MIN(BD32,100*INDEX(TABLAS!$D$52:$D$58,MIN(MATCH(IF(ISNUMBER(S32),S32,DATOS!$C$138),TABLAS!$B$52:$B$58,0)+0,7))/MAX(BQ32,0.0001)),DATOS!$C$144)&gt;=DATOS!$C$143),INDEX(TABLAS!$B$52:$B$58,MIN(MATCH(IF(ISNUMBER(S32),S32,DATOS!$C$138),TABLAS!$B$52:$B$58,0)+0,7)),IF(AND(BQ32&gt;0,FLOOR(MIN(BD32,100*INDEX(TABLAS!$D$52:$D$58,MIN(MATCH(IF(ISNUMBER(S32),S32,DATOS!$C$138),TABLAS!$B$52:$B$58,0)+1,7))/MAX(BQ32,0.0001)),DATOS!$C$144)&gt;=DATOS!$C$143),INDEX(TABLAS!$B$52:$B$58,MIN(MATCH(IF(ISNUMBER(S32),S32,DATOS!$C$138),TABLAS!$B$52:$B$58,0)+1,7)),IF(AND(BQ32&gt;0,FLOOR(MIN(BD32,100*INDEX(TABLAS!$D$52:$D$58,MIN(MATCH(IF(ISNUMBER(S32),S32,DATOS!$C$138),TABLAS!$B$52:$B$58,0)+2,7))/MAX(BQ32,0.0001)),DATOS!$C$144)&gt;=DATOS!$C$143),INDEX(TABLAS!$B$52:$B$58,MIN(MATCH(IF(ISNUMBER(S32),S32,DATOS!$C$138),TABLAS!$B$52:$B$58,0)+2,7)),IF(AND(BQ32&gt;0,FLOOR(MIN(BD32,100*INDEX(TABLAS!$D$52:$D$58,MIN(MATCH(IF(ISNUMBER(S32),S32,DATOS!$C$138),TABLAS!$B$52:$B$58,0)+3,7))/MAX(BQ32,0.0001)),DATOS!$C$144)&gt;=DATOS!$C$143),INDEX(TABLAS!$B$52:$B$58,MIN(MATCH(IF(ISNUMBER(S32),S32,DATOS!$C$138),TABLAS!$B$52:$B$58,0)+3,7)),IF(AND(BQ32&gt;0,FLOOR(MIN(BD32,100*INDEX(TABLAS!$D$52:$D$58,MIN(MATCH(IF(ISNUMBER(S32),S32,DATOS!$C$138),TABLAS!$B$52:$B$58,0)+4,7))/MAX(BQ32,0.0001)),DATOS!$C$144)&gt;=DATOS!$C$143),INDEX(TABLAS!$B$52:$B$58,MIN(MATCH(IF(ISNUMBER(S32),S32,DATOS!$C$138),TABLAS!$B$52:$B$58,0)+4,7)),INDEX(TABLAS!$B$52:$B$58,7)))))))</f>
        <v/>
      </c>
      <c r="BS32" s="71" t="str">
        <f>IF(V32&lt;&gt;"SÍ","",IF(BQ32&lt;=0,0,FLOOR(MIN(BD32,100*INDEX(TABLAS!$D$52:$D$58,MATCH(BR32,TABLAS!$B$52:$B$58,0))/BQ32),DATOS!$C$144)))</f>
        <v/>
      </c>
      <c r="BT32" s="58" t="str">
        <f>IF(V32&lt;&gt;"SÍ","",IF(BS32&lt;=0,0,INDEX(TABLAS!$D$52:$D$58,MATCH(BR32,TABLAS!$B$52:$B$58,0))*100/BS32))</f>
        <v/>
      </c>
      <c r="BU32" s="58" t="str">
        <f>IF(V32&lt;&gt;"SÍ","",((W32-AF32-INDEX(TABLAS!$C$52:$C$58,MATCH(BR32,TABLAS!$B$52:$B$58,0))/2)-IF(AND((W32-AF32-INDEX(TABLAS!$C$52:$C$58,MATCH(BR32,TABLAS!$B$52:$B$58,0))/2)&lt;=20,DATOS!$C$65&lt;&gt;"SÍ"),2,0)))</f>
        <v/>
      </c>
      <c r="BV32" s="56" t="str">
        <f>IF(V32&lt;&gt;"SÍ","",IF(BT32=0,0,DATOS!$C$29*BT32*DATOS!$C$14*(BU32-BT32*DATOS!$C$14/(DATOS!$C$21*100)/2)/1E5))</f>
        <v/>
      </c>
      <c r="BW32" s="65" t="str">
        <f>IF(V32&lt;&gt;"SÍ","",IF(BQ32&lt;0,9.99,IF(BV32&gt;0,AY32/BV32,0)))</f>
        <v/>
      </c>
      <c r="BX32" s="66" t="str">
        <f>IF(V32&lt;&gt;"SÍ","",IF(BT32=0,"—",0.003*(BU32-(BT32*DATOS!$C$14/(DATOS!$C$21*100)/DATOS!$C$22))/(BT32*DATOS!$C$14/(DATOS!$C$21*100)/DATOS!$C$22)))</f>
        <v/>
      </c>
      <c r="BY32" s="58" t="str">
        <f>IF(V32&lt;&gt;"SÍ","",(W32-AE32-1.5*INDEX(TABLAS!$C$52:$C$58,MATCH(IF(ISNUMBER(S32),S32,DATOS!$C$138),TABLAS!$B$52:$B$58,0))))</f>
        <v/>
      </c>
      <c r="BZ32" s="58" t="str">
        <f>IF(V32&lt;&gt;"SÍ","",IF(AZ32&lt;=0,0,IF((1-2*AZ32*1E5/(DATOS!$C$29*100*BY32^2*DATOS!$C$21))&lt;0,-1,IF((1-SQRT((1-2*AZ32*1E5/(DATOS!$C$29*100*BY32^2*DATOS!$C$21))))*DATOS!$C$21*100*BY32/DATOS!$C$14&gt;DATOS!$C$102*100*BY32,-1,(1-SQRT((1-2*AZ32*1E5/(DATOS!$C$29*100*BY32^2*DATOS!$C$21))))*DATOS!$C$21*100*BY32/DATOS!$C$14))))</f>
        <v/>
      </c>
      <c r="CA32" s="58" t="str">
        <f>IF(V32&lt;&gt;"SÍ","",IF(BZ32&lt;0,-1,MAX(BZ32,BC32)))</f>
        <v/>
      </c>
      <c r="CB32" s="64" t="str">
        <f>IF(V32&lt;&gt;"SÍ","",IF(AND(CA32&gt;0,FLOOR(MIN(BD32,100*INDEX(TABLAS!$D$52:$D$58,MIN(MATCH(IF(ISNUMBER(S32),S32,DATOS!$C$138),TABLAS!$B$52:$B$58,0)+0,7))/MAX(CA32,0.0001)),DATOS!$C$144)&gt;=DATOS!$C$143),INDEX(TABLAS!$B$52:$B$58,MIN(MATCH(IF(ISNUMBER(S32),S32,DATOS!$C$138),TABLAS!$B$52:$B$58,0)+0,7)),IF(AND(CA32&gt;0,FLOOR(MIN(BD32,100*INDEX(TABLAS!$D$52:$D$58,MIN(MATCH(IF(ISNUMBER(S32),S32,DATOS!$C$138),TABLAS!$B$52:$B$58,0)+1,7))/MAX(CA32,0.0001)),DATOS!$C$144)&gt;=DATOS!$C$143),INDEX(TABLAS!$B$52:$B$58,MIN(MATCH(IF(ISNUMBER(S32),S32,DATOS!$C$138),TABLAS!$B$52:$B$58,0)+1,7)),IF(AND(CA32&gt;0,FLOOR(MIN(BD32,100*INDEX(TABLAS!$D$52:$D$58,MIN(MATCH(IF(ISNUMBER(S32),S32,DATOS!$C$138),TABLAS!$B$52:$B$58,0)+2,7))/MAX(CA32,0.0001)),DATOS!$C$144)&gt;=DATOS!$C$143),INDEX(TABLAS!$B$52:$B$58,MIN(MATCH(IF(ISNUMBER(S32),S32,DATOS!$C$138),TABLAS!$B$52:$B$58,0)+2,7)),IF(AND(CA32&gt;0,FLOOR(MIN(BD32,100*INDEX(TABLAS!$D$52:$D$58,MIN(MATCH(IF(ISNUMBER(S32),S32,DATOS!$C$138),TABLAS!$B$52:$B$58,0)+3,7))/MAX(CA32,0.0001)),DATOS!$C$144)&gt;=DATOS!$C$143),INDEX(TABLAS!$B$52:$B$58,MIN(MATCH(IF(ISNUMBER(S32),S32,DATOS!$C$138),TABLAS!$B$52:$B$58,0)+3,7)),IF(AND(CA32&gt;0,FLOOR(MIN(BD32,100*INDEX(TABLAS!$D$52:$D$58,MIN(MATCH(IF(ISNUMBER(S32),S32,DATOS!$C$138),TABLAS!$B$52:$B$58,0)+4,7))/MAX(CA32,0.0001)),DATOS!$C$144)&gt;=DATOS!$C$143),INDEX(TABLAS!$B$52:$B$58,MIN(MATCH(IF(ISNUMBER(S32),S32,DATOS!$C$138),TABLAS!$B$52:$B$58,0)+4,7)),INDEX(TABLAS!$B$52:$B$58,7)))))))</f>
        <v/>
      </c>
      <c r="CC32" s="71" t="str">
        <f>IF(V32&lt;&gt;"SÍ","",IF(CA32&lt;=0,0,FLOOR(MIN(BD32,100*INDEX(TABLAS!$D$52:$D$58,MATCH(CB32,TABLAS!$B$52:$B$58,0))/CA32),DATOS!$C$144)))</f>
        <v/>
      </c>
      <c r="CD32" s="58" t="str">
        <f>IF(V32&lt;&gt;"SÍ","",IF(CC32&lt;=0,0,INDEX(TABLAS!$D$52:$D$58,MATCH(CB32,TABLAS!$B$52:$B$58,0))*100/CC32))</f>
        <v/>
      </c>
      <c r="CE32" s="58" t="str">
        <f>IF(V32&lt;&gt;"SÍ","",W32-AE32-INDEX(TABLAS!$C$52:$C$58,MATCH(BH32,TABLAS!$B$52:$B$58,0))-INDEX(TABLAS!$C$52:$C$58,MATCH(CB32,TABLAS!$B$52:$B$58,0))/2)</f>
        <v/>
      </c>
      <c r="CF32" s="56" t="str">
        <f>IF(V32&lt;&gt;"SÍ","",IF(CD32=0,0,DATOS!$C$29*CD32*DATOS!$C$14*(CE32-CD32*DATOS!$C$14/(DATOS!$C$21*100)/2)/1E5))</f>
        <v/>
      </c>
      <c r="CG32" s="65" t="str">
        <f>IF(V32&lt;&gt;"SÍ","",IF(CA32&lt;0,9.99,IF(CF32&gt;0,AZ32/CF32,0)))</f>
        <v/>
      </c>
      <c r="CH32" s="66" t="str">
        <f>IF(V32&lt;&gt;"SÍ","",IF(CD32=0,"—",0.003*(CE32-(CD32*DATOS!$C$14/(DATOS!$C$21*100)/DATOS!$C$22))/(CD32*DATOS!$C$14/(DATOS!$C$21*100)/DATOS!$C$22)))</f>
        <v/>
      </c>
      <c r="CI32" s="58" t="str">
        <f>IF(V32&lt;&gt;"SÍ","",((W32-AF32-1.5*INDEX(TABLAS!$C$52:$C$58,MATCH(IF(ISNUMBER(S32),S32,DATOS!$C$138),TABLAS!$B$52:$B$58,0)))-IF(AND((W32-AF32-1.5*INDEX(TABLAS!$C$52:$C$58,MATCH(IF(ISNUMBER(S32),S32,DATOS!$C$138),TABLAS!$B$52:$B$58,0)))&lt;=20,DATOS!$C$65&lt;&gt;"SÍ"),2,0)))</f>
        <v/>
      </c>
      <c r="CJ32" s="58" t="str">
        <f>IF(V32&lt;&gt;"SÍ","",IF(BA32&lt;=0,0,IF((1-2*BA32*1E5/(DATOS!$C$29*100*CI32^2*DATOS!$C$21))&lt;0,-1,IF((1-SQRT((1-2*BA32*1E5/(DATOS!$C$29*100*CI32^2*DATOS!$C$21))))*DATOS!$C$21*100*CI32/DATOS!$C$14&gt;DATOS!$C$102*100*CI32,-1,(1-SQRT((1-2*BA32*1E5/(DATOS!$C$29*100*CI32^2*DATOS!$C$21))))*DATOS!$C$21*100*CI32/DATOS!$C$14))))</f>
        <v/>
      </c>
      <c r="CK32" s="58" t="str">
        <f>IF(V32&lt;&gt;"SÍ","",IF(CJ32&lt;0,-1,MAX(CJ32,BC32)))</f>
        <v/>
      </c>
      <c r="CL32" s="64" t="str">
        <f>IF(V32&lt;&gt;"SÍ","",IF(AND(CK32&gt;0,FLOOR(MIN(BD32,100*INDEX(TABLAS!$D$52:$D$58,MIN(MATCH(IF(ISNUMBER(S32),S32,DATOS!$C$138),TABLAS!$B$52:$B$58,0)+0,7))/MAX(CK32,0.0001)),DATOS!$C$144)&gt;=DATOS!$C$143),INDEX(TABLAS!$B$52:$B$58,MIN(MATCH(IF(ISNUMBER(S32),S32,DATOS!$C$138),TABLAS!$B$52:$B$58,0)+0,7)),IF(AND(CK32&gt;0,FLOOR(MIN(BD32,100*INDEX(TABLAS!$D$52:$D$58,MIN(MATCH(IF(ISNUMBER(S32),S32,DATOS!$C$138),TABLAS!$B$52:$B$58,0)+1,7))/MAX(CK32,0.0001)),DATOS!$C$144)&gt;=DATOS!$C$143),INDEX(TABLAS!$B$52:$B$58,MIN(MATCH(IF(ISNUMBER(S32),S32,DATOS!$C$138),TABLAS!$B$52:$B$58,0)+1,7)),IF(AND(CK32&gt;0,FLOOR(MIN(BD32,100*INDEX(TABLAS!$D$52:$D$58,MIN(MATCH(IF(ISNUMBER(S32),S32,DATOS!$C$138),TABLAS!$B$52:$B$58,0)+2,7))/MAX(CK32,0.0001)),DATOS!$C$144)&gt;=DATOS!$C$143),INDEX(TABLAS!$B$52:$B$58,MIN(MATCH(IF(ISNUMBER(S32),S32,DATOS!$C$138),TABLAS!$B$52:$B$58,0)+2,7)),IF(AND(CK32&gt;0,FLOOR(MIN(BD32,100*INDEX(TABLAS!$D$52:$D$58,MIN(MATCH(IF(ISNUMBER(S32),S32,DATOS!$C$138),TABLAS!$B$52:$B$58,0)+3,7))/MAX(CK32,0.0001)),DATOS!$C$144)&gt;=DATOS!$C$143),INDEX(TABLAS!$B$52:$B$58,MIN(MATCH(IF(ISNUMBER(S32),S32,DATOS!$C$138),TABLAS!$B$52:$B$58,0)+3,7)),IF(AND(CK32&gt;0,FLOOR(MIN(BD32,100*INDEX(TABLAS!$D$52:$D$58,MIN(MATCH(IF(ISNUMBER(S32),S32,DATOS!$C$138),TABLAS!$B$52:$B$58,0)+4,7))/MAX(CK32,0.0001)),DATOS!$C$144)&gt;=DATOS!$C$143),INDEX(TABLAS!$B$52:$B$58,MIN(MATCH(IF(ISNUMBER(S32),S32,DATOS!$C$138),TABLAS!$B$52:$B$58,0)+4,7)),INDEX(TABLAS!$B$52:$B$58,7)))))))</f>
        <v/>
      </c>
      <c r="CM32" s="71" t="str">
        <f>IF(V32&lt;&gt;"SÍ","",IF(CK32&lt;=0,0,FLOOR(MIN(BD32,100*INDEX(TABLAS!$D$52:$D$58,MATCH(CL32,TABLAS!$B$52:$B$58,0))/CK32),DATOS!$C$144)))</f>
        <v/>
      </c>
      <c r="CN32" s="58" t="str">
        <f>IF(V32&lt;&gt;"SÍ","",IF(CM32&lt;=0,0,INDEX(TABLAS!$D$52:$D$58,MATCH(CL32,TABLAS!$B$52:$B$58,0))*100/CM32))</f>
        <v/>
      </c>
      <c r="CO32" s="58" t="str">
        <f>IF(V32&lt;&gt;"SÍ","",((W32-AF32-INDEX(TABLAS!$C$52:$C$58,MATCH(BR32,TABLAS!$B$52:$B$58,0))-INDEX(TABLAS!$C$52:$C$58,MATCH(CL32,TABLAS!$B$52:$B$58,0))/2)-IF(AND((W32-AF32-INDEX(TABLAS!$C$52:$C$58,MATCH(BR32,TABLAS!$B$52:$B$58,0))-INDEX(TABLAS!$C$52:$C$58,MATCH(CL32,TABLAS!$B$52:$B$58,0))/2)&lt;=20,DATOS!$C$65&lt;&gt;"SÍ"),2,0)))</f>
        <v/>
      </c>
      <c r="CP32" s="56" t="str">
        <f>IF(V32&lt;&gt;"SÍ","",IF(CN32=0,0,DATOS!$C$29*CN32*DATOS!$C$14*(CO32-CN32*DATOS!$C$14/(DATOS!$C$21*100)/2)/1E5))</f>
        <v/>
      </c>
      <c r="CQ32" s="65" t="str">
        <f>IF(V32&lt;&gt;"SÍ","",IF(CK32&lt;0,9.99,IF(CP32&gt;0,BA32/CP32,0)))</f>
        <v/>
      </c>
      <c r="CR32" s="66" t="str">
        <f>IF(V32&lt;&gt;"SÍ","",IF(CN32=0,"—",0.003*(CO32-(CN32*DATOS!$C$14/(DATOS!$C$21*100)/DATOS!$C$22))/(CN32*DATOS!$C$14/(DATOS!$C$21*100)/DATOS!$C$22)))</f>
        <v/>
      </c>
      <c r="CS32" s="56" t="str">
        <f>IF(V32&lt;&gt;"SÍ","",IF(C32="PERIMETRAL",MAX(0,(AC32/2-BU32)/100)*(0.95-0.5*AB32)*AK32*IF(AND(AL32&gt;0,AL32&lt;4),DATOS!$C$33,1)/1000,(AK32*MAX(0,AC32-BU32)/100+DATOS!$C$26*N(P32))/1000))</f>
        <v/>
      </c>
      <c r="CT32" s="66" t="str">
        <f>IF(V32&lt;&gt;"SÍ","",BT32/(100*BU32))</f>
        <v/>
      </c>
      <c r="CU32" s="56" t="str">
        <f>IF(V32&lt;&gt;"SÍ","",DATOS!$C$30*2*MIN(1,SQRT(2/(1+0.04*BU32)))*CT32^(1/3)*SQRT(DATOS!$C$13)*100*BU32/1000)</f>
        <v/>
      </c>
      <c r="CV32" s="67" t="str">
        <f>IF(V32&lt;&gt;"SÍ","",IF(CS32&lt;=CU32,"CUMPLE","NO CUMPLE: sube h"))</f>
        <v/>
      </c>
      <c r="CW32" s="58" t="str">
        <f>IF(V32&lt;&gt;"SÍ","",IF(C32="PERIMETRAL",IF(ISNUMBER(R32),R32,DATOS!$C$104),0))</f>
        <v/>
      </c>
      <c r="CX32" s="57" t="str">
        <f>IF(V32&lt;&gt;"SÍ","",IF(C32="PERIMETRAL",IF(CW32&gt;2,MAX(9,AD32*(0.8+DATOS!$C$14/14000)/(36+9*(AD32/MAX(AC32,1)))),IF(CW32&gt;0.2,MAX(13,AD32*(0.8+DATOS!$C$14/14000)/(36+5*(AD32/MAX(AC32,1))*(CW32-0.2))),MAX(13,AD32/IF(AL32&gt;0,30,33))))*IF(AND(CW32&gt;0.2,AL32&gt;0,DATOS!$C$105="NO"),1.1,1),Z32*100/DATOS!$C$145*(0.4+DATOS!$C$14/7000)))</f>
        <v/>
      </c>
      <c r="CY32" s="61" t="str">
        <f>IF(V32&lt;&gt;"SÍ","",IF(W32&gt;=CX32-0.001,"CUMPLE",IF(C32="VOLADO","NO CUMPLE","CALCULAR FLECHA")))</f>
        <v/>
      </c>
      <c r="CZ32" s="60" t="str">
        <f>IF(V32&lt;&gt;"SÍ","",IF(C32="VOLADO",MIN(FLOOR(IF(ISNUMBER(Q32),Q32,Z32)*100-DATOS!$C$63,5),CEILING(MAX(IF((0.5*(0.9*W32/100*DATOS!$C$16)*IF(ISNUMBER(Q32),Q32,Z32)+AY32/IF(ISNUMBER(Q32),Q32,Z32))^2-4*(0.5*(0.9*W32/100*DATOS!$C$16))*AY32&lt;0,IF(ISNUMBER(Q32),Q32,Z32),MIN(IF(ISNUMBER(Q32),Q32,Z32),((0.5*(0.9*W32/100*DATOS!$C$16)*IF(ISNUMBER(Q32),Q32,Z32)+AY32/IF(ISNUMBER(Q32),Q32,Z32))-SQRT((0.5*(0.9*W32/100*DATOS!$C$16)*IF(ISNUMBER(Q32),Q32,Z32)+AY32/IF(ISNUMBER(Q32),Q32,Z32))^2-4*(0.5*(0.9*W32/100*DATOS!$C$16))*AY32))/(2*(0.5*(0.9*W32/100*DATOS!$C$16)))))*100+MAX(BU32,12*INDEX(TABLAS!$C$52:$C$58,MATCH(BR32,TABLAS!$B$52:$B$58,0)),IF(ISNUMBER(Q32),Q32,Z32)*100/16),IF(OR(AF32&lt;INDEX(TABLAS!$C$52:$C$58,MATCH(BR32,TABLAS!$B$52:$B$58,0)),BS32-INDEX(TABLAS!$C$52:$C$58,MATCH(BR32,TABLAS!$B$52:$B$58,0))&lt;2*INDEX(TABLAS!$C$52:$C$58,MATCH(BR32,TABLAS!$B$52:$B$58,0))),INDEX(TABLAS!$I$52:$I$58,MATCH(BR32,TABLAS!$B$52:$B$58,0)),INDEX(TABLAS!$F$52:$F$58,MATCH(BR32,TABLAS!$B$52:$B$58,0)))),5)),IF(((4*((AV32*AK32*Z32^2*1E-4/1000)+((MAX(AR32,AT32)*AK32*Z32^2*1E-4/1000)+(IF(AND(AR32&gt;0,AT32&gt;0),MIN(AR32,AT32),MAX(AR32,AT32))*AK32*Z32^2*1E-4/1000))/2)+AY32-(IF(AND(AR32&gt;0,AT32&gt;0),MIN(AR32,AT32),MAX(AR32,AT32))*AK32*Z32^2*1E-4/1000))^2-16*((AV32*AK32*Z32^2*1E-4/1000)+((MAX(AR32,AT32)*AK32*Z32^2*1E-4/1000)+(IF(AND(AR32&gt;0,AT32&gt;0),MIN(AR32,AT32),MAX(AR32,AT32))*AK32*Z32^2*1E-4/1000))/2)*AY32)&lt;0,CEILING(AC32,5),CEILING(MAX(AC32*((4*((AV32*AK32*Z32^2*1E-4/1000)+((MAX(AR32,AT32)*AK32*Z32^2*1E-4/1000)+(IF(AND(AR32&gt;0,AT32&gt;0),MIN(AR32,AT32),MAX(AR32,AT32))*AK32*Z32^2*1E-4/1000))/2)+AY32-(IF(AND(AR32&gt;0,AT32&gt;0),MIN(AR32,AT32),MAX(AR32,AT32))*AK32*Z32^2*1E-4/1000))-SQRT(MAX(0,((4*((AV32*AK32*Z32^2*1E-4/1000)+((MAX(AR32,AT32)*AK32*Z32^2*1E-4/1000)+(IF(AND(AR32&gt;0,AT32&gt;0),MIN(AR32,AT32),MAX(AR32,AT32))*AK32*Z32^2*1E-4/1000))/2)+AY32-(IF(AND(AR32&gt;0,AT32&gt;0),MIN(AR32,AT32),MAX(AR32,AT32))*AK32*Z32^2*1E-4/1000))^2-16*((AV32*AK32*Z32^2*1E-4/1000)+((MAX(AR32,AT32)*AK32*Z32^2*1E-4/1000)+(IF(AND(AR32&gt;0,AT32&gt;0),MIN(AR32,AT32),MAX(AR32,AT32))*AK32*Z32^2*1E-4/1000))/2)*AY32))))/(8*MAX(((AV32*AK32*Z32^2*1E-4/1000)+((MAX(AR32,AT32)*AK32*Z32^2*1E-4/1000)+(IF(AND(AR32&gt;0,AT32&gt;0),MIN(AR32,AT32),MAX(AR32,AT32))*AK32*Z32^2*1E-4/1000))/2),1E-9))+MAX(BU32,12*INDEX(TABLAS!$C$52:$C$58,MATCH(BR32,TABLAS!$B$52:$B$58,0)),AC32/16),IF(OR(AF32&lt;INDEX(TABLAS!$C$52:$C$58,MATCH(BR32,TABLAS!$B$52:$B$58,0)),BS32-INDEX(TABLAS!$C$52:$C$58,MATCH(BR32,TABLAS!$B$52:$B$58,0))&lt;2*INDEX(TABLAS!$C$52:$C$58,MATCH(BR32,TABLAS!$B$52:$B$58,0))),INDEX(TABLAS!$I$52:$I$58,MATCH(BR32,TABLAS!$B$52:$B$58,0)),INDEX(TABLAS!$F$52:$F$58,MATCH(BR32,TABLAS!$B$52:$B$58,0)))),5))))</f>
        <v/>
      </c>
      <c r="DA32" s="60" t="str">
        <f>IF(V32&lt;&gt;"SÍ","",IF(C32="VOLADO",0,IF(((4*((AW32*AK32*Z32^2*1E-4/1000)+((MAX(AS32,AU32)*AK32*Z32^2*1E-4/1000)+(IF(AND(AS32&gt;0,AU32&gt;0),MIN(AS32,AU32),MAX(AS32,AU32))*AK32*Z32^2*1E-4/1000))/2)+BA32-(IF(AND(AS32&gt;0,AU32&gt;0),MIN(AS32,AU32),MAX(AS32,AU32))*AK32*Z32^2*1E-4/1000))^2-16*((AW32*AK32*Z32^2*1E-4/1000)+((MAX(AS32,AU32)*AK32*Z32^2*1E-4/1000)+(IF(AND(AS32&gt;0,AU32&gt;0),MIN(AS32,AU32),MAX(AS32,AU32))*AK32*Z32^2*1E-4/1000))/2)*BA32)&lt;0,CEILING(AD32,5),CEILING(MAX(AD32*((4*((AW32*AK32*Z32^2*1E-4/1000)+((MAX(AS32,AU32)*AK32*Z32^2*1E-4/1000)+(IF(AND(AS32&gt;0,AU32&gt;0),MIN(AS32,AU32),MAX(AS32,AU32))*AK32*Z32^2*1E-4/1000))/2)+BA32-(IF(AND(AS32&gt;0,AU32&gt;0),MIN(AS32,AU32),MAX(AS32,AU32))*AK32*Z32^2*1E-4/1000))-SQRT(MAX(0,((4*((AW32*AK32*Z32^2*1E-4/1000)+((MAX(AS32,AU32)*AK32*Z32^2*1E-4/1000)+(IF(AND(AS32&gt;0,AU32&gt;0),MIN(AS32,AU32),MAX(AS32,AU32))*AK32*Z32^2*1E-4/1000))/2)+BA32-(IF(AND(AS32&gt;0,AU32&gt;0),MIN(AS32,AU32),MAX(AS32,AU32))*AK32*Z32^2*1E-4/1000))^2-16*((AW32*AK32*Z32^2*1E-4/1000)+((MAX(AS32,AU32)*AK32*Z32^2*1E-4/1000)+(IF(AND(AS32&gt;0,AU32&gt;0),MIN(AS32,AU32),MAX(AS32,AU32))*AK32*Z32^2*1E-4/1000))/2)*BA32))))/(8*MAX(((AW32*AK32*Z32^2*1E-4/1000)+((MAX(AS32,AU32)*AK32*Z32^2*1E-4/1000)+(IF(AND(AS32&gt;0,AU32&gt;0),MIN(AS32,AU32),MAX(AS32,AU32))*AK32*Z32^2*1E-4/1000))/2),1E-9))+MAX(CO32,12*INDEX(TABLAS!$C$52:$C$58,MATCH(CL32,TABLAS!$B$52:$B$58,0)),AD32/16),IF(OR(AF32&lt;INDEX(TABLAS!$C$52:$C$58,MATCH(CL32,TABLAS!$B$52:$B$58,0)),CM32-INDEX(TABLAS!$C$52:$C$58,MATCH(CL32,TABLAS!$B$52:$B$58,0))&lt;2*INDEX(TABLAS!$C$52:$C$58,MATCH(CL32,TABLAS!$B$52:$B$58,0))),INDEX(TABLAS!$I$52:$I$58,MATCH(CL32,TABLAS!$B$52:$B$58,0)),INDEX(TABLAS!$F$52:$F$58,MATCH(CL32,TABLAS!$B$52:$B$58,0)))),5))))</f>
        <v/>
      </c>
      <c r="DB32" s="55" t="str">
        <f>IF(V32&lt;&gt;"SÍ","",IF(AND(C32="PERIMETRAL",AL32-AM32&gt;0,AT32&gt;0),"SÍ","NO"))</f>
        <v/>
      </c>
      <c r="DC32" s="55" t="str">
        <f>IF(V32&lt;&gt;"SÍ","",IF(AND(C32="PERIMETRAL",AM32&gt;0,AU32&gt;0),"SÍ","NO"))</f>
        <v/>
      </c>
      <c r="DD32" s="63" t="str">
        <f>IF(V32&lt;&gt;"SÍ","",IF(OR(C32="VOLADO",AL32=0),"—",IF(AND(AND(INDEX(TABLAS!$G$52:$G$58,MATCH(MAX(BR32,CL32),TABLAS!$B$52:$B$58,0))&lt;=(DATOS!$C$75-DATOS!$C$63),(DATOS!$C$75-DATOS!$C$63)&gt;=15),8*INDEX(TABLAS!$C$52:$C$58,MATCH(MAX(BH32,CB32,BR32,CL32),TABLAS!$B$52:$B$58,0))&lt;=DATOS!$C$76-2*DATOS!$C$63),"CUMPLE (gancho de 180°)",IF(AND(INDEX(TABLAS!$G$52:$G$58,MATCH(MAX(BR32,CL32),TABLAS!$B$52:$B$58,0))&lt;=(DATOS!$C$75-DATOS!$C$63),(DATOS!$C$75-DATOS!$C$63)&gt;=15),"NO CUMPLE: el gancho de 180° (8·d_b) no cabe en el peralte de la dala de borde","NO CUMPLE: dala de borde ≥ "&amp;TEXT(CEILING(MAX(INDEX(TABLAS!$G$52:$G$58,MATCH(MAX(BR32,CL32),TABLAS!$B$52:$B$58,0)),15)+DATOS!$C$63,5),"0")&amp;" cm de ancho"&amp;IF(8*INDEX(TABLAS!$C$52:$C$58,MATCH(MAX(BH32,CB32,BR32,CL32),TABLAS!$B$52:$B$58,0))&lt;=DATOS!$C$76-2*DATOS!$C$63,""," y más peralte para el gancho")))))</f>
        <v/>
      </c>
      <c r="DE32" s="69" t="str">
        <f>IF(V32&lt;&gt;"SÍ","",IF(BI32=0,"NO ALCANZA","No. "&amp;BH32&amp;" @ "&amp;BI32&amp;" cm"&amp;IF(C32="VOLADO"," (temperatura)","")))</f>
        <v/>
      </c>
      <c r="DF32" s="69" t="str">
        <f>IF(V32&lt;&gt;"SÍ","",IF(BS32=0,"NO ALCANZA",IF(C32="VOLADO","No. "&amp;BR32&amp;" @ "&amp;BS32&amp;" cm"&amp;" de la orilla al respaldo ("&amp;IF(CZ32&gt;=FLOOR(100*IF(ISNUMBER(Q32),Q32,Z32)-DATOS!$C$63,5),"hasta su apoyo lejano, con gancho","entran "&amp;TEXT(CZ32/100,"0.00")&amp;" m desde el paño")&amp;")","Bastones "&amp;"No. "&amp;BR32&amp;" @ "&amp;BS32&amp;" cm"&amp;", L = "&amp;TEXT(CZ32/100,"0.00")&amp;" m desde el paño")))</f>
        <v/>
      </c>
      <c r="DG32" s="69" t="str">
        <f>IF(V32&lt;&gt;"SÍ","",IF(CC32=0,"NO ALCANZA","No. "&amp;CB32&amp;" @ "&amp;CC32&amp;" cm"&amp;IF(C32="VOLADO"," (repartición)","")))</f>
        <v/>
      </c>
      <c r="DH32" s="69" t="str">
        <f>IF(V32&lt;&gt;"SÍ","",IF(CM32=0,"NO ALCANZA",IF(C32="VOLADO","No. "&amp;CL32&amp;" @ "&amp;CM32&amp;" cm"&amp;" (repartición)","Bastones "&amp;"No. "&amp;CL32&amp;" @ "&amp;CM32&amp;" cm"&amp;", L = "&amp;TEXT(DA32/100,"0.00")&amp;" m desde el paño")))</f>
        <v/>
      </c>
      <c r="DI32" s="67" t="str">
        <f>IF(B32="","",IF(V32&lt;&gt;"SÍ","FALTAN DATOS: tipo, a_x, a_y, destino y, en volados, L_b",IF(L32="NO MONOLÍTICO (caso II)","FUERA DE ALCANCE: caso II no transcrito",IF(AND(C32="VOLADO",X32="?"),"REVISAR: el volado lleva UN solo borde CONTINUO (el empotrado)",IF(AND(MAX(BM32,BW32,CG32,CQ32)&lt;=1,NOT(OR(BI32&lt;DATOS!$C$143,BS32&lt;DATOS!$C$143,CC32&lt;DATOS!$C$143,CM32&lt;DATOS!$C$143)),NOT(OR(AND(ISNUMBER(BN32),BN32&lt;0.005),AND(ISNUMBER(BX32),BX32&lt;0.005),AND(ISNUMBER(CH32),CH32&lt;0.005),AND(ISNUMBER(CR32),CR32&lt;0.005))),CV32="CUMPLE",CY32="CUMPLE"),"CUMPLE"&amp;IF(LEFT(BB32,5)="FUERA"," · fuera de 3.4.2.1 c)","")&amp;IF(LEFT(DD32,2)="NO"," · REVISAR anclaje en borde discontinuo",""),IF(AND(MAX(BM32,BW32,CG32,CQ32)&lt;=1,NOT(OR(BI32&lt;DATOS!$C$143,BS32&lt;DATOS!$C$143,CC32&lt;DATOS!$C$143,CM32&lt;DATOS!$C$143)),NOT(OR(AND(ISNUMBER(BN32),BN32&lt;0.005),AND(ISNUMBER(BX32),BX32&lt;0.005),AND(ISNUMBER(CH32),CH32&lt;0.005),AND(ISNUMBER(CR32),CR32&lt;0.005))),CV32="CUMPLE",CY32="CALCULAR FLECHA"),"REVISAR: calcular flecha (h &lt; h mín.)"&amp;IF(LEFT(BB32,5)="FUERA"," · fuera de 3.4.2.1 c)","")&amp;IF(LEFT(DD32,2)="NO"," · REVISAR anclaje en borde discontinuo",""),"NO CUMPLE: "&amp;IF(MAX(BM32,BW32,CG32,CQ32)&gt;1,"flexión ","")&amp;IF(OR(BI32&lt;DATOS!$C$143,BS32&lt;DATOS!$C$143,CC32&lt;DATOS!$C$143,CM32&lt;DATOS!$C$143),"separación &lt; mínima ","")&amp;IF(OR(AND(ISNUMBER(BN32),BN32&lt;0.005),AND(ISNUMBER(BX32),BX32&lt;0.005),AND(ISNUMBER(CH32),CH32&lt;0.005),AND(ISNUMBER(CR32),CR32&lt;0.005)),"ε_t &lt; 0.005 ","")&amp;IF(CV32&lt;&gt;"CUMPLE","cortante ","")&amp;IF(CY32="NO CUMPLE","peralte","")))))))</f>
        <v/>
      </c>
      <c r="DJ32" s="70" t="str">
        <f>IF(V32&lt;&gt;"SÍ","",IF(LEFT(B32,7)="EJEMPLO","EJEMPLO de tablero típico: bórralo o sobrescríbelo. ","")&amp;IF(C32="VOLADO","Volado de "&amp;TEXT(Z32,"0.00")&amp;" m empotrado en el borde "&amp;LOWER(X32)&amp;IF(N(P32)&gt;0,", con "&amp;TEXT(P32,"0.0")&amp;" kg/m en la orilla","")&amp;". Lecho inferior con r_ext. Si la orilla carga pretil u otro elemento frágil, calcula la flecha (13.4). El acero superior entra al respaldo de "&amp;TEXT(IF(ISNUMBER(Q32),Q32,Z32),"0.00")&amp;" m"&amp;" hasta pasar M = 0 con 0.9·PP sin carga viva; si ahí no se anula, llega al apoyo lejano y se ancla con gancho. ","")&amp;IF(AND(C32="VOLADO",(0.9*W32/100*DATOS!$C$16*IF(ISNUMBER(Q32),Q32,Z32)/2-AY32/IF(ISNUMBER(Q32),Q32,Z32))&lt;0),"Con 0.9·PP y sin carga viva el apoyo lejano del respaldo levanta (R = "&amp;TEXT(-(0.9*W32/100*DATOS!$C$16*IF(ISNUMBER(Q32),Q32,Z32)/2-AY32/IF(ISNUMBER(Q32),Q32,Z32)),"0.00")&amp;" t/m): ancla ahí el acero con gancho y revisa ese apoyo a tensión. ","")&amp;IF(LEFT(BB32,5)="FUERA","El M⁻ del vecino difiere más de 50 % (3.4.2.1 c): distribuye el desequilibrio (3.4.3.1) o confirma con un modelo; se arma con el mayor. ","")&amp;IF(OR(DB32="SÍ",DC32="SÍ"),"Bastones también en los bordes discontinuos (M⁻ de tabla), con gancho. ","")&amp;IF(LEFT(DD32,2)="NO","Anclaje: "&amp;DD32&amp;" (6.7.7.4.1.1). ","")&amp;IF(AND(C32="PERIMETRAL",AM32&gt;=1,AL32-AM32&gt;=1),"Esquinas exteriores sobre muro: refuerzo de esquina arriba y abajo en L_largo/5 (6.7.7.3.1). ",""))</f>
        <v/>
      </c>
    </row>
    <row r="33" ht="33" customHeight="1">
      <c r="A33" s="50">
        <f>IF(B33="",0,1)+A32</f>
        <v>3</v>
      </c>
      <c r="B33" s="29" t="n"/>
      <c r="C33" s="51" t="n"/>
      <c r="D33" s="29" t="n"/>
      <c r="E33" s="52" t="n"/>
      <c r="F33" s="52" t="n"/>
      <c r="G33" s="51" t="n"/>
      <c r="H33" s="51" t="n"/>
      <c r="I33" s="51" t="n"/>
      <c r="J33" s="51" t="n"/>
      <c r="K33" s="51" t="n"/>
      <c r="L33" s="51" t="n"/>
      <c r="M33" s="54" t="n"/>
      <c r="N33" s="53" t="n"/>
      <c r="O33" s="53" t="n"/>
      <c r="P33" s="54" t="n"/>
      <c r="Q33" s="52" t="n"/>
      <c r="R33" s="54" t="n"/>
      <c r="S33" s="53" t="n"/>
      <c r="T33" s="52" t="n"/>
      <c r="U33" s="52" t="n"/>
      <c r="V33" s="55" t="str">
        <f>IF(B33="","",IF(AND(OR(C33="PERIMETRAL",C33="VOLADO"),ISNUMBER(E33),ISNUMBER(F33),E33&gt;0,F33&gt;0,OR(ISNUMBER(O33),ISNUMBER(MATCH(D33,DATOS!$B$46:$B$58,0))),OR(C33&lt;&gt;"VOLADO",N(Q33)&gt;0)),"SÍ","NO"))</f>
        <v/>
      </c>
      <c r="W33" s="57" t="str">
        <f>IF(V33&lt;&gt;"SÍ","",IF(ISNUMBER(M33),M33,DATOS!$C$137))</f>
        <v/>
      </c>
      <c r="X33" s="55" t="str">
        <f>IF(V33&lt;&gt;"SÍ","",IF(C33&lt;&gt;"VOLADO","—",IF(COUNTIF(G33:J33,"CONTINUO")&lt;&gt;1,"?",IF(G33="CONTINUO","INFERIOR",IF(H33="CONTINUO","SUPERIOR",IF(I33="CONTINUO","IZQUIERDO","DERECHO"))))))</f>
        <v/>
      </c>
      <c r="Y33" s="55" t="str">
        <f>IF(V33&lt;&gt;"SÍ","",IF(C33="VOLADO",IF(OR(X33="IZQUIERDO",X33="DERECHO"),"X","Y"),IF(E33&lt;=F33,"X","Y")))</f>
        <v/>
      </c>
      <c r="Z33" s="56" t="str">
        <f>IF(V33&lt;&gt;"SÍ","",IF(C33="VOLADO",IF(Y33="X",E33,F33),MIN(E33,F33)))</f>
        <v/>
      </c>
      <c r="AA33" s="56" t="str">
        <f>IF(V33&lt;&gt;"SÍ","",IF(C33="VOLADO",IF(Y33="X",F33,E33),MAX(E33,F33)))</f>
        <v/>
      </c>
      <c r="AB33" s="56" t="str">
        <f>IF(V33&lt;&gt;"SÍ","",MIN(Z33,AA33)/MAX(Z33,AA33))</f>
        <v/>
      </c>
      <c r="AC33" s="57" t="str">
        <f>IF(V33&lt;&gt;"SÍ","",MAX(1,Z33*100-IF(C33="VOLADO",DATOS!$C$87/2,DATOS!$C$87)))</f>
        <v/>
      </c>
      <c r="AD33" s="57" t="str">
        <f>IF(V33&lt;&gt;"SÍ","",MAX(1,AA33*100-DATOS!$C$87))</f>
        <v/>
      </c>
      <c r="AE33" s="57" t="str">
        <f>IF(V33&lt;&gt;"SÍ","",IF(C33="VOLADO",DATOS!$C$64,DATOS!$C$62))</f>
        <v/>
      </c>
      <c r="AF33" s="57" t="str">
        <f>IF(V33&lt;&gt;"SÍ","",IF(OR(AND(AG33="SÍ",DATOS!$C$66="SÍ"),AND(C33="VOLADO",DATOS!$C$67="SÍ")),DATOS!$C$64,DATOS!$C$62))</f>
        <v/>
      </c>
      <c r="AG33" s="55" t="str">
        <f>IF(V33&lt;&gt;"SÍ","",IFERROR(INDEX(DATOS!$D$46:$D$58,MATCH(D33,DATOS!$B$46:$B$58,0)),"NO"))</f>
        <v/>
      </c>
      <c r="AH33" s="59" t="str">
        <f>IF(V33&lt;&gt;"SÍ","",IF(ISNUMBER(O33),O33,IFERROR(INDEX(DATOS!$C$46:$C$58,MATCH(D33,DATOS!$B$46:$B$58,0)),0)))</f>
        <v/>
      </c>
      <c r="AI33" s="59" t="str">
        <f>IF(V33&lt;&gt;"SÍ","",W33/100*DATOS!$C$16*1000+DATOS!$C$37+DATOS!$C$38)</f>
        <v/>
      </c>
      <c r="AJ33" s="59" t="str">
        <f>IF(V33&lt;&gt;"SÍ","",AI33+N(N33))</f>
        <v/>
      </c>
      <c r="AK33" s="60" t="str">
        <f>IF(V33&lt;&gt;"SÍ","",MAX(DATOS!$C$26*AJ33+DATOS!$C$27*AH33,IF(AG33="SÍ",DATOS!$C$28*(AJ33+DATOS!$C$41),0)))</f>
        <v/>
      </c>
      <c r="AL33" s="59" t="str">
        <f>IF(V33&lt;&gt;"SÍ","",(G33="DISCONTINUO")+(H33="DISCONTINUO")+(I33="DISCONTINUO")+(J33="DISCONTINUO"))</f>
        <v/>
      </c>
      <c r="AM33" s="59" t="str">
        <f>IF(V33&lt;&gt;"SÍ","",IF(Y33="X",(G33="DISCONTINUO")+(H33="DISCONTINUO"),(I33="DISCONTINUO")+(J33="DISCONTINUO")))</f>
        <v/>
      </c>
      <c r="AN33" s="55" t="str">
        <f>IF(V33&lt;&gt;"SÍ","",IF(AL33=0,"INTERIOR",IF(AL33=1,IF(AM33=1,"BORDE-CORTO","BORDE-LARGO"),IF(AL33=2,IF(AM33=1,"ESQUINA",IF(AM33=2,"EXTREMO-LARGO","EXTREMO-CORTO")),IF(AL33=3,IF(AM33=2,"EXTREMO-LARGO","EXTREMO-CORTO"),"AISLADO")))))</f>
        <v/>
      </c>
      <c r="AO33" s="61" t="str">
        <f>IF(V33&lt;&gt;"SÍ","",IF(OR(K33="",K33="AUTO"),AN33,K33))</f>
        <v/>
      </c>
      <c r="AP33" s="59" t="str">
        <f>IF(V33&lt;&gt;"SÍ","",MATCH(AB33,TABLAS!$D$5:$J$5,1))</f>
        <v/>
      </c>
      <c r="AQ33" s="58" t="str">
        <f>IF(V33&lt;&gt;"SÍ","",IF(AP33&gt;=7,0,(AB33-INDEX(TABLAS!$D$5:$J$5,AP33))/(INDEX(TABLAS!$D$5:$J$5,AP33+1)-INDEX(TABLAS!$D$5:$J$5,AP33))))</f>
        <v/>
      </c>
      <c r="AR33" s="59" t="str">
        <f>IF(V33&lt;&gt;"SÍ","",INDEX(TABLAS!$D$6:$J$47,MATCH(AO33&amp;"|NIC",TABLAS!$B$6:$B$47,0),AP33)+AQ33*(INDEX(TABLAS!$D$6:$J$47,MATCH(AO33&amp;"|NIC",TABLAS!$B$6:$B$47,0),MIN(AP33+1,7))-INDEX(TABLAS!$D$6:$J$47,MATCH(AO33&amp;"|NIC",TABLAS!$B$6:$B$47,0),AP33)))</f>
        <v/>
      </c>
      <c r="AS33" s="59" t="str">
        <f>IF(V33&lt;&gt;"SÍ","",INDEX(TABLAS!$D$6:$J$47,MATCH(AO33&amp;"|NIL",TABLAS!$B$6:$B$47,0),AP33)+AQ33*(INDEX(TABLAS!$D$6:$J$47,MATCH(AO33&amp;"|NIL",TABLAS!$B$6:$B$47,0),MIN(AP33+1,7))-INDEX(TABLAS!$D$6:$J$47,MATCH(AO33&amp;"|NIL",TABLAS!$B$6:$B$47,0),AP33)))</f>
        <v/>
      </c>
      <c r="AT33" s="59" t="str">
        <f>IF(V33&lt;&gt;"SÍ","",INDEX(TABLAS!$D$6:$J$47,MATCH(AO33&amp;"|NDC",TABLAS!$B$6:$B$47,0),AP33)+AQ33*(INDEX(TABLAS!$D$6:$J$47,MATCH(AO33&amp;"|NDC",TABLAS!$B$6:$B$47,0),MIN(AP33+1,7))-INDEX(TABLAS!$D$6:$J$47,MATCH(AO33&amp;"|NDC",TABLAS!$B$6:$B$47,0),AP33)))</f>
        <v/>
      </c>
      <c r="AU33" s="59" t="str">
        <f>IF(V33&lt;&gt;"SÍ","",INDEX(TABLAS!$D$6:$J$47,MATCH(AO33&amp;"|NDL",TABLAS!$B$6:$B$47,0),AP33)+AQ33*(INDEX(TABLAS!$D$6:$J$47,MATCH(AO33&amp;"|NDL",TABLAS!$B$6:$B$47,0),MIN(AP33+1,7))-INDEX(TABLAS!$D$6:$J$47,MATCH(AO33&amp;"|NDL",TABLAS!$B$6:$B$47,0),AP33)))</f>
        <v/>
      </c>
      <c r="AV33" s="59" t="str">
        <f>IF(V33&lt;&gt;"SÍ","",INDEX(TABLAS!$D$6:$J$47,MATCH(AO33&amp;"|PC",TABLAS!$B$6:$B$47,0),AP33)+AQ33*(INDEX(TABLAS!$D$6:$J$47,MATCH(AO33&amp;"|PC",TABLAS!$B$6:$B$47,0),MIN(AP33+1,7))-INDEX(TABLAS!$D$6:$J$47,MATCH(AO33&amp;"|PC",TABLAS!$B$6:$B$47,0),AP33)))</f>
        <v/>
      </c>
      <c r="AW33" s="59" t="str">
        <f>IF(V33&lt;&gt;"SÍ","",INDEX(TABLAS!$D$6:$J$47,MATCH(AO33&amp;"|PL",TABLAS!$B$6:$B$47,0),AP33)+AQ33*(INDEX(TABLAS!$D$6:$J$47,MATCH(AO33&amp;"|PL",TABLAS!$B$6:$B$47,0),MIN(AP33+1,7))-INDEX(TABLAS!$D$6:$J$47,MATCH(AO33&amp;"|PL",TABLAS!$B$6:$B$47,0),AP33)))</f>
        <v/>
      </c>
      <c r="AX33" s="56" t="str">
        <f>IF(V33&lt;&gt;"SÍ","",IF(C33="PERIMETRAL",AV33*AK33*Z33^2*1E-4/1000,0))</f>
        <v/>
      </c>
      <c r="AY33" s="62" t="str">
        <f>IF(V33&lt;&gt;"SÍ","",IF(C33="PERIMETRAL",MAX(MAX(AR33,AT33)*AK33*Z33^2*1E-4/1000,N(T33)),(AK33*(AC33/100)^2/2+DATOS!$C$26*N(P33)*AC33/100)/1000))</f>
        <v/>
      </c>
      <c r="AZ33" s="56" t="str">
        <f>IF(V33&lt;&gt;"SÍ","",IF(C33="PERIMETRAL",AW33*AK33*Z33^2*1E-4/1000,0))</f>
        <v/>
      </c>
      <c r="BA33" s="56" t="str">
        <f>IF(V33&lt;&gt;"SÍ","",IF(C33="PERIMETRAL",MAX(MAX(AS33,AU33)*AK33*Z33^2*1E-4/1000,N(U33)),0))</f>
        <v/>
      </c>
      <c r="BB33" s="63" t="str">
        <f>IF(V33&lt;&gt;"SÍ","",IF(C33&lt;&gt;"PERIMETRAL","—",IF(AND(N(T33)=0,N(U33)=0),"— (sin M⁻ del vecino)",IF(OR(AND(N(T33)&gt;0,ABS(MAX(AR33,AT33)*AK33*Z33^2*1E-4/1000-N(T33))&gt;0.5*MIN(MAX(AR33,AT33)*AK33*Z33^2*1E-4/1000,N(T33))),AND(N(U33)&gt;0,ABS(MAX(AS33,AU33)*AK33*Z33^2*1E-4/1000-N(U33))&gt;0.5*MIN(MAX(AS33,AU33)*AK33*Z33^2*1E-4/1000,N(U33)))),"FUERA: difieren &gt; 50 %"&amp;IF(AND(N(T33)&gt;0,ABS(MAX(AR33,AT33)*AK33*Z33^2*1E-4/1000-N(T33))&gt;0.5*MIN(MAX(AR33,AT33)*AK33*Z33^2*1E-4/1000,N(T33)))," ‖ corto","")&amp;IF(AND(N(U33)&gt;0,ABS(MAX(AS33,AU33)*AK33*Z33^2*1E-4/1000-N(U33))&gt;0.5*MIN(MAX(AS33,AU33)*AK33*Z33^2*1E-4/1000,N(U33)))," ‖ largo",""),"CUMPLE"))))</f>
        <v/>
      </c>
      <c r="BC33" s="58" t="str">
        <f>IF(V33&lt;&gt;"SÍ","",DATOS!$C$139*100*W33)</f>
        <v/>
      </c>
      <c r="BD33" s="57" t="str">
        <f>IF(V33&lt;&gt;"SÍ","",MIN(IF(C33="VOLADO",DATOS!$C$141,DATOS!$C$140)*W33,DATOS!$C$142))</f>
        <v/>
      </c>
      <c r="BE33" s="58" t="str">
        <f>IF(V33&lt;&gt;"SÍ","",(W33-AE33-INDEX(TABLAS!$C$52:$C$58,MATCH(IF(ISNUMBER(S33),S33,DATOS!$C$138),TABLAS!$B$52:$B$58,0))/2))</f>
        <v/>
      </c>
      <c r="BF33" s="58" t="str">
        <f>IF(V33&lt;&gt;"SÍ","",IF(AX33&lt;=0,0,IF((1-2*AX33*1E5/(DATOS!$C$29*100*BE33^2*DATOS!$C$21))&lt;0,-1,IF((1-SQRT((1-2*AX33*1E5/(DATOS!$C$29*100*BE33^2*DATOS!$C$21))))*DATOS!$C$21*100*BE33/DATOS!$C$14&gt;DATOS!$C$102*100*BE33,-1,(1-SQRT((1-2*AX33*1E5/(DATOS!$C$29*100*BE33^2*DATOS!$C$21))))*DATOS!$C$21*100*BE33/DATOS!$C$14))))</f>
        <v/>
      </c>
      <c r="BG33" s="58" t="str">
        <f>IF(V33&lt;&gt;"SÍ","",IF(BF33&lt;0,-1,MAX(BF33,BC33)))</f>
        <v/>
      </c>
      <c r="BH33" s="64" t="str">
        <f>IF(V33&lt;&gt;"SÍ","",IF(AND(BG33&gt;0,FLOOR(MIN(BD33,100*INDEX(TABLAS!$D$52:$D$58,MIN(MATCH(IF(ISNUMBER(S33),S33,DATOS!$C$138),TABLAS!$B$52:$B$58,0)+0,7))/MAX(BG33,0.0001)),DATOS!$C$144)&gt;=DATOS!$C$143),INDEX(TABLAS!$B$52:$B$58,MIN(MATCH(IF(ISNUMBER(S33),S33,DATOS!$C$138),TABLAS!$B$52:$B$58,0)+0,7)),IF(AND(BG33&gt;0,FLOOR(MIN(BD33,100*INDEX(TABLAS!$D$52:$D$58,MIN(MATCH(IF(ISNUMBER(S33),S33,DATOS!$C$138),TABLAS!$B$52:$B$58,0)+1,7))/MAX(BG33,0.0001)),DATOS!$C$144)&gt;=DATOS!$C$143),INDEX(TABLAS!$B$52:$B$58,MIN(MATCH(IF(ISNUMBER(S33),S33,DATOS!$C$138),TABLAS!$B$52:$B$58,0)+1,7)),IF(AND(BG33&gt;0,FLOOR(MIN(BD33,100*INDEX(TABLAS!$D$52:$D$58,MIN(MATCH(IF(ISNUMBER(S33),S33,DATOS!$C$138),TABLAS!$B$52:$B$58,0)+2,7))/MAX(BG33,0.0001)),DATOS!$C$144)&gt;=DATOS!$C$143),INDEX(TABLAS!$B$52:$B$58,MIN(MATCH(IF(ISNUMBER(S33),S33,DATOS!$C$138),TABLAS!$B$52:$B$58,0)+2,7)),IF(AND(BG33&gt;0,FLOOR(MIN(BD33,100*INDEX(TABLAS!$D$52:$D$58,MIN(MATCH(IF(ISNUMBER(S33),S33,DATOS!$C$138),TABLAS!$B$52:$B$58,0)+3,7))/MAX(BG33,0.0001)),DATOS!$C$144)&gt;=DATOS!$C$143),INDEX(TABLAS!$B$52:$B$58,MIN(MATCH(IF(ISNUMBER(S33),S33,DATOS!$C$138),TABLAS!$B$52:$B$58,0)+3,7)),IF(AND(BG33&gt;0,FLOOR(MIN(BD33,100*INDEX(TABLAS!$D$52:$D$58,MIN(MATCH(IF(ISNUMBER(S33),S33,DATOS!$C$138),TABLAS!$B$52:$B$58,0)+4,7))/MAX(BG33,0.0001)),DATOS!$C$144)&gt;=DATOS!$C$143),INDEX(TABLAS!$B$52:$B$58,MIN(MATCH(IF(ISNUMBER(S33),S33,DATOS!$C$138),TABLAS!$B$52:$B$58,0)+4,7)),INDEX(TABLAS!$B$52:$B$58,7)))))))</f>
        <v/>
      </c>
      <c r="BI33" s="71" t="str">
        <f>IF(V33&lt;&gt;"SÍ","",IF(BG33&lt;=0,0,FLOOR(MIN(BD33,100*INDEX(TABLAS!$D$52:$D$58,MATCH(BH33,TABLAS!$B$52:$B$58,0))/BG33),DATOS!$C$144)))</f>
        <v/>
      </c>
      <c r="BJ33" s="58" t="str">
        <f>IF(V33&lt;&gt;"SÍ","",IF(BI33&lt;=0,0,INDEX(TABLAS!$D$52:$D$58,MATCH(BH33,TABLAS!$B$52:$B$58,0))*100/BI33))</f>
        <v/>
      </c>
      <c r="BK33" s="58" t="str">
        <f>IF(V33&lt;&gt;"SÍ","",W33-AE33-INDEX(TABLAS!$C$52:$C$58,MATCH(BH33,TABLAS!$B$52:$B$58,0))/2)</f>
        <v/>
      </c>
      <c r="BL33" s="56" t="str">
        <f>IF(V33&lt;&gt;"SÍ","",IF(BJ33=0,0,DATOS!$C$29*BJ33*DATOS!$C$14*(BK33-BJ33*DATOS!$C$14/(DATOS!$C$21*100)/2)/1E5))</f>
        <v/>
      </c>
      <c r="BM33" s="65" t="str">
        <f>IF(V33&lt;&gt;"SÍ","",IF(BG33&lt;0,9.99,IF(BL33&gt;0,AX33/BL33,0)))</f>
        <v/>
      </c>
      <c r="BN33" s="66" t="str">
        <f>IF(V33&lt;&gt;"SÍ","",IF(BJ33=0,"—",0.003*(BK33-(BJ33*DATOS!$C$14/(DATOS!$C$21*100)/DATOS!$C$22))/(BJ33*DATOS!$C$14/(DATOS!$C$21*100)/DATOS!$C$22)))</f>
        <v/>
      </c>
      <c r="BO33" s="58" t="str">
        <f>IF(V33&lt;&gt;"SÍ","",((W33-AF33-INDEX(TABLAS!$C$52:$C$58,MATCH(IF(ISNUMBER(S33),S33,DATOS!$C$138),TABLAS!$B$52:$B$58,0))/2)-IF(AND((W33-AF33-INDEX(TABLAS!$C$52:$C$58,MATCH(IF(ISNUMBER(S33),S33,DATOS!$C$138),TABLAS!$B$52:$B$58,0))/2)&lt;=20,DATOS!$C$65&lt;&gt;"SÍ"),2,0)))</f>
        <v/>
      </c>
      <c r="BP33" s="58" t="str">
        <f>IF(V33&lt;&gt;"SÍ","",IF(AY33&lt;=0,0,IF((1-2*AY33*1E5/(DATOS!$C$29*100*BO33^2*DATOS!$C$21))&lt;0,-1,IF((1-SQRT((1-2*AY33*1E5/(DATOS!$C$29*100*BO33^2*DATOS!$C$21))))*DATOS!$C$21*100*BO33/DATOS!$C$14&gt;DATOS!$C$102*100*BO33,-1,(1-SQRT((1-2*AY33*1E5/(DATOS!$C$29*100*BO33^2*DATOS!$C$21))))*DATOS!$C$21*100*BO33/DATOS!$C$14))))</f>
        <v/>
      </c>
      <c r="BQ33" s="58" t="str">
        <f>IF(V33&lt;&gt;"SÍ","",IF(BP33&lt;0,-1,MAX(BP33,BC33)))</f>
        <v/>
      </c>
      <c r="BR33" s="64" t="str">
        <f>IF(V33&lt;&gt;"SÍ","",IF(AND(BQ33&gt;0,FLOOR(MIN(BD33,100*INDEX(TABLAS!$D$52:$D$58,MIN(MATCH(IF(ISNUMBER(S33),S33,DATOS!$C$138),TABLAS!$B$52:$B$58,0)+0,7))/MAX(BQ33,0.0001)),DATOS!$C$144)&gt;=DATOS!$C$143),INDEX(TABLAS!$B$52:$B$58,MIN(MATCH(IF(ISNUMBER(S33),S33,DATOS!$C$138),TABLAS!$B$52:$B$58,0)+0,7)),IF(AND(BQ33&gt;0,FLOOR(MIN(BD33,100*INDEX(TABLAS!$D$52:$D$58,MIN(MATCH(IF(ISNUMBER(S33),S33,DATOS!$C$138),TABLAS!$B$52:$B$58,0)+1,7))/MAX(BQ33,0.0001)),DATOS!$C$144)&gt;=DATOS!$C$143),INDEX(TABLAS!$B$52:$B$58,MIN(MATCH(IF(ISNUMBER(S33),S33,DATOS!$C$138),TABLAS!$B$52:$B$58,0)+1,7)),IF(AND(BQ33&gt;0,FLOOR(MIN(BD33,100*INDEX(TABLAS!$D$52:$D$58,MIN(MATCH(IF(ISNUMBER(S33),S33,DATOS!$C$138),TABLAS!$B$52:$B$58,0)+2,7))/MAX(BQ33,0.0001)),DATOS!$C$144)&gt;=DATOS!$C$143),INDEX(TABLAS!$B$52:$B$58,MIN(MATCH(IF(ISNUMBER(S33),S33,DATOS!$C$138),TABLAS!$B$52:$B$58,0)+2,7)),IF(AND(BQ33&gt;0,FLOOR(MIN(BD33,100*INDEX(TABLAS!$D$52:$D$58,MIN(MATCH(IF(ISNUMBER(S33),S33,DATOS!$C$138),TABLAS!$B$52:$B$58,0)+3,7))/MAX(BQ33,0.0001)),DATOS!$C$144)&gt;=DATOS!$C$143),INDEX(TABLAS!$B$52:$B$58,MIN(MATCH(IF(ISNUMBER(S33),S33,DATOS!$C$138),TABLAS!$B$52:$B$58,0)+3,7)),IF(AND(BQ33&gt;0,FLOOR(MIN(BD33,100*INDEX(TABLAS!$D$52:$D$58,MIN(MATCH(IF(ISNUMBER(S33),S33,DATOS!$C$138),TABLAS!$B$52:$B$58,0)+4,7))/MAX(BQ33,0.0001)),DATOS!$C$144)&gt;=DATOS!$C$143),INDEX(TABLAS!$B$52:$B$58,MIN(MATCH(IF(ISNUMBER(S33),S33,DATOS!$C$138),TABLAS!$B$52:$B$58,0)+4,7)),INDEX(TABLAS!$B$52:$B$58,7)))))))</f>
        <v/>
      </c>
      <c r="BS33" s="71" t="str">
        <f>IF(V33&lt;&gt;"SÍ","",IF(BQ33&lt;=0,0,FLOOR(MIN(BD33,100*INDEX(TABLAS!$D$52:$D$58,MATCH(BR33,TABLAS!$B$52:$B$58,0))/BQ33),DATOS!$C$144)))</f>
        <v/>
      </c>
      <c r="BT33" s="58" t="str">
        <f>IF(V33&lt;&gt;"SÍ","",IF(BS33&lt;=0,0,INDEX(TABLAS!$D$52:$D$58,MATCH(BR33,TABLAS!$B$52:$B$58,0))*100/BS33))</f>
        <v/>
      </c>
      <c r="BU33" s="58" t="str">
        <f>IF(V33&lt;&gt;"SÍ","",((W33-AF33-INDEX(TABLAS!$C$52:$C$58,MATCH(BR33,TABLAS!$B$52:$B$58,0))/2)-IF(AND((W33-AF33-INDEX(TABLAS!$C$52:$C$58,MATCH(BR33,TABLAS!$B$52:$B$58,0))/2)&lt;=20,DATOS!$C$65&lt;&gt;"SÍ"),2,0)))</f>
        <v/>
      </c>
      <c r="BV33" s="56" t="str">
        <f>IF(V33&lt;&gt;"SÍ","",IF(BT33=0,0,DATOS!$C$29*BT33*DATOS!$C$14*(BU33-BT33*DATOS!$C$14/(DATOS!$C$21*100)/2)/1E5))</f>
        <v/>
      </c>
      <c r="BW33" s="65" t="str">
        <f>IF(V33&lt;&gt;"SÍ","",IF(BQ33&lt;0,9.99,IF(BV33&gt;0,AY33/BV33,0)))</f>
        <v/>
      </c>
      <c r="BX33" s="66" t="str">
        <f>IF(V33&lt;&gt;"SÍ","",IF(BT33=0,"—",0.003*(BU33-(BT33*DATOS!$C$14/(DATOS!$C$21*100)/DATOS!$C$22))/(BT33*DATOS!$C$14/(DATOS!$C$21*100)/DATOS!$C$22)))</f>
        <v/>
      </c>
      <c r="BY33" s="58" t="str">
        <f>IF(V33&lt;&gt;"SÍ","",(W33-AE33-1.5*INDEX(TABLAS!$C$52:$C$58,MATCH(IF(ISNUMBER(S33),S33,DATOS!$C$138),TABLAS!$B$52:$B$58,0))))</f>
        <v/>
      </c>
      <c r="BZ33" s="58" t="str">
        <f>IF(V33&lt;&gt;"SÍ","",IF(AZ33&lt;=0,0,IF((1-2*AZ33*1E5/(DATOS!$C$29*100*BY33^2*DATOS!$C$21))&lt;0,-1,IF((1-SQRT((1-2*AZ33*1E5/(DATOS!$C$29*100*BY33^2*DATOS!$C$21))))*DATOS!$C$21*100*BY33/DATOS!$C$14&gt;DATOS!$C$102*100*BY33,-1,(1-SQRT((1-2*AZ33*1E5/(DATOS!$C$29*100*BY33^2*DATOS!$C$21))))*DATOS!$C$21*100*BY33/DATOS!$C$14))))</f>
        <v/>
      </c>
      <c r="CA33" s="58" t="str">
        <f>IF(V33&lt;&gt;"SÍ","",IF(BZ33&lt;0,-1,MAX(BZ33,BC33)))</f>
        <v/>
      </c>
      <c r="CB33" s="64" t="str">
        <f>IF(V33&lt;&gt;"SÍ","",IF(AND(CA33&gt;0,FLOOR(MIN(BD33,100*INDEX(TABLAS!$D$52:$D$58,MIN(MATCH(IF(ISNUMBER(S33),S33,DATOS!$C$138),TABLAS!$B$52:$B$58,0)+0,7))/MAX(CA33,0.0001)),DATOS!$C$144)&gt;=DATOS!$C$143),INDEX(TABLAS!$B$52:$B$58,MIN(MATCH(IF(ISNUMBER(S33),S33,DATOS!$C$138),TABLAS!$B$52:$B$58,0)+0,7)),IF(AND(CA33&gt;0,FLOOR(MIN(BD33,100*INDEX(TABLAS!$D$52:$D$58,MIN(MATCH(IF(ISNUMBER(S33),S33,DATOS!$C$138),TABLAS!$B$52:$B$58,0)+1,7))/MAX(CA33,0.0001)),DATOS!$C$144)&gt;=DATOS!$C$143),INDEX(TABLAS!$B$52:$B$58,MIN(MATCH(IF(ISNUMBER(S33),S33,DATOS!$C$138),TABLAS!$B$52:$B$58,0)+1,7)),IF(AND(CA33&gt;0,FLOOR(MIN(BD33,100*INDEX(TABLAS!$D$52:$D$58,MIN(MATCH(IF(ISNUMBER(S33),S33,DATOS!$C$138),TABLAS!$B$52:$B$58,0)+2,7))/MAX(CA33,0.0001)),DATOS!$C$144)&gt;=DATOS!$C$143),INDEX(TABLAS!$B$52:$B$58,MIN(MATCH(IF(ISNUMBER(S33),S33,DATOS!$C$138),TABLAS!$B$52:$B$58,0)+2,7)),IF(AND(CA33&gt;0,FLOOR(MIN(BD33,100*INDEX(TABLAS!$D$52:$D$58,MIN(MATCH(IF(ISNUMBER(S33),S33,DATOS!$C$138),TABLAS!$B$52:$B$58,0)+3,7))/MAX(CA33,0.0001)),DATOS!$C$144)&gt;=DATOS!$C$143),INDEX(TABLAS!$B$52:$B$58,MIN(MATCH(IF(ISNUMBER(S33),S33,DATOS!$C$138),TABLAS!$B$52:$B$58,0)+3,7)),IF(AND(CA33&gt;0,FLOOR(MIN(BD33,100*INDEX(TABLAS!$D$52:$D$58,MIN(MATCH(IF(ISNUMBER(S33),S33,DATOS!$C$138),TABLAS!$B$52:$B$58,0)+4,7))/MAX(CA33,0.0001)),DATOS!$C$144)&gt;=DATOS!$C$143),INDEX(TABLAS!$B$52:$B$58,MIN(MATCH(IF(ISNUMBER(S33),S33,DATOS!$C$138),TABLAS!$B$52:$B$58,0)+4,7)),INDEX(TABLAS!$B$52:$B$58,7)))))))</f>
        <v/>
      </c>
      <c r="CC33" s="71" t="str">
        <f>IF(V33&lt;&gt;"SÍ","",IF(CA33&lt;=0,0,FLOOR(MIN(BD33,100*INDEX(TABLAS!$D$52:$D$58,MATCH(CB33,TABLAS!$B$52:$B$58,0))/CA33),DATOS!$C$144)))</f>
        <v/>
      </c>
      <c r="CD33" s="58" t="str">
        <f>IF(V33&lt;&gt;"SÍ","",IF(CC33&lt;=0,0,INDEX(TABLAS!$D$52:$D$58,MATCH(CB33,TABLAS!$B$52:$B$58,0))*100/CC33))</f>
        <v/>
      </c>
      <c r="CE33" s="58" t="str">
        <f>IF(V33&lt;&gt;"SÍ","",W33-AE33-INDEX(TABLAS!$C$52:$C$58,MATCH(BH33,TABLAS!$B$52:$B$58,0))-INDEX(TABLAS!$C$52:$C$58,MATCH(CB33,TABLAS!$B$52:$B$58,0))/2)</f>
        <v/>
      </c>
      <c r="CF33" s="56" t="str">
        <f>IF(V33&lt;&gt;"SÍ","",IF(CD33=0,0,DATOS!$C$29*CD33*DATOS!$C$14*(CE33-CD33*DATOS!$C$14/(DATOS!$C$21*100)/2)/1E5))</f>
        <v/>
      </c>
      <c r="CG33" s="65" t="str">
        <f>IF(V33&lt;&gt;"SÍ","",IF(CA33&lt;0,9.99,IF(CF33&gt;0,AZ33/CF33,0)))</f>
        <v/>
      </c>
      <c r="CH33" s="66" t="str">
        <f>IF(V33&lt;&gt;"SÍ","",IF(CD33=0,"—",0.003*(CE33-(CD33*DATOS!$C$14/(DATOS!$C$21*100)/DATOS!$C$22))/(CD33*DATOS!$C$14/(DATOS!$C$21*100)/DATOS!$C$22)))</f>
        <v/>
      </c>
      <c r="CI33" s="58" t="str">
        <f>IF(V33&lt;&gt;"SÍ","",((W33-AF33-1.5*INDEX(TABLAS!$C$52:$C$58,MATCH(IF(ISNUMBER(S33),S33,DATOS!$C$138),TABLAS!$B$52:$B$58,0)))-IF(AND((W33-AF33-1.5*INDEX(TABLAS!$C$52:$C$58,MATCH(IF(ISNUMBER(S33),S33,DATOS!$C$138),TABLAS!$B$52:$B$58,0)))&lt;=20,DATOS!$C$65&lt;&gt;"SÍ"),2,0)))</f>
        <v/>
      </c>
      <c r="CJ33" s="58" t="str">
        <f>IF(V33&lt;&gt;"SÍ","",IF(BA33&lt;=0,0,IF((1-2*BA33*1E5/(DATOS!$C$29*100*CI33^2*DATOS!$C$21))&lt;0,-1,IF((1-SQRT((1-2*BA33*1E5/(DATOS!$C$29*100*CI33^2*DATOS!$C$21))))*DATOS!$C$21*100*CI33/DATOS!$C$14&gt;DATOS!$C$102*100*CI33,-1,(1-SQRT((1-2*BA33*1E5/(DATOS!$C$29*100*CI33^2*DATOS!$C$21))))*DATOS!$C$21*100*CI33/DATOS!$C$14))))</f>
        <v/>
      </c>
      <c r="CK33" s="58" t="str">
        <f>IF(V33&lt;&gt;"SÍ","",IF(CJ33&lt;0,-1,MAX(CJ33,BC33)))</f>
        <v/>
      </c>
      <c r="CL33" s="64" t="str">
        <f>IF(V33&lt;&gt;"SÍ","",IF(AND(CK33&gt;0,FLOOR(MIN(BD33,100*INDEX(TABLAS!$D$52:$D$58,MIN(MATCH(IF(ISNUMBER(S33),S33,DATOS!$C$138),TABLAS!$B$52:$B$58,0)+0,7))/MAX(CK33,0.0001)),DATOS!$C$144)&gt;=DATOS!$C$143),INDEX(TABLAS!$B$52:$B$58,MIN(MATCH(IF(ISNUMBER(S33),S33,DATOS!$C$138),TABLAS!$B$52:$B$58,0)+0,7)),IF(AND(CK33&gt;0,FLOOR(MIN(BD33,100*INDEX(TABLAS!$D$52:$D$58,MIN(MATCH(IF(ISNUMBER(S33),S33,DATOS!$C$138),TABLAS!$B$52:$B$58,0)+1,7))/MAX(CK33,0.0001)),DATOS!$C$144)&gt;=DATOS!$C$143),INDEX(TABLAS!$B$52:$B$58,MIN(MATCH(IF(ISNUMBER(S33),S33,DATOS!$C$138),TABLAS!$B$52:$B$58,0)+1,7)),IF(AND(CK33&gt;0,FLOOR(MIN(BD33,100*INDEX(TABLAS!$D$52:$D$58,MIN(MATCH(IF(ISNUMBER(S33),S33,DATOS!$C$138),TABLAS!$B$52:$B$58,0)+2,7))/MAX(CK33,0.0001)),DATOS!$C$144)&gt;=DATOS!$C$143),INDEX(TABLAS!$B$52:$B$58,MIN(MATCH(IF(ISNUMBER(S33),S33,DATOS!$C$138),TABLAS!$B$52:$B$58,0)+2,7)),IF(AND(CK33&gt;0,FLOOR(MIN(BD33,100*INDEX(TABLAS!$D$52:$D$58,MIN(MATCH(IF(ISNUMBER(S33),S33,DATOS!$C$138),TABLAS!$B$52:$B$58,0)+3,7))/MAX(CK33,0.0001)),DATOS!$C$144)&gt;=DATOS!$C$143),INDEX(TABLAS!$B$52:$B$58,MIN(MATCH(IF(ISNUMBER(S33),S33,DATOS!$C$138),TABLAS!$B$52:$B$58,0)+3,7)),IF(AND(CK33&gt;0,FLOOR(MIN(BD33,100*INDEX(TABLAS!$D$52:$D$58,MIN(MATCH(IF(ISNUMBER(S33),S33,DATOS!$C$138),TABLAS!$B$52:$B$58,0)+4,7))/MAX(CK33,0.0001)),DATOS!$C$144)&gt;=DATOS!$C$143),INDEX(TABLAS!$B$52:$B$58,MIN(MATCH(IF(ISNUMBER(S33),S33,DATOS!$C$138),TABLAS!$B$52:$B$58,0)+4,7)),INDEX(TABLAS!$B$52:$B$58,7)))))))</f>
        <v/>
      </c>
      <c r="CM33" s="71" t="str">
        <f>IF(V33&lt;&gt;"SÍ","",IF(CK33&lt;=0,0,FLOOR(MIN(BD33,100*INDEX(TABLAS!$D$52:$D$58,MATCH(CL33,TABLAS!$B$52:$B$58,0))/CK33),DATOS!$C$144)))</f>
        <v/>
      </c>
      <c r="CN33" s="58" t="str">
        <f>IF(V33&lt;&gt;"SÍ","",IF(CM33&lt;=0,0,INDEX(TABLAS!$D$52:$D$58,MATCH(CL33,TABLAS!$B$52:$B$58,0))*100/CM33))</f>
        <v/>
      </c>
      <c r="CO33" s="58" t="str">
        <f>IF(V33&lt;&gt;"SÍ","",((W33-AF33-INDEX(TABLAS!$C$52:$C$58,MATCH(BR33,TABLAS!$B$52:$B$58,0))-INDEX(TABLAS!$C$52:$C$58,MATCH(CL33,TABLAS!$B$52:$B$58,0))/2)-IF(AND((W33-AF33-INDEX(TABLAS!$C$52:$C$58,MATCH(BR33,TABLAS!$B$52:$B$58,0))-INDEX(TABLAS!$C$52:$C$58,MATCH(CL33,TABLAS!$B$52:$B$58,0))/2)&lt;=20,DATOS!$C$65&lt;&gt;"SÍ"),2,0)))</f>
        <v/>
      </c>
      <c r="CP33" s="56" t="str">
        <f>IF(V33&lt;&gt;"SÍ","",IF(CN33=0,0,DATOS!$C$29*CN33*DATOS!$C$14*(CO33-CN33*DATOS!$C$14/(DATOS!$C$21*100)/2)/1E5))</f>
        <v/>
      </c>
      <c r="CQ33" s="65" t="str">
        <f>IF(V33&lt;&gt;"SÍ","",IF(CK33&lt;0,9.99,IF(CP33&gt;0,BA33/CP33,0)))</f>
        <v/>
      </c>
      <c r="CR33" s="66" t="str">
        <f>IF(V33&lt;&gt;"SÍ","",IF(CN33=0,"—",0.003*(CO33-(CN33*DATOS!$C$14/(DATOS!$C$21*100)/DATOS!$C$22))/(CN33*DATOS!$C$14/(DATOS!$C$21*100)/DATOS!$C$22)))</f>
        <v/>
      </c>
      <c r="CS33" s="56" t="str">
        <f>IF(V33&lt;&gt;"SÍ","",IF(C33="PERIMETRAL",MAX(0,(AC33/2-BU33)/100)*(0.95-0.5*AB33)*AK33*IF(AND(AL33&gt;0,AL33&lt;4),DATOS!$C$33,1)/1000,(AK33*MAX(0,AC33-BU33)/100+DATOS!$C$26*N(P33))/1000))</f>
        <v/>
      </c>
      <c r="CT33" s="66" t="str">
        <f>IF(V33&lt;&gt;"SÍ","",BT33/(100*BU33))</f>
        <v/>
      </c>
      <c r="CU33" s="56" t="str">
        <f>IF(V33&lt;&gt;"SÍ","",DATOS!$C$30*2*MIN(1,SQRT(2/(1+0.04*BU33)))*CT33^(1/3)*SQRT(DATOS!$C$13)*100*BU33/1000)</f>
        <v/>
      </c>
      <c r="CV33" s="67" t="str">
        <f>IF(V33&lt;&gt;"SÍ","",IF(CS33&lt;=CU33,"CUMPLE","NO CUMPLE: sube h"))</f>
        <v/>
      </c>
      <c r="CW33" s="58" t="str">
        <f>IF(V33&lt;&gt;"SÍ","",IF(C33="PERIMETRAL",IF(ISNUMBER(R33),R33,DATOS!$C$104),0))</f>
        <v/>
      </c>
      <c r="CX33" s="57" t="str">
        <f>IF(V33&lt;&gt;"SÍ","",IF(C33="PERIMETRAL",IF(CW33&gt;2,MAX(9,AD33*(0.8+DATOS!$C$14/14000)/(36+9*(AD33/MAX(AC33,1)))),IF(CW33&gt;0.2,MAX(13,AD33*(0.8+DATOS!$C$14/14000)/(36+5*(AD33/MAX(AC33,1))*(CW33-0.2))),MAX(13,AD33/IF(AL33&gt;0,30,33))))*IF(AND(CW33&gt;0.2,AL33&gt;0,DATOS!$C$105="NO"),1.1,1),Z33*100/DATOS!$C$145*(0.4+DATOS!$C$14/7000)))</f>
        <v/>
      </c>
      <c r="CY33" s="61" t="str">
        <f>IF(V33&lt;&gt;"SÍ","",IF(W33&gt;=CX33-0.001,"CUMPLE",IF(C33="VOLADO","NO CUMPLE","CALCULAR FLECHA")))</f>
        <v/>
      </c>
      <c r="CZ33" s="60" t="str">
        <f>IF(V33&lt;&gt;"SÍ","",IF(C33="VOLADO",MIN(FLOOR(IF(ISNUMBER(Q33),Q33,Z33)*100-DATOS!$C$63,5),CEILING(MAX(IF((0.5*(0.9*W33/100*DATOS!$C$16)*IF(ISNUMBER(Q33),Q33,Z33)+AY33/IF(ISNUMBER(Q33),Q33,Z33))^2-4*(0.5*(0.9*W33/100*DATOS!$C$16))*AY33&lt;0,IF(ISNUMBER(Q33),Q33,Z33),MIN(IF(ISNUMBER(Q33),Q33,Z33),((0.5*(0.9*W33/100*DATOS!$C$16)*IF(ISNUMBER(Q33),Q33,Z33)+AY33/IF(ISNUMBER(Q33),Q33,Z33))-SQRT((0.5*(0.9*W33/100*DATOS!$C$16)*IF(ISNUMBER(Q33),Q33,Z33)+AY33/IF(ISNUMBER(Q33),Q33,Z33))^2-4*(0.5*(0.9*W33/100*DATOS!$C$16))*AY33))/(2*(0.5*(0.9*W33/100*DATOS!$C$16)))))*100+MAX(BU33,12*INDEX(TABLAS!$C$52:$C$58,MATCH(BR33,TABLAS!$B$52:$B$58,0)),IF(ISNUMBER(Q33),Q33,Z33)*100/16),IF(OR(AF33&lt;INDEX(TABLAS!$C$52:$C$58,MATCH(BR33,TABLAS!$B$52:$B$58,0)),BS33-INDEX(TABLAS!$C$52:$C$58,MATCH(BR33,TABLAS!$B$52:$B$58,0))&lt;2*INDEX(TABLAS!$C$52:$C$58,MATCH(BR33,TABLAS!$B$52:$B$58,0))),INDEX(TABLAS!$I$52:$I$58,MATCH(BR33,TABLAS!$B$52:$B$58,0)),INDEX(TABLAS!$F$52:$F$58,MATCH(BR33,TABLAS!$B$52:$B$58,0)))),5)),IF(((4*((AV33*AK33*Z33^2*1E-4/1000)+((MAX(AR33,AT33)*AK33*Z33^2*1E-4/1000)+(IF(AND(AR33&gt;0,AT33&gt;0),MIN(AR33,AT33),MAX(AR33,AT33))*AK33*Z33^2*1E-4/1000))/2)+AY33-(IF(AND(AR33&gt;0,AT33&gt;0),MIN(AR33,AT33),MAX(AR33,AT33))*AK33*Z33^2*1E-4/1000))^2-16*((AV33*AK33*Z33^2*1E-4/1000)+((MAX(AR33,AT33)*AK33*Z33^2*1E-4/1000)+(IF(AND(AR33&gt;0,AT33&gt;0),MIN(AR33,AT33),MAX(AR33,AT33))*AK33*Z33^2*1E-4/1000))/2)*AY33)&lt;0,CEILING(AC33,5),CEILING(MAX(AC33*((4*((AV33*AK33*Z33^2*1E-4/1000)+((MAX(AR33,AT33)*AK33*Z33^2*1E-4/1000)+(IF(AND(AR33&gt;0,AT33&gt;0),MIN(AR33,AT33),MAX(AR33,AT33))*AK33*Z33^2*1E-4/1000))/2)+AY33-(IF(AND(AR33&gt;0,AT33&gt;0),MIN(AR33,AT33),MAX(AR33,AT33))*AK33*Z33^2*1E-4/1000))-SQRT(MAX(0,((4*((AV33*AK33*Z33^2*1E-4/1000)+((MAX(AR33,AT33)*AK33*Z33^2*1E-4/1000)+(IF(AND(AR33&gt;0,AT33&gt;0),MIN(AR33,AT33),MAX(AR33,AT33))*AK33*Z33^2*1E-4/1000))/2)+AY33-(IF(AND(AR33&gt;0,AT33&gt;0),MIN(AR33,AT33),MAX(AR33,AT33))*AK33*Z33^2*1E-4/1000))^2-16*((AV33*AK33*Z33^2*1E-4/1000)+((MAX(AR33,AT33)*AK33*Z33^2*1E-4/1000)+(IF(AND(AR33&gt;0,AT33&gt;0),MIN(AR33,AT33),MAX(AR33,AT33))*AK33*Z33^2*1E-4/1000))/2)*AY33))))/(8*MAX(((AV33*AK33*Z33^2*1E-4/1000)+((MAX(AR33,AT33)*AK33*Z33^2*1E-4/1000)+(IF(AND(AR33&gt;0,AT33&gt;0),MIN(AR33,AT33),MAX(AR33,AT33))*AK33*Z33^2*1E-4/1000))/2),1E-9))+MAX(BU33,12*INDEX(TABLAS!$C$52:$C$58,MATCH(BR33,TABLAS!$B$52:$B$58,0)),AC33/16),IF(OR(AF33&lt;INDEX(TABLAS!$C$52:$C$58,MATCH(BR33,TABLAS!$B$52:$B$58,0)),BS33-INDEX(TABLAS!$C$52:$C$58,MATCH(BR33,TABLAS!$B$52:$B$58,0))&lt;2*INDEX(TABLAS!$C$52:$C$58,MATCH(BR33,TABLAS!$B$52:$B$58,0))),INDEX(TABLAS!$I$52:$I$58,MATCH(BR33,TABLAS!$B$52:$B$58,0)),INDEX(TABLAS!$F$52:$F$58,MATCH(BR33,TABLAS!$B$52:$B$58,0)))),5))))</f>
        <v/>
      </c>
      <c r="DA33" s="60" t="str">
        <f>IF(V33&lt;&gt;"SÍ","",IF(C33="VOLADO",0,IF(((4*((AW33*AK33*Z33^2*1E-4/1000)+((MAX(AS33,AU33)*AK33*Z33^2*1E-4/1000)+(IF(AND(AS33&gt;0,AU33&gt;0),MIN(AS33,AU33),MAX(AS33,AU33))*AK33*Z33^2*1E-4/1000))/2)+BA33-(IF(AND(AS33&gt;0,AU33&gt;0),MIN(AS33,AU33),MAX(AS33,AU33))*AK33*Z33^2*1E-4/1000))^2-16*((AW33*AK33*Z33^2*1E-4/1000)+((MAX(AS33,AU33)*AK33*Z33^2*1E-4/1000)+(IF(AND(AS33&gt;0,AU33&gt;0),MIN(AS33,AU33),MAX(AS33,AU33))*AK33*Z33^2*1E-4/1000))/2)*BA33)&lt;0,CEILING(AD33,5),CEILING(MAX(AD33*((4*((AW33*AK33*Z33^2*1E-4/1000)+((MAX(AS33,AU33)*AK33*Z33^2*1E-4/1000)+(IF(AND(AS33&gt;0,AU33&gt;0),MIN(AS33,AU33),MAX(AS33,AU33))*AK33*Z33^2*1E-4/1000))/2)+BA33-(IF(AND(AS33&gt;0,AU33&gt;0),MIN(AS33,AU33),MAX(AS33,AU33))*AK33*Z33^2*1E-4/1000))-SQRT(MAX(0,((4*((AW33*AK33*Z33^2*1E-4/1000)+((MAX(AS33,AU33)*AK33*Z33^2*1E-4/1000)+(IF(AND(AS33&gt;0,AU33&gt;0),MIN(AS33,AU33),MAX(AS33,AU33))*AK33*Z33^2*1E-4/1000))/2)+BA33-(IF(AND(AS33&gt;0,AU33&gt;0),MIN(AS33,AU33),MAX(AS33,AU33))*AK33*Z33^2*1E-4/1000))^2-16*((AW33*AK33*Z33^2*1E-4/1000)+((MAX(AS33,AU33)*AK33*Z33^2*1E-4/1000)+(IF(AND(AS33&gt;0,AU33&gt;0),MIN(AS33,AU33),MAX(AS33,AU33))*AK33*Z33^2*1E-4/1000))/2)*BA33))))/(8*MAX(((AW33*AK33*Z33^2*1E-4/1000)+((MAX(AS33,AU33)*AK33*Z33^2*1E-4/1000)+(IF(AND(AS33&gt;0,AU33&gt;0),MIN(AS33,AU33),MAX(AS33,AU33))*AK33*Z33^2*1E-4/1000))/2),1E-9))+MAX(CO33,12*INDEX(TABLAS!$C$52:$C$58,MATCH(CL33,TABLAS!$B$52:$B$58,0)),AD33/16),IF(OR(AF33&lt;INDEX(TABLAS!$C$52:$C$58,MATCH(CL33,TABLAS!$B$52:$B$58,0)),CM33-INDEX(TABLAS!$C$52:$C$58,MATCH(CL33,TABLAS!$B$52:$B$58,0))&lt;2*INDEX(TABLAS!$C$52:$C$58,MATCH(CL33,TABLAS!$B$52:$B$58,0))),INDEX(TABLAS!$I$52:$I$58,MATCH(CL33,TABLAS!$B$52:$B$58,0)),INDEX(TABLAS!$F$52:$F$58,MATCH(CL33,TABLAS!$B$52:$B$58,0)))),5))))</f>
        <v/>
      </c>
      <c r="DB33" s="55" t="str">
        <f>IF(V33&lt;&gt;"SÍ","",IF(AND(C33="PERIMETRAL",AL33-AM33&gt;0,AT33&gt;0),"SÍ","NO"))</f>
        <v/>
      </c>
      <c r="DC33" s="55" t="str">
        <f>IF(V33&lt;&gt;"SÍ","",IF(AND(C33="PERIMETRAL",AM33&gt;0,AU33&gt;0),"SÍ","NO"))</f>
        <v/>
      </c>
      <c r="DD33" s="63" t="str">
        <f>IF(V33&lt;&gt;"SÍ","",IF(OR(C33="VOLADO",AL33=0),"—",IF(AND(AND(INDEX(TABLAS!$G$52:$G$58,MATCH(MAX(BR33,CL33),TABLAS!$B$52:$B$58,0))&lt;=(DATOS!$C$75-DATOS!$C$63),(DATOS!$C$75-DATOS!$C$63)&gt;=15),8*INDEX(TABLAS!$C$52:$C$58,MATCH(MAX(BH33,CB33,BR33,CL33),TABLAS!$B$52:$B$58,0))&lt;=DATOS!$C$76-2*DATOS!$C$63),"CUMPLE (gancho de 180°)",IF(AND(INDEX(TABLAS!$G$52:$G$58,MATCH(MAX(BR33,CL33),TABLAS!$B$52:$B$58,0))&lt;=(DATOS!$C$75-DATOS!$C$63),(DATOS!$C$75-DATOS!$C$63)&gt;=15),"NO CUMPLE: el gancho de 180° (8·d_b) no cabe en el peralte de la dala de borde","NO CUMPLE: dala de borde ≥ "&amp;TEXT(CEILING(MAX(INDEX(TABLAS!$G$52:$G$58,MATCH(MAX(BR33,CL33),TABLAS!$B$52:$B$58,0)),15)+DATOS!$C$63,5),"0")&amp;" cm de ancho"&amp;IF(8*INDEX(TABLAS!$C$52:$C$58,MATCH(MAX(BH33,CB33,BR33,CL33),TABLAS!$B$52:$B$58,0))&lt;=DATOS!$C$76-2*DATOS!$C$63,""," y más peralte para el gancho")))))</f>
        <v/>
      </c>
      <c r="DE33" s="69" t="str">
        <f>IF(V33&lt;&gt;"SÍ","",IF(BI33=0,"NO ALCANZA","No. "&amp;BH33&amp;" @ "&amp;BI33&amp;" cm"&amp;IF(C33="VOLADO"," (temperatura)","")))</f>
        <v/>
      </c>
      <c r="DF33" s="69" t="str">
        <f>IF(V33&lt;&gt;"SÍ","",IF(BS33=0,"NO ALCANZA",IF(C33="VOLADO","No. "&amp;BR33&amp;" @ "&amp;BS33&amp;" cm"&amp;" de la orilla al respaldo ("&amp;IF(CZ33&gt;=FLOOR(100*IF(ISNUMBER(Q33),Q33,Z33)-DATOS!$C$63,5),"hasta su apoyo lejano, con gancho","entran "&amp;TEXT(CZ33/100,"0.00")&amp;" m desde el paño")&amp;")","Bastones "&amp;"No. "&amp;BR33&amp;" @ "&amp;BS33&amp;" cm"&amp;", L = "&amp;TEXT(CZ33/100,"0.00")&amp;" m desde el paño")))</f>
        <v/>
      </c>
      <c r="DG33" s="69" t="str">
        <f>IF(V33&lt;&gt;"SÍ","",IF(CC33=0,"NO ALCANZA","No. "&amp;CB33&amp;" @ "&amp;CC33&amp;" cm"&amp;IF(C33="VOLADO"," (repartición)","")))</f>
        <v/>
      </c>
      <c r="DH33" s="69" t="str">
        <f>IF(V33&lt;&gt;"SÍ","",IF(CM33=0,"NO ALCANZA",IF(C33="VOLADO","No. "&amp;CL33&amp;" @ "&amp;CM33&amp;" cm"&amp;" (repartición)","Bastones "&amp;"No. "&amp;CL33&amp;" @ "&amp;CM33&amp;" cm"&amp;", L = "&amp;TEXT(DA33/100,"0.00")&amp;" m desde el paño")))</f>
        <v/>
      </c>
      <c r="DI33" s="67" t="str">
        <f>IF(B33="","",IF(V33&lt;&gt;"SÍ","FALTAN DATOS: tipo, a_x, a_y, destino y, en volados, L_b",IF(L33="NO MONOLÍTICO (caso II)","FUERA DE ALCANCE: caso II no transcrito",IF(AND(C33="VOLADO",X33="?"),"REVISAR: el volado lleva UN solo borde CONTINUO (el empotrado)",IF(AND(MAX(BM33,BW33,CG33,CQ33)&lt;=1,NOT(OR(BI33&lt;DATOS!$C$143,BS33&lt;DATOS!$C$143,CC33&lt;DATOS!$C$143,CM33&lt;DATOS!$C$143)),NOT(OR(AND(ISNUMBER(BN33),BN33&lt;0.005),AND(ISNUMBER(BX33),BX33&lt;0.005),AND(ISNUMBER(CH33),CH33&lt;0.005),AND(ISNUMBER(CR33),CR33&lt;0.005))),CV33="CUMPLE",CY33="CUMPLE"),"CUMPLE"&amp;IF(LEFT(BB33,5)="FUERA"," · fuera de 3.4.2.1 c)","")&amp;IF(LEFT(DD33,2)="NO"," · REVISAR anclaje en borde discontinuo",""),IF(AND(MAX(BM33,BW33,CG33,CQ33)&lt;=1,NOT(OR(BI33&lt;DATOS!$C$143,BS33&lt;DATOS!$C$143,CC33&lt;DATOS!$C$143,CM33&lt;DATOS!$C$143)),NOT(OR(AND(ISNUMBER(BN33),BN33&lt;0.005),AND(ISNUMBER(BX33),BX33&lt;0.005),AND(ISNUMBER(CH33),CH33&lt;0.005),AND(ISNUMBER(CR33),CR33&lt;0.005))),CV33="CUMPLE",CY33="CALCULAR FLECHA"),"REVISAR: calcular flecha (h &lt; h mín.)"&amp;IF(LEFT(BB33,5)="FUERA"," · fuera de 3.4.2.1 c)","")&amp;IF(LEFT(DD33,2)="NO"," · REVISAR anclaje en borde discontinuo",""),"NO CUMPLE: "&amp;IF(MAX(BM33,BW33,CG33,CQ33)&gt;1,"flexión ","")&amp;IF(OR(BI33&lt;DATOS!$C$143,BS33&lt;DATOS!$C$143,CC33&lt;DATOS!$C$143,CM33&lt;DATOS!$C$143),"separación &lt; mínima ","")&amp;IF(OR(AND(ISNUMBER(BN33),BN33&lt;0.005),AND(ISNUMBER(BX33),BX33&lt;0.005),AND(ISNUMBER(CH33),CH33&lt;0.005),AND(ISNUMBER(CR33),CR33&lt;0.005)),"ε_t &lt; 0.005 ","")&amp;IF(CV33&lt;&gt;"CUMPLE","cortante ","")&amp;IF(CY33="NO CUMPLE","peralte","")))))))</f>
        <v/>
      </c>
      <c r="DJ33" s="70" t="str">
        <f>IF(V33&lt;&gt;"SÍ","",IF(LEFT(B33,7)="EJEMPLO","EJEMPLO de tablero típico: bórralo o sobrescríbelo. ","")&amp;IF(C33="VOLADO","Volado de "&amp;TEXT(Z33,"0.00")&amp;" m empotrado en el borde "&amp;LOWER(X33)&amp;IF(N(P33)&gt;0,", con "&amp;TEXT(P33,"0.0")&amp;" kg/m en la orilla","")&amp;". Lecho inferior con r_ext. Si la orilla carga pretil u otro elemento frágil, calcula la flecha (13.4). El acero superior entra al respaldo de "&amp;TEXT(IF(ISNUMBER(Q33),Q33,Z33),"0.00")&amp;" m"&amp;" hasta pasar M = 0 con 0.9·PP sin carga viva; si ahí no se anula, llega al apoyo lejano y se ancla con gancho. ","")&amp;IF(AND(C33="VOLADO",(0.9*W33/100*DATOS!$C$16*IF(ISNUMBER(Q33),Q33,Z33)/2-AY33/IF(ISNUMBER(Q33),Q33,Z33))&lt;0),"Con 0.9·PP y sin carga viva el apoyo lejano del respaldo levanta (R = "&amp;TEXT(-(0.9*W33/100*DATOS!$C$16*IF(ISNUMBER(Q33),Q33,Z33)/2-AY33/IF(ISNUMBER(Q33),Q33,Z33)),"0.00")&amp;" t/m): ancla ahí el acero con gancho y revisa ese apoyo a tensión. ","")&amp;IF(LEFT(BB33,5)="FUERA","El M⁻ del vecino difiere más de 50 % (3.4.2.1 c): distribuye el desequilibrio (3.4.3.1) o confirma con un modelo; se arma con el mayor. ","")&amp;IF(OR(DB33="SÍ",DC33="SÍ"),"Bastones también en los bordes discontinuos (M⁻ de tabla), con gancho. ","")&amp;IF(LEFT(DD33,2)="NO","Anclaje: "&amp;DD33&amp;" (6.7.7.4.1.1). ","")&amp;IF(AND(C33="PERIMETRAL",AM33&gt;=1,AL33-AM33&gt;=1),"Esquinas exteriores sobre muro: refuerzo de esquina arriba y abajo en L_largo/5 (6.7.7.3.1). ",""))</f>
        <v/>
      </c>
    </row>
    <row r="34" ht="33" customHeight="1">
      <c r="A34" s="50">
        <f>IF(B34="",0,1)+A33</f>
        <v>3</v>
      </c>
      <c r="B34" s="29" t="n"/>
      <c r="C34" s="51" t="n"/>
      <c r="D34" s="29" t="n"/>
      <c r="E34" s="52" t="n"/>
      <c r="F34" s="52" t="n"/>
      <c r="G34" s="51" t="n"/>
      <c r="H34" s="51" t="n"/>
      <c r="I34" s="51" t="n"/>
      <c r="J34" s="51" t="n"/>
      <c r="K34" s="51" t="n"/>
      <c r="L34" s="51" t="n"/>
      <c r="M34" s="54" t="n"/>
      <c r="N34" s="53" t="n"/>
      <c r="O34" s="53" t="n"/>
      <c r="P34" s="54" t="n"/>
      <c r="Q34" s="52" t="n"/>
      <c r="R34" s="54" t="n"/>
      <c r="S34" s="53" t="n"/>
      <c r="T34" s="52" t="n"/>
      <c r="U34" s="52" t="n"/>
      <c r="V34" s="55" t="str">
        <f>IF(B34="","",IF(AND(OR(C34="PERIMETRAL",C34="VOLADO"),ISNUMBER(E34),ISNUMBER(F34),E34&gt;0,F34&gt;0,OR(ISNUMBER(O34),ISNUMBER(MATCH(D34,DATOS!$B$46:$B$58,0))),OR(C34&lt;&gt;"VOLADO",N(Q34)&gt;0)),"SÍ","NO"))</f>
        <v/>
      </c>
      <c r="W34" s="57" t="str">
        <f>IF(V34&lt;&gt;"SÍ","",IF(ISNUMBER(M34),M34,DATOS!$C$137))</f>
        <v/>
      </c>
      <c r="X34" s="55" t="str">
        <f>IF(V34&lt;&gt;"SÍ","",IF(C34&lt;&gt;"VOLADO","—",IF(COUNTIF(G34:J34,"CONTINUO")&lt;&gt;1,"?",IF(G34="CONTINUO","INFERIOR",IF(H34="CONTINUO","SUPERIOR",IF(I34="CONTINUO","IZQUIERDO","DERECHO"))))))</f>
        <v/>
      </c>
      <c r="Y34" s="55" t="str">
        <f>IF(V34&lt;&gt;"SÍ","",IF(C34="VOLADO",IF(OR(X34="IZQUIERDO",X34="DERECHO"),"X","Y"),IF(E34&lt;=F34,"X","Y")))</f>
        <v/>
      </c>
      <c r="Z34" s="56" t="str">
        <f>IF(V34&lt;&gt;"SÍ","",IF(C34="VOLADO",IF(Y34="X",E34,F34),MIN(E34,F34)))</f>
        <v/>
      </c>
      <c r="AA34" s="56" t="str">
        <f>IF(V34&lt;&gt;"SÍ","",IF(C34="VOLADO",IF(Y34="X",F34,E34),MAX(E34,F34)))</f>
        <v/>
      </c>
      <c r="AB34" s="56" t="str">
        <f>IF(V34&lt;&gt;"SÍ","",MIN(Z34,AA34)/MAX(Z34,AA34))</f>
        <v/>
      </c>
      <c r="AC34" s="57" t="str">
        <f>IF(V34&lt;&gt;"SÍ","",MAX(1,Z34*100-IF(C34="VOLADO",DATOS!$C$87/2,DATOS!$C$87)))</f>
        <v/>
      </c>
      <c r="AD34" s="57" t="str">
        <f>IF(V34&lt;&gt;"SÍ","",MAX(1,AA34*100-DATOS!$C$87))</f>
        <v/>
      </c>
      <c r="AE34" s="57" t="str">
        <f>IF(V34&lt;&gt;"SÍ","",IF(C34="VOLADO",DATOS!$C$64,DATOS!$C$62))</f>
        <v/>
      </c>
      <c r="AF34" s="57" t="str">
        <f>IF(V34&lt;&gt;"SÍ","",IF(OR(AND(AG34="SÍ",DATOS!$C$66="SÍ"),AND(C34="VOLADO",DATOS!$C$67="SÍ")),DATOS!$C$64,DATOS!$C$62))</f>
        <v/>
      </c>
      <c r="AG34" s="55" t="str">
        <f>IF(V34&lt;&gt;"SÍ","",IFERROR(INDEX(DATOS!$D$46:$D$58,MATCH(D34,DATOS!$B$46:$B$58,0)),"NO"))</f>
        <v/>
      </c>
      <c r="AH34" s="59" t="str">
        <f>IF(V34&lt;&gt;"SÍ","",IF(ISNUMBER(O34),O34,IFERROR(INDEX(DATOS!$C$46:$C$58,MATCH(D34,DATOS!$B$46:$B$58,0)),0)))</f>
        <v/>
      </c>
      <c r="AI34" s="59" t="str">
        <f>IF(V34&lt;&gt;"SÍ","",W34/100*DATOS!$C$16*1000+DATOS!$C$37+DATOS!$C$38)</f>
        <v/>
      </c>
      <c r="AJ34" s="59" t="str">
        <f>IF(V34&lt;&gt;"SÍ","",AI34+N(N34))</f>
        <v/>
      </c>
      <c r="AK34" s="60" t="str">
        <f>IF(V34&lt;&gt;"SÍ","",MAX(DATOS!$C$26*AJ34+DATOS!$C$27*AH34,IF(AG34="SÍ",DATOS!$C$28*(AJ34+DATOS!$C$41),0)))</f>
        <v/>
      </c>
      <c r="AL34" s="59" t="str">
        <f>IF(V34&lt;&gt;"SÍ","",(G34="DISCONTINUO")+(H34="DISCONTINUO")+(I34="DISCONTINUO")+(J34="DISCONTINUO"))</f>
        <v/>
      </c>
      <c r="AM34" s="59" t="str">
        <f>IF(V34&lt;&gt;"SÍ","",IF(Y34="X",(G34="DISCONTINUO")+(H34="DISCONTINUO"),(I34="DISCONTINUO")+(J34="DISCONTINUO")))</f>
        <v/>
      </c>
      <c r="AN34" s="55" t="str">
        <f>IF(V34&lt;&gt;"SÍ","",IF(AL34=0,"INTERIOR",IF(AL34=1,IF(AM34=1,"BORDE-CORTO","BORDE-LARGO"),IF(AL34=2,IF(AM34=1,"ESQUINA",IF(AM34=2,"EXTREMO-LARGO","EXTREMO-CORTO")),IF(AL34=3,IF(AM34=2,"EXTREMO-LARGO","EXTREMO-CORTO"),"AISLADO")))))</f>
        <v/>
      </c>
      <c r="AO34" s="61" t="str">
        <f>IF(V34&lt;&gt;"SÍ","",IF(OR(K34="",K34="AUTO"),AN34,K34))</f>
        <v/>
      </c>
      <c r="AP34" s="59" t="str">
        <f>IF(V34&lt;&gt;"SÍ","",MATCH(AB34,TABLAS!$D$5:$J$5,1))</f>
        <v/>
      </c>
      <c r="AQ34" s="58" t="str">
        <f>IF(V34&lt;&gt;"SÍ","",IF(AP34&gt;=7,0,(AB34-INDEX(TABLAS!$D$5:$J$5,AP34))/(INDEX(TABLAS!$D$5:$J$5,AP34+1)-INDEX(TABLAS!$D$5:$J$5,AP34))))</f>
        <v/>
      </c>
      <c r="AR34" s="59" t="str">
        <f>IF(V34&lt;&gt;"SÍ","",INDEX(TABLAS!$D$6:$J$47,MATCH(AO34&amp;"|NIC",TABLAS!$B$6:$B$47,0),AP34)+AQ34*(INDEX(TABLAS!$D$6:$J$47,MATCH(AO34&amp;"|NIC",TABLAS!$B$6:$B$47,0),MIN(AP34+1,7))-INDEX(TABLAS!$D$6:$J$47,MATCH(AO34&amp;"|NIC",TABLAS!$B$6:$B$47,0),AP34)))</f>
        <v/>
      </c>
      <c r="AS34" s="59" t="str">
        <f>IF(V34&lt;&gt;"SÍ","",INDEX(TABLAS!$D$6:$J$47,MATCH(AO34&amp;"|NIL",TABLAS!$B$6:$B$47,0),AP34)+AQ34*(INDEX(TABLAS!$D$6:$J$47,MATCH(AO34&amp;"|NIL",TABLAS!$B$6:$B$47,0),MIN(AP34+1,7))-INDEX(TABLAS!$D$6:$J$47,MATCH(AO34&amp;"|NIL",TABLAS!$B$6:$B$47,0),AP34)))</f>
        <v/>
      </c>
      <c r="AT34" s="59" t="str">
        <f>IF(V34&lt;&gt;"SÍ","",INDEX(TABLAS!$D$6:$J$47,MATCH(AO34&amp;"|NDC",TABLAS!$B$6:$B$47,0),AP34)+AQ34*(INDEX(TABLAS!$D$6:$J$47,MATCH(AO34&amp;"|NDC",TABLAS!$B$6:$B$47,0),MIN(AP34+1,7))-INDEX(TABLAS!$D$6:$J$47,MATCH(AO34&amp;"|NDC",TABLAS!$B$6:$B$47,0),AP34)))</f>
        <v/>
      </c>
      <c r="AU34" s="59" t="str">
        <f>IF(V34&lt;&gt;"SÍ","",INDEX(TABLAS!$D$6:$J$47,MATCH(AO34&amp;"|NDL",TABLAS!$B$6:$B$47,0),AP34)+AQ34*(INDEX(TABLAS!$D$6:$J$47,MATCH(AO34&amp;"|NDL",TABLAS!$B$6:$B$47,0),MIN(AP34+1,7))-INDEX(TABLAS!$D$6:$J$47,MATCH(AO34&amp;"|NDL",TABLAS!$B$6:$B$47,0),AP34)))</f>
        <v/>
      </c>
      <c r="AV34" s="59" t="str">
        <f>IF(V34&lt;&gt;"SÍ","",INDEX(TABLAS!$D$6:$J$47,MATCH(AO34&amp;"|PC",TABLAS!$B$6:$B$47,0),AP34)+AQ34*(INDEX(TABLAS!$D$6:$J$47,MATCH(AO34&amp;"|PC",TABLAS!$B$6:$B$47,0),MIN(AP34+1,7))-INDEX(TABLAS!$D$6:$J$47,MATCH(AO34&amp;"|PC",TABLAS!$B$6:$B$47,0),AP34)))</f>
        <v/>
      </c>
      <c r="AW34" s="59" t="str">
        <f>IF(V34&lt;&gt;"SÍ","",INDEX(TABLAS!$D$6:$J$47,MATCH(AO34&amp;"|PL",TABLAS!$B$6:$B$47,0),AP34)+AQ34*(INDEX(TABLAS!$D$6:$J$47,MATCH(AO34&amp;"|PL",TABLAS!$B$6:$B$47,0),MIN(AP34+1,7))-INDEX(TABLAS!$D$6:$J$47,MATCH(AO34&amp;"|PL",TABLAS!$B$6:$B$47,0),AP34)))</f>
        <v/>
      </c>
      <c r="AX34" s="56" t="str">
        <f>IF(V34&lt;&gt;"SÍ","",IF(C34="PERIMETRAL",AV34*AK34*Z34^2*1E-4/1000,0))</f>
        <v/>
      </c>
      <c r="AY34" s="62" t="str">
        <f>IF(V34&lt;&gt;"SÍ","",IF(C34="PERIMETRAL",MAX(MAX(AR34,AT34)*AK34*Z34^2*1E-4/1000,N(T34)),(AK34*(AC34/100)^2/2+DATOS!$C$26*N(P34)*AC34/100)/1000))</f>
        <v/>
      </c>
      <c r="AZ34" s="56" t="str">
        <f>IF(V34&lt;&gt;"SÍ","",IF(C34="PERIMETRAL",AW34*AK34*Z34^2*1E-4/1000,0))</f>
        <v/>
      </c>
      <c r="BA34" s="56" t="str">
        <f>IF(V34&lt;&gt;"SÍ","",IF(C34="PERIMETRAL",MAX(MAX(AS34,AU34)*AK34*Z34^2*1E-4/1000,N(U34)),0))</f>
        <v/>
      </c>
      <c r="BB34" s="63" t="str">
        <f>IF(V34&lt;&gt;"SÍ","",IF(C34&lt;&gt;"PERIMETRAL","—",IF(AND(N(T34)=0,N(U34)=0),"— (sin M⁻ del vecino)",IF(OR(AND(N(T34)&gt;0,ABS(MAX(AR34,AT34)*AK34*Z34^2*1E-4/1000-N(T34))&gt;0.5*MIN(MAX(AR34,AT34)*AK34*Z34^2*1E-4/1000,N(T34))),AND(N(U34)&gt;0,ABS(MAX(AS34,AU34)*AK34*Z34^2*1E-4/1000-N(U34))&gt;0.5*MIN(MAX(AS34,AU34)*AK34*Z34^2*1E-4/1000,N(U34)))),"FUERA: difieren &gt; 50 %"&amp;IF(AND(N(T34)&gt;0,ABS(MAX(AR34,AT34)*AK34*Z34^2*1E-4/1000-N(T34))&gt;0.5*MIN(MAX(AR34,AT34)*AK34*Z34^2*1E-4/1000,N(T34)))," ‖ corto","")&amp;IF(AND(N(U34)&gt;0,ABS(MAX(AS34,AU34)*AK34*Z34^2*1E-4/1000-N(U34))&gt;0.5*MIN(MAX(AS34,AU34)*AK34*Z34^2*1E-4/1000,N(U34)))," ‖ largo",""),"CUMPLE"))))</f>
        <v/>
      </c>
      <c r="BC34" s="58" t="str">
        <f>IF(V34&lt;&gt;"SÍ","",DATOS!$C$139*100*W34)</f>
        <v/>
      </c>
      <c r="BD34" s="57" t="str">
        <f>IF(V34&lt;&gt;"SÍ","",MIN(IF(C34="VOLADO",DATOS!$C$141,DATOS!$C$140)*W34,DATOS!$C$142))</f>
        <v/>
      </c>
      <c r="BE34" s="58" t="str">
        <f>IF(V34&lt;&gt;"SÍ","",(W34-AE34-INDEX(TABLAS!$C$52:$C$58,MATCH(IF(ISNUMBER(S34),S34,DATOS!$C$138),TABLAS!$B$52:$B$58,0))/2))</f>
        <v/>
      </c>
      <c r="BF34" s="58" t="str">
        <f>IF(V34&lt;&gt;"SÍ","",IF(AX34&lt;=0,0,IF((1-2*AX34*1E5/(DATOS!$C$29*100*BE34^2*DATOS!$C$21))&lt;0,-1,IF((1-SQRT((1-2*AX34*1E5/(DATOS!$C$29*100*BE34^2*DATOS!$C$21))))*DATOS!$C$21*100*BE34/DATOS!$C$14&gt;DATOS!$C$102*100*BE34,-1,(1-SQRT((1-2*AX34*1E5/(DATOS!$C$29*100*BE34^2*DATOS!$C$21))))*DATOS!$C$21*100*BE34/DATOS!$C$14))))</f>
        <v/>
      </c>
      <c r="BG34" s="58" t="str">
        <f>IF(V34&lt;&gt;"SÍ","",IF(BF34&lt;0,-1,MAX(BF34,BC34)))</f>
        <v/>
      </c>
      <c r="BH34" s="64" t="str">
        <f>IF(V34&lt;&gt;"SÍ","",IF(AND(BG34&gt;0,FLOOR(MIN(BD34,100*INDEX(TABLAS!$D$52:$D$58,MIN(MATCH(IF(ISNUMBER(S34),S34,DATOS!$C$138),TABLAS!$B$52:$B$58,0)+0,7))/MAX(BG34,0.0001)),DATOS!$C$144)&gt;=DATOS!$C$143),INDEX(TABLAS!$B$52:$B$58,MIN(MATCH(IF(ISNUMBER(S34),S34,DATOS!$C$138),TABLAS!$B$52:$B$58,0)+0,7)),IF(AND(BG34&gt;0,FLOOR(MIN(BD34,100*INDEX(TABLAS!$D$52:$D$58,MIN(MATCH(IF(ISNUMBER(S34),S34,DATOS!$C$138),TABLAS!$B$52:$B$58,0)+1,7))/MAX(BG34,0.0001)),DATOS!$C$144)&gt;=DATOS!$C$143),INDEX(TABLAS!$B$52:$B$58,MIN(MATCH(IF(ISNUMBER(S34),S34,DATOS!$C$138),TABLAS!$B$52:$B$58,0)+1,7)),IF(AND(BG34&gt;0,FLOOR(MIN(BD34,100*INDEX(TABLAS!$D$52:$D$58,MIN(MATCH(IF(ISNUMBER(S34),S34,DATOS!$C$138),TABLAS!$B$52:$B$58,0)+2,7))/MAX(BG34,0.0001)),DATOS!$C$144)&gt;=DATOS!$C$143),INDEX(TABLAS!$B$52:$B$58,MIN(MATCH(IF(ISNUMBER(S34),S34,DATOS!$C$138),TABLAS!$B$52:$B$58,0)+2,7)),IF(AND(BG34&gt;0,FLOOR(MIN(BD34,100*INDEX(TABLAS!$D$52:$D$58,MIN(MATCH(IF(ISNUMBER(S34),S34,DATOS!$C$138),TABLAS!$B$52:$B$58,0)+3,7))/MAX(BG34,0.0001)),DATOS!$C$144)&gt;=DATOS!$C$143),INDEX(TABLAS!$B$52:$B$58,MIN(MATCH(IF(ISNUMBER(S34),S34,DATOS!$C$138),TABLAS!$B$52:$B$58,0)+3,7)),IF(AND(BG34&gt;0,FLOOR(MIN(BD34,100*INDEX(TABLAS!$D$52:$D$58,MIN(MATCH(IF(ISNUMBER(S34),S34,DATOS!$C$138),TABLAS!$B$52:$B$58,0)+4,7))/MAX(BG34,0.0001)),DATOS!$C$144)&gt;=DATOS!$C$143),INDEX(TABLAS!$B$52:$B$58,MIN(MATCH(IF(ISNUMBER(S34),S34,DATOS!$C$138),TABLAS!$B$52:$B$58,0)+4,7)),INDEX(TABLAS!$B$52:$B$58,7)))))))</f>
        <v/>
      </c>
      <c r="BI34" s="71" t="str">
        <f>IF(V34&lt;&gt;"SÍ","",IF(BG34&lt;=0,0,FLOOR(MIN(BD34,100*INDEX(TABLAS!$D$52:$D$58,MATCH(BH34,TABLAS!$B$52:$B$58,0))/BG34),DATOS!$C$144)))</f>
        <v/>
      </c>
      <c r="BJ34" s="58" t="str">
        <f>IF(V34&lt;&gt;"SÍ","",IF(BI34&lt;=0,0,INDEX(TABLAS!$D$52:$D$58,MATCH(BH34,TABLAS!$B$52:$B$58,0))*100/BI34))</f>
        <v/>
      </c>
      <c r="BK34" s="58" t="str">
        <f>IF(V34&lt;&gt;"SÍ","",W34-AE34-INDEX(TABLAS!$C$52:$C$58,MATCH(BH34,TABLAS!$B$52:$B$58,0))/2)</f>
        <v/>
      </c>
      <c r="BL34" s="56" t="str">
        <f>IF(V34&lt;&gt;"SÍ","",IF(BJ34=0,0,DATOS!$C$29*BJ34*DATOS!$C$14*(BK34-BJ34*DATOS!$C$14/(DATOS!$C$21*100)/2)/1E5))</f>
        <v/>
      </c>
      <c r="BM34" s="65" t="str">
        <f>IF(V34&lt;&gt;"SÍ","",IF(BG34&lt;0,9.99,IF(BL34&gt;0,AX34/BL34,0)))</f>
        <v/>
      </c>
      <c r="BN34" s="66" t="str">
        <f>IF(V34&lt;&gt;"SÍ","",IF(BJ34=0,"—",0.003*(BK34-(BJ34*DATOS!$C$14/(DATOS!$C$21*100)/DATOS!$C$22))/(BJ34*DATOS!$C$14/(DATOS!$C$21*100)/DATOS!$C$22)))</f>
        <v/>
      </c>
      <c r="BO34" s="58" t="str">
        <f>IF(V34&lt;&gt;"SÍ","",((W34-AF34-INDEX(TABLAS!$C$52:$C$58,MATCH(IF(ISNUMBER(S34),S34,DATOS!$C$138),TABLAS!$B$52:$B$58,0))/2)-IF(AND((W34-AF34-INDEX(TABLAS!$C$52:$C$58,MATCH(IF(ISNUMBER(S34),S34,DATOS!$C$138),TABLAS!$B$52:$B$58,0))/2)&lt;=20,DATOS!$C$65&lt;&gt;"SÍ"),2,0)))</f>
        <v/>
      </c>
      <c r="BP34" s="58" t="str">
        <f>IF(V34&lt;&gt;"SÍ","",IF(AY34&lt;=0,0,IF((1-2*AY34*1E5/(DATOS!$C$29*100*BO34^2*DATOS!$C$21))&lt;0,-1,IF((1-SQRT((1-2*AY34*1E5/(DATOS!$C$29*100*BO34^2*DATOS!$C$21))))*DATOS!$C$21*100*BO34/DATOS!$C$14&gt;DATOS!$C$102*100*BO34,-1,(1-SQRT((1-2*AY34*1E5/(DATOS!$C$29*100*BO34^2*DATOS!$C$21))))*DATOS!$C$21*100*BO34/DATOS!$C$14))))</f>
        <v/>
      </c>
      <c r="BQ34" s="58" t="str">
        <f>IF(V34&lt;&gt;"SÍ","",IF(BP34&lt;0,-1,MAX(BP34,BC34)))</f>
        <v/>
      </c>
      <c r="BR34" s="64" t="str">
        <f>IF(V34&lt;&gt;"SÍ","",IF(AND(BQ34&gt;0,FLOOR(MIN(BD34,100*INDEX(TABLAS!$D$52:$D$58,MIN(MATCH(IF(ISNUMBER(S34),S34,DATOS!$C$138),TABLAS!$B$52:$B$58,0)+0,7))/MAX(BQ34,0.0001)),DATOS!$C$144)&gt;=DATOS!$C$143),INDEX(TABLAS!$B$52:$B$58,MIN(MATCH(IF(ISNUMBER(S34),S34,DATOS!$C$138),TABLAS!$B$52:$B$58,0)+0,7)),IF(AND(BQ34&gt;0,FLOOR(MIN(BD34,100*INDEX(TABLAS!$D$52:$D$58,MIN(MATCH(IF(ISNUMBER(S34),S34,DATOS!$C$138),TABLAS!$B$52:$B$58,0)+1,7))/MAX(BQ34,0.0001)),DATOS!$C$144)&gt;=DATOS!$C$143),INDEX(TABLAS!$B$52:$B$58,MIN(MATCH(IF(ISNUMBER(S34),S34,DATOS!$C$138),TABLAS!$B$52:$B$58,0)+1,7)),IF(AND(BQ34&gt;0,FLOOR(MIN(BD34,100*INDEX(TABLAS!$D$52:$D$58,MIN(MATCH(IF(ISNUMBER(S34),S34,DATOS!$C$138),TABLAS!$B$52:$B$58,0)+2,7))/MAX(BQ34,0.0001)),DATOS!$C$144)&gt;=DATOS!$C$143),INDEX(TABLAS!$B$52:$B$58,MIN(MATCH(IF(ISNUMBER(S34),S34,DATOS!$C$138),TABLAS!$B$52:$B$58,0)+2,7)),IF(AND(BQ34&gt;0,FLOOR(MIN(BD34,100*INDEX(TABLAS!$D$52:$D$58,MIN(MATCH(IF(ISNUMBER(S34),S34,DATOS!$C$138),TABLAS!$B$52:$B$58,0)+3,7))/MAX(BQ34,0.0001)),DATOS!$C$144)&gt;=DATOS!$C$143),INDEX(TABLAS!$B$52:$B$58,MIN(MATCH(IF(ISNUMBER(S34),S34,DATOS!$C$138),TABLAS!$B$52:$B$58,0)+3,7)),IF(AND(BQ34&gt;0,FLOOR(MIN(BD34,100*INDEX(TABLAS!$D$52:$D$58,MIN(MATCH(IF(ISNUMBER(S34),S34,DATOS!$C$138),TABLAS!$B$52:$B$58,0)+4,7))/MAX(BQ34,0.0001)),DATOS!$C$144)&gt;=DATOS!$C$143),INDEX(TABLAS!$B$52:$B$58,MIN(MATCH(IF(ISNUMBER(S34),S34,DATOS!$C$138),TABLAS!$B$52:$B$58,0)+4,7)),INDEX(TABLAS!$B$52:$B$58,7)))))))</f>
        <v/>
      </c>
      <c r="BS34" s="71" t="str">
        <f>IF(V34&lt;&gt;"SÍ","",IF(BQ34&lt;=0,0,FLOOR(MIN(BD34,100*INDEX(TABLAS!$D$52:$D$58,MATCH(BR34,TABLAS!$B$52:$B$58,0))/BQ34),DATOS!$C$144)))</f>
        <v/>
      </c>
      <c r="BT34" s="58" t="str">
        <f>IF(V34&lt;&gt;"SÍ","",IF(BS34&lt;=0,0,INDEX(TABLAS!$D$52:$D$58,MATCH(BR34,TABLAS!$B$52:$B$58,0))*100/BS34))</f>
        <v/>
      </c>
      <c r="BU34" s="58" t="str">
        <f>IF(V34&lt;&gt;"SÍ","",((W34-AF34-INDEX(TABLAS!$C$52:$C$58,MATCH(BR34,TABLAS!$B$52:$B$58,0))/2)-IF(AND((W34-AF34-INDEX(TABLAS!$C$52:$C$58,MATCH(BR34,TABLAS!$B$52:$B$58,0))/2)&lt;=20,DATOS!$C$65&lt;&gt;"SÍ"),2,0)))</f>
        <v/>
      </c>
      <c r="BV34" s="56" t="str">
        <f>IF(V34&lt;&gt;"SÍ","",IF(BT34=0,0,DATOS!$C$29*BT34*DATOS!$C$14*(BU34-BT34*DATOS!$C$14/(DATOS!$C$21*100)/2)/1E5))</f>
        <v/>
      </c>
      <c r="BW34" s="65" t="str">
        <f>IF(V34&lt;&gt;"SÍ","",IF(BQ34&lt;0,9.99,IF(BV34&gt;0,AY34/BV34,0)))</f>
        <v/>
      </c>
      <c r="BX34" s="66" t="str">
        <f>IF(V34&lt;&gt;"SÍ","",IF(BT34=0,"—",0.003*(BU34-(BT34*DATOS!$C$14/(DATOS!$C$21*100)/DATOS!$C$22))/(BT34*DATOS!$C$14/(DATOS!$C$21*100)/DATOS!$C$22)))</f>
        <v/>
      </c>
      <c r="BY34" s="58" t="str">
        <f>IF(V34&lt;&gt;"SÍ","",(W34-AE34-1.5*INDEX(TABLAS!$C$52:$C$58,MATCH(IF(ISNUMBER(S34),S34,DATOS!$C$138),TABLAS!$B$52:$B$58,0))))</f>
        <v/>
      </c>
      <c r="BZ34" s="58" t="str">
        <f>IF(V34&lt;&gt;"SÍ","",IF(AZ34&lt;=0,0,IF((1-2*AZ34*1E5/(DATOS!$C$29*100*BY34^2*DATOS!$C$21))&lt;0,-1,IF((1-SQRT((1-2*AZ34*1E5/(DATOS!$C$29*100*BY34^2*DATOS!$C$21))))*DATOS!$C$21*100*BY34/DATOS!$C$14&gt;DATOS!$C$102*100*BY34,-1,(1-SQRT((1-2*AZ34*1E5/(DATOS!$C$29*100*BY34^2*DATOS!$C$21))))*DATOS!$C$21*100*BY34/DATOS!$C$14))))</f>
        <v/>
      </c>
      <c r="CA34" s="58" t="str">
        <f>IF(V34&lt;&gt;"SÍ","",IF(BZ34&lt;0,-1,MAX(BZ34,BC34)))</f>
        <v/>
      </c>
      <c r="CB34" s="64" t="str">
        <f>IF(V34&lt;&gt;"SÍ","",IF(AND(CA34&gt;0,FLOOR(MIN(BD34,100*INDEX(TABLAS!$D$52:$D$58,MIN(MATCH(IF(ISNUMBER(S34),S34,DATOS!$C$138),TABLAS!$B$52:$B$58,0)+0,7))/MAX(CA34,0.0001)),DATOS!$C$144)&gt;=DATOS!$C$143),INDEX(TABLAS!$B$52:$B$58,MIN(MATCH(IF(ISNUMBER(S34),S34,DATOS!$C$138),TABLAS!$B$52:$B$58,0)+0,7)),IF(AND(CA34&gt;0,FLOOR(MIN(BD34,100*INDEX(TABLAS!$D$52:$D$58,MIN(MATCH(IF(ISNUMBER(S34),S34,DATOS!$C$138),TABLAS!$B$52:$B$58,0)+1,7))/MAX(CA34,0.0001)),DATOS!$C$144)&gt;=DATOS!$C$143),INDEX(TABLAS!$B$52:$B$58,MIN(MATCH(IF(ISNUMBER(S34),S34,DATOS!$C$138),TABLAS!$B$52:$B$58,0)+1,7)),IF(AND(CA34&gt;0,FLOOR(MIN(BD34,100*INDEX(TABLAS!$D$52:$D$58,MIN(MATCH(IF(ISNUMBER(S34),S34,DATOS!$C$138),TABLAS!$B$52:$B$58,0)+2,7))/MAX(CA34,0.0001)),DATOS!$C$144)&gt;=DATOS!$C$143),INDEX(TABLAS!$B$52:$B$58,MIN(MATCH(IF(ISNUMBER(S34),S34,DATOS!$C$138),TABLAS!$B$52:$B$58,0)+2,7)),IF(AND(CA34&gt;0,FLOOR(MIN(BD34,100*INDEX(TABLAS!$D$52:$D$58,MIN(MATCH(IF(ISNUMBER(S34),S34,DATOS!$C$138),TABLAS!$B$52:$B$58,0)+3,7))/MAX(CA34,0.0001)),DATOS!$C$144)&gt;=DATOS!$C$143),INDEX(TABLAS!$B$52:$B$58,MIN(MATCH(IF(ISNUMBER(S34),S34,DATOS!$C$138),TABLAS!$B$52:$B$58,0)+3,7)),IF(AND(CA34&gt;0,FLOOR(MIN(BD34,100*INDEX(TABLAS!$D$52:$D$58,MIN(MATCH(IF(ISNUMBER(S34),S34,DATOS!$C$138),TABLAS!$B$52:$B$58,0)+4,7))/MAX(CA34,0.0001)),DATOS!$C$144)&gt;=DATOS!$C$143),INDEX(TABLAS!$B$52:$B$58,MIN(MATCH(IF(ISNUMBER(S34),S34,DATOS!$C$138),TABLAS!$B$52:$B$58,0)+4,7)),INDEX(TABLAS!$B$52:$B$58,7)))))))</f>
        <v/>
      </c>
      <c r="CC34" s="71" t="str">
        <f>IF(V34&lt;&gt;"SÍ","",IF(CA34&lt;=0,0,FLOOR(MIN(BD34,100*INDEX(TABLAS!$D$52:$D$58,MATCH(CB34,TABLAS!$B$52:$B$58,0))/CA34),DATOS!$C$144)))</f>
        <v/>
      </c>
      <c r="CD34" s="58" t="str">
        <f>IF(V34&lt;&gt;"SÍ","",IF(CC34&lt;=0,0,INDEX(TABLAS!$D$52:$D$58,MATCH(CB34,TABLAS!$B$52:$B$58,0))*100/CC34))</f>
        <v/>
      </c>
      <c r="CE34" s="58" t="str">
        <f>IF(V34&lt;&gt;"SÍ","",W34-AE34-INDEX(TABLAS!$C$52:$C$58,MATCH(BH34,TABLAS!$B$52:$B$58,0))-INDEX(TABLAS!$C$52:$C$58,MATCH(CB34,TABLAS!$B$52:$B$58,0))/2)</f>
        <v/>
      </c>
      <c r="CF34" s="56" t="str">
        <f>IF(V34&lt;&gt;"SÍ","",IF(CD34=0,0,DATOS!$C$29*CD34*DATOS!$C$14*(CE34-CD34*DATOS!$C$14/(DATOS!$C$21*100)/2)/1E5))</f>
        <v/>
      </c>
      <c r="CG34" s="65" t="str">
        <f>IF(V34&lt;&gt;"SÍ","",IF(CA34&lt;0,9.99,IF(CF34&gt;0,AZ34/CF34,0)))</f>
        <v/>
      </c>
      <c r="CH34" s="66" t="str">
        <f>IF(V34&lt;&gt;"SÍ","",IF(CD34=0,"—",0.003*(CE34-(CD34*DATOS!$C$14/(DATOS!$C$21*100)/DATOS!$C$22))/(CD34*DATOS!$C$14/(DATOS!$C$21*100)/DATOS!$C$22)))</f>
        <v/>
      </c>
      <c r="CI34" s="58" t="str">
        <f>IF(V34&lt;&gt;"SÍ","",((W34-AF34-1.5*INDEX(TABLAS!$C$52:$C$58,MATCH(IF(ISNUMBER(S34),S34,DATOS!$C$138),TABLAS!$B$52:$B$58,0)))-IF(AND((W34-AF34-1.5*INDEX(TABLAS!$C$52:$C$58,MATCH(IF(ISNUMBER(S34),S34,DATOS!$C$138),TABLAS!$B$52:$B$58,0)))&lt;=20,DATOS!$C$65&lt;&gt;"SÍ"),2,0)))</f>
        <v/>
      </c>
      <c r="CJ34" s="58" t="str">
        <f>IF(V34&lt;&gt;"SÍ","",IF(BA34&lt;=0,0,IF((1-2*BA34*1E5/(DATOS!$C$29*100*CI34^2*DATOS!$C$21))&lt;0,-1,IF((1-SQRT((1-2*BA34*1E5/(DATOS!$C$29*100*CI34^2*DATOS!$C$21))))*DATOS!$C$21*100*CI34/DATOS!$C$14&gt;DATOS!$C$102*100*CI34,-1,(1-SQRT((1-2*BA34*1E5/(DATOS!$C$29*100*CI34^2*DATOS!$C$21))))*DATOS!$C$21*100*CI34/DATOS!$C$14))))</f>
        <v/>
      </c>
      <c r="CK34" s="58" t="str">
        <f>IF(V34&lt;&gt;"SÍ","",IF(CJ34&lt;0,-1,MAX(CJ34,BC34)))</f>
        <v/>
      </c>
      <c r="CL34" s="64" t="str">
        <f>IF(V34&lt;&gt;"SÍ","",IF(AND(CK34&gt;0,FLOOR(MIN(BD34,100*INDEX(TABLAS!$D$52:$D$58,MIN(MATCH(IF(ISNUMBER(S34),S34,DATOS!$C$138),TABLAS!$B$52:$B$58,0)+0,7))/MAX(CK34,0.0001)),DATOS!$C$144)&gt;=DATOS!$C$143),INDEX(TABLAS!$B$52:$B$58,MIN(MATCH(IF(ISNUMBER(S34),S34,DATOS!$C$138),TABLAS!$B$52:$B$58,0)+0,7)),IF(AND(CK34&gt;0,FLOOR(MIN(BD34,100*INDEX(TABLAS!$D$52:$D$58,MIN(MATCH(IF(ISNUMBER(S34),S34,DATOS!$C$138),TABLAS!$B$52:$B$58,0)+1,7))/MAX(CK34,0.0001)),DATOS!$C$144)&gt;=DATOS!$C$143),INDEX(TABLAS!$B$52:$B$58,MIN(MATCH(IF(ISNUMBER(S34),S34,DATOS!$C$138),TABLAS!$B$52:$B$58,0)+1,7)),IF(AND(CK34&gt;0,FLOOR(MIN(BD34,100*INDEX(TABLAS!$D$52:$D$58,MIN(MATCH(IF(ISNUMBER(S34),S34,DATOS!$C$138),TABLAS!$B$52:$B$58,0)+2,7))/MAX(CK34,0.0001)),DATOS!$C$144)&gt;=DATOS!$C$143),INDEX(TABLAS!$B$52:$B$58,MIN(MATCH(IF(ISNUMBER(S34),S34,DATOS!$C$138),TABLAS!$B$52:$B$58,0)+2,7)),IF(AND(CK34&gt;0,FLOOR(MIN(BD34,100*INDEX(TABLAS!$D$52:$D$58,MIN(MATCH(IF(ISNUMBER(S34),S34,DATOS!$C$138),TABLAS!$B$52:$B$58,0)+3,7))/MAX(CK34,0.0001)),DATOS!$C$144)&gt;=DATOS!$C$143),INDEX(TABLAS!$B$52:$B$58,MIN(MATCH(IF(ISNUMBER(S34),S34,DATOS!$C$138),TABLAS!$B$52:$B$58,0)+3,7)),IF(AND(CK34&gt;0,FLOOR(MIN(BD34,100*INDEX(TABLAS!$D$52:$D$58,MIN(MATCH(IF(ISNUMBER(S34),S34,DATOS!$C$138),TABLAS!$B$52:$B$58,0)+4,7))/MAX(CK34,0.0001)),DATOS!$C$144)&gt;=DATOS!$C$143),INDEX(TABLAS!$B$52:$B$58,MIN(MATCH(IF(ISNUMBER(S34),S34,DATOS!$C$138),TABLAS!$B$52:$B$58,0)+4,7)),INDEX(TABLAS!$B$52:$B$58,7)))))))</f>
        <v/>
      </c>
      <c r="CM34" s="71" t="str">
        <f>IF(V34&lt;&gt;"SÍ","",IF(CK34&lt;=0,0,FLOOR(MIN(BD34,100*INDEX(TABLAS!$D$52:$D$58,MATCH(CL34,TABLAS!$B$52:$B$58,0))/CK34),DATOS!$C$144)))</f>
        <v/>
      </c>
      <c r="CN34" s="58" t="str">
        <f>IF(V34&lt;&gt;"SÍ","",IF(CM34&lt;=0,0,INDEX(TABLAS!$D$52:$D$58,MATCH(CL34,TABLAS!$B$52:$B$58,0))*100/CM34))</f>
        <v/>
      </c>
      <c r="CO34" s="58" t="str">
        <f>IF(V34&lt;&gt;"SÍ","",((W34-AF34-INDEX(TABLAS!$C$52:$C$58,MATCH(BR34,TABLAS!$B$52:$B$58,0))-INDEX(TABLAS!$C$52:$C$58,MATCH(CL34,TABLAS!$B$52:$B$58,0))/2)-IF(AND((W34-AF34-INDEX(TABLAS!$C$52:$C$58,MATCH(BR34,TABLAS!$B$52:$B$58,0))-INDEX(TABLAS!$C$52:$C$58,MATCH(CL34,TABLAS!$B$52:$B$58,0))/2)&lt;=20,DATOS!$C$65&lt;&gt;"SÍ"),2,0)))</f>
        <v/>
      </c>
      <c r="CP34" s="56" t="str">
        <f>IF(V34&lt;&gt;"SÍ","",IF(CN34=0,0,DATOS!$C$29*CN34*DATOS!$C$14*(CO34-CN34*DATOS!$C$14/(DATOS!$C$21*100)/2)/1E5))</f>
        <v/>
      </c>
      <c r="CQ34" s="65" t="str">
        <f>IF(V34&lt;&gt;"SÍ","",IF(CK34&lt;0,9.99,IF(CP34&gt;0,BA34/CP34,0)))</f>
        <v/>
      </c>
      <c r="CR34" s="66" t="str">
        <f>IF(V34&lt;&gt;"SÍ","",IF(CN34=0,"—",0.003*(CO34-(CN34*DATOS!$C$14/(DATOS!$C$21*100)/DATOS!$C$22))/(CN34*DATOS!$C$14/(DATOS!$C$21*100)/DATOS!$C$22)))</f>
        <v/>
      </c>
      <c r="CS34" s="56" t="str">
        <f>IF(V34&lt;&gt;"SÍ","",IF(C34="PERIMETRAL",MAX(0,(AC34/2-BU34)/100)*(0.95-0.5*AB34)*AK34*IF(AND(AL34&gt;0,AL34&lt;4),DATOS!$C$33,1)/1000,(AK34*MAX(0,AC34-BU34)/100+DATOS!$C$26*N(P34))/1000))</f>
        <v/>
      </c>
      <c r="CT34" s="66" t="str">
        <f>IF(V34&lt;&gt;"SÍ","",BT34/(100*BU34))</f>
        <v/>
      </c>
      <c r="CU34" s="56" t="str">
        <f>IF(V34&lt;&gt;"SÍ","",DATOS!$C$30*2*MIN(1,SQRT(2/(1+0.04*BU34)))*CT34^(1/3)*SQRT(DATOS!$C$13)*100*BU34/1000)</f>
        <v/>
      </c>
      <c r="CV34" s="67" t="str">
        <f>IF(V34&lt;&gt;"SÍ","",IF(CS34&lt;=CU34,"CUMPLE","NO CUMPLE: sube h"))</f>
        <v/>
      </c>
      <c r="CW34" s="58" t="str">
        <f>IF(V34&lt;&gt;"SÍ","",IF(C34="PERIMETRAL",IF(ISNUMBER(R34),R34,DATOS!$C$104),0))</f>
        <v/>
      </c>
      <c r="CX34" s="57" t="str">
        <f>IF(V34&lt;&gt;"SÍ","",IF(C34="PERIMETRAL",IF(CW34&gt;2,MAX(9,AD34*(0.8+DATOS!$C$14/14000)/(36+9*(AD34/MAX(AC34,1)))),IF(CW34&gt;0.2,MAX(13,AD34*(0.8+DATOS!$C$14/14000)/(36+5*(AD34/MAX(AC34,1))*(CW34-0.2))),MAX(13,AD34/IF(AL34&gt;0,30,33))))*IF(AND(CW34&gt;0.2,AL34&gt;0,DATOS!$C$105="NO"),1.1,1),Z34*100/DATOS!$C$145*(0.4+DATOS!$C$14/7000)))</f>
        <v/>
      </c>
      <c r="CY34" s="61" t="str">
        <f>IF(V34&lt;&gt;"SÍ","",IF(W34&gt;=CX34-0.001,"CUMPLE",IF(C34="VOLADO","NO CUMPLE","CALCULAR FLECHA")))</f>
        <v/>
      </c>
      <c r="CZ34" s="60" t="str">
        <f>IF(V34&lt;&gt;"SÍ","",IF(C34="VOLADO",MIN(FLOOR(IF(ISNUMBER(Q34),Q34,Z34)*100-DATOS!$C$63,5),CEILING(MAX(IF((0.5*(0.9*W34/100*DATOS!$C$16)*IF(ISNUMBER(Q34),Q34,Z34)+AY34/IF(ISNUMBER(Q34),Q34,Z34))^2-4*(0.5*(0.9*W34/100*DATOS!$C$16))*AY34&lt;0,IF(ISNUMBER(Q34),Q34,Z34),MIN(IF(ISNUMBER(Q34),Q34,Z34),((0.5*(0.9*W34/100*DATOS!$C$16)*IF(ISNUMBER(Q34),Q34,Z34)+AY34/IF(ISNUMBER(Q34),Q34,Z34))-SQRT((0.5*(0.9*W34/100*DATOS!$C$16)*IF(ISNUMBER(Q34),Q34,Z34)+AY34/IF(ISNUMBER(Q34),Q34,Z34))^2-4*(0.5*(0.9*W34/100*DATOS!$C$16))*AY34))/(2*(0.5*(0.9*W34/100*DATOS!$C$16)))))*100+MAX(BU34,12*INDEX(TABLAS!$C$52:$C$58,MATCH(BR34,TABLAS!$B$52:$B$58,0)),IF(ISNUMBER(Q34),Q34,Z34)*100/16),IF(OR(AF34&lt;INDEX(TABLAS!$C$52:$C$58,MATCH(BR34,TABLAS!$B$52:$B$58,0)),BS34-INDEX(TABLAS!$C$52:$C$58,MATCH(BR34,TABLAS!$B$52:$B$58,0))&lt;2*INDEX(TABLAS!$C$52:$C$58,MATCH(BR34,TABLAS!$B$52:$B$58,0))),INDEX(TABLAS!$I$52:$I$58,MATCH(BR34,TABLAS!$B$52:$B$58,0)),INDEX(TABLAS!$F$52:$F$58,MATCH(BR34,TABLAS!$B$52:$B$58,0)))),5)),IF(((4*((AV34*AK34*Z34^2*1E-4/1000)+((MAX(AR34,AT34)*AK34*Z34^2*1E-4/1000)+(IF(AND(AR34&gt;0,AT34&gt;0),MIN(AR34,AT34),MAX(AR34,AT34))*AK34*Z34^2*1E-4/1000))/2)+AY34-(IF(AND(AR34&gt;0,AT34&gt;0),MIN(AR34,AT34),MAX(AR34,AT34))*AK34*Z34^2*1E-4/1000))^2-16*((AV34*AK34*Z34^2*1E-4/1000)+((MAX(AR34,AT34)*AK34*Z34^2*1E-4/1000)+(IF(AND(AR34&gt;0,AT34&gt;0),MIN(AR34,AT34),MAX(AR34,AT34))*AK34*Z34^2*1E-4/1000))/2)*AY34)&lt;0,CEILING(AC34,5),CEILING(MAX(AC34*((4*((AV34*AK34*Z34^2*1E-4/1000)+((MAX(AR34,AT34)*AK34*Z34^2*1E-4/1000)+(IF(AND(AR34&gt;0,AT34&gt;0),MIN(AR34,AT34),MAX(AR34,AT34))*AK34*Z34^2*1E-4/1000))/2)+AY34-(IF(AND(AR34&gt;0,AT34&gt;0),MIN(AR34,AT34),MAX(AR34,AT34))*AK34*Z34^2*1E-4/1000))-SQRT(MAX(0,((4*((AV34*AK34*Z34^2*1E-4/1000)+((MAX(AR34,AT34)*AK34*Z34^2*1E-4/1000)+(IF(AND(AR34&gt;0,AT34&gt;0),MIN(AR34,AT34),MAX(AR34,AT34))*AK34*Z34^2*1E-4/1000))/2)+AY34-(IF(AND(AR34&gt;0,AT34&gt;0),MIN(AR34,AT34),MAX(AR34,AT34))*AK34*Z34^2*1E-4/1000))^2-16*((AV34*AK34*Z34^2*1E-4/1000)+((MAX(AR34,AT34)*AK34*Z34^2*1E-4/1000)+(IF(AND(AR34&gt;0,AT34&gt;0),MIN(AR34,AT34),MAX(AR34,AT34))*AK34*Z34^2*1E-4/1000))/2)*AY34))))/(8*MAX(((AV34*AK34*Z34^2*1E-4/1000)+((MAX(AR34,AT34)*AK34*Z34^2*1E-4/1000)+(IF(AND(AR34&gt;0,AT34&gt;0),MIN(AR34,AT34),MAX(AR34,AT34))*AK34*Z34^2*1E-4/1000))/2),1E-9))+MAX(BU34,12*INDEX(TABLAS!$C$52:$C$58,MATCH(BR34,TABLAS!$B$52:$B$58,0)),AC34/16),IF(OR(AF34&lt;INDEX(TABLAS!$C$52:$C$58,MATCH(BR34,TABLAS!$B$52:$B$58,0)),BS34-INDEX(TABLAS!$C$52:$C$58,MATCH(BR34,TABLAS!$B$52:$B$58,0))&lt;2*INDEX(TABLAS!$C$52:$C$58,MATCH(BR34,TABLAS!$B$52:$B$58,0))),INDEX(TABLAS!$I$52:$I$58,MATCH(BR34,TABLAS!$B$52:$B$58,0)),INDEX(TABLAS!$F$52:$F$58,MATCH(BR34,TABLAS!$B$52:$B$58,0)))),5))))</f>
        <v/>
      </c>
      <c r="DA34" s="60" t="str">
        <f>IF(V34&lt;&gt;"SÍ","",IF(C34="VOLADO",0,IF(((4*((AW34*AK34*Z34^2*1E-4/1000)+((MAX(AS34,AU34)*AK34*Z34^2*1E-4/1000)+(IF(AND(AS34&gt;0,AU34&gt;0),MIN(AS34,AU34),MAX(AS34,AU34))*AK34*Z34^2*1E-4/1000))/2)+BA34-(IF(AND(AS34&gt;0,AU34&gt;0),MIN(AS34,AU34),MAX(AS34,AU34))*AK34*Z34^2*1E-4/1000))^2-16*((AW34*AK34*Z34^2*1E-4/1000)+((MAX(AS34,AU34)*AK34*Z34^2*1E-4/1000)+(IF(AND(AS34&gt;0,AU34&gt;0),MIN(AS34,AU34),MAX(AS34,AU34))*AK34*Z34^2*1E-4/1000))/2)*BA34)&lt;0,CEILING(AD34,5),CEILING(MAX(AD34*((4*((AW34*AK34*Z34^2*1E-4/1000)+((MAX(AS34,AU34)*AK34*Z34^2*1E-4/1000)+(IF(AND(AS34&gt;0,AU34&gt;0),MIN(AS34,AU34),MAX(AS34,AU34))*AK34*Z34^2*1E-4/1000))/2)+BA34-(IF(AND(AS34&gt;0,AU34&gt;0),MIN(AS34,AU34),MAX(AS34,AU34))*AK34*Z34^2*1E-4/1000))-SQRT(MAX(0,((4*((AW34*AK34*Z34^2*1E-4/1000)+((MAX(AS34,AU34)*AK34*Z34^2*1E-4/1000)+(IF(AND(AS34&gt;0,AU34&gt;0),MIN(AS34,AU34),MAX(AS34,AU34))*AK34*Z34^2*1E-4/1000))/2)+BA34-(IF(AND(AS34&gt;0,AU34&gt;0),MIN(AS34,AU34),MAX(AS34,AU34))*AK34*Z34^2*1E-4/1000))^2-16*((AW34*AK34*Z34^2*1E-4/1000)+((MAX(AS34,AU34)*AK34*Z34^2*1E-4/1000)+(IF(AND(AS34&gt;0,AU34&gt;0),MIN(AS34,AU34),MAX(AS34,AU34))*AK34*Z34^2*1E-4/1000))/2)*BA34))))/(8*MAX(((AW34*AK34*Z34^2*1E-4/1000)+((MAX(AS34,AU34)*AK34*Z34^2*1E-4/1000)+(IF(AND(AS34&gt;0,AU34&gt;0),MIN(AS34,AU34),MAX(AS34,AU34))*AK34*Z34^2*1E-4/1000))/2),1E-9))+MAX(CO34,12*INDEX(TABLAS!$C$52:$C$58,MATCH(CL34,TABLAS!$B$52:$B$58,0)),AD34/16),IF(OR(AF34&lt;INDEX(TABLAS!$C$52:$C$58,MATCH(CL34,TABLAS!$B$52:$B$58,0)),CM34-INDEX(TABLAS!$C$52:$C$58,MATCH(CL34,TABLAS!$B$52:$B$58,0))&lt;2*INDEX(TABLAS!$C$52:$C$58,MATCH(CL34,TABLAS!$B$52:$B$58,0))),INDEX(TABLAS!$I$52:$I$58,MATCH(CL34,TABLAS!$B$52:$B$58,0)),INDEX(TABLAS!$F$52:$F$58,MATCH(CL34,TABLAS!$B$52:$B$58,0)))),5))))</f>
        <v/>
      </c>
      <c r="DB34" s="55" t="str">
        <f>IF(V34&lt;&gt;"SÍ","",IF(AND(C34="PERIMETRAL",AL34-AM34&gt;0,AT34&gt;0),"SÍ","NO"))</f>
        <v/>
      </c>
      <c r="DC34" s="55" t="str">
        <f>IF(V34&lt;&gt;"SÍ","",IF(AND(C34="PERIMETRAL",AM34&gt;0,AU34&gt;0),"SÍ","NO"))</f>
        <v/>
      </c>
      <c r="DD34" s="63" t="str">
        <f>IF(V34&lt;&gt;"SÍ","",IF(OR(C34="VOLADO",AL34=0),"—",IF(AND(AND(INDEX(TABLAS!$G$52:$G$58,MATCH(MAX(BR34,CL34),TABLAS!$B$52:$B$58,0))&lt;=(DATOS!$C$75-DATOS!$C$63),(DATOS!$C$75-DATOS!$C$63)&gt;=15),8*INDEX(TABLAS!$C$52:$C$58,MATCH(MAX(BH34,CB34,BR34,CL34),TABLAS!$B$52:$B$58,0))&lt;=DATOS!$C$76-2*DATOS!$C$63),"CUMPLE (gancho de 180°)",IF(AND(INDEX(TABLAS!$G$52:$G$58,MATCH(MAX(BR34,CL34),TABLAS!$B$52:$B$58,0))&lt;=(DATOS!$C$75-DATOS!$C$63),(DATOS!$C$75-DATOS!$C$63)&gt;=15),"NO CUMPLE: el gancho de 180° (8·d_b) no cabe en el peralte de la dala de borde","NO CUMPLE: dala de borde ≥ "&amp;TEXT(CEILING(MAX(INDEX(TABLAS!$G$52:$G$58,MATCH(MAX(BR34,CL34),TABLAS!$B$52:$B$58,0)),15)+DATOS!$C$63,5),"0")&amp;" cm de ancho"&amp;IF(8*INDEX(TABLAS!$C$52:$C$58,MATCH(MAX(BH34,CB34,BR34,CL34),TABLAS!$B$52:$B$58,0))&lt;=DATOS!$C$76-2*DATOS!$C$63,""," y más peralte para el gancho")))))</f>
        <v/>
      </c>
      <c r="DE34" s="69" t="str">
        <f>IF(V34&lt;&gt;"SÍ","",IF(BI34=0,"NO ALCANZA","No. "&amp;BH34&amp;" @ "&amp;BI34&amp;" cm"&amp;IF(C34="VOLADO"," (temperatura)","")))</f>
        <v/>
      </c>
      <c r="DF34" s="69" t="str">
        <f>IF(V34&lt;&gt;"SÍ","",IF(BS34=0,"NO ALCANZA",IF(C34="VOLADO","No. "&amp;BR34&amp;" @ "&amp;BS34&amp;" cm"&amp;" de la orilla al respaldo ("&amp;IF(CZ34&gt;=FLOOR(100*IF(ISNUMBER(Q34),Q34,Z34)-DATOS!$C$63,5),"hasta su apoyo lejano, con gancho","entran "&amp;TEXT(CZ34/100,"0.00")&amp;" m desde el paño")&amp;")","Bastones "&amp;"No. "&amp;BR34&amp;" @ "&amp;BS34&amp;" cm"&amp;", L = "&amp;TEXT(CZ34/100,"0.00")&amp;" m desde el paño")))</f>
        <v/>
      </c>
      <c r="DG34" s="69" t="str">
        <f>IF(V34&lt;&gt;"SÍ","",IF(CC34=0,"NO ALCANZA","No. "&amp;CB34&amp;" @ "&amp;CC34&amp;" cm"&amp;IF(C34="VOLADO"," (repartición)","")))</f>
        <v/>
      </c>
      <c r="DH34" s="69" t="str">
        <f>IF(V34&lt;&gt;"SÍ","",IF(CM34=0,"NO ALCANZA",IF(C34="VOLADO","No. "&amp;CL34&amp;" @ "&amp;CM34&amp;" cm"&amp;" (repartición)","Bastones "&amp;"No. "&amp;CL34&amp;" @ "&amp;CM34&amp;" cm"&amp;", L = "&amp;TEXT(DA34/100,"0.00")&amp;" m desde el paño")))</f>
        <v/>
      </c>
      <c r="DI34" s="67" t="str">
        <f>IF(B34="","",IF(V34&lt;&gt;"SÍ","FALTAN DATOS: tipo, a_x, a_y, destino y, en volados, L_b",IF(L34="NO MONOLÍTICO (caso II)","FUERA DE ALCANCE: caso II no transcrito",IF(AND(C34="VOLADO",X34="?"),"REVISAR: el volado lleva UN solo borde CONTINUO (el empotrado)",IF(AND(MAX(BM34,BW34,CG34,CQ34)&lt;=1,NOT(OR(BI34&lt;DATOS!$C$143,BS34&lt;DATOS!$C$143,CC34&lt;DATOS!$C$143,CM34&lt;DATOS!$C$143)),NOT(OR(AND(ISNUMBER(BN34),BN34&lt;0.005),AND(ISNUMBER(BX34),BX34&lt;0.005),AND(ISNUMBER(CH34),CH34&lt;0.005),AND(ISNUMBER(CR34),CR34&lt;0.005))),CV34="CUMPLE",CY34="CUMPLE"),"CUMPLE"&amp;IF(LEFT(BB34,5)="FUERA"," · fuera de 3.4.2.1 c)","")&amp;IF(LEFT(DD34,2)="NO"," · REVISAR anclaje en borde discontinuo",""),IF(AND(MAX(BM34,BW34,CG34,CQ34)&lt;=1,NOT(OR(BI34&lt;DATOS!$C$143,BS34&lt;DATOS!$C$143,CC34&lt;DATOS!$C$143,CM34&lt;DATOS!$C$143)),NOT(OR(AND(ISNUMBER(BN34),BN34&lt;0.005),AND(ISNUMBER(BX34),BX34&lt;0.005),AND(ISNUMBER(CH34),CH34&lt;0.005),AND(ISNUMBER(CR34),CR34&lt;0.005))),CV34="CUMPLE",CY34="CALCULAR FLECHA"),"REVISAR: calcular flecha (h &lt; h mín.)"&amp;IF(LEFT(BB34,5)="FUERA"," · fuera de 3.4.2.1 c)","")&amp;IF(LEFT(DD34,2)="NO"," · REVISAR anclaje en borde discontinuo",""),"NO CUMPLE: "&amp;IF(MAX(BM34,BW34,CG34,CQ34)&gt;1,"flexión ","")&amp;IF(OR(BI34&lt;DATOS!$C$143,BS34&lt;DATOS!$C$143,CC34&lt;DATOS!$C$143,CM34&lt;DATOS!$C$143),"separación &lt; mínima ","")&amp;IF(OR(AND(ISNUMBER(BN34),BN34&lt;0.005),AND(ISNUMBER(BX34),BX34&lt;0.005),AND(ISNUMBER(CH34),CH34&lt;0.005),AND(ISNUMBER(CR34),CR34&lt;0.005)),"ε_t &lt; 0.005 ","")&amp;IF(CV34&lt;&gt;"CUMPLE","cortante ","")&amp;IF(CY34="NO CUMPLE","peralte","")))))))</f>
        <v/>
      </c>
      <c r="DJ34" s="70" t="str">
        <f>IF(V34&lt;&gt;"SÍ","",IF(LEFT(B34,7)="EJEMPLO","EJEMPLO de tablero típico: bórralo o sobrescríbelo. ","")&amp;IF(C34="VOLADO","Volado de "&amp;TEXT(Z34,"0.00")&amp;" m empotrado en el borde "&amp;LOWER(X34)&amp;IF(N(P34)&gt;0,", con "&amp;TEXT(P34,"0.0")&amp;" kg/m en la orilla","")&amp;". Lecho inferior con r_ext. Si la orilla carga pretil u otro elemento frágil, calcula la flecha (13.4). El acero superior entra al respaldo de "&amp;TEXT(IF(ISNUMBER(Q34),Q34,Z34),"0.00")&amp;" m"&amp;" hasta pasar M = 0 con 0.9·PP sin carga viva; si ahí no se anula, llega al apoyo lejano y se ancla con gancho. ","")&amp;IF(AND(C34="VOLADO",(0.9*W34/100*DATOS!$C$16*IF(ISNUMBER(Q34),Q34,Z34)/2-AY34/IF(ISNUMBER(Q34),Q34,Z34))&lt;0),"Con 0.9·PP y sin carga viva el apoyo lejano del respaldo levanta (R = "&amp;TEXT(-(0.9*W34/100*DATOS!$C$16*IF(ISNUMBER(Q34),Q34,Z34)/2-AY34/IF(ISNUMBER(Q34),Q34,Z34)),"0.00")&amp;" t/m): ancla ahí el acero con gancho y revisa ese apoyo a tensión. ","")&amp;IF(LEFT(BB34,5)="FUERA","El M⁻ del vecino difiere más de 50 % (3.4.2.1 c): distribuye el desequilibrio (3.4.3.1) o confirma con un modelo; se arma con el mayor. ","")&amp;IF(OR(DB34="SÍ",DC34="SÍ"),"Bastones también en los bordes discontinuos (M⁻ de tabla), con gancho. ","")&amp;IF(LEFT(DD34,2)="NO","Anclaje: "&amp;DD34&amp;" (6.7.7.4.1.1). ","")&amp;IF(AND(C34="PERIMETRAL",AM34&gt;=1,AL34-AM34&gt;=1),"Esquinas exteriores sobre muro: refuerzo de esquina arriba y abajo en L_largo/5 (6.7.7.3.1). ",""))</f>
        <v/>
      </c>
    </row>
    <row r="35" ht="33" customHeight="1">
      <c r="A35" s="50">
        <f>IF(B35="",0,1)+A34</f>
        <v>3</v>
      </c>
      <c r="B35" s="29" t="n"/>
      <c r="C35" s="51" t="n"/>
      <c r="D35" s="29" t="n"/>
      <c r="E35" s="52" t="n"/>
      <c r="F35" s="52" t="n"/>
      <c r="G35" s="51" t="n"/>
      <c r="H35" s="51" t="n"/>
      <c r="I35" s="51" t="n"/>
      <c r="J35" s="51" t="n"/>
      <c r="K35" s="51" t="n"/>
      <c r="L35" s="51" t="n"/>
      <c r="M35" s="54" t="n"/>
      <c r="N35" s="53" t="n"/>
      <c r="O35" s="53" t="n"/>
      <c r="P35" s="54" t="n"/>
      <c r="Q35" s="52" t="n"/>
      <c r="R35" s="54" t="n"/>
      <c r="S35" s="53" t="n"/>
      <c r="T35" s="52" t="n"/>
      <c r="U35" s="52" t="n"/>
      <c r="V35" s="55" t="str">
        <f>IF(B35="","",IF(AND(OR(C35="PERIMETRAL",C35="VOLADO"),ISNUMBER(E35),ISNUMBER(F35),E35&gt;0,F35&gt;0,OR(ISNUMBER(O35),ISNUMBER(MATCH(D35,DATOS!$B$46:$B$58,0))),OR(C35&lt;&gt;"VOLADO",N(Q35)&gt;0)),"SÍ","NO"))</f>
        <v/>
      </c>
      <c r="W35" s="57" t="str">
        <f>IF(V35&lt;&gt;"SÍ","",IF(ISNUMBER(M35),M35,DATOS!$C$137))</f>
        <v/>
      </c>
      <c r="X35" s="55" t="str">
        <f>IF(V35&lt;&gt;"SÍ","",IF(C35&lt;&gt;"VOLADO","—",IF(COUNTIF(G35:J35,"CONTINUO")&lt;&gt;1,"?",IF(G35="CONTINUO","INFERIOR",IF(H35="CONTINUO","SUPERIOR",IF(I35="CONTINUO","IZQUIERDO","DERECHO"))))))</f>
        <v/>
      </c>
      <c r="Y35" s="55" t="str">
        <f>IF(V35&lt;&gt;"SÍ","",IF(C35="VOLADO",IF(OR(X35="IZQUIERDO",X35="DERECHO"),"X","Y"),IF(E35&lt;=F35,"X","Y")))</f>
        <v/>
      </c>
      <c r="Z35" s="56" t="str">
        <f>IF(V35&lt;&gt;"SÍ","",IF(C35="VOLADO",IF(Y35="X",E35,F35),MIN(E35,F35)))</f>
        <v/>
      </c>
      <c r="AA35" s="56" t="str">
        <f>IF(V35&lt;&gt;"SÍ","",IF(C35="VOLADO",IF(Y35="X",F35,E35),MAX(E35,F35)))</f>
        <v/>
      </c>
      <c r="AB35" s="56" t="str">
        <f>IF(V35&lt;&gt;"SÍ","",MIN(Z35,AA35)/MAX(Z35,AA35))</f>
        <v/>
      </c>
      <c r="AC35" s="57" t="str">
        <f>IF(V35&lt;&gt;"SÍ","",MAX(1,Z35*100-IF(C35="VOLADO",DATOS!$C$87/2,DATOS!$C$87)))</f>
        <v/>
      </c>
      <c r="AD35" s="57" t="str">
        <f>IF(V35&lt;&gt;"SÍ","",MAX(1,AA35*100-DATOS!$C$87))</f>
        <v/>
      </c>
      <c r="AE35" s="57" t="str">
        <f>IF(V35&lt;&gt;"SÍ","",IF(C35="VOLADO",DATOS!$C$64,DATOS!$C$62))</f>
        <v/>
      </c>
      <c r="AF35" s="57" t="str">
        <f>IF(V35&lt;&gt;"SÍ","",IF(OR(AND(AG35="SÍ",DATOS!$C$66="SÍ"),AND(C35="VOLADO",DATOS!$C$67="SÍ")),DATOS!$C$64,DATOS!$C$62))</f>
        <v/>
      </c>
      <c r="AG35" s="55" t="str">
        <f>IF(V35&lt;&gt;"SÍ","",IFERROR(INDEX(DATOS!$D$46:$D$58,MATCH(D35,DATOS!$B$46:$B$58,0)),"NO"))</f>
        <v/>
      </c>
      <c r="AH35" s="59" t="str">
        <f>IF(V35&lt;&gt;"SÍ","",IF(ISNUMBER(O35),O35,IFERROR(INDEX(DATOS!$C$46:$C$58,MATCH(D35,DATOS!$B$46:$B$58,0)),0)))</f>
        <v/>
      </c>
      <c r="AI35" s="59" t="str">
        <f>IF(V35&lt;&gt;"SÍ","",W35/100*DATOS!$C$16*1000+DATOS!$C$37+DATOS!$C$38)</f>
        <v/>
      </c>
      <c r="AJ35" s="59" t="str">
        <f>IF(V35&lt;&gt;"SÍ","",AI35+N(N35))</f>
        <v/>
      </c>
      <c r="AK35" s="60" t="str">
        <f>IF(V35&lt;&gt;"SÍ","",MAX(DATOS!$C$26*AJ35+DATOS!$C$27*AH35,IF(AG35="SÍ",DATOS!$C$28*(AJ35+DATOS!$C$41),0)))</f>
        <v/>
      </c>
      <c r="AL35" s="59" t="str">
        <f>IF(V35&lt;&gt;"SÍ","",(G35="DISCONTINUO")+(H35="DISCONTINUO")+(I35="DISCONTINUO")+(J35="DISCONTINUO"))</f>
        <v/>
      </c>
      <c r="AM35" s="59" t="str">
        <f>IF(V35&lt;&gt;"SÍ","",IF(Y35="X",(G35="DISCONTINUO")+(H35="DISCONTINUO"),(I35="DISCONTINUO")+(J35="DISCONTINUO")))</f>
        <v/>
      </c>
      <c r="AN35" s="55" t="str">
        <f>IF(V35&lt;&gt;"SÍ","",IF(AL35=0,"INTERIOR",IF(AL35=1,IF(AM35=1,"BORDE-CORTO","BORDE-LARGO"),IF(AL35=2,IF(AM35=1,"ESQUINA",IF(AM35=2,"EXTREMO-LARGO","EXTREMO-CORTO")),IF(AL35=3,IF(AM35=2,"EXTREMO-LARGO","EXTREMO-CORTO"),"AISLADO")))))</f>
        <v/>
      </c>
      <c r="AO35" s="61" t="str">
        <f>IF(V35&lt;&gt;"SÍ","",IF(OR(K35="",K35="AUTO"),AN35,K35))</f>
        <v/>
      </c>
      <c r="AP35" s="59" t="str">
        <f>IF(V35&lt;&gt;"SÍ","",MATCH(AB35,TABLAS!$D$5:$J$5,1))</f>
        <v/>
      </c>
      <c r="AQ35" s="58" t="str">
        <f>IF(V35&lt;&gt;"SÍ","",IF(AP35&gt;=7,0,(AB35-INDEX(TABLAS!$D$5:$J$5,AP35))/(INDEX(TABLAS!$D$5:$J$5,AP35+1)-INDEX(TABLAS!$D$5:$J$5,AP35))))</f>
        <v/>
      </c>
      <c r="AR35" s="59" t="str">
        <f>IF(V35&lt;&gt;"SÍ","",INDEX(TABLAS!$D$6:$J$47,MATCH(AO35&amp;"|NIC",TABLAS!$B$6:$B$47,0),AP35)+AQ35*(INDEX(TABLAS!$D$6:$J$47,MATCH(AO35&amp;"|NIC",TABLAS!$B$6:$B$47,0),MIN(AP35+1,7))-INDEX(TABLAS!$D$6:$J$47,MATCH(AO35&amp;"|NIC",TABLAS!$B$6:$B$47,0),AP35)))</f>
        <v/>
      </c>
      <c r="AS35" s="59" t="str">
        <f>IF(V35&lt;&gt;"SÍ","",INDEX(TABLAS!$D$6:$J$47,MATCH(AO35&amp;"|NIL",TABLAS!$B$6:$B$47,0),AP35)+AQ35*(INDEX(TABLAS!$D$6:$J$47,MATCH(AO35&amp;"|NIL",TABLAS!$B$6:$B$47,0),MIN(AP35+1,7))-INDEX(TABLAS!$D$6:$J$47,MATCH(AO35&amp;"|NIL",TABLAS!$B$6:$B$47,0),AP35)))</f>
        <v/>
      </c>
      <c r="AT35" s="59" t="str">
        <f>IF(V35&lt;&gt;"SÍ","",INDEX(TABLAS!$D$6:$J$47,MATCH(AO35&amp;"|NDC",TABLAS!$B$6:$B$47,0),AP35)+AQ35*(INDEX(TABLAS!$D$6:$J$47,MATCH(AO35&amp;"|NDC",TABLAS!$B$6:$B$47,0),MIN(AP35+1,7))-INDEX(TABLAS!$D$6:$J$47,MATCH(AO35&amp;"|NDC",TABLAS!$B$6:$B$47,0),AP35)))</f>
        <v/>
      </c>
      <c r="AU35" s="59" t="str">
        <f>IF(V35&lt;&gt;"SÍ","",INDEX(TABLAS!$D$6:$J$47,MATCH(AO35&amp;"|NDL",TABLAS!$B$6:$B$47,0),AP35)+AQ35*(INDEX(TABLAS!$D$6:$J$47,MATCH(AO35&amp;"|NDL",TABLAS!$B$6:$B$47,0),MIN(AP35+1,7))-INDEX(TABLAS!$D$6:$J$47,MATCH(AO35&amp;"|NDL",TABLAS!$B$6:$B$47,0),AP35)))</f>
        <v/>
      </c>
      <c r="AV35" s="59" t="str">
        <f>IF(V35&lt;&gt;"SÍ","",INDEX(TABLAS!$D$6:$J$47,MATCH(AO35&amp;"|PC",TABLAS!$B$6:$B$47,0),AP35)+AQ35*(INDEX(TABLAS!$D$6:$J$47,MATCH(AO35&amp;"|PC",TABLAS!$B$6:$B$47,0),MIN(AP35+1,7))-INDEX(TABLAS!$D$6:$J$47,MATCH(AO35&amp;"|PC",TABLAS!$B$6:$B$47,0),AP35)))</f>
        <v/>
      </c>
      <c r="AW35" s="59" t="str">
        <f>IF(V35&lt;&gt;"SÍ","",INDEX(TABLAS!$D$6:$J$47,MATCH(AO35&amp;"|PL",TABLAS!$B$6:$B$47,0),AP35)+AQ35*(INDEX(TABLAS!$D$6:$J$47,MATCH(AO35&amp;"|PL",TABLAS!$B$6:$B$47,0),MIN(AP35+1,7))-INDEX(TABLAS!$D$6:$J$47,MATCH(AO35&amp;"|PL",TABLAS!$B$6:$B$47,0),AP35)))</f>
        <v/>
      </c>
      <c r="AX35" s="56" t="str">
        <f>IF(V35&lt;&gt;"SÍ","",IF(C35="PERIMETRAL",AV35*AK35*Z35^2*1E-4/1000,0))</f>
        <v/>
      </c>
      <c r="AY35" s="62" t="str">
        <f>IF(V35&lt;&gt;"SÍ","",IF(C35="PERIMETRAL",MAX(MAX(AR35,AT35)*AK35*Z35^2*1E-4/1000,N(T35)),(AK35*(AC35/100)^2/2+DATOS!$C$26*N(P35)*AC35/100)/1000))</f>
        <v/>
      </c>
      <c r="AZ35" s="56" t="str">
        <f>IF(V35&lt;&gt;"SÍ","",IF(C35="PERIMETRAL",AW35*AK35*Z35^2*1E-4/1000,0))</f>
        <v/>
      </c>
      <c r="BA35" s="56" t="str">
        <f>IF(V35&lt;&gt;"SÍ","",IF(C35="PERIMETRAL",MAX(MAX(AS35,AU35)*AK35*Z35^2*1E-4/1000,N(U35)),0))</f>
        <v/>
      </c>
      <c r="BB35" s="63" t="str">
        <f>IF(V35&lt;&gt;"SÍ","",IF(C35&lt;&gt;"PERIMETRAL","—",IF(AND(N(T35)=0,N(U35)=0),"— (sin M⁻ del vecino)",IF(OR(AND(N(T35)&gt;0,ABS(MAX(AR35,AT35)*AK35*Z35^2*1E-4/1000-N(T35))&gt;0.5*MIN(MAX(AR35,AT35)*AK35*Z35^2*1E-4/1000,N(T35))),AND(N(U35)&gt;0,ABS(MAX(AS35,AU35)*AK35*Z35^2*1E-4/1000-N(U35))&gt;0.5*MIN(MAX(AS35,AU35)*AK35*Z35^2*1E-4/1000,N(U35)))),"FUERA: difieren &gt; 50 %"&amp;IF(AND(N(T35)&gt;0,ABS(MAX(AR35,AT35)*AK35*Z35^2*1E-4/1000-N(T35))&gt;0.5*MIN(MAX(AR35,AT35)*AK35*Z35^2*1E-4/1000,N(T35)))," ‖ corto","")&amp;IF(AND(N(U35)&gt;0,ABS(MAX(AS35,AU35)*AK35*Z35^2*1E-4/1000-N(U35))&gt;0.5*MIN(MAX(AS35,AU35)*AK35*Z35^2*1E-4/1000,N(U35)))," ‖ largo",""),"CUMPLE"))))</f>
        <v/>
      </c>
      <c r="BC35" s="58" t="str">
        <f>IF(V35&lt;&gt;"SÍ","",DATOS!$C$139*100*W35)</f>
        <v/>
      </c>
      <c r="BD35" s="57" t="str">
        <f>IF(V35&lt;&gt;"SÍ","",MIN(IF(C35="VOLADO",DATOS!$C$141,DATOS!$C$140)*W35,DATOS!$C$142))</f>
        <v/>
      </c>
      <c r="BE35" s="58" t="str">
        <f>IF(V35&lt;&gt;"SÍ","",(W35-AE35-INDEX(TABLAS!$C$52:$C$58,MATCH(IF(ISNUMBER(S35),S35,DATOS!$C$138),TABLAS!$B$52:$B$58,0))/2))</f>
        <v/>
      </c>
      <c r="BF35" s="58" t="str">
        <f>IF(V35&lt;&gt;"SÍ","",IF(AX35&lt;=0,0,IF((1-2*AX35*1E5/(DATOS!$C$29*100*BE35^2*DATOS!$C$21))&lt;0,-1,IF((1-SQRT((1-2*AX35*1E5/(DATOS!$C$29*100*BE35^2*DATOS!$C$21))))*DATOS!$C$21*100*BE35/DATOS!$C$14&gt;DATOS!$C$102*100*BE35,-1,(1-SQRT((1-2*AX35*1E5/(DATOS!$C$29*100*BE35^2*DATOS!$C$21))))*DATOS!$C$21*100*BE35/DATOS!$C$14))))</f>
        <v/>
      </c>
      <c r="BG35" s="58" t="str">
        <f>IF(V35&lt;&gt;"SÍ","",IF(BF35&lt;0,-1,MAX(BF35,BC35)))</f>
        <v/>
      </c>
      <c r="BH35" s="64" t="str">
        <f>IF(V35&lt;&gt;"SÍ","",IF(AND(BG35&gt;0,FLOOR(MIN(BD35,100*INDEX(TABLAS!$D$52:$D$58,MIN(MATCH(IF(ISNUMBER(S35),S35,DATOS!$C$138),TABLAS!$B$52:$B$58,0)+0,7))/MAX(BG35,0.0001)),DATOS!$C$144)&gt;=DATOS!$C$143),INDEX(TABLAS!$B$52:$B$58,MIN(MATCH(IF(ISNUMBER(S35),S35,DATOS!$C$138),TABLAS!$B$52:$B$58,0)+0,7)),IF(AND(BG35&gt;0,FLOOR(MIN(BD35,100*INDEX(TABLAS!$D$52:$D$58,MIN(MATCH(IF(ISNUMBER(S35),S35,DATOS!$C$138),TABLAS!$B$52:$B$58,0)+1,7))/MAX(BG35,0.0001)),DATOS!$C$144)&gt;=DATOS!$C$143),INDEX(TABLAS!$B$52:$B$58,MIN(MATCH(IF(ISNUMBER(S35),S35,DATOS!$C$138),TABLAS!$B$52:$B$58,0)+1,7)),IF(AND(BG35&gt;0,FLOOR(MIN(BD35,100*INDEX(TABLAS!$D$52:$D$58,MIN(MATCH(IF(ISNUMBER(S35),S35,DATOS!$C$138),TABLAS!$B$52:$B$58,0)+2,7))/MAX(BG35,0.0001)),DATOS!$C$144)&gt;=DATOS!$C$143),INDEX(TABLAS!$B$52:$B$58,MIN(MATCH(IF(ISNUMBER(S35),S35,DATOS!$C$138),TABLAS!$B$52:$B$58,0)+2,7)),IF(AND(BG35&gt;0,FLOOR(MIN(BD35,100*INDEX(TABLAS!$D$52:$D$58,MIN(MATCH(IF(ISNUMBER(S35),S35,DATOS!$C$138),TABLAS!$B$52:$B$58,0)+3,7))/MAX(BG35,0.0001)),DATOS!$C$144)&gt;=DATOS!$C$143),INDEX(TABLAS!$B$52:$B$58,MIN(MATCH(IF(ISNUMBER(S35),S35,DATOS!$C$138),TABLAS!$B$52:$B$58,0)+3,7)),IF(AND(BG35&gt;0,FLOOR(MIN(BD35,100*INDEX(TABLAS!$D$52:$D$58,MIN(MATCH(IF(ISNUMBER(S35),S35,DATOS!$C$138),TABLAS!$B$52:$B$58,0)+4,7))/MAX(BG35,0.0001)),DATOS!$C$144)&gt;=DATOS!$C$143),INDEX(TABLAS!$B$52:$B$58,MIN(MATCH(IF(ISNUMBER(S35),S35,DATOS!$C$138),TABLAS!$B$52:$B$58,0)+4,7)),INDEX(TABLAS!$B$52:$B$58,7)))))))</f>
        <v/>
      </c>
      <c r="BI35" s="71" t="str">
        <f>IF(V35&lt;&gt;"SÍ","",IF(BG35&lt;=0,0,FLOOR(MIN(BD35,100*INDEX(TABLAS!$D$52:$D$58,MATCH(BH35,TABLAS!$B$52:$B$58,0))/BG35),DATOS!$C$144)))</f>
        <v/>
      </c>
      <c r="BJ35" s="58" t="str">
        <f>IF(V35&lt;&gt;"SÍ","",IF(BI35&lt;=0,0,INDEX(TABLAS!$D$52:$D$58,MATCH(BH35,TABLAS!$B$52:$B$58,0))*100/BI35))</f>
        <v/>
      </c>
      <c r="BK35" s="58" t="str">
        <f>IF(V35&lt;&gt;"SÍ","",W35-AE35-INDEX(TABLAS!$C$52:$C$58,MATCH(BH35,TABLAS!$B$52:$B$58,0))/2)</f>
        <v/>
      </c>
      <c r="BL35" s="56" t="str">
        <f>IF(V35&lt;&gt;"SÍ","",IF(BJ35=0,0,DATOS!$C$29*BJ35*DATOS!$C$14*(BK35-BJ35*DATOS!$C$14/(DATOS!$C$21*100)/2)/1E5))</f>
        <v/>
      </c>
      <c r="BM35" s="65" t="str">
        <f>IF(V35&lt;&gt;"SÍ","",IF(BG35&lt;0,9.99,IF(BL35&gt;0,AX35/BL35,0)))</f>
        <v/>
      </c>
      <c r="BN35" s="66" t="str">
        <f>IF(V35&lt;&gt;"SÍ","",IF(BJ35=0,"—",0.003*(BK35-(BJ35*DATOS!$C$14/(DATOS!$C$21*100)/DATOS!$C$22))/(BJ35*DATOS!$C$14/(DATOS!$C$21*100)/DATOS!$C$22)))</f>
        <v/>
      </c>
      <c r="BO35" s="58" t="str">
        <f>IF(V35&lt;&gt;"SÍ","",((W35-AF35-INDEX(TABLAS!$C$52:$C$58,MATCH(IF(ISNUMBER(S35),S35,DATOS!$C$138),TABLAS!$B$52:$B$58,0))/2)-IF(AND((W35-AF35-INDEX(TABLAS!$C$52:$C$58,MATCH(IF(ISNUMBER(S35),S35,DATOS!$C$138),TABLAS!$B$52:$B$58,0))/2)&lt;=20,DATOS!$C$65&lt;&gt;"SÍ"),2,0)))</f>
        <v/>
      </c>
      <c r="BP35" s="58" t="str">
        <f>IF(V35&lt;&gt;"SÍ","",IF(AY35&lt;=0,0,IF((1-2*AY35*1E5/(DATOS!$C$29*100*BO35^2*DATOS!$C$21))&lt;0,-1,IF((1-SQRT((1-2*AY35*1E5/(DATOS!$C$29*100*BO35^2*DATOS!$C$21))))*DATOS!$C$21*100*BO35/DATOS!$C$14&gt;DATOS!$C$102*100*BO35,-1,(1-SQRT((1-2*AY35*1E5/(DATOS!$C$29*100*BO35^2*DATOS!$C$21))))*DATOS!$C$21*100*BO35/DATOS!$C$14))))</f>
        <v/>
      </c>
      <c r="BQ35" s="58" t="str">
        <f>IF(V35&lt;&gt;"SÍ","",IF(BP35&lt;0,-1,MAX(BP35,BC35)))</f>
        <v/>
      </c>
      <c r="BR35" s="64" t="str">
        <f>IF(V35&lt;&gt;"SÍ","",IF(AND(BQ35&gt;0,FLOOR(MIN(BD35,100*INDEX(TABLAS!$D$52:$D$58,MIN(MATCH(IF(ISNUMBER(S35),S35,DATOS!$C$138),TABLAS!$B$52:$B$58,0)+0,7))/MAX(BQ35,0.0001)),DATOS!$C$144)&gt;=DATOS!$C$143),INDEX(TABLAS!$B$52:$B$58,MIN(MATCH(IF(ISNUMBER(S35),S35,DATOS!$C$138),TABLAS!$B$52:$B$58,0)+0,7)),IF(AND(BQ35&gt;0,FLOOR(MIN(BD35,100*INDEX(TABLAS!$D$52:$D$58,MIN(MATCH(IF(ISNUMBER(S35),S35,DATOS!$C$138),TABLAS!$B$52:$B$58,0)+1,7))/MAX(BQ35,0.0001)),DATOS!$C$144)&gt;=DATOS!$C$143),INDEX(TABLAS!$B$52:$B$58,MIN(MATCH(IF(ISNUMBER(S35),S35,DATOS!$C$138),TABLAS!$B$52:$B$58,0)+1,7)),IF(AND(BQ35&gt;0,FLOOR(MIN(BD35,100*INDEX(TABLAS!$D$52:$D$58,MIN(MATCH(IF(ISNUMBER(S35),S35,DATOS!$C$138),TABLAS!$B$52:$B$58,0)+2,7))/MAX(BQ35,0.0001)),DATOS!$C$144)&gt;=DATOS!$C$143),INDEX(TABLAS!$B$52:$B$58,MIN(MATCH(IF(ISNUMBER(S35),S35,DATOS!$C$138),TABLAS!$B$52:$B$58,0)+2,7)),IF(AND(BQ35&gt;0,FLOOR(MIN(BD35,100*INDEX(TABLAS!$D$52:$D$58,MIN(MATCH(IF(ISNUMBER(S35),S35,DATOS!$C$138),TABLAS!$B$52:$B$58,0)+3,7))/MAX(BQ35,0.0001)),DATOS!$C$144)&gt;=DATOS!$C$143),INDEX(TABLAS!$B$52:$B$58,MIN(MATCH(IF(ISNUMBER(S35),S35,DATOS!$C$138),TABLAS!$B$52:$B$58,0)+3,7)),IF(AND(BQ35&gt;0,FLOOR(MIN(BD35,100*INDEX(TABLAS!$D$52:$D$58,MIN(MATCH(IF(ISNUMBER(S35),S35,DATOS!$C$138),TABLAS!$B$52:$B$58,0)+4,7))/MAX(BQ35,0.0001)),DATOS!$C$144)&gt;=DATOS!$C$143),INDEX(TABLAS!$B$52:$B$58,MIN(MATCH(IF(ISNUMBER(S35),S35,DATOS!$C$138),TABLAS!$B$52:$B$58,0)+4,7)),INDEX(TABLAS!$B$52:$B$58,7)))))))</f>
        <v/>
      </c>
      <c r="BS35" s="71" t="str">
        <f>IF(V35&lt;&gt;"SÍ","",IF(BQ35&lt;=0,0,FLOOR(MIN(BD35,100*INDEX(TABLAS!$D$52:$D$58,MATCH(BR35,TABLAS!$B$52:$B$58,0))/BQ35),DATOS!$C$144)))</f>
        <v/>
      </c>
      <c r="BT35" s="58" t="str">
        <f>IF(V35&lt;&gt;"SÍ","",IF(BS35&lt;=0,0,INDEX(TABLAS!$D$52:$D$58,MATCH(BR35,TABLAS!$B$52:$B$58,0))*100/BS35))</f>
        <v/>
      </c>
      <c r="BU35" s="58" t="str">
        <f>IF(V35&lt;&gt;"SÍ","",((W35-AF35-INDEX(TABLAS!$C$52:$C$58,MATCH(BR35,TABLAS!$B$52:$B$58,0))/2)-IF(AND((W35-AF35-INDEX(TABLAS!$C$52:$C$58,MATCH(BR35,TABLAS!$B$52:$B$58,0))/2)&lt;=20,DATOS!$C$65&lt;&gt;"SÍ"),2,0)))</f>
        <v/>
      </c>
      <c r="BV35" s="56" t="str">
        <f>IF(V35&lt;&gt;"SÍ","",IF(BT35=0,0,DATOS!$C$29*BT35*DATOS!$C$14*(BU35-BT35*DATOS!$C$14/(DATOS!$C$21*100)/2)/1E5))</f>
        <v/>
      </c>
      <c r="BW35" s="65" t="str">
        <f>IF(V35&lt;&gt;"SÍ","",IF(BQ35&lt;0,9.99,IF(BV35&gt;0,AY35/BV35,0)))</f>
        <v/>
      </c>
      <c r="BX35" s="66" t="str">
        <f>IF(V35&lt;&gt;"SÍ","",IF(BT35=0,"—",0.003*(BU35-(BT35*DATOS!$C$14/(DATOS!$C$21*100)/DATOS!$C$22))/(BT35*DATOS!$C$14/(DATOS!$C$21*100)/DATOS!$C$22)))</f>
        <v/>
      </c>
      <c r="BY35" s="58" t="str">
        <f>IF(V35&lt;&gt;"SÍ","",(W35-AE35-1.5*INDEX(TABLAS!$C$52:$C$58,MATCH(IF(ISNUMBER(S35),S35,DATOS!$C$138),TABLAS!$B$52:$B$58,0))))</f>
        <v/>
      </c>
      <c r="BZ35" s="58" t="str">
        <f>IF(V35&lt;&gt;"SÍ","",IF(AZ35&lt;=0,0,IF((1-2*AZ35*1E5/(DATOS!$C$29*100*BY35^2*DATOS!$C$21))&lt;0,-1,IF((1-SQRT((1-2*AZ35*1E5/(DATOS!$C$29*100*BY35^2*DATOS!$C$21))))*DATOS!$C$21*100*BY35/DATOS!$C$14&gt;DATOS!$C$102*100*BY35,-1,(1-SQRT((1-2*AZ35*1E5/(DATOS!$C$29*100*BY35^2*DATOS!$C$21))))*DATOS!$C$21*100*BY35/DATOS!$C$14))))</f>
        <v/>
      </c>
      <c r="CA35" s="58" t="str">
        <f>IF(V35&lt;&gt;"SÍ","",IF(BZ35&lt;0,-1,MAX(BZ35,BC35)))</f>
        <v/>
      </c>
      <c r="CB35" s="64" t="str">
        <f>IF(V35&lt;&gt;"SÍ","",IF(AND(CA35&gt;0,FLOOR(MIN(BD35,100*INDEX(TABLAS!$D$52:$D$58,MIN(MATCH(IF(ISNUMBER(S35),S35,DATOS!$C$138),TABLAS!$B$52:$B$58,0)+0,7))/MAX(CA35,0.0001)),DATOS!$C$144)&gt;=DATOS!$C$143),INDEX(TABLAS!$B$52:$B$58,MIN(MATCH(IF(ISNUMBER(S35),S35,DATOS!$C$138),TABLAS!$B$52:$B$58,0)+0,7)),IF(AND(CA35&gt;0,FLOOR(MIN(BD35,100*INDEX(TABLAS!$D$52:$D$58,MIN(MATCH(IF(ISNUMBER(S35),S35,DATOS!$C$138),TABLAS!$B$52:$B$58,0)+1,7))/MAX(CA35,0.0001)),DATOS!$C$144)&gt;=DATOS!$C$143),INDEX(TABLAS!$B$52:$B$58,MIN(MATCH(IF(ISNUMBER(S35),S35,DATOS!$C$138),TABLAS!$B$52:$B$58,0)+1,7)),IF(AND(CA35&gt;0,FLOOR(MIN(BD35,100*INDEX(TABLAS!$D$52:$D$58,MIN(MATCH(IF(ISNUMBER(S35),S35,DATOS!$C$138),TABLAS!$B$52:$B$58,0)+2,7))/MAX(CA35,0.0001)),DATOS!$C$144)&gt;=DATOS!$C$143),INDEX(TABLAS!$B$52:$B$58,MIN(MATCH(IF(ISNUMBER(S35),S35,DATOS!$C$138),TABLAS!$B$52:$B$58,0)+2,7)),IF(AND(CA35&gt;0,FLOOR(MIN(BD35,100*INDEX(TABLAS!$D$52:$D$58,MIN(MATCH(IF(ISNUMBER(S35),S35,DATOS!$C$138),TABLAS!$B$52:$B$58,0)+3,7))/MAX(CA35,0.0001)),DATOS!$C$144)&gt;=DATOS!$C$143),INDEX(TABLAS!$B$52:$B$58,MIN(MATCH(IF(ISNUMBER(S35),S35,DATOS!$C$138),TABLAS!$B$52:$B$58,0)+3,7)),IF(AND(CA35&gt;0,FLOOR(MIN(BD35,100*INDEX(TABLAS!$D$52:$D$58,MIN(MATCH(IF(ISNUMBER(S35),S35,DATOS!$C$138),TABLAS!$B$52:$B$58,0)+4,7))/MAX(CA35,0.0001)),DATOS!$C$144)&gt;=DATOS!$C$143),INDEX(TABLAS!$B$52:$B$58,MIN(MATCH(IF(ISNUMBER(S35),S35,DATOS!$C$138),TABLAS!$B$52:$B$58,0)+4,7)),INDEX(TABLAS!$B$52:$B$58,7)))))))</f>
        <v/>
      </c>
      <c r="CC35" s="71" t="str">
        <f>IF(V35&lt;&gt;"SÍ","",IF(CA35&lt;=0,0,FLOOR(MIN(BD35,100*INDEX(TABLAS!$D$52:$D$58,MATCH(CB35,TABLAS!$B$52:$B$58,0))/CA35),DATOS!$C$144)))</f>
        <v/>
      </c>
      <c r="CD35" s="58" t="str">
        <f>IF(V35&lt;&gt;"SÍ","",IF(CC35&lt;=0,0,INDEX(TABLAS!$D$52:$D$58,MATCH(CB35,TABLAS!$B$52:$B$58,0))*100/CC35))</f>
        <v/>
      </c>
      <c r="CE35" s="58" t="str">
        <f>IF(V35&lt;&gt;"SÍ","",W35-AE35-INDEX(TABLAS!$C$52:$C$58,MATCH(BH35,TABLAS!$B$52:$B$58,0))-INDEX(TABLAS!$C$52:$C$58,MATCH(CB35,TABLAS!$B$52:$B$58,0))/2)</f>
        <v/>
      </c>
      <c r="CF35" s="56" t="str">
        <f>IF(V35&lt;&gt;"SÍ","",IF(CD35=0,0,DATOS!$C$29*CD35*DATOS!$C$14*(CE35-CD35*DATOS!$C$14/(DATOS!$C$21*100)/2)/1E5))</f>
        <v/>
      </c>
      <c r="CG35" s="65" t="str">
        <f>IF(V35&lt;&gt;"SÍ","",IF(CA35&lt;0,9.99,IF(CF35&gt;0,AZ35/CF35,0)))</f>
        <v/>
      </c>
      <c r="CH35" s="66" t="str">
        <f>IF(V35&lt;&gt;"SÍ","",IF(CD35=0,"—",0.003*(CE35-(CD35*DATOS!$C$14/(DATOS!$C$21*100)/DATOS!$C$22))/(CD35*DATOS!$C$14/(DATOS!$C$21*100)/DATOS!$C$22)))</f>
        <v/>
      </c>
      <c r="CI35" s="58" t="str">
        <f>IF(V35&lt;&gt;"SÍ","",((W35-AF35-1.5*INDEX(TABLAS!$C$52:$C$58,MATCH(IF(ISNUMBER(S35),S35,DATOS!$C$138),TABLAS!$B$52:$B$58,0)))-IF(AND((W35-AF35-1.5*INDEX(TABLAS!$C$52:$C$58,MATCH(IF(ISNUMBER(S35),S35,DATOS!$C$138),TABLAS!$B$52:$B$58,0)))&lt;=20,DATOS!$C$65&lt;&gt;"SÍ"),2,0)))</f>
        <v/>
      </c>
      <c r="CJ35" s="58" t="str">
        <f>IF(V35&lt;&gt;"SÍ","",IF(BA35&lt;=0,0,IF((1-2*BA35*1E5/(DATOS!$C$29*100*CI35^2*DATOS!$C$21))&lt;0,-1,IF((1-SQRT((1-2*BA35*1E5/(DATOS!$C$29*100*CI35^2*DATOS!$C$21))))*DATOS!$C$21*100*CI35/DATOS!$C$14&gt;DATOS!$C$102*100*CI35,-1,(1-SQRT((1-2*BA35*1E5/(DATOS!$C$29*100*CI35^2*DATOS!$C$21))))*DATOS!$C$21*100*CI35/DATOS!$C$14))))</f>
        <v/>
      </c>
      <c r="CK35" s="58" t="str">
        <f>IF(V35&lt;&gt;"SÍ","",IF(CJ35&lt;0,-1,MAX(CJ35,BC35)))</f>
        <v/>
      </c>
      <c r="CL35" s="64" t="str">
        <f>IF(V35&lt;&gt;"SÍ","",IF(AND(CK35&gt;0,FLOOR(MIN(BD35,100*INDEX(TABLAS!$D$52:$D$58,MIN(MATCH(IF(ISNUMBER(S35),S35,DATOS!$C$138),TABLAS!$B$52:$B$58,0)+0,7))/MAX(CK35,0.0001)),DATOS!$C$144)&gt;=DATOS!$C$143),INDEX(TABLAS!$B$52:$B$58,MIN(MATCH(IF(ISNUMBER(S35),S35,DATOS!$C$138),TABLAS!$B$52:$B$58,0)+0,7)),IF(AND(CK35&gt;0,FLOOR(MIN(BD35,100*INDEX(TABLAS!$D$52:$D$58,MIN(MATCH(IF(ISNUMBER(S35),S35,DATOS!$C$138),TABLAS!$B$52:$B$58,0)+1,7))/MAX(CK35,0.0001)),DATOS!$C$144)&gt;=DATOS!$C$143),INDEX(TABLAS!$B$52:$B$58,MIN(MATCH(IF(ISNUMBER(S35),S35,DATOS!$C$138),TABLAS!$B$52:$B$58,0)+1,7)),IF(AND(CK35&gt;0,FLOOR(MIN(BD35,100*INDEX(TABLAS!$D$52:$D$58,MIN(MATCH(IF(ISNUMBER(S35),S35,DATOS!$C$138),TABLAS!$B$52:$B$58,0)+2,7))/MAX(CK35,0.0001)),DATOS!$C$144)&gt;=DATOS!$C$143),INDEX(TABLAS!$B$52:$B$58,MIN(MATCH(IF(ISNUMBER(S35),S35,DATOS!$C$138),TABLAS!$B$52:$B$58,0)+2,7)),IF(AND(CK35&gt;0,FLOOR(MIN(BD35,100*INDEX(TABLAS!$D$52:$D$58,MIN(MATCH(IF(ISNUMBER(S35),S35,DATOS!$C$138),TABLAS!$B$52:$B$58,0)+3,7))/MAX(CK35,0.0001)),DATOS!$C$144)&gt;=DATOS!$C$143),INDEX(TABLAS!$B$52:$B$58,MIN(MATCH(IF(ISNUMBER(S35),S35,DATOS!$C$138),TABLAS!$B$52:$B$58,0)+3,7)),IF(AND(CK35&gt;0,FLOOR(MIN(BD35,100*INDEX(TABLAS!$D$52:$D$58,MIN(MATCH(IF(ISNUMBER(S35),S35,DATOS!$C$138),TABLAS!$B$52:$B$58,0)+4,7))/MAX(CK35,0.0001)),DATOS!$C$144)&gt;=DATOS!$C$143),INDEX(TABLAS!$B$52:$B$58,MIN(MATCH(IF(ISNUMBER(S35),S35,DATOS!$C$138),TABLAS!$B$52:$B$58,0)+4,7)),INDEX(TABLAS!$B$52:$B$58,7)))))))</f>
        <v/>
      </c>
      <c r="CM35" s="71" t="str">
        <f>IF(V35&lt;&gt;"SÍ","",IF(CK35&lt;=0,0,FLOOR(MIN(BD35,100*INDEX(TABLAS!$D$52:$D$58,MATCH(CL35,TABLAS!$B$52:$B$58,0))/CK35),DATOS!$C$144)))</f>
        <v/>
      </c>
      <c r="CN35" s="58" t="str">
        <f>IF(V35&lt;&gt;"SÍ","",IF(CM35&lt;=0,0,INDEX(TABLAS!$D$52:$D$58,MATCH(CL35,TABLAS!$B$52:$B$58,0))*100/CM35))</f>
        <v/>
      </c>
      <c r="CO35" s="58" t="str">
        <f>IF(V35&lt;&gt;"SÍ","",((W35-AF35-INDEX(TABLAS!$C$52:$C$58,MATCH(BR35,TABLAS!$B$52:$B$58,0))-INDEX(TABLAS!$C$52:$C$58,MATCH(CL35,TABLAS!$B$52:$B$58,0))/2)-IF(AND((W35-AF35-INDEX(TABLAS!$C$52:$C$58,MATCH(BR35,TABLAS!$B$52:$B$58,0))-INDEX(TABLAS!$C$52:$C$58,MATCH(CL35,TABLAS!$B$52:$B$58,0))/2)&lt;=20,DATOS!$C$65&lt;&gt;"SÍ"),2,0)))</f>
        <v/>
      </c>
      <c r="CP35" s="56" t="str">
        <f>IF(V35&lt;&gt;"SÍ","",IF(CN35=0,0,DATOS!$C$29*CN35*DATOS!$C$14*(CO35-CN35*DATOS!$C$14/(DATOS!$C$21*100)/2)/1E5))</f>
        <v/>
      </c>
      <c r="CQ35" s="65" t="str">
        <f>IF(V35&lt;&gt;"SÍ","",IF(CK35&lt;0,9.99,IF(CP35&gt;0,BA35/CP35,0)))</f>
        <v/>
      </c>
      <c r="CR35" s="66" t="str">
        <f>IF(V35&lt;&gt;"SÍ","",IF(CN35=0,"—",0.003*(CO35-(CN35*DATOS!$C$14/(DATOS!$C$21*100)/DATOS!$C$22))/(CN35*DATOS!$C$14/(DATOS!$C$21*100)/DATOS!$C$22)))</f>
        <v/>
      </c>
      <c r="CS35" s="56" t="str">
        <f>IF(V35&lt;&gt;"SÍ","",IF(C35="PERIMETRAL",MAX(0,(AC35/2-BU35)/100)*(0.95-0.5*AB35)*AK35*IF(AND(AL35&gt;0,AL35&lt;4),DATOS!$C$33,1)/1000,(AK35*MAX(0,AC35-BU35)/100+DATOS!$C$26*N(P35))/1000))</f>
        <v/>
      </c>
      <c r="CT35" s="66" t="str">
        <f>IF(V35&lt;&gt;"SÍ","",BT35/(100*BU35))</f>
        <v/>
      </c>
      <c r="CU35" s="56" t="str">
        <f>IF(V35&lt;&gt;"SÍ","",DATOS!$C$30*2*MIN(1,SQRT(2/(1+0.04*BU35)))*CT35^(1/3)*SQRT(DATOS!$C$13)*100*BU35/1000)</f>
        <v/>
      </c>
      <c r="CV35" s="67" t="str">
        <f>IF(V35&lt;&gt;"SÍ","",IF(CS35&lt;=CU35,"CUMPLE","NO CUMPLE: sube h"))</f>
        <v/>
      </c>
      <c r="CW35" s="58" t="str">
        <f>IF(V35&lt;&gt;"SÍ","",IF(C35="PERIMETRAL",IF(ISNUMBER(R35),R35,DATOS!$C$104),0))</f>
        <v/>
      </c>
      <c r="CX35" s="57" t="str">
        <f>IF(V35&lt;&gt;"SÍ","",IF(C35="PERIMETRAL",IF(CW35&gt;2,MAX(9,AD35*(0.8+DATOS!$C$14/14000)/(36+9*(AD35/MAX(AC35,1)))),IF(CW35&gt;0.2,MAX(13,AD35*(0.8+DATOS!$C$14/14000)/(36+5*(AD35/MAX(AC35,1))*(CW35-0.2))),MAX(13,AD35/IF(AL35&gt;0,30,33))))*IF(AND(CW35&gt;0.2,AL35&gt;0,DATOS!$C$105="NO"),1.1,1),Z35*100/DATOS!$C$145*(0.4+DATOS!$C$14/7000)))</f>
        <v/>
      </c>
      <c r="CY35" s="61" t="str">
        <f>IF(V35&lt;&gt;"SÍ","",IF(W35&gt;=CX35-0.001,"CUMPLE",IF(C35="VOLADO","NO CUMPLE","CALCULAR FLECHA")))</f>
        <v/>
      </c>
      <c r="CZ35" s="60" t="str">
        <f>IF(V35&lt;&gt;"SÍ","",IF(C35="VOLADO",MIN(FLOOR(IF(ISNUMBER(Q35),Q35,Z35)*100-DATOS!$C$63,5),CEILING(MAX(IF((0.5*(0.9*W35/100*DATOS!$C$16)*IF(ISNUMBER(Q35),Q35,Z35)+AY35/IF(ISNUMBER(Q35),Q35,Z35))^2-4*(0.5*(0.9*W35/100*DATOS!$C$16))*AY35&lt;0,IF(ISNUMBER(Q35),Q35,Z35),MIN(IF(ISNUMBER(Q35),Q35,Z35),((0.5*(0.9*W35/100*DATOS!$C$16)*IF(ISNUMBER(Q35),Q35,Z35)+AY35/IF(ISNUMBER(Q35),Q35,Z35))-SQRT((0.5*(0.9*W35/100*DATOS!$C$16)*IF(ISNUMBER(Q35),Q35,Z35)+AY35/IF(ISNUMBER(Q35),Q35,Z35))^2-4*(0.5*(0.9*W35/100*DATOS!$C$16))*AY35))/(2*(0.5*(0.9*W35/100*DATOS!$C$16)))))*100+MAX(BU35,12*INDEX(TABLAS!$C$52:$C$58,MATCH(BR35,TABLAS!$B$52:$B$58,0)),IF(ISNUMBER(Q35),Q35,Z35)*100/16),IF(OR(AF35&lt;INDEX(TABLAS!$C$52:$C$58,MATCH(BR35,TABLAS!$B$52:$B$58,0)),BS35-INDEX(TABLAS!$C$52:$C$58,MATCH(BR35,TABLAS!$B$52:$B$58,0))&lt;2*INDEX(TABLAS!$C$52:$C$58,MATCH(BR35,TABLAS!$B$52:$B$58,0))),INDEX(TABLAS!$I$52:$I$58,MATCH(BR35,TABLAS!$B$52:$B$58,0)),INDEX(TABLAS!$F$52:$F$58,MATCH(BR35,TABLAS!$B$52:$B$58,0)))),5)),IF(((4*((AV35*AK35*Z35^2*1E-4/1000)+((MAX(AR35,AT35)*AK35*Z35^2*1E-4/1000)+(IF(AND(AR35&gt;0,AT35&gt;0),MIN(AR35,AT35),MAX(AR35,AT35))*AK35*Z35^2*1E-4/1000))/2)+AY35-(IF(AND(AR35&gt;0,AT35&gt;0),MIN(AR35,AT35),MAX(AR35,AT35))*AK35*Z35^2*1E-4/1000))^2-16*((AV35*AK35*Z35^2*1E-4/1000)+((MAX(AR35,AT35)*AK35*Z35^2*1E-4/1000)+(IF(AND(AR35&gt;0,AT35&gt;0),MIN(AR35,AT35),MAX(AR35,AT35))*AK35*Z35^2*1E-4/1000))/2)*AY35)&lt;0,CEILING(AC35,5),CEILING(MAX(AC35*((4*((AV35*AK35*Z35^2*1E-4/1000)+((MAX(AR35,AT35)*AK35*Z35^2*1E-4/1000)+(IF(AND(AR35&gt;0,AT35&gt;0),MIN(AR35,AT35),MAX(AR35,AT35))*AK35*Z35^2*1E-4/1000))/2)+AY35-(IF(AND(AR35&gt;0,AT35&gt;0),MIN(AR35,AT35),MAX(AR35,AT35))*AK35*Z35^2*1E-4/1000))-SQRT(MAX(0,((4*((AV35*AK35*Z35^2*1E-4/1000)+((MAX(AR35,AT35)*AK35*Z35^2*1E-4/1000)+(IF(AND(AR35&gt;0,AT35&gt;0),MIN(AR35,AT35),MAX(AR35,AT35))*AK35*Z35^2*1E-4/1000))/2)+AY35-(IF(AND(AR35&gt;0,AT35&gt;0),MIN(AR35,AT35),MAX(AR35,AT35))*AK35*Z35^2*1E-4/1000))^2-16*((AV35*AK35*Z35^2*1E-4/1000)+((MAX(AR35,AT35)*AK35*Z35^2*1E-4/1000)+(IF(AND(AR35&gt;0,AT35&gt;0),MIN(AR35,AT35),MAX(AR35,AT35))*AK35*Z35^2*1E-4/1000))/2)*AY35))))/(8*MAX(((AV35*AK35*Z35^2*1E-4/1000)+((MAX(AR35,AT35)*AK35*Z35^2*1E-4/1000)+(IF(AND(AR35&gt;0,AT35&gt;0),MIN(AR35,AT35),MAX(AR35,AT35))*AK35*Z35^2*1E-4/1000))/2),1E-9))+MAX(BU35,12*INDEX(TABLAS!$C$52:$C$58,MATCH(BR35,TABLAS!$B$52:$B$58,0)),AC35/16),IF(OR(AF35&lt;INDEX(TABLAS!$C$52:$C$58,MATCH(BR35,TABLAS!$B$52:$B$58,0)),BS35-INDEX(TABLAS!$C$52:$C$58,MATCH(BR35,TABLAS!$B$52:$B$58,0))&lt;2*INDEX(TABLAS!$C$52:$C$58,MATCH(BR35,TABLAS!$B$52:$B$58,0))),INDEX(TABLAS!$I$52:$I$58,MATCH(BR35,TABLAS!$B$52:$B$58,0)),INDEX(TABLAS!$F$52:$F$58,MATCH(BR35,TABLAS!$B$52:$B$58,0)))),5))))</f>
        <v/>
      </c>
      <c r="DA35" s="60" t="str">
        <f>IF(V35&lt;&gt;"SÍ","",IF(C35="VOLADO",0,IF(((4*((AW35*AK35*Z35^2*1E-4/1000)+((MAX(AS35,AU35)*AK35*Z35^2*1E-4/1000)+(IF(AND(AS35&gt;0,AU35&gt;0),MIN(AS35,AU35),MAX(AS35,AU35))*AK35*Z35^2*1E-4/1000))/2)+BA35-(IF(AND(AS35&gt;0,AU35&gt;0),MIN(AS35,AU35),MAX(AS35,AU35))*AK35*Z35^2*1E-4/1000))^2-16*((AW35*AK35*Z35^2*1E-4/1000)+((MAX(AS35,AU35)*AK35*Z35^2*1E-4/1000)+(IF(AND(AS35&gt;0,AU35&gt;0),MIN(AS35,AU35),MAX(AS35,AU35))*AK35*Z35^2*1E-4/1000))/2)*BA35)&lt;0,CEILING(AD35,5),CEILING(MAX(AD35*((4*((AW35*AK35*Z35^2*1E-4/1000)+((MAX(AS35,AU35)*AK35*Z35^2*1E-4/1000)+(IF(AND(AS35&gt;0,AU35&gt;0),MIN(AS35,AU35),MAX(AS35,AU35))*AK35*Z35^2*1E-4/1000))/2)+BA35-(IF(AND(AS35&gt;0,AU35&gt;0),MIN(AS35,AU35),MAX(AS35,AU35))*AK35*Z35^2*1E-4/1000))-SQRT(MAX(0,((4*((AW35*AK35*Z35^2*1E-4/1000)+((MAX(AS35,AU35)*AK35*Z35^2*1E-4/1000)+(IF(AND(AS35&gt;0,AU35&gt;0),MIN(AS35,AU35),MAX(AS35,AU35))*AK35*Z35^2*1E-4/1000))/2)+BA35-(IF(AND(AS35&gt;0,AU35&gt;0),MIN(AS35,AU35),MAX(AS35,AU35))*AK35*Z35^2*1E-4/1000))^2-16*((AW35*AK35*Z35^2*1E-4/1000)+((MAX(AS35,AU35)*AK35*Z35^2*1E-4/1000)+(IF(AND(AS35&gt;0,AU35&gt;0),MIN(AS35,AU35),MAX(AS35,AU35))*AK35*Z35^2*1E-4/1000))/2)*BA35))))/(8*MAX(((AW35*AK35*Z35^2*1E-4/1000)+((MAX(AS35,AU35)*AK35*Z35^2*1E-4/1000)+(IF(AND(AS35&gt;0,AU35&gt;0),MIN(AS35,AU35),MAX(AS35,AU35))*AK35*Z35^2*1E-4/1000))/2),1E-9))+MAX(CO35,12*INDEX(TABLAS!$C$52:$C$58,MATCH(CL35,TABLAS!$B$52:$B$58,0)),AD35/16),IF(OR(AF35&lt;INDEX(TABLAS!$C$52:$C$58,MATCH(CL35,TABLAS!$B$52:$B$58,0)),CM35-INDEX(TABLAS!$C$52:$C$58,MATCH(CL35,TABLAS!$B$52:$B$58,0))&lt;2*INDEX(TABLAS!$C$52:$C$58,MATCH(CL35,TABLAS!$B$52:$B$58,0))),INDEX(TABLAS!$I$52:$I$58,MATCH(CL35,TABLAS!$B$52:$B$58,0)),INDEX(TABLAS!$F$52:$F$58,MATCH(CL35,TABLAS!$B$52:$B$58,0)))),5))))</f>
        <v/>
      </c>
      <c r="DB35" s="55" t="str">
        <f>IF(V35&lt;&gt;"SÍ","",IF(AND(C35="PERIMETRAL",AL35-AM35&gt;0,AT35&gt;0),"SÍ","NO"))</f>
        <v/>
      </c>
      <c r="DC35" s="55" t="str">
        <f>IF(V35&lt;&gt;"SÍ","",IF(AND(C35="PERIMETRAL",AM35&gt;0,AU35&gt;0),"SÍ","NO"))</f>
        <v/>
      </c>
      <c r="DD35" s="63" t="str">
        <f>IF(V35&lt;&gt;"SÍ","",IF(OR(C35="VOLADO",AL35=0),"—",IF(AND(AND(INDEX(TABLAS!$G$52:$G$58,MATCH(MAX(BR35,CL35),TABLAS!$B$52:$B$58,0))&lt;=(DATOS!$C$75-DATOS!$C$63),(DATOS!$C$75-DATOS!$C$63)&gt;=15),8*INDEX(TABLAS!$C$52:$C$58,MATCH(MAX(BH35,CB35,BR35,CL35),TABLAS!$B$52:$B$58,0))&lt;=DATOS!$C$76-2*DATOS!$C$63),"CUMPLE (gancho de 180°)",IF(AND(INDEX(TABLAS!$G$52:$G$58,MATCH(MAX(BR35,CL35),TABLAS!$B$52:$B$58,0))&lt;=(DATOS!$C$75-DATOS!$C$63),(DATOS!$C$75-DATOS!$C$63)&gt;=15),"NO CUMPLE: el gancho de 180° (8·d_b) no cabe en el peralte de la dala de borde","NO CUMPLE: dala de borde ≥ "&amp;TEXT(CEILING(MAX(INDEX(TABLAS!$G$52:$G$58,MATCH(MAX(BR35,CL35),TABLAS!$B$52:$B$58,0)),15)+DATOS!$C$63,5),"0")&amp;" cm de ancho"&amp;IF(8*INDEX(TABLAS!$C$52:$C$58,MATCH(MAX(BH35,CB35,BR35,CL35),TABLAS!$B$52:$B$58,0))&lt;=DATOS!$C$76-2*DATOS!$C$63,""," y más peralte para el gancho")))))</f>
        <v/>
      </c>
      <c r="DE35" s="69" t="str">
        <f>IF(V35&lt;&gt;"SÍ","",IF(BI35=0,"NO ALCANZA","No. "&amp;BH35&amp;" @ "&amp;BI35&amp;" cm"&amp;IF(C35="VOLADO"," (temperatura)","")))</f>
        <v/>
      </c>
      <c r="DF35" s="69" t="str">
        <f>IF(V35&lt;&gt;"SÍ","",IF(BS35=0,"NO ALCANZA",IF(C35="VOLADO","No. "&amp;BR35&amp;" @ "&amp;BS35&amp;" cm"&amp;" de la orilla al respaldo ("&amp;IF(CZ35&gt;=FLOOR(100*IF(ISNUMBER(Q35),Q35,Z35)-DATOS!$C$63,5),"hasta su apoyo lejano, con gancho","entran "&amp;TEXT(CZ35/100,"0.00")&amp;" m desde el paño")&amp;")","Bastones "&amp;"No. "&amp;BR35&amp;" @ "&amp;BS35&amp;" cm"&amp;", L = "&amp;TEXT(CZ35/100,"0.00")&amp;" m desde el paño")))</f>
        <v/>
      </c>
      <c r="DG35" s="69" t="str">
        <f>IF(V35&lt;&gt;"SÍ","",IF(CC35=0,"NO ALCANZA","No. "&amp;CB35&amp;" @ "&amp;CC35&amp;" cm"&amp;IF(C35="VOLADO"," (repartición)","")))</f>
        <v/>
      </c>
      <c r="DH35" s="69" t="str">
        <f>IF(V35&lt;&gt;"SÍ","",IF(CM35=0,"NO ALCANZA",IF(C35="VOLADO","No. "&amp;CL35&amp;" @ "&amp;CM35&amp;" cm"&amp;" (repartición)","Bastones "&amp;"No. "&amp;CL35&amp;" @ "&amp;CM35&amp;" cm"&amp;", L = "&amp;TEXT(DA35/100,"0.00")&amp;" m desde el paño")))</f>
        <v/>
      </c>
      <c r="DI35" s="67" t="str">
        <f>IF(B35="","",IF(V35&lt;&gt;"SÍ","FALTAN DATOS: tipo, a_x, a_y, destino y, en volados, L_b",IF(L35="NO MONOLÍTICO (caso II)","FUERA DE ALCANCE: caso II no transcrito",IF(AND(C35="VOLADO",X35="?"),"REVISAR: el volado lleva UN solo borde CONTINUO (el empotrado)",IF(AND(MAX(BM35,BW35,CG35,CQ35)&lt;=1,NOT(OR(BI35&lt;DATOS!$C$143,BS35&lt;DATOS!$C$143,CC35&lt;DATOS!$C$143,CM35&lt;DATOS!$C$143)),NOT(OR(AND(ISNUMBER(BN35),BN35&lt;0.005),AND(ISNUMBER(BX35),BX35&lt;0.005),AND(ISNUMBER(CH35),CH35&lt;0.005),AND(ISNUMBER(CR35),CR35&lt;0.005))),CV35="CUMPLE",CY35="CUMPLE"),"CUMPLE"&amp;IF(LEFT(BB35,5)="FUERA"," · fuera de 3.4.2.1 c)","")&amp;IF(LEFT(DD35,2)="NO"," · REVISAR anclaje en borde discontinuo",""),IF(AND(MAX(BM35,BW35,CG35,CQ35)&lt;=1,NOT(OR(BI35&lt;DATOS!$C$143,BS35&lt;DATOS!$C$143,CC35&lt;DATOS!$C$143,CM35&lt;DATOS!$C$143)),NOT(OR(AND(ISNUMBER(BN35),BN35&lt;0.005),AND(ISNUMBER(BX35),BX35&lt;0.005),AND(ISNUMBER(CH35),CH35&lt;0.005),AND(ISNUMBER(CR35),CR35&lt;0.005))),CV35="CUMPLE",CY35="CALCULAR FLECHA"),"REVISAR: calcular flecha (h &lt; h mín.)"&amp;IF(LEFT(BB35,5)="FUERA"," · fuera de 3.4.2.1 c)","")&amp;IF(LEFT(DD35,2)="NO"," · REVISAR anclaje en borde discontinuo",""),"NO CUMPLE: "&amp;IF(MAX(BM35,BW35,CG35,CQ35)&gt;1,"flexión ","")&amp;IF(OR(BI35&lt;DATOS!$C$143,BS35&lt;DATOS!$C$143,CC35&lt;DATOS!$C$143,CM35&lt;DATOS!$C$143),"separación &lt; mínima ","")&amp;IF(OR(AND(ISNUMBER(BN35),BN35&lt;0.005),AND(ISNUMBER(BX35),BX35&lt;0.005),AND(ISNUMBER(CH35),CH35&lt;0.005),AND(ISNUMBER(CR35),CR35&lt;0.005)),"ε_t &lt; 0.005 ","")&amp;IF(CV35&lt;&gt;"CUMPLE","cortante ","")&amp;IF(CY35="NO CUMPLE","peralte","")))))))</f>
        <v/>
      </c>
      <c r="DJ35" s="70" t="str">
        <f>IF(V35&lt;&gt;"SÍ","",IF(LEFT(B35,7)="EJEMPLO","EJEMPLO de tablero típico: bórralo o sobrescríbelo. ","")&amp;IF(C35="VOLADO","Volado de "&amp;TEXT(Z35,"0.00")&amp;" m empotrado en el borde "&amp;LOWER(X35)&amp;IF(N(P35)&gt;0,", con "&amp;TEXT(P35,"0.0")&amp;" kg/m en la orilla","")&amp;". Lecho inferior con r_ext. Si la orilla carga pretil u otro elemento frágil, calcula la flecha (13.4). El acero superior entra al respaldo de "&amp;TEXT(IF(ISNUMBER(Q35),Q35,Z35),"0.00")&amp;" m"&amp;" hasta pasar M = 0 con 0.9·PP sin carga viva; si ahí no se anula, llega al apoyo lejano y se ancla con gancho. ","")&amp;IF(AND(C35="VOLADO",(0.9*W35/100*DATOS!$C$16*IF(ISNUMBER(Q35),Q35,Z35)/2-AY35/IF(ISNUMBER(Q35),Q35,Z35))&lt;0),"Con 0.9·PP y sin carga viva el apoyo lejano del respaldo levanta (R = "&amp;TEXT(-(0.9*W35/100*DATOS!$C$16*IF(ISNUMBER(Q35),Q35,Z35)/2-AY35/IF(ISNUMBER(Q35),Q35,Z35)),"0.00")&amp;" t/m): ancla ahí el acero con gancho y revisa ese apoyo a tensión. ","")&amp;IF(LEFT(BB35,5)="FUERA","El M⁻ del vecino difiere más de 50 % (3.4.2.1 c): distribuye el desequilibrio (3.4.3.1) o confirma con un modelo; se arma con el mayor. ","")&amp;IF(OR(DB35="SÍ",DC35="SÍ"),"Bastones también en los bordes discontinuos (M⁻ de tabla), con gancho. ","")&amp;IF(LEFT(DD35,2)="NO","Anclaje: "&amp;DD35&amp;" (6.7.7.4.1.1). ","")&amp;IF(AND(C35="PERIMETRAL",AM35&gt;=1,AL35-AM35&gt;=1),"Esquinas exteriores sobre muro: refuerzo de esquina arriba y abajo en L_largo/5 (6.7.7.3.1). ",""))</f>
        <v/>
      </c>
    </row>
    <row r="36" ht="33" customHeight="1">
      <c r="A36" s="50">
        <f>IF(B36="",0,1)+A35</f>
        <v>3</v>
      </c>
      <c r="B36" s="29" t="n"/>
      <c r="C36" s="51" t="n"/>
      <c r="D36" s="29" t="n"/>
      <c r="E36" s="52" t="n"/>
      <c r="F36" s="52" t="n"/>
      <c r="G36" s="51" t="n"/>
      <c r="H36" s="51" t="n"/>
      <c r="I36" s="51" t="n"/>
      <c r="J36" s="51" t="n"/>
      <c r="K36" s="51" t="n"/>
      <c r="L36" s="51" t="n"/>
      <c r="M36" s="54" t="n"/>
      <c r="N36" s="53" t="n"/>
      <c r="O36" s="53" t="n"/>
      <c r="P36" s="54" t="n"/>
      <c r="Q36" s="52" t="n"/>
      <c r="R36" s="54" t="n"/>
      <c r="S36" s="53" t="n"/>
      <c r="T36" s="52" t="n"/>
      <c r="U36" s="52" t="n"/>
      <c r="V36" s="55" t="str">
        <f>IF(B36="","",IF(AND(OR(C36="PERIMETRAL",C36="VOLADO"),ISNUMBER(E36),ISNUMBER(F36),E36&gt;0,F36&gt;0,OR(ISNUMBER(O36),ISNUMBER(MATCH(D36,DATOS!$B$46:$B$58,0))),OR(C36&lt;&gt;"VOLADO",N(Q36)&gt;0)),"SÍ","NO"))</f>
        <v/>
      </c>
      <c r="W36" s="57" t="str">
        <f>IF(V36&lt;&gt;"SÍ","",IF(ISNUMBER(M36),M36,DATOS!$C$137))</f>
        <v/>
      </c>
      <c r="X36" s="55" t="str">
        <f>IF(V36&lt;&gt;"SÍ","",IF(C36&lt;&gt;"VOLADO","—",IF(COUNTIF(G36:J36,"CONTINUO")&lt;&gt;1,"?",IF(G36="CONTINUO","INFERIOR",IF(H36="CONTINUO","SUPERIOR",IF(I36="CONTINUO","IZQUIERDO","DERECHO"))))))</f>
        <v/>
      </c>
      <c r="Y36" s="55" t="str">
        <f>IF(V36&lt;&gt;"SÍ","",IF(C36="VOLADO",IF(OR(X36="IZQUIERDO",X36="DERECHO"),"X","Y"),IF(E36&lt;=F36,"X","Y")))</f>
        <v/>
      </c>
      <c r="Z36" s="56" t="str">
        <f>IF(V36&lt;&gt;"SÍ","",IF(C36="VOLADO",IF(Y36="X",E36,F36),MIN(E36,F36)))</f>
        <v/>
      </c>
      <c r="AA36" s="56" t="str">
        <f>IF(V36&lt;&gt;"SÍ","",IF(C36="VOLADO",IF(Y36="X",F36,E36),MAX(E36,F36)))</f>
        <v/>
      </c>
      <c r="AB36" s="56" t="str">
        <f>IF(V36&lt;&gt;"SÍ","",MIN(Z36,AA36)/MAX(Z36,AA36))</f>
        <v/>
      </c>
      <c r="AC36" s="57" t="str">
        <f>IF(V36&lt;&gt;"SÍ","",MAX(1,Z36*100-IF(C36="VOLADO",DATOS!$C$87/2,DATOS!$C$87)))</f>
        <v/>
      </c>
      <c r="AD36" s="57" t="str">
        <f>IF(V36&lt;&gt;"SÍ","",MAX(1,AA36*100-DATOS!$C$87))</f>
        <v/>
      </c>
      <c r="AE36" s="57" t="str">
        <f>IF(V36&lt;&gt;"SÍ","",IF(C36="VOLADO",DATOS!$C$64,DATOS!$C$62))</f>
        <v/>
      </c>
      <c r="AF36" s="57" t="str">
        <f>IF(V36&lt;&gt;"SÍ","",IF(OR(AND(AG36="SÍ",DATOS!$C$66="SÍ"),AND(C36="VOLADO",DATOS!$C$67="SÍ")),DATOS!$C$64,DATOS!$C$62))</f>
        <v/>
      </c>
      <c r="AG36" s="55" t="str">
        <f>IF(V36&lt;&gt;"SÍ","",IFERROR(INDEX(DATOS!$D$46:$D$58,MATCH(D36,DATOS!$B$46:$B$58,0)),"NO"))</f>
        <v/>
      </c>
      <c r="AH36" s="59" t="str">
        <f>IF(V36&lt;&gt;"SÍ","",IF(ISNUMBER(O36),O36,IFERROR(INDEX(DATOS!$C$46:$C$58,MATCH(D36,DATOS!$B$46:$B$58,0)),0)))</f>
        <v/>
      </c>
      <c r="AI36" s="59" t="str">
        <f>IF(V36&lt;&gt;"SÍ","",W36/100*DATOS!$C$16*1000+DATOS!$C$37+DATOS!$C$38)</f>
        <v/>
      </c>
      <c r="AJ36" s="59" t="str">
        <f>IF(V36&lt;&gt;"SÍ","",AI36+N(N36))</f>
        <v/>
      </c>
      <c r="AK36" s="60" t="str">
        <f>IF(V36&lt;&gt;"SÍ","",MAX(DATOS!$C$26*AJ36+DATOS!$C$27*AH36,IF(AG36="SÍ",DATOS!$C$28*(AJ36+DATOS!$C$41),0)))</f>
        <v/>
      </c>
      <c r="AL36" s="59" t="str">
        <f>IF(V36&lt;&gt;"SÍ","",(G36="DISCONTINUO")+(H36="DISCONTINUO")+(I36="DISCONTINUO")+(J36="DISCONTINUO"))</f>
        <v/>
      </c>
      <c r="AM36" s="59" t="str">
        <f>IF(V36&lt;&gt;"SÍ","",IF(Y36="X",(G36="DISCONTINUO")+(H36="DISCONTINUO"),(I36="DISCONTINUO")+(J36="DISCONTINUO")))</f>
        <v/>
      </c>
      <c r="AN36" s="55" t="str">
        <f>IF(V36&lt;&gt;"SÍ","",IF(AL36=0,"INTERIOR",IF(AL36=1,IF(AM36=1,"BORDE-CORTO","BORDE-LARGO"),IF(AL36=2,IF(AM36=1,"ESQUINA",IF(AM36=2,"EXTREMO-LARGO","EXTREMO-CORTO")),IF(AL36=3,IF(AM36=2,"EXTREMO-LARGO","EXTREMO-CORTO"),"AISLADO")))))</f>
        <v/>
      </c>
      <c r="AO36" s="61" t="str">
        <f>IF(V36&lt;&gt;"SÍ","",IF(OR(K36="",K36="AUTO"),AN36,K36))</f>
        <v/>
      </c>
      <c r="AP36" s="59" t="str">
        <f>IF(V36&lt;&gt;"SÍ","",MATCH(AB36,TABLAS!$D$5:$J$5,1))</f>
        <v/>
      </c>
      <c r="AQ36" s="58" t="str">
        <f>IF(V36&lt;&gt;"SÍ","",IF(AP36&gt;=7,0,(AB36-INDEX(TABLAS!$D$5:$J$5,AP36))/(INDEX(TABLAS!$D$5:$J$5,AP36+1)-INDEX(TABLAS!$D$5:$J$5,AP36))))</f>
        <v/>
      </c>
      <c r="AR36" s="59" t="str">
        <f>IF(V36&lt;&gt;"SÍ","",INDEX(TABLAS!$D$6:$J$47,MATCH(AO36&amp;"|NIC",TABLAS!$B$6:$B$47,0),AP36)+AQ36*(INDEX(TABLAS!$D$6:$J$47,MATCH(AO36&amp;"|NIC",TABLAS!$B$6:$B$47,0),MIN(AP36+1,7))-INDEX(TABLAS!$D$6:$J$47,MATCH(AO36&amp;"|NIC",TABLAS!$B$6:$B$47,0),AP36)))</f>
        <v/>
      </c>
      <c r="AS36" s="59" t="str">
        <f>IF(V36&lt;&gt;"SÍ","",INDEX(TABLAS!$D$6:$J$47,MATCH(AO36&amp;"|NIL",TABLAS!$B$6:$B$47,0),AP36)+AQ36*(INDEX(TABLAS!$D$6:$J$47,MATCH(AO36&amp;"|NIL",TABLAS!$B$6:$B$47,0),MIN(AP36+1,7))-INDEX(TABLAS!$D$6:$J$47,MATCH(AO36&amp;"|NIL",TABLAS!$B$6:$B$47,0),AP36)))</f>
        <v/>
      </c>
      <c r="AT36" s="59" t="str">
        <f>IF(V36&lt;&gt;"SÍ","",INDEX(TABLAS!$D$6:$J$47,MATCH(AO36&amp;"|NDC",TABLAS!$B$6:$B$47,0),AP36)+AQ36*(INDEX(TABLAS!$D$6:$J$47,MATCH(AO36&amp;"|NDC",TABLAS!$B$6:$B$47,0),MIN(AP36+1,7))-INDEX(TABLAS!$D$6:$J$47,MATCH(AO36&amp;"|NDC",TABLAS!$B$6:$B$47,0),AP36)))</f>
        <v/>
      </c>
      <c r="AU36" s="59" t="str">
        <f>IF(V36&lt;&gt;"SÍ","",INDEX(TABLAS!$D$6:$J$47,MATCH(AO36&amp;"|NDL",TABLAS!$B$6:$B$47,0),AP36)+AQ36*(INDEX(TABLAS!$D$6:$J$47,MATCH(AO36&amp;"|NDL",TABLAS!$B$6:$B$47,0),MIN(AP36+1,7))-INDEX(TABLAS!$D$6:$J$47,MATCH(AO36&amp;"|NDL",TABLAS!$B$6:$B$47,0),AP36)))</f>
        <v/>
      </c>
      <c r="AV36" s="59" t="str">
        <f>IF(V36&lt;&gt;"SÍ","",INDEX(TABLAS!$D$6:$J$47,MATCH(AO36&amp;"|PC",TABLAS!$B$6:$B$47,0),AP36)+AQ36*(INDEX(TABLAS!$D$6:$J$47,MATCH(AO36&amp;"|PC",TABLAS!$B$6:$B$47,0),MIN(AP36+1,7))-INDEX(TABLAS!$D$6:$J$47,MATCH(AO36&amp;"|PC",TABLAS!$B$6:$B$47,0),AP36)))</f>
        <v/>
      </c>
      <c r="AW36" s="59" t="str">
        <f>IF(V36&lt;&gt;"SÍ","",INDEX(TABLAS!$D$6:$J$47,MATCH(AO36&amp;"|PL",TABLAS!$B$6:$B$47,0),AP36)+AQ36*(INDEX(TABLAS!$D$6:$J$47,MATCH(AO36&amp;"|PL",TABLAS!$B$6:$B$47,0),MIN(AP36+1,7))-INDEX(TABLAS!$D$6:$J$47,MATCH(AO36&amp;"|PL",TABLAS!$B$6:$B$47,0),AP36)))</f>
        <v/>
      </c>
      <c r="AX36" s="56" t="str">
        <f>IF(V36&lt;&gt;"SÍ","",IF(C36="PERIMETRAL",AV36*AK36*Z36^2*1E-4/1000,0))</f>
        <v/>
      </c>
      <c r="AY36" s="62" t="str">
        <f>IF(V36&lt;&gt;"SÍ","",IF(C36="PERIMETRAL",MAX(MAX(AR36,AT36)*AK36*Z36^2*1E-4/1000,N(T36)),(AK36*(AC36/100)^2/2+DATOS!$C$26*N(P36)*AC36/100)/1000))</f>
        <v/>
      </c>
      <c r="AZ36" s="56" t="str">
        <f>IF(V36&lt;&gt;"SÍ","",IF(C36="PERIMETRAL",AW36*AK36*Z36^2*1E-4/1000,0))</f>
        <v/>
      </c>
      <c r="BA36" s="56" t="str">
        <f>IF(V36&lt;&gt;"SÍ","",IF(C36="PERIMETRAL",MAX(MAX(AS36,AU36)*AK36*Z36^2*1E-4/1000,N(U36)),0))</f>
        <v/>
      </c>
      <c r="BB36" s="63" t="str">
        <f>IF(V36&lt;&gt;"SÍ","",IF(C36&lt;&gt;"PERIMETRAL","—",IF(AND(N(T36)=0,N(U36)=0),"— (sin M⁻ del vecino)",IF(OR(AND(N(T36)&gt;0,ABS(MAX(AR36,AT36)*AK36*Z36^2*1E-4/1000-N(T36))&gt;0.5*MIN(MAX(AR36,AT36)*AK36*Z36^2*1E-4/1000,N(T36))),AND(N(U36)&gt;0,ABS(MAX(AS36,AU36)*AK36*Z36^2*1E-4/1000-N(U36))&gt;0.5*MIN(MAX(AS36,AU36)*AK36*Z36^2*1E-4/1000,N(U36)))),"FUERA: difieren &gt; 50 %"&amp;IF(AND(N(T36)&gt;0,ABS(MAX(AR36,AT36)*AK36*Z36^2*1E-4/1000-N(T36))&gt;0.5*MIN(MAX(AR36,AT36)*AK36*Z36^2*1E-4/1000,N(T36)))," ‖ corto","")&amp;IF(AND(N(U36)&gt;0,ABS(MAX(AS36,AU36)*AK36*Z36^2*1E-4/1000-N(U36))&gt;0.5*MIN(MAX(AS36,AU36)*AK36*Z36^2*1E-4/1000,N(U36)))," ‖ largo",""),"CUMPLE"))))</f>
        <v/>
      </c>
      <c r="BC36" s="58" t="str">
        <f>IF(V36&lt;&gt;"SÍ","",DATOS!$C$139*100*W36)</f>
        <v/>
      </c>
      <c r="BD36" s="57" t="str">
        <f>IF(V36&lt;&gt;"SÍ","",MIN(IF(C36="VOLADO",DATOS!$C$141,DATOS!$C$140)*W36,DATOS!$C$142))</f>
        <v/>
      </c>
      <c r="BE36" s="58" t="str">
        <f>IF(V36&lt;&gt;"SÍ","",(W36-AE36-INDEX(TABLAS!$C$52:$C$58,MATCH(IF(ISNUMBER(S36),S36,DATOS!$C$138),TABLAS!$B$52:$B$58,0))/2))</f>
        <v/>
      </c>
      <c r="BF36" s="58" t="str">
        <f>IF(V36&lt;&gt;"SÍ","",IF(AX36&lt;=0,0,IF((1-2*AX36*1E5/(DATOS!$C$29*100*BE36^2*DATOS!$C$21))&lt;0,-1,IF((1-SQRT((1-2*AX36*1E5/(DATOS!$C$29*100*BE36^2*DATOS!$C$21))))*DATOS!$C$21*100*BE36/DATOS!$C$14&gt;DATOS!$C$102*100*BE36,-1,(1-SQRT((1-2*AX36*1E5/(DATOS!$C$29*100*BE36^2*DATOS!$C$21))))*DATOS!$C$21*100*BE36/DATOS!$C$14))))</f>
        <v/>
      </c>
      <c r="BG36" s="58" t="str">
        <f>IF(V36&lt;&gt;"SÍ","",IF(BF36&lt;0,-1,MAX(BF36,BC36)))</f>
        <v/>
      </c>
      <c r="BH36" s="64" t="str">
        <f>IF(V36&lt;&gt;"SÍ","",IF(AND(BG36&gt;0,FLOOR(MIN(BD36,100*INDEX(TABLAS!$D$52:$D$58,MIN(MATCH(IF(ISNUMBER(S36),S36,DATOS!$C$138),TABLAS!$B$52:$B$58,0)+0,7))/MAX(BG36,0.0001)),DATOS!$C$144)&gt;=DATOS!$C$143),INDEX(TABLAS!$B$52:$B$58,MIN(MATCH(IF(ISNUMBER(S36),S36,DATOS!$C$138),TABLAS!$B$52:$B$58,0)+0,7)),IF(AND(BG36&gt;0,FLOOR(MIN(BD36,100*INDEX(TABLAS!$D$52:$D$58,MIN(MATCH(IF(ISNUMBER(S36),S36,DATOS!$C$138),TABLAS!$B$52:$B$58,0)+1,7))/MAX(BG36,0.0001)),DATOS!$C$144)&gt;=DATOS!$C$143),INDEX(TABLAS!$B$52:$B$58,MIN(MATCH(IF(ISNUMBER(S36),S36,DATOS!$C$138),TABLAS!$B$52:$B$58,0)+1,7)),IF(AND(BG36&gt;0,FLOOR(MIN(BD36,100*INDEX(TABLAS!$D$52:$D$58,MIN(MATCH(IF(ISNUMBER(S36),S36,DATOS!$C$138),TABLAS!$B$52:$B$58,0)+2,7))/MAX(BG36,0.0001)),DATOS!$C$144)&gt;=DATOS!$C$143),INDEX(TABLAS!$B$52:$B$58,MIN(MATCH(IF(ISNUMBER(S36),S36,DATOS!$C$138),TABLAS!$B$52:$B$58,0)+2,7)),IF(AND(BG36&gt;0,FLOOR(MIN(BD36,100*INDEX(TABLAS!$D$52:$D$58,MIN(MATCH(IF(ISNUMBER(S36),S36,DATOS!$C$138),TABLAS!$B$52:$B$58,0)+3,7))/MAX(BG36,0.0001)),DATOS!$C$144)&gt;=DATOS!$C$143),INDEX(TABLAS!$B$52:$B$58,MIN(MATCH(IF(ISNUMBER(S36),S36,DATOS!$C$138),TABLAS!$B$52:$B$58,0)+3,7)),IF(AND(BG36&gt;0,FLOOR(MIN(BD36,100*INDEX(TABLAS!$D$52:$D$58,MIN(MATCH(IF(ISNUMBER(S36),S36,DATOS!$C$138),TABLAS!$B$52:$B$58,0)+4,7))/MAX(BG36,0.0001)),DATOS!$C$144)&gt;=DATOS!$C$143),INDEX(TABLAS!$B$52:$B$58,MIN(MATCH(IF(ISNUMBER(S36),S36,DATOS!$C$138),TABLAS!$B$52:$B$58,0)+4,7)),INDEX(TABLAS!$B$52:$B$58,7)))))))</f>
        <v/>
      </c>
      <c r="BI36" s="71" t="str">
        <f>IF(V36&lt;&gt;"SÍ","",IF(BG36&lt;=0,0,FLOOR(MIN(BD36,100*INDEX(TABLAS!$D$52:$D$58,MATCH(BH36,TABLAS!$B$52:$B$58,0))/BG36),DATOS!$C$144)))</f>
        <v/>
      </c>
      <c r="BJ36" s="58" t="str">
        <f>IF(V36&lt;&gt;"SÍ","",IF(BI36&lt;=0,0,INDEX(TABLAS!$D$52:$D$58,MATCH(BH36,TABLAS!$B$52:$B$58,0))*100/BI36))</f>
        <v/>
      </c>
      <c r="BK36" s="58" t="str">
        <f>IF(V36&lt;&gt;"SÍ","",W36-AE36-INDEX(TABLAS!$C$52:$C$58,MATCH(BH36,TABLAS!$B$52:$B$58,0))/2)</f>
        <v/>
      </c>
      <c r="BL36" s="56" t="str">
        <f>IF(V36&lt;&gt;"SÍ","",IF(BJ36=0,0,DATOS!$C$29*BJ36*DATOS!$C$14*(BK36-BJ36*DATOS!$C$14/(DATOS!$C$21*100)/2)/1E5))</f>
        <v/>
      </c>
      <c r="BM36" s="65" t="str">
        <f>IF(V36&lt;&gt;"SÍ","",IF(BG36&lt;0,9.99,IF(BL36&gt;0,AX36/BL36,0)))</f>
        <v/>
      </c>
      <c r="BN36" s="66" t="str">
        <f>IF(V36&lt;&gt;"SÍ","",IF(BJ36=0,"—",0.003*(BK36-(BJ36*DATOS!$C$14/(DATOS!$C$21*100)/DATOS!$C$22))/(BJ36*DATOS!$C$14/(DATOS!$C$21*100)/DATOS!$C$22)))</f>
        <v/>
      </c>
      <c r="BO36" s="58" t="str">
        <f>IF(V36&lt;&gt;"SÍ","",((W36-AF36-INDEX(TABLAS!$C$52:$C$58,MATCH(IF(ISNUMBER(S36),S36,DATOS!$C$138),TABLAS!$B$52:$B$58,0))/2)-IF(AND((W36-AF36-INDEX(TABLAS!$C$52:$C$58,MATCH(IF(ISNUMBER(S36),S36,DATOS!$C$138),TABLAS!$B$52:$B$58,0))/2)&lt;=20,DATOS!$C$65&lt;&gt;"SÍ"),2,0)))</f>
        <v/>
      </c>
      <c r="BP36" s="58" t="str">
        <f>IF(V36&lt;&gt;"SÍ","",IF(AY36&lt;=0,0,IF((1-2*AY36*1E5/(DATOS!$C$29*100*BO36^2*DATOS!$C$21))&lt;0,-1,IF((1-SQRT((1-2*AY36*1E5/(DATOS!$C$29*100*BO36^2*DATOS!$C$21))))*DATOS!$C$21*100*BO36/DATOS!$C$14&gt;DATOS!$C$102*100*BO36,-1,(1-SQRT((1-2*AY36*1E5/(DATOS!$C$29*100*BO36^2*DATOS!$C$21))))*DATOS!$C$21*100*BO36/DATOS!$C$14))))</f>
        <v/>
      </c>
      <c r="BQ36" s="58" t="str">
        <f>IF(V36&lt;&gt;"SÍ","",IF(BP36&lt;0,-1,MAX(BP36,BC36)))</f>
        <v/>
      </c>
      <c r="BR36" s="64" t="str">
        <f>IF(V36&lt;&gt;"SÍ","",IF(AND(BQ36&gt;0,FLOOR(MIN(BD36,100*INDEX(TABLAS!$D$52:$D$58,MIN(MATCH(IF(ISNUMBER(S36),S36,DATOS!$C$138),TABLAS!$B$52:$B$58,0)+0,7))/MAX(BQ36,0.0001)),DATOS!$C$144)&gt;=DATOS!$C$143),INDEX(TABLAS!$B$52:$B$58,MIN(MATCH(IF(ISNUMBER(S36),S36,DATOS!$C$138),TABLAS!$B$52:$B$58,0)+0,7)),IF(AND(BQ36&gt;0,FLOOR(MIN(BD36,100*INDEX(TABLAS!$D$52:$D$58,MIN(MATCH(IF(ISNUMBER(S36),S36,DATOS!$C$138),TABLAS!$B$52:$B$58,0)+1,7))/MAX(BQ36,0.0001)),DATOS!$C$144)&gt;=DATOS!$C$143),INDEX(TABLAS!$B$52:$B$58,MIN(MATCH(IF(ISNUMBER(S36),S36,DATOS!$C$138),TABLAS!$B$52:$B$58,0)+1,7)),IF(AND(BQ36&gt;0,FLOOR(MIN(BD36,100*INDEX(TABLAS!$D$52:$D$58,MIN(MATCH(IF(ISNUMBER(S36),S36,DATOS!$C$138),TABLAS!$B$52:$B$58,0)+2,7))/MAX(BQ36,0.0001)),DATOS!$C$144)&gt;=DATOS!$C$143),INDEX(TABLAS!$B$52:$B$58,MIN(MATCH(IF(ISNUMBER(S36),S36,DATOS!$C$138),TABLAS!$B$52:$B$58,0)+2,7)),IF(AND(BQ36&gt;0,FLOOR(MIN(BD36,100*INDEX(TABLAS!$D$52:$D$58,MIN(MATCH(IF(ISNUMBER(S36),S36,DATOS!$C$138),TABLAS!$B$52:$B$58,0)+3,7))/MAX(BQ36,0.0001)),DATOS!$C$144)&gt;=DATOS!$C$143),INDEX(TABLAS!$B$52:$B$58,MIN(MATCH(IF(ISNUMBER(S36),S36,DATOS!$C$138),TABLAS!$B$52:$B$58,0)+3,7)),IF(AND(BQ36&gt;0,FLOOR(MIN(BD36,100*INDEX(TABLAS!$D$52:$D$58,MIN(MATCH(IF(ISNUMBER(S36),S36,DATOS!$C$138),TABLAS!$B$52:$B$58,0)+4,7))/MAX(BQ36,0.0001)),DATOS!$C$144)&gt;=DATOS!$C$143),INDEX(TABLAS!$B$52:$B$58,MIN(MATCH(IF(ISNUMBER(S36),S36,DATOS!$C$138),TABLAS!$B$52:$B$58,0)+4,7)),INDEX(TABLAS!$B$52:$B$58,7)))))))</f>
        <v/>
      </c>
      <c r="BS36" s="71" t="str">
        <f>IF(V36&lt;&gt;"SÍ","",IF(BQ36&lt;=0,0,FLOOR(MIN(BD36,100*INDEX(TABLAS!$D$52:$D$58,MATCH(BR36,TABLAS!$B$52:$B$58,0))/BQ36),DATOS!$C$144)))</f>
        <v/>
      </c>
      <c r="BT36" s="58" t="str">
        <f>IF(V36&lt;&gt;"SÍ","",IF(BS36&lt;=0,0,INDEX(TABLAS!$D$52:$D$58,MATCH(BR36,TABLAS!$B$52:$B$58,0))*100/BS36))</f>
        <v/>
      </c>
      <c r="BU36" s="58" t="str">
        <f>IF(V36&lt;&gt;"SÍ","",((W36-AF36-INDEX(TABLAS!$C$52:$C$58,MATCH(BR36,TABLAS!$B$52:$B$58,0))/2)-IF(AND((W36-AF36-INDEX(TABLAS!$C$52:$C$58,MATCH(BR36,TABLAS!$B$52:$B$58,0))/2)&lt;=20,DATOS!$C$65&lt;&gt;"SÍ"),2,0)))</f>
        <v/>
      </c>
      <c r="BV36" s="56" t="str">
        <f>IF(V36&lt;&gt;"SÍ","",IF(BT36=0,0,DATOS!$C$29*BT36*DATOS!$C$14*(BU36-BT36*DATOS!$C$14/(DATOS!$C$21*100)/2)/1E5))</f>
        <v/>
      </c>
      <c r="BW36" s="65" t="str">
        <f>IF(V36&lt;&gt;"SÍ","",IF(BQ36&lt;0,9.99,IF(BV36&gt;0,AY36/BV36,0)))</f>
        <v/>
      </c>
      <c r="BX36" s="66" t="str">
        <f>IF(V36&lt;&gt;"SÍ","",IF(BT36=0,"—",0.003*(BU36-(BT36*DATOS!$C$14/(DATOS!$C$21*100)/DATOS!$C$22))/(BT36*DATOS!$C$14/(DATOS!$C$21*100)/DATOS!$C$22)))</f>
        <v/>
      </c>
      <c r="BY36" s="58" t="str">
        <f>IF(V36&lt;&gt;"SÍ","",(W36-AE36-1.5*INDEX(TABLAS!$C$52:$C$58,MATCH(IF(ISNUMBER(S36),S36,DATOS!$C$138),TABLAS!$B$52:$B$58,0))))</f>
        <v/>
      </c>
      <c r="BZ36" s="58" t="str">
        <f>IF(V36&lt;&gt;"SÍ","",IF(AZ36&lt;=0,0,IF((1-2*AZ36*1E5/(DATOS!$C$29*100*BY36^2*DATOS!$C$21))&lt;0,-1,IF((1-SQRT((1-2*AZ36*1E5/(DATOS!$C$29*100*BY36^2*DATOS!$C$21))))*DATOS!$C$21*100*BY36/DATOS!$C$14&gt;DATOS!$C$102*100*BY36,-1,(1-SQRT((1-2*AZ36*1E5/(DATOS!$C$29*100*BY36^2*DATOS!$C$21))))*DATOS!$C$21*100*BY36/DATOS!$C$14))))</f>
        <v/>
      </c>
      <c r="CA36" s="58" t="str">
        <f>IF(V36&lt;&gt;"SÍ","",IF(BZ36&lt;0,-1,MAX(BZ36,BC36)))</f>
        <v/>
      </c>
      <c r="CB36" s="64" t="str">
        <f>IF(V36&lt;&gt;"SÍ","",IF(AND(CA36&gt;0,FLOOR(MIN(BD36,100*INDEX(TABLAS!$D$52:$D$58,MIN(MATCH(IF(ISNUMBER(S36),S36,DATOS!$C$138),TABLAS!$B$52:$B$58,0)+0,7))/MAX(CA36,0.0001)),DATOS!$C$144)&gt;=DATOS!$C$143),INDEX(TABLAS!$B$52:$B$58,MIN(MATCH(IF(ISNUMBER(S36),S36,DATOS!$C$138),TABLAS!$B$52:$B$58,0)+0,7)),IF(AND(CA36&gt;0,FLOOR(MIN(BD36,100*INDEX(TABLAS!$D$52:$D$58,MIN(MATCH(IF(ISNUMBER(S36),S36,DATOS!$C$138),TABLAS!$B$52:$B$58,0)+1,7))/MAX(CA36,0.0001)),DATOS!$C$144)&gt;=DATOS!$C$143),INDEX(TABLAS!$B$52:$B$58,MIN(MATCH(IF(ISNUMBER(S36),S36,DATOS!$C$138),TABLAS!$B$52:$B$58,0)+1,7)),IF(AND(CA36&gt;0,FLOOR(MIN(BD36,100*INDEX(TABLAS!$D$52:$D$58,MIN(MATCH(IF(ISNUMBER(S36),S36,DATOS!$C$138),TABLAS!$B$52:$B$58,0)+2,7))/MAX(CA36,0.0001)),DATOS!$C$144)&gt;=DATOS!$C$143),INDEX(TABLAS!$B$52:$B$58,MIN(MATCH(IF(ISNUMBER(S36),S36,DATOS!$C$138),TABLAS!$B$52:$B$58,0)+2,7)),IF(AND(CA36&gt;0,FLOOR(MIN(BD36,100*INDEX(TABLAS!$D$52:$D$58,MIN(MATCH(IF(ISNUMBER(S36),S36,DATOS!$C$138),TABLAS!$B$52:$B$58,0)+3,7))/MAX(CA36,0.0001)),DATOS!$C$144)&gt;=DATOS!$C$143),INDEX(TABLAS!$B$52:$B$58,MIN(MATCH(IF(ISNUMBER(S36),S36,DATOS!$C$138),TABLAS!$B$52:$B$58,0)+3,7)),IF(AND(CA36&gt;0,FLOOR(MIN(BD36,100*INDEX(TABLAS!$D$52:$D$58,MIN(MATCH(IF(ISNUMBER(S36),S36,DATOS!$C$138),TABLAS!$B$52:$B$58,0)+4,7))/MAX(CA36,0.0001)),DATOS!$C$144)&gt;=DATOS!$C$143),INDEX(TABLAS!$B$52:$B$58,MIN(MATCH(IF(ISNUMBER(S36),S36,DATOS!$C$138),TABLAS!$B$52:$B$58,0)+4,7)),INDEX(TABLAS!$B$52:$B$58,7)))))))</f>
        <v/>
      </c>
      <c r="CC36" s="71" t="str">
        <f>IF(V36&lt;&gt;"SÍ","",IF(CA36&lt;=0,0,FLOOR(MIN(BD36,100*INDEX(TABLAS!$D$52:$D$58,MATCH(CB36,TABLAS!$B$52:$B$58,0))/CA36),DATOS!$C$144)))</f>
        <v/>
      </c>
      <c r="CD36" s="58" t="str">
        <f>IF(V36&lt;&gt;"SÍ","",IF(CC36&lt;=0,0,INDEX(TABLAS!$D$52:$D$58,MATCH(CB36,TABLAS!$B$52:$B$58,0))*100/CC36))</f>
        <v/>
      </c>
      <c r="CE36" s="58" t="str">
        <f>IF(V36&lt;&gt;"SÍ","",W36-AE36-INDEX(TABLAS!$C$52:$C$58,MATCH(BH36,TABLAS!$B$52:$B$58,0))-INDEX(TABLAS!$C$52:$C$58,MATCH(CB36,TABLAS!$B$52:$B$58,0))/2)</f>
        <v/>
      </c>
      <c r="CF36" s="56" t="str">
        <f>IF(V36&lt;&gt;"SÍ","",IF(CD36=0,0,DATOS!$C$29*CD36*DATOS!$C$14*(CE36-CD36*DATOS!$C$14/(DATOS!$C$21*100)/2)/1E5))</f>
        <v/>
      </c>
      <c r="CG36" s="65" t="str">
        <f>IF(V36&lt;&gt;"SÍ","",IF(CA36&lt;0,9.99,IF(CF36&gt;0,AZ36/CF36,0)))</f>
        <v/>
      </c>
      <c r="CH36" s="66" t="str">
        <f>IF(V36&lt;&gt;"SÍ","",IF(CD36=0,"—",0.003*(CE36-(CD36*DATOS!$C$14/(DATOS!$C$21*100)/DATOS!$C$22))/(CD36*DATOS!$C$14/(DATOS!$C$21*100)/DATOS!$C$22)))</f>
        <v/>
      </c>
      <c r="CI36" s="58" t="str">
        <f>IF(V36&lt;&gt;"SÍ","",((W36-AF36-1.5*INDEX(TABLAS!$C$52:$C$58,MATCH(IF(ISNUMBER(S36),S36,DATOS!$C$138),TABLAS!$B$52:$B$58,0)))-IF(AND((W36-AF36-1.5*INDEX(TABLAS!$C$52:$C$58,MATCH(IF(ISNUMBER(S36),S36,DATOS!$C$138),TABLAS!$B$52:$B$58,0)))&lt;=20,DATOS!$C$65&lt;&gt;"SÍ"),2,0)))</f>
        <v/>
      </c>
      <c r="CJ36" s="58" t="str">
        <f>IF(V36&lt;&gt;"SÍ","",IF(BA36&lt;=0,0,IF((1-2*BA36*1E5/(DATOS!$C$29*100*CI36^2*DATOS!$C$21))&lt;0,-1,IF((1-SQRT((1-2*BA36*1E5/(DATOS!$C$29*100*CI36^2*DATOS!$C$21))))*DATOS!$C$21*100*CI36/DATOS!$C$14&gt;DATOS!$C$102*100*CI36,-1,(1-SQRT((1-2*BA36*1E5/(DATOS!$C$29*100*CI36^2*DATOS!$C$21))))*DATOS!$C$21*100*CI36/DATOS!$C$14))))</f>
        <v/>
      </c>
      <c r="CK36" s="58" t="str">
        <f>IF(V36&lt;&gt;"SÍ","",IF(CJ36&lt;0,-1,MAX(CJ36,BC36)))</f>
        <v/>
      </c>
      <c r="CL36" s="64" t="str">
        <f>IF(V36&lt;&gt;"SÍ","",IF(AND(CK36&gt;0,FLOOR(MIN(BD36,100*INDEX(TABLAS!$D$52:$D$58,MIN(MATCH(IF(ISNUMBER(S36),S36,DATOS!$C$138),TABLAS!$B$52:$B$58,0)+0,7))/MAX(CK36,0.0001)),DATOS!$C$144)&gt;=DATOS!$C$143),INDEX(TABLAS!$B$52:$B$58,MIN(MATCH(IF(ISNUMBER(S36),S36,DATOS!$C$138),TABLAS!$B$52:$B$58,0)+0,7)),IF(AND(CK36&gt;0,FLOOR(MIN(BD36,100*INDEX(TABLAS!$D$52:$D$58,MIN(MATCH(IF(ISNUMBER(S36),S36,DATOS!$C$138),TABLAS!$B$52:$B$58,0)+1,7))/MAX(CK36,0.0001)),DATOS!$C$144)&gt;=DATOS!$C$143),INDEX(TABLAS!$B$52:$B$58,MIN(MATCH(IF(ISNUMBER(S36),S36,DATOS!$C$138),TABLAS!$B$52:$B$58,0)+1,7)),IF(AND(CK36&gt;0,FLOOR(MIN(BD36,100*INDEX(TABLAS!$D$52:$D$58,MIN(MATCH(IF(ISNUMBER(S36),S36,DATOS!$C$138),TABLAS!$B$52:$B$58,0)+2,7))/MAX(CK36,0.0001)),DATOS!$C$144)&gt;=DATOS!$C$143),INDEX(TABLAS!$B$52:$B$58,MIN(MATCH(IF(ISNUMBER(S36),S36,DATOS!$C$138),TABLAS!$B$52:$B$58,0)+2,7)),IF(AND(CK36&gt;0,FLOOR(MIN(BD36,100*INDEX(TABLAS!$D$52:$D$58,MIN(MATCH(IF(ISNUMBER(S36),S36,DATOS!$C$138),TABLAS!$B$52:$B$58,0)+3,7))/MAX(CK36,0.0001)),DATOS!$C$144)&gt;=DATOS!$C$143),INDEX(TABLAS!$B$52:$B$58,MIN(MATCH(IF(ISNUMBER(S36),S36,DATOS!$C$138),TABLAS!$B$52:$B$58,0)+3,7)),IF(AND(CK36&gt;0,FLOOR(MIN(BD36,100*INDEX(TABLAS!$D$52:$D$58,MIN(MATCH(IF(ISNUMBER(S36),S36,DATOS!$C$138),TABLAS!$B$52:$B$58,0)+4,7))/MAX(CK36,0.0001)),DATOS!$C$144)&gt;=DATOS!$C$143),INDEX(TABLAS!$B$52:$B$58,MIN(MATCH(IF(ISNUMBER(S36),S36,DATOS!$C$138),TABLAS!$B$52:$B$58,0)+4,7)),INDEX(TABLAS!$B$52:$B$58,7)))))))</f>
        <v/>
      </c>
      <c r="CM36" s="71" t="str">
        <f>IF(V36&lt;&gt;"SÍ","",IF(CK36&lt;=0,0,FLOOR(MIN(BD36,100*INDEX(TABLAS!$D$52:$D$58,MATCH(CL36,TABLAS!$B$52:$B$58,0))/CK36),DATOS!$C$144)))</f>
        <v/>
      </c>
      <c r="CN36" s="58" t="str">
        <f>IF(V36&lt;&gt;"SÍ","",IF(CM36&lt;=0,0,INDEX(TABLAS!$D$52:$D$58,MATCH(CL36,TABLAS!$B$52:$B$58,0))*100/CM36))</f>
        <v/>
      </c>
      <c r="CO36" s="58" t="str">
        <f>IF(V36&lt;&gt;"SÍ","",((W36-AF36-INDEX(TABLAS!$C$52:$C$58,MATCH(BR36,TABLAS!$B$52:$B$58,0))-INDEX(TABLAS!$C$52:$C$58,MATCH(CL36,TABLAS!$B$52:$B$58,0))/2)-IF(AND((W36-AF36-INDEX(TABLAS!$C$52:$C$58,MATCH(BR36,TABLAS!$B$52:$B$58,0))-INDEX(TABLAS!$C$52:$C$58,MATCH(CL36,TABLAS!$B$52:$B$58,0))/2)&lt;=20,DATOS!$C$65&lt;&gt;"SÍ"),2,0)))</f>
        <v/>
      </c>
      <c r="CP36" s="56" t="str">
        <f>IF(V36&lt;&gt;"SÍ","",IF(CN36=0,0,DATOS!$C$29*CN36*DATOS!$C$14*(CO36-CN36*DATOS!$C$14/(DATOS!$C$21*100)/2)/1E5))</f>
        <v/>
      </c>
      <c r="CQ36" s="65" t="str">
        <f>IF(V36&lt;&gt;"SÍ","",IF(CK36&lt;0,9.99,IF(CP36&gt;0,BA36/CP36,0)))</f>
        <v/>
      </c>
      <c r="CR36" s="66" t="str">
        <f>IF(V36&lt;&gt;"SÍ","",IF(CN36=0,"—",0.003*(CO36-(CN36*DATOS!$C$14/(DATOS!$C$21*100)/DATOS!$C$22))/(CN36*DATOS!$C$14/(DATOS!$C$21*100)/DATOS!$C$22)))</f>
        <v/>
      </c>
      <c r="CS36" s="56" t="str">
        <f>IF(V36&lt;&gt;"SÍ","",IF(C36="PERIMETRAL",MAX(0,(AC36/2-BU36)/100)*(0.95-0.5*AB36)*AK36*IF(AND(AL36&gt;0,AL36&lt;4),DATOS!$C$33,1)/1000,(AK36*MAX(0,AC36-BU36)/100+DATOS!$C$26*N(P36))/1000))</f>
        <v/>
      </c>
      <c r="CT36" s="66" t="str">
        <f>IF(V36&lt;&gt;"SÍ","",BT36/(100*BU36))</f>
        <v/>
      </c>
      <c r="CU36" s="56" t="str">
        <f>IF(V36&lt;&gt;"SÍ","",DATOS!$C$30*2*MIN(1,SQRT(2/(1+0.04*BU36)))*CT36^(1/3)*SQRT(DATOS!$C$13)*100*BU36/1000)</f>
        <v/>
      </c>
      <c r="CV36" s="67" t="str">
        <f>IF(V36&lt;&gt;"SÍ","",IF(CS36&lt;=CU36,"CUMPLE","NO CUMPLE: sube h"))</f>
        <v/>
      </c>
      <c r="CW36" s="58" t="str">
        <f>IF(V36&lt;&gt;"SÍ","",IF(C36="PERIMETRAL",IF(ISNUMBER(R36),R36,DATOS!$C$104),0))</f>
        <v/>
      </c>
      <c r="CX36" s="57" t="str">
        <f>IF(V36&lt;&gt;"SÍ","",IF(C36="PERIMETRAL",IF(CW36&gt;2,MAX(9,AD36*(0.8+DATOS!$C$14/14000)/(36+9*(AD36/MAX(AC36,1)))),IF(CW36&gt;0.2,MAX(13,AD36*(0.8+DATOS!$C$14/14000)/(36+5*(AD36/MAX(AC36,1))*(CW36-0.2))),MAX(13,AD36/IF(AL36&gt;0,30,33))))*IF(AND(CW36&gt;0.2,AL36&gt;0,DATOS!$C$105="NO"),1.1,1),Z36*100/DATOS!$C$145*(0.4+DATOS!$C$14/7000)))</f>
        <v/>
      </c>
      <c r="CY36" s="61" t="str">
        <f>IF(V36&lt;&gt;"SÍ","",IF(W36&gt;=CX36-0.001,"CUMPLE",IF(C36="VOLADO","NO CUMPLE","CALCULAR FLECHA")))</f>
        <v/>
      </c>
      <c r="CZ36" s="60" t="str">
        <f>IF(V36&lt;&gt;"SÍ","",IF(C36="VOLADO",MIN(FLOOR(IF(ISNUMBER(Q36),Q36,Z36)*100-DATOS!$C$63,5),CEILING(MAX(IF((0.5*(0.9*W36/100*DATOS!$C$16)*IF(ISNUMBER(Q36),Q36,Z36)+AY36/IF(ISNUMBER(Q36),Q36,Z36))^2-4*(0.5*(0.9*W36/100*DATOS!$C$16))*AY36&lt;0,IF(ISNUMBER(Q36),Q36,Z36),MIN(IF(ISNUMBER(Q36),Q36,Z36),((0.5*(0.9*W36/100*DATOS!$C$16)*IF(ISNUMBER(Q36),Q36,Z36)+AY36/IF(ISNUMBER(Q36),Q36,Z36))-SQRT((0.5*(0.9*W36/100*DATOS!$C$16)*IF(ISNUMBER(Q36),Q36,Z36)+AY36/IF(ISNUMBER(Q36),Q36,Z36))^2-4*(0.5*(0.9*W36/100*DATOS!$C$16))*AY36))/(2*(0.5*(0.9*W36/100*DATOS!$C$16)))))*100+MAX(BU36,12*INDEX(TABLAS!$C$52:$C$58,MATCH(BR36,TABLAS!$B$52:$B$58,0)),IF(ISNUMBER(Q36),Q36,Z36)*100/16),IF(OR(AF36&lt;INDEX(TABLAS!$C$52:$C$58,MATCH(BR36,TABLAS!$B$52:$B$58,0)),BS36-INDEX(TABLAS!$C$52:$C$58,MATCH(BR36,TABLAS!$B$52:$B$58,0))&lt;2*INDEX(TABLAS!$C$52:$C$58,MATCH(BR36,TABLAS!$B$52:$B$58,0))),INDEX(TABLAS!$I$52:$I$58,MATCH(BR36,TABLAS!$B$52:$B$58,0)),INDEX(TABLAS!$F$52:$F$58,MATCH(BR36,TABLAS!$B$52:$B$58,0)))),5)),IF(((4*((AV36*AK36*Z36^2*1E-4/1000)+((MAX(AR36,AT36)*AK36*Z36^2*1E-4/1000)+(IF(AND(AR36&gt;0,AT36&gt;0),MIN(AR36,AT36),MAX(AR36,AT36))*AK36*Z36^2*1E-4/1000))/2)+AY36-(IF(AND(AR36&gt;0,AT36&gt;0),MIN(AR36,AT36),MAX(AR36,AT36))*AK36*Z36^2*1E-4/1000))^2-16*((AV36*AK36*Z36^2*1E-4/1000)+((MAX(AR36,AT36)*AK36*Z36^2*1E-4/1000)+(IF(AND(AR36&gt;0,AT36&gt;0),MIN(AR36,AT36),MAX(AR36,AT36))*AK36*Z36^2*1E-4/1000))/2)*AY36)&lt;0,CEILING(AC36,5),CEILING(MAX(AC36*((4*((AV36*AK36*Z36^2*1E-4/1000)+((MAX(AR36,AT36)*AK36*Z36^2*1E-4/1000)+(IF(AND(AR36&gt;0,AT36&gt;0),MIN(AR36,AT36),MAX(AR36,AT36))*AK36*Z36^2*1E-4/1000))/2)+AY36-(IF(AND(AR36&gt;0,AT36&gt;0),MIN(AR36,AT36),MAX(AR36,AT36))*AK36*Z36^2*1E-4/1000))-SQRT(MAX(0,((4*((AV36*AK36*Z36^2*1E-4/1000)+((MAX(AR36,AT36)*AK36*Z36^2*1E-4/1000)+(IF(AND(AR36&gt;0,AT36&gt;0),MIN(AR36,AT36),MAX(AR36,AT36))*AK36*Z36^2*1E-4/1000))/2)+AY36-(IF(AND(AR36&gt;0,AT36&gt;0),MIN(AR36,AT36),MAX(AR36,AT36))*AK36*Z36^2*1E-4/1000))^2-16*((AV36*AK36*Z36^2*1E-4/1000)+((MAX(AR36,AT36)*AK36*Z36^2*1E-4/1000)+(IF(AND(AR36&gt;0,AT36&gt;0),MIN(AR36,AT36),MAX(AR36,AT36))*AK36*Z36^2*1E-4/1000))/2)*AY36))))/(8*MAX(((AV36*AK36*Z36^2*1E-4/1000)+((MAX(AR36,AT36)*AK36*Z36^2*1E-4/1000)+(IF(AND(AR36&gt;0,AT36&gt;0),MIN(AR36,AT36),MAX(AR36,AT36))*AK36*Z36^2*1E-4/1000))/2),1E-9))+MAX(BU36,12*INDEX(TABLAS!$C$52:$C$58,MATCH(BR36,TABLAS!$B$52:$B$58,0)),AC36/16),IF(OR(AF36&lt;INDEX(TABLAS!$C$52:$C$58,MATCH(BR36,TABLAS!$B$52:$B$58,0)),BS36-INDEX(TABLAS!$C$52:$C$58,MATCH(BR36,TABLAS!$B$52:$B$58,0))&lt;2*INDEX(TABLAS!$C$52:$C$58,MATCH(BR36,TABLAS!$B$52:$B$58,0))),INDEX(TABLAS!$I$52:$I$58,MATCH(BR36,TABLAS!$B$52:$B$58,0)),INDEX(TABLAS!$F$52:$F$58,MATCH(BR36,TABLAS!$B$52:$B$58,0)))),5))))</f>
        <v/>
      </c>
      <c r="DA36" s="60" t="str">
        <f>IF(V36&lt;&gt;"SÍ","",IF(C36="VOLADO",0,IF(((4*((AW36*AK36*Z36^2*1E-4/1000)+((MAX(AS36,AU36)*AK36*Z36^2*1E-4/1000)+(IF(AND(AS36&gt;0,AU36&gt;0),MIN(AS36,AU36),MAX(AS36,AU36))*AK36*Z36^2*1E-4/1000))/2)+BA36-(IF(AND(AS36&gt;0,AU36&gt;0),MIN(AS36,AU36),MAX(AS36,AU36))*AK36*Z36^2*1E-4/1000))^2-16*((AW36*AK36*Z36^2*1E-4/1000)+((MAX(AS36,AU36)*AK36*Z36^2*1E-4/1000)+(IF(AND(AS36&gt;0,AU36&gt;0),MIN(AS36,AU36),MAX(AS36,AU36))*AK36*Z36^2*1E-4/1000))/2)*BA36)&lt;0,CEILING(AD36,5),CEILING(MAX(AD36*((4*((AW36*AK36*Z36^2*1E-4/1000)+((MAX(AS36,AU36)*AK36*Z36^2*1E-4/1000)+(IF(AND(AS36&gt;0,AU36&gt;0),MIN(AS36,AU36),MAX(AS36,AU36))*AK36*Z36^2*1E-4/1000))/2)+BA36-(IF(AND(AS36&gt;0,AU36&gt;0),MIN(AS36,AU36),MAX(AS36,AU36))*AK36*Z36^2*1E-4/1000))-SQRT(MAX(0,((4*((AW36*AK36*Z36^2*1E-4/1000)+((MAX(AS36,AU36)*AK36*Z36^2*1E-4/1000)+(IF(AND(AS36&gt;0,AU36&gt;0),MIN(AS36,AU36),MAX(AS36,AU36))*AK36*Z36^2*1E-4/1000))/2)+BA36-(IF(AND(AS36&gt;0,AU36&gt;0),MIN(AS36,AU36),MAX(AS36,AU36))*AK36*Z36^2*1E-4/1000))^2-16*((AW36*AK36*Z36^2*1E-4/1000)+((MAX(AS36,AU36)*AK36*Z36^2*1E-4/1000)+(IF(AND(AS36&gt;0,AU36&gt;0),MIN(AS36,AU36),MAX(AS36,AU36))*AK36*Z36^2*1E-4/1000))/2)*BA36))))/(8*MAX(((AW36*AK36*Z36^2*1E-4/1000)+((MAX(AS36,AU36)*AK36*Z36^2*1E-4/1000)+(IF(AND(AS36&gt;0,AU36&gt;0),MIN(AS36,AU36),MAX(AS36,AU36))*AK36*Z36^2*1E-4/1000))/2),1E-9))+MAX(CO36,12*INDEX(TABLAS!$C$52:$C$58,MATCH(CL36,TABLAS!$B$52:$B$58,0)),AD36/16),IF(OR(AF36&lt;INDEX(TABLAS!$C$52:$C$58,MATCH(CL36,TABLAS!$B$52:$B$58,0)),CM36-INDEX(TABLAS!$C$52:$C$58,MATCH(CL36,TABLAS!$B$52:$B$58,0))&lt;2*INDEX(TABLAS!$C$52:$C$58,MATCH(CL36,TABLAS!$B$52:$B$58,0))),INDEX(TABLAS!$I$52:$I$58,MATCH(CL36,TABLAS!$B$52:$B$58,0)),INDEX(TABLAS!$F$52:$F$58,MATCH(CL36,TABLAS!$B$52:$B$58,0)))),5))))</f>
        <v/>
      </c>
      <c r="DB36" s="55" t="str">
        <f>IF(V36&lt;&gt;"SÍ","",IF(AND(C36="PERIMETRAL",AL36-AM36&gt;0,AT36&gt;0),"SÍ","NO"))</f>
        <v/>
      </c>
      <c r="DC36" s="55" t="str">
        <f>IF(V36&lt;&gt;"SÍ","",IF(AND(C36="PERIMETRAL",AM36&gt;0,AU36&gt;0),"SÍ","NO"))</f>
        <v/>
      </c>
      <c r="DD36" s="63" t="str">
        <f>IF(V36&lt;&gt;"SÍ","",IF(OR(C36="VOLADO",AL36=0),"—",IF(AND(AND(INDEX(TABLAS!$G$52:$G$58,MATCH(MAX(BR36,CL36),TABLAS!$B$52:$B$58,0))&lt;=(DATOS!$C$75-DATOS!$C$63),(DATOS!$C$75-DATOS!$C$63)&gt;=15),8*INDEX(TABLAS!$C$52:$C$58,MATCH(MAX(BH36,CB36,BR36,CL36),TABLAS!$B$52:$B$58,0))&lt;=DATOS!$C$76-2*DATOS!$C$63),"CUMPLE (gancho de 180°)",IF(AND(INDEX(TABLAS!$G$52:$G$58,MATCH(MAX(BR36,CL36),TABLAS!$B$52:$B$58,0))&lt;=(DATOS!$C$75-DATOS!$C$63),(DATOS!$C$75-DATOS!$C$63)&gt;=15),"NO CUMPLE: el gancho de 180° (8·d_b) no cabe en el peralte de la dala de borde","NO CUMPLE: dala de borde ≥ "&amp;TEXT(CEILING(MAX(INDEX(TABLAS!$G$52:$G$58,MATCH(MAX(BR36,CL36),TABLAS!$B$52:$B$58,0)),15)+DATOS!$C$63,5),"0")&amp;" cm de ancho"&amp;IF(8*INDEX(TABLAS!$C$52:$C$58,MATCH(MAX(BH36,CB36,BR36,CL36),TABLAS!$B$52:$B$58,0))&lt;=DATOS!$C$76-2*DATOS!$C$63,""," y más peralte para el gancho")))))</f>
        <v/>
      </c>
      <c r="DE36" s="69" t="str">
        <f>IF(V36&lt;&gt;"SÍ","",IF(BI36=0,"NO ALCANZA","No. "&amp;BH36&amp;" @ "&amp;BI36&amp;" cm"&amp;IF(C36="VOLADO"," (temperatura)","")))</f>
        <v/>
      </c>
      <c r="DF36" s="69" t="str">
        <f>IF(V36&lt;&gt;"SÍ","",IF(BS36=0,"NO ALCANZA",IF(C36="VOLADO","No. "&amp;BR36&amp;" @ "&amp;BS36&amp;" cm"&amp;" de la orilla al respaldo ("&amp;IF(CZ36&gt;=FLOOR(100*IF(ISNUMBER(Q36),Q36,Z36)-DATOS!$C$63,5),"hasta su apoyo lejano, con gancho","entran "&amp;TEXT(CZ36/100,"0.00")&amp;" m desde el paño")&amp;")","Bastones "&amp;"No. "&amp;BR36&amp;" @ "&amp;BS36&amp;" cm"&amp;", L = "&amp;TEXT(CZ36/100,"0.00")&amp;" m desde el paño")))</f>
        <v/>
      </c>
      <c r="DG36" s="69" t="str">
        <f>IF(V36&lt;&gt;"SÍ","",IF(CC36=0,"NO ALCANZA","No. "&amp;CB36&amp;" @ "&amp;CC36&amp;" cm"&amp;IF(C36="VOLADO"," (repartición)","")))</f>
        <v/>
      </c>
      <c r="DH36" s="69" t="str">
        <f>IF(V36&lt;&gt;"SÍ","",IF(CM36=0,"NO ALCANZA",IF(C36="VOLADO","No. "&amp;CL36&amp;" @ "&amp;CM36&amp;" cm"&amp;" (repartición)","Bastones "&amp;"No. "&amp;CL36&amp;" @ "&amp;CM36&amp;" cm"&amp;", L = "&amp;TEXT(DA36/100,"0.00")&amp;" m desde el paño")))</f>
        <v/>
      </c>
      <c r="DI36" s="67" t="str">
        <f>IF(B36="","",IF(V36&lt;&gt;"SÍ","FALTAN DATOS: tipo, a_x, a_y, destino y, en volados, L_b",IF(L36="NO MONOLÍTICO (caso II)","FUERA DE ALCANCE: caso II no transcrito",IF(AND(C36="VOLADO",X36="?"),"REVISAR: el volado lleva UN solo borde CONTINUO (el empotrado)",IF(AND(MAX(BM36,BW36,CG36,CQ36)&lt;=1,NOT(OR(BI36&lt;DATOS!$C$143,BS36&lt;DATOS!$C$143,CC36&lt;DATOS!$C$143,CM36&lt;DATOS!$C$143)),NOT(OR(AND(ISNUMBER(BN36),BN36&lt;0.005),AND(ISNUMBER(BX36),BX36&lt;0.005),AND(ISNUMBER(CH36),CH36&lt;0.005),AND(ISNUMBER(CR36),CR36&lt;0.005))),CV36="CUMPLE",CY36="CUMPLE"),"CUMPLE"&amp;IF(LEFT(BB36,5)="FUERA"," · fuera de 3.4.2.1 c)","")&amp;IF(LEFT(DD36,2)="NO"," · REVISAR anclaje en borde discontinuo",""),IF(AND(MAX(BM36,BW36,CG36,CQ36)&lt;=1,NOT(OR(BI36&lt;DATOS!$C$143,BS36&lt;DATOS!$C$143,CC36&lt;DATOS!$C$143,CM36&lt;DATOS!$C$143)),NOT(OR(AND(ISNUMBER(BN36),BN36&lt;0.005),AND(ISNUMBER(BX36),BX36&lt;0.005),AND(ISNUMBER(CH36),CH36&lt;0.005),AND(ISNUMBER(CR36),CR36&lt;0.005))),CV36="CUMPLE",CY36="CALCULAR FLECHA"),"REVISAR: calcular flecha (h &lt; h mín.)"&amp;IF(LEFT(BB36,5)="FUERA"," · fuera de 3.4.2.1 c)","")&amp;IF(LEFT(DD36,2)="NO"," · REVISAR anclaje en borde discontinuo",""),"NO CUMPLE: "&amp;IF(MAX(BM36,BW36,CG36,CQ36)&gt;1,"flexión ","")&amp;IF(OR(BI36&lt;DATOS!$C$143,BS36&lt;DATOS!$C$143,CC36&lt;DATOS!$C$143,CM36&lt;DATOS!$C$143),"separación &lt; mínima ","")&amp;IF(OR(AND(ISNUMBER(BN36),BN36&lt;0.005),AND(ISNUMBER(BX36),BX36&lt;0.005),AND(ISNUMBER(CH36),CH36&lt;0.005),AND(ISNUMBER(CR36),CR36&lt;0.005)),"ε_t &lt; 0.005 ","")&amp;IF(CV36&lt;&gt;"CUMPLE","cortante ","")&amp;IF(CY36="NO CUMPLE","peralte","")))))))</f>
        <v/>
      </c>
      <c r="DJ36" s="70" t="str">
        <f>IF(V36&lt;&gt;"SÍ","",IF(LEFT(B36,7)="EJEMPLO","EJEMPLO de tablero típico: bórralo o sobrescríbelo. ","")&amp;IF(C36="VOLADO","Volado de "&amp;TEXT(Z36,"0.00")&amp;" m empotrado en el borde "&amp;LOWER(X36)&amp;IF(N(P36)&gt;0,", con "&amp;TEXT(P36,"0.0")&amp;" kg/m en la orilla","")&amp;". Lecho inferior con r_ext. Si la orilla carga pretil u otro elemento frágil, calcula la flecha (13.4). El acero superior entra al respaldo de "&amp;TEXT(IF(ISNUMBER(Q36),Q36,Z36),"0.00")&amp;" m"&amp;" hasta pasar M = 0 con 0.9·PP sin carga viva; si ahí no se anula, llega al apoyo lejano y se ancla con gancho. ","")&amp;IF(AND(C36="VOLADO",(0.9*W36/100*DATOS!$C$16*IF(ISNUMBER(Q36),Q36,Z36)/2-AY36/IF(ISNUMBER(Q36),Q36,Z36))&lt;0),"Con 0.9·PP y sin carga viva el apoyo lejano del respaldo levanta (R = "&amp;TEXT(-(0.9*W36/100*DATOS!$C$16*IF(ISNUMBER(Q36),Q36,Z36)/2-AY36/IF(ISNUMBER(Q36),Q36,Z36)),"0.00")&amp;" t/m): ancla ahí el acero con gancho y revisa ese apoyo a tensión. ","")&amp;IF(LEFT(BB36,5)="FUERA","El M⁻ del vecino difiere más de 50 % (3.4.2.1 c): distribuye el desequilibrio (3.4.3.1) o confirma con un modelo; se arma con el mayor. ","")&amp;IF(OR(DB36="SÍ",DC36="SÍ"),"Bastones también en los bordes discontinuos (M⁻ de tabla), con gancho. ","")&amp;IF(LEFT(DD36,2)="NO","Anclaje: "&amp;DD36&amp;" (6.7.7.4.1.1). ","")&amp;IF(AND(C36="PERIMETRAL",AM36&gt;=1,AL36-AM36&gt;=1),"Esquinas exteriores sobre muro: refuerzo de esquina arriba y abajo en L_largo/5 (6.7.7.3.1). ",""))</f>
        <v/>
      </c>
    </row>
    <row r="37" ht="33" customHeight="1">
      <c r="A37" s="50">
        <f>IF(B37="",0,1)+A36</f>
        <v>3</v>
      </c>
      <c r="B37" s="29" t="n"/>
      <c r="C37" s="51" t="n"/>
      <c r="D37" s="29" t="n"/>
      <c r="E37" s="52" t="n"/>
      <c r="F37" s="52" t="n"/>
      <c r="G37" s="51" t="n"/>
      <c r="H37" s="51" t="n"/>
      <c r="I37" s="51" t="n"/>
      <c r="J37" s="51" t="n"/>
      <c r="K37" s="51" t="n"/>
      <c r="L37" s="51" t="n"/>
      <c r="M37" s="54" t="n"/>
      <c r="N37" s="53" t="n"/>
      <c r="O37" s="53" t="n"/>
      <c r="P37" s="54" t="n"/>
      <c r="Q37" s="52" t="n"/>
      <c r="R37" s="54" t="n"/>
      <c r="S37" s="53" t="n"/>
      <c r="T37" s="52" t="n"/>
      <c r="U37" s="52" t="n"/>
      <c r="V37" s="55" t="str">
        <f>IF(B37="","",IF(AND(OR(C37="PERIMETRAL",C37="VOLADO"),ISNUMBER(E37),ISNUMBER(F37),E37&gt;0,F37&gt;0,OR(ISNUMBER(O37),ISNUMBER(MATCH(D37,DATOS!$B$46:$B$58,0))),OR(C37&lt;&gt;"VOLADO",N(Q37)&gt;0)),"SÍ","NO"))</f>
        <v/>
      </c>
      <c r="W37" s="57" t="str">
        <f>IF(V37&lt;&gt;"SÍ","",IF(ISNUMBER(M37),M37,DATOS!$C$137))</f>
        <v/>
      </c>
      <c r="X37" s="55" t="str">
        <f>IF(V37&lt;&gt;"SÍ","",IF(C37&lt;&gt;"VOLADO","—",IF(COUNTIF(G37:J37,"CONTINUO")&lt;&gt;1,"?",IF(G37="CONTINUO","INFERIOR",IF(H37="CONTINUO","SUPERIOR",IF(I37="CONTINUO","IZQUIERDO","DERECHO"))))))</f>
        <v/>
      </c>
      <c r="Y37" s="55" t="str">
        <f>IF(V37&lt;&gt;"SÍ","",IF(C37="VOLADO",IF(OR(X37="IZQUIERDO",X37="DERECHO"),"X","Y"),IF(E37&lt;=F37,"X","Y")))</f>
        <v/>
      </c>
      <c r="Z37" s="56" t="str">
        <f>IF(V37&lt;&gt;"SÍ","",IF(C37="VOLADO",IF(Y37="X",E37,F37),MIN(E37,F37)))</f>
        <v/>
      </c>
      <c r="AA37" s="56" t="str">
        <f>IF(V37&lt;&gt;"SÍ","",IF(C37="VOLADO",IF(Y37="X",F37,E37),MAX(E37,F37)))</f>
        <v/>
      </c>
      <c r="AB37" s="56" t="str">
        <f>IF(V37&lt;&gt;"SÍ","",MIN(Z37,AA37)/MAX(Z37,AA37))</f>
        <v/>
      </c>
      <c r="AC37" s="57" t="str">
        <f>IF(V37&lt;&gt;"SÍ","",MAX(1,Z37*100-IF(C37="VOLADO",DATOS!$C$87/2,DATOS!$C$87)))</f>
        <v/>
      </c>
      <c r="AD37" s="57" t="str">
        <f>IF(V37&lt;&gt;"SÍ","",MAX(1,AA37*100-DATOS!$C$87))</f>
        <v/>
      </c>
      <c r="AE37" s="57" t="str">
        <f>IF(V37&lt;&gt;"SÍ","",IF(C37="VOLADO",DATOS!$C$64,DATOS!$C$62))</f>
        <v/>
      </c>
      <c r="AF37" s="57" t="str">
        <f>IF(V37&lt;&gt;"SÍ","",IF(OR(AND(AG37="SÍ",DATOS!$C$66="SÍ"),AND(C37="VOLADO",DATOS!$C$67="SÍ")),DATOS!$C$64,DATOS!$C$62))</f>
        <v/>
      </c>
      <c r="AG37" s="55" t="str">
        <f>IF(V37&lt;&gt;"SÍ","",IFERROR(INDEX(DATOS!$D$46:$D$58,MATCH(D37,DATOS!$B$46:$B$58,0)),"NO"))</f>
        <v/>
      </c>
      <c r="AH37" s="59" t="str">
        <f>IF(V37&lt;&gt;"SÍ","",IF(ISNUMBER(O37),O37,IFERROR(INDEX(DATOS!$C$46:$C$58,MATCH(D37,DATOS!$B$46:$B$58,0)),0)))</f>
        <v/>
      </c>
      <c r="AI37" s="59" t="str">
        <f>IF(V37&lt;&gt;"SÍ","",W37/100*DATOS!$C$16*1000+DATOS!$C$37+DATOS!$C$38)</f>
        <v/>
      </c>
      <c r="AJ37" s="59" t="str">
        <f>IF(V37&lt;&gt;"SÍ","",AI37+N(N37))</f>
        <v/>
      </c>
      <c r="AK37" s="60" t="str">
        <f>IF(V37&lt;&gt;"SÍ","",MAX(DATOS!$C$26*AJ37+DATOS!$C$27*AH37,IF(AG37="SÍ",DATOS!$C$28*(AJ37+DATOS!$C$41),0)))</f>
        <v/>
      </c>
      <c r="AL37" s="59" t="str">
        <f>IF(V37&lt;&gt;"SÍ","",(G37="DISCONTINUO")+(H37="DISCONTINUO")+(I37="DISCONTINUO")+(J37="DISCONTINUO"))</f>
        <v/>
      </c>
      <c r="AM37" s="59" t="str">
        <f>IF(V37&lt;&gt;"SÍ","",IF(Y37="X",(G37="DISCONTINUO")+(H37="DISCONTINUO"),(I37="DISCONTINUO")+(J37="DISCONTINUO")))</f>
        <v/>
      </c>
      <c r="AN37" s="55" t="str">
        <f>IF(V37&lt;&gt;"SÍ","",IF(AL37=0,"INTERIOR",IF(AL37=1,IF(AM37=1,"BORDE-CORTO","BORDE-LARGO"),IF(AL37=2,IF(AM37=1,"ESQUINA",IF(AM37=2,"EXTREMO-LARGO","EXTREMO-CORTO")),IF(AL37=3,IF(AM37=2,"EXTREMO-LARGO","EXTREMO-CORTO"),"AISLADO")))))</f>
        <v/>
      </c>
      <c r="AO37" s="61" t="str">
        <f>IF(V37&lt;&gt;"SÍ","",IF(OR(K37="",K37="AUTO"),AN37,K37))</f>
        <v/>
      </c>
      <c r="AP37" s="59" t="str">
        <f>IF(V37&lt;&gt;"SÍ","",MATCH(AB37,TABLAS!$D$5:$J$5,1))</f>
        <v/>
      </c>
      <c r="AQ37" s="58" t="str">
        <f>IF(V37&lt;&gt;"SÍ","",IF(AP37&gt;=7,0,(AB37-INDEX(TABLAS!$D$5:$J$5,AP37))/(INDEX(TABLAS!$D$5:$J$5,AP37+1)-INDEX(TABLAS!$D$5:$J$5,AP37))))</f>
        <v/>
      </c>
      <c r="AR37" s="59" t="str">
        <f>IF(V37&lt;&gt;"SÍ","",INDEX(TABLAS!$D$6:$J$47,MATCH(AO37&amp;"|NIC",TABLAS!$B$6:$B$47,0),AP37)+AQ37*(INDEX(TABLAS!$D$6:$J$47,MATCH(AO37&amp;"|NIC",TABLAS!$B$6:$B$47,0),MIN(AP37+1,7))-INDEX(TABLAS!$D$6:$J$47,MATCH(AO37&amp;"|NIC",TABLAS!$B$6:$B$47,0),AP37)))</f>
        <v/>
      </c>
      <c r="AS37" s="59" t="str">
        <f>IF(V37&lt;&gt;"SÍ","",INDEX(TABLAS!$D$6:$J$47,MATCH(AO37&amp;"|NIL",TABLAS!$B$6:$B$47,0),AP37)+AQ37*(INDEX(TABLAS!$D$6:$J$47,MATCH(AO37&amp;"|NIL",TABLAS!$B$6:$B$47,0),MIN(AP37+1,7))-INDEX(TABLAS!$D$6:$J$47,MATCH(AO37&amp;"|NIL",TABLAS!$B$6:$B$47,0),AP37)))</f>
        <v/>
      </c>
      <c r="AT37" s="59" t="str">
        <f>IF(V37&lt;&gt;"SÍ","",INDEX(TABLAS!$D$6:$J$47,MATCH(AO37&amp;"|NDC",TABLAS!$B$6:$B$47,0),AP37)+AQ37*(INDEX(TABLAS!$D$6:$J$47,MATCH(AO37&amp;"|NDC",TABLAS!$B$6:$B$47,0),MIN(AP37+1,7))-INDEX(TABLAS!$D$6:$J$47,MATCH(AO37&amp;"|NDC",TABLAS!$B$6:$B$47,0),AP37)))</f>
        <v/>
      </c>
      <c r="AU37" s="59" t="str">
        <f>IF(V37&lt;&gt;"SÍ","",INDEX(TABLAS!$D$6:$J$47,MATCH(AO37&amp;"|NDL",TABLAS!$B$6:$B$47,0),AP37)+AQ37*(INDEX(TABLAS!$D$6:$J$47,MATCH(AO37&amp;"|NDL",TABLAS!$B$6:$B$47,0),MIN(AP37+1,7))-INDEX(TABLAS!$D$6:$J$47,MATCH(AO37&amp;"|NDL",TABLAS!$B$6:$B$47,0),AP37)))</f>
        <v/>
      </c>
      <c r="AV37" s="59" t="str">
        <f>IF(V37&lt;&gt;"SÍ","",INDEX(TABLAS!$D$6:$J$47,MATCH(AO37&amp;"|PC",TABLAS!$B$6:$B$47,0),AP37)+AQ37*(INDEX(TABLAS!$D$6:$J$47,MATCH(AO37&amp;"|PC",TABLAS!$B$6:$B$47,0),MIN(AP37+1,7))-INDEX(TABLAS!$D$6:$J$47,MATCH(AO37&amp;"|PC",TABLAS!$B$6:$B$47,0),AP37)))</f>
        <v/>
      </c>
      <c r="AW37" s="59" t="str">
        <f>IF(V37&lt;&gt;"SÍ","",INDEX(TABLAS!$D$6:$J$47,MATCH(AO37&amp;"|PL",TABLAS!$B$6:$B$47,0),AP37)+AQ37*(INDEX(TABLAS!$D$6:$J$47,MATCH(AO37&amp;"|PL",TABLAS!$B$6:$B$47,0),MIN(AP37+1,7))-INDEX(TABLAS!$D$6:$J$47,MATCH(AO37&amp;"|PL",TABLAS!$B$6:$B$47,0),AP37)))</f>
        <v/>
      </c>
      <c r="AX37" s="56" t="str">
        <f>IF(V37&lt;&gt;"SÍ","",IF(C37="PERIMETRAL",AV37*AK37*Z37^2*1E-4/1000,0))</f>
        <v/>
      </c>
      <c r="AY37" s="62" t="str">
        <f>IF(V37&lt;&gt;"SÍ","",IF(C37="PERIMETRAL",MAX(MAX(AR37,AT37)*AK37*Z37^2*1E-4/1000,N(T37)),(AK37*(AC37/100)^2/2+DATOS!$C$26*N(P37)*AC37/100)/1000))</f>
        <v/>
      </c>
      <c r="AZ37" s="56" t="str">
        <f>IF(V37&lt;&gt;"SÍ","",IF(C37="PERIMETRAL",AW37*AK37*Z37^2*1E-4/1000,0))</f>
        <v/>
      </c>
      <c r="BA37" s="56" t="str">
        <f>IF(V37&lt;&gt;"SÍ","",IF(C37="PERIMETRAL",MAX(MAX(AS37,AU37)*AK37*Z37^2*1E-4/1000,N(U37)),0))</f>
        <v/>
      </c>
      <c r="BB37" s="63" t="str">
        <f>IF(V37&lt;&gt;"SÍ","",IF(C37&lt;&gt;"PERIMETRAL","—",IF(AND(N(T37)=0,N(U37)=0),"— (sin M⁻ del vecino)",IF(OR(AND(N(T37)&gt;0,ABS(MAX(AR37,AT37)*AK37*Z37^2*1E-4/1000-N(T37))&gt;0.5*MIN(MAX(AR37,AT37)*AK37*Z37^2*1E-4/1000,N(T37))),AND(N(U37)&gt;0,ABS(MAX(AS37,AU37)*AK37*Z37^2*1E-4/1000-N(U37))&gt;0.5*MIN(MAX(AS37,AU37)*AK37*Z37^2*1E-4/1000,N(U37)))),"FUERA: difieren &gt; 50 %"&amp;IF(AND(N(T37)&gt;0,ABS(MAX(AR37,AT37)*AK37*Z37^2*1E-4/1000-N(T37))&gt;0.5*MIN(MAX(AR37,AT37)*AK37*Z37^2*1E-4/1000,N(T37)))," ‖ corto","")&amp;IF(AND(N(U37)&gt;0,ABS(MAX(AS37,AU37)*AK37*Z37^2*1E-4/1000-N(U37))&gt;0.5*MIN(MAX(AS37,AU37)*AK37*Z37^2*1E-4/1000,N(U37)))," ‖ largo",""),"CUMPLE"))))</f>
        <v/>
      </c>
      <c r="BC37" s="58" t="str">
        <f>IF(V37&lt;&gt;"SÍ","",DATOS!$C$139*100*W37)</f>
        <v/>
      </c>
      <c r="BD37" s="57" t="str">
        <f>IF(V37&lt;&gt;"SÍ","",MIN(IF(C37="VOLADO",DATOS!$C$141,DATOS!$C$140)*W37,DATOS!$C$142))</f>
        <v/>
      </c>
      <c r="BE37" s="58" t="str">
        <f>IF(V37&lt;&gt;"SÍ","",(W37-AE37-INDEX(TABLAS!$C$52:$C$58,MATCH(IF(ISNUMBER(S37),S37,DATOS!$C$138),TABLAS!$B$52:$B$58,0))/2))</f>
        <v/>
      </c>
      <c r="BF37" s="58" t="str">
        <f>IF(V37&lt;&gt;"SÍ","",IF(AX37&lt;=0,0,IF((1-2*AX37*1E5/(DATOS!$C$29*100*BE37^2*DATOS!$C$21))&lt;0,-1,IF((1-SQRT((1-2*AX37*1E5/(DATOS!$C$29*100*BE37^2*DATOS!$C$21))))*DATOS!$C$21*100*BE37/DATOS!$C$14&gt;DATOS!$C$102*100*BE37,-1,(1-SQRT((1-2*AX37*1E5/(DATOS!$C$29*100*BE37^2*DATOS!$C$21))))*DATOS!$C$21*100*BE37/DATOS!$C$14))))</f>
        <v/>
      </c>
      <c r="BG37" s="58" t="str">
        <f>IF(V37&lt;&gt;"SÍ","",IF(BF37&lt;0,-1,MAX(BF37,BC37)))</f>
        <v/>
      </c>
      <c r="BH37" s="64" t="str">
        <f>IF(V37&lt;&gt;"SÍ","",IF(AND(BG37&gt;0,FLOOR(MIN(BD37,100*INDEX(TABLAS!$D$52:$D$58,MIN(MATCH(IF(ISNUMBER(S37),S37,DATOS!$C$138),TABLAS!$B$52:$B$58,0)+0,7))/MAX(BG37,0.0001)),DATOS!$C$144)&gt;=DATOS!$C$143),INDEX(TABLAS!$B$52:$B$58,MIN(MATCH(IF(ISNUMBER(S37),S37,DATOS!$C$138),TABLAS!$B$52:$B$58,0)+0,7)),IF(AND(BG37&gt;0,FLOOR(MIN(BD37,100*INDEX(TABLAS!$D$52:$D$58,MIN(MATCH(IF(ISNUMBER(S37),S37,DATOS!$C$138),TABLAS!$B$52:$B$58,0)+1,7))/MAX(BG37,0.0001)),DATOS!$C$144)&gt;=DATOS!$C$143),INDEX(TABLAS!$B$52:$B$58,MIN(MATCH(IF(ISNUMBER(S37),S37,DATOS!$C$138),TABLAS!$B$52:$B$58,0)+1,7)),IF(AND(BG37&gt;0,FLOOR(MIN(BD37,100*INDEX(TABLAS!$D$52:$D$58,MIN(MATCH(IF(ISNUMBER(S37),S37,DATOS!$C$138),TABLAS!$B$52:$B$58,0)+2,7))/MAX(BG37,0.0001)),DATOS!$C$144)&gt;=DATOS!$C$143),INDEX(TABLAS!$B$52:$B$58,MIN(MATCH(IF(ISNUMBER(S37),S37,DATOS!$C$138),TABLAS!$B$52:$B$58,0)+2,7)),IF(AND(BG37&gt;0,FLOOR(MIN(BD37,100*INDEX(TABLAS!$D$52:$D$58,MIN(MATCH(IF(ISNUMBER(S37),S37,DATOS!$C$138),TABLAS!$B$52:$B$58,0)+3,7))/MAX(BG37,0.0001)),DATOS!$C$144)&gt;=DATOS!$C$143),INDEX(TABLAS!$B$52:$B$58,MIN(MATCH(IF(ISNUMBER(S37),S37,DATOS!$C$138),TABLAS!$B$52:$B$58,0)+3,7)),IF(AND(BG37&gt;0,FLOOR(MIN(BD37,100*INDEX(TABLAS!$D$52:$D$58,MIN(MATCH(IF(ISNUMBER(S37),S37,DATOS!$C$138),TABLAS!$B$52:$B$58,0)+4,7))/MAX(BG37,0.0001)),DATOS!$C$144)&gt;=DATOS!$C$143),INDEX(TABLAS!$B$52:$B$58,MIN(MATCH(IF(ISNUMBER(S37),S37,DATOS!$C$138),TABLAS!$B$52:$B$58,0)+4,7)),INDEX(TABLAS!$B$52:$B$58,7)))))))</f>
        <v/>
      </c>
      <c r="BI37" s="71" t="str">
        <f>IF(V37&lt;&gt;"SÍ","",IF(BG37&lt;=0,0,FLOOR(MIN(BD37,100*INDEX(TABLAS!$D$52:$D$58,MATCH(BH37,TABLAS!$B$52:$B$58,0))/BG37),DATOS!$C$144)))</f>
        <v/>
      </c>
      <c r="BJ37" s="58" t="str">
        <f>IF(V37&lt;&gt;"SÍ","",IF(BI37&lt;=0,0,INDEX(TABLAS!$D$52:$D$58,MATCH(BH37,TABLAS!$B$52:$B$58,0))*100/BI37))</f>
        <v/>
      </c>
      <c r="BK37" s="58" t="str">
        <f>IF(V37&lt;&gt;"SÍ","",W37-AE37-INDEX(TABLAS!$C$52:$C$58,MATCH(BH37,TABLAS!$B$52:$B$58,0))/2)</f>
        <v/>
      </c>
      <c r="BL37" s="56" t="str">
        <f>IF(V37&lt;&gt;"SÍ","",IF(BJ37=0,0,DATOS!$C$29*BJ37*DATOS!$C$14*(BK37-BJ37*DATOS!$C$14/(DATOS!$C$21*100)/2)/1E5))</f>
        <v/>
      </c>
      <c r="BM37" s="65" t="str">
        <f>IF(V37&lt;&gt;"SÍ","",IF(BG37&lt;0,9.99,IF(BL37&gt;0,AX37/BL37,0)))</f>
        <v/>
      </c>
      <c r="BN37" s="66" t="str">
        <f>IF(V37&lt;&gt;"SÍ","",IF(BJ37=0,"—",0.003*(BK37-(BJ37*DATOS!$C$14/(DATOS!$C$21*100)/DATOS!$C$22))/(BJ37*DATOS!$C$14/(DATOS!$C$21*100)/DATOS!$C$22)))</f>
        <v/>
      </c>
      <c r="BO37" s="58" t="str">
        <f>IF(V37&lt;&gt;"SÍ","",((W37-AF37-INDEX(TABLAS!$C$52:$C$58,MATCH(IF(ISNUMBER(S37),S37,DATOS!$C$138),TABLAS!$B$52:$B$58,0))/2)-IF(AND((W37-AF37-INDEX(TABLAS!$C$52:$C$58,MATCH(IF(ISNUMBER(S37),S37,DATOS!$C$138),TABLAS!$B$52:$B$58,0))/2)&lt;=20,DATOS!$C$65&lt;&gt;"SÍ"),2,0)))</f>
        <v/>
      </c>
      <c r="BP37" s="58" t="str">
        <f>IF(V37&lt;&gt;"SÍ","",IF(AY37&lt;=0,0,IF((1-2*AY37*1E5/(DATOS!$C$29*100*BO37^2*DATOS!$C$21))&lt;0,-1,IF((1-SQRT((1-2*AY37*1E5/(DATOS!$C$29*100*BO37^2*DATOS!$C$21))))*DATOS!$C$21*100*BO37/DATOS!$C$14&gt;DATOS!$C$102*100*BO37,-1,(1-SQRT((1-2*AY37*1E5/(DATOS!$C$29*100*BO37^2*DATOS!$C$21))))*DATOS!$C$21*100*BO37/DATOS!$C$14))))</f>
        <v/>
      </c>
      <c r="BQ37" s="58" t="str">
        <f>IF(V37&lt;&gt;"SÍ","",IF(BP37&lt;0,-1,MAX(BP37,BC37)))</f>
        <v/>
      </c>
      <c r="BR37" s="64" t="str">
        <f>IF(V37&lt;&gt;"SÍ","",IF(AND(BQ37&gt;0,FLOOR(MIN(BD37,100*INDEX(TABLAS!$D$52:$D$58,MIN(MATCH(IF(ISNUMBER(S37),S37,DATOS!$C$138),TABLAS!$B$52:$B$58,0)+0,7))/MAX(BQ37,0.0001)),DATOS!$C$144)&gt;=DATOS!$C$143),INDEX(TABLAS!$B$52:$B$58,MIN(MATCH(IF(ISNUMBER(S37),S37,DATOS!$C$138),TABLAS!$B$52:$B$58,0)+0,7)),IF(AND(BQ37&gt;0,FLOOR(MIN(BD37,100*INDEX(TABLAS!$D$52:$D$58,MIN(MATCH(IF(ISNUMBER(S37),S37,DATOS!$C$138),TABLAS!$B$52:$B$58,0)+1,7))/MAX(BQ37,0.0001)),DATOS!$C$144)&gt;=DATOS!$C$143),INDEX(TABLAS!$B$52:$B$58,MIN(MATCH(IF(ISNUMBER(S37),S37,DATOS!$C$138),TABLAS!$B$52:$B$58,0)+1,7)),IF(AND(BQ37&gt;0,FLOOR(MIN(BD37,100*INDEX(TABLAS!$D$52:$D$58,MIN(MATCH(IF(ISNUMBER(S37),S37,DATOS!$C$138),TABLAS!$B$52:$B$58,0)+2,7))/MAX(BQ37,0.0001)),DATOS!$C$144)&gt;=DATOS!$C$143),INDEX(TABLAS!$B$52:$B$58,MIN(MATCH(IF(ISNUMBER(S37),S37,DATOS!$C$138),TABLAS!$B$52:$B$58,0)+2,7)),IF(AND(BQ37&gt;0,FLOOR(MIN(BD37,100*INDEX(TABLAS!$D$52:$D$58,MIN(MATCH(IF(ISNUMBER(S37),S37,DATOS!$C$138),TABLAS!$B$52:$B$58,0)+3,7))/MAX(BQ37,0.0001)),DATOS!$C$144)&gt;=DATOS!$C$143),INDEX(TABLAS!$B$52:$B$58,MIN(MATCH(IF(ISNUMBER(S37),S37,DATOS!$C$138),TABLAS!$B$52:$B$58,0)+3,7)),IF(AND(BQ37&gt;0,FLOOR(MIN(BD37,100*INDEX(TABLAS!$D$52:$D$58,MIN(MATCH(IF(ISNUMBER(S37),S37,DATOS!$C$138),TABLAS!$B$52:$B$58,0)+4,7))/MAX(BQ37,0.0001)),DATOS!$C$144)&gt;=DATOS!$C$143),INDEX(TABLAS!$B$52:$B$58,MIN(MATCH(IF(ISNUMBER(S37),S37,DATOS!$C$138),TABLAS!$B$52:$B$58,0)+4,7)),INDEX(TABLAS!$B$52:$B$58,7)))))))</f>
        <v/>
      </c>
      <c r="BS37" s="71" t="str">
        <f>IF(V37&lt;&gt;"SÍ","",IF(BQ37&lt;=0,0,FLOOR(MIN(BD37,100*INDEX(TABLAS!$D$52:$D$58,MATCH(BR37,TABLAS!$B$52:$B$58,0))/BQ37),DATOS!$C$144)))</f>
        <v/>
      </c>
      <c r="BT37" s="58" t="str">
        <f>IF(V37&lt;&gt;"SÍ","",IF(BS37&lt;=0,0,INDEX(TABLAS!$D$52:$D$58,MATCH(BR37,TABLAS!$B$52:$B$58,0))*100/BS37))</f>
        <v/>
      </c>
      <c r="BU37" s="58" t="str">
        <f>IF(V37&lt;&gt;"SÍ","",((W37-AF37-INDEX(TABLAS!$C$52:$C$58,MATCH(BR37,TABLAS!$B$52:$B$58,0))/2)-IF(AND((W37-AF37-INDEX(TABLAS!$C$52:$C$58,MATCH(BR37,TABLAS!$B$52:$B$58,0))/2)&lt;=20,DATOS!$C$65&lt;&gt;"SÍ"),2,0)))</f>
        <v/>
      </c>
      <c r="BV37" s="56" t="str">
        <f>IF(V37&lt;&gt;"SÍ","",IF(BT37=0,0,DATOS!$C$29*BT37*DATOS!$C$14*(BU37-BT37*DATOS!$C$14/(DATOS!$C$21*100)/2)/1E5))</f>
        <v/>
      </c>
      <c r="BW37" s="65" t="str">
        <f>IF(V37&lt;&gt;"SÍ","",IF(BQ37&lt;0,9.99,IF(BV37&gt;0,AY37/BV37,0)))</f>
        <v/>
      </c>
      <c r="BX37" s="66" t="str">
        <f>IF(V37&lt;&gt;"SÍ","",IF(BT37=0,"—",0.003*(BU37-(BT37*DATOS!$C$14/(DATOS!$C$21*100)/DATOS!$C$22))/(BT37*DATOS!$C$14/(DATOS!$C$21*100)/DATOS!$C$22)))</f>
        <v/>
      </c>
      <c r="BY37" s="58" t="str">
        <f>IF(V37&lt;&gt;"SÍ","",(W37-AE37-1.5*INDEX(TABLAS!$C$52:$C$58,MATCH(IF(ISNUMBER(S37),S37,DATOS!$C$138),TABLAS!$B$52:$B$58,0))))</f>
        <v/>
      </c>
      <c r="BZ37" s="58" t="str">
        <f>IF(V37&lt;&gt;"SÍ","",IF(AZ37&lt;=0,0,IF((1-2*AZ37*1E5/(DATOS!$C$29*100*BY37^2*DATOS!$C$21))&lt;0,-1,IF((1-SQRT((1-2*AZ37*1E5/(DATOS!$C$29*100*BY37^2*DATOS!$C$21))))*DATOS!$C$21*100*BY37/DATOS!$C$14&gt;DATOS!$C$102*100*BY37,-1,(1-SQRT((1-2*AZ37*1E5/(DATOS!$C$29*100*BY37^2*DATOS!$C$21))))*DATOS!$C$21*100*BY37/DATOS!$C$14))))</f>
        <v/>
      </c>
      <c r="CA37" s="58" t="str">
        <f>IF(V37&lt;&gt;"SÍ","",IF(BZ37&lt;0,-1,MAX(BZ37,BC37)))</f>
        <v/>
      </c>
      <c r="CB37" s="64" t="str">
        <f>IF(V37&lt;&gt;"SÍ","",IF(AND(CA37&gt;0,FLOOR(MIN(BD37,100*INDEX(TABLAS!$D$52:$D$58,MIN(MATCH(IF(ISNUMBER(S37),S37,DATOS!$C$138),TABLAS!$B$52:$B$58,0)+0,7))/MAX(CA37,0.0001)),DATOS!$C$144)&gt;=DATOS!$C$143),INDEX(TABLAS!$B$52:$B$58,MIN(MATCH(IF(ISNUMBER(S37),S37,DATOS!$C$138),TABLAS!$B$52:$B$58,0)+0,7)),IF(AND(CA37&gt;0,FLOOR(MIN(BD37,100*INDEX(TABLAS!$D$52:$D$58,MIN(MATCH(IF(ISNUMBER(S37),S37,DATOS!$C$138),TABLAS!$B$52:$B$58,0)+1,7))/MAX(CA37,0.0001)),DATOS!$C$144)&gt;=DATOS!$C$143),INDEX(TABLAS!$B$52:$B$58,MIN(MATCH(IF(ISNUMBER(S37),S37,DATOS!$C$138),TABLAS!$B$52:$B$58,0)+1,7)),IF(AND(CA37&gt;0,FLOOR(MIN(BD37,100*INDEX(TABLAS!$D$52:$D$58,MIN(MATCH(IF(ISNUMBER(S37),S37,DATOS!$C$138),TABLAS!$B$52:$B$58,0)+2,7))/MAX(CA37,0.0001)),DATOS!$C$144)&gt;=DATOS!$C$143),INDEX(TABLAS!$B$52:$B$58,MIN(MATCH(IF(ISNUMBER(S37),S37,DATOS!$C$138),TABLAS!$B$52:$B$58,0)+2,7)),IF(AND(CA37&gt;0,FLOOR(MIN(BD37,100*INDEX(TABLAS!$D$52:$D$58,MIN(MATCH(IF(ISNUMBER(S37),S37,DATOS!$C$138),TABLAS!$B$52:$B$58,0)+3,7))/MAX(CA37,0.0001)),DATOS!$C$144)&gt;=DATOS!$C$143),INDEX(TABLAS!$B$52:$B$58,MIN(MATCH(IF(ISNUMBER(S37),S37,DATOS!$C$138),TABLAS!$B$52:$B$58,0)+3,7)),IF(AND(CA37&gt;0,FLOOR(MIN(BD37,100*INDEX(TABLAS!$D$52:$D$58,MIN(MATCH(IF(ISNUMBER(S37),S37,DATOS!$C$138),TABLAS!$B$52:$B$58,0)+4,7))/MAX(CA37,0.0001)),DATOS!$C$144)&gt;=DATOS!$C$143),INDEX(TABLAS!$B$52:$B$58,MIN(MATCH(IF(ISNUMBER(S37),S37,DATOS!$C$138),TABLAS!$B$52:$B$58,0)+4,7)),INDEX(TABLAS!$B$52:$B$58,7)))))))</f>
        <v/>
      </c>
      <c r="CC37" s="71" t="str">
        <f>IF(V37&lt;&gt;"SÍ","",IF(CA37&lt;=0,0,FLOOR(MIN(BD37,100*INDEX(TABLAS!$D$52:$D$58,MATCH(CB37,TABLAS!$B$52:$B$58,0))/CA37),DATOS!$C$144)))</f>
        <v/>
      </c>
      <c r="CD37" s="58" t="str">
        <f>IF(V37&lt;&gt;"SÍ","",IF(CC37&lt;=0,0,INDEX(TABLAS!$D$52:$D$58,MATCH(CB37,TABLAS!$B$52:$B$58,0))*100/CC37))</f>
        <v/>
      </c>
      <c r="CE37" s="58" t="str">
        <f>IF(V37&lt;&gt;"SÍ","",W37-AE37-INDEX(TABLAS!$C$52:$C$58,MATCH(BH37,TABLAS!$B$52:$B$58,0))-INDEX(TABLAS!$C$52:$C$58,MATCH(CB37,TABLAS!$B$52:$B$58,0))/2)</f>
        <v/>
      </c>
      <c r="CF37" s="56" t="str">
        <f>IF(V37&lt;&gt;"SÍ","",IF(CD37=0,0,DATOS!$C$29*CD37*DATOS!$C$14*(CE37-CD37*DATOS!$C$14/(DATOS!$C$21*100)/2)/1E5))</f>
        <v/>
      </c>
      <c r="CG37" s="65" t="str">
        <f>IF(V37&lt;&gt;"SÍ","",IF(CA37&lt;0,9.99,IF(CF37&gt;0,AZ37/CF37,0)))</f>
        <v/>
      </c>
      <c r="CH37" s="66" t="str">
        <f>IF(V37&lt;&gt;"SÍ","",IF(CD37=0,"—",0.003*(CE37-(CD37*DATOS!$C$14/(DATOS!$C$21*100)/DATOS!$C$22))/(CD37*DATOS!$C$14/(DATOS!$C$21*100)/DATOS!$C$22)))</f>
        <v/>
      </c>
      <c r="CI37" s="58" t="str">
        <f>IF(V37&lt;&gt;"SÍ","",((W37-AF37-1.5*INDEX(TABLAS!$C$52:$C$58,MATCH(IF(ISNUMBER(S37),S37,DATOS!$C$138),TABLAS!$B$52:$B$58,0)))-IF(AND((W37-AF37-1.5*INDEX(TABLAS!$C$52:$C$58,MATCH(IF(ISNUMBER(S37),S37,DATOS!$C$138),TABLAS!$B$52:$B$58,0)))&lt;=20,DATOS!$C$65&lt;&gt;"SÍ"),2,0)))</f>
        <v/>
      </c>
      <c r="CJ37" s="58" t="str">
        <f>IF(V37&lt;&gt;"SÍ","",IF(BA37&lt;=0,0,IF((1-2*BA37*1E5/(DATOS!$C$29*100*CI37^2*DATOS!$C$21))&lt;0,-1,IF((1-SQRT((1-2*BA37*1E5/(DATOS!$C$29*100*CI37^2*DATOS!$C$21))))*DATOS!$C$21*100*CI37/DATOS!$C$14&gt;DATOS!$C$102*100*CI37,-1,(1-SQRT((1-2*BA37*1E5/(DATOS!$C$29*100*CI37^2*DATOS!$C$21))))*DATOS!$C$21*100*CI37/DATOS!$C$14))))</f>
        <v/>
      </c>
      <c r="CK37" s="58" t="str">
        <f>IF(V37&lt;&gt;"SÍ","",IF(CJ37&lt;0,-1,MAX(CJ37,BC37)))</f>
        <v/>
      </c>
      <c r="CL37" s="64" t="str">
        <f>IF(V37&lt;&gt;"SÍ","",IF(AND(CK37&gt;0,FLOOR(MIN(BD37,100*INDEX(TABLAS!$D$52:$D$58,MIN(MATCH(IF(ISNUMBER(S37),S37,DATOS!$C$138),TABLAS!$B$52:$B$58,0)+0,7))/MAX(CK37,0.0001)),DATOS!$C$144)&gt;=DATOS!$C$143),INDEX(TABLAS!$B$52:$B$58,MIN(MATCH(IF(ISNUMBER(S37),S37,DATOS!$C$138),TABLAS!$B$52:$B$58,0)+0,7)),IF(AND(CK37&gt;0,FLOOR(MIN(BD37,100*INDEX(TABLAS!$D$52:$D$58,MIN(MATCH(IF(ISNUMBER(S37),S37,DATOS!$C$138),TABLAS!$B$52:$B$58,0)+1,7))/MAX(CK37,0.0001)),DATOS!$C$144)&gt;=DATOS!$C$143),INDEX(TABLAS!$B$52:$B$58,MIN(MATCH(IF(ISNUMBER(S37),S37,DATOS!$C$138),TABLAS!$B$52:$B$58,0)+1,7)),IF(AND(CK37&gt;0,FLOOR(MIN(BD37,100*INDEX(TABLAS!$D$52:$D$58,MIN(MATCH(IF(ISNUMBER(S37),S37,DATOS!$C$138),TABLAS!$B$52:$B$58,0)+2,7))/MAX(CK37,0.0001)),DATOS!$C$144)&gt;=DATOS!$C$143),INDEX(TABLAS!$B$52:$B$58,MIN(MATCH(IF(ISNUMBER(S37),S37,DATOS!$C$138),TABLAS!$B$52:$B$58,0)+2,7)),IF(AND(CK37&gt;0,FLOOR(MIN(BD37,100*INDEX(TABLAS!$D$52:$D$58,MIN(MATCH(IF(ISNUMBER(S37),S37,DATOS!$C$138),TABLAS!$B$52:$B$58,0)+3,7))/MAX(CK37,0.0001)),DATOS!$C$144)&gt;=DATOS!$C$143),INDEX(TABLAS!$B$52:$B$58,MIN(MATCH(IF(ISNUMBER(S37),S37,DATOS!$C$138),TABLAS!$B$52:$B$58,0)+3,7)),IF(AND(CK37&gt;0,FLOOR(MIN(BD37,100*INDEX(TABLAS!$D$52:$D$58,MIN(MATCH(IF(ISNUMBER(S37),S37,DATOS!$C$138),TABLAS!$B$52:$B$58,0)+4,7))/MAX(CK37,0.0001)),DATOS!$C$144)&gt;=DATOS!$C$143),INDEX(TABLAS!$B$52:$B$58,MIN(MATCH(IF(ISNUMBER(S37),S37,DATOS!$C$138),TABLAS!$B$52:$B$58,0)+4,7)),INDEX(TABLAS!$B$52:$B$58,7)))))))</f>
        <v/>
      </c>
      <c r="CM37" s="71" t="str">
        <f>IF(V37&lt;&gt;"SÍ","",IF(CK37&lt;=0,0,FLOOR(MIN(BD37,100*INDEX(TABLAS!$D$52:$D$58,MATCH(CL37,TABLAS!$B$52:$B$58,0))/CK37),DATOS!$C$144)))</f>
        <v/>
      </c>
      <c r="CN37" s="58" t="str">
        <f>IF(V37&lt;&gt;"SÍ","",IF(CM37&lt;=0,0,INDEX(TABLAS!$D$52:$D$58,MATCH(CL37,TABLAS!$B$52:$B$58,0))*100/CM37))</f>
        <v/>
      </c>
      <c r="CO37" s="58" t="str">
        <f>IF(V37&lt;&gt;"SÍ","",((W37-AF37-INDEX(TABLAS!$C$52:$C$58,MATCH(BR37,TABLAS!$B$52:$B$58,0))-INDEX(TABLAS!$C$52:$C$58,MATCH(CL37,TABLAS!$B$52:$B$58,0))/2)-IF(AND((W37-AF37-INDEX(TABLAS!$C$52:$C$58,MATCH(BR37,TABLAS!$B$52:$B$58,0))-INDEX(TABLAS!$C$52:$C$58,MATCH(CL37,TABLAS!$B$52:$B$58,0))/2)&lt;=20,DATOS!$C$65&lt;&gt;"SÍ"),2,0)))</f>
        <v/>
      </c>
      <c r="CP37" s="56" t="str">
        <f>IF(V37&lt;&gt;"SÍ","",IF(CN37=0,0,DATOS!$C$29*CN37*DATOS!$C$14*(CO37-CN37*DATOS!$C$14/(DATOS!$C$21*100)/2)/1E5))</f>
        <v/>
      </c>
      <c r="CQ37" s="65" t="str">
        <f>IF(V37&lt;&gt;"SÍ","",IF(CK37&lt;0,9.99,IF(CP37&gt;0,BA37/CP37,0)))</f>
        <v/>
      </c>
      <c r="CR37" s="66" t="str">
        <f>IF(V37&lt;&gt;"SÍ","",IF(CN37=0,"—",0.003*(CO37-(CN37*DATOS!$C$14/(DATOS!$C$21*100)/DATOS!$C$22))/(CN37*DATOS!$C$14/(DATOS!$C$21*100)/DATOS!$C$22)))</f>
        <v/>
      </c>
      <c r="CS37" s="56" t="str">
        <f>IF(V37&lt;&gt;"SÍ","",IF(C37="PERIMETRAL",MAX(0,(AC37/2-BU37)/100)*(0.95-0.5*AB37)*AK37*IF(AND(AL37&gt;0,AL37&lt;4),DATOS!$C$33,1)/1000,(AK37*MAX(0,AC37-BU37)/100+DATOS!$C$26*N(P37))/1000))</f>
        <v/>
      </c>
      <c r="CT37" s="66" t="str">
        <f>IF(V37&lt;&gt;"SÍ","",BT37/(100*BU37))</f>
        <v/>
      </c>
      <c r="CU37" s="56" t="str">
        <f>IF(V37&lt;&gt;"SÍ","",DATOS!$C$30*2*MIN(1,SQRT(2/(1+0.04*BU37)))*CT37^(1/3)*SQRT(DATOS!$C$13)*100*BU37/1000)</f>
        <v/>
      </c>
      <c r="CV37" s="67" t="str">
        <f>IF(V37&lt;&gt;"SÍ","",IF(CS37&lt;=CU37,"CUMPLE","NO CUMPLE: sube h"))</f>
        <v/>
      </c>
      <c r="CW37" s="58" t="str">
        <f>IF(V37&lt;&gt;"SÍ","",IF(C37="PERIMETRAL",IF(ISNUMBER(R37),R37,DATOS!$C$104),0))</f>
        <v/>
      </c>
      <c r="CX37" s="57" t="str">
        <f>IF(V37&lt;&gt;"SÍ","",IF(C37="PERIMETRAL",IF(CW37&gt;2,MAX(9,AD37*(0.8+DATOS!$C$14/14000)/(36+9*(AD37/MAX(AC37,1)))),IF(CW37&gt;0.2,MAX(13,AD37*(0.8+DATOS!$C$14/14000)/(36+5*(AD37/MAX(AC37,1))*(CW37-0.2))),MAX(13,AD37/IF(AL37&gt;0,30,33))))*IF(AND(CW37&gt;0.2,AL37&gt;0,DATOS!$C$105="NO"),1.1,1),Z37*100/DATOS!$C$145*(0.4+DATOS!$C$14/7000)))</f>
        <v/>
      </c>
      <c r="CY37" s="61" t="str">
        <f>IF(V37&lt;&gt;"SÍ","",IF(W37&gt;=CX37-0.001,"CUMPLE",IF(C37="VOLADO","NO CUMPLE","CALCULAR FLECHA")))</f>
        <v/>
      </c>
      <c r="CZ37" s="60" t="str">
        <f>IF(V37&lt;&gt;"SÍ","",IF(C37="VOLADO",MIN(FLOOR(IF(ISNUMBER(Q37),Q37,Z37)*100-DATOS!$C$63,5),CEILING(MAX(IF((0.5*(0.9*W37/100*DATOS!$C$16)*IF(ISNUMBER(Q37),Q37,Z37)+AY37/IF(ISNUMBER(Q37),Q37,Z37))^2-4*(0.5*(0.9*W37/100*DATOS!$C$16))*AY37&lt;0,IF(ISNUMBER(Q37),Q37,Z37),MIN(IF(ISNUMBER(Q37),Q37,Z37),((0.5*(0.9*W37/100*DATOS!$C$16)*IF(ISNUMBER(Q37),Q37,Z37)+AY37/IF(ISNUMBER(Q37),Q37,Z37))-SQRT((0.5*(0.9*W37/100*DATOS!$C$16)*IF(ISNUMBER(Q37),Q37,Z37)+AY37/IF(ISNUMBER(Q37),Q37,Z37))^2-4*(0.5*(0.9*W37/100*DATOS!$C$16))*AY37))/(2*(0.5*(0.9*W37/100*DATOS!$C$16)))))*100+MAX(BU37,12*INDEX(TABLAS!$C$52:$C$58,MATCH(BR37,TABLAS!$B$52:$B$58,0)),IF(ISNUMBER(Q37),Q37,Z37)*100/16),IF(OR(AF37&lt;INDEX(TABLAS!$C$52:$C$58,MATCH(BR37,TABLAS!$B$52:$B$58,0)),BS37-INDEX(TABLAS!$C$52:$C$58,MATCH(BR37,TABLAS!$B$52:$B$58,0))&lt;2*INDEX(TABLAS!$C$52:$C$58,MATCH(BR37,TABLAS!$B$52:$B$58,0))),INDEX(TABLAS!$I$52:$I$58,MATCH(BR37,TABLAS!$B$52:$B$58,0)),INDEX(TABLAS!$F$52:$F$58,MATCH(BR37,TABLAS!$B$52:$B$58,0)))),5)),IF(((4*((AV37*AK37*Z37^2*1E-4/1000)+((MAX(AR37,AT37)*AK37*Z37^2*1E-4/1000)+(IF(AND(AR37&gt;0,AT37&gt;0),MIN(AR37,AT37),MAX(AR37,AT37))*AK37*Z37^2*1E-4/1000))/2)+AY37-(IF(AND(AR37&gt;0,AT37&gt;0),MIN(AR37,AT37),MAX(AR37,AT37))*AK37*Z37^2*1E-4/1000))^2-16*((AV37*AK37*Z37^2*1E-4/1000)+((MAX(AR37,AT37)*AK37*Z37^2*1E-4/1000)+(IF(AND(AR37&gt;0,AT37&gt;0),MIN(AR37,AT37),MAX(AR37,AT37))*AK37*Z37^2*1E-4/1000))/2)*AY37)&lt;0,CEILING(AC37,5),CEILING(MAX(AC37*((4*((AV37*AK37*Z37^2*1E-4/1000)+((MAX(AR37,AT37)*AK37*Z37^2*1E-4/1000)+(IF(AND(AR37&gt;0,AT37&gt;0),MIN(AR37,AT37),MAX(AR37,AT37))*AK37*Z37^2*1E-4/1000))/2)+AY37-(IF(AND(AR37&gt;0,AT37&gt;0),MIN(AR37,AT37),MAX(AR37,AT37))*AK37*Z37^2*1E-4/1000))-SQRT(MAX(0,((4*((AV37*AK37*Z37^2*1E-4/1000)+((MAX(AR37,AT37)*AK37*Z37^2*1E-4/1000)+(IF(AND(AR37&gt;0,AT37&gt;0),MIN(AR37,AT37),MAX(AR37,AT37))*AK37*Z37^2*1E-4/1000))/2)+AY37-(IF(AND(AR37&gt;0,AT37&gt;0),MIN(AR37,AT37),MAX(AR37,AT37))*AK37*Z37^2*1E-4/1000))^2-16*((AV37*AK37*Z37^2*1E-4/1000)+((MAX(AR37,AT37)*AK37*Z37^2*1E-4/1000)+(IF(AND(AR37&gt;0,AT37&gt;0),MIN(AR37,AT37),MAX(AR37,AT37))*AK37*Z37^2*1E-4/1000))/2)*AY37))))/(8*MAX(((AV37*AK37*Z37^2*1E-4/1000)+((MAX(AR37,AT37)*AK37*Z37^2*1E-4/1000)+(IF(AND(AR37&gt;0,AT37&gt;0),MIN(AR37,AT37),MAX(AR37,AT37))*AK37*Z37^2*1E-4/1000))/2),1E-9))+MAX(BU37,12*INDEX(TABLAS!$C$52:$C$58,MATCH(BR37,TABLAS!$B$52:$B$58,0)),AC37/16),IF(OR(AF37&lt;INDEX(TABLAS!$C$52:$C$58,MATCH(BR37,TABLAS!$B$52:$B$58,0)),BS37-INDEX(TABLAS!$C$52:$C$58,MATCH(BR37,TABLAS!$B$52:$B$58,0))&lt;2*INDEX(TABLAS!$C$52:$C$58,MATCH(BR37,TABLAS!$B$52:$B$58,0))),INDEX(TABLAS!$I$52:$I$58,MATCH(BR37,TABLAS!$B$52:$B$58,0)),INDEX(TABLAS!$F$52:$F$58,MATCH(BR37,TABLAS!$B$52:$B$58,0)))),5))))</f>
        <v/>
      </c>
      <c r="DA37" s="60" t="str">
        <f>IF(V37&lt;&gt;"SÍ","",IF(C37="VOLADO",0,IF(((4*((AW37*AK37*Z37^2*1E-4/1000)+((MAX(AS37,AU37)*AK37*Z37^2*1E-4/1000)+(IF(AND(AS37&gt;0,AU37&gt;0),MIN(AS37,AU37),MAX(AS37,AU37))*AK37*Z37^2*1E-4/1000))/2)+BA37-(IF(AND(AS37&gt;0,AU37&gt;0),MIN(AS37,AU37),MAX(AS37,AU37))*AK37*Z37^2*1E-4/1000))^2-16*((AW37*AK37*Z37^2*1E-4/1000)+((MAX(AS37,AU37)*AK37*Z37^2*1E-4/1000)+(IF(AND(AS37&gt;0,AU37&gt;0),MIN(AS37,AU37),MAX(AS37,AU37))*AK37*Z37^2*1E-4/1000))/2)*BA37)&lt;0,CEILING(AD37,5),CEILING(MAX(AD37*((4*((AW37*AK37*Z37^2*1E-4/1000)+((MAX(AS37,AU37)*AK37*Z37^2*1E-4/1000)+(IF(AND(AS37&gt;0,AU37&gt;0),MIN(AS37,AU37),MAX(AS37,AU37))*AK37*Z37^2*1E-4/1000))/2)+BA37-(IF(AND(AS37&gt;0,AU37&gt;0),MIN(AS37,AU37),MAX(AS37,AU37))*AK37*Z37^2*1E-4/1000))-SQRT(MAX(0,((4*((AW37*AK37*Z37^2*1E-4/1000)+((MAX(AS37,AU37)*AK37*Z37^2*1E-4/1000)+(IF(AND(AS37&gt;0,AU37&gt;0),MIN(AS37,AU37),MAX(AS37,AU37))*AK37*Z37^2*1E-4/1000))/2)+BA37-(IF(AND(AS37&gt;0,AU37&gt;0),MIN(AS37,AU37),MAX(AS37,AU37))*AK37*Z37^2*1E-4/1000))^2-16*((AW37*AK37*Z37^2*1E-4/1000)+((MAX(AS37,AU37)*AK37*Z37^2*1E-4/1000)+(IF(AND(AS37&gt;0,AU37&gt;0),MIN(AS37,AU37),MAX(AS37,AU37))*AK37*Z37^2*1E-4/1000))/2)*BA37))))/(8*MAX(((AW37*AK37*Z37^2*1E-4/1000)+((MAX(AS37,AU37)*AK37*Z37^2*1E-4/1000)+(IF(AND(AS37&gt;0,AU37&gt;0),MIN(AS37,AU37),MAX(AS37,AU37))*AK37*Z37^2*1E-4/1000))/2),1E-9))+MAX(CO37,12*INDEX(TABLAS!$C$52:$C$58,MATCH(CL37,TABLAS!$B$52:$B$58,0)),AD37/16),IF(OR(AF37&lt;INDEX(TABLAS!$C$52:$C$58,MATCH(CL37,TABLAS!$B$52:$B$58,0)),CM37-INDEX(TABLAS!$C$52:$C$58,MATCH(CL37,TABLAS!$B$52:$B$58,0))&lt;2*INDEX(TABLAS!$C$52:$C$58,MATCH(CL37,TABLAS!$B$52:$B$58,0))),INDEX(TABLAS!$I$52:$I$58,MATCH(CL37,TABLAS!$B$52:$B$58,0)),INDEX(TABLAS!$F$52:$F$58,MATCH(CL37,TABLAS!$B$52:$B$58,0)))),5))))</f>
        <v/>
      </c>
      <c r="DB37" s="55" t="str">
        <f>IF(V37&lt;&gt;"SÍ","",IF(AND(C37="PERIMETRAL",AL37-AM37&gt;0,AT37&gt;0),"SÍ","NO"))</f>
        <v/>
      </c>
      <c r="DC37" s="55" t="str">
        <f>IF(V37&lt;&gt;"SÍ","",IF(AND(C37="PERIMETRAL",AM37&gt;0,AU37&gt;0),"SÍ","NO"))</f>
        <v/>
      </c>
      <c r="DD37" s="63" t="str">
        <f>IF(V37&lt;&gt;"SÍ","",IF(OR(C37="VOLADO",AL37=0),"—",IF(AND(AND(INDEX(TABLAS!$G$52:$G$58,MATCH(MAX(BR37,CL37),TABLAS!$B$52:$B$58,0))&lt;=(DATOS!$C$75-DATOS!$C$63),(DATOS!$C$75-DATOS!$C$63)&gt;=15),8*INDEX(TABLAS!$C$52:$C$58,MATCH(MAX(BH37,CB37,BR37,CL37),TABLAS!$B$52:$B$58,0))&lt;=DATOS!$C$76-2*DATOS!$C$63),"CUMPLE (gancho de 180°)",IF(AND(INDEX(TABLAS!$G$52:$G$58,MATCH(MAX(BR37,CL37),TABLAS!$B$52:$B$58,0))&lt;=(DATOS!$C$75-DATOS!$C$63),(DATOS!$C$75-DATOS!$C$63)&gt;=15),"NO CUMPLE: el gancho de 180° (8·d_b) no cabe en el peralte de la dala de borde","NO CUMPLE: dala de borde ≥ "&amp;TEXT(CEILING(MAX(INDEX(TABLAS!$G$52:$G$58,MATCH(MAX(BR37,CL37),TABLAS!$B$52:$B$58,0)),15)+DATOS!$C$63,5),"0")&amp;" cm de ancho"&amp;IF(8*INDEX(TABLAS!$C$52:$C$58,MATCH(MAX(BH37,CB37,BR37,CL37),TABLAS!$B$52:$B$58,0))&lt;=DATOS!$C$76-2*DATOS!$C$63,""," y más peralte para el gancho")))))</f>
        <v/>
      </c>
      <c r="DE37" s="69" t="str">
        <f>IF(V37&lt;&gt;"SÍ","",IF(BI37=0,"NO ALCANZA","No. "&amp;BH37&amp;" @ "&amp;BI37&amp;" cm"&amp;IF(C37="VOLADO"," (temperatura)","")))</f>
        <v/>
      </c>
      <c r="DF37" s="69" t="str">
        <f>IF(V37&lt;&gt;"SÍ","",IF(BS37=0,"NO ALCANZA",IF(C37="VOLADO","No. "&amp;BR37&amp;" @ "&amp;BS37&amp;" cm"&amp;" de la orilla al respaldo ("&amp;IF(CZ37&gt;=FLOOR(100*IF(ISNUMBER(Q37),Q37,Z37)-DATOS!$C$63,5),"hasta su apoyo lejano, con gancho","entran "&amp;TEXT(CZ37/100,"0.00")&amp;" m desde el paño")&amp;")","Bastones "&amp;"No. "&amp;BR37&amp;" @ "&amp;BS37&amp;" cm"&amp;", L = "&amp;TEXT(CZ37/100,"0.00")&amp;" m desde el paño")))</f>
        <v/>
      </c>
      <c r="DG37" s="69" t="str">
        <f>IF(V37&lt;&gt;"SÍ","",IF(CC37=0,"NO ALCANZA","No. "&amp;CB37&amp;" @ "&amp;CC37&amp;" cm"&amp;IF(C37="VOLADO"," (repartición)","")))</f>
        <v/>
      </c>
      <c r="DH37" s="69" t="str">
        <f>IF(V37&lt;&gt;"SÍ","",IF(CM37=0,"NO ALCANZA",IF(C37="VOLADO","No. "&amp;CL37&amp;" @ "&amp;CM37&amp;" cm"&amp;" (repartición)","Bastones "&amp;"No. "&amp;CL37&amp;" @ "&amp;CM37&amp;" cm"&amp;", L = "&amp;TEXT(DA37/100,"0.00")&amp;" m desde el paño")))</f>
        <v/>
      </c>
      <c r="DI37" s="67" t="str">
        <f>IF(B37="","",IF(V37&lt;&gt;"SÍ","FALTAN DATOS: tipo, a_x, a_y, destino y, en volados, L_b",IF(L37="NO MONOLÍTICO (caso II)","FUERA DE ALCANCE: caso II no transcrito",IF(AND(C37="VOLADO",X37="?"),"REVISAR: el volado lleva UN solo borde CONTINUO (el empotrado)",IF(AND(MAX(BM37,BW37,CG37,CQ37)&lt;=1,NOT(OR(BI37&lt;DATOS!$C$143,BS37&lt;DATOS!$C$143,CC37&lt;DATOS!$C$143,CM37&lt;DATOS!$C$143)),NOT(OR(AND(ISNUMBER(BN37),BN37&lt;0.005),AND(ISNUMBER(BX37),BX37&lt;0.005),AND(ISNUMBER(CH37),CH37&lt;0.005),AND(ISNUMBER(CR37),CR37&lt;0.005))),CV37="CUMPLE",CY37="CUMPLE"),"CUMPLE"&amp;IF(LEFT(BB37,5)="FUERA"," · fuera de 3.4.2.1 c)","")&amp;IF(LEFT(DD37,2)="NO"," · REVISAR anclaje en borde discontinuo",""),IF(AND(MAX(BM37,BW37,CG37,CQ37)&lt;=1,NOT(OR(BI37&lt;DATOS!$C$143,BS37&lt;DATOS!$C$143,CC37&lt;DATOS!$C$143,CM37&lt;DATOS!$C$143)),NOT(OR(AND(ISNUMBER(BN37),BN37&lt;0.005),AND(ISNUMBER(BX37),BX37&lt;0.005),AND(ISNUMBER(CH37),CH37&lt;0.005),AND(ISNUMBER(CR37),CR37&lt;0.005))),CV37="CUMPLE",CY37="CALCULAR FLECHA"),"REVISAR: calcular flecha (h &lt; h mín.)"&amp;IF(LEFT(BB37,5)="FUERA"," · fuera de 3.4.2.1 c)","")&amp;IF(LEFT(DD37,2)="NO"," · REVISAR anclaje en borde discontinuo",""),"NO CUMPLE: "&amp;IF(MAX(BM37,BW37,CG37,CQ37)&gt;1,"flexión ","")&amp;IF(OR(BI37&lt;DATOS!$C$143,BS37&lt;DATOS!$C$143,CC37&lt;DATOS!$C$143,CM37&lt;DATOS!$C$143),"separación &lt; mínima ","")&amp;IF(OR(AND(ISNUMBER(BN37),BN37&lt;0.005),AND(ISNUMBER(BX37),BX37&lt;0.005),AND(ISNUMBER(CH37),CH37&lt;0.005),AND(ISNUMBER(CR37),CR37&lt;0.005)),"ε_t &lt; 0.005 ","")&amp;IF(CV37&lt;&gt;"CUMPLE","cortante ","")&amp;IF(CY37="NO CUMPLE","peralte","")))))))</f>
        <v/>
      </c>
      <c r="DJ37" s="70" t="str">
        <f>IF(V37&lt;&gt;"SÍ","",IF(LEFT(B37,7)="EJEMPLO","EJEMPLO de tablero típico: bórralo o sobrescríbelo. ","")&amp;IF(C37="VOLADO","Volado de "&amp;TEXT(Z37,"0.00")&amp;" m empotrado en el borde "&amp;LOWER(X37)&amp;IF(N(P37)&gt;0,", con "&amp;TEXT(P37,"0.0")&amp;" kg/m en la orilla","")&amp;". Lecho inferior con r_ext. Si la orilla carga pretil u otro elemento frágil, calcula la flecha (13.4). El acero superior entra al respaldo de "&amp;TEXT(IF(ISNUMBER(Q37),Q37,Z37),"0.00")&amp;" m"&amp;" hasta pasar M = 0 con 0.9·PP sin carga viva; si ahí no se anula, llega al apoyo lejano y se ancla con gancho. ","")&amp;IF(AND(C37="VOLADO",(0.9*W37/100*DATOS!$C$16*IF(ISNUMBER(Q37),Q37,Z37)/2-AY37/IF(ISNUMBER(Q37),Q37,Z37))&lt;0),"Con 0.9·PP y sin carga viva el apoyo lejano del respaldo levanta (R = "&amp;TEXT(-(0.9*W37/100*DATOS!$C$16*IF(ISNUMBER(Q37),Q37,Z37)/2-AY37/IF(ISNUMBER(Q37),Q37,Z37)),"0.00")&amp;" t/m): ancla ahí el acero con gancho y revisa ese apoyo a tensión. ","")&amp;IF(LEFT(BB37,5)="FUERA","El M⁻ del vecino difiere más de 50 % (3.4.2.1 c): distribuye el desequilibrio (3.4.3.1) o confirma con un modelo; se arma con el mayor. ","")&amp;IF(OR(DB37="SÍ",DC37="SÍ"),"Bastones también en los bordes discontinuos (M⁻ de tabla), con gancho. ","")&amp;IF(LEFT(DD37,2)="NO","Anclaje: "&amp;DD37&amp;" (6.7.7.4.1.1). ","")&amp;IF(AND(C37="PERIMETRAL",AM37&gt;=1,AL37-AM37&gt;=1),"Esquinas exteriores sobre muro: refuerzo de esquina arriba y abajo en L_largo/5 (6.7.7.3.1). ",""))</f>
        <v/>
      </c>
    </row>
    <row r="38" ht="33" customHeight="1">
      <c r="A38" s="50">
        <f>IF(B38="",0,1)+A37</f>
        <v>3</v>
      </c>
      <c r="B38" s="29" t="n"/>
      <c r="C38" s="51" t="n"/>
      <c r="D38" s="29" t="n"/>
      <c r="E38" s="52" t="n"/>
      <c r="F38" s="52" t="n"/>
      <c r="G38" s="51" t="n"/>
      <c r="H38" s="51" t="n"/>
      <c r="I38" s="51" t="n"/>
      <c r="J38" s="51" t="n"/>
      <c r="K38" s="51" t="n"/>
      <c r="L38" s="51" t="n"/>
      <c r="M38" s="54" t="n"/>
      <c r="N38" s="53" t="n"/>
      <c r="O38" s="53" t="n"/>
      <c r="P38" s="54" t="n"/>
      <c r="Q38" s="52" t="n"/>
      <c r="R38" s="54" t="n"/>
      <c r="S38" s="53" t="n"/>
      <c r="T38" s="52" t="n"/>
      <c r="U38" s="52" t="n"/>
      <c r="V38" s="55" t="str">
        <f>IF(B38="","",IF(AND(OR(C38="PERIMETRAL",C38="VOLADO"),ISNUMBER(E38),ISNUMBER(F38),E38&gt;0,F38&gt;0,OR(ISNUMBER(O38),ISNUMBER(MATCH(D38,DATOS!$B$46:$B$58,0))),OR(C38&lt;&gt;"VOLADO",N(Q38)&gt;0)),"SÍ","NO"))</f>
        <v/>
      </c>
      <c r="W38" s="57" t="str">
        <f>IF(V38&lt;&gt;"SÍ","",IF(ISNUMBER(M38),M38,DATOS!$C$137))</f>
        <v/>
      </c>
      <c r="X38" s="55" t="str">
        <f>IF(V38&lt;&gt;"SÍ","",IF(C38&lt;&gt;"VOLADO","—",IF(COUNTIF(G38:J38,"CONTINUO")&lt;&gt;1,"?",IF(G38="CONTINUO","INFERIOR",IF(H38="CONTINUO","SUPERIOR",IF(I38="CONTINUO","IZQUIERDO","DERECHO"))))))</f>
        <v/>
      </c>
      <c r="Y38" s="55" t="str">
        <f>IF(V38&lt;&gt;"SÍ","",IF(C38="VOLADO",IF(OR(X38="IZQUIERDO",X38="DERECHO"),"X","Y"),IF(E38&lt;=F38,"X","Y")))</f>
        <v/>
      </c>
      <c r="Z38" s="56" t="str">
        <f>IF(V38&lt;&gt;"SÍ","",IF(C38="VOLADO",IF(Y38="X",E38,F38),MIN(E38,F38)))</f>
        <v/>
      </c>
      <c r="AA38" s="56" t="str">
        <f>IF(V38&lt;&gt;"SÍ","",IF(C38="VOLADO",IF(Y38="X",F38,E38),MAX(E38,F38)))</f>
        <v/>
      </c>
      <c r="AB38" s="56" t="str">
        <f>IF(V38&lt;&gt;"SÍ","",MIN(Z38,AA38)/MAX(Z38,AA38))</f>
        <v/>
      </c>
      <c r="AC38" s="57" t="str">
        <f>IF(V38&lt;&gt;"SÍ","",MAX(1,Z38*100-IF(C38="VOLADO",DATOS!$C$87/2,DATOS!$C$87)))</f>
        <v/>
      </c>
      <c r="AD38" s="57" t="str">
        <f>IF(V38&lt;&gt;"SÍ","",MAX(1,AA38*100-DATOS!$C$87))</f>
        <v/>
      </c>
      <c r="AE38" s="57" t="str">
        <f>IF(V38&lt;&gt;"SÍ","",IF(C38="VOLADO",DATOS!$C$64,DATOS!$C$62))</f>
        <v/>
      </c>
      <c r="AF38" s="57" t="str">
        <f>IF(V38&lt;&gt;"SÍ","",IF(OR(AND(AG38="SÍ",DATOS!$C$66="SÍ"),AND(C38="VOLADO",DATOS!$C$67="SÍ")),DATOS!$C$64,DATOS!$C$62))</f>
        <v/>
      </c>
      <c r="AG38" s="55" t="str">
        <f>IF(V38&lt;&gt;"SÍ","",IFERROR(INDEX(DATOS!$D$46:$D$58,MATCH(D38,DATOS!$B$46:$B$58,0)),"NO"))</f>
        <v/>
      </c>
      <c r="AH38" s="59" t="str">
        <f>IF(V38&lt;&gt;"SÍ","",IF(ISNUMBER(O38),O38,IFERROR(INDEX(DATOS!$C$46:$C$58,MATCH(D38,DATOS!$B$46:$B$58,0)),0)))</f>
        <v/>
      </c>
      <c r="AI38" s="59" t="str">
        <f>IF(V38&lt;&gt;"SÍ","",W38/100*DATOS!$C$16*1000+DATOS!$C$37+DATOS!$C$38)</f>
        <v/>
      </c>
      <c r="AJ38" s="59" t="str">
        <f>IF(V38&lt;&gt;"SÍ","",AI38+N(N38))</f>
        <v/>
      </c>
      <c r="AK38" s="60" t="str">
        <f>IF(V38&lt;&gt;"SÍ","",MAX(DATOS!$C$26*AJ38+DATOS!$C$27*AH38,IF(AG38="SÍ",DATOS!$C$28*(AJ38+DATOS!$C$41),0)))</f>
        <v/>
      </c>
      <c r="AL38" s="59" t="str">
        <f>IF(V38&lt;&gt;"SÍ","",(G38="DISCONTINUO")+(H38="DISCONTINUO")+(I38="DISCONTINUO")+(J38="DISCONTINUO"))</f>
        <v/>
      </c>
      <c r="AM38" s="59" t="str">
        <f>IF(V38&lt;&gt;"SÍ","",IF(Y38="X",(G38="DISCONTINUO")+(H38="DISCONTINUO"),(I38="DISCONTINUO")+(J38="DISCONTINUO")))</f>
        <v/>
      </c>
      <c r="AN38" s="55" t="str">
        <f>IF(V38&lt;&gt;"SÍ","",IF(AL38=0,"INTERIOR",IF(AL38=1,IF(AM38=1,"BORDE-CORTO","BORDE-LARGO"),IF(AL38=2,IF(AM38=1,"ESQUINA",IF(AM38=2,"EXTREMO-LARGO","EXTREMO-CORTO")),IF(AL38=3,IF(AM38=2,"EXTREMO-LARGO","EXTREMO-CORTO"),"AISLADO")))))</f>
        <v/>
      </c>
      <c r="AO38" s="61" t="str">
        <f>IF(V38&lt;&gt;"SÍ","",IF(OR(K38="",K38="AUTO"),AN38,K38))</f>
        <v/>
      </c>
      <c r="AP38" s="59" t="str">
        <f>IF(V38&lt;&gt;"SÍ","",MATCH(AB38,TABLAS!$D$5:$J$5,1))</f>
        <v/>
      </c>
      <c r="AQ38" s="58" t="str">
        <f>IF(V38&lt;&gt;"SÍ","",IF(AP38&gt;=7,0,(AB38-INDEX(TABLAS!$D$5:$J$5,AP38))/(INDEX(TABLAS!$D$5:$J$5,AP38+1)-INDEX(TABLAS!$D$5:$J$5,AP38))))</f>
        <v/>
      </c>
      <c r="AR38" s="59" t="str">
        <f>IF(V38&lt;&gt;"SÍ","",INDEX(TABLAS!$D$6:$J$47,MATCH(AO38&amp;"|NIC",TABLAS!$B$6:$B$47,0),AP38)+AQ38*(INDEX(TABLAS!$D$6:$J$47,MATCH(AO38&amp;"|NIC",TABLAS!$B$6:$B$47,0),MIN(AP38+1,7))-INDEX(TABLAS!$D$6:$J$47,MATCH(AO38&amp;"|NIC",TABLAS!$B$6:$B$47,0),AP38)))</f>
        <v/>
      </c>
      <c r="AS38" s="59" t="str">
        <f>IF(V38&lt;&gt;"SÍ","",INDEX(TABLAS!$D$6:$J$47,MATCH(AO38&amp;"|NIL",TABLAS!$B$6:$B$47,0),AP38)+AQ38*(INDEX(TABLAS!$D$6:$J$47,MATCH(AO38&amp;"|NIL",TABLAS!$B$6:$B$47,0),MIN(AP38+1,7))-INDEX(TABLAS!$D$6:$J$47,MATCH(AO38&amp;"|NIL",TABLAS!$B$6:$B$47,0),AP38)))</f>
        <v/>
      </c>
      <c r="AT38" s="59" t="str">
        <f>IF(V38&lt;&gt;"SÍ","",INDEX(TABLAS!$D$6:$J$47,MATCH(AO38&amp;"|NDC",TABLAS!$B$6:$B$47,0),AP38)+AQ38*(INDEX(TABLAS!$D$6:$J$47,MATCH(AO38&amp;"|NDC",TABLAS!$B$6:$B$47,0),MIN(AP38+1,7))-INDEX(TABLAS!$D$6:$J$47,MATCH(AO38&amp;"|NDC",TABLAS!$B$6:$B$47,0),AP38)))</f>
        <v/>
      </c>
      <c r="AU38" s="59" t="str">
        <f>IF(V38&lt;&gt;"SÍ","",INDEX(TABLAS!$D$6:$J$47,MATCH(AO38&amp;"|NDL",TABLAS!$B$6:$B$47,0),AP38)+AQ38*(INDEX(TABLAS!$D$6:$J$47,MATCH(AO38&amp;"|NDL",TABLAS!$B$6:$B$47,0),MIN(AP38+1,7))-INDEX(TABLAS!$D$6:$J$47,MATCH(AO38&amp;"|NDL",TABLAS!$B$6:$B$47,0),AP38)))</f>
        <v/>
      </c>
      <c r="AV38" s="59" t="str">
        <f>IF(V38&lt;&gt;"SÍ","",INDEX(TABLAS!$D$6:$J$47,MATCH(AO38&amp;"|PC",TABLAS!$B$6:$B$47,0),AP38)+AQ38*(INDEX(TABLAS!$D$6:$J$47,MATCH(AO38&amp;"|PC",TABLAS!$B$6:$B$47,0),MIN(AP38+1,7))-INDEX(TABLAS!$D$6:$J$47,MATCH(AO38&amp;"|PC",TABLAS!$B$6:$B$47,0),AP38)))</f>
        <v/>
      </c>
      <c r="AW38" s="59" t="str">
        <f>IF(V38&lt;&gt;"SÍ","",INDEX(TABLAS!$D$6:$J$47,MATCH(AO38&amp;"|PL",TABLAS!$B$6:$B$47,0),AP38)+AQ38*(INDEX(TABLAS!$D$6:$J$47,MATCH(AO38&amp;"|PL",TABLAS!$B$6:$B$47,0),MIN(AP38+1,7))-INDEX(TABLAS!$D$6:$J$47,MATCH(AO38&amp;"|PL",TABLAS!$B$6:$B$47,0),AP38)))</f>
        <v/>
      </c>
      <c r="AX38" s="56" t="str">
        <f>IF(V38&lt;&gt;"SÍ","",IF(C38="PERIMETRAL",AV38*AK38*Z38^2*1E-4/1000,0))</f>
        <v/>
      </c>
      <c r="AY38" s="62" t="str">
        <f>IF(V38&lt;&gt;"SÍ","",IF(C38="PERIMETRAL",MAX(MAX(AR38,AT38)*AK38*Z38^2*1E-4/1000,N(T38)),(AK38*(AC38/100)^2/2+DATOS!$C$26*N(P38)*AC38/100)/1000))</f>
        <v/>
      </c>
      <c r="AZ38" s="56" t="str">
        <f>IF(V38&lt;&gt;"SÍ","",IF(C38="PERIMETRAL",AW38*AK38*Z38^2*1E-4/1000,0))</f>
        <v/>
      </c>
      <c r="BA38" s="56" t="str">
        <f>IF(V38&lt;&gt;"SÍ","",IF(C38="PERIMETRAL",MAX(MAX(AS38,AU38)*AK38*Z38^2*1E-4/1000,N(U38)),0))</f>
        <v/>
      </c>
      <c r="BB38" s="63" t="str">
        <f>IF(V38&lt;&gt;"SÍ","",IF(C38&lt;&gt;"PERIMETRAL","—",IF(AND(N(T38)=0,N(U38)=0),"— (sin M⁻ del vecino)",IF(OR(AND(N(T38)&gt;0,ABS(MAX(AR38,AT38)*AK38*Z38^2*1E-4/1000-N(T38))&gt;0.5*MIN(MAX(AR38,AT38)*AK38*Z38^2*1E-4/1000,N(T38))),AND(N(U38)&gt;0,ABS(MAX(AS38,AU38)*AK38*Z38^2*1E-4/1000-N(U38))&gt;0.5*MIN(MAX(AS38,AU38)*AK38*Z38^2*1E-4/1000,N(U38)))),"FUERA: difieren &gt; 50 %"&amp;IF(AND(N(T38)&gt;0,ABS(MAX(AR38,AT38)*AK38*Z38^2*1E-4/1000-N(T38))&gt;0.5*MIN(MAX(AR38,AT38)*AK38*Z38^2*1E-4/1000,N(T38)))," ‖ corto","")&amp;IF(AND(N(U38)&gt;0,ABS(MAX(AS38,AU38)*AK38*Z38^2*1E-4/1000-N(U38))&gt;0.5*MIN(MAX(AS38,AU38)*AK38*Z38^2*1E-4/1000,N(U38)))," ‖ largo",""),"CUMPLE"))))</f>
        <v/>
      </c>
      <c r="BC38" s="58" t="str">
        <f>IF(V38&lt;&gt;"SÍ","",DATOS!$C$139*100*W38)</f>
        <v/>
      </c>
      <c r="BD38" s="57" t="str">
        <f>IF(V38&lt;&gt;"SÍ","",MIN(IF(C38="VOLADO",DATOS!$C$141,DATOS!$C$140)*W38,DATOS!$C$142))</f>
        <v/>
      </c>
      <c r="BE38" s="58" t="str">
        <f>IF(V38&lt;&gt;"SÍ","",(W38-AE38-INDEX(TABLAS!$C$52:$C$58,MATCH(IF(ISNUMBER(S38),S38,DATOS!$C$138),TABLAS!$B$52:$B$58,0))/2))</f>
        <v/>
      </c>
      <c r="BF38" s="58" t="str">
        <f>IF(V38&lt;&gt;"SÍ","",IF(AX38&lt;=0,0,IF((1-2*AX38*1E5/(DATOS!$C$29*100*BE38^2*DATOS!$C$21))&lt;0,-1,IF((1-SQRT((1-2*AX38*1E5/(DATOS!$C$29*100*BE38^2*DATOS!$C$21))))*DATOS!$C$21*100*BE38/DATOS!$C$14&gt;DATOS!$C$102*100*BE38,-1,(1-SQRT((1-2*AX38*1E5/(DATOS!$C$29*100*BE38^2*DATOS!$C$21))))*DATOS!$C$21*100*BE38/DATOS!$C$14))))</f>
        <v/>
      </c>
      <c r="BG38" s="58" t="str">
        <f>IF(V38&lt;&gt;"SÍ","",IF(BF38&lt;0,-1,MAX(BF38,BC38)))</f>
        <v/>
      </c>
      <c r="BH38" s="64" t="str">
        <f>IF(V38&lt;&gt;"SÍ","",IF(AND(BG38&gt;0,FLOOR(MIN(BD38,100*INDEX(TABLAS!$D$52:$D$58,MIN(MATCH(IF(ISNUMBER(S38),S38,DATOS!$C$138),TABLAS!$B$52:$B$58,0)+0,7))/MAX(BG38,0.0001)),DATOS!$C$144)&gt;=DATOS!$C$143),INDEX(TABLAS!$B$52:$B$58,MIN(MATCH(IF(ISNUMBER(S38),S38,DATOS!$C$138),TABLAS!$B$52:$B$58,0)+0,7)),IF(AND(BG38&gt;0,FLOOR(MIN(BD38,100*INDEX(TABLAS!$D$52:$D$58,MIN(MATCH(IF(ISNUMBER(S38),S38,DATOS!$C$138),TABLAS!$B$52:$B$58,0)+1,7))/MAX(BG38,0.0001)),DATOS!$C$144)&gt;=DATOS!$C$143),INDEX(TABLAS!$B$52:$B$58,MIN(MATCH(IF(ISNUMBER(S38),S38,DATOS!$C$138),TABLAS!$B$52:$B$58,0)+1,7)),IF(AND(BG38&gt;0,FLOOR(MIN(BD38,100*INDEX(TABLAS!$D$52:$D$58,MIN(MATCH(IF(ISNUMBER(S38),S38,DATOS!$C$138),TABLAS!$B$52:$B$58,0)+2,7))/MAX(BG38,0.0001)),DATOS!$C$144)&gt;=DATOS!$C$143),INDEX(TABLAS!$B$52:$B$58,MIN(MATCH(IF(ISNUMBER(S38),S38,DATOS!$C$138),TABLAS!$B$52:$B$58,0)+2,7)),IF(AND(BG38&gt;0,FLOOR(MIN(BD38,100*INDEX(TABLAS!$D$52:$D$58,MIN(MATCH(IF(ISNUMBER(S38),S38,DATOS!$C$138),TABLAS!$B$52:$B$58,0)+3,7))/MAX(BG38,0.0001)),DATOS!$C$144)&gt;=DATOS!$C$143),INDEX(TABLAS!$B$52:$B$58,MIN(MATCH(IF(ISNUMBER(S38),S38,DATOS!$C$138),TABLAS!$B$52:$B$58,0)+3,7)),IF(AND(BG38&gt;0,FLOOR(MIN(BD38,100*INDEX(TABLAS!$D$52:$D$58,MIN(MATCH(IF(ISNUMBER(S38),S38,DATOS!$C$138),TABLAS!$B$52:$B$58,0)+4,7))/MAX(BG38,0.0001)),DATOS!$C$144)&gt;=DATOS!$C$143),INDEX(TABLAS!$B$52:$B$58,MIN(MATCH(IF(ISNUMBER(S38),S38,DATOS!$C$138),TABLAS!$B$52:$B$58,0)+4,7)),INDEX(TABLAS!$B$52:$B$58,7)))))))</f>
        <v/>
      </c>
      <c r="BI38" s="71" t="str">
        <f>IF(V38&lt;&gt;"SÍ","",IF(BG38&lt;=0,0,FLOOR(MIN(BD38,100*INDEX(TABLAS!$D$52:$D$58,MATCH(BH38,TABLAS!$B$52:$B$58,0))/BG38),DATOS!$C$144)))</f>
        <v/>
      </c>
      <c r="BJ38" s="58" t="str">
        <f>IF(V38&lt;&gt;"SÍ","",IF(BI38&lt;=0,0,INDEX(TABLAS!$D$52:$D$58,MATCH(BH38,TABLAS!$B$52:$B$58,0))*100/BI38))</f>
        <v/>
      </c>
      <c r="BK38" s="58" t="str">
        <f>IF(V38&lt;&gt;"SÍ","",W38-AE38-INDEX(TABLAS!$C$52:$C$58,MATCH(BH38,TABLAS!$B$52:$B$58,0))/2)</f>
        <v/>
      </c>
      <c r="BL38" s="56" t="str">
        <f>IF(V38&lt;&gt;"SÍ","",IF(BJ38=0,0,DATOS!$C$29*BJ38*DATOS!$C$14*(BK38-BJ38*DATOS!$C$14/(DATOS!$C$21*100)/2)/1E5))</f>
        <v/>
      </c>
      <c r="BM38" s="65" t="str">
        <f>IF(V38&lt;&gt;"SÍ","",IF(BG38&lt;0,9.99,IF(BL38&gt;0,AX38/BL38,0)))</f>
        <v/>
      </c>
      <c r="BN38" s="66" t="str">
        <f>IF(V38&lt;&gt;"SÍ","",IF(BJ38=0,"—",0.003*(BK38-(BJ38*DATOS!$C$14/(DATOS!$C$21*100)/DATOS!$C$22))/(BJ38*DATOS!$C$14/(DATOS!$C$21*100)/DATOS!$C$22)))</f>
        <v/>
      </c>
      <c r="BO38" s="58" t="str">
        <f>IF(V38&lt;&gt;"SÍ","",((W38-AF38-INDEX(TABLAS!$C$52:$C$58,MATCH(IF(ISNUMBER(S38),S38,DATOS!$C$138),TABLAS!$B$52:$B$58,0))/2)-IF(AND((W38-AF38-INDEX(TABLAS!$C$52:$C$58,MATCH(IF(ISNUMBER(S38),S38,DATOS!$C$138),TABLAS!$B$52:$B$58,0))/2)&lt;=20,DATOS!$C$65&lt;&gt;"SÍ"),2,0)))</f>
        <v/>
      </c>
      <c r="BP38" s="58" t="str">
        <f>IF(V38&lt;&gt;"SÍ","",IF(AY38&lt;=0,0,IF((1-2*AY38*1E5/(DATOS!$C$29*100*BO38^2*DATOS!$C$21))&lt;0,-1,IF((1-SQRT((1-2*AY38*1E5/(DATOS!$C$29*100*BO38^2*DATOS!$C$21))))*DATOS!$C$21*100*BO38/DATOS!$C$14&gt;DATOS!$C$102*100*BO38,-1,(1-SQRT((1-2*AY38*1E5/(DATOS!$C$29*100*BO38^2*DATOS!$C$21))))*DATOS!$C$21*100*BO38/DATOS!$C$14))))</f>
        <v/>
      </c>
      <c r="BQ38" s="58" t="str">
        <f>IF(V38&lt;&gt;"SÍ","",IF(BP38&lt;0,-1,MAX(BP38,BC38)))</f>
        <v/>
      </c>
      <c r="BR38" s="64" t="str">
        <f>IF(V38&lt;&gt;"SÍ","",IF(AND(BQ38&gt;0,FLOOR(MIN(BD38,100*INDEX(TABLAS!$D$52:$D$58,MIN(MATCH(IF(ISNUMBER(S38),S38,DATOS!$C$138),TABLAS!$B$52:$B$58,0)+0,7))/MAX(BQ38,0.0001)),DATOS!$C$144)&gt;=DATOS!$C$143),INDEX(TABLAS!$B$52:$B$58,MIN(MATCH(IF(ISNUMBER(S38),S38,DATOS!$C$138),TABLAS!$B$52:$B$58,0)+0,7)),IF(AND(BQ38&gt;0,FLOOR(MIN(BD38,100*INDEX(TABLAS!$D$52:$D$58,MIN(MATCH(IF(ISNUMBER(S38),S38,DATOS!$C$138),TABLAS!$B$52:$B$58,0)+1,7))/MAX(BQ38,0.0001)),DATOS!$C$144)&gt;=DATOS!$C$143),INDEX(TABLAS!$B$52:$B$58,MIN(MATCH(IF(ISNUMBER(S38),S38,DATOS!$C$138),TABLAS!$B$52:$B$58,0)+1,7)),IF(AND(BQ38&gt;0,FLOOR(MIN(BD38,100*INDEX(TABLAS!$D$52:$D$58,MIN(MATCH(IF(ISNUMBER(S38),S38,DATOS!$C$138),TABLAS!$B$52:$B$58,0)+2,7))/MAX(BQ38,0.0001)),DATOS!$C$144)&gt;=DATOS!$C$143),INDEX(TABLAS!$B$52:$B$58,MIN(MATCH(IF(ISNUMBER(S38),S38,DATOS!$C$138),TABLAS!$B$52:$B$58,0)+2,7)),IF(AND(BQ38&gt;0,FLOOR(MIN(BD38,100*INDEX(TABLAS!$D$52:$D$58,MIN(MATCH(IF(ISNUMBER(S38),S38,DATOS!$C$138),TABLAS!$B$52:$B$58,0)+3,7))/MAX(BQ38,0.0001)),DATOS!$C$144)&gt;=DATOS!$C$143),INDEX(TABLAS!$B$52:$B$58,MIN(MATCH(IF(ISNUMBER(S38),S38,DATOS!$C$138),TABLAS!$B$52:$B$58,0)+3,7)),IF(AND(BQ38&gt;0,FLOOR(MIN(BD38,100*INDEX(TABLAS!$D$52:$D$58,MIN(MATCH(IF(ISNUMBER(S38),S38,DATOS!$C$138),TABLAS!$B$52:$B$58,0)+4,7))/MAX(BQ38,0.0001)),DATOS!$C$144)&gt;=DATOS!$C$143),INDEX(TABLAS!$B$52:$B$58,MIN(MATCH(IF(ISNUMBER(S38),S38,DATOS!$C$138),TABLAS!$B$52:$B$58,0)+4,7)),INDEX(TABLAS!$B$52:$B$58,7)))))))</f>
        <v/>
      </c>
      <c r="BS38" s="71" t="str">
        <f>IF(V38&lt;&gt;"SÍ","",IF(BQ38&lt;=0,0,FLOOR(MIN(BD38,100*INDEX(TABLAS!$D$52:$D$58,MATCH(BR38,TABLAS!$B$52:$B$58,0))/BQ38),DATOS!$C$144)))</f>
        <v/>
      </c>
      <c r="BT38" s="58" t="str">
        <f>IF(V38&lt;&gt;"SÍ","",IF(BS38&lt;=0,0,INDEX(TABLAS!$D$52:$D$58,MATCH(BR38,TABLAS!$B$52:$B$58,0))*100/BS38))</f>
        <v/>
      </c>
      <c r="BU38" s="58" t="str">
        <f>IF(V38&lt;&gt;"SÍ","",((W38-AF38-INDEX(TABLAS!$C$52:$C$58,MATCH(BR38,TABLAS!$B$52:$B$58,0))/2)-IF(AND((W38-AF38-INDEX(TABLAS!$C$52:$C$58,MATCH(BR38,TABLAS!$B$52:$B$58,0))/2)&lt;=20,DATOS!$C$65&lt;&gt;"SÍ"),2,0)))</f>
        <v/>
      </c>
      <c r="BV38" s="56" t="str">
        <f>IF(V38&lt;&gt;"SÍ","",IF(BT38=0,0,DATOS!$C$29*BT38*DATOS!$C$14*(BU38-BT38*DATOS!$C$14/(DATOS!$C$21*100)/2)/1E5))</f>
        <v/>
      </c>
      <c r="BW38" s="65" t="str">
        <f>IF(V38&lt;&gt;"SÍ","",IF(BQ38&lt;0,9.99,IF(BV38&gt;0,AY38/BV38,0)))</f>
        <v/>
      </c>
      <c r="BX38" s="66" t="str">
        <f>IF(V38&lt;&gt;"SÍ","",IF(BT38=0,"—",0.003*(BU38-(BT38*DATOS!$C$14/(DATOS!$C$21*100)/DATOS!$C$22))/(BT38*DATOS!$C$14/(DATOS!$C$21*100)/DATOS!$C$22)))</f>
        <v/>
      </c>
      <c r="BY38" s="58" t="str">
        <f>IF(V38&lt;&gt;"SÍ","",(W38-AE38-1.5*INDEX(TABLAS!$C$52:$C$58,MATCH(IF(ISNUMBER(S38),S38,DATOS!$C$138),TABLAS!$B$52:$B$58,0))))</f>
        <v/>
      </c>
      <c r="BZ38" s="58" t="str">
        <f>IF(V38&lt;&gt;"SÍ","",IF(AZ38&lt;=0,0,IF((1-2*AZ38*1E5/(DATOS!$C$29*100*BY38^2*DATOS!$C$21))&lt;0,-1,IF((1-SQRT((1-2*AZ38*1E5/(DATOS!$C$29*100*BY38^2*DATOS!$C$21))))*DATOS!$C$21*100*BY38/DATOS!$C$14&gt;DATOS!$C$102*100*BY38,-1,(1-SQRT((1-2*AZ38*1E5/(DATOS!$C$29*100*BY38^2*DATOS!$C$21))))*DATOS!$C$21*100*BY38/DATOS!$C$14))))</f>
        <v/>
      </c>
      <c r="CA38" s="58" t="str">
        <f>IF(V38&lt;&gt;"SÍ","",IF(BZ38&lt;0,-1,MAX(BZ38,BC38)))</f>
        <v/>
      </c>
      <c r="CB38" s="64" t="str">
        <f>IF(V38&lt;&gt;"SÍ","",IF(AND(CA38&gt;0,FLOOR(MIN(BD38,100*INDEX(TABLAS!$D$52:$D$58,MIN(MATCH(IF(ISNUMBER(S38),S38,DATOS!$C$138),TABLAS!$B$52:$B$58,0)+0,7))/MAX(CA38,0.0001)),DATOS!$C$144)&gt;=DATOS!$C$143),INDEX(TABLAS!$B$52:$B$58,MIN(MATCH(IF(ISNUMBER(S38),S38,DATOS!$C$138),TABLAS!$B$52:$B$58,0)+0,7)),IF(AND(CA38&gt;0,FLOOR(MIN(BD38,100*INDEX(TABLAS!$D$52:$D$58,MIN(MATCH(IF(ISNUMBER(S38),S38,DATOS!$C$138),TABLAS!$B$52:$B$58,0)+1,7))/MAX(CA38,0.0001)),DATOS!$C$144)&gt;=DATOS!$C$143),INDEX(TABLAS!$B$52:$B$58,MIN(MATCH(IF(ISNUMBER(S38),S38,DATOS!$C$138),TABLAS!$B$52:$B$58,0)+1,7)),IF(AND(CA38&gt;0,FLOOR(MIN(BD38,100*INDEX(TABLAS!$D$52:$D$58,MIN(MATCH(IF(ISNUMBER(S38),S38,DATOS!$C$138),TABLAS!$B$52:$B$58,0)+2,7))/MAX(CA38,0.0001)),DATOS!$C$144)&gt;=DATOS!$C$143),INDEX(TABLAS!$B$52:$B$58,MIN(MATCH(IF(ISNUMBER(S38),S38,DATOS!$C$138),TABLAS!$B$52:$B$58,0)+2,7)),IF(AND(CA38&gt;0,FLOOR(MIN(BD38,100*INDEX(TABLAS!$D$52:$D$58,MIN(MATCH(IF(ISNUMBER(S38),S38,DATOS!$C$138),TABLAS!$B$52:$B$58,0)+3,7))/MAX(CA38,0.0001)),DATOS!$C$144)&gt;=DATOS!$C$143),INDEX(TABLAS!$B$52:$B$58,MIN(MATCH(IF(ISNUMBER(S38),S38,DATOS!$C$138),TABLAS!$B$52:$B$58,0)+3,7)),IF(AND(CA38&gt;0,FLOOR(MIN(BD38,100*INDEX(TABLAS!$D$52:$D$58,MIN(MATCH(IF(ISNUMBER(S38),S38,DATOS!$C$138),TABLAS!$B$52:$B$58,0)+4,7))/MAX(CA38,0.0001)),DATOS!$C$144)&gt;=DATOS!$C$143),INDEX(TABLAS!$B$52:$B$58,MIN(MATCH(IF(ISNUMBER(S38),S38,DATOS!$C$138),TABLAS!$B$52:$B$58,0)+4,7)),INDEX(TABLAS!$B$52:$B$58,7)))))))</f>
        <v/>
      </c>
      <c r="CC38" s="71" t="str">
        <f>IF(V38&lt;&gt;"SÍ","",IF(CA38&lt;=0,0,FLOOR(MIN(BD38,100*INDEX(TABLAS!$D$52:$D$58,MATCH(CB38,TABLAS!$B$52:$B$58,0))/CA38),DATOS!$C$144)))</f>
        <v/>
      </c>
      <c r="CD38" s="58" t="str">
        <f>IF(V38&lt;&gt;"SÍ","",IF(CC38&lt;=0,0,INDEX(TABLAS!$D$52:$D$58,MATCH(CB38,TABLAS!$B$52:$B$58,0))*100/CC38))</f>
        <v/>
      </c>
      <c r="CE38" s="58" t="str">
        <f>IF(V38&lt;&gt;"SÍ","",W38-AE38-INDEX(TABLAS!$C$52:$C$58,MATCH(BH38,TABLAS!$B$52:$B$58,0))-INDEX(TABLAS!$C$52:$C$58,MATCH(CB38,TABLAS!$B$52:$B$58,0))/2)</f>
        <v/>
      </c>
      <c r="CF38" s="56" t="str">
        <f>IF(V38&lt;&gt;"SÍ","",IF(CD38=0,0,DATOS!$C$29*CD38*DATOS!$C$14*(CE38-CD38*DATOS!$C$14/(DATOS!$C$21*100)/2)/1E5))</f>
        <v/>
      </c>
      <c r="CG38" s="65" t="str">
        <f>IF(V38&lt;&gt;"SÍ","",IF(CA38&lt;0,9.99,IF(CF38&gt;0,AZ38/CF38,0)))</f>
        <v/>
      </c>
      <c r="CH38" s="66" t="str">
        <f>IF(V38&lt;&gt;"SÍ","",IF(CD38=0,"—",0.003*(CE38-(CD38*DATOS!$C$14/(DATOS!$C$21*100)/DATOS!$C$22))/(CD38*DATOS!$C$14/(DATOS!$C$21*100)/DATOS!$C$22)))</f>
        <v/>
      </c>
      <c r="CI38" s="58" t="str">
        <f>IF(V38&lt;&gt;"SÍ","",((W38-AF38-1.5*INDEX(TABLAS!$C$52:$C$58,MATCH(IF(ISNUMBER(S38),S38,DATOS!$C$138),TABLAS!$B$52:$B$58,0)))-IF(AND((W38-AF38-1.5*INDEX(TABLAS!$C$52:$C$58,MATCH(IF(ISNUMBER(S38),S38,DATOS!$C$138),TABLAS!$B$52:$B$58,0)))&lt;=20,DATOS!$C$65&lt;&gt;"SÍ"),2,0)))</f>
        <v/>
      </c>
      <c r="CJ38" s="58" t="str">
        <f>IF(V38&lt;&gt;"SÍ","",IF(BA38&lt;=0,0,IF((1-2*BA38*1E5/(DATOS!$C$29*100*CI38^2*DATOS!$C$21))&lt;0,-1,IF((1-SQRT((1-2*BA38*1E5/(DATOS!$C$29*100*CI38^2*DATOS!$C$21))))*DATOS!$C$21*100*CI38/DATOS!$C$14&gt;DATOS!$C$102*100*CI38,-1,(1-SQRT((1-2*BA38*1E5/(DATOS!$C$29*100*CI38^2*DATOS!$C$21))))*DATOS!$C$21*100*CI38/DATOS!$C$14))))</f>
        <v/>
      </c>
      <c r="CK38" s="58" t="str">
        <f>IF(V38&lt;&gt;"SÍ","",IF(CJ38&lt;0,-1,MAX(CJ38,BC38)))</f>
        <v/>
      </c>
      <c r="CL38" s="64" t="str">
        <f>IF(V38&lt;&gt;"SÍ","",IF(AND(CK38&gt;0,FLOOR(MIN(BD38,100*INDEX(TABLAS!$D$52:$D$58,MIN(MATCH(IF(ISNUMBER(S38),S38,DATOS!$C$138),TABLAS!$B$52:$B$58,0)+0,7))/MAX(CK38,0.0001)),DATOS!$C$144)&gt;=DATOS!$C$143),INDEX(TABLAS!$B$52:$B$58,MIN(MATCH(IF(ISNUMBER(S38),S38,DATOS!$C$138),TABLAS!$B$52:$B$58,0)+0,7)),IF(AND(CK38&gt;0,FLOOR(MIN(BD38,100*INDEX(TABLAS!$D$52:$D$58,MIN(MATCH(IF(ISNUMBER(S38),S38,DATOS!$C$138),TABLAS!$B$52:$B$58,0)+1,7))/MAX(CK38,0.0001)),DATOS!$C$144)&gt;=DATOS!$C$143),INDEX(TABLAS!$B$52:$B$58,MIN(MATCH(IF(ISNUMBER(S38),S38,DATOS!$C$138),TABLAS!$B$52:$B$58,0)+1,7)),IF(AND(CK38&gt;0,FLOOR(MIN(BD38,100*INDEX(TABLAS!$D$52:$D$58,MIN(MATCH(IF(ISNUMBER(S38),S38,DATOS!$C$138),TABLAS!$B$52:$B$58,0)+2,7))/MAX(CK38,0.0001)),DATOS!$C$144)&gt;=DATOS!$C$143),INDEX(TABLAS!$B$52:$B$58,MIN(MATCH(IF(ISNUMBER(S38),S38,DATOS!$C$138),TABLAS!$B$52:$B$58,0)+2,7)),IF(AND(CK38&gt;0,FLOOR(MIN(BD38,100*INDEX(TABLAS!$D$52:$D$58,MIN(MATCH(IF(ISNUMBER(S38),S38,DATOS!$C$138),TABLAS!$B$52:$B$58,0)+3,7))/MAX(CK38,0.0001)),DATOS!$C$144)&gt;=DATOS!$C$143),INDEX(TABLAS!$B$52:$B$58,MIN(MATCH(IF(ISNUMBER(S38),S38,DATOS!$C$138),TABLAS!$B$52:$B$58,0)+3,7)),IF(AND(CK38&gt;0,FLOOR(MIN(BD38,100*INDEX(TABLAS!$D$52:$D$58,MIN(MATCH(IF(ISNUMBER(S38),S38,DATOS!$C$138),TABLAS!$B$52:$B$58,0)+4,7))/MAX(CK38,0.0001)),DATOS!$C$144)&gt;=DATOS!$C$143),INDEX(TABLAS!$B$52:$B$58,MIN(MATCH(IF(ISNUMBER(S38),S38,DATOS!$C$138),TABLAS!$B$52:$B$58,0)+4,7)),INDEX(TABLAS!$B$52:$B$58,7)))))))</f>
        <v/>
      </c>
      <c r="CM38" s="71" t="str">
        <f>IF(V38&lt;&gt;"SÍ","",IF(CK38&lt;=0,0,FLOOR(MIN(BD38,100*INDEX(TABLAS!$D$52:$D$58,MATCH(CL38,TABLAS!$B$52:$B$58,0))/CK38),DATOS!$C$144)))</f>
        <v/>
      </c>
      <c r="CN38" s="58" t="str">
        <f>IF(V38&lt;&gt;"SÍ","",IF(CM38&lt;=0,0,INDEX(TABLAS!$D$52:$D$58,MATCH(CL38,TABLAS!$B$52:$B$58,0))*100/CM38))</f>
        <v/>
      </c>
      <c r="CO38" s="58" t="str">
        <f>IF(V38&lt;&gt;"SÍ","",((W38-AF38-INDEX(TABLAS!$C$52:$C$58,MATCH(BR38,TABLAS!$B$52:$B$58,0))-INDEX(TABLAS!$C$52:$C$58,MATCH(CL38,TABLAS!$B$52:$B$58,0))/2)-IF(AND((W38-AF38-INDEX(TABLAS!$C$52:$C$58,MATCH(BR38,TABLAS!$B$52:$B$58,0))-INDEX(TABLAS!$C$52:$C$58,MATCH(CL38,TABLAS!$B$52:$B$58,0))/2)&lt;=20,DATOS!$C$65&lt;&gt;"SÍ"),2,0)))</f>
        <v/>
      </c>
      <c r="CP38" s="56" t="str">
        <f>IF(V38&lt;&gt;"SÍ","",IF(CN38=0,0,DATOS!$C$29*CN38*DATOS!$C$14*(CO38-CN38*DATOS!$C$14/(DATOS!$C$21*100)/2)/1E5))</f>
        <v/>
      </c>
      <c r="CQ38" s="65" t="str">
        <f>IF(V38&lt;&gt;"SÍ","",IF(CK38&lt;0,9.99,IF(CP38&gt;0,BA38/CP38,0)))</f>
        <v/>
      </c>
      <c r="CR38" s="66" t="str">
        <f>IF(V38&lt;&gt;"SÍ","",IF(CN38=0,"—",0.003*(CO38-(CN38*DATOS!$C$14/(DATOS!$C$21*100)/DATOS!$C$22))/(CN38*DATOS!$C$14/(DATOS!$C$21*100)/DATOS!$C$22)))</f>
        <v/>
      </c>
      <c r="CS38" s="56" t="str">
        <f>IF(V38&lt;&gt;"SÍ","",IF(C38="PERIMETRAL",MAX(0,(AC38/2-BU38)/100)*(0.95-0.5*AB38)*AK38*IF(AND(AL38&gt;0,AL38&lt;4),DATOS!$C$33,1)/1000,(AK38*MAX(0,AC38-BU38)/100+DATOS!$C$26*N(P38))/1000))</f>
        <v/>
      </c>
      <c r="CT38" s="66" t="str">
        <f>IF(V38&lt;&gt;"SÍ","",BT38/(100*BU38))</f>
        <v/>
      </c>
      <c r="CU38" s="56" t="str">
        <f>IF(V38&lt;&gt;"SÍ","",DATOS!$C$30*2*MIN(1,SQRT(2/(1+0.04*BU38)))*CT38^(1/3)*SQRT(DATOS!$C$13)*100*BU38/1000)</f>
        <v/>
      </c>
      <c r="CV38" s="67" t="str">
        <f>IF(V38&lt;&gt;"SÍ","",IF(CS38&lt;=CU38,"CUMPLE","NO CUMPLE: sube h"))</f>
        <v/>
      </c>
      <c r="CW38" s="58" t="str">
        <f>IF(V38&lt;&gt;"SÍ","",IF(C38="PERIMETRAL",IF(ISNUMBER(R38),R38,DATOS!$C$104),0))</f>
        <v/>
      </c>
      <c r="CX38" s="57" t="str">
        <f>IF(V38&lt;&gt;"SÍ","",IF(C38="PERIMETRAL",IF(CW38&gt;2,MAX(9,AD38*(0.8+DATOS!$C$14/14000)/(36+9*(AD38/MAX(AC38,1)))),IF(CW38&gt;0.2,MAX(13,AD38*(0.8+DATOS!$C$14/14000)/(36+5*(AD38/MAX(AC38,1))*(CW38-0.2))),MAX(13,AD38/IF(AL38&gt;0,30,33))))*IF(AND(CW38&gt;0.2,AL38&gt;0,DATOS!$C$105="NO"),1.1,1),Z38*100/DATOS!$C$145*(0.4+DATOS!$C$14/7000)))</f>
        <v/>
      </c>
      <c r="CY38" s="61" t="str">
        <f>IF(V38&lt;&gt;"SÍ","",IF(W38&gt;=CX38-0.001,"CUMPLE",IF(C38="VOLADO","NO CUMPLE","CALCULAR FLECHA")))</f>
        <v/>
      </c>
      <c r="CZ38" s="60" t="str">
        <f>IF(V38&lt;&gt;"SÍ","",IF(C38="VOLADO",MIN(FLOOR(IF(ISNUMBER(Q38),Q38,Z38)*100-DATOS!$C$63,5),CEILING(MAX(IF((0.5*(0.9*W38/100*DATOS!$C$16)*IF(ISNUMBER(Q38),Q38,Z38)+AY38/IF(ISNUMBER(Q38),Q38,Z38))^2-4*(0.5*(0.9*W38/100*DATOS!$C$16))*AY38&lt;0,IF(ISNUMBER(Q38),Q38,Z38),MIN(IF(ISNUMBER(Q38),Q38,Z38),((0.5*(0.9*W38/100*DATOS!$C$16)*IF(ISNUMBER(Q38),Q38,Z38)+AY38/IF(ISNUMBER(Q38),Q38,Z38))-SQRT((0.5*(0.9*W38/100*DATOS!$C$16)*IF(ISNUMBER(Q38),Q38,Z38)+AY38/IF(ISNUMBER(Q38),Q38,Z38))^2-4*(0.5*(0.9*W38/100*DATOS!$C$16))*AY38))/(2*(0.5*(0.9*W38/100*DATOS!$C$16)))))*100+MAX(BU38,12*INDEX(TABLAS!$C$52:$C$58,MATCH(BR38,TABLAS!$B$52:$B$58,0)),IF(ISNUMBER(Q38),Q38,Z38)*100/16),IF(OR(AF38&lt;INDEX(TABLAS!$C$52:$C$58,MATCH(BR38,TABLAS!$B$52:$B$58,0)),BS38-INDEX(TABLAS!$C$52:$C$58,MATCH(BR38,TABLAS!$B$52:$B$58,0))&lt;2*INDEX(TABLAS!$C$52:$C$58,MATCH(BR38,TABLAS!$B$52:$B$58,0))),INDEX(TABLAS!$I$52:$I$58,MATCH(BR38,TABLAS!$B$52:$B$58,0)),INDEX(TABLAS!$F$52:$F$58,MATCH(BR38,TABLAS!$B$52:$B$58,0)))),5)),IF(((4*((AV38*AK38*Z38^2*1E-4/1000)+((MAX(AR38,AT38)*AK38*Z38^2*1E-4/1000)+(IF(AND(AR38&gt;0,AT38&gt;0),MIN(AR38,AT38),MAX(AR38,AT38))*AK38*Z38^2*1E-4/1000))/2)+AY38-(IF(AND(AR38&gt;0,AT38&gt;0),MIN(AR38,AT38),MAX(AR38,AT38))*AK38*Z38^2*1E-4/1000))^2-16*((AV38*AK38*Z38^2*1E-4/1000)+((MAX(AR38,AT38)*AK38*Z38^2*1E-4/1000)+(IF(AND(AR38&gt;0,AT38&gt;0),MIN(AR38,AT38),MAX(AR38,AT38))*AK38*Z38^2*1E-4/1000))/2)*AY38)&lt;0,CEILING(AC38,5),CEILING(MAX(AC38*((4*((AV38*AK38*Z38^2*1E-4/1000)+((MAX(AR38,AT38)*AK38*Z38^2*1E-4/1000)+(IF(AND(AR38&gt;0,AT38&gt;0),MIN(AR38,AT38),MAX(AR38,AT38))*AK38*Z38^2*1E-4/1000))/2)+AY38-(IF(AND(AR38&gt;0,AT38&gt;0),MIN(AR38,AT38),MAX(AR38,AT38))*AK38*Z38^2*1E-4/1000))-SQRT(MAX(0,((4*((AV38*AK38*Z38^2*1E-4/1000)+((MAX(AR38,AT38)*AK38*Z38^2*1E-4/1000)+(IF(AND(AR38&gt;0,AT38&gt;0),MIN(AR38,AT38),MAX(AR38,AT38))*AK38*Z38^2*1E-4/1000))/2)+AY38-(IF(AND(AR38&gt;0,AT38&gt;0),MIN(AR38,AT38),MAX(AR38,AT38))*AK38*Z38^2*1E-4/1000))^2-16*((AV38*AK38*Z38^2*1E-4/1000)+((MAX(AR38,AT38)*AK38*Z38^2*1E-4/1000)+(IF(AND(AR38&gt;0,AT38&gt;0),MIN(AR38,AT38),MAX(AR38,AT38))*AK38*Z38^2*1E-4/1000))/2)*AY38))))/(8*MAX(((AV38*AK38*Z38^2*1E-4/1000)+((MAX(AR38,AT38)*AK38*Z38^2*1E-4/1000)+(IF(AND(AR38&gt;0,AT38&gt;0),MIN(AR38,AT38),MAX(AR38,AT38))*AK38*Z38^2*1E-4/1000))/2),1E-9))+MAX(BU38,12*INDEX(TABLAS!$C$52:$C$58,MATCH(BR38,TABLAS!$B$52:$B$58,0)),AC38/16),IF(OR(AF38&lt;INDEX(TABLAS!$C$52:$C$58,MATCH(BR38,TABLAS!$B$52:$B$58,0)),BS38-INDEX(TABLAS!$C$52:$C$58,MATCH(BR38,TABLAS!$B$52:$B$58,0))&lt;2*INDEX(TABLAS!$C$52:$C$58,MATCH(BR38,TABLAS!$B$52:$B$58,0))),INDEX(TABLAS!$I$52:$I$58,MATCH(BR38,TABLAS!$B$52:$B$58,0)),INDEX(TABLAS!$F$52:$F$58,MATCH(BR38,TABLAS!$B$52:$B$58,0)))),5))))</f>
        <v/>
      </c>
      <c r="DA38" s="60" t="str">
        <f>IF(V38&lt;&gt;"SÍ","",IF(C38="VOLADO",0,IF(((4*((AW38*AK38*Z38^2*1E-4/1000)+((MAX(AS38,AU38)*AK38*Z38^2*1E-4/1000)+(IF(AND(AS38&gt;0,AU38&gt;0),MIN(AS38,AU38),MAX(AS38,AU38))*AK38*Z38^2*1E-4/1000))/2)+BA38-(IF(AND(AS38&gt;0,AU38&gt;0),MIN(AS38,AU38),MAX(AS38,AU38))*AK38*Z38^2*1E-4/1000))^2-16*((AW38*AK38*Z38^2*1E-4/1000)+((MAX(AS38,AU38)*AK38*Z38^2*1E-4/1000)+(IF(AND(AS38&gt;0,AU38&gt;0),MIN(AS38,AU38),MAX(AS38,AU38))*AK38*Z38^2*1E-4/1000))/2)*BA38)&lt;0,CEILING(AD38,5),CEILING(MAX(AD38*((4*((AW38*AK38*Z38^2*1E-4/1000)+((MAX(AS38,AU38)*AK38*Z38^2*1E-4/1000)+(IF(AND(AS38&gt;0,AU38&gt;0),MIN(AS38,AU38),MAX(AS38,AU38))*AK38*Z38^2*1E-4/1000))/2)+BA38-(IF(AND(AS38&gt;0,AU38&gt;0),MIN(AS38,AU38),MAX(AS38,AU38))*AK38*Z38^2*1E-4/1000))-SQRT(MAX(0,((4*((AW38*AK38*Z38^2*1E-4/1000)+((MAX(AS38,AU38)*AK38*Z38^2*1E-4/1000)+(IF(AND(AS38&gt;0,AU38&gt;0),MIN(AS38,AU38),MAX(AS38,AU38))*AK38*Z38^2*1E-4/1000))/2)+BA38-(IF(AND(AS38&gt;0,AU38&gt;0),MIN(AS38,AU38),MAX(AS38,AU38))*AK38*Z38^2*1E-4/1000))^2-16*((AW38*AK38*Z38^2*1E-4/1000)+((MAX(AS38,AU38)*AK38*Z38^2*1E-4/1000)+(IF(AND(AS38&gt;0,AU38&gt;0),MIN(AS38,AU38),MAX(AS38,AU38))*AK38*Z38^2*1E-4/1000))/2)*BA38))))/(8*MAX(((AW38*AK38*Z38^2*1E-4/1000)+((MAX(AS38,AU38)*AK38*Z38^2*1E-4/1000)+(IF(AND(AS38&gt;0,AU38&gt;0),MIN(AS38,AU38),MAX(AS38,AU38))*AK38*Z38^2*1E-4/1000))/2),1E-9))+MAX(CO38,12*INDEX(TABLAS!$C$52:$C$58,MATCH(CL38,TABLAS!$B$52:$B$58,0)),AD38/16),IF(OR(AF38&lt;INDEX(TABLAS!$C$52:$C$58,MATCH(CL38,TABLAS!$B$52:$B$58,0)),CM38-INDEX(TABLAS!$C$52:$C$58,MATCH(CL38,TABLAS!$B$52:$B$58,0))&lt;2*INDEX(TABLAS!$C$52:$C$58,MATCH(CL38,TABLAS!$B$52:$B$58,0))),INDEX(TABLAS!$I$52:$I$58,MATCH(CL38,TABLAS!$B$52:$B$58,0)),INDEX(TABLAS!$F$52:$F$58,MATCH(CL38,TABLAS!$B$52:$B$58,0)))),5))))</f>
        <v/>
      </c>
      <c r="DB38" s="55" t="str">
        <f>IF(V38&lt;&gt;"SÍ","",IF(AND(C38="PERIMETRAL",AL38-AM38&gt;0,AT38&gt;0),"SÍ","NO"))</f>
        <v/>
      </c>
      <c r="DC38" s="55" t="str">
        <f>IF(V38&lt;&gt;"SÍ","",IF(AND(C38="PERIMETRAL",AM38&gt;0,AU38&gt;0),"SÍ","NO"))</f>
        <v/>
      </c>
      <c r="DD38" s="63" t="str">
        <f>IF(V38&lt;&gt;"SÍ","",IF(OR(C38="VOLADO",AL38=0),"—",IF(AND(AND(INDEX(TABLAS!$G$52:$G$58,MATCH(MAX(BR38,CL38),TABLAS!$B$52:$B$58,0))&lt;=(DATOS!$C$75-DATOS!$C$63),(DATOS!$C$75-DATOS!$C$63)&gt;=15),8*INDEX(TABLAS!$C$52:$C$58,MATCH(MAX(BH38,CB38,BR38,CL38),TABLAS!$B$52:$B$58,0))&lt;=DATOS!$C$76-2*DATOS!$C$63),"CUMPLE (gancho de 180°)",IF(AND(INDEX(TABLAS!$G$52:$G$58,MATCH(MAX(BR38,CL38),TABLAS!$B$52:$B$58,0))&lt;=(DATOS!$C$75-DATOS!$C$63),(DATOS!$C$75-DATOS!$C$63)&gt;=15),"NO CUMPLE: el gancho de 180° (8·d_b) no cabe en el peralte de la dala de borde","NO CUMPLE: dala de borde ≥ "&amp;TEXT(CEILING(MAX(INDEX(TABLAS!$G$52:$G$58,MATCH(MAX(BR38,CL38),TABLAS!$B$52:$B$58,0)),15)+DATOS!$C$63,5),"0")&amp;" cm de ancho"&amp;IF(8*INDEX(TABLAS!$C$52:$C$58,MATCH(MAX(BH38,CB38,BR38,CL38),TABLAS!$B$52:$B$58,0))&lt;=DATOS!$C$76-2*DATOS!$C$63,""," y más peralte para el gancho")))))</f>
        <v/>
      </c>
      <c r="DE38" s="69" t="str">
        <f>IF(V38&lt;&gt;"SÍ","",IF(BI38=0,"NO ALCANZA","No. "&amp;BH38&amp;" @ "&amp;BI38&amp;" cm"&amp;IF(C38="VOLADO"," (temperatura)","")))</f>
        <v/>
      </c>
      <c r="DF38" s="69" t="str">
        <f>IF(V38&lt;&gt;"SÍ","",IF(BS38=0,"NO ALCANZA",IF(C38="VOLADO","No. "&amp;BR38&amp;" @ "&amp;BS38&amp;" cm"&amp;" de la orilla al respaldo ("&amp;IF(CZ38&gt;=FLOOR(100*IF(ISNUMBER(Q38),Q38,Z38)-DATOS!$C$63,5),"hasta su apoyo lejano, con gancho","entran "&amp;TEXT(CZ38/100,"0.00")&amp;" m desde el paño")&amp;")","Bastones "&amp;"No. "&amp;BR38&amp;" @ "&amp;BS38&amp;" cm"&amp;", L = "&amp;TEXT(CZ38/100,"0.00")&amp;" m desde el paño")))</f>
        <v/>
      </c>
      <c r="DG38" s="69" t="str">
        <f>IF(V38&lt;&gt;"SÍ","",IF(CC38=0,"NO ALCANZA","No. "&amp;CB38&amp;" @ "&amp;CC38&amp;" cm"&amp;IF(C38="VOLADO"," (repartición)","")))</f>
        <v/>
      </c>
      <c r="DH38" s="69" t="str">
        <f>IF(V38&lt;&gt;"SÍ","",IF(CM38=0,"NO ALCANZA",IF(C38="VOLADO","No. "&amp;CL38&amp;" @ "&amp;CM38&amp;" cm"&amp;" (repartición)","Bastones "&amp;"No. "&amp;CL38&amp;" @ "&amp;CM38&amp;" cm"&amp;", L = "&amp;TEXT(DA38/100,"0.00")&amp;" m desde el paño")))</f>
        <v/>
      </c>
      <c r="DI38" s="67" t="str">
        <f>IF(B38="","",IF(V38&lt;&gt;"SÍ","FALTAN DATOS: tipo, a_x, a_y, destino y, en volados, L_b",IF(L38="NO MONOLÍTICO (caso II)","FUERA DE ALCANCE: caso II no transcrito",IF(AND(C38="VOLADO",X38="?"),"REVISAR: el volado lleva UN solo borde CONTINUO (el empotrado)",IF(AND(MAX(BM38,BW38,CG38,CQ38)&lt;=1,NOT(OR(BI38&lt;DATOS!$C$143,BS38&lt;DATOS!$C$143,CC38&lt;DATOS!$C$143,CM38&lt;DATOS!$C$143)),NOT(OR(AND(ISNUMBER(BN38),BN38&lt;0.005),AND(ISNUMBER(BX38),BX38&lt;0.005),AND(ISNUMBER(CH38),CH38&lt;0.005),AND(ISNUMBER(CR38),CR38&lt;0.005))),CV38="CUMPLE",CY38="CUMPLE"),"CUMPLE"&amp;IF(LEFT(BB38,5)="FUERA"," · fuera de 3.4.2.1 c)","")&amp;IF(LEFT(DD38,2)="NO"," · REVISAR anclaje en borde discontinuo",""),IF(AND(MAX(BM38,BW38,CG38,CQ38)&lt;=1,NOT(OR(BI38&lt;DATOS!$C$143,BS38&lt;DATOS!$C$143,CC38&lt;DATOS!$C$143,CM38&lt;DATOS!$C$143)),NOT(OR(AND(ISNUMBER(BN38),BN38&lt;0.005),AND(ISNUMBER(BX38),BX38&lt;0.005),AND(ISNUMBER(CH38),CH38&lt;0.005),AND(ISNUMBER(CR38),CR38&lt;0.005))),CV38="CUMPLE",CY38="CALCULAR FLECHA"),"REVISAR: calcular flecha (h &lt; h mín.)"&amp;IF(LEFT(BB38,5)="FUERA"," · fuera de 3.4.2.1 c)","")&amp;IF(LEFT(DD38,2)="NO"," · REVISAR anclaje en borde discontinuo",""),"NO CUMPLE: "&amp;IF(MAX(BM38,BW38,CG38,CQ38)&gt;1,"flexión ","")&amp;IF(OR(BI38&lt;DATOS!$C$143,BS38&lt;DATOS!$C$143,CC38&lt;DATOS!$C$143,CM38&lt;DATOS!$C$143),"separación &lt; mínima ","")&amp;IF(OR(AND(ISNUMBER(BN38),BN38&lt;0.005),AND(ISNUMBER(BX38),BX38&lt;0.005),AND(ISNUMBER(CH38),CH38&lt;0.005),AND(ISNUMBER(CR38),CR38&lt;0.005)),"ε_t &lt; 0.005 ","")&amp;IF(CV38&lt;&gt;"CUMPLE","cortante ","")&amp;IF(CY38="NO CUMPLE","peralte","")))))))</f>
        <v/>
      </c>
      <c r="DJ38" s="70" t="str">
        <f>IF(V38&lt;&gt;"SÍ","",IF(LEFT(B38,7)="EJEMPLO","EJEMPLO de tablero típico: bórralo o sobrescríbelo. ","")&amp;IF(C38="VOLADO","Volado de "&amp;TEXT(Z38,"0.00")&amp;" m empotrado en el borde "&amp;LOWER(X38)&amp;IF(N(P38)&gt;0,", con "&amp;TEXT(P38,"0.0")&amp;" kg/m en la orilla","")&amp;". Lecho inferior con r_ext. Si la orilla carga pretil u otro elemento frágil, calcula la flecha (13.4). El acero superior entra al respaldo de "&amp;TEXT(IF(ISNUMBER(Q38),Q38,Z38),"0.00")&amp;" m"&amp;" hasta pasar M = 0 con 0.9·PP sin carga viva; si ahí no se anula, llega al apoyo lejano y se ancla con gancho. ","")&amp;IF(AND(C38="VOLADO",(0.9*W38/100*DATOS!$C$16*IF(ISNUMBER(Q38),Q38,Z38)/2-AY38/IF(ISNUMBER(Q38),Q38,Z38))&lt;0),"Con 0.9·PP y sin carga viva el apoyo lejano del respaldo levanta (R = "&amp;TEXT(-(0.9*W38/100*DATOS!$C$16*IF(ISNUMBER(Q38),Q38,Z38)/2-AY38/IF(ISNUMBER(Q38),Q38,Z38)),"0.00")&amp;" t/m): ancla ahí el acero con gancho y revisa ese apoyo a tensión. ","")&amp;IF(LEFT(BB38,5)="FUERA","El M⁻ del vecino difiere más de 50 % (3.4.2.1 c): distribuye el desequilibrio (3.4.3.1) o confirma con un modelo; se arma con el mayor. ","")&amp;IF(OR(DB38="SÍ",DC38="SÍ"),"Bastones también en los bordes discontinuos (M⁻ de tabla), con gancho. ","")&amp;IF(LEFT(DD38,2)="NO","Anclaje: "&amp;DD38&amp;" (6.7.7.4.1.1). ","")&amp;IF(AND(C38="PERIMETRAL",AM38&gt;=1,AL38-AM38&gt;=1),"Esquinas exteriores sobre muro: refuerzo de esquina arriba y abajo en L_largo/5 (6.7.7.3.1). ",""))</f>
        <v/>
      </c>
    </row>
    <row r="39" ht="33" customHeight="1">
      <c r="A39" s="50">
        <f>IF(B39="",0,1)+A38</f>
        <v>3</v>
      </c>
      <c r="B39" s="29" t="n"/>
      <c r="C39" s="51" t="n"/>
      <c r="D39" s="29" t="n"/>
      <c r="E39" s="52" t="n"/>
      <c r="F39" s="52" t="n"/>
      <c r="G39" s="51" t="n"/>
      <c r="H39" s="51" t="n"/>
      <c r="I39" s="51" t="n"/>
      <c r="J39" s="51" t="n"/>
      <c r="K39" s="51" t="n"/>
      <c r="L39" s="51" t="n"/>
      <c r="M39" s="54" t="n"/>
      <c r="N39" s="53" t="n"/>
      <c r="O39" s="53" t="n"/>
      <c r="P39" s="54" t="n"/>
      <c r="Q39" s="52" t="n"/>
      <c r="R39" s="54" t="n"/>
      <c r="S39" s="53" t="n"/>
      <c r="T39" s="52" t="n"/>
      <c r="U39" s="52" t="n"/>
      <c r="V39" s="55" t="str">
        <f>IF(B39="","",IF(AND(OR(C39="PERIMETRAL",C39="VOLADO"),ISNUMBER(E39),ISNUMBER(F39),E39&gt;0,F39&gt;0,OR(ISNUMBER(O39),ISNUMBER(MATCH(D39,DATOS!$B$46:$B$58,0))),OR(C39&lt;&gt;"VOLADO",N(Q39)&gt;0)),"SÍ","NO"))</f>
        <v/>
      </c>
      <c r="W39" s="57" t="str">
        <f>IF(V39&lt;&gt;"SÍ","",IF(ISNUMBER(M39),M39,DATOS!$C$137))</f>
        <v/>
      </c>
      <c r="X39" s="55" t="str">
        <f>IF(V39&lt;&gt;"SÍ","",IF(C39&lt;&gt;"VOLADO","—",IF(COUNTIF(G39:J39,"CONTINUO")&lt;&gt;1,"?",IF(G39="CONTINUO","INFERIOR",IF(H39="CONTINUO","SUPERIOR",IF(I39="CONTINUO","IZQUIERDO","DERECHO"))))))</f>
        <v/>
      </c>
      <c r="Y39" s="55" t="str">
        <f>IF(V39&lt;&gt;"SÍ","",IF(C39="VOLADO",IF(OR(X39="IZQUIERDO",X39="DERECHO"),"X","Y"),IF(E39&lt;=F39,"X","Y")))</f>
        <v/>
      </c>
      <c r="Z39" s="56" t="str">
        <f>IF(V39&lt;&gt;"SÍ","",IF(C39="VOLADO",IF(Y39="X",E39,F39),MIN(E39,F39)))</f>
        <v/>
      </c>
      <c r="AA39" s="56" t="str">
        <f>IF(V39&lt;&gt;"SÍ","",IF(C39="VOLADO",IF(Y39="X",F39,E39),MAX(E39,F39)))</f>
        <v/>
      </c>
      <c r="AB39" s="56" t="str">
        <f>IF(V39&lt;&gt;"SÍ","",MIN(Z39,AA39)/MAX(Z39,AA39))</f>
        <v/>
      </c>
      <c r="AC39" s="57" t="str">
        <f>IF(V39&lt;&gt;"SÍ","",MAX(1,Z39*100-IF(C39="VOLADO",DATOS!$C$87/2,DATOS!$C$87)))</f>
        <v/>
      </c>
      <c r="AD39" s="57" t="str">
        <f>IF(V39&lt;&gt;"SÍ","",MAX(1,AA39*100-DATOS!$C$87))</f>
        <v/>
      </c>
      <c r="AE39" s="57" t="str">
        <f>IF(V39&lt;&gt;"SÍ","",IF(C39="VOLADO",DATOS!$C$64,DATOS!$C$62))</f>
        <v/>
      </c>
      <c r="AF39" s="57" t="str">
        <f>IF(V39&lt;&gt;"SÍ","",IF(OR(AND(AG39="SÍ",DATOS!$C$66="SÍ"),AND(C39="VOLADO",DATOS!$C$67="SÍ")),DATOS!$C$64,DATOS!$C$62))</f>
        <v/>
      </c>
      <c r="AG39" s="55" t="str">
        <f>IF(V39&lt;&gt;"SÍ","",IFERROR(INDEX(DATOS!$D$46:$D$58,MATCH(D39,DATOS!$B$46:$B$58,0)),"NO"))</f>
        <v/>
      </c>
      <c r="AH39" s="59" t="str">
        <f>IF(V39&lt;&gt;"SÍ","",IF(ISNUMBER(O39),O39,IFERROR(INDEX(DATOS!$C$46:$C$58,MATCH(D39,DATOS!$B$46:$B$58,0)),0)))</f>
        <v/>
      </c>
      <c r="AI39" s="59" t="str">
        <f>IF(V39&lt;&gt;"SÍ","",W39/100*DATOS!$C$16*1000+DATOS!$C$37+DATOS!$C$38)</f>
        <v/>
      </c>
      <c r="AJ39" s="59" t="str">
        <f>IF(V39&lt;&gt;"SÍ","",AI39+N(N39))</f>
        <v/>
      </c>
      <c r="AK39" s="60" t="str">
        <f>IF(V39&lt;&gt;"SÍ","",MAX(DATOS!$C$26*AJ39+DATOS!$C$27*AH39,IF(AG39="SÍ",DATOS!$C$28*(AJ39+DATOS!$C$41),0)))</f>
        <v/>
      </c>
      <c r="AL39" s="59" t="str">
        <f>IF(V39&lt;&gt;"SÍ","",(G39="DISCONTINUO")+(H39="DISCONTINUO")+(I39="DISCONTINUO")+(J39="DISCONTINUO"))</f>
        <v/>
      </c>
      <c r="AM39" s="59" t="str">
        <f>IF(V39&lt;&gt;"SÍ","",IF(Y39="X",(G39="DISCONTINUO")+(H39="DISCONTINUO"),(I39="DISCONTINUO")+(J39="DISCONTINUO")))</f>
        <v/>
      </c>
      <c r="AN39" s="55" t="str">
        <f>IF(V39&lt;&gt;"SÍ","",IF(AL39=0,"INTERIOR",IF(AL39=1,IF(AM39=1,"BORDE-CORTO","BORDE-LARGO"),IF(AL39=2,IF(AM39=1,"ESQUINA",IF(AM39=2,"EXTREMO-LARGO","EXTREMO-CORTO")),IF(AL39=3,IF(AM39=2,"EXTREMO-LARGO","EXTREMO-CORTO"),"AISLADO")))))</f>
        <v/>
      </c>
      <c r="AO39" s="61" t="str">
        <f>IF(V39&lt;&gt;"SÍ","",IF(OR(K39="",K39="AUTO"),AN39,K39))</f>
        <v/>
      </c>
      <c r="AP39" s="59" t="str">
        <f>IF(V39&lt;&gt;"SÍ","",MATCH(AB39,TABLAS!$D$5:$J$5,1))</f>
        <v/>
      </c>
      <c r="AQ39" s="58" t="str">
        <f>IF(V39&lt;&gt;"SÍ","",IF(AP39&gt;=7,0,(AB39-INDEX(TABLAS!$D$5:$J$5,AP39))/(INDEX(TABLAS!$D$5:$J$5,AP39+1)-INDEX(TABLAS!$D$5:$J$5,AP39))))</f>
        <v/>
      </c>
      <c r="AR39" s="59" t="str">
        <f>IF(V39&lt;&gt;"SÍ","",INDEX(TABLAS!$D$6:$J$47,MATCH(AO39&amp;"|NIC",TABLAS!$B$6:$B$47,0),AP39)+AQ39*(INDEX(TABLAS!$D$6:$J$47,MATCH(AO39&amp;"|NIC",TABLAS!$B$6:$B$47,0),MIN(AP39+1,7))-INDEX(TABLAS!$D$6:$J$47,MATCH(AO39&amp;"|NIC",TABLAS!$B$6:$B$47,0),AP39)))</f>
        <v/>
      </c>
      <c r="AS39" s="59" t="str">
        <f>IF(V39&lt;&gt;"SÍ","",INDEX(TABLAS!$D$6:$J$47,MATCH(AO39&amp;"|NIL",TABLAS!$B$6:$B$47,0),AP39)+AQ39*(INDEX(TABLAS!$D$6:$J$47,MATCH(AO39&amp;"|NIL",TABLAS!$B$6:$B$47,0),MIN(AP39+1,7))-INDEX(TABLAS!$D$6:$J$47,MATCH(AO39&amp;"|NIL",TABLAS!$B$6:$B$47,0),AP39)))</f>
        <v/>
      </c>
      <c r="AT39" s="59" t="str">
        <f>IF(V39&lt;&gt;"SÍ","",INDEX(TABLAS!$D$6:$J$47,MATCH(AO39&amp;"|NDC",TABLAS!$B$6:$B$47,0),AP39)+AQ39*(INDEX(TABLAS!$D$6:$J$47,MATCH(AO39&amp;"|NDC",TABLAS!$B$6:$B$47,0),MIN(AP39+1,7))-INDEX(TABLAS!$D$6:$J$47,MATCH(AO39&amp;"|NDC",TABLAS!$B$6:$B$47,0),AP39)))</f>
        <v/>
      </c>
      <c r="AU39" s="59" t="str">
        <f>IF(V39&lt;&gt;"SÍ","",INDEX(TABLAS!$D$6:$J$47,MATCH(AO39&amp;"|NDL",TABLAS!$B$6:$B$47,0),AP39)+AQ39*(INDEX(TABLAS!$D$6:$J$47,MATCH(AO39&amp;"|NDL",TABLAS!$B$6:$B$47,0),MIN(AP39+1,7))-INDEX(TABLAS!$D$6:$J$47,MATCH(AO39&amp;"|NDL",TABLAS!$B$6:$B$47,0),AP39)))</f>
        <v/>
      </c>
      <c r="AV39" s="59" t="str">
        <f>IF(V39&lt;&gt;"SÍ","",INDEX(TABLAS!$D$6:$J$47,MATCH(AO39&amp;"|PC",TABLAS!$B$6:$B$47,0),AP39)+AQ39*(INDEX(TABLAS!$D$6:$J$47,MATCH(AO39&amp;"|PC",TABLAS!$B$6:$B$47,0),MIN(AP39+1,7))-INDEX(TABLAS!$D$6:$J$47,MATCH(AO39&amp;"|PC",TABLAS!$B$6:$B$47,0),AP39)))</f>
        <v/>
      </c>
      <c r="AW39" s="59" t="str">
        <f>IF(V39&lt;&gt;"SÍ","",INDEX(TABLAS!$D$6:$J$47,MATCH(AO39&amp;"|PL",TABLAS!$B$6:$B$47,0),AP39)+AQ39*(INDEX(TABLAS!$D$6:$J$47,MATCH(AO39&amp;"|PL",TABLAS!$B$6:$B$47,0),MIN(AP39+1,7))-INDEX(TABLAS!$D$6:$J$47,MATCH(AO39&amp;"|PL",TABLAS!$B$6:$B$47,0),AP39)))</f>
        <v/>
      </c>
      <c r="AX39" s="56" t="str">
        <f>IF(V39&lt;&gt;"SÍ","",IF(C39="PERIMETRAL",AV39*AK39*Z39^2*1E-4/1000,0))</f>
        <v/>
      </c>
      <c r="AY39" s="62" t="str">
        <f>IF(V39&lt;&gt;"SÍ","",IF(C39="PERIMETRAL",MAX(MAX(AR39,AT39)*AK39*Z39^2*1E-4/1000,N(T39)),(AK39*(AC39/100)^2/2+DATOS!$C$26*N(P39)*AC39/100)/1000))</f>
        <v/>
      </c>
      <c r="AZ39" s="56" t="str">
        <f>IF(V39&lt;&gt;"SÍ","",IF(C39="PERIMETRAL",AW39*AK39*Z39^2*1E-4/1000,0))</f>
        <v/>
      </c>
      <c r="BA39" s="56" t="str">
        <f>IF(V39&lt;&gt;"SÍ","",IF(C39="PERIMETRAL",MAX(MAX(AS39,AU39)*AK39*Z39^2*1E-4/1000,N(U39)),0))</f>
        <v/>
      </c>
      <c r="BB39" s="63" t="str">
        <f>IF(V39&lt;&gt;"SÍ","",IF(C39&lt;&gt;"PERIMETRAL","—",IF(AND(N(T39)=0,N(U39)=0),"— (sin M⁻ del vecino)",IF(OR(AND(N(T39)&gt;0,ABS(MAX(AR39,AT39)*AK39*Z39^2*1E-4/1000-N(T39))&gt;0.5*MIN(MAX(AR39,AT39)*AK39*Z39^2*1E-4/1000,N(T39))),AND(N(U39)&gt;0,ABS(MAX(AS39,AU39)*AK39*Z39^2*1E-4/1000-N(U39))&gt;0.5*MIN(MAX(AS39,AU39)*AK39*Z39^2*1E-4/1000,N(U39)))),"FUERA: difieren &gt; 50 %"&amp;IF(AND(N(T39)&gt;0,ABS(MAX(AR39,AT39)*AK39*Z39^2*1E-4/1000-N(T39))&gt;0.5*MIN(MAX(AR39,AT39)*AK39*Z39^2*1E-4/1000,N(T39)))," ‖ corto","")&amp;IF(AND(N(U39)&gt;0,ABS(MAX(AS39,AU39)*AK39*Z39^2*1E-4/1000-N(U39))&gt;0.5*MIN(MAX(AS39,AU39)*AK39*Z39^2*1E-4/1000,N(U39)))," ‖ largo",""),"CUMPLE"))))</f>
        <v/>
      </c>
      <c r="BC39" s="58" t="str">
        <f>IF(V39&lt;&gt;"SÍ","",DATOS!$C$139*100*W39)</f>
        <v/>
      </c>
      <c r="BD39" s="57" t="str">
        <f>IF(V39&lt;&gt;"SÍ","",MIN(IF(C39="VOLADO",DATOS!$C$141,DATOS!$C$140)*W39,DATOS!$C$142))</f>
        <v/>
      </c>
      <c r="BE39" s="58" t="str">
        <f>IF(V39&lt;&gt;"SÍ","",(W39-AE39-INDEX(TABLAS!$C$52:$C$58,MATCH(IF(ISNUMBER(S39),S39,DATOS!$C$138),TABLAS!$B$52:$B$58,0))/2))</f>
        <v/>
      </c>
      <c r="BF39" s="58" t="str">
        <f>IF(V39&lt;&gt;"SÍ","",IF(AX39&lt;=0,0,IF((1-2*AX39*1E5/(DATOS!$C$29*100*BE39^2*DATOS!$C$21))&lt;0,-1,IF((1-SQRT((1-2*AX39*1E5/(DATOS!$C$29*100*BE39^2*DATOS!$C$21))))*DATOS!$C$21*100*BE39/DATOS!$C$14&gt;DATOS!$C$102*100*BE39,-1,(1-SQRT((1-2*AX39*1E5/(DATOS!$C$29*100*BE39^2*DATOS!$C$21))))*DATOS!$C$21*100*BE39/DATOS!$C$14))))</f>
        <v/>
      </c>
      <c r="BG39" s="58" t="str">
        <f>IF(V39&lt;&gt;"SÍ","",IF(BF39&lt;0,-1,MAX(BF39,BC39)))</f>
        <v/>
      </c>
      <c r="BH39" s="64" t="str">
        <f>IF(V39&lt;&gt;"SÍ","",IF(AND(BG39&gt;0,FLOOR(MIN(BD39,100*INDEX(TABLAS!$D$52:$D$58,MIN(MATCH(IF(ISNUMBER(S39),S39,DATOS!$C$138),TABLAS!$B$52:$B$58,0)+0,7))/MAX(BG39,0.0001)),DATOS!$C$144)&gt;=DATOS!$C$143),INDEX(TABLAS!$B$52:$B$58,MIN(MATCH(IF(ISNUMBER(S39),S39,DATOS!$C$138),TABLAS!$B$52:$B$58,0)+0,7)),IF(AND(BG39&gt;0,FLOOR(MIN(BD39,100*INDEX(TABLAS!$D$52:$D$58,MIN(MATCH(IF(ISNUMBER(S39),S39,DATOS!$C$138),TABLAS!$B$52:$B$58,0)+1,7))/MAX(BG39,0.0001)),DATOS!$C$144)&gt;=DATOS!$C$143),INDEX(TABLAS!$B$52:$B$58,MIN(MATCH(IF(ISNUMBER(S39),S39,DATOS!$C$138),TABLAS!$B$52:$B$58,0)+1,7)),IF(AND(BG39&gt;0,FLOOR(MIN(BD39,100*INDEX(TABLAS!$D$52:$D$58,MIN(MATCH(IF(ISNUMBER(S39),S39,DATOS!$C$138),TABLAS!$B$52:$B$58,0)+2,7))/MAX(BG39,0.0001)),DATOS!$C$144)&gt;=DATOS!$C$143),INDEX(TABLAS!$B$52:$B$58,MIN(MATCH(IF(ISNUMBER(S39),S39,DATOS!$C$138),TABLAS!$B$52:$B$58,0)+2,7)),IF(AND(BG39&gt;0,FLOOR(MIN(BD39,100*INDEX(TABLAS!$D$52:$D$58,MIN(MATCH(IF(ISNUMBER(S39),S39,DATOS!$C$138),TABLAS!$B$52:$B$58,0)+3,7))/MAX(BG39,0.0001)),DATOS!$C$144)&gt;=DATOS!$C$143),INDEX(TABLAS!$B$52:$B$58,MIN(MATCH(IF(ISNUMBER(S39),S39,DATOS!$C$138),TABLAS!$B$52:$B$58,0)+3,7)),IF(AND(BG39&gt;0,FLOOR(MIN(BD39,100*INDEX(TABLAS!$D$52:$D$58,MIN(MATCH(IF(ISNUMBER(S39),S39,DATOS!$C$138),TABLAS!$B$52:$B$58,0)+4,7))/MAX(BG39,0.0001)),DATOS!$C$144)&gt;=DATOS!$C$143),INDEX(TABLAS!$B$52:$B$58,MIN(MATCH(IF(ISNUMBER(S39),S39,DATOS!$C$138),TABLAS!$B$52:$B$58,0)+4,7)),INDEX(TABLAS!$B$52:$B$58,7)))))))</f>
        <v/>
      </c>
      <c r="BI39" s="71" t="str">
        <f>IF(V39&lt;&gt;"SÍ","",IF(BG39&lt;=0,0,FLOOR(MIN(BD39,100*INDEX(TABLAS!$D$52:$D$58,MATCH(BH39,TABLAS!$B$52:$B$58,0))/BG39),DATOS!$C$144)))</f>
        <v/>
      </c>
      <c r="BJ39" s="58" t="str">
        <f>IF(V39&lt;&gt;"SÍ","",IF(BI39&lt;=0,0,INDEX(TABLAS!$D$52:$D$58,MATCH(BH39,TABLAS!$B$52:$B$58,0))*100/BI39))</f>
        <v/>
      </c>
      <c r="BK39" s="58" t="str">
        <f>IF(V39&lt;&gt;"SÍ","",W39-AE39-INDEX(TABLAS!$C$52:$C$58,MATCH(BH39,TABLAS!$B$52:$B$58,0))/2)</f>
        <v/>
      </c>
      <c r="BL39" s="56" t="str">
        <f>IF(V39&lt;&gt;"SÍ","",IF(BJ39=0,0,DATOS!$C$29*BJ39*DATOS!$C$14*(BK39-BJ39*DATOS!$C$14/(DATOS!$C$21*100)/2)/1E5))</f>
        <v/>
      </c>
      <c r="BM39" s="65" t="str">
        <f>IF(V39&lt;&gt;"SÍ","",IF(BG39&lt;0,9.99,IF(BL39&gt;0,AX39/BL39,0)))</f>
        <v/>
      </c>
      <c r="BN39" s="66" t="str">
        <f>IF(V39&lt;&gt;"SÍ","",IF(BJ39=0,"—",0.003*(BK39-(BJ39*DATOS!$C$14/(DATOS!$C$21*100)/DATOS!$C$22))/(BJ39*DATOS!$C$14/(DATOS!$C$21*100)/DATOS!$C$22)))</f>
        <v/>
      </c>
      <c r="BO39" s="58" t="str">
        <f>IF(V39&lt;&gt;"SÍ","",((W39-AF39-INDEX(TABLAS!$C$52:$C$58,MATCH(IF(ISNUMBER(S39),S39,DATOS!$C$138),TABLAS!$B$52:$B$58,0))/2)-IF(AND((W39-AF39-INDEX(TABLAS!$C$52:$C$58,MATCH(IF(ISNUMBER(S39),S39,DATOS!$C$138),TABLAS!$B$52:$B$58,0))/2)&lt;=20,DATOS!$C$65&lt;&gt;"SÍ"),2,0)))</f>
        <v/>
      </c>
      <c r="BP39" s="58" t="str">
        <f>IF(V39&lt;&gt;"SÍ","",IF(AY39&lt;=0,0,IF((1-2*AY39*1E5/(DATOS!$C$29*100*BO39^2*DATOS!$C$21))&lt;0,-1,IF((1-SQRT((1-2*AY39*1E5/(DATOS!$C$29*100*BO39^2*DATOS!$C$21))))*DATOS!$C$21*100*BO39/DATOS!$C$14&gt;DATOS!$C$102*100*BO39,-1,(1-SQRT((1-2*AY39*1E5/(DATOS!$C$29*100*BO39^2*DATOS!$C$21))))*DATOS!$C$21*100*BO39/DATOS!$C$14))))</f>
        <v/>
      </c>
      <c r="BQ39" s="58" t="str">
        <f>IF(V39&lt;&gt;"SÍ","",IF(BP39&lt;0,-1,MAX(BP39,BC39)))</f>
        <v/>
      </c>
      <c r="BR39" s="64" t="str">
        <f>IF(V39&lt;&gt;"SÍ","",IF(AND(BQ39&gt;0,FLOOR(MIN(BD39,100*INDEX(TABLAS!$D$52:$D$58,MIN(MATCH(IF(ISNUMBER(S39),S39,DATOS!$C$138),TABLAS!$B$52:$B$58,0)+0,7))/MAX(BQ39,0.0001)),DATOS!$C$144)&gt;=DATOS!$C$143),INDEX(TABLAS!$B$52:$B$58,MIN(MATCH(IF(ISNUMBER(S39),S39,DATOS!$C$138),TABLAS!$B$52:$B$58,0)+0,7)),IF(AND(BQ39&gt;0,FLOOR(MIN(BD39,100*INDEX(TABLAS!$D$52:$D$58,MIN(MATCH(IF(ISNUMBER(S39),S39,DATOS!$C$138),TABLAS!$B$52:$B$58,0)+1,7))/MAX(BQ39,0.0001)),DATOS!$C$144)&gt;=DATOS!$C$143),INDEX(TABLAS!$B$52:$B$58,MIN(MATCH(IF(ISNUMBER(S39),S39,DATOS!$C$138),TABLAS!$B$52:$B$58,0)+1,7)),IF(AND(BQ39&gt;0,FLOOR(MIN(BD39,100*INDEX(TABLAS!$D$52:$D$58,MIN(MATCH(IF(ISNUMBER(S39),S39,DATOS!$C$138),TABLAS!$B$52:$B$58,0)+2,7))/MAX(BQ39,0.0001)),DATOS!$C$144)&gt;=DATOS!$C$143),INDEX(TABLAS!$B$52:$B$58,MIN(MATCH(IF(ISNUMBER(S39),S39,DATOS!$C$138),TABLAS!$B$52:$B$58,0)+2,7)),IF(AND(BQ39&gt;0,FLOOR(MIN(BD39,100*INDEX(TABLAS!$D$52:$D$58,MIN(MATCH(IF(ISNUMBER(S39),S39,DATOS!$C$138),TABLAS!$B$52:$B$58,0)+3,7))/MAX(BQ39,0.0001)),DATOS!$C$144)&gt;=DATOS!$C$143),INDEX(TABLAS!$B$52:$B$58,MIN(MATCH(IF(ISNUMBER(S39),S39,DATOS!$C$138),TABLAS!$B$52:$B$58,0)+3,7)),IF(AND(BQ39&gt;0,FLOOR(MIN(BD39,100*INDEX(TABLAS!$D$52:$D$58,MIN(MATCH(IF(ISNUMBER(S39),S39,DATOS!$C$138),TABLAS!$B$52:$B$58,0)+4,7))/MAX(BQ39,0.0001)),DATOS!$C$144)&gt;=DATOS!$C$143),INDEX(TABLAS!$B$52:$B$58,MIN(MATCH(IF(ISNUMBER(S39),S39,DATOS!$C$138),TABLAS!$B$52:$B$58,0)+4,7)),INDEX(TABLAS!$B$52:$B$58,7)))))))</f>
        <v/>
      </c>
      <c r="BS39" s="71" t="str">
        <f>IF(V39&lt;&gt;"SÍ","",IF(BQ39&lt;=0,0,FLOOR(MIN(BD39,100*INDEX(TABLAS!$D$52:$D$58,MATCH(BR39,TABLAS!$B$52:$B$58,0))/BQ39),DATOS!$C$144)))</f>
        <v/>
      </c>
      <c r="BT39" s="58" t="str">
        <f>IF(V39&lt;&gt;"SÍ","",IF(BS39&lt;=0,0,INDEX(TABLAS!$D$52:$D$58,MATCH(BR39,TABLAS!$B$52:$B$58,0))*100/BS39))</f>
        <v/>
      </c>
      <c r="BU39" s="58" t="str">
        <f>IF(V39&lt;&gt;"SÍ","",((W39-AF39-INDEX(TABLAS!$C$52:$C$58,MATCH(BR39,TABLAS!$B$52:$B$58,0))/2)-IF(AND((W39-AF39-INDEX(TABLAS!$C$52:$C$58,MATCH(BR39,TABLAS!$B$52:$B$58,0))/2)&lt;=20,DATOS!$C$65&lt;&gt;"SÍ"),2,0)))</f>
        <v/>
      </c>
      <c r="BV39" s="56" t="str">
        <f>IF(V39&lt;&gt;"SÍ","",IF(BT39=0,0,DATOS!$C$29*BT39*DATOS!$C$14*(BU39-BT39*DATOS!$C$14/(DATOS!$C$21*100)/2)/1E5))</f>
        <v/>
      </c>
      <c r="BW39" s="65" t="str">
        <f>IF(V39&lt;&gt;"SÍ","",IF(BQ39&lt;0,9.99,IF(BV39&gt;0,AY39/BV39,0)))</f>
        <v/>
      </c>
      <c r="BX39" s="66" t="str">
        <f>IF(V39&lt;&gt;"SÍ","",IF(BT39=0,"—",0.003*(BU39-(BT39*DATOS!$C$14/(DATOS!$C$21*100)/DATOS!$C$22))/(BT39*DATOS!$C$14/(DATOS!$C$21*100)/DATOS!$C$22)))</f>
        <v/>
      </c>
      <c r="BY39" s="58" t="str">
        <f>IF(V39&lt;&gt;"SÍ","",(W39-AE39-1.5*INDEX(TABLAS!$C$52:$C$58,MATCH(IF(ISNUMBER(S39),S39,DATOS!$C$138),TABLAS!$B$52:$B$58,0))))</f>
        <v/>
      </c>
      <c r="BZ39" s="58" t="str">
        <f>IF(V39&lt;&gt;"SÍ","",IF(AZ39&lt;=0,0,IF((1-2*AZ39*1E5/(DATOS!$C$29*100*BY39^2*DATOS!$C$21))&lt;0,-1,IF((1-SQRT((1-2*AZ39*1E5/(DATOS!$C$29*100*BY39^2*DATOS!$C$21))))*DATOS!$C$21*100*BY39/DATOS!$C$14&gt;DATOS!$C$102*100*BY39,-1,(1-SQRT((1-2*AZ39*1E5/(DATOS!$C$29*100*BY39^2*DATOS!$C$21))))*DATOS!$C$21*100*BY39/DATOS!$C$14))))</f>
        <v/>
      </c>
      <c r="CA39" s="58" t="str">
        <f>IF(V39&lt;&gt;"SÍ","",IF(BZ39&lt;0,-1,MAX(BZ39,BC39)))</f>
        <v/>
      </c>
      <c r="CB39" s="64" t="str">
        <f>IF(V39&lt;&gt;"SÍ","",IF(AND(CA39&gt;0,FLOOR(MIN(BD39,100*INDEX(TABLAS!$D$52:$D$58,MIN(MATCH(IF(ISNUMBER(S39),S39,DATOS!$C$138),TABLAS!$B$52:$B$58,0)+0,7))/MAX(CA39,0.0001)),DATOS!$C$144)&gt;=DATOS!$C$143),INDEX(TABLAS!$B$52:$B$58,MIN(MATCH(IF(ISNUMBER(S39),S39,DATOS!$C$138),TABLAS!$B$52:$B$58,0)+0,7)),IF(AND(CA39&gt;0,FLOOR(MIN(BD39,100*INDEX(TABLAS!$D$52:$D$58,MIN(MATCH(IF(ISNUMBER(S39),S39,DATOS!$C$138),TABLAS!$B$52:$B$58,0)+1,7))/MAX(CA39,0.0001)),DATOS!$C$144)&gt;=DATOS!$C$143),INDEX(TABLAS!$B$52:$B$58,MIN(MATCH(IF(ISNUMBER(S39),S39,DATOS!$C$138),TABLAS!$B$52:$B$58,0)+1,7)),IF(AND(CA39&gt;0,FLOOR(MIN(BD39,100*INDEX(TABLAS!$D$52:$D$58,MIN(MATCH(IF(ISNUMBER(S39),S39,DATOS!$C$138),TABLAS!$B$52:$B$58,0)+2,7))/MAX(CA39,0.0001)),DATOS!$C$144)&gt;=DATOS!$C$143),INDEX(TABLAS!$B$52:$B$58,MIN(MATCH(IF(ISNUMBER(S39),S39,DATOS!$C$138),TABLAS!$B$52:$B$58,0)+2,7)),IF(AND(CA39&gt;0,FLOOR(MIN(BD39,100*INDEX(TABLAS!$D$52:$D$58,MIN(MATCH(IF(ISNUMBER(S39),S39,DATOS!$C$138),TABLAS!$B$52:$B$58,0)+3,7))/MAX(CA39,0.0001)),DATOS!$C$144)&gt;=DATOS!$C$143),INDEX(TABLAS!$B$52:$B$58,MIN(MATCH(IF(ISNUMBER(S39),S39,DATOS!$C$138),TABLAS!$B$52:$B$58,0)+3,7)),IF(AND(CA39&gt;0,FLOOR(MIN(BD39,100*INDEX(TABLAS!$D$52:$D$58,MIN(MATCH(IF(ISNUMBER(S39),S39,DATOS!$C$138),TABLAS!$B$52:$B$58,0)+4,7))/MAX(CA39,0.0001)),DATOS!$C$144)&gt;=DATOS!$C$143),INDEX(TABLAS!$B$52:$B$58,MIN(MATCH(IF(ISNUMBER(S39),S39,DATOS!$C$138),TABLAS!$B$52:$B$58,0)+4,7)),INDEX(TABLAS!$B$52:$B$58,7)))))))</f>
        <v/>
      </c>
      <c r="CC39" s="71" t="str">
        <f>IF(V39&lt;&gt;"SÍ","",IF(CA39&lt;=0,0,FLOOR(MIN(BD39,100*INDEX(TABLAS!$D$52:$D$58,MATCH(CB39,TABLAS!$B$52:$B$58,0))/CA39),DATOS!$C$144)))</f>
        <v/>
      </c>
      <c r="CD39" s="58" t="str">
        <f>IF(V39&lt;&gt;"SÍ","",IF(CC39&lt;=0,0,INDEX(TABLAS!$D$52:$D$58,MATCH(CB39,TABLAS!$B$52:$B$58,0))*100/CC39))</f>
        <v/>
      </c>
      <c r="CE39" s="58" t="str">
        <f>IF(V39&lt;&gt;"SÍ","",W39-AE39-INDEX(TABLAS!$C$52:$C$58,MATCH(BH39,TABLAS!$B$52:$B$58,0))-INDEX(TABLAS!$C$52:$C$58,MATCH(CB39,TABLAS!$B$52:$B$58,0))/2)</f>
        <v/>
      </c>
      <c r="CF39" s="56" t="str">
        <f>IF(V39&lt;&gt;"SÍ","",IF(CD39=0,0,DATOS!$C$29*CD39*DATOS!$C$14*(CE39-CD39*DATOS!$C$14/(DATOS!$C$21*100)/2)/1E5))</f>
        <v/>
      </c>
      <c r="CG39" s="65" t="str">
        <f>IF(V39&lt;&gt;"SÍ","",IF(CA39&lt;0,9.99,IF(CF39&gt;0,AZ39/CF39,0)))</f>
        <v/>
      </c>
      <c r="CH39" s="66" t="str">
        <f>IF(V39&lt;&gt;"SÍ","",IF(CD39=0,"—",0.003*(CE39-(CD39*DATOS!$C$14/(DATOS!$C$21*100)/DATOS!$C$22))/(CD39*DATOS!$C$14/(DATOS!$C$21*100)/DATOS!$C$22)))</f>
        <v/>
      </c>
      <c r="CI39" s="58" t="str">
        <f>IF(V39&lt;&gt;"SÍ","",((W39-AF39-1.5*INDEX(TABLAS!$C$52:$C$58,MATCH(IF(ISNUMBER(S39),S39,DATOS!$C$138),TABLAS!$B$52:$B$58,0)))-IF(AND((W39-AF39-1.5*INDEX(TABLAS!$C$52:$C$58,MATCH(IF(ISNUMBER(S39),S39,DATOS!$C$138),TABLAS!$B$52:$B$58,0)))&lt;=20,DATOS!$C$65&lt;&gt;"SÍ"),2,0)))</f>
        <v/>
      </c>
      <c r="CJ39" s="58" t="str">
        <f>IF(V39&lt;&gt;"SÍ","",IF(BA39&lt;=0,0,IF((1-2*BA39*1E5/(DATOS!$C$29*100*CI39^2*DATOS!$C$21))&lt;0,-1,IF((1-SQRT((1-2*BA39*1E5/(DATOS!$C$29*100*CI39^2*DATOS!$C$21))))*DATOS!$C$21*100*CI39/DATOS!$C$14&gt;DATOS!$C$102*100*CI39,-1,(1-SQRT((1-2*BA39*1E5/(DATOS!$C$29*100*CI39^2*DATOS!$C$21))))*DATOS!$C$21*100*CI39/DATOS!$C$14))))</f>
        <v/>
      </c>
      <c r="CK39" s="58" t="str">
        <f>IF(V39&lt;&gt;"SÍ","",IF(CJ39&lt;0,-1,MAX(CJ39,BC39)))</f>
        <v/>
      </c>
      <c r="CL39" s="64" t="str">
        <f>IF(V39&lt;&gt;"SÍ","",IF(AND(CK39&gt;0,FLOOR(MIN(BD39,100*INDEX(TABLAS!$D$52:$D$58,MIN(MATCH(IF(ISNUMBER(S39),S39,DATOS!$C$138),TABLAS!$B$52:$B$58,0)+0,7))/MAX(CK39,0.0001)),DATOS!$C$144)&gt;=DATOS!$C$143),INDEX(TABLAS!$B$52:$B$58,MIN(MATCH(IF(ISNUMBER(S39),S39,DATOS!$C$138),TABLAS!$B$52:$B$58,0)+0,7)),IF(AND(CK39&gt;0,FLOOR(MIN(BD39,100*INDEX(TABLAS!$D$52:$D$58,MIN(MATCH(IF(ISNUMBER(S39),S39,DATOS!$C$138),TABLAS!$B$52:$B$58,0)+1,7))/MAX(CK39,0.0001)),DATOS!$C$144)&gt;=DATOS!$C$143),INDEX(TABLAS!$B$52:$B$58,MIN(MATCH(IF(ISNUMBER(S39),S39,DATOS!$C$138),TABLAS!$B$52:$B$58,0)+1,7)),IF(AND(CK39&gt;0,FLOOR(MIN(BD39,100*INDEX(TABLAS!$D$52:$D$58,MIN(MATCH(IF(ISNUMBER(S39),S39,DATOS!$C$138),TABLAS!$B$52:$B$58,0)+2,7))/MAX(CK39,0.0001)),DATOS!$C$144)&gt;=DATOS!$C$143),INDEX(TABLAS!$B$52:$B$58,MIN(MATCH(IF(ISNUMBER(S39),S39,DATOS!$C$138),TABLAS!$B$52:$B$58,0)+2,7)),IF(AND(CK39&gt;0,FLOOR(MIN(BD39,100*INDEX(TABLAS!$D$52:$D$58,MIN(MATCH(IF(ISNUMBER(S39),S39,DATOS!$C$138),TABLAS!$B$52:$B$58,0)+3,7))/MAX(CK39,0.0001)),DATOS!$C$144)&gt;=DATOS!$C$143),INDEX(TABLAS!$B$52:$B$58,MIN(MATCH(IF(ISNUMBER(S39),S39,DATOS!$C$138),TABLAS!$B$52:$B$58,0)+3,7)),IF(AND(CK39&gt;0,FLOOR(MIN(BD39,100*INDEX(TABLAS!$D$52:$D$58,MIN(MATCH(IF(ISNUMBER(S39),S39,DATOS!$C$138),TABLAS!$B$52:$B$58,0)+4,7))/MAX(CK39,0.0001)),DATOS!$C$144)&gt;=DATOS!$C$143),INDEX(TABLAS!$B$52:$B$58,MIN(MATCH(IF(ISNUMBER(S39),S39,DATOS!$C$138),TABLAS!$B$52:$B$58,0)+4,7)),INDEX(TABLAS!$B$52:$B$58,7)))))))</f>
        <v/>
      </c>
      <c r="CM39" s="71" t="str">
        <f>IF(V39&lt;&gt;"SÍ","",IF(CK39&lt;=0,0,FLOOR(MIN(BD39,100*INDEX(TABLAS!$D$52:$D$58,MATCH(CL39,TABLAS!$B$52:$B$58,0))/CK39),DATOS!$C$144)))</f>
        <v/>
      </c>
      <c r="CN39" s="58" t="str">
        <f>IF(V39&lt;&gt;"SÍ","",IF(CM39&lt;=0,0,INDEX(TABLAS!$D$52:$D$58,MATCH(CL39,TABLAS!$B$52:$B$58,0))*100/CM39))</f>
        <v/>
      </c>
      <c r="CO39" s="58" t="str">
        <f>IF(V39&lt;&gt;"SÍ","",((W39-AF39-INDEX(TABLAS!$C$52:$C$58,MATCH(BR39,TABLAS!$B$52:$B$58,0))-INDEX(TABLAS!$C$52:$C$58,MATCH(CL39,TABLAS!$B$52:$B$58,0))/2)-IF(AND((W39-AF39-INDEX(TABLAS!$C$52:$C$58,MATCH(BR39,TABLAS!$B$52:$B$58,0))-INDEX(TABLAS!$C$52:$C$58,MATCH(CL39,TABLAS!$B$52:$B$58,0))/2)&lt;=20,DATOS!$C$65&lt;&gt;"SÍ"),2,0)))</f>
        <v/>
      </c>
      <c r="CP39" s="56" t="str">
        <f>IF(V39&lt;&gt;"SÍ","",IF(CN39=0,0,DATOS!$C$29*CN39*DATOS!$C$14*(CO39-CN39*DATOS!$C$14/(DATOS!$C$21*100)/2)/1E5))</f>
        <v/>
      </c>
      <c r="CQ39" s="65" t="str">
        <f>IF(V39&lt;&gt;"SÍ","",IF(CK39&lt;0,9.99,IF(CP39&gt;0,BA39/CP39,0)))</f>
        <v/>
      </c>
      <c r="CR39" s="66" t="str">
        <f>IF(V39&lt;&gt;"SÍ","",IF(CN39=0,"—",0.003*(CO39-(CN39*DATOS!$C$14/(DATOS!$C$21*100)/DATOS!$C$22))/(CN39*DATOS!$C$14/(DATOS!$C$21*100)/DATOS!$C$22)))</f>
        <v/>
      </c>
      <c r="CS39" s="56" t="str">
        <f>IF(V39&lt;&gt;"SÍ","",IF(C39="PERIMETRAL",MAX(0,(AC39/2-BU39)/100)*(0.95-0.5*AB39)*AK39*IF(AND(AL39&gt;0,AL39&lt;4),DATOS!$C$33,1)/1000,(AK39*MAX(0,AC39-BU39)/100+DATOS!$C$26*N(P39))/1000))</f>
        <v/>
      </c>
      <c r="CT39" s="66" t="str">
        <f>IF(V39&lt;&gt;"SÍ","",BT39/(100*BU39))</f>
        <v/>
      </c>
      <c r="CU39" s="56" t="str">
        <f>IF(V39&lt;&gt;"SÍ","",DATOS!$C$30*2*MIN(1,SQRT(2/(1+0.04*BU39)))*CT39^(1/3)*SQRT(DATOS!$C$13)*100*BU39/1000)</f>
        <v/>
      </c>
      <c r="CV39" s="67" t="str">
        <f>IF(V39&lt;&gt;"SÍ","",IF(CS39&lt;=CU39,"CUMPLE","NO CUMPLE: sube h"))</f>
        <v/>
      </c>
      <c r="CW39" s="58" t="str">
        <f>IF(V39&lt;&gt;"SÍ","",IF(C39="PERIMETRAL",IF(ISNUMBER(R39),R39,DATOS!$C$104),0))</f>
        <v/>
      </c>
      <c r="CX39" s="57" t="str">
        <f>IF(V39&lt;&gt;"SÍ","",IF(C39="PERIMETRAL",IF(CW39&gt;2,MAX(9,AD39*(0.8+DATOS!$C$14/14000)/(36+9*(AD39/MAX(AC39,1)))),IF(CW39&gt;0.2,MAX(13,AD39*(0.8+DATOS!$C$14/14000)/(36+5*(AD39/MAX(AC39,1))*(CW39-0.2))),MAX(13,AD39/IF(AL39&gt;0,30,33))))*IF(AND(CW39&gt;0.2,AL39&gt;0,DATOS!$C$105="NO"),1.1,1),Z39*100/DATOS!$C$145*(0.4+DATOS!$C$14/7000)))</f>
        <v/>
      </c>
      <c r="CY39" s="61" t="str">
        <f>IF(V39&lt;&gt;"SÍ","",IF(W39&gt;=CX39-0.001,"CUMPLE",IF(C39="VOLADO","NO CUMPLE","CALCULAR FLECHA")))</f>
        <v/>
      </c>
      <c r="CZ39" s="60" t="str">
        <f>IF(V39&lt;&gt;"SÍ","",IF(C39="VOLADO",MIN(FLOOR(IF(ISNUMBER(Q39),Q39,Z39)*100-DATOS!$C$63,5),CEILING(MAX(IF((0.5*(0.9*W39/100*DATOS!$C$16)*IF(ISNUMBER(Q39),Q39,Z39)+AY39/IF(ISNUMBER(Q39),Q39,Z39))^2-4*(0.5*(0.9*W39/100*DATOS!$C$16))*AY39&lt;0,IF(ISNUMBER(Q39),Q39,Z39),MIN(IF(ISNUMBER(Q39),Q39,Z39),((0.5*(0.9*W39/100*DATOS!$C$16)*IF(ISNUMBER(Q39),Q39,Z39)+AY39/IF(ISNUMBER(Q39),Q39,Z39))-SQRT((0.5*(0.9*W39/100*DATOS!$C$16)*IF(ISNUMBER(Q39),Q39,Z39)+AY39/IF(ISNUMBER(Q39),Q39,Z39))^2-4*(0.5*(0.9*W39/100*DATOS!$C$16))*AY39))/(2*(0.5*(0.9*W39/100*DATOS!$C$16)))))*100+MAX(BU39,12*INDEX(TABLAS!$C$52:$C$58,MATCH(BR39,TABLAS!$B$52:$B$58,0)),IF(ISNUMBER(Q39),Q39,Z39)*100/16),IF(OR(AF39&lt;INDEX(TABLAS!$C$52:$C$58,MATCH(BR39,TABLAS!$B$52:$B$58,0)),BS39-INDEX(TABLAS!$C$52:$C$58,MATCH(BR39,TABLAS!$B$52:$B$58,0))&lt;2*INDEX(TABLAS!$C$52:$C$58,MATCH(BR39,TABLAS!$B$52:$B$58,0))),INDEX(TABLAS!$I$52:$I$58,MATCH(BR39,TABLAS!$B$52:$B$58,0)),INDEX(TABLAS!$F$52:$F$58,MATCH(BR39,TABLAS!$B$52:$B$58,0)))),5)),IF(((4*((AV39*AK39*Z39^2*1E-4/1000)+((MAX(AR39,AT39)*AK39*Z39^2*1E-4/1000)+(IF(AND(AR39&gt;0,AT39&gt;0),MIN(AR39,AT39),MAX(AR39,AT39))*AK39*Z39^2*1E-4/1000))/2)+AY39-(IF(AND(AR39&gt;0,AT39&gt;0),MIN(AR39,AT39),MAX(AR39,AT39))*AK39*Z39^2*1E-4/1000))^2-16*((AV39*AK39*Z39^2*1E-4/1000)+((MAX(AR39,AT39)*AK39*Z39^2*1E-4/1000)+(IF(AND(AR39&gt;0,AT39&gt;0),MIN(AR39,AT39),MAX(AR39,AT39))*AK39*Z39^2*1E-4/1000))/2)*AY39)&lt;0,CEILING(AC39,5),CEILING(MAX(AC39*((4*((AV39*AK39*Z39^2*1E-4/1000)+((MAX(AR39,AT39)*AK39*Z39^2*1E-4/1000)+(IF(AND(AR39&gt;0,AT39&gt;0),MIN(AR39,AT39),MAX(AR39,AT39))*AK39*Z39^2*1E-4/1000))/2)+AY39-(IF(AND(AR39&gt;0,AT39&gt;0),MIN(AR39,AT39),MAX(AR39,AT39))*AK39*Z39^2*1E-4/1000))-SQRT(MAX(0,((4*((AV39*AK39*Z39^2*1E-4/1000)+((MAX(AR39,AT39)*AK39*Z39^2*1E-4/1000)+(IF(AND(AR39&gt;0,AT39&gt;0),MIN(AR39,AT39),MAX(AR39,AT39))*AK39*Z39^2*1E-4/1000))/2)+AY39-(IF(AND(AR39&gt;0,AT39&gt;0),MIN(AR39,AT39),MAX(AR39,AT39))*AK39*Z39^2*1E-4/1000))^2-16*((AV39*AK39*Z39^2*1E-4/1000)+((MAX(AR39,AT39)*AK39*Z39^2*1E-4/1000)+(IF(AND(AR39&gt;0,AT39&gt;0),MIN(AR39,AT39),MAX(AR39,AT39))*AK39*Z39^2*1E-4/1000))/2)*AY39))))/(8*MAX(((AV39*AK39*Z39^2*1E-4/1000)+((MAX(AR39,AT39)*AK39*Z39^2*1E-4/1000)+(IF(AND(AR39&gt;0,AT39&gt;0),MIN(AR39,AT39),MAX(AR39,AT39))*AK39*Z39^2*1E-4/1000))/2),1E-9))+MAX(BU39,12*INDEX(TABLAS!$C$52:$C$58,MATCH(BR39,TABLAS!$B$52:$B$58,0)),AC39/16),IF(OR(AF39&lt;INDEX(TABLAS!$C$52:$C$58,MATCH(BR39,TABLAS!$B$52:$B$58,0)),BS39-INDEX(TABLAS!$C$52:$C$58,MATCH(BR39,TABLAS!$B$52:$B$58,0))&lt;2*INDEX(TABLAS!$C$52:$C$58,MATCH(BR39,TABLAS!$B$52:$B$58,0))),INDEX(TABLAS!$I$52:$I$58,MATCH(BR39,TABLAS!$B$52:$B$58,0)),INDEX(TABLAS!$F$52:$F$58,MATCH(BR39,TABLAS!$B$52:$B$58,0)))),5))))</f>
        <v/>
      </c>
      <c r="DA39" s="60" t="str">
        <f>IF(V39&lt;&gt;"SÍ","",IF(C39="VOLADO",0,IF(((4*((AW39*AK39*Z39^2*1E-4/1000)+((MAX(AS39,AU39)*AK39*Z39^2*1E-4/1000)+(IF(AND(AS39&gt;0,AU39&gt;0),MIN(AS39,AU39),MAX(AS39,AU39))*AK39*Z39^2*1E-4/1000))/2)+BA39-(IF(AND(AS39&gt;0,AU39&gt;0),MIN(AS39,AU39),MAX(AS39,AU39))*AK39*Z39^2*1E-4/1000))^2-16*((AW39*AK39*Z39^2*1E-4/1000)+((MAX(AS39,AU39)*AK39*Z39^2*1E-4/1000)+(IF(AND(AS39&gt;0,AU39&gt;0),MIN(AS39,AU39),MAX(AS39,AU39))*AK39*Z39^2*1E-4/1000))/2)*BA39)&lt;0,CEILING(AD39,5),CEILING(MAX(AD39*((4*((AW39*AK39*Z39^2*1E-4/1000)+((MAX(AS39,AU39)*AK39*Z39^2*1E-4/1000)+(IF(AND(AS39&gt;0,AU39&gt;0),MIN(AS39,AU39),MAX(AS39,AU39))*AK39*Z39^2*1E-4/1000))/2)+BA39-(IF(AND(AS39&gt;0,AU39&gt;0),MIN(AS39,AU39),MAX(AS39,AU39))*AK39*Z39^2*1E-4/1000))-SQRT(MAX(0,((4*((AW39*AK39*Z39^2*1E-4/1000)+((MAX(AS39,AU39)*AK39*Z39^2*1E-4/1000)+(IF(AND(AS39&gt;0,AU39&gt;0),MIN(AS39,AU39),MAX(AS39,AU39))*AK39*Z39^2*1E-4/1000))/2)+BA39-(IF(AND(AS39&gt;0,AU39&gt;0),MIN(AS39,AU39),MAX(AS39,AU39))*AK39*Z39^2*1E-4/1000))^2-16*((AW39*AK39*Z39^2*1E-4/1000)+((MAX(AS39,AU39)*AK39*Z39^2*1E-4/1000)+(IF(AND(AS39&gt;0,AU39&gt;0),MIN(AS39,AU39),MAX(AS39,AU39))*AK39*Z39^2*1E-4/1000))/2)*BA39))))/(8*MAX(((AW39*AK39*Z39^2*1E-4/1000)+((MAX(AS39,AU39)*AK39*Z39^2*1E-4/1000)+(IF(AND(AS39&gt;0,AU39&gt;0),MIN(AS39,AU39),MAX(AS39,AU39))*AK39*Z39^2*1E-4/1000))/2),1E-9))+MAX(CO39,12*INDEX(TABLAS!$C$52:$C$58,MATCH(CL39,TABLAS!$B$52:$B$58,0)),AD39/16),IF(OR(AF39&lt;INDEX(TABLAS!$C$52:$C$58,MATCH(CL39,TABLAS!$B$52:$B$58,0)),CM39-INDEX(TABLAS!$C$52:$C$58,MATCH(CL39,TABLAS!$B$52:$B$58,0))&lt;2*INDEX(TABLAS!$C$52:$C$58,MATCH(CL39,TABLAS!$B$52:$B$58,0))),INDEX(TABLAS!$I$52:$I$58,MATCH(CL39,TABLAS!$B$52:$B$58,0)),INDEX(TABLAS!$F$52:$F$58,MATCH(CL39,TABLAS!$B$52:$B$58,0)))),5))))</f>
        <v/>
      </c>
      <c r="DB39" s="55" t="str">
        <f>IF(V39&lt;&gt;"SÍ","",IF(AND(C39="PERIMETRAL",AL39-AM39&gt;0,AT39&gt;0),"SÍ","NO"))</f>
        <v/>
      </c>
      <c r="DC39" s="55" t="str">
        <f>IF(V39&lt;&gt;"SÍ","",IF(AND(C39="PERIMETRAL",AM39&gt;0,AU39&gt;0),"SÍ","NO"))</f>
        <v/>
      </c>
      <c r="DD39" s="63" t="str">
        <f>IF(V39&lt;&gt;"SÍ","",IF(OR(C39="VOLADO",AL39=0),"—",IF(AND(AND(INDEX(TABLAS!$G$52:$G$58,MATCH(MAX(BR39,CL39),TABLAS!$B$52:$B$58,0))&lt;=(DATOS!$C$75-DATOS!$C$63),(DATOS!$C$75-DATOS!$C$63)&gt;=15),8*INDEX(TABLAS!$C$52:$C$58,MATCH(MAX(BH39,CB39,BR39,CL39),TABLAS!$B$52:$B$58,0))&lt;=DATOS!$C$76-2*DATOS!$C$63),"CUMPLE (gancho de 180°)",IF(AND(INDEX(TABLAS!$G$52:$G$58,MATCH(MAX(BR39,CL39),TABLAS!$B$52:$B$58,0))&lt;=(DATOS!$C$75-DATOS!$C$63),(DATOS!$C$75-DATOS!$C$63)&gt;=15),"NO CUMPLE: el gancho de 180° (8·d_b) no cabe en el peralte de la dala de borde","NO CUMPLE: dala de borde ≥ "&amp;TEXT(CEILING(MAX(INDEX(TABLAS!$G$52:$G$58,MATCH(MAX(BR39,CL39),TABLAS!$B$52:$B$58,0)),15)+DATOS!$C$63,5),"0")&amp;" cm de ancho"&amp;IF(8*INDEX(TABLAS!$C$52:$C$58,MATCH(MAX(BH39,CB39,BR39,CL39),TABLAS!$B$52:$B$58,0))&lt;=DATOS!$C$76-2*DATOS!$C$63,""," y más peralte para el gancho")))))</f>
        <v/>
      </c>
      <c r="DE39" s="69" t="str">
        <f>IF(V39&lt;&gt;"SÍ","",IF(BI39=0,"NO ALCANZA","No. "&amp;BH39&amp;" @ "&amp;BI39&amp;" cm"&amp;IF(C39="VOLADO"," (temperatura)","")))</f>
        <v/>
      </c>
      <c r="DF39" s="69" t="str">
        <f>IF(V39&lt;&gt;"SÍ","",IF(BS39=0,"NO ALCANZA",IF(C39="VOLADO","No. "&amp;BR39&amp;" @ "&amp;BS39&amp;" cm"&amp;" de la orilla al respaldo ("&amp;IF(CZ39&gt;=FLOOR(100*IF(ISNUMBER(Q39),Q39,Z39)-DATOS!$C$63,5),"hasta su apoyo lejano, con gancho","entran "&amp;TEXT(CZ39/100,"0.00")&amp;" m desde el paño")&amp;")","Bastones "&amp;"No. "&amp;BR39&amp;" @ "&amp;BS39&amp;" cm"&amp;", L = "&amp;TEXT(CZ39/100,"0.00")&amp;" m desde el paño")))</f>
        <v/>
      </c>
      <c r="DG39" s="69" t="str">
        <f>IF(V39&lt;&gt;"SÍ","",IF(CC39=0,"NO ALCANZA","No. "&amp;CB39&amp;" @ "&amp;CC39&amp;" cm"&amp;IF(C39="VOLADO"," (repartición)","")))</f>
        <v/>
      </c>
      <c r="DH39" s="69" t="str">
        <f>IF(V39&lt;&gt;"SÍ","",IF(CM39=0,"NO ALCANZA",IF(C39="VOLADO","No. "&amp;CL39&amp;" @ "&amp;CM39&amp;" cm"&amp;" (repartición)","Bastones "&amp;"No. "&amp;CL39&amp;" @ "&amp;CM39&amp;" cm"&amp;", L = "&amp;TEXT(DA39/100,"0.00")&amp;" m desde el paño")))</f>
        <v/>
      </c>
      <c r="DI39" s="67" t="str">
        <f>IF(B39="","",IF(V39&lt;&gt;"SÍ","FALTAN DATOS: tipo, a_x, a_y, destino y, en volados, L_b",IF(L39="NO MONOLÍTICO (caso II)","FUERA DE ALCANCE: caso II no transcrito",IF(AND(C39="VOLADO",X39="?"),"REVISAR: el volado lleva UN solo borde CONTINUO (el empotrado)",IF(AND(MAX(BM39,BW39,CG39,CQ39)&lt;=1,NOT(OR(BI39&lt;DATOS!$C$143,BS39&lt;DATOS!$C$143,CC39&lt;DATOS!$C$143,CM39&lt;DATOS!$C$143)),NOT(OR(AND(ISNUMBER(BN39),BN39&lt;0.005),AND(ISNUMBER(BX39),BX39&lt;0.005),AND(ISNUMBER(CH39),CH39&lt;0.005),AND(ISNUMBER(CR39),CR39&lt;0.005))),CV39="CUMPLE",CY39="CUMPLE"),"CUMPLE"&amp;IF(LEFT(BB39,5)="FUERA"," · fuera de 3.4.2.1 c)","")&amp;IF(LEFT(DD39,2)="NO"," · REVISAR anclaje en borde discontinuo",""),IF(AND(MAX(BM39,BW39,CG39,CQ39)&lt;=1,NOT(OR(BI39&lt;DATOS!$C$143,BS39&lt;DATOS!$C$143,CC39&lt;DATOS!$C$143,CM39&lt;DATOS!$C$143)),NOT(OR(AND(ISNUMBER(BN39),BN39&lt;0.005),AND(ISNUMBER(BX39),BX39&lt;0.005),AND(ISNUMBER(CH39),CH39&lt;0.005),AND(ISNUMBER(CR39),CR39&lt;0.005))),CV39="CUMPLE",CY39="CALCULAR FLECHA"),"REVISAR: calcular flecha (h &lt; h mín.)"&amp;IF(LEFT(BB39,5)="FUERA"," · fuera de 3.4.2.1 c)","")&amp;IF(LEFT(DD39,2)="NO"," · REVISAR anclaje en borde discontinuo",""),"NO CUMPLE: "&amp;IF(MAX(BM39,BW39,CG39,CQ39)&gt;1,"flexión ","")&amp;IF(OR(BI39&lt;DATOS!$C$143,BS39&lt;DATOS!$C$143,CC39&lt;DATOS!$C$143,CM39&lt;DATOS!$C$143),"separación &lt; mínima ","")&amp;IF(OR(AND(ISNUMBER(BN39),BN39&lt;0.005),AND(ISNUMBER(BX39),BX39&lt;0.005),AND(ISNUMBER(CH39),CH39&lt;0.005),AND(ISNUMBER(CR39),CR39&lt;0.005)),"ε_t &lt; 0.005 ","")&amp;IF(CV39&lt;&gt;"CUMPLE","cortante ","")&amp;IF(CY39="NO CUMPLE","peralte","")))))))</f>
        <v/>
      </c>
      <c r="DJ39" s="70" t="str">
        <f>IF(V39&lt;&gt;"SÍ","",IF(LEFT(B39,7)="EJEMPLO","EJEMPLO de tablero típico: bórralo o sobrescríbelo. ","")&amp;IF(C39="VOLADO","Volado de "&amp;TEXT(Z39,"0.00")&amp;" m empotrado en el borde "&amp;LOWER(X39)&amp;IF(N(P39)&gt;0,", con "&amp;TEXT(P39,"0.0")&amp;" kg/m en la orilla","")&amp;". Lecho inferior con r_ext. Si la orilla carga pretil u otro elemento frágil, calcula la flecha (13.4). El acero superior entra al respaldo de "&amp;TEXT(IF(ISNUMBER(Q39),Q39,Z39),"0.00")&amp;" m"&amp;" hasta pasar M = 0 con 0.9·PP sin carga viva; si ahí no se anula, llega al apoyo lejano y se ancla con gancho. ","")&amp;IF(AND(C39="VOLADO",(0.9*W39/100*DATOS!$C$16*IF(ISNUMBER(Q39),Q39,Z39)/2-AY39/IF(ISNUMBER(Q39),Q39,Z39))&lt;0),"Con 0.9·PP y sin carga viva el apoyo lejano del respaldo levanta (R = "&amp;TEXT(-(0.9*W39/100*DATOS!$C$16*IF(ISNUMBER(Q39),Q39,Z39)/2-AY39/IF(ISNUMBER(Q39),Q39,Z39)),"0.00")&amp;" t/m): ancla ahí el acero con gancho y revisa ese apoyo a tensión. ","")&amp;IF(LEFT(BB39,5)="FUERA","El M⁻ del vecino difiere más de 50 % (3.4.2.1 c): distribuye el desequilibrio (3.4.3.1) o confirma con un modelo; se arma con el mayor. ","")&amp;IF(OR(DB39="SÍ",DC39="SÍ"),"Bastones también en los bordes discontinuos (M⁻ de tabla), con gancho. ","")&amp;IF(LEFT(DD39,2)="NO","Anclaje: "&amp;DD39&amp;" (6.7.7.4.1.1). ","")&amp;IF(AND(C39="PERIMETRAL",AM39&gt;=1,AL39-AM39&gt;=1),"Esquinas exteriores sobre muro: refuerzo de esquina arriba y abajo en L_largo/5 (6.7.7.3.1). ",""))</f>
        <v/>
      </c>
    </row>
    <row r="40" ht="33" customHeight="1">
      <c r="A40" s="50">
        <f>IF(B40="",0,1)+A39</f>
        <v>3</v>
      </c>
      <c r="B40" s="29" t="n"/>
      <c r="C40" s="51" t="n"/>
      <c r="D40" s="29" t="n"/>
      <c r="E40" s="52" t="n"/>
      <c r="F40" s="52" t="n"/>
      <c r="G40" s="51" t="n"/>
      <c r="H40" s="51" t="n"/>
      <c r="I40" s="51" t="n"/>
      <c r="J40" s="51" t="n"/>
      <c r="K40" s="51" t="n"/>
      <c r="L40" s="51" t="n"/>
      <c r="M40" s="54" t="n"/>
      <c r="N40" s="53" t="n"/>
      <c r="O40" s="53" t="n"/>
      <c r="P40" s="54" t="n"/>
      <c r="Q40" s="52" t="n"/>
      <c r="R40" s="54" t="n"/>
      <c r="S40" s="53" t="n"/>
      <c r="T40" s="52" t="n"/>
      <c r="U40" s="52" t="n"/>
      <c r="V40" s="55" t="str">
        <f>IF(B40="","",IF(AND(OR(C40="PERIMETRAL",C40="VOLADO"),ISNUMBER(E40),ISNUMBER(F40),E40&gt;0,F40&gt;0,OR(ISNUMBER(O40),ISNUMBER(MATCH(D40,DATOS!$B$46:$B$58,0))),OR(C40&lt;&gt;"VOLADO",N(Q40)&gt;0)),"SÍ","NO"))</f>
        <v/>
      </c>
      <c r="W40" s="57" t="str">
        <f>IF(V40&lt;&gt;"SÍ","",IF(ISNUMBER(M40),M40,DATOS!$C$137))</f>
        <v/>
      </c>
      <c r="X40" s="55" t="str">
        <f>IF(V40&lt;&gt;"SÍ","",IF(C40&lt;&gt;"VOLADO","—",IF(COUNTIF(G40:J40,"CONTINUO")&lt;&gt;1,"?",IF(G40="CONTINUO","INFERIOR",IF(H40="CONTINUO","SUPERIOR",IF(I40="CONTINUO","IZQUIERDO","DERECHO"))))))</f>
        <v/>
      </c>
      <c r="Y40" s="55" t="str">
        <f>IF(V40&lt;&gt;"SÍ","",IF(C40="VOLADO",IF(OR(X40="IZQUIERDO",X40="DERECHO"),"X","Y"),IF(E40&lt;=F40,"X","Y")))</f>
        <v/>
      </c>
      <c r="Z40" s="56" t="str">
        <f>IF(V40&lt;&gt;"SÍ","",IF(C40="VOLADO",IF(Y40="X",E40,F40),MIN(E40,F40)))</f>
        <v/>
      </c>
      <c r="AA40" s="56" t="str">
        <f>IF(V40&lt;&gt;"SÍ","",IF(C40="VOLADO",IF(Y40="X",F40,E40),MAX(E40,F40)))</f>
        <v/>
      </c>
      <c r="AB40" s="56" t="str">
        <f>IF(V40&lt;&gt;"SÍ","",MIN(Z40,AA40)/MAX(Z40,AA40))</f>
        <v/>
      </c>
      <c r="AC40" s="57" t="str">
        <f>IF(V40&lt;&gt;"SÍ","",MAX(1,Z40*100-IF(C40="VOLADO",DATOS!$C$87/2,DATOS!$C$87)))</f>
        <v/>
      </c>
      <c r="AD40" s="57" t="str">
        <f>IF(V40&lt;&gt;"SÍ","",MAX(1,AA40*100-DATOS!$C$87))</f>
        <v/>
      </c>
      <c r="AE40" s="57" t="str">
        <f>IF(V40&lt;&gt;"SÍ","",IF(C40="VOLADO",DATOS!$C$64,DATOS!$C$62))</f>
        <v/>
      </c>
      <c r="AF40" s="57" t="str">
        <f>IF(V40&lt;&gt;"SÍ","",IF(OR(AND(AG40="SÍ",DATOS!$C$66="SÍ"),AND(C40="VOLADO",DATOS!$C$67="SÍ")),DATOS!$C$64,DATOS!$C$62))</f>
        <v/>
      </c>
      <c r="AG40" s="55" t="str">
        <f>IF(V40&lt;&gt;"SÍ","",IFERROR(INDEX(DATOS!$D$46:$D$58,MATCH(D40,DATOS!$B$46:$B$58,0)),"NO"))</f>
        <v/>
      </c>
      <c r="AH40" s="59" t="str">
        <f>IF(V40&lt;&gt;"SÍ","",IF(ISNUMBER(O40),O40,IFERROR(INDEX(DATOS!$C$46:$C$58,MATCH(D40,DATOS!$B$46:$B$58,0)),0)))</f>
        <v/>
      </c>
      <c r="AI40" s="59" t="str">
        <f>IF(V40&lt;&gt;"SÍ","",W40/100*DATOS!$C$16*1000+DATOS!$C$37+DATOS!$C$38)</f>
        <v/>
      </c>
      <c r="AJ40" s="59" t="str">
        <f>IF(V40&lt;&gt;"SÍ","",AI40+N(N40))</f>
        <v/>
      </c>
      <c r="AK40" s="60" t="str">
        <f>IF(V40&lt;&gt;"SÍ","",MAX(DATOS!$C$26*AJ40+DATOS!$C$27*AH40,IF(AG40="SÍ",DATOS!$C$28*(AJ40+DATOS!$C$41),0)))</f>
        <v/>
      </c>
      <c r="AL40" s="59" t="str">
        <f>IF(V40&lt;&gt;"SÍ","",(G40="DISCONTINUO")+(H40="DISCONTINUO")+(I40="DISCONTINUO")+(J40="DISCONTINUO"))</f>
        <v/>
      </c>
      <c r="AM40" s="59" t="str">
        <f>IF(V40&lt;&gt;"SÍ","",IF(Y40="X",(G40="DISCONTINUO")+(H40="DISCONTINUO"),(I40="DISCONTINUO")+(J40="DISCONTINUO")))</f>
        <v/>
      </c>
      <c r="AN40" s="55" t="str">
        <f>IF(V40&lt;&gt;"SÍ","",IF(AL40=0,"INTERIOR",IF(AL40=1,IF(AM40=1,"BORDE-CORTO","BORDE-LARGO"),IF(AL40=2,IF(AM40=1,"ESQUINA",IF(AM40=2,"EXTREMO-LARGO","EXTREMO-CORTO")),IF(AL40=3,IF(AM40=2,"EXTREMO-LARGO","EXTREMO-CORTO"),"AISLADO")))))</f>
        <v/>
      </c>
      <c r="AO40" s="61" t="str">
        <f>IF(V40&lt;&gt;"SÍ","",IF(OR(K40="",K40="AUTO"),AN40,K40))</f>
        <v/>
      </c>
      <c r="AP40" s="59" t="str">
        <f>IF(V40&lt;&gt;"SÍ","",MATCH(AB40,TABLAS!$D$5:$J$5,1))</f>
        <v/>
      </c>
      <c r="AQ40" s="58" t="str">
        <f>IF(V40&lt;&gt;"SÍ","",IF(AP40&gt;=7,0,(AB40-INDEX(TABLAS!$D$5:$J$5,AP40))/(INDEX(TABLAS!$D$5:$J$5,AP40+1)-INDEX(TABLAS!$D$5:$J$5,AP40))))</f>
        <v/>
      </c>
      <c r="AR40" s="59" t="str">
        <f>IF(V40&lt;&gt;"SÍ","",INDEX(TABLAS!$D$6:$J$47,MATCH(AO40&amp;"|NIC",TABLAS!$B$6:$B$47,0),AP40)+AQ40*(INDEX(TABLAS!$D$6:$J$47,MATCH(AO40&amp;"|NIC",TABLAS!$B$6:$B$47,0),MIN(AP40+1,7))-INDEX(TABLAS!$D$6:$J$47,MATCH(AO40&amp;"|NIC",TABLAS!$B$6:$B$47,0),AP40)))</f>
        <v/>
      </c>
      <c r="AS40" s="59" t="str">
        <f>IF(V40&lt;&gt;"SÍ","",INDEX(TABLAS!$D$6:$J$47,MATCH(AO40&amp;"|NIL",TABLAS!$B$6:$B$47,0),AP40)+AQ40*(INDEX(TABLAS!$D$6:$J$47,MATCH(AO40&amp;"|NIL",TABLAS!$B$6:$B$47,0),MIN(AP40+1,7))-INDEX(TABLAS!$D$6:$J$47,MATCH(AO40&amp;"|NIL",TABLAS!$B$6:$B$47,0),AP40)))</f>
        <v/>
      </c>
      <c r="AT40" s="59" t="str">
        <f>IF(V40&lt;&gt;"SÍ","",INDEX(TABLAS!$D$6:$J$47,MATCH(AO40&amp;"|NDC",TABLAS!$B$6:$B$47,0),AP40)+AQ40*(INDEX(TABLAS!$D$6:$J$47,MATCH(AO40&amp;"|NDC",TABLAS!$B$6:$B$47,0),MIN(AP40+1,7))-INDEX(TABLAS!$D$6:$J$47,MATCH(AO40&amp;"|NDC",TABLAS!$B$6:$B$47,0),AP40)))</f>
        <v/>
      </c>
      <c r="AU40" s="59" t="str">
        <f>IF(V40&lt;&gt;"SÍ","",INDEX(TABLAS!$D$6:$J$47,MATCH(AO40&amp;"|NDL",TABLAS!$B$6:$B$47,0),AP40)+AQ40*(INDEX(TABLAS!$D$6:$J$47,MATCH(AO40&amp;"|NDL",TABLAS!$B$6:$B$47,0),MIN(AP40+1,7))-INDEX(TABLAS!$D$6:$J$47,MATCH(AO40&amp;"|NDL",TABLAS!$B$6:$B$47,0),AP40)))</f>
        <v/>
      </c>
      <c r="AV40" s="59" t="str">
        <f>IF(V40&lt;&gt;"SÍ","",INDEX(TABLAS!$D$6:$J$47,MATCH(AO40&amp;"|PC",TABLAS!$B$6:$B$47,0),AP40)+AQ40*(INDEX(TABLAS!$D$6:$J$47,MATCH(AO40&amp;"|PC",TABLAS!$B$6:$B$47,0),MIN(AP40+1,7))-INDEX(TABLAS!$D$6:$J$47,MATCH(AO40&amp;"|PC",TABLAS!$B$6:$B$47,0),AP40)))</f>
        <v/>
      </c>
      <c r="AW40" s="59" t="str">
        <f>IF(V40&lt;&gt;"SÍ","",INDEX(TABLAS!$D$6:$J$47,MATCH(AO40&amp;"|PL",TABLAS!$B$6:$B$47,0),AP40)+AQ40*(INDEX(TABLAS!$D$6:$J$47,MATCH(AO40&amp;"|PL",TABLAS!$B$6:$B$47,0),MIN(AP40+1,7))-INDEX(TABLAS!$D$6:$J$47,MATCH(AO40&amp;"|PL",TABLAS!$B$6:$B$47,0),AP40)))</f>
        <v/>
      </c>
      <c r="AX40" s="56" t="str">
        <f>IF(V40&lt;&gt;"SÍ","",IF(C40="PERIMETRAL",AV40*AK40*Z40^2*1E-4/1000,0))</f>
        <v/>
      </c>
      <c r="AY40" s="62" t="str">
        <f>IF(V40&lt;&gt;"SÍ","",IF(C40="PERIMETRAL",MAX(MAX(AR40,AT40)*AK40*Z40^2*1E-4/1000,N(T40)),(AK40*(AC40/100)^2/2+DATOS!$C$26*N(P40)*AC40/100)/1000))</f>
        <v/>
      </c>
      <c r="AZ40" s="56" t="str">
        <f>IF(V40&lt;&gt;"SÍ","",IF(C40="PERIMETRAL",AW40*AK40*Z40^2*1E-4/1000,0))</f>
        <v/>
      </c>
      <c r="BA40" s="56" t="str">
        <f>IF(V40&lt;&gt;"SÍ","",IF(C40="PERIMETRAL",MAX(MAX(AS40,AU40)*AK40*Z40^2*1E-4/1000,N(U40)),0))</f>
        <v/>
      </c>
      <c r="BB40" s="63" t="str">
        <f>IF(V40&lt;&gt;"SÍ","",IF(C40&lt;&gt;"PERIMETRAL","—",IF(AND(N(T40)=0,N(U40)=0),"— (sin M⁻ del vecino)",IF(OR(AND(N(T40)&gt;0,ABS(MAX(AR40,AT40)*AK40*Z40^2*1E-4/1000-N(T40))&gt;0.5*MIN(MAX(AR40,AT40)*AK40*Z40^2*1E-4/1000,N(T40))),AND(N(U40)&gt;0,ABS(MAX(AS40,AU40)*AK40*Z40^2*1E-4/1000-N(U40))&gt;0.5*MIN(MAX(AS40,AU40)*AK40*Z40^2*1E-4/1000,N(U40)))),"FUERA: difieren &gt; 50 %"&amp;IF(AND(N(T40)&gt;0,ABS(MAX(AR40,AT40)*AK40*Z40^2*1E-4/1000-N(T40))&gt;0.5*MIN(MAX(AR40,AT40)*AK40*Z40^2*1E-4/1000,N(T40)))," ‖ corto","")&amp;IF(AND(N(U40)&gt;0,ABS(MAX(AS40,AU40)*AK40*Z40^2*1E-4/1000-N(U40))&gt;0.5*MIN(MAX(AS40,AU40)*AK40*Z40^2*1E-4/1000,N(U40)))," ‖ largo",""),"CUMPLE"))))</f>
        <v/>
      </c>
      <c r="BC40" s="58" t="str">
        <f>IF(V40&lt;&gt;"SÍ","",DATOS!$C$139*100*W40)</f>
        <v/>
      </c>
      <c r="BD40" s="57" t="str">
        <f>IF(V40&lt;&gt;"SÍ","",MIN(IF(C40="VOLADO",DATOS!$C$141,DATOS!$C$140)*W40,DATOS!$C$142))</f>
        <v/>
      </c>
      <c r="BE40" s="58" t="str">
        <f>IF(V40&lt;&gt;"SÍ","",(W40-AE40-INDEX(TABLAS!$C$52:$C$58,MATCH(IF(ISNUMBER(S40),S40,DATOS!$C$138),TABLAS!$B$52:$B$58,0))/2))</f>
        <v/>
      </c>
      <c r="BF40" s="58" t="str">
        <f>IF(V40&lt;&gt;"SÍ","",IF(AX40&lt;=0,0,IF((1-2*AX40*1E5/(DATOS!$C$29*100*BE40^2*DATOS!$C$21))&lt;0,-1,IF((1-SQRT((1-2*AX40*1E5/(DATOS!$C$29*100*BE40^2*DATOS!$C$21))))*DATOS!$C$21*100*BE40/DATOS!$C$14&gt;DATOS!$C$102*100*BE40,-1,(1-SQRT((1-2*AX40*1E5/(DATOS!$C$29*100*BE40^2*DATOS!$C$21))))*DATOS!$C$21*100*BE40/DATOS!$C$14))))</f>
        <v/>
      </c>
      <c r="BG40" s="58" t="str">
        <f>IF(V40&lt;&gt;"SÍ","",IF(BF40&lt;0,-1,MAX(BF40,BC40)))</f>
        <v/>
      </c>
      <c r="BH40" s="64" t="str">
        <f>IF(V40&lt;&gt;"SÍ","",IF(AND(BG40&gt;0,FLOOR(MIN(BD40,100*INDEX(TABLAS!$D$52:$D$58,MIN(MATCH(IF(ISNUMBER(S40),S40,DATOS!$C$138),TABLAS!$B$52:$B$58,0)+0,7))/MAX(BG40,0.0001)),DATOS!$C$144)&gt;=DATOS!$C$143),INDEX(TABLAS!$B$52:$B$58,MIN(MATCH(IF(ISNUMBER(S40),S40,DATOS!$C$138),TABLAS!$B$52:$B$58,0)+0,7)),IF(AND(BG40&gt;0,FLOOR(MIN(BD40,100*INDEX(TABLAS!$D$52:$D$58,MIN(MATCH(IF(ISNUMBER(S40),S40,DATOS!$C$138),TABLAS!$B$52:$B$58,0)+1,7))/MAX(BG40,0.0001)),DATOS!$C$144)&gt;=DATOS!$C$143),INDEX(TABLAS!$B$52:$B$58,MIN(MATCH(IF(ISNUMBER(S40),S40,DATOS!$C$138),TABLAS!$B$52:$B$58,0)+1,7)),IF(AND(BG40&gt;0,FLOOR(MIN(BD40,100*INDEX(TABLAS!$D$52:$D$58,MIN(MATCH(IF(ISNUMBER(S40),S40,DATOS!$C$138),TABLAS!$B$52:$B$58,0)+2,7))/MAX(BG40,0.0001)),DATOS!$C$144)&gt;=DATOS!$C$143),INDEX(TABLAS!$B$52:$B$58,MIN(MATCH(IF(ISNUMBER(S40),S40,DATOS!$C$138),TABLAS!$B$52:$B$58,0)+2,7)),IF(AND(BG40&gt;0,FLOOR(MIN(BD40,100*INDEX(TABLAS!$D$52:$D$58,MIN(MATCH(IF(ISNUMBER(S40),S40,DATOS!$C$138),TABLAS!$B$52:$B$58,0)+3,7))/MAX(BG40,0.0001)),DATOS!$C$144)&gt;=DATOS!$C$143),INDEX(TABLAS!$B$52:$B$58,MIN(MATCH(IF(ISNUMBER(S40),S40,DATOS!$C$138),TABLAS!$B$52:$B$58,0)+3,7)),IF(AND(BG40&gt;0,FLOOR(MIN(BD40,100*INDEX(TABLAS!$D$52:$D$58,MIN(MATCH(IF(ISNUMBER(S40),S40,DATOS!$C$138),TABLAS!$B$52:$B$58,0)+4,7))/MAX(BG40,0.0001)),DATOS!$C$144)&gt;=DATOS!$C$143),INDEX(TABLAS!$B$52:$B$58,MIN(MATCH(IF(ISNUMBER(S40),S40,DATOS!$C$138),TABLAS!$B$52:$B$58,0)+4,7)),INDEX(TABLAS!$B$52:$B$58,7)))))))</f>
        <v/>
      </c>
      <c r="BI40" s="71" t="str">
        <f>IF(V40&lt;&gt;"SÍ","",IF(BG40&lt;=0,0,FLOOR(MIN(BD40,100*INDEX(TABLAS!$D$52:$D$58,MATCH(BH40,TABLAS!$B$52:$B$58,0))/BG40),DATOS!$C$144)))</f>
        <v/>
      </c>
      <c r="BJ40" s="58" t="str">
        <f>IF(V40&lt;&gt;"SÍ","",IF(BI40&lt;=0,0,INDEX(TABLAS!$D$52:$D$58,MATCH(BH40,TABLAS!$B$52:$B$58,0))*100/BI40))</f>
        <v/>
      </c>
      <c r="BK40" s="58" t="str">
        <f>IF(V40&lt;&gt;"SÍ","",W40-AE40-INDEX(TABLAS!$C$52:$C$58,MATCH(BH40,TABLAS!$B$52:$B$58,0))/2)</f>
        <v/>
      </c>
      <c r="BL40" s="56" t="str">
        <f>IF(V40&lt;&gt;"SÍ","",IF(BJ40=0,0,DATOS!$C$29*BJ40*DATOS!$C$14*(BK40-BJ40*DATOS!$C$14/(DATOS!$C$21*100)/2)/1E5))</f>
        <v/>
      </c>
      <c r="BM40" s="65" t="str">
        <f>IF(V40&lt;&gt;"SÍ","",IF(BG40&lt;0,9.99,IF(BL40&gt;0,AX40/BL40,0)))</f>
        <v/>
      </c>
      <c r="BN40" s="66" t="str">
        <f>IF(V40&lt;&gt;"SÍ","",IF(BJ40=0,"—",0.003*(BK40-(BJ40*DATOS!$C$14/(DATOS!$C$21*100)/DATOS!$C$22))/(BJ40*DATOS!$C$14/(DATOS!$C$21*100)/DATOS!$C$22)))</f>
        <v/>
      </c>
      <c r="BO40" s="58" t="str">
        <f>IF(V40&lt;&gt;"SÍ","",((W40-AF40-INDEX(TABLAS!$C$52:$C$58,MATCH(IF(ISNUMBER(S40),S40,DATOS!$C$138),TABLAS!$B$52:$B$58,0))/2)-IF(AND((W40-AF40-INDEX(TABLAS!$C$52:$C$58,MATCH(IF(ISNUMBER(S40),S40,DATOS!$C$138),TABLAS!$B$52:$B$58,0))/2)&lt;=20,DATOS!$C$65&lt;&gt;"SÍ"),2,0)))</f>
        <v/>
      </c>
      <c r="BP40" s="58" t="str">
        <f>IF(V40&lt;&gt;"SÍ","",IF(AY40&lt;=0,0,IF((1-2*AY40*1E5/(DATOS!$C$29*100*BO40^2*DATOS!$C$21))&lt;0,-1,IF((1-SQRT((1-2*AY40*1E5/(DATOS!$C$29*100*BO40^2*DATOS!$C$21))))*DATOS!$C$21*100*BO40/DATOS!$C$14&gt;DATOS!$C$102*100*BO40,-1,(1-SQRT((1-2*AY40*1E5/(DATOS!$C$29*100*BO40^2*DATOS!$C$21))))*DATOS!$C$21*100*BO40/DATOS!$C$14))))</f>
        <v/>
      </c>
      <c r="BQ40" s="58" t="str">
        <f>IF(V40&lt;&gt;"SÍ","",IF(BP40&lt;0,-1,MAX(BP40,BC40)))</f>
        <v/>
      </c>
      <c r="BR40" s="64" t="str">
        <f>IF(V40&lt;&gt;"SÍ","",IF(AND(BQ40&gt;0,FLOOR(MIN(BD40,100*INDEX(TABLAS!$D$52:$D$58,MIN(MATCH(IF(ISNUMBER(S40),S40,DATOS!$C$138),TABLAS!$B$52:$B$58,0)+0,7))/MAX(BQ40,0.0001)),DATOS!$C$144)&gt;=DATOS!$C$143),INDEX(TABLAS!$B$52:$B$58,MIN(MATCH(IF(ISNUMBER(S40),S40,DATOS!$C$138),TABLAS!$B$52:$B$58,0)+0,7)),IF(AND(BQ40&gt;0,FLOOR(MIN(BD40,100*INDEX(TABLAS!$D$52:$D$58,MIN(MATCH(IF(ISNUMBER(S40),S40,DATOS!$C$138),TABLAS!$B$52:$B$58,0)+1,7))/MAX(BQ40,0.0001)),DATOS!$C$144)&gt;=DATOS!$C$143),INDEX(TABLAS!$B$52:$B$58,MIN(MATCH(IF(ISNUMBER(S40),S40,DATOS!$C$138),TABLAS!$B$52:$B$58,0)+1,7)),IF(AND(BQ40&gt;0,FLOOR(MIN(BD40,100*INDEX(TABLAS!$D$52:$D$58,MIN(MATCH(IF(ISNUMBER(S40),S40,DATOS!$C$138),TABLAS!$B$52:$B$58,0)+2,7))/MAX(BQ40,0.0001)),DATOS!$C$144)&gt;=DATOS!$C$143),INDEX(TABLAS!$B$52:$B$58,MIN(MATCH(IF(ISNUMBER(S40),S40,DATOS!$C$138),TABLAS!$B$52:$B$58,0)+2,7)),IF(AND(BQ40&gt;0,FLOOR(MIN(BD40,100*INDEX(TABLAS!$D$52:$D$58,MIN(MATCH(IF(ISNUMBER(S40),S40,DATOS!$C$138),TABLAS!$B$52:$B$58,0)+3,7))/MAX(BQ40,0.0001)),DATOS!$C$144)&gt;=DATOS!$C$143),INDEX(TABLAS!$B$52:$B$58,MIN(MATCH(IF(ISNUMBER(S40),S40,DATOS!$C$138),TABLAS!$B$52:$B$58,0)+3,7)),IF(AND(BQ40&gt;0,FLOOR(MIN(BD40,100*INDEX(TABLAS!$D$52:$D$58,MIN(MATCH(IF(ISNUMBER(S40),S40,DATOS!$C$138),TABLAS!$B$52:$B$58,0)+4,7))/MAX(BQ40,0.0001)),DATOS!$C$144)&gt;=DATOS!$C$143),INDEX(TABLAS!$B$52:$B$58,MIN(MATCH(IF(ISNUMBER(S40),S40,DATOS!$C$138),TABLAS!$B$52:$B$58,0)+4,7)),INDEX(TABLAS!$B$52:$B$58,7)))))))</f>
        <v/>
      </c>
      <c r="BS40" s="71" t="str">
        <f>IF(V40&lt;&gt;"SÍ","",IF(BQ40&lt;=0,0,FLOOR(MIN(BD40,100*INDEX(TABLAS!$D$52:$D$58,MATCH(BR40,TABLAS!$B$52:$B$58,0))/BQ40),DATOS!$C$144)))</f>
        <v/>
      </c>
      <c r="BT40" s="58" t="str">
        <f>IF(V40&lt;&gt;"SÍ","",IF(BS40&lt;=0,0,INDEX(TABLAS!$D$52:$D$58,MATCH(BR40,TABLAS!$B$52:$B$58,0))*100/BS40))</f>
        <v/>
      </c>
      <c r="BU40" s="58" t="str">
        <f>IF(V40&lt;&gt;"SÍ","",((W40-AF40-INDEX(TABLAS!$C$52:$C$58,MATCH(BR40,TABLAS!$B$52:$B$58,0))/2)-IF(AND((W40-AF40-INDEX(TABLAS!$C$52:$C$58,MATCH(BR40,TABLAS!$B$52:$B$58,0))/2)&lt;=20,DATOS!$C$65&lt;&gt;"SÍ"),2,0)))</f>
        <v/>
      </c>
      <c r="BV40" s="56" t="str">
        <f>IF(V40&lt;&gt;"SÍ","",IF(BT40=0,0,DATOS!$C$29*BT40*DATOS!$C$14*(BU40-BT40*DATOS!$C$14/(DATOS!$C$21*100)/2)/1E5))</f>
        <v/>
      </c>
      <c r="BW40" s="65" t="str">
        <f>IF(V40&lt;&gt;"SÍ","",IF(BQ40&lt;0,9.99,IF(BV40&gt;0,AY40/BV40,0)))</f>
        <v/>
      </c>
      <c r="BX40" s="66" t="str">
        <f>IF(V40&lt;&gt;"SÍ","",IF(BT40=0,"—",0.003*(BU40-(BT40*DATOS!$C$14/(DATOS!$C$21*100)/DATOS!$C$22))/(BT40*DATOS!$C$14/(DATOS!$C$21*100)/DATOS!$C$22)))</f>
        <v/>
      </c>
      <c r="BY40" s="58" t="str">
        <f>IF(V40&lt;&gt;"SÍ","",(W40-AE40-1.5*INDEX(TABLAS!$C$52:$C$58,MATCH(IF(ISNUMBER(S40),S40,DATOS!$C$138),TABLAS!$B$52:$B$58,0))))</f>
        <v/>
      </c>
      <c r="BZ40" s="58" t="str">
        <f>IF(V40&lt;&gt;"SÍ","",IF(AZ40&lt;=0,0,IF((1-2*AZ40*1E5/(DATOS!$C$29*100*BY40^2*DATOS!$C$21))&lt;0,-1,IF((1-SQRT((1-2*AZ40*1E5/(DATOS!$C$29*100*BY40^2*DATOS!$C$21))))*DATOS!$C$21*100*BY40/DATOS!$C$14&gt;DATOS!$C$102*100*BY40,-1,(1-SQRT((1-2*AZ40*1E5/(DATOS!$C$29*100*BY40^2*DATOS!$C$21))))*DATOS!$C$21*100*BY40/DATOS!$C$14))))</f>
        <v/>
      </c>
      <c r="CA40" s="58" t="str">
        <f>IF(V40&lt;&gt;"SÍ","",IF(BZ40&lt;0,-1,MAX(BZ40,BC40)))</f>
        <v/>
      </c>
      <c r="CB40" s="64" t="str">
        <f>IF(V40&lt;&gt;"SÍ","",IF(AND(CA40&gt;0,FLOOR(MIN(BD40,100*INDEX(TABLAS!$D$52:$D$58,MIN(MATCH(IF(ISNUMBER(S40),S40,DATOS!$C$138),TABLAS!$B$52:$B$58,0)+0,7))/MAX(CA40,0.0001)),DATOS!$C$144)&gt;=DATOS!$C$143),INDEX(TABLAS!$B$52:$B$58,MIN(MATCH(IF(ISNUMBER(S40),S40,DATOS!$C$138),TABLAS!$B$52:$B$58,0)+0,7)),IF(AND(CA40&gt;0,FLOOR(MIN(BD40,100*INDEX(TABLAS!$D$52:$D$58,MIN(MATCH(IF(ISNUMBER(S40),S40,DATOS!$C$138),TABLAS!$B$52:$B$58,0)+1,7))/MAX(CA40,0.0001)),DATOS!$C$144)&gt;=DATOS!$C$143),INDEX(TABLAS!$B$52:$B$58,MIN(MATCH(IF(ISNUMBER(S40),S40,DATOS!$C$138),TABLAS!$B$52:$B$58,0)+1,7)),IF(AND(CA40&gt;0,FLOOR(MIN(BD40,100*INDEX(TABLAS!$D$52:$D$58,MIN(MATCH(IF(ISNUMBER(S40),S40,DATOS!$C$138),TABLAS!$B$52:$B$58,0)+2,7))/MAX(CA40,0.0001)),DATOS!$C$144)&gt;=DATOS!$C$143),INDEX(TABLAS!$B$52:$B$58,MIN(MATCH(IF(ISNUMBER(S40),S40,DATOS!$C$138),TABLAS!$B$52:$B$58,0)+2,7)),IF(AND(CA40&gt;0,FLOOR(MIN(BD40,100*INDEX(TABLAS!$D$52:$D$58,MIN(MATCH(IF(ISNUMBER(S40),S40,DATOS!$C$138),TABLAS!$B$52:$B$58,0)+3,7))/MAX(CA40,0.0001)),DATOS!$C$144)&gt;=DATOS!$C$143),INDEX(TABLAS!$B$52:$B$58,MIN(MATCH(IF(ISNUMBER(S40),S40,DATOS!$C$138),TABLAS!$B$52:$B$58,0)+3,7)),IF(AND(CA40&gt;0,FLOOR(MIN(BD40,100*INDEX(TABLAS!$D$52:$D$58,MIN(MATCH(IF(ISNUMBER(S40),S40,DATOS!$C$138),TABLAS!$B$52:$B$58,0)+4,7))/MAX(CA40,0.0001)),DATOS!$C$144)&gt;=DATOS!$C$143),INDEX(TABLAS!$B$52:$B$58,MIN(MATCH(IF(ISNUMBER(S40),S40,DATOS!$C$138),TABLAS!$B$52:$B$58,0)+4,7)),INDEX(TABLAS!$B$52:$B$58,7)))))))</f>
        <v/>
      </c>
      <c r="CC40" s="71" t="str">
        <f>IF(V40&lt;&gt;"SÍ","",IF(CA40&lt;=0,0,FLOOR(MIN(BD40,100*INDEX(TABLAS!$D$52:$D$58,MATCH(CB40,TABLAS!$B$52:$B$58,0))/CA40),DATOS!$C$144)))</f>
        <v/>
      </c>
      <c r="CD40" s="58" t="str">
        <f>IF(V40&lt;&gt;"SÍ","",IF(CC40&lt;=0,0,INDEX(TABLAS!$D$52:$D$58,MATCH(CB40,TABLAS!$B$52:$B$58,0))*100/CC40))</f>
        <v/>
      </c>
      <c r="CE40" s="58" t="str">
        <f>IF(V40&lt;&gt;"SÍ","",W40-AE40-INDEX(TABLAS!$C$52:$C$58,MATCH(BH40,TABLAS!$B$52:$B$58,0))-INDEX(TABLAS!$C$52:$C$58,MATCH(CB40,TABLAS!$B$52:$B$58,0))/2)</f>
        <v/>
      </c>
      <c r="CF40" s="56" t="str">
        <f>IF(V40&lt;&gt;"SÍ","",IF(CD40=0,0,DATOS!$C$29*CD40*DATOS!$C$14*(CE40-CD40*DATOS!$C$14/(DATOS!$C$21*100)/2)/1E5))</f>
        <v/>
      </c>
      <c r="CG40" s="65" t="str">
        <f>IF(V40&lt;&gt;"SÍ","",IF(CA40&lt;0,9.99,IF(CF40&gt;0,AZ40/CF40,0)))</f>
        <v/>
      </c>
      <c r="CH40" s="66" t="str">
        <f>IF(V40&lt;&gt;"SÍ","",IF(CD40=0,"—",0.003*(CE40-(CD40*DATOS!$C$14/(DATOS!$C$21*100)/DATOS!$C$22))/(CD40*DATOS!$C$14/(DATOS!$C$21*100)/DATOS!$C$22)))</f>
        <v/>
      </c>
      <c r="CI40" s="58" t="str">
        <f>IF(V40&lt;&gt;"SÍ","",((W40-AF40-1.5*INDEX(TABLAS!$C$52:$C$58,MATCH(IF(ISNUMBER(S40),S40,DATOS!$C$138),TABLAS!$B$52:$B$58,0)))-IF(AND((W40-AF40-1.5*INDEX(TABLAS!$C$52:$C$58,MATCH(IF(ISNUMBER(S40),S40,DATOS!$C$138),TABLAS!$B$52:$B$58,0)))&lt;=20,DATOS!$C$65&lt;&gt;"SÍ"),2,0)))</f>
        <v/>
      </c>
      <c r="CJ40" s="58" t="str">
        <f>IF(V40&lt;&gt;"SÍ","",IF(BA40&lt;=0,0,IF((1-2*BA40*1E5/(DATOS!$C$29*100*CI40^2*DATOS!$C$21))&lt;0,-1,IF((1-SQRT((1-2*BA40*1E5/(DATOS!$C$29*100*CI40^2*DATOS!$C$21))))*DATOS!$C$21*100*CI40/DATOS!$C$14&gt;DATOS!$C$102*100*CI40,-1,(1-SQRT((1-2*BA40*1E5/(DATOS!$C$29*100*CI40^2*DATOS!$C$21))))*DATOS!$C$21*100*CI40/DATOS!$C$14))))</f>
        <v/>
      </c>
      <c r="CK40" s="58" t="str">
        <f>IF(V40&lt;&gt;"SÍ","",IF(CJ40&lt;0,-1,MAX(CJ40,BC40)))</f>
        <v/>
      </c>
      <c r="CL40" s="64" t="str">
        <f>IF(V40&lt;&gt;"SÍ","",IF(AND(CK40&gt;0,FLOOR(MIN(BD40,100*INDEX(TABLAS!$D$52:$D$58,MIN(MATCH(IF(ISNUMBER(S40),S40,DATOS!$C$138),TABLAS!$B$52:$B$58,0)+0,7))/MAX(CK40,0.0001)),DATOS!$C$144)&gt;=DATOS!$C$143),INDEX(TABLAS!$B$52:$B$58,MIN(MATCH(IF(ISNUMBER(S40),S40,DATOS!$C$138),TABLAS!$B$52:$B$58,0)+0,7)),IF(AND(CK40&gt;0,FLOOR(MIN(BD40,100*INDEX(TABLAS!$D$52:$D$58,MIN(MATCH(IF(ISNUMBER(S40),S40,DATOS!$C$138),TABLAS!$B$52:$B$58,0)+1,7))/MAX(CK40,0.0001)),DATOS!$C$144)&gt;=DATOS!$C$143),INDEX(TABLAS!$B$52:$B$58,MIN(MATCH(IF(ISNUMBER(S40),S40,DATOS!$C$138),TABLAS!$B$52:$B$58,0)+1,7)),IF(AND(CK40&gt;0,FLOOR(MIN(BD40,100*INDEX(TABLAS!$D$52:$D$58,MIN(MATCH(IF(ISNUMBER(S40),S40,DATOS!$C$138),TABLAS!$B$52:$B$58,0)+2,7))/MAX(CK40,0.0001)),DATOS!$C$144)&gt;=DATOS!$C$143),INDEX(TABLAS!$B$52:$B$58,MIN(MATCH(IF(ISNUMBER(S40),S40,DATOS!$C$138),TABLAS!$B$52:$B$58,0)+2,7)),IF(AND(CK40&gt;0,FLOOR(MIN(BD40,100*INDEX(TABLAS!$D$52:$D$58,MIN(MATCH(IF(ISNUMBER(S40),S40,DATOS!$C$138),TABLAS!$B$52:$B$58,0)+3,7))/MAX(CK40,0.0001)),DATOS!$C$144)&gt;=DATOS!$C$143),INDEX(TABLAS!$B$52:$B$58,MIN(MATCH(IF(ISNUMBER(S40),S40,DATOS!$C$138),TABLAS!$B$52:$B$58,0)+3,7)),IF(AND(CK40&gt;0,FLOOR(MIN(BD40,100*INDEX(TABLAS!$D$52:$D$58,MIN(MATCH(IF(ISNUMBER(S40),S40,DATOS!$C$138),TABLAS!$B$52:$B$58,0)+4,7))/MAX(CK40,0.0001)),DATOS!$C$144)&gt;=DATOS!$C$143),INDEX(TABLAS!$B$52:$B$58,MIN(MATCH(IF(ISNUMBER(S40),S40,DATOS!$C$138),TABLAS!$B$52:$B$58,0)+4,7)),INDEX(TABLAS!$B$52:$B$58,7)))))))</f>
        <v/>
      </c>
      <c r="CM40" s="71" t="str">
        <f>IF(V40&lt;&gt;"SÍ","",IF(CK40&lt;=0,0,FLOOR(MIN(BD40,100*INDEX(TABLAS!$D$52:$D$58,MATCH(CL40,TABLAS!$B$52:$B$58,0))/CK40),DATOS!$C$144)))</f>
        <v/>
      </c>
      <c r="CN40" s="58" t="str">
        <f>IF(V40&lt;&gt;"SÍ","",IF(CM40&lt;=0,0,INDEX(TABLAS!$D$52:$D$58,MATCH(CL40,TABLAS!$B$52:$B$58,0))*100/CM40))</f>
        <v/>
      </c>
      <c r="CO40" s="58" t="str">
        <f>IF(V40&lt;&gt;"SÍ","",((W40-AF40-INDEX(TABLAS!$C$52:$C$58,MATCH(BR40,TABLAS!$B$52:$B$58,0))-INDEX(TABLAS!$C$52:$C$58,MATCH(CL40,TABLAS!$B$52:$B$58,0))/2)-IF(AND((W40-AF40-INDEX(TABLAS!$C$52:$C$58,MATCH(BR40,TABLAS!$B$52:$B$58,0))-INDEX(TABLAS!$C$52:$C$58,MATCH(CL40,TABLAS!$B$52:$B$58,0))/2)&lt;=20,DATOS!$C$65&lt;&gt;"SÍ"),2,0)))</f>
        <v/>
      </c>
      <c r="CP40" s="56" t="str">
        <f>IF(V40&lt;&gt;"SÍ","",IF(CN40=0,0,DATOS!$C$29*CN40*DATOS!$C$14*(CO40-CN40*DATOS!$C$14/(DATOS!$C$21*100)/2)/1E5))</f>
        <v/>
      </c>
      <c r="CQ40" s="65" t="str">
        <f>IF(V40&lt;&gt;"SÍ","",IF(CK40&lt;0,9.99,IF(CP40&gt;0,BA40/CP40,0)))</f>
        <v/>
      </c>
      <c r="CR40" s="66" t="str">
        <f>IF(V40&lt;&gt;"SÍ","",IF(CN40=0,"—",0.003*(CO40-(CN40*DATOS!$C$14/(DATOS!$C$21*100)/DATOS!$C$22))/(CN40*DATOS!$C$14/(DATOS!$C$21*100)/DATOS!$C$22)))</f>
        <v/>
      </c>
      <c r="CS40" s="56" t="str">
        <f>IF(V40&lt;&gt;"SÍ","",IF(C40="PERIMETRAL",MAX(0,(AC40/2-BU40)/100)*(0.95-0.5*AB40)*AK40*IF(AND(AL40&gt;0,AL40&lt;4),DATOS!$C$33,1)/1000,(AK40*MAX(0,AC40-BU40)/100+DATOS!$C$26*N(P40))/1000))</f>
        <v/>
      </c>
      <c r="CT40" s="66" t="str">
        <f>IF(V40&lt;&gt;"SÍ","",BT40/(100*BU40))</f>
        <v/>
      </c>
      <c r="CU40" s="56" t="str">
        <f>IF(V40&lt;&gt;"SÍ","",DATOS!$C$30*2*MIN(1,SQRT(2/(1+0.04*BU40)))*CT40^(1/3)*SQRT(DATOS!$C$13)*100*BU40/1000)</f>
        <v/>
      </c>
      <c r="CV40" s="67" t="str">
        <f>IF(V40&lt;&gt;"SÍ","",IF(CS40&lt;=CU40,"CUMPLE","NO CUMPLE: sube h"))</f>
        <v/>
      </c>
      <c r="CW40" s="58" t="str">
        <f>IF(V40&lt;&gt;"SÍ","",IF(C40="PERIMETRAL",IF(ISNUMBER(R40),R40,DATOS!$C$104),0))</f>
        <v/>
      </c>
      <c r="CX40" s="57" t="str">
        <f>IF(V40&lt;&gt;"SÍ","",IF(C40="PERIMETRAL",IF(CW40&gt;2,MAX(9,AD40*(0.8+DATOS!$C$14/14000)/(36+9*(AD40/MAX(AC40,1)))),IF(CW40&gt;0.2,MAX(13,AD40*(0.8+DATOS!$C$14/14000)/(36+5*(AD40/MAX(AC40,1))*(CW40-0.2))),MAX(13,AD40/IF(AL40&gt;0,30,33))))*IF(AND(CW40&gt;0.2,AL40&gt;0,DATOS!$C$105="NO"),1.1,1),Z40*100/DATOS!$C$145*(0.4+DATOS!$C$14/7000)))</f>
        <v/>
      </c>
      <c r="CY40" s="61" t="str">
        <f>IF(V40&lt;&gt;"SÍ","",IF(W40&gt;=CX40-0.001,"CUMPLE",IF(C40="VOLADO","NO CUMPLE","CALCULAR FLECHA")))</f>
        <v/>
      </c>
      <c r="CZ40" s="60" t="str">
        <f>IF(V40&lt;&gt;"SÍ","",IF(C40="VOLADO",MIN(FLOOR(IF(ISNUMBER(Q40),Q40,Z40)*100-DATOS!$C$63,5),CEILING(MAX(IF((0.5*(0.9*W40/100*DATOS!$C$16)*IF(ISNUMBER(Q40),Q40,Z40)+AY40/IF(ISNUMBER(Q40),Q40,Z40))^2-4*(0.5*(0.9*W40/100*DATOS!$C$16))*AY40&lt;0,IF(ISNUMBER(Q40),Q40,Z40),MIN(IF(ISNUMBER(Q40),Q40,Z40),((0.5*(0.9*W40/100*DATOS!$C$16)*IF(ISNUMBER(Q40),Q40,Z40)+AY40/IF(ISNUMBER(Q40),Q40,Z40))-SQRT((0.5*(0.9*W40/100*DATOS!$C$16)*IF(ISNUMBER(Q40),Q40,Z40)+AY40/IF(ISNUMBER(Q40),Q40,Z40))^2-4*(0.5*(0.9*W40/100*DATOS!$C$16))*AY40))/(2*(0.5*(0.9*W40/100*DATOS!$C$16)))))*100+MAX(BU40,12*INDEX(TABLAS!$C$52:$C$58,MATCH(BR40,TABLAS!$B$52:$B$58,0)),IF(ISNUMBER(Q40),Q40,Z40)*100/16),IF(OR(AF40&lt;INDEX(TABLAS!$C$52:$C$58,MATCH(BR40,TABLAS!$B$52:$B$58,0)),BS40-INDEX(TABLAS!$C$52:$C$58,MATCH(BR40,TABLAS!$B$52:$B$58,0))&lt;2*INDEX(TABLAS!$C$52:$C$58,MATCH(BR40,TABLAS!$B$52:$B$58,0))),INDEX(TABLAS!$I$52:$I$58,MATCH(BR40,TABLAS!$B$52:$B$58,0)),INDEX(TABLAS!$F$52:$F$58,MATCH(BR40,TABLAS!$B$52:$B$58,0)))),5)),IF(((4*((AV40*AK40*Z40^2*1E-4/1000)+((MAX(AR40,AT40)*AK40*Z40^2*1E-4/1000)+(IF(AND(AR40&gt;0,AT40&gt;0),MIN(AR40,AT40),MAX(AR40,AT40))*AK40*Z40^2*1E-4/1000))/2)+AY40-(IF(AND(AR40&gt;0,AT40&gt;0),MIN(AR40,AT40),MAX(AR40,AT40))*AK40*Z40^2*1E-4/1000))^2-16*((AV40*AK40*Z40^2*1E-4/1000)+((MAX(AR40,AT40)*AK40*Z40^2*1E-4/1000)+(IF(AND(AR40&gt;0,AT40&gt;0),MIN(AR40,AT40),MAX(AR40,AT40))*AK40*Z40^2*1E-4/1000))/2)*AY40)&lt;0,CEILING(AC40,5),CEILING(MAX(AC40*((4*((AV40*AK40*Z40^2*1E-4/1000)+((MAX(AR40,AT40)*AK40*Z40^2*1E-4/1000)+(IF(AND(AR40&gt;0,AT40&gt;0),MIN(AR40,AT40),MAX(AR40,AT40))*AK40*Z40^2*1E-4/1000))/2)+AY40-(IF(AND(AR40&gt;0,AT40&gt;0),MIN(AR40,AT40),MAX(AR40,AT40))*AK40*Z40^2*1E-4/1000))-SQRT(MAX(0,((4*((AV40*AK40*Z40^2*1E-4/1000)+((MAX(AR40,AT40)*AK40*Z40^2*1E-4/1000)+(IF(AND(AR40&gt;0,AT40&gt;0),MIN(AR40,AT40),MAX(AR40,AT40))*AK40*Z40^2*1E-4/1000))/2)+AY40-(IF(AND(AR40&gt;0,AT40&gt;0),MIN(AR40,AT40),MAX(AR40,AT40))*AK40*Z40^2*1E-4/1000))^2-16*((AV40*AK40*Z40^2*1E-4/1000)+((MAX(AR40,AT40)*AK40*Z40^2*1E-4/1000)+(IF(AND(AR40&gt;0,AT40&gt;0),MIN(AR40,AT40),MAX(AR40,AT40))*AK40*Z40^2*1E-4/1000))/2)*AY40))))/(8*MAX(((AV40*AK40*Z40^2*1E-4/1000)+((MAX(AR40,AT40)*AK40*Z40^2*1E-4/1000)+(IF(AND(AR40&gt;0,AT40&gt;0),MIN(AR40,AT40),MAX(AR40,AT40))*AK40*Z40^2*1E-4/1000))/2),1E-9))+MAX(BU40,12*INDEX(TABLAS!$C$52:$C$58,MATCH(BR40,TABLAS!$B$52:$B$58,0)),AC40/16),IF(OR(AF40&lt;INDEX(TABLAS!$C$52:$C$58,MATCH(BR40,TABLAS!$B$52:$B$58,0)),BS40-INDEX(TABLAS!$C$52:$C$58,MATCH(BR40,TABLAS!$B$52:$B$58,0))&lt;2*INDEX(TABLAS!$C$52:$C$58,MATCH(BR40,TABLAS!$B$52:$B$58,0))),INDEX(TABLAS!$I$52:$I$58,MATCH(BR40,TABLAS!$B$52:$B$58,0)),INDEX(TABLAS!$F$52:$F$58,MATCH(BR40,TABLAS!$B$52:$B$58,0)))),5))))</f>
        <v/>
      </c>
      <c r="DA40" s="60" t="str">
        <f>IF(V40&lt;&gt;"SÍ","",IF(C40="VOLADO",0,IF(((4*((AW40*AK40*Z40^2*1E-4/1000)+((MAX(AS40,AU40)*AK40*Z40^2*1E-4/1000)+(IF(AND(AS40&gt;0,AU40&gt;0),MIN(AS40,AU40),MAX(AS40,AU40))*AK40*Z40^2*1E-4/1000))/2)+BA40-(IF(AND(AS40&gt;0,AU40&gt;0),MIN(AS40,AU40),MAX(AS40,AU40))*AK40*Z40^2*1E-4/1000))^2-16*((AW40*AK40*Z40^2*1E-4/1000)+((MAX(AS40,AU40)*AK40*Z40^2*1E-4/1000)+(IF(AND(AS40&gt;0,AU40&gt;0),MIN(AS40,AU40),MAX(AS40,AU40))*AK40*Z40^2*1E-4/1000))/2)*BA40)&lt;0,CEILING(AD40,5),CEILING(MAX(AD40*((4*((AW40*AK40*Z40^2*1E-4/1000)+((MAX(AS40,AU40)*AK40*Z40^2*1E-4/1000)+(IF(AND(AS40&gt;0,AU40&gt;0),MIN(AS40,AU40),MAX(AS40,AU40))*AK40*Z40^2*1E-4/1000))/2)+BA40-(IF(AND(AS40&gt;0,AU40&gt;0),MIN(AS40,AU40),MAX(AS40,AU40))*AK40*Z40^2*1E-4/1000))-SQRT(MAX(0,((4*((AW40*AK40*Z40^2*1E-4/1000)+((MAX(AS40,AU40)*AK40*Z40^2*1E-4/1000)+(IF(AND(AS40&gt;0,AU40&gt;0),MIN(AS40,AU40),MAX(AS40,AU40))*AK40*Z40^2*1E-4/1000))/2)+BA40-(IF(AND(AS40&gt;0,AU40&gt;0),MIN(AS40,AU40),MAX(AS40,AU40))*AK40*Z40^2*1E-4/1000))^2-16*((AW40*AK40*Z40^2*1E-4/1000)+((MAX(AS40,AU40)*AK40*Z40^2*1E-4/1000)+(IF(AND(AS40&gt;0,AU40&gt;0),MIN(AS40,AU40),MAX(AS40,AU40))*AK40*Z40^2*1E-4/1000))/2)*BA40))))/(8*MAX(((AW40*AK40*Z40^2*1E-4/1000)+((MAX(AS40,AU40)*AK40*Z40^2*1E-4/1000)+(IF(AND(AS40&gt;0,AU40&gt;0),MIN(AS40,AU40),MAX(AS40,AU40))*AK40*Z40^2*1E-4/1000))/2),1E-9))+MAX(CO40,12*INDEX(TABLAS!$C$52:$C$58,MATCH(CL40,TABLAS!$B$52:$B$58,0)),AD40/16),IF(OR(AF40&lt;INDEX(TABLAS!$C$52:$C$58,MATCH(CL40,TABLAS!$B$52:$B$58,0)),CM40-INDEX(TABLAS!$C$52:$C$58,MATCH(CL40,TABLAS!$B$52:$B$58,0))&lt;2*INDEX(TABLAS!$C$52:$C$58,MATCH(CL40,TABLAS!$B$52:$B$58,0))),INDEX(TABLAS!$I$52:$I$58,MATCH(CL40,TABLAS!$B$52:$B$58,0)),INDEX(TABLAS!$F$52:$F$58,MATCH(CL40,TABLAS!$B$52:$B$58,0)))),5))))</f>
        <v/>
      </c>
      <c r="DB40" s="55" t="str">
        <f>IF(V40&lt;&gt;"SÍ","",IF(AND(C40="PERIMETRAL",AL40-AM40&gt;0,AT40&gt;0),"SÍ","NO"))</f>
        <v/>
      </c>
      <c r="DC40" s="55" t="str">
        <f>IF(V40&lt;&gt;"SÍ","",IF(AND(C40="PERIMETRAL",AM40&gt;0,AU40&gt;0),"SÍ","NO"))</f>
        <v/>
      </c>
      <c r="DD40" s="63" t="str">
        <f>IF(V40&lt;&gt;"SÍ","",IF(OR(C40="VOLADO",AL40=0),"—",IF(AND(AND(INDEX(TABLAS!$G$52:$G$58,MATCH(MAX(BR40,CL40),TABLAS!$B$52:$B$58,0))&lt;=(DATOS!$C$75-DATOS!$C$63),(DATOS!$C$75-DATOS!$C$63)&gt;=15),8*INDEX(TABLAS!$C$52:$C$58,MATCH(MAX(BH40,CB40,BR40,CL40),TABLAS!$B$52:$B$58,0))&lt;=DATOS!$C$76-2*DATOS!$C$63),"CUMPLE (gancho de 180°)",IF(AND(INDEX(TABLAS!$G$52:$G$58,MATCH(MAX(BR40,CL40),TABLAS!$B$52:$B$58,0))&lt;=(DATOS!$C$75-DATOS!$C$63),(DATOS!$C$75-DATOS!$C$63)&gt;=15),"NO CUMPLE: el gancho de 180° (8·d_b) no cabe en el peralte de la dala de borde","NO CUMPLE: dala de borde ≥ "&amp;TEXT(CEILING(MAX(INDEX(TABLAS!$G$52:$G$58,MATCH(MAX(BR40,CL40),TABLAS!$B$52:$B$58,0)),15)+DATOS!$C$63,5),"0")&amp;" cm de ancho"&amp;IF(8*INDEX(TABLAS!$C$52:$C$58,MATCH(MAX(BH40,CB40,BR40,CL40),TABLAS!$B$52:$B$58,0))&lt;=DATOS!$C$76-2*DATOS!$C$63,""," y más peralte para el gancho")))))</f>
        <v/>
      </c>
      <c r="DE40" s="69" t="str">
        <f>IF(V40&lt;&gt;"SÍ","",IF(BI40=0,"NO ALCANZA","No. "&amp;BH40&amp;" @ "&amp;BI40&amp;" cm"&amp;IF(C40="VOLADO"," (temperatura)","")))</f>
        <v/>
      </c>
      <c r="DF40" s="69" t="str">
        <f>IF(V40&lt;&gt;"SÍ","",IF(BS40=0,"NO ALCANZA",IF(C40="VOLADO","No. "&amp;BR40&amp;" @ "&amp;BS40&amp;" cm"&amp;" de la orilla al respaldo ("&amp;IF(CZ40&gt;=FLOOR(100*IF(ISNUMBER(Q40),Q40,Z40)-DATOS!$C$63,5),"hasta su apoyo lejano, con gancho","entran "&amp;TEXT(CZ40/100,"0.00")&amp;" m desde el paño")&amp;")","Bastones "&amp;"No. "&amp;BR40&amp;" @ "&amp;BS40&amp;" cm"&amp;", L = "&amp;TEXT(CZ40/100,"0.00")&amp;" m desde el paño")))</f>
        <v/>
      </c>
      <c r="DG40" s="69" t="str">
        <f>IF(V40&lt;&gt;"SÍ","",IF(CC40=0,"NO ALCANZA","No. "&amp;CB40&amp;" @ "&amp;CC40&amp;" cm"&amp;IF(C40="VOLADO"," (repartición)","")))</f>
        <v/>
      </c>
      <c r="DH40" s="69" t="str">
        <f>IF(V40&lt;&gt;"SÍ","",IF(CM40=0,"NO ALCANZA",IF(C40="VOLADO","No. "&amp;CL40&amp;" @ "&amp;CM40&amp;" cm"&amp;" (repartición)","Bastones "&amp;"No. "&amp;CL40&amp;" @ "&amp;CM40&amp;" cm"&amp;", L = "&amp;TEXT(DA40/100,"0.00")&amp;" m desde el paño")))</f>
        <v/>
      </c>
      <c r="DI40" s="67" t="str">
        <f>IF(B40="","",IF(V40&lt;&gt;"SÍ","FALTAN DATOS: tipo, a_x, a_y, destino y, en volados, L_b",IF(L40="NO MONOLÍTICO (caso II)","FUERA DE ALCANCE: caso II no transcrito",IF(AND(C40="VOLADO",X40="?"),"REVISAR: el volado lleva UN solo borde CONTINUO (el empotrado)",IF(AND(MAX(BM40,BW40,CG40,CQ40)&lt;=1,NOT(OR(BI40&lt;DATOS!$C$143,BS40&lt;DATOS!$C$143,CC40&lt;DATOS!$C$143,CM40&lt;DATOS!$C$143)),NOT(OR(AND(ISNUMBER(BN40),BN40&lt;0.005),AND(ISNUMBER(BX40),BX40&lt;0.005),AND(ISNUMBER(CH40),CH40&lt;0.005),AND(ISNUMBER(CR40),CR40&lt;0.005))),CV40="CUMPLE",CY40="CUMPLE"),"CUMPLE"&amp;IF(LEFT(BB40,5)="FUERA"," · fuera de 3.4.2.1 c)","")&amp;IF(LEFT(DD40,2)="NO"," · REVISAR anclaje en borde discontinuo",""),IF(AND(MAX(BM40,BW40,CG40,CQ40)&lt;=1,NOT(OR(BI40&lt;DATOS!$C$143,BS40&lt;DATOS!$C$143,CC40&lt;DATOS!$C$143,CM40&lt;DATOS!$C$143)),NOT(OR(AND(ISNUMBER(BN40),BN40&lt;0.005),AND(ISNUMBER(BX40),BX40&lt;0.005),AND(ISNUMBER(CH40),CH40&lt;0.005),AND(ISNUMBER(CR40),CR40&lt;0.005))),CV40="CUMPLE",CY40="CALCULAR FLECHA"),"REVISAR: calcular flecha (h &lt; h mín.)"&amp;IF(LEFT(BB40,5)="FUERA"," · fuera de 3.4.2.1 c)","")&amp;IF(LEFT(DD40,2)="NO"," · REVISAR anclaje en borde discontinuo",""),"NO CUMPLE: "&amp;IF(MAX(BM40,BW40,CG40,CQ40)&gt;1,"flexión ","")&amp;IF(OR(BI40&lt;DATOS!$C$143,BS40&lt;DATOS!$C$143,CC40&lt;DATOS!$C$143,CM40&lt;DATOS!$C$143),"separación &lt; mínima ","")&amp;IF(OR(AND(ISNUMBER(BN40),BN40&lt;0.005),AND(ISNUMBER(BX40),BX40&lt;0.005),AND(ISNUMBER(CH40),CH40&lt;0.005),AND(ISNUMBER(CR40),CR40&lt;0.005)),"ε_t &lt; 0.005 ","")&amp;IF(CV40&lt;&gt;"CUMPLE","cortante ","")&amp;IF(CY40="NO CUMPLE","peralte","")))))))</f>
        <v/>
      </c>
      <c r="DJ40" s="70" t="str">
        <f>IF(V40&lt;&gt;"SÍ","",IF(LEFT(B40,7)="EJEMPLO","EJEMPLO de tablero típico: bórralo o sobrescríbelo. ","")&amp;IF(C40="VOLADO","Volado de "&amp;TEXT(Z40,"0.00")&amp;" m empotrado en el borde "&amp;LOWER(X40)&amp;IF(N(P40)&gt;0,", con "&amp;TEXT(P40,"0.0")&amp;" kg/m en la orilla","")&amp;". Lecho inferior con r_ext. Si la orilla carga pretil u otro elemento frágil, calcula la flecha (13.4). El acero superior entra al respaldo de "&amp;TEXT(IF(ISNUMBER(Q40),Q40,Z40),"0.00")&amp;" m"&amp;" hasta pasar M = 0 con 0.9·PP sin carga viva; si ahí no se anula, llega al apoyo lejano y se ancla con gancho. ","")&amp;IF(AND(C40="VOLADO",(0.9*W40/100*DATOS!$C$16*IF(ISNUMBER(Q40),Q40,Z40)/2-AY40/IF(ISNUMBER(Q40),Q40,Z40))&lt;0),"Con 0.9·PP y sin carga viva el apoyo lejano del respaldo levanta (R = "&amp;TEXT(-(0.9*W40/100*DATOS!$C$16*IF(ISNUMBER(Q40),Q40,Z40)/2-AY40/IF(ISNUMBER(Q40),Q40,Z40)),"0.00")&amp;" t/m): ancla ahí el acero con gancho y revisa ese apoyo a tensión. ","")&amp;IF(LEFT(BB40,5)="FUERA","El M⁻ del vecino difiere más de 50 % (3.4.2.1 c): distribuye el desequilibrio (3.4.3.1) o confirma con un modelo; se arma con el mayor. ","")&amp;IF(OR(DB40="SÍ",DC40="SÍ"),"Bastones también en los bordes discontinuos (M⁻ de tabla), con gancho. ","")&amp;IF(LEFT(DD40,2)="NO","Anclaje: "&amp;DD40&amp;" (6.7.7.4.1.1). ","")&amp;IF(AND(C40="PERIMETRAL",AM40&gt;=1,AL40-AM40&gt;=1),"Esquinas exteriores sobre muro: refuerzo de esquina arriba y abajo en L_largo/5 (6.7.7.3.1). ",""))</f>
        <v/>
      </c>
    </row>
    <row r="41" ht="33" customHeight="1">
      <c r="A41" s="50">
        <f>IF(B41="",0,1)+A40</f>
        <v>3</v>
      </c>
      <c r="B41" s="29" t="n"/>
      <c r="C41" s="51" t="n"/>
      <c r="D41" s="29" t="n"/>
      <c r="E41" s="52" t="n"/>
      <c r="F41" s="52" t="n"/>
      <c r="G41" s="51" t="n"/>
      <c r="H41" s="51" t="n"/>
      <c r="I41" s="51" t="n"/>
      <c r="J41" s="51" t="n"/>
      <c r="K41" s="51" t="n"/>
      <c r="L41" s="51" t="n"/>
      <c r="M41" s="54" t="n"/>
      <c r="N41" s="53" t="n"/>
      <c r="O41" s="53" t="n"/>
      <c r="P41" s="54" t="n"/>
      <c r="Q41" s="52" t="n"/>
      <c r="R41" s="54" t="n"/>
      <c r="S41" s="53" t="n"/>
      <c r="T41" s="52" t="n"/>
      <c r="U41" s="52" t="n"/>
      <c r="V41" s="55" t="str">
        <f>IF(B41="","",IF(AND(OR(C41="PERIMETRAL",C41="VOLADO"),ISNUMBER(E41),ISNUMBER(F41),E41&gt;0,F41&gt;0,OR(ISNUMBER(O41),ISNUMBER(MATCH(D41,DATOS!$B$46:$B$58,0))),OR(C41&lt;&gt;"VOLADO",N(Q41)&gt;0)),"SÍ","NO"))</f>
        <v/>
      </c>
      <c r="W41" s="57" t="str">
        <f>IF(V41&lt;&gt;"SÍ","",IF(ISNUMBER(M41),M41,DATOS!$C$137))</f>
        <v/>
      </c>
      <c r="X41" s="55" t="str">
        <f>IF(V41&lt;&gt;"SÍ","",IF(C41&lt;&gt;"VOLADO","—",IF(COUNTIF(G41:J41,"CONTINUO")&lt;&gt;1,"?",IF(G41="CONTINUO","INFERIOR",IF(H41="CONTINUO","SUPERIOR",IF(I41="CONTINUO","IZQUIERDO","DERECHO"))))))</f>
        <v/>
      </c>
      <c r="Y41" s="55" t="str">
        <f>IF(V41&lt;&gt;"SÍ","",IF(C41="VOLADO",IF(OR(X41="IZQUIERDO",X41="DERECHO"),"X","Y"),IF(E41&lt;=F41,"X","Y")))</f>
        <v/>
      </c>
      <c r="Z41" s="56" t="str">
        <f>IF(V41&lt;&gt;"SÍ","",IF(C41="VOLADO",IF(Y41="X",E41,F41),MIN(E41,F41)))</f>
        <v/>
      </c>
      <c r="AA41" s="56" t="str">
        <f>IF(V41&lt;&gt;"SÍ","",IF(C41="VOLADO",IF(Y41="X",F41,E41),MAX(E41,F41)))</f>
        <v/>
      </c>
      <c r="AB41" s="56" t="str">
        <f>IF(V41&lt;&gt;"SÍ","",MIN(Z41,AA41)/MAX(Z41,AA41))</f>
        <v/>
      </c>
      <c r="AC41" s="57" t="str">
        <f>IF(V41&lt;&gt;"SÍ","",MAX(1,Z41*100-IF(C41="VOLADO",DATOS!$C$87/2,DATOS!$C$87)))</f>
        <v/>
      </c>
      <c r="AD41" s="57" t="str">
        <f>IF(V41&lt;&gt;"SÍ","",MAX(1,AA41*100-DATOS!$C$87))</f>
        <v/>
      </c>
      <c r="AE41" s="57" t="str">
        <f>IF(V41&lt;&gt;"SÍ","",IF(C41="VOLADO",DATOS!$C$64,DATOS!$C$62))</f>
        <v/>
      </c>
      <c r="AF41" s="57" t="str">
        <f>IF(V41&lt;&gt;"SÍ","",IF(OR(AND(AG41="SÍ",DATOS!$C$66="SÍ"),AND(C41="VOLADO",DATOS!$C$67="SÍ")),DATOS!$C$64,DATOS!$C$62))</f>
        <v/>
      </c>
      <c r="AG41" s="55" t="str">
        <f>IF(V41&lt;&gt;"SÍ","",IFERROR(INDEX(DATOS!$D$46:$D$58,MATCH(D41,DATOS!$B$46:$B$58,0)),"NO"))</f>
        <v/>
      </c>
      <c r="AH41" s="59" t="str">
        <f>IF(V41&lt;&gt;"SÍ","",IF(ISNUMBER(O41),O41,IFERROR(INDEX(DATOS!$C$46:$C$58,MATCH(D41,DATOS!$B$46:$B$58,0)),0)))</f>
        <v/>
      </c>
      <c r="AI41" s="59" t="str">
        <f>IF(V41&lt;&gt;"SÍ","",W41/100*DATOS!$C$16*1000+DATOS!$C$37+DATOS!$C$38)</f>
        <v/>
      </c>
      <c r="AJ41" s="59" t="str">
        <f>IF(V41&lt;&gt;"SÍ","",AI41+N(N41))</f>
        <v/>
      </c>
      <c r="AK41" s="60" t="str">
        <f>IF(V41&lt;&gt;"SÍ","",MAX(DATOS!$C$26*AJ41+DATOS!$C$27*AH41,IF(AG41="SÍ",DATOS!$C$28*(AJ41+DATOS!$C$41),0)))</f>
        <v/>
      </c>
      <c r="AL41" s="59" t="str">
        <f>IF(V41&lt;&gt;"SÍ","",(G41="DISCONTINUO")+(H41="DISCONTINUO")+(I41="DISCONTINUO")+(J41="DISCONTINUO"))</f>
        <v/>
      </c>
      <c r="AM41" s="59" t="str">
        <f>IF(V41&lt;&gt;"SÍ","",IF(Y41="X",(G41="DISCONTINUO")+(H41="DISCONTINUO"),(I41="DISCONTINUO")+(J41="DISCONTINUO")))</f>
        <v/>
      </c>
      <c r="AN41" s="55" t="str">
        <f>IF(V41&lt;&gt;"SÍ","",IF(AL41=0,"INTERIOR",IF(AL41=1,IF(AM41=1,"BORDE-CORTO","BORDE-LARGO"),IF(AL41=2,IF(AM41=1,"ESQUINA",IF(AM41=2,"EXTREMO-LARGO","EXTREMO-CORTO")),IF(AL41=3,IF(AM41=2,"EXTREMO-LARGO","EXTREMO-CORTO"),"AISLADO")))))</f>
        <v/>
      </c>
      <c r="AO41" s="61" t="str">
        <f>IF(V41&lt;&gt;"SÍ","",IF(OR(K41="",K41="AUTO"),AN41,K41))</f>
        <v/>
      </c>
      <c r="AP41" s="59" t="str">
        <f>IF(V41&lt;&gt;"SÍ","",MATCH(AB41,TABLAS!$D$5:$J$5,1))</f>
        <v/>
      </c>
      <c r="AQ41" s="58" t="str">
        <f>IF(V41&lt;&gt;"SÍ","",IF(AP41&gt;=7,0,(AB41-INDEX(TABLAS!$D$5:$J$5,AP41))/(INDEX(TABLAS!$D$5:$J$5,AP41+1)-INDEX(TABLAS!$D$5:$J$5,AP41))))</f>
        <v/>
      </c>
      <c r="AR41" s="59" t="str">
        <f>IF(V41&lt;&gt;"SÍ","",INDEX(TABLAS!$D$6:$J$47,MATCH(AO41&amp;"|NIC",TABLAS!$B$6:$B$47,0),AP41)+AQ41*(INDEX(TABLAS!$D$6:$J$47,MATCH(AO41&amp;"|NIC",TABLAS!$B$6:$B$47,0),MIN(AP41+1,7))-INDEX(TABLAS!$D$6:$J$47,MATCH(AO41&amp;"|NIC",TABLAS!$B$6:$B$47,0),AP41)))</f>
        <v/>
      </c>
      <c r="AS41" s="59" t="str">
        <f>IF(V41&lt;&gt;"SÍ","",INDEX(TABLAS!$D$6:$J$47,MATCH(AO41&amp;"|NIL",TABLAS!$B$6:$B$47,0),AP41)+AQ41*(INDEX(TABLAS!$D$6:$J$47,MATCH(AO41&amp;"|NIL",TABLAS!$B$6:$B$47,0),MIN(AP41+1,7))-INDEX(TABLAS!$D$6:$J$47,MATCH(AO41&amp;"|NIL",TABLAS!$B$6:$B$47,0),AP41)))</f>
        <v/>
      </c>
      <c r="AT41" s="59" t="str">
        <f>IF(V41&lt;&gt;"SÍ","",INDEX(TABLAS!$D$6:$J$47,MATCH(AO41&amp;"|NDC",TABLAS!$B$6:$B$47,0),AP41)+AQ41*(INDEX(TABLAS!$D$6:$J$47,MATCH(AO41&amp;"|NDC",TABLAS!$B$6:$B$47,0),MIN(AP41+1,7))-INDEX(TABLAS!$D$6:$J$47,MATCH(AO41&amp;"|NDC",TABLAS!$B$6:$B$47,0),AP41)))</f>
        <v/>
      </c>
      <c r="AU41" s="59" t="str">
        <f>IF(V41&lt;&gt;"SÍ","",INDEX(TABLAS!$D$6:$J$47,MATCH(AO41&amp;"|NDL",TABLAS!$B$6:$B$47,0),AP41)+AQ41*(INDEX(TABLAS!$D$6:$J$47,MATCH(AO41&amp;"|NDL",TABLAS!$B$6:$B$47,0),MIN(AP41+1,7))-INDEX(TABLAS!$D$6:$J$47,MATCH(AO41&amp;"|NDL",TABLAS!$B$6:$B$47,0),AP41)))</f>
        <v/>
      </c>
      <c r="AV41" s="59" t="str">
        <f>IF(V41&lt;&gt;"SÍ","",INDEX(TABLAS!$D$6:$J$47,MATCH(AO41&amp;"|PC",TABLAS!$B$6:$B$47,0),AP41)+AQ41*(INDEX(TABLAS!$D$6:$J$47,MATCH(AO41&amp;"|PC",TABLAS!$B$6:$B$47,0),MIN(AP41+1,7))-INDEX(TABLAS!$D$6:$J$47,MATCH(AO41&amp;"|PC",TABLAS!$B$6:$B$47,0),AP41)))</f>
        <v/>
      </c>
      <c r="AW41" s="59" t="str">
        <f>IF(V41&lt;&gt;"SÍ","",INDEX(TABLAS!$D$6:$J$47,MATCH(AO41&amp;"|PL",TABLAS!$B$6:$B$47,0),AP41)+AQ41*(INDEX(TABLAS!$D$6:$J$47,MATCH(AO41&amp;"|PL",TABLAS!$B$6:$B$47,0),MIN(AP41+1,7))-INDEX(TABLAS!$D$6:$J$47,MATCH(AO41&amp;"|PL",TABLAS!$B$6:$B$47,0),AP41)))</f>
        <v/>
      </c>
      <c r="AX41" s="56" t="str">
        <f>IF(V41&lt;&gt;"SÍ","",IF(C41="PERIMETRAL",AV41*AK41*Z41^2*1E-4/1000,0))</f>
        <v/>
      </c>
      <c r="AY41" s="62" t="str">
        <f>IF(V41&lt;&gt;"SÍ","",IF(C41="PERIMETRAL",MAX(MAX(AR41,AT41)*AK41*Z41^2*1E-4/1000,N(T41)),(AK41*(AC41/100)^2/2+DATOS!$C$26*N(P41)*AC41/100)/1000))</f>
        <v/>
      </c>
      <c r="AZ41" s="56" t="str">
        <f>IF(V41&lt;&gt;"SÍ","",IF(C41="PERIMETRAL",AW41*AK41*Z41^2*1E-4/1000,0))</f>
        <v/>
      </c>
      <c r="BA41" s="56" t="str">
        <f>IF(V41&lt;&gt;"SÍ","",IF(C41="PERIMETRAL",MAX(MAX(AS41,AU41)*AK41*Z41^2*1E-4/1000,N(U41)),0))</f>
        <v/>
      </c>
      <c r="BB41" s="63" t="str">
        <f>IF(V41&lt;&gt;"SÍ","",IF(C41&lt;&gt;"PERIMETRAL","—",IF(AND(N(T41)=0,N(U41)=0),"— (sin M⁻ del vecino)",IF(OR(AND(N(T41)&gt;0,ABS(MAX(AR41,AT41)*AK41*Z41^2*1E-4/1000-N(T41))&gt;0.5*MIN(MAX(AR41,AT41)*AK41*Z41^2*1E-4/1000,N(T41))),AND(N(U41)&gt;0,ABS(MAX(AS41,AU41)*AK41*Z41^2*1E-4/1000-N(U41))&gt;0.5*MIN(MAX(AS41,AU41)*AK41*Z41^2*1E-4/1000,N(U41)))),"FUERA: difieren &gt; 50 %"&amp;IF(AND(N(T41)&gt;0,ABS(MAX(AR41,AT41)*AK41*Z41^2*1E-4/1000-N(T41))&gt;0.5*MIN(MAX(AR41,AT41)*AK41*Z41^2*1E-4/1000,N(T41)))," ‖ corto","")&amp;IF(AND(N(U41)&gt;0,ABS(MAX(AS41,AU41)*AK41*Z41^2*1E-4/1000-N(U41))&gt;0.5*MIN(MAX(AS41,AU41)*AK41*Z41^2*1E-4/1000,N(U41)))," ‖ largo",""),"CUMPLE"))))</f>
        <v/>
      </c>
      <c r="BC41" s="58" t="str">
        <f>IF(V41&lt;&gt;"SÍ","",DATOS!$C$139*100*W41)</f>
        <v/>
      </c>
      <c r="BD41" s="57" t="str">
        <f>IF(V41&lt;&gt;"SÍ","",MIN(IF(C41="VOLADO",DATOS!$C$141,DATOS!$C$140)*W41,DATOS!$C$142))</f>
        <v/>
      </c>
      <c r="BE41" s="58" t="str">
        <f>IF(V41&lt;&gt;"SÍ","",(W41-AE41-INDEX(TABLAS!$C$52:$C$58,MATCH(IF(ISNUMBER(S41),S41,DATOS!$C$138),TABLAS!$B$52:$B$58,0))/2))</f>
        <v/>
      </c>
      <c r="BF41" s="58" t="str">
        <f>IF(V41&lt;&gt;"SÍ","",IF(AX41&lt;=0,0,IF((1-2*AX41*1E5/(DATOS!$C$29*100*BE41^2*DATOS!$C$21))&lt;0,-1,IF((1-SQRT((1-2*AX41*1E5/(DATOS!$C$29*100*BE41^2*DATOS!$C$21))))*DATOS!$C$21*100*BE41/DATOS!$C$14&gt;DATOS!$C$102*100*BE41,-1,(1-SQRT((1-2*AX41*1E5/(DATOS!$C$29*100*BE41^2*DATOS!$C$21))))*DATOS!$C$21*100*BE41/DATOS!$C$14))))</f>
        <v/>
      </c>
      <c r="BG41" s="58" t="str">
        <f>IF(V41&lt;&gt;"SÍ","",IF(BF41&lt;0,-1,MAX(BF41,BC41)))</f>
        <v/>
      </c>
      <c r="BH41" s="64" t="str">
        <f>IF(V41&lt;&gt;"SÍ","",IF(AND(BG41&gt;0,FLOOR(MIN(BD41,100*INDEX(TABLAS!$D$52:$D$58,MIN(MATCH(IF(ISNUMBER(S41),S41,DATOS!$C$138),TABLAS!$B$52:$B$58,0)+0,7))/MAX(BG41,0.0001)),DATOS!$C$144)&gt;=DATOS!$C$143),INDEX(TABLAS!$B$52:$B$58,MIN(MATCH(IF(ISNUMBER(S41),S41,DATOS!$C$138),TABLAS!$B$52:$B$58,0)+0,7)),IF(AND(BG41&gt;0,FLOOR(MIN(BD41,100*INDEX(TABLAS!$D$52:$D$58,MIN(MATCH(IF(ISNUMBER(S41),S41,DATOS!$C$138),TABLAS!$B$52:$B$58,0)+1,7))/MAX(BG41,0.0001)),DATOS!$C$144)&gt;=DATOS!$C$143),INDEX(TABLAS!$B$52:$B$58,MIN(MATCH(IF(ISNUMBER(S41),S41,DATOS!$C$138),TABLAS!$B$52:$B$58,0)+1,7)),IF(AND(BG41&gt;0,FLOOR(MIN(BD41,100*INDEX(TABLAS!$D$52:$D$58,MIN(MATCH(IF(ISNUMBER(S41),S41,DATOS!$C$138),TABLAS!$B$52:$B$58,0)+2,7))/MAX(BG41,0.0001)),DATOS!$C$144)&gt;=DATOS!$C$143),INDEX(TABLAS!$B$52:$B$58,MIN(MATCH(IF(ISNUMBER(S41),S41,DATOS!$C$138),TABLAS!$B$52:$B$58,0)+2,7)),IF(AND(BG41&gt;0,FLOOR(MIN(BD41,100*INDEX(TABLAS!$D$52:$D$58,MIN(MATCH(IF(ISNUMBER(S41),S41,DATOS!$C$138),TABLAS!$B$52:$B$58,0)+3,7))/MAX(BG41,0.0001)),DATOS!$C$144)&gt;=DATOS!$C$143),INDEX(TABLAS!$B$52:$B$58,MIN(MATCH(IF(ISNUMBER(S41),S41,DATOS!$C$138),TABLAS!$B$52:$B$58,0)+3,7)),IF(AND(BG41&gt;0,FLOOR(MIN(BD41,100*INDEX(TABLAS!$D$52:$D$58,MIN(MATCH(IF(ISNUMBER(S41),S41,DATOS!$C$138),TABLAS!$B$52:$B$58,0)+4,7))/MAX(BG41,0.0001)),DATOS!$C$144)&gt;=DATOS!$C$143),INDEX(TABLAS!$B$52:$B$58,MIN(MATCH(IF(ISNUMBER(S41),S41,DATOS!$C$138),TABLAS!$B$52:$B$58,0)+4,7)),INDEX(TABLAS!$B$52:$B$58,7)))))))</f>
        <v/>
      </c>
      <c r="BI41" s="71" t="str">
        <f>IF(V41&lt;&gt;"SÍ","",IF(BG41&lt;=0,0,FLOOR(MIN(BD41,100*INDEX(TABLAS!$D$52:$D$58,MATCH(BH41,TABLAS!$B$52:$B$58,0))/BG41),DATOS!$C$144)))</f>
        <v/>
      </c>
      <c r="BJ41" s="58" t="str">
        <f>IF(V41&lt;&gt;"SÍ","",IF(BI41&lt;=0,0,INDEX(TABLAS!$D$52:$D$58,MATCH(BH41,TABLAS!$B$52:$B$58,0))*100/BI41))</f>
        <v/>
      </c>
      <c r="BK41" s="58" t="str">
        <f>IF(V41&lt;&gt;"SÍ","",W41-AE41-INDEX(TABLAS!$C$52:$C$58,MATCH(BH41,TABLAS!$B$52:$B$58,0))/2)</f>
        <v/>
      </c>
      <c r="BL41" s="56" t="str">
        <f>IF(V41&lt;&gt;"SÍ","",IF(BJ41=0,0,DATOS!$C$29*BJ41*DATOS!$C$14*(BK41-BJ41*DATOS!$C$14/(DATOS!$C$21*100)/2)/1E5))</f>
        <v/>
      </c>
      <c r="BM41" s="65" t="str">
        <f>IF(V41&lt;&gt;"SÍ","",IF(BG41&lt;0,9.99,IF(BL41&gt;0,AX41/BL41,0)))</f>
        <v/>
      </c>
      <c r="BN41" s="66" t="str">
        <f>IF(V41&lt;&gt;"SÍ","",IF(BJ41=0,"—",0.003*(BK41-(BJ41*DATOS!$C$14/(DATOS!$C$21*100)/DATOS!$C$22))/(BJ41*DATOS!$C$14/(DATOS!$C$21*100)/DATOS!$C$22)))</f>
        <v/>
      </c>
      <c r="BO41" s="58" t="str">
        <f>IF(V41&lt;&gt;"SÍ","",((W41-AF41-INDEX(TABLAS!$C$52:$C$58,MATCH(IF(ISNUMBER(S41),S41,DATOS!$C$138),TABLAS!$B$52:$B$58,0))/2)-IF(AND((W41-AF41-INDEX(TABLAS!$C$52:$C$58,MATCH(IF(ISNUMBER(S41),S41,DATOS!$C$138),TABLAS!$B$52:$B$58,0))/2)&lt;=20,DATOS!$C$65&lt;&gt;"SÍ"),2,0)))</f>
        <v/>
      </c>
      <c r="BP41" s="58" t="str">
        <f>IF(V41&lt;&gt;"SÍ","",IF(AY41&lt;=0,0,IF((1-2*AY41*1E5/(DATOS!$C$29*100*BO41^2*DATOS!$C$21))&lt;0,-1,IF((1-SQRT((1-2*AY41*1E5/(DATOS!$C$29*100*BO41^2*DATOS!$C$21))))*DATOS!$C$21*100*BO41/DATOS!$C$14&gt;DATOS!$C$102*100*BO41,-1,(1-SQRT((1-2*AY41*1E5/(DATOS!$C$29*100*BO41^2*DATOS!$C$21))))*DATOS!$C$21*100*BO41/DATOS!$C$14))))</f>
        <v/>
      </c>
      <c r="BQ41" s="58" t="str">
        <f>IF(V41&lt;&gt;"SÍ","",IF(BP41&lt;0,-1,MAX(BP41,BC41)))</f>
        <v/>
      </c>
      <c r="BR41" s="64" t="str">
        <f>IF(V41&lt;&gt;"SÍ","",IF(AND(BQ41&gt;0,FLOOR(MIN(BD41,100*INDEX(TABLAS!$D$52:$D$58,MIN(MATCH(IF(ISNUMBER(S41),S41,DATOS!$C$138),TABLAS!$B$52:$B$58,0)+0,7))/MAX(BQ41,0.0001)),DATOS!$C$144)&gt;=DATOS!$C$143),INDEX(TABLAS!$B$52:$B$58,MIN(MATCH(IF(ISNUMBER(S41),S41,DATOS!$C$138),TABLAS!$B$52:$B$58,0)+0,7)),IF(AND(BQ41&gt;0,FLOOR(MIN(BD41,100*INDEX(TABLAS!$D$52:$D$58,MIN(MATCH(IF(ISNUMBER(S41),S41,DATOS!$C$138),TABLAS!$B$52:$B$58,0)+1,7))/MAX(BQ41,0.0001)),DATOS!$C$144)&gt;=DATOS!$C$143),INDEX(TABLAS!$B$52:$B$58,MIN(MATCH(IF(ISNUMBER(S41),S41,DATOS!$C$138),TABLAS!$B$52:$B$58,0)+1,7)),IF(AND(BQ41&gt;0,FLOOR(MIN(BD41,100*INDEX(TABLAS!$D$52:$D$58,MIN(MATCH(IF(ISNUMBER(S41),S41,DATOS!$C$138),TABLAS!$B$52:$B$58,0)+2,7))/MAX(BQ41,0.0001)),DATOS!$C$144)&gt;=DATOS!$C$143),INDEX(TABLAS!$B$52:$B$58,MIN(MATCH(IF(ISNUMBER(S41),S41,DATOS!$C$138),TABLAS!$B$52:$B$58,0)+2,7)),IF(AND(BQ41&gt;0,FLOOR(MIN(BD41,100*INDEX(TABLAS!$D$52:$D$58,MIN(MATCH(IF(ISNUMBER(S41),S41,DATOS!$C$138),TABLAS!$B$52:$B$58,0)+3,7))/MAX(BQ41,0.0001)),DATOS!$C$144)&gt;=DATOS!$C$143),INDEX(TABLAS!$B$52:$B$58,MIN(MATCH(IF(ISNUMBER(S41),S41,DATOS!$C$138),TABLAS!$B$52:$B$58,0)+3,7)),IF(AND(BQ41&gt;0,FLOOR(MIN(BD41,100*INDEX(TABLAS!$D$52:$D$58,MIN(MATCH(IF(ISNUMBER(S41),S41,DATOS!$C$138),TABLAS!$B$52:$B$58,0)+4,7))/MAX(BQ41,0.0001)),DATOS!$C$144)&gt;=DATOS!$C$143),INDEX(TABLAS!$B$52:$B$58,MIN(MATCH(IF(ISNUMBER(S41),S41,DATOS!$C$138),TABLAS!$B$52:$B$58,0)+4,7)),INDEX(TABLAS!$B$52:$B$58,7)))))))</f>
        <v/>
      </c>
      <c r="BS41" s="71" t="str">
        <f>IF(V41&lt;&gt;"SÍ","",IF(BQ41&lt;=0,0,FLOOR(MIN(BD41,100*INDEX(TABLAS!$D$52:$D$58,MATCH(BR41,TABLAS!$B$52:$B$58,0))/BQ41),DATOS!$C$144)))</f>
        <v/>
      </c>
      <c r="BT41" s="58" t="str">
        <f>IF(V41&lt;&gt;"SÍ","",IF(BS41&lt;=0,0,INDEX(TABLAS!$D$52:$D$58,MATCH(BR41,TABLAS!$B$52:$B$58,0))*100/BS41))</f>
        <v/>
      </c>
      <c r="BU41" s="58" t="str">
        <f>IF(V41&lt;&gt;"SÍ","",((W41-AF41-INDEX(TABLAS!$C$52:$C$58,MATCH(BR41,TABLAS!$B$52:$B$58,0))/2)-IF(AND((W41-AF41-INDEX(TABLAS!$C$52:$C$58,MATCH(BR41,TABLAS!$B$52:$B$58,0))/2)&lt;=20,DATOS!$C$65&lt;&gt;"SÍ"),2,0)))</f>
        <v/>
      </c>
      <c r="BV41" s="56" t="str">
        <f>IF(V41&lt;&gt;"SÍ","",IF(BT41=0,0,DATOS!$C$29*BT41*DATOS!$C$14*(BU41-BT41*DATOS!$C$14/(DATOS!$C$21*100)/2)/1E5))</f>
        <v/>
      </c>
      <c r="BW41" s="65" t="str">
        <f>IF(V41&lt;&gt;"SÍ","",IF(BQ41&lt;0,9.99,IF(BV41&gt;0,AY41/BV41,0)))</f>
        <v/>
      </c>
      <c r="BX41" s="66" t="str">
        <f>IF(V41&lt;&gt;"SÍ","",IF(BT41=0,"—",0.003*(BU41-(BT41*DATOS!$C$14/(DATOS!$C$21*100)/DATOS!$C$22))/(BT41*DATOS!$C$14/(DATOS!$C$21*100)/DATOS!$C$22)))</f>
        <v/>
      </c>
      <c r="BY41" s="58" t="str">
        <f>IF(V41&lt;&gt;"SÍ","",(W41-AE41-1.5*INDEX(TABLAS!$C$52:$C$58,MATCH(IF(ISNUMBER(S41),S41,DATOS!$C$138),TABLAS!$B$52:$B$58,0))))</f>
        <v/>
      </c>
      <c r="BZ41" s="58" t="str">
        <f>IF(V41&lt;&gt;"SÍ","",IF(AZ41&lt;=0,0,IF((1-2*AZ41*1E5/(DATOS!$C$29*100*BY41^2*DATOS!$C$21))&lt;0,-1,IF((1-SQRT((1-2*AZ41*1E5/(DATOS!$C$29*100*BY41^2*DATOS!$C$21))))*DATOS!$C$21*100*BY41/DATOS!$C$14&gt;DATOS!$C$102*100*BY41,-1,(1-SQRT((1-2*AZ41*1E5/(DATOS!$C$29*100*BY41^2*DATOS!$C$21))))*DATOS!$C$21*100*BY41/DATOS!$C$14))))</f>
        <v/>
      </c>
      <c r="CA41" s="58" t="str">
        <f>IF(V41&lt;&gt;"SÍ","",IF(BZ41&lt;0,-1,MAX(BZ41,BC41)))</f>
        <v/>
      </c>
      <c r="CB41" s="64" t="str">
        <f>IF(V41&lt;&gt;"SÍ","",IF(AND(CA41&gt;0,FLOOR(MIN(BD41,100*INDEX(TABLAS!$D$52:$D$58,MIN(MATCH(IF(ISNUMBER(S41),S41,DATOS!$C$138),TABLAS!$B$52:$B$58,0)+0,7))/MAX(CA41,0.0001)),DATOS!$C$144)&gt;=DATOS!$C$143),INDEX(TABLAS!$B$52:$B$58,MIN(MATCH(IF(ISNUMBER(S41),S41,DATOS!$C$138),TABLAS!$B$52:$B$58,0)+0,7)),IF(AND(CA41&gt;0,FLOOR(MIN(BD41,100*INDEX(TABLAS!$D$52:$D$58,MIN(MATCH(IF(ISNUMBER(S41),S41,DATOS!$C$138),TABLAS!$B$52:$B$58,0)+1,7))/MAX(CA41,0.0001)),DATOS!$C$144)&gt;=DATOS!$C$143),INDEX(TABLAS!$B$52:$B$58,MIN(MATCH(IF(ISNUMBER(S41),S41,DATOS!$C$138),TABLAS!$B$52:$B$58,0)+1,7)),IF(AND(CA41&gt;0,FLOOR(MIN(BD41,100*INDEX(TABLAS!$D$52:$D$58,MIN(MATCH(IF(ISNUMBER(S41),S41,DATOS!$C$138),TABLAS!$B$52:$B$58,0)+2,7))/MAX(CA41,0.0001)),DATOS!$C$144)&gt;=DATOS!$C$143),INDEX(TABLAS!$B$52:$B$58,MIN(MATCH(IF(ISNUMBER(S41),S41,DATOS!$C$138),TABLAS!$B$52:$B$58,0)+2,7)),IF(AND(CA41&gt;0,FLOOR(MIN(BD41,100*INDEX(TABLAS!$D$52:$D$58,MIN(MATCH(IF(ISNUMBER(S41),S41,DATOS!$C$138),TABLAS!$B$52:$B$58,0)+3,7))/MAX(CA41,0.0001)),DATOS!$C$144)&gt;=DATOS!$C$143),INDEX(TABLAS!$B$52:$B$58,MIN(MATCH(IF(ISNUMBER(S41),S41,DATOS!$C$138),TABLAS!$B$52:$B$58,0)+3,7)),IF(AND(CA41&gt;0,FLOOR(MIN(BD41,100*INDEX(TABLAS!$D$52:$D$58,MIN(MATCH(IF(ISNUMBER(S41),S41,DATOS!$C$138),TABLAS!$B$52:$B$58,0)+4,7))/MAX(CA41,0.0001)),DATOS!$C$144)&gt;=DATOS!$C$143),INDEX(TABLAS!$B$52:$B$58,MIN(MATCH(IF(ISNUMBER(S41),S41,DATOS!$C$138),TABLAS!$B$52:$B$58,0)+4,7)),INDEX(TABLAS!$B$52:$B$58,7)))))))</f>
        <v/>
      </c>
      <c r="CC41" s="71" t="str">
        <f>IF(V41&lt;&gt;"SÍ","",IF(CA41&lt;=0,0,FLOOR(MIN(BD41,100*INDEX(TABLAS!$D$52:$D$58,MATCH(CB41,TABLAS!$B$52:$B$58,0))/CA41),DATOS!$C$144)))</f>
        <v/>
      </c>
      <c r="CD41" s="58" t="str">
        <f>IF(V41&lt;&gt;"SÍ","",IF(CC41&lt;=0,0,INDEX(TABLAS!$D$52:$D$58,MATCH(CB41,TABLAS!$B$52:$B$58,0))*100/CC41))</f>
        <v/>
      </c>
      <c r="CE41" s="58" t="str">
        <f>IF(V41&lt;&gt;"SÍ","",W41-AE41-INDEX(TABLAS!$C$52:$C$58,MATCH(BH41,TABLAS!$B$52:$B$58,0))-INDEX(TABLAS!$C$52:$C$58,MATCH(CB41,TABLAS!$B$52:$B$58,0))/2)</f>
        <v/>
      </c>
      <c r="CF41" s="56" t="str">
        <f>IF(V41&lt;&gt;"SÍ","",IF(CD41=0,0,DATOS!$C$29*CD41*DATOS!$C$14*(CE41-CD41*DATOS!$C$14/(DATOS!$C$21*100)/2)/1E5))</f>
        <v/>
      </c>
      <c r="CG41" s="65" t="str">
        <f>IF(V41&lt;&gt;"SÍ","",IF(CA41&lt;0,9.99,IF(CF41&gt;0,AZ41/CF41,0)))</f>
        <v/>
      </c>
      <c r="CH41" s="66" t="str">
        <f>IF(V41&lt;&gt;"SÍ","",IF(CD41=0,"—",0.003*(CE41-(CD41*DATOS!$C$14/(DATOS!$C$21*100)/DATOS!$C$22))/(CD41*DATOS!$C$14/(DATOS!$C$21*100)/DATOS!$C$22)))</f>
        <v/>
      </c>
      <c r="CI41" s="58" t="str">
        <f>IF(V41&lt;&gt;"SÍ","",((W41-AF41-1.5*INDEX(TABLAS!$C$52:$C$58,MATCH(IF(ISNUMBER(S41),S41,DATOS!$C$138),TABLAS!$B$52:$B$58,0)))-IF(AND((W41-AF41-1.5*INDEX(TABLAS!$C$52:$C$58,MATCH(IF(ISNUMBER(S41),S41,DATOS!$C$138),TABLAS!$B$52:$B$58,0)))&lt;=20,DATOS!$C$65&lt;&gt;"SÍ"),2,0)))</f>
        <v/>
      </c>
      <c r="CJ41" s="58" t="str">
        <f>IF(V41&lt;&gt;"SÍ","",IF(BA41&lt;=0,0,IF((1-2*BA41*1E5/(DATOS!$C$29*100*CI41^2*DATOS!$C$21))&lt;0,-1,IF((1-SQRT((1-2*BA41*1E5/(DATOS!$C$29*100*CI41^2*DATOS!$C$21))))*DATOS!$C$21*100*CI41/DATOS!$C$14&gt;DATOS!$C$102*100*CI41,-1,(1-SQRT((1-2*BA41*1E5/(DATOS!$C$29*100*CI41^2*DATOS!$C$21))))*DATOS!$C$21*100*CI41/DATOS!$C$14))))</f>
        <v/>
      </c>
      <c r="CK41" s="58" t="str">
        <f>IF(V41&lt;&gt;"SÍ","",IF(CJ41&lt;0,-1,MAX(CJ41,BC41)))</f>
        <v/>
      </c>
      <c r="CL41" s="64" t="str">
        <f>IF(V41&lt;&gt;"SÍ","",IF(AND(CK41&gt;0,FLOOR(MIN(BD41,100*INDEX(TABLAS!$D$52:$D$58,MIN(MATCH(IF(ISNUMBER(S41),S41,DATOS!$C$138),TABLAS!$B$52:$B$58,0)+0,7))/MAX(CK41,0.0001)),DATOS!$C$144)&gt;=DATOS!$C$143),INDEX(TABLAS!$B$52:$B$58,MIN(MATCH(IF(ISNUMBER(S41),S41,DATOS!$C$138),TABLAS!$B$52:$B$58,0)+0,7)),IF(AND(CK41&gt;0,FLOOR(MIN(BD41,100*INDEX(TABLAS!$D$52:$D$58,MIN(MATCH(IF(ISNUMBER(S41),S41,DATOS!$C$138),TABLAS!$B$52:$B$58,0)+1,7))/MAX(CK41,0.0001)),DATOS!$C$144)&gt;=DATOS!$C$143),INDEX(TABLAS!$B$52:$B$58,MIN(MATCH(IF(ISNUMBER(S41),S41,DATOS!$C$138),TABLAS!$B$52:$B$58,0)+1,7)),IF(AND(CK41&gt;0,FLOOR(MIN(BD41,100*INDEX(TABLAS!$D$52:$D$58,MIN(MATCH(IF(ISNUMBER(S41),S41,DATOS!$C$138),TABLAS!$B$52:$B$58,0)+2,7))/MAX(CK41,0.0001)),DATOS!$C$144)&gt;=DATOS!$C$143),INDEX(TABLAS!$B$52:$B$58,MIN(MATCH(IF(ISNUMBER(S41),S41,DATOS!$C$138),TABLAS!$B$52:$B$58,0)+2,7)),IF(AND(CK41&gt;0,FLOOR(MIN(BD41,100*INDEX(TABLAS!$D$52:$D$58,MIN(MATCH(IF(ISNUMBER(S41),S41,DATOS!$C$138),TABLAS!$B$52:$B$58,0)+3,7))/MAX(CK41,0.0001)),DATOS!$C$144)&gt;=DATOS!$C$143),INDEX(TABLAS!$B$52:$B$58,MIN(MATCH(IF(ISNUMBER(S41),S41,DATOS!$C$138),TABLAS!$B$52:$B$58,0)+3,7)),IF(AND(CK41&gt;0,FLOOR(MIN(BD41,100*INDEX(TABLAS!$D$52:$D$58,MIN(MATCH(IF(ISNUMBER(S41),S41,DATOS!$C$138),TABLAS!$B$52:$B$58,0)+4,7))/MAX(CK41,0.0001)),DATOS!$C$144)&gt;=DATOS!$C$143),INDEX(TABLAS!$B$52:$B$58,MIN(MATCH(IF(ISNUMBER(S41),S41,DATOS!$C$138),TABLAS!$B$52:$B$58,0)+4,7)),INDEX(TABLAS!$B$52:$B$58,7)))))))</f>
        <v/>
      </c>
      <c r="CM41" s="71" t="str">
        <f>IF(V41&lt;&gt;"SÍ","",IF(CK41&lt;=0,0,FLOOR(MIN(BD41,100*INDEX(TABLAS!$D$52:$D$58,MATCH(CL41,TABLAS!$B$52:$B$58,0))/CK41),DATOS!$C$144)))</f>
        <v/>
      </c>
      <c r="CN41" s="58" t="str">
        <f>IF(V41&lt;&gt;"SÍ","",IF(CM41&lt;=0,0,INDEX(TABLAS!$D$52:$D$58,MATCH(CL41,TABLAS!$B$52:$B$58,0))*100/CM41))</f>
        <v/>
      </c>
      <c r="CO41" s="58" t="str">
        <f>IF(V41&lt;&gt;"SÍ","",((W41-AF41-INDEX(TABLAS!$C$52:$C$58,MATCH(BR41,TABLAS!$B$52:$B$58,0))-INDEX(TABLAS!$C$52:$C$58,MATCH(CL41,TABLAS!$B$52:$B$58,0))/2)-IF(AND((W41-AF41-INDEX(TABLAS!$C$52:$C$58,MATCH(BR41,TABLAS!$B$52:$B$58,0))-INDEX(TABLAS!$C$52:$C$58,MATCH(CL41,TABLAS!$B$52:$B$58,0))/2)&lt;=20,DATOS!$C$65&lt;&gt;"SÍ"),2,0)))</f>
        <v/>
      </c>
      <c r="CP41" s="56" t="str">
        <f>IF(V41&lt;&gt;"SÍ","",IF(CN41=0,0,DATOS!$C$29*CN41*DATOS!$C$14*(CO41-CN41*DATOS!$C$14/(DATOS!$C$21*100)/2)/1E5))</f>
        <v/>
      </c>
      <c r="CQ41" s="65" t="str">
        <f>IF(V41&lt;&gt;"SÍ","",IF(CK41&lt;0,9.99,IF(CP41&gt;0,BA41/CP41,0)))</f>
        <v/>
      </c>
      <c r="CR41" s="66" t="str">
        <f>IF(V41&lt;&gt;"SÍ","",IF(CN41=0,"—",0.003*(CO41-(CN41*DATOS!$C$14/(DATOS!$C$21*100)/DATOS!$C$22))/(CN41*DATOS!$C$14/(DATOS!$C$21*100)/DATOS!$C$22)))</f>
        <v/>
      </c>
      <c r="CS41" s="56" t="str">
        <f>IF(V41&lt;&gt;"SÍ","",IF(C41="PERIMETRAL",MAX(0,(AC41/2-BU41)/100)*(0.95-0.5*AB41)*AK41*IF(AND(AL41&gt;0,AL41&lt;4),DATOS!$C$33,1)/1000,(AK41*MAX(0,AC41-BU41)/100+DATOS!$C$26*N(P41))/1000))</f>
        <v/>
      </c>
      <c r="CT41" s="66" t="str">
        <f>IF(V41&lt;&gt;"SÍ","",BT41/(100*BU41))</f>
        <v/>
      </c>
      <c r="CU41" s="56" t="str">
        <f>IF(V41&lt;&gt;"SÍ","",DATOS!$C$30*2*MIN(1,SQRT(2/(1+0.04*BU41)))*CT41^(1/3)*SQRT(DATOS!$C$13)*100*BU41/1000)</f>
        <v/>
      </c>
      <c r="CV41" s="67" t="str">
        <f>IF(V41&lt;&gt;"SÍ","",IF(CS41&lt;=CU41,"CUMPLE","NO CUMPLE: sube h"))</f>
        <v/>
      </c>
      <c r="CW41" s="58" t="str">
        <f>IF(V41&lt;&gt;"SÍ","",IF(C41="PERIMETRAL",IF(ISNUMBER(R41),R41,DATOS!$C$104),0))</f>
        <v/>
      </c>
      <c r="CX41" s="57" t="str">
        <f>IF(V41&lt;&gt;"SÍ","",IF(C41="PERIMETRAL",IF(CW41&gt;2,MAX(9,AD41*(0.8+DATOS!$C$14/14000)/(36+9*(AD41/MAX(AC41,1)))),IF(CW41&gt;0.2,MAX(13,AD41*(0.8+DATOS!$C$14/14000)/(36+5*(AD41/MAX(AC41,1))*(CW41-0.2))),MAX(13,AD41/IF(AL41&gt;0,30,33))))*IF(AND(CW41&gt;0.2,AL41&gt;0,DATOS!$C$105="NO"),1.1,1),Z41*100/DATOS!$C$145*(0.4+DATOS!$C$14/7000)))</f>
        <v/>
      </c>
      <c r="CY41" s="61" t="str">
        <f>IF(V41&lt;&gt;"SÍ","",IF(W41&gt;=CX41-0.001,"CUMPLE",IF(C41="VOLADO","NO CUMPLE","CALCULAR FLECHA")))</f>
        <v/>
      </c>
      <c r="CZ41" s="60" t="str">
        <f>IF(V41&lt;&gt;"SÍ","",IF(C41="VOLADO",MIN(FLOOR(IF(ISNUMBER(Q41),Q41,Z41)*100-DATOS!$C$63,5),CEILING(MAX(IF((0.5*(0.9*W41/100*DATOS!$C$16)*IF(ISNUMBER(Q41),Q41,Z41)+AY41/IF(ISNUMBER(Q41),Q41,Z41))^2-4*(0.5*(0.9*W41/100*DATOS!$C$16))*AY41&lt;0,IF(ISNUMBER(Q41),Q41,Z41),MIN(IF(ISNUMBER(Q41),Q41,Z41),((0.5*(0.9*W41/100*DATOS!$C$16)*IF(ISNUMBER(Q41),Q41,Z41)+AY41/IF(ISNUMBER(Q41),Q41,Z41))-SQRT((0.5*(0.9*W41/100*DATOS!$C$16)*IF(ISNUMBER(Q41),Q41,Z41)+AY41/IF(ISNUMBER(Q41),Q41,Z41))^2-4*(0.5*(0.9*W41/100*DATOS!$C$16))*AY41))/(2*(0.5*(0.9*W41/100*DATOS!$C$16)))))*100+MAX(BU41,12*INDEX(TABLAS!$C$52:$C$58,MATCH(BR41,TABLAS!$B$52:$B$58,0)),IF(ISNUMBER(Q41),Q41,Z41)*100/16),IF(OR(AF41&lt;INDEX(TABLAS!$C$52:$C$58,MATCH(BR41,TABLAS!$B$52:$B$58,0)),BS41-INDEX(TABLAS!$C$52:$C$58,MATCH(BR41,TABLAS!$B$52:$B$58,0))&lt;2*INDEX(TABLAS!$C$52:$C$58,MATCH(BR41,TABLAS!$B$52:$B$58,0))),INDEX(TABLAS!$I$52:$I$58,MATCH(BR41,TABLAS!$B$52:$B$58,0)),INDEX(TABLAS!$F$52:$F$58,MATCH(BR41,TABLAS!$B$52:$B$58,0)))),5)),IF(((4*((AV41*AK41*Z41^2*1E-4/1000)+((MAX(AR41,AT41)*AK41*Z41^2*1E-4/1000)+(IF(AND(AR41&gt;0,AT41&gt;0),MIN(AR41,AT41),MAX(AR41,AT41))*AK41*Z41^2*1E-4/1000))/2)+AY41-(IF(AND(AR41&gt;0,AT41&gt;0),MIN(AR41,AT41),MAX(AR41,AT41))*AK41*Z41^2*1E-4/1000))^2-16*((AV41*AK41*Z41^2*1E-4/1000)+((MAX(AR41,AT41)*AK41*Z41^2*1E-4/1000)+(IF(AND(AR41&gt;0,AT41&gt;0),MIN(AR41,AT41),MAX(AR41,AT41))*AK41*Z41^2*1E-4/1000))/2)*AY41)&lt;0,CEILING(AC41,5),CEILING(MAX(AC41*((4*((AV41*AK41*Z41^2*1E-4/1000)+((MAX(AR41,AT41)*AK41*Z41^2*1E-4/1000)+(IF(AND(AR41&gt;0,AT41&gt;0),MIN(AR41,AT41),MAX(AR41,AT41))*AK41*Z41^2*1E-4/1000))/2)+AY41-(IF(AND(AR41&gt;0,AT41&gt;0),MIN(AR41,AT41),MAX(AR41,AT41))*AK41*Z41^2*1E-4/1000))-SQRT(MAX(0,((4*((AV41*AK41*Z41^2*1E-4/1000)+((MAX(AR41,AT41)*AK41*Z41^2*1E-4/1000)+(IF(AND(AR41&gt;0,AT41&gt;0),MIN(AR41,AT41),MAX(AR41,AT41))*AK41*Z41^2*1E-4/1000))/2)+AY41-(IF(AND(AR41&gt;0,AT41&gt;0),MIN(AR41,AT41),MAX(AR41,AT41))*AK41*Z41^2*1E-4/1000))^2-16*((AV41*AK41*Z41^2*1E-4/1000)+((MAX(AR41,AT41)*AK41*Z41^2*1E-4/1000)+(IF(AND(AR41&gt;0,AT41&gt;0),MIN(AR41,AT41),MAX(AR41,AT41))*AK41*Z41^2*1E-4/1000))/2)*AY41))))/(8*MAX(((AV41*AK41*Z41^2*1E-4/1000)+((MAX(AR41,AT41)*AK41*Z41^2*1E-4/1000)+(IF(AND(AR41&gt;0,AT41&gt;0),MIN(AR41,AT41),MAX(AR41,AT41))*AK41*Z41^2*1E-4/1000))/2),1E-9))+MAX(BU41,12*INDEX(TABLAS!$C$52:$C$58,MATCH(BR41,TABLAS!$B$52:$B$58,0)),AC41/16),IF(OR(AF41&lt;INDEX(TABLAS!$C$52:$C$58,MATCH(BR41,TABLAS!$B$52:$B$58,0)),BS41-INDEX(TABLAS!$C$52:$C$58,MATCH(BR41,TABLAS!$B$52:$B$58,0))&lt;2*INDEX(TABLAS!$C$52:$C$58,MATCH(BR41,TABLAS!$B$52:$B$58,0))),INDEX(TABLAS!$I$52:$I$58,MATCH(BR41,TABLAS!$B$52:$B$58,0)),INDEX(TABLAS!$F$52:$F$58,MATCH(BR41,TABLAS!$B$52:$B$58,0)))),5))))</f>
        <v/>
      </c>
      <c r="DA41" s="60" t="str">
        <f>IF(V41&lt;&gt;"SÍ","",IF(C41="VOLADO",0,IF(((4*((AW41*AK41*Z41^2*1E-4/1000)+((MAX(AS41,AU41)*AK41*Z41^2*1E-4/1000)+(IF(AND(AS41&gt;0,AU41&gt;0),MIN(AS41,AU41),MAX(AS41,AU41))*AK41*Z41^2*1E-4/1000))/2)+BA41-(IF(AND(AS41&gt;0,AU41&gt;0),MIN(AS41,AU41),MAX(AS41,AU41))*AK41*Z41^2*1E-4/1000))^2-16*((AW41*AK41*Z41^2*1E-4/1000)+((MAX(AS41,AU41)*AK41*Z41^2*1E-4/1000)+(IF(AND(AS41&gt;0,AU41&gt;0),MIN(AS41,AU41),MAX(AS41,AU41))*AK41*Z41^2*1E-4/1000))/2)*BA41)&lt;0,CEILING(AD41,5),CEILING(MAX(AD41*((4*((AW41*AK41*Z41^2*1E-4/1000)+((MAX(AS41,AU41)*AK41*Z41^2*1E-4/1000)+(IF(AND(AS41&gt;0,AU41&gt;0),MIN(AS41,AU41),MAX(AS41,AU41))*AK41*Z41^2*1E-4/1000))/2)+BA41-(IF(AND(AS41&gt;0,AU41&gt;0),MIN(AS41,AU41),MAX(AS41,AU41))*AK41*Z41^2*1E-4/1000))-SQRT(MAX(0,((4*((AW41*AK41*Z41^2*1E-4/1000)+((MAX(AS41,AU41)*AK41*Z41^2*1E-4/1000)+(IF(AND(AS41&gt;0,AU41&gt;0),MIN(AS41,AU41),MAX(AS41,AU41))*AK41*Z41^2*1E-4/1000))/2)+BA41-(IF(AND(AS41&gt;0,AU41&gt;0),MIN(AS41,AU41),MAX(AS41,AU41))*AK41*Z41^2*1E-4/1000))^2-16*((AW41*AK41*Z41^2*1E-4/1000)+((MAX(AS41,AU41)*AK41*Z41^2*1E-4/1000)+(IF(AND(AS41&gt;0,AU41&gt;0),MIN(AS41,AU41),MAX(AS41,AU41))*AK41*Z41^2*1E-4/1000))/2)*BA41))))/(8*MAX(((AW41*AK41*Z41^2*1E-4/1000)+((MAX(AS41,AU41)*AK41*Z41^2*1E-4/1000)+(IF(AND(AS41&gt;0,AU41&gt;0),MIN(AS41,AU41),MAX(AS41,AU41))*AK41*Z41^2*1E-4/1000))/2),1E-9))+MAX(CO41,12*INDEX(TABLAS!$C$52:$C$58,MATCH(CL41,TABLAS!$B$52:$B$58,0)),AD41/16),IF(OR(AF41&lt;INDEX(TABLAS!$C$52:$C$58,MATCH(CL41,TABLAS!$B$52:$B$58,0)),CM41-INDEX(TABLAS!$C$52:$C$58,MATCH(CL41,TABLAS!$B$52:$B$58,0))&lt;2*INDEX(TABLAS!$C$52:$C$58,MATCH(CL41,TABLAS!$B$52:$B$58,0))),INDEX(TABLAS!$I$52:$I$58,MATCH(CL41,TABLAS!$B$52:$B$58,0)),INDEX(TABLAS!$F$52:$F$58,MATCH(CL41,TABLAS!$B$52:$B$58,0)))),5))))</f>
        <v/>
      </c>
      <c r="DB41" s="55" t="str">
        <f>IF(V41&lt;&gt;"SÍ","",IF(AND(C41="PERIMETRAL",AL41-AM41&gt;0,AT41&gt;0),"SÍ","NO"))</f>
        <v/>
      </c>
      <c r="DC41" s="55" t="str">
        <f>IF(V41&lt;&gt;"SÍ","",IF(AND(C41="PERIMETRAL",AM41&gt;0,AU41&gt;0),"SÍ","NO"))</f>
        <v/>
      </c>
      <c r="DD41" s="63" t="str">
        <f>IF(V41&lt;&gt;"SÍ","",IF(OR(C41="VOLADO",AL41=0),"—",IF(AND(AND(INDEX(TABLAS!$G$52:$G$58,MATCH(MAX(BR41,CL41),TABLAS!$B$52:$B$58,0))&lt;=(DATOS!$C$75-DATOS!$C$63),(DATOS!$C$75-DATOS!$C$63)&gt;=15),8*INDEX(TABLAS!$C$52:$C$58,MATCH(MAX(BH41,CB41,BR41,CL41),TABLAS!$B$52:$B$58,0))&lt;=DATOS!$C$76-2*DATOS!$C$63),"CUMPLE (gancho de 180°)",IF(AND(INDEX(TABLAS!$G$52:$G$58,MATCH(MAX(BR41,CL41),TABLAS!$B$52:$B$58,0))&lt;=(DATOS!$C$75-DATOS!$C$63),(DATOS!$C$75-DATOS!$C$63)&gt;=15),"NO CUMPLE: el gancho de 180° (8·d_b) no cabe en el peralte de la dala de borde","NO CUMPLE: dala de borde ≥ "&amp;TEXT(CEILING(MAX(INDEX(TABLAS!$G$52:$G$58,MATCH(MAX(BR41,CL41),TABLAS!$B$52:$B$58,0)),15)+DATOS!$C$63,5),"0")&amp;" cm de ancho"&amp;IF(8*INDEX(TABLAS!$C$52:$C$58,MATCH(MAX(BH41,CB41,BR41,CL41),TABLAS!$B$52:$B$58,0))&lt;=DATOS!$C$76-2*DATOS!$C$63,""," y más peralte para el gancho")))))</f>
        <v/>
      </c>
      <c r="DE41" s="69" t="str">
        <f>IF(V41&lt;&gt;"SÍ","",IF(BI41=0,"NO ALCANZA","No. "&amp;BH41&amp;" @ "&amp;BI41&amp;" cm"&amp;IF(C41="VOLADO"," (temperatura)","")))</f>
        <v/>
      </c>
      <c r="DF41" s="69" t="str">
        <f>IF(V41&lt;&gt;"SÍ","",IF(BS41=0,"NO ALCANZA",IF(C41="VOLADO","No. "&amp;BR41&amp;" @ "&amp;BS41&amp;" cm"&amp;" de la orilla al respaldo ("&amp;IF(CZ41&gt;=FLOOR(100*IF(ISNUMBER(Q41),Q41,Z41)-DATOS!$C$63,5),"hasta su apoyo lejano, con gancho","entran "&amp;TEXT(CZ41/100,"0.00")&amp;" m desde el paño")&amp;")","Bastones "&amp;"No. "&amp;BR41&amp;" @ "&amp;BS41&amp;" cm"&amp;", L = "&amp;TEXT(CZ41/100,"0.00")&amp;" m desde el paño")))</f>
        <v/>
      </c>
      <c r="DG41" s="69" t="str">
        <f>IF(V41&lt;&gt;"SÍ","",IF(CC41=0,"NO ALCANZA","No. "&amp;CB41&amp;" @ "&amp;CC41&amp;" cm"&amp;IF(C41="VOLADO"," (repartición)","")))</f>
        <v/>
      </c>
      <c r="DH41" s="69" t="str">
        <f>IF(V41&lt;&gt;"SÍ","",IF(CM41=0,"NO ALCANZA",IF(C41="VOLADO","No. "&amp;CL41&amp;" @ "&amp;CM41&amp;" cm"&amp;" (repartición)","Bastones "&amp;"No. "&amp;CL41&amp;" @ "&amp;CM41&amp;" cm"&amp;", L = "&amp;TEXT(DA41/100,"0.00")&amp;" m desde el paño")))</f>
        <v/>
      </c>
      <c r="DI41" s="67" t="str">
        <f>IF(B41="","",IF(V41&lt;&gt;"SÍ","FALTAN DATOS: tipo, a_x, a_y, destino y, en volados, L_b",IF(L41="NO MONOLÍTICO (caso II)","FUERA DE ALCANCE: caso II no transcrito",IF(AND(C41="VOLADO",X41="?"),"REVISAR: el volado lleva UN solo borde CONTINUO (el empotrado)",IF(AND(MAX(BM41,BW41,CG41,CQ41)&lt;=1,NOT(OR(BI41&lt;DATOS!$C$143,BS41&lt;DATOS!$C$143,CC41&lt;DATOS!$C$143,CM41&lt;DATOS!$C$143)),NOT(OR(AND(ISNUMBER(BN41),BN41&lt;0.005),AND(ISNUMBER(BX41),BX41&lt;0.005),AND(ISNUMBER(CH41),CH41&lt;0.005),AND(ISNUMBER(CR41),CR41&lt;0.005))),CV41="CUMPLE",CY41="CUMPLE"),"CUMPLE"&amp;IF(LEFT(BB41,5)="FUERA"," · fuera de 3.4.2.1 c)","")&amp;IF(LEFT(DD41,2)="NO"," · REVISAR anclaje en borde discontinuo",""),IF(AND(MAX(BM41,BW41,CG41,CQ41)&lt;=1,NOT(OR(BI41&lt;DATOS!$C$143,BS41&lt;DATOS!$C$143,CC41&lt;DATOS!$C$143,CM41&lt;DATOS!$C$143)),NOT(OR(AND(ISNUMBER(BN41),BN41&lt;0.005),AND(ISNUMBER(BX41),BX41&lt;0.005),AND(ISNUMBER(CH41),CH41&lt;0.005),AND(ISNUMBER(CR41),CR41&lt;0.005))),CV41="CUMPLE",CY41="CALCULAR FLECHA"),"REVISAR: calcular flecha (h &lt; h mín.)"&amp;IF(LEFT(BB41,5)="FUERA"," · fuera de 3.4.2.1 c)","")&amp;IF(LEFT(DD41,2)="NO"," · REVISAR anclaje en borde discontinuo",""),"NO CUMPLE: "&amp;IF(MAX(BM41,BW41,CG41,CQ41)&gt;1,"flexión ","")&amp;IF(OR(BI41&lt;DATOS!$C$143,BS41&lt;DATOS!$C$143,CC41&lt;DATOS!$C$143,CM41&lt;DATOS!$C$143),"separación &lt; mínima ","")&amp;IF(OR(AND(ISNUMBER(BN41),BN41&lt;0.005),AND(ISNUMBER(BX41),BX41&lt;0.005),AND(ISNUMBER(CH41),CH41&lt;0.005),AND(ISNUMBER(CR41),CR41&lt;0.005)),"ε_t &lt; 0.005 ","")&amp;IF(CV41&lt;&gt;"CUMPLE","cortante ","")&amp;IF(CY41="NO CUMPLE","peralte","")))))))</f>
        <v/>
      </c>
      <c r="DJ41" s="70" t="str">
        <f>IF(V41&lt;&gt;"SÍ","",IF(LEFT(B41,7)="EJEMPLO","EJEMPLO de tablero típico: bórralo o sobrescríbelo. ","")&amp;IF(C41="VOLADO","Volado de "&amp;TEXT(Z41,"0.00")&amp;" m empotrado en el borde "&amp;LOWER(X41)&amp;IF(N(P41)&gt;0,", con "&amp;TEXT(P41,"0.0")&amp;" kg/m en la orilla","")&amp;". Lecho inferior con r_ext. Si la orilla carga pretil u otro elemento frágil, calcula la flecha (13.4). El acero superior entra al respaldo de "&amp;TEXT(IF(ISNUMBER(Q41),Q41,Z41),"0.00")&amp;" m"&amp;" hasta pasar M = 0 con 0.9·PP sin carga viva; si ahí no se anula, llega al apoyo lejano y se ancla con gancho. ","")&amp;IF(AND(C41="VOLADO",(0.9*W41/100*DATOS!$C$16*IF(ISNUMBER(Q41),Q41,Z41)/2-AY41/IF(ISNUMBER(Q41),Q41,Z41))&lt;0),"Con 0.9·PP y sin carga viva el apoyo lejano del respaldo levanta (R = "&amp;TEXT(-(0.9*W41/100*DATOS!$C$16*IF(ISNUMBER(Q41),Q41,Z41)/2-AY41/IF(ISNUMBER(Q41),Q41,Z41)),"0.00")&amp;" t/m): ancla ahí el acero con gancho y revisa ese apoyo a tensión. ","")&amp;IF(LEFT(BB41,5)="FUERA","El M⁻ del vecino difiere más de 50 % (3.4.2.1 c): distribuye el desequilibrio (3.4.3.1) o confirma con un modelo; se arma con el mayor. ","")&amp;IF(OR(DB41="SÍ",DC41="SÍ"),"Bastones también en los bordes discontinuos (M⁻ de tabla), con gancho. ","")&amp;IF(LEFT(DD41,2)="NO","Anclaje: "&amp;DD41&amp;" (6.7.7.4.1.1). ","")&amp;IF(AND(C41="PERIMETRAL",AM41&gt;=1,AL41-AM41&gt;=1),"Esquinas exteriores sobre muro: refuerzo de esquina arriba y abajo en L_largo/5 (6.7.7.3.1). ",""))</f>
        <v/>
      </c>
    </row>
    <row r="42" ht="33" customHeight="1">
      <c r="A42" s="50">
        <f>IF(B42="",0,1)+A41</f>
        <v>3</v>
      </c>
      <c r="B42" s="29" t="n"/>
      <c r="C42" s="51" t="n"/>
      <c r="D42" s="29" t="n"/>
      <c r="E42" s="52" t="n"/>
      <c r="F42" s="52" t="n"/>
      <c r="G42" s="51" t="n"/>
      <c r="H42" s="51" t="n"/>
      <c r="I42" s="51" t="n"/>
      <c r="J42" s="51" t="n"/>
      <c r="K42" s="51" t="n"/>
      <c r="L42" s="51" t="n"/>
      <c r="M42" s="54" t="n"/>
      <c r="N42" s="53" t="n"/>
      <c r="O42" s="53" t="n"/>
      <c r="P42" s="54" t="n"/>
      <c r="Q42" s="52" t="n"/>
      <c r="R42" s="54" t="n"/>
      <c r="S42" s="53" t="n"/>
      <c r="T42" s="52" t="n"/>
      <c r="U42" s="52" t="n"/>
      <c r="V42" s="55" t="str">
        <f>IF(B42="","",IF(AND(OR(C42="PERIMETRAL",C42="VOLADO"),ISNUMBER(E42),ISNUMBER(F42),E42&gt;0,F42&gt;0,OR(ISNUMBER(O42),ISNUMBER(MATCH(D42,DATOS!$B$46:$B$58,0))),OR(C42&lt;&gt;"VOLADO",N(Q42)&gt;0)),"SÍ","NO"))</f>
        <v/>
      </c>
      <c r="W42" s="57" t="str">
        <f>IF(V42&lt;&gt;"SÍ","",IF(ISNUMBER(M42),M42,DATOS!$C$137))</f>
        <v/>
      </c>
      <c r="X42" s="55" t="str">
        <f>IF(V42&lt;&gt;"SÍ","",IF(C42&lt;&gt;"VOLADO","—",IF(COUNTIF(G42:J42,"CONTINUO")&lt;&gt;1,"?",IF(G42="CONTINUO","INFERIOR",IF(H42="CONTINUO","SUPERIOR",IF(I42="CONTINUO","IZQUIERDO","DERECHO"))))))</f>
        <v/>
      </c>
      <c r="Y42" s="55" t="str">
        <f>IF(V42&lt;&gt;"SÍ","",IF(C42="VOLADO",IF(OR(X42="IZQUIERDO",X42="DERECHO"),"X","Y"),IF(E42&lt;=F42,"X","Y")))</f>
        <v/>
      </c>
      <c r="Z42" s="56" t="str">
        <f>IF(V42&lt;&gt;"SÍ","",IF(C42="VOLADO",IF(Y42="X",E42,F42),MIN(E42,F42)))</f>
        <v/>
      </c>
      <c r="AA42" s="56" t="str">
        <f>IF(V42&lt;&gt;"SÍ","",IF(C42="VOLADO",IF(Y42="X",F42,E42),MAX(E42,F42)))</f>
        <v/>
      </c>
      <c r="AB42" s="56" t="str">
        <f>IF(V42&lt;&gt;"SÍ","",MIN(Z42,AA42)/MAX(Z42,AA42))</f>
        <v/>
      </c>
      <c r="AC42" s="57" t="str">
        <f>IF(V42&lt;&gt;"SÍ","",MAX(1,Z42*100-IF(C42="VOLADO",DATOS!$C$87/2,DATOS!$C$87)))</f>
        <v/>
      </c>
      <c r="AD42" s="57" t="str">
        <f>IF(V42&lt;&gt;"SÍ","",MAX(1,AA42*100-DATOS!$C$87))</f>
        <v/>
      </c>
      <c r="AE42" s="57" t="str">
        <f>IF(V42&lt;&gt;"SÍ","",IF(C42="VOLADO",DATOS!$C$64,DATOS!$C$62))</f>
        <v/>
      </c>
      <c r="AF42" s="57" t="str">
        <f>IF(V42&lt;&gt;"SÍ","",IF(OR(AND(AG42="SÍ",DATOS!$C$66="SÍ"),AND(C42="VOLADO",DATOS!$C$67="SÍ")),DATOS!$C$64,DATOS!$C$62))</f>
        <v/>
      </c>
      <c r="AG42" s="55" t="str">
        <f>IF(V42&lt;&gt;"SÍ","",IFERROR(INDEX(DATOS!$D$46:$D$58,MATCH(D42,DATOS!$B$46:$B$58,0)),"NO"))</f>
        <v/>
      </c>
      <c r="AH42" s="59" t="str">
        <f>IF(V42&lt;&gt;"SÍ","",IF(ISNUMBER(O42),O42,IFERROR(INDEX(DATOS!$C$46:$C$58,MATCH(D42,DATOS!$B$46:$B$58,0)),0)))</f>
        <v/>
      </c>
      <c r="AI42" s="59" t="str">
        <f>IF(V42&lt;&gt;"SÍ","",W42/100*DATOS!$C$16*1000+DATOS!$C$37+DATOS!$C$38)</f>
        <v/>
      </c>
      <c r="AJ42" s="59" t="str">
        <f>IF(V42&lt;&gt;"SÍ","",AI42+N(N42))</f>
        <v/>
      </c>
      <c r="AK42" s="60" t="str">
        <f>IF(V42&lt;&gt;"SÍ","",MAX(DATOS!$C$26*AJ42+DATOS!$C$27*AH42,IF(AG42="SÍ",DATOS!$C$28*(AJ42+DATOS!$C$41),0)))</f>
        <v/>
      </c>
      <c r="AL42" s="59" t="str">
        <f>IF(V42&lt;&gt;"SÍ","",(G42="DISCONTINUO")+(H42="DISCONTINUO")+(I42="DISCONTINUO")+(J42="DISCONTINUO"))</f>
        <v/>
      </c>
      <c r="AM42" s="59" t="str">
        <f>IF(V42&lt;&gt;"SÍ","",IF(Y42="X",(G42="DISCONTINUO")+(H42="DISCONTINUO"),(I42="DISCONTINUO")+(J42="DISCONTINUO")))</f>
        <v/>
      </c>
      <c r="AN42" s="55" t="str">
        <f>IF(V42&lt;&gt;"SÍ","",IF(AL42=0,"INTERIOR",IF(AL42=1,IF(AM42=1,"BORDE-CORTO","BORDE-LARGO"),IF(AL42=2,IF(AM42=1,"ESQUINA",IF(AM42=2,"EXTREMO-LARGO","EXTREMO-CORTO")),IF(AL42=3,IF(AM42=2,"EXTREMO-LARGO","EXTREMO-CORTO"),"AISLADO")))))</f>
        <v/>
      </c>
      <c r="AO42" s="61" t="str">
        <f>IF(V42&lt;&gt;"SÍ","",IF(OR(K42="",K42="AUTO"),AN42,K42))</f>
        <v/>
      </c>
      <c r="AP42" s="59" t="str">
        <f>IF(V42&lt;&gt;"SÍ","",MATCH(AB42,TABLAS!$D$5:$J$5,1))</f>
        <v/>
      </c>
      <c r="AQ42" s="58" t="str">
        <f>IF(V42&lt;&gt;"SÍ","",IF(AP42&gt;=7,0,(AB42-INDEX(TABLAS!$D$5:$J$5,AP42))/(INDEX(TABLAS!$D$5:$J$5,AP42+1)-INDEX(TABLAS!$D$5:$J$5,AP42))))</f>
        <v/>
      </c>
      <c r="AR42" s="59" t="str">
        <f>IF(V42&lt;&gt;"SÍ","",INDEX(TABLAS!$D$6:$J$47,MATCH(AO42&amp;"|NIC",TABLAS!$B$6:$B$47,0),AP42)+AQ42*(INDEX(TABLAS!$D$6:$J$47,MATCH(AO42&amp;"|NIC",TABLAS!$B$6:$B$47,0),MIN(AP42+1,7))-INDEX(TABLAS!$D$6:$J$47,MATCH(AO42&amp;"|NIC",TABLAS!$B$6:$B$47,0),AP42)))</f>
        <v/>
      </c>
      <c r="AS42" s="59" t="str">
        <f>IF(V42&lt;&gt;"SÍ","",INDEX(TABLAS!$D$6:$J$47,MATCH(AO42&amp;"|NIL",TABLAS!$B$6:$B$47,0),AP42)+AQ42*(INDEX(TABLAS!$D$6:$J$47,MATCH(AO42&amp;"|NIL",TABLAS!$B$6:$B$47,0),MIN(AP42+1,7))-INDEX(TABLAS!$D$6:$J$47,MATCH(AO42&amp;"|NIL",TABLAS!$B$6:$B$47,0),AP42)))</f>
        <v/>
      </c>
      <c r="AT42" s="59" t="str">
        <f>IF(V42&lt;&gt;"SÍ","",INDEX(TABLAS!$D$6:$J$47,MATCH(AO42&amp;"|NDC",TABLAS!$B$6:$B$47,0),AP42)+AQ42*(INDEX(TABLAS!$D$6:$J$47,MATCH(AO42&amp;"|NDC",TABLAS!$B$6:$B$47,0),MIN(AP42+1,7))-INDEX(TABLAS!$D$6:$J$47,MATCH(AO42&amp;"|NDC",TABLAS!$B$6:$B$47,0),AP42)))</f>
        <v/>
      </c>
      <c r="AU42" s="59" t="str">
        <f>IF(V42&lt;&gt;"SÍ","",INDEX(TABLAS!$D$6:$J$47,MATCH(AO42&amp;"|NDL",TABLAS!$B$6:$B$47,0),AP42)+AQ42*(INDEX(TABLAS!$D$6:$J$47,MATCH(AO42&amp;"|NDL",TABLAS!$B$6:$B$47,0),MIN(AP42+1,7))-INDEX(TABLAS!$D$6:$J$47,MATCH(AO42&amp;"|NDL",TABLAS!$B$6:$B$47,0),AP42)))</f>
        <v/>
      </c>
      <c r="AV42" s="59" t="str">
        <f>IF(V42&lt;&gt;"SÍ","",INDEX(TABLAS!$D$6:$J$47,MATCH(AO42&amp;"|PC",TABLAS!$B$6:$B$47,0),AP42)+AQ42*(INDEX(TABLAS!$D$6:$J$47,MATCH(AO42&amp;"|PC",TABLAS!$B$6:$B$47,0),MIN(AP42+1,7))-INDEX(TABLAS!$D$6:$J$47,MATCH(AO42&amp;"|PC",TABLAS!$B$6:$B$47,0),AP42)))</f>
        <v/>
      </c>
      <c r="AW42" s="59" t="str">
        <f>IF(V42&lt;&gt;"SÍ","",INDEX(TABLAS!$D$6:$J$47,MATCH(AO42&amp;"|PL",TABLAS!$B$6:$B$47,0),AP42)+AQ42*(INDEX(TABLAS!$D$6:$J$47,MATCH(AO42&amp;"|PL",TABLAS!$B$6:$B$47,0),MIN(AP42+1,7))-INDEX(TABLAS!$D$6:$J$47,MATCH(AO42&amp;"|PL",TABLAS!$B$6:$B$47,0),AP42)))</f>
        <v/>
      </c>
      <c r="AX42" s="56" t="str">
        <f>IF(V42&lt;&gt;"SÍ","",IF(C42="PERIMETRAL",AV42*AK42*Z42^2*1E-4/1000,0))</f>
        <v/>
      </c>
      <c r="AY42" s="62" t="str">
        <f>IF(V42&lt;&gt;"SÍ","",IF(C42="PERIMETRAL",MAX(MAX(AR42,AT42)*AK42*Z42^2*1E-4/1000,N(T42)),(AK42*(AC42/100)^2/2+DATOS!$C$26*N(P42)*AC42/100)/1000))</f>
        <v/>
      </c>
      <c r="AZ42" s="56" t="str">
        <f>IF(V42&lt;&gt;"SÍ","",IF(C42="PERIMETRAL",AW42*AK42*Z42^2*1E-4/1000,0))</f>
        <v/>
      </c>
      <c r="BA42" s="56" t="str">
        <f>IF(V42&lt;&gt;"SÍ","",IF(C42="PERIMETRAL",MAX(MAX(AS42,AU42)*AK42*Z42^2*1E-4/1000,N(U42)),0))</f>
        <v/>
      </c>
      <c r="BB42" s="63" t="str">
        <f>IF(V42&lt;&gt;"SÍ","",IF(C42&lt;&gt;"PERIMETRAL","—",IF(AND(N(T42)=0,N(U42)=0),"— (sin M⁻ del vecino)",IF(OR(AND(N(T42)&gt;0,ABS(MAX(AR42,AT42)*AK42*Z42^2*1E-4/1000-N(T42))&gt;0.5*MIN(MAX(AR42,AT42)*AK42*Z42^2*1E-4/1000,N(T42))),AND(N(U42)&gt;0,ABS(MAX(AS42,AU42)*AK42*Z42^2*1E-4/1000-N(U42))&gt;0.5*MIN(MAX(AS42,AU42)*AK42*Z42^2*1E-4/1000,N(U42)))),"FUERA: difieren &gt; 50 %"&amp;IF(AND(N(T42)&gt;0,ABS(MAX(AR42,AT42)*AK42*Z42^2*1E-4/1000-N(T42))&gt;0.5*MIN(MAX(AR42,AT42)*AK42*Z42^2*1E-4/1000,N(T42)))," ‖ corto","")&amp;IF(AND(N(U42)&gt;0,ABS(MAX(AS42,AU42)*AK42*Z42^2*1E-4/1000-N(U42))&gt;0.5*MIN(MAX(AS42,AU42)*AK42*Z42^2*1E-4/1000,N(U42)))," ‖ largo",""),"CUMPLE"))))</f>
        <v/>
      </c>
      <c r="BC42" s="58" t="str">
        <f>IF(V42&lt;&gt;"SÍ","",DATOS!$C$139*100*W42)</f>
        <v/>
      </c>
      <c r="BD42" s="57" t="str">
        <f>IF(V42&lt;&gt;"SÍ","",MIN(IF(C42="VOLADO",DATOS!$C$141,DATOS!$C$140)*W42,DATOS!$C$142))</f>
        <v/>
      </c>
      <c r="BE42" s="58" t="str">
        <f>IF(V42&lt;&gt;"SÍ","",(W42-AE42-INDEX(TABLAS!$C$52:$C$58,MATCH(IF(ISNUMBER(S42),S42,DATOS!$C$138),TABLAS!$B$52:$B$58,0))/2))</f>
        <v/>
      </c>
      <c r="BF42" s="58" t="str">
        <f>IF(V42&lt;&gt;"SÍ","",IF(AX42&lt;=0,0,IF((1-2*AX42*1E5/(DATOS!$C$29*100*BE42^2*DATOS!$C$21))&lt;0,-1,IF((1-SQRT((1-2*AX42*1E5/(DATOS!$C$29*100*BE42^2*DATOS!$C$21))))*DATOS!$C$21*100*BE42/DATOS!$C$14&gt;DATOS!$C$102*100*BE42,-1,(1-SQRT((1-2*AX42*1E5/(DATOS!$C$29*100*BE42^2*DATOS!$C$21))))*DATOS!$C$21*100*BE42/DATOS!$C$14))))</f>
        <v/>
      </c>
      <c r="BG42" s="58" t="str">
        <f>IF(V42&lt;&gt;"SÍ","",IF(BF42&lt;0,-1,MAX(BF42,BC42)))</f>
        <v/>
      </c>
      <c r="BH42" s="64" t="str">
        <f>IF(V42&lt;&gt;"SÍ","",IF(AND(BG42&gt;0,FLOOR(MIN(BD42,100*INDEX(TABLAS!$D$52:$D$58,MIN(MATCH(IF(ISNUMBER(S42),S42,DATOS!$C$138),TABLAS!$B$52:$B$58,0)+0,7))/MAX(BG42,0.0001)),DATOS!$C$144)&gt;=DATOS!$C$143),INDEX(TABLAS!$B$52:$B$58,MIN(MATCH(IF(ISNUMBER(S42),S42,DATOS!$C$138),TABLAS!$B$52:$B$58,0)+0,7)),IF(AND(BG42&gt;0,FLOOR(MIN(BD42,100*INDEX(TABLAS!$D$52:$D$58,MIN(MATCH(IF(ISNUMBER(S42),S42,DATOS!$C$138),TABLAS!$B$52:$B$58,0)+1,7))/MAX(BG42,0.0001)),DATOS!$C$144)&gt;=DATOS!$C$143),INDEX(TABLAS!$B$52:$B$58,MIN(MATCH(IF(ISNUMBER(S42),S42,DATOS!$C$138),TABLAS!$B$52:$B$58,0)+1,7)),IF(AND(BG42&gt;0,FLOOR(MIN(BD42,100*INDEX(TABLAS!$D$52:$D$58,MIN(MATCH(IF(ISNUMBER(S42),S42,DATOS!$C$138),TABLAS!$B$52:$B$58,0)+2,7))/MAX(BG42,0.0001)),DATOS!$C$144)&gt;=DATOS!$C$143),INDEX(TABLAS!$B$52:$B$58,MIN(MATCH(IF(ISNUMBER(S42),S42,DATOS!$C$138),TABLAS!$B$52:$B$58,0)+2,7)),IF(AND(BG42&gt;0,FLOOR(MIN(BD42,100*INDEX(TABLAS!$D$52:$D$58,MIN(MATCH(IF(ISNUMBER(S42),S42,DATOS!$C$138),TABLAS!$B$52:$B$58,0)+3,7))/MAX(BG42,0.0001)),DATOS!$C$144)&gt;=DATOS!$C$143),INDEX(TABLAS!$B$52:$B$58,MIN(MATCH(IF(ISNUMBER(S42),S42,DATOS!$C$138),TABLAS!$B$52:$B$58,0)+3,7)),IF(AND(BG42&gt;0,FLOOR(MIN(BD42,100*INDEX(TABLAS!$D$52:$D$58,MIN(MATCH(IF(ISNUMBER(S42),S42,DATOS!$C$138),TABLAS!$B$52:$B$58,0)+4,7))/MAX(BG42,0.0001)),DATOS!$C$144)&gt;=DATOS!$C$143),INDEX(TABLAS!$B$52:$B$58,MIN(MATCH(IF(ISNUMBER(S42),S42,DATOS!$C$138),TABLAS!$B$52:$B$58,0)+4,7)),INDEX(TABLAS!$B$52:$B$58,7)))))))</f>
        <v/>
      </c>
      <c r="BI42" s="71" t="str">
        <f>IF(V42&lt;&gt;"SÍ","",IF(BG42&lt;=0,0,FLOOR(MIN(BD42,100*INDEX(TABLAS!$D$52:$D$58,MATCH(BH42,TABLAS!$B$52:$B$58,0))/BG42),DATOS!$C$144)))</f>
        <v/>
      </c>
      <c r="BJ42" s="58" t="str">
        <f>IF(V42&lt;&gt;"SÍ","",IF(BI42&lt;=0,0,INDEX(TABLAS!$D$52:$D$58,MATCH(BH42,TABLAS!$B$52:$B$58,0))*100/BI42))</f>
        <v/>
      </c>
      <c r="BK42" s="58" t="str">
        <f>IF(V42&lt;&gt;"SÍ","",W42-AE42-INDEX(TABLAS!$C$52:$C$58,MATCH(BH42,TABLAS!$B$52:$B$58,0))/2)</f>
        <v/>
      </c>
      <c r="BL42" s="56" t="str">
        <f>IF(V42&lt;&gt;"SÍ","",IF(BJ42=0,0,DATOS!$C$29*BJ42*DATOS!$C$14*(BK42-BJ42*DATOS!$C$14/(DATOS!$C$21*100)/2)/1E5))</f>
        <v/>
      </c>
      <c r="BM42" s="65" t="str">
        <f>IF(V42&lt;&gt;"SÍ","",IF(BG42&lt;0,9.99,IF(BL42&gt;0,AX42/BL42,0)))</f>
        <v/>
      </c>
      <c r="BN42" s="66" t="str">
        <f>IF(V42&lt;&gt;"SÍ","",IF(BJ42=0,"—",0.003*(BK42-(BJ42*DATOS!$C$14/(DATOS!$C$21*100)/DATOS!$C$22))/(BJ42*DATOS!$C$14/(DATOS!$C$21*100)/DATOS!$C$22)))</f>
        <v/>
      </c>
      <c r="BO42" s="58" t="str">
        <f>IF(V42&lt;&gt;"SÍ","",((W42-AF42-INDEX(TABLAS!$C$52:$C$58,MATCH(IF(ISNUMBER(S42),S42,DATOS!$C$138),TABLAS!$B$52:$B$58,0))/2)-IF(AND((W42-AF42-INDEX(TABLAS!$C$52:$C$58,MATCH(IF(ISNUMBER(S42),S42,DATOS!$C$138),TABLAS!$B$52:$B$58,0))/2)&lt;=20,DATOS!$C$65&lt;&gt;"SÍ"),2,0)))</f>
        <v/>
      </c>
      <c r="BP42" s="58" t="str">
        <f>IF(V42&lt;&gt;"SÍ","",IF(AY42&lt;=0,0,IF((1-2*AY42*1E5/(DATOS!$C$29*100*BO42^2*DATOS!$C$21))&lt;0,-1,IF((1-SQRT((1-2*AY42*1E5/(DATOS!$C$29*100*BO42^2*DATOS!$C$21))))*DATOS!$C$21*100*BO42/DATOS!$C$14&gt;DATOS!$C$102*100*BO42,-1,(1-SQRT((1-2*AY42*1E5/(DATOS!$C$29*100*BO42^2*DATOS!$C$21))))*DATOS!$C$21*100*BO42/DATOS!$C$14))))</f>
        <v/>
      </c>
      <c r="BQ42" s="58" t="str">
        <f>IF(V42&lt;&gt;"SÍ","",IF(BP42&lt;0,-1,MAX(BP42,BC42)))</f>
        <v/>
      </c>
      <c r="BR42" s="64" t="str">
        <f>IF(V42&lt;&gt;"SÍ","",IF(AND(BQ42&gt;0,FLOOR(MIN(BD42,100*INDEX(TABLAS!$D$52:$D$58,MIN(MATCH(IF(ISNUMBER(S42),S42,DATOS!$C$138),TABLAS!$B$52:$B$58,0)+0,7))/MAX(BQ42,0.0001)),DATOS!$C$144)&gt;=DATOS!$C$143),INDEX(TABLAS!$B$52:$B$58,MIN(MATCH(IF(ISNUMBER(S42),S42,DATOS!$C$138),TABLAS!$B$52:$B$58,0)+0,7)),IF(AND(BQ42&gt;0,FLOOR(MIN(BD42,100*INDEX(TABLAS!$D$52:$D$58,MIN(MATCH(IF(ISNUMBER(S42),S42,DATOS!$C$138),TABLAS!$B$52:$B$58,0)+1,7))/MAX(BQ42,0.0001)),DATOS!$C$144)&gt;=DATOS!$C$143),INDEX(TABLAS!$B$52:$B$58,MIN(MATCH(IF(ISNUMBER(S42),S42,DATOS!$C$138),TABLAS!$B$52:$B$58,0)+1,7)),IF(AND(BQ42&gt;0,FLOOR(MIN(BD42,100*INDEX(TABLAS!$D$52:$D$58,MIN(MATCH(IF(ISNUMBER(S42),S42,DATOS!$C$138),TABLAS!$B$52:$B$58,0)+2,7))/MAX(BQ42,0.0001)),DATOS!$C$144)&gt;=DATOS!$C$143),INDEX(TABLAS!$B$52:$B$58,MIN(MATCH(IF(ISNUMBER(S42),S42,DATOS!$C$138),TABLAS!$B$52:$B$58,0)+2,7)),IF(AND(BQ42&gt;0,FLOOR(MIN(BD42,100*INDEX(TABLAS!$D$52:$D$58,MIN(MATCH(IF(ISNUMBER(S42),S42,DATOS!$C$138),TABLAS!$B$52:$B$58,0)+3,7))/MAX(BQ42,0.0001)),DATOS!$C$144)&gt;=DATOS!$C$143),INDEX(TABLAS!$B$52:$B$58,MIN(MATCH(IF(ISNUMBER(S42),S42,DATOS!$C$138),TABLAS!$B$52:$B$58,0)+3,7)),IF(AND(BQ42&gt;0,FLOOR(MIN(BD42,100*INDEX(TABLAS!$D$52:$D$58,MIN(MATCH(IF(ISNUMBER(S42),S42,DATOS!$C$138),TABLAS!$B$52:$B$58,0)+4,7))/MAX(BQ42,0.0001)),DATOS!$C$144)&gt;=DATOS!$C$143),INDEX(TABLAS!$B$52:$B$58,MIN(MATCH(IF(ISNUMBER(S42),S42,DATOS!$C$138),TABLAS!$B$52:$B$58,0)+4,7)),INDEX(TABLAS!$B$52:$B$58,7)))))))</f>
        <v/>
      </c>
      <c r="BS42" s="71" t="str">
        <f>IF(V42&lt;&gt;"SÍ","",IF(BQ42&lt;=0,0,FLOOR(MIN(BD42,100*INDEX(TABLAS!$D$52:$D$58,MATCH(BR42,TABLAS!$B$52:$B$58,0))/BQ42),DATOS!$C$144)))</f>
        <v/>
      </c>
      <c r="BT42" s="58" t="str">
        <f>IF(V42&lt;&gt;"SÍ","",IF(BS42&lt;=0,0,INDEX(TABLAS!$D$52:$D$58,MATCH(BR42,TABLAS!$B$52:$B$58,0))*100/BS42))</f>
        <v/>
      </c>
      <c r="BU42" s="58" t="str">
        <f>IF(V42&lt;&gt;"SÍ","",((W42-AF42-INDEX(TABLAS!$C$52:$C$58,MATCH(BR42,TABLAS!$B$52:$B$58,0))/2)-IF(AND((W42-AF42-INDEX(TABLAS!$C$52:$C$58,MATCH(BR42,TABLAS!$B$52:$B$58,0))/2)&lt;=20,DATOS!$C$65&lt;&gt;"SÍ"),2,0)))</f>
        <v/>
      </c>
      <c r="BV42" s="56" t="str">
        <f>IF(V42&lt;&gt;"SÍ","",IF(BT42=0,0,DATOS!$C$29*BT42*DATOS!$C$14*(BU42-BT42*DATOS!$C$14/(DATOS!$C$21*100)/2)/1E5))</f>
        <v/>
      </c>
      <c r="BW42" s="65" t="str">
        <f>IF(V42&lt;&gt;"SÍ","",IF(BQ42&lt;0,9.99,IF(BV42&gt;0,AY42/BV42,0)))</f>
        <v/>
      </c>
      <c r="BX42" s="66" t="str">
        <f>IF(V42&lt;&gt;"SÍ","",IF(BT42=0,"—",0.003*(BU42-(BT42*DATOS!$C$14/(DATOS!$C$21*100)/DATOS!$C$22))/(BT42*DATOS!$C$14/(DATOS!$C$21*100)/DATOS!$C$22)))</f>
        <v/>
      </c>
      <c r="BY42" s="58" t="str">
        <f>IF(V42&lt;&gt;"SÍ","",(W42-AE42-1.5*INDEX(TABLAS!$C$52:$C$58,MATCH(IF(ISNUMBER(S42),S42,DATOS!$C$138),TABLAS!$B$52:$B$58,0))))</f>
        <v/>
      </c>
      <c r="BZ42" s="58" t="str">
        <f>IF(V42&lt;&gt;"SÍ","",IF(AZ42&lt;=0,0,IF((1-2*AZ42*1E5/(DATOS!$C$29*100*BY42^2*DATOS!$C$21))&lt;0,-1,IF((1-SQRT((1-2*AZ42*1E5/(DATOS!$C$29*100*BY42^2*DATOS!$C$21))))*DATOS!$C$21*100*BY42/DATOS!$C$14&gt;DATOS!$C$102*100*BY42,-1,(1-SQRT((1-2*AZ42*1E5/(DATOS!$C$29*100*BY42^2*DATOS!$C$21))))*DATOS!$C$21*100*BY42/DATOS!$C$14))))</f>
        <v/>
      </c>
      <c r="CA42" s="58" t="str">
        <f>IF(V42&lt;&gt;"SÍ","",IF(BZ42&lt;0,-1,MAX(BZ42,BC42)))</f>
        <v/>
      </c>
      <c r="CB42" s="64" t="str">
        <f>IF(V42&lt;&gt;"SÍ","",IF(AND(CA42&gt;0,FLOOR(MIN(BD42,100*INDEX(TABLAS!$D$52:$D$58,MIN(MATCH(IF(ISNUMBER(S42),S42,DATOS!$C$138),TABLAS!$B$52:$B$58,0)+0,7))/MAX(CA42,0.0001)),DATOS!$C$144)&gt;=DATOS!$C$143),INDEX(TABLAS!$B$52:$B$58,MIN(MATCH(IF(ISNUMBER(S42),S42,DATOS!$C$138),TABLAS!$B$52:$B$58,0)+0,7)),IF(AND(CA42&gt;0,FLOOR(MIN(BD42,100*INDEX(TABLAS!$D$52:$D$58,MIN(MATCH(IF(ISNUMBER(S42),S42,DATOS!$C$138),TABLAS!$B$52:$B$58,0)+1,7))/MAX(CA42,0.0001)),DATOS!$C$144)&gt;=DATOS!$C$143),INDEX(TABLAS!$B$52:$B$58,MIN(MATCH(IF(ISNUMBER(S42),S42,DATOS!$C$138),TABLAS!$B$52:$B$58,0)+1,7)),IF(AND(CA42&gt;0,FLOOR(MIN(BD42,100*INDEX(TABLAS!$D$52:$D$58,MIN(MATCH(IF(ISNUMBER(S42),S42,DATOS!$C$138),TABLAS!$B$52:$B$58,0)+2,7))/MAX(CA42,0.0001)),DATOS!$C$144)&gt;=DATOS!$C$143),INDEX(TABLAS!$B$52:$B$58,MIN(MATCH(IF(ISNUMBER(S42),S42,DATOS!$C$138),TABLAS!$B$52:$B$58,0)+2,7)),IF(AND(CA42&gt;0,FLOOR(MIN(BD42,100*INDEX(TABLAS!$D$52:$D$58,MIN(MATCH(IF(ISNUMBER(S42),S42,DATOS!$C$138),TABLAS!$B$52:$B$58,0)+3,7))/MAX(CA42,0.0001)),DATOS!$C$144)&gt;=DATOS!$C$143),INDEX(TABLAS!$B$52:$B$58,MIN(MATCH(IF(ISNUMBER(S42),S42,DATOS!$C$138),TABLAS!$B$52:$B$58,0)+3,7)),IF(AND(CA42&gt;0,FLOOR(MIN(BD42,100*INDEX(TABLAS!$D$52:$D$58,MIN(MATCH(IF(ISNUMBER(S42),S42,DATOS!$C$138),TABLAS!$B$52:$B$58,0)+4,7))/MAX(CA42,0.0001)),DATOS!$C$144)&gt;=DATOS!$C$143),INDEX(TABLAS!$B$52:$B$58,MIN(MATCH(IF(ISNUMBER(S42),S42,DATOS!$C$138),TABLAS!$B$52:$B$58,0)+4,7)),INDEX(TABLAS!$B$52:$B$58,7)))))))</f>
        <v/>
      </c>
      <c r="CC42" s="71" t="str">
        <f>IF(V42&lt;&gt;"SÍ","",IF(CA42&lt;=0,0,FLOOR(MIN(BD42,100*INDEX(TABLAS!$D$52:$D$58,MATCH(CB42,TABLAS!$B$52:$B$58,0))/CA42),DATOS!$C$144)))</f>
        <v/>
      </c>
      <c r="CD42" s="58" t="str">
        <f>IF(V42&lt;&gt;"SÍ","",IF(CC42&lt;=0,0,INDEX(TABLAS!$D$52:$D$58,MATCH(CB42,TABLAS!$B$52:$B$58,0))*100/CC42))</f>
        <v/>
      </c>
      <c r="CE42" s="58" t="str">
        <f>IF(V42&lt;&gt;"SÍ","",W42-AE42-INDEX(TABLAS!$C$52:$C$58,MATCH(BH42,TABLAS!$B$52:$B$58,0))-INDEX(TABLAS!$C$52:$C$58,MATCH(CB42,TABLAS!$B$52:$B$58,0))/2)</f>
        <v/>
      </c>
      <c r="CF42" s="56" t="str">
        <f>IF(V42&lt;&gt;"SÍ","",IF(CD42=0,0,DATOS!$C$29*CD42*DATOS!$C$14*(CE42-CD42*DATOS!$C$14/(DATOS!$C$21*100)/2)/1E5))</f>
        <v/>
      </c>
      <c r="CG42" s="65" t="str">
        <f>IF(V42&lt;&gt;"SÍ","",IF(CA42&lt;0,9.99,IF(CF42&gt;0,AZ42/CF42,0)))</f>
        <v/>
      </c>
      <c r="CH42" s="66" t="str">
        <f>IF(V42&lt;&gt;"SÍ","",IF(CD42=0,"—",0.003*(CE42-(CD42*DATOS!$C$14/(DATOS!$C$21*100)/DATOS!$C$22))/(CD42*DATOS!$C$14/(DATOS!$C$21*100)/DATOS!$C$22)))</f>
        <v/>
      </c>
      <c r="CI42" s="58" t="str">
        <f>IF(V42&lt;&gt;"SÍ","",((W42-AF42-1.5*INDEX(TABLAS!$C$52:$C$58,MATCH(IF(ISNUMBER(S42),S42,DATOS!$C$138),TABLAS!$B$52:$B$58,0)))-IF(AND((W42-AF42-1.5*INDEX(TABLAS!$C$52:$C$58,MATCH(IF(ISNUMBER(S42),S42,DATOS!$C$138),TABLAS!$B$52:$B$58,0)))&lt;=20,DATOS!$C$65&lt;&gt;"SÍ"),2,0)))</f>
        <v/>
      </c>
      <c r="CJ42" s="58" t="str">
        <f>IF(V42&lt;&gt;"SÍ","",IF(BA42&lt;=0,0,IF((1-2*BA42*1E5/(DATOS!$C$29*100*CI42^2*DATOS!$C$21))&lt;0,-1,IF((1-SQRT((1-2*BA42*1E5/(DATOS!$C$29*100*CI42^2*DATOS!$C$21))))*DATOS!$C$21*100*CI42/DATOS!$C$14&gt;DATOS!$C$102*100*CI42,-1,(1-SQRT((1-2*BA42*1E5/(DATOS!$C$29*100*CI42^2*DATOS!$C$21))))*DATOS!$C$21*100*CI42/DATOS!$C$14))))</f>
        <v/>
      </c>
      <c r="CK42" s="58" t="str">
        <f>IF(V42&lt;&gt;"SÍ","",IF(CJ42&lt;0,-1,MAX(CJ42,BC42)))</f>
        <v/>
      </c>
      <c r="CL42" s="64" t="str">
        <f>IF(V42&lt;&gt;"SÍ","",IF(AND(CK42&gt;0,FLOOR(MIN(BD42,100*INDEX(TABLAS!$D$52:$D$58,MIN(MATCH(IF(ISNUMBER(S42),S42,DATOS!$C$138),TABLAS!$B$52:$B$58,0)+0,7))/MAX(CK42,0.0001)),DATOS!$C$144)&gt;=DATOS!$C$143),INDEX(TABLAS!$B$52:$B$58,MIN(MATCH(IF(ISNUMBER(S42),S42,DATOS!$C$138),TABLAS!$B$52:$B$58,0)+0,7)),IF(AND(CK42&gt;0,FLOOR(MIN(BD42,100*INDEX(TABLAS!$D$52:$D$58,MIN(MATCH(IF(ISNUMBER(S42),S42,DATOS!$C$138),TABLAS!$B$52:$B$58,0)+1,7))/MAX(CK42,0.0001)),DATOS!$C$144)&gt;=DATOS!$C$143),INDEX(TABLAS!$B$52:$B$58,MIN(MATCH(IF(ISNUMBER(S42),S42,DATOS!$C$138),TABLAS!$B$52:$B$58,0)+1,7)),IF(AND(CK42&gt;0,FLOOR(MIN(BD42,100*INDEX(TABLAS!$D$52:$D$58,MIN(MATCH(IF(ISNUMBER(S42),S42,DATOS!$C$138),TABLAS!$B$52:$B$58,0)+2,7))/MAX(CK42,0.0001)),DATOS!$C$144)&gt;=DATOS!$C$143),INDEX(TABLAS!$B$52:$B$58,MIN(MATCH(IF(ISNUMBER(S42),S42,DATOS!$C$138),TABLAS!$B$52:$B$58,0)+2,7)),IF(AND(CK42&gt;0,FLOOR(MIN(BD42,100*INDEX(TABLAS!$D$52:$D$58,MIN(MATCH(IF(ISNUMBER(S42),S42,DATOS!$C$138),TABLAS!$B$52:$B$58,0)+3,7))/MAX(CK42,0.0001)),DATOS!$C$144)&gt;=DATOS!$C$143),INDEX(TABLAS!$B$52:$B$58,MIN(MATCH(IF(ISNUMBER(S42),S42,DATOS!$C$138),TABLAS!$B$52:$B$58,0)+3,7)),IF(AND(CK42&gt;0,FLOOR(MIN(BD42,100*INDEX(TABLAS!$D$52:$D$58,MIN(MATCH(IF(ISNUMBER(S42),S42,DATOS!$C$138),TABLAS!$B$52:$B$58,0)+4,7))/MAX(CK42,0.0001)),DATOS!$C$144)&gt;=DATOS!$C$143),INDEX(TABLAS!$B$52:$B$58,MIN(MATCH(IF(ISNUMBER(S42),S42,DATOS!$C$138),TABLAS!$B$52:$B$58,0)+4,7)),INDEX(TABLAS!$B$52:$B$58,7)))))))</f>
        <v/>
      </c>
      <c r="CM42" s="71" t="str">
        <f>IF(V42&lt;&gt;"SÍ","",IF(CK42&lt;=0,0,FLOOR(MIN(BD42,100*INDEX(TABLAS!$D$52:$D$58,MATCH(CL42,TABLAS!$B$52:$B$58,0))/CK42),DATOS!$C$144)))</f>
        <v/>
      </c>
      <c r="CN42" s="58" t="str">
        <f>IF(V42&lt;&gt;"SÍ","",IF(CM42&lt;=0,0,INDEX(TABLAS!$D$52:$D$58,MATCH(CL42,TABLAS!$B$52:$B$58,0))*100/CM42))</f>
        <v/>
      </c>
      <c r="CO42" s="58" t="str">
        <f>IF(V42&lt;&gt;"SÍ","",((W42-AF42-INDEX(TABLAS!$C$52:$C$58,MATCH(BR42,TABLAS!$B$52:$B$58,0))-INDEX(TABLAS!$C$52:$C$58,MATCH(CL42,TABLAS!$B$52:$B$58,0))/2)-IF(AND((W42-AF42-INDEX(TABLAS!$C$52:$C$58,MATCH(BR42,TABLAS!$B$52:$B$58,0))-INDEX(TABLAS!$C$52:$C$58,MATCH(CL42,TABLAS!$B$52:$B$58,0))/2)&lt;=20,DATOS!$C$65&lt;&gt;"SÍ"),2,0)))</f>
        <v/>
      </c>
      <c r="CP42" s="56" t="str">
        <f>IF(V42&lt;&gt;"SÍ","",IF(CN42=0,0,DATOS!$C$29*CN42*DATOS!$C$14*(CO42-CN42*DATOS!$C$14/(DATOS!$C$21*100)/2)/1E5))</f>
        <v/>
      </c>
      <c r="CQ42" s="65" t="str">
        <f>IF(V42&lt;&gt;"SÍ","",IF(CK42&lt;0,9.99,IF(CP42&gt;0,BA42/CP42,0)))</f>
        <v/>
      </c>
      <c r="CR42" s="66" t="str">
        <f>IF(V42&lt;&gt;"SÍ","",IF(CN42=0,"—",0.003*(CO42-(CN42*DATOS!$C$14/(DATOS!$C$21*100)/DATOS!$C$22))/(CN42*DATOS!$C$14/(DATOS!$C$21*100)/DATOS!$C$22)))</f>
        <v/>
      </c>
      <c r="CS42" s="56" t="str">
        <f>IF(V42&lt;&gt;"SÍ","",IF(C42="PERIMETRAL",MAX(0,(AC42/2-BU42)/100)*(0.95-0.5*AB42)*AK42*IF(AND(AL42&gt;0,AL42&lt;4),DATOS!$C$33,1)/1000,(AK42*MAX(0,AC42-BU42)/100+DATOS!$C$26*N(P42))/1000))</f>
        <v/>
      </c>
      <c r="CT42" s="66" t="str">
        <f>IF(V42&lt;&gt;"SÍ","",BT42/(100*BU42))</f>
        <v/>
      </c>
      <c r="CU42" s="56" t="str">
        <f>IF(V42&lt;&gt;"SÍ","",DATOS!$C$30*2*MIN(1,SQRT(2/(1+0.04*BU42)))*CT42^(1/3)*SQRT(DATOS!$C$13)*100*BU42/1000)</f>
        <v/>
      </c>
      <c r="CV42" s="67" t="str">
        <f>IF(V42&lt;&gt;"SÍ","",IF(CS42&lt;=CU42,"CUMPLE","NO CUMPLE: sube h"))</f>
        <v/>
      </c>
      <c r="CW42" s="58" t="str">
        <f>IF(V42&lt;&gt;"SÍ","",IF(C42="PERIMETRAL",IF(ISNUMBER(R42),R42,DATOS!$C$104),0))</f>
        <v/>
      </c>
      <c r="CX42" s="57" t="str">
        <f>IF(V42&lt;&gt;"SÍ","",IF(C42="PERIMETRAL",IF(CW42&gt;2,MAX(9,AD42*(0.8+DATOS!$C$14/14000)/(36+9*(AD42/MAX(AC42,1)))),IF(CW42&gt;0.2,MAX(13,AD42*(0.8+DATOS!$C$14/14000)/(36+5*(AD42/MAX(AC42,1))*(CW42-0.2))),MAX(13,AD42/IF(AL42&gt;0,30,33))))*IF(AND(CW42&gt;0.2,AL42&gt;0,DATOS!$C$105="NO"),1.1,1),Z42*100/DATOS!$C$145*(0.4+DATOS!$C$14/7000)))</f>
        <v/>
      </c>
      <c r="CY42" s="61" t="str">
        <f>IF(V42&lt;&gt;"SÍ","",IF(W42&gt;=CX42-0.001,"CUMPLE",IF(C42="VOLADO","NO CUMPLE","CALCULAR FLECHA")))</f>
        <v/>
      </c>
      <c r="CZ42" s="60" t="str">
        <f>IF(V42&lt;&gt;"SÍ","",IF(C42="VOLADO",MIN(FLOOR(IF(ISNUMBER(Q42),Q42,Z42)*100-DATOS!$C$63,5),CEILING(MAX(IF((0.5*(0.9*W42/100*DATOS!$C$16)*IF(ISNUMBER(Q42),Q42,Z42)+AY42/IF(ISNUMBER(Q42),Q42,Z42))^2-4*(0.5*(0.9*W42/100*DATOS!$C$16))*AY42&lt;0,IF(ISNUMBER(Q42),Q42,Z42),MIN(IF(ISNUMBER(Q42),Q42,Z42),((0.5*(0.9*W42/100*DATOS!$C$16)*IF(ISNUMBER(Q42),Q42,Z42)+AY42/IF(ISNUMBER(Q42),Q42,Z42))-SQRT((0.5*(0.9*W42/100*DATOS!$C$16)*IF(ISNUMBER(Q42),Q42,Z42)+AY42/IF(ISNUMBER(Q42),Q42,Z42))^2-4*(0.5*(0.9*W42/100*DATOS!$C$16))*AY42))/(2*(0.5*(0.9*W42/100*DATOS!$C$16)))))*100+MAX(BU42,12*INDEX(TABLAS!$C$52:$C$58,MATCH(BR42,TABLAS!$B$52:$B$58,0)),IF(ISNUMBER(Q42),Q42,Z42)*100/16),IF(OR(AF42&lt;INDEX(TABLAS!$C$52:$C$58,MATCH(BR42,TABLAS!$B$52:$B$58,0)),BS42-INDEX(TABLAS!$C$52:$C$58,MATCH(BR42,TABLAS!$B$52:$B$58,0))&lt;2*INDEX(TABLAS!$C$52:$C$58,MATCH(BR42,TABLAS!$B$52:$B$58,0))),INDEX(TABLAS!$I$52:$I$58,MATCH(BR42,TABLAS!$B$52:$B$58,0)),INDEX(TABLAS!$F$52:$F$58,MATCH(BR42,TABLAS!$B$52:$B$58,0)))),5)),IF(((4*((AV42*AK42*Z42^2*1E-4/1000)+((MAX(AR42,AT42)*AK42*Z42^2*1E-4/1000)+(IF(AND(AR42&gt;0,AT42&gt;0),MIN(AR42,AT42),MAX(AR42,AT42))*AK42*Z42^2*1E-4/1000))/2)+AY42-(IF(AND(AR42&gt;0,AT42&gt;0),MIN(AR42,AT42),MAX(AR42,AT42))*AK42*Z42^2*1E-4/1000))^2-16*((AV42*AK42*Z42^2*1E-4/1000)+((MAX(AR42,AT42)*AK42*Z42^2*1E-4/1000)+(IF(AND(AR42&gt;0,AT42&gt;0),MIN(AR42,AT42),MAX(AR42,AT42))*AK42*Z42^2*1E-4/1000))/2)*AY42)&lt;0,CEILING(AC42,5),CEILING(MAX(AC42*((4*((AV42*AK42*Z42^2*1E-4/1000)+((MAX(AR42,AT42)*AK42*Z42^2*1E-4/1000)+(IF(AND(AR42&gt;0,AT42&gt;0),MIN(AR42,AT42),MAX(AR42,AT42))*AK42*Z42^2*1E-4/1000))/2)+AY42-(IF(AND(AR42&gt;0,AT42&gt;0),MIN(AR42,AT42),MAX(AR42,AT42))*AK42*Z42^2*1E-4/1000))-SQRT(MAX(0,((4*((AV42*AK42*Z42^2*1E-4/1000)+((MAX(AR42,AT42)*AK42*Z42^2*1E-4/1000)+(IF(AND(AR42&gt;0,AT42&gt;0),MIN(AR42,AT42),MAX(AR42,AT42))*AK42*Z42^2*1E-4/1000))/2)+AY42-(IF(AND(AR42&gt;0,AT42&gt;0),MIN(AR42,AT42),MAX(AR42,AT42))*AK42*Z42^2*1E-4/1000))^2-16*((AV42*AK42*Z42^2*1E-4/1000)+((MAX(AR42,AT42)*AK42*Z42^2*1E-4/1000)+(IF(AND(AR42&gt;0,AT42&gt;0),MIN(AR42,AT42),MAX(AR42,AT42))*AK42*Z42^2*1E-4/1000))/2)*AY42))))/(8*MAX(((AV42*AK42*Z42^2*1E-4/1000)+((MAX(AR42,AT42)*AK42*Z42^2*1E-4/1000)+(IF(AND(AR42&gt;0,AT42&gt;0),MIN(AR42,AT42),MAX(AR42,AT42))*AK42*Z42^2*1E-4/1000))/2),1E-9))+MAX(BU42,12*INDEX(TABLAS!$C$52:$C$58,MATCH(BR42,TABLAS!$B$52:$B$58,0)),AC42/16),IF(OR(AF42&lt;INDEX(TABLAS!$C$52:$C$58,MATCH(BR42,TABLAS!$B$52:$B$58,0)),BS42-INDEX(TABLAS!$C$52:$C$58,MATCH(BR42,TABLAS!$B$52:$B$58,0))&lt;2*INDEX(TABLAS!$C$52:$C$58,MATCH(BR42,TABLAS!$B$52:$B$58,0))),INDEX(TABLAS!$I$52:$I$58,MATCH(BR42,TABLAS!$B$52:$B$58,0)),INDEX(TABLAS!$F$52:$F$58,MATCH(BR42,TABLAS!$B$52:$B$58,0)))),5))))</f>
        <v/>
      </c>
      <c r="DA42" s="60" t="str">
        <f>IF(V42&lt;&gt;"SÍ","",IF(C42="VOLADO",0,IF(((4*((AW42*AK42*Z42^2*1E-4/1000)+((MAX(AS42,AU42)*AK42*Z42^2*1E-4/1000)+(IF(AND(AS42&gt;0,AU42&gt;0),MIN(AS42,AU42),MAX(AS42,AU42))*AK42*Z42^2*1E-4/1000))/2)+BA42-(IF(AND(AS42&gt;0,AU42&gt;0),MIN(AS42,AU42),MAX(AS42,AU42))*AK42*Z42^2*1E-4/1000))^2-16*((AW42*AK42*Z42^2*1E-4/1000)+((MAX(AS42,AU42)*AK42*Z42^2*1E-4/1000)+(IF(AND(AS42&gt;0,AU42&gt;0),MIN(AS42,AU42),MAX(AS42,AU42))*AK42*Z42^2*1E-4/1000))/2)*BA42)&lt;0,CEILING(AD42,5),CEILING(MAX(AD42*((4*((AW42*AK42*Z42^2*1E-4/1000)+((MAX(AS42,AU42)*AK42*Z42^2*1E-4/1000)+(IF(AND(AS42&gt;0,AU42&gt;0),MIN(AS42,AU42),MAX(AS42,AU42))*AK42*Z42^2*1E-4/1000))/2)+BA42-(IF(AND(AS42&gt;0,AU42&gt;0),MIN(AS42,AU42),MAX(AS42,AU42))*AK42*Z42^2*1E-4/1000))-SQRT(MAX(0,((4*((AW42*AK42*Z42^2*1E-4/1000)+((MAX(AS42,AU42)*AK42*Z42^2*1E-4/1000)+(IF(AND(AS42&gt;0,AU42&gt;0),MIN(AS42,AU42),MAX(AS42,AU42))*AK42*Z42^2*1E-4/1000))/2)+BA42-(IF(AND(AS42&gt;0,AU42&gt;0),MIN(AS42,AU42),MAX(AS42,AU42))*AK42*Z42^2*1E-4/1000))^2-16*((AW42*AK42*Z42^2*1E-4/1000)+((MAX(AS42,AU42)*AK42*Z42^2*1E-4/1000)+(IF(AND(AS42&gt;0,AU42&gt;0),MIN(AS42,AU42),MAX(AS42,AU42))*AK42*Z42^2*1E-4/1000))/2)*BA42))))/(8*MAX(((AW42*AK42*Z42^2*1E-4/1000)+((MAX(AS42,AU42)*AK42*Z42^2*1E-4/1000)+(IF(AND(AS42&gt;0,AU42&gt;0),MIN(AS42,AU42),MAX(AS42,AU42))*AK42*Z42^2*1E-4/1000))/2),1E-9))+MAX(CO42,12*INDEX(TABLAS!$C$52:$C$58,MATCH(CL42,TABLAS!$B$52:$B$58,0)),AD42/16),IF(OR(AF42&lt;INDEX(TABLAS!$C$52:$C$58,MATCH(CL42,TABLAS!$B$52:$B$58,0)),CM42-INDEX(TABLAS!$C$52:$C$58,MATCH(CL42,TABLAS!$B$52:$B$58,0))&lt;2*INDEX(TABLAS!$C$52:$C$58,MATCH(CL42,TABLAS!$B$52:$B$58,0))),INDEX(TABLAS!$I$52:$I$58,MATCH(CL42,TABLAS!$B$52:$B$58,0)),INDEX(TABLAS!$F$52:$F$58,MATCH(CL42,TABLAS!$B$52:$B$58,0)))),5))))</f>
        <v/>
      </c>
      <c r="DB42" s="55" t="str">
        <f>IF(V42&lt;&gt;"SÍ","",IF(AND(C42="PERIMETRAL",AL42-AM42&gt;0,AT42&gt;0),"SÍ","NO"))</f>
        <v/>
      </c>
      <c r="DC42" s="55" t="str">
        <f>IF(V42&lt;&gt;"SÍ","",IF(AND(C42="PERIMETRAL",AM42&gt;0,AU42&gt;0),"SÍ","NO"))</f>
        <v/>
      </c>
      <c r="DD42" s="63" t="str">
        <f>IF(V42&lt;&gt;"SÍ","",IF(OR(C42="VOLADO",AL42=0),"—",IF(AND(AND(INDEX(TABLAS!$G$52:$G$58,MATCH(MAX(BR42,CL42),TABLAS!$B$52:$B$58,0))&lt;=(DATOS!$C$75-DATOS!$C$63),(DATOS!$C$75-DATOS!$C$63)&gt;=15),8*INDEX(TABLAS!$C$52:$C$58,MATCH(MAX(BH42,CB42,BR42,CL42),TABLAS!$B$52:$B$58,0))&lt;=DATOS!$C$76-2*DATOS!$C$63),"CUMPLE (gancho de 180°)",IF(AND(INDEX(TABLAS!$G$52:$G$58,MATCH(MAX(BR42,CL42),TABLAS!$B$52:$B$58,0))&lt;=(DATOS!$C$75-DATOS!$C$63),(DATOS!$C$75-DATOS!$C$63)&gt;=15),"NO CUMPLE: el gancho de 180° (8·d_b) no cabe en el peralte de la dala de borde","NO CUMPLE: dala de borde ≥ "&amp;TEXT(CEILING(MAX(INDEX(TABLAS!$G$52:$G$58,MATCH(MAX(BR42,CL42),TABLAS!$B$52:$B$58,0)),15)+DATOS!$C$63,5),"0")&amp;" cm de ancho"&amp;IF(8*INDEX(TABLAS!$C$52:$C$58,MATCH(MAX(BH42,CB42,BR42,CL42),TABLAS!$B$52:$B$58,0))&lt;=DATOS!$C$76-2*DATOS!$C$63,""," y más peralte para el gancho")))))</f>
        <v/>
      </c>
      <c r="DE42" s="69" t="str">
        <f>IF(V42&lt;&gt;"SÍ","",IF(BI42=0,"NO ALCANZA","No. "&amp;BH42&amp;" @ "&amp;BI42&amp;" cm"&amp;IF(C42="VOLADO"," (temperatura)","")))</f>
        <v/>
      </c>
      <c r="DF42" s="69" t="str">
        <f>IF(V42&lt;&gt;"SÍ","",IF(BS42=0,"NO ALCANZA",IF(C42="VOLADO","No. "&amp;BR42&amp;" @ "&amp;BS42&amp;" cm"&amp;" de la orilla al respaldo ("&amp;IF(CZ42&gt;=FLOOR(100*IF(ISNUMBER(Q42),Q42,Z42)-DATOS!$C$63,5),"hasta su apoyo lejano, con gancho","entran "&amp;TEXT(CZ42/100,"0.00")&amp;" m desde el paño")&amp;")","Bastones "&amp;"No. "&amp;BR42&amp;" @ "&amp;BS42&amp;" cm"&amp;", L = "&amp;TEXT(CZ42/100,"0.00")&amp;" m desde el paño")))</f>
        <v/>
      </c>
      <c r="DG42" s="69" t="str">
        <f>IF(V42&lt;&gt;"SÍ","",IF(CC42=0,"NO ALCANZA","No. "&amp;CB42&amp;" @ "&amp;CC42&amp;" cm"&amp;IF(C42="VOLADO"," (repartición)","")))</f>
        <v/>
      </c>
      <c r="DH42" s="69" t="str">
        <f>IF(V42&lt;&gt;"SÍ","",IF(CM42=0,"NO ALCANZA",IF(C42="VOLADO","No. "&amp;CL42&amp;" @ "&amp;CM42&amp;" cm"&amp;" (repartición)","Bastones "&amp;"No. "&amp;CL42&amp;" @ "&amp;CM42&amp;" cm"&amp;", L = "&amp;TEXT(DA42/100,"0.00")&amp;" m desde el paño")))</f>
        <v/>
      </c>
      <c r="DI42" s="67" t="str">
        <f>IF(B42="","",IF(V42&lt;&gt;"SÍ","FALTAN DATOS: tipo, a_x, a_y, destino y, en volados, L_b",IF(L42="NO MONOLÍTICO (caso II)","FUERA DE ALCANCE: caso II no transcrito",IF(AND(C42="VOLADO",X42="?"),"REVISAR: el volado lleva UN solo borde CONTINUO (el empotrado)",IF(AND(MAX(BM42,BW42,CG42,CQ42)&lt;=1,NOT(OR(BI42&lt;DATOS!$C$143,BS42&lt;DATOS!$C$143,CC42&lt;DATOS!$C$143,CM42&lt;DATOS!$C$143)),NOT(OR(AND(ISNUMBER(BN42),BN42&lt;0.005),AND(ISNUMBER(BX42),BX42&lt;0.005),AND(ISNUMBER(CH42),CH42&lt;0.005),AND(ISNUMBER(CR42),CR42&lt;0.005))),CV42="CUMPLE",CY42="CUMPLE"),"CUMPLE"&amp;IF(LEFT(BB42,5)="FUERA"," · fuera de 3.4.2.1 c)","")&amp;IF(LEFT(DD42,2)="NO"," · REVISAR anclaje en borde discontinuo",""),IF(AND(MAX(BM42,BW42,CG42,CQ42)&lt;=1,NOT(OR(BI42&lt;DATOS!$C$143,BS42&lt;DATOS!$C$143,CC42&lt;DATOS!$C$143,CM42&lt;DATOS!$C$143)),NOT(OR(AND(ISNUMBER(BN42),BN42&lt;0.005),AND(ISNUMBER(BX42),BX42&lt;0.005),AND(ISNUMBER(CH42),CH42&lt;0.005),AND(ISNUMBER(CR42),CR42&lt;0.005))),CV42="CUMPLE",CY42="CALCULAR FLECHA"),"REVISAR: calcular flecha (h &lt; h mín.)"&amp;IF(LEFT(BB42,5)="FUERA"," · fuera de 3.4.2.1 c)","")&amp;IF(LEFT(DD42,2)="NO"," · REVISAR anclaje en borde discontinuo",""),"NO CUMPLE: "&amp;IF(MAX(BM42,BW42,CG42,CQ42)&gt;1,"flexión ","")&amp;IF(OR(BI42&lt;DATOS!$C$143,BS42&lt;DATOS!$C$143,CC42&lt;DATOS!$C$143,CM42&lt;DATOS!$C$143),"separación &lt; mínima ","")&amp;IF(OR(AND(ISNUMBER(BN42),BN42&lt;0.005),AND(ISNUMBER(BX42),BX42&lt;0.005),AND(ISNUMBER(CH42),CH42&lt;0.005),AND(ISNUMBER(CR42),CR42&lt;0.005)),"ε_t &lt; 0.005 ","")&amp;IF(CV42&lt;&gt;"CUMPLE","cortante ","")&amp;IF(CY42="NO CUMPLE","peralte","")))))))</f>
        <v/>
      </c>
      <c r="DJ42" s="70" t="str">
        <f>IF(V42&lt;&gt;"SÍ","",IF(LEFT(B42,7)="EJEMPLO","EJEMPLO de tablero típico: bórralo o sobrescríbelo. ","")&amp;IF(C42="VOLADO","Volado de "&amp;TEXT(Z42,"0.00")&amp;" m empotrado en el borde "&amp;LOWER(X42)&amp;IF(N(P42)&gt;0,", con "&amp;TEXT(P42,"0.0")&amp;" kg/m en la orilla","")&amp;". Lecho inferior con r_ext. Si la orilla carga pretil u otro elemento frágil, calcula la flecha (13.4). El acero superior entra al respaldo de "&amp;TEXT(IF(ISNUMBER(Q42),Q42,Z42),"0.00")&amp;" m"&amp;" hasta pasar M = 0 con 0.9·PP sin carga viva; si ahí no se anula, llega al apoyo lejano y se ancla con gancho. ","")&amp;IF(AND(C42="VOLADO",(0.9*W42/100*DATOS!$C$16*IF(ISNUMBER(Q42),Q42,Z42)/2-AY42/IF(ISNUMBER(Q42),Q42,Z42))&lt;0),"Con 0.9·PP y sin carga viva el apoyo lejano del respaldo levanta (R = "&amp;TEXT(-(0.9*W42/100*DATOS!$C$16*IF(ISNUMBER(Q42),Q42,Z42)/2-AY42/IF(ISNUMBER(Q42),Q42,Z42)),"0.00")&amp;" t/m): ancla ahí el acero con gancho y revisa ese apoyo a tensión. ","")&amp;IF(LEFT(BB42,5)="FUERA","El M⁻ del vecino difiere más de 50 % (3.4.2.1 c): distribuye el desequilibrio (3.4.3.1) o confirma con un modelo; se arma con el mayor. ","")&amp;IF(OR(DB42="SÍ",DC42="SÍ"),"Bastones también en los bordes discontinuos (M⁻ de tabla), con gancho. ","")&amp;IF(LEFT(DD42,2)="NO","Anclaje: "&amp;DD42&amp;" (6.7.7.4.1.1). ","")&amp;IF(AND(C42="PERIMETRAL",AM42&gt;=1,AL42-AM42&gt;=1),"Esquinas exteriores sobre muro: refuerzo de esquina arriba y abajo en L_largo/5 (6.7.7.3.1). ",""))</f>
        <v/>
      </c>
    </row>
    <row r="43" ht="33" customHeight="1">
      <c r="A43" s="50">
        <f>IF(B43="",0,1)+A42</f>
        <v>3</v>
      </c>
      <c r="B43" s="29" t="n"/>
      <c r="C43" s="51" t="n"/>
      <c r="D43" s="29" t="n"/>
      <c r="E43" s="52" t="n"/>
      <c r="F43" s="52" t="n"/>
      <c r="G43" s="51" t="n"/>
      <c r="H43" s="51" t="n"/>
      <c r="I43" s="51" t="n"/>
      <c r="J43" s="51" t="n"/>
      <c r="K43" s="51" t="n"/>
      <c r="L43" s="51" t="n"/>
      <c r="M43" s="54" t="n"/>
      <c r="N43" s="53" t="n"/>
      <c r="O43" s="53" t="n"/>
      <c r="P43" s="54" t="n"/>
      <c r="Q43" s="52" t="n"/>
      <c r="R43" s="54" t="n"/>
      <c r="S43" s="53" t="n"/>
      <c r="T43" s="52" t="n"/>
      <c r="U43" s="52" t="n"/>
      <c r="V43" s="55" t="str">
        <f>IF(B43="","",IF(AND(OR(C43="PERIMETRAL",C43="VOLADO"),ISNUMBER(E43),ISNUMBER(F43),E43&gt;0,F43&gt;0,OR(ISNUMBER(O43),ISNUMBER(MATCH(D43,DATOS!$B$46:$B$58,0))),OR(C43&lt;&gt;"VOLADO",N(Q43)&gt;0)),"SÍ","NO"))</f>
        <v/>
      </c>
      <c r="W43" s="57" t="str">
        <f>IF(V43&lt;&gt;"SÍ","",IF(ISNUMBER(M43),M43,DATOS!$C$137))</f>
        <v/>
      </c>
      <c r="X43" s="55" t="str">
        <f>IF(V43&lt;&gt;"SÍ","",IF(C43&lt;&gt;"VOLADO","—",IF(COUNTIF(G43:J43,"CONTINUO")&lt;&gt;1,"?",IF(G43="CONTINUO","INFERIOR",IF(H43="CONTINUO","SUPERIOR",IF(I43="CONTINUO","IZQUIERDO","DERECHO"))))))</f>
        <v/>
      </c>
      <c r="Y43" s="55" t="str">
        <f>IF(V43&lt;&gt;"SÍ","",IF(C43="VOLADO",IF(OR(X43="IZQUIERDO",X43="DERECHO"),"X","Y"),IF(E43&lt;=F43,"X","Y")))</f>
        <v/>
      </c>
      <c r="Z43" s="56" t="str">
        <f>IF(V43&lt;&gt;"SÍ","",IF(C43="VOLADO",IF(Y43="X",E43,F43),MIN(E43,F43)))</f>
        <v/>
      </c>
      <c r="AA43" s="56" t="str">
        <f>IF(V43&lt;&gt;"SÍ","",IF(C43="VOLADO",IF(Y43="X",F43,E43),MAX(E43,F43)))</f>
        <v/>
      </c>
      <c r="AB43" s="56" t="str">
        <f>IF(V43&lt;&gt;"SÍ","",MIN(Z43,AA43)/MAX(Z43,AA43))</f>
        <v/>
      </c>
      <c r="AC43" s="57" t="str">
        <f>IF(V43&lt;&gt;"SÍ","",MAX(1,Z43*100-IF(C43="VOLADO",DATOS!$C$87/2,DATOS!$C$87)))</f>
        <v/>
      </c>
      <c r="AD43" s="57" t="str">
        <f>IF(V43&lt;&gt;"SÍ","",MAX(1,AA43*100-DATOS!$C$87))</f>
        <v/>
      </c>
      <c r="AE43" s="57" t="str">
        <f>IF(V43&lt;&gt;"SÍ","",IF(C43="VOLADO",DATOS!$C$64,DATOS!$C$62))</f>
        <v/>
      </c>
      <c r="AF43" s="57" t="str">
        <f>IF(V43&lt;&gt;"SÍ","",IF(OR(AND(AG43="SÍ",DATOS!$C$66="SÍ"),AND(C43="VOLADO",DATOS!$C$67="SÍ")),DATOS!$C$64,DATOS!$C$62))</f>
        <v/>
      </c>
      <c r="AG43" s="55" t="str">
        <f>IF(V43&lt;&gt;"SÍ","",IFERROR(INDEX(DATOS!$D$46:$D$58,MATCH(D43,DATOS!$B$46:$B$58,0)),"NO"))</f>
        <v/>
      </c>
      <c r="AH43" s="59" t="str">
        <f>IF(V43&lt;&gt;"SÍ","",IF(ISNUMBER(O43),O43,IFERROR(INDEX(DATOS!$C$46:$C$58,MATCH(D43,DATOS!$B$46:$B$58,0)),0)))</f>
        <v/>
      </c>
      <c r="AI43" s="59" t="str">
        <f>IF(V43&lt;&gt;"SÍ","",W43/100*DATOS!$C$16*1000+DATOS!$C$37+DATOS!$C$38)</f>
        <v/>
      </c>
      <c r="AJ43" s="59" t="str">
        <f>IF(V43&lt;&gt;"SÍ","",AI43+N(N43))</f>
        <v/>
      </c>
      <c r="AK43" s="60" t="str">
        <f>IF(V43&lt;&gt;"SÍ","",MAX(DATOS!$C$26*AJ43+DATOS!$C$27*AH43,IF(AG43="SÍ",DATOS!$C$28*(AJ43+DATOS!$C$41),0)))</f>
        <v/>
      </c>
      <c r="AL43" s="59" t="str">
        <f>IF(V43&lt;&gt;"SÍ","",(G43="DISCONTINUO")+(H43="DISCONTINUO")+(I43="DISCONTINUO")+(J43="DISCONTINUO"))</f>
        <v/>
      </c>
      <c r="AM43" s="59" t="str">
        <f>IF(V43&lt;&gt;"SÍ","",IF(Y43="X",(G43="DISCONTINUO")+(H43="DISCONTINUO"),(I43="DISCONTINUO")+(J43="DISCONTINUO")))</f>
        <v/>
      </c>
      <c r="AN43" s="55" t="str">
        <f>IF(V43&lt;&gt;"SÍ","",IF(AL43=0,"INTERIOR",IF(AL43=1,IF(AM43=1,"BORDE-CORTO","BORDE-LARGO"),IF(AL43=2,IF(AM43=1,"ESQUINA",IF(AM43=2,"EXTREMO-LARGO","EXTREMO-CORTO")),IF(AL43=3,IF(AM43=2,"EXTREMO-LARGO","EXTREMO-CORTO"),"AISLADO")))))</f>
        <v/>
      </c>
      <c r="AO43" s="61" t="str">
        <f>IF(V43&lt;&gt;"SÍ","",IF(OR(K43="",K43="AUTO"),AN43,K43))</f>
        <v/>
      </c>
      <c r="AP43" s="59" t="str">
        <f>IF(V43&lt;&gt;"SÍ","",MATCH(AB43,TABLAS!$D$5:$J$5,1))</f>
        <v/>
      </c>
      <c r="AQ43" s="58" t="str">
        <f>IF(V43&lt;&gt;"SÍ","",IF(AP43&gt;=7,0,(AB43-INDEX(TABLAS!$D$5:$J$5,AP43))/(INDEX(TABLAS!$D$5:$J$5,AP43+1)-INDEX(TABLAS!$D$5:$J$5,AP43))))</f>
        <v/>
      </c>
      <c r="AR43" s="59" t="str">
        <f>IF(V43&lt;&gt;"SÍ","",INDEX(TABLAS!$D$6:$J$47,MATCH(AO43&amp;"|NIC",TABLAS!$B$6:$B$47,0),AP43)+AQ43*(INDEX(TABLAS!$D$6:$J$47,MATCH(AO43&amp;"|NIC",TABLAS!$B$6:$B$47,0),MIN(AP43+1,7))-INDEX(TABLAS!$D$6:$J$47,MATCH(AO43&amp;"|NIC",TABLAS!$B$6:$B$47,0),AP43)))</f>
        <v/>
      </c>
      <c r="AS43" s="59" t="str">
        <f>IF(V43&lt;&gt;"SÍ","",INDEX(TABLAS!$D$6:$J$47,MATCH(AO43&amp;"|NIL",TABLAS!$B$6:$B$47,0),AP43)+AQ43*(INDEX(TABLAS!$D$6:$J$47,MATCH(AO43&amp;"|NIL",TABLAS!$B$6:$B$47,0),MIN(AP43+1,7))-INDEX(TABLAS!$D$6:$J$47,MATCH(AO43&amp;"|NIL",TABLAS!$B$6:$B$47,0),AP43)))</f>
        <v/>
      </c>
      <c r="AT43" s="59" t="str">
        <f>IF(V43&lt;&gt;"SÍ","",INDEX(TABLAS!$D$6:$J$47,MATCH(AO43&amp;"|NDC",TABLAS!$B$6:$B$47,0),AP43)+AQ43*(INDEX(TABLAS!$D$6:$J$47,MATCH(AO43&amp;"|NDC",TABLAS!$B$6:$B$47,0),MIN(AP43+1,7))-INDEX(TABLAS!$D$6:$J$47,MATCH(AO43&amp;"|NDC",TABLAS!$B$6:$B$47,0),AP43)))</f>
        <v/>
      </c>
      <c r="AU43" s="59" t="str">
        <f>IF(V43&lt;&gt;"SÍ","",INDEX(TABLAS!$D$6:$J$47,MATCH(AO43&amp;"|NDL",TABLAS!$B$6:$B$47,0),AP43)+AQ43*(INDEX(TABLAS!$D$6:$J$47,MATCH(AO43&amp;"|NDL",TABLAS!$B$6:$B$47,0),MIN(AP43+1,7))-INDEX(TABLAS!$D$6:$J$47,MATCH(AO43&amp;"|NDL",TABLAS!$B$6:$B$47,0),AP43)))</f>
        <v/>
      </c>
      <c r="AV43" s="59" t="str">
        <f>IF(V43&lt;&gt;"SÍ","",INDEX(TABLAS!$D$6:$J$47,MATCH(AO43&amp;"|PC",TABLAS!$B$6:$B$47,0),AP43)+AQ43*(INDEX(TABLAS!$D$6:$J$47,MATCH(AO43&amp;"|PC",TABLAS!$B$6:$B$47,0),MIN(AP43+1,7))-INDEX(TABLAS!$D$6:$J$47,MATCH(AO43&amp;"|PC",TABLAS!$B$6:$B$47,0),AP43)))</f>
        <v/>
      </c>
      <c r="AW43" s="59" t="str">
        <f>IF(V43&lt;&gt;"SÍ","",INDEX(TABLAS!$D$6:$J$47,MATCH(AO43&amp;"|PL",TABLAS!$B$6:$B$47,0),AP43)+AQ43*(INDEX(TABLAS!$D$6:$J$47,MATCH(AO43&amp;"|PL",TABLAS!$B$6:$B$47,0),MIN(AP43+1,7))-INDEX(TABLAS!$D$6:$J$47,MATCH(AO43&amp;"|PL",TABLAS!$B$6:$B$47,0),AP43)))</f>
        <v/>
      </c>
      <c r="AX43" s="56" t="str">
        <f>IF(V43&lt;&gt;"SÍ","",IF(C43="PERIMETRAL",AV43*AK43*Z43^2*1E-4/1000,0))</f>
        <v/>
      </c>
      <c r="AY43" s="62" t="str">
        <f>IF(V43&lt;&gt;"SÍ","",IF(C43="PERIMETRAL",MAX(MAX(AR43,AT43)*AK43*Z43^2*1E-4/1000,N(T43)),(AK43*(AC43/100)^2/2+DATOS!$C$26*N(P43)*AC43/100)/1000))</f>
        <v/>
      </c>
      <c r="AZ43" s="56" t="str">
        <f>IF(V43&lt;&gt;"SÍ","",IF(C43="PERIMETRAL",AW43*AK43*Z43^2*1E-4/1000,0))</f>
        <v/>
      </c>
      <c r="BA43" s="56" t="str">
        <f>IF(V43&lt;&gt;"SÍ","",IF(C43="PERIMETRAL",MAX(MAX(AS43,AU43)*AK43*Z43^2*1E-4/1000,N(U43)),0))</f>
        <v/>
      </c>
      <c r="BB43" s="63" t="str">
        <f>IF(V43&lt;&gt;"SÍ","",IF(C43&lt;&gt;"PERIMETRAL","—",IF(AND(N(T43)=0,N(U43)=0),"— (sin M⁻ del vecino)",IF(OR(AND(N(T43)&gt;0,ABS(MAX(AR43,AT43)*AK43*Z43^2*1E-4/1000-N(T43))&gt;0.5*MIN(MAX(AR43,AT43)*AK43*Z43^2*1E-4/1000,N(T43))),AND(N(U43)&gt;0,ABS(MAX(AS43,AU43)*AK43*Z43^2*1E-4/1000-N(U43))&gt;0.5*MIN(MAX(AS43,AU43)*AK43*Z43^2*1E-4/1000,N(U43)))),"FUERA: difieren &gt; 50 %"&amp;IF(AND(N(T43)&gt;0,ABS(MAX(AR43,AT43)*AK43*Z43^2*1E-4/1000-N(T43))&gt;0.5*MIN(MAX(AR43,AT43)*AK43*Z43^2*1E-4/1000,N(T43)))," ‖ corto","")&amp;IF(AND(N(U43)&gt;0,ABS(MAX(AS43,AU43)*AK43*Z43^2*1E-4/1000-N(U43))&gt;0.5*MIN(MAX(AS43,AU43)*AK43*Z43^2*1E-4/1000,N(U43)))," ‖ largo",""),"CUMPLE"))))</f>
        <v/>
      </c>
      <c r="BC43" s="58" t="str">
        <f>IF(V43&lt;&gt;"SÍ","",DATOS!$C$139*100*W43)</f>
        <v/>
      </c>
      <c r="BD43" s="57" t="str">
        <f>IF(V43&lt;&gt;"SÍ","",MIN(IF(C43="VOLADO",DATOS!$C$141,DATOS!$C$140)*W43,DATOS!$C$142))</f>
        <v/>
      </c>
      <c r="BE43" s="58" t="str">
        <f>IF(V43&lt;&gt;"SÍ","",(W43-AE43-INDEX(TABLAS!$C$52:$C$58,MATCH(IF(ISNUMBER(S43),S43,DATOS!$C$138),TABLAS!$B$52:$B$58,0))/2))</f>
        <v/>
      </c>
      <c r="BF43" s="58" t="str">
        <f>IF(V43&lt;&gt;"SÍ","",IF(AX43&lt;=0,0,IF((1-2*AX43*1E5/(DATOS!$C$29*100*BE43^2*DATOS!$C$21))&lt;0,-1,IF((1-SQRT((1-2*AX43*1E5/(DATOS!$C$29*100*BE43^2*DATOS!$C$21))))*DATOS!$C$21*100*BE43/DATOS!$C$14&gt;DATOS!$C$102*100*BE43,-1,(1-SQRT((1-2*AX43*1E5/(DATOS!$C$29*100*BE43^2*DATOS!$C$21))))*DATOS!$C$21*100*BE43/DATOS!$C$14))))</f>
        <v/>
      </c>
      <c r="BG43" s="58" t="str">
        <f>IF(V43&lt;&gt;"SÍ","",IF(BF43&lt;0,-1,MAX(BF43,BC43)))</f>
        <v/>
      </c>
      <c r="BH43" s="64" t="str">
        <f>IF(V43&lt;&gt;"SÍ","",IF(AND(BG43&gt;0,FLOOR(MIN(BD43,100*INDEX(TABLAS!$D$52:$D$58,MIN(MATCH(IF(ISNUMBER(S43),S43,DATOS!$C$138),TABLAS!$B$52:$B$58,0)+0,7))/MAX(BG43,0.0001)),DATOS!$C$144)&gt;=DATOS!$C$143),INDEX(TABLAS!$B$52:$B$58,MIN(MATCH(IF(ISNUMBER(S43),S43,DATOS!$C$138),TABLAS!$B$52:$B$58,0)+0,7)),IF(AND(BG43&gt;0,FLOOR(MIN(BD43,100*INDEX(TABLAS!$D$52:$D$58,MIN(MATCH(IF(ISNUMBER(S43),S43,DATOS!$C$138),TABLAS!$B$52:$B$58,0)+1,7))/MAX(BG43,0.0001)),DATOS!$C$144)&gt;=DATOS!$C$143),INDEX(TABLAS!$B$52:$B$58,MIN(MATCH(IF(ISNUMBER(S43),S43,DATOS!$C$138),TABLAS!$B$52:$B$58,0)+1,7)),IF(AND(BG43&gt;0,FLOOR(MIN(BD43,100*INDEX(TABLAS!$D$52:$D$58,MIN(MATCH(IF(ISNUMBER(S43),S43,DATOS!$C$138),TABLAS!$B$52:$B$58,0)+2,7))/MAX(BG43,0.0001)),DATOS!$C$144)&gt;=DATOS!$C$143),INDEX(TABLAS!$B$52:$B$58,MIN(MATCH(IF(ISNUMBER(S43),S43,DATOS!$C$138),TABLAS!$B$52:$B$58,0)+2,7)),IF(AND(BG43&gt;0,FLOOR(MIN(BD43,100*INDEX(TABLAS!$D$52:$D$58,MIN(MATCH(IF(ISNUMBER(S43),S43,DATOS!$C$138),TABLAS!$B$52:$B$58,0)+3,7))/MAX(BG43,0.0001)),DATOS!$C$144)&gt;=DATOS!$C$143),INDEX(TABLAS!$B$52:$B$58,MIN(MATCH(IF(ISNUMBER(S43),S43,DATOS!$C$138),TABLAS!$B$52:$B$58,0)+3,7)),IF(AND(BG43&gt;0,FLOOR(MIN(BD43,100*INDEX(TABLAS!$D$52:$D$58,MIN(MATCH(IF(ISNUMBER(S43),S43,DATOS!$C$138),TABLAS!$B$52:$B$58,0)+4,7))/MAX(BG43,0.0001)),DATOS!$C$144)&gt;=DATOS!$C$143),INDEX(TABLAS!$B$52:$B$58,MIN(MATCH(IF(ISNUMBER(S43),S43,DATOS!$C$138),TABLAS!$B$52:$B$58,0)+4,7)),INDEX(TABLAS!$B$52:$B$58,7)))))))</f>
        <v/>
      </c>
      <c r="BI43" s="71" t="str">
        <f>IF(V43&lt;&gt;"SÍ","",IF(BG43&lt;=0,0,FLOOR(MIN(BD43,100*INDEX(TABLAS!$D$52:$D$58,MATCH(BH43,TABLAS!$B$52:$B$58,0))/BG43),DATOS!$C$144)))</f>
        <v/>
      </c>
      <c r="BJ43" s="58" t="str">
        <f>IF(V43&lt;&gt;"SÍ","",IF(BI43&lt;=0,0,INDEX(TABLAS!$D$52:$D$58,MATCH(BH43,TABLAS!$B$52:$B$58,0))*100/BI43))</f>
        <v/>
      </c>
      <c r="BK43" s="58" t="str">
        <f>IF(V43&lt;&gt;"SÍ","",W43-AE43-INDEX(TABLAS!$C$52:$C$58,MATCH(BH43,TABLAS!$B$52:$B$58,0))/2)</f>
        <v/>
      </c>
      <c r="BL43" s="56" t="str">
        <f>IF(V43&lt;&gt;"SÍ","",IF(BJ43=0,0,DATOS!$C$29*BJ43*DATOS!$C$14*(BK43-BJ43*DATOS!$C$14/(DATOS!$C$21*100)/2)/1E5))</f>
        <v/>
      </c>
      <c r="BM43" s="65" t="str">
        <f>IF(V43&lt;&gt;"SÍ","",IF(BG43&lt;0,9.99,IF(BL43&gt;0,AX43/BL43,0)))</f>
        <v/>
      </c>
      <c r="BN43" s="66" t="str">
        <f>IF(V43&lt;&gt;"SÍ","",IF(BJ43=0,"—",0.003*(BK43-(BJ43*DATOS!$C$14/(DATOS!$C$21*100)/DATOS!$C$22))/(BJ43*DATOS!$C$14/(DATOS!$C$21*100)/DATOS!$C$22)))</f>
        <v/>
      </c>
      <c r="BO43" s="58" t="str">
        <f>IF(V43&lt;&gt;"SÍ","",((W43-AF43-INDEX(TABLAS!$C$52:$C$58,MATCH(IF(ISNUMBER(S43),S43,DATOS!$C$138),TABLAS!$B$52:$B$58,0))/2)-IF(AND((W43-AF43-INDEX(TABLAS!$C$52:$C$58,MATCH(IF(ISNUMBER(S43),S43,DATOS!$C$138),TABLAS!$B$52:$B$58,0))/2)&lt;=20,DATOS!$C$65&lt;&gt;"SÍ"),2,0)))</f>
        <v/>
      </c>
      <c r="BP43" s="58" t="str">
        <f>IF(V43&lt;&gt;"SÍ","",IF(AY43&lt;=0,0,IF((1-2*AY43*1E5/(DATOS!$C$29*100*BO43^2*DATOS!$C$21))&lt;0,-1,IF((1-SQRT((1-2*AY43*1E5/(DATOS!$C$29*100*BO43^2*DATOS!$C$21))))*DATOS!$C$21*100*BO43/DATOS!$C$14&gt;DATOS!$C$102*100*BO43,-1,(1-SQRT((1-2*AY43*1E5/(DATOS!$C$29*100*BO43^2*DATOS!$C$21))))*DATOS!$C$21*100*BO43/DATOS!$C$14))))</f>
        <v/>
      </c>
      <c r="BQ43" s="58" t="str">
        <f>IF(V43&lt;&gt;"SÍ","",IF(BP43&lt;0,-1,MAX(BP43,BC43)))</f>
        <v/>
      </c>
      <c r="BR43" s="64" t="str">
        <f>IF(V43&lt;&gt;"SÍ","",IF(AND(BQ43&gt;0,FLOOR(MIN(BD43,100*INDEX(TABLAS!$D$52:$D$58,MIN(MATCH(IF(ISNUMBER(S43),S43,DATOS!$C$138),TABLAS!$B$52:$B$58,0)+0,7))/MAX(BQ43,0.0001)),DATOS!$C$144)&gt;=DATOS!$C$143),INDEX(TABLAS!$B$52:$B$58,MIN(MATCH(IF(ISNUMBER(S43),S43,DATOS!$C$138),TABLAS!$B$52:$B$58,0)+0,7)),IF(AND(BQ43&gt;0,FLOOR(MIN(BD43,100*INDEX(TABLAS!$D$52:$D$58,MIN(MATCH(IF(ISNUMBER(S43),S43,DATOS!$C$138),TABLAS!$B$52:$B$58,0)+1,7))/MAX(BQ43,0.0001)),DATOS!$C$144)&gt;=DATOS!$C$143),INDEX(TABLAS!$B$52:$B$58,MIN(MATCH(IF(ISNUMBER(S43),S43,DATOS!$C$138),TABLAS!$B$52:$B$58,0)+1,7)),IF(AND(BQ43&gt;0,FLOOR(MIN(BD43,100*INDEX(TABLAS!$D$52:$D$58,MIN(MATCH(IF(ISNUMBER(S43),S43,DATOS!$C$138),TABLAS!$B$52:$B$58,0)+2,7))/MAX(BQ43,0.0001)),DATOS!$C$144)&gt;=DATOS!$C$143),INDEX(TABLAS!$B$52:$B$58,MIN(MATCH(IF(ISNUMBER(S43),S43,DATOS!$C$138),TABLAS!$B$52:$B$58,0)+2,7)),IF(AND(BQ43&gt;0,FLOOR(MIN(BD43,100*INDEX(TABLAS!$D$52:$D$58,MIN(MATCH(IF(ISNUMBER(S43),S43,DATOS!$C$138),TABLAS!$B$52:$B$58,0)+3,7))/MAX(BQ43,0.0001)),DATOS!$C$144)&gt;=DATOS!$C$143),INDEX(TABLAS!$B$52:$B$58,MIN(MATCH(IF(ISNUMBER(S43),S43,DATOS!$C$138),TABLAS!$B$52:$B$58,0)+3,7)),IF(AND(BQ43&gt;0,FLOOR(MIN(BD43,100*INDEX(TABLAS!$D$52:$D$58,MIN(MATCH(IF(ISNUMBER(S43),S43,DATOS!$C$138),TABLAS!$B$52:$B$58,0)+4,7))/MAX(BQ43,0.0001)),DATOS!$C$144)&gt;=DATOS!$C$143),INDEX(TABLAS!$B$52:$B$58,MIN(MATCH(IF(ISNUMBER(S43),S43,DATOS!$C$138),TABLAS!$B$52:$B$58,0)+4,7)),INDEX(TABLAS!$B$52:$B$58,7)))))))</f>
        <v/>
      </c>
      <c r="BS43" s="71" t="str">
        <f>IF(V43&lt;&gt;"SÍ","",IF(BQ43&lt;=0,0,FLOOR(MIN(BD43,100*INDEX(TABLAS!$D$52:$D$58,MATCH(BR43,TABLAS!$B$52:$B$58,0))/BQ43),DATOS!$C$144)))</f>
        <v/>
      </c>
      <c r="BT43" s="58" t="str">
        <f>IF(V43&lt;&gt;"SÍ","",IF(BS43&lt;=0,0,INDEX(TABLAS!$D$52:$D$58,MATCH(BR43,TABLAS!$B$52:$B$58,0))*100/BS43))</f>
        <v/>
      </c>
      <c r="BU43" s="58" t="str">
        <f>IF(V43&lt;&gt;"SÍ","",((W43-AF43-INDEX(TABLAS!$C$52:$C$58,MATCH(BR43,TABLAS!$B$52:$B$58,0))/2)-IF(AND((W43-AF43-INDEX(TABLAS!$C$52:$C$58,MATCH(BR43,TABLAS!$B$52:$B$58,0))/2)&lt;=20,DATOS!$C$65&lt;&gt;"SÍ"),2,0)))</f>
        <v/>
      </c>
      <c r="BV43" s="56" t="str">
        <f>IF(V43&lt;&gt;"SÍ","",IF(BT43=0,0,DATOS!$C$29*BT43*DATOS!$C$14*(BU43-BT43*DATOS!$C$14/(DATOS!$C$21*100)/2)/1E5))</f>
        <v/>
      </c>
      <c r="BW43" s="65" t="str">
        <f>IF(V43&lt;&gt;"SÍ","",IF(BQ43&lt;0,9.99,IF(BV43&gt;0,AY43/BV43,0)))</f>
        <v/>
      </c>
      <c r="BX43" s="66" t="str">
        <f>IF(V43&lt;&gt;"SÍ","",IF(BT43=0,"—",0.003*(BU43-(BT43*DATOS!$C$14/(DATOS!$C$21*100)/DATOS!$C$22))/(BT43*DATOS!$C$14/(DATOS!$C$21*100)/DATOS!$C$22)))</f>
        <v/>
      </c>
      <c r="BY43" s="58" t="str">
        <f>IF(V43&lt;&gt;"SÍ","",(W43-AE43-1.5*INDEX(TABLAS!$C$52:$C$58,MATCH(IF(ISNUMBER(S43),S43,DATOS!$C$138),TABLAS!$B$52:$B$58,0))))</f>
        <v/>
      </c>
      <c r="BZ43" s="58" t="str">
        <f>IF(V43&lt;&gt;"SÍ","",IF(AZ43&lt;=0,0,IF((1-2*AZ43*1E5/(DATOS!$C$29*100*BY43^2*DATOS!$C$21))&lt;0,-1,IF((1-SQRT((1-2*AZ43*1E5/(DATOS!$C$29*100*BY43^2*DATOS!$C$21))))*DATOS!$C$21*100*BY43/DATOS!$C$14&gt;DATOS!$C$102*100*BY43,-1,(1-SQRT((1-2*AZ43*1E5/(DATOS!$C$29*100*BY43^2*DATOS!$C$21))))*DATOS!$C$21*100*BY43/DATOS!$C$14))))</f>
        <v/>
      </c>
      <c r="CA43" s="58" t="str">
        <f>IF(V43&lt;&gt;"SÍ","",IF(BZ43&lt;0,-1,MAX(BZ43,BC43)))</f>
        <v/>
      </c>
      <c r="CB43" s="64" t="str">
        <f>IF(V43&lt;&gt;"SÍ","",IF(AND(CA43&gt;0,FLOOR(MIN(BD43,100*INDEX(TABLAS!$D$52:$D$58,MIN(MATCH(IF(ISNUMBER(S43),S43,DATOS!$C$138),TABLAS!$B$52:$B$58,0)+0,7))/MAX(CA43,0.0001)),DATOS!$C$144)&gt;=DATOS!$C$143),INDEX(TABLAS!$B$52:$B$58,MIN(MATCH(IF(ISNUMBER(S43),S43,DATOS!$C$138),TABLAS!$B$52:$B$58,0)+0,7)),IF(AND(CA43&gt;0,FLOOR(MIN(BD43,100*INDEX(TABLAS!$D$52:$D$58,MIN(MATCH(IF(ISNUMBER(S43),S43,DATOS!$C$138),TABLAS!$B$52:$B$58,0)+1,7))/MAX(CA43,0.0001)),DATOS!$C$144)&gt;=DATOS!$C$143),INDEX(TABLAS!$B$52:$B$58,MIN(MATCH(IF(ISNUMBER(S43),S43,DATOS!$C$138),TABLAS!$B$52:$B$58,0)+1,7)),IF(AND(CA43&gt;0,FLOOR(MIN(BD43,100*INDEX(TABLAS!$D$52:$D$58,MIN(MATCH(IF(ISNUMBER(S43),S43,DATOS!$C$138),TABLAS!$B$52:$B$58,0)+2,7))/MAX(CA43,0.0001)),DATOS!$C$144)&gt;=DATOS!$C$143),INDEX(TABLAS!$B$52:$B$58,MIN(MATCH(IF(ISNUMBER(S43),S43,DATOS!$C$138),TABLAS!$B$52:$B$58,0)+2,7)),IF(AND(CA43&gt;0,FLOOR(MIN(BD43,100*INDEX(TABLAS!$D$52:$D$58,MIN(MATCH(IF(ISNUMBER(S43),S43,DATOS!$C$138),TABLAS!$B$52:$B$58,0)+3,7))/MAX(CA43,0.0001)),DATOS!$C$144)&gt;=DATOS!$C$143),INDEX(TABLAS!$B$52:$B$58,MIN(MATCH(IF(ISNUMBER(S43),S43,DATOS!$C$138),TABLAS!$B$52:$B$58,0)+3,7)),IF(AND(CA43&gt;0,FLOOR(MIN(BD43,100*INDEX(TABLAS!$D$52:$D$58,MIN(MATCH(IF(ISNUMBER(S43),S43,DATOS!$C$138),TABLAS!$B$52:$B$58,0)+4,7))/MAX(CA43,0.0001)),DATOS!$C$144)&gt;=DATOS!$C$143),INDEX(TABLAS!$B$52:$B$58,MIN(MATCH(IF(ISNUMBER(S43),S43,DATOS!$C$138),TABLAS!$B$52:$B$58,0)+4,7)),INDEX(TABLAS!$B$52:$B$58,7)))))))</f>
        <v/>
      </c>
      <c r="CC43" s="71" t="str">
        <f>IF(V43&lt;&gt;"SÍ","",IF(CA43&lt;=0,0,FLOOR(MIN(BD43,100*INDEX(TABLAS!$D$52:$D$58,MATCH(CB43,TABLAS!$B$52:$B$58,0))/CA43),DATOS!$C$144)))</f>
        <v/>
      </c>
      <c r="CD43" s="58" t="str">
        <f>IF(V43&lt;&gt;"SÍ","",IF(CC43&lt;=0,0,INDEX(TABLAS!$D$52:$D$58,MATCH(CB43,TABLAS!$B$52:$B$58,0))*100/CC43))</f>
        <v/>
      </c>
      <c r="CE43" s="58" t="str">
        <f>IF(V43&lt;&gt;"SÍ","",W43-AE43-INDEX(TABLAS!$C$52:$C$58,MATCH(BH43,TABLAS!$B$52:$B$58,0))-INDEX(TABLAS!$C$52:$C$58,MATCH(CB43,TABLAS!$B$52:$B$58,0))/2)</f>
        <v/>
      </c>
      <c r="CF43" s="56" t="str">
        <f>IF(V43&lt;&gt;"SÍ","",IF(CD43=0,0,DATOS!$C$29*CD43*DATOS!$C$14*(CE43-CD43*DATOS!$C$14/(DATOS!$C$21*100)/2)/1E5))</f>
        <v/>
      </c>
      <c r="CG43" s="65" t="str">
        <f>IF(V43&lt;&gt;"SÍ","",IF(CA43&lt;0,9.99,IF(CF43&gt;0,AZ43/CF43,0)))</f>
        <v/>
      </c>
      <c r="CH43" s="66" t="str">
        <f>IF(V43&lt;&gt;"SÍ","",IF(CD43=0,"—",0.003*(CE43-(CD43*DATOS!$C$14/(DATOS!$C$21*100)/DATOS!$C$22))/(CD43*DATOS!$C$14/(DATOS!$C$21*100)/DATOS!$C$22)))</f>
        <v/>
      </c>
      <c r="CI43" s="58" t="str">
        <f>IF(V43&lt;&gt;"SÍ","",((W43-AF43-1.5*INDEX(TABLAS!$C$52:$C$58,MATCH(IF(ISNUMBER(S43),S43,DATOS!$C$138),TABLAS!$B$52:$B$58,0)))-IF(AND((W43-AF43-1.5*INDEX(TABLAS!$C$52:$C$58,MATCH(IF(ISNUMBER(S43),S43,DATOS!$C$138),TABLAS!$B$52:$B$58,0)))&lt;=20,DATOS!$C$65&lt;&gt;"SÍ"),2,0)))</f>
        <v/>
      </c>
      <c r="CJ43" s="58" t="str">
        <f>IF(V43&lt;&gt;"SÍ","",IF(BA43&lt;=0,0,IF((1-2*BA43*1E5/(DATOS!$C$29*100*CI43^2*DATOS!$C$21))&lt;0,-1,IF((1-SQRT((1-2*BA43*1E5/(DATOS!$C$29*100*CI43^2*DATOS!$C$21))))*DATOS!$C$21*100*CI43/DATOS!$C$14&gt;DATOS!$C$102*100*CI43,-1,(1-SQRT((1-2*BA43*1E5/(DATOS!$C$29*100*CI43^2*DATOS!$C$21))))*DATOS!$C$21*100*CI43/DATOS!$C$14))))</f>
        <v/>
      </c>
      <c r="CK43" s="58" t="str">
        <f>IF(V43&lt;&gt;"SÍ","",IF(CJ43&lt;0,-1,MAX(CJ43,BC43)))</f>
        <v/>
      </c>
      <c r="CL43" s="64" t="str">
        <f>IF(V43&lt;&gt;"SÍ","",IF(AND(CK43&gt;0,FLOOR(MIN(BD43,100*INDEX(TABLAS!$D$52:$D$58,MIN(MATCH(IF(ISNUMBER(S43),S43,DATOS!$C$138),TABLAS!$B$52:$B$58,0)+0,7))/MAX(CK43,0.0001)),DATOS!$C$144)&gt;=DATOS!$C$143),INDEX(TABLAS!$B$52:$B$58,MIN(MATCH(IF(ISNUMBER(S43),S43,DATOS!$C$138),TABLAS!$B$52:$B$58,0)+0,7)),IF(AND(CK43&gt;0,FLOOR(MIN(BD43,100*INDEX(TABLAS!$D$52:$D$58,MIN(MATCH(IF(ISNUMBER(S43),S43,DATOS!$C$138),TABLAS!$B$52:$B$58,0)+1,7))/MAX(CK43,0.0001)),DATOS!$C$144)&gt;=DATOS!$C$143),INDEX(TABLAS!$B$52:$B$58,MIN(MATCH(IF(ISNUMBER(S43),S43,DATOS!$C$138),TABLAS!$B$52:$B$58,0)+1,7)),IF(AND(CK43&gt;0,FLOOR(MIN(BD43,100*INDEX(TABLAS!$D$52:$D$58,MIN(MATCH(IF(ISNUMBER(S43),S43,DATOS!$C$138),TABLAS!$B$52:$B$58,0)+2,7))/MAX(CK43,0.0001)),DATOS!$C$144)&gt;=DATOS!$C$143),INDEX(TABLAS!$B$52:$B$58,MIN(MATCH(IF(ISNUMBER(S43),S43,DATOS!$C$138),TABLAS!$B$52:$B$58,0)+2,7)),IF(AND(CK43&gt;0,FLOOR(MIN(BD43,100*INDEX(TABLAS!$D$52:$D$58,MIN(MATCH(IF(ISNUMBER(S43),S43,DATOS!$C$138),TABLAS!$B$52:$B$58,0)+3,7))/MAX(CK43,0.0001)),DATOS!$C$144)&gt;=DATOS!$C$143),INDEX(TABLAS!$B$52:$B$58,MIN(MATCH(IF(ISNUMBER(S43),S43,DATOS!$C$138),TABLAS!$B$52:$B$58,0)+3,7)),IF(AND(CK43&gt;0,FLOOR(MIN(BD43,100*INDEX(TABLAS!$D$52:$D$58,MIN(MATCH(IF(ISNUMBER(S43),S43,DATOS!$C$138),TABLAS!$B$52:$B$58,0)+4,7))/MAX(CK43,0.0001)),DATOS!$C$144)&gt;=DATOS!$C$143),INDEX(TABLAS!$B$52:$B$58,MIN(MATCH(IF(ISNUMBER(S43),S43,DATOS!$C$138),TABLAS!$B$52:$B$58,0)+4,7)),INDEX(TABLAS!$B$52:$B$58,7)))))))</f>
        <v/>
      </c>
      <c r="CM43" s="71" t="str">
        <f>IF(V43&lt;&gt;"SÍ","",IF(CK43&lt;=0,0,FLOOR(MIN(BD43,100*INDEX(TABLAS!$D$52:$D$58,MATCH(CL43,TABLAS!$B$52:$B$58,0))/CK43),DATOS!$C$144)))</f>
        <v/>
      </c>
      <c r="CN43" s="58" t="str">
        <f>IF(V43&lt;&gt;"SÍ","",IF(CM43&lt;=0,0,INDEX(TABLAS!$D$52:$D$58,MATCH(CL43,TABLAS!$B$52:$B$58,0))*100/CM43))</f>
        <v/>
      </c>
      <c r="CO43" s="58" t="str">
        <f>IF(V43&lt;&gt;"SÍ","",((W43-AF43-INDEX(TABLAS!$C$52:$C$58,MATCH(BR43,TABLAS!$B$52:$B$58,0))-INDEX(TABLAS!$C$52:$C$58,MATCH(CL43,TABLAS!$B$52:$B$58,0))/2)-IF(AND((W43-AF43-INDEX(TABLAS!$C$52:$C$58,MATCH(BR43,TABLAS!$B$52:$B$58,0))-INDEX(TABLAS!$C$52:$C$58,MATCH(CL43,TABLAS!$B$52:$B$58,0))/2)&lt;=20,DATOS!$C$65&lt;&gt;"SÍ"),2,0)))</f>
        <v/>
      </c>
      <c r="CP43" s="56" t="str">
        <f>IF(V43&lt;&gt;"SÍ","",IF(CN43=0,0,DATOS!$C$29*CN43*DATOS!$C$14*(CO43-CN43*DATOS!$C$14/(DATOS!$C$21*100)/2)/1E5))</f>
        <v/>
      </c>
      <c r="CQ43" s="65" t="str">
        <f>IF(V43&lt;&gt;"SÍ","",IF(CK43&lt;0,9.99,IF(CP43&gt;0,BA43/CP43,0)))</f>
        <v/>
      </c>
      <c r="CR43" s="66" t="str">
        <f>IF(V43&lt;&gt;"SÍ","",IF(CN43=0,"—",0.003*(CO43-(CN43*DATOS!$C$14/(DATOS!$C$21*100)/DATOS!$C$22))/(CN43*DATOS!$C$14/(DATOS!$C$21*100)/DATOS!$C$22)))</f>
        <v/>
      </c>
      <c r="CS43" s="56" t="str">
        <f>IF(V43&lt;&gt;"SÍ","",IF(C43="PERIMETRAL",MAX(0,(AC43/2-BU43)/100)*(0.95-0.5*AB43)*AK43*IF(AND(AL43&gt;0,AL43&lt;4),DATOS!$C$33,1)/1000,(AK43*MAX(0,AC43-BU43)/100+DATOS!$C$26*N(P43))/1000))</f>
        <v/>
      </c>
      <c r="CT43" s="66" t="str">
        <f>IF(V43&lt;&gt;"SÍ","",BT43/(100*BU43))</f>
        <v/>
      </c>
      <c r="CU43" s="56" t="str">
        <f>IF(V43&lt;&gt;"SÍ","",DATOS!$C$30*2*MIN(1,SQRT(2/(1+0.04*BU43)))*CT43^(1/3)*SQRT(DATOS!$C$13)*100*BU43/1000)</f>
        <v/>
      </c>
      <c r="CV43" s="67" t="str">
        <f>IF(V43&lt;&gt;"SÍ","",IF(CS43&lt;=CU43,"CUMPLE","NO CUMPLE: sube h"))</f>
        <v/>
      </c>
      <c r="CW43" s="58" t="str">
        <f>IF(V43&lt;&gt;"SÍ","",IF(C43="PERIMETRAL",IF(ISNUMBER(R43),R43,DATOS!$C$104),0))</f>
        <v/>
      </c>
      <c r="CX43" s="57" t="str">
        <f>IF(V43&lt;&gt;"SÍ","",IF(C43="PERIMETRAL",IF(CW43&gt;2,MAX(9,AD43*(0.8+DATOS!$C$14/14000)/(36+9*(AD43/MAX(AC43,1)))),IF(CW43&gt;0.2,MAX(13,AD43*(0.8+DATOS!$C$14/14000)/(36+5*(AD43/MAX(AC43,1))*(CW43-0.2))),MAX(13,AD43/IF(AL43&gt;0,30,33))))*IF(AND(CW43&gt;0.2,AL43&gt;0,DATOS!$C$105="NO"),1.1,1),Z43*100/DATOS!$C$145*(0.4+DATOS!$C$14/7000)))</f>
        <v/>
      </c>
      <c r="CY43" s="61" t="str">
        <f>IF(V43&lt;&gt;"SÍ","",IF(W43&gt;=CX43-0.001,"CUMPLE",IF(C43="VOLADO","NO CUMPLE","CALCULAR FLECHA")))</f>
        <v/>
      </c>
      <c r="CZ43" s="60" t="str">
        <f>IF(V43&lt;&gt;"SÍ","",IF(C43="VOLADO",MIN(FLOOR(IF(ISNUMBER(Q43),Q43,Z43)*100-DATOS!$C$63,5),CEILING(MAX(IF((0.5*(0.9*W43/100*DATOS!$C$16)*IF(ISNUMBER(Q43),Q43,Z43)+AY43/IF(ISNUMBER(Q43),Q43,Z43))^2-4*(0.5*(0.9*W43/100*DATOS!$C$16))*AY43&lt;0,IF(ISNUMBER(Q43),Q43,Z43),MIN(IF(ISNUMBER(Q43),Q43,Z43),((0.5*(0.9*W43/100*DATOS!$C$16)*IF(ISNUMBER(Q43),Q43,Z43)+AY43/IF(ISNUMBER(Q43),Q43,Z43))-SQRT((0.5*(0.9*W43/100*DATOS!$C$16)*IF(ISNUMBER(Q43),Q43,Z43)+AY43/IF(ISNUMBER(Q43),Q43,Z43))^2-4*(0.5*(0.9*W43/100*DATOS!$C$16))*AY43))/(2*(0.5*(0.9*W43/100*DATOS!$C$16)))))*100+MAX(BU43,12*INDEX(TABLAS!$C$52:$C$58,MATCH(BR43,TABLAS!$B$52:$B$58,0)),IF(ISNUMBER(Q43),Q43,Z43)*100/16),IF(OR(AF43&lt;INDEX(TABLAS!$C$52:$C$58,MATCH(BR43,TABLAS!$B$52:$B$58,0)),BS43-INDEX(TABLAS!$C$52:$C$58,MATCH(BR43,TABLAS!$B$52:$B$58,0))&lt;2*INDEX(TABLAS!$C$52:$C$58,MATCH(BR43,TABLAS!$B$52:$B$58,0))),INDEX(TABLAS!$I$52:$I$58,MATCH(BR43,TABLAS!$B$52:$B$58,0)),INDEX(TABLAS!$F$52:$F$58,MATCH(BR43,TABLAS!$B$52:$B$58,0)))),5)),IF(((4*((AV43*AK43*Z43^2*1E-4/1000)+((MAX(AR43,AT43)*AK43*Z43^2*1E-4/1000)+(IF(AND(AR43&gt;0,AT43&gt;0),MIN(AR43,AT43),MAX(AR43,AT43))*AK43*Z43^2*1E-4/1000))/2)+AY43-(IF(AND(AR43&gt;0,AT43&gt;0),MIN(AR43,AT43),MAX(AR43,AT43))*AK43*Z43^2*1E-4/1000))^2-16*((AV43*AK43*Z43^2*1E-4/1000)+((MAX(AR43,AT43)*AK43*Z43^2*1E-4/1000)+(IF(AND(AR43&gt;0,AT43&gt;0),MIN(AR43,AT43),MAX(AR43,AT43))*AK43*Z43^2*1E-4/1000))/2)*AY43)&lt;0,CEILING(AC43,5),CEILING(MAX(AC43*((4*((AV43*AK43*Z43^2*1E-4/1000)+((MAX(AR43,AT43)*AK43*Z43^2*1E-4/1000)+(IF(AND(AR43&gt;0,AT43&gt;0),MIN(AR43,AT43),MAX(AR43,AT43))*AK43*Z43^2*1E-4/1000))/2)+AY43-(IF(AND(AR43&gt;0,AT43&gt;0),MIN(AR43,AT43),MAX(AR43,AT43))*AK43*Z43^2*1E-4/1000))-SQRT(MAX(0,((4*((AV43*AK43*Z43^2*1E-4/1000)+((MAX(AR43,AT43)*AK43*Z43^2*1E-4/1000)+(IF(AND(AR43&gt;0,AT43&gt;0),MIN(AR43,AT43),MAX(AR43,AT43))*AK43*Z43^2*1E-4/1000))/2)+AY43-(IF(AND(AR43&gt;0,AT43&gt;0),MIN(AR43,AT43),MAX(AR43,AT43))*AK43*Z43^2*1E-4/1000))^2-16*((AV43*AK43*Z43^2*1E-4/1000)+((MAX(AR43,AT43)*AK43*Z43^2*1E-4/1000)+(IF(AND(AR43&gt;0,AT43&gt;0),MIN(AR43,AT43),MAX(AR43,AT43))*AK43*Z43^2*1E-4/1000))/2)*AY43))))/(8*MAX(((AV43*AK43*Z43^2*1E-4/1000)+((MAX(AR43,AT43)*AK43*Z43^2*1E-4/1000)+(IF(AND(AR43&gt;0,AT43&gt;0),MIN(AR43,AT43),MAX(AR43,AT43))*AK43*Z43^2*1E-4/1000))/2),1E-9))+MAX(BU43,12*INDEX(TABLAS!$C$52:$C$58,MATCH(BR43,TABLAS!$B$52:$B$58,0)),AC43/16),IF(OR(AF43&lt;INDEX(TABLAS!$C$52:$C$58,MATCH(BR43,TABLAS!$B$52:$B$58,0)),BS43-INDEX(TABLAS!$C$52:$C$58,MATCH(BR43,TABLAS!$B$52:$B$58,0))&lt;2*INDEX(TABLAS!$C$52:$C$58,MATCH(BR43,TABLAS!$B$52:$B$58,0))),INDEX(TABLAS!$I$52:$I$58,MATCH(BR43,TABLAS!$B$52:$B$58,0)),INDEX(TABLAS!$F$52:$F$58,MATCH(BR43,TABLAS!$B$52:$B$58,0)))),5))))</f>
        <v/>
      </c>
      <c r="DA43" s="60" t="str">
        <f>IF(V43&lt;&gt;"SÍ","",IF(C43="VOLADO",0,IF(((4*((AW43*AK43*Z43^2*1E-4/1000)+((MAX(AS43,AU43)*AK43*Z43^2*1E-4/1000)+(IF(AND(AS43&gt;0,AU43&gt;0),MIN(AS43,AU43),MAX(AS43,AU43))*AK43*Z43^2*1E-4/1000))/2)+BA43-(IF(AND(AS43&gt;0,AU43&gt;0),MIN(AS43,AU43),MAX(AS43,AU43))*AK43*Z43^2*1E-4/1000))^2-16*((AW43*AK43*Z43^2*1E-4/1000)+((MAX(AS43,AU43)*AK43*Z43^2*1E-4/1000)+(IF(AND(AS43&gt;0,AU43&gt;0),MIN(AS43,AU43),MAX(AS43,AU43))*AK43*Z43^2*1E-4/1000))/2)*BA43)&lt;0,CEILING(AD43,5),CEILING(MAX(AD43*((4*((AW43*AK43*Z43^2*1E-4/1000)+((MAX(AS43,AU43)*AK43*Z43^2*1E-4/1000)+(IF(AND(AS43&gt;0,AU43&gt;0),MIN(AS43,AU43),MAX(AS43,AU43))*AK43*Z43^2*1E-4/1000))/2)+BA43-(IF(AND(AS43&gt;0,AU43&gt;0),MIN(AS43,AU43),MAX(AS43,AU43))*AK43*Z43^2*1E-4/1000))-SQRT(MAX(0,((4*((AW43*AK43*Z43^2*1E-4/1000)+((MAX(AS43,AU43)*AK43*Z43^2*1E-4/1000)+(IF(AND(AS43&gt;0,AU43&gt;0),MIN(AS43,AU43),MAX(AS43,AU43))*AK43*Z43^2*1E-4/1000))/2)+BA43-(IF(AND(AS43&gt;0,AU43&gt;0),MIN(AS43,AU43),MAX(AS43,AU43))*AK43*Z43^2*1E-4/1000))^2-16*((AW43*AK43*Z43^2*1E-4/1000)+((MAX(AS43,AU43)*AK43*Z43^2*1E-4/1000)+(IF(AND(AS43&gt;0,AU43&gt;0),MIN(AS43,AU43),MAX(AS43,AU43))*AK43*Z43^2*1E-4/1000))/2)*BA43))))/(8*MAX(((AW43*AK43*Z43^2*1E-4/1000)+((MAX(AS43,AU43)*AK43*Z43^2*1E-4/1000)+(IF(AND(AS43&gt;0,AU43&gt;0),MIN(AS43,AU43),MAX(AS43,AU43))*AK43*Z43^2*1E-4/1000))/2),1E-9))+MAX(CO43,12*INDEX(TABLAS!$C$52:$C$58,MATCH(CL43,TABLAS!$B$52:$B$58,0)),AD43/16),IF(OR(AF43&lt;INDEX(TABLAS!$C$52:$C$58,MATCH(CL43,TABLAS!$B$52:$B$58,0)),CM43-INDEX(TABLAS!$C$52:$C$58,MATCH(CL43,TABLAS!$B$52:$B$58,0))&lt;2*INDEX(TABLAS!$C$52:$C$58,MATCH(CL43,TABLAS!$B$52:$B$58,0))),INDEX(TABLAS!$I$52:$I$58,MATCH(CL43,TABLAS!$B$52:$B$58,0)),INDEX(TABLAS!$F$52:$F$58,MATCH(CL43,TABLAS!$B$52:$B$58,0)))),5))))</f>
        <v/>
      </c>
      <c r="DB43" s="55" t="str">
        <f>IF(V43&lt;&gt;"SÍ","",IF(AND(C43="PERIMETRAL",AL43-AM43&gt;0,AT43&gt;0),"SÍ","NO"))</f>
        <v/>
      </c>
      <c r="DC43" s="55" t="str">
        <f>IF(V43&lt;&gt;"SÍ","",IF(AND(C43="PERIMETRAL",AM43&gt;0,AU43&gt;0),"SÍ","NO"))</f>
        <v/>
      </c>
      <c r="DD43" s="63" t="str">
        <f>IF(V43&lt;&gt;"SÍ","",IF(OR(C43="VOLADO",AL43=0),"—",IF(AND(AND(INDEX(TABLAS!$G$52:$G$58,MATCH(MAX(BR43,CL43),TABLAS!$B$52:$B$58,0))&lt;=(DATOS!$C$75-DATOS!$C$63),(DATOS!$C$75-DATOS!$C$63)&gt;=15),8*INDEX(TABLAS!$C$52:$C$58,MATCH(MAX(BH43,CB43,BR43,CL43),TABLAS!$B$52:$B$58,0))&lt;=DATOS!$C$76-2*DATOS!$C$63),"CUMPLE (gancho de 180°)",IF(AND(INDEX(TABLAS!$G$52:$G$58,MATCH(MAX(BR43,CL43),TABLAS!$B$52:$B$58,0))&lt;=(DATOS!$C$75-DATOS!$C$63),(DATOS!$C$75-DATOS!$C$63)&gt;=15),"NO CUMPLE: el gancho de 180° (8·d_b) no cabe en el peralte de la dala de borde","NO CUMPLE: dala de borde ≥ "&amp;TEXT(CEILING(MAX(INDEX(TABLAS!$G$52:$G$58,MATCH(MAX(BR43,CL43),TABLAS!$B$52:$B$58,0)),15)+DATOS!$C$63,5),"0")&amp;" cm de ancho"&amp;IF(8*INDEX(TABLAS!$C$52:$C$58,MATCH(MAX(BH43,CB43,BR43,CL43),TABLAS!$B$52:$B$58,0))&lt;=DATOS!$C$76-2*DATOS!$C$63,""," y más peralte para el gancho")))))</f>
        <v/>
      </c>
      <c r="DE43" s="69" t="str">
        <f>IF(V43&lt;&gt;"SÍ","",IF(BI43=0,"NO ALCANZA","No. "&amp;BH43&amp;" @ "&amp;BI43&amp;" cm"&amp;IF(C43="VOLADO"," (temperatura)","")))</f>
        <v/>
      </c>
      <c r="DF43" s="69" t="str">
        <f>IF(V43&lt;&gt;"SÍ","",IF(BS43=0,"NO ALCANZA",IF(C43="VOLADO","No. "&amp;BR43&amp;" @ "&amp;BS43&amp;" cm"&amp;" de la orilla al respaldo ("&amp;IF(CZ43&gt;=FLOOR(100*IF(ISNUMBER(Q43),Q43,Z43)-DATOS!$C$63,5),"hasta su apoyo lejano, con gancho","entran "&amp;TEXT(CZ43/100,"0.00")&amp;" m desde el paño")&amp;")","Bastones "&amp;"No. "&amp;BR43&amp;" @ "&amp;BS43&amp;" cm"&amp;", L = "&amp;TEXT(CZ43/100,"0.00")&amp;" m desde el paño")))</f>
        <v/>
      </c>
      <c r="DG43" s="69" t="str">
        <f>IF(V43&lt;&gt;"SÍ","",IF(CC43=0,"NO ALCANZA","No. "&amp;CB43&amp;" @ "&amp;CC43&amp;" cm"&amp;IF(C43="VOLADO"," (repartición)","")))</f>
        <v/>
      </c>
      <c r="DH43" s="69" t="str">
        <f>IF(V43&lt;&gt;"SÍ","",IF(CM43=0,"NO ALCANZA",IF(C43="VOLADO","No. "&amp;CL43&amp;" @ "&amp;CM43&amp;" cm"&amp;" (repartición)","Bastones "&amp;"No. "&amp;CL43&amp;" @ "&amp;CM43&amp;" cm"&amp;", L = "&amp;TEXT(DA43/100,"0.00")&amp;" m desde el paño")))</f>
        <v/>
      </c>
      <c r="DI43" s="67" t="str">
        <f>IF(B43="","",IF(V43&lt;&gt;"SÍ","FALTAN DATOS: tipo, a_x, a_y, destino y, en volados, L_b",IF(L43="NO MONOLÍTICO (caso II)","FUERA DE ALCANCE: caso II no transcrito",IF(AND(C43="VOLADO",X43="?"),"REVISAR: el volado lleva UN solo borde CONTINUO (el empotrado)",IF(AND(MAX(BM43,BW43,CG43,CQ43)&lt;=1,NOT(OR(BI43&lt;DATOS!$C$143,BS43&lt;DATOS!$C$143,CC43&lt;DATOS!$C$143,CM43&lt;DATOS!$C$143)),NOT(OR(AND(ISNUMBER(BN43),BN43&lt;0.005),AND(ISNUMBER(BX43),BX43&lt;0.005),AND(ISNUMBER(CH43),CH43&lt;0.005),AND(ISNUMBER(CR43),CR43&lt;0.005))),CV43="CUMPLE",CY43="CUMPLE"),"CUMPLE"&amp;IF(LEFT(BB43,5)="FUERA"," · fuera de 3.4.2.1 c)","")&amp;IF(LEFT(DD43,2)="NO"," · REVISAR anclaje en borde discontinuo",""),IF(AND(MAX(BM43,BW43,CG43,CQ43)&lt;=1,NOT(OR(BI43&lt;DATOS!$C$143,BS43&lt;DATOS!$C$143,CC43&lt;DATOS!$C$143,CM43&lt;DATOS!$C$143)),NOT(OR(AND(ISNUMBER(BN43),BN43&lt;0.005),AND(ISNUMBER(BX43),BX43&lt;0.005),AND(ISNUMBER(CH43),CH43&lt;0.005),AND(ISNUMBER(CR43),CR43&lt;0.005))),CV43="CUMPLE",CY43="CALCULAR FLECHA"),"REVISAR: calcular flecha (h &lt; h mín.)"&amp;IF(LEFT(BB43,5)="FUERA"," · fuera de 3.4.2.1 c)","")&amp;IF(LEFT(DD43,2)="NO"," · REVISAR anclaje en borde discontinuo",""),"NO CUMPLE: "&amp;IF(MAX(BM43,BW43,CG43,CQ43)&gt;1,"flexión ","")&amp;IF(OR(BI43&lt;DATOS!$C$143,BS43&lt;DATOS!$C$143,CC43&lt;DATOS!$C$143,CM43&lt;DATOS!$C$143),"separación &lt; mínima ","")&amp;IF(OR(AND(ISNUMBER(BN43),BN43&lt;0.005),AND(ISNUMBER(BX43),BX43&lt;0.005),AND(ISNUMBER(CH43),CH43&lt;0.005),AND(ISNUMBER(CR43),CR43&lt;0.005)),"ε_t &lt; 0.005 ","")&amp;IF(CV43&lt;&gt;"CUMPLE","cortante ","")&amp;IF(CY43="NO CUMPLE","peralte","")))))))</f>
        <v/>
      </c>
      <c r="DJ43" s="70" t="str">
        <f>IF(V43&lt;&gt;"SÍ","",IF(LEFT(B43,7)="EJEMPLO","EJEMPLO de tablero típico: bórralo o sobrescríbelo. ","")&amp;IF(C43="VOLADO","Volado de "&amp;TEXT(Z43,"0.00")&amp;" m empotrado en el borde "&amp;LOWER(X43)&amp;IF(N(P43)&gt;0,", con "&amp;TEXT(P43,"0.0")&amp;" kg/m en la orilla","")&amp;". Lecho inferior con r_ext. Si la orilla carga pretil u otro elemento frágil, calcula la flecha (13.4). El acero superior entra al respaldo de "&amp;TEXT(IF(ISNUMBER(Q43),Q43,Z43),"0.00")&amp;" m"&amp;" hasta pasar M = 0 con 0.9·PP sin carga viva; si ahí no se anula, llega al apoyo lejano y se ancla con gancho. ","")&amp;IF(AND(C43="VOLADO",(0.9*W43/100*DATOS!$C$16*IF(ISNUMBER(Q43),Q43,Z43)/2-AY43/IF(ISNUMBER(Q43),Q43,Z43))&lt;0),"Con 0.9·PP y sin carga viva el apoyo lejano del respaldo levanta (R = "&amp;TEXT(-(0.9*W43/100*DATOS!$C$16*IF(ISNUMBER(Q43),Q43,Z43)/2-AY43/IF(ISNUMBER(Q43),Q43,Z43)),"0.00")&amp;" t/m): ancla ahí el acero con gancho y revisa ese apoyo a tensión. ","")&amp;IF(LEFT(BB43,5)="FUERA","El M⁻ del vecino difiere más de 50 % (3.4.2.1 c): distribuye el desequilibrio (3.4.3.1) o confirma con un modelo; se arma con el mayor. ","")&amp;IF(OR(DB43="SÍ",DC43="SÍ"),"Bastones también en los bordes discontinuos (M⁻ de tabla), con gancho. ","")&amp;IF(LEFT(DD43,2)="NO","Anclaje: "&amp;DD43&amp;" (6.7.7.4.1.1). ","")&amp;IF(AND(C43="PERIMETRAL",AM43&gt;=1,AL43-AM43&gt;=1),"Esquinas exteriores sobre muro: refuerzo de esquina arriba y abajo en L_largo/5 (6.7.7.3.1). ",""))</f>
        <v/>
      </c>
    </row>
    <row r="44" ht="33" customHeight="1">
      <c r="A44" s="50">
        <f>IF(B44="",0,1)+A43</f>
        <v>3</v>
      </c>
      <c r="B44" s="29" t="n"/>
      <c r="C44" s="51" t="n"/>
      <c r="D44" s="29" t="n"/>
      <c r="E44" s="52" t="n"/>
      <c r="F44" s="52" t="n"/>
      <c r="G44" s="51" t="n"/>
      <c r="H44" s="51" t="n"/>
      <c r="I44" s="51" t="n"/>
      <c r="J44" s="51" t="n"/>
      <c r="K44" s="51" t="n"/>
      <c r="L44" s="51" t="n"/>
      <c r="M44" s="54" t="n"/>
      <c r="N44" s="53" t="n"/>
      <c r="O44" s="53" t="n"/>
      <c r="P44" s="54" t="n"/>
      <c r="Q44" s="52" t="n"/>
      <c r="R44" s="54" t="n"/>
      <c r="S44" s="53" t="n"/>
      <c r="T44" s="52" t="n"/>
      <c r="U44" s="52" t="n"/>
      <c r="V44" s="55" t="str">
        <f>IF(B44="","",IF(AND(OR(C44="PERIMETRAL",C44="VOLADO"),ISNUMBER(E44),ISNUMBER(F44),E44&gt;0,F44&gt;0,OR(ISNUMBER(O44),ISNUMBER(MATCH(D44,DATOS!$B$46:$B$58,0))),OR(C44&lt;&gt;"VOLADO",N(Q44)&gt;0)),"SÍ","NO"))</f>
        <v/>
      </c>
      <c r="W44" s="57" t="str">
        <f>IF(V44&lt;&gt;"SÍ","",IF(ISNUMBER(M44),M44,DATOS!$C$137))</f>
        <v/>
      </c>
      <c r="X44" s="55" t="str">
        <f>IF(V44&lt;&gt;"SÍ","",IF(C44&lt;&gt;"VOLADO","—",IF(COUNTIF(G44:J44,"CONTINUO")&lt;&gt;1,"?",IF(G44="CONTINUO","INFERIOR",IF(H44="CONTINUO","SUPERIOR",IF(I44="CONTINUO","IZQUIERDO","DERECHO"))))))</f>
        <v/>
      </c>
      <c r="Y44" s="55" t="str">
        <f>IF(V44&lt;&gt;"SÍ","",IF(C44="VOLADO",IF(OR(X44="IZQUIERDO",X44="DERECHO"),"X","Y"),IF(E44&lt;=F44,"X","Y")))</f>
        <v/>
      </c>
      <c r="Z44" s="56" t="str">
        <f>IF(V44&lt;&gt;"SÍ","",IF(C44="VOLADO",IF(Y44="X",E44,F44),MIN(E44,F44)))</f>
        <v/>
      </c>
      <c r="AA44" s="56" t="str">
        <f>IF(V44&lt;&gt;"SÍ","",IF(C44="VOLADO",IF(Y44="X",F44,E44),MAX(E44,F44)))</f>
        <v/>
      </c>
      <c r="AB44" s="56" t="str">
        <f>IF(V44&lt;&gt;"SÍ","",MIN(Z44,AA44)/MAX(Z44,AA44))</f>
        <v/>
      </c>
      <c r="AC44" s="57" t="str">
        <f>IF(V44&lt;&gt;"SÍ","",MAX(1,Z44*100-IF(C44="VOLADO",DATOS!$C$87/2,DATOS!$C$87)))</f>
        <v/>
      </c>
      <c r="AD44" s="57" t="str">
        <f>IF(V44&lt;&gt;"SÍ","",MAX(1,AA44*100-DATOS!$C$87))</f>
        <v/>
      </c>
      <c r="AE44" s="57" t="str">
        <f>IF(V44&lt;&gt;"SÍ","",IF(C44="VOLADO",DATOS!$C$64,DATOS!$C$62))</f>
        <v/>
      </c>
      <c r="AF44" s="57" t="str">
        <f>IF(V44&lt;&gt;"SÍ","",IF(OR(AND(AG44="SÍ",DATOS!$C$66="SÍ"),AND(C44="VOLADO",DATOS!$C$67="SÍ")),DATOS!$C$64,DATOS!$C$62))</f>
        <v/>
      </c>
      <c r="AG44" s="55" t="str">
        <f>IF(V44&lt;&gt;"SÍ","",IFERROR(INDEX(DATOS!$D$46:$D$58,MATCH(D44,DATOS!$B$46:$B$58,0)),"NO"))</f>
        <v/>
      </c>
      <c r="AH44" s="59" t="str">
        <f>IF(V44&lt;&gt;"SÍ","",IF(ISNUMBER(O44),O44,IFERROR(INDEX(DATOS!$C$46:$C$58,MATCH(D44,DATOS!$B$46:$B$58,0)),0)))</f>
        <v/>
      </c>
      <c r="AI44" s="59" t="str">
        <f>IF(V44&lt;&gt;"SÍ","",W44/100*DATOS!$C$16*1000+DATOS!$C$37+DATOS!$C$38)</f>
        <v/>
      </c>
      <c r="AJ44" s="59" t="str">
        <f>IF(V44&lt;&gt;"SÍ","",AI44+N(N44))</f>
        <v/>
      </c>
      <c r="AK44" s="60" t="str">
        <f>IF(V44&lt;&gt;"SÍ","",MAX(DATOS!$C$26*AJ44+DATOS!$C$27*AH44,IF(AG44="SÍ",DATOS!$C$28*(AJ44+DATOS!$C$41),0)))</f>
        <v/>
      </c>
      <c r="AL44" s="59" t="str">
        <f>IF(V44&lt;&gt;"SÍ","",(G44="DISCONTINUO")+(H44="DISCONTINUO")+(I44="DISCONTINUO")+(J44="DISCONTINUO"))</f>
        <v/>
      </c>
      <c r="AM44" s="59" t="str">
        <f>IF(V44&lt;&gt;"SÍ","",IF(Y44="X",(G44="DISCONTINUO")+(H44="DISCONTINUO"),(I44="DISCONTINUO")+(J44="DISCONTINUO")))</f>
        <v/>
      </c>
      <c r="AN44" s="55" t="str">
        <f>IF(V44&lt;&gt;"SÍ","",IF(AL44=0,"INTERIOR",IF(AL44=1,IF(AM44=1,"BORDE-CORTO","BORDE-LARGO"),IF(AL44=2,IF(AM44=1,"ESQUINA",IF(AM44=2,"EXTREMO-LARGO","EXTREMO-CORTO")),IF(AL44=3,IF(AM44=2,"EXTREMO-LARGO","EXTREMO-CORTO"),"AISLADO")))))</f>
        <v/>
      </c>
      <c r="AO44" s="61" t="str">
        <f>IF(V44&lt;&gt;"SÍ","",IF(OR(K44="",K44="AUTO"),AN44,K44))</f>
        <v/>
      </c>
      <c r="AP44" s="59" t="str">
        <f>IF(V44&lt;&gt;"SÍ","",MATCH(AB44,TABLAS!$D$5:$J$5,1))</f>
        <v/>
      </c>
      <c r="AQ44" s="58" t="str">
        <f>IF(V44&lt;&gt;"SÍ","",IF(AP44&gt;=7,0,(AB44-INDEX(TABLAS!$D$5:$J$5,AP44))/(INDEX(TABLAS!$D$5:$J$5,AP44+1)-INDEX(TABLAS!$D$5:$J$5,AP44))))</f>
        <v/>
      </c>
      <c r="AR44" s="59" t="str">
        <f>IF(V44&lt;&gt;"SÍ","",INDEX(TABLAS!$D$6:$J$47,MATCH(AO44&amp;"|NIC",TABLAS!$B$6:$B$47,0),AP44)+AQ44*(INDEX(TABLAS!$D$6:$J$47,MATCH(AO44&amp;"|NIC",TABLAS!$B$6:$B$47,0),MIN(AP44+1,7))-INDEX(TABLAS!$D$6:$J$47,MATCH(AO44&amp;"|NIC",TABLAS!$B$6:$B$47,0),AP44)))</f>
        <v/>
      </c>
      <c r="AS44" s="59" t="str">
        <f>IF(V44&lt;&gt;"SÍ","",INDEX(TABLAS!$D$6:$J$47,MATCH(AO44&amp;"|NIL",TABLAS!$B$6:$B$47,0),AP44)+AQ44*(INDEX(TABLAS!$D$6:$J$47,MATCH(AO44&amp;"|NIL",TABLAS!$B$6:$B$47,0),MIN(AP44+1,7))-INDEX(TABLAS!$D$6:$J$47,MATCH(AO44&amp;"|NIL",TABLAS!$B$6:$B$47,0),AP44)))</f>
        <v/>
      </c>
      <c r="AT44" s="59" t="str">
        <f>IF(V44&lt;&gt;"SÍ","",INDEX(TABLAS!$D$6:$J$47,MATCH(AO44&amp;"|NDC",TABLAS!$B$6:$B$47,0),AP44)+AQ44*(INDEX(TABLAS!$D$6:$J$47,MATCH(AO44&amp;"|NDC",TABLAS!$B$6:$B$47,0),MIN(AP44+1,7))-INDEX(TABLAS!$D$6:$J$47,MATCH(AO44&amp;"|NDC",TABLAS!$B$6:$B$47,0),AP44)))</f>
        <v/>
      </c>
      <c r="AU44" s="59" t="str">
        <f>IF(V44&lt;&gt;"SÍ","",INDEX(TABLAS!$D$6:$J$47,MATCH(AO44&amp;"|NDL",TABLAS!$B$6:$B$47,0),AP44)+AQ44*(INDEX(TABLAS!$D$6:$J$47,MATCH(AO44&amp;"|NDL",TABLAS!$B$6:$B$47,0),MIN(AP44+1,7))-INDEX(TABLAS!$D$6:$J$47,MATCH(AO44&amp;"|NDL",TABLAS!$B$6:$B$47,0),AP44)))</f>
        <v/>
      </c>
      <c r="AV44" s="59" t="str">
        <f>IF(V44&lt;&gt;"SÍ","",INDEX(TABLAS!$D$6:$J$47,MATCH(AO44&amp;"|PC",TABLAS!$B$6:$B$47,0),AP44)+AQ44*(INDEX(TABLAS!$D$6:$J$47,MATCH(AO44&amp;"|PC",TABLAS!$B$6:$B$47,0),MIN(AP44+1,7))-INDEX(TABLAS!$D$6:$J$47,MATCH(AO44&amp;"|PC",TABLAS!$B$6:$B$47,0),AP44)))</f>
        <v/>
      </c>
      <c r="AW44" s="59" t="str">
        <f>IF(V44&lt;&gt;"SÍ","",INDEX(TABLAS!$D$6:$J$47,MATCH(AO44&amp;"|PL",TABLAS!$B$6:$B$47,0),AP44)+AQ44*(INDEX(TABLAS!$D$6:$J$47,MATCH(AO44&amp;"|PL",TABLAS!$B$6:$B$47,0),MIN(AP44+1,7))-INDEX(TABLAS!$D$6:$J$47,MATCH(AO44&amp;"|PL",TABLAS!$B$6:$B$47,0),AP44)))</f>
        <v/>
      </c>
      <c r="AX44" s="56" t="str">
        <f>IF(V44&lt;&gt;"SÍ","",IF(C44="PERIMETRAL",AV44*AK44*Z44^2*1E-4/1000,0))</f>
        <v/>
      </c>
      <c r="AY44" s="62" t="str">
        <f>IF(V44&lt;&gt;"SÍ","",IF(C44="PERIMETRAL",MAX(MAX(AR44,AT44)*AK44*Z44^2*1E-4/1000,N(T44)),(AK44*(AC44/100)^2/2+DATOS!$C$26*N(P44)*AC44/100)/1000))</f>
        <v/>
      </c>
      <c r="AZ44" s="56" t="str">
        <f>IF(V44&lt;&gt;"SÍ","",IF(C44="PERIMETRAL",AW44*AK44*Z44^2*1E-4/1000,0))</f>
        <v/>
      </c>
      <c r="BA44" s="56" t="str">
        <f>IF(V44&lt;&gt;"SÍ","",IF(C44="PERIMETRAL",MAX(MAX(AS44,AU44)*AK44*Z44^2*1E-4/1000,N(U44)),0))</f>
        <v/>
      </c>
      <c r="BB44" s="63" t="str">
        <f>IF(V44&lt;&gt;"SÍ","",IF(C44&lt;&gt;"PERIMETRAL","—",IF(AND(N(T44)=0,N(U44)=0),"— (sin M⁻ del vecino)",IF(OR(AND(N(T44)&gt;0,ABS(MAX(AR44,AT44)*AK44*Z44^2*1E-4/1000-N(T44))&gt;0.5*MIN(MAX(AR44,AT44)*AK44*Z44^2*1E-4/1000,N(T44))),AND(N(U44)&gt;0,ABS(MAX(AS44,AU44)*AK44*Z44^2*1E-4/1000-N(U44))&gt;0.5*MIN(MAX(AS44,AU44)*AK44*Z44^2*1E-4/1000,N(U44)))),"FUERA: difieren &gt; 50 %"&amp;IF(AND(N(T44)&gt;0,ABS(MAX(AR44,AT44)*AK44*Z44^2*1E-4/1000-N(T44))&gt;0.5*MIN(MAX(AR44,AT44)*AK44*Z44^2*1E-4/1000,N(T44)))," ‖ corto","")&amp;IF(AND(N(U44)&gt;0,ABS(MAX(AS44,AU44)*AK44*Z44^2*1E-4/1000-N(U44))&gt;0.5*MIN(MAX(AS44,AU44)*AK44*Z44^2*1E-4/1000,N(U44)))," ‖ largo",""),"CUMPLE"))))</f>
        <v/>
      </c>
      <c r="BC44" s="58" t="str">
        <f>IF(V44&lt;&gt;"SÍ","",DATOS!$C$139*100*W44)</f>
        <v/>
      </c>
      <c r="BD44" s="57" t="str">
        <f>IF(V44&lt;&gt;"SÍ","",MIN(IF(C44="VOLADO",DATOS!$C$141,DATOS!$C$140)*W44,DATOS!$C$142))</f>
        <v/>
      </c>
      <c r="BE44" s="58" t="str">
        <f>IF(V44&lt;&gt;"SÍ","",(W44-AE44-INDEX(TABLAS!$C$52:$C$58,MATCH(IF(ISNUMBER(S44),S44,DATOS!$C$138),TABLAS!$B$52:$B$58,0))/2))</f>
        <v/>
      </c>
      <c r="BF44" s="58" t="str">
        <f>IF(V44&lt;&gt;"SÍ","",IF(AX44&lt;=0,0,IF((1-2*AX44*1E5/(DATOS!$C$29*100*BE44^2*DATOS!$C$21))&lt;0,-1,IF((1-SQRT((1-2*AX44*1E5/(DATOS!$C$29*100*BE44^2*DATOS!$C$21))))*DATOS!$C$21*100*BE44/DATOS!$C$14&gt;DATOS!$C$102*100*BE44,-1,(1-SQRT((1-2*AX44*1E5/(DATOS!$C$29*100*BE44^2*DATOS!$C$21))))*DATOS!$C$21*100*BE44/DATOS!$C$14))))</f>
        <v/>
      </c>
      <c r="BG44" s="58" t="str">
        <f>IF(V44&lt;&gt;"SÍ","",IF(BF44&lt;0,-1,MAX(BF44,BC44)))</f>
        <v/>
      </c>
      <c r="BH44" s="64" t="str">
        <f>IF(V44&lt;&gt;"SÍ","",IF(AND(BG44&gt;0,FLOOR(MIN(BD44,100*INDEX(TABLAS!$D$52:$D$58,MIN(MATCH(IF(ISNUMBER(S44),S44,DATOS!$C$138),TABLAS!$B$52:$B$58,0)+0,7))/MAX(BG44,0.0001)),DATOS!$C$144)&gt;=DATOS!$C$143),INDEX(TABLAS!$B$52:$B$58,MIN(MATCH(IF(ISNUMBER(S44),S44,DATOS!$C$138),TABLAS!$B$52:$B$58,0)+0,7)),IF(AND(BG44&gt;0,FLOOR(MIN(BD44,100*INDEX(TABLAS!$D$52:$D$58,MIN(MATCH(IF(ISNUMBER(S44),S44,DATOS!$C$138),TABLAS!$B$52:$B$58,0)+1,7))/MAX(BG44,0.0001)),DATOS!$C$144)&gt;=DATOS!$C$143),INDEX(TABLAS!$B$52:$B$58,MIN(MATCH(IF(ISNUMBER(S44),S44,DATOS!$C$138),TABLAS!$B$52:$B$58,0)+1,7)),IF(AND(BG44&gt;0,FLOOR(MIN(BD44,100*INDEX(TABLAS!$D$52:$D$58,MIN(MATCH(IF(ISNUMBER(S44),S44,DATOS!$C$138),TABLAS!$B$52:$B$58,0)+2,7))/MAX(BG44,0.0001)),DATOS!$C$144)&gt;=DATOS!$C$143),INDEX(TABLAS!$B$52:$B$58,MIN(MATCH(IF(ISNUMBER(S44),S44,DATOS!$C$138),TABLAS!$B$52:$B$58,0)+2,7)),IF(AND(BG44&gt;0,FLOOR(MIN(BD44,100*INDEX(TABLAS!$D$52:$D$58,MIN(MATCH(IF(ISNUMBER(S44),S44,DATOS!$C$138),TABLAS!$B$52:$B$58,0)+3,7))/MAX(BG44,0.0001)),DATOS!$C$144)&gt;=DATOS!$C$143),INDEX(TABLAS!$B$52:$B$58,MIN(MATCH(IF(ISNUMBER(S44),S44,DATOS!$C$138),TABLAS!$B$52:$B$58,0)+3,7)),IF(AND(BG44&gt;0,FLOOR(MIN(BD44,100*INDEX(TABLAS!$D$52:$D$58,MIN(MATCH(IF(ISNUMBER(S44),S44,DATOS!$C$138),TABLAS!$B$52:$B$58,0)+4,7))/MAX(BG44,0.0001)),DATOS!$C$144)&gt;=DATOS!$C$143),INDEX(TABLAS!$B$52:$B$58,MIN(MATCH(IF(ISNUMBER(S44),S44,DATOS!$C$138),TABLAS!$B$52:$B$58,0)+4,7)),INDEX(TABLAS!$B$52:$B$58,7)))))))</f>
        <v/>
      </c>
      <c r="BI44" s="71" t="str">
        <f>IF(V44&lt;&gt;"SÍ","",IF(BG44&lt;=0,0,FLOOR(MIN(BD44,100*INDEX(TABLAS!$D$52:$D$58,MATCH(BH44,TABLAS!$B$52:$B$58,0))/BG44),DATOS!$C$144)))</f>
        <v/>
      </c>
      <c r="BJ44" s="58" t="str">
        <f>IF(V44&lt;&gt;"SÍ","",IF(BI44&lt;=0,0,INDEX(TABLAS!$D$52:$D$58,MATCH(BH44,TABLAS!$B$52:$B$58,0))*100/BI44))</f>
        <v/>
      </c>
      <c r="BK44" s="58" t="str">
        <f>IF(V44&lt;&gt;"SÍ","",W44-AE44-INDEX(TABLAS!$C$52:$C$58,MATCH(BH44,TABLAS!$B$52:$B$58,0))/2)</f>
        <v/>
      </c>
      <c r="BL44" s="56" t="str">
        <f>IF(V44&lt;&gt;"SÍ","",IF(BJ44=0,0,DATOS!$C$29*BJ44*DATOS!$C$14*(BK44-BJ44*DATOS!$C$14/(DATOS!$C$21*100)/2)/1E5))</f>
        <v/>
      </c>
      <c r="BM44" s="65" t="str">
        <f>IF(V44&lt;&gt;"SÍ","",IF(BG44&lt;0,9.99,IF(BL44&gt;0,AX44/BL44,0)))</f>
        <v/>
      </c>
      <c r="BN44" s="66" t="str">
        <f>IF(V44&lt;&gt;"SÍ","",IF(BJ44=0,"—",0.003*(BK44-(BJ44*DATOS!$C$14/(DATOS!$C$21*100)/DATOS!$C$22))/(BJ44*DATOS!$C$14/(DATOS!$C$21*100)/DATOS!$C$22)))</f>
        <v/>
      </c>
      <c r="BO44" s="58" t="str">
        <f>IF(V44&lt;&gt;"SÍ","",((W44-AF44-INDEX(TABLAS!$C$52:$C$58,MATCH(IF(ISNUMBER(S44),S44,DATOS!$C$138),TABLAS!$B$52:$B$58,0))/2)-IF(AND((W44-AF44-INDEX(TABLAS!$C$52:$C$58,MATCH(IF(ISNUMBER(S44),S44,DATOS!$C$138),TABLAS!$B$52:$B$58,0))/2)&lt;=20,DATOS!$C$65&lt;&gt;"SÍ"),2,0)))</f>
        <v/>
      </c>
      <c r="BP44" s="58" t="str">
        <f>IF(V44&lt;&gt;"SÍ","",IF(AY44&lt;=0,0,IF((1-2*AY44*1E5/(DATOS!$C$29*100*BO44^2*DATOS!$C$21))&lt;0,-1,IF((1-SQRT((1-2*AY44*1E5/(DATOS!$C$29*100*BO44^2*DATOS!$C$21))))*DATOS!$C$21*100*BO44/DATOS!$C$14&gt;DATOS!$C$102*100*BO44,-1,(1-SQRT((1-2*AY44*1E5/(DATOS!$C$29*100*BO44^2*DATOS!$C$21))))*DATOS!$C$21*100*BO44/DATOS!$C$14))))</f>
        <v/>
      </c>
      <c r="BQ44" s="58" t="str">
        <f>IF(V44&lt;&gt;"SÍ","",IF(BP44&lt;0,-1,MAX(BP44,BC44)))</f>
        <v/>
      </c>
      <c r="BR44" s="64" t="str">
        <f>IF(V44&lt;&gt;"SÍ","",IF(AND(BQ44&gt;0,FLOOR(MIN(BD44,100*INDEX(TABLAS!$D$52:$D$58,MIN(MATCH(IF(ISNUMBER(S44),S44,DATOS!$C$138),TABLAS!$B$52:$B$58,0)+0,7))/MAX(BQ44,0.0001)),DATOS!$C$144)&gt;=DATOS!$C$143),INDEX(TABLAS!$B$52:$B$58,MIN(MATCH(IF(ISNUMBER(S44),S44,DATOS!$C$138),TABLAS!$B$52:$B$58,0)+0,7)),IF(AND(BQ44&gt;0,FLOOR(MIN(BD44,100*INDEX(TABLAS!$D$52:$D$58,MIN(MATCH(IF(ISNUMBER(S44),S44,DATOS!$C$138),TABLAS!$B$52:$B$58,0)+1,7))/MAX(BQ44,0.0001)),DATOS!$C$144)&gt;=DATOS!$C$143),INDEX(TABLAS!$B$52:$B$58,MIN(MATCH(IF(ISNUMBER(S44),S44,DATOS!$C$138),TABLAS!$B$52:$B$58,0)+1,7)),IF(AND(BQ44&gt;0,FLOOR(MIN(BD44,100*INDEX(TABLAS!$D$52:$D$58,MIN(MATCH(IF(ISNUMBER(S44),S44,DATOS!$C$138),TABLAS!$B$52:$B$58,0)+2,7))/MAX(BQ44,0.0001)),DATOS!$C$144)&gt;=DATOS!$C$143),INDEX(TABLAS!$B$52:$B$58,MIN(MATCH(IF(ISNUMBER(S44),S44,DATOS!$C$138),TABLAS!$B$52:$B$58,0)+2,7)),IF(AND(BQ44&gt;0,FLOOR(MIN(BD44,100*INDEX(TABLAS!$D$52:$D$58,MIN(MATCH(IF(ISNUMBER(S44),S44,DATOS!$C$138),TABLAS!$B$52:$B$58,0)+3,7))/MAX(BQ44,0.0001)),DATOS!$C$144)&gt;=DATOS!$C$143),INDEX(TABLAS!$B$52:$B$58,MIN(MATCH(IF(ISNUMBER(S44),S44,DATOS!$C$138),TABLAS!$B$52:$B$58,0)+3,7)),IF(AND(BQ44&gt;0,FLOOR(MIN(BD44,100*INDEX(TABLAS!$D$52:$D$58,MIN(MATCH(IF(ISNUMBER(S44),S44,DATOS!$C$138),TABLAS!$B$52:$B$58,0)+4,7))/MAX(BQ44,0.0001)),DATOS!$C$144)&gt;=DATOS!$C$143),INDEX(TABLAS!$B$52:$B$58,MIN(MATCH(IF(ISNUMBER(S44),S44,DATOS!$C$138),TABLAS!$B$52:$B$58,0)+4,7)),INDEX(TABLAS!$B$52:$B$58,7)))))))</f>
        <v/>
      </c>
      <c r="BS44" s="71" t="str">
        <f>IF(V44&lt;&gt;"SÍ","",IF(BQ44&lt;=0,0,FLOOR(MIN(BD44,100*INDEX(TABLAS!$D$52:$D$58,MATCH(BR44,TABLAS!$B$52:$B$58,0))/BQ44),DATOS!$C$144)))</f>
        <v/>
      </c>
      <c r="BT44" s="58" t="str">
        <f>IF(V44&lt;&gt;"SÍ","",IF(BS44&lt;=0,0,INDEX(TABLAS!$D$52:$D$58,MATCH(BR44,TABLAS!$B$52:$B$58,0))*100/BS44))</f>
        <v/>
      </c>
      <c r="BU44" s="58" t="str">
        <f>IF(V44&lt;&gt;"SÍ","",((W44-AF44-INDEX(TABLAS!$C$52:$C$58,MATCH(BR44,TABLAS!$B$52:$B$58,0))/2)-IF(AND((W44-AF44-INDEX(TABLAS!$C$52:$C$58,MATCH(BR44,TABLAS!$B$52:$B$58,0))/2)&lt;=20,DATOS!$C$65&lt;&gt;"SÍ"),2,0)))</f>
        <v/>
      </c>
      <c r="BV44" s="56" t="str">
        <f>IF(V44&lt;&gt;"SÍ","",IF(BT44=0,0,DATOS!$C$29*BT44*DATOS!$C$14*(BU44-BT44*DATOS!$C$14/(DATOS!$C$21*100)/2)/1E5))</f>
        <v/>
      </c>
      <c r="BW44" s="65" t="str">
        <f>IF(V44&lt;&gt;"SÍ","",IF(BQ44&lt;0,9.99,IF(BV44&gt;0,AY44/BV44,0)))</f>
        <v/>
      </c>
      <c r="BX44" s="66" t="str">
        <f>IF(V44&lt;&gt;"SÍ","",IF(BT44=0,"—",0.003*(BU44-(BT44*DATOS!$C$14/(DATOS!$C$21*100)/DATOS!$C$22))/(BT44*DATOS!$C$14/(DATOS!$C$21*100)/DATOS!$C$22)))</f>
        <v/>
      </c>
      <c r="BY44" s="58" t="str">
        <f>IF(V44&lt;&gt;"SÍ","",(W44-AE44-1.5*INDEX(TABLAS!$C$52:$C$58,MATCH(IF(ISNUMBER(S44),S44,DATOS!$C$138),TABLAS!$B$52:$B$58,0))))</f>
        <v/>
      </c>
      <c r="BZ44" s="58" t="str">
        <f>IF(V44&lt;&gt;"SÍ","",IF(AZ44&lt;=0,0,IF((1-2*AZ44*1E5/(DATOS!$C$29*100*BY44^2*DATOS!$C$21))&lt;0,-1,IF((1-SQRT((1-2*AZ44*1E5/(DATOS!$C$29*100*BY44^2*DATOS!$C$21))))*DATOS!$C$21*100*BY44/DATOS!$C$14&gt;DATOS!$C$102*100*BY44,-1,(1-SQRT((1-2*AZ44*1E5/(DATOS!$C$29*100*BY44^2*DATOS!$C$21))))*DATOS!$C$21*100*BY44/DATOS!$C$14))))</f>
        <v/>
      </c>
      <c r="CA44" s="58" t="str">
        <f>IF(V44&lt;&gt;"SÍ","",IF(BZ44&lt;0,-1,MAX(BZ44,BC44)))</f>
        <v/>
      </c>
      <c r="CB44" s="64" t="str">
        <f>IF(V44&lt;&gt;"SÍ","",IF(AND(CA44&gt;0,FLOOR(MIN(BD44,100*INDEX(TABLAS!$D$52:$D$58,MIN(MATCH(IF(ISNUMBER(S44),S44,DATOS!$C$138),TABLAS!$B$52:$B$58,0)+0,7))/MAX(CA44,0.0001)),DATOS!$C$144)&gt;=DATOS!$C$143),INDEX(TABLAS!$B$52:$B$58,MIN(MATCH(IF(ISNUMBER(S44),S44,DATOS!$C$138),TABLAS!$B$52:$B$58,0)+0,7)),IF(AND(CA44&gt;0,FLOOR(MIN(BD44,100*INDEX(TABLAS!$D$52:$D$58,MIN(MATCH(IF(ISNUMBER(S44),S44,DATOS!$C$138),TABLAS!$B$52:$B$58,0)+1,7))/MAX(CA44,0.0001)),DATOS!$C$144)&gt;=DATOS!$C$143),INDEX(TABLAS!$B$52:$B$58,MIN(MATCH(IF(ISNUMBER(S44),S44,DATOS!$C$138),TABLAS!$B$52:$B$58,0)+1,7)),IF(AND(CA44&gt;0,FLOOR(MIN(BD44,100*INDEX(TABLAS!$D$52:$D$58,MIN(MATCH(IF(ISNUMBER(S44),S44,DATOS!$C$138),TABLAS!$B$52:$B$58,0)+2,7))/MAX(CA44,0.0001)),DATOS!$C$144)&gt;=DATOS!$C$143),INDEX(TABLAS!$B$52:$B$58,MIN(MATCH(IF(ISNUMBER(S44),S44,DATOS!$C$138),TABLAS!$B$52:$B$58,0)+2,7)),IF(AND(CA44&gt;0,FLOOR(MIN(BD44,100*INDEX(TABLAS!$D$52:$D$58,MIN(MATCH(IF(ISNUMBER(S44),S44,DATOS!$C$138),TABLAS!$B$52:$B$58,0)+3,7))/MAX(CA44,0.0001)),DATOS!$C$144)&gt;=DATOS!$C$143),INDEX(TABLAS!$B$52:$B$58,MIN(MATCH(IF(ISNUMBER(S44),S44,DATOS!$C$138),TABLAS!$B$52:$B$58,0)+3,7)),IF(AND(CA44&gt;0,FLOOR(MIN(BD44,100*INDEX(TABLAS!$D$52:$D$58,MIN(MATCH(IF(ISNUMBER(S44),S44,DATOS!$C$138),TABLAS!$B$52:$B$58,0)+4,7))/MAX(CA44,0.0001)),DATOS!$C$144)&gt;=DATOS!$C$143),INDEX(TABLAS!$B$52:$B$58,MIN(MATCH(IF(ISNUMBER(S44),S44,DATOS!$C$138),TABLAS!$B$52:$B$58,0)+4,7)),INDEX(TABLAS!$B$52:$B$58,7)))))))</f>
        <v/>
      </c>
      <c r="CC44" s="71" t="str">
        <f>IF(V44&lt;&gt;"SÍ","",IF(CA44&lt;=0,0,FLOOR(MIN(BD44,100*INDEX(TABLAS!$D$52:$D$58,MATCH(CB44,TABLAS!$B$52:$B$58,0))/CA44),DATOS!$C$144)))</f>
        <v/>
      </c>
      <c r="CD44" s="58" t="str">
        <f>IF(V44&lt;&gt;"SÍ","",IF(CC44&lt;=0,0,INDEX(TABLAS!$D$52:$D$58,MATCH(CB44,TABLAS!$B$52:$B$58,0))*100/CC44))</f>
        <v/>
      </c>
      <c r="CE44" s="58" t="str">
        <f>IF(V44&lt;&gt;"SÍ","",W44-AE44-INDEX(TABLAS!$C$52:$C$58,MATCH(BH44,TABLAS!$B$52:$B$58,0))-INDEX(TABLAS!$C$52:$C$58,MATCH(CB44,TABLAS!$B$52:$B$58,0))/2)</f>
        <v/>
      </c>
      <c r="CF44" s="56" t="str">
        <f>IF(V44&lt;&gt;"SÍ","",IF(CD44=0,0,DATOS!$C$29*CD44*DATOS!$C$14*(CE44-CD44*DATOS!$C$14/(DATOS!$C$21*100)/2)/1E5))</f>
        <v/>
      </c>
      <c r="CG44" s="65" t="str">
        <f>IF(V44&lt;&gt;"SÍ","",IF(CA44&lt;0,9.99,IF(CF44&gt;0,AZ44/CF44,0)))</f>
        <v/>
      </c>
      <c r="CH44" s="66" t="str">
        <f>IF(V44&lt;&gt;"SÍ","",IF(CD44=0,"—",0.003*(CE44-(CD44*DATOS!$C$14/(DATOS!$C$21*100)/DATOS!$C$22))/(CD44*DATOS!$C$14/(DATOS!$C$21*100)/DATOS!$C$22)))</f>
        <v/>
      </c>
      <c r="CI44" s="58" t="str">
        <f>IF(V44&lt;&gt;"SÍ","",((W44-AF44-1.5*INDEX(TABLAS!$C$52:$C$58,MATCH(IF(ISNUMBER(S44),S44,DATOS!$C$138),TABLAS!$B$52:$B$58,0)))-IF(AND((W44-AF44-1.5*INDEX(TABLAS!$C$52:$C$58,MATCH(IF(ISNUMBER(S44),S44,DATOS!$C$138),TABLAS!$B$52:$B$58,0)))&lt;=20,DATOS!$C$65&lt;&gt;"SÍ"),2,0)))</f>
        <v/>
      </c>
      <c r="CJ44" s="58" t="str">
        <f>IF(V44&lt;&gt;"SÍ","",IF(BA44&lt;=0,0,IF((1-2*BA44*1E5/(DATOS!$C$29*100*CI44^2*DATOS!$C$21))&lt;0,-1,IF((1-SQRT((1-2*BA44*1E5/(DATOS!$C$29*100*CI44^2*DATOS!$C$21))))*DATOS!$C$21*100*CI44/DATOS!$C$14&gt;DATOS!$C$102*100*CI44,-1,(1-SQRT((1-2*BA44*1E5/(DATOS!$C$29*100*CI44^2*DATOS!$C$21))))*DATOS!$C$21*100*CI44/DATOS!$C$14))))</f>
        <v/>
      </c>
      <c r="CK44" s="58" t="str">
        <f>IF(V44&lt;&gt;"SÍ","",IF(CJ44&lt;0,-1,MAX(CJ44,BC44)))</f>
        <v/>
      </c>
      <c r="CL44" s="64" t="str">
        <f>IF(V44&lt;&gt;"SÍ","",IF(AND(CK44&gt;0,FLOOR(MIN(BD44,100*INDEX(TABLAS!$D$52:$D$58,MIN(MATCH(IF(ISNUMBER(S44),S44,DATOS!$C$138),TABLAS!$B$52:$B$58,0)+0,7))/MAX(CK44,0.0001)),DATOS!$C$144)&gt;=DATOS!$C$143),INDEX(TABLAS!$B$52:$B$58,MIN(MATCH(IF(ISNUMBER(S44),S44,DATOS!$C$138),TABLAS!$B$52:$B$58,0)+0,7)),IF(AND(CK44&gt;0,FLOOR(MIN(BD44,100*INDEX(TABLAS!$D$52:$D$58,MIN(MATCH(IF(ISNUMBER(S44),S44,DATOS!$C$138),TABLAS!$B$52:$B$58,0)+1,7))/MAX(CK44,0.0001)),DATOS!$C$144)&gt;=DATOS!$C$143),INDEX(TABLAS!$B$52:$B$58,MIN(MATCH(IF(ISNUMBER(S44),S44,DATOS!$C$138),TABLAS!$B$52:$B$58,0)+1,7)),IF(AND(CK44&gt;0,FLOOR(MIN(BD44,100*INDEX(TABLAS!$D$52:$D$58,MIN(MATCH(IF(ISNUMBER(S44),S44,DATOS!$C$138),TABLAS!$B$52:$B$58,0)+2,7))/MAX(CK44,0.0001)),DATOS!$C$144)&gt;=DATOS!$C$143),INDEX(TABLAS!$B$52:$B$58,MIN(MATCH(IF(ISNUMBER(S44),S44,DATOS!$C$138),TABLAS!$B$52:$B$58,0)+2,7)),IF(AND(CK44&gt;0,FLOOR(MIN(BD44,100*INDEX(TABLAS!$D$52:$D$58,MIN(MATCH(IF(ISNUMBER(S44),S44,DATOS!$C$138),TABLAS!$B$52:$B$58,0)+3,7))/MAX(CK44,0.0001)),DATOS!$C$144)&gt;=DATOS!$C$143),INDEX(TABLAS!$B$52:$B$58,MIN(MATCH(IF(ISNUMBER(S44),S44,DATOS!$C$138),TABLAS!$B$52:$B$58,0)+3,7)),IF(AND(CK44&gt;0,FLOOR(MIN(BD44,100*INDEX(TABLAS!$D$52:$D$58,MIN(MATCH(IF(ISNUMBER(S44),S44,DATOS!$C$138),TABLAS!$B$52:$B$58,0)+4,7))/MAX(CK44,0.0001)),DATOS!$C$144)&gt;=DATOS!$C$143),INDEX(TABLAS!$B$52:$B$58,MIN(MATCH(IF(ISNUMBER(S44),S44,DATOS!$C$138),TABLAS!$B$52:$B$58,0)+4,7)),INDEX(TABLAS!$B$52:$B$58,7)))))))</f>
        <v/>
      </c>
      <c r="CM44" s="71" t="str">
        <f>IF(V44&lt;&gt;"SÍ","",IF(CK44&lt;=0,0,FLOOR(MIN(BD44,100*INDEX(TABLAS!$D$52:$D$58,MATCH(CL44,TABLAS!$B$52:$B$58,0))/CK44),DATOS!$C$144)))</f>
        <v/>
      </c>
      <c r="CN44" s="58" t="str">
        <f>IF(V44&lt;&gt;"SÍ","",IF(CM44&lt;=0,0,INDEX(TABLAS!$D$52:$D$58,MATCH(CL44,TABLAS!$B$52:$B$58,0))*100/CM44))</f>
        <v/>
      </c>
      <c r="CO44" s="58" t="str">
        <f>IF(V44&lt;&gt;"SÍ","",((W44-AF44-INDEX(TABLAS!$C$52:$C$58,MATCH(BR44,TABLAS!$B$52:$B$58,0))-INDEX(TABLAS!$C$52:$C$58,MATCH(CL44,TABLAS!$B$52:$B$58,0))/2)-IF(AND((W44-AF44-INDEX(TABLAS!$C$52:$C$58,MATCH(BR44,TABLAS!$B$52:$B$58,0))-INDEX(TABLAS!$C$52:$C$58,MATCH(CL44,TABLAS!$B$52:$B$58,0))/2)&lt;=20,DATOS!$C$65&lt;&gt;"SÍ"),2,0)))</f>
        <v/>
      </c>
      <c r="CP44" s="56" t="str">
        <f>IF(V44&lt;&gt;"SÍ","",IF(CN44=0,0,DATOS!$C$29*CN44*DATOS!$C$14*(CO44-CN44*DATOS!$C$14/(DATOS!$C$21*100)/2)/1E5))</f>
        <v/>
      </c>
      <c r="CQ44" s="65" t="str">
        <f>IF(V44&lt;&gt;"SÍ","",IF(CK44&lt;0,9.99,IF(CP44&gt;0,BA44/CP44,0)))</f>
        <v/>
      </c>
      <c r="CR44" s="66" t="str">
        <f>IF(V44&lt;&gt;"SÍ","",IF(CN44=0,"—",0.003*(CO44-(CN44*DATOS!$C$14/(DATOS!$C$21*100)/DATOS!$C$22))/(CN44*DATOS!$C$14/(DATOS!$C$21*100)/DATOS!$C$22)))</f>
        <v/>
      </c>
      <c r="CS44" s="56" t="str">
        <f>IF(V44&lt;&gt;"SÍ","",IF(C44="PERIMETRAL",MAX(0,(AC44/2-BU44)/100)*(0.95-0.5*AB44)*AK44*IF(AND(AL44&gt;0,AL44&lt;4),DATOS!$C$33,1)/1000,(AK44*MAX(0,AC44-BU44)/100+DATOS!$C$26*N(P44))/1000))</f>
        <v/>
      </c>
      <c r="CT44" s="66" t="str">
        <f>IF(V44&lt;&gt;"SÍ","",BT44/(100*BU44))</f>
        <v/>
      </c>
      <c r="CU44" s="56" t="str">
        <f>IF(V44&lt;&gt;"SÍ","",DATOS!$C$30*2*MIN(1,SQRT(2/(1+0.04*BU44)))*CT44^(1/3)*SQRT(DATOS!$C$13)*100*BU44/1000)</f>
        <v/>
      </c>
      <c r="CV44" s="67" t="str">
        <f>IF(V44&lt;&gt;"SÍ","",IF(CS44&lt;=CU44,"CUMPLE","NO CUMPLE: sube h"))</f>
        <v/>
      </c>
      <c r="CW44" s="58" t="str">
        <f>IF(V44&lt;&gt;"SÍ","",IF(C44="PERIMETRAL",IF(ISNUMBER(R44),R44,DATOS!$C$104),0))</f>
        <v/>
      </c>
      <c r="CX44" s="57" t="str">
        <f>IF(V44&lt;&gt;"SÍ","",IF(C44="PERIMETRAL",IF(CW44&gt;2,MAX(9,AD44*(0.8+DATOS!$C$14/14000)/(36+9*(AD44/MAX(AC44,1)))),IF(CW44&gt;0.2,MAX(13,AD44*(0.8+DATOS!$C$14/14000)/(36+5*(AD44/MAX(AC44,1))*(CW44-0.2))),MAX(13,AD44/IF(AL44&gt;0,30,33))))*IF(AND(CW44&gt;0.2,AL44&gt;0,DATOS!$C$105="NO"),1.1,1),Z44*100/DATOS!$C$145*(0.4+DATOS!$C$14/7000)))</f>
        <v/>
      </c>
      <c r="CY44" s="61" t="str">
        <f>IF(V44&lt;&gt;"SÍ","",IF(W44&gt;=CX44-0.001,"CUMPLE",IF(C44="VOLADO","NO CUMPLE","CALCULAR FLECHA")))</f>
        <v/>
      </c>
      <c r="CZ44" s="60" t="str">
        <f>IF(V44&lt;&gt;"SÍ","",IF(C44="VOLADO",MIN(FLOOR(IF(ISNUMBER(Q44),Q44,Z44)*100-DATOS!$C$63,5),CEILING(MAX(IF((0.5*(0.9*W44/100*DATOS!$C$16)*IF(ISNUMBER(Q44),Q44,Z44)+AY44/IF(ISNUMBER(Q44),Q44,Z44))^2-4*(0.5*(0.9*W44/100*DATOS!$C$16))*AY44&lt;0,IF(ISNUMBER(Q44),Q44,Z44),MIN(IF(ISNUMBER(Q44),Q44,Z44),((0.5*(0.9*W44/100*DATOS!$C$16)*IF(ISNUMBER(Q44),Q44,Z44)+AY44/IF(ISNUMBER(Q44),Q44,Z44))-SQRT((0.5*(0.9*W44/100*DATOS!$C$16)*IF(ISNUMBER(Q44),Q44,Z44)+AY44/IF(ISNUMBER(Q44),Q44,Z44))^2-4*(0.5*(0.9*W44/100*DATOS!$C$16))*AY44))/(2*(0.5*(0.9*W44/100*DATOS!$C$16)))))*100+MAX(BU44,12*INDEX(TABLAS!$C$52:$C$58,MATCH(BR44,TABLAS!$B$52:$B$58,0)),IF(ISNUMBER(Q44),Q44,Z44)*100/16),IF(OR(AF44&lt;INDEX(TABLAS!$C$52:$C$58,MATCH(BR44,TABLAS!$B$52:$B$58,0)),BS44-INDEX(TABLAS!$C$52:$C$58,MATCH(BR44,TABLAS!$B$52:$B$58,0))&lt;2*INDEX(TABLAS!$C$52:$C$58,MATCH(BR44,TABLAS!$B$52:$B$58,0))),INDEX(TABLAS!$I$52:$I$58,MATCH(BR44,TABLAS!$B$52:$B$58,0)),INDEX(TABLAS!$F$52:$F$58,MATCH(BR44,TABLAS!$B$52:$B$58,0)))),5)),IF(((4*((AV44*AK44*Z44^2*1E-4/1000)+((MAX(AR44,AT44)*AK44*Z44^2*1E-4/1000)+(IF(AND(AR44&gt;0,AT44&gt;0),MIN(AR44,AT44),MAX(AR44,AT44))*AK44*Z44^2*1E-4/1000))/2)+AY44-(IF(AND(AR44&gt;0,AT44&gt;0),MIN(AR44,AT44),MAX(AR44,AT44))*AK44*Z44^2*1E-4/1000))^2-16*((AV44*AK44*Z44^2*1E-4/1000)+((MAX(AR44,AT44)*AK44*Z44^2*1E-4/1000)+(IF(AND(AR44&gt;0,AT44&gt;0),MIN(AR44,AT44),MAX(AR44,AT44))*AK44*Z44^2*1E-4/1000))/2)*AY44)&lt;0,CEILING(AC44,5),CEILING(MAX(AC44*((4*((AV44*AK44*Z44^2*1E-4/1000)+((MAX(AR44,AT44)*AK44*Z44^2*1E-4/1000)+(IF(AND(AR44&gt;0,AT44&gt;0),MIN(AR44,AT44),MAX(AR44,AT44))*AK44*Z44^2*1E-4/1000))/2)+AY44-(IF(AND(AR44&gt;0,AT44&gt;0),MIN(AR44,AT44),MAX(AR44,AT44))*AK44*Z44^2*1E-4/1000))-SQRT(MAX(0,((4*((AV44*AK44*Z44^2*1E-4/1000)+((MAX(AR44,AT44)*AK44*Z44^2*1E-4/1000)+(IF(AND(AR44&gt;0,AT44&gt;0),MIN(AR44,AT44),MAX(AR44,AT44))*AK44*Z44^2*1E-4/1000))/2)+AY44-(IF(AND(AR44&gt;0,AT44&gt;0),MIN(AR44,AT44),MAX(AR44,AT44))*AK44*Z44^2*1E-4/1000))^2-16*((AV44*AK44*Z44^2*1E-4/1000)+((MAX(AR44,AT44)*AK44*Z44^2*1E-4/1000)+(IF(AND(AR44&gt;0,AT44&gt;0),MIN(AR44,AT44),MAX(AR44,AT44))*AK44*Z44^2*1E-4/1000))/2)*AY44))))/(8*MAX(((AV44*AK44*Z44^2*1E-4/1000)+((MAX(AR44,AT44)*AK44*Z44^2*1E-4/1000)+(IF(AND(AR44&gt;0,AT44&gt;0),MIN(AR44,AT44),MAX(AR44,AT44))*AK44*Z44^2*1E-4/1000))/2),1E-9))+MAX(BU44,12*INDEX(TABLAS!$C$52:$C$58,MATCH(BR44,TABLAS!$B$52:$B$58,0)),AC44/16),IF(OR(AF44&lt;INDEX(TABLAS!$C$52:$C$58,MATCH(BR44,TABLAS!$B$52:$B$58,0)),BS44-INDEX(TABLAS!$C$52:$C$58,MATCH(BR44,TABLAS!$B$52:$B$58,0))&lt;2*INDEX(TABLAS!$C$52:$C$58,MATCH(BR44,TABLAS!$B$52:$B$58,0))),INDEX(TABLAS!$I$52:$I$58,MATCH(BR44,TABLAS!$B$52:$B$58,0)),INDEX(TABLAS!$F$52:$F$58,MATCH(BR44,TABLAS!$B$52:$B$58,0)))),5))))</f>
        <v/>
      </c>
      <c r="DA44" s="60" t="str">
        <f>IF(V44&lt;&gt;"SÍ","",IF(C44="VOLADO",0,IF(((4*((AW44*AK44*Z44^2*1E-4/1000)+((MAX(AS44,AU44)*AK44*Z44^2*1E-4/1000)+(IF(AND(AS44&gt;0,AU44&gt;0),MIN(AS44,AU44),MAX(AS44,AU44))*AK44*Z44^2*1E-4/1000))/2)+BA44-(IF(AND(AS44&gt;0,AU44&gt;0),MIN(AS44,AU44),MAX(AS44,AU44))*AK44*Z44^2*1E-4/1000))^2-16*((AW44*AK44*Z44^2*1E-4/1000)+((MAX(AS44,AU44)*AK44*Z44^2*1E-4/1000)+(IF(AND(AS44&gt;0,AU44&gt;0),MIN(AS44,AU44),MAX(AS44,AU44))*AK44*Z44^2*1E-4/1000))/2)*BA44)&lt;0,CEILING(AD44,5),CEILING(MAX(AD44*((4*((AW44*AK44*Z44^2*1E-4/1000)+((MAX(AS44,AU44)*AK44*Z44^2*1E-4/1000)+(IF(AND(AS44&gt;0,AU44&gt;0),MIN(AS44,AU44),MAX(AS44,AU44))*AK44*Z44^2*1E-4/1000))/2)+BA44-(IF(AND(AS44&gt;0,AU44&gt;0),MIN(AS44,AU44),MAX(AS44,AU44))*AK44*Z44^2*1E-4/1000))-SQRT(MAX(0,((4*((AW44*AK44*Z44^2*1E-4/1000)+((MAX(AS44,AU44)*AK44*Z44^2*1E-4/1000)+(IF(AND(AS44&gt;0,AU44&gt;0),MIN(AS44,AU44),MAX(AS44,AU44))*AK44*Z44^2*1E-4/1000))/2)+BA44-(IF(AND(AS44&gt;0,AU44&gt;0),MIN(AS44,AU44),MAX(AS44,AU44))*AK44*Z44^2*1E-4/1000))^2-16*((AW44*AK44*Z44^2*1E-4/1000)+((MAX(AS44,AU44)*AK44*Z44^2*1E-4/1000)+(IF(AND(AS44&gt;0,AU44&gt;0),MIN(AS44,AU44),MAX(AS44,AU44))*AK44*Z44^2*1E-4/1000))/2)*BA44))))/(8*MAX(((AW44*AK44*Z44^2*1E-4/1000)+((MAX(AS44,AU44)*AK44*Z44^2*1E-4/1000)+(IF(AND(AS44&gt;0,AU44&gt;0),MIN(AS44,AU44),MAX(AS44,AU44))*AK44*Z44^2*1E-4/1000))/2),1E-9))+MAX(CO44,12*INDEX(TABLAS!$C$52:$C$58,MATCH(CL44,TABLAS!$B$52:$B$58,0)),AD44/16),IF(OR(AF44&lt;INDEX(TABLAS!$C$52:$C$58,MATCH(CL44,TABLAS!$B$52:$B$58,0)),CM44-INDEX(TABLAS!$C$52:$C$58,MATCH(CL44,TABLAS!$B$52:$B$58,0))&lt;2*INDEX(TABLAS!$C$52:$C$58,MATCH(CL44,TABLAS!$B$52:$B$58,0))),INDEX(TABLAS!$I$52:$I$58,MATCH(CL44,TABLAS!$B$52:$B$58,0)),INDEX(TABLAS!$F$52:$F$58,MATCH(CL44,TABLAS!$B$52:$B$58,0)))),5))))</f>
        <v/>
      </c>
      <c r="DB44" s="55" t="str">
        <f>IF(V44&lt;&gt;"SÍ","",IF(AND(C44="PERIMETRAL",AL44-AM44&gt;0,AT44&gt;0),"SÍ","NO"))</f>
        <v/>
      </c>
      <c r="DC44" s="55" t="str">
        <f>IF(V44&lt;&gt;"SÍ","",IF(AND(C44="PERIMETRAL",AM44&gt;0,AU44&gt;0),"SÍ","NO"))</f>
        <v/>
      </c>
      <c r="DD44" s="63" t="str">
        <f>IF(V44&lt;&gt;"SÍ","",IF(OR(C44="VOLADO",AL44=0),"—",IF(AND(AND(INDEX(TABLAS!$G$52:$G$58,MATCH(MAX(BR44,CL44),TABLAS!$B$52:$B$58,0))&lt;=(DATOS!$C$75-DATOS!$C$63),(DATOS!$C$75-DATOS!$C$63)&gt;=15),8*INDEX(TABLAS!$C$52:$C$58,MATCH(MAX(BH44,CB44,BR44,CL44),TABLAS!$B$52:$B$58,0))&lt;=DATOS!$C$76-2*DATOS!$C$63),"CUMPLE (gancho de 180°)",IF(AND(INDEX(TABLAS!$G$52:$G$58,MATCH(MAX(BR44,CL44),TABLAS!$B$52:$B$58,0))&lt;=(DATOS!$C$75-DATOS!$C$63),(DATOS!$C$75-DATOS!$C$63)&gt;=15),"NO CUMPLE: el gancho de 180° (8·d_b) no cabe en el peralte de la dala de borde","NO CUMPLE: dala de borde ≥ "&amp;TEXT(CEILING(MAX(INDEX(TABLAS!$G$52:$G$58,MATCH(MAX(BR44,CL44),TABLAS!$B$52:$B$58,0)),15)+DATOS!$C$63,5),"0")&amp;" cm de ancho"&amp;IF(8*INDEX(TABLAS!$C$52:$C$58,MATCH(MAX(BH44,CB44,BR44,CL44),TABLAS!$B$52:$B$58,0))&lt;=DATOS!$C$76-2*DATOS!$C$63,""," y más peralte para el gancho")))))</f>
        <v/>
      </c>
      <c r="DE44" s="69" t="str">
        <f>IF(V44&lt;&gt;"SÍ","",IF(BI44=0,"NO ALCANZA","No. "&amp;BH44&amp;" @ "&amp;BI44&amp;" cm"&amp;IF(C44="VOLADO"," (temperatura)","")))</f>
        <v/>
      </c>
      <c r="DF44" s="69" t="str">
        <f>IF(V44&lt;&gt;"SÍ","",IF(BS44=0,"NO ALCANZA",IF(C44="VOLADO","No. "&amp;BR44&amp;" @ "&amp;BS44&amp;" cm"&amp;" de la orilla al respaldo ("&amp;IF(CZ44&gt;=FLOOR(100*IF(ISNUMBER(Q44),Q44,Z44)-DATOS!$C$63,5),"hasta su apoyo lejano, con gancho","entran "&amp;TEXT(CZ44/100,"0.00")&amp;" m desde el paño")&amp;")","Bastones "&amp;"No. "&amp;BR44&amp;" @ "&amp;BS44&amp;" cm"&amp;", L = "&amp;TEXT(CZ44/100,"0.00")&amp;" m desde el paño")))</f>
        <v/>
      </c>
      <c r="DG44" s="69" t="str">
        <f>IF(V44&lt;&gt;"SÍ","",IF(CC44=0,"NO ALCANZA","No. "&amp;CB44&amp;" @ "&amp;CC44&amp;" cm"&amp;IF(C44="VOLADO"," (repartición)","")))</f>
        <v/>
      </c>
      <c r="DH44" s="69" t="str">
        <f>IF(V44&lt;&gt;"SÍ","",IF(CM44=0,"NO ALCANZA",IF(C44="VOLADO","No. "&amp;CL44&amp;" @ "&amp;CM44&amp;" cm"&amp;" (repartición)","Bastones "&amp;"No. "&amp;CL44&amp;" @ "&amp;CM44&amp;" cm"&amp;", L = "&amp;TEXT(DA44/100,"0.00")&amp;" m desde el paño")))</f>
        <v/>
      </c>
      <c r="DI44" s="67" t="str">
        <f>IF(B44="","",IF(V44&lt;&gt;"SÍ","FALTAN DATOS: tipo, a_x, a_y, destino y, en volados, L_b",IF(L44="NO MONOLÍTICO (caso II)","FUERA DE ALCANCE: caso II no transcrito",IF(AND(C44="VOLADO",X44="?"),"REVISAR: el volado lleva UN solo borde CONTINUO (el empotrado)",IF(AND(MAX(BM44,BW44,CG44,CQ44)&lt;=1,NOT(OR(BI44&lt;DATOS!$C$143,BS44&lt;DATOS!$C$143,CC44&lt;DATOS!$C$143,CM44&lt;DATOS!$C$143)),NOT(OR(AND(ISNUMBER(BN44),BN44&lt;0.005),AND(ISNUMBER(BX44),BX44&lt;0.005),AND(ISNUMBER(CH44),CH44&lt;0.005),AND(ISNUMBER(CR44),CR44&lt;0.005))),CV44="CUMPLE",CY44="CUMPLE"),"CUMPLE"&amp;IF(LEFT(BB44,5)="FUERA"," · fuera de 3.4.2.1 c)","")&amp;IF(LEFT(DD44,2)="NO"," · REVISAR anclaje en borde discontinuo",""),IF(AND(MAX(BM44,BW44,CG44,CQ44)&lt;=1,NOT(OR(BI44&lt;DATOS!$C$143,BS44&lt;DATOS!$C$143,CC44&lt;DATOS!$C$143,CM44&lt;DATOS!$C$143)),NOT(OR(AND(ISNUMBER(BN44),BN44&lt;0.005),AND(ISNUMBER(BX44),BX44&lt;0.005),AND(ISNUMBER(CH44),CH44&lt;0.005),AND(ISNUMBER(CR44),CR44&lt;0.005))),CV44="CUMPLE",CY44="CALCULAR FLECHA"),"REVISAR: calcular flecha (h &lt; h mín.)"&amp;IF(LEFT(BB44,5)="FUERA"," · fuera de 3.4.2.1 c)","")&amp;IF(LEFT(DD44,2)="NO"," · REVISAR anclaje en borde discontinuo",""),"NO CUMPLE: "&amp;IF(MAX(BM44,BW44,CG44,CQ44)&gt;1,"flexión ","")&amp;IF(OR(BI44&lt;DATOS!$C$143,BS44&lt;DATOS!$C$143,CC44&lt;DATOS!$C$143,CM44&lt;DATOS!$C$143),"separación &lt; mínima ","")&amp;IF(OR(AND(ISNUMBER(BN44),BN44&lt;0.005),AND(ISNUMBER(BX44),BX44&lt;0.005),AND(ISNUMBER(CH44),CH44&lt;0.005),AND(ISNUMBER(CR44),CR44&lt;0.005)),"ε_t &lt; 0.005 ","")&amp;IF(CV44&lt;&gt;"CUMPLE","cortante ","")&amp;IF(CY44="NO CUMPLE","peralte","")))))))</f>
        <v/>
      </c>
      <c r="DJ44" s="70" t="str">
        <f>IF(V44&lt;&gt;"SÍ","",IF(LEFT(B44,7)="EJEMPLO","EJEMPLO de tablero típico: bórralo o sobrescríbelo. ","")&amp;IF(C44="VOLADO","Volado de "&amp;TEXT(Z44,"0.00")&amp;" m empotrado en el borde "&amp;LOWER(X44)&amp;IF(N(P44)&gt;0,", con "&amp;TEXT(P44,"0.0")&amp;" kg/m en la orilla","")&amp;". Lecho inferior con r_ext. Si la orilla carga pretil u otro elemento frágil, calcula la flecha (13.4). El acero superior entra al respaldo de "&amp;TEXT(IF(ISNUMBER(Q44),Q44,Z44),"0.00")&amp;" m"&amp;" hasta pasar M = 0 con 0.9·PP sin carga viva; si ahí no se anula, llega al apoyo lejano y se ancla con gancho. ","")&amp;IF(AND(C44="VOLADO",(0.9*W44/100*DATOS!$C$16*IF(ISNUMBER(Q44),Q44,Z44)/2-AY44/IF(ISNUMBER(Q44),Q44,Z44))&lt;0),"Con 0.9·PP y sin carga viva el apoyo lejano del respaldo levanta (R = "&amp;TEXT(-(0.9*W44/100*DATOS!$C$16*IF(ISNUMBER(Q44),Q44,Z44)/2-AY44/IF(ISNUMBER(Q44),Q44,Z44)),"0.00")&amp;" t/m): ancla ahí el acero con gancho y revisa ese apoyo a tensión. ","")&amp;IF(LEFT(BB44,5)="FUERA","El M⁻ del vecino difiere más de 50 % (3.4.2.1 c): distribuye el desequilibrio (3.4.3.1) o confirma con un modelo; se arma con el mayor. ","")&amp;IF(OR(DB44="SÍ",DC44="SÍ"),"Bastones también en los bordes discontinuos (M⁻ de tabla), con gancho. ","")&amp;IF(LEFT(DD44,2)="NO","Anclaje: "&amp;DD44&amp;" (6.7.7.4.1.1). ","")&amp;IF(AND(C44="PERIMETRAL",AM44&gt;=1,AL44-AM44&gt;=1),"Esquinas exteriores sobre muro: refuerzo de esquina arriba y abajo en L_largo/5 (6.7.7.3.1). ",""))</f>
        <v/>
      </c>
    </row>
    <row r="45" ht="33" customHeight="1">
      <c r="A45" s="50">
        <f>IF(B45="",0,1)+A44</f>
        <v>3</v>
      </c>
      <c r="B45" s="29" t="n"/>
      <c r="C45" s="51" t="n"/>
      <c r="D45" s="29" t="n"/>
      <c r="E45" s="52" t="n"/>
      <c r="F45" s="52" t="n"/>
      <c r="G45" s="51" t="n"/>
      <c r="H45" s="51" t="n"/>
      <c r="I45" s="51" t="n"/>
      <c r="J45" s="51" t="n"/>
      <c r="K45" s="51" t="n"/>
      <c r="L45" s="51" t="n"/>
      <c r="M45" s="54" t="n"/>
      <c r="N45" s="53" t="n"/>
      <c r="O45" s="53" t="n"/>
      <c r="P45" s="54" t="n"/>
      <c r="Q45" s="52" t="n"/>
      <c r="R45" s="54" t="n"/>
      <c r="S45" s="53" t="n"/>
      <c r="T45" s="52" t="n"/>
      <c r="U45" s="52" t="n"/>
      <c r="V45" s="55" t="str">
        <f>IF(B45="","",IF(AND(OR(C45="PERIMETRAL",C45="VOLADO"),ISNUMBER(E45),ISNUMBER(F45),E45&gt;0,F45&gt;0,OR(ISNUMBER(O45),ISNUMBER(MATCH(D45,DATOS!$B$46:$B$58,0))),OR(C45&lt;&gt;"VOLADO",N(Q45)&gt;0)),"SÍ","NO"))</f>
        <v/>
      </c>
      <c r="W45" s="57" t="str">
        <f>IF(V45&lt;&gt;"SÍ","",IF(ISNUMBER(M45),M45,DATOS!$C$137))</f>
        <v/>
      </c>
      <c r="X45" s="55" t="str">
        <f>IF(V45&lt;&gt;"SÍ","",IF(C45&lt;&gt;"VOLADO","—",IF(COUNTIF(G45:J45,"CONTINUO")&lt;&gt;1,"?",IF(G45="CONTINUO","INFERIOR",IF(H45="CONTINUO","SUPERIOR",IF(I45="CONTINUO","IZQUIERDO","DERECHO"))))))</f>
        <v/>
      </c>
      <c r="Y45" s="55" t="str">
        <f>IF(V45&lt;&gt;"SÍ","",IF(C45="VOLADO",IF(OR(X45="IZQUIERDO",X45="DERECHO"),"X","Y"),IF(E45&lt;=F45,"X","Y")))</f>
        <v/>
      </c>
      <c r="Z45" s="56" t="str">
        <f>IF(V45&lt;&gt;"SÍ","",IF(C45="VOLADO",IF(Y45="X",E45,F45),MIN(E45,F45)))</f>
        <v/>
      </c>
      <c r="AA45" s="56" t="str">
        <f>IF(V45&lt;&gt;"SÍ","",IF(C45="VOLADO",IF(Y45="X",F45,E45),MAX(E45,F45)))</f>
        <v/>
      </c>
      <c r="AB45" s="56" t="str">
        <f>IF(V45&lt;&gt;"SÍ","",MIN(Z45,AA45)/MAX(Z45,AA45))</f>
        <v/>
      </c>
      <c r="AC45" s="57" t="str">
        <f>IF(V45&lt;&gt;"SÍ","",MAX(1,Z45*100-IF(C45="VOLADO",DATOS!$C$87/2,DATOS!$C$87)))</f>
        <v/>
      </c>
      <c r="AD45" s="57" t="str">
        <f>IF(V45&lt;&gt;"SÍ","",MAX(1,AA45*100-DATOS!$C$87))</f>
        <v/>
      </c>
      <c r="AE45" s="57" t="str">
        <f>IF(V45&lt;&gt;"SÍ","",IF(C45="VOLADO",DATOS!$C$64,DATOS!$C$62))</f>
        <v/>
      </c>
      <c r="AF45" s="57" t="str">
        <f>IF(V45&lt;&gt;"SÍ","",IF(OR(AND(AG45="SÍ",DATOS!$C$66="SÍ"),AND(C45="VOLADO",DATOS!$C$67="SÍ")),DATOS!$C$64,DATOS!$C$62))</f>
        <v/>
      </c>
      <c r="AG45" s="55" t="str">
        <f>IF(V45&lt;&gt;"SÍ","",IFERROR(INDEX(DATOS!$D$46:$D$58,MATCH(D45,DATOS!$B$46:$B$58,0)),"NO"))</f>
        <v/>
      </c>
      <c r="AH45" s="59" t="str">
        <f>IF(V45&lt;&gt;"SÍ","",IF(ISNUMBER(O45),O45,IFERROR(INDEX(DATOS!$C$46:$C$58,MATCH(D45,DATOS!$B$46:$B$58,0)),0)))</f>
        <v/>
      </c>
      <c r="AI45" s="59" t="str">
        <f>IF(V45&lt;&gt;"SÍ","",W45/100*DATOS!$C$16*1000+DATOS!$C$37+DATOS!$C$38)</f>
        <v/>
      </c>
      <c r="AJ45" s="59" t="str">
        <f>IF(V45&lt;&gt;"SÍ","",AI45+N(N45))</f>
        <v/>
      </c>
      <c r="AK45" s="60" t="str">
        <f>IF(V45&lt;&gt;"SÍ","",MAX(DATOS!$C$26*AJ45+DATOS!$C$27*AH45,IF(AG45="SÍ",DATOS!$C$28*(AJ45+DATOS!$C$41),0)))</f>
        <v/>
      </c>
      <c r="AL45" s="59" t="str">
        <f>IF(V45&lt;&gt;"SÍ","",(G45="DISCONTINUO")+(H45="DISCONTINUO")+(I45="DISCONTINUO")+(J45="DISCONTINUO"))</f>
        <v/>
      </c>
      <c r="AM45" s="59" t="str">
        <f>IF(V45&lt;&gt;"SÍ","",IF(Y45="X",(G45="DISCONTINUO")+(H45="DISCONTINUO"),(I45="DISCONTINUO")+(J45="DISCONTINUO")))</f>
        <v/>
      </c>
      <c r="AN45" s="55" t="str">
        <f>IF(V45&lt;&gt;"SÍ","",IF(AL45=0,"INTERIOR",IF(AL45=1,IF(AM45=1,"BORDE-CORTO","BORDE-LARGO"),IF(AL45=2,IF(AM45=1,"ESQUINA",IF(AM45=2,"EXTREMO-LARGO","EXTREMO-CORTO")),IF(AL45=3,IF(AM45=2,"EXTREMO-LARGO","EXTREMO-CORTO"),"AISLADO")))))</f>
        <v/>
      </c>
      <c r="AO45" s="61" t="str">
        <f>IF(V45&lt;&gt;"SÍ","",IF(OR(K45="",K45="AUTO"),AN45,K45))</f>
        <v/>
      </c>
      <c r="AP45" s="59" t="str">
        <f>IF(V45&lt;&gt;"SÍ","",MATCH(AB45,TABLAS!$D$5:$J$5,1))</f>
        <v/>
      </c>
      <c r="AQ45" s="58" t="str">
        <f>IF(V45&lt;&gt;"SÍ","",IF(AP45&gt;=7,0,(AB45-INDEX(TABLAS!$D$5:$J$5,AP45))/(INDEX(TABLAS!$D$5:$J$5,AP45+1)-INDEX(TABLAS!$D$5:$J$5,AP45))))</f>
        <v/>
      </c>
      <c r="AR45" s="59" t="str">
        <f>IF(V45&lt;&gt;"SÍ","",INDEX(TABLAS!$D$6:$J$47,MATCH(AO45&amp;"|NIC",TABLAS!$B$6:$B$47,0),AP45)+AQ45*(INDEX(TABLAS!$D$6:$J$47,MATCH(AO45&amp;"|NIC",TABLAS!$B$6:$B$47,0),MIN(AP45+1,7))-INDEX(TABLAS!$D$6:$J$47,MATCH(AO45&amp;"|NIC",TABLAS!$B$6:$B$47,0),AP45)))</f>
        <v/>
      </c>
      <c r="AS45" s="59" t="str">
        <f>IF(V45&lt;&gt;"SÍ","",INDEX(TABLAS!$D$6:$J$47,MATCH(AO45&amp;"|NIL",TABLAS!$B$6:$B$47,0),AP45)+AQ45*(INDEX(TABLAS!$D$6:$J$47,MATCH(AO45&amp;"|NIL",TABLAS!$B$6:$B$47,0),MIN(AP45+1,7))-INDEX(TABLAS!$D$6:$J$47,MATCH(AO45&amp;"|NIL",TABLAS!$B$6:$B$47,0),AP45)))</f>
        <v/>
      </c>
      <c r="AT45" s="59" t="str">
        <f>IF(V45&lt;&gt;"SÍ","",INDEX(TABLAS!$D$6:$J$47,MATCH(AO45&amp;"|NDC",TABLAS!$B$6:$B$47,0),AP45)+AQ45*(INDEX(TABLAS!$D$6:$J$47,MATCH(AO45&amp;"|NDC",TABLAS!$B$6:$B$47,0),MIN(AP45+1,7))-INDEX(TABLAS!$D$6:$J$47,MATCH(AO45&amp;"|NDC",TABLAS!$B$6:$B$47,0),AP45)))</f>
        <v/>
      </c>
      <c r="AU45" s="59" t="str">
        <f>IF(V45&lt;&gt;"SÍ","",INDEX(TABLAS!$D$6:$J$47,MATCH(AO45&amp;"|NDL",TABLAS!$B$6:$B$47,0),AP45)+AQ45*(INDEX(TABLAS!$D$6:$J$47,MATCH(AO45&amp;"|NDL",TABLAS!$B$6:$B$47,0),MIN(AP45+1,7))-INDEX(TABLAS!$D$6:$J$47,MATCH(AO45&amp;"|NDL",TABLAS!$B$6:$B$47,0),AP45)))</f>
        <v/>
      </c>
      <c r="AV45" s="59" t="str">
        <f>IF(V45&lt;&gt;"SÍ","",INDEX(TABLAS!$D$6:$J$47,MATCH(AO45&amp;"|PC",TABLAS!$B$6:$B$47,0),AP45)+AQ45*(INDEX(TABLAS!$D$6:$J$47,MATCH(AO45&amp;"|PC",TABLAS!$B$6:$B$47,0),MIN(AP45+1,7))-INDEX(TABLAS!$D$6:$J$47,MATCH(AO45&amp;"|PC",TABLAS!$B$6:$B$47,0),AP45)))</f>
        <v/>
      </c>
      <c r="AW45" s="59" t="str">
        <f>IF(V45&lt;&gt;"SÍ","",INDEX(TABLAS!$D$6:$J$47,MATCH(AO45&amp;"|PL",TABLAS!$B$6:$B$47,0),AP45)+AQ45*(INDEX(TABLAS!$D$6:$J$47,MATCH(AO45&amp;"|PL",TABLAS!$B$6:$B$47,0),MIN(AP45+1,7))-INDEX(TABLAS!$D$6:$J$47,MATCH(AO45&amp;"|PL",TABLAS!$B$6:$B$47,0),AP45)))</f>
        <v/>
      </c>
      <c r="AX45" s="56" t="str">
        <f>IF(V45&lt;&gt;"SÍ","",IF(C45="PERIMETRAL",AV45*AK45*Z45^2*1E-4/1000,0))</f>
        <v/>
      </c>
      <c r="AY45" s="62" t="str">
        <f>IF(V45&lt;&gt;"SÍ","",IF(C45="PERIMETRAL",MAX(MAX(AR45,AT45)*AK45*Z45^2*1E-4/1000,N(T45)),(AK45*(AC45/100)^2/2+DATOS!$C$26*N(P45)*AC45/100)/1000))</f>
        <v/>
      </c>
      <c r="AZ45" s="56" t="str">
        <f>IF(V45&lt;&gt;"SÍ","",IF(C45="PERIMETRAL",AW45*AK45*Z45^2*1E-4/1000,0))</f>
        <v/>
      </c>
      <c r="BA45" s="56" t="str">
        <f>IF(V45&lt;&gt;"SÍ","",IF(C45="PERIMETRAL",MAX(MAX(AS45,AU45)*AK45*Z45^2*1E-4/1000,N(U45)),0))</f>
        <v/>
      </c>
      <c r="BB45" s="63" t="str">
        <f>IF(V45&lt;&gt;"SÍ","",IF(C45&lt;&gt;"PERIMETRAL","—",IF(AND(N(T45)=0,N(U45)=0),"— (sin M⁻ del vecino)",IF(OR(AND(N(T45)&gt;0,ABS(MAX(AR45,AT45)*AK45*Z45^2*1E-4/1000-N(T45))&gt;0.5*MIN(MAX(AR45,AT45)*AK45*Z45^2*1E-4/1000,N(T45))),AND(N(U45)&gt;0,ABS(MAX(AS45,AU45)*AK45*Z45^2*1E-4/1000-N(U45))&gt;0.5*MIN(MAX(AS45,AU45)*AK45*Z45^2*1E-4/1000,N(U45)))),"FUERA: difieren &gt; 50 %"&amp;IF(AND(N(T45)&gt;0,ABS(MAX(AR45,AT45)*AK45*Z45^2*1E-4/1000-N(T45))&gt;0.5*MIN(MAX(AR45,AT45)*AK45*Z45^2*1E-4/1000,N(T45)))," ‖ corto","")&amp;IF(AND(N(U45)&gt;0,ABS(MAX(AS45,AU45)*AK45*Z45^2*1E-4/1000-N(U45))&gt;0.5*MIN(MAX(AS45,AU45)*AK45*Z45^2*1E-4/1000,N(U45)))," ‖ largo",""),"CUMPLE"))))</f>
        <v/>
      </c>
      <c r="BC45" s="58" t="str">
        <f>IF(V45&lt;&gt;"SÍ","",DATOS!$C$139*100*W45)</f>
        <v/>
      </c>
      <c r="BD45" s="57" t="str">
        <f>IF(V45&lt;&gt;"SÍ","",MIN(IF(C45="VOLADO",DATOS!$C$141,DATOS!$C$140)*W45,DATOS!$C$142))</f>
        <v/>
      </c>
      <c r="BE45" s="58" t="str">
        <f>IF(V45&lt;&gt;"SÍ","",(W45-AE45-INDEX(TABLAS!$C$52:$C$58,MATCH(IF(ISNUMBER(S45),S45,DATOS!$C$138),TABLAS!$B$52:$B$58,0))/2))</f>
        <v/>
      </c>
      <c r="BF45" s="58" t="str">
        <f>IF(V45&lt;&gt;"SÍ","",IF(AX45&lt;=0,0,IF((1-2*AX45*1E5/(DATOS!$C$29*100*BE45^2*DATOS!$C$21))&lt;0,-1,IF((1-SQRT((1-2*AX45*1E5/(DATOS!$C$29*100*BE45^2*DATOS!$C$21))))*DATOS!$C$21*100*BE45/DATOS!$C$14&gt;DATOS!$C$102*100*BE45,-1,(1-SQRT((1-2*AX45*1E5/(DATOS!$C$29*100*BE45^2*DATOS!$C$21))))*DATOS!$C$21*100*BE45/DATOS!$C$14))))</f>
        <v/>
      </c>
      <c r="BG45" s="58" t="str">
        <f>IF(V45&lt;&gt;"SÍ","",IF(BF45&lt;0,-1,MAX(BF45,BC45)))</f>
        <v/>
      </c>
      <c r="BH45" s="64" t="str">
        <f>IF(V45&lt;&gt;"SÍ","",IF(AND(BG45&gt;0,FLOOR(MIN(BD45,100*INDEX(TABLAS!$D$52:$D$58,MIN(MATCH(IF(ISNUMBER(S45),S45,DATOS!$C$138),TABLAS!$B$52:$B$58,0)+0,7))/MAX(BG45,0.0001)),DATOS!$C$144)&gt;=DATOS!$C$143),INDEX(TABLAS!$B$52:$B$58,MIN(MATCH(IF(ISNUMBER(S45),S45,DATOS!$C$138),TABLAS!$B$52:$B$58,0)+0,7)),IF(AND(BG45&gt;0,FLOOR(MIN(BD45,100*INDEX(TABLAS!$D$52:$D$58,MIN(MATCH(IF(ISNUMBER(S45),S45,DATOS!$C$138),TABLAS!$B$52:$B$58,0)+1,7))/MAX(BG45,0.0001)),DATOS!$C$144)&gt;=DATOS!$C$143),INDEX(TABLAS!$B$52:$B$58,MIN(MATCH(IF(ISNUMBER(S45),S45,DATOS!$C$138),TABLAS!$B$52:$B$58,0)+1,7)),IF(AND(BG45&gt;0,FLOOR(MIN(BD45,100*INDEX(TABLAS!$D$52:$D$58,MIN(MATCH(IF(ISNUMBER(S45),S45,DATOS!$C$138),TABLAS!$B$52:$B$58,0)+2,7))/MAX(BG45,0.0001)),DATOS!$C$144)&gt;=DATOS!$C$143),INDEX(TABLAS!$B$52:$B$58,MIN(MATCH(IF(ISNUMBER(S45),S45,DATOS!$C$138),TABLAS!$B$52:$B$58,0)+2,7)),IF(AND(BG45&gt;0,FLOOR(MIN(BD45,100*INDEX(TABLAS!$D$52:$D$58,MIN(MATCH(IF(ISNUMBER(S45),S45,DATOS!$C$138),TABLAS!$B$52:$B$58,0)+3,7))/MAX(BG45,0.0001)),DATOS!$C$144)&gt;=DATOS!$C$143),INDEX(TABLAS!$B$52:$B$58,MIN(MATCH(IF(ISNUMBER(S45),S45,DATOS!$C$138),TABLAS!$B$52:$B$58,0)+3,7)),IF(AND(BG45&gt;0,FLOOR(MIN(BD45,100*INDEX(TABLAS!$D$52:$D$58,MIN(MATCH(IF(ISNUMBER(S45),S45,DATOS!$C$138),TABLAS!$B$52:$B$58,0)+4,7))/MAX(BG45,0.0001)),DATOS!$C$144)&gt;=DATOS!$C$143),INDEX(TABLAS!$B$52:$B$58,MIN(MATCH(IF(ISNUMBER(S45),S45,DATOS!$C$138),TABLAS!$B$52:$B$58,0)+4,7)),INDEX(TABLAS!$B$52:$B$58,7)))))))</f>
        <v/>
      </c>
      <c r="BI45" s="71" t="str">
        <f>IF(V45&lt;&gt;"SÍ","",IF(BG45&lt;=0,0,FLOOR(MIN(BD45,100*INDEX(TABLAS!$D$52:$D$58,MATCH(BH45,TABLAS!$B$52:$B$58,0))/BG45),DATOS!$C$144)))</f>
        <v/>
      </c>
      <c r="BJ45" s="58" t="str">
        <f>IF(V45&lt;&gt;"SÍ","",IF(BI45&lt;=0,0,INDEX(TABLAS!$D$52:$D$58,MATCH(BH45,TABLAS!$B$52:$B$58,0))*100/BI45))</f>
        <v/>
      </c>
      <c r="BK45" s="58" t="str">
        <f>IF(V45&lt;&gt;"SÍ","",W45-AE45-INDEX(TABLAS!$C$52:$C$58,MATCH(BH45,TABLAS!$B$52:$B$58,0))/2)</f>
        <v/>
      </c>
      <c r="BL45" s="56" t="str">
        <f>IF(V45&lt;&gt;"SÍ","",IF(BJ45=0,0,DATOS!$C$29*BJ45*DATOS!$C$14*(BK45-BJ45*DATOS!$C$14/(DATOS!$C$21*100)/2)/1E5))</f>
        <v/>
      </c>
      <c r="BM45" s="65" t="str">
        <f>IF(V45&lt;&gt;"SÍ","",IF(BG45&lt;0,9.99,IF(BL45&gt;0,AX45/BL45,0)))</f>
        <v/>
      </c>
      <c r="BN45" s="66" t="str">
        <f>IF(V45&lt;&gt;"SÍ","",IF(BJ45=0,"—",0.003*(BK45-(BJ45*DATOS!$C$14/(DATOS!$C$21*100)/DATOS!$C$22))/(BJ45*DATOS!$C$14/(DATOS!$C$21*100)/DATOS!$C$22)))</f>
        <v/>
      </c>
      <c r="BO45" s="58" t="str">
        <f>IF(V45&lt;&gt;"SÍ","",((W45-AF45-INDEX(TABLAS!$C$52:$C$58,MATCH(IF(ISNUMBER(S45),S45,DATOS!$C$138),TABLAS!$B$52:$B$58,0))/2)-IF(AND((W45-AF45-INDEX(TABLAS!$C$52:$C$58,MATCH(IF(ISNUMBER(S45),S45,DATOS!$C$138),TABLAS!$B$52:$B$58,0))/2)&lt;=20,DATOS!$C$65&lt;&gt;"SÍ"),2,0)))</f>
        <v/>
      </c>
      <c r="BP45" s="58" t="str">
        <f>IF(V45&lt;&gt;"SÍ","",IF(AY45&lt;=0,0,IF((1-2*AY45*1E5/(DATOS!$C$29*100*BO45^2*DATOS!$C$21))&lt;0,-1,IF((1-SQRT((1-2*AY45*1E5/(DATOS!$C$29*100*BO45^2*DATOS!$C$21))))*DATOS!$C$21*100*BO45/DATOS!$C$14&gt;DATOS!$C$102*100*BO45,-1,(1-SQRT((1-2*AY45*1E5/(DATOS!$C$29*100*BO45^2*DATOS!$C$21))))*DATOS!$C$21*100*BO45/DATOS!$C$14))))</f>
        <v/>
      </c>
      <c r="BQ45" s="58" t="str">
        <f>IF(V45&lt;&gt;"SÍ","",IF(BP45&lt;0,-1,MAX(BP45,BC45)))</f>
        <v/>
      </c>
      <c r="BR45" s="64" t="str">
        <f>IF(V45&lt;&gt;"SÍ","",IF(AND(BQ45&gt;0,FLOOR(MIN(BD45,100*INDEX(TABLAS!$D$52:$D$58,MIN(MATCH(IF(ISNUMBER(S45),S45,DATOS!$C$138),TABLAS!$B$52:$B$58,0)+0,7))/MAX(BQ45,0.0001)),DATOS!$C$144)&gt;=DATOS!$C$143),INDEX(TABLAS!$B$52:$B$58,MIN(MATCH(IF(ISNUMBER(S45),S45,DATOS!$C$138),TABLAS!$B$52:$B$58,0)+0,7)),IF(AND(BQ45&gt;0,FLOOR(MIN(BD45,100*INDEX(TABLAS!$D$52:$D$58,MIN(MATCH(IF(ISNUMBER(S45),S45,DATOS!$C$138),TABLAS!$B$52:$B$58,0)+1,7))/MAX(BQ45,0.0001)),DATOS!$C$144)&gt;=DATOS!$C$143),INDEX(TABLAS!$B$52:$B$58,MIN(MATCH(IF(ISNUMBER(S45),S45,DATOS!$C$138),TABLAS!$B$52:$B$58,0)+1,7)),IF(AND(BQ45&gt;0,FLOOR(MIN(BD45,100*INDEX(TABLAS!$D$52:$D$58,MIN(MATCH(IF(ISNUMBER(S45),S45,DATOS!$C$138),TABLAS!$B$52:$B$58,0)+2,7))/MAX(BQ45,0.0001)),DATOS!$C$144)&gt;=DATOS!$C$143),INDEX(TABLAS!$B$52:$B$58,MIN(MATCH(IF(ISNUMBER(S45),S45,DATOS!$C$138),TABLAS!$B$52:$B$58,0)+2,7)),IF(AND(BQ45&gt;0,FLOOR(MIN(BD45,100*INDEX(TABLAS!$D$52:$D$58,MIN(MATCH(IF(ISNUMBER(S45),S45,DATOS!$C$138),TABLAS!$B$52:$B$58,0)+3,7))/MAX(BQ45,0.0001)),DATOS!$C$144)&gt;=DATOS!$C$143),INDEX(TABLAS!$B$52:$B$58,MIN(MATCH(IF(ISNUMBER(S45),S45,DATOS!$C$138),TABLAS!$B$52:$B$58,0)+3,7)),IF(AND(BQ45&gt;0,FLOOR(MIN(BD45,100*INDEX(TABLAS!$D$52:$D$58,MIN(MATCH(IF(ISNUMBER(S45),S45,DATOS!$C$138),TABLAS!$B$52:$B$58,0)+4,7))/MAX(BQ45,0.0001)),DATOS!$C$144)&gt;=DATOS!$C$143),INDEX(TABLAS!$B$52:$B$58,MIN(MATCH(IF(ISNUMBER(S45),S45,DATOS!$C$138),TABLAS!$B$52:$B$58,0)+4,7)),INDEX(TABLAS!$B$52:$B$58,7)))))))</f>
        <v/>
      </c>
      <c r="BS45" s="71" t="str">
        <f>IF(V45&lt;&gt;"SÍ","",IF(BQ45&lt;=0,0,FLOOR(MIN(BD45,100*INDEX(TABLAS!$D$52:$D$58,MATCH(BR45,TABLAS!$B$52:$B$58,0))/BQ45),DATOS!$C$144)))</f>
        <v/>
      </c>
      <c r="BT45" s="58" t="str">
        <f>IF(V45&lt;&gt;"SÍ","",IF(BS45&lt;=0,0,INDEX(TABLAS!$D$52:$D$58,MATCH(BR45,TABLAS!$B$52:$B$58,0))*100/BS45))</f>
        <v/>
      </c>
      <c r="BU45" s="58" t="str">
        <f>IF(V45&lt;&gt;"SÍ","",((W45-AF45-INDEX(TABLAS!$C$52:$C$58,MATCH(BR45,TABLAS!$B$52:$B$58,0))/2)-IF(AND((W45-AF45-INDEX(TABLAS!$C$52:$C$58,MATCH(BR45,TABLAS!$B$52:$B$58,0))/2)&lt;=20,DATOS!$C$65&lt;&gt;"SÍ"),2,0)))</f>
        <v/>
      </c>
      <c r="BV45" s="56" t="str">
        <f>IF(V45&lt;&gt;"SÍ","",IF(BT45=0,0,DATOS!$C$29*BT45*DATOS!$C$14*(BU45-BT45*DATOS!$C$14/(DATOS!$C$21*100)/2)/1E5))</f>
        <v/>
      </c>
      <c r="BW45" s="65" t="str">
        <f>IF(V45&lt;&gt;"SÍ","",IF(BQ45&lt;0,9.99,IF(BV45&gt;0,AY45/BV45,0)))</f>
        <v/>
      </c>
      <c r="BX45" s="66" t="str">
        <f>IF(V45&lt;&gt;"SÍ","",IF(BT45=0,"—",0.003*(BU45-(BT45*DATOS!$C$14/(DATOS!$C$21*100)/DATOS!$C$22))/(BT45*DATOS!$C$14/(DATOS!$C$21*100)/DATOS!$C$22)))</f>
        <v/>
      </c>
      <c r="BY45" s="58" t="str">
        <f>IF(V45&lt;&gt;"SÍ","",(W45-AE45-1.5*INDEX(TABLAS!$C$52:$C$58,MATCH(IF(ISNUMBER(S45),S45,DATOS!$C$138),TABLAS!$B$52:$B$58,0))))</f>
        <v/>
      </c>
      <c r="BZ45" s="58" t="str">
        <f>IF(V45&lt;&gt;"SÍ","",IF(AZ45&lt;=0,0,IF((1-2*AZ45*1E5/(DATOS!$C$29*100*BY45^2*DATOS!$C$21))&lt;0,-1,IF((1-SQRT((1-2*AZ45*1E5/(DATOS!$C$29*100*BY45^2*DATOS!$C$21))))*DATOS!$C$21*100*BY45/DATOS!$C$14&gt;DATOS!$C$102*100*BY45,-1,(1-SQRT((1-2*AZ45*1E5/(DATOS!$C$29*100*BY45^2*DATOS!$C$21))))*DATOS!$C$21*100*BY45/DATOS!$C$14))))</f>
        <v/>
      </c>
      <c r="CA45" s="58" t="str">
        <f>IF(V45&lt;&gt;"SÍ","",IF(BZ45&lt;0,-1,MAX(BZ45,BC45)))</f>
        <v/>
      </c>
      <c r="CB45" s="64" t="str">
        <f>IF(V45&lt;&gt;"SÍ","",IF(AND(CA45&gt;0,FLOOR(MIN(BD45,100*INDEX(TABLAS!$D$52:$D$58,MIN(MATCH(IF(ISNUMBER(S45),S45,DATOS!$C$138),TABLAS!$B$52:$B$58,0)+0,7))/MAX(CA45,0.0001)),DATOS!$C$144)&gt;=DATOS!$C$143),INDEX(TABLAS!$B$52:$B$58,MIN(MATCH(IF(ISNUMBER(S45),S45,DATOS!$C$138),TABLAS!$B$52:$B$58,0)+0,7)),IF(AND(CA45&gt;0,FLOOR(MIN(BD45,100*INDEX(TABLAS!$D$52:$D$58,MIN(MATCH(IF(ISNUMBER(S45),S45,DATOS!$C$138),TABLAS!$B$52:$B$58,0)+1,7))/MAX(CA45,0.0001)),DATOS!$C$144)&gt;=DATOS!$C$143),INDEX(TABLAS!$B$52:$B$58,MIN(MATCH(IF(ISNUMBER(S45),S45,DATOS!$C$138),TABLAS!$B$52:$B$58,0)+1,7)),IF(AND(CA45&gt;0,FLOOR(MIN(BD45,100*INDEX(TABLAS!$D$52:$D$58,MIN(MATCH(IF(ISNUMBER(S45),S45,DATOS!$C$138),TABLAS!$B$52:$B$58,0)+2,7))/MAX(CA45,0.0001)),DATOS!$C$144)&gt;=DATOS!$C$143),INDEX(TABLAS!$B$52:$B$58,MIN(MATCH(IF(ISNUMBER(S45),S45,DATOS!$C$138),TABLAS!$B$52:$B$58,0)+2,7)),IF(AND(CA45&gt;0,FLOOR(MIN(BD45,100*INDEX(TABLAS!$D$52:$D$58,MIN(MATCH(IF(ISNUMBER(S45),S45,DATOS!$C$138),TABLAS!$B$52:$B$58,0)+3,7))/MAX(CA45,0.0001)),DATOS!$C$144)&gt;=DATOS!$C$143),INDEX(TABLAS!$B$52:$B$58,MIN(MATCH(IF(ISNUMBER(S45),S45,DATOS!$C$138),TABLAS!$B$52:$B$58,0)+3,7)),IF(AND(CA45&gt;0,FLOOR(MIN(BD45,100*INDEX(TABLAS!$D$52:$D$58,MIN(MATCH(IF(ISNUMBER(S45),S45,DATOS!$C$138),TABLAS!$B$52:$B$58,0)+4,7))/MAX(CA45,0.0001)),DATOS!$C$144)&gt;=DATOS!$C$143),INDEX(TABLAS!$B$52:$B$58,MIN(MATCH(IF(ISNUMBER(S45),S45,DATOS!$C$138),TABLAS!$B$52:$B$58,0)+4,7)),INDEX(TABLAS!$B$52:$B$58,7)))))))</f>
        <v/>
      </c>
      <c r="CC45" s="71" t="str">
        <f>IF(V45&lt;&gt;"SÍ","",IF(CA45&lt;=0,0,FLOOR(MIN(BD45,100*INDEX(TABLAS!$D$52:$D$58,MATCH(CB45,TABLAS!$B$52:$B$58,0))/CA45),DATOS!$C$144)))</f>
        <v/>
      </c>
      <c r="CD45" s="58" t="str">
        <f>IF(V45&lt;&gt;"SÍ","",IF(CC45&lt;=0,0,INDEX(TABLAS!$D$52:$D$58,MATCH(CB45,TABLAS!$B$52:$B$58,0))*100/CC45))</f>
        <v/>
      </c>
      <c r="CE45" s="58" t="str">
        <f>IF(V45&lt;&gt;"SÍ","",W45-AE45-INDEX(TABLAS!$C$52:$C$58,MATCH(BH45,TABLAS!$B$52:$B$58,0))-INDEX(TABLAS!$C$52:$C$58,MATCH(CB45,TABLAS!$B$52:$B$58,0))/2)</f>
        <v/>
      </c>
      <c r="CF45" s="56" t="str">
        <f>IF(V45&lt;&gt;"SÍ","",IF(CD45=0,0,DATOS!$C$29*CD45*DATOS!$C$14*(CE45-CD45*DATOS!$C$14/(DATOS!$C$21*100)/2)/1E5))</f>
        <v/>
      </c>
      <c r="CG45" s="65" t="str">
        <f>IF(V45&lt;&gt;"SÍ","",IF(CA45&lt;0,9.99,IF(CF45&gt;0,AZ45/CF45,0)))</f>
        <v/>
      </c>
      <c r="CH45" s="66" t="str">
        <f>IF(V45&lt;&gt;"SÍ","",IF(CD45=0,"—",0.003*(CE45-(CD45*DATOS!$C$14/(DATOS!$C$21*100)/DATOS!$C$22))/(CD45*DATOS!$C$14/(DATOS!$C$21*100)/DATOS!$C$22)))</f>
        <v/>
      </c>
      <c r="CI45" s="58" t="str">
        <f>IF(V45&lt;&gt;"SÍ","",((W45-AF45-1.5*INDEX(TABLAS!$C$52:$C$58,MATCH(IF(ISNUMBER(S45),S45,DATOS!$C$138),TABLAS!$B$52:$B$58,0)))-IF(AND((W45-AF45-1.5*INDEX(TABLAS!$C$52:$C$58,MATCH(IF(ISNUMBER(S45),S45,DATOS!$C$138),TABLAS!$B$52:$B$58,0)))&lt;=20,DATOS!$C$65&lt;&gt;"SÍ"),2,0)))</f>
        <v/>
      </c>
      <c r="CJ45" s="58" t="str">
        <f>IF(V45&lt;&gt;"SÍ","",IF(BA45&lt;=0,0,IF((1-2*BA45*1E5/(DATOS!$C$29*100*CI45^2*DATOS!$C$21))&lt;0,-1,IF((1-SQRT((1-2*BA45*1E5/(DATOS!$C$29*100*CI45^2*DATOS!$C$21))))*DATOS!$C$21*100*CI45/DATOS!$C$14&gt;DATOS!$C$102*100*CI45,-1,(1-SQRT((1-2*BA45*1E5/(DATOS!$C$29*100*CI45^2*DATOS!$C$21))))*DATOS!$C$21*100*CI45/DATOS!$C$14))))</f>
        <v/>
      </c>
      <c r="CK45" s="58" t="str">
        <f>IF(V45&lt;&gt;"SÍ","",IF(CJ45&lt;0,-1,MAX(CJ45,BC45)))</f>
        <v/>
      </c>
      <c r="CL45" s="64" t="str">
        <f>IF(V45&lt;&gt;"SÍ","",IF(AND(CK45&gt;0,FLOOR(MIN(BD45,100*INDEX(TABLAS!$D$52:$D$58,MIN(MATCH(IF(ISNUMBER(S45),S45,DATOS!$C$138),TABLAS!$B$52:$B$58,0)+0,7))/MAX(CK45,0.0001)),DATOS!$C$144)&gt;=DATOS!$C$143),INDEX(TABLAS!$B$52:$B$58,MIN(MATCH(IF(ISNUMBER(S45),S45,DATOS!$C$138),TABLAS!$B$52:$B$58,0)+0,7)),IF(AND(CK45&gt;0,FLOOR(MIN(BD45,100*INDEX(TABLAS!$D$52:$D$58,MIN(MATCH(IF(ISNUMBER(S45),S45,DATOS!$C$138),TABLAS!$B$52:$B$58,0)+1,7))/MAX(CK45,0.0001)),DATOS!$C$144)&gt;=DATOS!$C$143),INDEX(TABLAS!$B$52:$B$58,MIN(MATCH(IF(ISNUMBER(S45),S45,DATOS!$C$138),TABLAS!$B$52:$B$58,0)+1,7)),IF(AND(CK45&gt;0,FLOOR(MIN(BD45,100*INDEX(TABLAS!$D$52:$D$58,MIN(MATCH(IF(ISNUMBER(S45),S45,DATOS!$C$138),TABLAS!$B$52:$B$58,0)+2,7))/MAX(CK45,0.0001)),DATOS!$C$144)&gt;=DATOS!$C$143),INDEX(TABLAS!$B$52:$B$58,MIN(MATCH(IF(ISNUMBER(S45),S45,DATOS!$C$138),TABLAS!$B$52:$B$58,0)+2,7)),IF(AND(CK45&gt;0,FLOOR(MIN(BD45,100*INDEX(TABLAS!$D$52:$D$58,MIN(MATCH(IF(ISNUMBER(S45),S45,DATOS!$C$138),TABLAS!$B$52:$B$58,0)+3,7))/MAX(CK45,0.0001)),DATOS!$C$144)&gt;=DATOS!$C$143),INDEX(TABLAS!$B$52:$B$58,MIN(MATCH(IF(ISNUMBER(S45),S45,DATOS!$C$138),TABLAS!$B$52:$B$58,0)+3,7)),IF(AND(CK45&gt;0,FLOOR(MIN(BD45,100*INDEX(TABLAS!$D$52:$D$58,MIN(MATCH(IF(ISNUMBER(S45),S45,DATOS!$C$138),TABLAS!$B$52:$B$58,0)+4,7))/MAX(CK45,0.0001)),DATOS!$C$144)&gt;=DATOS!$C$143),INDEX(TABLAS!$B$52:$B$58,MIN(MATCH(IF(ISNUMBER(S45),S45,DATOS!$C$138),TABLAS!$B$52:$B$58,0)+4,7)),INDEX(TABLAS!$B$52:$B$58,7)))))))</f>
        <v/>
      </c>
      <c r="CM45" s="71" t="str">
        <f>IF(V45&lt;&gt;"SÍ","",IF(CK45&lt;=0,0,FLOOR(MIN(BD45,100*INDEX(TABLAS!$D$52:$D$58,MATCH(CL45,TABLAS!$B$52:$B$58,0))/CK45),DATOS!$C$144)))</f>
        <v/>
      </c>
      <c r="CN45" s="58" t="str">
        <f>IF(V45&lt;&gt;"SÍ","",IF(CM45&lt;=0,0,INDEX(TABLAS!$D$52:$D$58,MATCH(CL45,TABLAS!$B$52:$B$58,0))*100/CM45))</f>
        <v/>
      </c>
      <c r="CO45" s="58" t="str">
        <f>IF(V45&lt;&gt;"SÍ","",((W45-AF45-INDEX(TABLAS!$C$52:$C$58,MATCH(BR45,TABLAS!$B$52:$B$58,0))-INDEX(TABLAS!$C$52:$C$58,MATCH(CL45,TABLAS!$B$52:$B$58,0))/2)-IF(AND((W45-AF45-INDEX(TABLAS!$C$52:$C$58,MATCH(BR45,TABLAS!$B$52:$B$58,0))-INDEX(TABLAS!$C$52:$C$58,MATCH(CL45,TABLAS!$B$52:$B$58,0))/2)&lt;=20,DATOS!$C$65&lt;&gt;"SÍ"),2,0)))</f>
        <v/>
      </c>
      <c r="CP45" s="56" t="str">
        <f>IF(V45&lt;&gt;"SÍ","",IF(CN45=0,0,DATOS!$C$29*CN45*DATOS!$C$14*(CO45-CN45*DATOS!$C$14/(DATOS!$C$21*100)/2)/1E5))</f>
        <v/>
      </c>
      <c r="CQ45" s="65" t="str">
        <f>IF(V45&lt;&gt;"SÍ","",IF(CK45&lt;0,9.99,IF(CP45&gt;0,BA45/CP45,0)))</f>
        <v/>
      </c>
      <c r="CR45" s="66" t="str">
        <f>IF(V45&lt;&gt;"SÍ","",IF(CN45=0,"—",0.003*(CO45-(CN45*DATOS!$C$14/(DATOS!$C$21*100)/DATOS!$C$22))/(CN45*DATOS!$C$14/(DATOS!$C$21*100)/DATOS!$C$22)))</f>
        <v/>
      </c>
      <c r="CS45" s="56" t="str">
        <f>IF(V45&lt;&gt;"SÍ","",IF(C45="PERIMETRAL",MAX(0,(AC45/2-BU45)/100)*(0.95-0.5*AB45)*AK45*IF(AND(AL45&gt;0,AL45&lt;4),DATOS!$C$33,1)/1000,(AK45*MAX(0,AC45-BU45)/100+DATOS!$C$26*N(P45))/1000))</f>
        <v/>
      </c>
      <c r="CT45" s="66" t="str">
        <f>IF(V45&lt;&gt;"SÍ","",BT45/(100*BU45))</f>
        <v/>
      </c>
      <c r="CU45" s="56" t="str">
        <f>IF(V45&lt;&gt;"SÍ","",DATOS!$C$30*2*MIN(1,SQRT(2/(1+0.04*BU45)))*CT45^(1/3)*SQRT(DATOS!$C$13)*100*BU45/1000)</f>
        <v/>
      </c>
      <c r="CV45" s="67" t="str">
        <f>IF(V45&lt;&gt;"SÍ","",IF(CS45&lt;=CU45,"CUMPLE","NO CUMPLE: sube h"))</f>
        <v/>
      </c>
      <c r="CW45" s="58" t="str">
        <f>IF(V45&lt;&gt;"SÍ","",IF(C45="PERIMETRAL",IF(ISNUMBER(R45),R45,DATOS!$C$104),0))</f>
        <v/>
      </c>
      <c r="CX45" s="57" t="str">
        <f>IF(V45&lt;&gt;"SÍ","",IF(C45="PERIMETRAL",IF(CW45&gt;2,MAX(9,AD45*(0.8+DATOS!$C$14/14000)/(36+9*(AD45/MAX(AC45,1)))),IF(CW45&gt;0.2,MAX(13,AD45*(0.8+DATOS!$C$14/14000)/(36+5*(AD45/MAX(AC45,1))*(CW45-0.2))),MAX(13,AD45/IF(AL45&gt;0,30,33))))*IF(AND(CW45&gt;0.2,AL45&gt;0,DATOS!$C$105="NO"),1.1,1),Z45*100/DATOS!$C$145*(0.4+DATOS!$C$14/7000)))</f>
        <v/>
      </c>
      <c r="CY45" s="61" t="str">
        <f>IF(V45&lt;&gt;"SÍ","",IF(W45&gt;=CX45-0.001,"CUMPLE",IF(C45="VOLADO","NO CUMPLE","CALCULAR FLECHA")))</f>
        <v/>
      </c>
      <c r="CZ45" s="60" t="str">
        <f>IF(V45&lt;&gt;"SÍ","",IF(C45="VOLADO",MIN(FLOOR(IF(ISNUMBER(Q45),Q45,Z45)*100-DATOS!$C$63,5),CEILING(MAX(IF((0.5*(0.9*W45/100*DATOS!$C$16)*IF(ISNUMBER(Q45),Q45,Z45)+AY45/IF(ISNUMBER(Q45),Q45,Z45))^2-4*(0.5*(0.9*W45/100*DATOS!$C$16))*AY45&lt;0,IF(ISNUMBER(Q45),Q45,Z45),MIN(IF(ISNUMBER(Q45),Q45,Z45),((0.5*(0.9*W45/100*DATOS!$C$16)*IF(ISNUMBER(Q45),Q45,Z45)+AY45/IF(ISNUMBER(Q45),Q45,Z45))-SQRT((0.5*(0.9*W45/100*DATOS!$C$16)*IF(ISNUMBER(Q45),Q45,Z45)+AY45/IF(ISNUMBER(Q45),Q45,Z45))^2-4*(0.5*(0.9*W45/100*DATOS!$C$16))*AY45))/(2*(0.5*(0.9*W45/100*DATOS!$C$16)))))*100+MAX(BU45,12*INDEX(TABLAS!$C$52:$C$58,MATCH(BR45,TABLAS!$B$52:$B$58,0)),IF(ISNUMBER(Q45),Q45,Z45)*100/16),IF(OR(AF45&lt;INDEX(TABLAS!$C$52:$C$58,MATCH(BR45,TABLAS!$B$52:$B$58,0)),BS45-INDEX(TABLAS!$C$52:$C$58,MATCH(BR45,TABLAS!$B$52:$B$58,0))&lt;2*INDEX(TABLAS!$C$52:$C$58,MATCH(BR45,TABLAS!$B$52:$B$58,0))),INDEX(TABLAS!$I$52:$I$58,MATCH(BR45,TABLAS!$B$52:$B$58,0)),INDEX(TABLAS!$F$52:$F$58,MATCH(BR45,TABLAS!$B$52:$B$58,0)))),5)),IF(((4*((AV45*AK45*Z45^2*1E-4/1000)+((MAX(AR45,AT45)*AK45*Z45^2*1E-4/1000)+(IF(AND(AR45&gt;0,AT45&gt;0),MIN(AR45,AT45),MAX(AR45,AT45))*AK45*Z45^2*1E-4/1000))/2)+AY45-(IF(AND(AR45&gt;0,AT45&gt;0),MIN(AR45,AT45),MAX(AR45,AT45))*AK45*Z45^2*1E-4/1000))^2-16*((AV45*AK45*Z45^2*1E-4/1000)+((MAX(AR45,AT45)*AK45*Z45^2*1E-4/1000)+(IF(AND(AR45&gt;0,AT45&gt;0),MIN(AR45,AT45),MAX(AR45,AT45))*AK45*Z45^2*1E-4/1000))/2)*AY45)&lt;0,CEILING(AC45,5),CEILING(MAX(AC45*((4*((AV45*AK45*Z45^2*1E-4/1000)+((MAX(AR45,AT45)*AK45*Z45^2*1E-4/1000)+(IF(AND(AR45&gt;0,AT45&gt;0),MIN(AR45,AT45),MAX(AR45,AT45))*AK45*Z45^2*1E-4/1000))/2)+AY45-(IF(AND(AR45&gt;0,AT45&gt;0),MIN(AR45,AT45),MAX(AR45,AT45))*AK45*Z45^2*1E-4/1000))-SQRT(MAX(0,((4*((AV45*AK45*Z45^2*1E-4/1000)+((MAX(AR45,AT45)*AK45*Z45^2*1E-4/1000)+(IF(AND(AR45&gt;0,AT45&gt;0),MIN(AR45,AT45),MAX(AR45,AT45))*AK45*Z45^2*1E-4/1000))/2)+AY45-(IF(AND(AR45&gt;0,AT45&gt;0),MIN(AR45,AT45),MAX(AR45,AT45))*AK45*Z45^2*1E-4/1000))^2-16*((AV45*AK45*Z45^2*1E-4/1000)+((MAX(AR45,AT45)*AK45*Z45^2*1E-4/1000)+(IF(AND(AR45&gt;0,AT45&gt;0),MIN(AR45,AT45),MAX(AR45,AT45))*AK45*Z45^2*1E-4/1000))/2)*AY45))))/(8*MAX(((AV45*AK45*Z45^2*1E-4/1000)+((MAX(AR45,AT45)*AK45*Z45^2*1E-4/1000)+(IF(AND(AR45&gt;0,AT45&gt;0),MIN(AR45,AT45),MAX(AR45,AT45))*AK45*Z45^2*1E-4/1000))/2),1E-9))+MAX(BU45,12*INDEX(TABLAS!$C$52:$C$58,MATCH(BR45,TABLAS!$B$52:$B$58,0)),AC45/16),IF(OR(AF45&lt;INDEX(TABLAS!$C$52:$C$58,MATCH(BR45,TABLAS!$B$52:$B$58,0)),BS45-INDEX(TABLAS!$C$52:$C$58,MATCH(BR45,TABLAS!$B$52:$B$58,0))&lt;2*INDEX(TABLAS!$C$52:$C$58,MATCH(BR45,TABLAS!$B$52:$B$58,0))),INDEX(TABLAS!$I$52:$I$58,MATCH(BR45,TABLAS!$B$52:$B$58,0)),INDEX(TABLAS!$F$52:$F$58,MATCH(BR45,TABLAS!$B$52:$B$58,0)))),5))))</f>
        <v/>
      </c>
      <c r="DA45" s="60" t="str">
        <f>IF(V45&lt;&gt;"SÍ","",IF(C45="VOLADO",0,IF(((4*((AW45*AK45*Z45^2*1E-4/1000)+((MAX(AS45,AU45)*AK45*Z45^2*1E-4/1000)+(IF(AND(AS45&gt;0,AU45&gt;0),MIN(AS45,AU45),MAX(AS45,AU45))*AK45*Z45^2*1E-4/1000))/2)+BA45-(IF(AND(AS45&gt;0,AU45&gt;0),MIN(AS45,AU45),MAX(AS45,AU45))*AK45*Z45^2*1E-4/1000))^2-16*((AW45*AK45*Z45^2*1E-4/1000)+((MAX(AS45,AU45)*AK45*Z45^2*1E-4/1000)+(IF(AND(AS45&gt;0,AU45&gt;0),MIN(AS45,AU45),MAX(AS45,AU45))*AK45*Z45^2*1E-4/1000))/2)*BA45)&lt;0,CEILING(AD45,5),CEILING(MAX(AD45*((4*((AW45*AK45*Z45^2*1E-4/1000)+((MAX(AS45,AU45)*AK45*Z45^2*1E-4/1000)+(IF(AND(AS45&gt;0,AU45&gt;0),MIN(AS45,AU45),MAX(AS45,AU45))*AK45*Z45^2*1E-4/1000))/2)+BA45-(IF(AND(AS45&gt;0,AU45&gt;0),MIN(AS45,AU45),MAX(AS45,AU45))*AK45*Z45^2*1E-4/1000))-SQRT(MAX(0,((4*((AW45*AK45*Z45^2*1E-4/1000)+((MAX(AS45,AU45)*AK45*Z45^2*1E-4/1000)+(IF(AND(AS45&gt;0,AU45&gt;0),MIN(AS45,AU45),MAX(AS45,AU45))*AK45*Z45^2*1E-4/1000))/2)+BA45-(IF(AND(AS45&gt;0,AU45&gt;0),MIN(AS45,AU45),MAX(AS45,AU45))*AK45*Z45^2*1E-4/1000))^2-16*((AW45*AK45*Z45^2*1E-4/1000)+((MAX(AS45,AU45)*AK45*Z45^2*1E-4/1000)+(IF(AND(AS45&gt;0,AU45&gt;0),MIN(AS45,AU45),MAX(AS45,AU45))*AK45*Z45^2*1E-4/1000))/2)*BA45))))/(8*MAX(((AW45*AK45*Z45^2*1E-4/1000)+((MAX(AS45,AU45)*AK45*Z45^2*1E-4/1000)+(IF(AND(AS45&gt;0,AU45&gt;0),MIN(AS45,AU45),MAX(AS45,AU45))*AK45*Z45^2*1E-4/1000))/2),1E-9))+MAX(CO45,12*INDEX(TABLAS!$C$52:$C$58,MATCH(CL45,TABLAS!$B$52:$B$58,0)),AD45/16),IF(OR(AF45&lt;INDEX(TABLAS!$C$52:$C$58,MATCH(CL45,TABLAS!$B$52:$B$58,0)),CM45-INDEX(TABLAS!$C$52:$C$58,MATCH(CL45,TABLAS!$B$52:$B$58,0))&lt;2*INDEX(TABLAS!$C$52:$C$58,MATCH(CL45,TABLAS!$B$52:$B$58,0))),INDEX(TABLAS!$I$52:$I$58,MATCH(CL45,TABLAS!$B$52:$B$58,0)),INDEX(TABLAS!$F$52:$F$58,MATCH(CL45,TABLAS!$B$52:$B$58,0)))),5))))</f>
        <v/>
      </c>
      <c r="DB45" s="55" t="str">
        <f>IF(V45&lt;&gt;"SÍ","",IF(AND(C45="PERIMETRAL",AL45-AM45&gt;0,AT45&gt;0),"SÍ","NO"))</f>
        <v/>
      </c>
      <c r="DC45" s="55" t="str">
        <f>IF(V45&lt;&gt;"SÍ","",IF(AND(C45="PERIMETRAL",AM45&gt;0,AU45&gt;0),"SÍ","NO"))</f>
        <v/>
      </c>
      <c r="DD45" s="63" t="str">
        <f>IF(V45&lt;&gt;"SÍ","",IF(OR(C45="VOLADO",AL45=0),"—",IF(AND(AND(INDEX(TABLAS!$G$52:$G$58,MATCH(MAX(BR45,CL45),TABLAS!$B$52:$B$58,0))&lt;=(DATOS!$C$75-DATOS!$C$63),(DATOS!$C$75-DATOS!$C$63)&gt;=15),8*INDEX(TABLAS!$C$52:$C$58,MATCH(MAX(BH45,CB45,BR45,CL45),TABLAS!$B$52:$B$58,0))&lt;=DATOS!$C$76-2*DATOS!$C$63),"CUMPLE (gancho de 180°)",IF(AND(INDEX(TABLAS!$G$52:$G$58,MATCH(MAX(BR45,CL45),TABLAS!$B$52:$B$58,0))&lt;=(DATOS!$C$75-DATOS!$C$63),(DATOS!$C$75-DATOS!$C$63)&gt;=15),"NO CUMPLE: el gancho de 180° (8·d_b) no cabe en el peralte de la dala de borde","NO CUMPLE: dala de borde ≥ "&amp;TEXT(CEILING(MAX(INDEX(TABLAS!$G$52:$G$58,MATCH(MAX(BR45,CL45),TABLAS!$B$52:$B$58,0)),15)+DATOS!$C$63,5),"0")&amp;" cm de ancho"&amp;IF(8*INDEX(TABLAS!$C$52:$C$58,MATCH(MAX(BH45,CB45,BR45,CL45),TABLAS!$B$52:$B$58,0))&lt;=DATOS!$C$76-2*DATOS!$C$63,""," y más peralte para el gancho")))))</f>
        <v/>
      </c>
      <c r="DE45" s="69" t="str">
        <f>IF(V45&lt;&gt;"SÍ","",IF(BI45=0,"NO ALCANZA","No. "&amp;BH45&amp;" @ "&amp;BI45&amp;" cm"&amp;IF(C45="VOLADO"," (temperatura)","")))</f>
        <v/>
      </c>
      <c r="DF45" s="69" t="str">
        <f>IF(V45&lt;&gt;"SÍ","",IF(BS45=0,"NO ALCANZA",IF(C45="VOLADO","No. "&amp;BR45&amp;" @ "&amp;BS45&amp;" cm"&amp;" de la orilla al respaldo ("&amp;IF(CZ45&gt;=FLOOR(100*IF(ISNUMBER(Q45),Q45,Z45)-DATOS!$C$63,5),"hasta su apoyo lejano, con gancho","entran "&amp;TEXT(CZ45/100,"0.00")&amp;" m desde el paño")&amp;")","Bastones "&amp;"No. "&amp;BR45&amp;" @ "&amp;BS45&amp;" cm"&amp;", L = "&amp;TEXT(CZ45/100,"0.00")&amp;" m desde el paño")))</f>
        <v/>
      </c>
      <c r="DG45" s="69" t="str">
        <f>IF(V45&lt;&gt;"SÍ","",IF(CC45=0,"NO ALCANZA","No. "&amp;CB45&amp;" @ "&amp;CC45&amp;" cm"&amp;IF(C45="VOLADO"," (repartición)","")))</f>
        <v/>
      </c>
      <c r="DH45" s="69" t="str">
        <f>IF(V45&lt;&gt;"SÍ","",IF(CM45=0,"NO ALCANZA",IF(C45="VOLADO","No. "&amp;CL45&amp;" @ "&amp;CM45&amp;" cm"&amp;" (repartición)","Bastones "&amp;"No. "&amp;CL45&amp;" @ "&amp;CM45&amp;" cm"&amp;", L = "&amp;TEXT(DA45/100,"0.00")&amp;" m desde el paño")))</f>
        <v/>
      </c>
      <c r="DI45" s="67" t="str">
        <f>IF(B45="","",IF(V45&lt;&gt;"SÍ","FALTAN DATOS: tipo, a_x, a_y, destino y, en volados, L_b",IF(L45="NO MONOLÍTICO (caso II)","FUERA DE ALCANCE: caso II no transcrito",IF(AND(C45="VOLADO",X45="?"),"REVISAR: el volado lleva UN solo borde CONTINUO (el empotrado)",IF(AND(MAX(BM45,BW45,CG45,CQ45)&lt;=1,NOT(OR(BI45&lt;DATOS!$C$143,BS45&lt;DATOS!$C$143,CC45&lt;DATOS!$C$143,CM45&lt;DATOS!$C$143)),NOT(OR(AND(ISNUMBER(BN45),BN45&lt;0.005),AND(ISNUMBER(BX45),BX45&lt;0.005),AND(ISNUMBER(CH45),CH45&lt;0.005),AND(ISNUMBER(CR45),CR45&lt;0.005))),CV45="CUMPLE",CY45="CUMPLE"),"CUMPLE"&amp;IF(LEFT(BB45,5)="FUERA"," · fuera de 3.4.2.1 c)","")&amp;IF(LEFT(DD45,2)="NO"," · REVISAR anclaje en borde discontinuo",""),IF(AND(MAX(BM45,BW45,CG45,CQ45)&lt;=1,NOT(OR(BI45&lt;DATOS!$C$143,BS45&lt;DATOS!$C$143,CC45&lt;DATOS!$C$143,CM45&lt;DATOS!$C$143)),NOT(OR(AND(ISNUMBER(BN45),BN45&lt;0.005),AND(ISNUMBER(BX45),BX45&lt;0.005),AND(ISNUMBER(CH45),CH45&lt;0.005),AND(ISNUMBER(CR45),CR45&lt;0.005))),CV45="CUMPLE",CY45="CALCULAR FLECHA"),"REVISAR: calcular flecha (h &lt; h mín.)"&amp;IF(LEFT(BB45,5)="FUERA"," · fuera de 3.4.2.1 c)","")&amp;IF(LEFT(DD45,2)="NO"," · REVISAR anclaje en borde discontinuo",""),"NO CUMPLE: "&amp;IF(MAX(BM45,BW45,CG45,CQ45)&gt;1,"flexión ","")&amp;IF(OR(BI45&lt;DATOS!$C$143,BS45&lt;DATOS!$C$143,CC45&lt;DATOS!$C$143,CM45&lt;DATOS!$C$143),"separación &lt; mínima ","")&amp;IF(OR(AND(ISNUMBER(BN45),BN45&lt;0.005),AND(ISNUMBER(BX45),BX45&lt;0.005),AND(ISNUMBER(CH45),CH45&lt;0.005),AND(ISNUMBER(CR45),CR45&lt;0.005)),"ε_t &lt; 0.005 ","")&amp;IF(CV45&lt;&gt;"CUMPLE","cortante ","")&amp;IF(CY45="NO CUMPLE","peralte","")))))))</f>
        <v/>
      </c>
      <c r="DJ45" s="70" t="str">
        <f>IF(V45&lt;&gt;"SÍ","",IF(LEFT(B45,7)="EJEMPLO","EJEMPLO de tablero típico: bórralo o sobrescríbelo. ","")&amp;IF(C45="VOLADO","Volado de "&amp;TEXT(Z45,"0.00")&amp;" m empotrado en el borde "&amp;LOWER(X45)&amp;IF(N(P45)&gt;0,", con "&amp;TEXT(P45,"0.0")&amp;" kg/m en la orilla","")&amp;". Lecho inferior con r_ext. Si la orilla carga pretil u otro elemento frágil, calcula la flecha (13.4). El acero superior entra al respaldo de "&amp;TEXT(IF(ISNUMBER(Q45),Q45,Z45),"0.00")&amp;" m"&amp;" hasta pasar M = 0 con 0.9·PP sin carga viva; si ahí no se anula, llega al apoyo lejano y se ancla con gancho. ","")&amp;IF(AND(C45="VOLADO",(0.9*W45/100*DATOS!$C$16*IF(ISNUMBER(Q45),Q45,Z45)/2-AY45/IF(ISNUMBER(Q45),Q45,Z45))&lt;0),"Con 0.9·PP y sin carga viva el apoyo lejano del respaldo levanta (R = "&amp;TEXT(-(0.9*W45/100*DATOS!$C$16*IF(ISNUMBER(Q45),Q45,Z45)/2-AY45/IF(ISNUMBER(Q45),Q45,Z45)),"0.00")&amp;" t/m): ancla ahí el acero con gancho y revisa ese apoyo a tensión. ","")&amp;IF(LEFT(BB45,5)="FUERA","El M⁻ del vecino difiere más de 50 % (3.4.2.1 c): distribuye el desequilibrio (3.4.3.1) o confirma con un modelo; se arma con el mayor. ","")&amp;IF(OR(DB45="SÍ",DC45="SÍ"),"Bastones también en los bordes discontinuos (M⁻ de tabla), con gancho. ","")&amp;IF(LEFT(DD45,2)="NO","Anclaje: "&amp;DD45&amp;" (6.7.7.4.1.1). ","")&amp;IF(AND(C45="PERIMETRAL",AM45&gt;=1,AL45-AM45&gt;=1),"Esquinas exteriores sobre muro: refuerzo de esquina arriba y abajo en L_largo/5 (6.7.7.3.1). ",""))</f>
        <v/>
      </c>
    </row>
    <row r="46" ht="33" customHeight="1">
      <c r="A46" s="50">
        <f>IF(B46="",0,1)+A45</f>
        <v>3</v>
      </c>
      <c r="B46" s="29" t="n"/>
      <c r="C46" s="51" t="n"/>
      <c r="D46" s="29" t="n"/>
      <c r="E46" s="52" t="n"/>
      <c r="F46" s="52" t="n"/>
      <c r="G46" s="51" t="n"/>
      <c r="H46" s="51" t="n"/>
      <c r="I46" s="51" t="n"/>
      <c r="J46" s="51" t="n"/>
      <c r="K46" s="51" t="n"/>
      <c r="L46" s="51" t="n"/>
      <c r="M46" s="54" t="n"/>
      <c r="N46" s="53" t="n"/>
      <c r="O46" s="53" t="n"/>
      <c r="P46" s="54" t="n"/>
      <c r="Q46" s="52" t="n"/>
      <c r="R46" s="54" t="n"/>
      <c r="S46" s="53" t="n"/>
      <c r="T46" s="52" t="n"/>
      <c r="U46" s="52" t="n"/>
      <c r="V46" s="55" t="str">
        <f>IF(B46="","",IF(AND(OR(C46="PERIMETRAL",C46="VOLADO"),ISNUMBER(E46),ISNUMBER(F46),E46&gt;0,F46&gt;0,OR(ISNUMBER(O46),ISNUMBER(MATCH(D46,DATOS!$B$46:$B$58,0))),OR(C46&lt;&gt;"VOLADO",N(Q46)&gt;0)),"SÍ","NO"))</f>
        <v/>
      </c>
      <c r="W46" s="57" t="str">
        <f>IF(V46&lt;&gt;"SÍ","",IF(ISNUMBER(M46),M46,DATOS!$C$137))</f>
        <v/>
      </c>
      <c r="X46" s="55" t="str">
        <f>IF(V46&lt;&gt;"SÍ","",IF(C46&lt;&gt;"VOLADO","—",IF(COUNTIF(G46:J46,"CONTINUO")&lt;&gt;1,"?",IF(G46="CONTINUO","INFERIOR",IF(H46="CONTINUO","SUPERIOR",IF(I46="CONTINUO","IZQUIERDO","DERECHO"))))))</f>
        <v/>
      </c>
      <c r="Y46" s="55" t="str">
        <f>IF(V46&lt;&gt;"SÍ","",IF(C46="VOLADO",IF(OR(X46="IZQUIERDO",X46="DERECHO"),"X","Y"),IF(E46&lt;=F46,"X","Y")))</f>
        <v/>
      </c>
      <c r="Z46" s="56" t="str">
        <f>IF(V46&lt;&gt;"SÍ","",IF(C46="VOLADO",IF(Y46="X",E46,F46),MIN(E46,F46)))</f>
        <v/>
      </c>
      <c r="AA46" s="56" t="str">
        <f>IF(V46&lt;&gt;"SÍ","",IF(C46="VOLADO",IF(Y46="X",F46,E46),MAX(E46,F46)))</f>
        <v/>
      </c>
      <c r="AB46" s="56" t="str">
        <f>IF(V46&lt;&gt;"SÍ","",MIN(Z46,AA46)/MAX(Z46,AA46))</f>
        <v/>
      </c>
      <c r="AC46" s="57" t="str">
        <f>IF(V46&lt;&gt;"SÍ","",MAX(1,Z46*100-IF(C46="VOLADO",DATOS!$C$87/2,DATOS!$C$87)))</f>
        <v/>
      </c>
      <c r="AD46" s="57" t="str">
        <f>IF(V46&lt;&gt;"SÍ","",MAX(1,AA46*100-DATOS!$C$87))</f>
        <v/>
      </c>
      <c r="AE46" s="57" t="str">
        <f>IF(V46&lt;&gt;"SÍ","",IF(C46="VOLADO",DATOS!$C$64,DATOS!$C$62))</f>
        <v/>
      </c>
      <c r="AF46" s="57" t="str">
        <f>IF(V46&lt;&gt;"SÍ","",IF(OR(AND(AG46="SÍ",DATOS!$C$66="SÍ"),AND(C46="VOLADO",DATOS!$C$67="SÍ")),DATOS!$C$64,DATOS!$C$62))</f>
        <v/>
      </c>
      <c r="AG46" s="55" t="str">
        <f>IF(V46&lt;&gt;"SÍ","",IFERROR(INDEX(DATOS!$D$46:$D$58,MATCH(D46,DATOS!$B$46:$B$58,0)),"NO"))</f>
        <v/>
      </c>
      <c r="AH46" s="59" t="str">
        <f>IF(V46&lt;&gt;"SÍ","",IF(ISNUMBER(O46),O46,IFERROR(INDEX(DATOS!$C$46:$C$58,MATCH(D46,DATOS!$B$46:$B$58,0)),0)))</f>
        <v/>
      </c>
      <c r="AI46" s="59" t="str">
        <f>IF(V46&lt;&gt;"SÍ","",W46/100*DATOS!$C$16*1000+DATOS!$C$37+DATOS!$C$38)</f>
        <v/>
      </c>
      <c r="AJ46" s="59" t="str">
        <f>IF(V46&lt;&gt;"SÍ","",AI46+N(N46))</f>
        <v/>
      </c>
      <c r="AK46" s="60" t="str">
        <f>IF(V46&lt;&gt;"SÍ","",MAX(DATOS!$C$26*AJ46+DATOS!$C$27*AH46,IF(AG46="SÍ",DATOS!$C$28*(AJ46+DATOS!$C$41),0)))</f>
        <v/>
      </c>
      <c r="AL46" s="59" t="str">
        <f>IF(V46&lt;&gt;"SÍ","",(G46="DISCONTINUO")+(H46="DISCONTINUO")+(I46="DISCONTINUO")+(J46="DISCONTINUO"))</f>
        <v/>
      </c>
      <c r="AM46" s="59" t="str">
        <f>IF(V46&lt;&gt;"SÍ","",IF(Y46="X",(G46="DISCONTINUO")+(H46="DISCONTINUO"),(I46="DISCONTINUO")+(J46="DISCONTINUO")))</f>
        <v/>
      </c>
      <c r="AN46" s="55" t="str">
        <f>IF(V46&lt;&gt;"SÍ","",IF(AL46=0,"INTERIOR",IF(AL46=1,IF(AM46=1,"BORDE-CORTO","BORDE-LARGO"),IF(AL46=2,IF(AM46=1,"ESQUINA",IF(AM46=2,"EXTREMO-LARGO","EXTREMO-CORTO")),IF(AL46=3,IF(AM46=2,"EXTREMO-LARGO","EXTREMO-CORTO"),"AISLADO")))))</f>
        <v/>
      </c>
      <c r="AO46" s="61" t="str">
        <f>IF(V46&lt;&gt;"SÍ","",IF(OR(K46="",K46="AUTO"),AN46,K46))</f>
        <v/>
      </c>
      <c r="AP46" s="59" t="str">
        <f>IF(V46&lt;&gt;"SÍ","",MATCH(AB46,TABLAS!$D$5:$J$5,1))</f>
        <v/>
      </c>
      <c r="AQ46" s="58" t="str">
        <f>IF(V46&lt;&gt;"SÍ","",IF(AP46&gt;=7,0,(AB46-INDEX(TABLAS!$D$5:$J$5,AP46))/(INDEX(TABLAS!$D$5:$J$5,AP46+1)-INDEX(TABLAS!$D$5:$J$5,AP46))))</f>
        <v/>
      </c>
      <c r="AR46" s="59" t="str">
        <f>IF(V46&lt;&gt;"SÍ","",INDEX(TABLAS!$D$6:$J$47,MATCH(AO46&amp;"|NIC",TABLAS!$B$6:$B$47,0),AP46)+AQ46*(INDEX(TABLAS!$D$6:$J$47,MATCH(AO46&amp;"|NIC",TABLAS!$B$6:$B$47,0),MIN(AP46+1,7))-INDEX(TABLAS!$D$6:$J$47,MATCH(AO46&amp;"|NIC",TABLAS!$B$6:$B$47,0),AP46)))</f>
        <v/>
      </c>
      <c r="AS46" s="59" t="str">
        <f>IF(V46&lt;&gt;"SÍ","",INDEX(TABLAS!$D$6:$J$47,MATCH(AO46&amp;"|NIL",TABLAS!$B$6:$B$47,0),AP46)+AQ46*(INDEX(TABLAS!$D$6:$J$47,MATCH(AO46&amp;"|NIL",TABLAS!$B$6:$B$47,0),MIN(AP46+1,7))-INDEX(TABLAS!$D$6:$J$47,MATCH(AO46&amp;"|NIL",TABLAS!$B$6:$B$47,0),AP46)))</f>
        <v/>
      </c>
      <c r="AT46" s="59" t="str">
        <f>IF(V46&lt;&gt;"SÍ","",INDEX(TABLAS!$D$6:$J$47,MATCH(AO46&amp;"|NDC",TABLAS!$B$6:$B$47,0),AP46)+AQ46*(INDEX(TABLAS!$D$6:$J$47,MATCH(AO46&amp;"|NDC",TABLAS!$B$6:$B$47,0),MIN(AP46+1,7))-INDEX(TABLAS!$D$6:$J$47,MATCH(AO46&amp;"|NDC",TABLAS!$B$6:$B$47,0),AP46)))</f>
        <v/>
      </c>
      <c r="AU46" s="59" t="str">
        <f>IF(V46&lt;&gt;"SÍ","",INDEX(TABLAS!$D$6:$J$47,MATCH(AO46&amp;"|NDL",TABLAS!$B$6:$B$47,0),AP46)+AQ46*(INDEX(TABLAS!$D$6:$J$47,MATCH(AO46&amp;"|NDL",TABLAS!$B$6:$B$47,0),MIN(AP46+1,7))-INDEX(TABLAS!$D$6:$J$47,MATCH(AO46&amp;"|NDL",TABLAS!$B$6:$B$47,0),AP46)))</f>
        <v/>
      </c>
      <c r="AV46" s="59" t="str">
        <f>IF(V46&lt;&gt;"SÍ","",INDEX(TABLAS!$D$6:$J$47,MATCH(AO46&amp;"|PC",TABLAS!$B$6:$B$47,0),AP46)+AQ46*(INDEX(TABLAS!$D$6:$J$47,MATCH(AO46&amp;"|PC",TABLAS!$B$6:$B$47,0),MIN(AP46+1,7))-INDEX(TABLAS!$D$6:$J$47,MATCH(AO46&amp;"|PC",TABLAS!$B$6:$B$47,0),AP46)))</f>
        <v/>
      </c>
      <c r="AW46" s="59" t="str">
        <f>IF(V46&lt;&gt;"SÍ","",INDEX(TABLAS!$D$6:$J$47,MATCH(AO46&amp;"|PL",TABLAS!$B$6:$B$47,0),AP46)+AQ46*(INDEX(TABLAS!$D$6:$J$47,MATCH(AO46&amp;"|PL",TABLAS!$B$6:$B$47,0),MIN(AP46+1,7))-INDEX(TABLAS!$D$6:$J$47,MATCH(AO46&amp;"|PL",TABLAS!$B$6:$B$47,0),AP46)))</f>
        <v/>
      </c>
      <c r="AX46" s="56" t="str">
        <f>IF(V46&lt;&gt;"SÍ","",IF(C46="PERIMETRAL",AV46*AK46*Z46^2*1E-4/1000,0))</f>
        <v/>
      </c>
      <c r="AY46" s="62" t="str">
        <f>IF(V46&lt;&gt;"SÍ","",IF(C46="PERIMETRAL",MAX(MAX(AR46,AT46)*AK46*Z46^2*1E-4/1000,N(T46)),(AK46*(AC46/100)^2/2+DATOS!$C$26*N(P46)*AC46/100)/1000))</f>
        <v/>
      </c>
      <c r="AZ46" s="56" t="str">
        <f>IF(V46&lt;&gt;"SÍ","",IF(C46="PERIMETRAL",AW46*AK46*Z46^2*1E-4/1000,0))</f>
        <v/>
      </c>
      <c r="BA46" s="56" t="str">
        <f>IF(V46&lt;&gt;"SÍ","",IF(C46="PERIMETRAL",MAX(MAX(AS46,AU46)*AK46*Z46^2*1E-4/1000,N(U46)),0))</f>
        <v/>
      </c>
      <c r="BB46" s="63" t="str">
        <f>IF(V46&lt;&gt;"SÍ","",IF(C46&lt;&gt;"PERIMETRAL","—",IF(AND(N(T46)=0,N(U46)=0),"— (sin M⁻ del vecino)",IF(OR(AND(N(T46)&gt;0,ABS(MAX(AR46,AT46)*AK46*Z46^2*1E-4/1000-N(T46))&gt;0.5*MIN(MAX(AR46,AT46)*AK46*Z46^2*1E-4/1000,N(T46))),AND(N(U46)&gt;0,ABS(MAX(AS46,AU46)*AK46*Z46^2*1E-4/1000-N(U46))&gt;0.5*MIN(MAX(AS46,AU46)*AK46*Z46^2*1E-4/1000,N(U46)))),"FUERA: difieren &gt; 50 %"&amp;IF(AND(N(T46)&gt;0,ABS(MAX(AR46,AT46)*AK46*Z46^2*1E-4/1000-N(T46))&gt;0.5*MIN(MAX(AR46,AT46)*AK46*Z46^2*1E-4/1000,N(T46)))," ‖ corto","")&amp;IF(AND(N(U46)&gt;0,ABS(MAX(AS46,AU46)*AK46*Z46^2*1E-4/1000-N(U46))&gt;0.5*MIN(MAX(AS46,AU46)*AK46*Z46^2*1E-4/1000,N(U46)))," ‖ largo",""),"CUMPLE"))))</f>
        <v/>
      </c>
      <c r="BC46" s="58" t="str">
        <f>IF(V46&lt;&gt;"SÍ","",DATOS!$C$139*100*W46)</f>
        <v/>
      </c>
      <c r="BD46" s="57" t="str">
        <f>IF(V46&lt;&gt;"SÍ","",MIN(IF(C46="VOLADO",DATOS!$C$141,DATOS!$C$140)*W46,DATOS!$C$142))</f>
        <v/>
      </c>
      <c r="BE46" s="58" t="str">
        <f>IF(V46&lt;&gt;"SÍ","",(W46-AE46-INDEX(TABLAS!$C$52:$C$58,MATCH(IF(ISNUMBER(S46),S46,DATOS!$C$138),TABLAS!$B$52:$B$58,0))/2))</f>
        <v/>
      </c>
      <c r="BF46" s="58" t="str">
        <f>IF(V46&lt;&gt;"SÍ","",IF(AX46&lt;=0,0,IF((1-2*AX46*1E5/(DATOS!$C$29*100*BE46^2*DATOS!$C$21))&lt;0,-1,IF((1-SQRT((1-2*AX46*1E5/(DATOS!$C$29*100*BE46^2*DATOS!$C$21))))*DATOS!$C$21*100*BE46/DATOS!$C$14&gt;DATOS!$C$102*100*BE46,-1,(1-SQRT((1-2*AX46*1E5/(DATOS!$C$29*100*BE46^2*DATOS!$C$21))))*DATOS!$C$21*100*BE46/DATOS!$C$14))))</f>
        <v/>
      </c>
      <c r="BG46" s="58" t="str">
        <f>IF(V46&lt;&gt;"SÍ","",IF(BF46&lt;0,-1,MAX(BF46,BC46)))</f>
        <v/>
      </c>
      <c r="BH46" s="64" t="str">
        <f>IF(V46&lt;&gt;"SÍ","",IF(AND(BG46&gt;0,FLOOR(MIN(BD46,100*INDEX(TABLAS!$D$52:$D$58,MIN(MATCH(IF(ISNUMBER(S46),S46,DATOS!$C$138),TABLAS!$B$52:$B$58,0)+0,7))/MAX(BG46,0.0001)),DATOS!$C$144)&gt;=DATOS!$C$143),INDEX(TABLAS!$B$52:$B$58,MIN(MATCH(IF(ISNUMBER(S46),S46,DATOS!$C$138),TABLAS!$B$52:$B$58,0)+0,7)),IF(AND(BG46&gt;0,FLOOR(MIN(BD46,100*INDEX(TABLAS!$D$52:$D$58,MIN(MATCH(IF(ISNUMBER(S46),S46,DATOS!$C$138),TABLAS!$B$52:$B$58,0)+1,7))/MAX(BG46,0.0001)),DATOS!$C$144)&gt;=DATOS!$C$143),INDEX(TABLAS!$B$52:$B$58,MIN(MATCH(IF(ISNUMBER(S46),S46,DATOS!$C$138),TABLAS!$B$52:$B$58,0)+1,7)),IF(AND(BG46&gt;0,FLOOR(MIN(BD46,100*INDEX(TABLAS!$D$52:$D$58,MIN(MATCH(IF(ISNUMBER(S46),S46,DATOS!$C$138),TABLAS!$B$52:$B$58,0)+2,7))/MAX(BG46,0.0001)),DATOS!$C$144)&gt;=DATOS!$C$143),INDEX(TABLAS!$B$52:$B$58,MIN(MATCH(IF(ISNUMBER(S46),S46,DATOS!$C$138),TABLAS!$B$52:$B$58,0)+2,7)),IF(AND(BG46&gt;0,FLOOR(MIN(BD46,100*INDEX(TABLAS!$D$52:$D$58,MIN(MATCH(IF(ISNUMBER(S46),S46,DATOS!$C$138),TABLAS!$B$52:$B$58,0)+3,7))/MAX(BG46,0.0001)),DATOS!$C$144)&gt;=DATOS!$C$143),INDEX(TABLAS!$B$52:$B$58,MIN(MATCH(IF(ISNUMBER(S46),S46,DATOS!$C$138),TABLAS!$B$52:$B$58,0)+3,7)),IF(AND(BG46&gt;0,FLOOR(MIN(BD46,100*INDEX(TABLAS!$D$52:$D$58,MIN(MATCH(IF(ISNUMBER(S46),S46,DATOS!$C$138),TABLAS!$B$52:$B$58,0)+4,7))/MAX(BG46,0.0001)),DATOS!$C$144)&gt;=DATOS!$C$143),INDEX(TABLAS!$B$52:$B$58,MIN(MATCH(IF(ISNUMBER(S46),S46,DATOS!$C$138),TABLAS!$B$52:$B$58,0)+4,7)),INDEX(TABLAS!$B$52:$B$58,7)))))))</f>
        <v/>
      </c>
      <c r="BI46" s="71" t="str">
        <f>IF(V46&lt;&gt;"SÍ","",IF(BG46&lt;=0,0,FLOOR(MIN(BD46,100*INDEX(TABLAS!$D$52:$D$58,MATCH(BH46,TABLAS!$B$52:$B$58,0))/BG46),DATOS!$C$144)))</f>
        <v/>
      </c>
      <c r="BJ46" s="58" t="str">
        <f>IF(V46&lt;&gt;"SÍ","",IF(BI46&lt;=0,0,INDEX(TABLAS!$D$52:$D$58,MATCH(BH46,TABLAS!$B$52:$B$58,0))*100/BI46))</f>
        <v/>
      </c>
      <c r="BK46" s="58" t="str">
        <f>IF(V46&lt;&gt;"SÍ","",W46-AE46-INDEX(TABLAS!$C$52:$C$58,MATCH(BH46,TABLAS!$B$52:$B$58,0))/2)</f>
        <v/>
      </c>
      <c r="BL46" s="56" t="str">
        <f>IF(V46&lt;&gt;"SÍ","",IF(BJ46=0,0,DATOS!$C$29*BJ46*DATOS!$C$14*(BK46-BJ46*DATOS!$C$14/(DATOS!$C$21*100)/2)/1E5))</f>
        <v/>
      </c>
      <c r="BM46" s="65" t="str">
        <f>IF(V46&lt;&gt;"SÍ","",IF(BG46&lt;0,9.99,IF(BL46&gt;0,AX46/BL46,0)))</f>
        <v/>
      </c>
      <c r="BN46" s="66" t="str">
        <f>IF(V46&lt;&gt;"SÍ","",IF(BJ46=0,"—",0.003*(BK46-(BJ46*DATOS!$C$14/(DATOS!$C$21*100)/DATOS!$C$22))/(BJ46*DATOS!$C$14/(DATOS!$C$21*100)/DATOS!$C$22)))</f>
        <v/>
      </c>
      <c r="BO46" s="58" t="str">
        <f>IF(V46&lt;&gt;"SÍ","",((W46-AF46-INDEX(TABLAS!$C$52:$C$58,MATCH(IF(ISNUMBER(S46),S46,DATOS!$C$138),TABLAS!$B$52:$B$58,0))/2)-IF(AND((W46-AF46-INDEX(TABLAS!$C$52:$C$58,MATCH(IF(ISNUMBER(S46),S46,DATOS!$C$138),TABLAS!$B$52:$B$58,0))/2)&lt;=20,DATOS!$C$65&lt;&gt;"SÍ"),2,0)))</f>
        <v/>
      </c>
      <c r="BP46" s="58" t="str">
        <f>IF(V46&lt;&gt;"SÍ","",IF(AY46&lt;=0,0,IF((1-2*AY46*1E5/(DATOS!$C$29*100*BO46^2*DATOS!$C$21))&lt;0,-1,IF((1-SQRT((1-2*AY46*1E5/(DATOS!$C$29*100*BO46^2*DATOS!$C$21))))*DATOS!$C$21*100*BO46/DATOS!$C$14&gt;DATOS!$C$102*100*BO46,-1,(1-SQRT((1-2*AY46*1E5/(DATOS!$C$29*100*BO46^2*DATOS!$C$21))))*DATOS!$C$21*100*BO46/DATOS!$C$14))))</f>
        <v/>
      </c>
      <c r="BQ46" s="58" t="str">
        <f>IF(V46&lt;&gt;"SÍ","",IF(BP46&lt;0,-1,MAX(BP46,BC46)))</f>
        <v/>
      </c>
      <c r="BR46" s="64" t="str">
        <f>IF(V46&lt;&gt;"SÍ","",IF(AND(BQ46&gt;0,FLOOR(MIN(BD46,100*INDEX(TABLAS!$D$52:$D$58,MIN(MATCH(IF(ISNUMBER(S46),S46,DATOS!$C$138),TABLAS!$B$52:$B$58,0)+0,7))/MAX(BQ46,0.0001)),DATOS!$C$144)&gt;=DATOS!$C$143),INDEX(TABLAS!$B$52:$B$58,MIN(MATCH(IF(ISNUMBER(S46),S46,DATOS!$C$138),TABLAS!$B$52:$B$58,0)+0,7)),IF(AND(BQ46&gt;0,FLOOR(MIN(BD46,100*INDEX(TABLAS!$D$52:$D$58,MIN(MATCH(IF(ISNUMBER(S46),S46,DATOS!$C$138),TABLAS!$B$52:$B$58,0)+1,7))/MAX(BQ46,0.0001)),DATOS!$C$144)&gt;=DATOS!$C$143),INDEX(TABLAS!$B$52:$B$58,MIN(MATCH(IF(ISNUMBER(S46),S46,DATOS!$C$138),TABLAS!$B$52:$B$58,0)+1,7)),IF(AND(BQ46&gt;0,FLOOR(MIN(BD46,100*INDEX(TABLAS!$D$52:$D$58,MIN(MATCH(IF(ISNUMBER(S46),S46,DATOS!$C$138),TABLAS!$B$52:$B$58,0)+2,7))/MAX(BQ46,0.0001)),DATOS!$C$144)&gt;=DATOS!$C$143),INDEX(TABLAS!$B$52:$B$58,MIN(MATCH(IF(ISNUMBER(S46),S46,DATOS!$C$138),TABLAS!$B$52:$B$58,0)+2,7)),IF(AND(BQ46&gt;0,FLOOR(MIN(BD46,100*INDEX(TABLAS!$D$52:$D$58,MIN(MATCH(IF(ISNUMBER(S46),S46,DATOS!$C$138),TABLAS!$B$52:$B$58,0)+3,7))/MAX(BQ46,0.0001)),DATOS!$C$144)&gt;=DATOS!$C$143),INDEX(TABLAS!$B$52:$B$58,MIN(MATCH(IF(ISNUMBER(S46),S46,DATOS!$C$138),TABLAS!$B$52:$B$58,0)+3,7)),IF(AND(BQ46&gt;0,FLOOR(MIN(BD46,100*INDEX(TABLAS!$D$52:$D$58,MIN(MATCH(IF(ISNUMBER(S46),S46,DATOS!$C$138),TABLAS!$B$52:$B$58,0)+4,7))/MAX(BQ46,0.0001)),DATOS!$C$144)&gt;=DATOS!$C$143),INDEX(TABLAS!$B$52:$B$58,MIN(MATCH(IF(ISNUMBER(S46),S46,DATOS!$C$138),TABLAS!$B$52:$B$58,0)+4,7)),INDEX(TABLAS!$B$52:$B$58,7)))))))</f>
        <v/>
      </c>
      <c r="BS46" s="71" t="str">
        <f>IF(V46&lt;&gt;"SÍ","",IF(BQ46&lt;=0,0,FLOOR(MIN(BD46,100*INDEX(TABLAS!$D$52:$D$58,MATCH(BR46,TABLAS!$B$52:$B$58,0))/BQ46),DATOS!$C$144)))</f>
        <v/>
      </c>
      <c r="BT46" s="58" t="str">
        <f>IF(V46&lt;&gt;"SÍ","",IF(BS46&lt;=0,0,INDEX(TABLAS!$D$52:$D$58,MATCH(BR46,TABLAS!$B$52:$B$58,0))*100/BS46))</f>
        <v/>
      </c>
      <c r="BU46" s="58" t="str">
        <f>IF(V46&lt;&gt;"SÍ","",((W46-AF46-INDEX(TABLAS!$C$52:$C$58,MATCH(BR46,TABLAS!$B$52:$B$58,0))/2)-IF(AND((W46-AF46-INDEX(TABLAS!$C$52:$C$58,MATCH(BR46,TABLAS!$B$52:$B$58,0))/2)&lt;=20,DATOS!$C$65&lt;&gt;"SÍ"),2,0)))</f>
        <v/>
      </c>
      <c r="BV46" s="56" t="str">
        <f>IF(V46&lt;&gt;"SÍ","",IF(BT46=0,0,DATOS!$C$29*BT46*DATOS!$C$14*(BU46-BT46*DATOS!$C$14/(DATOS!$C$21*100)/2)/1E5))</f>
        <v/>
      </c>
      <c r="BW46" s="65" t="str">
        <f>IF(V46&lt;&gt;"SÍ","",IF(BQ46&lt;0,9.99,IF(BV46&gt;0,AY46/BV46,0)))</f>
        <v/>
      </c>
      <c r="BX46" s="66" t="str">
        <f>IF(V46&lt;&gt;"SÍ","",IF(BT46=0,"—",0.003*(BU46-(BT46*DATOS!$C$14/(DATOS!$C$21*100)/DATOS!$C$22))/(BT46*DATOS!$C$14/(DATOS!$C$21*100)/DATOS!$C$22)))</f>
        <v/>
      </c>
      <c r="BY46" s="58" t="str">
        <f>IF(V46&lt;&gt;"SÍ","",(W46-AE46-1.5*INDEX(TABLAS!$C$52:$C$58,MATCH(IF(ISNUMBER(S46),S46,DATOS!$C$138),TABLAS!$B$52:$B$58,0))))</f>
        <v/>
      </c>
      <c r="BZ46" s="58" t="str">
        <f>IF(V46&lt;&gt;"SÍ","",IF(AZ46&lt;=0,0,IF((1-2*AZ46*1E5/(DATOS!$C$29*100*BY46^2*DATOS!$C$21))&lt;0,-1,IF((1-SQRT((1-2*AZ46*1E5/(DATOS!$C$29*100*BY46^2*DATOS!$C$21))))*DATOS!$C$21*100*BY46/DATOS!$C$14&gt;DATOS!$C$102*100*BY46,-1,(1-SQRT((1-2*AZ46*1E5/(DATOS!$C$29*100*BY46^2*DATOS!$C$21))))*DATOS!$C$21*100*BY46/DATOS!$C$14))))</f>
        <v/>
      </c>
      <c r="CA46" s="58" t="str">
        <f>IF(V46&lt;&gt;"SÍ","",IF(BZ46&lt;0,-1,MAX(BZ46,BC46)))</f>
        <v/>
      </c>
      <c r="CB46" s="64" t="str">
        <f>IF(V46&lt;&gt;"SÍ","",IF(AND(CA46&gt;0,FLOOR(MIN(BD46,100*INDEX(TABLAS!$D$52:$D$58,MIN(MATCH(IF(ISNUMBER(S46),S46,DATOS!$C$138),TABLAS!$B$52:$B$58,0)+0,7))/MAX(CA46,0.0001)),DATOS!$C$144)&gt;=DATOS!$C$143),INDEX(TABLAS!$B$52:$B$58,MIN(MATCH(IF(ISNUMBER(S46),S46,DATOS!$C$138),TABLAS!$B$52:$B$58,0)+0,7)),IF(AND(CA46&gt;0,FLOOR(MIN(BD46,100*INDEX(TABLAS!$D$52:$D$58,MIN(MATCH(IF(ISNUMBER(S46),S46,DATOS!$C$138),TABLAS!$B$52:$B$58,0)+1,7))/MAX(CA46,0.0001)),DATOS!$C$144)&gt;=DATOS!$C$143),INDEX(TABLAS!$B$52:$B$58,MIN(MATCH(IF(ISNUMBER(S46),S46,DATOS!$C$138),TABLAS!$B$52:$B$58,0)+1,7)),IF(AND(CA46&gt;0,FLOOR(MIN(BD46,100*INDEX(TABLAS!$D$52:$D$58,MIN(MATCH(IF(ISNUMBER(S46),S46,DATOS!$C$138),TABLAS!$B$52:$B$58,0)+2,7))/MAX(CA46,0.0001)),DATOS!$C$144)&gt;=DATOS!$C$143),INDEX(TABLAS!$B$52:$B$58,MIN(MATCH(IF(ISNUMBER(S46),S46,DATOS!$C$138),TABLAS!$B$52:$B$58,0)+2,7)),IF(AND(CA46&gt;0,FLOOR(MIN(BD46,100*INDEX(TABLAS!$D$52:$D$58,MIN(MATCH(IF(ISNUMBER(S46),S46,DATOS!$C$138),TABLAS!$B$52:$B$58,0)+3,7))/MAX(CA46,0.0001)),DATOS!$C$144)&gt;=DATOS!$C$143),INDEX(TABLAS!$B$52:$B$58,MIN(MATCH(IF(ISNUMBER(S46),S46,DATOS!$C$138),TABLAS!$B$52:$B$58,0)+3,7)),IF(AND(CA46&gt;0,FLOOR(MIN(BD46,100*INDEX(TABLAS!$D$52:$D$58,MIN(MATCH(IF(ISNUMBER(S46),S46,DATOS!$C$138),TABLAS!$B$52:$B$58,0)+4,7))/MAX(CA46,0.0001)),DATOS!$C$144)&gt;=DATOS!$C$143),INDEX(TABLAS!$B$52:$B$58,MIN(MATCH(IF(ISNUMBER(S46),S46,DATOS!$C$138),TABLAS!$B$52:$B$58,0)+4,7)),INDEX(TABLAS!$B$52:$B$58,7)))))))</f>
        <v/>
      </c>
      <c r="CC46" s="71" t="str">
        <f>IF(V46&lt;&gt;"SÍ","",IF(CA46&lt;=0,0,FLOOR(MIN(BD46,100*INDEX(TABLAS!$D$52:$D$58,MATCH(CB46,TABLAS!$B$52:$B$58,0))/CA46),DATOS!$C$144)))</f>
        <v/>
      </c>
      <c r="CD46" s="58" t="str">
        <f>IF(V46&lt;&gt;"SÍ","",IF(CC46&lt;=0,0,INDEX(TABLAS!$D$52:$D$58,MATCH(CB46,TABLAS!$B$52:$B$58,0))*100/CC46))</f>
        <v/>
      </c>
      <c r="CE46" s="58" t="str">
        <f>IF(V46&lt;&gt;"SÍ","",W46-AE46-INDEX(TABLAS!$C$52:$C$58,MATCH(BH46,TABLAS!$B$52:$B$58,0))-INDEX(TABLAS!$C$52:$C$58,MATCH(CB46,TABLAS!$B$52:$B$58,0))/2)</f>
        <v/>
      </c>
      <c r="CF46" s="56" t="str">
        <f>IF(V46&lt;&gt;"SÍ","",IF(CD46=0,0,DATOS!$C$29*CD46*DATOS!$C$14*(CE46-CD46*DATOS!$C$14/(DATOS!$C$21*100)/2)/1E5))</f>
        <v/>
      </c>
      <c r="CG46" s="65" t="str">
        <f>IF(V46&lt;&gt;"SÍ","",IF(CA46&lt;0,9.99,IF(CF46&gt;0,AZ46/CF46,0)))</f>
        <v/>
      </c>
      <c r="CH46" s="66" t="str">
        <f>IF(V46&lt;&gt;"SÍ","",IF(CD46=0,"—",0.003*(CE46-(CD46*DATOS!$C$14/(DATOS!$C$21*100)/DATOS!$C$22))/(CD46*DATOS!$C$14/(DATOS!$C$21*100)/DATOS!$C$22)))</f>
        <v/>
      </c>
      <c r="CI46" s="58" t="str">
        <f>IF(V46&lt;&gt;"SÍ","",((W46-AF46-1.5*INDEX(TABLAS!$C$52:$C$58,MATCH(IF(ISNUMBER(S46),S46,DATOS!$C$138),TABLAS!$B$52:$B$58,0)))-IF(AND((W46-AF46-1.5*INDEX(TABLAS!$C$52:$C$58,MATCH(IF(ISNUMBER(S46),S46,DATOS!$C$138),TABLAS!$B$52:$B$58,0)))&lt;=20,DATOS!$C$65&lt;&gt;"SÍ"),2,0)))</f>
        <v/>
      </c>
      <c r="CJ46" s="58" t="str">
        <f>IF(V46&lt;&gt;"SÍ","",IF(BA46&lt;=0,0,IF((1-2*BA46*1E5/(DATOS!$C$29*100*CI46^2*DATOS!$C$21))&lt;0,-1,IF((1-SQRT((1-2*BA46*1E5/(DATOS!$C$29*100*CI46^2*DATOS!$C$21))))*DATOS!$C$21*100*CI46/DATOS!$C$14&gt;DATOS!$C$102*100*CI46,-1,(1-SQRT((1-2*BA46*1E5/(DATOS!$C$29*100*CI46^2*DATOS!$C$21))))*DATOS!$C$21*100*CI46/DATOS!$C$14))))</f>
        <v/>
      </c>
      <c r="CK46" s="58" t="str">
        <f>IF(V46&lt;&gt;"SÍ","",IF(CJ46&lt;0,-1,MAX(CJ46,BC46)))</f>
        <v/>
      </c>
      <c r="CL46" s="64" t="str">
        <f>IF(V46&lt;&gt;"SÍ","",IF(AND(CK46&gt;0,FLOOR(MIN(BD46,100*INDEX(TABLAS!$D$52:$D$58,MIN(MATCH(IF(ISNUMBER(S46),S46,DATOS!$C$138),TABLAS!$B$52:$B$58,0)+0,7))/MAX(CK46,0.0001)),DATOS!$C$144)&gt;=DATOS!$C$143),INDEX(TABLAS!$B$52:$B$58,MIN(MATCH(IF(ISNUMBER(S46),S46,DATOS!$C$138),TABLAS!$B$52:$B$58,0)+0,7)),IF(AND(CK46&gt;0,FLOOR(MIN(BD46,100*INDEX(TABLAS!$D$52:$D$58,MIN(MATCH(IF(ISNUMBER(S46),S46,DATOS!$C$138),TABLAS!$B$52:$B$58,0)+1,7))/MAX(CK46,0.0001)),DATOS!$C$144)&gt;=DATOS!$C$143),INDEX(TABLAS!$B$52:$B$58,MIN(MATCH(IF(ISNUMBER(S46),S46,DATOS!$C$138),TABLAS!$B$52:$B$58,0)+1,7)),IF(AND(CK46&gt;0,FLOOR(MIN(BD46,100*INDEX(TABLAS!$D$52:$D$58,MIN(MATCH(IF(ISNUMBER(S46),S46,DATOS!$C$138),TABLAS!$B$52:$B$58,0)+2,7))/MAX(CK46,0.0001)),DATOS!$C$144)&gt;=DATOS!$C$143),INDEX(TABLAS!$B$52:$B$58,MIN(MATCH(IF(ISNUMBER(S46),S46,DATOS!$C$138),TABLAS!$B$52:$B$58,0)+2,7)),IF(AND(CK46&gt;0,FLOOR(MIN(BD46,100*INDEX(TABLAS!$D$52:$D$58,MIN(MATCH(IF(ISNUMBER(S46),S46,DATOS!$C$138),TABLAS!$B$52:$B$58,0)+3,7))/MAX(CK46,0.0001)),DATOS!$C$144)&gt;=DATOS!$C$143),INDEX(TABLAS!$B$52:$B$58,MIN(MATCH(IF(ISNUMBER(S46),S46,DATOS!$C$138),TABLAS!$B$52:$B$58,0)+3,7)),IF(AND(CK46&gt;0,FLOOR(MIN(BD46,100*INDEX(TABLAS!$D$52:$D$58,MIN(MATCH(IF(ISNUMBER(S46),S46,DATOS!$C$138),TABLAS!$B$52:$B$58,0)+4,7))/MAX(CK46,0.0001)),DATOS!$C$144)&gt;=DATOS!$C$143),INDEX(TABLAS!$B$52:$B$58,MIN(MATCH(IF(ISNUMBER(S46),S46,DATOS!$C$138),TABLAS!$B$52:$B$58,0)+4,7)),INDEX(TABLAS!$B$52:$B$58,7)))))))</f>
        <v/>
      </c>
      <c r="CM46" s="71" t="str">
        <f>IF(V46&lt;&gt;"SÍ","",IF(CK46&lt;=0,0,FLOOR(MIN(BD46,100*INDEX(TABLAS!$D$52:$D$58,MATCH(CL46,TABLAS!$B$52:$B$58,0))/CK46),DATOS!$C$144)))</f>
        <v/>
      </c>
      <c r="CN46" s="58" t="str">
        <f>IF(V46&lt;&gt;"SÍ","",IF(CM46&lt;=0,0,INDEX(TABLAS!$D$52:$D$58,MATCH(CL46,TABLAS!$B$52:$B$58,0))*100/CM46))</f>
        <v/>
      </c>
      <c r="CO46" s="58" t="str">
        <f>IF(V46&lt;&gt;"SÍ","",((W46-AF46-INDEX(TABLAS!$C$52:$C$58,MATCH(BR46,TABLAS!$B$52:$B$58,0))-INDEX(TABLAS!$C$52:$C$58,MATCH(CL46,TABLAS!$B$52:$B$58,0))/2)-IF(AND((W46-AF46-INDEX(TABLAS!$C$52:$C$58,MATCH(BR46,TABLAS!$B$52:$B$58,0))-INDEX(TABLAS!$C$52:$C$58,MATCH(CL46,TABLAS!$B$52:$B$58,0))/2)&lt;=20,DATOS!$C$65&lt;&gt;"SÍ"),2,0)))</f>
        <v/>
      </c>
      <c r="CP46" s="56" t="str">
        <f>IF(V46&lt;&gt;"SÍ","",IF(CN46=0,0,DATOS!$C$29*CN46*DATOS!$C$14*(CO46-CN46*DATOS!$C$14/(DATOS!$C$21*100)/2)/1E5))</f>
        <v/>
      </c>
      <c r="CQ46" s="65" t="str">
        <f>IF(V46&lt;&gt;"SÍ","",IF(CK46&lt;0,9.99,IF(CP46&gt;0,BA46/CP46,0)))</f>
        <v/>
      </c>
      <c r="CR46" s="66" t="str">
        <f>IF(V46&lt;&gt;"SÍ","",IF(CN46=0,"—",0.003*(CO46-(CN46*DATOS!$C$14/(DATOS!$C$21*100)/DATOS!$C$22))/(CN46*DATOS!$C$14/(DATOS!$C$21*100)/DATOS!$C$22)))</f>
        <v/>
      </c>
      <c r="CS46" s="56" t="str">
        <f>IF(V46&lt;&gt;"SÍ","",IF(C46="PERIMETRAL",MAX(0,(AC46/2-BU46)/100)*(0.95-0.5*AB46)*AK46*IF(AND(AL46&gt;0,AL46&lt;4),DATOS!$C$33,1)/1000,(AK46*MAX(0,AC46-BU46)/100+DATOS!$C$26*N(P46))/1000))</f>
        <v/>
      </c>
      <c r="CT46" s="66" t="str">
        <f>IF(V46&lt;&gt;"SÍ","",BT46/(100*BU46))</f>
        <v/>
      </c>
      <c r="CU46" s="56" t="str">
        <f>IF(V46&lt;&gt;"SÍ","",DATOS!$C$30*2*MIN(1,SQRT(2/(1+0.04*BU46)))*CT46^(1/3)*SQRT(DATOS!$C$13)*100*BU46/1000)</f>
        <v/>
      </c>
      <c r="CV46" s="67" t="str">
        <f>IF(V46&lt;&gt;"SÍ","",IF(CS46&lt;=CU46,"CUMPLE","NO CUMPLE: sube h"))</f>
        <v/>
      </c>
      <c r="CW46" s="58" t="str">
        <f>IF(V46&lt;&gt;"SÍ","",IF(C46="PERIMETRAL",IF(ISNUMBER(R46),R46,DATOS!$C$104),0))</f>
        <v/>
      </c>
      <c r="CX46" s="57" t="str">
        <f>IF(V46&lt;&gt;"SÍ","",IF(C46="PERIMETRAL",IF(CW46&gt;2,MAX(9,AD46*(0.8+DATOS!$C$14/14000)/(36+9*(AD46/MAX(AC46,1)))),IF(CW46&gt;0.2,MAX(13,AD46*(0.8+DATOS!$C$14/14000)/(36+5*(AD46/MAX(AC46,1))*(CW46-0.2))),MAX(13,AD46/IF(AL46&gt;0,30,33))))*IF(AND(CW46&gt;0.2,AL46&gt;0,DATOS!$C$105="NO"),1.1,1),Z46*100/DATOS!$C$145*(0.4+DATOS!$C$14/7000)))</f>
        <v/>
      </c>
      <c r="CY46" s="61" t="str">
        <f>IF(V46&lt;&gt;"SÍ","",IF(W46&gt;=CX46-0.001,"CUMPLE",IF(C46="VOLADO","NO CUMPLE","CALCULAR FLECHA")))</f>
        <v/>
      </c>
      <c r="CZ46" s="60" t="str">
        <f>IF(V46&lt;&gt;"SÍ","",IF(C46="VOLADO",MIN(FLOOR(IF(ISNUMBER(Q46),Q46,Z46)*100-DATOS!$C$63,5),CEILING(MAX(IF((0.5*(0.9*W46/100*DATOS!$C$16)*IF(ISNUMBER(Q46),Q46,Z46)+AY46/IF(ISNUMBER(Q46),Q46,Z46))^2-4*(0.5*(0.9*W46/100*DATOS!$C$16))*AY46&lt;0,IF(ISNUMBER(Q46),Q46,Z46),MIN(IF(ISNUMBER(Q46),Q46,Z46),((0.5*(0.9*W46/100*DATOS!$C$16)*IF(ISNUMBER(Q46),Q46,Z46)+AY46/IF(ISNUMBER(Q46),Q46,Z46))-SQRT((0.5*(0.9*W46/100*DATOS!$C$16)*IF(ISNUMBER(Q46),Q46,Z46)+AY46/IF(ISNUMBER(Q46),Q46,Z46))^2-4*(0.5*(0.9*W46/100*DATOS!$C$16))*AY46))/(2*(0.5*(0.9*W46/100*DATOS!$C$16)))))*100+MAX(BU46,12*INDEX(TABLAS!$C$52:$C$58,MATCH(BR46,TABLAS!$B$52:$B$58,0)),IF(ISNUMBER(Q46),Q46,Z46)*100/16),IF(OR(AF46&lt;INDEX(TABLAS!$C$52:$C$58,MATCH(BR46,TABLAS!$B$52:$B$58,0)),BS46-INDEX(TABLAS!$C$52:$C$58,MATCH(BR46,TABLAS!$B$52:$B$58,0))&lt;2*INDEX(TABLAS!$C$52:$C$58,MATCH(BR46,TABLAS!$B$52:$B$58,0))),INDEX(TABLAS!$I$52:$I$58,MATCH(BR46,TABLAS!$B$52:$B$58,0)),INDEX(TABLAS!$F$52:$F$58,MATCH(BR46,TABLAS!$B$52:$B$58,0)))),5)),IF(((4*((AV46*AK46*Z46^2*1E-4/1000)+((MAX(AR46,AT46)*AK46*Z46^2*1E-4/1000)+(IF(AND(AR46&gt;0,AT46&gt;0),MIN(AR46,AT46),MAX(AR46,AT46))*AK46*Z46^2*1E-4/1000))/2)+AY46-(IF(AND(AR46&gt;0,AT46&gt;0),MIN(AR46,AT46),MAX(AR46,AT46))*AK46*Z46^2*1E-4/1000))^2-16*((AV46*AK46*Z46^2*1E-4/1000)+((MAX(AR46,AT46)*AK46*Z46^2*1E-4/1000)+(IF(AND(AR46&gt;0,AT46&gt;0),MIN(AR46,AT46),MAX(AR46,AT46))*AK46*Z46^2*1E-4/1000))/2)*AY46)&lt;0,CEILING(AC46,5),CEILING(MAX(AC46*((4*((AV46*AK46*Z46^2*1E-4/1000)+((MAX(AR46,AT46)*AK46*Z46^2*1E-4/1000)+(IF(AND(AR46&gt;0,AT46&gt;0),MIN(AR46,AT46),MAX(AR46,AT46))*AK46*Z46^2*1E-4/1000))/2)+AY46-(IF(AND(AR46&gt;0,AT46&gt;0),MIN(AR46,AT46),MAX(AR46,AT46))*AK46*Z46^2*1E-4/1000))-SQRT(MAX(0,((4*((AV46*AK46*Z46^2*1E-4/1000)+((MAX(AR46,AT46)*AK46*Z46^2*1E-4/1000)+(IF(AND(AR46&gt;0,AT46&gt;0),MIN(AR46,AT46),MAX(AR46,AT46))*AK46*Z46^2*1E-4/1000))/2)+AY46-(IF(AND(AR46&gt;0,AT46&gt;0),MIN(AR46,AT46),MAX(AR46,AT46))*AK46*Z46^2*1E-4/1000))^2-16*((AV46*AK46*Z46^2*1E-4/1000)+((MAX(AR46,AT46)*AK46*Z46^2*1E-4/1000)+(IF(AND(AR46&gt;0,AT46&gt;0),MIN(AR46,AT46),MAX(AR46,AT46))*AK46*Z46^2*1E-4/1000))/2)*AY46))))/(8*MAX(((AV46*AK46*Z46^2*1E-4/1000)+((MAX(AR46,AT46)*AK46*Z46^2*1E-4/1000)+(IF(AND(AR46&gt;0,AT46&gt;0),MIN(AR46,AT46),MAX(AR46,AT46))*AK46*Z46^2*1E-4/1000))/2),1E-9))+MAX(BU46,12*INDEX(TABLAS!$C$52:$C$58,MATCH(BR46,TABLAS!$B$52:$B$58,0)),AC46/16),IF(OR(AF46&lt;INDEX(TABLAS!$C$52:$C$58,MATCH(BR46,TABLAS!$B$52:$B$58,0)),BS46-INDEX(TABLAS!$C$52:$C$58,MATCH(BR46,TABLAS!$B$52:$B$58,0))&lt;2*INDEX(TABLAS!$C$52:$C$58,MATCH(BR46,TABLAS!$B$52:$B$58,0))),INDEX(TABLAS!$I$52:$I$58,MATCH(BR46,TABLAS!$B$52:$B$58,0)),INDEX(TABLAS!$F$52:$F$58,MATCH(BR46,TABLAS!$B$52:$B$58,0)))),5))))</f>
        <v/>
      </c>
      <c r="DA46" s="60" t="str">
        <f>IF(V46&lt;&gt;"SÍ","",IF(C46="VOLADO",0,IF(((4*((AW46*AK46*Z46^2*1E-4/1000)+((MAX(AS46,AU46)*AK46*Z46^2*1E-4/1000)+(IF(AND(AS46&gt;0,AU46&gt;0),MIN(AS46,AU46),MAX(AS46,AU46))*AK46*Z46^2*1E-4/1000))/2)+BA46-(IF(AND(AS46&gt;0,AU46&gt;0),MIN(AS46,AU46),MAX(AS46,AU46))*AK46*Z46^2*1E-4/1000))^2-16*((AW46*AK46*Z46^2*1E-4/1000)+((MAX(AS46,AU46)*AK46*Z46^2*1E-4/1000)+(IF(AND(AS46&gt;0,AU46&gt;0),MIN(AS46,AU46),MAX(AS46,AU46))*AK46*Z46^2*1E-4/1000))/2)*BA46)&lt;0,CEILING(AD46,5),CEILING(MAX(AD46*((4*((AW46*AK46*Z46^2*1E-4/1000)+((MAX(AS46,AU46)*AK46*Z46^2*1E-4/1000)+(IF(AND(AS46&gt;0,AU46&gt;0),MIN(AS46,AU46),MAX(AS46,AU46))*AK46*Z46^2*1E-4/1000))/2)+BA46-(IF(AND(AS46&gt;0,AU46&gt;0),MIN(AS46,AU46),MAX(AS46,AU46))*AK46*Z46^2*1E-4/1000))-SQRT(MAX(0,((4*((AW46*AK46*Z46^2*1E-4/1000)+((MAX(AS46,AU46)*AK46*Z46^2*1E-4/1000)+(IF(AND(AS46&gt;0,AU46&gt;0),MIN(AS46,AU46),MAX(AS46,AU46))*AK46*Z46^2*1E-4/1000))/2)+BA46-(IF(AND(AS46&gt;0,AU46&gt;0),MIN(AS46,AU46),MAX(AS46,AU46))*AK46*Z46^2*1E-4/1000))^2-16*((AW46*AK46*Z46^2*1E-4/1000)+((MAX(AS46,AU46)*AK46*Z46^2*1E-4/1000)+(IF(AND(AS46&gt;0,AU46&gt;0),MIN(AS46,AU46),MAX(AS46,AU46))*AK46*Z46^2*1E-4/1000))/2)*BA46))))/(8*MAX(((AW46*AK46*Z46^2*1E-4/1000)+((MAX(AS46,AU46)*AK46*Z46^2*1E-4/1000)+(IF(AND(AS46&gt;0,AU46&gt;0),MIN(AS46,AU46),MAX(AS46,AU46))*AK46*Z46^2*1E-4/1000))/2),1E-9))+MAX(CO46,12*INDEX(TABLAS!$C$52:$C$58,MATCH(CL46,TABLAS!$B$52:$B$58,0)),AD46/16),IF(OR(AF46&lt;INDEX(TABLAS!$C$52:$C$58,MATCH(CL46,TABLAS!$B$52:$B$58,0)),CM46-INDEX(TABLAS!$C$52:$C$58,MATCH(CL46,TABLAS!$B$52:$B$58,0))&lt;2*INDEX(TABLAS!$C$52:$C$58,MATCH(CL46,TABLAS!$B$52:$B$58,0))),INDEX(TABLAS!$I$52:$I$58,MATCH(CL46,TABLAS!$B$52:$B$58,0)),INDEX(TABLAS!$F$52:$F$58,MATCH(CL46,TABLAS!$B$52:$B$58,0)))),5))))</f>
        <v/>
      </c>
      <c r="DB46" s="55" t="str">
        <f>IF(V46&lt;&gt;"SÍ","",IF(AND(C46="PERIMETRAL",AL46-AM46&gt;0,AT46&gt;0),"SÍ","NO"))</f>
        <v/>
      </c>
      <c r="DC46" s="55" t="str">
        <f>IF(V46&lt;&gt;"SÍ","",IF(AND(C46="PERIMETRAL",AM46&gt;0,AU46&gt;0),"SÍ","NO"))</f>
        <v/>
      </c>
      <c r="DD46" s="63" t="str">
        <f>IF(V46&lt;&gt;"SÍ","",IF(OR(C46="VOLADO",AL46=0),"—",IF(AND(AND(INDEX(TABLAS!$G$52:$G$58,MATCH(MAX(BR46,CL46),TABLAS!$B$52:$B$58,0))&lt;=(DATOS!$C$75-DATOS!$C$63),(DATOS!$C$75-DATOS!$C$63)&gt;=15),8*INDEX(TABLAS!$C$52:$C$58,MATCH(MAX(BH46,CB46,BR46,CL46),TABLAS!$B$52:$B$58,0))&lt;=DATOS!$C$76-2*DATOS!$C$63),"CUMPLE (gancho de 180°)",IF(AND(INDEX(TABLAS!$G$52:$G$58,MATCH(MAX(BR46,CL46),TABLAS!$B$52:$B$58,0))&lt;=(DATOS!$C$75-DATOS!$C$63),(DATOS!$C$75-DATOS!$C$63)&gt;=15),"NO CUMPLE: el gancho de 180° (8·d_b) no cabe en el peralte de la dala de borde","NO CUMPLE: dala de borde ≥ "&amp;TEXT(CEILING(MAX(INDEX(TABLAS!$G$52:$G$58,MATCH(MAX(BR46,CL46),TABLAS!$B$52:$B$58,0)),15)+DATOS!$C$63,5),"0")&amp;" cm de ancho"&amp;IF(8*INDEX(TABLAS!$C$52:$C$58,MATCH(MAX(BH46,CB46,BR46,CL46),TABLAS!$B$52:$B$58,0))&lt;=DATOS!$C$76-2*DATOS!$C$63,""," y más peralte para el gancho")))))</f>
        <v/>
      </c>
      <c r="DE46" s="69" t="str">
        <f>IF(V46&lt;&gt;"SÍ","",IF(BI46=0,"NO ALCANZA","No. "&amp;BH46&amp;" @ "&amp;BI46&amp;" cm"&amp;IF(C46="VOLADO"," (temperatura)","")))</f>
        <v/>
      </c>
      <c r="DF46" s="69" t="str">
        <f>IF(V46&lt;&gt;"SÍ","",IF(BS46=0,"NO ALCANZA",IF(C46="VOLADO","No. "&amp;BR46&amp;" @ "&amp;BS46&amp;" cm"&amp;" de la orilla al respaldo ("&amp;IF(CZ46&gt;=FLOOR(100*IF(ISNUMBER(Q46),Q46,Z46)-DATOS!$C$63,5),"hasta su apoyo lejano, con gancho","entran "&amp;TEXT(CZ46/100,"0.00")&amp;" m desde el paño")&amp;")","Bastones "&amp;"No. "&amp;BR46&amp;" @ "&amp;BS46&amp;" cm"&amp;", L = "&amp;TEXT(CZ46/100,"0.00")&amp;" m desde el paño")))</f>
        <v/>
      </c>
      <c r="DG46" s="69" t="str">
        <f>IF(V46&lt;&gt;"SÍ","",IF(CC46=0,"NO ALCANZA","No. "&amp;CB46&amp;" @ "&amp;CC46&amp;" cm"&amp;IF(C46="VOLADO"," (repartición)","")))</f>
        <v/>
      </c>
      <c r="DH46" s="69" t="str">
        <f>IF(V46&lt;&gt;"SÍ","",IF(CM46=0,"NO ALCANZA",IF(C46="VOLADO","No. "&amp;CL46&amp;" @ "&amp;CM46&amp;" cm"&amp;" (repartición)","Bastones "&amp;"No. "&amp;CL46&amp;" @ "&amp;CM46&amp;" cm"&amp;", L = "&amp;TEXT(DA46/100,"0.00")&amp;" m desde el paño")))</f>
        <v/>
      </c>
      <c r="DI46" s="67" t="str">
        <f>IF(B46="","",IF(V46&lt;&gt;"SÍ","FALTAN DATOS: tipo, a_x, a_y, destino y, en volados, L_b",IF(L46="NO MONOLÍTICO (caso II)","FUERA DE ALCANCE: caso II no transcrito",IF(AND(C46="VOLADO",X46="?"),"REVISAR: el volado lleva UN solo borde CONTINUO (el empotrado)",IF(AND(MAX(BM46,BW46,CG46,CQ46)&lt;=1,NOT(OR(BI46&lt;DATOS!$C$143,BS46&lt;DATOS!$C$143,CC46&lt;DATOS!$C$143,CM46&lt;DATOS!$C$143)),NOT(OR(AND(ISNUMBER(BN46),BN46&lt;0.005),AND(ISNUMBER(BX46),BX46&lt;0.005),AND(ISNUMBER(CH46),CH46&lt;0.005),AND(ISNUMBER(CR46),CR46&lt;0.005))),CV46="CUMPLE",CY46="CUMPLE"),"CUMPLE"&amp;IF(LEFT(BB46,5)="FUERA"," · fuera de 3.4.2.1 c)","")&amp;IF(LEFT(DD46,2)="NO"," · REVISAR anclaje en borde discontinuo",""),IF(AND(MAX(BM46,BW46,CG46,CQ46)&lt;=1,NOT(OR(BI46&lt;DATOS!$C$143,BS46&lt;DATOS!$C$143,CC46&lt;DATOS!$C$143,CM46&lt;DATOS!$C$143)),NOT(OR(AND(ISNUMBER(BN46),BN46&lt;0.005),AND(ISNUMBER(BX46),BX46&lt;0.005),AND(ISNUMBER(CH46),CH46&lt;0.005),AND(ISNUMBER(CR46),CR46&lt;0.005))),CV46="CUMPLE",CY46="CALCULAR FLECHA"),"REVISAR: calcular flecha (h &lt; h mín.)"&amp;IF(LEFT(BB46,5)="FUERA"," · fuera de 3.4.2.1 c)","")&amp;IF(LEFT(DD46,2)="NO"," · REVISAR anclaje en borde discontinuo",""),"NO CUMPLE: "&amp;IF(MAX(BM46,BW46,CG46,CQ46)&gt;1,"flexión ","")&amp;IF(OR(BI46&lt;DATOS!$C$143,BS46&lt;DATOS!$C$143,CC46&lt;DATOS!$C$143,CM46&lt;DATOS!$C$143),"separación &lt; mínima ","")&amp;IF(OR(AND(ISNUMBER(BN46),BN46&lt;0.005),AND(ISNUMBER(BX46),BX46&lt;0.005),AND(ISNUMBER(CH46),CH46&lt;0.005),AND(ISNUMBER(CR46),CR46&lt;0.005)),"ε_t &lt; 0.005 ","")&amp;IF(CV46&lt;&gt;"CUMPLE","cortante ","")&amp;IF(CY46="NO CUMPLE","peralte","")))))))</f>
        <v/>
      </c>
      <c r="DJ46" s="70" t="str">
        <f>IF(V46&lt;&gt;"SÍ","",IF(LEFT(B46,7)="EJEMPLO","EJEMPLO de tablero típico: bórralo o sobrescríbelo. ","")&amp;IF(C46="VOLADO","Volado de "&amp;TEXT(Z46,"0.00")&amp;" m empotrado en el borde "&amp;LOWER(X46)&amp;IF(N(P46)&gt;0,", con "&amp;TEXT(P46,"0.0")&amp;" kg/m en la orilla","")&amp;". Lecho inferior con r_ext. Si la orilla carga pretil u otro elemento frágil, calcula la flecha (13.4). El acero superior entra al respaldo de "&amp;TEXT(IF(ISNUMBER(Q46),Q46,Z46),"0.00")&amp;" m"&amp;" hasta pasar M = 0 con 0.9·PP sin carga viva; si ahí no se anula, llega al apoyo lejano y se ancla con gancho. ","")&amp;IF(AND(C46="VOLADO",(0.9*W46/100*DATOS!$C$16*IF(ISNUMBER(Q46),Q46,Z46)/2-AY46/IF(ISNUMBER(Q46),Q46,Z46))&lt;0),"Con 0.9·PP y sin carga viva el apoyo lejano del respaldo levanta (R = "&amp;TEXT(-(0.9*W46/100*DATOS!$C$16*IF(ISNUMBER(Q46),Q46,Z46)/2-AY46/IF(ISNUMBER(Q46),Q46,Z46)),"0.00")&amp;" t/m): ancla ahí el acero con gancho y revisa ese apoyo a tensión. ","")&amp;IF(LEFT(BB46,5)="FUERA","El M⁻ del vecino difiere más de 50 % (3.4.2.1 c): distribuye el desequilibrio (3.4.3.1) o confirma con un modelo; se arma con el mayor. ","")&amp;IF(OR(DB46="SÍ",DC46="SÍ"),"Bastones también en los bordes discontinuos (M⁻ de tabla), con gancho. ","")&amp;IF(LEFT(DD46,2)="NO","Anclaje: "&amp;DD46&amp;" (6.7.7.4.1.1). ","")&amp;IF(AND(C46="PERIMETRAL",AM46&gt;=1,AL46-AM46&gt;=1),"Esquinas exteriores sobre muro: refuerzo de esquina arriba y abajo en L_largo/5 (6.7.7.3.1). ",""))</f>
        <v/>
      </c>
    </row>
    <row r="47" ht="33" customHeight="1">
      <c r="A47" s="50">
        <f>IF(B47="",0,1)+A46</f>
        <v>3</v>
      </c>
      <c r="B47" s="29" t="n"/>
      <c r="C47" s="51" t="n"/>
      <c r="D47" s="29" t="n"/>
      <c r="E47" s="52" t="n"/>
      <c r="F47" s="52" t="n"/>
      <c r="G47" s="51" t="n"/>
      <c r="H47" s="51" t="n"/>
      <c r="I47" s="51" t="n"/>
      <c r="J47" s="51" t="n"/>
      <c r="K47" s="51" t="n"/>
      <c r="L47" s="51" t="n"/>
      <c r="M47" s="54" t="n"/>
      <c r="N47" s="53" t="n"/>
      <c r="O47" s="53" t="n"/>
      <c r="P47" s="54" t="n"/>
      <c r="Q47" s="52" t="n"/>
      <c r="R47" s="54" t="n"/>
      <c r="S47" s="53" t="n"/>
      <c r="T47" s="52" t="n"/>
      <c r="U47" s="52" t="n"/>
      <c r="V47" s="55" t="str">
        <f>IF(B47="","",IF(AND(OR(C47="PERIMETRAL",C47="VOLADO"),ISNUMBER(E47),ISNUMBER(F47),E47&gt;0,F47&gt;0,OR(ISNUMBER(O47),ISNUMBER(MATCH(D47,DATOS!$B$46:$B$58,0))),OR(C47&lt;&gt;"VOLADO",N(Q47)&gt;0)),"SÍ","NO"))</f>
        <v/>
      </c>
      <c r="W47" s="57" t="str">
        <f>IF(V47&lt;&gt;"SÍ","",IF(ISNUMBER(M47),M47,DATOS!$C$137))</f>
        <v/>
      </c>
      <c r="X47" s="55" t="str">
        <f>IF(V47&lt;&gt;"SÍ","",IF(C47&lt;&gt;"VOLADO","—",IF(COUNTIF(G47:J47,"CONTINUO")&lt;&gt;1,"?",IF(G47="CONTINUO","INFERIOR",IF(H47="CONTINUO","SUPERIOR",IF(I47="CONTINUO","IZQUIERDO","DERECHO"))))))</f>
        <v/>
      </c>
      <c r="Y47" s="55" t="str">
        <f>IF(V47&lt;&gt;"SÍ","",IF(C47="VOLADO",IF(OR(X47="IZQUIERDO",X47="DERECHO"),"X","Y"),IF(E47&lt;=F47,"X","Y")))</f>
        <v/>
      </c>
      <c r="Z47" s="56" t="str">
        <f>IF(V47&lt;&gt;"SÍ","",IF(C47="VOLADO",IF(Y47="X",E47,F47),MIN(E47,F47)))</f>
        <v/>
      </c>
      <c r="AA47" s="56" t="str">
        <f>IF(V47&lt;&gt;"SÍ","",IF(C47="VOLADO",IF(Y47="X",F47,E47),MAX(E47,F47)))</f>
        <v/>
      </c>
      <c r="AB47" s="56" t="str">
        <f>IF(V47&lt;&gt;"SÍ","",MIN(Z47,AA47)/MAX(Z47,AA47))</f>
        <v/>
      </c>
      <c r="AC47" s="57" t="str">
        <f>IF(V47&lt;&gt;"SÍ","",MAX(1,Z47*100-IF(C47="VOLADO",DATOS!$C$87/2,DATOS!$C$87)))</f>
        <v/>
      </c>
      <c r="AD47" s="57" t="str">
        <f>IF(V47&lt;&gt;"SÍ","",MAX(1,AA47*100-DATOS!$C$87))</f>
        <v/>
      </c>
      <c r="AE47" s="57" t="str">
        <f>IF(V47&lt;&gt;"SÍ","",IF(C47="VOLADO",DATOS!$C$64,DATOS!$C$62))</f>
        <v/>
      </c>
      <c r="AF47" s="57" t="str">
        <f>IF(V47&lt;&gt;"SÍ","",IF(OR(AND(AG47="SÍ",DATOS!$C$66="SÍ"),AND(C47="VOLADO",DATOS!$C$67="SÍ")),DATOS!$C$64,DATOS!$C$62))</f>
        <v/>
      </c>
      <c r="AG47" s="55" t="str">
        <f>IF(V47&lt;&gt;"SÍ","",IFERROR(INDEX(DATOS!$D$46:$D$58,MATCH(D47,DATOS!$B$46:$B$58,0)),"NO"))</f>
        <v/>
      </c>
      <c r="AH47" s="59" t="str">
        <f>IF(V47&lt;&gt;"SÍ","",IF(ISNUMBER(O47),O47,IFERROR(INDEX(DATOS!$C$46:$C$58,MATCH(D47,DATOS!$B$46:$B$58,0)),0)))</f>
        <v/>
      </c>
      <c r="AI47" s="59" t="str">
        <f>IF(V47&lt;&gt;"SÍ","",W47/100*DATOS!$C$16*1000+DATOS!$C$37+DATOS!$C$38)</f>
        <v/>
      </c>
      <c r="AJ47" s="59" t="str">
        <f>IF(V47&lt;&gt;"SÍ","",AI47+N(N47))</f>
        <v/>
      </c>
      <c r="AK47" s="60" t="str">
        <f>IF(V47&lt;&gt;"SÍ","",MAX(DATOS!$C$26*AJ47+DATOS!$C$27*AH47,IF(AG47="SÍ",DATOS!$C$28*(AJ47+DATOS!$C$41),0)))</f>
        <v/>
      </c>
      <c r="AL47" s="59" t="str">
        <f>IF(V47&lt;&gt;"SÍ","",(G47="DISCONTINUO")+(H47="DISCONTINUO")+(I47="DISCONTINUO")+(J47="DISCONTINUO"))</f>
        <v/>
      </c>
      <c r="AM47" s="59" t="str">
        <f>IF(V47&lt;&gt;"SÍ","",IF(Y47="X",(G47="DISCONTINUO")+(H47="DISCONTINUO"),(I47="DISCONTINUO")+(J47="DISCONTINUO")))</f>
        <v/>
      </c>
      <c r="AN47" s="55" t="str">
        <f>IF(V47&lt;&gt;"SÍ","",IF(AL47=0,"INTERIOR",IF(AL47=1,IF(AM47=1,"BORDE-CORTO","BORDE-LARGO"),IF(AL47=2,IF(AM47=1,"ESQUINA",IF(AM47=2,"EXTREMO-LARGO","EXTREMO-CORTO")),IF(AL47=3,IF(AM47=2,"EXTREMO-LARGO","EXTREMO-CORTO"),"AISLADO")))))</f>
        <v/>
      </c>
      <c r="AO47" s="61" t="str">
        <f>IF(V47&lt;&gt;"SÍ","",IF(OR(K47="",K47="AUTO"),AN47,K47))</f>
        <v/>
      </c>
      <c r="AP47" s="59" t="str">
        <f>IF(V47&lt;&gt;"SÍ","",MATCH(AB47,TABLAS!$D$5:$J$5,1))</f>
        <v/>
      </c>
      <c r="AQ47" s="58" t="str">
        <f>IF(V47&lt;&gt;"SÍ","",IF(AP47&gt;=7,0,(AB47-INDEX(TABLAS!$D$5:$J$5,AP47))/(INDEX(TABLAS!$D$5:$J$5,AP47+1)-INDEX(TABLAS!$D$5:$J$5,AP47))))</f>
        <v/>
      </c>
      <c r="AR47" s="59" t="str">
        <f>IF(V47&lt;&gt;"SÍ","",INDEX(TABLAS!$D$6:$J$47,MATCH(AO47&amp;"|NIC",TABLAS!$B$6:$B$47,0),AP47)+AQ47*(INDEX(TABLAS!$D$6:$J$47,MATCH(AO47&amp;"|NIC",TABLAS!$B$6:$B$47,0),MIN(AP47+1,7))-INDEX(TABLAS!$D$6:$J$47,MATCH(AO47&amp;"|NIC",TABLAS!$B$6:$B$47,0),AP47)))</f>
        <v/>
      </c>
      <c r="AS47" s="59" t="str">
        <f>IF(V47&lt;&gt;"SÍ","",INDEX(TABLAS!$D$6:$J$47,MATCH(AO47&amp;"|NIL",TABLAS!$B$6:$B$47,0),AP47)+AQ47*(INDEX(TABLAS!$D$6:$J$47,MATCH(AO47&amp;"|NIL",TABLAS!$B$6:$B$47,0),MIN(AP47+1,7))-INDEX(TABLAS!$D$6:$J$47,MATCH(AO47&amp;"|NIL",TABLAS!$B$6:$B$47,0),AP47)))</f>
        <v/>
      </c>
      <c r="AT47" s="59" t="str">
        <f>IF(V47&lt;&gt;"SÍ","",INDEX(TABLAS!$D$6:$J$47,MATCH(AO47&amp;"|NDC",TABLAS!$B$6:$B$47,0),AP47)+AQ47*(INDEX(TABLAS!$D$6:$J$47,MATCH(AO47&amp;"|NDC",TABLAS!$B$6:$B$47,0),MIN(AP47+1,7))-INDEX(TABLAS!$D$6:$J$47,MATCH(AO47&amp;"|NDC",TABLAS!$B$6:$B$47,0),AP47)))</f>
        <v/>
      </c>
      <c r="AU47" s="59" t="str">
        <f>IF(V47&lt;&gt;"SÍ","",INDEX(TABLAS!$D$6:$J$47,MATCH(AO47&amp;"|NDL",TABLAS!$B$6:$B$47,0),AP47)+AQ47*(INDEX(TABLAS!$D$6:$J$47,MATCH(AO47&amp;"|NDL",TABLAS!$B$6:$B$47,0),MIN(AP47+1,7))-INDEX(TABLAS!$D$6:$J$47,MATCH(AO47&amp;"|NDL",TABLAS!$B$6:$B$47,0),AP47)))</f>
        <v/>
      </c>
      <c r="AV47" s="59" t="str">
        <f>IF(V47&lt;&gt;"SÍ","",INDEX(TABLAS!$D$6:$J$47,MATCH(AO47&amp;"|PC",TABLAS!$B$6:$B$47,0),AP47)+AQ47*(INDEX(TABLAS!$D$6:$J$47,MATCH(AO47&amp;"|PC",TABLAS!$B$6:$B$47,0),MIN(AP47+1,7))-INDEX(TABLAS!$D$6:$J$47,MATCH(AO47&amp;"|PC",TABLAS!$B$6:$B$47,0),AP47)))</f>
        <v/>
      </c>
      <c r="AW47" s="59" t="str">
        <f>IF(V47&lt;&gt;"SÍ","",INDEX(TABLAS!$D$6:$J$47,MATCH(AO47&amp;"|PL",TABLAS!$B$6:$B$47,0),AP47)+AQ47*(INDEX(TABLAS!$D$6:$J$47,MATCH(AO47&amp;"|PL",TABLAS!$B$6:$B$47,0),MIN(AP47+1,7))-INDEX(TABLAS!$D$6:$J$47,MATCH(AO47&amp;"|PL",TABLAS!$B$6:$B$47,0),AP47)))</f>
        <v/>
      </c>
      <c r="AX47" s="56" t="str">
        <f>IF(V47&lt;&gt;"SÍ","",IF(C47="PERIMETRAL",AV47*AK47*Z47^2*1E-4/1000,0))</f>
        <v/>
      </c>
      <c r="AY47" s="62" t="str">
        <f>IF(V47&lt;&gt;"SÍ","",IF(C47="PERIMETRAL",MAX(MAX(AR47,AT47)*AK47*Z47^2*1E-4/1000,N(T47)),(AK47*(AC47/100)^2/2+DATOS!$C$26*N(P47)*AC47/100)/1000))</f>
        <v/>
      </c>
      <c r="AZ47" s="56" t="str">
        <f>IF(V47&lt;&gt;"SÍ","",IF(C47="PERIMETRAL",AW47*AK47*Z47^2*1E-4/1000,0))</f>
        <v/>
      </c>
      <c r="BA47" s="56" t="str">
        <f>IF(V47&lt;&gt;"SÍ","",IF(C47="PERIMETRAL",MAX(MAX(AS47,AU47)*AK47*Z47^2*1E-4/1000,N(U47)),0))</f>
        <v/>
      </c>
      <c r="BB47" s="63" t="str">
        <f>IF(V47&lt;&gt;"SÍ","",IF(C47&lt;&gt;"PERIMETRAL","—",IF(AND(N(T47)=0,N(U47)=0),"— (sin M⁻ del vecino)",IF(OR(AND(N(T47)&gt;0,ABS(MAX(AR47,AT47)*AK47*Z47^2*1E-4/1000-N(T47))&gt;0.5*MIN(MAX(AR47,AT47)*AK47*Z47^2*1E-4/1000,N(T47))),AND(N(U47)&gt;0,ABS(MAX(AS47,AU47)*AK47*Z47^2*1E-4/1000-N(U47))&gt;0.5*MIN(MAX(AS47,AU47)*AK47*Z47^2*1E-4/1000,N(U47)))),"FUERA: difieren &gt; 50 %"&amp;IF(AND(N(T47)&gt;0,ABS(MAX(AR47,AT47)*AK47*Z47^2*1E-4/1000-N(T47))&gt;0.5*MIN(MAX(AR47,AT47)*AK47*Z47^2*1E-4/1000,N(T47)))," ‖ corto","")&amp;IF(AND(N(U47)&gt;0,ABS(MAX(AS47,AU47)*AK47*Z47^2*1E-4/1000-N(U47))&gt;0.5*MIN(MAX(AS47,AU47)*AK47*Z47^2*1E-4/1000,N(U47)))," ‖ largo",""),"CUMPLE"))))</f>
        <v/>
      </c>
      <c r="BC47" s="58" t="str">
        <f>IF(V47&lt;&gt;"SÍ","",DATOS!$C$139*100*W47)</f>
        <v/>
      </c>
      <c r="BD47" s="57" t="str">
        <f>IF(V47&lt;&gt;"SÍ","",MIN(IF(C47="VOLADO",DATOS!$C$141,DATOS!$C$140)*W47,DATOS!$C$142))</f>
        <v/>
      </c>
      <c r="BE47" s="58" t="str">
        <f>IF(V47&lt;&gt;"SÍ","",(W47-AE47-INDEX(TABLAS!$C$52:$C$58,MATCH(IF(ISNUMBER(S47),S47,DATOS!$C$138),TABLAS!$B$52:$B$58,0))/2))</f>
        <v/>
      </c>
      <c r="BF47" s="58" t="str">
        <f>IF(V47&lt;&gt;"SÍ","",IF(AX47&lt;=0,0,IF((1-2*AX47*1E5/(DATOS!$C$29*100*BE47^2*DATOS!$C$21))&lt;0,-1,IF((1-SQRT((1-2*AX47*1E5/(DATOS!$C$29*100*BE47^2*DATOS!$C$21))))*DATOS!$C$21*100*BE47/DATOS!$C$14&gt;DATOS!$C$102*100*BE47,-1,(1-SQRT((1-2*AX47*1E5/(DATOS!$C$29*100*BE47^2*DATOS!$C$21))))*DATOS!$C$21*100*BE47/DATOS!$C$14))))</f>
        <v/>
      </c>
      <c r="BG47" s="58" t="str">
        <f>IF(V47&lt;&gt;"SÍ","",IF(BF47&lt;0,-1,MAX(BF47,BC47)))</f>
        <v/>
      </c>
      <c r="BH47" s="64" t="str">
        <f>IF(V47&lt;&gt;"SÍ","",IF(AND(BG47&gt;0,FLOOR(MIN(BD47,100*INDEX(TABLAS!$D$52:$D$58,MIN(MATCH(IF(ISNUMBER(S47),S47,DATOS!$C$138),TABLAS!$B$52:$B$58,0)+0,7))/MAX(BG47,0.0001)),DATOS!$C$144)&gt;=DATOS!$C$143),INDEX(TABLAS!$B$52:$B$58,MIN(MATCH(IF(ISNUMBER(S47),S47,DATOS!$C$138),TABLAS!$B$52:$B$58,0)+0,7)),IF(AND(BG47&gt;0,FLOOR(MIN(BD47,100*INDEX(TABLAS!$D$52:$D$58,MIN(MATCH(IF(ISNUMBER(S47),S47,DATOS!$C$138),TABLAS!$B$52:$B$58,0)+1,7))/MAX(BG47,0.0001)),DATOS!$C$144)&gt;=DATOS!$C$143),INDEX(TABLAS!$B$52:$B$58,MIN(MATCH(IF(ISNUMBER(S47),S47,DATOS!$C$138),TABLAS!$B$52:$B$58,0)+1,7)),IF(AND(BG47&gt;0,FLOOR(MIN(BD47,100*INDEX(TABLAS!$D$52:$D$58,MIN(MATCH(IF(ISNUMBER(S47),S47,DATOS!$C$138),TABLAS!$B$52:$B$58,0)+2,7))/MAX(BG47,0.0001)),DATOS!$C$144)&gt;=DATOS!$C$143),INDEX(TABLAS!$B$52:$B$58,MIN(MATCH(IF(ISNUMBER(S47),S47,DATOS!$C$138),TABLAS!$B$52:$B$58,0)+2,7)),IF(AND(BG47&gt;0,FLOOR(MIN(BD47,100*INDEX(TABLAS!$D$52:$D$58,MIN(MATCH(IF(ISNUMBER(S47),S47,DATOS!$C$138),TABLAS!$B$52:$B$58,0)+3,7))/MAX(BG47,0.0001)),DATOS!$C$144)&gt;=DATOS!$C$143),INDEX(TABLAS!$B$52:$B$58,MIN(MATCH(IF(ISNUMBER(S47),S47,DATOS!$C$138),TABLAS!$B$52:$B$58,0)+3,7)),IF(AND(BG47&gt;0,FLOOR(MIN(BD47,100*INDEX(TABLAS!$D$52:$D$58,MIN(MATCH(IF(ISNUMBER(S47),S47,DATOS!$C$138),TABLAS!$B$52:$B$58,0)+4,7))/MAX(BG47,0.0001)),DATOS!$C$144)&gt;=DATOS!$C$143),INDEX(TABLAS!$B$52:$B$58,MIN(MATCH(IF(ISNUMBER(S47),S47,DATOS!$C$138),TABLAS!$B$52:$B$58,0)+4,7)),INDEX(TABLAS!$B$52:$B$58,7)))))))</f>
        <v/>
      </c>
      <c r="BI47" s="71" t="str">
        <f>IF(V47&lt;&gt;"SÍ","",IF(BG47&lt;=0,0,FLOOR(MIN(BD47,100*INDEX(TABLAS!$D$52:$D$58,MATCH(BH47,TABLAS!$B$52:$B$58,0))/BG47),DATOS!$C$144)))</f>
        <v/>
      </c>
      <c r="BJ47" s="58" t="str">
        <f>IF(V47&lt;&gt;"SÍ","",IF(BI47&lt;=0,0,INDEX(TABLAS!$D$52:$D$58,MATCH(BH47,TABLAS!$B$52:$B$58,0))*100/BI47))</f>
        <v/>
      </c>
      <c r="BK47" s="58" t="str">
        <f>IF(V47&lt;&gt;"SÍ","",W47-AE47-INDEX(TABLAS!$C$52:$C$58,MATCH(BH47,TABLAS!$B$52:$B$58,0))/2)</f>
        <v/>
      </c>
      <c r="BL47" s="56" t="str">
        <f>IF(V47&lt;&gt;"SÍ","",IF(BJ47=0,0,DATOS!$C$29*BJ47*DATOS!$C$14*(BK47-BJ47*DATOS!$C$14/(DATOS!$C$21*100)/2)/1E5))</f>
        <v/>
      </c>
      <c r="BM47" s="65" t="str">
        <f>IF(V47&lt;&gt;"SÍ","",IF(BG47&lt;0,9.99,IF(BL47&gt;0,AX47/BL47,0)))</f>
        <v/>
      </c>
      <c r="BN47" s="66" t="str">
        <f>IF(V47&lt;&gt;"SÍ","",IF(BJ47=0,"—",0.003*(BK47-(BJ47*DATOS!$C$14/(DATOS!$C$21*100)/DATOS!$C$22))/(BJ47*DATOS!$C$14/(DATOS!$C$21*100)/DATOS!$C$22)))</f>
        <v/>
      </c>
      <c r="BO47" s="58" t="str">
        <f>IF(V47&lt;&gt;"SÍ","",((W47-AF47-INDEX(TABLAS!$C$52:$C$58,MATCH(IF(ISNUMBER(S47),S47,DATOS!$C$138),TABLAS!$B$52:$B$58,0))/2)-IF(AND((W47-AF47-INDEX(TABLAS!$C$52:$C$58,MATCH(IF(ISNUMBER(S47),S47,DATOS!$C$138),TABLAS!$B$52:$B$58,0))/2)&lt;=20,DATOS!$C$65&lt;&gt;"SÍ"),2,0)))</f>
        <v/>
      </c>
      <c r="BP47" s="58" t="str">
        <f>IF(V47&lt;&gt;"SÍ","",IF(AY47&lt;=0,0,IF((1-2*AY47*1E5/(DATOS!$C$29*100*BO47^2*DATOS!$C$21))&lt;0,-1,IF((1-SQRT((1-2*AY47*1E5/(DATOS!$C$29*100*BO47^2*DATOS!$C$21))))*DATOS!$C$21*100*BO47/DATOS!$C$14&gt;DATOS!$C$102*100*BO47,-1,(1-SQRT((1-2*AY47*1E5/(DATOS!$C$29*100*BO47^2*DATOS!$C$21))))*DATOS!$C$21*100*BO47/DATOS!$C$14))))</f>
        <v/>
      </c>
      <c r="BQ47" s="58" t="str">
        <f>IF(V47&lt;&gt;"SÍ","",IF(BP47&lt;0,-1,MAX(BP47,BC47)))</f>
        <v/>
      </c>
      <c r="BR47" s="64" t="str">
        <f>IF(V47&lt;&gt;"SÍ","",IF(AND(BQ47&gt;0,FLOOR(MIN(BD47,100*INDEX(TABLAS!$D$52:$D$58,MIN(MATCH(IF(ISNUMBER(S47),S47,DATOS!$C$138),TABLAS!$B$52:$B$58,0)+0,7))/MAX(BQ47,0.0001)),DATOS!$C$144)&gt;=DATOS!$C$143),INDEX(TABLAS!$B$52:$B$58,MIN(MATCH(IF(ISNUMBER(S47),S47,DATOS!$C$138),TABLAS!$B$52:$B$58,0)+0,7)),IF(AND(BQ47&gt;0,FLOOR(MIN(BD47,100*INDEX(TABLAS!$D$52:$D$58,MIN(MATCH(IF(ISNUMBER(S47),S47,DATOS!$C$138),TABLAS!$B$52:$B$58,0)+1,7))/MAX(BQ47,0.0001)),DATOS!$C$144)&gt;=DATOS!$C$143),INDEX(TABLAS!$B$52:$B$58,MIN(MATCH(IF(ISNUMBER(S47),S47,DATOS!$C$138),TABLAS!$B$52:$B$58,0)+1,7)),IF(AND(BQ47&gt;0,FLOOR(MIN(BD47,100*INDEX(TABLAS!$D$52:$D$58,MIN(MATCH(IF(ISNUMBER(S47),S47,DATOS!$C$138),TABLAS!$B$52:$B$58,0)+2,7))/MAX(BQ47,0.0001)),DATOS!$C$144)&gt;=DATOS!$C$143),INDEX(TABLAS!$B$52:$B$58,MIN(MATCH(IF(ISNUMBER(S47),S47,DATOS!$C$138),TABLAS!$B$52:$B$58,0)+2,7)),IF(AND(BQ47&gt;0,FLOOR(MIN(BD47,100*INDEX(TABLAS!$D$52:$D$58,MIN(MATCH(IF(ISNUMBER(S47),S47,DATOS!$C$138),TABLAS!$B$52:$B$58,0)+3,7))/MAX(BQ47,0.0001)),DATOS!$C$144)&gt;=DATOS!$C$143),INDEX(TABLAS!$B$52:$B$58,MIN(MATCH(IF(ISNUMBER(S47),S47,DATOS!$C$138),TABLAS!$B$52:$B$58,0)+3,7)),IF(AND(BQ47&gt;0,FLOOR(MIN(BD47,100*INDEX(TABLAS!$D$52:$D$58,MIN(MATCH(IF(ISNUMBER(S47),S47,DATOS!$C$138),TABLAS!$B$52:$B$58,0)+4,7))/MAX(BQ47,0.0001)),DATOS!$C$144)&gt;=DATOS!$C$143),INDEX(TABLAS!$B$52:$B$58,MIN(MATCH(IF(ISNUMBER(S47),S47,DATOS!$C$138),TABLAS!$B$52:$B$58,0)+4,7)),INDEX(TABLAS!$B$52:$B$58,7)))))))</f>
        <v/>
      </c>
      <c r="BS47" s="71" t="str">
        <f>IF(V47&lt;&gt;"SÍ","",IF(BQ47&lt;=0,0,FLOOR(MIN(BD47,100*INDEX(TABLAS!$D$52:$D$58,MATCH(BR47,TABLAS!$B$52:$B$58,0))/BQ47),DATOS!$C$144)))</f>
        <v/>
      </c>
      <c r="BT47" s="58" t="str">
        <f>IF(V47&lt;&gt;"SÍ","",IF(BS47&lt;=0,0,INDEX(TABLAS!$D$52:$D$58,MATCH(BR47,TABLAS!$B$52:$B$58,0))*100/BS47))</f>
        <v/>
      </c>
      <c r="BU47" s="58" t="str">
        <f>IF(V47&lt;&gt;"SÍ","",((W47-AF47-INDEX(TABLAS!$C$52:$C$58,MATCH(BR47,TABLAS!$B$52:$B$58,0))/2)-IF(AND((W47-AF47-INDEX(TABLAS!$C$52:$C$58,MATCH(BR47,TABLAS!$B$52:$B$58,0))/2)&lt;=20,DATOS!$C$65&lt;&gt;"SÍ"),2,0)))</f>
        <v/>
      </c>
      <c r="BV47" s="56" t="str">
        <f>IF(V47&lt;&gt;"SÍ","",IF(BT47=0,0,DATOS!$C$29*BT47*DATOS!$C$14*(BU47-BT47*DATOS!$C$14/(DATOS!$C$21*100)/2)/1E5))</f>
        <v/>
      </c>
      <c r="BW47" s="65" t="str">
        <f>IF(V47&lt;&gt;"SÍ","",IF(BQ47&lt;0,9.99,IF(BV47&gt;0,AY47/BV47,0)))</f>
        <v/>
      </c>
      <c r="BX47" s="66" t="str">
        <f>IF(V47&lt;&gt;"SÍ","",IF(BT47=0,"—",0.003*(BU47-(BT47*DATOS!$C$14/(DATOS!$C$21*100)/DATOS!$C$22))/(BT47*DATOS!$C$14/(DATOS!$C$21*100)/DATOS!$C$22)))</f>
        <v/>
      </c>
      <c r="BY47" s="58" t="str">
        <f>IF(V47&lt;&gt;"SÍ","",(W47-AE47-1.5*INDEX(TABLAS!$C$52:$C$58,MATCH(IF(ISNUMBER(S47),S47,DATOS!$C$138),TABLAS!$B$52:$B$58,0))))</f>
        <v/>
      </c>
      <c r="BZ47" s="58" t="str">
        <f>IF(V47&lt;&gt;"SÍ","",IF(AZ47&lt;=0,0,IF((1-2*AZ47*1E5/(DATOS!$C$29*100*BY47^2*DATOS!$C$21))&lt;0,-1,IF((1-SQRT((1-2*AZ47*1E5/(DATOS!$C$29*100*BY47^2*DATOS!$C$21))))*DATOS!$C$21*100*BY47/DATOS!$C$14&gt;DATOS!$C$102*100*BY47,-1,(1-SQRT((1-2*AZ47*1E5/(DATOS!$C$29*100*BY47^2*DATOS!$C$21))))*DATOS!$C$21*100*BY47/DATOS!$C$14))))</f>
        <v/>
      </c>
      <c r="CA47" s="58" t="str">
        <f>IF(V47&lt;&gt;"SÍ","",IF(BZ47&lt;0,-1,MAX(BZ47,BC47)))</f>
        <v/>
      </c>
      <c r="CB47" s="64" t="str">
        <f>IF(V47&lt;&gt;"SÍ","",IF(AND(CA47&gt;0,FLOOR(MIN(BD47,100*INDEX(TABLAS!$D$52:$D$58,MIN(MATCH(IF(ISNUMBER(S47),S47,DATOS!$C$138),TABLAS!$B$52:$B$58,0)+0,7))/MAX(CA47,0.0001)),DATOS!$C$144)&gt;=DATOS!$C$143),INDEX(TABLAS!$B$52:$B$58,MIN(MATCH(IF(ISNUMBER(S47),S47,DATOS!$C$138),TABLAS!$B$52:$B$58,0)+0,7)),IF(AND(CA47&gt;0,FLOOR(MIN(BD47,100*INDEX(TABLAS!$D$52:$D$58,MIN(MATCH(IF(ISNUMBER(S47),S47,DATOS!$C$138),TABLAS!$B$52:$B$58,0)+1,7))/MAX(CA47,0.0001)),DATOS!$C$144)&gt;=DATOS!$C$143),INDEX(TABLAS!$B$52:$B$58,MIN(MATCH(IF(ISNUMBER(S47),S47,DATOS!$C$138),TABLAS!$B$52:$B$58,0)+1,7)),IF(AND(CA47&gt;0,FLOOR(MIN(BD47,100*INDEX(TABLAS!$D$52:$D$58,MIN(MATCH(IF(ISNUMBER(S47),S47,DATOS!$C$138),TABLAS!$B$52:$B$58,0)+2,7))/MAX(CA47,0.0001)),DATOS!$C$144)&gt;=DATOS!$C$143),INDEX(TABLAS!$B$52:$B$58,MIN(MATCH(IF(ISNUMBER(S47),S47,DATOS!$C$138),TABLAS!$B$52:$B$58,0)+2,7)),IF(AND(CA47&gt;0,FLOOR(MIN(BD47,100*INDEX(TABLAS!$D$52:$D$58,MIN(MATCH(IF(ISNUMBER(S47),S47,DATOS!$C$138),TABLAS!$B$52:$B$58,0)+3,7))/MAX(CA47,0.0001)),DATOS!$C$144)&gt;=DATOS!$C$143),INDEX(TABLAS!$B$52:$B$58,MIN(MATCH(IF(ISNUMBER(S47),S47,DATOS!$C$138),TABLAS!$B$52:$B$58,0)+3,7)),IF(AND(CA47&gt;0,FLOOR(MIN(BD47,100*INDEX(TABLAS!$D$52:$D$58,MIN(MATCH(IF(ISNUMBER(S47),S47,DATOS!$C$138),TABLAS!$B$52:$B$58,0)+4,7))/MAX(CA47,0.0001)),DATOS!$C$144)&gt;=DATOS!$C$143),INDEX(TABLAS!$B$52:$B$58,MIN(MATCH(IF(ISNUMBER(S47),S47,DATOS!$C$138),TABLAS!$B$52:$B$58,0)+4,7)),INDEX(TABLAS!$B$52:$B$58,7)))))))</f>
        <v/>
      </c>
      <c r="CC47" s="71" t="str">
        <f>IF(V47&lt;&gt;"SÍ","",IF(CA47&lt;=0,0,FLOOR(MIN(BD47,100*INDEX(TABLAS!$D$52:$D$58,MATCH(CB47,TABLAS!$B$52:$B$58,0))/CA47),DATOS!$C$144)))</f>
        <v/>
      </c>
      <c r="CD47" s="58" t="str">
        <f>IF(V47&lt;&gt;"SÍ","",IF(CC47&lt;=0,0,INDEX(TABLAS!$D$52:$D$58,MATCH(CB47,TABLAS!$B$52:$B$58,0))*100/CC47))</f>
        <v/>
      </c>
      <c r="CE47" s="58" t="str">
        <f>IF(V47&lt;&gt;"SÍ","",W47-AE47-INDEX(TABLAS!$C$52:$C$58,MATCH(BH47,TABLAS!$B$52:$B$58,0))-INDEX(TABLAS!$C$52:$C$58,MATCH(CB47,TABLAS!$B$52:$B$58,0))/2)</f>
        <v/>
      </c>
      <c r="CF47" s="56" t="str">
        <f>IF(V47&lt;&gt;"SÍ","",IF(CD47=0,0,DATOS!$C$29*CD47*DATOS!$C$14*(CE47-CD47*DATOS!$C$14/(DATOS!$C$21*100)/2)/1E5))</f>
        <v/>
      </c>
      <c r="CG47" s="65" t="str">
        <f>IF(V47&lt;&gt;"SÍ","",IF(CA47&lt;0,9.99,IF(CF47&gt;0,AZ47/CF47,0)))</f>
        <v/>
      </c>
      <c r="CH47" s="66" t="str">
        <f>IF(V47&lt;&gt;"SÍ","",IF(CD47=0,"—",0.003*(CE47-(CD47*DATOS!$C$14/(DATOS!$C$21*100)/DATOS!$C$22))/(CD47*DATOS!$C$14/(DATOS!$C$21*100)/DATOS!$C$22)))</f>
        <v/>
      </c>
      <c r="CI47" s="58" t="str">
        <f>IF(V47&lt;&gt;"SÍ","",((W47-AF47-1.5*INDEX(TABLAS!$C$52:$C$58,MATCH(IF(ISNUMBER(S47),S47,DATOS!$C$138),TABLAS!$B$52:$B$58,0)))-IF(AND((W47-AF47-1.5*INDEX(TABLAS!$C$52:$C$58,MATCH(IF(ISNUMBER(S47),S47,DATOS!$C$138),TABLAS!$B$52:$B$58,0)))&lt;=20,DATOS!$C$65&lt;&gt;"SÍ"),2,0)))</f>
        <v/>
      </c>
      <c r="CJ47" s="58" t="str">
        <f>IF(V47&lt;&gt;"SÍ","",IF(BA47&lt;=0,0,IF((1-2*BA47*1E5/(DATOS!$C$29*100*CI47^2*DATOS!$C$21))&lt;0,-1,IF((1-SQRT((1-2*BA47*1E5/(DATOS!$C$29*100*CI47^2*DATOS!$C$21))))*DATOS!$C$21*100*CI47/DATOS!$C$14&gt;DATOS!$C$102*100*CI47,-1,(1-SQRT((1-2*BA47*1E5/(DATOS!$C$29*100*CI47^2*DATOS!$C$21))))*DATOS!$C$21*100*CI47/DATOS!$C$14))))</f>
        <v/>
      </c>
      <c r="CK47" s="58" t="str">
        <f>IF(V47&lt;&gt;"SÍ","",IF(CJ47&lt;0,-1,MAX(CJ47,BC47)))</f>
        <v/>
      </c>
      <c r="CL47" s="64" t="str">
        <f>IF(V47&lt;&gt;"SÍ","",IF(AND(CK47&gt;0,FLOOR(MIN(BD47,100*INDEX(TABLAS!$D$52:$D$58,MIN(MATCH(IF(ISNUMBER(S47),S47,DATOS!$C$138),TABLAS!$B$52:$B$58,0)+0,7))/MAX(CK47,0.0001)),DATOS!$C$144)&gt;=DATOS!$C$143),INDEX(TABLAS!$B$52:$B$58,MIN(MATCH(IF(ISNUMBER(S47),S47,DATOS!$C$138),TABLAS!$B$52:$B$58,0)+0,7)),IF(AND(CK47&gt;0,FLOOR(MIN(BD47,100*INDEX(TABLAS!$D$52:$D$58,MIN(MATCH(IF(ISNUMBER(S47),S47,DATOS!$C$138),TABLAS!$B$52:$B$58,0)+1,7))/MAX(CK47,0.0001)),DATOS!$C$144)&gt;=DATOS!$C$143),INDEX(TABLAS!$B$52:$B$58,MIN(MATCH(IF(ISNUMBER(S47),S47,DATOS!$C$138),TABLAS!$B$52:$B$58,0)+1,7)),IF(AND(CK47&gt;0,FLOOR(MIN(BD47,100*INDEX(TABLAS!$D$52:$D$58,MIN(MATCH(IF(ISNUMBER(S47),S47,DATOS!$C$138),TABLAS!$B$52:$B$58,0)+2,7))/MAX(CK47,0.0001)),DATOS!$C$144)&gt;=DATOS!$C$143),INDEX(TABLAS!$B$52:$B$58,MIN(MATCH(IF(ISNUMBER(S47),S47,DATOS!$C$138),TABLAS!$B$52:$B$58,0)+2,7)),IF(AND(CK47&gt;0,FLOOR(MIN(BD47,100*INDEX(TABLAS!$D$52:$D$58,MIN(MATCH(IF(ISNUMBER(S47),S47,DATOS!$C$138),TABLAS!$B$52:$B$58,0)+3,7))/MAX(CK47,0.0001)),DATOS!$C$144)&gt;=DATOS!$C$143),INDEX(TABLAS!$B$52:$B$58,MIN(MATCH(IF(ISNUMBER(S47),S47,DATOS!$C$138),TABLAS!$B$52:$B$58,0)+3,7)),IF(AND(CK47&gt;0,FLOOR(MIN(BD47,100*INDEX(TABLAS!$D$52:$D$58,MIN(MATCH(IF(ISNUMBER(S47),S47,DATOS!$C$138),TABLAS!$B$52:$B$58,0)+4,7))/MAX(CK47,0.0001)),DATOS!$C$144)&gt;=DATOS!$C$143),INDEX(TABLAS!$B$52:$B$58,MIN(MATCH(IF(ISNUMBER(S47),S47,DATOS!$C$138),TABLAS!$B$52:$B$58,0)+4,7)),INDEX(TABLAS!$B$52:$B$58,7)))))))</f>
        <v/>
      </c>
      <c r="CM47" s="71" t="str">
        <f>IF(V47&lt;&gt;"SÍ","",IF(CK47&lt;=0,0,FLOOR(MIN(BD47,100*INDEX(TABLAS!$D$52:$D$58,MATCH(CL47,TABLAS!$B$52:$B$58,0))/CK47),DATOS!$C$144)))</f>
        <v/>
      </c>
      <c r="CN47" s="58" t="str">
        <f>IF(V47&lt;&gt;"SÍ","",IF(CM47&lt;=0,0,INDEX(TABLAS!$D$52:$D$58,MATCH(CL47,TABLAS!$B$52:$B$58,0))*100/CM47))</f>
        <v/>
      </c>
      <c r="CO47" s="58" t="str">
        <f>IF(V47&lt;&gt;"SÍ","",((W47-AF47-INDEX(TABLAS!$C$52:$C$58,MATCH(BR47,TABLAS!$B$52:$B$58,0))-INDEX(TABLAS!$C$52:$C$58,MATCH(CL47,TABLAS!$B$52:$B$58,0))/2)-IF(AND((W47-AF47-INDEX(TABLAS!$C$52:$C$58,MATCH(BR47,TABLAS!$B$52:$B$58,0))-INDEX(TABLAS!$C$52:$C$58,MATCH(CL47,TABLAS!$B$52:$B$58,0))/2)&lt;=20,DATOS!$C$65&lt;&gt;"SÍ"),2,0)))</f>
        <v/>
      </c>
      <c r="CP47" s="56" t="str">
        <f>IF(V47&lt;&gt;"SÍ","",IF(CN47=0,0,DATOS!$C$29*CN47*DATOS!$C$14*(CO47-CN47*DATOS!$C$14/(DATOS!$C$21*100)/2)/1E5))</f>
        <v/>
      </c>
      <c r="CQ47" s="65" t="str">
        <f>IF(V47&lt;&gt;"SÍ","",IF(CK47&lt;0,9.99,IF(CP47&gt;0,BA47/CP47,0)))</f>
        <v/>
      </c>
      <c r="CR47" s="66" t="str">
        <f>IF(V47&lt;&gt;"SÍ","",IF(CN47=0,"—",0.003*(CO47-(CN47*DATOS!$C$14/(DATOS!$C$21*100)/DATOS!$C$22))/(CN47*DATOS!$C$14/(DATOS!$C$21*100)/DATOS!$C$22)))</f>
        <v/>
      </c>
      <c r="CS47" s="56" t="str">
        <f>IF(V47&lt;&gt;"SÍ","",IF(C47="PERIMETRAL",MAX(0,(AC47/2-BU47)/100)*(0.95-0.5*AB47)*AK47*IF(AND(AL47&gt;0,AL47&lt;4),DATOS!$C$33,1)/1000,(AK47*MAX(0,AC47-BU47)/100+DATOS!$C$26*N(P47))/1000))</f>
        <v/>
      </c>
      <c r="CT47" s="66" t="str">
        <f>IF(V47&lt;&gt;"SÍ","",BT47/(100*BU47))</f>
        <v/>
      </c>
      <c r="CU47" s="56" t="str">
        <f>IF(V47&lt;&gt;"SÍ","",DATOS!$C$30*2*MIN(1,SQRT(2/(1+0.04*BU47)))*CT47^(1/3)*SQRT(DATOS!$C$13)*100*BU47/1000)</f>
        <v/>
      </c>
      <c r="CV47" s="67" t="str">
        <f>IF(V47&lt;&gt;"SÍ","",IF(CS47&lt;=CU47,"CUMPLE","NO CUMPLE: sube h"))</f>
        <v/>
      </c>
      <c r="CW47" s="58" t="str">
        <f>IF(V47&lt;&gt;"SÍ","",IF(C47="PERIMETRAL",IF(ISNUMBER(R47),R47,DATOS!$C$104),0))</f>
        <v/>
      </c>
      <c r="CX47" s="57" t="str">
        <f>IF(V47&lt;&gt;"SÍ","",IF(C47="PERIMETRAL",IF(CW47&gt;2,MAX(9,AD47*(0.8+DATOS!$C$14/14000)/(36+9*(AD47/MAX(AC47,1)))),IF(CW47&gt;0.2,MAX(13,AD47*(0.8+DATOS!$C$14/14000)/(36+5*(AD47/MAX(AC47,1))*(CW47-0.2))),MAX(13,AD47/IF(AL47&gt;0,30,33))))*IF(AND(CW47&gt;0.2,AL47&gt;0,DATOS!$C$105="NO"),1.1,1),Z47*100/DATOS!$C$145*(0.4+DATOS!$C$14/7000)))</f>
        <v/>
      </c>
      <c r="CY47" s="61" t="str">
        <f>IF(V47&lt;&gt;"SÍ","",IF(W47&gt;=CX47-0.001,"CUMPLE",IF(C47="VOLADO","NO CUMPLE","CALCULAR FLECHA")))</f>
        <v/>
      </c>
      <c r="CZ47" s="60" t="str">
        <f>IF(V47&lt;&gt;"SÍ","",IF(C47="VOLADO",MIN(FLOOR(IF(ISNUMBER(Q47),Q47,Z47)*100-DATOS!$C$63,5),CEILING(MAX(IF((0.5*(0.9*W47/100*DATOS!$C$16)*IF(ISNUMBER(Q47),Q47,Z47)+AY47/IF(ISNUMBER(Q47),Q47,Z47))^2-4*(0.5*(0.9*W47/100*DATOS!$C$16))*AY47&lt;0,IF(ISNUMBER(Q47),Q47,Z47),MIN(IF(ISNUMBER(Q47),Q47,Z47),((0.5*(0.9*W47/100*DATOS!$C$16)*IF(ISNUMBER(Q47),Q47,Z47)+AY47/IF(ISNUMBER(Q47),Q47,Z47))-SQRT((0.5*(0.9*W47/100*DATOS!$C$16)*IF(ISNUMBER(Q47),Q47,Z47)+AY47/IF(ISNUMBER(Q47),Q47,Z47))^2-4*(0.5*(0.9*W47/100*DATOS!$C$16))*AY47))/(2*(0.5*(0.9*W47/100*DATOS!$C$16)))))*100+MAX(BU47,12*INDEX(TABLAS!$C$52:$C$58,MATCH(BR47,TABLAS!$B$52:$B$58,0)),IF(ISNUMBER(Q47),Q47,Z47)*100/16),IF(OR(AF47&lt;INDEX(TABLAS!$C$52:$C$58,MATCH(BR47,TABLAS!$B$52:$B$58,0)),BS47-INDEX(TABLAS!$C$52:$C$58,MATCH(BR47,TABLAS!$B$52:$B$58,0))&lt;2*INDEX(TABLAS!$C$52:$C$58,MATCH(BR47,TABLAS!$B$52:$B$58,0))),INDEX(TABLAS!$I$52:$I$58,MATCH(BR47,TABLAS!$B$52:$B$58,0)),INDEX(TABLAS!$F$52:$F$58,MATCH(BR47,TABLAS!$B$52:$B$58,0)))),5)),IF(((4*((AV47*AK47*Z47^2*1E-4/1000)+((MAX(AR47,AT47)*AK47*Z47^2*1E-4/1000)+(IF(AND(AR47&gt;0,AT47&gt;0),MIN(AR47,AT47),MAX(AR47,AT47))*AK47*Z47^2*1E-4/1000))/2)+AY47-(IF(AND(AR47&gt;0,AT47&gt;0),MIN(AR47,AT47),MAX(AR47,AT47))*AK47*Z47^2*1E-4/1000))^2-16*((AV47*AK47*Z47^2*1E-4/1000)+((MAX(AR47,AT47)*AK47*Z47^2*1E-4/1000)+(IF(AND(AR47&gt;0,AT47&gt;0),MIN(AR47,AT47),MAX(AR47,AT47))*AK47*Z47^2*1E-4/1000))/2)*AY47)&lt;0,CEILING(AC47,5),CEILING(MAX(AC47*((4*((AV47*AK47*Z47^2*1E-4/1000)+((MAX(AR47,AT47)*AK47*Z47^2*1E-4/1000)+(IF(AND(AR47&gt;0,AT47&gt;0),MIN(AR47,AT47),MAX(AR47,AT47))*AK47*Z47^2*1E-4/1000))/2)+AY47-(IF(AND(AR47&gt;0,AT47&gt;0),MIN(AR47,AT47),MAX(AR47,AT47))*AK47*Z47^2*1E-4/1000))-SQRT(MAX(0,((4*((AV47*AK47*Z47^2*1E-4/1000)+((MAX(AR47,AT47)*AK47*Z47^2*1E-4/1000)+(IF(AND(AR47&gt;0,AT47&gt;0),MIN(AR47,AT47),MAX(AR47,AT47))*AK47*Z47^2*1E-4/1000))/2)+AY47-(IF(AND(AR47&gt;0,AT47&gt;0),MIN(AR47,AT47),MAX(AR47,AT47))*AK47*Z47^2*1E-4/1000))^2-16*((AV47*AK47*Z47^2*1E-4/1000)+((MAX(AR47,AT47)*AK47*Z47^2*1E-4/1000)+(IF(AND(AR47&gt;0,AT47&gt;0),MIN(AR47,AT47),MAX(AR47,AT47))*AK47*Z47^2*1E-4/1000))/2)*AY47))))/(8*MAX(((AV47*AK47*Z47^2*1E-4/1000)+((MAX(AR47,AT47)*AK47*Z47^2*1E-4/1000)+(IF(AND(AR47&gt;0,AT47&gt;0),MIN(AR47,AT47),MAX(AR47,AT47))*AK47*Z47^2*1E-4/1000))/2),1E-9))+MAX(BU47,12*INDEX(TABLAS!$C$52:$C$58,MATCH(BR47,TABLAS!$B$52:$B$58,0)),AC47/16),IF(OR(AF47&lt;INDEX(TABLAS!$C$52:$C$58,MATCH(BR47,TABLAS!$B$52:$B$58,0)),BS47-INDEX(TABLAS!$C$52:$C$58,MATCH(BR47,TABLAS!$B$52:$B$58,0))&lt;2*INDEX(TABLAS!$C$52:$C$58,MATCH(BR47,TABLAS!$B$52:$B$58,0))),INDEX(TABLAS!$I$52:$I$58,MATCH(BR47,TABLAS!$B$52:$B$58,0)),INDEX(TABLAS!$F$52:$F$58,MATCH(BR47,TABLAS!$B$52:$B$58,0)))),5))))</f>
        <v/>
      </c>
      <c r="DA47" s="60" t="str">
        <f>IF(V47&lt;&gt;"SÍ","",IF(C47="VOLADO",0,IF(((4*((AW47*AK47*Z47^2*1E-4/1000)+((MAX(AS47,AU47)*AK47*Z47^2*1E-4/1000)+(IF(AND(AS47&gt;0,AU47&gt;0),MIN(AS47,AU47),MAX(AS47,AU47))*AK47*Z47^2*1E-4/1000))/2)+BA47-(IF(AND(AS47&gt;0,AU47&gt;0),MIN(AS47,AU47),MAX(AS47,AU47))*AK47*Z47^2*1E-4/1000))^2-16*((AW47*AK47*Z47^2*1E-4/1000)+((MAX(AS47,AU47)*AK47*Z47^2*1E-4/1000)+(IF(AND(AS47&gt;0,AU47&gt;0),MIN(AS47,AU47),MAX(AS47,AU47))*AK47*Z47^2*1E-4/1000))/2)*BA47)&lt;0,CEILING(AD47,5),CEILING(MAX(AD47*((4*((AW47*AK47*Z47^2*1E-4/1000)+((MAX(AS47,AU47)*AK47*Z47^2*1E-4/1000)+(IF(AND(AS47&gt;0,AU47&gt;0),MIN(AS47,AU47),MAX(AS47,AU47))*AK47*Z47^2*1E-4/1000))/2)+BA47-(IF(AND(AS47&gt;0,AU47&gt;0),MIN(AS47,AU47),MAX(AS47,AU47))*AK47*Z47^2*1E-4/1000))-SQRT(MAX(0,((4*((AW47*AK47*Z47^2*1E-4/1000)+((MAX(AS47,AU47)*AK47*Z47^2*1E-4/1000)+(IF(AND(AS47&gt;0,AU47&gt;0),MIN(AS47,AU47),MAX(AS47,AU47))*AK47*Z47^2*1E-4/1000))/2)+BA47-(IF(AND(AS47&gt;0,AU47&gt;0),MIN(AS47,AU47),MAX(AS47,AU47))*AK47*Z47^2*1E-4/1000))^2-16*((AW47*AK47*Z47^2*1E-4/1000)+((MAX(AS47,AU47)*AK47*Z47^2*1E-4/1000)+(IF(AND(AS47&gt;0,AU47&gt;0),MIN(AS47,AU47),MAX(AS47,AU47))*AK47*Z47^2*1E-4/1000))/2)*BA47))))/(8*MAX(((AW47*AK47*Z47^2*1E-4/1000)+((MAX(AS47,AU47)*AK47*Z47^2*1E-4/1000)+(IF(AND(AS47&gt;0,AU47&gt;0),MIN(AS47,AU47),MAX(AS47,AU47))*AK47*Z47^2*1E-4/1000))/2),1E-9))+MAX(CO47,12*INDEX(TABLAS!$C$52:$C$58,MATCH(CL47,TABLAS!$B$52:$B$58,0)),AD47/16),IF(OR(AF47&lt;INDEX(TABLAS!$C$52:$C$58,MATCH(CL47,TABLAS!$B$52:$B$58,0)),CM47-INDEX(TABLAS!$C$52:$C$58,MATCH(CL47,TABLAS!$B$52:$B$58,0))&lt;2*INDEX(TABLAS!$C$52:$C$58,MATCH(CL47,TABLAS!$B$52:$B$58,0))),INDEX(TABLAS!$I$52:$I$58,MATCH(CL47,TABLAS!$B$52:$B$58,0)),INDEX(TABLAS!$F$52:$F$58,MATCH(CL47,TABLAS!$B$52:$B$58,0)))),5))))</f>
        <v/>
      </c>
      <c r="DB47" s="55" t="str">
        <f>IF(V47&lt;&gt;"SÍ","",IF(AND(C47="PERIMETRAL",AL47-AM47&gt;0,AT47&gt;0),"SÍ","NO"))</f>
        <v/>
      </c>
      <c r="DC47" s="55" t="str">
        <f>IF(V47&lt;&gt;"SÍ","",IF(AND(C47="PERIMETRAL",AM47&gt;0,AU47&gt;0),"SÍ","NO"))</f>
        <v/>
      </c>
      <c r="DD47" s="63" t="str">
        <f>IF(V47&lt;&gt;"SÍ","",IF(OR(C47="VOLADO",AL47=0),"—",IF(AND(AND(INDEX(TABLAS!$G$52:$G$58,MATCH(MAX(BR47,CL47),TABLAS!$B$52:$B$58,0))&lt;=(DATOS!$C$75-DATOS!$C$63),(DATOS!$C$75-DATOS!$C$63)&gt;=15),8*INDEX(TABLAS!$C$52:$C$58,MATCH(MAX(BH47,CB47,BR47,CL47),TABLAS!$B$52:$B$58,0))&lt;=DATOS!$C$76-2*DATOS!$C$63),"CUMPLE (gancho de 180°)",IF(AND(INDEX(TABLAS!$G$52:$G$58,MATCH(MAX(BR47,CL47),TABLAS!$B$52:$B$58,0))&lt;=(DATOS!$C$75-DATOS!$C$63),(DATOS!$C$75-DATOS!$C$63)&gt;=15),"NO CUMPLE: el gancho de 180° (8·d_b) no cabe en el peralte de la dala de borde","NO CUMPLE: dala de borde ≥ "&amp;TEXT(CEILING(MAX(INDEX(TABLAS!$G$52:$G$58,MATCH(MAX(BR47,CL47),TABLAS!$B$52:$B$58,0)),15)+DATOS!$C$63,5),"0")&amp;" cm de ancho"&amp;IF(8*INDEX(TABLAS!$C$52:$C$58,MATCH(MAX(BH47,CB47,BR47,CL47),TABLAS!$B$52:$B$58,0))&lt;=DATOS!$C$76-2*DATOS!$C$63,""," y más peralte para el gancho")))))</f>
        <v/>
      </c>
      <c r="DE47" s="69" t="str">
        <f>IF(V47&lt;&gt;"SÍ","",IF(BI47=0,"NO ALCANZA","No. "&amp;BH47&amp;" @ "&amp;BI47&amp;" cm"&amp;IF(C47="VOLADO"," (temperatura)","")))</f>
        <v/>
      </c>
      <c r="DF47" s="69" t="str">
        <f>IF(V47&lt;&gt;"SÍ","",IF(BS47=0,"NO ALCANZA",IF(C47="VOLADO","No. "&amp;BR47&amp;" @ "&amp;BS47&amp;" cm"&amp;" de la orilla al respaldo ("&amp;IF(CZ47&gt;=FLOOR(100*IF(ISNUMBER(Q47),Q47,Z47)-DATOS!$C$63,5),"hasta su apoyo lejano, con gancho","entran "&amp;TEXT(CZ47/100,"0.00")&amp;" m desde el paño")&amp;")","Bastones "&amp;"No. "&amp;BR47&amp;" @ "&amp;BS47&amp;" cm"&amp;", L = "&amp;TEXT(CZ47/100,"0.00")&amp;" m desde el paño")))</f>
        <v/>
      </c>
      <c r="DG47" s="69" t="str">
        <f>IF(V47&lt;&gt;"SÍ","",IF(CC47=0,"NO ALCANZA","No. "&amp;CB47&amp;" @ "&amp;CC47&amp;" cm"&amp;IF(C47="VOLADO"," (repartición)","")))</f>
        <v/>
      </c>
      <c r="DH47" s="69" t="str">
        <f>IF(V47&lt;&gt;"SÍ","",IF(CM47=0,"NO ALCANZA",IF(C47="VOLADO","No. "&amp;CL47&amp;" @ "&amp;CM47&amp;" cm"&amp;" (repartición)","Bastones "&amp;"No. "&amp;CL47&amp;" @ "&amp;CM47&amp;" cm"&amp;", L = "&amp;TEXT(DA47/100,"0.00")&amp;" m desde el paño")))</f>
        <v/>
      </c>
      <c r="DI47" s="67" t="str">
        <f>IF(B47="","",IF(V47&lt;&gt;"SÍ","FALTAN DATOS: tipo, a_x, a_y, destino y, en volados, L_b",IF(L47="NO MONOLÍTICO (caso II)","FUERA DE ALCANCE: caso II no transcrito",IF(AND(C47="VOLADO",X47="?"),"REVISAR: el volado lleva UN solo borde CONTINUO (el empotrado)",IF(AND(MAX(BM47,BW47,CG47,CQ47)&lt;=1,NOT(OR(BI47&lt;DATOS!$C$143,BS47&lt;DATOS!$C$143,CC47&lt;DATOS!$C$143,CM47&lt;DATOS!$C$143)),NOT(OR(AND(ISNUMBER(BN47),BN47&lt;0.005),AND(ISNUMBER(BX47),BX47&lt;0.005),AND(ISNUMBER(CH47),CH47&lt;0.005),AND(ISNUMBER(CR47),CR47&lt;0.005))),CV47="CUMPLE",CY47="CUMPLE"),"CUMPLE"&amp;IF(LEFT(BB47,5)="FUERA"," · fuera de 3.4.2.1 c)","")&amp;IF(LEFT(DD47,2)="NO"," · REVISAR anclaje en borde discontinuo",""),IF(AND(MAX(BM47,BW47,CG47,CQ47)&lt;=1,NOT(OR(BI47&lt;DATOS!$C$143,BS47&lt;DATOS!$C$143,CC47&lt;DATOS!$C$143,CM47&lt;DATOS!$C$143)),NOT(OR(AND(ISNUMBER(BN47),BN47&lt;0.005),AND(ISNUMBER(BX47),BX47&lt;0.005),AND(ISNUMBER(CH47),CH47&lt;0.005),AND(ISNUMBER(CR47),CR47&lt;0.005))),CV47="CUMPLE",CY47="CALCULAR FLECHA"),"REVISAR: calcular flecha (h &lt; h mín.)"&amp;IF(LEFT(BB47,5)="FUERA"," · fuera de 3.4.2.1 c)","")&amp;IF(LEFT(DD47,2)="NO"," · REVISAR anclaje en borde discontinuo",""),"NO CUMPLE: "&amp;IF(MAX(BM47,BW47,CG47,CQ47)&gt;1,"flexión ","")&amp;IF(OR(BI47&lt;DATOS!$C$143,BS47&lt;DATOS!$C$143,CC47&lt;DATOS!$C$143,CM47&lt;DATOS!$C$143),"separación &lt; mínima ","")&amp;IF(OR(AND(ISNUMBER(BN47),BN47&lt;0.005),AND(ISNUMBER(BX47),BX47&lt;0.005),AND(ISNUMBER(CH47),CH47&lt;0.005),AND(ISNUMBER(CR47),CR47&lt;0.005)),"ε_t &lt; 0.005 ","")&amp;IF(CV47&lt;&gt;"CUMPLE","cortante ","")&amp;IF(CY47="NO CUMPLE","peralte","")))))))</f>
        <v/>
      </c>
      <c r="DJ47" s="70" t="str">
        <f>IF(V47&lt;&gt;"SÍ","",IF(LEFT(B47,7)="EJEMPLO","EJEMPLO de tablero típico: bórralo o sobrescríbelo. ","")&amp;IF(C47="VOLADO","Volado de "&amp;TEXT(Z47,"0.00")&amp;" m empotrado en el borde "&amp;LOWER(X47)&amp;IF(N(P47)&gt;0,", con "&amp;TEXT(P47,"0.0")&amp;" kg/m en la orilla","")&amp;". Lecho inferior con r_ext. Si la orilla carga pretil u otro elemento frágil, calcula la flecha (13.4). El acero superior entra al respaldo de "&amp;TEXT(IF(ISNUMBER(Q47),Q47,Z47),"0.00")&amp;" m"&amp;" hasta pasar M = 0 con 0.9·PP sin carga viva; si ahí no se anula, llega al apoyo lejano y se ancla con gancho. ","")&amp;IF(AND(C47="VOLADO",(0.9*W47/100*DATOS!$C$16*IF(ISNUMBER(Q47),Q47,Z47)/2-AY47/IF(ISNUMBER(Q47),Q47,Z47))&lt;0),"Con 0.9·PP y sin carga viva el apoyo lejano del respaldo levanta (R = "&amp;TEXT(-(0.9*W47/100*DATOS!$C$16*IF(ISNUMBER(Q47),Q47,Z47)/2-AY47/IF(ISNUMBER(Q47),Q47,Z47)),"0.00")&amp;" t/m): ancla ahí el acero con gancho y revisa ese apoyo a tensión. ","")&amp;IF(LEFT(BB47,5)="FUERA","El M⁻ del vecino difiere más de 50 % (3.4.2.1 c): distribuye el desequilibrio (3.4.3.1) o confirma con un modelo; se arma con el mayor. ","")&amp;IF(OR(DB47="SÍ",DC47="SÍ"),"Bastones también en los bordes discontinuos (M⁻ de tabla), con gancho. ","")&amp;IF(LEFT(DD47,2)="NO","Anclaje: "&amp;DD47&amp;" (6.7.7.4.1.1). ","")&amp;IF(AND(C47="PERIMETRAL",AM47&gt;=1,AL47-AM47&gt;=1),"Esquinas exteriores sobre muro: refuerzo de esquina arriba y abajo en L_largo/5 (6.7.7.3.1). ",""))</f>
        <v/>
      </c>
    </row>
    <row r="48" ht="33" customHeight="1">
      <c r="A48" s="50">
        <f>IF(B48="",0,1)+A47</f>
        <v>3</v>
      </c>
      <c r="B48" s="29" t="n"/>
      <c r="C48" s="51" t="n"/>
      <c r="D48" s="29" t="n"/>
      <c r="E48" s="52" t="n"/>
      <c r="F48" s="52" t="n"/>
      <c r="G48" s="51" t="n"/>
      <c r="H48" s="51" t="n"/>
      <c r="I48" s="51" t="n"/>
      <c r="J48" s="51" t="n"/>
      <c r="K48" s="51" t="n"/>
      <c r="L48" s="51" t="n"/>
      <c r="M48" s="54" t="n"/>
      <c r="N48" s="53" t="n"/>
      <c r="O48" s="53" t="n"/>
      <c r="P48" s="54" t="n"/>
      <c r="Q48" s="52" t="n"/>
      <c r="R48" s="54" t="n"/>
      <c r="S48" s="53" t="n"/>
      <c r="T48" s="52" t="n"/>
      <c r="U48" s="52" t="n"/>
      <c r="V48" s="55" t="str">
        <f>IF(B48="","",IF(AND(OR(C48="PERIMETRAL",C48="VOLADO"),ISNUMBER(E48),ISNUMBER(F48),E48&gt;0,F48&gt;0,OR(ISNUMBER(O48),ISNUMBER(MATCH(D48,DATOS!$B$46:$B$58,0))),OR(C48&lt;&gt;"VOLADO",N(Q48)&gt;0)),"SÍ","NO"))</f>
        <v/>
      </c>
      <c r="W48" s="57" t="str">
        <f>IF(V48&lt;&gt;"SÍ","",IF(ISNUMBER(M48),M48,DATOS!$C$137))</f>
        <v/>
      </c>
      <c r="X48" s="55" t="str">
        <f>IF(V48&lt;&gt;"SÍ","",IF(C48&lt;&gt;"VOLADO","—",IF(COUNTIF(G48:J48,"CONTINUO")&lt;&gt;1,"?",IF(G48="CONTINUO","INFERIOR",IF(H48="CONTINUO","SUPERIOR",IF(I48="CONTINUO","IZQUIERDO","DERECHO"))))))</f>
        <v/>
      </c>
      <c r="Y48" s="55" t="str">
        <f>IF(V48&lt;&gt;"SÍ","",IF(C48="VOLADO",IF(OR(X48="IZQUIERDO",X48="DERECHO"),"X","Y"),IF(E48&lt;=F48,"X","Y")))</f>
        <v/>
      </c>
      <c r="Z48" s="56" t="str">
        <f>IF(V48&lt;&gt;"SÍ","",IF(C48="VOLADO",IF(Y48="X",E48,F48),MIN(E48,F48)))</f>
        <v/>
      </c>
      <c r="AA48" s="56" t="str">
        <f>IF(V48&lt;&gt;"SÍ","",IF(C48="VOLADO",IF(Y48="X",F48,E48),MAX(E48,F48)))</f>
        <v/>
      </c>
      <c r="AB48" s="56" t="str">
        <f>IF(V48&lt;&gt;"SÍ","",MIN(Z48,AA48)/MAX(Z48,AA48))</f>
        <v/>
      </c>
      <c r="AC48" s="57" t="str">
        <f>IF(V48&lt;&gt;"SÍ","",MAX(1,Z48*100-IF(C48="VOLADO",DATOS!$C$87/2,DATOS!$C$87)))</f>
        <v/>
      </c>
      <c r="AD48" s="57" t="str">
        <f>IF(V48&lt;&gt;"SÍ","",MAX(1,AA48*100-DATOS!$C$87))</f>
        <v/>
      </c>
      <c r="AE48" s="57" t="str">
        <f>IF(V48&lt;&gt;"SÍ","",IF(C48="VOLADO",DATOS!$C$64,DATOS!$C$62))</f>
        <v/>
      </c>
      <c r="AF48" s="57" t="str">
        <f>IF(V48&lt;&gt;"SÍ","",IF(OR(AND(AG48="SÍ",DATOS!$C$66="SÍ"),AND(C48="VOLADO",DATOS!$C$67="SÍ")),DATOS!$C$64,DATOS!$C$62))</f>
        <v/>
      </c>
      <c r="AG48" s="55" t="str">
        <f>IF(V48&lt;&gt;"SÍ","",IFERROR(INDEX(DATOS!$D$46:$D$58,MATCH(D48,DATOS!$B$46:$B$58,0)),"NO"))</f>
        <v/>
      </c>
      <c r="AH48" s="59" t="str">
        <f>IF(V48&lt;&gt;"SÍ","",IF(ISNUMBER(O48),O48,IFERROR(INDEX(DATOS!$C$46:$C$58,MATCH(D48,DATOS!$B$46:$B$58,0)),0)))</f>
        <v/>
      </c>
      <c r="AI48" s="59" t="str">
        <f>IF(V48&lt;&gt;"SÍ","",W48/100*DATOS!$C$16*1000+DATOS!$C$37+DATOS!$C$38)</f>
        <v/>
      </c>
      <c r="AJ48" s="59" t="str">
        <f>IF(V48&lt;&gt;"SÍ","",AI48+N(N48))</f>
        <v/>
      </c>
      <c r="AK48" s="60" t="str">
        <f>IF(V48&lt;&gt;"SÍ","",MAX(DATOS!$C$26*AJ48+DATOS!$C$27*AH48,IF(AG48="SÍ",DATOS!$C$28*(AJ48+DATOS!$C$41),0)))</f>
        <v/>
      </c>
      <c r="AL48" s="59" t="str">
        <f>IF(V48&lt;&gt;"SÍ","",(G48="DISCONTINUO")+(H48="DISCONTINUO")+(I48="DISCONTINUO")+(J48="DISCONTINUO"))</f>
        <v/>
      </c>
      <c r="AM48" s="59" t="str">
        <f>IF(V48&lt;&gt;"SÍ","",IF(Y48="X",(G48="DISCONTINUO")+(H48="DISCONTINUO"),(I48="DISCONTINUO")+(J48="DISCONTINUO")))</f>
        <v/>
      </c>
      <c r="AN48" s="55" t="str">
        <f>IF(V48&lt;&gt;"SÍ","",IF(AL48=0,"INTERIOR",IF(AL48=1,IF(AM48=1,"BORDE-CORTO","BORDE-LARGO"),IF(AL48=2,IF(AM48=1,"ESQUINA",IF(AM48=2,"EXTREMO-LARGO","EXTREMO-CORTO")),IF(AL48=3,IF(AM48=2,"EXTREMO-LARGO","EXTREMO-CORTO"),"AISLADO")))))</f>
        <v/>
      </c>
      <c r="AO48" s="61" t="str">
        <f>IF(V48&lt;&gt;"SÍ","",IF(OR(K48="",K48="AUTO"),AN48,K48))</f>
        <v/>
      </c>
      <c r="AP48" s="59" t="str">
        <f>IF(V48&lt;&gt;"SÍ","",MATCH(AB48,TABLAS!$D$5:$J$5,1))</f>
        <v/>
      </c>
      <c r="AQ48" s="58" t="str">
        <f>IF(V48&lt;&gt;"SÍ","",IF(AP48&gt;=7,0,(AB48-INDEX(TABLAS!$D$5:$J$5,AP48))/(INDEX(TABLAS!$D$5:$J$5,AP48+1)-INDEX(TABLAS!$D$5:$J$5,AP48))))</f>
        <v/>
      </c>
      <c r="AR48" s="59" t="str">
        <f>IF(V48&lt;&gt;"SÍ","",INDEX(TABLAS!$D$6:$J$47,MATCH(AO48&amp;"|NIC",TABLAS!$B$6:$B$47,0),AP48)+AQ48*(INDEX(TABLAS!$D$6:$J$47,MATCH(AO48&amp;"|NIC",TABLAS!$B$6:$B$47,0),MIN(AP48+1,7))-INDEX(TABLAS!$D$6:$J$47,MATCH(AO48&amp;"|NIC",TABLAS!$B$6:$B$47,0),AP48)))</f>
        <v/>
      </c>
      <c r="AS48" s="59" t="str">
        <f>IF(V48&lt;&gt;"SÍ","",INDEX(TABLAS!$D$6:$J$47,MATCH(AO48&amp;"|NIL",TABLAS!$B$6:$B$47,0),AP48)+AQ48*(INDEX(TABLAS!$D$6:$J$47,MATCH(AO48&amp;"|NIL",TABLAS!$B$6:$B$47,0),MIN(AP48+1,7))-INDEX(TABLAS!$D$6:$J$47,MATCH(AO48&amp;"|NIL",TABLAS!$B$6:$B$47,0),AP48)))</f>
        <v/>
      </c>
      <c r="AT48" s="59" t="str">
        <f>IF(V48&lt;&gt;"SÍ","",INDEX(TABLAS!$D$6:$J$47,MATCH(AO48&amp;"|NDC",TABLAS!$B$6:$B$47,0),AP48)+AQ48*(INDEX(TABLAS!$D$6:$J$47,MATCH(AO48&amp;"|NDC",TABLAS!$B$6:$B$47,0),MIN(AP48+1,7))-INDEX(TABLAS!$D$6:$J$47,MATCH(AO48&amp;"|NDC",TABLAS!$B$6:$B$47,0),AP48)))</f>
        <v/>
      </c>
      <c r="AU48" s="59" t="str">
        <f>IF(V48&lt;&gt;"SÍ","",INDEX(TABLAS!$D$6:$J$47,MATCH(AO48&amp;"|NDL",TABLAS!$B$6:$B$47,0),AP48)+AQ48*(INDEX(TABLAS!$D$6:$J$47,MATCH(AO48&amp;"|NDL",TABLAS!$B$6:$B$47,0),MIN(AP48+1,7))-INDEX(TABLAS!$D$6:$J$47,MATCH(AO48&amp;"|NDL",TABLAS!$B$6:$B$47,0),AP48)))</f>
        <v/>
      </c>
      <c r="AV48" s="59" t="str">
        <f>IF(V48&lt;&gt;"SÍ","",INDEX(TABLAS!$D$6:$J$47,MATCH(AO48&amp;"|PC",TABLAS!$B$6:$B$47,0),AP48)+AQ48*(INDEX(TABLAS!$D$6:$J$47,MATCH(AO48&amp;"|PC",TABLAS!$B$6:$B$47,0),MIN(AP48+1,7))-INDEX(TABLAS!$D$6:$J$47,MATCH(AO48&amp;"|PC",TABLAS!$B$6:$B$47,0),AP48)))</f>
        <v/>
      </c>
      <c r="AW48" s="59" t="str">
        <f>IF(V48&lt;&gt;"SÍ","",INDEX(TABLAS!$D$6:$J$47,MATCH(AO48&amp;"|PL",TABLAS!$B$6:$B$47,0),AP48)+AQ48*(INDEX(TABLAS!$D$6:$J$47,MATCH(AO48&amp;"|PL",TABLAS!$B$6:$B$47,0),MIN(AP48+1,7))-INDEX(TABLAS!$D$6:$J$47,MATCH(AO48&amp;"|PL",TABLAS!$B$6:$B$47,0),AP48)))</f>
        <v/>
      </c>
      <c r="AX48" s="56" t="str">
        <f>IF(V48&lt;&gt;"SÍ","",IF(C48="PERIMETRAL",AV48*AK48*Z48^2*1E-4/1000,0))</f>
        <v/>
      </c>
      <c r="AY48" s="62" t="str">
        <f>IF(V48&lt;&gt;"SÍ","",IF(C48="PERIMETRAL",MAX(MAX(AR48,AT48)*AK48*Z48^2*1E-4/1000,N(T48)),(AK48*(AC48/100)^2/2+DATOS!$C$26*N(P48)*AC48/100)/1000))</f>
        <v/>
      </c>
      <c r="AZ48" s="56" t="str">
        <f>IF(V48&lt;&gt;"SÍ","",IF(C48="PERIMETRAL",AW48*AK48*Z48^2*1E-4/1000,0))</f>
        <v/>
      </c>
      <c r="BA48" s="56" t="str">
        <f>IF(V48&lt;&gt;"SÍ","",IF(C48="PERIMETRAL",MAX(MAX(AS48,AU48)*AK48*Z48^2*1E-4/1000,N(U48)),0))</f>
        <v/>
      </c>
      <c r="BB48" s="63" t="str">
        <f>IF(V48&lt;&gt;"SÍ","",IF(C48&lt;&gt;"PERIMETRAL","—",IF(AND(N(T48)=0,N(U48)=0),"— (sin M⁻ del vecino)",IF(OR(AND(N(T48)&gt;0,ABS(MAX(AR48,AT48)*AK48*Z48^2*1E-4/1000-N(T48))&gt;0.5*MIN(MAX(AR48,AT48)*AK48*Z48^2*1E-4/1000,N(T48))),AND(N(U48)&gt;0,ABS(MAX(AS48,AU48)*AK48*Z48^2*1E-4/1000-N(U48))&gt;0.5*MIN(MAX(AS48,AU48)*AK48*Z48^2*1E-4/1000,N(U48)))),"FUERA: difieren &gt; 50 %"&amp;IF(AND(N(T48)&gt;0,ABS(MAX(AR48,AT48)*AK48*Z48^2*1E-4/1000-N(T48))&gt;0.5*MIN(MAX(AR48,AT48)*AK48*Z48^2*1E-4/1000,N(T48)))," ‖ corto","")&amp;IF(AND(N(U48)&gt;0,ABS(MAX(AS48,AU48)*AK48*Z48^2*1E-4/1000-N(U48))&gt;0.5*MIN(MAX(AS48,AU48)*AK48*Z48^2*1E-4/1000,N(U48)))," ‖ largo",""),"CUMPLE"))))</f>
        <v/>
      </c>
      <c r="BC48" s="58" t="str">
        <f>IF(V48&lt;&gt;"SÍ","",DATOS!$C$139*100*W48)</f>
        <v/>
      </c>
      <c r="BD48" s="57" t="str">
        <f>IF(V48&lt;&gt;"SÍ","",MIN(IF(C48="VOLADO",DATOS!$C$141,DATOS!$C$140)*W48,DATOS!$C$142))</f>
        <v/>
      </c>
      <c r="BE48" s="58" t="str">
        <f>IF(V48&lt;&gt;"SÍ","",(W48-AE48-INDEX(TABLAS!$C$52:$C$58,MATCH(IF(ISNUMBER(S48),S48,DATOS!$C$138),TABLAS!$B$52:$B$58,0))/2))</f>
        <v/>
      </c>
      <c r="BF48" s="58" t="str">
        <f>IF(V48&lt;&gt;"SÍ","",IF(AX48&lt;=0,0,IF((1-2*AX48*1E5/(DATOS!$C$29*100*BE48^2*DATOS!$C$21))&lt;0,-1,IF((1-SQRT((1-2*AX48*1E5/(DATOS!$C$29*100*BE48^2*DATOS!$C$21))))*DATOS!$C$21*100*BE48/DATOS!$C$14&gt;DATOS!$C$102*100*BE48,-1,(1-SQRT((1-2*AX48*1E5/(DATOS!$C$29*100*BE48^2*DATOS!$C$21))))*DATOS!$C$21*100*BE48/DATOS!$C$14))))</f>
        <v/>
      </c>
      <c r="BG48" s="58" t="str">
        <f>IF(V48&lt;&gt;"SÍ","",IF(BF48&lt;0,-1,MAX(BF48,BC48)))</f>
        <v/>
      </c>
      <c r="BH48" s="64" t="str">
        <f>IF(V48&lt;&gt;"SÍ","",IF(AND(BG48&gt;0,FLOOR(MIN(BD48,100*INDEX(TABLAS!$D$52:$D$58,MIN(MATCH(IF(ISNUMBER(S48),S48,DATOS!$C$138),TABLAS!$B$52:$B$58,0)+0,7))/MAX(BG48,0.0001)),DATOS!$C$144)&gt;=DATOS!$C$143),INDEX(TABLAS!$B$52:$B$58,MIN(MATCH(IF(ISNUMBER(S48),S48,DATOS!$C$138),TABLAS!$B$52:$B$58,0)+0,7)),IF(AND(BG48&gt;0,FLOOR(MIN(BD48,100*INDEX(TABLAS!$D$52:$D$58,MIN(MATCH(IF(ISNUMBER(S48),S48,DATOS!$C$138),TABLAS!$B$52:$B$58,0)+1,7))/MAX(BG48,0.0001)),DATOS!$C$144)&gt;=DATOS!$C$143),INDEX(TABLAS!$B$52:$B$58,MIN(MATCH(IF(ISNUMBER(S48),S48,DATOS!$C$138),TABLAS!$B$52:$B$58,0)+1,7)),IF(AND(BG48&gt;0,FLOOR(MIN(BD48,100*INDEX(TABLAS!$D$52:$D$58,MIN(MATCH(IF(ISNUMBER(S48),S48,DATOS!$C$138),TABLAS!$B$52:$B$58,0)+2,7))/MAX(BG48,0.0001)),DATOS!$C$144)&gt;=DATOS!$C$143),INDEX(TABLAS!$B$52:$B$58,MIN(MATCH(IF(ISNUMBER(S48),S48,DATOS!$C$138),TABLAS!$B$52:$B$58,0)+2,7)),IF(AND(BG48&gt;0,FLOOR(MIN(BD48,100*INDEX(TABLAS!$D$52:$D$58,MIN(MATCH(IF(ISNUMBER(S48),S48,DATOS!$C$138),TABLAS!$B$52:$B$58,0)+3,7))/MAX(BG48,0.0001)),DATOS!$C$144)&gt;=DATOS!$C$143),INDEX(TABLAS!$B$52:$B$58,MIN(MATCH(IF(ISNUMBER(S48),S48,DATOS!$C$138),TABLAS!$B$52:$B$58,0)+3,7)),IF(AND(BG48&gt;0,FLOOR(MIN(BD48,100*INDEX(TABLAS!$D$52:$D$58,MIN(MATCH(IF(ISNUMBER(S48),S48,DATOS!$C$138),TABLAS!$B$52:$B$58,0)+4,7))/MAX(BG48,0.0001)),DATOS!$C$144)&gt;=DATOS!$C$143),INDEX(TABLAS!$B$52:$B$58,MIN(MATCH(IF(ISNUMBER(S48),S48,DATOS!$C$138),TABLAS!$B$52:$B$58,0)+4,7)),INDEX(TABLAS!$B$52:$B$58,7)))))))</f>
        <v/>
      </c>
      <c r="BI48" s="71" t="str">
        <f>IF(V48&lt;&gt;"SÍ","",IF(BG48&lt;=0,0,FLOOR(MIN(BD48,100*INDEX(TABLAS!$D$52:$D$58,MATCH(BH48,TABLAS!$B$52:$B$58,0))/BG48),DATOS!$C$144)))</f>
        <v/>
      </c>
      <c r="BJ48" s="58" t="str">
        <f>IF(V48&lt;&gt;"SÍ","",IF(BI48&lt;=0,0,INDEX(TABLAS!$D$52:$D$58,MATCH(BH48,TABLAS!$B$52:$B$58,0))*100/BI48))</f>
        <v/>
      </c>
      <c r="BK48" s="58" t="str">
        <f>IF(V48&lt;&gt;"SÍ","",W48-AE48-INDEX(TABLAS!$C$52:$C$58,MATCH(BH48,TABLAS!$B$52:$B$58,0))/2)</f>
        <v/>
      </c>
      <c r="BL48" s="56" t="str">
        <f>IF(V48&lt;&gt;"SÍ","",IF(BJ48=0,0,DATOS!$C$29*BJ48*DATOS!$C$14*(BK48-BJ48*DATOS!$C$14/(DATOS!$C$21*100)/2)/1E5))</f>
        <v/>
      </c>
      <c r="BM48" s="65" t="str">
        <f>IF(V48&lt;&gt;"SÍ","",IF(BG48&lt;0,9.99,IF(BL48&gt;0,AX48/BL48,0)))</f>
        <v/>
      </c>
      <c r="BN48" s="66" t="str">
        <f>IF(V48&lt;&gt;"SÍ","",IF(BJ48=0,"—",0.003*(BK48-(BJ48*DATOS!$C$14/(DATOS!$C$21*100)/DATOS!$C$22))/(BJ48*DATOS!$C$14/(DATOS!$C$21*100)/DATOS!$C$22)))</f>
        <v/>
      </c>
      <c r="BO48" s="58" t="str">
        <f>IF(V48&lt;&gt;"SÍ","",((W48-AF48-INDEX(TABLAS!$C$52:$C$58,MATCH(IF(ISNUMBER(S48),S48,DATOS!$C$138),TABLAS!$B$52:$B$58,0))/2)-IF(AND((W48-AF48-INDEX(TABLAS!$C$52:$C$58,MATCH(IF(ISNUMBER(S48),S48,DATOS!$C$138),TABLAS!$B$52:$B$58,0))/2)&lt;=20,DATOS!$C$65&lt;&gt;"SÍ"),2,0)))</f>
        <v/>
      </c>
      <c r="BP48" s="58" t="str">
        <f>IF(V48&lt;&gt;"SÍ","",IF(AY48&lt;=0,0,IF((1-2*AY48*1E5/(DATOS!$C$29*100*BO48^2*DATOS!$C$21))&lt;0,-1,IF((1-SQRT((1-2*AY48*1E5/(DATOS!$C$29*100*BO48^2*DATOS!$C$21))))*DATOS!$C$21*100*BO48/DATOS!$C$14&gt;DATOS!$C$102*100*BO48,-1,(1-SQRT((1-2*AY48*1E5/(DATOS!$C$29*100*BO48^2*DATOS!$C$21))))*DATOS!$C$21*100*BO48/DATOS!$C$14))))</f>
        <v/>
      </c>
      <c r="BQ48" s="58" t="str">
        <f>IF(V48&lt;&gt;"SÍ","",IF(BP48&lt;0,-1,MAX(BP48,BC48)))</f>
        <v/>
      </c>
      <c r="BR48" s="64" t="str">
        <f>IF(V48&lt;&gt;"SÍ","",IF(AND(BQ48&gt;0,FLOOR(MIN(BD48,100*INDEX(TABLAS!$D$52:$D$58,MIN(MATCH(IF(ISNUMBER(S48),S48,DATOS!$C$138),TABLAS!$B$52:$B$58,0)+0,7))/MAX(BQ48,0.0001)),DATOS!$C$144)&gt;=DATOS!$C$143),INDEX(TABLAS!$B$52:$B$58,MIN(MATCH(IF(ISNUMBER(S48),S48,DATOS!$C$138),TABLAS!$B$52:$B$58,0)+0,7)),IF(AND(BQ48&gt;0,FLOOR(MIN(BD48,100*INDEX(TABLAS!$D$52:$D$58,MIN(MATCH(IF(ISNUMBER(S48),S48,DATOS!$C$138),TABLAS!$B$52:$B$58,0)+1,7))/MAX(BQ48,0.0001)),DATOS!$C$144)&gt;=DATOS!$C$143),INDEX(TABLAS!$B$52:$B$58,MIN(MATCH(IF(ISNUMBER(S48),S48,DATOS!$C$138),TABLAS!$B$52:$B$58,0)+1,7)),IF(AND(BQ48&gt;0,FLOOR(MIN(BD48,100*INDEX(TABLAS!$D$52:$D$58,MIN(MATCH(IF(ISNUMBER(S48),S48,DATOS!$C$138),TABLAS!$B$52:$B$58,0)+2,7))/MAX(BQ48,0.0001)),DATOS!$C$144)&gt;=DATOS!$C$143),INDEX(TABLAS!$B$52:$B$58,MIN(MATCH(IF(ISNUMBER(S48),S48,DATOS!$C$138),TABLAS!$B$52:$B$58,0)+2,7)),IF(AND(BQ48&gt;0,FLOOR(MIN(BD48,100*INDEX(TABLAS!$D$52:$D$58,MIN(MATCH(IF(ISNUMBER(S48),S48,DATOS!$C$138),TABLAS!$B$52:$B$58,0)+3,7))/MAX(BQ48,0.0001)),DATOS!$C$144)&gt;=DATOS!$C$143),INDEX(TABLAS!$B$52:$B$58,MIN(MATCH(IF(ISNUMBER(S48),S48,DATOS!$C$138),TABLAS!$B$52:$B$58,0)+3,7)),IF(AND(BQ48&gt;0,FLOOR(MIN(BD48,100*INDEX(TABLAS!$D$52:$D$58,MIN(MATCH(IF(ISNUMBER(S48),S48,DATOS!$C$138),TABLAS!$B$52:$B$58,0)+4,7))/MAX(BQ48,0.0001)),DATOS!$C$144)&gt;=DATOS!$C$143),INDEX(TABLAS!$B$52:$B$58,MIN(MATCH(IF(ISNUMBER(S48),S48,DATOS!$C$138),TABLAS!$B$52:$B$58,0)+4,7)),INDEX(TABLAS!$B$52:$B$58,7)))))))</f>
        <v/>
      </c>
      <c r="BS48" s="71" t="str">
        <f>IF(V48&lt;&gt;"SÍ","",IF(BQ48&lt;=0,0,FLOOR(MIN(BD48,100*INDEX(TABLAS!$D$52:$D$58,MATCH(BR48,TABLAS!$B$52:$B$58,0))/BQ48),DATOS!$C$144)))</f>
        <v/>
      </c>
      <c r="BT48" s="58" t="str">
        <f>IF(V48&lt;&gt;"SÍ","",IF(BS48&lt;=0,0,INDEX(TABLAS!$D$52:$D$58,MATCH(BR48,TABLAS!$B$52:$B$58,0))*100/BS48))</f>
        <v/>
      </c>
      <c r="BU48" s="58" t="str">
        <f>IF(V48&lt;&gt;"SÍ","",((W48-AF48-INDEX(TABLAS!$C$52:$C$58,MATCH(BR48,TABLAS!$B$52:$B$58,0))/2)-IF(AND((W48-AF48-INDEX(TABLAS!$C$52:$C$58,MATCH(BR48,TABLAS!$B$52:$B$58,0))/2)&lt;=20,DATOS!$C$65&lt;&gt;"SÍ"),2,0)))</f>
        <v/>
      </c>
      <c r="BV48" s="56" t="str">
        <f>IF(V48&lt;&gt;"SÍ","",IF(BT48=0,0,DATOS!$C$29*BT48*DATOS!$C$14*(BU48-BT48*DATOS!$C$14/(DATOS!$C$21*100)/2)/1E5))</f>
        <v/>
      </c>
      <c r="BW48" s="65" t="str">
        <f>IF(V48&lt;&gt;"SÍ","",IF(BQ48&lt;0,9.99,IF(BV48&gt;0,AY48/BV48,0)))</f>
        <v/>
      </c>
      <c r="BX48" s="66" t="str">
        <f>IF(V48&lt;&gt;"SÍ","",IF(BT48=0,"—",0.003*(BU48-(BT48*DATOS!$C$14/(DATOS!$C$21*100)/DATOS!$C$22))/(BT48*DATOS!$C$14/(DATOS!$C$21*100)/DATOS!$C$22)))</f>
        <v/>
      </c>
      <c r="BY48" s="58" t="str">
        <f>IF(V48&lt;&gt;"SÍ","",(W48-AE48-1.5*INDEX(TABLAS!$C$52:$C$58,MATCH(IF(ISNUMBER(S48),S48,DATOS!$C$138),TABLAS!$B$52:$B$58,0))))</f>
        <v/>
      </c>
      <c r="BZ48" s="58" t="str">
        <f>IF(V48&lt;&gt;"SÍ","",IF(AZ48&lt;=0,0,IF((1-2*AZ48*1E5/(DATOS!$C$29*100*BY48^2*DATOS!$C$21))&lt;0,-1,IF((1-SQRT((1-2*AZ48*1E5/(DATOS!$C$29*100*BY48^2*DATOS!$C$21))))*DATOS!$C$21*100*BY48/DATOS!$C$14&gt;DATOS!$C$102*100*BY48,-1,(1-SQRT((1-2*AZ48*1E5/(DATOS!$C$29*100*BY48^2*DATOS!$C$21))))*DATOS!$C$21*100*BY48/DATOS!$C$14))))</f>
        <v/>
      </c>
      <c r="CA48" s="58" t="str">
        <f>IF(V48&lt;&gt;"SÍ","",IF(BZ48&lt;0,-1,MAX(BZ48,BC48)))</f>
        <v/>
      </c>
      <c r="CB48" s="64" t="str">
        <f>IF(V48&lt;&gt;"SÍ","",IF(AND(CA48&gt;0,FLOOR(MIN(BD48,100*INDEX(TABLAS!$D$52:$D$58,MIN(MATCH(IF(ISNUMBER(S48),S48,DATOS!$C$138),TABLAS!$B$52:$B$58,0)+0,7))/MAX(CA48,0.0001)),DATOS!$C$144)&gt;=DATOS!$C$143),INDEX(TABLAS!$B$52:$B$58,MIN(MATCH(IF(ISNUMBER(S48),S48,DATOS!$C$138),TABLAS!$B$52:$B$58,0)+0,7)),IF(AND(CA48&gt;0,FLOOR(MIN(BD48,100*INDEX(TABLAS!$D$52:$D$58,MIN(MATCH(IF(ISNUMBER(S48),S48,DATOS!$C$138),TABLAS!$B$52:$B$58,0)+1,7))/MAX(CA48,0.0001)),DATOS!$C$144)&gt;=DATOS!$C$143),INDEX(TABLAS!$B$52:$B$58,MIN(MATCH(IF(ISNUMBER(S48),S48,DATOS!$C$138),TABLAS!$B$52:$B$58,0)+1,7)),IF(AND(CA48&gt;0,FLOOR(MIN(BD48,100*INDEX(TABLAS!$D$52:$D$58,MIN(MATCH(IF(ISNUMBER(S48),S48,DATOS!$C$138),TABLAS!$B$52:$B$58,0)+2,7))/MAX(CA48,0.0001)),DATOS!$C$144)&gt;=DATOS!$C$143),INDEX(TABLAS!$B$52:$B$58,MIN(MATCH(IF(ISNUMBER(S48),S48,DATOS!$C$138),TABLAS!$B$52:$B$58,0)+2,7)),IF(AND(CA48&gt;0,FLOOR(MIN(BD48,100*INDEX(TABLAS!$D$52:$D$58,MIN(MATCH(IF(ISNUMBER(S48),S48,DATOS!$C$138),TABLAS!$B$52:$B$58,0)+3,7))/MAX(CA48,0.0001)),DATOS!$C$144)&gt;=DATOS!$C$143),INDEX(TABLAS!$B$52:$B$58,MIN(MATCH(IF(ISNUMBER(S48),S48,DATOS!$C$138),TABLAS!$B$52:$B$58,0)+3,7)),IF(AND(CA48&gt;0,FLOOR(MIN(BD48,100*INDEX(TABLAS!$D$52:$D$58,MIN(MATCH(IF(ISNUMBER(S48),S48,DATOS!$C$138),TABLAS!$B$52:$B$58,0)+4,7))/MAX(CA48,0.0001)),DATOS!$C$144)&gt;=DATOS!$C$143),INDEX(TABLAS!$B$52:$B$58,MIN(MATCH(IF(ISNUMBER(S48),S48,DATOS!$C$138),TABLAS!$B$52:$B$58,0)+4,7)),INDEX(TABLAS!$B$52:$B$58,7)))))))</f>
        <v/>
      </c>
      <c r="CC48" s="71" t="str">
        <f>IF(V48&lt;&gt;"SÍ","",IF(CA48&lt;=0,0,FLOOR(MIN(BD48,100*INDEX(TABLAS!$D$52:$D$58,MATCH(CB48,TABLAS!$B$52:$B$58,0))/CA48),DATOS!$C$144)))</f>
        <v/>
      </c>
      <c r="CD48" s="58" t="str">
        <f>IF(V48&lt;&gt;"SÍ","",IF(CC48&lt;=0,0,INDEX(TABLAS!$D$52:$D$58,MATCH(CB48,TABLAS!$B$52:$B$58,0))*100/CC48))</f>
        <v/>
      </c>
      <c r="CE48" s="58" t="str">
        <f>IF(V48&lt;&gt;"SÍ","",W48-AE48-INDEX(TABLAS!$C$52:$C$58,MATCH(BH48,TABLAS!$B$52:$B$58,0))-INDEX(TABLAS!$C$52:$C$58,MATCH(CB48,TABLAS!$B$52:$B$58,0))/2)</f>
        <v/>
      </c>
      <c r="CF48" s="56" t="str">
        <f>IF(V48&lt;&gt;"SÍ","",IF(CD48=0,0,DATOS!$C$29*CD48*DATOS!$C$14*(CE48-CD48*DATOS!$C$14/(DATOS!$C$21*100)/2)/1E5))</f>
        <v/>
      </c>
      <c r="CG48" s="65" t="str">
        <f>IF(V48&lt;&gt;"SÍ","",IF(CA48&lt;0,9.99,IF(CF48&gt;0,AZ48/CF48,0)))</f>
        <v/>
      </c>
      <c r="CH48" s="66" t="str">
        <f>IF(V48&lt;&gt;"SÍ","",IF(CD48=0,"—",0.003*(CE48-(CD48*DATOS!$C$14/(DATOS!$C$21*100)/DATOS!$C$22))/(CD48*DATOS!$C$14/(DATOS!$C$21*100)/DATOS!$C$22)))</f>
        <v/>
      </c>
      <c r="CI48" s="58" t="str">
        <f>IF(V48&lt;&gt;"SÍ","",((W48-AF48-1.5*INDEX(TABLAS!$C$52:$C$58,MATCH(IF(ISNUMBER(S48),S48,DATOS!$C$138),TABLAS!$B$52:$B$58,0)))-IF(AND((W48-AF48-1.5*INDEX(TABLAS!$C$52:$C$58,MATCH(IF(ISNUMBER(S48),S48,DATOS!$C$138),TABLAS!$B$52:$B$58,0)))&lt;=20,DATOS!$C$65&lt;&gt;"SÍ"),2,0)))</f>
        <v/>
      </c>
      <c r="CJ48" s="58" t="str">
        <f>IF(V48&lt;&gt;"SÍ","",IF(BA48&lt;=0,0,IF((1-2*BA48*1E5/(DATOS!$C$29*100*CI48^2*DATOS!$C$21))&lt;0,-1,IF((1-SQRT((1-2*BA48*1E5/(DATOS!$C$29*100*CI48^2*DATOS!$C$21))))*DATOS!$C$21*100*CI48/DATOS!$C$14&gt;DATOS!$C$102*100*CI48,-1,(1-SQRT((1-2*BA48*1E5/(DATOS!$C$29*100*CI48^2*DATOS!$C$21))))*DATOS!$C$21*100*CI48/DATOS!$C$14))))</f>
        <v/>
      </c>
      <c r="CK48" s="58" t="str">
        <f>IF(V48&lt;&gt;"SÍ","",IF(CJ48&lt;0,-1,MAX(CJ48,BC48)))</f>
        <v/>
      </c>
      <c r="CL48" s="64" t="str">
        <f>IF(V48&lt;&gt;"SÍ","",IF(AND(CK48&gt;0,FLOOR(MIN(BD48,100*INDEX(TABLAS!$D$52:$D$58,MIN(MATCH(IF(ISNUMBER(S48),S48,DATOS!$C$138),TABLAS!$B$52:$B$58,0)+0,7))/MAX(CK48,0.0001)),DATOS!$C$144)&gt;=DATOS!$C$143),INDEX(TABLAS!$B$52:$B$58,MIN(MATCH(IF(ISNUMBER(S48),S48,DATOS!$C$138),TABLAS!$B$52:$B$58,0)+0,7)),IF(AND(CK48&gt;0,FLOOR(MIN(BD48,100*INDEX(TABLAS!$D$52:$D$58,MIN(MATCH(IF(ISNUMBER(S48),S48,DATOS!$C$138),TABLAS!$B$52:$B$58,0)+1,7))/MAX(CK48,0.0001)),DATOS!$C$144)&gt;=DATOS!$C$143),INDEX(TABLAS!$B$52:$B$58,MIN(MATCH(IF(ISNUMBER(S48),S48,DATOS!$C$138),TABLAS!$B$52:$B$58,0)+1,7)),IF(AND(CK48&gt;0,FLOOR(MIN(BD48,100*INDEX(TABLAS!$D$52:$D$58,MIN(MATCH(IF(ISNUMBER(S48),S48,DATOS!$C$138),TABLAS!$B$52:$B$58,0)+2,7))/MAX(CK48,0.0001)),DATOS!$C$144)&gt;=DATOS!$C$143),INDEX(TABLAS!$B$52:$B$58,MIN(MATCH(IF(ISNUMBER(S48),S48,DATOS!$C$138),TABLAS!$B$52:$B$58,0)+2,7)),IF(AND(CK48&gt;0,FLOOR(MIN(BD48,100*INDEX(TABLAS!$D$52:$D$58,MIN(MATCH(IF(ISNUMBER(S48),S48,DATOS!$C$138),TABLAS!$B$52:$B$58,0)+3,7))/MAX(CK48,0.0001)),DATOS!$C$144)&gt;=DATOS!$C$143),INDEX(TABLAS!$B$52:$B$58,MIN(MATCH(IF(ISNUMBER(S48),S48,DATOS!$C$138),TABLAS!$B$52:$B$58,0)+3,7)),IF(AND(CK48&gt;0,FLOOR(MIN(BD48,100*INDEX(TABLAS!$D$52:$D$58,MIN(MATCH(IF(ISNUMBER(S48),S48,DATOS!$C$138),TABLAS!$B$52:$B$58,0)+4,7))/MAX(CK48,0.0001)),DATOS!$C$144)&gt;=DATOS!$C$143),INDEX(TABLAS!$B$52:$B$58,MIN(MATCH(IF(ISNUMBER(S48),S48,DATOS!$C$138),TABLAS!$B$52:$B$58,0)+4,7)),INDEX(TABLAS!$B$52:$B$58,7)))))))</f>
        <v/>
      </c>
      <c r="CM48" s="71" t="str">
        <f>IF(V48&lt;&gt;"SÍ","",IF(CK48&lt;=0,0,FLOOR(MIN(BD48,100*INDEX(TABLAS!$D$52:$D$58,MATCH(CL48,TABLAS!$B$52:$B$58,0))/CK48),DATOS!$C$144)))</f>
        <v/>
      </c>
      <c r="CN48" s="58" t="str">
        <f>IF(V48&lt;&gt;"SÍ","",IF(CM48&lt;=0,0,INDEX(TABLAS!$D$52:$D$58,MATCH(CL48,TABLAS!$B$52:$B$58,0))*100/CM48))</f>
        <v/>
      </c>
      <c r="CO48" s="58" t="str">
        <f>IF(V48&lt;&gt;"SÍ","",((W48-AF48-INDEX(TABLAS!$C$52:$C$58,MATCH(BR48,TABLAS!$B$52:$B$58,0))-INDEX(TABLAS!$C$52:$C$58,MATCH(CL48,TABLAS!$B$52:$B$58,0))/2)-IF(AND((W48-AF48-INDEX(TABLAS!$C$52:$C$58,MATCH(BR48,TABLAS!$B$52:$B$58,0))-INDEX(TABLAS!$C$52:$C$58,MATCH(CL48,TABLAS!$B$52:$B$58,0))/2)&lt;=20,DATOS!$C$65&lt;&gt;"SÍ"),2,0)))</f>
        <v/>
      </c>
      <c r="CP48" s="56" t="str">
        <f>IF(V48&lt;&gt;"SÍ","",IF(CN48=0,0,DATOS!$C$29*CN48*DATOS!$C$14*(CO48-CN48*DATOS!$C$14/(DATOS!$C$21*100)/2)/1E5))</f>
        <v/>
      </c>
      <c r="CQ48" s="65" t="str">
        <f>IF(V48&lt;&gt;"SÍ","",IF(CK48&lt;0,9.99,IF(CP48&gt;0,BA48/CP48,0)))</f>
        <v/>
      </c>
      <c r="CR48" s="66" t="str">
        <f>IF(V48&lt;&gt;"SÍ","",IF(CN48=0,"—",0.003*(CO48-(CN48*DATOS!$C$14/(DATOS!$C$21*100)/DATOS!$C$22))/(CN48*DATOS!$C$14/(DATOS!$C$21*100)/DATOS!$C$22)))</f>
        <v/>
      </c>
      <c r="CS48" s="56" t="str">
        <f>IF(V48&lt;&gt;"SÍ","",IF(C48="PERIMETRAL",MAX(0,(AC48/2-BU48)/100)*(0.95-0.5*AB48)*AK48*IF(AND(AL48&gt;0,AL48&lt;4),DATOS!$C$33,1)/1000,(AK48*MAX(0,AC48-BU48)/100+DATOS!$C$26*N(P48))/1000))</f>
        <v/>
      </c>
      <c r="CT48" s="66" t="str">
        <f>IF(V48&lt;&gt;"SÍ","",BT48/(100*BU48))</f>
        <v/>
      </c>
      <c r="CU48" s="56" t="str">
        <f>IF(V48&lt;&gt;"SÍ","",DATOS!$C$30*2*MIN(1,SQRT(2/(1+0.04*BU48)))*CT48^(1/3)*SQRT(DATOS!$C$13)*100*BU48/1000)</f>
        <v/>
      </c>
      <c r="CV48" s="67" t="str">
        <f>IF(V48&lt;&gt;"SÍ","",IF(CS48&lt;=CU48,"CUMPLE","NO CUMPLE: sube h"))</f>
        <v/>
      </c>
      <c r="CW48" s="58" t="str">
        <f>IF(V48&lt;&gt;"SÍ","",IF(C48="PERIMETRAL",IF(ISNUMBER(R48),R48,DATOS!$C$104),0))</f>
        <v/>
      </c>
      <c r="CX48" s="57" t="str">
        <f>IF(V48&lt;&gt;"SÍ","",IF(C48="PERIMETRAL",IF(CW48&gt;2,MAX(9,AD48*(0.8+DATOS!$C$14/14000)/(36+9*(AD48/MAX(AC48,1)))),IF(CW48&gt;0.2,MAX(13,AD48*(0.8+DATOS!$C$14/14000)/(36+5*(AD48/MAX(AC48,1))*(CW48-0.2))),MAX(13,AD48/IF(AL48&gt;0,30,33))))*IF(AND(CW48&gt;0.2,AL48&gt;0,DATOS!$C$105="NO"),1.1,1),Z48*100/DATOS!$C$145*(0.4+DATOS!$C$14/7000)))</f>
        <v/>
      </c>
      <c r="CY48" s="61" t="str">
        <f>IF(V48&lt;&gt;"SÍ","",IF(W48&gt;=CX48-0.001,"CUMPLE",IF(C48="VOLADO","NO CUMPLE","CALCULAR FLECHA")))</f>
        <v/>
      </c>
      <c r="CZ48" s="60" t="str">
        <f>IF(V48&lt;&gt;"SÍ","",IF(C48="VOLADO",MIN(FLOOR(IF(ISNUMBER(Q48),Q48,Z48)*100-DATOS!$C$63,5),CEILING(MAX(IF((0.5*(0.9*W48/100*DATOS!$C$16)*IF(ISNUMBER(Q48),Q48,Z48)+AY48/IF(ISNUMBER(Q48),Q48,Z48))^2-4*(0.5*(0.9*W48/100*DATOS!$C$16))*AY48&lt;0,IF(ISNUMBER(Q48),Q48,Z48),MIN(IF(ISNUMBER(Q48),Q48,Z48),((0.5*(0.9*W48/100*DATOS!$C$16)*IF(ISNUMBER(Q48),Q48,Z48)+AY48/IF(ISNUMBER(Q48),Q48,Z48))-SQRT((0.5*(0.9*W48/100*DATOS!$C$16)*IF(ISNUMBER(Q48),Q48,Z48)+AY48/IF(ISNUMBER(Q48),Q48,Z48))^2-4*(0.5*(0.9*W48/100*DATOS!$C$16))*AY48))/(2*(0.5*(0.9*W48/100*DATOS!$C$16)))))*100+MAX(BU48,12*INDEX(TABLAS!$C$52:$C$58,MATCH(BR48,TABLAS!$B$52:$B$58,0)),IF(ISNUMBER(Q48),Q48,Z48)*100/16),IF(OR(AF48&lt;INDEX(TABLAS!$C$52:$C$58,MATCH(BR48,TABLAS!$B$52:$B$58,0)),BS48-INDEX(TABLAS!$C$52:$C$58,MATCH(BR48,TABLAS!$B$52:$B$58,0))&lt;2*INDEX(TABLAS!$C$52:$C$58,MATCH(BR48,TABLAS!$B$52:$B$58,0))),INDEX(TABLAS!$I$52:$I$58,MATCH(BR48,TABLAS!$B$52:$B$58,0)),INDEX(TABLAS!$F$52:$F$58,MATCH(BR48,TABLAS!$B$52:$B$58,0)))),5)),IF(((4*((AV48*AK48*Z48^2*1E-4/1000)+((MAX(AR48,AT48)*AK48*Z48^2*1E-4/1000)+(IF(AND(AR48&gt;0,AT48&gt;0),MIN(AR48,AT48),MAX(AR48,AT48))*AK48*Z48^2*1E-4/1000))/2)+AY48-(IF(AND(AR48&gt;0,AT48&gt;0),MIN(AR48,AT48),MAX(AR48,AT48))*AK48*Z48^2*1E-4/1000))^2-16*((AV48*AK48*Z48^2*1E-4/1000)+((MAX(AR48,AT48)*AK48*Z48^2*1E-4/1000)+(IF(AND(AR48&gt;0,AT48&gt;0),MIN(AR48,AT48),MAX(AR48,AT48))*AK48*Z48^2*1E-4/1000))/2)*AY48)&lt;0,CEILING(AC48,5),CEILING(MAX(AC48*((4*((AV48*AK48*Z48^2*1E-4/1000)+((MAX(AR48,AT48)*AK48*Z48^2*1E-4/1000)+(IF(AND(AR48&gt;0,AT48&gt;0),MIN(AR48,AT48),MAX(AR48,AT48))*AK48*Z48^2*1E-4/1000))/2)+AY48-(IF(AND(AR48&gt;0,AT48&gt;0),MIN(AR48,AT48),MAX(AR48,AT48))*AK48*Z48^2*1E-4/1000))-SQRT(MAX(0,((4*((AV48*AK48*Z48^2*1E-4/1000)+((MAX(AR48,AT48)*AK48*Z48^2*1E-4/1000)+(IF(AND(AR48&gt;0,AT48&gt;0),MIN(AR48,AT48),MAX(AR48,AT48))*AK48*Z48^2*1E-4/1000))/2)+AY48-(IF(AND(AR48&gt;0,AT48&gt;0),MIN(AR48,AT48),MAX(AR48,AT48))*AK48*Z48^2*1E-4/1000))^2-16*((AV48*AK48*Z48^2*1E-4/1000)+((MAX(AR48,AT48)*AK48*Z48^2*1E-4/1000)+(IF(AND(AR48&gt;0,AT48&gt;0),MIN(AR48,AT48),MAX(AR48,AT48))*AK48*Z48^2*1E-4/1000))/2)*AY48))))/(8*MAX(((AV48*AK48*Z48^2*1E-4/1000)+((MAX(AR48,AT48)*AK48*Z48^2*1E-4/1000)+(IF(AND(AR48&gt;0,AT48&gt;0),MIN(AR48,AT48),MAX(AR48,AT48))*AK48*Z48^2*1E-4/1000))/2),1E-9))+MAX(BU48,12*INDEX(TABLAS!$C$52:$C$58,MATCH(BR48,TABLAS!$B$52:$B$58,0)),AC48/16),IF(OR(AF48&lt;INDEX(TABLAS!$C$52:$C$58,MATCH(BR48,TABLAS!$B$52:$B$58,0)),BS48-INDEX(TABLAS!$C$52:$C$58,MATCH(BR48,TABLAS!$B$52:$B$58,0))&lt;2*INDEX(TABLAS!$C$52:$C$58,MATCH(BR48,TABLAS!$B$52:$B$58,0))),INDEX(TABLAS!$I$52:$I$58,MATCH(BR48,TABLAS!$B$52:$B$58,0)),INDEX(TABLAS!$F$52:$F$58,MATCH(BR48,TABLAS!$B$52:$B$58,0)))),5))))</f>
        <v/>
      </c>
      <c r="DA48" s="60" t="str">
        <f>IF(V48&lt;&gt;"SÍ","",IF(C48="VOLADO",0,IF(((4*((AW48*AK48*Z48^2*1E-4/1000)+((MAX(AS48,AU48)*AK48*Z48^2*1E-4/1000)+(IF(AND(AS48&gt;0,AU48&gt;0),MIN(AS48,AU48),MAX(AS48,AU48))*AK48*Z48^2*1E-4/1000))/2)+BA48-(IF(AND(AS48&gt;0,AU48&gt;0),MIN(AS48,AU48),MAX(AS48,AU48))*AK48*Z48^2*1E-4/1000))^2-16*((AW48*AK48*Z48^2*1E-4/1000)+((MAX(AS48,AU48)*AK48*Z48^2*1E-4/1000)+(IF(AND(AS48&gt;0,AU48&gt;0),MIN(AS48,AU48),MAX(AS48,AU48))*AK48*Z48^2*1E-4/1000))/2)*BA48)&lt;0,CEILING(AD48,5),CEILING(MAX(AD48*((4*((AW48*AK48*Z48^2*1E-4/1000)+((MAX(AS48,AU48)*AK48*Z48^2*1E-4/1000)+(IF(AND(AS48&gt;0,AU48&gt;0),MIN(AS48,AU48),MAX(AS48,AU48))*AK48*Z48^2*1E-4/1000))/2)+BA48-(IF(AND(AS48&gt;0,AU48&gt;0),MIN(AS48,AU48),MAX(AS48,AU48))*AK48*Z48^2*1E-4/1000))-SQRT(MAX(0,((4*((AW48*AK48*Z48^2*1E-4/1000)+((MAX(AS48,AU48)*AK48*Z48^2*1E-4/1000)+(IF(AND(AS48&gt;0,AU48&gt;0),MIN(AS48,AU48),MAX(AS48,AU48))*AK48*Z48^2*1E-4/1000))/2)+BA48-(IF(AND(AS48&gt;0,AU48&gt;0),MIN(AS48,AU48),MAX(AS48,AU48))*AK48*Z48^2*1E-4/1000))^2-16*((AW48*AK48*Z48^2*1E-4/1000)+((MAX(AS48,AU48)*AK48*Z48^2*1E-4/1000)+(IF(AND(AS48&gt;0,AU48&gt;0),MIN(AS48,AU48),MAX(AS48,AU48))*AK48*Z48^2*1E-4/1000))/2)*BA48))))/(8*MAX(((AW48*AK48*Z48^2*1E-4/1000)+((MAX(AS48,AU48)*AK48*Z48^2*1E-4/1000)+(IF(AND(AS48&gt;0,AU48&gt;0),MIN(AS48,AU48),MAX(AS48,AU48))*AK48*Z48^2*1E-4/1000))/2),1E-9))+MAX(CO48,12*INDEX(TABLAS!$C$52:$C$58,MATCH(CL48,TABLAS!$B$52:$B$58,0)),AD48/16),IF(OR(AF48&lt;INDEX(TABLAS!$C$52:$C$58,MATCH(CL48,TABLAS!$B$52:$B$58,0)),CM48-INDEX(TABLAS!$C$52:$C$58,MATCH(CL48,TABLAS!$B$52:$B$58,0))&lt;2*INDEX(TABLAS!$C$52:$C$58,MATCH(CL48,TABLAS!$B$52:$B$58,0))),INDEX(TABLAS!$I$52:$I$58,MATCH(CL48,TABLAS!$B$52:$B$58,0)),INDEX(TABLAS!$F$52:$F$58,MATCH(CL48,TABLAS!$B$52:$B$58,0)))),5))))</f>
        <v/>
      </c>
      <c r="DB48" s="55" t="str">
        <f>IF(V48&lt;&gt;"SÍ","",IF(AND(C48="PERIMETRAL",AL48-AM48&gt;0,AT48&gt;0),"SÍ","NO"))</f>
        <v/>
      </c>
      <c r="DC48" s="55" t="str">
        <f>IF(V48&lt;&gt;"SÍ","",IF(AND(C48="PERIMETRAL",AM48&gt;0,AU48&gt;0),"SÍ","NO"))</f>
        <v/>
      </c>
      <c r="DD48" s="63" t="str">
        <f>IF(V48&lt;&gt;"SÍ","",IF(OR(C48="VOLADO",AL48=0),"—",IF(AND(AND(INDEX(TABLAS!$G$52:$G$58,MATCH(MAX(BR48,CL48),TABLAS!$B$52:$B$58,0))&lt;=(DATOS!$C$75-DATOS!$C$63),(DATOS!$C$75-DATOS!$C$63)&gt;=15),8*INDEX(TABLAS!$C$52:$C$58,MATCH(MAX(BH48,CB48,BR48,CL48),TABLAS!$B$52:$B$58,0))&lt;=DATOS!$C$76-2*DATOS!$C$63),"CUMPLE (gancho de 180°)",IF(AND(INDEX(TABLAS!$G$52:$G$58,MATCH(MAX(BR48,CL48),TABLAS!$B$52:$B$58,0))&lt;=(DATOS!$C$75-DATOS!$C$63),(DATOS!$C$75-DATOS!$C$63)&gt;=15),"NO CUMPLE: el gancho de 180° (8·d_b) no cabe en el peralte de la dala de borde","NO CUMPLE: dala de borde ≥ "&amp;TEXT(CEILING(MAX(INDEX(TABLAS!$G$52:$G$58,MATCH(MAX(BR48,CL48),TABLAS!$B$52:$B$58,0)),15)+DATOS!$C$63,5),"0")&amp;" cm de ancho"&amp;IF(8*INDEX(TABLAS!$C$52:$C$58,MATCH(MAX(BH48,CB48,BR48,CL48),TABLAS!$B$52:$B$58,0))&lt;=DATOS!$C$76-2*DATOS!$C$63,""," y más peralte para el gancho")))))</f>
        <v/>
      </c>
      <c r="DE48" s="69" t="str">
        <f>IF(V48&lt;&gt;"SÍ","",IF(BI48=0,"NO ALCANZA","No. "&amp;BH48&amp;" @ "&amp;BI48&amp;" cm"&amp;IF(C48="VOLADO"," (temperatura)","")))</f>
        <v/>
      </c>
      <c r="DF48" s="69" t="str">
        <f>IF(V48&lt;&gt;"SÍ","",IF(BS48=0,"NO ALCANZA",IF(C48="VOLADO","No. "&amp;BR48&amp;" @ "&amp;BS48&amp;" cm"&amp;" de la orilla al respaldo ("&amp;IF(CZ48&gt;=FLOOR(100*IF(ISNUMBER(Q48),Q48,Z48)-DATOS!$C$63,5),"hasta su apoyo lejano, con gancho","entran "&amp;TEXT(CZ48/100,"0.00")&amp;" m desde el paño")&amp;")","Bastones "&amp;"No. "&amp;BR48&amp;" @ "&amp;BS48&amp;" cm"&amp;", L = "&amp;TEXT(CZ48/100,"0.00")&amp;" m desde el paño")))</f>
        <v/>
      </c>
      <c r="DG48" s="69" t="str">
        <f>IF(V48&lt;&gt;"SÍ","",IF(CC48=0,"NO ALCANZA","No. "&amp;CB48&amp;" @ "&amp;CC48&amp;" cm"&amp;IF(C48="VOLADO"," (repartición)","")))</f>
        <v/>
      </c>
      <c r="DH48" s="69" t="str">
        <f>IF(V48&lt;&gt;"SÍ","",IF(CM48=0,"NO ALCANZA",IF(C48="VOLADO","No. "&amp;CL48&amp;" @ "&amp;CM48&amp;" cm"&amp;" (repartición)","Bastones "&amp;"No. "&amp;CL48&amp;" @ "&amp;CM48&amp;" cm"&amp;", L = "&amp;TEXT(DA48/100,"0.00")&amp;" m desde el paño")))</f>
        <v/>
      </c>
      <c r="DI48" s="67" t="str">
        <f>IF(B48="","",IF(V48&lt;&gt;"SÍ","FALTAN DATOS: tipo, a_x, a_y, destino y, en volados, L_b",IF(L48="NO MONOLÍTICO (caso II)","FUERA DE ALCANCE: caso II no transcrito",IF(AND(C48="VOLADO",X48="?"),"REVISAR: el volado lleva UN solo borde CONTINUO (el empotrado)",IF(AND(MAX(BM48,BW48,CG48,CQ48)&lt;=1,NOT(OR(BI48&lt;DATOS!$C$143,BS48&lt;DATOS!$C$143,CC48&lt;DATOS!$C$143,CM48&lt;DATOS!$C$143)),NOT(OR(AND(ISNUMBER(BN48),BN48&lt;0.005),AND(ISNUMBER(BX48),BX48&lt;0.005),AND(ISNUMBER(CH48),CH48&lt;0.005),AND(ISNUMBER(CR48),CR48&lt;0.005))),CV48="CUMPLE",CY48="CUMPLE"),"CUMPLE"&amp;IF(LEFT(BB48,5)="FUERA"," · fuera de 3.4.2.1 c)","")&amp;IF(LEFT(DD48,2)="NO"," · REVISAR anclaje en borde discontinuo",""),IF(AND(MAX(BM48,BW48,CG48,CQ48)&lt;=1,NOT(OR(BI48&lt;DATOS!$C$143,BS48&lt;DATOS!$C$143,CC48&lt;DATOS!$C$143,CM48&lt;DATOS!$C$143)),NOT(OR(AND(ISNUMBER(BN48),BN48&lt;0.005),AND(ISNUMBER(BX48),BX48&lt;0.005),AND(ISNUMBER(CH48),CH48&lt;0.005),AND(ISNUMBER(CR48),CR48&lt;0.005))),CV48="CUMPLE",CY48="CALCULAR FLECHA"),"REVISAR: calcular flecha (h &lt; h mín.)"&amp;IF(LEFT(BB48,5)="FUERA"," · fuera de 3.4.2.1 c)","")&amp;IF(LEFT(DD48,2)="NO"," · REVISAR anclaje en borde discontinuo",""),"NO CUMPLE: "&amp;IF(MAX(BM48,BW48,CG48,CQ48)&gt;1,"flexión ","")&amp;IF(OR(BI48&lt;DATOS!$C$143,BS48&lt;DATOS!$C$143,CC48&lt;DATOS!$C$143,CM48&lt;DATOS!$C$143),"separación &lt; mínima ","")&amp;IF(OR(AND(ISNUMBER(BN48),BN48&lt;0.005),AND(ISNUMBER(BX48),BX48&lt;0.005),AND(ISNUMBER(CH48),CH48&lt;0.005),AND(ISNUMBER(CR48),CR48&lt;0.005)),"ε_t &lt; 0.005 ","")&amp;IF(CV48&lt;&gt;"CUMPLE","cortante ","")&amp;IF(CY48="NO CUMPLE","peralte","")))))))</f>
        <v/>
      </c>
      <c r="DJ48" s="70" t="str">
        <f>IF(V48&lt;&gt;"SÍ","",IF(LEFT(B48,7)="EJEMPLO","EJEMPLO de tablero típico: bórralo o sobrescríbelo. ","")&amp;IF(C48="VOLADO","Volado de "&amp;TEXT(Z48,"0.00")&amp;" m empotrado en el borde "&amp;LOWER(X48)&amp;IF(N(P48)&gt;0,", con "&amp;TEXT(P48,"0.0")&amp;" kg/m en la orilla","")&amp;". Lecho inferior con r_ext. Si la orilla carga pretil u otro elemento frágil, calcula la flecha (13.4). El acero superior entra al respaldo de "&amp;TEXT(IF(ISNUMBER(Q48),Q48,Z48),"0.00")&amp;" m"&amp;" hasta pasar M = 0 con 0.9·PP sin carga viva; si ahí no se anula, llega al apoyo lejano y se ancla con gancho. ","")&amp;IF(AND(C48="VOLADO",(0.9*W48/100*DATOS!$C$16*IF(ISNUMBER(Q48),Q48,Z48)/2-AY48/IF(ISNUMBER(Q48),Q48,Z48))&lt;0),"Con 0.9·PP y sin carga viva el apoyo lejano del respaldo levanta (R = "&amp;TEXT(-(0.9*W48/100*DATOS!$C$16*IF(ISNUMBER(Q48),Q48,Z48)/2-AY48/IF(ISNUMBER(Q48),Q48,Z48)),"0.00")&amp;" t/m): ancla ahí el acero con gancho y revisa ese apoyo a tensión. ","")&amp;IF(LEFT(BB48,5)="FUERA","El M⁻ del vecino difiere más de 50 % (3.4.2.1 c): distribuye el desequilibrio (3.4.3.1) o confirma con un modelo; se arma con el mayor. ","")&amp;IF(OR(DB48="SÍ",DC48="SÍ"),"Bastones también en los bordes discontinuos (M⁻ de tabla), con gancho. ","")&amp;IF(LEFT(DD48,2)="NO","Anclaje: "&amp;DD48&amp;" (6.7.7.4.1.1). ","")&amp;IF(AND(C48="PERIMETRAL",AM48&gt;=1,AL48-AM48&gt;=1),"Esquinas exteriores sobre muro: refuerzo de esquina arriba y abajo en L_largo/5 (6.7.7.3.1). ",""))</f>
        <v/>
      </c>
    </row>
  </sheetData>
  <mergeCells count="31">
    <mergeCell ref="B1:DJ1"/>
    <mergeCell ref="AL5:AO5"/>
    <mergeCell ref="CW6:CY6"/>
    <mergeCell ref="BO5:BX5"/>
    <mergeCell ref="V5:AF5"/>
    <mergeCell ref="CZ6:DD6"/>
    <mergeCell ref="AX5:BD5"/>
    <mergeCell ref="AP5:AW5"/>
    <mergeCell ref="CS6:CV6"/>
    <mergeCell ref="AG6:AK6"/>
    <mergeCell ref="CI5:CR5"/>
    <mergeCell ref="DE5:DJ5"/>
    <mergeCell ref="AL6:AO6"/>
    <mergeCell ref="BE6:BN6"/>
    <mergeCell ref="AX6:BD6"/>
    <mergeCell ref="BO6:BX6"/>
    <mergeCell ref="BY6:CH6"/>
    <mergeCell ref="BE5:BN5"/>
    <mergeCell ref="V6:AF6"/>
    <mergeCell ref="CI6:CR6"/>
    <mergeCell ref="BY5:CH5"/>
    <mergeCell ref="AP6:AW6"/>
    <mergeCell ref="DE6:DJ6"/>
    <mergeCell ref="B3:DJ3"/>
    <mergeCell ref="CW5:CY5"/>
    <mergeCell ref="CS5:CV5"/>
    <mergeCell ref="B6:U6"/>
    <mergeCell ref="AG5:AK5"/>
    <mergeCell ref="B2:DJ2"/>
    <mergeCell ref="CZ5:DD5"/>
    <mergeCell ref="B5:U5"/>
  </mergeCells>
  <conditionalFormatting sqref="V9:V48">
    <cfRule type="expression" priority="1" dxfId="0" stopIfTrue="1">
      <formula>OR(ISNUMBER(FIND("NO CUMPLE",V9)),ISNUMBER(FIND("REVISAR",V9)),ISNUMBER(FIND("NO CABE",V9)),ISNUMBER(FIND("FUERA",V9)),ISNUMBER(FIND("FALTA",V9)),ISNUMBER(FIND("INSUFICIENTE",V9)),ISNUMBER(FIND("PENDIENTE",V9)))</formula>
    </cfRule>
    <cfRule type="expression" priority="2" dxfId="1" stopIfTrue="1">
      <formula>OR(ISNUMBER(FIND("CUMPLE",V9)),ISNUMBER(FIND("SÍ aplica",V9)),ISNUMBER(FIND("MANDA",V9)))</formula>
    </cfRule>
    <cfRule type="expression" priority="3" dxfId="2" stopIfTrue="1">
      <formula>OR(ISNUMBER(FIND("MACIZAR",V9)),ISNUMBER(FIND("CALCULAR",V9)),ISNUMBER(FIND("PROPUESTO",V9)),ISNUMBER(FIND("VER ",V9)))</formula>
    </cfRule>
  </conditionalFormatting>
  <conditionalFormatting sqref="DI9:DI48">
    <cfRule type="expression" priority="4" dxfId="0" stopIfTrue="1">
      <formula>OR(ISNUMBER(FIND("NO CUMPLE",DI9)),ISNUMBER(FIND("REVISAR",DI9)),ISNUMBER(FIND("NO CABE",DI9)),ISNUMBER(FIND("FUERA",DI9)),ISNUMBER(FIND("FALTA",DI9)),ISNUMBER(FIND("INSUFICIENTE",DI9)),ISNUMBER(FIND("PENDIENTE",DI9)))</formula>
    </cfRule>
    <cfRule type="expression" priority="5" dxfId="1" stopIfTrue="1">
      <formula>OR(ISNUMBER(FIND("CUMPLE",DI9)),ISNUMBER(FIND("SÍ aplica",DI9)),ISNUMBER(FIND("MANDA",DI9)))</formula>
    </cfRule>
    <cfRule type="expression" priority="6" dxfId="2" stopIfTrue="1">
      <formula>OR(ISNUMBER(FIND("MACIZAR",DI9)),ISNUMBER(FIND("CALCULAR",DI9)),ISNUMBER(FIND("PROPUESTO",DI9)),ISNUMBER(FIND("VER ",DI9)))</formula>
    </cfRule>
  </conditionalFormatting>
  <conditionalFormatting sqref="CV9:CV48">
    <cfRule type="expression" priority="7" dxfId="0" stopIfTrue="1">
      <formula>OR(ISNUMBER(FIND("NO CUMPLE",CV9)),ISNUMBER(FIND("REVISAR",CV9)),ISNUMBER(FIND("NO CABE",CV9)),ISNUMBER(FIND("FUERA",CV9)),ISNUMBER(FIND("FALTA",CV9)),ISNUMBER(FIND("INSUFICIENTE",CV9)),ISNUMBER(FIND("PENDIENTE",CV9)))</formula>
    </cfRule>
    <cfRule type="expression" priority="8" dxfId="1" stopIfTrue="1">
      <formula>OR(ISNUMBER(FIND("CUMPLE",CV9)),ISNUMBER(FIND("SÍ aplica",CV9)),ISNUMBER(FIND("MANDA",CV9)))</formula>
    </cfRule>
    <cfRule type="expression" priority="9" dxfId="2" stopIfTrue="1">
      <formula>OR(ISNUMBER(FIND("MACIZAR",CV9)),ISNUMBER(FIND("CALCULAR",CV9)),ISNUMBER(FIND("PROPUESTO",CV9)),ISNUMBER(FIND("VER ",CV9)))</formula>
    </cfRule>
  </conditionalFormatting>
  <conditionalFormatting sqref="CY9:CY48">
    <cfRule type="expression" priority="10" dxfId="0" stopIfTrue="1">
      <formula>OR(ISNUMBER(FIND("NO CUMPLE",CY9)),ISNUMBER(FIND("REVISAR",CY9)),ISNUMBER(FIND("NO CABE",CY9)),ISNUMBER(FIND("FUERA",CY9)),ISNUMBER(FIND("FALTA",CY9)),ISNUMBER(FIND("INSUFICIENTE",CY9)),ISNUMBER(FIND("PENDIENTE",CY9)))</formula>
    </cfRule>
    <cfRule type="expression" priority="11" dxfId="1" stopIfTrue="1">
      <formula>OR(ISNUMBER(FIND("CUMPLE",CY9)),ISNUMBER(FIND("SÍ aplica",CY9)),ISNUMBER(FIND("MANDA",CY9)))</formula>
    </cfRule>
    <cfRule type="expression" priority="12" dxfId="2" stopIfTrue="1">
      <formula>OR(ISNUMBER(FIND("MACIZAR",CY9)),ISNUMBER(FIND("CALCULAR",CY9)),ISNUMBER(FIND("PROPUESTO",CY9)),ISNUMBER(FIND("VER ",CY9)))</formula>
    </cfRule>
  </conditionalFormatting>
  <conditionalFormatting sqref="BB9:BB48">
    <cfRule type="expression" priority="13" dxfId="0" stopIfTrue="1">
      <formula>OR(ISNUMBER(FIND("NO CUMPLE",BB9)),ISNUMBER(FIND("REVISAR",BB9)),ISNUMBER(FIND("NO CABE",BB9)),ISNUMBER(FIND("FUERA",BB9)),ISNUMBER(FIND("FALTA",BB9)),ISNUMBER(FIND("INSUFICIENTE",BB9)),ISNUMBER(FIND("PENDIENTE",BB9)))</formula>
    </cfRule>
    <cfRule type="expression" priority="14" dxfId="1" stopIfTrue="1">
      <formula>OR(ISNUMBER(FIND("CUMPLE",BB9)),ISNUMBER(FIND("SÍ aplica",BB9)),ISNUMBER(FIND("MANDA",BB9)))</formula>
    </cfRule>
    <cfRule type="expression" priority="15" dxfId="2" stopIfTrue="1">
      <formula>OR(ISNUMBER(FIND("MACIZAR",BB9)),ISNUMBER(FIND("CALCULAR",BB9)),ISNUMBER(FIND("PROPUESTO",BB9)),ISNUMBER(FIND("VER ",BB9)))</formula>
    </cfRule>
  </conditionalFormatting>
  <conditionalFormatting sqref="DD9:DD48">
    <cfRule type="expression" priority="16" dxfId="0" stopIfTrue="1">
      <formula>OR(ISNUMBER(FIND("NO CUMPLE",DD9)),ISNUMBER(FIND("REVISAR",DD9)),ISNUMBER(FIND("NO CABE",DD9)),ISNUMBER(FIND("FUERA",DD9)),ISNUMBER(FIND("FALTA",DD9)),ISNUMBER(FIND("INSUFICIENTE",DD9)),ISNUMBER(FIND("PENDIENTE",DD9)))</formula>
    </cfRule>
    <cfRule type="expression" priority="17" dxfId="1" stopIfTrue="1">
      <formula>OR(ISNUMBER(FIND("CUMPLE",DD9)),ISNUMBER(FIND("SÍ aplica",DD9)),ISNUMBER(FIND("MANDA",DD9)))</formula>
    </cfRule>
    <cfRule type="expression" priority="18" dxfId="2" stopIfTrue="1">
      <formula>OR(ISNUMBER(FIND("MACIZAR",DD9)),ISNUMBER(FIND("CALCULAR",DD9)),ISNUMBER(FIND("PROPUESTO",DD9)),ISNUMBER(FIND("VER ",DD9)))</formula>
    </cfRule>
  </conditionalFormatting>
  <dataValidations count="5">
    <dataValidation sqref="C9:C48" showDropDown="0" showInputMessage="0" showErrorMessage="1" allowBlank="1" errorTitle="Valor no válido" error="Escoge un valor de la lista" type="list">
      <formula1>LST_TIPO</formula1>
    </dataValidation>
    <dataValidation sqref="D9:D48" showDropDown="0" showInputMessage="0" showErrorMessage="1" allowBlank="1" errorTitle="Valor no válido" error="Escoge un valor de la lista" type="list">
      <formula1>LST_DEST</formula1>
    </dataValidation>
    <dataValidation sqref="K9:K48" showDropDown="0" showInputMessage="0" showErrorMessage="1" allowBlank="1" errorTitle="Valor no válido" error="Escoge un valor de la lista" type="list">
      <formula1>LST_CASO</formula1>
    </dataValidation>
    <dataValidation sqref="L9:L48" showDropDown="0" showInputMessage="0" showErrorMessage="1" allowBlank="1" errorTitle="Valor no válido" error="Escoge un valor de la lista" type="list">
      <formula1>LST_COLADO</formula1>
    </dataValidation>
    <dataValidation sqref="G9:J48" showDropDown="0" showInputMessage="0" showErrorMessage="1" allowBlank="1" errorTitle="Valor no válido" error="Escoge un valor de la lista" type="list">
      <formula1>LST_BORDE</formula1>
    </dataValidation>
  </dataValidations>
  <printOptions horizontalCentered="1"/>
  <pageMargins left="0.4" right="0.4" top="0.5" bottom="0.5" header="0.5" footer="0.5"/>
  <pageSetup orientation="landscape" paperSize="3" fitToHeight="0" fitToWidth="1"/>
  <headerFooter>
    <oddHeader/>
    <oddFooter>&amp;C&amp;8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B1:F125"/>
  <sheetViews>
    <sheetView showGridLines="0" zoomScale="90" workbookViewId="0">
      <pane ySplit="3" topLeftCell="A4" activePane="bottomLeft" state="frozen"/>
      <selection pane="bottomLeft"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DETALLE — MEMORIA DE CÁLCULO PASO A PASO DE UN TABLERO</t>
        </is>
      </c>
    </row>
    <row r="2" ht="30" customHeight="1">
      <c r="B2" s="2" t="inlineStr">
        <is>
          <t>Escoge el tablero en la celda amarilla (N = losa nervada, M = losa maciza). Cada paso trae su fórmula y su referencia; los valores salen del renglón del tablero en NERVADAS o MACIZAS. CROQUIS dibuja este mismo tablero.</t>
        </is>
      </c>
    </row>
    <row r="3" ht="6" customHeight="1"/>
    <row r="4" ht="21" customHeight="1">
      <c r="B4" s="3" t="inlineStr">
        <is>
          <t>0. TABLERO</t>
        </is>
      </c>
    </row>
    <row r="5" ht="30" customHeight="1">
      <c r="B5" s="11" t="inlineStr">
        <is>
          <t>Concepto</t>
        </is>
      </c>
      <c r="C5" s="11" t="inlineStr">
        <is>
          <t>Valor</t>
        </is>
      </c>
      <c r="D5" s="11" t="inlineStr">
        <is>
          <t>Unidad</t>
        </is>
      </c>
      <c r="E5" s="11" t="inlineStr">
        <is>
          <t>Cómo se calcula / de dónde sale</t>
        </is>
      </c>
      <c r="F5" s="11" t="inlineStr">
        <is>
          <t>Referencia</t>
        </is>
      </c>
    </row>
    <row r="6" ht="30" customHeight="1">
      <c r="B6" s="12" t="inlineStr">
        <is>
          <t>Tablero que se revisa y se dibuja</t>
        </is>
      </c>
      <c r="C6" s="13" t="inlineStr">
        <is>
          <t>N · EJEMPLO F80016 (de borde)</t>
        </is>
      </c>
      <c r="D6" s="14" t="inlineStr">
        <is>
          <t>—</t>
        </is>
      </c>
      <c r="E6" s="15" t="inlineStr">
        <is>
          <t>SELECTOR. La lista la arma el libro con los renglones capturados de NERVADAS (N) y MACIZAS (M).</t>
        </is>
      </c>
      <c r="F6" s="16" t="inlineStr">
        <is>
          <t>TABLAS sección E</t>
        </is>
      </c>
    </row>
    <row r="7" ht="30" customHeight="1">
      <c r="B7" s="12" t="inlineStr">
        <is>
          <t>Tipo de losa</t>
        </is>
      </c>
      <c r="C7" s="34" t="str">
        <f>IF(LEFT(DETALLE!$C$6,1)="N","NERVADA",IF(LEFT(DETALLE!$C$6,1)="M","MACIZA","—"))</f>
        <v>NERVADA</v>
      </c>
      <c r="D7" s="14" t="inlineStr">
        <is>
          <t>—</t>
        </is>
      </c>
      <c r="E7" s="15" t="inlineStr">
        <is>
          <t>—</t>
        </is>
      </c>
      <c r="F7" s="16" t="inlineStr">
        <is>
          <t>—</t>
        </is>
      </c>
    </row>
    <row r="8" ht="19.5" customHeight="1">
      <c r="B8" s="12" t="inlineStr">
        <is>
          <t>Nombre</t>
        </is>
      </c>
      <c r="C8" s="31" t="str">
        <f>MID(DETALLE!$C$6,5,200)</f>
        <v>EJEMPLO F80016 (de borde)</v>
      </c>
      <c r="D8" s="14" t="inlineStr">
        <is>
          <t>—</t>
        </is>
      </c>
      <c r="E8" s="15" t="inlineStr">
        <is>
          <t>—</t>
        </is>
      </c>
      <c r="F8" s="16" t="inlineStr">
        <is>
          <t>—</t>
        </is>
      </c>
    </row>
    <row r="9" ht="19.5" customHeight="1">
      <c r="B9" s="12" t="inlineStr">
        <is>
          <t>Renglón en su hoja</t>
        </is>
      </c>
      <c r="C9" s="41">
        <f>IFERROR(IF(DETALLE!$C$7="NERVADA",MATCH(DETALLE!$C$8,NERVADAS!$B$9:$B$48,0),MATCH(DETALLE!$C$8,MACIZAS!$B$9:$B$48,0)),0)</f>
        <v>2</v>
      </c>
      <c r="D9" s="14" t="inlineStr">
        <is>
          <t>—</t>
        </is>
      </c>
      <c r="E9" s="15" t="inlineStr">
        <is>
          <t>Auxiliar. 0 = no se encontró.</t>
        </is>
      </c>
      <c r="F9" s="16" t="inlineStr">
        <is>
          <t>—</t>
        </is>
      </c>
    </row>
    <row r="10" ht="19.5" customHeight="1">
      <c r="B10" s="12" t="inlineStr">
        <is>
          <t>Proyecto</t>
        </is>
      </c>
      <c r="C10" s="31" t="str">
        <f>DATOS!$C$8</f>
        <v>NOMBRE DEL PROYECTO</v>
      </c>
      <c r="D10" s="14" t="inlineStr">
        <is>
          <t>—</t>
        </is>
      </c>
      <c r="E10" s="15" t="inlineStr">
        <is>
          <t>—</t>
        </is>
      </c>
      <c r="F10" s="16" t="inlineStr">
        <is>
          <t>DATOS</t>
        </is>
      </c>
    </row>
    <row r="11" ht="30" customHeight="1">
      <c r="B11" s="12" t="inlineStr">
        <is>
          <t>ESTADO DEL TABLERO</t>
        </is>
      </c>
      <c r="C11" s="34" t="str">
        <f>IF(DETALLE!$C$9=0,"—",IF(DETALLE!$C$7="NERVADA",INDEX(NERVADAS!$EB$9:$EB$48,DETALLE!$C$9),INDEX(MACIZAS!$DI$9:$DI$48,DETALLE!$C$9)))</f>
        <v>CUMPLE</v>
      </c>
      <c r="D11" s="14" t="inlineStr">
        <is>
          <t>—</t>
        </is>
      </c>
      <c r="E11" s="15" t="inlineStr">
        <is>
          <t>Resumen de todas las revisiones (sección 13).</t>
        </is>
      </c>
      <c r="F11" s="16" t="inlineStr">
        <is>
          <t>NERVADAS / MACIZAS</t>
        </is>
      </c>
    </row>
    <row r="12" ht="6" customHeight="1"/>
    <row r="13" ht="21" customHeight="1">
      <c r="B13" s="3" t="inlineStr">
        <is>
          <t>1. DATOS DEL TABLERO</t>
        </is>
      </c>
    </row>
    <row r="14" ht="30" customHeight="1">
      <c r="B14" s="11" t="inlineStr">
        <is>
          <t>Concepto</t>
        </is>
      </c>
      <c r="C14" s="11" t="inlineStr">
        <is>
          <t>Valor</t>
        </is>
      </c>
      <c r="D14" s="11" t="inlineStr">
        <is>
          <t>Unidad</t>
        </is>
      </c>
      <c r="E14" s="11" t="inlineStr">
        <is>
          <t>Cómo se calcula / de dónde sale</t>
        </is>
      </c>
      <c r="F14" s="11" t="inlineStr">
        <is>
          <t>Referencia</t>
        </is>
      </c>
    </row>
    <row r="15" ht="30" customHeight="1">
      <c r="B15" s="12" t="inlineStr">
        <is>
          <t>Tipo (perimetral o volado)</t>
        </is>
      </c>
      <c r="C15" s="31" t="str">
        <f>IF(DETALLE!$C$9=0,"—",IF(DETALLE!$C$7="NERVADA",INDEX(NERVADAS!$C$9:$C$48,DETALLE!$C$9),INDEX(MACIZAS!$C$9:$C$48,DETALLE!$C$9)))</f>
        <v>PERIMETRAL</v>
      </c>
      <c r="D15" s="14" t="inlineStr">
        <is>
          <t>—</t>
        </is>
      </c>
      <c r="E15" s="15" t="inlineStr">
        <is>
          <t>PERIMETRAL = apoyado en sus cuatro bordes; VOLADO = empotrado en un borde.</t>
        </is>
      </c>
      <c r="F15" s="16" t="inlineStr">
        <is>
          <t>NTC-Concreto 2023 (CDMX) 3.4.2, p. 64</t>
        </is>
      </c>
    </row>
    <row r="16" ht="30" customHeight="1">
      <c r="B16" s="12" t="inlineStr">
        <is>
          <t>Destino</t>
        </is>
      </c>
      <c r="C16" s="31" t="str">
        <f>IF(DETALLE!$C$9=0,"—",IF(DETALLE!$C$7="NERVADA",INDEX(NERVADAS!$D$9:$D$48,DETALLE!$C$9),INDEX(MACIZAS!$D$9:$D$48,DETALLE!$C$9)))</f>
        <v>HABITACIÓN</v>
      </c>
      <c r="D16" s="14" t="inlineStr">
        <is>
          <t>—</t>
        </is>
      </c>
      <c r="E16" s="15" t="inlineStr">
        <is>
          <t>De la lista de DATOS sección 4.</t>
        </is>
      </c>
      <c r="F16" s="16" t="inlineStr">
        <is>
          <t>NTC-Criterios y Acciones 2023 (CDMX) Tabla 6.1.2.2, p. 11</t>
        </is>
      </c>
    </row>
    <row r="17" ht="30" customHeight="1">
      <c r="B17" s="12" t="inlineStr">
        <is>
          <t>a_x / a_y — claros a ejes</t>
        </is>
      </c>
      <c r="C17" s="31" t="str">
        <f>TEXT(IF(DETALLE!$C$9=0,0,IF(DETALLE!$C$7="NERVADA",INDEX(NERVADAS!$E$9:$E$48,DETALLE!$C$9),INDEX(MACIZAS!$E$9:$E$48,DETALLE!$C$9))),"0.000")&amp;" / "&amp;TEXT(IF(DETALLE!$C$9=0,0,IF(DETALLE!$C$7="NERVADA",INDEX(NERVADAS!$F$9:$F$48,DETALLE!$C$9),INDEX(MACIZAS!$F$9:$F$48,DETALLE!$C$9))),"0.000")</f>
        <v>4.426 / 4.000</v>
      </c>
      <c r="D17" s="14" t="inlineStr">
        <is>
          <t>m</t>
        </is>
      </c>
      <c r="E17" s="15" t="inlineStr">
        <is>
          <t>CAPTURA. A ejes, del lado seguro (la tabla admite claros libres en el caso I).</t>
        </is>
      </c>
      <c r="F17" s="16" t="inlineStr">
        <is>
          <t>NTC-Concreto 2023 (CDMX) Tabla 3.4.2.1, nota final, p. 65</t>
        </is>
      </c>
    </row>
    <row r="18" ht="30" customHeight="1">
      <c r="B18" s="12" t="inlineStr">
        <is>
          <t>Bordes (inferior · superior · izquierdo · derecho)</t>
        </is>
      </c>
      <c r="C18" s="31" t="str">
        <f>IF(DETALLE!$C$9=0,"—",IF(DETALLE!$C$7="NERVADA",INDEX(NERVADAS!$G$9:$G$48,DETALLE!$C$9),INDEX(MACIZAS!$G$9:$G$48,DETALLE!$C$9)))&amp;" · "&amp;IF(DETALLE!$C$9=0,"—",IF(DETALLE!$C$7="NERVADA",INDEX(NERVADAS!$H$9:$H$48,DETALLE!$C$9),INDEX(MACIZAS!$H$9:$H$48,DETALLE!$C$9)))&amp;" · "&amp;IF(DETALLE!$C$9=0,"—",IF(DETALLE!$C$7="NERVADA",INDEX(NERVADAS!$I$9:$I$48,DETALLE!$C$9),INDEX(MACIZAS!$I$9:$I$48,DETALLE!$C$9)))&amp;" · "&amp;IF(DETALLE!$C$9=0,"—",IF(DETALLE!$C$7="NERVADA",INDEX(NERVADAS!$J$9:$J$48,DETALLE!$C$9),INDEX(MACIZAS!$J$9:$J$48,DETALLE!$C$9)))</f>
        <v>CONTINUO · CONTINUO · DISCONTINUO · CONTINUO</v>
      </c>
      <c r="D18" s="14" t="inlineStr">
        <is>
          <t>—</t>
        </is>
      </c>
      <c r="E18" s="15" t="inlineStr">
        <is>
          <t>CONTINUO = sigue losa del otro lado. En volado el CONTINUO es el borde empotrado.</t>
        </is>
      </c>
      <c r="F18" s="16" t="inlineStr">
        <is>
          <t>—</t>
        </is>
      </c>
    </row>
    <row r="19" ht="30" customHeight="1">
      <c r="B19" s="12" t="inlineStr">
        <is>
          <t>SCM — sobrecarga muerta</t>
        </is>
      </c>
      <c r="C19" s="41">
        <f>IF(DETALLE!$C$9=0,0,IF(DETALLE!$C$7="NERVADA",INDEX(NERVADAS!$M$9:$M$48,DETALLE!$C$9),INDEX(MACIZAS!$N$9:$N$48,DETALLE!$C$9)))</f>
        <v>160</v>
      </c>
      <c r="D19" s="14" t="inlineStr">
        <is>
          <t>kg/m²</t>
        </is>
      </c>
      <c r="E19" s="15" t="inlineStr">
        <is>
          <t>CAPTURA (acabados, rellenos, plafón, divisorios repartidos).</t>
        </is>
      </c>
      <c r="F19" s="16" t="inlineStr">
        <is>
          <t>NTC-Criterios y Acciones 2023 (CDMX) 5.1.1, p. 9</t>
        </is>
      </c>
    </row>
    <row r="20" ht="30" customHeight="1">
      <c r="B20" s="12" t="inlineStr">
        <is>
          <t>Carga en la orilla del volado / L_b de respaldo</t>
        </is>
      </c>
      <c r="C20" s="31" t="str">
        <f>TEXT(N(IF(DETALLE!$C$9=0,0,IF(DETALLE!$C$7="NERVADA",INDEX(NERVADAS!$O$9:$O$48,DETALLE!$C$9),INDEX(MACIZAS!$P$9:$P$48,DETALLE!$C$9)))),"0.0")&amp;" kg/m / "&amp;IF(IF(DETALLE!$C$9=0,"—",IF(DETALLE!$C$7="NERVADA",INDEX(NERVADAS!$C$9:$C$48,DETALLE!$C$9),INDEX(MACIZAS!$C$9:$C$48,DETALLE!$C$9)))="VOLADO",TEXT(IF(IF(DETALLE!$C$9=0,0,IF(DETALLE!$C$7="NERVADA",INDEX(NERVADAS!$P$9:$P$48,DETALLE!$C$9),INDEX(MACIZAS!$Q$9:$Q$48,DETALLE!$C$9)))&gt;0,IF(DETALLE!$C$9=0,0,IF(DETALLE!$C$7="NERVADA",INDEX(NERVADAS!$P$9:$P$48,DETALLE!$C$9),INDEX(MACIZAS!$Q$9:$Q$48,DETALLE!$C$9))),IF(DETALLE!$C$9=0,0,IF(DETALLE!$C$7="NERVADA",INDEX(NERVADAS!$Y$9:$Y$48,DETALLE!$C$9),INDEX(MACIZAS!$Z$9:$Z$48,DETALLE!$C$9)))),"0.00")&amp;" m","—")</f>
        <v>0.0 kg/m / —</v>
      </c>
      <c r="D20" s="14" t="inlineStr">
        <is>
          <t>—</t>
        </is>
      </c>
      <c r="E20" s="15" t="inlineStr">
        <is>
          <t>Sólo volados: carga lineal de servicio en la orilla (va con FC_CM) y claro del tablero de respaldo.</t>
        </is>
      </c>
      <c r="F20" s="16" t="inlineStr">
        <is>
          <t>NTC-Criterios y Acciones 2023 (CDMX) 3.4.1 a), p. 7</t>
        </is>
      </c>
    </row>
    <row r="21" ht="6" customHeight="1"/>
    <row r="22" ht="21" customHeight="1">
      <c r="B22" s="3" t="inlineStr">
        <is>
          <t>2. GEOMETRÍA</t>
        </is>
      </c>
    </row>
    <row r="23" ht="30" customHeight="1">
      <c r="B23" s="11" t="inlineStr">
        <is>
          <t>Concepto</t>
        </is>
      </c>
      <c r="C23" s="11" t="inlineStr">
        <is>
          <t>Valor</t>
        </is>
      </c>
      <c r="D23" s="11" t="inlineStr">
        <is>
          <t>Unidad</t>
        </is>
      </c>
      <c r="E23" s="11" t="inlineStr">
        <is>
          <t>Cómo se calcula / de dónde sale</t>
        </is>
      </c>
      <c r="F23" s="11" t="inlineStr">
        <is>
          <t>Referencia</t>
        </is>
      </c>
    </row>
    <row r="24" ht="30" customHeight="1">
      <c r="B24" s="12" t="inlineStr">
        <is>
          <t>a1 — claro corto (volado: largo del volado)</t>
        </is>
      </c>
      <c r="C24" s="72">
        <f>IF(DETALLE!$C$9=0,0,IF(DETALLE!$C$7="NERVADA",INDEX(NERVADAS!$Y$9:$Y$48,DETALLE!$C$9),INDEX(MACIZAS!$Z$9:$Z$48,DETALLE!$C$9)))</f>
        <v>4</v>
      </c>
      <c r="D24" s="14" t="inlineStr">
        <is>
          <t>m</t>
        </is>
      </c>
      <c r="E24" s="15" t="inlineStr">
        <is>
          <t>a1 = mín(a_x, a_y); en volado, el claro perpendicular al borde empotrado.</t>
        </is>
      </c>
      <c r="F24" s="16" t="inlineStr">
        <is>
          <t>NTC-Concreto 2023 (CDMX) 3.4.2, p. 64</t>
        </is>
      </c>
    </row>
    <row r="25" ht="19.5" customHeight="1">
      <c r="B25" s="12" t="inlineStr">
        <is>
          <t>a2 — claro largo</t>
        </is>
      </c>
      <c r="C25" s="38">
        <f>IF(DETALLE!$C$9=0,0,IF(DETALLE!$C$7="NERVADA",INDEX(NERVADAS!$Z$9:$Z$48,DETALLE!$C$9),INDEX(MACIZAS!$AA$9:$AA$48,DETALLE!$C$9)))</f>
        <v>4.426</v>
      </c>
      <c r="D25" s="14" t="inlineStr">
        <is>
          <t>m</t>
        </is>
      </c>
      <c r="E25" s="15" t="inlineStr">
        <is>
          <t>a2 = máx(a_x, a_y).</t>
        </is>
      </c>
      <c r="F25" s="16" t="inlineStr">
        <is>
          <t>—</t>
        </is>
      </c>
    </row>
    <row r="26" ht="30" customHeight="1">
      <c r="B26" s="12" t="inlineStr">
        <is>
          <t>m = a1/a2 y dirección del claro corto</t>
        </is>
      </c>
      <c r="C26" s="31" t="str">
        <f>TEXT(IF(DETALLE!$C$9=0,0,IF(DETALLE!$C$7="NERVADA",INDEX(NERVADAS!$AA$9:$AA$48,DETALLE!$C$9),INDEX(MACIZAS!$AB$9:$AB$48,DETALLE!$C$9))),"0.000")&amp;" · corto ‖ "&amp;IF(DETALLE!$C$9=0,"—",IF(DETALLE!$C$7="NERVADA",INDEX(NERVADAS!$X$9:$X$48,DETALLE!$C$9),INDEX(MACIZAS!$Y$9:$Y$48,DETALLE!$C$9)))</f>
        <v>0.904 · corto ‖ Y</v>
      </c>
      <c r="D26" s="14" t="inlineStr">
        <is>
          <t>—</t>
        </is>
      </c>
      <c r="E26" s="15" t="inlineStr">
        <is>
          <t>El acero del claro corto va por fuera (más peralte); el del largo, encima.</t>
        </is>
      </c>
      <c r="F26" s="16" t="inlineStr">
        <is>
          <t>—</t>
        </is>
      </c>
    </row>
    <row r="27" ht="30" customHeight="1">
      <c r="B27" s="12" t="inlineStr">
        <is>
          <t>L_n — claros libres corto / largo</t>
        </is>
      </c>
      <c r="C27" s="31" t="str">
        <f>TEXT(IF(DETALLE!$C$9=0,0,IF(DETALLE!$C$7="NERVADA",INDEX(NERVADAS!$AB$9:$AB$48,DETALLE!$C$9),INDEX(MACIZAS!$AC$9:$AC$48,DETALLE!$C$9))),"0.0")&amp;" / "&amp;TEXT(IF(DETALLE!$C$9=0,0,IF(DETALLE!$C$7="NERVADA",INDEX(NERVADAS!$AC$9:$AC$48,DETALLE!$C$9),INDEX(MACIZAS!$AD$9:$AD$48,DETALLE!$C$9))),"0.0")</f>
        <v>385.0 / 427.6</v>
      </c>
      <c r="D27" s="14" t="inlineStr">
        <is>
          <t>cm</t>
        </is>
      </c>
      <c r="E27" s="15" t="inlineStr">
        <is>
          <t>L_n = a − b_p (volado: a − b_p/2), con b_p = ancho del apoyo (DATOS).</t>
        </is>
      </c>
      <c r="F27" s="16" t="inlineStr">
        <is>
          <t>NTC-Concreto 2023 (CDMX) 6.3.2.1, p. 117</t>
        </is>
      </c>
    </row>
    <row r="28" ht="43.5" customHeight="1">
      <c r="B28" s="12" t="inlineStr">
        <is>
          <t>Sección</t>
        </is>
      </c>
      <c r="C28" s="31" t="str">
        <f>IF(DETALLE!$C$7="NERVADA","h = "&amp;DATOS!$C$85&amp;" cm · b_w = "&amp;IF(DETALLE!$C$9=0,0,IF(DETALLE!$C$7="NERVADA",INDEX(NERVADAS!$AD$9:$AD$48,DETALLE!$C$9),0))&amp;" cm · a_c = "&amp;IF(DETALLE!$C$9=0,0,IF(DETALLE!$C$7="NERVADA",INDEX(NERVADAS!$AE$9:$AE$48,DETALLE!$C$9),0))&amp;" cm · s = "&amp;DATOS!$C$86&amp;" cm · t = "&amp;DATOS!$C$84&amp;" cm","Maciza, h = "&amp;IF(DETALLE!$C$9=0,0,IF(DETALLE!$C$7="NERVADA",0,INDEX(MACIZAS!$W$9:$W$48,DETALLE!$C$9)))&amp;" cm (franja de 1 m)")</f>
        <v>h = 25 cm · b_w = 10 cm · a_c = 60 cm · s = 70 cm · t = 6 cm</v>
      </c>
      <c r="D28" s="14" t="inlineStr">
        <is>
          <t>—</t>
        </is>
      </c>
      <c r="E28" s="15" t="inlineStr">
        <is>
          <t>Nervada: h = h_c + t, s = a_c + b_w (con b_w propio el casetón se angosta a s − b_w). Maciza: h del renglón o el de DATOS.</t>
        </is>
      </c>
      <c r="F28" s="16" t="inlineStr">
        <is>
          <t>NTC-Concreto 2023 (CDMX) 6.7.8.1.2 y 6.7.8.1.3, p. 187</t>
        </is>
      </c>
    </row>
    <row r="29" ht="19.5" customHeight="1">
      <c r="B29" s="12" t="inlineStr">
        <is>
          <t>Patín b_f corto / largo (nervada)</t>
        </is>
      </c>
      <c r="C29" s="31" t="str">
        <f>IF(DETALLE!$C$7="NERVADA",TEXT(IF(DETALLE!$C$9=0,0,IF(DETALLE!$C$7="NERVADA",INDEX(NERVADAS!$AH$9:$AH$48,DETALLE!$C$9),0)),"0.0")&amp;" / "&amp;TEXT(IF(DETALLE!$C$9=0,0,IF(DETALLE!$C$7="NERVADA",INDEX(NERVADAS!$AI$9:$AI$48,DETALLE!$C$9),0)),"0.0"),"— (b = 100 cm)")</f>
        <v>70.0 / 70.0</v>
      </c>
      <c r="D29" s="14" t="inlineStr">
        <is>
          <t>cm</t>
        </is>
      </c>
      <c r="E29" s="15" t="inlineStr">
        <is>
          <t>b_w + 2·el menor de 8t, a_c/2 y L_n/8, no más que s.</t>
        </is>
      </c>
      <c r="F29" s="16" t="inlineStr">
        <is>
          <t>NTC-Concreto 2023 (CDMX) Tabla 5.2.1.4.2, p. 89</t>
        </is>
      </c>
    </row>
    <row r="30" ht="43.5" customHeight="1">
      <c r="B30" s="12" t="inlineStr">
        <is>
          <t>¿Cumple 6.7.8 (losa encasetonada)?</t>
        </is>
      </c>
      <c r="C30" s="34" t="str">
        <f>IF(DETALLE!$C$7="NERVADA",IF(DETALLE!$C$9=0,"—",IF(DETALLE!$C$7="NERVADA",INDEX(NERVADAS!$AJ$9:$AJ$48,DETALLE!$C$9),"—")),"— (maciza)")</f>
        <v>SÍ</v>
      </c>
      <c r="D30" s="14" t="inlineStr">
        <is>
          <t>—</t>
        </is>
      </c>
      <c r="E30" s="15" t="inlineStr">
        <is>
          <t>Claro corto ≥ 6·a_c, a_c ≤ 80, b_w ≥ 10, h ≤ 3.5·b_w, t ≥ máx(a_c/13, 5). Si NO: losa apoyada en vigas: r de viga y V_cR sin ×1.1.</t>
        </is>
      </c>
      <c r="F30" s="16" t="inlineStr">
        <is>
          <t>NTC-Concreto 2023 (CDMX) 6.7.8.1.2 a 6.7.8.1.4, p. 187 · 6.7.8.1.9, p. 188</t>
        </is>
      </c>
    </row>
    <row r="31" ht="30" customHeight="1">
      <c r="B31" s="12" t="inlineStr">
        <is>
          <t>Recubrimiento inferior / superior</t>
        </is>
      </c>
      <c r="C31" s="31" t="str">
        <f>TEXT(IF(DETALLE!$C$9=0,0,IF(DETALLE!$C$7="NERVADA",INDEX(NERVADAS!$AK$9:$AK$48,DETALLE!$C$9),INDEX(MACIZAS!$AE$9:$AE$48,DETALLE!$C$9))),"0.0")&amp;" / "&amp;TEXT(IF(DETALLE!$C$9=0,0,IF(DETALLE!$C$7="NERVADA",INDEX(NERVADAS!$AL$9:$AL$48,DETALLE!$C$9),INDEX(MACIZAS!$AF$9:$AF$48,DETALLE!$C$9))),"0.0")</f>
        <v>2.0 / 2.0</v>
      </c>
      <c r="D31" s="14" t="inlineStr">
        <is>
          <t>cm</t>
        </is>
      </c>
      <c r="E31" s="15" t="inlineStr">
        <is>
          <t>r interior; r de viga si no cumple 6.7.8; r_ext en caras a la intemperie (DATOS sección 5).</t>
        </is>
      </c>
      <c r="F31" s="16" t="inlineStr">
        <is>
          <t>NTC-Concreto 2023 (CDMX) Tabla 4.14.16.a, p. 85 · Tabla 4.3.1, p. 76</t>
        </is>
      </c>
    </row>
    <row r="32" ht="6" customHeight="1"/>
    <row r="33" ht="21" customHeight="1">
      <c r="B33" s="3" t="inlineStr">
        <is>
          <t>3. CARGAS</t>
        </is>
      </c>
    </row>
    <row r="34" ht="30" customHeight="1">
      <c r="B34" s="11" t="inlineStr">
        <is>
          <t>Concepto</t>
        </is>
      </c>
      <c r="C34" s="11" t="inlineStr">
        <is>
          <t>Valor</t>
        </is>
      </c>
      <c r="D34" s="11" t="inlineStr">
        <is>
          <t>Unidad</t>
        </is>
      </c>
      <c r="E34" s="11" t="inlineStr">
        <is>
          <t>Cómo se calcula / de dónde sale</t>
        </is>
      </c>
      <c r="F34" s="11" t="inlineStr">
        <is>
          <t>Referencia</t>
        </is>
      </c>
    </row>
    <row r="35" ht="30" customHeight="1">
      <c r="B35" s="12" t="inlineStr">
        <is>
          <t>PP — peso propio de diseño</t>
        </is>
      </c>
      <c r="C35" s="41">
        <f>IF(DETALLE!$C$9=0,0,IF(DETALLE!$C$7="NERVADA",INDEX(NERVADAS!$AP$9:$AP$48,DETALLE!$C$9),INDEX(MACIZAS!$AI$9:$AI$48,DETALLE!$C$9)))</f>
        <v>307.073469387755</v>
      </c>
      <c r="D35" s="14" t="inlineStr">
        <is>
          <t>kg/m²</t>
        </is>
      </c>
      <c r="E35" s="15" t="inlineStr">
        <is>
          <t>Nervada: (h − a_c²·h_c/s²)·γc + casetón; maciza: h·γc. Más 20 + 20 de 5.1.2.1.</t>
        </is>
      </c>
      <c r="F35" s="16" t="inlineStr">
        <is>
          <t>NTC-Criterios y Acciones 2023 (CDMX) 5.1.2.1, p. 9</t>
        </is>
      </c>
    </row>
    <row r="36" ht="19.5" customHeight="1">
      <c r="B36" s="12" t="inlineStr">
        <is>
          <t>CM = PP + SCM</t>
        </is>
      </c>
      <c r="C36" s="41">
        <f>IF(DETALLE!$C$9=0,0,IF(DETALLE!$C$7="NERVADA",INDEX(NERVADAS!$AQ$9:$AQ$48,DETALLE!$C$9),INDEX(MACIZAS!$AJ$9:$AJ$48,DETALLE!$C$9)))</f>
        <v>467.073469387755</v>
      </c>
      <c r="D36" s="14" t="inlineStr">
        <is>
          <t>kg/m²</t>
        </is>
      </c>
      <c r="E36" s="15" t="inlineStr">
        <is>
          <t>—</t>
        </is>
      </c>
      <c r="F36" s="16" t="inlineStr">
        <is>
          <t>NTC-Criterios y Acciones 2023 (CDMX) 5.1.2.1, p. 9</t>
        </is>
      </c>
    </row>
    <row r="37" ht="30" customHeight="1">
      <c r="B37" s="12" t="inlineStr">
        <is>
          <t>W_m — carga viva máxima</t>
        </is>
      </c>
      <c r="C37" s="41">
        <f>IF(DETALLE!$C$9=0,0,IF(DETALLE!$C$7="NERVADA",INDEX(NERVADAS!$AO$9:$AO$48,DETALLE!$C$9),INDEX(MACIZAS!$AH$9:$AH$48,DETALLE!$C$9)))</f>
        <v>190</v>
      </c>
      <c r="D37" s="14" t="inlineStr">
        <is>
          <t>kg/m²</t>
        </is>
      </c>
      <c r="E37" s="15" t="inlineStr">
        <is>
          <t>Del destino o la capturada en el renglón.</t>
        </is>
      </c>
      <c r="F37" s="16" t="inlineStr">
        <is>
          <t>NTC-Criterios y Acciones 2023 (CDMX) Tabla 6.1.2.2, p. 11 · 6.1.2.1 a), p. 10</t>
        </is>
      </c>
    </row>
    <row r="38" ht="30" customHeight="1">
      <c r="B38" s="12" t="inlineStr">
        <is>
          <t>w_u — carga última</t>
        </is>
      </c>
      <c r="C38" s="33">
        <f>IF(DETALLE!$C$9=0,0,IF(DETALLE!$C$7="NERVADA",INDEX(NERVADAS!$AR$9:$AR$48,DETALLE!$C$9),INDEX(MACIZAS!$AK$9:$AK$48,DETALLE!$C$9)))</f>
        <v>892.195510204082</v>
      </c>
      <c r="D38" s="14" t="inlineStr">
        <is>
          <t>kg/m²</t>
        </is>
      </c>
      <c r="E38" s="15" t="inlineStr">
        <is>
          <t>El mayor de 1.3·CM + 1.5·W_m y, si el destino es azotea, 1.1·(CM + W_g).</t>
        </is>
      </c>
      <c r="F38" s="16" t="inlineStr">
        <is>
          <t>NTC-Criterios y Acciones 2023 (CDMX) 3.4.1 a) y b), p. 7 · ec. 7.3.2.1, p. 17</t>
        </is>
      </c>
    </row>
    <row r="39" ht="6" customHeight="1"/>
    <row r="40" ht="21" customHeight="1">
      <c r="B40" s="3" t="inlineStr">
        <is>
          <t>4. CASO Y COEFICIENTES (TABLA 3.4.2.1, CASO I)</t>
        </is>
      </c>
    </row>
    <row r="41" ht="30" customHeight="1">
      <c r="B41" s="11" t="inlineStr">
        <is>
          <t>Concepto</t>
        </is>
      </c>
      <c r="C41" s="11" t="inlineStr">
        <is>
          <t>Valor</t>
        </is>
      </c>
      <c r="D41" s="11" t="inlineStr">
        <is>
          <t>Unidad</t>
        </is>
      </c>
      <c r="E41" s="11" t="inlineStr">
        <is>
          <t>Cómo se calcula / de dónde sale</t>
        </is>
      </c>
      <c r="F41" s="11" t="inlineStr">
        <is>
          <t>Referencia</t>
        </is>
      </c>
    </row>
    <row r="42" ht="19.5" customHeight="1">
      <c r="B42" s="12" t="inlineStr">
        <is>
          <t>Bordes discontinuos (total / cortos)</t>
        </is>
      </c>
      <c r="C42" s="31" t="str">
        <f>IF(DETALLE!$C$9=0,0,IF(DETALLE!$C$7="NERVADA",INDEX(NERVADAS!$AS$9:$AS$48,DETALLE!$C$9),INDEX(MACIZAS!$AL$9:$AL$48,DETALLE!$C$9)))&amp;" / "&amp;IF(DETALLE!$C$9=0,0,IF(DETALLE!$C$7="NERVADA",INDEX(NERVADAS!$AT$9:$AT$48,DETALLE!$C$9),INDEX(MACIZAS!$AM$9:$AM$48,DETALLE!$C$9)))</f>
        <v>1 / 1</v>
      </c>
      <c r="D42" s="14" t="inlineStr">
        <is>
          <t>—</t>
        </is>
      </c>
      <c r="E42" s="15" t="inlineStr">
        <is>
          <t>«Corto» = borde de largo a1.</t>
        </is>
      </c>
      <c r="F42" s="16" t="inlineStr">
        <is>
          <t>—</t>
        </is>
      </c>
    </row>
    <row r="43" ht="30" customHeight="1">
      <c r="B43" s="12" t="inlineStr">
        <is>
          <t>Caso de la tabla</t>
        </is>
      </c>
      <c r="C43" s="34" t="str">
        <f>IF(IF(DETALLE!$C$9=0,"—",IF(DETALLE!$C$7="NERVADA",INDEX(NERVADAS!$C$9:$C$48,DETALLE!$C$9),INDEX(MACIZAS!$C$9:$C$48,DETALLE!$C$9)))="VOLADO","— (volado: momento estático; la tabla y sus coeficientes no se usan)",IF(DETALLE!$C$9=0,"—",IF(DETALLE!$C$7="NERVADA",INDEX(NERVADAS!$AV$9:$AV$48,DETALLE!$C$9),INDEX(MACIZAS!$AO$9:$AO$48,DETALLE!$C$9))))</f>
        <v>BORDE-CORTO</v>
      </c>
      <c r="D43" s="14" t="inlineStr">
        <is>
          <t>—</t>
        </is>
      </c>
      <c r="E43" s="15" t="inlineStr">
        <is>
          <t>Automático por bordes discontinuos, o el forzado en el renglón. Sólo caso I (colado monolítico).</t>
        </is>
      </c>
      <c r="F43" s="16" t="inlineStr">
        <is>
          <t>NTC-Concreto 2023 (CDMX) Tabla 3.4.2.1, p. 65</t>
        </is>
      </c>
    </row>
    <row r="44" ht="30" customHeight="1">
      <c r="B44" s="12" t="inlineStr">
        <is>
          <t>Coeficiente M⁻ en bordes continuos, claro corto</t>
        </is>
      </c>
      <c r="C44" s="41">
        <f>IF(DETALLE!$C$9=0,0,IF(DETALLE!$C$7="NERVADA",INDEX(NERVADAS!$AY$9:$AY$48,DETALLE!$C$9),INDEX(MACIZAS!$AR$9:$AR$48,DETALLE!$C$9)))</f>
        <v>542.774514234072</v>
      </c>
      <c r="D44" s="14" t="inlineStr">
        <is>
          <t>×10⁻⁴</t>
        </is>
      </c>
      <c r="E44" s="15" t="inlineStr">
        <is>
          <t>Interpolado linealmente en m.</t>
        </is>
      </c>
      <c r="F44" s="16" t="inlineStr">
        <is>
          <t>TABLAS sección A</t>
        </is>
      </c>
    </row>
    <row r="45" ht="30" customHeight="1">
      <c r="B45" s="12" t="inlineStr">
        <is>
          <t>Coeficiente M⁻ en bordes discontinuos, claro corto</t>
        </is>
      </c>
      <c r="C45" s="41">
        <f>IF(DETALLE!$C$9=0,0,IF(DETALLE!$C$7="NERVADA",INDEX(NERVADAS!$BA$9:$BA$48,DETALLE!$C$9),INDEX(MACIZAS!$AT$9:$AT$48,DETALLE!$C$9)))</f>
        <v>0</v>
      </c>
      <c r="D45" s="14" t="inlineStr">
        <is>
          <t>×10⁻⁴</t>
        </is>
      </c>
      <c r="E45" s="15" t="inlineStr">
        <is>
          <t>Interpolado linealmente en m.</t>
        </is>
      </c>
      <c r="F45" s="16" t="inlineStr">
        <is>
          <t>TABLAS sección A</t>
        </is>
      </c>
    </row>
    <row r="46" ht="19.5" customHeight="1">
      <c r="B46" s="12" t="inlineStr">
        <is>
          <t>Coeficiente M⁺, claro corto</t>
        </is>
      </c>
      <c r="C46" s="41">
        <f>IF(DETALLE!$C$9=0,0,IF(DETALLE!$C$7="NERVADA",INDEX(NERVADAS!$BC$9:$BC$48,DETALLE!$C$9),INDEX(MACIZAS!$AV$9:$AV$48,DETALLE!$C$9)))</f>
        <v>274.574785359241</v>
      </c>
      <c r="D46" s="14" t="inlineStr">
        <is>
          <t>×10⁻⁴</t>
        </is>
      </c>
      <c r="E46" s="15" t="inlineStr">
        <is>
          <t>Interpolado linealmente en m.</t>
        </is>
      </c>
      <c r="F46" s="16" t="inlineStr">
        <is>
          <t>TABLAS sección A</t>
        </is>
      </c>
    </row>
    <row r="47" ht="30" customHeight="1">
      <c r="B47" s="12" t="inlineStr">
        <is>
          <t>Coeficiente M⁻ en bordes continuos, claro largo</t>
        </is>
      </c>
      <c r="C47" s="41">
        <f>IF(DETALLE!$C$9=0,0,IF(DETALLE!$C$7="NERVADA",INDEX(NERVADAS!$AZ$9:$AZ$48,DETALLE!$C$9),INDEX(MACIZAS!$AS$9:$AS$48,DETALLE!$C$9)))</f>
        <v>439.28739267962</v>
      </c>
      <c r="D47" s="14" t="inlineStr">
        <is>
          <t>×10⁻⁴</t>
        </is>
      </c>
      <c r="E47" s="15" t="inlineStr">
        <is>
          <t>Interpolado linealmente en m.</t>
        </is>
      </c>
      <c r="F47" s="16" t="inlineStr">
        <is>
          <t>TABLAS sección A</t>
        </is>
      </c>
    </row>
    <row r="48" ht="30" customHeight="1">
      <c r="B48" s="12" t="inlineStr">
        <is>
          <t>Coeficiente M⁻ en bordes discontinuos, claro largo</t>
        </is>
      </c>
      <c r="C48" s="41">
        <f>IF(DETALLE!$C$9=0,0,IF(DETALLE!$C$7="NERVADA",INDEX(NERVADAS!$BB$9:$BB$48,DETALLE!$C$9),INDEX(MACIZAS!$AU$9:$AU$48,DETALLE!$C$9)))</f>
        <v>205.399909624944</v>
      </c>
      <c r="D48" s="14" t="inlineStr">
        <is>
          <t>×10⁻⁴</t>
        </is>
      </c>
      <c r="E48" s="15" t="inlineStr">
        <is>
          <t>Interpolado linealmente en m.</t>
        </is>
      </c>
      <c r="F48" s="16" t="inlineStr">
        <is>
          <t>TABLAS sección A</t>
        </is>
      </c>
    </row>
    <row r="49" ht="19.5" customHeight="1">
      <c r="B49" s="12" t="inlineStr">
        <is>
          <t>Coeficiente M⁺, claro largo</t>
        </is>
      </c>
      <c r="C49" s="41">
        <f>IF(DETALLE!$C$9=0,0,IF(DETALLE!$C$7="NERVADA",INDEX(NERVADAS!$BD$9:$BD$48,DETALLE!$C$9),INDEX(MACIZAS!$AW$9:$AW$48,DETALLE!$C$9)))</f>
        <v>263.862629914144</v>
      </c>
      <c r="D49" s="14" t="inlineStr">
        <is>
          <t>×10⁻⁴</t>
        </is>
      </c>
      <c r="E49" s="15" t="inlineStr">
        <is>
          <t>Interpolado linealmente en m.</t>
        </is>
      </c>
      <c r="F49" s="16" t="inlineStr">
        <is>
          <t>TABLAS sección A</t>
        </is>
      </c>
    </row>
    <row r="50" ht="6" customHeight="1"/>
    <row r="51" ht="21" customHeight="1">
      <c r="B51" s="3" t="inlineStr">
        <is>
          <t>5. MOMENTOS ÚLTIMOS</t>
        </is>
      </c>
    </row>
    <row r="52" ht="30" customHeight="1">
      <c r="B52" s="11" t="inlineStr">
        <is>
          <t>Concepto</t>
        </is>
      </c>
      <c r="C52" s="11" t="inlineStr">
        <is>
          <t>Valor</t>
        </is>
      </c>
      <c r="D52" s="11" t="inlineStr">
        <is>
          <t>Unidad</t>
        </is>
      </c>
      <c r="E52" s="11" t="inlineStr">
        <is>
          <t>Cómo se calcula / de dónde sale</t>
        </is>
      </c>
      <c r="F52" s="11" t="inlineStr">
        <is>
          <t>Referencia</t>
        </is>
      </c>
    </row>
    <row r="53" ht="30" customHeight="1">
      <c r="B53" s="12" t="inlineStr">
        <is>
          <t>M⁺ claro corto</t>
        </is>
      </c>
      <c r="C53" s="72">
        <f>IF(DETALLE!$C$9=0,0,IF(DETALLE!$C$7="NERVADA",INDEX(NERVADAS!$BG$9:$BG$48,DETALLE!$C$9),INDEX(MACIZAS!$AX$9:$AX$48,DETALLE!$C$9)))</f>
        <v>0.274371317598296</v>
      </c>
      <c r="D53" s="14" t="str">
        <f>IF(DETALLE!$C$7="NERVADA","t·m/nerv.","t·m/m")</f>
        <v>t·m/nerv.</v>
      </c>
      <c r="E53" s="15" t="inlineStr">
        <is>
          <t>M = coef·10⁻⁴·w_u·a1² por metro; en nervada × s (por nervadura).</t>
        </is>
      </c>
      <c r="F53" s="16" t="inlineStr">
        <is>
          <t>NTC-Concreto 2023 (CDMX) 3.4.2.1, p. 64</t>
        </is>
      </c>
    </row>
    <row r="54" ht="57" customHeight="1">
      <c r="B54" s="12" t="inlineStr">
        <is>
          <t>M⁻ claro corto</t>
        </is>
      </c>
      <c r="C54" s="72">
        <f>IF(DETALLE!$C$9=0,0,IF(DETALLE!$C$7="NERVADA",INDEX(NERVADAS!$BH$9:$BH$48,DETALLE!$C$9),INDEX(MACIZAS!$AY$9:$AY$48,DETALLE!$C$9)))</f>
        <v>0.542372302811181</v>
      </c>
      <c r="D54" s="14" t="str">
        <f>IF(DETALLE!$C$7="NERVADA","t·m/nerv.","t·m/m")</f>
        <v>t·m/nerv.</v>
      </c>
      <c r="E54" s="15" t="inlineStr">
        <is>
          <t>El mayor de borde continuo, discontinuo y el del vecino capturado. Volado: w_u·L_n²/2 + 1.3·P·L_n (× s en nervada, más el peso de los macizos de punta y raíz que el PP promedio no cuenta).</t>
        </is>
      </c>
      <c r="F54" s="16" t="inlineStr">
        <is>
          <t>NTC-Concreto 2023 (CDMX) 3.4.2.1, p. 64 · NTC-Criterios y Acciones 2023 (CDMX) 3.4.1 a), p. 7</t>
        </is>
      </c>
    </row>
    <row r="55" ht="30" customHeight="1">
      <c r="B55" s="12" t="inlineStr">
        <is>
          <t>M⁺ claro largo</t>
        </is>
      </c>
      <c r="C55" s="72">
        <f>IF(DETALLE!$C$9=0,0,IF(DETALLE!$C$7="NERVADA",INDEX(NERVADAS!$BI$9:$BI$48,DETALLE!$C$9),INDEX(MACIZAS!$AZ$9:$AZ$48,DETALLE!$C$9)))</f>
        <v>0.263667100166445</v>
      </c>
      <c r="D55" s="14" t="str">
        <f>IF(DETALLE!$C$7="NERVADA","t·m/nerv.","t·m/m")</f>
        <v>t·m/nerv.</v>
      </c>
      <c r="E55" s="15" t="inlineStr">
        <is>
          <t>M = coef·10⁻⁴·w_u·a1² por metro; en nervada × s (por nervadura).</t>
        </is>
      </c>
      <c r="F55" s="16" t="inlineStr">
        <is>
          <t>NTC-Concreto 2023 (CDMX) 3.4.2.1, p. 64</t>
        </is>
      </c>
    </row>
    <row r="56" ht="19.5" customHeight="1">
      <c r="B56" s="12" t="inlineStr">
        <is>
          <t>M⁻ claro largo</t>
        </is>
      </c>
      <c r="C56" s="72">
        <f>IF(DETALLE!$C$9=0,0,IF(DETALLE!$C$7="NERVADA",INDEX(NERVADAS!$BJ$9:$BJ$48,DETALLE!$C$9),INDEX(MACIZAS!$BA$9:$BA$48,DETALLE!$C$9)))</f>
        <v>0.438961868170577</v>
      </c>
      <c r="D56" s="14" t="str">
        <f>IF(DETALLE!$C$7="NERVADA","t·m/nerv.","t·m/m")</f>
        <v>t·m/nerv.</v>
      </c>
      <c r="E56" s="15" t="inlineStr">
        <is>
          <t>Igual que el corto.</t>
        </is>
      </c>
      <c r="F56" s="16" t="inlineStr">
        <is>
          <t>NTC-Concreto 2023 (CDMX) 3.4.2.1, p. 64</t>
        </is>
      </c>
    </row>
    <row r="57" ht="43.5" customHeight="1">
      <c r="B57" s="12" t="inlineStr">
        <is>
          <t>3.4.2.1 c) — M⁻ del vecino</t>
        </is>
      </c>
      <c r="C57" s="34" t="str">
        <f>IF(DETALLE!$C$9=0,"—",IF(DETALLE!$C$7="NERVADA",INDEX(NERVADAS!$BK$9:$BK$48,DETALLE!$C$9),INDEX(MACIZAS!$BB$9:$BB$48,DETALLE!$C$9)))</f>
        <v>— (sin M⁻ del vecino)</v>
      </c>
      <c r="D57" s="14" t="inlineStr">
        <is>
          <t>—</t>
        </is>
      </c>
      <c r="E57" s="15" t="inlineStr">
        <is>
          <t>Si capturaste el M⁻ del vecino en el borde común: no debe diferir más de 50 % del menor; si difiere, distribuye (3.4.3.1) o confirma con un modelo.</t>
        </is>
      </c>
      <c r="F57" s="16" t="inlineStr">
        <is>
          <t>NTC-Concreto 2023 (CDMX) 3.4.2.1 c) y 3.4.3.1, p. 64</t>
        </is>
      </c>
    </row>
    <row r="58" ht="6" customHeight="1"/>
    <row r="59" ht="21" customHeight="1">
      <c r="B59" s="3" t="inlineStr">
        <is>
          <t>6. ACERO — LECHO INFERIOR ‖ CLARO CORTO</t>
        </is>
      </c>
    </row>
    <row r="60" ht="30" customHeight="1">
      <c r="B60" s="11" t="inlineStr">
        <is>
          <t>Concepto</t>
        </is>
      </c>
      <c r="C60" s="11" t="inlineStr">
        <is>
          <t>Valor</t>
        </is>
      </c>
      <c r="D60" s="11" t="inlineStr">
        <is>
          <t>Unidad</t>
        </is>
      </c>
      <c r="E60" s="11" t="inlineStr">
        <is>
          <t>Cómo se calcula / de dónde sale</t>
        </is>
      </c>
      <c r="F60" s="11" t="inlineStr">
        <is>
          <t>Referencia</t>
        </is>
      </c>
    </row>
    <row r="61" ht="19.5" customHeight="1">
      <c r="B61" s="12" t="inlineStr">
        <is>
          <t>d — peralte efectivo con la varilla que se usa</t>
        </is>
      </c>
      <c r="C61" s="23">
        <f>IF(DETALLE!$C$9=0,0,IF(DETALLE!$C$7="NERVADA",INDEX(NERVADAS!$BP$9:$BP$48,DETALLE!$C$9),INDEX(MACIZAS!$BK$9:$BK$48,DETALLE!$C$9)))</f>
        <v>22.365</v>
      </c>
      <c r="D61" s="14" t="inlineStr">
        <is>
          <t>cm</t>
        </is>
      </c>
      <c r="E61" s="15" t="inlineStr">
        <is>
          <t>h − r − d_b/2.</t>
        </is>
      </c>
      <c r="F61" s="16" t="inlineStr">
        <is>
          <t>NTC-Concreto 2023 (CDMX) Tabla 4.14.16.a, p. 85</t>
        </is>
      </c>
    </row>
    <row r="62" ht="43.5" customHeight="1">
      <c r="B62" s="12" t="inlineStr">
        <is>
          <t>As requerida</t>
        </is>
      </c>
      <c r="C62" s="23">
        <f>IF(DETALLE!$C$9=0,0,IF(DETALLE!$C$7="NERVADA",INDEX(NERVADAS!$BM$9:$BM$48,DETALLE!$C$9),INDEX(MACIZAS!$BG$9:$BG$48,DETALLE!$C$9)))</f>
        <v>0.433619909679508</v>
      </c>
      <c r="D62" s="14" t="str">
        <f>IF(DETALLE!$C$7="NERVADA","cm²/nerv.","cm²/m")</f>
        <v>cm²/nerv.</v>
      </c>
      <c r="E62" s="15" t="inlineStr">
        <is>
          <t>q = 1 − √(1 − 2Mu/(F_R·b·d²·f''c)); As = q·f''c·b·d/fy; nervada: ≥ mín(p_min·b_w·d, 4/3·As); maciza: ≥ 0.0018·b·h. −1 = no alcanza o rebasa p_max (ε_t ≥ 0.005).</t>
        </is>
      </c>
      <c r="F62" s="16" t="inlineStr">
        <is>
          <t>NTC-Concreto 2023 (CDMX) ecs. 5.2.2.1.1.1, p. 89 · 6.3.5.1.3, p. 122 · 6.7.6.1.1, p. 175</t>
        </is>
      </c>
    </row>
    <row r="63" ht="43.5" customHeight="1">
      <c r="B63" s="12" t="inlineStr">
        <is>
          <t>Armado</t>
        </is>
      </c>
      <c r="C63" s="34" t="str">
        <f>IF(DETALLE!$C$9=0,"—",IF(DETALLE!$C$7="NERVADA",INDEX(NERVADAS!$DX$9:$DX$48,DETALLE!$C$9),INDEX(MACIZAS!$DE$9:$DE$48,DETALLE!$C$9)))</f>
        <v>1 No. 4 corrida</v>
      </c>
      <c r="D63" s="14" t="inlineStr">
        <is>
          <t>—</t>
        </is>
      </c>
      <c r="E63" s="15" t="inlineStr">
        <is>
          <t>Nervada: piezas por nervadura (la preferida o la siguiente que quepa). Maciza: varilla y separación (≤ máx., ≥ mín.).</t>
        </is>
      </c>
      <c r="F63" s="16" t="inlineStr">
        <is>
          <t>NTC-Concreto 2023 (CDMX) 6.7.6.1.3, p. 175 · 14.2.1, p. 347</t>
        </is>
      </c>
    </row>
    <row r="64" ht="19.5" customHeight="1">
      <c r="B64" s="12" t="inlineStr">
        <is>
          <t>M_R — momento resistente</t>
        </is>
      </c>
      <c r="C64" s="38">
        <f>IF(DETALLE!$C$9=0,0,IF(DETALLE!$C$7="NERVADA",INDEX(NERVADAS!$BQ$9:$BQ$48,DETALLE!$C$9),INDEX(MACIZAS!$BL$9:$BL$48,DETALLE!$C$9)))</f>
        <v>1.06504699658824</v>
      </c>
      <c r="D64" s="14" t="str">
        <f>IF(DETALLE!$C$7="NERVADA","t·m/nerv.","t·m/m")</f>
        <v>t·m/nerv.</v>
      </c>
      <c r="E64" s="15" t="inlineStr">
        <is>
          <t>F_R·As·fy·(d − a/2), a = As·fy/(f''c·b).</t>
        </is>
      </c>
      <c r="F64" s="16" t="inlineStr">
        <is>
          <t>NTC-Concreto 2023 (CDMX) ec. 5.2.2.1.1.1.b, p. 89</t>
        </is>
      </c>
    </row>
    <row r="65" ht="19.5" customHeight="1">
      <c r="B65" s="12" t="inlineStr">
        <is>
          <t>Mu / M_R</t>
        </is>
      </c>
      <c r="C65" s="37">
        <f>IF(DETALLE!$C$9=0,0,IF(DETALLE!$C$7="NERVADA",INDEX(NERVADAS!$BR$9:$BR$48,DETALLE!$C$9),INDEX(MACIZAS!$BM$9:$BM$48,DETALLE!$C$9)))</f>
        <v>0.257614282259107</v>
      </c>
      <c r="D65" s="14" t="inlineStr">
        <is>
          <t>—</t>
        </is>
      </c>
      <c r="E65" s="15" t="inlineStr">
        <is>
          <t>Debe ser ≤ 1 (9.99 = la sección no alcanza).</t>
        </is>
      </c>
      <c r="F65" s="16" t="inlineStr">
        <is>
          <t>—</t>
        </is>
      </c>
    </row>
    <row r="66" ht="30" customHeight="1">
      <c r="B66" s="12" t="inlineStr">
        <is>
          <t>ε_t — deformación del acero</t>
        </is>
      </c>
      <c r="C66" s="35">
        <f>IF(DETALLE!$C$9=0,0,IF(DETALLE!$C$7="NERVADA",INDEX(NERVADAS!$BS$9:$BS$48,DETALLE!$C$9),INDEX(MACIZAS!$BN$9:$BN$48,DETALLE!$C$9)))</f>
        <v>0.156042445866142</v>
      </c>
      <c r="D66" s="14" t="inlineStr">
        <is>
          <t>—</t>
        </is>
      </c>
      <c r="E66" s="15" t="inlineStr">
        <is>
          <t>ε_t = 0.003·(d − c)/c, c = a/β1. Debe ser ≥ 0.005 (F_R = 0.9).</t>
        </is>
      </c>
      <c r="F66" s="16" t="inlineStr">
        <is>
          <t>NTC-Concreto 2023 (CDMX) Tabla 3.8.2.2, p. 70 · 6.7.3.3.1, p. 169</t>
        </is>
      </c>
    </row>
    <row r="67" ht="6" customHeight="1"/>
    <row r="68" ht="21" customHeight="1">
      <c r="B68" s="3" t="inlineStr">
        <is>
          <t>7. ACERO — LECHO SUPERIOR ‖ CLARO CORTO</t>
        </is>
      </c>
    </row>
    <row r="69" ht="30" customHeight="1">
      <c r="B69" s="11" t="inlineStr">
        <is>
          <t>Concepto</t>
        </is>
      </c>
      <c r="C69" s="11" t="inlineStr">
        <is>
          <t>Valor</t>
        </is>
      </c>
      <c r="D69" s="11" t="inlineStr">
        <is>
          <t>Unidad</t>
        </is>
      </c>
      <c r="E69" s="11" t="inlineStr">
        <is>
          <t>Cómo se calcula / de dónde sale</t>
        </is>
      </c>
      <c r="F69" s="11" t="inlineStr">
        <is>
          <t>Referencia</t>
        </is>
      </c>
    </row>
    <row r="70" ht="57" customHeight="1">
      <c r="B70" s="12" t="inlineStr">
        <is>
          <t>d — peralte efectivo con la varilla que se usa</t>
        </is>
      </c>
      <c r="C70" s="23">
        <f>IF(DETALLE!$C$9=0,0,IF(DETALLE!$C$7="NERVADA",INDEX(NERVADAS!$BX$9:$BX$48,DETALLE!$C$9),INDEX(MACIZAS!$BU$9:$BU$48,DETALLE!$C$9)))</f>
        <v>20.793</v>
      </c>
      <c r="D70" s="14" t="inlineStr">
        <is>
          <t>cm</t>
        </is>
      </c>
      <c r="E70" s="15" t="inlineStr">
        <is>
          <t>h − máx(r, (t − 2Ø)/2) − 2·Ø − d_b/2 en nervada (la malla va al centro de la capa y la varilla pasa debajo); h − r − d_b/2 en maciza; − 2 cm si d ≤ 20 cm sin la precaución de 3.9.2.</t>
        </is>
      </c>
      <c r="F70" s="16" t="inlineStr">
        <is>
          <t>NTC-Concreto 2023 (CDMX) Tabla 4.14.16.a, p. 85 · 3.9.1 d), p. 74</t>
        </is>
      </c>
    </row>
    <row r="71" ht="43.5" customHeight="1">
      <c r="B71" s="12" t="inlineStr">
        <is>
          <t>As requerida</t>
        </is>
      </c>
      <c r="C71" s="23">
        <f>IF(DETALLE!$C$9=0,0,IF(DETALLE!$C$7="NERVADA",INDEX(NERVADAS!$BU$9:$BU$48,DETALLE!$C$9),INDEX(MACIZAS!$BQ$9:$BQ$48,DETALLE!$C$9)))</f>
        <v>0.714313186405555</v>
      </c>
      <c r="D71" s="14" t="str">
        <f>IF(DETALLE!$C$7="NERVADA","cm²/nerv.","cm²/m")</f>
        <v>cm²/nerv.</v>
      </c>
      <c r="E71" s="15" t="inlineStr">
        <is>
          <t>q = 1 − √(1 − 2Mu/(F_R·b·d²·f''c)); As = q·f''c·b·d/fy; nervada: ≥ mín(p_min·b_w·d, 4/3·As); maciza: ≥ 0.0018·b·h. −1 = no alcanza o rebasa p_max (ε_t ≥ 0.005).</t>
        </is>
      </c>
      <c r="F71" s="16" t="inlineStr">
        <is>
          <t>NTC-Concreto 2023 (CDMX) ecs. 5.2.2.1.1.1, p. 89 · 6.3.5.1.3, p. 122 · 6.7.6.1.1, p. 175</t>
        </is>
      </c>
    </row>
    <row r="72" ht="43.5" customHeight="1">
      <c r="B72" s="12" t="inlineStr">
        <is>
          <t>Armado</t>
        </is>
      </c>
      <c r="C72" s="34" t="str">
        <f>IF(DETALLE!$C$9=0,"—",IF(DETALLE!$C$7="NERVADA",INDEX(NERVADAS!$DY$9:$DY$48,DETALLE!$C$9),INDEX(MACIZAS!$DF$9:$DF$48,DETALLE!$C$9)))</f>
        <v>1 No. 4 corrida</v>
      </c>
      <c r="D72" s="14" t="inlineStr">
        <is>
          <t>—</t>
        </is>
      </c>
      <c r="E72" s="15" t="inlineStr">
        <is>
          <t>Nervada: piezas por nervadura (la preferida o la siguiente que quepa). Maciza: varilla y separación (≤ máx., ≥ mín.).</t>
        </is>
      </c>
      <c r="F72" s="16" t="inlineStr">
        <is>
          <t>NTC-Concreto 2023 (CDMX) 6.7.6.1.3, p. 175 · 14.2.1, p. 347</t>
        </is>
      </c>
    </row>
    <row r="73" ht="19.5" customHeight="1">
      <c r="B73" s="12" t="inlineStr">
        <is>
          <t>M_R — momento resistente</t>
        </is>
      </c>
      <c r="C73" s="38">
        <f>IF(DETALLE!$C$9=0,0,IF(DETALLE!$C$7="NERVADA",INDEX(NERVADAS!$BY$9:$BY$48,DETALLE!$C$9),INDEX(MACIZAS!$BV$9:$BV$48,DETALLE!$C$9)))</f>
        <v>0.937938404117647</v>
      </c>
      <c r="D73" s="14" t="str">
        <f>IF(DETALLE!$C$7="NERVADA","t·m/nerv.","t·m/m")</f>
        <v>t·m/nerv.</v>
      </c>
      <c r="E73" s="15" t="inlineStr">
        <is>
          <t>F_R·As·fy·(d − a/2), a = As·fy/(f''c·b).</t>
        </is>
      </c>
      <c r="F73" s="16" t="inlineStr">
        <is>
          <t>NTC-Concreto 2023 (CDMX) ec. 5.2.2.1.1.1.b, p. 89</t>
        </is>
      </c>
    </row>
    <row r="74" ht="19.5" customHeight="1">
      <c r="B74" s="12" t="inlineStr">
        <is>
          <t>Mu / M_R</t>
        </is>
      </c>
      <c r="C74" s="37">
        <f>IF(DETALLE!$C$9=0,0,IF(DETALLE!$C$7="NERVADA",INDEX(NERVADAS!$BZ$9:$BZ$48,DETALLE!$C$9),INDEX(MACIZAS!$BW$9:$BW$48,DETALLE!$C$9)))</f>
        <v>0.578260043975287</v>
      </c>
      <c r="D74" s="14" t="inlineStr">
        <is>
          <t>—</t>
        </is>
      </c>
      <c r="E74" s="15" t="inlineStr">
        <is>
          <t>Debe ser ≤ 1 (9.99 = la sección no alcanza).</t>
        </is>
      </c>
      <c r="F74" s="16" t="inlineStr">
        <is>
          <t>—</t>
        </is>
      </c>
    </row>
    <row r="75" ht="30" customHeight="1">
      <c r="B75" s="12" t="inlineStr">
        <is>
          <t>ε_t — deformación del acero</t>
        </is>
      </c>
      <c r="C75" s="35">
        <f>IF(DETALLE!$C$9=0,0,IF(DETALLE!$C$7="NERVADA",INDEX(NERVADAS!$CA$9:$CA$48,DETALLE!$C$9),INDEX(MACIZAS!$BX$9:$BX$48,DETALLE!$C$9)))</f>
        <v>0.0181233724690664</v>
      </c>
      <c r="D75" s="14" t="inlineStr">
        <is>
          <t>—</t>
        </is>
      </c>
      <c r="E75" s="15" t="inlineStr">
        <is>
          <t>ε_t = 0.003·(d − c)/c, c = a/β1. Debe ser ≥ 0.005 (F_R = 0.9).</t>
        </is>
      </c>
      <c r="F75" s="16" t="inlineStr">
        <is>
          <t>NTC-Concreto 2023 (CDMX) Tabla 3.8.2.2, p. 70 · 6.7.3.3.1, p. 169</t>
        </is>
      </c>
    </row>
    <row r="76" ht="6" customHeight="1"/>
    <row r="77" ht="21" customHeight="1">
      <c r="B77" s="3" t="inlineStr">
        <is>
          <t>8. ACERO — LECHO INFERIOR ‖ CLARO LARGO</t>
        </is>
      </c>
    </row>
    <row r="78" ht="30" customHeight="1">
      <c r="B78" s="11" t="inlineStr">
        <is>
          <t>Concepto</t>
        </is>
      </c>
      <c r="C78" s="11" t="inlineStr">
        <is>
          <t>Valor</t>
        </is>
      </c>
      <c r="D78" s="11" t="inlineStr">
        <is>
          <t>Unidad</t>
        </is>
      </c>
      <c r="E78" s="11" t="inlineStr">
        <is>
          <t>Cómo se calcula / de dónde sale</t>
        </is>
      </c>
      <c r="F78" s="11" t="inlineStr">
        <is>
          <t>Referencia</t>
        </is>
      </c>
    </row>
    <row r="79" ht="19.5" customHeight="1">
      <c r="B79" s="12" t="inlineStr">
        <is>
          <t>d — peralte efectivo con la varilla que se usa</t>
        </is>
      </c>
      <c r="C79" s="23">
        <f>IF(DETALLE!$C$9=0,0,IF(DETALLE!$C$7="NERVADA",INDEX(NERVADAS!$CF$9:$CF$48,DETALLE!$C$9),INDEX(MACIZAS!$CE$9:$CE$48,DETALLE!$C$9)))</f>
        <v>21.095</v>
      </c>
      <c r="D79" s="14" t="inlineStr">
        <is>
          <t>cm</t>
        </is>
      </c>
      <c r="E79" s="15" t="inlineStr">
        <is>
          <t>h − r − d_b/2 − d_b del lecho corto (va encima).</t>
        </is>
      </c>
      <c r="F79" s="16" t="inlineStr">
        <is>
          <t>NTC-Concreto 2023 (CDMX) Tabla 4.14.16.a, p. 85</t>
        </is>
      </c>
    </row>
    <row r="80" ht="43.5" customHeight="1">
      <c r="B80" s="12" t="inlineStr">
        <is>
          <t>As requerida</t>
        </is>
      </c>
      <c r="C80" s="23">
        <f>IF(DETALLE!$C$9=0,0,IF(DETALLE!$C$7="NERVADA",INDEX(NERVADAS!$CC$9:$CC$48,DETALLE!$C$9),INDEX(MACIZAS!$CA$9:$CA$48,DETALLE!$C$9)))</f>
        <v>0.44186298130692</v>
      </c>
      <c r="D80" s="14" t="str">
        <f>IF(DETALLE!$C$7="NERVADA","cm²/nerv.","cm²/m")</f>
        <v>cm²/nerv.</v>
      </c>
      <c r="E80" s="15" t="inlineStr">
        <is>
          <t>q = 1 − √(1 − 2Mu/(F_R·b·d²·f''c)); As = q·f''c·b·d/fy; nervada: ≥ mín(p_min·b_w·d, 4/3·As); maciza: ≥ 0.0018·b·h. −1 = no alcanza o rebasa p_max (ε_t ≥ 0.005).</t>
        </is>
      </c>
      <c r="F80" s="16" t="inlineStr">
        <is>
          <t>NTC-Concreto 2023 (CDMX) ecs. 5.2.2.1.1.1, p. 89 · 6.3.5.1.3, p. 122 · 6.7.6.1.1, p. 175</t>
        </is>
      </c>
    </row>
    <row r="81" ht="43.5" customHeight="1">
      <c r="B81" s="12" t="inlineStr">
        <is>
          <t>Armado</t>
        </is>
      </c>
      <c r="C81" s="34" t="str">
        <f>IF(DETALLE!$C$9=0,"—",IF(DETALLE!$C$7="NERVADA",INDEX(NERVADAS!$DZ$9:$DZ$48,DETALLE!$C$9),INDEX(MACIZAS!$DG$9:$DG$48,DETALLE!$C$9)))</f>
        <v>1 No. 4 corrida</v>
      </c>
      <c r="D81" s="14" t="inlineStr">
        <is>
          <t>—</t>
        </is>
      </c>
      <c r="E81" s="15" t="inlineStr">
        <is>
          <t>Nervada: piezas por nervadura (la preferida o la siguiente que quepa). Maciza: varilla y separación (≤ máx., ≥ mín.).</t>
        </is>
      </c>
      <c r="F81" s="16" t="inlineStr">
        <is>
          <t>NTC-Concreto 2023 (CDMX) 6.7.6.1.3, p. 175 · 14.2.1, p. 347</t>
        </is>
      </c>
    </row>
    <row r="82" ht="19.5" customHeight="1">
      <c r="B82" s="12" t="inlineStr">
        <is>
          <t>M_R — momento resistente</t>
        </is>
      </c>
      <c r="C82" s="38">
        <f>IF(DETALLE!$C$9=0,0,IF(DETALLE!$C$7="NERVADA",INDEX(NERVADAS!$CG$9:$CG$48,DETALLE!$C$9),INDEX(MACIZAS!$CF$9:$CF$48,DETALLE!$C$9)))</f>
        <v>1.00407937658824</v>
      </c>
      <c r="D82" s="14" t="str">
        <f>IF(DETALLE!$C$7="NERVADA","t·m/nerv.","t·m/m")</f>
        <v>t·m/nerv.</v>
      </c>
      <c r="E82" s="15" t="inlineStr">
        <is>
          <t>F_R·As·fy·(d − a/2), a = As·fy/(f''c·b).</t>
        </is>
      </c>
      <c r="F82" s="16" t="inlineStr">
        <is>
          <t>NTC-Concreto 2023 (CDMX) ec. 5.2.2.1.1.1.b, p. 89</t>
        </is>
      </c>
    </row>
    <row r="83" ht="19.5" customHeight="1">
      <c r="B83" s="12" t="inlineStr">
        <is>
          <t>Mu / M_R</t>
        </is>
      </c>
      <c r="C83" s="37">
        <f>IF(DETALLE!$C$9=0,0,IF(DETALLE!$C$7="NERVADA",INDEX(NERVADAS!$CH$9:$CH$48,DETALLE!$C$9),INDEX(MACIZAS!$CG$9:$CG$48,DETALLE!$C$9)))</f>
        <v>0.26259587271114</v>
      </c>
      <c r="D83" s="14" t="inlineStr">
        <is>
          <t>—</t>
        </is>
      </c>
      <c r="E83" s="15" t="inlineStr">
        <is>
          <t>Debe ser ≤ 1 (9.99 = la sección no alcanza).</t>
        </is>
      </c>
      <c r="F83" s="16" t="inlineStr">
        <is>
          <t>—</t>
        </is>
      </c>
    </row>
    <row r="84" ht="30" customHeight="1">
      <c r="B84" s="12" t="inlineStr">
        <is>
          <t>ε_t — deformación del acero</t>
        </is>
      </c>
      <c r="C84" s="35">
        <f>IF(DETALLE!$C$9=0,0,IF(DETALLE!$C$7="NERVADA",INDEX(NERVADAS!$CI$9:$CI$48,DETALLE!$C$9),INDEX(MACIZAS!$CH$9:$CH$48,DETALLE!$C$9)))</f>
        <v>0.147011195866142</v>
      </c>
      <c r="D84" s="14" t="inlineStr">
        <is>
          <t>—</t>
        </is>
      </c>
      <c r="E84" s="15" t="inlineStr">
        <is>
          <t>ε_t = 0.003·(d − c)/c, c = a/β1. Debe ser ≥ 0.005 (F_R = 0.9).</t>
        </is>
      </c>
      <c r="F84" s="16" t="inlineStr">
        <is>
          <t>NTC-Concreto 2023 (CDMX) Tabla 3.8.2.2, p. 70 · 6.7.3.3.1, p. 169</t>
        </is>
      </c>
    </row>
    <row r="85" ht="6" customHeight="1"/>
    <row r="86" ht="21" customHeight="1">
      <c r="B86" s="3" t="inlineStr">
        <is>
          <t>9. ACERO — LECHO SUPERIOR ‖ CLARO LARGO</t>
        </is>
      </c>
    </row>
    <row r="87" ht="30" customHeight="1">
      <c r="B87" s="11" t="inlineStr">
        <is>
          <t>Concepto</t>
        </is>
      </c>
      <c r="C87" s="11" t="inlineStr">
        <is>
          <t>Valor</t>
        </is>
      </c>
      <c r="D87" s="11" t="inlineStr">
        <is>
          <t>Unidad</t>
        </is>
      </c>
      <c r="E87" s="11" t="inlineStr">
        <is>
          <t>Cómo se calcula / de dónde sale</t>
        </is>
      </c>
      <c r="F87" s="11" t="inlineStr">
        <is>
          <t>Referencia</t>
        </is>
      </c>
    </row>
    <row r="88" ht="57" customHeight="1">
      <c r="B88" s="12" t="inlineStr">
        <is>
          <t>d — peralte efectivo con la varilla que se usa</t>
        </is>
      </c>
      <c r="C88" s="23">
        <f>IF(DETALLE!$C$9=0,0,IF(DETALLE!$C$7="NERVADA",INDEX(NERVADAS!$CN$9:$CN$48,DETALLE!$C$9),INDEX(MACIZAS!$CO$9:$CO$48,DETALLE!$C$9)))</f>
        <v>19.523</v>
      </c>
      <c r="D88" s="14" t="inlineStr">
        <is>
          <t>cm</t>
        </is>
      </c>
      <c r="E88" s="15" t="inlineStr">
        <is>
          <t>h − máx(r, (t − 2Ø)/2) − 2·Ø − d_b/2 en nervada (la malla va al centro de la capa y la varilla pasa debajo); h − r − d_b/2 en maciza; − 2 cm si d ≤ 20 cm sin la precaución de 3.9.2 − d_b del lecho corto (va encima).</t>
        </is>
      </c>
      <c r="F88" s="16" t="inlineStr">
        <is>
          <t>NTC-Concreto 2023 (CDMX) Tabla 4.14.16.a, p. 85 · 3.9.1 d), p. 74</t>
        </is>
      </c>
    </row>
    <row r="89" ht="43.5" customHeight="1">
      <c r="B89" s="12" t="inlineStr">
        <is>
          <t>As requerida</t>
        </is>
      </c>
      <c r="C89" s="23">
        <f>IF(DETALLE!$C$9=0,0,IF(DETALLE!$C$7="NERVADA",INDEX(NERVADAS!$CK$9:$CK$48,DETALLE!$C$9),INDEX(MACIZAS!$CK$9:$CK$48,DETALLE!$C$9)))</f>
        <v>0.650766666666667</v>
      </c>
      <c r="D89" s="14" t="str">
        <f>IF(DETALLE!$C$7="NERVADA","cm²/nerv.","cm²/m")</f>
        <v>cm²/nerv.</v>
      </c>
      <c r="E89" s="15" t="inlineStr">
        <is>
          <t>q = 1 − √(1 − 2Mu/(F_R·b·d²·f''c)); As = q·f''c·b·d/fy; nervada: ≥ mín(p_min·b_w·d, 4/3·As); maciza: ≥ 0.0018·b·h. −1 = no alcanza o rebasa p_max (ε_t ≥ 0.005).</t>
        </is>
      </c>
      <c r="F89" s="16" t="inlineStr">
        <is>
          <t>NTC-Concreto 2023 (CDMX) ecs. 5.2.2.1.1.1, p. 89 · 6.3.5.1.3, p. 122 · 6.7.6.1.1, p. 175</t>
        </is>
      </c>
    </row>
    <row r="90" ht="43.5" customHeight="1">
      <c r="B90" s="12" t="inlineStr">
        <is>
          <t>Armado</t>
        </is>
      </c>
      <c r="C90" s="34" t="str">
        <f>IF(DETALLE!$C$9=0,"—",IF(DETALLE!$C$7="NERVADA",INDEX(NERVADAS!$EA$9:$EA$48,DETALLE!$C$9),INDEX(MACIZAS!$DH$9:$DH$48,DETALLE!$C$9)))</f>
        <v>1 No. 4 corrida</v>
      </c>
      <c r="D90" s="14" t="inlineStr">
        <is>
          <t>—</t>
        </is>
      </c>
      <c r="E90" s="15" t="inlineStr">
        <is>
          <t>Nervada: piezas por nervadura (la preferida o la siguiente que quepa). Maciza: varilla y separación (≤ máx., ≥ mín.).</t>
        </is>
      </c>
      <c r="F90" s="16" t="inlineStr">
        <is>
          <t>NTC-Concreto 2023 (CDMX) 6.7.6.1.3, p. 175 · 14.2.1, p. 347</t>
        </is>
      </c>
    </row>
    <row r="91" ht="19.5" customHeight="1">
      <c r="B91" s="12" t="inlineStr">
        <is>
          <t>M_R — momento resistente</t>
        </is>
      </c>
      <c r="C91" s="38">
        <f>IF(DETALLE!$C$9=0,0,IF(DETALLE!$C$7="NERVADA",INDEX(NERVADAS!$CO$9:$CO$48,DETALLE!$C$9),INDEX(MACIZAS!$CP$9:$CP$48,DETALLE!$C$9)))</f>
        <v>0.876970784117647</v>
      </c>
      <c r="D91" s="14" t="str">
        <f>IF(DETALLE!$C$7="NERVADA","t·m/nerv.","t·m/m")</f>
        <v>t·m/nerv.</v>
      </c>
      <c r="E91" s="15" t="inlineStr">
        <is>
          <t>F_R·As·fy·(d − a/2), a = As·fy/(f''c·b).</t>
        </is>
      </c>
      <c r="F91" s="16" t="inlineStr">
        <is>
          <t>NTC-Concreto 2023 (CDMX) ec. 5.2.2.1.1.1.b, p. 89</t>
        </is>
      </c>
    </row>
    <row r="92" ht="19.5" customHeight="1">
      <c r="B92" s="12" t="inlineStr">
        <is>
          <t>Mu / M_R</t>
        </is>
      </c>
      <c r="C92" s="37">
        <f>IF(DETALLE!$C$9=0,0,IF(DETALLE!$C$7="NERVADA",INDEX(NERVADAS!$CP$9:$CP$48,DETALLE!$C$9),INDEX(MACIZAS!$CQ$9:$CQ$48,DETALLE!$C$9)))</f>
        <v>0.500543320393772</v>
      </c>
      <c r="D92" s="14" t="inlineStr">
        <is>
          <t>—</t>
        </is>
      </c>
      <c r="E92" s="15" t="inlineStr">
        <is>
          <t>Debe ser ≤ 1 (9.99 = la sección no alcanza).</t>
        </is>
      </c>
      <c r="F92" s="16" t="inlineStr">
        <is>
          <t>—</t>
        </is>
      </c>
    </row>
    <row r="93" ht="30" customHeight="1">
      <c r="B93" s="12" t="inlineStr">
        <is>
          <t>ε_t — deformación del acero</t>
        </is>
      </c>
      <c r="C93" s="35">
        <f>IF(DETALLE!$C$9=0,0,IF(DETALLE!$C$7="NERVADA",INDEX(NERVADAS!$CQ$9:$CQ$48,DETALLE!$C$9),INDEX(MACIZAS!$CR$9:$CR$48,DETALLE!$C$9)))</f>
        <v>0.0168331938976378</v>
      </c>
      <c r="D93" s="14" t="inlineStr">
        <is>
          <t>—</t>
        </is>
      </c>
      <c r="E93" s="15" t="inlineStr">
        <is>
          <t>ε_t = 0.003·(d − c)/c, c = a/β1. Debe ser ≥ 0.005 (F_R = 0.9).</t>
        </is>
      </c>
      <c r="F93" s="16" t="inlineStr">
        <is>
          <t>NTC-Concreto 2023 (CDMX) Tabla 3.8.2.2, p. 70 · 6.7.3.3.1, p. 169</t>
        </is>
      </c>
    </row>
    <row r="94" ht="6" customHeight="1"/>
    <row r="95" ht="21" customHeight="1">
      <c r="B95" s="3" t="inlineStr">
        <is>
          <t>10. CORTANTE</t>
        </is>
      </c>
    </row>
    <row r="96" ht="30" customHeight="1">
      <c r="B96" s="11" t="inlineStr">
        <is>
          <t>Concepto</t>
        </is>
      </c>
      <c r="C96" s="11" t="inlineStr">
        <is>
          <t>Valor</t>
        </is>
      </c>
      <c r="D96" s="11" t="inlineStr">
        <is>
          <t>Unidad</t>
        </is>
      </c>
      <c r="E96" s="11" t="inlineStr">
        <is>
          <t>Cómo se calcula / de dónde sale</t>
        </is>
      </c>
      <c r="F96" s="11" t="inlineStr">
        <is>
          <t>Referencia</t>
        </is>
      </c>
    </row>
    <row r="97" ht="43.5" customHeight="1">
      <c r="B97" s="12" t="inlineStr">
        <is>
          <t>V_u a d del paño</t>
        </is>
      </c>
      <c r="C97" s="72">
        <f>IF(DETALLE!$C$9=0,0,IF(DETALLE!$C$7="NERVADA",INDEX(NERVADAS!$CR$9:$CR$48,DETALLE!$C$9),INDEX(MACIZAS!$CS$9:$CS$48,DETALLE!$C$9)))</f>
        <v>0.614302109590835</v>
      </c>
      <c r="D97" s="14" t="str">
        <f>IF(DETALLE!$C$7="NERVADA","t/nerv.","t/m")</f>
        <v>t/nerv.</v>
      </c>
      <c r="E97" s="15" t="inlineStr">
        <is>
          <t>(L_n/2 − d)(0.95 − 0.5m)·w_u, ×1.15 con bordes continuos y discontinuos (× s en nervada). Volado: w_u(L_n − d) + 1.3P (+ el peso del macizo de la punta en nervada).</t>
        </is>
      </c>
      <c r="F97" s="16" t="inlineStr">
        <is>
          <t>NTC-Concreto 2023 (CDMX) 3.4.1.1, p. 64 · 6.7.4.3.2, p. 172</t>
        </is>
      </c>
    </row>
    <row r="98" ht="30" customHeight="1">
      <c r="B98" s="12" t="inlineStr">
        <is>
          <t>V_cR — cortante que toma el concreto</t>
        </is>
      </c>
      <c r="C98" s="72">
        <f>IF(DETALLE!$C$9=0,0,IF(DETALLE!$C$7="NERVADA",INDEX(NERVADAS!$CS$9:$CS$48,DETALLE!$C$9),INDEX(MACIZAS!$CU$9:$CU$48,DETALLE!$C$9)))</f>
        <v>0.991592632344917</v>
      </c>
      <c r="D98" s="14" t="str">
        <f>IF(DETALLE!$C$7="NERVADA","t/nerv.","t/m")</f>
        <v>t/nerv.</v>
      </c>
      <c r="E98" s="15" t="inlineStr">
        <is>
          <t>F_R·2·λs·p^⅓·√f'c·b·d (b = b_w en nervada, × 1.1 si cumple 6.7.8; b = 100 en maciza).</t>
        </is>
      </c>
      <c r="F98" s="16" t="inlineStr">
        <is>
          <t>NTC-Concreto 2023 (CDMX) ec. 5.5.3.2.1, p. 95 · 6.7.8.1.5, p. 187 · 5.5.3.8.1, p. 97</t>
        </is>
      </c>
    </row>
    <row r="99" ht="30" customHeight="1">
      <c r="B99" s="12" t="inlineStr">
        <is>
          <t>Estado (y hileras a macizar en nervada)</t>
        </is>
      </c>
      <c r="C99" s="34" t="str">
        <f>IF(DETALLE!$C$9=0,"—",IF(DETALLE!$C$7="NERVADA",INDEX(NERVADAS!$CU$9:$CU$48,DETALLE!$C$9),INDEX(MACIZAS!$CV$9:$CV$48,DETALLE!$C$9)))</f>
        <v>CUMPLE</v>
      </c>
      <c r="D99" s="14" t="inlineStr">
        <is>
          <t>—</t>
        </is>
      </c>
      <c r="E99" s="15" t="inlineStr">
        <is>
          <t>Nervada: lo que no alcanza se cubre quitando hileras de casetones junto al apoyo. Maciza: sube h.</t>
        </is>
      </c>
      <c r="F99" s="16" t="inlineStr">
        <is>
          <t>NTC-Concreto 2023 (CDMX) 5.5.3.8.1, p. 97</t>
        </is>
      </c>
    </row>
    <row r="100" ht="6" customHeight="1"/>
    <row r="101" ht="21" customHeight="1">
      <c r="B101" s="3" t="inlineStr">
        <is>
          <t>11. ESPESOR MÍNIMO (PARA OMITIR EL CÁLCULO DE FLECHAS)</t>
        </is>
      </c>
    </row>
    <row r="102" ht="30" customHeight="1">
      <c r="B102" s="11" t="inlineStr">
        <is>
          <t>Concepto</t>
        </is>
      </c>
      <c r="C102" s="11" t="inlineStr">
        <is>
          <t>Valor</t>
        </is>
      </c>
      <c r="D102" s="11" t="inlineStr">
        <is>
          <t>Unidad</t>
        </is>
      </c>
      <c r="E102" s="11" t="inlineStr">
        <is>
          <t>Cómo se calcula / de dónde sale</t>
        </is>
      </c>
      <c r="F102" s="11" t="inlineStr">
        <is>
          <t>Referencia</t>
        </is>
      </c>
    </row>
    <row r="103" ht="30" customHeight="1">
      <c r="B103" s="12" t="inlineStr">
        <is>
          <t>α_fm</t>
        </is>
      </c>
      <c r="C103" s="23">
        <f>IF(DETALLE!$C$9=0,0,IF(DETALLE!$C$7="NERVADA",INDEX(NERVADAS!$CY$9:$CY$48,DETALLE!$C$9),INDEX(MACIZAS!$CW$9:$CW$48,DETALLE!$C$9)))</f>
        <v>99</v>
      </c>
      <c r="D103" s="14" t="inlineStr">
        <is>
          <t>—</t>
        </is>
      </c>
      <c r="E103" s="15" t="inlineStr">
        <is>
          <t>Promedio de α_f de los cuatro bordes (99 = muros o trabes rígidas).</t>
        </is>
      </c>
      <c r="F103" s="16" t="inlineStr">
        <is>
          <t>NTC-Concreto 2023 (CDMX) Tabla 6.7.3.1.2 nota [1], p. 168</t>
        </is>
      </c>
    </row>
    <row r="104" ht="43.5" customHeight="1">
      <c r="B104" s="12" t="inlineStr">
        <is>
          <t>h mínimo</t>
        </is>
      </c>
      <c r="C104" s="36">
        <f>IF(DETALLE!$C$9=0,0,IF(DETALLE!$C$7="NERVADA",INDEX(NERVADAS!$CZ$9:$CZ$48,DETALLE!$C$9),INDEX(MACIZAS!$CX$9:$CX$48,DETALLE!$C$9)))</f>
        <v>10.2261412662917</v>
      </c>
      <c r="D104" s="14" t="inlineStr">
        <is>
          <t>cm</t>
        </is>
      </c>
      <c r="E104" s="15" t="inlineStr">
        <is>
          <t>Tabla 6.7.3.1.2 (+10 % con borde discontinuo sin viga). Volado: L/8 en nervada, L/10 en maciza (criterio de esta hoja).</t>
        </is>
      </c>
      <c r="F104" s="16" t="inlineStr">
        <is>
          <t>NTC-Concreto 2023 (CDMX) Tabla 6.7.3.1.2 y 6.7.3.1.2.1, p. 168 · Tabla 6.3.3.1.1, p. 120</t>
        </is>
      </c>
    </row>
    <row r="105" ht="30" customHeight="1">
      <c r="B105" s="12" t="inlineStr">
        <is>
          <t>h que se compara</t>
        </is>
      </c>
      <c r="C105" s="23">
        <f>IF(DETALLE!$C$7="NERVADA",IF(IF(DETALLE!$C$9=0,"—",IF(DETALLE!$C$7="NERVADA",INDEX(NERVADAS!$C$9:$C$48,DETALLE!$C$9),INDEX(MACIZAS!$C$9:$C$48,DETALLE!$C$9)))="VOLADO",DATOS!$C$85,IF(DETALLE!$C$9=0,0,IF(DETALLE!$C$7="NERVADA",INDEX(NERVADAS!$CX$9:$CX$48,DETALLE!$C$9),0))),IF(DETALLE!$C$9=0,0,IF(DETALLE!$C$7="NERVADA",0,INDEX(MACIZAS!$W$9:$W$48,DETALLE!$C$9))))</f>
        <v>16.7506339743859</v>
      </c>
      <c r="D105" s="14" t="inlineStr">
        <is>
          <t>cm</t>
        </is>
      </c>
      <c r="E105" s="15" t="inlineStr">
        <is>
          <t>Nervada: h_eq (maciza de la misma inercia); volado nervado: h. Maciza: h.</t>
        </is>
      </c>
      <c r="F105" s="16" t="inlineStr">
        <is>
          <t>Criterio de esta hoja · NTC-Concreto 2023 (CDMX) 6.7.3.1, p. 167–168</t>
        </is>
      </c>
    </row>
    <row r="106" ht="30" customHeight="1">
      <c r="B106" s="12" t="inlineStr">
        <is>
          <t>Estado</t>
        </is>
      </c>
      <c r="C106" s="34" t="str">
        <f>IF(DETALLE!$C$9=0,"—",IF(DETALLE!$C$7="NERVADA",INDEX(NERVADAS!$DA$9:$DA$48,DETALLE!$C$9),INDEX(MACIZAS!$CY$9:$CY$48,DETALLE!$C$9)))</f>
        <v>CUMPLE</v>
      </c>
      <c r="D106" s="14" t="inlineStr">
        <is>
          <t>—</t>
        </is>
      </c>
      <c r="E106" s="15" t="inlineStr">
        <is>
          <t>Si no cumple: calcular flechas (13.4) y revisar vibración (13.7).</t>
        </is>
      </c>
      <c r="F106" s="16" t="inlineStr">
        <is>
          <t>NTC-Concreto 2023 (CDMX) 6.7.3.2.1, p. 168</t>
        </is>
      </c>
    </row>
    <row r="107" ht="6" customHeight="1"/>
    <row r="108" ht="21" customHeight="1">
      <c r="B108" s="3" t="inlineStr">
        <is>
          <t>12. BASTONES Y ANCLAJE</t>
        </is>
      </c>
    </row>
    <row r="109" ht="30" customHeight="1">
      <c r="B109" s="11" t="inlineStr">
        <is>
          <t>Concepto</t>
        </is>
      </c>
      <c r="C109" s="11" t="inlineStr">
        <is>
          <t>Valor</t>
        </is>
      </c>
      <c r="D109" s="11" t="inlineStr">
        <is>
          <t>Unidad</t>
        </is>
      </c>
      <c r="E109" s="11" t="inlineStr">
        <is>
          <t>Cómo se calcula / de dónde sale</t>
        </is>
      </c>
      <c r="F109" s="11" t="inlineStr">
        <is>
          <t>Referencia</t>
        </is>
      </c>
    </row>
    <row r="110" ht="43.5" customHeight="1">
      <c r="B110" s="12" t="inlineStr">
        <is>
          <t>Bastón ‖ claro corto: largo desde el paño</t>
        </is>
      </c>
      <c r="C110" s="33">
        <f>IF(DETALLE!$C$9=0,0,IF(DETALLE!$C$7="NERVADA",INDEX(NERVADAS!$DC$9:$DC$48,DETALLE!$C$9),INDEX(MACIZAS!$CZ$9:$CZ$48,DETALLE!$C$9)))</f>
        <v>105</v>
      </c>
      <c r="D110" s="14" t="inlineStr">
        <is>
          <t>cm</t>
        </is>
      </c>
      <c r="E110" s="15" t="inlineStr">
        <is>
          <t>Punto de inflexión + máx(d, 12d_b, L_n/16), ≥ L_d; si no hay punto de inflexión, de lado a lado. Volado: dentro del respaldo hasta M = 0 con 0.9·PP sin CV.</t>
        </is>
      </c>
      <c r="F110" s="16" t="inlineStr">
        <is>
          <t>NTC-Concreto 2023 (CDMX) 6.3.7.3.4, p. 127 · 6.3.7.3.10.4, p. 129 · Tabla 14.4.2.4, p. 353</t>
        </is>
      </c>
    </row>
    <row r="111" ht="19.5" customHeight="1">
      <c r="B111" s="12" t="inlineStr">
        <is>
          <t>Bastón ‖ claro largo: largo desde el paño</t>
        </is>
      </c>
      <c r="C111" s="33">
        <f>IF(DETALLE!$C$9=0,0,IF(DETALLE!$C$7="NERVADA",INDEX(NERVADAS!$DD$9:$DD$48,DETALLE!$C$9),INDEX(MACIZAS!$DA$9:$DA$48,DETALLE!$C$9)))</f>
        <v>120</v>
      </c>
      <c r="D111" s="14" t="inlineStr">
        <is>
          <t>cm</t>
        </is>
      </c>
      <c r="E111" s="15" t="inlineStr">
        <is>
          <t>Mismo criterio.</t>
        </is>
      </c>
      <c r="F111" s="16" t="inlineStr">
        <is>
          <t>NTC-Concreto 2023 (CDMX) 6.3.7.3.10.4, p. 129</t>
        </is>
      </c>
    </row>
    <row r="112" ht="43.5" customHeight="1">
      <c r="B112" s="12" t="inlineStr">
        <is>
          <t>¿Bastón también en bordes discontinuos? (corto / largo)</t>
        </is>
      </c>
      <c r="C112" s="31" t="str">
        <f>IF(DETALLE!$C$9=0,"—",IF(DETALLE!$C$7="NERVADA",INDEX(NERVADAS!$DE$9:$DE$48,DETALLE!$C$9),INDEX(MACIZAS!$DB$9:$DB$48,DETALLE!$C$9)))&amp;" / "&amp;IF(DETALLE!$C$9=0,"—",IF(DETALLE!$C$7="NERVADA",INDEX(NERVADAS!$DF$9:$DF$48,DETALLE!$C$9),INDEX(MACIZAS!$DC$9:$DC$48,DETALLE!$C$9)))</f>
        <v>NO / NO</v>
      </c>
      <c r="D112" s="14" t="inlineStr">
        <is>
          <t>—</t>
        </is>
      </c>
      <c r="E112" s="15" t="inlineStr">
        <is>
          <t>Nervada: si el M⁻ de borde discontinuo no lo toma la varilla corrida. Maciza: siempre que la tabla da M⁻ en ese borde. Con gancho.</t>
        </is>
      </c>
      <c r="F112" s="16" t="inlineStr">
        <is>
          <t>NTC-Concreto 2023 (CDMX) 6.7.7.4.1.1 b), p. 179</t>
        </is>
      </c>
    </row>
    <row r="113" ht="57" customHeight="1">
      <c r="B113" s="12" t="inlineStr">
        <is>
          <t>Anclaje en bordes discontinuos</t>
        </is>
      </c>
      <c r="C113" s="34" t="str">
        <f>IF(DETALLE!$C$9=0,"—",IF(DETALLE!$C$7="NERVADA",INDEX(NERVADAS!$DG$9:$DG$48,DETALLE!$C$9),INDEX(MACIZAS!$DD$9:$DD$48,DETALLE!$C$9)))</f>
        <v>CUMPLE (gancho de 180°)</v>
      </c>
      <c r="D113" s="14" t="inlineStr">
        <is>
          <t>—</t>
        </is>
      </c>
      <c r="E113" s="15" t="inlineStr">
        <is>
          <t>Dala de borde armada de DATOS: 1.25·L_dh de la varilla inferior (nervada; ≥ 15 cm dentro) y L_dh del bastón, menos r de viga; gancho de 180° de alto 8·d_b dentro del peralte de la dala.</t>
        </is>
      </c>
      <c r="F113" s="16" t="inlineStr">
        <is>
          <t>NTC-Concreto 2023 (CDMX) 6.7.8.1.7, p. 188 · 6.7.7.4.1.1, p. 179 · Tabla 14.3.1, p. 349 · 14.4.3.1, p. 355</t>
        </is>
      </c>
    </row>
    <row r="114" ht="43.5" customHeight="1">
      <c r="B114" s="12" t="inlineStr">
        <is>
          <t>Respaldo de un volado con b_w propio: varillas del volado que caben en la nervadura normal / su M_R / su V_cR</t>
        </is>
      </c>
      <c r="C114" s="31" t="str">
        <f>IF(IF(DETALLE!$C$9=0,"—",IF(DETALLE!$C$7="NERVADA",INDEX(NERVADAS!$C$9:$C$48,DETALLE!$C$9),INDEX(MACIZAS!$C$9:$C$48,DETALLE!$C$9)))&lt;&gt;"VOLADO","—",IF(DETALLE!$C$9=0,0,IF(DETALLE!$C$7="NERVADA",INDEX(NERVADAS!$DN$9:$DN$48,DETALLE!$C$9),0))&amp;" pzas · "&amp;TEXT(IF(DETALLE!$C$9=0,0,IF(DETALLE!$C$7="NERVADA",INDEX(NERVADAS!$DP$9:$DP$48,DETALLE!$C$9),0)),"0.000")&amp;" t·m · "&amp;TEXT(IF(DETALLE!$C$9=0,0,IF(DETALLE!$C$7="NERVADA",INDEX(NERVADAS!$DQ$9:$DQ$48,DETALLE!$C$9),0)),"0.000")&amp;" t")</f>
        <v>—</v>
      </c>
      <c r="D114" s="14" t="inlineStr">
        <is>
          <t>—</t>
        </is>
      </c>
      <c r="E114" s="15" t="inlineStr">
        <is>
          <t>Nervadura de b_w de DATOS con las varillas del volado que le caben y la malla al centro de la capa (F_R·As·fy·(d − a/2) con ε_t ≥ 0.005; ec. 5.5.3.2.1 sin ×1.1).</t>
        </is>
      </c>
      <c r="F114" s="16" t="inlineStr">
        <is>
          <t>NTC-Concreto 2023 (CDMX) ec. 5.2.2.1.1.1.b, p. 89 · ec. 5.5.3.2.1, p. 95</t>
        </is>
      </c>
    </row>
    <row r="115" ht="57" customHeight="1">
      <c r="B115" s="12" t="inlineStr">
        <is>
          <t>… dónde M y V del volado bajan a esos valores dentro del respaldo</t>
        </is>
      </c>
      <c r="C115" s="31" t="str">
        <f>IF(IF(DETALLE!$C$9=0,"—",IF(DETALLE!$C$7="NERVADA",INDEX(NERVADAS!$C$9:$C$48,DETALLE!$C$9),INDEX(MACIZAS!$C$9:$C$48,DETALLE!$C$9)))&lt;&gt;"VOLADO","—","M: "&amp;TEXT(IF(DETALLE!$C$9=0,0,IF(DETALLE!$C$7="NERVADA",INDEX(NERVADAS!$DR$9:$DR$48,DETALLE!$C$9),0)),"0.00")&amp;" m · V: "&amp;TEXT(IF(DETALLE!$C$9=0,0,IF(DETALLE!$C$7="NERVADA",INDEX(NERVADAS!$DS$9:$DS$48,DETALLE!$C$9),0)),"0.00")&amp;" m desde el paño")</f>
        <v>—</v>
      </c>
      <c r="D115" s="14" t="inlineStr">
        <is>
          <t>—</t>
        </is>
      </c>
      <c r="E115" s="15" t="inlineStr">
        <is>
          <t>M(x) = M⁻(1 − x/L_b) − 0.9·PP·s·x(L_b − x)/2 (sin CV); V(x) = M⁻/L_n + (0.95 − 0.5·m_b)·1.15·w_u·s·(L_n/2 − x), con L_n = L_b − b_p (m_b = 0 si no se captura el otro claro del respaldo).</t>
        </is>
      </c>
      <c r="F115" s="16" t="inlineStr">
        <is>
          <t>NTC-Criterios y Acciones 2023 (CDMX) 3.4.1 c), p. 7 · 5.1.2.2, p. 9</t>
        </is>
      </c>
    </row>
    <row r="116" ht="97.5" customHeight="1">
      <c r="B116" s="12" t="inlineStr">
        <is>
          <t>Respaldo del volado</t>
        </is>
      </c>
      <c r="C116" s="34" t="str">
        <f>IF(DETALLE!$C$9=0,"—",IF(DETALLE!$C$7="NERVADA",INDEX(NERVADAS!$DW$9:$DW$48,DETALLE!$C$9),"—"))</f>
        <v>—</v>
      </c>
      <c r="D116" s="14" t="inlineStr">
        <is>
          <t>—</t>
        </is>
      </c>
      <c r="E116" s="15" t="inlineStr">
        <is>
          <t>Las primeras hileras del tablero de respaldo siguen con las nervaduras anchas del volado (casetón s − b_w) hasta ese punto, más máx(d, 12d_b), y hasta donde terminan los bastones del volado si no le caben todas sus varillas. Junto al apoyo la nervadura ancha resiste M⁻/L_b + w_u·s·L_b/2 con el V_cR del volado. Pon estas hileras también en el renglón del tablero de respaldo.</t>
        </is>
      </c>
      <c r="F116" s="16" t="inlineStr">
        <is>
          <t>Decisión D10 de Casa Rocha · NTC-Concreto 2023 (CDMX) 6.3.7.3.10.4, p. 129</t>
        </is>
      </c>
    </row>
    <row r="117" ht="6" customHeight="1"/>
    <row r="118" ht="21" customHeight="1">
      <c r="B118" s="3" t="inlineStr">
        <is>
          <t>13. RESULTADO</t>
        </is>
      </c>
    </row>
    <row r="119" ht="30" customHeight="1">
      <c r="B119" s="11" t="inlineStr">
        <is>
          <t>Concepto</t>
        </is>
      </c>
      <c r="C119" s="11" t="inlineStr">
        <is>
          <t>Valor</t>
        </is>
      </c>
      <c r="D119" s="11" t="inlineStr">
        <is>
          <t>Unidad</t>
        </is>
      </c>
      <c r="E119" s="11" t="inlineStr">
        <is>
          <t>Cómo se calcula / de dónde sale</t>
        </is>
      </c>
      <c r="F119" s="11" t="inlineStr">
        <is>
          <t>Referencia</t>
        </is>
      </c>
    </row>
    <row r="120" ht="30" customHeight="1">
      <c r="B120" s="12" t="inlineStr">
        <is>
          <t>Armado — inferior ‖ claro corto</t>
        </is>
      </c>
      <c r="C120" s="34" t="str">
        <f>IF(DETALLE!$C$9=0,"—",IF(DETALLE!$C$7="NERVADA",INDEX(NERVADAS!$DX$9:$DX$48,DETALLE!$C$9),INDEX(MACIZAS!$DE$9:$DE$48,DETALLE!$C$9)))</f>
        <v>1 No. 4 corrida</v>
      </c>
      <c r="D120" s="14" t="inlineStr">
        <is>
          <t>—</t>
        </is>
      </c>
      <c r="E120" s="15" t="inlineStr">
        <is>
          <t>—</t>
        </is>
      </c>
      <c r="F120" s="16" t="inlineStr">
        <is>
          <t>—</t>
        </is>
      </c>
    </row>
    <row r="121" ht="30" customHeight="1">
      <c r="B121" s="12" t="inlineStr">
        <is>
          <t>Armado — superior ‖ claro corto</t>
        </is>
      </c>
      <c r="C121" s="34" t="str">
        <f>IF(DETALLE!$C$9=0,"—",IF(DETALLE!$C$7="NERVADA",INDEX(NERVADAS!$DY$9:$DY$48,DETALLE!$C$9),INDEX(MACIZAS!$DF$9:$DF$48,DETALLE!$C$9)))</f>
        <v>1 No. 4 corrida</v>
      </c>
      <c r="D121" s="14" t="inlineStr">
        <is>
          <t>—</t>
        </is>
      </c>
      <c r="E121" s="15" t="inlineStr">
        <is>
          <t>—</t>
        </is>
      </c>
      <c r="F121" s="16" t="inlineStr">
        <is>
          <t>—</t>
        </is>
      </c>
    </row>
    <row r="122" ht="30" customHeight="1">
      <c r="B122" s="12" t="inlineStr">
        <is>
          <t>Armado — inferior ‖ claro largo</t>
        </is>
      </c>
      <c r="C122" s="34" t="str">
        <f>IF(DETALLE!$C$9=0,"—",IF(DETALLE!$C$7="NERVADA",INDEX(NERVADAS!$DZ$9:$DZ$48,DETALLE!$C$9),INDEX(MACIZAS!$DG$9:$DG$48,DETALLE!$C$9)))</f>
        <v>1 No. 4 corrida</v>
      </c>
      <c r="D122" s="14" t="inlineStr">
        <is>
          <t>—</t>
        </is>
      </c>
      <c r="E122" s="15" t="inlineStr">
        <is>
          <t>—</t>
        </is>
      </c>
      <c r="F122" s="16" t="inlineStr">
        <is>
          <t>—</t>
        </is>
      </c>
    </row>
    <row r="123" ht="30" customHeight="1">
      <c r="B123" s="12" t="inlineStr">
        <is>
          <t>Armado — superior ‖ claro largo</t>
        </is>
      </c>
      <c r="C123" s="34" t="str">
        <f>IF(DETALLE!$C$9=0,"—",IF(DETALLE!$C$7="NERVADA",INDEX(NERVADAS!$EA$9:$EA$48,DETALLE!$C$9),INDEX(MACIZAS!$DH$9:$DH$48,DETALLE!$C$9)))</f>
        <v>1 No. 4 corrida</v>
      </c>
      <c r="D123" s="14" t="inlineStr">
        <is>
          <t>—</t>
        </is>
      </c>
      <c r="E123" s="15" t="inlineStr">
        <is>
          <t>—</t>
        </is>
      </c>
      <c r="F123" s="16" t="inlineStr">
        <is>
          <t>—</t>
        </is>
      </c>
    </row>
    <row r="124" ht="30" customHeight="1">
      <c r="B124" s="12" t="inlineStr">
        <is>
          <t>ESTADO</t>
        </is>
      </c>
      <c r="C124" s="34" t="str">
        <f>IF(DETALLE!$C$9=0,"—",IF(DETALLE!$C$7="NERVADA",INDEX(NERVADAS!$EB$9:$EB$48,DETALLE!$C$9),INDEX(MACIZAS!$DI$9:$DI$48,DETALLE!$C$9)))</f>
        <v>CUMPLE</v>
      </c>
      <c r="D124" s="14" t="inlineStr">
        <is>
          <t>—</t>
        </is>
      </c>
      <c r="E124" s="15" t="inlineStr">
        <is>
          <t>—</t>
        </is>
      </c>
      <c r="F124" s="16" t="inlineStr">
        <is>
          <t>—</t>
        </is>
      </c>
    </row>
    <row r="125" ht="96" customHeight="1">
      <c r="B125" s="12" t="inlineStr">
        <is>
          <t>NOTA</t>
        </is>
      </c>
      <c r="C125" s="73" t="str">
        <f>IF(DETALLE!$C$9=0,"—",IF(DETALLE!$C$7="NERVADA",INDEX(NERVADAS!$EC$9:$EC$48,DETALLE!$C$9),INDEX(MACIZAS!$DJ$9:$DJ$48,DETALLE!$C$9)))</f>
        <v>EJEMPLO de la hoja de Casa Rocha: bórralo o sobrescríbelo. </v>
      </c>
      <c r="D125" s="74" t="n"/>
      <c r="E125" s="74" t="n"/>
      <c r="F125" s="75" t="n"/>
    </row>
  </sheetData>
  <mergeCells count="17">
    <mergeCell ref="B4:F4"/>
    <mergeCell ref="B68:F68"/>
    <mergeCell ref="B77:F77"/>
    <mergeCell ref="B118:F118"/>
    <mergeCell ref="C125:F125"/>
    <mergeCell ref="B2:F2"/>
    <mergeCell ref="B86:F86"/>
    <mergeCell ref="B95:F95"/>
    <mergeCell ref="B33:F33"/>
    <mergeCell ref="B59:F59"/>
    <mergeCell ref="B51:F51"/>
    <mergeCell ref="B108:F108"/>
    <mergeCell ref="B22:F22"/>
    <mergeCell ref="B1:F1"/>
    <mergeCell ref="B101:F101"/>
    <mergeCell ref="B40:F40"/>
    <mergeCell ref="B13:F13"/>
  </mergeCells>
  <conditionalFormatting sqref="C1:C126">
    <cfRule type="expression" priority="1" dxfId="0" stopIfTrue="1">
      <formula>OR(ISNUMBER(FIND("NO CUMPLE",C1)),ISNUMBER(FIND("REVISAR",C1)),ISNUMBER(FIND("NO CABE",C1)),ISNUMBER(FIND("FUERA",C1)),ISNUMBER(FIND("FALTA",C1)),ISNUMBER(FIND("INSUFICIENTE",C1)),ISNUMBER(FIND("PENDIENTE",C1)))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OR(ISNUMBER(FIND("MACIZAR",C1)),ISNUMBER(FIND("CALCULAR",C1)),ISNUMBER(FIND("PROPUESTO",C1)),ISNUMBER(FIND("VER ",C1)))</formula>
    </cfRule>
  </conditionalFormatting>
  <dataValidations count="1">
    <dataValidation sqref="C6" showDropDown="0" showInputMessage="0" showErrorMessage="1" allowBlank="1" errorTitle="Valor no válido" error="Escoge un valor de la lista" type="list">
      <formula1>LST_TAB</formula1>
    </dataValidation>
  </dataValidations>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B1:F178"/>
  <sheetViews>
    <sheetView showGridLines="0" zoomScale="7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 PLANTA, CORTE Y ALZADO DEL TABLERO ESCOGIDO (A ESCALA, SE REDIBUJAN SOLOS)</t>
        </is>
      </c>
    </row>
    <row r="2" ht="30" customHeight="1">
      <c r="B2" s="2" t="inlineStr">
        <is>
          <t>Se dibuja el tablero escogido en DETALLE (celda amarilla de arriba). Arriba los dibujos de losa NERVADA y abajo los de losa MACIZA: sólo se llena el grupo del tipo escogido. Las coordenadas viven en CROQUIS_DATOS (al final del libro) y se calculan solas; los textos del armado salen de NERVADAS / MACIZAS.</t>
        </is>
      </c>
    </row>
    <row r="3">
      <c r="B3" s="76" t="str">
        <f>HYPERLINK("#DETALLE!C6","▶ Cambiar de tablero (DETALLE, celda amarilla)")</f>
        <v>▶ Cambiar de tablero (DETALLE, celda amarilla)</v>
      </c>
    </row>
    <row r="4" ht="22" customHeight="1">
      <c r="B4" s="77" t="str">
        <f>"Tablero: "&amp;CROQUIS!$C$89&amp;"   ·   "&amp;CROQUIS!$C$152</f>
        <v>Tablero: EJEMPLO F80016 (de borde)   ·   CUMPLE</v>
      </c>
    </row>
    <row r="5" ht="22" customHeight="1">
      <c r="B5" s="77" t="str">
        <f>IF(CROQUIS!$C$87=1,"▼ LOSA NERVADA — ESTE ES EL TABLERO ESCOGIDO","LOSA NERVADA — (el tablero escogido no es nervado: estos dibujos quedan vacíos)")</f>
        <v>▼ LOSA NERVADA — ESTE ES EL TABLERO ESCOGIDO</v>
      </c>
    </row>
    <row r="44" ht="22" customHeight="1">
      <c r="B44" s="77" t="str">
        <f>IF(CROQUIS!$C$88=1,"▼ LOSA MACIZA — ESTE ES EL TABLERO ESCOGIDO","LOSA MACIZA — (el tablero escogido no es macizo: estos dibujos quedan vacíos)")</f>
        <v>LOSA MACIZA — (el tablero escogido no es macizo: estos dibujos quedan vacíos)</v>
      </c>
    </row>
    <row r="83" ht="6" customHeight="1"/>
    <row r="84" ht="21" customHeight="1">
      <c r="B84" s="3" t="inlineStr">
        <is>
          <t>DATOS DEL DIBUJO — TODO ENLAZADO (no se captura nada aquí)</t>
        </is>
      </c>
    </row>
    <row r="85" ht="30" customHeight="1">
      <c r="B85" s="11" t="inlineStr">
        <is>
          <t>Concepto</t>
        </is>
      </c>
      <c r="C85" s="11" t="inlineStr">
        <is>
          <t>Valor</t>
        </is>
      </c>
      <c r="D85" s="11" t="inlineStr">
        <is>
          <t>Unidad</t>
        </is>
      </c>
      <c r="E85" s="11" t="inlineStr">
        <is>
          <t>Cómo se calcula / de dónde sale</t>
        </is>
      </c>
      <c r="F85" s="11" t="inlineStr">
        <is>
          <t>Referencia</t>
        </is>
      </c>
    </row>
    <row r="86" ht="19.5" customHeight="1">
      <c r="B86" s="12" t="inlineStr">
        <is>
          <t>¿Hay tablero válido?</t>
        </is>
      </c>
      <c r="C86" s="41">
        <f>IF(AND(DETALLE!$C$9&gt;0,IF(DETALLE!$C$9=0,"—",IF(DETALLE!$C$7="NERVADA",INDEX(NERVADAS!$V$9:$V$48,DETALLE!$C$9),INDEX(MACIZAS!$V$9:$V$48,DETALLE!$C$9)))="SÍ"),1,0)</f>
        <v>1</v>
      </c>
      <c r="D86" s="14" t="inlineStr">
        <is>
          <t>—</t>
        </is>
      </c>
      <c r="E86" s="15" t="inlineStr">
        <is>
          <t>Enlazado.</t>
        </is>
      </c>
      <c r="F86" s="16" t="inlineStr">
        <is>
          <t>NERVADAS / MACIZAS / DATOS</t>
        </is>
      </c>
    </row>
    <row r="87" ht="19.5" customHeight="1">
      <c r="B87" s="12" t="inlineStr">
        <is>
          <t>¿Es nervada?</t>
        </is>
      </c>
      <c r="C87" s="41">
        <f>IF(AND(CROQUIS!$C$86=1,DETALLE!$C$7="NERVADA"),1,0)</f>
        <v>1</v>
      </c>
      <c r="D87" s="14" t="inlineStr">
        <is>
          <t>—</t>
        </is>
      </c>
      <c r="E87" s="15" t="inlineStr">
        <is>
          <t>Enlazado.</t>
        </is>
      </c>
      <c r="F87" s="16" t="inlineStr">
        <is>
          <t>NERVADAS / MACIZAS / DATOS</t>
        </is>
      </c>
    </row>
    <row r="88" ht="19.5" customHeight="1">
      <c r="B88" s="12" t="inlineStr">
        <is>
          <t>¿Es maciza?</t>
        </is>
      </c>
      <c r="C88" s="41">
        <f>IF(AND(CROQUIS!$C$86=1,DETALLE!$C$7="MACIZA"),1,0)</f>
        <v>0</v>
      </c>
      <c r="D88" s="14" t="inlineStr">
        <is>
          <t>—</t>
        </is>
      </c>
      <c r="E88" s="15" t="inlineStr">
        <is>
          <t>Enlazado.</t>
        </is>
      </c>
      <c r="F88" s="16" t="inlineStr">
        <is>
          <t>NERVADAS / MACIZAS / DATOS</t>
        </is>
      </c>
    </row>
    <row r="89" ht="19.5" customHeight="1">
      <c r="B89" s="12" t="inlineStr">
        <is>
          <t>Tablero</t>
        </is>
      </c>
      <c r="C89" s="31" t="str">
        <f>IF(CROQUIS!$C$86=1,IF(DETALLE!$C$9=0,"—",IF(DETALLE!$C$7="NERVADA",INDEX(NERVADAS!$B$9:$B$48,DETALLE!$C$9),INDEX(MACIZAS!$B$9:$B$48,DETALLE!$C$9))),"(escoge un tablero con datos completos)")</f>
        <v>EJEMPLO F80016 (de borde)</v>
      </c>
      <c r="D89" s="14" t="inlineStr">
        <is>
          <t>—</t>
        </is>
      </c>
      <c r="E89" s="15" t="inlineStr">
        <is>
          <t>Enlazado.</t>
        </is>
      </c>
      <c r="F89" s="16" t="inlineStr">
        <is>
          <t>NERVADAS / MACIZAS / DATOS</t>
        </is>
      </c>
    </row>
    <row r="90" ht="19.5" customHeight="1">
      <c r="B90" s="12" t="inlineStr">
        <is>
          <t>Tipo</t>
        </is>
      </c>
      <c r="C90" s="31" t="str">
        <f>IF(DETALLE!$C$9=0,"—",IF(DETALLE!$C$7="NERVADA",INDEX(NERVADAS!$C$9:$C$48,DETALLE!$C$9),INDEX(MACIZAS!$C$9:$C$48,DETALLE!$C$9)))</f>
        <v>PERIMETRAL</v>
      </c>
      <c r="D90" s="14" t="inlineStr">
        <is>
          <t>—</t>
        </is>
      </c>
      <c r="E90" s="15" t="inlineStr">
        <is>
          <t>Enlazado.</t>
        </is>
      </c>
      <c r="F90" s="16" t="inlineStr">
        <is>
          <t>NERVADAS / MACIZAS / DATOS</t>
        </is>
      </c>
    </row>
    <row r="91" ht="19.5" customHeight="1">
      <c r="B91" s="12" t="inlineStr">
        <is>
          <t>¿Volado?</t>
        </is>
      </c>
      <c r="C91" s="41">
        <f>IF(IF(DETALLE!$C$9=0,"—",IF(DETALLE!$C$7="NERVADA",INDEX(NERVADAS!$C$9:$C$48,DETALLE!$C$9),INDEX(MACIZAS!$C$9:$C$48,DETALLE!$C$9)))="VOLADO",1,0)</f>
        <v>0</v>
      </c>
      <c r="D91" s="14" t="inlineStr">
        <is>
          <t>—</t>
        </is>
      </c>
      <c r="E91" s="15" t="inlineStr">
        <is>
          <t>Enlazado.</t>
        </is>
      </c>
      <c r="F91" s="16" t="inlineStr">
        <is>
          <t>NERVADAS / MACIZAS / DATOS</t>
        </is>
      </c>
    </row>
    <row r="92" ht="19.5" customHeight="1">
      <c r="B92" s="12" t="inlineStr">
        <is>
          <t>Claro corto ‖</t>
        </is>
      </c>
      <c r="C92" s="31" t="str">
        <f>IF(CROQUIS!$C$86=1,IF(DETALLE!$C$9=0,"—",IF(DETALLE!$C$7="NERVADA",INDEX(NERVADAS!$X$9:$X$48,DETALLE!$C$9),INDEX(MACIZAS!$Y$9:$Y$48,DETALLE!$C$9))),"X")</f>
        <v>Y</v>
      </c>
      <c r="D92" s="14" t="inlineStr">
        <is>
          <t>—</t>
        </is>
      </c>
      <c r="E92" s="15" t="inlineStr">
        <is>
          <t>Enlazado.</t>
        </is>
      </c>
      <c r="F92" s="16" t="inlineStr">
        <is>
          <t>NERVADAS / MACIZAS / DATOS</t>
        </is>
      </c>
    </row>
    <row r="93" ht="30" customHeight="1">
      <c r="B93" s="12" t="inlineStr">
        <is>
          <t>Borde empotrado (1 izq., 2 der., 3 inf., 4 sup.)</t>
        </is>
      </c>
      <c r="C93" s="41">
        <f>IF(CROQUIS!$C$91=1,IF(IF(DETALLE!$C$9=0,"—",IF(DETALLE!$C$7="NERVADA",INDEX(NERVADAS!$W$9:$W$48,DETALLE!$C$9),INDEX(MACIZAS!$X$9:$X$48,DETALLE!$C$9)))="IZQUIERDO",1,IF(IF(DETALLE!$C$9=0,"—",IF(DETALLE!$C$7="NERVADA",INDEX(NERVADAS!$W$9:$W$48,DETALLE!$C$9),INDEX(MACIZAS!$X$9:$X$48,DETALLE!$C$9)))="DERECHO",2,IF(IF(DETALLE!$C$9=0,"—",IF(DETALLE!$C$7="NERVADA",INDEX(NERVADAS!$W$9:$W$48,DETALLE!$C$9),INDEX(MACIZAS!$X$9:$X$48,DETALLE!$C$9)))="INFERIOR",3,IF(IF(DETALLE!$C$9=0,"—",IF(DETALLE!$C$7="NERVADA",INDEX(NERVADAS!$W$9:$W$48,DETALLE!$C$9),INDEX(MACIZAS!$X$9:$X$48,DETALLE!$C$9)))="SUPERIOR",4,1)))),0)</f>
        <v>0</v>
      </c>
      <c r="D93" s="14" t="inlineStr">
        <is>
          <t>—</t>
        </is>
      </c>
      <c r="E93" s="15" t="inlineStr">
        <is>
          <t>Enlazado.</t>
        </is>
      </c>
      <c r="F93" s="16" t="inlineStr">
        <is>
          <t>NERVADAS / MACIZAS / DATOS</t>
        </is>
      </c>
    </row>
    <row r="94" ht="19.5" customHeight="1">
      <c r="B94" s="12" t="inlineStr">
        <is>
          <t>¿Apoyo en u = 0? (volado)</t>
        </is>
      </c>
      <c r="C94" s="41">
        <f>IF(OR(CROQUIS!$C$93=1,CROQUIS!$C$93=3),1,0)</f>
        <v>0</v>
      </c>
      <c r="D94" s="14" t="inlineStr">
        <is>
          <t>—</t>
        </is>
      </c>
      <c r="E94" s="15" t="inlineStr">
        <is>
          <t>Enlazado.</t>
        </is>
      </c>
      <c r="F94" s="16" t="inlineStr">
        <is>
          <t>NERVADAS / MACIZAS / DATOS</t>
        </is>
      </c>
    </row>
    <row r="95" ht="19.5" customHeight="1">
      <c r="B95" s="12" t="inlineStr">
        <is>
          <t>a_x</t>
        </is>
      </c>
      <c r="C95" s="22">
        <f>IF(CROQUIS!$C$86=1,IF(DETALLE!$C$9=0,0,IF(DETALLE!$C$7="NERVADA",INDEX(NERVADAS!$E$9:$E$48,DETALLE!$C$9),INDEX(MACIZAS!$E$9:$E$48,DETALLE!$C$9)))*100,100)</f>
        <v>442.6</v>
      </c>
      <c r="D95" s="14" t="inlineStr">
        <is>
          <t>cm</t>
        </is>
      </c>
      <c r="E95" s="15" t="inlineStr">
        <is>
          <t>Enlazado.</t>
        </is>
      </c>
      <c r="F95" s="16" t="inlineStr">
        <is>
          <t>NERVADAS / MACIZAS / DATOS</t>
        </is>
      </c>
    </row>
    <row r="96" ht="19.5" customHeight="1">
      <c r="B96" s="12" t="inlineStr">
        <is>
          <t>a_y</t>
        </is>
      </c>
      <c r="C96" s="22">
        <f>IF(CROQUIS!$C$86=1,IF(DETALLE!$C$9=0,0,IF(DETALLE!$C$7="NERVADA",INDEX(NERVADAS!$F$9:$F$48,DETALLE!$C$9),INDEX(MACIZAS!$F$9:$F$48,DETALLE!$C$9)))*100,100)</f>
        <v>400</v>
      </c>
      <c r="D96" s="14" t="inlineStr">
        <is>
          <t>cm</t>
        </is>
      </c>
      <c r="E96" s="15" t="inlineStr">
        <is>
          <t>Enlazado.</t>
        </is>
      </c>
      <c r="F96" s="16" t="inlineStr">
        <is>
          <t>NERVADAS / MACIZAS / DATOS</t>
        </is>
      </c>
    </row>
    <row r="97" ht="19.5" customHeight="1">
      <c r="B97" s="12" t="inlineStr">
        <is>
          <t>A — claro ‖ corto (u)</t>
        </is>
      </c>
      <c r="C97" s="22">
        <f>IF(CROQUIS!$C$92="X",CROQUIS!$C$95,CROQUIS!$C$96)</f>
        <v>400</v>
      </c>
      <c r="D97" s="14" t="inlineStr">
        <is>
          <t>cm</t>
        </is>
      </c>
      <c r="E97" s="15" t="inlineStr">
        <is>
          <t>Enlazado.</t>
        </is>
      </c>
      <c r="F97" s="16" t="inlineStr">
        <is>
          <t>NERVADAS / MACIZAS / DATOS</t>
        </is>
      </c>
    </row>
    <row r="98" ht="19.5" customHeight="1">
      <c r="B98" s="12" t="inlineStr">
        <is>
          <t>C — claro ‖ largo (v)</t>
        </is>
      </c>
      <c r="C98" s="22">
        <f>IF(CROQUIS!$C$92="X",CROQUIS!$C$96,CROQUIS!$C$95)</f>
        <v>442.6</v>
      </c>
      <c r="D98" s="14" t="inlineStr">
        <is>
          <t>cm</t>
        </is>
      </c>
      <c r="E98" s="15" t="inlineStr">
        <is>
          <t>Enlazado.</t>
        </is>
      </c>
      <c r="F98" s="16" t="inlineStr">
        <is>
          <t>NERVADAS / MACIZAS / DATOS</t>
        </is>
      </c>
    </row>
    <row r="99" ht="19.5" customHeight="1">
      <c r="B99" s="12" t="inlineStr">
        <is>
          <t>Borde bI continuo</t>
        </is>
      </c>
      <c r="C99" s="41">
        <f>IF(IF(DETALLE!$C$9=0,"—",IF(DETALLE!$C$7="NERVADA",INDEX(NERVADAS!$G$9:$G$48,DETALLE!$C$9),INDEX(MACIZAS!$G$9:$G$48,DETALLE!$C$9)))="CONTINUO",1,0)</f>
        <v>1</v>
      </c>
      <c r="D99" s="14" t="inlineStr">
        <is>
          <t>—</t>
        </is>
      </c>
      <c r="E99" s="15" t="inlineStr">
        <is>
          <t>Enlazado.</t>
        </is>
      </c>
      <c r="F99" s="16" t="inlineStr">
        <is>
          <t>NERVADAS / MACIZAS / DATOS</t>
        </is>
      </c>
    </row>
    <row r="100" ht="19.5" customHeight="1">
      <c r="B100" s="12" t="inlineStr">
        <is>
          <t>Borde bS continuo</t>
        </is>
      </c>
      <c r="C100" s="41">
        <f>IF(IF(DETALLE!$C$9=0,"—",IF(DETALLE!$C$7="NERVADA",INDEX(NERVADAS!$H$9:$H$48,DETALLE!$C$9),INDEX(MACIZAS!$H$9:$H$48,DETALLE!$C$9)))="CONTINUO",1,0)</f>
        <v>1</v>
      </c>
      <c r="D100" s="14" t="inlineStr">
        <is>
          <t>—</t>
        </is>
      </c>
      <c r="E100" s="15" t="inlineStr">
        <is>
          <t>Enlazado.</t>
        </is>
      </c>
      <c r="F100" s="16" t="inlineStr">
        <is>
          <t>NERVADAS / MACIZAS / DATOS</t>
        </is>
      </c>
    </row>
    <row r="101" ht="19.5" customHeight="1">
      <c r="B101" s="12" t="inlineStr">
        <is>
          <t>Borde bL continuo</t>
        </is>
      </c>
      <c r="C101" s="41">
        <f>IF(IF(DETALLE!$C$9=0,"—",IF(DETALLE!$C$7="NERVADA",INDEX(NERVADAS!$I$9:$I$48,DETALLE!$C$9),INDEX(MACIZAS!$I$9:$I$48,DETALLE!$C$9)))="CONTINUO",1,0)</f>
        <v>0</v>
      </c>
      <c r="D101" s="14" t="inlineStr">
        <is>
          <t>—</t>
        </is>
      </c>
      <c r="E101" s="15" t="inlineStr">
        <is>
          <t>Enlazado.</t>
        </is>
      </c>
      <c r="F101" s="16" t="inlineStr">
        <is>
          <t>NERVADAS / MACIZAS / DATOS</t>
        </is>
      </c>
    </row>
    <row r="102" ht="19.5" customHeight="1">
      <c r="B102" s="12" t="inlineStr">
        <is>
          <t>Borde bR continuo</t>
        </is>
      </c>
      <c r="C102" s="41">
        <f>IF(IF(DETALLE!$C$9=0,"—",IF(DETALLE!$C$7="NERVADA",INDEX(NERVADAS!$J$9:$J$48,DETALLE!$C$9),INDEX(MACIZAS!$J$9:$J$48,DETALLE!$C$9)))="CONTINUO",1,0)</f>
        <v>1</v>
      </c>
      <c r="D102" s="14" t="inlineStr">
        <is>
          <t>—</t>
        </is>
      </c>
      <c r="E102" s="15" t="inlineStr">
        <is>
          <t>Enlazado.</t>
        </is>
      </c>
      <c r="F102" s="16" t="inlineStr">
        <is>
          <t>NERVADAS / MACIZAS / DATOS</t>
        </is>
      </c>
    </row>
    <row r="103" ht="19.5" customHeight="1">
      <c r="B103" s="12" t="inlineStr">
        <is>
          <t>Continuidad en u = 0 / u = A / v = 0 / v = C</t>
        </is>
      </c>
      <c r="C103" s="41">
        <f>IF(CROQUIS!$C$92="X",CROQUIS!$C$101,CROQUIS!$C$99)</f>
        <v>1</v>
      </c>
      <c r="D103" s="14" t="inlineStr">
        <is>
          <t>—</t>
        </is>
      </c>
      <c r="E103" s="15" t="inlineStr">
        <is>
          <t>Enlazado.</t>
        </is>
      </c>
      <c r="F103" s="16" t="inlineStr">
        <is>
          <t>NERVADAS / MACIZAS / DATOS</t>
        </is>
      </c>
    </row>
    <row r="104" ht="19.5" customHeight="1">
      <c r="B104" s="12" t="inlineStr">
        <is>
          <t>…</t>
        </is>
      </c>
      <c r="C104" s="41">
        <f>IF(CROQUIS!$C$92="X",CROQUIS!$C$102,CROQUIS!$C$100)</f>
        <v>1</v>
      </c>
      <c r="D104" s="14" t="inlineStr">
        <is>
          <t>—</t>
        </is>
      </c>
      <c r="E104" s="15" t="inlineStr">
        <is>
          <t>Enlazado.</t>
        </is>
      </c>
      <c r="F104" s="16" t="inlineStr">
        <is>
          <t>NERVADAS / MACIZAS / DATOS</t>
        </is>
      </c>
    </row>
    <row r="105" ht="19.5" customHeight="1">
      <c r="B105" s="12" t="inlineStr">
        <is>
          <t>…</t>
        </is>
      </c>
      <c r="C105" s="41">
        <f>IF(CROQUIS!$C$92="X",CROQUIS!$C$99,CROQUIS!$C$101)</f>
        <v>0</v>
      </c>
      <c r="D105" s="14" t="inlineStr">
        <is>
          <t>—</t>
        </is>
      </c>
      <c r="E105" s="15" t="inlineStr">
        <is>
          <t>Enlazado.</t>
        </is>
      </c>
      <c r="F105" s="16" t="inlineStr">
        <is>
          <t>NERVADAS / MACIZAS / DATOS</t>
        </is>
      </c>
    </row>
    <row r="106" ht="19.5" customHeight="1">
      <c r="B106" s="12" t="inlineStr">
        <is>
          <t>…</t>
        </is>
      </c>
      <c r="C106" s="41">
        <f>IF(CROQUIS!$C$92="X",CROQUIS!$C$100,CROQUIS!$C$102)</f>
        <v>1</v>
      </c>
      <c r="D106" s="14" t="inlineStr">
        <is>
          <t>—</t>
        </is>
      </c>
      <c r="E106" s="15" t="inlineStr">
        <is>
          <t>Enlazado.</t>
        </is>
      </c>
      <c r="F106" s="16" t="inlineStr">
        <is>
          <t>NERVADAS / MACIZAS / DATOS</t>
        </is>
      </c>
    </row>
    <row r="107" ht="19.5" customHeight="1">
      <c r="B107" s="12" t="inlineStr">
        <is>
          <t>b_p</t>
        </is>
      </c>
      <c r="C107" s="22">
        <f>DATOS!$C$87</f>
        <v>15</v>
      </c>
      <c r="D107" s="14" t="inlineStr">
        <is>
          <t>cm</t>
        </is>
      </c>
      <c r="E107" s="15" t="inlineStr">
        <is>
          <t>Enlazado.</t>
        </is>
      </c>
      <c r="F107" s="16" t="inlineStr">
        <is>
          <t>NERVADAS / MACIZAS / DATOS</t>
        </is>
      </c>
    </row>
    <row r="108" ht="19.5" customHeight="1">
      <c r="B108" s="12" t="inlineStr">
        <is>
          <t>h</t>
        </is>
      </c>
      <c r="C108" s="22">
        <f>IF(CROQUIS!$C$88=1,IF(DETALLE!$C$9=0,0,IF(DETALLE!$C$7="NERVADA",0,INDEX(MACIZAS!$W$9:$W$48,DETALLE!$C$9))),DATOS!$C$85)</f>
        <v>25</v>
      </c>
      <c r="D108" s="14" t="inlineStr">
        <is>
          <t>cm</t>
        </is>
      </c>
      <c r="E108" s="15" t="inlineStr">
        <is>
          <t>Enlazado.</t>
        </is>
      </c>
      <c r="F108" s="16" t="inlineStr">
        <is>
          <t>NERVADAS / MACIZAS / DATOS</t>
        </is>
      </c>
    </row>
    <row r="109" ht="19.5" customHeight="1">
      <c r="B109" s="12" t="inlineStr">
        <is>
          <t>r inferior / superior</t>
        </is>
      </c>
      <c r="C109" s="22">
        <f>N(IF(DETALLE!$C$9=0,0,IF(DETALLE!$C$7="NERVADA",INDEX(NERVADAS!$AK$9:$AK$48,DETALLE!$C$9),INDEX(MACIZAS!$AE$9:$AE$48,DETALLE!$C$9))))</f>
        <v>2</v>
      </c>
      <c r="D109" s="14" t="inlineStr">
        <is>
          <t>cm</t>
        </is>
      </c>
      <c r="E109" s="15" t="inlineStr">
        <is>
          <t>Enlazado.</t>
        </is>
      </c>
      <c r="F109" s="16" t="inlineStr">
        <is>
          <t>NERVADAS / MACIZAS / DATOS</t>
        </is>
      </c>
    </row>
    <row r="110" ht="19.5" customHeight="1">
      <c r="B110" s="12" t="inlineStr">
        <is>
          <t>…</t>
        </is>
      </c>
      <c r="C110" s="22">
        <f>N(IF(DETALLE!$C$9=0,0,IF(DETALLE!$C$7="NERVADA",INDEX(NERVADAS!$AL$9:$AL$48,DETALLE!$C$9),INDEX(MACIZAS!$AF$9:$AF$48,DETALLE!$C$9))))</f>
        <v>2</v>
      </c>
      <c r="D110" s="14" t="inlineStr">
        <is>
          <t>cm</t>
        </is>
      </c>
      <c r="E110" s="15" t="inlineStr">
        <is>
          <t>Enlazado.</t>
        </is>
      </c>
      <c r="F110" s="16" t="inlineStr">
        <is>
          <t>NERVADAS / MACIZAS / DATOS</t>
        </is>
      </c>
    </row>
    <row r="111" ht="19.5" customHeight="1">
      <c r="B111" s="12" t="inlineStr">
        <is>
          <t>b_w / a_c usados</t>
        </is>
      </c>
      <c r="C111" s="22">
        <f>IF(CROQUIS!$C$87=1,IF(DETALLE!$C$9=0,0,IF(DETALLE!$C$7="NERVADA",INDEX(NERVADAS!$AD$9:$AD$48,DETALLE!$C$9),0)),DATOS!$C$83)</f>
        <v>10</v>
      </c>
      <c r="D111" s="14" t="inlineStr">
        <is>
          <t>cm</t>
        </is>
      </c>
      <c r="E111" s="15" t="inlineStr">
        <is>
          <t>Enlazado.</t>
        </is>
      </c>
      <c r="F111" s="16" t="inlineStr">
        <is>
          <t>NERVADAS / MACIZAS / DATOS</t>
        </is>
      </c>
    </row>
    <row r="112" ht="19.5" customHeight="1">
      <c r="B112" s="12" t="inlineStr">
        <is>
          <t>…</t>
        </is>
      </c>
      <c r="C112" s="22">
        <f>DATOS!$C$86-CROQUIS!$C$111</f>
        <v>60</v>
      </c>
      <c r="D112" s="14" t="inlineStr">
        <is>
          <t>cm</t>
        </is>
      </c>
      <c r="E112" s="15" t="inlineStr">
        <is>
          <t>Enlazado.</t>
        </is>
      </c>
      <c r="F112" s="16" t="inlineStr">
        <is>
          <t>NERVADAS / MACIZAS / DATOS</t>
        </is>
      </c>
    </row>
    <row r="113" ht="43.5" customHeight="1">
      <c r="B113" s="12" t="inlineStr">
        <is>
          <t>Casetón a lo largo del claro corto (a_c de DATOS; lo separan nervaduras ‖ largo de b_w de DATOS)</t>
        </is>
      </c>
      <c r="C113" s="22">
        <f>DATOS!$C$81</f>
        <v>60</v>
      </c>
      <c r="D113" s="14" t="inlineStr">
        <is>
          <t>cm</t>
        </is>
      </c>
      <c r="E113" s="15" t="inlineStr">
        <is>
          <t>Enlazado.</t>
        </is>
      </c>
      <c r="F113" s="16" t="inlineStr">
        <is>
          <t>NERVADAS / MACIZAS / DATOS</t>
        </is>
      </c>
    </row>
    <row r="114" ht="19.5" customHeight="1">
      <c r="B114" s="12" t="inlineStr">
        <is>
          <t>Casetón ‖ X / ‖ Y</t>
        </is>
      </c>
      <c r="C114" s="22">
        <f>IF(CROQUIS!$C$92="X",CROQUIS!$C$113,CROQUIS!$C$112)</f>
        <v>60</v>
      </c>
      <c r="D114" s="14" t="inlineStr">
        <is>
          <t>cm</t>
        </is>
      </c>
      <c r="E114" s="15" t="inlineStr">
        <is>
          <t>Enlazado.</t>
        </is>
      </c>
      <c r="F114" s="16" t="inlineStr">
        <is>
          <t>NERVADAS / MACIZAS / DATOS</t>
        </is>
      </c>
    </row>
    <row r="115" ht="19.5" customHeight="1">
      <c r="B115" s="12" t="inlineStr">
        <is>
          <t>…</t>
        </is>
      </c>
      <c r="C115" s="22">
        <f>IF(CROQUIS!$C$92="Y",CROQUIS!$C$113,CROQUIS!$C$112)</f>
        <v>60</v>
      </c>
      <c r="D115" s="14" t="inlineStr">
        <is>
          <t>cm</t>
        </is>
      </c>
      <c r="E115" s="15" t="inlineStr">
        <is>
          <t>Enlazado.</t>
        </is>
      </c>
      <c r="F115" s="16" t="inlineStr">
        <is>
          <t>NERVADAS / MACIZAS / DATOS</t>
        </is>
      </c>
    </row>
    <row r="116" ht="19.5" customHeight="1">
      <c r="B116" s="12" t="inlineStr">
        <is>
          <t>s, h_c, t, Ø malla, separación libre</t>
        </is>
      </c>
      <c r="C116" s="22">
        <f>DATOS!$C$86</f>
        <v>70</v>
      </c>
      <c r="D116" s="14" t="inlineStr">
        <is>
          <t>cm</t>
        </is>
      </c>
      <c r="E116" s="15" t="inlineStr">
        <is>
          <t>Enlazado.</t>
        </is>
      </c>
      <c r="F116" s="16" t="inlineStr">
        <is>
          <t>NERVADAS / MACIZAS / DATOS</t>
        </is>
      </c>
    </row>
    <row r="117" ht="19.5" customHeight="1">
      <c r="B117" s="12" t="inlineStr">
        <is>
          <t>…</t>
        </is>
      </c>
      <c r="C117" s="22">
        <f>DATOS!$C$82</f>
        <v>19</v>
      </c>
      <c r="D117" s="14" t="inlineStr">
        <is>
          <t>cm</t>
        </is>
      </c>
      <c r="E117" s="15" t="inlineStr">
        <is>
          <t>Enlazado.</t>
        </is>
      </c>
      <c r="F117" s="16" t="inlineStr">
        <is>
          <t>NERVADAS / MACIZAS / DATOS</t>
        </is>
      </c>
    </row>
    <row r="118" ht="19.5" customHeight="1">
      <c r="B118" s="12" t="inlineStr">
        <is>
          <t>…</t>
        </is>
      </c>
      <c r="C118" s="22">
        <f>DATOS!$C$84</f>
        <v>6</v>
      </c>
      <c r="D118" s="14" t="inlineStr">
        <is>
          <t>cm</t>
        </is>
      </c>
      <c r="E118" s="15" t="inlineStr">
        <is>
          <t>Enlazado.</t>
        </is>
      </c>
      <c r="F118" s="16" t="inlineStr">
        <is>
          <t>NERVADAS / MACIZAS / DATOS</t>
        </is>
      </c>
    </row>
    <row r="119" ht="19.5" customHeight="1">
      <c r="B119" s="12" t="inlineStr">
        <is>
          <t>…</t>
        </is>
      </c>
      <c r="C119" s="38">
        <f>DATOS!$C$97</f>
        <v>0.572</v>
      </c>
      <c r="D119" s="14" t="inlineStr">
        <is>
          <t>cm</t>
        </is>
      </c>
      <c r="E119" s="15" t="inlineStr">
        <is>
          <t>Enlazado.</t>
        </is>
      </c>
      <c r="F119" s="16" t="inlineStr">
        <is>
          <t>NERVADAS / MACIZAS / DATOS</t>
        </is>
      </c>
    </row>
    <row r="120" ht="30" customHeight="1">
      <c r="B120" s="12" t="inlineStr">
        <is>
          <t>r superior hasta la malla (nervada: malla al centro de la capa)</t>
        </is>
      </c>
      <c r="C120" s="23">
        <f>IF(CROQUIS!$C$87=1,MAX(CROQUIS!$C$110,(DATOS!$C$84-2*DATOS!$C$97)/2),CROQUIS!$C$110)</f>
        <v>2.428</v>
      </c>
      <c r="D120" s="14" t="inlineStr">
        <is>
          <t>cm</t>
        </is>
      </c>
      <c r="E120" s="15" t="inlineStr">
        <is>
          <t>Enlazado.</t>
        </is>
      </c>
      <c r="F120" s="16" t="inlineStr">
        <is>
          <t>NERVADAS / MACIZAS / DATOS</t>
        </is>
      </c>
    </row>
    <row r="121" ht="19.5" customHeight="1">
      <c r="B121" s="12" t="inlineStr">
        <is>
          <t>…</t>
        </is>
      </c>
      <c r="C121" s="23">
        <f>DATOS!$C$70</f>
        <v>2.5</v>
      </c>
      <c r="D121" s="14" t="inlineStr">
        <is>
          <t>cm</t>
        </is>
      </c>
      <c r="E121" s="15" t="inlineStr">
        <is>
          <t>Enlazado.</t>
        </is>
      </c>
      <c r="F121" s="16" t="inlineStr">
        <is>
          <t>NERVADAS / MACIZAS / DATOS</t>
        </is>
      </c>
    </row>
    <row r="122" ht="19.5" customHeight="1">
      <c r="B122" s="12" t="inlineStr">
        <is>
          <t>ncx</t>
        </is>
      </c>
      <c r="C122" s="22">
        <f>IF(CROQUIS!$C$87=1,N(IF(DETALLE!$C$9=0,0,IF(DETALLE!$C$7="NERVADA",INDEX(NERVADAS!$DH$9:$DH$48,DETALLE!$C$9),0))),0)</f>
        <v>5</v>
      </c>
      <c r="D122" s="14" t="inlineStr">
        <is>
          <t>—</t>
        </is>
      </c>
      <c r="E122" s="15" t="inlineStr">
        <is>
          <t>Enlazado.</t>
        </is>
      </c>
      <c r="F122" s="16" t="inlineStr">
        <is>
          <t>NERVADAS / MACIZAS / DATOS</t>
        </is>
      </c>
    </row>
    <row r="123" ht="19.5" customHeight="1">
      <c r="B123" s="12" t="inlineStr">
        <is>
          <t>ncy</t>
        </is>
      </c>
      <c r="C123" s="22">
        <f>IF(CROQUIS!$C$87=1,N(IF(DETALLE!$C$9=0,0,IF(DETALLE!$C$7="NERVADA",INDEX(NERVADAS!$DI$9:$DI$48,DETALLE!$C$9),0))),0)</f>
        <v>5</v>
      </c>
      <c r="D123" s="14" t="inlineStr">
        <is>
          <t>—</t>
        </is>
      </c>
      <c r="E123" s="15" t="inlineStr">
        <is>
          <t>Enlazado.</t>
        </is>
      </c>
      <c r="F123" s="16" t="inlineStr">
        <is>
          <t>NERVADAS / MACIZAS / DATOS</t>
        </is>
      </c>
    </row>
    <row r="124" ht="19.5" customHeight="1">
      <c r="B124" s="12" t="inlineStr">
        <is>
          <t>mx0</t>
        </is>
      </c>
      <c r="C124" s="22">
        <f>IF(CROQUIS!$C$87=1,N(IF(DETALLE!$C$9=0,0,IF(DETALLE!$C$7="NERVADA",INDEX(NERVADAS!$DJ$9:$DJ$48,DETALLE!$C$9),0))),0)</f>
        <v>56.3</v>
      </c>
      <c r="D124" s="14" t="inlineStr">
        <is>
          <t>—</t>
        </is>
      </c>
      <c r="E124" s="15" t="inlineStr">
        <is>
          <t>Enlazado.</t>
        </is>
      </c>
      <c r="F124" s="16" t="inlineStr">
        <is>
          <t>NERVADAS / MACIZAS / DATOS</t>
        </is>
      </c>
    </row>
    <row r="125" ht="19.5" customHeight="1">
      <c r="B125" s="12" t="inlineStr">
        <is>
          <t>my0</t>
        </is>
      </c>
      <c r="C125" s="22">
        <f>IF(CROQUIS!$C$87=1,N(IF(DETALLE!$C$9=0,0,IF(DETALLE!$C$7="NERVADA",INDEX(NERVADAS!$DL$9:$DL$48,DETALLE!$C$9),0))),0)</f>
        <v>22.5</v>
      </c>
      <c r="D125" s="14" t="inlineStr">
        <is>
          <t>—</t>
        </is>
      </c>
      <c r="E125" s="15" t="inlineStr">
        <is>
          <t>Enlazado.</t>
        </is>
      </c>
      <c r="F125" s="16" t="inlineStr">
        <is>
          <t>NERVADAS / MACIZAS / DATOS</t>
        </is>
      </c>
    </row>
    <row r="126" ht="19.5" customHeight="1">
      <c r="B126" s="12" t="inlineStr">
        <is>
          <t>nh</t>
        </is>
      </c>
      <c r="C126" s="22">
        <f>IF(CROQUIS!$C$87=1,N(IF(DETALLE!$C$9=0,0,IF(DETALLE!$C$7="NERVADA",INDEX(NERVADAS!$CT$9:$CT$48,DETALLE!$C$9),0))),0)</f>
        <v>0</v>
      </c>
      <c r="D126" s="14" t="inlineStr">
        <is>
          <t>—</t>
        </is>
      </c>
      <c r="E126" s="15" t="inlineStr">
        <is>
          <t>Enlazado.</t>
        </is>
      </c>
      <c r="F126" s="16" t="inlineStr">
        <is>
          <t>NERVADAS / MACIZAS / DATOS</t>
        </is>
      </c>
    </row>
    <row r="127" ht="19.5" customHeight="1">
      <c r="B127" s="12" t="inlineStr">
        <is>
          <t>Varilla Pc</t>
        </is>
      </c>
      <c r="C127" s="78">
        <f>IF(CROQUIS!$C$86=1,IF(DETALLE!$C$9=0,4,IF(DETALLE!$C$7="NERVADA",INDEX(NERVADAS!$BN$9:$BN$48,DETALLE!$C$9),INDEX(MACIZAS!$BH$9:$BH$48,DETALLE!$C$9))),4)</f>
        <v>4</v>
      </c>
      <c r="D127" s="14" t="inlineStr">
        <is>
          <t>—</t>
        </is>
      </c>
      <c r="E127" s="15" t="inlineStr">
        <is>
          <t>Enlazado.</t>
        </is>
      </c>
      <c r="F127" s="16" t="inlineStr">
        <is>
          <t>NERVADAS / MACIZAS / DATOS</t>
        </is>
      </c>
    </row>
    <row r="128" ht="19.5" customHeight="1">
      <c r="B128" s="12" t="inlineStr">
        <is>
          <t>d_b Pc</t>
        </is>
      </c>
      <c r="C128" s="23">
        <f>INDEX(TABLAS!$C$52:$C$58,MATCH(CROQUIS!$C$127,TABLAS!$B$52:$B$58,0))</f>
        <v>1.27</v>
      </c>
      <c r="D128" s="14" t="inlineStr">
        <is>
          <t>cm</t>
        </is>
      </c>
      <c r="E128" s="15" t="inlineStr">
        <is>
          <t>Enlazado.</t>
        </is>
      </c>
      <c r="F128" s="16" t="inlineStr">
        <is>
          <t>NERVADAS / MACIZAS / DATOS</t>
        </is>
      </c>
    </row>
    <row r="129" ht="19.5" customHeight="1">
      <c r="B129" s="12" t="inlineStr">
        <is>
          <t>Piezas (N) o separación (M) Pc</t>
        </is>
      </c>
      <c r="C129" s="22">
        <f>IF(CROQUIS!$C$87=1,N(IF(DETALLE!$C$9=0,0,IF(DETALLE!$C$7="NERVADA",INDEX(NERVADAS!$BO$9:$BO$48,DETALLE!$C$9),0))),IF(CROQUIS!$C$88=1,N(IF(DETALLE!$C$9=0,0,IF(DETALLE!$C$7="NERVADA",0,INDEX(MACIZAS!$BI$9:$BI$48,DETALLE!$C$9)))),0))</f>
        <v>1</v>
      </c>
      <c r="D129" s="14" t="inlineStr">
        <is>
          <t>—</t>
        </is>
      </c>
      <c r="E129" s="15" t="inlineStr">
        <is>
          <t>Enlazado.</t>
        </is>
      </c>
      <c r="F129" s="16" t="inlineStr">
        <is>
          <t>NERVADAS / MACIZAS / DATOS</t>
        </is>
      </c>
    </row>
    <row r="130" ht="19.5" customHeight="1">
      <c r="B130" s="12" t="inlineStr">
        <is>
          <t>Armado Pc</t>
        </is>
      </c>
      <c r="C130" s="31" t="str">
        <f>IF(DETALLE!$C$9=0,"—",IF(DETALLE!$C$7="NERVADA",INDEX(NERVADAS!$DX$9:$DX$48,DETALLE!$C$9),INDEX(MACIZAS!$DE$9:$DE$48,DETALLE!$C$9)))</f>
        <v>1 No. 4 corrida</v>
      </c>
      <c r="D130" s="14" t="inlineStr">
        <is>
          <t>—</t>
        </is>
      </c>
      <c r="E130" s="15" t="inlineStr">
        <is>
          <t>Enlazado.</t>
        </is>
      </c>
      <c r="F130" s="16" t="inlineStr">
        <is>
          <t>NERVADAS / MACIZAS / DATOS</t>
        </is>
      </c>
    </row>
    <row r="131" ht="19.5" customHeight="1">
      <c r="B131" s="12" t="inlineStr">
        <is>
          <t>Varilla Nc</t>
        </is>
      </c>
      <c r="C131" s="78">
        <f>IF(CROQUIS!$C$86=1,IF(DETALLE!$C$9=0,4,IF(DETALLE!$C$7="NERVADA",INDEX(NERVADAS!$BV$9:$BV$48,DETALLE!$C$9),INDEX(MACIZAS!$BR$9:$BR$48,DETALLE!$C$9))),4)</f>
        <v>4</v>
      </c>
      <c r="D131" s="14" t="inlineStr">
        <is>
          <t>—</t>
        </is>
      </c>
      <c r="E131" s="15" t="inlineStr">
        <is>
          <t>Enlazado.</t>
        </is>
      </c>
      <c r="F131" s="16" t="inlineStr">
        <is>
          <t>NERVADAS / MACIZAS / DATOS</t>
        </is>
      </c>
    </row>
    <row r="132" ht="19.5" customHeight="1">
      <c r="B132" s="12" t="inlineStr">
        <is>
          <t>d_b Nc</t>
        </is>
      </c>
      <c r="C132" s="23">
        <f>INDEX(TABLAS!$C$52:$C$58,MATCH(CROQUIS!$C$131,TABLAS!$B$52:$B$58,0))</f>
        <v>1.27</v>
      </c>
      <c r="D132" s="14" t="inlineStr">
        <is>
          <t>cm</t>
        </is>
      </c>
      <c r="E132" s="15" t="inlineStr">
        <is>
          <t>Enlazado.</t>
        </is>
      </c>
      <c r="F132" s="16" t="inlineStr">
        <is>
          <t>NERVADAS / MACIZAS / DATOS</t>
        </is>
      </c>
    </row>
    <row r="133" ht="19.5" customHeight="1">
      <c r="B133" s="12" t="inlineStr">
        <is>
          <t>Piezas (N) o separación (M) Nc</t>
        </is>
      </c>
      <c r="C133" s="22">
        <f>IF(CROQUIS!$C$87=1,N(IF(DETALLE!$C$9=0,0,IF(DETALLE!$C$7="NERVADA",INDEX(NERVADAS!$BW$9:$BW$48,DETALLE!$C$9),0))),IF(CROQUIS!$C$88=1,N(IF(DETALLE!$C$9=0,0,IF(DETALLE!$C$7="NERVADA",0,INDEX(MACIZAS!$BS$9:$BS$48,DETALLE!$C$9)))),0))</f>
        <v>1</v>
      </c>
      <c r="D133" s="14" t="inlineStr">
        <is>
          <t>—</t>
        </is>
      </c>
      <c r="E133" s="15" t="inlineStr">
        <is>
          <t>Enlazado.</t>
        </is>
      </c>
      <c r="F133" s="16" t="inlineStr">
        <is>
          <t>NERVADAS / MACIZAS / DATOS</t>
        </is>
      </c>
    </row>
    <row r="134" ht="19.5" customHeight="1">
      <c r="B134" s="12" t="inlineStr">
        <is>
          <t>Armado Nc</t>
        </is>
      </c>
      <c r="C134" s="31" t="str">
        <f>IF(DETALLE!$C$9=0,"—",IF(DETALLE!$C$7="NERVADA",INDEX(NERVADAS!$DY$9:$DY$48,DETALLE!$C$9),INDEX(MACIZAS!$DF$9:$DF$48,DETALLE!$C$9)))</f>
        <v>1 No. 4 corrida</v>
      </c>
      <c r="D134" s="14" t="inlineStr">
        <is>
          <t>—</t>
        </is>
      </c>
      <c r="E134" s="15" t="inlineStr">
        <is>
          <t>Enlazado.</t>
        </is>
      </c>
      <c r="F134" s="16" t="inlineStr">
        <is>
          <t>NERVADAS / MACIZAS / DATOS</t>
        </is>
      </c>
    </row>
    <row r="135" ht="19.5" customHeight="1">
      <c r="B135" s="12" t="inlineStr">
        <is>
          <t>Varilla Pl</t>
        </is>
      </c>
      <c r="C135" s="78">
        <f>IF(CROQUIS!$C$86=1,IF(DETALLE!$C$9=0,4,IF(DETALLE!$C$7="NERVADA",INDEX(NERVADAS!$CD$9:$CD$48,DETALLE!$C$9),INDEX(MACIZAS!$CB$9:$CB$48,DETALLE!$C$9))),4)</f>
        <v>4</v>
      </c>
      <c r="D135" s="14" t="inlineStr">
        <is>
          <t>—</t>
        </is>
      </c>
      <c r="E135" s="15" t="inlineStr">
        <is>
          <t>Enlazado.</t>
        </is>
      </c>
      <c r="F135" s="16" t="inlineStr">
        <is>
          <t>NERVADAS / MACIZAS / DATOS</t>
        </is>
      </c>
    </row>
    <row r="136" ht="19.5" customHeight="1">
      <c r="B136" s="12" t="inlineStr">
        <is>
          <t>d_b Pl</t>
        </is>
      </c>
      <c r="C136" s="23">
        <f>INDEX(TABLAS!$C$52:$C$58,MATCH(CROQUIS!$C$135,TABLAS!$B$52:$B$58,0))</f>
        <v>1.27</v>
      </c>
      <c r="D136" s="14" t="inlineStr">
        <is>
          <t>cm</t>
        </is>
      </c>
      <c r="E136" s="15" t="inlineStr">
        <is>
          <t>Enlazado.</t>
        </is>
      </c>
      <c r="F136" s="16" t="inlineStr">
        <is>
          <t>NERVADAS / MACIZAS / DATOS</t>
        </is>
      </c>
    </row>
    <row r="137" ht="19.5" customHeight="1">
      <c r="B137" s="12" t="inlineStr">
        <is>
          <t>Piezas (N) o separación (M) Pl</t>
        </is>
      </c>
      <c r="C137" s="22">
        <f>IF(CROQUIS!$C$87=1,N(IF(DETALLE!$C$9=0,0,IF(DETALLE!$C$7="NERVADA",INDEX(NERVADAS!$CE$9:$CE$48,DETALLE!$C$9),0))),IF(CROQUIS!$C$88=1,N(IF(DETALLE!$C$9=0,0,IF(DETALLE!$C$7="NERVADA",0,INDEX(MACIZAS!$CC$9:$CC$48,DETALLE!$C$9)))),0))</f>
        <v>1</v>
      </c>
      <c r="D137" s="14" t="inlineStr">
        <is>
          <t>—</t>
        </is>
      </c>
      <c r="E137" s="15" t="inlineStr">
        <is>
          <t>Enlazado.</t>
        </is>
      </c>
      <c r="F137" s="16" t="inlineStr">
        <is>
          <t>NERVADAS / MACIZAS / DATOS</t>
        </is>
      </c>
    </row>
    <row r="138" ht="19.5" customHeight="1">
      <c r="B138" s="12" t="inlineStr">
        <is>
          <t>Armado Pl</t>
        </is>
      </c>
      <c r="C138" s="31" t="str">
        <f>IF(DETALLE!$C$9=0,"—",IF(DETALLE!$C$7="NERVADA",INDEX(NERVADAS!$DZ$9:$DZ$48,DETALLE!$C$9),INDEX(MACIZAS!$DG$9:$DG$48,DETALLE!$C$9)))</f>
        <v>1 No. 4 corrida</v>
      </c>
      <c r="D138" s="14" t="inlineStr">
        <is>
          <t>—</t>
        </is>
      </c>
      <c r="E138" s="15" t="inlineStr">
        <is>
          <t>Enlazado.</t>
        </is>
      </c>
      <c r="F138" s="16" t="inlineStr">
        <is>
          <t>NERVADAS / MACIZAS / DATOS</t>
        </is>
      </c>
    </row>
    <row r="139" ht="19.5" customHeight="1">
      <c r="B139" s="12" t="inlineStr">
        <is>
          <t>Varilla Nl</t>
        </is>
      </c>
      <c r="C139" s="78">
        <f>IF(CROQUIS!$C$86=1,IF(DETALLE!$C$9=0,4,IF(DETALLE!$C$7="NERVADA",INDEX(NERVADAS!$CL$9:$CL$48,DETALLE!$C$9),INDEX(MACIZAS!$CL$9:$CL$48,DETALLE!$C$9))),4)</f>
        <v>4</v>
      </c>
      <c r="D139" s="14" t="inlineStr">
        <is>
          <t>—</t>
        </is>
      </c>
      <c r="E139" s="15" t="inlineStr">
        <is>
          <t>Enlazado.</t>
        </is>
      </c>
      <c r="F139" s="16" t="inlineStr">
        <is>
          <t>NERVADAS / MACIZAS / DATOS</t>
        </is>
      </c>
    </row>
    <row r="140" ht="19.5" customHeight="1">
      <c r="B140" s="12" t="inlineStr">
        <is>
          <t>d_b Nl</t>
        </is>
      </c>
      <c r="C140" s="23">
        <f>INDEX(TABLAS!$C$52:$C$58,MATCH(CROQUIS!$C$139,TABLAS!$B$52:$B$58,0))</f>
        <v>1.27</v>
      </c>
      <c r="D140" s="14" t="inlineStr">
        <is>
          <t>cm</t>
        </is>
      </c>
      <c r="E140" s="15" t="inlineStr">
        <is>
          <t>Enlazado.</t>
        </is>
      </c>
      <c r="F140" s="16" t="inlineStr">
        <is>
          <t>NERVADAS / MACIZAS / DATOS</t>
        </is>
      </c>
    </row>
    <row r="141" ht="19.5" customHeight="1">
      <c r="B141" s="12" t="inlineStr">
        <is>
          <t>Piezas (N) o separación (M) Nl</t>
        </is>
      </c>
      <c r="C141" s="22">
        <f>IF(CROQUIS!$C$87=1,N(IF(DETALLE!$C$9=0,0,IF(DETALLE!$C$7="NERVADA",INDEX(NERVADAS!$CM$9:$CM$48,DETALLE!$C$9),0))),IF(CROQUIS!$C$88=1,N(IF(DETALLE!$C$9=0,0,IF(DETALLE!$C$7="NERVADA",0,INDEX(MACIZAS!$CM$9:$CM$48,DETALLE!$C$9)))),0))</f>
        <v>1</v>
      </c>
      <c r="D141" s="14" t="inlineStr">
        <is>
          <t>—</t>
        </is>
      </c>
      <c r="E141" s="15" t="inlineStr">
        <is>
          <t>Enlazado.</t>
        </is>
      </c>
      <c r="F141" s="16" t="inlineStr">
        <is>
          <t>NERVADAS / MACIZAS / DATOS</t>
        </is>
      </c>
    </row>
    <row r="142" ht="19.5" customHeight="1">
      <c r="B142" s="12" t="inlineStr">
        <is>
          <t>Armado Nl</t>
        </is>
      </c>
      <c r="C142" s="31" t="str">
        <f>IF(DETALLE!$C$9=0,"—",IF(DETALLE!$C$7="NERVADA",INDEX(NERVADAS!$EA$9:$EA$48,DETALLE!$C$9),INDEX(MACIZAS!$DH$9:$DH$48,DETALLE!$C$9)))</f>
        <v>1 No. 4 corrida</v>
      </c>
      <c r="D142" s="14" t="inlineStr">
        <is>
          <t>—</t>
        </is>
      </c>
      <c r="E142" s="15" t="inlineStr">
        <is>
          <t>Enlazado.</t>
        </is>
      </c>
      <c r="F142" s="16" t="inlineStr">
        <is>
          <t>NERVADAS / MACIZAS / DATOS</t>
        </is>
      </c>
    </row>
    <row r="143" ht="19.5" customHeight="1">
      <c r="B143" s="12" t="inlineStr">
        <is>
          <t>Bastón ‖ corto / largo desde el paño</t>
        </is>
      </c>
      <c r="C143" s="41">
        <f>N(IF(DETALLE!$C$9=0,0,IF(DETALLE!$C$7="NERVADA",INDEX(NERVADAS!$DC$9:$DC$48,DETALLE!$C$9),INDEX(MACIZAS!$CZ$9:$CZ$48,DETALLE!$C$9))))</f>
        <v>105</v>
      </c>
      <c r="D143" s="14" t="inlineStr">
        <is>
          <t>cm</t>
        </is>
      </c>
      <c r="E143" s="15" t="inlineStr">
        <is>
          <t>Enlazado.</t>
        </is>
      </c>
      <c r="F143" s="16" t="inlineStr">
        <is>
          <t>NERVADAS / MACIZAS / DATOS</t>
        </is>
      </c>
    </row>
    <row r="144" ht="19.5" customHeight="1">
      <c r="B144" s="12" t="inlineStr">
        <is>
          <t>…</t>
        </is>
      </c>
      <c r="C144" s="41">
        <f>N(IF(DETALLE!$C$9=0,0,IF(DETALLE!$C$7="NERVADA",INDEX(NERVADAS!$DD$9:$DD$48,DETALLE!$C$9),INDEX(MACIZAS!$DA$9:$DA$48,DETALLE!$C$9))))</f>
        <v>120</v>
      </c>
      <c r="D144" s="14" t="inlineStr">
        <is>
          <t>cm</t>
        </is>
      </c>
      <c r="E144" s="15" t="inlineStr">
        <is>
          <t>Enlazado.</t>
        </is>
      </c>
      <c r="F144" s="16" t="inlineStr">
        <is>
          <t>NERVADAS / MACIZAS / DATOS</t>
        </is>
      </c>
    </row>
    <row r="145" ht="19.5" customHeight="1">
      <c r="B145" s="12" t="inlineStr">
        <is>
          <t>Bastón en borde discontinuo corto / largo</t>
        </is>
      </c>
      <c r="C145" s="41">
        <f>IF(IF(DETALLE!$C$9=0,"—",IF(DETALLE!$C$7="NERVADA",INDEX(NERVADAS!$DE$9:$DE$48,DETALLE!$C$9),INDEX(MACIZAS!$DB$9:$DB$48,DETALLE!$C$9)))="SÍ",1,0)</f>
        <v>0</v>
      </c>
      <c r="D145" s="14" t="inlineStr">
        <is>
          <t>—</t>
        </is>
      </c>
      <c r="E145" s="15" t="inlineStr">
        <is>
          <t>Enlazado.</t>
        </is>
      </c>
      <c r="F145" s="16" t="inlineStr">
        <is>
          <t>NERVADAS / MACIZAS / DATOS</t>
        </is>
      </c>
    </row>
    <row r="146" ht="19.5" customHeight="1">
      <c r="B146" s="12" t="inlineStr">
        <is>
          <t>…</t>
        </is>
      </c>
      <c r="C146" s="41">
        <f>IF(IF(DETALLE!$C$9=0,"—",IF(DETALLE!$C$7="NERVADA",INDEX(NERVADAS!$DF$9:$DF$48,DETALLE!$C$9),INDEX(MACIZAS!$DC$9:$DC$48,DETALLE!$C$9)))="SÍ",1,0)</f>
        <v>0</v>
      </c>
      <c r="D146" s="14" t="inlineStr">
        <is>
          <t>—</t>
        </is>
      </c>
      <c r="E146" s="15" t="inlineStr">
        <is>
          <t>Enlazado.</t>
        </is>
      </c>
      <c r="F146" s="16" t="inlineStr">
        <is>
          <t>NERVADAS / MACIZAS / DATOS</t>
        </is>
      </c>
    </row>
    <row r="147" ht="30" customHeight="1">
      <c r="B147" s="12" t="inlineStr">
        <is>
          <t>Nervadura ancha del volado dentro del respaldo: hasta / hileras</t>
        </is>
      </c>
      <c r="C147" s="41">
        <f>IF(CROQUIS!$C$87=1,N(IF(DETALLE!$C$9=0,0,IF(DETALLE!$C$7="NERVADA",INDEX(NERVADAS!$DU$9:$DU$48,DETALLE!$C$9),0))),0)</f>
        <v>0</v>
      </c>
      <c r="D147" s="14" t="inlineStr">
        <is>
          <t>cm</t>
        </is>
      </c>
      <c r="E147" s="15" t="inlineStr">
        <is>
          <t>Enlazado.</t>
        </is>
      </c>
      <c r="F147" s="16" t="inlineStr">
        <is>
          <t>NERVADAS / MACIZAS / DATOS</t>
        </is>
      </c>
    </row>
    <row r="148" ht="19.5" customHeight="1">
      <c r="B148" s="12" t="inlineStr">
        <is>
          <t>…</t>
        </is>
      </c>
      <c r="C148" s="41">
        <f>IF(CROQUIS!$C$87=1,N(IF(DETALLE!$C$9=0,0,IF(DETALLE!$C$7="NERVADA",INDEX(NERVADAS!$DV$9:$DV$48,DETALLE!$C$9),0))),0)</f>
        <v>0</v>
      </c>
      <c r="D148" s="14" t="inlineStr">
        <is>
          <t>—</t>
        </is>
      </c>
      <c r="E148" s="15" t="inlineStr">
        <is>
          <t>Enlazado.</t>
        </is>
      </c>
      <c r="F148" s="16" t="inlineStr">
        <is>
          <t>NERVADAS / MACIZAS / DATOS</t>
        </is>
      </c>
    </row>
    <row r="149" ht="19.5" customHeight="1">
      <c r="B149" s="12" t="inlineStr">
        <is>
          <t>L_b de respaldo</t>
        </is>
      </c>
      <c r="C149" s="41">
        <f>IF(CROQUIS!$C$91=1,IF(N(IF(DETALLE!$C$9=0,0,IF(DETALLE!$C$7="NERVADA",INDEX(NERVADAS!$P$9:$P$48,DETALLE!$C$9),INDEX(MACIZAS!$Q$9:$Q$48,DETALLE!$C$9))))&gt;0,IF(DETALLE!$C$9=0,0,IF(DETALLE!$C$7="NERVADA",INDEX(NERVADAS!$P$9:$P$48,DETALLE!$C$9),INDEX(MACIZAS!$Q$9:$Q$48,DETALLE!$C$9))),IF(DETALLE!$C$9=0,0,IF(DETALLE!$C$7="NERVADA",INDEX(NERVADAS!$Y$9:$Y$48,DETALLE!$C$9),INDEX(MACIZAS!$Z$9:$Z$48,DETALLE!$C$9))))*100,0)</f>
        <v>0</v>
      </c>
      <c r="D149" s="14" t="inlineStr">
        <is>
          <t>cm</t>
        </is>
      </c>
      <c r="E149" s="15" t="inlineStr">
        <is>
          <t>Enlazado.</t>
        </is>
      </c>
      <c r="F149" s="16" t="inlineStr">
        <is>
          <t>NERVADAS / MACIZAS / DATOS</t>
        </is>
      </c>
    </row>
    <row r="150" ht="19.5" customHeight="1">
      <c r="B150" s="12" t="inlineStr">
        <is>
          <t>d inferior ‖ corto</t>
        </is>
      </c>
      <c r="C150" s="23">
        <f>N(IF(DETALLE!$C$9=0,0,IF(DETALLE!$C$7="NERVADA",INDEX(NERVADAS!$BP$9:$BP$48,DETALLE!$C$9),INDEX(MACIZAS!$BK$9:$BK$48,DETALLE!$C$9))))</f>
        <v>22.365</v>
      </c>
      <c r="D150" s="14" t="inlineStr">
        <is>
          <t>cm</t>
        </is>
      </c>
      <c r="E150" s="15" t="inlineStr">
        <is>
          <t>Enlazado.</t>
        </is>
      </c>
      <c r="F150" s="16" t="inlineStr">
        <is>
          <t>NERVADAS / MACIZAS / DATOS</t>
        </is>
      </c>
    </row>
    <row r="151" ht="19.5" customHeight="1">
      <c r="B151" s="12" t="inlineStr">
        <is>
          <t>Carga en la orilla</t>
        </is>
      </c>
      <c r="C151" s="22">
        <f>N(IF(DETALLE!$C$9=0,0,IF(DETALLE!$C$7="NERVADA",INDEX(NERVADAS!$O$9:$O$48,DETALLE!$C$9),INDEX(MACIZAS!$P$9:$P$48,DETALLE!$C$9))))</f>
        <v>0</v>
      </c>
      <c r="D151" s="14" t="inlineStr">
        <is>
          <t>kg/m</t>
        </is>
      </c>
      <c r="E151" s="15" t="inlineStr">
        <is>
          <t>Enlazado.</t>
        </is>
      </c>
      <c r="F151" s="16" t="inlineStr">
        <is>
          <t>NERVADAS / MACIZAS / DATOS</t>
        </is>
      </c>
    </row>
    <row r="152" ht="19.5" customHeight="1">
      <c r="B152" s="12" t="inlineStr">
        <is>
          <t>Estado</t>
        </is>
      </c>
      <c r="C152" s="31" t="str">
        <f>IF(DETALLE!$C$9=0,"—",IF(DETALLE!$C$7="NERVADA",INDEX(NERVADAS!$EB$9:$EB$48,DETALLE!$C$9),INDEX(MACIZAS!$DI$9:$DI$48,DETALLE!$C$9)))</f>
        <v>CUMPLE</v>
      </c>
      <c r="D152" s="14" t="inlineStr">
        <is>
          <t>—</t>
        </is>
      </c>
      <c r="E152" s="15" t="inlineStr">
        <is>
          <t>Enlazado.</t>
        </is>
      </c>
      <c r="F152" s="16" t="inlineStr">
        <is>
          <t>NERVADAS / MACIZAS / DATOS</t>
        </is>
      </c>
    </row>
    <row r="153" ht="30" customHeight="1">
      <c r="B153" s="12" t="inlineStr">
        <is>
          <t>¿El acero del volado llega al apoyo lejano del respaldo?</t>
        </is>
      </c>
      <c r="C153" s="41">
        <f>IF(AND(CROQUIS!$C$91=1,CROQUIS!$C$143&gt;=FLOOR(CROQUIS!$C$149-DATOS!$C$63,5)-0.01),1,0)</f>
        <v>0</v>
      </c>
      <c r="D153" s="14" t="inlineStr">
        <is>
          <t>—</t>
        </is>
      </c>
      <c r="E153" s="15" t="inlineStr">
        <is>
          <t>Enlazado.</t>
        </is>
      </c>
      <c r="F153" s="16" t="inlineStr">
        <is>
          <t>NERVADAS / MACIZAS / DATOS</t>
        </is>
      </c>
    </row>
    <row r="154" ht="19.5" customHeight="1">
      <c r="B154" s="12" t="inlineStr">
        <is>
          <t>Respaldo que se dibuja</t>
        </is>
      </c>
      <c r="C154" s="22">
        <f>IF(CROQUIS!$C$91=1,IF(CROQUIS!$C$153=1,CROQUIS!$C$149+CROQUIS!$C$107/2,MIN(CROQUIS!$C$149,CROQUIS!$C$107/2+CROQUIS!$C$143+40)),0)</f>
        <v>0</v>
      </c>
      <c r="D154" s="14" t="inlineStr">
        <is>
          <t>cm</t>
        </is>
      </c>
      <c r="E154" s="15" t="inlineStr">
        <is>
          <t>Enlazado.</t>
        </is>
      </c>
      <c r="F154" s="16" t="inlineStr">
        <is>
          <t>NERVADAS / MACIZAS / DATOS</t>
        </is>
      </c>
    </row>
    <row r="155" ht="19.5" customHeight="1">
      <c r="B155" s="12" t="inlineStr">
        <is>
          <t>x mín / x máx / y mín / y máx</t>
        </is>
      </c>
      <c r="C155" s="22">
        <f>IF(CROQUIS!$C$93=1,-CROQUIS!$C$154,0)</f>
        <v>0</v>
      </c>
      <c r="D155" s="14" t="inlineStr">
        <is>
          <t>cm</t>
        </is>
      </c>
      <c r="E155" s="15" t="inlineStr">
        <is>
          <t>Enlazado.</t>
        </is>
      </c>
      <c r="F155" s="16" t="inlineStr">
        <is>
          <t>NERVADAS / MACIZAS / DATOS</t>
        </is>
      </c>
    </row>
    <row r="156" ht="19.5" customHeight="1">
      <c r="B156" s="12" t="inlineStr">
        <is>
          <t>…</t>
        </is>
      </c>
      <c r="C156" s="22">
        <f>CROQUIS!$C$95+IF(CROQUIS!$C$93=2,CROQUIS!$C$154,0)</f>
        <v>442.6</v>
      </c>
      <c r="D156" s="14" t="inlineStr">
        <is>
          <t>cm</t>
        </is>
      </c>
      <c r="E156" s="15" t="inlineStr">
        <is>
          <t>Enlazado.</t>
        </is>
      </c>
      <c r="F156" s="16" t="inlineStr">
        <is>
          <t>NERVADAS / MACIZAS / DATOS</t>
        </is>
      </c>
    </row>
    <row r="157" ht="19.5" customHeight="1">
      <c r="B157" s="12" t="inlineStr">
        <is>
          <t>…</t>
        </is>
      </c>
      <c r="C157" s="22">
        <f>IF(CROQUIS!$C$93=3,-CROQUIS!$C$154,0)</f>
        <v>0</v>
      </c>
      <c r="D157" s="14" t="inlineStr">
        <is>
          <t>cm</t>
        </is>
      </c>
      <c r="E157" s="15" t="inlineStr">
        <is>
          <t>Enlazado.</t>
        </is>
      </c>
      <c r="F157" s="16" t="inlineStr">
        <is>
          <t>NERVADAS / MACIZAS / DATOS</t>
        </is>
      </c>
    </row>
    <row r="158" ht="19.5" customHeight="1">
      <c r="B158" s="12" t="inlineStr">
        <is>
          <t>…</t>
        </is>
      </c>
      <c r="C158" s="22">
        <f>CROQUIS!$C$96+IF(CROQUIS!$C$93=4,CROQUIS!$C$154,0)</f>
        <v>400</v>
      </c>
      <c r="D158" s="14" t="inlineStr">
        <is>
          <t>cm</t>
        </is>
      </c>
      <c r="E158" s="15" t="inlineStr">
        <is>
          <t>Enlazado.</t>
        </is>
      </c>
      <c r="F158" s="16" t="inlineStr">
        <is>
          <t>NERVADAS / MACIZAS / DATOS</t>
        </is>
      </c>
    </row>
    <row r="159" ht="19.5" customHeight="1">
      <c r="B159" s="12" t="inlineStr">
        <is>
          <t>Escala de la planta</t>
        </is>
      </c>
      <c r="C159" s="35">
        <f>76/MAX(CROQUIS!$C$156-CROQUIS!$C$155,CROQUIS!$C$158-CROQUIS!$C$157,1)</f>
        <v>0.17171260732038</v>
      </c>
      <c r="D159" s="14" t="inlineStr">
        <is>
          <t>u/cm</t>
        </is>
      </c>
      <c r="E159" s="15" t="inlineStr">
        <is>
          <t>Cuadro de 76 unidades, misma escala en X y Y.</t>
        </is>
      </c>
      <c r="F159" s="16" t="inlineStr">
        <is>
          <t>NERVADAS / MACIZAS / DATOS</t>
        </is>
      </c>
    </row>
    <row r="160" ht="19.5" customHeight="1">
      <c r="B160" s="12" t="inlineStr">
        <is>
          <t>Origen X / Y</t>
        </is>
      </c>
      <c r="C160" s="23">
        <f>12+(76-(CROQUIS!$C$156-CROQUIS!$C$155)*CROQUIS!$C$159)/2-CROQUIS!$C$155*CROQUIS!$C$159</f>
        <v>12</v>
      </c>
      <c r="D160" s="14" t="inlineStr">
        <is>
          <t>u</t>
        </is>
      </c>
      <c r="E160" s="15" t="inlineStr">
        <is>
          <t>Enlazado.</t>
        </is>
      </c>
      <c r="F160" s="16" t="inlineStr">
        <is>
          <t>NERVADAS / MACIZAS / DATOS</t>
        </is>
      </c>
    </row>
    <row r="161" ht="19.5" customHeight="1">
      <c r="B161" s="12" t="inlineStr">
        <is>
          <t>…</t>
        </is>
      </c>
      <c r="C161" s="23">
        <f>12+(76-(CROQUIS!$C$158-CROQUIS!$C$157)*CROQUIS!$C$159)/2-CROQUIS!$C$157*CROQUIS!$C$159</f>
        <v>15.6574785359241</v>
      </c>
      <c r="D161" s="14" t="inlineStr">
        <is>
          <t>u</t>
        </is>
      </c>
      <c r="E161" s="15" t="inlineStr">
        <is>
          <t>Enlazado.</t>
        </is>
      </c>
      <c r="F161" s="16" t="inlineStr">
        <is>
          <t>NERVADAS / MACIZAS / DATOS</t>
        </is>
      </c>
    </row>
    <row r="162" ht="19.5" customHeight="1">
      <c r="B162" s="12" t="inlineStr">
        <is>
          <t>Casetones dibujados ‖ X</t>
        </is>
      </c>
      <c r="C162" s="41">
        <f>IF(CROQUIS!$C$92="X",MAX(0,CROQUIS!$C$122-CROQUIS!$C$126*IF(CROQUIS!$C$91=1,1,2)),CROQUIS!$C$122)</f>
        <v>5</v>
      </c>
      <c r="D162" s="14" t="inlineStr">
        <is>
          <t>—</t>
        </is>
      </c>
      <c r="E162" s="15" t="inlineStr">
        <is>
          <t>Enlazado.</t>
        </is>
      </c>
      <c r="F162" s="16" t="inlineStr">
        <is>
          <t>NERVADAS / MACIZAS / DATOS</t>
        </is>
      </c>
    </row>
    <row r="163" ht="19.5" customHeight="1">
      <c r="B163" s="12" t="inlineStr">
        <is>
          <t>Inicio de casetones en X</t>
        </is>
      </c>
      <c r="C163" s="22">
        <f>CROQUIS!$C$107/2+CROQUIS!$C$124+IF(AND(CROQUIS!$C$92="X",OR(CROQUIS!$C$91=0,CROQUIS!$C$93=1)),CROQUIS!$C$126*CROQUIS!$C$116,0)</f>
        <v>63.8</v>
      </c>
      <c r="D163" s="14" t="inlineStr">
        <is>
          <t>cm</t>
        </is>
      </c>
      <c r="E163" s="15" t="inlineStr">
        <is>
          <t>Enlazado.</t>
        </is>
      </c>
      <c r="F163" s="16" t="inlineStr">
        <is>
          <t>NERVADAS / MACIZAS / DATOS</t>
        </is>
      </c>
    </row>
    <row r="164" ht="19.5" customHeight="1">
      <c r="B164" s="12" t="inlineStr">
        <is>
          <t>Casetones dibujados ‖ Y</t>
        </is>
      </c>
      <c r="C164" s="41">
        <f>IF(CROQUIS!$C$92="Y",MAX(0,CROQUIS!$C$123-CROQUIS!$C$126*IF(CROQUIS!$C$91=1,1,2)),CROQUIS!$C$123)</f>
        <v>5</v>
      </c>
      <c r="D164" s="14" t="inlineStr">
        <is>
          <t>—</t>
        </is>
      </c>
      <c r="E164" s="15" t="inlineStr">
        <is>
          <t>Enlazado.</t>
        </is>
      </c>
      <c r="F164" s="16" t="inlineStr">
        <is>
          <t>NERVADAS / MACIZAS / DATOS</t>
        </is>
      </c>
    </row>
    <row r="165" ht="19.5" customHeight="1">
      <c r="B165" s="12" t="inlineStr">
        <is>
          <t>Inicio de casetones en Y</t>
        </is>
      </c>
      <c r="C165" s="22">
        <f>CROQUIS!$C$107/2+CROQUIS!$C$125+IF(AND(CROQUIS!$C$92="Y",OR(CROQUIS!$C$91=0,CROQUIS!$C$93=3)),CROQUIS!$C$126*CROQUIS!$C$116,0)</f>
        <v>30</v>
      </c>
      <c r="D165" s="14" t="inlineStr">
        <is>
          <t>cm</t>
        </is>
      </c>
      <c r="E165" s="15" t="inlineStr">
        <is>
          <t>Enlazado.</t>
        </is>
      </c>
      <c r="F165" s="16" t="inlineStr">
        <is>
          <t>NERVADAS / MACIZAS / DATOS</t>
        </is>
      </c>
    </row>
    <row r="166" ht="19.5" customHeight="1">
      <c r="B166" s="12" t="inlineStr">
        <is>
          <t>Casetones / inicio en u y en v</t>
        </is>
      </c>
      <c r="C166" s="41">
        <f>IF(CROQUIS!$C$92="X",CROQUIS!$C$162,CROQUIS!$C$164)</f>
        <v>5</v>
      </c>
      <c r="D166" s="14" t="inlineStr">
        <is>
          <t>—</t>
        </is>
      </c>
      <c r="E166" s="15" t="inlineStr">
        <is>
          <t>Enlazado.</t>
        </is>
      </c>
      <c r="F166" s="16" t="inlineStr">
        <is>
          <t>NERVADAS / MACIZAS / DATOS</t>
        </is>
      </c>
    </row>
    <row r="167" ht="19.5" customHeight="1">
      <c r="B167" s="12" t="inlineStr">
        <is>
          <t>…</t>
        </is>
      </c>
      <c r="C167" s="22">
        <f>IF(CROQUIS!$C$92="X",CROQUIS!$C$163,CROQUIS!$C$165)</f>
        <v>30</v>
      </c>
      <c r="D167" s="14" t="inlineStr">
        <is>
          <t>cm</t>
        </is>
      </c>
      <c r="E167" s="15" t="inlineStr">
        <is>
          <t>Enlazado.</t>
        </is>
      </c>
      <c r="F167" s="16" t="inlineStr">
        <is>
          <t>NERVADAS / MACIZAS / DATOS</t>
        </is>
      </c>
    </row>
    <row r="168" ht="19.5" customHeight="1">
      <c r="B168" s="12" t="inlineStr">
        <is>
          <t>…</t>
        </is>
      </c>
      <c r="C168" s="41">
        <f>IF(CROQUIS!$C$92="X",CROQUIS!$C$164,CROQUIS!$C$162)</f>
        <v>5</v>
      </c>
      <c r="D168" s="14" t="inlineStr">
        <is>
          <t>—</t>
        </is>
      </c>
      <c r="E168" s="15" t="inlineStr">
        <is>
          <t>Enlazado.</t>
        </is>
      </c>
      <c r="F168" s="16" t="inlineStr">
        <is>
          <t>NERVADAS / MACIZAS / DATOS</t>
        </is>
      </c>
    </row>
    <row r="169" ht="19.5" customHeight="1">
      <c r="B169" s="12" t="inlineStr">
        <is>
          <t>…</t>
        </is>
      </c>
      <c r="C169" s="22">
        <f>IF(CROQUIS!$C$92="X",CROQUIS!$C$165,CROQUIS!$C$163)</f>
        <v>63.8</v>
      </c>
      <c r="D169" s="14" t="inlineStr">
        <is>
          <t>cm</t>
        </is>
      </c>
      <c r="E169" s="15" t="inlineStr">
        <is>
          <t>Enlazado.</t>
        </is>
      </c>
      <c r="F169" s="16" t="inlineStr">
        <is>
          <t>NERVADAS / MACIZAS / DATOS</t>
        </is>
      </c>
    </row>
    <row r="170" ht="30" customHeight="1">
      <c r="B170" s="12" t="inlineStr">
        <is>
          <t>Nervadura representativa ‖ corto (posición en v)</t>
        </is>
      </c>
      <c r="C170" s="22">
        <f>IF(CROQUIS!$C$168&gt;=2,CROQUIS!$C$169+CROQUIS!$C$112+CROQUIS!$C$111/2+INT((CROQUIS!$C$168-2)/2)*CROQUIS!$C$116,CROQUIS!$C$98/2)</f>
        <v>198.8</v>
      </c>
      <c r="D170" s="14" t="inlineStr">
        <is>
          <t>cm</t>
        </is>
      </c>
      <c r="E170" s="15" t="inlineStr">
        <is>
          <t>Enlazado.</t>
        </is>
      </c>
      <c r="F170" s="16" t="inlineStr">
        <is>
          <t>NERVADAS / MACIZAS / DATOS</t>
        </is>
      </c>
    </row>
    <row r="171" ht="30" customHeight="1">
      <c r="B171" s="12" t="inlineStr">
        <is>
          <t>Nervadura representativa ‖ largo (posición en u)</t>
        </is>
      </c>
      <c r="C171" s="22">
        <f>IF(CROQUIS!$C$166&gt;=2,CROQUIS!$C$167+CROQUIS!$C$113+(CROQUIS!$C$116-CROQUIS!$C$113)/2+INT((CROQUIS!$C$166-2)/2)*CROQUIS!$C$116,CROQUIS!$C$97/2)</f>
        <v>165</v>
      </c>
      <c r="D171" s="14" t="inlineStr">
        <is>
          <t>cm</t>
        </is>
      </c>
      <c r="E171" s="15" t="inlineStr">
        <is>
          <t>Enlazado.</t>
        </is>
      </c>
      <c r="F171" s="16" t="inlineStr">
        <is>
          <t>NERVADAS / MACIZAS / DATOS</t>
        </is>
      </c>
    </row>
    <row r="172" ht="19.5" customHeight="1">
      <c r="B172" s="12" t="inlineStr">
        <is>
          <t>Respaldo en el alzado</t>
        </is>
      </c>
      <c r="C172" s="22">
        <f>CROQUIS!$C$154</f>
        <v>0</v>
      </c>
      <c r="D172" s="14" t="inlineStr">
        <is>
          <t>cm</t>
        </is>
      </c>
      <c r="E172" s="15" t="inlineStr">
        <is>
          <t>Enlazado.</t>
        </is>
      </c>
      <c r="F172" s="16" t="inlineStr">
        <is>
          <t>NERVADAS / MACIZAS / DATOS</t>
        </is>
      </c>
    </row>
    <row r="173" ht="19.5" customHeight="1">
      <c r="B173" s="12" t="inlineStr">
        <is>
          <t>Alzado: x izq. / x der.</t>
        </is>
      </c>
      <c r="C173" s="22">
        <f>IF(CROQUIS!$C$91=1,-CROQUIS!$C$172,-CROQUIS!$C$107/2-30)</f>
        <v>-37.5</v>
      </c>
      <c r="D173" s="14" t="inlineStr">
        <is>
          <t>cm</t>
        </is>
      </c>
      <c r="E173" s="15" t="inlineStr">
        <is>
          <t>Enlazado.</t>
        </is>
      </c>
      <c r="F173" s="16" t="inlineStr">
        <is>
          <t>NERVADAS / MACIZAS / DATOS</t>
        </is>
      </c>
    </row>
    <row r="174" ht="19.5" customHeight="1">
      <c r="B174" s="12" t="inlineStr">
        <is>
          <t>…</t>
        </is>
      </c>
      <c r="C174" s="22">
        <f>IF(CROQUIS!$C$91=1,CROQUIS!$C$97+12,CROQUIS!$C$97+CROQUIS!$C$107/2+30)</f>
        <v>437.5</v>
      </c>
      <c r="D174" s="14" t="inlineStr">
        <is>
          <t>cm</t>
        </is>
      </c>
      <c r="E174" s="15" t="inlineStr">
        <is>
          <t>Enlazado.</t>
        </is>
      </c>
      <c r="F174" s="16" t="inlineStr">
        <is>
          <t>NERVADAS / MACIZAS / DATOS</t>
        </is>
      </c>
    </row>
    <row r="175" ht="19.5" customHeight="1">
      <c r="B175" s="12" t="inlineStr">
        <is>
          <t>Alzado: escala horizontal</t>
        </is>
      </c>
      <c r="C175" s="35">
        <f>92/MAX(CROQUIS!$C$174-CROQUIS!$C$173,1)</f>
        <v>0.193684210526316</v>
      </c>
      <c r="D175" s="14" t="inlineStr">
        <is>
          <t>u/cm</t>
        </is>
      </c>
      <c r="E175" s="15" t="inlineStr">
        <is>
          <t>Enlazado.</t>
        </is>
      </c>
      <c r="F175" s="16" t="inlineStr">
        <is>
          <t>NERVADAS / MACIZAS / DATOS</t>
        </is>
      </c>
    </row>
    <row r="176" ht="19.5" customHeight="1">
      <c r="B176" s="12" t="inlineStr">
        <is>
          <t>Alzado: exageración vertical</t>
        </is>
      </c>
      <c r="C176" s="41">
        <f>MAX(1,ROUND(16/MAX(CROQUIS!$C$108*CROQUIS!$C$175,0.01),0))</f>
        <v>3</v>
      </c>
      <c r="D176" s="14" t="inlineStr">
        <is>
          <t>—</t>
        </is>
      </c>
      <c r="E176" s="15" t="inlineStr">
        <is>
          <t>Enlazado.</t>
        </is>
      </c>
      <c r="F176" s="16" t="inlineStr">
        <is>
          <t>NERVADAS / MACIZAS / DATOS</t>
        </is>
      </c>
    </row>
    <row r="177" ht="19.5" customHeight="1">
      <c r="B177" s="12" t="inlineStr">
        <is>
          <t>Corte nervada: escala</t>
        </is>
      </c>
      <c r="C177" s="35">
        <f>MIN(84/(CROQUIS!$C$116+18),36/(CROQUIS!$C$108+12))</f>
        <v>0.954545454545455</v>
      </c>
      <c r="D177" s="14" t="inlineStr">
        <is>
          <t>u/cm</t>
        </is>
      </c>
      <c r="E177" s="15" t="inlineStr">
        <is>
          <t>Enlazado.</t>
        </is>
      </c>
      <c r="F177" s="16" t="inlineStr">
        <is>
          <t>NERVADAS / MACIZAS / DATOS</t>
        </is>
      </c>
    </row>
    <row r="178" ht="19.5" customHeight="1">
      <c r="B178" s="12" t="inlineStr">
        <is>
          <t>Corte maciza: escala</t>
        </is>
      </c>
      <c r="C178" s="35">
        <f>MIN(84/(60+18),36/(CROQUIS!$C$108+12))</f>
        <v>0.972972972972973</v>
      </c>
      <c r="D178" s="14" t="inlineStr">
        <is>
          <t>u/cm</t>
        </is>
      </c>
      <c r="E178" s="15" t="inlineStr">
        <is>
          <t>Enlazado.</t>
        </is>
      </c>
      <c r="F178" s="16" t="inlineStr">
        <is>
          <t>NERVADAS / MACIZAS / DATOS</t>
        </is>
      </c>
    </row>
  </sheetData>
  <mergeCells count="7">
    <mergeCell ref="B4:F4"/>
    <mergeCell ref="B44:F44"/>
    <mergeCell ref="B2:F2"/>
    <mergeCell ref="B3:F3"/>
    <mergeCell ref="B5:F5"/>
    <mergeCell ref="B1:F1"/>
    <mergeCell ref="B84:F84"/>
  </mergeCells>
  <conditionalFormatting sqref="C83:C179">
    <cfRule type="expression" priority="1" dxfId="0" stopIfTrue="1">
      <formula>OR(ISNUMBER(FIND("NO CUMPLE",C83)),ISNUMBER(FIND("REVISAR",C83)),ISNUMBER(FIND("NO CABE",C83)),ISNUMBER(FIND("FUERA",C83)),ISNUMBER(FIND("FALTA",C83)),ISNUMBER(FIND("INSUFICIENTE",C83)),ISNUMBER(FIND("PENDIENTE",C83)))</formula>
    </cfRule>
    <cfRule type="expression" priority="2" dxfId="1" stopIfTrue="1">
      <formula>OR(ISNUMBER(FIND("CUMPLE",C83)),ISNUMBER(FIND("SÍ aplica",C83)),ISNUMBER(FIND("MANDA",C83)))</formula>
    </cfRule>
    <cfRule type="expression" priority="3" dxfId="2" stopIfTrue="1">
      <formula>OR(ISNUMBER(FIND("MACIZAR",C83)),ISNUMBER(FIND("CALCULAR",C83)),ISNUMBER(FIND("PROPUESTO",C83)),ISNUMBER(FIND("VER ",C83)))</formula>
    </cfRule>
  </conditionalFormatting>
  <printOptions horizontalCentered="1"/>
  <pageMargins left="0.4" right="0.4" top="0.5" bottom="0.5" header="0.5" footer="0.5"/>
  <pageSetup orientation="landscape" paperSize="1" fitToHeight="0" fitToWidth="1"/>
  <headerFooter>
    <oddHeader/>
    <oddFooter>&amp;C&amp;8 &amp;A — página &amp;P de &amp;N</oddFooter>
    <evenHeader/>
    <evenFooter/>
    <firstHeader/>
    <firstFooter/>
  </headerFooter>
  <rowBreaks count="2" manualBreakCount="2">
    <brk id="43" min="0" max="16383" man="1"/>
    <brk id="82" min="0" max="16383" man="1"/>
  </row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B1:K165"/>
  <sheetViews>
    <sheetView showGridLines="0" workbookViewId="0">
      <pane ySplit="3" topLeftCell="A4" activePane="bottomLeft" state="frozen"/>
      <selection pane="bottomLeft"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Todas las hojas leen de aquí con INDEX/MATCH. Los coeficientes son los de la NTC; L_d, L_dh y traslapes se recalculan solos con f'c y fy de DATOS.</t>
        </is>
      </c>
    </row>
    <row r="4" ht="21" customHeight="1">
      <c r="B4" s="3" t="inlineStr">
        <is>
          <t>A. COEFICIENTES DE MOMENTO PARA TABLEROS RECTANGULARES, FRANJAS CENTRALES — CASO I (LOSA COLADA MONOLÍTICAMENTE CON SUS APOYOS) · ×10⁻⁴·w·a1²</t>
        </is>
      </c>
    </row>
    <row r="5">
      <c r="B5" s="11" t="inlineStr">
        <is>
          <t>Clave</t>
        </is>
      </c>
      <c r="C5" s="11" t="inlineStr">
        <is>
          <t>Caso — momento  (m = a1/a2 →)</t>
        </is>
      </c>
      <c r="D5" s="79" t="n">
        <v>0</v>
      </c>
      <c r="E5" s="79" t="n">
        <v>0.5</v>
      </c>
      <c r="F5" s="79" t="n">
        <v>0.6</v>
      </c>
      <c r="G5" s="79" t="n">
        <v>0.7</v>
      </c>
      <c r="H5" s="79" t="n">
        <v>0.8</v>
      </c>
      <c r="I5" s="79" t="n">
        <v>0.9</v>
      </c>
      <c r="J5" s="79" t="n">
        <v>1</v>
      </c>
      <c r="K5" s="11" t="inlineStr">
        <is>
          <t>Referencia</t>
        </is>
      </c>
    </row>
    <row r="6">
      <c r="B6" s="80" t="inlineStr">
        <is>
          <t>INTERIOR|NIC</t>
        </is>
      </c>
      <c r="C6" s="80" t="inlineStr">
        <is>
          <t>Interior — todos los bordes continuos — negativo en bordes continuos, claro corto</t>
        </is>
      </c>
      <c r="D6" s="59" t="n">
        <v>998</v>
      </c>
      <c r="E6" s="59" t="n">
        <v>1160</v>
      </c>
      <c r="F6" s="59" t="n">
        <v>907</v>
      </c>
      <c r="G6" s="59" t="n">
        <v>736</v>
      </c>
      <c r="H6" s="59" t="n">
        <v>607</v>
      </c>
      <c r="I6" s="59" t="n">
        <v>503</v>
      </c>
      <c r="J6" s="59" t="n">
        <v>418</v>
      </c>
      <c r="K6" s="81" t="inlineStr">
        <is>
          <t>NTC-Concreto 2023 (CDMX) · Tabla 3.4.2.1, caso I (§3.4.2, p. 65)</t>
        </is>
      </c>
    </row>
    <row r="7">
      <c r="B7" s="80" t="inlineStr">
        <is>
          <t>INTERIOR|NIL</t>
        </is>
      </c>
      <c r="C7" s="80" t="inlineStr">
        <is>
          <t>Interior — todos los bordes continuos — negativo en bordes continuos, claro largo</t>
        </is>
      </c>
      <c r="D7" s="59" t="n">
        <v>516</v>
      </c>
      <c r="E7" s="59" t="n">
        <v>550</v>
      </c>
      <c r="F7" s="59" t="n">
        <v>517</v>
      </c>
      <c r="G7" s="59" t="n">
        <v>492</v>
      </c>
      <c r="H7" s="59" t="n">
        <v>466</v>
      </c>
      <c r="I7" s="59" t="n">
        <v>436</v>
      </c>
      <c r="J7" s="59" t="n">
        <v>418</v>
      </c>
      <c r="K7" s="81" t="inlineStr">
        <is>
          <t>NTC-Concreto 2023 (CDMX) · Tabla 3.4.2.1, caso I (§3.4.2, p. 65)</t>
        </is>
      </c>
    </row>
    <row r="8">
      <c r="B8" s="80" t="inlineStr">
        <is>
          <t>INTERIOR|NDC</t>
        </is>
      </c>
      <c r="C8" s="80" t="inlineStr">
        <is>
          <t>Interior — todos los bordes continuos — negativo en bordes discontinuos, claro corto</t>
        </is>
      </c>
      <c r="D8" s="59" t="n">
        <v>0</v>
      </c>
      <c r="E8" s="59" t="n">
        <v>0</v>
      </c>
      <c r="F8" s="59" t="n">
        <v>0</v>
      </c>
      <c r="G8" s="59" t="n">
        <v>0</v>
      </c>
      <c r="H8" s="59" t="n">
        <v>0</v>
      </c>
      <c r="I8" s="59" t="n">
        <v>0</v>
      </c>
      <c r="J8" s="59" t="n">
        <v>0</v>
      </c>
      <c r="K8" s="81" t="inlineStr">
        <is>
          <t>NTC-Concreto 2023 (CDMX) · Tabla 3.4.2.1, caso I (§3.4.2, p. 65)</t>
        </is>
      </c>
    </row>
    <row r="9">
      <c r="B9" s="80" t="inlineStr">
        <is>
          <t>INTERIOR|NDL</t>
        </is>
      </c>
      <c r="C9" s="80" t="inlineStr">
        <is>
          <t>Interior — todos los bordes continuos — negativo en bordes discontinuos, claro largo</t>
        </is>
      </c>
      <c r="D9" s="59" t="n">
        <v>0</v>
      </c>
      <c r="E9" s="59" t="n">
        <v>0</v>
      </c>
      <c r="F9" s="59" t="n">
        <v>0</v>
      </c>
      <c r="G9" s="59" t="n">
        <v>0</v>
      </c>
      <c r="H9" s="59" t="n">
        <v>0</v>
      </c>
      <c r="I9" s="59" t="n">
        <v>0</v>
      </c>
      <c r="J9" s="59" t="n">
        <v>0</v>
      </c>
      <c r="K9" s="81" t="inlineStr">
        <is>
          <t>NTC-Concreto 2023 (CDMX) · Tabla 3.4.2.1, caso I (§3.4.2, p. 65)</t>
        </is>
      </c>
    </row>
    <row r="10">
      <c r="B10" s="80" t="inlineStr">
        <is>
          <t>INTERIOR|PC</t>
        </is>
      </c>
      <c r="C10" s="80" t="inlineStr">
        <is>
          <t>Interior — todos los bordes continuos — positivo, claro corto</t>
        </is>
      </c>
      <c r="D10" s="59" t="n">
        <v>630</v>
      </c>
      <c r="E10" s="59" t="n">
        <v>312</v>
      </c>
      <c r="F10" s="59" t="n">
        <v>331</v>
      </c>
      <c r="G10" s="59" t="n">
        <v>330</v>
      </c>
      <c r="H10" s="59" t="n">
        <v>298</v>
      </c>
      <c r="I10" s="59" t="n">
        <v>256</v>
      </c>
      <c r="J10" s="59" t="n">
        <v>209</v>
      </c>
      <c r="K10" s="81" t="inlineStr">
        <is>
          <t>NTC-Concreto 2023 (CDMX) · Tabla 3.4.2.1, caso I (§3.4.2, p. 65)</t>
        </is>
      </c>
    </row>
    <row r="11">
      <c r="B11" s="80" t="inlineStr">
        <is>
          <t>INTERIOR|PL</t>
        </is>
      </c>
      <c r="C11" s="80" t="inlineStr">
        <is>
          <t>Interior — todos los bordes continuos — positivo, claro largo</t>
        </is>
      </c>
      <c r="D11" s="59" t="n">
        <v>175</v>
      </c>
      <c r="E11" s="59" t="n">
        <v>139</v>
      </c>
      <c r="F11" s="59" t="n">
        <v>174</v>
      </c>
      <c r="G11" s="59" t="n">
        <v>200</v>
      </c>
      <c r="H11" s="59" t="n">
        <v>213</v>
      </c>
      <c r="I11" s="59" t="n">
        <v>216</v>
      </c>
      <c r="J11" s="59" t="n">
        <v>209</v>
      </c>
      <c r="K11" s="81" t="inlineStr">
        <is>
          <t>NTC-Concreto 2023 (CDMX) · Tabla 3.4.2.1, caso I (§3.4.2, p. 65)</t>
        </is>
      </c>
    </row>
    <row r="12">
      <c r="B12" s="80" t="inlineStr">
        <is>
          <t>BORDE-CORTO|NIC</t>
        </is>
      </c>
      <c r="C12" s="80" t="inlineStr">
        <is>
          <t>De borde — un lado corto discontinuo — negativo en bordes continuos, claro corto</t>
        </is>
      </c>
      <c r="D12" s="59" t="n">
        <v>998</v>
      </c>
      <c r="E12" s="59" t="n">
        <v>1163</v>
      </c>
      <c r="F12" s="59" t="n">
        <v>965</v>
      </c>
      <c r="G12" s="59" t="n">
        <v>785</v>
      </c>
      <c r="H12" s="59" t="n">
        <v>652</v>
      </c>
      <c r="I12" s="59" t="n">
        <v>546</v>
      </c>
      <c r="J12" s="59" t="n">
        <v>460</v>
      </c>
      <c r="K12" s="81" t="inlineStr">
        <is>
          <t>NTC-Concreto 2023 (CDMX) · Tabla 3.4.2.1, caso I (§3.4.2, p. 65)</t>
        </is>
      </c>
    </row>
    <row r="13">
      <c r="B13" s="80" t="inlineStr">
        <is>
          <t>BORDE-CORTO|NIL</t>
        </is>
      </c>
      <c r="C13" s="80" t="inlineStr">
        <is>
          <t>De borde — un lado corto discontinuo — negativo en bordes continuos, claro largo</t>
        </is>
      </c>
      <c r="D13" s="59" t="n">
        <v>516</v>
      </c>
      <c r="E13" s="59" t="n">
        <v>561</v>
      </c>
      <c r="F13" s="59" t="n">
        <v>525</v>
      </c>
      <c r="G13" s="59" t="n">
        <v>498</v>
      </c>
      <c r="H13" s="59" t="n">
        <v>470</v>
      </c>
      <c r="I13" s="59" t="n">
        <v>440</v>
      </c>
      <c r="J13" s="59" t="n">
        <v>421</v>
      </c>
      <c r="K13" s="81" t="inlineStr">
        <is>
          <t>NTC-Concreto 2023 (CDMX) · Tabla 3.4.2.1, caso I (§3.4.2, p. 65)</t>
        </is>
      </c>
    </row>
    <row r="14">
      <c r="B14" s="80" t="inlineStr">
        <is>
          <t>BORDE-CORTO|NDC</t>
        </is>
      </c>
      <c r="C14" s="80" t="inlineStr">
        <is>
          <t>De borde — un lado corto discontinuo — negativo en bordes discontinuos, claro corto</t>
        </is>
      </c>
      <c r="D14" s="59" t="n">
        <v>0</v>
      </c>
      <c r="E14" s="59" t="n">
        <v>0</v>
      </c>
      <c r="F14" s="59" t="n">
        <v>0</v>
      </c>
      <c r="G14" s="59" t="n">
        <v>0</v>
      </c>
      <c r="H14" s="59" t="n">
        <v>0</v>
      </c>
      <c r="I14" s="59" t="n">
        <v>0</v>
      </c>
      <c r="J14" s="59" t="n">
        <v>0</v>
      </c>
      <c r="K14" s="81" t="inlineStr">
        <is>
          <t>NTC-Concreto 2023 (CDMX) · Tabla 3.4.2.1, caso I (§3.4.2, p. 65)</t>
        </is>
      </c>
    </row>
    <row r="15">
      <c r="B15" s="80" t="inlineStr">
        <is>
          <t>BORDE-CORTO|NDL</t>
        </is>
      </c>
      <c r="C15" s="80" t="inlineStr">
        <is>
          <t>De borde — un lado corto discontinuo — negativo en bordes discontinuos, claro largo</t>
        </is>
      </c>
      <c r="D15" s="59" t="n">
        <v>326</v>
      </c>
      <c r="E15" s="59" t="n">
        <v>258</v>
      </c>
      <c r="F15" s="59" t="n">
        <v>248</v>
      </c>
      <c r="G15" s="59" t="n">
        <v>236</v>
      </c>
      <c r="H15" s="59" t="n">
        <v>222</v>
      </c>
      <c r="I15" s="59" t="n">
        <v>206</v>
      </c>
      <c r="J15" s="59" t="n">
        <v>190</v>
      </c>
      <c r="K15" s="81" t="inlineStr">
        <is>
          <t>NTC-Concreto 2023 (CDMX) · Tabla 3.4.2.1, caso I (§3.4.2, p. 65)</t>
        </is>
      </c>
    </row>
    <row r="16">
      <c r="B16" s="80" t="inlineStr">
        <is>
          <t>BORDE-CORTO|PC</t>
        </is>
      </c>
      <c r="C16" s="80" t="inlineStr">
        <is>
          <t>De borde — un lado corto discontinuo — positivo, claro corto</t>
        </is>
      </c>
      <c r="D16" s="59" t="n">
        <v>630</v>
      </c>
      <c r="E16" s="59" t="n">
        <v>329</v>
      </c>
      <c r="F16" s="59" t="n">
        <v>292</v>
      </c>
      <c r="G16" s="59" t="n">
        <v>331</v>
      </c>
      <c r="H16" s="59" t="n">
        <v>311</v>
      </c>
      <c r="I16" s="59" t="n">
        <v>276</v>
      </c>
      <c r="J16" s="59" t="n">
        <v>238</v>
      </c>
      <c r="K16" s="81" t="inlineStr">
        <is>
          <t>NTC-Concreto 2023 (CDMX) · Tabla 3.4.2.1, caso I (§3.4.2, p. 65)</t>
        </is>
      </c>
    </row>
    <row r="17">
      <c r="B17" s="80" t="inlineStr">
        <is>
          <t>BORDE-CORTO|PL</t>
        </is>
      </c>
      <c r="C17" s="80" t="inlineStr">
        <is>
          <t>De borde — un lado corto discontinuo — positivo, claro largo</t>
        </is>
      </c>
      <c r="D17" s="59" t="n">
        <v>179</v>
      </c>
      <c r="E17" s="59" t="n">
        <v>232</v>
      </c>
      <c r="F17" s="59" t="n">
        <v>263</v>
      </c>
      <c r="G17" s="59" t="n">
        <v>266</v>
      </c>
      <c r="H17" s="59" t="n">
        <v>266</v>
      </c>
      <c r="I17" s="59" t="n">
        <v>263</v>
      </c>
      <c r="J17" s="59" t="n">
        <v>286</v>
      </c>
      <c r="K17" s="81" t="inlineStr">
        <is>
          <t>NTC-Concreto 2023 (CDMX) · Tabla 3.4.2.1, caso I (§3.4.2, p. 65)</t>
        </is>
      </c>
    </row>
    <row r="18">
      <c r="B18" s="80" t="inlineStr">
        <is>
          <t>BORDE-LARGO|NIC</t>
        </is>
      </c>
      <c r="C18" s="80" t="inlineStr">
        <is>
          <t>De borde — un lado largo discontinuo — negativo en bordes continuos, claro corto</t>
        </is>
      </c>
      <c r="D18" s="59" t="n">
        <v>1060</v>
      </c>
      <c r="E18" s="59" t="n">
        <v>1292</v>
      </c>
      <c r="F18" s="59" t="n">
        <v>981</v>
      </c>
      <c r="G18" s="59" t="n">
        <v>777</v>
      </c>
      <c r="H18" s="59" t="n">
        <v>628</v>
      </c>
      <c r="I18" s="59" t="n">
        <v>512</v>
      </c>
      <c r="J18" s="59" t="n">
        <v>421</v>
      </c>
      <c r="K18" s="81" t="inlineStr">
        <is>
          <t>NTC-Concreto 2023 (CDMX) · Tabla 3.4.2.1, caso I (§3.4.2, p. 65)</t>
        </is>
      </c>
    </row>
    <row r="19">
      <c r="B19" s="80" t="inlineStr">
        <is>
          <t>BORDE-LARGO|NIL</t>
        </is>
      </c>
      <c r="C19" s="80" t="inlineStr">
        <is>
          <t>De borde — un lado largo discontinuo — negativo en bordes continuos, claro largo</t>
        </is>
      </c>
      <c r="D19" s="59" t="n">
        <v>587</v>
      </c>
      <c r="E19" s="59" t="n">
        <v>566</v>
      </c>
      <c r="F19" s="59" t="n">
        <v>540</v>
      </c>
      <c r="G19" s="59" t="n">
        <v>513</v>
      </c>
      <c r="H19" s="59" t="n">
        <v>482</v>
      </c>
      <c r="I19" s="59" t="n">
        <v>483</v>
      </c>
      <c r="J19" s="59" t="n">
        <v>461</v>
      </c>
      <c r="K19" s="81" t="inlineStr">
        <is>
          <t>NTC-Concreto 2023 (CDMX) · Tabla 3.4.2.1, caso I (§3.4.2, p. 65)</t>
        </is>
      </c>
    </row>
    <row r="20">
      <c r="B20" s="80" t="inlineStr">
        <is>
          <t>BORDE-LARGO|NDC</t>
        </is>
      </c>
      <c r="C20" s="80" t="inlineStr">
        <is>
          <t>De borde — un lado largo discontinuo — negativo en bordes discontinuos, claro corto</t>
        </is>
      </c>
      <c r="D20" s="59" t="n">
        <v>651</v>
      </c>
      <c r="E20" s="59" t="n">
        <v>362</v>
      </c>
      <c r="F20" s="59" t="n">
        <v>321</v>
      </c>
      <c r="G20" s="59" t="n">
        <v>283</v>
      </c>
      <c r="H20" s="59" t="n">
        <v>250</v>
      </c>
      <c r="I20" s="59" t="n">
        <v>219</v>
      </c>
      <c r="J20" s="59" t="n">
        <v>190</v>
      </c>
      <c r="K20" s="81" t="inlineStr">
        <is>
          <t>NTC-Concreto 2023 (CDMX) · Tabla 3.4.2.1, caso I (§3.4.2, p. 65)</t>
        </is>
      </c>
    </row>
    <row r="21">
      <c r="B21" s="80" t="inlineStr">
        <is>
          <t>BORDE-LARGO|NDL</t>
        </is>
      </c>
      <c r="C21" s="80" t="inlineStr">
        <is>
          <t>De borde — un lado largo discontinuo — negativo en bordes discontinuos, claro largo</t>
        </is>
      </c>
      <c r="D21" s="59" t="n">
        <v>0</v>
      </c>
      <c r="E21" s="59" t="n">
        <v>0</v>
      </c>
      <c r="F21" s="59" t="n">
        <v>0</v>
      </c>
      <c r="G21" s="59" t="n">
        <v>0</v>
      </c>
      <c r="H21" s="59" t="n">
        <v>0</v>
      </c>
      <c r="I21" s="59" t="n">
        <v>0</v>
      </c>
      <c r="J21" s="59" t="n">
        <v>0</v>
      </c>
      <c r="K21" s="81" t="inlineStr">
        <is>
          <t>NTC-Concreto 2023 (CDMX) · Tabla 3.4.2.1, caso I (§3.4.2, p. 65)</t>
        </is>
      </c>
    </row>
    <row r="22">
      <c r="B22" s="80" t="inlineStr">
        <is>
          <t>BORDE-LARGO|PC</t>
        </is>
      </c>
      <c r="C22" s="80" t="inlineStr">
        <is>
          <t>De borde — un lado largo discontinuo — positivo, claro corto</t>
        </is>
      </c>
      <c r="D22" s="59" t="n">
        <v>751</v>
      </c>
      <c r="E22" s="59" t="n">
        <v>458</v>
      </c>
      <c r="F22" s="59" t="n">
        <v>433</v>
      </c>
      <c r="G22" s="59" t="n">
        <v>383</v>
      </c>
      <c r="H22" s="59" t="n">
        <v>323</v>
      </c>
      <c r="I22" s="59" t="n">
        <v>293</v>
      </c>
      <c r="J22" s="59" t="n">
        <v>286</v>
      </c>
      <c r="K22" s="81" t="inlineStr">
        <is>
          <t>NTC-Concreto 2023 (CDMX) · Tabla 3.4.2.1, caso I (§3.4.2, p. 65)</t>
        </is>
      </c>
    </row>
    <row r="23">
      <c r="B23" s="80" t="inlineStr">
        <is>
          <t>BORDE-LARGO|PL</t>
        </is>
      </c>
      <c r="C23" s="80" t="inlineStr">
        <is>
          <t>De borde — un lado largo discontinuo — positivo, claro largo</t>
        </is>
      </c>
      <c r="D23" s="59" t="n">
        <v>185</v>
      </c>
      <c r="E23" s="59" t="n">
        <v>217</v>
      </c>
      <c r="F23" s="59" t="n">
        <v>237</v>
      </c>
      <c r="G23" s="59" t="n">
        <v>248</v>
      </c>
      <c r="H23" s="59" t="n">
        <v>250</v>
      </c>
      <c r="I23" s="59" t="n">
        <v>243</v>
      </c>
      <c r="J23" s="59" t="n">
        <v>238</v>
      </c>
      <c r="K23" s="81" t="inlineStr">
        <is>
          <t>NTC-Concreto 2023 (CDMX) · Tabla 3.4.2.1, caso I (§3.4.2, p. 65)</t>
        </is>
      </c>
    </row>
    <row r="24">
      <c r="B24" s="80" t="inlineStr">
        <is>
          <t>ESQUINA|NIC</t>
        </is>
      </c>
      <c r="C24" s="80" t="inlineStr">
        <is>
          <t>De esquina — dos lados adyacentes discontinuos — negativo en bordes continuos, claro corto</t>
        </is>
      </c>
      <c r="D24" s="59" t="n">
        <v>1060</v>
      </c>
      <c r="E24" s="59" t="n">
        <v>1382</v>
      </c>
      <c r="F24" s="59" t="n">
        <v>1046</v>
      </c>
      <c r="G24" s="59" t="n">
        <v>830</v>
      </c>
      <c r="H24" s="59" t="n">
        <v>675</v>
      </c>
      <c r="I24" s="59" t="n">
        <v>557</v>
      </c>
      <c r="J24" s="59" t="n">
        <v>465</v>
      </c>
      <c r="K24" s="81" t="inlineStr">
        <is>
          <t>NTC-Concreto 2023 (CDMX) · Tabla 3.4.2.1, caso I (§3.4.2, p. 65)</t>
        </is>
      </c>
    </row>
    <row r="25">
      <c r="B25" s="80" t="inlineStr">
        <is>
          <t>ESQUINA|NIL</t>
        </is>
      </c>
      <c r="C25" s="80" t="inlineStr">
        <is>
          <t>De esquina — dos lados adyacentes discontinuos — negativo en bordes continuos, claro largo</t>
        </is>
      </c>
      <c r="D25" s="59" t="n">
        <v>600</v>
      </c>
      <c r="E25" s="59" t="n">
        <v>580</v>
      </c>
      <c r="F25" s="59" t="n">
        <v>545</v>
      </c>
      <c r="G25" s="59" t="n">
        <v>516</v>
      </c>
      <c r="H25" s="59" t="n">
        <v>484</v>
      </c>
      <c r="I25" s="59" t="n">
        <v>486</v>
      </c>
      <c r="J25" s="59" t="n">
        <v>465</v>
      </c>
      <c r="K25" s="81" t="inlineStr">
        <is>
          <t>NTC-Concreto 2023 (CDMX) · Tabla 3.4.2.1, caso I (§3.4.2, p. 65)</t>
        </is>
      </c>
    </row>
    <row r="26">
      <c r="B26" s="80" t="inlineStr">
        <is>
          <t>ESQUINA|NDC</t>
        </is>
      </c>
      <c r="C26" s="80" t="inlineStr">
        <is>
          <t>De esquina — dos lados adyacentes discontinuos — negativo en bordes discontinuos, claro corto</t>
        </is>
      </c>
      <c r="D26" s="59" t="n">
        <v>651</v>
      </c>
      <c r="E26" s="59" t="n">
        <v>362</v>
      </c>
      <c r="F26" s="59" t="n">
        <v>321</v>
      </c>
      <c r="G26" s="59" t="n">
        <v>277</v>
      </c>
      <c r="H26" s="59" t="n">
        <v>250</v>
      </c>
      <c r="I26" s="59" t="n">
        <v>219</v>
      </c>
      <c r="J26" s="59" t="n">
        <v>190</v>
      </c>
      <c r="K26" s="81" t="inlineStr">
        <is>
          <t>NTC-Concreto 2023 (CDMX) · Tabla 3.4.2.1, caso I (§3.4.2, p. 65)</t>
        </is>
      </c>
    </row>
    <row r="27">
      <c r="B27" s="80" t="inlineStr">
        <is>
          <t>ESQUINA|NDL</t>
        </is>
      </c>
      <c r="C27" s="80" t="inlineStr">
        <is>
          <t>De esquina — dos lados adyacentes discontinuos — negativo en bordes discontinuos, claro largo</t>
        </is>
      </c>
      <c r="D27" s="59" t="n">
        <v>326</v>
      </c>
      <c r="E27" s="59" t="n">
        <v>333</v>
      </c>
      <c r="F27" s="59" t="n">
        <v>320</v>
      </c>
      <c r="G27" s="59" t="n">
        <v>298</v>
      </c>
      <c r="H27" s="59" t="n">
        <v>270</v>
      </c>
      <c r="I27" s="59" t="n">
        <v>241</v>
      </c>
      <c r="J27" s="59" t="n">
        <v>190</v>
      </c>
      <c r="K27" s="81" t="inlineStr">
        <is>
          <t>NTC-Concreto 2023 (CDMX) · Tabla 3.4.2.1, caso I (§3.4.2, p. 65)</t>
        </is>
      </c>
    </row>
    <row r="28">
      <c r="B28" s="80" t="inlineStr">
        <is>
          <t>ESQUINA|PC</t>
        </is>
      </c>
      <c r="C28" s="80" t="inlineStr">
        <is>
          <t>De esquina — dos lados adyacentes discontinuos — positivo, claro corto</t>
        </is>
      </c>
      <c r="D28" s="59" t="n">
        <v>751</v>
      </c>
      <c r="E28" s="59" t="n">
        <v>452</v>
      </c>
      <c r="F28" s="59" t="n">
        <v>437</v>
      </c>
      <c r="G28" s="59" t="n">
        <v>397</v>
      </c>
      <c r="H28" s="59" t="n">
        <v>338</v>
      </c>
      <c r="I28" s="59" t="n">
        <v>306</v>
      </c>
      <c r="J28" s="59" t="n">
        <v>296</v>
      </c>
      <c r="K28" s="81" t="inlineStr">
        <is>
          <t>NTC-Concreto 2023 (CDMX) · Tabla 3.4.2.1, caso I (§3.4.2, p. 65)</t>
        </is>
      </c>
    </row>
    <row r="29">
      <c r="B29" s="80" t="inlineStr">
        <is>
          <t>ESQUINA|PL</t>
        </is>
      </c>
      <c r="C29" s="80" t="inlineStr">
        <is>
          <t>De esquina — dos lados adyacentes discontinuos — positivo, claro largo</t>
        </is>
      </c>
      <c r="D29" s="59" t="n">
        <v>191</v>
      </c>
      <c r="E29" s="59" t="n">
        <v>298</v>
      </c>
      <c r="F29" s="59" t="n">
        <v>294</v>
      </c>
      <c r="G29" s="59" t="n">
        <v>292</v>
      </c>
      <c r="H29" s="59" t="n">
        <v>288</v>
      </c>
      <c r="I29" s="59" t="n">
        <v>274</v>
      </c>
      <c r="J29" s="59" t="n">
        <v>289</v>
      </c>
      <c r="K29" s="81" t="inlineStr">
        <is>
          <t>NTC-Concreto 2023 (CDMX) · Tabla 3.4.2.1, caso I (§3.4.2, p. 65)</t>
        </is>
      </c>
    </row>
    <row r="30">
      <c r="B30" s="80" t="inlineStr">
        <is>
          <t>EXTREMO-LARGO|NIC</t>
        </is>
      </c>
      <c r="C30" s="80" t="inlineStr">
        <is>
          <t>Extremo — tres bordes discontinuos, un lado largo continuo — negativo en bordes continuos, claro corto</t>
        </is>
      </c>
      <c r="D30" s="59" t="n">
        <v>1060</v>
      </c>
      <c r="E30" s="59" t="n">
        <v>1470</v>
      </c>
      <c r="F30" s="59" t="n">
        <v>1108</v>
      </c>
      <c r="G30" s="59" t="n">
        <v>882</v>
      </c>
      <c r="H30" s="59" t="n">
        <v>730</v>
      </c>
      <c r="I30" s="59" t="n">
        <v>650</v>
      </c>
      <c r="J30" s="59" t="n">
        <v>570</v>
      </c>
      <c r="K30" s="81" t="inlineStr">
        <is>
          <t>NTC-Concreto 2023 (CDMX) · Tabla 3.4.2.1, caso I (§3.4.2, p. 65)</t>
        </is>
      </c>
    </row>
    <row r="31">
      <c r="B31" s="80" t="inlineStr">
        <is>
          <t>EXTREMO-LARGO|NIL</t>
        </is>
      </c>
      <c r="C31" s="80" t="inlineStr">
        <is>
          <t>Extremo — tres bordes discontinuos, un lado largo continuo — negativo en bordes continuos, claro largo</t>
        </is>
      </c>
      <c r="D31" s="59" t="n">
        <v>0</v>
      </c>
      <c r="E31" s="59" t="n">
        <v>0</v>
      </c>
      <c r="F31" s="59" t="n">
        <v>0</v>
      </c>
      <c r="G31" s="59" t="n">
        <v>0</v>
      </c>
      <c r="H31" s="59" t="n">
        <v>0</v>
      </c>
      <c r="I31" s="59" t="n">
        <v>0</v>
      </c>
      <c r="J31" s="59" t="n">
        <v>0</v>
      </c>
      <c r="K31" s="81" t="inlineStr">
        <is>
          <t>NTC-Concreto 2023 (CDMX) · Tabla 3.4.2.1, caso I (§3.4.2, p. 65)</t>
        </is>
      </c>
    </row>
    <row r="32">
      <c r="B32" s="80" t="inlineStr">
        <is>
          <t>EXTREMO-LARGO|NDC</t>
        </is>
      </c>
      <c r="C32" s="80" t="inlineStr">
        <is>
          <t>Extremo — tres bordes discontinuos, un lado largo continuo — negativo en bordes discontinuos, claro corto</t>
        </is>
      </c>
      <c r="D32" s="59" t="n">
        <v>651</v>
      </c>
      <c r="E32" s="59" t="n">
        <v>370</v>
      </c>
      <c r="F32" s="59" t="n">
        <v>340</v>
      </c>
      <c r="G32" s="59" t="n">
        <v>310</v>
      </c>
      <c r="H32" s="59" t="n">
        <v>280</v>
      </c>
      <c r="I32" s="59" t="n">
        <v>250</v>
      </c>
      <c r="J32" s="59" t="n">
        <v>220</v>
      </c>
      <c r="K32" s="81" t="inlineStr">
        <is>
          <t>NTC-Concreto 2023 (CDMX) · Tabla 3.4.2.1, caso I (§3.4.2, p. 65)</t>
        </is>
      </c>
    </row>
    <row r="33">
      <c r="B33" s="80" t="inlineStr">
        <is>
          <t>EXTREMO-LARGO|NDL</t>
        </is>
      </c>
      <c r="C33" s="80" t="inlineStr">
        <is>
          <t>Extremo — tres bordes discontinuos, un lado largo continuo — negativo en bordes discontinuos, claro largo</t>
        </is>
      </c>
      <c r="D33" s="59" t="n">
        <v>220</v>
      </c>
      <c r="E33" s="59" t="n">
        <v>361</v>
      </c>
      <c r="F33" s="59" t="n">
        <v>337</v>
      </c>
      <c r="G33" s="59" t="n">
        <v>310</v>
      </c>
      <c r="H33" s="59" t="n">
        <v>280</v>
      </c>
      <c r="I33" s="59" t="n">
        <v>220</v>
      </c>
      <c r="J33" s="59" t="n">
        <v>220</v>
      </c>
      <c r="K33" s="81" t="inlineStr">
        <is>
          <t>NTC-Concreto 2023 (CDMX) · Tabla 3.4.2.1, caso I (§3.4.2, p. 65)</t>
        </is>
      </c>
    </row>
    <row r="34">
      <c r="B34" s="80" t="inlineStr">
        <is>
          <t>EXTREMO-LARGO|PC</t>
        </is>
      </c>
      <c r="C34" s="80" t="inlineStr">
        <is>
          <t>Extremo — tres bordes discontinuos, un lado largo continuo — positivo, claro corto</t>
        </is>
      </c>
      <c r="D34" s="59" t="n">
        <v>751</v>
      </c>
      <c r="E34" s="59" t="n">
        <v>730</v>
      </c>
      <c r="F34" s="59" t="n">
        <v>670</v>
      </c>
      <c r="G34" s="59" t="n">
        <v>610</v>
      </c>
      <c r="H34" s="59" t="n">
        <v>550</v>
      </c>
      <c r="I34" s="59" t="n">
        <v>490</v>
      </c>
      <c r="J34" s="59" t="n">
        <v>430</v>
      </c>
      <c r="K34" s="81" t="inlineStr">
        <is>
          <t>NTC-Concreto 2023 (CDMX) · Tabla 3.4.2.1, caso I (§3.4.2, p. 65)</t>
        </is>
      </c>
    </row>
    <row r="35">
      <c r="B35" s="80" t="inlineStr">
        <is>
          <t>EXTREMO-LARGO|PL</t>
        </is>
      </c>
      <c r="C35" s="80" t="inlineStr">
        <is>
          <t>Extremo — tres bordes discontinuos, un lado largo continuo — positivo, claro largo</t>
        </is>
      </c>
      <c r="D35" s="59" t="n">
        <v>185</v>
      </c>
      <c r="E35" s="59" t="n">
        <v>430</v>
      </c>
      <c r="F35" s="59" t="n">
        <v>430</v>
      </c>
      <c r="G35" s="59" t="n">
        <v>430</v>
      </c>
      <c r="H35" s="59" t="n">
        <v>430</v>
      </c>
      <c r="I35" s="59" t="n">
        <v>430</v>
      </c>
      <c r="J35" s="59" t="n">
        <v>430</v>
      </c>
      <c r="K35" s="81" t="inlineStr">
        <is>
          <t>NTC-Concreto 2023 (CDMX) · Tabla 3.4.2.1, caso I (§3.4.2, p. 65)</t>
        </is>
      </c>
    </row>
    <row r="36">
      <c r="B36" s="80" t="inlineStr">
        <is>
          <t>EXTREMO-CORTO|NIC</t>
        </is>
      </c>
      <c r="C36" s="80" t="inlineStr">
        <is>
          <t>Extremo — tres bordes discontinuos, un lado corto continuo — negativo en bordes continuos, claro corto</t>
        </is>
      </c>
      <c r="D36" s="59" t="n">
        <v>0</v>
      </c>
      <c r="E36" s="59" t="n">
        <v>0</v>
      </c>
      <c r="F36" s="59" t="n">
        <v>0</v>
      </c>
      <c r="G36" s="59" t="n">
        <v>0</v>
      </c>
      <c r="H36" s="59" t="n">
        <v>0</v>
      </c>
      <c r="I36" s="59" t="n">
        <v>0</v>
      </c>
      <c r="J36" s="59" t="n">
        <v>0</v>
      </c>
      <c r="K36" s="81" t="inlineStr">
        <is>
          <t>NTC-Concreto 2023 (CDMX) · Tabla 3.4.2.1, caso I (§3.4.2, p. 65)</t>
        </is>
      </c>
    </row>
    <row r="37">
      <c r="B37" s="80" t="inlineStr">
        <is>
          <t>EXTREMO-CORTO|NIL</t>
        </is>
      </c>
      <c r="C37" s="80" t="inlineStr">
        <is>
          <t>Extremo — tres bordes discontinuos, un lado corto continuo — negativo en bordes continuos, claro largo</t>
        </is>
      </c>
      <c r="D37" s="59" t="n">
        <v>570</v>
      </c>
      <c r="E37" s="59" t="n">
        <v>570</v>
      </c>
      <c r="F37" s="59" t="n">
        <v>570</v>
      </c>
      <c r="G37" s="59" t="n">
        <v>570</v>
      </c>
      <c r="H37" s="59" t="n">
        <v>570</v>
      </c>
      <c r="I37" s="59" t="n">
        <v>570</v>
      </c>
      <c r="J37" s="59" t="n">
        <v>570</v>
      </c>
      <c r="K37" s="81" t="inlineStr">
        <is>
          <t>NTC-Concreto 2023 (CDMX) · Tabla 3.4.2.1, caso I (§3.4.2, p. 65)</t>
        </is>
      </c>
    </row>
    <row r="38">
      <c r="B38" s="80" t="inlineStr">
        <is>
          <t>EXTREMO-CORTO|NDC</t>
        </is>
      </c>
      <c r="C38" s="80" t="inlineStr">
        <is>
          <t>Extremo — tres bordes discontinuos, un lado corto continuo — negativo en bordes discontinuos, claro corto</t>
        </is>
      </c>
      <c r="D38" s="59" t="n">
        <v>570</v>
      </c>
      <c r="E38" s="59" t="n">
        <v>480</v>
      </c>
      <c r="F38" s="59" t="n">
        <v>420</v>
      </c>
      <c r="G38" s="59" t="n">
        <v>370</v>
      </c>
      <c r="H38" s="59" t="n">
        <v>310</v>
      </c>
      <c r="I38" s="59" t="n">
        <v>270</v>
      </c>
      <c r="J38" s="59" t="n">
        <v>220</v>
      </c>
      <c r="K38" s="81" t="inlineStr">
        <is>
          <t>NTC-Concreto 2023 (CDMX) · Tabla 3.4.2.1, caso I (§3.4.2, p. 65)</t>
        </is>
      </c>
    </row>
    <row r="39">
      <c r="B39" s="80" t="inlineStr">
        <is>
          <t>EXTREMO-CORTO|NDL</t>
        </is>
      </c>
      <c r="C39" s="80" t="inlineStr">
        <is>
          <t>Extremo — tres bordes discontinuos, un lado corto continuo — negativo en bordes discontinuos, claro largo</t>
        </is>
      </c>
      <c r="D39" s="59" t="n">
        <v>330</v>
      </c>
      <c r="E39" s="59" t="n">
        <v>448</v>
      </c>
      <c r="F39" s="59" t="n">
        <v>402</v>
      </c>
      <c r="G39" s="59" t="n">
        <v>220</v>
      </c>
      <c r="H39" s="59" t="n">
        <v>313</v>
      </c>
      <c r="I39" s="59" t="n">
        <v>220</v>
      </c>
      <c r="J39" s="59" t="n">
        <v>220</v>
      </c>
      <c r="K39" s="81" t="inlineStr">
        <is>
          <t>NTC-Concreto 2023 (CDMX) · Tabla 3.4.2.1, caso I (§3.4.2, p. 65)</t>
        </is>
      </c>
    </row>
    <row r="40">
      <c r="B40" s="80" t="inlineStr">
        <is>
          <t>EXTREMO-CORTO|PC</t>
        </is>
      </c>
      <c r="C40" s="80" t="inlineStr">
        <is>
          <t>Extremo — tres bordes discontinuos, un lado corto continuo — positivo, claro corto</t>
        </is>
      </c>
      <c r="D40" s="59" t="n">
        <v>1100</v>
      </c>
      <c r="E40" s="59" t="n">
        <v>960</v>
      </c>
      <c r="F40" s="59" t="n">
        <v>840</v>
      </c>
      <c r="G40" s="59" t="n">
        <v>730</v>
      </c>
      <c r="H40" s="59" t="n">
        <v>620</v>
      </c>
      <c r="I40" s="59" t="n">
        <v>540</v>
      </c>
      <c r="J40" s="59" t="n">
        <v>430</v>
      </c>
      <c r="K40" s="81" t="inlineStr">
        <is>
          <t>NTC-Concreto 2023 (CDMX) · Tabla 3.4.2.1, caso I (§3.4.2, p. 65)</t>
        </is>
      </c>
    </row>
    <row r="41">
      <c r="B41" s="80" t="inlineStr">
        <is>
          <t>EXTREMO-CORTO|PL</t>
        </is>
      </c>
      <c r="C41" s="80" t="inlineStr">
        <is>
          <t>Extremo — tres bordes discontinuos, un lado corto continuo — positivo, claro largo</t>
        </is>
      </c>
      <c r="D41" s="59" t="n">
        <v>200</v>
      </c>
      <c r="E41" s="59" t="n">
        <v>430</v>
      </c>
      <c r="F41" s="59" t="n">
        <v>430</v>
      </c>
      <c r="G41" s="59" t="n">
        <v>430</v>
      </c>
      <c r="H41" s="59" t="n">
        <v>430</v>
      </c>
      <c r="I41" s="59" t="n">
        <v>430</v>
      </c>
      <c r="J41" s="59" t="n">
        <v>430</v>
      </c>
      <c r="K41" s="81" t="inlineStr">
        <is>
          <t>NTC-Concreto 2023 (CDMX) · Tabla 3.4.2.1, caso I (§3.4.2, p. 65)</t>
        </is>
      </c>
    </row>
    <row r="42">
      <c r="B42" s="80" t="inlineStr">
        <is>
          <t>AISLADO|NIC</t>
        </is>
      </c>
      <c r="C42" s="80" t="inlineStr">
        <is>
          <t>Aislado — cuatro lados discontinuos — negativo en bordes continuos, claro corto</t>
        </is>
      </c>
      <c r="D42" s="59" t="n">
        <v>0</v>
      </c>
      <c r="E42" s="59" t="n">
        <v>0</v>
      </c>
      <c r="F42" s="59" t="n">
        <v>0</v>
      </c>
      <c r="G42" s="59" t="n">
        <v>0</v>
      </c>
      <c r="H42" s="59" t="n">
        <v>0</v>
      </c>
      <c r="I42" s="59" t="n">
        <v>0</v>
      </c>
      <c r="J42" s="59" t="n">
        <v>0</v>
      </c>
      <c r="K42" s="81" t="inlineStr">
        <is>
          <t>NTC-Concreto 2023 (CDMX) · Tabla 3.4.2.1, caso I (§3.4.2, p. 65)</t>
        </is>
      </c>
    </row>
    <row r="43">
      <c r="B43" s="80" t="inlineStr">
        <is>
          <t>AISLADO|NIL</t>
        </is>
      </c>
      <c r="C43" s="80" t="inlineStr">
        <is>
          <t>Aislado — cuatro lados discontinuos — negativo en bordes continuos, claro largo</t>
        </is>
      </c>
      <c r="D43" s="59" t="n">
        <v>0</v>
      </c>
      <c r="E43" s="59" t="n">
        <v>0</v>
      </c>
      <c r="F43" s="59" t="n">
        <v>0</v>
      </c>
      <c r="G43" s="59" t="n">
        <v>0</v>
      </c>
      <c r="H43" s="59" t="n">
        <v>0</v>
      </c>
      <c r="I43" s="59" t="n">
        <v>0</v>
      </c>
      <c r="J43" s="59" t="n">
        <v>0</v>
      </c>
      <c r="K43" s="81" t="inlineStr">
        <is>
          <t>NTC-Concreto 2023 (CDMX) · Tabla 3.4.2.1, caso I (§3.4.2, p. 65)</t>
        </is>
      </c>
    </row>
    <row r="44">
      <c r="B44" s="80" t="inlineStr">
        <is>
          <t>AISLADO|NDC</t>
        </is>
      </c>
      <c r="C44" s="80" t="inlineStr">
        <is>
          <t>Aislado — cuatro lados discontinuos — negativo en bordes discontinuos, claro corto</t>
        </is>
      </c>
      <c r="D44" s="59" t="n">
        <v>570</v>
      </c>
      <c r="E44" s="59" t="n">
        <v>550</v>
      </c>
      <c r="F44" s="59" t="n">
        <v>530</v>
      </c>
      <c r="G44" s="59" t="n">
        <v>470</v>
      </c>
      <c r="H44" s="59" t="n">
        <v>430</v>
      </c>
      <c r="I44" s="59" t="n">
        <v>380</v>
      </c>
      <c r="J44" s="59" t="n">
        <v>330</v>
      </c>
      <c r="K44" s="81" t="inlineStr">
        <is>
          <t>NTC-Concreto 2023 (CDMX) · Tabla 3.4.2.1, caso I (§3.4.2, p. 65)</t>
        </is>
      </c>
    </row>
    <row r="45">
      <c r="B45" s="80" t="inlineStr">
        <is>
          <t>AISLADO|NDL</t>
        </is>
      </c>
      <c r="C45" s="80" t="inlineStr">
        <is>
          <t>Aislado — cuatro lados discontinuos — negativo en bordes discontinuos, claro largo</t>
        </is>
      </c>
      <c r="D45" s="59" t="n">
        <v>330</v>
      </c>
      <c r="E45" s="59" t="n">
        <v>446</v>
      </c>
      <c r="F45" s="59" t="n">
        <v>330</v>
      </c>
      <c r="G45" s="59" t="n">
        <v>330</v>
      </c>
      <c r="H45" s="59" t="n">
        <v>330</v>
      </c>
      <c r="I45" s="59" t="n">
        <v>330</v>
      </c>
      <c r="J45" s="59" t="n">
        <v>330</v>
      </c>
      <c r="K45" s="81" t="inlineStr">
        <is>
          <t>NTC-Concreto 2023 (CDMX) · Tabla 3.4.2.1, caso I (§3.4.2, p. 65)</t>
        </is>
      </c>
    </row>
    <row r="46">
      <c r="B46" s="80" t="inlineStr">
        <is>
          <t>AISLADO|PC</t>
        </is>
      </c>
      <c r="C46" s="80" t="inlineStr">
        <is>
          <t>Aislado — cuatro lados discontinuos — positivo, claro corto</t>
        </is>
      </c>
      <c r="D46" s="59" t="n">
        <v>1100</v>
      </c>
      <c r="E46" s="59" t="n">
        <v>830</v>
      </c>
      <c r="F46" s="59" t="n">
        <v>800</v>
      </c>
      <c r="G46" s="59" t="n">
        <v>720</v>
      </c>
      <c r="H46" s="59" t="n">
        <v>640</v>
      </c>
      <c r="I46" s="59" t="n">
        <v>570</v>
      </c>
      <c r="J46" s="59" t="n">
        <v>500</v>
      </c>
      <c r="K46" s="81" t="inlineStr">
        <is>
          <t>NTC-Concreto 2023 (CDMX) · Tabla 3.4.2.1, caso I (§3.4.2, p. 65)</t>
        </is>
      </c>
    </row>
    <row r="47">
      <c r="B47" s="80" t="inlineStr">
        <is>
          <t>AISLADO|PL</t>
        </is>
      </c>
      <c r="C47" s="80" t="inlineStr">
        <is>
          <t>Aislado — cuatro lados discontinuos — positivo, claro largo</t>
        </is>
      </c>
      <c r="D47" s="59" t="n">
        <v>200</v>
      </c>
      <c r="E47" s="59" t="n">
        <v>500</v>
      </c>
      <c r="F47" s="59" t="n">
        <v>500</v>
      </c>
      <c r="G47" s="59" t="n">
        <v>500</v>
      </c>
      <c r="H47" s="59" t="n">
        <v>500</v>
      </c>
      <c r="I47" s="59" t="n">
        <v>500</v>
      </c>
      <c r="J47" s="59" t="n">
        <v>500</v>
      </c>
      <c r="K47" s="81" t="inlineStr">
        <is>
          <t>NTC-Concreto 2023 (CDMX) · Tabla 3.4.2.1, caso I (§3.4.2, p. 65)</t>
        </is>
      </c>
    </row>
    <row r="48" ht="66" customHeight="1">
      <c r="B48" s="9" t="inlineStr">
        <is>
          <t>FUENTE: NTC-Concreto 2023, Tabla 3.4.2.1 «Coeficientes de momentos flexionantes para tableros rectangulares, franjas centrales», columna I (losa colada monolíticamente con sus apoyos), p. 65; copiada sin cambios de la hoja auditada de Casa Rocha (cotejada celda por celda contra la imagen de la tabla). SÓLO ESTÁ EL CASO I: el caso II (losa no colada monolíticamente) no está transcrito y la hoja marca FUERA DE ALCANCE a esos tableros. Renglones en cero = momentos que ese caso no tiene. Para m &lt; 0.5 se interpola entre 0 y 0.5. Se conservan tal como vienen impresas dos rarezas de NDL que parecen erratas (Extremo corto en m = 0.7: 220; Aislado en m = 0.5: 446).</t>
        </is>
      </c>
      <c r="C48" s="10" t="n"/>
      <c r="D48" s="10" t="n"/>
      <c r="E48" s="10" t="n"/>
      <c r="F48" s="10" t="n"/>
      <c r="G48" s="10" t="n"/>
      <c r="H48" s="10" t="n"/>
      <c r="I48" s="10" t="n"/>
      <c r="J48" s="10" t="n"/>
      <c r="K48" s="10" t="n"/>
    </row>
    <row r="50" ht="21" customHeight="1">
      <c r="B50" s="3" t="inlineStr">
        <is>
          <t>B. VARILLA CORRUGADA — ÁREAS, PESOS, DESARROLLO Y TRASLAPES (se recalculan con DATOS)</t>
        </is>
      </c>
    </row>
    <row r="51">
      <c r="B51" s="11" t="inlineStr">
        <is>
          <t>No.</t>
        </is>
      </c>
      <c r="C51" s="11" t="inlineStr">
        <is>
          <t>d_b (cm)</t>
        </is>
      </c>
      <c r="D51" s="11" t="inlineStr">
        <is>
          <t>A_s (cm²)</t>
        </is>
      </c>
      <c r="E51" s="11" t="inlineStr">
        <is>
          <t>kg/m</t>
        </is>
      </c>
      <c r="F51" s="11" t="inlineStr">
        <is>
          <t>L_d (cm)</t>
        </is>
      </c>
      <c r="G51" s="11" t="inlineStr">
        <is>
          <t>L_dh gancho (cm)</t>
        </is>
      </c>
      <c r="H51" s="11" t="inlineStr">
        <is>
          <t>Traslape clase B (cm)</t>
        </is>
      </c>
      <c r="I51" s="11" t="inlineStr">
        <is>
          <t>L_d otros casos (cm)</t>
        </is>
      </c>
      <c r="J51" s="11" t="inlineStr">
        <is>
          <t>Referencia</t>
        </is>
      </c>
      <c r="K51" s="82" t="n"/>
    </row>
    <row r="52">
      <c r="B52" s="64" t="n">
        <v>2</v>
      </c>
      <c r="C52" s="58" t="n">
        <v>0.64</v>
      </c>
      <c r="D52" s="58" t="n">
        <v>0.32</v>
      </c>
      <c r="E52" s="56" t="n">
        <v>0.248</v>
      </c>
      <c r="F52" s="64" t="inlineStr">
        <is>
          <t>no aplica</t>
        </is>
      </c>
      <c r="G52" s="64" t="inlineStr">
        <is>
          <t>no aplica</t>
        </is>
      </c>
      <c r="H52" s="64" t="inlineStr">
        <is>
          <t>no aplica</t>
        </is>
      </c>
      <c r="I52" s="64" t="inlineStr">
        <is>
          <t>no aplica</t>
        </is>
      </c>
      <c r="J52" s="81" t="inlineStr">
        <is>
          <t>Alambrón liso 1/4" (No. 2): no se usa como refuerzo longitudinal</t>
        </is>
      </c>
    </row>
    <row r="53">
      <c r="B53" s="64" t="n">
        <v>2.5</v>
      </c>
      <c r="C53" s="58" t="n">
        <v>0.79</v>
      </c>
      <c r="D53" s="58" t="n">
        <v>0.49</v>
      </c>
      <c r="E53" s="56" t="n">
        <v>0.384</v>
      </c>
      <c r="F53" s="59">
        <f>MAX(DATOS!$C$14/(IF(B53&lt;=6,6.6,5.3)*SQRT(DATOS!$C$13))*C53,30)</f>
        <v>31.7952644740566</v>
      </c>
      <c r="G53" s="59">
        <f>MAX(0.075*DATOS!$C$14/SQRT(DATOS!$C$13)*C53,8*C53,15)</f>
        <v>15.738655914658</v>
      </c>
      <c r="H53" s="59">
        <f>MAX(1.3*F53,30)</f>
        <v>41.3338438162736</v>
      </c>
      <c r="I53" s="59">
        <f>MAX(DATOS!$C$14/(IF(B53&lt;=6,4.4,3.5)*SQRT(DATOS!$C$13))*C53,30)</f>
        <v>47.6928967110849</v>
      </c>
      <c r="J53" s="81" t="inlineStr">
        <is>
          <t>NMX-B-506 · L_d: NTC-Concreto 14.4.2.1 y Tabla 14.4.2.4, pp. 352–353 · L_dh: 14.4.3.1, p. 355 · traslape clase B: Tabla 14.5.2.1, p. 367</t>
        </is>
      </c>
    </row>
    <row r="54">
      <c r="B54" s="64" t="n">
        <v>3</v>
      </c>
      <c r="C54" s="58" t="n">
        <v>0.95</v>
      </c>
      <c r="D54" s="58" t="n">
        <v>0.71</v>
      </c>
      <c r="E54" s="56" t="n">
        <v>0.5590000000000001</v>
      </c>
      <c r="F54" s="59">
        <f>MAX(DATOS!$C$14/(IF(B54&lt;=6,6.6,5.3)*SQRT(DATOS!$C$13))*C54,30)</f>
        <v>38.2348117093086</v>
      </c>
      <c r="G54" s="59">
        <f>MAX(0.075*DATOS!$C$14/SQRT(DATOS!$C$13)*C54,8*C54,15)</f>
        <v>18.9262317961078</v>
      </c>
      <c r="H54" s="59">
        <f>MAX(1.3*F54,30)</f>
        <v>49.7052552221012</v>
      </c>
      <c r="I54" s="59">
        <f>MAX(DATOS!$C$14/(IF(B54&lt;=6,4.4,3.5)*SQRT(DATOS!$C$13))*C54,30)</f>
        <v>57.3522175639629</v>
      </c>
      <c r="J54" s="81" t="inlineStr">
        <is>
          <t>NMX-B-506 · L_d: NTC-Concreto 14.4.2.1 y Tabla 14.4.2.4, pp. 352–353 · L_dh: 14.4.3.1, p. 355 · traslape clase B: Tabla 14.5.2.1, p. 367</t>
        </is>
      </c>
    </row>
    <row r="55">
      <c r="B55" s="64" t="n">
        <v>4</v>
      </c>
      <c r="C55" s="58" t="n">
        <v>1.27</v>
      </c>
      <c r="D55" s="58" t="n">
        <v>1.27</v>
      </c>
      <c r="E55" s="56" t="n">
        <v>0.994</v>
      </c>
      <c r="F55" s="59">
        <f>MAX(DATOS!$C$14/(IF(B55&lt;=6,6.6,5.3)*SQRT(DATOS!$C$13))*C55,30)</f>
        <v>51.1139061798125</v>
      </c>
      <c r="G55" s="59">
        <f>MAX(0.075*DATOS!$C$14/SQRT(DATOS!$C$13)*C55,8*C55,15)</f>
        <v>25.3013835590072</v>
      </c>
      <c r="H55" s="59">
        <f>MAX(1.3*F55,30)</f>
        <v>66.4480780337563</v>
      </c>
      <c r="I55" s="59">
        <f>MAX(DATOS!$C$14/(IF(B55&lt;=6,4.4,3.5)*SQRT(DATOS!$C$13))*C55,30)</f>
        <v>76.6708592697188</v>
      </c>
      <c r="J55" s="81" t="inlineStr">
        <is>
          <t>NMX-B-506 · L_d: NTC-Concreto 14.4.2.1 y Tabla 14.4.2.4, pp. 352–353 · L_dh: 14.4.3.1, p. 355 · traslape clase B: Tabla 14.5.2.1, p. 367</t>
        </is>
      </c>
    </row>
    <row r="56">
      <c r="B56" s="64" t="n">
        <v>5</v>
      </c>
      <c r="C56" s="58" t="n">
        <v>1.59</v>
      </c>
      <c r="D56" s="58" t="n">
        <v>1.98</v>
      </c>
      <c r="E56" s="56" t="n">
        <v>1.552</v>
      </c>
      <c r="F56" s="59">
        <f>MAX(DATOS!$C$14/(IF(B56&lt;=6,6.6,5.3)*SQRT(DATOS!$C$13))*C56,30)</f>
        <v>63.9930006503165</v>
      </c>
      <c r="G56" s="59">
        <f>MAX(0.075*DATOS!$C$14/SQRT(DATOS!$C$13)*C56,8*C56,15)</f>
        <v>31.6765353219067</v>
      </c>
      <c r="H56" s="59">
        <f>MAX(1.3*F56,30)</f>
        <v>83.1909008454114</v>
      </c>
      <c r="I56" s="59">
        <f>MAX(DATOS!$C$14/(IF(B56&lt;=6,4.4,3.5)*SQRT(DATOS!$C$13))*C56,30)</f>
        <v>95.9895009754747</v>
      </c>
      <c r="J56" s="81" t="inlineStr">
        <is>
          <t>NMX-B-506 · L_d: NTC-Concreto 14.4.2.1 y Tabla 14.4.2.4, pp. 352–353 · L_dh: 14.4.3.1, p. 355 · traslape clase B: Tabla 14.5.2.1, p. 367</t>
        </is>
      </c>
    </row>
    <row r="57">
      <c r="B57" s="64" t="n">
        <v>6</v>
      </c>
      <c r="C57" s="58" t="n">
        <v>1.91</v>
      </c>
      <c r="D57" s="58" t="n">
        <v>2.85</v>
      </c>
      <c r="E57" s="56" t="n">
        <v>2.235</v>
      </c>
      <c r="F57" s="59">
        <f>MAX(DATOS!$C$14/(IF(B57&lt;=6,6.6,5.3)*SQRT(DATOS!$C$13))*C57,30)</f>
        <v>76.8720951208204</v>
      </c>
      <c r="G57" s="59">
        <f>MAX(0.075*DATOS!$C$14/SQRT(DATOS!$C$13)*C57,8*C57,15)</f>
        <v>38.0516870848061</v>
      </c>
      <c r="H57" s="59">
        <f>MAX(1.3*F57,30)</f>
        <v>99.9337236570666</v>
      </c>
      <c r="I57" s="59">
        <f>MAX(DATOS!$C$14/(IF(B57&lt;=6,4.4,3.5)*SQRT(DATOS!$C$13))*C57,30)</f>
        <v>115.308142681231</v>
      </c>
      <c r="J57" s="81" t="inlineStr">
        <is>
          <t>NMX-B-506 · L_d: NTC-Concreto 14.4.2.1 y Tabla 14.4.2.4, pp. 352–353 · L_dh: 14.4.3.1, p. 355 · traslape clase B: Tabla 14.5.2.1, p. 367</t>
        </is>
      </c>
    </row>
    <row r="58">
      <c r="B58" s="64" t="n">
        <v>8</v>
      </c>
      <c r="C58" s="58" t="n">
        <v>2.54</v>
      </c>
      <c r="D58" s="58" t="n">
        <v>5.07</v>
      </c>
      <c r="E58" s="56" t="n">
        <v>3.973</v>
      </c>
      <c r="F58" s="59">
        <f>MAX(DATOS!$C$14/(IF(B58&lt;=6,6.6,5.3)*SQRT(DATOS!$C$13))*C58,30)</f>
        <v>127.302558787458</v>
      </c>
      <c r="G58" s="59">
        <f>MAX(0.075*DATOS!$C$14/SQRT(DATOS!$C$13)*C58,8*C58,15)</f>
        <v>50.6027671180144</v>
      </c>
      <c r="H58" s="59">
        <f>MAX(1.3*F58,30)</f>
        <v>165.493326423695</v>
      </c>
      <c r="I58" s="59">
        <f>MAX(DATOS!$C$14/(IF(B58&lt;=6,4.4,3.5)*SQRT(DATOS!$C$13))*C58,30)</f>
        <v>192.772446163864</v>
      </c>
      <c r="J58" s="81" t="inlineStr">
        <is>
          <t>NMX-B-506 · L_d: NTC-Concreto 14.4.2.1 y Tabla 14.4.2.4, pp. 352–353 · L_dh: 14.4.3.1, p. 355 · traslape clase B: Tabla 14.5.2.1, p. 367</t>
        </is>
      </c>
    </row>
    <row r="59" ht="42" customHeight="1">
      <c r="B59" s="24" t="inlineStr">
        <is>
          <t>L_d (Tabla 14.4.2.4, p. 353) con separación libre ≥ 2d_b y recubrimiento ≥ d_b: fy·d_b/(6.6·√f'c) hasta No. 6 y fy·d_b/(5.3·√f'c) de No. 7 en adelante, ≥ 30 cm. «Otros casos» (separación libre &lt; 2d_b o recubrimiento &lt; d_b): fy·d_b/(4.4·√f'c) y fy·d_b/(3.5·√f'c). L_dh = el mayor de 0.075·fy·d_b/√f'c, 8d_b y 15 cm; gancho de 90° con extensión de 12d_b (14.4.3.1, p. 355; Tabla 14.3.1, p. 349).</t>
        </is>
      </c>
      <c r="C59" s="25" t="n"/>
      <c r="D59" s="25" t="n"/>
      <c r="E59" s="25" t="n"/>
      <c r="F59" s="25" t="n"/>
      <c r="G59" s="25" t="n"/>
      <c r="H59" s="25" t="n"/>
      <c r="I59" s="25" t="n"/>
      <c r="J59" s="25" t="n"/>
      <c r="K59" s="25" t="n"/>
    </row>
    <row r="61" ht="21" customHeight="1">
      <c r="B61" s="3" t="inlineStr">
        <is>
          <t>C. MALLA ELECTROSOLDADA (separación 15.24 cm en las dos direcciones)</t>
        </is>
      </c>
    </row>
    <row r="62">
      <c r="B62" s="11" t="inlineStr">
        <is>
          <t>Malla</t>
        </is>
      </c>
      <c r="C62" s="11" t="inlineStr">
        <is>
          <t>Ø alambre (mm)</t>
        </is>
      </c>
      <c r="D62" s="11" t="inlineStr">
        <is>
          <t>As (cm²/m)</t>
        </is>
      </c>
      <c r="E62" s="11" t="inlineStr">
        <is>
          <t>kg/m²</t>
        </is>
      </c>
      <c r="F62" s="11" t="inlineStr">
        <is>
          <t>Referencia</t>
        </is>
      </c>
      <c r="G62" s="83" t="n"/>
      <c r="H62" s="83" t="n"/>
      <c r="I62" s="83" t="n"/>
      <c r="J62" s="83" t="n"/>
      <c r="K62" s="82" t="n"/>
    </row>
    <row r="63">
      <c r="B63" s="64" t="inlineStr">
        <is>
          <t>6x6-10/10</t>
        </is>
      </c>
      <c r="C63" s="58" t="n">
        <v>3.43</v>
      </c>
      <c r="D63" s="56">
        <f>PI()*(C63/10)^2/4*100/15.24</f>
        <v>0.606307798724058</v>
      </c>
      <c r="E63" s="58">
        <f>2*PI()*(C63/1000)^2/4*7850/0.1524</f>
        <v>0.951903243996771</v>
      </c>
      <c r="F63" s="81" t="inlineStr">
        <is>
          <t>Calibre de alambre y separación de 6" = 15.24 cm · NMX-B-290 · NTC-Concreto 2.4.2.1.6.3, p. 44 y 6.8.7.3, p. 196 · traslape ≥ un cuadro + 5 cm (14.5.4.1, p. 369)</t>
        </is>
      </c>
    </row>
    <row r="64">
      <c r="B64" s="64" t="inlineStr">
        <is>
          <t>6x6-8/8</t>
        </is>
      </c>
      <c r="C64" s="58" t="n">
        <v>4.11</v>
      </c>
      <c r="D64" s="56">
        <f>PI()*(C64/10)^2/4*100/15.24</f>
        <v>0.870539653275987</v>
      </c>
      <c r="E64" s="58">
        <f>2*PI()*(C64/1000)^2/4*7850/0.1524</f>
        <v>1.3667472556433</v>
      </c>
      <c r="F64" s="81" t="inlineStr">
        <is>
          <t>Calibre de alambre y separación de 6" = 15.24 cm · NMX-B-290 · NTC-Concreto 2.4.2.1.6.3, p. 44 y 6.8.7.3, p. 196 · traslape ≥ un cuadro + 5 cm (14.5.4.1, p. 369)</t>
        </is>
      </c>
    </row>
    <row r="65">
      <c r="B65" s="64" t="inlineStr">
        <is>
          <t>6x6-6/6</t>
        </is>
      </c>
      <c r="C65" s="58" t="n">
        <v>4.88</v>
      </c>
      <c r="D65" s="56">
        <f>PI()*(C65/10)^2/4*100/15.24</f>
        <v>1.22728254740237</v>
      </c>
      <c r="E65" s="58">
        <f>2*PI()*(C65/1000)^2/4*7850/0.1524</f>
        <v>1.92683359942173</v>
      </c>
      <c r="F65" s="81" t="inlineStr">
        <is>
          <t>Calibre de alambre y separación de 6" = 15.24 cm · NMX-B-290 · NTC-Concreto 2.4.2.1.6.3, p. 44 y 6.8.7.3, p. 196 · traslape ≥ un cuadro + 5 cm (14.5.4.1, p. 369)</t>
        </is>
      </c>
    </row>
    <row r="66">
      <c r="B66" s="64" t="inlineStr">
        <is>
          <t>6x6-4/4</t>
        </is>
      </c>
      <c r="C66" s="58" t="n">
        <v>5.72</v>
      </c>
      <c r="D66" s="56">
        <f>PI()*(C66/10)^2/4*100/15.24</f>
        <v>1.68615297042671</v>
      </c>
      <c r="E66" s="58">
        <f>2*PI()*(C66/1000)^2/4*7850/0.1524</f>
        <v>2.64726016356994</v>
      </c>
      <c r="F66" s="81" t="inlineStr">
        <is>
          <t>Calibre de alambre y separación de 6" = 15.24 cm · NMX-B-290 · NTC-Concreto 2.4.2.1.6.3, p. 44 y 6.8.7.3, p. 196 · traslape ≥ un cuadro + 5 cm (14.5.4.1, p. 369)</t>
        </is>
      </c>
    </row>
    <row r="70" ht="21" customHeight="1">
      <c r="B70" s="3" t="inlineStr">
        <is>
          <t>D. LISTAS DE LOS SELECTORES</t>
        </is>
      </c>
    </row>
    <row r="71">
      <c r="B71" s="11" t="inlineStr">
        <is>
          <t>Forzar caso</t>
        </is>
      </c>
      <c r="C71" s="11" t="inlineStr">
        <is>
          <t>Tipo de tablero</t>
        </is>
      </c>
      <c r="D71" s="11" t="inlineStr">
        <is>
          <t>Borde</t>
        </is>
      </c>
      <c r="E71" s="11" t="inlineStr">
        <is>
          <t>Colado</t>
        </is>
      </c>
      <c r="F71" s="11" t="inlineStr">
        <is>
          <t>Sí / no</t>
        </is>
      </c>
      <c r="G71" s="11" t="inlineStr">
        <is>
          <t>Agregado grueso</t>
        </is>
      </c>
    </row>
    <row r="72">
      <c r="B72" s="6" t="inlineStr">
        <is>
          <t>AUTO</t>
        </is>
      </c>
      <c r="C72" s="6" t="inlineStr">
        <is>
          <t>PERIMETRAL</t>
        </is>
      </c>
      <c r="D72" s="6" t="inlineStr">
        <is>
          <t>CONTINUO</t>
        </is>
      </c>
      <c r="E72" s="6" t="inlineStr">
        <is>
          <t>MONOLÍTICO (caso I)</t>
        </is>
      </c>
      <c r="F72" s="6" t="inlineStr">
        <is>
          <t>SÍ</t>
        </is>
      </c>
      <c r="G72" s="6" t="inlineStr">
        <is>
          <t>CALIZO</t>
        </is>
      </c>
    </row>
    <row r="73">
      <c r="B73" s="6" t="inlineStr">
        <is>
          <t>INTERIOR</t>
        </is>
      </c>
      <c r="C73" s="6" t="inlineStr">
        <is>
          <t>VOLADO</t>
        </is>
      </c>
      <c r="D73" s="6" t="inlineStr">
        <is>
          <t>DISCONTINUO</t>
        </is>
      </c>
      <c r="E73" s="6" t="inlineStr">
        <is>
          <t>NO MONOLÍTICO (caso II)</t>
        </is>
      </c>
      <c r="F73" s="6" t="inlineStr">
        <is>
          <t>NO</t>
        </is>
      </c>
      <c r="G73" s="6" t="inlineStr">
        <is>
          <t>BASALTO</t>
        </is>
      </c>
    </row>
    <row r="74">
      <c r="B74" s="6" t="inlineStr">
        <is>
          <t>BORDE-CORTO</t>
        </is>
      </c>
    </row>
    <row r="75">
      <c r="B75" s="6" t="inlineStr">
        <is>
          <t>BORDE-LARGO</t>
        </is>
      </c>
    </row>
    <row r="76">
      <c r="B76" s="6" t="inlineStr">
        <is>
          <t>ESQUINA</t>
        </is>
      </c>
    </row>
    <row r="77">
      <c r="B77" s="6" t="inlineStr">
        <is>
          <t>EXTREMO-LARGO</t>
        </is>
      </c>
    </row>
    <row r="78">
      <c r="B78" s="6" t="inlineStr">
        <is>
          <t>EXTREMO-CORTO</t>
        </is>
      </c>
    </row>
    <row r="79">
      <c r="B79" s="6" t="inlineStr">
        <is>
          <t>AISLADO</t>
        </is>
      </c>
    </row>
    <row r="84" ht="21" customHeight="1">
      <c r="B84" s="3" t="inlineStr">
        <is>
          <t>E. LISTA DE TABLEROS PARA DETALLE Y CROQUIS (la arma el libro: N = nervada, M = maciza)</t>
        </is>
      </c>
    </row>
    <row r="85">
      <c r="B85" s="11" t="inlineStr">
        <is>
          <t>k</t>
        </is>
      </c>
      <c r="C85" s="11" t="inlineStr">
        <is>
          <t>Tablero (para el selector)</t>
        </is>
      </c>
    </row>
    <row r="86">
      <c r="B86" s="59" t="n">
        <v>1</v>
      </c>
      <c r="C86" s="6" t="str">
        <f>IF($B86&lt;=MAX(NERVADAS!$A$9:$A$48),"N · "&amp;INDEX(NERVADAS!$B$9:$B$48,MATCH($B86,NERVADAS!$A$9:$A$48,0)),IF($B86-MAX(NERVADAS!$A$9:$A$48)&lt;=MAX(MACIZAS!$A$9:$A$48),"M · "&amp;INDEX(MACIZAS!$B$9:$B$48,MATCH($B86-MAX(NERVADAS!$A$9:$A$48),MACIZAS!$A$9:$A$48,0)),""))</f>
        <v>N · EJEMPLO F80014 (interior)</v>
      </c>
    </row>
    <row r="87">
      <c r="B87" s="59" t="n">
        <v>2</v>
      </c>
      <c r="C87" s="6" t="str">
        <f>IF($B87&lt;=MAX(NERVADAS!$A$9:$A$48),"N · "&amp;INDEX(NERVADAS!$B$9:$B$48,MATCH($B87,NERVADAS!$A$9:$A$48,0)),IF($B87-MAX(NERVADAS!$A$9:$A$48)&lt;=MAX(MACIZAS!$A$9:$A$48),"M · "&amp;INDEX(MACIZAS!$B$9:$B$48,MATCH($B87-MAX(NERVADAS!$A$9:$A$48),MACIZAS!$A$9:$A$48,0)),""))</f>
        <v>N · EJEMPLO F80016 (de borde)</v>
      </c>
    </row>
    <row r="88">
      <c r="B88" s="59" t="n">
        <v>3</v>
      </c>
      <c r="C88" s="6" t="str">
        <f>IF($B88&lt;=MAX(NERVADAS!$A$9:$A$48),"N · "&amp;INDEX(NERVADAS!$B$9:$B$48,MATCH($B88,NERVADAS!$A$9:$A$48,0)),IF($B88-MAX(NERVADAS!$A$9:$A$48)&lt;=MAX(MACIZAS!$A$9:$A$48),"M · "&amp;INDEX(MACIZAS!$B$9:$B$48,MATCH($B88-MAX(NERVADAS!$A$9:$A$48),MACIZAS!$A$9:$A$48,0)),""))</f>
        <v>N · EJEMPLO F80024 (esquina, azotea)</v>
      </c>
    </row>
    <row r="89">
      <c r="B89" s="59" t="n">
        <v>4</v>
      </c>
      <c r="C89" s="6" t="str">
        <f>IF($B89&lt;=MAX(NERVADAS!$A$9:$A$48),"N · "&amp;INDEX(NERVADAS!$B$9:$B$48,MATCH($B89,NERVADAS!$A$9:$A$48,0)),IF($B89-MAX(NERVADAS!$A$9:$A$48)&lt;=MAX(MACIZAS!$A$9:$A$48),"M · "&amp;INDEX(MACIZAS!$B$9:$B$48,MATCH($B89-MAX(NERVADAS!$A$9:$A$48),MACIZAS!$A$9:$A$48,0)),""))</f>
        <v>N · EJEMPLO F80012 (volado)</v>
      </c>
    </row>
    <row r="90">
      <c r="B90" s="59" t="n">
        <v>5</v>
      </c>
      <c r="C90" s="6" t="str">
        <f>IF($B90&lt;=MAX(NERVADAS!$A$9:$A$48),"N · "&amp;INDEX(NERVADAS!$B$9:$B$48,MATCH($B90,NERVADAS!$A$9:$A$48,0)),IF($B90-MAX(NERVADAS!$A$9:$A$48)&lt;=MAX(MACIZAS!$A$9:$A$48),"M · "&amp;INDEX(MACIZAS!$B$9:$B$48,MATCH($B90-MAX(NERVADAS!$A$9:$A$48),MACIZAS!$A$9:$A$48,0)),""))</f>
        <v>M · EJEMPLO M-1 (interior 3.0 × 4.0)</v>
      </c>
    </row>
    <row r="91">
      <c r="B91" s="59" t="n">
        <v>6</v>
      </c>
      <c r="C91" s="6" t="str">
        <f>IF($B91&lt;=MAX(NERVADAS!$A$9:$A$48),"N · "&amp;INDEX(NERVADAS!$B$9:$B$48,MATCH($B91,NERVADAS!$A$9:$A$48,0)),IF($B91-MAX(NERVADAS!$A$9:$A$48)&lt;=MAX(MACIZAS!$A$9:$A$48),"M · "&amp;INDEX(MACIZAS!$B$9:$B$48,MATCH($B91-MAX(NERVADAS!$A$9:$A$48),MACIZAS!$A$9:$A$48,0)),""))</f>
        <v>M · EJEMPLO M-2 (esquina 2.0 × 3.4)</v>
      </c>
    </row>
    <row r="92">
      <c r="B92" s="59" t="n">
        <v>7</v>
      </c>
      <c r="C92" s="6" t="str">
        <f>IF($B92&lt;=MAX(NERVADAS!$A$9:$A$48),"N · "&amp;INDEX(NERVADAS!$B$9:$B$48,MATCH($B92,NERVADAS!$A$9:$A$48,0)),IF($B92-MAX(NERVADAS!$A$9:$A$48)&lt;=MAX(MACIZAS!$A$9:$A$48),"M · "&amp;INDEX(MACIZAS!$B$9:$B$48,MATCH($B92-MAX(NERVADAS!$A$9:$A$48),MACIZAS!$A$9:$A$48,0)),""))</f>
        <v>M · EJEMPLO M-3 (volado 1.2 m)</v>
      </c>
    </row>
    <row r="93">
      <c r="B93" s="59" t="n">
        <v>8</v>
      </c>
      <c r="C93" s="6" t="str">
        <f>IF($B93&lt;=MAX(NERVADAS!$A$9:$A$48),"N · "&amp;INDEX(NERVADAS!$B$9:$B$48,MATCH($B93,NERVADAS!$A$9:$A$48,0)),IF($B93-MAX(NERVADAS!$A$9:$A$48)&lt;=MAX(MACIZAS!$A$9:$A$48),"M · "&amp;INDEX(MACIZAS!$B$9:$B$48,MATCH($B93-MAX(NERVADAS!$A$9:$A$48),MACIZAS!$A$9:$A$48,0)),""))</f>
        <v/>
      </c>
    </row>
    <row r="94">
      <c r="B94" s="59" t="n">
        <v>9</v>
      </c>
      <c r="C94" s="6" t="str">
        <f>IF($B94&lt;=MAX(NERVADAS!$A$9:$A$48),"N · "&amp;INDEX(NERVADAS!$B$9:$B$48,MATCH($B94,NERVADAS!$A$9:$A$48,0)),IF($B94-MAX(NERVADAS!$A$9:$A$48)&lt;=MAX(MACIZAS!$A$9:$A$48),"M · "&amp;INDEX(MACIZAS!$B$9:$B$48,MATCH($B94-MAX(NERVADAS!$A$9:$A$48),MACIZAS!$A$9:$A$48,0)),""))</f>
        <v/>
      </c>
    </row>
    <row r="95">
      <c r="B95" s="59" t="n">
        <v>10</v>
      </c>
      <c r="C95" s="6" t="str">
        <f>IF($B95&lt;=MAX(NERVADAS!$A$9:$A$48),"N · "&amp;INDEX(NERVADAS!$B$9:$B$48,MATCH($B95,NERVADAS!$A$9:$A$48,0)),IF($B95-MAX(NERVADAS!$A$9:$A$48)&lt;=MAX(MACIZAS!$A$9:$A$48),"M · "&amp;INDEX(MACIZAS!$B$9:$B$48,MATCH($B95-MAX(NERVADAS!$A$9:$A$48),MACIZAS!$A$9:$A$48,0)),""))</f>
        <v/>
      </c>
    </row>
    <row r="96">
      <c r="B96" s="59" t="n">
        <v>11</v>
      </c>
      <c r="C96" s="6" t="str">
        <f>IF($B96&lt;=MAX(NERVADAS!$A$9:$A$48),"N · "&amp;INDEX(NERVADAS!$B$9:$B$48,MATCH($B96,NERVADAS!$A$9:$A$48,0)),IF($B96-MAX(NERVADAS!$A$9:$A$48)&lt;=MAX(MACIZAS!$A$9:$A$48),"M · "&amp;INDEX(MACIZAS!$B$9:$B$48,MATCH($B96-MAX(NERVADAS!$A$9:$A$48),MACIZAS!$A$9:$A$48,0)),""))</f>
        <v/>
      </c>
    </row>
    <row r="97">
      <c r="B97" s="59" t="n">
        <v>12</v>
      </c>
      <c r="C97" s="6" t="str">
        <f>IF($B97&lt;=MAX(NERVADAS!$A$9:$A$48),"N · "&amp;INDEX(NERVADAS!$B$9:$B$48,MATCH($B97,NERVADAS!$A$9:$A$48,0)),IF($B97-MAX(NERVADAS!$A$9:$A$48)&lt;=MAX(MACIZAS!$A$9:$A$48),"M · "&amp;INDEX(MACIZAS!$B$9:$B$48,MATCH($B97-MAX(NERVADAS!$A$9:$A$48),MACIZAS!$A$9:$A$48,0)),""))</f>
        <v/>
      </c>
    </row>
    <row r="98">
      <c r="B98" s="59" t="n">
        <v>13</v>
      </c>
      <c r="C98" s="6" t="str">
        <f>IF($B98&lt;=MAX(NERVADAS!$A$9:$A$48),"N · "&amp;INDEX(NERVADAS!$B$9:$B$48,MATCH($B98,NERVADAS!$A$9:$A$48,0)),IF($B98-MAX(NERVADAS!$A$9:$A$48)&lt;=MAX(MACIZAS!$A$9:$A$48),"M · "&amp;INDEX(MACIZAS!$B$9:$B$48,MATCH($B98-MAX(NERVADAS!$A$9:$A$48),MACIZAS!$A$9:$A$48,0)),""))</f>
        <v/>
      </c>
    </row>
    <row r="99">
      <c r="B99" s="59" t="n">
        <v>14</v>
      </c>
      <c r="C99" s="6" t="str">
        <f>IF($B99&lt;=MAX(NERVADAS!$A$9:$A$48),"N · "&amp;INDEX(NERVADAS!$B$9:$B$48,MATCH($B99,NERVADAS!$A$9:$A$48,0)),IF($B99-MAX(NERVADAS!$A$9:$A$48)&lt;=MAX(MACIZAS!$A$9:$A$48),"M · "&amp;INDEX(MACIZAS!$B$9:$B$48,MATCH($B99-MAX(NERVADAS!$A$9:$A$48),MACIZAS!$A$9:$A$48,0)),""))</f>
        <v/>
      </c>
    </row>
    <row r="100">
      <c r="B100" s="59" t="n">
        <v>15</v>
      </c>
      <c r="C100" s="6" t="str">
        <f>IF($B100&lt;=MAX(NERVADAS!$A$9:$A$48),"N · "&amp;INDEX(NERVADAS!$B$9:$B$48,MATCH($B100,NERVADAS!$A$9:$A$48,0)),IF($B100-MAX(NERVADAS!$A$9:$A$48)&lt;=MAX(MACIZAS!$A$9:$A$48),"M · "&amp;INDEX(MACIZAS!$B$9:$B$48,MATCH($B100-MAX(NERVADAS!$A$9:$A$48),MACIZAS!$A$9:$A$48,0)),""))</f>
        <v/>
      </c>
    </row>
    <row r="101">
      <c r="B101" s="59" t="n">
        <v>16</v>
      </c>
      <c r="C101" s="6" t="str">
        <f>IF($B101&lt;=MAX(NERVADAS!$A$9:$A$48),"N · "&amp;INDEX(NERVADAS!$B$9:$B$48,MATCH($B101,NERVADAS!$A$9:$A$48,0)),IF($B101-MAX(NERVADAS!$A$9:$A$48)&lt;=MAX(MACIZAS!$A$9:$A$48),"M · "&amp;INDEX(MACIZAS!$B$9:$B$48,MATCH($B101-MAX(NERVADAS!$A$9:$A$48),MACIZAS!$A$9:$A$48,0)),""))</f>
        <v/>
      </c>
    </row>
    <row r="102">
      <c r="B102" s="59" t="n">
        <v>17</v>
      </c>
      <c r="C102" s="6" t="str">
        <f>IF($B102&lt;=MAX(NERVADAS!$A$9:$A$48),"N · "&amp;INDEX(NERVADAS!$B$9:$B$48,MATCH($B102,NERVADAS!$A$9:$A$48,0)),IF($B102-MAX(NERVADAS!$A$9:$A$48)&lt;=MAX(MACIZAS!$A$9:$A$48),"M · "&amp;INDEX(MACIZAS!$B$9:$B$48,MATCH($B102-MAX(NERVADAS!$A$9:$A$48),MACIZAS!$A$9:$A$48,0)),""))</f>
        <v/>
      </c>
    </row>
    <row r="103">
      <c r="B103" s="59" t="n">
        <v>18</v>
      </c>
      <c r="C103" s="6" t="str">
        <f>IF($B103&lt;=MAX(NERVADAS!$A$9:$A$48),"N · "&amp;INDEX(NERVADAS!$B$9:$B$48,MATCH($B103,NERVADAS!$A$9:$A$48,0)),IF($B103-MAX(NERVADAS!$A$9:$A$48)&lt;=MAX(MACIZAS!$A$9:$A$48),"M · "&amp;INDEX(MACIZAS!$B$9:$B$48,MATCH($B103-MAX(NERVADAS!$A$9:$A$48),MACIZAS!$A$9:$A$48,0)),""))</f>
        <v/>
      </c>
    </row>
    <row r="104">
      <c r="B104" s="59" t="n">
        <v>19</v>
      </c>
      <c r="C104" s="6" t="str">
        <f>IF($B104&lt;=MAX(NERVADAS!$A$9:$A$48),"N · "&amp;INDEX(NERVADAS!$B$9:$B$48,MATCH($B104,NERVADAS!$A$9:$A$48,0)),IF($B104-MAX(NERVADAS!$A$9:$A$48)&lt;=MAX(MACIZAS!$A$9:$A$48),"M · "&amp;INDEX(MACIZAS!$B$9:$B$48,MATCH($B104-MAX(NERVADAS!$A$9:$A$48),MACIZAS!$A$9:$A$48,0)),""))</f>
        <v/>
      </c>
    </row>
    <row r="105">
      <c r="B105" s="59" t="n">
        <v>20</v>
      </c>
      <c r="C105" s="6" t="str">
        <f>IF($B105&lt;=MAX(NERVADAS!$A$9:$A$48),"N · "&amp;INDEX(NERVADAS!$B$9:$B$48,MATCH($B105,NERVADAS!$A$9:$A$48,0)),IF($B105-MAX(NERVADAS!$A$9:$A$48)&lt;=MAX(MACIZAS!$A$9:$A$48),"M · "&amp;INDEX(MACIZAS!$B$9:$B$48,MATCH($B105-MAX(NERVADAS!$A$9:$A$48),MACIZAS!$A$9:$A$48,0)),""))</f>
        <v/>
      </c>
    </row>
    <row r="106">
      <c r="B106" s="59" t="n">
        <v>21</v>
      </c>
      <c r="C106" s="6" t="str">
        <f>IF($B106&lt;=MAX(NERVADAS!$A$9:$A$48),"N · "&amp;INDEX(NERVADAS!$B$9:$B$48,MATCH($B106,NERVADAS!$A$9:$A$48,0)),IF($B106-MAX(NERVADAS!$A$9:$A$48)&lt;=MAX(MACIZAS!$A$9:$A$48),"M · "&amp;INDEX(MACIZAS!$B$9:$B$48,MATCH($B106-MAX(NERVADAS!$A$9:$A$48),MACIZAS!$A$9:$A$48,0)),""))</f>
        <v/>
      </c>
    </row>
    <row r="107">
      <c r="B107" s="59" t="n">
        <v>22</v>
      </c>
      <c r="C107" s="6" t="str">
        <f>IF($B107&lt;=MAX(NERVADAS!$A$9:$A$48),"N · "&amp;INDEX(NERVADAS!$B$9:$B$48,MATCH($B107,NERVADAS!$A$9:$A$48,0)),IF($B107-MAX(NERVADAS!$A$9:$A$48)&lt;=MAX(MACIZAS!$A$9:$A$48),"M · "&amp;INDEX(MACIZAS!$B$9:$B$48,MATCH($B107-MAX(NERVADAS!$A$9:$A$48),MACIZAS!$A$9:$A$48,0)),""))</f>
        <v/>
      </c>
    </row>
    <row r="108">
      <c r="B108" s="59" t="n">
        <v>23</v>
      </c>
      <c r="C108" s="6" t="str">
        <f>IF($B108&lt;=MAX(NERVADAS!$A$9:$A$48),"N · "&amp;INDEX(NERVADAS!$B$9:$B$48,MATCH($B108,NERVADAS!$A$9:$A$48,0)),IF($B108-MAX(NERVADAS!$A$9:$A$48)&lt;=MAX(MACIZAS!$A$9:$A$48),"M · "&amp;INDEX(MACIZAS!$B$9:$B$48,MATCH($B108-MAX(NERVADAS!$A$9:$A$48),MACIZAS!$A$9:$A$48,0)),""))</f>
        <v/>
      </c>
    </row>
    <row r="109">
      <c r="B109" s="59" t="n">
        <v>24</v>
      </c>
      <c r="C109" s="6" t="str">
        <f>IF($B109&lt;=MAX(NERVADAS!$A$9:$A$48),"N · "&amp;INDEX(NERVADAS!$B$9:$B$48,MATCH($B109,NERVADAS!$A$9:$A$48,0)),IF($B109-MAX(NERVADAS!$A$9:$A$48)&lt;=MAX(MACIZAS!$A$9:$A$48),"M · "&amp;INDEX(MACIZAS!$B$9:$B$48,MATCH($B109-MAX(NERVADAS!$A$9:$A$48),MACIZAS!$A$9:$A$48,0)),""))</f>
        <v/>
      </c>
    </row>
    <row r="110">
      <c r="B110" s="59" t="n">
        <v>25</v>
      </c>
      <c r="C110" s="6" t="str">
        <f>IF($B110&lt;=MAX(NERVADAS!$A$9:$A$48),"N · "&amp;INDEX(NERVADAS!$B$9:$B$48,MATCH($B110,NERVADAS!$A$9:$A$48,0)),IF($B110-MAX(NERVADAS!$A$9:$A$48)&lt;=MAX(MACIZAS!$A$9:$A$48),"M · "&amp;INDEX(MACIZAS!$B$9:$B$48,MATCH($B110-MAX(NERVADAS!$A$9:$A$48),MACIZAS!$A$9:$A$48,0)),""))</f>
        <v/>
      </c>
    </row>
    <row r="111">
      <c r="B111" s="59" t="n">
        <v>26</v>
      </c>
      <c r="C111" s="6" t="str">
        <f>IF($B111&lt;=MAX(NERVADAS!$A$9:$A$48),"N · "&amp;INDEX(NERVADAS!$B$9:$B$48,MATCH($B111,NERVADAS!$A$9:$A$48,0)),IF($B111-MAX(NERVADAS!$A$9:$A$48)&lt;=MAX(MACIZAS!$A$9:$A$48),"M · "&amp;INDEX(MACIZAS!$B$9:$B$48,MATCH($B111-MAX(NERVADAS!$A$9:$A$48),MACIZAS!$A$9:$A$48,0)),""))</f>
        <v/>
      </c>
    </row>
    <row r="112">
      <c r="B112" s="59" t="n">
        <v>27</v>
      </c>
      <c r="C112" s="6" t="str">
        <f>IF($B112&lt;=MAX(NERVADAS!$A$9:$A$48),"N · "&amp;INDEX(NERVADAS!$B$9:$B$48,MATCH($B112,NERVADAS!$A$9:$A$48,0)),IF($B112-MAX(NERVADAS!$A$9:$A$48)&lt;=MAX(MACIZAS!$A$9:$A$48),"M · "&amp;INDEX(MACIZAS!$B$9:$B$48,MATCH($B112-MAX(NERVADAS!$A$9:$A$48),MACIZAS!$A$9:$A$48,0)),""))</f>
        <v/>
      </c>
    </row>
    <row r="113">
      <c r="B113" s="59" t="n">
        <v>28</v>
      </c>
      <c r="C113" s="6" t="str">
        <f>IF($B113&lt;=MAX(NERVADAS!$A$9:$A$48),"N · "&amp;INDEX(NERVADAS!$B$9:$B$48,MATCH($B113,NERVADAS!$A$9:$A$48,0)),IF($B113-MAX(NERVADAS!$A$9:$A$48)&lt;=MAX(MACIZAS!$A$9:$A$48),"M · "&amp;INDEX(MACIZAS!$B$9:$B$48,MATCH($B113-MAX(NERVADAS!$A$9:$A$48),MACIZAS!$A$9:$A$48,0)),""))</f>
        <v/>
      </c>
    </row>
    <row r="114">
      <c r="B114" s="59" t="n">
        <v>29</v>
      </c>
      <c r="C114" s="6" t="str">
        <f>IF($B114&lt;=MAX(NERVADAS!$A$9:$A$48),"N · "&amp;INDEX(NERVADAS!$B$9:$B$48,MATCH($B114,NERVADAS!$A$9:$A$48,0)),IF($B114-MAX(NERVADAS!$A$9:$A$48)&lt;=MAX(MACIZAS!$A$9:$A$48),"M · "&amp;INDEX(MACIZAS!$B$9:$B$48,MATCH($B114-MAX(NERVADAS!$A$9:$A$48),MACIZAS!$A$9:$A$48,0)),""))</f>
        <v/>
      </c>
    </row>
    <row r="115">
      <c r="B115" s="59" t="n">
        <v>30</v>
      </c>
      <c r="C115" s="6" t="str">
        <f>IF($B115&lt;=MAX(NERVADAS!$A$9:$A$48),"N · "&amp;INDEX(NERVADAS!$B$9:$B$48,MATCH($B115,NERVADAS!$A$9:$A$48,0)),IF($B115-MAX(NERVADAS!$A$9:$A$48)&lt;=MAX(MACIZAS!$A$9:$A$48),"M · "&amp;INDEX(MACIZAS!$B$9:$B$48,MATCH($B115-MAX(NERVADAS!$A$9:$A$48),MACIZAS!$A$9:$A$48,0)),""))</f>
        <v/>
      </c>
    </row>
    <row r="116">
      <c r="B116" s="59" t="n">
        <v>31</v>
      </c>
      <c r="C116" s="6" t="str">
        <f>IF($B116&lt;=MAX(NERVADAS!$A$9:$A$48),"N · "&amp;INDEX(NERVADAS!$B$9:$B$48,MATCH($B116,NERVADAS!$A$9:$A$48,0)),IF($B116-MAX(NERVADAS!$A$9:$A$48)&lt;=MAX(MACIZAS!$A$9:$A$48),"M · "&amp;INDEX(MACIZAS!$B$9:$B$48,MATCH($B116-MAX(NERVADAS!$A$9:$A$48),MACIZAS!$A$9:$A$48,0)),""))</f>
        <v/>
      </c>
    </row>
    <row r="117">
      <c r="B117" s="59" t="n">
        <v>32</v>
      </c>
      <c r="C117" s="6" t="str">
        <f>IF($B117&lt;=MAX(NERVADAS!$A$9:$A$48),"N · "&amp;INDEX(NERVADAS!$B$9:$B$48,MATCH($B117,NERVADAS!$A$9:$A$48,0)),IF($B117-MAX(NERVADAS!$A$9:$A$48)&lt;=MAX(MACIZAS!$A$9:$A$48),"M · "&amp;INDEX(MACIZAS!$B$9:$B$48,MATCH($B117-MAX(NERVADAS!$A$9:$A$48),MACIZAS!$A$9:$A$48,0)),""))</f>
        <v/>
      </c>
    </row>
    <row r="118">
      <c r="B118" s="59" t="n">
        <v>33</v>
      </c>
      <c r="C118" s="6" t="str">
        <f>IF($B118&lt;=MAX(NERVADAS!$A$9:$A$48),"N · "&amp;INDEX(NERVADAS!$B$9:$B$48,MATCH($B118,NERVADAS!$A$9:$A$48,0)),IF($B118-MAX(NERVADAS!$A$9:$A$48)&lt;=MAX(MACIZAS!$A$9:$A$48),"M · "&amp;INDEX(MACIZAS!$B$9:$B$48,MATCH($B118-MAX(NERVADAS!$A$9:$A$48),MACIZAS!$A$9:$A$48,0)),""))</f>
        <v/>
      </c>
    </row>
    <row r="119">
      <c r="B119" s="59" t="n">
        <v>34</v>
      </c>
      <c r="C119" s="6" t="str">
        <f>IF($B119&lt;=MAX(NERVADAS!$A$9:$A$48),"N · "&amp;INDEX(NERVADAS!$B$9:$B$48,MATCH($B119,NERVADAS!$A$9:$A$48,0)),IF($B119-MAX(NERVADAS!$A$9:$A$48)&lt;=MAX(MACIZAS!$A$9:$A$48),"M · "&amp;INDEX(MACIZAS!$B$9:$B$48,MATCH($B119-MAX(NERVADAS!$A$9:$A$48),MACIZAS!$A$9:$A$48,0)),""))</f>
        <v/>
      </c>
    </row>
    <row r="120">
      <c r="B120" s="59" t="n">
        <v>35</v>
      </c>
      <c r="C120" s="6" t="str">
        <f>IF($B120&lt;=MAX(NERVADAS!$A$9:$A$48),"N · "&amp;INDEX(NERVADAS!$B$9:$B$48,MATCH($B120,NERVADAS!$A$9:$A$48,0)),IF($B120-MAX(NERVADAS!$A$9:$A$48)&lt;=MAX(MACIZAS!$A$9:$A$48),"M · "&amp;INDEX(MACIZAS!$B$9:$B$48,MATCH($B120-MAX(NERVADAS!$A$9:$A$48),MACIZAS!$A$9:$A$48,0)),""))</f>
        <v/>
      </c>
    </row>
    <row r="121">
      <c r="B121" s="59" t="n">
        <v>36</v>
      </c>
      <c r="C121" s="6" t="str">
        <f>IF($B121&lt;=MAX(NERVADAS!$A$9:$A$48),"N · "&amp;INDEX(NERVADAS!$B$9:$B$48,MATCH($B121,NERVADAS!$A$9:$A$48,0)),IF($B121-MAX(NERVADAS!$A$9:$A$48)&lt;=MAX(MACIZAS!$A$9:$A$48),"M · "&amp;INDEX(MACIZAS!$B$9:$B$48,MATCH($B121-MAX(NERVADAS!$A$9:$A$48),MACIZAS!$A$9:$A$48,0)),""))</f>
        <v/>
      </c>
    </row>
    <row r="122">
      <c r="B122" s="59" t="n">
        <v>37</v>
      </c>
      <c r="C122" s="6" t="str">
        <f>IF($B122&lt;=MAX(NERVADAS!$A$9:$A$48),"N · "&amp;INDEX(NERVADAS!$B$9:$B$48,MATCH($B122,NERVADAS!$A$9:$A$48,0)),IF($B122-MAX(NERVADAS!$A$9:$A$48)&lt;=MAX(MACIZAS!$A$9:$A$48),"M · "&amp;INDEX(MACIZAS!$B$9:$B$48,MATCH($B122-MAX(NERVADAS!$A$9:$A$48),MACIZAS!$A$9:$A$48,0)),""))</f>
        <v/>
      </c>
    </row>
    <row r="123">
      <c r="B123" s="59" t="n">
        <v>38</v>
      </c>
      <c r="C123" s="6" t="str">
        <f>IF($B123&lt;=MAX(NERVADAS!$A$9:$A$48),"N · "&amp;INDEX(NERVADAS!$B$9:$B$48,MATCH($B123,NERVADAS!$A$9:$A$48,0)),IF($B123-MAX(NERVADAS!$A$9:$A$48)&lt;=MAX(MACIZAS!$A$9:$A$48),"M · "&amp;INDEX(MACIZAS!$B$9:$B$48,MATCH($B123-MAX(NERVADAS!$A$9:$A$48),MACIZAS!$A$9:$A$48,0)),""))</f>
        <v/>
      </c>
    </row>
    <row r="124">
      <c r="B124" s="59" t="n">
        <v>39</v>
      </c>
      <c r="C124" s="6" t="str">
        <f>IF($B124&lt;=MAX(NERVADAS!$A$9:$A$48),"N · "&amp;INDEX(NERVADAS!$B$9:$B$48,MATCH($B124,NERVADAS!$A$9:$A$48,0)),IF($B124-MAX(NERVADAS!$A$9:$A$48)&lt;=MAX(MACIZAS!$A$9:$A$48),"M · "&amp;INDEX(MACIZAS!$B$9:$B$48,MATCH($B124-MAX(NERVADAS!$A$9:$A$48),MACIZAS!$A$9:$A$48,0)),""))</f>
        <v/>
      </c>
    </row>
    <row r="125">
      <c r="B125" s="59" t="n">
        <v>40</v>
      </c>
      <c r="C125" s="6" t="str">
        <f>IF($B125&lt;=MAX(NERVADAS!$A$9:$A$48),"N · "&amp;INDEX(NERVADAS!$B$9:$B$48,MATCH($B125,NERVADAS!$A$9:$A$48,0)),IF($B125-MAX(NERVADAS!$A$9:$A$48)&lt;=MAX(MACIZAS!$A$9:$A$48),"M · "&amp;INDEX(MACIZAS!$B$9:$B$48,MATCH($B125-MAX(NERVADAS!$A$9:$A$48),MACIZAS!$A$9:$A$48,0)),""))</f>
        <v/>
      </c>
    </row>
    <row r="126">
      <c r="B126" s="59" t="n">
        <v>41</v>
      </c>
      <c r="C126" s="6" t="str">
        <f>IF($B126&lt;=MAX(NERVADAS!$A$9:$A$48),"N · "&amp;INDEX(NERVADAS!$B$9:$B$48,MATCH($B126,NERVADAS!$A$9:$A$48,0)),IF($B126-MAX(NERVADAS!$A$9:$A$48)&lt;=MAX(MACIZAS!$A$9:$A$48),"M · "&amp;INDEX(MACIZAS!$B$9:$B$48,MATCH($B126-MAX(NERVADAS!$A$9:$A$48),MACIZAS!$A$9:$A$48,0)),""))</f>
        <v/>
      </c>
    </row>
    <row r="127">
      <c r="B127" s="59" t="n">
        <v>42</v>
      </c>
      <c r="C127" s="6" t="str">
        <f>IF($B127&lt;=MAX(NERVADAS!$A$9:$A$48),"N · "&amp;INDEX(NERVADAS!$B$9:$B$48,MATCH($B127,NERVADAS!$A$9:$A$48,0)),IF($B127-MAX(NERVADAS!$A$9:$A$48)&lt;=MAX(MACIZAS!$A$9:$A$48),"M · "&amp;INDEX(MACIZAS!$B$9:$B$48,MATCH($B127-MAX(NERVADAS!$A$9:$A$48),MACIZAS!$A$9:$A$48,0)),""))</f>
        <v/>
      </c>
    </row>
    <row r="128">
      <c r="B128" s="59" t="n">
        <v>43</v>
      </c>
      <c r="C128" s="6" t="str">
        <f>IF($B128&lt;=MAX(NERVADAS!$A$9:$A$48),"N · "&amp;INDEX(NERVADAS!$B$9:$B$48,MATCH($B128,NERVADAS!$A$9:$A$48,0)),IF($B128-MAX(NERVADAS!$A$9:$A$48)&lt;=MAX(MACIZAS!$A$9:$A$48),"M · "&amp;INDEX(MACIZAS!$B$9:$B$48,MATCH($B128-MAX(NERVADAS!$A$9:$A$48),MACIZAS!$A$9:$A$48,0)),""))</f>
        <v/>
      </c>
    </row>
    <row r="129">
      <c r="B129" s="59" t="n">
        <v>44</v>
      </c>
      <c r="C129" s="6" t="str">
        <f>IF($B129&lt;=MAX(NERVADAS!$A$9:$A$48),"N · "&amp;INDEX(NERVADAS!$B$9:$B$48,MATCH($B129,NERVADAS!$A$9:$A$48,0)),IF($B129-MAX(NERVADAS!$A$9:$A$48)&lt;=MAX(MACIZAS!$A$9:$A$48),"M · "&amp;INDEX(MACIZAS!$B$9:$B$48,MATCH($B129-MAX(NERVADAS!$A$9:$A$48),MACIZAS!$A$9:$A$48,0)),""))</f>
        <v/>
      </c>
    </row>
    <row r="130">
      <c r="B130" s="59" t="n">
        <v>45</v>
      </c>
      <c r="C130" s="6" t="str">
        <f>IF($B130&lt;=MAX(NERVADAS!$A$9:$A$48),"N · "&amp;INDEX(NERVADAS!$B$9:$B$48,MATCH($B130,NERVADAS!$A$9:$A$48,0)),IF($B130-MAX(NERVADAS!$A$9:$A$48)&lt;=MAX(MACIZAS!$A$9:$A$48),"M · "&amp;INDEX(MACIZAS!$B$9:$B$48,MATCH($B130-MAX(NERVADAS!$A$9:$A$48),MACIZAS!$A$9:$A$48,0)),""))</f>
        <v/>
      </c>
    </row>
    <row r="131">
      <c r="B131" s="59" t="n">
        <v>46</v>
      </c>
      <c r="C131" s="6" t="str">
        <f>IF($B131&lt;=MAX(NERVADAS!$A$9:$A$48),"N · "&amp;INDEX(NERVADAS!$B$9:$B$48,MATCH($B131,NERVADAS!$A$9:$A$48,0)),IF($B131-MAX(NERVADAS!$A$9:$A$48)&lt;=MAX(MACIZAS!$A$9:$A$48),"M · "&amp;INDEX(MACIZAS!$B$9:$B$48,MATCH($B131-MAX(NERVADAS!$A$9:$A$48),MACIZAS!$A$9:$A$48,0)),""))</f>
        <v/>
      </c>
    </row>
    <row r="132">
      <c r="B132" s="59" t="n">
        <v>47</v>
      </c>
      <c r="C132" s="6" t="str">
        <f>IF($B132&lt;=MAX(NERVADAS!$A$9:$A$48),"N · "&amp;INDEX(NERVADAS!$B$9:$B$48,MATCH($B132,NERVADAS!$A$9:$A$48,0)),IF($B132-MAX(NERVADAS!$A$9:$A$48)&lt;=MAX(MACIZAS!$A$9:$A$48),"M · "&amp;INDEX(MACIZAS!$B$9:$B$48,MATCH($B132-MAX(NERVADAS!$A$9:$A$48),MACIZAS!$A$9:$A$48,0)),""))</f>
        <v/>
      </c>
    </row>
    <row r="133">
      <c r="B133" s="59" t="n">
        <v>48</v>
      </c>
      <c r="C133" s="6" t="str">
        <f>IF($B133&lt;=MAX(NERVADAS!$A$9:$A$48),"N · "&amp;INDEX(NERVADAS!$B$9:$B$48,MATCH($B133,NERVADAS!$A$9:$A$48,0)),IF($B133-MAX(NERVADAS!$A$9:$A$48)&lt;=MAX(MACIZAS!$A$9:$A$48),"M · "&amp;INDEX(MACIZAS!$B$9:$B$48,MATCH($B133-MAX(NERVADAS!$A$9:$A$48),MACIZAS!$A$9:$A$48,0)),""))</f>
        <v/>
      </c>
    </row>
    <row r="134">
      <c r="B134" s="59" t="n">
        <v>49</v>
      </c>
      <c r="C134" s="6" t="str">
        <f>IF($B134&lt;=MAX(NERVADAS!$A$9:$A$48),"N · "&amp;INDEX(NERVADAS!$B$9:$B$48,MATCH($B134,NERVADAS!$A$9:$A$48,0)),IF($B134-MAX(NERVADAS!$A$9:$A$48)&lt;=MAX(MACIZAS!$A$9:$A$48),"M · "&amp;INDEX(MACIZAS!$B$9:$B$48,MATCH($B134-MAX(NERVADAS!$A$9:$A$48),MACIZAS!$A$9:$A$48,0)),""))</f>
        <v/>
      </c>
    </row>
    <row r="135">
      <c r="B135" s="59" t="n">
        <v>50</v>
      </c>
      <c r="C135" s="6" t="str">
        <f>IF($B135&lt;=MAX(NERVADAS!$A$9:$A$48),"N · "&amp;INDEX(NERVADAS!$B$9:$B$48,MATCH($B135,NERVADAS!$A$9:$A$48,0)),IF($B135-MAX(NERVADAS!$A$9:$A$48)&lt;=MAX(MACIZAS!$A$9:$A$48),"M · "&amp;INDEX(MACIZAS!$B$9:$B$48,MATCH($B135-MAX(NERVADAS!$A$9:$A$48),MACIZAS!$A$9:$A$48,0)),""))</f>
        <v/>
      </c>
    </row>
    <row r="136">
      <c r="B136" s="59" t="n">
        <v>51</v>
      </c>
      <c r="C136" s="6" t="str">
        <f>IF($B136&lt;=MAX(NERVADAS!$A$9:$A$48),"N · "&amp;INDEX(NERVADAS!$B$9:$B$48,MATCH($B136,NERVADAS!$A$9:$A$48,0)),IF($B136-MAX(NERVADAS!$A$9:$A$48)&lt;=MAX(MACIZAS!$A$9:$A$48),"M · "&amp;INDEX(MACIZAS!$B$9:$B$48,MATCH($B136-MAX(NERVADAS!$A$9:$A$48),MACIZAS!$A$9:$A$48,0)),""))</f>
        <v/>
      </c>
    </row>
    <row r="137">
      <c r="B137" s="59" t="n">
        <v>52</v>
      </c>
      <c r="C137" s="6" t="str">
        <f>IF($B137&lt;=MAX(NERVADAS!$A$9:$A$48),"N · "&amp;INDEX(NERVADAS!$B$9:$B$48,MATCH($B137,NERVADAS!$A$9:$A$48,0)),IF($B137-MAX(NERVADAS!$A$9:$A$48)&lt;=MAX(MACIZAS!$A$9:$A$48),"M · "&amp;INDEX(MACIZAS!$B$9:$B$48,MATCH($B137-MAX(NERVADAS!$A$9:$A$48),MACIZAS!$A$9:$A$48,0)),""))</f>
        <v/>
      </c>
    </row>
    <row r="138">
      <c r="B138" s="59" t="n">
        <v>53</v>
      </c>
      <c r="C138" s="6" t="str">
        <f>IF($B138&lt;=MAX(NERVADAS!$A$9:$A$48),"N · "&amp;INDEX(NERVADAS!$B$9:$B$48,MATCH($B138,NERVADAS!$A$9:$A$48,0)),IF($B138-MAX(NERVADAS!$A$9:$A$48)&lt;=MAX(MACIZAS!$A$9:$A$48),"M · "&amp;INDEX(MACIZAS!$B$9:$B$48,MATCH($B138-MAX(NERVADAS!$A$9:$A$48),MACIZAS!$A$9:$A$48,0)),""))</f>
        <v/>
      </c>
    </row>
    <row r="139">
      <c r="B139" s="59" t="n">
        <v>54</v>
      </c>
      <c r="C139" s="6" t="str">
        <f>IF($B139&lt;=MAX(NERVADAS!$A$9:$A$48),"N · "&amp;INDEX(NERVADAS!$B$9:$B$48,MATCH($B139,NERVADAS!$A$9:$A$48,0)),IF($B139-MAX(NERVADAS!$A$9:$A$48)&lt;=MAX(MACIZAS!$A$9:$A$48),"M · "&amp;INDEX(MACIZAS!$B$9:$B$48,MATCH($B139-MAX(NERVADAS!$A$9:$A$48),MACIZAS!$A$9:$A$48,0)),""))</f>
        <v/>
      </c>
    </row>
    <row r="140">
      <c r="B140" s="59" t="n">
        <v>55</v>
      </c>
      <c r="C140" s="6" t="str">
        <f>IF($B140&lt;=MAX(NERVADAS!$A$9:$A$48),"N · "&amp;INDEX(NERVADAS!$B$9:$B$48,MATCH($B140,NERVADAS!$A$9:$A$48,0)),IF($B140-MAX(NERVADAS!$A$9:$A$48)&lt;=MAX(MACIZAS!$A$9:$A$48),"M · "&amp;INDEX(MACIZAS!$B$9:$B$48,MATCH($B140-MAX(NERVADAS!$A$9:$A$48),MACIZAS!$A$9:$A$48,0)),""))</f>
        <v/>
      </c>
    </row>
    <row r="141">
      <c r="B141" s="59" t="n">
        <v>56</v>
      </c>
      <c r="C141" s="6" t="str">
        <f>IF($B141&lt;=MAX(NERVADAS!$A$9:$A$48),"N · "&amp;INDEX(NERVADAS!$B$9:$B$48,MATCH($B141,NERVADAS!$A$9:$A$48,0)),IF($B141-MAX(NERVADAS!$A$9:$A$48)&lt;=MAX(MACIZAS!$A$9:$A$48),"M · "&amp;INDEX(MACIZAS!$B$9:$B$48,MATCH($B141-MAX(NERVADAS!$A$9:$A$48),MACIZAS!$A$9:$A$48,0)),""))</f>
        <v/>
      </c>
    </row>
    <row r="142">
      <c r="B142" s="59" t="n">
        <v>57</v>
      </c>
      <c r="C142" s="6" t="str">
        <f>IF($B142&lt;=MAX(NERVADAS!$A$9:$A$48),"N · "&amp;INDEX(NERVADAS!$B$9:$B$48,MATCH($B142,NERVADAS!$A$9:$A$48,0)),IF($B142-MAX(NERVADAS!$A$9:$A$48)&lt;=MAX(MACIZAS!$A$9:$A$48),"M · "&amp;INDEX(MACIZAS!$B$9:$B$48,MATCH($B142-MAX(NERVADAS!$A$9:$A$48),MACIZAS!$A$9:$A$48,0)),""))</f>
        <v/>
      </c>
    </row>
    <row r="143">
      <c r="B143" s="59" t="n">
        <v>58</v>
      </c>
      <c r="C143" s="6" t="str">
        <f>IF($B143&lt;=MAX(NERVADAS!$A$9:$A$48),"N · "&amp;INDEX(NERVADAS!$B$9:$B$48,MATCH($B143,NERVADAS!$A$9:$A$48,0)),IF($B143-MAX(NERVADAS!$A$9:$A$48)&lt;=MAX(MACIZAS!$A$9:$A$48),"M · "&amp;INDEX(MACIZAS!$B$9:$B$48,MATCH($B143-MAX(NERVADAS!$A$9:$A$48),MACIZAS!$A$9:$A$48,0)),""))</f>
        <v/>
      </c>
    </row>
    <row r="144">
      <c r="B144" s="59" t="n">
        <v>59</v>
      </c>
      <c r="C144" s="6" t="str">
        <f>IF($B144&lt;=MAX(NERVADAS!$A$9:$A$48),"N · "&amp;INDEX(NERVADAS!$B$9:$B$48,MATCH($B144,NERVADAS!$A$9:$A$48,0)),IF($B144-MAX(NERVADAS!$A$9:$A$48)&lt;=MAX(MACIZAS!$A$9:$A$48),"M · "&amp;INDEX(MACIZAS!$B$9:$B$48,MATCH($B144-MAX(NERVADAS!$A$9:$A$48),MACIZAS!$A$9:$A$48,0)),""))</f>
        <v/>
      </c>
    </row>
    <row r="145">
      <c r="B145" s="59" t="n">
        <v>60</v>
      </c>
      <c r="C145" s="6" t="str">
        <f>IF($B145&lt;=MAX(NERVADAS!$A$9:$A$48),"N · "&amp;INDEX(NERVADAS!$B$9:$B$48,MATCH($B145,NERVADAS!$A$9:$A$48,0)),IF($B145-MAX(NERVADAS!$A$9:$A$48)&lt;=MAX(MACIZAS!$A$9:$A$48),"M · "&amp;INDEX(MACIZAS!$B$9:$B$48,MATCH($B145-MAX(NERVADAS!$A$9:$A$48),MACIZAS!$A$9:$A$48,0)),""))</f>
        <v/>
      </c>
    </row>
    <row r="146">
      <c r="B146" s="59" t="n">
        <v>61</v>
      </c>
      <c r="C146" s="6" t="str">
        <f>IF($B146&lt;=MAX(NERVADAS!$A$9:$A$48),"N · "&amp;INDEX(NERVADAS!$B$9:$B$48,MATCH($B146,NERVADAS!$A$9:$A$48,0)),IF($B146-MAX(NERVADAS!$A$9:$A$48)&lt;=MAX(MACIZAS!$A$9:$A$48),"M · "&amp;INDEX(MACIZAS!$B$9:$B$48,MATCH($B146-MAX(NERVADAS!$A$9:$A$48),MACIZAS!$A$9:$A$48,0)),""))</f>
        <v/>
      </c>
    </row>
    <row r="147">
      <c r="B147" s="59" t="n">
        <v>62</v>
      </c>
      <c r="C147" s="6" t="str">
        <f>IF($B147&lt;=MAX(NERVADAS!$A$9:$A$48),"N · "&amp;INDEX(NERVADAS!$B$9:$B$48,MATCH($B147,NERVADAS!$A$9:$A$48,0)),IF($B147-MAX(NERVADAS!$A$9:$A$48)&lt;=MAX(MACIZAS!$A$9:$A$48),"M · "&amp;INDEX(MACIZAS!$B$9:$B$48,MATCH($B147-MAX(NERVADAS!$A$9:$A$48),MACIZAS!$A$9:$A$48,0)),""))</f>
        <v/>
      </c>
    </row>
    <row r="148">
      <c r="B148" s="59" t="n">
        <v>63</v>
      </c>
      <c r="C148" s="6" t="str">
        <f>IF($B148&lt;=MAX(NERVADAS!$A$9:$A$48),"N · "&amp;INDEX(NERVADAS!$B$9:$B$48,MATCH($B148,NERVADAS!$A$9:$A$48,0)),IF($B148-MAX(NERVADAS!$A$9:$A$48)&lt;=MAX(MACIZAS!$A$9:$A$48),"M · "&amp;INDEX(MACIZAS!$B$9:$B$48,MATCH($B148-MAX(NERVADAS!$A$9:$A$48),MACIZAS!$A$9:$A$48,0)),""))</f>
        <v/>
      </c>
    </row>
    <row r="149">
      <c r="B149" s="59" t="n">
        <v>64</v>
      </c>
      <c r="C149" s="6" t="str">
        <f>IF($B149&lt;=MAX(NERVADAS!$A$9:$A$48),"N · "&amp;INDEX(NERVADAS!$B$9:$B$48,MATCH($B149,NERVADAS!$A$9:$A$48,0)),IF($B149-MAX(NERVADAS!$A$9:$A$48)&lt;=MAX(MACIZAS!$A$9:$A$48),"M · "&amp;INDEX(MACIZAS!$B$9:$B$48,MATCH($B149-MAX(NERVADAS!$A$9:$A$48),MACIZAS!$A$9:$A$48,0)),""))</f>
        <v/>
      </c>
    </row>
    <row r="150">
      <c r="B150" s="59" t="n">
        <v>65</v>
      </c>
      <c r="C150" s="6" t="str">
        <f>IF($B150&lt;=MAX(NERVADAS!$A$9:$A$48),"N · "&amp;INDEX(NERVADAS!$B$9:$B$48,MATCH($B150,NERVADAS!$A$9:$A$48,0)),IF($B150-MAX(NERVADAS!$A$9:$A$48)&lt;=MAX(MACIZAS!$A$9:$A$48),"M · "&amp;INDEX(MACIZAS!$B$9:$B$48,MATCH($B150-MAX(NERVADAS!$A$9:$A$48),MACIZAS!$A$9:$A$48,0)),""))</f>
        <v/>
      </c>
    </row>
    <row r="151">
      <c r="B151" s="59" t="n">
        <v>66</v>
      </c>
      <c r="C151" s="6" t="str">
        <f>IF($B151&lt;=MAX(NERVADAS!$A$9:$A$48),"N · "&amp;INDEX(NERVADAS!$B$9:$B$48,MATCH($B151,NERVADAS!$A$9:$A$48,0)),IF($B151-MAX(NERVADAS!$A$9:$A$48)&lt;=MAX(MACIZAS!$A$9:$A$48),"M · "&amp;INDEX(MACIZAS!$B$9:$B$48,MATCH($B151-MAX(NERVADAS!$A$9:$A$48),MACIZAS!$A$9:$A$48,0)),""))</f>
        <v/>
      </c>
    </row>
    <row r="152">
      <c r="B152" s="59" t="n">
        <v>67</v>
      </c>
      <c r="C152" s="6" t="str">
        <f>IF($B152&lt;=MAX(NERVADAS!$A$9:$A$48),"N · "&amp;INDEX(NERVADAS!$B$9:$B$48,MATCH($B152,NERVADAS!$A$9:$A$48,0)),IF($B152-MAX(NERVADAS!$A$9:$A$48)&lt;=MAX(MACIZAS!$A$9:$A$48),"M · "&amp;INDEX(MACIZAS!$B$9:$B$48,MATCH($B152-MAX(NERVADAS!$A$9:$A$48),MACIZAS!$A$9:$A$48,0)),""))</f>
        <v/>
      </c>
    </row>
    <row r="153">
      <c r="B153" s="59" t="n">
        <v>68</v>
      </c>
      <c r="C153" s="6" t="str">
        <f>IF($B153&lt;=MAX(NERVADAS!$A$9:$A$48),"N · "&amp;INDEX(NERVADAS!$B$9:$B$48,MATCH($B153,NERVADAS!$A$9:$A$48,0)),IF($B153-MAX(NERVADAS!$A$9:$A$48)&lt;=MAX(MACIZAS!$A$9:$A$48),"M · "&amp;INDEX(MACIZAS!$B$9:$B$48,MATCH($B153-MAX(NERVADAS!$A$9:$A$48),MACIZAS!$A$9:$A$48,0)),""))</f>
        <v/>
      </c>
    </row>
    <row r="154">
      <c r="B154" s="59" t="n">
        <v>69</v>
      </c>
      <c r="C154" s="6" t="str">
        <f>IF($B154&lt;=MAX(NERVADAS!$A$9:$A$48),"N · "&amp;INDEX(NERVADAS!$B$9:$B$48,MATCH($B154,NERVADAS!$A$9:$A$48,0)),IF($B154-MAX(NERVADAS!$A$9:$A$48)&lt;=MAX(MACIZAS!$A$9:$A$48),"M · "&amp;INDEX(MACIZAS!$B$9:$B$48,MATCH($B154-MAX(NERVADAS!$A$9:$A$48),MACIZAS!$A$9:$A$48,0)),""))</f>
        <v/>
      </c>
    </row>
    <row r="155">
      <c r="B155" s="59" t="n">
        <v>70</v>
      </c>
      <c r="C155" s="6" t="str">
        <f>IF($B155&lt;=MAX(NERVADAS!$A$9:$A$48),"N · "&amp;INDEX(NERVADAS!$B$9:$B$48,MATCH($B155,NERVADAS!$A$9:$A$48,0)),IF($B155-MAX(NERVADAS!$A$9:$A$48)&lt;=MAX(MACIZAS!$A$9:$A$48),"M · "&amp;INDEX(MACIZAS!$B$9:$B$48,MATCH($B155-MAX(NERVADAS!$A$9:$A$48),MACIZAS!$A$9:$A$48,0)),""))</f>
        <v/>
      </c>
    </row>
    <row r="156">
      <c r="B156" s="59" t="n">
        <v>71</v>
      </c>
      <c r="C156" s="6" t="str">
        <f>IF($B156&lt;=MAX(NERVADAS!$A$9:$A$48),"N · "&amp;INDEX(NERVADAS!$B$9:$B$48,MATCH($B156,NERVADAS!$A$9:$A$48,0)),IF($B156-MAX(NERVADAS!$A$9:$A$48)&lt;=MAX(MACIZAS!$A$9:$A$48),"M · "&amp;INDEX(MACIZAS!$B$9:$B$48,MATCH($B156-MAX(NERVADAS!$A$9:$A$48),MACIZAS!$A$9:$A$48,0)),""))</f>
        <v/>
      </c>
    </row>
    <row r="157">
      <c r="B157" s="59" t="n">
        <v>72</v>
      </c>
      <c r="C157" s="6" t="str">
        <f>IF($B157&lt;=MAX(NERVADAS!$A$9:$A$48),"N · "&amp;INDEX(NERVADAS!$B$9:$B$48,MATCH($B157,NERVADAS!$A$9:$A$48,0)),IF($B157-MAX(NERVADAS!$A$9:$A$48)&lt;=MAX(MACIZAS!$A$9:$A$48),"M · "&amp;INDEX(MACIZAS!$B$9:$B$48,MATCH($B157-MAX(NERVADAS!$A$9:$A$48),MACIZAS!$A$9:$A$48,0)),""))</f>
        <v/>
      </c>
    </row>
    <row r="158">
      <c r="B158" s="59" t="n">
        <v>73</v>
      </c>
      <c r="C158" s="6" t="str">
        <f>IF($B158&lt;=MAX(NERVADAS!$A$9:$A$48),"N · "&amp;INDEX(NERVADAS!$B$9:$B$48,MATCH($B158,NERVADAS!$A$9:$A$48,0)),IF($B158-MAX(NERVADAS!$A$9:$A$48)&lt;=MAX(MACIZAS!$A$9:$A$48),"M · "&amp;INDEX(MACIZAS!$B$9:$B$48,MATCH($B158-MAX(NERVADAS!$A$9:$A$48),MACIZAS!$A$9:$A$48,0)),""))</f>
        <v/>
      </c>
    </row>
    <row r="159">
      <c r="B159" s="59" t="n">
        <v>74</v>
      </c>
      <c r="C159" s="6" t="str">
        <f>IF($B159&lt;=MAX(NERVADAS!$A$9:$A$48),"N · "&amp;INDEX(NERVADAS!$B$9:$B$48,MATCH($B159,NERVADAS!$A$9:$A$48,0)),IF($B159-MAX(NERVADAS!$A$9:$A$48)&lt;=MAX(MACIZAS!$A$9:$A$48),"M · "&amp;INDEX(MACIZAS!$B$9:$B$48,MATCH($B159-MAX(NERVADAS!$A$9:$A$48),MACIZAS!$A$9:$A$48,0)),""))</f>
        <v/>
      </c>
    </row>
    <row r="160">
      <c r="B160" s="59" t="n">
        <v>75</v>
      </c>
      <c r="C160" s="6" t="str">
        <f>IF($B160&lt;=MAX(NERVADAS!$A$9:$A$48),"N · "&amp;INDEX(NERVADAS!$B$9:$B$48,MATCH($B160,NERVADAS!$A$9:$A$48,0)),IF($B160-MAX(NERVADAS!$A$9:$A$48)&lt;=MAX(MACIZAS!$A$9:$A$48),"M · "&amp;INDEX(MACIZAS!$B$9:$B$48,MATCH($B160-MAX(NERVADAS!$A$9:$A$48),MACIZAS!$A$9:$A$48,0)),""))</f>
        <v/>
      </c>
    </row>
    <row r="161">
      <c r="B161" s="59" t="n">
        <v>76</v>
      </c>
      <c r="C161" s="6" t="str">
        <f>IF($B161&lt;=MAX(NERVADAS!$A$9:$A$48),"N · "&amp;INDEX(NERVADAS!$B$9:$B$48,MATCH($B161,NERVADAS!$A$9:$A$48,0)),IF($B161-MAX(NERVADAS!$A$9:$A$48)&lt;=MAX(MACIZAS!$A$9:$A$48),"M · "&amp;INDEX(MACIZAS!$B$9:$B$48,MATCH($B161-MAX(NERVADAS!$A$9:$A$48),MACIZAS!$A$9:$A$48,0)),""))</f>
        <v/>
      </c>
    </row>
    <row r="162">
      <c r="B162" s="59" t="n">
        <v>77</v>
      </c>
      <c r="C162" s="6" t="str">
        <f>IF($B162&lt;=MAX(NERVADAS!$A$9:$A$48),"N · "&amp;INDEX(NERVADAS!$B$9:$B$48,MATCH($B162,NERVADAS!$A$9:$A$48,0)),IF($B162-MAX(NERVADAS!$A$9:$A$48)&lt;=MAX(MACIZAS!$A$9:$A$48),"M · "&amp;INDEX(MACIZAS!$B$9:$B$48,MATCH($B162-MAX(NERVADAS!$A$9:$A$48),MACIZAS!$A$9:$A$48,0)),""))</f>
        <v/>
      </c>
    </row>
    <row r="163">
      <c r="B163" s="59" t="n">
        <v>78</v>
      </c>
      <c r="C163" s="6" t="str">
        <f>IF($B163&lt;=MAX(NERVADAS!$A$9:$A$48),"N · "&amp;INDEX(NERVADAS!$B$9:$B$48,MATCH($B163,NERVADAS!$A$9:$A$48,0)),IF($B163-MAX(NERVADAS!$A$9:$A$48)&lt;=MAX(MACIZAS!$A$9:$A$48),"M · "&amp;INDEX(MACIZAS!$B$9:$B$48,MATCH($B163-MAX(NERVADAS!$A$9:$A$48),MACIZAS!$A$9:$A$48,0)),""))</f>
        <v/>
      </c>
    </row>
    <row r="164">
      <c r="B164" s="59" t="n">
        <v>79</v>
      </c>
      <c r="C164" s="6" t="str">
        <f>IF($B164&lt;=MAX(NERVADAS!$A$9:$A$48),"N · "&amp;INDEX(NERVADAS!$B$9:$B$48,MATCH($B164,NERVADAS!$A$9:$A$48,0)),IF($B164-MAX(NERVADAS!$A$9:$A$48)&lt;=MAX(MACIZAS!$A$9:$A$48),"M · "&amp;INDEX(MACIZAS!$B$9:$B$48,MATCH($B164-MAX(NERVADAS!$A$9:$A$48),MACIZAS!$A$9:$A$48,0)),""))</f>
        <v/>
      </c>
    </row>
    <row r="165">
      <c r="B165" s="59" t="n">
        <v>80</v>
      </c>
      <c r="C165" s="6" t="str">
        <f>IF($B165&lt;=MAX(NERVADAS!$A$9:$A$48),"N · "&amp;INDEX(NERVADAS!$B$9:$B$48,MATCH($B165,NERVADAS!$A$9:$A$48,0)),IF($B165-MAX(NERVADAS!$A$9:$A$48)&lt;=MAX(MACIZAS!$A$9:$A$48),"M · "&amp;INDEX(MACIZAS!$B$9:$B$48,MATCH($B165-MAX(NERVADAS!$A$9:$A$48),MACIZAS!$A$9:$A$48,0)),""))</f>
        <v/>
      </c>
    </row>
  </sheetData>
  <mergeCells count="22">
    <mergeCell ref="B84:K84"/>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printOptions horizontalCentered="1"/>
  <pageMargins left="0.4" right="0.4" top="0.5" bottom="0.5" header="0.5" footer="0.5"/>
  <pageSetup orientation="landscape" paperSize="1" fitToHeight="0" fitToWidth="1"/>
  <headerFooter>
    <oddHeader/>
    <oddFooter>&amp;C&amp;8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FO671"/>
  <sheetViews>
    <sheetView showGridLines="0" workbookViewId="0">
      <selection activeCell="A1" sqref="A1"/>
    </sheetView>
  </sheetViews>
  <sheetFormatPr baseColWidth="8" defaultRowHeight="15"/>
  <cols>
    <col width="60" customWidth="1" min="1" max="1"/>
  </cols>
  <sheetData>
    <row r="1">
      <c r="A1" s="84" t="inlineStr">
        <is>
          <t>COORDENADAS DE LOS DIBUJOS DE LA HOJA CROQUIS (las genera el libro; no se tocan)</t>
        </is>
      </c>
    </row>
    <row r="2">
      <c r="A2" s="85" t="inlineStr">
        <is>
          <t>Cada par de columnas es un trazo continuo; las filas que sobran repiten el último punto. Un trazo que no aplica se manda a −1000 (fuera del dibujo). Planta: cuadro de 0 a 100 con la misma escala en X y Y; u = dirección del claro corto, v = la del largo.</t>
        </is>
      </c>
    </row>
    <row r="4">
      <c r="A4" t="inlineStr">
        <is>
          <t>k</t>
        </is>
      </c>
      <c r="B4" t="inlineStr">
        <is>
          <t>Ncontorno x</t>
        </is>
      </c>
      <c r="C4" t="inlineStr">
        <is>
          <t>Ncontorno y</t>
        </is>
      </c>
      <c r="D4" t="inlineStr">
        <is>
          <t>Napoyo x</t>
        </is>
      </c>
      <c r="E4" t="inlineStr">
        <is>
          <t>Napoyo y</t>
        </is>
      </c>
      <c r="F4" t="inlineStr">
        <is>
          <t>Nachurado x</t>
        </is>
      </c>
      <c r="G4" t="inlineStr">
        <is>
          <t>Nachurado y</t>
        </is>
      </c>
      <c r="H4" t="inlineStr">
        <is>
          <t>Nrespaldo x</t>
        </is>
      </c>
      <c r="I4" t="inlineStr">
        <is>
          <t>Nrespaldo y</t>
        </is>
      </c>
      <c r="J4" t="inlineStr">
        <is>
          <t>Nfar x</t>
        </is>
      </c>
      <c r="K4" t="inlineStr">
        <is>
          <t>Nfar y</t>
        </is>
      </c>
      <c r="L4" t="inlineStr">
        <is>
          <t>Ncarga x</t>
        </is>
      </c>
      <c r="M4" t="inlineStr">
        <is>
          <t>Ncarga y</t>
        </is>
      </c>
      <c r="N4" t="inlineStr">
        <is>
          <t>Ncota_ax x</t>
        </is>
      </c>
      <c r="O4" t="inlineStr">
        <is>
          <t>Ncota_ax y</t>
        </is>
      </c>
      <c r="P4" t="inlineStr">
        <is>
          <t>Ncota_ay x</t>
        </is>
      </c>
      <c r="Q4" t="inlineStr">
        <is>
          <t>Ncota_ay y</t>
        </is>
      </c>
      <c r="R4" t="inlineStr">
        <is>
          <t>Mcontorno x</t>
        </is>
      </c>
      <c r="S4" t="inlineStr">
        <is>
          <t>Mcontorno y</t>
        </is>
      </c>
      <c r="T4" t="inlineStr">
        <is>
          <t>Mapoyo x</t>
        </is>
      </c>
      <c r="U4" t="inlineStr">
        <is>
          <t>Mapoyo y</t>
        </is>
      </c>
      <c r="V4" t="inlineStr">
        <is>
          <t>Machurado x</t>
        </is>
      </c>
      <c r="W4" t="inlineStr">
        <is>
          <t>Machurado y</t>
        </is>
      </c>
      <c r="X4" t="inlineStr">
        <is>
          <t>Mrespaldo x</t>
        </is>
      </c>
      <c r="Y4" t="inlineStr">
        <is>
          <t>Mrespaldo y</t>
        </is>
      </c>
      <c r="Z4" t="inlineStr">
        <is>
          <t>Mfar x</t>
        </is>
      </c>
      <c r="AA4" t="inlineStr">
        <is>
          <t>Mfar y</t>
        </is>
      </c>
      <c r="AB4" t="inlineStr">
        <is>
          <t>Mcarga x</t>
        </is>
      </c>
      <c r="AC4" t="inlineStr">
        <is>
          <t>Mcarga y</t>
        </is>
      </c>
      <c r="AD4" t="inlineStr">
        <is>
          <t>Mcota_ax x</t>
        </is>
      </c>
      <c r="AE4" t="inlineStr">
        <is>
          <t>Mcota_ax y</t>
        </is>
      </c>
      <c r="AF4" t="inlineStr">
        <is>
          <t>Mcota_ay x</t>
        </is>
      </c>
      <c r="AG4" t="inlineStr">
        <is>
          <t>Mcota_ay y</t>
        </is>
      </c>
      <c r="AH4" t="inlineStr">
        <is>
          <t>Nresp x</t>
        </is>
      </c>
      <c r="AI4" t="inlineStr">
        <is>
          <t>Nresp y</t>
        </is>
      </c>
      <c r="AJ4" t="inlineStr">
        <is>
          <t>Ncas_v x</t>
        </is>
      </c>
      <c r="AK4" t="inlineStr">
        <is>
          <t>Ncas_v y</t>
        </is>
      </c>
      <c r="AL4" t="inlineStr">
        <is>
          <t>Ncas_h x</t>
        </is>
      </c>
      <c r="AM4" t="inlineStr">
        <is>
          <t>Ncas_h y</t>
        </is>
      </c>
      <c r="AN4" t="inlineStr">
        <is>
          <t>Neje_v x</t>
        </is>
      </c>
      <c r="AO4" t="inlineStr">
        <is>
          <t>Neje_v y</t>
        </is>
      </c>
      <c r="AP4" t="inlineStr">
        <is>
          <t>Neje_h x</t>
        </is>
      </c>
      <c r="AQ4" t="inlineStr">
        <is>
          <t>Neje_h y</t>
        </is>
      </c>
      <c r="AR4" t="inlineStr">
        <is>
          <t>Nmacizo x</t>
        </is>
      </c>
      <c r="AS4" t="inlineStr">
        <is>
          <t>Nmacizo y</t>
        </is>
      </c>
      <c r="AT4" t="inlineStr">
        <is>
          <t>Nc_inf x</t>
        </is>
      </c>
      <c r="AU4" t="inlineStr">
        <is>
          <t>Nc_inf y</t>
        </is>
      </c>
      <c r="AV4" t="inlineStr">
        <is>
          <t>Nc_sup x</t>
        </is>
      </c>
      <c r="AW4" t="inlineStr">
        <is>
          <t>Nc_sup y</t>
        </is>
      </c>
      <c r="AX4" t="inlineStr">
        <is>
          <t>Nc_b0 x</t>
        </is>
      </c>
      <c r="AY4" t="inlineStr">
        <is>
          <t>Nc_b0 y</t>
        </is>
      </c>
      <c r="AZ4" t="inlineStr">
        <is>
          <t>Nc_b1 x</t>
        </is>
      </c>
      <c r="BA4" t="inlineStr">
        <is>
          <t>Nc_b1 y</t>
        </is>
      </c>
      <c r="BB4" t="inlineStr">
        <is>
          <t>Nc_bv x</t>
        </is>
      </c>
      <c r="BC4" t="inlineStr">
        <is>
          <t>Nc_bv y</t>
        </is>
      </c>
      <c r="BD4" t="inlineStr">
        <is>
          <t>Nl_inf x</t>
        </is>
      </c>
      <c r="BE4" t="inlineStr">
        <is>
          <t>Nl_inf y</t>
        </is>
      </c>
      <c r="BF4" t="inlineStr">
        <is>
          <t>Nl_sup x</t>
        </is>
      </c>
      <c r="BG4" t="inlineStr">
        <is>
          <t>Nl_sup y</t>
        </is>
      </c>
      <c r="BH4" t="inlineStr">
        <is>
          <t>Nl_b0 x</t>
        </is>
      </c>
      <c r="BI4" t="inlineStr">
        <is>
          <t>Nl_b0 y</t>
        </is>
      </c>
      <c r="BJ4" t="inlineStr">
        <is>
          <t>Nl_b1 x</t>
        </is>
      </c>
      <c r="BK4" t="inlineStr">
        <is>
          <t>Nl_b1 y</t>
        </is>
      </c>
      <c r="BL4" t="inlineStr">
        <is>
          <t>Ncota_s x</t>
        </is>
      </c>
      <c r="BM4" t="inlineStr">
        <is>
          <t>Ncota_s y</t>
        </is>
      </c>
      <c r="BN4" t="inlineStr">
        <is>
          <t>Mc_inf x</t>
        </is>
      </c>
      <c r="BO4" t="inlineStr">
        <is>
          <t>Mc_inf y</t>
        </is>
      </c>
      <c r="BP4" t="inlineStr">
        <is>
          <t>Ml_inf x</t>
        </is>
      </c>
      <c r="BQ4" t="inlineStr">
        <is>
          <t>Ml_inf y</t>
        </is>
      </c>
      <c r="BR4" t="inlineStr">
        <is>
          <t>Mc_b0 x</t>
        </is>
      </c>
      <c r="BS4" t="inlineStr">
        <is>
          <t>Mc_b0 y</t>
        </is>
      </c>
      <c r="BT4" t="inlineStr">
        <is>
          <t>Mc_b1 x</t>
        </is>
      </c>
      <c r="BU4" t="inlineStr">
        <is>
          <t>Mc_b1 y</t>
        </is>
      </c>
      <c r="BV4" t="inlineStr">
        <is>
          <t>Ml_b0 x</t>
        </is>
      </c>
      <c r="BW4" t="inlineStr">
        <is>
          <t>Ml_b0 y</t>
        </is>
      </c>
      <c r="BX4" t="inlineStr">
        <is>
          <t>Ml_b1 x</t>
        </is>
      </c>
      <c r="BY4" t="inlineStr">
        <is>
          <t>Ml_b1 y</t>
        </is>
      </c>
      <c r="BZ4" t="inlineStr">
        <is>
          <t>Mvol_sup x</t>
        </is>
      </c>
      <c r="CA4" t="inlineStr">
        <is>
          <t>Mvol_sup y</t>
        </is>
      </c>
      <c r="CB4" t="inlineStr">
        <is>
          <t>Kconc x</t>
        </is>
      </c>
      <c r="CC4" t="inlineStr">
        <is>
          <t>Kconc y</t>
        </is>
      </c>
      <c r="CD4" t="inlineStr">
        <is>
          <t>Kcas1 x</t>
        </is>
      </c>
      <c r="CE4" t="inlineStr">
        <is>
          <t>Kcas1 y</t>
        </is>
      </c>
      <c r="CF4" t="inlineStr">
        <is>
          <t>Kcas2 x</t>
        </is>
      </c>
      <c r="CG4" t="inlineStr">
        <is>
          <t>Kcas2 y</t>
        </is>
      </c>
      <c r="CH4" t="inlineStr">
        <is>
          <t>Kmalla x</t>
        </is>
      </c>
      <c r="CI4" t="inlineStr">
        <is>
          <t>Kmalla y</t>
        </is>
      </c>
      <c r="CJ4" t="inlineStr">
        <is>
          <t>KPc1 x</t>
        </is>
      </c>
      <c r="CK4" t="inlineStr">
        <is>
          <t>KPc1 y</t>
        </is>
      </c>
      <c r="CL4" t="inlineStr">
        <is>
          <t>KPc2 x</t>
        </is>
      </c>
      <c r="CM4" t="inlineStr">
        <is>
          <t>KPc2 y</t>
        </is>
      </c>
      <c r="CN4" t="inlineStr">
        <is>
          <t>KPc3 x</t>
        </is>
      </c>
      <c r="CO4" t="inlineStr">
        <is>
          <t>KPc3 y</t>
        </is>
      </c>
      <c r="CP4" t="inlineStr">
        <is>
          <t>KNc1 x</t>
        </is>
      </c>
      <c r="CQ4" t="inlineStr">
        <is>
          <t>KNc1 y</t>
        </is>
      </c>
      <c r="CR4" t="inlineStr">
        <is>
          <t>KNc2 x</t>
        </is>
      </c>
      <c r="CS4" t="inlineStr">
        <is>
          <t>KNc2 y</t>
        </is>
      </c>
      <c r="CT4" t="inlineStr">
        <is>
          <t>KNc3 x</t>
        </is>
      </c>
      <c r="CU4" t="inlineStr">
        <is>
          <t>KNc3 y</t>
        </is>
      </c>
      <c r="CV4" t="inlineStr">
        <is>
          <t>Kc_bw x</t>
        </is>
      </c>
      <c r="CW4" t="inlineStr">
        <is>
          <t>Kc_bw y</t>
        </is>
      </c>
      <c r="CX4" t="inlineStr">
        <is>
          <t>Kc_s x</t>
        </is>
      </c>
      <c r="CY4" t="inlineStr">
        <is>
          <t>Kc_s y</t>
        </is>
      </c>
      <c r="CZ4" t="inlineStr">
        <is>
          <t>Kc_h x</t>
        </is>
      </c>
      <c r="DA4" t="inlineStr">
        <is>
          <t>Kc_h y</t>
        </is>
      </c>
      <c r="DB4" t="inlineStr">
        <is>
          <t>Kc_d x</t>
        </is>
      </c>
      <c r="DC4" t="inlineStr">
        <is>
          <t>Kc_d y</t>
        </is>
      </c>
      <c r="DD4" t="inlineStr">
        <is>
          <t>Lconc x</t>
        </is>
      </c>
      <c r="DE4" t="inlineStr">
        <is>
          <t>Lconc y</t>
        </is>
      </c>
      <c r="DF4" t="inlineStr">
        <is>
          <t>LPc x</t>
        </is>
      </c>
      <c r="DG4" t="inlineStr">
        <is>
          <t>LPc y</t>
        </is>
      </c>
      <c r="DH4" t="inlineStr">
        <is>
          <t>LPl x</t>
        </is>
      </c>
      <c r="DI4" t="inlineStr">
        <is>
          <t>LPl y</t>
        </is>
      </c>
      <c r="DJ4" t="inlineStr">
        <is>
          <t>LNl x</t>
        </is>
      </c>
      <c r="DK4" t="inlineStr">
        <is>
          <t>LNl y</t>
        </is>
      </c>
      <c r="DL4" t="inlineStr">
        <is>
          <t>LNc x</t>
        </is>
      </c>
      <c r="DM4" t="inlineStr">
        <is>
          <t>LNc y</t>
        </is>
      </c>
      <c r="DN4" t="inlineStr">
        <is>
          <t>Lc_h x</t>
        </is>
      </c>
      <c r="DO4" t="inlineStr">
        <is>
          <t>Lc_h y</t>
        </is>
      </c>
      <c r="DP4" t="inlineStr">
        <is>
          <t>Lc_rb x</t>
        </is>
      </c>
      <c r="DQ4" t="inlineStr">
        <is>
          <t>Lc_rb y</t>
        </is>
      </c>
      <c r="DR4" t="inlineStr">
        <is>
          <t>Lc_rt x</t>
        </is>
      </c>
      <c r="DS4" t="inlineStr">
        <is>
          <t>Lc_rt y</t>
        </is>
      </c>
      <c r="DT4" t="inlineStr">
        <is>
          <t>Lc_s x</t>
        </is>
      </c>
      <c r="DU4" t="inlineStr">
        <is>
          <t>Lc_s y</t>
        </is>
      </c>
      <c r="DV4" t="inlineStr">
        <is>
          <t>NAlosa x</t>
        </is>
      </c>
      <c r="DW4" t="inlineStr">
        <is>
          <t>NAlosa y</t>
        </is>
      </c>
      <c r="DX4" t="inlineStr">
        <is>
          <t>NAapoyo x</t>
        </is>
      </c>
      <c r="DY4" t="inlineStr">
        <is>
          <t>NAapoyo y</t>
        </is>
      </c>
      <c r="DZ4" t="inlineStr">
        <is>
          <t>NAfar x</t>
        </is>
      </c>
      <c r="EA4" t="inlineStr">
        <is>
          <t>NAfar y</t>
        </is>
      </c>
      <c r="EB4" t="inlineStr">
        <is>
          <t>NAinf x</t>
        </is>
      </c>
      <c r="EC4" t="inlineStr">
        <is>
          <t>NAinf y</t>
        </is>
      </c>
      <c r="ED4" t="inlineStr">
        <is>
          <t>NAsup x</t>
        </is>
      </c>
      <c r="EE4" t="inlineStr">
        <is>
          <t>NAsup y</t>
        </is>
      </c>
      <c r="EF4" t="inlineStr">
        <is>
          <t>NAb0 x</t>
        </is>
      </c>
      <c r="EG4" t="inlineStr">
        <is>
          <t>NAb0 y</t>
        </is>
      </c>
      <c r="EH4" t="inlineStr">
        <is>
          <t>NAb1 x</t>
        </is>
      </c>
      <c r="EI4" t="inlineStr">
        <is>
          <t>NAb1 y</t>
        </is>
      </c>
      <c r="EJ4" t="inlineStr">
        <is>
          <t>NAbv x</t>
        </is>
      </c>
      <c r="EK4" t="inlineStr">
        <is>
          <t>NAbv y</t>
        </is>
      </c>
      <c r="EL4" t="inlineStr">
        <is>
          <t>NAcas x</t>
        </is>
      </c>
      <c r="EM4" t="inlineStr">
        <is>
          <t>NAcas y</t>
        </is>
      </c>
      <c r="EN4" t="inlineStr">
        <is>
          <t>NAmac x</t>
        </is>
      </c>
      <c r="EO4" t="inlineStr">
        <is>
          <t>NAmac y</t>
        </is>
      </c>
      <c r="EP4" t="inlineStr">
        <is>
          <t>NAc_a x</t>
        </is>
      </c>
      <c r="EQ4" t="inlineStr">
        <is>
          <t>NAc_a y</t>
        </is>
      </c>
      <c r="ER4" t="inlineStr">
        <is>
          <t>NAc_L x</t>
        </is>
      </c>
      <c r="ES4" t="inlineStr">
        <is>
          <t>NAc_L y</t>
        </is>
      </c>
      <c r="ET4" t="inlineStr">
        <is>
          <t>NAP x</t>
        </is>
      </c>
      <c r="EU4" t="inlineStr">
        <is>
          <t>NAP y</t>
        </is>
      </c>
      <c r="EV4" t="inlineStr">
        <is>
          <t>MAlosa x</t>
        </is>
      </c>
      <c r="EW4" t="inlineStr">
        <is>
          <t>MAlosa y</t>
        </is>
      </c>
      <c r="EX4" t="inlineStr">
        <is>
          <t>MAapoyo x</t>
        </is>
      </c>
      <c r="EY4" t="inlineStr">
        <is>
          <t>MAapoyo y</t>
        </is>
      </c>
      <c r="EZ4" t="inlineStr">
        <is>
          <t>MAfar x</t>
        </is>
      </c>
      <c r="FA4" t="inlineStr">
        <is>
          <t>MAfar y</t>
        </is>
      </c>
      <c r="FB4" t="inlineStr">
        <is>
          <t>MAinf x</t>
        </is>
      </c>
      <c r="FC4" t="inlineStr">
        <is>
          <t>MAinf y</t>
        </is>
      </c>
      <c r="FD4" t="inlineStr">
        <is>
          <t>MAsup x</t>
        </is>
      </c>
      <c r="FE4" t="inlineStr">
        <is>
          <t>MAsup y</t>
        </is>
      </c>
      <c r="FF4" t="inlineStr">
        <is>
          <t>MAb0 x</t>
        </is>
      </c>
      <c r="FG4" t="inlineStr">
        <is>
          <t>MAb0 y</t>
        </is>
      </c>
      <c r="FH4" t="inlineStr">
        <is>
          <t>MAb1 x</t>
        </is>
      </c>
      <c r="FI4" t="inlineStr">
        <is>
          <t>MAb1 y</t>
        </is>
      </c>
      <c r="FJ4" t="inlineStr">
        <is>
          <t>MAc_a x</t>
        </is>
      </c>
      <c r="FK4" t="inlineStr">
        <is>
          <t>MAc_a y</t>
        </is>
      </c>
      <c r="FL4" t="inlineStr">
        <is>
          <t>MAc_L x</t>
        </is>
      </c>
      <c r="FM4" t="inlineStr">
        <is>
          <t>MAc_L y</t>
        </is>
      </c>
      <c r="FN4" t="inlineStr">
        <is>
          <t>MAP x</t>
        </is>
      </c>
      <c r="FO4" t="inlineStr">
        <is>
          <t>MAP y</t>
        </is>
      </c>
    </row>
    <row r="8">
      <c r="A8" t="n">
        <v>1</v>
      </c>
      <c r="B8">
        <f>IF(AND(CROQUIS!$C$87=1),CHOOSE(MIN(MAX($A8,1),5),(CROQUIS!$C$160+(0)*CROQUIS!$C$159),(CROQUIS!$C$160+(CROQUIS!$C$95)*CROQUIS!$C$159),(CROQUIS!$C$160+(CROQUIS!$C$95)*CROQUIS!$C$159),(CROQUIS!$C$160+(0)*CROQUIS!$C$159),(CROQUIS!$C$160+(0)*CROQUIS!$C$159)),-1000)</f>
        <v>12</v>
      </c>
      <c r="C8">
        <f>IF(AND(CROQUIS!$C$87=1),CHOOSE(MIN(MAX($A8,1),5),(CROQUIS!$C$161+(0)*CROQUIS!$C$159),(CROQUIS!$C$161+(0)*CROQUIS!$C$159),(CROQUIS!$C$161+(CROQUIS!$C$96)*CROQUIS!$C$159),(CROQUIS!$C$161+(CROQUIS!$C$96)*CROQUIS!$C$159),(CROQUIS!$C$161+(0)*CROQUIS!$C$159)),-1000)</f>
        <v>15.6574785359241</v>
      </c>
      <c r="D8">
        <f>IF(AND(CROQUIS!$C$87=1),CHOOSE(MIN(MAX($A8,1)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E8">
        <f>IF(AND(CROQUIS!$C$87=1),CHOOSE(MIN(MAX($A8,1)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F8">
        <f>IF(AND(CROQUIS!$C$87=1,CROQUIS!$C$91=1),((CROQUIS!$C$160+(IF(CROQUIS!$C$92="X",IF(CROQUIS!$C$94=1,0,CROQUIS!$C$97)+IF(MOD($A8,2)=1,-CROQUIS!$C$107/2,CROQUIS!$C$107/2),(MIN($A8,41)-1)/40*CROQUIS!$C$98))*CROQUIS!$C$159)+IF(CROQUIS!$C$92="X",0,0)),-1000)</f>
        <v>-1000</v>
      </c>
      <c r="G8">
        <f>IF(AND(CROQUIS!$C$87=1,CROQUIS!$C$91=1),((CROQUIS!$C$161+(IF(CROQUIS!$C$92="X",(MIN($A8,41)-1)/40*CROQUIS!$C$98,IF(CROQUIS!$C$94=1,0,CROQUIS!$C$97)+IF(MOD($A8,2)=1,-CROQUIS!$C$107/2,CROQUIS!$C$107/2)))*CROQUIS!$C$159)+IF(CROQUIS!$C$92="X",0,0)),-1000)</f>
        <v>-1000</v>
      </c>
      <c r="H8">
        <f>IF(AND(CROQUIS!$C$87=1,CROQUIS!$C$91=1),CHOOSE(MIN(MAX($A8,1)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I8">
        <f>IF(AND(CROQUIS!$C$87=1,CROQUIS!$C$91=1),CHOOSE(MIN(MAX($A8,1)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J8">
        <f>IF(AND(CROQUIS!$C$87=1,CROQUIS!$C$153=1),CHOOSE(MIN(MAX($A8,1)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K8">
        <f>IF(AND(CROQUIS!$C$87=1,CROQUIS!$C$153=1),CHOOSE(MIN(MAX($A8,1)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L8">
        <f>IF(AND(CROQUIS!$C$87=1,CROQUIS!$C$91=1,CROQUIS!$C$151&gt;0),((CROQUIS!$C$160+(IF(CROQUIS!$C$92="X",IF(CROQUIS!$C$94=1,CROQUIS!$C$97,0),CHOOSE(MIN(MAX($A8,1),3),0,0.5,1)*CROQUIS!$C$98))*CROQUIS!$C$159)+IF(CROQUIS!$C$92="X",0,0)),-1000)</f>
        <v>-1000</v>
      </c>
      <c r="M8">
        <f>IF(AND(CROQUIS!$C$87=1,CROQUIS!$C$91=1,CROQUIS!$C$151&gt;0),((CROQUIS!$C$161+(IF(CROQUIS!$C$92="X",CHOOSE(MIN(MAX($A8,1),3),0,0.5,1)*CROQUIS!$C$98,IF(CROQUIS!$C$94=1,CROQUIS!$C$97,0)))*CROQUIS!$C$159)+IF(CROQUIS!$C$92="X",0,0)),-1000)</f>
        <v>-1000</v>
      </c>
      <c r="N8">
        <f>IF(AND(CROQUIS!$C$87=1),CHOOSE(MIN(MAX($A8,1),7),(CROQUIS!$C$160+(0)*CROQUIS!$C$159),(CROQUIS!$C$160+(0)*CROQUIS!$C$159),(CROQUIS!$C$160+(0)*CROQUIS!$C$159),((CROQUIS!$C$160+(0)*CROQUIS!$C$159)+(CROQUIS!$C$160+(CROQUIS!$C$95)*CROQUIS!$C$159))/2,(CROQUIS!$C$160+(CROQUIS!$C$95)*CROQUIS!$C$159),(CROQUIS!$C$160+(CROQUIS!$C$95)*CROQUIS!$C$159),(CROQUIS!$C$160+(CROQUIS!$C$95)*CROQUIS!$C$159)),-1000)</f>
        <v>12</v>
      </c>
      <c r="O8">
        <f>IF(AND(CROQUIS!$C$87=1),CHOOSE(MIN(MAX($A8,1),7),((CROQUIS!$C$161+(CROQUIS!$C$157)*CROQUIS!$C$159)-5)-1.4,((CROQUIS!$C$161+(CROQUIS!$C$157)*CROQUIS!$C$159)-5)+1.4,((CROQUIS!$C$161+(CROQUIS!$C$157)*CROQUIS!$C$159)-5),((CROQUIS!$C$161+(CROQUIS!$C$157)*CROQUIS!$C$159)-5),((CROQUIS!$C$161+(CROQUIS!$C$157)*CROQUIS!$C$159)-5),((CROQUIS!$C$161+(CROQUIS!$C$157)*CROQUIS!$C$159)-5)+1.4,((CROQUIS!$C$161+(CROQUIS!$C$157)*CROQUIS!$C$159)-5)-1.4),-1000)</f>
        <v>9.25747853592409</v>
      </c>
      <c r="P8">
        <f>IF(AND(CROQUIS!$C$87=1),CHOOSE(MIN(MAX($A8,1),7),((CROQUIS!$C$160+(CROQUIS!$C$155)*CROQUIS!$C$159)-5)-1.4,((CROQUIS!$C$160+(CROQUIS!$C$155)*CROQUIS!$C$159)-5)+1.4,((CROQUIS!$C$160+(CROQUIS!$C$155)*CROQUIS!$C$159)-5),((CROQUIS!$C$160+(CROQUIS!$C$155)*CROQUIS!$C$159)-5),((CROQUIS!$C$160+(CROQUIS!$C$155)*CROQUIS!$C$159)-5),((CROQUIS!$C$160+(CROQUIS!$C$155)*CROQUIS!$C$159)-5)+1.4,((CROQUIS!$C$160+(CROQUIS!$C$155)*CROQUIS!$C$159)-5)-1.4),-1000)</f>
        <v>5.6</v>
      </c>
      <c r="Q8">
        <f>IF(AND(CROQUIS!$C$87=1),CHOOSE(MIN(MAX($A8,1),7),(CROQUIS!$C$161+(0)*CROQUIS!$C$159),(CROQUIS!$C$161+(0)*CROQUIS!$C$159),(CROQUIS!$C$161+(0)*CROQUIS!$C$159),((CROQUIS!$C$161+(0)*CROQUIS!$C$159)+(CROQUIS!$C$161+(CROQUIS!$C$96)*CROQUIS!$C$159))/2,(CROQUIS!$C$161+(CROQUIS!$C$96)*CROQUIS!$C$159),(CROQUIS!$C$161+(CROQUIS!$C$96)*CROQUIS!$C$159),(CROQUIS!$C$161+(CROQUIS!$C$96)*CROQUIS!$C$159)),-1000)</f>
        <v>15.6574785359241</v>
      </c>
      <c r="R8">
        <f>IF(AND(CROQUIS!$C$88=1),CHOOSE(MIN(MAX($A8,1),5),(CROQUIS!$C$160+(0)*CROQUIS!$C$159),(CROQUIS!$C$160+(CROQUIS!$C$95)*CROQUIS!$C$159),(CROQUIS!$C$160+(CROQUIS!$C$95)*CROQUIS!$C$159),(CROQUIS!$C$160+(0)*CROQUIS!$C$159),(CROQUIS!$C$160+(0)*CROQUIS!$C$159)),-1000)</f>
        <v>-1000</v>
      </c>
      <c r="S8">
        <f>IF(AND(CROQUIS!$C$88=1),CHOOSE(MIN(MAX($A8,1),5),(CROQUIS!$C$161+(0)*CROQUIS!$C$159),(CROQUIS!$C$161+(0)*CROQUIS!$C$159),(CROQUIS!$C$161+(CROQUIS!$C$96)*CROQUIS!$C$159),(CROQUIS!$C$161+(CROQUIS!$C$96)*CROQUIS!$C$159),(CROQUIS!$C$161+(0)*CROQUIS!$C$159)),-1000)</f>
        <v>-1000</v>
      </c>
      <c r="T8">
        <f>IF(AND(CROQUIS!$C$88=1),CHOOSE(MIN(MAX($A8,1)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U8">
        <f>IF(AND(CROQUIS!$C$88=1),CHOOSE(MIN(MAX($A8,1)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V8">
        <f>IF(AND(CROQUIS!$C$88=1,CROQUIS!$C$91=1),((CROQUIS!$C$160+(IF(CROQUIS!$C$92="X",IF(CROQUIS!$C$94=1,0,CROQUIS!$C$97)+IF(MOD($A8,2)=1,-CROQUIS!$C$107/2,CROQUIS!$C$107/2),(MIN($A8,41)-1)/40*CROQUIS!$C$98))*CROQUIS!$C$159)+IF(CROQUIS!$C$92="X",0,0)),-1000)</f>
        <v>-1000</v>
      </c>
      <c r="W8">
        <f>IF(AND(CROQUIS!$C$88=1,CROQUIS!$C$91=1),((CROQUIS!$C$161+(IF(CROQUIS!$C$92="X",(MIN($A8,41)-1)/40*CROQUIS!$C$98,IF(CROQUIS!$C$94=1,0,CROQUIS!$C$97)+IF(MOD($A8,2)=1,-CROQUIS!$C$107/2,CROQUIS!$C$107/2)))*CROQUIS!$C$159)+IF(CROQUIS!$C$92="X",0,0)),-1000)</f>
        <v>-1000</v>
      </c>
      <c r="X8">
        <f>IF(AND(CROQUIS!$C$88=1,CROQUIS!$C$91=1),CHOOSE(MIN(MAX($A8,1)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Y8">
        <f>IF(AND(CROQUIS!$C$88=1,CROQUIS!$C$91=1),CHOOSE(MIN(MAX($A8,1)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Z8">
        <f>IF(AND(CROQUIS!$C$88=1,CROQUIS!$C$153=1),CHOOSE(MIN(MAX($A8,1)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A8">
        <f>IF(AND(CROQUIS!$C$88=1,CROQUIS!$C$153=1),CHOOSE(MIN(MAX($A8,1)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B8">
        <f>IF(AND(CROQUIS!$C$88=1,CROQUIS!$C$91=1,CROQUIS!$C$151&gt;0),((CROQUIS!$C$160+(IF(CROQUIS!$C$92="X",IF(CROQUIS!$C$94=1,CROQUIS!$C$97,0),CHOOSE(MIN(MAX($A8,1),3),0,0.5,1)*CROQUIS!$C$98))*CROQUIS!$C$159)+IF(CROQUIS!$C$92="X",0,0)),-1000)</f>
        <v>-1000</v>
      </c>
      <c r="AC8">
        <f>IF(AND(CROQUIS!$C$88=1,CROQUIS!$C$91=1,CROQUIS!$C$151&gt;0),((CROQUIS!$C$161+(IF(CROQUIS!$C$92="X",CHOOSE(MIN(MAX($A8,1),3),0,0.5,1)*CROQUIS!$C$98,IF(CROQUIS!$C$94=1,CROQUIS!$C$97,0)))*CROQUIS!$C$159)+IF(CROQUIS!$C$92="X",0,0)),-1000)</f>
        <v>-1000</v>
      </c>
      <c r="AD8">
        <f>IF(AND(CROQUIS!$C$88=1),CHOOSE(MIN(MAX($A8,1),7),(CROQUIS!$C$160+(0)*CROQUIS!$C$159),(CROQUIS!$C$160+(0)*CROQUIS!$C$159),(CROQUIS!$C$160+(0)*CROQUIS!$C$159),((CROQUIS!$C$160+(0)*CROQUIS!$C$159)+(CROQUIS!$C$160+(CROQUIS!$C$95)*CROQUIS!$C$159))/2,(CROQUIS!$C$160+(CROQUIS!$C$95)*CROQUIS!$C$159),(CROQUIS!$C$160+(CROQUIS!$C$95)*CROQUIS!$C$159),(CROQUIS!$C$160+(CROQUIS!$C$95)*CROQUIS!$C$159)),-1000)</f>
        <v>-1000</v>
      </c>
      <c r="AE8">
        <f>IF(AND(CROQUIS!$C$88=1),CHOOSE(MIN(MAX($A8,1),7),((CROQUIS!$C$161+(CROQUIS!$C$157)*CROQUIS!$C$159)-5)-1.4,((CROQUIS!$C$161+(CROQUIS!$C$157)*CROQUIS!$C$159)-5)+1.4,((CROQUIS!$C$161+(CROQUIS!$C$157)*CROQUIS!$C$159)-5),((CROQUIS!$C$161+(CROQUIS!$C$157)*CROQUIS!$C$159)-5),((CROQUIS!$C$161+(CROQUIS!$C$157)*CROQUIS!$C$159)-5),((CROQUIS!$C$161+(CROQUIS!$C$157)*CROQUIS!$C$159)-5)+1.4,((CROQUIS!$C$161+(CROQUIS!$C$157)*CROQUIS!$C$159)-5)-1.4),-1000)</f>
        <v>-1000</v>
      </c>
      <c r="AF8">
        <f>IF(AND(CROQUIS!$C$88=1),CHOOSE(MIN(MAX($A8,1),7),((CROQUIS!$C$160+(CROQUIS!$C$155)*CROQUIS!$C$159)-5)-1.4,((CROQUIS!$C$160+(CROQUIS!$C$155)*CROQUIS!$C$159)-5)+1.4,((CROQUIS!$C$160+(CROQUIS!$C$155)*CROQUIS!$C$159)-5),((CROQUIS!$C$160+(CROQUIS!$C$155)*CROQUIS!$C$159)-5),((CROQUIS!$C$160+(CROQUIS!$C$155)*CROQUIS!$C$159)-5),((CROQUIS!$C$160+(CROQUIS!$C$155)*CROQUIS!$C$159)-5)+1.4,((CROQUIS!$C$160+(CROQUIS!$C$155)*CROQUIS!$C$159)-5)-1.4),-1000)</f>
        <v>-1000</v>
      </c>
      <c r="AG8">
        <f>IF(AND(CROQUIS!$C$88=1),CHOOSE(MIN(MAX($A8,1),7),(CROQUIS!$C$161+(0)*CROQUIS!$C$159),(CROQUIS!$C$161+(0)*CROQUIS!$C$159),(CROQUIS!$C$161+(0)*CROQUIS!$C$159),((CROQUIS!$C$161+(0)*CROQUIS!$C$159)+(CROQUIS!$C$161+(CROQUIS!$C$96)*CROQUIS!$C$159))/2,(CROQUIS!$C$161+(CROQUIS!$C$96)*CROQUIS!$C$159),(CROQUIS!$C$161+(CROQUIS!$C$96)*CROQUIS!$C$159),(CROQUIS!$C$161+(CROQUIS!$C$96)*CROQUIS!$C$159)),-1000)</f>
        <v>-1000</v>
      </c>
      <c r="AH8">
        <f>IF(AND(CROQUIS!$C$87=1,CROQUIS!$C$91=1,CROQUIS!$C$147&gt;0),CHOOSE(MIN(MAX($A8,1)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I8">
        <f>IF(AND(CROQUIS!$C$87=1,CROQUIS!$C$91=1,CROQUIS!$C$147&gt;0),CHOOSE(MIN(MAX($A8,1)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J8">
        <f>IF(AND(CROQUIS!$C$87=1,CROQUIS!$C$162&gt;0,CROQUIS!$C$164&gt;0),(CROQUIS!$C$160+((CROQUIS!$C$163+INT(MIN(INT(($A8-1)/2),MAX((2*CROQUIS!$C$162)-1,0))/2)*CROQUIS!$C$116+MOD(MIN(INT(($A8-1)/2),MAX((2*CROQUIS!$C$162)-1,0)),2)*CROQUIS!$C$114))*CROQUIS!$C$159),-1000)</f>
        <v>22.9552643470402</v>
      </c>
      <c r="AK8">
        <f>IF(AND(CROQUIS!$C$87=1,CROQUIS!$C$162&gt;0,CROQUIS!$C$164&gt;0),(CROQUIS!$C$161+(IF(MOD(MIN(INT(($A8-1)/2),MAX((2*CROQUIS!$C$162)-1,0)),2)=0,IF(IF(INT(($A8-1)/2)&gt;MAX((2*CROQUIS!$C$162)-1,0),1,MOD($A8-1,2))=0,CROQUIS!$C$165,(CROQUIS!$C$165+(CROQUIS!$C$164-1)*CROQUIS!$C$116+CROQUIS!$C$115)),IF(IF(INT(($A8-1)/2)&gt;MAX((2*CROQUIS!$C$162)-1,0),1,MOD($A8-1,2))=0,(CROQUIS!$C$165+(CROQUIS!$C$164-1)*CROQUIS!$C$116+CROQUIS!$C$115),CROQUIS!$C$165)))*CROQUIS!$C$159),-1000)</f>
        <v>20.8088567555355</v>
      </c>
      <c r="AL8">
        <f>IF(AND(CROQUIS!$C$87=1,CROQUIS!$C$164&gt;0,CROQUIS!$C$162&gt;0),(CROQUIS!$C$160+(IF(MOD(MIN(INT(($A8-1)/2),MAX((2*CROQUIS!$C$164)-1,0)),2)=0,IF(IF(INT(($A8-1)/2)&gt;MAX((2*CROQUIS!$C$164)-1,0),1,MOD($A8-1,2))=0,CROQUIS!$C$163,(CROQUIS!$C$163+(CROQUIS!$C$162-1)*CROQUIS!$C$116+CROQUIS!$C$114)),IF(IF(INT(($A8-1)/2)&gt;MAX((2*CROQUIS!$C$164)-1,0),1,MOD($A8-1,2))=0,(CROQUIS!$C$163+(CROQUIS!$C$162-1)*CROQUIS!$C$116+CROQUIS!$C$114),CROQUIS!$C$163)))*CROQUIS!$C$159),-1000)</f>
        <v>22.9552643470402</v>
      </c>
      <c r="AM8">
        <f>IF(AND(CROQUIS!$C$87=1,CROQUIS!$C$164&gt;0,CROQUIS!$C$162&gt;0),(CROQUIS!$C$161+((CROQUIS!$C$165+INT(MIN(INT(($A8-1)/2),MAX((2*CROQUIS!$C$164)-1,0))/2)*CROQUIS!$C$116+MOD(MIN(INT(($A8-1)/2),MAX((2*CROQUIS!$C$164)-1,0)),2)*CROQUIS!$C$115))*CROQUIS!$C$159),-1000)</f>
        <v>20.8088567555355</v>
      </c>
      <c r="AN8">
        <f>IF(AND(CROQUIS!$C$87=1,CROQUIS!$C$162&gt;=2),(CROQUIS!$C$160+((CROQUIS!$C$163+CROQUIS!$C$114+(CROQUIS!$C$116-CROQUIS!$C$114)/2+MIN(INT(($A8-1)/2),MAX((CROQUIS!$C$162-1)-1,0))*CROQUIS!$C$116))*CROQUIS!$C$159),-1000)</f>
        <v>34.1165838228649</v>
      </c>
      <c r="AO8">
        <f>IF(AND(CROQUIS!$C$87=1,CROQUIS!$C$162&gt;=2),(CROQUIS!$C$161+(IF(MOD(MIN(INT(($A8-1)/2),MAX((CROQUIS!$C$162-1)-1,0)),2)=0,IF(IF(INT(($A8-1)/2)&gt;MAX((CROQUIS!$C$162-1)-1,0),1,MOD($A8-1,2))=0,CROQUIS!$C$107/2,(CROQUIS!$C$96-CROQUIS!$C$107/2)),IF(IF(INT(($A8-1)/2)&gt;MAX((CROQUIS!$C$162-1)-1,0),1,MOD($A8-1,2))=0,(CROQUIS!$C$96-CROQUIS!$C$107/2),CROQUIS!$C$107/2)))*CROQUIS!$C$159),-1000)</f>
        <v>16.9453230908269</v>
      </c>
      <c r="AP8">
        <f>IF(AND(CROQUIS!$C$87=1,CROQUIS!$C$164&gt;=2),(CROQUIS!$C$160+(IF(MOD(MIN(INT(($A8-1)/2),MAX((CROQUIS!$C$164-1)-1,0)),2)=0,IF(IF(INT(($A8-1)/2)&gt;MAX((CROQUIS!$C$164-1)-1,0),1,MOD($A8-1,2))=0,CROQUIS!$C$107/2,(CROQUIS!$C$95-CROQUIS!$C$107/2)),IF(IF(INT(($A8-1)/2)&gt;MAX((CROQUIS!$C$164-1)-1,0),1,MOD($A8-1,2))=0,(CROQUIS!$C$95-CROQUIS!$C$107/2),CROQUIS!$C$107/2)))*CROQUIS!$C$159),-1000)</f>
        <v>13.2878445549028</v>
      </c>
      <c r="AQ8">
        <f>IF(AND(CROQUIS!$C$87=1,CROQUIS!$C$164&gt;=2),(CROQUIS!$C$161+((CROQUIS!$C$165+CROQUIS!$C$115+(CROQUIS!$C$116-CROQUIS!$C$115)/2+MIN(INT(($A8-1)/2),MAX((CROQUIS!$C$164-1)-1,0))*CROQUIS!$C$116))*CROQUIS!$C$159),-1000)</f>
        <v>31.9701762313601</v>
      </c>
      <c r="AR8">
        <f>IF(AND(CROQUIS!$C$87=1,CROQUIS!$C$126&gt;0,CROQUIS!$C$166&gt;0),((CROQUIS!$C$160+(IF(CROQUIS!$C$92="X",CHOOSE(MIN(MAX($A8,1)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8,1)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8">
        <f>IF(AND(CROQUIS!$C$87=1,CROQUIS!$C$126&gt;0,CROQUIS!$C$166&gt;0),((CROQUIS!$C$161+(IF(CROQUIS!$C$92="X",CHOOSE(MIN(MAX($A8,1)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8,1)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AT8">
        <f>IF(AND(CROQUIS!$C$87=1),((CROQUIS!$C$160+(IF(CROQUIS!$C$92="X",CHOOSE(MIN(MAX($A8,1),2),2,CROQUIS!$C$97-2),CROQUIS!$C$170))*CROQUIS!$C$159)+IF(CROQUIS!$C$92="X",0,-0.9)),-1000)</f>
        <v>45.2364663352915</v>
      </c>
      <c r="AU8">
        <f>IF(AND(CROQUIS!$C$87=1),((CROQUIS!$C$161+(IF(CROQUIS!$C$92="X",CROQUIS!$C$170,CHOOSE(MIN(MAX($A8,1),2),2,CROQUIS!$C$97-2)))*CROQUIS!$C$159)+IF(CROQUIS!$C$92="X",-0.9,0)),-1000)</f>
        <v>16.0009037505648</v>
      </c>
      <c r="AV8">
        <f>IF(AND(CROQUIS!$C$87=1,CROQUIS!$C$133&gt;0),((CROQUIS!$C$160+(IF(CROQUIS!$C$92="X",CHOOSE(MIN(MAX($A8,1),2),IF(CROQUIS!$C$91=1,IF(CROQUIS!$C$94=1,-(CROQUIS!$C$107/2+CROQUIS!$C$143),2),2),IF(CROQUIS!$C$91=1,IF(CROQUIS!$C$94=1,CROQUIS!$C$97-2,CROQUIS!$C$97+CROQUIS!$C$107/2+CROQUIS!$C$143),CROQUIS!$C$97-2)),CROQUIS!$C$170))*CROQUIS!$C$159)+IF(CROQUIS!$C$92="X",0,0.9)),-1000)</f>
        <v>47.0364663352915</v>
      </c>
      <c r="AW8">
        <f>IF(AND(CROQUIS!$C$87=1,CROQUIS!$C$133&gt;0),((CROQUIS!$C$161+(IF(CROQUIS!$C$92="X",CROQUIS!$C$170,CHOOSE(MIN(MAX($A8,1),2),IF(CROQUIS!$C$91=1,IF(CROQUIS!$C$94=1,-(CROQUIS!$C$107/2+CROQUIS!$C$143),2),2),IF(CROQUIS!$C$91=1,IF(CROQUIS!$C$94=1,CROQUIS!$C$97-2,CROQUIS!$C$97+CROQUIS!$C$107/2+CROQUIS!$C$143),CROQUIS!$C$97-2))))*CROQUIS!$C$159)+IF(CROQUIS!$C$92="X",0.9,0)),-1000)</f>
        <v>16.0009037505648</v>
      </c>
      <c r="AX8">
        <f>IF(AND(CROQUIS!$C$87=1,CROQUIS!$C$91=0,CROQUIS!$C$133&gt;=2,OR(CROQUIS!$C$103=1,CROQUIS!$C$145=1)),((CROQUIS!$C$160+(IF(CROQUIS!$C$92="X",CHOOSE(MIN(MAX($A8,1),2),IF(CROQUIS!$C$103=1,-12,2),CROQUIS!$C$107/2+CROQUIS!$C$143),CROQUIS!$C$170))*CROQUIS!$C$159)+IF(CROQUIS!$C$92="X",0,2.1)),-1000)</f>
        <v>-1000</v>
      </c>
      <c r="AY8">
        <f>IF(AND(CROQUIS!$C$87=1,CROQUIS!$C$91=0,CROQUIS!$C$133&gt;=2,OR(CROQUIS!$C$103=1,CROQUIS!$C$145=1)),((CROQUIS!$C$161+(IF(CROQUIS!$C$92="X",CROQUIS!$C$170,CHOOSE(MIN(MAX($A8,1),2),IF(CROQUIS!$C$103=1,-12,2),CROQUIS!$C$107/2+CROQUIS!$C$143)))*CROQUIS!$C$159)+IF(CROQUIS!$C$92="X",2.1,0)),-1000)</f>
        <v>-1000</v>
      </c>
      <c r="AZ8">
        <f>IF(AND(CROQUIS!$C$87=1,CROQUIS!$C$91=0,CROQUIS!$C$133&gt;=2,OR(CROQUIS!$C$104=1,CROQUIS!$C$145=1)),((CROQUIS!$C$160+(IF(CROQUIS!$C$92="X",CHOOSE(MIN(MAX($A8,1),2),CROQUIS!$C$97-CROQUIS!$C$107/2-CROQUIS!$C$143,IF(CROQUIS!$C$104=1,CROQUIS!$C$97+12,CROQUIS!$C$97-2)),CROQUIS!$C$170))*CROQUIS!$C$159)+IF(CROQUIS!$C$92="X",0,2.1)),-1000)</f>
        <v>-1000</v>
      </c>
      <c r="BA8">
        <f>IF(AND(CROQUIS!$C$87=1,CROQUIS!$C$91=0,CROQUIS!$C$133&gt;=2,OR(CROQUIS!$C$104=1,CROQUIS!$C$145=1)),((CROQUIS!$C$161+(IF(CROQUIS!$C$92="X",CROQUIS!$C$170,CHOOSE(MIN(MAX($A8,1),2),CROQUIS!$C$97-CROQUIS!$C$107/2-CROQUIS!$C$143,IF(CROQUIS!$C$104=1,CROQUIS!$C$97+12,CROQUIS!$C$97-2))))*CROQUIS!$C$159)+IF(CROQUIS!$C$92="X",2.1,0)),-1000)</f>
        <v>-1000</v>
      </c>
      <c r="BB8">
        <f>IF(AND(CROQUIS!$C$87=1,CROQUIS!$C$91=1,CROQUIS!$C$147&gt;0,CROQUIS!$C$133&gt;=2),((CROQUIS!$C$160+(IF(CROQUIS!$C$92="X",CHOOSE(MIN(MAX($A8,1),2),IF(CROQUIS!$C$94=1,CROQUIS!$C$97-2,2),IF(CROQUIS!$C$94=1,-(CROQUIS!$C$107/2+CROQUIS!$C$147),CROQUIS!$C$97+CROQUIS!$C$107/2+CROQUIS!$C$147)),CROQUIS!$C$170))*CROQUIS!$C$159)+IF(CROQUIS!$C$92="X",0,2.1)),-1000)</f>
        <v>-1000</v>
      </c>
      <c r="BC8">
        <f>IF(AND(CROQUIS!$C$87=1,CROQUIS!$C$91=1,CROQUIS!$C$147&gt;0,CROQUIS!$C$133&gt;=2),((CROQUIS!$C$161+(IF(CROQUIS!$C$92="X",CROQUIS!$C$170,CHOOSE(MIN(MAX($A8,1),2),IF(CROQUIS!$C$94=1,CROQUIS!$C$97-2,2),IF(CROQUIS!$C$94=1,-(CROQUIS!$C$107/2+CROQUIS!$C$147),CROQUIS!$C$97+CROQUIS!$C$107/2+CROQUIS!$C$147))))*CROQUIS!$C$159)+IF(CROQUIS!$C$92="X",2.1,0)),-1000)</f>
        <v>-1000</v>
      </c>
      <c r="BD8">
        <f>IF(AND(CROQUIS!$C$87=1),((CROQUIS!$C$160+(IF(CROQUIS!$C$92="X",CROQUIS!$C$171,CHOOSE(MIN(MAX($A8,1),2),2,CROQUIS!$C$98-2)))*CROQUIS!$C$159)+IF(CROQUIS!$C$92="X",-0.9,0)),-1000)</f>
        <v>12.3434252146408</v>
      </c>
      <c r="BE8">
        <f>IF(AND(CROQUIS!$C$87=1),((CROQUIS!$C$161+(IF(CROQUIS!$C$92="X",CHOOSE(MIN(MAX($A8,1),2),2,CROQUIS!$C$98-2),CROQUIS!$C$171))*CROQUIS!$C$159)+IF(CROQUIS!$C$92="X",0,-0.9)),-1000)</f>
        <v>43.0900587437867</v>
      </c>
      <c r="BF8">
        <f>IF(AND(CROQUIS!$C$87=1),((CROQUIS!$C$160+(IF(CROQUIS!$C$92="X",CROQUIS!$C$171,CHOOSE(MIN(MAX($A8,1),2),2,CROQUIS!$C$98-2)))*CROQUIS!$C$159)+IF(CROQUIS!$C$92="X",0.9,0)),-1000)</f>
        <v>12.3434252146408</v>
      </c>
      <c r="BG8">
        <f>IF(AND(CROQUIS!$C$87=1),((CROQUIS!$C$161+(IF(CROQUIS!$C$92="X",CHOOSE(MIN(MAX($A8,1),2),2,CROQUIS!$C$98-2),CROQUIS!$C$171))*CROQUIS!$C$159)+IF(CROQUIS!$C$92="X",0,0.9)),-1000)</f>
        <v>44.8900587437867</v>
      </c>
      <c r="BH8">
        <f>IF(AND(CROQUIS!$C$87=1,CROQUIS!$C$91=0,CROQUIS!$C$141&gt;=2,OR(CROQUIS!$C$105=1,CROQUIS!$C$146=1)),((CROQUIS!$C$160+(IF(CROQUIS!$C$92="X",CROQUIS!$C$171,CHOOSE(MIN(MAX($A8,1),2),IF(CROQUIS!$C$105=1,-12,2),CROQUIS!$C$107/2+CROQUIS!$C$144)))*CROQUIS!$C$159)+IF(CROQUIS!$C$92="X",2.1,0)),-1000)</f>
        <v>-1000</v>
      </c>
      <c r="BI8">
        <f>IF(AND(CROQUIS!$C$87=1,CROQUIS!$C$91=0,CROQUIS!$C$141&gt;=2,OR(CROQUIS!$C$105=1,CROQUIS!$C$146=1)),((CROQUIS!$C$161+(IF(CROQUIS!$C$92="X",CHOOSE(MIN(MAX($A8,1),2),IF(CROQUIS!$C$105=1,-12,2),CROQUIS!$C$107/2+CROQUIS!$C$144),CROQUIS!$C$171))*CROQUIS!$C$159)+IF(CROQUIS!$C$92="X",0,2.1)),-1000)</f>
        <v>-1000</v>
      </c>
      <c r="BJ8">
        <f>IF(AND(CROQUIS!$C$87=1,CROQUIS!$C$91=0,CROQUIS!$C$141&gt;=2,OR(CROQUIS!$C$106=1,CROQUIS!$C$146=1)),((CROQUIS!$C$160+(IF(CROQUIS!$C$92="X",CROQUIS!$C$171,CHOOSE(MIN(MAX($A8,1),2),CROQUIS!$C$98-CROQUIS!$C$107/2-CROQUIS!$C$144,IF(CROQUIS!$C$106=1,CROQUIS!$C$98+12,CROQUIS!$C$98-2))))*CROQUIS!$C$159)+IF(CROQUIS!$C$92="X",2.1,0)),-1000)</f>
        <v>-1000</v>
      </c>
      <c r="BK8">
        <f>IF(AND(CROQUIS!$C$87=1,CROQUIS!$C$91=0,CROQUIS!$C$141&gt;=2,OR(CROQUIS!$C$106=1,CROQUIS!$C$146=1)),((CROQUIS!$C$161+(IF(CROQUIS!$C$92="X",CHOOSE(MIN(MAX($A8,1),2),CROQUIS!$C$98-CROQUIS!$C$107/2-CROQUIS!$C$144,IF(CROQUIS!$C$106=1,CROQUIS!$C$98+12,CROQUIS!$C$98-2)),CROQUIS!$C$171))*CROQUIS!$C$159)+IF(CROQUIS!$C$92="X",0,2.1)),-1000)</f>
        <v>-1000</v>
      </c>
      <c r="BL8">
        <f>IF(AND(CROQUIS!$C$87=1,CROQUIS!$C$162&gt;=2),CHOOSE(MIN(MAX($A8,1)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BM8">
        <f>IF(AND(CROQUIS!$C$87=1,CROQUIS!$C$162&gt;=2),CHOOSE(MIN(MAX($A8,1),7),((CROQUIS!$C$161+(CROQUIS!$C$158)*CROQUIS!$C$159)+4)-1.4,((CROQUIS!$C$161+(CROQUIS!$C$158)*CROQUIS!$C$159)+4)+1.4,((CROQUIS!$C$161+(CROQUIS!$C$158)*CROQUIS!$C$159)+4),((CROQUIS!$C$161+(CROQUIS!$C$158)*CROQUIS!$C$159)+4),((CROQUIS!$C$161+(CROQUIS!$C$158)*CROQUIS!$C$159)+4),((CROQUIS!$C$161+(CROQUIS!$C$158)*CROQUIS!$C$159)+4)+1.4,((CROQUIS!$C$161+(CROQUIS!$C$158)*CROQUIS!$C$159)+4)-1.4),-1000)</f>
        <v>86.9425214640759</v>
      </c>
      <c r="BN8">
        <f>IF(AND(CROQUIS!$C$88=1,CROQUIS!$C$129&gt;0),((CROQUIS!$C$160+(IF(CROQUIS!$C$92="X",CHOOSE(IF(INT(($A8-1)/5)&gt;MAX((MAX(1,INT(((CROQUIS!$C$98)-CROQUIS!$C$107)/MAX((CROQUIS!$C$129*MAX(1,CEILING((INT(((CROQUIS!$C$98)-CROQUIS!$C$107)/MAX(CROQUIS!$C$129,1))+1)/80,1))),1))+1))-1,0),0,MOD($A8-1,5))+1,0,2,CROQUIS!$C$97-2,2,0),((CROQUIS!$C$107/2+(((CROQUIS!$C$98)-CROQUIS!$C$107)-(MAX(1,INT(((CROQUIS!$C$98)-CROQUIS!$C$107)/MAX((CROQUIS!$C$129*MAX(1,CEILING((INT(((CROQUIS!$C$98)-CROQUIS!$C$107)/MAX(CROQUIS!$C$129,1))+1)/80,1))),1))+1)-1)*(CROQUIS!$C$129*MAX(1,CEILING((INT(((CROQUIS!$C$98)-CROQUIS!$C$107)/MAX(CROQUIS!$C$129,1))+1)/80,1))))/2)+MIN(INT(($A8-1)/5),MAX((MAX(1,INT(((CROQUIS!$C$98)-CROQUIS!$C$107)/MAX((CROQUIS!$C$129*MAX(1,CEILING((INT(((CROQUIS!$C$98)-CROQUIS!$C$107)/MAX(CROQUIS!$C$129,1))+1)/80,1))),1))+1))-1,0))*(CROQUIS!$C$129*MAX(1,CEILING((INT(((CROQUIS!$C$98)-CROQUIS!$C$107)/MAX(CROQUIS!$C$129,1))+1)/80,1))))))*CROQUIS!$C$159)+IF(CROQUIS!$C$92="X",0,0)),-1000)</f>
        <v>-1000</v>
      </c>
      <c r="BO8">
        <f>IF(AND(CROQUIS!$C$88=1,CROQUIS!$C$129&gt;0),((CROQUIS!$C$161+(IF(CROQUIS!$C$92="X",((CROQUIS!$C$107/2+(((CROQUIS!$C$98)-CROQUIS!$C$107)-(MAX(1,INT(((CROQUIS!$C$98)-CROQUIS!$C$107)/MAX((CROQUIS!$C$129*MAX(1,CEILING((INT(((CROQUIS!$C$98)-CROQUIS!$C$107)/MAX(CROQUIS!$C$129,1))+1)/80,1))),1))+1)-1)*(CROQUIS!$C$129*MAX(1,CEILING((INT(((CROQUIS!$C$98)-CROQUIS!$C$107)/MAX(CROQUIS!$C$129,1))+1)/80,1))))/2)+MIN(INT(($A8-1)/5),MAX((MAX(1,INT(((CROQUIS!$C$98)-CROQUIS!$C$107)/MAX((CROQUIS!$C$129*MAX(1,CEILING((INT(((CROQUIS!$C$98)-CROQUIS!$C$107)/MAX(CROQUIS!$C$129,1))+1)/80,1))),1))+1))-1,0))*(CROQUIS!$C$129*MAX(1,CEILING((INT(((CROQUIS!$C$98)-CROQUIS!$C$107)/MAX(CROQUIS!$C$129,1))+1)/80,1)))),CHOOSE(IF(INT(($A8-1)/5)&gt;MAX((MAX(1,INT(((CROQUIS!$C$98)-CROQUIS!$C$107)/MAX((CROQUIS!$C$129*MAX(1,CEILING((INT(((CROQUIS!$C$98)-CROQUIS!$C$107)/MAX(CROQUIS!$C$129,1))+1)/80,1))),1))+1))-1,0),0,MOD($A8-1,5))+1,0,2,CROQUIS!$C$97-2,2,0)))*CROQUIS!$C$159)+IF(CROQUIS!$C$92="X",0,0)),-1000)</f>
        <v>-1000</v>
      </c>
      <c r="BP8">
        <f>IF(AND(CROQUIS!$C$88=1,CROQUIS!$C$137&gt;0),((CROQUIS!$C$160+(IF(CROQUIS!$C$92="X",((CROQUIS!$C$107/2+(((CROQUIS!$C$97)-CROQUIS!$C$107)-(MAX(1,INT(((CROQUIS!$C$97)-CROQUIS!$C$107)/MAX((CROQUIS!$C$137*MAX(1,CEILING((INT(((CROQUIS!$C$97)-CROQUIS!$C$107)/MAX(CROQUIS!$C$137,1))+1)/80,1))),1))+1)-1)*(CROQUIS!$C$137*MAX(1,CEILING((INT(((CROQUIS!$C$97)-CROQUIS!$C$107)/MAX(CROQUIS!$C$137,1))+1)/80,1))))/2)+MIN(INT(($A8-1)/5),MAX((MAX(1,INT(((CROQUIS!$C$97)-CROQUIS!$C$107)/MAX((CROQUIS!$C$137*MAX(1,CEILING((INT(((CROQUIS!$C$97)-CROQUIS!$C$107)/MAX(CROQUIS!$C$137,1))+1)/80,1))),1))+1))-1,0))*(CROQUIS!$C$137*MAX(1,CEILING((INT(((CROQUIS!$C$97)-CROQUIS!$C$107)/MAX(CROQUIS!$C$137,1))+1)/80,1)))),CHOOSE(IF(INT(($A8-1)/5)&gt;MAX((MAX(1,INT(((CROQUIS!$C$97)-CROQUIS!$C$107)/MAX((CROQUIS!$C$137*MAX(1,CEILING((INT(((CROQUIS!$C$97)-CROQUIS!$C$107)/MAX(CROQUIS!$C$137,1))+1)/80,1))),1))+1))-1,0),0,MOD($A8-1,5))+1,0,2,CROQUIS!$C$98-2,2,0)))*CROQUIS!$C$159)+IF(CROQUIS!$C$92="X",0,0)),-1000)</f>
        <v>-1000</v>
      </c>
      <c r="BQ8">
        <f>IF(AND(CROQUIS!$C$88=1,CROQUIS!$C$137&gt;0),((CROQUIS!$C$161+(IF(CROQUIS!$C$92="X",CHOOSE(IF(INT(($A8-1)/5)&gt;MAX((MAX(1,INT(((CROQUIS!$C$97)-CROQUIS!$C$107)/MAX((CROQUIS!$C$137*MAX(1,CEILING((INT(((CROQUIS!$C$97)-CROQUIS!$C$107)/MAX(CROQUIS!$C$137,1))+1)/80,1))),1))+1))-1,0),0,MOD($A8-1,5))+1,0,2,CROQUIS!$C$98-2,2,0),((CROQUIS!$C$107/2+(((CROQUIS!$C$97)-CROQUIS!$C$107)-(MAX(1,INT(((CROQUIS!$C$97)-CROQUIS!$C$107)/MAX((CROQUIS!$C$137*MAX(1,CEILING((INT(((CROQUIS!$C$97)-CROQUIS!$C$107)/MAX(CROQUIS!$C$137,1))+1)/80,1))),1))+1)-1)*(CROQUIS!$C$137*MAX(1,CEILING((INT(((CROQUIS!$C$97)-CROQUIS!$C$107)/MAX(CROQUIS!$C$137,1))+1)/80,1))))/2)+MIN(INT(($A8-1)/5),MAX((MAX(1,INT(((CROQUIS!$C$97)-CROQUIS!$C$107)/MAX((CROQUIS!$C$137*MAX(1,CEILING((INT(((CROQUIS!$C$97)-CROQUIS!$C$107)/MAX(CROQUIS!$C$137,1))+1)/80,1))),1))+1))-1,0))*(CROQUIS!$C$137*MAX(1,CEILING((INT(((CROQUIS!$C$97)-CROQUIS!$C$107)/MAX(CROQUIS!$C$137,1))+1)/80,1))))))*CROQUIS!$C$159)+IF(CROQUIS!$C$92="X",0,0)),-1000)</f>
        <v>-1000</v>
      </c>
      <c r="BR8">
        <f>IF(AND(CROQUIS!$C$88=1,CROQUIS!$C$91=0,CROQUIS!$C$133&gt;0,OR(CROQUIS!$C$103=1,CROQUIS!$C$145=1)),((CROQUIS!$C$160+(IF(CROQUIS!$C$92="X",CHOOSE(IF(INT(($A8-1)/5)&gt;MAX((MAX(1,INT(((CROQUIS!$C$98)-CROQUIS!$C$107)/MAX((CROQUIS!$C$133*MAX(1,CEILING((INT(((CROQUIS!$C$98)-CROQUIS!$C$107)/MAX(CROQUIS!$C$133,1))+1)/80,1))),1))+1))-1,0),0,MOD($A8-1,5))+1,0,IF(CROQUIS!$C$103=1,-12,2),CROQUIS!$C$107/2+CROQUIS!$C$143,IF(CROQUIS!$C$103=1,-12,2),0),((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BS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+1,0,IF(CROQUIS!$C$103=1,-12,2),CROQUIS!$C$107/2+CROQUIS!$C$143,IF(CROQUIS!$C$103=1,-12,2),0)))*CROQUIS!$C$159)+IF(CROQUIS!$C$92="X",0.8,0)),-1000)</f>
        <v>-1000</v>
      </c>
      <c r="BT8">
        <f>IF(AND(CROQUIS!$C$88=1,CROQUIS!$C$91=0,CROQUIS!$C$133&gt;0,OR(CROQUIS!$C$104=1,CROQUIS!$C$145=1)),((CROQUIS!$C$160+(IF(CROQUIS!$C$92="X",CHOOSE(IF(INT(($A8-1)/5)&gt;MAX((MAX(1,INT(((CROQUIS!$C$98)-CROQUIS!$C$107)/MAX((CROQUIS!$C$133*MAX(1,CEILING((INT(((CROQUIS!$C$98)-CROQUIS!$C$107)/MAX(CROQUIS!$C$133,1))+1)/80,1))),1))+1))-1,0),0,MOD($A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BU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CROQUIS!$C$97,CROQUIS!$C$97-CROQUIS!$C$107/2-CROQUIS!$C$143,IF(CROQUIS!$C$104=1,CROQUIS!$C$97+12,CROQUIS!$C$97-2),CROQUIS!$C$97-CROQUIS!$C$107/2-CROQUIS!$C$143,CROQUIS!$C$97)))*CROQUIS!$C$159)+IF(CROQUIS!$C$92="X",0.8,0)),-1000)</f>
        <v>-1000</v>
      </c>
      <c r="BV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HOOSE(IF(INT(($A8-1)/5)&gt;MAX((MAX(1,INT(((CROQUIS!$C$97)-CROQUIS!$C$107)/MAX((CROQUIS!$C$141*MAX(1,CEILING((INT(((CROQUIS!$C$97)-CROQUIS!$C$107)/MAX(CROQUIS!$C$141,1))+1)/80,1))),1))+1))-1,0),0,MOD($A8-1,5))+1,0,IF(CROQUIS!$C$105=1,-12,2),CROQUIS!$C$107/2+CROQUIS!$C$144,IF(CROQUIS!$C$105=1,-12,2),0)))*CROQUIS!$C$159)+IF(CROQUIS!$C$92="X",0.8,0)),-1000)</f>
        <v>-1000</v>
      </c>
      <c r="BW8">
        <f>IF(AND(CROQUIS!$C$88=1,CROQUIS!$C$91=0,CROQUIS!$C$141&gt;0,OR(CROQUIS!$C$105=1,CROQUIS!$C$146=1)),((CROQUIS!$C$161+(IF(CROQUIS!$C$92="X",CHOOSE(IF(INT(($A8-1)/5)&gt;MAX((MAX(1,INT(((CROQUIS!$C$97)-CROQUIS!$C$107)/MAX((CROQUIS!$C$141*MAX(1,CEILING((INT(((CROQUIS!$C$97)-CROQUIS!$C$107)/MAX(CROQUIS!$C$141,1))+1)/80,1))),1))+1))-1,0),0,MOD($A8-1,5))+1,0,IF(CROQUIS!$C$105=1,-12,2),CROQUIS!$C$107/2+CROQUIS!$C$144,IF(CROQUIS!$C$105=1,-12,2),0),((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ROQUIS!$C$159)+IF(CROQUIS!$C$92="X",0,0.8)),-1000)</f>
        <v>-1000</v>
      </c>
      <c r="BX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HOOSE(IF(INT(($A8-1)/5)&gt;MAX((MAX(1,INT(((CROQUIS!$C$97)-CROQUIS!$C$107)/MAX((CROQUIS!$C$141*MAX(1,CEILING((INT(((CROQUIS!$C$97)-CROQUIS!$C$107)/MAX(CROQUIS!$C$141,1))+1)/80,1))),1))+1))-1,0),0,MOD($A8-1,5))+1,CROQUIS!$C$98,CROQUIS!$C$98-CROQUIS!$C$107/2-CROQUIS!$C$144,IF(CROQUIS!$C$106=1,CROQUIS!$C$98+12,CROQUIS!$C$98-2),CROQUIS!$C$98-CROQUIS!$C$107/2-CROQUIS!$C$144,CROQUIS!$C$98)))*CROQUIS!$C$159)+IF(CROQUIS!$C$92="X",0.8,0)),-1000)</f>
        <v>-1000</v>
      </c>
      <c r="BY8">
        <f>IF(AND(CROQUIS!$C$88=1,CROQUIS!$C$91=0,CROQUIS!$C$141&gt;0,OR(CROQUIS!$C$106=1,CROQUIS!$C$146=1)),((CROQUIS!$C$161+(IF(CROQUIS!$C$92="X",CHOOSE(IF(INT(($A8-1)/5)&gt;MAX((MAX(1,INT(((CROQUIS!$C$97)-CROQUIS!$C$107)/MAX((CROQUIS!$C$141*MAX(1,CEILING((INT(((CROQUIS!$C$97)-CROQUIS!$C$107)/MAX(CROQUIS!$C$141,1))+1)/80,1))),1))+1))-1,0),0,MOD($A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ROQUIS!$C$159)+IF(CROQUIS!$C$92="X",0,0.8)),-1000)</f>
        <v>-1000</v>
      </c>
      <c r="BZ8">
        <f>IF(AND(CROQUIS!$C$88=1,CROQUIS!$C$91=1,CROQUIS!$C$133&gt;0),((CROQUIS!$C$160+(IF(CROQUIS!$C$92="X",CHOOSE(IF(INT(($A8-1)/5)&gt;MAX((MAX(1,INT(((CROQUIS!$C$98)-CROQUIS!$C$107)/MAX((CROQUIS!$C$133*MAX(1,CEILING((INT(((CROQUIS!$C$98)-CROQUIS!$C$107)/MAX(CROQUIS!$C$133,1))+1)/80,1))),1))+1))-1,0),0,MOD($A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CA8">
        <f>IF(AND(CROQUIS!$C$88=1,CROQUIS!$C$91=1,CROQUIS!$C$133&gt;0),((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8">
        <f>IF(AND(CROQUIS!$C$87=1),CHOOSE(MIN(MAX($A8,1),9),(50+(-CROQUIS!$C$116/2)*CROQUIS!$C$177),(50+(CROQUIS!$C$116/2)*CROQUIS!$C$177),(50+(CROQUIS!$C$116/2)*CROQUIS!$C$177),(50+(CROQUIS!$C$111/2)*CROQUIS!$C$177),(50+(CROQUIS!$C$111/2)*CROQUIS!$C$177),(50+(-CROQUIS!$C$111/2)*CROQUIS!$C$177),(50+(-CROQUIS!$C$111/2)*CROQUIS!$C$177),(50+(-CROQUIS!$C$116/2)*CROQUIS!$C$177),(50+(-CROQUIS!$C$116/2)*CROQUIS!$C$177)),-1000)</f>
        <v>16.5909090909091</v>
      </c>
      <c r="CC8">
        <f>IF(AND(CROQUIS!$C$87=1),CHOOSE(MIN(MAX($A8,1),9),(12+(CROQUIS!$C$108)*CROQUIS!$C$177),(12+(CROQUIS!$C$108)*CROQUIS!$C$177),(12+(CROQUIS!$C$117)*CROQUIS!$C$177),(12+(CROQUIS!$C$117)*CROQUIS!$C$177),(12+(0)*CROQUIS!$C$177),(12+(0)*CROQUIS!$C$177),(12+(CROQUIS!$C$117)*CROQUIS!$C$177),(12+(CROQUIS!$C$117)*CROQUIS!$C$177),(12+(CROQUIS!$C$108)*CROQUIS!$C$177)),-1000)</f>
        <v>35.8636363636364</v>
      </c>
      <c r="CD8">
        <f>IF(AND(CROQUIS!$C$87=1),CHOOSE(MIN(MAX($A8,1),5),(50+(-CROQUIS!$C$116/2)*CROQUIS!$C$177),(50+(-CROQUIS!$C$111/2)*CROQUIS!$C$177),(50+(-CROQUIS!$C$111/2)*CROQUIS!$C$177),(50+(-CROQUIS!$C$116/2)*CROQUIS!$C$177),(50+(-CROQUIS!$C$116/2)*CROQUIS!$C$177)),-1000)</f>
        <v>16.5909090909091</v>
      </c>
      <c r="CE8">
        <f>IF(AND(CROQUIS!$C$87=1),CHOOSE(MIN(MAX($A8,1),5),(12+(0)*CROQUIS!$C$177),(12+(0)*CROQUIS!$C$177),(12+(CROQUIS!$C$117)*CROQUIS!$C$177),(12+(CROQUIS!$C$117)*CROQUIS!$C$177),(12+(0)*CROQUIS!$C$177)),-1000)</f>
        <v>12</v>
      </c>
      <c r="CF8">
        <f>IF(AND(CROQUIS!$C$87=1),CHOOSE(MIN(MAX($A8,1),5),(50+(CROQUIS!$C$111/2)*CROQUIS!$C$177),(50+(CROQUIS!$C$116/2)*CROQUIS!$C$177),(50+(CROQUIS!$C$116/2)*CROQUIS!$C$177),(50+(CROQUIS!$C$111/2)*CROQUIS!$C$177),(50+(CROQUIS!$C$111/2)*CROQUIS!$C$177)),-1000)</f>
        <v>54.7727272727273</v>
      </c>
      <c r="CG8">
        <f>IF(AND(CROQUIS!$C$87=1),CHOOSE(MIN(MAX($A8,1),5),(12+(0)*CROQUIS!$C$177),(12+(0)*CROQUIS!$C$177),(12+(CROQUIS!$C$117)*CROQUIS!$C$177),(12+(CROQUIS!$C$117)*CROQUIS!$C$177),(12+(0)*CROQUIS!$C$177)),-1000)</f>
        <v>12</v>
      </c>
      <c r="CH8">
        <f>IF(AND(CROQUIS!$C$87=1),CHOOSE(MIN(MAX($A8,1),2),(50+(-CROQUIS!$C$116/2+1)*CROQUIS!$C$177),(50+(CROQUIS!$C$116/2-1)*CROQUIS!$C$177)),-1000)</f>
        <v>17.5454545454545</v>
      </c>
      <c r="CI8">
        <f>IF(AND(CROQUIS!$C$87=1),(12+((CROQUIS!$C$108-CROQUIS!$C$120-CROQUIS!$C$119))*CROQUIS!$C$177),-1000)</f>
        <v>33</v>
      </c>
      <c r="CJ8">
        <f>IF(AND(CROQUIS!$C$87=1,CROQUIS!$C$129&gt;=1),(50+(((1-(CROQUIS!$C$129+1)/2)*(MAX(CROQUIS!$C$121,CROQUIS!$C$128)+CROQUIS!$C$128))+CROQUIS!$C$128/2*COS(2*PI()*(MIN($A8,13)-1)/12))*CROQUIS!$C$177),-1000)</f>
        <v>50.6061363636364</v>
      </c>
      <c r="CK8">
        <f>IF(AND(CROQUIS!$C$87=1,CROQUIS!$C$129&gt;=1),(12+((CROQUIS!$C$109+CROQUIS!$C$128/2)+CROQUIS!$C$128/2*SIN(2*PI()*(MIN($A8,13)-1)/12))*CROQUIS!$C$177),-1000)</f>
        <v>14.5152272727273</v>
      </c>
      <c r="CL8">
        <f>IF(AND(CROQUIS!$C$87=1,CROQUIS!$C$129&gt;=2),(50+(((2-(CROQUIS!$C$129+1)/2)*(MAX(CROQUIS!$C$121,CROQUIS!$C$128)+CROQUIS!$C$128))+CROQUIS!$C$128/2*COS(2*PI()*(MIN($A8,13)-1)/12))*CROQUIS!$C$177),-1000)</f>
        <v>-1000</v>
      </c>
      <c r="CM8">
        <f>IF(AND(CROQUIS!$C$87=1,CROQUIS!$C$129&gt;=2),(12+((CROQUIS!$C$109+CROQUIS!$C$128/2)+CROQUIS!$C$128/2*SIN(2*PI()*(MIN($A8,13)-1)/12))*CROQUIS!$C$177),-1000)</f>
        <v>-1000</v>
      </c>
      <c r="CN8">
        <f>IF(AND(CROQUIS!$C$87=1,CROQUIS!$C$129&gt;=3),(50+(((3-(CROQUIS!$C$129+1)/2)*(MAX(CROQUIS!$C$121,CROQUIS!$C$128)+CROQUIS!$C$128))+CROQUIS!$C$128/2*COS(2*PI()*(MIN($A8,13)-1)/12))*CROQUIS!$C$177),-1000)</f>
        <v>-1000</v>
      </c>
      <c r="CO8">
        <f>IF(AND(CROQUIS!$C$87=1,CROQUIS!$C$129&gt;=3),(12+((CROQUIS!$C$109+CROQUIS!$C$128/2)+CROQUIS!$C$128/2*SIN(2*PI()*(MIN($A8,13)-1)/12))*CROQUIS!$C$177),-1000)</f>
        <v>-1000</v>
      </c>
      <c r="CP8">
        <f>IF(AND(CROQUIS!$C$87=1,CROQUIS!$C$133&gt;=1),(50+(((1-(CROQUIS!$C$133+1)/2)*(MAX(CROQUIS!$C$121,CROQUIS!$C$132)+CROQUIS!$C$132))+CROQUIS!$C$132/2*COS(2*PI()*(MIN($A8,13)-1)/12))*CROQUIS!$C$177),-1000)</f>
        <v>50.6061363636364</v>
      </c>
      <c r="CQ8">
        <f>IF(AND(CROQUIS!$C$87=1,CROQUIS!$C$133&gt;=1),(12+((CROQUIS!$C$108-CROQUIS!$C$120-2*CROQUIS!$C$119-CROQUIS!$C$132/2)+CROQUIS!$C$132/2*SIN(2*PI()*(MIN($A8,13)-1)/12))*CROQUIS!$C$177),-1000)</f>
        <v>31.8478636363636</v>
      </c>
      <c r="CR8">
        <f>IF(AND(CROQUIS!$C$87=1,CROQUIS!$C$133&gt;=2),(50+(((2-(CROQUIS!$C$133+1)/2)*(MAX(CROQUIS!$C$121,CROQUIS!$C$132)+CROQUIS!$C$132))+CROQUIS!$C$132/2*COS(2*PI()*(MIN($A8,13)-1)/12))*CROQUIS!$C$177),-1000)</f>
        <v>-1000</v>
      </c>
      <c r="CS8">
        <f>IF(AND(CROQUIS!$C$87=1,CROQUIS!$C$133&gt;=2),(12+((CROQUIS!$C$108-CROQUIS!$C$120-2*CROQUIS!$C$119-CROQUIS!$C$132/2)+CROQUIS!$C$132/2*SIN(2*PI()*(MIN($A8,13)-1)/12))*CROQUIS!$C$177),-1000)</f>
        <v>-1000</v>
      </c>
      <c r="CT8">
        <f>IF(AND(CROQUIS!$C$87=1,CROQUIS!$C$133&gt;=3),(50+(((3-(CROQUIS!$C$133+1)/2)*(MAX(CROQUIS!$C$121,CROQUIS!$C$132)+CROQUIS!$C$132))+CROQUIS!$C$132/2*COS(2*PI()*(MIN($A8,13)-1)/12))*CROQUIS!$C$177),-1000)</f>
        <v>-1000</v>
      </c>
      <c r="CU8">
        <f>IF(AND(CROQUIS!$C$87=1,CROQUIS!$C$133&gt;=3),(12+((CROQUIS!$C$108-CROQUIS!$C$120-2*CROQUIS!$C$119-CROQUIS!$C$132/2)+CROQUIS!$C$132/2*SIN(2*PI()*(MIN($A8,13)-1)/12))*CROQUIS!$C$177),-1000)</f>
        <v>-1000</v>
      </c>
      <c r="CV8">
        <f>IF(AND(CROQUIS!$C$87=1),CHOOSE(MIN(MAX($A8,1),7),(50+(-CROQUIS!$C$111/2)*CROQUIS!$C$177),(50+(-CROQUIS!$C$111/2)*CROQUIS!$C$177),(50+(-CROQUIS!$C$111/2)*CROQUIS!$C$177),((50+(-CROQUIS!$C$111/2)*CROQUIS!$C$177)+(50+(CROQUIS!$C$111/2)*CROQUIS!$C$177))/2,(50+(CROQUIS!$C$111/2)*CROQUIS!$C$177),(50+(CROQUIS!$C$111/2)*CROQUIS!$C$177),(50+(CROQUIS!$C$111/2)*CROQUIS!$C$177)),-1000)</f>
        <v>45.2272727272727</v>
      </c>
      <c r="CW8">
        <f>IF(AND(CROQUIS!$C$87=1),CHOOSE(MIN(MAX($A8,1),7),(12+(-4)*CROQUIS!$C$177)-1.4,(12+(-4)*CROQUIS!$C$177)+1.4,(12+(-4)*CROQUIS!$C$177),(12+(-4)*CROQUIS!$C$177),(12+(-4)*CROQUIS!$C$177),(12+(-4)*CROQUIS!$C$177)+1.4,(12+(-4)*CROQUIS!$C$177)-1.4),-1000)</f>
        <v>6.78181818181818</v>
      </c>
      <c r="CX8">
        <f>IF(AND(CROQUIS!$C$87=1),CHOOSE(MIN(MAX($A8,1),7),(50+(-CROQUIS!$C$116/2)*CROQUIS!$C$177),(50+(-CROQUIS!$C$116/2)*CROQUIS!$C$177),(50+(-CROQUIS!$C$116/2)*CROQUIS!$C$177),((50+(-CROQUIS!$C$116/2)*CROQUIS!$C$177)+(50+(CROQUIS!$C$116/2)*CROQUIS!$C$177))/2,(50+(CROQUIS!$C$116/2)*CROQUIS!$C$177),(50+(CROQUIS!$C$116/2)*CROQUIS!$C$177),(50+(CROQUIS!$C$116/2)*CROQUIS!$C$177)),-1000)</f>
        <v>16.5909090909091</v>
      </c>
      <c r="CY8">
        <f>IF(AND(CROQUIS!$C$87=1),CHOOSE(MIN(MAX($A8,1),7),(12+(CROQUIS!$C$108+4)*CROQUIS!$C$177)-1.4,(12+(CROQUIS!$C$108+4)*CROQUIS!$C$177)+1.4,(12+(CROQUIS!$C$108+4)*CROQUIS!$C$177),(12+(CROQUIS!$C$108+4)*CROQUIS!$C$177),(12+(CROQUIS!$C$108+4)*CROQUIS!$C$177),(12+(CROQUIS!$C$108+4)*CROQUIS!$C$177)+1.4,(12+(CROQUIS!$C$108+4)*CROQUIS!$C$177)-1.4),-1000)</f>
        <v>38.2818181818182</v>
      </c>
      <c r="CZ8">
        <f>IF(AND(CROQUIS!$C$87=1),CHOOSE(MIN(MAX($A8,1),7),(50+(CROQUIS!$C$116/2+4)*CROQUIS!$C$177)-1.4,(50+(CROQUIS!$C$116/2+4)*CROQUIS!$C$177)+1.4,(50+(CROQUIS!$C$116/2+4)*CROQUIS!$C$177),(50+(CROQUIS!$C$116/2+4)*CROQUIS!$C$177),(50+(CROQUIS!$C$116/2+4)*CROQUIS!$C$177),(50+(CROQUIS!$C$116/2+4)*CROQUIS!$C$177)+1.4,(50+(CROQUIS!$C$116/2+4)*CROQUIS!$C$177)-1.4),-1000)</f>
        <v>85.8272727272727</v>
      </c>
      <c r="DA8">
        <f>IF(AND(CROQUIS!$C$87=1),CHOOSE(MIN(MAX($A8,1),7),(12+(0)*CROQUIS!$C$177),(12+(0)*CROQUIS!$C$177),(12+(0)*CROQUIS!$C$177),((12+(0)*CROQUIS!$C$177)+(12+(CROQUIS!$C$108)*CROQUIS!$C$177))/2,(12+(CROQUIS!$C$108)*CROQUIS!$C$177),(12+(CROQUIS!$C$108)*CROQUIS!$C$177),(12+(CROQUIS!$C$108)*CROQUIS!$C$177)),-1000)</f>
        <v>12</v>
      </c>
      <c r="DB8">
        <f>IF(AND(CROQUIS!$C$87=1),CHOOSE(MIN(MAX($A8,1),7),(50+(-CROQUIS!$C$116/2-4)*CROQUIS!$C$177)-1.4,(50+(-CROQUIS!$C$116/2-4)*CROQUIS!$C$177)+1.4,(50+(-CROQUIS!$C$116/2-4)*CROQUIS!$C$177),(50+(-CROQUIS!$C$116/2-4)*CROQUIS!$C$177),(50+(-CROQUIS!$C$116/2-4)*CROQUIS!$C$177),(50+(-CROQUIS!$C$116/2-4)*CROQUIS!$C$177)+1.4,(50+(-CROQUIS!$C$116/2-4)*CROQUIS!$C$177)-1.4),-1000)</f>
        <v>11.3727272727273</v>
      </c>
      <c r="DC8">
        <f>IF(AND(CROQUIS!$C$87=1),CHOOSE(MIN(MAX($A8,1),7),(12+(CROQUIS!$C$108-CROQUIS!$C$150)*CROQUIS!$C$177),(12+(CROQUIS!$C$108-CROQUIS!$C$150)*CROQUIS!$C$177),(12+(CROQUIS!$C$108-CROQUIS!$C$150)*CROQUIS!$C$177),((12+(CROQUIS!$C$108-CROQUIS!$C$150)*CROQUIS!$C$177)+(12+(CROQUIS!$C$108)*CROQUIS!$C$177))/2,(12+(CROQUIS!$C$108)*CROQUIS!$C$177),(12+(CROQUIS!$C$108)*CROQUIS!$C$177),(12+(CROQUIS!$C$108)*CROQUIS!$C$177)),-1000)</f>
        <v>14.5152272727273</v>
      </c>
      <c r="DD8">
        <f>IF(AND(CROQUIS!$C$88=1),CHOOSE(MIN(MAX($A8,1),5),(50+(-30)*CROQUIS!$C$178),(50+(30)*CROQUIS!$C$178),(50+(30)*CROQUIS!$C$178),(50+(-30)*CROQUIS!$C$178),(50+(-30)*CROQUIS!$C$178)),-1000)</f>
        <v>-1000</v>
      </c>
      <c r="DE8">
        <f>IF(AND(CROQUIS!$C$88=1),CHOOSE(MIN(MAX($A8,1),5),(12+(0)*CROQUIS!$C$178),(12+(0)*CROQUIS!$C$178),(12+(CROQUIS!$C$108)*CROQUIS!$C$178),(12+(CROQUIS!$C$108)*CROQUIS!$C$178),(12+(0)*CROQUIS!$C$178)),-1000)</f>
        <v>-1000</v>
      </c>
      <c r="DF8">
        <f>IF(AND(CROQUIS!$C$88=1),CHOOSE(MIN(MAX($A8,1),2),(50+(-29)*CROQUIS!$C$178),(50+(29)*CROQUIS!$C$178)),-1000)</f>
        <v>-1000</v>
      </c>
      <c r="DG8">
        <f>IF(AND(CROQUIS!$C$88=1),(12+((CROQUIS!$C$109+CROQUIS!$C$128/2))*CROQUIS!$C$178),-1000)</f>
        <v>-1000</v>
      </c>
      <c r="DH8">
        <f>IF(AND(CROQUIS!$C$88=1,CROQUIS!$C$137&gt;0),(50+((-(MIN(12,INT(58/MAX(CROQUIS!$C$137,1))+1)-1)*CROQUIS!$C$137/2+(MIN($A8,MIN(12,INT(58/MAX(CROQUIS!$C$137,1))+1))-1)*CROQUIS!$C$137))*CROQUIS!$C$178),-1000)</f>
        <v>-1000</v>
      </c>
      <c r="DI8">
        <f>IF(AND(CROQUIS!$C$88=1,CROQUIS!$C$137&gt;0),(12+((CROQUIS!$C$109+CROQUIS!$C$128+CROQUIS!$C$136/2))*CROQUIS!$C$178),-1000)</f>
        <v>-1000</v>
      </c>
      <c r="DJ8">
        <f>IF(AND(CROQUIS!$C$88=1,CROQUIS!$C$141&gt;0),(50+((-(MIN(12,INT(58/MAX(CROQUIS!$C$141,1))+1)-1)*CROQUIS!$C$141/2+(MIN($A8,MIN(12,INT(58/MAX(CROQUIS!$C$141,1))+1))-1)*CROQUIS!$C$141))*CROQUIS!$C$178),-1000)</f>
        <v>-1000</v>
      </c>
      <c r="DK8">
        <f>IF(AND(CROQUIS!$C$88=1,CROQUIS!$C$141&gt;0),(12+((CROQUIS!$C$108-CROQUIS!$C$110-CROQUIS!$C$132-CROQUIS!$C$140/2))*CROQUIS!$C$178),-1000)</f>
        <v>-1000</v>
      </c>
      <c r="DL8">
        <f>IF(AND(CROQUIS!$C$88=1,CROQUIS!$C$133&gt;0),CHOOSE(MIN(MAX($A8,1),2),(50+(-29)*CROQUIS!$C$178),(50+(29)*CROQUIS!$C$178)),-1000)</f>
        <v>-1000</v>
      </c>
      <c r="DM8">
        <f>IF(AND(CROQUIS!$C$88=1,CROQUIS!$C$133&gt;0),(12+((CROQUIS!$C$108-CROQUIS!$C$110-CROQUIS!$C$132/2))*CROQUIS!$C$178),-1000)</f>
        <v>-1000</v>
      </c>
      <c r="DN8">
        <f>IF(AND(CROQUIS!$C$88=1),CHOOSE(MIN(MAX($A8,1),7),(50+(33)*CROQUIS!$C$178)-1.4,(50+(33)*CROQUIS!$C$178)+1.4,(50+(33)*CROQUIS!$C$178),(50+(33)*CROQUIS!$C$178),(50+(33)*CROQUIS!$C$178),(50+(33)*CROQUIS!$C$178)+1.4,(50+(33)*CROQUIS!$C$178)-1.4),-1000)</f>
        <v>-1000</v>
      </c>
      <c r="DO8">
        <f>IF(AND(CROQUIS!$C$88=1),CHOOSE(MIN(MAX($A8,1),7),(12+(0)*CROQUIS!$C$178),(12+(0)*CROQUIS!$C$178),(12+(0)*CROQUIS!$C$178),((12+(0)*CROQUIS!$C$178)+(12+(CROQUIS!$C$108)*CROQUIS!$C$178))/2,(12+(CROQUIS!$C$108)*CROQUIS!$C$178),(12+(CROQUIS!$C$108)*CROQUIS!$C$178),(12+(CROQUIS!$C$108)*CROQUIS!$C$178)),-1000)</f>
        <v>-1000</v>
      </c>
      <c r="DP8">
        <f>IF(AND(CROQUIS!$C$88=1),CHOOSE(MIN(MAX($A8,1),7),(50+(-33)*CROQUIS!$C$178)-0.8,(50+(-33)*CROQUIS!$C$178)+0.8,(50+(-33)*CROQUIS!$C$178),(50+(-33)*CROQUIS!$C$178),(50+(-33)*CROQUIS!$C$178),(50+(-33)*CROQUIS!$C$178)+0.8,(50+(-33)*CROQUIS!$C$178)-0.8),-1000)</f>
        <v>-1000</v>
      </c>
      <c r="DQ8">
        <f>IF(AND(CROQUIS!$C$88=1),CHOOSE(MIN(MAX($A8,1),7),(12+(0)*CROQUIS!$C$178),(12+(0)*CROQUIS!$C$178),(12+(0)*CROQUIS!$C$178),((12+(0)*CROQUIS!$C$178)+(12+(CROQUIS!$C$109)*CROQUIS!$C$178))/2,(12+(CROQUIS!$C$109)*CROQUIS!$C$178),(12+(CROQUIS!$C$109)*CROQUIS!$C$178),(12+(CROQUIS!$C$109)*CROQUIS!$C$178)),-1000)</f>
        <v>-1000</v>
      </c>
      <c r="DR8">
        <f>IF(AND(CROQUIS!$C$88=1),CHOOSE(MIN(MAX($A8,1),7),(50+(-33)*CROQUIS!$C$178)-0.8,(50+(-33)*CROQUIS!$C$178)+0.8,(50+(-33)*CROQUIS!$C$178),(50+(-33)*CROQUIS!$C$178),(50+(-33)*CROQUIS!$C$178),(50+(-33)*CROQUIS!$C$178)+0.8,(50+(-33)*CROQUIS!$C$178)-0.8),-1000)</f>
        <v>-1000</v>
      </c>
      <c r="DS8">
        <f>IF(AND(CROQUIS!$C$88=1),CHOOSE(MIN(MAX($A8,1),7),(12+(CROQUIS!$C$108-CROQUIS!$C$110)*CROQUIS!$C$178),(12+(CROQUIS!$C$108-CROQUIS!$C$110)*CROQUIS!$C$178),(12+(CROQUIS!$C$108-CROQUIS!$C$110)*CROQUIS!$C$178),((12+(CROQUIS!$C$108-CROQUIS!$C$110)*CROQUIS!$C$178)+(12+(CROQUIS!$C$108)*CROQUIS!$C$178))/2,(12+(CROQUIS!$C$108)*CROQUIS!$C$178),(12+(CROQUIS!$C$108)*CROQUIS!$C$178),(12+(CROQUIS!$C$108)*CROQUIS!$C$178)),-1000)</f>
        <v>-1000</v>
      </c>
      <c r="DT8">
        <f>IF(AND(CROQUIS!$C$88=1,MIN(12,INT(58/MAX(CROQUIS!$C$137,1))+1)&gt;=2),CHOOSE(MIN(MAX($A8,1)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8">
        <f>IF(AND(CROQUIS!$C$88=1,MIN(12,INT(58/MAX(CROQUIS!$C$137,1))+1)&gt;=2),CHOOSE(MIN(MAX($A8,1),7),(12+(-4)*CROQUIS!$C$178)-1.4,(12+(-4)*CROQUIS!$C$178)+1.4,(12+(-4)*CROQUIS!$C$178),(12+(-4)*CROQUIS!$C$178),(12+(-4)*CROQUIS!$C$178),(12+(-4)*CROQUIS!$C$178)+1.4,(12+(-4)*CROQUIS!$C$178)-1.4),-1000)</f>
        <v>-1000</v>
      </c>
      <c r="DV8">
        <f>IF(AND(CROQUIS!$C$87=1),CHOOSE(MIN(MAX($A8,1)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DW8">
        <f>IF(AND(CROQUIS!$C$87=1),CHOOSE(MIN(MAX($A8,1),5),(30+(0)*CROQUIS!$C$175*CROQUIS!$C$176),(30+(0)*CROQUIS!$C$175*CROQUIS!$C$176),(30+(CROQUIS!$C$108)*CROQUIS!$C$175*CROQUIS!$C$176),(30+(CROQUIS!$C$108)*CROQUIS!$C$175*CROQUIS!$C$176),(30+(0)*CROQUIS!$C$175*CROQUIS!$C$176)),-1000)</f>
        <v>30</v>
      </c>
      <c r="DX8">
        <f>IF(AND(CROQUIS!$C$87=1),CHOOSE(MIN(MAX($A8,1)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DY8">
        <f>IF(AND(CROQUIS!$C$87=1),CHOOSE(MIN(MAX($A8,1),10),30,30,20,20,30,IF(CROQUIS!$C$91=1,30,30),IF(CROQUIS!$C$91=1,30,30),IF(CROQUIS!$C$91=1,30,20),IF(CROQUIS!$C$91=1,30,20),IF(CROQUIS!$C$91=1,30,30)),-1000)</f>
        <v>30</v>
      </c>
      <c r="DZ8">
        <f>IF(AND(CROQUIS!$C$87=1,CROQUIS!$C$153=1),CHOOSE(MIN(MAX($A8,1),5),(4+((-CROQUIS!$C$149-CROQUIS!$C$107/2)-CROQUIS!$C$173)*CROQUIS!$C$175),(4+((-CROQUIS!$C$149+CROQUIS!$C$107/2)-CROQUIS!$C$173)*CROQUIS!$C$175),(4+((-CROQUIS!$C$149+CROQUIS!$C$107/2)-CROQUIS!$C$173)*CROQUIS!$C$175),(4+((-CROQUIS!$C$149-CROQUIS!$C$107/2)-CROQUIS!$C$173)*CROQUIS!$C$175),(4+((-CROQUIS!$C$149-CROQUIS!$C$107/2)-CROQUIS!$C$173)*CROQUIS!$C$175)),-1000)</f>
        <v>-1000</v>
      </c>
      <c r="EA8">
        <f>IF(AND(CROQUIS!$C$87=1,CROQUIS!$C$153=1),CHOOSE(MIN(MAX($A8,1),5),30,30,20,20,30),-1000)</f>
        <v>-1000</v>
      </c>
      <c r="EB8">
        <f>IF(AND(CROQUIS!$C$87=1),CHOOSE(MIN(MAX($A8,1)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C8">
        <f>IF(AND(CROQUIS!$C$87=1),CHOOSE(MIN(MAX($A8,1)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8">
        <f>IF(AND(CROQUIS!$C$87=1,CROQUIS!$C$133&gt;0),CHOOSE(MIN(MAX($A8,1)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E8">
        <f>IF(AND(CROQUIS!$C$87=1,CROQUIS!$C$133&gt;0),CHOOSE(MIN(MAX($A8,1)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F8">
        <f>IF(AND(CROQUIS!$C$87=1,CROQUIS!$C$91=0,CROQUIS!$C$133&gt;=2,OR(CROQUIS!$C$103=1,CROQUIS!$C$145=1)),CHOOSE(MIN(MAX($A8,1)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G8">
        <f>IF(AND(CROQUIS!$C$87=1,CROQUIS!$C$91=0,CROQUIS!$C$133&gt;=2,OR(CROQUIS!$C$103=1,CROQUIS!$C$145=1)),CHOOSE(MIN(MAX($A8,1)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H8">
        <f>IF(AND(CROQUIS!$C$87=1,CROQUIS!$C$91=0,CROQUIS!$C$133&gt;=2,OR(CROQUIS!$C$104=1,CROQUIS!$C$145=1)),CHOOSE(MIN(MAX($A8,1)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I8">
        <f>IF(AND(CROQUIS!$C$87=1,CROQUIS!$C$91=0,CROQUIS!$C$133&gt;=2,OR(CROQUIS!$C$104=1,CROQUIS!$C$145=1)),CHOOSE(MIN(MAX($A8,1)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J8">
        <f>IF(AND(CROQUIS!$C$87=1,CROQUIS!$C$91=1,CROQUIS!$C$147&gt;0,CROQUIS!$C$133&gt;=2),CHOOSE(MIN(MAX($A8,1),2),(4+((CROQUIS!$C$97-3)-CROQUIS!$C$173)*CROQUIS!$C$175),(4+((-(CROQUIS!$C$107/2+CROQUIS!$C$147))-CROQUIS!$C$173)*CROQUIS!$C$175)),-1000)</f>
        <v>-1000</v>
      </c>
      <c r="EK8">
        <f>IF(AND(CROQUIS!$C$87=1,CROQUIS!$C$91=1,CROQUIS!$C$147&gt;0,CROQUIS!$C$133&gt;=2),CHOOSE(MIN(MAX($A8,1),2),(30+(((CROQUIS!$C$108-CROQUIS!$C$120-2*CROQUIS!$C$119-CROQUIS!$C$132/2)-1.3*CROQUIS!$C$132-0.4))*CROQUIS!$C$175*CROQUIS!$C$176),(30+(((CROQUIS!$C$108-CROQUIS!$C$120-2*CROQUIS!$C$119-CROQUIS!$C$132/2)-1.3*CROQUIS!$C$132-0.4))*CROQUIS!$C$175*CROQUIS!$C$176)),-1000)</f>
        <v>-1000</v>
      </c>
      <c r="EL8">
        <f>IF(AND(CROQUIS!$C$87=1,CROQUIS!$C$166&gt;0),CHOOSE(MIN(MAX($A8,1)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EM8">
        <f>IF(AND(CROQUIS!$C$87=1,CROQUIS!$C$166&gt;0),CHOOSE(MIN(MAX($A8,1),5),(30+(0)*CROQUIS!$C$175*CROQUIS!$C$176),(30+(0)*CROQUIS!$C$175*CROQUIS!$C$176),(30+(CROQUIS!$C$117)*CROQUIS!$C$175*CROQUIS!$C$176),(30+(CROQUIS!$C$117)*CROQUIS!$C$175*CROQUIS!$C$176),(30+(0)*CROQUIS!$C$175*CROQUIS!$C$176)),-1000)</f>
        <v>30</v>
      </c>
      <c r="EN8">
        <f>IF(AND(CROQUIS!$C$87=1,CROQUIS!$C$166&gt;0),CHOOSE(MIN(MAX($A8,1)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17.0736842105263</v>
      </c>
      <c r="EO8">
        <f>IF(AND(CROQUIS!$C$87=1,CROQUIS!$C$166&gt;0),CHOOSE(MIN(MAX($A8,1),4),(30+(0)*CROQUIS!$C$175*CROQUIS!$C$176),(30+(CROQUIS!$C$108)*CROQUIS!$C$175*CROQUIS!$C$176),(30+(CROQUIS!$C$108)*CROQUIS!$C$175*CROQUIS!$C$176),(30+(0)*CROQUIS!$C$175*CROQUIS!$C$176)),-1000)</f>
        <v>30</v>
      </c>
      <c r="EP8">
        <f>IF(AND(CROQUIS!$C$87=1),CHOOSE(MIN(MAX($A8,1),7),(4+((0)-CROQUIS!$C$173)*CROQUIS!$C$175),(4+((0)-CROQUIS!$C$173)*CROQUIS!$C$175),(4+((0)-CROQUIS!$C$173)*CROQUIS!$C$175),((4+((0)-CROQUIS!$C$173)*CROQUIS!$C$175)+(4+((CROQUIS!$C$97)-CROQUIS!$C$173)*CROQUIS!$C$175))/2,(4+((CROQUIS!$C$97)-CROQUIS!$C$173)*CROQUIS!$C$175),(4+((CROQUIS!$C$97)-CROQUIS!$C$173)*CROQUIS!$C$175),(4+((CROQUIS!$C$97)-CROQUIS!$C$173)*CROQUIS!$C$175)),-1000)</f>
        <v>11.2631578947368</v>
      </c>
      <c r="EQ8">
        <f>IF(AND(CROQUIS!$C$87=1),CHOOSE(MIN(MAX($A8,1),7),15-1.4,15+1.4,15,15,15,15+1.4,15-1.4),-1000)</f>
        <v>13.6</v>
      </c>
      <c r="ER8">
        <f>IF(AND(CROQUIS!$C$87=1,OR(CROQUIS!$C$91=1,AND(CROQUIS!$C$133&gt;=2,OR(CROQUIS!$C$103=1,CROQUIS!$C$145=1)))),CHOOSE(MIN(MAX($A8,1)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8">
        <f>IF(AND(CROQUIS!$C$87=1,OR(CROQUIS!$C$91=1,AND(CROQUIS!$C$133&gt;=2,OR(CROQUIS!$C$103=1,CROQUIS!$C$145=1)))),CHOOSE(MIN(MAX($A8,1)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T8">
        <f>IF(AND(CROQUIS!$C$87=1,CROQUIS!$C$91=1,CROQUIS!$C$151&gt;0),CHOOSE(MIN(MAX($A8,1),5),(4+((CROQUIS!$C$97)-CROQUIS!$C$173)*CROQUIS!$C$175),(4+((CROQUIS!$C$97)-CROQUIS!$C$173)*CROQUIS!$C$175),(4+((CROQUIS!$C$97)-CROQUIS!$C$173)*CROQUIS!$C$175)-1.2,(4+((CROQUIS!$C$97)-CROQUIS!$C$173)*CROQUIS!$C$175),(4+((CROQUIS!$C$97)-CROQUIS!$C$173)*CROQUIS!$C$175)+1.2),-1000)</f>
        <v>-1000</v>
      </c>
      <c r="EU8">
        <f>IF(AND(CROQUIS!$C$87=1,CROQUIS!$C$91=1,CROQUIS!$C$151&gt;0),CHOOSE(MIN(MAX($A8,1),5),(30+(CROQUIS!$C$108)*CROQUIS!$C$175*CROQUIS!$C$176)+13,(30+(CROQUIS!$C$108)*CROQUIS!$C$175*CROQUIS!$C$176)+1,(30+(CROQUIS!$C$108)*CROQUIS!$C$175*CROQUIS!$C$176)+4,(30+(CROQUIS!$C$108)*CROQUIS!$C$175*CROQUIS!$C$176)+1,(30+(CROQUIS!$C$108)*CROQUIS!$C$175*CROQUIS!$C$176)+4),-1000)</f>
        <v>-1000</v>
      </c>
      <c r="EV8">
        <f>IF(AND(CROQUIS!$C$88=1),CHOOSE(MIN(MAX($A8,1)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EW8">
        <f>IF(AND(CROQUIS!$C$88=1),CHOOSE(MIN(MAX($A8,1),5),(30+(0)*CROQUIS!$C$175*CROQUIS!$C$176),(30+(0)*CROQUIS!$C$175*CROQUIS!$C$176),(30+(CROQUIS!$C$108)*CROQUIS!$C$175*CROQUIS!$C$176),(30+(CROQUIS!$C$108)*CROQUIS!$C$175*CROQUIS!$C$176),(30+(0)*CROQUIS!$C$175*CROQUIS!$C$176)),-1000)</f>
        <v>-1000</v>
      </c>
      <c r="EX8">
        <f>IF(AND(CROQUIS!$C$88=1),CHOOSE(MIN(MAX($A8,1)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8">
        <f>IF(AND(CROQUIS!$C$88=1),CHOOSE(MIN(MAX($A8,1),10),30,30,20,20,30,IF(CROQUIS!$C$91=1,30,30),IF(CROQUIS!$C$91=1,30,30),IF(CROQUIS!$C$91=1,30,20),IF(CROQUIS!$C$91=1,30,20),IF(CROQUIS!$C$91=1,30,30)),-1000)</f>
        <v>-1000</v>
      </c>
      <c r="EZ8">
        <f>IF(AND(CROQUIS!$C$88=1,CROQUIS!$C$153=1),CHOOSE(MIN(MAX($A8,1),5),(4+((-CROQUIS!$C$149-CROQUIS!$C$107/2)-CROQUIS!$C$173)*CROQUIS!$C$175),(4+((-CROQUIS!$C$149+CROQUIS!$C$107/2)-CROQUIS!$C$173)*CROQUIS!$C$175),(4+((-CROQUIS!$C$149+CROQUIS!$C$107/2)-CROQUIS!$C$173)*CROQUIS!$C$175),(4+((-CROQUIS!$C$149-CROQUIS!$C$107/2)-CROQUIS!$C$173)*CROQUIS!$C$175),(4+((-CROQUIS!$C$149-CROQUIS!$C$107/2)-CROQUIS!$C$173)*CROQUIS!$C$175)),-1000)</f>
        <v>-1000</v>
      </c>
      <c r="FA8">
        <f>IF(AND(CROQUIS!$C$88=1,CROQUIS!$C$153=1),CHOOSE(MIN(MAX($A8,1),5),30,30,20,20,30),-1000)</f>
        <v>-1000</v>
      </c>
      <c r="FB8">
        <f>IF(AND(CROQUIS!$C$88=1),CHOOSE(MIN(MAX($A8,1)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8">
        <f>IF(AND(CROQUIS!$C$88=1),CHOOSE(MIN(MAX($A8,1)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8">
        <f>IF(AND(CROQUIS!$C$88=1,CROQUIS!$C$91=1,CROQUIS!$C$133&gt;0),CHOOSE(MIN(MAX($A8,1)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8">
        <f>IF(AND(CROQUIS!$C$88=1,CROQUIS!$C$91=1,CROQUIS!$C$133&gt;0),CHOOSE(MIN(MAX($A8,1)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F8">
        <f>IF(AND(CROQUIS!$C$88=1,CROQUIS!$C$91=0,CROQUIS!$C$133&gt;0,OR(CROQUIS!$C$103=1,CROQUIS!$C$145=1)),CHOOSE(MIN(MAX($A8,1)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G8">
        <f>IF(AND(CROQUIS!$C$88=1,CROQUIS!$C$91=0,CROQUIS!$C$133&gt;0,OR(CROQUIS!$C$103=1,CROQUIS!$C$145=1)),CHOOSE(MIN(MAX($A8,1)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H8">
        <f>IF(AND(CROQUIS!$C$88=1,CROQUIS!$C$91=0,CROQUIS!$C$133&gt;0,OR(CROQUIS!$C$104=1,CROQUIS!$C$145=1)),CHOOSE(MIN(MAX($A8,1)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I8">
        <f>IF(AND(CROQUIS!$C$88=1,CROQUIS!$C$91=0,CROQUIS!$C$133&gt;0,OR(CROQUIS!$C$104=1,CROQUIS!$C$145=1)),CHOOSE(MIN(MAX($A8,1)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J8">
        <f>IF(AND(CROQUIS!$C$88=1),CHOOSE(MIN(MAX($A8,1),7),(4+((0)-CROQUIS!$C$173)*CROQUIS!$C$175),(4+((0)-CROQUIS!$C$173)*CROQUIS!$C$175),(4+((0)-CROQUIS!$C$173)*CROQUIS!$C$175),((4+((0)-CROQUIS!$C$173)*CROQUIS!$C$175)+(4+((CROQUIS!$C$97)-CROQUIS!$C$173)*CROQUIS!$C$175))/2,(4+((CROQUIS!$C$97)-CROQUIS!$C$173)*CROQUIS!$C$175),(4+((CROQUIS!$C$97)-CROQUIS!$C$173)*CROQUIS!$C$175),(4+((CROQUIS!$C$97)-CROQUIS!$C$173)*CROQUIS!$C$175)),-1000)</f>
        <v>-1000</v>
      </c>
      <c r="FK8">
        <f>IF(AND(CROQUIS!$C$88=1),CHOOSE(MIN(MAX($A8,1),7),15-1.4,15+1.4,15,15,15,15+1.4,15-1.4),-1000)</f>
        <v>-1000</v>
      </c>
      <c r="FL8">
        <f>IF(AND(CROQUIS!$C$88=1,OR(CROQUIS!$C$91=1,AND(CROQUIS!$C$133&gt;0,OR(CROQUIS!$C$103=1,CROQUIS!$C$145=1)))),CHOOSE(MIN(MAX($A8,1)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8">
        <f>IF(AND(CROQUIS!$C$88=1,OR(CROQUIS!$C$91=1,AND(CROQUIS!$C$133&gt;0,OR(CROQUIS!$C$103=1,CROQUIS!$C$145=1)))),CHOOSE(MIN(MAX($A8,1)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8">
        <f>IF(AND(CROQUIS!$C$88=1,CROQUIS!$C$91=1,CROQUIS!$C$151&gt;0),CHOOSE(MIN(MAX($A8,1),5),(4+((CROQUIS!$C$97)-CROQUIS!$C$173)*CROQUIS!$C$175),(4+((CROQUIS!$C$97)-CROQUIS!$C$173)*CROQUIS!$C$175),(4+((CROQUIS!$C$97)-CROQUIS!$C$173)*CROQUIS!$C$175)-1.2,(4+((CROQUIS!$C$97)-CROQUIS!$C$173)*CROQUIS!$C$175),(4+((CROQUIS!$C$97)-CROQUIS!$C$173)*CROQUIS!$C$175)+1.2),-1000)</f>
        <v>-1000</v>
      </c>
      <c r="FO8">
        <f>IF(AND(CROQUIS!$C$88=1,CROQUIS!$C$91=1,CROQUIS!$C$151&gt;0),CHOOSE(MIN(MAX($A8,1),5),(30+(CROQUIS!$C$108)*CROQUIS!$C$175*CROQUIS!$C$176)+13,(30+(CROQUIS!$C$108)*CROQUIS!$C$175*CROQUIS!$C$176)+1,(30+(CROQUIS!$C$108)*CROQUIS!$C$175*CROQUIS!$C$176)+4,(30+(CROQUIS!$C$108)*CROQUIS!$C$175*CROQUIS!$C$176)+1,(30+(CROQUIS!$C$108)*CROQUIS!$C$175*CROQUIS!$C$176)+4),-1000)</f>
        <v>-1000</v>
      </c>
    </row>
    <row r="9">
      <c r="A9" t="n">
        <v>2</v>
      </c>
      <c r="B9">
        <f>IF(AND(CROQUIS!$C$87=1),CHOOSE(MIN(MAX($A9,1),5),(CROQUIS!$C$160+(0)*CROQUIS!$C$159),(CROQUIS!$C$160+(CROQUIS!$C$95)*CROQUIS!$C$159),(CROQUIS!$C$160+(CROQUIS!$C$95)*CROQUIS!$C$159),(CROQUIS!$C$160+(0)*CROQUIS!$C$159),(CROQUIS!$C$160+(0)*CROQUIS!$C$159)),-1000)</f>
        <v>88</v>
      </c>
      <c r="C9">
        <f>IF(AND(CROQUIS!$C$87=1),CHOOSE(MIN(MAX($A9,1),5),(CROQUIS!$C$161+(0)*CROQUIS!$C$159),(CROQUIS!$C$161+(0)*CROQUIS!$C$159),(CROQUIS!$C$161+(CROQUIS!$C$96)*CROQUIS!$C$159),(CROQUIS!$C$161+(CROQUIS!$C$96)*CROQUIS!$C$159),(CROQUIS!$C$161+(0)*CROQUIS!$C$159)),-1000)</f>
        <v>15.6574785359241</v>
      </c>
      <c r="D9">
        <f>IF(AND(CROQUIS!$C$87=1),CHOOSE(MIN(MAX($A9,1)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86.7121554450972</v>
      </c>
      <c r="E9">
        <f>IF(AND(CROQUIS!$C$87=1),CHOOSE(MIN(MAX($A9,1)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F9">
        <f>IF(AND(CROQUIS!$C$87=1,CROQUIS!$C$91=1),((CROQUIS!$C$160+(IF(CROQUIS!$C$92="X",IF(CROQUIS!$C$94=1,0,CROQUIS!$C$97)+IF(MOD($A9,2)=1,-CROQUIS!$C$107/2,CROQUIS!$C$107/2),(MIN($A9,41)-1)/40*CROQUIS!$C$98))*CROQUIS!$C$159)+IF(CROQUIS!$C$92="X",0,0)),-1000)</f>
        <v>-1000</v>
      </c>
      <c r="G9">
        <f>IF(AND(CROQUIS!$C$87=1,CROQUIS!$C$91=1),((CROQUIS!$C$161+(IF(CROQUIS!$C$92="X",(MIN($A9,41)-1)/40*CROQUIS!$C$98,IF(CROQUIS!$C$94=1,0,CROQUIS!$C$97)+IF(MOD($A9,2)=1,-CROQUIS!$C$107/2,CROQUIS!$C$107/2)))*CROQUIS!$C$159)+IF(CROQUIS!$C$92="X",0,0)),-1000)</f>
        <v>-1000</v>
      </c>
      <c r="H9">
        <f>IF(AND(CROQUIS!$C$87=1,CROQUIS!$C$91=1),CHOOSE(MIN(MAX($A9,1)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I9">
        <f>IF(AND(CROQUIS!$C$87=1,CROQUIS!$C$91=1),CHOOSE(MIN(MAX($A9,1)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J9">
        <f>IF(AND(CROQUIS!$C$87=1,CROQUIS!$C$153=1),CHOOSE(MIN(MAX($A9,1)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K9">
        <f>IF(AND(CROQUIS!$C$87=1,CROQUIS!$C$153=1),CHOOSE(MIN(MAX($A9,1)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L9">
        <f>IF(AND(CROQUIS!$C$87=1,CROQUIS!$C$91=1,CROQUIS!$C$151&gt;0),((CROQUIS!$C$160+(IF(CROQUIS!$C$92="X",IF(CROQUIS!$C$94=1,CROQUIS!$C$97,0),CHOOSE(MIN(MAX($A9,1),3),0,0.5,1)*CROQUIS!$C$98))*CROQUIS!$C$159)+IF(CROQUIS!$C$92="X",0,0)),-1000)</f>
        <v>-1000</v>
      </c>
      <c r="M9">
        <f>IF(AND(CROQUIS!$C$87=1,CROQUIS!$C$91=1,CROQUIS!$C$151&gt;0),((CROQUIS!$C$161+(IF(CROQUIS!$C$92="X",CHOOSE(MIN(MAX($A9,1),3),0,0.5,1)*CROQUIS!$C$98,IF(CROQUIS!$C$94=1,CROQUIS!$C$97,0)))*CROQUIS!$C$159)+IF(CROQUIS!$C$92="X",0,0)),-1000)</f>
        <v>-1000</v>
      </c>
      <c r="N9">
        <f>IF(AND(CROQUIS!$C$87=1),CHOOSE(MIN(MAX($A9,1),7),(CROQUIS!$C$160+(0)*CROQUIS!$C$159),(CROQUIS!$C$160+(0)*CROQUIS!$C$159),(CROQUIS!$C$160+(0)*CROQUIS!$C$159),((CROQUIS!$C$160+(0)*CROQUIS!$C$159)+(CROQUIS!$C$160+(CROQUIS!$C$95)*CROQUIS!$C$159))/2,(CROQUIS!$C$160+(CROQUIS!$C$95)*CROQUIS!$C$159),(CROQUIS!$C$160+(CROQUIS!$C$95)*CROQUIS!$C$159),(CROQUIS!$C$160+(CROQUIS!$C$95)*CROQUIS!$C$159)),-1000)</f>
        <v>12</v>
      </c>
      <c r="O9">
        <f>IF(AND(CROQUIS!$C$87=1),CHOOSE(MIN(MAX($A9,1),7),((CROQUIS!$C$161+(CROQUIS!$C$157)*CROQUIS!$C$159)-5)-1.4,((CROQUIS!$C$161+(CROQUIS!$C$157)*CROQUIS!$C$159)-5)+1.4,((CROQUIS!$C$161+(CROQUIS!$C$157)*CROQUIS!$C$159)-5),((CROQUIS!$C$161+(CROQUIS!$C$157)*CROQUIS!$C$159)-5),((CROQUIS!$C$161+(CROQUIS!$C$157)*CROQUIS!$C$159)-5),((CROQUIS!$C$161+(CROQUIS!$C$157)*CROQUIS!$C$159)-5)+1.4,((CROQUIS!$C$161+(CROQUIS!$C$157)*CROQUIS!$C$159)-5)-1.4),-1000)</f>
        <v>12.0574785359241</v>
      </c>
      <c r="P9">
        <f>IF(AND(CROQUIS!$C$87=1),CHOOSE(MIN(MAX($A9,1),7),((CROQUIS!$C$160+(CROQUIS!$C$155)*CROQUIS!$C$159)-5)-1.4,((CROQUIS!$C$160+(CROQUIS!$C$155)*CROQUIS!$C$159)-5)+1.4,((CROQUIS!$C$160+(CROQUIS!$C$155)*CROQUIS!$C$159)-5),((CROQUIS!$C$160+(CROQUIS!$C$155)*CROQUIS!$C$159)-5),((CROQUIS!$C$160+(CROQUIS!$C$155)*CROQUIS!$C$159)-5),((CROQUIS!$C$160+(CROQUIS!$C$155)*CROQUIS!$C$159)-5)+1.4,((CROQUIS!$C$160+(CROQUIS!$C$155)*CROQUIS!$C$159)-5)-1.4),-1000)</f>
        <v>8.4</v>
      </c>
      <c r="Q9">
        <f>IF(AND(CROQUIS!$C$87=1),CHOOSE(MIN(MAX($A9,1),7),(CROQUIS!$C$161+(0)*CROQUIS!$C$159),(CROQUIS!$C$161+(0)*CROQUIS!$C$159),(CROQUIS!$C$161+(0)*CROQUIS!$C$159),((CROQUIS!$C$161+(0)*CROQUIS!$C$159)+(CROQUIS!$C$161+(CROQUIS!$C$96)*CROQUIS!$C$159))/2,(CROQUIS!$C$161+(CROQUIS!$C$96)*CROQUIS!$C$159),(CROQUIS!$C$161+(CROQUIS!$C$96)*CROQUIS!$C$159),(CROQUIS!$C$161+(CROQUIS!$C$96)*CROQUIS!$C$159)),-1000)</f>
        <v>15.6574785359241</v>
      </c>
      <c r="R9">
        <f>IF(AND(CROQUIS!$C$88=1),CHOOSE(MIN(MAX($A9,1),5),(CROQUIS!$C$160+(0)*CROQUIS!$C$159),(CROQUIS!$C$160+(CROQUIS!$C$95)*CROQUIS!$C$159),(CROQUIS!$C$160+(CROQUIS!$C$95)*CROQUIS!$C$159),(CROQUIS!$C$160+(0)*CROQUIS!$C$159),(CROQUIS!$C$160+(0)*CROQUIS!$C$159)),-1000)</f>
        <v>-1000</v>
      </c>
      <c r="S9">
        <f>IF(AND(CROQUIS!$C$88=1),CHOOSE(MIN(MAX($A9,1),5),(CROQUIS!$C$161+(0)*CROQUIS!$C$159),(CROQUIS!$C$161+(0)*CROQUIS!$C$159),(CROQUIS!$C$161+(CROQUIS!$C$96)*CROQUIS!$C$159),(CROQUIS!$C$161+(CROQUIS!$C$96)*CROQUIS!$C$159),(CROQUIS!$C$161+(0)*CROQUIS!$C$159)),-1000)</f>
        <v>-1000</v>
      </c>
      <c r="T9">
        <f>IF(AND(CROQUIS!$C$88=1),CHOOSE(MIN(MAX($A9,1)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U9">
        <f>IF(AND(CROQUIS!$C$88=1),CHOOSE(MIN(MAX($A9,1)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V9">
        <f>IF(AND(CROQUIS!$C$88=1,CROQUIS!$C$91=1),((CROQUIS!$C$160+(IF(CROQUIS!$C$92="X",IF(CROQUIS!$C$94=1,0,CROQUIS!$C$97)+IF(MOD($A9,2)=1,-CROQUIS!$C$107/2,CROQUIS!$C$107/2),(MIN($A9,41)-1)/40*CROQUIS!$C$98))*CROQUIS!$C$159)+IF(CROQUIS!$C$92="X",0,0)),-1000)</f>
        <v>-1000</v>
      </c>
      <c r="W9">
        <f>IF(AND(CROQUIS!$C$88=1,CROQUIS!$C$91=1),((CROQUIS!$C$161+(IF(CROQUIS!$C$92="X",(MIN($A9,41)-1)/40*CROQUIS!$C$98,IF(CROQUIS!$C$94=1,0,CROQUIS!$C$97)+IF(MOD($A9,2)=1,-CROQUIS!$C$107/2,CROQUIS!$C$107/2)))*CROQUIS!$C$159)+IF(CROQUIS!$C$92="X",0,0)),-1000)</f>
        <v>-1000</v>
      </c>
      <c r="X9">
        <f>IF(AND(CROQUIS!$C$88=1,CROQUIS!$C$91=1),CHOOSE(MIN(MAX($A9,1)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Y9">
        <f>IF(AND(CROQUIS!$C$88=1,CROQUIS!$C$91=1),CHOOSE(MIN(MAX($A9,1)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Z9">
        <f>IF(AND(CROQUIS!$C$88=1,CROQUIS!$C$153=1),CHOOSE(MIN(MAX($A9,1)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A9">
        <f>IF(AND(CROQUIS!$C$88=1,CROQUIS!$C$153=1),CHOOSE(MIN(MAX($A9,1)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B9">
        <f>IF(AND(CROQUIS!$C$88=1,CROQUIS!$C$91=1,CROQUIS!$C$151&gt;0),((CROQUIS!$C$160+(IF(CROQUIS!$C$92="X",IF(CROQUIS!$C$94=1,CROQUIS!$C$97,0),CHOOSE(MIN(MAX($A9,1),3),0,0.5,1)*CROQUIS!$C$98))*CROQUIS!$C$159)+IF(CROQUIS!$C$92="X",0,0)),-1000)</f>
        <v>-1000</v>
      </c>
      <c r="AC9">
        <f>IF(AND(CROQUIS!$C$88=1,CROQUIS!$C$91=1,CROQUIS!$C$151&gt;0),((CROQUIS!$C$161+(IF(CROQUIS!$C$92="X",CHOOSE(MIN(MAX($A9,1),3),0,0.5,1)*CROQUIS!$C$98,IF(CROQUIS!$C$94=1,CROQUIS!$C$97,0)))*CROQUIS!$C$159)+IF(CROQUIS!$C$92="X",0,0)),-1000)</f>
        <v>-1000</v>
      </c>
      <c r="AD9">
        <f>IF(AND(CROQUIS!$C$88=1),CHOOSE(MIN(MAX($A9,1),7),(CROQUIS!$C$160+(0)*CROQUIS!$C$159),(CROQUIS!$C$160+(0)*CROQUIS!$C$159),(CROQUIS!$C$160+(0)*CROQUIS!$C$159),((CROQUIS!$C$160+(0)*CROQUIS!$C$159)+(CROQUIS!$C$160+(CROQUIS!$C$95)*CROQUIS!$C$159))/2,(CROQUIS!$C$160+(CROQUIS!$C$95)*CROQUIS!$C$159),(CROQUIS!$C$160+(CROQUIS!$C$95)*CROQUIS!$C$159),(CROQUIS!$C$160+(CROQUIS!$C$95)*CROQUIS!$C$159)),-1000)</f>
        <v>-1000</v>
      </c>
      <c r="AE9">
        <f>IF(AND(CROQUIS!$C$88=1),CHOOSE(MIN(MAX($A9,1),7),((CROQUIS!$C$161+(CROQUIS!$C$157)*CROQUIS!$C$159)-5)-1.4,((CROQUIS!$C$161+(CROQUIS!$C$157)*CROQUIS!$C$159)-5)+1.4,((CROQUIS!$C$161+(CROQUIS!$C$157)*CROQUIS!$C$159)-5),((CROQUIS!$C$161+(CROQUIS!$C$157)*CROQUIS!$C$159)-5),((CROQUIS!$C$161+(CROQUIS!$C$157)*CROQUIS!$C$159)-5),((CROQUIS!$C$161+(CROQUIS!$C$157)*CROQUIS!$C$159)-5)+1.4,((CROQUIS!$C$161+(CROQUIS!$C$157)*CROQUIS!$C$159)-5)-1.4),-1000)</f>
        <v>-1000</v>
      </c>
      <c r="AF9">
        <f>IF(AND(CROQUIS!$C$88=1),CHOOSE(MIN(MAX($A9,1),7),((CROQUIS!$C$160+(CROQUIS!$C$155)*CROQUIS!$C$159)-5)-1.4,((CROQUIS!$C$160+(CROQUIS!$C$155)*CROQUIS!$C$159)-5)+1.4,((CROQUIS!$C$160+(CROQUIS!$C$155)*CROQUIS!$C$159)-5),((CROQUIS!$C$160+(CROQUIS!$C$155)*CROQUIS!$C$159)-5),((CROQUIS!$C$160+(CROQUIS!$C$155)*CROQUIS!$C$159)-5),((CROQUIS!$C$160+(CROQUIS!$C$155)*CROQUIS!$C$159)-5)+1.4,((CROQUIS!$C$160+(CROQUIS!$C$155)*CROQUIS!$C$159)-5)-1.4),-1000)</f>
        <v>-1000</v>
      </c>
      <c r="AG9">
        <f>IF(AND(CROQUIS!$C$88=1),CHOOSE(MIN(MAX($A9,1),7),(CROQUIS!$C$161+(0)*CROQUIS!$C$159),(CROQUIS!$C$161+(0)*CROQUIS!$C$159),(CROQUIS!$C$161+(0)*CROQUIS!$C$159),((CROQUIS!$C$161+(0)*CROQUIS!$C$159)+(CROQUIS!$C$161+(CROQUIS!$C$96)*CROQUIS!$C$159))/2,(CROQUIS!$C$161+(CROQUIS!$C$96)*CROQUIS!$C$159),(CROQUIS!$C$161+(CROQUIS!$C$96)*CROQUIS!$C$159),(CROQUIS!$C$161+(CROQUIS!$C$96)*CROQUIS!$C$159)),-1000)</f>
        <v>-1000</v>
      </c>
      <c r="AH9">
        <f>IF(AND(CROQUIS!$C$87=1,CROQUIS!$C$91=1,CROQUIS!$C$147&gt;0),CHOOSE(MIN(MAX($A9,1)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I9">
        <f>IF(AND(CROQUIS!$C$87=1,CROQUIS!$C$91=1,CROQUIS!$C$147&gt;0),CHOOSE(MIN(MAX($A9,1)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J9">
        <f>IF(AND(CROQUIS!$C$87=1,CROQUIS!$C$162&gt;0,CROQUIS!$C$164&gt;0),(CROQUIS!$C$160+((CROQUIS!$C$163+INT(MIN(INT(($A9-1)/2),MAX((2*CROQUIS!$C$162)-1,0))/2)*CROQUIS!$C$116+MOD(MIN(INT(($A9-1)/2),MAX((2*CROQUIS!$C$162)-1,0)),2)*CROQUIS!$C$114))*CROQUIS!$C$159),-1000)</f>
        <v>22.9552643470402</v>
      </c>
      <c r="AK9">
        <f>IF(AND(CROQUIS!$C$87=1,CROQUIS!$C$162&gt;0,CROQUIS!$C$164&gt;0),(CROQUIS!$C$161+(IF(MOD(MIN(INT(($A9-1)/2),MAX((2*CROQUIS!$C$162)-1,0)),2)=0,IF(IF(INT(($A9-1)/2)&gt;MAX((2*CROQUIS!$C$162)-1,0),1,MOD($A9-1,2))=0,CROQUIS!$C$165,(CROQUIS!$C$165+(CROQUIS!$C$164-1)*CROQUIS!$C$116+CROQUIS!$C$115)),IF(IF(INT(($A9-1)/2)&gt;MAX((2*CROQUIS!$C$162)-1,0),1,MOD($A9-1,2))=0,(CROQUIS!$C$165+(CROQUIS!$C$164-1)*CROQUIS!$C$116+CROQUIS!$C$115),CROQUIS!$C$165)))*CROQUIS!$C$159),-1000)</f>
        <v>79.1911432444645</v>
      </c>
      <c r="AL9">
        <f>IF(AND(CROQUIS!$C$87=1,CROQUIS!$C$164&gt;0,CROQUIS!$C$162&gt;0),(CROQUIS!$C$160+(IF(MOD(MIN(INT(($A9-1)/2),MAX((2*CROQUIS!$C$164)-1,0)),2)=0,IF(IF(INT(($A9-1)/2)&gt;MAX((2*CROQUIS!$C$164)-1,0),1,MOD($A9-1,2))=0,CROQUIS!$C$163,(CROQUIS!$C$163+(CROQUIS!$C$162-1)*CROQUIS!$C$116+CROQUIS!$C$114)),IF(IF(INT(($A9-1)/2)&gt;MAX((2*CROQUIS!$C$164)-1,0),1,MOD($A9-1,2))=0,(CROQUIS!$C$163+(CROQUIS!$C$162-1)*CROQUIS!$C$116+CROQUIS!$C$114),CROQUIS!$C$163)))*CROQUIS!$C$159),-1000)</f>
        <v>81.3375508359693</v>
      </c>
      <c r="AM9">
        <f>IF(AND(CROQUIS!$C$87=1,CROQUIS!$C$164&gt;0,CROQUIS!$C$162&gt;0),(CROQUIS!$C$161+((CROQUIS!$C$165+INT(MIN(INT(($A9-1)/2),MAX((2*CROQUIS!$C$164)-1,0))/2)*CROQUIS!$C$116+MOD(MIN(INT(($A9-1)/2),MAX((2*CROQUIS!$C$164)-1,0)),2)*CROQUIS!$C$115))*CROQUIS!$C$159),-1000)</f>
        <v>20.8088567555355</v>
      </c>
      <c r="AN9">
        <f>IF(AND(CROQUIS!$C$87=1,CROQUIS!$C$162&gt;=2),(CROQUIS!$C$160+((CROQUIS!$C$163+CROQUIS!$C$114+(CROQUIS!$C$116-CROQUIS!$C$114)/2+MIN(INT(($A9-1)/2),MAX((CROQUIS!$C$162-1)-1,0))*CROQUIS!$C$116))*CROQUIS!$C$159),-1000)</f>
        <v>34.1165838228649</v>
      </c>
      <c r="AO9">
        <f>IF(AND(CROQUIS!$C$87=1,CROQUIS!$C$162&gt;=2),(CROQUIS!$C$161+(IF(MOD(MIN(INT(($A9-1)/2),MAX((CROQUIS!$C$162-1)-1,0)),2)=0,IF(IF(INT(($A9-1)/2)&gt;MAX((CROQUIS!$C$162-1)-1,0),1,MOD($A9-1,2))=0,CROQUIS!$C$107/2,(CROQUIS!$C$96-CROQUIS!$C$107/2)),IF(IF(INT(($A9-1)/2)&gt;MAX((CROQUIS!$C$162-1)-1,0),1,MOD($A9-1,2))=0,(CROQUIS!$C$96-CROQUIS!$C$107/2),CROQUIS!$C$107/2)))*CROQUIS!$C$159),-1000)</f>
        <v>83.0546769091731</v>
      </c>
      <c r="AP9">
        <f>IF(AND(CROQUIS!$C$87=1,CROQUIS!$C$164&gt;=2),(CROQUIS!$C$160+(IF(MOD(MIN(INT(($A9-1)/2),MAX((CROQUIS!$C$164-1)-1,0)),2)=0,IF(IF(INT(($A9-1)/2)&gt;MAX((CROQUIS!$C$164-1)-1,0),1,MOD($A9-1,2))=0,CROQUIS!$C$107/2,(CROQUIS!$C$95-CROQUIS!$C$107/2)),IF(IF(INT(($A9-1)/2)&gt;MAX((CROQUIS!$C$164-1)-1,0),1,MOD($A9-1,2))=0,(CROQUIS!$C$95-CROQUIS!$C$107/2),CROQUIS!$C$107/2)))*CROQUIS!$C$159),-1000)</f>
        <v>86.7121554450972</v>
      </c>
      <c r="AQ9">
        <f>IF(AND(CROQUIS!$C$87=1,CROQUIS!$C$164&gt;=2),(CROQUIS!$C$161+((CROQUIS!$C$165+CROQUIS!$C$115+(CROQUIS!$C$116-CROQUIS!$C$115)/2+MIN(INT(($A9-1)/2),MAX((CROQUIS!$C$164-1)-1,0))*CROQUIS!$C$116))*CROQUIS!$C$159),-1000)</f>
        <v>31.9701762313601</v>
      </c>
      <c r="AR9">
        <f>IF(AND(CROQUIS!$C$87=1,CROQUIS!$C$126&gt;0,CROQUIS!$C$166&gt;0),((CROQUIS!$C$160+(IF(CROQUIS!$C$92="X",CHOOSE(MIN(MAX($A9,1)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9,1)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9">
        <f>IF(AND(CROQUIS!$C$87=1,CROQUIS!$C$126&gt;0,CROQUIS!$C$166&gt;0),((CROQUIS!$C$161+(IF(CROQUIS!$C$92="X",CHOOSE(MIN(MAX($A9,1)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9,1)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AT9">
        <f>IF(AND(CROQUIS!$C$87=1),((CROQUIS!$C$160+(IF(CROQUIS!$C$92="X",CHOOSE(MIN(MAX($A9,1),2),2,CROQUIS!$C$97-2),CROQUIS!$C$170))*CROQUIS!$C$159)+IF(CROQUIS!$C$92="X",0,-0.9)),-1000)</f>
        <v>45.2364663352915</v>
      </c>
      <c r="AU9">
        <f>IF(AND(CROQUIS!$C$87=1),((CROQUIS!$C$161+(IF(CROQUIS!$C$92="X",CROQUIS!$C$170,CHOOSE(MIN(MAX($A9,1),2),2,CROQUIS!$C$97-2)))*CROQUIS!$C$159)+IF(CROQUIS!$C$92="X",-0.9,0)),-1000)</f>
        <v>83.9990962494352</v>
      </c>
      <c r="AV9">
        <f>IF(AND(CROQUIS!$C$87=1,CROQUIS!$C$133&gt;0),((CROQUIS!$C$160+(IF(CROQUIS!$C$92="X",CHOOSE(MIN(MAX($A9,1),2),IF(CROQUIS!$C$91=1,IF(CROQUIS!$C$94=1,-(CROQUIS!$C$107/2+CROQUIS!$C$143),2),2),IF(CROQUIS!$C$91=1,IF(CROQUIS!$C$94=1,CROQUIS!$C$97-2,CROQUIS!$C$97+CROQUIS!$C$107/2+CROQUIS!$C$143),CROQUIS!$C$97-2)),CROQUIS!$C$170))*CROQUIS!$C$159)+IF(CROQUIS!$C$92="X",0,0.9)),-1000)</f>
        <v>47.0364663352915</v>
      </c>
      <c r="AW9">
        <f>IF(AND(CROQUIS!$C$87=1,CROQUIS!$C$133&gt;0),((CROQUIS!$C$161+(IF(CROQUIS!$C$92="X",CROQUIS!$C$170,CHOOSE(MIN(MAX($A9,1),2),IF(CROQUIS!$C$91=1,IF(CROQUIS!$C$94=1,-(CROQUIS!$C$107/2+CROQUIS!$C$143),2),2),IF(CROQUIS!$C$91=1,IF(CROQUIS!$C$94=1,CROQUIS!$C$97-2,CROQUIS!$C$97+CROQUIS!$C$107/2+CROQUIS!$C$143),CROQUIS!$C$97-2))))*CROQUIS!$C$159)+IF(CROQUIS!$C$92="X",0.9,0)),-1000)</f>
        <v>83.9990962494352</v>
      </c>
      <c r="AX9">
        <f>IF(AND(CROQUIS!$C$87=1,CROQUIS!$C$91=0,CROQUIS!$C$133&gt;=2,OR(CROQUIS!$C$103=1,CROQUIS!$C$145=1)),((CROQUIS!$C$160+(IF(CROQUIS!$C$92="X",CHOOSE(MIN(MAX($A9,1),2),IF(CROQUIS!$C$103=1,-12,2),CROQUIS!$C$107/2+CROQUIS!$C$143),CROQUIS!$C$170))*CROQUIS!$C$159)+IF(CROQUIS!$C$92="X",0,2.1)),-1000)</f>
        <v>-1000</v>
      </c>
      <c r="AY9">
        <f>IF(AND(CROQUIS!$C$87=1,CROQUIS!$C$91=0,CROQUIS!$C$133&gt;=2,OR(CROQUIS!$C$103=1,CROQUIS!$C$145=1)),((CROQUIS!$C$161+(IF(CROQUIS!$C$92="X",CROQUIS!$C$170,CHOOSE(MIN(MAX($A9,1),2),IF(CROQUIS!$C$103=1,-12,2),CROQUIS!$C$107/2+CROQUIS!$C$143)))*CROQUIS!$C$159)+IF(CROQUIS!$C$92="X",2.1,0)),-1000)</f>
        <v>-1000</v>
      </c>
      <c r="AZ9">
        <f>IF(AND(CROQUIS!$C$87=1,CROQUIS!$C$91=0,CROQUIS!$C$133&gt;=2,OR(CROQUIS!$C$104=1,CROQUIS!$C$145=1)),((CROQUIS!$C$160+(IF(CROQUIS!$C$92="X",CHOOSE(MIN(MAX($A9,1),2),CROQUIS!$C$97-CROQUIS!$C$107/2-CROQUIS!$C$143,IF(CROQUIS!$C$104=1,CROQUIS!$C$97+12,CROQUIS!$C$97-2)),CROQUIS!$C$170))*CROQUIS!$C$159)+IF(CROQUIS!$C$92="X",0,2.1)),-1000)</f>
        <v>-1000</v>
      </c>
      <c r="BA9">
        <f>IF(AND(CROQUIS!$C$87=1,CROQUIS!$C$91=0,CROQUIS!$C$133&gt;=2,OR(CROQUIS!$C$104=1,CROQUIS!$C$145=1)),((CROQUIS!$C$161+(IF(CROQUIS!$C$92="X",CROQUIS!$C$170,CHOOSE(MIN(MAX($A9,1),2),CROQUIS!$C$97-CROQUIS!$C$107/2-CROQUIS!$C$143,IF(CROQUIS!$C$104=1,CROQUIS!$C$97+12,CROQUIS!$C$97-2))))*CROQUIS!$C$159)+IF(CROQUIS!$C$92="X",2.1,0)),-1000)</f>
        <v>-1000</v>
      </c>
      <c r="BB9">
        <f>IF(AND(CROQUIS!$C$87=1,CROQUIS!$C$91=1,CROQUIS!$C$147&gt;0,CROQUIS!$C$133&gt;=2),((CROQUIS!$C$160+(IF(CROQUIS!$C$92="X",CHOOSE(MIN(MAX($A9,1),2),IF(CROQUIS!$C$94=1,CROQUIS!$C$97-2,2),IF(CROQUIS!$C$94=1,-(CROQUIS!$C$107/2+CROQUIS!$C$147),CROQUIS!$C$97+CROQUIS!$C$107/2+CROQUIS!$C$147)),CROQUIS!$C$170))*CROQUIS!$C$159)+IF(CROQUIS!$C$92="X",0,2.1)),-1000)</f>
        <v>-1000</v>
      </c>
      <c r="BC9">
        <f>IF(AND(CROQUIS!$C$87=1,CROQUIS!$C$91=1,CROQUIS!$C$147&gt;0,CROQUIS!$C$133&gt;=2),((CROQUIS!$C$161+(IF(CROQUIS!$C$92="X",CROQUIS!$C$170,CHOOSE(MIN(MAX($A9,1),2),IF(CROQUIS!$C$94=1,CROQUIS!$C$97-2,2),IF(CROQUIS!$C$94=1,-(CROQUIS!$C$107/2+CROQUIS!$C$147),CROQUIS!$C$97+CROQUIS!$C$107/2+CROQUIS!$C$147))))*CROQUIS!$C$159)+IF(CROQUIS!$C$92="X",2.1,0)),-1000)</f>
        <v>-1000</v>
      </c>
      <c r="BD9">
        <f>IF(AND(CROQUIS!$C$87=1),((CROQUIS!$C$160+(IF(CROQUIS!$C$92="X",CROQUIS!$C$171,CHOOSE(MIN(MAX($A9,1),2),2,CROQUIS!$C$98-2)))*CROQUIS!$C$159)+IF(CROQUIS!$C$92="X",-0.9,0)),-1000)</f>
        <v>87.6565747853592</v>
      </c>
      <c r="BE9">
        <f>IF(AND(CROQUIS!$C$87=1),((CROQUIS!$C$161+(IF(CROQUIS!$C$92="X",CHOOSE(MIN(MAX($A9,1),2),2,CROQUIS!$C$98-2),CROQUIS!$C$171))*CROQUIS!$C$159)+IF(CROQUIS!$C$92="X",0,-0.9)),-1000)</f>
        <v>43.0900587437867</v>
      </c>
      <c r="BF9">
        <f>IF(AND(CROQUIS!$C$87=1),((CROQUIS!$C$160+(IF(CROQUIS!$C$92="X",CROQUIS!$C$171,CHOOSE(MIN(MAX($A9,1),2),2,CROQUIS!$C$98-2)))*CROQUIS!$C$159)+IF(CROQUIS!$C$92="X",0.9,0)),-1000)</f>
        <v>87.6565747853592</v>
      </c>
      <c r="BG9">
        <f>IF(AND(CROQUIS!$C$87=1),((CROQUIS!$C$161+(IF(CROQUIS!$C$92="X",CHOOSE(MIN(MAX($A9,1),2),2,CROQUIS!$C$98-2),CROQUIS!$C$171))*CROQUIS!$C$159)+IF(CROQUIS!$C$92="X",0,0.9)),-1000)</f>
        <v>44.8900587437867</v>
      </c>
      <c r="BH9">
        <f>IF(AND(CROQUIS!$C$87=1,CROQUIS!$C$91=0,CROQUIS!$C$141&gt;=2,OR(CROQUIS!$C$105=1,CROQUIS!$C$146=1)),((CROQUIS!$C$160+(IF(CROQUIS!$C$92="X",CROQUIS!$C$171,CHOOSE(MIN(MAX($A9,1),2),IF(CROQUIS!$C$105=1,-12,2),CROQUIS!$C$107/2+CROQUIS!$C$144)))*CROQUIS!$C$159)+IF(CROQUIS!$C$92="X",2.1,0)),-1000)</f>
        <v>-1000</v>
      </c>
      <c r="BI9">
        <f>IF(AND(CROQUIS!$C$87=1,CROQUIS!$C$91=0,CROQUIS!$C$141&gt;=2,OR(CROQUIS!$C$105=1,CROQUIS!$C$146=1)),((CROQUIS!$C$161+(IF(CROQUIS!$C$92="X",CHOOSE(MIN(MAX($A9,1),2),IF(CROQUIS!$C$105=1,-12,2),CROQUIS!$C$107/2+CROQUIS!$C$144),CROQUIS!$C$171))*CROQUIS!$C$159)+IF(CROQUIS!$C$92="X",0,2.1)),-1000)</f>
        <v>-1000</v>
      </c>
      <c r="BJ9">
        <f>IF(AND(CROQUIS!$C$87=1,CROQUIS!$C$91=0,CROQUIS!$C$141&gt;=2,OR(CROQUIS!$C$106=1,CROQUIS!$C$146=1)),((CROQUIS!$C$160+(IF(CROQUIS!$C$92="X",CROQUIS!$C$171,CHOOSE(MIN(MAX($A9,1),2),CROQUIS!$C$98-CROQUIS!$C$107/2-CROQUIS!$C$144,IF(CROQUIS!$C$106=1,CROQUIS!$C$98+12,CROQUIS!$C$98-2))))*CROQUIS!$C$159)+IF(CROQUIS!$C$92="X",2.1,0)),-1000)</f>
        <v>-1000</v>
      </c>
      <c r="BK9">
        <f>IF(AND(CROQUIS!$C$87=1,CROQUIS!$C$91=0,CROQUIS!$C$141&gt;=2,OR(CROQUIS!$C$106=1,CROQUIS!$C$146=1)),((CROQUIS!$C$161+(IF(CROQUIS!$C$92="X",CHOOSE(MIN(MAX($A9,1),2),CROQUIS!$C$98-CROQUIS!$C$107/2-CROQUIS!$C$144,IF(CROQUIS!$C$106=1,CROQUIS!$C$98+12,CROQUIS!$C$98-2)),CROQUIS!$C$171))*CROQUIS!$C$159)+IF(CROQUIS!$C$92="X",0,2.1)),-1000)</f>
        <v>-1000</v>
      </c>
      <c r="BL9">
        <f>IF(AND(CROQUIS!$C$87=1,CROQUIS!$C$162&gt;=2),CHOOSE(MIN(MAX($A9,1)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BM9">
        <f>IF(AND(CROQUIS!$C$87=1,CROQUIS!$C$162&gt;=2),CHOOSE(MIN(MAX($A9,1),7),((CROQUIS!$C$161+(CROQUIS!$C$158)*CROQUIS!$C$159)+4)-1.4,((CROQUIS!$C$161+(CROQUIS!$C$158)*CROQUIS!$C$159)+4)+1.4,((CROQUIS!$C$161+(CROQUIS!$C$158)*CROQUIS!$C$159)+4),((CROQUIS!$C$161+(CROQUIS!$C$158)*CROQUIS!$C$159)+4),((CROQUIS!$C$161+(CROQUIS!$C$158)*CROQUIS!$C$159)+4),((CROQUIS!$C$161+(CROQUIS!$C$158)*CROQUIS!$C$159)+4)+1.4,((CROQUIS!$C$161+(CROQUIS!$C$158)*CROQUIS!$C$159)+4)-1.4),-1000)</f>
        <v>89.7425214640759</v>
      </c>
      <c r="BN9">
        <f>IF(AND(CROQUIS!$C$88=1,CROQUIS!$C$129&gt;0),((CROQUIS!$C$160+(IF(CROQUIS!$C$92="X",CHOOSE(IF(INT(($A9-1)/5)&gt;MAX((MAX(1,INT(((CROQUIS!$C$98)-CROQUIS!$C$107)/MAX((CROQUIS!$C$129*MAX(1,CEILING((INT(((CROQUIS!$C$98)-CROQUIS!$C$107)/MAX(CROQUIS!$C$129,1))+1)/80,1))),1))+1))-1,0),0,MOD($A9-1,5))+1,0,2,CROQUIS!$C$97-2,2,0),((CROQUIS!$C$107/2+(((CROQUIS!$C$98)-CROQUIS!$C$107)-(MAX(1,INT(((CROQUIS!$C$98)-CROQUIS!$C$107)/MAX((CROQUIS!$C$129*MAX(1,CEILING((INT(((CROQUIS!$C$98)-CROQUIS!$C$107)/MAX(CROQUIS!$C$129,1))+1)/80,1))),1))+1)-1)*(CROQUIS!$C$129*MAX(1,CEILING((INT(((CROQUIS!$C$98)-CROQUIS!$C$107)/MAX(CROQUIS!$C$129,1))+1)/80,1))))/2)+MIN(INT(($A9-1)/5),MAX((MAX(1,INT(((CROQUIS!$C$98)-CROQUIS!$C$107)/MAX((CROQUIS!$C$129*MAX(1,CEILING((INT(((CROQUIS!$C$98)-CROQUIS!$C$107)/MAX(CROQUIS!$C$129,1))+1)/80,1))),1))+1))-1,0))*(CROQUIS!$C$129*MAX(1,CEILING((INT(((CROQUIS!$C$98)-CROQUIS!$C$107)/MAX(CROQUIS!$C$129,1))+1)/80,1))))))*CROQUIS!$C$159)+IF(CROQUIS!$C$92="X",0,0)),-1000)</f>
        <v>-1000</v>
      </c>
      <c r="BO9">
        <f>IF(AND(CROQUIS!$C$88=1,CROQUIS!$C$129&gt;0),((CROQUIS!$C$161+(IF(CROQUIS!$C$92="X",((CROQUIS!$C$107/2+(((CROQUIS!$C$98)-CROQUIS!$C$107)-(MAX(1,INT(((CROQUIS!$C$98)-CROQUIS!$C$107)/MAX((CROQUIS!$C$129*MAX(1,CEILING((INT(((CROQUIS!$C$98)-CROQUIS!$C$107)/MAX(CROQUIS!$C$129,1))+1)/80,1))),1))+1)-1)*(CROQUIS!$C$129*MAX(1,CEILING((INT(((CROQUIS!$C$98)-CROQUIS!$C$107)/MAX(CROQUIS!$C$129,1))+1)/80,1))))/2)+MIN(INT(($A9-1)/5),MAX((MAX(1,INT(((CROQUIS!$C$98)-CROQUIS!$C$107)/MAX((CROQUIS!$C$129*MAX(1,CEILING((INT(((CROQUIS!$C$98)-CROQUIS!$C$107)/MAX(CROQUIS!$C$129,1))+1)/80,1))),1))+1))-1,0))*(CROQUIS!$C$129*MAX(1,CEILING((INT(((CROQUIS!$C$98)-CROQUIS!$C$107)/MAX(CROQUIS!$C$129,1))+1)/80,1)))),CHOOSE(IF(INT(($A9-1)/5)&gt;MAX((MAX(1,INT(((CROQUIS!$C$98)-CROQUIS!$C$107)/MAX((CROQUIS!$C$129*MAX(1,CEILING((INT(((CROQUIS!$C$98)-CROQUIS!$C$107)/MAX(CROQUIS!$C$129,1))+1)/80,1))),1))+1))-1,0),0,MOD($A9-1,5))+1,0,2,CROQUIS!$C$97-2,2,0)))*CROQUIS!$C$159)+IF(CROQUIS!$C$92="X",0,0)),-1000)</f>
        <v>-1000</v>
      </c>
      <c r="BP9">
        <f>IF(AND(CROQUIS!$C$88=1,CROQUIS!$C$137&gt;0),((CROQUIS!$C$160+(IF(CROQUIS!$C$92="X",((CROQUIS!$C$107/2+(((CROQUIS!$C$97)-CROQUIS!$C$107)-(MAX(1,INT(((CROQUIS!$C$97)-CROQUIS!$C$107)/MAX((CROQUIS!$C$137*MAX(1,CEILING((INT(((CROQUIS!$C$97)-CROQUIS!$C$107)/MAX(CROQUIS!$C$137,1))+1)/80,1))),1))+1)-1)*(CROQUIS!$C$137*MAX(1,CEILING((INT(((CROQUIS!$C$97)-CROQUIS!$C$107)/MAX(CROQUIS!$C$137,1))+1)/80,1))))/2)+MIN(INT(($A9-1)/5),MAX((MAX(1,INT(((CROQUIS!$C$97)-CROQUIS!$C$107)/MAX((CROQUIS!$C$137*MAX(1,CEILING((INT(((CROQUIS!$C$97)-CROQUIS!$C$107)/MAX(CROQUIS!$C$137,1))+1)/80,1))),1))+1))-1,0))*(CROQUIS!$C$137*MAX(1,CEILING((INT(((CROQUIS!$C$97)-CROQUIS!$C$107)/MAX(CROQUIS!$C$137,1))+1)/80,1)))),CHOOSE(IF(INT(($A9-1)/5)&gt;MAX((MAX(1,INT(((CROQUIS!$C$97)-CROQUIS!$C$107)/MAX((CROQUIS!$C$137*MAX(1,CEILING((INT(((CROQUIS!$C$97)-CROQUIS!$C$107)/MAX(CROQUIS!$C$137,1))+1)/80,1))),1))+1))-1,0),0,MOD($A9-1,5))+1,0,2,CROQUIS!$C$98-2,2,0)))*CROQUIS!$C$159)+IF(CROQUIS!$C$92="X",0,0)),-1000)</f>
        <v>-1000</v>
      </c>
      <c r="BQ9">
        <f>IF(AND(CROQUIS!$C$88=1,CROQUIS!$C$137&gt;0),((CROQUIS!$C$161+(IF(CROQUIS!$C$92="X",CHOOSE(IF(INT(($A9-1)/5)&gt;MAX((MAX(1,INT(((CROQUIS!$C$97)-CROQUIS!$C$107)/MAX((CROQUIS!$C$137*MAX(1,CEILING((INT(((CROQUIS!$C$97)-CROQUIS!$C$107)/MAX(CROQUIS!$C$137,1))+1)/80,1))),1))+1))-1,0),0,MOD($A9-1,5))+1,0,2,CROQUIS!$C$98-2,2,0),((CROQUIS!$C$107/2+(((CROQUIS!$C$97)-CROQUIS!$C$107)-(MAX(1,INT(((CROQUIS!$C$97)-CROQUIS!$C$107)/MAX((CROQUIS!$C$137*MAX(1,CEILING((INT(((CROQUIS!$C$97)-CROQUIS!$C$107)/MAX(CROQUIS!$C$137,1))+1)/80,1))),1))+1)-1)*(CROQUIS!$C$137*MAX(1,CEILING((INT(((CROQUIS!$C$97)-CROQUIS!$C$107)/MAX(CROQUIS!$C$137,1))+1)/80,1))))/2)+MIN(INT(($A9-1)/5),MAX((MAX(1,INT(((CROQUIS!$C$97)-CROQUIS!$C$107)/MAX((CROQUIS!$C$137*MAX(1,CEILING((INT(((CROQUIS!$C$97)-CROQUIS!$C$107)/MAX(CROQUIS!$C$137,1))+1)/80,1))),1))+1))-1,0))*(CROQUIS!$C$137*MAX(1,CEILING((INT(((CROQUIS!$C$97)-CROQUIS!$C$107)/MAX(CROQUIS!$C$137,1))+1)/80,1))))))*CROQUIS!$C$159)+IF(CROQUIS!$C$92="X",0,0)),-1000)</f>
        <v>-1000</v>
      </c>
      <c r="BR9">
        <f>IF(AND(CROQUIS!$C$88=1,CROQUIS!$C$91=0,CROQUIS!$C$133&gt;0,OR(CROQUIS!$C$103=1,CROQUIS!$C$145=1)),((CROQUIS!$C$160+(IF(CROQUIS!$C$92="X",CHOOSE(IF(INT(($A9-1)/5)&gt;MAX((MAX(1,INT(((CROQUIS!$C$98)-CROQUIS!$C$107)/MAX((CROQUIS!$C$133*MAX(1,CEILING((INT(((CROQUIS!$C$98)-CROQUIS!$C$107)/MAX(CROQUIS!$C$133,1))+1)/80,1))),1))+1))-1,0),0,MOD($A9-1,5))+1,0,IF(CROQUIS!$C$103=1,-12,2),CROQUIS!$C$107/2+CROQUIS!$C$143,IF(CROQUIS!$C$103=1,-12,2),0),((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BS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+1,0,IF(CROQUIS!$C$103=1,-12,2),CROQUIS!$C$107/2+CROQUIS!$C$143,IF(CROQUIS!$C$103=1,-12,2),0)))*CROQUIS!$C$159)+IF(CROQUIS!$C$92="X",0.8,0)),-1000)</f>
        <v>-1000</v>
      </c>
      <c r="BT9">
        <f>IF(AND(CROQUIS!$C$88=1,CROQUIS!$C$91=0,CROQUIS!$C$133&gt;0,OR(CROQUIS!$C$104=1,CROQUIS!$C$145=1)),((CROQUIS!$C$160+(IF(CROQUIS!$C$92="X",CHOOSE(IF(INT(($A9-1)/5)&gt;MAX((MAX(1,INT(((CROQUIS!$C$98)-CROQUIS!$C$107)/MAX((CROQUIS!$C$133*MAX(1,CEILING((INT(((CROQUIS!$C$98)-CROQUIS!$C$107)/MAX(CROQUIS!$C$133,1))+1)/80,1))),1))+1))-1,0),0,MOD($A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BU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CROQUIS!$C$97,CROQUIS!$C$97-CROQUIS!$C$107/2-CROQUIS!$C$143,IF(CROQUIS!$C$104=1,CROQUIS!$C$97+12,CROQUIS!$C$97-2),CROQUIS!$C$97-CROQUIS!$C$107/2-CROQUIS!$C$143,CROQUIS!$C$97)))*CROQUIS!$C$159)+IF(CROQUIS!$C$92="X",0.8,0)),-1000)</f>
        <v>-1000</v>
      </c>
      <c r="BV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HOOSE(IF(INT(($A9-1)/5)&gt;MAX((MAX(1,INT(((CROQUIS!$C$97)-CROQUIS!$C$107)/MAX((CROQUIS!$C$141*MAX(1,CEILING((INT(((CROQUIS!$C$97)-CROQUIS!$C$107)/MAX(CROQUIS!$C$141,1))+1)/80,1))),1))+1))-1,0),0,MOD($A9-1,5))+1,0,IF(CROQUIS!$C$105=1,-12,2),CROQUIS!$C$107/2+CROQUIS!$C$144,IF(CROQUIS!$C$105=1,-12,2),0)))*CROQUIS!$C$159)+IF(CROQUIS!$C$92="X",0.8,0)),-1000)</f>
        <v>-1000</v>
      </c>
      <c r="BW9">
        <f>IF(AND(CROQUIS!$C$88=1,CROQUIS!$C$91=0,CROQUIS!$C$141&gt;0,OR(CROQUIS!$C$105=1,CROQUIS!$C$146=1)),((CROQUIS!$C$161+(IF(CROQUIS!$C$92="X",CHOOSE(IF(INT(($A9-1)/5)&gt;MAX((MAX(1,INT(((CROQUIS!$C$97)-CROQUIS!$C$107)/MAX((CROQUIS!$C$141*MAX(1,CEILING((INT(((CROQUIS!$C$97)-CROQUIS!$C$107)/MAX(CROQUIS!$C$141,1))+1)/80,1))),1))+1))-1,0),0,MOD($A9-1,5))+1,0,IF(CROQUIS!$C$105=1,-12,2),CROQUIS!$C$107/2+CROQUIS!$C$144,IF(CROQUIS!$C$105=1,-12,2),0),((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ROQUIS!$C$159)+IF(CROQUIS!$C$92="X",0,0.8)),-1000)</f>
        <v>-1000</v>
      </c>
      <c r="BX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HOOSE(IF(INT(($A9-1)/5)&gt;MAX((MAX(1,INT(((CROQUIS!$C$97)-CROQUIS!$C$107)/MAX((CROQUIS!$C$141*MAX(1,CEILING((INT(((CROQUIS!$C$97)-CROQUIS!$C$107)/MAX(CROQUIS!$C$141,1))+1)/80,1))),1))+1))-1,0),0,MOD($A9-1,5))+1,CROQUIS!$C$98,CROQUIS!$C$98-CROQUIS!$C$107/2-CROQUIS!$C$144,IF(CROQUIS!$C$106=1,CROQUIS!$C$98+12,CROQUIS!$C$98-2),CROQUIS!$C$98-CROQUIS!$C$107/2-CROQUIS!$C$144,CROQUIS!$C$98)))*CROQUIS!$C$159)+IF(CROQUIS!$C$92="X",0.8,0)),-1000)</f>
        <v>-1000</v>
      </c>
      <c r="BY9">
        <f>IF(AND(CROQUIS!$C$88=1,CROQUIS!$C$91=0,CROQUIS!$C$141&gt;0,OR(CROQUIS!$C$106=1,CROQUIS!$C$146=1)),((CROQUIS!$C$161+(IF(CROQUIS!$C$92="X",CHOOSE(IF(INT(($A9-1)/5)&gt;MAX((MAX(1,INT(((CROQUIS!$C$97)-CROQUIS!$C$107)/MAX((CROQUIS!$C$141*MAX(1,CEILING((INT(((CROQUIS!$C$97)-CROQUIS!$C$107)/MAX(CROQUIS!$C$141,1))+1)/80,1))),1))+1))-1,0),0,MOD($A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ROQUIS!$C$159)+IF(CROQUIS!$C$92="X",0,0.8)),-1000)</f>
        <v>-1000</v>
      </c>
      <c r="BZ9">
        <f>IF(AND(CROQUIS!$C$88=1,CROQUIS!$C$91=1,CROQUIS!$C$133&gt;0),((CROQUIS!$C$160+(IF(CROQUIS!$C$92="X",CHOOSE(IF(INT(($A9-1)/5)&gt;MAX((MAX(1,INT(((CROQUIS!$C$98)-CROQUIS!$C$107)/MAX((CROQUIS!$C$133*MAX(1,CEILING((INT(((CROQUIS!$C$98)-CROQUIS!$C$107)/MAX(CROQUIS!$C$133,1))+1)/80,1))),1))+1))-1,0),0,MOD($A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CA9">
        <f>IF(AND(CROQUIS!$C$88=1,CROQUIS!$C$91=1,CROQUIS!$C$133&gt;0),((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9">
        <f>IF(AND(CROQUIS!$C$87=1),CHOOSE(MIN(MAX($A9,1),9),(50+(-CROQUIS!$C$116/2)*CROQUIS!$C$177),(50+(CROQUIS!$C$116/2)*CROQUIS!$C$177),(50+(CROQUIS!$C$116/2)*CROQUIS!$C$177),(50+(CROQUIS!$C$111/2)*CROQUIS!$C$177),(50+(CROQUIS!$C$111/2)*CROQUIS!$C$177),(50+(-CROQUIS!$C$111/2)*CROQUIS!$C$177),(50+(-CROQUIS!$C$111/2)*CROQUIS!$C$177),(50+(-CROQUIS!$C$116/2)*CROQUIS!$C$177),(50+(-CROQUIS!$C$116/2)*CROQUIS!$C$177)),-1000)</f>
        <v>83.4090909090909</v>
      </c>
      <c r="CC9">
        <f>IF(AND(CROQUIS!$C$87=1),CHOOSE(MIN(MAX($A9,1),9),(12+(CROQUIS!$C$108)*CROQUIS!$C$177),(12+(CROQUIS!$C$108)*CROQUIS!$C$177),(12+(CROQUIS!$C$117)*CROQUIS!$C$177),(12+(CROQUIS!$C$117)*CROQUIS!$C$177),(12+(0)*CROQUIS!$C$177),(12+(0)*CROQUIS!$C$177),(12+(CROQUIS!$C$117)*CROQUIS!$C$177),(12+(CROQUIS!$C$117)*CROQUIS!$C$177),(12+(CROQUIS!$C$108)*CROQUIS!$C$177)),-1000)</f>
        <v>35.8636363636364</v>
      </c>
      <c r="CD9">
        <f>IF(AND(CROQUIS!$C$87=1),CHOOSE(MIN(MAX($A9,1),5),(50+(-CROQUIS!$C$116/2)*CROQUIS!$C$177),(50+(-CROQUIS!$C$111/2)*CROQUIS!$C$177),(50+(-CROQUIS!$C$111/2)*CROQUIS!$C$177),(50+(-CROQUIS!$C$116/2)*CROQUIS!$C$177),(50+(-CROQUIS!$C$116/2)*CROQUIS!$C$177)),-1000)</f>
        <v>45.2272727272727</v>
      </c>
      <c r="CE9">
        <f>IF(AND(CROQUIS!$C$87=1),CHOOSE(MIN(MAX($A9,1),5),(12+(0)*CROQUIS!$C$177),(12+(0)*CROQUIS!$C$177),(12+(CROQUIS!$C$117)*CROQUIS!$C$177),(12+(CROQUIS!$C$117)*CROQUIS!$C$177),(12+(0)*CROQUIS!$C$177)),-1000)</f>
        <v>12</v>
      </c>
      <c r="CF9">
        <f>IF(AND(CROQUIS!$C$87=1),CHOOSE(MIN(MAX($A9,1),5),(50+(CROQUIS!$C$111/2)*CROQUIS!$C$177),(50+(CROQUIS!$C$116/2)*CROQUIS!$C$177),(50+(CROQUIS!$C$116/2)*CROQUIS!$C$177),(50+(CROQUIS!$C$111/2)*CROQUIS!$C$177),(50+(CROQUIS!$C$111/2)*CROQUIS!$C$177)),-1000)</f>
        <v>83.4090909090909</v>
      </c>
      <c r="CG9">
        <f>IF(AND(CROQUIS!$C$87=1),CHOOSE(MIN(MAX($A9,1),5),(12+(0)*CROQUIS!$C$177),(12+(0)*CROQUIS!$C$177),(12+(CROQUIS!$C$117)*CROQUIS!$C$177),(12+(CROQUIS!$C$117)*CROQUIS!$C$177),(12+(0)*CROQUIS!$C$177)),-1000)</f>
        <v>12</v>
      </c>
      <c r="CH9">
        <f>IF(AND(CROQUIS!$C$87=1),CHOOSE(MIN(MAX($A9,1),2),(50+(-CROQUIS!$C$116/2+1)*CROQUIS!$C$177),(50+(CROQUIS!$C$116/2-1)*CROQUIS!$C$177)),-1000)</f>
        <v>82.4545454545455</v>
      </c>
      <c r="CI9">
        <f>IF(AND(CROQUIS!$C$87=1),(12+((CROQUIS!$C$108-CROQUIS!$C$120-CROQUIS!$C$119))*CROQUIS!$C$177),-1000)</f>
        <v>33</v>
      </c>
      <c r="CJ9">
        <f>IF(AND(CROQUIS!$C$87=1,CROQUIS!$C$129&gt;=1),(50+(((1-(CROQUIS!$C$129+1)/2)*(MAX(CROQUIS!$C$121,CROQUIS!$C$128)+CROQUIS!$C$128))+CROQUIS!$C$128/2*COS(2*PI()*(MIN($A9,13)-1)/12))*CROQUIS!$C$177),-1000)</f>
        <v>50.5249294890666</v>
      </c>
      <c r="CK9">
        <f>IF(AND(CROQUIS!$C$87=1,CROQUIS!$C$129&gt;=1),(12+((CROQUIS!$C$109+CROQUIS!$C$128/2)+CROQUIS!$C$128/2*SIN(2*PI()*(MIN($A9,13)-1)/12))*CROQUIS!$C$177),-1000)</f>
        <v>14.8182954545455</v>
      </c>
      <c r="CL9">
        <f>IF(AND(CROQUIS!$C$87=1,CROQUIS!$C$129&gt;=2),(50+(((2-(CROQUIS!$C$129+1)/2)*(MAX(CROQUIS!$C$121,CROQUIS!$C$128)+CROQUIS!$C$128))+CROQUIS!$C$128/2*COS(2*PI()*(MIN($A9,13)-1)/12))*CROQUIS!$C$177),-1000)</f>
        <v>-1000</v>
      </c>
      <c r="CM9">
        <f>IF(AND(CROQUIS!$C$87=1,CROQUIS!$C$129&gt;=2),(12+((CROQUIS!$C$109+CROQUIS!$C$128/2)+CROQUIS!$C$128/2*SIN(2*PI()*(MIN($A9,13)-1)/12))*CROQUIS!$C$177),-1000)</f>
        <v>-1000</v>
      </c>
      <c r="CN9">
        <f>IF(AND(CROQUIS!$C$87=1,CROQUIS!$C$129&gt;=3),(50+(((3-(CROQUIS!$C$129+1)/2)*(MAX(CROQUIS!$C$121,CROQUIS!$C$128)+CROQUIS!$C$128))+CROQUIS!$C$128/2*COS(2*PI()*(MIN($A9,13)-1)/12))*CROQUIS!$C$177),-1000)</f>
        <v>-1000</v>
      </c>
      <c r="CO9">
        <f>IF(AND(CROQUIS!$C$87=1,CROQUIS!$C$129&gt;=3),(12+((CROQUIS!$C$109+CROQUIS!$C$128/2)+CROQUIS!$C$128/2*SIN(2*PI()*(MIN($A9,13)-1)/12))*CROQUIS!$C$177),-1000)</f>
        <v>-1000</v>
      </c>
      <c r="CP9">
        <f>IF(AND(CROQUIS!$C$87=1,CROQUIS!$C$133&gt;=1),(50+(((1-(CROQUIS!$C$133+1)/2)*(MAX(CROQUIS!$C$121,CROQUIS!$C$132)+CROQUIS!$C$132))+CROQUIS!$C$132/2*COS(2*PI()*(MIN($A9,13)-1)/12))*CROQUIS!$C$177),-1000)</f>
        <v>50.5249294890666</v>
      </c>
      <c r="CQ9">
        <f>IF(AND(CROQUIS!$C$87=1,CROQUIS!$C$133&gt;=1),(12+((CROQUIS!$C$108-CROQUIS!$C$120-2*CROQUIS!$C$119-CROQUIS!$C$132/2)+CROQUIS!$C$132/2*SIN(2*PI()*(MIN($A9,13)-1)/12))*CROQUIS!$C$177),-1000)</f>
        <v>32.1509318181818</v>
      </c>
      <c r="CR9">
        <f>IF(AND(CROQUIS!$C$87=1,CROQUIS!$C$133&gt;=2),(50+(((2-(CROQUIS!$C$133+1)/2)*(MAX(CROQUIS!$C$121,CROQUIS!$C$132)+CROQUIS!$C$132))+CROQUIS!$C$132/2*COS(2*PI()*(MIN($A9,13)-1)/12))*CROQUIS!$C$177),-1000)</f>
        <v>-1000</v>
      </c>
      <c r="CS9">
        <f>IF(AND(CROQUIS!$C$87=1,CROQUIS!$C$133&gt;=2),(12+((CROQUIS!$C$108-CROQUIS!$C$120-2*CROQUIS!$C$119-CROQUIS!$C$132/2)+CROQUIS!$C$132/2*SIN(2*PI()*(MIN($A9,13)-1)/12))*CROQUIS!$C$177),-1000)</f>
        <v>-1000</v>
      </c>
      <c r="CT9">
        <f>IF(AND(CROQUIS!$C$87=1,CROQUIS!$C$133&gt;=3),(50+(((3-(CROQUIS!$C$133+1)/2)*(MAX(CROQUIS!$C$121,CROQUIS!$C$132)+CROQUIS!$C$132))+CROQUIS!$C$132/2*COS(2*PI()*(MIN($A9,13)-1)/12))*CROQUIS!$C$177),-1000)</f>
        <v>-1000</v>
      </c>
      <c r="CU9">
        <f>IF(AND(CROQUIS!$C$87=1,CROQUIS!$C$133&gt;=3),(12+((CROQUIS!$C$108-CROQUIS!$C$120-2*CROQUIS!$C$119-CROQUIS!$C$132/2)+CROQUIS!$C$132/2*SIN(2*PI()*(MIN($A9,13)-1)/12))*CROQUIS!$C$177),-1000)</f>
        <v>-1000</v>
      </c>
      <c r="CV9">
        <f>IF(AND(CROQUIS!$C$87=1),CHOOSE(MIN(MAX($A9,1),7),(50+(-CROQUIS!$C$111/2)*CROQUIS!$C$177),(50+(-CROQUIS!$C$111/2)*CROQUIS!$C$177),(50+(-CROQUIS!$C$111/2)*CROQUIS!$C$177),((50+(-CROQUIS!$C$111/2)*CROQUIS!$C$177)+(50+(CROQUIS!$C$111/2)*CROQUIS!$C$177))/2,(50+(CROQUIS!$C$111/2)*CROQUIS!$C$177),(50+(CROQUIS!$C$111/2)*CROQUIS!$C$177),(50+(CROQUIS!$C$111/2)*CROQUIS!$C$177)),-1000)</f>
        <v>45.2272727272727</v>
      </c>
      <c r="CW9">
        <f>IF(AND(CROQUIS!$C$87=1),CHOOSE(MIN(MAX($A9,1),7),(12+(-4)*CROQUIS!$C$177)-1.4,(12+(-4)*CROQUIS!$C$177)+1.4,(12+(-4)*CROQUIS!$C$177),(12+(-4)*CROQUIS!$C$177),(12+(-4)*CROQUIS!$C$177),(12+(-4)*CROQUIS!$C$177)+1.4,(12+(-4)*CROQUIS!$C$177)-1.4),-1000)</f>
        <v>9.58181818181818</v>
      </c>
      <c r="CX9">
        <f>IF(AND(CROQUIS!$C$87=1),CHOOSE(MIN(MAX($A9,1),7),(50+(-CROQUIS!$C$116/2)*CROQUIS!$C$177),(50+(-CROQUIS!$C$116/2)*CROQUIS!$C$177),(50+(-CROQUIS!$C$116/2)*CROQUIS!$C$177),((50+(-CROQUIS!$C$116/2)*CROQUIS!$C$177)+(50+(CROQUIS!$C$116/2)*CROQUIS!$C$177))/2,(50+(CROQUIS!$C$116/2)*CROQUIS!$C$177),(50+(CROQUIS!$C$116/2)*CROQUIS!$C$177),(50+(CROQUIS!$C$116/2)*CROQUIS!$C$177)),-1000)</f>
        <v>16.5909090909091</v>
      </c>
      <c r="CY9">
        <f>IF(AND(CROQUIS!$C$87=1),CHOOSE(MIN(MAX($A9,1),7),(12+(CROQUIS!$C$108+4)*CROQUIS!$C$177)-1.4,(12+(CROQUIS!$C$108+4)*CROQUIS!$C$177)+1.4,(12+(CROQUIS!$C$108+4)*CROQUIS!$C$177),(12+(CROQUIS!$C$108+4)*CROQUIS!$C$177),(12+(CROQUIS!$C$108+4)*CROQUIS!$C$177),(12+(CROQUIS!$C$108+4)*CROQUIS!$C$177)+1.4,(12+(CROQUIS!$C$108+4)*CROQUIS!$C$177)-1.4),-1000)</f>
        <v>41.0818181818182</v>
      </c>
      <c r="CZ9">
        <f>IF(AND(CROQUIS!$C$87=1),CHOOSE(MIN(MAX($A9,1),7),(50+(CROQUIS!$C$116/2+4)*CROQUIS!$C$177)-1.4,(50+(CROQUIS!$C$116/2+4)*CROQUIS!$C$177)+1.4,(50+(CROQUIS!$C$116/2+4)*CROQUIS!$C$177),(50+(CROQUIS!$C$116/2+4)*CROQUIS!$C$177),(50+(CROQUIS!$C$116/2+4)*CROQUIS!$C$177),(50+(CROQUIS!$C$116/2+4)*CROQUIS!$C$177)+1.4,(50+(CROQUIS!$C$116/2+4)*CROQUIS!$C$177)-1.4),-1000)</f>
        <v>88.6272727272727</v>
      </c>
      <c r="DA9">
        <f>IF(AND(CROQUIS!$C$87=1),CHOOSE(MIN(MAX($A9,1),7),(12+(0)*CROQUIS!$C$177),(12+(0)*CROQUIS!$C$177),(12+(0)*CROQUIS!$C$177),((12+(0)*CROQUIS!$C$177)+(12+(CROQUIS!$C$108)*CROQUIS!$C$177))/2,(12+(CROQUIS!$C$108)*CROQUIS!$C$177),(12+(CROQUIS!$C$108)*CROQUIS!$C$177),(12+(CROQUIS!$C$108)*CROQUIS!$C$177)),-1000)</f>
        <v>12</v>
      </c>
      <c r="DB9">
        <f>IF(AND(CROQUIS!$C$87=1),CHOOSE(MIN(MAX($A9,1),7),(50+(-CROQUIS!$C$116/2-4)*CROQUIS!$C$177)-1.4,(50+(-CROQUIS!$C$116/2-4)*CROQUIS!$C$177)+1.4,(50+(-CROQUIS!$C$116/2-4)*CROQUIS!$C$177),(50+(-CROQUIS!$C$116/2-4)*CROQUIS!$C$177),(50+(-CROQUIS!$C$116/2-4)*CROQUIS!$C$177),(50+(-CROQUIS!$C$116/2-4)*CROQUIS!$C$177)+1.4,(50+(-CROQUIS!$C$116/2-4)*CROQUIS!$C$177)-1.4),-1000)</f>
        <v>14.1727272727273</v>
      </c>
      <c r="DC9">
        <f>IF(AND(CROQUIS!$C$87=1),CHOOSE(MIN(MAX($A9,1),7),(12+(CROQUIS!$C$108-CROQUIS!$C$150)*CROQUIS!$C$177),(12+(CROQUIS!$C$108-CROQUIS!$C$150)*CROQUIS!$C$177),(12+(CROQUIS!$C$108-CROQUIS!$C$150)*CROQUIS!$C$177),((12+(CROQUIS!$C$108-CROQUIS!$C$150)*CROQUIS!$C$177)+(12+(CROQUIS!$C$108)*CROQUIS!$C$177))/2,(12+(CROQUIS!$C$108)*CROQUIS!$C$177),(12+(CROQUIS!$C$108)*CROQUIS!$C$177),(12+(CROQUIS!$C$108)*CROQUIS!$C$177)),-1000)</f>
        <v>14.5152272727273</v>
      </c>
      <c r="DD9">
        <f>IF(AND(CROQUIS!$C$88=1),CHOOSE(MIN(MAX($A9,1),5),(50+(-30)*CROQUIS!$C$178),(50+(30)*CROQUIS!$C$178),(50+(30)*CROQUIS!$C$178),(50+(-30)*CROQUIS!$C$178),(50+(-30)*CROQUIS!$C$178)),-1000)</f>
        <v>-1000</v>
      </c>
      <c r="DE9">
        <f>IF(AND(CROQUIS!$C$88=1),CHOOSE(MIN(MAX($A9,1),5),(12+(0)*CROQUIS!$C$178),(12+(0)*CROQUIS!$C$178),(12+(CROQUIS!$C$108)*CROQUIS!$C$178),(12+(CROQUIS!$C$108)*CROQUIS!$C$178),(12+(0)*CROQUIS!$C$178)),-1000)</f>
        <v>-1000</v>
      </c>
      <c r="DF9">
        <f>IF(AND(CROQUIS!$C$88=1),CHOOSE(MIN(MAX($A9,1),2),(50+(-29)*CROQUIS!$C$178),(50+(29)*CROQUIS!$C$178)),-1000)</f>
        <v>-1000</v>
      </c>
      <c r="DG9">
        <f>IF(AND(CROQUIS!$C$88=1),(12+((CROQUIS!$C$109+CROQUIS!$C$128/2))*CROQUIS!$C$178),-1000)</f>
        <v>-1000</v>
      </c>
      <c r="DH9">
        <f>IF(AND(CROQUIS!$C$88=1,CROQUIS!$C$137&gt;0),(50+((-(MIN(12,INT(58/MAX(CROQUIS!$C$137,1))+1)-1)*CROQUIS!$C$137/2+(MIN($A9,MIN(12,INT(58/MAX(CROQUIS!$C$137,1))+1))-1)*CROQUIS!$C$137))*CROQUIS!$C$178),-1000)</f>
        <v>-1000</v>
      </c>
      <c r="DI9">
        <f>IF(AND(CROQUIS!$C$88=1,CROQUIS!$C$137&gt;0),(12+((CROQUIS!$C$109+CROQUIS!$C$128+CROQUIS!$C$136/2))*CROQUIS!$C$178),-1000)</f>
        <v>-1000</v>
      </c>
      <c r="DJ9">
        <f>IF(AND(CROQUIS!$C$88=1,CROQUIS!$C$141&gt;0),(50+((-(MIN(12,INT(58/MAX(CROQUIS!$C$141,1))+1)-1)*CROQUIS!$C$141/2+(MIN($A9,MIN(12,INT(58/MAX(CROQUIS!$C$141,1))+1))-1)*CROQUIS!$C$141))*CROQUIS!$C$178),-1000)</f>
        <v>-1000</v>
      </c>
      <c r="DK9">
        <f>IF(AND(CROQUIS!$C$88=1,CROQUIS!$C$141&gt;0),(12+((CROQUIS!$C$108-CROQUIS!$C$110-CROQUIS!$C$132-CROQUIS!$C$140/2))*CROQUIS!$C$178),-1000)</f>
        <v>-1000</v>
      </c>
      <c r="DL9">
        <f>IF(AND(CROQUIS!$C$88=1,CROQUIS!$C$133&gt;0),CHOOSE(MIN(MAX($A9,1),2),(50+(-29)*CROQUIS!$C$178),(50+(29)*CROQUIS!$C$178)),-1000)</f>
        <v>-1000</v>
      </c>
      <c r="DM9">
        <f>IF(AND(CROQUIS!$C$88=1,CROQUIS!$C$133&gt;0),(12+((CROQUIS!$C$108-CROQUIS!$C$110-CROQUIS!$C$132/2))*CROQUIS!$C$178),-1000)</f>
        <v>-1000</v>
      </c>
      <c r="DN9">
        <f>IF(AND(CROQUIS!$C$88=1),CHOOSE(MIN(MAX($A9,1),7),(50+(33)*CROQUIS!$C$178)-1.4,(50+(33)*CROQUIS!$C$178)+1.4,(50+(33)*CROQUIS!$C$178),(50+(33)*CROQUIS!$C$178),(50+(33)*CROQUIS!$C$178),(50+(33)*CROQUIS!$C$178)+1.4,(50+(33)*CROQUIS!$C$178)-1.4),-1000)</f>
        <v>-1000</v>
      </c>
      <c r="DO9">
        <f>IF(AND(CROQUIS!$C$88=1),CHOOSE(MIN(MAX($A9,1),7),(12+(0)*CROQUIS!$C$178),(12+(0)*CROQUIS!$C$178),(12+(0)*CROQUIS!$C$178),((12+(0)*CROQUIS!$C$178)+(12+(CROQUIS!$C$108)*CROQUIS!$C$178))/2,(12+(CROQUIS!$C$108)*CROQUIS!$C$178),(12+(CROQUIS!$C$108)*CROQUIS!$C$178),(12+(CROQUIS!$C$108)*CROQUIS!$C$178)),-1000)</f>
        <v>-1000</v>
      </c>
      <c r="DP9">
        <f>IF(AND(CROQUIS!$C$88=1),CHOOSE(MIN(MAX($A9,1),7),(50+(-33)*CROQUIS!$C$178)-0.8,(50+(-33)*CROQUIS!$C$178)+0.8,(50+(-33)*CROQUIS!$C$178),(50+(-33)*CROQUIS!$C$178),(50+(-33)*CROQUIS!$C$178),(50+(-33)*CROQUIS!$C$178)+0.8,(50+(-33)*CROQUIS!$C$178)-0.8),-1000)</f>
        <v>-1000</v>
      </c>
      <c r="DQ9">
        <f>IF(AND(CROQUIS!$C$88=1),CHOOSE(MIN(MAX($A9,1),7),(12+(0)*CROQUIS!$C$178),(12+(0)*CROQUIS!$C$178),(12+(0)*CROQUIS!$C$178),((12+(0)*CROQUIS!$C$178)+(12+(CROQUIS!$C$109)*CROQUIS!$C$178))/2,(12+(CROQUIS!$C$109)*CROQUIS!$C$178),(12+(CROQUIS!$C$109)*CROQUIS!$C$178),(12+(CROQUIS!$C$109)*CROQUIS!$C$178)),-1000)</f>
        <v>-1000</v>
      </c>
      <c r="DR9">
        <f>IF(AND(CROQUIS!$C$88=1),CHOOSE(MIN(MAX($A9,1),7),(50+(-33)*CROQUIS!$C$178)-0.8,(50+(-33)*CROQUIS!$C$178)+0.8,(50+(-33)*CROQUIS!$C$178),(50+(-33)*CROQUIS!$C$178),(50+(-33)*CROQUIS!$C$178),(50+(-33)*CROQUIS!$C$178)+0.8,(50+(-33)*CROQUIS!$C$178)-0.8),-1000)</f>
        <v>-1000</v>
      </c>
      <c r="DS9">
        <f>IF(AND(CROQUIS!$C$88=1),CHOOSE(MIN(MAX($A9,1),7),(12+(CROQUIS!$C$108-CROQUIS!$C$110)*CROQUIS!$C$178),(12+(CROQUIS!$C$108-CROQUIS!$C$110)*CROQUIS!$C$178),(12+(CROQUIS!$C$108-CROQUIS!$C$110)*CROQUIS!$C$178),((12+(CROQUIS!$C$108-CROQUIS!$C$110)*CROQUIS!$C$178)+(12+(CROQUIS!$C$108)*CROQUIS!$C$178))/2,(12+(CROQUIS!$C$108)*CROQUIS!$C$178),(12+(CROQUIS!$C$108)*CROQUIS!$C$178),(12+(CROQUIS!$C$108)*CROQUIS!$C$178)),-1000)</f>
        <v>-1000</v>
      </c>
      <c r="DT9">
        <f>IF(AND(CROQUIS!$C$88=1,MIN(12,INT(58/MAX(CROQUIS!$C$137,1))+1)&gt;=2),CHOOSE(MIN(MAX($A9,1)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9">
        <f>IF(AND(CROQUIS!$C$88=1,MIN(12,INT(58/MAX(CROQUIS!$C$137,1))+1)&gt;=2),CHOOSE(MIN(MAX($A9,1),7),(12+(-4)*CROQUIS!$C$178)-1.4,(12+(-4)*CROQUIS!$C$178)+1.4,(12+(-4)*CROQUIS!$C$178),(12+(-4)*CROQUIS!$C$178),(12+(-4)*CROQUIS!$C$178),(12+(-4)*CROQUIS!$C$178)+1.4,(12+(-4)*CROQUIS!$C$178)-1.4),-1000)</f>
        <v>-1000</v>
      </c>
      <c r="DV9">
        <f>IF(AND(CROQUIS!$C$87=1),CHOOSE(MIN(MAX($A9,1)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96</v>
      </c>
      <c r="DW9">
        <f>IF(AND(CROQUIS!$C$87=1),CHOOSE(MIN(MAX($A9,1),5),(30+(0)*CROQUIS!$C$175*CROQUIS!$C$176),(30+(0)*CROQUIS!$C$175*CROQUIS!$C$176),(30+(CROQUIS!$C$108)*CROQUIS!$C$175*CROQUIS!$C$176),(30+(CROQUIS!$C$108)*CROQUIS!$C$175*CROQUIS!$C$176),(30+(0)*CROQUIS!$C$175*CROQUIS!$C$176)),-1000)</f>
        <v>30</v>
      </c>
      <c r="DX9">
        <f>IF(AND(CROQUIS!$C$87=1),CHOOSE(MIN(MAX($A9,1)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12.7157894736842</v>
      </c>
      <c r="DY9">
        <f>IF(AND(CROQUIS!$C$87=1),CHOOSE(MIN(MAX($A9,1),10),30,30,20,20,30,IF(CROQUIS!$C$91=1,30,30),IF(CROQUIS!$C$91=1,30,30),IF(CROQUIS!$C$91=1,30,20),IF(CROQUIS!$C$91=1,30,20),IF(CROQUIS!$C$91=1,30,30)),-1000)</f>
        <v>30</v>
      </c>
      <c r="DZ9">
        <f>IF(AND(CROQUIS!$C$87=1,CROQUIS!$C$153=1),CHOOSE(MIN(MAX($A9,1),5),(4+((-CROQUIS!$C$149-CROQUIS!$C$107/2)-CROQUIS!$C$173)*CROQUIS!$C$175),(4+((-CROQUIS!$C$149+CROQUIS!$C$107/2)-CROQUIS!$C$173)*CROQUIS!$C$175),(4+((-CROQUIS!$C$149+CROQUIS!$C$107/2)-CROQUIS!$C$173)*CROQUIS!$C$175),(4+((-CROQUIS!$C$149-CROQUIS!$C$107/2)-CROQUIS!$C$173)*CROQUIS!$C$175),(4+((-CROQUIS!$C$149-CROQUIS!$C$107/2)-CROQUIS!$C$173)*CROQUIS!$C$175)),-1000)</f>
        <v>-1000</v>
      </c>
      <c r="EA9">
        <f>IF(AND(CROQUIS!$C$87=1,CROQUIS!$C$153=1),CHOOSE(MIN(MAX($A9,1),5),30,30,20,20,30),-1000)</f>
        <v>-1000</v>
      </c>
      <c r="EB9">
        <f>IF(AND(CROQUIS!$C$87=1),CHOOSE(MIN(MAX($A9,1)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C9">
        <f>IF(AND(CROQUIS!$C$87=1),CHOOSE(MIN(MAX($A9,1)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9">
        <f>IF(AND(CROQUIS!$C$87=1,CROQUIS!$C$133&gt;0),CHOOSE(MIN(MAX($A9,1)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E9">
        <f>IF(AND(CROQUIS!$C$87=1,CROQUIS!$C$133&gt;0),CHOOSE(MIN(MAX($A9,1)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F9">
        <f>IF(AND(CROQUIS!$C$87=1,CROQUIS!$C$91=0,CROQUIS!$C$133&gt;=2,OR(CROQUIS!$C$103=1,CROQUIS!$C$145=1)),CHOOSE(MIN(MAX($A9,1)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G9">
        <f>IF(AND(CROQUIS!$C$87=1,CROQUIS!$C$91=0,CROQUIS!$C$133&gt;=2,OR(CROQUIS!$C$103=1,CROQUIS!$C$145=1)),CHOOSE(MIN(MAX($A9,1)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H9">
        <f>IF(AND(CROQUIS!$C$87=1,CROQUIS!$C$91=0,CROQUIS!$C$133&gt;=2,OR(CROQUIS!$C$104=1,CROQUIS!$C$145=1)),CHOOSE(MIN(MAX($A9,1)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I9">
        <f>IF(AND(CROQUIS!$C$87=1,CROQUIS!$C$91=0,CROQUIS!$C$133&gt;=2,OR(CROQUIS!$C$104=1,CROQUIS!$C$145=1)),CHOOSE(MIN(MAX($A9,1)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J9">
        <f>IF(AND(CROQUIS!$C$87=1,CROQUIS!$C$91=1,CROQUIS!$C$147&gt;0,CROQUIS!$C$133&gt;=2),CHOOSE(MIN(MAX($A9,1),2),(4+((CROQUIS!$C$97-3)-CROQUIS!$C$173)*CROQUIS!$C$175),(4+((-(CROQUIS!$C$107/2+CROQUIS!$C$147))-CROQUIS!$C$173)*CROQUIS!$C$175)),-1000)</f>
        <v>-1000</v>
      </c>
      <c r="EK9">
        <f>IF(AND(CROQUIS!$C$87=1,CROQUIS!$C$91=1,CROQUIS!$C$147&gt;0,CROQUIS!$C$133&gt;=2),CHOOSE(MIN(MAX($A9,1),2),(30+(((CROQUIS!$C$108-CROQUIS!$C$120-2*CROQUIS!$C$119-CROQUIS!$C$132/2)-1.3*CROQUIS!$C$132-0.4))*CROQUIS!$C$175*CROQUIS!$C$176),(30+(((CROQUIS!$C$108-CROQUIS!$C$120-2*CROQUIS!$C$119-CROQUIS!$C$132/2)-1.3*CROQUIS!$C$132-0.4))*CROQUIS!$C$175*CROQUIS!$C$176)),-1000)</f>
        <v>-1000</v>
      </c>
      <c r="EL9">
        <f>IF(AND(CROQUIS!$C$87=1,CROQUIS!$C$166&gt;0),CHOOSE(MIN(MAX($A9,1)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82.9263157894737</v>
      </c>
      <c r="EM9">
        <f>IF(AND(CROQUIS!$C$87=1,CROQUIS!$C$166&gt;0),CHOOSE(MIN(MAX($A9,1),5),(30+(0)*CROQUIS!$C$175*CROQUIS!$C$176),(30+(0)*CROQUIS!$C$175*CROQUIS!$C$176),(30+(CROQUIS!$C$117)*CROQUIS!$C$175*CROQUIS!$C$176),(30+(CROQUIS!$C$117)*CROQUIS!$C$175*CROQUIS!$C$176),(30+(0)*CROQUIS!$C$175*CROQUIS!$C$176)),-1000)</f>
        <v>30</v>
      </c>
      <c r="EN9">
        <f>IF(AND(CROQUIS!$C$87=1,CROQUIS!$C$166&gt;0),CHOOSE(MIN(MAX($A9,1)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17.0736842105263</v>
      </c>
      <c r="EO9">
        <f>IF(AND(CROQUIS!$C$87=1,CROQUIS!$C$166&gt;0),CHOOSE(MIN(MAX($A9,1),4),(30+(0)*CROQUIS!$C$175*CROQUIS!$C$176),(30+(CROQUIS!$C$108)*CROQUIS!$C$175*CROQUIS!$C$176),(30+(CROQUIS!$C$108)*CROQUIS!$C$175*CROQUIS!$C$176),(30+(0)*CROQUIS!$C$175*CROQUIS!$C$176)),-1000)</f>
        <v>44.5263157894737</v>
      </c>
      <c r="EP9">
        <f>IF(AND(CROQUIS!$C$87=1),CHOOSE(MIN(MAX($A9,1),7),(4+((0)-CROQUIS!$C$173)*CROQUIS!$C$175),(4+((0)-CROQUIS!$C$173)*CROQUIS!$C$175),(4+((0)-CROQUIS!$C$173)*CROQUIS!$C$175),((4+((0)-CROQUIS!$C$173)*CROQUIS!$C$175)+(4+((CROQUIS!$C$97)-CROQUIS!$C$173)*CROQUIS!$C$175))/2,(4+((CROQUIS!$C$97)-CROQUIS!$C$173)*CROQUIS!$C$175),(4+((CROQUIS!$C$97)-CROQUIS!$C$173)*CROQUIS!$C$175),(4+((CROQUIS!$C$97)-CROQUIS!$C$173)*CROQUIS!$C$175)),-1000)</f>
        <v>11.2631578947368</v>
      </c>
      <c r="EQ9">
        <f>IF(AND(CROQUIS!$C$87=1),CHOOSE(MIN(MAX($A9,1),7),15-1.4,15+1.4,15,15,15,15+1.4,15-1.4),-1000)</f>
        <v>16.4</v>
      </c>
      <c r="ER9">
        <f>IF(AND(CROQUIS!$C$87=1,OR(CROQUIS!$C$91=1,AND(CROQUIS!$C$133&gt;=2,OR(CROQUIS!$C$103=1,CROQUIS!$C$145=1)))),CHOOSE(MIN(MAX($A9,1)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9">
        <f>IF(AND(CROQUIS!$C$87=1,OR(CROQUIS!$C$91=1,AND(CROQUIS!$C$133&gt;=2,OR(CROQUIS!$C$103=1,CROQUIS!$C$145=1)))),CHOOSE(MIN(MAX($A9,1)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T9">
        <f>IF(AND(CROQUIS!$C$87=1,CROQUIS!$C$91=1,CROQUIS!$C$151&gt;0),CHOOSE(MIN(MAX($A9,1),5),(4+((CROQUIS!$C$97)-CROQUIS!$C$173)*CROQUIS!$C$175),(4+((CROQUIS!$C$97)-CROQUIS!$C$173)*CROQUIS!$C$175),(4+((CROQUIS!$C$97)-CROQUIS!$C$173)*CROQUIS!$C$175)-1.2,(4+((CROQUIS!$C$97)-CROQUIS!$C$173)*CROQUIS!$C$175),(4+((CROQUIS!$C$97)-CROQUIS!$C$173)*CROQUIS!$C$175)+1.2),-1000)</f>
        <v>-1000</v>
      </c>
      <c r="EU9">
        <f>IF(AND(CROQUIS!$C$87=1,CROQUIS!$C$91=1,CROQUIS!$C$151&gt;0),CHOOSE(MIN(MAX($A9,1),5),(30+(CROQUIS!$C$108)*CROQUIS!$C$175*CROQUIS!$C$176)+13,(30+(CROQUIS!$C$108)*CROQUIS!$C$175*CROQUIS!$C$176)+1,(30+(CROQUIS!$C$108)*CROQUIS!$C$175*CROQUIS!$C$176)+4,(30+(CROQUIS!$C$108)*CROQUIS!$C$175*CROQUIS!$C$176)+1,(30+(CROQUIS!$C$108)*CROQUIS!$C$175*CROQUIS!$C$176)+4),-1000)</f>
        <v>-1000</v>
      </c>
      <c r="EV9">
        <f>IF(AND(CROQUIS!$C$88=1),CHOOSE(MIN(MAX($A9,1)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EW9">
        <f>IF(AND(CROQUIS!$C$88=1),CHOOSE(MIN(MAX($A9,1),5),(30+(0)*CROQUIS!$C$175*CROQUIS!$C$176),(30+(0)*CROQUIS!$C$175*CROQUIS!$C$176),(30+(CROQUIS!$C$108)*CROQUIS!$C$175*CROQUIS!$C$176),(30+(CROQUIS!$C$108)*CROQUIS!$C$175*CROQUIS!$C$176),(30+(0)*CROQUIS!$C$175*CROQUIS!$C$176)),-1000)</f>
        <v>-1000</v>
      </c>
      <c r="EX9">
        <f>IF(AND(CROQUIS!$C$88=1),CHOOSE(MIN(MAX($A9,1)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9">
        <f>IF(AND(CROQUIS!$C$88=1),CHOOSE(MIN(MAX($A9,1),10),30,30,20,20,30,IF(CROQUIS!$C$91=1,30,30),IF(CROQUIS!$C$91=1,30,30),IF(CROQUIS!$C$91=1,30,20),IF(CROQUIS!$C$91=1,30,20),IF(CROQUIS!$C$91=1,30,30)),-1000)</f>
        <v>-1000</v>
      </c>
      <c r="EZ9">
        <f>IF(AND(CROQUIS!$C$88=1,CROQUIS!$C$153=1),CHOOSE(MIN(MAX($A9,1),5),(4+((-CROQUIS!$C$149-CROQUIS!$C$107/2)-CROQUIS!$C$173)*CROQUIS!$C$175),(4+((-CROQUIS!$C$149+CROQUIS!$C$107/2)-CROQUIS!$C$173)*CROQUIS!$C$175),(4+((-CROQUIS!$C$149+CROQUIS!$C$107/2)-CROQUIS!$C$173)*CROQUIS!$C$175),(4+((-CROQUIS!$C$149-CROQUIS!$C$107/2)-CROQUIS!$C$173)*CROQUIS!$C$175),(4+((-CROQUIS!$C$149-CROQUIS!$C$107/2)-CROQUIS!$C$173)*CROQUIS!$C$175)),-1000)</f>
        <v>-1000</v>
      </c>
      <c r="FA9">
        <f>IF(AND(CROQUIS!$C$88=1,CROQUIS!$C$153=1),CHOOSE(MIN(MAX($A9,1),5),30,30,20,20,30),-1000)</f>
        <v>-1000</v>
      </c>
      <c r="FB9">
        <f>IF(AND(CROQUIS!$C$88=1),CHOOSE(MIN(MAX($A9,1)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9">
        <f>IF(AND(CROQUIS!$C$88=1),CHOOSE(MIN(MAX($A9,1)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9">
        <f>IF(AND(CROQUIS!$C$88=1,CROQUIS!$C$91=1,CROQUIS!$C$133&gt;0),CHOOSE(MIN(MAX($A9,1)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9">
        <f>IF(AND(CROQUIS!$C$88=1,CROQUIS!$C$91=1,CROQUIS!$C$133&gt;0),CHOOSE(MIN(MAX($A9,1)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F9">
        <f>IF(AND(CROQUIS!$C$88=1,CROQUIS!$C$91=0,CROQUIS!$C$133&gt;0,OR(CROQUIS!$C$103=1,CROQUIS!$C$145=1)),CHOOSE(MIN(MAX($A9,1)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G9">
        <f>IF(AND(CROQUIS!$C$88=1,CROQUIS!$C$91=0,CROQUIS!$C$133&gt;0,OR(CROQUIS!$C$103=1,CROQUIS!$C$145=1)),CHOOSE(MIN(MAX($A9,1)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H9">
        <f>IF(AND(CROQUIS!$C$88=1,CROQUIS!$C$91=0,CROQUIS!$C$133&gt;0,OR(CROQUIS!$C$104=1,CROQUIS!$C$145=1)),CHOOSE(MIN(MAX($A9,1)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I9">
        <f>IF(AND(CROQUIS!$C$88=1,CROQUIS!$C$91=0,CROQUIS!$C$133&gt;0,OR(CROQUIS!$C$104=1,CROQUIS!$C$145=1)),CHOOSE(MIN(MAX($A9,1)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J9">
        <f>IF(AND(CROQUIS!$C$88=1),CHOOSE(MIN(MAX($A9,1),7),(4+((0)-CROQUIS!$C$173)*CROQUIS!$C$175),(4+((0)-CROQUIS!$C$173)*CROQUIS!$C$175),(4+((0)-CROQUIS!$C$173)*CROQUIS!$C$175),((4+((0)-CROQUIS!$C$173)*CROQUIS!$C$175)+(4+((CROQUIS!$C$97)-CROQUIS!$C$173)*CROQUIS!$C$175))/2,(4+((CROQUIS!$C$97)-CROQUIS!$C$173)*CROQUIS!$C$175),(4+((CROQUIS!$C$97)-CROQUIS!$C$173)*CROQUIS!$C$175),(4+((CROQUIS!$C$97)-CROQUIS!$C$173)*CROQUIS!$C$175)),-1000)</f>
        <v>-1000</v>
      </c>
      <c r="FK9">
        <f>IF(AND(CROQUIS!$C$88=1),CHOOSE(MIN(MAX($A9,1),7),15-1.4,15+1.4,15,15,15,15+1.4,15-1.4),-1000)</f>
        <v>-1000</v>
      </c>
      <c r="FL9">
        <f>IF(AND(CROQUIS!$C$88=1,OR(CROQUIS!$C$91=1,AND(CROQUIS!$C$133&gt;0,OR(CROQUIS!$C$103=1,CROQUIS!$C$145=1)))),CHOOSE(MIN(MAX($A9,1)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9">
        <f>IF(AND(CROQUIS!$C$88=1,OR(CROQUIS!$C$91=1,AND(CROQUIS!$C$133&gt;0,OR(CROQUIS!$C$103=1,CROQUIS!$C$145=1)))),CHOOSE(MIN(MAX($A9,1)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9">
        <f>IF(AND(CROQUIS!$C$88=1,CROQUIS!$C$91=1,CROQUIS!$C$151&gt;0),CHOOSE(MIN(MAX($A9,1),5),(4+((CROQUIS!$C$97)-CROQUIS!$C$173)*CROQUIS!$C$175),(4+((CROQUIS!$C$97)-CROQUIS!$C$173)*CROQUIS!$C$175),(4+((CROQUIS!$C$97)-CROQUIS!$C$173)*CROQUIS!$C$175)-1.2,(4+((CROQUIS!$C$97)-CROQUIS!$C$173)*CROQUIS!$C$175),(4+((CROQUIS!$C$97)-CROQUIS!$C$173)*CROQUIS!$C$175)+1.2),-1000)</f>
        <v>-1000</v>
      </c>
      <c r="FO9">
        <f>IF(AND(CROQUIS!$C$88=1,CROQUIS!$C$91=1,CROQUIS!$C$151&gt;0),CHOOSE(MIN(MAX($A9,1),5),(30+(CROQUIS!$C$108)*CROQUIS!$C$175*CROQUIS!$C$176)+13,(30+(CROQUIS!$C$108)*CROQUIS!$C$175*CROQUIS!$C$176)+1,(30+(CROQUIS!$C$108)*CROQUIS!$C$175*CROQUIS!$C$176)+4,(30+(CROQUIS!$C$108)*CROQUIS!$C$175*CROQUIS!$C$176)+1,(30+(CROQUIS!$C$108)*CROQUIS!$C$175*CROQUIS!$C$176)+4),-1000)</f>
        <v>-1000</v>
      </c>
    </row>
    <row r="10">
      <c r="A10" t="n">
        <v>3</v>
      </c>
      <c r="B10">
        <f>IF(AND(CROQUIS!$C$87=1),CHOOSE(MIN(MAX($A10,1),5),(CROQUIS!$C$160+(0)*CROQUIS!$C$159),(CROQUIS!$C$160+(CROQUIS!$C$95)*CROQUIS!$C$159),(CROQUIS!$C$160+(CROQUIS!$C$95)*CROQUIS!$C$159),(CROQUIS!$C$160+(0)*CROQUIS!$C$159),(CROQUIS!$C$160+(0)*CROQUIS!$C$159)),-1000)</f>
        <v>88</v>
      </c>
      <c r="C10">
        <f>IF(AND(CROQUIS!$C$87=1),CHOOSE(MIN(MAX($A10,1),5),(CROQUIS!$C$161+(0)*CROQUIS!$C$159),(CROQUIS!$C$161+(0)*CROQUIS!$C$159),(CROQUIS!$C$161+(CROQUIS!$C$96)*CROQUIS!$C$159),(CROQUIS!$C$161+(CROQUIS!$C$96)*CROQUIS!$C$159),(CROQUIS!$C$161+(0)*CROQUIS!$C$159)),-1000)</f>
        <v>84.3425214640759</v>
      </c>
      <c r="D10">
        <f>IF(AND(CROQUIS!$C$87=1),CHOOSE(MIN(MAX($A10,1)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86.7121554450972</v>
      </c>
      <c r="E10">
        <f>IF(AND(CROQUIS!$C$87=1),CHOOSE(MIN(MAX($A10,1)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83.0546769091731</v>
      </c>
      <c r="F10">
        <f>IF(AND(CROQUIS!$C$87=1,CROQUIS!$C$91=1),((CROQUIS!$C$160+(IF(CROQUIS!$C$92="X",IF(CROQUIS!$C$94=1,0,CROQUIS!$C$97)+IF(MOD($A10,2)=1,-CROQUIS!$C$107/2,CROQUIS!$C$107/2),(MIN($A10,41)-1)/40*CROQUIS!$C$98))*CROQUIS!$C$159)+IF(CROQUIS!$C$92="X",0,0)),-1000)</f>
        <v>-1000</v>
      </c>
      <c r="G10">
        <f>IF(AND(CROQUIS!$C$87=1,CROQUIS!$C$91=1),((CROQUIS!$C$161+(IF(CROQUIS!$C$92="X",(MIN($A10,41)-1)/40*CROQUIS!$C$98,IF(CROQUIS!$C$94=1,0,CROQUIS!$C$97)+IF(MOD($A10,2)=1,-CROQUIS!$C$107/2,CROQUIS!$C$107/2)))*CROQUIS!$C$159)+IF(CROQUIS!$C$92="X",0,0)),-1000)</f>
        <v>-1000</v>
      </c>
      <c r="H10">
        <f>IF(AND(CROQUIS!$C$87=1,CROQUIS!$C$91=1),CHOOSE(MIN(MAX($A10,1)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I10">
        <f>IF(AND(CROQUIS!$C$87=1,CROQUIS!$C$91=1),CHOOSE(MIN(MAX($A10,1)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J10">
        <f>IF(AND(CROQUIS!$C$87=1,CROQUIS!$C$153=1),CHOOSE(MIN(MAX($A10,1)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K10">
        <f>IF(AND(CROQUIS!$C$87=1,CROQUIS!$C$153=1),CHOOSE(MIN(MAX($A10,1)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L10">
        <f>IF(AND(CROQUIS!$C$87=1,CROQUIS!$C$91=1,CROQUIS!$C$151&gt;0),((CROQUIS!$C$160+(IF(CROQUIS!$C$92="X",IF(CROQUIS!$C$94=1,CROQUIS!$C$97,0),CHOOSE(MIN(MAX($A10,1),3),0,0.5,1)*CROQUIS!$C$98))*CROQUIS!$C$159)+IF(CROQUIS!$C$92="X",0,0)),-1000)</f>
        <v>-1000</v>
      </c>
      <c r="M10">
        <f>IF(AND(CROQUIS!$C$87=1,CROQUIS!$C$91=1,CROQUIS!$C$151&gt;0),((CROQUIS!$C$161+(IF(CROQUIS!$C$92="X",CHOOSE(MIN(MAX($A10,1),3),0,0.5,1)*CROQUIS!$C$98,IF(CROQUIS!$C$94=1,CROQUIS!$C$97,0)))*CROQUIS!$C$159)+IF(CROQUIS!$C$92="X",0,0)),-1000)</f>
        <v>-1000</v>
      </c>
      <c r="N10">
        <f>IF(AND(CROQUIS!$C$87=1),CHOOSE(MIN(MAX($A10,1),7),(CROQUIS!$C$160+(0)*CROQUIS!$C$159),(CROQUIS!$C$160+(0)*CROQUIS!$C$159),(CROQUIS!$C$160+(0)*CROQUIS!$C$159),((CROQUIS!$C$160+(0)*CROQUIS!$C$159)+(CROQUIS!$C$160+(CROQUIS!$C$95)*CROQUIS!$C$159))/2,(CROQUIS!$C$160+(CROQUIS!$C$95)*CROQUIS!$C$159),(CROQUIS!$C$160+(CROQUIS!$C$95)*CROQUIS!$C$159),(CROQUIS!$C$160+(CROQUIS!$C$95)*CROQUIS!$C$159)),-1000)</f>
        <v>12</v>
      </c>
      <c r="O10">
        <f>IF(AND(CROQUIS!$C$87=1),CHOOSE(MIN(MAX($A10,1),7),((CROQUIS!$C$161+(CROQUIS!$C$157)*CROQUIS!$C$159)-5)-1.4,((CROQUIS!$C$161+(CROQUIS!$C$157)*CROQUIS!$C$159)-5)+1.4,((CROQUIS!$C$161+(CROQUIS!$C$157)*CROQUIS!$C$159)-5),((CROQUIS!$C$161+(CROQUIS!$C$157)*CROQUIS!$C$159)-5),((CROQUIS!$C$161+(CROQUIS!$C$157)*CROQUIS!$C$159)-5),((CROQUIS!$C$161+(CROQUIS!$C$157)*CROQUIS!$C$159)-5)+1.4,((CROQUIS!$C$161+(CROQUIS!$C$157)*CROQUIS!$C$159)-5)-1.4),-1000)</f>
        <v>10.6574785359241</v>
      </c>
      <c r="P10">
        <f>IF(AND(CROQUIS!$C$87=1),CHOOSE(MIN(MAX($A10,1),7),((CROQUIS!$C$160+(CROQUIS!$C$155)*CROQUIS!$C$159)-5)-1.4,((CROQUIS!$C$160+(CROQUIS!$C$155)*CROQUIS!$C$159)-5)+1.4,((CROQUIS!$C$160+(CROQUIS!$C$155)*CROQUIS!$C$159)-5),((CROQUIS!$C$160+(CROQUIS!$C$155)*CROQUIS!$C$159)-5),((CROQUIS!$C$160+(CROQUIS!$C$155)*CROQUIS!$C$159)-5),((CROQUIS!$C$160+(CROQUIS!$C$155)*CROQUIS!$C$159)-5)+1.4,((CROQUIS!$C$160+(CROQUIS!$C$155)*CROQUIS!$C$159)-5)-1.4),-1000)</f>
        <v>7</v>
      </c>
      <c r="Q10">
        <f>IF(AND(CROQUIS!$C$87=1),CHOOSE(MIN(MAX($A10,1),7),(CROQUIS!$C$161+(0)*CROQUIS!$C$159),(CROQUIS!$C$161+(0)*CROQUIS!$C$159),(CROQUIS!$C$161+(0)*CROQUIS!$C$159),((CROQUIS!$C$161+(0)*CROQUIS!$C$159)+(CROQUIS!$C$161+(CROQUIS!$C$96)*CROQUIS!$C$159))/2,(CROQUIS!$C$161+(CROQUIS!$C$96)*CROQUIS!$C$159),(CROQUIS!$C$161+(CROQUIS!$C$96)*CROQUIS!$C$159),(CROQUIS!$C$161+(CROQUIS!$C$96)*CROQUIS!$C$159)),-1000)</f>
        <v>15.6574785359241</v>
      </c>
      <c r="R10">
        <f>IF(AND(CROQUIS!$C$88=1),CHOOSE(MIN(MAX($A10,1),5),(CROQUIS!$C$160+(0)*CROQUIS!$C$159),(CROQUIS!$C$160+(CROQUIS!$C$95)*CROQUIS!$C$159),(CROQUIS!$C$160+(CROQUIS!$C$95)*CROQUIS!$C$159),(CROQUIS!$C$160+(0)*CROQUIS!$C$159),(CROQUIS!$C$160+(0)*CROQUIS!$C$159)),-1000)</f>
        <v>-1000</v>
      </c>
      <c r="S10">
        <f>IF(AND(CROQUIS!$C$88=1),CHOOSE(MIN(MAX($A10,1),5),(CROQUIS!$C$161+(0)*CROQUIS!$C$159),(CROQUIS!$C$161+(0)*CROQUIS!$C$159),(CROQUIS!$C$161+(CROQUIS!$C$96)*CROQUIS!$C$159),(CROQUIS!$C$161+(CROQUIS!$C$96)*CROQUIS!$C$159),(CROQUIS!$C$161+(0)*CROQUIS!$C$159)),-1000)</f>
        <v>-1000</v>
      </c>
      <c r="T10">
        <f>IF(AND(CROQUIS!$C$88=1),CHOOSE(MIN(MAX($A10,1)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U10">
        <f>IF(AND(CROQUIS!$C$88=1),CHOOSE(MIN(MAX($A10,1)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V10">
        <f>IF(AND(CROQUIS!$C$88=1,CROQUIS!$C$91=1),((CROQUIS!$C$160+(IF(CROQUIS!$C$92="X",IF(CROQUIS!$C$94=1,0,CROQUIS!$C$97)+IF(MOD($A10,2)=1,-CROQUIS!$C$107/2,CROQUIS!$C$107/2),(MIN($A10,41)-1)/40*CROQUIS!$C$98))*CROQUIS!$C$159)+IF(CROQUIS!$C$92="X",0,0)),-1000)</f>
        <v>-1000</v>
      </c>
      <c r="W10">
        <f>IF(AND(CROQUIS!$C$88=1,CROQUIS!$C$91=1),((CROQUIS!$C$161+(IF(CROQUIS!$C$92="X",(MIN($A10,41)-1)/40*CROQUIS!$C$98,IF(CROQUIS!$C$94=1,0,CROQUIS!$C$97)+IF(MOD($A10,2)=1,-CROQUIS!$C$107/2,CROQUIS!$C$107/2)))*CROQUIS!$C$159)+IF(CROQUIS!$C$92="X",0,0)),-1000)</f>
        <v>-1000</v>
      </c>
      <c r="X10">
        <f>IF(AND(CROQUIS!$C$88=1,CROQUIS!$C$91=1),CHOOSE(MIN(MAX($A10,1)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Y10">
        <f>IF(AND(CROQUIS!$C$88=1,CROQUIS!$C$91=1),CHOOSE(MIN(MAX($A10,1)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Z10">
        <f>IF(AND(CROQUIS!$C$88=1,CROQUIS!$C$153=1),CHOOSE(MIN(MAX($A10,1)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A10">
        <f>IF(AND(CROQUIS!$C$88=1,CROQUIS!$C$153=1),CHOOSE(MIN(MAX($A10,1)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B10">
        <f>IF(AND(CROQUIS!$C$88=1,CROQUIS!$C$91=1,CROQUIS!$C$151&gt;0),((CROQUIS!$C$160+(IF(CROQUIS!$C$92="X",IF(CROQUIS!$C$94=1,CROQUIS!$C$97,0),CHOOSE(MIN(MAX($A10,1),3),0,0.5,1)*CROQUIS!$C$98))*CROQUIS!$C$159)+IF(CROQUIS!$C$92="X",0,0)),-1000)</f>
        <v>-1000</v>
      </c>
      <c r="AC10">
        <f>IF(AND(CROQUIS!$C$88=1,CROQUIS!$C$91=1,CROQUIS!$C$151&gt;0),((CROQUIS!$C$161+(IF(CROQUIS!$C$92="X",CHOOSE(MIN(MAX($A10,1),3),0,0.5,1)*CROQUIS!$C$98,IF(CROQUIS!$C$94=1,CROQUIS!$C$97,0)))*CROQUIS!$C$159)+IF(CROQUIS!$C$92="X",0,0)),-1000)</f>
        <v>-1000</v>
      </c>
      <c r="AD10">
        <f>IF(AND(CROQUIS!$C$88=1),CHOOSE(MIN(MAX($A10,1),7),(CROQUIS!$C$160+(0)*CROQUIS!$C$159),(CROQUIS!$C$160+(0)*CROQUIS!$C$159),(CROQUIS!$C$160+(0)*CROQUIS!$C$159),((CROQUIS!$C$160+(0)*CROQUIS!$C$159)+(CROQUIS!$C$160+(CROQUIS!$C$95)*CROQUIS!$C$159))/2,(CROQUIS!$C$160+(CROQUIS!$C$95)*CROQUIS!$C$159),(CROQUIS!$C$160+(CROQUIS!$C$95)*CROQUIS!$C$159),(CROQUIS!$C$160+(CROQUIS!$C$95)*CROQUIS!$C$159)),-1000)</f>
        <v>-1000</v>
      </c>
      <c r="AE10">
        <f>IF(AND(CROQUIS!$C$88=1),CHOOSE(MIN(MAX($A10,1),7),((CROQUIS!$C$161+(CROQUIS!$C$157)*CROQUIS!$C$159)-5)-1.4,((CROQUIS!$C$161+(CROQUIS!$C$157)*CROQUIS!$C$159)-5)+1.4,((CROQUIS!$C$161+(CROQUIS!$C$157)*CROQUIS!$C$159)-5),((CROQUIS!$C$161+(CROQUIS!$C$157)*CROQUIS!$C$159)-5),((CROQUIS!$C$161+(CROQUIS!$C$157)*CROQUIS!$C$159)-5),((CROQUIS!$C$161+(CROQUIS!$C$157)*CROQUIS!$C$159)-5)+1.4,((CROQUIS!$C$161+(CROQUIS!$C$157)*CROQUIS!$C$159)-5)-1.4),-1000)</f>
        <v>-1000</v>
      </c>
      <c r="AF10">
        <f>IF(AND(CROQUIS!$C$88=1),CHOOSE(MIN(MAX($A10,1),7),((CROQUIS!$C$160+(CROQUIS!$C$155)*CROQUIS!$C$159)-5)-1.4,((CROQUIS!$C$160+(CROQUIS!$C$155)*CROQUIS!$C$159)-5)+1.4,((CROQUIS!$C$160+(CROQUIS!$C$155)*CROQUIS!$C$159)-5),((CROQUIS!$C$160+(CROQUIS!$C$155)*CROQUIS!$C$159)-5),((CROQUIS!$C$160+(CROQUIS!$C$155)*CROQUIS!$C$159)-5),((CROQUIS!$C$160+(CROQUIS!$C$155)*CROQUIS!$C$159)-5)+1.4,((CROQUIS!$C$160+(CROQUIS!$C$155)*CROQUIS!$C$159)-5)-1.4),-1000)</f>
        <v>-1000</v>
      </c>
      <c r="AG10">
        <f>IF(AND(CROQUIS!$C$88=1),CHOOSE(MIN(MAX($A10,1),7),(CROQUIS!$C$161+(0)*CROQUIS!$C$159),(CROQUIS!$C$161+(0)*CROQUIS!$C$159),(CROQUIS!$C$161+(0)*CROQUIS!$C$159),((CROQUIS!$C$161+(0)*CROQUIS!$C$159)+(CROQUIS!$C$161+(CROQUIS!$C$96)*CROQUIS!$C$159))/2,(CROQUIS!$C$161+(CROQUIS!$C$96)*CROQUIS!$C$159),(CROQUIS!$C$161+(CROQUIS!$C$96)*CROQUIS!$C$159),(CROQUIS!$C$161+(CROQUIS!$C$96)*CROQUIS!$C$159)),-1000)</f>
        <v>-1000</v>
      </c>
      <c r="AH10">
        <f>IF(AND(CROQUIS!$C$87=1,CROQUIS!$C$91=1,CROQUIS!$C$147&gt;0),CHOOSE(MIN(MAX($A10,1)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I10">
        <f>IF(AND(CROQUIS!$C$87=1,CROQUIS!$C$91=1,CROQUIS!$C$147&gt;0),CHOOSE(MIN(MAX($A10,1)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J10">
        <f>IF(AND(CROQUIS!$C$87=1,CROQUIS!$C$162&gt;0,CROQUIS!$C$164&gt;0),(CROQUIS!$C$160+((CROQUIS!$C$163+INT(MIN(INT(($A10-1)/2),MAX((2*CROQUIS!$C$162)-1,0))/2)*CROQUIS!$C$116+MOD(MIN(INT(($A10-1)/2),MAX((2*CROQUIS!$C$162)-1,0)),2)*CROQUIS!$C$114))*CROQUIS!$C$159),-1000)</f>
        <v>33.258020786263</v>
      </c>
      <c r="AK10">
        <f>IF(AND(CROQUIS!$C$87=1,CROQUIS!$C$162&gt;0,CROQUIS!$C$164&gt;0),(CROQUIS!$C$161+(IF(MOD(MIN(INT(($A10-1)/2),MAX((2*CROQUIS!$C$162)-1,0)),2)=0,IF(IF(INT(($A10-1)/2)&gt;MAX((2*CROQUIS!$C$162)-1,0),1,MOD($A10-1,2))=0,CROQUIS!$C$165,(CROQUIS!$C$165+(CROQUIS!$C$164-1)*CROQUIS!$C$116+CROQUIS!$C$115)),IF(IF(INT(($A10-1)/2)&gt;MAX((2*CROQUIS!$C$162)-1,0),1,MOD($A10-1,2))=0,(CROQUIS!$C$165+(CROQUIS!$C$164-1)*CROQUIS!$C$116+CROQUIS!$C$115),CROQUIS!$C$165)))*CROQUIS!$C$159),-1000)</f>
        <v>79.1911432444645</v>
      </c>
      <c r="AL10">
        <f>IF(AND(CROQUIS!$C$87=1,CROQUIS!$C$164&gt;0,CROQUIS!$C$162&gt;0),(CROQUIS!$C$160+(IF(MOD(MIN(INT(($A10-1)/2),MAX((2*CROQUIS!$C$164)-1,0)),2)=0,IF(IF(INT(($A10-1)/2)&gt;MAX((2*CROQUIS!$C$164)-1,0),1,MOD($A10-1,2))=0,CROQUIS!$C$163,(CROQUIS!$C$163+(CROQUIS!$C$162-1)*CROQUIS!$C$116+CROQUIS!$C$114)),IF(IF(INT(($A10-1)/2)&gt;MAX((2*CROQUIS!$C$164)-1,0),1,MOD($A10-1,2))=0,(CROQUIS!$C$163+(CROQUIS!$C$162-1)*CROQUIS!$C$116+CROQUIS!$C$114),CROQUIS!$C$163)))*CROQUIS!$C$159),-1000)</f>
        <v>81.3375508359693</v>
      </c>
      <c r="AM10">
        <f>IF(AND(CROQUIS!$C$87=1,CROQUIS!$C$164&gt;0,CROQUIS!$C$162&gt;0),(CROQUIS!$C$161+((CROQUIS!$C$165+INT(MIN(INT(($A10-1)/2),MAX((2*CROQUIS!$C$164)-1,0))/2)*CROQUIS!$C$116+MOD(MIN(INT(($A10-1)/2),MAX((2*CROQUIS!$C$164)-1,0)),2)*CROQUIS!$C$115))*CROQUIS!$C$159),-1000)</f>
        <v>31.1116131947583</v>
      </c>
      <c r="AN10">
        <f>IF(AND(CROQUIS!$C$87=1,CROQUIS!$C$162&gt;=2),(CROQUIS!$C$160+((CROQUIS!$C$163+CROQUIS!$C$114+(CROQUIS!$C$116-CROQUIS!$C$114)/2+MIN(INT(($A10-1)/2),MAX((CROQUIS!$C$162-1)-1,0))*CROQUIS!$C$116))*CROQUIS!$C$159),-1000)</f>
        <v>46.1364663352915</v>
      </c>
      <c r="AO10">
        <f>IF(AND(CROQUIS!$C$87=1,CROQUIS!$C$162&gt;=2),(CROQUIS!$C$161+(IF(MOD(MIN(INT(($A10-1)/2),MAX((CROQUIS!$C$162-1)-1,0)),2)=0,IF(IF(INT(($A10-1)/2)&gt;MAX((CROQUIS!$C$162-1)-1,0),1,MOD($A10-1,2))=0,CROQUIS!$C$107/2,(CROQUIS!$C$96-CROQUIS!$C$107/2)),IF(IF(INT(($A10-1)/2)&gt;MAX((CROQUIS!$C$162-1)-1,0),1,MOD($A10-1,2))=0,(CROQUIS!$C$96-CROQUIS!$C$107/2),CROQUIS!$C$107/2)))*CROQUIS!$C$159),-1000)</f>
        <v>83.0546769091731</v>
      </c>
      <c r="AP10">
        <f>IF(AND(CROQUIS!$C$87=1,CROQUIS!$C$164&gt;=2),(CROQUIS!$C$160+(IF(MOD(MIN(INT(($A10-1)/2),MAX((CROQUIS!$C$164-1)-1,0)),2)=0,IF(IF(INT(($A10-1)/2)&gt;MAX((CROQUIS!$C$164-1)-1,0),1,MOD($A10-1,2))=0,CROQUIS!$C$107/2,(CROQUIS!$C$95-CROQUIS!$C$107/2)),IF(IF(INT(($A10-1)/2)&gt;MAX((CROQUIS!$C$164-1)-1,0),1,MOD($A10-1,2))=0,(CROQUIS!$C$95-CROQUIS!$C$107/2),CROQUIS!$C$107/2)))*CROQUIS!$C$159),-1000)</f>
        <v>86.7121554450972</v>
      </c>
      <c r="AQ10">
        <f>IF(AND(CROQUIS!$C$87=1,CROQUIS!$C$164&gt;=2),(CROQUIS!$C$161+((CROQUIS!$C$165+CROQUIS!$C$115+(CROQUIS!$C$116-CROQUIS!$C$115)/2+MIN(INT(($A10-1)/2),MAX((CROQUIS!$C$164-1)-1,0))*CROQUIS!$C$116))*CROQUIS!$C$159),-1000)</f>
        <v>43.9900587437867</v>
      </c>
      <c r="AR10">
        <f>IF(AND(CROQUIS!$C$87=1,CROQUIS!$C$126&gt;0,CROQUIS!$C$166&gt;0),((CROQUIS!$C$160+(IF(CROQUIS!$C$92="X",CHOOSE(MIN(MAX($A10,1)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10,1)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0">
        <f>IF(AND(CROQUIS!$C$87=1,CROQUIS!$C$126&gt;0,CROQUIS!$C$166&gt;0),((CROQUIS!$C$161+(IF(CROQUIS!$C$92="X",CHOOSE(MIN(MAX($A10,1)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10,1)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L10">
        <f>IF(AND(CROQUIS!$C$87=1,CROQUIS!$C$162&gt;=2),CHOOSE(MIN(MAX($A10,1)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BM10">
        <f>IF(AND(CROQUIS!$C$87=1,CROQUIS!$C$162&gt;=2),CHOOSE(MIN(MAX($A10,1),7),((CROQUIS!$C$161+(CROQUIS!$C$158)*CROQUIS!$C$159)+4)-1.4,((CROQUIS!$C$161+(CROQUIS!$C$158)*CROQUIS!$C$159)+4)+1.4,((CROQUIS!$C$161+(CROQUIS!$C$158)*CROQUIS!$C$159)+4),((CROQUIS!$C$161+(CROQUIS!$C$158)*CROQUIS!$C$159)+4),((CROQUIS!$C$161+(CROQUIS!$C$158)*CROQUIS!$C$159)+4),((CROQUIS!$C$161+(CROQUIS!$C$158)*CROQUIS!$C$159)+4)+1.4,((CROQUIS!$C$161+(CROQUIS!$C$158)*CROQUIS!$C$159)+4)-1.4),-1000)</f>
        <v>88.3425214640759</v>
      </c>
      <c r="BN10">
        <f>IF(AND(CROQUIS!$C$88=1,CROQUIS!$C$129&gt;0),((CROQUIS!$C$160+(IF(CROQUIS!$C$92="X",CHOOSE(IF(INT(($A10-1)/5)&gt;MAX((MAX(1,INT(((CROQUIS!$C$98)-CROQUIS!$C$107)/MAX((CROQUIS!$C$129*MAX(1,CEILING((INT(((CROQUIS!$C$98)-CROQUIS!$C$107)/MAX(CROQUIS!$C$129,1))+1)/80,1))),1))+1))-1,0),0,MOD($A10-1,5))+1,0,2,CROQUIS!$C$97-2,2,0),((CROQUIS!$C$107/2+(((CROQUIS!$C$98)-CROQUIS!$C$107)-(MAX(1,INT(((CROQUIS!$C$98)-CROQUIS!$C$107)/MAX((CROQUIS!$C$129*MAX(1,CEILING((INT(((CROQUIS!$C$98)-CROQUIS!$C$107)/MAX(CROQUIS!$C$129,1))+1)/80,1))),1))+1)-1)*(CROQUIS!$C$129*MAX(1,CEILING((INT(((CROQUIS!$C$98)-CROQUIS!$C$107)/MAX(CROQUIS!$C$129,1))+1)/80,1))))/2)+MIN(INT(($A10-1)/5),MAX((MAX(1,INT(((CROQUIS!$C$98)-CROQUIS!$C$107)/MAX((CROQUIS!$C$129*MAX(1,CEILING((INT(((CROQUIS!$C$98)-CROQUIS!$C$107)/MAX(CROQUIS!$C$129,1))+1)/80,1))),1))+1))-1,0))*(CROQUIS!$C$129*MAX(1,CEILING((INT(((CROQUIS!$C$98)-CROQUIS!$C$107)/MAX(CROQUIS!$C$129,1))+1)/80,1))))))*CROQUIS!$C$159)+IF(CROQUIS!$C$92="X",0,0)),-1000)</f>
        <v>-1000</v>
      </c>
      <c r="BO10">
        <f>IF(AND(CROQUIS!$C$88=1,CROQUIS!$C$129&gt;0),((CROQUIS!$C$161+(IF(CROQUIS!$C$92="X",((CROQUIS!$C$107/2+(((CROQUIS!$C$98)-CROQUIS!$C$107)-(MAX(1,INT(((CROQUIS!$C$98)-CROQUIS!$C$107)/MAX((CROQUIS!$C$129*MAX(1,CEILING((INT(((CROQUIS!$C$98)-CROQUIS!$C$107)/MAX(CROQUIS!$C$129,1))+1)/80,1))),1))+1)-1)*(CROQUIS!$C$129*MAX(1,CEILING((INT(((CROQUIS!$C$98)-CROQUIS!$C$107)/MAX(CROQUIS!$C$129,1))+1)/80,1))))/2)+MIN(INT(($A10-1)/5),MAX((MAX(1,INT(((CROQUIS!$C$98)-CROQUIS!$C$107)/MAX((CROQUIS!$C$129*MAX(1,CEILING((INT(((CROQUIS!$C$98)-CROQUIS!$C$107)/MAX(CROQUIS!$C$129,1))+1)/80,1))),1))+1))-1,0))*(CROQUIS!$C$129*MAX(1,CEILING((INT(((CROQUIS!$C$98)-CROQUIS!$C$107)/MAX(CROQUIS!$C$129,1))+1)/80,1)))),CHOOSE(IF(INT(($A10-1)/5)&gt;MAX((MAX(1,INT(((CROQUIS!$C$98)-CROQUIS!$C$107)/MAX((CROQUIS!$C$129*MAX(1,CEILING((INT(((CROQUIS!$C$98)-CROQUIS!$C$107)/MAX(CROQUIS!$C$129,1))+1)/80,1))),1))+1))-1,0),0,MOD($A10-1,5))+1,0,2,CROQUIS!$C$97-2,2,0)))*CROQUIS!$C$159)+IF(CROQUIS!$C$92="X",0,0)),-1000)</f>
        <v>-1000</v>
      </c>
      <c r="BP10">
        <f>IF(AND(CROQUIS!$C$88=1,CROQUIS!$C$137&gt;0),((CROQUIS!$C$160+(IF(CROQUIS!$C$92="X",((CROQUIS!$C$107/2+(((CROQUIS!$C$97)-CROQUIS!$C$107)-(MAX(1,INT(((CROQUIS!$C$97)-CROQUIS!$C$107)/MAX((CROQUIS!$C$137*MAX(1,CEILING((INT(((CROQUIS!$C$97)-CROQUIS!$C$107)/MAX(CROQUIS!$C$137,1))+1)/80,1))),1))+1)-1)*(CROQUIS!$C$137*MAX(1,CEILING((INT(((CROQUIS!$C$97)-CROQUIS!$C$107)/MAX(CROQUIS!$C$137,1))+1)/80,1))))/2)+MIN(INT(($A10-1)/5),MAX((MAX(1,INT(((CROQUIS!$C$97)-CROQUIS!$C$107)/MAX((CROQUIS!$C$137*MAX(1,CEILING((INT(((CROQUIS!$C$97)-CROQUIS!$C$107)/MAX(CROQUIS!$C$137,1))+1)/80,1))),1))+1))-1,0))*(CROQUIS!$C$137*MAX(1,CEILING((INT(((CROQUIS!$C$97)-CROQUIS!$C$107)/MAX(CROQUIS!$C$137,1))+1)/80,1)))),CHOOSE(IF(INT(($A10-1)/5)&gt;MAX((MAX(1,INT(((CROQUIS!$C$97)-CROQUIS!$C$107)/MAX((CROQUIS!$C$137*MAX(1,CEILING((INT(((CROQUIS!$C$97)-CROQUIS!$C$107)/MAX(CROQUIS!$C$137,1))+1)/80,1))),1))+1))-1,0),0,MOD($A10-1,5))+1,0,2,CROQUIS!$C$98-2,2,0)))*CROQUIS!$C$159)+IF(CROQUIS!$C$92="X",0,0)),-1000)</f>
        <v>-1000</v>
      </c>
      <c r="BQ10">
        <f>IF(AND(CROQUIS!$C$88=1,CROQUIS!$C$137&gt;0),((CROQUIS!$C$161+(IF(CROQUIS!$C$92="X",CHOOSE(IF(INT(($A10-1)/5)&gt;MAX((MAX(1,INT(((CROQUIS!$C$97)-CROQUIS!$C$107)/MAX((CROQUIS!$C$137*MAX(1,CEILING((INT(((CROQUIS!$C$97)-CROQUIS!$C$107)/MAX(CROQUIS!$C$137,1))+1)/80,1))),1))+1))-1,0),0,MOD($A10-1,5))+1,0,2,CROQUIS!$C$98-2,2,0),((CROQUIS!$C$107/2+(((CROQUIS!$C$97)-CROQUIS!$C$107)-(MAX(1,INT(((CROQUIS!$C$97)-CROQUIS!$C$107)/MAX((CROQUIS!$C$137*MAX(1,CEILING((INT(((CROQUIS!$C$97)-CROQUIS!$C$107)/MAX(CROQUIS!$C$137,1))+1)/80,1))),1))+1)-1)*(CROQUIS!$C$137*MAX(1,CEILING((INT(((CROQUIS!$C$97)-CROQUIS!$C$107)/MAX(CROQUIS!$C$137,1))+1)/80,1))))/2)+MIN(INT(($A10-1)/5),MAX((MAX(1,INT(((CROQUIS!$C$97)-CROQUIS!$C$107)/MAX((CROQUIS!$C$137*MAX(1,CEILING((INT(((CROQUIS!$C$97)-CROQUIS!$C$107)/MAX(CROQUIS!$C$137,1))+1)/80,1))),1))+1))-1,0))*(CROQUIS!$C$137*MAX(1,CEILING((INT(((CROQUIS!$C$97)-CROQUIS!$C$107)/MAX(CROQUIS!$C$137,1))+1)/80,1))))))*CROQUIS!$C$159)+IF(CROQUIS!$C$92="X",0,0)),-1000)</f>
        <v>-1000</v>
      </c>
      <c r="BR10">
        <f>IF(AND(CROQUIS!$C$88=1,CROQUIS!$C$91=0,CROQUIS!$C$133&gt;0,OR(CROQUIS!$C$103=1,CROQUIS!$C$145=1)),((CROQUIS!$C$160+(IF(CROQUIS!$C$92="X",CHOOSE(IF(INT(($A10-1)/5)&gt;MAX((MAX(1,INT(((CROQUIS!$C$98)-CROQUIS!$C$107)/MAX((CROQUIS!$C$133*MAX(1,CEILING((INT(((CROQUIS!$C$98)-CROQUIS!$C$107)/MAX(CROQUIS!$C$133,1))+1)/80,1))),1))+1))-1,0),0,MOD($A10-1,5))+1,0,IF(CROQUIS!$C$103=1,-12,2),CROQUIS!$C$107/2+CROQUIS!$C$143,IF(CROQUIS!$C$103=1,-12,2),0),((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BS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+1,0,IF(CROQUIS!$C$103=1,-12,2),CROQUIS!$C$107/2+CROQUIS!$C$143,IF(CROQUIS!$C$103=1,-12,2),0)))*CROQUIS!$C$159)+IF(CROQUIS!$C$92="X",0.8,0)),-1000)</f>
        <v>-1000</v>
      </c>
      <c r="BT10">
        <f>IF(AND(CROQUIS!$C$88=1,CROQUIS!$C$91=0,CROQUIS!$C$133&gt;0,OR(CROQUIS!$C$104=1,CROQUIS!$C$145=1)),((CROQUIS!$C$160+(IF(CROQUIS!$C$92="X",CHOOSE(IF(INT(($A10-1)/5)&gt;MAX((MAX(1,INT(((CROQUIS!$C$98)-CROQUIS!$C$107)/MAX((CROQUIS!$C$133*MAX(1,CEILING((INT(((CROQUIS!$C$98)-CROQUIS!$C$107)/MAX(CROQUIS!$C$133,1))+1)/80,1))),1))+1))-1,0),0,MOD($A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BU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CROQUIS!$C$97,CROQUIS!$C$97-CROQUIS!$C$107/2-CROQUIS!$C$143,IF(CROQUIS!$C$104=1,CROQUIS!$C$97+12,CROQUIS!$C$97-2),CROQUIS!$C$97-CROQUIS!$C$107/2-CROQUIS!$C$143,CROQUIS!$C$97)))*CROQUIS!$C$159)+IF(CROQUIS!$C$92="X",0.8,0)),-1000)</f>
        <v>-1000</v>
      </c>
      <c r="BV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HOOSE(IF(INT(($A10-1)/5)&gt;MAX((MAX(1,INT(((CROQUIS!$C$97)-CROQUIS!$C$107)/MAX((CROQUIS!$C$141*MAX(1,CEILING((INT(((CROQUIS!$C$97)-CROQUIS!$C$107)/MAX(CROQUIS!$C$141,1))+1)/80,1))),1))+1))-1,0),0,MOD($A10-1,5))+1,0,IF(CROQUIS!$C$105=1,-12,2),CROQUIS!$C$107/2+CROQUIS!$C$144,IF(CROQUIS!$C$105=1,-12,2),0)))*CROQUIS!$C$159)+IF(CROQUIS!$C$92="X",0.8,0)),-1000)</f>
        <v>-1000</v>
      </c>
      <c r="BW10">
        <f>IF(AND(CROQUIS!$C$88=1,CROQUIS!$C$91=0,CROQUIS!$C$141&gt;0,OR(CROQUIS!$C$105=1,CROQUIS!$C$146=1)),((CROQUIS!$C$161+(IF(CROQUIS!$C$92="X",CHOOSE(IF(INT(($A10-1)/5)&gt;MAX((MAX(1,INT(((CROQUIS!$C$97)-CROQUIS!$C$107)/MAX((CROQUIS!$C$141*MAX(1,CEILING((INT(((CROQUIS!$C$97)-CROQUIS!$C$107)/MAX(CROQUIS!$C$141,1))+1)/80,1))),1))+1))-1,0),0,MOD($A10-1,5))+1,0,IF(CROQUIS!$C$105=1,-12,2),CROQUIS!$C$107/2+CROQUIS!$C$144,IF(CROQUIS!$C$105=1,-12,2),0),((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ROQUIS!$C$159)+IF(CROQUIS!$C$92="X",0,0.8)),-1000)</f>
        <v>-1000</v>
      </c>
      <c r="BX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HOOSE(IF(INT(($A10-1)/5)&gt;MAX((MAX(1,INT(((CROQUIS!$C$97)-CROQUIS!$C$107)/MAX((CROQUIS!$C$141*MAX(1,CEILING((INT(((CROQUIS!$C$97)-CROQUIS!$C$107)/MAX(CROQUIS!$C$141,1))+1)/80,1))),1))+1))-1,0),0,MOD($A10-1,5))+1,CROQUIS!$C$98,CROQUIS!$C$98-CROQUIS!$C$107/2-CROQUIS!$C$144,IF(CROQUIS!$C$106=1,CROQUIS!$C$98+12,CROQUIS!$C$98-2),CROQUIS!$C$98-CROQUIS!$C$107/2-CROQUIS!$C$144,CROQUIS!$C$98)))*CROQUIS!$C$159)+IF(CROQUIS!$C$92="X",0.8,0)),-1000)</f>
        <v>-1000</v>
      </c>
      <c r="BY10">
        <f>IF(AND(CROQUIS!$C$88=1,CROQUIS!$C$91=0,CROQUIS!$C$141&gt;0,OR(CROQUIS!$C$106=1,CROQUIS!$C$146=1)),((CROQUIS!$C$161+(IF(CROQUIS!$C$92="X",CHOOSE(IF(INT(($A10-1)/5)&gt;MAX((MAX(1,INT(((CROQUIS!$C$97)-CROQUIS!$C$107)/MAX((CROQUIS!$C$141*MAX(1,CEILING((INT(((CROQUIS!$C$97)-CROQUIS!$C$107)/MAX(CROQUIS!$C$141,1))+1)/80,1))),1))+1))-1,0),0,MOD($A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ROQUIS!$C$159)+IF(CROQUIS!$C$92="X",0,0.8)),-1000)</f>
        <v>-1000</v>
      </c>
      <c r="BZ10">
        <f>IF(AND(CROQUIS!$C$88=1,CROQUIS!$C$91=1,CROQUIS!$C$133&gt;0),((CROQUIS!$C$160+(IF(CROQUIS!$C$92="X",CHOOSE(IF(INT(($A10-1)/5)&gt;MAX((MAX(1,INT(((CROQUIS!$C$98)-CROQUIS!$C$107)/MAX((CROQUIS!$C$133*MAX(1,CEILING((INT(((CROQUIS!$C$98)-CROQUIS!$C$107)/MAX(CROQUIS!$C$133,1))+1)/80,1))),1))+1))-1,0),0,MOD($A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CA10">
        <f>IF(AND(CROQUIS!$C$88=1,CROQUIS!$C$91=1,CROQUIS!$C$133&gt;0),((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0">
        <f>IF(AND(CROQUIS!$C$87=1),CHOOSE(MIN(MAX($A10,1),9),(50+(-CROQUIS!$C$116/2)*CROQUIS!$C$177),(50+(CROQUIS!$C$116/2)*CROQUIS!$C$177),(50+(CROQUIS!$C$116/2)*CROQUIS!$C$177),(50+(CROQUIS!$C$111/2)*CROQUIS!$C$177),(50+(CROQUIS!$C$111/2)*CROQUIS!$C$177),(50+(-CROQUIS!$C$111/2)*CROQUIS!$C$177),(50+(-CROQUIS!$C$111/2)*CROQUIS!$C$177),(50+(-CROQUIS!$C$116/2)*CROQUIS!$C$177),(50+(-CROQUIS!$C$116/2)*CROQUIS!$C$177)),-1000)</f>
        <v>83.4090909090909</v>
      </c>
      <c r="CC10">
        <f>IF(AND(CROQUIS!$C$87=1),CHOOSE(MIN(MAX($A10,1),9),(12+(CROQUIS!$C$108)*CROQUIS!$C$177),(12+(CROQUIS!$C$108)*CROQUIS!$C$177),(12+(CROQUIS!$C$117)*CROQUIS!$C$177),(12+(CROQUIS!$C$117)*CROQUIS!$C$177),(12+(0)*CROQUIS!$C$177),(12+(0)*CROQUIS!$C$177),(12+(CROQUIS!$C$117)*CROQUIS!$C$177),(12+(CROQUIS!$C$117)*CROQUIS!$C$177),(12+(CROQUIS!$C$108)*CROQUIS!$C$177)),-1000)</f>
        <v>30.1363636363636</v>
      </c>
      <c r="CD10">
        <f>IF(AND(CROQUIS!$C$87=1),CHOOSE(MIN(MAX($A10,1),5),(50+(-CROQUIS!$C$116/2)*CROQUIS!$C$177),(50+(-CROQUIS!$C$111/2)*CROQUIS!$C$177),(50+(-CROQUIS!$C$111/2)*CROQUIS!$C$177),(50+(-CROQUIS!$C$116/2)*CROQUIS!$C$177),(50+(-CROQUIS!$C$116/2)*CROQUIS!$C$177)),-1000)</f>
        <v>45.2272727272727</v>
      </c>
      <c r="CE10">
        <f>IF(AND(CROQUIS!$C$87=1),CHOOSE(MIN(MAX($A10,1),5),(12+(0)*CROQUIS!$C$177),(12+(0)*CROQUIS!$C$177),(12+(CROQUIS!$C$117)*CROQUIS!$C$177),(12+(CROQUIS!$C$117)*CROQUIS!$C$177),(12+(0)*CROQUIS!$C$177)),-1000)</f>
        <v>30.1363636363636</v>
      </c>
      <c r="CF10">
        <f>IF(AND(CROQUIS!$C$87=1),CHOOSE(MIN(MAX($A10,1),5),(50+(CROQUIS!$C$111/2)*CROQUIS!$C$177),(50+(CROQUIS!$C$116/2)*CROQUIS!$C$177),(50+(CROQUIS!$C$116/2)*CROQUIS!$C$177),(50+(CROQUIS!$C$111/2)*CROQUIS!$C$177),(50+(CROQUIS!$C$111/2)*CROQUIS!$C$177)),-1000)</f>
        <v>83.4090909090909</v>
      </c>
      <c r="CG10">
        <f>IF(AND(CROQUIS!$C$87=1),CHOOSE(MIN(MAX($A10,1),5),(12+(0)*CROQUIS!$C$177),(12+(0)*CROQUIS!$C$177),(12+(CROQUIS!$C$117)*CROQUIS!$C$177),(12+(CROQUIS!$C$117)*CROQUIS!$C$177),(12+(0)*CROQUIS!$C$177)),-1000)</f>
        <v>30.1363636363636</v>
      </c>
      <c r="CJ10">
        <f>IF(AND(CROQUIS!$C$87=1,CROQUIS!$C$129&gt;=1),(50+(((1-(CROQUIS!$C$129+1)/2)*(MAX(CROQUIS!$C$121,CROQUIS!$C$128)+CROQUIS!$C$128))+CROQUIS!$C$128/2*COS(2*PI()*(MIN($A10,13)-1)/12))*CROQUIS!$C$177),-1000)</f>
        <v>50.3030681818182</v>
      </c>
      <c r="CK10">
        <f>IF(AND(CROQUIS!$C$87=1,CROQUIS!$C$129&gt;=1),(12+((CROQUIS!$C$109+CROQUIS!$C$128/2)+CROQUIS!$C$128/2*SIN(2*PI()*(MIN($A10,13)-1)/12))*CROQUIS!$C$177),-1000)</f>
        <v>15.0401567617939</v>
      </c>
      <c r="CL10">
        <f>IF(AND(CROQUIS!$C$87=1,CROQUIS!$C$129&gt;=2),(50+(((2-(CROQUIS!$C$129+1)/2)*(MAX(CROQUIS!$C$121,CROQUIS!$C$128)+CROQUIS!$C$128))+CROQUIS!$C$128/2*COS(2*PI()*(MIN($A10,13)-1)/12))*CROQUIS!$C$177),-1000)</f>
        <v>-1000</v>
      </c>
      <c r="CM10">
        <f>IF(AND(CROQUIS!$C$87=1,CROQUIS!$C$129&gt;=2),(12+((CROQUIS!$C$109+CROQUIS!$C$128/2)+CROQUIS!$C$128/2*SIN(2*PI()*(MIN($A10,13)-1)/12))*CROQUIS!$C$177),-1000)</f>
        <v>-1000</v>
      </c>
      <c r="CN10">
        <f>IF(AND(CROQUIS!$C$87=1,CROQUIS!$C$129&gt;=3),(50+(((3-(CROQUIS!$C$129+1)/2)*(MAX(CROQUIS!$C$121,CROQUIS!$C$128)+CROQUIS!$C$128))+CROQUIS!$C$128/2*COS(2*PI()*(MIN($A10,13)-1)/12))*CROQUIS!$C$177),-1000)</f>
        <v>-1000</v>
      </c>
      <c r="CO10">
        <f>IF(AND(CROQUIS!$C$87=1,CROQUIS!$C$129&gt;=3),(12+((CROQUIS!$C$109+CROQUIS!$C$128/2)+CROQUIS!$C$128/2*SIN(2*PI()*(MIN($A10,13)-1)/12))*CROQUIS!$C$177),-1000)</f>
        <v>-1000</v>
      </c>
      <c r="CP10">
        <f>IF(AND(CROQUIS!$C$87=1,CROQUIS!$C$133&gt;=1),(50+(((1-(CROQUIS!$C$133+1)/2)*(MAX(CROQUIS!$C$121,CROQUIS!$C$132)+CROQUIS!$C$132))+CROQUIS!$C$132/2*COS(2*PI()*(MIN($A10,13)-1)/12))*CROQUIS!$C$177),-1000)</f>
        <v>50.3030681818182</v>
      </c>
      <c r="CQ10">
        <f>IF(AND(CROQUIS!$C$87=1,CROQUIS!$C$133&gt;=1),(12+((CROQUIS!$C$108-CROQUIS!$C$120-2*CROQUIS!$C$119-CROQUIS!$C$132/2)+CROQUIS!$C$132/2*SIN(2*PI()*(MIN($A10,13)-1)/12))*CROQUIS!$C$177),-1000)</f>
        <v>32.3727931254303</v>
      </c>
      <c r="CR10">
        <f>IF(AND(CROQUIS!$C$87=1,CROQUIS!$C$133&gt;=2),(50+(((2-(CROQUIS!$C$133+1)/2)*(MAX(CROQUIS!$C$121,CROQUIS!$C$132)+CROQUIS!$C$132))+CROQUIS!$C$132/2*COS(2*PI()*(MIN($A10,13)-1)/12))*CROQUIS!$C$177),-1000)</f>
        <v>-1000</v>
      </c>
      <c r="CS10">
        <f>IF(AND(CROQUIS!$C$87=1,CROQUIS!$C$133&gt;=2),(12+((CROQUIS!$C$108-CROQUIS!$C$120-2*CROQUIS!$C$119-CROQUIS!$C$132/2)+CROQUIS!$C$132/2*SIN(2*PI()*(MIN($A10,13)-1)/12))*CROQUIS!$C$177),-1000)</f>
        <v>-1000</v>
      </c>
      <c r="CT10">
        <f>IF(AND(CROQUIS!$C$87=1,CROQUIS!$C$133&gt;=3),(50+(((3-(CROQUIS!$C$133+1)/2)*(MAX(CROQUIS!$C$121,CROQUIS!$C$132)+CROQUIS!$C$132))+CROQUIS!$C$132/2*COS(2*PI()*(MIN($A10,13)-1)/12))*CROQUIS!$C$177),-1000)</f>
        <v>-1000</v>
      </c>
      <c r="CU10">
        <f>IF(AND(CROQUIS!$C$87=1,CROQUIS!$C$133&gt;=3),(12+((CROQUIS!$C$108-CROQUIS!$C$120-2*CROQUIS!$C$119-CROQUIS!$C$132/2)+CROQUIS!$C$132/2*SIN(2*PI()*(MIN($A10,13)-1)/12))*CROQUIS!$C$177),-1000)</f>
        <v>-1000</v>
      </c>
      <c r="CV10">
        <f>IF(AND(CROQUIS!$C$87=1),CHOOSE(MIN(MAX($A10,1),7),(50+(-CROQUIS!$C$111/2)*CROQUIS!$C$177),(50+(-CROQUIS!$C$111/2)*CROQUIS!$C$177),(50+(-CROQUIS!$C$111/2)*CROQUIS!$C$177),((50+(-CROQUIS!$C$111/2)*CROQUIS!$C$177)+(50+(CROQUIS!$C$111/2)*CROQUIS!$C$177))/2,(50+(CROQUIS!$C$111/2)*CROQUIS!$C$177),(50+(CROQUIS!$C$111/2)*CROQUIS!$C$177),(50+(CROQUIS!$C$111/2)*CROQUIS!$C$177)),-1000)</f>
        <v>45.2272727272727</v>
      </c>
      <c r="CW10">
        <f>IF(AND(CROQUIS!$C$87=1),CHOOSE(MIN(MAX($A10,1),7),(12+(-4)*CROQUIS!$C$177)-1.4,(12+(-4)*CROQUIS!$C$177)+1.4,(12+(-4)*CROQUIS!$C$177),(12+(-4)*CROQUIS!$C$177),(12+(-4)*CROQUIS!$C$177),(12+(-4)*CROQUIS!$C$177)+1.4,(12+(-4)*CROQUIS!$C$177)-1.4),-1000)</f>
        <v>8.18181818181818</v>
      </c>
      <c r="CX10">
        <f>IF(AND(CROQUIS!$C$87=1),CHOOSE(MIN(MAX($A10,1),7),(50+(-CROQUIS!$C$116/2)*CROQUIS!$C$177),(50+(-CROQUIS!$C$116/2)*CROQUIS!$C$177),(50+(-CROQUIS!$C$116/2)*CROQUIS!$C$177),((50+(-CROQUIS!$C$116/2)*CROQUIS!$C$177)+(50+(CROQUIS!$C$116/2)*CROQUIS!$C$177))/2,(50+(CROQUIS!$C$116/2)*CROQUIS!$C$177),(50+(CROQUIS!$C$116/2)*CROQUIS!$C$177),(50+(CROQUIS!$C$116/2)*CROQUIS!$C$177)),-1000)</f>
        <v>16.5909090909091</v>
      </c>
      <c r="CY10">
        <f>IF(AND(CROQUIS!$C$87=1),CHOOSE(MIN(MAX($A10,1),7),(12+(CROQUIS!$C$108+4)*CROQUIS!$C$177)-1.4,(12+(CROQUIS!$C$108+4)*CROQUIS!$C$177)+1.4,(12+(CROQUIS!$C$108+4)*CROQUIS!$C$177),(12+(CROQUIS!$C$108+4)*CROQUIS!$C$177),(12+(CROQUIS!$C$108+4)*CROQUIS!$C$177),(12+(CROQUIS!$C$108+4)*CROQUIS!$C$177)+1.4,(12+(CROQUIS!$C$108+4)*CROQUIS!$C$177)-1.4),-1000)</f>
        <v>39.6818181818182</v>
      </c>
      <c r="CZ10">
        <f>IF(AND(CROQUIS!$C$87=1),CHOOSE(MIN(MAX($A10,1),7),(50+(CROQUIS!$C$116/2+4)*CROQUIS!$C$177)-1.4,(50+(CROQUIS!$C$116/2+4)*CROQUIS!$C$177)+1.4,(50+(CROQUIS!$C$116/2+4)*CROQUIS!$C$177),(50+(CROQUIS!$C$116/2+4)*CROQUIS!$C$177),(50+(CROQUIS!$C$116/2+4)*CROQUIS!$C$177),(50+(CROQUIS!$C$116/2+4)*CROQUIS!$C$177)+1.4,(50+(CROQUIS!$C$116/2+4)*CROQUIS!$C$177)-1.4),-1000)</f>
        <v>87.2272727272727</v>
      </c>
      <c r="DA10">
        <f>IF(AND(CROQUIS!$C$87=1),CHOOSE(MIN(MAX($A10,1),7),(12+(0)*CROQUIS!$C$177),(12+(0)*CROQUIS!$C$177),(12+(0)*CROQUIS!$C$177),((12+(0)*CROQUIS!$C$177)+(12+(CROQUIS!$C$108)*CROQUIS!$C$177))/2,(12+(CROQUIS!$C$108)*CROQUIS!$C$177),(12+(CROQUIS!$C$108)*CROQUIS!$C$177),(12+(CROQUIS!$C$108)*CROQUIS!$C$177)),-1000)</f>
        <v>12</v>
      </c>
      <c r="DB10">
        <f>IF(AND(CROQUIS!$C$87=1),CHOOSE(MIN(MAX($A10,1),7),(50+(-CROQUIS!$C$116/2-4)*CROQUIS!$C$177)-1.4,(50+(-CROQUIS!$C$116/2-4)*CROQUIS!$C$177)+1.4,(50+(-CROQUIS!$C$116/2-4)*CROQUIS!$C$177),(50+(-CROQUIS!$C$116/2-4)*CROQUIS!$C$177),(50+(-CROQUIS!$C$116/2-4)*CROQUIS!$C$177),(50+(-CROQUIS!$C$116/2-4)*CROQUIS!$C$177)+1.4,(50+(-CROQUIS!$C$116/2-4)*CROQUIS!$C$177)-1.4),-1000)</f>
        <v>12.7727272727273</v>
      </c>
      <c r="DC10">
        <f>IF(AND(CROQUIS!$C$87=1),CHOOSE(MIN(MAX($A10,1),7),(12+(CROQUIS!$C$108-CROQUIS!$C$150)*CROQUIS!$C$177),(12+(CROQUIS!$C$108-CROQUIS!$C$150)*CROQUIS!$C$177),(12+(CROQUIS!$C$108-CROQUIS!$C$150)*CROQUIS!$C$177),((12+(CROQUIS!$C$108-CROQUIS!$C$150)*CROQUIS!$C$177)+(12+(CROQUIS!$C$108)*CROQUIS!$C$177))/2,(12+(CROQUIS!$C$108)*CROQUIS!$C$177),(12+(CROQUIS!$C$108)*CROQUIS!$C$177),(12+(CROQUIS!$C$108)*CROQUIS!$C$177)),-1000)</f>
        <v>14.5152272727273</v>
      </c>
      <c r="DD10">
        <f>IF(AND(CROQUIS!$C$88=1),CHOOSE(MIN(MAX($A10,1),5),(50+(-30)*CROQUIS!$C$178),(50+(30)*CROQUIS!$C$178),(50+(30)*CROQUIS!$C$178),(50+(-30)*CROQUIS!$C$178),(50+(-30)*CROQUIS!$C$178)),-1000)</f>
        <v>-1000</v>
      </c>
      <c r="DE10">
        <f>IF(AND(CROQUIS!$C$88=1),CHOOSE(MIN(MAX($A10,1),5),(12+(0)*CROQUIS!$C$178),(12+(0)*CROQUIS!$C$178),(12+(CROQUIS!$C$108)*CROQUIS!$C$178),(12+(CROQUIS!$C$108)*CROQUIS!$C$178),(12+(0)*CROQUIS!$C$178)),-1000)</f>
        <v>-1000</v>
      </c>
      <c r="DH10">
        <f>IF(AND(CROQUIS!$C$88=1,CROQUIS!$C$137&gt;0),(50+((-(MIN(12,INT(58/MAX(CROQUIS!$C$137,1))+1)-1)*CROQUIS!$C$137/2+(MIN($A10,MIN(12,INT(58/MAX(CROQUIS!$C$137,1))+1))-1)*CROQUIS!$C$137))*CROQUIS!$C$178),-1000)</f>
        <v>-1000</v>
      </c>
      <c r="DI10">
        <f>IF(AND(CROQUIS!$C$88=1,CROQUIS!$C$137&gt;0),(12+((CROQUIS!$C$109+CROQUIS!$C$128+CROQUIS!$C$136/2))*CROQUIS!$C$178),-1000)</f>
        <v>-1000</v>
      </c>
      <c r="DJ10">
        <f>IF(AND(CROQUIS!$C$88=1,CROQUIS!$C$141&gt;0),(50+((-(MIN(12,INT(58/MAX(CROQUIS!$C$141,1))+1)-1)*CROQUIS!$C$141/2+(MIN($A10,MIN(12,INT(58/MAX(CROQUIS!$C$141,1))+1))-1)*CROQUIS!$C$141))*CROQUIS!$C$178),-1000)</f>
        <v>-1000</v>
      </c>
      <c r="DK10">
        <f>IF(AND(CROQUIS!$C$88=1,CROQUIS!$C$141&gt;0),(12+((CROQUIS!$C$108-CROQUIS!$C$110-CROQUIS!$C$132-CROQUIS!$C$140/2))*CROQUIS!$C$178),-1000)</f>
        <v>-1000</v>
      </c>
      <c r="DN10">
        <f>IF(AND(CROQUIS!$C$88=1),CHOOSE(MIN(MAX($A10,1),7),(50+(33)*CROQUIS!$C$178)-1.4,(50+(33)*CROQUIS!$C$178)+1.4,(50+(33)*CROQUIS!$C$178),(50+(33)*CROQUIS!$C$178),(50+(33)*CROQUIS!$C$178),(50+(33)*CROQUIS!$C$178)+1.4,(50+(33)*CROQUIS!$C$178)-1.4),-1000)</f>
        <v>-1000</v>
      </c>
      <c r="DO10">
        <f>IF(AND(CROQUIS!$C$88=1),CHOOSE(MIN(MAX($A10,1),7),(12+(0)*CROQUIS!$C$178),(12+(0)*CROQUIS!$C$178),(12+(0)*CROQUIS!$C$178),((12+(0)*CROQUIS!$C$178)+(12+(CROQUIS!$C$108)*CROQUIS!$C$178))/2,(12+(CROQUIS!$C$108)*CROQUIS!$C$178),(12+(CROQUIS!$C$108)*CROQUIS!$C$178),(12+(CROQUIS!$C$108)*CROQUIS!$C$178)),-1000)</f>
        <v>-1000</v>
      </c>
      <c r="DP10">
        <f>IF(AND(CROQUIS!$C$88=1),CHOOSE(MIN(MAX($A10,1),7),(50+(-33)*CROQUIS!$C$178)-0.8,(50+(-33)*CROQUIS!$C$178)+0.8,(50+(-33)*CROQUIS!$C$178),(50+(-33)*CROQUIS!$C$178),(50+(-33)*CROQUIS!$C$178),(50+(-33)*CROQUIS!$C$178)+0.8,(50+(-33)*CROQUIS!$C$178)-0.8),-1000)</f>
        <v>-1000</v>
      </c>
      <c r="DQ10">
        <f>IF(AND(CROQUIS!$C$88=1),CHOOSE(MIN(MAX($A10,1),7),(12+(0)*CROQUIS!$C$178),(12+(0)*CROQUIS!$C$178),(12+(0)*CROQUIS!$C$178),((12+(0)*CROQUIS!$C$178)+(12+(CROQUIS!$C$109)*CROQUIS!$C$178))/2,(12+(CROQUIS!$C$109)*CROQUIS!$C$178),(12+(CROQUIS!$C$109)*CROQUIS!$C$178),(12+(CROQUIS!$C$109)*CROQUIS!$C$178)),-1000)</f>
        <v>-1000</v>
      </c>
      <c r="DR10">
        <f>IF(AND(CROQUIS!$C$88=1),CHOOSE(MIN(MAX($A10,1),7),(50+(-33)*CROQUIS!$C$178)-0.8,(50+(-33)*CROQUIS!$C$178)+0.8,(50+(-33)*CROQUIS!$C$178),(50+(-33)*CROQUIS!$C$178),(50+(-33)*CROQUIS!$C$178),(50+(-33)*CROQUIS!$C$178)+0.8,(50+(-33)*CROQUIS!$C$178)-0.8),-1000)</f>
        <v>-1000</v>
      </c>
      <c r="DS10">
        <f>IF(AND(CROQUIS!$C$88=1),CHOOSE(MIN(MAX($A10,1),7),(12+(CROQUIS!$C$108-CROQUIS!$C$110)*CROQUIS!$C$178),(12+(CROQUIS!$C$108-CROQUIS!$C$110)*CROQUIS!$C$178),(12+(CROQUIS!$C$108-CROQUIS!$C$110)*CROQUIS!$C$178),((12+(CROQUIS!$C$108-CROQUIS!$C$110)*CROQUIS!$C$178)+(12+(CROQUIS!$C$108)*CROQUIS!$C$178))/2,(12+(CROQUIS!$C$108)*CROQUIS!$C$178),(12+(CROQUIS!$C$108)*CROQUIS!$C$178),(12+(CROQUIS!$C$108)*CROQUIS!$C$178)),-1000)</f>
        <v>-1000</v>
      </c>
      <c r="DT10">
        <f>IF(AND(CROQUIS!$C$88=1,MIN(12,INT(58/MAX(CROQUIS!$C$137,1))+1)&gt;=2),CHOOSE(MIN(MAX($A10,1)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10">
        <f>IF(AND(CROQUIS!$C$88=1,MIN(12,INT(58/MAX(CROQUIS!$C$137,1))+1)&gt;=2),CHOOSE(MIN(MAX($A10,1),7),(12+(-4)*CROQUIS!$C$178)-1.4,(12+(-4)*CROQUIS!$C$178)+1.4,(12+(-4)*CROQUIS!$C$178),(12+(-4)*CROQUIS!$C$178),(12+(-4)*CROQUIS!$C$178),(12+(-4)*CROQUIS!$C$178)+1.4,(12+(-4)*CROQUIS!$C$178)-1.4),-1000)</f>
        <v>-1000</v>
      </c>
      <c r="DV10">
        <f>IF(AND(CROQUIS!$C$87=1),CHOOSE(MIN(MAX($A10,1)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96</v>
      </c>
      <c r="DW10">
        <f>IF(AND(CROQUIS!$C$87=1),CHOOSE(MIN(MAX($A10,1),5),(30+(0)*CROQUIS!$C$175*CROQUIS!$C$176),(30+(0)*CROQUIS!$C$175*CROQUIS!$C$176),(30+(CROQUIS!$C$108)*CROQUIS!$C$175*CROQUIS!$C$176),(30+(CROQUIS!$C$108)*CROQUIS!$C$175*CROQUIS!$C$176),(30+(0)*CROQUIS!$C$175*CROQUIS!$C$176)),-1000)</f>
        <v>44.5263157894737</v>
      </c>
      <c r="DX10">
        <f>IF(AND(CROQUIS!$C$87=1),CHOOSE(MIN(MAX($A10,1)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12.7157894736842</v>
      </c>
      <c r="DY10">
        <f>IF(AND(CROQUIS!$C$87=1),CHOOSE(MIN(MAX($A10,1),10),30,30,20,20,30,IF(CROQUIS!$C$91=1,30,30),IF(CROQUIS!$C$91=1,30,30),IF(CROQUIS!$C$91=1,30,20),IF(CROQUIS!$C$91=1,30,20),IF(CROQUIS!$C$91=1,30,30)),-1000)</f>
        <v>20</v>
      </c>
      <c r="DZ10">
        <f>IF(AND(CROQUIS!$C$87=1,CROQUIS!$C$153=1),CHOOSE(MIN(MAX($A10,1),5),(4+((-CROQUIS!$C$149-CROQUIS!$C$107/2)-CROQUIS!$C$173)*CROQUIS!$C$175),(4+((-CROQUIS!$C$149+CROQUIS!$C$107/2)-CROQUIS!$C$173)*CROQUIS!$C$175),(4+((-CROQUIS!$C$149+CROQUIS!$C$107/2)-CROQUIS!$C$173)*CROQUIS!$C$175),(4+((-CROQUIS!$C$149-CROQUIS!$C$107/2)-CROQUIS!$C$173)*CROQUIS!$C$175),(4+((-CROQUIS!$C$149-CROQUIS!$C$107/2)-CROQUIS!$C$173)*CROQUIS!$C$175)),-1000)</f>
        <v>-1000</v>
      </c>
      <c r="EA10">
        <f>IF(AND(CROQUIS!$C$87=1,CROQUIS!$C$153=1),CHOOSE(MIN(MAX($A10,1),5),30,30,20,20,30),-1000)</f>
        <v>-1000</v>
      </c>
      <c r="EB10">
        <f>IF(AND(CROQUIS!$C$87=1),CHOOSE(MIN(MAX($A10,1)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C10">
        <f>IF(AND(CROQUIS!$C$87=1),CHOOSE(MIN(MAX($A10,1)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10">
        <f>IF(AND(CROQUIS!$C$87=1,CROQUIS!$C$133&gt;0),CHOOSE(MIN(MAX($A10,1)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E10">
        <f>IF(AND(CROQUIS!$C$87=1,CROQUIS!$C$133&gt;0),CHOOSE(MIN(MAX($A10,1)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F10">
        <f>IF(AND(CROQUIS!$C$87=1,CROQUIS!$C$91=0,CROQUIS!$C$133&gt;=2,OR(CROQUIS!$C$103=1,CROQUIS!$C$145=1)),CHOOSE(MIN(MAX($A10,1)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G10">
        <f>IF(AND(CROQUIS!$C$87=1,CROQUIS!$C$91=0,CROQUIS!$C$133&gt;=2,OR(CROQUIS!$C$103=1,CROQUIS!$C$145=1)),CHOOSE(MIN(MAX($A10,1)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H10">
        <f>IF(AND(CROQUIS!$C$87=1,CROQUIS!$C$91=0,CROQUIS!$C$133&gt;=2,OR(CROQUIS!$C$104=1,CROQUIS!$C$145=1)),CHOOSE(MIN(MAX($A10,1)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I10">
        <f>IF(AND(CROQUIS!$C$87=1,CROQUIS!$C$91=0,CROQUIS!$C$133&gt;=2,OR(CROQUIS!$C$104=1,CROQUIS!$C$145=1)),CHOOSE(MIN(MAX($A10,1)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L10">
        <f>IF(AND(CROQUIS!$C$87=1,CROQUIS!$C$166&gt;0),CHOOSE(MIN(MAX($A10,1)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82.9263157894737</v>
      </c>
      <c r="EM10">
        <f>IF(AND(CROQUIS!$C$87=1,CROQUIS!$C$166&gt;0),CHOOSE(MIN(MAX($A10,1),5),(30+(0)*CROQUIS!$C$175*CROQUIS!$C$176),(30+(0)*CROQUIS!$C$175*CROQUIS!$C$176),(30+(CROQUIS!$C$117)*CROQUIS!$C$175*CROQUIS!$C$176),(30+(CROQUIS!$C$117)*CROQUIS!$C$175*CROQUIS!$C$176),(30+(0)*CROQUIS!$C$175*CROQUIS!$C$176)),-1000)</f>
        <v>41.04</v>
      </c>
      <c r="EN10">
        <f>IF(AND(CROQUIS!$C$87=1,CROQUIS!$C$166&gt;0),CHOOSE(MIN(MAX($A10,1)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82.9263157894737</v>
      </c>
      <c r="EO10">
        <f>IF(AND(CROQUIS!$C$87=1,CROQUIS!$C$166&gt;0),CHOOSE(MIN(MAX($A10,1),4),(30+(0)*CROQUIS!$C$175*CROQUIS!$C$176),(30+(CROQUIS!$C$108)*CROQUIS!$C$175*CROQUIS!$C$176),(30+(CROQUIS!$C$108)*CROQUIS!$C$175*CROQUIS!$C$176),(30+(0)*CROQUIS!$C$175*CROQUIS!$C$176)),-1000)</f>
        <v>44.5263157894737</v>
      </c>
      <c r="EP10">
        <f>IF(AND(CROQUIS!$C$87=1),CHOOSE(MIN(MAX($A10,1),7),(4+((0)-CROQUIS!$C$173)*CROQUIS!$C$175),(4+((0)-CROQUIS!$C$173)*CROQUIS!$C$175),(4+((0)-CROQUIS!$C$173)*CROQUIS!$C$175),((4+((0)-CROQUIS!$C$173)*CROQUIS!$C$175)+(4+((CROQUIS!$C$97)-CROQUIS!$C$173)*CROQUIS!$C$175))/2,(4+((CROQUIS!$C$97)-CROQUIS!$C$173)*CROQUIS!$C$175),(4+((CROQUIS!$C$97)-CROQUIS!$C$173)*CROQUIS!$C$175),(4+((CROQUIS!$C$97)-CROQUIS!$C$173)*CROQUIS!$C$175)),-1000)</f>
        <v>11.2631578947368</v>
      </c>
      <c r="EQ10">
        <f>IF(AND(CROQUIS!$C$87=1),CHOOSE(MIN(MAX($A10,1),7),15-1.4,15+1.4,15,15,15,15+1.4,15-1.4),-1000)</f>
        <v>15</v>
      </c>
      <c r="ER10">
        <f>IF(AND(CROQUIS!$C$87=1,OR(CROQUIS!$C$91=1,AND(CROQUIS!$C$133&gt;=2,OR(CROQUIS!$C$103=1,CROQUIS!$C$145=1)))),CHOOSE(MIN(MAX($A10,1)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10">
        <f>IF(AND(CROQUIS!$C$87=1,OR(CROQUIS!$C$91=1,AND(CROQUIS!$C$133&gt;=2,OR(CROQUIS!$C$103=1,CROQUIS!$C$145=1)))),CHOOSE(MIN(MAX($A10,1)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T10">
        <f>IF(AND(CROQUIS!$C$87=1,CROQUIS!$C$91=1,CROQUIS!$C$151&gt;0),CHOOSE(MIN(MAX($A10,1),5),(4+((CROQUIS!$C$97)-CROQUIS!$C$173)*CROQUIS!$C$175),(4+((CROQUIS!$C$97)-CROQUIS!$C$173)*CROQUIS!$C$175),(4+((CROQUIS!$C$97)-CROQUIS!$C$173)*CROQUIS!$C$175)-1.2,(4+((CROQUIS!$C$97)-CROQUIS!$C$173)*CROQUIS!$C$175),(4+((CROQUIS!$C$97)-CROQUIS!$C$173)*CROQUIS!$C$175)+1.2),-1000)</f>
        <v>-1000</v>
      </c>
      <c r="EU10">
        <f>IF(AND(CROQUIS!$C$87=1,CROQUIS!$C$91=1,CROQUIS!$C$151&gt;0),CHOOSE(MIN(MAX($A10,1),5),(30+(CROQUIS!$C$108)*CROQUIS!$C$175*CROQUIS!$C$176)+13,(30+(CROQUIS!$C$108)*CROQUIS!$C$175*CROQUIS!$C$176)+1,(30+(CROQUIS!$C$108)*CROQUIS!$C$175*CROQUIS!$C$176)+4,(30+(CROQUIS!$C$108)*CROQUIS!$C$175*CROQUIS!$C$176)+1,(30+(CROQUIS!$C$108)*CROQUIS!$C$175*CROQUIS!$C$176)+4),-1000)</f>
        <v>-1000</v>
      </c>
      <c r="EV10">
        <f>IF(AND(CROQUIS!$C$88=1),CHOOSE(MIN(MAX($A10,1)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EW10">
        <f>IF(AND(CROQUIS!$C$88=1),CHOOSE(MIN(MAX($A10,1),5),(30+(0)*CROQUIS!$C$175*CROQUIS!$C$176),(30+(0)*CROQUIS!$C$175*CROQUIS!$C$176),(30+(CROQUIS!$C$108)*CROQUIS!$C$175*CROQUIS!$C$176),(30+(CROQUIS!$C$108)*CROQUIS!$C$175*CROQUIS!$C$176),(30+(0)*CROQUIS!$C$175*CROQUIS!$C$176)),-1000)</f>
        <v>-1000</v>
      </c>
      <c r="EX10">
        <f>IF(AND(CROQUIS!$C$88=1),CHOOSE(MIN(MAX($A10,1)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0">
        <f>IF(AND(CROQUIS!$C$88=1),CHOOSE(MIN(MAX($A10,1),10),30,30,20,20,30,IF(CROQUIS!$C$91=1,30,30),IF(CROQUIS!$C$91=1,30,30),IF(CROQUIS!$C$91=1,30,20),IF(CROQUIS!$C$91=1,30,20),IF(CROQUIS!$C$91=1,30,30)),-1000)</f>
        <v>-1000</v>
      </c>
      <c r="EZ10">
        <f>IF(AND(CROQUIS!$C$88=1,CROQUIS!$C$153=1),CHOOSE(MIN(MAX($A10,1),5),(4+((-CROQUIS!$C$149-CROQUIS!$C$107/2)-CROQUIS!$C$173)*CROQUIS!$C$175),(4+((-CROQUIS!$C$149+CROQUIS!$C$107/2)-CROQUIS!$C$173)*CROQUIS!$C$175),(4+((-CROQUIS!$C$149+CROQUIS!$C$107/2)-CROQUIS!$C$173)*CROQUIS!$C$175),(4+((-CROQUIS!$C$149-CROQUIS!$C$107/2)-CROQUIS!$C$173)*CROQUIS!$C$175),(4+((-CROQUIS!$C$149-CROQUIS!$C$107/2)-CROQUIS!$C$173)*CROQUIS!$C$175)),-1000)</f>
        <v>-1000</v>
      </c>
      <c r="FA10">
        <f>IF(AND(CROQUIS!$C$88=1,CROQUIS!$C$153=1),CHOOSE(MIN(MAX($A10,1),5),30,30,20,20,30),-1000)</f>
        <v>-1000</v>
      </c>
      <c r="FB10">
        <f>IF(AND(CROQUIS!$C$88=1),CHOOSE(MIN(MAX($A10,1)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10">
        <f>IF(AND(CROQUIS!$C$88=1),CHOOSE(MIN(MAX($A10,1)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10">
        <f>IF(AND(CROQUIS!$C$88=1,CROQUIS!$C$91=1,CROQUIS!$C$133&gt;0),CHOOSE(MIN(MAX($A10,1)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10">
        <f>IF(AND(CROQUIS!$C$88=1,CROQUIS!$C$91=1,CROQUIS!$C$133&gt;0),CHOOSE(MIN(MAX($A10,1)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F10">
        <f>IF(AND(CROQUIS!$C$88=1,CROQUIS!$C$91=0,CROQUIS!$C$133&gt;0,OR(CROQUIS!$C$103=1,CROQUIS!$C$145=1)),CHOOSE(MIN(MAX($A10,1)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G10">
        <f>IF(AND(CROQUIS!$C$88=1,CROQUIS!$C$91=0,CROQUIS!$C$133&gt;0,OR(CROQUIS!$C$103=1,CROQUIS!$C$145=1)),CHOOSE(MIN(MAX($A10,1)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H10">
        <f>IF(AND(CROQUIS!$C$88=1,CROQUIS!$C$91=0,CROQUIS!$C$133&gt;0,OR(CROQUIS!$C$104=1,CROQUIS!$C$145=1)),CHOOSE(MIN(MAX($A10,1)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I10">
        <f>IF(AND(CROQUIS!$C$88=1,CROQUIS!$C$91=0,CROQUIS!$C$133&gt;0,OR(CROQUIS!$C$104=1,CROQUIS!$C$145=1)),CHOOSE(MIN(MAX($A10,1)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J10">
        <f>IF(AND(CROQUIS!$C$88=1),CHOOSE(MIN(MAX($A10,1),7),(4+((0)-CROQUIS!$C$173)*CROQUIS!$C$175),(4+((0)-CROQUIS!$C$173)*CROQUIS!$C$175),(4+((0)-CROQUIS!$C$173)*CROQUIS!$C$175),((4+((0)-CROQUIS!$C$173)*CROQUIS!$C$175)+(4+((CROQUIS!$C$97)-CROQUIS!$C$173)*CROQUIS!$C$175))/2,(4+((CROQUIS!$C$97)-CROQUIS!$C$173)*CROQUIS!$C$175),(4+((CROQUIS!$C$97)-CROQUIS!$C$173)*CROQUIS!$C$175),(4+((CROQUIS!$C$97)-CROQUIS!$C$173)*CROQUIS!$C$175)),-1000)</f>
        <v>-1000</v>
      </c>
      <c r="FK10">
        <f>IF(AND(CROQUIS!$C$88=1),CHOOSE(MIN(MAX($A10,1),7),15-1.4,15+1.4,15,15,15,15+1.4,15-1.4),-1000)</f>
        <v>-1000</v>
      </c>
      <c r="FL10">
        <f>IF(AND(CROQUIS!$C$88=1,OR(CROQUIS!$C$91=1,AND(CROQUIS!$C$133&gt;0,OR(CROQUIS!$C$103=1,CROQUIS!$C$145=1)))),CHOOSE(MIN(MAX($A10,1)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10">
        <f>IF(AND(CROQUIS!$C$88=1,OR(CROQUIS!$C$91=1,AND(CROQUIS!$C$133&gt;0,OR(CROQUIS!$C$103=1,CROQUIS!$C$145=1)))),CHOOSE(MIN(MAX($A10,1)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10">
        <f>IF(AND(CROQUIS!$C$88=1,CROQUIS!$C$91=1,CROQUIS!$C$151&gt;0),CHOOSE(MIN(MAX($A10,1),5),(4+((CROQUIS!$C$97)-CROQUIS!$C$173)*CROQUIS!$C$175),(4+((CROQUIS!$C$97)-CROQUIS!$C$173)*CROQUIS!$C$175),(4+((CROQUIS!$C$97)-CROQUIS!$C$173)*CROQUIS!$C$175)-1.2,(4+((CROQUIS!$C$97)-CROQUIS!$C$173)*CROQUIS!$C$175),(4+((CROQUIS!$C$97)-CROQUIS!$C$173)*CROQUIS!$C$175)+1.2),-1000)</f>
        <v>-1000</v>
      </c>
      <c r="FO10">
        <f>IF(AND(CROQUIS!$C$88=1,CROQUIS!$C$91=1,CROQUIS!$C$151&gt;0),CHOOSE(MIN(MAX($A10,1),5),(30+(CROQUIS!$C$108)*CROQUIS!$C$175*CROQUIS!$C$176)+13,(30+(CROQUIS!$C$108)*CROQUIS!$C$175*CROQUIS!$C$176)+1,(30+(CROQUIS!$C$108)*CROQUIS!$C$175*CROQUIS!$C$176)+4,(30+(CROQUIS!$C$108)*CROQUIS!$C$175*CROQUIS!$C$176)+1,(30+(CROQUIS!$C$108)*CROQUIS!$C$175*CROQUIS!$C$176)+4),-1000)</f>
        <v>-1000</v>
      </c>
    </row>
    <row r="11">
      <c r="A11" t="n">
        <v>4</v>
      </c>
      <c r="B11">
        <f>IF(AND(CROQUIS!$C$87=1),CHOOSE(MIN(MAX($A11,1),5),(CROQUIS!$C$160+(0)*CROQUIS!$C$159),(CROQUIS!$C$160+(CROQUIS!$C$95)*CROQUIS!$C$159),(CROQUIS!$C$160+(CROQUIS!$C$95)*CROQUIS!$C$159),(CROQUIS!$C$160+(0)*CROQUIS!$C$159),(CROQUIS!$C$160+(0)*CROQUIS!$C$159)),-1000)</f>
        <v>12</v>
      </c>
      <c r="C11">
        <f>IF(AND(CROQUIS!$C$87=1),CHOOSE(MIN(MAX($A11,1),5),(CROQUIS!$C$161+(0)*CROQUIS!$C$159),(CROQUIS!$C$161+(0)*CROQUIS!$C$159),(CROQUIS!$C$161+(CROQUIS!$C$96)*CROQUIS!$C$159),(CROQUIS!$C$161+(CROQUIS!$C$96)*CROQUIS!$C$159),(CROQUIS!$C$161+(0)*CROQUIS!$C$159)),-1000)</f>
        <v>84.3425214640759</v>
      </c>
      <c r="D11">
        <f>IF(AND(CROQUIS!$C$87=1),CHOOSE(MIN(MAX($A11,1)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E11">
        <f>IF(AND(CROQUIS!$C$87=1),CHOOSE(MIN(MAX($A11,1)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83.0546769091731</v>
      </c>
      <c r="F11">
        <f>IF(AND(CROQUIS!$C$87=1,CROQUIS!$C$91=1),((CROQUIS!$C$160+(IF(CROQUIS!$C$92="X",IF(CROQUIS!$C$94=1,0,CROQUIS!$C$97)+IF(MOD($A11,2)=1,-CROQUIS!$C$107/2,CROQUIS!$C$107/2),(MIN($A11,41)-1)/40*CROQUIS!$C$98))*CROQUIS!$C$159)+IF(CROQUIS!$C$92="X",0,0)),-1000)</f>
        <v>-1000</v>
      </c>
      <c r="G11">
        <f>IF(AND(CROQUIS!$C$87=1,CROQUIS!$C$91=1),((CROQUIS!$C$161+(IF(CROQUIS!$C$92="X",(MIN($A11,41)-1)/40*CROQUIS!$C$98,IF(CROQUIS!$C$94=1,0,CROQUIS!$C$97)+IF(MOD($A11,2)=1,-CROQUIS!$C$107/2,CROQUIS!$C$107/2)))*CROQUIS!$C$159)+IF(CROQUIS!$C$92="X",0,0)),-1000)</f>
        <v>-1000</v>
      </c>
      <c r="H11">
        <f>IF(AND(CROQUIS!$C$87=1,CROQUIS!$C$91=1),CHOOSE(MIN(MAX($A11,1)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I11">
        <f>IF(AND(CROQUIS!$C$87=1,CROQUIS!$C$91=1),CHOOSE(MIN(MAX($A11,1)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J11">
        <f>IF(AND(CROQUIS!$C$87=1,CROQUIS!$C$153=1),CHOOSE(MIN(MAX($A11,1)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K11">
        <f>IF(AND(CROQUIS!$C$87=1,CROQUIS!$C$153=1),CHOOSE(MIN(MAX($A11,1)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N11">
        <f>IF(AND(CROQUIS!$C$87=1),CHOOSE(MIN(MAX($A11,1),7),(CROQUIS!$C$160+(0)*CROQUIS!$C$159),(CROQUIS!$C$160+(0)*CROQUIS!$C$159),(CROQUIS!$C$160+(0)*CROQUIS!$C$159),((CROQUIS!$C$160+(0)*CROQUIS!$C$159)+(CROQUIS!$C$160+(CROQUIS!$C$95)*CROQUIS!$C$159))/2,(CROQUIS!$C$160+(CROQUIS!$C$95)*CROQUIS!$C$159),(CROQUIS!$C$160+(CROQUIS!$C$95)*CROQUIS!$C$159),(CROQUIS!$C$160+(CROQUIS!$C$95)*CROQUIS!$C$159)),-1000)</f>
        <v>50</v>
      </c>
      <c r="O11">
        <f>IF(AND(CROQUIS!$C$87=1),CHOOSE(MIN(MAX($A11,1),7),((CROQUIS!$C$161+(CROQUIS!$C$157)*CROQUIS!$C$159)-5)-1.4,((CROQUIS!$C$161+(CROQUIS!$C$157)*CROQUIS!$C$159)-5)+1.4,((CROQUIS!$C$161+(CROQUIS!$C$157)*CROQUIS!$C$159)-5),((CROQUIS!$C$161+(CROQUIS!$C$157)*CROQUIS!$C$159)-5),((CROQUIS!$C$161+(CROQUIS!$C$157)*CROQUIS!$C$159)-5),((CROQUIS!$C$161+(CROQUIS!$C$157)*CROQUIS!$C$159)-5)+1.4,((CROQUIS!$C$161+(CROQUIS!$C$157)*CROQUIS!$C$159)-5)-1.4),-1000)</f>
        <v>10.6574785359241</v>
      </c>
      <c r="P11">
        <f>IF(AND(CROQUIS!$C$87=1),CHOOSE(MIN(MAX($A11,1),7),((CROQUIS!$C$160+(CROQUIS!$C$155)*CROQUIS!$C$159)-5)-1.4,((CROQUIS!$C$160+(CROQUIS!$C$155)*CROQUIS!$C$159)-5)+1.4,((CROQUIS!$C$160+(CROQUIS!$C$155)*CROQUIS!$C$159)-5),((CROQUIS!$C$160+(CROQUIS!$C$155)*CROQUIS!$C$159)-5),((CROQUIS!$C$160+(CROQUIS!$C$155)*CROQUIS!$C$159)-5),((CROQUIS!$C$160+(CROQUIS!$C$155)*CROQUIS!$C$159)-5)+1.4,((CROQUIS!$C$160+(CROQUIS!$C$155)*CROQUIS!$C$159)-5)-1.4),-1000)</f>
        <v>7</v>
      </c>
      <c r="Q11">
        <f>IF(AND(CROQUIS!$C$87=1),CHOOSE(MIN(MAX($A11,1),7),(CROQUIS!$C$161+(0)*CROQUIS!$C$159),(CROQUIS!$C$161+(0)*CROQUIS!$C$159),(CROQUIS!$C$161+(0)*CROQUIS!$C$159),((CROQUIS!$C$161+(0)*CROQUIS!$C$159)+(CROQUIS!$C$161+(CROQUIS!$C$96)*CROQUIS!$C$159))/2,(CROQUIS!$C$161+(CROQUIS!$C$96)*CROQUIS!$C$159),(CROQUIS!$C$161+(CROQUIS!$C$96)*CROQUIS!$C$159),(CROQUIS!$C$161+(CROQUIS!$C$96)*CROQUIS!$C$159)),-1000)</f>
        <v>50</v>
      </c>
      <c r="R11">
        <f>IF(AND(CROQUIS!$C$88=1),CHOOSE(MIN(MAX($A11,1),5),(CROQUIS!$C$160+(0)*CROQUIS!$C$159),(CROQUIS!$C$160+(CROQUIS!$C$95)*CROQUIS!$C$159),(CROQUIS!$C$160+(CROQUIS!$C$95)*CROQUIS!$C$159),(CROQUIS!$C$160+(0)*CROQUIS!$C$159),(CROQUIS!$C$160+(0)*CROQUIS!$C$159)),-1000)</f>
        <v>-1000</v>
      </c>
      <c r="S11">
        <f>IF(AND(CROQUIS!$C$88=1),CHOOSE(MIN(MAX($A11,1),5),(CROQUIS!$C$161+(0)*CROQUIS!$C$159),(CROQUIS!$C$161+(0)*CROQUIS!$C$159),(CROQUIS!$C$161+(CROQUIS!$C$96)*CROQUIS!$C$159),(CROQUIS!$C$161+(CROQUIS!$C$96)*CROQUIS!$C$159),(CROQUIS!$C$161+(0)*CROQUIS!$C$159)),-1000)</f>
        <v>-1000</v>
      </c>
      <c r="T11">
        <f>IF(AND(CROQUIS!$C$88=1),CHOOSE(MIN(MAX($A11,1)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U11">
        <f>IF(AND(CROQUIS!$C$88=1),CHOOSE(MIN(MAX($A11,1)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V11">
        <f>IF(AND(CROQUIS!$C$88=1,CROQUIS!$C$91=1),((CROQUIS!$C$160+(IF(CROQUIS!$C$92="X",IF(CROQUIS!$C$94=1,0,CROQUIS!$C$97)+IF(MOD($A11,2)=1,-CROQUIS!$C$107/2,CROQUIS!$C$107/2),(MIN($A11,41)-1)/40*CROQUIS!$C$98))*CROQUIS!$C$159)+IF(CROQUIS!$C$92="X",0,0)),-1000)</f>
        <v>-1000</v>
      </c>
      <c r="W11">
        <f>IF(AND(CROQUIS!$C$88=1,CROQUIS!$C$91=1),((CROQUIS!$C$161+(IF(CROQUIS!$C$92="X",(MIN($A11,41)-1)/40*CROQUIS!$C$98,IF(CROQUIS!$C$94=1,0,CROQUIS!$C$97)+IF(MOD($A11,2)=1,-CROQUIS!$C$107/2,CROQUIS!$C$107/2)))*CROQUIS!$C$159)+IF(CROQUIS!$C$92="X",0,0)),-1000)</f>
        <v>-1000</v>
      </c>
      <c r="X11">
        <f>IF(AND(CROQUIS!$C$88=1,CROQUIS!$C$91=1),CHOOSE(MIN(MAX($A11,1)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Y11">
        <f>IF(AND(CROQUIS!$C$88=1,CROQUIS!$C$91=1),CHOOSE(MIN(MAX($A11,1)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Z11">
        <f>IF(AND(CROQUIS!$C$88=1,CROQUIS!$C$153=1),CHOOSE(MIN(MAX($A11,1)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A11">
        <f>IF(AND(CROQUIS!$C$88=1,CROQUIS!$C$153=1),CHOOSE(MIN(MAX($A11,1)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D11">
        <f>IF(AND(CROQUIS!$C$88=1),CHOOSE(MIN(MAX($A11,1),7),(CROQUIS!$C$160+(0)*CROQUIS!$C$159),(CROQUIS!$C$160+(0)*CROQUIS!$C$159),(CROQUIS!$C$160+(0)*CROQUIS!$C$159),((CROQUIS!$C$160+(0)*CROQUIS!$C$159)+(CROQUIS!$C$160+(CROQUIS!$C$95)*CROQUIS!$C$159))/2,(CROQUIS!$C$160+(CROQUIS!$C$95)*CROQUIS!$C$159),(CROQUIS!$C$160+(CROQUIS!$C$95)*CROQUIS!$C$159),(CROQUIS!$C$160+(CROQUIS!$C$95)*CROQUIS!$C$159)),-1000)</f>
        <v>-1000</v>
      </c>
      <c r="AE11">
        <f>IF(AND(CROQUIS!$C$88=1),CHOOSE(MIN(MAX($A11,1),7),((CROQUIS!$C$161+(CROQUIS!$C$157)*CROQUIS!$C$159)-5)-1.4,((CROQUIS!$C$161+(CROQUIS!$C$157)*CROQUIS!$C$159)-5)+1.4,((CROQUIS!$C$161+(CROQUIS!$C$157)*CROQUIS!$C$159)-5),((CROQUIS!$C$161+(CROQUIS!$C$157)*CROQUIS!$C$159)-5),((CROQUIS!$C$161+(CROQUIS!$C$157)*CROQUIS!$C$159)-5),((CROQUIS!$C$161+(CROQUIS!$C$157)*CROQUIS!$C$159)-5)+1.4,((CROQUIS!$C$161+(CROQUIS!$C$157)*CROQUIS!$C$159)-5)-1.4),-1000)</f>
        <v>-1000</v>
      </c>
      <c r="AF11">
        <f>IF(AND(CROQUIS!$C$88=1),CHOOSE(MIN(MAX($A11,1),7),((CROQUIS!$C$160+(CROQUIS!$C$155)*CROQUIS!$C$159)-5)-1.4,((CROQUIS!$C$160+(CROQUIS!$C$155)*CROQUIS!$C$159)-5)+1.4,((CROQUIS!$C$160+(CROQUIS!$C$155)*CROQUIS!$C$159)-5),((CROQUIS!$C$160+(CROQUIS!$C$155)*CROQUIS!$C$159)-5),((CROQUIS!$C$160+(CROQUIS!$C$155)*CROQUIS!$C$159)-5),((CROQUIS!$C$160+(CROQUIS!$C$155)*CROQUIS!$C$159)-5)+1.4,((CROQUIS!$C$160+(CROQUIS!$C$155)*CROQUIS!$C$159)-5)-1.4),-1000)</f>
        <v>-1000</v>
      </c>
      <c r="AG11">
        <f>IF(AND(CROQUIS!$C$88=1),CHOOSE(MIN(MAX($A11,1),7),(CROQUIS!$C$161+(0)*CROQUIS!$C$159),(CROQUIS!$C$161+(0)*CROQUIS!$C$159),(CROQUIS!$C$161+(0)*CROQUIS!$C$159),((CROQUIS!$C$161+(0)*CROQUIS!$C$159)+(CROQUIS!$C$161+(CROQUIS!$C$96)*CROQUIS!$C$159))/2,(CROQUIS!$C$161+(CROQUIS!$C$96)*CROQUIS!$C$159),(CROQUIS!$C$161+(CROQUIS!$C$96)*CROQUIS!$C$159),(CROQUIS!$C$161+(CROQUIS!$C$96)*CROQUIS!$C$159)),-1000)</f>
        <v>-1000</v>
      </c>
      <c r="AH11">
        <f>IF(AND(CROQUIS!$C$87=1,CROQUIS!$C$91=1,CROQUIS!$C$147&gt;0),CHOOSE(MIN(MAX($A11,1)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I11">
        <f>IF(AND(CROQUIS!$C$87=1,CROQUIS!$C$91=1,CROQUIS!$C$147&gt;0),CHOOSE(MIN(MAX($A11,1)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J11">
        <f>IF(AND(CROQUIS!$C$87=1,CROQUIS!$C$162&gt;0,CROQUIS!$C$164&gt;0),(CROQUIS!$C$160+((CROQUIS!$C$163+INT(MIN(INT(($A11-1)/2),MAX((2*CROQUIS!$C$162)-1,0))/2)*CROQUIS!$C$116+MOD(MIN(INT(($A11-1)/2),MAX((2*CROQUIS!$C$162)-1,0)),2)*CROQUIS!$C$114))*CROQUIS!$C$159),-1000)</f>
        <v>33.258020786263</v>
      </c>
      <c r="AK11">
        <f>IF(AND(CROQUIS!$C$87=1,CROQUIS!$C$162&gt;0,CROQUIS!$C$164&gt;0),(CROQUIS!$C$161+(IF(MOD(MIN(INT(($A11-1)/2),MAX((2*CROQUIS!$C$162)-1,0)),2)=0,IF(IF(INT(($A11-1)/2)&gt;MAX((2*CROQUIS!$C$162)-1,0),1,MOD($A11-1,2))=0,CROQUIS!$C$165,(CROQUIS!$C$165+(CROQUIS!$C$164-1)*CROQUIS!$C$116+CROQUIS!$C$115)),IF(IF(INT(($A11-1)/2)&gt;MAX((2*CROQUIS!$C$162)-1,0),1,MOD($A11-1,2))=0,(CROQUIS!$C$165+(CROQUIS!$C$164-1)*CROQUIS!$C$116+CROQUIS!$C$115),CROQUIS!$C$165)))*CROQUIS!$C$159),-1000)</f>
        <v>20.8088567555355</v>
      </c>
      <c r="AL11">
        <f>IF(AND(CROQUIS!$C$87=1,CROQUIS!$C$164&gt;0,CROQUIS!$C$162&gt;0),(CROQUIS!$C$160+(IF(MOD(MIN(INT(($A11-1)/2),MAX((2*CROQUIS!$C$164)-1,0)),2)=0,IF(IF(INT(($A11-1)/2)&gt;MAX((2*CROQUIS!$C$164)-1,0),1,MOD($A11-1,2))=0,CROQUIS!$C$163,(CROQUIS!$C$163+(CROQUIS!$C$162-1)*CROQUIS!$C$116+CROQUIS!$C$114)),IF(IF(INT(($A11-1)/2)&gt;MAX((2*CROQUIS!$C$164)-1,0),1,MOD($A11-1,2))=0,(CROQUIS!$C$163+(CROQUIS!$C$162-1)*CROQUIS!$C$116+CROQUIS!$C$114),CROQUIS!$C$163)))*CROQUIS!$C$159),-1000)</f>
        <v>22.9552643470402</v>
      </c>
      <c r="AM11">
        <f>IF(AND(CROQUIS!$C$87=1,CROQUIS!$C$164&gt;0,CROQUIS!$C$162&gt;0),(CROQUIS!$C$161+((CROQUIS!$C$165+INT(MIN(INT(($A11-1)/2),MAX((2*CROQUIS!$C$164)-1,0))/2)*CROQUIS!$C$116+MOD(MIN(INT(($A11-1)/2),MAX((2*CROQUIS!$C$164)-1,0)),2)*CROQUIS!$C$115))*CROQUIS!$C$159),-1000)</f>
        <v>31.1116131947583</v>
      </c>
      <c r="AN11">
        <f>IF(AND(CROQUIS!$C$87=1,CROQUIS!$C$162&gt;=2),(CROQUIS!$C$160+((CROQUIS!$C$163+CROQUIS!$C$114+(CROQUIS!$C$116-CROQUIS!$C$114)/2+MIN(INT(($A11-1)/2),MAX((CROQUIS!$C$162-1)-1,0))*CROQUIS!$C$116))*CROQUIS!$C$159),-1000)</f>
        <v>46.1364663352915</v>
      </c>
      <c r="AO11">
        <f>IF(AND(CROQUIS!$C$87=1,CROQUIS!$C$162&gt;=2),(CROQUIS!$C$161+(IF(MOD(MIN(INT(($A11-1)/2),MAX((CROQUIS!$C$162-1)-1,0)),2)=0,IF(IF(INT(($A11-1)/2)&gt;MAX((CROQUIS!$C$162-1)-1,0),1,MOD($A11-1,2))=0,CROQUIS!$C$107/2,(CROQUIS!$C$96-CROQUIS!$C$107/2)),IF(IF(INT(($A11-1)/2)&gt;MAX((CROQUIS!$C$162-1)-1,0),1,MOD($A11-1,2))=0,(CROQUIS!$C$96-CROQUIS!$C$107/2),CROQUIS!$C$107/2)))*CROQUIS!$C$159),-1000)</f>
        <v>16.9453230908269</v>
      </c>
      <c r="AP11">
        <f>IF(AND(CROQUIS!$C$87=1,CROQUIS!$C$164&gt;=2),(CROQUIS!$C$160+(IF(MOD(MIN(INT(($A11-1)/2),MAX((CROQUIS!$C$164-1)-1,0)),2)=0,IF(IF(INT(($A11-1)/2)&gt;MAX((CROQUIS!$C$164-1)-1,0),1,MOD($A11-1,2))=0,CROQUIS!$C$107/2,(CROQUIS!$C$95-CROQUIS!$C$107/2)),IF(IF(INT(($A11-1)/2)&gt;MAX((CROQUIS!$C$164-1)-1,0),1,MOD($A11-1,2))=0,(CROQUIS!$C$95-CROQUIS!$C$107/2),CROQUIS!$C$107/2)))*CROQUIS!$C$159),-1000)</f>
        <v>13.2878445549028</v>
      </c>
      <c r="AQ11">
        <f>IF(AND(CROQUIS!$C$87=1,CROQUIS!$C$164&gt;=2),(CROQUIS!$C$161+((CROQUIS!$C$165+CROQUIS!$C$115+(CROQUIS!$C$116-CROQUIS!$C$115)/2+MIN(INT(($A11-1)/2),MAX((CROQUIS!$C$164-1)-1,0))*CROQUIS!$C$116))*CROQUIS!$C$159),-1000)</f>
        <v>43.9900587437867</v>
      </c>
      <c r="AR11">
        <f>IF(AND(CROQUIS!$C$87=1,CROQUIS!$C$126&gt;0,CROQUIS!$C$166&gt;0),((CROQUIS!$C$160+(IF(CROQUIS!$C$92="X",CHOOSE(MIN(MAX($A11,1)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11,1)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1">
        <f>IF(AND(CROQUIS!$C$87=1,CROQUIS!$C$126&gt;0,CROQUIS!$C$166&gt;0),((CROQUIS!$C$161+(IF(CROQUIS!$C$92="X",CHOOSE(MIN(MAX($A11,1)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11,1)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L11">
        <f>IF(AND(CROQUIS!$C$87=1,CROQUIS!$C$162&gt;=2),CHOOSE(MIN(MAX($A11,1)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28.9652056032535</v>
      </c>
      <c r="BM11">
        <f>IF(AND(CROQUIS!$C$87=1,CROQUIS!$C$162&gt;=2),CHOOSE(MIN(MAX($A11,1),7),((CROQUIS!$C$161+(CROQUIS!$C$158)*CROQUIS!$C$159)+4)-1.4,((CROQUIS!$C$161+(CROQUIS!$C$158)*CROQUIS!$C$159)+4)+1.4,((CROQUIS!$C$161+(CROQUIS!$C$158)*CROQUIS!$C$159)+4),((CROQUIS!$C$161+(CROQUIS!$C$158)*CROQUIS!$C$159)+4),((CROQUIS!$C$161+(CROQUIS!$C$158)*CROQUIS!$C$159)+4),((CROQUIS!$C$161+(CROQUIS!$C$158)*CROQUIS!$C$159)+4)+1.4,((CROQUIS!$C$161+(CROQUIS!$C$158)*CROQUIS!$C$159)+4)-1.4),-1000)</f>
        <v>88.3425214640759</v>
      </c>
      <c r="BN11">
        <f>IF(AND(CROQUIS!$C$88=1,CROQUIS!$C$129&gt;0),((CROQUIS!$C$160+(IF(CROQUIS!$C$92="X",CHOOSE(IF(INT(($A11-1)/5)&gt;MAX((MAX(1,INT(((CROQUIS!$C$98)-CROQUIS!$C$107)/MAX((CROQUIS!$C$129*MAX(1,CEILING((INT(((CROQUIS!$C$98)-CROQUIS!$C$107)/MAX(CROQUIS!$C$129,1))+1)/80,1))),1))+1))-1,0),0,MOD($A11-1,5))+1,0,2,CROQUIS!$C$97-2,2,0),((CROQUIS!$C$107/2+(((CROQUIS!$C$98)-CROQUIS!$C$107)-(MAX(1,INT(((CROQUIS!$C$98)-CROQUIS!$C$107)/MAX((CROQUIS!$C$129*MAX(1,CEILING((INT(((CROQUIS!$C$98)-CROQUIS!$C$107)/MAX(CROQUIS!$C$129,1))+1)/80,1))),1))+1)-1)*(CROQUIS!$C$129*MAX(1,CEILING((INT(((CROQUIS!$C$98)-CROQUIS!$C$107)/MAX(CROQUIS!$C$129,1))+1)/80,1))))/2)+MIN(INT(($A11-1)/5),MAX((MAX(1,INT(((CROQUIS!$C$98)-CROQUIS!$C$107)/MAX((CROQUIS!$C$129*MAX(1,CEILING((INT(((CROQUIS!$C$98)-CROQUIS!$C$107)/MAX(CROQUIS!$C$129,1))+1)/80,1))),1))+1))-1,0))*(CROQUIS!$C$129*MAX(1,CEILING((INT(((CROQUIS!$C$98)-CROQUIS!$C$107)/MAX(CROQUIS!$C$129,1))+1)/80,1))))))*CROQUIS!$C$159)+IF(CROQUIS!$C$92="X",0,0)),-1000)</f>
        <v>-1000</v>
      </c>
      <c r="BO11">
        <f>IF(AND(CROQUIS!$C$88=1,CROQUIS!$C$129&gt;0),((CROQUIS!$C$161+(IF(CROQUIS!$C$92="X",((CROQUIS!$C$107/2+(((CROQUIS!$C$98)-CROQUIS!$C$107)-(MAX(1,INT(((CROQUIS!$C$98)-CROQUIS!$C$107)/MAX((CROQUIS!$C$129*MAX(1,CEILING((INT(((CROQUIS!$C$98)-CROQUIS!$C$107)/MAX(CROQUIS!$C$129,1))+1)/80,1))),1))+1)-1)*(CROQUIS!$C$129*MAX(1,CEILING((INT(((CROQUIS!$C$98)-CROQUIS!$C$107)/MAX(CROQUIS!$C$129,1))+1)/80,1))))/2)+MIN(INT(($A11-1)/5),MAX((MAX(1,INT(((CROQUIS!$C$98)-CROQUIS!$C$107)/MAX((CROQUIS!$C$129*MAX(1,CEILING((INT(((CROQUIS!$C$98)-CROQUIS!$C$107)/MAX(CROQUIS!$C$129,1))+1)/80,1))),1))+1))-1,0))*(CROQUIS!$C$129*MAX(1,CEILING((INT(((CROQUIS!$C$98)-CROQUIS!$C$107)/MAX(CROQUIS!$C$129,1))+1)/80,1)))),CHOOSE(IF(INT(($A11-1)/5)&gt;MAX((MAX(1,INT(((CROQUIS!$C$98)-CROQUIS!$C$107)/MAX((CROQUIS!$C$129*MAX(1,CEILING((INT(((CROQUIS!$C$98)-CROQUIS!$C$107)/MAX(CROQUIS!$C$129,1))+1)/80,1))),1))+1))-1,0),0,MOD($A11-1,5))+1,0,2,CROQUIS!$C$97-2,2,0)))*CROQUIS!$C$159)+IF(CROQUIS!$C$92="X",0,0)),-1000)</f>
        <v>-1000</v>
      </c>
      <c r="BP11">
        <f>IF(AND(CROQUIS!$C$88=1,CROQUIS!$C$137&gt;0),((CROQUIS!$C$160+(IF(CROQUIS!$C$92="X",((CROQUIS!$C$107/2+(((CROQUIS!$C$97)-CROQUIS!$C$107)-(MAX(1,INT(((CROQUIS!$C$97)-CROQUIS!$C$107)/MAX((CROQUIS!$C$137*MAX(1,CEILING((INT(((CROQUIS!$C$97)-CROQUIS!$C$107)/MAX(CROQUIS!$C$137,1))+1)/80,1))),1))+1)-1)*(CROQUIS!$C$137*MAX(1,CEILING((INT(((CROQUIS!$C$97)-CROQUIS!$C$107)/MAX(CROQUIS!$C$137,1))+1)/80,1))))/2)+MIN(INT(($A11-1)/5),MAX((MAX(1,INT(((CROQUIS!$C$97)-CROQUIS!$C$107)/MAX((CROQUIS!$C$137*MAX(1,CEILING((INT(((CROQUIS!$C$97)-CROQUIS!$C$107)/MAX(CROQUIS!$C$137,1))+1)/80,1))),1))+1))-1,0))*(CROQUIS!$C$137*MAX(1,CEILING((INT(((CROQUIS!$C$97)-CROQUIS!$C$107)/MAX(CROQUIS!$C$137,1))+1)/80,1)))),CHOOSE(IF(INT(($A11-1)/5)&gt;MAX((MAX(1,INT(((CROQUIS!$C$97)-CROQUIS!$C$107)/MAX((CROQUIS!$C$137*MAX(1,CEILING((INT(((CROQUIS!$C$97)-CROQUIS!$C$107)/MAX(CROQUIS!$C$137,1))+1)/80,1))),1))+1))-1,0),0,MOD($A11-1,5))+1,0,2,CROQUIS!$C$98-2,2,0)))*CROQUIS!$C$159)+IF(CROQUIS!$C$92="X",0,0)),-1000)</f>
        <v>-1000</v>
      </c>
      <c r="BQ11">
        <f>IF(AND(CROQUIS!$C$88=1,CROQUIS!$C$137&gt;0),((CROQUIS!$C$161+(IF(CROQUIS!$C$92="X",CHOOSE(IF(INT(($A11-1)/5)&gt;MAX((MAX(1,INT(((CROQUIS!$C$97)-CROQUIS!$C$107)/MAX((CROQUIS!$C$137*MAX(1,CEILING((INT(((CROQUIS!$C$97)-CROQUIS!$C$107)/MAX(CROQUIS!$C$137,1))+1)/80,1))),1))+1))-1,0),0,MOD($A11-1,5))+1,0,2,CROQUIS!$C$98-2,2,0),((CROQUIS!$C$107/2+(((CROQUIS!$C$97)-CROQUIS!$C$107)-(MAX(1,INT(((CROQUIS!$C$97)-CROQUIS!$C$107)/MAX((CROQUIS!$C$137*MAX(1,CEILING((INT(((CROQUIS!$C$97)-CROQUIS!$C$107)/MAX(CROQUIS!$C$137,1))+1)/80,1))),1))+1)-1)*(CROQUIS!$C$137*MAX(1,CEILING((INT(((CROQUIS!$C$97)-CROQUIS!$C$107)/MAX(CROQUIS!$C$137,1))+1)/80,1))))/2)+MIN(INT(($A11-1)/5),MAX((MAX(1,INT(((CROQUIS!$C$97)-CROQUIS!$C$107)/MAX((CROQUIS!$C$137*MAX(1,CEILING((INT(((CROQUIS!$C$97)-CROQUIS!$C$107)/MAX(CROQUIS!$C$137,1))+1)/80,1))),1))+1))-1,0))*(CROQUIS!$C$137*MAX(1,CEILING((INT(((CROQUIS!$C$97)-CROQUIS!$C$107)/MAX(CROQUIS!$C$137,1))+1)/80,1))))))*CROQUIS!$C$159)+IF(CROQUIS!$C$92="X",0,0)),-1000)</f>
        <v>-1000</v>
      </c>
      <c r="BR11">
        <f>IF(AND(CROQUIS!$C$88=1,CROQUIS!$C$91=0,CROQUIS!$C$133&gt;0,OR(CROQUIS!$C$103=1,CROQUIS!$C$145=1)),((CROQUIS!$C$160+(IF(CROQUIS!$C$92="X",CHOOSE(IF(INT(($A11-1)/5)&gt;MAX((MAX(1,INT(((CROQUIS!$C$98)-CROQUIS!$C$107)/MAX((CROQUIS!$C$133*MAX(1,CEILING((INT(((CROQUIS!$C$98)-CROQUIS!$C$107)/MAX(CROQUIS!$C$133,1))+1)/80,1))),1))+1))-1,0),0,MOD($A11-1,5))+1,0,IF(CROQUIS!$C$103=1,-12,2),CROQUIS!$C$107/2+CROQUIS!$C$143,IF(CROQUIS!$C$103=1,-12,2),0),((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BS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+1,0,IF(CROQUIS!$C$103=1,-12,2),CROQUIS!$C$107/2+CROQUIS!$C$143,IF(CROQUIS!$C$103=1,-12,2),0)))*CROQUIS!$C$159)+IF(CROQUIS!$C$92="X",0.8,0)),-1000)</f>
        <v>-1000</v>
      </c>
      <c r="BT11">
        <f>IF(AND(CROQUIS!$C$88=1,CROQUIS!$C$91=0,CROQUIS!$C$133&gt;0,OR(CROQUIS!$C$104=1,CROQUIS!$C$145=1)),((CROQUIS!$C$160+(IF(CROQUIS!$C$92="X",CHOOSE(IF(INT(($A11-1)/5)&gt;MAX((MAX(1,INT(((CROQUIS!$C$98)-CROQUIS!$C$107)/MAX((CROQUIS!$C$133*MAX(1,CEILING((INT(((CROQUIS!$C$98)-CROQUIS!$C$107)/MAX(CROQUIS!$C$133,1))+1)/80,1))),1))+1))-1,0),0,MOD($A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BU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CROQUIS!$C$97,CROQUIS!$C$97-CROQUIS!$C$107/2-CROQUIS!$C$143,IF(CROQUIS!$C$104=1,CROQUIS!$C$97+12,CROQUIS!$C$97-2),CROQUIS!$C$97-CROQUIS!$C$107/2-CROQUIS!$C$143,CROQUIS!$C$97)))*CROQUIS!$C$159)+IF(CROQUIS!$C$92="X",0.8,0)),-1000)</f>
        <v>-1000</v>
      </c>
      <c r="BV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HOOSE(IF(INT(($A11-1)/5)&gt;MAX((MAX(1,INT(((CROQUIS!$C$97)-CROQUIS!$C$107)/MAX((CROQUIS!$C$141*MAX(1,CEILING((INT(((CROQUIS!$C$97)-CROQUIS!$C$107)/MAX(CROQUIS!$C$141,1))+1)/80,1))),1))+1))-1,0),0,MOD($A11-1,5))+1,0,IF(CROQUIS!$C$105=1,-12,2),CROQUIS!$C$107/2+CROQUIS!$C$144,IF(CROQUIS!$C$105=1,-12,2),0)))*CROQUIS!$C$159)+IF(CROQUIS!$C$92="X",0.8,0)),-1000)</f>
        <v>-1000</v>
      </c>
      <c r="BW11">
        <f>IF(AND(CROQUIS!$C$88=1,CROQUIS!$C$91=0,CROQUIS!$C$141&gt;0,OR(CROQUIS!$C$105=1,CROQUIS!$C$146=1)),((CROQUIS!$C$161+(IF(CROQUIS!$C$92="X",CHOOSE(IF(INT(($A11-1)/5)&gt;MAX((MAX(1,INT(((CROQUIS!$C$97)-CROQUIS!$C$107)/MAX((CROQUIS!$C$141*MAX(1,CEILING((INT(((CROQUIS!$C$97)-CROQUIS!$C$107)/MAX(CROQUIS!$C$141,1))+1)/80,1))),1))+1))-1,0),0,MOD($A11-1,5))+1,0,IF(CROQUIS!$C$105=1,-12,2),CROQUIS!$C$107/2+CROQUIS!$C$144,IF(CROQUIS!$C$105=1,-12,2),0),((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ROQUIS!$C$159)+IF(CROQUIS!$C$92="X",0,0.8)),-1000)</f>
        <v>-1000</v>
      </c>
      <c r="BX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HOOSE(IF(INT(($A11-1)/5)&gt;MAX((MAX(1,INT(((CROQUIS!$C$97)-CROQUIS!$C$107)/MAX((CROQUIS!$C$141*MAX(1,CEILING((INT(((CROQUIS!$C$97)-CROQUIS!$C$107)/MAX(CROQUIS!$C$141,1))+1)/80,1))),1))+1))-1,0),0,MOD($A11-1,5))+1,CROQUIS!$C$98,CROQUIS!$C$98-CROQUIS!$C$107/2-CROQUIS!$C$144,IF(CROQUIS!$C$106=1,CROQUIS!$C$98+12,CROQUIS!$C$98-2),CROQUIS!$C$98-CROQUIS!$C$107/2-CROQUIS!$C$144,CROQUIS!$C$98)))*CROQUIS!$C$159)+IF(CROQUIS!$C$92="X",0.8,0)),-1000)</f>
        <v>-1000</v>
      </c>
      <c r="BY11">
        <f>IF(AND(CROQUIS!$C$88=1,CROQUIS!$C$91=0,CROQUIS!$C$141&gt;0,OR(CROQUIS!$C$106=1,CROQUIS!$C$146=1)),((CROQUIS!$C$161+(IF(CROQUIS!$C$92="X",CHOOSE(IF(INT(($A11-1)/5)&gt;MAX((MAX(1,INT(((CROQUIS!$C$97)-CROQUIS!$C$107)/MAX((CROQUIS!$C$141*MAX(1,CEILING((INT(((CROQUIS!$C$97)-CROQUIS!$C$107)/MAX(CROQUIS!$C$141,1))+1)/80,1))),1))+1))-1,0),0,MOD($A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ROQUIS!$C$159)+IF(CROQUIS!$C$92="X",0,0.8)),-1000)</f>
        <v>-1000</v>
      </c>
      <c r="BZ11">
        <f>IF(AND(CROQUIS!$C$88=1,CROQUIS!$C$91=1,CROQUIS!$C$133&gt;0),((CROQUIS!$C$160+(IF(CROQUIS!$C$92="X",CHOOSE(IF(INT(($A11-1)/5)&gt;MAX((MAX(1,INT(((CROQUIS!$C$98)-CROQUIS!$C$107)/MAX((CROQUIS!$C$133*MAX(1,CEILING((INT(((CROQUIS!$C$98)-CROQUIS!$C$107)/MAX(CROQUIS!$C$133,1))+1)/80,1))),1))+1))-1,0),0,MOD($A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CA11">
        <f>IF(AND(CROQUIS!$C$88=1,CROQUIS!$C$91=1,CROQUIS!$C$133&gt;0),((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1">
        <f>IF(AND(CROQUIS!$C$87=1),CHOOSE(MIN(MAX($A11,1),9),(50+(-CROQUIS!$C$116/2)*CROQUIS!$C$177),(50+(CROQUIS!$C$116/2)*CROQUIS!$C$177),(50+(CROQUIS!$C$116/2)*CROQUIS!$C$177),(50+(CROQUIS!$C$111/2)*CROQUIS!$C$177),(50+(CROQUIS!$C$111/2)*CROQUIS!$C$177),(50+(-CROQUIS!$C$111/2)*CROQUIS!$C$177),(50+(-CROQUIS!$C$111/2)*CROQUIS!$C$177),(50+(-CROQUIS!$C$116/2)*CROQUIS!$C$177),(50+(-CROQUIS!$C$116/2)*CROQUIS!$C$177)),-1000)</f>
        <v>54.7727272727273</v>
      </c>
      <c r="CC11">
        <f>IF(AND(CROQUIS!$C$87=1),CHOOSE(MIN(MAX($A11,1),9),(12+(CROQUIS!$C$108)*CROQUIS!$C$177),(12+(CROQUIS!$C$108)*CROQUIS!$C$177),(12+(CROQUIS!$C$117)*CROQUIS!$C$177),(12+(CROQUIS!$C$117)*CROQUIS!$C$177),(12+(0)*CROQUIS!$C$177),(12+(0)*CROQUIS!$C$177),(12+(CROQUIS!$C$117)*CROQUIS!$C$177),(12+(CROQUIS!$C$117)*CROQUIS!$C$177),(12+(CROQUIS!$C$108)*CROQUIS!$C$177)),-1000)</f>
        <v>30.1363636363636</v>
      </c>
      <c r="CD11">
        <f>IF(AND(CROQUIS!$C$87=1),CHOOSE(MIN(MAX($A11,1),5),(50+(-CROQUIS!$C$116/2)*CROQUIS!$C$177),(50+(-CROQUIS!$C$111/2)*CROQUIS!$C$177),(50+(-CROQUIS!$C$111/2)*CROQUIS!$C$177),(50+(-CROQUIS!$C$116/2)*CROQUIS!$C$177),(50+(-CROQUIS!$C$116/2)*CROQUIS!$C$177)),-1000)</f>
        <v>16.5909090909091</v>
      </c>
      <c r="CE11">
        <f>IF(AND(CROQUIS!$C$87=1),CHOOSE(MIN(MAX($A11,1),5),(12+(0)*CROQUIS!$C$177),(12+(0)*CROQUIS!$C$177),(12+(CROQUIS!$C$117)*CROQUIS!$C$177),(12+(CROQUIS!$C$117)*CROQUIS!$C$177),(12+(0)*CROQUIS!$C$177)),-1000)</f>
        <v>30.1363636363636</v>
      </c>
      <c r="CF11">
        <f>IF(AND(CROQUIS!$C$87=1),CHOOSE(MIN(MAX($A11,1),5),(50+(CROQUIS!$C$111/2)*CROQUIS!$C$177),(50+(CROQUIS!$C$116/2)*CROQUIS!$C$177),(50+(CROQUIS!$C$116/2)*CROQUIS!$C$177),(50+(CROQUIS!$C$111/2)*CROQUIS!$C$177),(50+(CROQUIS!$C$111/2)*CROQUIS!$C$177)),-1000)</f>
        <v>54.7727272727273</v>
      </c>
      <c r="CG11">
        <f>IF(AND(CROQUIS!$C$87=1),CHOOSE(MIN(MAX($A11,1),5),(12+(0)*CROQUIS!$C$177),(12+(0)*CROQUIS!$C$177),(12+(CROQUIS!$C$117)*CROQUIS!$C$177),(12+(CROQUIS!$C$117)*CROQUIS!$C$177),(12+(0)*CROQUIS!$C$177)),-1000)</f>
        <v>30.1363636363636</v>
      </c>
      <c r="CJ11">
        <f>IF(AND(CROQUIS!$C$87=1,CROQUIS!$C$129&gt;=1),(50+(((1-(CROQUIS!$C$129+1)/2)*(MAX(CROQUIS!$C$121,CROQUIS!$C$128)+CROQUIS!$C$128))+CROQUIS!$C$128/2*COS(2*PI()*(MIN($A11,13)-1)/12))*CROQUIS!$C$177),-1000)</f>
        <v>50</v>
      </c>
      <c r="CK11">
        <f>IF(AND(CROQUIS!$C$87=1,CROQUIS!$C$129&gt;=1),(12+((CROQUIS!$C$109+CROQUIS!$C$128/2)+CROQUIS!$C$128/2*SIN(2*PI()*(MIN($A11,13)-1)/12))*CROQUIS!$C$177),-1000)</f>
        <v>15.1213636363636</v>
      </c>
      <c r="CL11">
        <f>IF(AND(CROQUIS!$C$87=1,CROQUIS!$C$129&gt;=2),(50+(((2-(CROQUIS!$C$129+1)/2)*(MAX(CROQUIS!$C$121,CROQUIS!$C$128)+CROQUIS!$C$128))+CROQUIS!$C$128/2*COS(2*PI()*(MIN($A11,13)-1)/12))*CROQUIS!$C$177),-1000)</f>
        <v>-1000</v>
      </c>
      <c r="CM11">
        <f>IF(AND(CROQUIS!$C$87=1,CROQUIS!$C$129&gt;=2),(12+((CROQUIS!$C$109+CROQUIS!$C$128/2)+CROQUIS!$C$128/2*SIN(2*PI()*(MIN($A11,13)-1)/12))*CROQUIS!$C$177),-1000)</f>
        <v>-1000</v>
      </c>
      <c r="CN11">
        <f>IF(AND(CROQUIS!$C$87=1,CROQUIS!$C$129&gt;=3),(50+(((3-(CROQUIS!$C$129+1)/2)*(MAX(CROQUIS!$C$121,CROQUIS!$C$128)+CROQUIS!$C$128))+CROQUIS!$C$128/2*COS(2*PI()*(MIN($A11,13)-1)/12))*CROQUIS!$C$177),-1000)</f>
        <v>-1000</v>
      </c>
      <c r="CO11">
        <f>IF(AND(CROQUIS!$C$87=1,CROQUIS!$C$129&gt;=3),(12+((CROQUIS!$C$109+CROQUIS!$C$128/2)+CROQUIS!$C$128/2*SIN(2*PI()*(MIN($A11,13)-1)/12))*CROQUIS!$C$177),-1000)</f>
        <v>-1000</v>
      </c>
      <c r="CP11">
        <f>IF(AND(CROQUIS!$C$87=1,CROQUIS!$C$133&gt;=1),(50+(((1-(CROQUIS!$C$133+1)/2)*(MAX(CROQUIS!$C$121,CROQUIS!$C$132)+CROQUIS!$C$132))+CROQUIS!$C$132/2*COS(2*PI()*(MIN($A11,13)-1)/12))*CROQUIS!$C$177),-1000)</f>
        <v>50</v>
      </c>
      <c r="CQ11">
        <f>IF(AND(CROQUIS!$C$87=1,CROQUIS!$C$133&gt;=1),(12+((CROQUIS!$C$108-CROQUIS!$C$120-2*CROQUIS!$C$119-CROQUIS!$C$132/2)+CROQUIS!$C$132/2*SIN(2*PI()*(MIN($A11,13)-1)/12))*CROQUIS!$C$177),-1000)</f>
        <v>32.454</v>
      </c>
      <c r="CR11">
        <f>IF(AND(CROQUIS!$C$87=1,CROQUIS!$C$133&gt;=2),(50+(((2-(CROQUIS!$C$133+1)/2)*(MAX(CROQUIS!$C$121,CROQUIS!$C$132)+CROQUIS!$C$132))+CROQUIS!$C$132/2*COS(2*PI()*(MIN($A11,13)-1)/12))*CROQUIS!$C$177),-1000)</f>
        <v>-1000</v>
      </c>
      <c r="CS11">
        <f>IF(AND(CROQUIS!$C$87=1,CROQUIS!$C$133&gt;=2),(12+((CROQUIS!$C$108-CROQUIS!$C$120-2*CROQUIS!$C$119-CROQUIS!$C$132/2)+CROQUIS!$C$132/2*SIN(2*PI()*(MIN($A11,13)-1)/12))*CROQUIS!$C$177),-1000)</f>
        <v>-1000</v>
      </c>
      <c r="CT11">
        <f>IF(AND(CROQUIS!$C$87=1,CROQUIS!$C$133&gt;=3),(50+(((3-(CROQUIS!$C$133+1)/2)*(MAX(CROQUIS!$C$121,CROQUIS!$C$132)+CROQUIS!$C$132))+CROQUIS!$C$132/2*COS(2*PI()*(MIN($A11,13)-1)/12))*CROQUIS!$C$177),-1000)</f>
        <v>-1000</v>
      </c>
      <c r="CU11">
        <f>IF(AND(CROQUIS!$C$87=1,CROQUIS!$C$133&gt;=3),(12+((CROQUIS!$C$108-CROQUIS!$C$120-2*CROQUIS!$C$119-CROQUIS!$C$132/2)+CROQUIS!$C$132/2*SIN(2*PI()*(MIN($A11,13)-1)/12))*CROQUIS!$C$177),-1000)</f>
        <v>-1000</v>
      </c>
      <c r="CV11">
        <f>IF(AND(CROQUIS!$C$87=1),CHOOSE(MIN(MAX($A11,1),7),(50+(-CROQUIS!$C$111/2)*CROQUIS!$C$177),(50+(-CROQUIS!$C$111/2)*CROQUIS!$C$177),(50+(-CROQUIS!$C$111/2)*CROQUIS!$C$177),((50+(-CROQUIS!$C$111/2)*CROQUIS!$C$177)+(50+(CROQUIS!$C$111/2)*CROQUIS!$C$177))/2,(50+(CROQUIS!$C$111/2)*CROQUIS!$C$177),(50+(CROQUIS!$C$111/2)*CROQUIS!$C$177),(50+(CROQUIS!$C$111/2)*CROQUIS!$C$177)),-1000)</f>
        <v>50</v>
      </c>
      <c r="CW11">
        <f>IF(AND(CROQUIS!$C$87=1),CHOOSE(MIN(MAX($A11,1),7),(12+(-4)*CROQUIS!$C$177)-1.4,(12+(-4)*CROQUIS!$C$177)+1.4,(12+(-4)*CROQUIS!$C$177),(12+(-4)*CROQUIS!$C$177),(12+(-4)*CROQUIS!$C$177),(12+(-4)*CROQUIS!$C$177)+1.4,(12+(-4)*CROQUIS!$C$177)-1.4),-1000)</f>
        <v>8.18181818181818</v>
      </c>
      <c r="CX11">
        <f>IF(AND(CROQUIS!$C$87=1),CHOOSE(MIN(MAX($A11,1),7),(50+(-CROQUIS!$C$116/2)*CROQUIS!$C$177),(50+(-CROQUIS!$C$116/2)*CROQUIS!$C$177),(50+(-CROQUIS!$C$116/2)*CROQUIS!$C$177),((50+(-CROQUIS!$C$116/2)*CROQUIS!$C$177)+(50+(CROQUIS!$C$116/2)*CROQUIS!$C$177))/2,(50+(CROQUIS!$C$116/2)*CROQUIS!$C$177),(50+(CROQUIS!$C$116/2)*CROQUIS!$C$177),(50+(CROQUIS!$C$116/2)*CROQUIS!$C$177)),-1000)</f>
        <v>50</v>
      </c>
      <c r="CY11">
        <f>IF(AND(CROQUIS!$C$87=1),CHOOSE(MIN(MAX($A11,1),7),(12+(CROQUIS!$C$108+4)*CROQUIS!$C$177)-1.4,(12+(CROQUIS!$C$108+4)*CROQUIS!$C$177)+1.4,(12+(CROQUIS!$C$108+4)*CROQUIS!$C$177),(12+(CROQUIS!$C$108+4)*CROQUIS!$C$177),(12+(CROQUIS!$C$108+4)*CROQUIS!$C$177),(12+(CROQUIS!$C$108+4)*CROQUIS!$C$177)+1.4,(12+(CROQUIS!$C$108+4)*CROQUIS!$C$177)-1.4),-1000)</f>
        <v>39.6818181818182</v>
      </c>
      <c r="CZ11">
        <f>IF(AND(CROQUIS!$C$87=1),CHOOSE(MIN(MAX($A11,1),7),(50+(CROQUIS!$C$116/2+4)*CROQUIS!$C$177)-1.4,(50+(CROQUIS!$C$116/2+4)*CROQUIS!$C$177)+1.4,(50+(CROQUIS!$C$116/2+4)*CROQUIS!$C$177),(50+(CROQUIS!$C$116/2+4)*CROQUIS!$C$177),(50+(CROQUIS!$C$116/2+4)*CROQUIS!$C$177),(50+(CROQUIS!$C$116/2+4)*CROQUIS!$C$177)+1.4,(50+(CROQUIS!$C$116/2+4)*CROQUIS!$C$177)-1.4),-1000)</f>
        <v>87.2272727272727</v>
      </c>
      <c r="DA11">
        <f>IF(AND(CROQUIS!$C$87=1),CHOOSE(MIN(MAX($A11,1),7),(12+(0)*CROQUIS!$C$177),(12+(0)*CROQUIS!$C$177),(12+(0)*CROQUIS!$C$177),((12+(0)*CROQUIS!$C$177)+(12+(CROQUIS!$C$108)*CROQUIS!$C$177))/2,(12+(CROQUIS!$C$108)*CROQUIS!$C$177),(12+(CROQUIS!$C$108)*CROQUIS!$C$177),(12+(CROQUIS!$C$108)*CROQUIS!$C$177)),-1000)</f>
        <v>23.9318181818182</v>
      </c>
      <c r="DB11">
        <f>IF(AND(CROQUIS!$C$87=1),CHOOSE(MIN(MAX($A11,1),7),(50+(-CROQUIS!$C$116/2-4)*CROQUIS!$C$177)-1.4,(50+(-CROQUIS!$C$116/2-4)*CROQUIS!$C$177)+1.4,(50+(-CROQUIS!$C$116/2-4)*CROQUIS!$C$177),(50+(-CROQUIS!$C$116/2-4)*CROQUIS!$C$177),(50+(-CROQUIS!$C$116/2-4)*CROQUIS!$C$177),(50+(-CROQUIS!$C$116/2-4)*CROQUIS!$C$177)+1.4,(50+(-CROQUIS!$C$116/2-4)*CROQUIS!$C$177)-1.4),-1000)</f>
        <v>12.7727272727273</v>
      </c>
      <c r="DC11">
        <f>IF(AND(CROQUIS!$C$87=1),CHOOSE(MIN(MAX($A11,1),7),(12+(CROQUIS!$C$108-CROQUIS!$C$150)*CROQUIS!$C$177),(12+(CROQUIS!$C$108-CROQUIS!$C$150)*CROQUIS!$C$177),(12+(CROQUIS!$C$108-CROQUIS!$C$150)*CROQUIS!$C$177),((12+(CROQUIS!$C$108-CROQUIS!$C$150)*CROQUIS!$C$177)+(12+(CROQUIS!$C$108)*CROQUIS!$C$177))/2,(12+(CROQUIS!$C$108)*CROQUIS!$C$177),(12+(CROQUIS!$C$108)*CROQUIS!$C$177),(12+(CROQUIS!$C$108)*CROQUIS!$C$177)),-1000)</f>
        <v>25.1894318181818</v>
      </c>
      <c r="DD11">
        <f>IF(AND(CROQUIS!$C$88=1),CHOOSE(MIN(MAX($A11,1),5),(50+(-30)*CROQUIS!$C$178),(50+(30)*CROQUIS!$C$178),(50+(30)*CROQUIS!$C$178),(50+(-30)*CROQUIS!$C$178),(50+(-30)*CROQUIS!$C$178)),-1000)</f>
        <v>-1000</v>
      </c>
      <c r="DE11">
        <f>IF(AND(CROQUIS!$C$88=1),CHOOSE(MIN(MAX($A11,1),5),(12+(0)*CROQUIS!$C$178),(12+(0)*CROQUIS!$C$178),(12+(CROQUIS!$C$108)*CROQUIS!$C$178),(12+(CROQUIS!$C$108)*CROQUIS!$C$178),(12+(0)*CROQUIS!$C$178)),-1000)</f>
        <v>-1000</v>
      </c>
      <c r="DH11">
        <f>IF(AND(CROQUIS!$C$88=1,CROQUIS!$C$137&gt;0),(50+((-(MIN(12,INT(58/MAX(CROQUIS!$C$137,1))+1)-1)*CROQUIS!$C$137/2+(MIN($A11,MIN(12,INT(58/MAX(CROQUIS!$C$137,1))+1))-1)*CROQUIS!$C$137))*CROQUIS!$C$178),-1000)</f>
        <v>-1000</v>
      </c>
      <c r="DI11">
        <f>IF(AND(CROQUIS!$C$88=1,CROQUIS!$C$137&gt;0),(12+((CROQUIS!$C$109+CROQUIS!$C$128+CROQUIS!$C$136/2))*CROQUIS!$C$178),-1000)</f>
        <v>-1000</v>
      </c>
      <c r="DJ11">
        <f>IF(AND(CROQUIS!$C$88=1,CROQUIS!$C$141&gt;0),(50+((-(MIN(12,INT(58/MAX(CROQUIS!$C$141,1))+1)-1)*CROQUIS!$C$141/2+(MIN($A11,MIN(12,INT(58/MAX(CROQUIS!$C$141,1))+1))-1)*CROQUIS!$C$141))*CROQUIS!$C$178),-1000)</f>
        <v>-1000</v>
      </c>
      <c r="DK11">
        <f>IF(AND(CROQUIS!$C$88=1,CROQUIS!$C$141&gt;0),(12+((CROQUIS!$C$108-CROQUIS!$C$110-CROQUIS!$C$132-CROQUIS!$C$140/2))*CROQUIS!$C$178),-1000)</f>
        <v>-1000</v>
      </c>
      <c r="DN11">
        <f>IF(AND(CROQUIS!$C$88=1),CHOOSE(MIN(MAX($A11,1),7),(50+(33)*CROQUIS!$C$178)-1.4,(50+(33)*CROQUIS!$C$178)+1.4,(50+(33)*CROQUIS!$C$178),(50+(33)*CROQUIS!$C$178),(50+(33)*CROQUIS!$C$178),(50+(33)*CROQUIS!$C$178)+1.4,(50+(33)*CROQUIS!$C$178)-1.4),-1000)</f>
        <v>-1000</v>
      </c>
      <c r="DO11">
        <f>IF(AND(CROQUIS!$C$88=1),CHOOSE(MIN(MAX($A11,1),7),(12+(0)*CROQUIS!$C$178),(12+(0)*CROQUIS!$C$178),(12+(0)*CROQUIS!$C$178),((12+(0)*CROQUIS!$C$178)+(12+(CROQUIS!$C$108)*CROQUIS!$C$178))/2,(12+(CROQUIS!$C$108)*CROQUIS!$C$178),(12+(CROQUIS!$C$108)*CROQUIS!$C$178),(12+(CROQUIS!$C$108)*CROQUIS!$C$178)),-1000)</f>
        <v>-1000</v>
      </c>
      <c r="DP11">
        <f>IF(AND(CROQUIS!$C$88=1),CHOOSE(MIN(MAX($A11,1),7),(50+(-33)*CROQUIS!$C$178)-0.8,(50+(-33)*CROQUIS!$C$178)+0.8,(50+(-33)*CROQUIS!$C$178),(50+(-33)*CROQUIS!$C$178),(50+(-33)*CROQUIS!$C$178),(50+(-33)*CROQUIS!$C$178)+0.8,(50+(-33)*CROQUIS!$C$178)-0.8),-1000)</f>
        <v>-1000</v>
      </c>
      <c r="DQ11">
        <f>IF(AND(CROQUIS!$C$88=1),CHOOSE(MIN(MAX($A11,1),7),(12+(0)*CROQUIS!$C$178),(12+(0)*CROQUIS!$C$178),(12+(0)*CROQUIS!$C$178),((12+(0)*CROQUIS!$C$178)+(12+(CROQUIS!$C$109)*CROQUIS!$C$178))/2,(12+(CROQUIS!$C$109)*CROQUIS!$C$178),(12+(CROQUIS!$C$109)*CROQUIS!$C$178),(12+(CROQUIS!$C$109)*CROQUIS!$C$178)),-1000)</f>
        <v>-1000</v>
      </c>
      <c r="DR11">
        <f>IF(AND(CROQUIS!$C$88=1),CHOOSE(MIN(MAX($A11,1),7),(50+(-33)*CROQUIS!$C$178)-0.8,(50+(-33)*CROQUIS!$C$178)+0.8,(50+(-33)*CROQUIS!$C$178),(50+(-33)*CROQUIS!$C$178),(50+(-33)*CROQUIS!$C$178),(50+(-33)*CROQUIS!$C$178)+0.8,(50+(-33)*CROQUIS!$C$178)-0.8),-1000)</f>
        <v>-1000</v>
      </c>
      <c r="DS11">
        <f>IF(AND(CROQUIS!$C$88=1),CHOOSE(MIN(MAX($A11,1),7),(12+(CROQUIS!$C$108-CROQUIS!$C$110)*CROQUIS!$C$178),(12+(CROQUIS!$C$108-CROQUIS!$C$110)*CROQUIS!$C$178),(12+(CROQUIS!$C$108-CROQUIS!$C$110)*CROQUIS!$C$178),((12+(CROQUIS!$C$108-CROQUIS!$C$110)*CROQUIS!$C$178)+(12+(CROQUIS!$C$108)*CROQUIS!$C$178))/2,(12+(CROQUIS!$C$108)*CROQUIS!$C$178),(12+(CROQUIS!$C$108)*CROQUIS!$C$178),(12+(CROQUIS!$C$108)*CROQUIS!$C$178)),-1000)</f>
        <v>-1000</v>
      </c>
      <c r="DT11">
        <f>IF(AND(CROQUIS!$C$88=1,MIN(12,INT(58/MAX(CROQUIS!$C$137,1))+1)&gt;=2),CHOOSE(MIN(MAX($A11,1)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11">
        <f>IF(AND(CROQUIS!$C$88=1,MIN(12,INT(58/MAX(CROQUIS!$C$137,1))+1)&gt;=2),CHOOSE(MIN(MAX($A11,1),7),(12+(-4)*CROQUIS!$C$178)-1.4,(12+(-4)*CROQUIS!$C$178)+1.4,(12+(-4)*CROQUIS!$C$178),(12+(-4)*CROQUIS!$C$178),(12+(-4)*CROQUIS!$C$178),(12+(-4)*CROQUIS!$C$178)+1.4,(12+(-4)*CROQUIS!$C$178)-1.4),-1000)</f>
        <v>-1000</v>
      </c>
      <c r="DV11">
        <f>IF(AND(CROQUIS!$C$87=1),CHOOSE(MIN(MAX($A11,1)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DW11">
        <f>IF(AND(CROQUIS!$C$87=1),CHOOSE(MIN(MAX($A11,1),5),(30+(0)*CROQUIS!$C$175*CROQUIS!$C$176),(30+(0)*CROQUIS!$C$175*CROQUIS!$C$176),(30+(CROQUIS!$C$108)*CROQUIS!$C$175*CROQUIS!$C$176),(30+(CROQUIS!$C$108)*CROQUIS!$C$175*CROQUIS!$C$176),(30+(0)*CROQUIS!$C$175*CROQUIS!$C$176)),-1000)</f>
        <v>44.5263157894737</v>
      </c>
      <c r="DX11">
        <f>IF(AND(CROQUIS!$C$87=1),CHOOSE(MIN(MAX($A11,1)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DY11">
        <f>IF(AND(CROQUIS!$C$87=1),CHOOSE(MIN(MAX($A11,1),10),30,30,20,20,30,IF(CROQUIS!$C$91=1,30,30),IF(CROQUIS!$C$91=1,30,30),IF(CROQUIS!$C$91=1,30,20),IF(CROQUIS!$C$91=1,30,20),IF(CROQUIS!$C$91=1,30,30)),-1000)</f>
        <v>20</v>
      </c>
      <c r="DZ11">
        <f>IF(AND(CROQUIS!$C$87=1,CROQUIS!$C$153=1),CHOOSE(MIN(MAX($A11,1),5),(4+((-CROQUIS!$C$149-CROQUIS!$C$107/2)-CROQUIS!$C$173)*CROQUIS!$C$175),(4+((-CROQUIS!$C$149+CROQUIS!$C$107/2)-CROQUIS!$C$173)*CROQUIS!$C$175),(4+((-CROQUIS!$C$149+CROQUIS!$C$107/2)-CROQUIS!$C$173)*CROQUIS!$C$175),(4+((-CROQUIS!$C$149-CROQUIS!$C$107/2)-CROQUIS!$C$173)*CROQUIS!$C$175),(4+((-CROQUIS!$C$149-CROQUIS!$C$107/2)-CROQUIS!$C$173)*CROQUIS!$C$175)),-1000)</f>
        <v>-1000</v>
      </c>
      <c r="EA11">
        <f>IF(AND(CROQUIS!$C$87=1,CROQUIS!$C$153=1),CHOOSE(MIN(MAX($A11,1),5),30,30,20,20,30),-1000)</f>
        <v>-1000</v>
      </c>
      <c r="EB11">
        <f>IF(AND(CROQUIS!$C$87=1),CHOOSE(MIN(MAX($A11,1)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C11">
        <f>IF(AND(CROQUIS!$C$87=1),CHOOSE(MIN(MAX($A11,1)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11">
        <f>IF(AND(CROQUIS!$C$87=1,CROQUIS!$C$133&gt;0),CHOOSE(MIN(MAX($A11,1)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E11">
        <f>IF(AND(CROQUIS!$C$87=1,CROQUIS!$C$133&gt;0),CHOOSE(MIN(MAX($A11,1)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F11">
        <f>IF(AND(CROQUIS!$C$87=1,CROQUIS!$C$91=0,CROQUIS!$C$133&gt;=2,OR(CROQUIS!$C$103=1,CROQUIS!$C$145=1)),CHOOSE(MIN(MAX($A11,1)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G11">
        <f>IF(AND(CROQUIS!$C$87=1,CROQUIS!$C$91=0,CROQUIS!$C$133&gt;=2,OR(CROQUIS!$C$103=1,CROQUIS!$C$145=1)),CHOOSE(MIN(MAX($A11,1)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H11">
        <f>IF(AND(CROQUIS!$C$87=1,CROQUIS!$C$91=0,CROQUIS!$C$133&gt;=2,OR(CROQUIS!$C$104=1,CROQUIS!$C$145=1)),CHOOSE(MIN(MAX($A11,1)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I11">
        <f>IF(AND(CROQUIS!$C$87=1,CROQUIS!$C$91=0,CROQUIS!$C$133&gt;=2,OR(CROQUIS!$C$104=1,CROQUIS!$C$145=1)),CHOOSE(MIN(MAX($A11,1)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L11">
        <f>IF(AND(CROQUIS!$C$87=1,CROQUIS!$C$166&gt;0),CHOOSE(MIN(MAX($A11,1)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EM11">
        <f>IF(AND(CROQUIS!$C$87=1,CROQUIS!$C$166&gt;0),CHOOSE(MIN(MAX($A11,1),5),(30+(0)*CROQUIS!$C$175*CROQUIS!$C$176),(30+(0)*CROQUIS!$C$175*CROQUIS!$C$176),(30+(CROQUIS!$C$117)*CROQUIS!$C$175*CROQUIS!$C$176),(30+(CROQUIS!$C$117)*CROQUIS!$C$175*CROQUIS!$C$176),(30+(0)*CROQUIS!$C$175*CROQUIS!$C$176)),-1000)</f>
        <v>41.04</v>
      </c>
      <c r="EN11">
        <f>IF(AND(CROQUIS!$C$87=1,CROQUIS!$C$166&gt;0),CHOOSE(MIN(MAX($A11,1)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82.9263157894737</v>
      </c>
      <c r="EO11">
        <f>IF(AND(CROQUIS!$C$87=1,CROQUIS!$C$166&gt;0),CHOOSE(MIN(MAX($A11,1),4),(30+(0)*CROQUIS!$C$175*CROQUIS!$C$176),(30+(CROQUIS!$C$108)*CROQUIS!$C$175*CROQUIS!$C$176),(30+(CROQUIS!$C$108)*CROQUIS!$C$175*CROQUIS!$C$176),(30+(0)*CROQUIS!$C$175*CROQUIS!$C$176)),-1000)</f>
        <v>30</v>
      </c>
      <c r="EP11">
        <f>IF(AND(CROQUIS!$C$87=1),CHOOSE(MIN(MAX($A11,1),7),(4+((0)-CROQUIS!$C$173)*CROQUIS!$C$175),(4+((0)-CROQUIS!$C$173)*CROQUIS!$C$175),(4+((0)-CROQUIS!$C$173)*CROQUIS!$C$175),((4+((0)-CROQUIS!$C$173)*CROQUIS!$C$175)+(4+((CROQUIS!$C$97)-CROQUIS!$C$173)*CROQUIS!$C$175))/2,(4+((CROQUIS!$C$97)-CROQUIS!$C$173)*CROQUIS!$C$175),(4+((CROQUIS!$C$97)-CROQUIS!$C$173)*CROQUIS!$C$175),(4+((CROQUIS!$C$97)-CROQUIS!$C$173)*CROQUIS!$C$175)),-1000)</f>
        <v>50</v>
      </c>
      <c r="EQ11">
        <f>IF(AND(CROQUIS!$C$87=1),CHOOSE(MIN(MAX($A11,1),7),15-1.4,15+1.4,15,15,15,15+1.4,15-1.4),-1000)</f>
        <v>15</v>
      </c>
      <c r="ER11">
        <f>IF(AND(CROQUIS!$C$87=1,OR(CROQUIS!$C$91=1,AND(CROQUIS!$C$133&gt;=2,OR(CROQUIS!$C$103=1,CROQUIS!$C$145=1)))),CHOOSE(MIN(MAX($A11,1)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11">
        <f>IF(AND(CROQUIS!$C$87=1,OR(CROQUIS!$C$91=1,AND(CROQUIS!$C$133&gt;=2,OR(CROQUIS!$C$103=1,CROQUIS!$C$145=1)))),CHOOSE(MIN(MAX($A11,1)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T11">
        <f>IF(AND(CROQUIS!$C$87=1,CROQUIS!$C$91=1,CROQUIS!$C$151&gt;0),CHOOSE(MIN(MAX($A11,1),5),(4+((CROQUIS!$C$97)-CROQUIS!$C$173)*CROQUIS!$C$175),(4+((CROQUIS!$C$97)-CROQUIS!$C$173)*CROQUIS!$C$175),(4+((CROQUIS!$C$97)-CROQUIS!$C$173)*CROQUIS!$C$175)-1.2,(4+((CROQUIS!$C$97)-CROQUIS!$C$173)*CROQUIS!$C$175),(4+((CROQUIS!$C$97)-CROQUIS!$C$173)*CROQUIS!$C$175)+1.2),-1000)</f>
        <v>-1000</v>
      </c>
      <c r="EU11">
        <f>IF(AND(CROQUIS!$C$87=1,CROQUIS!$C$91=1,CROQUIS!$C$151&gt;0),CHOOSE(MIN(MAX($A11,1),5),(30+(CROQUIS!$C$108)*CROQUIS!$C$175*CROQUIS!$C$176)+13,(30+(CROQUIS!$C$108)*CROQUIS!$C$175*CROQUIS!$C$176)+1,(30+(CROQUIS!$C$108)*CROQUIS!$C$175*CROQUIS!$C$176)+4,(30+(CROQUIS!$C$108)*CROQUIS!$C$175*CROQUIS!$C$176)+1,(30+(CROQUIS!$C$108)*CROQUIS!$C$175*CROQUIS!$C$176)+4),-1000)</f>
        <v>-1000</v>
      </c>
      <c r="EV11">
        <f>IF(AND(CROQUIS!$C$88=1),CHOOSE(MIN(MAX($A11,1)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EW11">
        <f>IF(AND(CROQUIS!$C$88=1),CHOOSE(MIN(MAX($A11,1),5),(30+(0)*CROQUIS!$C$175*CROQUIS!$C$176),(30+(0)*CROQUIS!$C$175*CROQUIS!$C$176),(30+(CROQUIS!$C$108)*CROQUIS!$C$175*CROQUIS!$C$176),(30+(CROQUIS!$C$108)*CROQUIS!$C$175*CROQUIS!$C$176),(30+(0)*CROQUIS!$C$175*CROQUIS!$C$176)),-1000)</f>
        <v>-1000</v>
      </c>
      <c r="EX11">
        <f>IF(AND(CROQUIS!$C$88=1),CHOOSE(MIN(MAX($A11,1)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1">
        <f>IF(AND(CROQUIS!$C$88=1),CHOOSE(MIN(MAX($A11,1),10),30,30,20,20,30,IF(CROQUIS!$C$91=1,30,30),IF(CROQUIS!$C$91=1,30,30),IF(CROQUIS!$C$91=1,30,20),IF(CROQUIS!$C$91=1,30,20),IF(CROQUIS!$C$91=1,30,30)),-1000)</f>
        <v>-1000</v>
      </c>
      <c r="EZ11">
        <f>IF(AND(CROQUIS!$C$88=1,CROQUIS!$C$153=1),CHOOSE(MIN(MAX($A11,1),5),(4+((-CROQUIS!$C$149-CROQUIS!$C$107/2)-CROQUIS!$C$173)*CROQUIS!$C$175),(4+((-CROQUIS!$C$149+CROQUIS!$C$107/2)-CROQUIS!$C$173)*CROQUIS!$C$175),(4+((-CROQUIS!$C$149+CROQUIS!$C$107/2)-CROQUIS!$C$173)*CROQUIS!$C$175),(4+((-CROQUIS!$C$149-CROQUIS!$C$107/2)-CROQUIS!$C$173)*CROQUIS!$C$175),(4+((-CROQUIS!$C$149-CROQUIS!$C$107/2)-CROQUIS!$C$173)*CROQUIS!$C$175)),-1000)</f>
        <v>-1000</v>
      </c>
      <c r="FA11">
        <f>IF(AND(CROQUIS!$C$88=1,CROQUIS!$C$153=1),CHOOSE(MIN(MAX($A11,1),5),30,30,20,20,30),-1000)</f>
        <v>-1000</v>
      </c>
      <c r="FB11">
        <f>IF(AND(CROQUIS!$C$88=1),CHOOSE(MIN(MAX($A11,1)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11">
        <f>IF(AND(CROQUIS!$C$88=1),CHOOSE(MIN(MAX($A11,1)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11">
        <f>IF(AND(CROQUIS!$C$88=1,CROQUIS!$C$91=1,CROQUIS!$C$133&gt;0),CHOOSE(MIN(MAX($A11,1)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11">
        <f>IF(AND(CROQUIS!$C$88=1,CROQUIS!$C$91=1,CROQUIS!$C$133&gt;0),CHOOSE(MIN(MAX($A11,1)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F11">
        <f>IF(AND(CROQUIS!$C$88=1,CROQUIS!$C$91=0,CROQUIS!$C$133&gt;0,OR(CROQUIS!$C$103=1,CROQUIS!$C$145=1)),CHOOSE(MIN(MAX($A11,1)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G11">
        <f>IF(AND(CROQUIS!$C$88=1,CROQUIS!$C$91=0,CROQUIS!$C$133&gt;0,OR(CROQUIS!$C$103=1,CROQUIS!$C$145=1)),CHOOSE(MIN(MAX($A11,1)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H11">
        <f>IF(AND(CROQUIS!$C$88=1,CROQUIS!$C$91=0,CROQUIS!$C$133&gt;0,OR(CROQUIS!$C$104=1,CROQUIS!$C$145=1)),CHOOSE(MIN(MAX($A11,1)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I11">
        <f>IF(AND(CROQUIS!$C$88=1,CROQUIS!$C$91=0,CROQUIS!$C$133&gt;0,OR(CROQUIS!$C$104=1,CROQUIS!$C$145=1)),CHOOSE(MIN(MAX($A11,1)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J11">
        <f>IF(AND(CROQUIS!$C$88=1),CHOOSE(MIN(MAX($A11,1),7),(4+((0)-CROQUIS!$C$173)*CROQUIS!$C$175),(4+((0)-CROQUIS!$C$173)*CROQUIS!$C$175),(4+((0)-CROQUIS!$C$173)*CROQUIS!$C$175),((4+((0)-CROQUIS!$C$173)*CROQUIS!$C$175)+(4+((CROQUIS!$C$97)-CROQUIS!$C$173)*CROQUIS!$C$175))/2,(4+((CROQUIS!$C$97)-CROQUIS!$C$173)*CROQUIS!$C$175),(4+((CROQUIS!$C$97)-CROQUIS!$C$173)*CROQUIS!$C$175),(4+((CROQUIS!$C$97)-CROQUIS!$C$173)*CROQUIS!$C$175)),-1000)</f>
        <v>-1000</v>
      </c>
      <c r="FK11">
        <f>IF(AND(CROQUIS!$C$88=1),CHOOSE(MIN(MAX($A11,1),7),15-1.4,15+1.4,15,15,15,15+1.4,15-1.4),-1000)</f>
        <v>-1000</v>
      </c>
      <c r="FL11">
        <f>IF(AND(CROQUIS!$C$88=1,OR(CROQUIS!$C$91=1,AND(CROQUIS!$C$133&gt;0,OR(CROQUIS!$C$103=1,CROQUIS!$C$145=1)))),CHOOSE(MIN(MAX($A11,1)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11">
        <f>IF(AND(CROQUIS!$C$88=1,OR(CROQUIS!$C$91=1,AND(CROQUIS!$C$133&gt;0,OR(CROQUIS!$C$103=1,CROQUIS!$C$145=1)))),CHOOSE(MIN(MAX($A11,1)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11">
        <f>IF(AND(CROQUIS!$C$88=1,CROQUIS!$C$91=1,CROQUIS!$C$151&gt;0),CHOOSE(MIN(MAX($A11,1),5),(4+((CROQUIS!$C$97)-CROQUIS!$C$173)*CROQUIS!$C$175),(4+((CROQUIS!$C$97)-CROQUIS!$C$173)*CROQUIS!$C$175),(4+((CROQUIS!$C$97)-CROQUIS!$C$173)*CROQUIS!$C$175)-1.2,(4+((CROQUIS!$C$97)-CROQUIS!$C$173)*CROQUIS!$C$175),(4+((CROQUIS!$C$97)-CROQUIS!$C$173)*CROQUIS!$C$175)+1.2),-1000)</f>
        <v>-1000</v>
      </c>
      <c r="FO11">
        <f>IF(AND(CROQUIS!$C$88=1,CROQUIS!$C$91=1,CROQUIS!$C$151&gt;0),CHOOSE(MIN(MAX($A11,1),5),(30+(CROQUIS!$C$108)*CROQUIS!$C$175*CROQUIS!$C$176)+13,(30+(CROQUIS!$C$108)*CROQUIS!$C$175*CROQUIS!$C$176)+1,(30+(CROQUIS!$C$108)*CROQUIS!$C$175*CROQUIS!$C$176)+4,(30+(CROQUIS!$C$108)*CROQUIS!$C$175*CROQUIS!$C$176)+1,(30+(CROQUIS!$C$108)*CROQUIS!$C$175*CROQUIS!$C$176)+4),-1000)</f>
        <v>-1000</v>
      </c>
    </row>
    <row r="12">
      <c r="A12" t="n">
        <v>5</v>
      </c>
      <c r="B12">
        <f>IF(AND(CROQUIS!$C$87=1),CHOOSE(MIN(MAX($A12,1),5),(CROQUIS!$C$160+(0)*CROQUIS!$C$159),(CROQUIS!$C$160+(CROQUIS!$C$95)*CROQUIS!$C$159),(CROQUIS!$C$160+(CROQUIS!$C$95)*CROQUIS!$C$159),(CROQUIS!$C$160+(0)*CROQUIS!$C$159),(CROQUIS!$C$160+(0)*CROQUIS!$C$159)),-1000)</f>
        <v>12</v>
      </c>
      <c r="C12">
        <f>IF(AND(CROQUIS!$C$87=1),CHOOSE(MIN(MAX($A12,1),5),(CROQUIS!$C$161+(0)*CROQUIS!$C$159),(CROQUIS!$C$161+(0)*CROQUIS!$C$159),(CROQUIS!$C$161+(CROQUIS!$C$96)*CROQUIS!$C$159),(CROQUIS!$C$161+(CROQUIS!$C$96)*CROQUIS!$C$159),(CROQUIS!$C$161+(0)*CROQUIS!$C$159)),-1000)</f>
        <v>15.6574785359241</v>
      </c>
      <c r="D12">
        <f>IF(AND(CROQUIS!$C$87=1),CHOOSE(MIN(MAX($A12,1)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E12">
        <f>IF(AND(CROQUIS!$C$87=1),CHOOSE(MIN(MAX($A12,1)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F12">
        <f>IF(AND(CROQUIS!$C$87=1,CROQUIS!$C$91=1),((CROQUIS!$C$160+(IF(CROQUIS!$C$92="X",IF(CROQUIS!$C$94=1,0,CROQUIS!$C$97)+IF(MOD($A12,2)=1,-CROQUIS!$C$107/2,CROQUIS!$C$107/2),(MIN($A12,41)-1)/40*CROQUIS!$C$98))*CROQUIS!$C$159)+IF(CROQUIS!$C$92="X",0,0)),-1000)</f>
        <v>-1000</v>
      </c>
      <c r="G12">
        <f>IF(AND(CROQUIS!$C$87=1,CROQUIS!$C$91=1),((CROQUIS!$C$161+(IF(CROQUIS!$C$92="X",(MIN($A12,41)-1)/40*CROQUIS!$C$98,IF(CROQUIS!$C$94=1,0,CROQUIS!$C$97)+IF(MOD($A12,2)=1,-CROQUIS!$C$107/2,CROQUIS!$C$107/2)))*CROQUIS!$C$159)+IF(CROQUIS!$C$92="X",0,0)),-1000)</f>
        <v>-1000</v>
      </c>
      <c r="H12">
        <f>IF(AND(CROQUIS!$C$87=1,CROQUIS!$C$91=1),CHOOSE(MIN(MAX($A12,1)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I12">
        <f>IF(AND(CROQUIS!$C$87=1,CROQUIS!$C$91=1),CHOOSE(MIN(MAX($A12,1)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J12">
        <f>IF(AND(CROQUIS!$C$87=1,CROQUIS!$C$153=1),CHOOSE(MIN(MAX($A12,1)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K12">
        <f>IF(AND(CROQUIS!$C$87=1,CROQUIS!$C$153=1),CHOOSE(MIN(MAX($A12,1)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N12">
        <f>IF(AND(CROQUIS!$C$87=1),CHOOSE(MIN(MAX($A12,1),7),(CROQUIS!$C$160+(0)*CROQUIS!$C$159),(CROQUIS!$C$160+(0)*CROQUIS!$C$159),(CROQUIS!$C$160+(0)*CROQUIS!$C$159),((CROQUIS!$C$160+(0)*CROQUIS!$C$159)+(CROQUIS!$C$160+(CROQUIS!$C$95)*CROQUIS!$C$159))/2,(CROQUIS!$C$160+(CROQUIS!$C$95)*CROQUIS!$C$159),(CROQUIS!$C$160+(CROQUIS!$C$95)*CROQUIS!$C$159),(CROQUIS!$C$160+(CROQUIS!$C$95)*CROQUIS!$C$159)),-1000)</f>
        <v>88</v>
      </c>
      <c r="O12">
        <f>IF(AND(CROQUIS!$C$87=1),CHOOSE(MIN(MAX($A12,1),7),((CROQUIS!$C$161+(CROQUIS!$C$157)*CROQUIS!$C$159)-5)-1.4,((CROQUIS!$C$161+(CROQUIS!$C$157)*CROQUIS!$C$159)-5)+1.4,((CROQUIS!$C$161+(CROQUIS!$C$157)*CROQUIS!$C$159)-5),((CROQUIS!$C$161+(CROQUIS!$C$157)*CROQUIS!$C$159)-5),((CROQUIS!$C$161+(CROQUIS!$C$157)*CROQUIS!$C$159)-5),((CROQUIS!$C$161+(CROQUIS!$C$157)*CROQUIS!$C$159)-5)+1.4,((CROQUIS!$C$161+(CROQUIS!$C$157)*CROQUIS!$C$159)-5)-1.4),-1000)</f>
        <v>10.6574785359241</v>
      </c>
      <c r="P12">
        <f>IF(AND(CROQUIS!$C$87=1),CHOOSE(MIN(MAX($A12,1),7),((CROQUIS!$C$160+(CROQUIS!$C$155)*CROQUIS!$C$159)-5)-1.4,((CROQUIS!$C$160+(CROQUIS!$C$155)*CROQUIS!$C$159)-5)+1.4,((CROQUIS!$C$160+(CROQUIS!$C$155)*CROQUIS!$C$159)-5),((CROQUIS!$C$160+(CROQUIS!$C$155)*CROQUIS!$C$159)-5),((CROQUIS!$C$160+(CROQUIS!$C$155)*CROQUIS!$C$159)-5),((CROQUIS!$C$160+(CROQUIS!$C$155)*CROQUIS!$C$159)-5)+1.4,((CROQUIS!$C$160+(CROQUIS!$C$155)*CROQUIS!$C$159)-5)-1.4),-1000)</f>
        <v>7</v>
      </c>
      <c r="Q12">
        <f>IF(AND(CROQUIS!$C$87=1),CHOOSE(MIN(MAX($A12,1),7),(CROQUIS!$C$161+(0)*CROQUIS!$C$159),(CROQUIS!$C$161+(0)*CROQUIS!$C$159),(CROQUIS!$C$161+(0)*CROQUIS!$C$159),((CROQUIS!$C$161+(0)*CROQUIS!$C$159)+(CROQUIS!$C$161+(CROQUIS!$C$96)*CROQUIS!$C$159))/2,(CROQUIS!$C$161+(CROQUIS!$C$96)*CROQUIS!$C$159),(CROQUIS!$C$161+(CROQUIS!$C$96)*CROQUIS!$C$159),(CROQUIS!$C$161+(CROQUIS!$C$96)*CROQUIS!$C$159)),-1000)</f>
        <v>84.3425214640759</v>
      </c>
      <c r="R12">
        <f>IF(AND(CROQUIS!$C$88=1),CHOOSE(MIN(MAX($A12,1),5),(CROQUIS!$C$160+(0)*CROQUIS!$C$159),(CROQUIS!$C$160+(CROQUIS!$C$95)*CROQUIS!$C$159),(CROQUIS!$C$160+(CROQUIS!$C$95)*CROQUIS!$C$159),(CROQUIS!$C$160+(0)*CROQUIS!$C$159),(CROQUIS!$C$160+(0)*CROQUIS!$C$159)),-1000)</f>
        <v>-1000</v>
      </c>
      <c r="S12">
        <f>IF(AND(CROQUIS!$C$88=1),CHOOSE(MIN(MAX($A12,1),5),(CROQUIS!$C$161+(0)*CROQUIS!$C$159),(CROQUIS!$C$161+(0)*CROQUIS!$C$159),(CROQUIS!$C$161+(CROQUIS!$C$96)*CROQUIS!$C$159),(CROQUIS!$C$161+(CROQUIS!$C$96)*CROQUIS!$C$159),(CROQUIS!$C$161+(0)*CROQUIS!$C$159)),-1000)</f>
        <v>-1000</v>
      </c>
      <c r="T12">
        <f>IF(AND(CROQUIS!$C$88=1),CHOOSE(MIN(MAX($A12,1)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U12">
        <f>IF(AND(CROQUIS!$C$88=1),CHOOSE(MIN(MAX($A12,1)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V12">
        <f>IF(AND(CROQUIS!$C$88=1,CROQUIS!$C$91=1),((CROQUIS!$C$160+(IF(CROQUIS!$C$92="X",IF(CROQUIS!$C$94=1,0,CROQUIS!$C$97)+IF(MOD($A12,2)=1,-CROQUIS!$C$107/2,CROQUIS!$C$107/2),(MIN($A12,41)-1)/40*CROQUIS!$C$98))*CROQUIS!$C$159)+IF(CROQUIS!$C$92="X",0,0)),-1000)</f>
        <v>-1000</v>
      </c>
      <c r="W12">
        <f>IF(AND(CROQUIS!$C$88=1,CROQUIS!$C$91=1),((CROQUIS!$C$161+(IF(CROQUIS!$C$92="X",(MIN($A12,41)-1)/40*CROQUIS!$C$98,IF(CROQUIS!$C$94=1,0,CROQUIS!$C$97)+IF(MOD($A12,2)=1,-CROQUIS!$C$107/2,CROQUIS!$C$107/2)))*CROQUIS!$C$159)+IF(CROQUIS!$C$92="X",0,0)),-1000)</f>
        <v>-1000</v>
      </c>
      <c r="X12">
        <f>IF(AND(CROQUIS!$C$88=1,CROQUIS!$C$91=1),CHOOSE(MIN(MAX($A12,1)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Y12">
        <f>IF(AND(CROQUIS!$C$88=1,CROQUIS!$C$91=1),CHOOSE(MIN(MAX($A12,1)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Z12">
        <f>IF(AND(CROQUIS!$C$88=1,CROQUIS!$C$153=1),CHOOSE(MIN(MAX($A12,1)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A12">
        <f>IF(AND(CROQUIS!$C$88=1,CROQUIS!$C$153=1),CHOOSE(MIN(MAX($A12,1)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D12">
        <f>IF(AND(CROQUIS!$C$88=1),CHOOSE(MIN(MAX($A12,1),7),(CROQUIS!$C$160+(0)*CROQUIS!$C$159),(CROQUIS!$C$160+(0)*CROQUIS!$C$159),(CROQUIS!$C$160+(0)*CROQUIS!$C$159),((CROQUIS!$C$160+(0)*CROQUIS!$C$159)+(CROQUIS!$C$160+(CROQUIS!$C$95)*CROQUIS!$C$159))/2,(CROQUIS!$C$160+(CROQUIS!$C$95)*CROQUIS!$C$159),(CROQUIS!$C$160+(CROQUIS!$C$95)*CROQUIS!$C$159),(CROQUIS!$C$160+(CROQUIS!$C$95)*CROQUIS!$C$159)),-1000)</f>
        <v>-1000</v>
      </c>
      <c r="AE12">
        <f>IF(AND(CROQUIS!$C$88=1),CHOOSE(MIN(MAX($A12,1),7),((CROQUIS!$C$161+(CROQUIS!$C$157)*CROQUIS!$C$159)-5)-1.4,((CROQUIS!$C$161+(CROQUIS!$C$157)*CROQUIS!$C$159)-5)+1.4,((CROQUIS!$C$161+(CROQUIS!$C$157)*CROQUIS!$C$159)-5),((CROQUIS!$C$161+(CROQUIS!$C$157)*CROQUIS!$C$159)-5),((CROQUIS!$C$161+(CROQUIS!$C$157)*CROQUIS!$C$159)-5),((CROQUIS!$C$161+(CROQUIS!$C$157)*CROQUIS!$C$159)-5)+1.4,((CROQUIS!$C$161+(CROQUIS!$C$157)*CROQUIS!$C$159)-5)-1.4),-1000)</f>
        <v>-1000</v>
      </c>
      <c r="AF12">
        <f>IF(AND(CROQUIS!$C$88=1),CHOOSE(MIN(MAX($A12,1),7),((CROQUIS!$C$160+(CROQUIS!$C$155)*CROQUIS!$C$159)-5)-1.4,((CROQUIS!$C$160+(CROQUIS!$C$155)*CROQUIS!$C$159)-5)+1.4,((CROQUIS!$C$160+(CROQUIS!$C$155)*CROQUIS!$C$159)-5),((CROQUIS!$C$160+(CROQUIS!$C$155)*CROQUIS!$C$159)-5),((CROQUIS!$C$160+(CROQUIS!$C$155)*CROQUIS!$C$159)-5),((CROQUIS!$C$160+(CROQUIS!$C$155)*CROQUIS!$C$159)-5)+1.4,((CROQUIS!$C$160+(CROQUIS!$C$155)*CROQUIS!$C$159)-5)-1.4),-1000)</f>
        <v>-1000</v>
      </c>
      <c r="AG12">
        <f>IF(AND(CROQUIS!$C$88=1),CHOOSE(MIN(MAX($A12,1),7),(CROQUIS!$C$161+(0)*CROQUIS!$C$159),(CROQUIS!$C$161+(0)*CROQUIS!$C$159),(CROQUIS!$C$161+(0)*CROQUIS!$C$159),((CROQUIS!$C$161+(0)*CROQUIS!$C$159)+(CROQUIS!$C$161+(CROQUIS!$C$96)*CROQUIS!$C$159))/2,(CROQUIS!$C$161+(CROQUIS!$C$96)*CROQUIS!$C$159),(CROQUIS!$C$161+(CROQUIS!$C$96)*CROQUIS!$C$159),(CROQUIS!$C$161+(CROQUIS!$C$96)*CROQUIS!$C$159)),-1000)</f>
        <v>-1000</v>
      </c>
      <c r="AH12">
        <f>IF(AND(CROQUIS!$C$87=1,CROQUIS!$C$91=1,CROQUIS!$C$147&gt;0),CHOOSE(MIN(MAX($A12,1)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I12">
        <f>IF(AND(CROQUIS!$C$87=1,CROQUIS!$C$91=1,CROQUIS!$C$147&gt;0),CHOOSE(MIN(MAX($A12,1)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J12">
        <f>IF(AND(CROQUIS!$C$87=1,CROQUIS!$C$162&gt;0,CROQUIS!$C$164&gt;0),(CROQUIS!$C$160+((CROQUIS!$C$163+INT(MIN(INT(($A12-1)/2),MAX((2*CROQUIS!$C$162)-1,0))/2)*CROQUIS!$C$116+MOD(MIN(INT(($A12-1)/2),MAX((2*CROQUIS!$C$162)-1,0)),2)*CROQUIS!$C$114))*CROQUIS!$C$159),-1000)</f>
        <v>34.9751468594668</v>
      </c>
      <c r="AK12">
        <f>IF(AND(CROQUIS!$C$87=1,CROQUIS!$C$162&gt;0,CROQUIS!$C$164&gt;0),(CROQUIS!$C$161+(IF(MOD(MIN(INT(($A12-1)/2),MAX((2*CROQUIS!$C$162)-1,0)),2)=0,IF(IF(INT(($A12-1)/2)&gt;MAX((2*CROQUIS!$C$162)-1,0),1,MOD($A12-1,2))=0,CROQUIS!$C$165,(CROQUIS!$C$165+(CROQUIS!$C$164-1)*CROQUIS!$C$116+CROQUIS!$C$115)),IF(IF(INT(($A12-1)/2)&gt;MAX((2*CROQUIS!$C$162)-1,0),1,MOD($A12-1,2))=0,(CROQUIS!$C$165+(CROQUIS!$C$164-1)*CROQUIS!$C$116+CROQUIS!$C$115),CROQUIS!$C$165)))*CROQUIS!$C$159),-1000)</f>
        <v>20.8088567555355</v>
      </c>
      <c r="AL12">
        <f>IF(AND(CROQUIS!$C$87=1,CROQUIS!$C$164&gt;0,CROQUIS!$C$162&gt;0),(CROQUIS!$C$160+(IF(MOD(MIN(INT(($A12-1)/2),MAX((2*CROQUIS!$C$164)-1,0)),2)=0,IF(IF(INT(($A12-1)/2)&gt;MAX((2*CROQUIS!$C$164)-1,0),1,MOD($A12-1,2))=0,CROQUIS!$C$163,(CROQUIS!$C$163+(CROQUIS!$C$162-1)*CROQUIS!$C$116+CROQUIS!$C$114)),IF(IF(INT(($A12-1)/2)&gt;MAX((2*CROQUIS!$C$164)-1,0),1,MOD($A12-1,2))=0,(CROQUIS!$C$163+(CROQUIS!$C$162-1)*CROQUIS!$C$116+CROQUIS!$C$114),CROQUIS!$C$163)))*CROQUIS!$C$159),-1000)</f>
        <v>22.9552643470402</v>
      </c>
      <c r="AM12">
        <f>IF(AND(CROQUIS!$C$87=1,CROQUIS!$C$164&gt;0,CROQUIS!$C$162&gt;0),(CROQUIS!$C$161+((CROQUIS!$C$165+INT(MIN(INT(($A12-1)/2),MAX((2*CROQUIS!$C$164)-1,0))/2)*CROQUIS!$C$116+MOD(MIN(INT(($A12-1)/2),MAX((2*CROQUIS!$C$164)-1,0)),2)*CROQUIS!$C$115))*CROQUIS!$C$159),-1000)</f>
        <v>32.828739267962</v>
      </c>
      <c r="AN12">
        <f>IF(AND(CROQUIS!$C$87=1,CROQUIS!$C$162&gt;=2),(CROQUIS!$C$160+((CROQUIS!$C$163+CROQUIS!$C$114+(CROQUIS!$C$116-CROQUIS!$C$114)/2+MIN(INT(($A12-1)/2),MAX((CROQUIS!$C$162-1)-1,0))*CROQUIS!$C$116))*CROQUIS!$C$159),-1000)</f>
        <v>58.156348847718</v>
      </c>
      <c r="AO12">
        <f>IF(AND(CROQUIS!$C$87=1,CROQUIS!$C$162&gt;=2),(CROQUIS!$C$161+(IF(MOD(MIN(INT(($A12-1)/2),MAX((CROQUIS!$C$162-1)-1,0)),2)=0,IF(IF(INT(($A12-1)/2)&gt;MAX((CROQUIS!$C$162-1)-1,0),1,MOD($A12-1,2))=0,CROQUIS!$C$107/2,(CROQUIS!$C$96-CROQUIS!$C$107/2)),IF(IF(INT(($A12-1)/2)&gt;MAX((CROQUIS!$C$162-1)-1,0),1,MOD($A12-1,2))=0,(CROQUIS!$C$96-CROQUIS!$C$107/2),CROQUIS!$C$107/2)))*CROQUIS!$C$159),-1000)</f>
        <v>16.9453230908269</v>
      </c>
      <c r="AP12">
        <f>IF(AND(CROQUIS!$C$87=1,CROQUIS!$C$164&gt;=2),(CROQUIS!$C$160+(IF(MOD(MIN(INT(($A12-1)/2),MAX((CROQUIS!$C$164-1)-1,0)),2)=0,IF(IF(INT(($A12-1)/2)&gt;MAX((CROQUIS!$C$164-1)-1,0),1,MOD($A12-1,2))=0,CROQUIS!$C$107/2,(CROQUIS!$C$95-CROQUIS!$C$107/2)),IF(IF(INT(($A12-1)/2)&gt;MAX((CROQUIS!$C$164-1)-1,0),1,MOD($A12-1,2))=0,(CROQUIS!$C$95-CROQUIS!$C$107/2),CROQUIS!$C$107/2)))*CROQUIS!$C$159),-1000)</f>
        <v>13.2878445549028</v>
      </c>
      <c r="AQ12">
        <f>IF(AND(CROQUIS!$C$87=1,CROQUIS!$C$164&gt;=2),(CROQUIS!$C$161+((CROQUIS!$C$165+CROQUIS!$C$115+(CROQUIS!$C$116-CROQUIS!$C$115)/2+MIN(INT(($A12-1)/2),MAX((CROQUIS!$C$164-1)-1,0))*CROQUIS!$C$116))*CROQUIS!$C$159),-1000)</f>
        <v>56.0099412562133</v>
      </c>
      <c r="AR12">
        <f>IF(AND(CROQUIS!$C$87=1,CROQUIS!$C$126&gt;0,CROQUIS!$C$166&gt;0),((CROQUIS!$C$160+(IF(CROQUIS!$C$92="X",CHOOSE(MIN(MAX($A12,1)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12,1)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2">
        <f>IF(AND(CROQUIS!$C$87=1,CROQUIS!$C$126&gt;0,CROQUIS!$C$166&gt;0),((CROQUIS!$C$161+(IF(CROQUIS!$C$92="X",CHOOSE(MIN(MAX($A12,1)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12,1)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L12">
        <f>IF(AND(CROQUIS!$C$87=1,CROQUIS!$C$162&gt;=2),CHOOSE(MIN(MAX($A12,1)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BM12">
        <f>IF(AND(CROQUIS!$C$87=1,CROQUIS!$C$162&gt;=2),CHOOSE(MIN(MAX($A12,1),7),((CROQUIS!$C$161+(CROQUIS!$C$158)*CROQUIS!$C$159)+4)-1.4,((CROQUIS!$C$161+(CROQUIS!$C$158)*CROQUIS!$C$159)+4)+1.4,((CROQUIS!$C$161+(CROQUIS!$C$158)*CROQUIS!$C$159)+4),((CROQUIS!$C$161+(CROQUIS!$C$158)*CROQUIS!$C$159)+4),((CROQUIS!$C$161+(CROQUIS!$C$158)*CROQUIS!$C$159)+4),((CROQUIS!$C$161+(CROQUIS!$C$158)*CROQUIS!$C$159)+4)+1.4,((CROQUIS!$C$161+(CROQUIS!$C$158)*CROQUIS!$C$159)+4)-1.4),-1000)</f>
        <v>88.3425214640759</v>
      </c>
      <c r="BN12">
        <f>IF(AND(CROQUIS!$C$88=1,CROQUIS!$C$129&gt;0),((CROQUIS!$C$160+(IF(CROQUIS!$C$92="X",CHOOSE(IF(INT(($A12-1)/5)&gt;MAX((MAX(1,INT(((CROQUIS!$C$98)-CROQUIS!$C$107)/MAX((CROQUIS!$C$129*MAX(1,CEILING((INT(((CROQUIS!$C$98)-CROQUIS!$C$107)/MAX(CROQUIS!$C$129,1))+1)/80,1))),1))+1))-1,0),0,MOD($A12-1,5))+1,0,2,CROQUIS!$C$97-2,2,0),((CROQUIS!$C$107/2+(((CROQUIS!$C$98)-CROQUIS!$C$107)-(MAX(1,INT(((CROQUIS!$C$98)-CROQUIS!$C$107)/MAX((CROQUIS!$C$129*MAX(1,CEILING((INT(((CROQUIS!$C$98)-CROQUIS!$C$107)/MAX(CROQUIS!$C$129,1))+1)/80,1))),1))+1)-1)*(CROQUIS!$C$129*MAX(1,CEILING((INT(((CROQUIS!$C$98)-CROQUIS!$C$107)/MAX(CROQUIS!$C$129,1))+1)/80,1))))/2)+MIN(INT(($A12-1)/5),MAX((MAX(1,INT(((CROQUIS!$C$98)-CROQUIS!$C$107)/MAX((CROQUIS!$C$129*MAX(1,CEILING((INT(((CROQUIS!$C$98)-CROQUIS!$C$107)/MAX(CROQUIS!$C$129,1))+1)/80,1))),1))+1))-1,0))*(CROQUIS!$C$129*MAX(1,CEILING((INT(((CROQUIS!$C$98)-CROQUIS!$C$107)/MAX(CROQUIS!$C$129,1))+1)/80,1))))))*CROQUIS!$C$159)+IF(CROQUIS!$C$92="X",0,0)),-1000)</f>
        <v>-1000</v>
      </c>
      <c r="BO12">
        <f>IF(AND(CROQUIS!$C$88=1,CROQUIS!$C$129&gt;0),((CROQUIS!$C$161+(IF(CROQUIS!$C$92="X",((CROQUIS!$C$107/2+(((CROQUIS!$C$98)-CROQUIS!$C$107)-(MAX(1,INT(((CROQUIS!$C$98)-CROQUIS!$C$107)/MAX((CROQUIS!$C$129*MAX(1,CEILING((INT(((CROQUIS!$C$98)-CROQUIS!$C$107)/MAX(CROQUIS!$C$129,1))+1)/80,1))),1))+1)-1)*(CROQUIS!$C$129*MAX(1,CEILING((INT(((CROQUIS!$C$98)-CROQUIS!$C$107)/MAX(CROQUIS!$C$129,1))+1)/80,1))))/2)+MIN(INT(($A12-1)/5),MAX((MAX(1,INT(((CROQUIS!$C$98)-CROQUIS!$C$107)/MAX((CROQUIS!$C$129*MAX(1,CEILING((INT(((CROQUIS!$C$98)-CROQUIS!$C$107)/MAX(CROQUIS!$C$129,1))+1)/80,1))),1))+1))-1,0))*(CROQUIS!$C$129*MAX(1,CEILING((INT(((CROQUIS!$C$98)-CROQUIS!$C$107)/MAX(CROQUIS!$C$129,1))+1)/80,1)))),CHOOSE(IF(INT(($A12-1)/5)&gt;MAX((MAX(1,INT(((CROQUIS!$C$98)-CROQUIS!$C$107)/MAX((CROQUIS!$C$129*MAX(1,CEILING((INT(((CROQUIS!$C$98)-CROQUIS!$C$107)/MAX(CROQUIS!$C$129,1))+1)/80,1))),1))+1))-1,0),0,MOD($A12-1,5))+1,0,2,CROQUIS!$C$97-2,2,0)))*CROQUIS!$C$159)+IF(CROQUIS!$C$92="X",0,0)),-1000)</f>
        <v>-1000</v>
      </c>
      <c r="BP12">
        <f>IF(AND(CROQUIS!$C$88=1,CROQUIS!$C$137&gt;0),((CROQUIS!$C$160+(IF(CROQUIS!$C$92="X",((CROQUIS!$C$107/2+(((CROQUIS!$C$97)-CROQUIS!$C$107)-(MAX(1,INT(((CROQUIS!$C$97)-CROQUIS!$C$107)/MAX((CROQUIS!$C$137*MAX(1,CEILING((INT(((CROQUIS!$C$97)-CROQUIS!$C$107)/MAX(CROQUIS!$C$137,1))+1)/80,1))),1))+1)-1)*(CROQUIS!$C$137*MAX(1,CEILING((INT(((CROQUIS!$C$97)-CROQUIS!$C$107)/MAX(CROQUIS!$C$137,1))+1)/80,1))))/2)+MIN(INT(($A12-1)/5),MAX((MAX(1,INT(((CROQUIS!$C$97)-CROQUIS!$C$107)/MAX((CROQUIS!$C$137*MAX(1,CEILING((INT(((CROQUIS!$C$97)-CROQUIS!$C$107)/MAX(CROQUIS!$C$137,1))+1)/80,1))),1))+1))-1,0))*(CROQUIS!$C$137*MAX(1,CEILING((INT(((CROQUIS!$C$97)-CROQUIS!$C$107)/MAX(CROQUIS!$C$137,1))+1)/80,1)))),CHOOSE(IF(INT(($A12-1)/5)&gt;MAX((MAX(1,INT(((CROQUIS!$C$97)-CROQUIS!$C$107)/MAX((CROQUIS!$C$137*MAX(1,CEILING((INT(((CROQUIS!$C$97)-CROQUIS!$C$107)/MAX(CROQUIS!$C$137,1))+1)/80,1))),1))+1))-1,0),0,MOD($A12-1,5))+1,0,2,CROQUIS!$C$98-2,2,0)))*CROQUIS!$C$159)+IF(CROQUIS!$C$92="X",0,0)),-1000)</f>
        <v>-1000</v>
      </c>
      <c r="BQ12">
        <f>IF(AND(CROQUIS!$C$88=1,CROQUIS!$C$137&gt;0),((CROQUIS!$C$161+(IF(CROQUIS!$C$92="X",CHOOSE(IF(INT(($A12-1)/5)&gt;MAX((MAX(1,INT(((CROQUIS!$C$97)-CROQUIS!$C$107)/MAX((CROQUIS!$C$137*MAX(1,CEILING((INT(((CROQUIS!$C$97)-CROQUIS!$C$107)/MAX(CROQUIS!$C$137,1))+1)/80,1))),1))+1))-1,0),0,MOD($A12-1,5))+1,0,2,CROQUIS!$C$98-2,2,0),((CROQUIS!$C$107/2+(((CROQUIS!$C$97)-CROQUIS!$C$107)-(MAX(1,INT(((CROQUIS!$C$97)-CROQUIS!$C$107)/MAX((CROQUIS!$C$137*MAX(1,CEILING((INT(((CROQUIS!$C$97)-CROQUIS!$C$107)/MAX(CROQUIS!$C$137,1))+1)/80,1))),1))+1)-1)*(CROQUIS!$C$137*MAX(1,CEILING((INT(((CROQUIS!$C$97)-CROQUIS!$C$107)/MAX(CROQUIS!$C$137,1))+1)/80,1))))/2)+MIN(INT(($A12-1)/5),MAX((MAX(1,INT(((CROQUIS!$C$97)-CROQUIS!$C$107)/MAX((CROQUIS!$C$137*MAX(1,CEILING((INT(((CROQUIS!$C$97)-CROQUIS!$C$107)/MAX(CROQUIS!$C$137,1))+1)/80,1))),1))+1))-1,0))*(CROQUIS!$C$137*MAX(1,CEILING((INT(((CROQUIS!$C$97)-CROQUIS!$C$107)/MAX(CROQUIS!$C$137,1))+1)/80,1))))))*CROQUIS!$C$159)+IF(CROQUIS!$C$92="X",0,0)),-1000)</f>
        <v>-1000</v>
      </c>
      <c r="BR12">
        <f>IF(AND(CROQUIS!$C$88=1,CROQUIS!$C$91=0,CROQUIS!$C$133&gt;0,OR(CROQUIS!$C$103=1,CROQUIS!$C$145=1)),((CROQUIS!$C$160+(IF(CROQUIS!$C$92="X",CHOOSE(IF(INT(($A12-1)/5)&gt;MAX((MAX(1,INT(((CROQUIS!$C$98)-CROQUIS!$C$107)/MAX((CROQUIS!$C$133*MAX(1,CEILING((INT(((CROQUIS!$C$98)-CROQUIS!$C$107)/MAX(CROQUIS!$C$133,1))+1)/80,1))),1))+1))-1,0),0,MOD($A12-1,5))+1,0,IF(CROQUIS!$C$103=1,-12,2),CROQUIS!$C$107/2+CROQUIS!$C$143,IF(CROQUIS!$C$103=1,-12,2),0),((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BS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+1,0,IF(CROQUIS!$C$103=1,-12,2),CROQUIS!$C$107/2+CROQUIS!$C$143,IF(CROQUIS!$C$103=1,-12,2),0)))*CROQUIS!$C$159)+IF(CROQUIS!$C$92="X",0.8,0)),-1000)</f>
        <v>-1000</v>
      </c>
      <c r="BT12">
        <f>IF(AND(CROQUIS!$C$88=1,CROQUIS!$C$91=0,CROQUIS!$C$133&gt;0,OR(CROQUIS!$C$104=1,CROQUIS!$C$145=1)),((CROQUIS!$C$160+(IF(CROQUIS!$C$92="X",CHOOSE(IF(INT(($A12-1)/5)&gt;MAX((MAX(1,INT(((CROQUIS!$C$98)-CROQUIS!$C$107)/MAX((CROQUIS!$C$133*MAX(1,CEILING((INT(((CROQUIS!$C$98)-CROQUIS!$C$107)/MAX(CROQUIS!$C$133,1))+1)/80,1))),1))+1))-1,0),0,MOD($A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BU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CROQUIS!$C$97,CROQUIS!$C$97-CROQUIS!$C$107/2-CROQUIS!$C$143,IF(CROQUIS!$C$104=1,CROQUIS!$C$97+12,CROQUIS!$C$97-2),CROQUIS!$C$97-CROQUIS!$C$107/2-CROQUIS!$C$143,CROQUIS!$C$97)))*CROQUIS!$C$159)+IF(CROQUIS!$C$92="X",0.8,0)),-1000)</f>
        <v>-1000</v>
      </c>
      <c r="BV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HOOSE(IF(INT(($A12-1)/5)&gt;MAX((MAX(1,INT(((CROQUIS!$C$97)-CROQUIS!$C$107)/MAX((CROQUIS!$C$141*MAX(1,CEILING((INT(((CROQUIS!$C$97)-CROQUIS!$C$107)/MAX(CROQUIS!$C$141,1))+1)/80,1))),1))+1))-1,0),0,MOD($A12-1,5))+1,0,IF(CROQUIS!$C$105=1,-12,2),CROQUIS!$C$107/2+CROQUIS!$C$144,IF(CROQUIS!$C$105=1,-12,2),0)))*CROQUIS!$C$159)+IF(CROQUIS!$C$92="X",0.8,0)),-1000)</f>
        <v>-1000</v>
      </c>
      <c r="BW12">
        <f>IF(AND(CROQUIS!$C$88=1,CROQUIS!$C$91=0,CROQUIS!$C$141&gt;0,OR(CROQUIS!$C$105=1,CROQUIS!$C$146=1)),((CROQUIS!$C$161+(IF(CROQUIS!$C$92="X",CHOOSE(IF(INT(($A12-1)/5)&gt;MAX((MAX(1,INT(((CROQUIS!$C$97)-CROQUIS!$C$107)/MAX((CROQUIS!$C$141*MAX(1,CEILING((INT(((CROQUIS!$C$97)-CROQUIS!$C$107)/MAX(CROQUIS!$C$141,1))+1)/80,1))),1))+1))-1,0),0,MOD($A12-1,5))+1,0,IF(CROQUIS!$C$105=1,-12,2),CROQUIS!$C$107/2+CROQUIS!$C$144,IF(CROQUIS!$C$105=1,-12,2),0),((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ROQUIS!$C$159)+IF(CROQUIS!$C$92="X",0,0.8)),-1000)</f>
        <v>-1000</v>
      </c>
      <c r="BX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HOOSE(IF(INT(($A12-1)/5)&gt;MAX((MAX(1,INT(((CROQUIS!$C$97)-CROQUIS!$C$107)/MAX((CROQUIS!$C$141*MAX(1,CEILING((INT(((CROQUIS!$C$97)-CROQUIS!$C$107)/MAX(CROQUIS!$C$141,1))+1)/80,1))),1))+1))-1,0),0,MOD($A12-1,5))+1,CROQUIS!$C$98,CROQUIS!$C$98-CROQUIS!$C$107/2-CROQUIS!$C$144,IF(CROQUIS!$C$106=1,CROQUIS!$C$98+12,CROQUIS!$C$98-2),CROQUIS!$C$98-CROQUIS!$C$107/2-CROQUIS!$C$144,CROQUIS!$C$98)))*CROQUIS!$C$159)+IF(CROQUIS!$C$92="X",0.8,0)),-1000)</f>
        <v>-1000</v>
      </c>
      <c r="BY12">
        <f>IF(AND(CROQUIS!$C$88=1,CROQUIS!$C$91=0,CROQUIS!$C$141&gt;0,OR(CROQUIS!$C$106=1,CROQUIS!$C$146=1)),((CROQUIS!$C$161+(IF(CROQUIS!$C$92="X",CHOOSE(IF(INT(($A12-1)/5)&gt;MAX((MAX(1,INT(((CROQUIS!$C$97)-CROQUIS!$C$107)/MAX((CROQUIS!$C$141*MAX(1,CEILING((INT(((CROQUIS!$C$97)-CROQUIS!$C$107)/MAX(CROQUIS!$C$141,1))+1)/80,1))),1))+1))-1,0),0,MOD($A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ROQUIS!$C$159)+IF(CROQUIS!$C$92="X",0,0.8)),-1000)</f>
        <v>-1000</v>
      </c>
      <c r="BZ12">
        <f>IF(AND(CROQUIS!$C$88=1,CROQUIS!$C$91=1,CROQUIS!$C$133&gt;0),((CROQUIS!$C$160+(IF(CROQUIS!$C$92="X",CHOOSE(IF(INT(($A12-1)/5)&gt;MAX((MAX(1,INT(((CROQUIS!$C$98)-CROQUIS!$C$107)/MAX((CROQUIS!$C$133*MAX(1,CEILING((INT(((CROQUIS!$C$98)-CROQUIS!$C$107)/MAX(CROQUIS!$C$133,1))+1)/80,1))),1))+1))-1,0),0,MOD($A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CA12">
        <f>IF(AND(CROQUIS!$C$88=1,CROQUIS!$C$91=1,CROQUIS!$C$133&gt;0),((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2">
        <f>IF(AND(CROQUIS!$C$87=1),CHOOSE(MIN(MAX($A12,1),9),(50+(-CROQUIS!$C$116/2)*CROQUIS!$C$177),(50+(CROQUIS!$C$116/2)*CROQUIS!$C$177),(50+(CROQUIS!$C$116/2)*CROQUIS!$C$177),(50+(CROQUIS!$C$111/2)*CROQUIS!$C$177),(50+(CROQUIS!$C$111/2)*CROQUIS!$C$177),(50+(-CROQUIS!$C$111/2)*CROQUIS!$C$177),(50+(-CROQUIS!$C$111/2)*CROQUIS!$C$177),(50+(-CROQUIS!$C$116/2)*CROQUIS!$C$177),(50+(-CROQUIS!$C$116/2)*CROQUIS!$C$177)),-1000)</f>
        <v>54.7727272727273</v>
      </c>
      <c r="CC12">
        <f>IF(AND(CROQUIS!$C$87=1),CHOOSE(MIN(MAX($A12,1),9),(12+(CROQUIS!$C$108)*CROQUIS!$C$177),(12+(CROQUIS!$C$108)*CROQUIS!$C$177),(12+(CROQUIS!$C$117)*CROQUIS!$C$177),(12+(CROQUIS!$C$117)*CROQUIS!$C$177),(12+(0)*CROQUIS!$C$177),(12+(0)*CROQUIS!$C$177),(12+(CROQUIS!$C$117)*CROQUIS!$C$177),(12+(CROQUIS!$C$117)*CROQUIS!$C$177),(12+(CROQUIS!$C$108)*CROQUIS!$C$177)),-1000)</f>
        <v>12</v>
      </c>
      <c r="CD12">
        <f>IF(AND(CROQUIS!$C$87=1),CHOOSE(MIN(MAX($A12,1),5),(50+(-CROQUIS!$C$116/2)*CROQUIS!$C$177),(50+(-CROQUIS!$C$111/2)*CROQUIS!$C$177),(50+(-CROQUIS!$C$111/2)*CROQUIS!$C$177),(50+(-CROQUIS!$C$116/2)*CROQUIS!$C$177),(50+(-CROQUIS!$C$116/2)*CROQUIS!$C$177)),-1000)</f>
        <v>16.5909090909091</v>
      </c>
      <c r="CE12">
        <f>IF(AND(CROQUIS!$C$87=1),CHOOSE(MIN(MAX($A12,1),5),(12+(0)*CROQUIS!$C$177),(12+(0)*CROQUIS!$C$177),(12+(CROQUIS!$C$117)*CROQUIS!$C$177),(12+(CROQUIS!$C$117)*CROQUIS!$C$177),(12+(0)*CROQUIS!$C$177)),-1000)</f>
        <v>12</v>
      </c>
      <c r="CF12">
        <f>IF(AND(CROQUIS!$C$87=1),CHOOSE(MIN(MAX($A12,1),5),(50+(CROQUIS!$C$111/2)*CROQUIS!$C$177),(50+(CROQUIS!$C$116/2)*CROQUIS!$C$177),(50+(CROQUIS!$C$116/2)*CROQUIS!$C$177),(50+(CROQUIS!$C$111/2)*CROQUIS!$C$177),(50+(CROQUIS!$C$111/2)*CROQUIS!$C$177)),-1000)</f>
        <v>54.7727272727273</v>
      </c>
      <c r="CG12">
        <f>IF(AND(CROQUIS!$C$87=1),CHOOSE(MIN(MAX($A12,1),5),(12+(0)*CROQUIS!$C$177),(12+(0)*CROQUIS!$C$177),(12+(CROQUIS!$C$117)*CROQUIS!$C$177),(12+(CROQUIS!$C$117)*CROQUIS!$C$177),(12+(0)*CROQUIS!$C$177)),-1000)</f>
        <v>12</v>
      </c>
      <c r="CJ12">
        <f>IF(AND(CROQUIS!$C$87=1,CROQUIS!$C$129&gt;=1),(50+(((1-(CROQUIS!$C$129+1)/2)*(MAX(CROQUIS!$C$121,CROQUIS!$C$128)+CROQUIS!$C$128))+CROQUIS!$C$128/2*COS(2*PI()*(MIN($A12,13)-1)/12))*CROQUIS!$C$177),-1000)</f>
        <v>49.6969318181818</v>
      </c>
      <c r="CK12">
        <f>IF(AND(CROQUIS!$C$87=1,CROQUIS!$C$129&gt;=1),(12+((CROQUIS!$C$109+CROQUIS!$C$128/2)+CROQUIS!$C$128/2*SIN(2*PI()*(MIN($A12,13)-1)/12))*CROQUIS!$C$177),-1000)</f>
        <v>15.0401567617939</v>
      </c>
      <c r="CL12">
        <f>IF(AND(CROQUIS!$C$87=1,CROQUIS!$C$129&gt;=2),(50+(((2-(CROQUIS!$C$129+1)/2)*(MAX(CROQUIS!$C$121,CROQUIS!$C$128)+CROQUIS!$C$128))+CROQUIS!$C$128/2*COS(2*PI()*(MIN($A12,13)-1)/12))*CROQUIS!$C$177),-1000)</f>
        <v>-1000</v>
      </c>
      <c r="CM12">
        <f>IF(AND(CROQUIS!$C$87=1,CROQUIS!$C$129&gt;=2),(12+((CROQUIS!$C$109+CROQUIS!$C$128/2)+CROQUIS!$C$128/2*SIN(2*PI()*(MIN($A12,13)-1)/12))*CROQUIS!$C$177),-1000)</f>
        <v>-1000</v>
      </c>
      <c r="CN12">
        <f>IF(AND(CROQUIS!$C$87=1,CROQUIS!$C$129&gt;=3),(50+(((3-(CROQUIS!$C$129+1)/2)*(MAX(CROQUIS!$C$121,CROQUIS!$C$128)+CROQUIS!$C$128))+CROQUIS!$C$128/2*COS(2*PI()*(MIN($A12,13)-1)/12))*CROQUIS!$C$177),-1000)</f>
        <v>-1000</v>
      </c>
      <c r="CO12">
        <f>IF(AND(CROQUIS!$C$87=1,CROQUIS!$C$129&gt;=3),(12+((CROQUIS!$C$109+CROQUIS!$C$128/2)+CROQUIS!$C$128/2*SIN(2*PI()*(MIN($A12,13)-1)/12))*CROQUIS!$C$177),-1000)</f>
        <v>-1000</v>
      </c>
      <c r="CP12">
        <f>IF(AND(CROQUIS!$C$87=1,CROQUIS!$C$133&gt;=1),(50+(((1-(CROQUIS!$C$133+1)/2)*(MAX(CROQUIS!$C$121,CROQUIS!$C$132)+CROQUIS!$C$132))+CROQUIS!$C$132/2*COS(2*PI()*(MIN($A12,13)-1)/12))*CROQUIS!$C$177),-1000)</f>
        <v>49.6969318181818</v>
      </c>
      <c r="CQ12">
        <f>IF(AND(CROQUIS!$C$87=1,CROQUIS!$C$133&gt;=1),(12+((CROQUIS!$C$108-CROQUIS!$C$120-2*CROQUIS!$C$119-CROQUIS!$C$132/2)+CROQUIS!$C$132/2*SIN(2*PI()*(MIN($A12,13)-1)/12))*CROQUIS!$C$177),-1000)</f>
        <v>32.3727931254303</v>
      </c>
      <c r="CR12">
        <f>IF(AND(CROQUIS!$C$87=1,CROQUIS!$C$133&gt;=2),(50+(((2-(CROQUIS!$C$133+1)/2)*(MAX(CROQUIS!$C$121,CROQUIS!$C$132)+CROQUIS!$C$132))+CROQUIS!$C$132/2*COS(2*PI()*(MIN($A12,13)-1)/12))*CROQUIS!$C$177),-1000)</f>
        <v>-1000</v>
      </c>
      <c r="CS12">
        <f>IF(AND(CROQUIS!$C$87=1,CROQUIS!$C$133&gt;=2),(12+((CROQUIS!$C$108-CROQUIS!$C$120-2*CROQUIS!$C$119-CROQUIS!$C$132/2)+CROQUIS!$C$132/2*SIN(2*PI()*(MIN($A12,13)-1)/12))*CROQUIS!$C$177),-1000)</f>
        <v>-1000</v>
      </c>
      <c r="CT12">
        <f>IF(AND(CROQUIS!$C$87=1,CROQUIS!$C$133&gt;=3),(50+(((3-(CROQUIS!$C$133+1)/2)*(MAX(CROQUIS!$C$121,CROQUIS!$C$132)+CROQUIS!$C$132))+CROQUIS!$C$132/2*COS(2*PI()*(MIN($A12,13)-1)/12))*CROQUIS!$C$177),-1000)</f>
        <v>-1000</v>
      </c>
      <c r="CU12">
        <f>IF(AND(CROQUIS!$C$87=1,CROQUIS!$C$133&gt;=3),(12+((CROQUIS!$C$108-CROQUIS!$C$120-2*CROQUIS!$C$119-CROQUIS!$C$132/2)+CROQUIS!$C$132/2*SIN(2*PI()*(MIN($A12,13)-1)/12))*CROQUIS!$C$177),-1000)</f>
        <v>-1000</v>
      </c>
      <c r="CV12">
        <f>IF(AND(CROQUIS!$C$87=1),CHOOSE(MIN(MAX($A12,1),7),(50+(-CROQUIS!$C$111/2)*CROQUIS!$C$177),(50+(-CROQUIS!$C$111/2)*CROQUIS!$C$177),(50+(-CROQUIS!$C$111/2)*CROQUIS!$C$177),((50+(-CROQUIS!$C$111/2)*CROQUIS!$C$177)+(50+(CROQUIS!$C$111/2)*CROQUIS!$C$177))/2,(50+(CROQUIS!$C$111/2)*CROQUIS!$C$177),(50+(CROQUIS!$C$111/2)*CROQUIS!$C$177),(50+(CROQUIS!$C$111/2)*CROQUIS!$C$177)),-1000)</f>
        <v>54.7727272727273</v>
      </c>
      <c r="CW12">
        <f>IF(AND(CROQUIS!$C$87=1),CHOOSE(MIN(MAX($A12,1),7),(12+(-4)*CROQUIS!$C$177)-1.4,(12+(-4)*CROQUIS!$C$177)+1.4,(12+(-4)*CROQUIS!$C$177),(12+(-4)*CROQUIS!$C$177),(12+(-4)*CROQUIS!$C$177),(12+(-4)*CROQUIS!$C$177)+1.4,(12+(-4)*CROQUIS!$C$177)-1.4),-1000)</f>
        <v>8.18181818181818</v>
      </c>
      <c r="CX12">
        <f>IF(AND(CROQUIS!$C$87=1),CHOOSE(MIN(MAX($A12,1),7),(50+(-CROQUIS!$C$116/2)*CROQUIS!$C$177),(50+(-CROQUIS!$C$116/2)*CROQUIS!$C$177),(50+(-CROQUIS!$C$116/2)*CROQUIS!$C$177),((50+(-CROQUIS!$C$116/2)*CROQUIS!$C$177)+(50+(CROQUIS!$C$116/2)*CROQUIS!$C$177))/2,(50+(CROQUIS!$C$116/2)*CROQUIS!$C$177),(50+(CROQUIS!$C$116/2)*CROQUIS!$C$177),(50+(CROQUIS!$C$116/2)*CROQUIS!$C$177)),-1000)</f>
        <v>83.4090909090909</v>
      </c>
      <c r="CY12">
        <f>IF(AND(CROQUIS!$C$87=1),CHOOSE(MIN(MAX($A12,1),7),(12+(CROQUIS!$C$108+4)*CROQUIS!$C$177)-1.4,(12+(CROQUIS!$C$108+4)*CROQUIS!$C$177)+1.4,(12+(CROQUIS!$C$108+4)*CROQUIS!$C$177),(12+(CROQUIS!$C$108+4)*CROQUIS!$C$177),(12+(CROQUIS!$C$108+4)*CROQUIS!$C$177),(12+(CROQUIS!$C$108+4)*CROQUIS!$C$177)+1.4,(12+(CROQUIS!$C$108+4)*CROQUIS!$C$177)-1.4),-1000)</f>
        <v>39.6818181818182</v>
      </c>
      <c r="CZ12">
        <f>IF(AND(CROQUIS!$C$87=1),CHOOSE(MIN(MAX($A12,1),7),(50+(CROQUIS!$C$116/2+4)*CROQUIS!$C$177)-1.4,(50+(CROQUIS!$C$116/2+4)*CROQUIS!$C$177)+1.4,(50+(CROQUIS!$C$116/2+4)*CROQUIS!$C$177),(50+(CROQUIS!$C$116/2+4)*CROQUIS!$C$177),(50+(CROQUIS!$C$116/2+4)*CROQUIS!$C$177),(50+(CROQUIS!$C$116/2+4)*CROQUIS!$C$177)+1.4,(50+(CROQUIS!$C$116/2+4)*CROQUIS!$C$177)-1.4),-1000)</f>
        <v>87.2272727272727</v>
      </c>
      <c r="DA12">
        <f>IF(AND(CROQUIS!$C$87=1),CHOOSE(MIN(MAX($A12,1),7),(12+(0)*CROQUIS!$C$177),(12+(0)*CROQUIS!$C$177),(12+(0)*CROQUIS!$C$177),((12+(0)*CROQUIS!$C$177)+(12+(CROQUIS!$C$108)*CROQUIS!$C$177))/2,(12+(CROQUIS!$C$108)*CROQUIS!$C$177),(12+(CROQUIS!$C$108)*CROQUIS!$C$177),(12+(CROQUIS!$C$108)*CROQUIS!$C$177)),-1000)</f>
        <v>35.8636363636364</v>
      </c>
      <c r="DB12">
        <f>IF(AND(CROQUIS!$C$87=1),CHOOSE(MIN(MAX($A12,1),7),(50+(-CROQUIS!$C$116/2-4)*CROQUIS!$C$177)-1.4,(50+(-CROQUIS!$C$116/2-4)*CROQUIS!$C$177)+1.4,(50+(-CROQUIS!$C$116/2-4)*CROQUIS!$C$177),(50+(-CROQUIS!$C$116/2-4)*CROQUIS!$C$177),(50+(-CROQUIS!$C$116/2-4)*CROQUIS!$C$177),(50+(-CROQUIS!$C$116/2-4)*CROQUIS!$C$177)+1.4,(50+(-CROQUIS!$C$116/2-4)*CROQUIS!$C$177)-1.4),-1000)</f>
        <v>12.7727272727273</v>
      </c>
      <c r="DC12">
        <f>IF(AND(CROQUIS!$C$87=1),CHOOSE(MIN(MAX($A12,1),7),(12+(CROQUIS!$C$108-CROQUIS!$C$150)*CROQUIS!$C$177),(12+(CROQUIS!$C$108-CROQUIS!$C$150)*CROQUIS!$C$177),(12+(CROQUIS!$C$108-CROQUIS!$C$150)*CROQUIS!$C$177),((12+(CROQUIS!$C$108-CROQUIS!$C$150)*CROQUIS!$C$177)+(12+(CROQUIS!$C$108)*CROQUIS!$C$177))/2,(12+(CROQUIS!$C$108)*CROQUIS!$C$177),(12+(CROQUIS!$C$108)*CROQUIS!$C$177),(12+(CROQUIS!$C$108)*CROQUIS!$C$177)),-1000)</f>
        <v>35.8636363636364</v>
      </c>
      <c r="DD12">
        <f>IF(AND(CROQUIS!$C$88=1),CHOOSE(MIN(MAX($A12,1),5),(50+(-30)*CROQUIS!$C$178),(50+(30)*CROQUIS!$C$178),(50+(30)*CROQUIS!$C$178),(50+(-30)*CROQUIS!$C$178),(50+(-30)*CROQUIS!$C$178)),-1000)</f>
        <v>-1000</v>
      </c>
      <c r="DE12">
        <f>IF(AND(CROQUIS!$C$88=1),CHOOSE(MIN(MAX($A12,1),5),(12+(0)*CROQUIS!$C$178),(12+(0)*CROQUIS!$C$178),(12+(CROQUIS!$C$108)*CROQUIS!$C$178),(12+(CROQUIS!$C$108)*CROQUIS!$C$178),(12+(0)*CROQUIS!$C$178)),-1000)</f>
        <v>-1000</v>
      </c>
      <c r="DH12">
        <f>IF(AND(CROQUIS!$C$88=1,CROQUIS!$C$137&gt;0),(50+((-(MIN(12,INT(58/MAX(CROQUIS!$C$137,1))+1)-1)*CROQUIS!$C$137/2+(MIN($A12,MIN(12,INT(58/MAX(CROQUIS!$C$137,1))+1))-1)*CROQUIS!$C$137))*CROQUIS!$C$178),-1000)</f>
        <v>-1000</v>
      </c>
      <c r="DI12">
        <f>IF(AND(CROQUIS!$C$88=1,CROQUIS!$C$137&gt;0),(12+((CROQUIS!$C$109+CROQUIS!$C$128+CROQUIS!$C$136/2))*CROQUIS!$C$178),-1000)</f>
        <v>-1000</v>
      </c>
      <c r="DJ12">
        <f>IF(AND(CROQUIS!$C$88=1,CROQUIS!$C$141&gt;0),(50+((-(MIN(12,INT(58/MAX(CROQUIS!$C$141,1))+1)-1)*CROQUIS!$C$141/2+(MIN($A12,MIN(12,INT(58/MAX(CROQUIS!$C$141,1))+1))-1)*CROQUIS!$C$141))*CROQUIS!$C$178),-1000)</f>
        <v>-1000</v>
      </c>
      <c r="DK12">
        <f>IF(AND(CROQUIS!$C$88=1,CROQUIS!$C$141&gt;0),(12+((CROQUIS!$C$108-CROQUIS!$C$110-CROQUIS!$C$132-CROQUIS!$C$140/2))*CROQUIS!$C$178),-1000)</f>
        <v>-1000</v>
      </c>
      <c r="DN12">
        <f>IF(AND(CROQUIS!$C$88=1),CHOOSE(MIN(MAX($A12,1),7),(50+(33)*CROQUIS!$C$178)-1.4,(50+(33)*CROQUIS!$C$178)+1.4,(50+(33)*CROQUIS!$C$178),(50+(33)*CROQUIS!$C$178),(50+(33)*CROQUIS!$C$178),(50+(33)*CROQUIS!$C$178)+1.4,(50+(33)*CROQUIS!$C$178)-1.4),-1000)</f>
        <v>-1000</v>
      </c>
      <c r="DO12">
        <f>IF(AND(CROQUIS!$C$88=1),CHOOSE(MIN(MAX($A12,1),7),(12+(0)*CROQUIS!$C$178),(12+(0)*CROQUIS!$C$178),(12+(0)*CROQUIS!$C$178),((12+(0)*CROQUIS!$C$178)+(12+(CROQUIS!$C$108)*CROQUIS!$C$178))/2,(12+(CROQUIS!$C$108)*CROQUIS!$C$178),(12+(CROQUIS!$C$108)*CROQUIS!$C$178),(12+(CROQUIS!$C$108)*CROQUIS!$C$178)),-1000)</f>
        <v>-1000</v>
      </c>
      <c r="DP12">
        <f>IF(AND(CROQUIS!$C$88=1),CHOOSE(MIN(MAX($A12,1),7),(50+(-33)*CROQUIS!$C$178)-0.8,(50+(-33)*CROQUIS!$C$178)+0.8,(50+(-33)*CROQUIS!$C$178),(50+(-33)*CROQUIS!$C$178),(50+(-33)*CROQUIS!$C$178),(50+(-33)*CROQUIS!$C$178)+0.8,(50+(-33)*CROQUIS!$C$178)-0.8),-1000)</f>
        <v>-1000</v>
      </c>
      <c r="DQ12">
        <f>IF(AND(CROQUIS!$C$88=1),CHOOSE(MIN(MAX($A12,1),7),(12+(0)*CROQUIS!$C$178),(12+(0)*CROQUIS!$C$178),(12+(0)*CROQUIS!$C$178),((12+(0)*CROQUIS!$C$178)+(12+(CROQUIS!$C$109)*CROQUIS!$C$178))/2,(12+(CROQUIS!$C$109)*CROQUIS!$C$178),(12+(CROQUIS!$C$109)*CROQUIS!$C$178),(12+(CROQUIS!$C$109)*CROQUIS!$C$178)),-1000)</f>
        <v>-1000</v>
      </c>
      <c r="DR12">
        <f>IF(AND(CROQUIS!$C$88=1),CHOOSE(MIN(MAX($A12,1),7),(50+(-33)*CROQUIS!$C$178)-0.8,(50+(-33)*CROQUIS!$C$178)+0.8,(50+(-33)*CROQUIS!$C$178),(50+(-33)*CROQUIS!$C$178),(50+(-33)*CROQUIS!$C$178),(50+(-33)*CROQUIS!$C$178)+0.8,(50+(-33)*CROQUIS!$C$178)-0.8),-1000)</f>
        <v>-1000</v>
      </c>
      <c r="DS12">
        <f>IF(AND(CROQUIS!$C$88=1),CHOOSE(MIN(MAX($A12,1),7),(12+(CROQUIS!$C$108-CROQUIS!$C$110)*CROQUIS!$C$178),(12+(CROQUIS!$C$108-CROQUIS!$C$110)*CROQUIS!$C$178),(12+(CROQUIS!$C$108-CROQUIS!$C$110)*CROQUIS!$C$178),((12+(CROQUIS!$C$108-CROQUIS!$C$110)*CROQUIS!$C$178)+(12+(CROQUIS!$C$108)*CROQUIS!$C$178))/2,(12+(CROQUIS!$C$108)*CROQUIS!$C$178),(12+(CROQUIS!$C$108)*CROQUIS!$C$178),(12+(CROQUIS!$C$108)*CROQUIS!$C$178)),-1000)</f>
        <v>-1000</v>
      </c>
      <c r="DT12">
        <f>IF(AND(CROQUIS!$C$88=1,MIN(12,INT(58/MAX(CROQUIS!$C$137,1))+1)&gt;=2),CHOOSE(MIN(MAX($A12,1)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12">
        <f>IF(AND(CROQUIS!$C$88=1,MIN(12,INT(58/MAX(CROQUIS!$C$137,1))+1)&gt;=2),CHOOSE(MIN(MAX($A12,1),7),(12+(-4)*CROQUIS!$C$178)-1.4,(12+(-4)*CROQUIS!$C$178)+1.4,(12+(-4)*CROQUIS!$C$178),(12+(-4)*CROQUIS!$C$178),(12+(-4)*CROQUIS!$C$178),(12+(-4)*CROQUIS!$C$178)+1.4,(12+(-4)*CROQUIS!$C$178)-1.4),-1000)</f>
        <v>-1000</v>
      </c>
      <c r="DV12">
        <f>IF(AND(CROQUIS!$C$87=1),CHOOSE(MIN(MAX($A12,1)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DW12">
        <f>IF(AND(CROQUIS!$C$87=1),CHOOSE(MIN(MAX($A12,1),5),(30+(0)*CROQUIS!$C$175*CROQUIS!$C$176),(30+(0)*CROQUIS!$C$175*CROQUIS!$C$176),(30+(CROQUIS!$C$108)*CROQUIS!$C$175*CROQUIS!$C$176),(30+(CROQUIS!$C$108)*CROQUIS!$C$175*CROQUIS!$C$176),(30+(0)*CROQUIS!$C$175*CROQUIS!$C$176)),-1000)</f>
        <v>30</v>
      </c>
      <c r="DX12">
        <f>IF(AND(CROQUIS!$C$87=1),CHOOSE(MIN(MAX($A12,1)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DY12">
        <f>IF(AND(CROQUIS!$C$87=1),CHOOSE(MIN(MAX($A12,1),10),30,30,20,20,30,IF(CROQUIS!$C$91=1,30,30),IF(CROQUIS!$C$91=1,30,30),IF(CROQUIS!$C$91=1,30,20),IF(CROQUIS!$C$91=1,30,20),IF(CROQUIS!$C$91=1,30,30)),-1000)</f>
        <v>30</v>
      </c>
      <c r="DZ12">
        <f>IF(AND(CROQUIS!$C$87=1,CROQUIS!$C$153=1),CHOOSE(MIN(MAX($A12,1),5),(4+((-CROQUIS!$C$149-CROQUIS!$C$107/2)-CROQUIS!$C$173)*CROQUIS!$C$175),(4+((-CROQUIS!$C$149+CROQUIS!$C$107/2)-CROQUIS!$C$173)*CROQUIS!$C$175),(4+((-CROQUIS!$C$149+CROQUIS!$C$107/2)-CROQUIS!$C$173)*CROQUIS!$C$175),(4+((-CROQUIS!$C$149-CROQUIS!$C$107/2)-CROQUIS!$C$173)*CROQUIS!$C$175),(4+((-CROQUIS!$C$149-CROQUIS!$C$107/2)-CROQUIS!$C$173)*CROQUIS!$C$175)),-1000)</f>
        <v>-1000</v>
      </c>
      <c r="EA12">
        <f>IF(AND(CROQUIS!$C$87=1,CROQUIS!$C$153=1),CHOOSE(MIN(MAX($A12,1),5),30,30,20,20,30),-1000)</f>
        <v>-1000</v>
      </c>
      <c r="EB12">
        <f>IF(AND(CROQUIS!$C$87=1),CHOOSE(MIN(MAX($A12,1)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C12">
        <f>IF(AND(CROQUIS!$C$87=1),CHOOSE(MIN(MAX($A12,1)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12">
        <f>IF(AND(CROQUIS!$C$87=1,CROQUIS!$C$133&gt;0),CHOOSE(MIN(MAX($A12,1)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E12">
        <f>IF(AND(CROQUIS!$C$87=1,CROQUIS!$C$133&gt;0),CHOOSE(MIN(MAX($A12,1)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L12">
        <f>IF(AND(CROQUIS!$C$87=1,CROQUIS!$C$166&gt;0),CHOOSE(MIN(MAX($A12,1)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EM12">
        <f>IF(AND(CROQUIS!$C$87=1,CROQUIS!$C$166&gt;0),CHOOSE(MIN(MAX($A12,1),5),(30+(0)*CROQUIS!$C$175*CROQUIS!$C$176),(30+(0)*CROQUIS!$C$175*CROQUIS!$C$176),(30+(CROQUIS!$C$117)*CROQUIS!$C$175*CROQUIS!$C$176),(30+(CROQUIS!$C$117)*CROQUIS!$C$175*CROQUIS!$C$176),(30+(0)*CROQUIS!$C$175*CROQUIS!$C$176)),-1000)</f>
        <v>30</v>
      </c>
      <c r="EP12">
        <f>IF(AND(CROQUIS!$C$87=1),CHOOSE(MIN(MAX($A12,1),7),(4+((0)-CROQUIS!$C$173)*CROQUIS!$C$175),(4+((0)-CROQUIS!$C$173)*CROQUIS!$C$175),(4+((0)-CROQUIS!$C$173)*CROQUIS!$C$175),((4+((0)-CROQUIS!$C$173)*CROQUIS!$C$175)+(4+((CROQUIS!$C$97)-CROQUIS!$C$173)*CROQUIS!$C$175))/2,(4+((CROQUIS!$C$97)-CROQUIS!$C$173)*CROQUIS!$C$175),(4+((CROQUIS!$C$97)-CROQUIS!$C$173)*CROQUIS!$C$175),(4+((CROQUIS!$C$97)-CROQUIS!$C$173)*CROQUIS!$C$175)),-1000)</f>
        <v>88.7368421052632</v>
      </c>
      <c r="EQ12">
        <f>IF(AND(CROQUIS!$C$87=1),CHOOSE(MIN(MAX($A12,1),7),15-1.4,15+1.4,15,15,15,15+1.4,15-1.4),-1000)</f>
        <v>15</v>
      </c>
      <c r="ER12">
        <f>IF(AND(CROQUIS!$C$87=1,OR(CROQUIS!$C$91=1,AND(CROQUIS!$C$133&gt;=2,OR(CROQUIS!$C$103=1,CROQUIS!$C$145=1)))),CHOOSE(MIN(MAX($A12,1)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12">
        <f>IF(AND(CROQUIS!$C$87=1,OR(CROQUIS!$C$91=1,AND(CROQUIS!$C$133&gt;=2,OR(CROQUIS!$C$103=1,CROQUIS!$C$145=1)))),CHOOSE(MIN(MAX($A12,1)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T12">
        <f>IF(AND(CROQUIS!$C$87=1,CROQUIS!$C$91=1,CROQUIS!$C$151&gt;0),CHOOSE(MIN(MAX($A12,1),5),(4+((CROQUIS!$C$97)-CROQUIS!$C$173)*CROQUIS!$C$175),(4+((CROQUIS!$C$97)-CROQUIS!$C$173)*CROQUIS!$C$175),(4+((CROQUIS!$C$97)-CROQUIS!$C$173)*CROQUIS!$C$175)-1.2,(4+((CROQUIS!$C$97)-CROQUIS!$C$173)*CROQUIS!$C$175),(4+((CROQUIS!$C$97)-CROQUIS!$C$173)*CROQUIS!$C$175)+1.2),-1000)</f>
        <v>-1000</v>
      </c>
      <c r="EU12">
        <f>IF(AND(CROQUIS!$C$87=1,CROQUIS!$C$91=1,CROQUIS!$C$151&gt;0),CHOOSE(MIN(MAX($A12,1),5),(30+(CROQUIS!$C$108)*CROQUIS!$C$175*CROQUIS!$C$176)+13,(30+(CROQUIS!$C$108)*CROQUIS!$C$175*CROQUIS!$C$176)+1,(30+(CROQUIS!$C$108)*CROQUIS!$C$175*CROQUIS!$C$176)+4,(30+(CROQUIS!$C$108)*CROQUIS!$C$175*CROQUIS!$C$176)+1,(30+(CROQUIS!$C$108)*CROQUIS!$C$175*CROQUIS!$C$176)+4),-1000)</f>
        <v>-1000</v>
      </c>
      <c r="EV12">
        <f>IF(AND(CROQUIS!$C$88=1),CHOOSE(MIN(MAX($A12,1)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EW12">
        <f>IF(AND(CROQUIS!$C$88=1),CHOOSE(MIN(MAX($A12,1),5),(30+(0)*CROQUIS!$C$175*CROQUIS!$C$176),(30+(0)*CROQUIS!$C$175*CROQUIS!$C$176),(30+(CROQUIS!$C$108)*CROQUIS!$C$175*CROQUIS!$C$176),(30+(CROQUIS!$C$108)*CROQUIS!$C$175*CROQUIS!$C$176),(30+(0)*CROQUIS!$C$175*CROQUIS!$C$176)),-1000)</f>
        <v>-1000</v>
      </c>
      <c r="EX12">
        <f>IF(AND(CROQUIS!$C$88=1),CHOOSE(MIN(MAX($A12,1)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2">
        <f>IF(AND(CROQUIS!$C$88=1),CHOOSE(MIN(MAX($A12,1),10),30,30,20,20,30,IF(CROQUIS!$C$91=1,30,30),IF(CROQUIS!$C$91=1,30,30),IF(CROQUIS!$C$91=1,30,20),IF(CROQUIS!$C$91=1,30,20),IF(CROQUIS!$C$91=1,30,30)),-1000)</f>
        <v>-1000</v>
      </c>
      <c r="EZ12">
        <f>IF(AND(CROQUIS!$C$88=1,CROQUIS!$C$153=1),CHOOSE(MIN(MAX($A12,1),5),(4+((-CROQUIS!$C$149-CROQUIS!$C$107/2)-CROQUIS!$C$173)*CROQUIS!$C$175),(4+((-CROQUIS!$C$149+CROQUIS!$C$107/2)-CROQUIS!$C$173)*CROQUIS!$C$175),(4+((-CROQUIS!$C$149+CROQUIS!$C$107/2)-CROQUIS!$C$173)*CROQUIS!$C$175),(4+((-CROQUIS!$C$149-CROQUIS!$C$107/2)-CROQUIS!$C$173)*CROQUIS!$C$175),(4+((-CROQUIS!$C$149-CROQUIS!$C$107/2)-CROQUIS!$C$173)*CROQUIS!$C$175)),-1000)</f>
        <v>-1000</v>
      </c>
      <c r="FA12">
        <f>IF(AND(CROQUIS!$C$88=1,CROQUIS!$C$153=1),CHOOSE(MIN(MAX($A12,1),5),30,30,20,20,30),-1000)</f>
        <v>-1000</v>
      </c>
      <c r="FB12">
        <f>IF(AND(CROQUIS!$C$88=1),CHOOSE(MIN(MAX($A12,1)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12">
        <f>IF(AND(CROQUIS!$C$88=1),CHOOSE(MIN(MAX($A12,1)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12">
        <f>IF(AND(CROQUIS!$C$88=1,CROQUIS!$C$91=1,CROQUIS!$C$133&gt;0),CHOOSE(MIN(MAX($A12,1)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12">
        <f>IF(AND(CROQUIS!$C$88=1,CROQUIS!$C$91=1,CROQUIS!$C$133&gt;0),CHOOSE(MIN(MAX($A12,1)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J12">
        <f>IF(AND(CROQUIS!$C$88=1),CHOOSE(MIN(MAX($A12,1),7),(4+((0)-CROQUIS!$C$173)*CROQUIS!$C$175),(4+((0)-CROQUIS!$C$173)*CROQUIS!$C$175),(4+((0)-CROQUIS!$C$173)*CROQUIS!$C$175),((4+((0)-CROQUIS!$C$173)*CROQUIS!$C$175)+(4+((CROQUIS!$C$97)-CROQUIS!$C$173)*CROQUIS!$C$175))/2,(4+((CROQUIS!$C$97)-CROQUIS!$C$173)*CROQUIS!$C$175),(4+((CROQUIS!$C$97)-CROQUIS!$C$173)*CROQUIS!$C$175),(4+((CROQUIS!$C$97)-CROQUIS!$C$173)*CROQUIS!$C$175)),-1000)</f>
        <v>-1000</v>
      </c>
      <c r="FK12">
        <f>IF(AND(CROQUIS!$C$88=1),CHOOSE(MIN(MAX($A12,1),7),15-1.4,15+1.4,15,15,15,15+1.4,15-1.4),-1000)</f>
        <v>-1000</v>
      </c>
      <c r="FL12">
        <f>IF(AND(CROQUIS!$C$88=1,OR(CROQUIS!$C$91=1,AND(CROQUIS!$C$133&gt;0,OR(CROQUIS!$C$103=1,CROQUIS!$C$145=1)))),CHOOSE(MIN(MAX($A12,1)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12">
        <f>IF(AND(CROQUIS!$C$88=1,OR(CROQUIS!$C$91=1,AND(CROQUIS!$C$133&gt;0,OR(CROQUIS!$C$103=1,CROQUIS!$C$145=1)))),CHOOSE(MIN(MAX($A12,1)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12">
        <f>IF(AND(CROQUIS!$C$88=1,CROQUIS!$C$91=1,CROQUIS!$C$151&gt;0),CHOOSE(MIN(MAX($A12,1),5),(4+((CROQUIS!$C$97)-CROQUIS!$C$173)*CROQUIS!$C$175),(4+((CROQUIS!$C$97)-CROQUIS!$C$173)*CROQUIS!$C$175),(4+((CROQUIS!$C$97)-CROQUIS!$C$173)*CROQUIS!$C$175)-1.2,(4+((CROQUIS!$C$97)-CROQUIS!$C$173)*CROQUIS!$C$175),(4+((CROQUIS!$C$97)-CROQUIS!$C$173)*CROQUIS!$C$175)+1.2),-1000)</f>
        <v>-1000</v>
      </c>
      <c r="FO12">
        <f>IF(AND(CROQUIS!$C$88=1,CROQUIS!$C$91=1,CROQUIS!$C$151&gt;0),CHOOSE(MIN(MAX($A12,1),5),(30+(CROQUIS!$C$108)*CROQUIS!$C$175*CROQUIS!$C$176)+13,(30+(CROQUIS!$C$108)*CROQUIS!$C$175*CROQUIS!$C$176)+1,(30+(CROQUIS!$C$108)*CROQUIS!$C$175*CROQUIS!$C$176)+4,(30+(CROQUIS!$C$108)*CROQUIS!$C$175*CROQUIS!$C$176)+1,(30+(CROQUIS!$C$108)*CROQUIS!$C$175*CROQUIS!$C$176)+4),-1000)</f>
        <v>-1000</v>
      </c>
    </row>
    <row r="13">
      <c r="A13" t="n">
        <v>6</v>
      </c>
      <c r="F13">
        <f>IF(AND(CROQUIS!$C$87=1,CROQUIS!$C$91=1),((CROQUIS!$C$160+(IF(CROQUIS!$C$92="X",IF(CROQUIS!$C$94=1,0,CROQUIS!$C$97)+IF(MOD($A13,2)=1,-CROQUIS!$C$107/2,CROQUIS!$C$107/2),(MIN($A13,41)-1)/40*CROQUIS!$C$98))*CROQUIS!$C$159)+IF(CROQUIS!$C$92="X",0,0)),-1000)</f>
        <v>-1000</v>
      </c>
      <c r="G13">
        <f>IF(AND(CROQUIS!$C$87=1,CROQUIS!$C$91=1),((CROQUIS!$C$161+(IF(CROQUIS!$C$92="X",(MIN($A13,41)-1)/40*CROQUIS!$C$98,IF(CROQUIS!$C$94=1,0,CROQUIS!$C$97)+IF(MOD($A13,2)=1,-CROQUIS!$C$107/2,CROQUIS!$C$107/2)))*CROQUIS!$C$159)+IF(CROQUIS!$C$92="X",0,0)),-1000)</f>
        <v>-1000</v>
      </c>
      <c r="N13">
        <f>IF(AND(CROQUIS!$C$87=1),CHOOSE(MIN(MAX($A13,1),7),(CROQUIS!$C$160+(0)*CROQUIS!$C$159),(CROQUIS!$C$160+(0)*CROQUIS!$C$159),(CROQUIS!$C$160+(0)*CROQUIS!$C$159),((CROQUIS!$C$160+(0)*CROQUIS!$C$159)+(CROQUIS!$C$160+(CROQUIS!$C$95)*CROQUIS!$C$159))/2,(CROQUIS!$C$160+(CROQUIS!$C$95)*CROQUIS!$C$159),(CROQUIS!$C$160+(CROQUIS!$C$95)*CROQUIS!$C$159),(CROQUIS!$C$160+(CROQUIS!$C$95)*CROQUIS!$C$159)),-1000)</f>
        <v>88</v>
      </c>
      <c r="O13">
        <f>IF(AND(CROQUIS!$C$87=1),CHOOSE(MIN(MAX($A13,1),7),((CROQUIS!$C$161+(CROQUIS!$C$157)*CROQUIS!$C$159)-5)-1.4,((CROQUIS!$C$161+(CROQUIS!$C$157)*CROQUIS!$C$159)-5)+1.4,((CROQUIS!$C$161+(CROQUIS!$C$157)*CROQUIS!$C$159)-5),((CROQUIS!$C$161+(CROQUIS!$C$157)*CROQUIS!$C$159)-5),((CROQUIS!$C$161+(CROQUIS!$C$157)*CROQUIS!$C$159)-5),((CROQUIS!$C$161+(CROQUIS!$C$157)*CROQUIS!$C$159)-5)+1.4,((CROQUIS!$C$161+(CROQUIS!$C$157)*CROQUIS!$C$159)-5)-1.4),-1000)</f>
        <v>12.0574785359241</v>
      </c>
      <c r="P13">
        <f>IF(AND(CROQUIS!$C$87=1),CHOOSE(MIN(MAX($A13,1),7),((CROQUIS!$C$160+(CROQUIS!$C$155)*CROQUIS!$C$159)-5)-1.4,((CROQUIS!$C$160+(CROQUIS!$C$155)*CROQUIS!$C$159)-5)+1.4,((CROQUIS!$C$160+(CROQUIS!$C$155)*CROQUIS!$C$159)-5),((CROQUIS!$C$160+(CROQUIS!$C$155)*CROQUIS!$C$159)-5),((CROQUIS!$C$160+(CROQUIS!$C$155)*CROQUIS!$C$159)-5),((CROQUIS!$C$160+(CROQUIS!$C$155)*CROQUIS!$C$159)-5)+1.4,((CROQUIS!$C$160+(CROQUIS!$C$155)*CROQUIS!$C$159)-5)-1.4),-1000)</f>
        <v>8.4</v>
      </c>
      <c r="Q13">
        <f>IF(AND(CROQUIS!$C$87=1),CHOOSE(MIN(MAX($A13,1),7),(CROQUIS!$C$161+(0)*CROQUIS!$C$159),(CROQUIS!$C$161+(0)*CROQUIS!$C$159),(CROQUIS!$C$161+(0)*CROQUIS!$C$159),((CROQUIS!$C$161+(0)*CROQUIS!$C$159)+(CROQUIS!$C$161+(CROQUIS!$C$96)*CROQUIS!$C$159))/2,(CROQUIS!$C$161+(CROQUIS!$C$96)*CROQUIS!$C$159),(CROQUIS!$C$161+(CROQUIS!$C$96)*CROQUIS!$C$159),(CROQUIS!$C$161+(CROQUIS!$C$96)*CROQUIS!$C$159)),-1000)</f>
        <v>84.3425214640759</v>
      </c>
      <c r="V13">
        <f>IF(AND(CROQUIS!$C$88=1,CROQUIS!$C$91=1),((CROQUIS!$C$160+(IF(CROQUIS!$C$92="X",IF(CROQUIS!$C$94=1,0,CROQUIS!$C$97)+IF(MOD($A13,2)=1,-CROQUIS!$C$107/2,CROQUIS!$C$107/2),(MIN($A13,41)-1)/40*CROQUIS!$C$98))*CROQUIS!$C$159)+IF(CROQUIS!$C$92="X",0,0)),-1000)</f>
        <v>-1000</v>
      </c>
      <c r="W13">
        <f>IF(AND(CROQUIS!$C$88=1,CROQUIS!$C$91=1),((CROQUIS!$C$161+(IF(CROQUIS!$C$92="X",(MIN($A13,41)-1)/40*CROQUIS!$C$98,IF(CROQUIS!$C$94=1,0,CROQUIS!$C$97)+IF(MOD($A13,2)=1,-CROQUIS!$C$107/2,CROQUIS!$C$107/2)))*CROQUIS!$C$159)+IF(CROQUIS!$C$92="X",0,0)),-1000)</f>
        <v>-1000</v>
      </c>
      <c r="AD13">
        <f>IF(AND(CROQUIS!$C$88=1),CHOOSE(MIN(MAX($A13,1),7),(CROQUIS!$C$160+(0)*CROQUIS!$C$159),(CROQUIS!$C$160+(0)*CROQUIS!$C$159),(CROQUIS!$C$160+(0)*CROQUIS!$C$159),((CROQUIS!$C$160+(0)*CROQUIS!$C$159)+(CROQUIS!$C$160+(CROQUIS!$C$95)*CROQUIS!$C$159))/2,(CROQUIS!$C$160+(CROQUIS!$C$95)*CROQUIS!$C$159),(CROQUIS!$C$160+(CROQUIS!$C$95)*CROQUIS!$C$159),(CROQUIS!$C$160+(CROQUIS!$C$95)*CROQUIS!$C$159)),-1000)</f>
        <v>-1000</v>
      </c>
      <c r="AE13">
        <f>IF(AND(CROQUIS!$C$88=1),CHOOSE(MIN(MAX($A13,1),7),((CROQUIS!$C$161+(CROQUIS!$C$157)*CROQUIS!$C$159)-5)-1.4,((CROQUIS!$C$161+(CROQUIS!$C$157)*CROQUIS!$C$159)-5)+1.4,((CROQUIS!$C$161+(CROQUIS!$C$157)*CROQUIS!$C$159)-5),((CROQUIS!$C$161+(CROQUIS!$C$157)*CROQUIS!$C$159)-5),((CROQUIS!$C$161+(CROQUIS!$C$157)*CROQUIS!$C$159)-5),((CROQUIS!$C$161+(CROQUIS!$C$157)*CROQUIS!$C$159)-5)+1.4,((CROQUIS!$C$161+(CROQUIS!$C$157)*CROQUIS!$C$159)-5)-1.4),-1000)</f>
        <v>-1000</v>
      </c>
      <c r="AF13">
        <f>IF(AND(CROQUIS!$C$88=1),CHOOSE(MIN(MAX($A13,1),7),((CROQUIS!$C$160+(CROQUIS!$C$155)*CROQUIS!$C$159)-5)-1.4,((CROQUIS!$C$160+(CROQUIS!$C$155)*CROQUIS!$C$159)-5)+1.4,((CROQUIS!$C$160+(CROQUIS!$C$155)*CROQUIS!$C$159)-5),((CROQUIS!$C$160+(CROQUIS!$C$155)*CROQUIS!$C$159)-5),((CROQUIS!$C$160+(CROQUIS!$C$155)*CROQUIS!$C$159)-5),((CROQUIS!$C$160+(CROQUIS!$C$155)*CROQUIS!$C$159)-5)+1.4,((CROQUIS!$C$160+(CROQUIS!$C$155)*CROQUIS!$C$159)-5)-1.4),-1000)</f>
        <v>-1000</v>
      </c>
      <c r="AG13">
        <f>IF(AND(CROQUIS!$C$88=1),CHOOSE(MIN(MAX($A13,1),7),(CROQUIS!$C$161+(0)*CROQUIS!$C$159),(CROQUIS!$C$161+(0)*CROQUIS!$C$159),(CROQUIS!$C$161+(0)*CROQUIS!$C$159),((CROQUIS!$C$161+(0)*CROQUIS!$C$159)+(CROQUIS!$C$161+(CROQUIS!$C$96)*CROQUIS!$C$159))/2,(CROQUIS!$C$161+(CROQUIS!$C$96)*CROQUIS!$C$159),(CROQUIS!$C$161+(CROQUIS!$C$96)*CROQUIS!$C$159),(CROQUIS!$C$161+(CROQUIS!$C$96)*CROQUIS!$C$159)),-1000)</f>
        <v>-1000</v>
      </c>
      <c r="AJ13">
        <f>IF(AND(CROQUIS!$C$87=1,CROQUIS!$C$162&gt;0,CROQUIS!$C$164&gt;0),(CROQUIS!$C$160+((CROQUIS!$C$163+INT(MIN(INT(($A13-1)/2),MAX((2*CROQUIS!$C$162)-1,0))/2)*CROQUIS!$C$116+MOD(MIN(INT(($A13-1)/2),MAX((2*CROQUIS!$C$162)-1,0)),2)*CROQUIS!$C$114))*CROQUIS!$C$159),-1000)</f>
        <v>34.9751468594668</v>
      </c>
      <c r="AK13">
        <f>IF(AND(CROQUIS!$C$87=1,CROQUIS!$C$162&gt;0,CROQUIS!$C$164&gt;0),(CROQUIS!$C$161+(IF(MOD(MIN(INT(($A13-1)/2),MAX((2*CROQUIS!$C$162)-1,0)),2)=0,IF(IF(INT(($A13-1)/2)&gt;MAX((2*CROQUIS!$C$162)-1,0),1,MOD($A13-1,2))=0,CROQUIS!$C$165,(CROQUIS!$C$165+(CROQUIS!$C$164-1)*CROQUIS!$C$116+CROQUIS!$C$115)),IF(IF(INT(($A13-1)/2)&gt;MAX((2*CROQUIS!$C$162)-1,0),1,MOD($A13-1,2))=0,(CROQUIS!$C$165+(CROQUIS!$C$164-1)*CROQUIS!$C$116+CROQUIS!$C$115),CROQUIS!$C$165)))*CROQUIS!$C$159),-1000)</f>
        <v>79.1911432444645</v>
      </c>
      <c r="AL13">
        <f>IF(AND(CROQUIS!$C$87=1,CROQUIS!$C$164&gt;0,CROQUIS!$C$162&gt;0),(CROQUIS!$C$160+(IF(MOD(MIN(INT(($A13-1)/2),MAX((2*CROQUIS!$C$164)-1,0)),2)=0,IF(IF(INT(($A13-1)/2)&gt;MAX((2*CROQUIS!$C$164)-1,0),1,MOD($A13-1,2))=0,CROQUIS!$C$163,(CROQUIS!$C$163+(CROQUIS!$C$162-1)*CROQUIS!$C$116+CROQUIS!$C$114)),IF(IF(INT(($A13-1)/2)&gt;MAX((2*CROQUIS!$C$164)-1,0),1,MOD($A13-1,2))=0,(CROQUIS!$C$163+(CROQUIS!$C$162-1)*CROQUIS!$C$116+CROQUIS!$C$114),CROQUIS!$C$163)))*CROQUIS!$C$159),-1000)</f>
        <v>81.3375508359693</v>
      </c>
      <c r="AM13">
        <f>IF(AND(CROQUIS!$C$87=1,CROQUIS!$C$164&gt;0,CROQUIS!$C$162&gt;0),(CROQUIS!$C$161+((CROQUIS!$C$165+INT(MIN(INT(($A13-1)/2),MAX((2*CROQUIS!$C$164)-1,0))/2)*CROQUIS!$C$116+MOD(MIN(INT(($A13-1)/2),MAX((2*CROQUIS!$C$164)-1,0)),2)*CROQUIS!$C$115))*CROQUIS!$C$159),-1000)</f>
        <v>32.828739267962</v>
      </c>
      <c r="AN13">
        <f>IF(AND(CROQUIS!$C$87=1,CROQUIS!$C$162&gt;=2),(CROQUIS!$C$160+((CROQUIS!$C$163+CROQUIS!$C$114+(CROQUIS!$C$116-CROQUIS!$C$114)/2+MIN(INT(($A13-1)/2),MAX((CROQUIS!$C$162-1)-1,0))*CROQUIS!$C$116))*CROQUIS!$C$159),-1000)</f>
        <v>58.156348847718</v>
      </c>
      <c r="AO13">
        <f>IF(AND(CROQUIS!$C$87=1,CROQUIS!$C$162&gt;=2),(CROQUIS!$C$161+(IF(MOD(MIN(INT(($A13-1)/2),MAX((CROQUIS!$C$162-1)-1,0)),2)=0,IF(IF(INT(($A13-1)/2)&gt;MAX((CROQUIS!$C$162-1)-1,0),1,MOD($A13-1,2))=0,CROQUIS!$C$107/2,(CROQUIS!$C$96-CROQUIS!$C$107/2)),IF(IF(INT(($A13-1)/2)&gt;MAX((CROQUIS!$C$162-1)-1,0),1,MOD($A13-1,2))=0,(CROQUIS!$C$96-CROQUIS!$C$107/2),CROQUIS!$C$107/2)))*CROQUIS!$C$159),-1000)</f>
        <v>83.0546769091731</v>
      </c>
      <c r="AP13">
        <f>IF(AND(CROQUIS!$C$87=1,CROQUIS!$C$164&gt;=2),(CROQUIS!$C$160+(IF(MOD(MIN(INT(($A13-1)/2),MAX((CROQUIS!$C$164-1)-1,0)),2)=0,IF(IF(INT(($A13-1)/2)&gt;MAX((CROQUIS!$C$164-1)-1,0),1,MOD($A13-1,2))=0,CROQUIS!$C$107/2,(CROQUIS!$C$95-CROQUIS!$C$107/2)),IF(IF(INT(($A13-1)/2)&gt;MAX((CROQUIS!$C$164-1)-1,0),1,MOD($A13-1,2))=0,(CROQUIS!$C$95-CROQUIS!$C$107/2),CROQUIS!$C$107/2)))*CROQUIS!$C$159),-1000)</f>
        <v>86.7121554450972</v>
      </c>
      <c r="AQ13">
        <f>IF(AND(CROQUIS!$C$87=1,CROQUIS!$C$164&gt;=2),(CROQUIS!$C$161+((CROQUIS!$C$165+CROQUIS!$C$115+(CROQUIS!$C$116-CROQUIS!$C$115)/2+MIN(INT(($A13-1)/2),MAX((CROQUIS!$C$164-1)-1,0))*CROQUIS!$C$116))*CROQUIS!$C$159),-1000)</f>
        <v>56.0099412562133</v>
      </c>
      <c r="AR13">
        <f>IF(AND(CROQUIS!$C$87=1,CROQUIS!$C$126&gt;0,CROQUIS!$C$166&gt;0),((CROQUIS!$C$160+(IF(CROQUIS!$C$92="X",CHOOSE(MIN(MAX($A13,1)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13,1)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3">
        <f>IF(AND(CROQUIS!$C$87=1,CROQUIS!$C$126&gt;0,CROQUIS!$C$166&gt;0),((CROQUIS!$C$161+(IF(CROQUIS!$C$92="X",CHOOSE(MIN(MAX($A13,1)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13,1)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L13">
        <f>IF(AND(CROQUIS!$C$87=1,CROQUIS!$C$162&gt;=2),CHOOSE(MIN(MAX($A13,1)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BM13">
        <f>IF(AND(CROQUIS!$C$87=1,CROQUIS!$C$162&gt;=2),CHOOSE(MIN(MAX($A13,1),7),((CROQUIS!$C$161+(CROQUIS!$C$158)*CROQUIS!$C$159)+4)-1.4,((CROQUIS!$C$161+(CROQUIS!$C$158)*CROQUIS!$C$159)+4)+1.4,((CROQUIS!$C$161+(CROQUIS!$C$158)*CROQUIS!$C$159)+4),((CROQUIS!$C$161+(CROQUIS!$C$158)*CROQUIS!$C$159)+4),((CROQUIS!$C$161+(CROQUIS!$C$158)*CROQUIS!$C$159)+4),((CROQUIS!$C$161+(CROQUIS!$C$158)*CROQUIS!$C$159)+4)+1.4,((CROQUIS!$C$161+(CROQUIS!$C$158)*CROQUIS!$C$159)+4)-1.4),-1000)</f>
        <v>89.7425214640759</v>
      </c>
      <c r="BN13">
        <f>IF(AND(CROQUIS!$C$88=1,CROQUIS!$C$129&gt;0),((CROQUIS!$C$160+(IF(CROQUIS!$C$92="X",CHOOSE(IF(INT(($A13-1)/5)&gt;MAX((MAX(1,INT(((CROQUIS!$C$98)-CROQUIS!$C$107)/MAX((CROQUIS!$C$129*MAX(1,CEILING((INT(((CROQUIS!$C$98)-CROQUIS!$C$107)/MAX(CROQUIS!$C$129,1))+1)/80,1))),1))+1))-1,0),0,MOD($A13-1,5))+1,0,2,CROQUIS!$C$97-2,2,0),((CROQUIS!$C$107/2+(((CROQUIS!$C$98)-CROQUIS!$C$107)-(MAX(1,INT(((CROQUIS!$C$98)-CROQUIS!$C$107)/MAX((CROQUIS!$C$129*MAX(1,CEILING((INT(((CROQUIS!$C$98)-CROQUIS!$C$107)/MAX(CROQUIS!$C$129,1))+1)/80,1))),1))+1)-1)*(CROQUIS!$C$129*MAX(1,CEILING((INT(((CROQUIS!$C$98)-CROQUIS!$C$107)/MAX(CROQUIS!$C$129,1))+1)/80,1))))/2)+MIN(INT(($A13-1)/5),MAX((MAX(1,INT(((CROQUIS!$C$98)-CROQUIS!$C$107)/MAX((CROQUIS!$C$129*MAX(1,CEILING((INT(((CROQUIS!$C$98)-CROQUIS!$C$107)/MAX(CROQUIS!$C$129,1))+1)/80,1))),1))+1))-1,0))*(CROQUIS!$C$129*MAX(1,CEILING((INT(((CROQUIS!$C$98)-CROQUIS!$C$107)/MAX(CROQUIS!$C$129,1))+1)/80,1))))))*CROQUIS!$C$159)+IF(CROQUIS!$C$92="X",0,0)),-1000)</f>
        <v>-1000</v>
      </c>
      <c r="BO13">
        <f>IF(AND(CROQUIS!$C$88=1,CROQUIS!$C$129&gt;0),((CROQUIS!$C$161+(IF(CROQUIS!$C$92="X",((CROQUIS!$C$107/2+(((CROQUIS!$C$98)-CROQUIS!$C$107)-(MAX(1,INT(((CROQUIS!$C$98)-CROQUIS!$C$107)/MAX((CROQUIS!$C$129*MAX(1,CEILING((INT(((CROQUIS!$C$98)-CROQUIS!$C$107)/MAX(CROQUIS!$C$129,1))+1)/80,1))),1))+1)-1)*(CROQUIS!$C$129*MAX(1,CEILING((INT(((CROQUIS!$C$98)-CROQUIS!$C$107)/MAX(CROQUIS!$C$129,1))+1)/80,1))))/2)+MIN(INT(($A13-1)/5),MAX((MAX(1,INT(((CROQUIS!$C$98)-CROQUIS!$C$107)/MAX((CROQUIS!$C$129*MAX(1,CEILING((INT(((CROQUIS!$C$98)-CROQUIS!$C$107)/MAX(CROQUIS!$C$129,1))+1)/80,1))),1))+1))-1,0))*(CROQUIS!$C$129*MAX(1,CEILING((INT(((CROQUIS!$C$98)-CROQUIS!$C$107)/MAX(CROQUIS!$C$129,1))+1)/80,1)))),CHOOSE(IF(INT(($A13-1)/5)&gt;MAX((MAX(1,INT(((CROQUIS!$C$98)-CROQUIS!$C$107)/MAX((CROQUIS!$C$129*MAX(1,CEILING((INT(((CROQUIS!$C$98)-CROQUIS!$C$107)/MAX(CROQUIS!$C$129,1))+1)/80,1))),1))+1))-1,0),0,MOD($A13-1,5))+1,0,2,CROQUIS!$C$97-2,2,0)))*CROQUIS!$C$159)+IF(CROQUIS!$C$92="X",0,0)),-1000)</f>
        <v>-1000</v>
      </c>
      <c r="BP13">
        <f>IF(AND(CROQUIS!$C$88=1,CROQUIS!$C$137&gt;0),((CROQUIS!$C$160+(IF(CROQUIS!$C$92="X",((CROQUIS!$C$107/2+(((CROQUIS!$C$97)-CROQUIS!$C$107)-(MAX(1,INT(((CROQUIS!$C$97)-CROQUIS!$C$107)/MAX((CROQUIS!$C$137*MAX(1,CEILING((INT(((CROQUIS!$C$97)-CROQUIS!$C$107)/MAX(CROQUIS!$C$137,1))+1)/80,1))),1))+1)-1)*(CROQUIS!$C$137*MAX(1,CEILING((INT(((CROQUIS!$C$97)-CROQUIS!$C$107)/MAX(CROQUIS!$C$137,1))+1)/80,1))))/2)+MIN(INT(($A13-1)/5),MAX((MAX(1,INT(((CROQUIS!$C$97)-CROQUIS!$C$107)/MAX((CROQUIS!$C$137*MAX(1,CEILING((INT(((CROQUIS!$C$97)-CROQUIS!$C$107)/MAX(CROQUIS!$C$137,1))+1)/80,1))),1))+1))-1,0))*(CROQUIS!$C$137*MAX(1,CEILING((INT(((CROQUIS!$C$97)-CROQUIS!$C$107)/MAX(CROQUIS!$C$137,1))+1)/80,1)))),CHOOSE(IF(INT(($A13-1)/5)&gt;MAX((MAX(1,INT(((CROQUIS!$C$97)-CROQUIS!$C$107)/MAX((CROQUIS!$C$137*MAX(1,CEILING((INT(((CROQUIS!$C$97)-CROQUIS!$C$107)/MAX(CROQUIS!$C$137,1))+1)/80,1))),1))+1))-1,0),0,MOD($A13-1,5))+1,0,2,CROQUIS!$C$98-2,2,0)))*CROQUIS!$C$159)+IF(CROQUIS!$C$92="X",0,0)),-1000)</f>
        <v>-1000</v>
      </c>
      <c r="BQ13">
        <f>IF(AND(CROQUIS!$C$88=1,CROQUIS!$C$137&gt;0),((CROQUIS!$C$161+(IF(CROQUIS!$C$92="X",CHOOSE(IF(INT(($A13-1)/5)&gt;MAX((MAX(1,INT(((CROQUIS!$C$97)-CROQUIS!$C$107)/MAX((CROQUIS!$C$137*MAX(1,CEILING((INT(((CROQUIS!$C$97)-CROQUIS!$C$107)/MAX(CROQUIS!$C$137,1))+1)/80,1))),1))+1))-1,0),0,MOD($A13-1,5))+1,0,2,CROQUIS!$C$98-2,2,0),((CROQUIS!$C$107/2+(((CROQUIS!$C$97)-CROQUIS!$C$107)-(MAX(1,INT(((CROQUIS!$C$97)-CROQUIS!$C$107)/MAX((CROQUIS!$C$137*MAX(1,CEILING((INT(((CROQUIS!$C$97)-CROQUIS!$C$107)/MAX(CROQUIS!$C$137,1))+1)/80,1))),1))+1)-1)*(CROQUIS!$C$137*MAX(1,CEILING((INT(((CROQUIS!$C$97)-CROQUIS!$C$107)/MAX(CROQUIS!$C$137,1))+1)/80,1))))/2)+MIN(INT(($A13-1)/5),MAX((MAX(1,INT(((CROQUIS!$C$97)-CROQUIS!$C$107)/MAX((CROQUIS!$C$137*MAX(1,CEILING((INT(((CROQUIS!$C$97)-CROQUIS!$C$107)/MAX(CROQUIS!$C$137,1))+1)/80,1))),1))+1))-1,0))*(CROQUIS!$C$137*MAX(1,CEILING((INT(((CROQUIS!$C$97)-CROQUIS!$C$107)/MAX(CROQUIS!$C$137,1))+1)/80,1))))))*CROQUIS!$C$159)+IF(CROQUIS!$C$92="X",0,0)),-1000)</f>
        <v>-1000</v>
      </c>
      <c r="BR13">
        <f>IF(AND(CROQUIS!$C$88=1,CROQUIS!$C$91=0,CROQUIS!$C$133&gt;0,OR(CROQUIS!$C$103=1,CROQUIS!$C$145=1)),((CROQUIS!$C$160+(IF(CROQUIS!$C$92="X",CHOOSE(IF(INT(($A13-1)/5)&gt;MAX((MAX(1,INT(((CROQUIS!$C$98)-CROQUIS!$C$107)/MAX((CROQUIS!$C$133*MAX(1,CEILING((INT(((CROQUIS!$C$98)-CROQUIS!$C$107)/MAX(CROQUIS!$C$133,1))+1)/80,1))),1))+1))-1,0),0,MOD($A13-1,5))+1,0,IF(CROQUIS!$C$103=1,-12,2),CROQUIS!$C$107/2+CROQUIS!$C$143,IF(CROQUIS!$C$103=1,-12,2),0),((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BS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+1,0,IF(CROQUIS!$C$103=1,-12,2),CROQUIS!$C$107/2+CROQUIS!$C$143,IF(CROQUIS!$C$103=1,-12,2),0)))*CROQUIS!$C$159)+IF(CROQUIS!$C$92="X",0.8,0)),-1000)</f>
        <v>-1000</v>
      </c>
      <c r="BT13">
        <f>IF(AND(CROQUIS!$C$88=1,CROQUIS!$C$91=0,CROQUIS!$C$133&gt;0,OR(CROQUIS!$C$104=1,CROQUIS!$C$145=1)),((CROQUIS!$C$160+(IF(CROQUIS!$C$92="X",CHOOSE(IF(INT(($A13-1)/5)&gt;MAX((MAX(1,INT(((CROQUIS!$C$98)-CROQUIS!$C$107)/MAX((CROQUIS!$C$133*MAX(1,CEILING((INT(((CROQUIS!$C$98)-CROQUIS!$C$107)/MAX(CROQUIS!$C$133,1))+1)/80,1))),1))+1))-1,0),0,MOD($A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BU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CROQUIS!$C$97,CROQUIS!$C$97-CROQUIS!$C$107/2-CROQUIS!$C$143,IF(CROQUIS!$C$104=1,CROQUIS!$C$97+12,CROQUIS!$C$97-2),CROQUIS!$C$97-CROQUIS!$C$107/2-CROQUIS!$C$143,CROQUIS!$C$97)))*CROQUIS!$C$159)+IF(CROQUIS!$C$92="X",0.8,0)),-1000)</f>
        <v>-1000</v>
      </c>
      <c r="BV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HOOSE(IF(INT(($A13-1)/5)&gt;MAX((MAX(1,INT(((CROQUIS!$C$97)-CROQUIS!$C$107)/MAX((CROQUIS!$C$141*MAX(1,CEILING((INT(((CROQUIS!$C$97)-CROQUIS!$C$107)/MAX(CROQUIS!$C$141,1))+1)/80,1))),1))+1))-1,0),0,MOD($A13-1,5))+1,0,IF(CROQUIS!$C$105=1,-12,2),CROQUIS!$C$107/2+CROQUIS!$C$144,IF(CROQUIS!$C$105=1,-12,2),0)))*CROQUIS!$C$159)+IF(CROQUIS!$C$92="X",0.8,0)),-1000)</f>
        <v>-1000</v>
      </c>
      <c r="BW13">
        <f>IF(AND(CROQUIS!$C$88=1,CROQUIS!$C$91=0,CROQUIS!$C$141&gt;0,OR(CROQUIS!$C$105=1,CROQUIS!$C$146=1)),((CROQUIS!$C$161+(IF(CROQUIS!$C$92="X",CHOOSE(IF(INT(($A13-1)/5)&gt;MAX((MAX(1,INT(((CROQUIS!$C$97)-CROQUIS!$C$107)/MAX((CROQUIS!$C$141*MAX(1,CEILING((INT(((CROQUIS!$C$97)-CROQUIS!$C$107)/MAX(CROQUIS!$C$141,1))+1)/80,1))),1))+1))-1,0),0,MOD($A13-1,5))+1,0,IF(CROQUIS!$C$105=1,-12,2),CROQUIS!$C$107/2+CROQUIS!$C$144,IF(CROQUIS!$C$105=1,-12,2),0),((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ROQUIS!$C$159)+IF(CROQUIS!$C$92="X",0,0.8)),-1000)</f>
        <v>-1000</v>
      </c>
      <c r="BX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HOOSE(IF(INT(($A13-1)/5)&gt;MAX((MAX(1,INT(((CROQUIS!$C$97)-CROQUIS!$C$107)/MAX((CROQUIS!$C$141*MAX(1,CEILING((INT(((CROQUIS!$C$97)-CROQUIS!$C$107)/MAX(CROQUIS!$C$141,1))+1)/80,1))),1))+1))-1,0),0,MOD($A13-1,5))+1,CROQUIS!$C$98,CROQUIS!$C$98-CROQUIS!$C$107/2-CROQUIS!$C$144,IF(CROQUIS!$C$106=1,CROQUIS!$C$98+12,CROQUIS!$C$98-2),CROQUIS!$C$98-CROQUIS!$C$107/2-CROQUIS!$C$144,CROQUIS!$C$98)))*CROQUIS!$C$159)+IF(CROQUIS!$C$92="X",0.8,0)),-1000)</f>
        <v>-1000</v>
      </c>
      <c r="BY13">
        <f>IF(AND(CROQUIS!$C$88=1,CROQUIS!$C$91=0,CROQUIS!$C$141&gt;0,OR(CROQUIS!$C$106=1,CROQUIS!$C$146=1)),((CROQUIS!$C$161+(IF(CROQUIS!$C$92="X",CHOOSE(IF(INT(($A13-1)/5)&gt;MAX((MAX(1,INT(((CROQUIS!$C$97)-CROQUIS!$C$107)/MAX((CROQUIS!$C$141*MAX(1,CEILING((INT(((CROQUIS!$C$97)-CROQUIS!$C$107)/MAX(CROQUIS!$C$141,1))+1)/80,1))),1))+1))-1,0),0,MOD($A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ROQUIS!$C$159)+IF(CROQUIS!$C$92="X",0,0.8)),-1000)</f>
        <v>-1000</v>
      </c>
      <c r="BZ13">
        <f>IF(AND(CROQUIS!$C$88=1,CROQUIS!$C$91=1,CROQUIS!$C$133&gt;0),((CROQUIS!$C$160+(IF(CROQUIS!$C$92="X",CHOOSE(IF(INT(($A13-1)/5)&gt;MAX((MAX(1,INT(((CROQUIS!$C$98)-CROQUIS!$C$107)/MAX((CROQUIS!$C$133*MAX(1,CEILING((INT(((CROQUIS!$C$98)-CROQUIS!$C$107)/MAX(CROQUIS!$C$133,1))+1)/80,1))),1))+1))-1,0),0,MOD($A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CA13">
        <f>IF(AND(CROQUIS!$C$88=1,CROQUIS!$C$91=1,CROQUIS!$C$133&gt;0),((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3">
        <f>IF(AND(CROQUIS!$C$87=1),CHOOSE(MIN(MAX($A13,1),9),(50+(-CROQUIS!$C$116/2)*CROQUIS!$C$177),(50+(CROQUIS!$C$116/2)*CROQUIS!$C$177),(50+(CROQUIS!$C$116/2)*CROQUIS!$C$177),(50+(CROQUIS!$C$111/2)*CROQUIS!$C$177),(50+(CROQUIS!$C$111/2)*CROQUIS!$C$177),(50+(-CROQUIS!$C$111/2)*CROQUIS!$C$177),(50+(-CROQUIS!$C$111/2)*CROQUIS!$C$177),(50+(-CROQUIS!$C$116/2)*CROQUIS!$C$177),(50+(-CROQUIS!$C$116/2)*CROQUIS!$C$177)),-1000)</f>
        <v>45.2272727272727</v>
      </c>
      <c r="CC13">
        <f>IF(AND(CROQUIS!$C$87=1),CHOOSE(MIN(MAX($A13,1),9),(12+(CROQUIS!$C$108)*CROQUIS!$C$177),(12+(CROQUIS!$C$108)*CROQUIS!$C$177),(12+(CROQUIS!$C$117)*CROQUIS!$C$177),(12+(CROQUIS!$C$117)*CROQUIS!$C$177),(12+(0)*CROQUIS!$C$177),(12+(0)*CROQUIS!$C$177),(12+(CROQUIS!$C$117)*CROQUIS!$C$177),(12+(CROQUIS!$C$117)*CROQUIS!$C$177),(12+(CROQUIS!$C$108)*CROQUIS!$C$177)),-1000)</f>
        <v>12</v>
      </c>
      <c r="CJ13">
        <f>IF(AND(CROQUIS!$C$87=1,CROQUIS!$C$129&gt;=1),(50+(((1-(CROQUIS!$C$129+1)/2)*(MAX(CROQUIS!$C$121,CROQUIS!$C$128)+CROQUIS!$C$128))+CROQUIS!$C$128/2*COS(2*PI()*(MIN($A13,13)-1)/12))*CROQUIS!$C$177),-1000)</f>
        <v>49.4750705109334</v>
      </c>
      <c r="CK13">
        <f>IF(AND(CROQUIS!$C$87=1,CROQUIS!$C$129&gt;=1),(12+((CROQUIS!$C$109+CROQUIS!$C$128/2)+CROQUIS!$C$128/2*SIN(2*PI()*(MIN($A13,13)-1)/12))*CROQUIS!$C$177),-1000)</f>
        <v>14.8182954545455</v>
      </c>
      <c r="CL13">
        <f>IF(AND(CROQUIS!$C$87=1,CROQUIS!$C$129&gt;=2),(50+(((2-(CROQUIS!$C$129+1)/2)*(MAX(CROQUIS!$C$121,CROQUIS!$C$128)+CROQUIS!$C$128))+CROQUIS!$C$128/2*COS(2*PI()*(MIN($A13,13)-1)/12))*CROQUIS!$C$177),-1000)</f>
        <v>-1000</v>
      </c>
      <c r="CM13">
        <f>IF(AND(CROQUIS!$C$87=1,CROQUIS!$C$129&gt;=2),(12+((CROQUIS!$C$109+CROQUIS!$C$128/2)+CROQUIS!$C$128/2*SIN(2*PI()*(MIN($A13,13)-1)/12))*CROQUIS!$C$177),-1000)</f>
        <v>-1000</v>
      </c>
      <c r="CN13">
        <f>IF(AND(CROQUIS!$C$87=1,CROQUIS!$C$129&gt;=3),(50+(((3-(CROQUIS!$C$129+1)/2)*(MAX(CROQUIS!$C$121,CROQUIS!$C$128)+CROQUIS!$C$128))+CROQUIS!$C$128/2*COS(2*PI()*(MIN($A13,13)-1)/12))*CROQUIS!$C$177),-1000)</f>
        <v>-1000</v>
      </c>
      <c r="CO13">
        <f>IF(AND(CROQUIS!$C$87=1,CROQUIS!$C$129&gt;=3),(12+((CROQUIS!$C$109+CROQUIS!$C$128/2)+CROQUIS!$C$128/2*SIN(2*PI()*(MIN($A13,13)-1)/12))*CROQUIS!$C$177),-1000)</f>
        <v>-1000</v>
      </c>
      <c r="CP13">
        <f>IF(AND(CROQUIS!$C$87=1,CROQUIS!$C$133&gt;=1),(50+(((1-(CROQUIS!$C$133+1)/2)*(MAX(CROQUIS!$C$121,CROQUIS!$C$132)+CROQUIS!$C$132))+CROQUIS!$C$132/2*COS(2*PI()*(MIN($A13,13)-1)/12))*CROQUIS!$C$177),-1000)</f>
        <v>49.4750705109334</v>
      </c>
      <c r="CQ13">
        <f>IF(AND(CROQUIS!$C$87=1,CROQUIS!$C$133&gt;=1),(12+((CROQUIS!$C$108-CROQUIS!$C$120-2*CROQUIS!$C$119-CROQUIS!$C$132/2)+CROQUIS!$C$132/2*SIN(2*PI()*(MIN($A13,13)-1)/12))*CROQUIS!$C$177),-1000)</f>
        <v>32.1509318181818</v>
      </c>
      <c r="CR13">
        <f>IF(AND(CROQUIS!$C$87=1,CROQUIS!$C$133&gt;=2),(50+(((2-(CROQUIS!$C$133+1)/2)*(MAX(CROQUIS!$C$121,CROQUIS!$C$132)+CROQUIS!$C$132))+CROQUIS!$C$132/2*COS(2*PI()*(MIN($A13,13)-1)/12))*CROQUIS!$C$177),-1000)</f>
        <v>-1000</v>
      </c>
      <c r="CS13">
        <f>IF(AND(CROQUIS!$C$87=1,CROQUIS!$C$133&gt;=2),(12+((CROQUIS!$C$108-CROQUIS!$C$120-2*CROQUIS!$C$119-CROQUIS!$C$132/2)+CROQUIS!$C$132/2*SIN(2*PI()*(MIN($A13,13)-1)/12))*CROQUIS!$C$177),-1000)</f>
        <v>-1000</v>
      </c>
      <c r="CT13">
        <f>IF(AND(CROQUIS!$C$87=1,CROQUIS!$C$133&gt;=3),(50+(((3-(CROQUIS!$C$133+1)/2)*(MAX(CROQUIS!$C$121,CROQUIS!$C$132)+CROQUIS!$C$132))+CROQUIS!$C$132/2*COS(2*PI()*(MIN($A13,13)-1)/12))*CROQUIS!$C$177),-1000)</f>
        <v>-1000</v>
      </c>
      <c r="CU13">
        <f>IF(AND(CROQUIS!$C$87=1,CROQUIS!$C$133&gt;=3),(12+((CROQUIS!$C$108-CROQUIS!$C$120-2*CROQUIS!$C$119-CROQUIS!$C$132/2)+CROQUIS!$C$132/2*SIN(2*PI()*(MIN($A13,13)-1)/12))*CROQUIS!$C$177),-1000)</f>
        <v>-1000</v>
      </c>
      <c r="CV13">
        <f>IF(AND(CROQUIS!$C$87=1),CHOOSE(MIN(MAX($A13,1),7),(50+(-CROQUIS!$C$111/2)*CROQUIS!$C$177),(50+(-CROQUIS!$C$111/2)*CROQUIS!$C$177),(50+(-CROQUIS!$C$111/2)*CROQUIS!$C$177),((50+(-CROQUIS!$C$111/2)*CROQUIS!$C$177)+(50+(CROQUIS!$C$111/2)*CROQUIS!$C$177))/2,(50+(CROQUIS!$C$111/2)*CROQUIS!$C$177),(50+(CROQUIS!$C$111/2)*CROQUIS!$C$177),(50+(CROQUIS!$C$111/2)*CROQUIS!$C$177)),-1000)</f>
        <v>54.7727272727273</v>
      </c>
      <c r="CW13">
        <f>IF(AND(CROQUIS!$C$87=1),CHOOSE(MIN(MAX($A13,1),7),(12+(-4)*CROQUIS!$C$177)-1.4,(12+(-4)*CROQUIS!$C$177)+1.4,(12+(-4)*CROQUIS!$C$177),(12+(-4)*CROQUIS!$C$177),(12+(-4)*CROQUIS!$C$177),(12+(-4)*CROQUIS!$C$177)+1.4,(12+(-4)*CROQUIS!$C$177)-1.4),-1000)</f>
        <v>9.58181818181818</v>
      </c>
      <c r="CX13">
        <f>IF(AND(CROQUIS!$C$87=1),CHOOSE(MIN(MAX($A13,1),7),(50+(-CROQUIS!$C$116/2)*CROQUIS!$C$177),(50+(-CROQUIS!$C$116/2)*CROQUIS!$C$177),(50+(-CROQUIS!$C$116/2)*CROQUIS!$C$177),((50+(-CROQUIS!$C$116/2)*CROQUIS!$C$177)+(50+(CROQUIS!$C$116/2)*CROQUIS!$C$177))/2,(50+(CROQUIS!$C$116/2)*CROQUIS!$C$177),(50+(CROQUIS!$C$116/2)*CROQUIS!$C$177),(50+(CROQUIS!$C$116/2)*CROQUIS!$C$177)),-1000)</f>
        <v>83.4090909090909</v>
      </c>
      <c r="CY13">
        <f>IF(AND(CROQUIS!$C$87=1),CHOOSE(MIN(MAX($A13,1),7),(12+(CROQUIS!$C$108+4)*CROQUIS!$C$177)-1.4,(12+(CROQUIS!$C$108+4)*CROQUIS!$C$177)+1.4,(12+(CROQUIS!$C$108+4)*CROQUIS!$C$177),(12+(CROQUIS!$C$108+4)*CROQUIS!$C$177),(12+(CROQUIS!$C$108+4)*CROQUIS!$C$177),(12+(CROQUIS!$C$108+4)*CROQUIS!$C$177)+1.4,(12+(CROQUIS!$C$108+4)*CROQUIS!$C$177)-1.4),-1000)</f>
        <v>41.0818181818182</v>
      </c>
      <c r="CZ13">
        <f>IF(AND(CROQUIS!$C$87=1),CHOOSE(MIN(MAX($A13,1),7),(50+(CROQUIS!$C$116/2+4)*CROQUIS!$C$177)-1.4,(50+(CROQUIS!$C$116/2+4)*CROQUIS!$C$177)+1.4,(50+(CROQUIS!$C$116/2+4)*CROQUIS!$C$177),(50+(CROQUIS!$C$116/2+4)*CROQUIS!$C$177),(50+(CROQUIS!$C$116/2+4)*CROQUIS!$C$177),(50+(CROQUIS!$C$116/2+4)*CROQUIS!$C$177)+1.4,(50+(CROQUIS!$C$116/2+4)*CROQUIS!$C$177)-1.4),-1000)</f>
        <v>88.6272727272727</v>
      </c>
      <c r="DA13">
        <f>IF(AND(CROQUIS!$C$87=1),CHOOSE(MIN(MAX($A13,1),7),(12+(0)*CROQUIS!$C$177),(12+(0)*CROQUIS!$C$177),(12+(0)*CROQUIS!$C$177),((12+(0)*CROQUIS!$C$177)+(12+(CROQUIS!$C$108)*CROQUIS!$C$177))/2,(12+(CROQUIS!$C$108)*CROQUIS!$C$177),(12+(CROQUIS!$C$108)*CROQUIS!$C$177),(12+(CROQUIS!$C$108)*CROQUIS!$C$177)),-1000)</f>
        <v>35.8636363636364</v>
      </c>
      <c r="DB13">
        <f>IF(AND(CROQUIS!$C$87=1),CHOOSE(MIN(MAX($A13,1),7),(50+(-CROQUIS!$C$116/2-4)*CROQUIS!$C$177)-1.4,(50+(-CROQUIS!$C$116/2-4)*CROQUIS!$C$177)+1.4,(50+(-CROQUIS!$C$116/2-4)*CROQUIS!$C$177),(50+(-CROQUIS!$C$116/2-4)*CROQUIS!$C$177),(50+(-CROQUIS!$C$116/2-4)*CROQUIS!$C$177),(50+(-CROQUIS!$C$116/2-4)*CROQUIS!$C$177)+1.4,(50+(-CROQUIS!$C$116/2-4)*CROQUIS!$C$177)-1.4),-1000)</f>
        <v>14.1727272727273</v>
      </c>
      <c r="DC13">
        <f>IF(AND(CROQUIS!$C$87=1),CHOOSE(MIN(MAX($A13,1),7),(12+(CROQUIS!$C$108-CROQUIS!$C$150)*CROQUIS!$C$177),(12+(CROQUIS!$C$108-CROQUIS!$C$150)*CROQUIS!$C$177),(12+(CROQUIS!$C$108-CROQUIS!$C$150)*CROQUIS!$C$177),((12+(CROQUIS!$C$108-CROQUIS!$C$150)*CROQUIS!$C$177)+(12+(CROQUIS!$C$108)*CROQUIS!$C$177))/2,(12+(CROQUIS!$C$108)*CROQUIS!$C$177),(12+(CROQUIS!$C$108)*CROQUIS!$C$177),(12+(CROQUIS!$C$108)*CROQUIS!$C$177)),-1000)</f>
        <v>35.8636363636364</v>
      </c>
      <c r="DH13">
        <f>IF(AND(CROQUIS!$C$88=1,CROQUIS!$C$137&gt;0),(50+((-(MIN(12,INT(58/MAX(CROQUIS!$C$137,1))+1)-1)*CROQUIS!$C$137/2+(MIN($A13,MIN(12,INT(58/MAX(CROQUIS!$C$137,1))+1))-1)*CROQUIS!$C$137))*CROQUIS!$C$178),-1000)</f>
        <v>-1000</v>
      </c>
      <c r="DI13">
        <f>IF(AND(CROQUIS!$C$88=1,CROQUIS!$C$137&gt;0),(12+((CROQUIS!$C$109+CROQUIS!$C$128+CROQUIS!$C$136/2))*CROQUIS!$C$178),-1000)</f>
        <v>-1000</v>
      </c>
      <c r="DJ13">
        <f>IF(AND(CROQUIS!$C$88=1,CROQUIS!$C$141&gt;0),(50+((-(MIN(12,INT(58/MAX(CROQUIS!$C$141,1))+1)-1)*CROQUIS!$C$141/2+(MIN($A13,MIN(12,INT(58/MAX(CROQUIS!$C$141,1))+1))-1)*CROQUIS!$C$141))*CROQUIS!$C$178),-1000)</f>
        <v>-1000</v>
      </c>
      <c r="DK13">
        <f>IF(AND(CROQUIS!$C$88=1,CROQUIS!$C$141&gt;0),(12+((CROQUIS!$C$108-CROQUIS!$C$110-CROQUIS!$C$132-CROQUIS!$C$140/2))*CROQUIS!$C$178),-1000)</f>
        <v>-1000</v>
      </c>
      <c r="DN13">
        <f>IF(AND(CROQUIS!$C$88=1),CHOOSE(MIN(MAX($A13,1),7),(50+(33)*CROQUIS!$C$178)-1.4,(50+(33)*CROQUIS!$C$178)+1.4,(50+(33)*CROQUIS!$C$178),(50+(33)*CROQUIS!$C$178),(50+(33)*CROQUIS!$C$178),(50+(33)*CROQUIS!$C$178)+1.4,(50+(33)*CROQUIS!$C$178)-1.4),-1000)</f>
        <v>-1000</v>
      </c>
      <c r="DO13">
        <f>IF(AND(CROQUIS!$C$88=1),CHOOSE(MIN(MAX($A13,1),7),(12+(0)*CROQUIS!$C$178),(12+(0)*CROQUIS!$C$178),(12+(0)*CROQUIS!$C$178),((12+(0)*CROQUIS!$C$178)+(12+(CROQUIS!$C$108)*CROQUIS!$C$178))/2,(12+(CROQUIS!$C$108)*CROQUIS!$C$178),(12+(CROQUIS!$C$108)*CROQUIS!$C$178),(12+(CROQUIS!$C$108)*CROQUIS!$C$178)),-1000)</f>
        <v>-1000</v>
      </c>
      <c r="DP13">
        <f>IF(AND(CROQUIS!$C$88=1),CHOOSE(MIN(MAX($A13,1),7),(50+(-33)*CROQUIS!$C$178)-0.8,(50+(-33)*CROQUIS!$C$178)+0.8,(50+(-33)*CROQUIS!$C$178),(50+(-33)*CROQUIS!$C$178),(50+(-33)*CROQUIS!$C$178),(50+(-33)*CROQUIS!$C$178)+0.8,(50+(-33)*CROQUIS!$C$178)-0.8),-1000)</f>
        <v>-1000</v>
      </c>
      <c r="DQ13">
        <f>IF(AND(CROQUIS!$C$88=1),CHOOSE(MIN(MAX($A13,1),7),(12+(0)*CROQUIS!$C$178),(12+(0)*CROQUIS!$C$178),(12+(0)*CROQUIS!$C$178),((12+(0)*CROQUIS!$C$178)+(12+(CROQUIS!$C$109)*CROQUIS!$C$178))/2,(12+(CROQUIS!$C$109)*CROQUIS!$C$178),(12+(CROQUIS!$C$109)*CROQUIS!$C$178),(12+(CROQUIS!$C$109)*CROQUIS!$C$178)),-1000)</f>
        <v>-1000</v>
      </c>
      <c r="DR13">
        <f>IF(AND(CROQUIS!$C$88=1),CHOOSE(MIN(MAX($A13,1),7),(50+(-33)*CROQUIS!$C$178)-0.8,(50+(-33)*CROQUIS!$C$178)+0.8,(50+(-33)*CROQUIS!$C$178),(50+(-33)*CROQUIS!$C$178),(50+(-33)*CROQUIS!$C$178),(50+(-33)*CROQUIS!$C$178)+0.8,(50+(-33)*CROQUIS!$C$178)-0.8),-1000)</f>
        <v>-1000</v>
      </c>
      <c r="DS13">
        <f>IF(AND(CROQUIS!$C$88=1),CHOOSE(MIN(MAX($A13,1),7),(12+(CROQUIS!$C$108-CROQUIS!$C$110)*CROQUIS!$C$178),(12+(CROQUIS!$C$108-CROQUIS!$C$110)*CROQUIS!$C$178),(12+(CROQUIS!$C$108-CROQUIS!$C$110)*CROQUIS!$C$178),((12+(CROQUIS!$C$108-CROQUIS!$C$110)*CROQUIS!$C$178)+(12+(CROQUIS!$C$108)*CROQUIS!$C$178))/2,(12+(CROQUIS!$C$108)*CROQUIS!$C$178),(12+(CROQUIS!$C$108)*CROQUIS!$C$178),(12+(CROQUIS!$C$108)*CROQUIS!$C$178)),-1000)</f>
        <v>-1000</v>
      </c>
      <c r="DT13">
        <f>IF(AND(CROQUIS!$C$88=1,MIN(12,INT(58/MAX(CROQUIS!$C$137,1))+1)&gt;=2),CHOOSE(MIN(MAX($A13,1)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13">
        <f>IF(AND(CROQUIS!$C$88=1,MIN(12,INT(58/MAX(CROQUIS!$C$137,1))+1)&gt;=2),CHOOSE(MIN(MAX($A13,1),7),(12+(-4)*CROQUIS!$C$178)-1.4,(12+(-4)*CROQUIS!$C$178)+1.4,(12+(-4)*CROQUIS!$C$178),(12+(-4)*CROQUIS!$C$178),(12+(-4)*CROQUIS!$C$178),(12+(-4)*CROQUIS!$C$178)+1.4,(12+(-4)*CROQUIS!$C$178)-1.4),-1000)</f>
        <v>-1000</v>
      </c>
      <c r="DX13">
        <f>IF(AND(CROQUIS!$C$87=1),CHOOSE(MIN(MAX($A13,1)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DY13">
        <f>IF(AND(CROQUIS!$C$87=1),CHOOSE(MIN(MAX($A13,1),10),30,30,20,20,30,IF(CROQUIS!$C$91=1,30,30),IF(CROQUIS!$C$91=1,30,30),IF(CROQUIS!$C$91=1,30,20),IF(CROQUIS!$C$91=1,30,20),IF(CROQUIS!$C$91=1,30,30)),-1000)</f>
        <v>30</v>
      </c>
      <c r="EB13">
        <f>IF(AND(CROQUIS!$C$87=1),CHOOSE(MIN(MAX($A13,1)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C13">
        <f>IF(AND(CROQUIS!$C$87=1),CHOOSE(MIN(MAX($A13,1)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D13">
        <f>IF(AND(CROQUIS!$C$87=1,CROQUIS!$C$133&gt;0),CHOOSE(MIN(MAX($A13,1)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E13">
        <f>IF(AND(CROQUIS!$C$87=1,CROQUIS!$C$133&gt;0),CHOOSE(MIN(MAX($A13,1)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P13">
        <f>IF(AND(CROQUIS!$C$87=1),CHOOSE(MIN(MAX($A13,1),7),(4+((0)-CROQUIS!$C$173)*CROQUIS!$C$175),(4+((0)-CROQUIS!$C$173)*CROQUIS!$C$175),(4+((0)-CROQUIS!$C$173)*CROQUIS!$C$175),((4+((0)-CROQUIS!$C$173)*CROQUIS!$C$175)+(4+((CROQUIS!$C$97)-CROQUIS!$C$173)*CROQUIS!$C$175))/2,(4+((CROQUIS!$C$97)-CROQUIS!$C$173)*CROQUIS!$C$175),(4+((CROQUIS!$C$97)-CROQUIS!$C$173)*CROQUIS!$C$175),(4+((CROQUIS!$C$97)-CROQUIS!$C$173)*CROQUIS!$C$175)),-1000)</f>
        <v>88.7368421052632</v>
      </c>
      <c r="EQ13">
        <f>IF(AND(CROQUIS!$C$87=1),CHOOSE(MIN(MAX($A13,1),7),15-1.4,15+1.4,15,15,15,15+1.4,15-1.4),-1000)</f>
        <v>16.4</v>
      </c>
      <c r="ER13">
        <f>IF(AND(CROQUIS!$C$87=1,OR(CROQUIS!$C$91=1,AND(CROQUIS!$C$133&gt;=2,OR(CROQUIS!$C$103=1,CROQUIS!$C$145=1)))),CHOOSE(MIN(MAX($A13,1)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13">
        <f>IF(AND(CROQUIS!$C$87=1,OR(CROQUIS!$C$91=1,AND(CROQUIS!$C$133&gt;=2,OR(CROQUIS!$C$103=1,CROQUIS!$C$145=1)))),CHOOSE(MIN(MAX($A13,1)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X13">
        <f>IF(AND(CROQUIS!$C$88=1),CHOOSE(MIN(MAX($A13,1)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3">
        <f>IF(AND(CROQUIS!$C$88=1),CHOOSE(MIN(MAX($A13,1),10),30,30,20,20,30,IF(CROQUIS!$C$91=1,30,30),IF(CROQUIS!$C$91=1,30,30),IF(CROQUIS!$C$91=1,30,20),IF(CROQUIS!$C$91=1,30,20),IF(CROQUIS!$C$91=1,30,30)),-1000)</f>
        <v>-1000</v>
      </c>
      <c r="FB13">
        <f>IF(AND(CROQUIS!$C$88=1),CHOOSE(MIN(MAX($A13,1)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C13">
        <f>IF(AND(CROQUIS!$C$88=1),CHOOSE(MIN(MAX($A13,1)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D13">
        <f>IF(AND(CROQUIS!$C$88=1,CROQUIS!$C$91=1,CROQUIS!$C$133&gt;0),CHOOSE(MIN(MAX($A13,1)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E13">
        <f>IF(AND(CROQUIS!$C$88=1,CROQUIS!$C$91=1,CROQUIS!$C$133&gt;0),CHOOSE(MIN(MAX($A13,1)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J13">
        <f>IF(AND(CROQUIS!$C$88=1),CHOOSE(MIN(MAX($A13,1),7),(4+((0)-CROQUIS!$C$173)*CROQUIS!$C$175),(4+((0)-CROQUIS!$C$173)*CROQUIS!$C$175),(4+((0)-CROQUIS!$C$173)*CROQUIS!$C$175),((4+((0)-CROQUIS!$C$173)*CROQUIS!$C$175)+(4+((CROQUIS!$C$97)-CROQUIS!$C$173)*CROQUIS!$C$175))/2,(4+((CROQUIS!$C$97)-CROQUIS!$C$173)*CROQUIS!$C$175),(4+((CROQUIS!$C$97)-CROQUIS!$C$173)*CROQUIS!$C$175),(4+((CROQUIS!$C$97)-CROQUIS!$C$173)*CROQUIS!$C$175)),-1000)</f>
        <v>-1000</v>
      </c>
      <c r="FK13">
        <f>IF(AND(CROQUIS!$C$88=1),CHOOSE(MIN(MAX($A13,1),7),15-1.4,15+1.4,15,15,15,15+1.4,15-1.4),-1000)</f>
        <v>-1000</v>
      </c>
      <c r="FL13">
        <f>IF(AND(CROQUIS!$C$88=1,OR(CROQUIS!$C$91=1,AND(CROQUIS!$C$133&gt;0,OR(CROQUIS!$C$103=1,CROQUIS!$C$145=1)))),CHOOSE(MIN(MAX($A13,1)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13">
        <f>IF(AND(CROQUIS!$C$88=1,OR(CROQUIS!$C$91=1,AND(CROQUIS!$C$133&gt;0,OR(CROQUIS!$C$103=1,CROQUIS!$C$145=1)))),CHOOSE(MIN(MAX($A13,1),7),((30+(CROQUIS!$C$108)*CROQUIS!$C$175*CROQUIS!$C$176)+5)-1.4,((30+(CROQUIS!$C$108)*CROQUIS!$C$175*CROQUIS!$C$176)+5)+1.4,((30+(CROQUIS!$C$108)*CROQUIS!$C$175*CROQUIS!$C$176)+5),((30+(CROQUIS!$C$108)*CROQUIS!$C$175*CROQUIS!$C$176)+5),((30+(CROQUIS!$C$108)*CROQUIS!$C$175*CROQUIS!$C$176)+5),((30+(CROQUIS!$C$108)*CROQUIS!$C$175*CROQUIS!$C$176)+5)+1.4,((30+(CROQUIS!$C$108)*CROQUIS!$C$175*CROQUIS!$C$176)+5)-1.4),-1000)</f>
        <v>-1000</v>
      </c>
    </row>
    <row r="14">
      <c r="A14" t="n">
        <v>7</v>
      </c>
      <c r="F14">
        <f>IF(AND(CROQUIS!$C$87=1,CROQUIS!$C$91=1),((CROQUIS!$C$160+(IF(CROQUIS!$C$92="X",IF(CROQUIS!$C$94=1,0,CROQUIS!$C$97)+IF(MOD($A14,2)=1,-CROQUIS!$C$107/2,CROQUIS!$C$107/2),(MIN($A14,41)-1)/40*CROQUIS!$C$98))*CROQUIS!$C$159)+IF(CROQUIS!$C$92="X",0,0)),-1000)</f>
        <v>-1000</v>
      </c>
      <c r="G14">
        <f>IF(AND(CROQUIS!$C$87=1,CROQUIS!$C$91=1),((CROQUIS!$C$161+(IF(CROQUIS!$C$92="X",(MIN($A14,41)-1)/40*CROQUIS!$C$98,IF(CROQUIS!$C$94=1,0,CROQUIS!$C$97)+IF(MOD($A14,2)=1,-CROQUIS!$C$107/2,CROQUIS!$C$107/2)))*CROQUIS!$C$159)+IF(CROQUIS!$C$92="X",0,0)),-1000)</f>
        <v>-1000</v>
      </c>
      <c r="N14">
        <f>IF(AND(CROQUIS!$C$87=1),CHOOSE(MIN(MAX($A14,1),7),(CROQUIS!$C$160+(0)*CROQUIS!$C$159),(CROQUIS!$C$160+(0)*CROQUIS!$C$159),(CROQUIS!$C$160+(0)*CROQUIS!$C$159),((CROQUIS!$C$160+(0)*CROQUIS!$C$159)+(CROQUIS!$C$160+(CROQUIS!$C$95)*CROQUIS!$C$159))/2,(CROQUIS!$C$160+(CROQUIS!$C$95)*CROQUIS!$C$159),(CROQUIS!$C$160+(CROQUIS!$C$95)*CROQUIS!$C$159),(CROQUIS!$C$160+(CROQUIS!$C$95)*CROQUIS!$C$159)),-1000)</f>
        <v>88</v>
      </c>
      <c r="O14">
        <f>IF(AND(CROQUIS!$C$87=1),CHOOSE(MIN(MAX($A14,1),7),((CROQUIS!$C$161+(CROQUIS!$C$157)*CROQUIS!$C$159)-5)-1.4,((CROQUIS!$C$161+(CROQUIS!$C$157)*CROQUIS!$C$159)-5)+1.4,((CROQUIS!$C$161+(CROQUIS!$C$157)*CROQUIS!$C$159)-5),((CROQUIS!$C$161+(CROQUIS!$C$157)*CROQUIS!$C$159)-5),((CROQUIS!$C$161+(CROQUIS!$C$157)*CROQUIS!$C$159)-5),((CROQUIS!$C$161+(CROQUIS!$C$157)*CROQUIS!$C$159)-5)+1.4,((CROQUIS!$C$161+(CROQUIS!$C$157)*CROQUIS!$C$159)-5)-1.4),-1000)</f>
        <v>9.25747853592409</v>
      </c>
      <c r="P14">
        <f>IF(AND(CROQUIS!$C$87=1),CHOOSE(MIN(MAX($A14,1),7),((CROQUIS!$C$160+(CROQUIS!$C$155)*CROQUIS!$C$159)-5)-1.4,((CROQUIS!$C$160+(CROQUIS!$C$155)*CROQUIS!$C$159)-5)+1.4,((CROQUIS!$C$160+(CROQUIS!$C$155)*CROQUIS!$C$159)-5),((CROQUIS!$C$160+(CROQUIS!$C$155)*CROQUIS!$C$159)-5),((CROQUIS!$C$160+(CROQUIS!$C$155)*CROQUIS!$C$159)-5),((CROQUIS!$C$160+(CROQUIS!$C$155)*CROQUIS!$C$159)-5)+1.4,((CROQUIS!$C$160+(CROQUIS!$C$155)*CROQUIS!$C$159)-5)-1.4),-1000)</f>
        <v>5.6</v>
      </c>
      <c r="Q14">
        <f>IF(AND(CROQUIS!$C$87=1),CHOOSE(MIN(MAX($A14,1),7),(CROQUIS!$C$161+(0)*CROQUIS!$C$159),(CROQUIS!$C$161+(0)*CROQUIS!$C$159),(CROQUIS!$C$161+(0)*CROQUIS!$C$159),((CROQUIS!$C$161+(0)*CROQUIS!$C$159)+(CROQUIS!$C$161+(CROQUIS!$C$96)*CROQUIS!$C$159))/2,(CROQUIS!$C$161+(CROQUIS!$C$96)*CROQUIS!$C$159),(CROQUIS!$C$161+(CROQUIS!$C$96)*CROQUIS!$C$159),(CROQUIS!$C$161+(CROQUIS!$C$96)*CROQUIS!$C$159)),-1000)</f>
        <v>84.3425214640759</v>
      </c>
      <c r="V14">
        <f>IF(AND(CROQUIS!$C$88=1,CROQUIS!$C$91=1),((CROQUIS!$C$160+(IF(CROQUIS!$C$92="X",IF(CROQUIS!$C$94=1,0,CROQUIS!$C$97)+IF(MOD($A14,2)=1,-CROQUIS!$C$107/2,CROQUIS!$C$107/2),(MIN($A14,41)-1)/40*CROQUIS!$C$98))*CROQUIS!$C$159)+IF(CROQUIS!$C$92="X",0,0)),-1000)</f>
        <v>-1000</v>
      </c>
      <c r="W14">
        <f>IF(AND(CROQUIS!$C$88=1,CROQUIS!$C$91=1),((CROQUIS!$C$161+(IF(CROQUIS!$C$92="X",(MIN($A14,41)-1)/40*CROQUIS!$C$98,IF(CROQUIS!$C$94=1,0,CROQUIS!$C$97)+IF(MOD($A14,2)=1,-CROQUIS!$C$107/2,CROQUIS!$C$107/2)))*CROQUIS!$C$159)+IF(CROQUIS!$C$92="X",0,0)),-1000)</f>
        <v>-1000</v>
      </c>
      <c r="AD14">
        <f>IF(AND(CROQUIS!$C$88=1),CHOOSE(MIN(MAX($A14,1),7),(CROQUIS!$C$160+(0)*CROQUIS!$C$159),(CROQUIS!$C$160+(0)*CROQUIS!$C$159),(CROQUIS!$C$160+(0)*CROQUIS!$C$159),((CROQUIS!$C$160+(0)*CROQUIS!$C$159)+(CROQUIS!$C$160+(CROQUIS!$C$95)*CROQUIS!$C$159))/2,(CROQUIS!$C$160+(CROQUIS!$C$95)*CROQUIS!$C$159),(CROQUIS!$C$160+(CROQUIS!$C$95)*CROQUIS!$C$159),(CROQUIS!$C$160+(CROQUIS!$C$95)*CROQUIS!$C$159)),-1000)</f>
        <v>-1000</v>
      </c>
      <c r="AE14">
        <f>IF(AND(CROQUIS!$C$88=1),CHOOSE(MIN(MAX($A14,1),7),((CROQUIS!$C$161+(CROQUIS!$C$157)*CROQUIS!$C$159)-5)-1.4,((CROQUIS!$C$161+(CROQUIS!$C$157)*CROQUIS!$C$159)-5)+1.4,((CROQUIS!$C$161+(CROQUIS!$C$157)*CROQUIS!$C$159)-5),((CROQUIS!$C$161+(CROQUIS!$C$157)*CROQUIS!$C$159)-5),((CROQUIS!$C$161+(CROQUIS!$C$157)*CROQUIS!$C$159)-5),((CROQUIS!$C$161+(CROQUIS!$C$157)*CROQUIS!$C$159)-5)+1.4,((CROQUIS!$C$161+(CROQUIS!$C$157)*CROQUIS!$C$159)-5)-1.4),-1000)</f>
        <v>-1000</v>
      </c>
      <c r="AF14">
        <f>IF(AND(CROQUIS!$C$88=1),CHOOSE(MIN(MAX($A14,1),7),((CROQUIS!$C$160+(CROQUIS!$C$155)*CROQUIS!$C$159)-5)-1.4,((CROQUIS!$C$160+(CROQUIS!$C$155)*CROQUIS!$C$159)-5)+1.4,((CROQUIS!$C$160+(CROQUIS!$C$155)*CROQUIS!$C$159)-5),((CROQUIS!$C$160+(CROQUIS!$C$155)*CROQUIS!$C$159)-5),((CROQUIS!$C$160+(CROQUIS!$C$155)*CROQUIS!$C$159)-5),((CROQUIS!$C$160+(CROQUIS!$C$155)*CROQUIS!$C$159)-5)+1.4,((CROQUIS!$C$160+(CROQUIS!$C$155)*CROQUIS!$C$159)-5)-1.4),-1000)</f>
        <v>-1000</v>
      </c>
      <c r="AG14">
        <f>IF(AND(CROQUIS!$C$88=1),CHOOSE(MIN(MAX($A14,1),7),(CROQUIS!$C$161+(0)*CROQUIS!$C$159),(CROQUIS!$C$161+(0)*CROQUIS!$C$159),(CROQUIS!$C$161+(0)*CROQUIS!$C$159),((CROQUIS!$C$161+(0)*CROQUIS!$C$159)+(CROQUIS!$C$161+(CROQUIS!$C$96)*CROQUIS!$C$159))/2,(CROQUIS!$C$161+(CROQUIS!$C$96)*CROQUIS!$C$159),(CROQUIS!$C$161+(CROQUIS!$C$96)*CROQUIS!$C$159),(CROQUIS!$C$161+(CROQUIS!$C$96)*CROQUIS!$C$159)),-1000)</f>
        <v>-1000</v>
      </c>
      <c r="AJ14">
        <f>IF(AND(CROQUIS!$C$87=1,CROQUIS!$C$162&gt;0,CROQUIS!$C$164&gt;0),(CROQUIS!$C$160+((CROQUIS!$C$163+INT(MIN(INT(($A14-1)/2),MAX((2*CROQUIS!$C$162)-1,0))/2)*CROQUIS!$C$116+MOD(MIN(INT(($A14-1)/2),MAX((2*CROQUIS!$C$162)-1,0)),2)*CROQUIS!$C$114))*CROQUIS!$C$159),-1000)</f>
        <v>45.2779032986896</v>
      </c>
      <c r="AK14">
        <f>IF(AND(CROQUIS!$C$87=1,CROQUIS!$C$162&gt;0,CROQUIS!$C$164&gt;0),(CROQUIS!$C$161+(IF(MOD(MIN(INT(($A14-1)/2),MAX((2*CROQUIS!$C$162)-1,0)),2)=0,IF(IF(INT(($A14-1)/2)&gt;MAX((2*CROQUIS!$C$162)-1,0),1,MOD($A14-1,2))=0,CROQUIS!$C$165,(CROQUIS!$C$165+(CROQUIS!$C$164-1)*CROQUIS!$C$116+CROQUIS!$C$115)),IF(IF(INT(($A14-1)/2)&gt;MAX((2*CROQUIS!$C$162)-1,0),1,MOD($A14-1,2))=0,(CROQUIS!$C$165+(CROQUIS!$C$164-1)*CROQUIS!$C$116+CROQUIS!$C$115),CROQUIS!$C$165)))*CROQUIS!$C$159),-1000)</f>
        <v>79.1911432444645</v>
      </c>
      <c r="AL14">
        <f>IF(AND(CROQUIS!$C$87=1,CROQUIS!$C$164&gt;0,CROQUIS!$C$162&gt;0),(CROQUIS!$C$160+(IF(MOD(MIN(INT(($A14-1)/2),MAX((2*CROQUIS!$C$164)-1,0)),2)=0,IF(IF(INT(($A14-1)/2)&gt;MAX((2*CROQUIS!$C$164)-1,0),1,MOD($A14-1,2))=0,CROQUIS!$C$163,(CROQUIS!$C$163+(CROQUIS!$C$162-1)*CROQUIS!$C$116+CROQUIS!$C$114)),IF(IF(INT(($A14-1)/2)&gt;MAX((2*CROQUIS!$C$164)-1,0),1,MOD($A14-1,2))=0,(CROQUIS!$C$163+(CROQUIS!$C$162-1)*CROQUIS!$C$116+CROQUIS!$C$114),CROQUIS!$C$163)))*CROQUIS!$C$159),-1000)</f>
        <v>81.3375508359693</v>
      </c>
      <c r="AM14">
        <f>IF(AND(CROQUIS!$C$87=1,CROQUIS!$C$164&gt;0,CROQUIS!$C$162&gt;0),(CROQUIS!$C$161+((CROQUIS!$C$165+INT(MIN(INT(($A14-1)/2),MAX((2*CROQUIS!$C$164)-1,0))/2)*CROQUIS!$C$116+MOD(MIN(INT(($A14-1)/2),MAX((2*CROQUIS!$C$164)-1,0)),2)*CROQUIS!$C$115))*CROQUIS!$C$159),-1000)</f>
        <v>43.1314957071848</v>
      </c>
      <c r="AN14">
        <f>IF(AND(CROQUIS!$C$87=1,CROQUIS!$C$162&gt;=2),(CROQUIS!$C$160+((CROQUIS!$C$163+CROQUIS!$C$114+(CROQUIS!$C$116-CROQUIS!$C$114)/2+MIN(INT(($A14-1)/2),MAX((CROQUIS!$C$162-1)-1,0))*CROQUIS!$C$116))*CROQUIS!$C$159),-1000)</f>
        <v>70.1762313601446</v>
      </c>
      <c r="AO14">
        <f>IF(AND(CROQUIS!$C$87=1,CROQUIS!$C$162&gt;=2),(CROQUIS!$C$161+(IF(MOD(MIN(INT(($A14-1)/2),MAX((CROQUIS!$C$162-1)-1,0)),2)=0,IF(IF(INT(($A14-1)/2)&gt;MAX((CROQUIS!$C$162-1)-1,0),1,MOD($A14-1,2))=0,CROQUIS!$C$107/2,(CROQUIS!$C$96-CROQUIS!$C$107/2)),IF(IF(INT(($A14-1)/2)&gt;MAX((CROQUIS!$C$162-1)-1,0),1,MOD($A14-1,2))=0,(CROQUIS!$C$96-CROQUIS!$C$107/2),CROQUIS!$C$107/2)))*CROQUIS!$C$159),-1000)</f>
        <v>83.0546769091731</v>
      </c>
      <c r="AP14">
        <f>IF(AND(CROQUIS!$C$87=1,CROQUIS!$C$164&gt;=2),(CROQUIS!$C$160+(IF(MOD(MIN(INT(($A14-1)/2),MAX((CROQUIS!$C$164-1)-1,0)),2)=0,IF(IF(INT(($A14-1)/2)&gt;MAX((CROQUIS!$C$164-1)-1,0),1,MOD($A14-1,2))=0,CROQUIS!$C$107/2,(CROQUIS!$C$95-CROQUIS!$C$107/2)),IF(IF(INT(($A14-1)/2)&gt;MAX((CROQUIS!$C$164-1)-1,0),1,MOD($A14-1,2))=0,(CROQUIS!$C$95-CROQUIS!$C$107/2),CROQUIS!$C$107/2)))*CROQUIS!$C$159),-1000)</f>
        <v>86.7121554450972</v>
      </c>
      <c r="AQ14">
        <f>IF(AND(CROQUIS!$C$87=1,CROQUIS!$C$164&gt;=2),(CROQUIS!$C$161+((CROQUIS!$C$165+CROQUIS!$C$115+(CROQUIS!$C$116-CROQUIS!$C$115)/2+MIN(INT(($A14-1)/2),MAX((CROQUIS!$C$164-1)-1,0))*CROQUIS!$C$116))*CROQUIS!$C$159),-1000)</f>
        <v>68.0298237686399</v>
      </c>
      <c r="AR14">
        <f>IF(AND(CROQUIS!$C$87=1,CROQUIS!$C$126&gt;0,CROQUIS!$C$166&gt;0),((CROQUIS!$C$160+(IF(CROQUIS!$C$92="X",CHOOSE(MIN(MAX($A14,1)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14,1)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4">
        <f>IF(AND(CROQUIS!$C$87=1,CROQUIS!$C$126&gt;0,CROQUIS!$C$166&gt;0),((CROQUIS!$C$161+(IF(CROQUIS!$C$92="X",CHOOSE(MIN(MAX($A14,1)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14,1)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L14">
        <f>IF(AND(CROQUIS!$C$87=1,CROQUIS!$C$162&gt;=2),CHOOSE(MIN(MAX($A14,1)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BM14">
        <f>IF(AND(CROQUIS!$C$87=1,CROQUIS!$C$162&gt;=2),CHOOSE(MIN(MAX($A14,1),7),((CROQUIS!$C$161+(CROQUIS!$C$158)*CROQUIS!$C$159)+4)-1.4,((CROQUIS!$C$161+(CROQUIS!$C$158)*CROQUIS!$C$159)+4)+1.4,((CROQUIS!$C$161+(CROQUIS!$C$158)*CROQUIS!$C$159)+4),((CROQUIS!$C$161+(CROQUIS!$C$158)*CROQUIS!$C$159)+4),((CROQUIS!$C$161+(CROQUIS!$C$158)*CROQUIS!$C$159)+4),((CROQUIS!$C$161+(CROQUIS!$C$158)*CROQUIS!$C$159)+4)+1.4,((CROQUIS!$C$161+(CROQUIS!$C$158)*CROQUIS!$C$159)+4)-1.4),-1000)</f>
        <v>86.9425214640759</v>
      </c>
      <c r="BN14">
        <f>IF(AND(CROQUIS!$C$88=1,CROQUIS!$C$129&gt;0),((CROQUIS!$C$160+(IF(CROQUIS!$C$92="X",CHOOSE(IF(INT(($A14-1)/5)&gt;MAX((MAX(1,INT(((CROQUIS!$C$98)-CROQUIS!$C$107)/MAX((CROQUIS!$C$129*MAX(1,CEILING((INT(((CROQUIS!$C$98)-CROQUIS!$C$107)/MAX(CROQUIS!$C$129,1))+1)/80,1))),1))+1))-1,0),0,MOD($A14-1,5))+1,0,2,CROQUIS!$C$97-2,2,0),((CROQUIS!$C$107/2+(((CROQUIS!$C$98)-CROQUIS!$C$107)-(MAX(1,INT(((CROQUIS!$C$98)-CROQUIS!$C$107)/MAX((CROQUIS!$C$129*MAX(1,CEILING((INT(((CROQUIS!$C$98)-CROQUIS!$C$107)/MAX(CROQUIS!$C$129,1))+1)/80,1))),1))+1)-1)*(CROQUIS!$C$129*MAX(1,CEILING((INT(((CROQUIS!$C$98)-CROQUIS!$C$107)/MAX(CROQUIS!$C$129,1))+1)/80,1))))/2)+MIN(INT(($A14-1)/5),MAX((MAX(1,INT(((CROQUIS!$C$98)-CROQUIS!$C$107)/MAX((CROQUIS!$C$129*MAX(1,CEILING((INT(((CROQUIS!$C$98)-CROQUIS!$C$107)/MAX(CROQUIS!$C$129,1))+1)/80,1))),1))+1))-1,0))*(CROQUIS!$C$129*MAX(1,CEILING((INT(((CROQUIS!$C$98)-CROQUIS!$C$107)/MAX(CROQUIS!$C$129,1))+1)/80,1))))))*CROQUIS!$C$159)+IF(CROQUIS!$C$92="X",0,0)),-1000)</f>
        <v>-1000</v>
      </c>
      <c r="BO14">
        <f>IF(AND(CROQUIS!$C$88=1,CROQUIS!$C$129&gt;0),((CROQUIS!$C$161+(IF(CROQUIS!$C$92="X",((CROQUIS!$C$107/2+(((CROQUIS!$C$98)-CROQUIS!$C$107)-(MAX(1,INT(((CROQUIS!$C$98)-CROQUIS!$C$107)/MAX((CROQUIS!$C$129*MAX(1,CEILING((INT(((CROQUIS!$C$98)-CROQUIS!$C$107)/MAX(CROQUIS!$C$129,1))+1)/80,1))),1))+1)-1)*(CROQUIS!$C$129*MAX(1,CEILING((INT(((CROQUIS!$C$98)-CROQUIS!$C$107)/MAX(CROQUIS!$C$129,1))+1)/80,1))))/2)+MIN(INT(($A14-1)/5),MAX((MAX(1,INT(((CROQUIS!$C$98)-CROQUIS!$C$107)/MAX((CROQUIS!$C$129*MAX(1,CEILING((INT(((CROQUIS!$C$98)-CROQUIS!$C$107)/MAX(CROQUIS!$C$129,1))+1)/80,1))),1))+1))-1,0))*(CROQUIS!$C$129*MAX(1,CEILING((INT(((CROQUIS!$C$98)-CROQUIS!$C$107)/MAX(CROQUIS!$C$129,1))+1)/80,1)))),CHOOSE(IF(INT(($A14-1)/5)&gt;MAX((MAX(1,INT(((CROQUIS!$C$98)-CROQUIS!$C$107)/MAX((CROQUIS!$C$129*MAX(1,CEILING((INT(((CROQUIS!$C$98)-CROQUIS!$C$107)/MAX(CROQUIS!$C$129,1))+1)/80,1))),1))+1))-1,0),0,MOD($A14-1,5))+1,0,2,CROQUIS!$C$97-2,2,0)))*CROQUIS!$C$159)+IF(CROQUIS!$C$92="X",0,0)),-1000)</f>
        <v>-1000</v>
      </c>
      <c r="BP14">
        <f>IF(AND(CROQUIS!$C$88=1,CROQUIS!$C$137&gt;0),((CROQUIS!$C$160+(IF(CROQUIS!$C$92="X",((CROQUIS!$C$107/2+(((CROQUIS!$C$97)-CROQUIS!$C$107)-(MAX(1,INT(((CROQUIS!$C$97)-CROQUIS!$C$107)/MAX((CROQUIS!$C$137*MAX(1,CEILING((INT(((CROQUIS!$C$97)-CROQUIS!$C$107)/MAX(CROQUIS!$C$137,1))+1)/80,1))),1))+1)-1)*(CROQUIS!$C$137*MAX(1,CEILING((INT(((CROQUIS!$C$97)-CROQUIS!$C$107)/MAX(CROQUIS!$C$137,1))+1)/80,1))))/2)+MIN(INT(($A14-1)/5),MAX((MAX(1,INT(((CROQUIS!$C$97)-CROQUIS!$C$107)/MAX((CROQUIS!$C$137*MAX(1,CEILING((INT(((CROQUIS!$C$97)-CROQUIS!$C$107)/MAX(CROQUIS!$C$137,1))+1)/80,1))),1))+1))-1,0))*(CROQUIS!$C$137*MAX(1,CEILING((INT(((CROQUIS!$C$97)-CROQUIS!$C$107)/MAX(CROQUIS!$C$137,1))+1)/80,1)))),CHOOSE(IF(INT(($A14-1)/5)&gt;MAX((MAX(1,INT(((CROQUIS!$C$97)-CROQUIS!$C$107)/MAX((CROQUIS!$C$137*MAX(1,CEILING((INT(((CROQUIS!$C$97)-CROQUIS!$C$107)/MAX(CROQUIS!$C$137,1))+1)/80,1))),1))+1))-1,0),0,MOD($A14-1,5))+1,0,2,CROQUIS!$C$98-2,2,0)))*CROQUIS!$C$159)+IF(CROQUIS!$C$92="X",0,0)),-1000)</f>
        <v>-1000</v>
      </c>
      <c r="BQ14">
        <f>IF(AND(CROQUIS!$C$88=1,CROQUIS!$C$137&gt;0),((CROQUIS!$C$161+(IF(CROQUIS!$C$92="X",CHOOSE(IF(INT(($A14-1)/5)&gt;MAX((MAX(1,INT(((CROQUIS!$C$97)-CROQUIS!$C$107)/MAX((CROQUIS!$C$137*MAX(1,CEILING((INT(((CROQUIS!$C$97)-CROQUIS!$C$107)/MAX(CROQUIS!$C$137,1))+1)/80,1))),1))+1))-1,0),0,MOD($A14-1,5))+1,0,2,CROQUIS!$C$98-2,2,0),((CROQUIS!$C$107/2+(((CROQUIS!$C$97)-CROQUIS!$C$107)-(MAX(1,INT(((CROQUIS!$C$97)-CROQUIS!$C$107)/MAX((CROQUIS!$C$137*MAX(1,CEILING((INT(((CROQUIS!$C$97)-CROQUIS!$C$107)/MAX(CROQUIS!$C$137,1))+1)/80,1))),1))+1)-1)*(CROQUIS!$C$137*MAX(1,CEILING((INT(((CROQUIS!$C$97)-CROQUIS!$C$107)/MAX(CROQUIS!$C$137,1))+1)/80,1))))/2)+MIN(INT(($A14-1)/5),MAX((MAX(1,INT(((CROQUIS!$C$97)-CROQUIS!$C$107)/MAX((CROQUIS!$C$137*MAX(1,CEILING((INT(((CROQUIS!$C$97)-CROQUIS!$C$107)/MAX(CROQUIS!$C$137,1))+1)/80,1))),1))+1))-1,0))*(CROQUIS!$C$137*MAX(1,CEILING((INT(((CROQUIS!$C$97)-CROQUIS!$C$107)/MAX(CROQUIS!$C$137,1))+1)/80,1))))))*CROQUIS!$C$159)+IF(CROQUIS!$C$92="X",0,0)),-1000)</f>
        <v>-1000</v>
      </c>
      <c r="BR14">
        <f>IF(AND(CROQUIS!$C$88=1,CROQUIS!$C$91=0,CROQUIS!$C$133&gt;0,OR(CROQUIS!$C$103=1,CROQUIS!$C$145=1)),((CROQUIS!$C$160+(IF(CROQUIS!$C$92="X",CHOOSE(IF(INT(($A14-1)/5)&gt;MAX((MAX(1,INT(((CROQUIS!$C$98)-CROQUIS!$C$107)/MAX((CROQUIS!$C$133*MAX(1,CEILING((INT(((CROQUIS!$C$98)-CROQUIS!$C$107)/MAX(CROQUIS!$C$133,1))+1)/80,1))),1))+1))-1,0),0,MOD($A14-1,5))+1,0,IF(CROQUIS!$C$103=1,-12,2),CROQUIS!$C$107/2+CROQUIS!$C$143,IF(CROQUIS!$C$103=1,-12,2),0),((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BS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+1,0,IF(CROQUIS!$C$103=1,-12,2),CROQUIS!$C$107/2+CROQUIS!$C$143,IF(CROQUIS!$C$103=1,-12,2),0)))*CROQUIS!$C$159)+IF(CROQUIS!$C$92="X",0.8,0)),-1000)</f>
        <v>-1000</v>
      </c>
      <c r="BT14">
        <f>IF(AND(CROQUIS!$C$88=1,CROQUIS!$C$91=0,CROQUIS!$C$133&gt;0,OR(CROQUIS!$C$104=1,CROQUIS!$C$145=1)),((CROQUIS!$C$160+(IF(CROQUIS!$C$92="X",CHOOSE(IF(INT(($A14-1)/5)&gt;MAX((MAX(1,INT(((CROQUIS!$C$98)-CROQUIS!$C$107)/MAX((CROQUIS!$C$133*MAX(1,CEILING((INT(((CROQUIS!$C$98)-CROQUIS!$C$107)/MAX(CROQUIS!$C$133,1))+1)/80,1))),1))+1))-1,0),0,MOD($A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BU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CROQUIS!$C$97,CROQUIS!$C$97-CROQUIS!$C$107/2-CROQUIS!$C$143,IF(CROQUIS!$C$104=1,CROQUIS!$C$97+12,CROQUIS!$C$97-2),CROQUIS!$C$97-CROQUIS!$C$107/2-CROQUIS!$C$143,CROQUIS!$C$97)))*CROQUIS!$C$159)+IF(CROQUIS!$C$92="X",0.8,0)),-1000)</f>
        <v>-1000</v>
      </c>
      <c r="BV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HOOSE(IF(INT(($A14-1)/5)&gt;MAX((MAX(1,INT(((CROQUIS!$C$97)-CROQUIS!$C$107)/MAX((CROQUIS!$C$141*MAX(1,CEILING((INT(((CROQUIS!$C$97)-CROQUIS!$C$107)/MAX(CROQUIS!$C$141,1))+1)/80,1))),1))+1))-1,0),0,MOD($A14-1,5))+1,0,IF(CROQUIS!$C$105=1,-12,2),CROQUIS!$C$107/2+CROQUIS!$C$144,IF(CROQUIS!$C$105=1,-12,2),0)))*CROQUIS!$C$159)+IF(CROQUIS!$C$92="X",0.8,0)),-1000)</f>
        <v>-1000</v>
      </c>
      <c r="BW14">
        <f>IF(AND(CROQUIS!$C$88=1,CROQUIS!$C$91=0,CROQUIS!$C$141&gt;0,OR(CROQUIS!$C$105=1,CROQUIS!$C$146=1)),((CROQUIS!$C$161+(IF(CROQUIS!$C$92="X",CHOOSE(IF(INT(($A14-1)/5)&gt;MAX((MAX(1,INT(((CROQUIS!$C$97)-CROQUIS!$C$107)/MAX((CROQUIS!$C$141*MAX(1,CEILING((INT(((CROQUIS!$C$97)-CROQUIS!$C$107)/MAX(CROQUIS!$C$141,1))+1)/80,1))),1))+1))-1,0),0,MOD($A14-1,5))+1,0,IF(CROQUIS!$C$105=1,-12,2),CROQUIS!$C$107/2+CROQUIS!$C$144,IF(CROQUIS!$C$105=1,-12,2),0),((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ROQUIS!$C$159)+IF(CROQUIS!$C$92="X",0,0.8)),-1000)</f>
        <v>-1000</v>
      </c>
      <c r="BX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HOOSE(IF(INT(($A14-1)/5)&gt;MAX((MAX(1,INT(((CROQUIS!$C$97)-CROQUIS!$C$107)/MAX((CROQUIS!$C$141*MAX(1,CEILING((INT(((CROQUIS!$C$97)-CROQUIS!$C$107)/MAX(CROQUIS!$C$141,1))+1)/80,1))),1))+1))-1,0),0,MOD($A14-1,5))+1,CROQUIS!$C$98,CROQUIS!$C$98-CROQUIS!$C$107/2-CROQUIS!$C$144,IF(CROQUIS!$C$106=1,CROQUIS!$C$98+12,CROQUIS!$C$98-2),CROQUIS!$C$98-CROQUIS!$C$107/2-CROQUIS!$C$144,CROQUIS!$C$98)))*CROQUIS!$C$159)+IF(CROQUIS!$C$92="X",0.8,0)),-1000)</f>
        <v>-1000</v>
      </c>
      <c r="BY14">
        <f>IF(AND(CROQUIS!$C$88=1,CROQUIS!$C$91=0,CROQUIS!$C$141&gt;0,OR(CROQUIS!$C$106=1,CROQUIS!$C$146=1)),((CROQUIS!$C$161+(IF(CROQUIS!$C$92="X",CHOOSE(IF(INT(($A14-1)/5)&gt;MAX((MAX(1,INT(((CROQUIS!$C$97)-CROQUIS!$C$107)/MAX((CROQUIS!$C$141*MAX(1,CEILING((INT(((CROQUIS!$C$97)-CROQUIS!$C$107)/MAX(CROQUIS!$C$141,1))+1)/80,1))),1))+1))-1,0),0,MOD($A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ROQUIS!$C$159)+IF(CROQUIS!$C$92="X",0,0.8)),-1000)</f>
        <v>-1000</v>
      </c>
      <c r="BZ14">
        <f>IF(AND(CROQUIS!$C$88=1,CROQUIS!$C$91=1,CROQUIS!$C$133&gt;0),((CROQUIS!$C$160+(IF(CROQUIS!$C$92="X",CHOOSE(IF(INT(($A14-1)/5)&gt;MAX((MAX(1,INT(((CROQUIS!$C$98)-CROQUIS!$C$107)/MAX((CROQUIS!$C$133*MAX(1,CEILING((INT(((CROQUIS!$C$98)-CROQUIS!$C$107)/MAX(CROQUIS!$C$133,1))+1)/80,1))),1))+1))-1,0),0,MOD($A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CA14">
        <f>IF(AND(CROQUIS!$C$88=1,CROQUIS!$C$91=1,CROQUIS!$C$133&gt;0),((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4">
        <f>IF(AND(CROQUIS!$C$87=1),CHOOSE(MIN(MAX($A14,1),9),(50+(-CROQUIS!$C$116/2)*CROQUIS!$C$177),(50+(CROQUIS!$C$116/2)*CROQUIS!$C$177),(50+(CROQUIS!$C$116/2)*CROQUIS!$C$177),(50+(CROQUIS!$C$111/2)*CROQUIS!$C$177),(50+(CROQUIS!$C$111/2)*CROQUIS!$C$177),(50+(-CROQUIS!$C$111/2)*CROQUIS!$C$177),(50+(-CROQUIS!$C$111/2)*CROQUIS!$C$177),(50+(-CROQUIS!$C$116/2)*CROQUIS!$C$177),(50+(-CROQUIS!$C$116/2)*CROQUIS!$C$177)),-1000)</f>
        <v>45.2272727272727</v>
      </c>
      <c r="CC14">
        <f>IF(AND(CROQUIS!$C$87=1),CHOOSE(MIN(MAX($A14,1),9),(12+(CROQUIS!$C$108)*CROQUIS!$C$177),(12+(CROQUIS!$C$108)*CROQUIS!$C$177),(12+(CROQUIS!$C$117)*CROQUIS!$C$177),(12+(CROQUIS!$C$117)*CROQUIS!$C$177),(12+(0)*CROQUIS!$C$177),(12+(0)*CROQUIS!$C$177),(12+(CROQUIS!$C$117)*CROQUIS!$C$177),(12+(CROQUIS!$C$117)*CROQUIS!$C$177),(12+(CROQUIS!$C$108)*CROQUIS!$C$177)),-1000)</f>
        <v>30.1363636363636</v>
      </c>
      <c r="CJ14">
        <f>IF(AND(CROQUIS!$C$87=1,CROQUIS!$C$129&gt;=1),(50+(((1-(CROQUIS!$C$129+1)/2)*(MAX(CROQUIS!$C$121,CROQUIS!$C$128)+CROQUIS!$C$128))+CROQUIS!$C$128/2*COS(2*PI()*(MIN($A14,13)-1)/12))*CROQUIS!$C$177),-1000)</f>
        <v>49.3938636363636</v>
      </c>
      <c r="CK14">
        <f>IF(AND(CROQUIS!$C$87=1,CROQUIS!$C$129&gt;=1),(12+((CROQUIS!$C$109+CROQUIS!$C$128/2)+CROQUIS!$C$128/2*SIN(2*PI()*(MIN($A14,13)-1)/12))*CROQUIS!$C$177),-1000)</f>
        <v>14.5152272727273</v>
      </c>
      <c r="CL14">
        <f>IF(AND(CROQUIS!$C$87=1,CROQUIS!$C$129&gt;=2),(50+(((2-(CROQUIS!$C$129+1)/2)*(MAX(CROQUIS!$C$121,CROQUIS!$C$128)+CROQUIS!$C$128))+CROQUIS!$C$128/2*COS(2*PI()*(MIN($A14,13)-1)/12))*CROQUIS!$C$177),-1000)</f>
        <v>-1000</v>
      </c>
      <c r="CM14">
        <f>IF(AND(CROQUIS!$C$87=1,CROQUIS!$C$129&gt;=2),(12+((CROQUIS!$C$109+CROQUIS!$C$128/2)+CROQUIS!$C$128/2*SIN(2*PI()*(MIN($A14,13)-1)/12))*CROQUIS!$C$177),-1000)</f>
        <v>-1000</v>
      </c>
      <c r="CN14">
        <f>IF(AND(CROQUIS!$C$87=1,CROQUIS!$C$129&gt;=3),(50+(((3-(CROQUIS!$C$129+1)/2)*(MAX(CROQUIS!$C$121,CROQUIS!$C$128)+CROQUIS!$C$128))+CROQUIS!$C$128/2*COS(2*PI()*(MIN($A14,13)-1)/12))*CROQUIS!$C$177),-1000)</f>
        <v>-1000</v>
      </c>
      <c r="CO14">
        <f>IF(AND(CROQUIS!$C$87=1,CROQUIS!$C$129&gt;=3),(12+((CROQUIS!$C$109+CROQUIS!$C$128/2)+CROQUIS!$C$128/2*SIN(2*PI()*(MIN($A14,13)-1)/12))*CROQUIS!$C$177),-1000)</f>
        <v>-1000</v>
      </c>
      <c r="CP14">
        <f>IF(AND(CROQUIS!$C$87=1,CROQUIS!$C$133&gt;=1),(50+(((1-(CROQUIS!$C$133+1)/2)*(MAX(CROQUIS!$C$121,CROQUIS!$C$132)+CROQUIS!$C$132))+CROQUIS!$C$132/2*COS(2*PI()*(MIN($A14,13)-1)/12))*CROQUIS!$C$177),-1000)</f>
        <v>49.3938636363636</v>
      </c>
      <c r="CQ14">
        <f>IF(AND(CROQUIS!$C$87=1,CROQUIS!$C$133&gt;=1),(12+((CROQUIS!$C$108-CROQUIS!$C$120-2*CROQUIS!$C$119-CROQUIS!$C$132/2)+CROQUIS!$C$132/2*SIN(2*PI()*(MIN($A14,13)-1)/12))*CROQUIS!$C$177),-1000)</f>
        <v>31.8478636363636</v>
      </c>
      <c r="CR14">
        <f>IF(AND(CROQUIS!$C$87=1,CROQUIS!$C$133&gt;=2),(50+(((2-(CROQUIS!$C$133+1)/2)*(MAX(CROQUIS!$C$121,CROQUIS!$C$132)+CROQUIS!$C$132))+CROQUIS!$C$132/2*COS(2*PI()*(MIN($A14,13)-1)/12))*CROQUIS!$C$177),-1000)</f>
        <v>-1000</v>
      </c>
      <c r="CS14">
        <f>IF(AND(CROQUIS!$C$87=1,CROQUIS!$C$133&gt;=2),(12+((CROQUIS!$C$108-CROQUIS!$C$120-2*CROQUIS!$C$119-CROQUIS!$C$132/2)+CROQUIS!$C$132/2*SIN(2*PI()*(MIN($A14,13)-1)/12))*CROQUIS!$C$177),-1000)</f>
        <v>-1000</v>
      </c>
      <c r="CT14">
        <f>IF(AND(CROQUIS!$C$87=1,CROQUIS!$C$133&gt;=3),(50+(((3-(CROQUIS!$C$133+1)/2)*(MAX(CROQUIS!$C$121,CROQUIS!$C$132)+CROQUIS!$C$132))+CROQUIS!$C$132/2*COS(2*PI()*(MIN($A14,13)-1)/12))*CROQUIS!$C$177),-1000)</f>
        <v>-1000</v>
      </c>
      <c r="CU14">
        <f>IF(AND(CROQUIS!$C$87=1,CROQUIS!$C$133&gt;=3),(12+((CROQUIS!$C$108-CROQUIS!$C$120-2*CROQUIS!$C$119-CROQUIS!$C$132/2)+CROQUIS!$C$132/2*SIN(2*PI()*(MIN($A14,13)-1)/12))*CROQUIS!$C$177),-1000)</f>
        <v>-1000</v>
      </c>
      <c r="CV14">
        <f>IF(AND(CROQUIS!$C$87=1),CHOOSE(MIN(MAX($A14,1),7),(50+(-CROQUIS!$C$111/2)*CROQUIS!$C$177),(50+(-CROQUIS!$C$111/2)*CROQUIS!$C$177),(50+(-CROQUIS!$C$111/2)*CROQUIS!$C$177),((50+(-CROQUIS!$C$111/2)*CROQUIS!$C$177)+(50+(CROQUIS!$C$111/2)*CROQUIS!$C$177))/2,(50+(CROQUIS!$C$111/2)*CROQUIS!$C$177),(50+(CROQUIS!$C$111/2)*CROQUIS!$C$177),(50+(CROQUIS!$C$111/2)*CROQUIS!$C$177)),-1000)</f>
        <v>54.7727272727273</v>
      </c>
      <c r="CW14">
        <f>IF(AND(CROQUIS!$C$87=1),CHOOSE(MIN(MAX($A14,1),7),(12+(-4)*CROQUIS!$C$177)-1.4,(12+(-4)*CROQUIS!$C$177)+1.4,(12+(-4)*CROQUIS!$C$177),(12+(-4)*CROQUIS!$C$177),(12+(-4)*CROQUIS!$C$177),(12+(-4)*CROQUIS!$C$177)+1.4,(12+(-4)*CROQUIS!$C$177)-1.4),-1000)</f>
        <v>6.78181818181818</v>
      </c>
      <c r="CX14">
        <f>IF(AND(CROQUIS!$C$87=1),CHOOSE(MIN(MAX($A14,1),7),(50+(-CROQUIS!$C$116/2)*CROQUIS!$C$177),(50+(-CROQUIS!$C$116/2)*CROQUIS!$C$177),(50+(-CROQUIS!$C$116/2)*CROQUIS!$C$177),((50+(-CROQUIS!$C$116/2)*CROQUIS!$C$177)+(50+(CROQUIS!$C$116/2)*CROQUIS!$C$177))/2,(50+(CROQUIS!$C$116/2)*CROQUIS!$C$177),(50+(CROQUIS!$C$116/2)*CROQUIS!$C$177),(50+(CROQUIS!$C$116/2)*CROQUIS!$C$177)),-1000)</f>
        <v>83.4090909090909</v>
      </c>
      <c r="CY14">
        <f>IF(AND(CROQUIS!$C$87=1),CHOOSE(MIN(MAX($A14,1),7),(12+(CROQUIS!$C$108+4)*CROQUIS!$C$177)-1.4,(12+(CROQUIS!$C$108+4)*CROQUIS!$C$177)+1.4,(12+(CROQUIS!$C$108+4)*CROQUIS!$C$177),(12+(CROQUIS!$C$108+4)*CROQUIS!$C$177),(12+(CROQUIS!$C$108+4)*CROQUIS!$C$177),(12+(CROQUIS!$C$108+4)*CROQUIS!$C$177)+1.4,(12+(CROQUIS!$C$108+4)*CROQUIS!$C$177)-1.4),-1000)</f>
        <v>38.2818181818182</v>
      </c>
      <c r="CZ14">
        <f>IF(AND(CROQUIS!$C$87=1),CHOOSE(MIN(MAX($A14,1),7),(50+(CROQUIS!$C$116/2+4)*CROQUIS!$C$177)-1.4,(50+(CROQUIS!$C$116/2+4)*CROQUIS!$C$177)+1.4,(50+(CROQUIS!$C$116/2+4)*CROQUIS!$C$177),(50+(CROQUIS!$C$116/2+4)*CROQUIS!$C$177),(50+(CROQUIS!$C$116/2+4)*CROQUIS!$C$177),(50+(CROQUIS!$C$116/2+4)*CROQUIS!$C$177)+1.4,(50+(CROQUIS!$C$116/2+4)*CROQUIS!$C$177)-1.4),-1000)</f>
        <v>85.8272727272727</v>
      </c>
      <c r="DA14">
        <f>IF(AND(CROQUIS!$C$87=1),CHOOSE(MIN(MAX($A14,1),7),(12+(0)*CROQUIS!$C$177),(12+(0)*CROQUIS!$C$177),(12+(0)*CROQUIS!$C$177),((12+(0)*CROQUIS!$C$177)+(12+(CROQUIS!$C$108)*CROQUIS!$C$177))/2,(12+(CROQUIS!$C$108)*CROQUIS!$C$177),(12+(CROQUIS!$C$108)*CROQUIS!$C$177),(12+(CROQUIS!$C$108)*CROQUIS!$C$177)),-1000)</f>
        <v>35.8636363636364</v>
      </c>
      <c r="DB14">
        <f>IF(AND(CROQUIS!$C$87=1),CHOOSE(MIN(MAX($A14,1),7),(50+(-CROQUIS!$C$116/2-4)*CROQUIS!$C$177)-1.4,(50+(-CROQUIS!$C$116/2-4)*CROQUIS!$C$177)+1.4,(50+(-CROQUIS!$C$116/2-4)*CROQUIS!$C$177),(50+(-CROQUIS!$C$116/2-4)*CROQUIS!$C$177),(50+(-CROQUIS!$C$116/2-4)*CROQUIS!$C$177),(50+(-CROQUIS!$C$116/2-4)*CROQUIS!$C$177)+1.4,(50+(-CROQUIS!$C$116/2-4)*CROQUIS!$C$177)-1.4),-1000)</f>
        <v>11.3727272727273</v>
      </c>
      <c r="DC14">
        <f>IF(AND(CROQUIS!$C$87=1),CHOOSE(MIN(MAX($A14,1),7),(12+(CROQUIS!$C$108-CROQUIS!$C$150)*CROQUIS!$C$177),(12+(CROQUIS!$C$108-CROQUIS!$C$150)*CROQUIS!$C$177),(12+(CROQUIS!$C$108-CROQUIS!$C$150)*CROQUIS!$C$177),((12+(CROQUIS!$C$108-CROQUIS!$C$150)*CROQUIS!$C$177)+(12+(CROQUIS!$C$108)*CROQUIS!$C$177))/2,(12+(CROQUIS!$C$108)*CROQUIS!$C$177),(12+(CROQUIS!$C$108)*CROQUIS!$C$177),(12+(CROQUIS!$C$108)*CROQUIS!$C$177)),-1000)</f>
        <v>35.8636363636364</v>
      </c>
      <c r="DH14">
        <f>IF(AND(CROQUIS!$C$88=1,CROQUIS!$C$137&gt;0),(50+((-(MIN(12,INT(58/MAX(CROQUIS!$C$137,1))+1)-1)*CROQUIS!$C$137/2+(MIN($A14,MIN(12,INT(58/MAX(CROQUIS!$C$137,1))+1))-1)*CROQUIS!$C$137))*CROQUIS!$C$178),-1000)</f>
        <v>-1000</v>
      </c>
      <c r="DI14">
        <f>IF(AND(CROQUIS!$C$88=1,CROQUIS!$C$137&gt;0),(12+((CROQUIS!$C$109+CROQUIS!$C$128+CROQUIS!$C$136/2))*CROQUIS!$C$178),-1000)</f>
        <v>-1000</v>
      </c>
      <c r="DJ14">
        <f>IF(AND(CROQUIS!$C$88=1,CROQUIS!$C$141&gt;0),(50+((-(MIN(12,INT(58/MAX(CROQUIS!$C$141,1))+1)-1)*CROQUIS!$C$141/2+(MIN($A14,MIN(12,INT(58/MAX(CROQUIS!$C$141,1))+1))-1)*CROQUIS!$C$141))*CROQUIS!$C$178),-1000)</f>
        <v>-1000</v>
      </c>
      <c r="DK14">
        <f>IF(AND(CROQUIS!$C$88=1,CROQUIS!$C$141&gt;0),(12+((CROQUIS!$C$108-CROQUIS!$C$110-CROQUIS!$C$132-CROQUIS!$C$140/2))*CROQUIS!$C$178),-1000)</f>
        <v>-1000</v>
      </c>
      <c r="DN14">
        <f>IF(AND(CROQUIS!$C$88=1),CHOOSE(MIN(MAX($A14,1),7),(50+(33)*CROQUIS!$C$178)-1.4,(50+(33)*CROQUIS!$C$178)+1.4,(50+(33)*CROQUIS!$C$178),(50+(33)*CROQUIS!$C$178),(50+(33)*CROQUIS!$C$178),(50+(33)*CROQUIS!$C$178)+1.4,(50+(33)*CROQUIS!$C$178)-1.4),-1000)</f>
        <v>-1000</v>
      </c>
      <c r="DO14">
        <f>IF(AND(CROQUIS!$C$88=1),CHOOSE(MIN(MAX($A14,1),7),(12+(0)*CROQUIS!$C$178),(12+(0)*CROQUIS!$C$178),(12+(0)*CROQUIS!$C$178),((12+(0)*CROQUIS!$C$178)+(12+(CROQUIS!$C$108)*CROQUIS!$C$178))/2,(12+(CROQUIS!$C$108)*CROQUIS!$C$178),(12+(CROQUIS!$C$108)*CROQUIS!$C$178),(12+(CROQUIS!$C$108)*CROQUIS!$C$178)),-1000)</f>
        <v>-1000</v>
      </c>
      <c r="DP14">
        <f>IF(AND(CROQUIS!$C$88=1),CHOOSE(MIN(MAX($A14,1),7),(50+(-33)*CROQUIS!$C$178)-0.8,(50+(-33)*CROQUIS!$C$178)+0.8,(50+(-33)*CROQUIS!$C$178),(50+(-33)*CROQUIS!$C$178),(50+(-33)*CROQUIS!$C$178),(50+(-33)*CROQUIS!$C$178)+0.8,(50+(-33)*CROQUIS!$C$178)-0.8),-1000)</f>
        <v>-1000</v>
      </c>
      <c r="DQ14">
        <f>IF(AND(CROQUIS!$C$88=1),CHOOSE(MIN(MAX($A14,1),7),(12+(0)*CROQUIS!$C$178),(12+(0)*CROQUIS!$C$178),(12+(0)*CROQUIS!$C$178),((12+(0)*CROQUIS!$C$178)+(12+(CROQUIS!$C$109)*CROQUIS!$C$178))/2,(12+(CROQUIS!$C$109)*CROQUIS!$C$178),(12+(CROQUIS!$C$109)*CROQUIS!$C$178),(12+(CROQUIS!$C$109)*CROQUIS!$C$178)),-1000)</f>
        <v>-1000</v>
      </c>
      <c r="DR14">
        <f>IF(AND(CROQUIS!$C$88=1),CHOOSE(MIN(MAX($A14,1),7),(50+(-33)*CROQUIS!$C$178)-0.8,(50+(-33)*CROQUIS!$C$178)+0.8,(50+(-33)*CROQUIS!$C$178),(50+(-33)*CROQUIS!$C$178),(50+(-33)*CROQUIS!$C$178),(50+(-33)*CROQUIS!$C$178)+0.8,(50+(-33)*CROQUIS!$C$178)-0.8),-1000)</f>
        <v>-1000</v>
      </c>
      <c r="DS14">
        <f>IF(AND(CROQUIS!$C$88=1),CHOOSE(MIN(MAX($A14,1),7),(12+(CROQUIS!$C$108-CROQUIS!$C$110)*CROQUIS!$C$178),(12+(CROQUIS!$C$108-CROQUIS!$C$110)*CROQUIS!$C$178),(12+(CROQUIS!$C$108-CROQUIS!$C$110)*CROQUIS!$C$178),((12+(CROQUIS!$C$108-CROQUIS!$C$110)*CROQUIS!$C$178)+(12+(CROQUIS!$C$108)*CROQUIS!$C$178))/2,(12+(CROQUIS!$C$108)*CROQUIS!$C$178),(12+(CROQUIS!$C$108)*CROQUIS!$C$178),(12+(CROQUIS!$C$108)*CROQUIS!$C$178)),-1000)</f>
        <v>-1000</v>
      </c>
      <c r="DT14">
        <f>IF(AND(CROQUIS!$C$88=1,MIN(12,INT(58/MAX(CROQUIS!$C$137,1))+1)&gt;=2),CHOOSE(MIN(MAX($A14,1)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DU14">
        <f>IF(AND(CROQUIS!$C$88=1,MIN(12,INT(58/MAX(CROQUIS!$C$137,1))+1)&gt;=2),CHOOSE(MIN(MAX($A14,1),7),(12+(-4)*CROQUIS!$C$178)-1.4,(12+(-4)*CROQUIS!$C$178)+1.4,(12+(-4)*CROQUIS!$C$178),(12+(-4)*CROQUIS!$C$178),(12+(-4)*CROQUIS!$C$178),(12+(-4)*CROQUIS!$C$178)+1.4,(12+(-4)*CROQUIS!$C$178)-1.4),-1000)</f>
        <v>-1000</v>
      </c>
      <c r="DX14">
        <f>IF(AND(CROQUIS!$C$87=1),CHOOSE(MIN(MAX($A14,1)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90.1894736842105</v>
      </c>
      <c r="DY14">
        <f>IF(AND(CROQUIS!$C$87=1),CHOOSE(MIN(MAX($A14,1),10),30,30,20,20,30,IF(CROQUIS!$C$91=1,30,30),IF(CROQUIS!$C$91=1,30,30),IF(CROQUIS!$C$91=1,30,20),IF(CROQUIS!$C$91=1,30,20),IF(CROQUIS!$C$91=1,30,30)),-1000)</f>
        <v>30</v>
      </c>
      <c r="EP14">
        <f>IF(AND(CROQUIS!$C$87=1),CHOOSE(MIN(MAX($A14,1),7),(4+((0)-CROQUIS!$C$173)*CROQUIS!$C$175),(4+((0)-CROQUIS!$C$173)*CROQUIS!$C$175),(4+((0)-CROQUIS!$C$173)*CROQUIS!$C$175),((4+((0)-CROQUIS!$C$173)*CROQUIS!$C$175)+(4+((CROQUIS!$C$97)-CROQUIS!$C$173)*CROQUIS!$C$175))/2,(4+((CROQUIS!$C$97)-CROQUIS!$C$173)*CROQUIS!$C$175),(4+((CROQUIS!$C$97)-CROQUIS!$C$173)*CROQUIS!$C$175),(4+((CROQUIS!$C$97)-CROQUIS!$C$173)*CROQUIS!$C$175)),-1000)</f>
        <v>88.7368421052632</v>
      </c>
      <c r="EQ14">
        <f>IF(AND(CROQUIS!$C$87=1),CHOOSE(MIN(MAX($A14,1),7),15-1.4,15+1.4,15,15,15,15+1.4,15-1.4),-1000)</f>
        <v>13.6</v>
      </c>
      <c r="ER14">
        <f>IF(AND(CROQUIS!$C$87=1,OR(CROQUIS!$C$91=1,AND(CROQUIS!$C$133&gt;=2,OR(CROQUIS!$C$103=1,CROQUIS!$C$145=1)))),CHOOSE(MIN(MAX($A14,1)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ES14">
        <f>IF(AND(CROQUIS!$C$87=1,OR(CROQUIS!$C$91=1,AND(CROQUIS!$C$133&gt;=2,OR(CROQUIS!$C$103=1,CROQUIS!$C$145=1)))),CHOOSE(MIN(MAX($A14,1)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EX14">
        <f>IF(AND(CROQUIS!$C$88=1),CHOOSE(MIN(MAX($A14,1)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4">
        <f>IF(AND(CROQUIS!$C$88=1),CHOOSE(MIN(MAX($A14,1),10),30,30,20,20,30,IF(CROQUIS!$C$91=1,30,30),IF(CROQUIS!$C$91=1,30,30),IF(CROQUIS!$C$91=1,30,20),IF(CROQUIS!$C$91=1,30,20),IF(CROQUIS!$C$91=1,30,30)),-1000)</f>
        <v>-1000</v>
      </c>
      <c r="FJ14">
        <f>IF(AND(CROQUIS!$C$88=1),CHOOSE(MIN(MAX($A14,1),7),(4+((0)-CROQUIS!$C$173)*CROQUIS!$C$175),(4+((0)-CROQUIS!$C$173)*CROQUIS!$C$175),(4+((0)-CROQUIS!$C$173)*CROQUIS!$C$175),((4+((0)-CROQUIS!$C$173)*CROQUIS!$C$175)+(4+((CROQUIS!$C$97)-CROQUIS!$C$173)*CROQUIS!$C$175))/2,(4+((CROQUIS!$C$97)-CROQUIS!$C$173)*CROQUIS!$C$175),(4+((CROQUIS!$C$97)-CROQUIS!$C$173)*CROQUIS!$C$175),(4+((CROQUIS!$C$97)-CROQUIS!$C$173)*CROQUIS!$C$175)),-1000)</f>
        <v>-1000</v>
      </c>
      <c r="FK14">
        <f>IF(AND(CROQUIS!$C$88=1),CHOOSE(MIN(MAX($A14,1),7),15-1.4,15+1.4,15,15,15,15+1.4,15-1.4),-1000)</f>
        <v>-1000</v>
      </c>
      <c r="FL14">
        <f>IF(AND(CROQUIS!$C$88=1,OR(CROQUIS!$C$91=1,AND(CROQUIS!$C$133&gt;0,OR(CROQUIS!$C$103=1,CROQUIS!$C$145=1)))),CHOOSE(MIN(MAX($A14,1)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M14">
        <f>IF(AND(CROQUIS!$C$88=1,OR(CROQUIS!$C$91=1,AND(CROQUIS!$C$133&gt;0,OR(CROQUIS!$C$103=1,CROQUIS!$C$145=1)))),CHOOSE(MIN(MAX($A14,1),7),((30+(CROQUIS!$C$108)*CROQUIS!$C$175*CROQUIS!$C$176)+5)-1.4,((30+(CROQUIS!$C$108)*CROQUIS!$C$175*CROQUIS!$C$176)+5)+1.4,((30+(CROQUIS!$C$108)*CROQUIS!$C$175*CROQUIS!$C$176)+5),((30+(CROQUIS!$C$108)*CROQUIS!$C$175*CROQUIS!$C$176)+5),((30+(CROQUIS!$C$108)*CROQUIS!$C$175*CROQUIS!$C$176)+5),((30+(CROQUIS!$C$108)*CROQUIS!$C$175*CROQUIS!$C$176)+5)+1.4,((30+(CROQUIS!$C$108)*CROQUIS!$C$175*CROQUIS!$C$176)+5)-1.4),-1000)</f>
        <v>-1000</v>
      </c>
    </row>
    <row r="15">
      <c r="A15" t="n">
        <v>8</v>
      </c>
      <c r="F15">
        <f>IF(AND(CROQUIS!$C$87=1,CROQUIS!$C$91=1),((CROQUIS!$C$160+(IF(CROQUIS!$C$92="X",IF(CROQUIS!$C$94=1,0,CROQUIS!$C$97)+IF(MOD($A15,2)=1,-CROQUIS!$C$107/2,CROQUIS!$C$107/2),(MIN($A15,41)-1)/40*CROQUIS!$C$98))*CROQUIS!$C$159)+IF(CROQUIS!$C$92="X",0,0)),-1000)</f>
        <v>-1000</v>
      </c>
      <c r="G15">
        <f>IF(AND(CROQUIS!$C$87=1,CROQUIS!$C$91=1),((CROQUIS!$C$161+(IF(CROQUIS!$C$92="X",(MIN($A15,41)-1)/40*CROQUIS!$C$98,IF(CROQUIS!$C$94=1,0,CROQUIS!$C$97)+IF(MOD($A15,2)=1,-CROQUIS!$C$107/2,CROQUIS!$C$107/2)))*CROQUIS!$C$159)+IF(CROQUIS!$C$92="X",0,0)),-1000)</f>
        <v>-1000</v>
      </c>
      <c r="V15">
        <f>IF(AND(CROQUIS!$C$88=1,CROQUIS!$C$91=1),((CROQUIS!$C$160+(IF(CROQUIS!$C$92="X",IF(CROQUIS!$C$94=1,0,CROQUIS!$C$97)+IF(MOD($A15,2)=1,-CROQUIS!$C$107/2,CROQUIS!$C$107/2),(MIN($A15,41)-1)/40*CROQUIS!$C$98))*CROQUIS!$C$159)+IF(CROQUIS!$C$92="X",0,0)),-1000)</f>
        <v>-1000</v>
      </c>
      <c r="W15">
        <f>IF(AND(CROQUIS!$C$88=1,CROQUIS!$C$91=1),((CROQUIS!$C$161+(IF(CROQUIS!$C$92="X",(MIN($A15,41)-1)/40*CROQUIS!$C$98,IF(CROQUIS!$C$94=1,0,CROQUIS!$C$97)+IF(MOD($A15,2)=1,-CROQUIS!$C$107/2,CROQUIS!$C$107/2)))*CROQUIS!$C$159)+IF(CROQUIS!$C$92="X",0,0)),-1000)</f>
        <v>-1000</v>
      </c>
      <c r="AJ15">
        <f>IF(AND(CROQUIS!$C$87=1,CROQUIS!$C$162&gt;0,CROQUIS!$C$164&gt;0),(CROQUIS!$C$160+((CROQUIS!$C$163+INT(MIN(INT(($A15-1)/2),MAX((2*CROQUIS!$C$162)-1,0))/2)*CROQUIS!$C$116+MOD(MIN(INT(($A15-1)/2),MAX((2*CROQUIS!$C$162)-1,0)),2)*CROQUIS!$C$114))*CROQUIS!$C$159),-1000)</f>
        <v>45.2779032986896</v>
      </c>
      <c r="AK15">
        <f>IF(AND(CROQUIS!$C$87=1,CROQUIS!$C$162&gt;0,CROQUIS!$C$164&gt;0),(CROQUIS!$C$161+(IF(MOD(MIN(INT(($A15-1)/2),MAX((2*CROQUIS!$C$162)-1,0)),2)=0,IF(IF(INT(($A15-1)/2)&gt;MAX((2*CROQUIS!$C$162)-1,0),1,MOD($A15-1,2))=0,CROQUIS!$C$165,(CROQUIS!$C$165+(CROQUIS!$C$164-1)*CROQUIS!$C$116+CROQUIS!$C$115)),IF(IF(INT(($A15-1)/2)&gt;MAX((2*CROQUIS!$C$162)-1,0),1,MOD($A15-1,2))=0,(CROQUIS!$C$165+(CROQUIS!$C$164-1)*CROQUIS!$C$116+CROQUIS!$C$115),CROQUIS!$C$165)))*CROQUIS!$C$159),-1000)</f>
        <v>20.8088567555355</v>
      </c>
      <c r="AL15">
        <f>IF(AND(CROQUIS!$C$87=1,CROQUIS!$C$164&gt;0,CROQUIS!$C$162&gt;0),(CROQUIS!$C$160+(IF(MOD(MIN(INT(($A15-1)/2),MAX((2*CROQUIS!$C$164)-1,0)),2)=0,IF(IF(INT(($A15-1)/2)&gt;MAX((2*CROQUIS!$C$164)-1,0),1,MOD($A15-1,2))=0,CROQUIS!$C$163,(CROQUIS!$C$163+(CROQUIS!$C$162-1)*CROQUIS!$C$116+CROQUIS!$C$114)),IF(IF(INT(($A15-1)/2)&gt;MAX((2*CROQUIS!$C$164)-1,0),1,MOD($A15-1,2))=0,(CROQUIS!$C$163+(CROQUIS!$C$162-1)*CROQUIS!$C$116+CROQUIS!$C$114),CROQUIS!$C$163)))*CROQUIS!$C$159),-1000)</f>
        <v>22.9552643470402</v>
      </c>
      <c r="AM15">
        <f>IF(AND(CROQUIS!$C$87=1,CROQUIS!$C$164&gt;0,CROQUIS!$C$162&gt;0),(CROQUIS!$C$161+((CROQUIS!$C$165+INT(MIN(INT(($A15-1)/2),MAX((2*CROQUIS!$C$164)-1,0))/2)*CROQUIS!$C$116+MOD(MIN(INT(($A15-1)/2),MAX((2*CROQUIS!$C$164)-1,0)),2)*CROQUIS!$C$115))*CROQUIS!$C$159),-1000)</f>
        <v>43.1314957071848</v>
      </c>
      <c r="AN15">
        <f>IF(AND(CROQUIS!$C$87=1,CROQUIS!$C$162&gt;=2),(CROQUIS!$C$160+((CROQUIS!$C$163+CROQUIS!$C$114+(CROQUIS!$C$116-CROQUIS!$C$114)/2+MIN(INT(($A15-1)/2),MAX((CROQUIS!$C$162-1)-1,0))*CROQUIS!$C$116))*CROQUIS!$C$159),-1000)</f>
        <v>70.1762313601446</v>
      </c>
      <c r="AO15">
        <f>IF(AND(CROQUIS!$C$87=1,CROQUIS!$C$162&gt;=2),(CROQUIS!$C$161+(IF(MOD(MIN(INT(($A15-1)/2),MAX((CROQUIS!$C$162-1)-1,0)),2)=0,IF(IF(INT(($A15-1)/2)&gt;MAX((CROQUIS!$C$162-1)-1,0),1,MOD($A15-1,2))=0,CROQUIS!$C$107/2,(CROQUIS!$C$96-CROQUIS!$C$107/2)),IF(IF(INT(($A15-1)/2)&gt;MAX((CROQUIS!$C$162-1)-1,0),1,MOD($A15-1,2))=0,(CROQUIS!$C$96-CROQUIS!$C$107/2),CROQUIS!$C$107/2)))*CROQUIS!$C$159),-1000)</f>
        <v>16.9453230908269</v>
      </c>
      <c r="AP15">
        <f>IF(AND(CROQUIS!$C$87=1,CROQUIS!$C$164&gt;=2),(CROQUIS!$C$160+(IF(MOD(MIN(INT(($A15-1)/2),MAX((CROQUIS!$C$164-1)-1,0)),2)=0,IF(IF(INT(($A15-1)/2)&gt;MAX((CROQUIS!$C$164-1)-1,0),1,MOD($A15-1,2))=0,CROQUIS!$C$107/2,(CROQUIS!$C$95-CROQUIS!$C$107/2)),IF(IF(INT(($A15-1)/2)&gt;MAX((CROQUIS!$C$164-1)-1,0),1,MOD($A15-1,2))=0,(CROQUIS!$C$95-CROQUIS!$C$107/2),CROQUIS!$C$107/2)))*CROQUIS!$C$159),-1000)</f>
        <v>13.2878445549028</v>
      </c>
      <c r="AQ15">
        <f>IF(AND(CROQUIS!$C$87=1,CROQUIS!$C$164&gt;=2),(CROQUIS!$C$161+((CROQUIS!$C$165+CROQUIS!$C$115+(CROQUIS!$C$116-CROQUIS!$C$115)/2+MIN(INT(($A15-1)/2),MAX((CROQUIS!$C$164-1)-1,0))*CROQUIS!$C$116))*CROQUIS!$C$159),-1000)</f>
        <v>68.0298237686399</v>
      </c>
      <c r="AR15">
        <f>IF(AND(CROQUIS!$C$87=1,CROQUIS!$C$126&gt;0,CROQUIS!$C$166&gt;0),((CROQUIS!$C$160+(IF(CROQUIS!$C$92="X",CHOOSE(MIN(MAX($A15,1)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15,1)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5">
        <f>IF(AND(CROQUIS!$C$87=1,CROQUIS!$C$126&gt;0,CROQUIS!$C$166&gt;0),((CROQUIS!$C$161+(IF(CROQUIS!$C$92="X",CHOOSE(MIN(MAX($A15,1)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15,1)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N15">
        <f>IF(AND(CROQUIS!$C$88=1,CROQUIS!$C$129&gt;0),((CROQUIS!$C$160+(IF(CROQUIS!$C$92="X",CHOOSE(IF(INT(($A15-1)/5)&gt;MAX((MAX(1,INT(((CROQUIS!$C$98)-CROQUIS!$C$107)/MAX((CROQUIS!$C$129*MAX(1,CEILING((INT(((CROQUIS!$C$98)-CROQUIS!$C$107)/MAX(CROQUIS!$C$129,1))+1)/80,1))),1))+1))-1,0),0,MOD($A15-1,5))+1,0,2,CROQUIS!$C$97-2,2,0),((CROQUIS!$C$107/2+(((CROQUIS!$C$98)-CROQUIS!$C$107)-(MAX(1,INT(((CROQUIS!$C$98)-CROQUIS!$C$107)/MAX((CROQUIS!$C$129*MAX(1,CEILING((INT(((CROQUIS!$C$98)-CROQUIS!$C$107)/MAX(CROQUIS!$C$129,1))+1)/80,1))),1))+1)-1)*(CROQUIS!$C$129*MAX(1,CEILING((INT(((CROQUIS!$C$98)-CROQUIS!$C$107)/MAX(CROQUIS!$C$129,1))+1)/80,1))))/2)+MIN(INT(($A15-1)/5),MAX((MAX(1,INT(((CROQUIS!$C$98)-CROQUIS!$C$107)/MAX((CROQUIS!$C$129*MAX(1,CEILING((INT(((CROQUIS!$C$98)-CROQUIS!$C$107)/MAX(CROQUIS!$C$129,1))+1)/80,1))),1))+1))-1,0))*(CROQUIS!$C$129*MAX(1,CEILING((INT(((CROQUIS!$C$98)-CROQUIS!$C$107)/MAX(CROQUIS!$C$129,1))+1)/80,1))))))*CROQUIS!$C$159)+IF(CROQUIS!$C$92="X",0,0)),-1000)</f>
        <v>-1000</v>
      </c>
      <c r="BO15">
        <f>IF(AND(CROQUIS!$C$88=1,CROQUIS!$C$129&gt;0),((CROQUIS!$C$161+(IF(CROQUIS!$C$92="X",((CROQUIS!$C$107/2+(((CROQUIS!$C$98)-CROQUIS!$C$107)-(MAX(1,INT(((CROQUIS!$C$98)-CROQUIS!$C$107)/MAX((CROQUIS!$C$129*MAX(1,CEILING((INT(((CROQUIS!$C$98)-CROQUIS!$C$107)/MAX(CROQUIS!$C$129,1))+1)/80,1))),1))+1)-1)*(CROQUIS!$C$129*MAX(1,CEILING((INT(((CROQUIS!$C$98)-CROQUIS!$C$107)/MAX(CROQUIS!$C$129,1))+1)/80,1))))/2)+MIN(INT(($A15-1)/5),MAX((MAX(1,INT(((CROQUIS!$C$98)-CROQUIS!$C$107)/MAX((CROQUIS!$C$129*MAX(1,CEILING((INT(((CROQUIS!$C$98)-CROQUIS!$C$107)/MAX(CROQUIS!$C$129,1))+1)/80,1))),1))+1))-1,0))*(CROQUIS!$C$129*MAX(1,CEILING((INT(((CROQUIS!$C$98)-CROQUIS!$C$107)/MAX(CROQUIS!$C$129,1))+1)/80,1)))),CHOOSE(IF(INT(($A15-1)/5)&gt;MAX((MAX(1,INT(((CROQUIS!$C$98)-CROQUIS!$C$107)/MAX((CROQUIS!$C$129*MAX(1,CEILING((INT(((CROQUIS!$C$98)-CROQUIS!$C$107)/MAX(CROQUIS!$C$129,1))+1)/80,1))),1))+1))-1,0),0,MOD($A15-1,5))+1,0,2,CROQUIS!$C$97-2,2,0)))*CROQUIS!$C$159)+IF(CROQUIS!$C$92="X",0,0)),-1000)</f>
        <v>-1000</v>
      </c>
      <c r="BP15">
        <f>IF(AND(CROQUIS!$C$88=1,CROQUIS!$C$137&gt;0),((CROQUIS!$C$160+(IF(CROQUIS!$C$92="X",((CROQUIS!$C$107/2+(((CROQUIS!$C$97)-CROQUIS!$C$107)-(MAX(1,INT(((CROQUIS!$C$97)-CROQUIS!$C$107)/MAX((CROQUIS!$C$137*MAX(1,CEILING((INT(((CROQUIS!$C$97)-CROQUIS!$C$107)/MAX(CROQUIS!$C$137,1))+1)/80,1))),1))+1)-1)*(CROQUIS!$C$137*MAX(1,CEILING((INT(((CROQUIS!$C$97)-CROQUIS!$C$107)/MAX(CROQUIS!$C$137,1))+1)/80,1))))/2)+MIN(INT(($A15-1)/5),MAX((MAX(1,INT(((CROQUIS!$C$97)-CROQUIS!$C$107)/MAX((CROQUIS!$C$137*MAX(1,CEILING((INT(((CROQUIS!$C$97)-CROQUIS!$C$107)/MAX(CROQUIS!$C$137,1))+1)/80,1))),1))+1))-1,0))*(CROQUIS!$C$137*MAX(1,CEILING((INT(((CROQUIS!$C$97)-CROQUIS!$C$107)/MAX(CROQUIS!$C$137,1))+1)/80,1)))),CHOOSE(IF(INT(($A15-1)/5)&gt;MAX((MAX(1,INT(((CROQUIS!$C$97)-CROQUIS!$C$107)/MAX((CROQUIS!$C$137*MAX(1,CEILING((INT(((CROQUIS!$C$97)-CROQUIS!$C$107)/MAX(CROQUIS!$C$137,1))+1)/80,1))),1))+1))-1,0),0,MOD($A15-1,5))+1,0,2,CROQUIS!$C$98-2,2,0)))*CROQUIS!$C$159)+IF(CROQUIS!$C$92="X",0,0)),-1000)</f>
        <v>-1000</v>
      </c>
      <c r="BQ15">
        <f>IF(AND(CROQUIS!$C$88=1,CROQUIS!$C$137&gt;0),((CROQUIS!$C$161+(IF(CROQUIS!$C$92="X",CHOOSE(IF(INT(($A15-1)/5)&gt;MAX((MAX(1,INT(((CROQUIS!$C$97)-CROQUIS!$C$107)/MAX((CROQUIS!$C$137*MAX(1,CEILING((INT(((CROQUIS!$C$97)-CROQUIS!$C$107)/MAX(CROQUIS!$C$137,1))+1)/80,1))),1))+1))-1,0),0,MOD($A15-1,5))+1,0,2,CROQUIS!$C$98-2,2,0),((CROQUIS!$C$107/2+(((CROQUIS!$C$97)-CROQUIS!$C$107)-(MAX(1,INT(((CROQUIS!$C$97)-CROQUIS!$C$107)/MAX((CROQUIS!$C$137*MAX(1,CEILING((INT(((CROQUIS!$C$97)-CROQUIS!$C$107)/MAX(CROQUIS!$C$137,1))+1)/80,1))),1))+1)-1)*(CROQUIS!$C$137*MAX(1,CEILING((INT(((CROQUIS!$C$97)-CROQUIS!$C$107)/MAX(CROQUIS!$C$137,1))+1)/80,1))))/2)+MIN(INT(($A15-1)/5),MAX((MAX(1,INT(((CROQUIS!$C$97)-CROQUIS!$C$107)/MAX((CROQUIS!$C$137*MAX(1,CEILING((INT(((CROQUIS!$C$97)-CROQUIS!$C$107)/MAX(CROQUIS!$C$137,1))+1)/80,1))),1))+1))-1,0))*(CROQUIS!$C$137*MAX(1,CEILING((INT(((CROQUIS!$C$97)-CROQUIS!$C$107)/MAX(CROQUIS!$C$137,1))+1)/80,1))))))*CROQUIS!$C$159)+IF(CROQUIS!$C$92="X",0,0)),-1000)</f>
        <v>-1000</v>
      </c>
      <c r="BR15">
        <f>IF(AND(CROQUIS!$C$88=1,CROQUIS!$C$91=0,CROQUIS!$C$133&gt;0,OR(CROQUIS!$C$103=1,CROQUIS!$C$145=1)),((CROQUIS!$C$160+(IF(CROQUIS!$C$92="X",CHOOSE(IF(INT(($A15-1)/5)&gt;MAX((MAX(1,INT(((CROQUIS!$C$98)-CROQUIS!$C$107)/MAX((CROQUIS!$C$133*MAX(1,CEILING((INT(((CROQUIS!$C$98)-CROQUIS!$C$107)/MAX(CROQUIS!$C$133,1))+1)/80,1))),1))+1))-1,0),0,MOD($A15-1,5))+1,0,IF(CROQUIS!$C$103=1,-12,2),CROQUIS!$C$107/2+CROQUIS!$C$143,IF(CROQUIS!$C$103=1,-12,2),0),((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BS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+1,0,IF(CROQUIS!$C$103=1,-12,2),CROQUIS!$C$107/2+CROQUIS!$C$143,IF(CROQUIS!$C$103=1,-12,2),0)))*CROQUIS!$C$159)+IF(CROQUIS!$C$92="X",0.8,0)),-1000)</f>
        <v>-1000</v>
      </c>
      <c r="BT15">
        <f>IF(AND(CROQUIS!$C$88=1,CROQUIS!$C$91=0,CROQUIS!$C$133&gt;0,OR(CROQUIS!$C$104=1,CROQUIS!$C$145=1)),((CROQUIS!$C$160+(IF(CROQUIS!$C$92="X",CHOOSE(IF(INT(($A15-1)/5)&gt;MAX((MAX(1,INT(((CROQUIS!$C$98)-CROQUIS!$C$107)/MAX((CROQUIS!$C$133*MAX(1,CEILING((INT(((CROQUIS!$C$98)-CROQUIS!$C$107)/MAX(CROQUIS!$C$133,1))+1)/80,1))),1))+1))-1,0),0,MOD($A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BU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CROQUIS!$C$97,CROQUIS!$C$97-CROQUIS!$C$107/2-CROQUIS!$C$143,IF(CROQUIS!$C$104=1,CROQUIS!$C$97+12,CROQUIS!$C$97-2),CROQUIS!$C$97-CROQUIS!$C$107/2-CROQUIS!$C$143,CROQUIS!$C$97)))*CROQUIS!$C$159)+IF(CROQUIS!$C$92="X",0.8,0)),-1000)</f>
        <v>-1000</v>
      </c>
      <c r="BV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HOOSE(IF(INT(($A15-1)/5)&gt;MAX((MAX(1,INT(((CROQUIS!$C$97)-CROQUIS!$C$107)/MAX((CROQUIS!$C$141*MAX(1,CEILING((INT(((CROQUIS!$C$97)-CROQUIS!$C$107)/MAX(CROQUIS!$C$141,1))+1)/80,1))),1))+1))-1,0),0,MOD($A15-1,5))+1,0,IF(CROQUIS!$C$105=1,-12,2),CROQUIS!$C$107/2+CROQUIS!$C$144,IF(CROQUIS!$C$105=1,-12,2),0)))*CROQUIS!$C$159)+IF(CROQUIS!$C$92="X",0.8,0)),-1000)</f>
        <v>-1000</v>
      </c>
      <c r="BW15">
        <f>IF(AND(CROQUIS!$C$88=1,CROQUIS!$C$91=0,CROQUIS!$C$141&gt;0,OR(CROQUIS!$C$105=1,CROQUIS!$C$146=1)),((CROQUIS!$C$161+(IF(CROQUIS!$C$92="X",CHOOSE(IF(INT(($A15-1)/5)&gt;MAX((MAX(1,INT(((CROQUIS!$C$97)-CROQUIS!$C$107)/MAX((CROQUIS!$C$141*MAX(1,CEILING((INT(((CROQUIS!$C$97)-CROQUIS!$C$107)/MAX(CROQUIS!$C$141,1))+1)/80,1))),1))+1))-1,0),0,MOD($A15-1,5))+1,0,IF(CROQUIS!$C$105=1,-12,2),CROQUIS!$C$107/2+CROQUIS!$C$144,IF(CROQUIS!$C$105=1,-12,2),0),((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ROQUIS!$C$159)+IF(CROQUIS!$C$92="X",0,0.8)),-1000)</f>
        <v>-1000</v>
      </c>
      <c r="BX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HOOSE(IF(INT(($A15-1)/5)&gt;MAX((MAX(1,INT(((CROQUIS!$C$97)-CROQUIS!$C$107)/MAX((CROQUIS!$C$141*MAX(1,CEILING((INT(((CROQUIS!$C$97)-CROQUIS!$C$107)/MAX(CROQUIS!$C$141,1))+1)/80,1))),1))+1))-1,0),0,MOD($A15-1,5))+1,CROQUIS!$C$98,CROQUIS!$C$98-CROQUIS!$C$107/2-CROQUIS!$C$144,IF(CROQUIS!$C$106=1,CROQUIS!$C$98+12,CROQUIS!$C$98-2),CROQUIS!$C$98-CROQUIS!$C$107/2-CROQUIS!$C$144,CROQUIS!$C$98)))*CROQUIS!$C$159)+IF(CROQUIS!$C$92="X",0.8,0)),-1000)</f>
        <v>-1000</v>
      </c>
      <c r="BY15">
        <f>IF(AND(CROQUIS!$C$88=1,CROQUIS!$C$91=0,CROQUIS!$C$141&gt;0,OR(CROQUIS!$C$106=1,CROQUIS!$C$146=1)),((CROQUIS!$C$161+(IF(CROQUIS!$C$92="X",CHOOSE(IF(INT(($A15-1)/5)&gt;MAX((MAX(1,INT(((CROQUIS!$C$97)-CROQUIS!$C$107)/MAX((CROQUIS!$C$141*MAX(1,CEILING((INT(((CROQUIS!$C$97)-CROQUIS!$C$107)/MAX(CROQUIS!$C$141,1))+1)/80,1))),1))+1))-1,0),0,MOD($A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ROQUIS!$C$159)+IF(CROQUIS!$C$92="X",0,0.8)),-1000)</f>
        <v>-1000</v>
      </c>
      <c r="BZ15">
        <f>IF(AND(CROQUIS!$C$88=1,CROQUIS!$C$91=1,CROQUIS!$C$133&gt;0),((CROQUIS!$C$160+(IF(CROQUIS!$C$92="X",CHOOSE(IF(INT(($A15-1)/5)&gt;MAX((MAX(1,INT(((CROQUIS!$C$98)-CROQUIS!$C$107)/MAX((CROQUIS!$C$133*MAX(1,CEILING((INT(((CROQUIS!$C$98)-CROQUIS!$C$107)/MAX(CROQUIS!$C$133,1))+1)/80,1))),1))+1))-1,0),0,MOD($A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CA15">
        <f>IF(AND(CROQUIS!$C$88=1,CROQUIS!$C$91=1,CROQUIS!$C$133&gt;0),((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5">
        <f>IF(AND(CROQUIS!$C$87=1),CHOOSE(MIN(MAX($A15,1),9),(50+(-CROQUIS!$C$116/2)*CROQUIS!$C$177),(50+(CROQUIS!$C$116/2)*CROQUIS!$C$177),(50+(CROQUIS!$C$116/2)*CROQUIS!$C$177),(50+(CROQUIS!$C$111/2)*CROQUIS!$C$177),(50+(CROQUIS!$C$111/2)*CROQUIS!$C$177),(50+(-CROQUIS!$C$111/2)*CROQUIS!$C$177),(50+(-CROQUIS!$C$111/2)*CROQUIS!$C$177),(50+(-CROQUIS!$C$116/2)*CROQUIS!$C$177),(50+(-CROQUIS!$C$116/2)*CROQUIS!$C$177)),-1000)</f>
        <v>16.5909090909091</v>
      </c>
      <c r="CC15">
        <f>IF(AND(CROQUIS!$C$87=1),CHOOSE(MIN(MAX($A15,1),9),(12+(CROQUIS!$C$108)*CROQUIS!$C$177),(12+(CROQUIS!$C$108)*CROQUIS!$C$177),(12+(CROQUIS!$C$117)*CROQUIS!$C$177),(12+(CROQUIS!$C$117)*CROQUIS!$C$177),(12+(0)*CROQUIS!$C$177),(12+(0)*CROQUIS!$C$177),(12+(CROQUIS!$C$117)*CROQUIS!$C$177),(12+(CROQUIS!$C$117)*CROQUIS!$C$177),(12+(CROQUIS!$C$108)*CROQUIS!$C$177)),-1000)</f>
        <v>30.1363636363636</v>
      </c>
      <c r="CJ15">
        <f>IF(AND(CROQUIS!$C$87=1,CROQUIS!$C$129&gt;=1),(50+(((1-(CROQUIS!$C$129+1)/2)*(MAX(CROQUIS!$C$121,CROQUIS!$C$128)+CROQUIS!$C$128))+CROQUIS!$C$128/2*COS(2*PI()*(MIN($A15,13)-1)/12))*CROQUIS!$C$177),-1000)</f>
        <v>49.4750705109334</v>
      </c>
      <c r="CK15">
        <f>IF(AND(CROQUIS!$C$87=1,CROQUIS!$C$129&gt;=1),(12+((CROQUIS!$C$109+CROQUIS!$C$128/2)+CROQUIS!$C$128/2*SIN(2*PI()*(MIN($A15,13)-1)/12))*CROQUIS!$C$177),-1000)</f>
        <v>14.2121590909091</v>
      </c>
      <c r="CL15">
        <f>IF(AND(CROQUIS!$C$87=1,CROQUIS!$C$129&gt;=2),(50+(((2-(CROQUIS!$C$129+1)/2)*(MAX(CROQUIS!$C$121,CROQUIS!$C$128)+CROQUIS!$C$128))+CROQUIS!$C$128/2*COS(2*PI()*(MIN($A15,13)-1)/12))*CROQUIS!$C$177),-1000)</f>
        <v>-1000</v>
      </c>
      <c r="CM15">
        <f>IF(AND(CROQUIS!$C$87=1,CROQUIS!$C$129&gt;=2),(12+((CROQUIS!$C$109+CROQUIS!$C$128/2)+CROQUIS!$C$128/2*SIN(2*PI()*(MIN($A15,13)-1)/12))*CROQUIS!$C$177),-1000)</f>
        <v>-1000</v>
      </c>
      <c r="CN15">
        <f>IF(AND(CROQUIS!$C$87=1,CROQUIS!$C$129&gt;=3),(50+(((3-(CROQUIS!$C$129+1)/2)*(MAX(CROQUIS!$C$121,CROQUIS!$C$128)+CROQUIS!$C$128))+CROQUIS!$C$128/2*COS(2*PI()*(MIN($A15,13)-1)/12))*CROQUIS!$C$177),-1000)</f>
        <v>-1000</v>
      </c>
      <c r="CO15">
        <f>IF(AND(CROQUIS!$C$87=1,CROQUIS!$C$129&gt;=3),(12+((CROQUIS!$C$109+CROQUIS!$C$128/2)+CROQUIS!$C$128/2*SIN(2*PI()*(MIN($A15,13)-1)/12))*CROQUIS!$C$177),-1000)</f>
        <v>-1000</v>
      </c>
      <c r="CP15">
        <f>IF(AND(CROQUIS!$C$87=1,CROQUIS!$C$133&gt;=1),(50+(((1-(CROQUIS!$C$133+1)/2)*(MAX(CROQUIS!$C$121,CROQUIS!$C$132)+CROQUIS!$C$132))+CROQUIS!$C$132/2*COS(2*PI()*(MIN($A15,13)-1)/12))*CROQUIS!$C$177),-1000)</f>
        <v>49.4750705109334</v>
      </c>
      <c r="CQ15">
        <f>IF(AND(CROQUIS!$C$87=1,CROQUIS!$C$133&gt;=1),(12+((CROQUIS!$C$108-CROQUIS!$C$120-2*CROQUIS!$C$119-CROQUIS!$C$132/2)+CROQUIS!$C$132/2*SIN(2*PI()*(MIN($A15,13)-1)/12))*CROQUIS!$C$177),-1000)</f>
        <v>31.5447954545455</v>
      </c>
      <c r="CR15">
        <f>IF(AND(CROQUIS!$C$87=1,CROQUIS!$C$133&gt;=2),(50+(((2-(CROQUIS!$C$133+1)/2)*(MAX(CROQUIS!$C$121,CROQUIS!$C$132)+CROQUIS!$C$132))+CROQUIS!$C$132/2*COS(2*PI()*(MIN($A15,13)-1)/12))*CROQUIS!$C$177),-1000)</f>
        <v>-1000</v>
      </c>
      <c r="CS15">
        <f>IF(AND(CROQUIS!$C$87=1,CROQUIS!$C$133&gt;=2),(12+((CROQUIS!$C$108-CROQUIS!$C$120-2*CROQUIS!$C$119-CROQUIS!$C$132/2)+CROQUIS!$C$132/2*SIN(2*PI()*(MIN($A15,13)-1)/12))*CROQUIS!$C$177),-1000)</f>
        <v>-1000</v>
      </c>
      <c r="CT15">
        <f>IF(AND(CROQUIS!$C$87=1,CROQUIS!$C$133&gt;=3),(50+(((3-(CROQUIS!$C$133+1)/2)*(MAX(CROQUIS!$C$121,CROQUIS!$C$132)+CROQUIS!$C$132))+CROQUIS!$C$132/2*COS(2*PI()*(MIN($A15,13)-1)/12))*CROQUIS!$C$177),-1000)</f>
        <v>-1000</v>
      </c>
      <c r="CU15">
        <f>IF(AND(CROQUIS!$C$87=1,CROQUIS!$C$133&gt;=3),(12+((CROQUIS!$C$108-CROQUIS!$C$120-2*CROQUIS!$C$119-CROQUIS!$C$132/2)+CROQUIS!$C$132/2*SIN(2*PI()*(MIN($A15,13)-1)/12))*CROQUIS!$C$177),-1000)</f>
        <v>-1000</v>
      </c>
      <c r="DH15">
        <f>IF(AND(CROQUIS!$C$88=1,CROQUIS!$C$137&gt;0),(50+((-(MIN(12,INT(58/MAX(CROQUIS!$C$137,1))+1)-1)*CROQUIS!$C$137/2+(MIN($A15,MIN(12,INT(58/MAX(CROQUIS!$C$137,1))+1))-1)*CROQUIS!$C$137))*CROQUIS!$C$178),-1000)</f>
        <v>-1000</v>
      </c>
      <c r="DI15">
        <f>IF(AND(CROQUIS!$C$88=1,CROQUIS!$C$137&gt;0),(12+((CROQUIS!$C$109+CROQUIS!$C$128+CROQUIS!$C$136/2))*CROQUIS!$C$178),-1000)</f>
        <v>-1000</v>
      </c>
      <c r="DJ15">
        <f>IF(AND(CROQUIS!$C$88=1,CROQUIS!$C$141&gt;0),(50+((-(MIN(12,INT(58/MAX(CROQUIS!$C$141,1))+1)-1)*CROQUIS!$C$141/2+(MIN($A15,MIN(12,INT(58/MAX(CROQUIS!$C$141,1))+1))-1)*CROQUIS!$C$141))*CROQUIS!$C$178),-1000)</f>
        <v>-1000</v>
      </c>
      <c r="DK15">
        <f>IF(AND(CROQUIS!$C$88=1,CROQUIS!$C$141&gt;0),(12+((CROQUIS!$C$108-CROQUIS!$C$110-CROQUIS!$C$132-CROQUIS!$C$140/2))*CROQUIS!$C$178),-1000)</f>
        <v>-1000</v>
      </c>
      <c r="DX15">
        <f>IF(AND(CROQUIS!$C$87=1),CHOOSE(MIN(MAX($A15,1)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90.1894736842105</v>
      </c>
      <c r="DY15">
        <f>IF(AND(CROQUIS!$C$87=1),CHOOSE(MIN(MAX($A15,1),10),30,30,20,20,30,IF(CROQUIS!$C$91=1,30,30),IF(CROQUIS!$C$91=1,30,30),IF(CROQUIS!$C$91=1,30,20),IF(CROQUIS!$C$91=1,30,20),IF(CROQUIS!$C$91=1,30,30)),-1000)</f>
        <v>20</v>
      </c>
      <c r="EX15">
        <f>IF(AND(CROQUIS!$C$88=1),CHOOSE(MIN(MAX($A15,1)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5">
        <f>IF(AND(CROQUIS!$C$88=1),CHOOSE(MIN(MAX($A15,1),10),30,30,20,20,30,IF(CROQUIS!$C$91=1,30,30),IF(CROQUIS!$C$91=1,30,30),IF(CROQUIS!$C$91=1,30,20),IF(CROQUIS!$C$91=1,30,20),IF(CROQUIS!$C$91=1,30,30)),-1000)</f>
        <v>-1000</v>
      </c>
    </row>
    <row r="16">
      <c r="A16" t="n">
        <v>9</v>
      </c>
      <c r="F16">
        <f>IF(AND(CROQUIS!$C$87=1,CROQUIS!$C$91=1),((CROQUIS!$C$160+(IF(CROQUIS!$C$92="X",IF(CROQUIS!$C$94=1,0,CROQUIS!$C$97)+IF(MOD($A16,2)=1,-CROQUIS!$C$107/2,CROQUIS!$C$107/2),(MIN($A16,41)-1)/40*CROQUIS!$C$98))*CROQUIS!$C$159)+IF(CROQUIS!$C$92="X",0,0)),-1000)</f>
        <v>-1000</v>
      </c>
      <c r="G16">
        <f>IF(AND(CROQUIS!$C$87=1,CROQUIS!$C$91=1),((CROQUIS!$C$161+(IF(CROQUIS!$C$92="X",(MIN($A16,41)-1)/40*CROQUIS!$C$98,IF(CROQUIS!$C$94=1,0,CROQUIS!$C$97)+IF(MOD($A16,2)=1,-CROQUIS!$C$107/2,CROQUIS!$C$107/2)))*CROQUIS!$C$159)+IF(CROQUIS!$C$92="X",0,0)),-1000)</f>
        <v>-1000</v>
      </c>
      <c r="V16">
        <f>IF(AND(CROQUIS!$C$88=1,CROQUIS!$C$91=1),((CROQUIS!$C$160+(IF(CROQUIS!$C$92="X",IF(CROQUIS!$C$94=1,0,CROQUIS!$C$97)+IF(MOD($A16,2)=1,-CROQUIS!$C$107/2,CROQUIS!$C$107/2),(MIN($A16,41)-1)/40*CROQUIS!$C$98))*CROQUIS!$C$159)+IF(CROQUIS!$C$92="X",0,0)),-1000)</f>
        <v>-1000</v>
      </c>
      <c r="W16">
        <f>IF(AND(CROQUIS!$C$88=1,CROQUIS!$C$91=1),((CROQUIS!$C$161+(IF(CROQUIS!$C$92="X",(MIN($A16,41)-1)/40*CROQUIS!$C$98,IF(CROQUIS!$C$94=1,0,CROQUIS!$C$97)+IF(MOD($A16,2)=1,-CROQUIS!$C$107/2,CROQUIS!$C$107/2)))*CROQUIS!$C$159)+IF(CROQUIS!$C$92="X",0,0)),-1000)</f>
        <v>-1000</v>
      </c>
      <c r="AJ16">
        <f>IF(AND(CROQUIS!$C$87=1,CROQUIS!$C$162&gt;0,CROQUIS!$C$164&gt;0),(CROQUIS!$C$160+((CROQUIS!$C$163+INT(MIN(INT(($A16-1)/2),MAX((2*CROQUIS!$C$162)-1,0))/2)*CROQUIS!$C$116+MOD(MIN(INT(($A16-1)/2),MAX((2*CROQUIS!$C$162)-1,0)),2)*CROQUIS!$C$114))*CROQUIS!$C$159),-1000)</f>
        <v>46.9950293718934</v>
      </c>
      <c r="AK16">
        <f>IF(AND(CROQUIS!$C$87=1,CROQUIS!$C$162&gt;0,CROQUIS!$C$164&gt;0),(CROQUIS!$C$161+(IF(MOD(MIN(INT(($A16-1)/2),MAX((2*CROQUIS!$C$162)-1,0)),2)=0,IF(IF(INT(($A16-1)/2)&gt;MAX((2*CROQUIS!$C$162)-1,0),1,MOD($A16-1,2))=0,CROQUIS!$C$165,(CROQUIS!$C$165+(CROQUIS!$C$164-1)*CROQUIS!$C$116+CROQUIS!$C$115)),IF(IF(INT(($A16-1)/2)&gt;MAX((2*CROQUIS!$C$162)-1,0),1,MOD($A16-1,2))=0,(CROQUIS!$C$165+(CROQUIS!$C$164-1)*CROQUIS!$C$116+CROQUIS!$C$115),CROQUIS!$C$165)))*CROQUIS!$C$159),-1000)</f>
        <v>20.8088567555355</v>
      </c>
      <c r="AL16">
        <f>IF(AND(CROQUIS!$C$87=1,CROQUIS!$C$164&gt;0,CROQUIS!$C$162&gt;0),(CROQUIS!$C$160+(IF(MOD(MIN(INT(($A16-1)/2),MAX((2*CROQUIS!$C$164)-1,0)),2)=0,IF(IF(INT(($A16-1)/2)&gt;MAX((2*CROQUIS!$C$164)-1,0),1,MOD($A16-1,2))=0,CROQUIS!$C$163,(CROQUIS!$C$163+(CROQUIS!$C$162-1)*CROQUIS!$C$116+CROQUIS!$C$114)),IF(IF(INT(($A16-1)/2)&gt;MAX((2*CROQUIS!$C$164)-1,0),1,MOD($A16-1,2))=0,(CROQUIS!$C$163+(CROQUIS!$C$162-1)*CROQUIS!$C$116+CROQUIS!$C$114),CROQUIS!$C$163)))*CROQUIS!$C$159),-1000)</f>
        <v>22.9552643470402</v>
      </c>
      <c r="AM16">
        <f>IF(AND(CROQUIS!$C$87=1,CROQUIS!$C$164&gt;0,CROQUIS!$C$162&gt;0),(CROQUIS!$C$161+((CROQUIS!$C$165+INT(MIN(INT(($A16-1)/2),MAX((2*CROQUIS!$C$164)-1,0))/2)*CROQUIS!$C$116+MOD(MIN(INT(($A16-1)/2),MAX((2*CROQUIS!$C$164)-1,0)),2)*CROQUIS!$C$115))*CROQUIS!$C$159),-1000)</f>
        <v>44.8486217803886</v>
      </c>
      <c r="AN16">
        <f>IF(AND(CROQUIS!$C$87=1,CROQUIS!$C$162&gt;=2),(CROQUIS!$C$160+((CROQUIS!$C$163+CROQUIS!$C$114+(CROQUIS!$C$116-CROQUIS!$C$114)/2+MIN(INT(($A16-1)/2),MAX((CROQUIS!$C$162-1)-1,0))*CROQUIS!$C$116))*CROQUIS!$C$159),-1000)</f>
        <v>70.1762313601446</v>
      </c>
      <c r="AO16">
        <f>IF(AND(CROQUIS!$C$87=1,CROQUIS!$C$162&gt;=2),(CROQUIS!$C$161+(IF(MOD(MIN(INT(($A16-1)/2),MAX((CROQUIS!$C$162-1)-1,0)),2)=0,IF(IF(INT(($A16-1)/2)&gt;MAX((CROQUIS!$C$162-1)-1,0),1,MOD($A16-1,2))=0,CROQUIS!$C$107/2,(CROQUIS!$C$96-CROQUIS!$C$107/2)),IF(IF(INT(($A16-1)/2)&gt;MAX((CROQUIS!$C$162-1)-1,0),1,MOD($A16-1,2))=0,(CROQUIS!$C$96-CROQUIS!$C$107/2),CROQUIS!$C$107/2)))*CROQUIS!$C$159),-1000)</f>
        <v>16.9453230908269</v>
      </c>
      <c r="AP16">
        <f>IF(AND(CROQUIS!$C$87=1,CROQUIS!$C$164&gt;=2),(CROQUIS!$C$160+(IF(MOD(MIN(INT(($A16-1)/2),MAX((CROQUIS!$C$164-1)-1,0)),2)=0,IF(IF(INT(($A16-1)/2)&gt;MAX((CROQUIS!$C$164-1)-1,0),1,MOD($A16-1,2))=0,CROQUIS!$C$107/2,(CROQUIS!$C$95-CROQUIS!$C$107/2)),IF(IF(INT(($A16-1)/2)&gt;MAX((CROQUIS!$C$164-1)-1,0),1,MOD($A16-1,2))=0,(CROQUIS!$C$95-CROQUIS!$C$107/2),CROQUIS!$C$107/2)))*CROQUIS!$C$159),-1000)</f>
        <v>13.2878445549028</v>
      </c>
      <c r="AQ16">
        <f>IF(AND(CROQUIS!$C$87=1,CROQUIS!$C$164&gt;=2),(CROQUIS!$C$161+((CROQUIS!$C$165+CROQUIS!$C$115+(CROQUIS!$C$116-CROQUIS!$C$115)/2+MIN(INT(($A16-1)/2),MAX((CROQUIS!$C$164-1)-1,0))*CROQUIS!$C$116))*CROQUIS!$C$159),-1000)</f>
        <v>68.0298237686399</v>
      </c>
      <c r="AR16">
        <f>IF(AND(CROQUIS!$C$87=1,CROQUIS!$C$126&gt;0,CROQUIS!$C$166&gt;0),((CROQUIS!$C$160+(IF(CROQUIS!$C$92="X",CHOOSE(MIN(MAX($A16,1)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16,1)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6">
        <f>IF(AND(CROQUIS!$C$87=1,CROQUIS!$C$126&gt;0,CROQUIS!$C$166&gt;0),((CROQUIS!$C$161+(IF(CROQUIS!$C$92="X",CHOOSE(MIN(MAX($A16,1)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16,1)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N16">
        <f>IF(AND(CROQUIS!$C$88=1,CROQUIS!$C$129&gt;0),((CROQUIS!$C$160+(IF(CROQUIS!$C$92="X",CHOOSE(IF(INT(($A16-1)/5)&gt;MAX((MAX(1,INT(((CROQUIS!$C$98)-CROQUIS!$C$107)/MAX((CROQUIS!$C$129*MAX(1,CEILING((INT(((CROQUIS!$C$98)-CROQUIS!$C$107)/MAX(CROQUIS!$C$129,1))+1)/80,1))),1))+1))-1,0),0,MOD($A16-1,5))+1,0,2,CROQUIS!$C$97-2,2,0),((CROQUIS!$C$107/2+(((CROQUIS!$C$98)-CROQUIS!$C$107)-(MAX(1,INT(((CROQUIS!$C$98)-CROQUIS!$C$107)/MAX((CROQUIS!$C$129*MAX(1,CEILING((INT(((CROQUIS!$C$98)-CROQUIS!$C$107)/MAX(CROQUIS!$C$129,1))+1)/80,1))),1))+1)-1)*(CROQUIS!$C$129*MAX(1,CEILING((INT(((CROQUIS!$C$98)-CROQUIS!$C$107)/MAX(CROQUIS!$C$129,1))+1)/80,1))))/2)+MIN(INT(($A16-1)/5),MAX((MAX(1,INT(((CROQUIS!$C$98)-CROQUIS!$C$107)/MAX((CROQUIS!$C$129*MAX(1,CEILING((INT(((CROQUIS!$C$98)-CROQUIS!$C$107)/MAX(CROQUIS!$C$129,1))+1)/80,1))),1))+1))-1,0))*(CROQUIS!$C$129*MAX(1,CEILING((INT(((CROQUIS!$C$98)-CROQUIS!$C$107)/MAX(CROQUIS!$C$129,1))+1)/80,1))))))*CROQUIS!$C$159)+IF(CROQUIS!$C$92="X",0,0)),-1000)</f>
        <v>-1000</v>
      </c>
      <c r="BO16">
        <f>IF(AND(CROQUIS!$C$88=1,CROQUIS!$C$129&gt;0),((CROQUIS!$C$161+(IF(CROQUIS!$C$92="X",((CROQUIS!$C$107/2+(((CROQUIS!$C$98)-CROQUIS!$C$107)-(MAX(1,INT(((CROQUIS!$C$98)-CROQUIS!$C$107)/MAX((CROQUIS!$C$129*MAX(1,CEILING((INT(((CROQUIS!$C$98)-CROQUIS!$C$107)/MAX(CROQUIS!$C$129,1))+1)/80,1))),1))+1)-1)*(CROQUIS!$C$129*MAX(1,CEILING((INT(((CROQUIS!$C$98)-CROQUIS!$C$107)/MAX(CROQUIS!$C$129,1))+1)/80,1))))/2)+MIN(INT(($A16-1)/5),MAX((MAX(1,INT(((CROQUIS!$C$98)-CROQUIS!$C$107)/MAX((CROQUIS!$C$129*MAX(1,CEILING((INT(((CROQUIS!$C$98)-CROQUIS!$C$107)/MAX(CROQUIS!$C$129,1))+1)/80,1))),1))+1))-1,0))*(CROQUIS!$C$129*MAX(1,CEILING((INT(((CROQUIS!$C$98)-CROQUIS!$C$107)/MAX(CROQUIS!$C$129,1))+1)/80,1)))),CHOOSE(IF(INT(($A16-1)/5)&gt;MAX((MAX(1,INT(((CROQUIS!$C$98)-CROQUIS!$C$107)/MAX((CROQUIS!$C$129*MAX(1,CEILING((INT(((CROQUIS!$C$98)-CROQUIS!$C$107)/MAX(CROQUIS!$C$129,1))+1)/80,1))),1))+1))-1,0),0,MOD($A16-1,5))+1,0,2,CROQUIS!$C$97-2,2,0)))*CROQUIS!$C$159)+IF(CROQUIS!$C$92="X",0,0)),-1000)</f>
        <v>-1000</v>
      </c>
      <c r="BP16">
        <f>IF(AND(CROQUIS!$C$88=1,CROQUIS!$C$137&gt;0),((CROQUIS!$C$160+(IF(CROQUIS!$C$92="X",((CROQUIS!$C$107/2+(((CROQUIS!$C$97)-CROQUIS!$C$107)-(MAX(1,INT(((CROQUIS!$C$97)-CROQUIS!$C$107)/MAX((CROQUIS!$C$137*MAX(1,CEILING((INT(((CROQUIS!$C$97)-CROQUIS!$C$107)/MAX(CROQUIS!$C$137,1))+1)/80,1))),1))+1)-1)*(CROQUIS!$C$137*MAX(1,CEILING((INT(((CROQUIS!$C$97)-CROQUIS!$C$107)/MAX(CROQUIS!$C$137,1))+1)/80,1))))/2)+MIN(INT(($A16-1)/5),MAX((MAX(1,INT(((CROQUIS!$C$97)-CROQUIS!$C$107)/MAX((CROQUIS!$C$137*MAX(1,CEILING((INT(((CROQUIS!$C$97)-CROQUIS!$C$107)/MAX(CROQUIS!$C$137,1))+1)/80,1))),1))+1))-1,0))*(CROQUIS!$C$137*MAX(1,CEILING((INT(((CROQUIS!$C$97)-CROQUIS!$C$107)/MAX(CROQUIS!$C$137,1))+1)/80,1)))),CHOOSE(IF(INT(($A16-1)/5)&gt;MAX((MAX(1,INT(((CROQUIS!$C$97)-CROQUIS!$C$107)/MAX((CROQUIS!$C$137*MAX(1,CEILING((INT(((CROQUIS!$C$97)-CROQUIS!$C$107)/MAX(CROQUIS!$C$137,1))+1)/80,1))),1))+1))-1,0),0,MOD($A16-1,5))+1,0,2,CROQUIS!$C$98-2,2,0)))*CROQUIS!$C$159)+IF(CROQUIS!$C$92="X",0,0)),-1000)</f>
        <v>-1000</v>
      </c>
      <c r="BQ16">
        <f>IF(AND(CROQUIS!$C$88=1,CROQUIS!$C$137&gt;0),((CROQUIS!$C$161+(IF(CROQUIS!$C$92="X",CHOOSE(IF(INT(($A16-1)/5)&gt;MAX((MAX(1,INT(((CROQUIS!$C$97)-CROQUIS!$C$107)/MAX((CROQUIS!$C$137*MAX(1,CEILING((INT(((CROQUIS!$C$97)-CROQUIS!$C$107)/MAX(CROQUIS!$C$137,1))+1)/80,1))),1))+1))-1,0),0,MOD($A16-1,5))+1,0,2,CROQUIS!$C$98-2,2,0),((CROQUIS!$C$107/2+(((CROQUIS!$C$97)-CROQUIS!$C$107)-(MAX(1,INT(((CROQUIS!$C$97)-CROQUIS!$C$107)/MAX((CROQUIS!$C$137*MAX(1,CEILING((INT(((CROQUIS!$C$97)-CROQUIS!$C$107)/MAX(CROQUIS!$C$137,1))+1)/80,1))),1))+1)-1)*(CROQUIS!$C$137*MAX(1,CEILING((INT(((CROQUIS!$C$97)-CROQUIS!$C$107)/MAX(CROQUIS!$C$137,1))+1)/80,1))))/2)+MIN(INT(($A16-1)/5),MAX((MAX(1,INT(((CROQUIS!$C$97)-CROQUIS!$C$107)/MAX((CROQUIS!$C$137*MAX(1,CEILING((INT(((CROQUIS!$C$97)-CROQUIS!$C$107)/MAX(CROQUIS!$C$137,1))+1)/80,1))),1))+1))-1,0))*(CROQUIS!$C$137*MAX(1,CEILING((INT(((CROQUIS!$C$97)-CROQUIS!$C$107)/MAX(CROQUIS!$C$137,1))+1)/80,1))))))*CROQUIS!$C$159)+IF(CROQUIS!$C$92="X",0,0)),-1000)</f>
        <v>-1000</v>
      </c>
      <c r="BR16">
        <f>IF(AND(CROQUIS!$C$88=1,CROQUIS!$C$91=0,CROQUIS!$C$133&gt;0,OR(CROQUIS!$C$103=1,CROQUIS!$C$145=1)),((CROQUIS!$C$160+(IF(CROQUIS!$C$92="X",CHOOSE(IF(INT(($A16-1)/5)&gt;MAX((MAX(1,INT(((CROQUIS!$C$98)-CROQUIS!$C$107)/MAX((CROQUIS!$C$133*MAX(1,CEILING((INT(((CROQUIS!$C$98)-CROQUIS!$C$107)/MAX(CROQUIS!$C$133,1))+1)/80,1))),1))+1))-1,0),0,MOD($A16-1,5))+1,0,IF(CROQUIS!$C$103=1,-12,2),CROQUIS!$C$107/2+CROQUIS!$C$143,IF(CROQUIS!$C$103=1,-12,2),0),((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BS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+1,0,IF(CROQUIS!$C$103=1,-12,2),CROQUIS!$C$107/2+CROQUIS!$C$143,IF(CROQUIS!$C$103=1,-12,2),0)))*CROQUIS!$C$159)+IF(CROQUIS!$C$92="X",0.8,0)),-1000)</f>
        <v>-1000</v>
      </c>
      <c r="BT16">
        <f>IF(AND(CROQUIS!$C$88=1,CROQUIS!$C$91=0,CROQUIS!$C$133&gt;0,OR(CROQUIS!$C$104=1,CROQUIS!$C$145=1)),((CROQUIS!$C$160+(IF(CROQUIS!$C$92="X",CHOOSE(IF(INT(($A16-1)/5)&gt;MAX((MAX(1,INT(((CROQUIS!$C$98)-CROQUIS!$C$107)/MAX((CROQUIS!$C$133*MAX(1,CEILING((INT(((CROQUIS!$C$98)-CROQUIS!$C$107)/MAX(CROQUIS!$C$133,1))+1)/80,1))),1))+1))-1,0),0,MOD($A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BU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CROQUIS!$C$97,CROQUIS!$C$97-CROQUIS!$C$107/2-CROQUIS!$C$143,IF(CROQUIS!$C$104=1,CROQUIS!$C$97+12,CROQUIS!$C$97-2),CROQUIS!$C$97-CROQUIS!$C$107/2-CROQUIS!$C$143,CROQUIS!$C$97)))*CROQUIS!$C$159)+IF(CROQUIS!$C$92="X",0.8,0)),-1000)</f>
        <v>-1000</v>
      </c>
      <c r="BV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HOOSE(IF(INT(($A16-1)/5)&gt;MAX((MAX(1,INT(((CROQUIS!$C$97)-CROQUIS!$C$107)/MAX((CROQUIS!$C$141*MAX(1,CEILING((INT(((CROQUIS!$C$97)-CROQUIS!$C$107)/MAX(CROQUIS!$C$141,1))+1)/80,1))),1))+1))-1,0),0,MOD($A16-1,5))+1,0,IF(CROQUIS!$C$105=1,-12,2),CROQUIS!$C$107/2+CROQUIS!$C$144,IF(CROQUIS!$C$105=1,-12,2),0)))*CROQUIS!$C$159)+IF(CROQUIS!$C$92="X",0.8,0)),-1000)</f>
        <v>-1000</v>
      </c>
      <c r="BW16">
        <f>IF(AND(CROQUIS!$C$88=1,CROQUIS!$C$91=0,CROQUIS!$C$141&gt;0,OR(CROQUIS!$C$105=1,CROQUIS!$C$146=1)),((CROQUIS!$C$161+(IF(CROQUIS!$C$92="X",CHOOSE(IF(INT(($A16-1)/5)&gt;MAX((MAX(1,INT(((CROQUIS!$C$97)-CROQUIS!$C$107)/MAX((CROQUIS!$C$141*MAX(1,CEILING((INT(((CROQUIS!$C$97)-CROQUIS!$C$107)/MAX(CROQUIS!$C$141,1))+1)/80,1))),1))+1))-1,0),0,MOD($A16-1,5))+1,0,IF(CROQUIS!$C$105=1,-12,2),CROQUIS!$C$107/2+CROQUIS!$C$144,IF(CROQUIS!$C$105=1,-12,2),0),((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ROQUIS!$C$159)+IF(CROQUIS!$C$92="X",0,0.8)),-1000)</f>
        <v>-1000</v>
      </c>
      <c r="BX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HOOSE(IF(INT(($A16-1)/5)&gt;MAX((MAX(1,INT(((CROQUIS!$C$97)-CROQUIS!$C$107)/MAX((CROQUIS!$C$141*MAX(1,CEILING((INT(((CROQUIS!$C$97)-CROQUIS!$C$107)/MAX(CROQUIS!$C$141,1))+1)/80,1))),1))+1))-1,0),0,MOD($A16-1,5))+1,CROQUIS!$C$98,CROQUIS!$C$98-CROQUIS!$C$107/2-CROQUIS!$C$144,IF(CROQUIS!$C$106=1,CROQUIS!$C$98+12,CROQUIS!$C$98-2),CROQUIS!$C$98-CROQUIS!$C$107/2-CROQUIS!$C$144,CROQUIS!$C$98)))*CROQUIS!$C$159)+IF(CROQUIS!$C$92="X",0.8,0)),-1000)</f>
        <v>-1000</v>
      </c>
      <c r="BY16">
        <f>IF(AND(CROQUIS!$C$88=1,CROQUIS!$C$91=0,CROQUIS!$C$141&gt;0,OR(CROQUIS!$C$106=1,CROQUIS!$C$146=1)),((CROQUIS!$C$161+(IF(CROQUIS!$C$92="X",CHOOSE(IF(INT(($A16-1)/5)&gt;MAX((MAX(1,INT(((CROQUIS!$C$97)-CROQUIS!$C$107)/MAX((CROQUIS!$C$141*MAX(1,CEILING((INT(((CROQUIS!$C$97)-CROQUIS!$C$107)/MAX(CROQUIS!$C$141,1))+1)/80,1))),1))+1))-1,0),0,MOD($A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ROQUIS!$C$159)+IF(CROQUIS!$C$92="X",0,0.8)),-1000)</f>
        <v>-1000</v>
      </c>
      <c r="BZ16">
        <f>IF(AND(CROQUIS!$C$88=1,CROQUIS!$C$91=1,CROQUIS!$C$133&gt;0),((CROQUIS!$C$160+(IF(CROQUIS!$C$92="X",CHOOSE(IF(INT(($A16-1)/5)&gt;MAX((MAX(1,INT(((CROQUIS!$C$98)-CROQUIS!$C$107)/MAX((CROQUIS!$C$133*MAX(1,CEILING((INT(((CROQUIS!$C$98)-CROQUIS!$C$107)/MAX(CROQUIS!$C$133,1))+1)/80,1))),1))+1))-1,0),0,MOD($A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CA16">
        <f>IF(AND(CROQUIS!$C$88=1,CROQUIS!$C$91=1,CROQUIS!$C$133&gt;0),((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B16">
        <f>IF(AND(CROQUIS!$C$87=1),CHOOSE(MIN(MAX($A16,1),9),(50+(-CROQUIS!$C$116/2)*CROQUIS!$C$177),(50+(CROQUIS!$C$116/2)*CROQUIS!$C$177),(50+(CROQUIS!$C$116/2)*CROQUIS!$C$177),(50+(CROQUIS!$C$111/2)*CROQUIS!$C$177),(50+(CROQUIS!$C$111/2)*CROQUIS!$C$177),(50+(-CROQUIS!$C$111/2)*CROQUIS!$C$177),(50+(-CROQUIS!$C$111/2)*CROQUIS!$C$177),(50+(-CROQUIS!$C$116/2)*CROQUIS!$C$177),(50+(-CROQUIS!$C$116/2)*CROQUIS!$C$177)),-1000)</f>
        <v>16.5909090909091</v>
      </c>
      <c r="CC16">
        <f>IF(AND(CROQUIS!$C$87=1),CHOOSE(MIN(MAX($A16,1),9),(12+(CROQUIS!$C$108)*CROQUIS!$C$177),(12+(CROQUIS!$C$108)*CROQUIS!$C$177),(12+(CROQUIS!$C$117)*CROQUIS!$C$177),(12+(CROQUIS!$C$117)*CROQUIS!$C$177),(12+(0)*CROQUIS!$C$177),(12+(0)*CROQUIS!$C$177),(12+(CROQUIS!$C$117)*CROQUIS!$C$177),(12+(CROQUIS!$C$117)*CROQUIS!$C$177),(12+(CROQUIS!$C$108)*CROQUIS!$C$177)),-1000)</f>
        <v>35.8636363636364</v>
      </c>
      <c r="CJ16">
        <f>IF(AND(CROQUIS!$C$87=1,CROQUIS!$C$129&gt;=1),(50+(((1-(CROQUIS!$C$129+1)/2)*(MAX(CROQUIS!$C$121,CROQUIS!$C$128)+CROQUIS!$C$128))+CROQUIS!$C$128/2*COS(2*PI()*(MIN($A16,13)-1)/12))*CROQUIS!$C$177),-1000)</f>
        <v>49.6969318181818</v>
      </c>
      <c r="CK16">
        <f>IF(AND(CROQUIS!$C$87=1,CROQUIS!$C$129&gt;=1),(12+((CROQUIS!$C$109+CROQUIS!$C$128/2)+CROQUIS!$C$128/2*SIN(2*PI()*(MIN($A16,13)-1)/12))*CROQUIS!$C$177),-1000)</f>
        <v>13.9902977836607</v>
      </c>
      <c r="CL16">
        <f>IF(AND(CROQUIS!$C$87=1,CROQUIS!$C$129&gt;=2),(50+(((2-(CROQUIS!$C$129+1)/2)*(MAX(CROQUIS!$C$121,CROQUIS!$C$128)+CROQUIS!$C$128))+CROQUIS!$C$128/2*COS(2*PI()*(MIN($A16,13)-1)/12))*CROQUIS!$C$177),-1000)</f>
        <v>-1000</v>
      </c>
      <c r="CM16">
        <f>IF(AND(CROQUIS!$C$87=1,CROQUIS!$C$129&gt;=2),(12+((CROQUIS!$C$109+CROQUIS!$C$128/2)+CROQUIS!$C$128/2*SIN(2*PI()*(MIN($A16,13)-1)/12))*CROQUIS!$C$177),-1000)</f>
        <v>-1000</v>
      </c>
      <c r="CN16">
        <f>IF(AND(CROQUIS!$C$87=1,CROQUIS!$C$129&gt;=3),(50+(((3-(CROQUIS!$C$129+1)/2)*(MAX(CROQUIS!$C$121,CROQUIS!$C$128)+CROQUIS!$C$128))+CROQUIS!$C$128/2*COS(2*PI()*(MIN($A16,13)-1)/12))*CROQUIS!$C$177),-1000)</f>
        <v>-1000</v>
      </c>
      <c r="CO16">
        <f>IF(AND(CROQUIS!$C$87=1,CROQUIS!$C$129&gt;=3),(12+((CROQUIS!$C$109+CROQUIS!$C$128/2)+CROQUIS!$C$128/2*SIN(2*PI()*(MIN($A16,13)-1)/12))*CROQUIS!$C$177),-1000)</f>
        <v>-1000</v>
      </c>
      <c r="CP16">
        <f>IF(AND(CROQUIS!$C$87=1,CROQUIS!$C$133&gt;=1),(50+(((1-(CROQUIS!$C$133+1)/2)*(MAX(CROQUIS!$C$121,CROQUIS!$C$132)+CROQUIS!$C$132))+CROQUIS!$C$132/2*COS(2*PI()*(MIN($A16,13)-1)/12))*CROQUIS!$C$177),-1000)</f>
        <v>49.6969318181818</v>
      </c>
      <c r="CQ16">
        <f>IF(AND(CROQUIS!$C$87=1,CROQUIS!$C$133&gt;=1),(12+((CROQUIS!$C$108-CROQUIS!$C$120-2*CROQUIS!$C$119-CROQUIS!$C$132/2)+CROQUIS!$C$132/2*SIN(2*PI()*(MIN($A16,13)-1)/12))*CROQUIS!$C$177),-1000)</f>
        <v>31.322934147297</v>
      </c>
      <c r="CR16">
        <f>IF(AND(CROQUIS!$C$87=1,CROQUIS!$C$133&gt;=2),(50+(((2-(CROQUIS!$C$133+1)/2)*(MAX(CROQUIS!$C$121,CROQUIS!$C$132)+CROQUIS!$C$132))+CROQUIS!$C$132/2*COS(2*PI()*(MIN($A16,13)-1)/12))*CROQUIS!$C$177),-1000)</f>
        <v>-1000</v>
      </c>
      <c r="CS16">
        <f>IF(AND(CROQUIS!$C$87=1,CROQUIS!$C$133&gt;=2),(12+((CROQUIS!$C$108-CROQUIS!$C$120-2*CROQUIS!$C$119-CROQUIS!$C$132/2)+CROQUIS!$C$132/2*SIN(2*PI()*(MIN($A16,13)-1)/12))*CROQUIS!$C$177),-1000)</f>
        <v>-1000</v>
      </c>
      <c r="CT16">
        <f>IF(AND(CROQUIS!$C$87=1,CROQUIS!$C$133&gt;=3),(50+(((3-(CROQUIS!$C$133+1)/2)*(MAX(CROQUIS!$C$121,CROQUIS!$C$132)+CROQUIS!$C$132))+CROQUIS!$C$132/2*COS(2*PI()*(MIN($A16,13)-1)/12))*CROQUIS!$C$177),-1000)</f>
        <v>-1000</v>
      </c>
      <c r="CU16">
        <f>IF(AND(CROQUIS!$C$87=1,CROQUIS!$C$133&gt;=3),(12+((CROQUIS!$C$108-CROQUIS!$C$120-2*CROQUIS!$C$119-CROQUIS!$C$132/2)+CROQUIS!$C$132/2*SIN(2*PI()*(MIN($A16,13)-1)/12))*CROQUIS!$C$177),-1000)</f>
        <v>-1000</v>
      </c>
      <c r="DH16">
        <f>IF(AND(CROQUIS!$C$88=1,CROQUIS!$C$137&gt;0),(50+((-(MIN(12,INT(58/MAX(CROQUIS!$C$137,1))+1)-1)*CROQUIS!$C$137/2+(MIN($A16,MIN(12,INT(58/MAX(CROQUIS!$C$137,1))+1))-1)*CROQUIS!$C$137))*CROQUIS!$C$178),-1000)</f>
        <v>-1000</v>
      </c>
      <c r="DI16">
        <f>IF(AND(CROQUIS!$C$88=1,CROQUIS!$C$137&gt;0),(12+((CROQUIS!$C$109+CROQUIS!$C$128+CROQUIS!$C$136/2))*CROQUIS!$C$178),-1000)</f>
        <v>-1000</v>
      </c>
      <c r="DJ16">
        <f>IF(AND(CROQUIS!$C$88=1,CROQUIS!$C$141&gt;0),(50+((-(MIN(12,INT(58/MAX(CROQUIS!$C$141,1))+1)-1)*CROQUIS!$C$141/2+(MIN($A16,MIN(12,INT(58/MAX(CROQUIS!$C$141,1))+1))-1)*CROQUIS!$C$141))*CROQUIS!$C$178),-1000)</f>
        <v>-1000</v>
      </c>
      <c r="DK16">
        <f>IF(AND(CROQUIS!$C$88=1,CROQUIS!$C$141&gt;0),(12+((CROQUIS!$C$108-CROQUIS!$C$110-CROQUIS!$C$132-CROQUIS!$C$140/2))*CROQUIS!$C$178),-1000)</f>
        <v>-1000</v>
      </c>
      <c r="DX16">
        <f>IF(AND(CROQUIS!$C$87=1),CHOOSE(MIN(MAX($A16,1)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DY16">
        <f>IF(AND(CROQUIS!$C$87=1),CHOOSE(MIN(MAX($A16,1),10),30,30,20,20,30,IF(CROQUIS!$C$91=1,30,30),IF(CROQUIS!$C$91=1,30,30),IF(CROQUIS!$C$91=1,30,20),IF(CROQUIS!$C$91=1,30,20),IF(CROQUIS!$C$91=1,30,30)),-1000)</f>
        <v>20</v>
      </c>
      <c r="EX16">
        <f>IF(AND(CROQUIS!$C$88=1),CHOOSE(MIN(MAX($A16,1)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6">
        <f>IF(AND(CROQUIS!$C$88=1),CHOOSE(MIN(MAX($A16,1),10),30,30,20,20,30,IF(CROQUIS!$C$91=1,30,30),IF(CROQUIS!$C$91=1,30,30),IF(CROQUIS!$C$91=1,30,20),IF(CROQUIS!$C$91=1,30,20),IF(CROQUIS!$C$91=1,30,30)),-1000)</f>
        <v>-1000</v>
      </c>
    </row>
    <row r="17">
      <c r="A17" t="n">
        <v>10</v>
      </c>
      <c r="F17">
        <f>IF(AND(CROQUIS!$C$87=1,CROQUIS!$C$91=1),((CROQUIS!$C$160+(IF(CROQUIS!$C$92="X",IF(CROQUIS!$C$94=1,0,CROQUIS!$C$97)+IF(MOD($A17,2)=1,-CROQUIS!$C$107/2,CROQUIS!$C$107/2),(MIN($A17,41)-1)/40*CROQUIS!$C$98))*CROQUIS!$C$159)+IF(CROQUIS!$C$92="X",0,0)),-1000)</f>
        <v>-1000</v>
      </c>
      <c r="G17">
        <f>IF(AND(CROQUIS!$C$87=1,CROQUIS!$C$91=1),((CROQUIS!$C$161+(IF(CROQUIS!$C$92="X",(MIN($A17,41)-1)/40*CROQUIS!$C$98,IF(CROQUIS!$C$94=1,0,CROQUIS!$C$97)+IF(MOD($A17,2)=1,-CROQUIS!$C$107/2,CROQUIS!$C$107/2)))*CROQUIS!$C$159)+IF(CROQUIS!$C$92="X",0,0)),-1000)</f>
        <v>-1000</v>
      </c>
      <c r="V17">
        <f>IF(AND(CROQUIS!$C$88=1,CROQUIS!$C$91=1),((CROQUIS!$C$160+(IF(CROQUIS!$C$92="X",IF(CROQUIS!$C$94=1,0,CROQUIS!$C$97)+IF(MOD($A17,2)=1,-CROQUIS!$C$107/2,CROQUIS!$C$107/2),(MIN($A17,41)-1)/40*CROQUIS!$C$98))*CROQUIS!$C$159)+IF(CROQUIS!$C$92="X",0,0)),-1000)</f>
        <v>-1000</v>
      </c>
      <c r="W17">
        <f>IF(AND(CROQUIS!$C$88=1,CROQUIS!$C$91=1),((CROQUIS!$C$161+(IF(CROQUIS!$C$92="X",(MIN($A17,41)-1)/40*CROQUIS!$C$98,IF(CROQUIS!$C$94=1,0,CROQUIS!$C$97)+IF(MOD($A17,2)=1,-CROQUIS!$C$107/2,CROQUIS!$C$107/2)))*CROQUIS!$C$159)+IF(CROQUIS!$C$92="X",0,0)),-1000)</f>
        <v>-1000</v>
      </c>
      <c r="AJ17">
        <f>IF(AND(CROQUIS!$C$87=1,CROQUIS!$C$162&gt;0,CROQUIS!$C$164&gt;0),(CROQUIS!$C$160+((CROQUIS!$C$163+INT(MIN(INT(($A17-1)/2),MAX((2*CROQUIS!$C$162)-1,0))/2)*CROQUIS!$C$116+MOD(MIN(INT(($A17-1)/2),MAX((2*CROQUIS!$C$162)-1,0)),2)*CROQUIS!$C$114))*CROQUIS!$C$159),-1000)</f>
        <v>46.9950293718934</v>
      </c>
      <c r="AK17">
        <f>IF(AND(CROQUIS!$C$87=1,CROQUIS!$C$162&gt;0,CROQUIS!$C$164&gt;0),(CROQUIS!$C$161+(IF(MOD(MIN(INT(($A17-1)/2),MAX((2*CROQUIS!$C$162)-1,0)),2)=0,IF(IF(INT(($A17-1)/2)&gt;MAX((2*CROQUIS!$C$162)-1,0),1,MOD($A17-1,2))=0,CROQUIS!$C$165,(CROQUIS!$C$165+(CROQUIS!$C$164-1)*CROQUIS!$C$116+CROQUIS!$C$115)),IF(IF(INT(($A17-1)/2)&gt;MAX((2*CROQUIS!$C$162)-1,0),1,MOD($A17-1,2))=0,(CROQUIS!$C$165+(CROQUIS!$C$164-1)*CROQUIS!$C$116+CROQUIS!$C$115),CROQUIS!$C$165)))*CROQUIS!$C$159),-1000)</f>
        <v>79.1911432444645</v>
      </c>
      <c r="AL17">
        <f>IF(AND(CROQUIS!$C$87=1,CROQUIS!$C$164&gt;0,CROQUIS!$C$162&gt;0),(CROQUIS!$C$160+(IF(MOD(MIN(INT(($A17-1)/2),MAX((2*CROQUIS!$C$164)-1,0)),2)=0,IF(IF(INT(($A17-1)/2)&gt;MAX((2*CROQUIS!$C$164)-1,0),1,MOD($A17-1,2))=0,CROQUIS!$C$163,(CROQUIS!$C$163+(CROQUIS!$C$162-1)*CROQUIS!$C$116+CROQUIS!$C$114)),IF(IF(INT(($A17-1)/2)&gt;MAX((2*CROQUIS!$C$164)-1,0),1,MOD($A17-1,2))=0,(CROQUIS!$C$163+(CROQUIS!$C$162-1)*CROQUIS!$C$116+CROQUIS!$C$114),CROQUIS!$C$163)))*CROQUIS!$C$159),-1000)</f>
        <v>81.3375508359693</v>
      </c>
      <c r="AM17">
        <f>IF(AND(CROQUIS!$C$87=1,CROQUIS!$C$164&gt;0,CROQUIS!$C$162&gt;0),(CROQUIS!$C$161+((CROQUIS!$C$165+INT(MIN(INT(($A17-1)/2),MAX((2*CROQUIS!$C$164)-1,0))/2)*CROQUIS!$C$116+MOD(MIN(INT(($A17-1)/2),MAX((2*CROQUIS!$C$164)-1,0)),2)*CROQUIS!$C$115))*CROQUIS!$C$159),-1000)</f>
        <v>44.8486217803886</v>
      </c>
      <c r="AN17">
        <f>IF(AND(CROQUIS!$C$87=1,CROQUIS!$C$162&gt;=2),(CROQUIS!$C$160+((CROQUIS!$C$163+CROQUIS!$C$114+(CROQUIS!$C$116-CROQUIS!$C$114)/2+MIN(INT(($A17-1)/2),MAX((CROQUIS!$C$162-1)-1,0))*CROQUIS!$C$116))*CROQUIS!$C$159),-1000)</f>
        <v>70.1762313601446</v>
      </c>
      <c r="AO17">
        <f>IF(AND(CROQUIS!$C$87=1,CROQUIS!$C$162&gt;=2),(CROQUIS!$C$161+(IF(MOD(MIN(INT(($A17-1)/2),MAX((CROQUIS!$C$162-1)-1,0)),2)=0,IF(IF(INT(($A17-1)/2)&gt;MAX((CROQUIS!$C$162-1)-1,0),1,MOD($A17-1,2))=0,CROQUIS!$C$107/2,(CROQUIS!$C$96-CROQUIS!$C$107/2)),IF(IF(INT(($A17-1)/2)&gt;MAX((CROQUIS!$C$162-1)-1,0),1,MOD($A17-1,2))=0,(CROQUIS!$C$96-CROQUIS!$C$107/2),CROQUIS!$C$107/2)))*CROQUIS!$C$159),-1000)</f>
        <v>16.9453230908269</v>
      </c>
      <c r="AP17">
        <f>IF(AND(CROQUIS!$C$87=1,CROQUIS!$C$164&gt;=2),(CROQUIS!$C$160+(IF(MOD(MIN(INT(($A17-1)/2),MAX((CROQUIS!$C$164-1)-1,0)),2)=0,IF(IF(INT(($A17-1)/2)&gt;MAX((CROQUIS!$C$164-1)-1,0),1,MOD($A17-1,2))=0,CROQUIS!$C$107/2,(CROQUIS!$C$95-CROQUIS!$C$107/2)),IF(IF(INT(($A17-1)/2)&gt;MAX((CROQUIS!$C$164-1)-1,0),1,MOD($A17-1,2))=0,(CROQUIS!$C$95-CROQUIS!$C$107/2),CROQUIS!$C$107/2)))*CROQUIS!$C$159),-1000)</f>
        <v>13.2878445549028</v>
      </c>
      <c r="AQ17">
        <f>IF(AND(CROQUIS!$C$87=1,CROQUIS!$C$164&gt;=2),(CROQUIS!$C$161+((CROQUIS!$C$165+CROQUIS!$C$115+(CROQUIS!$C$116-CROQUIS!$C$115)/2+MIN(INT(($A17-1)/2),MAX((CROQUIS!$C$164-1)-1,0))*CROQUIS!$C$116))*CROQUIS!$C$159),-1000)</f>
        <v>68.0298237686399</v>
      </c>
      <c r="AR17">
        <f>IF(AND(CROQUIS!$C$87=1,CROQUIS!$C$126&gt;0,CROQUIS!$C$166&gt;0),((CROQUIS!$C$160+(IF(CROQUIS!$C$92="X",CHOOSE(MIN(MAX($A17,1)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17,1)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AS17">
        <f>IF(AND(CROQUIS!$C$87=1,CROQUIS!$C$126&gt;0,CROQUIS!$C$166&gt;0),((CROQUIS!$C$161+(IF(CROQUIS!$C$92="X",CHOOSE(MIN(MAX($A17,1)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17,1)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N17">
        <f>IF(AND(CROQUIS!$C$88=1,CROQUIS!$C$129&gt;0),((CROQUIS!$C$160+(IF(CROQUIS!$C$92="X",CHOOSE(IF(INT(($A17-1)/5)&gt;MAX((MAX(1,INT(((CROQUIS!$C$98)-CROQUIS!$C$107)/MAX((CROQUIS!$C$129*MAX(1,CEILING((INT(((CROQUIS!$C$98)-CROQUIS!$C$107)/MAX(CROQUIS!$C$129,1))+1)/80,1))),1))+1))-1,0),0,MOD($A17-1,5))+1,0,2,CROQUIS!$C$97-2,2,0),((CROQUIS!$C$107/2+(((CROQUIS!$C$98)-CROQUIS!$C$107)-(MAX(1,INT(((CROQUIS!$C$98)-CROQUIS!$C$107)/MAX((CROQUIS!$C$129*MAX(1,CEILING((INT(((CROQUIS!$C$98)-CROQUIS!$C$107)/MAX(CROQUIS!$C$129,1))+1)/80,1))),1))+1)-1)*(CROQUIS!$C$129*MAX(1,CEILING((INT(((CROQUIS!$C$98)-CROQUIS!$C$107)/MAX(CROQUIS!$C$129,1))+1)/80,1))))/2)+MIN(INT(($A17-1)/5),MAX((MAX(1,INT(((CROQUIS!$C$98)-CROQUIS!$C$107)/MAX((CROQUIS!$C$129*MAX(1,CEILING((INT(((CROQUIS!$C$98)-CROQUIS!$C$107)/MAX(CROQUIS!$C$129,1))+1)/80,1))),1))+1))-1,0))*(CROQUIS!$C$129*MAX(1,CEILING((INT(((CROQUIS!$C$98)-CROQUIS!$C$107)/MAX(CROQUIS!$C$129,1))+1)/80,1))))))*CROQUIS!$C$159)+IF(CROQUIS!$C$92="X",0,0)),-1000)</f>
        <v>-1000</v>
      </c>
      <c r="BO17">
        <f>IF(AND(CROQUIS!$C$88=1,CROQUIS!$C$129&gt;0),((CROQUIS!$C$161+(IF(CROQUIS!$C$92="X",((CROQUIS!$C$107/2+(((CROQUIS!$C$98)-CROQUIS!$C$107)-(MAX(1,INT(((CROQUIS!$C$98)-CROQUIS!$C$107)/MAX((CROQUIS!$C$129*MAX(1,CEILING((INT(((CROQUIS!$C$98)-CROQUIS!$C$107)/MAX(CROQUIS!$C$129,1))+1)/80,1))),1))+1)-1)*(CROQUIS!$C$129*MAX(1,CEILING((INT(((CROQUIS!$C$98)-CROQUIS!$C$107)/MAX(CROQUIS!$C$129,1))+1)/80,1))))/2)+MIN(INT(($A17-1)/5),MAX((MAX(1,INT(((CROQUIS!$C$98)-CROQUIS!$C$107)/MAX((CROQUIS!$C$129*MAX(1,CEILING((INT(((CROQUIS!$C$98)-CROQUIS!$C$107)/MAX(CROQUIS!$C$129,1))+1)/80,1))),1))+1))-1,0))*(CROQUIS!$C$129*MAX(1,CEILING((INT(((CROQUIS!$C$98)-CROQUIS!$C$107)/MAX(CROQUIS!$C$129,1))+1)/80,1)))),CHOOSE(IF(INT(($A17-1)/5)&gt;MAX((MAX(1,INT(((CROQUIS!$C$98)-CROQUIS!$C$107)/MAX((CROQUIS!$C$129*MAX(1,CEILING((INT(((CROQUIS!$C$98)-CROQUIS!$C$107)/MAX(CROQUIS!$C$129,1))+1)/80,1))),1))+1))-1,0),0,MOD($A17-1,5))+1,0,2,CROQUIS!$C$97-2,2,0)))*CROQUIS!$C$159)+IF(CROQUIS!$C$92="X",0,0)),-1000)</f>
        <v>-1000</v>
      </c>
      <c r="BP17">
        <f>IF(AND(CROQUIS!$C$88=1,CROQUIS!$C$137&gt;0),((CROQUIS!$C$160+(IF(CROQUIS!$C$92="X",((CROQUIS!$C$107/2+(((CROQUIS!$C$97)-CROQUIS!$C$107)-(MAX(1,INT(((CROQUIS!$C$97)-CROQUIS!$C$107)/MAX((CROQUIS!$C$137*MAX(1,CEILING((INT(((CROQUIS!$C$97)-CROQUIS!$C$107)/MAX(CROQUIS!$C$137,1))+1)/80,1))),1))+1)-1)*(CROQUIS!$C$137*MAX(1,CEILING((INT(((CROQUIS!$C$97)-CROQUIS!$C$107)/MAX(CROQUIS!$C$137,1))+1)/80,1))))/2)+MIN(INT(($A17-1)/5),MAX((MAX(1,INT(((CROQUIS!$C$97)-CROQUIS!$C$107)/MAX((CROQUIS!$C$137*MAX(1,CEILING((INT(((CROQUIS!$C$97)-CROQUIS!$C$107)/MAX(CROQUIS!$C$137,1))+1)/80,1))),1))+1))-1,0))*(CROQUIS!$C$137*MAX(1,CEILING((INT(((CROQUIS!$C$97)-CROQUIS!$C$107)/MAX(CROQUIS!$C$137,1))+1)/80,1)))),CHOOSE(IF(INT(($A17-1)/5)&gt;MAX((MAX(1,INT(((CROQUIS!$C$97)-CROQUIS!$C$107)/MAX((CROQUIS!$C$137*MAX(1,CEILING((INT(((CROQUIS!$C$97)-CROQUIS!$C$107)/MAX(CROQUIS!$C$137,1))+1)/80,1))),1))+1))-1,0),0,MOD($A17-1,5))+1,0,2,CROQUIS!$C$98-2,2,0)))*CROQUIS!$C$159)+IF(CROQUIS!$C$92="X",0,0)),-1000)</f>
        <v>-1000</v>
      </c>
      <c r="BQ17">
        <f>IF(AND(CROQUIS!$C$88=1,CROQUIS!$C$137&gt;0),((CROQUIS!$C$161+(IF(CROQUIS!$C$92="X",CHOOSE(IF(INT(($A17-1)/5)&gt;MAX((MAX(1,INT(((CROQUIS!$C$97)-CROQUIS!$C$107)/MAX((CROQUIS!$C$137*MAX(1,CEILING((INT(((CROQUIS!$C$97)-CROQUIS!$C$107)/MAX(CROQUIS!$C$137,1))+1)/80,1))),1))+1))-1,0),0,MOD($A17-1,5))+1,0,2,CROQUIS!$C$98-2,2,0),((CROQUIS!$C$107/2+(((CROQUIS!$C$97)-CROQUIS!$C$107)-(MAX(1,INT(((CROQUIS!$C$97)-CROQUIS!$C$107)/MAX((CROQUIS!$C$137*MAX(1,CEILING((INT(((CROQUIS!$C$97)-CROQUIS!$C$107)/MAX(CROQUIS!$C$137,1))+1)/80,1))),1))+1)-1)*(CROQUIS!$C$137*MAX(1,CEILING((INT(((CROQUIS!$C$97)-CROQUIS!$C$107)/MAX(CROQUIS!$C$137,1))+1)/80,1))))/2)+MIN(INT(($A17-1)/5),MAX((MAX(1,INT(((CROQUIS!$C$97)-CROQUIS!$C$107)/MAX((CROQUIS!$C$137*MAX(1,CEILING((INT(((CROQUIS!$C$97)-CROQUIS!$C$107)/MAX(CROQUIS!$C$137,1))+1)/80,1))),1))+1))-1,0))*(CROQUIS!$C$137*MAX(1,CEILING((INT(((CROQUIS!$C$97)-CROQUIS!$C$107)/MAX(CROQUIS!$C$137,1))+1)/80,1))))))*CROQUIS!$C$159)+IF(CROQUIS!$C$92="X",0,0)),-1000)</f>
        <v>-1000</v>
      </c>
      <c r="BR17">
        <f>IF(AND(CROQUIS!$C$88=1,CROQUIS!$C$91=0,CROQUIS!$C$133&gt;0,OR(CROQUIS!$C$103=1,CROQUIS!$C$145=1)),((CROQUIS!$C$160+(IF(CROQUIS!$C$92="X",CHOOSE(IF(INT(($A17-1)/5)&gt;MAX((MAX(1,INT(((CROQUIS!$C$98)-CROQUIS!$C$107)/MAX((CROQUIS!$C$133*MAX(1,CEILING((INT(((CROQUIS!$C$98)-CROQUIS!$C$107)/MAX(CROQUIS!$C$133,1))+1)/80,1))),1))+1))-1,0),0,MOD($A17-1,5))+1,0,IF(CROQUIS!$C$103=1,-12,2),CROQUIS!$C$107/2+CROQUIS!$C$143,IF(CROQUIS!$C$103=1,-12,2),0),((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BS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+1,0,IF(CROQUIS!$C$103=1,-12,2),CROQUIS!$C$107/2+CROQUIS!$C$143,IF(CROQUIS!$C$103=1,-12,2),0)))*CROQUIS!$C$159)+IF(CROQUIS!$C$92="X",0.8,0)),-1000)</f>
        <v>-1000</v>
      </c>
      <c r="BT17">
        <f>IF(AND(CROQUIS!$C$88=1,CROQUIS!$C$91=0,CROQUIS!$C$133&gt;0,OR(CROQUIS!$C$104=1,CROQUIS!$C$145=1)),((CROQUIS!$C$160+(IF(CROQUIS!$C$92="X",CHOOSE(IF(INT(($A17-1)/5)&gt;MAX((MAX(1,INT(((CROQUIS!$C$98)-CROQUIS!$C$107)/MAX((CROQUIS!$C$133*MAX(1,CEILING((INT(((CROQUIS!$C$98)-CROQUIS!$C$107)/MAX(CROQUIS!$C$133,1))+1)/80,1))),1))+1))-1,0),0,MOD($A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BU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CROQUIS!$C$97,CROQUIS!$C$97-CROQUIS!$C$107/2-CROQUIS!$C$143,IF(CROQUIS!$C$104=1,CROQUIS!$C$97+12,CROQUIS!$C$97-2),CROQUIS!$C$97-CROQUIS!$C$107/2-CROQUIS!$C$143,CROQUIS!$C$97)))*CROQUIS!$C$159)+IF(CROQUIS!$C$92="X",0.8,0)),-1000)</f>
        <v>-1000</v>
      </c>
      <c r="BV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HOOSE(IF(INT(($A17-1)/5)&gt;MAX((MAX(1,INT(((CROQUIS!$C$97)-CROQUIS!$C$107)/MAX((CROQUIS!$C$141*MAX(1,CEILING((INT(((CROQUIS!$C$97)-CROQUIS!$C$107)/MAX(CROQUIS!$C$141,1))+1)/80,1))),1))+1))-1,0),0,MOD($A17-1,5))+1,0,IF(CROQUIS!$C$105=1,-12,2),CROQUIS!$C$107/2+CROQUIS!$C$144,IF(CROQUIS!$C$105=1,-12,2),0)))*CROQUIS!$C$159)+IF(CROQUIS!$C$92="X",0.8,0)),-1000)</f>
        <v>-1000</v>
      </c>
      <c r="BW17">
        <f>IF(AND(CROQUIS!$C$88=1,CROQUIS!$C$91=0,CROQUIS!$C$141&gt;0,OR(CROQUIS!$C$105=1,CROQUIS!$C$146=1)),((CROQUIS!$C$161+(IF(CROQUIS!$C$92="X",CHOOSE(IF(INT(($A17-1)/5)&gt;MAX((MAX(1,INT(((CROQUIS!$C$97)-CROQUIS!$C$107)/MAX((CROQUIS!$C$141*MAX(1,CEILING((INT(((CROQUIS!$C$97)-CROQUIS!$C$107)/MAX(CROQUIS!$C$141,1))+1)/80,1))),1))+1))-1,0),0,MOD($A17-1,5))+1,0,IF(CROQUIS!$C$105=1,-12,2),CROQUIS!$C$107/2+CROQUIS!$C$144,IF(CROQUIS!$C$105=1,-12,2),0),((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ROQUIS!$C$159)+IF(CROQUIS!$C$92="X",0,0.8)),-1000)</f>
        <v>-1000</v>
      </c>
      <c r="BX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HOOSE(IF(INT(($A17-1)/5)&gt;MAX((MAX(1,INT(((CROQUIS!$C$97)-CROQUIS!$C$107)/MAX((CROQUIS!$C$141*MAX(1,CEILING((INT(((CROQUIS!$C$97)-CROQUIS!$C$107)/MAX(CROQUIS!$C$141,1))+1)/80,1))),1))+1))-1,0),0,MOD($A17-1,5))+1,CROQUIS!$C$98,CROQUIS!$C$98-CROQUIS!$C$107/2-CROQUIS!$C$144,IF(CROQUIS!$C$106=1,CROQUIS!$C$98+12,CROQUIS!$C$98-2),CROQUIS!$C$98-CROQUIS!$C$107/2-CROQUIS!$C$144,CROQUIS!$C$98)))*CROQUIS!$C$159)+IF(CROQUIS!$C$92="X",0.8,0)),-1000)</f>
        <v>-1000</v>
      </c>
      <c r="BY17">
        <f>IF(AND(CROQUIS!$C$88=1,CROQUIS!$C$91=0,CROQUIS!$C$141&gt;0,OR(CROQUIS!$C$106=1,CROQUIS!$C$146=1)),((CROQUIS!$C$161+(IF(CROQUIS!$C$92="X",CHOOSE(IF(INT(($A17-1)/5)&gt;MAX((MAX(1,INT(((CROQUIS!$C$97)-CROQUIS!$C$107)/MAX((CROQUIS!$C$141*MAX(1,CEILING((INT(((CROQUIS!$C$97)-CROQUIS!$C$107)/MAX(CROQUIS!$C$141,1))+1)/80,1))),1))+1))-1,0),0,MOD($A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ROQUIS!$C$159)+IF(CROQUIS!$C$92="X",0,0.8)),-1000)</f>
        <v>-1000</v>
      </c>
      <c r="BZ17">
        <f>IF(AND(CROQUIS!$C$88=1,CROQUIS!$C$91=1,CROQUIS!$C$133&gt;0),((CROQUIS!$C$160+(IF(CROQUIS!$C$92="X",CHOOSE(IF(INT(($A17-1)/5)&gt;MAX((MAX(1,INT(((CROQUIS!$C$98)-CROQUIS!$C$107)/MAX((CROQUIS!$C$133*MAX(1,CEILING((INT(((CROQUIS!$C$98)-CROQUIS!$C$107)/MAX(CROQUIS!$C$133,1))+1)/80,1))),1))+1))-1,0),0,MOD($A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CA17">
        <f>IF(AND(CROQUIS!$C$88=1,CROQUIS!$C$91=1,CROQUIS!$C$133&gt;0),((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J17">
        <f>IF(AND(CROQUIS!$C$87=1,CROQUIS!$C$129&gt;=1),(50+(((1-(CROQUIS!$C$129+1)/2)*(MAX(CROQUIS!$C$121,CROQUIS!$C$128)+CROQUIS!$C$128))+CROQUIS!$C$128/2*COS(2*PI()*(MIN($A17,13)-1)/12))*CROQUIS!$C$177),-1000)</f>
        <v>50</v>
      </c>
      <c r="CK17">
        <f>IF(AND(CROQUIS!$C$87=1,CROQUIS!$C$129&gt;=1),(12+((CROQUIS!$C$109+CROQUIS!$C$128/2)+CROQUIS!$C$128/2*SIN(2*PI()*(MIN($A17,13)-1)/12))*CROQUIS!$C$177),-1000)</f>
        <v>13.9090909090909</v>
      </c>
      <c r="CL17">
        <f>IF(AND(CROQUIS!$C$87=1,CROQUIS!$C$129&gt;=2),(50+(((2-(CROQUIS!$C$129+1)/2)*(MAX(CROQUIS!$C$121,CROQUIS!$C$128)+CROQUIS!$C$128))+CROQUIS!$C$128/2*COS(2*PI()*(MIN($A17,13)-1)/12))*CROQUIS!$C$177),-1000)</f>
        <v>-1000</v>
      </c>
      <c r="CM17">
        <f>IF(AND(CROQUIS!$C$87=1,CROQUIS!$C$129&gt;=2),(12+((CROQUIS!$C$109+CROQUIS!$C$128/2)+CROQUIS!$C$128/2*SIN(2*PI()*(MIN($A17,13)-1)/12))*CROQUIS!$C$177),-1000)</f>
        <v>-1000</v>
      </c>
      <c r="CN17">
        <f>IF(AND(CROQUIS!$C$87=1,CROQUIS!$C$129&gt;=3),(50+(((3-(CROQUIS!$C$129+1)/2)*(MAX(CROQUIS!$C$121,CROQUIS!$C$128)+CROQUIS!$C$128))+CROQUIS!$C$128/2*COS(2*PI()*(MIN($A17,13)-1)/12))*CROQUIS!$C$177),-1000)</f>
        <v>-1000</v>
      </c>
      <c r="CO17">
        <f>IF(AND(CROQUIS!$C$87=1,CROQUIS!$C$129&gt;=3),(12+((CROQUIS!$C$109+CROQUIS!$C$128/2)+CROQUIS!$C$128/2*SIN(2*PI()*(MIN($A17,13)-1)/12))*CROQUIS!$C$177),-1000)</f>
        <v>-1000</v>
      </c>
      <c r="CP17">
        <f>IF(AND(CROQUIS!$C$87=1,CROQUIS!$C$133&gt;=1),(50+(((1-(CROQUIS!$C$133+1)/2)*(MAX(CROQUIS!$C$121,CROQUIS!$C$132)+CROQUIS!$C$132))+CROQUIS!$C$132/2*COS(2*PI()*(MIN($A17,13)-1)/12))*CROQUIS!$C$177),-1000)</f>
        <v>50</v>
      </c>
      <c r="CQ17">
        <f>IF(AND(CROQUIS!$C$87=1,CROQUIS!$C$133&gt;=1),(12+((CROQUIS!$C$108-CROQUIS!$C$120-2*CROQUIS!$C$119-CROQUIS!$C$132/2)+CROQUIS!$C$132/2*SIN(2*PI()*(MIN($A17,13)-1)/12))*CROQUIS!$C$177),-1000)</f>
        <v>31.2417272727273</v>
      </c>
      <c r="CR17">
        <f>IF(AND(CROQUIS!$C$87=1,CROQUIS!$C$133&gt;=2),(50+(((2-(CROQUIS!$C$133+1)/2)*(MAX(CROQUIS!$C$121,CROQUIS!$C$132)+CROQUIS!$C$132))+CROQUIS!$C$132/2*COS(2*PI()*(MIN($A17,13)-1)/12))*CROQUIS!$C$177),-1000)</f>
        <v>-1000</v>
      </c>
      <c r="CS17">
        <f>IF(AND(CROQUIS!$C$87=1,CROQUIS!$C$133&gt;=2),(12+((CROQUIS!$C$108-CROQUIS!$C$120-2*CROQUIS!$C$119-CROQUIS!$C$132/2)+CROQUIS!$C$132/2*SIN(2*PI()*(MIN($A17,13)-1)/12))*CROQUIS!$C$177),-1000)</f>
        <v>-1000</v>
      </c>
      <c r="CT17">
        <f>IF(AND(CROQUIS!$C$87=1,CROQUIS!$C$133&gt;=3),(50+(((3-(CROQUIS!$C$133+1)/2)*(MAX(CROQUIS!$C$121,CROQUIS!$C$132)+CROQUIS!$C$132))+CROQUIS!$C$132/2*COS(2*PI()*(MIN($A17,13)-1)/12))*CROQUIS!$C$177),-1000)</f>
        <v>-1000</v>
      </c>
      <c r="CU17">
        <f>IF(AND(CROQUIS!$C$87=1,CROQUIS!$C$133&gt;=3),(12+((CROQUIS!$C$108-CROQUIS!$C$120-2*CROQUIS!$C$119-CROQUIS!$C$132/2)+CROQUIS!$C$132/2*SIN(2*PI()*(MIN($A17,13)-1)/12))*CROQUIS!$C$177),-1000)</f>
        <v>-1000</v>
      </c>
      <c r="DH17">
        <f>IF(AND(CROQUIS!$C$88=1,CROQUIS!$C$137&gt;0),(50+((-(MIN(12,INT(58/MAX(CROQUIS!$C$137,1))+1)-1)*CROQUIS!$C$137/2+(MIN($A17,MIN(12,INT(58/MAX(CROQUIS!$C$137,1))+1))-1)*CROQUIS!$C$137))*CROQUIS!$C$178),-1000)</f>
        <v>-1000</v>
      </c>
      <c r="DI17">
        <f>IF(AND(CROQUIS!$C$88=1,CROQUIS!$C$137&gt;0),(12+((CROQUIS!$C$109+CROQUIS!$C$128+CROQUIS!$C$136/2))*CROQUIS!$C$178),-1000)</f>
        <v>-1000</v>
      </c>
      <c r="DJ17">
        <f>IF(AND(CROQUIS!$C$88=1,CROQUIS!$C$141&gt;0),(50+((-(MIN(12,INT(58/MAX(CROQUIS!$C$141,1))+1)-1)*CROQUIS!$C$141/2+(MIN($A17,MIN(12,INT(58/MAX(CROQUIS!$C$141,1))+1))-1)*CROQUIS!$C$141))*CROQUIS!$C$178),-1000)</f>
        <v>-1000</v>
      </c>
      <c r="DK17">
        <f>IF(AND(CROQUIS!$C$88=1,CROQUIS!$C$141&gt;0),(12+((CROQUIS!$C$108-CROQUIS!$C$110-CROQUIS!$C$132-CROQUIS!$C$140/2))*CROQUIS!$C$178),-1000)</f>
        <v>-1000</v>
      </c>
      <c r="DX17">
        <f>IF(AND(CROQUIS!$C$87=1),CHOOSE(MIN(MAX($A17,1)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DY17">
        <f>IF(AND(CROQUIS!$C$87=1),CHOOSE(MIN(MAX($A17,1),10),30,30,20,20,30,IF(CROQUIS!$C$91=1,30,30),IF(CROQUIS!$C$91=1,30,30),IF(CROQUIS!$C$91=1,30,20),IF(CROQUIS!$C$91=1,30,20),IF(CROQUIS!$C$91=1,30,30)),-1000)</f>
        <v>30</v>
      </c>
      <c r="EX17">
        <f>IF(AND(CROQUIS!$C$88=1),CHOOSE(MIN(MAX($A17,1)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EY17">
        <f>IF(AND(CROQUIS!$C$88=1),CHOOSE(MIN(MAX($A17,1),10),30,30,20,20,30,IF(CROQUIS!$C$91=1,30,30),IF(CROQUIS!$C$91=1,30,30),IF(CROQUIS!$C$91=1,30,20),IF(CROQUIS!$C$91=1,30,20),IF(CROQUIS!$C$91=1,30,30)),-1000)</f>
        <v>-1000</v>
      </c>
    </row>
    <row r="18">
      <c r="A18" t="n">
        <v>11</v>
      </c>
      <c r="F18">
        <f>IF(AND(CROQUIS!$C$87=1,CROQUIS!$C$91=1),((CROQUIS!$C$160+(IF(CROQUIS!$C$92="X",IF(CROQUIS!$C$94=1,0,CROQUIS!$C$97)+IF(MOD($A18,2)=1,-CROQUIS!$C$107/2,CROQUIS!$C$107/2),(MIN($A18,41)-1)/40*CROQUIS!$C$98))*CROQUIS!$C$159)+IF(CROQUIS!$C$92="X",0,0)),-1000)</f>
        <v>-1000</v>
      </c>
      <c r="G18">
        <f>IF(AND(CROQUIS!$C$87=1,CROQUIS!$C$91=1),((CROQUIS!$C$161+(IF(CROQUIS!$C$92="X",(MIN($A18,41)-1)/40*CROQUIS!$C$98,IF(CROQUIS!$C$94=1,0,CROQUIS!$C$97)+IF(MOD($A18,2)=1,-CROQUIS!$C$107/2,CROQUIS!$C$107/2)))*CROQUIS!$C$159)+IF(CROQUIS!$C$92="X",0,0)),-1000)</f>
        <v>-1000</v>
      </c>
      <c r="V18">
        <f>IF(AND(CROQUIS!$C$88=1,CROQUIS!$C$91=1),((CROQUIS!$C$160+(IF(CROQUIS!$C$92="X",IF(CROQUIS!$C$94=1,0,CROQUIS!$C$97)+IF(MOD($A18,2)=1,-CROQUIS!$C$107/2,CROQUIS!$C$107/2),(MIN($A18,41)-1)/40*CROQUIS!$C$98))*CROQUIS!$C$159)+IF(CROQUIS!$C$92="X",0,0)),-1000)</f>
        <v>-1000</v>
      </c>
      <c r="W18">
        <f>IF(AND(CROQUIS!$C$88=1,CROQUIS!$C$91=1),((CROQUIS!$C$161+(IF(CROQUIS!$C$92="X",(MIN($A18,41)-1)/40*CROQUIS!$C$98,IF(CROQUIS!$C$94=1,0,CROQUIS!$C$97)+IF(MOD($A18,2)=1,-CROQUIS!$C$107/2,CROQUIS!$C$107/2)))*CROQUIS!$C$159)+IF(CROQUIS!$C$92="X",0,0)),-1000)</f>
        <v>-1000</v>
      </c>
      <c r="AJ18">
        <f>IF(AND(CROQUIS!$C$87=1,CROQUIS!$C$162&gt;0,CROQUIS!$C$164&gt;0),(CROQUIS!$C$160+((CROQUIS!$C$163+INT(MIN(INT(($A18-1)/2),MAX((2*CROQUIS!$C$162)-1,0))/2)*CROQUIS!$C$116+MOD(MIN(INT(($A18-1)/2),MAX((2*CROQUIS!$C$162)-1,0)),2)*CROQUIS!$C$114))*CROQUIS!$C$159),-1000)</f>
        <v>57.2977858111161</v>
      </c>
      <c r="AK18">
        <f>IF(AND(CROQUIS!$C$87=1,CROQUIS!$C$162&gt;0,CROQUIS!$C$164&gt;0),(CROQUIS!$C$161+(IF(MOD(MIN(INT(($A18-1)/2),MAX((2*CROQUIS!$C$162)-1,0)),2)=0,IF(IF(INT(($A18-1)/2)&gt;MAX((2*CROQUIS!$C$162)-1,0),1,MOD($A18-1,2))=0,CROQUIS!$C$165,(CROQUIS!$C$165+(CROQUIS!$C$164-1)*CROQUIS!$C$116+CROQUIS!$C$115)),IF(IF(INT(($A18-1)/2)&gt;MAX((2*CROQUIS!$C$162)-1,0),1,MOD($A18-1,2))=0,(CROQUIS!$C$165+(CROQUIS!$C$164-1)*CROQUIS!$C$116+CROQUIS!$C$115),CROQUIS!$C$165)))*CROQUIS!$C$159),-1000)</f>
        <v>79.1911432444645</v>
      </c>
      <c r="AL18">
        <f>IF(AND(CROQUIS!$C$87=1,CROQUIS!$C$164&gt;0,CROQUIS!$C$162&gt;0),(CROQUIS!$C$160+(IF(MOD(MIN(INT(($A18-1)/2),MAX((2*CROQUIS!$C$164)-1,0)),2)=0,IF(IF(INT(($A18-1)/2)&gt;MAX((2*CROQUIS!$C$164)-1,0),1,MOD($A18-1,2))=0,CROQUIS!$C$163,(CROQUIS!$C$163+(CROQUIS!$C$162-1)*CROQUIS!$C$116+CROQUIS!$C$114)),IF(IF(INT(($A18-1)/2)&gt;MAX((2*CROQUIS!$C$164)-1,0),1,MOD($A18-1,2))=0,(CROQUIS!$C$163+(CROQUIS!$C$162-1)*CROQUIS!$C$116+CROQUIS!$C$114),CROQUIS!$C$163)))*CROQUIS!$C$159),-1000)</f>
        <v>81.3375508359693</v>
      </c>
      <c r="AM18">
        <f>IF(AND(CROQUIS!$C$87=1,CROQUIS!$C$164&gt;0,CROQUIS!$C$162&gt;0),(CROQUIS!$C$161+((CROQUIS!$C$165+INT(MIN(INT(($A18-1)/2),MAX((2*CROQUIS!$C$164)-1,0))/2)*CROQUIS!$C$116+MOD(MIN(INT(($A18-1)/2),MAX((2*CROQUIS!$C$164)-1,0)),2)*CROQUIS!$C$115))*CROQUIS!$C$159),-1000)</f>
        <v>55.1513782196114</v>
      </c>
      <c r="AN18">
        <f>IF(AND(CROQUIS!$C$87=1,CROQUIS!$C$162&gt;=2),(CROQUIS!$C$160+((CROQUIS!$C$163+CROQUIS!$C$114+(CROQUIS!$C$116-CROQUIS!$C$114)/2+MIN(INT(($A18-1)/2),MAX((CROQUIS!$C$162-1)-1,0))*CROQUIS!$C$116))*CROQUIS!$C$159),-1000)</f>
        <v>70.1762313601446</v>
      </c>
      <c r="AO18">
        <f>IF(AND(CROQUIS!$C$87=1,CROQUIS!$C$162&gt;=2),(CROQUIS!$C$161+(IF(MOD(MIN(INT(($A18-1)/2),MAX((CROQUIS!$C$162-1)-1,0)),2)=0,IF(IF(INT(($A18-1)/2)&gt;MAX((CROQUIS!$C$162-1)-1,0),1,MOD($A18-1,2))=0,CROQUIS!$C$107/2,(CROQUIS!$C$96-CROQUIS!$C$107/2)),IF(IF(INT(($A18-1)/2)&gt;MAX((CROQUIS!$C$162-1)-1,0),1,MOD($A18-1,2))=0,(CROQUIS!$C$96-CROQUIS!$C$107/2),CROQUIS!$C$107/2)))*CROQUIS!$C$159),-1000)</f>
        <v>16.9453230908269</v>
      </c>
      <c r="AP18">
        <f>IF(AND(CROQUIS!$C$87=1,CROQUIS!$C$164&gt;=2),(CROQUIS!$C$160+(IF(MOD(MIN(INT(($A18-1)/2),MAX((CROQUIS!$C$164-1)-1,0)),2)=0,IF(IF(INT(($A18-1)/2)&gt;MAX((CROQUIS!$C$164-1)-1,0),1,MOD($A18-1,2))=0,CROQUIS!$C$107/2,(CROQUIS!$C$95-CROQUIS!$C$107/2)),IF(IF(INT(($A18-1)/2)&gt;MAX((CROQUIS!$C$164-1)-1,0),1,MOD($A18-1,2))=0,(CROQUIS!$C$95-CROQUIS!$C$107/2),CROQUIS!$C$107/2)))*CROQUIS!$C$159),-1000)</f>
        <v>13.2878445549028</v>
      </c>
      <c r="AQ18">
        <f>IF(AND(CROQUIS!$C$87=1,CROQUIS!$C$164&gt;=2),(CROQUIS!$C$161+((CROQUIS!$C$165+CROQUIS!$C$115+(CROQUIS!$C$116-CROQUIS!$C$115)/2+MIN(INT(($A18-1)/2),MAX((CROQUIS!$C$164-1)-1,0))*CROQUIS!$C$116))*CROQUIS!$C$159),-1000)</f>
        <v>68.0298237686399</v>
      </c>
      <c r="BN18">
        <f>IF(AND(CROQUIS!$C$88=1,CROQUIS!$C$129&gt;0),((CROQUIS!$C$160+(IF(CROQUIS!$C$92="X",CHOOSE(IF(INT(($A18-1)/5)&gt;MAX((MAX(1,INT(((CROQUIS!$C$98)-CROQUIS!$C$107)/MAX((CROQUIS!$C$129*MAX(1,CEILING((INT(((CROQUIS!$C$98)-CROQUIS!$C$107)/MAX(CROQUIS!$C$129,1))+1)/80,1))),1))+1))-1,0),0,MOD($A18-1,5))+1,0,2,CROQUIS!$C$97-2,2,0),((CROQUIS!$C$107/2+(((CROQUIS!$C$98)-CROQUIS!$C$107)-(MAX(1,INT(((CROQUIS!$C$98)-CROQUIS!$C$107)/MAX((CROQUIS!$C$129*MAX(1,CEILING((INT(((CROQUIS!$C$98)-CROQUIS!$C$107)/MAX(CROQUIS!$C$129,1))+1)/80,1))),1))+1)-1)*(CROQUIS!$C$129*MAX(1,CEILING((INT(((CROQUIS!$C$98)-CROQUIS!$C$107)/MAX(CROQUIS!$C$129,1))+1)/80,1))))/2)+MIN(INT(($A18-1)/5),MAX((MAX(1,INT(((CROQUIS!$C$98)-CROQUIS!$C$107)/MAX((CROQUIS!$C$129*MAX(1,CEILING((INT(((CROQUIS!$C$98)-CROQUIS!$C$107)/MAX(CROQUIS!$C$129,1))+1)/80,1))),1))+1))-1,0))*(CROQUIS!$C$129*MAX(1,CEILING((INT(((CROQUIS!$C$98)-CROQUIS!$C$107)/MAX(CROQUIS!$C$129,1))+1)/80,1))))))*CROQUIS!$C$159)+IF(CROQUIS!$C$92="X",0,0)),-1000)</f>
        <v>-1000</v>
      </c>
      <c r="BO18">
        <f>IF(AND(CROQUIS!$C$88=1,CROQUIS!$C$129&gt;0),((CROQUIS!$C$161+(IF(CROQUIS!$C$92="X",((CROQUIS!$C$107/2+(((CROQUIS!$C$98)-CROQUIS!$C$107)-(MAX(1,INT(((CROQUIS!$C$98)-CROQUIS!$C$107)/MAX((CROQUIS!$C$129*MAX(1,CEILING((INT(((CROQUIS!$C$98)-CROQUIS!$C$107)/MAX(CROQUIS!$C$129,1))+1)/80,1))),1))+1)-1)*(CROQUIS!$C$129*MAX(1,CEILING((INT(((CROQUIS!$C$98)-CROQUIS!$C$107)/MAX(CROQUIS!$C$129,1))+1)/80,1))))/2)+MIN(INT(($A18-1)/5),MAX((MAX(1,INT(((CROQUIS!$C$98)-CROQUIS!$C$107)/MAX((CROQUIS!$C$129*MAX(1,CEILING((INT(((CROQUIS!$C$98)-CROQUIS!$C$107)/MAX(CROQUIS!$C$129,1))+1)/80,1))),1))+1))-1,0))*(CROQUIS!$C$129*MAX(1,CEILING((INT(((CROQUIS!$C$98)-CROQUIS!$C$107)/MAX(CROQUIS!$C$129,1))+1)/80,1)))),CHOOSE(IF(INT(($A18-1)/5)&gt;MAX((MAX(1,INT(((CROQUIS!$C$98)-CROQUIS!$C$107)/MAX((CROQUIS!$C$129*MAX(1,CEILING((INT(((CROQUIS!$C$98)-CROQUIS!$C$107)/MAX(CROQUIS!$C$129,1))+1)/80,1))),1))+1))-1,0),0,MOD($A18-1,5))+1,0,2,CROQUIS!$C$97-2,2,0)))*CROQUIS!$C$159)+IF(CROQUIS!$C$92="X",0,0)),-1000)</f>
        <v>-1000</v>
      </c>
      <c r="BP18">
        <f>IF(AND(CROQUIS!$C$88=1,CROQUIS!$C$137&gt;0),((CROQUIS!$C$160+(IF(CROQUIS!$C$92="X",((CROQUIS!$C$107/2+(((CROQUIS!$C$97)-CROQUIS!$C$107)-(MAX(1,INT(((CROQUIS!$C$97)-CROQUIS!$C$107)/MAX((CROQUIS!$C$137*MAX(1,CEILING((INT(((CROQUIS!$C$97)-CROQUIS!$C$107)/MAX(CROQUIS!$C$137,1))+1)/80,1))),1))+1)-1)*(CROQUIS!$C$137*MAX(1,CEILING((INT(((CROQUIS!$C$97)-CROQUIS!$C$107)/MAX(CROQUIS!$C$137,1))+1)/80,1))))/2)+MIN(INT(($A18-1)/5),MAX((MAX(1,INT(((CROQUIS!$C$97)-CROQUIS!$C$107)/MAX((CROQUIS!$C$137*MAX(1,CEILING((INT(((CROQUIS!$C$97)-CROQUIS!$C$107)/MAX(CROQUIS!$C$137,1))+1)/80,1))),1))+1))-1,0))*(CROQUIS!$C$137*MAX(1,CEILING((INT(((CROQUIS!$C$97)-CROQUIS!$C$107)/MAX(CROQUIS!$C$137,1))+1)/80,1)))),CHOOSE(IF(INT(($A18-1)/5)&gt;MAX((MAX(1,INT(((CROQUIS!$C$97)-CROQUIS!$C$107)/MAX((CROQUIS!$C$137*MAX(1,CEILING((INT(((CROQUIS!$C$97)-CROQUIS!$C$107)/MAX(CROQUIS!$C$137,1))+1)/80,1))),1))+1))-1,0),0,MOD($A18-1,5))+1,0,2,CROQUIS!$C$98-2,2,0)))*CROQUIS!$C$159)+IF(CROQUIS!$C$92="X",0,0)),-1000)</f>
        <v>-1000</v>
      </c>
      <c r="BQ18">
        <f>IF(AND(CROQUIS!$C$88=1,CROQUIS!$C$137&gt;0),((CROQUIS!$C$161+(IF(CROQUIS!$C$92="X",CHOOSE(IF(INT(($A18-1)/5)&gt;MAX((MAX(1,INT(((CROQUIS!$C$97)-CROQUIS!$C$107)/MAX((CROQUIS!$C$137*MAX(1,CEILING((INT(((CROQUIS!$C$97)-CROQUIS!$C$107)/MAX(CROQUIS!$C$137,1))+1)/80,1))),1))+1))-1,0),0,MOD($A18-1,5))+1,0,2,CROQUIS!$C$98-2,2,0),((CROQUIS!$C$107/2+(((CROQUIS!$C$97)-CROQUIS!$C$107)-(MAX(1,INT(((CROQUIS!$C$97)-CROQUIS!$C$107)/MAX((CROQUIS!$C$137*MAX(1,CEILING((INT(((CROQUIS!$C$97)-CROQUIS!$C$107)/MAX(CROQUIS!$C$137,1))+1)/80,1))),1))+1)-1)*(CROQUIS!$C$137*MAX(1,CEILING((INT(((CROQUIS!$C$97)-CROQUIS!$C$107)/MAX(CROQUIS!$C$137,1))+1)/80,1))))/2)+MIN(INT(($A18-1)/5),MAX((MAX(1,INT(((CROQUIS!$C$97)-CROQUIS!$C$107)/MAX((CROQUIS!$C$137*MAX(1,CEILING((INT(((CROQUIS!$C$97)-CROQUIS!$C$107)/MAX(CROQUIS!$C$137,1))+1)/80,1))),1))+1))-1,0))*(CROQUIS!$C$137*MAX(1,CEILING((INT(((CROQUIS!$C$97)-CROQUIS!$C$107)/MAX(CROQUIS!$C$137,1))+1)/80,1))))))*CROQUIS!$C$159)+IF(CROQUIS!$C$92="X",0,0)),-1000)</f>
        <v>-1000</v>
      </c>
      <c r="BR18">
        <f>IF(AND(CROQUIS!$C$88=1,CROQUIS!$C$91=0,CROQUIS!$C$133&gt;0,OR(CROQUIS!$C$103=1,CROQUIS!$C$145=1)),((CROQUIS!$C$160+(IF(CROQUIS!$C$92="X",CHOOSE(IF(INT(($A18-1)/5)&gt;MAX((MAX(1,INT(((CROQUIS!$C$98)-CROQUIS!$C$107)/MAX((CROQUIS!$C$133*MAX(1,CEILING((INT(((CROQUIS!$C$98)-CROQUIS!$C$107)/MAX(CROQUIS!$C$133,1))+1)/80,1))),1))+1))-1,0),0,MOD($A18-1,5))+1,0,IF(CROQUIS!$C$103=1,-12,2),CROQUIS!$C$107/2+CROQUIS!$C$143,IF(CROQUIS!$C$103=1,-12,2),0),((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BS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+1,0,IF(CROQUIS!$C$103=1,-12,2),CROQUIS!$C$107/2+CROQUIS!$C$143,IF(CROQUIS!$C$103=1,-12,2),0)))*CROQUIS!$C$159)+IF(CROQUIS!$C$92="X",0.8,0)),-1000)</f>
        <v>-1000</v>
      </c>
      <c r="BT18">
        <f>IF(AND(CROQUIS!$C$88=1,CROQUIS!$C$91=0,CROQUIS!$C$133&gt;0,OR(CROQUIS!$C$104=1,CROQUIS!$C$145=1)),((CROQUIS!$C$160+(IF(CROQUIS!$C$92="X",CHOOSE(IF(INT(($A18-1)/5)&gt;MAX((MAX(1,INT(((CROQUIS!$C$98)-CROQUIS!$C$107)/MAX((CROQUIS!$C$133*MAX(1,CEILING((INT(((CROQUIS!$C$98)-CROQUIS!$C$107)/MAX(CROQUIS!$C$133,1))+1)/80,1))),1))+1))-1,0),0,MOD($A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BU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CROQUIS!$C$97,CROQUIS!$C$97-CROQUIS!$C$107/2-CROQUIS!$C$143,IF(CROQUIS!$C$104=1,CROQUIS!$C$97+12,CROQUIS!$C$97-2),CROQUIS!$C$97-CROQUIS!$C$107/2-CROQUIS!$C$143,CROQUIS!$C$97)))*CROQUIS!$C$159)+IF(CROQUIS!$C$92="X",0.8,0)),-1000)</f>
        <v>-1000</v>
      </c>
      <c r="BV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HOOSE(IF(INT(($A18-1)/5)&gt;MAX((MAX(1,INT(((CROQUIS!$C$97)-CROQUIS!$C$107)/MAX((CROQUIS!$C$141*MAX(1,CEILING((INT(((CROQUIS!$C$97)-CROQUIS!$C$107)/MAX(CROQUIS!$C$141,1))+1)/80,1))),1))+1))-1,0),0,MOD($A18-1,5))+1,0,IF(CROQUIS!$C$105=1,-12,2),CROQUIS!$C$107/2+CROQUIS!$C$144,IF(CROQUIS!$C$105=1,-12,2),0)))*CROQUIS!$C$159)+IF(CROQUIS!$C$92="X",0.8,0)),-1000)</f>
        <v>-1000</v>
      </c>
      <c r="BW18">
        <f>IF(AND(CROQUIS!$C$88=1,CROQUIS!$C$91=0,CROQUIS!$C$141&gt;0,OR(CROQUIS!$C$105=1,CROQUIS!$C$146=1)),((CROQUIS!$C$161+(IF(CROQUIS!$C$92="X",CHOOSE(IF(INT(($A18-1)/5)&gt;MAX((MAX(1,INT(((CROQUIS!$C$97)-CROQUIS!$C$107)/MAX((CROQUIS!$C$141*MAX(1,CEILING((INT(((CROQUIS!$C$97)-CROQUIS!$C$107)/MAX(CROQUIS!$C$141,1))+1)/80,1))),1))+1))-1,0),0,MOD($A18-1,5))+1,0,IF(CROQUIS!$C$105=1,-12,2),CROQUIS!$C$107/2+CROQUIS!$C$144,IF(CROQUIS!$C$105=1,-12,2),0),((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ROQUIS!$C$159)+IF(CROQUIS!$C$92="X",0,0.8)),-1000)</f>
        <v>-1000</v>
      </c>
      <c r="BX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HOOSE(IF(INT(($A18-1)/5)&gt;MAX((MAX(1,INT(((CROQUIS!$C$97)-CROQUIS!$C$107)/MAX((CROQUIS!$C$141*MAX(1,CEILING((INT(((CROQUIS!$C$97)-CROQUIS!$C$107)/MAX(CROQUIS!$C$141,1))+1)/80,1))),1))+1))-1,0),0,MOD($A18-1,5))+1,CROQUIS!$C$98,CROQUIS!$C$98-CROQUIS!$C$107/2-CROQUIS!$C$144,IF(CROQUIS!$C$106=1,CROQUIS!$C$98+12,CROQUIS!$C$98-2),CROQUIS!$C$98-CROQUIS!$C$107/2-CROQUIS!$C$144,CROQUIS!$C$98)))*CROQUIS!$C$159)+IF(CROQUIS!$C$92="X",0.8,0)),-1000)</f>
        <v>-1000</v>
      </c>
      <c r="BY18">
        <f>IF(AND(CROQUIS!$C$88=1,CROQUIS!$C$91=0,CROQUIS!$C$141&gt;0,OR(CROQUIS!$C$106=1,CROQUIS!$C$146=1)),((CROQUIS!$C$161+(IF(CROQUIS!$C$92="X",CHOOSE(IF(INT(($A18-1)/5)&gt;MAX((MAX(1,INT(((CROQUIS!$C$97)-CROQUIS!$C$107)/MAX((CROQUIS!$C$141*MAX(1,CEILING((INT(((CROQUIS!$C$97)-CROQUIS!$C$107)/MAX(CROQUIS!$C$141,1))+1)/80,1))),1))+1))-1,0),0,MOD($A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ROQUIS!$C$159)+IF(CROQUIS!$C$92="X",0,0.8)),-1000)</f>
        <v>-1000</v>
      </c>
      <c r="BZ18">
        <f>IF(AND(CROQUIS!$C$88=1,CROQUIS!$C$91=1,CROQUIS!$C$133&gt;0),((CROQUIS!$C$160+(IF(CROQUIS!$C$92="X",CHOOSE(IF(INT(($A18-1)/5)&gt;MAX((MAX(1,INT(((CROQUIS!$C$98)-CROQUIS!$C$107)/MAX((CROQUIS!$C$133*MAX(1,CEILING((INT(((CROQUIS!$C$98)-CROQUIS!$C$107)/MAX(CROQUIS!$C$133,1))+1)/80,1))),1))+1))-1,0),0,MOD($A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CA18">
        <f>IF(AND(CROQUIS!$C$88=1,CROQUIS!$C$91=1,CROQUIS!$C$133&gt;0),((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J18">
        <f>IF(AND(CROQUIS!$C$87=1,CROQUIS!$C$129&gt;=1),(50+(((1-(CROQUIS!$C$129+1)/2)*(MAX(CROQUIS!$C$121,CROQUIS!$C$128)+CROQUIS!$C$128))+CROQUIS!$C$128/2*COS(2*PI()*(MIN($A18,13)-1)/12))*CROQUIS!$C$177),-1000)</f>
        <v>50.3030681818182</v>
      </c>
      <c r="CK18">
        <f>IF(AND(CROQUIS!$C$87=1,CROQUIS!$C$129&gt;=1),(12+((CROQUIS!$C$109+CROQUIS!$C$128/2)+CROQUIS!$C$128/2*SIN(2*PI()*(MIN($A18,13)-1)/12))*CROQUIS!$C$177),-1000)</f>
        <v>13.9902977836607</v>
      </c>
      <c r="CL18">
        <f>IF(AND(CROQUIS!$C$87=1,CROQUIS!$C$129&gt;=2),(50+(((2-(CROQUIS!$C$129+1)/2)*(MAX(CROQUIS!$C$121,CROQUIS!$C$128)+CROQUIS!$C$128))+CROQUIS!$C$128/2*COS(2*PI()*(MIN($A18,13)-1)/12))*CROQUIS!$C$177),-1000)</f>
        <v>-1000</v>
      </c>
      <c r="CM18">
        <f>IF(AND(CROQUIS!$C$87=1,CROQUIS!$C$129&gt;=2),(12+((CROQUIS!$C$109+CROQUIS!$C$128/2)+CROQUIS!$C$128/2*SIN(2*PI()*(MIN($A18,13)-1)/12))*CROQUIS!$C$177),-1000)</f>
        <v>-1000</v>
      </c>
      <c r="CN18">
        <f>IF(AND(CROQUIS!$C$87=1,CROQUIS!$C$129&gt;=3),(50+(((3-(CROQUIS!$C$129+1)/2)*(MAX(CROQUIS!$C$121,CROQUIS!$C$128)+CROQUIS!$C$128))+CROQUIS!$C$128/2*COS(2*PI()*(MIN($A18,13)-1)/12))*CROQUIS!$C$177),-1000)</f>
        <v>-1000</v>
      </c>
      <c r="CO18">
        <f>IF(AND(CROQUIS!$C$87=1,CROQUIS!$C$129&gt;=3),(12+((CROQUIS!$C$109+CROQUIS!$C$128/2)+CROQUIS!$C$128/2*SIN(2*PI()*(MIN($A18,13)-1)/12))*CROQUIS!$C$177),-1000)</f>
        <v>-1000</v>
      </c>
      <c r="CP18">
        <f>IF(AND(CROQUIS!$C$87=1,CROQUIS!$C$133&gt;=1),(50+(((1-(CROQUIS!$C$133+1)/2)*(MAX(CROQUIS!$C$121,CROQUIS!$C$132)+CROQUIS!$C$132))+CROQUIS!$C$132/2*COS(2*PI()*(MIN($A18,13)-1)/12))*CROQUIS!$C$177),-1000)</f>
        <v>50.3030681818182</v>
      </c>
      <c r="CQ18">
        <f>IF(AND(CROQUIS!$C$87=1,CROQUIS!$C$133&gt;=1),(12+((CROQUIS!$C$108-CROQUIS!$C$120-2*CROQUIS!$C$119-CROQUIS!$C$132/2)+CROQUIS!$C$132/2*SIN(2*PI()*(MIN($A18,13)-1)/12))*CROQUIS!$C$177),-1000)</f>
        <v>31.322934147297</v>
      </c>
      <c r="CR18">
        <f>IF(AND(CROQUIS!$C$87=1,CROQUIS!$C$133&gt;=2),(50+(((2-(CROQUIS!$C$133+1)/2)*(MAX(CROQUIS!$C$121,CROQUIS!$C$132)+CROQUIS!$C$132))+CROQUIS!$C$132/2*COS(2*PI()*(MIN($A18,13)-1)/12))*CROQUIS!$C$177),-1000)</f>
        <v>-1000</v>
      </c>
      <c r="CS18">
        <f>IF(AND(CROQUIS!$C$87=1,CROQUIS!$C$133&gt;=2),(12+((CROQUIS!$C$108-CROQUIS!$C$120-2*CROQUIS!$C$119-CROQUIS!$C$132/2)+CROQUIS!$C$132/2*SIN(2*PI()*(MIN($A18,13)-1)/12))*CROQUIS!$C$177),-1000)</f>
        <v>-1000</v>
      </c>
      <c r="CT18">
        <f>IF(AND(CROQUIS!$C$87=1,CROQUIS!$C$133&gt;=3),(50+(((3-(CROQUIS!$C$133+1)/2)*(MAX(CROQUIS!$C$121,CROQUIS!$C$132)+CROQUIS!$C$132))+CROQUIS!$C$132/2*COS(2*PI()*(MIN($A18,13)-1)/12))*CROQUIS!$C$177),-1000)</f>
        <v>-1000</v>
      </c>
      <c r="CU18">
        <f>IF(AND(CROQUIS!$C$87=1,CROQUIS!$C$133&gt;=3),(12+((CROQUIS!$C$108-CROQUIS!$C$120-2*CROQUIS!$C$119-CROQUIS!$C$132/2)+CROQUIS!$C$132/2*SIN(2*PI()*(MIN($A18,13)-1)/12))*CROQUIS!$C$177),-1000)</f>
        <v>-1000</v>
      </c>
      <c r="DH18">
        <f>IF(AND(CROQUIS!$C$88=1,CROQUIS!$C$137&gt;0),(50+((-(MIN(12,INT(58/MAX(CROQUIS!$C$137,1))+1)-1)*CROQUIS!$C$137/2+(MIN($A18,MIN(12,INT(58/MAX(CROQUIS!$C$137,1))+1))-1)*CROQUIS!$C$137))*CROQUIS!$C$178),-1000)</f>
        <v>-1000</v>
      </c>
      <c r="DI18">
        <f>IF(AND(CROQUIS!$C$88=1,CROQUIS!$C$137&gt;0),(12+((CROQUIS!$C$109+CROQUIS!$C$128+CROQUIS!$C$136/2))*CROQUIS!$C$178),-1000)</f>
        <v>-1000</v>
      </c>
      <c r="DJ18">
        <f>IF(AND(CROQUIS!$C$88=1,CROQUIS!$C$141&gt;0),(50+((-(MIN(12,INT(58/MAX(CROQUIS!$C$141,1))+1)-1)*CROQUIS!$C$141/2+(MIN($A18,MIN(12,INT(58/MAX(CROQUIS!$C$141,1))+1))-1)*CROQUIS!$C$141))*CROQUIS!$C$178),-1000)</f>
        <v>-1000</v>
      </c>
      <c r="DK18">
        <f>IF(AND(CROQUIS!$C$88=1,CROQUIS!$C$141&gt;0),(12+((CROQUIS!$C$108-CROQUIS!$C$110-CROQUIS!$C$132-CROQUIS!$C$140/2))*CROQUIS!$C$178),-1000)</f>
        <v>-1000</v>
      </c>
    </row>
    <row r="19">
      <c r="A19" t="n">
        <v>12</v>
      </c>
      <c r="F19">
        <f>IF(AND(CROQUIS!$C$87=1,CROQUIS!$C$91=1),((CROQUIS!$C$160+(IF(CROQUIS!$C$92="X",IF(CROQUIS!$C$94=1,0,CROQUIS!$C$97)+IF(MOD($A19,2)=1,-CROQUIS!$C$107/2,CROQUIS!$C$107/2),(MIN($A19,41)-1)/40*CROQUIS!$C$98))*CROQUIS!$C$159)+IF(CROQUIS!$C$92="X",0,0)),-1000)</f>
        <v>-1000</v>
      </c>
      <c r="G19">
        <f>IF(AND(CROQUIS!$C$87=1,CROQUIS!$C$91=1),((CROQUIS!$C$161+(IF(CROQUIS!$C$92="X",(MIN($A19,41)-1)/40*CROQUIS!$C$98,IF(CROQUIS!$C$94=1,0,CROQUIS!$C$97)+IF(MOD($A19,2)=1,-CROQUIS!$C$107/2,CROQUIS!$C$107/2)))*CROQUIS!$C$159)+IF(CROQUIS!$C$92="X",0,0)),-1000)</f>
        <v>-1000</v>
      </c>
      <c r="V19">
        <f>IF(AND(CROQUIS!$C$88=1,CROQUIS!$C$91=1),((CROQUIS!$C$160+(IF(CROQUIS!$C$92="X",IF(CROQUIS!$C$94=1,0,CROQUIS!$C$97)+IF(MOD($A19,2)=1,-CROQUIS!$C$107/2,CROQUIS!$C$107/2),(MIN($A19,41)-1)/40*CROQUIS!$C$98))*CROQUIS!$C$159)+IF(CROQUIS!$C$92="X",0,0)),-1000)</f>
        <v>-1000</v>
      </c>
      <c r="W19">
        <f>IF(AND(CROQUIS!$C$88=1,CROQUIS!$C$91=1),((CROQUIS!$C$161+(IF(CROQUIS!$C$92="X",(MIN($A19,41)-1)/40*CROQUIS!$C$98,IF(CROQUIS!$C$94=1,0,CROQUIS!$C$97)+IF(MOD($A19,2)=1,-CROQUIS!$C$107/2,CROQUIS!$C$107/2)))*CROQUIS!$C$159)+IF(CROQUIS!$C$92="X",0,0)),-1000)</f>
        <v>-1000</v>
      </c>
      <c r="AJ19">
        <f>IF(AND(CROQUIS!$C$87=1,CROQUIS!$C$162&gt;0,CROQUIS!$C$164&gt;0),(CROQUIS!$C$160+((CROQUIS!$C$163+INT(MIN(INT(($A19-1)/2),MAX((2*CROQUIS!$C$162)-1,0))/2)*CROQUIS!$C$116+MOD(MIN(INT(($A19-1)/2),MAX((2*CROQUIS!$C$162)-1,0)),2)*CROQUIS!$C$114))*CROQUIS!$C$159),-1000)</f>
        <v>57.2977858111161</v>
      </c>
      <c r="AK19">
        <f>IF(AND(CROQUIS!$C$87=1,CROQUIS!$C$162&gt;0,CROQUIS!$C$164&gt;0),(CROQUIS!$C$161+(IF(MOD(MIN(INT(($A19-1)/2),MAX((2*CROQUIS!$C$162)-1,0)),2)=0,IF(IF(INT(($A19-1)/2)&gt;MAX((2*CROQUIS!$C$162)-1,0),1,MOD($A19-1,2))=0,CROQUIS!$C$165,(CROQUIS!$C$165+(CROQUIS!$C$164-1)*CROQUIS!$C$116+CROQUIS!$C$115)),IF(IF(INT(($A19-1)/2)&gt;MAX((2*CROQUIS!$C$162)-1,0),1,MOD($A19-1,2))=0,(CROQUIS!$C$165+(CROQUIS!$C$164-1)*CROQUIS!$C$116+CROQUIS!$C$115),CROQUIS!$C$165)))*CROQUIS!$C$159),-1000)</f>
        <v>20.8088567555355</v>
      </c>
      <c r="AL19">
        <f>IF(AND(CROQUIS!$C$87=1,CROQUIS!$C$164&gt;0,CROQUIS!$C$162&gt;0),(CROQUIS!$C$160+(IF(MOD(MIN(INT(($A19-1)/2),MAX((2*CROQUIS!$C$164)-1,0)),2)=0,IF(IF(INT(($A19-1)/2)&gt;MAX((2*CROQUIS!$C$164)-1,0),1,MOD($A19-1,2))=0,CROQUIS!$C$163,(CROQUIS!$C$163+(CROQUIS!$C$162-1)*CROQUIS!$C$116+CROQUIS!$C$114)),IF(IF(INT(($A19-1)/2)&gt;MAX((2*CROQUIS!$C$164)-1,0),1,MOD($A19-1,2))=0,(CROQUIS!$C$163+(CROQUIS!$C$162-1)*CROQUIS!$C$116+CROQUIS!$C$114),CROQUIS!$C$163)))*CROQUIS!$C$159),-1000)</f>
        <v>22.9552643470402</v>
      </c>
      <c r="AM19">
        <f>IF(AND(CROQUIS!$C$87=1,CROQUIS!$C$164&gt;0,CROQUIS!$C$162&gt;0),(CROQUIS!$C$161+((CROQUIS!$C$165+INT(MIN(INT(($A19-1)/2),MAX((2*CROQUIS!$C$164)-1,0))/2)*CROQUIS!$C$116+MOD(MIN(INT(($A19-1)/2),MAX((2*CROQUIS!$C$164)-1,0)),2)*CROQUIS!$C$115))*CROQUIS!$C$159),-1000)</f>
        <v>55.1513782196114</v>
      </c>
      <c r="AN19">
        <f>IF(AND(CROQUIS!$C$87=1,CROQUIS!$C$162&gt;=2),(CROQUIS!$C$160+((CROQUIS!$C$163+CROQUIS!$C$114+(CROQUIS!$C$116-CROQUIS!$C$114)/2+MIN(INT(($A19-1)/2),MAX((CROQUIS!$C$162-1)-1,0))*CROQUIS!$C$116))*CROQUIS!$C$159),-1000)</f>
        <v>70.1762313601446</v>
      </c>
      <c r="AO19">
        <f>IF(AND(CROQUIS!$C$87=1,CROQUIS!$C$162&gt;=2),(CROQUIS!$C$161+(IF(MOD(MIN(INT(($A19-1)/2),MAX((CROQUIS!$C$162-1)-1,0)),2)=0,IF(IF(INT(($A19-1)/2)&gt;MAX((CROQUIS!$C$162-1)-1,0),1,MOD($A19-1,2))=0,CROQUIS!$C$107/2,(CROQUIS!$C$96-CROQUIS!$C$107/2)),IF(IF(INT(($A19-1)/2)&gt;MAX((CROQUIS!$C$162-1)-1,0),1,MOD($A19-1,2))=0,(CROQUIS!$C$96-CROQUIS!$C$107/2),CROQUIS!$C$107/2)))*CROQUIS!$C$159),-1000)</f>
        <v>16.9453230908269</v>
      </c>
      <c r="AP19">
        <f>IF(AND(CROQUIS!$C$87=1,CROQUIS!$C$164&gt;=2),(CROQUIS!$C$160+(IF(MOD(MIN(INT(($A19-1)/2),MAX((CROQUIS!$C$164-1)-1,0)),2)=0,IF(IF(INT(($A19-1)/2)&gt;MAX((CROQUIS!$C$164-1)-1,0),1,MOD($A19-1,2))=0,CROQUIS!$C$107/2,(CROQUIS!$C$95-CROQUIS!$C$107/2)),IF(IF(INT(($A19-1)/2)&gt;MAX((CROQUIS!$C$164-1)-1,0),1,MOD($A19-1,2))=0,(CROQUIS!$C$95-CROQUIS!$C$107/2),CROQUIS!$C$107/2)))*CROQUIS!$C$159),-1000)</f>
        <v>13.2878445549028</v>
      </c>
      <c r="AQ19">
        <f>IF(AND(CROQUIS!$C$87=1,CROQUIS!$C$164&gt;=2),(CROQUIS!$C$161+((CROQUIS!$C$165+CROQUIS!$C$115+(CROQUIS!$C$116-CROQUIS!$C$115)/2+MIN(INT(($A19-1)/2),MAX((CROQUIS!$C$164-1)-1,0))*CROQUIS!$C$116))*CROQUIS!$C$159),-1000)</f>
        <v>68.0298237686399</v>
      </c>
      <c r="BN19">
        <f>IF(AND(CROQUIS!$C$88=1,CROQUIS!$C$129&gt;0),((CROQUIS!$C$160+(IF(CROQUIS!$C$92="X",CHOOSE(IF(INT(($A19-1)/5)&gt;MAX((MAX(1,INT(((CROQUIS!$C$98)-CROQUIS!$C$107)/MAX((CROQUIS!$C$129*MAX(1,CEILING((INT(((CROQUIS!$C$98)-CROQUIS!$C$107)/MAX(CROQUIS!$C$129,1))+1)/80,1))),1))+1))-1,0),0,MOD($A19-1,5))+1,0,2,CROQUIS!$C$97-2,2,0),((CROQUIS!$C$107/2+(((CROQUIS!$C$98)-CROQUIS!$C$107)-(MAX(1,INT(((CROQUIS!$C$98)-CROQUIS!$C$107)/MAX((CROQUIS!$C$129*MAX(1,CEILING((INT(((CROQUIS!$C$98)-CROQUIS!$C$107)/MAX(CROQUIS!$C$129,1))+1)/80,1))),1))+1)-1)*(CROQUIS!$C$129*MAX(1,CEILING((INT(((CROQUIS!$C$98)-CROQUIS!$C$107)/MAX(CROQUIS!$C$129,1))+1)/80,1))))/2)+MIN(INT(($A19-1)/5),MAX((MAX(1,INT(((CROQUIS!$C$98)-CROQUIS!$C$107)/MAX((CROQUIS!$C$129*MAX(1,CEILING((INT(((CROQUIS!$C$98)-CROQUIS!$C$107)/MAX(CROQUIS!$C$129,1))+1)/80,1))),1))+1))-1,0))*(CROQUIS!$C$129*MAX(1,CEILING((INT(((CROQUIS!$C$98)-CROQUIS!$C$107)/MAX(CROQUIS!$C$129,1))+1)/80,1))))))*CROQUIS!$C$159)+IF(CROQUIS!$C$92="X",0,0)),-1000)</f>
        <v>-1000</v>
      </c>
      <c r="BO19">
        <f>IF(AND(CROQUIS!$C$88=1,CROQUIS!$C$129&gt;0),((CROQUIS!$C$161+(IF(CROQUIS!$C$92="X",((CROQUIS!$C$107/2+(((CROQUIS!$C$98)-CROQUIS!$C$107)-(MAX(1,INT(((CROQUIS!$C$98)-CROQUIS!$C$107)/MAX((CROQUIS!$C$129*MAX(1,CEILING((INT(((CROQUIS!$C$98)-CROQUIS!$C$107)/MAX(CROQUIS!$C$129,1))+1)/80,1))),1))+1)-1)*(CROQUIS!$C$129*MAX(1,CEILING((INT(((CROQUIS!$C$98)-CROQUIS!$C$107)/MAX(CROQUIS!$C$129,1))+1)/80,1))))/2)+MIN(INT(($A19-1)/5),MAX((MAX(1,INT(((CROQUIS!$C$98)-CROQUIS!$C$107)/MAX((CROQUIS!$C$129*MAX(1,CEILING((INT(((CROQUIS!$C$98)-CROQUIS!$C$107)/MAX(CROQUIS!$C$129,1))+1)/80,1))),1))+1))-1,0))*(CROQUIS!$C$129*MAX(1,CEILING((INT(((CROQUIS!$C$98)-CROQUIS!$C$107)/MAX(CROQUIS!$C$129,1))+1)/80,1)))),CHOOSE(IF(INT(($A19-1)/5)&gt;MAX((MAX(1,INT(((CROQUIS!$C$98)-CROQUIS!$C$107)/MAX((CROQUIS!$C$129*MAX(1,CEILING((INT(((CROQUIS!$C$98)-CROQUIS!$C$107)/MAX(CROQUIS!$C$129,1))+1)/80,1))),1))+1))-1,0),0,MOD($A19-1,5))+1,0,2,CROQUIS!$C$97-2,2,0)))*CROQUIS!$C$159)+IF(CROQUIS!$C$92="X",0,0)),-1000)</f>
        <v>-1000</v>
      </c>
      <c r="BP19">
        <f>IF(AND(CROQUIS!$C$88=1,CROQUIS!$C$137&gt;0),((CROQUIS!$C$160+(IF(CROQUIS!$C$92="X",((CROQUIS!$C$107/2+(((CROQUIS!$C$97)-CROQUIS!$C$107)-(MAX(1,INT(((CROQUIS!$C$97)-CROQUIS!$C$107)/MAX((CROQUIS!$C$137*MAX(1,CEILING((INT(((CROQUIS!$C$97)-CROQUIS!$C$107)/MAX(CROQUIS!$C$137,1))+1)/80,1))),1))+1)-1)*(CROQUIS!$C$137*MAX(1,CEILING((INT(((CROQUIS!$C$97)-CROQUIS!$C$107)/MAX(CROQUIS!$C$137,1))+1)/80,1))))/2)+MIN(INT(($A19-1)/5),MAX((MAX(1,INT(((CROQUIS!$C$97)-CROQUIS!$C$107)/MAX((CROQUIS!$C$137*MAX(1,CEILING((INT(((CROQUIS!$C$97)-CROQUIS!$C$107)/MAX(CROQUIS!$C$137,1))+1)/80,1))),1))+1))-1,0))*(CROQUIS!$C$137*MAX(1,CEILING((INT(((CROQUIS!$C$97)-CROQUIS!$C$107)/MAX(CROQUIS!$C$137,1))+1)/80,1)))),CHOOSE(IF(INT(($A19-1)/5)&gt;MAX((MAX(1,INT(((CROQUIS!$C$97)-CROQUIS!$C$107)/MAX((CROQUIS!$C$137*MAX(1,CEILING((INT(((CROQUIS!$C$97)-CROQUIS!$C$107)/MAX(CROQUIS!$C$137,1))+1)/80,1))),1))+1))-1,0),0,MOD($A19-1,5))+1,0,2,CROQUIS!$C$98-2,2,0)))*CROQUIS!$C$159)+IF(CROQUIS!$C$92="X",0,0)),-1000)</f>
        <v>-1000</v>
      </c>
      <c r="BQ19">
        <f>IF(AND(CROQUIS!$C$88=1,CROQUIS!$C$137&gt;0),((CROQUIS!$C$161+(IF(CROQUIS!$C$92="X",CHOOSE(IF(INT(($A19-1)/5)&gt;MAX((MAX(1,INT(((CROQUIS!$C$97)-CROQUIS!$C$107)/MAX((CROQUIS!$C$137*MAX(1,CEILING((INT(((CROQUIS!$C$97)-CROQUIS!$C$107)/MAX(CROQUIS!$C$137,1))+1)/80,1))),1))+1))-1,0),0,MOD($A19-1,5))+1,0,2,CROQUIS!$C$98-2,2,0),((CROQUIS!$C$107/2+(((CROQUIS!$C$97)-CROQUIS!$C$107)-(MAX(1,INT(((CROQUIS!$C$97)-CROQUIS!$C$107)/MAX((CROQUIS!$C$137*MAX(1,CEILING((INT(((CROQUIS!$C$97)-CROQUIS!$C$107)/MAX(CROQUIS!$C$137,1))+1)/80,1))),1))+1)-1)*(CROQUIS!$C$137*MAX(1,CEILING((INT(((CROQUIS!$C$97)-CROQUIS!$C$107)/MAX(CROQUIS!$C$137,1))+1)/80,1))))/2)+MIN(INT(($A19-1)/5),MAX((MAX(1,INT(((CROQUIS!$C$97)-CROQUIS!$C$107)/MAX((CROQUIS!$C$137*MAX(1,CEILING((INT(((CROQUIS!$C$97)-CROQUIS!$C$107)/MAX(CROQUIS!$C$137,1))+1)/80,1))),1))+1))-1,0))*(CROQUIS!$C$137*MAX(1,CEILING((INT(((CROQUIS!$C$97)-CROQUIS!$C$107)/MAX(CROQUIS!$C$137,1))+1)/80,1))))))*CROQUIS!$C$159)+IF(CROQUIS!$C$92="X",0,0)),-1000)</f>
        <v>-1000</v>
      </c>
      <c r="BR19">
        <f>IF(AND(CROQUIS!$C$88=1,CROQUIS!$C$91=0,CROQUIS!$C$133&gt;0,OR(CROQUIS!$C$103=1,CROQUIS!$C$145=1)),((CROQUIS!$C$160+(IF(CROQUIS!$C$92="X",CHOOSE(IF(INT(($A19-1)/5)&gt;MAX((MAX(1,INT(((CROQUIS!$C$98)-CROQUIS!$C$107)/MAX((CROQUIS!$C$133*MAX(1,CEILING((INT(((CROQUIS!$C$98)-CROQUIS!$C$107)/MAX(CROQUIS!$C$133,1))+1)/80,1))),1))+1))-1,0),0,MOD($A19-1,5))+1,0,IF(CROQUIS!$C$103=1,-12,2),CROQUIS!$C$107/2+CROQUIS!$C$143,IF(CROQUIS!$C$103=1,-12,2),0),((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BS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+1,0,IF(CROQUIS!$C$103=1,-12,2),CROQUIS!$C$107/2+CROQUIS!$C$143,IF(CROQUIS!$C$103=1,-12,2),0)))*CROQUIS!$C$159)+IF(CROQUIS!$C$92="X",0.8,0)),-1000)</f>
        <v>-1000</v>
      </c>
      <c r="BT19">
        <f>IF(AND(CROQUIS!$C$88=1,CROQUIS!$C$91=0,CROQUIS!$C$133&gt;0,OR(CROQUIS!$C$104=1,CROQUIS!$C$145=1)),((CROQUIS!$C$160+(IF(CROQUIS!$C$92="X",CHOOSE(IF(INT(($A19-1)/5)&gt;MAX((MAX(1,INT(((CROQUIS!$C$98)-CROQUIS!$C$107)/MAX((CROQUIS!$C$133*MAX(1,CEILING((INT(((CROQUIS!$C$98)-CROQUIS!$C$107)/MAX(CROQUIS!$C$133,1))+1)/80,1))),1))+1))-1,0),0,MOD($A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BU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CROQUIS!$C$97,CROQUIS!$C$97-CROQUIS!$C$107/2-CROQUIS!$C$143,IF(CROQUIS!$C$104=1,CROQUIS!$C$97+12,CROQUIS!$C$97-2),CROQUIS!$C$97-CROQUIS!$C$107/2-CROQUIS!$C$143,CROQUIS!$C$97)))*CROQUIS!$C$159)+IF(CROQUIS!$C$92="X",0.8,0)),-1000)</f>
        <v>-1000</v>
      </c>
      <c r="BV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HOOSE(IF(INT(($A19-1)/5)&gt;MAX((MAX(1,INT(((CROQUIS!$C$97)-CROQUIS!$C$107)/MAX((CROQUIS!$C$141*MAX(1,CEILING((INT(((CROQUIS!$C$97)-CROQUIS!$C$107)/MAX(CROQUIS!$C$141,1))+1)/80,1))),1))+1))-1,0),0,MOD($A19-1,5))+1,0,IF(CROQUIS!$C$105=1,-12,2),CROQUIS!$C$107/2+CROQUIS!$C$144,IF(CROQUIS!$C$105=1,-12,2),0)))*CROQUIS!$C$159)+IF(CROQUIS!$C$92="X",0.8,0)),-1000)</f>
        <v>-1000</v>
      </c>
      <c r="BW19">
        <f>IF(AND(CROQUIS!$C$88=1,CROQUIS!$C$91=0,CROQUIS!$C$141&gt;0,OR(CROQUIS!$C$105=1,CROQUIS!$C$146=1)),((CROQUIS!$C$161+(IF(CROQUIS!$C$92="X",CHOOSE(IF(INT(($A19-1)/5)&gt;MAX((MAX(1,INT(((CROQUIS!$C$97)-CROQUIS!$C$107)/MAX((CROQUIS!$C$141*MAX(1,CEILING((INT(((CROQUIS!$C$97)-CROQUIS!$C$107)/MAX(CROQUIS!$C$141,1))+1)/80,1))),1))+1))-1,0),0,MOD($A19-1,5))+1,0,IF(CROQUIS!$C$105=1,-12,2),CROQUIS!$C$107/2+CROQUIS!$C$144,IF(CROQUIS!$C$105=1,-12,2),0),((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ROQUIS!$C$159)+IF(CROQUIS!$C$92="X",0,0.8)),-1000)</f>
        <v>-1000</v>
      </c>
      <c r="BX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HOOSE(IF(INT(($A19-1)/5)&gt;MAX((MAX(1,INT(((CROQUIS!$C$97)-CROQUIS!$C$107)/MAX((CROQUIS!$C$141*MAX(1,CEILING((INT(((CROQUIS!$C$97)-CROQUIS!$C$107)/MAX(CROQUIS!$C$141,1))+1)/80,1))),1))+1))-1,0),0,MOD($A19-1,5))+1,CROQUIS!$C$98,CROQUIS!$C$98-CROQUIS!$C$107/2-CROQUIS!$C$144,IF(CROQUIS!$C$106=1,CROQUIS!$C$98+12,CROQUIS!$C$98-2),CROQUIS!$C$98-CROQUIS!$C$107/2-CROQUIS!$C$144,CROQUIS!$C$98)))*CROQUIS!$C$159)+IF(CROQUIS!$C$92="X",0.8,0)),-1000)</f>
        <v>-1000</v>
      </c>
      <c r="BY19">
        <f>IF(AND(CROQUIS!$C$88=1,CROQUIS!$C$91=0,CROQUIS!$C$141&gt;0,OR(CROQUIS!$C$106=1,CROQUIS!$C$146=1)),((CROQUIS!$C$161+(IF(CROQUIS!$C$92="X",CHOOSE(IF(INT(($A19-1)/5)&gt;MAX((MAX(1,INT(((CROQUIS!$C$97)-CROQUIS!$C$107)/MAX((CROQUIS!$C$141*MAX(1,CEILING((INT(((CROQUIS!$C$97)-CROQUIS!$C$107)/MAX(CROQUIS!$C$141,1))+1)/80,1))),1))+1))-1,0),0,MOD($A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ROQUIS!$C$159)+IF(CROQUIS!$C$92="X",0,0.8)),-1000)</f>
        <v>-1000</v>
      </c>
      <c r="BZ19">
        <f>IF(AND(CROQUIS!$C$88=1,CROQUIS!$C$91=1,CROQUIS!$C$133&gt;0),((CROQUIS!$C$160+(IF(CROQUIS!$C$92="X",CHOOSE(IF(INT(($A19-1)/5)&gt;MAX((MAX(1,INT(((CROQUIS!$C$98)-CROQUIS!$C$107)/MAX((CROQUIS!$C$133*MAX(1,CEILING((INT(((CROQUIS!$C$98)-CROQUIS!$C$107)/MAX(CROQUIS!$C$133,1))+1)/80,1))),1))+1))-1,0),0,MOD($A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CA19">
        <f>IF(AND(CROQUIS!$C$88=1,CROQUIS!$C$91=1,CROQUIS!$C$133&gt;0),((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J19">
        <f>IF(AND(CROQUIS!$C$87=1,CROQUIS!$C$129&gt;=1),(50+(((1-(CROQUIS!$C$129+1)/2)*(MAX(CROQUIS!$C$121,CROQUIS!$C$128)+CROQUIS!$C$128))+CROQUIS!$C$128/2*COS(2*PI()*(MIN($A19,13)-1)/12))*CROQUIS!$C$177),-1000)</f>
        <v>50.5249294890666</v>
      </c>
      <c r="CK19">
        <f>IF(AND(CROQUIS!$C$87=1,CROQUIS!$C$129&gt;=1),(12+((CROQUIS!$C$109+CROQUIS!$C$128/2)+CROQUIS!$C$128/2*SIN(2*PI()*(MIN($A19,13)-1)/12))*CROQUIS!$C$177),-1000)</f>
        <v>14.2121590909091</v>
      </c>
      <c r="CL19">
        <f>IF(AND(CROQUIS!$C$87=1,CROQUIS!$C$129&gt;=2),(50+(((2-(CROQUIS!$C$129+1)/2)*(MAX(CROQUIS!$C$121,CROQUIS!$C$128)+CROQUIS!$C$128))+CROQUIS!$C$128/2*COS(2*PI()*(MIN($A19,13)-1)/12))*CROQUIS!$C$177),-1000)</f>
        <v>-1000</v>
      </c>
      <c r="CM19">
        <f>IF(AND(CROQUIS!$C$87=1,CROQUIS!$C$129&gt;=2),(12+((CROQUIS!$C$109+CROQUIS!$C$128/2)+CROQUIS!$C$128/2*SIN(2*PI()*(MIN($A19,13)-1)/12))*CROQUIS!$C$177),-1000)</f>
        <v>-1000</v>
      </c>
      <c r="CN19">
        <f>IF(AND(CROQUIS!$C$87=1,CROQUIS!$C$129&gt;=3),(50+(((3-(CROQUIS!$C$129+1)/2)*(MAX(CROQUIS!$C$121,CROQUIS!$C$128)+CROQUIS!$C$128))+CROQUIS!$C$128/2*COS(2*PI()*(MIN($A19,13)-1)/12))*CROQUIS!$C$177),-1000)</f>
        <v>-1000</v>
      </c>
      <c r="CO19">
        <f>IF(AND(CROQUIS!$C$87=1,CROQUIS!$C$129&gt;=3),(12+((CROQUIS!$C$109+CROQUIS!$C$128/2)+CROQUIS!$C$128/2*SIN(2*PI()*(MIN($A19,13)-1)/12))*CROQUIS!$C$177),-1000)</f>
        <v>-1000</v>
      </c>
      <c r="CP19">
        <f>IF(AND(CROQUIS!$C$87=1,CROQUIS!$C$133&gt;=1),(50+(((1-(CROQUIS!$C$133+1)/2)*(MAX(CROQUIS!$C$121,CROQUIS!$C$132)+CROQUIS!$C$132))+CROQUIS!$C$132/2*COS(2*PI()*(MIN($A19,13)-1)/12))*CROQUIS!$C$177),-1000)</f>
        <v>50.5249294890666</v>
      </c>
      <c r="CQ19">
        <f>IF(AND(CROQUIS!$C$87=1,CROQUIS!$C$133&gt;=1),(12+((CROQUIS!$C$108-CROQUIS!$C$120-2*CROQUIS!$C$119-CROQUIS!$C$132/2)+CROQUIS!$C$132/2*SIN(2*PI()*(MIN($A19,13)-1)/12))*CROQUIS!$C$177),-1000)</f>
        <v>31.5447954545455</v>
      </c>
      <c r="CR19">
        <f>IF(AND(CROQUIS!$C$87=1,CROQUIS!$C$133&gt;=2),(50+(((2-(CROQUIS!$C$133+1)/2)*(MAX(CROQUIS!$C$121,CROQUIS!$C$132)+CROQUIS!$C$132))+CROQUIS!$C$132/2*COS(2*PI()*(MIN($A19,13)-1)/12))*CROQUIS!$C$177),-1000)</f>
        <v>-1000</v>
      </c>
      <c r="CS19">
        <f>IF(AND(CROQUIS!$C$87=1,CROQUIS!$C$133&gt;=2),(12+((CROQUIS!$C$108-CROQUIS!$C$120-2*CROQUIS!$C$119-CROQUIS!$C$132/2)+CROQUIS!$C$132/2*SIN(2*PI()*(MIN($A19,13)-1)/12))*CROQUIS!$C$177),-1000)</f>
        <v>-1000</v>
      </c>
      <c r="CT19">
        <f>IF(AND(CROQUIS!$C$87=1,CROQUIS!$C$133&gt;=3),(50+(((3-(CROQUIS!$C$133+1)/2)*(MAX(CROQUIS!$C$121,CROQUIS!$C$132)+CROQUIS!$C$132))+CROQUIS!$C$132/2*COS(2*PI()*(MIN($A19,13)-1)/12))*CROQUIS!$C$177),-1000)</f>
        <v>-1000</v>
      </c>
      <c r="CU19">
        <f>IF(AND(CROQUIS!$C$87=1,CROQUIS!$C$133&gt;=3),(12+((CROQUIS!$C$108-CROQUIS!$C$120-2*CROQUIS!$C$119-CROQUIS!$C$132/2)+CROQUIS!$C$132/2*SIN(2*PI()*(MIN($A19,13)-1)/12))*CROQUIS!$C$177),-1000)</f>
        <v>-1000</v>
      </c>
      <c r="DH19">
        <f>IF(AND(CROQUIS!$C$88=1,CROQUIS!$C$137&gt;0),(50+((-(MIN(12,INT(58/MAX(CROQUIS!$C$137,1))+1)-1)*CROQUIS!$C$137/2+(MIN($A19,MIN(12,INT(58/MAX(CROQUIS!$C$137,1))+1))-1)*CROQUIS!$C$137))*CROQUIS!$C$178),-1000)</f>
        <v>-1000</v>
      </c>
      <c r="DI19">
        <f>IF(AND(CROQUIS!$C$88=1,CROQUIS!$C$137&gt;0),(12+((CROQUIS!$C$109+CROQUIS!$C$128+CROQUIS!$C$136/2))*CROQUIS!$C$178),-1000)</f>
        <v>-1000</v>
      </c>
      <c r="DJ19">
        <f>IF(AND(CROQUIS!$C$88=1,CROQUIS!$C$141&gt;0),(50+((-(MIN(12,INT(58/MAX(CROQUIS!$C$141,1))+1)-1)*CROQUIS!$C$141/2+(MIN($A19,MIN(12,INT(58/MAX(CROQUIS!$C$141,1))+1))-1)*CROQUIS!$C$141))*CROQUIS!$C$178),-1000)</f>
        <v>-1000</v>
      </c>
      <c r="DK19">
        <f>IF(AND(CROQUIS!$C$88=1,CROQUIS!$C$141&gt;0),(12+((CROQUIS!$C$108-CROQUIS!$C$110-CROQUIS!$C$132-CROQUIS!$C$140/2))*CROQUIS!$C$178),-1000)</f>
        <v>-1000</v>
      </c>
    </row>
    <row r="20">
      <c r="A20" t="n">
        <v>13</v>
      </c>
      <c r="F20">
        <f>IF(AND(CROQUIS!$C$87=1,CROQUIS!$C$91=1),((CROQUIS!$C$160+(IF(CROQUIS!$C$92="X",IF(CROQUIS!$C$94=1,0,CROQUIS!$C$97)+IF(MOD($A20,2)=1,-CROQUIS!$C$107/2,CROQUIS!$C$107/2),(MIN($A20,41)-1)/40*CROQUIS!$C$98))*CROQUIS!$C$159)+IF(CROQUIS!$C$92="X",0,0)),-1000)</f>
        <v>-1000</v>
      </c>
      <c r="G20">
        <f>IF(AND(CROQUIS!$C$87=1,CROQUIS!$C$91=1),((CROQUIS!$C$161+(IF(CROQUIS!$C$92="X",(MIN($A20,41)-1)/40*CROQUIS!$C$98,IF(CROQUIS!$C$94=1,0,CROQUIS!$C$97)+IF(MOD($A20,2)=1,-CROQUIS!$C$107/2,CROQUIS!$C$107/2)))*CROQUIS!$C$159)+IF(CROQUIS!$C$92="X",0,0)),-1000)</f>
        <v>-1000</v>
      </c>
      <c r="V20">
        <f>IF(AND(CROQUIS!$C$88=1,CROQUIS!$C$91=1),((CROQUIS!$C$160+(IF(CROQUIS!$C$92="X",IF(CROQUIS!$C$94=1,0,CROQUIS!$C$97)+IF(MOD($A20,2)=1,-CROQUIS!$C$107/2,CROQUIS!$C$107/2),(MIN($A20,41)-1)/40*CROQUIS!$C$98))*CROQUIS!$C$159)+IF(CROQUIS!$C$92="X",0,0)),-1000)</f>
        <v>-1000</v>
      </c>
      <c r="W20">
        <f>IF(AND(CROQUIS!$C$88=1,CROQUIS!$C$91=1),((CROQUIS!$C$161+(IF(CROQUIS!$C$92="X",(MIN($A20,41)-1)/40*CROQUIS!$C$98,IF(CROQUIS!$C$94=1,0,CROQUIS!$C$97)+IF(MOD($A20,2)=1,-CROQUIS!$C$107/2,CROQUIS!$C$107/2)))*CROQUIS!$C$159)+IF(CROQUIS!$C$92="X",0,0)),-1000)</f>
        <v>-1000</v>
      </c>
      <c r="AJ20">
        <f>IF(AND(CROQUIS!$C$87=1,CROQUIS!$C$162&gt;0,CROQUIS!$C$164&gt;0),(CROQUIS!$C$160+((CROQUIS!$C$163+INT(MIN(INT(($A20-1)/2),MAX((2*CROQUIS!$C$162)-1,0))/2)*CROQUIS!$C$116+MOD(MIN(INT(($A20-1)/2),MAX((2*CROQUIS!$C$162)-1,0)),2)*CROQUIS!$C$114))*CROQUIS!$C$159),-1000)</f>
        <v>59.0149118843199</v>
      </c>
      <c r="AK20">
        <f>IF(AND(CROQUIS!$C$87=1,CROQUIS!$C$162&gt;0,CROQUIS!$C$164&gt;0),(CROQUIS!$C$161+(IF(MOD(MIN(INT(($A20-1)/2),MAX((2*CROQUIS!$C$162)-1,0)),2)=0,IF(IF(INT(($A20-1)/2)&gt;MAX((2*CROQUIS!$C$162)-1,0),1,MOD($A20-1,2))=0,CROQUIS!$C$165,(CROQUIS!$C$165+(CROQUIS!$C$164-1)*CROQUIS!$C$116+CROQUIS!$C$115)),IF(IF(INT(($A20-1)/2)&gt;MAX((2*CROQUIS!$C$162)-1,0),1,MOD($A20-1,2))=0,(CROQUIS!$C$165+(CROQUIS!$C$164-1)*CROQUIS!$C$116+CROQUIS!$C$115),CROQUIS!$C$165)))*CROQUIS!$C$159),-1000)</f>
        <v>20.8088567555355</v>
      </c>
      <c r="AL20">
        <f>IF(AND(CROQUIS!$C$87=1,CROQUIS!$C$164&gt;0,CROQUIS!$C$162&gt;0),(CROQUIS!$C$160+(IF(MOD(MIN(INT(($A20-1)/2),MAX((2*CROQUIS!$C$164)-1,0)),2)=0,IF(IF(INT(($A20-1)/2)&gt;MAX((2*CROQUIS!$C$164)-1,0),1,MOD($A20-1,2))=0,CROQUIS!$C$163,(CROQUIS!$C$163+(CROQUIS!$C$162-1)*CROQUIS!$C$116+CROQUIS!$C$114)),IF(IF(INT(($A20-1)/2)&gt;MAX((2*CROQUIS!$C$164)-1,0),1,MOD($A20-1,2))=0,(CROQUIS!$C$163+(CROQUIS!$C$162-1)*CROQUIS!$C$116+CROQUIS!$C$114),CROQUIS!$C$163)))*CROQUIS!$C$159),-1000)</f>
        <v>22.9552643470402</v>
      </c>
      <c r="AM20">
        <f>IF(AND(CROQUIS!$C$87=1,CROQUIS!$C$164&gt;0,CROQUIS!$C$162&gt;0),(CROQUIS!$C$161+((CROQUIS!$C$165+INT(MIN(INT(($A20-1)/2),MAX((2*CROQUIS!$C$164)-1,0))/2)*CROQUIS!$C$116+MOD(MIN(INT(($A20-1)/2),MAX((2*CROQUIS!$C$164)-1,0)),2)*CROQUIS!$C$115))*CROQUIS!$C$159),-1000)</f>
        <v>56.8685042928152</v>
      </c>
      <c r="AN20">
        <f>IF(AND(CROQUIS!$C$87=1,CROQUIS!$C$162&gt;=2),(CROQUIS!$C$160+((CROQUIS!$C$163+CROQUIS!$C$114+(CROQUIS!$C$116-CROQUIS!$C$114)/2+MIN(INT(($A20-1)/2),MAX((CROQUIS!$C$162-1)-1,0))*CROQUIS!$C$116))*CROQUIS!$C$159),-1000)</f>
        <v>70.1762313601446</v>
      </c>
      <c r="AO20">
        <f>IF(AND(CROQUIS!$C$87=1,CROQUIS!$C$162&gt;=2),(CROQUIS!$C$161+(IF(MOD(MIN(INT(($A20-1)/2),MAX((CROQUIS!$C$162-1)-1,0)),2)=0,IF(IF(INT(($A20-1)/2)&gt;MAX((CROQUIS!$C$162-1)-1,0),1,MOD($A20-1,2))=0,CROQUIS!$C$107/2,(CROQUIS!$C$96-CROQUIS!$C$107/2)),IF(IF(INT(($A20-1)/2)&gt;MAX((CROQUIS!$C$162-1)-1,0),1,MOD($A20-1,2))=0,(CROQUIS!$C$96-CROQUIS!$C$107/2),CROQUIS!$C$107/2)))*CROQUIS!$C$159),-1000)</f>
        <v>16.9453230908269</v>
      </c>
      <c r="AP20">
        <f>IF(AND(CROQUIS!$C$87=1,CROQUIS!$C$164&gt;=2),(CROQUIS!$C$160+(IF(MOD(MIN(INT(($A20-1)/2),MAX((CROQUIS!$C$164-1)-1,0)),2)=0,IF(IF(INT(($A20-1)/2)&gt;MAX((CROQUIS!$C$164-1)-1,0),1,MOD($A20-1,2))=0,CROQUIS!$C$107/2,(CROQUIS!$C$95-CROQUIS!$C$107/2)),IF(IF(INT(($A20-1)/2)&gt;MAX((CROQUIS!$C$164-1)-1,0),1,MOD($A20-1,2))=0,(CROQUIS!$C$95-CROQUIS!$C$107/2),CROQUIS!$C$107/2)))*CROQUIS!$C$159),-1000)</f>
        <v>13.2878445549028</v>
      </c>
      <c r="AQ20">
        <f>IF(AND(CROQUIS!$C$87=1,CROQUIS!$C$164&gt;=2),(CROQUIS!$C$161+((CROQUIS!$C$165+CROQUIS!$C$115+(CROQUIS!$C$116-CROQUIS!$C$115)/2+MIN(INT(($A20-1)/2),MAX((CROQUIS!$C$164-1)-1,0))*CROQUIS!$C$116))*CROQUIS!$C$159),-1000)</f>
        <v>68.0298237686399</v>
      </c>
      <c r="BN20">
        <f>IF(AND(CROQUIS!$C$88=1,CROQUIS!$C$129&gt;0),((CROQUIS!$C$160+(IF(CROQUIS!$C$92="X",CHOOSE(IF(INT(($A20-1)/5)&gt;MAX((MAX(1,INT(((CROQUIS!$C$98)-CROQUIS!$C$107)/MAX((CROQUIS!$C$129*MAX(1,CEILING((INT(((CROQUIS!$C$98)-CROQUIS!$C$107)/MAX(CROQUIS!$C$129,1))+1)/80,1))),1))+1))-1,0),0,MOD($A20-1,5))+1,0,2,CROQUIS!$C$97-2,2,0),((CROQUIS!$C$107/2+(((CROQUIS!$C$98)-CROQUIS!$C$107)-(MAX(1,INT(((CROQUIS!$C$98)-CROQUIS!$C$107)/MAX((CROQUIS!$C$129*MAX(1,CEILING((INT(((CROQUIS!$C$98)-CROQUIS!$C$107)/MAX(CROQUIS!$C$129,1))+1)/80,1))),1))+1)-1)*(CROQUIS!$C$129*MAX(1,CEILING((INT(((CROQUIS!$C$98)-CROQUIS!$C$107)/MAX(CROQUIS!$C$129,1))+1)/80,1))))/2)+MIN(INT(($A20-1)/5),MAX((MAX(1,INT(((CROQUIS!$C$98)-CROQUIS!$C$107)/MAX((CROQUIS!$C$129*MAX(1,CEILING((INT(((CROQUIS!$C$98)-CROQUIS!$C$107)/MAX(CROQUIS!$C$129,1))+1)/80,1))),1))+1))-1,0))*(CROQUIS!$C$129*MAX(1,CEILING((INT(((CROQUIS!$C$98)-CROQUIS!$C$107)/MAX(CROQUIS!$C$129,1))+1)/80,1))))))*CROQUIS!$C$159)+IF(CROQUIS!$C$92="X",0,0)),-1000)</f>
        <v>-1000</v>
      </c>
      <c r="BO20">
        <f>IF(AND(CROQUIS!$C$88=1,CROQUIS!$C$129&gt;0),((CROQUIS!$C$161+(IF(CROQUIS!$C$92="X",((CROQUIS!$C$107/2+(((CROQUIS!$C$98)-CROQUIS!$C$107)-(MAX(1,INT(((CROQUIS!$C$98)-CROQUIS!$C$107)/MAX((CROQUIS!$C$129*MAX(1,CEILING((INT(((CROQUIS!$C$98)-CROQUIS!$C$107)/MAX(CROQUIS!$C$129,1))+1)/80,1))),1))+1)-1)*(CROQUIS!$C$129*MAX(1,CEILING((INT(((CROQUIS!$C$98)-CROQUIS!$C$107)/MAX(CROQUIS!$C$129,1))+1)/80,1))))/2)+MIN(INT(($A20-1)/5),MAX((MAX(1,INT(((CROQUIS!$C$98)-CROQUIS!$C$107)/MAX((CROQUIS!$C$129*MAX(1,CEILING((INT(((CROQUIS!$C$98)-CROQUIS!$C$107)/MAX(CROQUIS!$C$129,1))+1)/80,1))),1))+1))-1,0))*(CROQUIS!$C$129*MAX(1,CEILING((INT(((CROQUIS!$C$98)-CROQUIS!$C$107)/MAX(CROQUIS!$C$129,1))+1)/80,1)))),CHOOSE(IF(INT(($A20-1)/5)&gt;MAX((MAX(1,INT(((CROQUIS!$C$98)-CROQUIS!$C$107)/MAX((CROQUIS!$C$129*MAX(1,CEILING((INT(((CROQUIS!$C$98)-CROQUIS!$C$107)/MAX(CROQUIS!$C$129,1))+1)/80,1))),1))+1))-1,0),0,MOD($A20-1,5))+1,0,2,CROQUIS!$C$97-2,2,0)))*CROQUIS!$C$159)+IF(CROQUIS!$C$92="X",0,0)),-1000)</f>
        <v>-1000</v>
      </c>
      <c r="BP20">
        <f>IF(AND(CROQUIS!$C$88=1,CROQUIS!$C$137&gt;0),((CROQUIS!$C$160+(IF(CROQUIS!$C$92="X",((CROQUIS!$C$107/2+(((CROQUIS!$C$97)-CROQUIS!$C$107)-(MAX(1,INT(((CROQUIS!$C$97)-CROQUIS!$C$107)/MAX((CROQUIS!$C$137*MAX(1,CEILING((INT(((CROQUIS!$C$97)-CROQUIS!$C$107)/MAX(CROQUIS!$C$137,1))+1)/80,1))),1))+1)-1)*(CROQUIS!$C$137*MAX(1,CEILING((INT(((CROQUIS!$C$97)-CROQUIS!$C$107)/MAX(CROQUIS!$C$137,1))+1)/80,1))))/2)+MIN(INT(($A20-1)/5),MAX((MAX(1,INT(((CROQUIS!$C$97)-CROQUIS!$C$107)/MAX((CROQUIS!$C$137*MAX(1,CEILING((INT(((CROQUIS!$C$97)-CROQUIS!$C$107)/MAX(CROQUIS!$C$137,1))+1)/80,1))),1))+1))-1,0))*(CROQUIS!$C$137*MAX(1,CEILING((INT(((CROQUIS!$C$97)-CROQUIS!$C$107)/MAX(CROQUIS!$C$137,1))+1)/80,1)))),CHOOSE(IF(INT(($A20-1)/5)&gt;MAX((MAX(1,INT(((CROQUIS!$C$97)-CROQUIS!$C$107)/MAX((CROQUIS!$C$137*MAX(1,CEILING((INT(((CROQUIS!$C$97)-CROQUIS!$C$107)/MAX(CROQUIS!$C$137,1))+1)/80,1))),1))+1))-1,0),0,MOD($A20-1,5))+1,0,2,CROQUIS!$C$98-2,2,0)))*CROQUIS!$C$159)+IF(CROQUIS!$C$92="X",0,0)),-1000)</f>
        <v>-1000</v>
      </c>
      <c r="BQ20">
        <f>IF(AND(CROQUIS!$C$88=1,CROQUIS!$C$137&gt;0),((CROQUIS!$C$161+(IF(CROQUIS!$C$92="X",CHOOSE(IF(INT(($A20-1)/5)&gt;MAX((MAX(1,INT(((CROQUIS!$C$97)-CROQUIS!$C$107)/MAX((CROQUIS!$C$137*MAX(1,CEILING((INT(((CROQUIS!$C$97)-CROQUIS!$C$107)/MAX(CROQUIS!$C$137,1))+1)/80,1))),1))+1))-1,0),0,MOD($A20-1,5))+1,0,2,CROQUIS!$C$98-2,2,0),((CROQUIS!$C$107/2+(((CROQUIS!$C$97)-CROQUIS!$C$107)-(MAX(1,INT(((CROQUIS!$C$97)-CROQUIS!$C$107)/MAX((CROQUIS!$C$137*MAX(1,CEILING((INT(((CROQUIS!$C$97)-CROQUIS!$C$107)/MAX(CROQUIS!$C$137,1))+1)/80,1))),1))+1)-1)*(CROQUIS!$C$137*MAX(1,CEILING((INT(((CROQUIS!$C$97)-CROQUIS!$C$107)/MAX(CROQUIS!$C$137,1))+1)/80,1))))/2)+MIN(INT(($A20-1)/5),MAX((MAX(1,INT(((CROQUIS!$C$97)-CROQUIS!$C$107)/MAX((CROQUIS!$C$137*MAX(1,CEILING((INT(((CROQUIS!$C$97)-CROQUIS!$C$107)/MAX(CROQUIS!$C$137,1))+1)/80,1))),1))+1))-1,0))*(CROQUIS!$C$137*MAX(1,CEILING((INT(((CROQUIS!$C$97)-CROQUIS!$C$107)/MAX(CROQUIS!$C$137,1))+1)/80,1))))))*CROQUIS!$C$159)+IF(CROQUIS!$C$92="X",0,0)),-1000)</f>
        <v>-1000</v>
      </c>
      <c r="BR20">
        <f>IF(AND(CROQUIS!$C$88=1,CROQUIS!$C$91=0,CROQUIS!$C$133&gt;0,OR(CROQUIS!$C$103=1,CROQUIS!$C$145=1)),((CROQUIS!$C$160+(IF(CROQUIS!$C$92="X",CHOOSE(IF(INT(($A20-1)/5)&gt;MAX((MAX(1,INT(((CROQUIS!$C$98)-CROQUIS!$C$107)/MAX((CROQUIS!$C$133*MAX(1,CEILING((INT(((CROQUIS!$C$98)-CROQUIS!$C$107)/MAX(CROQUIS!$C$133,1))+1)/80,1))),1))+1))-1,0),0,MOD($A20-1,5))+1,0,IF(CROQUIS!$C$103=1,-12,2),CROQUIS!$C$107/2+CROQUIS!$C$143,IF(CROQUIS!$C$103=1,-12,2),0),((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BS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+1,0,IF(CROQUIS!$C$103=1,-12,2),CROQUIS!$C$107/2+CROQUIS!$C$143,IF(CROQUIS!$C$103=1,-12,2),0)))*CROQUIS!$C$159)+IF(CROQUIS!$C$92="X",0.8,0)),-1000)</f>
        <v>-1000</v>
      </c>
      <c r="BT20">
        <f>IF(AND(CROQUIS!$C$88=1,CROQUIS!$C$91=0,CROQUIS!$C$133&gt;0,OR(CROQUIS!$C$104=1,CROQUIS!$C$145=1)),((CROQUIS!$C$160+(IF(CROQUIS!$C$92="X",CHOOSE(IF(INT(($A20-1)/5)&gt;MAX((MAX(1,INT(((CROQUIS!$C$98)-CROQUIS!$C$107)/MAX((CROQUIS!$C$133*MAX(1,CEILING((INT(((CROQUIS!$C$98)-CROQUIS!$C$107)/MAX(CROQUIS!$C$133,1))+1)/80,1))),1))+1))-1,0),0,MOD($A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BU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CROQUIS!$C$97,CROQUIS!$C$97-CROQUIS!$C$107/2-CROQUIS!$C$143,IF(CROQUIS!$C$104=1,CROQUIS!$C$97+12,CROQUIS!$C$97-2),CROQUIS!$C$97-CROQUIS!$C$107/2-CROQUIS!$C$143,CROQUIS!$C$97)))*CROQUIS!$C$159)+IF(CROQUIS!$C$92="X",0.8,0)),-1000)</f>
        <v>-1000</v>
      </c>
      <c r="BV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HOOSE(IF(INT(($A20-1)/5)&gt;MAX((MAX(1,INT(((CROQUIS!$C$97)-CROQUIS!$C$107)/MAX((CROQUIS!$C$141*MAX(1,CEILING((INT(((CROQUIS!$C$97)-CROQUIS!$C$107)/MAX(CROQUIS!$C$141,1))+1)/80,1))),1))+1))-1,0),0,MOD($A20-1,5))+1,0,IF(CROQUIS!$C$105=1,-12,2),CROQUIS!$C$107/2+CROQUIS!$C$144,IF(CROQUIS!$C$105=1,-12,2),0)))*CROQUIS!$C$159)+IF(CROQUIS!$C$92="X",0.8,0)),-1000)</f>
        <v>-1000</v>
      </c>
      <c r="BW20">
        <f>IF(AND(CROQUIS!$C$88=1,CROQUIS!$C$91=0,CROQUIS!$C$141&gt;0,OR(CROQUIS!$C$105=1,CROQUIS!$C$146=1)),((CROQUIS!$C$161+(IF(CROQUIS!$C$92="X",CHOOSE(IF(INT(($A20-1)/5)&gt;MAX((MAX(1,INT(((CROQUIS!$C$97)-CROQUIS!$C$107)/MAX((CROQUIS!$C$141*MAX(1,CEILING((INT(((CROQUIS!$C$97)-CROQUIS!$C$107)/MAX(CROQUIS!$C$141,1))+1)/80,1))),1))+1))-1,0),0,MOD($A20-1,5))+1,0,IF(CROQUIS!$C$105=1,-12,2),CROQUIS!$C$107/2+CROQUIS!$C$144,IF(CROQUIS!$C$105=1,-12,2),0),((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ROQUIS!$C$159)+IF(CROQUIS!$C$92="X",0,0.8)),-1000)</f>
        <v>-1000</v>
      </c>
      <c r="BX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HOOSE(IF(INT(($A20-1)/5)&gt;MAX((MAX(1,INT(((CROQUIS!$C$97)-CROQUIS!$C$107)/MAX((CROQUIS!$C$141*MAX(1,CEILING((INT(((CROQUIS!$C$97)-CROQUIS!$C$107)/MAX(CROQUIS!$C$141,1))+1)/80,1))),1))+1))-1,0),0,MOD($A20-1,5))+1,CROQUIS!$C$98,CROQUIS!$C$98-CROQUIS!$C$107/2-CROQUIS!$C$144,IF(CROQUIS!$C$106=1,CROQUIS!$C$98+12,CROQUIS!$C$98-2),CROQUIS!$C$98-CROQUIS!$C$107/2-CROQUIS!$C$144,CROQUIS!$C$98)))*CROQUIS!$C$159)+IF(CROQUIS!$C$92="X",0.8,0)),-1000)</f>
        <v>-1000</v>
      </c>
      <c r="BY20">
        <f>IF(AND(CROQUIS!$C$88=1,CROQUIS!$C$91=0,CROQUIS!$C$141&gt;0,OR(CROQUIS!$C$106=1,CROQUIS!$C$146=1)),((CROQUIS!$C$161+(IF(CROQUIS!$C$92="X",CHOOSE(IF(INT(($A20-1)/5)&gt;MAX((MAX(1,INT(((CROQUIS!$C$97)-CROQUIS!$C$107)/MAX((CROQUIS!$C$141*MAX(1,CEILING((INT(((CROQUIS!$C$97)-CROQUIS!$C$107)/MAX(CROQUIS!$C$141,1))+1)/80,1))),1))+1))-1,0),0,MOD($A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ROQUIS!$C$159)+IF(CROQUIS!$C$92="X",0,0.8)),-1000)</f>
        <v>-1000</v>
      </c>
      <c r="BZ20">
        <f>IF(AND(CROQUIS!$C$88=1,CROQUIS!$C$91=1,CROQUIS!$C$133&gt;0),((CROQUIS!$C$160+(IF(CROQUIS!$C$92="X",CHOOSE(IF(INT(($A20-1)/5)&gt;MAX((MAX(1,INT(((CROQUIS!$C$98)-CROQUIS!$C$107)/MAX((CROQUIS!$C$133*MAX(1,CEILING((INT(((CROQUIS!$C$98)-CROQUIS!$C$107)/MAX(CROQUIS!$C$133,1))+1)/80,1))),1))+1))-1,0),0,MOD($A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CA20">
        <f>IF(AND(CROQUIS!$C$88=1,CROQUIS!$C$91=1,CROQUIS!$C$133&gt;0),((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J20">
        <f>IF(AND(CROQUIS!$C$87=1,CROQUIS!$C$129&gt;=1),(50+(((1-(CROQUIS!$C$129+1)/2)*(MAX(CROQUIS!$C$121,CROQUIS!$C$128)+CROQUIS!$C$128))+CROQUIS!$C$128/2*COS(2*PI()*(MIN($A20,13)-1)/12))*CROQUIS!$C$177),-1000)</f>
        <v>50.6061363636364</v>
      </c>
      <c r="CK20">
        <f>IF(AND(CROQUIS!$C$87=1,CROQUIS!$C$129&gt;=1),(12+((CROQUIS!$C$109+CROQUIS!$C$128/2)+CROQUIS!$C$128/2*SIN(2*PI()*(MIN($A20,13)-1)/12))*CROQUIS!$C$177),-1000)</f>
        <v>14.5152272727273</v>
      </c>
      <c r="CL20">
        <f>IF(AND(CROQUIS!$C$87=1,CROQUIS!$C$129&gt;=2),(50+(((2-(CROQUIS!$C$129+1)/2)*(MAX(CROQUIS!$C$121,CROQUIS!$C$128)+CROQUIS!$C$128))+CROQUIS!$C$128/2*COS(2*PI()*(MIN($A20,13)-1)/12))*CROQUIS!$C$177),-1000)</f>
        <v>-1000</v>
      </c>
      <c r="CM20">
        <f>IF(AND(CROQUIS!$C$87=1,CROQUIS!$C$129&gt;=2),(12+((CROQUIS!$C$109+CROQUIS!$C$128/2)+CROQUIS!$C$128/2*SIN(2*PI()*(MIN($A20,13)-1)/12))*CROQUIS!$C$177),-1000)</f>
        <v>-1000</v>
      </c>
      <c r="CN20">
        <f>IF(AND(CROQUIS!$C$87=1,CROQUIS!$C$129&gt;=3),(50+(((3-(CROQUIS!$C$129+1)/2)*(MAX(CROQUIS!$C$121,CROQUIS!$C$128)+CROQUIS!$C$128))+CROQUIS!$C$128/2*COS(2*PI()*(MIN($A20,13)-1)/12))*CROQUIS!$C$177),-1000)</f>
        <v>-1000</v>
      </c>
      <c r="CO20">
        <f>IF(AND(CROQUIS!$C$87=1,CROQUIS!$C$129&gt;=3),(12+((CROQUIS!$C$109+CROQUIS!$C$128/2)+CROQUIS!$C$128/2*SIN(2*PI()*(MIN($A20,13)-1)/12))*CROQUIS!$C$177),-1000)</f>
        <v>-1000</v>
      </c>
      <c r="CP20">
        <f>IF(AND(CROQUIS!$C$87=1,CROQUIS!$C$133&gt;=1),(50+(((1-(CROQUIS!$C$133+1)/2)*(MAX(CROQUIS!$C$121,CROQUIS!$C$132)+CROQUIS!$C$132))+CROQUIS!$C$132/2*COS(2*PI()*(MIN($A20,13)-1)/12))*CROQUIS!$C$177),-1000)</f>
        <v>50.6061363636364</v>
      </c>
      <c r="CQ20">
        <f>IF(AND(CROQUIS!$C$87=1,CROQUIS!$C$133&gt;=1),(12+((CROQUIS!$C$108-CROQUIS!$C$120-2*CROQUIS!$C$119-CROQUIS!$C$132/2)+CROQUIS!$C$132/2*SIN(2*PI()*(MIN($A20,13)-1)/12))*CROQUIS!$C$177),-1000)</f>
        <v>31.8478636363636</v>
      </c>
      <c r="CR20">
        <f>IF(AND(CROQUIS!$C$87=1,CROQUIS!$C$133&gt;=2),(50+(((2-(CROQUIS!$C$133+1)/2)*(MAX(CROQUIS!$C$121,CROQUIS!$C$132)+CROQUIS!$C$132))+CROQUIS!$C$132/2*COS(2*PI()*(MIN($A20,13)-1)/12))*CROQUIS!$C$177),-1000)</f>
        <v>-1000</v>
      </c>
      <c r="CS20">
        <f>IF(AND(CROQUIS!$C$87=1,CROQUIS!$C$133&gt;=2),(12+((CROQUIS!$C$108-CROQUIS!$C$120-2*CROQUIS!$C$119-CROQUIS!$C$132/2)+CROQUIS!$C$132/2*SIN(2*PI()*(MIN($A20,13)-1)/12))*CROQUIS!$C$177),-1000)</f>
        <v>-1000</v>
      </c>
      <c r="CT20">
        <f>IF(AND(CROQUIS!$C$87=1,CROQUIS!$C$133&gt;=3),(50+(((3-(CROQUIS!$C$133+1)/2)*(MAX(CROQUIS!$C$121,CROQUIS!$C$132)+CROQUIS!$C$132))+CROQUIS!$C$132/2*COS(2*PI()*(MIN($A20,13)-1)/12))*CROQUIS!$C$177),-1000)</f>
        <v>-1000</v>
      </c>
      <c r="CU20">
        <f>IF(AND(CROQUIS!$C$87=1,CROQUIS!$C$133&gt;=3),(12+((CROQUIS!$C$108-CROQUIS!$C$120-2*CROQUIS!$C$119-CROQUIS!$C$132/2)+CROQUIS!$C$132/2*SIN(2*PI()*(MIN($A20,13)-1)/12))*CROQUIS!$C$177),-1000)</f>
        <v>-1000</v>
      </c>
    </row>
    <row r="21">
      <c r="A21" t="n">
        <v>14</v>
      </c>
      <c r="F21">
        <f>IF(AND(CROQUIS!$C$87=1,CROQUIS!$C$91=1),((CROQUIS!$C$160+(IF(CROQUIS!$C$92="X",IF(CROQUIS!$C$94=1,0,CROQUIS!$C$97)+IF(MOD($A21,2)=1,-CROQUIS!$C$107/2,CROQUIS!$C$107/2),(MIN($A21,41)-1)/40*CROQUIS!$C$98))*CROQUIS!$C$159)+IF(CROQUIS!$C$92="X",0,0)),-1000)</f>
        <v>-1000</v>
      </c>
      <c r="G21">
        <f>IF(AND(CROQUIS!$C$87=1,CROQUIS!$C$91=1),((CROQUIS!$C$161+(IF(CROQUIS!$C$92="X",(MIN($A21,41)-1)/40*CROQUIS!$C$98,IF(CROQUIS!$C$94=1,0,CROQUIS!$C$97)+IF(MOD($A21,2)=1,-CROQUIS!$C$107/2,CROQUIS!$C$107/2)))*CROQUIS!$C$159)+IF(CROQUIS!$C$92="X",0,0)),-1000)</f>
        <v>-1000</v>
      </c>
      <c r="V21">
        <f>IF(AND(CROQUIS!$C$88=1,CROQUIS!$C$91=1),((CROQUIS!$C$160+(IF(CROQUIS!$C$92="X",IF(CROQUIS!$C$94=1,0,CROQUIS!$C$97)+IF(MOD($A21,2)=1,-CROQUIS!$C$107/2,CROQUIS!$C$107/2),(MIN($A21,41)-1)/40*CROQUIS!$C$98))*CROQUIS!$C$159)+IF(CROQUIS!$C$92="X",0,0)),-1000)</f>
        <v>-1000</v>
      </c>
      <c r="W21">
        <f>IF(AND(CROQUIS!$C$88=1,CROQUIS!$C$91=1),((CROQUIS!$C$161+(IF(CROQUIS!$C$92="X",(MIN($A21,41)-1)/40*CROQUIS!$C$98,IF(CROQUIS!$C$94=1,0,CROQUIS!$C$97)+IF(MOD($A21,2)=1,-CROQUIS!$C$107/2,CROQUIS!$C$107/2)))*CROQUIS!$C$159)+IF(CROQUIS!$C$92="X",0,0)),-1000)</f>
        <v>-1000</v>
      </c>
      <c r="AJ21">
        <f>IF(AND(CROQUIS!$C$87=1,CROQUIS!$C$162&gt;0,CROQUIS!$C$164&gt;0),(CROQUIS!$C$160+((CROQUIS!$C$163+INT(MIN(INT(($A21-1)/2),MAX((2*CROQUIS!$C$162)-1,0))/2)*CROQUIS!$C$116+MOD(MIN(INT(($A21-1)/2),MAX((2*CROQUIS!$C$162)-1,0)),2)*CROQUIS!$C$114))*CROQUIS!$C$159),-1000)</f>
        <v>59.0149118843199</v>
      </c>
      <c r="AK21">
        <f>IF(AND(CROQUIS!$C$87=1,CROQUIS!$C$162&gt;0,CROQUIS!$C$164&gt;0),(CROQUIS!$C$161+(IF(MOD(MIN(INT(($A21-1)/2),MAX((2*CROQUIS!$C$162)-1,0)),2)=0,IF(IF(INT(($A21-1)/2)&gt;MAX((2*CROQUIS!$C$162)-1,0),1,MOD($A21-1,2))=0,CROQUIS!$C$165,(CROQUIS!$C$165+(CROQUIS!$C$164-1)*CROQUIS!$C$116+CROQUIS!$C$115)),IF(IF(INT(($A21-1)/2)&gt;MAX((2*CROQUIS!$C$162)-1,0),1,MOD($A21-1,2))=0,(CROQUIS!$C$165+(CROQUIS!$C$164-1)*CROQUIS!$C$116+CROQUIS!$C$115),CROQUIS!$C$165)))*CROQUIS!$C$159),-1000)</f>
        <v>79.1911432444645</v>
      </c>
      <c r="AL21">
        <f>IF(AND(CROQUIS!$C$87=1,CROQUIS!$C$164&gt;0,CROQUIS!$C$162&gt;0),(CROQUIS!$C$160+(IF(MOD(MIN(INT(($A21-1)/2),MAX((2*CROQUIS!$C$164)-1,0)),2)=0,IF(IF(INT(($A21-1)/2)&gt;MAX((2*CROQUIS!$C$164)-1,0),1,MOD($A21-1,2))=0,CROQUIS!$C$163,(CROQUIS!$C$163+(CROQUIS!$C$162-1)*CROQUIS!$C$116+CROQUIS!$C$114)),IF(IF(INT(($A21-1)/2)&gt;MAX((2*CROQUIS!$C$164)-1,0),1,MOD($A21-1,2))=0,(CROQUIS!$C$163+(CROQUIS!$C$162-1)*CROQUIS!$C$116+CROQUIS!$C$114),CROQUIS!$C$163)))*CROQUIS!$C$159),-1000)</f>
        <v>81.3375508359693</v>
      </c>
      <c r="AM21">
        <f>IF(AND(CROQUIS!$C$87=1,CROQUIS!$C$164&gt;0,CROQUIS!$C$162&gt;0),(CROQUIS!$C$161+((CROQUIS!$C$165+INT(MIN(INT(($A21-1)/2),MAX((2*CROQUIS!$C$164)-1,0))/2)*CROQUIS!$C$116+MOD(MIN(INT(($A21-1)/2),MAX((2*CROQUIS!$C$164)-1,0)),2)*CROQUIS!$C$115))*CROQUIS!$C$159),-1000)</f>
        <v>56.8685042928152</v>
      </c>
      <c r="AN21">
        <f>IF(AND(CROQUIS!$C$87=1,CROQUIS!$C$162&gt;=2),(CROQUIS!$C$160+((CROQUIS!$C$163+CROQUIS!$C$114+(CROQUIS!$C$116-CROQUIS!$C$114)/2+MIN(INT(($A21-1)/2),MAX((CROQUIS!$C$162-1)-1,0))*CROQUIS!$C$116))*CROQUIS!$C$159),-1000)</f>
        <v>70.1762313601446</v>
      </c>
      <c r="AO21">
        <f>IF(AND(CROQUIS!$C$87=1,CROQUIS!$C$162&gt;=2),(CROQUIS!$C$161+(IF(MOD(MIN(INT(($A21-1)/2),MAX((CROQUIS!$C$162-1)-1,0)),2)=0,IF(IF(INT(($A21-1)/2)&gt;MAX((CROQUIS!$C$162-1)-1,0),1,MOD($A21-1,2))=0,CROQUIS!$C$107/2,(CROQUIS!$C$96-CROQUIS!$C$107/2)),IF(IF(INT(($A21-1)/2)&gt;MAX((CROQUIS!$C$162-1)-1,0),1,MOD($A21-1,2))=0,(CROQUIS!$C$96-CROQUIS!$C$107/2),CROQUIS!$C$107/2)))*CROQUIS!$C$159),-1000)</f>
        <v>16.9453230908269</v>
      </c>
      <c r="AP21">
        <f>IF(AND(CROQUIS!$C$87=1,CROQUIS!$C$164&gt;=2),(CROQUIS!$C$160+(IF(MOD(MIN(INT(($A21-1)/2),MAX((CROQUIS!$C$164-1)-1,0)),2)=0,IF(IF(INT(($A21-1)/2)&gt;MAX((CROQUIS!$C$164-1)-1,0),1,MOD($A21-1,2))=0,CROQUIS!$C$107/2,(CROQUIS!$C$95-CROQUIS!$C$107/2)),IF(IF(INT(($A21-1)/2)&gt;MAX((CROQUIS!$C$164-1)-1,0),1,MOD($A21-1,2))=0,(CROQUIS!$C$95-CROQUIS!$C$107/2),CROQUIS!$C$107/2)))*CROQUIS!$C$159),-1000)</f>
        <v>13.2878445549028</v>
      </c>
      <c r="AQ21">
        <f>IF(AND(CROQUIS!$C$87=1,CROQUIS!$C$164&gt;=2),(CROQUIS!$C$161+((CROQUIS!$C$165+CROQUIS!$C$115+(CROQUIS!$C$116-CROQUIS!$C$115)/2+MIN(INT(($A21-1)/2),MAX((CROQUIS!$C$164-1)-1,0))*CROQUIS!$C$116))*CROQUIS!$C$159),-1000)</f>
        <v>68.0298237686399</v>
      </c>
      <c r="BN21">
        <f>IF(AND(CROQUIS!$C$88=1,CROQUIS!$C$129&gt;0),((CROQUIS!$C$160+(IF(CROQUIS!$C$92="X",CHOOSE(IF(INT(($A21-1)/5)&gt;MAX((MAX(1,INT(((CROQUIS!$C$98)-CROQUIS!$C$107)/MAX((CROQUIS!$C$129*MAX(1,CEILING((INT(((CROQUIS!$C$98)-CROQUIS!$C$107)/MAX(CROQUIS!$C$129,1))+1)/80,1))),1))+1))-1,0),0,MOD($A21-1,5))+1,0,2,CROQUIS!$C$97-2,2,0),((CROQUIS!$C$107/2+(((CROQUIS!$C$98)-CROQUIS!$C$107)-(MAX(1,INT(((CROQUIS!$C$98)-CROQUIS!$C$107)/MAX((CROQUIS!$C$129*MAX(1,CEILING((INT(((CROQUIS!$C$98)-CROQUIS!$C$107)/MAX(CROQUIS!$C$129,1))+1)/80,1))),1))+1)-1)*(CROQUIS!$C$129*MAX(1,CEILING((INT(((CROQUIS!$C$98)-CROQUIS!$C$107)/MAX(CROQUIS!$C$129,1))+1)/80,1))))/2)+MIN(INT(($A21-1)/5),MAX((MAX(1,INT(((CROQUIS!$C$98)-CROQUIS!$C$107)/MAX((CROQUIS!$C$129*MAX(1,CEILING((INT(((CROQUIS!$C$98)-CROQUIS!$C$107)/MAX(CROQUIS!$C$129,1))+1)/80,1))),1))+1))-1,0))*(CROQUIS!$C$129*MAX(1,CEILING((INT(((CROQUIS!$C$98)-CROQUIS!$C$107)/MAX(CROQUIS!$C$129,1))+1)/80,1))))))*CROQUIS!$C$159)+IF(CROQUIS!$C$92="X",0,0)),-1000)</f>
        <v>-1000</v>
      </c>
      <c r="BO21">
        <f>IF(AND(CROQUIS!$C$88=1,CROQUIS!$C$129&gt;0),((CROQUIS!$C$161+(IF(CROQUIS!$C$92="X",((CROQUIS!$C$107/2+(((CROQUIS!$C$98)-CROQUIS!$C$107)-(MAX(1,INT(((CROQUIS!$C$98)-CROQUIS!$C$107)/MAX((CROQUIS!$C$129*MAX(1,CEILING((INT(((CROQUIS!$C$98)-CROQUIS!$C$107)/MAX(CROQUIS!$C$129,1))+1)/80,1))),1))+1)-1)*(CROQUIS!$C$129*MAX(1,CEILING((INT(((CROQUIS!$C$98)-CROQUIS!$C$107)/MAX(CROQUIS!$C$129,1))+1)/80,1))))/2)+MIN(INT(($A21-1)/5),MAX((MAX(1,INT(((CROQUIS!$C$98)-CROQUIS!$C$107)/MAX((CROQUIS!$C$129*MAX(1,CEILING((INT(((CROQUIS!$C$98)-CROQUIS!$C$107)/MAX(CROQUIS!$C$129,1))+1)/80,1))),1))+1))-1,0))*(CROQUIS!$C$129*MAX(1,CEILING((INT(((CROQUIS!$C$98)-CROQUIS!$C$107)/MAX(CROQUIS!$C$129,1))+1)/80,1)))),CHOOSE(IF(INT(($A21-1)/5)&gt;MAX((MAX(1,INT(((CROQUIS!$C$98)-CROQUIS!$C$107)/MAX((CROQUIS!$C$129*MAX(1,CEILING((INT(((CROQUIS!$C$98)-CROQUIS!$C$107)/MAX(CROQUIS!$C$129,1))+1)/80,1))),1))+1))-1,0),0,MOD($A21-1,5))+1,0,2,CROQUIS!$C$97-2,2,0)))*CROQUIS!$C$159)+IF(CROQUIS!$C$92="X",0,0)),-1000)</f>
        <v>-1000</v>
      </c>
      <c r="BP21">
        <f>IF(AND(CROQUIS!$C$88=1,CROQUIS!$C$137&gt;0),((CROQUIS!$C$160+(IF(CROQUIS!$C$92="X",((CROQUIS!$C$107/2+(((CROQUIS!$C$97)-CROQUIS!$C$107)-(MAX(1,INT(((CROQUIS!$C$97)-CROQUIS!$C$107)/MAX((CROQUIS!$C$137*MAX(1,CEILING((INT(((CROQUIS!$C$97)-CROQUIS!$C$107)/MAX(CROQUIS!$C$137,1))+1)/80,1))),1))+1)-1)*(CROQUIS!$C$137*MAX(1,CEILING((INT(((CROQUIS!$C$97)-CROQUIS!$C$107)/MAX(CROQUIS!$C$137,1))+1)/80,1))))/2)+MIN(INT(($A21-1)/5),MAX((MAX(1,INT(((CROQUIS!$C$97)-CROQUIS!$C$107)/MAX((CROQUIS!$C$137*MAX(1,CEILING((INT(((CROQUIS!$C$97)-CROQUIS!$C$107)/MAX(CROQUIS!$C$137,1))+1)/80,1))),1))+1))-1,0))*(CROQUIS!$C$137*MAX(1,CEILING((INT(((CROQUIS!$C$97)-CROQUIS!$C$107)/MAX(CROQUIS!$C$137,1))+1)/80,1)))),CHOOSE(IF(INT(($A21-1)/5)&gt;MAX((MAX(1,INT(((CROQUIS!$C$97)-CROQUIS!$C$107)/MAX((CROQUIS!$C$137*MAX(1,CEILING((INT(((CROQUIS!$C$97)-CROQUIS!$C$107)/MAX(CROQUIS!$C$137,1))+1)/80,1))),1))+1))-1,0),0,MOD($A21-1,5))+1,0,2,CROQUIS!$C$98-2,2,0)))*CROQUIS!$C$159)+IF(CROQUIS!$C$92="X",0,0)),-1000)</f>
        <v>-1000</v>
      </c>
      <c r="BQ21">
        <f>IF(AND(CROQUIS!$C$88=1,CROQUIS!$C$137&gt;0),((CROQUIS!$C$161+(IF(CROQUIS!$C$92="X",CHOOSE(IF(INT(($A21-1)/5)&gt;MAX((MAX(1,INT(((CROQUIS!$C$97)-CROQUIS!$C$107)/MAX((CROQUIS!$C$137*MAX(1,CEILING((INT(((CROQUIS!$C$97)-CROQUIS!$C$107)/MAX(CROQUIS!$C$137,1))+1)/80,1))),1))+1))-1,0),0,MOD($A21-1,5))+1,0,2,CROQUIS!$C$98-2,2,0),((CROQUIS!$C$107/2+(((CROQUIS!$C$97)-CROQUIS!$C$107)-(MAX(1,INT(((CROQUIS!$C$97)-CROQUIS!$C$107)/MAX((CROQUIS!$C$137*MAX(1,CEILING((INT(((CROQUIS!$C$97)-CROQUIS!$C$107)/MAX(CROQUIS!$C$137,1))+1)/80,1))),1))+1)-1)*(CROQUIS!$C$137*MAX(1,CEILING((INT(((CROQUIS!$C$97)-CROQUIS!$C$107)/MAX(CROQUIS!$C$137,1))+1)/80,1))))/2)+MIN(INT(($A21-1)/5),MAX((MAX(1,INT(((CROQUIS!$C$97)-CROQUIS!$C$107)/MAX((CROQUIS!$C$137*MAX(1,CEILING((INT(((CROQUIS!$C$97)-CROQUIS!$C$107)/MAX(CROQUIS!$C$137,1))+1)/80,1))),1))+1))-1,0))*(CROQUIS!$C$137*MAX(1,CEILING((INT(((CROQUIS!$C$97)-CROQUIS!$C$107)/MAX(CROQUIS!$C$137,1))+1)/80,1))))))*CROQUIS!$C$159)+IF(CROQUIS!$C$92="X",0,0)),-1000)</f>
        <v>-1000</v>
      </c>
      <c r="BR21">
        <f>IF(AND(CROQUIS!$C$88=1,CROQUIS!$C$91=0,CROQUIS!$C$133&gt;0,OR(CROQUIS!$C$103=1,CROQUIS!$C$145=1)),((CROQUIS!$C$160+(IF(CROQUIS!$C$92="X",CHOOSE(IF(INT(($A21-1)/5)&gt;MAX((MAX(1,INT(((CROQUIS!$C$98)-CROQUIS!$C$107)/MAX((CROQUIS!$C$133*MAX(1,CEILING((INT(((CROQUIS!$C$98)-CROQUIS!$C$107)/MAX(CROQUIS!$C$133,1))+1)/80,1))),1))+1))-1,0),0,MOD($A21-1,5))+1,0,IF(CROQUIS!$C$103=1,-12,2),CROQUIS!$C$107/2+CROQUIS!$C$143,IF(CROQUIS!$C$103=1,-12,2),0),((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BS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+1,0,IF(CROQUIS!$C$103=1,-12,2),CROQUIS!$C$107/2+CROQUIS!$C$143,IF(CROQUIS!$C$103=1,-12,2),0)))*CROQUIS!$C$159)+IF(CROQUIS!$C$92="X",0.8,0)),-1000)</f>
        <v>-1000</v>
      </c>
      <c r="BT21">
        <f>IF(AND(CROQUIS!$C$88=1,CROQUIS!$C$91=0,CROQUIS!$C$133&gt;0,OR(CROQUIS!$C$104=1,CROQUIS!$C$145=1)),((CROQUIS!$C$160+(IF(CROQUIS!$C$92="X",CHOOSE(IF(INT(($A21-1)/5)&gt;MAX((MAX(1,INT(((CROQUIS!$C$98)-CROQUIS!$C$107)/MAX((CROQUIS!$C$133*MAX(1,CEILING((INT(((CROQUIS!$C$98)-CROQUIS!$C$107)/MAX(CROQUIS!$C$133,1))+1)/80,1))),1))+1))-1,0),0,MOD($A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BU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CROQUIS!$C$97,CROQUIS!$C$97-CROQUIS!$C$107/2-CROQUIS!$C$143,IF(CROQUIS!$C$104=1,CROQUIS!$C$97+12,CROQUIS!$C$97-2),CROQUIS!$C$97-CROQUIS!$C$107/2-CROQUIS!$C$143,CROQUIS!$C$97)))*CROQUIS!$C$159)+IF(CROQUIS!$C$92="X",0.8,0)),-1000)</f>
        <v>-1000</v>
      </c>
      <c r="BV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HOOSE(IF(INT(($A21-1)/5)&gt;MAX((MAX(1,INT(((CROQUIS!$C$97)-CROQUIS!$C$107)/MAX((CROQUIS!$C$141*MAX(1,CEILING((INT(((CROQUIS!$C$97)-CROQUIS!$C$107)/MAX(CROQUIS!$C$141,1))+1)/80,1))),1))+1))-1,0),0,MOD($A21-1,5))+1,0,IF(CROQUIS!$C$105=1,-12,2),CROQUIS!$C$107/2+CROQUIS!$C$144,IF(CROQUIS!$C$105=1,-12,2),0)))*CROQUIS!$C$159)+IF(CROQUIS!$C$92="X",0.8,0)),-1000)</f>
        <v>-1000</v>
      </c>
      <c r="BW21">
        <f>IF(AND(CROQUIS!$C$88=1,CROQUIS!$C$91=0,CROQUIS!$C$141&gt;0,OR(CROQUIS!$C$105=1,CROQUIS!$C$146=1)),((CROQUIS!$C$161+(IF(CROQUIS!$C$92="X",CHOOSE(IF(INT(($A21-1)/5)&gt;MAX((MAX(1,INT(((CROQUIS!$C$97)-CROQUIS!$C$107)/MAX((CROQUIS!$C$141*MAX(1,CEILING((INT(((CROQUIS!$C$97)-CROQUIS!$C$107)/MAX(CROQUIS!$C$141,1))+1)/80,1))),1))+1))-1,0),0,MOD($A21-1,5))+1,0,IF(CROQUIS!$C$105=1,-12,2),CROQUIS!$C$107/2+CROQUIS!$C$144,IF(CROQUIS!$C$105=1,-12,2),0),((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ROQUIS!$C$159)+IF(CROQUIS!$C$92="X",0,0.8)),-1000)</f>
        <v>-1000</v>
      </c>
      <c r="BX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HOOSE(IF(INT(($A21-1)/5)&gt;MAX((MAX(1,INT(((CROQUIS!$C$97)-CROQUIS!$C$107)/MAX((CROQUIS!$C$141*MAX(1,CEILING((INT(((CROQUIS!$C$97)-CROQUIS!$C$107)/MAX(CROQUIS!$C$141,1))+1)/80,1))),1))+1))-1,0),0,MOD($A21-1,5))+1,CROQUIS!$C$98,CROQUIS!$C$98-CROQUIS!$C$107/2-CROQUIS!$C$144,IF(CROQUIS!$C$106=1,CROQUIS!$C$98+12,CROQUIS!$C$98-2),CROQUIS!$C$98-CROQUIS!$C$107/2-CROQUIS!$C$144,CROQUIS!$C$98)))*CROQUIS!$C$159)+IF(CROQUIS!$C$92="X",0.8,0)),-1000)</f>
        <v>-1000</v>
      </c>
      <c r="BY21">
        <f>IF(AND(CROQUIS!$C$88=1,CROQUIS!$C$91=0,CROQUIS!$C$141&gt;0,OR(CROQUIS!$C$106=1,CROQUIS!$C$146=1)),((CROQUIS!$C$161+(IF(CROQUIS!$C$92="X",CHOOSE(IF(INT(($A21-1)/5)&gt;MAX((MAX(1,INT(((CROQUIS!$C$97)-CROQUIS!$C$107)/MAX((CROQUIS!$C$141*MAX(1,CEILING((INT(((CROQUIS!$C$97)-CROQUIS!$C$107)/MAX(CROQUIS!$C$141,1))+1)/80,1))),1))+1))-1,0),0,MOD($A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ROQUIS!$C$159)+IF(CROQUIS!$C$92="X",0,0.8)),-1000)</f>
        <v>-1000</v>
      </c>
      <c r="BZ21">
        <f>IF(AND(CROQUIS!$C$88=1,CROQUIS!$C$91=1,CROQUIS!$C$133&gt;0),((CROQUIS!$C$160+(IF(CROQUIS!$C$92="X",CHOOSE(IF(INT(($A21-1)/5)&gt;MAX((MAX(1,INT(((CROQUIS!$C$98)-CROQUIS!$C$107)/MAX((CROQUIS!$C$133*MAX(1,CEILING((INT(((CROQUIS!$C$98)-CROQUIS!$C$107)/MAX(CROQUIS!$C$133,1))+1)/80,1))),1))+1))-1,0),0,MOD($A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CA21">
        <f>IF(AND(CROQUIS!$C$88=1,CROQUIS!$C$91=1,CROQUIS!$C$133&gt;0),((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
      <c r="A22" t="n">
        <v>15</v>
      </c>
      <c r="F22">
        <f>IF(AND(CROQUIS!$C$87=1,CROQUIS!$C$91=1),((CROQUIS!$C$160+(IF(CROQUIS!$C$92="X",IF(CROQUIS!$C$94=1,0,CROQUIS!$C$97)+IF(MOD($A22,2)=1,-CROQUIS!$C$107/2,CROQUIS!$C$107/2),(MIN($A22,41)-1)/40*CROQUIS!$C$98))*CROQUIS!$C$159)+IF(CROQUIS!$C$92="X",0,0)),-1000)</f>
        <v>-1000</v>
      </c>
      <c r="G22">
        <f>IF(AND(CROQUIS!$C$87=1,CROQUIS!$C$91=1),((CROQUIS!$C$161+(IF(CROQUIS!$C$92="X",(MIN($A22,41)-1)/40*CROQUIS!$C$98,IF(CROQUIS!$C$94=1,0,CROQUIS!$C$97)+IF(MOD($A22,2)=1,-CROQUIS!$C$107/2,CROQUIS!$C$107/2)))*CROQUIS!$C$159)+IF(CROQUIS!$C$92="X",0,0)),-1000)</f>
        <v>-1000</v>
      </c>
      <c r="V22">
        <f>IF(AND(CROQUIS!$C$88=1,CROQUIS!$C$91=1),((CROQUIS!$C$160+(IF(CROQUIS!$C$92="X",IF(CROQUIS!$C$94=1,0,CROQUIS!$C$97)+IF(MOD($A22,2)=1,-CROQUIS!$C$107/2,CROQUIS!$C$107/2),(MIN($A22,41)-1)/40*CROQUIS!$C$98))*CROQUIS!$C$159)+IF(CROQUIS!$C$92="X",0,0)),-1000)</f>
        <v>-1000</v>
      </c>
      <c r="W22">
        <f>IF(AND(CROQUIS!$C$88=1,CROQUIS!$C$91=1),((CROQUIS!$C$161+(IF(CROQUIS!$C$92="X",(MIN($A22,41)-1)/40*CROQUIS!$C$98,IF(CROQUIS!$C$94=1,0,CROQUIS!$C$97)+IF(MOD($A22,2)=1,-CROQUIS!$C$107/2,CROQUIS!$C$107/2)))*CROQUIS!$C$159)+IF(CROQUIS!$C$92="X",0,0)),-1000)</f>
        <v>-1000</v>
      </c>
      <c r="AJ22">
        <f>IF(AND(CROQUIS!$C$87=1,CROQUIS!$C$162&gt;0,CROQUIS!$C$164&gt;0),(CROQUIS!$C$160+((CROQUIS!$C$163+INT(MIN(INT(($A22-1)/2),MAX((2*CROQUIS!$C$162)-1,0))/2)*CROQUIS!$C$116+MOD(MIN(INT(($A22-1)/2),MAX((2*CROQUIS!$C$162)-1,0)),2)*CROQUIS!$C$114))*CROQUIS!$C$159),-1000)</f>
        <v>69.3176683235427</v>
      </c>
      <c r="AK22">
        <f>IF(AND(CROQUIS!$C$87=1,CROQUIS!$C$162&gt;0,CROQUIS!$C$164&gt;0),(CROQUIS!$C$161+(IF(MOD(MIN(INT(($A22-1)/2),MAX((2*CROQUIS!$C$162)-1,0)),2)=0,IF(IF(INT(($A22-1)/2)&gt;MAX((2*CROQUIS!$C$162)-1,0),1,MOD($A22-1,2))=0,CROQUIS!$C$165,(CROQUIS!$C$165+(CROQUIS!$C$164-1)*CROQUIS!$C$116+CROQUIS!$C$115)),IF(IF(INT(($A22-1)/2)&gt;MAX((2*CROQUIS!$C$162)-1,0),1,MOD($A22-1,2))=0,(CROQUIS!$C$165+(CROQUIS!$C$164-1)*CROQUIS!$C$116+CROQUIS!$C$115),CROQUIS!$C$165)))*CROQUIS!$C$159),-1000)</f>
        <v>79.1911432444645</v>
      </c>
      <c r="AL22">
        <f>IF(AND(CROQUIS!$C$87=1,CROQUIS!$C$164&gt;0,CROQUIS!$C$162&gt;0),(CROQUIS!$C$160+(IF(MOD(MIN(INT(($A22-1)/2),MAX((2*CROQUIS!$C$164)-1,0)),2)=0,IF(IF(INT(($A22-1)/2)&gt;MAX((2*CROQUIS!$C$164)-1,0),1,MOD($A22-1,2))=0,CROQUIS!$C$163,(CROQUIS!$C$163+(CROQUIS!$C$162-1)*CROQUIS!$C$116+CROQUIS!$C$114)),IF(IF(INT(($A22-1)/2)&gt;MAX((2*CROQUIS!$C$164)-1,0),1,MOD($A22-1,2))=0,(CROQUIS!$C$163+(CROQUIS!$C$162-1)*CROQUIS!$C$116+CROQUIS!$C$114),CROQUIS!$C$163)))*CROQUIS!$C$159),-1000)</f>
        <v>81.3375508359693</v>
      </c>
      <c r="AM22">
        <f>IF(AND(CROQUIS!$C$87=1,CROQUIS!$C$164&gt;0,CROQUIS!$C$162&gt;0),(CROQUIS!$C$161+((CROQUIS!$C$165+INT(MIN(INT(($A22-1)/2),MAX((2*CROQUIS!$C$164)-1,0))/2)*CROQUIS!$C$116+MOD(MIN(INT(($A22-1)/2),MAX((2*CROQUIS!$C$164)-1,0)),2)*CROQUIS!$C$115))*CROQUIS!$C$159),-1000)</f>
        <v>67.171260732038</v>
      </c>
      <c r="AN22">
        <f>IF(AND(CROQUIS!$C$87=1,CROQUIS!$C$162&gt;=2),(CROQUIS!$C$160+((CROQUIS!$C$163+CROQUIS!$C$114+(CROQUIS!$C$116-CROQUIS!$C$114)/2+MIN(INT(($A22-1)/2),MAX((CROQUIS!$C$162-1)-1,0))*CROQUIS!$C$116))*CROQUIS!$C$159),-1000)</f>
        <v>70.1762313601446</v>
      </c>
      <c r="AO22">
        <f>IF(AND(CROQUIS!$C$87=1,CROQUIS!$C$162&gt;=2),(CROQUIS!$C$161+(IF(MOD(MIN(INT(($A22-1)/2),MAX((CROQUIS!$C$162-1)-1,0)),2)=0,IF(IF(INT(($A22-1)/2)&gt;MAX((CROQUIS!$C$162-1)-1,0),1,MOD($A22-1,2))=0,CROQUIS!$C$107/2,(CROQUIS!$C$96-CROQUIS!$C$107/2)),IF(IF(INT(($A22-1)/2)&gt;MAX((CROQUIS!$C$162-1)-1,0),1,MOD($A22-1,2))=0,(CROQUIS!$C$96-CROQUIS!$C$107/2),CROQUIS!$C$107/2)))*CROQUIS!$C$159),-1000)</f>
        <v>16.9453230908269</v>
      </c>
      <c r="AP22">
        <f>IF(AND(CROQUIS!$C$87=1,CROQUIS!$C$164&gt;=2),(CROQUIS!$C$160+(IF(MOD(MIN(INT(($A22-1)/2),MAX((CROQUIS!$C$164-1)-1,0)),2)=0,IF(IF(INT(($A22-1)/2)&gt;MAX((CROQUIS!$C$164-1)-1,0),1,MOD($A22-1,2))=0,CROQUIS!$C$107/2,(CROQUIS!$C$95-CROQUIS!$C$107/2)),IF(IF(INT(($A22-1)/2)&gt;MAX((CROQUIS!$C$164-1)-1,0),1,MOD($A22-1,2))=0,(CROQUIS!$C$95-CROQUIS!$C$107/2),CROQUIS!$C$107/2)))*CROQUIS!$C$159),-1000)</f>
        <v>13.2878445549028</v>
      </c>
      <c r="AQ22">
        <f>IF(AND(CROQUIS!$C$87=1,CROQUIS!$C$164&gt;=2),(CROQUIS!$C$161+((CROQUIS!$C$165+CROQUIS!$C$115+(CROQUIS!$C$116-CROQUIS!$C$115)/2+MIN(INT(($A22-1)/2),MAX((CROQUIS!$C$164-1)-1,0))*CROQUIS!$C$116))*CROQUIS!$C$159),-1000)</f>
        <v>68.0298237686399</v>
      </c>
      <c r="BN22">
        <f>IF(AND(CROQUIS!$C$88=1,CROQUIS!$C$129&gt;0),((CROQUIS!$C$160+(IF(CROQUIS!$C$92="X",CHOOSE(IF(INT(($A22-1)/5)&gt;MAX((MAX(1,INT(((CROQUIS!$C$98)-CROQUIS!$C$107)/MAX((CROQUIS!$C$129*MAX(1,CEILING((INT(((CROQUIS!$C$98)-CROQUIS!$C$107)/MAX(CROQUIS!$C$129,1))+1)/80,1))),1))+1))-1,0),0,MOD($A22-1,5))+1,0,2,CROQUIS!$C$97-2,2,0),((CROQUIS!$C$107/2+(((CROQUIS!$C$98)-CROQUIS!$C$107)-(MAX(1,INT(((CROQUIS!$C$98)-CROQUIS!$C$107)/MAX((CROQUIS!$C$129*MAX(1,CEILING((INT(((CROQUIS!$C$98)-CROQUIS!$C$107)/MAX(CROQUIS!$C$129,1))+1)/80,1))),1))+1)-1)*(CROQUIS!$C$129*MAX(1,CEILING((INT(((CROQUIS!$C$98)-CROQUIS!$C$107)/MAX(CROQUIS!$C$129,1))+1)/80,1))))/2)+MIN(INT(($A22-1)/5),MAX((MAX(1,INT(((CROQUIS!$C$98)-CROQUIS!$C$107)/MAX((CROQUIS!$C$129*MAX(1,CEILING((INT(((CROQUIS!$C$98)-CROQUIS!$C$107)/MAX(CROQUIS!$C$129,1))+1)/80,1))),1))+1))-1,0))*(CROQUIS!$C$129*MAX(1,CEILING((INT(((CROQUIS!$C$98)-CROQUIS!$C$107)/MAX(CROQUIS!$C$129,1))+1)/80,1))))))*CROQUIS!$C$159)+IF(CROQUIS!$C$92="X",0,0)),-1000)</f>
        <v>-1000</v>
      </c>
      <c r="BO22">
        <f>IF(AND(CROQUIS!$C$88=1,CROQUIS!$C$129&gt;0),((CROQUIS!$C$161+(IF(CROQUIS!$C$92="X",((CROQUIS!$C$107/2+(((CROQUIS!$C$98)-CROQUIS!$C$107)-(MAX(1,INT(((CROQUIS!$C$98)-CROQUIS!$C$107)/MAX((CROQUIS!$C$129*MAX(1,CEILING((INT(((CROQUIS!$C$98)-CROQUIS!$C$107)/MAX(CROQUIS!$C$129,1))+1)/80,1))),1))+1)-1)*(CROQUIS!$C$129*MAX(1,CEILING((INT(((CROQUIS!$C$98)-CROQUIS!$C$107)/MAX(CROQUIS!$C$129,1))+1)/80,1))))/2)+MIN(INT(($A22-1)/5),MAX((MAX(1,INT(((CROQUIS!$C$98)-CROQUIS!$C$107)/MAX((CROQUIS!$C$129*MAX(1,CEILING((INT(((CROQUIS!$C$98)-CROQUIS!$C$107)/MAX(CROQUIS!$C$129,1))+1)/80,1))),1))+1))-1,0))*(CROQUIS!$C$129*MAX(1,CEILING((INT(((CROQUIS!$C$98)-CROQUIS!$C$107)/MAX(CROQUIS!$C$129,1))+1)/80,1)))),CHOOSE(IF(INT(($A22-1)/5)&gt;MAX((MAX(1,INT(((CROQUIS!$C$98)-CROQUIS!$C$107)/MAX((CROQUIS!$C$129*MAX(1,CEILING((INT(((CROQUIS!$C$98)-CROQUIS!$C$107)/MAX(CROQUIS!$C$129,1))+1)/80,1))),1))+1))-1,0),0,MOD($A22-1,5))+1,0,2,CROQUIS!$C$97-2,2,0)))*CROQUIS!$C$159)+IF(CROQUIS!$C$92="X",0,0)),-1000)</f>
        <v>-1000</v>
      </c>
      <c r="BP22">
        <f>IF(AND(CROQUIS!$C$88=1,CROQUIS!$C$137&gt;0),((CROQUIS!$C$160+(IF(CROQUIS!$C$92="X",((CROQUIS!$C$107/2+(((CROQUIS!$C$97)-CROQUIS!$C$107)-(MAX(1,INT(((CROQUIS!$C$97)-CROQUIS!$C$107)/MAX((CROQUIS!$C$137*MAX(1,CEILING((INT(((CROQUIS!$C$97)-CROQUIS!$C$107)/MAX(CROQUIS!$C$137,1))+1)/80,1))),1))+1)-1)*(CROQUIS!$C$137*MAX(1,CEILING((INT(((CROQUIS!$C$97)-CROQUIS!$C$107)/MAX(CROQUIS!$C$137,1))+1)/80,1))))/2)+MIN(INT(($A22-1)/5),MAX((MAX(1,INT(((CROQUIS!$C$97)-CROQUIS!$C$107)/MAX((CROQUIS!$C$137*MAX(1,CEILING((INT(((CROQUIS!$C$97)-CROQUIS!$C$107)/MAX(CROQUIS!$C$137,1))+1)/80,1))),1))+1))-1,0))*(CROQUIS!$C$137*MAX(1,CEILING((INT(((CROQUIS!$C$97)-CROQUIS!$C$107)/MAX(CROQUIS!$C$137,1))+1)/80,1)))),CHOOSE(IF(INT(($A22-1)/5)&gt;MAX((MAX(1,INT(((CROQUIS!$C$97)-CROQUIS!$C$107)/MAX((CROQUIS!$C$137*MAX(1,CEILING((INT(((CROQUIS!$C$97)-CROQUIS!$C$107)/MAX(CROQUIS!$C$137,1))+1)/80,1))),1))+1))-1,0),0,MOD($A22-1,5))+1,0,2,CROQUIS!$C$98-2,2,0)))*CROQUIS!$C$159)+IF(CROQUIS!$C$92="X",0,0)),-1000)</f>
        <v>-1000</v>
      </c>
      <c r="BQ22">
        <f>IF(AND(CROQUIS!$C$88=1,CROQUIS!$C$137&gt;0),((CROQUIS!$C$161+(IF(CROQUIS!$C$92="X",CHOOSE(IF(INT(($A22-1)/5)&gt;MAX((MAX(1,INT(((CROQUIS!$C$97)-CROQUIS!$C$107)/MAX((CROQUIS!$C$137*MAX(1,CEILING((INT(((CROQUIS!$C$97)-CROQUIS!$C$107)/MAX(CROQUIS!$C$137,1))+1)/80,1))),1))+1))-1,0),0,MOD($A22-1,5))+1,0,2,CROQUIS!$C$98-2,2,0),((CROQUIS!$C$107/2+(((CROQUIS!$C$97)-CROQUIS!$C$107)-(MAX(1,INT(((CROQUIS!$C$97)-CROQUIS!$C$107)/MAX((CROQUIS!$C$137*MAX(1,CEILING((INT(((CROQUIS!$C$97)-CROQUIS!$C$107)/MAX(CROQUIS!$C$137,1))+1)/80,1))),1))+1)-1)*(CROQUIS!$C$137*MAX(1,CEILING((INT(((CROQUIS!$C$97)-CROQUIS!$C$107)/MAX(CROQUIS!$C$137,1))+1)/80,1))))/2)+MIN(INT(($A22-1)/5),MAX((MAX(1,INT(((CROQUIS!$C$97)-CROQUIS!$C$107)/MAX((CROQUIS!$C$137*MAX(1,CEILING((INT(((CROQUIS!$C$97)-CROQUIS!$C$107)/MAX(CROQUIS!$C$137,1))+1)/80,1))),1))+1))-1,0))*(CROQUIS!$C$137*MAX(1,CEILING((INT(((CROQUIS!$C$97)-CROQUIS!$C$107)/MAX(CROQUIS!$C$137,1))+1)/80,1))))))*CROQUIS!$C$159)+IF(CROQUIS!$C$92="X",0,0)),-1000)</f>
        <v>-1000</v>
      </c>
      <c r="BR22">
        <f>IF(AND(CROQUIS!$C$88=1,CROQUIS!$C$91=0,CROQUIS!$C$133&gt;0,OR(CROQUIS!$C$103=1,CROQUIS!$C$145=1)),((CROQUIS!$C$160+(IF(CROQUIS!$C$92="X",CHOOSE(IF(INT(($A22-1)/5)&gt;MAX((MAX(1,INT(((CROQUIS!$C$98)-CROQUIS!$C$107)/MAX((CROQUIS!$C$133*MAX(1,CEILING((INT(((CROQUIS!$C$98)-CROQUIS!$C$107)/MAX(CROQUIS!$C$133,1))+1)/80,1))),1))+1))-1,0),0,MOD($A22-1,5))+1,0,IF(CROQUIS!$C$103=1,-12,2),CROQUIS!$C$107/2+CROQUIS!$C$143,IF(CROQUIS!$C$103=1,-12,2),0),((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BS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+1,0,IF(CROQUIS!$C$103=1,-12,2),CROQUIS!$C$107/2+CROQUIS!$C$143,IF(CROQUIS!$C$103=1,-12,2),0)))*CROQUIS!$C$159)+IF(CROQUIS!$C$92="X",0.8,0)),-1000)</f>
        <v>-1000</v>
      </c>
      <c r="BT22">
        <f>IF(AND(CROQUIS!$C$88=1,CROQUIS!$C$91=0,CROQUIS!$C$133&gt;0,OR(CROQUIS!$C$104=1,CROQUIS!$C$145=1)),((CROQUIS!$C$160+(IF(CROQUIS!$C$92="X",CHOOSE(IF(INT(($A22-1)/5)&gt;MAX((MAX(1,INT(((CROQUIS!$C$98)-CROQUIS!$C$107)/MAX((CROQUIS!$C$133*MAX(1,CEILING((INT(((CROQUIS!$C$98)-CROQUIS!$C$107)/MAX(CROQUIS!$C$133,1))+1)/80,1))),1))+1))-1,0),0,MOD($A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BU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CROQUIS!$C$97,CROQUIS!$C$97-CROQUIS!$C$107/2-CROQUIS!$C$143,IF(CROQUIS!$C$104=1,CROQUIS!$C$97+12,CROQUIS!$C$97-2),CROQUIS!$C$97-CROQUIS!$C$107/2-CROQUIS!$C$143,CROQUIS!$C$97)))*CROQUIS!$C$159)+IF(CROQUIS!$C$92="X",0.8,0)),-1000)</f>
        <v>-1000</v>
      </c>
      <c r="BV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HOOSE(IF(INT(($A22-1)/5)&gt;MAX((MAX(1,INT(((CROQUIS!$C$97)-CROQUIS!$C$107)/MAX((CROQUIS!$C$141*MAX(1,CEILING((INT(((CROQUIS!$C$97)-CROQUIS!$C$107)/MAX(CROQUIS!$C$141,1))+1)/80,1))),1))+1))-1,0),0,MOD($A22-1,5))+1,0,IF(CROQUIS!$C$105=1,-12,2),CROQUIS!$C$107/2+CROQUIS!$C$144,IF(CROQUIS!$C$105=1,-12,2),0)))*CROQUIS!$C$159)+IF(CROQUIS!$C$92="X",0.8,0)),-1000)</f>
        <v>-1000</v>
      </c>
      <c r="BW22">
        <f>IF(AND(CROQUIS!$C$88=1,CROQUIS!$C$91=0,CROQUIS!$C$141&gt;0,OR(CROQUIS!$C$105=1,CROQUIS!$C$146=1)),((CROQUIS!$C$161+(IF(CROQUIS!$C$92="X",CHOOSE(IF(INT(($A22-1)/5)&gt;MAX((MAX(1,INT(((CROQUIS!$C$97)-CROQUIS!$C$107)/MAX((CROQUIS!$C$141*MAX(1,CEILING((INT(((CROQUIS!$C$97)-CROQUIS!$C$107)/MAX(CROQUIS!$C$141,1))+1)/80,1))),1))+1))-1,0),0,MOD($A22-1,5))+1,0,IF(CROQUIS!$C$105=1,-12,2),CROQUIS!$C$107/2+CROQUIS!$C$144,IF(CROQUIS!$C$105=1,-12,2),0),((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ROQUIS!$C$159)+IF(CROQUIS!$C$92="X",0,0.8)),-1000)</f>
        <v>-1000</v>
      </c>
      <c r="BX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HOOSE(IF(INT(($A22-1)/5)&gt;MAX((MAX(1,INT(((CROQUIS!$C$97)-CROQUIS!$C$107)/MAX((CROQUIS!$C$141*MAX(1,CEILING((INT(((CROQUIS!$C$97)-CROQUIS!$C$107)/MAX(CROQUIS!$C$141,1))+1)/80,1))),1))+1))-1,0),0,MOD($A22-1,5))+1,CROQUIS!$C$98,CROQUIS!$C$98-CROQUIS!$C$107/2-CROQUIS!$C$144,IF(CROQUIS!$C$106=1,CROQUIS!$C$98+12,CROQUIS!$C$98-2),CROQUIS!$C$98-CROQUIS!$C$107/2-CROQUIS!$C$144,CROQUIS!$C$98)))*CROQUIS!$C$159)+IF(CROQUIS!$C$92="X",0.8,0)),-1000)</f>
        <v>-1000</v>
      </c>
      <c r="BY22">
        <f>IF(AND(CROQUIS!$C$88=1,CROQUIS!$C$91=0,CROQUIS!$C$141&gt;0,OR(CROQUIS!$C$106=1,CROQUIS!$C$146=1)),((CROQUIS!$C$161+(IF(CROQUIS!$C$92="X",CHOOSE(IF(INT(($A22-1)/5)&gt;MAX((MAX(1,INT(((CROQUIS!$C$97)-CROQUIS!$C$107)/MAX((CROQUIS!$C$141*MAX(1,CEILING((INT(((CROQUIS!$C$97)-CROQUIS!$C$107)/MAX(CROQUIS!$C$141,1))+1)/80,1))),1))+1))-1,0),0,MOD($A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ROQUIS!$C$159)+IF(CROQUIS!$C$92="X",0,0.8)),-1000)</f>
        <v>-1000</v>
      </c>
      <c r="BZ22">
        <f>IF(AND(CROQUIS!$C$88=1,CROQUIS!$C$91=1,CROQUIS!$C$133&gt;0),((CROQUIS!$C$160+(IF(CROQUIS!$C$92="X",CHOOSE(IF(INT(($A22-1)/5)&gt;MAX((MAX(1,INT(((CROQUIS!$C$98)-CROQUIS!$C$107)/MAX((CROQUIS!$C$133*MAX(1,CEILING((INT(((CROQUIS!$C$98)-CROQUIS!$C$107)/MAX(CROQUIS!$C$133,1))+1)/80,1))),1))+1))-1,0),0,MOD($A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CA22">
        <f>IF(AND(CROQUIS!$C$88=1,CROQUIS!$C$91=1,CROQUIS!$C$133&gt;0),((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
      <c r="A23" t="n">
        <v>16</v>
      </c>
      <c r="F23">
        <f>IF(AND(CROQUIS!$C$87=1,CROQUIS!$C$91=1),((CROQUIS!$C$160+(IF(CROQUIS!$C$92="X",IF(CROQUIS!$C$94=1,0,CROQUIS!$C$97)+IF(MOD($A23,2)=1,-CROQUIS!$C$107/2,CROQUIS!$C$107/2),(MIN($A23,41)-1)/40*CROQUIS!$C$98))*CROQUIS!$C$159)+IF(CROQUIS!$C$92="X",0,0)),-1000)</f>
        <v>-1000</v>
      </c>
      <c r="G23">
        <f>IF(AND(CROQUIS!$C$87=1,CROQUIS!$C$91=1),((CROQUIS!$C$161+(IF(CROQUIS!$C$92="X",(MIN($A23,41)-1)/40*CROQUIS!$C$98,IF(CROQUIS!$C$94=1,0,CROQUIS!$C$97)+IF(MOD($A23,2)=1,-CROQUIS!$C$107/2,CROQUIS!$C$107/2)))*CROQUIS!$C$159)+IF(CROQUIS!$C$92="X",0,0)),-1000)</f>
        <v>-1000</v>
      </c>
      <c r="V23">
        <f>IF(AND(CROQUIS!$C$88=1,CROQUIS!$C$91=1),((CROQUIS!$C$160+(IF(CROQUIS!$C$92="X",IF(CROQUIS!$C$94=1,0,CROQUIS!$C$97)+IF(MOD($A23,2)=1,-CROQUIS!$C$107/2,CROQUIS!$C$107/2),(MIN($A23,41)-1)/40*CROQUIS!$C$98))*CROQUIS!$C$159)+IF(CROQUIS!$C$92="X",0,0)),-1000)</f>
        <v>-1000</v>
      </c>
      <c r="W23">
        <f>IF(AND(CROQUIS!$C$88=1,CROQUIS!$C$91=1),((CROQUIS!$C$161+(IF(CROQUIS!$C$92="X",(MIN($A23,41)-1)/40*CROQUIS!$C$98,IF(CROQUIS!$C$94=1,0,CROQUIS!$C$97)+IF(MOD($A23,2)=1,-CROQUIS!$C$107/2,CROQUIS!$C$107/2)))*CROQUIS!$C$159)+IF(CROQUIS!$C$92="X",0,0)),-1000)</f>
        <v>-1000</v>
      </c>
      <c r="AJ23">
        <f>IF(AND(CROQUIS!$C$87=1,CROQUIS!$C$162&gt;0,CROQUIS!$C$164&gt;0),(CROQUIS!$C$160+((CROQUIS!$C$163+INT(MIN(INT(($A23-1)/2),MAX((2*CROQUIS!$C$162)-1,0))/2)*CROQUIS!$C$116+MOD(MIN(INT(($A23-1)/2),MAX((2*CROQUIS!$C$162)-1,0)),2)*CROQUIS!$C$114))*CROQUIS!$C$159),-1000)</f>
        <v>69.3176683235427</v>
      </c>
      <c r="AK23">
        <f>IF(AND(CROQUIS!$C$87=1,CROQUIS!$C$162&gt;0,CROQUIS!$C$164&gt;0),(CROQUIS!$C$161+(IF(MOD(MIN(INT(($A23-1)/2),MAX((2*CROQUIS!$C$162)-1,0)),2)=0,IF(IF(INT(($A23-1)/2)&gt;MAX((2*CROQUIS!$C$162)-1,0),1,MOD($A23-1,2))=0,CROQUIS!$C$165,(CROQUIS!$C$165+(CROQUIS!$C$164-1)*CROQUIS!$C$116+CROQUIS!$C$115)),IF(IF(INT(($A23-1)/2)&gt;MAX((2*CROQUIS!$C$162)-1,0),1,MOD($A23-1,2))=0,(CROQUIS!$C$165+(CROQUIS!$C$164-1)*CROQUIS!$C$116+CROQUIS!$C$115),CROQUIS!$C$165)))*CROQUIS!$C$159),-1000)</f>
        <v>20.8088567555355</v>
      </c>
      <c r="AL23">
        <f>IF(AND(CROQUIS!$C$87=1,CROQUIS!$C$164&gt;0,CROQUIS!$C$162&gt;0),(CROQUIS!$C$160+(IF(MOD(MIN(INT(($A23-1)/2),MAX((2*CROQUIS!$C$164)-1,0)),2)=0,IF(IF(INT(($A23-1)/2)&gt;MAX((2*CROQUIS!$C$164)-1,0),1,MOD($A23-1,2))=0,CROQUIS!$C$163,(CROQUIS!$C$163+(CROQUIS!$C$162-1)*CROQUIS!$C$116+CROQUIS!$C$114)),IF(IF(INT(($A23-1)/2)&gt;MAX((2*CROQUIS!$C$164)-1,0),1,MOD($A23-1,2))=0,(CROQUIS!$C$163+(CROQUIS!$C$162-1)*CROQUIS!$C$116+CROQUIS!$C$114),CROQUIS!$C$163)))*CROQUIS!$C$159),-1000)</f>
        <v>22.9552643470402</v>
      </c>
      <c r="AM23">
        <f>IF(AND(CROQUIS!$C$87=1,CROQUIS!$C$164&gt;0,CROQUIS!$C$162&gt;0),(CROQUIS!$C$161+((CROQUIS!$C$165+INT(MIN(INT(($A23-1)/2),MAX((2*CROQUIS!$C$164)-1,0))/2)*CROQUIS!$C$116+MOD(MIN(INT(($A23-1)/2),MAX((2*CROQUIS!$C$164)-1,0)),2)*CROQUIS!$C$115))*CROQUIS!$C$159),-1000)</f>
        <v>67.171260732038</v>
      </c>
      <c r="AN23">
        <f>IF(AND(CROQUIS!$C$87=1,CROQUIS!$C$162&gt;=2),(CROQUIS!$C$160+((CROQUIS!$C$163+CROQUIS!$C$114+(CROQUIS!$C$116-CROQUIS!$C$114)/2+MIN(INT(($A23-1)/2),MAX((CROQUIS!$C$162-1)-1,0))*CROQUIS!$C$116))*CROQUIS!$C$159),-1000)</f>
        <v>70.1762313601446</v>
      </c>
      <c r="AO23">
        <f>IF(AND(CROQUIS!$C$87=1,CROQUIS!$C$162&gt;=2),(CROQUIS!$C$161+(IF(MOD(MIN(INT(($A23-1)/2),MAX((CROQUIS!$C$162-1)-1,0)),2)=0,IF(IF(INT(($A23-1)/2)&gt;MAX((CROQUIS!$C$162-1)-1,0),1,MOD($A23-1,2))=0,CROQUIS!$C$107/2,(CROQUIS!$C$96-CROQUIS!$C$107/2)),IF(IF(INT(($A23-1)/2)&gt;MAX((CROQUIS!$C$162-1)-1,0),1,MOD($A23-1,2))=0,(CROQUIS!$C$96-CROQUIS!$C$107/2),CROQUIS!$C$107/2)))*CROQUIS!$C$159),-1000)</f>
        <v>16.9453230908269</v>
      </c>
      <c r="AP23">
        <f>IF(AND(CROQUIS!$C$87=1,CROQUIS!$C$164&gt;=2),(CROQUIS!$C$160+(IF(MOD(MIN(INT(($A23-1)/2),MAX((CROQUIS!$C$164-1)-1,0)),2)=0,IF(IF(INT(($A23-1)/2)&gt;MAX((CROQUIS!$C$164-1)-1,0),1,MOD($A23-1,2))=0,CROQUIS!$C$107/2,(CROQUIS!$C$95-CROQUIS!$C$107/2)),IF(IF(INT(($A23-1)/2)&gt;MAX((CROQUIS!$C$164-1)-1,0),1,MOD($A23-1,2))=0,(CROQUIS!$C$95-CROQUIS!$C$107/2),CROQUIS!$C$107/2)))*CROQUIS!$C$159),-1000)</f>
        <v>13.2878445549028</v>
      </c>
      <c r="AQ23">
        <f>IF(AND(CROQUIS!$C$87=1,CROQUIS!$C$164&gt;=2),(CROQUIS!$C$161+((CROQUIS!$C$165+CROQUIS!$C$115+(CROQUIS!$C$116-CROQUIS!$C$115)/2+MIN(INT(($A23-1)/2),MAX((CROQUIS!$C$164-1)-1,0))*CROQUIS!$C$116))*CROQUIS!$C$159),-1000)</f>
        <v>68.0298237686399</v>
      </c>
      <c r="BN23">
        <f>IF(AND(CROQUIS!$C$88=1,CROQUIS!$C$129&gt;0),((CROQUIS!$C$160+(IF(CROQUIS!$C$92="X",CHOOSE(IF(INT(($A23-1)/5)&gt;MAX((MAX(1,INT(((CROQUIS!$C$98)-CROQUIS!$C$107)/MAX((CROQUIS!$C$129*MAX(1,CEILING((INT(((CROQUIS!$C$98)-CROQUIS!$C$107)/MAX(CROQUIS!$C$129,1))+1)/80,1))),1))+1))-1,0),0,MOD($A23-1,5))+1,0,2,CROQUIS!$C$97-2,2,0),((CROQUIS!$C$107/2+(((CROQUIS!$C$98)-CROQUIS!$C$107)-(MAX(1,INT(((CROQUIS!$C$98)-CROQUIS!$C$107)/MAX((CROQUIS!$C$129*MAX(1,CEILING((INT(((CROQUIS!$C$98)-CROQUIS!$C$107)/MAX(CROQUIS!$C$129,1))+1)/80,1))),1))+1)-1)*(CROQUIS!$C$129*MAX(1,CEILING((INT(((CROQUIS!$C$98)-CROQUIS!$C$107)/MAX(CROQUIS!$C$129,1))+1)/80,1))))/2)+MIN(INT(($A23-1)/5),MAX((MAX(1,INT(((CROQUIS!$C$98)-CROQUIS!$C$107)/MAX((CROQUIS!$C$129*MAX(1,CEILING((INT(((CROQUIS!$C$98)-CROQUIS!$C$107)/MAX(CROQUIS!$C$129,1))+1)/80,1))),1))+1))-1,0))*(CROQUIS!$C$129*MAX(1,CEILING((INT(((CROQUIS!$C$98)-CROQUIS!$C$107)/MAX(CROQUIS!$C$129,1))+1)/80,1))))))*CROQUIS!$C$159)+IF(CROQUIS!$C$92="X",0,0)),-1000)</f>
        <v>-1000</v>
      </c>
      <c r="BO23">
        <f>IF(AND(CROQUIS!$C$88=1,CROQUIS!$C$129&gt;0),((CROQUIS!$C$161+(IF(CROQUIS!$C$92="X",((CROQUIS!$C$107/2+(((CROQUIS!$C$98)-CROQUIS!$C$107)-(MAX(1,INT(((CROQUIS!$C$98)-CROQUIS!$C$107)/MAX((CROQUIS!$C$129*MAX(1,CEILING((INT(((CROQUIS!$C$98)-CROQUIS!$C$107)/MAX(CROQUIS!$C$129,1))+1)/80,1))),1))+1)-1)*(CROQUIS!$C$129*MAX(1,CEILING((INT(((CROQUIS!$C$98)-CROQUIS!$C$107)/MAX(CROQUIS!$C$129,1))+1)/80,1))))/2)+MIN(INT(($A23-1)/5),MAX((MAX(1,INT(((CROQUIS!$C$98)-CROQUIS!$C$107)/MAX((CROQUIS!$C$129*MAX(1,CEILING((INT(((CROQUIS!$C$98)-CROQUIS!$C$107)/MAX(CROQUIS!$C$129,1))+1)/80,1))),1))+1))-1,0))*(CROQUIS!$C$129*MAX(1,CEILING((INT(((CROQUIS!$C$98)-CROQUIS!$C$107)/MAX(CROQUIS!$C$129,1))+1)/80,1)))),CHOOSE(IF(INT(($A23-1)/5)&gt;MAX((MAX(1,INT(((CROQUIS!$C$98)-CROQUIS!$C$107)/MAX((CROQUIS!$C$129*MAX(1,CEILING((INT(((CROQUIS!$C$98)-CROQUIS!$C$107)/MAX(CROQUIS!$C$129,1))+1)/80,1))),1))+1))-1,0),0,MOD($A23-1,5))+1,0,2,CROQUIS!$C$97-2,2,0)))*CROQUIS!$C$159)+IF(CROQUIS!$C$92="X",0,0)),-1000)</f>
        <v>-1000</v>
      </c>
      <c r="BP23">
        <f>IF(AND(CROQUIS!$C$88=1,CROQUIS!$C$137&gt;0),((CROQUIS!$C$160+(IF(CROQUIS!$C$92="X",((CROQUIS!$C$107/2+(((CROQUIS!$C$97)-CROQUIS!$C$107)-(MAX(1,INT(((CROQUIS!$C$97)-CROQUIS!$C$107)/MAX((CROQUIS!$C$137*MAX(1,CEILING((INT(((CROQUIS!$C$97)-CROQUIS!$C$107)/MAX(CROQUIS!$C$137,1))+1)/80,1))),1))+1)-1)*(CROQUIS!$C$137*MAX(1,CEILING((INT(((CROQUIS!$C$97)-CROQUIS!$C$107)/MAX(CROQUIS!$C$137,1))+1)/80,1))))/2)+MIN(INT(($A23-1)/5),MAX((MAX(1,INT(((CROQUIS!$C$97)-CROQUIS!$C$107)/MAX((CROQUIS!$C$137*MAX(1,CEILING((INT(((CROQUIS!$C$97)-CROQUIS!$C$107)/MAX(CROQUIS!$C$137,1))+1)/80,1))),1))+1))-1,0))*(CROQUIS!$C$137*MAX(1,CEILING((INT(((CROQUIS!$C$97)-CROQUIS!$C$107)/MAX(CROQUIS!$C$137,1))+1)/80,1)))),CHOOSE(IF(INT(($A23-1)/5)&gt;MAX((MAX(1,INT(((CROQUIS!$C$97)-CROQUIS!$C$107)/MAX((CROQUIS!$C$137*MAX(1,CEILING((INT(((CROQUIS!$C$97)-CROQUIS!$C$107)/MAX(CROQUIS!$C$137,1))+1)/80,1))),1))+1))-1,0),0,MOD($A23-1,5))+1,0,2,CROQUIS!$C$98-2,2,0)))*CROQUIS!$C$159)+IF(CROQUIS!$C$92="X",0,0)),-1000)</f>
        <v>-1000</v>
      </c>
      <c r="BQ23">
        <f>IF(AND(CROQUIS!$C$88=1,CROQUIS!$C$137&gt;0),((CROQUIS!$C$161+(IF(CROQUIS!$C$92="X",CHOOSE(IF(INT(($A23-1)/5)&gt;MAX((MAX(1,INT(((CROQUIS!$C$97)-CROQUIS!$C$107)/MAX((CROQUIS!$C$137*MAX(1,CEILING((INT(((CROQUIS!$C$97)-CROQUIS!$C$107)/MAX(CROQUIS!$C$137,1))+1)/80,1))),1))+1))-1,0),0,MOD($A23-1,5))+1,0,2,CROQUIS!$C$98-2,2,0),((CROQUIS!$C$107/2+(((CROQUIS!$C$97)-CROQUIS!$C$107)-(MAX(1,INT(((CROQUIS!$C$97)-CROQUIS!$C$107)/MAX((CROQUIS!$C$137*MAX(1,CEILING((INT(((CROQUIS!$C$97)-CROQUIS!$C$107)/MAX(CROQUIS!$C$137,1))+1)/80,1))),1))+1)-1)*(CROQUIS!$C$137*MAX(1,CEILING((INT(((CROQUIS!$C$97)-CROQUIS!$C$107)/MAX(CROQUIS!$C$137,1))+1)/80,1))))/2)+MIN(INT(($A23-1)/5),MAX((MAX(1,INT(((CROQUIS!$C$97)-CROQUIS!$C$107)/MAX((CROQUIS!$C$137*MAX(1,CEILING((INT(((CROQUIS!$C$97)-CROQUIS!$C$107)/MAX(CROQUIS!$C$137,1))+1)/80,1))),1))+1))-1,0))*(CROQUIS!$C$137*MAX(1,CEILING((INT(((CROQUIS!$C$97)-CROQUIS!$C$107)/MAX(CROQUIS!$C$137,1))+1)/80,1))))))*CROQUIS!$C$159)+IF(CROQUIS!$C$92="X",0,0)),-1000)</f>
        <v>-1000</v>
      </c>
      <c r="BR23">
        <f>IF(AND(CROQUIS!$C$88=1,CROQUIS!$C$91=0,CROQUIS!$C$133&gt;0,OR(CROQUIS!$C$103=1,CROQUIS!$C$145=1)),((CROQUIS!$C$160+(IF(CROQUIS!$C$92="X",CHOOSE(IF(INT(($A23-1)/5)&gt;MAX((MAX(1,INT(((CROQUIS!$C$98)-CROQUIS!$C$107)/MAX((CROQUIS!$C$133*MAX(1,CEILING((INT(((CROQUIS!$C$98)-CROQUIS!$C$107)/MAX(CROQUIS!$C$133,1))+1)/80,1))),1))+1))-1,0),0,MOD($A23-1,5))+1,0,IF(CROQUIS!$C$103=1,-12,2),CROQUIS!$C$107/2+CROQUIS!$C$143,IF(CROQUIS!$C$103=1,-12,2),0),((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BS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+1,0,IF(CROQUIS!$C$103=1,-12,2),CROQUIS!$C$107/2+CROQUIS!$C$143,IF(CROQUIS!$C$103=1,-12,2),0)))*CROQUIS!$C$159)+IF(CROQUIS!$C$92="X",0.8,0)),-1000)</f>
        <v>-1000</v>
      </c>
      <c r="BT23">
        <f>IF(AND(CROQUIS!$C$88=1,CROQUIS!$C$91=0,CROQUIS!$C$133&gt;0,OR(CROQUIS!$C$104=1,CROQUIS!$C$145=1)),((CROQUIS!$C$160+(IF(CROQUIS!$C$92="X",CHOOSE(IF(INT(($A23-1)/5)&gt;MAX((MAX(1,INT(((CROQUIS!$C$98)-CROQUIS!$C$107)/MAX((CROQUIS!$C$133*MAX(1,CEILING((INT(((CROQUIS!$C$98)-CROQUIS!$C$107)/MAX(CROQUIS!$C$133,1))+1)/80,1))),1))+1))-1,0),0,MOD($A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BU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CROQUIS!$C$97,CROQUIS!$C$97-CROQUIS!$C$107/2-CROQUIS!$C$143,IF(CROQUIS!$C$104=1,CROQUIS!$C$97+12,CROQUIS!$C$97-2),CROQUIS!$C$97-CROQUIS!$C$107/2-CROQUIS!$C$143,CROQUIS!$C$97)))*CROQUIS!$C$159)+IF(CROQUIS!$C$92="X",0.8,0)),-1000)</f>
        <v>-1000</v>
      </c>
      <c r="BV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HOOSE(IF(INT(($A23-1)/5)&gt;MAX((MAX(1,INT(((CROQUIS!$C$97)-CROQUIS!$C$107)/MAX((CROQUIS!$C$141*MAX(1,CEILING((INT(((CROQUIS!$C$97)-CROQUIS!$C$107)/MAX(CROQUIS!$C$141,1))+1)/80,1))),1))+1))-1,0),0,MOD($A23-1,5))+1,0,IF(CROQUIS!$C$105=1,-12,2),CROQUIS!$C$107/2+CROQUIS!$C$144,IF(CROQUIS!$C$105=1,-12,2),0)))*CROQUIS!$C$159)+IF(CROQUIS!$C$92="X",0.8,0)),-1000)</f>
        <v>-1000</v>
      </c>
      <c r="BW23">
        <f>IF(AND(CROQUIS!$C$88=1,CROQUIS!$C$91=0,CROQUIS!$C$141&gt;0,OR(CROQUIS!$C$105=1,CROQUIS!$C$146=1)),((CROQUIS!$C$161+(IF(CROQUIS!$C$92="X",CHOOSE(IF(INT(($A23-1)/5)&gt;MAX((MAX(1,INT(((CROQUIS!$C$97)-CROQUIS!$C$107)/MAX((CROQUIS!$C$141*MAX(1,CEILING((INT(((CROQUIS!$C$97)-CROQUIS!$C$107)/MAX(CROQUIS!$C$141,1))+1)/80,1))),1))+1))-1,0),0,MOD($A23-1,5))+1,0,IF(CROQUIS!$C$105=1,-12,2),CROQUIS!$C$107/2+CROQUIS!$C$144,IF(CROQUIS!$C$105=1,-12,2),0),((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ROQUIS!$C$159)+IF(CROQUIS!$C$92="X",0,0.8)),-1000)</f>
        <v>-1000</v>
      </c>
      <c r="BX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HOOSE(IF(INT(($A23-1)/5)&gt;MAX((MAX(1,INT(((CROQUIS!$C$97)-CROQUIS!$C$107)/MAX((CROQUIS!$C$141*MAX(1,CEILING((INT(((CROQUIS!$C$97)-CROQUIS!$C$107)/MAX(CROQUIS!$C$141,1))+1)/80,1))),1))+1))-1,0),0,MOD($A23-1,5))+1,CROQUIS!$C$98,CROQUIS!$C$98-CROQUIS!$C$107/2-CROQUIS!$C$144,IF(CROQUIS!$C$106=1,CROQUIS!$C$98+12,CROQUIS!$C$98-2),CROQUIS!$C$98-CROQUIS!$C$107/2-CROQUIS!$C$144,CROQUIS!$C$98)))*CROQUIS!$C$159)+IF(CROQUIS!$C$92="X",0.8,0)),-1000)</f>
        <v>-1000</v>
      </c>
      <c r="BY23">
        <f>IF(AND(CROQUIS!$C$88=1,CROQUIS!$C$91=0,CROQUIS!$C$141&gt;0,OR(CROQUIS!$C$106=1,CROQUIS!$C$146=1)),((CROQUIS!$C$161+(IF(CROQUIS!$C$92="X",CHOOSE(IF(INT(($A23-1)/5)&gt;MAX((MAX(1,INT(((CROQUIS!$C$97)-CROQUIS!$C$107)/MAX((CROQUIS!$C$141*MAX(1,CEILING((INT(((CROQUIS!$C$97)-CROQUIS!$C$107)/MAX(CROQUIS!$C$141,1))+1)/80,1))),1))+1))-1,0),0,MOD($A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ROQUIS!$C$159)+IF(CROQUIS!$C$92="X",0,0.8)),-1000)</f>
        <v>-1000</v>
      </c>
      <c r="BZ23">
        <f>IF(AND(CROQUIS!$C$88=1,CROQUIS!$C$91=1,CROQUIS!$C$133&gt;0),((CROQUIS!$C$160+(IF(CROQUIS!$C$92="X",CHOOSE(IF(INT(($A23-1)/5)&gt;MAX((MAX(1,INT(((CROQUIS!$C$98)-CROQUIS!$C$107)/MAX((CROQUIS!$C$133*MAX(1,CEILING((INT(((CROQUIS!$C$98)-CROQUIS!$C$107)/MAX(CROQUIS!$C$133,1))+1)/80,1))),1))+1))-1,0),0,MOD($A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CA23">
        <f>IF(AND(CROQUIS!$C$88=1,CROQUIS!$C$91=1,CROQUIS!$C$133&gt;0),((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
      <c r="A24" t="n">
        <v>17</v>
      </c>
      <c r="F24">
        <f>IF(AND(CROQUIS!$C$87=1,CROQUIS!$C$91=1),((CROQUIS!$C$160+(IF(CROQUIS!$C$92="X",IF(CROQUIS!$C$94=1,0,CROQUIS!$C$97)+IF(MOD($A24,2)=1,-CROQUIS!$C$107/2,CROQUIS!$C$107/2),(MIN($A24,41)-1)/40*CROQUIS!$C$98))*CROQUIS!$C$159)+IF(CROQUIS!$C$92="X",0,0)),-1000)</f>
        <v>-1000</v>
      </c>
      <c r="G24">
        <f>IF(AND(CROQUIS!$C$87=1,CROQUIS!$C$91=1),((CROQUIS!$C$161+(IF(CROQUIS!$C$92="X",(MIN($A24,41)-1)/40*CROQUIS!$C$98,IF(CROQUIS!$C$94=1,0,CROQUIS!$C$97)+IF(MOD($A24,2)=1,-CROQUIS!$C$107/2,CROQUIS!$C$107/2)))*CROQUIS!$C$159)+IF(CROQUIS!$C$92="X",0,0)),-1000)</f>
        <v>-1000</v>
      </c>
      <c r="V24">
        <f>IF(AND(CROQUIS!$C$88=1,CROQUIS!$C$91=1),((CROQUIS!$C$160+(IF(CROQUIS!$C$92="X",IF(CROQUIS!$C$94=1,0,CROQUIS!$C$97)+IF(MOD($A24,2)=1,-CROQUIS!$C$107/2,CROQUIS!$C$107/2),(MIN($A24,41)-1)/40*CROQUIS!$C$98))*CROQUIS!$C$159)+IF(CROQUIS!$C$92="X",0,0)),-1000)</f>
        <v>-1000</v>
      </c>
      <c r="W24">
        <f>IF(AND(CROQUIS!$C$88=1,CROQUIS!$C$91=1),((CROQUIS!$C$161+(IF(CROQUIS!$C$92="X",(MIN($A24,41)-1)/40*CROQUIS!$C$98,IF(CROQUIS!$C$94=1,0,CROQUIS!$C$97)+IF(MOD($A24,2)=1,-CROQUIS!$C$107/2,CROQUIS!$C$107/2)))*CROQUIS!$C$159)+IF(CROQUIS!$C$92="X",0,0)),-1000)</f>
        <v>-1000</v>
      </c>
      <c r="AJ24">
        <f>IF(AND(CROQUIS!$C$87=1,CROQUIS!$C$162&gt;0,CROQUIS!$C$164&gt;0),(CROQUIS!$C$160+((CROQUIS!$C$163+INT(MIN(INT(($A24-1)/2),MAX((2*CROQUIS!$C$162)-1,0))/2)*CROQUIS!$C$116+MOD(MIN(INT(($A24-1)/2),MAX((2*CROQUIS!$C$162)-1,0)),2)*CROQUIS!$C$114))*CROQUIS!$C$159),-1000)</f>
        <v>71.0347943967465</v>
      </c>
      <c r="AK24">
        <f>IF(AND(CROQUIS!$C$87=1,CROQUIS!$C$162&gt;0,CROQUIS!$C$164&gt;0),(CROQUIS!$C$161+(IF(MOD(MIN(INT(($A24-1)/2),MAX((2*CROQUIS!$C$162)-1,0)),2)=0,IF(IF(INT(($A24-1)/2)&gt;MAX((2*CROQUIS!$C$162)-1,0),1,MOD($A24-1,2))=0,CROQUIS!$C$165,(CROQUIS!$C$165+(CROQUIS!$C$164-1)*CROQUIS!$C$116+CROQUIS!$C$115)),IF(IF(INT(($A24-1)/2)&gt;MAX((2*CROQUIS!$C$162)-1,0),1,MOD($A24-1,2))=0,(CROQUIS!$C$165+(CROQUIS!$C$164-1)*CROQUIS!$C$116+CROQUIS!$C$115),CROQUIS!$C$165)))*CROQUIS!$C$159),-1000)</f>
        <v>20.8088567555355</v>
      </c>
      <c r="AL24">
        <f>IF(AND(CROQUIS!$C$87=1,CROQUIS!$C$164&gt;0,CROQUIS!$C$162&gt;0),(CROQUIS!$C$160+(IF(MOD(MIN(INT(($A24-1)/2),MAX((2*CROQUIS!$C$164)-1,0)),2)=0,IF(IF(INT(($A24-1)/2)&gt;MAX((2*CROQUIS!$C$164)-1,0),1,MOD($A24-1,2))=0,CROQUIS!$C$163,(CROQUIS!$C$163+(CROQUIS!$C$162-1)*CROQUIS!$C$116+CROQUIS!$C$114)),IF(IF(INT(($A24-1)/2)&gt;MAX((2*CROQUIS!$C$164)-1,0),1,MOD($A24-1,2))=0,(CROQUIS!$C$163+(CROQUIS!$C$162-1)*CROQUIS!$C$116+CROQUIS!$C$114),CROQUIS!$C$163)))*CROQUIS!$C$159),-1000)</f>
        <v>22.9552643470402</v>
      </c>
      <c r="AM24">
        <f>IF(AND(CROQUIS!$C$87=1,CROQUIS!$C$164&gt;0,CROQUIS!$C$162&gt;0),(CROQUIS!$C$161+((CROQUIS!$C$165+INT(MIN(INT(($A24-1)/2),MAX((2*CROQUIS!$C$164)-1,0))/2)*CROQUIS!$C$116+MOD(MIN(INT(($A24-1)/2),MAX((2*CROQUIS!$C$164)-1,0)),2)*CROQUIS!$C$115))*CROQUIS!$C$159),-1000)</f>
        <v>68.8883868052418</v>
      </c>
      <c r="AN24">
        <f>IF(AND(CROQUIS!$C$87=1,CROQUIS!$C$162&gt;=2),(CROQUIS!$C$160+((CROQUIS!$C$163+CROQUIS!$C$114+(CROQUIS!$C$116-CROQUIS!$C$114)/2+MIN(INT(($A24-1)/2),MAX((CROQUIS!$C$162-1)-1,0))*CROQUIS!$C$116))*CROQUIS!$C$159),-1000)</f>
        <v>70.1762313601446</v>
      </c>
      <c r="AO24">
        <f>IF(AND(CROQUIS!$C$87=1,CROQUIS!$C$162&gt;=2),(CROQUIS!$C$161+(IF(MOD(MIN(INT(($A24-1)/2),MAX((CROQUIS!$C$162-1)-1,0)),2)=0,IF(IF(INT(($A24-1)/2)&gt;MAX((CROQUIS!$C$162-1)-1,0),1,MOD($A24-1,2))=0,CROQUIS!$C$107/2,(CROQUIS!$C$96-CROQUIS!$C$107/2)),IF(IF(INT(($A24-1)/2)&gt;MAX((CROQUIS!$C$162-1)-1,0),1,MOD($A24-1,2))=0,(CROQUIS!$C$96-CROQUIS!$C$107/2),CROQUIS!$C$107/2)))*CROQUIS!$C$159),-1000)</f>
        <v>16.9453230908269</v>
      </c>
      <c r="AP24">
        <f>IF(AND(CROQUIS!$C$87=1,CROQUIS!$C$164&gt;=2),(CROQUIS!$C$160+(IF(MOD(MIN(INT(($A24-1)/2),MAX((CROQUIS!$C$164-1)-1,0)),2)=0,IF(IF(INT(($A24-1)/2)&gt;MAX((CROQUIS!$C$164-1)-1,0),1,MOD($A24-1,2))=0,CROQUIS!$C$107/2,(CROQUIS!$C$95-CROQUIS!$C$107/2)),IF(IF(INT(($A24-1)/2)&gt;MAX((CROQUIS!$C$164-1)-1,0),1,MOD($A24-1,2))=0,(CROQUIS!$C$95-CROQUIS!$C$107/2),CROQUIS!$C$107/2)))*CROQUIS!$C$159),-1000)</f>
        <v>13.2878445549028</v>
      </c>
      <c r="AQ24">
        <f>IF(AND(CROQUIS!$C$87=1,CROQUIS!$C$164&gt;=2),(CROQUIS!$C$161+((CROQUIS!$C$165+CROQUIS!$C$115+(CROQUIS!$C$116-CROQUIS!$C$115)/2+MIN(INT(($A24-1)/2),MAX((CROQUIS!$C$164-1)-1,0))*CROQUIS!$C$116))*CROQUIS!$C$159),-1000)</f>
        <v>68.0298237686399</v>
      </c>
      <c r="BN24">
        <f>IF(AND(CROQUIS!$C$88=1,CROQUIS!$C$129&gt;0),((CROQUIS!$C$160+(IF(CROQUIS!$C$92="X",CHOOSE(IF(INT(($A24-1)/5)&gt;MAX((MAX(1,INT(((CROQUIS!$C$98)-CROQUIS!$C$107)/MAX((CROQUIS!$C$129*MAX(1,CEILING((INT(((CROQUIS!$C$98)-CROQUIS!$C$107)/MAX(CROQUIS!$C$129,1))+1)/80,1))),1))+1))-1,0),0,MOD($A24-1,5))+1,0,2,CROQUIS!$C$97-2,2,0),((CROQUIS!$C$107/2+(((CROQUIS!$C$98)-CROQUIS!$C$107)-(MAX(1,INT(((CROQUIS!$C$98)-CROQUIS!$C$107)/MAX((CROQUIS!$C$129*MAX(1,CEILING((INT(((CROQUIS!$C$98)-CROQUIS!$C$107)/MAX(CROQUIS!$C$129,1))+1)/80,1))),1))+1)-1)*(CROQUIS!$C$129*MAX(1,CEILING((INT(((CROQUIS!$C$98)-CROQUIS!$C$107)/MAX(CROQUIS!$C$129,1))+1)/80,1))))/2)+MIN(INT(($A24-1)/5),MAX((MAX(1,INT(((CROQUIS!$C$98)-CROQUIS!$C$107)/MAX((CROQUIS!$C$129*MAX(1,CEILING((INT(((CROQUIS!$C$98)-CROQUIS!$C$107)/MAX(CROQUIS!$C$129,1))+1)/80,1))),1))+1))-1,0))*(CROQUIS!$C$129*MAX(1,CEILING((INT(((CROQUIS!$C$98)-CROQUIS!$C$107)/MAX(CROQUIS!$C$129,1))+1)/80,1))))))*CROQUIS!$C$159)+IF(CROQUIS!$C$92="X",0,0)),-1000)</f>
        <v>-1000</v>
      </c>
      <c r="BO24">
        <f>IF(AND(CROQUIS!$C$88=1,CROQUIS!$C$129&gt;0),((CROQUIS!$C$161+(IF(CROQUIS!$C$92="X",((CROQUIS!$C$107/2+(((CROQUIS!$C$98)-CROQUIS!$C$107)-(MAX(1,INT(((CROQUIS!$C$98)-CROQUIS!$C$107)/MAX((CROQUIS!$C$129*MAX(1,CEILING((INT(((CROQUIS!$C$98)-CROQUIS!$C$107)/MAX(CROQUIS!$C$129,1))+1)/80,1))),1))+1)-1)*(CROQUIS!$C$129*MAX(1,CEILING((INT(((CROQUIS!$C$98)-CROQUIS!$C$107)/MAX(CROQUIS!$C$129,1))+1)/80,1))))/2)+MIN(INT(($A24-1)/5),MAX((MAX(1,INT(((CROQUIS!$C$98)-CROQUIS!$C$107)/MAX((CROQUIS!$C$129*MAX(1,CEILING((INT(((CROQUIS!$C$98)-CROQUIS!$C$107)/MAX(CROQUIS!$C$129,1))+1)/80,1))),1))+1))-1,0))*(CROQUIS!$C$129*MAX(1,CEILING((INT(((CROQUIS!$C$98)-CROQUIS!$C$107)/MAX(CROQUIS!$C$129,1))+1)/80,1)))),CHOOSE(IF(INT(($A24-1)/5)&gt;MAX((MAX(1,INT(((CROQUIS!$C$98)-CROQUIS!$C$107)/MAX((CROQUIS!$C$129*MAX(1,CEILING((INT(((CROQUIS!$C$98)-CROQUIS!$C$107)/MAX(CROQUIS!$C$129,1))+1)/80,1))),1))+1))-1,0),0,MOD($A24-1,5))+1,0,2,CROQUIS!$C$97-2,2,0)))*CROQUIS!$C$159)+IF(CROQUIS!$C$92="X",0,0)),-1000)</f>
        <v>-1000</v>
      </c>
      <c r="BP24">
        <f>IF(AND(CROQUIS!$C$88=1,CROQUIS!$C$137&gt;0),((CROQUIS!$C$160+(IF(CROQUIS!$C$92="X",((CROQUIS!$C$107/2+(((CROQUIS!$C$97)-CROQUIS!$C$107)-(MAX(1,INT(((CROQUIS!$C$97)-CROQUIS!$C$107)/MAX((CROQUIS!$C$137*MAX(1,CEILING((INT(((CROQUIS!$C$97)-CROQUIS!$C$107)/MAX(CROQUIS!$C$137,1))+1)/80,1))),1))+1)-1)*(CROQUIS!$C$137*MAX(1,CEILING((INT(((CROQUIS!$C$97)-CROQUIS!$C$107)/MAX(CROQUIS!$C$137,1))+1)/80,1))))/2)+MIN(INT(($A24-1)/5),MAX((MAX(1,INT(((CROQUIS!$C$97)-CROQUIS!$C$107)/MAX((CROQUIS!$C$137*MAX(1,CEILING((INT(((CROQUIS!$C$97)-CROQUIS!$C$107)/MAX(CROQUIS!$C$137,1))+1)/80,1))),1))+1))-1,0))*(CROQUIS!$C$137*MAX(1,CEILING((INT(((CROQUIS!$C$97)-CROQUIS!$C$107)/MAX(CROQUIS!$C$137,1))+1)/80,1)))),CHOOSE(IF(INT(($A24-1)/5)&gt;MAX((MAX(1,INT(((CROQUIS!$C$97)-CROQUIS!$C$107)/MAX((CROQUIS!$C$137*MAX(1,CEILING((INT(((CROQUIS!$C$97)-CROQUIS!$C$107)/MAX(CROQUIS!$C$137,1))+1)/80,1))),1))+1))-1,0),0,MOD($A24-1,5))+1,0,2,CROQUIS!$C$98-2,2,0)))*CROQUIS!$C$159)+IF(CROQUIS!$C$92="X",0,0)),-1000)</f>
        <v>-1000</v>
      </c>
      <c r="BQ24">
        <f>IF(AND(CROQUIS!$C$88=1,CROQUIS!$C$137&gt;0),((CROQUIS!$C$161+(IF(CROQUIS!$C$92="X",CHOOSE(IF(INT(($A24-1)/5)&gt;MAX((MAX(1,INT(((CROQUIS!$C$97)-CROQUIS!$C$107)/MAX((CROQUIS!$C$137*MAX(1,CEILING((INT(((CROQUIS!$C$97)-CROQUIS!$C$107)/MAX(CROQUIS!$C$137,1))+1)/80,1))),1))+1))-1,0),0,MOD($A24-1,5))+1,0,2,CROQUIS!$C$98-2,2,0),((CROQUIS!$C$107/2+(((CROQUIS!$C$97)-CROQUIS!$C$107)-(MAX(1,INT(((CROQUIS!$C$97)-CROQUIS!$C$107)/MAX((CROQUIS!$C$137*MAX(1,CEILING((INT(((CROQUIS!$C$97)-CROQUIS!$C$107)/MAX(CROQUIS!$C$137,1))+1)/80,1))),1))+1)-1)*(CROQUIS!$C$137*MAX(1,CEILING((INT(((CROQUIS!$C$97)-CROQUIS!$C$107)/MAX(CROQUIS!$C$137,1))+1)/80,1))))/2)+MIN(INT(($A24-1)/5),MAX((MAX(1,INT(((CROQUIS!$C$97)-CROQUIS!$C$107)/MAX((CROQUIS!$C$137*MAX(1,CEILING((INT(((CROQUIS!$C$97)-CROQUIS!$C$107)/MAX(CROQUIS!$C$137,1))+1)/80,1))),1))+1))-1,0))*(CROQUIS!$C$137*MAX(1,CEILING((INT(((CROQUIS!$C$97)-CROQUIS!$C$107)/MAX(CROQUIS!$C$137,1))+1)/80,1))))))*CROQUIS!$C$159)+IF(CROQUIS!$C$92="X",0,0)),-1000)</f>
        <v>-1000</v>
      </c>
      <c r="BR24">
        <f>IF(AND(CROQUIS!$C$88=1,CROQUIS!$C$91=0,CROQUIS!$C$133&gt;0,OR(CROQUIS!$C$103=1,CROQUIS!$C$145=1)),((CROQUIS!$C$160+(IF(CROQUIS!$C$92="X",CHOOSE(IF(INT(($A24-1)/5)&gt;MAX((MAX(1,INT(((CROQUIS!$C$98)-CROQUIS!$C$107)/MAX((CROQUIS!$C$133*MAX(1,CEILING((INT(((CROQUIS!$C$98)-CROQUIS!$C$107)/MAX(CROQUIS!$C$133,1))+1)/80,1))),1))+1))-1,0),0,MOD($A24-1,5))+1,0,IF(CROQUIS!$C$103=1,-12,2),CROQUIS!$C$107/2+CROQUIS!$C$143,IF(CROQUIS!$C$103=1,-12,2),0),((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BS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+1,0,IF(CROQUIS!$C$103=1,-12,2),CROQUIS!$C$107/2+CROQUIS!$C$143,IF(CROQUIS!$C$103=1,-12,2),0)))*CROQUIS!$C$159)+IF(CROQUIS!$C$92="X",0.8,0)),-1000)</f>
        <v>-1000</v>
      </c>
      <c r="BT24">
        <f>IF(AND(CROQUIS!$C$88=1,CROQUIS!$C$91=0,CROQUIS!$C$133&gt;0,OR(CROQUIS!$C$104=1,CROQUIS!$C$145=1)),((CROQUIS!$C$160+(IF(CROQUIS!$C$92="X",CHOOSE(IF(INT(($A24-1)/5)&gt;MAX((MAX(1,INT(((CROQUIS!$C$98)-CROQUIS!$C$107)/MAX((CROQUIS!$C$133*MAX(1,CEILING((INT(((CROQUIS!$C$98)-CROQUIS!$C$107)/MAX(CROQUIS!$C$133,1))+1)/80,1))),1))+1))-1,0),0,MOD($A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BU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CROQUIS!$C$97,CROQUIS!$C$97-CROQUIS!$C$107/2-CROQUIS!$C$143,IF(CROQUIS!$C$104=1,CROQUIS!$C$97+12,CROQUIS!$C$97-2),CROQUIS!$C$97-CROQUIS!$C$107/2-CROQUIS!$C$143,CROQUIS!$C$97)))*CROQUIS!$C$159)+IF(CROQUIS!$C$92="X",0.8,0)),-1000)</f>
        <v>-1000</v>
      </c>
      <c r="BV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HOOSE(IF(INT(($A24-1)/5)&gt;MAX((MAX(1,INT(((CROQUIS!$C$97)-CROQUIS!$C$107)/MAX((CROQUIS!$C$141*MAX(1,CEILING((INT(((CROQUIS!$C$97)-CROQUIS!$C$107)/MAX(CROQUIS!$C$141,1))+1)/80,1))),1))+1))-1,0),0,MOD($A24-1,5))+1,0,IF(CROQUIS!$C$105=1,-12,2),CROQUIS!$C$107/2+CROQUIS!$C$144,IF(CROQUIS!$C$105=1,-12,2),0)))*CROQUIS!$C$159)+IF(CROQUIS!$C$92="X",0.8,0)),-1000)</f>
        <v>-1000</v>
      </c>
      <c r="BW24">
        <f>IF(AND(CROQUIS!$C$88=1,CROQUIS!$C$91=0,CROQUIS!$C$141&gt;0,OR(CROQUIS!$C$105=1,CROQUIS!$C$146=1)),((CROQUIS!$C$161+(IF(CROQUIS!$C$92="X",CHOOSE(IF(INT(($A24-1)/5)&gt;MAX((MAX(1,INT(((CROQUIS!$C$97)-CROQUIS!$C$107)/MAX((CROQUIS!$C$141*MAX(1,CEILING((INT(((CROQUIS!$C$97)-CROQUIS!$C$107)/MAX(CROQUIS!$C$141,1))+1)/80,1))),1))+1))-1,0),0,MOD($A24-1,5))+1,0,IF(CROQUIS!$C$105=1,-12,2),CROQUIS!$C$107/2+CROQUIS!$C$144,IF(CROQUIS!$C$105=1,-12,2),0),((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ROQUIS!$C$159)+IF(CROQUIS!$C$92="X",0,0.8)),-1000)</f>
        <v>-1000</v>
      </c>
      <c r="BX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HOOSE(IF(INT(($A24-1)/5)&gt;MAX((MAX(1,INT(((CROQUIS!$C$97)-CROQUIS!$C$107)/MAX((CROQUIS!$C$141*MAX(1,CEILING((INT(((CROQUIS!$C$97)-CROQUIS!$C$107)/MAX(CROQUIS!$C$141,1))+1)/80,1))),1))+1))-1,0),0,MOD($A24-1,5))+1,CROQUIS!$C$98,CROQUIS!$C$98-CROQUIS!$C$107/2-CROQUIS!$C$144,IF(CROQUIS!$C$106=1,CROQUIS!$C$98+12,CROQUIS!$C$98-2),CROQUIS!$C$98-CROQUIS!$C$107/2-CROQUIS!$C$144,CROQUIS!$C$98)))*CROQUIS!$C$159)+IF(CROQUIS!$C$92="X",0.8,0)),-1000)</f>
        <v>-1000</v>
      </c>
      <c r="BY24">
        <f>IF(AND(CROQUIS!$C$88=1,CROQUIS!$C$91=0,CROQUIS!$C$141&gt;0,OR(CROQUIS!$C$106=1,CROQUIS!$C$146=1)),((CROQUIS!$C$161+(IF(CROQUIS!$C$92="X",CHOOSE(IF(INT(($A24-1)/5)&gt;MAX((MAX(1,INT(((CROQUIS!$C$97)-CROQUIS!$C$107)/MAX((CROQUIS!$C$141*MAX(1,CEILING((INT(((CROQUIS!$C$97)-CROQUIS!$C$107)/MAX(CROQUIS!$C$141,1))+1)/80,1))),1))+1))-1,0),0,MOD($A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ROQUIS!$C$159)+IF(CROQUIS!$C$92="X",0,0.8)),-1000)</f>
        <v>-1000</v>
      </c>
      <c r="BZ24">
        <f>IF(AND(CROQUIS!$C$88=1,CROQUIS!$C$91=1,CROQUIS!$C$133&gt;0),((CROQUIS!$C$160+(IF(CROQUIS!$C$92="X",CHOOSE(IF(INT(($A24-1)/5)&gt;MAX((MAX(1,INT(((CROQUIS!$C$98)-CROQUIS!$C$107)/MAX((CROQUIS!$C$133*MAX(1,CEILING((INT(((CROQUIS!$C$98)-CROQUIS!$C$107)/MAX(CROQUIS!$C$133,1))+1)/80,1))),1))+1))-1,0),0,MOD($A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CA24">
        <f>IF(AND(CROQUIS!$C$88=1,CROQUIS!$C$91=1,CROQUIS!$C$133&gt;0),((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
      <c r="A25" t="n">
        <v>18</v>
      </c>
      <c r="F25">
        <f>IF(AND(CROQUIS!$C$87=1,CROQUIS!$C$91=1),((CROQUIS!$C$160+(IF(CROQUIS!$C$92="X",IF(CROQUIS!$C$94=1,0,CROQUIS!$C$97)+IF(MOD($A25,2)=1,-CROQUIS!$C$107/2,CROQUIS!$C$107/2),(MIN($A25,41)-1)/40*CROQUIS!$C$98))*CROQUIS!$C$159)+IF(CROQUIS!$C$92="X",0,0)),-1000)</f>
        <v>-1000</v>
      </c>
      <c r="G25">
        <f>IF(AND(CROQUIS!$C$87=1,CROQUIS!$C$91=1),((CROQUIS!$C$161+(IF(CROQUIS!$C$92="X",(MIN($A25,41)-1)/40*CROQUIS!$C$98,IF(CROQUIS!$C$94=1,0,CROQUIS!$C$97)+IF(MOD($A25,2)=1,-CROQUIS!$C$107/2,CROQUIS!$C$107/2)))*CROQUIS!$C$159)+IF(CROQUIS!$C$92="X",0,0)),-1000)</f>
        <v>-1000</v>
      </c>
      <c r="V25">
        <f>IF(AND(CROQUIS!$C$88=1,CROQUIS!$C$91=1),((CROQUIS!$C$160+(IF(CROQUIS!$C$92="X",IF(CROQUIS!$C$94=1,0,CROQUIS!$C$97)+IF(MOD($A25,2)=1,-CROQUIS!$C$107/2,CROQUIS!$C$107/2),(MIN($A25,41)-1)/40*CROQUIS!$C$98))*CROQUIS!$C$159)+IF(CROQUIS!$C$92="X",0,0)),-1000)</f>
        <v>-1000</v>
      </c>
      <c r="W25">
        <f>IF(AND(CROQUIS!$C$88=1,CROQUIS!$C$91=1),((CROQUIS!$C$161+(IF(CROQUIS!$C$92="X",(MIN($A25,41)-1)/40*CROQUIS!$C$98,IF(CROQUIS!$C$94=1,0,CROQUIS!$C$97)+IF(MOD($A25,2)=1,-CROQUIS!$C$107/2,CROQUIS!$C$107/2)))*CROQUIS!$C$159)+IF(CROQUIS!$C$92="X",0,0)),-1000)</f>
        <v>-1000</v>
      </c>
      <c r="AJ25">
        <f>IF(AND(CROQUIS!$C$87=1,CROQUIS!$C$162&gt;0,CROQUIS!$C$164&gt;0),(CROQUIS!$C$160+((CROQUIS!$C$163+INT(MIN(INT(($A25-1)/2),MAX((2*CROQUIS!$C$162)-1,0))/2)*CROQUIS!$C$116+MOD(MIN(INT(($A25-1)/2),MAX((2*CROQUIS!$C$162)-1,0)),2)*CROQUIS!$C$114))*CROQUIS!$C$159),-1000)</f>
        <v>71.0347943967465</v>
      </c>
      <c r="AK25">
        <f>IF(AND(CROQUIS!$C$87=1,CROQUIS!$C$162&gt;0,CROQUIS!$C$164&gt;0),(CROQUIS!$C$161+(IF(MOD(MIN(INT(($A25-1)/2),MAX((2*CROQUIS!$C$162)-1,0)),2)=0,IF(IF(INT(($A25-1)/2)&gt;MAX((2*CROQUIS!$C$162)-1,0),1,MOD($A25-1,2))=0,CROQUIS!$C$165,(CROQUIS!$C$165+(CROQUIS!$C$164-1)*CROQUIS!$C$116+CROQUIS!$C$115)),IF(IF(INT(($A25-1)/2)&gt;MAX((2*CROQUIS!$C$162)-1,0),1,MOD($A25-1,2))=0,(CROQUIS!$C$165+(CROQUIS!$C$164-1)*CROQUIS!$C$116+CROQUIS!$C$115),CROQUIS!$C$165)))*CROQUIS!$C$159),-1000)</f>
        <v>79.1911432444645</v>
      </c>
      <c r="AL25">
        <f>IF(AND(CROQUIS!$C$87=1,CROQUIS!$C$164&gt;0,CROQUIS!$C$162&gt;0),(CROQUIS!$C$160+(IF(MOD(MIN(INT(($A25-1)/2),MAX((2*CROQUIS!$C$164)-1,0)),2)=0,IF(IF(INT(($A25-1)/2)&gt;MAX((2*CROQUIS!$C$164)-1,0),1,MOD($A25-1,2))=0,CROQUIS!$C$163,(CROQUIS!$C$163+(CROQUIS!$C$162-1)*CROQUIS!$C$116+CROQUIS!$C$114)),IF(IF(INT(($A25-1)/2)&gt;MAX((2*CROQUIS!$C$164)-1,0),1,MOD($A25-1,2))=0,(CROQUIS!$C$163+(CROQUIS!$C$162-1)*CROQUIS!$C$116+CROQUIS!$C$114),CROQUIS!$C$163)))*CROQUIS!$C$159),-1000)</f>
        <v>81.3375508359693</v>
      </c>
      <c r="AM25">
        <f>IF(AND(CROQUIS!$C$87=1,CROQUIS!$C$164&gt;0,CROQUIS!$C$162&gt;0),(CROQUIS!$C$161+((CROQUIS!$C$165+INT(MIN(INT(($A25-1)/2),MAX((2*CROQUIS!$C$164)-1,0))/2)*CROQUIS!$C$116+MOD(MIN(INT(($A25-1)/2),MAX((2*CROQUIS!$C$164)-1,0)),2)*CROQUIS!$C$115))*CROQUIS!$C$159),-1000)</f>
        <v>68.8883868052418</v>
      </c>
      <c r="AN25">
        <f>IF(AND(CROQUIS!$C$87=1,CROQUIS!$C$162&gt;=2),(CROQUIS!$C$160+((CROQUIS!$C$163+CROQUIS!$C$114+(CROQUIS!$C$116-CROQUIS!$C$114)/2+MIN(INT(($A25-1)/2),MAX((CROQUIS!$C$162-1)-1,0))*CROQUIS!$C$116))*CROQUIS!$C$159),-1000)</f>
        <v>70.1762313601446</v>
      </c>
      <c r="AO25">
        <f>IF(AND(CROQUIS!$C$87=1,CROQUIS!$C$162&gt;=2),(CROQUIS!$C$161+(IF(MOD(MIN(INT(($A25-1)/2),MAX((CROQUIS!$C$162-1)-1,0)),2)=0,IF(IF(INT(($A25-1)/2)&gt;MAX((CROQUIS!$C$162-1)-1,0),1,MOD($A25-1,2))=0,CROQUIS!$C$107/2,(CROQUIS!$C$96-CROQUIS!$C$107/2)),IF(IF(INT(($A25-1)/2)&gt;MAX((CROQUIS!$C$162-1)-1,0),1,MOD($A25-1,2))=0,(CROQUIS!$C$96-CROQUIS!$C$107/2),CROQUIS!$C$107/2)))*CROQUIS!$C$159),-1000)</f>
        <v>16.9453230908269</v>
      </c>
      <c r="AP25">
        <f>IF(AND(CROQUIS!$C$87=1,CROQUIS!$C$164&gt;=2),(CROQUIS!$C$160+(IF(MOD(MIN(INT(($A25-1)/2),MAX((CROQUIS!$C$164-1)-1,0)),2)=0,IF(IF(INT(($A25-1)/2)&gt;MAX((CROQUIS!$C$164-1)-1,0),1,MOD($A25-1,2))=0,CROQUIS!$C$107/2,(CROQUIS!$C$95-CROQUIS!$C$107/2)),IF(IF(INT(($A25-1)/2)&gt;MAX((CROQUIS!$C$164-1)-1,0),1,MOD($A25-1,2))=0,(CROQUIS!$C$95-CROQUIS!$C$107/2),CROQUIS!$C$107/2)))*CROQUIS!$C$159),-1000)</f>
        <v>13.2878445549028</v>
      </c>
      <c r="AQ25">
        <f>IF(AND(CROQUIS!$C$87=1,CROQUIS!$C$164&gt;=2),(CROQUIS!$C$161+((CROQUIS!$C$165+CROQUIS!$C$115+(CROQUIS!$C$116-CROQUIS!$C$115)/2+MIN(INT(($A25-1)/2),MAX((CROQUIS!$C$164-1)-1,0))*CROQUIS!$C$116))*CROQUIS!$C$159),-1000)</f>
        <v>68.0298237686399</v>
      </c>
      <c r="BN25">
        <f>IF(AND(CROQUIS!$C$88=1,CROQUIS!$C$129&gt;0),((CROQUIS!$C$160+(IF(CROQUIS!$C$92="X",CHOOSE(IF(INT(($A25-1)/5)&gt;MAX((MAX(1,INT(((CROQUIS!$C$98)-CROQUIS!$C$107)/MAX((CROQUIS!$C$129*MAX(1,CEILING((INT(((CROQUIS!$C$98)-CROQUIS!$C$107)/MAX(CROQUIS!$C$129,1))+1)/80,1))),1))+1))-1,0),0,MOD($A25-1,5))+1,0,2,CROQUIS!$C$97-2,2,0),((CROQUIS!$C$107/2+(((CROQUIS!$C$98)-CROQUIS!$C$107)-(MAX(1,INT(((CROQUIS!$C$98)-CROQUIS!$C$107)/MAX((CROQUIS!$C$129*MAX(1,CEILING((INT(((CROQUIS!$C$98)-CROQUIS!$C$107)/MAX(CROQUIS!$C$129,1))+1)/80,1))),1))+1)-1)*(CROQUIS!$C$129*MAX(1,CEILING((INT(((CROQUIS!$C$98)-CROQUIS!$C$107)/MAX(CROQUIS!$C$129,1))+1)/80,1))))/2)+MIN(INT(($A25-1)/5),MAX((MAX(1,INT(((CROQUIS!$C$98)-CROQUIS!$C$107)/MAX((CROQUIS!$C$129*MAX(1,CEILING((INT(((CROQUIS!$C$98)-CROQUIS!$C$107)/MAX(CROQUIS!$C$129,1))+1)/80,1))),1))+1))-1,0))*(CROQUIS!$C$129*MAX(1,CEILING((INT(((CROQUIS!$C$98)-CROQUIS!$C$107)/MAX(CROQUIS!$C$129,1))+1)/80,1))))))*CROQUIS!$C$159)+IF(CROQUIS!$C$92="X",0,0)),-1000)</f>
        <v>-1000</v>
      </c>
      <c r="BO25">
        <f>IF(AND(CROQUIS!$C$88=1,CROQUIS!$C$129&gt;0),((CROQUIS!$C$161+(IF(CROQUIS!$C$92="X",((CROQUIS!$C$107/2+(((CROQUIS!$C$98)-CROQUIS!$C$107)-(MAX(1,INT(((CROQUIS!$C$98)-CROQUIS!$C$107)/MAX((CROQUIS!$C$129*MAX(1,CEILING((INT(((CROQUIS!$C$98)-CROQUIS!$C$107)/MAX(CROQUIS!$C$129,1))+1)/80,1))),1))+1)-1)*(CROQUIS!$C$129*MAX(1,CEILING((INT(((CROQUIS!$C$98)-CROQUIS!$C$107)/MAX(CROQUIS!$C$129,1))+1)/80,1))))/2)+MIN(INT(($A25-1)/5),MAX((MAX(1,INT(((CROQUIS!$C$98)-CROQUIS!$C$107)/MAX((CROQUIS!$C$129*MAX(1,CEILING((INT(((CROQUIS!$C$98)-CROQUIS!$C$107)/MAX(CROQUIS!$C$129,1))+1)/80,1))),1))+1))-1,0))*(CROQUIS!$C$129*MAX(1,CEILING((INT(((CROQUIS!$C$98)-CROQUIS!$C$107)/MAX(CROQUIS!$C$129,1))+1)/80,1)))),CHOOSE(IF(INT(($A25-1)/5)&gt;MAX((MAX(1,INT(((CROQUIS!$C$98)-CROQUIS!$C$107)/MAX((CROQUIS!$C$129*MAX(1,CEILING((INT(((CROQUIS!$C$98)-CROQUIS!$C$107)/MAX(CROQUIS!$C$129,1))+1)/80,1))),1))+1))-1,0),0,MOD($A25-1,5))+1,0,2,CROQUIS!$C$97-2,2,0)))*CROQUIS!$C$159)+IF(CROQUIS!$C$92="X",0,0)),-1000)</f>
        <v>-1000</v>
      </c>
      <c r="BP25">
        <f>IF(AND(CROQUIS!$C$88=1,CROQUIS!$C$137&gt;0),((CROQUIS!$C$160+(IF(CROQUIS!$C$92="X",((CROQUIS!$C$107/2+(((CROQUIS!$C$97)-CROQUIS!$C$107)-(MAX(1,INT(((CROQUIS!$C$97)-CROQUIS!$C$107)/MAX((CROQUIS!$C$137*MAX(1,CEILING((INT(((CROQUIS!$C$97)-CROQUIS!$C$107)/MAX(CROQUIS!$C$137,1))+1)/80,1))),1))+1)-1)*(CROQUIS!$C$137*MAX(1,CEILING((INT(((CROQUIS!$C$97)-CROQUIS!$C$107)/MAX(CROQUIS!$C$137,1))+1)/80,1))))/2)+MIN(INT(($A25-1)/5),MAX((MAX(1,INT(((CROQUIS!$C$97)-CROQUIS!$C$107)/MAX((CROQUIS!$C$137*MAX(1,CEILING((INT(((CROQUIS!$C$97)-CROQUIS!$C$107)/MAX(CROQUIS!$C$137,1))+1)/80,1))),1))+1))-1,0))*(CROQUIS!$C$137*MAX(1,CEILING((INT(((CROQUIS!$C$97)-CROQUIS!$C$107)/MAX(CROQUIS!$C$137,1))+1)/80,1)))),CHOOSE(IF(INT(($A25-1)/5)&gt;MAX((MAX(1,INT(((CROQUIS!$C$97)-CROQUIS!$C$107)/MAX((CROQUIS!$C$137*MAX(1,CEILING((INT(((CROQUIS!$C$97)-CROQUIS!$C$107)/MAX(CROQUIS!$C$137,1))+1)/80,1))),1))+1))-1,0),0,MOD($A25-1,5))+1,0,2,CROQUIS!$C$98-2,2,0)))*CROQUIS!$C$159)+IF(CROQUIS!$C$92="X",0,0)),-1000)</f>
        <v>-1000</v>
      </c>
      <c r="BQ25">
        <f>IF(AND(CROQUIS!$C$88=1,CROQUIS!$C$137&gt;0),((CROQUIS!$C$161+(IF(CROQUIS!$C$92="X",CHOOSE(IF(INT(($A25-1)/5)&gt;MAX((MAX(1,INT(((CROQUIS!$C$97)-CROQUIS!$C$107)/MAX((CROQUIS!$C$137*MAX(1,CEILING((INT(((CROQUIS!$C$97)-CROQUIS!$C$107)/MAX(CROQUIS!$C$137,1))+1)/80,1))),1))+1))-1,0),0,MOD($A25-1,5))+1,0,2,CROQUIS!$C$98-2,2,0),((CROQUIS!$C$107/2+(((CROQUIS!$C$97)-CROQUIS!$C$107)-(MAX(1,INT(((CROQUIS!$C$97)-CROQUIS!$C$107)/MAX((CROQUIS!$C$137*MAX(1,CEILING((INT(((CROQUIS!$C$97)-CROQUIS!$C$107)/MAX(CROQUIS!$C$137,1))+1)/80,1))),1))+1)-1)*(CROQUIS!$C$137*MAX(1,CEILING((INT(((CROQUIS!$C$97)-CROQUIS!$C$107)/MAX(CROQUIS!$C$137,1))+1)/80,1))))/2)+MIN(INT(($A25-1)/5),MAX((MAX(1,INT(((CROQUIS!$C$97)-CROQUIS!$C$107)/MAX((CROQUIS!$C$137*MAX(1,CEILING((INT(((CROQUIS!$C$97)-CROQUIS!$C$107)/MAX(CROQUIS!$C$137,1))+1)/80,1))),1))+1))-1,0))*(CROQUIS!$C$137*MAX(1,CEILING((INT(((CROQUIS!$C$97)-CROQUIS!$C$107)/MAX(CROQUIS!$C$137,1))+1)/80,1))))))*CROQUIS!$C$159)+IF(CROQUIS!$C$92="X",0,0)),-1000)</f>
        <v>-1000</v>
      </c>
      <c r="BR25">
        <f>IF(AND(CROQUIS!$C$88=1,CROQUIS!$C$91=0,CROQUIS!$C$133&gt;0,OR(CROQUIS!$C$103=1,CROQUIS!$C$145=1)),((CROQUIS!$C$160+(IF(CROQUIS!$C$92="X",CHOOSE(IF(INT(($A25-1)/5)&gt;MAX((MAX(1,INT(((CROQUIS!$C$98)-CROQUIS!$C$107)/MAX((CROQUIS!$C$133*MAX(1,CEILING((INT(((CROQUIS!$C$98)-CROQUIS!$C$107)/MAX(CROQUIS!$C$133,1))+1)/80,1))),1))+1))-1,0),0,MOD($A25-1,5))+1,0,IF(CROQUIS!$C$103=1,-12,2),CROQUIS!$C$107/2+CROQUIS!$C$143,IF(CROQUIS!$C$103=1,-12,2),0),((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BS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+1,0,IF(CROQUIS!$C$103=1,-12,2),CROQUIS!$C$107/2+CROQUIS!$C$143,IF(CROQUIS!$C$103=1,-12,2),0)))*CROQUIS!$C$159)+IF(CROQUIS!$C$92="X",0.8,0)),-1000)</f>
        <v>-1000</v>
      </c>
      <c r="BT25">
        <f>IF(AND(CROQUIS!$C$88=1,CROQUIS!$C$91=0,CROQUIS!$C$133&gt;0,OR(CROQUIS!$C$104=1,CROQUIS!$C$145=1)),((CROQUIS!$C$160+(IF(CROQUIS!$C$92="X",CHOOSE(IF(INT(($A25-1)/5)&gt;MAX((MAX(1,INT(((CROQUIS!$C$98)-CROQUIS!$C$107)/MAX((CROQUIS!$C$133*MAX(1,CEILING((INT(((CROQUIS!$C$98)-CROQUIS!$C$107)/MAX(CROQUIS!$C$133,1))+1)/80,1))),1))+1))-1,0),0,MOD($A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BU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CROQUIS!$C$97,CROQUIS!$C$97-CROQUIS!$C$107/2-CROQUIS!$C$143,IF(CROQUIS!$C$104=1,CROQUIS!$C$97+12,CROQUIS!$C$97-2),CROQUIS!$C$97-CROQUIS!$C$107/2-CROQUIS!$C$143,CROQUIS!$C$97)))*CROQUIS!$C$159)+IF(CROQUIS!$C$92="X",0.8,0)),-1000)</f>
        <v>-1000</v>
      </c>
      <c r="BV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HOOSE(IF(INT(($A25-1)/5)&gt;MAX((MAX(1,INT(((CROQUIS!$C$97)-CROQUIS!$C$107)/MAX((CROQUIS!$C$141*MAX(1,CEILING((INT(((CROQUIS!$C$97)-CROQUIS!$C$107)/MAX(CROQUIS!$C$141,1))+1)/80,1))),1))+1))-1,0),0,MOD($A25-1,5))+1,0,IF(CROQUIS!$C$105=1,-12,2),CROQUIS!$C$107/2+CROQUIS!$C$144,IF(CROQUIS!$C$105=1,-12,2),0)))*CROQUIS!$C$159)+IF(CROQUIS!$C$92="X",0.8,0)),-1000)</f>
        <v>-1000</v>
      </c>
      <c r="BW25">
        <f>IF(AND(CROQUIS!$C$88=1,CROQUIS!$C$91=0,CROQUIS!$C$141&gt;0,OR(CROQUIS!$C$105=1,CROQUIS!$C$146=1)),((CROQUIS!$C$161+(IF(CROQUIS!$C$92="X",CHOOSE(IF(INT(($A25-1)/5)&gt;MAX((MAX(1,INT(((CROQUIS!$C$97)-CROQUIS!$C$107)/MAX((CROQUIS!$C$141*MAX(1,CEILING((INT(((CROQUIS!$C$97)-CROQUIS!$C$107)/MAX(CROQUIS!$C$141,1))+1)/80,1))),1))+1))-1,0),0,MOD($A25-1,5))+1,0,IF(CROQUIS!$C$105=1,-12,2),CROQUIS!$C$107/2+CROQUIS!$C$144,IF(CROQUIS!$C$105=1,-12,2),0),((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ROQUIS!$C$159)+IF(CROQUIS!$C$92="X",0,0.8)),-1000)</f>
        <v>-1000</v>
      </c>
      <c r="BX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HOOSE(IF(INT(($A25-1)/5)&gt;MAX((MAX(1,INT(((CROQUIS!$C$97)-CROQUIS!$C$107)/MAX((CROQUIS!$C$141*MAX(1,CEILING((INT(((CROQUIS!$C$97)-CROQUIS!$C$107)/MAX(CROQUIS!$C$141,1))+1)/80,1))),1))+1))-1,0),0,MOD($A25-1,5))+1,CROQUIS!$C$98,CROQUIS!$C$98-CROQUIS!$C$107/2-CROQUIS!$C$144,IF(CROQUIS!$C$106=1,CROQUIS!$C$98+12,CROQUIS!$C$98-2),CROQUIS!$C$98-CROQUIS!$C$107/2-CROQUIS!$C$144,CROQUIS!$C$98)))*CROQUIS!$C$159)+IF(CROQUIS!$C$92="X",0.8,0)),-1000)</f>
        <v>-1000</v>
      </c>
      <c r="BY25">
        <f>IF(AND(CROQUIS!$C$88=1,CROQUIS!$C$91=0,CROQUIS!$C$141&gt;0,OR(CROQUIS!$C$106=1,CROQUIS!$C$146=1)),((CROQUIS!$C$161+(IF(CROQUIS!$C$92="X",CHOOSE(IF(INT(($A25-1)/5)&gt;MAX((MAX(1,INT(((CROQUIS!$C$97)-CROQUIS!$C$107)/MAX((CROQUIS!$C$141*MAX(1,CEILING((INT(((CROQUIS!$C$97)-CROQUIS!$C$107)/MAX(CROQUIS!$C$141,1))+1)/80,1))),1))+1))-1,0),0,MOD($A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ROQUIS!$C$159)+IF(CROQUIS!$C$92="X",0,0.8)),-1000)</f>
        <v>-1000</v>
      </c>
      <c r="BZ25">
        <f>IF(AND(CROQUIS!$C$88=1,CROQUIS!$C$91=1,CROQUIS!$C$133&gt;0),((CROQUIS!$C$160+(IF(CROQUIS!$C$92="X",CHOOSE(IF(INT(($A25-1)/5)&gt;MAX((MAX(1,INT(((CROQUIS!$C$98)-CROQUIS!$C$107)/MAX((CROQUIS!$C$133*MAX(1,CEILING((INT(((CROQUIS!$C$98)-CROQUIS!$C$107)/MAX(CROQUIS!$C$133,1))+1)/80,1))),1))+1))-1,0),0,MOD($A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CA25">
        <f>IF(AND(CROQUIS!$C$88=1,CROQUIS!$C$91=1,CROQUIS!$C$133&gt;0),((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
      <c r="A26" t="n">
        <v>19</v>
      </c>
      <c r="F26">
        <f>IF(AND(CROQUIS!$C$87=1,CROQUIS!$C$91=1),((CROQUIS!$C$160+(IF(CROQUIS!$C$92="X",IF(CROQUIS!$C$94=1,0,CROQUIS!$C$97)+IF(MOD($A26,2)=1,-CROQUIS!$C$107/2,CROQUIS!$C$107/2),(MIN($A26,41)-1)/40*CROQUIS!$C$98))*CROQUIS!$C$159)+IF(CROQUIS!$C$92="X",0,0)),-1000)</f>
        <v>-1000</v>
      </c>
      <c r="G26">
        <f>IF(AND(CROQUIS!$C$87=1,CROQUIS!$C$91=1),((CROQUIS!$C$161+(IF(CROQUIS!$C$92="X",(MIN($A26,41)-1)/40*CROQUIS!$C$98,IF(CROQUIS!$C$94=1,0,CROQUIS!$C$97)+IF(MOD($A26,2)=1,-CROQUIS!$C$107/2,CROQUIS!$C$107/2)))*CROQUIS!$C$159)+IF(CROQUIS!$C$92="X",0,0)),-1000)</f>
        <v>-1000</v>
      </c>
      <c r="V26">
        <f>IF(AND(CROQUIS!$C$88=1,CROQUIS!$C$91=1),((CROQUIS!$C$160+(IF(CROQUIS!$C$92="X",IF(CROQUIS!$C$94=1,0,CROQUIS!$C$97)+IF(MOD($A26,2)=1,-CROQUIS!$C$107/2,CROQUIS!$C$107/2),(MIN($A26,41)-1)/40*CROQUIS!$C$98))*CROQUIS!$C$159)+IF(CROQUIS!$C$92="X",0,0)),-1000)</f>
        <v>-1000</v>
      </c>
      <c r="W26">
        <f>IF(AND(CROQUIS!$C$88=1,CROQUIS!$C$91=1),((CROQUIS!$C$161+(IF(CROQUIS!$C$92="X",(MIN($A26,41)-1)/40*CROQUIS!$C$98,IF(CROQUIS!$C$94=1,0,CROQUIS!$C$97)+IF(MOD($A26,2)=1,-CROQUIS!$C$107/2,CROQUIS!$C$107/2)))*CROQUIS!$C$159)+IF(CROQUIS!$C$92="X",0,0)),-1000)</f>
        <v>-1000</v>
      </c>
      <c r="AJ26">
        <f>IF(AND(CROQUIS!$C$87=1,CROQUIS!$C$162&gt;0,CROQUIS!$C$164&gt;0),(CROQUIS!$C$160+((CROQUIS!$C$163+INT(MIN(INT(($A26-1)/2),MAX((2*CROQUIS!$C$162)-1,0))/2)*CROQUIS!$C$116+MOD(MIN(INT(($A26-1)/2),MAX((2*CROQUIS!$C$162)-1,0)),2)*CROQUIS!$C$114))*CROQUIS!$C$159),-1000)</f>
        <v>81.3375508359693</v>
      </c>
      <c r="AK26">
        <f>IF(AND(CROQUIS!$C$87=1,CROQUIS!$C$162&gt;0,CROQUIS!$C$164&gt;0),(CROQUIS!$C$161+(IF(MOD(MIN(INT(($A26-1)/2),MAX((2*CROQUIS!$C$162)-1,0)),2)=0,IF(IF(INT(($A26-1)/2)&gt;MAX((2*CROQUIS!$C$162)-1,0),1,MOD($A26-1,2))=0,CROQUIS!$C$165,(CROQUIS!$C$165+(CROQUIS!$C$164-1)*CROQUIS!$C$116+CROQUIS!$C$115)),IF(IF(INT(($A26-1)/2)&gt;MAX((2*CROQUIS!$C$162)-1,0),1,MOD($A26-1,2))=0,(CROQUIS!$C$165+(CROQUIS!$C$164-1)*CROQUIS!$C$116+CROQUIS!$C$115),CROQUIS!$C$165)))*CROQUIS!$C$159),-1000)</f>
        <v>79.1911432444645</v>
      </c>
      <c r="AL26">
        <f>IF(AND(CROQUIS!$C$87=1,CROQUIS!$C$164&gt;0,CROQUIS!$C$162&gt;0),(CROQUIS!$C$160+(IF(MOD(MIN(INT(($A26-1)/2),MAX((2*CROQUIS!$C$164)-1,0)),2)=0,IF(IF(INT(($A26-1)/2)&gt;MAX((2*CROQUIS!$C$164)-1,0),1,MOD($A26-1,2))=0,CROQUIS!$C$163,(CROQUIS!$C$163+(CROQUIS!$C$162-1)*CROQUIS!$C$116+CROQUIS!$C$114)),IF(IF(INT(($A26-1)/2)&gt;MAX((2*CROQUIS!$C$164)-1,0),1,MOD($A26-1,2))=0,(CROQUIS!$C$163+(CROQUIS!$C$162-1)*CROQUIS!$C$116+CROQUIS!$C$114),CROQUIS!$C$163)))*CROQUIS!$C$159),-1000)</f>
        <v>81.3375508359693</v>
      </c>
      <c r="AM26">
        <f>IF(AND(CROQUIS!$C$87=1,CROQUIS!$C$164&gt;0,CROQUIS!$C$162&gt;0),(CROQUIS!$C$161+((CROQUIS!$C$165+INT(MIN(INT(($A26-1)/2),MAX((2*CROQUIS!$C$164)-1,0))/2)*CROQUIS!$C$116+MOD(MIN(INT(($A26-1)/2),MAX((2*CROQUIS!$C$164)-1,0)),2)*CROQUIS!$C$115))*CROQUIS!$C$159),-1000)</f>
        <v>79.1911432444645</v>
      </c>
      <c r="AN26">
        <f>IF(AND(CROQUIS!$C$87=1,CROQUIS!$C$162&gt;=2),(CROQUIS!$C$160+((CROQUIS!$C$163+CROQUIS!$C$114+(CROQUIS!$C$116-CROQUIS!$C$114)/2+MIN(INT(($A26-1)/2),MAX((CROQUIS!$C$162-1)-1,0))*CROQUIS!$C$116))*CROQUIS!$C$159),-1000)</f>
        <v>70.1762313601446</v>
      </c>
      <c r="AO26">
        <f>IF(AND(CROQUIS!$C$87=1,CROQUIS!$C$162&gt;=2),(CROQUIS!$C$161+(IF(MOD(MIN(INT(($A26-1)/2),MAX((CROQUIS!$C$162-1)-1,0)),2)=0,IF(IF(INT(($A26-1)/2)&gt;MAX((CROQUIS!$C$162-1)-1,0),1,MOD($A26-1,2))=0,CROQUIS!$C$107/2,(CROQUIS!$C$96-CROQUIS!$C$107/2)),IF(IF(INT(($A26-1)/2)&gt;MAX((CROQUIS!$C$162-1)-1,0),1,MOD($A26-1,2))=0,(CROQUIS!$C$96-CROQUIS!$C$107/2),CROQUIS!$C$107/2)))*CROQUIS!$C$159),-1000)</f>
        <v>16.9453230908269</v>
      </c>
      <c r="AP26">
        <f>IF(AND(CROQUIS!$C$87=1,CROQUIS!$C$164&gt;=2),(CROQUIS!$C$160+(IF(MOD(MIN(INT(($A26-1)/2),MAX((CROQUIS!$C$164-1)-1,0)),2)=0,IF(IF(INT(($A26-1)/2)&gt;MAX((CROQUIS!$C$164-1)-1,0),1,MOD($A26-1,2))=0,CROQUIS!$C$107/2,(CROQUIS!$C$95-CROQUIS!$C$107/2)),IF(IF(INT(($A26-1)/2)&gt;MAX((CROQUIS!$C$164-1)-1,0),1,MOD($A26-1,2))=0,(CROQUIS!$C$95-CROQUIS!$C$107/2),CROQUIS!$C$107/2)))*CROQUIS!$C$159),-1000)</f>
        <v>13.2878445549028</v>
      </c>
      <c r="AQ26">
        <f>IF(AND(CROQUIS!$C$87=1,CROQUIS!$C$164&gt;=2),(CROQUIS!$C$161+((CROQUIS!$C$165+CROQUIS!$C$115+(CROQUIS!$C$116-CROQUIS!$C$115)/2+MIN(INT(($A26-1)/2),MAX((CROQUIS!$C$164-1)-1,0))*CROQUIS!$C$116))*CROQUIS!$C$159),-1000)</f>
        <v>68.0298237686399</v>
      </c>
      <c r="BN26">
        <f>IF(AND(CROQUIS!$C$88=1,CROQUIS!$C$129&gt;0),((CROQUIS!$C$160+(IF(CROQUIS!$C$92="X",CHOOSE(IF(INT(($A26-1)/5)&gt;MAX((MAX(1,INT(((CROQUIS!$C$98)-CROQUIS!$C$107)/MAX((CROQUIS!$C$129*MAX(1,CEILING((INT(((CROQUIS!$C$98)-CROQUIS!$C$107)/MAX(CROQUIS!$C$129,1))+1)/80,1))),1))+1))-1,0),0,MOD($A26-1,5))+1,0,2,CROQUIS!$C$97-2,2,0),((CROQUIS!$C$107/2+(((CROQUIS!$C$98)-CROQUIS!$C$107)-(MAX(1,INT(((CROQUIS!$C$98)-CROQUIS!$C$107)/MAX((CROQUIS!$C$129*MAX(1,CEILING((INT(((CROQUIS!$C$98)-CROQUIS!$C$107)/MAX(CROQUIS!$C$129,1))+1)/80,1))),1))+1)-1)*(CROQUIS!$C$129*MAX(1,CEILING((INT(((CROQUIS!$C$98)-CROQUIS!$C$107)/MAX(CROQUIS!$C$129,1))+1)/80,1))))/2)+MIN(INT(($A26-1)/5),MAX((MAX(1,INT(((CROQUIS!$C$98)-CROQUIS!$C$107)/MAX((CROQUIS!$C$129*MAX(1,CEILING((INT(((CROQUIS!$C$98)-CROQUIS!$C$107)/MAX(CROQUIS!$C$129,1))+1)/80,1))),1))+1))-1,0))*(CROQUIS!$C$129*MAX(1,CEILING((INT(((CROQUIS!$C$98)-CROQUIS!$C$107)/MAX(CROQUIS!$C$129,1))+1)/80,1))))))*CROQUIS!$C$159)+IF(CROQUIS!$C$92="X",0,0)),-1000)</f>
        <v>-1000</v>
      </c>
      <c r="BO26">
        <f>IF(AND(CROQUIS!$C$88=1,CROQUIS!$C$129&gt;0),((CROQUIS!$C$161+(IF(CROQUIS!$C$92="X",((CROQUIS!$C$107/2+(((CROQUIS!$C$98)-CROQUIS!$C$107)-(MAX(1,INT(((CROQUIS!$C$98)-CROQUIS!$C$107)/MAX((CROQUIS!$C$129*MAX(1,CEILING((INT(((CROQUIS!$C$98)-CROQUIS!$C$107)/MAX(CROQUIS!$C$129,1))+1)/80,1))),1))+1)-1)*(CROQUIS!$C$129*MAX(1,CEILING((INT(((CROQUIS!$C$98)-CROQUIS!$C$107)/MAX(CROQUIS!$C$129,1))+1)/80,1))))/2)+MIN(INT(($A26-1)/5),MAX((MAX(1,INT(((CROQUIS!$C$98)-CROQUIS!$C$107)/MAX((CROQUIS!$C$129*MAX(1,CEILING((INT(((CROQUIS!$C$98)-CROQUIS!$C$107)/MAX(CROQUIS!$C$129,1))+1)/80,1))),1))+1))-1,0))*(CROQUIS!$C$129*MAX(1,CEILING((INT(((CROQUIS!$C$98)-CROQUIS!$C$107)/MAX(CROQUIS!$C$129,1))+1)/80,1)))),CHOOSE(IF(INT(($A26-1)/5)&gt;MAX((MAX(1,INT(((CROQUIS!$C$98)-CROQUIS!$C$107)/MAX((CROQUIS!$C$129*MAX(1,CEILING((INT(((CROQUIS!$C$98)-CROQUIS!$C$107)/MAX(CROQUIS!$C$129,1))+1)/80,1))),1))+1))-1,0),0,MOD($A26-1,5))+1,0,2,CROQUIS!$C$97-2,2,0)))*CROQUIS!$C$159)+IF(CROQUIS!$C$92="X",0,0)),-1000)</f>
        <v>-1000</v>
      </c>
      <c r="BP26">
        <f>IF(AND(CROQUIS!$C$88=1,CROQUIS!$C$137&gt;0),((CROQUIS!$C$160+(IF(CROQUIS!$C$92="X",((CROQUIS!$C$107/2+(((CROQUIS!$C$97)-CROQUIS!$C$107)-(MAX(1,INT(((CROQUIS!$C$97)-CROQUIS!$C$107)/MAX((CROQUIS!$C$137*MAX(1,CEILING((INT(((CROQUIS!$C$97)-CROQUIS!$C$107)/MAX(CROQUIS!$C$137,1))+1)/80,1))),1))+1)-1)*(CROQUIS!$C$137*MAX(1,CEILING((INT(((CROQUIS!$C$97)-CROQUIS!$C$107)/MAX(CROQUIS!$C$137,1))+1)/80,1))))/2)+MIN(INT(($A26-1)/5),MAX((MAX(1,INT(((CROQUIS!$C$97)-CROQUIS!$C$107)/MAX((CROQUIS!$C$137*MAX(1,CEILING((INT(((CROQUIS!$C$97)-CROQUIS!$C$107)/MAX(CROQUIS!$C$137,1))+1)/80,1))),1))+1))-1,0))*(CROQUIS!$C$137*MAX(1,CEILING((INT(((CROQUIS!$C$97)-CROQUIS!$C$107)/MAX(CROQUIS!$C$137,1))+1)/80,1)))),CHOOSE(IF(INT(($A26-1)/5)&gt;MAX((MAX(1,INT(((CROQUIS!$C$97)-CROQUIS!$C$107)/MAX((CROQUIS!$C$137*MAX(1,CEILING((INT(((CROQUIS!$C$97)-CROQUIS!$C$107)/MAX(CROQUIS!$C$137,1))+1)/80,1))),1))+1))-1,0),0,MOD($A26-1,5))+1,0,2,CROQUIS!$C$98-2,2,0)))*CROQUIS!$C$159)+IF(CROQUIS!$C$92="X",0,0)),-1000)</f>
        <v>-1000</v>
      </c>
      <c r="BQ26">
        <f>IF(AND(CROQUIS!$C$88=1,CROQUIS!$C$137&gt;0),((CROQUIS!$C$161+(IF(CROQUIS!$C$92="X",CHOOSE(IF(INT(($A26-1)/5)&gt;MAX((MAX(1,INT(((CROQUIS!$C$97)-CROQUIS!$C$107)/MAX((CROQUIS!$C$137*MAX(1,CEILING((INT(((CROQUIS!$C$97)-CROQUIS!$C$107)/MAX(CROQUIS!$C$137,1))+1)/80,1))),1))+1))-1,0),0,MOD($A26-1,5))+1,0,2,CROQUIS!$C$98-2,2,0),((CROQUIS!$C$107/2+(((CROQUIS!$C$97)-CROQUIS!$C$107)-(MAX(1,INT(((CROQUIS!$C$97)-CROQUIS!$C$107)/MAX((CROQUIS!$C$137*MAX(1,CEILING((INT(((CROQUIS!$C$97)-CROQUIS!$C$107)/MAX(CROQUIS!$C$137,1))+1)/80,1))),1))+1)-1)*(CROQUIS!$C$137*MAX(1,CEILING((INT(((CROQUIS!$C$97)-CROQUIS!$C$107)/MAX(CROQUIS!$C$137,1))+1)/80,1))))/2)+MIN(INT(($A26-1)/5),MAX((MAX(1,INT(((CROQUIS!$C$97)-CROQUIS!$C$107)/MAX((CROQUIS!$C$137*MAX(1,CEILING((INT(((CROQUIS!$C$97)-CROQUIS!$C$107)/MAX(CROQUIS!$C$137,1))+1)/80,1))),1))+1))-1,0))*(CROQUIS!$C$137*MAX(1,CEILING((INT(((CROQUIS!$C$97)-CROQUIS!$C$107)/MAX(CROQUIS!$C$137,1))+1)/80,1))))))*CROQUIS!$C$159)+IF(CROQUIS!$C$92="X",0,0)),-1000)</f>
        <v>-1000</v>
      </c>
      <c r="BR26">
        <f>IF(AND(CROQUIS!$C$88=1,CROQUIS!$C$91=0,CROQUIS!$C$133&gt;0,OR(CROQUIS!$C$103=1,CROQUIS!$C$145=1)),((CROQUIS!$C$160+(IF(CROQUIS!$C$92="X",CHOOSE(IF(INT(($A26-1)/5)&gt;MAX((MAX(1,INT(((CROQUIS!$C$98)-CROQUIS!$C$107)/MAX((CROQUIS!$C$133*MAX(1,CEILING((INT(((CROQUIS!$C$98)-CROQUIS!$C$107)/MAX(CROQUIS!$C$133,1))+1)/80,1))),1))+1))-1,0),0,MOD($A26-1,5))+1,0,IF(CROQUIS!$C$103=1,-12,2),CROQUIS!$C$107/2+CROQUIS!$C$143,IF(CROQUIS!$C$103=1,-12,2),0),((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BS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+1,0,IF(CROQUIS!$C$103=1,-12,2),CROQUIS!$C$107/2+CROQUIS!$C$143,IF(CROQUIS!$C$103=1,-12,2),0)))*CROQUIS!$C$159)+IF(CROQUIS!$C$92="X",0.8,0)),-1000)</f>
        <v>-1000</v>
      </c>
      <c r="BT26">
        <f>IF(AND(CROQUIS!$C$88=1,CROQUIS!$C$91=0,CROQUIS!$C$133&gt;0,OR(CROQUIS!$C$104=1,CROQUIS!$C$145=1)),((CROQUIS!$C$160+(IF(CROQUIS!$C$92="X",CHOOSE(IF(INT(($A26-1)/5)&gt;MAX((MAX(1,INT(((CROQUIS!$C$98)-CROQUIS!$C$107)/MAX((CROQUIS!$C$133*MAX(1,CEILING((INT(((CROQUIS!$C$98)-CROQUIS!$C$107)/MAX(CROQUIS!$C$133,1))+1)/80,1))),1))+1))-1,0),0,MOD($A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BU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CROQUIS!$C$97,CROQUIS!$C$97-CROQUIS!$C$107/2-CROQUIS!$C$143,IF(CROQUIS!$C$104=1,CROQUIS!$C$97+12,CROQUIS!$C$97-2),CROQUIS!$C$97-CROQUIS!$C$107/2-CROQUIS!$C$143,CROQUIS!$C$97)))*CROQUIS!$C$159)+IF(CROQUIS!$C$92="X",0.8,0)),-1000)</f>
        <v>-1000</v>
      </c>
      <c r="BV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HOOSE(IF(INT(($A26-1)/5)&gt;MAX((MAX(1,INT(((CROQUIS!$C$97)-CROQUIS!$C$107)/MAX((CROQUIS!$C$141*MAX(1,CEILING((INT(((CROQUIS!$C$97)-CROQUIS!$C$107)/MAX(CROQUIS!$C$141,1))+1)/80,1))),1))+1))-1,0),0,MOD($A26-1,5))+1,0,IF(CROQUIS!$C$105=1,-12,2),CROQUIS!$C$107/2+CROQUIS!$C$144,IF(CROQUIS!$C$105=1,-12,2),0)))*CROQUIS!$C$159)+IF(CROQUIS!$C$92="X",0.8,0)),-1000)</f>
        <v>-1000</v>
      </c>
      <c r="BW26">
        <f>IF(AND(CROQUIS!$C$88=1,CROQUIS!$C$91=0,CROQUIS!$C$141&gt;0,OR(CROQUIS!$C$105=1,CROQUIS!$C$146=1)),((CROQUIS!$C$161+(IF(CROQUIS!$C$92="X",CHOOSE(IF(INT(($A26-1)/5)&gt;MAX((MAX(1,INT(((CROQUIS!$C$97)-CROQUIS!$C$107)/MAX((CROQUIS!$C$141*MAX(1,CEILING((INT(((CROQUIS!$C$97)-CROQUIS!$C$107)/MAX(CROQUIS!$C$141,1))+1)/80,1))),1))+1))-1,0),0,MOD($A26-1,5))+1,0,IF(CROQUIS!$C$105=1,-12,2),CROQUIS!$C$107/2+CROQUIS!$C$144,IF(CROQUIS!$C$105=1,-12,2),0),((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ROQUIS!$C$159)+IF(CROQUIS!$C$92="X",0,0.8)),-1000)</f>
        <v>-1000</v>
      </c>
      <c r="BX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HOOSE(IF(INT(($A26-1)/5)&gt;MAX((MAX(1,INT(((CROQUIS!$C$97)-CROQUIS!$C$107)/MAX((CROQUIS!$C$141*MAX(1,CEILING((INT(((CROQUIS!$C$97)-CROQUIS!$C$107)/MAX(CROQUIS!$C$141,1))+1)/80,1))),1))+1))-1,0),0,MOD($A26-1,5))+1,CROQUIS!$C$98,CROQUIS!$C$98-CROQUIS!$C$107/2-CROQUIS!$C$144,IF(CROQUIS!$C$106=1,CROQUIS!$C$98+12,CROQUIS!$C$98-2),CROQUIS!$C$98-CROQUIS!$C$107/2-CROQUIS!$C$144,CROQUIS!$C$98)))*CROQUIS!$C$159)+IF(CROQUIS!$C$92="X",0.8,0)),-1000)</f>
        <v>-1000</v>
      </c>
      <c r="BY26">
        <f>IF(AND(CROQUIS!$C$88=1,CROQUIS!$C$91=0,CROQUIS!$C$141&gt;0,OR(CROQUIS!$C$106=1,CROQUIS!$C$146=1)),((CROQUIS!$C$161+(IF(CROQUIS!$C$92="X",CHOOSE(IF(INT(($A26-1)/5)&gt;MAX((MAX(1,INT(((CROQUIS!$C$97)-CROQUIS!$C$107)/MAX((CROQUIS!$C$141*MAX(1,CEILING((INT(((CROQUIS!$C$97)-CROQUIS!$C$107)/MAX(CROQUIS!$C$141,1))+1)/80,1))),1))+1))-1,0),0,MOD($A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ROQUIS!$C$159)+IF(CROQUIS!$C$92="X",0,0.8)),-1000)</f>
        <v>-1000</v>
      </c>
      <c r="BZ26">
        <f>IF(AND(CROQUIS!$C$88=1,CROQUIS!$C$91=1,CROQUIS!$C$133&gt;0),((CROQUIS!$C$160+(IF(CROQUIS!$C$92="X",CHOOSE(IF(INT(($A26-1)/5)&gt;MAX((MAX(1,INT(((CROQUIS!$C$98)-CROQUIS!$C$107)/MAX((CROQUIS!$C$133*MAX(1,CEILING((INT(((CROQUIS!$C$98)-CROQUIS!$C$107)/MAX(CROQUIS!$C$133,1))+1)/80,1))),1))+1))-1,0),0,MOD($A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CA26">
        <f>IF(AND(CROQUIS!$C$88=1,CROQUIS!$C$91=1,CROQUIS!$C$133&gt;0),((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
      <c r="A27" t="n">
        <v>20</v>
      </c>
      <c r="F27">
        <f>IF(AND(CROQUIS!$C$87=1,CROQUIS!$C$91=1),((CROQUIS!$C$160+(IF(CROQUIS!$C$92="X",IF(CROQUIS!$C$94=1,0,CROQUIS!$C$97)+IF(MOD($A27,2)=1,-CROQUIS!$C$107/2,CROQUIS!$C$107/2),(MIN($A27,41)-1)/40*CROQUIS!$C$98))*CROQUIS!$C$159)+IF(CROQUIS!$C$92="X",0,0)),-1000)</f>
        <v>-1000</v>
      </c>
      <c r="G27">
        <f>IF(AND(CROQUIS!$C$87=1,CROQUIS!$C$91=1),((CROQUIS!$C$161+(IF(CROQUIS!$C$92="X",(MIN($A27,41)-1)/40*CROQUIS!$C$98,IF(CROQUIS!$C$94=1,0,CROQUIS!$C$97)+IF(MOD($A27,2)=1,-CROQUIS!$C$107/2,CROQUIS!$C$107/2)))*CROQUIS!$C$159)+IF(CROQUIS!$C$92="X",0,0)),-1000)</f>
        <v>-1000</v>
      </c>
      <c r="V27">
        <f>IF(AND(CROQUIS!$C$88=1,CROQUIS!$C$91=1),((CROQUIS!$C$160+(IF(CROQUIS!$C$92="X",IF(CROQUIS!$C$94=1,0,CROQUIS!$C$97)+IF(MOD($A27,2)=1,-CROQUIS!$C$107/2,CROQUIS!$C$107/2),(MIN($A27,41)-1)/40*CROQUIS!$C$98))*CROQUIS!$C$159)+IF(CROQUIS!$C$92="X",0,0)),-1000)</f>
        <v>-1000</v>
      </c>
      <c r="W27">
        <f>IF(AND(CROQUIS!$C$88=1,CROQUIS!$C$91=1),((CROQUIS!$C$161+(IF(CROQUIS!$C$92="X",(MIN($A27,41)-1)/40*CROQUIS!$C$98,IF(CROQUIS!$C$94=1,0,CROQUIS!$C$97)+IF(MOD($A27,2)=1,-CROQUIS!$C$107/2,CROQUIS!$C$107/2)))*CROQUIS!$C$159)+IF(CROQUIS!$C$92="X",0,0)),-1000)</f>
        <v>-1000</v>
      </c>
      <c r="AJ27">
        <f>IF(AND(CROQUIS!$C$87=1,CROQUIS!$C$162&gt;0,CROQUIS!$C$164&gt;0),(CROQUIS!$C$160+((CROQUIS!$C$163+INT(MIN(INT(($A27-1)/2),MAX((2*CROQUIS!$C$162)-1,0))/2)*CROQUIS!$C$116+MOD(MIN(INT(($A27-1)/2),MAX((2*CROQUIS!$C$162)-1,0)),2)*CROQUIS!$C$114))*CROQUIS!$C$159),-1000)</f>
        <v>81.3375508359693</v>
      </c>
      <c r="AK27">
        <f>IF(AND(CROQUIS!$C$87=1,CROQUIS!$C$162&gt;0,CROQUIS!$C$164&gt;0),(CROQUIS!$C$161+(IF(MOD(MIN(INT(($A27-1)/2),MAX((2*CROQUIS!$C$162)-1,0)),2)=0,IF(IF(INT(($A27-1)/2)&gt;MAX((2*CROQUIS!$C$162)-1,0),1,MOD($A27-1,2))=0,CROQUIS!$C$165,(CROQUIS!$C$165+(CROQUIS!$C$164-1)*CROQUIS!$C$116+CROQUIS!$C$115)),IF(IF(INT(($A27-1)/2)&gt;MAX((2*CROQUIS!$C$162)-1,0),1,MOD($A27-1,2))=0,(CROQUIS!$C$165+(CROQUIS!$C$164-1)*CROQUIS!$C$116+CROQUIS!$C$115),CROQUIS!$C$165)))*CROQUIS!$C$159),-1000)</f>
        <v>20.8088567555355</v>
      </c>
      <c r="AL27">
        <f>IF(AND(CROQUIS!$C$87=1,CROQUIS!$C$164&gt;0,CROQUIS!$C$162&gt;0),(CROQUIS!$C$160+(IF(MOD(MIN(INT(($A27-1)/2),MAX((2*CROQUIS!$C$164)-1,0)),2)=0,IF(IF(INT(($A27-1)/2)&gt;MAX((2*CROQUIS!$C$164)-1,0),1,MOD($A27-1,2))=0,CROQUIS!$C$163,(CROQUIS!$C$163+(CROQUIS!$C$162-1)*CROQUIS!$C$116+CROQUIS!$C$114)),IF(IF(INT(($A27-1)/2)&gt;MAX((2*CROQUIS!$C$164)-1,0),1,MOD($A27-1,2))=0,(CROQUIS!$C$163+(CROQUIS!$C$162-1)*CROQUIS!$C$116+CROQUIS!$C$114),CROQUIS!$C$163)))*CROQUIS!$C$159),-1000)</f>
        <v>22.9552643470402</v>
      </c>
      <c r="AM27">
        <f>IF(AND(CROQUIS!$C$87=1,CROQUIS!$C$164&gt;0,CROQUIS!$C$162&gt;0),(CROQUIS!$C$161+((CROQUIS!$C$165+INT(MIN(INT(($A27-1)/2),MAX((2*CROQUIS!$C$164)-1,0))/2)*CROQUIS!$C$116+MOD(MIN(INT(($A27-1)/2),MAX((2*CROQUIS!$C$164)-1,0)),2)*CROQUIS!$C$115))*CROQUIS!$C$159),-1000)</f>
        <v>79.1911432444645</v>
      </c>
      <c r="AN27">
        <f>IF(AND(CROQUIS!$C$87=1,CROQUIS!$C$162&gt;=2),(CROQUIS!$C$160+((CROQUIS!$C$163+CROQUIS!$C$114+(CROQUIS!$C$116-CROQUIS!$C$114)/2+MIN(INT(($A27-1)/2),MAX((CROQUIS!$C$162-1)-1,0))*CROQUIS!$C$116))*CROQUIS!$C$159),-1000)</f>
        <v>70.1762313601446</v>
      </c>
      <c r="AO27">
        <f>IF(AND(CROQUIS!$C$87=1,CROQUIS!$C$162&gt;=2),(CROQUIS!$C$161+(IF(MOD(MIN(INT(($A27-1)/2),MAX((CROQUIS!$C$162-1)-1,0)),2)=0,IF(IF(INT(($A27-1)/2)&gt;MAX((CROQUIS!$C$162-1)-1,0),1,MOD($A27-1,2))=0,CROQUIS!$C$107/2,(CROQUIS!$C$96-CROQUIS!$C$107/2)),IF(IF(INT(($A27-1)/2)&gt;MAX((CROQUIS!$C$162-1)-1,0),1,MOD($A27-1,2))=0,(CROQUIS!$C$96-CROQUIS!$C$107/2),CROQUIS!$C$107/2)))*CROQUIS!$C$159),-1000)</f>
        <v>16.9453230908269</v>
      </c>
      <c r="AP27">
        <f>IF(AND(CROQUIS!$C$87=1,CROQUIS!$C$164&gt;=2),(CROQUIS!$C$160+(IF(MOD(MIN(INT(($A27-1)/2),MAX((CROQUIS!$C$164-1)-1,0)),2)=0,IF(IF(INT(($A27-1)/2)&gt;MAX((CROQUIS!$C$164-1)-1,0),1,MOD($A27-1,2))=0,CROQUIS!$C$107/2,(CROQUIS!$C$95-CROQUIS!$C$107/2)),IF(IF(INT(($A27-1)/2)&gt;MAX((CROQUIS!$C$164-1)-1,0),1,MOD($A27-1,2))=0,(CROQUIS!$C$95-CROQUIS!$C$107/2),CROQUIS!$C$107/2)))*CROQUIS!$C$159),-1000)</f>
        <v>13.2878445549028</v>
      </c>
      <c r="AQ27">
        <f>IF(AND(CROQUIS!$C$87=1,CROQUIS!$C$164&gt;=2),(CROQUIS!$C$161+((CROQUIS!$C$165+CROQUIS!$C$115+(CROQUIS!$C$116-CROQUIS!$C$115)/2+MIN(INT(($A27-1)/2),MAX((CROQUIS!$C$164-1)-1,0))*CROQUIS!$C$116))*CROQUIS!$C$159),-1000)</f>
        <v>68.0298237686399</v>
      </c>
      <c r="BN27">
        <f>IF(AND(CROQUIS!$C$88=1,CROQUIS!$C$129&gt;0),((CROQUIS!$C$160+(IF(CROQUIS!$C$92="X",CHOOSE(IF(INT(($A27-1)/5)&gt;MAX((MAX(1,INT(((CROQUIS!$C$98)-CROQUIS!$C$107)/MAX((CROQUIS!$C$129*MAX(1,CEILING((INT(((CROQUIS!$C$98)-CROQUIS!$C$107)/MAX(CROQUIS!$C$129,1))+1)/80,1))),1))+1))-1,0),0,MOD($A27-1,5))+1,0,2,CROQUIS!$C$97-2,2,0),((CROQUIS!$C$107/2+(((CROQUIS!$C$98)-CROQUIS!$C$107)-(MAX(1,INT(((CROQUIS!$C$98)-CROQUIS!$C$107)/MAX((CROQUIS!$C$129*MAX(1,CEILING((INT(((CROQUIS!$C$98)-CROQUIS!$C$107)/MAX(CROQUIS!$C$129,1))+1)/80,1))),1))+1)-1)*(CROQUIS!$C$129*MAX(1,CEILING((INT(((CROQUIS!$C$98)-CROQUIS!$C$107)/MAX(CROQUIS!$C$129,1))+1)/80,1))))/2)+MIN(INT(($A27-1)/5),MAX((MAX(1,INT(((CROQUIS!$C$98)-CROQUIS!$C$107)/MAX((CROQUIS!$C$129*MAX(1,CEILING((INT(((CROQUIS!$C$98)-CROQUIS!$C$107)/MAX(CROQUIS!$C$129,1))+1)/80,1))),1))+1))-1,0))*(CROQUIS!$C$129*MAX(1,CEILING((INT(((CROQUIS!$C$98)-CROQUIS!$C$107)/MAX(CROQUIS!$C$129,1))+1)/80,1))))))*CROQUIS!$C$159)+IF(CROQUIS!$C$92="X",0,0)),-1000)</f>
        <v>-1000</v>
      </c>
      <c r="BO27">
        <f>IF(AND(CROQUIS!$C$88=1,CROQUIS!$C$129&gt;0),((CROQUIS!$C$161+(IF(CROQUIS!$C$92="X",((CROQUIS!$C$107/2+(((CROQUIS!$C$98)-CROQUIS!$C$107)-(MAX(1,INT(((CROQUIS!$C$98)-CROQUIS!$C$107)/MAX((CROQUIS!$C$129*MAX(1,CEILING((INT(((CROQUIS!$C$98)-CROQUIS!$C$107)/MAX(CROQUIS!$C$129,1))+1)/80,1))),1))+1)-1)*(CROQUIS!$C$129*MAX(1,CEILING((INT(((CROQUIS!$C$98)-CROQUIS!$C$107)/MAX(CROQUIS!$C$129,1))+1)/80,1))))/2)+MIN(INT(($A27-1)/5),MAX((MAX(1,INT(((CROQUIS!$C$98)-CROQUIS!$C$107)/MAX((CROQUIS!$C$129*MAX(1,CEILING((INT(((CROQUIS!$C$98)-CROQUIS!$C$107)/MAX(CROQUIS!$C$129,1))+1)/80,1))),1))+1))-1,0))*(CROQUIS!$C$129*MAX(1,CEILING((INT(((CROQUIS!$C$98)-CROQUIS!$C$107)/MAX(CROQUIS!$C$129,1))+1)/80,1)))),CHOOSE(IF(INT(($A27-1)/5)&gt;MAX((MAX(1,INT(((CROQUIS!$C$98)-CROQUIS!$C$107)/MAX((CROQUIS!$C$129*MAX(1,CEILING((INT(((CROQUIS!$C$98)-CROQUIS!$C$107)/MAX(CROQUIS!$C$129,1))+1)/80,1))),1))+1))-1,0),0,MOD($A27-1,5))+1,0,2,CROQUIS!$C$97-2,2,0)))*CROQUIS!$C$159)+IF(CROQUIS!$C$92="X",0,0)),-1000)</f>
        <v>-1000</v>
      </c>
      <c r="BP27">
        <f>IF(AND(CROQUIS!$C$88=1,CROQUIS!$C$137&gt;0),((CROQUIS!$C$160+(IF(CROQUIS!$C$92="X",((CROQUIS!$C$107/2+(((CROQUIS!$C$97)-CROQUIS!$C$107)-(MAX(1,INT(((CROQUIS!$C$97)-CROQUIS!$C$107)/MAX((CROQUIS!$C$137*MAX(1,CEILING((INT(((CROQUIS!$C$97)-CROQUIS!$C$107)/MAX(CROQUIS!$C$137,1))+1)/80,1))),1))+1)-1)*(CROQUIS!$C$137*MAX(1,CEILING((INT(((CROQUIS!$C$97)-CROQUIS!$C$107)/MAX(CROQUIS!$C$137,1))+1)/80,1))))/2)+MIN(INT(($A27-1)/5),MAX((MAX(1,INT(((CROQUIS!$C$97)-CROQUIS!$C$107)/MAX((CROQUIS!$C$137*MAX(1,CEILING((INT(((CROQUIS!$C$97)-CROQUIS!$C$107)/MAX(CROQUIS!$C$137,1))+1)/80,1))),1))+1))-1,0))*(CROQUIS!$C$137*MAX(1,CEILING((INT(((CROQUIS!$C$97)-CROQUIS!$C$107)/MAX(CROQUIS!$C$137,1))+1)/80,1)))),CHOOSE(IF(INT(($A27-1)/5)&gt;MAX((MAX(1,INT(((CROQUIS!$C$97)-CROQUIS!$C$107)/MAX((CROQUIS!$C$137*MAX(1,CEILING((INT(((CROQUIS!$C$97)-CROQUIS!$C$107)/MAX(CROQUIS!$C$137,1))+1)/80,1))),1))+1))-1,0),0,MOD($A27-1,5))+1,0,2,CROQUIS!$C$98-2,2,0)))*CROQUIS!$C$159)+IF(CROQUIS!$C$92="X",0,0)),-1000)</f>
        <v>-1000</v>
      </c>
      <c r="BQ27">
        <f>IF(AND(CROQUIS!$C$88=1,CROQUIS!$C$137&gt;0),((CROQUIS!$C$161+(IF(CROQUIS!$C$92="X",CHOOSE(IF(INT(($A27-1)/5)&gt;MAX((MAX(1,INT(((CROQUIS!$C$97)-CROQUIS!$C$107)/MAX((CROQUIS!$C$137*MAX(1,CEILING((INT(((CROQUIS!$C$97)-CROQUIS!$C$107)/MAX(CROQUIS!$C$137,1))+1)/80,1))),1))+1))-1,0),0,MOD($A27-1,5))+1,0,2,CROQUIS!$C$98-2,2,0),((CROQUIS!$C$107/2+(((CROQUIS!$C$97)-CROQUIS!$C$107)-(MAX(1,INT(((CROQUIS!$C$97)-CROQUIS!$C$107)/MAX((CROQUIS!$C$137*MAX(1,CEILING((INT(((CROQUIS!$C$97)-CROQUIS!$C$107)/MAX(CROQUIS!$C$137,1))+1)/80,1))),1))+1)-1)*(CROQUIS!$C$137*MAX(1,CEILING((INT(((CROQUIS!$C$97)-CROQUIS!$C$107)/MAX(CROQUIS!$C$137,1))+1)/80,1))))/2)+MIN(INT(($A27-1)/5),MAX((MAX(1,INT(((CROQUIS!$C$97)-CROQUIS!$C$107)/MAX((CROQUIS!$C$137*MAX(1,CEILING((INT(((CROQUIS!$C$97)-CROQUIS!$C$107)/MAX(CROQUIS!$C$137,1))+1)/80,1))),1))+1))-1,0))*(CROQUIS!$C$137*MAX(1,CEILING((INT(((CROQUIS!$C$97)-CROQUIS!$C$107)/MAX(CROQUIS!$C$137,1))+1)/80,1))))))*CROQUIS!$C$159)+IF(CROQUIS!$C$92="X",0,0)),-1000)</f>
        <v>-1000</v>
      </c>
      <c r="BR27">
        <f>IF(AND(CROQUIS!$C$88=1,CROQUIS!$C$91=0,CROQUIS!$C$133&gt;0,OR(CROQUIS!$C$103=1,CROQUIS!$C$145=1)),((CROQUIS!$C$160+(IF(CROQUIS!$C$92="X",CHOOSE(IF(INT(($A27-1)/5)&gt;MAX((MAX(1,INT(((CROQUIS!$C$98)-CROQUIS!$C$107)/MAX((CROQUIS!$C$133*MAX(1,CEILING((INT(((CROQUIS!$C$98)-CROQUIS!$C$107)/MAX(CROQUIS!$C$133,1))+1)/80,1))),1))+1))-1,0),0,MOD($A27-1,5))+1,0,IF(CROQUIS!$C$103=1,-12,2),CROQUIS!$C$107/2+CROQUIS!$C$143,IF(CROQUIS!$C$103=1,-12,2),0),((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BS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+1,0,IF(CROQUIS!$C$103=1,-12,2),CROQUIS!$C$107/2+CROQUIS!$C$143,IF(CROQUIS!$C$103=1,-12,2),0)))*CROQUIS!$C$159)+IF(CROQUIS!$C$92="X",0.8,0)),-1000)</f>
        <v>-1000</v>
      </c>
      <c r="BT27">
        <f>IF(AND(CROQUIS!$C$88=1,CROQUIS!$C$91=0,CROQUIS!$C$133&gt;0,OR(CROQUIS!$C$104=1,CROQUIS!$C$145=1)),((CROQUIS!$C$160+(IF(CROQUIS!$C$92="X",CHOOSE(IF(INT(($A27-1)/5)&gt;MAX((MAX(1,INT(((CROQUIS!$C$98)-CROQUIS!$C$107)/MAX((CROQUIS!$C$133*MAX(1,CEILING((INT(((CROQUIS!$C$98)-CROQUIS!$C$107)/MAX(CROQUIS!$C$133,1))+1)/80,1))),1))+1))-1,0),0,MOD($A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BU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CROQUIS!$C$97,CROQUIS!$C$97-CROQUIS!$C$107/2-CROQUIS!$C$143,IF(CROQUIS!$C$104=1,CROQUIS!$C$97+12,CROQUIS!$C$97-2),CROQUIS!$C$97-CROQUIS!$C$107/2-CROQUIS!$C$143,CROQUIS!$C$97)))*CROQUIS!$C$159)+IF(CROQUIS!$C$92="X",0.8,0)),-1000)</f>
        <v>-1000</v>
      </c>
      <c r="BV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HOOSE(IF(INT(($A27-1)/5)&gt;MAX((MAX(1,INT(((CROQUIS!$C$97)-CROQUIS!$C$107)/MAX((CROQUIS!$C$141*MAX(1,CEILING((INT(((CROQUIS!$C$97)-CROQUIS!$C$107)/MAX(CROQUIS!$C$141,1))+1)/80,1))),1))+1))-1,0),0,MOD($A27-1,5))+1,0,IF(CROQUIS!$C$105=1,-12,2),CROQUIS!$C$107/2+CROQUIS!$C$144,IF(CROQUIS!$C$105=1,-12,2),0)))*CROQUIS!$C$159)+IF(CROQUIS!$C$92="X",0.8,0)),-1000)</f>
        <v>-1000</v>
      </c>
      <c r="BW27">
        <f>IF(AND(CROQUIS!$C$88=1,CROQUIS!$C$91=0,CROQUIS!$C$141&gt;0,OR(CROQUIS!$C$105=1,CROQUIS!$C$146=1)),((CROQUIS!$C$161+(IF(CROQUIS!$C$92="X",CHOOSE(IF(INT(($A27-1)/5)&gt;MAX((MAX(1,INT(((CROQUIS!$C$97)-CROQUIS!$C$107)/MAX((CROQUIS!$C$141*MAX(1,CEILING((INT(((CROQUIS!$C$97)-CROQUIS!$C$107)/MAX(CROQUIS!$C$141,1))+1)/80,1))),1))+1))-1,0),0,MOD($A27-1,5))+1,0,IF(CROQUIS!$C$105=1,-12,2),CROQUIS!$C$107/2+CROQUIS!$C$144,IF(CROQUIS!$C$105=1,-12,2),0),((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ROQUIS!$C$159)+IF(CROQUIS!$C$92="X",0,0.8)),-1000)</f>
        <v>-1000</v>
      </c>
      <c r="BX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HOOSE(IF(INT(($A27-1)/5)&gt;MAX((MAX(1,INT(((CROQUIS!$C$97)-CROQUIS!$C$107)/MAX((CROQUIS!$C$141*MAX(1,CEILING((INT(((CROQUIS!$C$97)-CROQUIS!$C$107)/MAX(CROQUIS!$C$141,1))+1)/80,1))),1))+1))-1,0),0,MOD($A27-1,5))+1,CROQUIS!$C$98,CROQUIS!$C$98-CROQUIS!$C$107/2-CROQUIS!$C$144,IF(CROQUIS!$C$106=1,CROQUIS!$C$98+12,CROQUIS!$C$98-2),CROQUIS!$C$98-CROQUIS!$C$107/2-CROQUIS!$C$144,CROQUIS!$C$98)))*CROQUIS!$C$159)+IF(CROQUIS!$C$92="X",0.8,0)),-1000)</f>
        <v>-1000</v>
      </c>
      <c r="BY27">
        <f>IF(AND(CROQUIS!$C$88=1,CROQUIS!$C$91=0,CROQUIS!$C$141&gt;0,OR(CROQUIS!$C$106=1,CROQUIS!$C$146=1)),((CROQUIS!$C$161+(IF(CROQUIS!$C$92="X",CHOOSE(IF(INT(($A27-1)/5)&gt;MAX((MAX(1,INT(((CROQUIS!$C$97)-CROQUIS!$C$107)/MAX((CROQUIS!$C$141*MAX(1,CEILING((INT(((CROQUIS!$C$97)-CROQUIS!$C$107)/MAX(CROQUIS!$C$141,1))+1)/80,1))),1))+1))-1,0),0,MOD($A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ROQUIS!$C$159)+IF(CROQUIS!$C$92="X",0,0.8)),-1000)</f>
        <v>-1000</v>
      </c>
      <c r="BZ27">
        <f>IF(AND(CROQUIS!$C$88=1,CROQUIS!$C$91=1,CROQUIS!$C$133&gt;0),((CROQUIS!$C$160+(IF(CROQUIS!$C$92="X",CHOOSE(IF(INT(($A27-1)/5)&gt;MAX((MAX(1,INT(((CROQUIS!$C$98)-CROQUIS!$C$107)/MAX((CROQUIS!$C$133*MAX(1,CEILING((INT(((CROQUIS!$C$98)-CROQUIS!$C$107)/MAX(CROQUIS!$C$133,1))+1)/80,1))),1))+1))-1,0),0,MOD($A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CA27">
        <f>IF(AND(CROQUIS!$C$88=1,CROQUIS!$C$91=1,CROQUIS!$C$133&gt;0),((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
      <c r="A28" t="n">
        <v>21</v>
      </c>
      <c r="F28">
        <f>IF(AND(CROQUIS!$C$87=1,CROQUIS!$C$91=1),((CROQUIS!$C$160+(IF(CROQUIS!$C$92="X",IF(CROQUIS!$C$94=1,0,CROQUIS!$C$97)+IF(MOD($A28,2)=1,-CROQUIS!$C$107/2,CROQUIS!$C$107/2),(MIN($A28,41)-1)/40*CROQUIS!$C$98))*CROQUIS!$C$159)+IF(CROQUIS!$C$92="X",0,0)),-1000)</f>
        <v>-1000</v>
      </c>
      <c r="G28">
        <f>IF(AND(CROQUIS!$C$87=1,CROQUIS!$C$91=1),((CROQUIS!$C$161+(IF(CROQUIS!$C$92="X",(MIN($A28,41)-1)/40*CROQUIS!$C$98,IF(CROQUIS!$C$94=1,0,CROQUIS!$C$97)+IF(MOD($A28,2)=1,-CROQUIS!$C$107/2,CROQUIS!$C$107/2)))*CROQUIS!$C$159)+IF(CROQUIS!$C$92="X",0,0)),-1000)</f>
        <v>-1000</v>
      </c>
      <c r="V28">
        <f>IF(AND(CROQUIS!$C$88=1,CROQUIS!$C$91=1),((CROQUIS!$C$160+(IF(CROQUIS!$C$92="X",IF(CROQUIS!$C$94=1,0,CROQUIS!$C$97)+IF(MOD($A28,2)=1,-CROQUIS!$C$107/2,CROQUIS!$C$107/2),(MIN($A28,41)-1)/40*CROQUIS!$C$98))*CROQUIS!$C$159)+IF(CROQUIS!$C$92="X",0,0)),-1000)</f>
        <v>-1000</v>
      </c>
      <c r="W28">
        <f>IF(AND(CROQUIS!$C$88=1,CROQUIS!$C$91=1),((CROQUIS!$C$161+(IF(CROQUIS!$C$92="X",(MIN($A28,41)-1)/40*CROQUIS!$C$98,IF(CROQUIS!$C$94=1,0,CROQUIS!$C$97)+IF(MOD($A28,2)=1,-CROQUIS!$C$107/2,CROQUIS!$C$107/2)))*CROQUIS!$C$159)+IF(CROQUIS!$C$92="X",0,0)),-1000)</f>
        <v>-1000</v>
      </c>
      <c r="AJ28">
        <f>IF(AND(CROQUIS!$C$87=1,CROQUIS!$C$162&gt;0,CROQUIS!$C$164&gt;0),(CROQUIS!$C$160+((CROQUIS!$C$163+INT(MIN(INT(($A28-1)/2),MAX((2*CROQUIS!$C$162)-1,0))/2)*CROQUIS!$C$116+MOD(MIN(INT(($A28-1)/2),MAX((2*CROQUIS!$C$162)-1,0)),2)*CROQUIS!$C$114))*CROQUIS!$C$159),-1000)</f>
        <v>81.3375508359693</v>
      </c>
      <c r="AK28">
        <f>IF(AND(CROQUIS!$C$87=1,CROQUIS!$C$162&gt;0,CROQUIS!$C$164&gt;0),(CROQUIS!$C$161+(IF(MOD(MIN(INT(($A28-1)/2),MAX((2*CROQUIS!$C$162)-1,0)),2)=0,IF(IF(INT(($A28-1)/2)&gt;MAX((2*CROQUIS!$C$162)-1,0),1,MOD($A28-1,2))=0,CROQUIS!$C$165,(CROQUIS!$C$165+(CROQUIS!$C$164-1)*CROQUIS!$C$116+CROQUIS!$C$115)),IF(IF(INT(($A28-1)/2)&gt;MAX((2*CROQUIS!$C$162)-1,0),1,MOD($A28-1,2))=0,(CROQUIS!$C$165+(CROQUIS!$C$164-1)*CROQUIS!$C$116+CROQUIS!$C$115),CROQUIS!$C$165)))*CROQUIS!$C$159),-1000)</f>
        <v>20.8088567555355</v>
      </c>
      <c r="AL28">
        <f>IF(AND(CROQUIS!$C$87=1,CROQUIS!$C$164&gt;0,CROQUIS!$C$162&gt;0),(CROQUIS!$C$160+(IF(MOD(MIN(INT(($A28-1)/2),MAX((2*CROQUIS!$C$164)-1,0)),2)=0,IF(IF(INT(($A28-1)/2)&gt;MAX((2*CROQUIS!$C$164)-1,0),1,MOD($A28-1,2))=0,CROQUIS!$C$163,(CROQUIS!$C$163+(CROQUIS!$C$162-1)*CROQUIS!$C$116+CROQUIS!$C$114)),IF(IF(INT(($A28-1)/2)&gt;MAX((2*CROQUIS!$C$164)-1,0),1,MOD($A28-1,2))=0,(CROQUIS!$C$163+(CROQUIS!$C$162-1)*CROQUIS!$C$116+CROQUIS!$C$114),CROQUIS!$C$163)))*CROQUIS!$C$159),-1000)</f>
        <v>22.9552643470402</v>
      </c>
      <c r="AM28">
        <f>IF(AND(CROQUIS!$C$87=1,CROQUIS!$C$164&gt;0,CROQUIS!$C$162&gt;0),(CROQUIS!$C$161+((CROQUIS!$C$165+INT(MIN(INT(($A28-1)/2),MAX((2*CROQUIS!$C$164)-1,0))/2)*CROQUIS!$C$116+MOD(MIN(INT(($A28-1)/2),MAX((2*CROQUIS!$C$164)-1,0)),2)*CROQUIS!$C$115))*CROQUIS!$C$159),-1000)</f>
        <v>79.1911432444645</v>
      </c>
      <c r="AN28">
        <f>IF(AND(CROQUIS!$C$87=1,CROQUIS!$C$162&gt;=2),(CROQUIS!$C$160+((CROQUIS!$C$163+CROQUIS!$C$114+(CROQUIS!$C$116-CROQUIS!$C$114)/2+MIN(INT(($A28-1)/2),MAX((CROQUIS!$C$162-1)-1,0))*CROQUIS!$C$116))*CROQUIS!$C$159),-1000)</f>
        <v>70.1762313601446</v>
      </c>
      <c r="AO28">
        <f>IF(AND(CROQUIS!$C$87=1,CROQUIS!$C$162&gt;=2),(CROQUIS!$C$161+(IF(MOD(MIN(INT(($A28-1)/2),MAX((CROQUIS!$C$162-1)-1,0)),2)=0,IF(IF(INT(($A28-1)/2)&gt;MAX((CROQUIS!$C$162-1)-1,0),1,MOD($A28-1,2))=0,CROQUIS!$C$107/2,(CROQUIS!$C$96-CROQUIS!$C$107/2)),IF(IF(INT(($A28-1)/2)&gt;MAX((CROQUIS!$C$162-1)-1,0),1,MOD($A28-1,2))=0,(CROQUIS!$C$96-CROQUIS!$C$107/2),CROQUIS!$C$107/2)))*CROQUIS!$C$159),-1000)</f>
        <v>16.9453230908269</v>
      </c>
      <c r="AP28">
        <f>IF(AND(CROQUIS!$C$87=1,CROQUIS!$C$164&gt;=2),(CROQUIS!$C$160+(IF(MOD(MIN(INT(($A28-1)/2),MAX((CROQUIS!$C$164-1)-1,0)),2)=0,IF(IF(INT(($A28-1)/2)&gt;MAX((CROQUIS!$C$164-1)-1,0),1,MOD($A28-1,2))=0,CROQUIS!$C$107/2,(CROQUIS!$C$95-CROQUIS!$C$107/2)),IF(IF(INT(($A28-1)/2)&gt;MAX((CROQUIS!$C$164-1)-1,0),1,MOD($A28-1,2))=0,(CROQUIS!$C$95-CROQUIS!$C$107/2),CROQUIS!$C$107/2)))*CROQUIS!$C$159),-1000)</f>
        <v>13.2878445549028</v>
      </c>
      <c r="AQ28">
        <f>IF(AND(CROQUIS!$C$87=1,CROQUIS!$C$164&gt;=2),(CROQUIS!$C$161+((CROQUIS!$C$165+CROQUIS!$C$115+(CROQUIS!$C$116-CROQUIS!$C$115)/2+MIN(INT(($A28-1)/2),MAX((CROQUIS!$C$164-1)-1,0))*CROQUIS!$C$116))*CROQUIS!$C$159),-1000)</f>
        <v>68.0298237686399</v>
      </c>
      <c r="BN28">
        <f>IF(AND(CROQUIS!$C$88=1,CROQUIS!$C$129&gt;0),((CROQUIS!$C$160+(IF(CROQUIS!$C$92="X",CHOOSE(IF(INT(($A28-1)/5)&gt;MAX((MAX(1,INT(((CROQUIS!$C$98)-CROQUIS!$C$107)/MAX((CROQUIS!$C$129*MAX(1,CEILING((INT(((CROQUIS!$C$98)-CROQUIS!$C$107)/MAX(CROQUIS!$C$129,1))+1)/80,1))),1))+1))-1,0),0,MOD($A28-1,5))+1,0,2,CROQUIS!$C$97-2,2,0),((CROQUIS!$C$107/2+(((CROQUIS!$C$98)-CROQUIS!$C$107)-(MAX(1,INT(((CROQUIS!$C$98)-CROQUIS!$C$107)/MAX((CROQUIS!$C$129*MAX(1,CEILING((INT(((CROQUIS!$C$98)-CROQUIS!$C$107)/MAX(CROQUIS!$C$129,1))+1)/80,1))),1))+1)-1)*(CROQUIS!$C$129*MAX(1,CEILING((INT(((CROQUIS!$C$98)-CROQUIS!$C$107)/MAX(CROQUIS!$C$129,1))+1)/80,1))))/2)+MIN(INT(($A28-1)/5),MAX((MAX(1,INT(((CROQUIS!$C$98)-CROQUIS!$C$107)/MAX((CROQUIS!$C$129*MAX(1,CEILING((INT(((CROQUIS!$C$98)-CROQUIS!$C$107)/MAX(CROQUIS!$C$129,1))+1)/80,1))),1))+1))-1,0))*(CROQUIS!$C$129*MAX(1,CEILING((INT(((CROQUIS!$C$98)-CROQUIS!$C$107)/MAX(CROQUIS!$C$129,1))+1)/80,1))))))*CROQUIS!$C$159)+IF(CROQUIS!$C$92="X",0,0)),-1000)</f>
        <v>-1000</v>
      </c>
      <c r="BO28">
        <f>IF(AND(CROQUIS!$C$88=1,CROQUIS!$C$129&gt;0),((CROQUIS!$C$161+(IF(CROQUIS!$C$92="X",((CROQUIS!$C$107/2+(((CROQUIS!$C$98)-CROQUIS!$C$107)-(MAX(1,INT(((CROQUIS!$C$98)-CROQUIS!$C$107)/MAX((CROQUIS!$C$129*MAX(1,CEILING((INT(((CROQUIS!$C$98)-CROQUIS!$C$107)/MAX(CROQUIS!$C$129,1))+1)/80,1))),1))+1)-1)*(CROQUIS!$C$129*MAX(1,CEILING((INT(((CROQUIS!$C$98)-CROQUIS!$C$107)/MAX(CROQUIS!$C$129,1))+1)/80,1))))/2)+MIN(INT(($A28-1)/5),MAX((MAX(1,INT(((CROQUIS!$C$98)-CROQUIS!$C$107)/MAX((CROQUIS!$C$129*MAX(1,CEILING((INT(((CROQUIS!$C$98)-CROQUIS!$C$107)/MAX(CROQUIS!$C$129,1))+1)/80,1))),1))+1))-1,0))*(CROQUIS!$C$129*MAX(1,CEILING((INT(((CROQUIS!$C$98)-CROQUIS!$C$107)/MAX(CROQUIS!$C$129,1))+1)/80,1)))),CHOOSE(IF(INT(($A28-1)/5)&gt;MAX((MAX(1,INT(((CROQUIS!$C$98)-CROQUIS!$C$107)/MAX((CROQUIS!$C$129*MAX(1,CEILING((INT(((CROQUIS!$C$98)-CROQUIS!$C$107)/MAX(CROQUIS!$C$129,1))+1)/80,1))),1))+1))-1,0),0,MOD($A28-1,5))+1,0,2,CROQUIS!$C$97-2,2,0)))*CROQUIS!$C$159)+IF(CROQUIS!$C$92="X",0,0)),-1000)</f>
        <v>-1000</v>
      </c>
      <c r="BP28">
        <f>IF(AND(CROQUIS!$C$88=1,CROQUIS!$C$137&gt;0),((CROQUIS!$C$160+(IF(CROQUIS!$C$92="X",((CROQUIS!$C$107/2+(((CROQUIS!$C$97)-CROQUIS!$C$107)-(MAX(1,INT(((CROQUIS!$C$97)-CROQUIS!$C$107)/MAX((CROQUIS!$C$137*MAX(1,CEILING((INT(((CROQUIS!$C$97)-CROQUIS!$C$107)/MAX(CROQUIS!$C$137,1))+1)/80,1))),1))+1)-1)*(CROQUIS!$C$137*MAX(1,CEILING((INT(((CROQUIS!$C$97)-CROQUIS!$C$107)/MAX(CROQUIS!$C$137,1))+1)/80,1))))/2)+MIN(INT(($A28-1)/5),MAX((MAX(1,INT(((CROQUIS!$C$97)-CROQUIS!$C$107)/MAX((CROQUIS!$C$137*MAX(1,CEILING((INT(((CROQUIS!$C$97)-CROQUIS!$C$107)/MAX(CROQUIS!$C$137,1))+1)/80,1))),1))+1))-1,0))*(CROQUIS!$C$137*MAX(1,CEILING((INT(((CROQUIS!$C$97)-CROQUIS!$C$107)/MAX(CROQUIS!$C$137,1))+1)/80,1)))),CHOOSE(IF(INT(($A28-1)/5)&gt;MAX((MAX(1,INT(((CROQUIS!$C$97)-CROQUIS!$C$107)/MAX((CROQUIS!$C$137*MAX(1,CEILING((INT(((CROQUIS!$C$97)-CROQUIS!$C$107)/MAX(CROQUIS!$C$137,1))+1)/80,1))),1))+1))-1,0),0,MOD($A28-1,5))+1,0,2,CROQUIS!$C$98-2,2,0)))*CROQUIS!$C$159)+IF(CROQUIS!$C$92="X",0,0)),-1000)</f>
        <v>-1000</v>
      </c>
      <c r="BQ28">
        <f>IF(AND(CROQUIS!$C$88=1,CROQUIS!$C$137&gt;0),((CROQUIS!$C$161+(IF(CROQUIS!$C$92="X",CHOOSE(IF(INT(($A28-1)/5)&gt;MAX((MAX(1,INT(((CROQUIS!$C$97)-CROQUIS!$C$107)/MAX((CROQUIS!$C$137*MAX(1,CEILING((INT(((CROQUIS!$C$97)-CROQUIS!$C$107)/MAX(CROQUIS!$C$137,1))+1)/80,1))),1))+1))-1,0),0,MOD($A28-1,5))+1,0,2,CROQUIS!$C$98-2,2,0),((CROQUIS!$C$107/2+(((CROQUIS!$C$97)-CROQUIS!$C$107)-(MAX(1,INT(((CROQUIS!$C$97)-CROQUIS!$C$107)/MAX((CROQUIS!$C$137*MAX(1,CEILING((INT(((CROQUIS!$C$97)-CROQUIS!$C$107)/MAX(CROQUIS!$C$137,1))+1)/80,1))),1))+1)-1)*(CROQUIS!$C$137*MAX(1,CEILING((INT(((CROQUIS!$C$97)-CROQUIS!$C$107)/MAX(CROQUIS!$C$137,1))+1)/80,1))))/2)+MIN(INT(($A28-1)/5),MAX((MAX(1,INT(((CROQUIS!$C$97)-CROQUIS!$C$107)/MAX((CROQUIS!$C$137*MAX(1,CEILING((INT(((CROQUIS!$C$97)-CROQUIS!$C$107)/MAX(CROQUIS!$C$137,1))+1)/80,1))),1))+1))-1,0))*(CROQUIS!$C$137*MAX(1,CEILING((INT(((CROQUIS!$C$97)-CROQUIS!$C$107)/MAX(CROQUIS!$C$137,1))+1)/80,1))))))*CROQUIS!$C$159)+IF(CROQUIS!$C$92="X",0,0)),-1000)</f>
        <v>-1000</v>
      </c>
      <c r="BR28">
        <f>IF(AND(CROQUIS!$C$88=1,CROQUIS!$C$91=0,CROQUIS!$C$133&gt;0,OR(CROQUIS!$C$103=1,CROQUIS!$C$145=1)),((CROQUIS!$C$160+(IF(CROQUIS!$C$92="X",CHOOSE(IF(INT(($A28-1)/5)&gt;MAX((MAX(1,INT(((CROQUIS!$C$98)-CROQUIS!$C$107)/MAX((CROQUIS!$C$133*MAX(1,CEILING((INT(((CROQUIS!$C$98)-CROQUIS!$C$107)/MAX(CROQUIS!$C$133,1))+1)/80,1))),1))+1))-1,0),0,MOD($A28-1,5))+1,0,IF(CROQUIS!$C$103=1,-12,2),CROQUIS!$C$107/2+CROQUIS!$C$143,IF(CROQUIS!$C$103=1,-12,2),0),((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BS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+1,0,IF(CROQUIS!$C$103=1,-12,2),CROQUIS!$C$107/2+CROQUIS!$C$143,IF(CROQUIS!$C$103=1,-12,2),0)))*CROQUIS!$C$159)+IF(CROQUIS!$C$92="X",0.8,0)),-1000)</f>
        <v>-1000</v>
      </c>
      <c r="BT28">
        <f>IF(AND(CROQUIS!$C$88=1,CROQUIS!$C$91=0,CROQUIS!$C$133&gt;0,OR(CROQUIS!$C$104=1,CROQUIS!$C$145=1)),((CROQUIS!$C$160+(IF(CROQUIS!$C$92="X",CHOOSE(IF(INT(($A28-1)/5)&gt;MAX((MAX(1,INT(((CROQUIS!$C$98)-CROQUIS!$C$107)/MAX((CROQUIS!$C$133*MAX(1,CEILING((INT(((CROQUIS!$C$98)-CROQUIS!$C$107)/MAX(CROQUIS!$C$133,1))+1)/80,1))),1))+1))-1,0),0,MOD($A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BU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CROQUIS!$C$97,CROQUIS!$C$97-CROQUIS!$C$107/2-CROQUIS!$C$143,IF(CROQUIS!$C$104=1,CROQUIS!$C$97+12,CROQUIS!$C$97-2),CROQUIS!$C$97-CROQUIS!$C$107/2-CROQUIS!$C$143,CROQUIS!$C$97)))*CROQUIS!$C$159)+IF(CROQUIS!$C$92="X",0.8,0)),-1000)</f>
        <v>-1000</v>
      </c>
      <c r="BV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HOOSE(IF(INT(($A28-1)/5)&gt;MAX((MAX(1,INT(((CROQUIS!$C$97)-CROQUIS!$C$107)/MAX((CROQUIS!$C$141*MAX(1,CEILING((INT(((CROQUIS!$C$97)-CROQUIS!$C$107)/MAX(CROQUIS!$C$141,1))+1)/80,1))),1))+1))-1,0),0,MOD($A28-1,5))+1,0,IF(CROQUIS!$C$105=1,-12,2),CROQUIS!$C$107/2+CROQUIS!$C$144,IF(CROQUIS!$C$105=1,-12,2),0)))*CROQUIS!$C$159)+IF(CROQUIS!$C$92="X",0.8,0)),-1000)</f>
        <v>-1000</v>
      </c>
      <c r="BW28">
        <f>IF(AND(CROQUIS!$C$88=1,CROQUIS!$C$91=0,CROQUIS!$C$141&gt;0,OR(CROQUIS!$C$105=1,CROQUIS!$C$146=1)),((CROQUIS!$C$161+(IF(CROQUIS!$C$92="X",CHOOSE(IF(INT(($A28-1)/5)&gt;MAX((MAX(1,INT(((CROQUIS!$C$97)-CROQUIS!$C$107)/MAX((CROQUIS!$C$141*MAX(1,CEILING((INT(((CROQUIS!$C$97)-CROQUIS!$C$107)/MAX(CROQUIS!$C$141,1))+1)/80,1))),1))+1))-1,0),0,MOD($A28-1,5))+1,0,IF(CROQUIS!$C$105=1,-12,2),CROQUIS!$C$107/2+CROQUIS!$C$144,IF(CROQUIS!$C$105=1,-12,2),0),((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ROQUIS!$C$159)+IF(CROQUIS!$C$92="X",0,0.8)),-1000)</f>
        <v>-1000</v>
      </c>
      <c r="BX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HOOSE(IF(INT(($A28-1)/5)&gt;MAX((MAX(1,INT(((CROQUIS!$C$97)-CROQUIS!$C$107)/MAX((CROQUIS!$C$141*MAX(1,CEILING((INT(((CROQUIS!$C$97)-CROQUIS!$C$107)/MAX(CROQUIS!$C$141,1))+1)/80,1))),1))+1))-1,0),0,MOD($A28-1,5))+1,CROQUIS!$C$98,CROQUIS!$C$98-CROQUIS!$C$107/2-CROQUIS!$C$144,IF(CROQUIS!$C$106=1,CROQUIS!$C$98+12,CROQUIS!$C$98-2),CROQUIS!$C$98-CROQUIS!$C$107/2-CROQUIS!$C$144,CROQUIS!$C$98)))*CROQUIS!$C$159)+IF(CROQUIS!$C$92="X",0.8,0)),-1000)</f>
        <v>-1000</v>
      </c>
      <c r="BY28">
        <f>IF(AND(CROQUIS!$C$88=1,CROQUIS!$C$91=0,CROQUIS!$C$141&gt;0,OR(CROQUIS!$C$106=1,CROQUIS!$C$146=1)),((CROQUIS!$C$161+(IF(CROQUIS!$C$92="X",CHOOSE(IF(INT(($A28-1)/5)&gt;MAX((MAX(1,INT(((CROQUIS!$C$97)-CROQUIS!$C$107)/MAX((CROQUIS!$C$141*MAX(1,CEILING((INT(((CROQUIS!$C$97)-CROQUIS!$C$107)/MAX(CROQUIS!$C$141,1))+1)/80,1))),1))+1))-1,0),0,MOD($A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ROQUIS!$C$159)+IF(CROQUIS!$C$92="X",0,0.8)),-1000)</f>
        <v>-1000</v>
      </c>
      <c r="BZ28">
        <f>IF(AND(CROQUIS!$C$88=1,CROQUIS!$C$91=1,CROQUIS!$C$133&gt;0),((CROQUIS!$C$160+(IF(CROQUIS!$C$92="X",CHOOSE(IF(INT(($A28-1)/5)&gt;MAX((MAX(1,INT(((CROQUIS!$C$98)-CROQUIS!$C$107)/MAX((CROQUIS!$C$133*MAX(1,CEILING((INT(((CROQUIS!$C$98)-CROQUIS!$C$107)/MAX(CROQUIS!$C$133,1))+1)/80,1))),1))+1))-1,0),0,MOD($A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CA28">
        <f>IF(AND(CROQUIS!$C$88=1,CROQUIS!$C$91=1,CROQUIS!$C$133&gt;0),((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
      <c r="A29" t="n">
        <v>22</v>
      </c>
      <c r="F29">
        <f>IF(AND(CROQUIS!$C$87=1,CROQUIS!$C$91=1),((CROQUIS!$C$160+(IF(CROQUIS!$C$92="X",IF(CROQUIS!$C$94=1,0,CROQUIS!$C$97)+IF(MOD($A29,2)=1,-CROQUIS!$C$107/2,CROQUIS!$C$107/2),(MIN($A29,41)-1)/40*CROQUIS!$C$98))*CROQUIS!$C$159)+IF(CROQUIS!$C$92="X",0,0)),-1000)</f>
        <v>-1000</v>
      </c>
      <c r="G29">
        <f>IF(AND(CROQUIS!$C$87=1,CROQUIS!$C$91=1),((CROQUIS!$C$161+(IF(CROQUIS!$C$92="X",(MIN($A29,41)-1)/40*CROQUIS!$C$98,IF(CROQUIS!$C$94=1,0,CROQUIS!$C$97)+IF(MOD($A29,2)=1,-CROQUIS!$C$107/2,CROQUIS!$C$107/2)))*CROQUIS!$C$159)+IF(CROQUIS!$C$92="X",0,0)),-1000)</f>
        <v>-1000</v>
      </c>
      <c r="V29">
        <f>IF(AND(CROQUIS!$C$88=1,CROQUIS!$C$91=1),((CROQUIS!$C$160+(IF(CROQUIS!$C$92="X",IF(CROQUIS!$C$94=1,0,CROQUIS!$C$97)+IF(MOD($A29,2)=1,-CROQUIS!$C$107/2,CROQUIS!$C$107/2),(MIN($A29,41)-1)/40*CROQUIS!$C$98))*CROQUIS!$C$159)+IF(CROQUIS!$C$92="X",0,0)),-1000)</f>
        <v>-1000</v>
      </c>
      <c r="W29">
        <f>IF(AND(CROQUIS!$C$88=1,CROQUIS!$C$91=1),((CROQUIS!$C$161+(IF(CROQUIS!$C$92="X",(MIN($A29,41)-1)/40*CROQUIS!$C$98,IF(CROQUIS!$C$94=1,0,CROQUIS!$C$97)+IF(MOD($A29,2)=1,-CROQUIS!$C$107/2,CROQUIS!$C$107/2)))*CROQUIS!$C$159)+IF(CROQUIS!$C$92="X",0,0)),-1000)</f>
        <v>-1000</v>
      </c>
      <c r="AJ29">
        <f>IF(AND(CROQUIS!$C$87=1,CROQUIS!$C$162&gt;0,CROQUIS!$C$164&gt;0),(CROQUIS!$C$160+((CROQUIS!$C$163+INT(MIN(INT(($A29-1)/2),MAX((2*CROQUIS!$C$162)-1,0))/2)*CROQUIS!$C$116+MOD(MIN(INT(($A29-1)/2),MAX((2*CROQUIS!$C$162)-1,0)),2)*CROQUIS!$C$114))*CROQUIS!$C$159),-1000)</f>
        <v>81.3375508359693</v>
      </c>
      <c r="AK29">
        <f>IF(AND(CROQUIS!$C$87=1,CROQUIS!$C$162&gt;0,CROQUIS!$C$164&gt;0),(CROQUIS!$C$161+(IF(MOD(MIN(INT(($A29-1)/2),MAX((2*CROQUIS!$C$162)-1,0)),2)=0,IF(IF(INT(($A29-1)/2)&gt;MAX((2*CROQUIS!$C$162)-1,0),1,MOD($A29-1,2))=0,CROQUIS!$C$165,(CROQUIS!$C$165+(CROQUIS!$C$164-1)*CROQUIS!$C$116+CROQUIS!$C$115)),IF(IF(INT(($A29-1)/2)&gt;MAX((2*CROQUIS!$C$162)-1,0),1,MOD($A29-1,2))=0,(CROQUIS!$C$165+(CROQUIS!$C$164-1)*CROQUIS!$C$116+CROQUIS!$C$115),CROQUIS!$C$165)))*CROQUIS!$C$159),-1000)</f>
        <v>20.8088567555355</v>
      </c>
      <c r="AL29">
        <f>IF(AND(CROQUIS!$C$87=1,CROQUIS!$C$164&gt;0,CROQUIS!$C$162&gt;0),(CROQUIS!$C$160+(IF(MOD(MIN(INT(($A29-1)/2),MAX((2*CROQUIS!$C$164)-1,0)),2)=0,IF(IF(INT(($A29-1)/2)&gt;MAX((2*CROQUIS!$C$164)-1,0),1,MOD($A29-1,2))=0,CROQUIS!$C$163,(CROQUIS!$C$163+(CROQUIS!$C$162-1)*CROQUIS!$C$116+CROQUIS!$C$114)),IF(IF(INT(($A29-1)/2)&gt;MAX((2*CROQUIS!$C$164)-1,0),1,MOD($A29-1,2))=0,(CROQUIS!$C$163+(CROQUIS!$C$162-1)*CROQUIS!$C$116+CROQUIS!$C$114),CROQUIS!$C$163)))*CROQUIS!$C$159),-1000)</f>
        <v>22.9552643470402</v>
      </c>
      <c r="AM29">
        <f>IF(AND(CROQUIS!$C$87=1,CROQUIS!$C$164&gt;0,CROQUIS!$C$162&gt;0),(CROQUIS!$C$161+((CROQUIS!$C$165+INT(MIN(INT(($A29-1)/2),MAX((2*CROQUIS!$C$164)-1,0))/2)*CROQUIS!$C$116+MOD(MIN(INT(($A29-1)/2),MAX((2*CROQUIS!$C$164)-1,0)),2)*CROQUIS!$C$115))*CROQUIS!$C$159),-1000)</f>
        <v>79.1911432444645</v>
      </c>
      <c r="AN29">
        <f>IF(AND(CROQUIS!$C$87=1,CROQUIS!$C$162&gt;=2),(CROQUIS!$C$160+((CROQUIS!$C$163+CROQUIS!$C$114+(CROQUIS!$C$116-CROQUIS!$C$114)/2+MIN(INT(($A29-1)/2),MAX((CROQUIS!$C$162-1)-1,0))*CROQUIS!$C$116))*CROQUIS!$C$159),-1000)</f>
        <v>70.1762313601446</v>
      </c>
      <c r="AO29">
        <f>IF(AND(CROQUIS!$C$87=1,CROQUIS!$C$162&gt;=2),(CROQUIS!$C$161+(IF(MOD(MIN(INT(($A29-1)/2),MAX((CROQUIS!$C$162-1)-1,0)),2)=0,IF(IF(INT(($A29-1)/2)&gt;MAX((CROQUIS!$C$162-1)-1,0),1,MOD($A29-1,2))=0,CROQUIS!$C$107/2,(CROQUIS!$C$96-CROQUIS!$C$107/2)),IF(IF(INT(($A29-1)/2)&gt;MAX((CROQUIS!$C$162-1)-1,0),1,MOD($A29-1,2))=0,(CROQUIS!$C$96-CROQUIS!$C$107/2),CROQUIS!$C$107/2)))*CROQUIS!$C$159),-1000)</f>
        <v>16.9453230908269</v>
      </c>
      <c r="AP29">
        <f>IF(AND(CROQUIS!$C$87=1,CROQUIS!$C$164&gt;=2),(CROQUIS!$C$160+(IF(MOD(MIN(INT(($A29-1)/2),MAX((CROQUIS!$C$164-1)-1,0)),2)=0,IF(IF(INT(($A29-1)/2)&gt;MAX((CROQUIS!$C$164-1)-1,0),1,MOD($A29-1,2))=0,CROQUIS!$C$107/2,(CROQUIS!$C$95-CROQUIS!$C$107/2)),IF(IF(INT(($A29-1)/2)&gt;MAX((CROQUIS!$C$164-1)-1,0),1,MOD($A29-1,2))=0,(CROQUIS!$C$95-CROQUIS!$C$107/2),CROQUIS!$C$107/2)))*CROQUIS!$C$159),-1000)</f>
        <v>13.2878445549028</v>
      </c>
      <c r="AQ29">
        <f>IF(AND(CROQUIS!$C$87=1,CROQUIS!$C$164&gt;=2),(CROQUIS!$C$161+((CROQUIS!$C$165+CROQUIS!$C$115+(CROQUIS!$C$116-CROQUIS!$C$115)/2+MIN(INT(($A29-1)/2),MAX((CROQUIS!$C$164-1)-1,0))*CROQUIS!$C$116))*CROQUIS!$C$159),-1000)</f>
        <v>68.0298237686399</v>
      </c>
      <c r="BN29">
        <f>IF(AND(CROQUIS!$C$88=1,CROQUIS!$C$129&gt;0),((CROQUIS!$C$160+(IF(CROQUIS!$C$92="X",CHOOSE(IF(INT(($A29-1)/5)&gt;MAX((MAX(1,INT(((CROQUIS!$C$98)-CROQUIS!$C$107)/MAX((CROQUIS!$C$129*MAX(1,CEILING((INT(((CROQUIS!$C$98)-CROQUIS!$C$107)/MAX(CROQUIS!$C$129,1))+1)/80,1))),1))+1))-1,0),0,MOD($A29-1,5))+1,0,2,CROQUIS!$C$97-2,2,0),((CROQUIS!$C$107/2+(((CROQUIS!$C$98)-CROQUIS!$C$107)-(MAX(1,INT(((CROQUIS!$C$98)-CROQUIS!$C$107)/MAX((CROQUIS!$C$129*MAX(1,CEILING((INT(((CROQUIS!$C$98)-CROQUIS!$C$107)/MAX(CROQUIS!$C$129,1))+1)/80,1))),1))+1)-1)*(CROQUIS!$C$129*MAX(1,CEILING((INT(((CROQUIS!$C$98)-CROQUIS!$C$107)/MAX(CROQUIS!$C$129,1))+1)/80,1))))/2)+MIN(INT(($A29-1)/5),MAX((MAX(1,INT(((CROQUIS!$C$98)-CROQUIS!$C$107)/MAX((CROQUIS!$C$129*MAX(1,CEILING((INT(((CROQUIS!$C$98)-CROQUIS!$C$107)/MAX(CROQUIS!$C$129,1))+1)/80,1))),1))+1))-1,0))*(CROQUIS!$C$129*MAX(1,CEILING((INT(((CROQUIS!$C$98)-CROQUIS!$C$107)/MAX(CROQUIS!$C$129,1))+1)/80,1))))))*CROQUIS!$C$159)+IF(CROQUIS!$C$92="X",0,0)),-1000)</f>
        <v>-1000</v>
      </c>
      <c r="BO29">
        <f>IF(AND(CROQUIS!$C$88=1,CROQUIS!$C$129&gt;0),((CROQUIS!$C$161+(IF(CROQUIS!$C$92="X",((CROQUIS!$C$107/2+(((CROQUIS!$C$98)-CROQUIS!$C$107)-(MAX(1,INT(((CROQUIS!$C$98)-CROQUIS!$C$107)/MAX((CROQUIS!$C$129*MAX(1,CEILING((INT(((CROQUIS!$C$98)-CROQUIS!$C$107)/MAX(CROQUIS!$C$129,1))+1)/80,1))),1))+1)-1)*(CROQUIS!$C$129*MAX(1,CEILING((INT(((CROQUIS!$C$98)-CROQUIS!$C$107)/MAX(CROQUIS!$C$129,1))+1)/80,1))))/2)+MIN(INT(($A29-1)/5),MAX((MAX(1,INT(((CROQUIS!$C$98)-CROQUIS!$C$107)/MAX((CROQUIS!$C$129*MAX(1,CEILING((INT(((CROQUIS!$C$98)-CROQUIS!$C$107)/MAX(CROQUIS!$C$129,1))+1)/80,1))),1))+1))-1,0))*(CROQUIS!$C$129*MAX(1,CEILING((INT(((CROQUIS!$C$98)-CROQUIS!$C$107)/MAX(CROQUIS!$C$129,1))+1)/80,1)))),CHOOSE(IF(INT(($A29-1)/5)&gt;MAX((MAX(1,INT(((CROQUIS!$C$98)-CROQUIS!$C$107)/MAX((CROQUIS!$C$129*MAX(1,CEILING((INT(((CROQUIS!$C$98)-CROQUIS!$C$107)/MAX(CROQUIS!$C$129,1))+1)/80,1))),1))+1))-1,0),0,MOD($A29-1,5))+1,0,2,CROQUIS!$C$97-2,2,0)))*CROQUIS!$C$159)+IF(CROQUIS!$C$92="X",0,0)),-1000)</f>
        <v>-1000</v>
      </c>
      <c r="BP29">
        <f>IF(AND(CROQUIS!$C$88=1,CROQUIS!$C$137&gt;0),((CROQUIS!$C$160+(IF(CROQUIS!$C$92="X",((CROQUIS!$C$107/2+(((CROQUIS!$C$97)-CROQUIS!$C$107)-(MAX(1,INT(((CROQUIS!$C$97)-CROQUIS!$C$107)/MAX((CROQUIS!$C$137*MAX(1,CEILING((INT(((CROQUIS!$C$97)-CROQUIS!$C$107)/MAX(CROQUIS!$C$137,1))+1)/80,1))),1))+1)-1)*(CROQUIS!$C$137*MAX(1,CEILING((INT(((CROQUIS!$C$97)-CROQUIS!$C$107)/MAX(CROQUIS!$C$137,1))+1)/80,1))))/2)+MIN(INT(($A29-1)/5),MAX((MAX(1,INT(((CROQUIS!$C$97)-CROQUIS!$C$107)/MAX((CROQUIS!$C$137*MAX(1,CEILING((INT(((CROQUIS!$C$97)-CROQUIS!$C$107)/MAX(CROQUIS!$C$137,1))+1)/80,1))),1))+1))-1,0))*(CROQUIS!$C$137*MAX(1,CEILING((INT(((CROQUIS!$C$97)-CROQUIS!$C$107)/MAX(CROQUIS!$C$137,1))+1)/80,1)))),CHOOSE(IF(INT(($A29-1)/5)&gt;MAX((MAX(1,INT(((CROQUIS!$C$97)-CROQUIS!$C$107)/MAX((CROQUIS!$C$137*MAX(1,CEILING((INT(((CROQUIS!$C$97)-CROQUIS!$C$107)/MAX(CROQUIS!$C$137,1))+1)/80,1))),1))+1))-1,0),0,MOD($A29-1,5))+1,0,2,CROQUIS!$C$98-2,2,0)))*CROQUIS!$C$159)+IF(CROQUIS!$C$92="X",0,0)),-1000)</f>
        <v>-1000</v>
      </c>
      <c r="BQ29">
        <f>IF(AND(CROQUIS!$C$88=1,CROQUIS!$C$137&gt;0),((CROQUIS!$C$161+(IF(CROQUIS!$C$92="X",CHOOSE(IF(INT(($A29-1)/5)&gt;MAX((MAX(1,INT(((CROQUIS!$C$97)-CROQUIS!$C$107)/MAX((CROQUIS!$C$137*MAX(1,CEILING((INT(((CROQUIS!$C$97)-CROQUIS!$C$107)/MAX(CROQUIS!$C$137,1))+1)/80,1))),1))+1))-1,0),0,MOD($A29-1,5))+1,0,2,CROQUIS!$C$98-2,2,0),((CROQUIS!$C$107/2+(((CROQUIS!$C$97)-CROQUIS!$C$107)-(MAX(1,INT(((CROQUIS!$C$97)-CROQUIS!$C$107)/MAX((CROQUIS!$C$137*MAX(1,CEILING((INT(((CROQUIS!$C$97)-CROQUIS!$C$107)/MAX(CROQUIS!$C$137,1))+1)/80,1))),1))+1)-1)*(CROQUIS!$C$137*MAX(1,CEILING((INT(((CROQUIS!$C$97)-CROQUIS!$C$107)/MAX(CROQUIS!$C$137,1))+1)/80,1))))/2)+MIN(INT(($A29-1)/5),MAX((MAX(1,INT(((CROQUIS!$C$97)-CROQUIS!$C$107)/MAX((CROQUIS!$C$137*MAX(1,CEILING((INT(((CROQUIS!$C$97)-CROQUIS!$C$107)/MAX(CROQUIS!$C$137,1))+1)/80,1))),1))+1))-1,0))*(CROQUIS!$C$137*MAX(1,CEILING((INT(((CROQUIS!$C$97)-CROQUIS!$C$107)/MAX(CROQUIS!$C$137,1))+1)/80,1))))))*CROQUIS!$C$159)+IF(CROQUIS!$C$92="X",0,0)),-1000)</f>
        <v>-1000</v>
      </c>
      <c r="BR29">
        <f>IF(AND(CROQUIS!$C$88=1,CROQUIS!$C$91=0,CROQUIS!$C$133&gt;0,OR(CROQUIS!$C$103=1,CROQUIS!$C$145=1)),((CROQUIS!$C$160+(IF(CROQUIS!$C$92="X",CHOOSE(IF(INT(($A29-1)/5)&gt;MAX((MAX(1,INT(((CROQUIS!$C$98)-CROQUIS!$C$107)/MAX((CROQUIS!$C$133*MAX(1,CEILING((INT(((CROQUIS!$C$98)-CROQUIS!$C$107)/MAX(CROQUIS!$C$133,1))+1)/80,1))),1))+1))-1,0),0,MOD($A29-1,5))+1,0,IF(CROQUIS!$C$103=1,-12,2),CROQUIS!$C$107/2+CROQUIS!$C$143,IF(CROQUIS!$C$103=1,-12,2),0),((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BS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+1,0,IF(CROQUIS!$C$103=1,-12,2),CROQUIS!$C$107/2+CROQUIS!$C$143,IF(CROQUIS!$C$103=1,-12,2),0)))*CROQUIS!$C$159)+IF(CROQUIS!$C$92="X",0.8,0)),-1000)</f>
        <v>-1000</v>
      </c>
      <c r="BT29">
        <f>IF(AND(CROQUIS!$C$88=1,CROQUIS!$C$91=0,CROQUIS!$C$133&gt;0,OR(CROQUIS!$C$104=1,CROQUIS!$C$145=1)),((CROQUIS!$C$160+(IF(CROQUIS!$C$92="X",CHOOSE(IF(INT(($A29-1)/5)&gt;MAX((MAX(1,INT(((CROQUIS!$C$98)-CROQUIS!$C$107)/MAX((CROQUIS!$C$133*MAX(1,CEILING((INT(((CROQUIS!$C$98)-CROQUIS!$C$107)/MAX(CROQUIS!$C$133,1))+1)/80,1))),1))+1))-1,0),0,MOD($A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BU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CROQUIS!$C$97,CROQUIS!$C$97-CROQUIS!$C$107/2-CROQUIS!$C$143,IF(CROQUIS!$C$104=1,CROQUIS!$C$97+12,CROQUIS!$C$97-2),CROQUIS!$C$97-CROQUIS!$C$107/2-CROQUIS!$C$143,CROQUIS!$C$97)))*CROQUIS!$C$159)+IF(CROQUIS!$C$92="X",0.8,0)),-1000)</f>
        <v>-1000</v>
      </c>
      <c r="BV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HOOSE(IF(INT(($A29-1)/5)&gt;MAX((MAX(1,INT(((CROQUIS!$C$97)-CROQUIS!$C$107)/MAX((CROQUIS!$C$141*MAX(1,CEILING((INT(((CROQUIS!$C$97)-CROQUIS!$C$107)/MAX(CROQUIS!$C$141,1))+1)/80,1))),1))+1))-1,0),0,MOD($A29-1,5))+1,0,IF(CROQUIS!$C$105=1,-12,2),CROQUIS!$C$107/2+CROQUIS!$C$144,IF(CROQUIS!$C$105=1,-12,2),0)))*CROQUIS!$C$159)+IF(CROQUIS!$C$92="X",0.8,0)),-1000)</f>
        <v>-1000</v>
      </c>
      <c r="BW29">
        <f>IF(AND(CROQUIS!$C$88=1,CROQUIS!$C$91=0,CROQUIS!$C$141&gt;0,OR(CROQUIS!$C$105=1,CROQUIS!$C$146=1)),((CROQUIS!$C$161+(IF(CROQUIS!$C$92="X",CHOOSE(IF(INT(($A29-1)/5)&gt;MAX((MAX(1,INT(((CROQUIS!$C$97)-CROQUIS!$C$107)/MAX((CROQUIS!$C$141*MAX(1,CEILING((INT(((CROQUIS!$C$97)-CROQUIS!$C$107)/MAX(CROQUIS!$C$141,1))+1)/80,1))),1))+1))-1,0),0,MOD($A29-1,5))+1,0,IF(CROQUIS!$C$105=1,-12,2),CROQUIS!$C$107/2+CROQUIS!$C$144,IF(CROQUIS!$C$105=1,-12,2),0),((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ROQUIS!$C$159)+IF(CROQUIS!$C$92="X",0,0.8)),-1000)</f>
        <v>-1000</v>
      </c>
      <c r="BX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HOOSE(IF(INT(($A29-1)/5)&gt;MAX((MAX(1,INT(((CROQUIS!$C$97)-CROQUIS!$C$107)/MAX((CROQUIS!$C$141*MAX(1,CEILING((INT(((CROQUIS!$C$97)-CROQUIS!$C$107)/MAX(CROQUIS!$C$141,1))+1)/80,1))),1))+1))-1,0),0,MOD($A29-1,5))+1,CROQUIS!$C$98,CROQUIS!$C$98-CROQUIS!$C$107/2-CROQUIS!$C$144,IF(CROQUIS!$C$106=1,CROQUIS!$C$98+12,CROQUIS!$C$98-2),CROQUIS!$C$98-CROQUIS!$C$107/2-CROQUIS!$C$144,CROQUIS!$C$98)))*CROQUIS!$C$159)+IF(CROQUIS!$C$92="X",0.8,0)),-1000)</f>
        <v>-1000</v>
      </c>
      <c r="BY29">
        <f>IF(AND(CROQUIS!$C$88=1,CROQUIS!$C$91=0,CROQUIS!$C$141&gt;0,OR(CROQUIS!$C$106=1,CROQUIS!$C$146=1)),((CROQUIS!$C$161+(IF(CROQUIS!$C$92="X",CHOOSE(IF(INT(($A29-1)/5)&gt;MAX((MAX(1,INT(((CROQUIS!$C$97)-CROQUIS!$C$107)/MAX((CROQUIS!$C$141*MAX(1,CEILING((INT(((CROQUIS!$C$97)-CROQUIS!$C$107)/MAX(CROQUIS!$C$141,1))+1)/80,1))),1))+1))-1,0),0,MOD($A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ROQUIS!$C$159)+IF(CROQUIS!$C$92="X",0,0.8)),-1000)</f>
        <v>-1000</v>
      </c>
      <c r="BZ29">
        <f>IF(AND(CROQUIS!$C$88=1,CROQUIS!$C$91=1,CROQUIS!$C$133&gt;0),((CROQUIS!$C$160+(IF(CROQUIS!$C$92="X",CHOOSE(IF(INT(($A29-1)/5)&gt;MAX((MAX(1,INT(((CROQUIS!$C$98)-CROQUIS!$C$107)/MAX((CROQUIS!$C$133*MAX(1,CEILING((INT(((CROQUIS!$C$98)-CROQUIS!$C$107)/MAX(CROQUIS!$C$133,1))+1)/80,1))),1))+1))-1,0),0,MOD($A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CA29">
        <f>IF(AND(CROQUIS!$C$88=1,CROQUIS!$C$91=1,CROQUIS!$C$133&gt;0),((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
      <c r="A30" t="n">
        <v>23</v>
      </c>
      <c r="F30">
        <f>IF(AND(CROQUIS!$C$87=1,CROQUIS!$C$91=1),((CROQUIS!$C$160+(IF(CROQUIS!$C$92="X",IF(CROQUIS!$C$94=1,0,CROQUIS!$C$97)+IF(MOD($A30,2)=1,-CROQUIS!$C$107/2,CROQUIS!$C$107/2),(MIN($A30,41)-1)/40*CROQUIS!$C$98))*CROQUIS!$C$159)+IF(CROQUIS!$C$92="X",0,0)),-1000)</f>
        <v>-1000</v>
      </c>
      <c r="G30">
        <f>IF(AND(CROQUIS!$C$87=1,CROQUIS!$C$91=1),((CROQUIS!$C$161+(IF(CROQUIS!$C$92="X",(MIN($A30,41)-1)/40*CROQUIS!$C$98,IF(CROQUIS!$C$94=1,0,CROQUIS!$C$97)+IF(MOD($A30,2)=1,-CROQUIS!$C$107/2,CROQUIS!$C$107/2)))*CROQUIS!$C$159)+IF(CROQUIS!$C$92="X",0,0)),-1000)</f>
        <v>-1000</v>
      </c>
      <c r="V30">
        <f>IF(AND(CROQUIS!$C$88=1,CROQUIS!$C$91=1),((CROQUIS!$C$160+(IF(CROQUIS!$C$92="X",IF(CROQUIS!$C$94=1,0,CROQUIS!$C$97)+IF(MOD($A30,2)=1,-CROQUIS!$C$107/2,CROQUIS!$C$107/2),(MIN($A30,41)-1)/40*CROQUIS!$C$98))*CROQUIS!$C$159)+IF(CROQUIS!$C$92="X",0,0)),-1000)</f>
        <v>-1000</v>
      </c>
      <c r="W30">
        <f>IF(AND(CROQUIS!$C$88=1,CROQUIS!$C$91=1),((CROQUIS!$C$161+(IF(CROQUIS!$C$92="X",(MIN($A30,41)-1)/40*CROQUIS!$C$98,IF(CROQUIS!$C$94=1,0,CROQUIS!$C$97)+IF(MOD($A30,2)=1,-CROQUIS!$C$107/2,CROQUIS!$C$107/2)))*CROQUIS!$C$159)+IF(CROQUIS!$C$92="X",0,0)),-1000)</f>
        <v>-1000</v>
      </c>
      <c r="AJ30">
        <f>IF(AND(CROQUIS!$C$87=1,CROQUIS!$C$162&gt;0,CROQUIS!$C$164&gt;0),(CROQUIS!$C$160+((CROQUIS!$C$163+INT(MIN(INT(($A30-1)/2),MAX((2*CROQUIS!$C$162)-1,0))/2)*CROQUIS!$C$116+MOD(MIN(INT(($A30-1)/2),MAX((2*CROQUIS!$C$162)-1,0)),2)*CROQUIS!$C$114))*CROQUIS!$C$159),-1000)</f>
        <v>81.3375508359693</v>
      </c>
      <c r="AK30">
        <f>IF(AND(CROQUIS!$C$87=1,CROQUIS!$C$162&gt;0,CROQUIS!$C$164&gt;0),(CROQUIS!$C$161+(IF(MOD(MIN(INT(($A30-1)/2),MAX((2*CROQUIS!$C$162)-1,0)),2)=0,IF(IF(INT(($A30-1)/2)&gt;MAX((2*CROQUIS!$C$162)-1,0),1,MOD($A30-1,2))=0,CROQUIS!$C$165,(CROQUIS!$C$165+(CROQUIS!$C$164-1)*CROQUIS!$C$116+CROQUIS!$C$115)),IF(IF(INT(($A30-1)/2)&gt;MAX((2*CROQUIS!$C$162)-1,0),1,MOD($A30-1,2))=0,(CROQUIS!$C$165+(CROQUIS!$C$164-1)*CROQUIS!$C$116+CROQUIS!$C$115),CROQUIS!$C$165)))*CROQUIS!$C$159),-1000)</f>
        <v>20.8088567555355</v>
      </c>
      <c r="AL30">
        <f>IF(AND(CROQUIS!$C$87=1,CROQUIS!$C$164&gt;0,CROQUIS!$C$162&gt;0),(CROQUIS!$C$160+(IF(MOD(MIN(INT(($A30-1)/2),MAX((2*CROQUIS!$C$164)-1,0)),2)=0,IF(IF(INT(($A30-1)/2)&gt;MAX((2*CROQUIS!$C$164)-1,0),1,MOD($A30-1,2))=0,CROQUIS!$C$163,(CROQUIS!$C$163+(CROQUIS!$C$162-1)*CROQUIS!$C$116+CROQUIS!$C$114)),IF(IF(INT(($A30-1)/2)&gt;MAX((2*CROQUIS!$C$164)-1,0),1,MOD($A30-1,2))=0,(CROQUIS!$C$163+(CROQUIS!$C$162-1)*CROQUIS!$C$116+CROQUIS!$C$114),CROQUIS!$C$163)))*CROQUIS!$C$159),-1000)</f>
        <v>22.9552643470402</v>
      </c>
      <c r="AM30">
        <f>IF(AND(CROQUIS!$C$87=1,CROQUIS!$C$164&gt;0,CROQUIS!$C$162&gt;0),(CROQUIS!$C$161+((CROQUIS!$C$165+INT(MIN(INT(($A30-1)/2),MAX((2*CROQUIS!$C$164)-1,0))/2)*CROQUIS!$C$116+MOD(MIN(INT(($A30-1)/2),MAX((2*CROQUIS!$C$164)-1,0)),2)*CROQUIS!$C$115))*CROQUIS!$C$159),-1000)</f>
        <v>79.1911432444645</v>
      </c>
      <c r="AN30">
        <f>IF(AND(CROQUIS!$C$87=1,CROQUIS!$C$162&gt;=2),(CROQUIS!$C$160+((CROQUIS!$C$163+CROQUIS!$C$114+(CROQUIS!$C$116-CROQUIS!$C$114)/2+MIN(INT(($A30-1)/2),MAX((CROQUIS!$C$162-1)-1,0))*CROQUIS!$C$116))*CROQUIS!$C$159),-1000)</f>
        <v>70.1762313601446</v>
      </c>
      <c r="AO30">
        <f>IF(AND(CROQUIS!$C$87=1,CROQUIS!$C$162&gt;=2),(CROQUIS!$C$161+(IF(MOD(MIN(INT(($A30-1)/2),MAX((CROQUIS!$C$162-1)-1,0)),2)=0,IF(IF(INT(($A30-1)/2)&gt;MAX((CROQUIS!$C$162-1)-1,0),1,MOD($A30-1,2))=0,CROQUIS!$C$107/2,(CROQUIS!$C$96-CROQUIS!$C$107/2)),IF(IF(INT(($A30-1)/2)&gt;MAX((CROQUIS!$C$162-1)-1,0),1,MOD($A30-1,2))=0,(CROQUIS!$C$96-CROQUIS!$C$107/2),CROQUIS!$C$107/2)))*CROQUIS!$C$159),-1000)</f>
        <v>16.9453230908269</v>
      </c>
      <c r="AP30">
        <f>IF(AND(CROQUIS!$C$87=1,CROQUIS!$C$164&gt;=2),(CROQUIS!$C$160+(IF(MOD(MIN(INT(($A30-1)/2),MAX((CROQUIS!$C$164-1)-1,0)),2)=0,IF(IF(INT(($A30-1)/2)&gt;MAX((CROQUIS!$C$164-1)-1,0),1,MOD($A30-1,2))=0,CROQUIS!$C$107/2,(CROQUIS!$C$95-CROQUIS!$C$107/2)),IF(IF(INT(($A30-1)/2)&gt;MAX((CROQUIS!$C$164-1)-1,0),1,MOD($A30-1,2))=0,(CROQUIS!$C$95-CROQUIS!$C$107/2),CROQUIS!$C$107/2)))*CROQUIS!$C$159),-1000)</f>
        <v>13.2878445549028</v>
      </c>
      <c r="AQ30">
        <f>IF(AND(CROQUIS!$C$87=1,CROQUIS!$C$164&gt;=2),(CROQUIS!$C$161+((CROQUIS!$C$165+CROQUIS!$C$115+(CROQUIS!$C$116-CROQUIS!$C$115)/2+MIN(INT(($A30-1)/2),MAX((CROQUIS!$C$164-1)-1,0))*CROQUIS!$C$116))*CROQUIS!$C$159),-1000)</f>
        <v>68.0298237686399</v>
      </c>
      <c r="BN30">
        <f>IF(AND(CROQUIS!$C$88=1,CROQUIS!$C$129&gt;0),((CROQUIS!$C$160+(IF(CROQUIS!$C$92="X",CHOOSE(IF(INT(($A30-1)/5)&gt;MAX((MAX(1,INT(((CROQUIS!$C$98)-CROQUIS!$C$107)/MAX((CROQUIS!$C$129*MAX(1,CEILING((INT(((CROQUIS!$C$98)-CROQUIS!$C$107)/MAX(CROQUIS!$C$129,1))+1)/80,1))),1))+1))-1,0),0,MOD($A30-1,5))+1,0,2,CROQUIS!$C$97-2,2,0),((CROQUIS!$C$107/2+(((CROQUIS!$C$98)-CROQUIS!$C$107)-(MAX(1,INT(((CROQUIS!$C$98)-CROQUIS!$C$107)/MAX((CROQUIS!$C$129*MAX(1,CEILING((INT(((CROQUIS!$C$98)-CROQUIS!$C$107)/MAX(CROQUIS!$C$129,1))+1)/80,1))),1))+1)-1)*(CROQUIS!$C$129*MAX(1,CEILING((INT(((CROQUIS!$C$98)-CROQUIS!$C$107)/MAX(CROQUIS!$C$129,1))+1)/80,1))))/2)+MIN(INT(($A30-1)/5),MAX((MAX(1,INT(((CROQUIS!$C$98)-CROQUIS!$C$107)/MAX((CROQUIS!$C$129*MAX(1,CEILING((INT(((CROQUIS!$C$98)-CROQUIS!$C$107)/MAX(CROQUIS!$C$129,1))+1)/80,1))),1))+1))-1,0))*(CROQUIS!$C$129*MAX(1,CEILING((INT(((CROQUIS!$C$98)-CROQUIS!$C$107)/MAX(CROQUIS!$C$129,1))+1)/80,1))))))*CROQUIS!$C$159)+IF(CROQUIS!$C$92="X",0,0)),-1000)</f>
        <v>-1000</v>
      </c>
      <c r="BO30">
        <f>IF(AND(CROQUIS!$C$88=1,CROQUIS!$C$129&gt;0),((CROQUIS!$C$161+(IF(CROQUIS!$C$92="X",((CROQUIS!$C$107/2+(((CROQUIS!$C$98)-CROQUIS!$C$107)-(MAX(1,INT(((CROQUIS!$C$98)-CROQUIS!$C$107)/MAX((CROQUIS!$C$129*MAX(1,CEILING((INT(((CROQUIS!$C$98)-CROQUIS!$C$107)/MAX(CROQUIS!$C$129,1))+1)/80,1))),1))+1)-1)*(CROQUIS!$C$129*MAX(1,CEILING((INT(((CROQUIS!$C$98)-CROQUIS!$C$107)/MAX(CROQUIS!$C$129,1))+1)/80,1))))/2)+MIN(INT(($A30-1)/5),MAX((MAX(1,INT(((CROQUIS!$C$98)-CROQUIS!$C$107)/MAX((CROQUIS!$C$129*MAX(1,CEILING((INT(((CROQUIS!$C$98)-CROQUIS!$C$107)/MAX(CROQUIS!$C$129,1))+1)/80,1))),1))+1))-1,0))*(CROQUIS!$C$129*MAX(1,CEILING((INT(((CROQUIS!$C$98)-CROQUIS!$C$107)/MAX(CROQUIS!$C$129,1))+1)/80,1)))),CHOOSE(IF(INT(($A30-1)/5)&gt;MAX((MAX(1,INT(((CROQUIS!$C$98)-CROQUIS!$C$107)/MAX((CROQUIS!$C$129*MAX(1,CEILING((INT(((CROQUIS!$C$98)-CROQUIS!$C$107)/MAX(CROQUIS!$C$129,1))+1)/80,1))),1))+1))-1,0),0,MOD($A30-1,5))+1,0,2,CROQUIS!$C$97-2,2,0)))*CROQUIS!$C$159)+IF(CROQUIS!$C$92="X",0,0)),-1000)</f>
        <v>-1000</v>
      </c>
      <c r="BP30">
        <f>IF(AND(CROQUIS!$C$88=1,CROQUIS!$C$137&gt;0),((CROQUIS!$C$160+(IF(CROQUIS!$C$92="X",((CROQUIS!$C$107/2+(((CROQUIS!$C$97)-CROQUIS!$C$107)-(MAX(1,INT(((CROQUIS!$C$97)-CROQUIS!$C$107)/MAX((CROQUIS!$C$137*MAX(1,CEILING((INT(((CROQUIS!$C$97)-CROQUIS!$C$107)/MAX(CROQUIS!$C$137,1))+1)/80,1))),1))+1)-1)*(CROQUIS!$C$137*MAX(1,CEILING((INT(((CROQUIS!$C$97)-CROQUIS!$C$107)/MAX(CROQUIS!$C$137,1))+1)/80,1))))/2)+MIN(INT(($A30-1)/5),MAX((MAX(1,INT(((CROQUIS!$C$97)-CROQUIS!$C$107)/MAX((CROQUIS!$C$137*MAX(1,CEILING((INT(((CROQUIS!$C$97)-CROQUIS!$C$107)/MAX(CROQUIS!$C$137,1))+1)/80,1))),1))+1))-1,0))*(CROQUIS!$C$137*MAX(1,CEILING((INT(((CROQUIS!$C$97)-CROQUIS!$C$107)/MAX(CROQUIS!$C$137,1))+1)/80,1)))),CHOOSE(IF(INT(($A30-1)/5)&gt;MAX((MAX(1,INT(((CROQUIS!$C$97)-CROQUIS!$C$107)/MAX((CROQUIS!$C$137*MAX(1,CEILING((INT(((CROQUIS!$C$97)-CROQUIS!$C$107)/MAX(CROQUIS!$C$137,1))+1)/80,1))),1))+1))-1,0),0,MOD($A30-1,5))+1,0,2,CROQUIS!$C$98-2,2,0)))*CROQUIS!$C$159)+IF(CROQUIS!$C$92="X",0,0)),-1000)</f>
        <v>-1000</v>
      </c>
      <c r="BQ30">
        <f>IF(AND(CROQUIS!$C$88=1,CROQUIS!$C$137&gt;0),((CROQUIS!$C$161+(IF(CROQUIS!$C$92="X",CHOOSE(IF(INT(($A30-1)/5)&gt;MAX((MAX(1,INT(((CROQUIS!$C$97)-CROQUIS!$C$107)/MAX((CROQUIS!$C$137*MAX(1,CEILING((INT(((CROQUIS!$C$97)-CROQUIS!$C$107)/MAX(CROQUIS!$C$137,1))+1)/80,1))),1))+1))-1,0),0,MOD($A30-1,5))+1,0,2,CROQUIS!$C$98-2,2,0),((CROQUIS!$C$107/2+(((CROQUIS!$C$97)-CROQUIS!$C$107)-(MAX(1,INT(((CROQUIS!$C$97)-CROQUIS!$C$107)/MAX((CROQUIS!$C$137*MAX(1,CEILING((INT(((CROQUIS!$C$97)-CROQUIS!$C$107)/MAX(CROQUIS!$C$137,1))+1)/80,1))),1))+1)-1)*(CROQUIS!$C$137*MAX(1,CEILING((INT(((CROQUIS!$C$97)-CROQUIS!$C$107)/MAX(CROQUIS!$C$137,1))+1)/80,1))))/2)+MIN(INT(($A30-1)/5),MAX((MAX(1,INT(((CROQUIS!$C$97)-CROQUIS!$C$107)/MAX((CROQUIS!$C$137*MAX(1,CEILING((INT(((CROQUIS!$C$97)-CROQUIS!$C$107)/MAX(CROQUIS!$C$137,1))+1)/80,1))),1))+1))-1,0))*(CROQUIS!$C$137*MAX(1,CEILING((INT(((CROQUIS!$C$97)-CROQUIS!$C$107)/MAX(CROQUIS!$C$137,1))+1)/80,1))))))*CROQUIS!$C$159)+IF(CROQUIS!$C$92="X",0,0)),-1000)</f>
        <v>-1000</v>
      </c>
      <c r="BR30">
        <f>IF(AND(CROQUIS!$C$88=1,CROQUIS!$C$91=0,CROQUIS!$C$133&gt;0,OR(CROQUIS!$C$103=1,CROQUIS!$C$145=1)),((CROQUIS!$C$160+(IF(CROQUIS!$C$92="X",CHOOSE(IF(INT(($A30-1)/5)&gt;MAX((MAX(1,INT(((CROQUIS!$C$98)-CROQUIS!$C$107)/MAX((CROQUIS!$C$133*MAX(1,CEILING((INT(((CROQUIS!$C$98)-CROQUIS!$C$107)/MAX(CROQUIS!$C$133,1))+1)/80,1))),1))+1))-1,0),0,MOD($A30-1,5))+1,0,IF(CROQUIS!$C$103=1,-12,2),CROQUIS!$C$107/2+CROQUIS!$C$143,IF(CROQUIS!$C$103=1,-12,2),0),((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BS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+1,0,IF(CROQUIS!$C$103=1,-12,2),CROQUIS!$C$107/2+CROQUIS!$C$143,IF(CROQUIS!$C$103=1,-12,2),0)))*CROQUIS!$C$159)+IF(CROQUIS!$C$92="X",0.8,0)),-1000)</f>
        <v>-1000</v>
      </c>
      <c r="BT30">
        <f>IF(AND(CROQUIS!$C$88=1,CROQUIS!$C$91=0,CROQUIS!$C$133&gt;0,OR(CROQUIS!$C$104=1,CROQUIS!$C$145=1)),((CROQUIS!$C$160+(IF(CROQUIS!$C$92="X",CHOOSE(IF(INT(($A30-1)/5)&gt;MAX((MAX(1,INT(((CROQUIS!$C$98)-CROQUIS!$C$107)/MAX((CROQUIS!$C$133*MAX(1,CEILING((INT(((CROQUIS!$C$98)-CROQUIS!$C$107)/MAX(CROQUIS!$C$133,1))+1)/80,1))),1))+1))-1,0),0,MOD($A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BU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CROQUIS!$C$97,CROQUIS!$C$97-CROQUIS!$C$107/2-CROQUIS!$C$143,IF(CROQUIS!$C$104=1,CROQUIS!$C$97+12,CROQUIS!$C$97-2),CROQUIS!$C$97-CROQUIS!$C$107/2-CROQUIS!$C$143,CROQUIS!$C$97)))*CROQUIS!$C$159)+IF(CROQUIS!$C$92="X",0.8,0)),-1000)</f>
        <v>-1000</v>
      </c>
      <c r="BV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HOOSE(IF(INT(($A30-1)/5)&gt;MAX((MAX(1,INT(((CROQUIS!$C$97)-CROQUIS!$C$107)/MAX((CROQUIS!$C$141*MAX(1,CEILING((INT(((CROQUIS!$C$97)-CROQUIS!$C$107)/MAX(CROQUIS!$C$141,1))+1)/80,1))),1))+1))-1,0),0,MOD($A30-1,5))+1,0,IF(CROQUIS!$C$105=1,-12,2),CROQUIS!$C$107/2+CROQUIS!$C$144,IF(CROQUIS!$C$105=1,-12,2),0)))*CROQUIS!$C$159)+IF(CROQUIS!$C$92="X",0.8,0)),-1000)</f>
        <v>-1000</v>
      </c>
      <c r="BW30">
        <f>IF(AND(CROQUIS!$C$88=1,CROQUIS!$C$91=0,CROQUIS!$C$141&gt;0,OR(CROQUIS!$C$105=1,CROQUIS!$C$146=1)),((CROQUIS!$C$161+(IF(CROQUIS!$C$92="X",CHOOSE(IF(INT(($A30-1)/5)&gt;MAX((MAX(1,INT(((CROQUIS!$C$97)-CROQUIS!$C$107)/MAX((CROQUIS!$C$141*MAX(1,CEILING((INT(((CROQUIS!$C$97)-CROQUIS!$C$107)/MAX(CROQUIS!$C$141,1))+1)/80,1))),1))+1))-1,0),0,MOD($A30-1,5))+1,0,IF(CROQUIS!$C$105=1,-12,2),CROQUIS!$C$107/2+CROQUIS!$C$144,IF(CROQUIS!$C$105=1,-12,2),0),((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ROQUIS!$C$159)+IF(CROQUIS!$C$92="X",0,0.8)),-1000)</f>
        <v>-1000</v>
      </c>
      <c r="BX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HOOSE(IF(INT(($A30-1)/5)&gt;MAX((MAX(1,INT(((CROQUIS!$C$97)-CROQUIS!$C$107)/MAX((CROQUIS!$C$141*MAX(1,CEILING((INT(((CROQUIS!$C$97)-CROQUIS!$C$107)/MAX(CROQUIS!$C$141,1))+1)/80,1))),1))+1))-1,0),0,MOD($A30-1,5))+1,CROQUIS!$C$98,CROQUIS!$C$98-CROQUIS!$C$107/2-CROQUIS!$C$144,IF(CROQUIS!$C$106=1,CROQUIS!$C$98+12,CROQUIS!$C$98-2),CROQUIS!$C$98-CROQUIS!$C$107/2-CROQUIS!$C$144,CROQUIS!$C$98)))*CROQUIS!$C$159)+IF(CROQUIS!$C$92="X",0.8,0)),-1000)</f>
        <v>-1000</v>
      </c>
      <c r="BY30">
        <f>IF(AND(CROQUIS!$C$88=1,CROQUIS!$C$91=0,CROQUIS!$C$141&gt;0,OR(CROQUIS!$C$106=1,CROQUIS!$C$146=1)),((CROQUIS!$C$161+(IF(CROQUIS!$C$92="X",CHOOSE(IF(INT(($A30-1)/5)&gt;MAX((MAX(1,INT(((CROQUIS!$C$97)-CROQUIS!$C$107)/MAX((CROQUIS!$C$141*MAX(1,CEILING((INT(((CROQUIS!$C$97)-CROQUIS!$C$107)/MAX(CROQUIS!$C$141,1))+1)/80,1))),1))+1))-1,0),0,MOD($A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ROQUIS!$C$159)+IF(CROQUIS!$C$92="X",0,0.8)),-1000)</f>
        <v>-1000</v>
      </c>
      <c r="BZ30">
        <f>IF(AND(CROQUIS!$C$88=1,CROQUIS!$C$91=1,CROQUIS!$C$133&gt;0),((CROQUIS!$C$160+(IF(CROQUIS!$C$92="X",CHOOSE(IF(INT(($A30-1)/5)&gt;MAX((MAX(1,INT(((CROQUIS!$C$98)-CROQUIS!$C$107)/MAX((CROQUIS!$C$133*MAX(1,CEILING((INT(((CROQUIS!$C$98)-CROQUIS!$C$107)/MAX(CROQUIS!$C$133,1))+1)/80,1))),1))+1))-1,0),0,MOD($A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CA30">
        <f>IF(AND(CROQUIS!$C$88=1,CROQUIS!$C$91=1,CROQUIS!$C$133&gt;0),((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
      <c r="A31" t="n">
        <v>24</v>
      </c>
      <c r="F31">
        <f>IF(AND(CROQUIS!$C$87=1,CROQUIS!$C$91=1),((CROQUIS!$C$160+(IF(CROQUIS!$C$92="X",IF(CROQUIS!$C$94=1,0,CROQUIS!$C$97)+IF(MOD($A31,2)=1,-CROQUIS!$C$107/2,CROQUIS!$C$107/2),(MIN($A31,41)-1)/40*CROQUIS!$C$98))*CROQUIS!$C$159)+IF(CROQUIS!$C$92="X",0,0)),-1000)</f>
        <v>-1000</v>
      </c>
      <c r="G31">
        <f>IF(AND(CROQUIS!$C$87=1,CROQUIS!$C$91=1),((CROQUIS!$C$161+(IF(CROQUIS!$C$92="X",(MIN($A31,41)-1)/40*CROQUIS!$C$98,IF(CROQUIS!$C$94=1,0,CROQUIS!$C$97)+IF(MOD($A31,2)=1,-CROQUIS!$C$107/2,CROQUIS!$C$107/2)))*CROQUIS!$C$159)+IF(CROQUIS!$C$92="X",0,0)),-1000)</f>
        <v>-1000</v>
      </c>
      <c r="V31">
        <f>IF(AND(CROQUIS!$C$88=1,CROQUIS!$C$91=1),((CROQUIS!$C$160+(IF(CROQUIS!$C$92="X",IF(CROQUIS!$C$94=1,0,CROQUIS!$C$97)+IF(MOD($A31,2)=1,-CROQUIS!$C$107/2,CROQUIS!$C$107/2),(MIN($A31,41)-1)/40*CROQUIS!$C$98))*CROQUIS!$C$159)+IF(CROQUIS!$C$92="X",0,0)),-1000)</f>
        <v>-1000</v>
      </c>
      <c r="W31">
        <f>IF(AND(CROQUIS!$C$88=1,CROQUIS!$C$91=1),((CROQUIS!$C$161+(IF(CROQUIS!$C$92="X",(MIN($A31,41)-1)/40*CROQUIS!$C$98,IF(CROQUIS!$C$94=1,0,CROQUIS!$C$97)+IF(MOD($A31,2)=1,-CROQUIS!$C$107/2,CROQUIS!$C$107/2)))*CROQUIS!$C$159)+IF(CROQUIS!$C$92="X",0,0)),-1000)</f>
        <v>-1000</v>
      </c>
      <c r="AJ31">
        <f>IF(AND(CROQUIS!$C$87=1,CROQUIS!$C$162&gt;0,CROQUIS!$C$164&gt;0),(CROQUIS!$C$160+((CROQUIS!$C$163+INT(MIN(INT(($A31-1)/2),MAX((2*CROQUIS!$C$162)-1,0))/2)*CROQUIS!$C$116+MOD(MIN(INT(($A31-1)/2),MAX((2*CROQUIS!$C$162)-1,0)),2)*CROQUIS!$C$114))*CROQUIS!$C$159),-1000)</f>
        <v>81.3375508359693</v>
      </c>
      <c r="AK31">
        <f>IF(AND(CROQUIS!$C$87=1,CROQUIS!$C$162&gt;0,CROQUIS!$C$164&gt;0),(CROQUIS!$C$161+(IF(MOD(MIN(INT(($A31-1)/2),MAX((2*CROQUIS!$C$162)-1,0)),2)=0,IF(IF(INT(($A31-1)/2)&gt;MAX((2*CROQUIS!$C$162)-1,0),1,MOD($A31-1,2))=0,CROQUIS!$C$165,(CROQUIS!$C$165+(CROQUIS!$C$164-1)*CROQUIS!$C$116+CROQUIS!$C$115)),IF(IF(INT(($A31-1)/2)&gt;MAX((2*CROQUIS!$C$162)-1,0),1,MOD($A31-1,2))=0,(CROQUIS!$C$165+(CROQUIS!$C$164-1)*CROQUIS!$C$116+CROQUIS!$C$115),CROQUIS!$C$165)))*CROQUIS!$C$159),-1000)</f>
        <v>20.8088567555355</v>
      </c>
      <c r="AL31">
        <f>IF(AND(CROQUIS!$C$87=1,CROQUIS!$C$164&gt;0,CROQUIS!$C$162&gt;0),(CROQUIS!$C$160+(IF(MOD(MIN(INT(($A31-1)/2),MAX((2*CROQUIS!$C$164)-1,0)),2)=0,IF(IF(INT(($A31-1)/2)&gt;MAX((2*CROQUIS!$C$164)-1,0),1,MOD($A31-1,2))=0,CROQUIS!$C$163,(CROQUIS!$C$163+(CROQUIS!$C$162-1)*CROQUIS!$C$116+CROQUIS!$C$114)),IF(IF(INT(($A31-1)/2)&gt;MAX((2*CROQUIS!$C$164)-1,0),1,MOD($A31-1,2))=0,(CROQUIS!$C$163+(CROQUIS!$C$162-1)*CROQUIS!$C$116+CROQUIS!$C$114),CROQUIS!$C$163)))*CROQUIS!$C$159),-1000)</f>
        <v>22.9552643470402</v>
      </c>
      <c r="AM31">
        <f>IF(AND(CROQUIS!$C$87=1,CROQUIS!$C$164&gt;0,CROQUIS!$C$162&gt;0),(CROQUIS!$C$161+((CROQUIS!$C$165+INT(MIN(INT(($A31-1)/2),MAX((2*CROQUIS!$C$164)-1,0))/2)*CROQUIS!$C$116+MOD(MIN(INT(($A31-1)/2),MAX((2*CROQUIS!$C$164)-1,0)),2)*CROQUIS!$C$115))*CROQUIS!$C$159),-1000)</f>
        <v>79.1911432444645</v>
      </c>
      <c r="AN31">
        <f>IF(AND(CROQUIS!$C$87=1,CROQUIS!$C$162&gt;=2),(CROQUIS!$C$160+((CROQUIS!$C$163+CROQUIS!$C$114+(CROQUIS!$C$116-CROQUIS!$C$114)/2+MIN(INT(($A31-1)/2),MAX((CROQUIS!$C$162-1)-1,0))*CROQUIS!$C$116))*CROQUIS!$C$159),-1000)</f>
        <v>70.1762313601446</v>
      </c>
      <c r="AO31">
        <f>IF(AND(CROQUIS!$C$87=1,CROQUIS!$C$162&gt;=2),(CROQUIS!$C$161+(IF(MOD(MIN(INT(($A31-1)/2),MAX((CROQUIS!$C$162-1)-1,0)),2)=0,IF(IF(INT(($A31-1)/2)&gt;MAX((CROQUIS!$C$162-1)-1,0),1,MOD($A31-1,2))=0,CROQUIS!$C$107/2,(CROQUIS!$C$96-CROQUIS!$C$107/2)),IF(IF(INT(($A31-1)/2)&gt;MAX((CROQUIS!$C$162-1)-1,0),1,MOD($A31-1,2))=0,(CROQUIS!$C$96-CROQUIS!$C$107/2),CROQUIS!$C$107/2)))*CROQUIS!$C$159),-1000)</f>
        <v>16.9453230908269</v>
      </c>
      <c r="AP31">
        <f>IF(AND(CROQUIS!$C$87=1,CROQUIS!$C$164&gt;=2),(CROQUIS!$C$160+(IF(MOD(MIN(INT(($A31-1)/2),MAX((CROQUIS!$C$164-1)-1,0)),2)=0,IF(IF(INT(($A31-1)/2)&gt;MAX((CROQUIS!$C$164-1)-1,0),1,MOD($A31-1,2))=0,CROQUIS!$C$107/2,(CROQUIS!$C$95-CROQUIS!$C$107/2)),IF(IF(INT(($A31-1)/2)&gt;MAX((CROQUIS!$C$164-1)-1,0),1,MOD($A31-1,2))=0,(CROQUIS!$C$95-CROQUIS!$C$107/2),CROQUIS!$C$107/2)))*CROQUIS!$C$159),-1000)</f>
        <v>13.2878445549028</v>
      </c>
      <c r="AQ31">
        <f>IF(AND(CROQUIS!$C$87=1,CROQUIS!$C$164&gt;=2),(CROQUIS!$C$161+((CROQUIS!$C$165+CROQUIS!$C$115+(CROQUIS!$C$116-CROQUIS!$C$115)/2+MIN(INT(($A31-1)/2),MAX((CROQUIS!$C$164-1)-1,0))*CROQUIS!$C$116))*CROQUIS!$C$159),-1000)</f>
        <v>68.0298237686399</v>
      </c>
      <c r="BN31">
        <f>IF(AND(CROQUIS!$C$88=1,CROQUIS!$C$129&gt;0),((CROQUIS!$C$160+(IF(CROQUIS!$C$92="X",CHOOSE(IF(INT(($A31-1)/5)&gt;MAX((MAX(1,INT(((CROQUIS!$C$98)-CROQUIS!$C$107)/MAX((CROQUIS!$C$129*MAX(1,CEILING((INT(((CROQUIS!$C$98)-CROQUIS!$C$107)/MAX(CROQUIS!$C$129,1))+1)/80,1))),1))+1))-1,0),0,MOD($A31-1,5))+1,0,2,CROQUIS!$C$97-2,2,0),((CROQUIS!$C$107/2+(((CROQUIS!$C$98)-CROQUIS!$C$107)-(MAX(1,INT(((CROQUIS!$C$98)-CROQUIS!$C$107)/MAX((CROQUIS!$C$129*MAX(1,CEILING((INT(((CROQUIS!$C$98)-CROQUIS!$C$107)/MAX(CROQUIS!$C$129,1))+1)/80,1))),1))+1)-1)*(CROQUIS!$C$129*MAX(1,CEILING((INT(((CROQUIS!$C$98)-CROQUIS!$C$107)/MAX(CROQUIS!$C$129,1))+1)/80,1))))/2)+MIN(INT(($A31-1)/5),MAX((MAX(1,INT(((CROQUIS!$C$98)-CROQUIS!$C$107)/MAX((CROQUIS!$C$129*MAX(1,CEILING((INT(((CROQUIS!$C$98)-CROQUIS!$C$107)/MAX(CROQUIS!$C$129,1))+1)/80,1))),1))+1))-1,0))*(CROQUIS!$C$129*MAX(1,CEILING((INT(((CROQUIS!$C$98)-CROQUIS!$C$107)/MAX(CROQUIS!$C$129,1))+1)/80,1))))))*CROQUIS!$C$159)+IF(CROQUIS!$C$92="X",0,0)),-1000)</f>
        <v>-1000</v>
      </c>
      <c r="BO31">
        <f>IF(AND(CROQUIS!$C$88=1,CROQUIS!$C$129&gt;0),((CROQUIS!$C$161+(IF(CROQUIS!$C$92="X",((CROQUIS!$C$107/2+(((CROQUIS!$C$98)-CROQUIS!$C$107)-(MAX(1,INT(((CROQUIS!$C$98)-CROQUIS!$C$107)/MAX((CROQUIS!$C$129*MAX(1,CEILING((INT(((CROQUIS!$C$98)-CROQUIS!$C$107)/MAX(CROQUIS!$C$129,1))+1)/80,1))),1))+1)-1)*(CROQUIS!$C$129*MAX(1,CEILING((INT(((CROQUIS!$C$98)-CROQUIS!$C$107)/MAX(CROQUIS!$C$129,1))+1)/80,1))))/2)+MIN(INT(($A31-1)/5),MAX((MAX(1,INT(((CROQUIS!$C$98)-CROQUIS!$C$107)/MAX((CROQUIS!$C$129*MAX(1,CEILING((INT(((CROQUIS!$C$98)-CROQUIS!$C$107)/MAX(CROQUIS!$C$129,1))+1)/80,1))),1))+1))-1,0))*(CROQUIS!$C$129*MAX(1,CEILING((INT(((CROQUIS!$C$98)-CROQUIS!$C$107)/MAX(CROQUIS!$C$129,1))+1)/80,1)))),CHOOSE(IF(INT(($A31-1)/5)&gt;MAX((MAX(1,INT(((CROQUIS!$C$98)-CROQUIS!$C$107)/MAX((CROQUIS!$C$129*MAX(1,CEILING((INT(((CROQUIS!$C$98)-CROQUIS!$C$107)/MAX(CROQUIS!$C$129,1))+1)/80,1))),1))+1))-1,0),0,MOD($A31-1,5))+1,0,2,CROQUIS!$C$97-2,2,0)))*CROQUIS!$C$159)+IF(CROQUIS!$C$92="X",0,0)),-1000)</f>
        <v>-1000</v>
      </c>
      <c r="BP31">
        <f>IF(AND(CROQUIS!$C$88=1,CROQUIS!$C$137&gt;0),((CROQUIS!$C$160+(IF(CROQUIS!$C$92="X",((CROQUIS!$C$107/2+(((CROQUIS!$C$97)-CROQUIS!$C$107)-(MAX(1,INT(((CROQUIS!$C$97)-CROQUIS!$C$107)/MAX((CROQUIS!$C$137*MAX(1,CEILING((INT(((CROQUIS!$C$97)-CROQUIS!$C$107)/MAX(CROQUIS!$C$137,1))+1)/80,1))),1))+1)-1)*(CROQUIS!$C$137*MAX(1,CEILING((INT(((CROQUIS!$C$97)-CROQUIS!$C$107)/MAX(CROQUIS!$C$137,1))+1)/80,1))))/2)+MIN(INT(($A31-1)/5),MAX((MAX(1,INT(((CROQUIS!$C$97)-CROQUIS!$C$107)/MAX((CROQUIS!$C$137*MAX(1,CEILING((INT(((CROQUIS!$C$97)-CROQUIS!$C$107)/MAX(CROQUIS!$C$137,1))+1)/80,1))),1))+1))-1,0))*(CROQUIS!$C$137*MAX(1,CEILING((INT(((CROQUIS!$C$97)-CROQUIS!$C$107)/MAX(CROQUIS!$C$137,1))+1)/80,1)))),CHOOSE(IF(INT(($A31-1)/5)&gt;MAX((MAX(1,INT(((CROQUIS!$C$97)-CROQUIS!$C$107)/MAX((CROQUIS!$C$137*MAX(1,CEILING((INT(((CROQUIS!$C$97)-CROQUIS!$C$107)/MAX(CROQUIS!$C$137,1))+1)/80,1))),1))+1))-1,0),0,MOD($A31-1,5))+1,0,2,CROQUIS!$C$98-2,2,0)))*CROQUIS!$C$159)+IF(CROQUIS!$C$92="X",0,0)),-1000)</f>
        <v>-1000</v>
      </c>
      <c r="BQ31">
        <f>IF(AND(CROQUIS!$C$88=1,CROQUIS!$C$137&gt;0),((CROQUIS!$C$161+(IF(CROQUIS!$C$92="X",CHOOSE(IF(INT(($A31-1)/5)&gt;MAX((MAX(1,INT(((CROQUIS!$C$97)-CROQUIS!$C$107)/MAX((CROQUIS!$C$137*MAX(1,CEILING((INT(((CROQUIS!$C$97)-CROQUIS!$C$107)/MAX(CROQUIS!$C$137,1))+1)/80,1))),1))+1))-1,0),0,MOD($A31-1,5))+1,0,2,CROQUIS!$C$98-2,2,0),((CROQUIS!$C$107/2+(((CROQUIS!$C$97)-CROQUIS!$C$107)-(MAX(1,INT(((CROQUIS!$C$97)-CROQUIS!$C$107)/MAX((CROQUIS!$C$137*MAX(1,CEILING((INT(((CROQUIS!$C$97)-CROQUIS!$C$107)/MAX(CROQUIS!$C$137,1))+1)/80,1))),1))+1)-1)*(CROQUIS!$C$137*MAX(1,CEILING((INT(((CROQUIS!$C$97)-CROQUIS!$C$107)/MAX(CROQUIS!$C$137,1))+1)/80,1))))/2)+MIN(INT(($A31-1)/5),MAX((MAX(1,INT(((CROQUIS!$C$97)-CROQUIS!$C$107)/MAX((CROQUIS!$C$137*MAX(1,CEILING((INT(((CROQUIS!$C$97)-CROQUIS!$C$107)/MAX(CROQUIS!$C$137,1))+1)/80,1))),1))+1))-1,0))*(CROQUIS!$C$137*MAX(1,CEILING((INT(((CROQUIS!$C$97)-CROQUIS!$C$107)/MAX(CROQUIS!$C$137,1))+1)/80,1))))))*CROQUIS!$C$159)+IF(CROQUIS!$C$92="X",0,0)),-1000)</f>
        <v>-1000</v>
      </c>
      <c r="BR31">
        <f>IF(AND(CROQUIS!$C$88=1,CROQUIS!$C$91=0,CROQUIS!$C$133&gt;0,OR(CROQUIS!$C$103=1,CROQUIS!$C$145=1)),((CROQUIS!$C$160+(IF(CROQUIS!$C$92="X",CHOOSE(IF(INT(($A31-1)/5)&gt;MAX((MAX(1,INT(((CROQUIS!$C$98)-CROQUIS!$C$107)/MAX((CROQUIS!$C$133*MAX(1,CEILING((INT(((CROQUIS!$C$98)-CROQUIS!$C$107)/MAX(CROQUIS!$C$133,1))+1)/80,1))),1))+1))-1,0),0,MOD($A31-1,5))+1,0,IF(CROQUIS!$C$103=1,-12,2),CROQUIS!$C$107/2+CROQUIS!$C$143,IF(CROQUIS!$C$103=1,-12,2),0),((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BS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+1,0,IF(CROQUIS!$C$103=1,-12,2),CROQUIS!$C$107/2+CROQUIS!$C$143,IF(CROQUIS!$C$103=1,-12,2),0)))*CROQUIS!$C$159)+IF(CROQUIS!$C$92="X",0.8,0)),-1000)</f>
        <v>-1000</v>
      </c>
      <c r="BT31">
        <f>IF(AND(CROQUIS!$C$88=1,CROQUIS!$C$91=0,CROQUIS!$C$133&gt;0,OR(CROQUIS!$C$104=1,CROQUIS!$C$145=1)),((CROQUIS!$C$160+(IF(CROQUIS!$C$92="X",CHOOSE(IF(INT(($A31-1)/5)&gt;MAX((MAX(1,INT(((CROQUIS!$C$98)-CROQUIS!$C$107)/MAX((CROQUIS!$C$133*MAX(1,CEILING((INT(((CROQUIS!$C$98)-CROQUIS!$C$107)/MAX(CROQUIS!$C$133,1))+1)/80,1))),1))+1))-1,0),0,MOD($A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BU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CROQUIS!$C$97,CROQUIS!$C$97-CROQUIS!$C$107/2-CROQUIS!$C$143,IF(CROQUIS!$C$104=1,CROQUIS!$C$97+12,CROQUIS!$C$97-2),CROQUIS!$C$97-CROQUIS!$C$107/2-CROQUIS!$C$143,CROQUIS!$C$97)))*CROQUIS!$C$159)+IF(CROQUIS!$C$92="X",0.8,0)),-1000)</f>
        <v>-1000</v>
      </c>
      <c r="BV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HOOSE(IF(INT(($A31-1)/5)&gt;MAX((MAX(1,INT(((CROQUIS!$C$97)-CROQUIS!$C$107)/MAX((CROQUIS!$C$141*MAX(1,CEILING((INT(((CROQUIS!$C$97)-CROQUIS!$C$107)/MAX(CROQUIS!$C$141,1))+1)/80,1))),1))+1))-1,0),0,MOD($A31-1,5))+1,0,IF(CROQUIS!$C$105=1,-12,2),CROQUIS!$C$107/2+CROQUIS!$C$144,IF(CROQUIS!$C$105=1,-12,2),0)))*CROQUIS!$C$159)+IF(CROQUIS!$C$92="X",0.8,0)),-1000)</f>
        <v>-1000</v>
      </c>
      <c r="BW31">
        <f>IF(AND(CROQUIS!$C$88=1,CROQUIS!$C$91=0,CROQUIS!$C$141&gt;0,OR(CROQUIS!$C$105=1,CROQUIS!$C$146=1)),((CROQUIS!$C$161+(IF(CROQUIS!$C$92="X",CHOOSE(IF(INT(($A31-1)/5)&gt;MAX((MAX(1,INT(((CROQUIS!$C$97)-CROQUIS!$C$107)/MAX((CROQUIS!$C$141*MAX(1,CEILING((INT(((CROQUIS!$C$97)-CROQUIS!$C$107)/MAX(CROQUIS!$C$141,1))+1)/80,1))),1))+1))-1,0),0,MOD($A31-1,5))+1,0,IF(CROQUIS!$C$105=1,-12,2),CROQUIS!$C$107/2+CROQUIS!$C$144,IF(CROQUIS!$C$105=1,-12,2),0),((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ROQUIS!$C$159)+IF(CROQUIS!$C$92="X",0,0.8)),-1000)</f>
        <v>-1000</v>
      </c>
      <c r="BX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HOOSE(IF(INT(($A31-1)/5)&gt;MAX((MAX(1,INT(((CROQUIS!$C$97)-CROQUIS!$C$107)/MAX((CROQUIS!$C$141*MAX(1,CEILING((INT(((CROQUIS!$C$97)-CROQUIS!$C$107)/MAX(CROQUIS!$C$141,1))+1)/80,1))),1))+1))-1,0),0,MOD($A31-1,5))+1,CROQUIS!$C$98,CROQUIS!$C$98-CROQUIS!$C$107/2-CROQUIS!$C$144,IF(CROQUIS!$C$106=1,CROQUIS!$C$98+12,CROQUIS!$C$98-2),CROQUIS!$C$98-CROQUIS!$C$107/2-CROQUIS!$C$144,CROQUIS!$C$98)))*CROQUIS!$C$159)+IF(CROQUIS!$C$92="X",0.8,0)),-1000)</f>
        <v>-1000</v>
      </c>
      <c r="BY31">
        <f>IF(AND(CROQUIS!$C$88=1,CROQUIS!$C$91=0,CROQUIS!$C$141&gt;0,OR(CROQUIS!$C$106=1,CROQUIS!$C$146=1)),((CROQUIS!$C$161+(IF(CROQUIS!$C$92="X",CHOOSE(IF(INT(($A31-1)/5)&gt;MAX((MAX(1,INT(((CROQUIS!$C$97)-CROQUIS!$C$107)/MAX((CROQUIS!$C$141*MAX(1,CEILING((INT(((CROQUIS!$C$97)-CROQUIS!$C$107)/MAX(CROQUIS!$C$141,1))+1)/80,1))),1))+1))-1,0),0,MOD($A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ROQUIS!$C$159)+IF(CROQUIS!$C$92="X",0,0.8)),-1000)</f>
        <v>-1000</v>
      </c>
      <c r="BZ31">
        <f>IF(AND(CROQUIS!$C$88=1,CROQUIS!$C$91=1,CROQUIS!$C$133&gt;0),((CROQUIS!$C$160+(IF(CROQUIS!$C$92="X",CHOOSE(IF(INT(($A31-1)/5)&gt;MAX((MAX(1,INT(((CROQUIS!$C$98)-CROQUIS!$C$107)/MAX((CROQUIS!$C$133*MAX(1,CEILING((INT(((CROQUIS!$C$98)-CROQUIS!$C$107)/MAX(CROQUIS!$C$133,1))+1)/80,1))),1))+1))-1,0),0,MOD($A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CA31">
        <f>IF(AND(CROQUIS!$C$88=1,CROQUIS!$C$91=1,CROQUIS!$C$133&gt;0),((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
      <c r="A32" t="n">
        <v>25</v>
      </c>
      <c r="F32">
        <f>IF(AND(CROQUIS!$C$87=1,CROQUIS!$C$91=1),((CROQUIS!$C$160+(IF(CROQUIS!$C$92="X",IF(CROQUIS!$C$94=1,0,CROQUIS!$C$97)+IF(MOD($A32,2)=1,-CROQUIS!$C$107/2,CROQUIS!$C$107/2),(MIN($A32,41)-1)/40*CROQUIS!$C$98))*CROQUIS!$C$159)+IF(CROQUIS!$C$92="X",0,0)),-1000)</f>
        <v>-1000</v>
      </c>
      <c r="G32">
        <f>IF(AND(CROQUIS!$C$87=1,CROQUIS!$C$91=1),((CROQUIS!$C$161+(IF(CROQUIS!$C$92="X",(MIN($A32,41)-1)/40*CROQUIS!$C$98,IF(CROQUIS!$C$94=1,0,CROQUIS!$C$97)+IF(MOD($A32,2)=1,-CROQUIS!$C$107/2,CROQUIS!$C$107/2)))*CROQUIS!$C$159)+IF(CROQUIS!$C$92="X",0,0)),-1000)</f>
        <v>-1000</v>
      </c>
      <c r="V32">
        <f>IF(AND(CROQUIS!$C$88=1,CROQUIS!$C$91=1),((CROQUIS!$C$160+(IF(CROQUIS!$C$92="X",IF(CROQUIS!$C$94=1,0,CROQUIS!$C$97)+IF(MOD($A32,2)=1,-CROQUIS!$C$107/2,CROQUIS!$C$107/2),(MIN($A32,41)-1)/40*CROQUIS!$C$98))*CROQUIS!$C$159)+IF(CROQUIS!$C$92="X",0,0)),-1000)</f>
        <v>-1000</v>
      </c>
      <c r="W32">
        <f>IF(AND(CROQUIS!$C$88=1,CROQUIS!$C$91=1),((CROQUIS!$C$161+(IF(CROQUIS!$C$92="X",(MIN($A32,41)-1)/40*CROQUIS!$C$98,IF(CROQUIS!$C$94=1,0,CROQUIS!$C$97)+IF(MOD($A32,2)=1,-CROQUIS!$C$107/2,CROQUIS!$C$107/2)))*CROQUIS!$C$159)+IF(CROQUIS!$C$92="X",0,0)),-1000)</f>
        <v>-1000</v>
      </c>
      <c r="AJ32">
        <f>IF(AND(CROQUIS!$C$87=1,CROQUIS!$C$162&gt;0,CROQUIS!$C$164&gt;0),(CROQUIS!$C$160+((CROQUIS!$C$163+INT(MIN(INT(($A32-1)/2),MAX((2*CROQUIS!$C$162)-1,0))/2)*CROQUIS!$C$116+MOD(MIN(INT(($A32-1)/2),MAX((2*CROQUIS!$C$162)-1,0)),2)*CROQUIS!$C$114))*CROQUIS!$C$159),-1000)</f>
        <v>81.3375508359693</v>
      </c>
      <c r="AK32">
        <f>IF(AND(CROQUIS!$C$87=1,CROQUIS!$C$162&gt;0,CROQUIS!$C$164&gt;0),(CROQUIS!$C$161+(IF(MOD(MIN(INT(($A32-1)/2),MAX((2*CROQUIS!$C$162)-1,0)),2)=0,IF(IF(INT(($A32-1)/2)&gt;MAX((2*CROQUIS!$C$162)-1,0),1,MOD($A32-1,2))=0,CROQUIS!$C$165,(CROQUIS!$C$165+(CROQUIS!$C$164-1)*CROQUIS!$C$116+CROQUIS!$C$115)),IF(IF(INT(($A32-1)/2)&gt;MAX((2*CROQUIS!$C$162)-1,0),1,MOD($A32-1,2))=0,(CROQUIS!$C$165+(CROQUIS!$C$164-1)*CROQUIS!$C$116+CROQUIS!$C$115),CROQUIS!$C$165)))*CROQUIS!$C$159),-1000)</f>
        <v>20.8088567555355</v>
      </c>
      <c r="AL32">
        <f>IF(AND(CROQUIS!$C$87=1,CROQUIS!$C$164&gt;0,CROQUIS!$C$162&gt;0),(CROQUIS!$C$160+(IF(MOD(MIN(INT(($A32-1)/2),MAX((2*CROQUIS!$C$164)-1,0)),2)=0,IF(IF(INT(($A32-1)/2)&gt;MAX((2*CROQUIS!$C$164)-1,0),1,MOD($A32-1,2))=0,CROQUIS!$C$163,(CROQUIS!$C$163+(CROQUIS!$C$162-1)*CROQUIS!$C$116+CROQUIS!$C$114)),IF(IF(INT(($A32-1)/2)&gt;MAX((2*CROQUIS!$C$164)-1,0),1,MOD($A32-1,2))=0,(CROQUIS!$C$163+(CROQUIS!$C$162-1)*CROQUIS!$C$116+CROQUIS!$C$114),CROQUIS!$C$163)))*CROQUIS!$C$159),-1000)</f>
        <v>22.9552643470402</v>
      </c>
      <c r="AM32">
        <f>IF(AND(CROQUIS!$C$87=1,CROQUIS!$C$164&gt;0,CROQUIS!$C$162&gt;0),(CROQUIS!$C$161+((CROQUIS!$C$165+INT(MIN(INT(($A32-1)/2),MAX((2*CROQUIS!$C$164)-1,0))/2)*CROQUIS!$C$116+MOD(MIN(INT(($A32-1)/2),MAX((2*CROQUIS!$C$164)-1,0)),2)*CROQUIS!$C$115))*CROQUIS!$C$159),-1000)</f>
        <v>79.1911432444645</v>
      </c>
      <c r="AN32">
        <f>IF(AND(CROQUIS!$C$87=1,CROQUIS!$C$162&gt;=2),(CROQUIS!$C$160+((CROQUIS!$C$163+CROQUIS!$C$114+(CROQUIS!$C$116-CROQUIS!$C$114)/2+MIN(INT(($A32-1)/2),MAX((CROQUIS!$C$162-1)-1,0))*CROQUIS!$C$116))*CROQUIS!$C$159),-1000)</f>
        <v>70.1762313601446</v>
      </c>
      <c r="AO32">
        <f>IF(AND(CROQUIS!$C$87=1,CROQUIS!$C$162&gt;=2),(CROQUIS!$C$161+(IF(MOD(MIN(INT(($A32-1)/2),MAX((CROQUIS!$C$162-1)-1,0)),2)=0,IF(IF(INT(($A32-1)/2)&gt;MAX((CROQUIS!$C$162-1)-1,0),1,MOD($A32-1,2))=0,CROQUIS!$C$107/2,(CROQUIS!$C$96-CROQUIS!$C$107/2)),IF(IF(INT(($A32-1)/2)&gt;MAX((CROQUIS!$C$162-1)-1,0),1,MOD($A32-1,2))=0,(CROQUIS!$C$96-CROQUIS!$C$107/2),CROQUIS!$C$107/2)))*CROQUIS!$C$159),-1000)</f>
        <v>16.9453230908269</v>
      </c>
      <c r="AP32">
        <f>IF(AND(CROQUIS!$C$87=1,CROQUIS!$C$164&gt;=2),(CROQUIS!$C$160+(IF(MOD(MIN(INT(($A32-1)/2),MAX((CROQUIS!$C$164-1)-1,0)),2)=0,IF(IF(INT(($A32-1)/2)&gt;MAX((CROQUIS!$C$164-1)-1,0),1,MOD($A32-1,2))=0,CROQUIS!$C$107/2,(CROQUIS!$C$95-CROQUIS!$C$107/2)),IF(IF(INT(($A32-1)/2)&gt;MAX((CROQUIS!$C$164-1)-1,0),1,MOD($A32-1,2))=0,(CROQUIS!$C$95-CROQUIS!$C$107/2),CROQUIS!$C$107/2)))*CROQUIS!$C$159),-1000)</f>
        <v>13.2878445549028</v>
      </c>
      <c r="AQ32">
        <f>IF(AND(CROQUIS!$C$87=1,CROQUIS!$C$164&gt;=2),(CROQUIS!$C$161+((CROQUIS!$C$165+CROQUIS!$C$115+(CROQUIS!$C$116-CROQUIS!$C$115)/2+MIN(INT(($A32-1)/2),MAX((CROQUIS!$C$164-1)-1,0))*CROQUIS!$C$116))*CROQUIS!$C$159),-1000)</f>
        <v>68.0298237686399</v>
      </c>
      <c r="BN32">
        <f>IF(AND(CROQUIS!$C$88=1,CROQUIS!$C$129&gt;0),((CROQUIS!$C$160+(IF(CROQUIS!$C$92="X",CHOOSE(IF(INT(($A32-1)/5)&gt;MAX((MAX(1,INT(((CROQUIS!$C$98)-CROQUIS!$C$107)/MAX((CROQUIS!$C$129*MAX(1,CEILING((INT(((CROQUIS!$C$98)-CROQUIS!$C$107)/MAX(CROQUIS!$C$129,1))+1)/80,1))),1))+1))-1,0),0,MOD($A32-1,5))+1,0,2,CROQUIS!$C$97-2,2,0),((CROQUIS!$C$107/2+(((CROQUIS!$C$98)-CROQUIS!$C$107)-(MAX(1,INT(((CROQUIS!$C$98)-CROQUIS!$C$107)/MAX((CROQUIS!$C$129*MAX(1,CEILING((INT(((CROQUIS!$C$98)-CROQUIS!$C$107)/MAX(CROQUIS!$C$129,1))+1)/80,1))),1))+1)-1)*(CROQUIS!$C$129*MAX(1,CEILING((INT(((CROQUIS!$C$98)-CROQUIS!$C$107)/MAX(CROQUIS!$C$129,1))+1)/80,1))))/2)+MIN(INT(($A32-1)/5),MAX((MAX(1,INT(((CROQUIS!$C$98)-CROQUIS!$C$107)/MAX((CROQUIS!$C$129*MAX(1,CEILING((INT(((CROQUIS!$C$98)-CROQUIS!$C$107)/MAX(CROQUIS!$C$129,1))+1)/80,1))),1))+1))-1,0))*(CROQUIS!$C$129*MAX(1,CEILING((INT(((CROQUIS!$C$98)-CROQUIS!$C$107)/MAX(CROQUIS!$C$129,1))+1)/80,1))))))*CROQUIS!$C$159)+IF(CROQUIS!$C$92="X",0,0)),-1000)</f>
        <v>-1000</v>
      </c>
      <c r="BO32">
        <f>IF(AND(CROQUIS!$C$88=1,CROQUIS!$C$129&gt;0),((CROQUIS!$C$161+(IF(CROQUIS!$C$92="X",((CROQUIS!$C$107/2+(((CROQUIS!$C$98)-CROQUIS!$C$107)-(MAX(1,INT(((CROQUIS!$C$98)-CROQUIS!$C$107)/MAX((CROQUIS!$C$129*MAX(1,CEILING((INT(((CROQUIS!$C$98)-CROQUIS!$C$107)/MAX(CROQUIS!$C$129,1))+1)/80,1))),1))+1)-1)*(CROQUIS!$C$129*MAX(1,CEILING((INT(((CROQUIS!$C$98)-CROQUIS!$C$107)/MAX(CROQUIS!$C$129,1))+1)/80,1))))/2)+MIN(INT(($A32-1)/5),MAX((MAX(1,INT(((CROQUIS!$C$98)-CROQUIS!$C$107)/MAX((CROQUIS!$C$129*MAX(1,CEILING((INT(((CROQUIS!$C$98)-CROQUIS!$C$107)/MAX(CROQUIS!$C$129,1))+1)/80,1))),1))+1))-1,0))*(CROQUIS!$C$129*MAX(1,CEILING((INT(((CROQUIS!$C$98)-CROQUIS!$C$107)/MAX(CROQUIS!$C$129,1))+1)/80,1)))),CHOOSE(IF(INT(($A32-1)/5)&gt;MAX((MAX(1,INT(((CROQUIS!$C$98)-CROQUIS!$C$107)/MAX((CROQUIS!$C$129*MAX(1,CEILING((INT(((CROQUIS!$C$98)-CROQUIS!$C$107)/MAX(CROQUIS!$C$129,1))+1)/80,1))),1))+1))-1,0),0,MOD($A32-1,5))+1,0,2,CROQUIS!$C$97-2,2,0)))*CROQUIS!$C$159)+IF(CROQUIS!$C$92="X",0,0)),-1000)</f>
        <v>-1000</v>
      </c>
      <c r="BP32">
        <f>IF(AND(CROQUIS!$C$88=1,CROQUIS!$C$137&gt;0),((CROQUIS!$C$160+(IF(CROQUIS!$C$92="X",((CROQUIS!$C$107/2+(((CROQUIS!$C$97)-CROQUIS!$C$107)-(MAX(1,INT(((CROQUIS!$C$97)-CROQUIS!$C$107)/MAX((CROQUIS!$C$137*MAX(1,CEILING((INT(((CROQUIS!$C$97)-CROQUIS!$C$107)/MAX(CROQUIS!$C$137,1))+1)/80,1))),1))+1)-1)*(CROQUIS!$C$137*MAX(1,CEILING((INT(((CROQUIS!$C$97)-CROQUIS!$C$107)/MAX(CROQUIS!$C$137,1))+1)/80,1))))/2)+MIN(INT(($A32-1)/5),MAX((MAX(1,INT(((CROQUIS!$C$97)-CROQUIS!$C$107)/MAX((CROQUIS!$C$137*MAX(1,CEILING((INT(((CROQUIS!$C$97)-CROQUIS!$C$107)/MAX(CROQUIS!$C$137,1))+1)/80,1))),1))+1))-1,0))*(CROQUIS!$C$137*MAX(1,CEILING((INT(((CROQUIS!$C$97)-CROQUIS!$C$107)/MAX(CROQUIS!$C$137,1))+1)/80,1)))),CHOOSE(IF(INT(($A32-1)/5)&gt;MAX((MAX(1,INT(((CROQUIS!$C$97)-CROQUIS!$C$107)/MAX((CROQUIS!$C$137*MAX(1,CEILING((INT(((CROQUIS!$C$97)-CROQUIS!$C$107)/MAX(CROQUIS!$C$137,1))+1)/80,1))),1))+1))-1,0),0,MOD($A32-1,5))+1,0,2,CROQUIS!$C$98-2,2,0)))*CROQUIS!$C$159)+IF(CROQUIS!$C$92="X",0,0)),-1000)</f>
        <v>-1000</v>
      </c>
      <c r="BQ32">
        <f>IF(AND(CROQUIS!$C$88=1,CROQUIS!$C$137&gt;0),((CROQUIS!$C$161+(IF(CROQUIS!$C$92="X",CHOOSE(IF(INT(($A32-1)/5)&gt;MAX((MAX(1,INT(((CROQUIS!$C$97)-CROQUIS!$C$107)/MAX((CROQUIS!$C$137*MAX(1,CEILING((INT(((CROQUIS!$C$97)-CROQUIS!$C$107)/MAX(CROQUIS!$C$137,1))+1)/80,1))),1))+1))-1,0),0,MOD($A32-1,5))+1,0,2,CROQUIS!$C$98-2,2,0),((CROQUIS!$C$107/2+(((CROQUIS!$C$97)-CROQUIS!$C$107)-(MAX(1,INT(((CROQUIS!$C$97)-CROQUIS!$C$107)/MAX((CROQUIS!$C$137*MAX(1,CEILING((INT(((CROQUIS!$C$97)-CROQUIS!$C$107)/MAX(CROQUIS!$C$137,1))+1)/80,1))),1))+1)-1)*(CROQUIS!$C$137*MAX(1,CEILING((INT(((CROQUIS!$C$97)-CROQUIS!$C$107)/MAX(CROQUIS!$C$137,1))+1)/80,1))))/2)+MIN(INT(($A32-1)/5),MAX((MAX(1,INT(((CROQUIS!$C$97)-CROQUIS!$C$107)/MAX((CROQUIS!$C$137*MAX(1,CEILING((INT(((CROQUIS!$C$97)-CROQUIS!$C$107)/MAX(CROQUIS!$C$137,1))+1)/80,1))),1))+1))-1,0))*(CROQUIS!$C$137*MAX(1,CEILING((INT(((CROQUIS!$C$97)-CROQUIS!$C$107)/MAX(CROQUIS!$C$137,1))+1)/80,1))))))*CROQUIS!$C$159)+IF(CROQUIS!$C$92="X",0,0)),-1000)</f>
        <v>-1000</v>
      </c>
      <c r="BR32">
        <f>IF(AND(CROQUIS!$C$88=1,CROQUIS!$C$91=0,CROQUIS!$C$133&gt;0,OR(CROQUIS!$C$103=1,CROQUIS!$C$145=1)),((CROQUIS!$C$160+(IF(CROQUIS!$C$92="X",CHOOSE(IF(INT(($A32-1)/5)&gt;MAX((MAX(1,INT(((CROQUIS!$C$98)-CROQUIS!$C$107)/MAX((CROQUIS!$C$133*MAX(1,CEILING((INT(((CROQUIS!$C$98)-CROQUIS!$C$107)/MAX(CROQUIS!$C$133,1))+1)/80,1))),1))+1))-1,0),0,MOD($A32-1,5))+1,0,IF(CROQUIS!$C$103=1,-12,2),CROQUIS!$C$107/2+CROQUIS!$C$143,IF(CROQUIS!$C$103=1,-12,2),0),((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BS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+1,0,IF(CROQUIS!$C$103=1,-12,2),CROQUIS!$C$107/2+CROQUIS!$C$143,IF(CROQUIS!$C$103=1,-12,2),0)))*CROQUIS!$C$159)+IF(CROQUIS!$C$92="X",0.8,0)),-1000)</f>
        <v>-1000</v>
      </c>
      <c r="BT32">
        <f>IF(AND(CROQUIS!$C$88=1,CROQUIS!$C$91=0,CROQUIS!$C$133&gt;0,OR(CROQUIS!$C$104=1,CROQUIS!$C$145=1)),((CROQUIS!$C$160+(IF(CROQUIS!$C$92="X",CHOOSE(IF(INT(($A32-1)/5)&gt;MAX((MAX(1,INT(((CROQUIS!$C$98)-CROQUIS!$C$107)/MAX((CROQUIS!$C$133*MAX(1,CEILING((INT(((CROQUIS!$C$98)-CROQUIS!$C$107)/MAX(CROQUIS!$C$133,1))+1)/80,1))),1))+1))-1,0),0,MOD($A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BU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CROQUIS!$C$97,CROQUIS!$C$97-CROQUIS!$C$107/2-CROQUIS!$C$143,IF(CROQUIS!$C$104=1,CROQUIS!$C$97+12,CROQUIS!$C$97-2),CROQUIS!$C$97-CROQUIS!$C$107/2-CROQUIS!$C$143,CROQUIS!$C$97)))*CROQUIS!$C$159)+IF(CROQUIS!$C$92="X",0.8,0)),-1000)</f>
        <v>-1000</v>
      </c>
      <c r="BV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HOOSE(IF(INT(($A32-1)/5)&gt;MAX((MAX(1,INT(((CROQUIS!$C$97)-CROQUIS!$C$107)/MAX((CROQUIS!$C$141*MAX(1,CEILING((INT(((CROQUIS!$C$97)-CROQUIS!$C$107)/MAX(CROQUIS!$C$141,1))+1)/80,1))),1))+1))-1,0),0,MOD($A32-1,5))+1,0,IF(CROQUIS!$C$105=1,-12,2),CROQUIS!$C$107/2+CROQUIS!$C$144,IF(CROQUIS!$C$105=1,-12,2),0)))*CROQUIS!$C$159)+IF(CROQUIS!$C$92="X",0.8,0)),-1000)</f>
        <v>-1000</v>
      </c>
      <c r="BW32">
        <f>IF(AND(CROQUIS!$C$88=1,CROQUIS!$C$91=0,CROQUIS!$C$141&gt;0,OR(CROQUIS!$C$105=1,CROQUIS!$C$146=1)),((CROQUIS!$C$161+(IF(CROQUIS!$C$92="X",CHOOSE(IF(INT(($A32-1)/5)&gt;MAX((MAX(1,INT(((CROQUIS!$C$97)-CROQUIS!$C$107)/MAX((CROQUIS!$C$141*MAX(1,CEILING((INT(((CROQUIS!$C$97)-CROQUIS!$C$107)/MAX(CROQUIS!$C$141,1))+1)/80,1))),1))+1))-1,0),0,MOD($A32-1,5))+1,0,IF(CROQUIS!$C$105=1,-12,2),CROQUIS!$C$107/2+CROQUIS!$C$144,IF(CROQUIS!$C$105=1,-12,2),0),((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ROQUIS!$C$159)+IF(CROQUIS!$C$92="X",0,0.8)),-1000)</f>
        <v>-1000</v>
      </c>
      <c r="BX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HOOSE(IF(INT(($A32-1)/5)&gt;MAX((MAX(1,INT(((CROQUIS!$C$97)-CROQUIS!$C$107)/MAX((CROQUIS!$C$141*MAX(1,CEILING((INT(((CROQUIS!$C$97)-CROQUIS!$C$107)/MAX(CROQUIS!$C$141,1))+1)/80,1))),1))+1))-1,0),0,MOD($A32-1,5))+1,CROQUIS!$C$98,CROQUIS!$C$98-CROQUIS!$C$107/2-CROQUIS!$C$144,IF(CROQUIS!$C$106=1,CROQUIS!$C$98+12,CROQUIS!$C$98-2),CROQUIS!$C$98-CROQUIS!$C$107/2-CROQUIS!$C$144,CROQUIS!$C$98)))*CROQUIS!$C$159)+IF(CROQUIS!$C$92="X",0.8,0)),-1000)</f>
        <v>-1000</v>
      </c>
      <c r="BY32">
        <f>IF(AND(CROQUIS!$C$88=1,CROQUIS!$C$91=0,CROQUIS!$C$141&gt;0,OR(CROQUIS!$C$106=1,CROQUIS!$C$146=1)),((CROQUIS!$C$161+(IF(CROQUIS!$C$92="X",CHOOSE(IF(INT(($A32-1)/5)&gt;MAX((MAX(1,INT(((CROQUIS!$C$97)-CROQUIS!$C$107)/MAX((CROQUIS!$C$141*MAX(1,CEILING((INT(((CROQUIS!$C$97)-CROQUIS!$C$107)/MAX(CROQUIS!$C$141,1))+1)/80,1))),1))+1))-1,0),0,MOD($A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ROQUIS!$C$159)+IF(CROQUIS!$C$92="X",0,0.8)),-1000)</f>
        <v>-1000</v>
      </c>
      <c r="BZ32">
        <f>IF(AND(CROQUIS!$C$88=1,CROQUIS!$C$91=1,CROQUIS!$C$133&gt;0),((CROQUIS!$C$160+(IF(CROQUIS!$C$92="X",CHOOSE(IF(INT(($A32-1)/5)&gt;MAX((MAX(1,INT(((CROQUIS!$C$98)-CROQUIS!$C$107)/MAX((CROQUIS!$C$133*MAX(1,CEILING((INT(((CROQUIS!$C$98)-CROQUIS!$C$107)/MAX(CROQUIS!$C$133,1))+1)/80,1))),1))+1))-1,0),0,MOD($A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CA32">
        <f>IF(AND(CROQUIS!$C$88=1,CROQUIS!$C$91=1,CROQUIS!$C$133&gt;0),((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
      <c r="A33" t="n">
        <v>26</v>
      </c>
      <c r="F33">
        <f>IF(AND(CROQUIS!$C$87=1,CROQUIS!$C$91=1),((CROQUIS!$C$160+(IF(CROQUIS!$C$92="X",IF(CROQUIS!$C$94=1,0,CROQUIS!$C$97)+IF(MOD($A33,2)=1,-CROQUIS!$C$107/2,CROQUIS!$C$107/2),(MIN($A33,41)-1)/40*CROQUIS!$C$98))*CROQUIS!$C$159)+IF(CROQUIS!$C$92="X",0,0)),-1000)</f>
        <v>-1000</v>
      </c>
      <c r="G33">
        <f>IF(AND(CROQUIS!$C$87=1,CROQUIS!$C$91=1),((CROQUIS!$C$161+(IF(CROQUIS!$C$92="X",(MIN($A33,41)-1)/40*CROQUIS!$C$98,IF(CROQUIS!$C$94=1,0,CROQUIS!$C$97)+IF(MOD($A33,2)=1,-CROQUIS!$C$107/2,CROQUIS!$C$107/2)))*CROQUIS!$C$159)+IF(CROQUIS!$C$92="X",0,0)),-1000)</f>
        <v>-1000</v>
      </c>
      <c r="V33">
        <f>IF(AND(CROQUIS!$C$88=1,CROQUIS!$C$91=1),((CROQUIS!$C$160+(IF(CROQUIS!$C$92="X",IF(CROQUIS!$C$94=1,0,CROQUIS!$C$97)+IF(MOD($A33,2)=1,-CROQUIS!$C$107/2,CROQUIS!$C$107/2),(MIN($A33,41)-1)/40*CROQUIS!$C$98))*CROQUIS!$C$159)+IF(CROQUIS!$C$92="X",0,0)),-1000)</f>
        <v>-1000</v>
      </c>
      <c r="W33">
        <f>IF(AND(CROQUIS!$C$88=1,CROQUIS!$C$91=1),((CROQUIS!$C$161+(IF(CROQUIS!$C$92="X",(MIN($A33,41)-1)/40*CROQUIS!$C$98,IF(CROQUIS!$C$94=1,0,CROQUIS!$C$97)+IF(MOD($A33,2)=1,-CROQUIS!$C$107/2,CROQUIS!$C$107/2)))*CROQUIS!$C$159)+IF(CROQUIS!$C$92="X",0,0)),-1000)</f>
        <v>-1000</v>
      </c>
      <c r="AJ33">
        <f>IF(AND(CROQUIS!$C$87=1,CROQUIS!$C$162&gt;0,CROQUIS!$C$164&gt;0),(CROQUIS!$C$160+((CROQUIS!$C$163+INT(MIN(INT(($A33-1)/2),MAX((2*CROQUIS!$C$162)-1,0))/2)*CROQUIS!$C$116+MOD(MIN(INT(($A33-1)/2),MAX((2*CROQUIS!$C$162)-1,0)),2)*CROQUIS!$C$114))*CROQUIS!$C$159),-1000)</f>
        <v>81.3375508359693</v>
      </c>
      <c r="AK33">
        <f>IF(AND(CROQUIS!$C$87=1,CROQUIS!$C$162&gt;0,CROQUIS!$C$164&gt;0),(CROQUIS!$C$161+(IF(MOD(MIN(INT(($A33-1)/2),MAX((2*CROQUIS!$C$162)-1,0)),2)=0,IF(IF(INT(($A33-1)/2)&gt;MAX((2*CROQUIS!$C$162)-1,0),1,MOD($A33-1,2))=0,CROQUIS!$C$165,(CROQUIS!$C$165+(CROQUIS!$C$164-1)*CROQUIS!$C$116+CROQUIS!$C$115)),IF(IF(INT(($A33-1)/2)&gt;MAX((2*CROQUIS!$C$162)-1,0),1,MOD($A33-1,2))=0,(CROQUIS!$C$165+(CROQUIS!$C$164-1)*CROQUIS!$C$116+CROQUIS!$C$115),CROQUIS!$C$165)))*CROQUIS!$C$159),-1000)</f>
        <v>20.8088567555355</v>
      </c>
      <c r="AL33">
        <f>IF(AND(CROQUIS!$C$87=1,CROQUIS!$C$164&gt;0,CROQUIS!$C$162&gt;0),(CROQUIS!$C$160+(IF(MOD(MIN(INT(($A33-1)/2),MAX((2*CROQUIS!$C$164)-1,0)),2)=0,IF(IF(INT(($A33-1)/2)&gt;MAX((2*CROQUIS!$C$164)-1,0),1,MOD($A33-1,2))=0,CROQUIS!$C$163,(CROQUIS!$C$163+(CROQUIS!$C$162-1)*CROQUIS!$C$116+CROQUIS!$C$114)),IF(IF(INT(($A33-1)/2)&gt;MAX((2*CROQUIS!$C$164)-1,0),1,MOD($A33-1,2))=0,(CROQUIS!$C$163+(CROQUIS!$C$162-1)*CROQUIS!$C$116+CROQUIS!$C$114),CROQUIS!$C$163)))*CROQUIS!$C$159),-1000)</f>
        <v>22.9552643470402</v>
      </c>
      <c r="AM33">
        <f>IF(AND(CROQUIS!$C$87=1,CROQUIS!$C$164&gt;0,CROQUIS!$C$162&gt;0),(CROQUIS!$C$161+((CROQUIS!$C$165+INT(MIN(INT(($A33-1)/2),MAX((2*CROQUIS!$C$164)-1,0))/2)*CROQUIS!$C$116+MOD(MIN(INT(($A33-1)/2),MAX((2*CROQUIS!$C$164)-1,0)),2)*CROQUIS!$C$115))*CROQUIS!$C$159),-1000)</f>
        <v>79.1911432444645</v>
      </c>
      <c r="AN33">
        <f>IF(AND(CROQUIS!$C$87=1,CROQUIS!$C$162&gt;=2),(CROQUIS!$C$160+((CROQUIS!$C$163+CROQUIS!$C$114+(CROQUIS!$C$116-CROQUIS!$C$114)/2+MIN(INT(($A33-1)/2),MAX((CROQUIS!$C$162-1)-1,0))*CROQUIS!$C$116))*CROQUIS!$C$159),-1000)</f>
        <v>70.1762313601446</v>
      </c>
      <c r="AO33">
        <f>IF(AND(CROQUIS!$C$87=1,CROQUIS!$C$162&gt;=2),(CROQUIS!$C$161+(IF(MOD(MIN(INT(($A33-1)/2),MAX((CROQUIS!$C$162-1)-1,0)),2)=0,IF(IF(INT(($A33-1)/2)&gt;MAX((CROQUIS!$C$162-1)-1,0),1,MOD($A33-1,2))=0,CROQUIS!$C$107/2,(CROQUIS!$C$96-CROQUIS!$C$107/2)),IF(IF(INT(($A33-1)/2)&gt;MAX((CROQUIS!$C$162-1)-1,0),1,MOD($A33-1,2))=0,(CROQUIS!$C$96-CROQUIS!$C$107/2),CROQUIS!$C$107/2)))*CROQUIS!$C$159),-1000)</f>
        <v>16.9453230908269</v>
      </c>
      <c r="AP33">
        <f>IF(AND(CROQUIS!$C$87=1,CROQUIS!$C$164&gt;=2),(CROQUIS!$C$160+(IF(MOD(MIN(INT(($A33-1)/2),MAX((CROQUIS!$C$164-1)-1,0)),2)=0,IF(IF(INT(($A33-1)/2)&gt;MAX((CROQUIS!$C$164-1)-1,0),1,MOD($A33-1,2))=0,CROQUIS!$C$107/2,(CROQUIS!$C$95-CROQUIS!$C$107/2)),IF(IF(INT(($A33-1)/2)&gt;MAX((CROQUIS!$C$164-1)-1,0),1,MOD($A33-1,2))=0,(CROQUIS!$C$95-CROQUIS!$C$107/2),CROQUIS!$C$107/2)))*CROQUIS!$C$159),-1000)</f>
        <v>13.2878445549028</v>
      </c>
      <c r="AQ33">
        <f>IF(AND(CROQUIS!$C$87=1,CROQUIS!$C$164&gt;=2),(CROQUIS!$C$161+((CROQUIS!$C$165+CROQUIS!$C$115+(CROQUIS!$C$116-CROQUIS!$C$115)/2+MIN(INT(($A33-1)/2),MAX((CROQUIS!$C$164-1)-1,0))*CROQUIS!$C$116))*CROQUIS!$C$159),-1000)</f>
        <v>68.0298237686399</v>
      </c>
      <c r="BN33">
        <f>IF(AND(CROQUIS!$C$88=1,CROQUIS!$C$129&gt;0),((CROQUIS!$C$160+(IF(CROQUIS!$C$92="X",CHOOSE(IF(INT(($A33-1)/5)&gt;MAX((MAX(1,INT(((CROQUIS!$C$98)-CROQUIS!$C$107)/MAX((CROQUIS!$C$129*MAX(1,CEILING((INT(((CROQUIS!$C$98)-CROQUIS!$C$107)/MAX(CROQUIS!$C$129,1))+1)/80,1))),1))+1))-1,0),0,MOD($A33-1,5))+1,0,2,CROQUIS!$C$97-2,2,0),((CROQUIS!$C$107/2+(((CROQUIS!$C$98)-CROQUIS!$C$107)-(MAX(1,INT(((CROQUIS!$C$98)-CROQUIS!$C$107)/MAX((CROQUIS!$C$129*MAX(1,CEILING((INT(((CROQUIS!$C$98)-CROQUIS!$C$107)/MAX(CROQUIS!$C$129,1))+1)/80,1))),1))+1)-1)*(CROQUIS!$C$129*MAX(1,CEILING((INT(((CROQUIS!$C$98)-CROQUIS!$C$107)/MAX(CROQUIS!$C$129,1))+1)/80,1))))/2)+MIN(INT(($A33-1)/5),MAX((MAX(1,INT(((CROQUIS!$C$98)-CROQUIS!$C$107)/MAX((CROQUIS!$C$129*MAX(1,CEILING((INT(((CROQUIS!$C$98)-CROQUIS!$C$107)/MAX(CROQUIS!$C$129,1))+1)/80,1))),1))+1))-1,0))*(CROQUIS!$C$129*MAX(1,CEILING((INT(((CROQUIS!$C$98)-CROQUIS!$C$107)/MAX(CROQUIS!$C$129,1))+1)/80,1))))))*CROQUIS!$C$159)+IF(CROQUIS!$C$92="X",0,0)),-1000)</f>
        <v>-1000</v>
      </c>
      <c r="BO33">
        <f>IF(AND(CROQUIS!$C$88=1,CROQUIS!$C$129&gt;0),((CROQUIS!$C$161+(IF(CROQUIS!$C$92="X",((CROQUIS!$C$107/2+(((CROQUIS!$C$98)-CROQUIS!$C$107)-(MAX(1,INT(((CROQUIS!$C$98)-CROQUIS!$C$107)/MAX((CROQUIS!$C$129*MAX(1,CEILING((INT(((CROQUIS!$C$98)-CROQUIS!$C$107)/MAX(CROQUIS!$C$129,1))+1)/80,1))),1))+1)-1)*(CROQUIS!$C$129*MAX(1,CEILING((INT(((CROQUIS!$C$98)-CROQUIS!$C$107)/MAX(CROQUIS!$C$129,1))+1)/80,1))))/2)+MIN(INT(($A33-1)/5),MAX((MAX(1,INT(((CROQUIS!$C$98)-CROQUIS!$C$107)/MAX((CROQUIS!$C$129*MAX(1,CEILING((INT(((CROQUIS!$C$98)-CROQUIS!$C$107)/MAX(CROQUIS!$C$129,1))+1)/80,1))),1))+1))-1,0))*(CROQUIS!$C$129*MAX(1,CEILING((INT(((CROQUIS!$C$98)-CROQUIS!$C$107)/MAX(CROQUIS!$C$129,1))+1)/80,1)))),CHOOSE(IF(INT(($A33-1)/5)&gt;MAX((MAX(1,INT(((CROQUIS!$C$98)-CROQUIS!$C$107)/MAX((CROQUIS!$C$129*MAX(1,CEILING((INT(((CROQUIS!$C$98)-CROQUIS!$C$107)/MAX(CROQUIS!$C$129,1))+1)/80,1))),1))+1))-1,0),0,MOD($A33-1,5))+1,0,2,CROQUIS!$C$97-2,2,0)))*CROQUIS!$C$159)+IF(CROQUIS!$C$92="X",0,0)),-1000)</f>
        <v>-1000</v>
      </c>
      <c r="BP33">
        <f>IF(AND(CROQUIS!$C$88=1,CROQUIS!$C$137&gt;0),((CROQUIS!$C$160+(IF(CROQUIS!$C$92="X",((CROQUIS!$C$107/2+(((CROQUIS!$C$97)-CROQUIS!$C$107)-(MAX(1,INT(((CROQUIS!$C$97)-CROQUIS!$C$107)/MAX((CROQUIS!$C$137*MAX(1,CEILING((INT(((CROQUIS!$C$97)-CROQUIS!$C$107)/MAX(CROQUIS!$C$137,1))+1)/80,1))),1))+1)-1)*(CROQUIS!$C$137*MAX(1,CEILING((INT(((CROQUIS!$C$97)-CROQUIS!$C$107)/MAX(CROQUIS!$C$137,1))+1)/80,1))))/2)+MIN(INT(($A33-1)/5),MAX((MAX(1,INT(((CROQUIS!$C$97)-CROQUIS!$C$107)/MAX((CROQUIS!$C$137*MAX(1,CEILING((INT(((CROQUIS!$C$97)-CROQUIS!$C$107)/MAX(CROQUIS!$C$137,1))+1)/80,1))),1))+1))-1,0))*(CROQUIS!$C$137*MAX(1,CEILING((INT(((CROQUIS!$C$97)-CROQUIS!$C$107)/MAX(CROQUIS!$C$137,1))+1)/80,1)))),CHOOSE(IF(INT(($A33-1)/5)&gt;MAX((MAX(1,INT(((CROQUIS!$C$97)-CROQUIS!$C$107)/MAX((CROQUIS!$C$137*MAX(1,CEILING((INT(((CROQUIS!$C$97)-CROQUIS!$C$107)/MAX(CROQUIS!$C$137,1))+1)/80,1))),1))+1))-1,0),0,MOD($A33-1,5))+1,0,2,CROQUIS!$C$98-2,2,0)))*CROQUIS!$C$159)+IF(CROQUIS!$C$92="X",0,0)),-1000)</f>
        <v>-1000</v>
      </c>
      <c r="BQ33">
        <f>IF(AND(CROQUIS!$C$88=1,CROQUIS!$C$137&gt;0),((CROQUIS!$C$161+(IF(CROQUIS!$C$92="X",CHOOSE(IF(INT(($A33-1)/5)&gt;MAX((MAX(1,INT(((CROQUIS!$C$97)-CROQUIS!$C$107)/MAX((CROQUIS!$C$137*MAX(1,CEILING((INT(((CROQUIS!$C$97)-CROQUIS!$C$107)/MAX(CROQUIS!$C$137,1))+1)/80,1))),1))+1))-1,0),0,MOD($A33-1,5))+1,0,2,CROQUIS!$C$98-2,2,0),((CROQUIS!$C$107/2+(((CROQUIS!$C$97)-CROQUIS!$C$107)-(MAX(1,INT(((CROQUIS!$C$97)-CROQUIS!$C$107)/MAX((CROQUIS!$C$137*MAX(1,CEILING((INT(((CROQUIS!$C$97)-CROQUIS!$C$107)/MAX(CROQUIS!$C$137,1))+1)/80,1))),1))+1)-1)*(CROQUIS!$C$137*MAX(1,CEILING((INT(((CROQUIS!$C$97)-CROQUIS!$C$107)/MAX(CROQUIS!$C$137,1))+1)/80,1))))/2)+MIN(INT(($A33-1)/5),MAX((MAX(1,INT(((CROQUIS!$C$97)-CROQUIS!$C$107)/MAX((CROQUIS!$C$137*MAX(1,CEILING((INT(((CROQUIS!$C$97)-CROQUIS!$C$107)/MAX(CROQUIS!$C$137,1))+1)/80,1))),1))+1))-1,0))*(CROQUIS!$C$137*MAX(1,CEILING((INT(((CROQUIS!$C$97)-CROQUIS!$C$107)/MAX(CROQUIS!$C$137,1))+1)/80,1))))))*CROQUIS!$C$159)+IF(CROQUIS!$C$92="X",0,0)),-1000)</f>
        <v>-1000</v>
      </c>
      <c r="BR33">
        <f>IF(AND(CROQUIS!$C$88=1,CROQUIS!$C$91=0,CROQUIS!$C$133&gt;0,OR(CROQUIS!$C$103=1,CROQUIS!$C$145=1)),((CROQUIS!$C$160+(IF(CROQUIS!$C$92="X",CHOOSE(IF(INT(($A33-1)/5)&gt;MAX((MAX(1,INT(((CROQUIS!$C$98)-CROQUIS!$C$107)/MAX((CROQUIS!$C$133*MAX(1,CEILING((INT(((CROQUIS!$C$98)-CROQUIS!$C$107)/MAX(CROQUIS!$C$133,1))+1)/80,1))),1))+1))-1,0),0,MOD($A33-1,5))+1,0,IF(CROQUIS!$C$103=1,-12,2),CROQUIS!$C$107/2+CROQUIS!$C$143,IF(CROQUIS!$C$103=1,-12,2),0),((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BS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+1,0,IF(CROQUIS!$C$103=1,-12,2),CROQUIS!$C$107/2+CROQUIS!$C$143,IF(CROQUIS!$C$103=1,-12,2),0)))*CROQUIS!$C$159)+IF(CROQUIS!$C$92="X",0.8,0)),-1000)</f>
        <v>-1000</v>
      </c>
      <c r="BT33">
        <f>IF(AND(CROQUIS!$C$88=1,CROQUIS!$C$91=0,CROQUIS!$C$133&gt;0,OR(CROQUIS!$C$104=1,CROQUIS!$C$145=1)),((CROQUIS!$C$160+(IF(CROQUIS!$C$92="X",CHOOSE(IF(INT(($A33-1)/5)&gt;MAX((MAX(1,INT(((CROQUIS!$C$98)-CROQUIS!$C$107)/MAX((CROQUIS!$C$133*MAX(1,CEILING((INT(((CROQUIS!$C$98)-CROQUIS!$C$107)/MAX(CROQUIS!$C$133,1))+1)/80,1))),1))+1))-1,0),0,MOD($A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BU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CROQUIS!$C$97,CROQUIS!$C$97-CROQUIS!$C$107/2-CROQUIS!$C$143,IF(CROQUIS!$C$104=1,CROQUIS!$C$97+12,CROQUIS!$C$97-2),CROQUIS!$C$97-CROQUIS!$C$107/2-CROQUIS!$C$143,CROQUIS!$C$97)))*CROQUIS!$C$159)+IF(CROQUIS!$C$92="X",0.8,0)),-1000)</f>
        <v>-1000</v>
      </c>
      <c r="BV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HOOSE(IF(INT(($A33-1)/5)&gt;MAX((MAX(1,INT(((CROQUIS!$C$97)-CROQUIS!$C$107)/MAX((CROQUIS!$C$141*MAX(1,CEILING((INT(((CROQUIS!$C$97)-CROQUIS!$C$107)/MAX(CROQUIS!$C$141,1))+1)/80,1))),1))+1))-1,0),0,MOD($A33-1,5))+1,0,IF(CROQUIS!$C$105=1,-12,2),CROQUIS!$C$107/2+CROQUIS!$C$144,IF(CROQUIS!$C$105=1,-12,2),0)))*CROQUIS!$C$159)+IF(CROQUIS!$C$92="X",0.8,0)),-1000)</f>
        <v>-1000</v>
      </c>
      <c r="BW33">
        <f>IF(AND(CROQUIS!$C$88=1,CROQUIS!$C$91=0,CROQUIS!$C$141&gt;0,OR(CROQUIS!$C$105=1,CROQUIS!$C$146=1)),((CROQUIS!$C$161+(IF(CROQUIS!$C$92="X",CHOOSE(IF(INT(($A33-1)/5)&gt;MAX((MAX(1,INT(((CROQUIS!$C$97)-CROQUIS!$C$107)/MAX((CROQUIS!$C$141*MAX(1,CEILING((INT(((CROQUIS!$C$97)-CROQUIS!$C$107)/MAX(CROQUIS!$C$141,1))+1)/80,1))),1))+1))-1,0),0,MOD($A33-1,5))+1,0,IF(CROQUIS!$C$105=1,-12,2),CROQUIS!$C$107/2+CROQUIS!$C$144,IF(CROQUIS!$C$105=1,-12,2),0),((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ROQUIS!$C$159)+IF(CROQUIS!$C$92="X",0,0.8)),-1000)</f>
        <v>-1000</v>
      </c>
      <c r="BX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HOOSE(IF(INT(($A33-1)/5)&gt;MAX((MAX(1,INT(((CROQUIS!$C$97)-CROQUIS!$C$107)/MAX((CROQUIS!$C$141*MAX(1,CEILING((INT(((CROQUIS!$C$97)-CROQUIS!$C$107)/MAX(CROQUIS!$C$141,1))+1)/80,1))),1))+1))-1,0),0,MOD($A33-1,5))+1,CROQUIS!$C$98,CROQUIS!$C$98-CROQUIS!$C$107/2-CROQUIS!$C$144,IF(CROQUIS!$C$106=1,CROQUIS!$C$98+12,CROQUIS!$C$98-2),CROQUIS!$C$98-CROQUIS!$C$107/2-CROQUIS!$C$144,CROQUIS!$C$98)))*CROQUIS!$C$159)+IF(CROQUIS!$C$92="X",0.8,0)),-1000)</f>
        <v>-1000</v>
      </c>
      <c r="BY33">
        <f>IF(AND(CROQUIS!$C$88=1,CROQUIS!$C$91=0,CROQUIS!$C$141&gt;0,OR(CROQUIS!$C$106=1,CROQUIS!$C$146=1)),((CROQUIS!$C$161+(IF(CROQUIS!$C$92="X",CHOOSE(IF(INT(($A33-1)/5)&gt;MAX((MAX(1,INT(((CROQUIS!$C$97)-CROQUIS!$C$107)/MAX((CROQUIS!$C$141*MAX(1,CEILING((INT(((CROQUIS!$C$97)-CROQUIS!$C$107)/MAX(CROQUIS!$C$141,1))+1)/80,1))),1))+1))-1,0),0,MOD($A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ROQUIS!$C$159)+IF(CROQUIS!$C$92="X",0,0.8)),-1000)</f>
        <v>-1000</v>
      </c>
      <c r="BZ33">
        <f>IF(AND(CROQUIS!$C$88=1,CROQUIS!$C$91=1,CROQUIS!$C$133&gt;0),((CROQUIS!$C$160+(IF(CROQUIS!$C$92="X",CHOOSE(IF(INT(($A33-1)/5)&gt;MAX((MAX(1,INT(((CROQUIS!$C$98)-CROQUIS!$C$107)/MAX((CROQUIS!$C$133*MAX(1,CEILING((INT(((CROQUIS!$C$98)-CROQUIS!$C$107)/MAX(CROQUIS!$C$133,1))+1)/80,1))),1))+1))-1,0),0,MOD($A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CA33">
        <f>IF(AND(CROQUIS!$C$88=1,CROQUIS!$C$91=1,CROQUIS!$C$133&gt;0),((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
      <c r="A34" t="n">
        <v>27</v>
      </c>
      <c r="F34">
        <f>IF(AND(CROQUIS!$C$87=1,CROQUIS!$C$91=1),((CROQUIS!$C$160+(IF(CROQUIS!$C$92="X",IF(CROQUIS!$C$94=1,0,CROQUIS!$C$97)+IF(MOD($A34,2)=1,-CROQUIS!$C$107/2,CROQUIS!$C$107/2),(MIN($A34,41)-1)/40*CROQUIS!$C$98))*CROQUIS!$C$159)+IF(CROQUIS!$C$92="X",0,0)),-1000)</f>
        <v>-1000</v>
      </c>
      <c r="G34">
        <f>IF(AND(CROQUIS!$C$87=1,CROQUIS!$C$91=1),((CROQUIS!$C$161+(IF(CROQUIS!$C$92="X",(MIN($A34,41)-1)/40*CROQUIS!$C$98,IF(CROQUIS!$C$94=1,0,CROQUIS!$C$97)+IF(MOD($A34,2)=1,-CROQUIS!$C$107/2,CROQUIS!$C$107/2)))*CROQUIS!$C$159)+IF(CROQUIS!$C$92="X",0,0)),-1000)</f>
        <v>-1000</v>
      </c>
      <c r="V34">
        <f>IF(AND(CROQUIS!$C$88=1,CROQUIS!$C$91=1),((CROQUIS!$C$160+(IF(CROQUIS!$C$92="X",IF(CROQUIS!$C$94=1,0,CROQUIS!$C$97)+IF(MOD($A34,2)=1,-CROQUIS!$C$107/2,CROQUIS!$C$107/2),(MIN($A34,41)-1)/40*CROQUIS!$C$98))*CROQUIS!$C$159)+IF(CROQUIS!$C$92="X",0,0)),-1000)</f>
        <v>-1000</v>
      </c>
      <c r="W34">
        <f>IF(AND(CROQUIS!$C$88=1,CROQUIS!$C$91=1),((CROQUIS!$C$161+(IF(CROQUIS!$C$92="X",(MIN($A34,41)-1)/40*CROQUIS!$C$98,IF(CROQUIS!$C$94=1,0,CROQUIS!$C$97)+IF(MOD($A34,2)=1,-CROQUIS!$C$107/2,CROQUIS!$C$107/2)))*CROQUIS!$C$159)+IF(CROQUIS!$C$92="X",0,0)),-1000)</f>
        <v>-1000</v>
      </c>
      <c r="AJ34">
        <f>IF(AND(CROQUIS!$C$87=1,CROQUIS!$C$162&gt;0,CROQUIS!$C$164&gt;0),(CROQUIS!$C$160+((CROQUIS!$C$163+INT(MIN(INT(($A34-1)/2),MAX((2*CROQUIS!$C$162)-1,0))/2)*CROQUIS!$C$116+MOD(MIN(INT(($A34-1)/2),MAX((2*CROQUIS!$C$162)-1,0)),2)*CROQUIS!$C$114))*CROQUIS!$C$159),-1000)</f>
        <v>81.3375508359693</v>
      </c>
      <c r="AK34">
        <f>IF(AND(CROQUIS!$C$87=1,CROQUIS!$C$162&gt;0,CROQUIS!$C$164&gt;0),(CROQUIS!$C$161+(IF(MOD(MIN(INT(($A34-1)/2),MAX((2*CROQUIS!$C$162)-1,0)),2)=0,IF(IF(INT(($A34-1)/2)&gt;MAX((2*CROQUIS!$C$162)-1,0),1,MOD($A34-1,2))=0,CROQUIS!$C$165,(CROQUIS!$C$165+(CROQUIS!$C$164-1)*CROQUIS!$C$116+CROQUIS!$C$115)),IF(IF(INT(($A34-1)/2)&gt;MAX((2*CROQUIS!$C$162)-1,0),1,MOD($A34-1,2))=0,(CROQUIS!$C$165+(CROQUIS!$C$164-1)*CROQUIS!$C$116+CROQUIS!$C$115),CROQUIS!$C$165)))*CROQUIS!$C$159),-1000)</f>
        <v>20.8088567555355</v>
      </c>
      <c r="AL34">
        <f>IF(AND(CROQUIS!$C$87=1,CROQUIS!$C$164&gt;0,CROQUIS!$C$162&gt;0),(CROQUIS!$C$160+(IF(MOD(MIN(INT(($A34-1)/2),MAX((2*CROQUIS!$C$164)-1,0)),2)=0,IF(IF(INT(($A34-1)/2)&gt;MAX((2*CROQUIS!$C$164)-1,0),1,MOD($A34-1,2))=0,CROQUIS!$C$163,(CROQUIS!$C$163+(CROQUIS!$C$162-1)*CROQUIS!$C$116+CROQUIS!$C$114)),IF(IF(INT(($A34-1)/2)&gt;MAX((2*CROQUIS!$C$164)-1,0),1,MOD($A34-1,2))=0,(CROQUIS!$C$163+(CROQUIS!$C$162-1)*CROQUIS!$C$116+CROQUIS!$C$114),CROQUIS!$C$163)))*CROQUIS!$C$159),-1000)</f>
        <v>22.9552643470402</v>
      </c>
      <c r="AM34">
        <f>IF(AND(CROQUIS!$C$87=1,CROQUIS!$C$164&gt;0,CROQUIS!$C$162&gt;0),(CROQUIS!$C$161+((CROQUIS!$C$165+INT(MIN(INT(($A34-1)/2),MAX((2*CROQUIS!$C$164)-1,0))/2)*CROQUIS!$C$116+MOD(MIN(INT(($A34-1)/2),MAX((2*CROQUIS!$C$164)-1,0)),2)*CROQUIS!$C$115))*CROQUIS!$C$159),-1000)</f>
        <v>79.1911432444645</v>
      </c>
      <c r="AN34">
        <f>IF(AND(CROQUIS!$C$87=1,CROQUIS!$C$162&gt;=2),(CROQUIS!$C$160+((CROQUIS!$C$163+CROQUIS!$C$114+(CROQUIS!$C$116-CROQUIS!$C$114)/2+MIN(INT(($A34-1)/2),MAX((CROQUIS!$C$162-1)-1,0))*CROQUIS!$C$116))*CROQUIS!$C$159),-1000)</f>
        <v>70.1762313601446</v>
      </c>
      <c r="AO34">
        <f>IF(AND(CROQUIS!$C$87=1,CROQUIS!$C$162&gt;=2),(CROQUIS!$C$161+(IF(MOD(MIN(INT(($A34-1)/2),MAX((CROQUIS!$C$162-1)-1,0)),2)=0,IF(IF(INT(($A34-1)/2)&gt;MAX((CROQUIS!$C$162-1)-1,0),1,MOD($A34-1,2))=0,CROQUIS!$C$107/2,(CROQUIS!$C$96-CROQUIS!$C$107/2)),IF(IF(INT(($A34-1)/2)&gt;MAX((CROQUIS!$C$162-1)-1,0),1,MOD($A34-1,2))=0,(CROQUIS!$C$96-CROQUIS!$C$107/2),CROQUIS!$C$107/2)))*CROQUIS!$C$159),-1000)</f>
        <v>16.9453230908269</v>
      </c>
      <c r="AP34">
        <f>IF(AND(CROQUIS!$C$87=1,CROQUIS!$C$164&gt;=2),(CROQUIS!$C$160+(IF(MOD(MIN(INT(($A34-1)/2),MAX((CROQUIS!$C$164-1)-1,0)),2)=0,IF(IF(INT(($A34-1)/2)&gt;MAX((CROQUIS!$C$164-1)-1,0),1,MOD($A34-1,2))=0,CROQUIS!$C$107/2,(CROQUIS!$C$95-CROQUIS!$C$107/2)),IF(IF(INT(($A34-1)/2)&gt;MAX((CROQUIS!$C$164-1)-1,0),1,MOD($A34-1,2))=0,(CROQUIS!$C$95-CROQUIS!$C$107/2),CROQUIS!$C$107/2)))*CROQUIS!$C$159),-1000)</f>
        <v>13.2878445549028</v>
      </c>
      <c r="AQ34">
        <f>IF(AND(CROQUIS!$C$87=1,CROQUIS!$C$164&gt;=2),(CROQUIS!$C$161+((CROQUIS!$C$165+CROQUIS!$C$115+(CROQUIS!$C$116-CROQUIS!$C$115)/2+MIN(INT(($A34-1)/2),MAX((CROQUIS!$C$164-1)-1,0))*CROQUIS!$C$116))*CROQUIS!$C$159),-1000)</f>
        <v>68.0298237686399</v>
      </c>
      <c r="BN34">
        <f>IF(AND(CROQUIS!$C$88=1,CROQUIS!$C$129&gt;0),((CROQUIS!$C$160+(IF(CROQUIS!$C$92="X",CHOOSE(IF(INT(($A34-1)/5)&gt;MAX((MAX(1,INT(((CROQUIS!$C$98)-CROQUIS!$C$107)/MAX((CROQUIS!$C$129*MAX(1,CEILING((INT(((CROQUIS!$C$98)-CROQUIS!$C$107)/MAX(CROQUIS!$C$129,1))+1)/80,1))),1))+1))-1,0),0,MOD($A34-1,5))+1,0,2,CROQUIS!$C$97-2,2,0),((CROQUIS!$C$107/2+(((CROQUIS!$C$98)-CROQUIS!$C$107)-(MAX(1,INT(((CROQUIS!$C$98)-CROQUIS!$C$107)/MAX((CROQUIS!$C$129*MAX(1,CEILING((INT(((CROQUIS!$C$98)-CROQUIS!$C$107)/MAX(CROQUIS!$C$129,1))+1)/80,1))),1))+1)-1)*(CROQUIS!$C$129*MAX(1,CEILING((INT(((CROQUIS!$C$98)-CROQUIS!$C$107)/MAX(CROQUIS!$C$129,1))+1)/80,1))))/2)+MIN(INT(($A34-1)/5),MAX((MAX(1,INT(((CROQUIS!$C$98)-CROQUIS!$C$107)/MAX((CROQUIS!$C$129*MAX(1,CEILING((INT(((CROQUIS!$C$98)-CROQUIS!$C$107)/MAX(CROQUIS!$C$129,1))+1)/80,1))),1))+1))-1,0))*(CROQUIS!$C$129*MAX(1,CEILING((INT(((CROQUIS!$C$98)-CROQUIS!$C$107)/MAX(CROQUIS!$C$129,1))+1)/80,1))))))*CROQUIS!$C$159)+IF(CROQUIS!$C$92="X",0,0)),-1000)</f>
        <v>-1000</v>
      </c>
      <c r="BO34">
        <f>IF(AND(CROQUIS!$C$88=1,CROQUIS!$C$129&gt;0),((CROQUIS!$C$161+(IF(CROQUIS!$C$92="X",((CROQUIS!$C$107/2+(((CROQUIS!$C$98)-CROQUIS!$C$107)-(MAX(1,INT(((CROQUIS!$C$98)-CROQUIS!$C$107)/MAX((CROQUIS!$C$129*MAX(1,CEILING((INT(((CROQUIS!$C$98)-CROQUIS!$C$107)/MAX(CROQUIS!$C$129,1))+1)/80,1))),1))+1)-1)*(CROQUIS!$C$129*MAX(1,CEILING((INT(((CROQUIS!$C$98)-CROQUIS!$C$107)/MAX(CROQUIS!$C$129,1))+1)/80,1))))/2)+MIN(INT(($A34-1)/5),MAX((MAX(1,INT(((CROQUIS!$C$98)-CROQUIS!$C$107)/MAX((CROQUIS!$C$129*MAX(1,CEILING((INT(((CROQUIS!$C$98)-CROQUIS!$C$107)/MAX(CROQUIS!$C$129,1))+1)/80,1))),1))+1))-1,0))*(CROQUIS!$C$129*MAX(1,CEILING((INT(((CROQUIS!$C$98)-CROQUIS!$C$107)/MAX(CROQUIS!$C$129,1))+1)/80,1)))),CHOOSE(IF(INT(($A34-1)/5)&gt;MAX((MAX(1,INT(((CROQUIS!$C$98)-CROQUIS!$C$107)/MAX((CROQUIS!$C$129*MAX(1,CEILING((INT(((CROQUIS!$C$98)-CROQUIS!$C$107)/MAX(CROQUIS!$C$129,1))+1)/80,1))),1))+1))-1,0),0,MOD($A34-1,5))+1,0,2,CROQUIS!$C$97-2,2,0)))*CROQUIS!$C$159)+IF(CROQUIS!$C$92="X",0,0)),-1000)</f>
        <v>-1000</v>
      </c>
      <c r="BP34">
        <f>IF(AND(CROQUIS!$C$88=1,CROQUIS!$C$137&gt;0),((CROQUIS!$C$160+(IF(CROQUIS!$C$92="X",((CROQUIS!$C$107/2+(((CROQUIS!$C$97)-CROQUIS!$C$107)-(MAX(1,INT(((CROQUIS!$C$97)-CROQUIS!$C$107)/MAX((CROQUIS!$C$137*MAX(1,CEILING((INT(((CROQUIS!$C$97)-CROQUIS!$C$107)/MAX(CROQUIS!$C$137,1))+1)/80,1))),1))+1)-1)*(CROQUIS!$C$137*MAX(1,CEILING((INT(((CROQUIS!$C$97)-CROQUIS!$C$107)/MAX(CROQUIS!$C$137,1))+1)/80,1))))/2)+MIN(INT(($A34-1)/5),MAX((MAX(1,INT(((CROQUIS!$C$97)-CROQUIS!$C$107)/MAX((CROQUIS!$C$137*MAX(1,CEILING((INT(((CROQUIS!$C$97)-CROQUIS!$C$107)/MAX(CROQUIS!$C$137,1))+1)/80,1))),1))+1))-1,0))*(CROQUIS!$C$137*MAX(1,CEILING((INT(((CROQUIS!$C$97)-CROQUIS!$C$107)/MAX(CROQUIS!$C$137,1))+1)/80,1)))),CHOOSE(IF(INT(($A34-1)/5)&gt;MAX((MAX(1,INT(((CROQUIS!$C$97)-CROQUIS!$C$107)/MAX((CROQUIS!$C$137*MAX(1,CEILING((INT(((CROQUIS!$C$97)-CROQUIS!$C$107)/MAX(CROQUIS!$C$137,1))+1)/80,1))),1))+1))-1,0),0,MOD($A34-1,5))+1,0,2,CROQUIS!$C$98-2,2,0)))*CROQUIS!$C$159)+IF(CROQUIS!$C$92="X",0,0)),-1000)</f>
        <v>-1000</v>
      </c>
      <c r="BQ34">
        <f>IF(AND(CROQUIS!$C$88=1,CROQUIS!$C$137&gt;0),((CROQUIS!$C$161+(IF(CROQUIS!$C$92="X",CHOOSE(IF(INT(($A34-1)/5)&gt;MAX((MAX(1,INT(((CROQUIS!$C$97)-CROQUIS!$C$107)/MAX((CROQUIS!$C$137*MAX(1,CEILING((INT(((CROQUIS!$C$97)-CROQUIS!$C$107)/MAX(CROQUIS!$C$137,1))+1)/80,1))),1))+1))-1,0),0,MOD($A34-1,5))+1,0,2,CROQUIS!$C$98-2,2,0),((CROQUIS!$C$107/2+(((CROQUIS!$C$97)-CROQUIS!$C$107)-(MAX(1,INT(((CROQUIS!$C$97)-CROQUIS!$C$107)/MAX((CROQUIS!$C$137*MAX(1,CEILING((INT(((CROQUIS!$C$97)-CROQUIS!$C$107)/MAX(CROQUIS!$C$137,1))+1)/80,1))),1))+1)-1)*(CROQUIS!$C$137*MAX(1,CEILING((INT(((CROQUIS!$C$97)-CROQUIS!$C$107)/MAX(CROQUIS!$C$137,1))+1)/80,1))))/2)+MIN(INT(($A34-1)/5),MAX((MAX(1,INT(((CROQUIS!$C$97)-CROQUIS!$C$107)/MAX((CROQUIS!$C$137*MAX(1,CEILING((INT(((CROQUIS!$C$97)-CROQUIS!$C$107)/MAX(CROQUIS!$C$137,1))+1)/80,1))),1))+1))-1,0))*(CROQUIS!$C$137*MAX(1,CEILING((INT(((CROQUIS!$C$97)-CROQUIS!$C$107)/MAX(CROQUIS!$C$137,1))+1)/80,1))))))*CROQUIS!$C$159)+IF(CROQUIS!$C$92="X",0,0)),-1000)</f>
        <v>-1000</v>
      </c>
      <c r="BR34">
        <f>IF(AND(CROQUIS!$C$88=1,CROQUIS!$C$91=0,CROQUIS!$C$133&gt;0,OR(CROQUIS!$C$103=1,CROQUIS!$C$145=1)),((CROQUIS!$C$160+(IF(CROQUIS!$C$92="X",CHOOSE(IF(INT(($A34-1)/5)&gt;MAX((MAX(1,INT(((CROQUIS!$C$98)-CROQUIS!$C$107)/MAX((CROQUIS!$C$133*MAX(1,CEILING((INT(((CROQUIS!$C$98)-CROQUIS!$C$107)/MAX(CROQUIS!$C$133,1))+1)/80,1))),1))+1))-1,0),0,MOD($A34-1,5))+1,0,IF(CROQUIS!$C$103=1,-12,2),CROQUIS!$C$107/2+CROQUIS!$C$143,IF(CROQUIS!$C$103=1,-12,2),0),((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BS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+1,0,IF(CROQUIS!$C$103=1,-12,2),CROQUIS!$C$107/2+CROQUIS!$C$143,IF(CROQUIS!$C$103=1,-12,2),0)))*CROQUIS!$C$159)+IF(CROQUIS!$C$92="X",0.8,0)),-1000)</f>
        <v>-1000</v>
      </c>
      <c r="BT34">
        <f>IF(AND(CROQUIS!$C$88=1,CROQUIS!$C$91=0,CROQUIS!$C$133&gt;0,OR(CROQUIS!$C$104=1,CROQUIS!$C$145=1)),((CROQUIS!$C$160+(IF(CROQUIS!$C$92="X",CHOOSE(IF(INT(($A34-1)/5)&gt;MAX((MAX(1,INT(((CROQUIS!$C$98)-CROQUIS!$C$107)/MAX((CROQUIS!$C$133*MAX(1,CEILING((INT(((CROQUIS!$C$98)-CROQUIS!$C$107)/MAX(CROQUIS!$C$133,1))+1)/80,1))),1))+1))-1,0),0,MOD($A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BU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CROQUIS!$C$97,CROQUIS!$C$97-CROQUIS!$C$107/2-CROQUIS!$C$143,IF(CROQUIS!$C$104=1,CROQUIS!$C$97+12,CROQUIS!$C$97-2),CROQUIS!$C$97-CROQUIS!$C$107/2-CROQUIS!$C$143,CROQUIS!$C$97)))*CROQUIS!$C$159)+IF(CROQUIS!$C$92="X",0.8,0)),-1000)</f>
        <v>-1000</v>
      </c>
      <c r="BV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HOOSE(IF(INT(($A34-1)/5)&gt;MAX((MAX(1,INT(((CROQUIS!$C$97)-CROQUIS!$C$107)/MAX((CROQUIS!$C$141*MAX(1,CEILING((INT(((CROQUIS!$C$97)-CROQUIS!$C$107)/MAX(CROQUIS!$C$141,1))+1)/80,1))),1))+1))-1,0),0,MOD($A34-1,5))+1,0,IF(CROQUIS!$C$105=1,-12,2),CROQUIS!$C$107/2+CROQUIS!$C$144,IF(CROQUIS!$C$105=1,-12,2),0)))*CROQUIS!$C$159)+IF(CROQUIS!$C$92="X",0.8,0)),-1000)</f>
        <v>-1000</v>
      </c>
      <c r="BW34">
        <f>IF(AND(CROQUIS!$C$88=1,CROQUIS!$C$91=0,CROQUIS!$C$141&gt;0,OR(CROQUIS!$C$105=1,CROQUIS!$C$146=1)),((CROQUIS!$C$161+(IF(CROQUIS!$C$92="X",CHOOSE(IF(INT(($A34-1)/5)&gt;MAX((MAX(1,INT(((CROQUIS!$C$97)-CROQUIS!$C$107)/MAX((CROQUIS!$C$141*MAX(1,CEILING((INT(((CROQUIS!$C$97)-CROQUIS!$C$107)/MAX(CROQUIS!$C$141,1))+1)/80,1))),1))+1))-1,0),0,MOD($A34-1,5))+1,0,IF(CROQUIS!$C$105=1,-12,2),CROQUIS!$C$107/2+CROQUIS!$C$144,IF(CROQUIS!$C$105=1,-12,2),0),((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ROQUIS!$C$159)+IF(CROQUIS!$C$92="X",0,0.8)),-1000)</f>
        <v>-1000</v>
      </c>
      <c r="BX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HOOSE(IF(INT(($A34-1)/5)&gt;MAX((MAX(1,INT(((CROQUIS!$C$97)-CROQUIS!$C$107)/MAX((CROQUIS!$C$141*MAX(1,CEILING((INT(((CROQUIS!$C$97)-CROQUIS!$C$107)/MAX(CROQUIS!$C$141,1))+1)/80,1))),1))+1))-1,0),0,MOD($A34-1,5))+1,CROQUIS!$C$98,CROQUIS!$C$98-CROQUIS!$C$107/2-CROQUIS!$C$144,IF(CROQUIS!$C$106=1,CROQUIS!$C$98+12,CROQUIS!$C$98-2),CROQUIS!$C$98-CROQUIS!$C$107/2-CROQUIS!$C$144,CROQUIS!$C$98)))*CROQUIS!$C$159)+IF(CROQUIS!$C$92="X",0.8,0)),-1000)</f>
        <v>-1000</v>
      </c>
      <c r="BY34">
        <f>IF(AND(CROQUIS!$C$88=1,CROQUIS!$C$91=0,CROQUIS!$C$141&gt;0,OR(CROQUIS!$C$106=1,CROQUIS!$C$146=1)),((CROQUIS!$C$161+(IF(CROQUIS!$C$92="X",CHOOSE(IF(INT(($A34-1)/5)&gt;MAX((MAX(1,INT(((CROQUIS!$C$97)-CROQUIS!$C$107)/MAX((CROQUIS!$C$141*MAX(1,CEILING((INT(((CROQUIS!$C$97)-CROQUIS!$C$107)/MAX(CROQUIS!$C$141,1))+1)/80,1))),1))+1))-1,0),0,MOD($A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ROQUIS!$C$159)+IF(CROQUIS!$C$92="X",0,0.8)),-1000)</f>
        <v>-1000</v>
      </c>
      <c r="BZ34">
        <f>IF(AND(CROQUIS!$C$88=1,CROQUIS!$C$91=1,CROQUIS!$C$133&gt;0),((CROQUIS!$C$160+(IF(CROQUIS!$C$92="X",CHOOSE(IF(INT(($A34-1)/5)&gt;MAX((MAX(1,INT(((CROQUIS!$C$98)-CROQUIS!$C$107)/MAX((CROQUIS!$C$133*MAX(1,CEILING((INT(((CROQUIS!$C$98)-CROQUIS!$C$107)/MAX(CROQUIS!$C$133,1))+1)/80,1))),1))+1))-1,0),0,MOD($A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CA34">
        <f>IF(AND(CROQUIS!$C$88=1,CROQUIS!$C$91=1,CROQUIS!$C$133&gt;0),((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
      <c r="A35" t="n">
        <v>28</v>
      </c>
      <c r="F35">
        <f>IF(AND(CROQUIS!$C$87=1,CROQUIS!$C$91=1),((CROQUIS!$C$160+(IF(CROQUIS!$C$92="X",IF(CROQUIS!$C$94=1,0,CROQUIS!$C$97)+IF(MOD($A35,2)=1,-CROQUIS!$C$107/2,CROQUIS!$C$107/2),(MIN($A35,41)-1)/40*CROQUIS!$C$98))*CROQUIS!$C$159)+IF(CROQUIS!$C$92="X",0,0)),-1000)</f>
        <v>-1000</v>
      </c>
      <c r="G35">
        <f>IF(AND(CROQUIS!$C$87=1,CROQUIS!$C$91=1),((CROQUIS!$C$161+(IF(CROQUIS!$C$92="X",(MIN($A35,41)-1)/40*CROQUIS!$C$98,IF(CROQUIS!$C$94=1,0,CROQUIS!$C$97)+IF(MOD($A35,2)=1,-CROQUIS!$C$107/2,CROQUIS!$C$107/2)))*CROQUIS!$C$159)+IF(CROQUIS!$C$92="X",0,0)),-1000)</f>
        <v>-1000</v>
      </c>
      <c r="V35">
        <f>IF(AND(CROQUIS!$C$88=1,CROQUIS!$C$91=1),((CROQUIS!$C$160+(IF(CROQUIS!$C$92="X",IF(CROQUIS!$C$94=1,0,CROQUIS!$C$97)+IF(MOD($A35,2)=1,-CROQUIS!$C$107/2,CROQUIS!$C$107/2),(MIN($A35,41)-1)/40*CROQUIS!$C$98))*CROQUIS!$C$159)+IF(CROQUIS!$C$92="X",0,0)),-1000)</f>
        <v>-1000</v>
      </c>
      <c r="W35">
        <f>IF(AND(CROQUIS!$C$88=1,CROQUIS!$C$91=1),((CROQUIS!$C$161+(IF(CROQUIS!$C$92="X",(MIN($A35,41)-1)/40*CROQUIS!$C$98,IF(CROQUIS!$C$94=1,0,CROQUIS!$C$97)+IF(MOD($A35,2)=1,-CROQUIS!$C$107/2,CROQUIS!$C$107/2)))*CROQUIS!$C$159)+IF(CROQUIS!$C$92="X",0,0)),-1000)</f>
        <v>-1000</v>
      </c>
      <c r="AJ35">
        <f>IF(AND(CROQUIS!$C$87=1,CROQUIS!$C$162&gt;0,CROQUIS!$C$164&gt;0),(CROQUIS!$C$160+((CROQUIS!$C$163+INT(MIN(INT(($A35-1)/2),MAX((2*CROQUIS!$C$162)-1,0))/2)*CROQUIS!$C$116+MOD(MIN(INT(($A35-1)/2),MAX((2*CROQUIS!$C$162)-1,0)),2)*CROQUIS!$C$114))*CROQUIS!$C$159),-1000)</f>
        <v>81.3375508359693</v>
      </c>
      <c r="AK35">
        <f>IF(AND(CROQUIS!$C$87=1,CROQUIS!$C$162&gt;0,CROQUIS!$C$164&gt;0),(CROQUIS!$C$161+(IF(MOD(MIN(INT(($A35-1)/2),MAX((2*CROQUIS!$C$162)-1,0)),2)=0,IF(IF(INT(($A35-1)/2)&gt;MAX((2*CROQUIS!$C$162)-1,0),1,MOD($A35-1,2))=0,CROQUIS!$C$165,(CROQUIS!$C$165+(CROQUIS!$C$164-1)*CROQUIS!$C$116+CROQUIS!$C$115)),IF(IF(INT(($A35-1)/2)&gt;MAX((2*CROQUIS!$C$162)-1,0),1,MOD($A35-1,2))=0,(CROQUIS!$C$165+(CROQUIS!$C$164-1)*CROQUIS!$C$116+CROQUIS!$C$115),CROQUIS!$C$165)))*CROQUIS!$C$159),-1000)</f>
        <v>20.8088567555355</v>
      </c>
      <c r="AL35">
        <f>IF(AND(CROQUIS!$C$87=1,CROQUIS!$C$164&gt;0,CROQUIS!$C$162&gt;0),(CROQUIS!$C$160+(IF(MOD(MIN(INT(($A35-1)/2),MAX((2*CROQUIS!$C$164)-1,0)),2)=0,IF(IF(INT(($A35-1)/2)&gt;MAX((2*CROQUIS!$C$164)-1,0),1,MOD($A35-1,2))=0,CROQUIS!$C$163,(CROQUIS!$C$163+(CROQUIS!$C$162-1)*CROQUIS!$C$116+CROQUIS!$C$114)),IF(IF(INT(($A35-1)/2)&gt;MAX((2*CROQUIS!$C$164)-1,0),1,MOD($A35-1,2))=0,(CROQUIS!$C$163+(CROQUIS!$C$162-1)*CROQUIS!$C$116+CROQUIS!$C$114),CROQUIS!$C$163)))*CROQUIS!$C$159),-1000)</f>
        <v>22.9552643470402</v>
      </c>
      <c r="AM35">
        <f>IF(AND(CROQUIS!$C$87=1,CROQUIS!$C$164&gt;0,CROQUIS!$C$162&gt;0),(CROQUIS!$C$161+((CROQUIS!$C$165+INT(MIN(INT(($A35-1)/2),MAX((2*CROQUIS!$C$164)-1,0))/2)*CROQUIS!$C$116+MOD(MIN(INT(($A35-1)/2),MAX((2*CROQUIS!$C$164)-1,0)),2)*CROQUIS!$C$115))*CROQUIS!$C$159),-1000)</f>
        <v>79.1911432444645</v>
      </c>
      <c r="AN35">
        <f>IF(AND(CROQUIS!$C$87=1,CROQUIS!$C$162&gt;=2),(CROQUIS!$C$160+((CROQUIS!$C$163+CROQUIS!$C$114+(CROQUIS!$C$116-CROQUIS!$C$114)/2+MIN(INT(($A35-1)/2),MAX((CROQUIS!$C$162-1)-1,0))*CROQUIS!$C$116))*CROQUIS!$C$159),-1000)</f>
        <v>70.1762313601446</v>
      </c>
      <c r="AO35">
        <f>IF(AND(CROQUIS!$C$87=1,CROQUIS!$C$162&gt;=2),(CROQUIS!$C$161+(IF(MOD(MIN(INT(($A35-1)/2),MAX((CROQUIS!$C$162-1)-1,0)),2)=0,IF(IF(INT(($A35-1)/2)&gt;MAX((CROQUIS!$C$162-1)-1,0),1,MOD($A35-1,2))=0,CROQUIS!$C$107/2,(CROQUIS!$C$96-CROQUIS!$C$107/2)),IF(IF(INT(($A35-1)/2)&gt;MAX((CROQUIS!$C$162-1)-1,0),1,MOD($A35-1,2))=0,(CROQUIS!$C$96-CROQUIS!$C$107/2),CROQUIS!$C$107/2)))*CROQUIS!$C$159),-1000)</f>
        <v>16.9453230908269</v>
      </c>
      <c r="AP35">
        <f>IF(AND(CROQUIS!$C$87=1,CROQUIS!$C$164&gt;=2),(CROQUIS!$C$160+(IF(MOD(MIN(INT(($A35-1)/2),MAX((CROQUIS!$C$164-1)-1,0)),2)=0,IF(IF(INT(($A35-1)/2)&gt;MAX((CROQUIS!$C$164-1)-1,0),1,MOD($A35-1,2))=0,CROQUIS!$C$107/2,(CROQUIS!$C$95-CROQUIS!$C$107/2)),IF(IF(INT(($A35-1)/2)&gt;MAX((CROQUIS!$C$164-1)-1,0),1,MOD($A35-1,2))=0,(CROQUIS!$C$95-CROQUIS!$C$107/2),CROQUIS!$C$107/2)))*CROQUIS!$C$159),-1000)</f>
        <v>13.2878445549028</v>
      </c>
      <c r="AQ35">
        <f>IF(AND(CROQUIS!$C$87=1,CROQUIS!$C$164&gt;=2),(CROQUIS!$C$161+((CROQUIS!$C$165+CROQUIS!$C$115+(CROQUIS!$C$116-CROQUIS!$C$115)/2+MIN(INT(($A35-1)/2),MAX((CROQUIS!$C$164-1)-1,0))*CROQUIS!$C$116))*CROQUIS!$C$159),-1000)</f>
        <v>68.0298237686399</v>
      </c>
      <c r="BN35">
        <f>IF(AND(CROQUIS!$C$88=1,CROQUIS!$C$129&gt;0),((CROQUIS!$C$160+(IF(CROQUIS!$C$92="X",CHOOSE(IF(INT(($A35-1)/5)&gt;MAX((MAX(1,INT(((CROQUIS!$C$98)-CROQUIS!$C$107)/MAX((CROQUIS!$C$129*MAX(1,CEILING((INT(((CROQUIS!$C$98)-CROQUIS!$C$107)/MAX(CROQUIS!$C$129,1))+1)/80,1))),1))+1))-1,0),0,MOD($A35-1,5))+1,0,2,CROQUIS!$C$97-2,2,0),((CROQUIS!$C$107/2+(((CROQUIS!$C$98)-CROQUIS!$C$107)-(MAX(1,INT(((CROQUIS!$C$98)-CROQUIS!$C$107)/MAX((CROQUIS!$C$129*MAX(1,CEILING((INT(((CROQUIS!$C$98)-CROQUIS!$C$107)/MAX(CROQUIS!$C$129,1))+1)/80,1))),1))+1)-1)*(CROQUIS!$C$129*MAX(1,CEILING((INT(((CROQUIS!$C$98)-CROQUIS!$C$107)/MAX(CROQUIS!$C$129,1))+1)/80,1))))/2)+MIN(INT(($A35-1)/5),MAX((MAX(1,INT(((CROQUIS!$C$98)-CROQUIS!$C$107)/MAX((CROQUIS!$C$129*MAX(1,CEILING((INT(((CROQUIS!$C$98)-CROQUIS!$C$107)/MAX(CROQUIS!$C$129,1))+1)/80,1))),1))+1))-1,0))*(CROQUIS!$C$129*MAX(1,CEILING((INT(((CROQUIS!$C$98)-CROQUIS!$C$107)/MAX(CROQUIS!$C$129,1))+1)/80,1))))))*CROQUIS!$C$159)+IF(CROQUIS!$C$92="X",0,0)),-1000)</f>
        <v>-1000</v>
      </c>
      <c r="BO35">
        <f>IF(AND(CROQUIS!$C$88=1,CROQUIS!$C$129&gt;0),((CROQUIS!$C$161+(IF(CROQUIS!$C$92="X",((CROQUIS!$C$107/2+(((CROQUIS!$C$98)-CROQUIS!$C$107)-(MAX(1,INT(((CROQUIS!$C$98)-CROQUIS!$C$107)/MAX((CROQUIS!$C$129*MAX(1,CEILING((INT(((CROQUIS!$C$98)-CROQUIS!$C$107)/MAX(CROQUIS!$C$129,1))+1)/80,1))),1))+1)-1)*(CROQUIS!$C$129*MAX(1,CEILING((INT(((CROQUIS!$C$98)-CROQUIS!$C$107)/MAX(CROQUIS!$C$129,1))+1)/80,1))))/2)+MIN(INT(($A35-1)/5),MAX((MAX(1,INT(((CROQUIS!$C$98)-CROQUIS!$C$107)/MAX((CROQUIS!$C$129*MAX(1,CEILING((INT(((CROQUIS!$C$98)-CROQUIS!$C$107)/MAX(CROQUIS!$C$129,1))+1)/80,1))),1))+1))-1,0))*(CROQUIS!$C$129*MAX(1,CEILING((INT(((CROQUIS!$C$98)-CROQUIS!$C$107)/MAX(CROQUIS!$C$129,1))+1)/80,1)))),CHOOSE(IF(INT(($A35-1)/5)&gt;MAX((MAX(1,INT(((CROQUIS!$C$98)-CROQUIS!$C$107)/MAX((CROQUIS!$C$129*MAX(1,CEILING((INT(((CROQUIS!$C$98)-CROQUIS!$C$107)/MAX(CROQUIS!$C$129,1))+1)/80,1))),1))+1))-1,0),0,MOD($A35-1,5))+1,0,2,CROQUIS!$C$97-2,2,0)))*CROQUIS!$C$159)+IF(CROQUIS!$C$92="X",0,0)),-1000)</f>
        <v>-1000</v>
      </c>
      <c r="BP35">
        <f>IF(AND(CROQUIS!$C$88=1,CROQUIS!$C$137&gt;0),((CROQUIS!$C$160+(IF(CROQUIS!$C$92="X",((CROQUIS!$C$107/2+(((CROQUIS!$C$97)-CROQUIS!$C$107)-(MAX(1,INT(((CROQUIS!$C$97)-CROQUIS!$C$107)/MAX((CROQUIS!$C$137*MAX(1,CEILING((INT(((CROQUIS!$C$97)-CROQUIS!$C$107)/MAX(CROQUIS!$C$137,1))+1)/80,1))),1))+1)-1)*(CROQUIS!$C$137*MAX(1,CEILING((INT(((CROQUIS!$C$97)-CROQUIS!$C$107)/MAX(CROQUIS!$C$137,1))+1)/80,1))))/2)+MIN(INT(($A35-1)/5),MAX((MAX(1,INT(((CROQUIS!$C$97)-CROQUIS!$C$107)/MAX((CROQUIS!$C$137*MAX(1,CEILING((INT(((CROQUIS!$C$97)-CROQUIS!$C$107)/MAX(CROQUIS!$C$137,1))+1)/80,1))),1))+1))-1,0))*(CROQUIS!$C$137*MAX(1,CEILING((INT(((CROQUIS!$C$97)-CROQUIS!$C$107)/MAX(CROQUIS!$C$137,1))+1)/80,1)))),CHOOSE(IF(INT(($A35-1)/5)&gt;MAX((MAX(1,INT(((CROQUIS!$C$97)-CROQUIS!$C$107)/MAX((CROQUIS!$C$137*MAX(1,CEILING((INT(((CROQUIS!$C$97)-CROQUIS!$C$107)/MAX(CROQUIS!$C$137,1))+1)/80,1))),1))+1))-1,0),0,MOD($A35-1,5))+1,0,2,CROQUIS!$C$98-2,2,0)))*CROQUIS!$C$159)+IF(CROQUIS!$C$92="X",0,0)),-1000)</f>
        <v>-1000</v>
      </c>
      <c r="BQ35">
        <f>IF(AND(CROQUIS!$C$88=1,CROQUIS!$C$137&gt;0),((CROQUIS!$C$161+(IF(CROQUIS!$C$92="X",CHOOSE(IF(INT(($A35-1)/5)&gt;MAX((MAX(1,INT(((CROQUIS!$C$97)-CROQUIS!$C$107)/MAX((CROQUIS!$C$137*MAX(1,CEILING((INT(((CROQUIS!$C$97)-CROQUIS!$C$107)/MAX(CROQUIS!$C$137,1))+1)/80,1))),1))+1))-1,0),0,MOD($A35-1,5))+1,0,2,CROQUIS!$C$98-2,2,0),((CROQUIS!$C$107/2+(((CROQUIS!$C$97)-CROQUIS!$C$107)-(MAX(1,INT(((CROQUIS!$C$97)-CROQUIS!$C$107)/MAX((CROQUIS!$C$137*MAX(1,CEILING((INT(((CROQUIS!$C$97)-CROQUIS!$C$107)/MAX(CROQUIS!$C$137,1))+1)/80,1))),1))+1)-1)*(CROQUIS!$C$137*MAX(1,CEILING((INT(((CROQUIS!$C$97)-CROQUIS!$C$107)/MAX(CROQUIS!$C$137,1))+1)/80,1))))/2)+MIN(INT(($A35-1)/5),MAX((MAX(1,INT(((CROQUIS!$C$97)-CROQUIS!$C$107)/MAX((CROQUIS!$C$137*MAX(1,CEILING((INT(((CROQUIS!$C$97)-CROQUIS!$C$107)/MAX(CROQUIS!$C$137,1))+1)/80,1))),1))+1))-1,0))*(CROQUIS!$C$137*MAX(1,CEILING((INT(((CROQUIS!$C$97)-CROQUIS!$C$107)/MAX(CROQUIS!$C$137,1))+1)/80,1))))))*CROQUIS!$C$159)+IF(CROQUIS!$C$92="X",0,0)),-1000)</f>
        <v>-1000</v>
      </c>
      <c r="BR35">
        <f>IF(AND(CROQUIS!$C$88=1,CROQUIS!$C$91=0,CROQUIS!$C$133&gt;0,OR(CROQUIS!$C$103=1,CROQUIS!$C$145=1)),((CROQUIS!$C$160+(IF(CROQUIS!$C$92="X",CHOOSE(IF(INT(($A35-1)/5)&gt;MAX((MAX(1,INT(((CROQUIS!$C$98)-CROQUIS!$C$107)/MAX((CROQUIS!$C$133*MAX(1,CEILING((INT(((CROQUIS!$C$98)-CROQUIS!$C$107)/MAX(CROQUIS!$C$133,1))+1)/80,1))),1))+1))-1,0),0,MOD($A35-1,5))+1,0,IF(CROQUIS!$C$103=1,-12,2),CROQUIS!$C$107/2+CROQUIS!$C$143,IF(CROQUIS!$C$103=1,-12,2),0),((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BS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+1,0,IF(CROQUIS!$C$103=1,-12,2),CROQUIS!$C$107/2+CROQUIS!$C$143,IF(CROQUIS!$C$103=1,-12,2),0)))*CROQUIS!$C$159)+IF(CROQUIS!$C$92="X",0.8,0)),-1000)</f>
        <v>-1000</v>
      </c>
      <c r="BT35">
        <f>IF(AND(CROQUIS!$C$88=1,CROQUIS!$C$91=0,CROQUIS!$C$133&gt;0,OR(CROQUIS!$C$104=1,CROQUIS!$C$145=1)),((CROQUIS!$C$160+(IF(CROQUIS!$C$92="X",CHOOSE(IF(INT(($A35-1)/5)&gt;MAX((MAX(1,INT(((CROQUIS!$C$98)-CROQUIS!$C$107)/MAX((CROQUIS!$C$133*MAX(1,CEILING((INT(((CROQUIS!$C$98)-CROQUIS!$C$107)/MAX(CROQUIS!$C$133,1))+1)/80,1))),1))+1))-1,0),0,MOD($A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BU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CROQUIS!$C$97,CROQUIS!$C$97-CROQUIS!$C$107/2-CROQUIS!$C$143,IF(CROQUIS!$C$104=1,CROQUIS!$C$97+12,CROQUIS!$C$97-2),CROQUIS!$C$97-CROQUIS!$C$107/2-CROQUIS!$C$143,CROQUIS!$C$97)))*CROQUIS!$C$159)+IF(CROQUIS!$C$92="X",0.8,0)),-1000)</f>
        <v>-1000</v>
      </c>
      <c r="BV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HOOSE(IF(INT(($A35-1)/5)&gt;MAX((MAX(1,INT(((CROQUIS!$C$97)-CROQUIS!$C$107)/MAX((CROQUIS!$C$141*MAX(1,CEILING((INT(((CROQUIS!$C$97)-CROQUIS!$C$107)/MAX(CROQUIS!$C$141,1))+1)/80,1))),1))+1))-1,0),0,MOD($A35-1,5))+1,0,IF(CROQUIS!$C$105=1,-12,2),CROQUIS!$C$107/2+CROQUIS!$C$144,IF(CROQUIS!$C$105=1,-12,2),0)))*CROQUIS!$C$159)+IF(CROQUIS!$C$92="X",0.8,0)),-1000)</f>
        <v>-1000</v>
      </c>
      <c r="BW35">
        <f>IF(AND(CROQUIS!$C$88=1,CROQUIS!$C$91=0,CROQUIS!$C$141&gt;0,OR(CROQUIS!$C$105=1,CROQUIS!$C$146=1)),((CROQUIS!$C$161+(IF(CROQUIS!$C$92="X",CHOOSE(IF(INT(($A35-1)/5)&gt;MAX((MAX(1,INT(((CROQUIS!$C$97)-CROQUIS!$C$107)/MAX((CROQUIS!$C$141*MAX(1,CEILING((INT(((CROQUIS!$C$97)-CROQUIS!$C$107)/MAX(CROQUIS!$C$141,1))+1)/80,1))),1))+1))-1,0),0,MOD($A35-1,5))+1,0,IF(CROQUIS!$C$105=1,-12,2),CROQUIS!$C$107/2+CROQUIS!$C$144,IF(CROQUIS!$C$105=1,-12,2),0),((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ROQUIS!$C$159)+IF(CROQUIS!$C$92="X",0,0.8)),-1000)</f>
        <v>-1000</v>
      </c>
      <c r="BX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HOOSE(IF(INT(($A35-1)/5)&gt;MAX((MAX(1,INT(((CROQUIS!$C$97)-CROQUIS!$C$107)/MAX((CROQUIS!$C$141*MAX(1,CEILING((INT(((CROQUIS!$C$97)-CROQUIS!$C$107)/MAX(CROQUIS!$C$141,1))+1)/80,1))),1))+1))-1,0),0,MOD($A35-1,5))+1,CROQUIS!$C$98,CROQUIS!$C$98-CROQUIS!$C$107/2-CROQUIS!$C$144,IF(CROQUIS!$C$106=1,CROQUIS!$C$98+12,CROQUIS!$C$98-2),CROQUIS!$C$98-CROQUIS!$C$107/2-CROQUIS!$C$144,CROQUIS!$C$98)))*CROQUIS!$C$159)+IF(CROQUIS!$C$92="X",0.8,0)),-1000)</f>
        <v>-1000</v>
      </c>
      <c r="BY35">
        <f>IF(AND(CROQUIS!$C$88=1,CROQUIS!$C$91=0,CROQUIS!$C$141&gt;0,OR(CROQUIS!$C$106=1,CROQUIS!$C$146=1)),((CROQUIS!$C$161+(IF(CROQUIS!$C$92="X",CHOOSE(IF(INT(($A35-1)/5)&gt;MAX((MAX(1,INT(((CROQUIS!$C$97)-CROQUIS!$C$107)/MAX((CROQUIS!$C$141*MAX(1,CEILING((INT(((CROQUIS!$C$97)-CROQUIS!$C$107)/MAX(CROQUIS!$C$141,1))+1)/80,1))),1))+1))-1,0),0,MOD($A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ROQUIS!$C$159)+IF(CROQUIS!$C$92="X",0,0.8)),-1000)</f>
        <v>-1000</v>
      </c>
      <c r="BZ35">
        <f>IF(AND(CROQUIS!$C$88=1,CROQUIS!$C$91=1,CROQUIS!$C$133&gt;0),((CROQUIS!$C$160+(IF(CROQUIS!$C$92="X",CHOOSE(IF(INT(($A35-1)/5)&gt;MAX((MAX(1,INT(((CROQUIS!$C$98)-CROQUIS!$C$107)/MAX((CROQUIS!$C$133*MAX(1,CEILING((INT(((CROQUIS!$C$98)-CROQUIS!$C$107)/MAX(CROQUIS!$C$133,1))+1)/80,1))),1))+1))-1,0),0,MOD($A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CA35">
        <f>IF(AND(CROQUIS!$C$88=1,CROQUIS!$C$91=1,CROQUIS!$C$133&gt;0),((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
      <c r="A36" t="n">
        <v>29</v>
      </c>
      <c r="F36">
        <f>IF(AND(CROQUIS!$C$87=1,CROQUIS!$C$91=1),((CROQUIS!$C$160+(IF(CROQUIS!$C$92="X",IF(CROQUIS!$C$94=1,0,CROQUIS!$C$97)+IF(MOD($A36,2)=1,-CROQUIS!$C$107/2,CROQUIS!$C$107/2),(MIN($A36,41)-1)/40*CROQUIS!$C$98))*CROQUIS!$C$159)+IF(CROQUIS!$C$92="X",0,0)),-1000)</f>
        <v>-1000</v>
      </c>
      <c r="G36">
        <f>IF(AND(CROQUIS!$C$87=1,CROQUIS!$C$91=1),((CROQUIS!$C$161+(IF(CROQUIS!$C$92="X",(MIN($A36,41)-1)/40*CROQUIS!$C$98,IF(CROQUIS!$C$94=1,0,CROQUIS!$C$97)+IF(MOD($A36,2)=1,-CROQUIS!$C$107/2,CROQUIS!$C$107/2)))*CROQUIS!$C$159)+IF(CROQUIS!$C$92="X",0,0)),-1000)</f>
        <v>-1000</v>
      </c>
      <c r="V36">
        <f>IF(AND(CROQUIS!$C$88=1,CROQUIS!$C$91=1),((CROQUIS!$C$160+(IF(CROQUIS!$C$92="X",IF(CROQUIS!$C$94=1,0,CROQUIS!$C$97)+IF(MOD($A36,2)=1,-CROQUIS!$C$107/2,CROQUIS!$C$107/2),(MIN($A36,41)-1)/40*CROQUIS!$C$98))*CROQUIS!$C$159)+IF(CROQUIS!$C$92="X",0,0)),-1000)</f>
        <v>-1000</v>
      </c>
      <c r="W36">
        <f>IF(AND(CROQUIS!$C$88=1,CROQUIS!$C$91=1),((CROQUIS!$C$161+(IF(CROQUIS!$C$92="X",(MIN($A36,41)-1)/40*CROQUIS!$C$98,IF(CROQUIS!$C$94=1,0,CROQUIS!$C$97)+IF(MOD($A36,2)=1,-CROQUIS!$C$107/2,CROQUIS!$C$107/2)))*CROQUIS!$C$159)+IF(CROQUIS!$C$92="X",0,0)),-1000)</f>
        <v>-1000</v>
      </c>
      <c r="AJ36">
        <f>IF(AND(CROQUIS!$C$87=1,CROQUIS!$C$162&gt;0,CROQUIS!$C$164&gt;0),(CROQUIS!$C$160+((CROQUIS!$C$163+INT(MIN(INT(($A36-1)/2),MAX((2*CROQUIS!$C$162)-1,0))/2)*CROQUIS!$C$116+MOD(MIN(INT(($A36-1)/2),MAX((2*CROQUIS!$C$162)-1,0)),2)*CROQUIS!$C$114))*CROQUIS!$C$159),-1000)</f>
        <v>81.3375508359693</v>
      </c>
      <c r="AK36">
        <f>IF(AND(CROQUIS!$C$87=1,CROQUIS!$C$162&gt;0,CROQUIS!$C$164&gt;0),(CROQUIS!$C$161+(IF(MOD(MIN(INT(($A36-1)/2),MAX((2*CROQUIS!$C$162)-1,0)),2)=0,IF(IF(INT(($A36-1)/2)&gt;MAX((2*CROQUIS!$C$162)-1,0),1,MOD($A36-1,2))=0,CROQUIS!$C$165,(CROQUIS!$C$165+(CROQUIS!$C$164-1)*CROQUIS!$C$116+CROQUIS!$C$115)),IF(IF(INT(($A36-1)/2)&gt;MAX((2*CROQUIS!$C$162)-1,0),1,MOD($A36-1,2))=0,(CROQUIS!$C$165+(CROQUIS!$C$164-1)*CROQUIS!$C$116+CROQUIS!$C$115),CROQUIS!$C$165)))*CROQUIS!$C$159),-1000)</f>
        <v>20.8088567555355</v>
      </c>
      <c r="AL36">
        <f>IF(AND(CROQUIS!$C$87=1,CROQUIS!$C$164&gt;0,CROQUIS!$C$162&gt;0),(CROQUIS!$C$160+(IF(MOD(MIN(INT(($A36-1)/2),MAX((2*CROQUIS!$C$164)-1,0)),2)=0,IF(IF(INT(($A36-1)/2)&gt;MAX((2*CROQUIS!$C$164)-1,0),1,MOD($A36-1,2))=0,CROQUIS!$C$163,(CROQUIS!$C$163+(CROQUIS!$C$162-1)*CROQUIS!$C$116+CROQUIS!$C$114)),IF(IF(INT(($A36-1)/2)&gt;MAX((2*CROQUIS!$C$164)-1,0),1,MOD($A36-1,2))=0,(CROQUIS!$C$163+(CROQUIS!$C$162-1)*CROQUIS!$C$116+CROQUIS!$C$114),CROQUIS!$C$163)))*CROQUIS!$C$159),-1000)</f>
        <v>22.9552643470402</v>
      </c>
      <c r="AM36">
        <f>IF(AND(CROQUIS!$C$87=1,CROQUIS!$C$164&gt;0,CROQUIS!$C$162&gt;0),(CROQUIS!$C$161+((CROQUIS!$C$165+INT(MIN(INT(($A36-1)/2),MAX((2*CROQUIS!$C$164)-1,0))/2)*CROQUIS!$C$116+MOD(MIN(INT(($A36-1)/2),MAX((2*CROQUIS!$C$164)-1,0)),2)*CROQUIS!$C$115))*CROQUIS!$C$159),-1000)</f>
        <v>79.1911432444645</v>
      </c>
      <c r="AN36">
        <f>IF(AND(CROQUIS!$C$87=1,CROQUIS!$C$162&gt;=2),(CROQUIS!$C$160+((CROQUIS!$C$163+CROQUIS!$C$114+(CROQUIS!$C$116-CROQUIS!$C$114)/2+MIN(INT(($A36-1)/2),MAX((CROQUIS!$C$162-1)-1,0))*CROQUIS!$C$116))*CROQUIS!$C$159),-1000)</f>
        <v>70.1762313601446</v>
      </c>
      <c r="AO36">
        <f>IF(AND(CROQUIS!$C$87=1,CROQUIS!$C$162&gt;=2),(CROQUIS!$C$161+(IF(MOD(MIN(INT(($A36-1)/2),MAX((CROQUIS!$C$162-1)-1,0)),2)=0,IF(IF(INT(($A36-1)/2)&gt;MAX((CROQUIS!$C$162-1)-1,0),1,MOD($A36-1,2))=0,CROQUIS!$C$107/2,(CROQUIS!$C$96-CROQUIS!$C$107/2)),IF(IF(INT(($A36-1)/2)&gt;MAX((CROQUIS!$C$162-1)-1,0),1,MOD($A36-1,2))=0,(CROQUIS!$C$96-CROQUIS!$C$107/2),CROQUIS!$C$107/2)))*CROQUIS!$C$159),-1000)</f>
        <v>16.9453230908269</v>
      </c>
      <c r="AP36">
        <f>IF(AND(CROQUIS!$C$87=1,CROQUIS!$C$164&gt;=2),(CROQUIS!$C$160+(IF(MOD(MIN(INT(($A36-1)/2),MAX((CROQUIS!$C$164-1)-1,0)),2)=0,IF(IF(INT(($A36-1)/2)&gt;MAX((CROQUIS!$C$164-1)-1,0),1,MOD($A36-1,2))=0,CROQUIS!$C$107/2,(CROQUIS!$C$95-CROQUIS!$C$107/2)),IF(IF(INT(($A36-1)/2)&gt;MAX((CROQUIS!$C$164-1)-1,0),1,MOD($A36-1,2))=0,(CROQUIS!$C$95-CROQUIS!$C$107/2),CROQUIS!$C$107/2)))*CROQUIS!$C$159),-1000)</f>
        <v>13.2878445549028</v>
      </c>
      <c r="AQ36">
        <f>IF(AND(CROQUIS!$C$87=1,CROQUIS!$C$164&gt;=2),(CROQUIS!$C$161+((CROQUIS!$C$165+CROQUIS!$C$115+(CROQUIS!$C$116-CROQUIS!$C$115)/2+MIN(INT(($A36-1)/2),MAX((CROQUIS!$C$164-1)-1,0))*CROQUIS!$C$116))*CROQUIS!$C$159),-1000)</f>
        <v>68.0298237686399</v>
      </c>
      <c r="BN36">
        <f>IF(AND(CROQUIS!$C$88=1,CROQUIS!$C$129&gt;0),((CROQUIS!$C$160+(IF(CROQUIS!$C$92="X",CHOOSE(IF(INT(($A36-1)/5)&gt;MAX((MAX(1,INT(((CROQUIS!$C$98)-CROQUIS!$C$107)/MAX((CROQUIS!$C$129*MAX(1,CEILING((INT(((CROQUIS!$C$98)-CROQUIS!$C$107)/MAX(CROQUIS!$C$129,1))+1)/80,1))),1))+1))-1,0),0,MOD($A36-1,5))+1,0,2,CROQUIS!$C$97-2,2,0),((CROQUIS!$C$107/2+(((CROQUIS!$C$98)-CROQUIS!$C$107)-(MAX(1,INT(((CROQUIS!$C$98)-CROQUIS!$C$107)/MAX((CROQUIS!$C$129*MAX(1,CEILING((INT(((CROQUIS!$C$98)-CROQUIS!$C$107)/MAX(CROQUIS!$C$129,1))+1)/80,1))),1))+1)-1)*(CROQUIS!$C$129*MAX(1,CEILING((INT(((CROQUIS!$C$98)-CROQUIS!$C$107)/MAX(CROQUIS!$C$129,1))+1)/80,1))))/2)+MIN(INT(($A36-1)/5),MAX((MAX(1,INT(((CROQUIS!$C$98)-CROQUIS!$C$107)/MAX((CROQUIS!$C$129*MAX(1,CEILING((INT(((CROQUIS!$C$98)-CROQUIS!$C$107)/MAX(CROQUIS!$C$129,1))+1)/80,1))),1))+1))-1,0))*(CROQUIS!$C$129*MAX(1,CEILING((INT(((CROQUIS!$C$98)-CROQUIS!$C$107)/MAX(CROQUIS!$C$129,1))+1)/80,1))))))*CROQUIS!$C$159)+IF(CROQUIS!$C$92="X",0,0)),-1000)</f>
        <v>-1000</v>
      </c>
      <c r="BO36">
        <f>IF(AND(CROQUIS!$C$88=1,CROQUIS!$C$129&gt;0),((CROQUIS!$C$161+(IF(CROQUIS!$C$92="X",((CROQUIS!$C$107/2+(((CROQUIS!$C$98)-CROQUIS!$C$107)-(MAX(1,INT(((CROQUIS!$C$98)-CROQUIS!$C$107)/MAX((CROQUIS!$C$129*MAX(1,CEILING((INT(((CROQUIS!$C$98)-CROQUIS!$C$107)/MAX(CROQUIS!$C$129,1))+1)/80,1))),1))+1)-1)*(CROQUIS!$C$129*MAX(1,CEILING((INT(((CROQUIS!$C$98)-CROQUIS!$C$107)/MAX(CROQUIS!$C$129,1))+1)/80,1))))/2)+MIN(INT(($A36-1)/5),MAX((MAX(1,INT(((CROQUIS!$C$98)-CROQUIS!$C$107)/MAX((CROQUIS!$C$129*MAX(1,CEILING((INT(((CROQUIS!$C$98)-CROQUIS!$C$107)/MAX(CROQUIS!$C$129,1))+1)/80,1))),1))+1))-1,0))*(CROQUIS!$C$129*MAX(1,CEILING((INT(((CROQUIS!$C$98)-CROQUIS!$C$107)/MAX(CROQUIS!$C$129,1))+1)/80,1)))),CHOOSE(IF(INT(($A36-1)/5)&gt;MAX((MAX(1,INT(((CROQUIS!$C$98)-CROQUIS!$C$107)/MAX((CROQUIS!$C$129*MAX(1,CEILING((INT(((CROQUIS!$C$98)-CROQUIS!$C$107)/MAX(CROQUIS!$C$129,1))+1)/80,1))),1))+1))-1,0),0,MOD($A36-1,5))+1,0,2,CROQUIS!$C$97-2,2,0)))*CROQUIS!$C$159)+IF(CROQUIS!$C$92="X",0,0)),-1000)</f>
        <v>-1000</v>
      </c>
      <c r="BP36">
        <f>IF(AND(CROQUIS!$C$88=1,CROQUIS!$C$137&gt;0),((CROQUIS!$C$160+(IF(CROQUIS!$C$92="X",((CROQUIS!$C$107/2+(((CROQUIS!$C$97)-CROQUIS!$C$107)-(MAX(1,INT(((CROQUIS!$C$97)-CROQUIS!$C$107)/MAX((CROQUIS!$C$137*MAX(1,CEILING((INT(((CROQUIS!$C$97)-CROQUIS!$C$107)/MAX(CROQUIS!$C$137,1))+1)/80,1))),1))+1)-1)*(CROQUIS!$C$137*MAX(1,CEILING((INT(((CROQUIS!$C$97)-CROQUIS!$C$107)/MAX(CROQUIS!$C$137,1))+1)/80,1))))/2)+MIN(INT(($A36-1)/5),MAX((MAX(1,INT(((CROQUIS!$C$97)-CROQUIS!$C$107)/MAX((CROQUIS!$C$137*MAX(1,CEILING((INT(((CROQUIS!$C$97)-CROQUIS!$C$107)/MAX(CROQUIS!$C$137,1))+1)/80,1))),1))+1))-1,0))*(CROQUIS!$C$137*MAX(1,CEILING((INT(((CROQUIS!$C$97)-CROQUIS!$C$107)/MAX(CROQUIS!$C$137,1))+1)/80,1)))),CHOOSE(IF(INT(($A36-1)/5)&gt;MAX((MAX(1,INT(((CROQUIS!$C$97)-CROQUIS!$C$107)/MAX((CROQUIS!$C$137*MAX(1,CEILING((INT(((CROQUIS!$C$97)-CROQUIS!$C$107)/MAX(CROQUIS!$C$137,1))+1)/80,1))),1))+1))-1,0),0,MOD($A36-1,5))+1,0,2,CROQUIS!$C$98-2,2,0)))*CROQUIS!$C$159)+IF(CROQUIS!$C$92="X",0,0)),-1000)</f>
        <v>-1000</v>
      </c>
      <c r="BQ36">
        <f>IF(AND(CROQUIS!$C$88=1,CROQUIS!$C$137&gt;0),((CROQUIS!$C$161+(IF(CROQUIS!$C$92="X",CHOOSE(IF(INT(($A36-1)/5)&gt;MAX((MAX(1,INT(((CROQUIS!$C$97)-CROQUIS!$C$107)/MAX((CROQUIS!$C$137*MAX(1,CEILING((INT(((CROQUIS!$C$97)-CROQUIS!$C$107)/MAX(CROQUIS!$C$137,1))+1)/80,1))),1))+1))-1,0),0,MOD($A36-1,5))+1,0,2,CROQUIS!$C$98-2,2,0),((CROQUIS!$C$107/2+(((CROQUIS!$C$97)-CROQUIS!$C$107)-(MAX(1,INT(((CROQUIS!$C$97)-CROQUIS!$C$107)/MAX((CROQUIS!$C$137*MAX(1,CEILING((INT(((CROQUIS!$C$97)-CROQUIS!$C$107)/MAX(CROQUIS!$C$137,1))+1)/80,1))),1))+1)-1)*(CROQUIS!$C$137*MAX(1,CEILING((INT(((CROQUIS!$C$97)-CROQUIS!$C$107)/MAX(CROQUIS!$C$137,1))+1)/80,1))))/2)+MIN(INT(($A36-1)/5),MAX((MAX(1,INT(((CROQUIS!$C$97)-CROQUIS!$C$107)/MAX((CROQUIS!$C$137*MAX(1,CEILING((INT(((CROQUIS!$C$97)-CROQUIS!$C$107)/MAX(CROQUIS!$C$137,1))+1)/80,1))),1))+1))-1,0))*(CROQUIS!$C$137*MAX(1,CEILING((INT(((CROQUIS!$C$97)-CROQUIS!$C$107)/MAX(CROQUIS!$C$137,1))+1)/80,1))))))*CROQUIS!$C$159)+IF(CROQUIS!$C$92="X",0,0)),-1000)</f>
        <v>-1000</v>
      </c>
      <c r="BR36">
        <f>IF(AND(CROQUIS!$C$88=1,CROQUIS!$C$91=0,CROQUIS!$C$133&gt;0,OR(CROQUIS!$C$103=1,CROQUIS!$C$145=1)),((CROQUIS!$C$160+(IF(CROQUIS!$C$92="X",CHOOSE(IF(INT(($A36-1)/5)&gt;MAX((MAX(1,INT(((CROQUIS!$C$98)-CROQUIS!$C$107)/MAX((CROQUIS!$C$133*MAX(1,CEILING((INT(((CROQUIS!$C$98)-CROQUIS!$C$107)/MAX(CROQUIS!$C$133,1))+1)/80,1))),1))+1))-1,0),0,MOD($A36-1,5))+1,0,IF(CROQUIS!$C$103=1,-12,2),CROQUIS!$C$107/2+CROQUIS!$C$143,IF(CROQUIS!$C$103=1,-12,2),0),((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BS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+1,0,IF(CROQUIS!$C$103=1,-12,2),CROQUIS!$C$107/2+CROQUIS!$C$143,IF(CROQUIS!$C$103=1,-12,2),0)))*CROQUIS!$C$159)+IF(CROQUIS!$C$92="X",0.8,0)),-1000)</f>
        <v>-1000</v>
      </c>
      <c r="BT36">
        <f>IF(AND(CROQUIS!$C$88=1,CROQUIS!$C$91=0,CROQUIS!$C$133&gt;0,OR(CROQUIS!$C$104=1,CROQUIS!$C$145=1)),((CROQUIS!$C$160+(IF(CROQUIS!$C$92="X",CHOOSE(IF(INT(($A36-1)/5)&gt;MAX((MAX(1,INT(((CROQUIS!$C$98)-CROQUIS!$C$107)/MAX((CROQUIS!$C$133*MAX(1,CEILING((INT(((CROQUIS!$C$98)-CROQUIS!$C$107)/MAX(CROQUIS!$C$133,1))+1)/80,1))),1))+1))-1,0),0,MOD($A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BU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CROQUIS!$C$97,CROQUIS!$C$97-CROQUIS!$C$107/2-CROQUIS!$C$143,IF(CROQUIS!$C$104=1,CROQUIS!$C$97+12,CROQUIS!$C$97-2),CROQUIS!$C$97-CROQUIS!$C$107/2-CROQUIS!$C$143,CROQUIS!$C$97)))*CROQUIS!$C$159)+IF(CROQUIS!$C$92="X",0.8,0)),-1000)</f>
        <v>-1000</v>
      </c>
      <c r="BV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HOOSE(IF(INT(($A36-1)/5)&gt;MAX((MAX(1,INT(((CROQUIS!$C$97)-CROQUIS!$C$107)/MAX((CROQUIS!$C$141*MAX(1,CEILING((INT(((CROQUIS!$C$97)-CROQUIS!$C$107)/MAX(CROQUIS!$C$141,1))+1)/80,1))),1))+1))-1,0),0,MOD($A36-1,5))+1,0,IF(CROQUIS!$C$105=1,-12,2),CROQUIS!$C$107/2+CROQUIS!$C$144,IF(CROQUIS!$C$105=1,-12,2),0)))*CROQUIS!$C$159)+IF(CROQUIS!$C$92="X",0.8,0)),-1000)</f>
        <v>-1000</v>
      </c>
      <c r="BW36">
        <f>IF(AND(CROQUIS!$C$88=1,CROQUIS!$C$91=0,CROQUIS!$C$141&gt;0,OR(CROQUIS!$C$105=1,CROQUIS!$C$146=1)),((CROQUIS!$C$161+(IF(CROQUIS!$C$92="X",CHOOSE(IF(INT(($A36-1)/5)&gt;MAX((MAX(1,INT(((CROQUIS!$C$97)-CROQUIS!$C$107)/MAX((CROQUIS!$C$141*MAX(1,CEILING((INT(((CROQUIS!$C$97)-CROQUIS!$C$107)/MAX(CROQUIS!$C$141,1))+1)/80,1))),1))+1))-1,0),0,MOD($A36-1,5))+1,0,IF(CROQUIS!$C$105=1,-12,2),CROQUIS!$C$107/2+CROQUIS!$C$144,IF(CROQUIS!$C$105=1,-12,2),0),((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ROQUIS!$C$159)+IF(CROQUIS!$C$92="X",0,0.8)),-1000)</f>
        <v>-1000</v>
      </c>
      <c r="BX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HOOSE(IF(INT(($A36-1)/5)&gt;MAX((MAX(1,INT(((CROQUIS!$C$97)-CROQUIS!$C$107)/MAX((CROQUIS!$C$141*MAX(1,CEILING((INT(((CROQUIS!$C$97)-CROQUIS!$C$107)/MAX(CROQUIS!$C$141,1))+1)/80,1))),1))+1))-1,0),0,MOD($A36-1,5))+1,CROQUIS!$C$98,CROQUIS!$C$98-CROQUIS!$C$107/2-CROQUIS!$C$144,IF(CROQUIS!$C$106=1,CROQUIS!$C$98+12,CROQUIS!$C$98-2),CROQUIS!$C$98-CROQUIS!$C$107/2-CROQUIS!$C$144,CROQUIS!$C$98)))*CROQUIS!$C$159)+IF(CROQUIS!$C$92="X",0.8,0)),-1000)</f>
        <v>-1000</v>
      </c>
      <c r="BY36">
        <f>IF(AND(CROQUIS!$C$88=1,CROQUIS!$C$91=0,CROQUIS!$C$141&gt;0,OR(CROQUIS!$C$106=1,CROQUIS!$C$146=1)),((CROQUIS!$C$161+(IF(CROQUIS!$C$92="X",CHOOSE(IF(INT(($A36-1)/5)&gt;MAX((MAX(1,INT(((CROQUIS!$C$97)-CROQUIS!$C$107)/MAX((CROQUIS!$C$141*MAX(1,CEILING((INT(((CROQUIS!$C$97)-CROQUIS!$C$107)/MAX(CROQUIS!$C$141,1))+1)/80,1))),1))+1))-1,0),0,MOD($A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ROQUIS!$C$159)+IF(CROQUIS!$C$92="X",0,0.8)),-1000)</f>
        <v>-1000</v>
      </c>
      <c r="BZ36">
        <f>IF(AND(CROQUIS!$C$88=1,CROQUIS!$C$91=1,CROQUIS!$C$133&gt;0),((CROQUIS!$C$160+(IF(CROQUIS!$C$92="X",CHOOSE(IF(INT(($A36-1)/5)&gt;MAX((MAX(1,INT(((CROQUIS!$C$98)-CROQUIS!$C$107)/MAX((CROQUIS!$C$133*MAX(1,CEILING((INT(((CROQUIS!$C$98)-CROQUIS!$C$107)/MAX(CROQUIS!$C$133,1))+1)/80,1))),1))+1))-1,0),0,MOD($A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CA36">
        <f>IF(AND(CROQUIS!$C$88=1,CROQUIS!$C$91=1,CROQUIS!$C$133&gt;0),((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
      <c r="A37" t="n">
        <v>30</v>
      </c>
      <c r="F37">
        <f>IF(AND(CROQUIS!$C$87=1,CROQUIS!$C$91=1),((CROQUIS!$C$160+(IF(CROQUIS!$C$92="X",IF(CROQUIS!$C$94=1,0,CROQUIS!$C$97)+IF(MOD($A37,2)=1,-CROQUIS!$C$107/2,CROQUIS!$C$107/2),(MIN($A37,41)-1)/40*CROQUIS!$C$98))*CROQUIS!$C$159)+IF(CROQUIS!$C$92="X",0,0)),-1000)</f>
        <v>-1000</v>
      </c>
      <c r="G37">
        <f>IF(AND(CROQUIS!$C$87=1,CROQUIS!$C$91=1),((CROQUIS!$C$161+(IF(CROQUIS!$C$92="X",(MIN($A37,41)-1)/40*CROQUIS!$C$98,IF(CROQUIS!$C$94=1,0,CROQUIS!$C$97)+IF(MOD($A37,2)=1,-CROQUIS!$C$107/2,CROQUIS!$C$107/2)))*CROQUIS!$C$159)+IF(CROQUIS!$C$92="X",0,0)),-1000)</f>
        <v>-1000</v>
      </c>
      <c r="V37">
        <f>IF(AND(CROQUIS!$C$88=1,CROQUIS!$C$91=1),((CROQUIS!$C$160+(IF(CROQUIS!$C$92="X",IF(CROQUIS!$C$94=1,0,CROQUIS!$C$97)+IF(MOD($A37,2)=1,-CROQUIS!$C$107/2,CROQUIS!$C$107/2),(MIN($A37,41)-1)/40*CROQUIS!$C$98))*CROQUIS!$C$159)+IF(CROQUIS!$C$92="X",0,0)),-1000)</f>
        <v>-1000</v>
      </c>
      <c r="W37">
        <f>IF(AND(CROQUIS!$C$88=1,CROQUIS!$C$91=1),((CROQUIS!$C$161+(IF(CROQUIS!$C$92="X",(MIN($A37,41)-1)/40*CROQUIS!$C$98,IF(CROQUIS!$C$94=1,0,CROQUIS!$C$97)+IF(MOD($A37,2)=1,-CROQUIS!$C$107/2,CROQUIS!$C$107/2)))*CROQUIS!$C$159)+IF(CROQUIS!$C$92="X",0,0)),-1000)</f>
        <v>-1000</v>
      </c>
      <c r="AJ37">
        <f>IF(AND(CROQUIS!$C$87=1,CROQUIS!$C$162&gt;0,CROQUIS!$C$164&gt;0),(CROQUIS!$C$160+((CROQUIS!$C$163+INT(MIN(INT(($A37-1)/2),MAX((2*CROQUIS!$C$162)-1,0))/2)*CROQUIS!$C$116+MOD(MIN(INT(($A37-1)/2),MAX((2*CROQUIS!$C$162)-1,0)),2)*CROQUIS!$C$114))*CROQUIS!$C$159),-1000)</f>
        <v>81.3375508359693</v>
      </c>
      <c r="AK37">
        <f>IF(AND(CROQUIS!$C$87=1,CROQUIS!$C$162&gt;0,CROQUIS!$C$164&gt;0),(CROQUIS!$C$161+(IF(MOD(MIN(INT(($A37-1)/2),MAX((2*CROQUIS!$C$162)-1,0)),2)=0,IF(IF(INT(($A37-1)/2)&gt;MAX((2*CROQUIS!$C$162)-1,0),1,MOD($A37-1,2))=0,CROQUIS!$C$165,(CROQUIS!$C$165+(CROQUIS!$C$164-1)*CROQUIS!$C$116+CROQUIS!$C$115)),IF(IF(INT(($A37-1)/2)&gt;MAX((2*CROQUIS!$C$162)-1,0),1,MOD($A37-1,2))=0,(CROQUIS!$C$165+(CROQUIS!$C$164-1)*CROQUIS!$C$116+CROQUIS!$C$115),CROQUIS!$C$165)))*CROQUIS!$C$159),-1000)</f>
        <v>20.8088567555355</v>
      </c>
      <c r="AL37">
        <f>IF(AND(CROQUIS!$C$87=1,CROQUIS!$C$164&gt;0,CROQUIS!$C$162&gt;0),(CROQUIS!$C$160+(IF(MOD(MIN(INT(($A37-1)/2),MAX((2*CROQUIS!$C$164)-1,0)),2)=0,IF(IF(INT(($A37-1)/2)&gt;MAX((2*CROQUIS!$C$164)-1,0),1,MOD($A37-1,2))=0,CROQUIS!$C$163,(CROQUIS!$C$163+(CROQUIS!$C$162-1)*CROQUIS!$C$116+CROQUIS!$C$114)),IF(IF(INT(($A37-1)/2)&gt;MAX((2*CROQUIS!$C$164)-1,0),1,MOD($A37-1,2))=0,(CROQUIS!$C$163+(CROQUIS!$C$162-1)*CROQUIS!$C$116+CROQUIS!$C$114),CROQUIS!$C$163)))*CROQUIS!$C$159),-1000)</f>
        <v>22.9552643470402</v>
      </c>
      <c r="AM37">
        <f>IF(AND(CROQUIS!$C$87=1,CROQUIS!$C$164&gt;0,CROQUIS!$C$162&gt;0),(CROQUIS!$C$161+((CROQUIS!$C$165+INT(MIN(INT(($A37-1)/2),MAX((2*CROQUIS!$C$164)-1,0))/2)*CROQUIS!$C$116+MOD(MIN(INT(($A37-1)/2),MAX((2*CROQUIS!$C$164)-1,0)),2)*CROQUIS!$C$115))*CROQUIS!$C$159),-1000)</f>
        <v>79.1911432444645</v>
      </c>
      <c r="AN37">
        <f>IF(AND(CROQUIS!$C$87=1,CROQUIS!$C$162&gt;=2),(CROQUIS!$C$160+((CROQUIS!$C$163+CROQUIS!$C$114+(CROQUIS!$C$116-CROQUIS!$C$114)/2+MIN(INT(($A37-1)/2),MAX((CROQUIS!$C$162-1)-1,0))*CROQUIS!$C$116))*CROQUIS!$C$159),-1000)</f>
        <v>70.1762313601446</v>
      </c>
      <c r="AO37">
        <f>IF(AND(CROQUIS!$C$87=1,CROQUIS!$C$162&gt;=2),(CROQUIS!$C$161+(IF(MOD(MIN(INT(($A37-1)/2),MAX((CROQUIS!$C$162-1)-1,0)),2)=0,IF(IF(INT(($A37-1)/2)&gt;MAX((CROQUIS!$C$162-1)-1,0),1,MOD($A37-1,2))=0,CROQUIS!$C$107/2,(CROQUIS!$C$96-CROQUIS!$C$107/2)),IF(IF(INT(($A37-1)/2)&gt;MAX((CROQUIS!$C$162-1)-1,0),1,MOD($A37-1,2))=0,(CROQUIS!$C$96-CROQUIS!$C$107/2),CROQUIS!$C$107/2)))*CROQUIS!$C$159),-1000)</f>
        <v>16.9453230908269</v>
      </c>
      <c r="AP37">
        <f>IF(AND(CROQUIS!$C$87=1,CROQUIS!$C$164&gt;=2),(CROQUIS!$C$160+(IF(MOD(MIN(INT(($A37-1)/2),MAX((CROQUIS!$C$164-1)-1,0)),2)=0,IF(IF(INT(($A37-1)/2)&gt;MAX((CROQUIS!$C$164-1)-1,0),1,MOD($A37-1,2))=0,CROQUIS!$C$107/2,(CROQUIS!$C$95-CROQUIS!$C$107/2)),IF(IF(INT(($A37-1)/2)&gt;MAX((CROQUIS!$C$164-1)-1,0),1,MOD($A37-1,2))=0,(CROQUIS!$C$95-CROQUIS!$C$107/2),CROQUIS!$C$107/2)))*CROQUIS!$C$159),-1000)</f>
        <v>13.2878445549028</v>
      </c>
      <c r="AQ37">
        <f>IF(AND(CROQUIS!$C$87=1,CROQUIS!$C$164&gt;=2),(CROQUIS!$C$161+((CROQUIS!$C$165+CROQUIS!$C$115+(CROQUIS!$C$116-CROQUIS!$C$115)/2+MIN(INT(($A37-1)/2),MAX((CROQUIS!$C$164-1)-1,0))*CROQUIS!$C$116))*CROQUIS!$C$159),-1000)</f>
        <v>68.0298237686399</v>
      </c>
      <c r="BN37">
        <f>IF(AND(CROQUIS!$C$88=1,CROQUIS!$C$129&gt;0),((CROQUIS!$C$160+(IF(CROQUIS!$C$92="X",CHOOSE(IF(INT(($A37-1)/5)&gt;MAX((MAX(1,INT(((CROQUIS!$C$98)-CROQUIS!$C$107)/MAX((CROQUIS!$C$129*MAX(1,CEILING((INT(((CROQUIS!$C$98)-CROQUIS!$C$107)/MAX(CROQUIS!$C$129,1))+1)/80,1))),1))+1))-1,0),0,MOD($A37-1,5))+1,0,2,CROQUIS!$C$97-2,2,0),((CROQUIS!$C$107/2+(((CROQUIS!$C$98)-CROQUIS!$C$107)-(MAX(1,INT(((CROQUIS!$C$98)-CROQUIS!$C$107)/MAX((CROQUIS!$C$129*MAX(1,CEILING((INT(((CROQUIS!$C$98)-CROQUIS!$C$107)/MAX(CROQUIS!$C$129,1))+1)/80,1))),1))+1)-1)*(CROQUIS!$C$129*MAX(1,CEILING((INT(((CROQUIS!$C$98)-CROQUIS!$C$107)/MAX(CROQUIS!$C$129,1))+1)/80,1))))/2)+MIN(INT(($A37-1)/5),MAX((MAX(1,INT(((CROQUIS!$C$98)-CROQUIS!$C$107)/MAX((CROQUIS!$C$129*MAX(1,CEILING((INT(((CROQUIS!$C$98)-CROQUIS!$C$107)/MAX(CROQUIS!$C$129,1))+1)/80,1))),1))+1))-1,0))*(CROQUIS!$C$129*MAX(1,CEILING((INT(((CROQUIS!$C$98)-CROQUIS!$C$107)/MAX(CROQUIS!$C$129,1))+1)/80,1))))))*CROQUIS!$C$159)+IF(CROQUIS!$C$92="X",0,0)),-1000)</f>
        <v>-1000</v>
      </c>
      <c r="BO37">
        <f>IF(AND(CROQUIS!$C$88=1,CROQUIS!$C$129&gt;0),((CROQUIS!$C$161+(IF(CROQUIS!$C$92="X",((CROQUIS!$C$107/2+(((CROQUIS!$C$98)-CROQUIS!$C$107)-(MAX(1,INT(((CROQUIS!$C$98)-CROQUIS!$C$107)/MAX((CROQUIS!$C$129*MAX(1,CEILING((INT(((CROQUIS!$C$98)-CROQUIS!$C$107)/MAX(CROQUIS!$C$129,1))+1)/80,1))),1))+1)-1)*(CROQUIS!$C$129*MAX(1,CEILING((INT(((CROQUIS!$C$98)-CROQUIS!$C$107)/MAX(CROQUIS!$C$129,1))+1)/80,1))))/2)+MIN(INT(($A37-1)/5),MAX((MAX(1,INT(((CROQUIS!$C$98)-CROQUIS!$C$107)/MAX((CROQUIS!$C$129*MAX(1,CEILING((INT(((CROQUIS!$C$98)-CROQUIS!$C$107)/MAX(CROQUIS!$C$129,1))+1)/80,1))),1))+1))-1,0))*(CROQUIS!$C$129*MAX(1,CEILING((INT(((CROQUIS!$C$98)-CROQUIS!$C$107)/MAX(CROQUIS!$C$129,1))+1)/80,1)))),CHOOSE(IF(INT(($A37-1)/5)&gt;MAX((MAX(1,INT(((CROQUIS!$C$98)-CROQUIS!$C$107)/MAX((CROQUIS!$C$129*MAX(1,CEILING((INT(((CROQUIS!$C$98)-CROQUIS!$C$107)/MAX(CROQUIS!$C$129,1))+1)/80,1))),1))+1))-1,0),0,MOD($A37-1,5))+1,0,2,CROQUIS!$C$97-2,2,0)))*CROQUIS!$C$159)+IF(CROQUIS!$C$92="X",0,0)),-1000)</f>
        <v>-1000</v>
      </c>
      <c r="BP37">
        <f>IF(AND(CROQUIS!$C$88=1,CROQUIS!$C$137&gt;0),((CROQUIS!$C$160+(IF(CROQUIS!$C$92="X",((CROQUIS!$C$107/2+(((CROQUIS!$C$97)-CROQUIS!$C$107)-(MAX(1,INT(((CROQUIS!$C$97)-CROQUIS!$C$107)/MAX((CROQUIS!$C$137*MAX(1,CEILING((INT(((CROQUIS!$C$97)-CROQUIS!$C$107)/MAX(CROQUIS!$C$137,1))+1)/80,1))),1))+1)-1)*(CROQUIS!$C$137*MAX(1,CEILING((INT(((CROQUIS!$C$97)-CROQUIS!$C$107)/MAX(CROQUIS!$C$137,1))+1)/80,1))))/2)+MIN(INT(($A37-1)/5),MAX((MAX(1,INT(((CROQUIS!$C$97)-CROQUIS!$C$107)/MAX((CROQUIS!$C$137*MAX(1,CEILING((INT(((CROQUIS!$C$97)-CROQUIS!$C$107)/MAX(CROQUIS!$C$137,1))+1)/80,1))),1))+1))-1,0))*(CROQUIS!$C$137*MAX(1,CEILING((INT(((CROQUIS!$C$97)-CROQUIS!$C$107)/MAX(CROQUIS!$C$137,1))+1)/80,1)))),CHOOSE(IF(INT(($A37-1)/5)&gt;MAX((MAX(1,INT(((CROQUIS!$C$97)-CROQUIS!$C$107)/MAX((CROQUIS!$C$137*MAX(1,CEILING((INT(((CROQUIS!$C$97)-CROQUIS!$C$107)/MAX(CROQUIS!$C$137,1))+1)/80,1))),1))+1))-1,0),0,MOD($A37-1,5))+1,0,2,CROQUIS!$C$98-2,2,0)))*CROQUIS!$C$159)+IF(CROQUIS!$C$92="X",0,0)),-1000)</f>
        <v>-1000</v>
      </c>
      <c r="BQ37">
        <f>IF(AND(CROQUIS!$C$88=1,CROQUIS!$C$137&gt;0),((CROQUIS!$C$161+(IF(CROQUIS!$C$92="X",CHOOSE(IF(INT(($A37-1)/5)&gt;MAX((MAX(1,INT(((CROQUIS!$C$97)-CROQUIS!$C$107)/MAX((CROQUIS!$C$137*MAX(1,CEILING((INT(((CROQUIS!$C$97)-CROQUIS!$C$107)/MAX(CROQUIS!$C$137,1))+1)/80,1))),1))+1))-1,0),0,MOD($A37-1,5))+1,0,2,CROQUIS!$C$98-2,2,0),((CROQUIS!$C$107/2+(((CROQUIS!$C$97)-CROQUIS!$C$107)-(MAX(1,INT(((CROQUIS!$C$97)-CROQUIS!$C$107)/MAX((CROQUIS!$C$137*MAX(1,CEILING((INT(((CROQUIS!$C$97)-CROQUIS!$C$107)/MAX(CROQUIS!$C$137,1))+1)/80,1))),1))+1)-1)*(CROQUIS!$C$137*MAX(1,CEILING((INT(((CROQUIS!$C$97)-CROQUIS!$C$107)/MAX(CROQUIS!$C$137,1))+1)/80,1))))/2)+MIN(INT(($A37-1)/5),MAX((MAX(1,INT(((CROQUIS!$C$97)-CROQUIS!$C$107)/MAX((CROQUIS!$C$137*MAX(1,CEILING((INT(((CROQUIS!$C$97)-CROQUIS!$C$107)/MAX(CROQUIS!$C$137,1))+1)/80,1))),1))+1))-1,0))*(CROQUIS!$C$137*MAX(1,CEILING((INT(((CROQUIS!$C$97)-CROQUIS!$C$107)/MAX(CROQUIS!$C$137,1))+1)/80,1))))))*CROQUIS!$C$159)+IF(CROQUIS!$C$92="X",0,0)),-1000)</f>
        <v>-1000</v>
      </c>
      <c r="BR37">
        <f>IF(AND(CROQUIS!$C$88=1,CROQUIS!$C$91=0,CROQUIS!$C$133&gt;0,OR(CROQUIS!$C$103=1,CROQUIS!$C$145=1)),((CROQUIS!$C$160+(IF(CROQUIS!$C$92="X",CHOOSE(IF(INT(($A37-1)/5)&gt;MAX((MAX(1,INT(((CROQUIS!$C$98)-CROQUIS!$C$107)/MAX((CROQUIS!$C$133*MAX(1,CEILING((INT(((CROQUIS!$C$98)-CROQUIS!$C$107)/MAX(CROQUIS!$C$133,1))+1)/80,1))),1))+1))-1,0),0,MOD($A37-1,5))+1,0,IF(CROQUIS!$C$103=1,-12,2),CROQUIS!$C$107/2+CROQUIS!$C$143,IF(CROQUIS!$C$103=1,-12,2),0),((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BS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+1,0,IF(CROQUIS!$C$103=1,-12,2),CROQUIS!$C$107/2+CROQUIS!$C$143,IF(CROQUIS!$C$103=1,-12,2),0)))*CROQUIS!$C$159)+IF(CROQUIS!$C$92="X",0.8,0)),-1000)</f>
        <v>-1000</v>
      </c>
      <c r="BT37">
        <f>IF(AND(CROQUIS!$C$88=1,CROQUIS!$C$91=0,CROQUIS!$C$133&gt;0,OR(CROQUIS!$C$104=1,CROQUIS!$C$145=1)),((CROQUIS!$C$160+(IF(CROQUIS!$C$92="X",CHOOSE(IF(INT(($A37-1)/5)&gt;MAX((MAX(1,INT(((CROQUIS!$C$98)-CROQUIS!$C$107)/MAX((CROQUIS!$C$133*MAX(1,CEILING((INT(((CROQUIS!$C$98)-CROQUIS!$C$107)/MAX(CROQUIS!$C$133,1))+1)/80,1))),1))+1))-1,0),0,MOD($A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BU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CROQUIS!$C$97,CROQUIS!$C$97-CROQUIS!$C$107/2-CROQUIS!$C$143,IF(CROQUIS!$C$104=1,CROQUIS!$C$97+12,CROQUIS!$C$97-2),CROQUIS!$C$97-CROQUIS!$C$107/2-CROQUIS!$C$143,CROQUIS!$C$97)))*CROQUIS!$C$159)+IF(CROQUIS!$C$92="X",0.8,0)),-1000)</f>
        <v>-1000</v>
      </c>
      <c r="BV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HOOSE(IF(INT(($A37-1)/5)&gt;MAX((MAX(1,INT(((CROQUIS!$C$97)-CROQUIS!$C$107)/MAX((CROQUIS!$C$141*MAX(1,CEILING((INT(((CROQUIS!$C$97)-CROQUIS!$C$107)/MAX(CROQUIS!$C$141,1))+1)/80,1))),1))+1))-1,0),0,MOD($A37-1,5))+1,0,IF(CROQUIS!$C$105=1,-12,2),CROQUIS!$C$107/2+CROQUIS!$C$144,IF(CROQUIS!$C$105=1,-12,2),0)))*CROQUIS!$C$159)+IF(CROQUIS!$C$92="X",0.8,0)),-1000)</f>
        <v>-1000</v>
      </c>
      <c r="BW37">
        <f>IF(AND(CROQUIS!$C$88=1,CROQUIS!$C$91=0,CROQUIS!$C$141&gt;0,OR(CROQUIS!$C$105=1,CROQUIS!$C$146=1)),((CROQUIS!$C$161+(IF(CROQUIS!$C$92="X",CHOOSE(IF(INT(($A37-1)/5)&gt;MAX((MAX(1,INT(((CROQUIS!$C$97)-CROQUIS!$C$107)/MAX((CROQUIS!$C$141*MAX(1,CEILING((INT(((CROQUIS!$C$97)-CROQUIS!$C$107)/MAX(CROQUIS!$C$141,1))+1)/80,1))),1))+1))-1,0),0,MOD($A37-1,5))+1,0,IF(CROQUIS!$C$105=1,-12,2),CROQUIS!$C$107/2+CROQUIS!$C$144,IF(CROQUIS!$C$105=1,-12,2),0),((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ROQUIS!$C$159)+IF(CROQUIS!$C$92="X",0,0.8)),-1000)</f>
        <v>-1000</v>
      </c>
      <c r="BX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HOOSE(IF(INT(($A37-1)/5)&gt;MAX((MAX(1,INT(((CROQUIS!$C$97)-CROQUIS!$C$107)/MAX((CROQUIS!$C$141*MAX(1,CEILING((INT(((CROQUIS!$C$97)-CROQUIS!$C$107)/MAX(CROQUIS!$C$141,1))+1)/80,1))),1))+1))-1,0),0,MOD($A37-1,5))+1,CROQUIS!$C$98,CROQUIS!$C$98-CROQUIS!$C$107/2-CROQUIS!$C$144,IF(CROQUIS!$C$106=1,CROQUIS!$C$98+12,CROQUIS!$C$98-2),CROQUIS!$C$98-CROQUIS!$C$107/2-CROQUIS!$C$144,CROQUIS!$C$98)))*CROQUIS!$C$159)+IF(CROQUIS!$C$92="X",0.8,0)),-1000)</f>
        <v>-1000</v>
      </c>
      <c r="BY37">
        <f>IF(AND(CROQUIS!$C$88=1,CROQUIS!$C$91=0,CROQUIS!$C$141&gt;0,OR(CROQUIS!$C$106=1,CROQUIS!$C$146=1)),((CROQUIS!$C$161+(IF(CROQUIS!$C$92="X",CHOOSE(IF(INT(($A37-1)/5)&gt;MAX((MAX(1,INT(((CROQUIS!$C$97)-CROQUIS!$C$107)/MAX((CROQUIS!$C$141*MAX(1,CEILING((INT(((CROQUIS!$C$97)-CROQUIS!$C$107)/MAX(CROQUIS!$C$141,1))+1)/80,1))),1))+1))-1,0),0,MOD($A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ROQUIS!$C$159)+IF(CROQUIS!$C$92="X",0,0.8)),-1000)</f>
        <v>-1000</v>
      </c>
      <c r="BZ37">
        <f>IF(AND(CROQUIS!$C$88=1,CROQUIS!$C$91=1,CROQUIS!$C$133&gt;0),((CROQUIS!$C$160+(IF(CROQUIS!$C$92="X",CHOOSE(IF(INT(($A37-1)/5)&gt;MAX((MAX(1,INT(((CROQUIS!$C$98)-CROQUIS!$C$107)/MAX((CROQUIS!$C$133*MAX(1,CEILING((INT(((CROQUIS!$C$98)-CROQUIS!$C$107)/MAX(CROQUIS!$C$133,1))+1)/80,1))),1))+1))-1,0),0,MOD($A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CA37">
        <f>IF(AND(CROQUIS!$C$88=1,CROQUIS!$C$91=1,CROQUIS!$C$133&gt;0),((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
      <c r="A38" t="n">
        <v>31</v>
      </c>
      <c r="F38">
        <f>IF(AND(CROQUIS!$C$87=1,CROQUIS!$C$91=1),((CROQUIS!$C$160+(IF(CROQUIS!$C$92="X",IF(CROQUIS!$C$94=1,0,CROQUIS!$C$97)+IF(MOD($A38,2)=1,-CROQUIS!$C$107/2,CROQUIS!$C$107/2),(MIN($A38,41)-1)/40*CROQUIS!$C$98))*CROQUIS!$C$159)+IF(CROQUIS!$C$92="X",0,0)),-1000)</f>
        <v>-1000</v>
      </c>
      <c r="G38">
        <f>IF(AND(CROQUIS!$C$87=1,CROQUIS!$C$91=1),((CROQUIS!$C$161+(IF(CROQUIS!$C$92="X",(MIN($A38,41)-1)/40*CROQUIS!$C$98,IF(CROQUIS!$C$94=1,0,CROQUIS!$C$97)+IF(MOD($A38,2)=1,-CROQUIS!$C$107/2,CROQUIS!$C$107/2)))*CROQUIS!$C$159)+IF(CROQUIS!$C$92="X",0,0)),-1000)</f>
        <v>-1000</v>
      </c>
      <c r="V38">
        <f>IF(AND(CROQUIS!$C$88=1,CROQUIS!$C$91=1),((CROQUIS!$C$160+(IF(CROQUIS!$C$92="X",IF(CROQUIS!$C$94=1,0,CROQUIS!$C$97)+IF(MOD($A38,2)=1,-CROQUIS!$C$107/2,CROQUIS!$C$107/2),(MIN($A38,41)-1)/40*CROQUIS!$C$98))*CROQUIS!$C$159)+IF(CROQUIS!$C$92="X",0,0)),-1000)</f>
        <v>-1000</v>
      </c>
      <c r="W38">
        <f>IF(AND(CROQUIS!$C$88=1,CROQUIS!$C$91=1),((CROQUIS!$C$161+(IF(CROQUIS!$C$92="X",(MIN($A38,41)-1)/40*CROQUIS!$C$98,IF(CROQUIS!$C$94=1,0,CROQUIS!$C$97)+IF(MOD($A38,2)=1,-CROQUIS!$C$107/2,CROQUIS!$C$107/2)))*CROQUIS!$C$159)+IF(CROQUIS!$C$92="X",0,0)),-1000)</f>
        <v>-1000</v>
      </c>
      <c r="AJ38">
        <f>IF(AND(CROQUIS!$C$87=1,CROQUIS!$C$162&gt;0,CROQUIS!$C$164&gt;0),(CROQUIS!$C$160+((CROQUIS!$C$163+INT(MIN(INT(($A38-1)/2),MAX((2*CROQUIS!$C$162)-1,0))/2)*CROQUIS!$C$116+MOD(MIN(INT(($A38-1)/2),MAX((2*CROQUIS!$C$162)-1,0)),2)*CROQUIS!$C$114))*CROQUIS!$C$159),-1000)</f>
        <v>81.3375508359693</v>
      </c>
      <c r="AK38">
        <f>IF(AND(CROQUIS!$C$87=1,CROQUIS!$C$162&gt;0,CROQUIS!$C$164&gt;0),(CROQUIS!$C$161+(IF(MOD(MIN(INT(($A38-1)/2),MAX((2*CROQUIS!$C$162)-1,0)),2)=0,IF(IF(INT(($A38-1)/2)&gt;MAX((2*CROQUIS!$C$162)-1,0),1,MOD($A38-1,2))=0,CROQUIS!$C$165,(CROQUIS!$C$165+(CROQUIS!$C$164-1)*CROQUIS!$C$116+CROQUIS!$C$115)),IF(IF(INT(($A38-1)/2)&gt;MAX((2*CROQUIS!$C$162)-1,0),1,MOD($A38-1,2))=0,(CROQUIS!$C$165+(CROQUIS!$C$164-1)*CROQUIS!$C$116+CROQUIS!$C$115),CROQUIS!$C$165)))*CROQUIS!$C$159),-1000)</f>
        <v>20.8088567555355</v>
      </c>
      <c r="AL38">
        <f>IF(AND(CROQUIS!$C$87=1,CROQUIS!$C$164&gt;0,CROQUIS!$C$162&gt;0),(CROQUIS!$C$160+(IF(MOD(MIN(INT(($A38-1)/2),MAX((2*CROQUIS!$C$164)-1,0)),2)=0,IF(IF(INT(($A38-1)/2)&gt;MAX((2*CROQUIS!$C$164)-1,0),1,MOD($A38-1,2))=0,CROQUIS!$C$163,(CROQUIS!$C$163+(CROQUIS!$C$162-1)*CROQUIS!$C$116+CROQUIS!$C$114)),IF(IF(INT(($A38-1)/2)&gt;MAX((2*CROQUIS!$C$164)-1,0),1,MOD($A38-1,2))=0,(CROQUIS!$C$163+(CROQUIS!$C$162-1)*CROQUIS!$C$116+CROQUIS!$C$114),CROQUIS!$C$163)))*CROQUIS!$C$159),-1000)</f>
        <v>22.9552643470402</v>
      </c>
      <c r="AM38">
        <f>IF(AND(CROQUIS!$C$87=1,CROQUIS!$C$164&gt;0,CROQUIS!$C$162&gt;0),(CROQUIS!$C$161+((CROQUIS!$C$165+INT(MIN(INT(($A38-1)/2),MAX((2*CROQUIS!$C$164)-1,0))/2)*CROQUIS!$C$116+MOD(MIN(INT(($A38-1)/2),MAX((2*CROQUIS!$C$164)-1,0)),2)*CROQUIS!$C$115))*CROQUIS!$C$159),-1000)</f>
        <v>79.1911432444645</v>
      </c>
      <c r="AN38">
        <f>IF(AND(CROQUIS!$C$87=1,CROQUIS!$C$162&gt;=2),(CROQUIS!$C$160+((CROQUIS!$C$163+CROQUIS!$C$114+(CROQUIS!$C$116-CROQUIS!$C$114)/2+MIN(INT(($A38-1)/2),MAX((CROQUIS!$C$162-1)-1,0))*CROQUIS!$C$116))*CROQUIS!$C$159),-1000)</f>
        <v>70.1762313601446</v>
      </c>
      <c r="AO38">
        <f>IF(AND(CROQUIS!$C$87=1,CROQUIS!$C$162&gt;=2),(CROQUIS!$C$161+(IF(MOD(MIN(INT(($A38-1)/2),MAX((CROQUIS!$C$162-1)-1,0)),2)=0,IF(IF(INT(($A38-1)/2)&gt;MAX((CROQUIS!$C$162-1)-1,0),1,MOD($A38-1,2))=0,CROQUIS!$C$107/2,(CROQUIS!$C$96-CROQUIS!$C$107/2)),IF(IF(INT(($A38-1)/2)&gt;MAX((CROQUIS!$C$162-1)-1,0),1,MOD($A38-1,2))=0,(CROQUIS!$C$96-CROQUIS!$C$107/2),CROQUIS!$C$107/2)))*CROQUIS!$C$159),-1000)</f>
        <v>16.9453230908269</v>
      </c>
      <c r="AP38">
        <f>IF(AND(CROQUIS!$C$87=1,CROQUIS!$C$164&gt;=2),(CROQUIS!$C$160+(IF(MOD(MIN(INT(($A38-1)/2),MAX((CROQUIS!$C$164-1)-1,0)),2)=0,IF(IF(INT(($A38-1)/2)&gt;MAX((CROQUIS!$C$164-1)-1,0),1,MOD($A38-1,2))=0,CROQUIS!$C$107/2,(CROQUIS!$C$95-CROQUIS!$C$107/2)),IF(IF(INT(($A38-1)/2)&gt;MAX((CROQUIS!$C$164-1)-1,0),1,MOD($A38-1,2))=0,(CROQUIS!$C$95-CROQUIS!$C$107/2),CROQUIS!$C$107/2)))*CROQUIS!$C$159),-1000)</f>
        <v>13.2878445549028</v>
      </c>
      <c r="AQ38">
        <f>IF(AND(CROQUIS!$C$87=1,CROQUIS!$C$164&gt;=2),(CROQUIS!$C$161+((CROQUIS!$C$165+CROQUIS!$C$115+(CROQUIS!$C$116-CROQUIS!$C$115)/2+MIN(INT(($A38-1)/2),MAX((CROQUIS!$C$164-1)-1,0))*CROQUIS!$C$116))*CROQUIS!$C$159),-1000)</f>
        <v>68.0298237686399</v>
      </c>
      <c r="BN38">
        <f>IF(AND(CROQUIS!$C$88=1,CROQUIS!$C$129&gt;0),((CROQUIS!$C$160+(IF(CROQUIS!$C$92="X",CHOOSE(IF(INT(($A38-1)/5)&gt;MAX((MAX(1,INT(((CROQUIS!$C$98)-CROQUIS!$C$107)/MAX((CROQUIS!$C$129*MAX(1,CEILING((INT(((CROQUIS!$C$98)-CROQUIS!$C$107)/MAX(CROQUIS!$C$129,1))+1)/80,1))),1))+1))-1,0),0,MOD($A38-1,5))+1,0,2,CROQUIS!$C$97-2,2,0),((CROQUIS!$C$107/2+(((CROQUIS!$C$98)-CROQUIS!$C$107)-(MAX(1,INT(((CROQUIS!$C$98)-CROQUIS!$C$107)/MAX((CROQUIS!$C$129*MAX(1,CEILING((INT(((CROQUIS!$C$98)-CROQUIS!$C$107)/MAX(CROQUIS!$C$129,1))+1)/80,1))),1))+1)-1)*(CROQUIS!$C$129*MAX(1,CEILING((INT(((CROQUIS!$C$98)-CROQUIS!$C$107)/MAX(CROQUIS!$C$129,1))+1)/80,1))))/2)+MIN(INT(($A38-1)/5),MAX((MAX(1,INT(((CROQUIS!$C$98)-CROQUIS!$C$107)/MAX((CROQUIS!$C$129*MAX(1,CEILING((INT(((CROQUIS!$C$98)-CROQUIS!$C$107)/MAX(CROQUIS!$C$129,1))+1)/80,1))),1))+1))-1,0))*(CROQUIS!$C$129*MAX(1,CEILING((INT(((CROQUIS!$C$98)-CROQUIS!$C$107)/MAX(CROQUIS!$C$129,1))+1)/80,1))))))*CROQUIS!$C$159)+IF(CROQUIS!$C$92="X",0,0)),-1000)</f>
        <v>-1000</v>
      </c>
      <c r="BO38">
        <f>IF(AND(CROQUIS!$C$88=1,CROQUIS!$C$129&gt;0),((CROQUIS!$C$161+(IF(CROQUIS!$C$92="X",((CROQUIS!$C$107/2+(((CROQUIS!$C$98)-CROQUIS!$C$107)-(MAX(1,INT(((CROQUIS!$C$98)-CROQUIS!$C$107)/MAX((CROQUIS!$C$129*MAX(1,CEILING((INT(((CROQUIS!$C$98)-CROQUIS!$C$107)/MAX(CROQUIS!$C$129,1))+1)/80,1))),1))+1)-1)*(CROQUIS!$C$129*MAX(1,CEILING((INT(((CROQUIS!$C$98)-CROQUIS!$C$107)/MAX(CROQUIS!$C$129,1))+1)/80,1))))/2)+MIN(INT(($A38-1)/5),MAX((MAX(1,INT(((CROQUIS!$C$98)-CROQUIS!$C$107)/MAX((CROQUIS!$C$129*MAX(1,CEILING((INT(((CROQUIS!$C$98)-CROQUIS!$C$107)/MAX(CROQUIS!$C$129,1))+1)/80,1))),1))+1))-1,0))*(CROQUIS!$C$129*MAX(1,CEILING((INT(((CROQUIS!$C$98)-CROQUIS!$C$107)/MAX(CROQUIS!$C$129,1))+1)/80,1)))),CHOOSE(IF(INT(($A38-1)/5)&gt;MAX((MAX(1,INT(((CROQUIS!$C$98)-CROQUIS!$C$107)/MAX((CROQUIS!$C$129*MAX(1,CEILING((INT(((CROQUIS!$C$98)-CROQUIS!$C$107)/MAX(CROQUIS!$C$129,1))+1)/80,1))),1))+1))-1,0),0,MOD($A38-1,5))+1,0,2,CROQUIS!$C$97-2,2,0)))*CROQUIS!$C$159)+IF(CROQUIS!$C$92="X",0,0)),-1000)</f>
        <v>-1000</v>
      </c>
      <c r="BP38">
        <f>IF(AND(CROQUIS!$C$88=1,CROQUIS!$C$137&gt;0),((CROQUIS!$C$160+(IF(CROQUIS!$C$92="X",((CROQUIS!$C$107/2+(((CROQUIS!$C$97)-CROQUIS!$C$107)-(MAX(1,INT(((CROQUIS!$C$97)-CROQUIS!$C$107)/MAX((CROQUIS!$C$137*MAX(1,CEILING((INT(((CROQUIS!$C$97)-CROQUIS!$C$107)/MAX(CROQUIS!$C$137,1))+1)/80,1))),1))+1)-1)*(CROQUIS!$C$137*MAX(1,CEILING((INT(((CROQUIS!$C$97)-CROQUIS!$C$107)/MAX(CROQUIS!$C$137,1))+1)/80,1))))/2)+MIN(INT(($A38-1)/5),MAX((MAX(1,INT(((CROQUIS!$C$97)-CROQUIS!$C$107)/MAX((CROQUIS!$C$137*MAX(1,CEILING((INT(((CROQUIS!$C$97)-CROQUIS!$C$107)/MAX(CROQUIS!$C$137,1))+1)/80,1))),1))+1))-1,0))*(CROQUIS!$C$137*MAX(1,CEILING((INT(((CROQUIS!$C$97)-CROQUIS!$C$107)/MAX(CROQUIS!$C$137,1))+1)/80,1)))),CHOOSE(IF(INT(($A38-1)/5)&gt;MAX((MAX(1,INT(((CROQUIS!$C$97)-CROQUIS!$C$107)/MAX((CROQUIS!$C$137*MAX(1,CEILING((INT(((CROQUIS!$C$97)-CROQUIS!$C$107)/MAX(CROQUIS!$C$137,1))+1)/80,1))),1))+1))-1,0),0,MOD($A38-1,5))+1,0,2,CROQUIS!$C$98-2,2,0)))*CROQUIS!$C$159)+IF(CROQUIS!$C$92="X",0,0)),-1000)</f>
        <v>-1000</v>
      </c>
      <c r="BQ38">
        <f>IF(AND(CROQUIS!$C$88=1,CROQUIS!$C$137&gt;0),((CROQUIS!$C$161+(IF(CROQUIS!$C$92="X",CHOOSE(IF(INT(($A38-1)/5)&gt;MAX((MAX(1,INT(((CROQUIS!$C$97)-CROQUIS!$C$107)/MAX((CROQUIS!$C$137*MAX(1,CEILING((INT(((CROQUIS!$C$97)-CROQUIS!$C$107)/MAX(CROQUIS!$C$137,1))+1)/80,1))),1))+1))-1,0),0,MOD($A38-1,5))+1,0,2,CROQUIS!$C$98-2,2,0),((CROQUIS!$C$107/2+(((CROQUIS!$C$97)-CROQUIS!$C$107)-(MAX(1,INT(((CROQUIS!$C$97)-CROQUIS!$C$107)/MAX((CROQUIS!$C$137*MAX(1,CEILING((INT(((CROQUIS!$C$97)-CROQUIS!$C$107)/MAX(CROQUIS!$C$137,1))+1)/80,1))),1))+1)-1)*(CROQUIS!$C$137*MAX(1,CEILING((INT(((CROQUIS!$C$97)-CROQUIS!$C$107)/MAX(CROQUIS!$C$137,1))+1)/80,1))))/2)+MIN(INT(($A38-1)/5),MAX((MAX(1,INT(((CROQUIS!$C$97)-CROQUIS!$C$107)/MAX((CROQUIS!$C$137*MAX(1,CEILING((INT(((CROQUIS!$C$97)-CROQUIS!$C$107)/MAX(CROQUIS!$C$137,1))+1)/80,1))),1))+1))-1,0))*(CROQUIS!$C$137*MAX(1,CEILING((INT(((CROQUIS!$C$97)-CROQUIS!$C$107)/MAX(CROQUIS!$C$137,1))+1)/80,1))))))*CROQUIS!$C$159)+IF(CROQUIS!$C$92="X",0,0)),-1000)</f>
        <v>-1000</v>
      </c>
      <c r="BR38">
        <f>IF(AND(CROQUIS!$C$88=1,CROQUIS!$C$91=0,CROQUIS!$C$133&gt;0,OR(CROQUIS!$C$103=1,CROQUIS!$C$145=1)),((CROQUIS!$C$160+(IF(CROQUIS!$C$92="X",CHOOSE(IF(INT(($A38-1)/5)&gt;MAX((MAX(1,INT(((CROQUIS!$C$98)-CROQUIS!$C$107)/MAX((CROQUIS!$C$133*MAX(1,CEILING((INT(((CROQUIS!$C$98)-CROQUIS!$C$107)/MAX(CROQUIS!$C$133,1))+1)/80,1))),1))+1))-1,0),0,MOD($A38-1,5))+1,0,IF(CROQUIS!$C$103=1,-12,2),CROQUIS!$C$107/2+CROQUIS!$C$143,IF(CROQUIS!$C$103=1,-12,2),0),((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BS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+1,0,IF(CROQUIS!$C$103=1,-12,2),CROQUIS!$C$107/2+CROQUIS!$C$143,IF(CROQUIS!$C$103=1,-12,2),0)))*CROQUIS!$C$159)+IF(CROQUIS!$C$92="X",0.8,0)),-1000)</f>
        <v>-1000</v>
      </c>
      <c r="BT38">
        <f>IF(AND(CROQUIS!$C$88=1,CROQUIS!$C$91=0,CROQUIS!$C$133&gt;0,OR(CROQUIS!$C$104=1,CROQUIS!$C$145=1)),((CROQUIS!$C$160+(IF(CROQUIS!$C$92="X",CHOOSE(IF(INT(($A38-1)/5)&gt;MAX((MAX(1,INT(((CROQUIS!$C$98)-CROQUIS!$C$107)/MAX((CROQUIS!$C$133*MAX(1,CEILING((INT(((CROQUIS!$C$98)-CROQUIS!$C$107)/MAX(CROQUIS!$C$133,1))+1)/80,1))),1))+1))-1,0),0,MOD($A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BU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CROQUIS!$C$97,CROQUIS!$C$97-CROQUIS!$C$107/2-CROQUIS!$C$143,IF(CROQUIS!$C$104=1,CROQUIS!$C$97+12,CROQUIS!$C$97-2),CROQUIS!$C$97-CROQUIS!$C$107/2-CROQUIS!$C$143,CROQUIS!$C$97)))*CROQUIS!$C$159)+IF(CROQUIS!$C$92="X",0.8,0)),-1000)</f>
        <v>-1000</v>
      </c>
      <c r="BV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HOOSE(IF(INT(($A38-1)/5)&gt;MAX((MAX(1,INT(((CROQUIS!$C$97)-CROQUIS!$C$107)/MAX((CROQUIS!$C$141*MAX(1,CEILING((INT(((CROQUIS!$C$97)-CROQUIS!$C$107)/MAX(CROQUIS!$C$141,1))+1)/80,1))),1))+1))-1,0),0,MOD($A38-1,5))+1,0,IF(CROQUIS!$C$105=1,-12,2),CROQUIS!$C$107/2+CROQUIS!$C$144,IF(CROQUIS!$C$105=1,-12,2),0)))*CROQUIS!$C$159)+IF(CROQUIS!$C$92="X",0.8,0)),-1000)</f>
        <v>-1000</v>
      </c>
      <c r="BW38">
        <f>IF(AND(CROQUIS!$C$88=1,CROQUIS!$C$91=0,CROQUIS!$C$141&gt;0,OR(CROQUIS!$C$105=1,CROQUIS!$C$146=1)),((CROQUIS!$C$161+(IF(CROQUIS!$C$92="X",CHOOSE(IF(INT(($A38-1)/5)&gt;MAX((MAX(1,INT(((CROQUIS!$C$97)-CROQUIS!$C$107)/MAX((CROQUIS!$C$141*MAX(1,CEILING((INT(((CROQUIS!$C$97)-CROQUIS!$C$107)/MAX(CROQUIS!$C$141,1))+1)/80,1))),1))+1))-1,0),0,MOD($A38-1,5))+1,0,IF(CROQUIS!$C$105=1,-12,2),CROQUIS!$C$107/2+CROQUIS!$C$144,IF(CROQUIS!$C$105=1,-12,2),0),((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ROQUIS!$C$159)+IF(CROQUIS!$C$92="X",0,0.8)),-1000)</f>
        <v>-1000</v>
      </c>
      <c r="BX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HOOSE(IF(INT(($A38-1)/5)&gt;MAX((MAX(1,INT(((CROQUIS!$C$97)-CROQUIS!$C$107)/MAX((CROQUIS!$C$141*MAX(1,CEILING((INT(((CROQUIS!$C$97)-CROQUIS!$C$107)/MAX(CROQUIS!$C$141,1))+1)/80,1))),1))+1))-1,0),0,MOD($A38-1,5))+1,CROQUIS!$C$98,CROQUIS!$C$98-CROQUIS!$C$107/2-CROQUIS!$C$144,IF(CROQUIS!$C$106=1,CROQUIS!$C$98+12,CROQUIS!$C$98-2),CROQUIS!$C$98-CROQUIS!$C$107/2-CROQUIS!$C$144,CROQUIS!$C$98)))*CROQUIS!$C$159)+IF(CROQUIS!$C$92="X",0.8,0)),-1000)</f>
        <v>-1000</v>
      </c>
      <c r="BY38">
        <f>IF(AND(CROQUIS!$C$88=1,CROQUIS!$C$91=0,CROQUIS!$C$141&gt;0,OR(CROQUIS!$C$106=1,CROQUIS!$C$146=1)),((CROQUIS!$C$161+(IF(CROQUIS!$C$92="X",CHOOSE(IF(INT(($A38-1)/5)&gt;MAX((MAX(1,INT(((CROQUIS!$C$97)-CROQUIS!$C$107)/MAX((CROQUIS!$C$141*MAX(1,CEILING((INT(((CROQUIS!$C$97)-CROQUIS!$C$107)/MAX(CROQUIS!$C$141,1))+1)/80,1))),1))+1))-1,0),0,MOD($A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ROQUIS!$C$159)+IF(CROQUIS!$C$92="X",0,0.8)),-1000)</f>
        <v>-1000</v>
      </c>
      <c r="BZ38">
        <f>IF(AND(CROQUIS!$C$88=1,CROQUIS!$C$91=1,CROQUIS!$C$133&gt;0),((CROQUIS!$C$160+(IF(CROQUIS!$C$92="X",CHOOSE(IF(INT(($A38-1)/5)&gt;MAX((MAX(1,INT(((CROQUIS!$C$98)-CROQUIS!$C$107)/MAX((CROQUIS!$C$133*MAX(1,CEILING((INT(((CROQUIS!$C$98)-CROQUIS!$C$107)/MAX(CROQUIS!$C$133,1))+1)/80,1))),1))+1))-1,0),0,MOD($A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CA38">
        <f>IF(AND(CROQUIS!$C$88=1,CROQUIS!$C$91=1,CROQUIS!$C$133&gt;0),((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
      <c r="A39" t="n">
        <v>32</v>
      </c>
      <c r="F39">
        <f>IF(AND(CROQUIS!$C$87=1,CROQUIS!$C$91=1),((CROQUIS!$C$160+(IF(CROQUIS!$C$92="X",IF(CROQUIS!$C$94=1,0,CROQUIS!$C$97)+IF(MOD($A39,2)=1,-CROQUIS!$C$107/2,CROQUIS!$C$107/2),(MIN($A39,41)-1)/40*CROQUIS!$C$98))*CROQUIS!$C$159)+IF(CROQUIS!$C$92="X",0,0)),-1000)</f>
        <v>-1000</v>
      </c>
      <c r="G39">
        <f>IF(AND(CROQUIS!$C$87=1,CROQUIS!$C$91=1),((CROQUIS!$C$161+(IF(CROQUIS!$C$92="X",(MIN($A39,41)-1)/40*CROQUIS!$C$98,IF(CROQUIS!$C$94=1,0,CROQUIS!$C$97)+IF(MOD($A39,2)=1,-CROQUIS!$C$107/2,CROQUIS!$C$107/2)))*CROQUIS!$C$159)+IF(CROQUIS!$C$92="X",0,0)),-1000)</f>
        <v>-1000</v>
      </c>
      <c r="V39">
        <f>IF(AND(CROQUIS!$C$88=1,CROQUIS!$C$91=1),((CROQUIS!$C$160+(IF(CROQUIS!$C$92="X",IF(CROQUIS!$C$94=1,0,CROQUIS!$C$97)+IF(MOD($A39,2)=1,-CROQUIS!$C$107/2,CROQUIS!$C$107/2),(MIN($A39,41)-1)/40*CROQUIS!$C$98))*CROQUIS!$C$159)+IF(CROQUIS!$C$92="X",0,0)),-1000)</f>
        <v>-1000</v>
      </c>
      <c r="W39">
        <f>IF(AND(CROQUIS!$C$88=1,CROQUIS!$C$91=1),((CROQUIS!$C$161+(IF(CROQUIS!$C$92="X",(MIN($A39,41)-1)/40*CROQUIS!$C$98,IF(CROQUIS!$C$94=1,0,CROQUIS!$C$97)+IF(MOD($A39,2)=1,-CROQUIS!$C$107/2,CROQUIS!$C$107/2)))*CROQUIS!$C$159)+IF(CROQUIS!$C$92="X",0,0)),-1000)</f>
        <v>-1000</v>
      </c>
      <c r="AJ39">
        <f>IF(AND(CROQUIS!$C$87=1,CROQUIS!$C$162&gt;0,CROQUIS!$C$164&gt;0),(CROQUIS!$C$160+((CROQUIS!$C$163+INT(MIN(INT(($A39-1)/2),MAX((2*CROQUIS!$C$162)-1,0))/2)*CROQUIS!$C$116+MOD(MIN(INT(($A39-1)/2),MAX((2*CROQUIS!$C$162)-1,0)),2)*CROQUIS!$C$114))*CROQUIS!$C$159),-1000)</f>
        <v>81.3375508359693</v>
      </c>
      <c r="AK39">
        <f>IF(AND(CROQUIS!$C$87=1,CROQUIS!$C$162&gt;0,CROQUIS!$C$164&gt;0),(CROQUIS!$C$161+(IF(MOD(MIN(INT(($A39-1)/2),MAX((2*CROQUIS!$C$162)-1,0)),2)=0,IF(IF(INT(($A39-1)/2)&gt;MAX((2*CROQUIS!$C$162)-1,0),1,MOD($A39-1,2))=0,CROQUIS!$C$165,(CROQUIS!$C$165+(CROQUIS!$C$164-1)*CROQUIS!$C$116+CROQUIS!$C$115)),IF(IF(INT(($A39-1)/2)&gt;MAX((2*CROQUIS!$C$162)-1,0),1,MOD($A39-1,2))=0,(CROQUIS!$C$165+(CROQUIS!$C$164-1)*CROQUIS!$C$116+CROQUIS!$C$115),CROQUIS!$C$165)))*CROQUIS!$C$159),-1000)</f>
        <v>20.8088567555355</v>
      </c>
      <c r="AL39">
        <f>IF(AND(CROQUIS!$C$87=1,CROQUIS!$C$164&gt;0,CROQUIS!$C$162&gt;0),(CROQUIS!$C$160+(IF(MOD(MIN(INT(($A39-1)/2),MAX((2*CROQUIS!$C$164)-1,0)),2)=0,IF(IF(INT(($A39-1)/2)&gt;MAX((2*CROQUIS!$C$164)-1,0),1,MOD($A39-1,2))=0,CROQUIS!$C$163,(CROQUIS!$C$163+(CROQUIS!$C$162-1)*CROQUIS!$C$116+CROQUIS!$C$114)),IF(IF(INT(($A39-1)/2)&gt;MAX((2*CROQUIS!$C$164)-1,0),1,MOD($A39-1,2))=0,(CROQUIS!$C$163+(CROQUIS!$C$162-1)*CROQUIS!$C$116+CROQUIS!$C$114),CROQUIS!$C$163)))*CROQUIS!$C$159),-1000)</f>
        <v>22.9552643470402</v>
      </c>
      <c r="AM39">
        <f>IF(AND(CROQUIS!$C$87=1,CROQUIS!$C$164&gt;0,CROQUIS!$C$162&gt;0),(CROQUIS!$C$161+((CROQUIS!$C$165+INT(MIN(INT(($A39-1)/2),MAX((2*CROQUIS!$C$164)-1,0))/2)*CROQUIS!$C$116+MOD(MIN(INT(($A39-1)/2),MAX((2*CROQUIS!$C$164)-1,0)),2)*CROQUIS!$C$115))*CROQUIS!$C$159),-1000)</f>
        <v>79.1911432444645</v>
      </c>
      <c r="AN39">
        <f>IF(AND(CROQUIS!$C$87=1,CROQUIS!$C$162&gt;=2),(CROQUIS!$C$160+((CROQUIS!$C$163+CROQUIS!$C$114+(CROQUIS!$C$116-CROQUIS!$C$114)/2+MIN(INT(($A39-1)/2),MAX((CROQUIS!$C$162-1)-1,0))*CROQUIS!$C$116))*CROQUIS!$C$159),-1000)</f>
        <v>70.1762313601446</v>
      </c>
      <c r="AO39">
        <f>IF(AND(CROQUIS!$C$87=1,CROQUIS!$C$162&gt;=2),(CROQUIS!$C$161+(IF(MOD(MIN(INT(($A39-1)/2),MAX((CROQUIS!$C$162-1)-1,0)),2)=0,IF(IF(INT(($A39-1)/2)&gt;MAX((CROQUIS!$C$162-1)-1,0),1,MOD($A39-1,2))=0,CROQUIS!$C$107/2,(CROQUIS!$C$96-CROQUIS!$C$107/2)),IF(IF(INT(($A39-1)/2)&gt;MAX((CROQUIS!$C$162-1)-1,0),1,MOD($A39-1,2))=0,(CROQUIS!$C$96-CROQUIS!$C$107/2),CROQUIS!$C$107/2)))*CROQUIS!$C$159),-1000)</f>
        <v>16.9453230908269</v>
      </c>
      <c r="AP39">
        <f>IF(AND(CROQUIS!$C$87=1,CROQUIS!$C$164&gt;=2),(CROQUIS!$C$160+(IF(MOD(MIN(INT(($A39-1)/2),MAX((CROQUIS!$C$164-1)-1,0)),2)=0,IF(IF(INT(($A39-1)/2)&gt;MAX((CROQUIS!$C$164-1)-1,0),1,MOD($A39-1,2))=0,CROQUIS!$C$107/2,(CROQUIS!$C$95-CROQUIS!$C$107/2)),IF(IF(INT(($A39-1)/2)&gt;MAX((CROQUIS!$C$164-1)-1,0),1,MOD($A39-1,2))=0,(CROQUIS!$C$95-CROQUIS!$C$107/2),CROQUIS!$C$107/2)))*CROQUIS!$C$159),-1000)</f>
        <v>13.2878445549028</v>
      </c>
      <c r="AQ39">
        <f>IF(AND(CROQUIS!$C$87=1,CROQUIS!$C$164&gt;=2),(CROQUIS!$C$161+((CROQUIS!$C$165+CROQUIS!$C$115+(CROQUIS!$C$116-CROQUIS!$C$115)/2+MIN(INT(($A39-1)/2),MAX((CROQUIS!$C$164-1)-1,0))*CROQUIS!$C$116))*CROQUIS!$C$159),-1000)</f>
        <v>68.0298237686399</v>
      </c>
      <c r="BN39">
        <f>IF(AND(CROQUIS!$C$88=1,CROQUIS!$C$129&gt;0),((CROQUIS!$C$160+(IF(CROQUIS!$C$92="X",CHOOSE(IF(INT(($A39-1)/5)&gt;MAX((MAX(1,INT(((CROQUIS!$C$98)-CROQUIS!$C$107)/MAX((CROQUIS!$C$129*MAX(1,CEILING((INT(((CROQUIS!$C$98)-CROQUIS!$C$107)/MAX(CROQUIS!$C$129,1))+1)/80,1))),1))+1))-1,0),0,MOD($A39-1,5))+1,0,2,CROQUIS!$C$97-2,2,0),((CROQUIS!$C$107/2+(((CROQUIS!$C$98)-CROQUIS!$C$107)-(MAX(1,INT(((CROQUIS!$C$98)-CROQUIS!$C$107)/MAX((CROQUIS!$C$129*MAX(1,CEILING((INT(((CROQUIS!$C$98)-CROQUIS!$C$107)/MAX(CROQUIS!$C$129,1))+1)/80,1))),1))+1)-1)*(CROQUIS!$C$129*MAX(1,CEILING((INT(((CROQUIS!$C$98)-CROQUIS!$C$107)/MAX(CROQUIS!$C$129,1))+1)/80,1))))/2)+MIN(INT(($A39-1)/5),MAX((MAX(1,INT(((CROQUIS!$C$98)-CROQUIS!$C$107)/MAX((CROQUIS!$C$129*MAX(1,CEILING((INT(((CROQUIS!$C$98)-CROQUIS!$C$107)/MAX(CROQUIS!$C$129,1))+1)/80,1))),1))+1))-1,0))*(CROQUIS!$C$129*MAX(1,CEILING((INT(((CROQUIS!$C$98)-CROQUIS!$C$107)/MAX(CROQUIS!$C$129,1))+1)/80,1))))))*CROQUIS!$C$159)+IF(CROQUIS!$C$92="X",0,0)),-1000)</f>
        <v>-1000</v>
      </c>
      <c r="BO39">
        <f>IF(AND(CROQUIS!$C$88=1,CROQUIS!$C$129&gt;0),((CROQUIS!$C$161+(IF(CROQUIS!$C$92="X",((CROQUIS!$C$107/2+(((CROQUIS!$C$98)-CROQUIS!$C$107)-(MAX(1,INT(((CROQUIS!$C$98)-CROQUIS!$C$107)/MAX((CROQUIS!$C$129*MAX(1,CEILING((INT(((CROQUIS!$C$98)-CROQUIS!$C$107)/MAX(CROQUIS!$C$129,1))+1)/80,1))),1))+1)-1)*(CROQUIS!$C$129*MAX(1,CEILING((INT(((CROQUIS!$C$98)-CROQUIS!$C$107)/MAX(CROQUIS!$C$129,1))+1)/80,1))))/2)+MIN(INT(($A39-1)/5),MAX((MAX(1,INT(((CROQUIS!$C$98)-CROQUIS!$C$107)/MAX((CROQUIS!$C$129*MAX(1,CEILING((INT(((CROQUIS!$C$98)-CROQUIS!$C$107)/MAX(CROQUIS!$C$129,1))+1)/80,1))),1))+1))-1,0))*(CROQUIS!$C$129*MAX(1,CEILING((INT(((CROQUIS!$C$98)-CROQUIS!$C$107)/MAX(CROQUIS!$C$129,1))+1)/80,1)))),CHOOSE(IF(INT(($A39-1)/5)&gt;MAX((MAX(1,INT(((CROQUIS!$C$98)-CROQUIS!$C$107)/MAX((CROQUIS!$C$129*MAX(1,CEILING((INT(((CROQUIS!$C$98)-CROQUIS!$C$107)/MAX(CROQUIS!$C$129,1))+1)/80,1))),1))+1))-1,0),0,MOD($A39-1,5))+1,0,2,CROQUIS!$C$97-2,2,0)))*CROQUIS!$C$159)+IF(CROQUIS!$C$92="X",0,0)),-1000)</f>
        <v>-1000</v>
      </c>
      <c r="BP39">
        <f>IF(AND(CROQUIS!$C$88=1,CROQUIS!$C$137&gt;0),((CROQUIS!$C$160+(IF(CROQUIS!$C$92="X",((CROQUIS!$C$107/2+(((CROQUIS!$C$97)-CROQUIS!$C$107)-(MAX(1,INT(((CROQUIS!$C$97)-CROQUIS!$C$107)/MAX((CROQUIS!$C$137*MAX(1,CEILING((INT(((CROQUIS!$C$97)-CROQUIS!$C$107)/MAX(CROQUIS!$C$137,1))+1)/80,1))),1))+1)-1)*(CROQUIS!$C$137*MAX(1,CEILING((INT(((CROQUIS!$C$97)-CROQUIS!$C$107)/MAX(CROQUIS!$C$137,1))+1)/80,1))))/2)+MIN(INT(($A39-1)/5),MAX((MAX(1,INT(((CROQUIS!$C$97)-CROQUIS!$C$107)/MAX((CROQUIS!$C$137*MAX(1,CEILING((INT(((CROQUIS!$C$97)-CROQUIS!$C$107)/MAX(CROQUIS!$C$137,1))+1)/80,1))),1))+1))-1,0))*(CROQUIS!$C$137*MAX(1,CEILING((INT(((CROQUIS!$C$97)-CROQUIS!$C$107)/MAX(CROQUIS!$C$137,1))+1)/80,1)))),CHOOSE(IF(INT(($A39-1)/5)&gt;MAX((MAX(1,INT(((CROQUIS!$C$97)-CROQUIS!$C$107)/MAX((CROQUIS!$C$137*MAX(1,CEILING((INT(((CROQUIS!$C$97)-CROQUIS!$C$107)/MAX(CROQUIS!$C$137,1))+1)/80,1))),1))+1))-1,0),0,MOD($A39-1,5))+1,0,2,CROQUIS!$C$98-2,2,0)))*CROQUIS!$C$159)+IF(CROQUIS!$C$92="X",0,0)),-1000)</f>
        <v>-1000</v>
      </c>
      <c r="BQ39">
        <f>IF(AND(CROQUIS!$C$88=1,CROQUIS!$C$137&gt;0),((CROQUIS!$C$161+(IF(CROQUIS!$C$92="X",CHOOSE(IF(INT(($A39-1)/5)&gt;MAX((MAX(1,INT(((CROQUIS!$C$97)-CROQUIS!$C$107)/MAX((CROQUIS!$C$137*MAX(1,CEILING((INT(((CROQUIS!$C$97)-CROQUIS!$C$107)/MAX(CROQUIS!$C$137,1))+1)/80,1))),1))+1))-1,0),0,MOD($A39-1,5))+1,0,2,CROQUIS!$C$98-2,2,0),((CROQUIS!$C$107/2+(((CROQUIS!$C$97)-CROQUIS!$C$107)-(MAX(1,INT(((CROQUIS!$C$97)-CROQUIS!$C$107)/MAX((CROQUIS!$C$137*MAX(1,CEILING((INT(((CROQUIS!$C$97)-CROQUIS!$C$107)/MAX(CROQUIS!$C$137,1))+1)/80,1))),1))+1)-1)*(CROQUIS!$C$137*MAX(1,CEILING((INT(((CROQUIS!$C$97)-CROQUIS!$C$107)/MAX(CROQUIS!$C$137,1))+1)/80,1))))/2)+MIN(INT(($A39-1)/5),MAX((MAX(1,INT(((CROQUIS!$C$97)-CROQUIS!$C$107)/MAX((CROQUIS!$C$137*MAX(1,CEILING((INT(((CROQUIS!$C$97)-CROQUIS!$C$107)/MAX(CROQUIS!$C$137,1))+1)/80,1))),1))+1))-1,0))*(CROQUIS!$C$137*MAX(1,CEILING((INT(((CROQUIS!$C$97)-CROQUIS!$C$107)/MAX(CROQUIS!$C$137,1))+1)/80,1))))))*CROQUIS!$C$159)+IF(CROQUIS!$C$92="X",0,0)),-1000)</f>
        <v>-1000</v>
      </c>
      <c r="BR39">
        <f>IF(AND(CROQUIS!$C$88=1,CROQUIS!$C$91=0,CROQUIS!$C$133&gt;0,OR(CROQUIS!$C$103=1,CROQUIS!$C$145=1)),((CROQUIS!$C$160+(IF(CROQUIS!$C$92="X",CHOOSE(IF(INT(($A39-1)/5)&gt;MAX((MAX(1,INT(((CROQUIS!$C$98)-CROQUIS!$C$107)/MAX((CROQUIS!$C$133*MAX(1,CEILING((INT(((CROQUIS!$C$98)-CROQUIS!$C$107)/MAX(CROQUIS!$C$133,1))+1)/80,1))),1))+1))-1,0),0,MOD($A39-1,5))+1,0,IF(CROQUIS!$C$103=1,-12,2),CROQUIS!$C$107/2+CROQUIS!$C$143,IF(CROQUIS!$C$103=1,-12,2),0),((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BS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+1,0,IF(CROQUIS!$C$103=1,-12,2),CROQUIS!$C$107/2+CROQUIS!$C$143,IF(CROQUIS!$C$103=1,-12,2),0)))*CROQUIS!$C$159)+IF(CROQUIS!$C$92="X",0.8,0)),-1000)</f>
        <v>-1000</v>
      </c>
      <c r="BT39">
        <f>IF(AND(CROQUIS!$C$88=1,CROQUIS!$C$91=0,CROQUIS!$C$133&gt;0,OR(CROQUIS!$C$104=1,CROQUIS!$C$145=1)),((CROQUIS!$C$160+(IF(CROQUIS!$C$92="X",CHOOSE(IF(INT(($A39-1)/5)&gt;MAX((MAX(1,INT(((CROQUIS!$C$98)-CROQUIS!$C$107)/MAX((CROQUIS!$C$133*MAX(1,CEILING((INT(((CROQUIS!$C$98)-CROQUIS!$C$107)/MAX(CROQUIS!$C$133,1))+1)/80,1))),1))+1))-1,0),0,MOD($A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BU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CROQUIS!$C$97,CROQUIS!$C$97-CROQUIS!$C$107/2-CROQUIS!$C$143,IF(CROQUIS!$C$104=1,CROQUIS!$C$97+12,CROQUIS!$C$97-2),CROQUIS!$C$97-CROQUIS!$C$107/2-CROQUIS!$C$143,CROQUIS!$C$97)))*CROQUIS!$C$159)+IF(CROQUIS!$C$92="X",0.8,0)),-1000)</f>
        <v>-1000</v>
      </c>
      <c r="BV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HOOSE(IF(INT(($A39-1)/5)&gt;MAX((MAX(1,INT(((CROQUIS!$C$97)-CROQUIS!$C$107)/MAX((CROQUIS!$C$141*MAX(1,CEILING((INT(((CROQUIS!$C$97)-CROQUIS!$C$107)/MAX(CROQUIS!$C$141,1))+1)/80,1))),1))+1))-1,0),0,MOD($A39-1,5))+1,0,IF(CROQUIS!$C$105=1,-12,2),CROQUIS!$C$107/2+CROQUIS!$C$144,IF(CROQUIS!$C$105=1,-12,2),0)))*CROQUIS!$C$159)+IF(CROQUIS!$C$92="X",0.8,0)),-1000)</f>
        <v>-1000</v>
      </c>
      <c r="BW39">
        <f>IF(AND(CROQUIS!$C$88=1,CROQUIS!$C$91=0,CROQUIS!$C$141&gt;0,OR(CROQUIS!$C$105=1,CROQUIS!$C$146=1)),((CROQUIS!$C$161+(IF(CROQUIS!$C$92="X",CHOOSE(IF(INT(($A39-1)/5)&gt;MAX((MAX(1,INT(((CROQUIS!$C$97)-CROQUIS!$C$107)/MAX((CROQUIS!$C$141*MAX(1,CEILING((INT(((CROQUIS!$C$97)-CROQUIS!$C$107)/MAX(CROQUIS!$C$141,1))+1)/80,1))),1))+1))-1,0),0,MOD($A39-1,5))+1,0,IF(CROQUIS!$C$105=1,-12,2),CROQUIS!$C$107/2+CROQUIS!$C$144,IF(CROQUIS!$C$105=1,-12,2),0),((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ROQUIS!$C$159)+IF(CROQUIS!$C$92="X",0,0.8)),-1000)</f>
        <v>-1000</v>
      </c>
      <c r="BX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HOOSE(IF(INT(($A39-1)/5)&gt;MAX((MAX(1,INT(((CROQUIS!$C$97)-CROQUIS!$C$107)/MAX((CROQUIS!$C$141*MAX(1,CEILING((INT(((CROQUIS!$C$97)-CROQUIS!$C$107)/MAX(CROQUIS!$C$141,1))+1)/80,1))),1))+1))-1,0),0,MOD($A39-1,5))+1,CROQUIS!$C$98,CROQUIS!$C$98-CROQUIS!$C$107/2-CROQUIS!$C$144,IF(CROQUIS!$C$106=1,CROQUIS!$C$98+12,CROQUIS!$C$98-2),CROQUIS!$C$98-CROQUIS!$C$107/2-CROQUIS!$C$144,CROQUIS!$C$98)))*CROQUIS!$C$159)+IF(CROQUIS!$C$92="X",0.8,0)),-1000)</f>
        <v>-1000</v>
      </c>
      <c r="BY39">
        <f>IF(AND(CROQUIS!$C$88=1,CROQUIS!$C$91=0,CROQUIS!$C$141&gt;0,OR(CROQUIS!$C$106=1,CROQUIS!$C$146=1)),((CROQUIS!$C$161+(IF(CROQUIS!$C$92="X",CHOOSE(IF(INT(($A39-1)/5)&gt;MAX((MAX(1,INT(((CROQUIS!$C$97)-CROQUIS!$C$107)/MAX((CROQUIS!$C$141*MAX(1,CEILING((INT(((CROQUIS!$C$97)-CROQUIS!$C$107)/MAX(CROQUIS!$C$141,1))+1)/80,1))),1))+1))-1,0),0,MOD($A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ROQUIS!$C$159)+IF(CROQUIS!$C$92="X",0,0.8)),-1000)</f>
        <v>-1000</v>
      </c>
      <c r="BZ39">
        <f>IF(AND(CROQUIS!$C$88=1,CROQUIS!$C$91=1,CROQUIS!$C$133&gt;0),((CROQUIS!$C$160+(IF(CROQUIS!$C$92="X",CHOOSE(IF(INT(($A39-1)/5)&gt;MAX((MAX(1,INT(((CROQUIS!$C$98)-CROQUIS!$C$107)/MAX((CROQUIS!$C$133*MAX(1,CEILING((INT(((CROQUIS!$C$98)-CROQUIS!$C$107)/MAX(CROQUIS!$C$133,1))+1)/80,1))),1))+1))-1,0),0,MOD($A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CA39">
        <f>IF(AND(CROQUIS!$C$88=1,CROQUIS!$C$91=1,CROQUIS!$C$133&gt;0),((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
      <c r="A40" t="n">
        <v>33</v>
      </c>
      <c r="F40">
        <f>IF(AND(CROQUIS!$C$87=1,CROQUIS!$C$91=1),((CROQUIS!$C$160+(IF(CROQUIS!$C$92="X",IF(CROQUIS!$C$94=1,0,CROQUIS!$C$97)+IF(MOD($A40,2)=1,-CROQUIS!$C$107/2,CROQUIS!$C$107/2),(MIN($A40,41)-1)/40*CROQUIS!$C$98))*CROQUIS!$C$159)+IF(CROQUIS!$C$92="X",0,0)),-1000)</f>
        <v>-1000</v>
      </c>
      <c r="G40">
        <f>IF(AND(CROQUIS!$C$87=1,CROQUIS!$C$91=1),((CROQUIS!$C$161+(IF(CROQUIS!$C$92="X",(MIN($A40,41)-1)/40*CROQUIS!$C$98,IF(CROQUIS!$C$94=1,0,CROQUIS!$C$97)+IF(MOD($A40,2)=1,-CROQUIS!$C$107/2,CROQUIS!$C$107/2)))*CROQUIS!$C$159)+IF(CROQUIS!$C$92="X",0,0)),-1000)</f>
        <v>-1000</v>
      </c>
      <c r="V40">
        <f>IF(AND(CROQUIS!$C$88=1,CROQUIS!$C$91=1),((CROQUIS!$C$160+(IF(CROQUIS!$C$92="X",IF(CROQUIS!$C$94=1,0,CROQUIS!$C$97)+IF(MOD($A40,2)=1,-CROQUIS!$C$107/2,CROQUIS!$C$107/2),(MIN($A40,41)-1)/40*CROQUIS!$C$98))*CROQUIS!$C$159)+IF(CROQUIS!$C$92="X",0,0)),-1000)</f>
        <v>-1000</v>
      </c>
      <c r="W40">
        <f>IF(AND(CROQUIS!$C$88=1,CROQUIS!$C$91=1),((CROQUIS!$C$161+(IF(CROQUIS!$C$92="X",(MIN($A40,41)-1)/40*CROQUIS!$C$98,IF(CROQUIS!$C$94=1,0,CROQUIS!$C$97)+IF(MOD($A40,2)=1,-CROQUIS!$C$107/2,CROQUIS!$C$107/2)))*CROQUIS!$C$159)+IF(CROQUIS!$C$92="X",0,0)),-1000)</f>
        <v>-1000</v>
      </c>
      <c r="AJ40">
        <f>IF(AND(CROQUIS!$C$87=1,CROQUIS!$C$162&gt;0,CROQUIS!$C$164&gt;0),(CROQUIS!$C$160+((CROQUIS!$C$163+INT(MIN(INT(($A40-1)/2),MAX((2*CROQUIS!$C$162)-1,0))/2)*CROQUIS!$C$116+MOD(MIN(INT(($A40-1)/2),MAX((2*CROQUIS!$C$162)-1,0)),2)*CROQUIS!$C$114))*CROQUIS!$C$159),-1000)</f>
        <v>81.3375508359693</v>
      </c>
      <c r="AK40">
        <f>IF(AND(CROQUIS!$C$87=1,CROQUIS!$C$162&gt;0,CROQUIS!$C$164&gt;0),(CROQUIS!$C$161+(IF(MOD(MIN(INT(($A40-1)/2),MAX((2*CROQUIS!$C$162)-1,0)),2)=0,IF(IF(INT(($A40-1)/2)&gt;MAX((2*CROQUIS!$C$162)-1,0),1,MOD($A40-1,2))=0,CROQUIS!$C$165,(CROQUIS!$C$165+(CROQUIS!$C$164-1)*CROQUIS!$C$116+CROQUIS!$C$115)),IF(IF(INT(($A40-1)/2)&gt;MAX((2*CROQUIS!$C$162)-1,0),1,MOD($A40-1,2))=0,(CROQUIS!$C$165+(CROQUIS!$C$164-1)*CROQUIS!$C$116+CROQUIS!$C$115),CROQUIS!$C$165)))*CROQUIS!$C$159),-1000)</f>
        <v>20.8088567555355</v>
      </c>
      <c r="AL40">
        <f>IF(AND(CROQUIS!$C$87=1,CROQUIS!$C$164&gt;0,CROQUIS!$C$162&gt;0),(CROQUIS!$C$160+(IF(MOD(MIN(INT(($A40-1)/2),MAX((2*CROQUIS!$C$164)-1,0)),2)=0,IF(IF(INT(($A40-1)/2)&gt;MAX((2*CROQUIS!$C$164)-1,0),1,MOD($A40-1,2))=0,CROQUIS!$C$163,(CROQUIS!$C$163+(CROQUIS!$C$162-1)*CROQUIS!$C$116+CROQUIS!$C$114)),IF(IF(INT(($A40-1)/2)&gt;MAX((2*CROQUIS!$C$164)-1,0),1,MOD($A40-1,2))=0,(CROQUIS!$C$163+(CROQUIS!$C$162-1)*CROQUIS!$C$116+CROQUIS!$C$114),CROQUIS!$C$163)))*CROQUIS!$C$159),-1000)</f>
        <v>22.9552643470402</v>
      </c>
      <c r="AM40">
        <f>IF(AND(CROQUIS!$C$87=1,CROQUIS!$C$164&gt;0,CROQUIS!$C$162&gt;0),(CROQUIS!$C$161+((CROQUIS!$C$165+INT(MIN(INT(($A40-1)/2),MAX((2*CROQUIS!$C$164)-1,0))/2)*CROQUIS!$C$116+MOD(MIN(INT(($A40-1)/2),MAX((2*CROQUIS!$C$164)-1,0)),2)*CROQUIS!$C$115))*CROQUIS!$C$159),-1000)</f>
        <v>79.1911432444645</v>
      </c>
      <c r="AN40">
        <f>IF(AND(CROQUIS!$C$87=1,CROQUIS!$C$162&gt;=2),(CROQUIS!$C$160+((CROQUIS!$C$163+CROQUIS!$C$114+(CROQUIS!$C$116-CROQUIS!$C$114)/2+MIN(INT(($A40-1)/2),MAX((CROQUIS!$C$162-1)-1,0))*CROQUIS!$C$116))*CROQUIS!$C$159),-1000)</f>
        <v>70.1762313601446</v>
      </c>
      <c r="AO40">
        <f>IF(AND(CROQUIS!$C$87=1,CROQUIS!$C$162&gt;=2),(CROQUIS!$C$161+(IF(MOD(MIN(INT(($A40-1)/2),MAX((CROQUIS!$C$162-1)-1,0)),2)=0,IF(IF(INT(($A40-1)/2)&gt;MAX((CROQUIS!$C$162-1)-1,0),1,MOD($A40-1,2))=0,CROQUIS!$C$107/2,(CROQUIS!$C$96-CROQUIS!$C$107/2)),IF(IF(INT(($A40-1)/2)&gt;MAX((CROQUIS!$C$162-1)-1,0),1,MOD($A40-1,2))=0,(CROQUIS!$C$96-CROQUIS!$C$107/2),CROQUIS!$C$107/2)))*CROQUIS!$C$159),-1000)</f>
        <v>16.9453230908269</v>
      </c>
      <c r="AP40">
        <f>IF(AND(CROQUIS!$C$87=1,CROQUIS!$C$164&gt;=2),(CROQUIS!$C$160+(IF(MOD(MIN(INT(($A40-1)/2),MAX((CROQUIS!$C$164-1)-1,0)),2)=0,IF(IF(INT(($A40-1)/2)&gt;MAX((CROQUIS!$C$164-1)-1,0),1,MOD($A40-1,2))=0,CROQUIS!$C$107/2,(CROQUIS!$C$95-CROQUIS!$C$107/2)),IF(IF(INT(($A40-1)/2)&gt;MAX((CROQUIS!$C$164-1)-1,0),1,MOD($A40-1,2))=0,(CROQUIS!$C$95-CROQUIS!$C$107/2),CROQUIS!$C$107/2)))*CROQUIS!$C$159),-1000)</f>
        <v>13.2878445549028</v>
      </c>
      <c r="AQ40">
        <f>IF(AND(CROQUIS!$C$87=1,CROQUIS!$C$164&gt;=2),(CROQUIS!$C$161+((CROQUIS!$C$165+CROQUIS!$C$115+(CROQUIS!$C$116-CROQUIS!$C$115)/2+MIN(INT(($A40-1)/2),MAX((CROQUIS!$C$164-1)-1,0))*CROQUIS!$C$116))*CROQUIS!$C$159),-1000)</f>
        <v>68.0298237686399</v>
      </c>
      <c r="BN40">
        <f>IF(AND(CROQUIS!$C$88=1,CROQUIS!$C$129&gt;0),((CROQUIS!$C$160+(IF(CROQUIS!$C$92="X",CHOOSE(IF(INT(($A40-1)/5)&gt;MAX((MAX(1,INT(((CROQUIS!$C$98)-CROQUIS!$C$107)/MAX((CROQUIS!$C$129*MAX(1,CEILING((INT(((CROQUIS!$C$98)-CROQUIS!$C$107)/MAX(CROQUIS!$C$129,1))+1)/80,1))),1))+1))-1,0),0,MOD($A40-1,5))+1,0,2,CROQUIS!$C$97-2,2,0),((CROQUIS!$C$107/2+(((CROQUIS!$C$98)-CROQUIS!$C$107)-(MAX(1,INT(((CROQUIS!$C$98)-CROQUIS!$C$107)/MAX((CROQUIS!$C$129*MAX(1,CEILING((INT(((CROQUIS!$C$98)-CROQUIS!$C$107)/MAX(CROQUIS!$C$129,1))+1)/80,1))),1))+1)-1)*(CROQUIS!$C$129*MAX(1,CEILING((INT(((CROQUIS!$C$98)-CROQUIS!$C$107)/MAX(CROQUIS!$C$129,1))+1)/80,1))))/2)+MIN(INT(($A40-1)/5),MAX((MAX(1,INT(((CROQUIS!$C$98)-CROQUIS!$C$107)/MAX((CROQUIS!$C$129*MAX(1,CEILING((INT(((CROQUIS!$C$98)-CROQUIS!$C$107)/MAX(CROQUIS!$C$129,1))+1)/80,1))),1))+1))-1,0))*(CROQUIS!$C$129*MAX(1,CEILING((INT(((CROQUIS!$C$98)-CROQUIS!$C$107)/MAX(CROQUIS!$C$129,1))+1)/80,1))))))*CROQUIS!$C$159)+IF(CROQUIS!$C$92="X",0,0)),-1000)</f>
        <v>-1000</v>
      </c>
      <c r="BO40">
        <f>IF(AND(CROQUIS!$C$88=1,CROQUIS!$C$129&gt;0),((CROQUIS!$C$161+(IF(CROQUIS!$C$92="X",((CROQUIS!$C$107/2+(((CROQUIS!$C$98)-CROQUIS!$C$107)-(MAX(1,INT(((CROQUIS!$C$98)-CROQUIS!$C$107)/MAX((CROQUIS!$C$129*MAX(1,CEILING((INT(((CROQUIS!$C$98)-CROQUIS!$C$107)/MAX(CROQUIS!$C$129,1))+1)/80,1))),1))+1)-1)*(CROQUIS!$C$129*MAX(1,CEILING((INT(((CROQUIS!$C$98)-CROQUIS!$C$107)/MAX(CROQUIS!$C$129,1))+1)/80,1))))/2)+MIN(INT(($A40-1)/5),MAX((MAX(1,INT(((CROQUIS!$C$98)-CROQUIS!$C$107)/MAX((CROQUIS!$C$129*MAX(1,CEILING((INT(((CROQUIS!$C$98)-CROQUIS!$C$107)/MAX(CROQUIS!$C$129,1))+1)/80,1))),1))+1))-1,0))*(CROQUIS!$C$129*MAX(1,CEILING((INT(((CROQUIS!$C$98)-CROQUIS!$C$107)/MAX(CROQUIS!$C$129,1))+1)/80,1)))),CHOOSE(IF(INT(($A40-1)/5)&gt;MAX((MAX(1,INT(((CROQUIS!$C$98)-CROQUIS!$C$107)/MAX((CROQUIS!$C$129*MAX(1,CEILING((INT(((CROQUIS!$C$98)-CROQUIS!$C$107)/MAX(CROQUIS!$C$129,1))+1)/80,1))),1))+1))-1,0),0,MOD($A40-1,5))+1,0,2,CROQUIS!$C$97-2,2,0)))*CROQUIS!$C$159)+IF(CROQUIS!$C$92="X",0,0)),-1000)</f>
        <v>-1000</v>
      </c>
      <c r="BP40">
        <f>IF(AND(CROQUIS!$C$88=1,CROQUIS!$C$137&gt;0),((CROQUIS!$C$160+(IF(CROQUIS!$C$92="X",((CROQUIS!$C$107/2+(((CROQUIS!$C$97)-CROQUIS!$C$107)-(MAX(1,INT(((CROQUIS!$C$97)-CROQUIS!$C$107)/MAX((CROQUIS!$C$137*MAX(1,CEILING((INT(((CROQUIS!$C$97)-CROQUIS!$C$107)/MAX(CROQUIS!$C$137,1))+1)/80,1))),1))+1)-1)*(CROQUIS!$C$137*MAX(1,CEILING((INT(((CROQUIS!$C$97)-CROQUIS!$C$107)/MAX(CROQUIS!$C$137,1))+1)/80,1))))/2)+MIN(INT(($A40-1)/5),MAX((MAX(1,INT(((CROQUIS!$C$97)-CROQUIS!$C$107)/MAX((CROQUIS!$C$137*MAX(1,CEILING((INT(((CROQUIS!$C$97)-CROQUIS!$C$107)/MAX(CROQUIS!$C$137,1))+1)/80,1))),1))+1))-1,0))*(CROQUIS!$C$137*MAX(1,CEILING((INT(((CROQUIS!$C$97)-CROQUIS!$C$107)/MAX(CROQUIS!$C$137,1))+1)/80,1)))),CHOOSE(IF(INT(($A40-1)/5)&gt;MAX((MAX(1,INT(((CROQUIS!$C$97)-CROQUIS!$C$107)/MAX((CROQUIS!$C$137*MAX(1,CEILING((INT(((CROQUIS!$C$97)-CROQUIS!$C$107)/MAX(CROQUIS!$C$137,1))+1)/80,1))),1))+1))-1,0),0,MOD($A40-1,5))+1,0,2,CROQUIS!$C$98-2,2,0)))*CROQUIS!$C$159)+IF(CROQUIS!$C$92="X",0,0)),-1000)</f>
        <v>-1000</v>
      </c>
      <c r="BQ40">
        <f>IF(AND(CROQUIS!$C$88=1,CROQUIS!$C$137&gt;0),((CROQUIS!$C$161+(IF(CROQUIS!$C$92="X",CHOOSE(IF(INT(($A40-1)/5)&gt;MAX((MAX(1,INT(((CROQUIS!$C$97)-CROQUIS!$C$107)/MAX((CROQUIS!$C$137*MAX(1,CEILING((INT(((CROQUIS!$C$97)-CROQUIS!$C$107)/MAX(CROQUIS!$C$137,1))+1)/80,1))),1))+1))-1,0),0,MOD($A40-1,5))+1,0,2,CROQUIS!$C$98-2,2,0),((CROQUIS!$C$107/2+(((CROQUIS!$C$97)-CROQUIS!$C$107)-(MAX(1,INT(((CROQUIS!$C$97)-CROQUIS!$C$107)/MAX((CROQUIS!$C$137*MAX(1,CEILING((INT(((CROQUIS!$C$97)-CROQUIS!$C$107)/MAX(CROQUIS!$C$137,1))+1)/80,1))),1))+1)-1)*(CROQUIS!$C$137*MAX(1,CEILING((INT(((CROQUIS!$C$97)-CROQUIS!$C$107)/MAX(CROQUIS!$C$137,1))+1)/80,1))))/2)+MIN(INT(($A40-1)/5),MAX((MAX(1,INT(((CROQUIS!$C$97)-CROQUIS!$C$107)/MAX((CROQUIS!$C$137*MAX(1,CEILING((INT(((CROQUIS!$C$97)-CROQUIS!$C$107)/MAX(CROQUIS!$C$137,1))+1)/80,1))),1))+1))-1,0))*(CROQUIS!$C$137*MAX(1,CEILING((INT(((CROQUIS!$C$97)-CROQUIS!$C$107)/MAX(CROQUIS!$C$137,1))+1)/80,1))))))*CROQUIS!$C$159)+IF(CROQUIS!$C$92="X",0,0)),-1000)</f>
        <v>-1000</v>
      </c>
      <c r="BR40">
        <f>IF(AND(CROQUIS!$C$88=1,CROQUIS!$C$91=0,CROQUIS!$C$133&gt;0,OR(CROQUIS!$C$103=1,CROQUIS!$C$145=1)),((CROQUIS!$C$160+(IF(CROQUIS!$C$92="X",CHOOSE(IF(INT(($A40-1)/5)&gt;MAX((MAX(1,INT(((CROQUIS!$C$98)-CROQUIS!$C$107)/MAX((CROQUIS!$C$133*MAX(1,CEILING((INT(((CROQUIS!$C$98)-CROQUIS!$C$107)/MAX(CROQUIS!$C$133,1))+1)/80,1))),1))+1))-1,0),0,MOD($A40-1,5))+1,0,IF(CROQUIS!$C$103=1,-12,2),CROQUIS!$C$107/2+CROQUIS!$C$143,IF(CROQUIS!$C$103=1,-12,2),0),((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BS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+1,0,IF(CROQUIS!$C$103=1,-12,2),CROQUIS!$C$107/2+CROQUIS!$C$143,IF(CROQUIS!$C$103=1,-12,2),0)))*CROQUIS!$C$159)+IF(CROQUIS!$C$92="X",0.8,0)),-1000)</f>
        <v>-1000</v>
      </c>
      <c r="BT40">
        <f>IF(AND(CROQUIS!$C$88=1,CROQUIS!$C$91=0,CROQUIS!$C$133&gt;0,OR(CROQUIS!$C$104=1,CROQUIS!$C$145=1)),((CROQUIS!$C$160+(IF(CROQUIS!$C$92="X",CHOOSE(IF(INT(($A40-1)/5)&gt;MAX((MAX(1,INT(((CROQUIS!$C$98)-CROQUIS!$C$107)/MAX((CROQUIS!$C$133*MAX(1,CEILING((INT(((CROQUIS!$C$98)-CROQUIS!$C$107)/MAX(CROQUIS!$C$133,1))+1)/80,1))),1))+1))-1,0),0,MOD($A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BU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CROQUIS!$C$97,CROQUIS!$C$97-CROQUIS!$C$107/2-CROQUIS!$C$143,IF(CROQUIS!$C$104=1,CROQUIS!$C$97+12,CROQUIS!$C$97-2),CROQUIS!$C$97-CROQUIS!$C$107/2-CROQUIS!$C$143,CROQUIS!$C$97)))*CROQUIS!$C$159)+IF(CROQUIS!$C$92="X",0.8,0)),-1000)</f>
        <v>-1000</v>
      </c>
      <c r="BV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HOOSE(IF(INT(($A40-1)/5)&gt;MAX((MAX(1,INT(((CROQUIS!$C$97)-CROQUIS!$C$107)/MAX((CROQUIS!$C$141*MAX(1,CEILING((INT(((CROQUIS!$C$97)-CROQUIS!$C$107)/MAX(CROQUIS!$C$141,1))+1)/80,1))),1))+1))-1,0),0,MOD($A40-1,5))+1,0,IF(CROQUIS!$C$105=1,-12,2),CROQUIS!$C$107/2+CROQUIS!$C$144,IF(CROQUIS!$C$105=1,-12,2),0)))*CROQUIS!$C$159)+IF(CROQUIS!$C$92="X",0.8,0)),-1000)</f>
        <v>-1000</v>
      </c>
      <c r="BW40">
        <f>IF(AND(CROQUIS!$C$88=1,CROQUIS!$C$91=0,CROQUIS!$C$141&gt;0,OR(CROQUIS!$C$105=1,CROQUIS!$C$146=1)),((CROQUIS!$C$161+(IF(CROQUIS!$C$92="X",CHOOSE(IF(INT(($A40-1)/5)&gt;MAX((MAX(1,INT(((CROQUIS!$C$97)-CROQUIS!$C$107)/MAX((CROQUIS!$C$141*MAX(1,CEILING((INT(((CROQUIS!$C$97)-CROQUIS!$C$107)/MAX(CROQUIS!$C$141,1))+1)/80,1))),1))+1))-1,0),0,MOD($A40-1,5))+1,0,IF(CROQUIS!$C$105=1,-12,2),CROQUIS!$C$107/2+CROQUIS!$C$144,IF(CROQUIS!$C$105=1,-12,2),0),((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ROQUIS!$C$159)+IF(CROQUIS!$C$92="X",0,0.8)),-1000)</f>
        <v>-1000</v>
      </c>
      <c r="BX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HOOSE(IF(INT(($A40-1)/5)&gt;MAX((MAX(1,INT(((CROQUIS!$C$97)-CROQUIS!$C$107)/MAX((CROQUIS!$C$141*MAX(1,CEILING((INT(((CROQUIS!$C$97)-CROQUIS!$C$107)/MAX(CROQUIS!$C$141,1))+1)/80,1))),1))+1))-1,0),0,MOD($A40-1,5))+1,CROQUIS!$C$98,CROQUIS!$C$98-CROQUIS!$C$107/2-CROQUIS!$C$144,IF(CROQUIS!$C$106=1,CROQUIS!$C$98+12,CROQUIS!$C$98-2),CROQUIS!$C$98-CROQUIS!$C$107/2-CROQUIS!$C$144,CROQUIS!$C$98)))*CROQUIS!$C$159)+IF(CROQUIS!$C$92="X",0.8,0)),-1000)</f>
        <v>-1000</v>
      </c>
      <c r="BY40">
        <f>IF(AND(CROQUIS!$C$88=1,CROQUIS!$C$91=0,CROQUIS!$C$141&gt;0,OR(CROQUIS!$C$106=1,CROQUIS!$C$146=1)),((CROQUIS!$C$161+(IF(CROQUIS!$C$92="X",CHOOSE(IF(INT(($A40-1)/5)&gt;MAX((MAX(1,INT(((CROQUIS!$C$97)-CROQUIS!$C$107)/MAX((CROQUIS!$C$141*MAX(1,CEILING((INT(((CROQUIS!$C$97)-CROQUIS!$C$107)/MAX(CROQUIS!$C$141,1))+1)/80,1))),1))+1))-1,0),0,MOD($A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ROQUIS!$C$159)+IF(CROQUIS!$C$92="X",0,0.8)),-1000)</f>
        <v>-1000</v>
      </c>
      <c r="BZ40">
        <f>IF(AND(CROQUIS!$C$88=1,CROQUIS!$C$91=1,CROQUIS!$C$133&gt;0),((CROQUIS!$C$160+(IF(CROQUIS!$C$92="X",CHOOSE(IF(INT(($A40-1)/5)&gt;MAX((MAX(1,INT(((CROQUIS!$C$98)-CROQUIS!$C$107)/MAX((CROQUIS!$C$133*MAX(1,CEILING((INT(((CROQUIS!$C$98)-CROQUIS!$C$107)/MAX(CROQUIS!$C$133,1))+1)/80,1))),1))+1))-1,0),0,MOD($A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CA40">
        <f>IF(AND(CROQUIS!$C$88=1,CROQUIS!$C$91=1,CROQUIS!$C$133&gt;0),((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1">
      <c r="A41" t="n">
        <v>34</v>
      </c>
      <c r="F41">
        <f>IF(AND(CROQUIS!$C$87=1,CROQUIS!$C$91=1),((CROQUIS!$C$160+(IF(CROQUIS!$C$92="X",IF(CROQUIS!$C$94=1,0,CROQUIS!$C$97)+IF(MOD($A41,2)=1,-CROQUIS!$C$107/2,CROQUIS!$C$107/2),(MIN($A41,41)-1)/40*CROQUIS!$C$98))*CROQUIS!$C$159)+IF(CROQUIS!$C$92="X",0,0)),-1000)</f>
        <v>-1000</v>
      </c>
      <c r="G41">
        <f>IF(AND(CROQUIS!$C$87=1,CROQUIS!$C$91=1),((CROQUIS!$C$161+(IF(CROQUIS!$C$92="X",(MIN($A41,41)-1)/40*CROQUIS!$C$98,IF(CROQUIS!$C$94=1,0,CROQUIS!$C$97)+IF(MOD($A41,2)=1,-CROQUIS!$C$107/2,CROQUIS!$C$107/2)))*CROQUIS!$C$159)+IF(CROQUIS!$C$92="X",0,0)),-1000)</f>
        <v>-1000</v>
      </c>
      <c r="V41">
        <f>IF(AND(CROQUIS!$C$88=1,CROQUIS!$C$91=1),((CROQUIS!$C$160+(IF(CROQUIS!$C$92="X",IF(CROQUIS!$C$94=1,0,CROQUIS!$C$97)+IF(MOD($A41,2)=1,-CROQUIS!$C$107/2,CROQUIS!$C$107/2),(MIN($A41,41)-1)/40*CROQUIS!$C$98))*CROQUIS!$C$159)+IF(CROQUIS!$C$92="X",0,0)),-1000)</f>
        <v>-1000</v>
      </c>
      <c r="W41">
        <f>IF(AND(CROQUIS!$C$88=1,CROQUIS!$C$91=1),((CROQUIS!$C$161+(IF(CROQUIS!$C$92="X",(MIN($A41,41)-1)/40*CROQUIS!$C$98,IF(CROQUIS!$C$94=1,0,CROQUIS!$C$97)+IF(MOD($A41,2)=1,-CROQUIS!$C$107/2,CROQUIS!$C$107/2)))*CROQUIS!$C$159)+IF(CROQUIS!$C$92="X",0,0)),-1000)</f>
        <v>-1000</v>
      </c>
      <c r="AJ41">
        <f>IF(AND(CROQUIS!$C$87=1,CROQUIS!$C$162&gt;0,CROQUIS!$C$164&gt;0),(CROQUIS!$C$160+((CROQUIS!$C$163+INT(MIN(INT(($A41-1)/2),MAX((2*CROQUIS!$C$162)-1,0))/2)*CROQUIS!$C$116+MOD(MIN(INT(($A41-1)/2),MAX((2*CROQUIS!$C$162)-1,0)),2)*CROQUIS!$C$114))*CROQUIS!$C$159),-1000)</f>
        <v>81.3375508359693</v>
      </c>
      <c r="AK41">
        <f>IF(AND(CROQUIS!$C$87=1,CROQUIS!$C$162&gt;0,CROQUIS!$C$164&gt;0),(CROQUIS!$C$161+(IF(MOD(MIN(INT(($A41-1)/2),MAX((2*CROQUIS!$C$162)-1,0)),2)=0,IF(IF(INT(($A41-1)/2)&gt;MAX((2*CROQUIS!$C$162)-1,0),1,MOD($A41-1,2))=0,CROQUIS!$C$165,(CROQUIS!$C$165+(CROQUIS!$C$164-1)*CROQUIS!$C$116+CROQUIS!$C$115)),IF(IF(INT(($A41-1)/2)&gt;MAX((2*CROQUIS!$C$162)-1,0),1,MOD($A41-1,2))=0,(CROQUIS!$C$165+(CROQUIS!$C$164-1)*CROQUIS!$C$116+CROQUIS!$C$115),CROQUIS!$C$165)))*CROQUIS!$C$159),-1000)</f>
        <v>20.8088567555355</v>
      </c>
      <c r="AL41">
        <f>IF(AND(CROQUIS!$C$87=1,CROQUIS!$C$164&gt;0,CROQUIS!$C$162&gt;0),(CROQUIS!$C$160+(IF(MOD(MIN(INT(($A41-1)/2),MAX((2*CROQUIS!$C$164)-1,0)),2)=0,IF(IF(INT(($A41-1)/2)&gt;MAX((2*CROQUIS!$C$164)-1,0),1,MOD($A41-1,2))=0,CROQUIS!$C$163,(CROQUIS!$C$163+(CROQUIS!$C$162-1)*CROQUIS!$C$116+CROQUIS!$C$114)),IF(IF(INT(($A41-1)/2)&gt;MAX((2*CROQUIS!$C$164)-1,0),1,MOD($A41-1,2))=0,(CROQUIS!$C$163+(CROQUIS!$C$162-1)*CROQUIS!$C$116+CROQUIS!$C$114),CROQUIS!$C$163)))*CROQUIS!$C$159),-1000)</f>
        <v>22.9552643470402</v>
      </c>
      <c r="AM41">
        <f>IF(AND(CROQUIS!$C$87=1,CROQUIS!$C$164&gt;0,CROQUIS!$C$162&gt;0),(CROQUIS!$C$161+((CROQUIS!$C$165+INT(MIN(INT(($A41-1)/2),MAX((2*CROQUIS!$C$164)-1,0))/2)*CROQUIS!$C$116+MOD(MIN(INT(($A41-1)/2),MAX((2*CROQUIS!$C$164)-1,0)),2)*CROQUIS!$C$115))*CROQUIS!$C$159),-1000)</f>
        <v>79.1911432444645</v>
      </c>
      <c r="AN41">
        <f>IF(AND(CROQUIS!$C$87=1,CROQUIS!$C$162&gt;=2),(CROQUIS!$C$160+((CROQUIS!$C$163+CROQUIS!$C$114+(CROQUIS!$C$116-CROQUIS!$C$114)/2+MIN(INT(($A41-1)/2),MAX((CROQUIS!$C$162-1)-1,0))*CROQUIS!$C$116))*CROQUIS!$C$159),-1000)</f>
        <v>70.1762313601446</v>
      </c>
      <c r="AO41">
        <f>IF(AND(CROQUIS!$C$87=1,CROQUIS!$C$162&gt;=2),(CROQUIS!$C$161+(IF(MOD(MIN(INT(($A41-1)/2),MAX((CROQUIS!$C$162-1)-1,0)),2)=0,IF(IF(INT(($A41-1)/2)&gt;MAX((CROQUIS!$C$162-1)-1,0),1,MOD($A41-1,2))=0,CROQUIS!$C$107/2,(CROQUIS!$C$96-CROQUIS!$C$107/2)),IF(IF(INT(($A41-1)/2)&gt;MAX((CROQUIS!$C$162-1)-1,0),1,MOD($A41-1,2))=0,(CROQUIS!$C$96-CROQUIS!$C$107/2),CROQUIS!$C$107/2)))*CROQUIS!$C$159),-1000)</f>
        <v>16.9453230908269</v>
      </c>
      <c r="AP41">
        <f>IF(AND(CROQUIS!$C$87=1,CROQUIS!$C$164&gt;=2),(CROQUIS!$C$160+(IF(MOD(MIN(INT(($A41-1)/2),MAX((CROQUIS!$C$164-1)-1,0)),2)=0,IF(IF(INT(($A41-1)/2)&gt;MAX((CROQUIS!$C$164-1)-1,0),1,MOD($A41-1,2))=0,CROQUIS!$C$107/2,(CROQUIS!$C$95-CROQUIS!$C$107/2)),IF(IF(INT(($A41-1)/2)&gt;MAX((CROQUIS!$C$164-1)-1,0),1,MOD($A41-1,2))=0,(CROQUIS!$C$95-CROQUIS!$C$107/2),CROQUIS!$C$107/2)))*CROQUIS!$C$159),-1000)</f>
        <v>13.2878445549028</v>
      </c>
      <c r="AQ41">
        <f>IF(AND(CROQUIS!$C$87=1,CROQUIS!$C$164&gt;=2),(CROQUIS!$C$161+((CROQUIS!$C$165+CROQUIS!$C$115+(CROQUIS!$C$116-CROQUIS!$C$115)/2+MIN(INT(($A41-1)/2),MAX((CROQUIS!$C$164-1)-1,0))*CROQUIS!$C$116))*CROQUIS!$C$159),-1000)</f>
        <v>68.0298237686399</v>
      </c>
      <c r="BN41">
        <f>IF(AND(CROQUIS!$C$88=1,CROQUIS!$C$129&gt;0),((CROQUIS!$C$160+(IF(CROQUIS!$C$92="X",CHOOSE(IF(INT(($A41-1)/5)&gt;MAX((MAX(1,INT(((CROQUIS!$C$98)-CROQUIS!$C$107)/MAX((CROQUIS!$C$129*MAX(1,CEILING((INT(((CROQUIS!$C$98)-CROQUIS!$C$107)/MAX(CROQUIS!$C$129,1))+1)/80,1))),1))+1))-1,0),0,MOD($A41-1,5))+1,0,2,CROQUIS!$C$97-2,2,0),((CROQUIS!$C$107/2+(((CROQUIS!$C$98)-CROQUIS!$C$107)-(MAX(1,INT(((CROQUIS!$C$98)-CROQUIS!$C$107)/MAX((CROQUIS!$C$129*MAX(1,CEILING((INT(((CROQUIS!$C$98)-CROQUIS!$C$107)/MAX(CROQUIS!$C$129,1))+1)/80,1))),1))+1)-1)*(CROQUIS!$C$129*MAX(1,CEILING((INT(((CROQUIS!$C$98)-CROQUIS!$C$107)/MAX(CROQUIS!$C$129,1))+1)/80,1))))/2)+MIN(INT(($A41-1)/5),MAX((MAX(1,INT(((CROQUIS!$C$98)-CROQUIS!$C$107)/MAX((CROQUIS!$C$129*MAX(1,CEILING((INT(((CROQUIS!$C$98)-CROQUIS!$C$107)/MAX(CROQUIS!$C$129,1))+1)/80,1))),1))+1))-1,0))*(CROQUIS!$C$129*MAX(1,CEILING((INT(((CROQUIS!$C$98)-CROQUIS!$C$107)/MAX(CROQUIS!$C$129,1))+1)/80,1))))))*CROQUIS!$C$159)+IF(CROQUIS!$C$92="X",0,0)),-1000)</f>
        <v>-1000</v>
      </c>
      <c r="BO41">
        <f>IF(AND(CROQUIS!$C$88=1,CROQUIS!$C$129&gt;0),((CROQUIS!$C$161+(IF(CROQUIS!$C$92="X",((CROQUIS!$C$107/2+(((CROQUIS!$C$98)-CROQUIS!$C$107)-(MAX(1,INT(((CROQUIS!$C$98)-CROQUIS!$C$107)/MAX((CROQUIS!$C$129*MAX(1,CEILING((INT(((CROQUIS!$C$98)-CROQUIS!$C$107)/MAX(CROQUIS!$C$129,1))+1)/80,1))),1))+1)-1)*(CROQUIS!$C$129*MAX(1,CEILING((INT(((CROQUIS!$C$98)-CROQUIS!$C$107)/MAX(CROQUIS!$C$129,1))+1)/80,1))))/2)+MIN(INT(($A41-1)/5),MAX((MAX(1,INT(((CROQUIS!$C$98)-CROQUIS!$C$107)/MAX((CROQUIS!$C$129*MAX(1,CEILING((INT(((CROQUIS!$C$98)-CROQUIS!$C$107)/MAX(CROQUIS!$C$129,1))+1)/80,1))),1))+1))-1,0))*(CROQUIS!$C$129*MAX(1,CEILING((INT(((CROQUIS!$C$98)-CROQUIS!$C$107)/MAX(CROQUIS!$C$129,1))+1)/80,1)))),CHOOSE(IF(INT(($A41-1)/5)&gt;MAX((MAX(1,INT(((CROQUIS!$C$98)-CROQUIS!$C$107)/MAX((CROQUIS!$C$129*MAX(1,CEILING((INT(((CROQUIS!$C$98)-CROQUIS!$C$107)/MAX(CROQUIS!$C$129,1))+1)/80,1))),1))+1))-1,0),0,MOD($A41-1,5))+1,0,2,CROQUIS!$C$97-2,2,0)))*CROQUIS!$C$159)+IF(CROQUIS!$C$92="X",0,0)),-1000)</f>
        <v>-1000</v>
      </c>
      <c r="BP41">
        <f>IF(AND(CROQUIS!$C$88=1,CROQUIS!$C$137&gt;0),((CROQUIS!$C$160+(IF(CROQUIS!$C$92="X",((CROQUIS!$C$107/2+(((CROQUIS!$C$97)-CROQUIS!$C$107)-(MAX(1,INT(((CROQUIS!$C$97)-CROQUIS!$C$107)/MAX((CROQUIS!$C$137*MAX(1,CEILING((INT(((CROQUIS!$C$97)-CROQUIS!$C$107)/MAX(CROQUIS!$C$137,1))+1)/80,1))),1))+1)-1)*(CROQUIS!$C$137*MAX(1,CEILING((INT(((CROQUIS!$C$97)-CROQUIS!$C$107)/MAX(CROQUIS!$C$137,1))+1)/80,1))))/2)+MIN(INT(($A41-1)/5),MAX((MAX(1,INT(((CROQUIS!$C$97)-CROQUIS!$C$107)/MAX((CROQUIS!$C$137*MAX(1,CEILING((INT(((CROQUIS!$C$97)-CROQUIS!$C$107)/MAX(CROQUIS!$C$137,1))+1)/80,1))),1))+1))-1,0))*(CROQUIS!$C$137*MAX(1,CEILING((INT(((CROQUIS!$C$97)-CROQUIS!$C$107)/MAX(CROQUIS!$C$137,1))+1)/80,1)))),CHOOSE(IF(INT(($A41-1)/5)&gt;MAX((MAX(1,INT(((CROQUIS!$C$97)-CROQUIS!$C$107)/MAX((CROQUIS!$C$137*MAX(1,CEILING((INT(((CROQUIS!$C$97)-CROQUIS!$C$107)/MAX(CROQUIS!$C$137,1))+1)/80,1))),1))+1))-1,0),0,MOD($A41-1,5))+1,0,2,CROQUIS!$C$98-2,2,0)))*CROQUIS!$C$159)+IF(CROQUIS!$C$92="X",0,0)),-1000)</f>
        <v>-1000</v>
      </c>
      <c r="BQ41">
        <f>IF(AND(CROQUIS!$C$88=1,CROQUIS!$C$137&gt;0),((CROQUIS!$C$161+(IF(CROQUIS!$C$92="X",CHOOSE(IF(INT(($A41-1)/5)&gt;MAX((MAX(1,INT(((CROQUIS!$C$97)-CROQUIS!$C$107)/MAX((CROQUIS!$C$137*MAX(1,CEILING((INT(((CROQUIS!$C$97)-CROQUIS!$C$107)/MAX(CROQUIS!$C$137,1))+1)/80,1))),1))+1))-1,0),0,MOD($A41-1,5))+1,0,2,CROQUIS!$C$98-2,2,0),((CROQUIS!$C$107/2+(((CROQUIS!$C$97)-CROQUIS!$C$107)-(MAX(1,INT(((CROQUIS!$C$97)-CROQUIS!$C$107)/MAX((CROQUIS!$C$137*MAX(1,CEILING((INT(((CROQUIS!$C$97)-CROQUIS!$C$107)/MAX(CROQUIS!$C$137,1))+1)/80,1))),1))+1)-1)*(CROQUIS!$C$137*MAX(1,CEILING((INT(((CROQUIS!$C$97)-CROQUIS!$C$107)/MAX(CROQUIS!$C$137,1))+1)/80,1))))/2)+MIN(INT(($A41-1)/5),MAX((MAX(1,INT(((CROQUIS!$C$97)-CROQUIS!$C$107)/MAX((CROQUIS!$C$137*MAX(1,CEILING((INT(((CROQUIS!$C$97)-CROQUIS!$C$107)/MAX(CROQUIS!$C$137,1))+1)/80,1))),1))+1))-1,0))*(CROQUIS!$C$137*MAX(1,CEILING((INT(((CROQUIS!$C$97)-CROQUIS!$C$107)/MAX(CROQUIS!$C$137,1))+1)/80,1))))))*CROQUIS!$C$159)+IF(CROQUIS!$C$92="X",0,0)),-1000)</f>
        <v>-1000</v>
      </c>
      <c r="BR41">
        <f>IF(AND(CROQUIS!$C$88=1,CROQUIS!$C$91=0,CROQUIS!$C$133&gt;0,OR(CROQUIS!$C$103=1,CROQUIS!$C$145=1)),((CROQUIS!$C$160+(IF(CROQUIS!$C$92="X",CHOOSE(IF(INT(($A41-1)/5)&gt;MAX((MAX(1,INT(((CROQUIS!$C$98)-CROQUIS!$C$107)/MAX((CROQUIS!$C$133*MAX(1,CEILING((INT(((CROQUIS!$C$98)-CROQUIS!$C$107)/MAX(CROQUIS!$C$133,1))+1)/80,1))),1))+1))-1,0),0,MOD($A41-1,5))+1,0,IF(CROQUIS!$C$103=1,-12,2),CROQUIS!$C$107/2+CROQUIS!$C$143,IF(CROQUIS!$C$103=1,-12,2),0),((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BS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+1,0,IF(CROQUIS!$C$103=1,-12,2),CROQUIS!$C$107/2+CROQUIS!$C$143,IF(CROQUIS!$C$103=1,-12,2),0)))*CROQUIS!$C$159)+IF(CROQUIS!$C$92="X",0.8,0)),-1000)</f>
        <v>-1000</v>
      </c>
      <c r="BT41">
        <f>IF(AND(CROQUIS!$C$88=1,CROQUIS!$C$91=0,CROQUIS!$C$133&gt;0,OR(CROQUIS!$C$104=1,CROQUIS!$C$145=1)),((CROQUIS!$C$160+(IF(CROQUIS!$C$92="X",CHOOSE(IF(INT(($A41-1)/5)&gt;MAX((MAX(1,INT(((CROQUIS!$C$98)-CROQUIS!$C$107)/MAX((CROQUIS!$C$133*MAX(1,CEILING((INT(((CROQUIS!$C$98)-CROQUIS!$C$107)/MAX(CROQUIS!$C$133,1))+1)/80,1))),1))+1))-1,0),0,MOD($A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BU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CROQUIS!$C$97,CROQUIS!$C$97-CROQUIS!$C$107/2-CROQUIS!$C$143,IF(CROQUIS!$C$104=1,CROQUIS!$C$97+12,CROQUIS!$C$97-2),CROQUIS!$C$97-CROQUIS!$C$107/2-CROQUIS!$C$143,CROQUIS!$C$97)))*CROQUIS!$C$159)+IF(CROQUIS!$C$92="X",0.8,0)),-1000)</f>
        <v>-1000</v>
      </c>
      <c r="BV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HOOSE(IF(INT(($A41-1)/5)&gt;MAX((MAX(1,INT(((CROQUIS!$C$97)-CROQUIS!$C$107)/MAX((CROQUIS!$C$141*MAX(1,CEILING((INT(((CROQUIS!$C$97)-CROQUIS!$C$107)/MAX(CROQUIS!$C$141,1))+1)/80,1))),1))+1))-1,0),0,MOD($A41-1,5))+1,0,IF(CROQUIS!$C$105=1,-12,2),CROQUIS!$C$107/2+CROQUIS!$C$144,IF(CROQUIS!$C$105=1,-12,2),0)))*CROQUIS!$C$159)+IF(CROQUIS!$C$92="X",0.8,0)),-1000)</f>
        <v>-1000</v>
      </c>
      <c r="BW41">
        <f>IF(AND(CROQUIS!$C$88=1,CROQUIS!$C$91=0,CROQUIS!$C$141&gt;0,OR(CROQUIS!$C$105=1,CROQUIS!$C$146=1)),((CROQUIS!$C$161+(IF(CROQUIS!$C$92="X",CHOOSE(IF(INT(($A41-1)/5)&gt;MAX((MAX(1,INT(((CROQUIS!$C$97)-CROQUIS!$C$107)/MAX((CROQUIS!$C$141*MAX(1,CEILING((INT(((CROQUIS!$C$97)-CROQUIS!$C$107)/MAX(CROQUIS!$C$141,1))+1)/80,1))),1))+1))-1,0),0,MOD($A41-1,5))+1,0,IF(CROQUIS!$C$105=1,-12,2),CROQUIS!$C$107/2+CROQUIS!$C$144,IF(CROQUIS!$C$105=1,-12,2),0),((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ROQUIS!$C$159)+IF(CROQUIS!$C$92="X",0,0.8)),-1000)</f>
        <v>-1000</v>
      </c>
      <c r="BX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HOOSE(IF(INT(($A41-1)/5)&gt;MAX((MAX(1,INT(((CROQUIS!$C$97)-CROQUIS!$C$107)/MAX((CROQUIS!$C$141*MAX(1,CEILING((INT(((CROQUIS!$C$97)-CROQUIS!$C$107)/MAX(CROQUIS!$C$141,1))+1)/80,1))),1))+1))-1,0),0,MOD($A41-1,5))+1,CROQUIS!$C$98,CROQUIS!$C$98-CROQUIS!$C$107/2-CROQUIS!$C$144,IF(CROQUIS!$C$106=1,CROQUIS!$C$98+12,CROQUIS!$C$98-2),CROQUIS!$C$98-CROQUIS!$C$107/2-CROQUIS!$C$144,CROQUIS!$C$98)))*CROQUIS!$C$159)+IF(CROQUIS!$C$92="X",0.8,0)),-1000)</f>
        <v>-1000</v>
      </c>
      <c r="BY41">
        <f>IF(AND(CROQUIS!$C$88=1,CROQUIS!$C$91=0,CROQUIS!$C$141&gt;0,OR(CROQUIS!$C$106=1,CROQUIS!$C$146=1)),((CROQUIS!$C$161+(IF(CROQUIS!$C$92="X",CHOOSE(IF(INT(($A41-1)/5)&gt;MAX((MAX(1,INT(((CROQUIS!$C$97)-CROQUIS!$C$107)/MAX((CROQUIS!$C$141*MAX(1,CEILING((INT(((CROQUIS!$C$97)-CROQUIS!$C$107)/MAX(CROQUIS!$C$141,1))+1)/80,1))),1))+1))-1,0),0,MOD($A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ROQUIS!$C$159)+IF(CROQUIS!$C$92="X",0,0.8)),-1000)</f>
        <v>-1000</v>
      </c>
      <c r="BZ41">
        <f>IF(AND(CROQUIS!$C$88=1,CROQUIS!$C$91=1,CROQUIS!$C$133&gt;0),((CROQUIS!$C$160+(IF(CROQUIS!$C$92="X",CHOOSE(IF(INT(($A41-1)/5)&gt;MAX((MAX(1,INT(((CROQUIS!$C$98)-CROQUIS!$C$107)/MAX((CROQUIS!$C$133*MAX(1,CEILING((INT(((CROQUIS!$C$98)-CROQUIS!$C$107)/MAX(CROQUIS!$C$133,1))+1)/80,1))),1))+1))-1,0),0,MOD($A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CA41">
        <f>IF(AND(CROQUIS!$C$88=1,CROQUIS!$C$91=1,CROQUIS!$C$133&gt;0),((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2">
      <c r="A42" t="n">
        <v>35</v>
      </c>
      <c r="F42">
        <f>IF(AND(CROQUIS!$C$87=1,CROQUIS!$C$91=1),((CROQUIS!$C$160+(IF(CROQUIS!$C$92="X",IF(CROQUIS!$C$94=1,0,CROQUIS!$C$97)+IF(MOD($A42,2)=1,-CROQUIS!$C$107/2,CROQUIS!$C$107/2),(MIN($A42,41)-1)/40*CROQUIS!$C$98))*CROQUIS!$C$159)+IF(CROQUIS!$C$92="X",0,0)),-1000)</f>
        <v>-1000</v>
      </c>
      <c r="G42">
        <f>IF(AND(CROQUIS!$C$87=1,CROQUIS!$C$91=1),((CROQUIS!$C$161+(IF(CROQUIS!$C$92="X",(MIN($A42,41)-1)/40*CROQUIS!$C$98,IF(CROQUIS!$C$94=1,0,CROQUIS!$C$97)+IF(MOD($A42,2)=1,-CROQUIS!$C$107/2,CROQUIS!$C$107/2)))*CROQUIS!$C$159)+IF(CROQUIS!$C$92="X",0,0)),-1000)</f>
        <v>-1000</v>
      </c>
      <c r="V42">
        <f>IF(AND(CROQUIS!$C$88=1,CROQUIS!$C$91=1),((CROQUIS!$C$160+(IF(CROQUIS!$C$92="X",IF(CROQUIS!$C$94=1,0,CROQUIS!$C$97)+IF(MOD($A42,2)=1,-CROQUIS!$C$107/2,CROQUIS!$C$107/2),(MIN($A42,41)-1)/40*CROQUIS!$C$98))*CROQUIS!$C$159)+IF(CROQUIS!$C$92="X",0,0)),-1000)</f>
        <v>-1000</v>
      </c>
      <c r="W42">
        <f>IF(AND(CROQUIS!$C$88=1,CROQUIS!$C$91=1),((CROQUIS!$C$161+(IF(CROQUIS!$C$92="X",(MIN($A42,41)-1)/40*CROQUIS!$C$98,IF(CROQUIS!$C$94=1,0,CROQUIS!$C$97)+IF(MOD($A42,2)=1,-CROQUIS!$C$107/2,CROQUIS!$C$107/2)))*CROQUIS!$C$159)+IF(CROQUIS!$C$92="X",0,0)),-1000)</f>
        <v>-1000</v>
      </c>
      <c r="AJ42">
        <f>IF(AND(CROQUIS!$C$87=1,CROQUIS!$C$162&gt;0,CROQUIS!$C$164&gt;0),(CROQUIS!$C$160+((CROQUIS!$C$163+INT(MIN(INT(($A42-1)/2),MAX((2*CROQUIS!$C$162)-1,0))/2)*CROQUIS!$C$116+MOD(MIN(INT(($A42-1)/2),MAX((2*CROQUIS!$C$162)-1,0)),2)*CROQUIS!$C$114))*CROQUIS!$C$159),-1000)</f>
        <v>81.3375508359693</v>
      </c>
      <c r="AK42">
        <f>IF(AND(CROQUIS!$C$87=1,CROQUIS!$C$162&gt;0,CROQUIS!$C$164&gt;0),(CROQUIS!$C$161+(IF(MOD(MIN(INT(($A42-1)/2),MAX((2*CROQUIS!$C$162)-1,0)),2)=0,IF(IF(INT(($A42-1)/2)&gt;MAX((2*CROQUIS!$C$162)-1,0),1,MOD($A42-1,2))=0,CROQUIS!$C$165,(CROQUIS!$C$165+(CROQUIS!$C$164-1)*CROQUIS!$C$116+CROQUIS!$C$115)),IF(IF(INT(($A42-1)/2)&gt;MAX((2*CROQUIS!$C$162)-1,0),1,MOD($A42-1,2))=0,(CROQUIS!$C$165+(CROQUIS!$C$164-1)*CROQUIS!$C$116+CROQUIS!$C$115),CROQUIS!$C$165)))*CROQUIS!$C$159),-1000)</f>
        <v>20.8088567555355</v>
      </c>
      <c r="AL42">
        <f>IF(AND(CROQUIS!$C$87=1,CROQUIS!$C$164&gt;0,CROQUIS!$C$162&gt;0),(CROQUIS!$C$160+(IF(MOD(MIN(INT(($A42-1)/2),MAX((2*CROQUIS!$C$164)-1,0)),2)=0,IF(IF(INT(($A42-1)/2)&gt;MAX((2*CROQUIS!$C$164)-1,0),1,MOD($A42-1,2))=0,CROQUIS!$C$163,(CROQUIS!$C$163+(CROQUIS!$C$162-1)*CROQUIS!$C$116+CROQUIS!$C$114)),IF(IF(INT(($A42-1)/2)&gt;MAX((2*CROQUIS!$C$164)-1,0),1,MOD($A42-1,2))=0,(CROQUIS!$C$163+(CROQUIS!$C$162-1)*CROQUIS!$C$116+CROQUIS!$C$114),CROQUIS!$C$163)))*CROQUIS!$C$159),-1000)</f>
        <v>22.9552643470402</v>
      </c>
      <c r="AM42">
        <f>IF(AND(CROQUIS!$C$87=1,CROQUIS!$C$164&gt;0,CROQUIS!$C$162&gt;0),(CROQUIS!$C$161+((CROQUIS!$C$165+INT(MIN(INT(($A42-1)/2),MAX((2*CROQUIS!$C$164)-1,0))/2)*CROQUIS!$C$116+MOD(MIN(INT(($A42-1)/2),MAX((2*CROQUIS!$C$164)-1,0)),2)*CROQUIS!$C$115))*CROQUIS!$C$159),-1000)</f>
        <v>79.1911432444645</v>
      </c>
      <c r="AN42">
        <f>IF(AND(CROQUIS!$C$87=1,CROQUIS!$C$162&gt;=2),(CROQUIS!$C$160+((CROQUIS!$C$163+CROQUIS!$C$114+(CROQUIS!$C$116-CROQUIS!$C$114)/2+MIN(INT(($A42-1)/2),MAX((CROQUIS!$C$162-1)-1,0))*CROQUIS!$C$116))*CROQUIS!$C$159),-1000)</f>
        <v>70.1762313601446</v>
      </c>
      <c r="AO42">
        <f>IF(AND(CROQUIS!$C$87=1,CROQUIS!$C$162&gt;=2),(CROQUIS!$C$161+(IF(MOD(MIN(INT(($A42-1)/2),MAX((CROQUIS!$C$162-1)-1,0)),2)=0,IF(IF(INT(($A42-1)/2)&gt;MAX((CROQUIS!$C$162-1)-1,0),1,MOD($A42-1,2))=0,CROQUIS!$C$107/2,(CROQUIS!$C$96-CROQUIS!$C$107/2)),IF(IF(INT(($A42-1)/2)&gt;MAX((CROQUIS!$C$162-1)-1,0),1,MOD($A42-1,2))=0,(CROQUIS!$C$96-CROQUIS!$C$107/2),CROQUIS!$C$107/2)))*CROQUIS!$C$159),-1000)</f>
        <v>16.9453230908269</v>
      </c>
      <c r="AP42">
        <f>IF(AND(CROQUIS!$C$87=1,CROQUIS!$C$164&gt;=2),(CROQUIS!$C$160+(IF(MOD(MIN(INT(($A42-1)/2),MAX((CROQUIS!$C$164-1)-1,0)),2)=0,IF(IF(INT(($A42-1)/2)&gt;MAX((CROQUIS!$C$164-1)-1,0),1,MOD($A42-1,2))=0,CROQUIS!$C$107/2,(CROQUIS!$C$95-CROQUIS!$C$107/2)),IF(IF(INT(($A42-1)/2)&gt;MAX((CROQUIS!$C$164-1)-1,0),1,MOD($A42-1,2))=0,(CROQUIS!$C$95-CROQUIS!$C$107/2),CROQUIS!$C$107/2)))*CROQUIS!$C$159),-1000)</f>
        <v>13.2878445549028</v>
      </c>
      <c r="AQ42">
        <f>IF(AND(CROQUIS!$C$87=1,CROQUIS!$C$164&gt;=2),(CROQUIS!$C$161+((CROQUIS!$C$165+CROQUIS!$C$115+(CROQUIS!$C$116-CROQUIS!$C$115)/2+MIN(INT(($A42-1)/2),MAX((CROQUIS!$C$164-1)-1,0))*CROQUIS!$C$116))*CROQUIS!$C$159),-1000)</f>
        <v>68.0298237686399</v>
      </c>
      <c r="BN42">
        <f>IF(AND(CROQUIS!$C$88=1,CROQUIS!$C$129&gt;0),((CROQUIS!$C$160+(IF(CROQUIS!$C$92="X",CHOOSE(IF(INT(($A42-1)/5)&gt;MAX((MAX(1,INT(((CROQUIS!$C$98)-CROQUIS!$C$107)/MAX((CROQUIS!$C$129*MAX(1,CEILING((INT(((CROQUIS!$C$98)-CROQUIS!$C$107)/MAX(CROQUIS!$C$129,1))+1)/80,1))),1))+1))-1,0),0,MOD($A42-1,5))+1,0,2,CROQUIS!$C$97-2,2,0),((CROQUIS!$C$107/2+(((CROQUIS!$C$98)-CROQUIS!$C$107)-(MAX(1,INT(((CROQUIS!$C$98)-CROQUIS!$C$107)/MAX((CROQUIS!$C$129*MAX(1,CEILING((INT(((CROQUIS!$C$98)-CROQUIS!$C$107)/MAX(CROQUIS!$C$129,1))+1)/80,1))),1))+1)-1)*(CROQUIS!$C$129*MAX(1,CEILING((INT(((CROQUIS!$C$98)-CROQUIS!$C$107)/MAX(CROQUIS!$C$129,1))+1)/80,1))))/2)+MIN(INT(($A42-1)/5),MAX((MAX(1,INT(((CROQUIS!$C$98)-CROQUIS!$C$107)/MAX((CROQUIS!$C$129*MAX(1,CEILING((INT(((CROQUIS!$C$98)-CROQUIS!$C$107)/MAX(CROQUIS!$C$129,1))+1)/80,1))),1))+1))-1,0))*(CROQUIS!$C$129*MAX(1,CEILING((INT(((CROQUIS!$C$98)-CROQUIS!$C$107)/MAX(CROQUIS!$C$129,1))+1)/80,1))))))*CROQUIS!$C$159)+IF(CROQUIS!$C$92="X",0,0)),-1000)</f>
        <v>-1000</v>
      </c>
      <c r="BO42">
        <f>IF(AND(CROQUIS!$C$88=1,CROQUIS!$C$129&gt;0),((CROQUIS!$C$161+(IF(CROQUIS!$C$92="X",((CROQUIS!$C$107/2+(((CROQUIS!$C$98)-CROQUIS!$C$107)-(MAX(1,INT(((CROQUIS!$C$98)-CROQUIS!$C$107)/MAX((CROQUIS!$C$129*MAX(1,CEILING((INT(((CROQUIS!$C$98)-CROQUIS!$C$107)/MAX(CROQUIS!$C$129,1))+1)/80,1))),1))+1)-1)*(CROQUIS!$C$129*MAX(1,CEILING((INT(((CROQUIS!$C$98)-CROQUIS!$C$107)/MAX(CROQUIS!$C$129,1))+1)/80,1))))/2)+MIN(INT(($A42-1)/5),MAX((MAX(1,INT(((CROQUIS!$C$98)-CROQUIS!$C$107)/MAX((CROQUIS!$C$129*MAX(1,CEILING((INT(((CROQUIS!$C$98)-CROQUIS!$C$107)/MAX(CROQUIS!$C$129,1))+1)/80,1))),1))+1))-1,0))*(CROQUIS!$C$129*MAX(1,CEILING((INT(((CROQUIS!$C$98)-CROQUIS!$C$107)/MAX(CROQUIS!$C$129,1))+1)/80,1)))),CHOOSE(IF(INT(($A42-1)/5)&gt;MAX((MAX(1,INT(((CROQUIS!$C$98)-CROQUIS!$C$107)/MAX((CROQUIS!$C$129*MAX(1,CEILING((INT(((CROQUIS!$C$98)-CROQUIS!$C$107)/MAX(CROQUIS!$C$129,1))+1)/80,1))),1))+1))-1,0),0,MOD($A42-1,5))+1,0,2,CROQUIS!$C$97-2,2,0)))*CROQUIS!$C$159)+IF(CROQUIS!$C$92="X",0,0)),-1000)</f>
        <v>-1000</v>
      </c>
      <c r="BP42">
        <f>IF(AND(CROQUIS!$C$88=1,CROQUIS!$C$137&gt;0),((CROQUIS!$C$160+(IF(CROQUIS!$C$92="X",((CROQUIS!$C$107/2+(((CROQUIS!$C$97)-CROQUIS!$C$107)-(MAX(1,INT(((CROQUIS!$C$97)-CROQUIS!$C$107)/MAX((CROQUIS!$C$137*MAX(1,CEILING((INT(((CROQUIS!$C$97)-CROQUIS!$C$107)/MAX(CROQUIS!$C$137,1))+1)/80,1))),1))+1)-1)*(CROQUIS!$C$137*MAX(1,CEILING((INT(((CROQUIS!$C$97)-CROQUIS!$C$107)/MAX(CROQUIS!$C$137,1))+1)/80,1))))/2)+MIN(INT(($A42-1)/5),MAX((MAX(1,INT(((CROQUIS!$C$97)-CROQUIS!$C$107)/MAX((CROQUIS!$C$137*MAX(1,CEILING((INT(((CROQUIS!$C$97)-CROQUIS!$C$107)/MAX(CROQUIS!$C$137,1))+1)/80,1))),1))+1))-1,0))*(CROQUIS!$C$137*MAX(1,CEILING((INT(((CROQUIS!$C$97)-CROQUIS!$C$107)/MAX(CROQUIS!$C$137,1))+1)/80,1)))),CHOOSE(IF(INT(($A42-1)/5)&gt;MAX((MAX(1,INT(((CROQUIS!$C$97)-CROQUIS!$C$107)/MAX((CROQUIS!$C$137*MAX(1,CEILING((INT(((CROQUIS!$C$97)-CROQUIS!$C$107)/MAX(CROQUIS!$C$137,1))+1)/80,1))),1))+1))-1,0),0,MOD($A42-1,5))+1,0,2,CROQUIS!$C$98-2,2,0)))*CROQUIS!$C$159)+IF(CROQUIS!$C$92="X",0,0)),-1000)</f>
        <v>-1000</v>
      </c>
      <c r="BQ42">
        <f>IF(AND(CROQUIS!$C$88=1,CROQUIS!$C$137&gt;0),((CROQUIS!$C$161+(IF(CROQUIS!$C$92="X",CHOOSE(IF(INT(($A42-1)/5)&gt;MAX((MAX(1,INT(((CROQUIS!$C$97)-CROQUIS!$C$107)/MAX((CROQUIS!$C$137*MAX(1,CEILING((INT(((CROQUIS!$C$97)-CROQUIS!$C$107)/MAX(CROQUIS!$C$137,1))+1)/80,1))),1))+1))-1,0),0,MOD($A42-1,5))+1,0,2,CROQUIS!$C$98-2,2,0),((CROQUIS!$C$107/2+(((CROQUIS!$C$97)-CROQUIS!$C$107)-(MAX(1,INT(((CROQUIS!$C$97)-CROQUIS!$C$107)/MAX((CROQUIS!$C$137*MAX(1,CEILING((INT(((CROQUIS!$C$97)-CROQUIS!$C$107)/MAX(CROQUIS!$C$137,1))+1)/80,1))),1))+1)-1)*(CROQUIS!$C$137*MAX(1,CEILING((INT(((CROQUIS!$C$97)-CROQUIS!$C$107)/MAX(CROQUIS!$C$137,1))+1)/80,1))))/2)+MIN(INT(($A42-1)/5),MAX((MAX(1,INT(((CROQUIS!$C$97)-CROQUIS!$C$107)/MAX((CROQUIS!$C$137*MAX(1,CEILING((INT(((CROQUIS!$C$97)-CROQUIS!$C$107)/MAX(CROQUIS!$C$137,1))+1)/80,1))),1))+1))-1,0))*(CROQUIS!$C$137*MAX(1,CEILING((INT(((CROQUIS!$C$97)-CROQUIS!$C$107)/MAX(CROQUIS!$C$137,1))+1)/80,1))))))*CROQUIS!$C$159)+IF(CROQUIS!$C$92="X",0,0)),-1000)</f>
        <v>-1000</v>
      </c>
      <c r="BR42">
        <f>IF(AND(CROQUIS!$C$88=1,CROQUIS!$C$91=0,CROQUIS!$C$133&gt;0,OR(CROQUIS!$C$103=1,CROQUIS!$C$145=1)),((CROQUIS!$C$160+(IF(CROQUIS!$C$92="X",CHOOSE(IF(INT(($A42-1)/5)&gt;MAX((MAX(1,INT(((CROQUIS!$C$98)-CROQUIS!$C$107)/MAX((CROQUIS!$C$133*MAX(1,CEILING((INT(((CROQUIS!$C$98)-CROQUIS!$C$107)/MAX(CROQUIS!$C$133,1))+1)/80,1))),1))+1))-1,0),0,MOD($A42-1,5))+1,0,IF(CROQUIS!$C$103=1,-12,2),CROQUIS!$C$107/2+CROQUIS!$C$143,IF(CROQUIS!$C$103=1,-12,2),0),((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BS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+1,0,IF(CROQUIS!$C$103=1,-12,2),CROQUIS!$C$107/2+CROQUIS!$C$143,IF(CROQUIS!$C$103=1,-12,2),0)))*CROQUIS!$C$159)+IF(CROQUIS!$C$92="X",0.8,0)),-1000)</f>
        <v>-1000</v>
      </c>
      <c r="BT42">
        <f>IF(AND(CROQUIS!$C$88=1,CROQUIS!$C$91=0,CROQUIS!$C$133&gt;0,OR(CROQUIS!$C$104=1,CROQUIS!$C$145=1)),((CROQUIS!$C$160+(IF(CROQUIS!$C$92="X",CHOOSE(IF(INT(($A42-1)/5)&gt;MAX((MAX(1,INT(((CROQUIS!$C$98)-CROQUIS!$C$107)/MAX((CROQUIS!$C$133*MAX(1,CEILING((INT(((CROQUIS!$C$98)-CROQUIS!$C$107)/MAX(CROQUIS!$C$133,1))+1)/80,1))),1))+1))-1,0),0,MOD($A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BU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CROQUIS!$C$97,CROQUIS!$C$97-CROQUIS!$C$107/2-CROQUIS!$C$143,IF(CROQUIS!$C$104=1,CROQUIS!$C$97+12,CROQUIS!$C$97-2),CROQUIS!$C$97-CROQUIS!$C$107/2-CROQUIS!$C$143,CROQUIS!$C$97)))*CROQUIS!$C$159)+IF(CROQUIS!$C$92="X",0.8,0)),-1000)</f>
        <v>-1000</v>
      </c>
      <c r="BV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HOOSE(IF(INT(($A42-1)/5)&gt;MAX((MAX(1,INT(((CROQUIS!$C$97)-CROQUIS!$C$107)/MAX((CROQUIS!$C$141*MAX(1,CEILING((INT(((CROQUIS!$C$97)-CROQUIS!$C$107)/MAX(CROQUIS!$C$141,1))+1)/80,1))),1))+1))-1,0),0,MOD($A42-1,5))+1,0,IF(CROQUIS!$C$105=1,-12,2),CROQUIS!$C$107/2+CROQUIS!$C$144,IF(CROQUIS!$C$105=1,-12,2),0)))*CROQUIS!$C$159)+IF(CROQUIS!$C$92="X",0.8,0)),-1000)</f>
        <v>-1000</v>
      </c>
      <c r="BW42">
        <f>IF(AND(CROQUIS!$C$88=1,CROQUIS!$C$91=0,CROQUIS!$C$141&gt;0,OR(CROQUIS!$C$105=1,CROQUIS!$C$146=1)),((CROQUIS!$C$161+(IF(CROQUIS!$C$92="X",CHOOSE(IF(INT(($A42-1)/5)&gt;MAX((MAX(1,INT(((CROQUIS!$C$97)-CROQUIS!$C$107)/MAX((CROQUIS!$C$141*MAX(1,CEILING((INT(((CROQUIS!$C$97)-CROQUIS!$C$107)/MAX(CROQUIS!$C$141,1))+1)/80,1))),1))+1))-1,0),0,MOD($A42-1,5))+1,0,IF(CROQUIS!$C$105=1,-12,2),CROQUIS!$C$107/2+CROQUIS!$C$144,IF(CROQUIS!$C$105=1,-12,2),0),((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ROQUIS!$C$159)+IF(CROQUIS!$C$92="X",0,0.8)),-1000)</f>
        <v>-1000</v>
      </c>
      <c r="BX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HOOSE(IF(INT(($A42-1)/5)&gt;MAX((MAX(1,INT(((CROQUIS!$C$97)-CROQUIS!$C$107)/MAX((CROQUIS!$C$141*MAX(1,CEILING((INT(((CROQUIS!$C$97)-CROQUIS!$C$107)/MAX(CROQUIS!$C$141,1))+1)/80,1))),1))+1))-1,0),0,MOD($A42-1,5))+1,CROQUIS!$C$98,CROQUIS!$C$98-CROQUIS!$C$107/2-CROQUIS!$C$144,IF(CROQUIS!$C$106=1,CROQUIS!$C$98+12,CROQUIS!$C$98-2),CROQUIS!$C$98-CROQUIS!$C$107/2-CROQUIS!$C$144,CROQUIS!$C$98)))*CROQUIS!$C$159)+IF(CROQUIS!$C$92="X",0.8,0)),-1000)</f>
        <v>-1000</v>
      </c>
      <c r="BY42">
        <f>IF(AND(CROQUIS!$C$88=1,CROQUIS!$C$91=0,CROQUIS!$C$141&gt;0,OR(CROQUIS!$C$106=1,CROQUIS!$C$146=1)),((CROQUIS!$C$161+(IF(CROQUIS!$C$92="X",CHOOSE(IF(INT(($A42-1)/5)&gt;MAX((MAX(1,INT(((CROQUIS!$C$97)-CROQUIS!$C$107)/MAX((CROQUIS!$C$141*MAX(1,CEILING((INT(((CROQUIS!$C$97)-CROQUIS!$C$107)/MAX(CROQUIS!$C$141,1))+1)/80,1))),1))+1))-1,0),0,MOD($A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ROQUIS!$C$159)+IF(CROQUIS!$C$92="X",0,0.8)),-1000)</f>
        <v>-1000</v>
      </c>
      <c r="BZ42">
        <f>IF(AND(CROQUIS!$C$88=1,CROQUIS!$C$91=1,CROQUIS!$C$133&gt;0),((CROQUIS!$C$160+(IF(CROQUIS!$C$92="X",CHOOSE(IF(INT(($A42-1)/5)&gt;MAX((MAX(1,INT(((CROQUIS!$C$98)-CROQUIS!$C$107)/MAX((CROQUIS!$C$133*MAX(1,CEILING((INT(((CROQUIS!$C$98)-CROQUIS!$C$107)/MAX(CROQUIS!$C$133,1))+1)/80,1))),1))+1))-1,0),0,MOD($A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CA42">
        <f>IF(AND(CROQUIS!$C$88=1,CROQUIS!$C$91=1,CROQUIS!$C$133&gt;0),((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3">
      <c r="A43" t="n">
        <v>36</v>
      </c>
      <c r="F43">
        <f>IF(AND(CROQUIS!$C$87=1,CROQUIS!$C$91=1),((CROQUIS!$C$160+(IF(CROQUIS!$C$92="X",IF(CROQUIS!$C$94=1,0,CROQUIS!$C$97)+IF(MOD($A43,2)=1,-CROQUIS!$C$107/2,CROQUIS!$C$107/2),(MIN($A43,41)-1)/40*CROQUIS!$C$98))*CROQUIS!$C$159)+IF(CROQUIS!$C$92="X",0,0)),-1000)</f>
        <v>-1000</v>
      </c>
      <c r="G43">
        <f>IF(AND(CROQUIS!$C$87=1,CROQUIS!$C$91=1),((CROQUIS!$C$161+(IF(CROQUIS!$C$92="X",(MIN($A43,41)-1)/40*CROQUIS!$C$98,IF(CROQUIS!$C$94=1,0,CROQUIS!$C$97)+IF(MOD($A43,2)=1,-CROQUIS!$C$107/2,CROQUIS!$C$107/2)))*CROQUIS!$C$159)+IF(CROQUIS!$C$92="X",0,0)),-1000)</f>
        <v>-1000</v>
      </c>
      <c r="V43">
        <f>IF(AND(CROQUIS!$C$88=1,CROQUIS!$C$91=1),((CROQUIS!$C$160+(IF(CROQUIS!$C$92="X",IF(CROQUIS!$C$94=1,0,CROQUIS!$C$97)+IF(MOD($A43,2)=1,-CROQUIS!$C$107/2,CROQUIS!$C$107/2),(MIN($A43,41)-1)/40*CROQUIS!$C$98))*CROQUIS!$C$159)+IF(CROQUIS!$C$92="X",0,0)),-1000)</f>
        <v>-1000</v>
      </c>
      <c r="W43">
        <f>IF(AND(CROQUIS!$C$88=1,CROQUIS!$C$91=1),((CROQUIS!$C$161+(IF(CROQUIS!$C$92="X",(MIN($A43,41)-1)/40*CROQUIS!$C$98,IF(CROQUIS!$C$94=1,0,CROQUIS!$C$97)+IF(MOD($A43,2)=1,-CROQUIS!$C$107/2,CROQUIS!$C$107/2)))*CROQUIS!$C$159)+IF(CROQUIS!$C$92="X",0,0)),-1000)</f>
        <v>-1000</v>
      </c>
      <c r="AJ43">
        <f>IF(AND(CROQUIS!$C$87=1,CROQUIS!$C$162&gt;0,CROQUIS!$C$164&gt;0),(CROQUIS!$C$160+((CROQUIS!$C$163+INT(MIN(INT(($A43-1)/2),MAX((2*CROQUIS!$C$162)-1,0))/2)*CROQUIS!$C$116+MOD(MIN(INT(($A43-1)/2),MAX((2*CROQUIS!$C$162)-1,0)),2)*CROQUIS!$C$114))*CROQUIS!$C$159),-1000)</f>
        <v>81.3375508359693</v>
      </c>
      <c r="AK43">
        <f>IF(AND(CROQUIS!$C$87=1,CROQUIS!$C$162&gt;0,CROQUIS!$C$164&gt;0),(CROQUIS!$C$161+(IF(MOD(MIN(INT(($A43-1)/2),MAX((2*CROQUIS!$C$162)-1,0)),2)=0,IF(IF(INT(($A43-1)/2)&gt;MAX((2*CROQUIS!$C$162)-1,0),1,MOD($A43-1,2))=0,CROQUIS!$C$165,(CROQUIS!$C$165+(CROQUIS!$C$164-1)*CROQUIS!$C$116+CROQUIS!$C$115)),IF(IF(INT(($A43-1)/2)&gt;MAX((2*CROQUIS!$C$162)-1,0),1,MOD($A43-1,2))=0,(CROQUIS!$C$165+(CROQUIS!$C$164-1)*CROQUIS!$C$116+CROQUIS!$C$115),CROQUIS!$C$165)))*CROQUIS!$C$159),-1000)</f>
        <v>20.8088567555355</v>
      </c>
      <c r="AL43">
        <f>IF(AND(CROQUIS!$C$87=1,CROQUIS!$C$164&gt;0,CROQUIS!$C$162&gt;0),(CROQUIS!$C$160+(IF(MOD(MIN(INT(($A43-1)/2),MAX((2*CROQUIS!$C$164)-1,0)),2)=0,IF(IF(INT(($A43-1)/2)&gt;MAX((2*CROQUIS!$C$164)-1,0),1,MOD($A43-1,2))=0,CROQUIS!$C$163,(CROQUIS!$C$163+(CROQUIS!$C$162-1)*CROQUIS!$C$116+CROQUIS!$C$114)),IF(IF(INT(($A43-1)/2)&gt;MAX((2*CROQUIS!$C$164)-1,0),1,MOD($A43-1,2))=0,(CROQUIS!$C$163+(CROQUIS!$C$162-1)*CROQUIS!$C$116+CROQUIS!$C$114),CROQUIS!$C$163)))*CROQUIS!$C$159),-1000)</f>
        <v>22.9552643470402</v>
      </c>
      <c r="AM43">
        <f>IF(AND(CROQUIS!$C$87=1,CROQUIS!$C$164&gt;0,CROQUIS!$C$162&gt;0),(CROQUIS!$C$161+((CROQUIS!$C$165+INT(MIN(INT(($A43-1)/2),MAX((2*CROQUIS!$C$164)-1,0))/2)*CROQUIS!$C$116+MOD(MIN(INT(($A43-1)/2),MAX((2*CROQUIS!$C$164)-1,0)),2)*CROQUIS!$C$115))*CROQUIS!$C$159),-1000)</f>
        <v>79.1911432444645</v>
      </c>
      <c r="AN43">
        <f>IF(AND(CROQUIS!$C$87=1,CROQUIS!$C$162&gt;=2),(CROQUIS!$C$160+((CROQUIS!$C$163+CROQUIS!$C$114+(CROQUIS!$C$116-CROQUIS!$C$114)/2+MIN(INT(($A43-1)/2),MAX((CROQUIS!$C$162-1)-1,0))*CROQUIS!$C$116))*CROQUIS!$C$159),-1000)</f>
        <v>70.1762313601446</v>
      </c>
      <c r="AO43">
        <f>IF(AND(CROQUIS!$C$87=1,CROQUIS!$C$162&gt;=2),(CROQUIS!$C$161+(IF(MOD(MIN(INT(($A43-1)/2),MAX((CROQUIS!$C$162-1)-1,0)),2)=0,IF(IF(INT(($A43-1)/2)&gt;MAX((CROQUIS!$C$162-1)-1,0),1,MOD($A43-1,2))=0,CROQUIS!$C$107/2,(CROQUIS!$C$96-CROQUIS!$C$107/2)),IF(IF(INT(($A43-1)/2)&gt;MAX((CROQUIS!$C$162-1)-1,0),1,MOD($A43-1,2))=0,(CROQUIS!$C$96-CROQUIS!$C$107/2),CROQUIS!$C$107/2)))*CROQUIS!$C$159),-1000)</f>
        <v>16.9453230908269</v>
      </c>
      <c r="AP43">
        <f>IF(AND(CROQUIS!$C$87=1,CROQUIS!$C$164&gt;=2),(CROQUIS!$C$160+(IF(MOD(MIN(INT(($A43-1)/2),MAX((CROQUIS!$C$164-1)-1,0)),2)=0,IF(IF(INT(($A43-1)/2)&gt;MAX((CROQUIS!$C$164-1)-1,0),1,MOD($A43-1,2))=0,CROQUIS!$C$107/2,(CROQUIS!$C$95-CROQUIS!$C$107/2)),IF(IF(INT(($A43-1)/2)&gt;MAX((CROQUIS!$C$164-1)-1,0),1,MOD($A43-1,2))=0,(CROQUIS!$C$95-CROQUIS!$C$107/2),CROQUIS!$C$107/2)))*CROQUIS!$C$159),-1000)</f>
        <v>13.2878445549028</v>
      </c>
      <c r="AQ43">
        <f>IF(AND(CROQUIS!$C$87=1,CROQUIS!$C$164&gt;=2),(CROQUIS!$C$161+((CROQUIS!$C$165+CROQUIS!$C$115+(CROQUIS!$C$116-CROQUIS!$C$115)/2+MIN(INT(($A43-1)/2),MAX((CROQUIS!$C$164-1)-1,0))*CROQUIS!$C$116))*CROQUIS!$C$159),-1000)</f>
        <v>68.0298237686399</v>
      </c>
      <c r="BN43">
        <f>IF(AND(CROQUIS!$C$88=1,CROQUIS!$C$129&gt;0),((CROQUIS!$C$160+(IF(CROQUIS!$C$92="X",CHOOSE(IF(INT(($A43-1)/5)&gt;MAX((MAX(1,INT(((CROQUIS!$C$98)-CROQUIS!$C$107)/MAX((CROQUIS!$C$129*MAX(1,CEILING((INT(((CROQUIS!$C$98)-CROQUIS!$C$107)/MAX(CROQUIS!$C$129,1))+1)/80,1))),1))+1))-1,0),0,MOD($A43-1,5))+1,0,2,CROQUIS!$C$97-2,2,0),((CROQUIS!$C$107/2+(((CROQUIS!$C$98)-CROQUIS!$C$107)-(MAX(1,INT(((CROQUIS!$C$98)-CROQUIS!$C$107)/MAX((CROQUIS!$C$129*MAX(1,CEILING((INT(((CROQUIS!$C$98)-CROQUIS!$C$107)/MAX(CROQUIS!$C$129,1))+1)/80,1))),1))+1)-1)*(CROQUIS!$C$129*MAX(1,CEILING((INT(((CROQUIS!$C$98)-CROQUIS!$C$107)/MAX(CROQUIS!$C$129,1))+1)/80,1))))/2)+MIN(INT(($A43-1)/5),MAX((MAX(1,INT(((CROQUIS!$C$98)-CROQUIS!$C$107)/MAX((CROQUIS!$C$129*MAX(1,CEILING((INT(((CROQUIS!$C$98)-CROQUIS!$C$107)/MAX(CROQUIS!$C$129,1))+1)/80,1))),1))+1))-1,0))*(CROQUIS!$C$129*MAX(1,CEILING((INT(((CROQUIS!$C$98)-CROQUIS!$C$107)/MAX(CROQUIS!$C$129,1))+1)/80,1))))))*CROQUIS!$C$159)+IF(CROQUIS!$C$92="X",0,0)),-1000)</f>
        <v>-1000</v>
      </c>
      <c r="BO43">
        <f>IF(AND(CROQUIS!$C$88=1,CROQUIS!$C$129&gt;0),((CROQUIS!$C$161+(IF(CROQUIS!$C$92="X",((CROQUIS!$C$107/2+(((CROQUIS!$C$98)-CROQUIS!$C$107)-(MAX(1,INT(((CROQUIS!$C$98)-CROQUIS!$C$107)/MAX((CROQUIS!$C$129*MAX(1,CEILING((INT(((CROQUIS!$C$98)-CROQUIS!$C$107)/MAX(CROQUIS!$C$129,1))+1)/80,1))),1))+1)-1)*(CROQUIS!$C$129*MAX(1,CEILING((INT(((CROQUIS!$C$98)-CROQUIS!$C$107)/MAX(CROQUIS!$C$129,1))+1)/80,1))))/2)+MIN(INT(($A43-1)/5),MAX((MAX(1,INT(((CROQUIS!$C$98)-CROQUIS!$C$107)/MAX((CROQUIS!$C$129*MAX(1,CEILING((INT(((CROQUIS!$C$98)-CROQUIS!$C$107)/MAX(CROQUIS!$C$129,1))+1)/80,1))),1))+1))-1,0))*(CROQUIS!$C$129*MAX(1,CEILING((INT(((CROQUIS!$C$98)-CROQUIS!$C$107)/MAX(CROQUIS!$C$129,1))+1)/80,1)))),CHOOSE(IF(INT(($A43-1)/5)&gt;MAX((MAX(1,INT(((CROQUIS!$C$98)-CROQUIS!$C$107)/MAX((CROQUIS!$C$129*MAX(1,CEILING((INT(((CROQUIS!$C$98)-CROQUIS!$C$107)/MAX(CROQUIS!$C$129,1))+1)/80,1))),1))+1))-1,0),0,MOD($A43-1,5))+1,0,2,CROQUIS!$C$97-2,2,0)))*CROQUIS!$C$159)+IF(CROQUIS!$C$92="X",0,0)),-1000)</f>
        <v>-1000</v>
      </c>
      <c r="BP43">
        <f>IF(AND(CROQUIS!$C$88=1,CROQUIS!$C$137&gt;0),((CROQUIS!$C$160+(IF(CROQUIS!$C$92="X",((CROQUIS!$C$107/2+(((CROQUIS!$C$97)-CROQUIS!$C$107)-(MAX(1,INT(((CROQUIS!$C$97)-CROQUIS!$C$107)/MAX((CROQUIS!$C$137*MAX(1,CEILING((INT(((CROQUIS!$C$97)-CROQUIS!$C$107)/MAX(CROQUIS!$C$137,1))+1)/80,1))),1))+1)-1)*(CROQUIS!$C$137*MAX(1,CEILING((INT(((CROQUIS!$C$97)-CROQUIS!$C$107)/MAX(CROQUIS!$C$137,1))+1)/80,1))))/2)+MIN(INT(($A43-1)/5),MAX((MAX(1,INT(((CROQUIS!$C$97)-CROQUIS!$C$107)/MAX((CROQUIS!$C$137*MAX(1,CEILING((INT(((CROQUIS!$C$97)-CROQUIS!$C$107)/MAX(CROQUIS!$C$137,1))+1)/80,1))),1))+1))-1,0))*(CROQUIS!$C$137*MAX(1,CEILING((INT(((CROQUIS!$C$97)-CROQUIS!$C$107)/MAX(CROQUIS!$C$137,1))+1)/80,1)))),CHOOSE(IF(INT(($A43-1)/5)&gt;MAX((MAX(1,INT(((CROQUIS!$C$97)-CROQUIS!$C$107)/MAX((CROQUIS!$C$137*MAX(1,CEILING((INT(((CROQUIS!$C$97)-CROQUIS!$C$107)/MAX(CROQUIS!$C$137,1))+1)/80,1))),1))+1))-1,0),0,MOD($A43-1,5))+1,0,2,CROQUIS!$C$98-2,2,0)))*CROQUIS!$C$159)+IF(CROQUIS!$C$92="X",0,0)),-1000)</f>
        <v>-1000</v>
      </c>
      <c r="BQ43">
        <f>IF(AND(CROQUIS!$C$88=1,CROQUIS!$C$137&gt;0),((CROQUIS!$C$161+(IF(CROQUIS!$C$92="X",CHOOSE(IF(INT(($A43-1)/5)&gt;MAX((MAX(1,INT(((CROQUIS!$C$97)-CROQUIS!$C$107)/MAX((CROQUIS!$C$137*MAX(1,CEILING((INT(((CROQUIS!$C$97)-CROQUIS!$C$107)/MAX(CROQUIS!$C$137,1))+1)/80,1))),1))+1))-1,0),0,MOD($A43-1,5))+1,0,2,CROQUIS!$C$98-2,2,0),((CROQUIS!$C$107/2+(((CROQUIS!$C$97)-CROQUIS!$C$107)-(MAX(1,INT(((CROQUIS!$C$97)-CROQUIS!$C$107)/MAX((CROQUIS!$C$137*MAX(1,CEILING((INT(((CROQUIS!$C$97)-CROQUIS!$C$107)/MAX(CROQUIS!$C$137,1))+1)/80,1))),1))+1)-1)*(CROQUIS!$C$137*MAX(1,CEILING((INT(((CROQUIS!$C$97)-CROQUIS!$C$107)/MAX(CROQUIS!$C$137,1))+1)/80,1))))/2)+MIN(INT(($A43-1)/5),MAX((MAX(1,INT(((CROQUIS!$C$97)-CROQUIS!$C$107)/MAX((CROQUIS!$C$137*MAX(1,CEILING((INT(((CROQUIS!$C$97)-CROQUIS!$C$107)/MAX(CROQUIS!$C$137,1))+1)/80,1))),1))+1))-1,0))*(CROQUIS!$C$137*MAX(1,CEILING((INT(((CROQUIS!$C$97)-CROQUIS!$C$107)/MAX(CROQUIS!$C$137,1))+1)/80,1))))))*CROQUIS!$C$159)+IF(CROQUIS!$C$92="X",0,0)),-1000)</f>
        <v>-1000</v>
      </c>
      <c r="BR43">
        <f>IF(AND(CROQUIS!$C$88=1,CROQUIS!$C$91=0,CROQUIS!$C$133&gt;0,OR(CROQUIS!$C$103=1,CROQUIS!$C$145=1)),((CROQUIS!$C$160+(IF(CROQUIS!$C$92="X",CHOOSE(IF(INT(($A43-1)/5)&gt;MAX((MAX(1,INT(((CROQUIS!$C$98)-CROQUIS!$C$107)/MAX((CROQUIS!$C$133*MAX(1,CEILING((INT(((CROQUIS!$C$98)-CROQUIS!$C$107)/MAX(CROQUIS!$C$133,1))+1)/80,1))),1))+1))-1,0),0,MOD($A43-1,5))+1,0,IF(CROQUIS!$C$103=1,-12,2),CROQUIS!$C$107/2+CROQUIS!$C$143,IF(CROQUIS!$C$103=1,-12,2),0),((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BS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+1,0,IF(CROQUIS!$C$103=1,-12,2),CROQUIS!$C$107/2+CROQUIS!$C$143,IF(CROQUIS!$C$103=1,-12,2),0)))*CROQUIS!$C$159)+IF(CROQUIS!$C$92="X",0.8,0)),-1000)</f>
        <v>-1000</v>
      </c>
      <c r="BT43">
        <f>IF(AND(CROQUIS!$C$88=1,CROQUIS!$C$91=0,CROQUIS!$C$133&gt;0,OR(CROQUIS!$C$104=1,CROQUIS!$C$145=1)),((CROQUIS!$C$160+(IF(CROQUIS!$C$92="X",CHOOSE(IF(INT(($A43-1)/5)&gt;MAX((MAX(1,INT(((CROQUIS!$C$98)-CROQUIS!$C$107)/MAX((CROQUIS!$C$133*MAX(1,CEILING((INT(((CROQUIS!$C$98)-CROQUIS!$C$107)/MAX(CROQUIS!$C$133,1))+1)/80,1))),1))+1))-1,0),0,MOD($A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BU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CROQUIS!$C$97,CROQUIS!$C$97-CROQUIS!$C$107/2-CROQUIS!$C$143,IF(CROQUIS!$C$104=1,CROQUIS!$C$97+12,CROQUIS!$C$97-2),CROQUIS!$C$97-CROQUIS!$C$107/2-CROQUIS!$C$143,CROQUIS!$C$97)))*CROQUIS!$C$159)+IF(CROQUIS!$C$92="X",0.8,0)),-1000)</f>
        <v>-1000</v>
      </c>
      <c r="BV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HOOSE(IF(INT(($A43-1)/5)&gt;MAX((MAX(1,INT(((CROQUIS!$C$97)-CROQUIS!$C$107)/MAX((CROQUIS!$C$141*MAX(1,CEILING((INT(((CROQUIS!$C$97)-CROQUIS!$C$107)/MAX(CROQUIS!$C$141,1))+1)/80,1))),1))+1))-1,0),0,MOD($A43-1,5))+1,0,IF(CROQUIS!$C$105=1,-12,2),CROQUIS!$C$107/2+CROQUIS!$C$144,IF(CROQUIS!$C$105=1,-12,2),0)))*CROQUIS!$C$159)+IF(CROQUIS!$C$92="X",0.8,0)),-1000)</f>
        <v>-1000</v>
      </c>
      <c r="BW43">
        <f>IF(AND(CROQUIS!$C$88=1,CROQUIS!$C$91=0,CROQUIS!$C$141&gt;0,OR(CROQUIS!$C$105=1,CROQUIS!$C$146=1)),((CROQUIS!$C$161+(IF(CROQUIS!$C$92="X",CHOOSE(IF(INT(($A43-1)/5)&gt;MAX((MAX(1,INT(((CROQUIS!$C$97)-CROQUIS!$C$107)/MAX((CROQUIS!$C$141*MAX(1,CEILING((INT(((CROQUIS!$C$97)-CROQUIS!$C$107)/MAX(CROQUIS!$C$141,1))+1)/80,1))),1))+1))-1,0),0,MOD($A43-1,5))+1,0,IF(CROQUIS!$C$105=1,-12,2),CROQUIS!$C$107/2+CROQUIS!$C$144,IF(CROQUIS!$C$105=1,-12,2),0),((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ROQUIS!$C$159)+IF(CROQUIS!$C$92="X",0,0.8)),-1000)</f>
        <v>-1000</v>
      </c>
      <c r="BX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HOOSE(IF(INT(($A43-1)/5)&gt;MAX((MAX(1,INT(((CROQUIS!$C$97)-CROQUIS!$C$107)/MAX((CROQUIS!$C$141*MAX(1,CEILING((INT(((CROQUIS!$C$97)-CROQUIS!$C$107)/MAX(CROQUIS!$C$141,1))+1)/80,1))),1))+1))-1,0),0,MOD($A43-1,5))+1,CROQUIS!$C$98,CROQUIS!$C$98-CROQUIS!$C$107/2-CROQUIS!$C$144,IF(CROQUIS!$C$106=1,CROQUIS!$C$98+12,CROQUIS!$C$98-2),CROQUIS!$C$98-CROQUIS!$C$107/2-CROQUIS!$C$144,CROQUIS!$C$98)))*CROQUIS!$C$159)+IF(CROQUIS!$C$92="X",0.8,0)),-1000)</f>
        <v>-1000</v>
      </c>
      <c r="BY43">
        <f>IF(AND(CROQUIS!$C$88=1,CROQUIS!$C$91=0,CROQUIS!$C$141&gt;0,OR(CROQUIS!$C$106=1,CROQUIS!$C$146=1)),((CROQUIS!$C$161+(IF(CROQUIS!$C$92="X",CHOOSE(IF(INT(($A43-1)/5)&gt;MAX((MAX(1,INT(((CROQUIS!$C$97)-CROQUIS!$C$107)/MAX((CROQUIS!$C$141*MAX(1,CEILING((INT(((CROQUIS!$C$97)-CROQUIS!$C$107)/MAX(CROQUIS!$C$141,1))+1)/80,1))),1))+1))-1,0),0,MOD($A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ROQUIS!$C$159)+IF(CROQUIS!$C$92="X",0,0.8)),-1000)</f>
        <v>-1000</v>
      </c>
      <c r="BZ43">
        <f>IF(AND(CROQUIS!$C$88=1,CROQUIS!$C$91=1,CROQUIS!$C$133&gt;0),((CROQUIS!$C$160+(IF(CROQUIS!$C$92="X",CHOOSE(IF(INT(($A43-1)/5)&gt;MAX((MAX(1,INT(((CROQUIS!$C$98)-CROQUIS!$C$107)/MAX((CROQUIS!$C$133*MAX(1,CEILING((INT(((CROQUIS!$C$98)-CROQUIS!$C$107)/MAX(CROQUIS!$C$133,1))+1)/80,1))),1))+1))-1,0),0,MOD($A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CA43">
        <f>IF(AND(CROQUIS!$C$88=1,CROQUIS!$C$91=1,CROQUIS!$C$133&gt;0),((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4">
      <c r="A44" t="n">
        <v>37</v>
      </c>
      <c r="F44">
        <f>IF(AND(CROQUIS!$C$87=1,CROQUIS!$C$91=1),((CROQUIS!$C$160+(IF(CROQUIS!$C$92="X",IF(CROQUIS!$C$94=1,0,CROQUIS!$C$97)+IF(MOD($A44,2)=1,-CROQUIS!$C$107/2,CROQUIS!$C$107/2),(MIN($A44,41)-1)/40*CROQUIS!$C$98))*CROQUIS!$C$159)+IF(CROQUIS!$C$92="X",0,0)),-1000)</f>
        <v>-1000</v>
      </c>
      <c r="G44">
        <f>IF(AND(CROQUIS!$C$87=1,CROQUIS!$C$91=1),((CROQUIS!$C$161+(IF(CROQUIS!$C$92="X",(MIN($A44,41)-1)/40*CROQUIS!$C$98,IF(CROQUIS!$C$94=1,0,CROQUIS!$C$97)+IF(MOD($A44,2)=1,-CROQUIS!$C$107/2,CROQUIS!$C$107/2)))*CROQUIS!$C$159)+IF(CROQUIS!$C$92="X",0,0)),-1000)</f>
        <v>-1000</v>
      </c>
      <c r="V44">
        <f>IF(AND(CROQUIS!$C$88=1,CROQUIS!$C$91=1),((CROQUIS!$C$160+(IF(CROQUIS!$C$92="X",IF(CROQUIS!$C$94=1,0,CROQUIS!$C$97)+IF(MOD($A44,2)=1,-CROQUIS!$C$107/2,CROQUIS!$C$107/2),(MIN($A44,41)-1)/40*CROQUIS!$C$98))*CROQUIS!$C$159)+IF(CROQUIS!$C$92="X",0,0)),-1000)</f>
        <v>-1000</v>
      </c>
      <c r="W44">
        <f>IF(AND(CROQUIS!$C$88=1,CROQUIS!$C$91=1),((CROQUIS!$C$161+(IF(CROQUIS!$C$92="X",(MIN($A44,41)-1)/40*CROQUIS!$C$98,IF(CROQUIS!$C$94=1,0,CROQUIS!$C$97)+IF(MOD($A44,2)=1,-CROQUIS!$C$107/2,CROQUIS!$C$107/2)))*CROQUIS!$C$159)+IF(CROQUIS!$C$92="X",0,0)),-1000)</f>
        <v>-1000</v>
      </c>
      <c r="AJ44">
        <f>IF(AND(CROQUIS!$C$87=1,CROQUIS!$C$162&gt;0,CROQUIS!$C$164&gt;0),(CROQUIS!$C$160+((CROQUIS!$C$163+INT(MIN(INT(($A44-1)/2),MAX((2*CROQUIS!$C$162)-1,0))/2)*CROQUIS!$C$116+MOD(MIN(INT(($A44-1)/2),MAX((2*CROQUIS!$C$162)-1,0)),2)*CROQUIS!$C$114))*CROQUIS!$C$159),-1000)</f>
        <v>81.3375508359693</v>
      </c>
      <c r="AK44">
        <f>IF(AND(CROQUIS!$C$87=1,CROQUIS!$C$162&gt;0,CROQUIS!$C$164&gt;0),(CROQUIS!$C$161+(IF(MOD(MIN(INT(($A44-1)/2),MAX((2*CROQUIS!$C$162)-1,0)),2)=0,IF(IF(INT(($A44-1)/2)&gt;MAX((2*CROQUIS!$C$162)-1,0),1,MOD($A44-1,2))=0,CROQUIS!$C$165,(CROQUIS!$C$165+(CROQUIS!$C$164-1)*CROQUIS!$C$116+CROQUIS!$C$115)),IF(IF(INT(($A44-1)/2)&gt;MAX((2*CROQUIS!$C$162)-1,0),1,MOD($A44-1,2))=0,(CROQUIS!$C$165+(CROQUIS!$C$164-1)*CROQUIS!$C$116+CROQUIS!$C$115),CROQUIS!$C$165)))*CROQUIS!$C$159),-1000)</f>
        <v>20.8088567555355</v>
      </c>
      <c r="AL44">
        <f>IF(AND(CROQUIS!$C$87=1,CROQUIS!$C$164&gt;0,CROQUIS!$C$162&gt;0),(CROQUIS!$C$160+(IF(MOD(MIN(INT(($A44-1)/2),MAX((2*CROQUIS!$C$164)-1,0)),2)=0,IF(IF(INT(($A44-1)/2)&gt;MAX((2*CROQUIS!$C$164)-1,0),1,MOD($A44-1,2))=0,CROQUIS!$C$163,(CROQUIS!$C$163+(CROQUIS!$C$162-1)*CROQUIS!$C$116+CROQUIS!$C$114)),IF(IF(INT(($A44-1)/2)&gt;MAX((2*CROQUIS!$C$164)-1,0),1,MOD($A44-1,2))=0,(CROQUIS!$C$163+(CROQUIS!$C$162-1)*CROQUIS!$C$116+CROQUIS!$C$114),CROQUIS!$C$163)))*CROQUIS!$C$159),-1000)</f>
        <v>22.9552643470402</v>
      </c>
      <c r="AM44">
        <f>IF(AND(CROQUIS!$C$87=1,CROQUIS!$C$164&gt;0,CROQUIS!$C$162&gt;0),(CROQUIS!$C$161+((CROQUIS!$C$165+INT(MIN(INT(($A44-1)/2),MAX((2*CROQUIS!$C$164)-1,0))/2)*CROQUIS!$C$116+MOD(MIN(INT(($A44-1)/2),MAX((2*CROQUIS!$C$164)-1,0)),2)*CROQUIS!$C$115))*CROQUIS!$C$159),-1000)</f>
        <v>79.1911432444645</v>
      </c>
      <c r="AN44">
        <f>IF(AND(CROQUIS!$C$87=1,CROQUIS!$C$162&gt;=2),(CROQUIS!$C$160+((CROQUIS!$C$163+CROQUIS!$C$114+(CROQUIS!$C$116-CROQUIS!$C$114)/2+MIN(INT(($A44-1)/2),MAX((CROQUIS!$C$162-1)-1,0))*CROQUIS!$C$116))*CROQUIS!$C$159),-1000)</f>
        <v>70.1762313601446</v>
      </c>
      <c r="AO44">
        <f>IF(AND(CROQUIS!$C$87=1,CROQUIS!$C$162&gt;=2),(CROQUIS!$C$161+(IF(MOD(MIN(INT(($A44-1)/2),MAX((CROQUIS!$C$162-1)-1,0)),2)=0,IF(IF(INT(($A44-1)/2)&gt;MAX((CROQUIS!$C$162-1)-1,0),1,MOD($A44-1,2))=0,CROQUIS!$C$107/2,(CROQUIS!$C$96-CROQUIS!$C$107/2)),IF(IF(INT(($A44-1)/2)&gt;MAX((CROQUIS!$C$162-1)-1,0),1,MOD($A44-1,2))=0,(CROQUIS!$C$96-CROQUIS!$C$107/2),CROQUIS!$C$107/2)))*CROQUIS!$C$159),-1000)</f>
        <v>16.9453230908269</v>
      </c>
      <c r="AP44">
        <f>IF(AND(CROQUIS!$C$87=1,CROQUIS!$C$164&gt;=2),(CROQUIS!$C$160+(IF(MOD(MIN(INT(($A44-1)/2),MAX((CROQUIS!$C$164-1)-1,0)),2)=0,IF(IF(INT(($A44-1)/2)&gt;MAX((CROQUIS!$C$164-1)-1,0),1,MOD($A44-1,2))=0,CROQUIS!$C$107/2,(CROQUIS!$C$95-CROQUIS!$C$107/2)),IF(IF(INT(($A44-1)/2)&gt;MAX((CROQUIS!$C$164-1)-1,0),1,MOD($A44-1,2))=0,(CROQUIS!$C$95-CROQUIS!$C$107/2),CROQUIS!$C$107/2)))*CROQUIS!$C$159),-1000)</f>
        <v>13.2878445549028</v>
      </c>
      <c r="AQ44">
        <f>IF(AND(CROQUIS!$C$87=1,CROQUIS!$C$164&gt;=2),(CROQUIS!$C$161+((CROQUIS!$C$165+CROQUIS!$C$115+(CROQUIS!$C$116-CROQUIS!$C$115)/2+MIN(INT(($A44-1)/2),MAX((CROQUIS!$C$164-1)-1,0))*CROQUIS!$C$116))*CROQUIS!$C$159),-1000)</f>
        <v>68.0298237686399</v>
      </c>
      <c r="BN44">
        <f>IF(AND(CROQUIS!$C$88=1,CROQUIS!$C$129&gt;0),((CROQUIS!$C$160+(IF(CROQUIS!$C$92="X",CHOOSE(IF(INT(($A44-1)/5)&gt;MAX((MAX(1,INT(((CROQUIS!$C$98)-CROQUIS!$C$107)/MAX((CROQUIS!$C$129*MAX(1,CEILING((INT(((CROQUIS!$C$98)-CROQUIS!$C$107)/MAX(CROQUIS!$C$129,1))+1)/80,1))),1))+1))-1,0),0,MOD($A44-1,5))+1,0,2,CROQUIS!$C$97-2,2,0),((CROQUIS!$C$107/2+(((CROQUIS!$C$98)-CROQUIS!$C$107)-(MAX(1,INT(((CROQUIS!$C$98)-CROQUIS!$C$107)/MAX((CROQUIS!$C$129*MAX(1,CEILING((INT(((CROQUIS!$C$98)-CROQUIS!$C$107)/MAX(CROQUIS!$C$129,1))+1)/80,1))),1))+1)-1)*(CROQUIS!$C$129*MAX(1,CEILING((INT(((CROQUIS!$C$98)-CROQUIS!$C$107)/MAX(CROQUIS!$C$129,1))+1)/80,1))))/2)+MIN(INT(($A44-1)/5),MAX((MAX(1,INT(((CROQUIS!$C$98)-CROQUIS!$C$107)/MAX((CROQUIS!$C$129*MAX(1,CEILING((INT(((CROQUIS!$C$98)-CROQUIS!$C$107)/MAX(CROQUIS!$C$129,1))+1)/80,1))),1))+1))-1,0))*(CROQUIS!$C$129*MAX(1,CEILING((INT(((CROQUIS!$C$98)-CROQUIS!$C$107)/MAX(CROQUIS!$C$129,1))+1)/80,1))))))*CROQUIS!$C$159)+IF(CROQUIS!$C$92="X",0,0)),-1000)</f>
        <v>-1000</v>
      </c>
      <c r="BO44">
        <f>IF(AND(CROQUIS!$C$88=1,CROQUIS!$C$129&gt;0),((CROQUIS!$C$161+(IF(CROQUIS!$C$92="X",((CROQUIS!$C$107/2+(((CROQUIS!$C$98)-CROQUIS!$C$107)-(MAX(1,INT(((CROQUIS!$C$98)-CROQUIS!$C$107)/MAX((CROQUIS!$C$129*MAX(1,CEILING((INT(((CROQUIS!$C$98)-CROQUIS!$C$107)/MAX(CROQUIS!$C$129,1))+1)/80,1))),1))+1)-1)*(CROQUIS!$C$129*MAX(1,CEILING((INT(((CROQUIS!$C$98)-CROQUIS!$C$107)/MAX(CROQUIS!$C$129,1))+1)/80,1))))/2)+MIN(INT(($A44-1)/5),MAX((MAX(1,INT(((CROQUIS!$C$98)-CROQUIS!$C$107)/MAX((CROQUIS!$C$129*MAX(1,CEILING((INT(((CROQUIS!$C$98)-CROQUIS!$C$107)/MAX(CROQUIS!$C$129,1))+1)/80,1))),1))+1))-1,0))*(CROQUIS!$C$129*MAX(1,CEILING((INT(((CROQUIS!$C$98)-CROQUIS!$C$107)/MAX(CROQUIS!$C$129,1))+1)/80,1)))),CHOOSE(IF(INT(($A44-1)/5)&gt;MAX((MAX(1,INT(((CROQUIS!$C$98)-CROQUIS!$C$107)/MAX((CROQUIS!$C$129*MAX(1,CEILING((INT(((CROQUIS!$C$98)-CROQUIS!$C$107)/MAX(CROQUIS!$C$129,1))+1)/80,1))),1))+1))-1,0),0,MOD($A44-1,5))+1,0,2,CROQUIS!$C$97-2,2,0)))*CROQUIS!$C$159)+IF(CROQUIS!$C$92="X",0,0)),-1000)</f>
        <v>-1000</v>
      </c>
      <c r="BP44">
        <f>IF(AND(CROQUIS!$C$88=1,CROQUIS!$C$137&gt;0),((CROQUIS!$C$160+(IF(CROQUIS!$C$92="X",((CROQUIS!$C$107/2+(((CROQUIS!$C$97)-CROQUIS!$C$107)-(MAX(1,INT(((CROQUIS!$C$97)-CROQUIS!$C$107)/MAX((CROQUIS!$C$137*MAX(1,CEILING((INT(((CROQUIS!$C$97)-CROQUIS!$C$107)/MAX(CROQUIS!$C$137,1))+1)/80,1))),1))+1)-1)*(CROQUIS!$C$137*MAX(1,CEILING((INT(((CROQUIS!$C$97)-CROQUIS!$C$107)/MAX(CROQUIS!$C$137,1))+1)/80,1))))/2)+MIN(INT(($A44-1)/5),MAX((MAX(1,INT(((CROQUIS!$C$97)-CROQUIS!$C$107)/MAX((CROQUIS!$C$137*MAX(1,CEILING((INT(((CROQUIS!$C$97)-CROQUIS!$C$107)/MAX(CROQUIS!$C$137,1))+1)/80,1))),1))+1))-1,0))*(CROQUIS!$C$137*MAX(1,CEILING((INT(((CROQUIS!$C$97)-CROQUIS!$C$107)/MAX(CROQUIS!$C$137,1))+1)/80,1)))),CHOOSE(IF(INT(($A44-1)/5)&gt;MAX((MAX(1,INT(((CROQUIS!$C$97)-CROQUIS!$C$107)/MAX((CROQUIS!$C$137*MAX(1,CEILING((INT(((CROQUIS!$C$97)-CROQUIS!$C$107)/MAX(CROQUIS!$C$137,1))+1)/80,1))),1))+1))-1,0),0,MOD($A44-1,5))+1,0,2,CROQUIS!$C$98-2,2,0)))*CROQUIS!$C$159)+IF(CROQUIS!$C$92="X",0,0)),-1000)</f>
        <v>-1000</v>
      </c>
      <c r="BQ44">
        <f>IF(AND(CROQUIS!$C$88=1,CROQUIS!$C$137&gt;0),((CROQUIS!$C$161+(IF(CROQUIS!$C$92="X",CHOOSE(IF(INT(($A44-1)/5)&gt;MAX((MAX(1,INT(((CROQUIS!$C$97)-CROQUIS!$C$107)/MAX((CROQUIS!$C$137*MAX(1,CEILING((INT(((CROQUIS!$C$97)-CROQUIS!$C$107)/MAX(CROQUIS!$C$137,1))+1)/80,1))),1))+1))-1,0),0,MOD($A44-1,5))+1,0,2,CROQUIS!$C$98-2,2,0),((CROQUIS!$C$107/2+(((CROQUIS!$C$97)-CROQUIS!$C$107)-(MAX(1,INT(((CROQUIS!$C$97)-CROQUIS!$C$107)/MAX((CROQUIS!$C$137*MAX(1,CEILING((INT(((CROQUIS!$C$97)-CROQUIS!$C$107)/MAX(CROQUIS!$C$137,1))+1)/80,1))),1))+1)-1)*(CROQUIS!$C$137*MAX(1,CEILING((INT(((CROQUIS!$C$97)-CROQUIS!$C$107)/MAX(CROQUIS!$C$137,1))+1)/80,1))))/2)+MIN(INT(($A44-1)/5),MAX((MAX(1,INT(((CROQUIS!$C$97)-CROQUIS!$C$107)/MAX((CROQUIS!$C$137*MAX(1,CEILING((INT(((CROQUIS!$C$97)-CROQUIS!$C$107)/MAX(CROQUIS!$C$137,1))+1)/80,1))),1))+1))-1,0))*(CROQUIS!$C$137*MAX(1,CEILING((INT(((CROQUIS!$C$97)-CROQUIS!$C$107)/MAX(CROQUIS!$C$137,1))+1)/80,1))))))*CROQUIS!$C$159)+IF(CROQUIS!$C$92="X",0,0)),-1000)</f>
        <v>-1000</v>
      </c>
      <c r="BR44">
        <f>IF(AND(CROQUIS!$C$88=1,CROQUIS!$C$91=0,CROQUIS!$C$133&gt;0,OR(CROQUIS!$C$103=1,CROQUIS!$C$145=1)),((CROQUIS!$C$160+(IF(CROQUIS!$C$92="X",CHOOSE(IF(INT(($A44-1)/5)&gt;MAX((MAX(1,INT(((CROQUIS!$C$98)-CROQUIS!$C$107)/MAX((CROQUIS!$C$133*MAX(1,CEILING((INT(((CROQUIS!$C$98)-CROQUIS!$C$107)/MAX(CROQUIS!$C$133,1))+1)/80,1))),1))+1))-1,0),0,MOD($A44-1,5))+1,0,IF(CROQUIS!$C$103=1,-12,2),CROQUIS!$C$107/2+CROQUIS!$C$143,IF(CROQUIS!$C$103=1,-12,2),0),((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BS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+1,0,IF(CROQUIS!$C$103=1,-12,2),CROQUIS!$C$107/2+CROQUIS!$C$143,IF(CROQUIS!$C$103=1,-12,2),0)))*CROQUIS!$C$159)+IF(CROQUIS!$C$92="X",0.8,0)),-1000)</f>
        <v>-1000</v>
      </c>
      <c r="BT44">
        <f>IF(AND(CROQUIS!$C$88=1,CROQUIS!$C$91=0,CROQUIS!$C$133&gt;0,OR(CROQUIS!$C$104=1,CROQUIS!$C$145=1)),((CROQUIS!$C$160+(IF(CROQUIS!$C$92="X",CHOOSE(IF(INT(($A44-1)/5)&gt;MAX((MAX(1,INT(((CROQUIS!$C$98)-CROQUIS!$C$107)/MAX((CROQUIS!$C$133*MAX(1,CEILING((INT(((CROQUIS!$C$98)-CROQUIS!$C$107)/MAX(CROQUIS!$C$133,1))+1)/80,1))),1))+1))-1,0),0,MOD($A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BU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CROQUIS!$C$97,CROQUIS!$C$97-CROQUIS!$C$107/2-CROQUIS!$C$143,IF(CROQUIS!$C$104=1,CROQUIS!$C$97+12,CROQUIS!$C$97-2),CROQUIS!$C$97-CROQUIS!$C$107/2-CROQUIS!$C$143,CROQUIS!$C$97)))*CROQUIS!$C$159)+IF(CROQUIS!$C$92="X",0.8,0)),-1000)</f>
        <v>-1000</v>
      </c>
      <c r="BV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HOOSE(IF(INT(($A44-1)/5)&gt;MAX((MAX(1,INT(((CROQUIS!$C$97)-CROQUIS!$C$107)/MAX((CROQUIS!$C$141*MAX(1,CEILING((INT(((CROQUIS!$C$97)-CROQUIS!$C$107)/MAX(CROQUIS!$C$141,1))+1)/80,1))),1))+1))-1,0),0,MOD($A44-1,5))+1,0,IF(CROQUIS!$C$105=1,-12,2),CROQUIS!$C$107/2+CROQUIS!$C$144,IF(CROQUIS!$C$105=1,-12,2),0)))*CROQUIS!$C$159)+IF(CROQUIS!$C$92="X",0.8,0)),-1000)</f>
        <v>-1000</v>
      </c>
      <c r="BW44">
        <f>IF(AND(CROQUIS!$C$88=1,CROQUIS!$C$91=0,CROQUIS!$C$141&gt;0,OR(CROQUIS!$C$105=1,CROQUIS!$C$146=1)),((CROQUIS!$C$161+(IF(CROQUIS!$C$92="X",CHOOSE(IF(INT(($A44-1)/5)&gt;MAX((MAX(1,INT(((CROQUIS!$C$97)-CROQUIS!$C$107)/MAX((CROQUIS!$C$141*MAX(1,CEILING((INT(((CROQUIS!$C$97)-CROQUIS!$C$107)/MAX(CROQUIS!$C$141,1))+1)/80,1))),1))+1))-1,0),0,MOD($A44-1,5))+1,0,IF(CROQUIS!$C$105=1,-12,2),CROQUIS!$C$107/2+CROQUIS!$C$144,IF(CROQUIS!$C$105=1,-12,2),0),((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ROQUIS!$C$159)+IF(CROQUIS!$C$92="X",0,0.8)),-1000)</f>
        <v>-1000</v>
      </c>
      <c r="BX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HOOSE(IF(INT(($A44-1)/5)&gt;MAX((MAX(1,INT(((CROQUIS!$C$97)-CROQUIS!$C$107)/MAX((CROQUIS!$C$141*MAX(1,CEILING((INT(((CROQUIS!$C$97)-CROQUIS!$C$107)/MAX(CROQUIS!$C$141,1))+1)/80,1))),1))+1))-1,0),0,MOD($A44-1,5))+1,CROQUIS!$C$98,CROQUIS!$C$98-CROQUIS!$C$107/2-CROQUIS!$C$144,IF(CROQUIS!$C$106=1,CROQUIS!$C$98+12,CROQUIS!$C$98-2),CROQUIS!$C$98-CROQUIS!$C$107/2-CROQUIS!$C$144,CROQUIS!$C$98)))*CROQUIS!$C$159)+IF(CROQUIS!$C$92="X",0.8,0)),-1000)</f>
        <v>-1000</v>
      </c>
      <c r="BY44">
        <f>IF(AND(CROQUIS!$C$88=1,CROQUIS!$C$91=0,CROQUIS!$C$141&gt;0,OR(CROQUIS!$C$106=1,CROQUIS!$C$146=1)),((CROQUIS!$C$161+(IF(CROQUIS!$C$92="X",CHOOSE(IF(INT(($A44-1)/5)&gt;MAX((MAX(1,INT(((CROQUIS!$C$97)-CROQUIS!$C$107)/MAX((CROQUIS!$C$141*MAX(1,CEILING((INT(((CROQUIS!$C$97)-CROQUIS!$C$107)/MAX(CROQUIS!$C$141,1))+1)/80,1))),1))+1))-1,0),0,MOD($A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ROQUIS!$C$159)+IF(CROQUIS!$C$92="X",0,0.8)),-1000)</f>
        <v>-1000</v>
      </c>
      <c r="BZ44">
        <f>IF(AND(CROQUIS!$C$88=1,CROQUIS!$C$91=1,CROQUIS!$C$133&gt;0),((CROQUIS!$C$160+(IF(CROQUIS!$C$92="X",CHOOSE(IF(INT(($A44-1)/5)&gt;MAX((MAX(1,INT(((CROQUIS!$C$98)-CROQUIS!$C$107)/MAX((CROQUIS!$C$133*MAX(1,CEILING((INT(((CROQUIS!$C$98)-CROQUIS!$C$107)/MAX(CROQUIS!$C$133,1))+1)/80,1))),1))+1))-1,0),0,MOD($A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CA44">
        <f>IF(AND(CROQUIS!$C$88=1,CROQUIS!$C$91=1,CROQUIS!$C$133&gt;0),((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5">
      <c r="A45" t="n">
        <v>38</v>
      </c>
      <c r="F45">
        <f>IF(AND(CROQUIS!$C$87=1,CROQUIS!$C$91=1),((CROQUIS!$C$160+(IF(CROQUIS!$C$92="X",IF(CROQUIS!$C$94=1,0,CROQUIS!$C$97)+IF(MOD($A45,2)=1,-CROQUIS!$C$107/2,CROQUIS!$C$107/2),(MIN($A45,41)-1)/40*CROQUIS!$C$98))*CROQUIS!$C$159)+IF(CROQUIS!$C$92="X",0,0)),-1000)</f>
        <v>-1000</v>
      </c>
      <c r="G45">
        <f>IF(AND(CROQUIS!$C$87=1,CROQUIS!$C$91=1),((CROQUIS!$C$161+(IF(CROQUIS!$C$92="X",(MIN($A45,41)-1)/40*CROQUIS!$C$98,IF(CROQUIS!$C$94=1,0,CROQUIS!$C$97)+IF(MOD($A45,2)=1,-CROQUIS!$C$107/2,CROQUIS!$C$107/2)))*CROQUIS!$C$159)+IF(CROQUIS!$C$92="X",0,0)),-1000)</f>
        <v>-1000</v>
      </c>
      <c r="V45">
        <f>IF(AND(CROQUIS!$C$88=1,CROQUIS!$C$91=1),((CROQUIS!$C$160+(IF(CROQUIS!$C$92="X",IF(CROQUIS!$C$94=1,0,CROQUIS!$C$97)+IF(MOD($A45,2)=1,-CROQUIS!$C$107/2,CROQUIS!$C$107/2),(MIN($A45,41)-1)/40*CROQUIS!$C$98))*CROQUIS!$C$159)+IF(CROQUIS!$C$92="X",0,0)),-1000)</f>
        <v>-1000</v>
      </c>
      <c r="W45">
        <f>IF(AND(CROQUIS!$C$88=1,CROQUIS!$C$91=1),((CROQUIS!$C$161+(IF(CROQUIS!$C$92="X",(MIN($A45,41)-1)/40*CROQUIS!$C$98,IF(CROQUIS!$C$94=1,0,CROQUIS!$C$97)+IF(MOD($A45,2)=1,-CROQUIS!$C$107/2,CROQUIS!$C$107/2)))*CROQUIS!$C$159)+IF(CROQUIS!$C$92="X",0,0)),-1000)</f>
        <v>-1000</v>
      </c>
      <c r="AJ45">
        <f>IF(AND(CROQUIS!$C$87=1,CROQUIS!$C$162&gt;0,CROQUIS!$C$164&gt;0),(CROQUIS!$C$160+((CROQUIS!$C$163+INT(MIN(INT(($A45-1)/2),MAX((2*CROQUIS!$C$162)-1,0))/2)*CROQUIS!$C$116+MOD(MIN(INT(($A45-1)/2),MAX((2*CROQUIS!$C$162)-1,0)),2)*CROQUIS!$C$114))*CROQUIS!$C$159),-1000)</f>
        <v>81.3375508359693</v>
      </c>
      <c r="AK45">
        <f>IF(AND(CROQUIS!$C$87=1,CROQUIS!$C$162&gt;0,CROQUIS!$C$164&gt;0),(CROQUIS!$C$161+(IF(MOD(MIN(INT(($A45-1)/2),MAX((2*CROQUIS!$C$162)-1,0)),2)=0,IF(IF(INT(($A45-1)/2)&gt;MAX((2*CROQUIS!$C$162)-1,0),1,MOD($A45-1,2))=0,CROQUIS!$C$165,(CROQUIS!$C$165+(CROQUIS!$C$164-1)*CROQUIS!$C$116+CROQUIS!$C$115)),IF(IF(INT(($A45-1)/2)&gt;MAX((2*CROQUIS!$C$162)-1,0),1,MOD($A45-1,2))=0,(CROQUIS!$C$165+(CROQUIS!$C$164-1)*CROQUIS!$C$116+CROQUIS!$C$115),CROQUIS!$C$165)))*CROQUIS!$C$159),-1000)</f>
        <v>20.8088567555355</v>
      </c>
      <c r="AL45">
        <f>IF(AND(CROQUIS!$C$87=1,CROQUIS!$C$164&gt;0,CROQUIS!$C$162&gt;0),(CROQUIS!$C$160+(IF(MOD(MIN(INT(($A45-1)/2),MAX((2*CROQUIS!$C$164)-1,0)),2)=0,IF(IF(INT(($A45-1)/2)&gt;MAX((2*CROQUIS!$C$164)-1,0),1,MOD($A45-1,2))=0,CROQUIS!$C$163,(CROQUIS!$C$163+(CROQUIS!$C$162-1)*CROQUIS!$C$116+CROQUIS!$C$114)),IF(IF(INT(($A45-1)/2)&gt;MAX((2*CROQUIS!$C$164)-1,0),1,MOD($A45-1,2))=0,(CROQUIS!$C$163+(CROQUIS!$C$162-1)*CROQUIS!$C$116+CROQUIS!$C$114),CROQUIS!$C$163)))*CROQUIS!$C$159),-1000)</f>
        <v>22.9552643470402</v>
      </c>
      <c r="AM45">
        <f>IF(AND(CROQUIS!$C$87=1,CROQUIS!$C$164&gt;0,CROQUIS!$C$162&gt;0),(CROQUIS!$C$161+((CROQUIS!$C$165+INT(MIN(INT(($A45-1)/2),MAX((2*CROQUIS!$C$164)-1,0))/2)*CROQUIS!$C$116+MOD(MIN(INT(($A45-1)/2),MAX((2*CROQUIS!$C$164)-1,0)),2)*CROQUIS!$C$115))*CROQUIS!$C$159),-1000)</f>
        <v>79.1911432444645</v>
      </c>
      <c r="AN45">
        <f>IF(AND(CROQUIS!$C$87=1,CROQUIS!$C$162&gt;=2),(CROQUIS!$C$160+((CROQUIS!$C$163+CROQUIS!$C$114+(CROQUIS!$C$116-CROQUIS!$C$114)/2+MIN(INT(($A45-1)/2),MAX((CROQUIS!$C$162-1)-1,0))*CROQUIS!$C$116))*CROQUIS!$C$159),-1000)</f>
        <v>70.1762313601446</v>
      </c>
      <c r="AO45">
        <f>IF(AND(CROQUIS!$C$87=1,CROQUIS!$C$162&gt;=2),(CROQUIS!$C$161+(IF(MOD(MIN(INT(($A45-1)/2),MAX((CROQUIS!$C$162-1)-1,0)),2)=0,IF(IF(INT(($A45-1)/2)&gt;MAX((CROQUIS!$C$162-1)-1,0),1,MOD($A45-1,2))=0,CROQUIS!$C$107/2,(CROQUIS!$C$96-CROQUIS!$C$107/2)),IF(IF(INT(($A45-1)/2)&gt;MAX((CROQUIS!$C$162-1)-1,0),1,MOD($A45-1,2))=0,(CROQUIS!$C$96-CROQUIS!$C$107/2),CROQUIS!$C$107/2)))*CROQUIS!$C$159),-1000)</f>
        <v>16.9453230908269</v>
      </c>
      <c r="AP45">
        <f>IF(AND(CROQUIS!$C$87=1,CROQUIS!$C$164&gt;=2),(CROQUIS!$C$160+(IF(MOD(MIN(INT(($A45-1)/2),MAX((CROQUIS!$C$164-1)-1,0)),2)=0,IF(IF(INT(($A45-1)/2)&gt;MAX((CROQUIS!$C$164-1)-1,0),1,MOD($A45-1,2))=0,CROQUIS!$C$107/2,(CROQUIS!$C$95-CROQUIS!$C$107/2)),IF(IF(INT(($A45-1)/2)&gt;MAX((CROQUIS!$C$164-1)-1,0),1,MOD($A45-1,2))=0,(CROQUIS!$C$95-CROQUIS!$C$107/2),CROQUIS!$C$107/2)))*CROQUIS!$C$159),-1000)</f>
        <v>13.2878445549028</v>
      </c>
      <c r="AQ45">
        <f>IF(AND(CROQUIS!$C$87=1,CROQUIS!$C$164&gt;=2),(CROQUIS!$C$161+((CROQUIS!$C$165+CROQUIS!$C$115+(CROQUIS!$C$116-CROQUIS!$C$115)/2+MIN(INT(($A45-1)/2),MAX((CROQUIS!$C$164-1)-1,0))*CROQUIS!$C$116))*CROQUIS!$C$159),-1000)</f>
        <v>68.0298237686399</v>
      </c>
      <c r="BN45">
        <f>IF(AND(CROQUIS!$C$88=1,CROQUIS!$C$129&gt;0),((CROQUIS!$C$160+(IF(CROQUIS!$C$92="X",CHOOSE(IF(INT(($A45-1)/5)&gt;MAX((MAX(1,INT(((CROQUIS!$C$98)-CROQUIS!$C$107)/MAX((CROQUIS!$C$129*MAX(1,CEILING((INT(((CROQUIS!$C$98)-CROQUIS!$C$107)/MAX(CROQUIS!$C$129,1))+1)/80,1))),1))+1))-1,0),0,MOD($A45-1,5))+1,0,2,CROQUIS!$C$97-2,2,0),((CROQUIS!$C$107/2+(((CROQUIS!$C$98)-CROQUIS!$C$107)-(MAX(1,INT(((CROQUIS!$C$98)-CROQUIS!$C$107)/MAX((CROQUIS!$C$129*MAX(1,CEILING((INT(((CROQUIS!$C$98)-CROQUIS!$C$107)/MAX(CROQUIS!$C$129,1))+1)/80,1))),1))+1)-1)*(CROQUIS!$C$129*MAX(1,CEILING((INT(((CROQUIS!$C$98)-CROQUIS!$C$107)/MAX(CROQUIS!$C$129,1))+1)/80,1))))/2)+MIN(INT(($A45-1)/5),MAX((MAX(1,INT(((CROQUIS!$C$98)-CROQUIS!$C$107)/MAX((CROQUIS!$C$129*MAX(1,CEILING((INT(((CROQUIS!$C$98)-CROQUIS!$C$107)/MAX(CROQUIS!$C$129,1))+1)/80,1))),1))+1))-1,0))*(CROQUIS!$C$129*MAX(1,CEILING((INT(((CROQUIS!$C$98)-CROQUIS!$C$107)/MAX(CROQUIS!$C$129,1))+1)/80,1))))))*CROQUIS!$C$159)+IF(CROQUIS!$C$92="X",0,0)),-1000)</f>
        <v>-1000</v>
      </c>
      <c r="BO45">
        <f>IF(AND(CROQUIS!$C$88=1,CROQUIS!$C$129&gt;0),((CROQUIS!$C$161+(IF(CROQUIS!$C$92="X",((CROQUIS!$C$107/2+(((CROQUIS!$C$98)-CROQUIS!$C$107)-(MAX(1,INT(((CROQUIS!$C$98)-CROQUIS!$C$107)/MAX((CROQUIS!$C$129*MAX(1,CEILING((INT(((CROQUIS!$C$98)-CROQUIS!$C$107)/MAX(CROQUIS!$C$129,1))+1)/80,1))),1))+1)-1)*(CROQUIS!$C$129*MAX(1,CEILING((INT(((CROQUIS!$C$98)-CROQUIS!$C$107)/MAX(CROQUIS!$C$129,1))+1)/80,1))))/2)+MIN(INT(($A45-1)/5),MAX((MAX(1,INT(((CROQUIS!$C$98)-CROQUIS!$C$107)/MAX((CROQUIS!$C$129*MAX(1,CEILING((INT(((CROQUIS!$C$98)-CROQUIS!$C$107)/MAX(CROQUIS!$C$129,1))+1)/80,1))),1))+1))-1,0))*(CROQUIS!$C$129*MAX(1,CEILING((INT(((CROQUIS!$C$98)-CROQUIS!$C$107)/MAX(CROQUIS!$C$129,1))+1)/80,1)))),CHOOSE(IF(INT(($A45-1)/5)&gt;MAX((MAX(1,INT(((CROQUIS!$C$98)-CROQUIS!$C$107)/MAX((CROQUIS!$C$129*MAX(1,CEILING((INT(((CROQUIS!$C$98)-CROQUIS!$C$107)/MAX(CROQUIS!$C$129,1))+1)/80,1))),1))+1))-1,0),0,MOD($A45-1,5))+1,0,2,CROQUIS!$C$97-2,2,0)))*CROQUIS!$C$159)+IF(CROQUIS!$C$92="X",0,0)),-1000)</f>
        <v>-1000</v>
      </c>
      <c r="BP45">
        <f>IF(AND(CROQUIS!$C$88=1,CROQUIS!$C$137&gt;0),((CROQUIS!$C$160+(IF(CROQUIS!$C$92="X",((CROQUIS!$C$107/2+(((CROQUIS!$C$97)-CROQUIS!$C$107)-(MAX(1,INT(((CROQUIS!$C$97)-CROQUIS!$C$107)/MAX((CROQUIS!$C$137*MAX(1,CEILING((INT(((CROQUIS!$C$97)-CROQUIS!$C$107)/MAX(CROQUIS!$C$137,1))+1)/80,1))),1))+1)-1)*(CROQUIS!$C$137*MAX(1,CEILING((INT(((CROQUIS!$C$97)-CROQUIS!$C$107)/MAX(CROQUIS!$C$137,1))+1)/80,1))))/2)+MIN(INT(($A45-1)/5),MAX((MAX(1,INT(((CROQUIS!$C$97)-CROQUIS!$C$107)/MAX((CROQUIS!$C$137*MAX(1,CEILING((INT(((CROQUIS!$C$97)-CROQUIS!$C$107)/MAX(CROQUIS!$C$137,1))+1)/80,1))),1))+1))-1,0))*(CROQUIS!$C$137*MAX(1,CEILING((INT(((CROQUIS!$C$97)-CROQUIS!$C$107)/MAX(CROQUIS!$C$137,1))+1)/80,1)))),CHOOSE(IF(INT(($A45-1)/5)&gt;MAX((MAX(1,INT(((CROQUIS!$C$97)-CROQUIS!$C$107)/MAX((CROQUIS!$C$137*MAX(1,CEILING((INT(((CROQUIS!$C$97)-CROQUIS!$C$107)/MAX(CROQUIS!$C$137,1))+1)/80,1))),1))+1))-1,0),0,MOD($A45-1,5))+1,0,2,CROQUIS!$C$98-2,2,0)))*CROQUIS!$C$159)+IF(CROQUIS!$C$92="X",0,0)),-1000)</f>
        <v>-1000</v>
      </c>
      <c r="BQ45">
        <f>IF(AND(CROQUIS!$C$88=1,CROQUIS!$C$137&gt;0),((CROQUIS!$C$161+(IF(CROQUIS!$C$92="X",CHOOSE(IF(INT(($A45-1)/5)&gt;MAX((MAX(1,INT(((CROQUIS!$C$97)-CROQUIS!$C$107)/MAX((CROQUIS!$C$137*MAX(1,CEILING((INT(((CROQUIS!$C$97)-CROQUIS!$C$107)/MAX(CROQUIS!$C$137,1))+1)/80,1))),1))+1))-1,0),0,MOD($A45-1,5))+1,0,2,CROQUIS!$C$98-2,2,0),((CROQUIS!$C$107/2+(((CROQUIS!$C$97)-CROQUIS!$C$107)-(MAX(1,INT(((CROQUIS!$C$97)-CROQUIS!$C$107)/MAX((CROQUIS!$C$137*MAX(1,CEILING((INT(((CROQUIS!$C$97)-CROQUIS!$C$107)/MAX(CROQUIS!$C$137,1))+1)/80,1))),1))+1)-1)*(CROQUIS!$C$137*MAX(1,CEILING((INT(((CROQUIS!$C$97)-CROQUIS!$C$107)/MAX(CROQUIS!$C$137,1))+1)/80,1))))/2)+MIN(INT(($A45-1)/5),MAX((MAX(1,INT(((CROQUIS!$C$97)-CROQUIS!$C$107)/MAX((CROQUIS!$C$137*MAX(1,CEILING((INT(((CROQUIS!$C$97)-CROQUIS!$C$107)/MAX(CROQUIS!$C$137,1))+1)/80,1))),1))+1))-1,0))*(CROQUIS!$C$137*MAX(1,CEILING((INT(((CROQUIS!$C$97)-CROQUIS!$C$107)/MAX(CROQUIS!$C$137,1))+1)/80,1))))))*CROQUIS!$C$159)+IF(CROQUIS!$C$92="X",0,0)),-1000)</f>
        <v>-1000</v>
      </c>
      <c r="BR45">
        <f>IF(AND(CROQUIS!$C$88=1,CROQUIS!$C$91=0,CROQUIS!$C$133&gt;0,OR(CROQUIS!$C$103=1,CROQUIS!$C$145=1)),((CROQUIS!$C$160+(IF(CROQUIS!$C$92="X",CHOOSE(IF(INT(($A45-1)/5)&gt;MAX((MAX(1,INT(((CROQUIS!$C$98)-CROQUIS!$C$107)/MAX((CROQUIS!$C$133*MAX(1,CEILING((INT(((CROQUIS!$C$98)-CROQUIS!$C$107)/MAX(CROQUIS!$C$133,1))+1)/80,1))),1))+1))-1,0),0,MOD($A45-1,5))+1,0,IF(CROQUIS!$C$103=1,-12,2),CROQUIS!$C$107/2+CROQUIS!$C$143,IF(CROQUIS!$C$103=1,-12,2),0),((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BS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+1,0,IF(CROQUIS!$C$103=1,-12,2),CROQUIS!$C$107/2+CROQUIS!$C$143,IF(CROQUIS!$C$103=1,-12,2),0)))*CROQUIS!$C$159)+IF(CROQUIS!$C$92="X",0.8,0)),-1000)</f>
        <v>-1000</v>
      </c>
      <c r="BT45">
        <f>IF(AND(CROQUIS!$C$88=1,CROQUIS!$C$91=0,CROQUIS!$C$133&gt;0,OR(CROQUIS!$C$104=1,CROQUIS!$C$145=1)),((CROQUIS!$C$160+(IF(CROQUIS!$C$92="X",CHOOSE(IF(INT(($A45-1)/5)&gt;MAX((MAX(1,INT(((CROQUIS!$C$98)-CROQUIS!$C$107)/MAX((CROQUIS!$C$133*MAX(1,CEILING((INT(((CROQUIS!$C$98)-CROQUIS!$C$107)/MAX(CROQUIS!$C$133,1))+1)/80,1))),1))+1))-1,0),0,MOD($A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BU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CROQUIS!$C$97,CROQUIS!$C$97-CROQUIS!$C$107/2-CROQUIS!$C$143,IF(CROQUIS!$C$104=1,CROQUIS!$C$97+12,CROQUIS!$C$97-2),CROQUIS!$C$97-CROQUIS!$C$107/2-CROQUIS!$C$143,CROQUIS!$C$97)))*CROQUIS!$C$159)+IF(CROQUIS!$C$92="X",0.8,0)),-1000)</f>
        <v>-1000</v>
      </c>
      <c r="BV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HOOSE(IF(INT(($A45-1)/5)&gt;MAX((MAX(1,INT(((CROQUIS!$C$97)-CROQUIS!$C$107)/MAX((CROQUIS!$C$141*MAX(1,CEILING((INT(((CROQUIS!$C$97)-CROQUIS!$C$107)/MAX(CROQUIS!$C$141,1))+1)/80,1))),1))+1))-1,0),0,MOD($A45-1,5))+1,0,IF(CROQUIS!$C$105=1,-12,2),CROQUIS!$C$107/2+CROQUIS!$C$144,IF(CROQUIS!$C$105=1,-12,2),0)))*CROQUIS!$C$159)+IF(CROQUIS!$C$92="X",0.8,0)),-1000)</f>
        <v>-1000</v>
      </c>
      <c r="BW45">
        <f>IF(AND(CROQUIS!$C$88=1,CROQUIS!$C$91=0,CROQUIS!$C$141&gt;0,OR(CROQUIS!$C$105=1,CROQUIS!$C$146=1)),((CROQUIS!$C$161+(IF(CROQUIS!$C$92="X",CHOOSE(IF(INT(($A45-1)/5)&gt;MAX((MAX(1,INT(((CROQUIS!$C$97)-CROQUIS!$C$107)/MAX((CROQUIS!$C$141*MAX(1,CEILING((INT(((CROQUIS!$C$97)-CROQUIS!$C$107)/MAX(CROQUIS!$C$141,1))+1)/80,1))),1))+1))-1,0),0,MOD($A45-1,5))+1,0,IF(CROQUIS!$C$105=1,-12,2),CROQUIS!$C$107/2+CROQUIS!$C$144,IF(CROQUIS!$C$105=1,-12,2),0),((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ROQUIS!$C$159)+IF(CROQUIS!$C$92="X",0,0.8)),-1000)</f>
        <v>-1000</v>
      </c>
      <c r="BX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HOOSE(IF(INT(($A45-1)/5)&gt;MAX((MAX(1,INT(((CROQUIS!$C$97)-CROQUIS!$C$107)/MAX((CROQUIS!$C$141*MAX(1,CEILING((INT(((CROQUIS!$C$97)-CROQUIS!$C$107)/MAX(CROQUIS!$C$141,1))+1)/80,1))),1))+1))-1,0),0,MOD($A45-1,5))+1,CROQUIS!$C$98,CROQUIS!$C$98-CROQUIS!$C$107/2-CROQUIS!$C$144,IF(CROQUIS!$C$106=1,CROQUIS!$C$98+12,CROQUIS!$C$98-2),CROQUIS!$C$98-CROQUIS!$C$107/2-CROQUIS!$C$144,CROQUIS!$C$98)))*CROQUIS!$C$159)+IF(CROQUIS!$C$92="X",0.8,0)),-1000)</f>
        <v>-1000</v>
      </c>
      <c r="BY45">
        <f>IF(AND(CROQUIS!$C$88=1,CROQUIS!$C$91=0,CROQUIS!$C$141&gt;0,OR(CROQUIS!$C$106=1,CROQUIS!$C$146=1)),((CROQUIS!$C$161+(IF(CROQUIS!$C$92="X",CHOOSE(IF(INT(($A45-1)/5)&gt;MAX((MAX(1,INT(((CROQUIS!$C$97)-CROQUIS!$C$107)/MAX((CROQUIS!$C$141*MAX(1,CEILING((INT(((CROQUIS!$C$97)-CROQUIS!$C$107)/MAX(CROQUIS!$C$141,1))+1)/80,1))),1))+1))-1,0),0,MOD($A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ROQUIS!$C$159)+IF(CROQUIS!$C$92="X",0,0.8)),-1000)</f>
        <v>-1000</v>
      </c>
      <c r="BZ45">
        <f>IF(AND(CROQUIS!$C$88=1,CROQUIS!$C$91=1,CROQUIS!$C$133&gt;0),((CROQUIS!$C$160+(IF(CROQUIS!$C$92="X",CHOOSE(IF(INT(($A45-1)/5)&gt;MAX((MAX(1,INT(((CROQUIS!$C$98)-CROQUIS!$C$107)/MAX((CROQUIS!$C$133*MAX(1,CEILING((INT(((CROQUIS!$C$98)-CROQUIS!$C$107)/MAX(CROQUIS!$C$133,1))+1)/80,1))),1))+1))-1,0),0,MOD($A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CA45">
        <f>IF(AND(CROQUIS!$C$88=1,CROQUIS!$C$91=1,CROQUIS!$C$133&gt;0),((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6">
      <c r="A46" t="n">
        <v>39</v>
      </c>
      <c r="F46">
        <f>IF(AND(CROQUIS!$C$87=1,CROQUIS!$C$91=1),((CROQUIS!$C$160+(IF(CROQUIS!$C$92="X",IF(CROQUIS!$C$94=1,0,CROQUIS!$C$97)+IF(MOD($A46,2)=1,-CROQUIS!$C$107/2,CROQUIS!$C$107/2),(MIN($A46,41)-1)/40*CROQUIS!$C$98))*CROQUIS!$C$159)+IF(CROQUIS!$C$92="X",0,0)),-1000)</f>
        <v>-1000</v>
      </c>
      <c r="G46">
        <f>IF(AND(CROQUIS!$C$87=1,CROQUIS!$C$91=1),((CROQUIS!$C$161+(IF(CROQUIS!$C$92="X",(MIN($A46,41)-1)/40*CROQUIS!$C$98,IF(CROQUIS!$C$94=1,0,CROQUIS!$C$97)+IF(MOD($A46,2)=1,-CROQUIS!$C$107/2,CROQUIS!$C$107/2)))*CROQUIS!$C$159)+IF(CROQUIS!$C$92="X",0,0)),-1000)</f>
        <v>-1000</v>
      </c>
      <c r="V46">
        <f>IF(AND(CROQUIS!$C$88=1,CROQUIS!$C$91=1),((CROQUIS!$C$160+(IF(CROQUIS!$C$92="X",IF(CROQUIS!$C$94=1,0,CROQUIS!$C$97)+IF(MOD($A46,2)=1,-CROQUIS!$C$107/2,CROQUIS!$C$107/2),(MIN($A46,41)-1)/40*CROQUIS!$C$98))*CROQUIS!$C$159)+IF(CROQUIS!$C$92="X",0,0)),-1000)</f>
        <v>-1000</v>
      </c>
      <c r="W46">
        <f>IF(AND(CROQUIS!$C$88=1,CROQUIS!$C$91=1),((CROQUIS!$C$161+(IF(CROQUIS!$C$92="X",(MIN($A46,41)-1)/40*CROQUIS!$C$98,IF(CROQUIS!$C$94=1,0,CROQUIS!$C$97)+IF(MOD($A46,2)=1,-CROQUIS!$C$107/2,CROQUIS!$C$107/2)))*CROQUIS!$C$159)+IF(CROQUIS!$C$92="X",0,0)),-1000)</f>
        <v>-1000</v>
      </c>
      <c r="AJ46">
        <f>IF(AND(CROQUIS!$C$87=1,CROQUIS!$C$162&gt;0,CROQUIS!$C$164&gt;0),(CROQUIS!$C$160+((CROQUIS!$C$163+INT(MIN(INT(($A46-1)/2),MAX((2*CROQUIS!$C$162)-1,0))/2)*CROQUIS!$C$116+MOD(MIN(INT(($A46-1)/2),MAX((2*CROQUIS!$C$162)-1,0)),2)*CROQUIS!$C$114))*CROQUIS!$C$159),-1000)</f>
        <v>81.3375508359693</v>
      </c>
      <c r="AK46">
        <f>IF(AND(CROQUIS!$C$87=1,CROQUIS!$C$162&gt;0,CROQUIS!$C$164&gt;0),(CROQUIS!$C$161+(IF(MOD(MIN(INT(($A46-1)/2),MAX((2*CROQUIS!$C$162)-1,0)),2)=0,IF(IF(INT(($A46-1)/2)&gt;MAX((2*CROQUIS!$C$162)-1,0),1,MOD($A46-1,2))=0,CROQUIS!$C$165,(CROQUIS!$C$165+(CROQUIS!$C$164-1)*CROQUIS!$C$116+CROQUIS!$C$115)),IF(IF(INT(($A46-1)/2)&gt;MAX((2*CROQUIS!$C$162)-1,0),1,MOD($A46-1,2))=0,(CROQUIS!$C$165+(CROQUIS!$C$164-1)*CROQUIS!$C$116+CROQUIS!$C$115),CROQUIS!$C$165)))*CROQUIS!$C$159),-1000)</f>
        <v>20.8088567555355</v>
      </c>
      <c r="AL46">
        <f>IF(AND(CROQUIS!$C$87=1,CROQUIS!$C$164&gt;0,CROQUIS!$C$162&gt;0),(CROQUIS!$C$160+(IF(MOD(MIN(INT(($A46-1)/2),MAX((2*CROQUIS!$C$164)-1,0)),2)=0,IF(IF(INT(($A46-1)/2)&gt;MAX((2*CROQUIS!$C$164)-1,0),1,MOD($A46-1,2))=0,CROQUIS!$C$163,(CROQUIS!$C$163+(CROQUIS!$C$162-1)*CROQUIS!$C$116+CROQUIS!$C$114)),IF(IF(INT(($A46-1)/2)&gt;MAX((2*CROQUIS!$C$164)-1,0),1,MOD($A46-1,2))=0,(CROQUIS!$C$163+(CROQUIS!$C$162-1)*CROQUIS!$C$116+CROQUIS!$C$114),CROQUIS!$C$163)))*CROQUIS!$C$159),-1000)</f>
        <v>22.9552643470402</v>
      </c>
      <c r="AM46">
        <f>IF(AND(CROQUIS!$C$87=1,CROQUIS!$C$164&gt;0,CROQUIS!$C$162&gt;0),(CROQUIS!$C$161+((CROQUIS!$C$165+INT(MIN(INT(($A46-1)/2),MAX((2*CROQUIS!$C$164)-1,0))/2)*CROQUIS!$C$116+MOD(MIN(INT(($A46-1)/2),MAX((2*CROQUIS!$C$164)-1,0)),2)*CROQUIS!$C$115))*CROQUIS!$C$159),-1000)</f>
        <v>79.1911432444645</v>
      </c>
      <c r="AN46">
        <f>IF(AND(CROQUIS!$C$87=1,CROQUIS!$C$162&gt;=2),(CROQUIS!$C$160+((CROQUIS!$C$163+CROQUIS!$C$114+(CROQUIS!$C$116-CROQUIS!$C$114)/2+MIN(INT(($A46-1)/2),MAX((CROQUIS!$C$162-1)-1,0))*CROQUIS!$C$116))*CROQUIS!$C$159),-1000)</f>
        <v>70.1762313601446</v>
      </c>
      <c r="AO46">
        <f>IF(AND(CROQUIS!$C$87=1,CROQUIS!$C$162&gt;=2),(CROQUIS!$C$161+(IF(MOD(MIN(INT(($A46-1)/2),MAX((CROQUIS!$C$162-1)-1,0)),2)=0,IF(IF(INT(($A46-1)/2)&gt;MAX((CROQUIS!$C$162-1)-1,0),1,MOD($A46-1,2))=0,CROQUIS!$C$107/2,(CROQUIS!$C$96-CROQUIS!$C$107/2)),IF(IF(INT(($A46-1)/2)&gt;MAX((CROQUIS!$C$162-1)-1,0),1,MOD($A46-1,2))=0,(CROQUIS!$C$96-CROQUIS!$C$107/2),CROQUIS!$C$107/2)))*CROQUIS!$C$159),-1000)</f>
        <v>16.9453230908269</v>
      </c>
      <c r="AP46">
        <f>IF(AND(CROQUIS!$C$87=1,CROQUIS!$C$164&gt;=2),(CROQUIS!$C$160+(IF(MOD(MIN(INT(($A46-1)/2),MAX((CROQUIS!$C$164-1)-1,0)),2)=0,IF(IF(INT(($A46-1)/2)&gt;MAX((CROQUIS!$C$164-1)-1,0),1,MOD($A46-1,2))=0,CROQUIS!$C$107/2,(CROQUIS!$C$95-CROQUIS!$C$107/2)),IF(IF(INT(($A46-1)/2)&gt;MAX((CROQUIS!$C$164-1)-1,0),1,MOD($A46-1,2))=0,(CROQUIS!$C$95-CROQUIS!$C$107/2),CROQUIS!$C$107/2)))*CROQUIS!$C$159),-1000)</f>
        <v>13.2878445549028</v>
      </c>
      <c r="AQ46">
        <f>IF(AND(CROQUIS!$C$87=1,CROQUIS!$C$164&gt;=2),(CROQUIS!$C$161+((CROQUIS!$C$165+CROQUIS!$C$115+(CROQUIS!$C$116-CROQUIS!$C$115)/2+MIN(INT(($A46-1)/2),MAX((CROQUIS!$C$164-1)-1,0))*CROQUIS!$C$116))*CROQUIS!$C$159),-1000)</f>
        <v>68.0298237686399</v>
      </c>
      <c r="BN46">
        <f>IF(AND(CROQUIS!$C$88=1,CROQUIS!$C$129&gt;0),((CROQUIS!$C$160+(IF(CROQUIS!$C$92="X",CHOOSE(IF(INT(($A46-1)/5)&gt;MAX((MAX(1,INT(((CROQUIS!$C$98)-CROQUIS!$C$107)/MAX((CROQUIS!$C$129*MAX(1,CEILING((INT(((CROQUIS!$C$98)-CROQUIS!$C$107)/MAX(CROQUIS!$C$129,1))+1)/80,1))),1))+1))-1,0),0,MOD($A46-1,5))+1,0,2,CROQUIS!$C$97-2,2,0),((CROQUIS!$C$107/2+(((CROQUIS!$C$98)-CROQUIS!$C$107)-(MAX(1,INT(((CROQUIS!$C$98)-CROQUIS!$C$107)/MAX((CROQUIS!$C$129*MAX(1,CEILING((INT(((CROQUIS!$C$98)-CROQUIS!$C$107)/MAX(CROQUIS!$C$129,1))+1)/80,1))),1))+1)-1)*(CROQUIS!$C$129*MAX(1,CEILING((INT(((CROQUIS!$C$98)-CROQUIS!$C$107)/MAX(CROQUIS!$C$129,1))+1)/80,1))))/2)+MIN(INT(($A46-1)/5),MAX((MAX(1,INT(((CROQUIS!$C$98)-CROQUIS!$C$107)/MAX((CROQUIS!$C$129*MAX(1,CEILING((INT(((CROQUIS!$C$98)-CROQUIS!$C$107)/MAX(CROQUIS!$C$129,1))+1)/80,1))),1))+1))-1,0))*(CROQUIS!$C$129*MAX(1,CEILING((INT(((CROQUIS!$C$98)-CROQUIS!$C$107)/MAX(CROQUIS!$C$129,1))+1)/80,1))))))*CROQUIS!$C$159)+IF(CROQUIS!$C$92="X",0,0)),-1000)</f>
        <v>-1000</v>
      </c>
      <c r="BO46">
        <f>IF(AND(CROQUIS!$C$88=1,CROQUIS!$C$129&gt;0),((CROQUIS!$C$161+(IF(CROQUIS!$C$92="X",((CROQUIS!$C$107/2+(((CROQUIS!$C$98)-CROQUIS!$C$107)-(MAX(1,INT(((CROQUIS!$C$98)-CROQUIS!$C$107)/MAX((CROQUIS!$C$129*MAX(1,CEILING((INT(((CROQUIS!$C$98)-CROQUIS!$C$107)/MAX(CROQUIS!$C$129,1))+1)/80,1))),1))+1)-1)*(CROQUIS!$C$129*MAX(1,CEILING((INT(((CROQUIS!$C$98)-CROQUIS!$C$107)/MAX(CROQUIS!$C$129,1))+1)/80,1))))/2)+MIN(INT(($A46-1)/5),MAX((MAX(1,INT(((CROQUIS!$C$98)-CROQUIS!$C$107)/MAX((CROQUIS!$C$129*MAX(1,CEILING((INT(((CROQUIS!$C$98)-CROQUIS!$C$107)/MAX(CROQUIS!$C$129,1))+1)/80,1))),1))+1))-1,0))*(CROQUIS!$C$129*MAX(1,CEILING((INT(((CROQUIS!$C$98)-CROQUIS!$C$107)/MAX(CROQUIS!$C$129,1))+1)/80,1)))),CHOOSE(IF(INT(($A46-1)/5)&gt;MAX((MAX(1,INT(((CROQUIS!$C$98)-CROQUIS!$C$107)/MAX((CROQUIS!$C$129*MAX(1,CEILING((INT(((CROQUIS!$C$98)-CROQUIS!$C$107)/MAX(CROQUIS!$C$129,1))+1)/80,1))),1))+1))-1,0),0,MOD($A46-1,5))+1,0,2,CROQUIS!$C$97-2,2,0)))*CROQUIS!$C$159)+IF(CROQUIS!$C$92="X",0,0)),-1000)</f>
        <v>-1000</v>
      </c>
      <c r="BP46">
        <f>IF(AND(CROQUIS!$C$88=1,CROQUIS!$C$137&gt;0),((CROQUIS!$C$160+(IF(CROQUIS!$C$92="X",((CROQUIS!$C$107/2+(((CROQUIS!$C$97)-CROQUIS!$C$107)-(MAX(1,INT(((CROQUIS!$C$97)-CROQUIS!$C$107)/MAX((CROQUIS!$C$137*MAX(1,CEILING((INT(((CROQUIS!$C$97)-CROQUIS!$C$107)/MAX(CROQUIS!$C$137,1))+1)/80,1))),1))+1)-1)*(CROQUIS!$C$137*MAX(1,CEILING((INT(((CROQUIS!$C$97)-CROQUIS!$C$107)/MAX(CROQUIS!$C$137,1))+1)/80,1))))/2)+MIN(INT(($A46-1)/5),MAX((MAX(1,INT(((CROQUIS!$C$97)-CROQUIS!$C$107)/MAX((CROQUIS!$C$137*MAX(1,CEILING((INT(((CROQUIS!$C$97)-CROQUIS!$C$107)/MAX(CROQUIS!$C$137,1))+1)/80,1))),1))+1))-1,0))*(CROQUIS!$C$137*MAX(1,CEILING((INT(((CROQUIS!$C$97)-CROQUIS!$C$107)/MAX(CROQUIS!$C$137,1))+1)/80,1)))),CHOOSE(IF(INT(($A46-1)/5)&gt;MAX((MAX(1,INT(((CROQUIS!$C$97)-CROQUIS!$C$107)/MAX((CROQUIS!$C$137*MAX(1,CEILING((INT(((CROQUIS!$C$97)-CROQUIS!$C$107)/MAX(CROQUIS!$C$137,1))+1)/80,1))),1))+1))-1,0),0,MOD($A46-1,5))+1,0,2,CROQUIS!$C$98-2,2,0)))*CROQUIS!$C$159)+IF(CROQUIS!$C$92="X",0,0)),-1000)</f>
        <v>-1000</v>
      </c>
      <c r="BQ46">
        <f>IF(AND(CROQUIS!$C$88=1,CROQUIS!$C$137&gt;0),((CROQUIS!$C$161+(IF(CROQUIS!$C$92="X",CHOOSE(IF(INT(($A46-1)/5)&gt;MAX((MAX(1,INT(((CROQUIS!$C$97)-CROQUIS!$C$107)/MAX((CROQUIS!$C$137*MAX(1,CEILING((INT(((CROQUIS!$C$97)-CROQUIS!$C$107)/MAX(CROQUIS!$C$137,1))+1)/80,1))),1))+1))-1,0),0,MOD($A46-1,5))+1,0,2,CROQUIS!$C$98-2,2,0),((CROQUIS!$C$107/2+(((CROQUIS!$C$97)-CROQUIS!$C$107)-(MAX(1,INT(((CROQUIS!$C$97)-CROQUIS!$C$107)/MAX((CROQUIS!$C$137*MAX(1,CEILING((INT(((CROQUIS!$C$97)-CROQUIS!$C$107)/MAX(CROQUIS!$C$137,1))+1)/80,1))),1))+1)-1)*(CROQUIS!$C$137*MAX(1,CEILING((INT(((CROQUIS!$C$97)-CROQUIS!$C$107)/MAX(CROQUIS!$C$137,1))+1)/80,1))))/2)+MIN(INT(($A46-1)/5),MAX((MAX(1,INT(((CROQUIS!$C$97)-CROQUIS!$C$107)/MAX((CROQUIS!$C$137*MAX(1,CEILING((INT(((CROQUIS!$C$97)-CROQUIS!$C$107)/MAX(CROQUIS!$C$137,1))+1)/80,1))),1))+1))-1,0))*(CROQUIS!$C$137*MAX(1,CEILING((INT(((CROQUIS!$C$97)-CROQUIS!$C$107)/MAX(CROQUIS!$C$137,1))+1)/80,1))))))*CROQUIS!$C$159)+IF(CROQUIS!$C$92="X",0,0)),-1000)</f>
        <v>-1000</v>
      </c>
      <c r="BR46">
        <f>IF(AND(CROQUIS!$C$88=1,CROQUIS!$C$91=0,CROQUIS!$C$133&gt;0,OR(CROQUIS!$C$103=1,CROQUIS!$C$145=1)),((CROQUIS!$C$160+(IF(CROQUIS!$C$92="X",CHOOSE(IF(INT(($A46-1)/5)&gt;MAX((MAX(1,INT(((CROQUIS!$C$98)-CROQUIS!$C$107)/MAX((CROQUIS!$C$133*MAX(1,CEILING((INT(((CROQUIS!$C$98)-CROQUIS!$C$107)/MAX(CROQUIS!$C$133,1))+1)/80,1))),1))+1))-1,0),0,MOD($A46-1,5))+1,0,IF(CROQUIS!$C$103=1,-12,2),CROQUIS!$C$107/2+CROQUIS!$C$143,IF(CROQUIS!$C$103=1,-12,2),0),((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BS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+1,0,IF(CROQUIS!$C$103=1,-12,2),CROQUIS!$C$107/2+CROQUIS!$C$143,IF(CROQUIS!$C$103=1,-12,2),0)))*CROQUIS!$C$159)+IF(CROQUIS!$C$92="X",0.8,0)),-1000)</f>
        <v>-1000</v>
      </c>
      <c r="BT46">
        <f>IF(AND(CROQUIS!$C$88=1,CROQUIS!$C$91=0,CROQUIS!$C$133&gt;0,OR(CROQUIS!$C$104=1,CROQUIS!$C$145=1)),((CROQUIS!$C$160+(IF(CROQUIS!$C$92="X",CHOOSE(IF(INT(($A46-1)/5)&gt;MAX((MAX(1,INT(((CROQUIS!$C$98)-CROQUIS!$C$107)/MAX((CROQUIS!$C$133*MAX(1,CEILING((INT(((CROQUIS!$C$98)-CROQUIS!$C$107)/MAX(CROQUIS!$C$133,1))+1)/80,1))),1))+1))-1,0),0,MOD($A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BU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CROQUIS!$C$97,CROQUIS!$C$97-CROQUIS!$C$107/2-CROQUIS!$C$143,IF(CROQUIS!$C$104=1,CROQUIS!$C$97+12,CROQUIS!$C$97-2),CROQUIS!$C$97-CROQUIS!$C$107/2-CROQUIS!$C$143,CROQUIS!$C$97)))*CROQUIS!$C$159)+IF(CROQUIS!$C$92="X",0.8,0)),-1000)</f>
        <v>-1000</v>
      </c>
      <c r="BV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HOOSE(IF(INT(($A46-1)/5)&gt;MAX((MAX(1,INT(((CROQUIS!$C$97)-CROQUIS!$C$107)/MAX((CROQUIS!$C$141*MAX(1,CEILING((INT(((CROQUIS!$C$97)-CROQUIS!$C$107)/MAX(CROQUIS!$C$141,1))+1)/80,1))),1))+1))-1,0),0,MOD($A46-1,5))+1,0,IF(CROQUIS!$C$105=1,-12,2),CROQUIS!$C$107/2+CROQUIS!$C$144,IF(CROQUIS!$C$105=1,-12,2),0)))*CROQUIS!$C$159)+IF(CROQUIS!$C$92="X",0.8,0)),-1000)</f>
        <v>-1000</v>
      </c>
      <c r="BW46">
        <f>IF(AND(CROQUIS!$C$88=1,CROQUIS!$C$91=0,CROQUIS!$C$141&gt;0,OR(CROQUIS!$C$105=1,CROQUIS!$C$146=1)),((CROQUIS!$C$161+(IF(CROQUIS!$C$92="X",CHOOSE(IF(INT(($A46-1)/5)&gt;MAX((MAX(1,INT(((CROQUIS!$C$97)-CROQUIS!$C$107)/MAX((CROQUIS!$C$141*MAX(1,CEILING((INT(((CROQUIS!$C$97)-CROQUIS!$C$107)/MAX(CROQUIS!$C$141,1))+1)/80,1))),1))+1))-1,0),0,MOD($A46-1,5))+1,0,IF(CROQUIS!$C$105=1,-12,2),CROQUIS!$C$107/2+CROQUIS!$C$144,IF(CROQUIS!$C$105=1,-12,2),0),((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ROQUIS!$C$159)+IF(CROQUIS!$C$92="X",0,0.8)),-1000)</f>
        <v>-1000</v>
      </c>
      <c r="BX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HOOSE(IF(INT(($A46-1)/5)&gt;MAX((MAX(1,INT(((CROQUIS!$C$97)-CROQUIS!$C$107)/MAX((CROQUIS!$C$141*MAX(1,CEILING((INT(((CROQUIS!$C$97)-CROQUIS!$C$107)/MAX(CROQUIS!$C$141,1))+1)/80,1))),1))+1))-1,0),0,MOD($A46-1,5))+1,CROQUIS!$C$98,CROQUIS!$C$98-CROQUIS!$C$107/2-CROQUIS!$C$144,IF(CROQUIS!$C$106=1,CROQUIS!$C$98+12,CROQUIS!$C$98-2),CROQUIS!$C$98-CROQUIS!$C$107/2-CROQUIS!$C$144,CROQUIS!$C$98)))*CROQUIS!$C$159)+IF(CROQUIS!$C$92="X",0.8,0)),-1000)</f>
        <v>-1000</v>
      </c>
      <c r="BY46">
        <f>IF(AND(CROQUIS!$C$88=1,CROQUIS!$C$91=0,CROQUIS!$C$141&gt;0,OR(CROQUIS!$C$106=1,CROQUIS!$C$146=1)),((CROQUIS!$C$161+(IF(CROQUIS!$C$92="X",CHOOSE(IF(INT(($A46-1)/5)&gt;MAX((MAX(1,INT(((CROQUIS!$C$97)-CROQUIS!$C$107)/MAX((CROQUIS!$C$141*MAX(1,CEILING((INT(((CROQUIS!$C$97)-CROQUIS!$C$107)/MAX(CROQUIS!$C$141,1))+1)/80,1))),1))+1))-1,0),0,MOD($A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ROQUIS!$C$159)+IF(CROQUIS!$C$92="X",0,0.8)),-1000)</f>
        <v>-1000</v>
      </c>
      <c r="BZ46">
        <f>IF(AND(CROQUIS!$C$88=1,CROQUIS!$C$91=1,CROQUIS!$C$133&gt;0),((CROQUIS!$C$160+(IF(CROQUIS!$C$92="X",CHOOSE(IF(INT(($A46-1)/5)&gt;MAX((MAX(1,INT(((CROQUIS!$C$98)-CROQUIS!$C$107)/MAX((CROQUIS!$C$133*MAX(1,CEILING((INT(((CROQUIS!$C$98)-CROQUIS!$C$107)/MAX(CROQUIS!$C$133,1))+1)/80,1))),1))+1))-1,0),0,MOD($A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CA46">
        <f>IF(AND(CROQUIS!$C$88=1,CROQUIS!$C$91=1,CROQUIS!$C$133&gt;0),((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7">
      <c r="A47" t="n">
        <v>40</v>
      </c>
      <c r="F47">
        <f>IF(AND(CROQUIS!$C$87=1,CROQUIS!$C$91=1),((CROQUIS!$C$160+(IF(CROQUIS!$C$92="X",IF(CROQUIS!$C$94=1,0,CROQUIS!$C$97)+IF(MOD($A47,2)=1,-CROQUIS!$C$107/2,CROQUIS!$C$107/2),(MIN($A47,41)-1)/40*CROQUIS!$C$98))*CROQUIS!$C$159)+IF(CROQUIS!$C$92="X",0,0)),-1000)</f>
        <v>-1000</v>
      </c>
      <c r="G47">
        <f>IF(AND(CROQUIS!$C$87=1,CROQUIS!$C$91=1),((CROQUIS!$C$161+(IF(CROQUIS!$C$92="X",(MIN($A47,41)-1)/40*CROQUIS!$C$98,IF(CROQUIS!$C$94=1,0,CROQUIS!$C$97)+IF(MOD($A47,2)=1,-CROQUIS!$C$107/2,CROQUIS!$C$107/2)))*CROQUIS!$C$159)+IF(CROQUIS!$C$92="X",0,0)),-1000)</f>
        <v>-1000</v>
      </c>
      <c r="V47">
        <f>IF(AND(CROQUIS!$C$88=1,CROQUIS!$C$91=1),((CROQUIS!$C$160+(IF(CROQUIS!$C$92="X",IF(CROQUIS!$C$94=1,0,CROQUIS!$C$97)+IF(MOD($A47,2)=1,-CROQUIS!$C$107/2,CROQUIS!$C$107/2),(MIN($A47,41)-1)/40*CROQUIS!$C$98))*CROQUIS!$C$159)+IF(CROQUIS!$C$92="X",0,0)),-1000)</f>
        <v>-1000</v>
      </c>
      <c r="W47">
        <f>IF(AND(CROQUIS!$C$88=1,CROQUIS!$C$91=1),((CROQUIS!$C$161+(IF(CROQUIS!$C$92="X",(MIN($A47,41)-1)/40*CROQUIS!$C$98,IF(CROQUIS!$C$94=1,0,CROQUIS!$C$97)+IF(MOD($A47,2)=1,-CROQUIS!$C$107/2,CROQUIS!$C$107/2)))*CROQUIS!$C$159)+IF(CROQUIS!$C$92="X",0,0)),-1000)</f>
        <v>-1000</v>
      </c>
      <c r="AJ47">
        <f>IF(AND(CROQUIS!$C$87=1,CROQUIS!$C$162&gt;0,CROQUIS!$C$164&gt;0),(CROQUIS!$C$160+((CROQUIS!$C$163+INT(MIN(INT(($A47-1)/2),MAX((2*CROQUIS!$C$162)-1,0))/2)*CROQUIS!$C$116+MOD(MIN(INT(($A47-1)/2),MAX((2*CROQUIS!$C$162)-1,0)),2)*CROQUIS!$C$114))*CROQUIS!$C$159),-1000)</f>
        <v>81.3375508359693</v>
      </c>
      <c r="AK47">
        <f>IF(AND(CROQUIS!$C$87=1,CROQUIS!$C$162&gt;0,CROQUIS!$C$164&gt;0),(CROQUIS!$C$161+(IF(MOD(MIN(INT(($A47-1)/2),MAX((2*CROQUIS!$C$162)-1,0)),2)=0,IF(IF(INT(($A47-1)/2)&gt;MAX((2*CROQUIS!$C$162)-1,0),1,MOD($A47-1,2))=0,CROQUIS!$C$165,(CROQUIS!$C$165+(CROQUIS!$C$164-1)*CROQUIS!$C$116+CROQUIS!$C$115)),IF(IF(INT(($A47-1)/2)&gt;MAX((2*CROQUIS!$C$162)-1,0),1,MOD($A47-1,2))=0,(CROQUIS!$C$165+(CROQUIS!$C$164-1)*CROQUIS!$C$116+CROQUIS!$C$115),CROQUIS!$C$165)))*CROQUIS!$C$159),-1000)</f>
        <v>20.8088567555355</v>
      </c>
      <c r="AL47">
        <f>IF(AND(CROQUIS!$C$87=1,CROQUIS!$C$164&gt;0,CROQUIS!$C$162&gt;0),(CROQUIS!$C$160+(IF(MOD(MIN(INT(($A47-1)/2),MAX((2*CROQUIS!$C$164)-1,0)),2)=0,IF(IF(INT(($A47-1)/2)&gt;MAX((2*CROQUIS!$C$164)-1,0),1,MOD($A47-1,2))=0,CROQUIS!$C$163,(CROQUIS!$C$163+(CROQUIS!$C$162-1)*CROQUIS!$C$116+CROQUIS!$C$114)),IF(IF(INT(($A47-1)/2)&gt;MAX((2*CROQUIS!$C$164)-1,0),1,MOD($A47-1,2))=0,(CROQUIS!$C$163+(CROQUIS!$C$162-1)*CROQUIS!$C$116+CROQUIS!$C$114),CROQUIS!$C$163)))*CROQUIS!$C$159),-1000)</f>
        <v>22.9552643470402</v>
      </c>
      <c r="AM47">
        <f>IF(AND(CROQUIS!$C$87=1,CROQUIS!$C$164&gt;0,CROQUIS!$C$162&gt;0),(CROQUIS!$C$161+((CROQUIS!$C$165+INT(MIN(INT(($A47-1)/2),MAX((2*CROQUIS!$C$164)-1,0))/2)*CROQUIS!$C$116+MOD(MIN(INT(($A47-1)/2),MAX((2*CROQUIS!$C$164)-1,0)),2)*CROQUIS!$C$115))*CROQUIS!$C$159),-1000)</f>
        <v>79.1911432444645</v>
      </c>
      <c r="AN47">
        <f>IF(AND(CROQUIS!$C$87=1,CROQUIS!$C$162&gt;=2),(CROQUIS!$C$160+((CROQUIS!$C$163+CROQUIS!$C$114+(CROQUIS!$C$116-CROQUIS!$C$114)/2+MIN(INT(($A47-1)/2),MAX((CROQUIS!$C$162-1)-1,0))*CROQUIS!$C$116))*CROQUIS!$C$159),-1000)</f>
        <v>70.1762313601446</v>
      </c>
      <c r="AO47">
        <f>IF(AND(CROQUIS!$C$87=1,CROQUIS!$C$162&gt;=2),(CROQUIS!$C$161+(IF(MOD(MIN(INT(($A47-1)/2),MAX((CROQUIS!$C$162-1)-1,0)),2)=0,IF(IF(INT(($A47-1)/2)&gt;MAX((CROQUIS!$C$162-1)-1,0),1,MOD($A47-1,2))=0,CROQUIS!$C$107/2,(CROQUIS!$C$96-CROQUIS!$C$107/2)),IF(IF(INT(($A47-1)/2)&gt;MAX((CROQUIS!$C$162-1)-1,0),1,MOD($A47-1,2))=0,(CROQUIS!$C$96-CROQUIS!$C$107/2),CROQUIS!$C$107/2)))*CROQUIS!$C$159),-1000)</f>
        <v>16.9453230908269</v>
      </c>
      <c r="AP47">
        <f>IF(AND(CROQUIS!$C$87=1,CROQUIS!$C$164&gt;=2),(CROQUIS!$C$160+(IF(MOD(MIN(INT(($A47-1)/2),MAX((CROQUIS!$C$164-1)-1,0)),2)=0,IF(IF(INT(($A47-1)/2)&gt;MAX((CROQUIS!$C$164-1)-1,0),1,MOD($A47-1,2))=0,CROQUIS!$C$107/2,(CROQUIS!$C$95-CROQUIS!$C$107/2)),IF(IF(INT(($A47-1)/2)&gt;MAX((CROQUIS!$C$164-1)-1,0),1,MOD($A47-1,2))=0,(CROQUIS!$C$95-CROQUIS!$C$107/2),CROQUIS!$C$107/2)))*CROQUIS!$C$159),-1000)</f>
        <v>13.2878445549028</v>
      </c>
      <c r="AQ47">
        <f>IF(AND(CROQUIS!$C$87=1,CROQUIS!$C$164&gt;=2),(CROQUIS!$C$161+((CROQUIS!$C$165+CROQUIS!$C$115+(CROQUIS!$C$116-CROQUIS!$C$115)/2+MIN(INT(($A47-1)/2),MAX((CROQUIS!$C$164-1)-1,0))*CROQUIS!$C$116))*CROQUIS!$C$159),-1000)</f>
        <v>68.0298237686399</v>
      </c>
      <c r="BN47">
        <f>IF(AND(CROQUIS!$C$88=1,CROQUIS!$C$129&gt;0),((CROQUIS!$C$160+(IF(CROQUIS!$C$92="X",CHOOSE(IF(INT(($A47-1)/5)&gt;MAX((MAX(1,INT(((CROQUIS!$C$98)-CROQUIS!$C$107)/MAX((CROQUIS!$C$129*MAX(1,CEILING((INT(((CROQUIS!$C$98)-CROQUIS!$C$107)/MAX(CROQUIS!$C$129,1))+1)/80,1))),1))+1))-1,0),0,MOD($A47-1,5))+1,0,2,CROQUIS!$C$97-2,2,0),((CROQUIS!$C$107/2+(((CROQUIS!$C$98)-CROQUIS!$C$107)-(MAX(1,INT(((CROQUIS!$C$98)-CROQUIS!$C$107)/MAX((CROQUIS!$C$129*MAX(1,CEILING((INT(((CROQUIS!$C$98)-CROQUIS!$C$107)/MAX(CROQUIS!$C$129,1))+1)/80,1))),1))+1)-1)*(CROQUIS!$C$129*MAX(1,CEILING((INT(((CROQUIS!$C$98)-CROQUIS!$C$107)/MAX(CROQUIS!$C$129,1))+1)/80,1))))/2)+MIN(INT(($A47-1)/5),MAX((MAX(1,INT(((CROQUIS!$C$98)-CROQUIS!$C$107)/MAX((CROQUIS!$C$129*MAX(1,CEILING((INT(((CROQUIS!$C$98)-CROQUIS!$C$107)/MAX(CROQUIS!$C$129,1))+1)/80,1))),1))+1))-1,0))*(CROQUIS!$C$129*MAX(1,CEILING((INT(((CROQUIS!$C$98)-CROQUIS!$C$107)/MAX(CROQUIS!$C$129,1))+1)/80,1))))))*CROQUIS!$C$159)+IF(CROQUIS!$C$92="X",0,0)),-1000)</f>
        <v>-1000</v>
      </c>
      <c r="BO47">
        <f>IF(AND(CROQUIS!$C$88=1,CROQUIS!$C$129&gt;0),((CROQUIS!$C$161+(IF(CROQUIS!$C$92="X",((CROQUIS!$C$107/2+(((CROQUIS!$C$98)-CROQUIS!$C$107)-(MAX(1,INT(((CROQUIS!$C$98)-CROQUIS!$C$107)/MAX((CROQUIS!$C$129*MAX(1,CEILING((INT(((CROQUIS!$C$98)-CROQUIS!$C$107)/MAX(CROQUIS!$C$129,1))+1)/80,1))),1))+1)-1)*(CROQUIS!$C$129*MAX(1,CEILING((INT(((CROQUIS!$C$98)-CROQUIS!$C$107)/MAX(CROQUIS!$C$129,1))+1)/80,1))))/2)+MIN(INT(($A47-1)/5),MAX((MAX(1,INT(((CROQUIS!$C$98)-CROQUIS!$C$107)/MAX((CROQUIS!$C$129*MAX(1,CEILING((INT(((CROQUIS!$C$98)-CROQUIS!$C$107)/MAX(CROQUIS!$C$129,1))+1)/80,1))),1))+1))-1,0))*(CROQUIS!$C$129*MAX(1,CEILING((INT(((CROQUIS!$C$98)-CROQUIS!$C$107)/MAX(CROQUIS!$C$129,1))+1)/80,1)))),CHOOSE(IF(INT(($A47-1)/5)&gt;MAX((MAX(1,INT(((CROQUIS!$C$98)-CROQUIS!$C$107)/MAX((CROQUIS!$C$129*MAX(1,CEILING((INT(((CROQUIS!$C$98)-CROQUIS!$C$107)/MAX(CROQUIS!$C$129,1))+1)/80,1))),1))+1))-1,0),0,MOD($A47-1,5))+1,0,2,CROQUIS!$C$97-2,2,0)))*CROQUIS!$C$159)+IF(CROQUIS!$C$92="X",0,0)),-1000)</f>
        <v>-1000</v>
      </c>
      <c r="BP47">
        <f>IF(AND(CROQUIS!$C$88=1,CROQUIS!$C$137&gt;0),((CROQUIS!$C$160+(IF(CROQUIS!$C$92="X",((CROQUIS!$C$107/2+(((CROQUIS!$C$97)-CROQUIS!$C$107)-(MAX(1,INT(((CROQUIS!$C$97)-CROQUIS!$C$107)/MAX((CROQUIS!$C$137*MAX(1,CEILING((INT(((CROQUIS!$C$97)-CROQUIS!$C$107)/MAX(CROQUIS!$C$137,1))+1)/80,1))),1))+1)-1)*(CROQUIS!$C$137*MAX(1,CEILING((INT(((CROQUIS!$C$97)-CROQUIS!$C$107)/MAX(CROQUIS!$C$137,1))+1)/80,1))))/2)+MIN(INT(($A47-1)/5),MAX((MAX(1,INT(((CROQUIS!$C$97)-CROQUIS!$C$107)/MAX((CROQUIS!$C$137*MAX(1,CEILING((INT(((CROQUIS!$C$97)-CROQUIS!$C$107)/MAX(CROQUIS!$C$137,1))+1)/80,1))),1))+1))-1,0))*(CROQUIS!$C$137*MAX(1,CEILING((INT(((CROQUIS!$C$97)-CROQUIS!$C$107)/MAX(CROQUIS!$C$137,1))+1)/80,1)))),CHOOSE(IF(INT(($A47-1)/5)&gt;MAX((MAX(1,INT(((CROQUIS!$C$97)-CROQUIS!$C$107)/MAX((CROQUIS!$C$137*MAX(1,CEILING((INT(((CROQUIS!$C$97)-CROQUIS!$C$107)/MAX(CROQUIS!$C$137,1))+1)/80,1))),1))+1))-1,0),0,MOD($A47-1,5))+1,0,2,CROQUIS!$C$98-2,2,0)))*CROQUIS!$C$159)+IF(CROQUIS!$C$92="X",0,0)),-1000)</f>
        <v>-1000</v>
      </c>
      <c r="BQ47">
        <f>IF(AND(CROQUIS!$C$88=1,CROQUIS!$C$137&gt;0),((CROQUIS!$C$161+(IF(CROQUIS!$C$92="X",CHOOSE(IF(INT(($A47-1)/5)&gt;MAX((MAX(1,INT(((CROQUIS!$C$97)-CROQUIS!$C$107)/MAX((CROQUIS!$C$137*MAX(1,CEILING((INT(((CROQUIS!$C$97)-CROQUIS!$C$107)/MAX(CROQUIS!$C$137,1))+1)/80,1))),1))+1))-1,0),0,MOD($A47-1,5))+1,0,2,CROQUIS!$C$98-2,2,0),((CROQUIS!$C$107/2+(((CROQUIS!$C$97)-CROQUIS!$C$107)-(MAX(1,INT(((CROQUIS!$C$97)-CROQUIS!$C$107)/MAX((CROQUIS!$C$137*MAX(1,CEILING((INT(((CROQUIS!$C$97)-CROQUIS!$C$107)/MAX(CROQUIS!$C$137,1))+1)/80,1))),1))+1)-1)*(CROQUIS!$C$137*MAX(1,CEILING((INT(((CROQUIS!$C$97)-CROQUIS!$C$107)/MAX(CROQUIS!$C$137,1))+1)/80,1))))/2)+MIN(INT(($A47-1)/5),MAX((MAX(1,INT(((CROQUIS!$C$97)-CROQUIS!$C$107)/MAX((CROQUIS!$C$137*MAX(1,CEILING((INT(((CROQUIS!$C$97)-CROQUIS!$C$107)/MAX(CROQUIS!$C$137,1))+1)/80,1))),1))+1))-1,0))*(CROQUIS!$C$137*MAX(1,CEILING((INT(((CROQUIS!$C$97)-CROQUIS!$C$107)/MAX(CROQUIS!$C$137,1))+1)/80,1))))))*CROQUIS!$C$159)+IF(CROQUIS!$C$92="X",0,0)),-1000)</f>
        <v>-1000</v>
      </c>
      <c r="BR47">
        <f>IF(AND(CROQUIS!$C$88=1,CROQUIS!$C$91=0,CROQUIS!$C$133&gt;0,OR(CROQUIS!$C$103=1,CROQUIS!$C$145=1)),((CROQUIS!$C$160+(IF(CROQUIS!$C$92="X",CHOOSE(IF(INT(($A47-1)/5)&gt;MAX((MAX(1,INT(((CROQUIS!$C$98)-CROQUIS!$C$107)/MAX((CROQUIS!$C$133*MAX(1,CEILING((INT(((CROQUIS!$C$98)-CROQUIS!$C$107)/MAX(CROQUIS!$C$133,1))+1)/80,1))),1))+1))-1,0),0,MOD($A47-1,5))+1,0,IF(CROQUIS!$C$103=1,-12,2),CROQUIS!$C$107/2+CROQUIS!$C$143,IF(CROQUIS!$C$103=1,-12,2),0),((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BS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+1,0,IF(CROQUIS!$C$103=1,-12,2),CROQUIS!$C$107/2+CROQUIS!$C$143,IF(CROQUIS!$C$103=1,-12,2),0)))*CROQUIS!$C$159)+IF(CROQUIS!$C$92="X",0.8,0)),-1000)</f>
        <v>-1000</v>
      </c>
      <c r="BT47">
        <f>IF(AND(CROQUIS!$C$88=1,CROQUIS!$C$91=0,CROQUIS!$C$133&gt;0,OR(CROQUIS!$C$104=1,CROQUIS!$C$145=1)),((CROQUIS!$C$160+(IF(CROQUIS!$C$92="X",CHOOSE(IF(INT(($A47-1)/5)&gt;MAX((MAX(1,INT(((CROQUIS!$C$98)-CROQUIS!$C$107)/MAX((CROQUIS!$C$133*MAX(1,CEILING((INT(((CROQUIS!$C$98)-CROQUIS!$C$107)/MAX(CROQUIS!$C$133,1))+1)/80,1))),1))+1))-1,0),0,MOD($A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BU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CROQUIS!$C$97,CROQUIS!$C$97-CROQUIS!$C$107/2-CROQUIS!$C$143,IF(CROQUIS!$C$104=1,CROQUIS!$C$97+12,CROQUIS!$C$97-2),CROQUIS!$C$97-CROQUIS!$C$107/2-CROQUIS!$C$143,CROQUIS!$C$97)))*CROQUIS!$C$159)+IF(CROQUIS!$C$92="X",0.8,0)),-1000)</f>
        <v>-1000</v>
      </c>
      <c r="BV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HOOSE(IF(INT(($A47-1)/5)&gt;MAX((MAX(1,INT(((CROQUIS!$C$97)-CROQUIS!$C$107)/MAX((CROQUIS!$C$141*MAX(1,CEILING((INT(((CROQUIS!$C$97)-CROQUIS!$C$107)/MAX(CROQUIS!$C$141,1))+1)/80,1))),1))+1))-1,0),0,MOD($A47-1,5))+1,0,IF(CROQUIS!$C$105=1,-12,2),CROQUIS!$C$107/2+CROQUIS!$C$144,IF(CROQUIS!$C$105=1,-12,2),0)))*CROQUIS!$C$159)+IF(CROQUIS!$C$92="X",0.8,0)),-1000)</f>
        <v>-1000</v>
      </c>
      <c r="BW47">
        <f>IF(AND(CROQUIS!$C$88=1,CROQUIS!$C$91=0,CROQUIS!$C$141&gt;0,OR(CROQUIS!$C$105=1,CROQUIS!$C$146=1)),((CROQUIS!$C$161+(IF(CROQUIS!$C$92="X",CHOOSE(IF(INT(($A47-1)/5)&gt;MAX((MAX(1,INT(((CROQUIS!$C$97)-CROQUIS!$C$107)/MAX((CROQUIS!$C$141*MAX(1,CEILING((INT(((CROQUIS!$C$97)-CROQUIS!$C$107)/MAX(CROQUIS!$C$141,1))+1)/80,1))),1))+1))-1,0),0,MOD($A47-1,5))+1,0,IF(CROQUIS!$C$105=1,-12,2),CROQUIS!$C$107/2+CROQUIS!$C$144,IF(CROQUIS!$C$105=1,-12,2),0),((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ROQUIS!$C$159)+IF(CROQUIS!$C$92="X",0,0.8)),-1000)</f>
        <v>-1000</v>
      </c>
      <c r="BX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HOOSE(IF(INT(($A47-1)/5)&gt;MAX((MAX(1,INT(((CROQUIS!$C$97)-CROQUIS!$C$107)/MAX((CROQUIS!$C$141*MAX(1,CEILING((INT(((CROQUIS!$C$97)-CROQUIS!$C$107)/MAX(CROQUIS!$C$141,1))+1)/80,1))),1))+1))-1,0),0,MOD($A47-1,5))+1,CROQUIS!$C$98,CROQUIS!$C$98-CROQUIS!$C$107/2-CROQUIS!$C$144,IF(CROQUIS!$C$106=1,CROQUIS!$C$98+12,CROQUIS!$C$98-2),CROQUIS!$C$98-CROQUIS!$C$107/2-CROQUIS!$C$144,CROQUIS!$C$98)))*CROQUIS!$C$159)+IF(CROQUIS!$C$92="X",0.8,0)),-1000)</f>
        <v>-1000</v>
      </c>
      <c r="BY47">
        <f>IF(AND(CROQUIS!$C$88=1,CROQUIS!$C$91=0,CROQUIS!$C$141&gt;0,OR(CROQUIS!$C$106=1,CROQUIS!$C$146=1)),((CROQUIS!$C$161+(IF(CROQUIS!$C$92="X",CHOOSE(IF(INT(($A47-1)/5)&gt;MAX((MAX(1,INT(((CROQUIS!$C$97)-CROQUIS!$C$107)/MAX((CROQUIS!$C$141*MAX(1,CEILING((INT(((CROQUIS!$C$97)-CROQUIS!$C$107)/MAX(CROQUIS!$C$141,1))+1)/80,1))),1))+1))-1,0),0,MOD($A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ROQUIS!$C$159)+IF(CROQUIS!$C$92="X",0,0.8)),-1000)</f>
        <v>-1000</v>
      </c>
      <c r="BZ47">
        <f>IF(AND(CROQUIS!$C$88=1,CROQUIS!$C$91=1,CROQUIS!$C$133&gt;0),((CROQUIS!$C$160+(IF(CROQUIS!$C$92="X",CHOOSE(IF(INT(($A47-1)/5)&gt;MAX((MAX(1,INT(((CROQUIS!$C$98)-CROQUIS!$C$107)/MAX((CROQUIS!$C$133*MAX(1,CEILING((INT(((CROQUIS!$C$98)-CROQUIS!$C$107)/MAX(CROQUIS!$C$133,1))+1)/80,1))),1))+1))-1,0),0,MOD($A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CA47">
        <f>IF(AND(CROQUIS!$C$88=1,CROQUIS!$C$91=1,CROQUIS!$C$133&gt;0),((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8">
      <c r="A48" t="n">
        <v>41</v>
      </c>
      <c r="F48">
        <f>IF(AND(CROQUIS!$C$87=1,CROQUIS!$C$91=1),((CROQUIS!$C$160+(IF(CROQUIS!$C$92="X",IF(CROQUIS!$C$94=1,0,CROQUIS!$C$97)+IF(MOD($A48,2)=1,-CROQUIS!$C$107/2,CROQUIS!$C$107/2),(MIN($A48,41)-1)/40*CROQUIS!$C$98))*CROQUIS!$C$159)+IF(CROQUIS!$C$92="X",0,0)),-1000)</f>
        <v>-1000</v>
      </c>
      <c r="G48">
        <f>IF(AND(CROQUIS!$C$87=1,CROQUIS!$C$91=1),((CROQUIS!$C$161+(IF(CROQUIS!$C$92="X",(MIN($A48,41)-1)/40*CROQUIS!$C$98,IF(CROQUIS!$C$94=1,0,CROQUIS!$C$97)+IF(MOD($A48,2)=1,-CROQUIS!$C$107/2,CROQUIS!$C$107/2)))*CROQUIS!$C$159)+IF(CROQUIS!$C$92="X",0,0)),-1000)</f>
        <v>-1000</v>
      </c>
      <c r="V48">
        <f>IF(AND(CROQUIS!$C$88=1,CROQUIS!$C$91=1),((CROQUIS!$C$160+(IF(CROQUIS!$C$92="X",IF(CROQUIS!$C$94=1,0,CROQUIS!$C$97)+IF(MOD($A48,2)=1,-CROQUIS!$C$107/2,CROQUIS!$C$107/2),(MIN($A48,41)-1)/40*CROQUIS!$C$98))*CROQUIS!$C$159)+IF(CROQUIS!$C$92="X",0,0)),-1000)</f>
        <v>-1000</v>
      </c>
      <c r="W48">
        <f>IF(AND(CROQUIS!$C$88=1,CROQUIS!$C$91=1),((CROQUIS!$C$161+(IF(CROQUIS!$C$92="X",(MIN($A48,41)-1)/40*CROQUIS!$C$98,IF(CROQUIS!$C$94=1,0,CROQUIS!$C$97)+IF(MOD($A48,2)=1,-CROQUIS!$C$107/2,CROQUIS!$C$107/2)))*CROQUIS!$C$159)+IF(CROQUIS!$C$92="X",0,0)),-1000)</f>
        <v>-1000</v>
      </c>
      <c r="AJ48">
        <f>IF(AND(CROQUIS!$C$87=1,CROQUIS!$C$162&gt;0,CROQUIS!$C$164&gt;0),(CROQUIS!$C$160+((CROQUIS!$C$163+INT(MIN(INT(($A48-1)/2),MAX((2*CROQUIS!$C$162)-1,0))/2)*CROQUIS!$C$116+MOD(MIN(INT(($A48-1)/2),MAX((2*CROQUIS!$C$162)-1,0)),2)*CROQUIS!$C$114))*CROQUIS!$C$159),-1000)</f>
        <v>81.3375508359693</v>
      </c>
      <c r="AK48">
        <f>IF(AND(CROQUIS!$C$87=1,CROQUIS!$C$162&gt;0,CROQUIS!$C$164&gt;0),(CROQUIS!$C$161+(IF(MOD(MIN(INT(($A48-1)/2),MAX((2*CROQUIS!$C$162)-1,0)),2)=0,IF(IF(INT(($A48-1)/2)&gt;MAX((2*CROQUIS!$C$162)-1,0),1,MOD($A48-1,2))=0,CROQUIS!$C$165,(CROQUIS!$C$165+(CROQUIS!$C$164-1)*CROQUIS!$C$116+CROQUIS!$C$115)),IF(IF(INT(($A48-1)/2)&gt;MAX((2*CROQUIS!$C$162)-1,0),1,MOD($A48-1,2))=0,(CROQUIS!$C$165+(CROQUIS!$C$164-1)*CROQUIS!$C$116+CROQUIS!$C$115),CROQUIS!$C$165)))*CROQUIS!$C$159),-1000)</f>
        <v>20.8088567555355</v>
      </c>
      <c r="AL48">
        <f>IF(AND(CROQUIS!$C$87=1,CROQUIS!$C$164&gt;0,CROQUIS!$C$162&gt;0),(CROQUIS!$C$160+(IF(MOD(MIN(INT(($A48-1)/2),MAX((2*CROQUIS!$C$164)-1,0)),2)=0,IF(IF(INT(($A48-1)/2)&gt;MAX((2*CROQUIS!$C$164)-1,0),1,MOD($A48-1,2))=0,CROQUIS!$C$163,(CROQUIS!$C$163+(CROQUIS!$C$162-1)*CROQUIS!$C$116+CROQUIS!$C$114)),IF(IF(INT(($A48-1)/2)&gt;MAX((2*CROQUIS!$C$164)-1,0),1,MOD($A48-1,2))=0,(CROQUIS!$C$163+(CROQUIS!$C$162-1)*CROQUIS!$C$116+CROQUIS!$C$114),CROQUIS!$C$163)))*CROQUIS!$C$159),-1000)</f>
        <v>22.9552643470402</v>
      </c>
      <c r="AM48">
        <f>IF(AND(CROQUIS!$C$87=1,CROQUIS!$C$164&gt;0,CROQUIS!$C$162&gt;0),(CROQUIS!$C$161+((CROQUIS!$C$165+INT(MIN(INT(($A48-1)/2),MAX((2*CROQUIS!$C$164)-1,0))/2)*CROQUIS!$C$116+MOD(MIN(INT(($A48-1)/2),MAX((2*CROQUIS!$C$164)-1,0)),2)*CROQUIS!$C$115))*CROQUIS!$C$159),-1000)</f>
        <v>79.1911432444645</v>
      </c>
      <c r="AN48">
        <f>IF(AND(CROQUIS!$C$87=1,CROQUIS!$C$162&gt;=2),(CROQUIS!$C$160+((CROQUIS!$C$163+CROQUIS!$C$114+(CROQUIS!$C$116-CROQUIS!$C$114)/2+MIN(INT(($A48-1)/2),MAX((CROQUIS!$C$162-1)-1,0))*CROQUIS!$C$116))*CROQUIS!$C$159),-1000)</f>
        <v>70.1762313601446</v>
      </c>
      <c r="AO48">
        <f>IF(AND(CROQUIS!$C$87=1,CROQUIS!$C$162&gt;=2),(CROQUIS!$C$161+(IF(MOD(MIN(INT(($A48-1)/2),MAX((CROQUIS!$C$162-1)-1,0)),2)=0,IF(IF(INT(($A48-1)/2)&gt;MAX((CROQUIS!$C$162-1)-1,0),1,MOD($A48-1,2))=0,CROQUIS!$C$107/2,(CROQUIS!$C$96-CROQUIS!$C$107/2)),IF(IF(INT(($A48-1)/2)&gt;MAX((CROQUIS!$C$162-1)-1,0),1,MOD($A48-1,2))=0,(CROQUIS!$C$96-CROQUIS!$C$107/2),CROQUIS!$C$107/2)))*CROQUIS!$C$159),-1000)</f>
        <v>16.9453230908269</v>
      </c>
      <c r="AP48">
        <f>IF(AND(CROQUIS!$C$87=1,CROQUIS!$C$164&gt;=2),(CROQUIS!$C$160+(IF(MOD(MIN(INT(($A48-1)/2),MAX((CROQUIS!$C$164-1)-1,0)),2)=0,IF(IF(INT(($A48-1)/2)&gt;MAX((CROQUIS!$C$164-1)-1,0),1,MOD($A48-1,2))=0,CROQUIS!$C$107/2,(CROQUIS!$C$95-CROQUIS!$C$107/2)),IF(IF(INT(($A48-1)/2)&gt;MAX((CROQUIS!$C$164-1)-1,0),1,MOD($A48-1,2))=0,(CROQUIS!$C$95-CROQUIS!$C$107/2),CROQUIS!$C$107/2)))*CROQUIS!$C$159),-1000)</f>
        <v>13.2878445549028</v>
      </c>
      <c r="AQ48">
        <f>IF(AND(CROQUIS!$C$87=1,CROQUIS!$C$164&gt;=2),(CROQUIS!$C$161+((CROQUIS!$C$165+CROQUIS!$C$115+(CROQUIS!$C$116-CROQUIS!$C$115)/2+MIN(INT(($A48-1)/2),MAX((CROQUIS!$C$164-1)-1,0))*CROQUIS!$C$116))*CROQUIS!$C$159),-1000)</f>
        <v>68.0298237686399</v>
      </c>
      <c r="BN48">
        <f>IF(AND(CROQUIS!$C$88=1,CROQUIS!$C$129&gt;0),((CROQUIS!$C$160+(IF(CROQUIS!$C$92="X",CHOOSE(IF(INT(($A48-1)/5)&gt;MAX((MAX(1,INT(((CROQUIS!$C$98)-CROQUIS!$C$107)/MAX((CROQUIS!$C$129*MAX(1,CEILING((INT(((CROQUIS!$C$98)-CROQUIS!$C$107)/MAX(CROQUIS!$C$129,1))+1)/80,1))),1))+1))-1,0),0,MOD($A48-1,5))+1,0,2,CROQUIS!$C$97-2,2,0),((CROQUIS!$C$107/2+(((CROQUIS!$C$98)-CROQUIS!$C$107)-(MAX(1,INT(((CROQUIS!$C$98)-CROQUIS!$C$107)/MAX((CROQUIS!$C$129*MAX(1,CEILING((INT(((CROQUIS!$C$98)-CROQUIS!$C$107)/MAX(CROQUIS!$C$129,1))+1)/80,1))),1))+1)-1)*(CROQUIS!$C$129*MAX(1,CEILING((INT(((CROQUIS!$C$98)-CROQUIS!$C$107)/MAX(CROQUIS!$C$129,1))+1)/80,1))))/2)+MIN(INT(($A48-1)/5),MAX((MAX(1,INT(((CROQUIS!$C$98)-CROQUIS!$C$107)/MAX((CROQUIS!$C$129*MAX(1,CEILING((INT(((CROQUIS!$C$98)-CROQUIS!$C$107)/MAX(CROQUIS!$C$129,1))+1)/80,1))),1))+1))-1,0))*(CROQUIS!$C$129*MAX(1,CEILING((INT(((CROQUIS!$C$98)-CROQUIS!$C$107)/MAX(CROQUIS!$C$129,1))+1)/80,1))))))*CROQUIS!$C$159)+IF(CROQUIS!$C$92="X",0,0)),-1000)</f>
        <v>-1000</v>
      </c>
      <c r="BO48">
        <f>IF(AND(CROQUIS!$C$88=1,CROQUIS!$C$129&gt;0),((CROQUIS!$C$161+(IF(CROQUIS!$C$92="X",((CROQUIS!$C$107/2+(((CROQUIS!$C$98)-CROQUIS!$C$107)-(MAX(1,INT(((CROQUIS!$C$98)-CROQUIS!$C$107)/MAX((CROQUIS!$C$129*MAX(1,CEILING((INT(((CROQUIS!$C$98)-CROQUIS!$C$107)/MAX(CROQUIS!$C$129,1))+1)/80,1))),1))+1)-1)*(CROQUIS!$C$129*MAX(1,CEILING((INT(((CROQUIS!$C$98)-CROQUIS!$C$107)/MAX(CROQUIS!$C$129,1))+1)/80,1))))/2)+MIN(INT(($A48-1)/5),MAX((MAX(1,INT(((CROQUIS!$C$98)-CROQUIS!$C$107)/MAX((CROQUIS!$C$129*MAX(1,CEILING((INT(((CROQUIS!$C$98)-CROQUIS!$C$107)/MAX(CROQUIS!$C$129,1))+1)/80,1))),1))+1))-1,0))*(CROQUIS!$C$129*MAX(1,CEILING((INT(((CROQUIS!$C$98)-CROQUIS!$C$107)/MAX(CROQUIS!$C$129,1))+1)/80,1)))),CHOOSE(IF(INT(($A48-1)/5)&gt;MAX((MAX(1,INT(((CROQUIS!$C$98)-CROQUIS!$C$107)/MAX((CROQUIS!$C$129*MAX(1,CEILING((INT(((CROQUIS!$C$98)-CROQUIS!$C$107)/MAX(CROQUIS!$C$129,1))+1)/80,1))),1))+1))-1,0),0,MOD($A48-1,5))+1,0,2,CROQUIS!$C$97-2,2,0)))*CROQUIS!$C$159)+IF(CROQUIS!$C$92="X",0,0)),-1000)</f>
        <v>-1000</v>
      </c>
      <c r="BP48">
        <f>IF(AND(CROQUIS!$C$88=1,CROQUIS!$C$137&gt;0),((CROQUIS!$C$160+(IF(CROQUIS!$C$92="X",((CROQUIS!$C$107/2+(((CROQUIS!$C$97)-CROQUIS!$C$107)-(MAX(1,INT(((CROQUIS!$C$97)-CROQUIS!$C$107)/MAX((CROQUIS!$C$137*MAX(1,CEILING((INT(((CROQUIS!$C$97)-CROQUIS!$C$107)/MAX(CROQUIS!$C$137,1))+1)/80,1))),1))+1)-1)*(CROQUIS!$C$137*MAX(1,CEILING((INT(((CROQUIS!$C$97)-CROQUIS!$C$107)/MAX(CROQUIS!$C$137,1))+1)/80,1))))/2)+MIN(INT(($A48-1)/5),MAX((MAX(1,INT(((CROQUIS!$C$97)-CROQUIS!$C$107)/MAX((CROQUIS!$C$137*MAX(1,CEILING((INT(((CROQUIS!$C$97)-CROQUIS!$C$107)/MAX(CROQUIS!$C$137,1))+1)/80,1))),1))+1))-1,0))*(CROQUIS!$C$137*MAX(1,CEILING((INT(((CROQUIS!$C$97)-CROQUIS!$C$107)/MAX(CROQUIS!$C$137,1))+1)/80,1)))),CHOOSE(IF(INT(($A48-1)/5)&gt;MAX((MAX(1,INT(((CROQUIS!$C$97)-CROQUIS!$C$107)/MAX((CROQUIS!$C$137*MAX(1,CEILING((INT(((CROQUIS!$C$97)-CROQUIS!$C$107)/MAX(CROQUIS!$C$137,1))+1)/80,1))),1))+1))-1,0),0,MOD($A48-1,5))+1,0,2,CROQUIS!$C$98-2,2,0)))*CROQUIS!$C$159)+IF(CROQUIS!$C$92="X",0,0)),-1000)</f>
        <v>-1000</v>
      </c>
      <c r="BQ48">
        <f>IF(AND(CROQUIS!$C$88=1,CROQUIS!$C$137&gt;0),((CROQUIS!$C$161+(IF(CROQUIS!$C$92="X",CHOOSE(IF(INT(($A48-1)/5)&gt;MAX((MAX(1,INT(((CROQUIS!$C$97)-CROQUIS!$C$107)/MAX((CROQUIS!$C$137*MAX(1,CEILING((INT(((CROQUIS!$C$97)-CROQUIS!$C$107)/MAX(CROQUIS!$C$137,1))+1)/80,1))),1))+1))-1,0),0,MOD($A48-1,5))+1,0,2,CROQUIS!$C$98-2,2,0),((CROQUIS!$C$107/2+(((CROQUIS!$C$97)-CROQUIS!$C$107)-(MAX(1,INT(((CROQUIS!$C$97)-CROQUIS!$C$107)/MAX((CROQUIS!$C$137*MAX(1,CEILING((INT(((CROQUIS!$C$97)-CROQUIS!$C$107)/MAX(CROQUIS!$C$137,1))+1)/80,1))),1))+1)-1)*(CROQUIS!$C$137*MAX(1,CEILING((INT(((CROQUIS!$C$97)-CROQUIS!$C$107)/MAX(CROQUIS!$C$137,1))+1)/80,1))))/2)+MIN(INT(($A48-1)/5),MAX((MAX(1,INT(((CROQUIS!$C$97)-CROQUIS!$C$107)/MAX((CROQUIS!$C$137*MAX(1,CEILING((INT(((CROQUIS!$C$97)-CROQUIS!$C$107)/MAX(CROQUIS!$C$137,1))+1)/80,1))),1))+1))-1,0))*(CROQUIS!$C$137*MAX(1,CEILING((INT(((CROQUIS!$C$97)-CROQUIS!$C$107)/MAX(CROQUIS!$C$137,1))+1)/80,1))))))*CROQUIS!$C$159)+IF(CROQUIS!$C$92="X",0,0)),-1000)</f>
        <v>-1000</v>
      </c>
      <c r="BR48">
        <f>IF(AND(CROQUIS!$C$88=1,CROQUIS!$C$91=0,CROQUIS!$C$133&gt;0,OR(CROQUIS!$C$103=1,CROQUIS!$C$145=1)),((CROQUIS!$C$160+(IF(CROQUIS!$C$92="X",CHOOSE(IF(INT(($A48-1)/5)&gt;MAX((MAX(1,INT(((CROQUIS!$C$98)-CROQUIS!$C$107)/MAX((CROQUIS!$C$133*MAX(1,CEILING((INT(((CROQUIS!$C$98)-CROQUIS!$C$107)/MAX(CROQUIS!$C$133,1))+1)/80,1))),1))+1))-1,0),0,MOD($A48-1,5))+1,0,IF(CROQUIS!$C$103=1,-12,2),CROQUIS!$C$107/2+CROQUIS!$C$143,IF(CROQUIS!$C$103=1,-12,2),0),((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BS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+1,0,IF(CROQUIS!$C$103=1,-12,2),CROQUIS!$C$107/2+CROQUIS!$C$143,IF(CROQUIS!$C$103=1,-12,2),0)))*CROQUIS!$C$159)+IF(CROQUIS!$C$92="X",0.8,0)),-1000)</f>
        <v>-1000</v>
      </c>
      <c r="BT48">
        <f>IF(AND(CROQUIS!$C$88=1,CROQUIS!$C$91=0,CROQUIS!$C$133&gt;0,OR(CROQUIS!$C$104=1,CROQUIS!$C$145=1)),((CROQUIS!$C$160+(IF(CROQUIS!$C$92="X",CHOOSE(IF(INT(($A48-1)/5)&gt;MAX((MAX(1,INT(((CROQUIS!$C$98)-CROQUIS!$C$107)/MAX((CROQUIS!$C$133*MAX(1,CEILING((INT(((CROQUIS!$C$98)-CROQUIS!$C$107)/MAX(CROQUIS!$C$133,1))+1)/80,1))),1))+1))-1,0),0,MOD($A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BU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CROQUIS!$C$97,CROQUIS!$C$97-CROQUIS!$C$107/2-CROQUIS!$C$143,IF(CROQUIS!$C$104=1,CROQUIS!$C$97+12,CROQUIS!$C$97-2),CROQUIS!$C$97-CROQUIS!$C$107/2-CROQUIS!$C$143,CROQUIS!$C$97)))*CROQUIS!$C$159)+IF(CROQUIS!$C$92="X",0.8,0)),-1000)</f>
        <v>-1000</v>
      </c>
      <c r="BV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HOOSE(IF(INT(($A48-1)/5)&gt;MAX((MAX(1,INT(((CROQUIS!$C$97)-CROQUIS!$C$107)/MAX((CROQUIS!$C$141*MAX(1,CEILING((INT(((CROQUIS!$C$97)-CROQUIS!$C$107)/MAX(CROQUIS!$C$141,1))+1)/80,1))),1))+1))-1,0),0,MOD($A48-1,5))+1,0,IF(CROQUIS!$C$105=1,-12,2),CROQUIS!$C$107/2+CROQUIS!$C$144,IF(CROQUIS!$C$105=1,-12,2),0)))*CROQUIS!$C$159)+IF(CROQUIS!$C$92="X",0.8,0)),-1000)</f>
        <v>-1000</v>
      </c>
      <c r="BW48">
        <f>IF(AND(CROQUIS!$C$88=1,CROQUIS!$C$91=0,CROQUIS!$C$141&gt;0,OR(CROQUIS!$C$105=1,CROQUIS!$C$146=1)),((CROQUIS!$C$161+(IF(CROQUIS!$C$92="X",CHOOSE(IF(INT(($A48-1)/5)&gt;MAX((MAX(1,INT(((CROQUIS!$C$97)-CROQUIS!$C$107)/MAX((CROQUIS!$C$141*MAX(1,CEILING((INT(((CROQUIS!$C$97)-CROQUIS!$C$107)/MAX(CROQUIS!$C$141,1))+1)/80,1))),1))+1))-1,0),0,MOD($A48-1,5))+1,0,IF(CROQUIS!$C$105=1,-12,2),CROQUIS!$C$107/2+CROQUIS!$C$144,IF(CROQUIS!$C$105=1,-12,2),0),((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ROQUIS!$C$159)+IF(CROQUIS!$C$92="X",0,0.8)),-1000)</f>
        <v>-1000</v>
      </c>
      <c r="BX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HOOSE(IF(INT(($A48-1)/5)&gt;MAX((MAX(1,INT(((CROQUIS!$C$97)-CROQUIS!$C$107)/MAX((CROQUIS!$C$141*MAX(1,CEILING((INT(((CROQUIS!$C$97)-CROQUIS!$C$107)/MAX(CROQUIS!$C$141,1))+1)/80,1))),1))+1))-1,0),0,MOD($A48-1,5))+1,CROQUIS!$C$98,CROQUIS!$C$98-CROQUIS!$C$107/2-CROQUIS!$C$144,IF(CROQUIS!$C$106=1,CROQUIS!$C$98+12,CROQUIS!$C$98-2),CROQUIS!$C$98-CROQUIS!$C$107/2-CROQUIS!$C$144,CROQUIS!$C$98)))*CROQUIS!$C$159)+IF(CROQUIS!$C$92="X",0.8,0)),-1000)</f>
        <v>-1000</v>
      </c>
      <c r="BY48">
        <f>IF(AND(CROQUIS!$C$88=1,CROQUIS!$C$91=0,CROQUIS!$C$141&gt;0,OR(CROQUIS!$C$106=1,CROQUIS!$C$146=1)),((CROQUIS!$C$161+(IF(CROQUIS!$C$92="X",CHOOSE(IF(INT(($A48-1)/5)&gt;MAX((MAX(1,INT(((CROQUIS!$C$97)-CROQUIS!$C$107)/MAX((CROQUIS!$C$141*MAX(1,CEILING((INT(((CROQUIS!$C$97)-CROQUIS!$C$107)/MAX(CROQUIS!$C$141,1))+1)/80,1))),1))+1))-1,0),0,MOD($A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ROQUIS!$C$159)+IF(CROQUIS!$C$92="X",0,0.8)),-1000)</f>
        <v>-1000</v>
      </c>
      <c r="BZ48">
        <f>IF(AND(CROQUIS!$C$88=1,CROQUIS!$C$91=1,CROQUIS!$C$133&gt;0),((CROQUIS!$C$160+(IF(CROQUIS!$C$92="X",CHOOSE(IF(INT(($A48-1)/5)&gt;MAX((MAX(1,INT(((CROQUIS!$C$98)-CROQUIS!$C$107)/MAX((CROQUIS!$C$133*MAX(1,CEILING((INT(((CROQUIS!$C$98)-CROQUIS!$C$107)/MAX(CROQUIS!$C$133,1))+1)/80,1))),1))+1))-1,0),0,MOD($A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CA48">
        <f>IF(AND(CROQUIS!$C$88=1,CROQUIS!$C$91=1,CROQUIS!$C$133&gt;0),((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9">
      <c r="A49" t="n">
        <v>42</v>
      </c>
      <c r="AJ49">
        <f>IF(AND(CROQUIS!$C$87=1,CROQUIS!$C$162&gt;0,CROQUIS!$C$164&gt;0),(CROQUIS!$C$160+((CROQUIS!$C$163+INT(MIN(INT(($A49-1)/2),MAX((2*CROQUIS!$C$162)-1,0))/2)*CROQUIS!$C$116+MOD(MIN(INT(($A49-1)/2),MAX((2*CROQUIS!$C$162)-1,0)),2)*CROQUIS!$C$114))*CROQUIS!$C$159),-1000)</f>
        <v>81.3375508359693</v>
      </c>
      <c r="AK49">
        <f>IF(AND(CROQUIS!$C$87=1,CROQUIS!$C$162&gt;0,CROQUIS!$C$164&gt;0),(CROQUIS!$C$161+(IF(MOD(MIN(INT(($A49-1)/2),MAX((2*CROQUIS!$C$162)-1,0)),2)=0,IF(IF(INT(($A49-1)/2)&gt;MAX((2*CROQUIS!$C$162)-1,0),1,MOD($A49-1,2))=0,CROQUIS!$C$165,(CROQUIS!$C$165+(CROQUIS!$C$164-1)*CROQUIS!$C$116+CROQUIS!$C$115)),IF(IF(INT(($A49-1)/2)&gt;MAX((2*CROQUIS!$C$162)-1,0),1,MOD($A49-1,2))=0,(CROQUIS!$C$165+(CROQUIS!$C$164-1)*CROQUIS!$C$116+CROQUIS!$C$115),CROQUIS!$C$165)))*CROQUIS!$C$159),-1000)</f>
        <v>20.8088567555355</v>
      </c>
      <c r="AL49">
        <f>IF(AND(CROQUIS!$C$87=1,CROQUIS!$C$164&gt;0,CROQUIS!$C$162&gt;0),(CROQUIS!$C$160+(IF(MOD(MIN(INT(($A49-1)/2),MAX((2*CROQUIS!$C$164)-1,0)),2)=0,IF(IF(INT(($A49-1)/2)&gt;MAX((2*CROQUIS!$C$164)-1,0),1,MOD($A49-1,2))=0,CROQUIS!$C$163,(CROQUIS!$C$163+(CROQUIS!$C$162-1)*CROQUIS!$C$116+CROQUIS!$C$114)),IF(IF(INT(($A49-1)/2)&gt;MAX((2*CROQUIS!$C$164)-1,0),1,MOD($A49-1,2))=0,(CROQUIS!$C$163+(CROQUIS!$C$162-1)*CROQUIS!$C$116+CROQUIS!$C$114),CROQUIS!$C$163)))*CROQUIS!$C$159),-1000)</f>
        <v>22.9552643470402</v>
      </c>
      <c r="AM49">
        <f>IF(AND(CROQUIS!$C$87=1,CROQUIS!$C$164&gt;0,CROQUIS!$C$162&gt;0),(CROQUIS!$C$161+((CROQUIS!$C$165+INT(MIN(INT(($A49-1)/2),MAX((2*CROQUIS!$C$164)-1,0))/2)*CROQUIS!$C$116+MOD(MIN(INT(($A49-1)/2),MAX((2*CROQUIS!$C$164)-1,0)),2)*CROQUIS!$C$115))*CROQUIS!$C$159),-1000)</f>
        <v>79.1911432444645</v>
      </c>
      <c r="AN49">
        <f>IF(AND(CROQUIS!$C$87=1,CROQUIS!$C$162&gt;=2),(CROQUIS!$C$160+((CROQUIS!$C$163+CROQUIS!$C$114+(CROQUIS!$C$116-CROQUIS!$C$114)/2+MIN(INT(($A49-1)/2),MAX((CROQUIS!$C$162-1)-1,0))*CROQUIS!$C$116))*CROQUIS!$C$159),-1000)</f>
        <v>70.1762313601446</v>
      </c>
      <c r="AO49">
        <f>IF(AND(CROQUIS!$C$87=1,CROQUIS!$C$162&gt;=2),(CROQUIS!$C$161+(IF(MOD(MIN(INT(($A49-1)/2),MAX((CROQUIS!$C$162-1)-1,0)),2)=0,IF(IF(INT(($A49-1)/2)&gt;MAX((CROQUIS!$C$162-1)-1,0),1,MOD($A49-1,2))=0,CROQUIS!$C$107/2,(CROQUIS!$C$96-CROQUIS!$C$107/2)),IF(IF(INT(($A49-1)/2)&gt;MAX((CROQUIS!$C$162-1)-1,0),1,MOD($A49-1,2))=0,(CROQUIS!$C$96-CROQUIS!$C$107/2),CROQUIS!$C$107/2)))*CROQUIS!$C$159),-1000)</f>
        <v>16.9453230908269</v>
      </c>
      <c r="AP49">
        <f>IF(AND(CROQUIS!$C$87=1,CROQUIS!$C$164&gt;=2),(CROQUIS!$C$160+(IF(MOD(MIN(INT(($A49-1)/2),MAX((CROQUIS!$C$164-1)-1,0)),2)=0,IF(IF(INT(($A49-1)/2)&gt;MAX((CROQUIS!$C$164-1)-1,0),1,MOD($A49-1,2))=0,CROQUIS!$C$107/2,(CROQUIS!$C$95-CROQUIS!$C$107/2)),IF(IF(INT(($A49-1)/2)&gt;MAX((CROQUIS!$C$164-1)-1,0),1,MOD($A49-1,2))=0,(CROQUIS!$C$95-CROQUIS!$C$107/2),CROQUIS!$C$107/2)))*CROQUIS!$C$159),-1000)</f>
        <v>13.2878445549028</v>
      </c>
      <c r="AQ49">
        <f>IF(AND(CROQUIS!$C$87=1,CROQUIS!$C$164&gt;=2),(CROQUIS!$C$161+((CROQUIS!$C$165+CROQUIS!$C$115+(CROQUIS!$C$116-CROQUIS!$C$115)/2+MIN(INT(($A49-1)/2),MAX((CROQUIS!$C$164-1)-1,0))*CROQUIS!$C$116))*CROQUIS!$C$159),-1000)</f>
        <v>68.0298237686399</v>
      </c>
      <c r="BN49">
        <f>IF(AND(CROQUIS!$C$88=1,CROQUIS!$C$129&gt;0),((CROQUIS!$C$160+(IF(CROQUIS!$C$92="X",CHOOSE(IF(INT(($A49-1)/5)&gt;MAX((MAX(1,INT(((CROQUIS!$C$98)-CROQUIS!$C$107)/MAX((CROQUIS!$C$129*MAX(1,CEILING((INT(((CROQUIS!$C$98)-CROQUIS!$C$107)/MAX(CROQUIS!$C$129,1))+1)/80,1))),1))+1))-1,0),0,MOD($A49-1,5))+1,0,2,CROQUIS!$C$97-2,2,0),((CROQUIS!$C$107/2+(((CROQUIS!$C$98)-CROQUIS!$C$107)-(MAX(1,INT(((CROQUIS!$C$98)-CROQUIS!$C$107)/MAX((CROQUIS!$C$129*MAX(1,CEILING((INT(((CROQUIS!$C$98)-CROQUIS!$C$107)/MAX(CROQUIS!$C$129,1))+1)/80,1))),1))+1)-1)*(CROQUIS!$C$129*MAX(1,CEILING((INT(((CROQUIS!$C$98)-CROQUIS!$C$107)/MAX(CROQUIS!$C$129,1))+1)/80,1))))/2)+MIN(INT(($A49-1)/5),MAX((MAX(1,INT(((CROQUIS!$C$98)-CROQUIS!$C$107)/MAX((CROQUIS!$C$129*MAX(1,CEILING((INT(((CROQUIS!$C$98)-CROQUIS!$C$107)/MAX(CROQUIS!$C$129,1))+1)/80,1))),1))+1))-1,0))*(CROQUIS!$C$129*MAX(1,CEILING((INT(((CROQUIS!$C$98)-CROQUIS!$C$107)/MAX(CROQUIS!$C$129,1))+1)/80,1))))))*CROQUIS!$C$159)+IF(CROQUIS!$C$92="X",0,0)),-1000)</f>
        <v>-1000</v>
      </c>
      <c r="BO49">
        <f>IF(AND(CROQUIS!$C$88=1,CROQUIS!$C$129&gt;0),((CROQUIS!$C$161+(IF(CROQUIS!$C$92="X",((CROQUIS!$C$107/2+(((CROQUIS!$C$98)-CROQUIS!$C$107)-(MAX(1,INT(((CROQUIS!$C$98)-CROQUIS!$C$107)/MAX((CROQUIS!$C$129*MAX(1,CEILING((INT(((CROQUIS!$C$98)-CROQUIS!$C$107)/MAX(CROQUIS!$C$129,1))+1)/80,1))),1))+1)-1)*(CROQUIS!$C$129*MAX(1,CEILING((INT(((CROQUIS!$C$98)-CROQUIS!$C$107)/MAX(CROQUIS!$C$129,1))+1)/80,1))))/2)+MIN(INT(($A49-1)/5),MAX((MAX(1,INT(((CROQUIS!$C$98)-CROQUIS!$C$107)/MAX((CROQUIS!$C$129*MAX(1,CEILING((INT(((CROQUIS!$C$98)-CROQUIS!$C$107)/MAX(CROQUIS!$C$129,1))+1)/80,1))),1))+1))-1,0))*(CROQUIS!$C$129*MAX(1,CEILING((INT(((CROQUIS!$C$98)-CROQUIS!$C$107)/MAX(CROQUIS!$C$129,1))+1)/80,1)))),CHOOSE(IF(INT(($A49-1)/5)&gt;MAX((MAX(1,INT(((CROQUIS!$C$98)-CROQUIS!$C$107)/MAX((CROQUIS!$C$129*MAX(1,CEILING((INT(((CROQUIS!$C$98)-CROQUIS!$C$107)/MAX(CROQUIS!$C$129,1))+1)/80,1))),1))+1))-1,0),0,MOD($A49-1,5))+1,0,2,CROQUIS!$C$97-2,2,0)))*CROQUIS!$C$159)+IF(CROQUIS!$C$92="X",0,0)),-1000)</f>
        <v>-1000</v>
      </c>
      <c r="BP49">
        <f>IF(AND(CROQUIS!$C$88=1,CROQUIS!$C$137&gt;0),((CROQUIS!$C$160+(IF(CROQUIS!$C$92="X",((CROQUIS!$C$107/2+(((CROQUIS!$C$97)-CROQUIS!$C$107)-(MAX(1,INT(((CROQUIS!$C$97)-CROQUIS!$C$107)/MAX((CROQUIS!$C$137*MAX(1,CEILING((INT(((CROQUIS!$C$97)-CROQUIS!$C$107)/MAX(CROQUIS!$C$137,1))+1)/80,1))),1))+1)-1)*(CROQUIS!$C$137*MAX(1,CEILING((INT(((CROQUIS!$C$97)-CROQUIS!$C$107)/MAX(CROQUIS!$C$137,1))+1)/80,1))))/2)+MIN(INT(($A49-1)/5),MAX((MAX(1,INT(((CROQUIS!$C$97)-CROQUIS!$C$107)/MAX((CROQUIS!$C$137*MAX(1,CEILING((INT(((CROQUIS!$C$97)-CROQUIS!$C$107)/MAX(CROQUIS!$C$137,1))+1)/80,1))),1))+1))-1,0))*(CROQUIS!$C$137*MAX(1,CEILING((INT(((CROQUIS!$C$97)-CROQUIS!$C$107)/MAX(CROQUIS!$C$137,1))+1)/80,1)))),CHOOSE(IF(INT(($A49-1)/5)&gt;MAX((MAX(1,INT(((CROQUIS!$C$97)-CROQUIS!$C$107)/MAX((CROQUIS!$C$137*MAX(1,CEILING((INT(((CROQUIS!$C$97)-CROQUIS!$C$107)/MAX(CROQUIS!$C$137,1))+1)/80,1))),1))+1))-1,0),0,MOD($A49-1,5))+1,0,2,CROQUIS!$C$98-2,2,0)))*CROQUIS!$C$159)+IF(CROQUIS!$C$92="X",0,0)),-1000)</f>
        <v>-1000</v>
      </c>
      <c r="BQ49">
        <f>IF(AND(CROQUIS!$C$88=1,CROQUIS!$C$137&gt;0),((CROQUIS!$C$161+(IF(CROQUIS!$C$92="X",CHOOSE(IF(INT(($A49-1)/5)&gt;MAX((MAX(1,INT(((CROQUIS!$C$97)-CROQUIS!$C$107)/MAX((CROQUIS!$C$137*MAX(1,CEILING((INT(((CROQUIS!$C$97)-CROQUIS!$C$107)/MAX(CROQUIS!$C$137,1))+1)/80,1))),1))+1))-1,0),0,MOD($A49-1,5))+1,0,2,CROQUIS!$C$98-2,2,0),((CROQUIS!$C$107/2+(((CROQUIS!$C$97)-CROQUIS!$C$107)-(MAX(1,INT(((CROQUIS!$C$97)-CROQUIS!$C$107)/MAX((CROQUIS!$C$137*MAX(1,CEILING((INT(((CROQUIS!$C$97)-CROQUIS!$C$107)/MAX(CROQUIS!$C$137,1))+1)/80,1))),1))+1)-1)*(CROQUIS!$C$137*MAX(1,CEILING((INT(((CROQUIS!$C$97)-CROQUIS!$C$107)/MAX(CROQUIS!$C$137,1))+1)/80,1))))/2)+MIN(INT(($A49-1)/5),MAX((MAX(1,INT(((CROQUIS!$C$97)-CROQUIS!$C$107)/MAX((CROQUIS!$C$137*MAX(1,CEILING((INT(((CROQUIS!$C$97)-CROQUIS!$C$107)/MAX(CROQUIS!$C$137,1))+1)/80,1))),1))+1))-1,0))*(CROQUIS!$C$137*MAX(1,CEILING((INT(((CROQUIS!$C$97)-CROQUIS!$C$107)/MAX(CROQUIS!$C$137,1))+1)/80,1))))))*CROQUIS!$C$159)+IF(CROQUIS!$C$92="X",0,0)),-1000)</f>
        <v>-1000</v>
      </c>
      <c r="BR49">
        <f>IF(AND(CROQUIS!$C$88=1,CROQUIS!$C$91=0,CROQUIS!$C$133&gt;0,OR(CROQUIS!$C$103=1,CROQUIS!$C$145=1)),((CROQUIS!$C$160+(IF(CROQUIS!$C$92="X",CHOOSE(IF(INT(($A49-1)/5)&gt;MAX((MAX(1,INT(((CROQUIS!$C$98)-CROQUIS!$C$107)/MAX((CROQUIS!$C$133*MAX(1,CEILING((INT(((CROQUIS!$C$98)-CROQUIS!$C$107)/MAX(CROQUIS!$C$133,1))+1)/80,1))),1))+1))-1,0),0,MOD($A49-1,5))+1,0,IF(CROQUIS!$C$103=1,-12,2),CROQUIS!$C$107/2+CROQUIS!$C$143,IF(CROQUIS!$C$103=1,-12,2),0),((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BS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+1,0,IF(CROQUIS!$C$103=1,-12,2),CROQUIS!$C$107/2+CROQUIS!$C$143,IF(CROQUIS!$C$103=1,-12,2),0)))*CROQUIS!$C$159)+IF(CROQUIS!$C$92="X",0.8,0)),-1000)</f>
        <v>-1000</v>
      </c>
      <c r="BT49">
        <f>IF(AND(CROQUIS!$C$88=1,CROQUIS!$C$91=0,CROQUIS!$C$133&gt;0,OR(CROQUIS!$C$104=1,CROQUIS!$C$145=1)),((CROQUIS!$C$160+(IF(CROQUIS!$C$92="X",CHOOSE(IF(INT(($A49-1)/5)&gt;MAX((MAX(1,INT(((CROQUIS!$C$98)-CROQUIS!$C$107)/MAX((CROQUIS!$C$133*MAX(1,CEILING((INT(((CROQUIS!$C$98)-CROQUIS!$C$107)/MAX(CROQUIS!$C$133,1))+1)/80,1))),1))+1))-1,0),0,MOD($A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BU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CROQUIS!$C$97,CROQUIS!$C$97-CROQUIS!$C$107/2-CROQUIS!$C$143,IF(CROQUIS!$C$104=1,CROQUIS!$C$97+12,CROQUIS!$C$97-2),CROQUIS!$C$97-CROQUIS!$C$107/2-CROQUIS!$C$143,CROQUIS!$C$97)))*CROQUIS!$C$159)+IF(CROQUIS!$C$92="X",0.8,0)),-1000)</f>
        <v>-1000</v>
      </c>
      <c r="BV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HOOSE(IF(INT(($A49-1)/5)&gt;MAX((MAX(1,INT(((CROQUIS!$C$97)-CROQUIS!$C$107)/MAX((CROQUIS!$C$141*MAX(1,CEILING((INT(((CROQUIS!$C$97)-CROQUIS!$C$107)/MAX(CROQUIS!$C$141,1))+1)/80,1))),1))+1))-1,0),0,MOD($A49-1,5))+1,0,IF(CROQUIS!$C$105=1,-12,2),CROQUIS!$C$107/2+CROQUIS!$C$144,IF(CROQUIS!$C$105=1,-12,2),0)))*CROQUIS!$C$159)+IF(CROQUIS!$C$92="X",0.8,0)),-1000)</f>
        <v>-1000</v>
      </c>
      <c r="BW49">
        <f>IF(AND(CROQUIS!$C$88=1,CROQUIS!$C$91=0,CROQUIS!$C$141&gt;0,OR(CROQUIS!$C$105=1,CROQUIS!$C$146=1)),((CROQUIS!$C$161+(IF(CROQUIS!$C$92="X",CHOOSE(IF(INT(($A49-1)/5)&gt;MAX((MAX(1,INT(((CROQUIS!$C$97)-CROQUIS!$C$107)/MAX((CROQUIS!$C$141*MAX(1,CEILING((INT(((CROQUIS!$C$97)-CROQUIS!$C$107)/MAX(CROQUIS!$C$141,1))+1)/80,1))),1))+1))-1,0),0,MOD($A49-1,5))+1,0,IF(CROQUIS!$C$105=1,-12,2),CROQUIS!$C$107/2+CROQUIS!$C$144,IF(CROQUIS!$C$105=1,-12,2),0),((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ROQUIS!$C$159)+IF(CROQUIS!$C$92="X",0,0.8)),-1000)</f>
        <v>-1000</v>
      </c>
      <c r="BX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HOOSE(IF(INT(($A49-1)/5)&gt;MAX((MAX(1,INT(((CROQUIS!$C$97)-CROQUIS!$C$107)/MAX((CROQUIS!$C$141*MAX(1,CEILING((INT(((CROQUIS!$C$97)-CROQUIS!$C$107)/MAX(CROQUIS!$C$141,1))+1)/80,1))),1))+1))-1,0),0,MOD($A49-1,5))+1,CROQUIS!$C$98,CROQUIS!$C$98-CROQUIS!$C$107/2-CROQUIS!$C$144,IF(CROQUIS!$C$106=1,CROQUIS!$C$98+12,CROQUIS!$C$98-2),CROQUIS!$C$98-CROQUIS!$C$107/2-CROQUIS!$C$144,CROQUIS!$C$98)))*CROQUIS!$C$159)+IF(CROQUIS!$C$92="X",0.8,0)),-1000)</f>
        <v>-1000</v>
      </c>
      <c r="BY49">
        <f>IF(AND(CROQUIS!$C$88=1,CROQUIS!$C$91=0,CROQUIS!$C$141&gt;0,OR(CROQUIS!$C$106=1,CROQUIS!$C$146=1)),((CROQUIS!$C$161+(IF(CROQUIS!$C$92="X",CHOOSE(IF(INT(($A49-1)/5)&gt;MAX((MAX(1,INT(((CROQUIS!$C$97)-CROQUIS!$C$107)/MAX((CROQUIS!$C$141*MAX(1,CEILING((INT(((CROQUIS!$C$97)-CROQUIS!$C$107)/MAX(CROQUIS!$C$141,1))+1)/80,1))),1))+1))-1,0),0,MOD($A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ROQUIS!$C$159)+IF(CROQUIS!$C$92="X",0,0.8)),-1000)</f>
        <v>-1000</v>
      </c>
      <c r="BZ49">
        <f>IF(AND(CROQUIS!$C$88=1,CROQUIS!$C$91=1,CROQUIS!$C$133&gt;0),((CROQUIS!$C$160+(IF(CROQUIS!$C$92="X",CHOOSE(IF(INT(($A49-1)/5)&gt;MAX((MAX(1,INT(((CROQUIS!$C$98)-CROQUIS!$C$107)/MAX((CROQUIS!$C$133*MAX(1,CEILING((INT(((CROQUIS!$C$98)-CROQUIS!$C$107)/MAX(CROQUIS!$C$133,1))+1)/80,1))),1))+1))-1,0),0,MOD($A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CA49">
        <f>IF(AND(CROQUIS!$C$88=1,CROQUIS!$C$91=1,CROQUIS!$C$133&gt;0),((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0">
      <c r="A50" t="n">
        <v>43</v>
      </c>
      <c r="AJ50">
        <f>IF(AND(CROQUIS!$C$87=1,CROQUIS!$C$162&gt;0,CROQUIS!$C$164&gt;0),(CROQUIS!$C$160+((CROQUIS!$C$163+INT(MIN(INT(($A50-1)/2),MAX((2*CROQUIS!$C$162)-1,0))/2)*CROQUIS!$C$116+MOD(MIN(INT(($A50-1)/2),MAX((2*CROQUIS!$C$162)-1,0)),2)*CROQUIS!$C$114))*CROQUIS!$C$159),-1000)</f>
        <v>81.3375508359693</v>
      </c>
      <c r="AK50">
        <f>IF(AND(CROQUIS!$C$87=1,CROQUIS!$C$162&gt;0,CROQUIS!$C$164&gt;0),(CROQUIS!$C$161+(IF(MOD(MIN(INT(($A50-1)/2),MAX((2*CROQUIS!$C$162)-1,0)),2)=0,IF(IF(INT(($A50-1)/2)&gt;MAX((2*CROQUIS!$C$162)-1,0),1,MOD($A50-1,2))=0,CROQUIS!$C$165,(CROQUIS!$C$165+(CROQUIS!$C$164-1)*CROQUIS!$C$116+CROQUIS!$C$115)),IF(IF(INT(($A50-1)/2)&gt;MAX((2*CROQUIS!$C$162)-1,0),1,MOD($A50-1,2))=0,(CROQUIS!$C$165+(CROQUIS!$C$164-1)*CROQUIS!$C$116+CROQUIS!$C$115),CROQUIS!$C$165)))*CROQUIS!$C$159),-1000)</f>
        <v>20.8088567555355</v>
      </c>
      <c r="AL50">
        <f>IF(AND(CROQUIS!$C$87=1,CROQUIS!$C$164&gt;0,CROQUIS!$C$162&gt;0),(CROQUIS!$C$160+(IF(MOD(MIN(INT(($A50-1)/2),MAX((2*CROQUIS!$C$164)-1,0)),2)=0,IF(IF(INT(($A50-1)/2)&gt;MAX((2*CROQUIS!$C$164)-1,0),1,MOD($A50-1,2))=0,CROQUIS!$C$163,(CROQUIS!$C$163+(CROQUIS!$C$162-1)*CROQUIS!$C$116+CROQUIS!$C$114)),IF(IF(INT(($A50-1)/2)&gt;MAX((2*CROQUIS!$C$164)-1,0),1,MOD($A50-1,2))=0,(CROQUIS!$C$163+(CROQUIS!$C$162-1)*CROQUIS!$C$116+CROQUIS!$C$114),CROQUIS!$C$163)))*CROQUIS!$C$159),-1000)</f>
        <v>22.9552643470402</v>
      </c>
      <c r="AM50">
        <f>IF(AND(CROQUIS!$C$87=1,CROQUIS!$C$164&gt;0,CROQUIS!$C$162&gt;0),(CROQUIS!$C$161+((CROQUIS!$C$165+INT(MIN(INT(($A50-1)/2),MAX((2*CROQUIS!$C$164)-1,0))/2)*CROQUIS!$C$116+MOD(MIN(INT(($A50-1)/2),MAX((2*CROQUIS!$C$164)-1,0)),2)*CROQUIS!$C$115))*CROQUIS!$C$159),-1000)</f>
        <v>79.1911432444645</v>
      </c>
      <c r="AN50">
        <f>IF(AND(CROQUIS!$C$87=1,CROQUIS!$C$162&gt;=2),(CROQUIS!$C$160+((CROQUIS!$C$163+CROQUIS!$C$114+(CROQUIS!$C$116-CROQUIS!$C$114)/2+MIN(INT(($A50-1)/2),MAX((CROQUIS!$C$162-1)-1,0))*CROQUIS!$C$116))*CROQUIS!$C$159),-1000)</f>
        <v>70.1762313601446</v>
      </c>
      <c r="AO50">
        <f>IF(AND(CROQUIS!$C$87=1,CROQUIS!$C$162&gt;=2),(CROQUIS!$C$161+(IF(MOD(MIN(INT(($A50-1)/2),MAX((CROQUIS!$C$162-1)-1,0)),2)=0,IF(IF(INT(($A50-1)/2)&gt;MAX((CROQUIS!$C$162-1)-1,0),1,MOD($A50-1,2))=0,CROQUIS!$C$107/2,(CROQUIS!$C$96-CROQUIS!$C$107/2)),IF(IF(INT(($A50-1)/2)&gt;MAX((CROQUIS!$C$162-1)-1,0),1,MOD($A50-1,2))=0,(CROQUIS!$C$96-CROQUIS!$C$107/2),CROQUIS!$C$107/2)))*CROQUIS!$C$159),-1000)</f>
        <v>16.9453230908269</v>
      </c>
      <c r="AP50">
        <f>IF(AND(CROQUIS!$C$87=1,CROQUIS!$C$164&gt;=2),(CROQUIS!$C$160+(IF(MOD(MIN(INT(($A50-1)/2),MAX((CROQUIS!$C$164-1)-1,0)),2)=0,IF(IF(INT(($A50-1)/2)&gt;MAX((CROQUIS!$C$164-1)-1,0),1,MOD($A50-1,2))=0,CROQUIS!$C$107/2,(CROQUIS!$C$95-CROQUIS!$C$107/2)),IF(IF(INT(($A50-1)/2)&gt;MAX((CROQUIS!$C$164-1)-1,0),1,MOD($A50-1,2))=0,(CROQUIS!$C$95-CROQUIS!$C$107/2),CROQUIS!$C$107/2)))*CROQUIS!$C$159),-1000)</f>
        <v>13.2878445549028</v>
      </c>
      <c r="AQ50">
        <f>IF(AND(CROQUIS!$C$87=1,CROQUIS!$C$164&gt;=2),(CROQUIS!$C$161+((CROQUIS!$C$165+CROQUIS!$C$115+(CROQUIS!$C$116-CROQUIS!$C$115)/2+MIN(INT(($A50-1)/2),MAX((CROQUIS!$C$164-1)-1,0))*CROQUIS!$C$116))*CROQUIS!$C$159),-1000)</f>
        <v>68.0298237686399</v>
      </c>
      <c r="BN50">
        <f>IF(AND(CROQUIS!$C$88=1,CROQUIS!$C$129&gt;0),((CROQUIS!$C$160+(IF(CROQUIS!$C$92="X",CHOOSE(IF(INT(($A50-1)/5)&gt;MAX((MAX(1,INT(((CROQUIS!$C$98)-CROQUIS!$C$107)/MAX((CROQUIS!$C$129*MAX(1,CEILING((INT(((CROQUIS!$C$98)-CROQUIS!$C$107)/MAX(CROQUIS!$C$129,1))+1)/80,1))),1))+1))-1,0),0,MOD($A50-1,5))+1,0,2,CROQUIS!$C$97-2,2,0),((CROQUIS!$C$107/2+(((CROQUIS!$C$98)-CROQUIS!$C$107)-(MAX(1,INT(((CROQUIS!$C$98)-CROQUIS!$C$107)/MAX((CROQUIS!$C$129*MAX(1,CEILING((INT(((CROQUIS!$C$98)-CROQUIS!$C$107)/MAX(CROQUIS!$C$129,1))+1)/80,1))),1))+1)-1)*(CROQUIS!$C$129*MAX(1,CEILING((INT(((CROQUIS!$C$98)-CROQUIS!$C$107)/MAX(CROQUIS!$C$129,1))+1)/80,1))))/2)+MIN(INT(($A50-1)/5),MAX((MAX(1,INT(((CROQUIS!$C$98)-CROQUIS!$C$107)/MAX((CROQUIS!$C$129*MAX(1,CEILING((INT(((CROQUIS!$C$98)-CROQUIS!$C$107)/MAX(CROQUIS!$C$129,1))+1)/80,1))),1))+1))-1,0))*(CROQUIS!$C$129*MAX(1,CEILING((INT(((CROQUIS!$C$98)-CROQUIS!$C$107)/MAX(CROQUIS!$C$129,1))+1)/80,1))))))*CROQUIS!$C$159)+IF(CROQUIS!$C$92="X",0,0)),-1000)</f>
        <v>-1000</v>
      </c>
      <c r="BO50">
        <f>IF(AND(CROQUIS!$C$88=1,CROQUIS!$C$129&gt;0),((CROQUIS!$C$161+(IF(CROQUIS!$C$92="X",((CROQUIS!$C$107/2+(((CROQUIS!$C$98)-CROQUIS!$C$107)-(MAX(1,INT(((CROQUIS!$C$98)-CROQUIS!$C$107)/MAX((CROQUIS!$C$129*MAX(1,CEILING((INT(((CROQUIS!$C$98)-CROQUIS!$C$107)/MAX(CROQUIS!$C$129,1))+1)/80,1))),1))+1)-1)*(CROQUIS!$C$129*MAX(1,CEILING((INT(((CROQUIS!$C$98)-CROQUIS!$C$107)/MAX(CROQUIS!$C$129,1))+1)/80,1))))/2)+MIN(INT(($A50-1)/5),MAX((MAX(1,INT(((CROQUIS!$C$98)-CROQUIS!$C$107)/MAX((CROQUIS!$C$129*MAX(1,CEILING((INT(((CROQUIS!$C$98)-CROQUIS!$C$107)/MAX(CROQUIS!$C$129,1))+1)/80,1))),1))+1))-1,0))*(CROQUIS!$C$129*MAX(1,CEILING((INT(((CROQUIS!$C$98)-CROQUIS!$C$107)/MAX(CROQUIS!$C$129,1))+1)/80,1)))),CHOOSE(IF(INT(($A50-1)/5)&gt;MAX((MAX(1,INT(((CROQUIS!$C$98)-CROQUIS!$C$107)/MAX((CROQUIS!$C$129*MAX(1,CEILING((INT(((CROQUIS!$C$98)-CROQUIS!$C$107)/MAX(CROQUIS!$C$129,1))+1)/80,1))),1))+1))-1,0),0,MOD($A50-1,5))+1,0,2,CROQUIS!$C$97-2,2,0)))*CROQUIS!$C$159)+IF(CROQUIS!$C$92="X",0,0)),-1000)</f>
        <v>-1000</v>
      </c>
      <c r="BP50">
        <f>IF(AND(CROQUIS!$C$88=1,CROQUIS!$C$137&gt;0),((CROQUIS!$C$160+(IF(CROQUIS!$C$92="X",((CROQUIS!$C$107/2+(((CROQUIS!$C$97)-CROQUIS!$C$107)-(MAX(1,INT(((CROQUIS!$C$97)-CROQUIS!$C$107)/MAX((CROQUIS!$C$137*MAX(1,CEILING((INT(((CROQUIS!$C$97)-CROQUIS!$C$107)/MAX(CROQUIS!$C$137,1))+1)/80,1))),1))+1)-1)*(CROQUIS!$C$137*MAX(1,CEILING((INT(((CROQUIS!$C$97)-CROQUIS!$C$107)/MAX(CROQUIS!$C$137,1))+1)/80,1))))/2)+MIN(INT(($A50-1)/5),MAX((MAX(1,INT(((CROQUIS!$C$97)-CROQUIS!$C$107)/MAX((CROQUIS!$C$137*MAX(1,CEILING((INT(((CROQUIS!$C$97)-CROQUIS!$C$107)/MAX(CROQUIS!$C$137,1))+1)/80,1))),1))+1))-1,0))*(CROQUIS!$C$137*MAX(1,CEILING((INT(((CROQUIS!$C$97)-CROQUIS!$C$107)/MAX(CROQUIS!$C$137,1))+1)/80,1)))),CHOOSE(IF(INT(($A50-1)/5)&gt;MAX((MAX(1,INT(((CROQUIS!$C$97)-CROQUIS!$C$107)/MAX((CROQUIS!$C$137*MAX(1,CEILING((INT(((CROQUIS!$C$97)-CROQUIS!$C$107)/MAX(CROQUIS!$C$137,1))+1)/80,1))),1))+1))-1,0),0,MOD($A50-1,5))+1,0,2,CROQUIS!$C$98-2,2,0)))*CROQUIS!$C$159)+IF(CROQUIS!$C$92="X",0,0)),-1000)</f>
        <v>-1000</v>
      </c>
      <c r="BQ50">
        <f>IF(AND(CROQUIS!$C$88=1,CROQUIS!$C$137&gt;0),((CROQUIS!$C$161+(IF(CROQUIS!$C$92="X",CHOOSE(IF(INT(($A50-1)/5)&gt;MAX((MAX(1,INT(((CROQUIS!$C$97)-CROQUIS!$C$107)/MAX((CROQUIS!$C$137*MAX(1,CEILING((INT(((CROQUIS!$C$97)-CROQUIS!$C$107)/MAX(CROQUIS!$C$137,1))+1)/80,1))),1))+1))-1,0),0,MOD($A50-1,5))+1,0,2,CROQUIS!$C$98-2,2,0),((CROQUIS!$C$107/2+(((CROQUIS!$C$97)-CROQUIS!$C$107)-(MAX(1,INT(((CROQUIS!$C$97)-CROQUIS!$C$107)/MAX((CROQUIS!$C$137*MAX(1,CEILING((INT(((CROQUIS!$C$97)-CROQUIS!$C$107)/MAX(CROQUIS!$C$137,1))+1)/80,1))),1))+1)-1)*(CROQUIS!$C$137*MAX(1,CEILING((INT(((CROQUIS!$C$97)-CROQUIS!$C$107)/MAX(CROQUIS!$C$137,1))+1)/80,1))))/2)+MIN(INT(($A50-1)/5),MAX((MAX(1,INT(((CROQUIS!$C$97)-CROQUIS!$C$107)/MAX((CROQUIS!$C$137*MAX(1,CEILING((INT(((CROQUIS!$C$97)-CROQUIS!$C$107)/MAX(CROQUIS!$C$137,1))+1)/80,1))),1))+1))-1,0))*(CROQUIS!$C$137*MAX(1,CEILING((INT(((CROQUIS!$C$97)-CROQUIS!$C$107)/MAX(CROQUIS!$C$137,1))+1)/80,1))))))*CROQUIS!$C$159)+IF(CROQUIS!$C$92="X",0,0)),-1000)</f>
        <v>-1000</v>
      </c>
      <c r="BR50">
        <f>IF(AND(CROQUIS!$C$88=1,CROQUIS!$C$91=0,CROQUIS!$C$133&gt;0,OR(CROQUIS!$C$103=1,CROQUIS!$C$145=1)),((CROQUIS!$C$160+(IF(CROQUIS!$C$92="X",CHOOSE(IF(INT(($A50-1)/5)&gt;MAX((MAX(1,INT(((CROQUIS!$C$98)-CROQUIS!$C$107)/MAX((CROQUIS!$C$133*MAX(1,CEILING((INT(((CROQUIS!$C$98)-CROQUIS!$C$107)/MAX(CROQUIS!$C$133,1))+1)/80,1))),1))+1))-1,0),0,MOD($A50-1,5))+1,0,IF(CROQUIS!$C$103=1,-12,2),CROQUIS!$C$107/2+CROQUIS!$C$143,IF(CROQUIS!$C$103=1,-12,2),0),((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BS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+1,0,IF(CROQUIS!$C$103=1,-12,2),CROQUIS!$C$107/2+CROQUIS!$C$143,IF(CROQUIS!$C$103=1,-12,2),0)))*CROQUIS!$C$159)+IF(CROQUIS!$C$92="X",0.8,0)),-1000)</f>
        <v>-1000</v>
      </c>
      <c r="BT50">
        <f>IF(AND(CROQUIS!$C$88=1,CROQUIS!$C$91=0,CROQUIS!$C$133&gt;0,OR(CROQUIS!$C$104=1,CROQUIS!$C$145=1)),((CROQUIS!$C$160+(IF(CROQUIS!$C$92="X",CHOOSE(IF(INT(($A50-1)/5)&gt;MAX((MAX(1,INT(((CROQUIS!$C$98)-CROQUIS!$C$107)/MAX((CROQUIS!$C$133*MAX(1,CEILING((INT(((CROQUIS!$C$98)-CROQUIS!$C$107)/MAX(CROQUIS!$C$133,1))+1)/80,1))),1))+1))-1,0),0,MOD($A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BU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CROQUIS!$C$97,CROQUIS!$C$97-CROQUIS!$C$107/2-CROQUIS!$C$143,IF(CROQUIS!$C$104=1,CROQUIS!$C$97+12,CROQUIS!$C$97-2),CROQUIS!$C$97-CROQUIS!$C$107/2-CROQUIS!$C$143,CROQUIS!$C$97)))*CROQUIS!$C$159)+IF(CROQUIS!$C$92="X",0.8,0)),-1000)</f>
        <v>-1000</v>
      </c>
      <c r="BV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HOOSE(IF(INT(($A50-1)/5)&gt;MAX((MAX(1,INT(((CROQUIS!$C$97)-CROQUIS!$C$107)/MAX((CROQUIS!$C$141*MAX(1,CEILING((INT(((CROQUIS!$C$97)-CROQUIS!$C$107)/MAX(CROQUIS!$C$141,1))+1)/80,1))),1))+1))-1,0),0,MOD($A50-1,5))+1,0,IF(CROQUIS!$C$105=1,-12,2),CROQUIS!$C$107/2+CROQUIS!$C$144,IF(CROQUIS!$C$105=1,-12,2),0)))*CROQUIS!$C$159)+IF(CROQUIS!$C$92="X",0.8,0)),-1000)</f>
        <v>-1000</v>
      </c>
      <c r="BW50">
        <f>IF(AND(CROQUIS!$C$88=1,CROQUIS!$C$91=0,CROQUIS!$C$141&gt;0,OR(CROQUIS!$C$105=1,CROQUIS!$C$146=1)),((CROQUIS!$C$161+(IF(CROQUIS!$C$92="X",CHOOSE(IF(INT(($A50-1)/5)&gt;MAX((MAX(1,INT(((CROQUIS!$C$97)-CROQUIS!$C$107)/MAX((CROQUIS!$C$141*MAX(1,CEILING((INT(((CROQUIS!$C$97)-CROQUIS!$C$107)/MAX(CROQUIS!$C$141,1))+1)/80,1))),1))+1))-1,0),0,MOD($A50-1,5))+1,0,IF(CROQUIS!$C$105=1,-12,2),CROQUIS!$C$107/2+CROQUIS!$C$144,IF(CROQUIS!$C$105=1,-12,2),0),((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ROQUIS!$C$159)+IF(CROQUIS!$C$92="X",0,0.8)),-1000)</f>
        <v>-1000</v>
      </c>
      <c r="BX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HOOSE(IF(INT(($A50-1)/5)&gt;MAX((MAX(1,INT(((CROQUIS!$C$97)-CROQUIS!$C$107)/MAX((CROQUIS!$C$141*MAX(1,CEILING((INT(((CROQUIS!$C$97)-CROQUIS!$C$107)/MAX(CROQUIS!$C$141,1))+1)/80,1))),1))+1))-1,0),0,MOD($A50-1,5))+1,CROQUIS!$C$98,CROQUIS!$C$98-CROQUIS!$C$107/2-CROQUIS!$C$144,IF(CROQUIS!$C$106=1,CROQUIS!$C$98+12,CROQUIS!$C$98-2),CROQUIS!$C$98-CROQUIS!$C$107/2-CROQUIS!$C$144,CROQUIS!$C$98)))*CROQUIS!$C$159)+IF(CROQUIS!$C$92="X",0.8,0)),-1000)</f>
        <v>-1000</v>
      </c>
      <c r="BY50">
        <f>IF(AND(CROQUIS!$C$88=1,CROQUIS!$C$91=0,CROQUIS!$C$141&gt;0,OR(CROQUIS!$C$106=1,CROQUIS!$C$146=1)),((CROQUIS!$C$161+(IF(CROQUIS!$C$92="X",CHOOSE(IF(INT(($A50-1)/5)&gt;MAX((MAX(1,INT(((CROQUIS!$C$97)-CROQUIS!$C$107)/MAX((CROQUIS!$C$141*MAX(1,CEILING((INT(((CROQUIS!$C$97)-CROQUIS!$C$107)/MAX(CROQUIS!$C$141,1))+1)/80,1))),1))+1))-1,0),0,MOD($A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ROQUIS!$C$159)+IF(CROQUIS!$C$92="X",0,0.8)),-1000)</f>
        <v>-1000</v>
      </c>
      <c r="BZ50">
        <f>IF(AND(CROQUIS!$C$88=1,CROQUIS!$C$91=1,CROQUIS!$C$133&gt;0),((CROQUIS!$C$160+(IF(CROQUIS!$C$92="X",CHOOSE(IF(INT(($A50-1)/5)&gt;MAX((MAX(1,INT(((CROQUIS!$C$98)-CROQUIS!$C$107)/MAX((CROQUIS!$C$133*MAX(1,CEILING((INT(((CROQUIS!$C$98)-CROQUIS!$C$107)/MAX(CROQUIS!$C$133,1))+1)/80,1))),1))+1))-1,0),0,MOD($A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CA50">
        <f>IF(AND(CROQUIS!$C$88=1,CROQUIS!$C$91=1,CROQUIS!$C$133&gt;0),((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1">
      <c r="A51" t="n">
        <v>44</v>
      </c>
      <c r="AJ51">
        <f>IF(AND(CROQUIS!$C$87=1,CROQUIS!$C$162&gt;0,CROQUIS!$C$164&gt;0),(CROQUIS!$C$160+((CROQUIS!$C$163+INT(MIN(INT(($A51-1)/2),MAX((2*CROQUIS!$C$162)-1,0))/2)*CROQUIS!$C$116+MOD(MIN(INT(($A51-1)/2),MAX((2*CROQUIS!$C$162)-1,0)),2)*CROQUIS!$C$114))*CROQUIS!$C$159),-1000)</f>
        <v>81.3375508359693</v>
      </c>
      <c r="AK51">
        <f>IF(AND(CROQUIS!$C$87=1,CROQUIS!$C$162&gt;0,CROQUIS!$C$164&gt;0),(CROQUIS!$C$161+(IF(MOD(MIN(INT(($A51-1)/2),MAX((2*CROQUIS!$C$162)-1,0)),2)=0,IF(IF(INT(($A51-1)/2)&gt;MAX((2*CROQUIS!$C$162)-1,0),1,MOD($A51-1,2))=0,CROQUIS!$C$165,(CROQUIS!$C$165+(CROQUIS!$C$164-1)*CROQUIS!$C$116+CROQUIS!$C$115)),IF(IF(INT(($A51-1)/2)&gt;MAX((2*CROQUIS!$C$162)-1,0),1,MOD($A51-1,2))=0,(CROQUIS!$C$165+(CROQUIS!$C$164-1)*CROQUIS!$C$116+CROQUIS!$C$115),CROQUIS!$C$165)))*CROQUIS!$C$159),-1000)</f>
        <v>20.8088567555355</v>
      </c>
      <c r="AL51">
        <f>IF(AND(CROQUIS!$C$87=1,CROQUIS!$C$164&gt;0,CROQUIS!$C$162&gt;0),(CROQUIS!$C$160+(IF(MOD(MIN(INT(($A51-1)/2),MAX((2*CROQUIS!$C$164)-1,0)),2)=0,IF(IF(INT(($A51-1)/2)&gt;MAX((2*CROQUIS!$C$164)-1,0),1,MOD($A51-1,2))=0,CROQUIS!$C$163,(CROQUIS!$C$163+(CROQUIS!$C$162-1)*CROQUIS!$C$116+CROQUIS!$C$114)),IF(IF(INT(($A51-1)/2)&gt;MAX((2*CROQUIS!$C$164)-1,0),1,MOD($A51-1,2))=0,(CROQUIS!$C$163+(CROQUIS!$C$162-1)*CROQUIS!$C$116+CROQUIS!$C$114),CROQUIS!$C$163)))*CROQUIS!$C$159),-1000)</f>
        <v>22.9552643470402</v>
      </c>
      <c r="AM51">
        <f>IF(AND(CROQUIS!$C$87=1,CROQUIS!$C$164&gt;0,CROQUIS!$C$162&gt;0),(CROQUIS!$C$161+((CROQUIS!$C$165+INT(MIN(INT(($A51-1)/2),MAX((2*CROQUIS!$C$164)-1,0))/2)*CROQUIS!$C$116+MOD(MIN(INT(($A51-1)/2),MAX((2*CROQUIS!$C$164)-1,0)),2)*CROQUIS!$C$115))*CROQUIS!$C$159),-1000)</f>
        <v>79.1911432444645</v>
      </c>
      <c r="AN51">
        <f>IF(AND(CROQUIS!$C$87=1,CROQUIS!$C$162&gt;=2),(CROQUIS!$C$160+((CROQUIS!$C$163+CROQUIS!$C$114+(CROQUIS!$C$116-CROQUIS!$C$114)/2+MIN(INT(($A51-1)/2),MAX((CROQUIS!$C$162-1)-1,0))*CROQUIS!$C$116))*CROQUIS!$C$159),-1000)</f>
        <v>70.1762313601446</v>
      </c>
      <c r="AO51">
        <f>IF(AND(CROQUIS!$C$87=1,CROQUIS!$C$162&gt;=2),(CROQUIS!$C$161+(IF(MOD(MIN(INT(($A51-1)/2),MAX((CROQUIS!$C$162-1)-1,0)),2)=0,IF(IF(INT(($A51-1)/2)&gt;MAX((CROQUIS!$C$162-1)-1,0),1,MOD($A51-1,2))=0,CROQUIS!$C$107/2,(CROQUIS!$C$96-CROQUIS!$C$107/2)),IF(IF(INT(($A51-1)/2)&gt;MAX((CROQUIS!$C$162-1)-1,0),1,MOD($A51-1,2))=0,(CROQUIS!$C$96-CROQUIS!$C$107/2),CROQUIS!$C$107/2)))*CROQUIS!$C$159),-1000)</f>
        <v>16.9453230908269</v>
      </c>
      <c r="AP51">
        <f>IF(AND(CROQUIS!$C$87=1,CROQUIS!$C$164&gt;=2),(CROQUIS!$C$160+(IF(MOD(MIN(INT(($A51-1)/2),MAX((CROQUIS!$C$164-1)-1,0)),2)=0,IF(IF(INT(($A51-1)/2)&gt;MAX((CROQUIS!$C$164-1)-1,0),1,MOD($A51-1,2))=0,CROQUIS!$C$107/2,(CROQUIS!$C$95-CROQUIS!$C$107/2)),IF(IF(INT(($A51-1)/2)&gt;MAX((CROQUIS!$C$164-1)-1,0),1,MOD($A51-1,2))=0,(CROQUIS!$C$95-CROQUIS!$C$107/2),CROQUIS!$C$107/2)))*CROQUIS!$C$159),-1000)</f>
        <v>13.2878445549028</v>
      </c>
      <c r="AQ51">
        <f>IF(AND(CROQUIS!$C$87=1,CROQUIS!$C$164&gt;=2),(CROQUIS!$C$161+((CROQUIS!$C$165+CROQUIS!$C$115+(CROQUIS!$C$116-CROQUIS!$C$115)/2+MIN(INT(($A51-1)/2),MAX((CROQUIS!$C$164-1)-1,0))*CROQUIS!$C$116))*CROQUIS!$C$159),-1000)</f>
        <v>68.0298237686399</v>
      </c>
      <c r="BN51">
        <f>IF(AND(CROQUIS!$C$88=1,CROQUIS!$C$129&gt;0),((CROQUIS!$C$160+(IF(CROQUIS!$C$92="X",CHOOSE(IF(INT(($A51-1)/5)&gt;MAX((MAX(1,INT(((CROQUIS!$C$98)-CROQUIS!$C$107)/MAX((CROQUIS!$C$129*MAX(1,CEILING((INT(((CROQUIS!$C$98)-CROQUIS!$C$107)/MAX(CROQUIS!$C$129,1))+1)/80,1))),1))+1))-1,0),0,MOD($A51-1,5))+1,0,2,CROQUIS!$C$97-2,2,0),((CROQUIS!$C$107/2+(((CROQUIS!$C$98)-CROQUIS!$C$107)-(MAX(1,INT(((CROQUIS!$C$98)-CROQUIS!$C$107)/MAX((CROQUIS!$C$129*MAX(1,CEILING((INT(((CROQUIS!$C$98)-CROQUIS!$C$107)/MAX(CROQUIS!$C$129,1))+1)/80,1))),1))+1)-1)*(CROQUIS!$C$129*MAX(1,CEILING((INT(((CROQUIS!$C$98)-CROQUIS!$C$107)/MAX(CROQUIS!$C$129,1))+1)/80,1))))/2)+MIN(INT(($A51-1)/5),MAX((MAX(1,INT(((CROQUIS!$C$98)-CROQUIS!$C$107)/MAX((CROQUIS!$C$129*MAX(1,CEILING((INT(((CROQUIS!$C$98)-CROQUIS!$C$107)/MAX(CROQUIS!$C$129,1))+1)/80,1))),1))+1))-1,0))*(CROQUIS!$C$129*MAX(1,CEILING((INT(((CROQUIS!$C$98)-CROQUIS!$C$107)/MAX(CROQUIS!$C$129,1))+1)/80,1))))))*CROQUIS!$C$159)+IF(CROQUIS!$C$92="X",0,0)),-1000)</f>
        <v>-1000</v>
      </c>
      <c r="BO51">
        <f>IF(AND(CROQUIS!$C$88=1,CROQUIS!$C$129&gt;0),((CROQUIS!$C$161+(IF(CROQUIS!$C$92="X",((CROQUIS!$C$107/2+(((CROQUIS!$C$98)-CROQUIS!$C$107)-(MAX(1,INT(((CROQUIS!$C$98)-CROQUIS!$C$107)/MAX((CROQUIS!$C$129*MAX(1,CEILING((INT(((CROQUIS!$C$98)-CROQUIS!$C$107)/MAX(CROQUIS!$C$129,1))+1)/80,1))),1))+1)-1)*(CROQUIS!$C$129*MAX(1,CEILING((INT(((CROQUIS!$C$98)-CROQUIS!$C$107)/MAX(CROQUIS!$C$129,1))+1)/80,1))))/2)+MIN(INT(($A51-1)/5),MAX((MAX(1,INT(((CROQUIS!$C$98)-CROQUIS!$C$107)/MAX((CROQUIS!$C$129*MAX(1,CEILING((INT(((CROQUIS!$C$98)-CROQUIS!$C$107)/MAX(CROQUIS!$C$129,1))+1)/80,1))),1))+1))-1,0))*(CROQUIS!$C$129*MAX(1,CEILING((INT(((CROQUIS!$C$98)-CROQUIS!$C$107)/MAX(CROQUIS!$C$129,1))+1)/80,1)))),CHOOSE(IF(INT(($A51-1)/5)&gt;MAX((MAX(1,INT(((CROQUIS!$C$98)-CROQUIS!$C$107)/MAX((CROQUIS!$C$129*MAX(1,CEILING((INT(((CROQUIS!$C$98)-CROQUIS!$C$107)/MAX(CROQUIS!$C$129,1))+1)/80,1))),1))+1))-1,0),0,MOD($A51-1,5))+1,0,2,CROQUIS!$C$97-2,2,0)))*CROQUIS!$C$159)+IF(CROQUIS!$C$92="X",0,0)),-1000)</f>
        <v>-1000</v>
      </c>
      <c r="BP51">
        <f>IF(AND(CROQUIS!$C$88=1,CROQUIS!$C$137&gt;0),((CROQUIS!$C$160+(IF(CROQUIS!$C$92="X",((CROQUIS!$C$107/2+(((CROQUIS!$C$97)-CROQUIS!$C$107)-(MAX(1,INT(((CROQUIS!$C$97)-CROQUIS!$C$107)/MAX((CROQUIS!$C$137*MAX(1,CEILING((INT(((CROQUIS!$C$97)-CROQUIS!$C$107)/MAX(CROQUIS!$C$137,1))+1)/80,1))),1))+1)-1)*(CROQUIS!$C$137*MAX(1,CEILING((INT(((CROQUIS!$C$97)-CROQUIS!$C$107)/MAX(CROQUIS!$C$137,1))+1)/80,1))))/2)+MIN(INT(($A51-1)/5),MAX((MAX(1,INT(((CROQUIS!$C$97)-CROQUIS!$C$107)/MAX((CROQUIS!$C$137*MAX(1,CEILING((INT(((CROQUIS!$C$97)-CROQUIS!$C$107)/MAX(CROQUIS!$C$137,1))+1)/80,1))),1))+1))-1,0))*(CROQUIS!$C$137*MAX(1,CEILING((INT(((CROQUIS!$C$97)-CROQUIS!$C$107)/MAX(CROQUIS!$C$137,1))+1)/80,1)))),CHOOSE(IF(INT(($A51-1)/5)&gt;MAX((MAX(1,INT(((CROQUIS!$C$97)-CROQUIS!$C$107)/MAX((CROQUIS!$C$137*MAX(1,CEILING((INT(((CROQUIS!$C$97)-CROQUIS!$C$107)/MAX(CROQUIS!$C$137,1))+1)/80,1))),1))+1))-1,0),0,MOD($A51-1,5))+1,0,2,CROQUIS!$C$98-2,2,0)))*CROQUIS!$C$159)+IF(CROQUIS!$C$92="X",0,0)),-1000)</f>
        <v>-1000</v>
      </c>
      <c r="BQ51">
        <f>IF(AND(CROQUIS!$C$88=1,CROQUIS!$C$137&gt;0),((CROQUIS!$C$161+(IF(CROQUIS!$C$92="X",CHOOSE(IF(INT(($A51-1)/5)&gt;MAX((MAX(1,INT(((CROQUIS!$C$97)-CROQUIS!$C$107)/MAX((CROQUIS!$C$137*MAX(1,CEILING((INT(((CROQUIS!$C$97)-CROQUIS!$C$107)/MAX(CROQUIS!$C$137,1))+1)/80,1))),1))+1))-1,0),0,MOD($A51-1,5))+1,0,2,CROQUIS!$C$98-2,2,0),((CROQUIS!$C$107/2+(((CROQUIS!$C$97)-CROQUIS!$C$107)-(MAX(1,INT(((CROQUIS!$C$97)-CROQUIS!$C$107)/MAX((CROQUIS!$C$137*MAX(1,CEILING((INT(((CROQUIS!$C$97)-CROQUIS!$C$107)/MAX(CROQUIS!$C$137,1))+1)/80,1))),1))+1)-1)*(CROQUIS!$C$137*MAX(1,CEILING((INT(((CROQUIS!$C$97)-CROQUIS!$C$107)/MAX(CROQUIS!$C$137,1))+1)/80,1))))/2)+MIN(INT(($A51-1)/5),MAX((MAX(1,INT(((CROQUIS!$C$97)-CROQUIS!$C$107)/MAX((CROQUIS!$C$137*MAX(1,CEILING((INT(((CROQUIS!$C$97)-CROQUIS!$C$107)/MAX(CROQUIS!$C$137,1))+1)/80,1))),1))+1))-1,0))*(CROQUIS!$C$137*MAX(1,CEILING((INT(((CROQUIS!$C$97)-CROQUIS!$C$107)/MAX(CROQUIS!$C$137,1))+1)/80,1))))))*CROQUIS!$C$159)+IF(CROQUIS!$C$92="X",0,0)),-1000)</f>
        <v>-1000</v>
      </c>
      <c r="BR51">
        <f>IF(AND(CROQUIS!$C$88=1,CROQUIS!$C$91=0,CROQUIS!$C$133&gt;0,OR(CROQUIS!$C$103=1,CROQUIS!$C$145=1)),((CROQUIS!$C$160+(IF(CROQUIS!$C$92="X",CHOOSE(IF(INT(($A51-1)/5)&gt;MAX((MAX(1,INT(((CROQUIS!$C$98)-CROQUIS!$C$107)/MAX((CROQUIS!$C$133*MAX(1,CEILING((INT(((CROQUIS!$C$98)-CROQUIS!$C$107)/MAX(CROQUIS!$C$133,1))+1)/80,1))),1))+1))-1,0),0,MOD($A51-1,5))+1,0,IF(CROQUIS!$C$103=1,-12,2),CROQUIS!$C$107/2+CROQUIS!$C$143,IF(CROQUIS!$C$103=1,-12,2),0),((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BS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+1,0,IF(CROQUIS!$C$103=1,-12,2),CROQUIS!$C$107/2+CROQUIS!$C$143,IF(CROQUIS!$C$103=1,-12,2),0)))*CROQUIS!$C$159)+IF(CROQUIS!$C$92="X",0.8,0)),-1000)</f>
        <v>-1000</v>
      </c>
      <c r="BT51">
        <f>IF(AND(CROQUIS!$C$88=1,CROQUIS!$C$91=0,CROQUIS!$C$133&gt;0,OR(CROQUIS!$C$104=1,CROQUIS!$C$145=1)),((CROQUIS!$C$160+(IF(CROQUIS!$C$92="X",CHOOSE(IF(INT(($A51-1)/5)&gt;MAX((MAX(1,INT(((CROQUIS!$C$98)-CROQUIS!$C$107)/MAX((CROQUIS!$C$133*MAX(1,CEILING((INT(((CROQUIS!$C$98)-CROQUIS!$C$107)/MAX(CROQUIS!$C$133,1))+1)/80,1))),1))+1))-1,0),0,MOD($A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BU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CROQUIS!$C$97,CROQUIS!$C$97-CROQUIS!$C$107/2-CROQUIS!$C$143,IF(CROQUIS!$C$104=1,CROQUIS!$C$97+12,CROQUIS!$C$97-2),CROQUIS!$C$97-CROQUIS!$C$107/2-CROQUIS!$C$143,CROQUIS!$C$97)))*CROQUIS!$C$159)+IF(CROQUIS!$C$92="X",0.8,0)),-1000)</f>
        <v>-1000</v>
      </c>
      <c r="BV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HOOSE(IF(INT(($A51-1)/5)&gt;MAX((MAX(1,INT(((CROQUIS!$C$97)-CROQUIS!$C$107)/MAX((CROQUIS!$C$141*MAX(1,CEILING((INT(((CROQUIS!$C$97)-CROQUIS!$C$107)/MAX(CROQUIS!$C$141,1))+1)/80,1))),1))+1))-1,0),0,MOD($A51-1,5))+1,0,IF(CROQUIS!$C$105=1,-12,2),CROQUIS!$C$107/2+CROQUIS!$C$144,IF(CROQUIS!$C$105=1,-12,2),0)))*CROQUIS!$C$159)+IF(CROQUIS!$C$92="X",0.8,0)),-1000)</f>
        <v>-1000</v>
      </c>
      <c r="BW51">
        <f>IF(AND(CROQUIS!$C$88=1,CROQUIS!$C$91=0,CROQUIS!$C$141&gt;0,OR(CROQUIS!$C$105=1,CROQUIS!$C$146=1)),((CROQUIS!$C$161+(IF(CROQUIS!$C$92="X",CHOOSE(IF(INT(($A51-1)/5)&gt;MAX((MAX(1,INT(((CROQUIS!$C$97)-CROQUIS!$C$107)/MAX((CROQUIS!$C$141*MAX(1,CEILING((INT(((CROQUIS!$C$97)-CROQUIS!$C$107)/MAX(CROQUIS!$C$141,1))+1)/80,1))),1))+1))-1,0),0,MOD($A51-1,5))+1,0,IF(CROQUIS!$C$105=1,-12,2),CROQUIS!$C$107/2+CROQUIS!$C$144,IF(CROQUIS!$C$105=1,-12,2),0),((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ROQUIS!$C$159)+IF(CROQUIS!$C$92="X",0,0.8)),-1000)</f>
        <v>-1000</v>
      </c>
      <c r="BX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HOOSE(IF(INT(($A51-1)/5)&gt;MAX((MAX(1,INT(((CROQUIS!$C$97)-CROQUIS!$C$107)/MAX((CROQUIS!$C$141*MAX(1,CEILING((INT(((CROQUIS!$C$97)-CROQUIS!$C$107)/MAX(CROQUIS!$C$141,1))+1)/80,1))),1))+1))-1,0),0,MOD($A51-1,5))+1,CROQUIS!$C$98,CROQUIS!$C$98-CROQUIS!$C$107/2-CROQUIS!$C$144,IF(CROQUIS!$C$106=1,CROQUIS!$C$98+12,CROQUIS!$C$98-2),CROQUIS!$C$98-CROQUIS!$C$107/2-CROQUIS!$C$144,CROQUIS!$C$98)))*CROQUIS!$C$159)+IF(CROQUIS!$C$92="X",0.8,0)),-1000)</f>
        <v>-1000</v>
      </c>
      <c r="BY51">
        <f>IF(AND(CROQUIS!$C$88=1,CROQUIS!$C$91=0,CROQUIS!$C$141&gt;0,OR(CROQUIS!$C$106=1,CROQUIS!$C$146=1)),((CROQUIS!$C$161+(IF(CROQUIS!$C$92="X",CHOOSE(IF(INT(($A51-1)/5)&gt;MAX((MAX(1,INT(((CROQUIS!$C$97)-CROQUIS!$C$107)/MAX((CROQUIS!$C$141*MAX(1,CEILING((INT(((CROQUIS!$C$97)-CROQUIS!$C$107)/MAX(CROQUIS!$C$141,1))+1)/80,1))),1))+1))-1,0),0,MOD($A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ROQUIS!$C$159)+IF(CROQUIS!$C$92="X",0,0.8)),-1000)</f>
        <v>-1000</v>
      </c>
      <c r="BZ51">
        <f>IF(AND(CROQUIS!$C$88=1,CROQUIS!$C$91=1,CROQUIS!$C$133&gt;0),((CROQUIS!$C$160+(IF(CROQUIS!$C$92="X",CHOOSE(IF(INT(($A51-1)/5)&gt;MAX((MAX(1,INT(((CROQUIS!$C$98)-CROQUIS!$C$107)/MAX((CROQUIS!$C$133*MAX(1,CEILING((INT(((CROQUIS!$C$98)-CROQUIS!$C$107)/MAX(CROQUIS!$C$133,1))+1)/80,1))),1))+1))-1,0),0,MOD($A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CA51">
        <f>IF(AND(CROQUIS!$C$88=1,CROQUIS!$C$91=1,CROQUIS!$C$133&gt;0),((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2">
      <c r="A52" t="n">
        <v>45</v>
      </c>
      <c r="AJ52">
        <f>IF(AND(CROQUIS!$C$87=1,CROQUIS!$C$162&gt;0,CROQUIS!$C$164&gt;0),(CROQUIS!$C$160+((CROQUIS!$C$163+INT(MIN(INT(($A52-1)/2),MAX((2*CROQUIS!$C$162)-1,0))/2)*CROQUIS!$C$116+MOD(MIN(INT(($A52-1)/2),MAX((2*CROQUIS!$C$162)-1,0)),2)*CROQUIS!$C$114))*CROQUIS!$C$159),-1000)</f>
        <v>81.3375508359693</v>
      </c>
      <c r="AK52">
        <f>IF(AND(CROQUIS!$C$87=1,CROQUIS!$C$162&gt;0,CROQUIS!$C$164&gt;0),(CROQUIS!$C$161+(IF(MOD(MIN(INT(($A52-1)/2),MAX((2*CROQUIS!$C$162)-1,0)),2)=0,IF(IF(INT(($A52-1)/2)&gt;MAX((2*CROQUIS!$C$162)-1,0),1,MOD($A52-1,2))=0,CROQUIS!$C$165,(CROQUIS!$C$165+(CROQUIS!$C$164-1)*CROQUIS!$C$116+CROQUIS!$C$115)),IF(IF(INT(($A52-1)/2)&gt;MAX((2*CROQUIS!$C$162)-1,0),1,MOD($A52-1,2))=0,(CROQUIS!$C$165+(CROQUIS!$C$164-1)*CROQUIS!$C$116+CROQUIS!$C$115),CROQUIS!$C$165)))*CROQUIS!$C$159),-1000)</f>
        <v>20.8088567555355</v>
      </c>
      <c r="AL52">
        <f>IF(AND(CROQUIS!$C$87=1,CROQUIS!$C$164&gt;0,CROQUIS!$C$162&gt;0),(CROQUIS!$C$160+(IF(MOD(MIN(INT(($A52-1)/2),MAX((2*CROQUIS!$C$164)-1,0)),2)=0,IF(IF(INT(($A52-1)/2)&gt;MAX((2*CROQUIS!$C$164)-1,0),1,MOD($A52-1,2))=0,CROQUIS!$C$163,(CROQUIS!$C$163+(CROQUIS!$C$162-1)*CROQUIS!$C$116+CROQUIS!$C$114)),IF(IF(INT(($A52-1)/2)&gt;MAX((2*CROQUIS!$C$164)-1,0),1,MOD($A52-1,2))=0,(CROQUIS!$C$163+(CROQUIS!$C$162-1)*CROQUIS!$C$116+CROQUIS!$C$114),CROQUIS!$C$163)))*CROQUIS!$C$159),-1000)</f>
        <v>22.9552643470402</v>
      </c>
      <c r="AM52">
        <f>IF(AND(CROQUIS!$C$87=1,CROQUIS!$C$164&gt;0,CROQUIS!$C$162&gt;0),(CROQUIS!$C$161+((CROQUIS!$C$165+INT(MIN(INT(($A52-1)/2),MAX((2*CROQUIS!$C$164)-1,0))/2)*CROQUIS!$C$116+MOD(MIN(INT(($A52-1)/2),MAX((2*CROQUIS!$C$164)-1,0)),2)*CROQUIS!$C$115))*CROQUIS!$C$159),-1000)</f>
        <v>79.1911432444645</v>
      </c>
      <c r="AN52">
        <f>IF(AND(CROQUIS!$C$87=1,CROQUIS!$C$162&gt;=2),(CROQUIS!$C$160+((CROQUIS!$C$163+CROQUIS!$C$114+(CROQUIS!$C$116-CROQUIS!$C$114)/2+MIN(INT(($A52-1)/2),MAX((CROQUIS!$C$162-1)-1,0))*CROQUIS!$C$116))*CROQUIS!$C$159),-1000)</f>
        <v>70.1762313601446</v>
      </c>
      <c r="AO52">
        <f>IF(AND(CROQUIS!$C$87=1,CROQUIS!$C$162&gt;=2),(CROQUIS!$C$161+(IF(MOD(MIN(INT(($A52-1)/2),MAX((CROQUIS!$C$162-1)-1,0)),2)=0,IF(IF(INT(($A52-1)/2)&gt;MAX((CROQUIS!$C$162-1)-1,0),1,MOD($A52-1,2))=0,CROQUIS!$C$107/2,(CROQUIS!$C$96-CROQUIS!$C$107/2)),IF(IF(INT(($A52-1)/2)&gt;MAX((CROQUIS!$C$162-1)-1,0),1,MOD($A52-1,2))=0,(CROQUIS!$C$96-CROQUIS!$C$107/2),CROQUIS!$C$107/2)))*CROQUIS!$C$159),-1000)</f>
        <v>16.9453230908269</v>
      </c>
      <c r="AP52">
        <f>IF(AND(CROQUIS!$C$87=1,CROQUIS!$C$164&gt;=2),(CROQUIS!$C$160+(IF(MOD(MIN(INT(($A52-1)/2),MAX((CROQUIS!$C$164-1)-1,0)),2)=0,IF(IF(INT(($A52-1)/2)&gt;MAX((CROQUIS!$C$164-1)-1,0),1,MOD($A52-1,2))=0,CROQUIS!$C$107/2,(CROQUIS!$C$95-CROQUIS!$C$107/2)),IF(IF(INT(($A52-1)/2)&gt;MAX((CROQUIS!$C$164-1)-1,0),1,MOD($A52-1,2))=0,(CROQUIS!$C$95-CROQUIS!$C$107/2),CROQUIS!$C$107/2)))*CROQUIS!$C$159),-1000)</f>
        <v>13.2878445549028</v>
      </c>
      <c r="AQ52">
        <f>IF(AND(CROQUIS!$C$87=1,CROQUIS!$C$164&gt;=2),(CROQUIS!$C$161+((CROQUIS!$C$165+CROQUIS!$C$115+(CROQUIS!$C$116-CROQUIS!$C$115)/2+MIN(INT(($A52-1)/2),MAX((CROQUIS!$C$164-1)-1,0))*CROQUIS!$C$116))*CROQUIS!$C$159),-1000)</f>
        <v>68.0298237686399</v>
      </c>
      <c r="BN52">
        <f>IF(AND(CROQUIS!$C$88=1,CROQUIS!$C$129&gt;0),((CROQUIS!$C$160+(IF(CROQUIS!$C$92="X",CHOOSE(IF(INT(($A52-1)/5)&gt;MAX((MAX(1,INT(((CROQUIS!$C$98)-CROQUIS!$C$107)/MAX((CROQUIS!$C$129*MAX(1,CEILING((INT(((CROQUIS!$C$98)-CROQUIS!$C$107)/MAX(CROQUIS!$C$129,1))+1)/80,1))),1))+1))-1,0),0,MOD($A52-1,5))+1,0,2,CROQUIS!$C$97-2,2,0),((CROQUIS!$C$107/2+(((CROQUIS!$C$98)-CROQUIS!$C$107)-(MAX(1,INT(((CROQUIS!$C$98)-CROQUIS!$C$107)/MAX((CROQUIS!$C$129*MAX(1,CEILING((INT(((CROQUIS!$C$98)-CROQUIS!$C$107)/MAX(CROQUIS!$C$129,1))+1)/80,1))),1))+1)-1)*(CROQUIS!$C$129*MAX(1,CEILING((INT(((CROQUIS!$C$98)-CROQUIS!$C$107)/MAX(CROQUIS!$C$129,1))+1)/80,1))))/2)+MIN(INT(($A52-1)/5),MAX((MAX(1,INT(((CROQUIS!$C$98)-CROQUIS!$C$107)/MAX((CROQUIS!$C$129*MAX(1,CEILING((INT(((CROQUIS!$C$98)-CROQUIS!$C$107)/MAX(CROQUIS!$C$129,1))+1)/80,1))),1))+1))-1,0))*(CROQUIS!$C$129*MAX(1,CEILING((INT(((CROQUIS!$C$98)-CROQUIS!$C$107)/MAX(CROQUIS!$C$129,1))+1)/80,1))))))*CROQUIS!$C$159)+IF(CROQUIS!$C$92="X",0,0)),-1000)</f>
        <v>-1000</v>
      </c>
      <c r="BO52">
        <f>IF(AND(CROQUIS!$C$88=1,CROQUIS!$C$129&gt;0),((CROQUIS!$C$161+(IF(CROQUIS!$C$92="X",((CROQUIS!$C$107/2+(((CROQUIS!$C$98)-CROQUIS!$C$107)-(MAX(1,INT(((CROQUIS!$C$98)-CROQUIS!$C$107)/MAX((CROQUIS!$C$129*MAX(1,CEILING((INT(((CROQUIS!$C$98)-CROQUIS!$C$107)/MAX(CROQUIS!$C$129,1))+1)/80,1))),1))+1)-1)*(CROQUIS!$C$129*MAX(1,CEILING((INT(((CROQUIS!$C$98)-CROQUIS!$C$107)/MAX(CROQUIS!$C$129,1))+1)/80,1))))/2)+MIN(INT(($A52-1)/5),MAX((MAX(1,INT(((CROQUIS!$C$98)-CROQUIS!$C$107)/MAX((CROQUIS!$C$129*MAX(1,CEILING((INT(((CROQUIS!$C$98)-CROQUIS!$C$107)/MAX(CROQUIS!$C$129,1))+1)/80,1))),1))+1))-1,0))*(CROQUIS!$C$129*MAX(1,CEILING((INT(((CROQUIS!$C$98)-CROQUIS!$C$107)/MAX(CROQUIS!$C$129,1))+1)/80,1)))),CHOOSE(IF(INT(($A52-1)/5)&gt;MAX((MAX(1,INT(((CROQUIS!$C$98)-CROQUIS!$C$107)/MAX((CROQUIS!$C$129*MAX(1,CEILING((INT(((CROQUIS!$C$98)-CROQUIS!$C$107)/MAX(CROQUIS!$C$129,1))+1)/80,1))),1))+1))-1,0),0,MOD($A52-1,5))+1,0,2,CROQUIS!$C$97-2,2,0)))*CROQUIS!$C$159)+IF(CROQUIS!$C$92="X",0,0)),-1000)</f>
        <v>-1000</v>
      </c>
      <c r="BP52">
        <f>IF(AND(CROQUIS!$C$88=1,CROQUIS!$C$137&gt;0),((CROQUIS!$C$160+(IF(CROQUIS!$C$92="X",((CROQUIS!$C$107/2+(((CROQUIS!$C$97)-CROQUIS!$C$107)-(MAX(1,INT(((CROQUIS!$C$97)-CROQUIS!$C$107)/MAX((CROQUIS!$C$137*MAX(1,CEILING((INT(((CROQUIS!$C$97)-CROQUIS!$C$107)/MAX(CROQUIS!$C$137,1))+1)/80,1))),1))+1)-1)*(CROQUIS!$C$137*MAX(1,CEILING((INT(((CROQUIS!$C$97)-CROQUIS!$C$107)/MAX(CROQUIS!$C$137,1))+1)/80,1))))/2)+MIN(INT(($A52-1)/5),MAX((MAX(1,INT(((CROQUIS!$C$97)-CROQUIS!$C$107)/MAX((CROQUIS!$C$137*MAX(1,CEILING((INT(((CROQUIS!$C$97)-CROQUIS!$C$107)/MAX(CROQUIS!$C$137,1))+1)/80,1))),1))+1))-1,0))*(CROQUIS!$C$137*MAX(1,CEILING((INT(((CROQUIS!$C$97)-CROQUIS!$C$107)/MAX(CROQUIS!$C$137,1))+1)/80,1)))),CHOOSE(IF(INT(($A52-1)/5)&gt;MAX((MAX(1,INT(((CROQUIS!$C$97)-CROQUIS!$C$107)/MAX((CROQUIS!$C$137*MAX(1,CEILING((INT(((CROQUIS!$C$97)-CROQUIS!$C$107)/MAX(CROQUIS!$C$137,1))+1)/80,1))),1))+1))-1,0),0,MOD($A52-1,5))+1,0,2,CROQUIS!$C$98-2,2,0)))*CROQUIS!$C$159)+IF(CROQUIS!$C$92="X",0,0)),-1000)</f>
        <v>-1000</v>
      </c>
      <c r="BQ52">
        <f>IF(AND(CROQUIS!$C$88=1,CROQUIS!$C$137&gt;0),((CROQUIS!$C$161+(IF(CROQUIS!$C$92="X",CHOOSE(IF(INT(($A52-1)/5)&gt;MAX((MAX(1,INT(((CROQUIS!$C$97)-CROQUIS!$C$107)/MAX((CROQUIS!$C$137*MAX(1,CEILING((INT(((CROQUIS!$C$97)-CROQUIS!$C$107)/MAX(CROQUIS!$C$137,1))+1)/80,1))),1))+1))-1,0),0,MOD($A52-1,5))+1,0,2,CROQUIS!$C$98-2,2,0),((CROQUIS!$C$107/2+(((CROQUIS!$C$97)-CROQUIS!$C$107)-(MAX(1,INT(((CROQUIS!$C$97)-CROQUIS!$C$107)/MAX((CROQUIS!$C$137*MAX(1,CEILING((INT(((CROQUIS!$C$97)-CROQUIS!$C$107)/MAX(CROQUIS!$C$137,1))+1)/80,1))),1))+1)-1)*(CROQUIS!$C$137*MAX(1,CEILING((INT(((CROQUIS!$C$97)-CROQUIS!$C$107)/MAX(CROQUIS!$C$137,1))+1)/80,1))))/2)+MIN(INT(($A52-1)/5),MAX((MAX(1,INT(((CROQUIS!$C$97)-CROQUIS!$C$107)/MAX((CROQUIS!$C$137*MAX(1,CEILING((INT(((CROQUIS!$C$97)-CROQUIS!$C$107)/MAX(CROQUIS!$C$137,1))+1)/80,1))),1))+1))-1,0))*(CROQUIS!$C$137*MAX(1,CEILING((INT(((CROQUIS!$C$97)-CROQUIS!$C$107)/MAX(CROQUIS!$C$137,1))+1)/80,1))))))*CROQUIS!$C$159)+IF(CROQUIS!$C$92="X",0,0)),-1000)</f>
        <v>-1000</v>
      </c>
      <c r="BR52">
        <f>IF(AND(CROQUIS!$C$88=1,CROQUIS!$C$91=0,CROQUIS!$C$133&gt;0,OR(CROQUIS!$C$103=1,CROQUIS!$C$145=1)),((CROQUIS!$C$160+(IF(CROQUIS!$C$92="X",CHOOSE(IF(INT(($A52-1)/5)&gt;MAX((MAX(1,INT(((CROQUIS!$C$98)-CROQUIS!$C$107)/MAX((CROQUIS!$C$133*MAX(1,CEILING((INT(((CROQUIS!$C$98)-CROQUIS!$C$107)/MAX(CROQUIS!$C$133,1))+1)/80,1))),1))+1))-1,0),0,MOD($A52-1,5))+1,0,IF(CROQUIS!$C$103=1,-12,2),CROQUIS!$C$107/2+CROQUIS!$C$143,IF(CROQUIS!$C$103=1,-12,2),0),((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BS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+1,0,IF(CROQUIS!$C$103=1,-12,2),CROQUIS!$C$107/2+CROQUIS!$C$143,IF(CROQUIS!$C$103=1,-12,2),0)))*CROQUIS!$C$159)+IF(CROQUIS!$C$92="X",0.8,0)),-1000)</f>
        <v>-1000</v>
      </c>
      <c r="BT52">
        <f>IF(AND(CROQUIS!$C$88=1,CROQUIS!$C$91=0,CROQUIS!$C$133&gt;0,OR(CROQUIS!$C$104=1,CROQUIS!$C$145=1)),((CROQUIS!$C$160+(IF(CROQUIS!$C$92="X",CHOOSE(IF(INT(($A52-1)/5)&gt;MAX((MAX(1,INT(((CROQUIS!$C$98)-CROQUIS!$C$107)/MAX((CROQUIS!$C$133*MAX(1,CEILING((INT(((CROQUIS!$C$98)-CROQUIS!$C$107)/MAX(CROQUIS!$C$133,1))+1)/80,1))),1))+1))-1,0),0,MOD($A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BU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CROQUIS!$C$97,CROQUIS!$C$97-CROQUIS!$C$107/2-CROQUIS!$C$143,IF(CROQUIS!$C$104=1,CROQUIS!$C$97+12,CROQUIS!$C$97-2),CROQUIS!$C$97-CROQUIS!$C$107/2-CROQUIS!$C$143,CROQUIS!$C$97)))*CROQUIS!$C$159)+IF(CROQUIS!$C$92="X",0.8,0)),-1000)</f>
        <v>-1000</v>
      </c>
      <c r="BV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HOOSE(IF(INT(($A52-1)/5)&gt;MAX((MAX(1,INT(((CROQUIS!$C$97)-CROQUIS!$C$107)/MAX((CROQUIS!$C$141*MAX(1,CEILING((INT(((CROQUIS!$C$97)-CROQUIS!$C$107)/MAX(CROQUIS!$C$141,1))+1)/80,1))),1))+1))-1,0),0,MOD($A52-1,5))+1,0,IF(CROQUIS!$C$105=1,-12,2),CROQUIS!$C$107/2+CROQUIS!$C$144,IF(CROQUIS!$C$105=1,-12,2),0)))*CROQUIS!$C$159)+IF(CROQUIS!$C$92="X",0.8,0)),-1000)</f>
        <v>-1000</v>
      </c>
      <c r="BW52">
        <f>IF(AND(CROQUIS!$C$88=1,CROQUIS!$C$91=0,CROQUIS!$C$141&gt;0,OR(CROQUIS!$C$105=1,CROQUIS!$C$146=1)),((CROQUIS!$C$161+(IF(CROQUIS!$C$92="X",CHOOSE(IF(INT(($A52-1)/5)&gt;MAX((MAX(1,INT(((CROQUIS!$C$97)-CROQUIS!$C$107)/MAX((CROQUIS!$C$141*MAX(1,CEILING((INT(((CROQUIS!$C$97)-CROQUIS!$C$107)/MAX(CROQUIS!$C$141,1))+1)/80,1))),1))+1))-1,0),0,MOD($A52-1,5))+1,0,IF(CROQUIS!$C$105=1,-12,2),CROQUIS!$C$107/2+CROQUIS!$C$144,IF(CROQUIS!$C$105=1,-12,2),0),((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ROQUIS!$C$159)+IF(CROQUIS!$C$92="X",0,0.8)),-1000)</f>
        <v>-1000</v>
      </c>
      <c r="BX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HOOSE(IF(INT(($A52-1)/5)&gt;MAX((MAX(1,INT(((CROQUIS!$C$97)-CROQUIS!$C$107)/MAX((CROQUIS!$C$141*MAX(1,CEILING((INT(((CROQUIS!$C$97)-CROQUIS!$C$107)/MAX(CROQUIS!$C$141,1))+1)/80,1))),1))+1))-1,0),0,MOD($A52-1,5))+1,CROQUIS!$C$98,CROQUIS!$C$98-CROQUIS!$C$107/2-CROQUIS!$C$144,IF(CROQUIS!$C$106=1,CROQUIS!$C$98+12,CROQUIS!$C$98-2),CROQUIS!$C$98-CROQUIS!$C$107/2-CROQUIS!$C$144,CROQUIS!$C$98)))*CROQUIS!$C$159)+IF(CROQUIS!$C$92="X",0.8,0)),-1000)</f>
        <v>-1000</v>
      </c>
      <c r="BY52">
        <f>IF(AND(CROQUIS!$C$88=1,CROQUIS!$C$91=0,CROQUIS!$C$141&gt;0,OR(CROQUIS!$C$106=1,CROQUIS!$C$146=1)),((CROQUIS!$C$161+(IF(CROQUIS!$C$92="X",CHOOSE(IF(INT(($A52-1)/5)&gt;MAX((MAX(1,INT(((CROQUIS!$C$97)-CROQUIS!$C$107)/MAX((CROQUIS!$C$141*MAX(1,CEILING((INT(((CROQUIS!$C$97)-CROQUIS!$C$107)/MAX(CROQUIS!$C$141,1))+1)/80,1))),1))+1))-1,0),0,MOD($A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ROQUIS!$C$159)+IF(CROQUIS!$C$92="X",0,0.8)),-1000)</f>
        <v>-1000</v>
      </c>
      <c r="BZ52">
        <f>IF(AND(CROQUIS!$C$88=1,CROQUIS!$C$91=1,CROQUIS!$C$133&gt;0),((CROQUIS!$C$160+(IF(CROQUIS!$C$92="X",CHOOSE(IF(INT(($A52-1)/5)&gt;MAX((MAX(1,INT(((CROQUIS!$C$98)-CROQUIS!$C$107)/MAX((CROQUIS!$C$133*MAX(1,CEILING((INT(((CROQUIS!$C$98)-CROQUIS!$C$107)/MAX(CROQUIS!$C$133,1))+1)/80,1))),1))+1))-1,0),0,MOD($A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CA52">
        <f>IF(AND(CROQUIS!$C$88=1,CROQUIS!$C$91=1,CROQUIS!$C$133&gt;0),((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3">
      <c r="A53" t="n">
        <v>46</v>
      </c>
      <c r="AJ53">
        <f>IF(AND(CROQUIS!$C$87=1,CROQUIS!$C$162&gt;0,CROQUIS!$C$164&gt;0),(CROQUIS!$C$160+((CROQUIS!$C$163+INT(MIN(INT(($A53-1)/2),MAX((2*CROQUIS!$C$162)-1,0))/2)*CROQUIS!$C$116+MOD(MIN(INT(($A53-1)/2),MAX((2*CROQUIS!$C$162)-1,0)),2)*CROQUIS!$C$114))*CROQUIS!$C$159),-1000)</f>
        <v>81.3375508359693</v>
      </c>
      <c r="AK53">
        <f>IF(AND(CROQUIS!$C$87=1,CROQUIS!$C$162&gt;0,CROQUIS!$C$164&gt;0),(CROQUIS!$C$161+(IF(MOD(MIN(INT(($A53-1)/2),MAX((2*CROQUIS!$C$162)-1,0)),2)=0,IF(IF(INT(($A53-1)/2)&gt;MAX((2*CROQUIS!$C$162)-1,0),1,MOD($A53-1,2))=0,CROQUIS!$C$165,(CROQUIS!$C$165+(CROQUIS!$C$164-1)*CROQUIS!$C$116+CROQUIS!$C$115)),IF(IF(INT(($A53-1)/2)&gt;MAX((2*CROQUIS!$C$162)-1,0),1,MOD($A53-1,2))=0,(CROQUIS!$C$165+(CROQUIS!$C$164-1)*CROQUIS!$C$116+CROQUIS!$C$115),CROQUIS!$C$165)))*CROQUIS!$C$159),-1000)</f>
        <v>20.8088567555355</v>
      </c>
      <c r="AL53">
        <f>IF(AND(CROQUIS!$C$87=1,CROQUIS!$C$164&gt;0,CROQUIS!$C$162&gt;0),(CROQUIS!$C$160+(IF(MOD(MIN(INT(($A53-1)/2),MAX((2*CROQUIS!$C$164)-1,0)),2)=0,IF(IF(INT(($A53-1)/2)&gt;MAX((2*CROQUIS!$C$164)-1,0),1,MOD($A53-1,2))=0,CROQUIS!$C$163,(CROQUIS!$C$163+(CROQUIS!$C$162-1)*CROQUIS!$C$116+CROQUIS!$C$114)),IF(IF(INT(($A53-1)/2)&gt;MAX((2*CROQUIS!$C$164)-1,0),1,MOD($A53-1,2))=0,(CROQUIS!$C$163+(CROQUIS!$C$162-1)*CROQUIS!$C$116+CROQUIS!$C$114),CROQUIS!$C$163)))*CROQUIS!$C$159),-1000)</f>
        <v>22.9552643470402</v>
      </c>
      <c r="AM53">
        <f>IF(AND(CROQUIS!$C$87=1,CROQUIS!$C$164&gt;0,CROQUIS!$C$162&gt;0),(CROQUIS!$C$161+((CROQUIS!$C$165+INT(MIN(INT(($A53-1)/2),MAX((2*CROQUIS!$C$164)-1,0))/2)*CROQUIS!$C$116+MOD(MIN(INT(($A53-1)/2),MAX((2*CROQUIS!$C$164)-1,0)),2)*CROQUIS!$C$115))*CROQUIS!$C$159),-1000)</f>
        <v>79.1911432444645</v>
      </c>
      <c r="AN53">
        <f>IF(AND(CROQUIS!$C$87=1,CROQUIS!$C$162&gt;=2),(CROQUIS!$C$160+((CROQUIS!$C$163+CROQUIS!$C$114+(CROQUIS!$C$116-CROQUIS!$C$114)/2+MIN(INT(($A53-1)/2),MAX((CROQUIS!$C$162-1)-1,0))*CROQUIS!$C$116))*CROQUIS!$C$159),-1000)</f>
        <v>70.1762313601446</v>
      </c>
      <c r="AO53">
        <f>IF(AND(CROQUIS!$C$87=1,CROQUIS!$C$162&gt;=2),(CROQUIS!$C$161+(IF(MOD(MIN(INT(($A53-1)/2),MAX((CROQUIS!$C$162-1)-1,0)),2)=0,IF(IF(INT(($A53-1)/2)&gt;MAX((CROQUIS!$C$162-1)-1,0),1,MOD($A53-1,2))=0,CROQUIS!$C$107/2,(CROQUIS!$C$96-CROQUIS!$C$107/2)),IF(IF(INT(($A53-1)/2)&gt;MAX((CROQUIS!$C$162-1)-1,0),1,MOD($A53-1,2))=0,(CROQUIS!$C$96-CROQUIS!$C$107/2),CROQUIS!$C$107/2)))*CROQUIS!$C$159),-1000)</f>
        <v>16.9453230908269</v>
      </c>
      <c r="AP53">
        <f>IF(AND(CROQUIS!$C$87=1,CROQUIS!$C$164&gt;=2),(CROQUIS!$C$160+(IF(MOD(MIN(INT(($A53-1)/2),MAX((CROQUIS!$C$164-1)-1,0)),2)=0,IF(IF(INT(($A53-1)/2)&gt;MAX((CROQUIS!$C$164-1)-1,0),1,MOD($A53-1,2))=0,CROQUIS!$C$107/2,(CROQUIS!$C$95-CROQUIS!$C$107/2)),IF(IF(INT(($A53-1)/2)&gt;MAX((CROQUIS!$C$164-1)-1,0),1,MOD($A53-1,2))=0,(CROQUIS!$C$95-CROQUIS!$C$107/2),CROQUIS!$C$107/2)))*CROQUIS!$C$159),-1000)</f>
        <v>13.2878445549028</v>
      </c>
      <c r="AQ53">
        <f>IF(AND(CROQUIS!$C$87=1,CROQUIS!$C$164&gt;=2),(CROQUIS!$C$161+((CROQUIS!$C$165+CROQUIS!$C$115+(CROQUIS!$C$116-CROQUIS!$C$115)/2+MIN(INT(($A53-1)/2),MAX((CROQUIS!$C$164-1)-1,0))*CROQUIS!$C$116))*CROQUIS!$C$159),-1000)</f>
        <v>68.0298237686399</v>
      </c>
      <c r="BN53">
        <f>IF(AND(CROQUIS!$C$88=1,CROQUIS!$C$129&gt;0),((CROQUIS!$C$160+(IF(CROQUIS!$C$92="X",CHOOSE(IF(INT(($A53-1)/5)&gt;MAX((MAX(1,INT(((CROQUIS!$C$98)-CROQUIS!$C$107)/MAX((CROQUIS!$C$129*MAX(1,CEILING((INT(((CROQUIS!$C$98)-CROQUIS!$C$107)/MAX(CROQUIS!$C$129,1))+1)/80,1))),1))+1))-1,0),0,MOD($A53-1,5))+1,0,2,CROQUIS!$C$97-2,2,0),((CROQUIS!$C$107/2+(((CROQUIS!$C$98)-CROQUIS!$C$107)-(MAX(1,INT(((CROQUIS!$C$98)-CROQUIS!$C$107)/MAX((CROQUIS!$C$129*MAX(1,CEILING((INT(((CROQUIS!$C$98)-CROQUIS!$C$107)/MAX(CROQUIS!$C$129,1))+1)/80,1))),1))+1)-1)*(CROQUIS!$C$129*MAX(1,CEILING((INT(((CROQUIS!$C$98)-CROQUIS!$C$107)/MAX(CROQUIS!$C$129,1))+1)/80,1))))/2)+MIN(INT(($A53-1)/5),MAX((MAX(1,INT(((CROQUIS!$C$98)-CROQUIS!$C$107)/MAX((CROQUIS!$C$129*MAX(1,CEILING((INT(((CROQUIS!$C$98)-CROQUIS!$C$107)/MAX(CROQUIS!$C$129,1))+1)/80,1))),1))+1))-1,0))*(CROQUIS!$C$129*MAX(1,CEILING((INT(((CROQUIS!$C$98)-CROQUIS!$C$107)/MAX(CROQUIS!$C$129,1))+1)/80,1))))))*CROQUIS!$C$159)+IF(CROQUIS!$C$92="X",0,0)),-1000)</f>
        <v>-1000</v>
      </c>
      <c r="BO53">
        <f>IF(AND(CROQUIS!$C$88=1,CROQUIS!$C$129&gt;0),((CROQUIS!$C$161+(IF(CROQUIS!$C$92="X",((CROQUIS!$C$107/2+(((CROQUIS!$C$98)-CROQUIS!$C$107)-(MAX(1,INT(((CROQUIS!$C$98)-CROQUIS!$C$107)/MAX((CROQUIS!$C$129*MAX(1,CEILING((INT(((CROQUIS!$C$98)-CROQUIS!$C$107)/MAX(CROQUIS!$C$129,1))+1)/80,1))),1))+1)-1)*(CROQUIS!$C$129*MAX(1,CEILING((INT(((CROQUIS!$C$98)-CROQUIS!$C$107)/MAX(CROQUIS!$C$129,1))+1)/80,1))))/2)+MIN(INT(($A53-1)/5),MAX((MAX(1,INT(((CROQUIS!$C$98)-CROQUIS!$C$107)/MAX((CROQUIS!$C$129*MAX(1,CEILING((INT(((CROQUIS!$C$98)-CROQUIS!$C$107)/MAX(CROQUIS!$C$129,1))+1)/80,1))),1))+1))-1,0))*(CROQUIS!$C$129*MAX(1,CEILING((INT(((CROQUIS!$C$98)-CROQUIS!$C$107)/MAX(CROQUIS!$C$129,1))+1)/80,1)))),CHOOSE(IF(INT(($A53-1)/5)&gt;MAX((MAX(1,INT(((CROQUIS!$C$98)-CROQUIS!$C$107)/MAX((CROQUIS!$C$129*MAX(1,CEILING((INT(((CROQUIS!$C$98)-CROQUIS!$C$107)/MAX(CROQUIS!$C$129,1))+1)/80,1))),1))+1))-1,0),0,MOD($A53-1,5))+1,0,2,CROQUIS!$C$97-2,2,0)))*CROQUIS!$C$159)+IF(CROQUIS!$C$92="X",0,0)),-1000)</f>
        <v>-1000</v>
      </c>
      <c r="BP53">
        <f>IF(AND(CROQUIS!$C$88=1,CROQUIS!$C$137&gt;0),((CROQUIS!$C$160+(IF(CROQUIS!$C$92="X",((CROQUIS!$C$107/2+(((CROQUIS!$C$97)-CROQUIS!$C$107)-(MAX(1,INT(((CROQUIS!$C$97)-CROQUIS!$C$107)/MAX((CROQUIS!$C$137*MAX(1,CEILING((INT(((CROQUIS!$C$97)-CROQUIS!$C$107)/MAX(CROQUIS!$C$137,1))+1)/80,1))),1))+1)-1)*(CROQUIS!$C$137*MAX(1,CEILING((INT(((CROQUIS!$C$97)-CROQUIS!$C$107)/MAX(CROQUIS!$C$137,1))+1)/80,1))))/2)+MIN(INT(($A53-1)/5),MAX((MAX(1,INT(((CROQUIS!$C$97)-CROQUIS!$C$107)/MAX((CROQUIS!$C$137*MAX(1,CEILING((INT(((CROQUIS!$C$97)-CROQUIS!$C$107)/MAX(CROQUIS!$C$137,1))+1)/80,1))),1))+1))-1,0))*(CROQUIS!$C$137*MAX(1,CEILING((INT(((CROQUIS!$C$97)-CROQUIS!$C$107)/MAX(CROQUIS!$C$137,1))+1)/80,1)))),CHOOSE(IF(INT(($A53-1)/5)&gt;MAX((MAX(1,INT(((CROQUIS!$C$97)-CROQUIS!$C$107)/MAX((CROQUIS!$C$137*MAX(1,CEILING((INT(((CROQUIS!$C$97)-CROQUIS!$C$107)/MAX(CROQUIS!$C$137,1))+1)/80,1))),1))+1))-1,0),0,MOD($A53-1,5))+1,0,2,CROQUIS!$C$98-2,2,0)))*CROQUIS!$C$159)+IF(CROQUIS!$C$92="X",0,0)),-1000)</f>
        <v>-1000</v>
      </c>
      <c r="BQ53">
        <f>IF(AND(CROQUIS!$C$88=1,CROQUIS!$C$137&gt;0),((CROQUIS!$C$161+(IF(CROQUIS!$C$92="X",CHOOSE(IF(INT(($A53-1)/5)&gt;MAX((MAX(1,INT(((CROQUIS!$C$97)-CROQUIS!$C$107)/MAX((CROQUIS!$C$137*MAX(1,CEILING((INT(((CROQUIS!$C$97)-CROQUIS!$C$107)/MAX(CROQUIS!$C$137,1))+1)/80,1))),1))+1))-1,0),0,MOD($A53-1,5))+1,0,2,CROQUIS!$C$98-2,2,0),((CROQUIS!$C$107/2+(((CROQUIS!$C$97)-CROQUIS!$C$107)-(MAX(1,INT(((CROQUIS!$C$97)-CROQUIS!$C$107)/MAX((CROQUIS!$C$137*MAX(1,CEILING((INT(((CROQUIS!$C$97)-CROQUIS!$C$107)/MAX(CROQUIS!$C$137,1))+1)/80,1))),1))+1)-1)*(CROQUIS!$C$137*MAX(1,CEILING((INT(((CROQUIS!$C$97)-CROQUIS!$C$107)/MAX(CROQUIS!$C$137,1))+1)/80,1))))/2)+MIN(INT(($A53-1)/5),MAX((MAX(1,INT(((CROQUIS!$C$97)-CROQUIS!$C$107)/MAX((CROQUIS!$C$137*MAX(1,CEILING((INT(((CROQUIS!$C$97)-CROQUIS!$C$107)/MAX(CROQUIS!$C$137,1))+1)/80,1))),1))+1))-1,0))*(CROQUIS!$C$137*MAX(1,CEILING((INT(((CROQUIS!$C$97)-CROQUIS!$C$107)/MAX(CROQUIS!$C$137,1))+1)/80,1))))))*CROQUIS!$C$159)+IF(CROQUIS!$C$92="X",0,0)),-1000)</f>
        <v>-1000</v>
      </c>
      <c r="BR53">
        <f>IF(AND(CROQUIS!$C$88=1,CROQUIS!$C$91=0,CROQUIS!$C$133&gt;0,OR(CROQUIS!$C$103=1,CROQUIS!$C$145=1)),((CROQUIS!$C$160+(IF(CROQUIS!$C$92="X",CHOOSE(IF(INT(($A53-1)/5)&gt;MAX((MAX(1,INT(((CROQUIS!$C$98)-CROQUIS!$C$107)/MAX((CROQUIS!$C$133*MAX(1,CEILING((INT(((CROQUIS!$C$98)-CROQUIS!$C$107)/MAX(CROQUIS!$C$133,1))+1)/80,1))),1))+1))-1,0),0,MOD($A53-1,5))+1,0,IF(CROQUIS!$C$103=1,-12,2),CROQUIS!$C$107/2+CROQUIS!$C$143,IF(CROQUIS!$C$103=1,-12,2),0),((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BS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+1,0,IF(CROQUIS!$C$103=1,-12,2),CROQUIS!$C$107/2+CROQUIS!$C$143,IF(CROQUIS!$C$103=1,-12,2),0)))*CROQUIS!$C$159)+IF(CROQUIS!$C$92="X",0.8,0)),-1000)</f>
        <v>-1000</v>
      </c>
      <c r="BT53">
        <f>IF(AND(CROQUIS!$C$88=1,CROQUIS!$C$91=0,CROQUIS!$C$133&gt;0,OR(CROQUIS!$C$104=1,CROQUIS!$C$145=1)),((CROQUIS!$C$160+(IF(CROQUIS!$C$92="X",CHOOSE(IF(INT(($A53-1)/5)&gt;MAX((MAX(1,INT(((CROQUIS!$C$98)-CROQUIS!$C$107)/MAX((CROQUIS!$C$133*MAX(1,CEILING((INT(((CROQUIS!$C$98)-CROQUIS!$C$107)/MAX(CROQUIS!$C$133,1))+1)/80,1))),1))+1))-1,0),0,MOD($A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BU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CROQUIS!$C$97,CROQUIS!$C$97-CROQUIS!$C$107/2-CROQUIS!$C$143,IF(CROQUIS!$C$104=1,CROQUIS!$C$97+12,CROQUIS!$C$97-2),CROQUIS!$C$97-CROQUIS!$C$107/2-CROQUIS!$C$143,CROQUIS!$C$97)))*CROQUIS!$C$159)+IF(CROQUIS!$C$92="X",0.8,0)),-1000)</f>
        <v>-1000</v>
      </c>
      <c r="BV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HOOSE(IF(INT(($A53-1)/5)&gt;MAX((MAX(1,INT(((CROQUIS!$C$97)-CROQUIS!$C$107)/MAX((CROQUIS!$C$141*MAX(1,CEILING((INT(((CROQUIS!$C$97)-CROQUIS!$C$107)/MAX(CROQUIS!$C$141,1))+1)/80,1))),1))+1))-1,0),0,MOD($A53-1,5))+1,0,IF(CROQUIS!$C$105=1,-12,2),CROQUIS!$C$107/2+CROQUIS!$C$144,IF(CROQUIS!$C$105=1,-12,2),0)))*CROQUIS!$C$159)+IF(CROQUIS!$C$92="X",0.8,0)),-1000)</f>
        <v>-1000</v>
      </c>
      <c r="BW53">
        <f>IF(AND(CROQUIS!$C$88=1,CROQUIS!$C$91=0,CROQUIS!$C$141&gt;0,OR(CROQUIS!$C$105=1,CROQUIS!$C$146=1)),((CROQUIS!$C$161+(IF(CROQUIS!$C$92="X",CHOOSE(IF(INT(($A53-1)/5)&gt;MAX((MAX(1,INT(((CROQUIS!$C$97)-CROQUIS!$C$107)/MAX((CROQUIS!$C$141*MAX(1,CEILING((INT(((CROQUIS!$C$97)-CROQUIS!$C$107)/MAX(CROQUIS!$C$141,1))+1)/80,1))),1))+1))-1,0),0,MOD($A53-1,5))+1,0,IF(CROQUIS!$C$105=1,-12,2),CROQUIS!$C$107/2+CROQUIS!$C$144,IF(CROQUIS!$C$105=1,-12,2),0),((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ROQUIS!$C$159)+IF(CROQUIS!$C$92="X",0,0.8)),-1000)</f>
        <v>-1000</v>
      </c>
      <c r="BX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HOOSE(IF(INT(($A53-1)/5)&gt;MAX((MAX(1,INT(((CROQUIS!$C$97)-CROQUIS!$C$107)/MAX((CROQUIS!$C$141*MAX(1,CEILING((INT(((CROQUIS!$C$97)-CROQUIS!$C$107)/MAX(CROQUIS!$C$141,1))+1)/80,1))),1))+1))-1,0),0,MOD($A53-1,5))+1,CROQUIS!$C$98,CROQUIS!$C$98-CROQUIS!$C$107/2-CROQUIS!$C$144,IF(CROQUIS!$C$106=1,CROQUIS!$C$98+12,CROQUIS!$C$98-2),CROQUIS!$C$98-CROQUIS!$C$107/2-CROQUIS!$C$144,CROQUIS!$C$98)))*CROQUIS!$C$159)+IF(CROQUIS!$C$92="X",0.8,0)),-1000)</f>
        <v>-1000</v>
      </c>
      <c r="BY53">
        <f>IF(AND(CROQUIS!$C$88=1,CROQUIS!$C$91=0,CROQUIS!$C$141&gt;0,OR(CROQUIS!$C$106=1,CROQUIS!$C$146=1)),((CROQUIS!$C$161+(IF(CROQUIS!$C$92="X",CHOOSE(IF(INT(($A53-1)/5)&gt;MAX((MAX(1,INT(((CROQUIS!$C$97)-CROQUIS!$C$107)/MAX((CROQUIS!$C$141*MAX(1,CEILING((INT(((CROQUIS!$C$97)-CROQUIS!$C$107)/MAX(CROQUIS!$C$141,1))+1)/80,1))),1))+1))-1,0),0,MOD($A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ROQUIS!$C$159)+IF(CROQUIS!$C$92="X",0,0.8)),-1000)</f>
        <v>-1000</v>
      </c>
      <c r="BZ53">
        <f>IF(AND(CROQUIS!$C$88=1,CROQUIS!$C$91=1,CROQUIS!$C$133&gt;0),((CROQUIS!$C$160+(IF(CROQUIS!$C$92="X",CHOOSE(IF(INT(($A53-1)/5)&gt;MAX((MAX(1,INT(((CROQUIS!$C$98)-CROQUIS!$C$107)/MAX((CROQUIS!$C$133*MAX(1,CEILING((INT(((CROQUIS!$C$98)-CROQUIS!$C$107)/MAX(CROQUIS!$C$133,1))+1)/80,1))),1))+1))-1,0),0,MOD($A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CA53">
        <f>IF(AND(CROQUIS!$C$88=1,CROQUIS!$C$91=1,CROQUIS!$C$133&gt;0),((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4">
      <c r="A54" t="n">
        <v>47</v>
      </c>
      <c r="AJ54">
        <f>IF(AND(CROQUIS!$C$87=1,CROQUIS!$C$162&gt;0,CROQUIS!$C$164&gt;0),(CROQUIS!$C$160+((CROQUIS!$C$163+INT(MIN(INT(($A54-1)/2),MAX((2*CROQUIS!$C$162)-1,0))/2)*CROQUIS!$C$116+MOD(MIN(INT(($A54-1)/2),MAX((2*CROQUIS!$C$162)-1,0)),2)*CROQUIS!$C$114))*CROQUIS!$C$159),-1000)</f>
        <v>81.3375508359693</v>
      </c>
      <c r="AK54">
        <f>IF(AND(CROQUIS!$C$87=1,CROQUIS!$C$162&gt;0,CROQUIS!$C$164&gt;0),(CROQUIS!$C$161+(IF(MOD(MIN(INT(($A54-1)/2),MAX((2*CROQUIS!$C$162)-1,0)),2)=0,IF(IF(INT(($A54-1)/2)&gt;MAX((2*CROQUIS!$C$162)-1,0),1,MOD($A54-1,2))=0,CROQUIS!$C$165,(CROQUIS!$C$165+(CROQUIS!$C$164-1)*CROQUIS!$C$116+CROQUIS!$C$115)),IF(IF(INT(($A54-1)/2)&gt;MAX((2*CROQUIS!$C$162)-1,0),1,MOD($A54-1,2))=0,(CROQUIS!$C$165+(CROQUIS!$C$164-1)*CROQUIS!$C$116+CROQUIS!$C$115),CROQUIS!$C$165)))*CROQUIS!$C$159),-1000)</f>
        <v>20.8088567555355</v>
      </c>
      <c r="AL54">
        <f>IF(AND(CROQUIS!$C$87=1,CROQUIS!$C$164&gt;0,CROQUIS!$C$162&gt;0),(CROQUIS!$C$160+(IF(MOD(MIN(INT(($A54-1)/2),MAX((2*CROQUIS!$C$164)-1,0)),2)=0,IF(IF(INT(($A54-1)/2)&gt;MAX((2*CROQUIS!$C$164)-1,0),1,MOD($A54-1,2))=0,CROQUIS!$C$163,(CROQUIS!$C$163+(CROQUIS!$C$162-1)*CROQUIS!$C$116+CROQUIS!$C$114)),IF(IF(INT(($A54-1)/2)&gt;MAX((2*CROQUIS!$C$164)-1,0),1,MOD($A54-1,2))=0,(CROQUIS!$C$163+(CROQUIS!$C$162-1)*CROQUIS!$C$116+CROQUIS!$C$114),CROQUIS!$C$163)))*CROQUIS!$C$159),-1000)</f>
        <v>22.9552643470402</v>
      </c>
      <c r="AM54">
        <f>IF(AND(CROQUIS!$C$87=1,CROQUIS!$C$164&gt;0,CROQUIS!$C$162&gt;0),(CROQUIS!$C$161+((CROQUIS!$C$165+INT(MIN(INT(($A54-1)/2),MAX((2*CROQUIS!$C$164)-1,0))/2)*CROQUIS!$C$116+MOD(MIN(INT(($A54-1)/2),MAX((2*CROQUIS!$C$164)-1,0)),2)*CROQUIS!$C$115))*CROQUIS!$C$159),-1000)</f>
        <v>79.1911432444645</v>
      </c>
      <c r="AN54">
        <f>IF(AND(CROQUIS!$C$87=1,CROQUIS!$C$162&gt;=2),(CROQUIS!$C$160+((CROQUIS!$C$163+CROQUIS!$C$114+(CROQUIS!$C$116-CROQUIS!$C$114)/2+MIN(INT(($A54-1)/2),MAX((CROQUIS!$C$162-1)-1,0))*CROQUIS!$C$116))*CROQUIS!$C$159),-1000)</f>
        <v>70.1762313601446</v>
      </c>
      <c r="AO54">
        <f>IF(AND(CROQUIS!$C$87=1,CROQUIS!$C$162&gt;=2),(CROQUIS!$C$161+(IF(MOD(MIN(INT(($A54-1)/2),MAX((CROQUIS!$C$162-1)-1,0)),2)=0,IF(IF(INT(($A54-1)/2)&gt;MAX((CROQUIS!$C$162-1)-1,0),1,MOD($A54-1,2))=0,CROQUIS!$C$107/2,(CROQUIS!$C$96-CROQUIS!$C$107/2)),IF(IF(INT(($A54-1)/2)&gt;MAX((CROQUIS!$C$162-1)-1,0),1,MOD($A54-1,2))=0,(CROQUIS!$C$96-CROQUIS!$C$107/2),CROQUIS!$C$107/2)))*CROQUIS!$C$159),-1000)</f>
        <v>16.9453230908269</v>
      </c>
      <c r="AP54">
        <f>IF(AND(CROQUIS!$C$87=1,CROQUIS!$C$164&gt;=2),(CROQUIS!$C$160+(IF(MOD(MIN(INT(($A54-1)/2),MAX((CROQUIS!$C$164-1)-1,0)),2)=0,IF(IF(INT(($A54-1)/2)&gt;MAX((CROQUIS!$C$164-1)-1,0),1,MOD($A54-1,2))=0,CROQUIS!$C$107/2,(CROQUIS!$C$95-CROQUIS!$C$107/2)),IF(IF(INT(($A54-1)/2)&gt;MAX((CROQUIS!$C$164-1)-1,0),1,MOD($A54-1,2))=0,(CROQUIS!$C$95-CROQUIS!$C$107/2),CROQUIS!$C$107/2)))*CROQUIS!$C$159),-1000)</f>
        <v>13.2878445549028</v>
      </c>
      <c r="AQ54">
        <f>IF(AND(CROQUIS!$C$87=1,CROQUIS!$C$164&gt;=2),(CROQUIS!$C$161+((CROQUIS!$C$165+CROQUIS!$C$115+(CROQUIS!$C$116-CROQUIS!$C$115)/2+MIN(INT(($A54-1)/2),MAX((CROQUIS!$C$164-1)-1,0))*CROQUIS!$C$116))*CROQUIS!$C$159),-1000)</f>
        <v>68.0298237686399</v>
      </c>
      <c r="BN54">
        <f>IF(AND(CROQUIS!$C$88=1,CROQUIS!$C$129&gt;0),((CROQUIS!$C$160+(IF(CROQUIS!$C$92="X",CHOOSE(IF(INT(($A54-1)/5)&gt;MAX((MAX(1,INT(((CROQUIS!$C$98)-CROQUIS!$C$107)/MAX((CROQUIS!$C$129*MAX(1,CEILING((INT(((CROQUIS!$C$98)-CROQUIS!$C$107)/MAX(CROQUIS!$C$129,1))+1)/80,1))),1))+1))-1,0),0,MOD($A54-1,5))+1,0,2,CROQUIS!$C$97-2,2,0),((CROQUIS!$C$107/2+(((CROQUIS!$C$98)-CROQUIS!$C$107)-(MAX(1,INT(((CROQUIS!$C$98)-CROQUIS!$C$107)/MAX((CROQUIS!$C$129*MAX(1,CEILING((INT(((CROQUIS!$C$98)-CROQUIS!$C$107)/MAX(CROQUIS!$C$129,1))+1)/80,1))),1))+1)-1)*(CROQUIS!$C$129*MAX(1,CEILING((INT(((CROQUIS!$C$98)-CROQUIS!$C$107)/MAX(CROQUIS!$C$129,1))+1)/80,1))))/2)+MIN(INT(($A54-1)/5),MAX((MAX(1,INT(((CROQUIS!$C$98)-CROQUIS!$C$107)/MAX((CROQUIS!$C$129*MAX(1,CEILING((INT(((CROQUIS!$C$98)-CROQUIS!$C$107)/MAX(CROQUIS!$C$129,1))+1)/80,1))),1))+1))-1,0))*(CROQUIS!$C$129*MAX(1,CEILING((INT(((CROQUIS!$C$98)-CROQUIS!$C$107)/MAX(CROQUIS!$C$129,1))+1)/80,1))))))*CROQUIS!$C$159)+IF(CROQUIS!$C$92="X",0,0)),-1000)</f>
        <v>-1000</v>
      </c>
      <c r="BO54">
        <f>IF(AND(CROQUIS!$C$88=1,CROQUIS!$C$129&gt;0),((CROQUIS!$C$161+(IF(CROQUIS!$C$92="X",((CROQUIS!$C$107/2+(((CROQUIS!$C$98)-CROQUIS!$C$107)-(MAX(1,INT(((CROQUIS!$C$98)-CROQUIS!$C$107)/MAX((CROQUIS!$C$129*MAX(1,CEILING((INT(((CROQUIS!$C$98)-CROQUIS!$C$107)/MAX(CROQUIS!$C$129,1))+1)/80,1))),1))+1)-1)*(CROQUIS!$C$129*MAX(1,CEILING((INT(((CROQUIS!$C$98)-CROQUIS!$C$107)/MAX(CROQUIS!$C$129,1))+1)/80,1))))/2)+MIN(INT(($A54-1)/5),MAX((MAX(1,INT(((CROQUIS!$C$98)-CROQUIS!$C$107)/MAX((CROQUIS!$C$129*MAX(1,CEILING((INT(((CROQUIS!$C$98)-CROQUIS!$C$107)/MAX(CROQUIS!$C$129,1))+1)/80,1))),1))+1))-1,0))*(CROQUIS!$C$129*MAX(1,CEILING((INT(((CROQUIS!$C$98)-CROQUIS!$C$107)/MAX(CROQUIS!$C$129,1))+1)/80,1)))),CHOOSE(IF(INT(($A54-1)/5)&gt;MAX((MAX(1,INT(((CROQUIS!$C$98)-CROQUIS!$C$107)/MAX((CROQUIS!$C$129*MAX(1,CEILING((INT(((CROQUIS!$C$98)-CROQUIS!$C$107)/MAX(CROQUIS!$C$129,1))+1)/80,1))),1))+1))-1,0),0,MOD($A54-1,5))+1,0,2,CROQUIS!$C$97-2,2,0)))*CROQUIS!$C$159)+IF(CROQUIS!$C$92="X",0,0)),-1000)</f>
        <v>-1000</v>
      </c>
      <c r="BP54">
        <f>IF(AND(CROQUIS!$C$88=1,CROQUIS!$C$137&gt;0),((CROQUIS!$C$160+(IF(CROQUIS!$C$92="X",((CROQUIS!$C$107/2+(((CROQUIS!$C$97)-CROQUIS!$C$107)-(MAX(1,INT(((CROQUIS!$C$97)-CROQUIS!$C$107)/MAX((CROQUIS!$C$137*MAX(1,CEILING((INT(((CROQUIS!$C$97)-CROQUIS!$C$107)/MAX(CROQUIS!$C$137,1))+1)/80,1))),1))+1)-1)*(CROQUIS!$C$137*MAX(1,CEILING((INT(((CROQUIS!$C$97)-CROQUIS!$C$107)/MAX(CROQUIS!$C$137,1))+1)/80,1))))/2)+MIN(INT(($A54-1)/5),MAX((MAX(1,INT(((CROQUIS!$C$97)-CROQUIS!$C$107)/MAX((CROQUIS!$C$137*MAX(1,CEILING((INT(((CROQUIS!$C$97)-CROQUIS!$C$107)/MAX(CROQUIS!$C$137,1))+1)/80,1))),1))+1))-1,0))*(CROQUIS!$C$137*MAX(1,CEILING((INT(((CROQUIS!$C$97)-CROQUIS!$C$107)/MAX(CROQUIS!$C$137,1))+1)/80,1)))),CHOOSE(IF(INT(($A54-1)/5)&gt;MAX((MAX(1,INT(((CROQUIS!$C$97)-CROQUIS!$C$107)/MAX((CROQUIS!$C$137*MAX(1,CEILING((INT(((CROQUIS!$C$97)-CROQUIS!$C$107)/MAX(CROQUIS!$C$137,1))+1)/80,1))),1))+1))-1,0),0,MOD($A54-1,5))+1,0,2,CROQUIS!$C$98-2,2,0)))*CROQUIS!$C$159)+IF(CROQUIS!$C$92="X",0,0)),-1000)</f>
        <v>-1000</v>
      </c>
      <c r="BQ54">
        <f>IF(AND(CROQUIS!$C$88=1,CROQUIS!$C$137&gt;0),((CROQUIS!$C$161+(IF(CROQUIS!$C$92="X",CHOOSE(IF(INT(($A54-1)/5)&gt;MAX((MAX(1,INT(((CROQUIS!$C$97)-CROQUIS!$C$107)/MAX((CROQUIS!$C$137*MAX(1,CEILING((INT(((CROQUIS!$C$97)-CROQUIS!$C$107)/MAX(CROQUIS!$C$137,1))+1)/80,1))),1))+1))-1,0),0,MOD($A54-1,5))+1,0,2,CROQUIS!$C$98-2,2,0),((CROQUIS!$C$107/2+(((CROQUIS!$C$97)-CROQUIS!$C$107)-(MAX(1,INT(((CROQUIS!$C$97)-CROQUIS!$C$107)/MAX((CROQUIS!$C$137*MAX(1,CEILING((INT(((CROQUIS!$C$97)-CROQUIS!$C$107)/MAX(CROQUIS!$C$137,1))+1)/80,1))),1))+1)-1)*(CROQUIS!$C$137*MAX(1,CEILING((INT(((CROQUIS!$C$97)-CROQUIS!$C$107)/MAX(CROQUIS!$C$137,1))+1)/80,1))))/2)+MIN(INT(($A54-1)/5),MAX((MAX(1,INT(((CROQUIS!$C$97)-CROQUIS!$C$107)/MAX((CROQUIS!$C$137*MAX(1,CEILING((INT(((CROQUIS!$C$97)-CROQUIS!$C$107)/MAX(CROQUIS!$C$137,1))+1)/80,1))),1))+1))-1,0))*(CROQUIS!$C$137*MAX(1,CEILING((INT(((CROQUIS!$C$97)-CROQUIS!$C$107)/MAX(CROQUIS!$C$137,1))+1)/80,1))))))*CROQUIS!$C$159)+IF(CROQUIS!$C$92="X",0,0)),-1000)</f>
        <v>-1000</v>
      </c>
      <c r="BR54">
        <f>IF(AND(CROQUIS!$C$88=1,CROQUIS!$C$91=0,CROQUIS!$C$133&gt;0,OR(CROQUIS!$C$103=1,CROQUIS!$C$145=1)),((CROQUIS!$C$160+(IF(CROQUIS!$C$92="X",CHOOSE(IF(INT(($A54-1)/5)&gt;MAX((MAX(1,INT(((CROQUIS!$C$98)-CROQUIS!$C$107)/MAX((CROQUIS!$C$133*MAX(1,CEILING((INT(((CROQUIS!$C$98)-CROQUIS!$C$107)/MAX(CROQUIS!$C$133,1))+1)/80,1))),1))+1))-1,0),0,MOD($A54-1,5))+1,0,IF(CROQUIS!$C$103=1,-12,2),CROQUIS!$C$107/2+CROQUIS!$C$143,IF(CROQUIS!$C$103=1,-12,2),0),((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BS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+1,0,IF(CROQUIS!$C$103=1,-12,2),CROQUIS!$C$107/2+CROQUIS!$C$143,IF(CROQUIS!$C$103=1,-12,2),0)))*CROQUIS!$C$159)+IF(CROQUIS!$C$92="X",0.8,0)),-1000)</f>
        <v>-1000</v>
      </c>
      <c r="BT54">
        <f>IF(AND(CROQUIS!$C$88=1,CROQUIS!$C$91=0,CROQUIS!$C$133&gt;0,OR(CROQUIS!$C$104=1,CROQUIS!$C$145=1)),((CROQUIS!$C$160+(IF(CROQUIS!$C$92="X",CHOOSE(IF(INT(($A54-1)/5)&gt;MAX((MAX(1,INT(((CROQUIS!$C$98)-CROQUIS!$C$107)/MAX((CROQUIS!$C$133*MAX(1,CEILING((INT(((CROQUIS!$C$98)-CROQUIS!$C$107)/MAX(CROQUIS!$C$133,1))+1)/80,1))),1))+1))-1,0),0,MOD($A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BU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CROQUIS!$C$97,CROQUIS!$C$97-CROQUIS!$C$107/2-CROQUIS!$C$143,IF(CROQUIS!$C$104=1,CROQUIS!$C$97+12,CROQUIS!$C$97-2),CROQUIS!$C$97-CROQUIS!$C$107/2-CROQUIS!$C$143,CROQUIS!$C$97)))*CROQUIS!$C$159)+IF(CROQUIS!$C$92="X",0.8,0)),-1000)</f>
        <v>-1000</v>
      </c>
      <c r="BV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HOOSE(IF(INT(($A54-1)/5)&gt;MAX((MAX(1,INT(((CROQUIS!$C$97)-CROQUIS!$C$107)/MAX((CROQUIS!$C$141*MAX(1,CEILING((INT(((CROQUIS!$C$97)-CROQUIS!$C$107)/MAX(CROQUIS!$C$141,1))+1)/80,1))),1))+1))-1,0),0,MOD($A54-1,5))+1,0,IF(CROQUIS!$C$105=1,-12,2),CROQUIS!$C$107/2+CROQUIS!$C$144,IF(CROQUIS!$C$105=1,-12,2),0)))*CROQUIS!$C$159)+IF(CROQUIS!$C$92="X",0.8,0)),-1000)</f>
        <v>-1000</v>
      </c>
      <c r="BW54">
        <f>IF(AND(CROQUIS!$C$88=1,CROQUIS!$C$91=0,CROQUIS!$C$141&gt;0,OR(CROQUIS!$C$105=1,CROQUIS!$C$146=1)),((CROQUIS!$C$161+(IF(CROQUIS!$C$92="X",CHOOSE(IF(INT(($A54-1)/5)&gt;MAX((MAX(1,INT(((CROQUIS!$C$97)-CROQUIS!$C$107)/MAX((CROQUIS!$C$141*MAX(1,CEILING((INT(((CROQUIS!$C$97)-CROQUIS!$C$107)/MAX(CROQUIS!$C$141,1))+1)/80,1))),1))+1))-1,0),0,MOD($A54-1,5))+1,0,IF(CROQUIS!$C$105=1,-12,2),CROQUIS!$C$107/2+CROQUIS!$C$144,IF(CROQUIS!$C$105=1,-12,2),0),((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ROQUIS!$C$159)+IF(CROQUIS!$C$92="X",0,0.8)),-1000)</f>
        <v>-1000</v>
      </c>
      <c r="BX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HOOSE(IF(INT(($A54-1)/5)&gt;MAX((MAX(1,INT(((CROQUIS!$C$97)-CROQUIS!$C$107)/MAX((CROQUIS!$C$141*MAX(1,CEILING((INT(((CROQUIS!$C$97)-CROQUIS!$C$107)/MAX(CROQUIS!$C$141,1))+1)/80,1))),1))+1))-1,0),0,MOD($A54-1,5))+1,CROQUIS!$C$98,CROQUIS!$C$98-CROQUIS!$C$107/2-CROQUIS!$C$144,IF(CROQUIS!$C$106=1,CROQUIS!$C$98+12,CROQUIS!$C$98-2),CROQUIS!$C$98-CROQUIS!$C$107/2-CROQUIS!$C$144,CROQUIS!$C$98)))*CROQUIS!$C$159)+IF(CROQUIS!$C$92="X",0.8,0)),-1000)</f>
        <v>-1000</v>
      </c>
      <c r="BY54">
        <f>IF(AND(CROQUIS!$C$88=1,CROQUIS!$C$91=0,CROQUIS!$C$141&gt;0,OR(CROQUIS!$C$106=1,CROQUIS!$C$146=1)),((CROQUIS!$C$161+(IF(CROQUIS!$C$92="X",CHOOSE(IF(INT(($A54-1)/5)&gt;MAX((MAX(1,INT(((CROQUIS!$C$97)-CROQUIS!$C$107)/MAX((CROQUIS!$C$141*MAX(1,CEILING((INT(((CROQUIS!$C$97)-CROQUIS!$C$107)/MAX(CROQUIS!$C$141,1))+1)/80,1))),1))+1))-1,0),0,MOD($A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ROQUIS!$C$159)+IF(CROQUIS!$C$92="X",0,0.8)),-1000)</f>
        <v>-1000</v>
      </c>
      <c r="BZ54">
        <f>IF(AND(CROQUIS!$C$88=1,CROQUIS!$C$91=1,CROQUIS!$C$133&gt;0),((CROQUIS!$C$160+(IF(CROQUIS!$C$92="X",CHOOSE(IF(INT(($A54-1)/5)&gt;MAX((MAX(1,INT(((CROQUIS!$C$98)-CROQUIS!$C$107)/MAX((CROQUIS!$C$133*MAX(1,CEILING((INT(((CROQUIS!$C$98)-CROQUIS!$C$107)/MAX(CROQUIS!$C$133,1))+1)/80,1))),1))+1))-1,0),0,MOD($A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CA54">
        <f>IF(AND(CROQUIS!$C$88=1,CROQUIS!$C$91=1,CROQUIS!$C$133&gt;0),((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5">
      <c r="A55" t="n">
        <v>48</v>
      </c>
      <c r="AJ55">
        <f>IF(AND(CROQUIS!$C$87=1,CROQUIS!$C$162&gt;0,CROQUIS!$C$164&gt;0),(CROQUIS!$C$160+((CROQUIS!$C$163+INT(MIN(INT(($A55-1)/2),MAX((2*CROQUIS!$C$162)-1,0))/2)*CROQUIS!$C$116+MOD(MIN(INT(($A55-1)/2),MAX((2*CROQUIS!$C$162)-1,0)),2)*CROQUIS!$C$114))*CROQUIS!$C$159),-1000)</f>
        <v>81.3375508359693</v>
      </c>
      <c r="AK55">
        <f>IF(AND(CROQUIS!$C$87=1,CROQUIS!$C$162&gt;0,CROQUIS!$C$164&gt;0),(CROQUIS!$C$161+(IF(MOD(MIN(INT(($A55-1)/2),MAX((2*CROQUIS!$C$162)-1,0)),2)=0,IF(IF(INT(($A55-1)/2)&gt;MAX((2*CROQUIS!$C$162)-1,0),1,MOD($A55-1,2))=0,CROQUIS!$C$165,(CROQUIS!$C$165+(CROQUIS!$C$164-1)*CROQUIS!$C$116+CROQUIS!$C$115)),IF(IF(INT(($A55-1)/2)&gt;MAX((2*CROQUIS!$C$162)-1,0),1,MOD($A55-1,2))=0,(CROQUIS!$C$165+(CROQUIS!$C$164-1)*CROQUIS!$C$116+CROQUIS!$C$115),CROQUIS!$C$165)))*CROQUIS!$C$159),-1000)</f>
        <v>20.8088567555355</v>
      </c>
      <c r="AL55">
        <f>IF(AND(CROQUIS!$C$87=1,CROQUIS!$C$164&gt;0,CROQUIS!$C$162&gt;0),(CROQUIS!$C$160+(IF(MOD(MIN(INT(($A55-1)/2),MAX((2*CROQUIS!$C$164)-1,0)),2)=0,IF(IF(INT(($A55-1)/2)&gt;MAX((2*CROQUIS!$C$164)-1,0),1,MOD($A55-1,2))=0,CROQUIS!$C$163,(CROQUIS!$C$163+(CROQUIS!$C$162-1)*CROQUIS!$C$116+CROQUIS!$C$114)),IF(IF(INT(($A55-1)/2)&gt;MAX((2*CROQUIS!$C$164)-1,0),1,MOD($A55-1,2))=0,(CROQUIS!$C$163+(CROQUIS!$C$162-1)*CROQUIS!$C$116+CROQUIS!$C$114),CROQUIS!$C$163)))*CROQUIS!$C$159),-1000)</f>
        <v>22.9552643470402</v>
      </c>
      <c r="AM55">
        <f>IF(AND(CROQUIS!$C$87=1,CROQUIS!$C$164&gt;0,CROQUIS!$C$162&gt;0),(CROQUIS!$C$161+((CROQUIS!$C$165+INT(MIN(INT(($A55-1)/2),MAX((2*CROQUIS!$C$164)-1,0))/2)*CROQUIS!$C$116+MOD(MIN(INT(($A55-1)/2),MAX((2*CROQUIS!$C$164)-1,0)),2)*CROQUIS!$C$115))*CROQUIS!$C$159),-1000)</f>
        <v>79.1911432444645</v>
      </c>
      <c r="AN55">
        <f>IF(AND(CROQUIS!$C$87=1,CROQUIS!$C$162&gt;=2),(CROQUIS!$C$160+((CROQUIS!$C$163+CROQUIS!$C$114+(CROQUIS!$C$116-CROQUIS!$C$114)/2+MIN(INT(($A55-1)/2),MAX((CROQUIS!$C$162-1)-1,0))*CROQUIS!$C$116))*CROQUIS!$C$159),-1000)</f>
        <v>70.1762313601446</v>
      </c>
      <c r="AO55">
        <f>IF(AND(CROQUIS!$C$87=1,CROQUIS!$C$162&gt;=2),(CROQUIS!$C$161+(IF(MOD(MIN(INT(($A55-1)/2),MAX((CROQUIS!$C$162-1)-1,0)),2)=0,IF(IF(INT(($A55-1)/2)&gt;MAX((CROQUIS!$C$162-1)-1,0),1,MOD($A55-1,2))=0,CROQUIS!$C$107/2,(CROQUIS!$C$96-CROQUIS!$C$107/2)),IF(IF(INT(($A55-1)/2)&gt;MAX((CROQUIS!$C$162-1)-1,0),1,MOD($A55-1,2))=0,(CROQUIS!$C$96-CROQUIS!$C$107/2),CROQUIS!$C$107/2)))*CROQUIS!$C$159),-1000)</f>
        <v>16.9453230908269</v>
      </c>
      <c r="AP55">
        <f>IF(AND(CROQUIS!$C$87=1,CROQUIS!$C$164&gt;=2),(CROQUIS!$C$160+(IF(MOD(MIN(INT(($A55-1)/2),MAX((CROQUIS!$C$164-1)-1,0)),2)=0,IF(IF(INT(($A55-1)/2)&gt;MAX((CROQUIS!$C$164-1)-1,0),1,MOD($A55-1,2))=0,CROQUIS!$C$107/2,(CROQUIS!$C$95-CROQUIS!$C$107/2)),IF(IF(INT(($A55-1)/2)&gt;MAX((CROQUIS!$C$164-1)-1,0),1,MOD($A55-1,2))=0,(CROQUIS!$C$95-CROQUIS!$C$107/2),CROQUIS!$C$107/2)))*CROQUIS!$C$159),-1000)</f>
        <v>13.2878445549028</v>
      </c>
      <c r="AQ55">
        <f>IF(AND(CROQUIS!$C$87=1,CROQUIS!$C$164&gt;=2),(CROQUIS!$C$161+((CROQUIS!$C$165+CROQUIS!$C$115+(CROQUIS!$C$116-CROQUIS!$C$115)/2+MIN(INT(($A55-1)/2),MAX((CROQUIS!$C$164-1)-1,0))*CROQUIS!$C$116))*CROQUIS!$C$159),-1000)</f>
        <v>68.0298237686399</v>
      </c>
      <c r="BN55">
        <f>IF(AND(CROQUIS!$C$88=1,CROQUIS!$C$129&gt;0),((CROQUIS!$C$160+(IF(CROQUIS!$C$92="X",CHOOSE(IF(INT(($A55-1)/5)&gt;MAX((MAX(1,INT(((CROQUIS!$C$98)-CROQUIS!$C$107)/MAX((CROQUIS!$C$129*MAX(1,CEILING((INT(((CROQUIS!$C$98)-CROQUIS!$C$107)/MAX(CROQUIS!$C$129,1))+1)/80,1))),1))+1))-1,0),0,MOD($A55-1,5))+1,0,2,CROQUIS!$C$97-2,2,0),((CROQUIS!$C$107/2+(((CROQUIS!$C$98)-CROQUIS!$C$107)-(MAX(1,INT(((CROQUIS!$C$98)-CROQUIS!$C$107)/MAX((CROQUIS!$C$129*MAX(1,CEILING((INT(((CROQUIS!$C$98)-CROQUIS!$C$107)/MAX(CROQUIS!$C$129,1))+1)/80,1))),1))+1)-1)*(CROQUIS!$C$129*MAX(1,CEILING((INT(((CROQUIS!$C$98)-CROQUIS!$C$107)/MAX(CROQUIS!$C$129,1))+1)/80,1))))/2)+MIN(INT(($A55-1)/5),MAX((MAX(1,INT(((CROQUIS!$C$98)-CROQUIS!$C$107)/MAX((CROQUIS!$C$129*MAX(1,CEILING((INT(((CROQUIS!$C$98)-CROQUIS!$C$107)/MAX(CROQUIS!$C$129,1))+1)/80,1))),1))+1))-1,0))*(CROQUIS!$C$129*MAX(1,CEILING((INT(((CROQUIS!$C$98)-CROQUIS!$C$107)/MAX(CROQUIS!$C$129,1))+1)/80,1))))))*CROQUIS!$C$159)+IF(CROQUIS!$C$92="X",0,0)),-1000)</f>
        <v>-1000</v>
      </c>
      <c r="BO55">
        <f>IF(AND(CROQUIS!$C$88=1,CROQUIS!$C$129&gt;0),((CROQUIS!$C$161+(IF(CROQUIS!$C$92="X",((CROQUIS!$C$107/2+(((CROQUIS!$C$98)-CROQUIS!$C$107)-(MAX(1,INT(((CROQUIS!$C$98)-CROQUIS!$C$107)/MAX((CROQUIS!$C$129*MAX(1,CEILING((INT(((CROQUIS!$C$98)-CROQUIS!$C$107)/MAX(CROQUIS!$C$129,1))+1)/80,1))),1))+1)-1)*(CROQUIS!$C$129*MAX(1,CEILING((INT(((CROQUIS!$C$98)-CROQUIS!$C$107)/MAX(CROQUIS!$C$129,1))+1)/80,1))))/2)+MIN(INT(($A55-1)/5),MAX((MAX(1,INT(((CROQUIS!$C$98)-CROQUIS!$C$107)/MAX((CROQUIS!$C$129*MAX(1,CEILING((INT(((CROQUIS!$C$98)-CROQUIS!$C$107)/MAX(CROQUIS!$C$129,1))+1)/80,1))),1))+1))-1,0))*(CROQUIS!$C$129*MAX(1,CEILING((INT(((CROQUIS!$C$98)-CROQUIS!$C$107)/MAX(CROQUIS!$C$129,1))+1)/80,1)))),CHOOSE(IF(INT(($A55-1)/5)&gt;MAX((MAX(1,INT(((CROQUIS!$C$98)-CROQUIS!$C$107)/MAX((CROQUIS!$C$129*MAX(1,CEILING((INT(((CROQUIS!$C$98)-CROQUIS!$C$107)/MAX(CROQUIS!$C$129,1))+1)/80,1))),1))+1))-1,0),0,MOD($A55-1,5))+1,0,2,CROQUIS!$C$97-2,2,0)))*CROQUIS!$C$159)+IF(CROQUIS!$C$92="X",0,0)),-1000)</f>
        <v>-1000</v>
      </c>
      <c r="BP55">
        <f>IF(AND(CROQUIS!$C$88=1,CROQUIS!$C$137&gt;0),((CROQUIS!$C$160+(IF(CROQUIS!$C$92="X",((CROQUIS!$C$107/2+(((CROQUIS!$C$97)-CROQUIS!$C$107)-(MAX(1,INT(((CROQUIS!$C$97)-CROQUIS!$C$107)/MAX((CROQUIS!$C$137*MAX(1,CEILING((INT(((CROQUIS!$C$97)-CROQUIS!$C$107)/MAX(CROQUIS!$C$137,1))+1)/80,1))),1))+1)-1)*(CROQUIS!$C$137*MAX(1,CEILING((INT(((CROQUIS!$C$97)-CROQUIS!$C$107)/MAX(CROQUIS!$C$137,1))+1)/80,1))))/2)+MIN(INT(($A55-1)/5),MAX((MAX(1,INT(((CROQUIS!$C$97)-CROQUIS!$C$107)/MAX((CROQUIS!$C$137*MAX(1,CEILING((INT(((CROQUIS!$C$97)-CROQUIS!$C$107)/MAX(CROQUIS!$C$137,1))+1)/80,1))),1))+1))-1,0))*(CROQUIS!$C$137*MAX(1,CEILING((INT(((CROQUIS!$C$97)-CROQUIS!$C$107)/MAX(CROQUIS!$C$137,1))+1)/80,1)))),CHOOSE(IF(INT(($A55-1)/5)&gt;MAX((MAX(1,INT(((CROQUIS!$C$97)-CROQUIS!$C$107)/MAX((CROQUIS!$C$137*MAX(1,CEILING((INT(((CROQUIS!$C$97)-CROQUIS!$C$107)/MAX(CROQUIS!$C$137,1))+1)/80,1))),1))+1))-1,0),0,MOD($A55-1,5))+1,0,2,CROQUIS!$C$98-2,2,0)))*CROQUIS!$C$159)+IF(CROQUIS!$C$92="X",0,0)),-1000)</f>
        <v>-1000</v>
      </c>
      <c r="BQ55">
        <f>IF(AND(CROQUIS!$C$88=1,CROQUIS!$C$137&gt;0),((CROQUIS!$C$161+(IF(CROQUIS!$C$92="X",CHOOSE(IF(INT(($A55-1)/5)&gt;MAX((MAX(1,INT(((CROQUIS!$C$97)-CROQUIS!$C$107)/MAX((CROQUIS!$C$137*MAX(1,CEILING((INT(((CROQUIS!$C$97)-CROQUIS!$C$107)/MAX(CROQUIS!$C$137,1))+1)/80,1))),1))+1))-1,0),0,MOD($A55-1,5))+1,0,2,CROQUIS!$C$98-2,2,0),((CROQUIS!$C$107/2+(((CROQUIS!$C$97)-CROQUIS!$C$107)-(MAX(1,INT(((CROQUIS!$C$97)-CROQUIS!$C$107)/MAX((CROQUIS!$C$137*MAX(1,CEILING((INT(((CROQUIS!$C$97)-CROQUIS!$C$107)/MAX(CROQUIS!$C$137,1))+1)/80,1))),1))+1)-1)*(CROQUIS!$C$137*MAX(1,CEILING((INT(((CROQUIS!$C$97)-CROQUIS!$C$107)/MAX(CROQUIS!$C$137,1))+1)/80,1))))/2)+MIN(INT(($A55-1)/5),MAX((MAX(1,INT(((CROQUIS!$C$97)-CROQUIS!$C$107)/MAX((CROQUIS!$C$137*MAX(1,CEILING((INT(((CROQUIS!$C$97)-CROQUIS!$C$107)/MAX(CROQUIS!$C$137,1))+1)/80,1))),1))+1))-1,0))*(CROQUIS!$C$137*MAX(1,CEILING((INT(((CROQUIS!$C$97)-CROQUIS!$C$107)/MAX(CROQUIS!$C$137,1))+1)/80,1))))))*CROQUIS!$C$159)+IF(CROQUIS!$C$92="X",0,0)),-1000)</f>
        <v>-1000</v>
      </c>
      <c r="BR55">
        <f>IF(AND(CROQUIS!$C$88=1,CROQUIS!$C$91=0,CROQUIS!$C$133&gt;0,OR(CROQUIS!$C$103=1,CROQUIS!$C$145=1)),((CROQUIS!$C$160+(IF(CROQUIS!$C$92="X",CHOOSE(IF(INT(($A55-1)/5)&gt;MAX((MAX(1,INT(((CROQUIS!$C$98)-CROQUIS!$C$107)/MAX((CROQUIS!$C$133*MAX(1,CEILING((INT(((CROQUIS!$C$98)-CROQUIS!$C$107)/MAX(CROQUIS!$C$133,1))+1)/80,1))),1))+1))-1,0),0,MOD($A55-1,5))+1,0,IF(CROQUIS!$C$103=1,-12,2),CROQUIS!$C$107/2+CROQUIS!$C$143,IF(CROQUIS!$C$103=1,-12,2),0),((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BS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+1,0,IF(CROQUIS!$C$103=1,-12,2),CROQUIS!$C$107/2+CROQUIS!$C$143,IF(CROQUIS!$C$103=1,-12,2),0)))*CROQUIS!$C$159)+IF(CROQUIS!$C$92="X",0.8,0)),-1000)</f>
        <v>-1000</v>
      </c>
      <c r="BT55">
        <f>IF(AND(CROQUIS!$C$88=1,CROQUIS!$C$91=0,CROQUIS!$C$133&gt;0,OR(CROQUIS!$C$104=1,CROQUIS!$C$145=1)),((CROQUIS!$C$160+(IF(CROQUIS!$C$92="X",CHOOSE(IF(INT(($A55-1)/5)&gt;MAX((MAX(1,INT(((CROQUIS!$C$98)-CROQUIS!$C$107)/MAX((CROQUIS!$C$133*MAX(1,CEILING((INT(((CROQUIS!$C$98)-CROQUIS!$C$107)/MAX(CROQUIS!$C$133,1))+1)/80,1))),1))+1))-1,0),0,MOD($A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BU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CROQUIS!$C$97,CROQUIS!$C$97-CROQUIS!$C$107/2-CROQUIS!$C$143,IF(CROQUIS!$C$104=1,CROQUIS!$C$97+12,CROQUIS!$C$97-2),CROQUIS!$C$97-CROQUIS!$C$107/2-CROQUIS!$C$143,CROQUIS!$C$97)))*CROQUIS!$C$159)+IF(CROQUIS!$C$92="X",0.8,0)),-1000)</f>
        <v>-1000</v>
      </c>
      <c r="BV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HOOSE(IF(INT(($A55-1)/5)&gt;MAX((MAX(1,INT(((CROQUIS!$C$97)-CROQUIS!$C$107)/MAX((CROQUIS!$C$141*MAX(1,CEILING((INT(((CROQUIS!$C$97)-CROQUIS!$C$107)/MAX(CROQUIS!$C$141,1))+1)/80,1))),1))+1))-1,0),0,MOD($A55-1,5))+1,0,IF(CROQUIS!$C$105=1,-12,2),CROQUIS!$C$107/2+CROQUIS!$C$144,IF(CROQUIS!$C$105=1,-12,2),0)))*CROQUIS!$C$159)+IF(CROQUIS!$C$92="X",0.8,0)),-1000)</f>
        <v>-1000</v>
      </c>
      <c r="BW55">
        <f>IF(AND(CROQUIS!$C$88=1,CROQUIS!$C$91=0,CROQUIS!$C$141&gt;0,OR(CROQUIS!$C$105=1,CROQUIS!$C$146=1)),((CROQUIS!$C$161+(IF(CROQUIS!$C$92="X",CHOOSE(IF(INT(($A55-1)/5)&gt;MAX((MAX(1,INT(((CROQUIS!$C$97)-CROQUIS!$C$107)/MAX((CROQUIS!$C$141*MAX(1,CEILING((INT(((CROQUIS!$C$97)-CROQUIS!$C$107)/MAX(CROQUIS!$C$141,1))+1)/80,1))),1))+1))-1,0),0,MOD($A55-1,5))+1,0,IF(CROQUIS!$C$105=1,-12,2),CROQUIS!$C$107/2+CROQUIS!$C$144,IF(CROQUIS!$C$105=1,-12,2),0),((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ROQUIS!$C$159)+IF(CROQUIS!$C$92="X",0,0.8)),-1000)</f>
        <v>-1000</v>
      </c>
      <c r="BX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HOOSE(IF(INT(($A55-1)/5)&gt;MAX((MAX(1,INT(((CROQUIS!$C$97)-CROQUIS!$C$107)/MAX((CROQUIS!$C$141*MAX(1,CEILING((INT(((CROQUIS!$C$97)-CROQUIS!$C$107)/MAX(CROQUIS!$C$141,1))+1)/80,1))),1))+1))-1,0),0,MOD($A55-1,5))+1,CROQUIS!$C$98,CROQUIS!$C$98-CROQUIS!$C$107/2-CROQUIS!$C$144,IF(CROQUIS!$C$106=1,CROQUIS!$C$98+12,CROQUIS!$C$98-2),CROQUIS!$C$98-CROQUIS!$C$107/2-CROQUIS!$C$144,CROQUIS!$C$98)))*CROQUIS!$C$159)+IF(CROQUIS!$C$92="X",0.8,0)),-1000)</f>
        <v>-1000</v>
      </c>
      <c r="BY55">
        <f>IF(AND(CROQUIS!$C$88=1,CROQUIS!$C$91=0,CROQUIS!$C$141&gt;0,OR(CROQUIS!$C$106=1,CROQUIS!$C$146=1)),((CROQUIS!$C$161+(IF(CROQUIS!$C$92="X",CHOOSE(IF(INT(($A55-1)/5)&gt;MAX((MAX(1,INT(((CROQUIS!$C$97)-CROQUIS!$C$107)/MAX((CROQUIS!$C$141*MAX(1,CEILING((INT(((CROQUIS!$C$97)-CROQUIS!$C$107)/MAX(CROQUIS!$C$141,1))+1)/80,1))),1))+1))-1,0),0,MOD($A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ROQUIS!$C$159)+IF(CROQUIS!$C$92="X",0,0.8)),-1000)</f>
        <v>-1000</v>
      </c>
      <c r="BZ55">
        <f>IF(AND(CROQUIS!$C$88=1,CROQUIS!$C$91=1,CROQUIS!$C$133&gt;0),((CROQUIS!$C$160+(IF(CROQUIS!$C$92="X",CHOOSE(IF(INT(($A55-1)/5)&gt;MAX((MAX(1,INT(((CROQUIS!$C$98)-CROQUIS!$C$107)/MAX((CROQUIS!$C$133*MAX(1,CEILING((INT(((CROQUIS!$C$98)-CROQUIS!$C$107)/MAX(CROQUIS!$C$133,1))+1)/80,1))),1))+1))-1,0),0,MOD($A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CA55">
        <f>IF(AND(CROQUIS!$C$88=1,CROQUIS!$C$91=1,CROQUIS!$C$133&gt;0),((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6">
      <c r="A56" t="n">
        <v>49</v>
      </c>
      <c r="AJ56">
        <f>IF(AND(CROQUIS!$C$87=1,CROQUIS!$C$162&gt;0,CROQUIS!$C$164&gt;0),(CROQUIS!$C$160+((CROQUIS!$C$163+INT(MIN(INT(($A56-1)/2),MAX((2*CROQUIS!$C$162)-1,0))/2)*CROQUIS!$C$116+MOD(MIN(INT(($A56-1)/2),MAX((2*CROQUIS!$C$162)-1,0)),2)*CROQUIS!$C$114))*CROQUIS!$C$159),-1000)</f>
        <v>81.3375508359693</v>
      </c>
      <c r="AK56">
        <f>IF(AND(CROQUIS!$C$87=1,CROQUIS!$C$162&gt;0,CROQUIS!$C$164&gt;0),(CROQUIS!$C$161+(IF(MOD(MIN(INT(($A56-1)/2),MAX((2*CROQUIS!$C$162)-1,0)),2)=0,IF(IF(INT(($A56-1)/2)&gt;MAX((2*CROQUIS!$C$162)-1,0),1,MOD($A56-1,2))=0,CROQUIS!$C$165,(CROQUIS!$C$165+(CROQUIS!$C$164-1)*CROQUIS!$C$116+CROQUIS!$C$115)),IF(IF(INT(($A56-1)/2)&gt;MAX((2*CROQUIS!$C$162)-1,0),1,MOD($A56-1,2))=0,(CROQUIS!$C$165+(CROQUIS!$C$164-1)*CROQUIS!$C$116+CROQUIS!$C$115),CROQUIS!$C$165)))*CROQUIS!$C$159),-1000)</f>
        <v>20.8088567555355</v>
      </c>
      <c r="AL56">
        <f>IF(AND(CROQUIS!$C$87=1,CROQUIS!$C$164&gt;0,CROQUIS!$C$162&gt;0),(CROQUIS!$C$160+(IF(MOD(MIN(INT(($A56-1)/2),MAX((2*CROQUIS!$C$164)-1,0)),2)=0,IF(IF(INT(($A56-1)/2)&gt;MAX((2*CROQUIS!$C$164)-1,0),1,MOD($A56-1,2))=0,CROQUIS!$C$163,(CROQUIS!$C$163+(CROQUIS!$C$162-1)*CROQUIS!$C$116+CROQUIS!$C$114)),IF(IF(INT(($A56-1)/2)&gt;MAX((2*CROQUIS!$C$164)-1,0),1,MOD($A56-1,2))=0,(CROQUIS!$C$163+(CROQUIS!$C$162-1)*CROQUIS!$C$116+CROQUIS!$C$114),CROQUIS!$C$163)))*CROQUIS!$C$159),-1000)</f>
        <v>22.9552643470402</v>
      </c>
      <c r="AM56">
        <f>IF(AND(CROQUIS!$C$87=1,CROQUIS!$C$164&gt;0,CROQUIS!$C$162&gt;0),(CROQUIS!$C$161+((CROQUIS!$C$165+INT(MIN(INT(($A56-1)/2),MAX((2*CROQUIS!$C$164)-1,0))/2)*CROQUIS!$C$116+MOD(MIN(INT(($A56-1)/2),MAX((2*CROQUIS!$C$164)-1,0)),2)*CROQUIS!$C$115))*CROQUIS!$C$159),-1000)</f>
        <v>79.1911432444645</v>
      </c>
      <c r="AN56">
        <f>IF(AND(CROQUIS!$C$87=1,CROQUIS!$C$162&gt;=2),(CROQUIS!$C$160+((CROQUIS!$C$163+CROQUIS!$C$114+(CROQUIS!$C$116-CROQUIS!$C$114)/2+MIN(INT(($A56-1)/2),MAX((CROQUIS!$C$162-1)-1,0))*CROQUIS!$C$116))*CROQUIS!$C$159),-1000)</f>
        <v>70.1762313601446</v>
      </c>
      <c r="AO56">
        <f>IF(AND(CROQUIS!$C$87=1,CROQUIS!$C$162&gt;=2),(CROQUIS!$C$161+(IF(MOD(MIN(INT(($A56-1)/2),MAX((CROQUIS!$C$162-1)-1,0)),2)=0,IF(IF(INT(($A56-1)/2)&gt;MAX((CROQUIS!$C$162-1)-1,0),1,MOD($A56-1,2))=0,CROQUIS!$C$107/2,(CROQUIS!$C$96-CROQUIS!$C$107/2)),IF(IF(INT(($A56-1)/2)&gt;MAX((CROQUIS!$C$162-1)-1,0),1,MOD($A56-1,2))=0,(CROQUIS!$C$96-CROQUIS!$C$107/2),CROQUIS!$C$107/2)))*CROQUIS!$C$159),-1000)</f>
        <v>16.9453230908269</v>
      </c>
      <c r="AP56">
        <f>IF(AND(CROQUIS!$C$87=1,CROQUIS!$C$164&gt;=2),(CROQUIS!$C$160+(IF(MOD(MIN(INT(($A56-1)/2),MAX((CROQUIS!$C$164-1)-1,0)),2)=0,IF(IF(INT(($A56-1)/2)&gt;MAX((CROQUIS!$C$164-1)-1,0),1,MOD($A56-1,2))=0,CROQUIS!$C$107/2,(CROQUIS!$C$95-CROQUIS!$C$107/2)),IF(IF(INT(($A56-1)/2)&gt;MAX((CROQUIS!$C$164-1)-1,0),1,MOD($A56-1,2))=0,(CROQUIS!$C$95-CROQUIS!$C$107/2),CROQUIS!$C$107/2)))*CROQUIS!$C$159),-1000)</f>
        <v>13.2878445549028</v>
      </c>
      <c r="AQ56">
        <f>IF(AND(CROQUIS!$C$87=1,CROQUIS!$C$164&gt;=2),(CROQUIS!$C$161+((CROQUIS!$C$165+CROQUIS!$C$115+(CROQUIS!$C$116-CROQUIS!$C$115)/2+MIN(INT(($A56-1)/2),MAX((CROQUIS!$C$164-1)-1,0))*CROQUIS!$C$116))*CROQUIS!$C$159),-1000)</f>
        <v>68.0298237686399</v>
      </c>
      <c r="BN56">
        <f>IF(AND(CROQUIS!$C$88=1,CROQUIS!$C$129&gt;0),((CROQUIS!$C$160+(IF(CROQUIS!$C$92="X",CHOOSE(IF(INT(($A56-1)/5)&gt;MAX((MAX(1,INT(((CROQUIS!$C$98)-CROQUIS!$C$107)/MAX((CROQUIS!$C$129*MAX(1,CEILING((INT(((CROQUIS!$C$98)-CROQUIS!$C$107)/MAX(CROQUIS!$C$129,1))+1)/80,1))),1))+1))-1,0),0,MOD($A56-1,5))+1,0,2,CROQUIS!$C$97-2,2,0),((CROQUIS!$C$107/2+(((CROQUIS!$C$98)-CROQUIS!$C$107)-(MAX(1,INT(((CROQUIS!$C$98)-CROQUIS!$C$107)/MAX((CROQUIS!$C$129*MAX(1,CEILING((INT(((CROQUIS!$C$98)-CROQUIS!$C$107)/MAX(CROQUIS!$C$129,1))+1)/80,1))),1))+1)-1)*(CROQUIS!$C$129*MAX(1,CEILING((INT(((CROQUIS!$C$98)-CROQUIS!$C$107)/MAX(CROQUIS!$C$129,1))+1)/80,1))))/2)+MIN(INT(($A56-1)/5),MAX((MAX(1,INT(((CROQUIS!$C$98)-CROQUIS!$C$107)/MAX((CROQUIS!$C$129*MAX(1,CEILING((INT(((CROQUIS!$C$98)-CROQUIS!$C$107)/MAX(CROQUIS!$C$129,1))+1)/80,1))),1))+1))-1,0))*(CROQUIS!$C$129*MAX(1,CEILING((INT(((CROQUIS!$C$98)-CROQUIS!$C$107)/MAX(CROQUIS!$C$129,1))+1)/80,1))))))*CROQUIS!$C$159)+IF(CROQUIS!$C$92="X",0,0)),-1000)</f>
        <v>-1000</v>
      </c>
      <c r="BO56">
        <f>IF(AND(CROQUIS!$C$88=1,CROQUIS!$C$129&gt;0),((CROQUIS!$C$161+(IF(CROQUIS!$C$92="X",((CROQUIS!$C$107/2+(((CROQUIS!$C$98)-CROQUIS!$C$107)-(MAX(1,INT(((CROQUIS!$C$98)-CROQUIS!$C$107)/MAX((CROQUIS!$C$129*MAX(1,CEILING((INT(((CROQUIS!$C$98)-CROQUIS!$C$107)/MAX(CROQUIS!$C$129,1))+1)/80,1))),1))+1)-1)*(CROQUIS!$C$129*MAX(1,CEILING((INT(((CROQUIS!$C$98)-CROQUIS!$C$107)/MAX(CROQUIS!$C$129,1))+1)/80,1))))/2)+MIN(INT(($A56-1)/5),MAX((MAX(1,INT(((CROQUIS!$C$98)-CROQUIS!$C$107)/MAX((CROQUIS!$C$129*MAX(1,CEILING((INT(((CROQUIS!$C$98)-CROQUIS!$C$107)/MAX(CROQUIS!$C$129,1))+1)/80,1))),1))+1))-1,0))*(CROQUIS!$C$129*MAX(1,CEILING((INT(((CROQUIS!$C$98)-CROQUIS!$C$107)/MAX(CROQUIS!$C$129,1))+1)/80,1)))),CHOOSE(IF(INT(($A56-1)/5)&gt;MAX((MAX(1,INT(((CROQUIS!$C$98)-CROQUIS!$C$107)/MAX((CROQUIS!$C$129*MAX(1,CEILING((INT(((CROQUIS!$C$98)-CROQUIS!$C$107)/MAX(CROQUIS!$C$129,1))+1)/80,1))),1))+1))-1,0),0,MOD($A56-1,5))+1,0,2,CROQUIS!$C$97-2,2,0)))*CROQUIS!$C$159)+IF(CROQUIS!$C$92="X",0,0)),-1000)</f>
        <v>-1000</v>
      </c>
      <c r="BP56">
        <f>IF(AND(CROQUIS!$C$88=1,CROQUIS!$C$137&gt;0),((CROQUIS!$C$160+(IF(CROQUIS!$C$92="X",((CROQUIS!$C$107/2+(((CROQUIS!$C$97)-CROQUIS!$C$107)-(MAX(1,INT(((CROQUIS!$C$97)-CROQUIS!$C$107)/MAX((CROQUIS!$C$137*MAX(1,CEILING((INT(((CROQUIS!$C$97)-CROQUIS!$C$107)/MAX(CROQUIS!$C$137,1))+1)/80,1))),1))+1)-1)*(CROQUIS!$C$137*MAX(1,CEILING((INT(((CROQUIS!$C$97)-CROQUIS!$C$107)/MAX(CROQUIS!$C$137,1))+1)/80,1))))/2)+MIN(INT(($A56-1)/5),MAX((MAX(1,INT(((CROQUIS!$C$97)-CROQUIS!$C$107)/MAX((CROQUIS!$C$137*MAX(1,CEILING((INT(((CROQUIS!$C$97)-CROQUIS!$C$107)/MAX(CROQUIS!$C$137,1))+1)/80,1))),1))+1))-1,0))*(CROQUIS!$C$137*MAX(1,CEILING((INT(((CROQUIS!$C$97)-CROQUIS!$C$107)/MAX(CROQUIS!$C$137,1))+1)/80,1)))),CHOOSE(IF(INT(($A56-1)/5)&gt;MAX((MAX(1,INT(((CROQUIS!$C$97)-CROQUIS!$C$107)/MAX((CROQUIS!$C$137*MAX(1,CEILING((INT(((CROQUIS!$C$97)-CROQUIS!$C$107)/MAX(CROQUIS!$C$137,1))+1)/80,1))),1))+1))-1,0),0,MOD($A56-1,5))+1,0,2,CROQUIS!$C$98-2,2,0)))*CROQUIS!$C$159)+IF(CROQUIS!$C$92="X",0,0)),-1000)</f>
        <v>-1000</v>
      </c>
      <c r="BQ56">
        <f>IF(AND(CROQUIS!$C$88=1,CROQUIS!$C$137&gt;0),((CROQUIS!$C$161+(IF(CROQUIS!$C$92="X",CHOOSE(IF(INT(($A56-1)/5)&gt;MAX((MAX(1,INT(((CROQUIS!$C$97)-CROQUIS!$C$107)/MAX((CROQUIS!$C$137*MAX(1,CEILING((INT(((CROQUIS!$C$97)-CROQUIS!$C$107)/MAX(CROQUIS!$C$137,1))+1)/80,1))),1))+1))-1,0),0,MOD($A56-1,5))+1,0,2,CROQUIS!$C$98-2,2,0),((CROQUIS!$C$107/2+(((CROQUIS!$C$97)-CROQUIS!$C$107)-(MAX(1,INT(((CROQUIS!$C$97)-CROQUIS!$C$107)/MAX((CROQUIS!$C$137*MAX(1,CEILING((INT(((CROQUIS!$C$97)-CROQUIS!$C$107)/MAX(CROQUIS!$C$137,1))+1)/80,1))),1))+1)-1)*(CROQUIS!$C$137*MAX(1,CEILING((INT(((CROQUIS!$C$97)-CROQUIS!$C$107)/MAX(CROQUIS!$C$137,1))+1)/80,1))))/2)+MIN(INT(($A56-1)/5),MAX((MAX(1,INT(((CROQUIS!$C$97)-CROQUIS!$C$107)/MAX((CROQUIS!$C$137*MAX(1,CEILING((INT(((CROQUIS!$C$97)-CROQUIS!$C$107)/MAX(CROQUIS!$C$137,1))+1)/80,1))),1))+1))-1,0))*(CROQUIS!$C$137*MAX(1,CEILING((INT(((CROQUIS!$C$97)-CROQUIS!$C$107)/MAX(CROQUIS!$C$137,1))+1)/80,1))))))*CROQUIS!$C$159)+IF(CROQUIS!$C$92="X",0,0)),-1000)</f>
        <v>-1000</v>
      </c>
      <c r="BR56">
        <f>IF(AND(CROQUIS!$C$88=1,CROQUIS!$C$91=0,CROQUIS!$C$133&gt;0,OR(CROQUIS!$C$103=1,CROQUIS!$C$145=1)),((CROQUIS!$C$160+(IF(CROQUIS!$C$92="X",CHOOSE(IF(INT(($A56-1)/5)&gt;MAX((MAX(1,INT(((CROQUIS!$C$98)-CROQUIS!$C$107)/MAX((CROQUIS!$C$133*MAX(1,CEILING((INT(((CROQUIS!$C$98)-CROQUIS!$C$107)/MAX(CROQUIS!$C$133,1))+1)/80,1))),1))+1))-1,0),0,MOD($A56-1,5))+1,0,IF(CROQUIS!$C$103=1,-12,2),CROQUIS!$C$107/2+CROQUIS!$C$143,IF(CROQUIS!$C$103=1,-12,2),0),((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BS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+1,0,IF(CROQUIS!$C$103=1,-12,2),CROQUIS!$C$107/2+CROQUIS!$C$143,IF(CROQUIS!$C$103=1,-12,2),0)))*CROQUIS!$C$159)+IF(CROQUIS!$C$92="X",0.8,0)),-1000)</f>
        <v>-1000</v>
      </c>
      <c r="BT56">
        <f>IF(AND(CROQUIS!$C$88=1,CROQUIS!$C$91=0,CROQUIS!$C$133&gt;0,OR(CROQUIS!$C$104=1,CROQUIS!$C$145=1)),((CROQUIS!$C$160+(IF(CROQUIS!$C$92="X",CHOOSE(IF(INT(($A56-1)/5)&gt;MAX((MAX(1,INT(((CROQUIS!$C$98)-CROQUIS!$C$107)/MAX((CROQUIS!$C$133*MAX(1,CEILING((INT(((CROQUIS!$C$98)-CROQUIS!$C$107)/MAX(CROQUIS!$C$133,1))+1)/80,1))),1))+1))-1,0),0,MOD($A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BU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CROQUIS!$C$97,CROQUIS!$C$97-CROQUIS!$C$107/2-CROQUIS!$C$143,IF(CROQUIS!$C$104=1,CROQUIS!$C$97+12,CROQUIS!$C$97-2),CROQUIS!$C$97-CROQUIS!$C$107/2-CROQUIS!$C$143,CROQUIS!$C$97)))*CROQUIS!$C$159)+IF(CROQUIS!$C$92="X",0.8,0)),-1000)</f>
        <v>-1000</v>
      </c>
      <c r="BV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HOOSE(IF(INT(($A56-1)/5)&gt;MAX((MAX(1,INT(((CROQUIS!$C$97)-CROQUIS!$C$107)/MAX((CROQUIS!$C$141*MAX(1,CEILING((INT(((CROQUIS!$C$97)-CROQUIS!$C$107)/MAX(CROQUIS!$C$141,1))+1)/80,1))),1))+1))-1,0),0,MOD($A56-1,5))+1,0,IF(CROQUIS!$C$105=1,-12,2),CROQUIS!$C$107/2+CROQUIS!$C$144,IF(CROQUIS!$C$105=1,-12,2),0)))*CROQUIS!$C$159)+IF(CROQUIS!$C$92="X",0.8,0)),-1000)</f>
        <v>-1000</v>
      </c>
      <c r="BW56">
        <f>IF(AND(CROQUIS!$C$88=1,CROQUIS!$C$91=0,CROQUIS!$C$141&gt;0,OR(CROQUIS!$C$105=1,CROQUIS!$C$146=1)),((CROQUIS!$C$161+(IF(CROQUIS!$C$92="X",CHOOSE(IF(INT(($A56-1)/5)&gt;MAX((MAX(1,INT(((CROQUIS!$C$97)-CROQUIS!$C$107)/MAX((CROQUIS!$C$141*MAX(1,CEILING((INT(((CROQUIS!$C$97)-CROQUIS!$C$107)/MAX(CROQUIS!$C$141,1))+1)/80,1))),1))+1))-1,0),0,MOD($A56-1,5))+1,0,IF(CROQUIS!$C$105=1,-12,2),CROQUIS!$C$107/2+CROQUIS!$C$144,IF(CROQUIS!$C$105=1,-12,2),0),((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ROQUIS!$C$159)+IF(CROQUIS!$C$92="X",0,0.8)),-1000)</f>
        <v>-1000</v>
      </c>
      <c r="BX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HOOSE(IF(INT(($A56-1)/5)&gt;MAX((MAX(1,INT(((CROQUIS!$C$97)-CROQUIS!$C$107)/MAX((CROQUIS!$C$141*MAX(1,CEILING((INT(((CROQUIS!$C$97)-CROQUIS!$C$107)/MAX(CROQUIS!$C$141,1))+1)/80,1))),1))+1))-1,0),0,MOD($A56-1,5))+1,CROQUIS!$C$98,CROQUIS!$C$98-CROQUIS!$C$107/2-CROQUIS!$C$144,IF(CROQUIS!$C$106=1,CROQUIS!$C$98+12,CROQUIS!$C$98-2),CROQUIS!$C$98-CROQUIS!$C$107/2-CROQUIS!$C$144,CROQUIS!$C$98)))*CROQUIS!$C$159)+IF(CROQUIS!$C$92="X",0.8,0)),-1000)</f>
        <v>-1000</v>
      </c>
      <c r="BY56">
        <f>IF(AND(CROQUIS!$C$88=1,CROQUIS!$C$91=0,CROQUIS!$C$141&gt;0,OR(CROQUIS!$C$106=1,CROQUIS!$C$146=1)),((CROQUIS!$C$161+(IF(CROQUIS!$C$92="X",CHOOSE(IF(INT(($A56-1)/5)&gt;MAX((MAX(1,INT(((CROQUIS!$C$97)-CROQUIS!$C$107)/MAX((CROQUIS!$C$141*MAX(1,CEILING((INT(((CROQUIS!$C$97)-CROQUIS!$C$107)/MAX(CROQUIS!$C$141,1))+1)/80,1))),1))+1))-1,0),0,MOD($A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ROQUIS!$C$159)+IF(CROQUIS!$C$92="X",0,0.8)),-1000)</f>
        <v>-1000</v>
      </c>
      <c r="BZ56">
        <f>IF(AND(CROQUIS!$C$88=1,CROQUIS!$C$91=1,CROQUIS!$C$133&gt;0),((CROQUIS!$C$160+(IF(CROQUIS!$C$92="X",CHOOSE(IF(INT(($A56-1)/5)&gt;MAX((MAX(1,INT(((CROQUIS!$C$98)-CROQUIS!$C$107)/MAX((CROQUIS!$C$133*MAX(1,CEILING((INT(((CROQUIS!$C$98)-CROQUIS!$C$107)/MAX(CROQUIS!$C$133,1))+1)/80,1))),1))+1))-1,0),0,MOD($A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CA56">
        <f>IF(AND(CROQUIS!$C$88=1,CROQUIS!$C$91=1,CROQUIS!$C$133&gt;0),((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7">
      <c r="A57" t="n">
        <v>50</v>
      </c>
      <c r="AJ57">
        <f>IF(AND(CROQUIS!$C$87=1,CROQUIS!$C$162&gt;0,CROQUIS!$C$164&gt;0),(CROQUIS!$C$160+((CROQUIS!$C$163+INT(MIN(INT(($A57-1)/2),MAX((2*CROQUIS!$C$162)-1,0))/2)*CROQUIS!$C$116+MOD(MIN(INT(($A57-1)/2),MAX((2*CROQUIS!$C$162)-1,0)),2)*CROQUIS!$C$114))*CROQUIS!$C$159),-1000)</f>
        <v>81.3375508359693</v>
      </c>
      <c r="AK57">
        <f>IF(AND(CROQUIS!$C$87=1,CROQUIS!$C$162&gt;0,CROQUIS!$C$164&gt;0),(CROQUIS!$C$161+(IF(MOD(MIN(INT(($A57-1)/2),MAX((2*CROQUIS!$C$162)-1,0)),2)=0,IF(IF(INT(($A57-1)/2)&gt;MAX((2*CROQUIS!$C$162)-1,0),1,MOD($A57-1,2))=0,CROQUIS!$C$165,(CROQUIS!$C$165+(CROQUIS!$C$164-1)*CROQUIS!$C$116+CROQUIS!$C$115)),IF(IF(INT(($A57-1)/2)&gt;MAX((2*CROQUIS!$C$162)-1,0),1,MOD($A57-1,2))=0,(CROQUIS!$C$165+(CROQUIS!$C$164-1)*CROQUIS!$C$116+CROQUIS!$C$115),CROQUIS!$C$165)))*CROQUIS!$C$159),-1000)</f>
        <v>20.8088567555355</v>
      </c>
      <c r="AL57">
        <f>IF(AND(CROQUIS!$C$87=1,CROQUIS!$C$164&gt;0,CROQUIS!$C$162&gt;0),(CROQUIS!$C$160+(IF(MOD(MIN(INT(($A57-1)/2),MAX((2*CROQUIS!$C$164)-1,0)),2)=0,IF(IF(INT(($A57-1)/2)&gt;MAX((2*CROQUIS!$C$164)-1,0),1,MOD($A57-1,2))=0,CROQUIS!$C$163,(CROQUIS!$C$163+(CROQUIS!$C$162-1)*CROQUIS!$C$116+CROQUIS!$C$114)),IF(IF(INT(($A57-1)/2)&gt;MAX((2*CROQUIS!$C$164)-1,0),1,MOD($A57-1,2))=0,(CROQUIS!$C$163+(CROQUIS!$C$162-1)*CROQUIS!$C$116+CROQUIS!$C$114),CROQUIS!$C$163)))*CROQUIS!$C$159),-1000)</f>
        <v>22.9552643470402</v>
      </c>
      <c r="AM57">
        <f>IF(AND(CROQUIS!$C$87=1,CROQUIS!$C$164&gt;0,CROQUIS!$C$162&gt;0),(CROQUIS!$C$161+((CROQUIS!$C$165+INT(MIN(INT(($A57-1)/2),MAX((2*CROQUIS!$C$164)-1,0))/2)*CROQUIS!$C$116+MOD(MIN(INT(($A57-1)/2),MAX((2*CROQUIS!$C$164)-1,0)),2)*CROQUIS!$C$115))*CROQUIS!$C$159),-1000)</f>
        <v>79.1911432444645</v>
      </c>
      <c r="AN57">
        <f>IF(AND(CROQUIS!$C$87=1,CROQUIS!$C$162&gt;=2),(CROQUIS!$C$160+((CROQUIS!$C$163+CROQUIS!$C$114+(CROQUIS!$C$116-CROQUIS!$C$114)/2+MIN(INT(($A57-1)/2),MAX((CROQUIS!$C$162-1)-1,0))*CROQUIS!$C$116))*CROQUIS!$C$159),-1000)</f>
        <v>70.1762313601446</v>
      </c>
      <c r="AO57">
        <f>IF(AND(CROQUIS!$C$87=1,CROQUIS!$C$162&gt;=2),(CROQUIS!$C$161+(IF(MOD(MIN(INT(($A57-1)/2),MAX((CROQUIS!$C$162-1)-1,0)),2)=0,IF(IF(INT(($A57-1)/2)&gt;MAX((CROQUIS!$C$162-1)-1,0),1,MOD($A57-1,2))=0,CROQUIS!$C$107/2,(CROQUIS!$C$96-CROQUIS!$C$107/2)),IF(IF(INT(($A57-1)/2)&gt;MAX((CROQUIS!$C$162-1)-1,0),1,MOD($A57-1,2))=0,(CROQUIS!$C$96-CROQUIS!$C$107/2),CROQUIS!$C$107/2)))*CROQUIS!$C$159),-1000)</f>
        <v>16.9453230908269</v>
      </c>
      <c r="AP57">
        <f>IF(AND(CROQUIS!$C$87=1,CROQUIS!$C$164&gt;=2),(CROQUIS!$C$160+(IF(MOD(MIN(INT(($A57-1)/2),MAX((CROQUIS!$C$164-1)-1,0)),2)=0,IF(IF(INT(($A57-1)/2)&gt;MAX((CROQUIS!$C$164-1)-1,0),1,MOD($A57-1,2))=0,CROQUIS!$C$107/2,(CROQUIS!$C$95-CROQUIS!$C$107/2)),IF(IF(INT(($A57-1)/2)&gt;MAX((CROQUIS!$C$164-1)-1,0),1,MOD($A57-1,2))=0,(CROQUIS!$C$95-CROQUIS!$C$107/2),CROQUIS!$C$107/2)))*CROQUIS!$C$159),-1000)</f>
        <v>13.2878445549028</v>
      </c>
      <c r="AQ57">
        <f>IF(AND(CROQUIS!$C$87=1,CROQUIS!$C$164&gt;=2),(CROQUIS!$C$161+((CROQUIS!$C$165+CROQUIS!$C$115+(CROQUIS!$C$116-CROQUIS!$C$115)/2+MIN(INT(($A57-1)/2),MAX((CROQUIS!$C$164-1)-1,0))*CROQUIS!$C$116))*CROQUIS!$C$159),-1000)</f>
        <v>68.0298237686399</v>
      </c>
      <c r="BN57">
        <f>IF(AND(CROQUIS!$C$88=1,CROQUIS!$C$129&gt;0),((CROQUIS!$C$160+(IF(CROQUIS!$C$92="X",CHOOSE(IF(INT(($A57-1)/5)&gt;MAX((MAX(1,INT(((CROQUIS!$C$98)-CROQUIS!$C$107)/MAX((CROQUIS!$C$129*MAX(1,CEILING((INT(((CROQUIS!$C$98)-CROQUIS!$C$107)/MAX(CROQUIS!$C$129,1))+1)/80,1))),1))+1))-1,0),0,MOD($A57-1,5))+1,0,2,CROQUIS!$C$97-2,2,0),((CROQUIS!$C$107/2+(((CROQUIS!$C$98)-CROQUIS!$C$107)-(MAX(1,INT(((CROQUIS!$C$98)-CROQUIS!$C$107)/MAX((CROQUIS!$C$129*MAX(1,CEILING((INT(((CROQUIS!$C$98)-CROQUIS!$C$107)/MAX(CROQUIS!$C$129,1))+1)/80,1))),1))+1)-1)*(CROQUIS!$C$129*MAX(1,CEILING((INT(((CROQUIS!$C$98)-CROQUIS!$C$107)/MAX(CROQUIS!$C$129,1))+1)/80,1))))/2)+MIN(INT(($A57-1)/5),MAX((MAX(1,INT(((CROQUIS!$C$98)-CROQUIS!$C$107)/MAX((CROQUIS!$C$129*MAX(1,CEILING((INT(((CROQUIS!$C$98)-CROQUIS!$C$107)/MAX(CROQUIS!$C$129,1))+1)/80,1))),1))+1))-1,0))*(CROQUIS!$C$129*MAX(1,CEILING((INT(((CROQUIS!$C$98)-CROQUIS!$C$107)/MAX(CROQUIS!$C$129,1))+1)/80,1))))))*CROQUIS!$C$159)+IF(CROQUIS!$C$92="X",0,0)),-1000)</f>
        <v>-1000</v>
      </c>
      <c r="BO57">
        <f>IF(AND(CROQUIS!$C$88=1,CROQUIS!$C$129&gt;0),((CROQUIS!$C$161+(IF(CROQUIS!$C$92="X",((CROQUIS!$C$107/2+(((CROQUIS!$C$98)-CROQUIS!$C$107)-(MAX(1,INT(((CROQUIS!$C$98)-CROQUIS!$C$107)/MAX((CROQUIS!$C$129*MAX(1,CEILING((INT(((CROQUIS!$C$98)-CROQUIS!$C$107)/MAX(CROQUIS!$C$129,1))+1)/80,1))),1))+1)-1)*(CROQUIS!$C$129*MAX(1,CEILING((INT(((CROQUIS!$C$98)-CROQUIS!$C$107)/MAX(CROQUIS!$C$129,1))+1)/80,1))))/2)+MIN(INT(($A57-1)/5),MAX((MAX(1,INT(((CROQUIS!$C$98)-CROQUIS!$C$107)/MAX((CROQUIS!$C$129*MAX(1,CEILING((INT(((CROQUIS!$C$98)-CROQUIS!$C$107)/MAX(CROQUIS!$C$129,1))+1)/80,1))),1))+1))-1,0))*(CROQUIS!$C$129*MAX(1,CEILING((INT(((CROQUIS!$C$98)-CROQUIS!$C$107)/MAX(CROQUIS!$C$129,1))+1)/80,1)))),CHOOSE(IF(INT(($A57-1)/5)&gt;MAX((MAX(1,INT(((CROQUIS!$C$98)-CROQUIS!$C$107)/MAX((CROQUIS!$C$129*MAX(1,CEILING((INT(((CROQUIS!$C$98)-CROQUIS!$C$107)/MAX(CROQUIS!$C$129,1))+1)/80,1))),1))+1))-1,0),0,MOD($A57-1,5))+1,0,2,CROQUIS!$C$97-2,2,0)))*CROQUIS!$C$159)+IF(CROQUIS!$C$92="X",0,0)),-1000)</f>
        <v>-1000</v>
      </c>
      <c r="BP57">
        <f>IF(AND(CROQUIS!$C$88=1,CROQUIS!$C$137&gt;0),((CROQUIS!$C$160+(IF(CROQUIS!$C$92="X",((CROQUIS!$C$107/2+(((CROQUIS!$C$97)-CROQUIS!$C$107)-(MAX(1,INT(((CROQUIS!$C$97)-CROQUIS!$C$107)/MAX((CROQUIS!$C$137*MAX(1,CEILING((INT(((CROQUIS!$C$97)-CROQUIS!$C$107)/MAX(CROQUIS!$C$137,1))+1)/80,1))),1))+1)-1)*(CROQUIS!$C$137*MAX(1,CEILING((INT(((CROQUIS!$C$97)-CROQUIS!$C$107)/MAX(CROQUIS!$C$137,1))+1)/80,1))))/2)+MIN(INT(($A57-1)/5),MAX((MAX(1,INT(((CROQUIS!$C$97)-CROQUIS!$C$107)/MAX((CROQUIS!$C$137*MAX(1,CEILING((INT(((CROQUIS!$C$97)-CROQUIS!$C$107)/MAX(CROQUIS!$C$137,1))+1)/80,1))),1))+1))-1,0))*(CROQUIS!$C$137*MAX(1,CEILING((INT(((CROQUIS!$C$97)-CROQUIS!$C$107)/MAX(CROQUIS!$C$137,1))+1)/80,1)))),CHOOSE(IF(INT(($A57-1)/5)&gt;MAX((MAX(1,INT(((CROQUIS!$C$97)-CROQUIS!$C$107)/MAX((CROQUIS!$C$137*MAX(1,CEILING((INT(((CROQUIS!$C$97)-CROQUIS!$C$107)/MAX(CROQUIS!$C$137,1))+1)/80,1))),1))+1))-1,0),0,MOD($A57-1,5))+1,0,2,CROQUIS!$C$98-2,2,0)))*CROQUIS!$C$159)+IF(CROQUIS!$C$92="X",0,0)),-1000)</f>
        <v>-1000</v>
      </c>
      <c r="BQ57">
        <f>IF(AND(CROQUIS!$C$88=1,CROQUIS!$C$137&gt;0),((CROQUIS!$C$161+(IF(CROQUIS!$C$92="X",CHOOSE(IF(INT(($A57-1)/5)&gt;MAX((MAX(1,INT(((CROQUIS!$C$97)-CROQUIS!$C$107)/MAX((CROQUIS!$C$137*MAX(1,CEILING((INT(((CROQUIS!$C$97)-CROQUIS!$C$107)/MAX(CROQUIS!$C$137,1))+1)/80,1))),1))+1))-1,0),0,MOD($A57-1,5))+1,0,2,CROQUIS!$C$98-2,2,0),((CROQUIS!$C$107/2+(((CROQUIS!$C$97)-CROQUIS!$C$107)-(MAX(1,INT(((CROQUIS!$C$97)-CROQUIS!$C$107)/MAX((CROQUIS!$C$137*MAX(1,CEILING((INT(((CROQUIS!$C$97)-CROQUIS!$C$107)/MAX(CROQUIS!$C$137,1))+1)/80,1))),1))+1)-1)*(CROQUIS!$C$137*MAX(1,CEILING((INT(((CROQUIS!$C$97)-CROQUIS!$C$107)/MAX(CROQUIS!$C$137,1))+1)/80,1))))/2)+MIN(INT(($A57-1)/5),MAX((MAX(1,INT(((CROQUIS!$C$97)-CROQUIS!$C$107)/MAX((CROQUIS!$C$137*MAX(1,CEILING((INT(((CROQUIS!$C$97)-CROQUIS!$C$107)/MAX(CROQUIS!$C$137,1))+1)/80,1))),1))+1))-1,0))*(CROQUIS!$C$137*MAX(1,CEILING((INT(((CROQUIS!$C$97)-CROQUIS!$C$107)/MAX(CROQUIS!$C$137,1))+1)/80,1))))))*CROQUIS!$C$159)+IF(CROQUIS!$C$92="X",0,0)),-1000)</f>
        <v>-1000</v>
      </c>
      <c r="BR57">
        <f>IF(AND(CROQUIS!$C$88=1,CROQUIS!$C$91=0,CROQUIS!$C$133&gt;0,OR(CROQUIS!$C$103=1,CROQUIS!$C$145=1)),((CROQUIS!$C$160+(IF(CROQUIS!$C$92="X",CHOOSE(IF(INT(($A57-1)/5)&gt;MAX((MAX(1,INT(((CROQUIS!$C$98)-CROQUIS!$C$107)/MAX((CROQUIS!$C$133*MAX(1,CEILING((INT(((CROQUIS!$C$98)-CROQUIS!$C$107)/MAX(CROQUIS!$C$133,1))+1)/80,1))),1))+1))-1,0),0,MOD($A57-1,5))+1,0,IF(CROQUIS!$C$103=1,-12,2),CROQUIS!$C$107/2+CROQUIS!$C$143,IF(CROQUIS!$C$103=1,-12,2),0),((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BS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+1,0,IF(CROQUIS!$C$103=1,-12,2),CROQUIS!$C$107/2+CROQUIS!$C$143,IF(CROQUIS!$C$103=1,-12,2),0)))*CROQUIS!$C$159)+IF(CROQUIS!$C$92="X",0.8,0)),-1000)</f>
        <v>-1000</v>
      </c>
      <c r="BT57">
        <f>IF(AND(CROQUIS!$C$88=1,CROQUIS!$C$91=0,CROQUIS!$C$133&gt;0,OR(CROQUIS!$C$104=1,CROQUIS!$C$145=1)),((CROQUIS!$C$160+(IF(CROQUIS!$C$92="X",CHOOSE(IF(INT(($A57-1)/5)&gt;MAX((MAX(1,INT(((CROQUIS!$C$98)-CROQUIS!$C$107)/MAX((CROQUIS!$C$133*MAX(1,CEILING((INT(((CROQUIS!$C$98)-CROQUIS!$C$107)/MAX(CROQUIS!$C$133,1))+1)/80,1))),1))+1))-1,0),0,MOD($A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BU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CROQUIS!$C$97,CROQUIS!$C$97-CROQUIS!$C$107/2-CROQUIS!$C$143,IF(CROQUIS!$C$104=1,CROQUIS!$C$97+12,CROQUIS!$C$97-2),CROQUIS!$C$97-CROQUIS!$C$107/2-CROQUIS!$C$143,CROQUIS!$C$97)))*CROQUIS!$C$159)+IF(CROQUIS!$C$92="X",0.8,0)),-1000)</f>
        <v>-1000</v>
      </c>
      <c r="BV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HOOSE(IF(INT(($A57-1)/5)&gt;MAX((MAX(1,INT(((CROQUIS!$C$97)-CROQUIS!$C$107)/MAX((CROQUIS!$C$141*MAX(1,CEILING((INT(((CROQUIS!$C$97)-CROQUIS!$C$107)/MAX(CROQUIS!$C$141,1))+1)/80,1))),1))+1))-1,0),0,MOD($A57-1,5))+1,0,IF(CROQUIS!$C$105=1,-12,2),CROQUIS!$C$107/2+CROQUIS!$C$144,IF(CROQUIS!$C$105=1,-12,2),0)))*CROQUIS!$C$159)+IF(CROQUIS!$C$92="X",0.8,0)),-1000)</f>
        <v>-1000</v>
      </c>
      <c r="BW57">
        <f>IF(AND(CROQUIS!$C$88=1,CROQUIS!$C$91=0,CROQUIS!$C$141&gt;0,OR(CROQUIS!$C$105=1,CROQUIS!$C$146=1)),((CROQUIS!$C$161+(IF(CROQUIS!$C$92="X",CHOOSE(IF(INT(($A57-1)/5)&gt;MAX((MAX(1,INT(((CROQUIS!$C$97)-CROQUIS!$C$107)/MAX((CROQUIS!$C$141*MAX(1,CEILING((INT(((CROQUIS!$C$97)-CROQUIS!$C$107)/MAX(CROQUIS!$C$141,1))+1)/80,1))),1))+1))-1,0),0,MOD($A57-1,5))+1,0,IF(CROQUIS!$C$105=1,-12,2),CROQUIS!$C$107/2+CROQUIS!$C$144,IF(CROQUIS!$C$105=1,-12,2),0),((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ROQUIS!$C$159)+IF(CROQUIS!$C$92="X",0,0.8)),-1000)</f>
        <v>-1000</v>
      </c>
      <c r="BX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HOOSE(IF(INT(($A57-1)/5)&gt;MAX((MAX(1,INT(((CROQUIS!$C$97)-CROQUIS!$C$107)/MAX((CROQUIS!$C$141*MAX(1,CEILING((INT(((CROQUIS!$C$97)-CROQUIS!$C$107)/MAX(CROQUIS!$C$141,1))+1)/80,1))),1))+1))-1,0),0,MOD($A57-1,5))+1,CROQUIS!$C$98,CROQUIS!$C$98-CROQUIS!$C$107/2-CROQUIS!$C$144,IF(CROQUIS!$C$106=1,CROQUIS!$C$98+12,CROQUIS!$C$98-2),CROQUIS!$C$98-CROQUIS!$C$107/2-CROQUIS!$C$144,CROQUIS!$C$98)))*CROQUIS!$C$159)+IF(CROQUIS!$C$92="X",0.8,0)),-1000)</f>
        <v>-1000</v>
      </c>
      <c r="BY57">
        <f>IF(AND(CROQUIS!$C$88=1,CROQUIS!$C$91=0,CROQUIS!$C$141&gt;0,OR(CROQUIS!$C$106=1,CROQUIS!$C$146=1)),((CROQUIS!$C$161+(IF(CROQUIS!$C$92="X",CHOOSE(IF(INT(($A57-1)/5)&gt;MAX((MAX(1,INT(((CROQUIS!$C$97)-CROQUIS!$C$107)/MAX((CROQUIS!$C$141*MAX(1,CEILING((INT(((CROQUIS!$C$97)-CROQUIS!$C$107)/MAX(CROQUIS!$C$141,1))+1)/80,1))),1))+1))-1,0),0,MOD($A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ROQUIS!$C$159)+IF(CROQUIS!$C$92="X",0,0.8)),-1000)</f>
        <v>-1000</v>
      </c>
      <c r="BZ57">
        <f>IF(AND(CROQUIS!$C$88=1,CROQUIS!$C$91=1,CROQUIS!$C$133&gt;0),((CROQUIS!$C$160+(IF(CROQUIS!$C$92="X",CHOOSE(IF(INT(($A57-1)/5)&gt;MAX((MAX(1,INT(((CROQUIS!$C$98)-CROQUIS!$C$107)/MAX((CROQUIS!$C$133*MAX(1,CEILING((INT(((CROQUIS!$C$98)-CROQUIS!$C$107)/MAX(CROQUIS!$C$133,1))+1)/80,1))),1))+1))-1,0),0,MOD($A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CA57">
        <f>IF(AND(CROQUIS!$C$88=1,CROQUIS!$C$91=1,CROQUIS!$C$133&gt;0),((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8">
      <c r="A58" t="n">
        <v>51</v>
      </c>
      <c r="AJ58">
        <f>IF(AND(CROQUIS!$C$87=1,CROQUIS!$C$162&gt;0,CROQUIS!$C$164&gt;0),(CROQUIS!$C$160+((CROQUIS!$C$163+INT(MIN(INT(($A58-1)/2),MAX((2*CROQUIS!$C$162)-1,0))/2)*CROQUIS!$C$116+MOD(MIN(INT(($A58-1)/2),MAX((2*CROQUIS!$C$162)-1,0)),2)*CROQUIS!$C$114))*CROQUIS!$C$159),-1000)</f>
        <v>81.3375508359693</v>
      </c>
      <c r="AK58">
        <f>IF(AND(CROQUIS!$C$87=1,CROQUIS!$C$162&gt;0,CROQUIS!$C$164&gt;0),(CROQUIS!$C$161+(IF(MOD(MIN(INT(($A58-1)/2),MAX((2*CROQUIS!$C$162)-1,0)),2)=0,IF(IF(INT(($A58-1)/2)&gt;MAX((2*CROQUIS!$C$162)-1,0),1,MOD($A58-1,2))=0,CROQUIS!$C$165,(CROQUIS!$C$165+(CROQUIS!$C$164-1)*CROQUIS!$C$116+CROQUIS!$C$115)),IF(IF(INT(($A58-1)/2)&gt;MAX((2*CROQUIS!$C$162)-1,0),1,MOD($A58-1,2))=0,(CROQUIS!$C$165+(CROQUIS!$C$164-1)*CROQUIS!$C$116+CROQUIS!$C$115),CROQUIS!$C$165)))*CROQUIS!$C$159),-1000)</f>
        <v>20.8088567555355</v>
      </c>
      <c r="AL58">
        <f>IF(AND(CROQUIS!$C$87=1,CROQUIS!$C$164&gt;0,CROQUIS!$C$162&gt;0),(CROQUIS!$C$160+(IF(MOD(MIN(INT(($A58-1)/2),MAX((2*CROQUIS!$C$164)-1,0)),2)=0,IF(IF(INT(($A58-1)/2)&gt;MAX((2*CROQUIS!$C$164)-1,0),1,MOD($A58-1,2))=0,CROQUIS!$C$163,(CROQUIS!$C$163+(CROQUIS!$C$162-1)*CROQUIS!$C$116+CROQUIS!$C$114)),IF(IF(INT(($A58-1)/2)&gt;MAX((2*CROQUIS!$C$164)-1,0),1,MOD($A58-1,2))=0,(CROQUIS!$C$163+(CROQUIS!$C$162-1)*CROQUIS!$C$116+CROQUIS!$C$114),CROQUIS!$C$163)))*CROQUIS!$C$159),-1000)</f>
        <v>22.9552643470402</v>
      </c>
      <c r="AM58">
        <f>IF(AND(CROQUIS!$C$87=1,CROQUIS!$C$164&gt;0,CROQUIS!$C$162&gt;0),(CROQUIS!$C$161+((CROQUIS!$C$165+INT(MIN(INT(($A58-1)/2),MAX((2*CROQUIS!$C$164)-1,0))/2)*CROQUIS!$C$116+MOD(MIN(INT(($A58-1)/2),MAX((2*CROQUIS!$C$164)-1,0)),2)*CROQUIS!$C$115))*CROQUIS!$C$159),-1000)</f>
        <v>79.1911432444645</v>
      </c>
      <c r="AN58">
        <f>IF(AND(CROQUIS!$C$87=1,CROQUIS!$C$162&gt;=2),(CROQUIS!$C$160+((CROQUIS!$C$163+CROQUIS!$C$114+(CROQUIS!$C$116-CROQUIS!$C$114)/2+MIN(INT(($A58-1)/2),MAX((CROQUIS!$C$162-1)-1,0))*CROQUIS!$C$116))*CROQUIS!$C$159),-1000)</f>
        <v>70.1762313601446</v>
      </c>
      <c r="AO58">
        <f>IF(AND(CROQUIS!$C$87=1,CROQUIS!$C$162&gt;=2),(CROQUIS!$C$161+(IF(MOD(MIN(INT(($A58-1)/2),MAX((CROQUIS!$C$162-1)-1,0)),2)=0,IF(IF(INT(($A58-1)/2)&gt;MAX((CROQUIS!$C$162-1)-1,0),1,MOD($A58-1,2))=0,CROQUIS!$C$107/2,(CROQUIS!$C$96-CROQUIS!$C$107/2)),IF(IF(INT(($A58-1)/2)&gt;MAX((CROQUIS!$C$162-1)-1,0),1,MOD($A58-1,2))=0,(CROQUIS!$C$96-CROQUIS!$C$107/2),CROQUIS!$C$107/2)))*CROQUIS!$C$159),-1000)</f>
        <v>16.9453230908269</v>
      </c>
      <c r="AP58">
        <f>IF(AND(CROQUIS!$C$87=1,CROQUIS!$C$164&gt;=2),(CROQUIS!$C$160+(IF(MOD(MIN(INT(($A58-1)/2),MAX((CROQUIS!$C$164-1)-1,0)),2)=0,IF(IF(INT(($A58-1)/2)&gt;MAX((CROQUIS!$C$164-1)-1,0),1,MOD($A58-1,2))=0,CROQUIS!$C$107/2,(CROQUIS!$C$95-CROQUIS!$C$107/2)),IF(IF(INT(($A58-1)/2)&gt;MAX((CROQUIS!$C$164-1)-1,0),1,MOD($A58-1,2))=0,(CROQUIS!$C$95-CROQUIS!$C$107/2),CROQUIS!$C$107/2)))*CROQUIS!$C$159),-1000)</f>
        <v>13.2878445549028</v>
      </c>
      <c r="AQ58">
        <f>IF(AND(CROQUIS!$C$87=1,CROQUIS!$C$164&gt;=2),(CROQUIS!$C$161+((CROQUIS!$C$165+CROQUIS!$C$115+(CROQUIS!$C$116-CROQUIS!$C$115)/2+MIN(INT(($A58-1)/2),MAX((CROQUIS!$C$164-1)-1,0))*CROQUIS!$C$116))*CROQUIS!$C$159),-1000)</f>
        <v>68.0298237686399</v>
      </c>
      <c r="BN58">
        <f>IF(AND(CROQUIS!$C$88=1,CROQUIS!$C$129&gt;0),((CROQUIS!$C$160+(IF(CROQUIS!$C$92="X",CHOOSE(IF(INT(($A58-1)/5)&gt;MAX((MAX(1,INT(((CROQUIS!$C$98)-CROQUIS!$C$107)/MAX((CROQUIS!$C$129*MAX(1,CEILING((INT(((CROQUIS!$C$98)-CROQUIS!$C$107)/MAX(CROQUIS!$C$129,1))+1)/80,1))),1))+1))-1,0),0,MOD($A58-1,5))+1,0,2,CROQUIS!$C$97-2,2,0),((CROQUIS!$C$107/2+(((CROQUIS!$C$98)-CROQUIS!$C$107)-(MAX(1,INT(((CROQUIS!$C$98)-CROQUIS!$C$107)/MAX((CROQUIS!$C$129*MAX(1,CEILING((INT(((CROQUIS!$C$98)-CROQUIS!$C$107)/MAX(CROQUIS!$C$129,1))+1)/80,1))),1))+1)-1)*(CROQUIS!$C$129*MAX(1,CEILING((INT(((CROQUIS!$C$98)-CROQUIS!$C$107)/MAX(CROQUIS!$C$129,1))+1)/80,1))))/2)+MIN(INT(($A58-1)/5),MAX((MAX(1,INT(((CROQUIS!$C$98)-CROQUIS!$C$107)/MAX((CROQUIS!$C$129*MAX(1,CEILING((INT(((CROQUIS!$C$98)-CROQUIS!$C$107)/MAX(CROQUIS!$C$129,1))+1)/80,1))),1))+1))-1,0))*(CROQUIS!$C$129*MAX(1,CEILING((INT(((CROQUIS!$C$98)-CROQUIS!$C$107)/MAX(CROQUIS!$C$129,1))+1)/80,1))))))*CROQUIS!$C$159)+IF(CROQUIS!$C$92="X",0,0)),-1000)</f>
        <v>-1000</v>
      </c>
      <c r="BO58">
        <f>IF(AND(CROQUIS!$C$88=1,CROQUIS!$C$129&gt;0),((CROQUIS!$C$161+(IF(CROQUIS!$C$92="X",((CROQUIS!$C$107/2+(((CROQUIS!$C$98)-CROQUIS!$C$107)-(MAX(1,INT(((CROQUIS!$C$98)-CROQUIS!$C$107)/MAX((CROQUIS!$C$129*MAX(1,CEILING((INT(((CROQUIS!$C$98)-CROQUIS!$C$107)/MAX(CROQUIS!$C$129,1))+1)/80,1))),1))+1)-1)*(CROQUIS!$C$129*MAX(1,CEILING((INT(((CROQUIS!$C$98)-CROQUIS!$C$107)/MAX(CROQUIS!$C$129,1))+1)/80,1))))/2)+MIN(INT(($A58-1)/5),MAX((MAX(1,INT(((CROQUIS!$C$98)-CROQUIS!$C$107)/MAX((CROQUIS!$C$129*MAX(1,CEILING((INT(((CROQUIS!$C$98)-CROQUIS!$C$107)/MAX(CROQUIS!$C$129,1))+1)/80,1))),1))+1))-1,0))*(CROQUIS!$C$129*MAX(1,CEILING((INT(((CROQUIS!$C$98)-CROQUIS!$C$107)/MAX(CROQUIS!$C$129,1))+1)/80,1)))),CHOOSE(IF(INT(($A58-1)/5)&gt;MAX((MAX(1,INT(((CROQUIS!$C$98)-CROQUIS!$C$107)/MAX((CROQUIS!$C$129*MAX(1,CEILING((INT(((CROQUIS!$C$98)-CROQUIS!$C$107)/MAX(CROQUIS!$C$129,1))+1)/80,1))),1))+1))-1,0),0,MOD($A58-1,5))+1,0,2,CROQUIS!$C$97-2,2,0)))*CROQUIS!$C$159)+IF(CROQUIS!$C$92="X",0,0)),-1000)</f>
        <v>-1000</v>
      </c>
      <c r="BP58">
        <f>IF(AND(CROQUIS!$C$88=1,CROQUIS!$C$137&gt;0),((CROQUIS!$C$160+(IF(CROQUIS!$C$92="X",((CROQUIS!$C$107/2+(((CROQUIS!$C$97)-CROQUIS!$C$107)-(MAX(1,INT(((CROQUIS!$C$97)-CROQUIS!$C$107)/MAX((CROQUIS!$C$137*MAX(1,CEILING((INT(((CROQUIS!$C$97)-CROQUIS!$C$107)/MAX(CROQUIS!$C$137,1))+1)/80,1))),1))+1)-1)*(CROQUIS!$C$137*MAX(1,CEILING((INT(((CROQUIS!$C$97)-CROQUIS!$C$107)/MAX(CROQUIS!$C$137,1))+1)/80,1))))/2)+MIN(INT(($A58-1)/5),MAX((MAX(1,INT(((CROQUIS!$C$97)-CROQUIS!$C$107)/MAX((CROQUIS!$C$137*MAX(1,CEILING((INT(((CROQUIS!$C$97)-CROQUIS!$C$107)/MAX(CROQUIS!$C$137,1))+1)/80,1))),1))+1))-1,0))*(CROQUIS!$C$137*MAX(1,CEILING((INT(((CROQUIS!$C$97)-CROQUIS!$C$107)/MAX(CROQUIS!$C$137,1))+1)/80,1)))),CHOOSE(IF(INT(($A58-1)/5)&gt;MAX((MAX(1,INT(((CROQUIS!$C$97)-CROQUIS!$C$107)/MAX((CROQUIS!$C$137*MAX(1,CEILING((INT(((CROQUIS!$C$97)-CROQUIS!$C$107)/MAX(CROQUIS!$C$137,1))+1)/80,1))),1))+1))-1,0),0,MOD($A58-1,5))+1,0,2,CROQUIS!$C$98-2,2,0)))*CROQUIS!$C$159)+IF(CROQUIS!$C$92="X",0,0)),-1000)</f>
        <v>-1000</v>
      </c>
      <c r="BQ58">
        <f>IF(AND(CROQUIS!$C$88=1,CROQUIS!$C$137&gt;0),((CROQUIS!$C$161+(IF(CROQUIS!$C$92="X",CHOOSE(IF(INT(($A58-1)/5)&gt;MAX((MAX(1,INT(((CROQUIS!$C$97)-CROQUIS!$C$107)/MAX((CROQUIS!$C$137*MAX(1,CEILING((INT(((CROQUIS!$C$97)-CROQUIS!$C$107)/MAX(CROQUIS!$C$137,1))+1)/80,1))),1))+1))-1,0),0,MOD($A58-1,5))+1,0,2,CROQUIS!$C$98-2,2,0),((CROQUIS!$C$107/2+(((CROQUIS!$C$97)-CROQUIS!$C$107)-(MAX(1,INT(((CROQUIS!$C$97)-CROQUIS!$C$107)/MAX((CROQUIS!$C$137*MAX(1,CEILING((INT(((CROQUIS!$C$97)-CROQUIS!$C$107)/MAX(CROQUIS!$C$137,1))+1)/80,1))),1))+1)-1)*(CROQUIS!$C$137*MAX(1,CEILING((INT(((CROQUIS!$C$97)-CROQUIS!$C$107)/MAX(CROQUIS!$C$137,1))+1)/80,1))))/2)+MIN(INT(($A58-1)/5),MAX((MAX(1,INT(((CROQUIS!$C$97)-CROQUIS!$C$107)/MAX((CROQUIS!$C$137*MAX(1,CEILING((INT(((CROQUIS!$C$97)-CROQUIS!$C$107)/MAX(CROQUIS!$C$137,1))+1)/80,1))),1))+1))-1,0))*(CROQUIS!$C$137*MAX(1,CEILING((INT(((CROQUIS!$C$97)-CROQUIS!$C$107)/MAX(CROQUIS!$C$137,1))+1)/80,1))))))*CROQUIS!$C$159)+IF(CROQUIS!$C$92="X",0,0)),-1000)</f>
        <v>-1000</v>
      </c>
      <c r="BR58">
        <f>IF(AND(CROQUIS!$C$88=1,CROQUIS!$C$91=0,CROQUIS!$C$133&gt;0,OR(CROQUIS!$C$103=1,CROQUIS!$C$145=1)),((CROQUIS!$C$160+(IF(CROQUIS!$C$92="X",CHOOSE(IF(INT(($A58-1)/5)&gt;MAX((MAX(1,INT(((CROQUIS!$C$98)-CROQUIS!$C$107)/MAX((CROQUIS!$C$133*MAX(1,CEILING((INT(((CROQUIS!$C$98)-CROQUIS!$C$107)/MAX(CROQUIS!$C$133,1))+1)/80,1))),1))+1))-1,0),0,MOD($A58-1,5))+1,0,IF(CROQUIS!$C$103=1,-12,2),CROQUIS!$C$107/2+CROQUIS!$C$143,IF(CROQUIS!$C$103=1,-12,2),0),((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BS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+1,0,IF(CROQUIS!$C$103=1,-12,2),CROQUIS!$C$107/2+CROQUIS!$C$143,IF(CROQUIS!$C$103=1,-12,2),0)))*CROQUIS!$C$159)+IF(CROQUIS!$C$92="X",0.8,0)),-1000)</f>
        <v>-1000</v>
      </c>
      <c r="BT58">
        <f>IF(AND(CROQUIS!$C$88=1,CROQUIS!$C$91=0,CROQUIS!$C$133&gt;0,OR(CROQUIS!$C$104=1,CROQUIS!$C$145=1)),((CROQUIS!$C$160+(IF(CROQUIS!$C$92="X",CHOOSE(IF(INT(($A58-1)/5)&gt;MAX((MAX(1,INT(((CROQUIS!$C$98)-CROQUIS!$C$107)/MAX((CROQUIS!$C$133*MAX(1,CEILING((INT(((CROQUIS!$C$98)-CROQUIS!$C$107)/MAX(CROQUIS!$C$133,1))+1)/80,1))),1))+1))-1,0),0,MOD($A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BU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CROQUIS!$C$97,CROQUIS!$C$97-CROQUIS!$C$107/2-CROQUIS!$C$143,IF(CROQUIS!$C$104=1,CROQUIS!$C$97+12,CROQUIS!$C$97-2),CROQUIS!$C$97-CROQUIS!$C$107/2-CROQUIS!$C$143,CROQUIS!$C$97)))*CROQUIS!$C$159)+IF(CROQUIS!$C$92="X",0.8,0)),-1000)</f>
        <v>-1000</v>
      </c>
      <c r="BV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HOOSE(IF(INT(($A58-1)/5)&gt;MAX((MAX(1,INT(((CROQUIS!$C$97)-CROQUIS!$C$107)/MAX((CROQUIS!$C$141*MAX(1,CEILING((INT(((CROQUIS!$C$97)-CROQUIS!$C$107)/MAX(CROQUIS!$C$141,1))+1)/80,1))),1))+1))-1,0),0,MOD($A58-1,5))+1,0,IF(CROQUIS!$C$105=1,-12,2),CROQUIS!$C$107/2+CROQUIS!$C$144,IF(CROQUIS!$C$105=1,-12,2),0)))*CROQUIS!$C$159)+IF(CROQUIS!$C$92="X",0.8,0)),-1000)</f>
        <v>-1000</v>
      </c>
      <c r="BW58">
        <f>IF(AND(CROQUIS!$C$88=1,CROQUIS!$C$91=0,CROQUIS!$C$141&gt;0,OR(CROQUIS!$C$105=1,CROQUIS!$C$146=1)),((CROQUIS!$C$161+(IF(CROQUIS!$C$92="X",CHOOSE(IF(INT(($A58-1)/5)&gt;MAX((MAX(1,INT(((CROQUIS!$C$97)-CROQUIS!$C$107)/MAX((CROQUIS!$C$141*MAX(1,CEILING((INT(((CROQUIS!$C$97)-CROQUIS!$C$107)/MAX(CROQUIS!$C$141,1))+1)/80,1))),1))+1))-1,0),0,MOD($A58-1,5))+1,0,IF(CROQUIS!$C$105=1,-12,2),CROQUIS!$C$107/2+CROQUIS!$C$144,IF(CROQUIS!$C$105=1,-12,2),0),((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ROQUIS!$C$159)+IF(CROQUIS!$C$92="X",0,0.8)),-1000)</f>
        <v>-1000</v>
      </c>
      <c r="BX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HOOSE(IF(INT(($A58-1)/5)&gt;MAX((MAX(1,INT(((CROQUIS!$C$97)-CROQUIS!$C$107)/MAX((CROQUIS!$C$141*MAX(1,CEILING((INT(((CROQUIS!$C$97)-CROQUIS!$C$107)/MAX(CROQUIS!$C$141,1))+1)/80,1))),1))+1))-1,0),0,MOD($A58-1,5))+1,CROQUIS!$C$98,CROQUIS!$C$98-CROQUIS!$C$107/2-CROQUIS!$C$144,IF(CROQUIS!$C$106=1,CROQUIS!$C$98+12,CROQUIS!$C$98-2),CROQUIS!$C$98-CROQUIS!$C$107/2-CROQUIS!$C$144,CROQUIS!$C$98)))*CROQUIS!$C$159)+IF(CROQUIS!$C$92="X",0.8,0)),-1000)</f>
        <v>-1000</v>
      </c>
      <c r="BY58">
        <f>IF(AND(CROQUIS!$C$88=1,CROQUIS!$C$91=0,CROQUIS!$C$141&gt;0,OR(CROQUIS!$C$106=1,CROQUIS!$C$146=1)),((CROQUIS!$C$161+(IF(CROQUIS!$C$92="X",CHOOSE(IF(INT(($A58-1)/5)&gt;MAX((MAX(1,INT(((CROQUIS!$C$97)-CROQUIS!$C$107)/MAX((CROQUIS!$C$141*MAX(1,CEILING((INT(((CROQUIS!$C$97)-CROQUIS!$C$107)/MAX(CROQUIS!$C$141,1))+1)/80,1))),1))+1))-1,0),0,MOD($A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ROQUIS!$C$159)+IF(CROQUIS!$C$92="X",0,0.8)),-1000)</f>
        <v>-1000</v>
      </c>
      <c r="BZ58">
        <f>IF(AND(CROQUIS!$C$88=1,CROQUIS!$C$91=1,CROQUIS!$C$133&gt;0),((CROQUIS!$C$160+(IF(CROQUIS!$C$92="X",CHOOSE(IF(INT(($A58-1)/5)&gt;MAX((MAX(1,INT(((CROQUIS!$C$98)-CROQUIS!$C$107)/MAX((CROQUIS!$C$133*MAX(1,CEILING((INT(((CROQUIS!$C$98)-CROQUIS!$C$107)/MAX(CROQUIS!$C$133,1))+1)/80,1))),1))+1))-1,0),0,MOD($A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CA58">
        <f>IF(AND(CROQUIS!$C$88=1,CROQUIS!$C$91=1,CROQUIS!$C$133&gt;0),((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9">
      <c r="A59" t="n">
        <v>52</v>
      </c>
      <c r="AJ59">
        <f>IF(AND(CROQUIS!$C$87=1,CROQUIS!$C$162&gt;0,CROQUIS!$C$164&gt;0),(CROQUIS!$C$160+((CROQUIS!$C$163+INT(MIN(INT(($A59-1)/2),MAX((2*CROQUIS!$C$162)-1,0))/2)*CROQUIS!$C$116+MOD(MIN(INT(($A59-1)/2),MAX((2*CROQUIS!$C$162)-1,0)),2)*CROQUIS!$C$114))*CROQUIS!$C$159),-1000)</f>
        <v>81.3375508359693</v>
      </c>
      <c r="AK59">
        <f>IF(AND(CROQUIS!$C$87=1,CROQUIS!$C$162&gt;0,CROQUIS!$C$164&gt;0),(CROQUIS!$C$161+(IF(MOD(MIN(INT(($A59-1)/2),MAX((2*CROQUIS!$C$162)-1,0)),2)=0,IF(IF(INT(($A59-1)/2)&gt;MAX((2*CROQUIS!$C$162)-1,0),1,MOD($A59-1,2))=0,CROQUIS!$C$165,(CROQUIS!$C$165+(CROQUIS!$C$164-1)*CROQUIS!$C$116+CROQUIS!$C$115)),IF(IF(INT(($A59-1)/2)&gt;MAX((2*CROQUIS!$C$162)-1,0),1,MOD($A59-1,2))=0,(CROQUIS!$C$165+(CROQUIS!$C$164-1)*CROQUIS!$C$116+CROQUIS!$C$115),CROQUIS!$C$165)))*CROQUIS!$C$159),-1000)</f>
        <v>20.8088567555355</v>
      </c>
      <c r="AL59">
        <f>IF(AND(CROQUIS!$C$87=1,CROQUIS!$C$164&gt;0,CROQUIS!$C$162&gt;0),(CROQUIS!$C$160+(IF(MOD(MIN(INT(($A59-1)/2),MAX((2*CROQUIS!$C$164)-1,0)),2)=0,IF(IF(INT(($A59-1)/2)&gt;MAX((2*CROQUIS!$C$164)-1,0),1,MOD($A59-1,2))=0,CROQUIS!$C$163,(CROQUIS!$C$163+(CROQUIS!$C$162-1)*CROQUIS!$C$116+CROQUIS!$C$114)),IF(IF(INT(($A59-1)/2)&gt;MAX((2*CROQUIS!$C$164)-1,0),1,MOD($A59-1,2))=0,(CROQUIS!$C$163+(CROQUIS!$C$162-1)*CROQUIS!$C$116+CROQUIS!$C$114),CROQUIS!$C$163)))*CROQUIS!$C$159),-1000)</f>
        <v>22.9552643470402</v>
      </c>
      <c r="AM59">
        <f>IF(AND(CROQUIS!$C$87=1,CROQUIS!$C$164&gt;0,CROQUIS!$C$162&gt;0),(CROQUIS!$C$161+((CROQUIS!$C$165+INT(MIN(INT(($A59-1)/2),MAX((2*CROQUIS!$C$164)-1,0))/2)*CROQUIS!$C$116+MOD(MIN(INT(($A59-1)/2),MAX((2*CROQUIS!$C$164)-1,0)),2)*CROQUIS!$C$115))*CROQUIS!$C$159),-1000)</f>
        <v>79.1911432444645</v>
      </c>
      <c r="AN59">
        <f>IF(AND(CROQUIS!$C$87=1,CROQUIS!$C$162&gt;=2),(CROQUIS!$C$160+((CROQUIS!$C$163+CROQUIS!$C$114+(CROQUIS!$C$116-CROQUIS!$C$114)/2+MIN(INT(($A59-1)/2),MAX((CROQUIS!$C$162-1)-1,0))*CROQUIS!$C$116))*CROQUIS!$C$159),-1000)</f>
        <v>70.1762313601446</v>
      </c>
      <c r="AO59">
        <f>IF(AND(CROQUIS!$C$87=1,CROQUIS!$C$162&gt;=2),(CROQUIS!$C$161+(IF(MOD(MIN(INT(($A59-1)/2),MAX((CROQUIS!$C$162-1)-1,0)),2)=0,IF(IF(INT(($A59-1)/2)&gt;MAX((CROQUIS!$C$162-1)-1,0),1,MOD($A59-1,2))=0,CROQUIS!$C$107/2,(CROQUIS!$C$96-CROQUIS!$C$107/2)),IF(IF(INT(($A59-1)/2)&gt;MAX((CROQUIS!$C$162-1)-1,0),1,MOD($A59-1,2))=0,(CROQUIS!$C$96-CROQUIS!$C$107/2),CROQUIS!$C$107/2)))*CROQUIS!$C$159),-1000)</f>
        <v>16.9453230908269</v>
      </c>
      <c r="AP59">
        <f>IF(AND(CROQUIS!$C$87=1,CROQUIS!$C$164&gt;=2),(CROQUIS!$C$160+(IF(MOD(MIN(INT(($A59-1)/2),MAX((CROQUIS!$C$164-1)-1,0)),2)=0,IF(IF(INT(($A59-1)/2)&gt;MAX((CROQUIS!$C$164-1)-1,0),1,MOD($A59-1,2))=0,CROQUIS!$C$107/2,(CROQUIS!$C$95-CROQUIS!$C$107/2)),IF(IF(INT(($A59-1)/2)&gt;MAX((CROQUIS!$C$164-1)-1,0),1,MOD($A59-1,2))=0,(CROQUIS!$C$95-CROQUIS!$C$107/2),CROQUIS!$C$107/2)))*CROQUIS!$C$159),-1000)</f>
        <v>13.2878445549028</v>
      </c>
      <c r="AQ59">
        <f>IF(AND(CROQUIS!$C$87=1,CROQUIS!$C$164&gt;=2),(CROQUIS!$C$161+((CROQUIS!$C$165+CROQUIS!$C$115+(CROQUIS!$C$116-CROQUIS!$C$115)/2+MIN(INT(($A59-1)/2),MAX((CROQUIS!$C$164-1)-1,0))*CROQUIS!$C$116))*CROQUIS!$C$159),-1000)</f>
        <v>68.0298237686399</v>
      </c>
      <c r="BN59">
        <f>IF(AND(CROQUIS!$C$88=1,CROQUIS!$C$129&gt;0),((CROQUIS!$C$160+(IF(CROQUIS!$C$92="X",CHOOSE(IF(INT(($A59-1)/5)&gt;MAX((MAX(1,INT(((CROQUIS!$C$98)-CROQUIS!$C$107)/MAX((CROQUIS!$C$129*MAX(1,CEILING((INT(((CROQUIS!$C$98)-CROQUIS!$C$107)/MAX(CROQUIS!$C$129,1))+1)/80,1))),1))+1))-1,0),0,MOD($A59-1,5))+1,0,2,CROQUIS!$C$97-2,2,0),((CROQUIS!$C$107/2+(((CROQUIS!$C$98)-CROQUIS!$C$107)-(MAX(1,INT(((CROQUIS!$C$98)-CROQUIS!$C$107)/MAX((CROQUIS!$C$129*MAX(1,CEILING((INT(((CROQUIS!$C$98)-CROQUIS!$C$107)/MAX(CROQUIS!$C$129,1))+1)/80,1))),1))+1)-1)*(CROQUIS!$C$129*MAX(1,CEILING((INT(((CROQUIS!$C$98)-CROQUIS!$C$107)/MAX(CROQUIS!$C$129,1))+1)/80,1))))/2)+MIN(INT(($A59-1)/5),MAX((MAX(1,INT(((CROQUIS!$C$98)-CROQUIS!$C$107)/MAX((CROQUIS!$C$129*MAX(1,CEILING((INT(((CROQUIS!$C$98)-CROQUIS!$C$107)/MAX(CROQUIS!$C$129,1))+1)/80,1))),1))+1))-1,0))*(CROQUIS!$C$129*MAX(1,CEILING((INT(((CROQUIS!$C$98)-CROQUIS!$C$107)/MAX(CROQUIS!$C$129,1))+1)/80,1))))))*CROQUIS!$C$159)+IF(CROQUIS!$C$92="X",0,0)),-1000)</f>
        <v>-1000</v>
      </c>
      <c r="BO59">
        <f>IF(AND(CROQUIS!$C$88=1,CROQUIS!$C$129&gt;0),((CROQUIS!$C$161+(IF(CROQUIS!$C$92="X",((CROQUIS!$C$107/2+(((CROQUIS!$C$98)-CROQUIS!$C$107)-(MAX(1,INT(((CROQUIS!$C$98)-CROQUIS!$C$107)/MAX((CROQUIS!$C$129*MAX(1,CEILING((INT(((CROQUIS!$C$98)-CROQUIS!$C$107)/MAX(CROQUIS!$C$129,1))+1)/80,1))),1))+1)-1)*(CROQUIS!$C$129*MAX(1,CEILING((INT(((CROQUIS!$C$98)-CROQUIS!$C$107)/MAX(CROQUIS!$C$129,1))+1)/80,1))))/2)+MIN(INT(($A59-1)/5),MAX((MAX(1,INT(((CROQUIS!$C$98)-CROQUIS!$C$107)/MAX((CROQUIS!$C$129*MAX(1,CEILING((INT(((CROQUIS!$C$98)-CROQUIS!$C$107)/MAX(CROQUIS!$C$129,1))+1)/80,1))),1))+1))-1,0))*(CROQUIS!$C$129*MAX(1,CEILING((INT(((CROQUIS!$C$98)-CROQUIS!$C$107)/MAX(CROQUIS!$C$129,1))+1)/80,1)))),CHOOSE(IF(INT(($A59-1)/5)&gt;MAX((MAX(1,INT(((CROQUIS!$C$98)-CROQUIS!$C$107)/MAX((CROQUIS!$C$129*MAX(1,CEILING((INT(((CROQUIS!$C$98)-CROQUIS!$C$107)/MAX(CROQUIS!$C$129,1))+1)/80,1))),1))+1))-1,0),0,MOD($A59-1,5))+1,0,2,CROQUIS!$C$97-2,2,0)))*CROQUIS!$C$159)+IF(CROQUIS!$C$92="X",0,0)),-1000)</f>
        <v>-1000</v>
      </c>
      <c r="BP59">
        <f>IF(AND(CROQUIS!$C$88=1,CROQUIS!$C$137&gt;0),((CROQUIS!$C$160+(IF(CROQUIS!$C$92="X",((CROQUIS!$C$107/2+(((CROQUIS!$C$97)-CROQUIS!$C$107)-(MAX(1,INT(((CROQUIS!$C$97)-CROQUIS!$C$107)/MAX((CROQUIS!$C$137*MAX(1,CEILING((INT(((CROQUIS!$C$97)-CROQUIS!$C$107)/MAX(CROQUIS!$C$137,1))+1)/80,1))),1))+1)-1)*(CROQUIS!$C$137*MAX(1,CEILING((INT(((CROQUIS!$C$97)-CROQUIS!$C$107)/MAX(CROQUIS!$C$137,1))+1)/80,1))))/2)+MIN(INT(($A59-1)/5),MAX((MAX(1,INT(((CROQUIS!$C$97)-CROQUIS!$C$107)/MAX((CROQUIS!$C$137*MAX(1,CEILING((INT(((CROQUIS!$C$97)-CROQUIS!$C$107)/MAX(CROQUIS!$C$137,1))+1)/80,1))),1))+1))-1,0))*(CROQUIS!$C$137*MAX(1,CEILING((INT(((CROQUIS!$C$97)-CROQUIS!$C$107)/MAX(CROQUIS!$C$137,1))+1)/80,1)))),CHOOSE(IF(INT(($A59-1)/5)&gt;MAX((MAX(1,INT(((CROQUIS!$C$97)-CROQUIS!$C$107)/MAX((CROQUIS!$C$137*MAX(1,CEILING((INT(((CROQUIS!$C$97)-CROQUIS!$C$107)/MAX(CROQUIS!$C$137,1))+1)/80,1))),1))+1))-1,0),0,MOD($A59-1,5))+1,0,2,CROQUIS!$C$98-2,2,0)))*CROQUIS!$C$159)+IF(CROQUIS!$C$92="X",0,0)),-1000)</f>
        <v>-1000</v>
      </c>
      <c r="BQ59">
        <f>IF(AND(CROQUIS!$C$88=1,CROQUIS!$C$137&gt;0),((CROQUIS!$C$161+(IF(CROQUIS!$C$92="X",CHOOSE(IF(INT(($A59-1)/5)&gt;MAX((MAX(1,INT(((CROQUIS!$C$97)-CROQUIS!$C$107)/MAX((CROQUIS!$C$137*MAX(1,CEILING((INT(((CROQUIS!$C$97)-CROQUIS!$C$107)/MAX(CROQUIS!$C$137,1))+1)/80,1))),1))+1))-1,0),0,MOD($A59-1,5))+1,0,2,CROQUIS!$C$98-2,2,0),((CROQUIS!$C$107/2+(((CROQUIS!$C$97)-CROQUIS!$C$107)-(MAX(1,INT(((CROQUIS!$C$97)-CROQUIS!$C$107)/MAX((CROQUIS!$C$137*MAX(1,CEILING((INT(((CROQUIS!$C$97)-CROQUIS!$C$107)/MAX(CROQUIS!$C$137,1))+1)/80,1))),1))+1)-1)*(CROQUIS!$C$137*MAX(1,CEILING((INT(((CROQUIS!$C$97)-CROQUIS!$C$107)/MAX(CROQUIS!$C$137,1))+1)/80,1))))/2)+MIN(INT(($A59-1)/5),MAX((MAX(1,INT(((CROQUIS!$C$97)-CROQUIS!$C$107)/MAX((CROQUIS!$C$137*MAX(1,CEILING((INT(((CROQUIS!$C$97)-CROQUIS!$C$107)/MAX(CROQUIS!$C$137,1))+1)/80,1))),1))+1))-1,0))*(CROQUIS!$C$137*MAX(1,CEILING((INT(((CROQUIS!$C$97)-CROQUIS!$C$107)/MAX(CROQUIS!$C$137,1))+1)/80,1))))))*CROQUIS!$C$159)+IF(CROQUIS!$C$92="X",0,0)),-1000)</f>
        <v>-1000</v>
      </c>
      <c r="BR59">
        <f>IF(AND(CROQUIS!$C$88=1,CROQUIS!$C$91=0,CROQUIS!$C$133&gt;0,OR(CROQUIS!$C$103=1,CROQUIS!$C$145=1)),((CROQUIS!$C$160+(IF(CROQUIS!$C$92="X",CHOOSE(IF(INT(($A59-1)/5)&gt;MAX((MAX(1,INT(((CROQUIS!$C$98)-CROQUIS!$C$107)/MAX((CROQUIS!$C$133*MAX(1,CEILING((INT(((CROQUIS!$C$98)-CROQUIS!$C$107)/MAX(CROQUIS!$C$133,1))+1)/80,1))),1))+1))-1,0),0,MOD($A59-1,5))+1,0,IF(CROQUIS!$C$103=1,-12,2),CROQUIS!$C$107/2+CROQUIS!$C$143,IF(CROQUIS!$C$103=1,-12,2),0),((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BS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+1,0,IF(CROQUIS!$C$103=1,-12,2),CROQUIS!$C$107/2+CROQUIS!$C$143,IF(CROQUIS!$C$103=1,-12,2),0)))*CROQUIS!$C$159)+IF(CROQUIS!$C$92="X",0.8,0)),-1000)</f>
        <v>-1000</v>
      </c>
      <c r="BT59">
        <f>IF(AND(CROQUIS!$C$88=1,CROQUIS!$C$91=0,CROQUIS!$C$133&gt;0,OR(CROQUIS!$C$104=1,CROQUIS!$C$145=1)),((CROQUIS!$C$160+(IF(CROQUIS!$C$92="X",CHOOSE(IF(INT(($A59-1)/5)&gt;MAX((MAX(1,INT(((CROQUIS!$C$98)-CROQUIS!$C$107)/MAX((CROQUIS!$C$133*MAX(1,CEILING((INT(((CROQUIS!$C$98)-CROQUIS!$C$107)/MAX(CROQUIS!$C$133,1))+1)/80,1))),1))+1))-1,0),0,MOD($A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BU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CROQUIS!$C$97,CROQUIS!$C$97-CROQUIS!$C$107/2-CROQUIS!$C$143,IF(CROQUIS!$C$104=1,CROQUIS!$C$97+12,CROQUIS!$C$97-2),CROQUIS!$C$97-CROQUIS!$C$107/2-CROQUIS!$C$143,CROQUIS!$C$97)))*CROQUIS!$C$159)+IF(CROQUIS!$C$92="X",0.8,0)),-1000)</f>
        <v>-1000</v>
      </c>
      <c r="BV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HOOSE(IF(INT(($A59-1)/5)&gt;MAX((MAX(1,INT(((CROQUIS!$C$97)-CROQUIS!$C$107)/MAX((CROQUIS!$C$141*MAX(1,CEILING((INT(((CROQUIS!$C$97)-CROQUIS!$C$107)/MAX(CROQUIS!$C$141,1))+1)/80,1))),1))+1))-1,0),0,MOD($A59-1,5))+1,0,IF(CROQUIS!$C$105=1,-12,2),CROQUIS!$C$107/2+CROQUIS!$C$144,IF(CROQUIS!$C$105=1,-12,2),0)))*CROQUIS!$C$159)+IF(CROQUIS!$C$92="X",0.8,0)),-1000)</f>
        <v>-1000</v>
      </c>
      <c r="BW59">
        <f>IF(AND(CROQUIS!$C$88=1,CROQUIS!$C$91=0,CROQUIS!$C$141&gt;0,OR(CROQUIS!$C$105=1,CROQUIS!$C$146=1)),((CROQUIS!$C$161+(IF(CROQUIS!$C$92="X",CHOOSE(IF(INT(($A59-1)/5)&gt;MAX((MAX(1,INT(((CROQUIS!$C$97)-CROQUIS!$C$107)/MAX((CROQUIS!$C$141*MAX(1,CEILING((INT(((CROQUIS!$C$97)-CROQUIS!$C$107)/MAX(CROQUIS!$C$141,1))+1)/80,1))),1))+1))-1,0),0,MOD($A59-1,5))+1,0,IF(CROQUIS!$C$105=1,-12,2),CROQUIS!$C$107/2+CROQUIS!$C$144,IF(CROQUIS!$C$105=1,-12,2),0),((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ROQUIS!$C$159)+IF(CROQUIS!$C$92="X",0,0.8)),-1000)</f>
        <v>-1000</v>
      </c>
      <c r="BX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HOOSE(IF(INT(($A59-1)/5)&gt;MAX((MAX(1,INT(((CROQUIS!$C$97)-CROQUIS!$C$107)/MAX((CROQUIS!$C$141*MAX(1,CEILING((INT(((CROQUIS!$C$97)-CROQUIS!$C$107)/MAX(CROQUIS!$C$141,1))+1)/80,1))),1))+1))-1,0),0,MOD($A59-1,5))+1,CROQUIS!$C$98,CROQUIS!$C$98-CROQUIS!$C$107/2-CROQUIS!$C$144,IF(CROQUIS!$C$106=1,CROQUIS!$C$98+12,CROQUIS!$C$98-2),CROQUIS!$C$98-CROQUIS!$C$107/2-CROQUIS!$C$144,CROQUIS!$C$98)))*CROQUIS!$C$159)+IF(CROQUIS!$C$92="X",0.8,0)),-1000)</f>
        <v>-1000</v>
      </c>
      <c r="BY59">
        <f>IF(AND(CROQUIS!$C$88=1,CROQUIS!$C$91=0,CROQUIS!$C$141&gt;0,OR(CROQUIS!$C$106=1,CROQUIS!$C$146=1)),((CROQUIS!$C$161+(IF(CROQUIS!$C$92="X",CHOOSE(IF(INT(($A59-1)/5)&gt;MAX((MAX(1,INT(((CROQUIS!$C$97)-CROQUIS!$C$107)/MAX((CROQUIS!$C$141*MAX(1,CEILING((INT(((CROQUIS!$C$97)-CROQUIS!$C$107)/MAX(CROQUIS!$C$141,1))+1)/80,1))),1))+1))-1,0),0,MOD($A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ROQUIS!$C$159)+IF(CROQUIS!$C$92="X",0,0.8)),-1000)</f>
        <v>-1000</v>
      </c>
      <c r="BZ59">
        <f>IF(AND(CROQUIS!$C$88=1,CROQUIS!$C$91=1,CROQUIS!$C$133&gt;0),((CROQUIS!$C$160+(IF(CROQUIS!$C$92="X",CHOOSE(IF(INT(($A59-1)/5)&gt;MAX((MAX(1,INT(((CROQUIS!$C$98)-CROQUIS!$C$107)/MAX((CROQUIS!$C$133*MAX(1,CEILING((INT(((CROQUIS!$C$98)-CROQUIS!$C$107)/MAX(CROQUIS!$C$133,1))+1)/80,1))),1))+1))-1,0),0,MOD($A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CA59">
        <f>IF(AND(CROQUIS!$C$88=1,CROQUIS!$C$91=1,CROQUIS!$C$133&gt;0),((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0">
      <c r="A60" t="n">
        <v>53</v>
      </c>
      <c r="AJ60">
        <f>IF(AND(CROQUIS!$C$87=1,CROQUIS!$C$162&gt;0,CROQUIS!$C$164&gt;0),(CROQUIS!$C$160+((CROQUIS!$C$163+INT(MIN(INT(($A60-1)/2),MAX((2*CROQUIS!$C$162)-1,0))/2)*CROQUIS!$C$116+MOD(MIN(INT(($A60-1)/2),MAX((2*CROQUIS!$C$162)-1,0)),2)*CROQUIS!$C$114))*CROQUIS!$C$159),-1000)</f>
        <v>81.3375508359693</v>
      </c>
      <c r="AK60">
        <f>IF(AND(CROQUIS!$C$87=1,CROQUIS!$C$162&gt;0,CROQUIS!$C$164&gt;0),(CROQUIS!$C$161+(IF(MOD(MIN(INT(($A60-1)/2),MAX((2*CROQUIS!$C$162)-1,0)),2)=0,IF(IF(INT(($A60-1)/2)&gt;MAX((2*CROQUIS!$C$162)-1,0),1,MOD($A60-1,2))=0,CROQUIS!$C$165,(CROQUIS!$C$165+(CROQUIS!$C$164-1)*CROQUIS!$C$116+CROQUIS!$C$115)),IF(IF(INT(($A60-1)/2)&gt;MAX((2*CROQUIS!$C$162)-1,0),1,MOD($A60-1,2))=0,(CROQUIS!$C$165+(CROQUIS!$C$164-1)*CROQUIS!$C$116+CROQUIS!$C$115),CROQUIS!$C$165)))*CROQUIS!$C$159),-1000)</f>
        <v>20.8088567555355</v>
      </c>
      <c r="AL60">
        <f>IF(AND(CROQUIS!$C$87=1,CROQUIS!$C$164&gt;0,CROQUIS!$C$162&gt;0),(CROQUIS!$C$160+(IF(MOD(MIN(INT(($A60-1)/2),MAX((2*CROQUIS!$C$164)-1,0)),2)=0,IF(IF(INT(($A60-1)/2)&gt;MAX((2*CROQUIS!$C$164)-1,0),1,MOD($A60-1,2))=0,CROQUIS!$C$163,(CROQUIS!$C$163+(CROQUIS!$C$162-1)*CROQUIS!$C$116+CROQUIS!$C$114)),IF(IF(INT(($A60-1)/2)&gt;MAX((2*CROQUIS!$C$164)-1,0),1,MOD($A60-1,2))=0,(CROQUIS!$C$163+(CROQUIS!$C$162-1)*CROQUIS!$C$116+CROQUIS!$C$114),CROQUIS!$C$163)))*CROQUIS!$C$159),-1000)</f>
        <v>22.9552643470402</v>
      </c>
      <c r="AM60">
        <f>IF(AND(CROQUIS!$C$87=1,CROQUIS!$C$164&gt;0,CROQUIS!$C$162&gt;0),(CROQUIS!$C$161+((CROQUIS!$C$165+INT(MIN(INT(($A60-1)/2),MAX((2*CROQUIS!$C$164)-1,0))/2)*CROQUIS!$C$116+MOD(MIN(INT(($A60-1)/2),MAX((2*CROQUIS!$C$164)-1,0)),2)*CROQUIS!$C$115))*CROQUIS!$C$159),-1000)</f>
        <v>79.1911432444645</v>
      </c>
      <c r="AN60">
        <f>IF(AND(CROQUIS!$C$87=1,CROQUIS!$C$162&gt;=2),(CROQUIS!$C$160+((CROQUIS!$C$163+CROQUIS!$C$114+(CROQUIS!$C$116-CROQUIS!$C$114)/2+MIN(INT(($A60-1)/2),MAX((CROQUIS!$C$162-1)-1,0))*CROQUIS!$C$116))*CROQUIS!$C$159),-1000)</f>
        <v>70.1762313601446</v>
      </c>
      <c r="AO60">
        <f>IF(AND(CROQUIS!$C$87=1,CROQUIS!$C$162&gt;=2),(CROQUIS!$C$161+(IF(MOD(MIN(INT(($A60-1)/2),MAX((CROQUIS!$C$162-1)-1,0)),2)=0,IF(IF(INT(($A60-1)/2)&gt;MAX((CROQUIS!$C$162-1)-1,0),1,MOD($A60-1,2))=0,CROQUIS!$C$107/2,(CROQUIS!$C$96-CROQUIS!$C$107/2)),IF(IF(INT(($A60-1)/2)&gt;MAX((CROQUIS!$C$162-1)-1,0),1,MOD($A60-1,2))=0,(CROQUIS!$C$96-CROQUIS!$C$107/2),CROQUIS!$C$107/2)))*CROQUIS!$C$159),-1000)</f>
        <v>16.9453230908269</v>
      </c>
      <c r="AP60">
        <f>IF(AND(CROQUIS!$C$87=1,CROQUIS!$C$164&gt;=2),(CROQUIS!$C$160+(IF(MOD(MIN(INT(($A60-1)/2),MAX((CROQUIS!$C$164-1)-1,0)),2)=0,IF(IF(INT(($A60-1)/2)&gt;MAX((CROQUIS!$C$164-1)-1,0),1,MOD($A60-1,2))=0,CROQUIS!$C$107/2,(CROQUIS!$C$95-CROQUIS!$C$107/2)),IF(IF(INT(($A60-1)/2)&gt;MAX((CROQUIS!$C$164-1)-1,0),1,MOD($A60-1,2))=0,(CROQUIS!$C$95-CROQUIS!$C$107/2),CROQUIS!$C$107/2)))*CROQUIS!$C$159),-1000)</f>
        <v>13.2878445549028</v>
      </c>
      <c r="AQ60">
        <f>IF(AND(CROQUIS!$C$87=1,CROQUIS!$C$164&gt;=2),(CROQUIS!$C$161+((CROQUIS!$C$165+CROQUIS!$C$115+(CROQUIS!$C$116-CROQUIS!$C$115)/2+MIN(INT(($A60-1)/2),MAX((CROQUIS!$C$164-1)-1,0))*CROQUIS!$C$116))*CROQUIS!$C$159),-1000)</f>
        <v>68.0298237686399</v>
      </c>
      <c r="BN60">
        <f>IF(AND(CROQUIS!$C$88=1,CROQUIS!$C$129&gt;0),((CROQUIS!$C$160+(IF(CROQUIS!$C$92="X",CHOOSE(IF(INT(($A60-1)/5)&gt;MAX((MAX(1,INT(((CROQUIS!$C$98)-CROQUIS!$C$107)/MAX((CROQUIS!$C$129*MAX(1,CEILING((INT(((CROQUIS!$C$98)-CROQUIS!$C$107)/MAX(CROQUIS!$C$129,1))+1)/80,1))),1))+1))-1,0),0,MOD($A60-1,5))+1,0,2,CROQUIS!$C$97-2,2,0),((CROQUIS!$C$107/2+(((CROQUIS!$C$98)-CROQUIS!$C$107)-(MAX(1,INT(((CROQUIS!$C$98)-CROQUIS!$C$107)/MAX((CROQUIS!$C$129*MAX(1,CEILING((INT(((CROQUIS!$C$98)-CROQUIS!$C$107)/MAX(CROQUIS!$C$129,1))+1)/80,1))),1))+1)-1)*(CROQUIS!$C$129*MAX(1,CEILING((INT(((CROQUIS!$C$98)-CROQUIS!$C$107)/MAX(CROQUIS!$C$129,1))+1)/80,1))))/2)+MIN(INT(($A60-1)/5),MAX((MAX(1,INT(((CROQUIS!$C$98)-CROQUIS!$C$107)/MAX((CROQUIS!$C$129*MAX(1,CEILING((INT(((CROQUIS!$C$98)-CROQUIS!$C$107)/MAX(CROQUIS!$C$129,1))+1)/80,1))),1))+1))-1,0))*(CROQUIS!$C$129*MAX(1,CEILING((INT(((CROQUIS!$C$98)-CROQUIS!$C$107)/MAX(CROQUIS!$C$129,1))+1)/80,1))))))*CROQUIS!$C$159)+IF(CROQUIS!$C$92="X",0,0)),-1000)</f>
        <v>-1000</v>
      </c>
      <c r="BO60">
        <f>IF(AND(CROQUIS!$C$88=1,CROQUIS!$C$129&gt;0),((CROQUIS!$C$161+(IF(CROQUIS!$C$92="X",((CROQUIS!$C$107/2+(((CROQUIS!$C$98)-CROQUIS!$C$107)-(MAX(1,INT(((CROQUIS!$C$98)-CROQUIS!$C$107)/MAX((CROQUIS!$C$129*MAX(1,CEILING((INT(((CROQUIS!$C$98)-CROQUIS!$C$107)/MAX(CROQUIS!$C$129,1))+1)/80,1))),1))+1)-1)*(CROQUIS!$C$129*MAX(1,CEILING((INT(((CROQUIS!$C$98)-CROQUIS!$C$107)/MAX(CROQUIS!$C$129,1))+1)/80,1))))/2)+MIN(INT(($A60-1)/5),MAX((MAX(1,INT(((CROQUIS!$C$98)-CROQUIS!$C$107)/MAX((CROQUIS!$C$129*MAX(1,CEILING((INT(((CROQUIS!$C$98)-CROQUIS!$C$107)/MAX(CROQUIS!$C$129,1))+1)/80,1))),1))+1))-1,0))*(CROQUIS!$C$129*MAX(1,CEILING((INT(((CROQUIS!$C$98)-CROQUIS!$C$107)/MAX(CROQUIS!$C$129,1))+1)/80,1)))),CHOOSE(IF(INT(($A60-1)/5)&gt;MAX((MAX(1,INT(((CROQUIS!$C$98)-CROQUIS!$C$107)/MAX((CROQUIS!$C$129*MAX(1,CEILING((INT(((CROQUIS!$C$98)-CROQUIS!$C$107)/MAX(CROQUIS!$C$129,1))+1)/80,1))),1))+1))-1,0),0,MOD($A60-1,5))+1,0,2,CROQUIS!$C$97-2,2,0)))*CROQUIS!$C$159)+IF(CROQUIS!$C$92="X",0,0)),-1000)</f>
        <v>-1000</v>
      </c>
      <c r="BP60">
        <f>IF(AND(CROQUIS!$C$88=1,CROQUIS!$C$137&gt;0),((CROQUIS!$C$160+(IF(CROQUIS!$C$92="X",((CROQUIS!$C$107/2+(((CROQUIS!$C$97)-CROQUIS!$C$107)-(MAX(1,INT(((CROQUIS!$C$97)-CROQUIS!$C$107)/MAX((CROQUIS!$C$137*MAX(1,CEILING((INT(((CROQUIS!$C$97)-CROQUIS!$C$107)/MAX(CROQUIS!$C$137,1))+1)/80,1))),1))+1)-1)*(CROQUIS!$C$137*MAX(1,CEILING((INT(((CROQUIS!$C$97)-CROQUIS!$C$107)/MAX(CROQUIS!$C$137,1))+1)/80,1))))/2)+MIN(INT(($A60-1)/5),MAX((MAX(1,INT(((CROQUIS!$C$97)-CROQUIS!$C$107)/MAX((CROQUIS!$C$137*MAX(1,CEILING((INT(((CROQUIS!$C$97)-CROQUIS!$C$107)/MAX(CROQUIS!$C$137,1))+1)/80,1))),1))+1))-1,0))*(CROQUIS!$C$137*MAX(1,CEILING((INT(((CROQUIS!$C$97)-CROQUIS!$C$107)/MAX(CROQUIS!$C$137,1))+1)/80,1)))),CHOOSE(IF(INT(($A60-1)/5)&gt;MAX((MAX(1,INT(((CROQUIS!$C$97)-CROQUIS!$C$107)/MAX((CROQUIS!$C$137*MAX(1,CEILING((INT(((CROQUIS!$C$97)-CROQUIS!$C$107)/MAX(CROQUIS!$C$137,1))+1)/80,1))),1))+1))-1,0),0,MOD($A60-1,5))+1,0,2,CROQUIS!$C$98-2,2,0)))*CROQUIS!$C$159)+IF(CROQUIS!$C$92="X",0,0)),-1000)</f>
        <v>-1000</v>
      </c>
      <c r="BQ60">
        <f>IF(AND(CROQUIS!$C$88=1,CROQUIS!$C$137&gt;0),((CROQUIS!$C$161+(IF(CROQUIS!$C$92="X",CHOOSE(IF(INT(($A60-1)/5)&gt;MAX((MAX(1,INT(((CROQUIS!$C$97)-CROQUIS!$C$107)/MAX((CROQUIS!$C$137*MAX(1,CEILING((INT(((CROQUIS!$C$97)-CROQUIS!$C$107)/MAX(CROQUIS!$C$137,1))+1)/80,1))),1))+1))-1,0),0,MOD($A60-1,5))+1,0,2,CROQUIS!$C$98-2,2,0),((CROQUIS!$C$107/2+(((CROQUIS!$C$97)-CROQUIS!$C$107)-(MAX(1,INT(((CROQUIS!$C$97)-CROQUIS!$C$107)/MAX((CROQUIS!$C$137*MAX(1,CEILING((INT(((CROQUIS!$C$97)-CROQUIS!$C$107)/MAX(CROQUIS!$C$137,1))+1)/80,1))),1))+1)-1)*(CROQUIS!$C$137*MAX(1,CEILING((INT(((CROQUIS!$C$97)-CROQUIS!$C$107)/MAX(CROQUIS!$C$137,1))+1)/80,1))))/2)+MIN(INT(($A60-1)/5),MAX((MAX(1,INT(((CROQUIS!$C$97)-CROQUIS!$C$107)/MAX((CROQUIS!$C$137*MAX(1,CEILING((INT(((CROQUIS!$C$97)-CROQUIS!$C$107)/MAX(CROQUIS!$C$137,1))+1)/80,1))),1))+1))-1,0))*(CROQUIS!$C$137*MAX(1,CEILING((INT(((CROQUIS!$C$97)-CROQUIS!$C$107)/MAX(CROQUIS!$C$137,1))+1)/80,1))))))*CROQUIS!$C$159)+IF(CROQUIS!$C$92="X",0,0)),-1000)</f>
        <v>-1000</v>
      </c>
      <c r="BR60">
        <f>IF(AND(CROQUIS!$C$88=1,CROQUIS!$C$91=0,CROQUIS!$C$133&gt;0,OR(CROQUIS!$C$103=1,CROQUIS!$C$145=1)),((CROQUIS!$C$160+(IF(CROQUIS!$C$92="X",CHOOSE(IF(INT(($A60-1)/5)&gt;MAX((MAX(1,INT(((CROQUIS!$C$98)-CROQUIS!$C$107)/MAX((CROQUIS!$C$133*MAX(1,CEILING((INT(((CROQUIS!$C$98)-CROQUIS!$C$107)/MAX(CROQUIS!$C$133,1))+1)/80,1))),1))+1))-1,0),0,MOD($A60-1,5))+1,0,IF(CROQUIS!$C$103=1,-12,2),CROQUIS!$C$107/2+CROQUIS!$C$143,IF(CROQUIS!$C$103=1,-12,2),0),((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BS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+1,0,IF(CROQUIS!$C$103=1,-12,2),CROQUIS!$C$107/2+CROQUIS!$C$143,IF(CROQUIS!$C$103=1,-12,2),0)))*CROQUIS!$C$159)+IF(CROQUIS!$C$92="X",0.8,0)),-1000)</f>
        <v>-1000</v>
      </c>
      <c r="BT60">
        <f>IF(AND(CROQUIS!$C$88=1,CROQUIS!$C$91=0,CROQUIS!$C$133&gt;0,OR(CROQUIS!$C$104=1,CROQUIS!$C$145=1)),((CROQUIS!$C$160+(IF(CROQUIS!$C$92="X",CHOOSE(IF(INT(($A60-1)/5)&gt;MAX((MAX(1,INT(((CROQUIS!$C$98)-CROQUIS!$C$107)/MAX((CROQUIS!$C$133*MAX(1,CEILING((INT(((CROQUIS!$C$98)-CROQUIS!$C$107)/MAX(CROQUIS!$C$133,1))+1)/80,1))),1))+1))-1,0),0,MOD($A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BU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CROQUIS!$C$97,CROQUIS!$C$97-CROQUIS!$C$107/2-CROQUIS!$C$143,IF(CROQUIS!$C$104=1,CROQUIS!$C$97+12,CROQUIS!$C$97-2),CROQUIS!$C$97-CROQUIS!$C$107/2-CROQUIS!$C$143,CROQUIS!$C$97)))*CROQUIS!$C$159)+IF(CROQUIS!$C$92="X",0.8,0)),-1000)</f>
        <v>-1000</v>
      </c>
      <c r="BV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HOOSE(IF(INT(($A60-1)/5)&gt;MAX((MAX(1,INT(((CROQUIS!$C$97)-CROQUIS!$C$107)/MAX((CROQUIS!$C$141*MAX(1,CEILING((INT(((CROQUIS!$C$97)-CROQUIS!$C$107)/MAX(CROQUIS!$C$141,1))+1)/80,1))),1))+1))-1,0),0,MOD($A60-1,5))+1,0,IF(CROQUIS!$C$105=1,-12,2),CROQUIS!$C$107/2+CROQUIS!$C$144,IF(CROQUIS!$C$105=1,-12,2),0)))*CROQUIS!$C$159)+IF(CROQUIS!$C$92="X",0.8,0)),-1000)</f>
        <v>-1000</v>
      </c>
      <c r="BW60">
        <f>IF(AND(CROQUIS!$C$88=1,CROQUIS!$C$91=0,CROQUIS!$C$141&gt;0,OR(CROQUIS!$C$105=1,CROQUIS!$C$146=1)),((CROQUIS!$C$161+(IF(CROQUIS!$C$92="X",CHOOSE(IF(INT(($A60-1)/5)&gt;MAX((MAX(1,INT(((CROQUIS!$C$97)-CROQUIS!$C$107)/MAX((CROQUIS!$C$141*MAX(1,CEILING((INT(((CROQUIS!$C$97)-CROQUIS!$C$107)/MAX(CROQUIS!$C$141,1))+1)/80,1))),1))+1))-1,0),0,MOD($A60-1,5))+1,0,IF(CROQUIS!$C$105=1,-12,2),CROQUIS!$C$107/2+CROQUIS!$C$144,IF(CROQUIS!$C$105=1,-12,2),0),((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ROQUIS!$C$159)+IF(CROQUIS!$C$92="X",0,0.8)),-1000)</f>
        <v>-1000</v>
      </c>
      <c r="BX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HOOSE(IF(INT(($A60-1)/5)&gt;MAX((MAX(1,INT(((CROQUIS!$C$97)-CROQUIS!$C$107)/MAX((CROQUIS!$C$141*MAX(1,CEILING((INT(((CROQUIS!$C$97)-CROQUIS!$C$107)/MAX(CROQUIS!$C$141,1))+1)/80,1))),1))+1))-1,0),0,MOD($A60-1,5))+1,CROQUIS!$C$98,CROQUIS!$C$98-CROQUIS!$C$107/2-CROQUIS!$C$144,IF(CROQUIS!$C$106=1,CROQUIS!$C$98+12,CROQUIS!$C$98-2),CROQUIS!$C$98-CROQUIS!$C$107/2-CROQUIS!$C$144,CROQUIS!$C$98)))*CROQUIS!$C$159)+IF(CROQUIS!$C$92="X",0.8,0)),-1000)</f>
        <v>-1000</v>
      </c>
      <c r="BY60">
        <f>IF(AND(CROQUIS!$C$88=1,CROQUIS!$C$91=0,CROQUIS!$C$141&gt;0,OR(CROQUIS!$C$106=1,CROQUIS!$C$146=1)),((CROQUIS!$C$161+(IF(CROQUIS!$C$92="X",CHOOSE(IF(INT(($A60-1)/5)&gt;MAX((MAX(1,INT(((CROQUIS!$C$97)-CROQUIS!$C$107)/MAX((CROQUIS!$C$141*MAX(1,CEILING((INT(((CROQUIS!$C$97)-CROQUIS!$C$107)/MAX(CROQUIS!$C$141,1))+1)/80,1))),1))+1))-1,0),0,MOD($A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ROQUIS!$C$159)+IF(CROQUIS!$C$92="X",0,0.8)),-1000)</f>
        <v>-1000</v>
      </c>
      <c r="BZ60">
        <f>IF(AND(CROQUIS!$C$88=1,CROQUIS!$C$91=1,CROQUIS!$C$133&gt;0),((CROQUIS!$C$160+(IF(CROQUIS!$C$92="X",CHOOSE(IF(INT(($A60-1)/5)&gt;MAX((MAX(1,INT(((CROQUIS!$C$98)-CROQUIS!$C$107)/MAX((CROQUIS!$C$133*MAX(1,CEILING((INT(((CROQUIS!$C$98)-CROQUIS!$C$107)/MAX(CROQUIS!$C$133,1))+1)/80,1))),1))+1))-1,0),0,MOD($A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CA60">
        <f>IF(AND(CROQUIS!$C$88=1,CROQUIS!$C$91=1,CROQUIS!$C$133&gt;0),((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1">
      <c r="A61" t="n">
        <v>54</v>
      </c>
      <c r="AJ61">
        <f>IF(AND(CROQUIS!$C$87=1,CROQUIS!$C$162&gt;0,CROQUIS!$C$164&gt;0),(CROQUIS!$C$160+((CROQUIS!$C$163+INT(MIN(INT(($A61-1)/2),MAX((2*CROQUIS!$C$162)-1,0))/2)*CROQUIS!$C$116+MOD(MIN(INT(($A61-1)/2),MAX((2*CROQUIS!$C$162)-1,0)),2)*CROQUIS!$C$114))*CROQUIS!$C$159),-1000)</f>
        <v>81.3375508359693</v>
      </c>
      <c r="AK61">
        <f>IF(AND(CROQUIS!$C$87=1,CROQUIS!$C$162&gt;0,CROQUIS!$C$164&gt;0),(CROQUIS!$C$161+(IF(MOD(MIN(INT(($A61-1)/2),MAX((2*CROQUIS!$C$162)-1,0)),2)=0,IF(IF(INT(($A61-1)/2)&gt;MAX((2*CROQUIS!$C$162)-1,0),1,MOD($A61-1,2))=0,CROQUIS!$C$165,(CROQUIS!$C$165+(CROQUIS!$C$164-1)*CROQUIS!$C$116+CROQUIS!$C$115)),IF(IF(INT(($A61-1)/2)&gt;MAX((2*CROQUIS!$C$162)-1,0),1,MOD($A61-1,2))=0,(CROQUIS!$C$165+(CROQUIS!$C$164-1)*CROQUIS!$C$116+CROQUIS!$C$115),CROQUIS!$C$165)))*CROQUIS!$C$159),-1000)</f>
        <v>20.8088567555355</v>
      </c>
      <c r="AL61">
        <f>IF(AND(CROQUIS!$C$87=1,CROQUIS!$C$164&gt;0,CROQUIS!$C$162&gt;0),(CROQUIS!$C$160+(IF(MOD(MIN(INT(($A61-1)/2),MAX((2*CROQUIS!$C$164)-1,0)),2)=0,IF(IF(INT(($A61-1)/2)&gt;MAX((2*CROQUIS!$C$164)-1,0),1,MOD($A61-1,2))=0,CROQUIS!$C$163,(CROQUIS!$C$163+(CROQUIS!$C$162-1)*CROQUIS!$C$116+CROQUIS!$C$114)),IF(IF(INT(($A61-1)/2)&gt;MAX((2*CROQUIS!$C$164)-1,0),1,MOD($A61-1,2))=0,(CROQUIS!$C$163+(CROQUIS!$C$162-1)*CROQUIS!$C$116+CROQUIS!$C$114),CROQUIS!$C$163)))*CROQUIS!$C$159),-1000)</f>
        <v>22.9552643470402</v>
      </c>
      <c r="AM61">
        <f>IF(AND(CROQUIS!$C$87=1,CROQUIS!$C$164&gt;0,CROQUIS!$C$162&gt;0),(CROQUIS!$C$161+((CROQUIS!$C$165+INT(MIN(INT(($A61-1)/2),MAX((2*CROQUIS!$C$164)-1,0))/2)*CROQUIS!$C$116+MOD(MIN(INT(($A61-1)/2),MAX((2*CROQUIS!$C$164)-1,0)),2)*CROQUIS!$C$115))*CROQUIS!$C$159),-1000)</f>
        <v>79.1911432444645</v>
      </c>
      <c r="AN61">
        <f>IF(AND(CROQUIS!$C$87=1,CROQUIS!$C$162&gt;=2),(CROQUIS!$C$160+((CROQUIS!$C$163+CROQUIS!$C$114+(CROQUIS!$C$116-CROQUIS!$C$114)/2+MIN(INT(($A61-1)/2),MAX((CROQUIS!$C$162-1)-1,0))*CROQUIS!$C$116))*CROQUIS!$C$159),-1000)</f>
        <v>70.1762313601446</v>
      </c>
      <c r="AO61">
        <f>IF(AND(CROQUIS!$C$87=1,CROQUIS!$C$162&gt;=2),(CROQUIS!$C$161+(IF(MOD(MIN(INT(($A61-1)/2),MAX((CROQUIS!$C$162-1)-1,0)),2)=0,IF(IF(INT(($A61-1)/2)&gt;MAX((CROQUIS!$C$162-1)-1,0),1,MOD($A61-1,2))=0,CROQUIS!$C$107/2,(CROQUIS!$C$96-CROQUIS!$C$107/2)),IF(IF(INT(($A61-1)/2)&gt;MAX((CROQUIS!$C$162-1)-1,0),1,MOD($A61-1,2))=0,(CROQUIS!$C$96-CROQUIS!$C$107/2),CROQUIS!$C$107/2)))*CROQUIS!$C$159),-1000)</f>
        <v>16.9453230908269</v>
      </c>
      <c r="AP61">
        <f>IF(AND(CROQUIS!$C$87=1,CROQUIS!$C$164&gt;=2),(CROQUIS!$C$160+(IF(MOD(MIN(INT(($A61-1)/2),MAX((CROQUIS!$C$164-1)-1,0)),2)=0,IF(IF(INT(($A61-1)/2)&gt;MAX((CROQUIS!$C$164-1)-1,0),1,MOD($A61-1,2))=0,CROQUIS!$C$107/2,(CROQUIS!$C$95-CROQUIS!$C$107/2)),IF(IF(INT(($A61-1)/2)&gt;MAX((CROQUIS!$C$164-1)-1,0),1,MOD($A61-1,2))=0,(CROQUIS!$C$95-CROQUIS!$C$107/2),CROQUIS!$C$107/2)))*CROQUIS!$C$159),-1000)</f>
        <v>13.2878445549028</v>
      </c>
      <c r="AQ61">
        <f>IF(AND(CROQUIS!$C$87=1,CROQUIS!$C$164&gt;=2),(CROQUIS!$C$161+((CROQUIS!$C$165+CROQUIS!$C$115+(CROQUIS!$C$116-CROQUIS!$C$115)/2+MIN(INT(($A61-1)/2),MAX((CROQUIS!$C$164-1)-1,0))*CROQUIS!$C$116))*CROQUIS!$C$159),-1000)</f>
        <v>68.0298237686399</v>
      </c>
      <c r="BN61">
        <f>IF(AND(CROQUIS!$C$88=1,CROQUIS!$C$129&gt;0),((CROQUIS!$C$160+(IF(CROQUIS!$C$92="X",CHOOSE(IF(INT(($A61-1)/5)&gt;MAX((MAX(1,INT(((CROQUIS!$C$98)-CROQUIS!$C$107)/MAX((CROQUIS!$C$129*MAX(1,CEILING((INT(((CROQUIS!$C$98)-CROQUIS!$C$107)/MAX(CROQUIS!$C$129,1))+1)/80,1))),1))+1))-1,0),0,MOD($A61-1,5))+1,0,2,CROQUIS!$C$97-2,2,0),((CROQUIS!$C$107/2+(((CROQUIS!$C$98)-CROQUIS!$C$107)-(MAX(1,INT(((CROQUIS!$C$98)-CROQUIS!$C$107)/MAX((CROQUIS!$C$129*MAX(1,CEILING((INT(((CROQUIS!$C$98)-CROQUIS!$C$107)/MAX(CROQUIS!$C$129,1))+1)/80,1))),1))+1)-1)*(CROQUIS!$C$129*MAX(1,CEILING((INT(((CROQUIS!$C$98)-CROQUIS!$C$107)/MAX(CROQUIS!$C$129,1))+1)/80,1))))/2)+MIN(INT(($A61-1)/5),MAX((MAX(1,INT(((CROQUIS!$C$98)-CROQUIS!$C$107)/MAX((CROQUIS!$C$129*MAX(1,CEILING((INT(((CROQUIS!$C$98)-CROQUIS!$C$107)/MAX(CROQUIS!$C$129,1))+1)/80,1))),1))+1))-1,0))*(CROQUIS!$C$129*MAX(1,CEILING((INT(((CROQUIS!$C$98)-CROQUIS!$C$107)/MAX(CROQUIS!$C$129,1))+1)/80,1))))))*CROQUIS!$C$159)+IF(CROQUIS!$C$92="X",0,0)),-1000)</f>
        <v>-1000</v>
      </c>
      <c r="BO61">
        <f>IF(AND(CROQUIS!$C$88=1,CROQUIS!$C$129&gt;0),((CROQUIS!$C$161+(IF(CROQUIS!$C$92="X",((CROQUIS!$C$107/2+(((CROQUIS!$C$98)-CROQUIS!$C$107)-(MAX(1,INT(((CROQUIS!$C$98)-CROQUIS!$C$107)/MAX((CROQUIS!$C$129*MAX(1,CEILING((INT(((CROQUIS!$C$98)-CROQUIS!$C$107)/MAX(CROQUIS!$C$129,1))+1)/80,1))),1))+1)-1)*(CROQUIS!$C$129*MAX(1,CEILING((INT(((CROQUIS!$C$98)-CROQUIS!$C$107)/MAX(CROQUIS!$C$129,1))+1)/80,1))))/2)+MIN(INT(($A61-1)/5),MAX((MAX(1,INT(((CROQUIS!$C$98)-CROQUIS!$C$107)/MAX((CROQUIS!$C$129*MAX(1,CEILING((INT(((CROQUIS!$C$98)-CROQUIS!$C$107)/MAX(CROQUIS!$C$129,1))+1)/80,1))),1))+1))-1,0))*(CROQUIS!$C$129*MAX(1,CEILING((INT(((CROQUIS!$C$98)-CROQUIS!$C$107)/MAX(CROQUIS!$C$129,1))+1)/80,1)))),CHOOSE(IF(INT(($A61-1)/5)&gt;MAX((MAX(1,INT(((CROQUIS!$C$98)-CROQUIS!$C$107)/MAX((CROQUIS!$C$129*MAX(1,CEILING((INT(((CROQUIS!$C$98)-CROQUIS!$C$107)/MAX(CROQUIS!$C$129,1))+1)/80,1))),1))+1))-1,0),0,MOD($A61-1,5))+1,0,2,CROQUIS!$C$97-2,2,0)))*CROQUIS!$C$159)+IF(CROQUIS!$C$92="X",0,0)),-1000)</f>
        <v>-1000</v>
      </c>
      <c r="BP61">
        <f>IF(AND(CROQUIS!$C$88=1,CROQUIS!$C$137&gt;0),((CROQUIS!$C$160+(IF(CROQUIS!$C$92="X",((CROQUIS!$C$107/2+(((CROQUIS!$C$97)-CROQUIS!$C$107)-(MAX(1,INT(((CROQUIS!$C$97)-CROQUIS!$C$107)/MAX((CROQUIS!$C$137*MAX(1,CEILING((INT(((CROQUIS!$C$97)-CROQUIS!$C$107)/MAX(CROQUIS!$C$137,1))+1)/80,1))),1))+1)-1)*(CROQUIS!$C$137*MAX(1,CEILING((INT(((CROQUIS!$C$97)-CROQUIS!$C$107)/MAX(CROQUIS!$C$137,1))+1)/80,1))))/2)+MIN(INT(($A61-1)/5),MAX((MAX(1,INT(((CROQUIS!$C$97)-CROQUIS!$C$107)/MAX((CROQUIS!$C$137*MAX(1,CEILING((INT(((CROQUIS!$C$97)-CROQUIS!$C$107)/MAX(CROQUIS!$C$137,1))+1)/80,1))),1))+1))-1,0))*(CROQUIS!$C$137*MAX(1,CEILING((INT(((CROQUIS!$C$97)-CROQUIS!$C$107)/MAX(CROQUIS!$C$137,1))+1)/80,1)))),CHOOSE(IF(INT(($A61-1)/5)&gt;MAX((MAX(1,INT(((CROQUIS!$C$97)-CROQUIS!$C$107)/MAX((CROQUIS!$C$137*MAX(1,CEILING((INT(((CROQUIS!$C$97)-CROQUIS!$C$107)/MAX(CROQUIS!$C$137,1))+1)/80,1))),1))+1))-1,0),0,MOD($A61-1,5))+1,0,2,CROQUIS!$C$98-2,2,0)))*CROQUIS!$C$159)+IF(CROQUIS!$C$92="X",0,0)),-1000)</f>
        <v>-1000</v>
      </c>
      <c r="BQ61">
        <f>IF(AND(CROQUIS!$C$88=1,CROQUIS!$C$137&gt;0),((CROQUIS!$C$161+(IF(CROQUIS!$C$92="X",CHOOSE(IF(INT(($A61-1)/5)&gt;MAX((MAX(1,INT(((CROQUIS!$C$97)-CROQUIS!$C$107)/MAX((CROQUIS!$C$137*MAX(1,CEILING((INT(((CROQUIS!$C$97)-CROQUIS!$C$107)/MAX(CROQUIS!$C$137,1))+1)/80,1))),1))+1))-1,0),0,MOD($A61-1,5))+1,0,2,CROQUIS!$C$98-2,2,0),((CROQUIS!$C$107/2+(((CROQUIS!$C$97)-CROQUIS!$C$107)-(MAX(1,INT(((CROQUIS!$C$97)-CROQUIS!$C$107)/MAX((CROQUIS!$C$137*MAX(1,CEILING((INT(((CROQUIS!$C$97)-CROQUIS!$C$107)/MAX(CROQUIS!$C$137,1))+1)/80,1))),1))+1)-1)*(CROQUIS!$C$137*MAX(1,CEILING((INT(((CROQUIS!$C$97)-CROQUIS!$C$107)/MAX(CROQUIS!$C$137,1))+1)/80,1))))/2)+MIN(INT(($A61-1)/5),MAX((MAX(1,INT(((CROQUIS!$C$97)-CROQUIS!$C$107)/MAX((CROQUIS!$C$137*MAX(1,CEILING((INT(((CROQUIS!$C$97)-CROQUIS!$C$107)/MAX(CROQUIS!$C$137,1))+1)/80,1))),1))+1))-1,0))*(CROQUIS!$C$137*MAX(1,CEILING((INT(((CROQUIS!$C$97)-CROQUIS!$C$107)/MAX(CROQUIS!$C$137,1))+1)/80,1))))))*CROQUIS!$C$159)+IF(CROQUIS!$C$92="X",0,0)),-1000)</f>
        <v>-1000</v>
      </c>
      <c r="BR61">
        <f>IF(AND(CROQUIS!$C$88=1,CROQUIS!$C$91=0,CROQUIS!$C$133&gt;0,OR(CROQUIS!$C$103=1,CROQUIS!$C$145=1)),((CROQUIS!$C$160+(IF(CROQUIS!$C$92="X",CHOOSE(IF(INT(($A61-1)/5)&gt;MAX((MAX(1,INT(((CROQUIS!$C$98)-CROQUIS!$C$107)/MAX((CROQUIS!$C$133*MAX(1,CEILING((INT(((CROQUIS!$C$98)-CROQUIS!$C$107)/MAX(CROQUIS!$C$133,1))+1)/80,1))),1))+1))-1,0),0,MOD($A61-1,5))+1,0,IF(CROQUIS!$C$103=1,-12,2),CROQUIS!$C$107/2+CROQUIS!$C$143,IF(CROQUIS!$C$103=1,-12,2),0),((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BS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+1,0,IF(CROQUIS!$C$103=1,-12,2),CROQUIS!$C$107/2+CROQUIS!$C$143,IF(CROQUIS!$C$103=1,-12,2),0)))*CROQUIS!$C$159)+IF(CROQUIS!$C$92="X",0.8,0)),-1000)</f>
        <v>-1000</v>
      </c>
      <c r="BT61">
        <f>IF(AND(CROQUIS!$C$88=1,CROQUIS!$C$91=0,CROQUIS!$C$133&gt;0,OR(CROQUIS!$C$104=1,CROQUIS!$C$145=1)),((CROQUIS!$C$160+(IF(CROQUIS!$C$92="X",CHOOSE(IF(INT(($A61-1)/5)&gt;MAX((MAX(1,INT(((CROQUIS!$C$98)-CROQUIS!$C$107)/MAX((CROQUIS!$C$133*MAX(1,CEILING((INT(((CROQUIS!$C$98)-CROQUIS!$C$107)/MAX(CROQUIS!$C$133,1))+1)/80,1))),1))+1))-1,0),0,MOD($A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BU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CROQUIS!$C$97,CROQUIS!$C$97-CROQUIS!$C$107/2-CROQUIS!$C$143,IF(CROQUIS!$C$104=1,CROQUIS!$C$97+12,CROQUIS!$C$97-2),CROQUIS!$C$97-CROQUIS!$C$107/2-CROQUIS!$C$143,CROQUIS!$C$97)))*CROQUIS!$C$159)+IF(CROQUIS!$C$92="X",0.8,0)),-1000)</f>
        <v>-1000</v>
      </c>
      <c r="BV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HOOSE(IF(INT(($A61-1)/5)&gt;MAX((MAX(1,INT(((CROQUIS!$C$97)-CROQUIS!$C$107)/MAX((CROQUIS!$C$141*MAX(1,CEILING((INT(((CROQUIS!$C$97)-CROQUIS!$C$107)/MAX(CROQUIS!$C$141,1))+1)/80,1))),1))+1))-1,0),0,MOD($A61-1,5))+1,0,IF(CROQUIS!$C$105=1,-12,2),CROQUIS!$C$107/2+CROQUIS!$C$144,IF(CROQUIS!$C$105=1,-12,2),0)))*CROQUIS!$C$159)+IF(CROQUIS!$C$92="X",0.8,0)),-1000)</f>
        <v>-1000</v>
      </c>
      <c r="BW61">
        <f>IF(AND(CROQUIS!$C$88=1,CROQUIS!$C$91=0,CROQUIS!$C$141&gt;0,OR(CROQUIS!$C$105=1,CROQUIS!$C$146=1)),((CROQUIS!$C$161+(IF(CROQUIS!$C$92="X",CHOOSE(IF(INT(($A61-1)/5)&gt;MAX((MAX(1,INT(((CROQUIS!$C$97)-CROQUIS!$C$107)/MAX((CROQUIS!$C$141*MAX(1,CEILING((INT(((CROQUIS!$C$97)-CROQUIS!$C$107)/MAX(CROQUIS!$C$141,1))+1)/80,1))),1))+1))-1,0),0,MOD($A61-1,5))+1,0,IF(CROQUIS!$C$105=1,-12,2),CROQUIS!$C$107/2+CROQUIS!$C$144,IF(CROQUIS!$C$105=1,-12,2),0),((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ROQUIS!$C$159)+IF(CROQUIS!$C$92="X",0,0.8)),-1000)</f>
        <v>-1000</v>
      </c>
      <c r="BX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HOOSE(IF(INT(($A61-1)/5)&gt;MAX((MAX(1,INT(((CROQUIS!$C$97)-CROQUIS!$C$107)/MAX((CROQUIS!$C$141*MAX(1,CEILING((INT(((CROQUIS!$C$97)-CROQUIS!$C$107)/MAX(CROQUIS!$C$141,1))+1)/80,1))),1))+1))-1,0),0,MOD($A61-1,5))+1,CROQUIS!$C$98,CROQUIS!$C$98-CROQUIS!$C$107/2-CROQUIS!$C$144,IF(CROQUIS!$C$106=1,CROQUIS!$C$98+12,CROQUIS!$C$98-2),CROQUIS!$C$98-CROQUIS!$C$107/2-CROQUIS!$C$144,CROQUIS!$C$98)))*CROQUIS!$C$159)+IF(CROQUIS!$C$92="X",0.8,0)),-1000)</f>
        <v>-1000</v>
      </c>
      <c r="BY61">
        <f>IF(AND(CROQUIS!$C$88=1,CROQUIS!$C$91=0,CROQUIS!$C$141&gt;0,OR(CROQUIS!$C$106=1,CROQUIS!$C$146=1)),((CROQUIS!$C$161+(IF(CROQUIS!$C$92="X",CHOOSE(IF(INT(($A61-1)/5)&gt;MAX((MAX(1,INT(((CROQUIS!$C$97)-CROQUIS!$C$107)/MAX((CROQUIS!$C$141*MAX(1,CEILING((INT(((CROQUIS!$C$97)-CROQUIS!$C$107)/MAX(CROQUIS!$C$141,1))+1)/80,1))),1))+1))-1,0),0,MOD($A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ROQUIS!$C$159)+IF(CROQUIS!$C$92="X",0,0.8)),-1000)</f>
        <v>-1000</v>
      </c>
      <c r="BZ61">
        <f>IF(AND(CROQUIS!$C$88=1,CROQUIS!$C$91=1,CROQUIS!$C$133&gt;0),((CROQUIS!$C$160+(IF(CROQUIS!$C$92="X",CHOOSE(IF(INT(($A61-1)/5)&gt;MAX((MAX(1,INT(((CROQUIS!$C$98)-CROQUIS!$C$107)/MAX((CROQUIS!$C$133*MAX(1,CEILING((INT(((CROQUIS!$C$98)-CROQUIS!$C$107)/MAX(CROQUIS!$C$133,1))+1)/80,1))),1))+1))-1,0),0,MOD($A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CA61">
        <f>IF(AND(CROQUIS!$C$88=1,CROQUIS!$C$91=1,CROQUIS!$C$133&gt;0),((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2">
      <c r="A62" t="n">
        <v>55</v>
      </c>
      <c r="AJ62">
        <f>IF(AND(CROQUIS!$C$87=1,CROQUIS!$C$162&gt;0,CROQUIS!$C$164&gt;0),(CROQUIS!$C$160+((CROQUIS!$C$163+INT(MIN(INT(($A62-1)/2),MAX((2*CROQUIS!$C$162)-1,0))/2)*CROQUIS!$C$116+MOD(MIN(INT(($A62-1)/2),MAX((2*CROQUIS!$C$162)-1,0)),2)*CROQUIS!$C$114))*CROQUIS!$C$159),-1000)</f>
        <v>81.3375508359693</v>
      </c>
      <c r="AK62">
        <f>IF(AND(CROQUIS!$C$87=1,CROQUIS!$C$162&gt;0,CROQUIS!$C$164&gt;0),(CROQUIS!$C$161+(IF(MOD(MIN(INT(($A62-1)/2),MAX((2*CROQUIS!$C$162)-1,0)),2)=0,IF(IF(INT(($A62-1)/2)&gt;MAX((2*CROQUIS!$C$162)-1,0),1,MOD($A62-1,2))=0,CROQUIS!$C$165,(CROQUIS!$C$165+(CROQUIS!$C$164-1)*CROQUIS!$C$116+CROQUIS!$C$115)),IF(IF(INT(($A62-1)/2)&gt;MAX((2*CROQUIS!$C$162)-1,0),1,MOD($A62-1,2))=0,(CROQUIS!$C$165+(CROQUIS!$C$164-1)*CROQUIS!$C$116+CROQUIS!$C$115),CROQUIS!$C$165)))*CROQUIS!$C$159),-1000)</f>
        <v>20.8088567555355</v>
      </c>
      <c r="AL62">
        <f>IF(AND(CROQUIS!$C$87=1,CROQUIS!$C$164&gt;0,CROQUIS!$C$162&gt;0),(CROQUIS!$C$160+(IF(MOD(MIN(INT(($A62-1)/2),MAX((2*CROQUIS!$C$164)-1,0)),2)=0,IF(IF(INT(($A62-1)/2)&gt;MAX((2*CROQUIS!$C$164)-1,0),1,MOD($A62-1,2))=0,CROQUIS!$C$163,(CROQUIS!$C$163+(CROQUIS!$C$162-1)*CROQUIS!$C$116+CROQUIS!$C$114)),IF(IF(INT(($A62-1)/2)&gt;MAX((2*CROQUIS!$C$164)-1,0),1,MOD($A62-1,2))=0,(CROQUIS!$C$163+(CROQUIS!$C$162-1)*CROQUIS!$C$116+CROQUIS!$C$114),CROQUIS!$C$163)))*CROQUIS!$C$159),-1000)</f>
        <v>22.9552643470402</v>
      </c>
      <c r="AM62">
        <f>IF(AND(CROQUIS!$C$87=1,CROQUIS!$C$164&gt;0,CROQUIS!$C$162&gt;0),(CROQUIS!$C$161+((CROQUIS!$C$165+INT(MIN(INT(($A62-1)/2),MAX((2*CROQUIS!$C$164)-1,0))/2)*CROQUIS!$C$116+MOD(MIN(INT(($A62-1)/2),MAX((2*CROQUIS!$C$164)-1,0)),2)*CROQUIS!$C$115))*CROQUIS!$C$159),-1000)</f>
        <v>79.1911432444645</v>
      </c>
      <c r="AN62">
        <f>IF(AND(CROQUIS!$C$87=1,CROQUIS!$C$162&gt;=2),(CROQUIS!$C$160+((CROQUIS!$C$163+CROQUIS!$C$114+(CROQUIS!$C$116-CROQUIS!$C$114)/2+MIN(INT(($A62-1)/2),MAX((CROQUIS!$C$162-1)-1,0))*CROQUIS!$C$116))*CROQUIS!$C$159),-1000)</f>
        <v>70.1762313601446</v>
      </c>
      <c r="AO62">
        <f>IF(AND(CROQUIS!$C$87=1,CROQUIS!$C$162&gt;=2),(CROQUIS!$C$161+(IF(MOD(MIN(INT(($A62-1)/2),MAX((CROQUIS!$C$162-1)-1,0)),2)=0,IF(IF(INT(($A62-1)/2)&gt;MAX((CROQUIS!$C$162-1)-1,0),1,MOD($A62-1,2))=0,CROQUIS!$C$107/2,(CROQUIS!$C$96-CROQUIS!$C$107/2)),IF(IF(INT(($A62-1)/2)&gt;MAX((CROQUIS!$C$162-1)-1,0),1,MOD($A62-1,2))=0,(CROQUIS!$C$96-CROQUIS!$C$107/2),CROQUIS!$C$107/2)))*CROQUIS!$C$159),-1000)</f>
        <v>16.9453230908269</v>
      </c>
      <c r="AP62">
        <f>IF(AND(CROQUIS!$C$87=1,CROQUIS!$C$164&gt;=2),(CROQUIS!$C$160+(IF(MOD(MIN(INT(($A62-1)/2),MAX((CROQUIS!$C$164-1)-1,0)),2)=0,IF(IF(INT(($A62-1)/2)&gt;MAX((CROQUIS!$C$164-1)-1,0),1,MOD($A62-1,2))=0,CROQUIS!$C$107/2,(CROQUIS!$C$95-CROQUIS!$C$107/2)),IF(IF(INT(($A62-1)/2)&gt;MAX((CROQUIS!$C$164-1)-1,0),1,MOD($A62-1,2))=0,(CROQUIS!$C$95-CROQUIS!$C$107/2),CROQUIS!$C$107/2)))*CROQUIS!$C$159),-1000)</f>
        <v>13.2878445549028</v>
      </c>
      <c r="AQ62">
        <f>IF(AND(CROQUIS!$C$87=1,CROQUIS!$C$164&gt;=2),(CROQUIS!$C$161+((CROQUIS!$C$165+CROQUIS!$C$115+(CROQUIS!$C$116-CROQUIS!$C$115)/2+MIN(INT(($A62-1)/2),MAX((CROQUIS!$C$164-1)-1,0))*CROQUIS!$C$116))*CROQUIS!$C$159),-1000)</f>
        <v>68.0298237686399</v>
      </c>
      <c r="BN62">
        <f>IF(AND(CROQUIS!$C$88=1,CROQUIS!$C$129&gt;0),((CROQUIS!$C$160+(IF(CROQUIS!$C$92="X",CHOOSE(IF(INT(($A62-1)/5)&gt;MAX((MAX(1,INT(((CROQUIS!$C$98)-CROQUIS!$C$107)/MAX((CROQUIS!$C$129*MAX(1,CEILING((INT(((CROQUIS!$C$98)-CROQUIS!$C$107)/MAX(CROQUIS!$C$129,1))+1)/80,1))),1))+1))-1,0),0,MOD($A62-1,5))+1,0,2,CROQUIS!$C$97-2,2,0),((CROQUIS!$C$107/2+(((CROQUIS!$C$98)-CROQUIS!$C$107)-(MAX(1,INT(((CROQUIS!$C$98)-CROQUIS!$C$107)/MAX((CROQUIS!$C$129*MAX(1,CEILING((INT(((CROQUIS!$C$98)-CROQUIS!$C$107)/MAX(CROQUIS!$C$129,1))+1)/80,1))),1))+1)-1)*(CROQUIS!$C$129*MAX(1,CEILING((INT(((CROQUIS!$C$98)-CROQUIS!$C$107)/MAX(CROQUIS!$C$129,1))+1)/80,1))))/2)+MIN(INT(($A62-1)/5),MAX((MAX(1,INT(((CROQUIS!$C$98)-CROQUIS!$C$107)/MAX((CROQUIS!$C$129*MAX(1,CEILING((INT(((CROQUIS!$C$98)-CROQUIS!$C$107)/MAX(CROQUIS!$C$129,1))+1)/80,1))),1))+1))-1,0))*(CROQUIS!$C$129*MAX(1,CEILING((INT(((CROQUIS!$C$98)-CROQUIS!$C$107)/MAX(CROQUIS!$C$129,1))+1)/80,1))))))*CROQUIS!$C$159)+IF(CROQUIS!$C$92="X",0,0)),-1000)</f>
        <v>-1000</v>
      </c>
      <c r="BO62">
        <f>IF(AND(CROQUIS!$C$88=1,CROQUIS!$C$129&gt;0),((CROQUIS!$C$161+(IF(CROQUIS!$C$92="X",((CROQUIS!$C$107/2+(((CROQUIS!$C$98)-CROQUIS!$C$107)-(MAX(1,INT(((CROQUIS!$C$98)-CROQUIS!$C$107)/MAX((CROQUIS!$C$129*MAX(1,CEILING((INT(((CROQUIS!$C$98)-CROQUIS!$C$107)/MAX(CROQUIS!$C$129,1))+1)/80,1))),1))+1)-1)*(CROQUIS!$C$129*MAX(1,CEILING((INT(((CROQUIS!$C$98)-CROQUIS!$C$107)/MAX(CROQUIS!$C$129,1))+1)/80,1))))/2)+MIN(INT(($A62-1)/5),MAX((MAX(1,INT(((CROQUIS!$C$98)-CROQUIS!$C$107)/MAX((CROQUIS!$C$129*MAX(1,CEILING((INT(((CROQUIS!$C$98)-CROQUIS!$C$107)/MAX(CROQUIS!$C$129,1))+1)/80,1))),1))+1))-1,0))*(CROQUIS!$C$129*MAX(1,CEILING((INT(((CROQUIS!$C$98)-CROQUIS!$C$107)/MAX(CROQUIS!$C$129,1))+1)/80,1)))),CHOOSE(IF(INT(($A62-1)/5)&gt;MAX((MAX(1,INT(((CROQUIS!$C$98)-CROQUIS!$C$107)/MAX((CROQUIS!$C$129*MAX(1,CEILING((INT(((CROQUIS!$C$98)-CROQUIS!$C$107)/MAX(CROQUIS!$C$129,1))+1)/80,1))),1))+1))-1,0),0,MOD($A62-1,5))+1,0,2,CROQUIS!$C$97-2,2,0)))*CROQUIS!$C$159)+IF(CROQUIS!$C$92="X",0,0)),-1000)</f>
        <v>-1000</v>
      </c>
      <c r="BP62">
        <f>IF(AND(CROQUIS!$C$88=1,CROQUIS!$C$137&gt;0),((CROQUIS!$C$160+(IF(CROQUIS!$C$92="X",((CROQUIS!$C$107/2+(((CROQUIS!$C$97)-CROQUIS!$C$107)-(MAX(1,INT(((CROQUIS!$C$97)-CROQUIS!$C$107)/MAX((CROQUIS!$C$137*MAX(1,CEILING((INT(((CROQUIS!$C$97)-CROQUIS!$C$107)/MAX(CROQUIS!$C$137,1))+1)/80,1))),1))+1)-1)*(CROQUIS!$C$137*MAX(1,CEILING((INT(((CROQUIS!$C$97)-CROQUIS!$C$107)/MAX(CROQUIS!$C$137,1))+1)/80,1))))/2)+MIN(INT(($A62-1)/5),MAX((MAX(1,INT(((CROQUIS!$C$97)-CROQUIS!$C$107)/MAX((CROQUIS!$C$137*MAX(1,CEILING((INT(((CROQUIS!$C$97)-CROQUIS!$C$107)/MAX(CROQUIS!$C$137,1))+1)/80,1))),1))+1))-1,0))*(CROQUIS!$C$137*MAX(1,CEILING((INT(((CROQUIS!$C$97)-CROQUIS!$C$107)/MAX(CROQUIS!$C$137,1))+1)/80,1)))),CHOOSE(IF(INT(($A62-1)/5)&gt;MAX((MAX(1,INT(((CROQUIS!$C$97)-CROQUIS!$C$107)/MAX((CROQUIS!$C$137*MAX(1,CEILING((INT(((CROQUIS!$C$97)-CROQUIS!$C$107)/MAX(CROQUIS!$C$137,1))+1)/80,1))),1))+1))-1,0),0,MOD($A62-1,5))+1,0,2,CROQUIS!$C$98-2,2,0)))*CROQUIS!$C$159)+IF(CROQUIS!$C$92="X",0,0)),-1000)</f>
        <v>-1000</v>
      </c>
      <c r="BQ62">
        <f>IF(AND(CROQUIS!$C$88=1,CROQUIS!$C$137&gt;0),((CROQUIS!$C$161+(IF(CROQUIS!$C$92="X",CHOOSE(IF(INT(($A62-1)/5)&gt;MAX((MAX(1,INT(((CROQUIS!$C$97)-CROQUIS!$C$107)/MAX((CROQUIS!$C$137*MAX(1,CEILING((INT(((CROQUIS!$C$97)-CROQUIS!$C$107)/MAX(CROQUIS!$C$137,1))+1)/80,1))),1))+1))-1,0),0,MOD($A62-1,5))+1,0,2,CROQUIS!$C$98-2,2,0),((CROQUIS!$C$107/2+(((CROQUIS!$C$97)-CROQUIS!$C$107)-(MAX(1,INT(((CROQUIS!$C$97)-CROQUIS!$C$107)/MAX((CROQUIS!$C$137*MAX(1,CEILING((INT(((CROQUIS!$C$97)-CROQUIS!$C$107)/MAX(CROQUIS!$C$137,1))+1)/80,1))),1))+1)-1)*(CROQUIS!$C$137*MAX(1,CEILING((INT(((CROQUIS!$C$97)-CROQUIS!$C$107)/MAX(CROQUIS!$C$137,1))+1)/80,1))))/2)+MIN(INT(($A62-1)/5),MAX((MAX(1,INT(((CROQUIS!$C$97)-CROQUIS!$C$107)/MAX((CROQUIS!$C$137*MAX(1,CEILING((INT(((CROQUIS!$C$97)-CROQUIS!$C$107)/MAX(CROQUIS!$C$137,1))+1)/80,1))),1))+1))-1,0))*(CROQUIS!$C$137*MAX(1,CEILING((INT(((CROQUIS!$C$97)-CROQUIS!$C$107)/MAX(CROQUIS!$C$137,1))+1)/80,1))))))*CROQUIS!$C$159)+IF(CROQUIS!$C$92="X",0,0)),-1000)</f>
        <v>-1000</v>
      </c>
      <c r="BR62">
        <f>IF(AND(CROQUIS!$C$88=1,CROQUIS!$C$91=0,CROQUIS!$C$133&gt;0,OR(CROQUIS!$C$103=1,CROQUIS!$C$145=1)),((CROQUIS!$C$160+(IF(CROQUIS!$C$92="X",CHOOSE(IF(INT(($A62-1)/5)&gt;MAX((MAX(1,INT(((CROQUIS!$C$98)-CROQUIS!$C$107)/MAX((CROQUIS!$C$133*MAX(1,CEILING((INT(((CROQUIS!$C$98)-CROQUIS!$C$107)/MAX(CROQUIS!$C$133,1))+1)/80,1))),1))+1))-1,0),0,MOD($A62-1,5))+1,0,IF(CROQUIS!$C$103=1,-12,2),CROQUIS!$C$107/2+CROQUIS!$C$143,IF(CROQUIS!$C$103=1,-12,2),0),((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BS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+1,0,IF(CROQUIS!$C$103=1,-12,2),CROQUIS!$C$107/2+CROQUIS!$C$143,IF(CROQUIS!$C$103=1,-12,2),0)))*CROQUIS!$C$159)+IF(CROQUIS!$C$92="X",0.8,0)),-1000)</f>
        <v>-1000</v>
      </c>
      <c r="BT62">
        <f>IF(AND(CROQUIS!$C$88=1,CROQUIS!$C$91=0,CROQUIS!$C$133&gt;0,OR(CROQUIS!$C$104=1,CROQUIS!$C$145=1)),((CROQUIS!$C$160+(IF(CROQUIS!$C$92="X",CHOOSE(IF(INT(($A62-1)/5)&gt;MAX((MAX(1,INT(((CROQUIS!$C$98)-CROQUIS!$C$107)/MAX((CROQUIS!$C$133*MAX(1,CEILING((INT(((CROQUIS!$C$98)-CROQUIS!$C$107)/MAX(CROQUIS!$C$133,1))+1)/80,1))),1))+1))-1,0),0,MOD($A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BU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CROQUIS!$C$97,CROQUIS!$C$97-CROQUIS!$C$107/2-CROQUIS!$C$143,IF(CROQUIS!$C$104=1,CROQUIS!$C$97+12,CROQUIS!$C$97-2),CROQUIS!$C$97-CROQUIS!$C$107/2-CROQUIS!$C$143,CROQUIS!$C$97)))*CROQUIS!$C$159)+IF(CROQUIS!$C$92="X",0.8,0)),-1000)</f>
        <v>-1000</v>
      </c>
      <c r="BV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HOOSE(IF(INT(($A62-1)/5)&gt;MAX((MAX(1,INT(((CROQUIS!$C$97)-CROQUIS!$C$107)/MAX((CROQUIS!$C$141*MAX(1,CEILING((INT(((CROQUIS!$C$97)-CROQUIS!$C$107)/MAX(CROQUIS!$C$141,1))+1)/80,1))),1))+1))-1,0),0,MOD($A62-1,5))+1,0,IF(CROQUIS!$C$105=1,-12,2),CROQUIS!$C$107/2+CROQUIS!$C$144,IF(CROQUIS!$C$105=1,-12,2),0)))*CROQUIS!$C$159)+IF(CROQUIS!$C$92="X",0.8,0)),-1000)</f>
        <v>-1000</v>
      </c>
      <c r="BW62">
        <f>IF(AND(CROQUIS!$C$88=1,CROQUIS!$C$91=0,CROQUIS!$C$141&gt;0,OR(CROQUIS!$C$105=1,CROQUIS!$C$146=1)),((CROQUIS!$C$161+(IF(CROQUIS!$C$92="X",CHOOSE(IF(INT(($A62-1)/5)&gt;MAX((MAX(1,INT(((CROQUIS!$C$97)-CROQUIS!$C$107)/MAX((CROQUIS!$C$141*MAX(1,CEILING((INT(((CROQUIS!$C$97)-CROQUIS!$C$107)/MAX(CROQUIS!$C$141,1))+1)/80,1))),1))+1))-1,0),0,MOD($A62-1,5))+1,0,IF(CROQUIS!$C$105=1,-12,2),CROQUIS!$C$107/2+CROQUIS!$C$144,IF(CROQUIS!$C$105=1,-12,2),0),((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ROQUIS!$C$159)+IF(CROQUIS!$C$92="X",0,0.8)),-1000)</f>
        <v>-1000</v>
      </c>
      <c r="BX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HOOSE(IF(INT(($A62-1)/5)&gt;MAX((MAX(1,INT(((CROQUIS!$C$97)-CROQUIS!$C$107)/MAX((CROQUIS!$C$141*MAX(1,CEILING((INT(((CROQUIS!$C$97)-CROQUIS!$C$107)/MAX(CROQUIS!$C$141,1))+1)/80,1))),1))+1))-1,0),0,MOD($A62-1,5))+1,CROQUIS!$C$98,CROQUIS!$C$98-CROQUIS!$C$107/2-CROQUIS!$C$144,IF(CROQUIS!$C$106=1,CROQUIS!$C$98+12,CROQUIS!$C$98-2),CROQUIS!$C$98-CROQUIS!$C$107/2-CROQUIS!$C$144,CROQUIS!$C$98)))*CROQUIS!$C$159)+IF(CROQUIS!$C$92="X",0.8,0)),-1000)</f>
        <v>-1000</v>
      </c>
      <c r="BY62">
        <f>IF(AND(CROQUIS!$C$88=1,CROQUIS!$C$91=0,CROQUIS!$C$141&gt;0,OR(CROQUIS!$C$106=1,CROQUIS!$C$146=1)),((CROQUIS!$C$161+(IF(CROQUIS!$C$92="X",CHOOSE(IF(INT(($A62-1)/5)&gt;MAX((MAX(1,INT(((CROQUIS!$C$97)-CROQUIS!$C$107)/MAX((CROQUIS!$C$141*MAX(1,CEILING((INT(((CROQUIS!$C$97)-CROQUIS!$C$107)/MAX(CROQUIS!$C$141,1))+1)/80,1))),1))+1))-1,0),0,MOD($A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ROQUIS!$C$159)+IF(CROQUIS!$C$92="X",0,0.8)),-1000)</f>
        <v>-1000</v>
      </c>
      <c r="BZ62">
        <f>IF(AND(CROQUIS!$C$88=1,CROQUIS!$C$91=1,CROQUIS!$C$133&gt;0),((CROQUIS!$C$160+(IF(CROQUIS!$C$92="X",CHOOSE(IF(INT(($A62-1)/5)&gt;MAX((MAX(1,INT(((CROQUIS!$C$98)-CROQUIS!$C$107)/MAX((CROQUIS!$C$133*MAX(1,CEILING((INT(((CROQUIS!$C$98)-CROQUIS!$C$107)/MAX(CROQUIS!$C$133,1))+1)/80,1))),1))+1))-1,0),0,MOD($A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CA62">
        <f>IF(AND(CROQUIS!$C$88=1,CROQUIS!$C$91=1,CROQUIS!$C$133&gt;0),((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3">
      <c r="A63" t="n">
        <v>56</v>
      </c>
      <c r="AJ63">
        <f>IF(AND(CROQUIS!$C$87=1,CROQUIS!$C$162&gt;0,CROQUIS!$C$164&gt;0),(CROQUIS!$C$160+((CROQUIS!$C$163+INT(MIN(INT(($A63-1)/2),MAX((2*CROQUIS!$C$162)-1,0))/2)*CROQUIS!$C$116+MOD(MIN(INT(($A63-1)/2),MAX((2*CROQUIS!$C$162)-1,0)),2)*CROQUIS!$C$114))*CROQUIS!$C$159),-1000)</f>
        <v>81.3375508359693</v>
      </c>
      <c r="AK63">
        <f>IF(AND(CROQUIS!$C$87=1,CROQUIS!$C$162&gt;0,CROQUIS!$C$164&gt;0),(CROQUIS!$C$161+(IF(MOD(MIN(INT(($A63-1)/2),MAX((2*CROQUIS!$C$162)-1,0)),2)=0,IF(IF(INT(($A63-1)/2)&gt;MAX((2*CROQUIS!$C$162)-1,0),1,MOD($A63-1,2))=0,CROQUIS!$C$165,(CROQUIS!$C$165+(CROQUIS!$C$164-1)*CROQUIS!$C$116+CROQUIS!$C$115)),IF(IF(INT(($A63-1)/2)&gt;MAX((2*CROQUIS!$C$162)-1,0),1,MOD($A63-1,2))=0,(CROQUIS!$C$165+(CROQUIS!$C$164-1)*CROQUIS!$C$116+CROQUIS!$C$115),CROQUIS!$C$165)))*CROQUIS!$C$159),-1000)</f>
        <v>20.8088567555355</v>
      </c>
      <c r="AL63">
        <f>IF(AND(CROQUIS!$C$87=1,CROQUIS!$C$164&gt;0,CROQUIS!$C$162&gt;0),(CROQUIS!$C$160+(IF(MOD(MIN(INT(($A63-1)/2),MAX((2*CROQUIS!$C$164)-1,0)),2)=0,IF(IF(INT(($A63-1)/2)&gt;MAX((2*CROQUIS!$C$164)-1,0),1,MOD($A63-1,2))=0,CROQUIS!$C$163,(CROQUIS!$C$163+(CROQUIS!$C$162-1)*CROQUIS!$C$116+CROQUIS!$C$114)),IF(IF(INT(($A63-1)/2)&gt;MAX((2*CROQUIS!$C$164)-1,0),1,MOD($A63-1,2))=0,(CROQUIS!$C$163+(CROQUIS!$C$162-1)*CROQUIS!$C$116+CROQUIS!$C$114),CROQUIS!$C$163)))*CROQUIS!$C$159),-1000)</f>
        <v>22.9552643470402</v>
      </c>
      <c r="AM63">
        <f>IF(AND(CROQUIS!$C$87=1,CROQUIS!$C$164&gt;0,CROQUIS!$C$162&gt;0),(CROQUIS!$C$161+((CROQUIS!$C$165+INT(MIN(INT(($A63-1)/2),MAX((2*CROQUIS!$C$164)-1,0))/2)*CROQUIS!$C$116+MOD(MIN(INT(($A63-1)/2),MAX((2*CROQUIS!$C$164)-1,0)),2)*CROQUIS!$C$115))*CROQUIS!$C$159),-1000)</f>
        <v>79.1911432444645</v>
      </c>
      <c r="AN63">
        <f>IF(AND(CROQUIS!$C$87=1,CROQUIS!$C$162&gt;=2),(CROQUIS!$C$160+((CROQUIS!$C$163+CROQUIS!$C$114+(CROQUIS!$C$116-CROQUIS!$C$114)/2+MIN(INT(($A63-1)/2),MAX((CROQUIS!$C$162-1)-1,0))*CROQUIS!$C$116))*CROQUIS!$C$159),-1000)</f>
        <v>70.1762313601446</v>
      </c>
      <c r="AO63">
        <f>IF(AND(CROQUIS!$C$87=1,CROQUIS!$C$162&gt;=2),(CROQUIS!$C$161+(IF(MOD(MIN(INT(($A63-1)/2),MAX((CROQUIS!$C$162-1)-1,0)),2)=0,IF(IF(INT(($A63-1)/2)&gt;MAX((CROQUIS!$C$162-1)-1,0),1,MOD($A63-1,2))=0,CROQUIS!$C$107/2,(CROQUIS!$C$96-CROQUIS!$C$107/2)),IF(IF(INT(($A63-1)/2)&gt;MAX((CROQUIS!$C$162-1)-1,0),1,MOD($A63-1,2))=0,(CROQUIS!$C$96-CROQUIS!$C$107/2),CROQUIS!$C$107/2)))*CROQUIS!$C$159),-1000)</f>
        <v>16.9453230908269</v>
      </c>
      <c r="AP63">
        <f>IF(AND(CROQUIS!$C$87=1,CROQUIS!$C$164&gt;=2),(CROQUIS!$C$160+(IF(MOD(MIN(INT(($A63-1)/2),MAX((CROQUIS!$C$164-1)-1,0)),2)=0,IF(IF(INT(($A63-1)/2)&gt;MAX((CROQUIS!$C$164-1)-1,0),1,MOD($A63-1,2))=0,CROQUIS!$C$107/2,(CROQUIS!$C$95-CROQUIS!$C$107/2)),IF(IF(INT(($A63-1)/2)&gt;MAX((CROQUIS!$C$164-1)-1,0),1,MOD($A63-1,2))=0,(CROQUIS!$C$95-CROQUIS!$C$107/2),CROQUIS!$C$107/2)))*CROQUIS!$C$159),-1000)</f>
        <v>13.2878445549028</v>
      </c>
      <c r="AQ63">
        <f>IF(AND(CROQUIS!$C$87=1,CROQUIS!$C$164&gt;=2),(CROQUIS!$C$161+((CROQUIS!$C$165+CROQUIS!$C$115+(CROQUIS!$C$116-CROQUIS!$C$115)/2+MIN(INT(($A63-1)/2),MAX((CROQUIS!$C$164-1)-1,0))*CROQUIS!$C$116))*CROQUIS!$C$159),-1000)</f>
        <v>68.0298237686399</v>
      </c>
      <c r="BN63">
        <f>IF(AND(CROQUIS!$C$88=1,CROQUIS!$C$129&gt;0),((CROQUIS!$C$160+(IF(CROQUIS!$C$92="X",CHOOSE(IF(INT(($A63-1)/5)&gt;MAX((MAX(1,INT(((CROQUIS!$C$98)-CROQUIS!$C$107)/MAX((CROQUIS!$C$129*MAX(1,CEILING((INT(((CROQUIS!$C$98)-CROQUIS!$C$107)/MAX(CROQUIS!$C$129,1))+1)/80,1))),1))+1))-1,0),0,MOD($A63-1,5))+1,0,2,CROQUIS!$C$97-2,2,0),((CROQUIS!$C$107/2+(((CROQUIS!$C$98)-CROQUIS!$C$107)-(MAX(1,INT(((CROQUIS!$C$98)-CROQUIS!$C$107)/MAX((CROQUIS!$C$129*MAX(1,CEILING((INT(((CROQUIS!$C$98)-CROQUIS!$C$107)/MAX(CROQUIS!$C$129,1))+1)/80,1))),1))+1)-1)*(CROQUIS!$C$129*MAX(1,CEILING((INT(((CROQUIS!$C$98)-CROQUIS!$C$107)/MAX(CROQUIS!$C$129,1))+1)/80,1))))/2)+MIN(INT(($A63-1)/5),MAX((MAX(1,INT(((CROQUIS!$C$98)-CROQUIS!$C$107)/MAX((CROQUIS!$C$129*MAX(1,CEILING((INT(((CROQUIS!$C$98)-CROQUIS!$C$107)/MAX(CROQUIS!$C$129,1))+1)/80,1))),1))+1))-1,0))*(CROQUIS!$C$129*MAX(1,CEILING((INT(((CROQUIS!$C$98)-CROQUIS!$C$107)/MAX(CROQUIS!$C$129,1))+1)/80,1))))))*CROQUIS!$C$159)+IF(CROQUIS!$C$92="X",0,0)),-1000)</f>
        <v>-1000</v>
      </c>
      <c r="BO63">
        <f>IF(AND(CROQUIS!$C$88=1,CROQUIS!$C$129&gt;0),((CROQUIS!$C$161+(IF(CROQUIS!$C$92="X",((CROQUIS!$C$107/2+(((CROQUIS!$C$98)-CROQUIS!$C$107)-(MAX(1,INT(((CROQUIS!$C$98)-CROQUIS!$C$107)/MAX((CROQUIS!$C$129*MAX(1,CEILING((INT(((CROQUIS!$C$98)-CROQUIS!$C$107)/MAX(CROQUIS!$C$129,1))+1)/80,1))),1))+1)-1)*(CROQUIS!$C$129*MAX(1,CEILING((INT(((CROQUIS!$C$98)-CROQUIS!$C$107)/MAX(CROQUIS!$C$129,1))+1)/80,1))))/2)+MIN(INT(($A63-1)/5),MAX((MAX(1,INT(((CROQUIS!$C$98)-CROQUIS!$C$107)/MAX((CROQUIS!$C$129*MAX(1,CEILING((INT(((CROQUIS!$C$98)-CROQUIS!$C$107)/MAX(CROQUIS!$C$129,1))+1)/80,1))),1))+1))-1,0))*(CROQUIS!$C$129*MAX(1,CEILING((INT(((CROQUIS!$C$98)-CROQUIS!$C$107)/MAX(CROQUIS!$C$129,1))+1)/80,1)))),CHOOSE(IF(INT(($A63-1)/5)&gt;MAX((MAX(1,INT(((CROQUIS!$C$98)-CROQUIS!$C$107)/MAX((CROQUIS!$C$129*MAX(1,CEILING((INT(((CROQUIS!$C$98)-CROQUIS!$C$107)/MAX(CROQUIS!$C$129,1))+1)/80,1))),1))+1))-1,0),0,MOD($A63-1,5))+1,0,2,CROQUIS!$C$97-2,2,0)))*CROQUIS!$C$159)+IF(CROQUIS!$C$92="X",0,0)),-1000)</f>
        <v>-1000</v>
      </c>
      <c r="BP63">
        <f>IF(AND(CROQUIS!$C$88=1,CROQUIS!$C$137&gt;0),((CROQUIS!$C$160+(IF(CROQUIS!$C$92="X",((CROQUIS!$C$107/2+(((CROQUIS!$C$97)-CROQUIS!$C$107)-(MAX(1,INT(((CROQUIS!$C$97)-CROQUIS!$C$107)/MAX((CROQUIS!$C$137*MAX(1,CEILING((INT(((CROQUIS!$C$97)-CROQUIS!$C$107)/MAX(CROQUIS!$C$137,1))+1)/80,1))),1))+1)-1)*(CROQUIS!$C$137*MAX(1,CEILING((INT(((CROQUIS!$C$97)-CROQUIS!$C$107)/MAX(CROQUIS!$C$137,1))+1)/80,1))))/2)+MIN(INT(($A63-1)/5),MAX((MAX(1,INT(((CROQUIS!$C$97)-CROQUIS!$C$107)/MAX((CROQUIS!$C$137*MAX(1,CEILING((INT(((CROQUIS!$C$97)-CROQUIS!$C$107)/MAX(CROQUIS!$C$137,1))+1)/80,1))),1))+1))-1,0))*(CROQUIS!$C$137*MAX(1,CEILING((INT(((CROQUIS!$C$97)-CROQUIS!$C$107)/MAX(CROQUIS!$C$137,1))+1)/80,1)))),CHOOSE(IF(INT(($A63-1)/5)&gt;MAX((MAX(1,INT(((CROQUIS!$C$97)-CROQUIS!$C$107)/MAX((CROQUIS!$C$137*MAX(1,CEILING((INT(((CROQUIS!$C$97)-CROQUIS!$C$107)/MAX(CROQUIS!$C$137,1))+1)/80,1))),1))+1))-1,0),0,MOD($A63-1,5))+1,0,2,CROQUIS!$C$98-2,2,0)))*CROQUIS!$C$159)+IF(CROQUIS!$C$92="X",0,0)),-1000)</f>
        <v>-1000</v>
      </c>
      <c r="BQ63">
        <f>IF(AND(CROQUIS!$C$88=1,CROQUIS!$C$137&gt;0),((CROQUIS!$C$161+(IF(CROQUIS!$C$92="X",CHOOSE(IF(INT(($A63-1)/5)&gt;MAX((MAX(1,INT(((CROQUIS!$C$97)-CROQUIS!$C$107)/MAX((CROQUIS!$C$137*MAX(1,CEILING((INT(((CROQUIS!$C$97)-CROQUIS!$C$107)/MAX(CROQUIS!$C$137,1))+1)/80,1))),1))+1))-1,0),0,MOD($A63-1,5))+1,0,2,CROQUIS!$C$98-2,2,0),((CROQUIS!$C$107/2+(((CROQUIS!$C$97)-CROQUIS!$C$107)-(MAX(1,INT(((CROQUIS!$C$97)-CROQUIS!$C$107)/MAX((CROQUIS!$C$137*MAX(1,CEILING((INT(((CROQUIS!$C$97)-CROQUIS!$C$107)/MAX(CROQUIS!$C$137,1))+1)/80,1))),1))+1)-1)*(CROQUIS!$C$137*MAX(1,CEILING((INT(((CROQUIS!$C$97)-CROQUIS!$C$107)/MAX(CROQUIS!$C$137,1))+1)/80,1))))/2)+MIN(INT(($A63-1)/5),MAX((MAX(1,INT(((CROQUIS!$C$97)-CROQUIS!$C$107)/MAX((CROQUIS!$C$137*MAX(1,CEILING((INT(((CROQUIS!$C$97)-CROQUIS!$C$107)/MAX(CROQUIS!$C$137,1))+1)/80,1))),1))+1))-1,0))*(CROQUIS!$C$137*MAX(1,CEILING((INT(((CROQUIS!$C$97)-CROQUIS!$C$107)/MAX(CROQUIS!$C$137,1))+1)/80,1))))))*CROQUIS!$C$159)+IF(CROQUIS!$C$92="X",0,0)),-1000)</f>
        <v>-1000</v>
      </c>
      <c r="BR63">
        <f>IF(AND(CROQUIS!$C$88=1,CROQUIS!$C$91=0,CROQUIS!$C$133&gt;0,OR(CROQUIS!$C$103=1,CROQUIS!$C$145=1)),((CROQUIS!$C$160+(IF(CROQUIS!$C$92="X",CHOOSE(IF(INT(($A63-1)/5)&gt;MAX((MAX(1,INT(((CROQUIS!$C$98)-CROQUIS!$C$107)/MAX((CROQUIS!$C$133*MAX(1,CEILING((INT(((CROQUIS!$C$98)-CROQUIS!$C$107)/MAX(CROQUIS!$C$133,1))+1)/80,1))),1))+1))-1,0),0,MOD($A63-1,5))+1,0,IF(CROQUIS!$C$103=1,-12,2),CROQUIS!$C$107/2+CROQUIS!$C$143,IF(CROQUIS!$C$103=1,-12,2),0),((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BS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+1,0,IF(CROQUIS!$C$103=1,-12,2),CROQUIS!$C$107/2+CROQUIS!$C$143,IF(CROQUIS!$C$103=1,-12,2),0)))*CROQUIS!$C$159)+IF(CROQUIS!$C$92="X",0.8,0)),-1000)</f>
        <v>-1000</v>
      </c>
      <c r="BT63">
        <f>IF(AND(CROQUIS!$C$88=1,CROQUIS!$C$91=0,CROQUIS!$C$133&gt;0,OR(CROQUIS!$C$104=1,CROQUIS!$C$145=1)),((CROQUIS!$C$160+(IF(CROQUIS!$C$92="X",CHOOSE(IF(INT(($A63-1)/5)&gt;MAX((MAX(1,INT(((CROQUIS!$C$98)-CROQUIS!$C$107)/MAX((CROQUIS!$C$133*MAX(1,CEILING((INT(((CROQUIS!$C$98)-CROQUIS!$C$107)/MAX(CROQUIS!$C$133,1))+1)/80,1))),1))+1))-1,0),0,MOD($A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BU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CROQUIS!$C$97,CROQUIS!$C$97-CROQUIS!$C$107/2-CROQUIS!$C$143,IF(CROQUIS!$C$104=1,CROQUIS!$C$97+12,CROQUIS!$C$97-2),CROQUIS!$C$97-CROQUIS!$C$107/2-CROQUIS!$C$143,CROQUIS!$C$97)))*CROQUIS!$C$159)+IF(CROQUIS!$C$92="X",0.8,0)),-1000)</f>
        <v>-1000</v>
      </c>
      <c r="BV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HOOSE(IF(INT(($A63-1)/5)&gt;MAX((MAX(1,INT(((CROQUIS!$C$97)-CROQUIS!$C$107)/MAX((CROQUIS!$C$141*MAX(1,CEILING((INT(((CROQUIS!$C$97)-CROQUIS!$C$107)/MAX(CROQUIS!$C$141,1))+1)/80,1))),1))+1))-1,0),0,MOD($A63-1,5))+1,0,IF(CROQUIS!$C$105=1,-12,2),CROQUIS!$C$107/2+CROQUIS!$C$144,IF(CROQUIS!$C$105=1,-12,2),0)))*CROQUIS!$C$159)+IF(CROQUIS!$C$92="X",0.8,0)),-1000)</f>
        <v>-1000</v>
      </c>
      <c r="BW63">
        <f>IF(AND(CROQUIS!$C$88=1,CROQUIS!$C$91=0,CROQUIS!$C$141&gt;0,OR(CROQUIS!$C$105=1,CROQUIS!$C$146=1)),((CROQUIS!$C$161+(IF(CROQUIS!$C$92="X",CHOOSE(IF(INT(($A63-1)/5)&gt;MAX((MAX(1,INT(((CROQUIS!$C$97)-CROQUIS!$C$107)/MAX((CROQUIS!$C$141*MAX(1,CEILING((INT(((CROQUIS!$C$97)-CROQUIS!$C$107)/MAX(CROQUIS!$C$141,1))+1)/80,1))),1))+1))-1,0),0,MOD($A63-1,5))+1,0,IF(CROQUIS!$C$105=1,-12,2),CROQUIS!$C$107/2+CROQUIS!$C$144,IF(CROQUIS!$C$105=1,-12,2),0),((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ROQUIS!$C$159)+IF(CROQUIS!$C$92="X",0,0.8)),-1000)</f>
        <v>-1000</v>
      </c>
      <c r="BX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HOOSE(IF(INT(($A63-1)/5)&gt;MAX((MAX(1,INT(((CROQUIS!$C$97)-CROQUIS!$C$107)/MAX((CROQUIS!$C$141*MAX(1,CEILING((INT(((CROQUIS!$C$97)-CROQUIS!$C$107)/MAX(CROQUIS!$C$141,1))+1)/80,1))),1))+1))-1,0),0,MOD($A63-1,5))+1,CROQUIS!$C$98,CROQUIS!$C$98-CROQUIS!$C$107/2-CROQUIS!$C$144,IF(CROQUIS!$C$106=1,CROQUIS!$C$98+12,CROQUIS!$C$98-2),CROQUIS!$C$98-CROQUIS!$C$107/2-CROQUIS!$C$144,CROQUIS!$C$98)))*CROQUIS!$C$159)+IF(CROQUIS!$C$92="X",0.8,0)),-1000)</f>
        <v>-1000</v>
      </c>
      <c r="BY63">
        <f>IF(AND(CROQUIS!$C$88=1,CROQUIS!$C$91=0,CROQUIS!$C$141&gt;0,OR(CROQUIS!$C$106=1,CROQUIS!$C$146=1)),((CROQUIS!$C$161+(IF(CROQUIS!$C$92="X",CHOOSE(IF(INT(($A63-1)/5)&gt;MAX((MAX(1,INT(((CROQUIS!$C$97)-CROQUIS!$C$107)/MAX((CROQUIS!$C$141*MAX(1,CEILING((INT(((CROQUIS!$C$97)-CROQUIS!$C$107)/MAX(CROQUIS!$C$141,1))+1)/80,1))),1))+1))-1,0),0,MOD($A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ROQUIS!$C$159)+IF(CROQUIS!$C$92="X",0,0.8)),-1000)</f>
        <v>-1000</v>
      </c>
      <c r="BZ63">
        <f>IF(AND(CROQUIS!$C$88=1,CROQUIS!$C$91=1,CROQUIS!$C$133&gt;0),((CROQUIS!$C$160+(IF(CROQUIS!$C$92="X",CHOOSE(IF(INT(($A63-1)/5)&gt;MAX((MAX(1,INT(((CROQUIS!$C$98)-CROQUIS!$C$107)/MAX((CROQUIS!$C$133*MAX(1,CEILING((INT(((CROQUIS!$C$98)-CROQUIS!$C$107)/MAX(CROQUIS!$C$133,1))+1)/80,1))),1))+1))-1,0),0,MOD($A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CA63">
        <f>IF(AND(CROQUIS!$C$88=1,CROQUIS!$C$91=1,CROQUIS!$C$133&gt;0),((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4">
      <c r="A64" t="n">
        <v>57</v>
      </c>
      <c r="AJ64">
        <f>IF(AND(CROQUIS!$C$87=1,CROQUIS!$C$162&gt;0,CROQUIS!$C$164&gt;0),(CROQUIS!$C$160+((CROQUIS!$C$163+INT(MIN(INT(($A64-1)/2),MAX((2*CROQUIS!$C$162)-1,0))/2)*CROQUIS!$C$116+MOD(MIN(INT(($A64-1)/2),MAX((2*CROQUIS!$C$162)-1,0)),2)*CROQUIS!$C$114))*CROQUIS!$C$159),-1000)</f>
        <v>81.3375508359693</v>
      </c>
      <c r="AK64">
        <f>IF(AND(CROQUIS!$C$87=1,CROQUIS!$C$162&gt;0,CROQUIS!$C$164&gt;0),(CROQUIS!$C$161+(IF(MOD(MIN(INT(($A64-1)/2),MAX((2*CROQUIS!$C$162)-1,0)),2)=0,IF(IF(INT(($A64-1)/2)&gt;MAX((2*CROQUIS!$C$162)-1,0),1,MOD($A64-1,2))=0,CROQUIS!$C$165,(CROQUIS!$C$165+(CROQUIS!$C$164-1)*CROQUIS!$C$116+CROQUIS!$C$115)),IF(IF(INT(($A64-1)/2)&gt;MAX((2*CROQUIS!$C$162)-1,0),1,MOD($A64-1,2))=0,(CROQUIS!$C$165+(CROQUIS!$C$164-1)*CROQUIS!$C$116+CROQUIS!$C$115),CROQUIS!$C$165)))*CROQUIS!$C$159),-1000)</f>
        <v>20.8088567555355</v>
      </c>
      <c r="AL64">
        <f>IF(AND(CROQUIS!$C$87=1,CROQUIS!$C$164&gt;0,CROQUIS!$C$162&gt;0),(CROQUIS!$C$160+(IF(MOD(MIN(INT(($A64-1)/2),MAX((2*CROQUIS!$C$164)-1,0)),2)=0,IF(IF(INT(($A64-1)/2)&gt;MAX((2*CROQUIS!$C$164)-1,0),1,MOD($A64-1,2))=0,CROQUIS!$C$163,(CROQUIS!$C$163+(CROQUIS!$C$162-1)*CROQUIS!$C$116+CROQUIS!$C$114)),IF(IF(INT(($A64-1)/2)&gt;MAX((2*CROQUIS!$C$164)-1,0),1,MOD($A64-1,2))=0,(CROQUIS!$C$163+(CROQUIS!$C$162-1)*CROQUIS!$C$116+CROQUIS!$C$114),CROQUIS!$C$163)))*CROQUIS!$C$159),-1000)</f>
        <v>22.9552643470402</v>
      </c>
      <c r="AM64">
        <f>IF(AND(CROQUIS!$C$87=1,CROQUIS!$C$164&gt;0,CROQUIS!$C$162&gt;0),(CROQUIS!$C$161+((CROQUIS!$C$165+INT(MIN(INT(($A64-1)/2),MAX((2*CROQUIS!$C$164)-1,0))/2)*CROQUIS!$C$116+MOD(MIN(INT(($A64-1)/2),MAX((2*CROQUIS!$C$164)-1,0)),2)*CROQUIS!$C$115))*CROQUIS!$C$159),-1000)</f>
        <v>79.1911432444645</v>
      </c>
      <c r="AN64">
        <f>IF(AND(CROQUIS!$C$87=1,CROQUIS!$C$162&gt;=2),(CROQUIS!$C$160+((CROQUIS!$C$163+CROQUIS!$C$114+(CROQUIS!$C$116-CROQUIS!$C$114)/2+MIN(INT(($A64-1)/2),MAX((CROQUIS!$C$162-1)-1,0))*CROQUIS!$C$116))*CROQUIS!$C$159),-1000)</f>
        <v>70.1762313601446</v>
      </c>
      <c r="AO64">
        <f>IF(AND(CROQUIS!$C$87=1,CROQUIS!$C$162&gt;=2),(CROQUIS!$C$161+(IF(MOD(MIN(INT(($A64-1)/2),MAX((CROQUIS!$C$162-1)-1,0)),2)=0,IF(IF(INT(($A64-1)/2)&gt;MAX((CROQUIS!$C$162-1)-1,0),1,MOD($A64-1,2))=0,CROQUIS!$C$107/2,(CROQUIS!$C$96-CROQUIS!$C$107/2)),IF(IF(INT(($A64-1)/2)&gt;MAX((CROQUIS!$C$162-1)-1,0),1,MOD($A64-1,2))=0,(CROQUIS!$C$96-CROQUIS!$C$107/2),CROQUIS!$C$107/2)))*CROQUIS!$C$159),-1000)</f>
        <v>16.9453230908269</v>
      </c>
      <c r="AP64">
        <f>IF(AND(CROQUIS!$C$87=1,CROQUIS!$C$164&gt;=2),(CROQUIS!$C$160+(IF(MOD(MIN(INT(($A64-1)/2),MAX((CROQUIS!$C$164-1)-1,0)),2)=0,IF(IF(INT(($A64-1)/2)&gt;MAX((CROQUIS!$C$164-1)-1,0),1,MOD($A64-1,2))=0,CROQUIS!$C$107/2,(CROQUIS!$C$95-CROQUIS!$C$107/2)),IF(IF(INT(($A64-1)/2)&gt;MAX((CROQUIS!$C$164-1)-1,0),1,MOD($A64-1,2))=0,(CROQUIS!$C$95-CROQUIS!$C$107/2),CROQUIS!$C$107/2)))*CROQUIS!$C$159),-1000)</f>
        <v>13.2878445549028</v>
      </c>
      <c r="AQ64">
        <f>IF(AND(CROQUIS!$C$87=1,CROQUIS!$C$164&gt;=2),(CROQUIS!$C$161+((CROQUIS!$C$165+CROQUIS!$C$115+(CROQUIS!$C$116-CROQUIS!$C$115)/2+MIN(INT(($A64-1)/2),MAX((CROQUIS!$C$164-1)-1,0))*CROQUIS!$C$116))*CROQUIS!$C$159),-1000)</f>
        <v>68.0298237686399</v>
      </c>
      <c r="BN64">
        <f>IF(AND(CROQUIS!$C$88=1,CROQUIS!$C$129&gt;0),((CROQUIS!$C$160+(IF(CROQUIS!$C$92="X",CHOOSE(IF(INT(($A64-1)/5)&gt;MAX((MAX(1,INT(((CROQUIS!$C$98)-CROQUIS!$C$107)/MAX((CROQUIS!$C$129*MAX(1,CEILING((INT(((CROQUIS!$C$98)-CROQUIS!$C$107)/MAX(CROQUIS!$C$129,1))+1)/80,1))),1))+1))-1,0),0,MOD($A64-1,5))+1,0,2,CROQUIS!$C$97-2,2,0),((CROQUIS!$C$107/2+(((CROQUIS!$C$98)-CROQUIS!$C$107)-(MAX(1,INT(((CROQUIS!$C$98)-CROQUIS!$C$107)/MAX((CROQUIS!$C$129*MAX(1,CEILING((INT(((CROQUIS!$C$98)-CROQUIS!$C$107)/MAX(CROQUIS!$C$129,1))+1)/80,1))),1))+1)-1)*(CROQUIS!$C$129*MAX(1,CEILING((INT(((CROQUIS!$C$98)-CROQUIS!$C$107)/MAX(CROQUIS!$C$129,1))+1)/80,1))))/2)+MIN(INT(($A64-1)/5),MAX((MAX(1,INT(((CROQUIS!$C$98)-CROQUIS!$C$107)/MAX((CROQUIS!$C$129*MAX(1,CEILING((INT(((CROQUIS!$C$98)-CROQUIS!$C$107)/MAX(CROQUIS!$C$129,1))+1)/80,1))),1))+1))-1,0))*(CROQUIS!$C$129*MAX(1,CEILING((INT(((CROQUIS!$C$98)-CROQUIS!$C$107)/MAX(CROQUIS!$C$129,1))+1)/80,1))))))*CROQUIS!$C$159)+IF(CROQUIS!$C$92="X",0,0)),-1000)</f>
        <v>-1000</v>
      </c>
      <c r="BO64">
        <f>IF(AND(CROQUIS!$C$88=1,CROQUIS!$C$129&gt;0),((CROQUIS!$C$161+(IF(CROQUIS!$C$92="X",((CROQUIS!$C$107/2+(((CROQUIS!$C$98)-CROQUIS!$C$107)-(MAX(1,INT(((CROQUIS!$C$98)-CROQUIS!$C$107)/MAX((CROQUIS!$C$129*MAX(1,CEILING((INT(((CROQUIS!$C$98)-CROQUIS!$C$107)/MAX(CROQUIS!$C$129,1))+1)/80,1))),1))+1)-1)*(CROQUIS!$C$129*MAX(1,CEILING((INT(((CROQUIS!$C$98)-CROQUIS!$C$107)/MAX(CROQUIS!$C$129,1))+1)/80,1))))/2)+MIN(INT(($A64-1)/5),MAX((MAX(1,INT(((CROQUIS!$C$98)-CROQUIS!$C$107)/MAX((CROQUIS!$C$129*MAX(1,CEILING((INT(((CROQUIS!$C$98)-CROQUIS!$C$107)/MAX(CROQUIS!$C$129,1))+1)/80,1))),1))+1))-1,0))*(CROQUIS!$C$129*MAX(1,CEILING((INT(((CROQUIS!$C$98)-CROQUIS!$C$107)/MAX(CROQUIS!$C$129,1))+1)/80,1)))),CHOOSE(IF(INT(($A64-1)/5)&gt;MAX((MAX(1,INT(((CROQUIS!$C$98)-CROQUIS!$C$107)/MAX((CROQUIS!$C$129*MAX(1,CEILING((INT(((CROQUIS!$C$98)-CROQUIS!$C$107)/MAX(CROQUIS!$C$129,1))+1)/80,1))),1))+1))-1,0),0,MOD($A64-1,5))+1,0,2,CROQUIS!$C$97-2,2,0)))*CROQUIS!$C$159)+IF(CROQUIS!$C$92="X",0,0)),-1000)</f>
        <v>-1000</v>
      </c>
      <c r="BP64">
        <f>IF(AND(CROQUIS!$C$88=1,CROQUIS!$C$137&gt;0),((CROQUIS!$C$160+(IF(CROQUIS!$C$92="X",((CROQUIS!$C$107/2+(((CROQUIS!$C$97)-CROQUIS!$C$107)-(MAX(1,INT(((CROQUIS!$C$97)-CROQUIS!$C$107)/MAX((CROQUIS!$C$137*MAX(1,CEILING((INT(((CROQUIS!$C$97)-CROQUIS!$C$107)/MAX(CROQUIS!$C$137,1))+1)/80,1))),1))+1)-1)*(CROQUIS!$C$137*MAX(1,CEILING((INT(((CROQUIS!$C$97)-CROQUIS!$C$107)/MAX(CROQUIS!$C$137,1))+1)/80,1))))/2)+MIN(INT(($A64-1)/5),MAX((MAX(1,INT(((CROQUIS!$C$97)-CROQUIS!$C$107)/MAX((CROQUIS!$C$137*MAX(1,CEILING((INT(((CROQUIS!$C$97)-CROQUIS!$C$107)/MAX(CROQUIS!$C$137,1))+1)/80,1))),1))+1))-1,0))*(CROQUIS!$C$137*MAX(1,CEILING((INT(((CROQUIS!$C$97)-CROQUIS!$C$107)/MAX(CROQUIS!$C$137,1))+1)/80,1)))),CHOOSE(IF(INT(($A64-1)/5)&gt;MAX((MAX(1,INT(((CROQUIS!$C$97)-CROQUIS!$C$107)/MAX((CROQUIS!$C$137*MAX(1,CEILING((INT(((CROQUIS!$C$97)-CROQUIS!$C$107)/MAX(CROQUIS!$C$137,1))+1)/80,1))),1))+1))-1,0),0,MOD($A64-1,5))+1,0,2,CROQUIS!$C$98-2,2,0)))*CROQUIS!$C$159)+IF(CROQUIS!$C$92="X",0,0)),-1000)</f>
        <v>-1000</v>
      </c>
      <c r="BQ64">
        <f>IF(AND(CROQUIS!$C$88=1,CROQUIS!$C$137&gt;0),((CROQUIS!$C$161+(IF(CROQUIS!$C$92="X",CHOOSE(IF(INT(($A64-1)/5)&gt;MAX((MAX(1,INT(((CROQUIS!$C$97)-CROQUIS!$C$107)/MAX((CROQUIS!$C$137*MAX(1,CEILING((INT(((CROQUIS!$C$97)-CROQUIS!$C$107)/MAX(CROQUIS!$C$137,1))+1)/80,1))),1))+1))-1,0),0,MOD($A64-1,5))+1,0,2,CROQUIS!$C$98-2,2,0),((CROQUIS!$C$107/2+(((CROQUIS!$C$97)-CROQUIS!$C$107)-(MAX(1,INT(((CROQUIS!$C$97)-CROQUIS!$C$107)/MAX((CROQUIS!$C$137*MAX(1,CEILING((INT(((CROQUIS!$C$97)-CROQUIS!$C$107)/MAX(CROQUIS!$C$137,1))+1)/80,1))),1))+1)-1)*(CROQUIS!$C$137*MAX(1,CEILING((INT(((CROQUIS!$C$97)-CROQUIS!$C$107)/MAX(CROQUIS!$C$137,1))+1)/80,1))))/2)+MIN(INT(($A64-1)/5),MAX((MAX(1,INT(((CROQUIS!$C$97)-CROQUIS!$C$107)/MAX((CROQUIS!$C$137*MAX(1,CEILING((INT(((CROQUIS!$C$97)-CROQUIS!$C$107)/MAX(CROQUIS!$C$137,1))+1)/80,1))),1))+1))-1,0))*(CROQUIS!$C$137*MAX(1,CEILING((INT(((CROQUIS!$C$97)-CROQUIS!$C$107)/MAX(CROQUIS!$C$137,1))+1)/80,1))))))*CROQUIS!$C$159)+IF(CROQUIS!$C$92="X",0,0)),-1000)</f>
        <v>-1000</v>
      </c>
      <c r="BR64">
        <f>IF(AND(CROQUIS!$C$88=1,CROQUIS!$C$91=0,CROQUIS!$C$133&gt;0,OR(CROQUIS!$C$103=1,CROQUIS!$C$145=1)),((CROQUIS!$C$160+(IF(CROQUIS!$C$92="X",CHOOSE(IF(INT(($A64-1)/5)&gt;MAX((MAX(1,INT(((CROQUIS!$C$98)-CROQUIS!$C$107)/MAX((CROQUIS!$C$133*MAX(1,CEILING((INT(((CROQUIS!$C$98)-CROQUIS!$C$107)/MAX(CROQUIS!$C$133,1))+1)/80,1))),1))+1))-1,0),0,MOD($A64-1,5))+1,0,IF(CROQUIS!$C$103=1,-12,2),CROQUIS!$C$107/2+CROQUIS!$C$143,IF(CROQUIS!$C$103=1,-12,2),0),((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BS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+1,0,IF(CROQUIS!$C$103=1,-12,2),CROQUIS!$C$107/2+CROQUIS!$C$143,IF(CROQUIS!$C$103=1,-12,2),0)))*CROQUIS!$C$159)+IF(CROQUIS!$C$92="X",0.8,0)),-1000)</f>
        <v>-1000</v>
      </c>
      <c r="BT64">
        <f>IF(AND(CROQUIS!$C$88=1,CROQUIS!$C$91=0,CROQUIS!$C$133&gt;0,OR(CROQUIS!$C$104=1,CROQUIS!$C$145=1)),((CROQUIS!$C$160+(IF(CROQUIS!$C$92="X",CHOOSE(IF(INT(($A64-1)/5)&gt;MAX((MAX(1,INT(((CROQUIS!$C$98)-CROQUIS!$C$107)/MAX((CROQUIS!$C$133*MAX(1,CEILING((INT(((CROQUIS!$C$98)-CROQUIS!$C$107)/MAX(CROQUIS!$C$133,1))+1)/80,1))),1))+1))-1,0),0,MOD($A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BU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CROQUIS!$C$97,CROQUIS!$C$97-CROQUIS!$C$107/2-CROQUIS!$C$143,IF(CROQUIS!$C$104=1,CROQUIS!$C$97+12,CROQUIS!$C$97-2),CROQUIS!$C$97-CROQUIS!$C$107/2-CROQUIS!$C$143,CROQUIS!$C$97)))*CROQUIS!$C$159)+IF(CROQUIS!$C$92="X",0.8,0)),-1000)</f>
        <v>-1000</v>
      </c>
      <c r="BV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HOOSE(IF(INT(($A64-1)/5)&gt;MAX((MAX(1,INT(((CROQUIS!$C$97)-CROQUIS!$C$107)/MAX((CROQUIS!$C$141*MAX(1,CEILING((INT(((CROQUIS!$C$97)-CROQUIS!$C$107)/MAX(CROQUIS!$C$141,1))+1)/80,1))),1))+1))-1,0),0,MOD($A64-1,5))+1,0,IF(CROQUIS!$C$105=1,-12,2),CROQUIS!$C$107/2+CROQUIS!$C$144,IF(CROQUIS!$C$105=1,-12,2),0)))*CROQUIS!$C$159)+IF(CROQUIS!$C$92="X",0.8,0)),-1000)</f>
        <v>-1000</v>
      </c>
      <c r="BW64">
        <f>IF(AND(CROQUIS!$C$88=1,CROQUIS!$C$91=0,CROQUIS!$C$141&gt;0,OR(CROQUIS!$C$105=1,CROQUIS!$C$146=1)),((CROQUIS!$C$161+(IF(CROQUIS!$C$92="X",CHOOSE(IF(INT(($A64-1)/5)&gt;MAX((MAX(1,INT(((CROQUIS!$C$97)-CROQUIS!$C$107)/MAX((CROQUIS!$C$141*MAX(1,CEILING((INT(((CROQUIS!$C$97)-CROQUIS!$C$107)/MAX(CROQUIS!$C$141,1))+1)/80,1))),1))+1))-1,0),0,MOD($A64-1,5))+1,0,IF(CROQUIS!$C$105=1,-12,2),CROQUIS!$C$107/2+CROQUIS!$C$144,IF(CROQUIS!$C$105=1,-12,2),0),((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ROQUIS!$C$159)+IF(CROQUIS!$C$92="X",0,0.8)),-1000)</f>
        <v>-1000</v>
      </c>
      <c r="BX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HOOSE(IF(INT(($A64-1)/5)&gt;MAX((MAX(1,INT(((CROQUIS!$C$97)-CROQUIS!$C$107)/MAX((CROQUIS!$C$141*MAX(1,CEILING((INT(((CROQUIS!$C$97)-CROQUIS!$C$107)/MAX(CROQUIS!$C$141,1))+1)/80,1))),1))+1))-1,0),0,MOD($A64-1,5))+1,CROQUIS!$C$98,CROQUIS!$C$98-CROQUIS!$C$107/2-CROQUIS!$C$144,IF(CROQUIS!$C$106=1,CROQUIS!$C$98+12,CROQUIS!$C$98-2),CROQUIS!$C$98-CROQUIS!$C$107/2-CROQUIS!$C$144,CROQUIS!$C$98)))*CROQUIS!$C$159)+IF(CROQUIS!$C$92="X",0.8,0)),-1000)</f>
        <v>-1000</v>
      </c>
      <c r="BY64">
        <f>IF(AND(CROQUIS!$C$88=1,CROQUIS!$C$91=0,CROQUIS!$C$141&gt;0,OR(CROQUIS!$C$106=1,CROQUIS!$C$146=1)),((CROQUIS!$C$161+(IF(CROQUIS!$C$92="X",CHOOSE(IF(INT(($A64-1)/5)&gt;MAX((MAX(1,INT(((CROQUIS!$C$97)-CROQUIS!$C$107)/MAX((CROQUIS!$C$141*MAX(1,CEILING((INT(((CROQUIS!$C$97)-CROQUIS!$C$107)/MAX(CROQUIS!$C$141,1))+1)/80,1))),1))+1))-1,0),0,MOD($A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ROQUIS!$C$159)+IF(CROQUIS!$C$92="X",0,0.8)),-1000)</f>
        <v>-1000</v>
      </c>
      <c r="BZ64">
        <f>IF(AND(CROQUIS!$C$88=1,CROQUIS!$C$91=1,CROQUIS!$C$133&gt;0),((CROQUIS!$C$160+(IF(CROQUIS!$C$92="X",CHOOSE(IF(INT(($A64-1)/5)&gt;MAX((MAX(1,INT(((CROQUIS!$C$98)-CROQUIS!$C$107)/MAX((CROQUIS!$C$133*MAX(1,CEILING((INT(((CROQUIS!$C$98)-CROQUIS!$C$107)/MAX(CROQUIS!$C$133,1))+1)/80,1))),1))+1))-1,0),0,MOD($A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CA64">
        <f>IF(AND(CROQUIS!$C$88=1,CROQUIS!$C$91=1,CROQUIS!$C$133&gt;0),((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5">
      <c r="A65" t="n">
        <v>58</v>
      </c>
      <c r="AJ65">
        <f>IF(AND(CROQUIS!$C$87=1,CROQUIS!$C$162&gt;0,CROQUIS!$C$164&gt;0),(CROQUIS!$C$160+((CROQUIS!$C$163+INT(MIN(INT(($A65-1)/2),MAX((2*CROQUIS!$C$162)-1,0))/2)*CROQUIS!$C$116+MOD(MIN(INT(($A65-1)/2),MAX((2*CROQUIS!$C$162)-1,0)),2)*CROQUIS!$C$114))*CROQUIS!$C$159),-1000)</f>
        <v>81.3375508359693</v>
      </c>
      <c r="AK65">
        <f>IF(AND(CROQUIS!$C$87=1,CROQUIS!$C$162&gt;0,CROQUIS!$C$164&gt;0),(CROQUIS!$C$161+(IF(MOD(MIN(INT(($A65-1)/2),MAX((2*CROQUIS!$C$162)-1,0)),2)=0,IF(IF(INT(($A65-1)/2)&gt;MAX((2*CROQUIS!$C$162)-1,0),1,MOD($A65-1,2))=0,CROQUIS!$C$165,(CROQUIS!$C$165+(CROQUIS!$C$164-1)*CROQUIS!$C$116+CROQUIS!$C$115)),IF(IF(INT(($A65-1)/2)&gt;MAX((2*CROQUIS!$C$162)-1,0),1,MOD($A65-1,2))=0,(CROQUIS!$C$165+(CROQUIS!$C$164-1)*CROQUIS!$C$116+CROQUIS!$C$115),CROQUIS!$C$165)))*CROQUIS!$C$159),-1000)</f>
        <v>20.8088567555355</v>
      </c>
      <c r="AL65">
        <f>IF(AND(CROQUIS!$C$87=1,CROQUIS!$C$164&gt;0,CROQUIS!$C$162&gt;0),(CROQUIS!$C$160+(IF(MOD(MIN(INT(($A65-1)/2),MAX((2*CROQUIS!$C$164)-1,0)),2)=0,IF(IF(INT(($A65-1)/2)&gt;MAX((2*CROQUIS!$C$164)-1,0),1,MOD($A65-1,2))=0,CROQUIS!$C$163,(CROQUIS!$C$163+(CROQUIS!$C$162-1)*CROQUIS!$C$116+CROQUIS!$C$114)),IF(IF(INT(($A65-1)/2)&gt;MAX((2*CROQUIS!$C$164)-1,0),1,MOD($A65-1,2))=0,(CROQUIS!$C$163+(CROQUIS!$C$162-1)*CROQUIS!$C$116+CROQUIS!$C$114),CROQUIS!$C$163)))*CROQUIS!$C$159),-1000)</f>
        <v>22.9552643470402</v>
      </c>
      <c r="AM65">
        <f>IF(AND(CROQUIS!$C$87=1,CROQUIS!$C$164&gt;0,CROQUIS!$C$162&gt;0),(CROQUIS!$C$161+((CROQUIS!$C$165+INT(MIN(INT(($A65-1)/2),MAX((2*CROQUIS!$C$164)-1,0))/2)*CROQUIS!$C$116+MOD(MIN(INT(($A65-1)/2),MAX((2*CROQUIS!$C$164)-1,0)),2)*CROQUIS!$C$115))*CROQUIS!$C$159),-1000)</f>
        <v>79.1911432444645</v>
      </c>
      <c r="AN65">
        <f>IF(AND(CROQUIS!$C$87=1,CROQUIS!$C$162&gt;=2),(CROQUIS!$C$160+((CROQUIS!$C$163+CROQUIS!$C$114+(CROQUIS!$C$116-CROQUIS!$C$114)/2+MIN(INT(($A65-1)/2),MAX((CROQUIS!$C$162-1)-1,0))*CROQUIS!$C$116))*CROQUIS!$C$159),-1000)</f>
        <v>70.1762313601446</v>
      </c>
      <c r="AO65">
        <f>IF(AND(CROQUIS!$C$87=1,CROQUIS!$C$162&gt;=2),(CROQUIS!$C$161+(IF(MOD(MIN(INT(($A65-1)/2),MAX((CROQUIS!$C$162-1)-1,0)),2)=0,IF(IF(INT(($A65-1)/2)&gt;MAX((CROQUIS!$C$162-1)-1,0),1,MOD($A65-1,2))=0,CROQUIS!$C$107/2,(CROQUIS!$C$96-CROQUIS!$C$107/2)),IF(IF(INT(($A65-1)/2)&gt;MAX((CROQUIS!$C$162-1)-1,0),1,MOD($A65-1,2))=0,(CROQUIS!$C$96-CROQUIS!$C$107/2),CROQUIS!$C$107/2)))*CROQUIS!$C$159),-1000)</f>
        <v>16.9453230908269</v>
      </c>
      <c r="AP65">
        <f>IF(AND(CROQUIS!$C$87=1,CROQUIS!$C$164&gt;=2),(CROQUIS!$C$160+(IF(MOD(MIN(INT(($A65-1)/2),MAX((CROQUIS!$C$164-1)-1,0)),2)=0,IF(IF(INT(($A65-1)/2)&gt;MAX((CROQUIS!$C$164-1)-1,0),1,MOD($A65-1,2))=0,CROQUIS!$C$107/2,(CROQUIS!$C$95-CROQUIS!$C$107/2)),IF(IF(INT(($A65-1)/2)&gt;MAX((CROQUIS!$C$164-1)-1,0),1,MOD($A65-1,2))=0,(CROQUIS!$C$95-CROQUIS!$C$107/2),CROQUIS!$C$107/2)))*CROQUIS!$C$159),-1000)</f>
        <v>13.2878445549028</v>
      </c>
      <c r="AQ65">
        <f>IF(AND(CROQUIS!$C$87=1,CROQUIS!$C$164&gt;=2),(CROQUIS!$C$161+((CROQUIS!$C$165+CROQUIS!$C$115+(CROQUIS!$C$116-CROQUIS!$C$115)/2+MIN(INT(($A65-1)/2),MAX((CROQUIS!$C$164-1)-1,0))*CROQUIS!$C$116))*CROQUIS!$C$159),-1000)</f>
        <v>68.0298237686399</v>
      </c>
      <c r="BN65">
        <f>IF(AND(CROQUIS!$C$88=1,CROQUIS!$C$129&gt;0),((CROQUIS!$C$160+(IF(CROQUIS!$C$92="X",CHOOSE(IF(INT(($A65-1)/5)&gt;MAX((MAX(1,INT(((CROQUIS!$C$98)-CROQUIS!$C$107)/MAX((CROQUIS!$C$129*MAX(1,CEILING((INT(((CROQUIS!$C$98)-CROQUIS!$C$107)/MAX(CROQUIS!$C$129,1))+1)/80,1))),1))+1))-1,0),0,MOD($A65-1,5))+1,0,2,CROQUIS!$C$97-2,2,0),((CROQUIS!$C$107/2+(((CROQUIS!$C$98)-CROQUIS!$C$107)-(MAX(1,INT(((CROQUIS!$C$98)-CROQUIS!$C$107)/MAX((CROQUIS!$C$129*MAX(1,CEILING((INT(((CROQUIS!$C$98)-CROQUIS!$C$107)/MAX(CROQUIS!$C$129,1))+1)/80,1))),1))+1)-1)*(CROQUIS!$C$129*MAX(1,CEILING((INT(((CROQUIS!$C$98)-CROQUIS!$C$107)/MAX(CROQUIS!$C$129,1))+1)/80,1))))/2)+MIN(INT(($A65-1)/5),MAX((MAX(1,INT(((CROQUIS!$C$98)-CROQUIS!$C$107)/MAX((CROQUIS!$C$129*MAX(1,CEILING((INT(((CROQUIS!$C$98)-CROQUIS!$C$107)/MAX(CROQUIS!$C$129,1))+1)/80,1))),1))+1))-1,0))*(CROQUIS!$C$129*MAX(1,CEILING((INT(((CROQUIS!$C$98)-CROQUIS!$C$107)/MAX(CROQUIS!$C$129,1))+1)/80,1))))))*CROQUIS!$C$159)+IF(CROQUIS!$C$92="X",0,0)),-1000)</f>
        <v>-1000</v>
      </c>
      <c r="BO65">
        <f>IF(AND(CROQUIS!$C$88=1,CROQUIS!$C$129&gt;0),((CROQUIS!$C$161+(IF(CROQUIS!$C$92="X",((CROQUIS!$C$107/2+(((CROQUIS!$C$98)-CROQUIS!$C$107)-(MAX(1,INT(((CROQUIS!$C$98)-CROQUIS!$C$107)/MAX((CROQUIS!$C$129*MAX(1,CEILING((INT(((CROQUIS!$C$98)-CROQUIS!$C$107)/MAX(CROQUIS!$C$129,1))+1)/80,1))),1))+1)-1)*(CROQUIS!$C$129*MAX(1,CEILING((INT(((CROQUIS!$C$98)-CROQUIS!$C$107)/MAX(CROQUIS!$C$129,1))+1)/80,1))))/2)+MIN(INT(($A65-1)/5),MAX((MAX(1,INT(((CROQUIS!$C$98)-CROQUIS!$C$107)/MAX((CROQUIS!$C$129*MAX(1,CEILING((INT(((CROQUIS!$C$98)-CROQUIS!$C$107)/MAX(CROQUIS!$C$129,1))+1)/80,1))),1))+1))-1,0))*(CROQUIS!$C$129*MAX(1,CEILING((INT(((CROQUIS!$C$98)-CROQUIS!$C$107)/MAX(CROQUIS!$C$129,1))+1)/80,1)))),CHOOSE(IF(INT(($A65-1)/5)&gt;MAX((MAX(1,INT(((CROQUIS!$C$98)-CROQUIS!$C$107)/MAX((CROQUIS!$C$129*MAX(1,CEILING((INT(((CROQUIS!$C$98)-CROQUIS!$C$107)/MAX(CROQUIS!$C$129,1))+1)/80,1))),1))+1))-1,0),0,MOD($A65-1,5))+1,0,2,CROQUIS!$C$97-2,2,0)))*CROQUIS!$C$159)+IF(CROQUIS!$C$92="X",0,0)),-1000)</f>
        <v>-1000</v>
      </c>
      <c r="BP65">
        <f>IF(AND(CROQUIS!$C$88=1,CROQUIS!$C$137&gt;0),((CROQUIS!$C$160+(IF(CROQUIS!$C$92="X",((CROQUIS!$C$107/2+(((CROQUIS!$C$97)-CROQUIS!$C$107)-(MAX(1,INT(((CROQUIS!$C$97)-CROQUIS!$C$107)/MAX((CROQUIS!$C$137*MAX(1,CEILING((INT(((CROQUIS!$C$97)-CROQUIS!$C$107)/MAX(CROQUIS!$C$137,1))+1)/80,1))),1))+1)-1)*(CROQUIS!$C$137*MAX(1,CEILING((INT(((CROQUIS!$C$97)-CROQUIS!$C$107)/MAX(CROQUIS!$C$137,1))+1)/80,1))))/2)+MIN(INT(($A65-1)/5),MAX((MAX(1,INT(((CROQUIS!$C$97)-CROQUIS!$C$107)/MAX((CROQUIS!$C$137*MAX(1,CEILING((INT(((CROQUIS!$C$97)-CROQUIS!$C$107)/MAX(CROQUIS!$C$137,1))+1)/80,1))),1))+1))-1,0))*(CROQUIS!$C$137*MAX(1,CEILING((INT(((CROQUIS!$C$97)-CROQUIS!$C$107)/MAX(CROQUIS!$C$137,1))+1)/80,1)))),CHOOSE(IF(INT(($A65-1)/5)&gt;MAX((MAX(1,INT(((CROQUIS!$C$97)-CROQUIS!$C$107)/MAX((CROQUIS!$C$137*MAX(1,CEILING((INT(((CROQUIS!$C$97)-CROQUIS!$C$107)/MAX(CROQUIS!$C$137,1))+1)/80,1))),1))+1))-1,0),0,MOD($A65-1,5))+1,0,2,CROQUIS!$C$98-2,2,0)))*CROQUIS!$C$159)+IF(CROQUIS!$C$92="X",0,0)),-1000)</f>
        <v>-1000</v>
      </c>
      <c r="BQ65">
        <f>IF(AND(CROQUIS!$C$88=1,CROQUIS!$C$137&gt;0),((CROQUIS!$C$161+(IF(CROQUIS!$C$92="X",CHOOSE(IF(INT(($A65-1)/5)&gt;MAX((MAX(1,INT(((CROQUIS!$C$97)-CROQUIS!$C$107)/MAX((CROQUIS!$C$137*MAX(1,CEILING((INT(((CROQUIS!$C$97)-CROQUIS!$C$107)/MAX(CROQUIS!$C$137,1))+1)/80,1))),1))+1))-1,0),0,MOD($A65-1,5))+1,0,2,CROQUIS!$C$98-2,2,0),((CROQUIS!$C$107/2+(((CROQUIS!$C$97)-CROQUIS!$C$107)-(MAX(1,INT(((CROQUIS!$C$97)-CROQUIS!$C$107)/MAX((CROQUIS!$C$137*MAX(1,CEILING((INT(((CROQUIS!$C$97)-CROQUIS!$C$107)/MAX(CROQUIS!$C$137,1))+1)/80,1))),1))+1)-1)*(CROQUIS!$C$137*MAX(1,CEILING((INT(((CROQUIS!$C$97)-CROQUIS!$C$107)/MAX(CROQUIS!$C$137,1))+1)/80,1))))/2)+MIN(INT(($A65-1)/5),MAX((MAX(1,INT(((CROQUIS!$C$97)-CROQUIS!$C$107)/MAX((CROQUIS!$C$137*MAX(1,CEILING((INT(((CROQUIS!$C$97)-CROQUIS!$C$107)/MAX(CROQUIS!$C$137,1))+1)/80,1))),1))+1))-1,0))*(CROQUIS!$C$137*MAX(1,CEILING((INT(((CROQUIS!$C$97)-CROQUIS!$C$107)/MAX(CROQUIS!$C$137,1))+1)/80,1))))))*CROQUIS!$C$159)+IF(CROQUIS!$C$92="X",0,0)),-1000)</f>
        <v>-1000</v>
      </c>
      <c r="BR65">
        <f>IF(AND(CROQUIS!$C$88=1,CROQUIS!$C$91=0,CROQUIS!$C$133&gt;0,OR(CROQUIS!$C$103=1,CROQUIS!$C$145=1)),((CROQUIS!$C$160+(IF(CROQUIS!$C$92="X",CHOOSE(IF(INT(($A65-1)/5)&gt;MAX((MAX(1,INT(((CROQUIS!$C$98)-CROQUIS!$C$107)/MAX((CROQUIS!$C$133*MAX(1,CEILING((INT(((CROQUIS!$C$98)-CROQUIS!$C$107)/MAX(CROQUIS!$C$133,1))+1)/80,1))),1))+1))-1,0),0,MOD($A65-1,5))+1,0,IF(CROQUIS!$C$103=1,-12,2),CROQUIS!$C$107/2+CROQUIS!$C$143,IF(CROQUIS!$C$103=1,-12,2),0),((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BS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+1,0,IF(CROQUIS!$C$103=1,-12,2),CROQUIS!$C$107/2+CROQUIS!$C$143,IF(CROQUIS!$C$103=1,-12,2),0)))*CROQUIS!$C$159)+IF(CROQUIS!$C$92="X",0.8,0)),-1000)</f>
        <v>-1000</v>
      </c>
      <c r="BT65">
        <f>IF(AND(CROQUIS!$C$88=1,CROQUIS!$C$91=0,CROQUIS!$C$133&gt;0,OR(CROQUIS!$C$104=1,CROQUIS!$C$145=1)),((CROQUIS!$C$160+(IF(CROQUIS!$C$92="X",CHOOSE(IF(INT(($A65-1)/5)&gt;MAX((MAX(1,INT(((CROQUIS!$C$98)-CROQUIS!$C$107)/MAX((CROQUIS!$C$133*MAX(1,CEILING((INT(((CROQUIS!$C$98)-CROQUIS!$C$107)/MAX(CROQUIS!$C$133,1))+1)/80,1))),1))+1))-1,0),0,MOD($A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BU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CROQUIS!$C$97,CROQUIS!$C$97-CROQUIS!$C$107/2-CROQUIS!$C$143,IF(CROQUIS!$C$104=1,CROQUIS!$C$97+12,CROQUIS!$C$97-2),CROQUIS!$C$97-CROQUIS!$C$107/2-CROQUIS!$C$143,CROQUIS!$C$97)))*CROQUIS!$C$159)+IF(CROQUIS!$C$92="X",0.8,0)),-1000)</f>
        <v>-1000</v>
      </c>
      <c r="BV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HOOSE(IF(INT(($A65-1)/5)&gt;MAX((MAX(1,INT(((CROQUIS!$C$97)-CROQUIS!$C$107)/MAX((CROQUIS!$C$141*MAX(1,CEILING((INT(((CROQUIS!$C$97)-CROQUIS!$C$107)/MAX(CROQUIS!$C$141,1))+1)/80,1))),1))+1))-1,0),0,MOD($A65-1,5))+1,0,IF(CROQUIS!$C$105=1,-12,2),CROQUIS!$C$107/2+CROQUIS!$C$144,IF(CROQUIS!$C$105=1,-12,2),0)))*CROQUIS!$C$159)+IF(CROQUIS!$C$92="X",0.8,0)),-1000)</f>
        <v>-1000</v>
      </c>
      <c r="BW65">
        <f>IF(AND(CROQUIS!$C$88=1,CROQUIS!$C$91=0,CROQUIS!$C$141&gt;0,OR(CROQUIS!$C$105=1,CROQUIS!$C$146=1)),((CROQUIS!$C$161+(IF(CROQUIS!$C$92="X",CHOOSE(IF(INT(($A65-1)/5)&gt;MAX((MAX(1,INT(((CROQUIS!$C$97)-CROQUIS!$C$107)/MAX((CROQUIS!$C$141*MAX(1,CEILING((INT(((CROQUIS!$C$97)-CROQUIS!$C$107)/MAX(CROQUIS!$C$141,1))+1)/80,1))),1))+1))-1,0),0,MOD($A65-1,5))+1,0,IF(CROQUIS!$C$105=1,-12,2),CROQUIS!$C$107/2+CROQUIS!$C$144,IF(CROQUIS!$C$105=1,-12,2),0),((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ROQUIS!$C$159)+IF(CROQUIS!$C$92="X",0,0.8)),-1000)</f>
        <v>-1000</v>
      </c>
      <c r="BX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HOOSE(IF(INT(($A65-1)/5)&gt;MAX((MAX(1,INT(((CROQUIS!$C$97)-CROQUIS!$C$107)/MAX((CROQUIS!$C$141*MAX(1,CEILING((INT(((CROQUIS!$C$97)-CROQUIS!$C$107)/MAX(CROQUIS!$C$141,1))+1)/80,1))),1))+1))-1,0),0,MOD($A65-1,5))+1,CROQUIS!$C$98,CROQUIS!$C$98-CROQUIS!$C$107/2-CROQUIS!$C$144,IF(CROQUIS!$C$106=1,CROQUIS!$C$98+12,CROQUIS!$C$98-2),CROQUIS!$C$98-CROQUIS!$C$107/2-CROQUIS!$C$144,CROQUIS!$C$98)))*CROQUIS!$C$159)+IF(CROQUIS!$C$92="X",0.8,0)),-1000)</f>
        <v>-1000</v>
      </c>
      <c r="BY65">
        <f>IF(AND(CROQUIS!$C$88=1,CROQUIS!$C$91=0,CROQUIS!$C$141&gt;0,OR(CROQUIS!$C$106=1,CROQUIS!$C$146=1)),((CROQUIS!$C$161+(IF(CROQUIS!$C$92="X",CHOOSE(IF(INT(($A65-1)/5)&gt;MAX((MAX(1,INT(((CROQUIS!$C$97)-CROQUIS!$C$107)/MAX((CROQUIS!$C$141*MAX(1,CEILING((INT(((CROQUIS!$C$97)-CROQUIS!$C$107)/MAX(CROQUIS!$C$141,1))+1)/80,1))),1))+1))-1,0),0,MOD($A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ROQUIS!$C$159)+IF(CROQUIS!$C$92="X",0,0.8)),-1000)</f>
        <v>-1000</v>
      </c>
      <c r="BZ65">
        <f>IF(AND(CROQUIS!$C$88=1,CROQUIS!$C$91=1,CROQUIS!$C$133&gt;0),((CROQUIS!$C$160+(IF(CROQUIS!$C$92="X",CHOOSE(IF(INT(($A65-1)/5)&gt;MAX((MAX(1,INT(((CROQUIS!$C$98)-CROQUIS!$C$107)/MAX((CROQUIS!$C$133*MAX(1,CEILING((INT(((CROQUIS!$C$98)-CROQUIS!$C$107)/MAX(CROQUIS!$C$133,1))+1)/80,1))),1))+1))-1,0),0,MOD($A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CA65">
        <f>IF(AND(CROQUIS!$C$88=1,CROQUIS!$C$91=1,CROQUIS!$C$133&gt;0),((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6">
      <c r="A66" t="n">
        <v>59</v>
      </c>
      <c r="AJ66">
        <f>IF(AND(CROQUIS!$C$87=1,CROQUIS!$C$162&gt;0,CROQUIS!$C$164&gt;0),(CROQUIS!$C$160+((CROQUIS!$C$163+INT(MIN(INT(($A66-1)/2),MAX((2*CROQUIS!$C$162)-1,0))/2)*CROQUIS!$C$116+MOD(MIN(INT(($A66-1)/2),MAX((2*CROQUIS!$C$162)-1,0)),2)*CROQUIS!$C$114))*CROQUIS!$C$159),-1000)</f>
        <v>81.3375508359693</v>
      </c>
      <c r="AK66">
        <f>IF(AND(CROQUIS!$C$87=1,CROQUIS!$C$162&gt;0,CROQUIS!$C$164&gt;0),(CROQUIS!$C$161+(IF(MOD(MIN(INT(($A66-1)/2),MAX((2*CROQUIS!$C$162)-1,0)),2)=0,IF(IF(INT(($A66-1)/2)&gt;MAX((2*CROQUIS!$C$162)-1,0),1,MOD($A66-1,2))=0,CROQUIS!$C$165,(CROQUIS!$C$165+(CROQUIS!$C$164-1)*CROQUIS!$C$116+CROQUIS!$C$115)),IF(IF(INT(($A66-1)/2)&gt;MAX((2*CROQUIS!$C$162)-1,0),1,MOD($A66-1,2))=0,(CROQUIS!$C$165+(CROQUIS!$C$164-1)*CROQUIS!$C$116+CROQUIS!$C$115),CROQUIS!$C$165)))*CROQUIS!$C$159),-1000)</f>
        <v>20.8088567555355</v>
      </c>
      <c r="AL66">
        <f>IF(AND(CROQUIS!$C$87=1,CROQUIS!$C$164&gt;0,CROQUIS!$C$162&gt;0),(CROQUIS!$C$160+(IF(MOD(MIN(INT(($A66-1)/2),MAX((2*CROQUIS!$C$164)-1,0)),2)=0,IF(IF(INT(($A66-1)/2)&gt;MAX((2*CROQUIS!$C$164)-1,0),1,MOD($A66-1,2))=0,CROQUIS!$C$163,(CROQUIS!$C$163+(CROQUIS!$C$162-1)*CROQUIS!$C$116+CROQUIS!$C$114)),IF(IF(INT(($A66-1)/2)&gt;MAX((2*CROQUIS!$C$164)-1,0),1,MOD($A66-1,2))=0,(CROQUIS!$C$163+(CROQUIS!$C$162-1)*CROQUIS!$C$116+CROQUIS!$C$114),CROQUIS!$C$163)))*CROQUIS!$C$159),-1000)</f>
        <v>22.9552643470402</v>
      </c>
      <c r="AM66">
        <f>IF(AND(CROQUIS!$C$87=1,CROQUIS!$C$164&gt;0,CROQUIS!$C$162&gt;0),(CROQUIS!$C$161+((CROQUIS!$C$165+INT(MIN(INT(($A66-1)/2),MAX((2*CROQUIS!$C$164)-1,0))/2)*CROQUIS!$C$116+MOD(MIN(INT(($A66-1)/2),MAX((2*CROQUIS!$C$164)-1,0)),2)*CROQUIS!$C$115))*CROQUIS!$C$159),-1000)</f>
        <v>79.1911432444645</v>
      </c>
      <c r="AN66">
        <f>IF(AND(CROQUIS!$C$87=1,CROQUIS!$C$162&gt;=2),(CROQUIS!$C$160+((CROQUIS!$C$163+CROQUIS!$C$114+(CROQUIS!$C$116-CROQUIS!$C$114)/2+MIN(INT(($A66-1)/2),MAX((CROQUIS!$C$162-1)-1,0))*CROQUIS!$C$116))*CROQUIS!$C$159),-1000)</f>
        <v>70.1762313601446</v>
      </c>
      <c r="AO66">
        <f>IF(AND(CROQUIS!$C$87=1,CROQUIS!$C$162&gt;=2),(CROQUIS!$C$161+(IF(MOD(MIN(INT(($A66-1)/2),MAX((CROQUIS!$C$162-1)-1,0)),2)=0,IF(IF(INT(($A66-1)/2)&gt;MAX((CROQUIS!$C$162-1)-1,0),1,MOD($A66-1,2))=0,CROQUIS!$C$107/2,(CROQUIS!$C$96-CROQUIS!$C$107/2)),IF(IF(INT(($A66-1)/2)&gt;MAX((CROQUIS!$C$162-1)-1,0),1,MOD($A66-1,2))=0,(CROQUIS!$C$96-CROQUIS!$C$107/2),CROQUIS!$C$107/2)))*CROQUIS!$C$159),-1000)</f>
        <v>16.9453230908269</v>
      </c>
      <c r="AP66">
        <f>IF(AND(CROQUIS!$C$87=1,CROQUIS!$C$164&gt;=2),(CROQUIS!$C$160+(IF(MOD(MIN(INT(($A66-1)/2),MAX((CROQUIS!$C$164-1)-1,0)),2)=0,IF(IF(INT(($A66-1)/2)&gt;MAX((CROQUIS!$C$164-1)-1,0),1,MOD($A66-1,2))=0,CROQUIS!$C$107/2,(CROQUIS!$C$95-CROQUIS!$C$107/2)),IF(IF(INT(($A66-1)/2)&gt;MAX((CROQUIS!$C$164-1)-1,0),1,MOD($A66-1,2))=0,(CROQUIS!$C$95-CROQUIS!$C$107/2),CROQUIS!$C$107/2)))*CROQUIS!$C$159),-1000)</f>
        <v>13.2878445549028</v>
      </c>
      <c r="AQ66">
        <f>IF(AND(CROQUIS!$C$87=1,CROQUIS!$C$164&gt;=2),(CROQUIS!$C$161+((CROQUIS!$C$165+CROQUIS!$C$115+(CROQUIS!$C$116-CROQUIS!$C$115)/2+MIN(INT(($A66-1)/2),MAX((CROQUIS!$C$164-1)-1,0))*CROQUIS!$C$116))*CROQUIS!$C$159),-1000)</f>
        <v>68.0298237686399</v>
      </c>
      <c r="BN66">
        <f>IF(AND(CROQUIS!$C$88=1,CROQUIS!$C$129&gt;0),((CROQUIS!$C$160+(IF(CROQUIS!$C$92="X",CHOOSE(IF(INT(($A66-1)/5)&gt;MAX((MAX(1,INT(((CROQUIS!$C$98)-CROQUIS!$C$107)/MAX((CROQUIS!$C$129*MAX(1,CEILING((INT(((CROQUIS!$C$98)-CROQUIS!$C$107)/MAX(CROQUIS!$C$129,1))+1)/80,1))),1))+1))-1,0),0,MOD($A66-1,5))+1,0,2,CROQUIS!$C$97-2,2,0),((CROQUIS!$C$107/2+(((CROQUIS!$C$98)-CROQUIS!$C$107)-(MAX(1,INT(((CROQUIS!$C$98)-CROQUIS!$C$107)/MAX((CROQUIS!$C$129*MAX(1,CEILING((INT(((CROQUIS!$C$98)-CROQUIS!$C$107)/MAX(CROQUIS!$C$129,1))+1)/80,1))),1))+1)-1)*(CROQUIS!$C$129*MAX(1,CEILING((INT(((CROQUIS!$C$98)-CROQUIS!$C$107)/MAX(CROQUIS!$C$129,1))+1)/80,1))))/2)+MIN(INT(($A66-1)/5),MAX((MAX(1,INT(((CROQUIS!$C$98)-CROQUIS!$C$107)/MAX((CROQUIS!$C$129*MAX(1,CEILING((INT(((CROQUIS!$C$98)-CROQUIS!$C$107)/MAX(CROQUIS!$C$129,1))+1)/80,1))),1))+1))-1,0))*(CROQUIS!$C$129*MAX(1,CEILING((INT(((CROQUIS!$C$98)-CROQUIS!$C$107)/MAX(CROQUIS!$C$129,1))+1)/80,1))))))*CROQUIS!$C$159)+IF(CROQUIS!$C$92="X",0,0)),-1000)</f>
        <v>-1000</v>
      </c>
      <c r="BO66">
        <f>IF(AND(CROQUIS!$C$88=1,CROQUIS!$C$129&gt;0),((CROQUIS!$C$161+(IF(CROQUIS!$C$92="X",((CROQUIS!$C$107/2+(((CROQUIS!$C$98)-CROQUIS!$C$107)-(MAX(1,INT(((CROQUIS!$C$98)-CROQUIS!$C$107)/MAX((CROQUIS!$C$129*MAX(1,CEILING((INT(((CROQUIS!$C$98)-CROQUIS!$C$107)/MAX(CROQUIS!$C$129,1))+1)/80,1))),1))+1)-1)*(CROQUIS!$C$129*MAX(1,CEILING((INT(((CROQUIS!$C$98)-CROQUIS!$C$107)/MAX(CROQUIS!$C$129,1))+1)/80,1))))/2)+MIN(INT(($A66-1)/5),MAX((MAX(1,INT(((CROQUIS!$C$98)-CROQUIS!$C$107)/MAX((CROQUIS!$C$129*MAX(1,CEILING((INT(((CROQUIS!$C$98)-CROQUIS!$C$107)/MAX(CROQUIS!$C$129,1))+1)/80,1))),1))+1))-1,0))*(CROQUIS!$C$129*MAX(1,CEILING((INT(((CROQUIS!$C$98)-CROQUIS!$C$107)/MAX(CROQUIS!$C$129,1))+1)/80,1)))),CHOOSE(IF(INT(($A66-1)/5)&gt;MAX((MAX(1,INT(((CROQUIS!$C$98)-CROQUIS!$C$107)/MAX((CROQUIS!$C$129*MAX(1,CEILING((INT(((CROQUIS!$C$98)-CROQUIS!$C$107)/MAX(CROQUIS!$C$129,1))+1)/80,1))),1))+1))-1,0),0,MOD($A66-1,5))+1,0,2,CROQUIS!$C$97-2,2,0)))*CROQUIS!$C$159)+IF(CROQUIS!$C$92="X",0,0)),-1000)</f>
        <v>-1000</v>
      </c>
      <c r="BP66">
        <f>IF(AND(CROQUIS!$C$88=1,CROQUIS!$C$137&gt;0),((CROQUIS!$C$160+(IF(CROQUIS!$C$92="X",((CROQUIS!$C$107/2+(((CROQUIS!$C$97)-CROQUIS!$C$107)-(MAX(1,INT(((CROQUIS!$C$97)-CROQUIS!$C$107)/MAX((CROQUIS!$C$137*MAX(1,CEILING((INT(((CROQUIS!$C$97)-CROQUIS!$C$107)/MAX(CROQUIS!$C$137,1))+1)/80,1))),1))+1)-1)*(CROQUIS!$C$137*MAX(1,CEILING((INT(((CROQUIS!$C$97)-CROQUIS!$C$107)/MAX(CROQUIS!$C$137,1))+1)/80,1))))/2)+MIN(INT(($A66-1)/5),MAX((MAX(1,INT(((CROQUIS!$C$97)-CROQUIS!$C$107)/MAX((CROQUIS!$C$137*MAX(1,CEILING((INT(((CROQUIS!$C$97)-CROQUIS!$C$107)/MAX(CROQUIS!$C$137,1))+1)/80,1))),1))+1))-1,0))*(CROQUIS!$C$137*MAX(1,CEILING((INT(((CROQUIS!$C$97)-CROQUIS!$C$107)/MAX(CROQUIS!$C$137,1))+1)/80,1)))),CHOOSE(IF(INT(($A66-1)/5)&gt;MAX((MAX(1,INT(((CROQUIS!$C$97)-CROQUIS!$C$107)/MAX((CROQUIS!$C$137*MAX(1,CEILING((INT(((CROQUIS!$C$97)-CROQUIS!$C$107)/MAX(CROQUIS!$C$137,1))+1)/80,1))),1))+1))-1,0),0,MOD($A66-1,5))+1,0,2,CROQUIS!$C$98-2,2,0)))*CROQUIS!$C$159)+IF(CROQUIS!$C$92="X",0,0)),-1000)</f>
        <v>-1000</v>
      </c>
      <c r="BQ66">
        <f>IF(AND(CROQUIS!$C$88=1,CROQUIS!$C$137&gt;0),((CROQUIS!$C$161+(IF(CROQUIS!$C$92="X",CHOOSE(IF(INT(($A66-1)/5)&gt;MAX((MAX(1,INT(((CROQUIS!$C$97)-CROQUIS!$C$107)/MAX((CROQUIS!$C$137*MAX(1,CEILING((INT(((CROQUIS!$C$97)-CROQUIS!$C$107)/MAX(CROQUIS!$C$137,1))+1)/80,1))),1))+1))-1,0),0,MOD($A66-1,5))+1,0,2,CROQUIS!$C$98-2,2,0),((CROQUIS!$C$107/2+(((CROQUIS!$C$97)-CROQUIS!$C$107)-(MAX(1,INT(((CROQUIS!$C$97)-CROQUIS!$C$107)/MAX((CROQUIS!$C$137*MAX(1,CEILING((INT(((CROQUIS!$C$97)-CROQUIS!$C$107)/MAX(CROQUIS!$C$137,1))+1)/80,1))),1))+1)-1)*(CROQUIS!$C$137*MAX(1,CEILING((INT(((CROQUIS!$C$97)-CROQUIS!$C$107)/MAX(CROQUIS!$C$137,1))+1)/80,1))))/2)+MIN(INT(($A66-1)/5),MAX((MAX(1,INT(((CROQUIS!$C$97)-CROQUIS!$C$107)/MAX((CROQUIS!$C$137*MAX(1,CEILING((INT(((CROQUIS!$C$97)-CROQUIS!$C$107)/MAX(CROQUIS!$C$137,1))+1)/80,1))),1))+1))-1,0))*(CROQUIS!$C$137*MAX(1,CEILING((INT(((CROQUIS!$C$97)-CROQUIS!$C$107)/MAX(CROQUIS!$C$137,1))+1)/80,1))))))*CROQUIS!$C$159)+IF(CROQUIS!$C$92="X",0,0)),-1000)</f>
        <v>-1000</v>
      </c>
      <c r="BR66">
        <f>IF(AND(CROQUIS!$C$88=1,CROQUIS!$C$91=0,CROQUIS!$C$133&gt;0,OR(CROQUIS!$C$103=1,CROQUIS!$C$145=1)),((CROQUIS!$C$160+(IF(CROQUIS!$C$92="X",CHOOSE(IF(INT(($A66-1)/5)&gt;MAX((MAX(1,INT(((CROQUIS!$C$98)-CROQUIS!$C$107)/MAX((CROQUIS!$C$133*MAX(1,CEILING((INT(((CROQUIS!$C$98)-CROQUIS!$C$107)/MAX(CROQUIS!$C$133,1))+1)/80,1))),1))+1))-1,0),0,MOD($A66-1,5))+1,0,IF(CROQUIS!$C$103=1,-12,2),CROQUIS!$C$107/2+CROQUIS!$C$143,IF(CROQUIS!$C$103=1,-12,2),0),((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BS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+1,0,IF(CROQUIS!$C$103=1,-12,2),CROQUIS!$C$107/2+CROQUIS!$C$143,IF(CROQUIS!$C$103=1,-12,2),0)))*CROQUIS!$C$159)+IF(CROQUIS!$C$92="X",0.8,0)),-1000)</f>
        <v>-1000</v>
      </c>
      <c r="BT66">
        <f>IF(AND(CROQUIS!$C$88=1,CROQUIS!$C$91=0,CROQUIS!$C$133&gt;0,OR(CROQUIS!$C$104=1,CROQUIS!$C$145=1)),((CROQUIS!$C$160+(IF(CROQUIS!$C$92="X",CHOOSE(IF(INT(($A66-1)/5)&gt;MAX((MAX(1,INT(((CROQUIS!$C$98)-CROQUIS!$C$107)/MAX((CROQUIS!$C$133*MAX(1,CEILING((INT(((CROQUIS!$C$98)-CROQUIS!$C$107)/MAX(CROQUIS!$C$133,1))+1)/80,1))),1))+1))-1,0),0,MOD($A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BU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CROQUIS!$C$97,CROQUIS!$C$97-CROQUIS!$C$107/2-CROQUIS!$C$143,IF(CROQUIS!$C$104=1,CROQUIS!$C$97+12,CROQUIS!$C$97-2),CROQUIS!$C$97-CROQUIS!$C$107/2-CROQUIS!$C$143,CROQUIS!$C$97)))*CROQUIS!$C$159)+IF(CROQUIS!$C$92="X",0.8,0)),-1000)</f>
        <v>-1000</v>
      </c>
      <c r="BV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HOOSE(IF(INT(($A66-1)/5)&gt;MAX((MAX(1,INT(((CROQUIS!$C$97)-CROQUIS!$C$107)/MAX((CROQUIS!$C$141*MAX(1,CEILING((INT(((CROQUIS!$C$97)-CROQUIS!$C$107)/MAX(CROQUIS!$C$141,1))+1)/80,1))),1))+1))-1,0),0,MOD($A66-1,5))+1,0,IF(CROQUIS!$C$105=1,-12,2),CROQUIS!$C$107/2+CROQUIS!$C$144,IF(CROQUIS!$C$105=1,-12,2),0)))*CROQUIS!$C$159)+IF(CROQUIS!$C$92="X",0.8,0)),-1000)</f>
        <v>-1000</v>
      </c>
      <c r="BW66">
        <f>IF(AND(CROQUIS!$C$88=1,CROQUIS!$C$91=0,CROQUIS!$C$141&gt;0,OR(CROQUIS!$C$105=1,CROQUIS!$C$146=1)),((CROQUIS!$C$161+(IF(CROQUIS!$C$92="X",CHOOSE(IF(INT(($A66-1)/5)&gt;MAX((MAX(1,INT(((CROQUIS!$C$97)-CROQUIS!$C$107)/MAX((CROQUIS!$C$141*MAX(1,CEILING((INT(((CROQUIS!$C$97)-CROQUIS!$C$107)/MAX(CROQUIS!$C$141,1))+1)/80,1))),1))+1))-1,0),0,MOD($A66-1,5))+1,0,IF(CROQUIS!$C$105=1,-12,2),CROQUIS!$C$107/2+CROQUIS!$C$144,IF(CROQUIS!$C$105=1,-12,2),0),((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ROQUIS!$C$159)+IF(CROQUIS!$C$92="X",0,0.8)),-1000)</f>
        <v>-1000</v>
      </c>
      <c r="BX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HOOSE(IF(INT(($A66-1)/5)&gt;MAX((MAX(1,INT(((CROQUIS!$C$97)-CROQUIS!$C$107)/MAX((CROQUIS!$C$141*MAX(1,CEILING((INT(((CROQUIS!$C$97)-CROQUIS!$C$107)/MAX(CROQUIS!$C$141,1))+1)/80,1))),1))+1))-1,0),0,MOD($A66-1,5))+1,CROQUIS!$C$98,CROQUIS!$C$98-CROQUIS!$C$107/2-CROQUIS!$C$144,IF(CROQUIS!$C$106=1,CROQUIS!$C$98+12,CROQUIS!$C$98-2),CROQUIS!$C$98-CROQUIS!$C$107/2-CROQUIS!$C$144,CROQUIS!$C$98)))*CROQUIS!$C$159)+IF(CROQUIS!$C$92="X",0.8,0)),-1000)</f>
        <v>-1000</v>
      </c>
      <c r="BY66">
        <f>IF(AND(CROQUIS!$C$88=1,CROQUIS!$C$91=0,CROQUIS!$C$141&gt;0,OR(CROQUIS!$C$106=1,CROQUIS!$C$146=1)),((CROQUIS!$C$161+(IF(CROQUIS!$C$92="X",CHOOSE(IF(INT(($A66-1)/5)&gt;MAX((MAX(1,INT(((CROQUIS!$C$97)-CROQUIS!$C$107)/MAX((CROQUIS!$C$141*MAX(1,CEILING((INT(((CROQUIS!$C$97)-CROQUIS!$C$107)/MAX(CROQUIS!$C$141,1))+1)/80,1))),1))+1))-1,0),0,MOD($A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ROQUIS!$C$159)+IF(CROQUIS!$C$92="X",0,0.8)),-1000)</f>
        <v>-1000</v>
      </c>
      <c r="BZ66">
        <f>IF(AND(CROQUIS!$C$88=1,CROQUIS!$C$91=1,CROQUIS!$C$133&gt;0),((CROQUIS!$C$160+(IF(CROQUIS!$C$92="X",CHOOSE(IF(INT(($A66-1)/5)&gt;MAX((MAX(1,INT(((CROQUIS!$C$98)-CROQUIS!$C$107)/MAX((CROQUIS!$C$133*MAX(1,CEILING((INT(((CROQUIS!$C$98)-CROQUIS!$C$107)/MAX(CROQUIS!$C$133,1))+1)/80,1))),1))+1))-1,0),0,MOD($A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CA66">
        <f>IF(AND(CROQUIS!$C$88=1,CROQUIS!$C$91=1,CROQUIS!$C$133&gt;0),((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7">
      <c r="A67" t="n">
        <v>60</v>
      </c>
      <c r="AJ67">
        <f>IF(AND(CROQUIS!$C$87=1,CROQUIS!$C$162&gt;0,CROQUIS!$C$164&gt;0),(CROQUIS!$C$160+((CROQUIS!$C$163+INT(MIN(INT(($A67-1)/2),MAX((2*CROQUIS!$C$162)-1,0))/2)*CROQUIS!$C$116+MOD(MIN(INT(($A67-1)/2),MAX((2*CROQUIS!$C$162)-1,0)),2)*CROQUIS!$C$114))*CROQUIS!$C$159),-1000)</f>
        <v>81.3375508359693</v>
      </c>
      <c r="AK67">
        <f>IF(AND(CROQUIS!$C$87=1,CROQUIS!$C$162&gt;0,CROQUIS!$C$164&gt;0),(CROQUIS!$C$161+(IF(MOD(MIN(INT(($A67-1)/2),MAX((2*CROQUIS!$C$162)-1,0)),2)=0,IF(IF(INT(($A67-1)/2)&gt;MAX((2*CROQUIS!$C$162)-1,0),1,MOD($A67-1,2))=0,CROQUIS!$C$165,(CROQUIS!$C$165+(CROQUIS!$C$164-1)*CROQUIS!$C$116+CROQUIS!$C$115)),IF(IF(INT(($A67-1)/2)&gt;MAX((2*CROQUIS!$C$162)-1,0),1,MOD($A67-1,2))=0,(CROQUIS!$C$165+(CROQUIS!$C$164-1)*CROQUIS!$C$116+CROQUIS!$C$115),CROQUIS!$C$165)))*CROQUIS!$C$159),-1000)</f>
        <v>20.8088567555355</v>
      </c>
      <c r="AL67">
        <f>IF(AND(CROQUIS!$C$87=1,CROQUIS!$C$164&gt;0,CROQUIS!$C$162&gt;0),(CROQUIS!$C$160+(IF(MOD(MIN(INT(($A67-1)/2),MAX((2*CROQUIS!$C$164)-1,0)),2)=0,IF(IF(INT(($A67-1)/2)&gt;MAX((2*CROQUIS!$C$164)-1,0),1,MOD($A67-1,2))=0,CROQUIS!$C$163,(CROQUIS!$C$163+(CROQUIS!$C$162-1)*CROQUIS!$C$116+CROQUIS!$C$114)),IF(IF(INT(($A67-1)/2)&gt;MAX((2*CROQUIS!$C$164)-1,0),1,MOD($A67-1,2))=0,(CROQUIS!$C$163+(CROQUIS!$C$162-1)*CROQUIS!$C$116+CROQUIS!$C$114),CROQUIS!$C$163)))*CROQUIS!$C$159),-1000)</f>
        <v>22.9552643470402</v>
      </c>
      <c r="AM67">
        <f>IF(AND(CROQUIS!$C$87=1,CROQUIS!$C$164&gt;0,CROQUIS!$C$162&gt;0),(CROQUIS!$C$161+((CROQUIS!$C$165+INT(MIN(INT(($A67-1)/2),MAX((2*CROQUIS!$C$164)-1,0))/2)*CROQUIS!$C$116+MOD(MIN(INT(($A67-1)/2),MAX((2*CROQUIS!$C$164)-1,0)),2)*CROQUIS!$C$115))*CROQUIS!$C$159),-1000)</f>
        <v>79.1911432444645</v>
      </c>
      <c r="AN67">
        <f>IF(AND(CROQUIS!$C$87=1,CROQUIS!$C$162&gt;=2),(CROQUIS!$C$160+((CROQUIS!$C$163+CROQUIS!$C$114+(CROQUIS!$C$116-CROQUIS!$C$114)/2+MIN(INT(($A67-1)/2),MAX((CROQUIS!$C$162-1)-1,0))*CROQUIS!$C$116))*CROQUIS!$C$159),-1000)</f>
        <v>70.1762313601446</v>
      </c>
      <c r="AO67">
        <f>IF(AND(CROQUIS!$C$87=1,CROQUIS!$C$162&gt;=2),(CROQUIS!$C$161+(IF(MOD(MIN(INT(($A67-1)/2),MAX((CROQUIS!$C$162-1)-1,0)),2)=0,IF(IF(INT(($A67-1)/2)&gt;MAX((CROQUIS!$C$162-1)-1,0),1,MOD($A67-1,2))=0,CROQUIS!$C$107/2,(CROQUIS!$C$96-CROQUIS!$C$107/2)),IF(IF(INT(($A67-1)/2)&gt;MAX((CROQUIS!$C$162-1)-1,0),1,MOD($A67-1,2))=0,(CROQUIS!$C$96-CROQUIS!$C$107/2),CROQUIS!$C$107/2)))*CROQUIS!$C$159),-1000)</f>
        <v>16.9453230908269</v>
      </c>
      <c r="AP67">
        <f>IF(AND(CROQUIS!$C$87=1,CROQUIS!$C$164&gt;=2),(CROQUIS!$C$160+(IF(MOD(MIN(INT(($A67-1)/2),MAX((CROQUIS!$C$164-1)-1,0)),2)=0,IF(IF(INT(($A67-1)/2)&gt;MAX((CROQUIS!$C$164-1)-1,0),1,MOD($A67-1,2))=0,CROQUIS!$C$107/2,(CROQUIS!$C$95-CROQUIS!$C$107/2)),IF(IF(INT(($A67-1)/2)&gt;MAX((CROQUIS!$C$164-1)-1,0),1,MOD($A67-1,2))=0,(CROQUIS!$C$95-CROQUIS!$C$107/2),CROQUIS!$C$107/2)))*CROQUIS!$C$159),-1000)</f>
        <v>13.2878445549028</v>
      </c>
      <c r="AQ67">
        <f>IF(AND(CROQUIS!$C$87=1,CROQUIS!$C$164&gt;=2),(CROQUIS!$C$161+((CROQUIS!$C$165+CROQUIS!$C$115+(CROQUIS!$C$116-CROQUIS!$C$115)/2+MIN(INT(($A67-1)/2),MAX((CROQUIS!$C$164-1)-1,0))*CROQUIS!$C$116))*CROQUIS!$C$159),-1000)</f>
        <v>68.0298237686399</v>
      </c>
      <c r="BN67">
        <f>IF(AND(CROQUIS!$C$88=1,CROQUIS!$C$129&gt;0),((CROQUIS!$C$160+(IF(CROQUIS!$C$92="X",CHOOSE(IF(INT(($A67-1)/5)&gt;MAX((MAX(1,INT(((CROQUIS!$C$98)-CROQUIS!$C$107)/MAX((CROQUIS!$C$129*MAX(1,CEILING((INT(((CROQUIS!$C$98)-CROQUIS!$C$107)/MAX(CROQUIS!$C$129,1))+1)/80,1))),1))+1))-1,0),0,MOD($A67-1,5))+1,0,2,CROQUIS!$C$97-2,2,0),((CROQUIS!$C$107/2+(((CROQUIS!$C$98)-CROQUIS!$C$107)-(MAX(1,INT(((CROQUIS!$C$98)-CROQUIS!$C$107)/MAX((CROQUIS!$C$129*MAX(1,CEILING((INT(((CROQUIS!$C$98)-CROQUIS!$C$107)/MAX(CROQUIS!$C$129,1))+1)/80,1))),1))+1)-1)*(CROQUIS!$C$129*MAX(1,CEILING((INT(((CROQUIS!$C$98)-CROQUIS!$C$107)/MAX(CROQUIS!$C$129,1))+1)/80,1))))/2)+MIN(INT(($A67-1)/5),MAX((MAX(1,INT(((CROQUIS!$C$98)-CROQUIS!$C$107)/MAX((CROQUIS!$C$129*MAX(1,CEILING((INT(((CROQUIS!$C$98)-CROQUIS!$C$107)/MAX(CROQUIS!$C$129,1))+1)/80,1))),1))+1))-1,0))*(CROQUIS!$C$129*MAX(1,CEILING((INT(((CROQUIS!$C$98)-CROQUIS!$C$107)/MAX(CROQUIS!$C$129,1))+1)/80,1))))))*CROQUIS!$C$159)+IF(CROQUIS!$C$92="X",0,0)),-1000)</f>
        <v>-1000</v>
      </c>
      <c r="BO67">
        <f>IF(AND(CROQUIS!$C$88=1,CROQUIS!$C$129&gt;0),((CROQUIS!$C$161+(IF(CROQUIS!$C$92="X",((CROQUIS!$C$107/2+(((CROQUIS!$C$98)-CROQUIS!$C$107)-(MAX(1,INT(((CROQUIS!$C$98)-CROQUIS!$C$107)/MAX((CROQUIS!$C$129*MAX(1,CEILING((INT(((CROQUIS!$C$98)-CROQUIS!$C$107)/MAX(CROQUIS!$C$129,1))+1)/80,1))),1))+1)-1)*(CROQUIS!$C$129*MAX(1,CEILING((INT(((CROQUIS!$C$98)-CROQUIS!$C$107)/MAX(CROQUIS!$C$129,1))+1)/80,1))))/2)+MIN(INT(($A67-1)/5),MAX((MAX(1,INT(((CROQUIS!$C$98)-CROQUIS!$C$107)/MAX((CROQUIS!$C$129*MAX(1,CEILING((INT(((CROQUIS!$C$98)-CROQUIS!$C$107)/MAX(CROQUIS!$C$129,1))+1)/80,1))),1))+1))-1,0))*(CROQUIS!$C$129*MAX(1,CEILING((INT(((CROQUIS!$C$98)-CROQUIS!$C$107)/MAX(CROQUIS!$C$129,1))+1)/80,1)))),CHOOSE(IF(INT(($A67-1)/5)&gt;MAX((MAX(1,INT(((CROQUIS!$C$98)-CROQUIS!$C$107)/MAX((CROQUIS!$C$129*MAX(1,CEILING((INT(((CROQUIS!$C$98)-CROQUIS!$C$107)/MAX(CROQUIS!$C$129,1))+1)/80,1))),1))+1))-1,0),0,MOD($A67-1,5))+1,0,2,CROQUIS!$C$97-2,2,0)))*CROQUIS!$C$159)+IF(CROQUIS!$C$92="X",0,0)),-1000)</f>
        <v>-1000</v>
      </c>
      <c r="BP67">
        <f>IF(AND(CROQUIS!$C$88=1,CROQUIS!$C$137&gt;0),((CROQUIS!$C$160+(IF(CROQUIS!$C$92="X",((CROQUIS!$C$107/2+(((CROQUIS!$C$97)-CROQUIS!$C$107)-(MAX(1,INT(((CROQUIS!$C$97)-CROQUIS!$C$107)/MAX((CROQUIS!$C$137*MAX(1,CEILING((INT(((CROQUIS!$C$97)-CROQUIS!$C$107)/MAX(CROQUIS!$C$137,1))+1)/80,1))),1))+1)-1)*(CROQUIS!$C$137*MAX(1,CEILING((INT(((CROQUIS!$C$97)-CROQUIS!$C$107)/MAX(CROQUIS!$C$137,1))+1)/80,1))))/2)+MIN(INT(($A67-1)/5),MAX((MAX(1,INT(((CROQUIS!$C$97)-CROQUIS!$C$107)/MAX((CROQUIS!$C$137*MAX(1,CEILING((INT(((CROQUIS!$C$97)-CROQUIS!$C$107)/MAX(CROQUIS!$C$137,1))+1)/80,1))),1))+1))-1,0))*(CROQUIS!$C$137*MAX(1,CEILING((INT(((CROQUIS!$C$97)-CROQUIS!$C$107)/MAX(CROQUIS!$C$137,1))+1)/80,1)))),CHOOSE(IF(INT(($A67-1)/5)&gt;MAX((MAX(1,INT(((CROQUIS!$C$97)-CROQUIS!$C$107)/MAX((CROQUIS!$C$137*MAX(1,CEILING((INT(((CROQUIS!$C$97)-CROQUIS!$C$107)/MAX(CROQUIS!$C$137,1))+1)/80,1))),1))+1))-1,0),0,MOD($A67-1,5))+1,0,2,CROQUIS!$C$98-2,2,0)))*CROQUIS!$C$159)+IF(CROQUIS!$C$92="X",0,0)),-1000)</f>
        <v>-1000</v>
      </c>
      <c r="BQ67">
        <f>IF(AND(CROQUIS!$C$88=1,CROQUIS!$C$137&gt;0),((CROQUIS!$C$161+(IF(CROQUIS!$C$92="X",CHOOSE(IF(INT(($A67-1)/5)&gt;MAX((MAX(1,INT(((CROQUIS!$C$97)-CROQUIS!$C$107)/MAX((CROQUIS!$C$137*MAX(1,CEILING((INT(((CROQUIS!$C$97)-CROQUIS!$C$107)/MAX(CROQUIS!$C$137,1))+1)/80,1))),1))+1))-1,0),0,MOD($A67-1,5))+1,0,2,CROQUIS!$C$98-2,2,0),((CROQUIS!$C$107/2+(((CROQUIS!$C$97)-CROQUIS!$C$107)-(MAX(1,INT(((CROQUIS!$C$97)-CROQUIS!$C$107)/MAX((CROQUIS!$C$137*MAX(1,CEILING((INT(((CROQUIS!$C$97)-CROQUIS!$C$107)/MAX(CROQUIS!$C$137,1))+1)/80,1))),1))+1)-1)*(CROQUIS!$C$137*MAX(1,CEILING((INT(((CROQUIS!$C$97)-CROQUIS!$C$107)/MAX(CROQUIS!$C$137,1))+1)/80,1))))/2)+MIN(INT(($A67-1)/5),MAX((MAX(1,INT(((CROQUIS!$C$97)-CROQUIS!$C$107)/MAX((CROQUIS!$C$137*MAX(1,CEILING((INT(((CROQUIS!$C$97)-CROQUIS!$C$107)/MAX(CROQUIS!$C$137,1))+1)/80,1))),1))+1))-1,0))*(CROQUIS!$C$137*MAX(1,CEILING((INT(((CROQUIS!$C$97)-CROQUIS!$C$107)/MAX(CROQUIS!$C$137,1))+1)/80,1))))))*CROQUIS!$C$159)+IF(CROQUIS!$C$92="X",0,0)),-1000)</f>
        <v>-1000</v>
      </c>
      <c r="BR67">
        <f>IF(AND(CROQUIS!$C$88=1,CROQUIS!$C$91=0,CROQUIS!$C$133&gt;0,OR(CROQUIS!$C$103=1,CROQUIS!$C$145=1)),((CROQUIS!$C$160+(IF(CROQUIS!$C$92="X",CHOOSE(IF(INT(($A67-1)/5)&gt;MAX((MAX(1,INT(((CROQUIS!$C$98)-CROQUIS!$C$107)/MAX((CROQUIS!$C$133*MAX(1,CEILING((INT(((CROQUIS!$C$98)-CROQUIS!$C$107)/MAX(CROQUIS!$C$133,1))+1)/80,1))),1))+1))-1,0),0,MOD($A67-1,5))+1,0,IF(CROQUIS!$C$103=1,-12,2),CROQUIS!$C$107/2+CROQUIS!$C$143,IF(CROQUIS!$C$103=1,-12,2),0),((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BS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+1,0,IF(CROQUIS!$C$103=1,-12,2),CROQUIS!$C$107/2+CROQUIS!$C$143,IF(CROQUIS!$C$103=1,-12,2),0)))*CROQUIS!$C$159)+IF(CROQUIS!$C$92="X",0.8,0)),-1000)</f>
        <v>-1000</v>
      </c>
      <c r="BT67">
        <f>IF(AND(CROQUIS!$C$88=1,CROQUIS!$C$91=0,CROQUIS!$C$133&gt;0,OR(CROQUIS!$C$104=1,CROQUIS!$C$145=1)),((CROQUIS!$C$160+(IF(CROQUIS!$C$92="X",CHOOSE(IF(INT(($A67-1)/5)&gt;MAX((MAX(1,INT(((CROQUIS!$C$98)-CROQUIS!$C$107)/MAX((CROQUIS!$C$133*MAX(1,CEILING((INT(((CROQUIS!$C$98)-CROQUIS!$C$107)/MAX(CROQUIS!$C$133,1))+1)/80,1))),1))+1))-1,0),0,MOD($A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BU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CROQUIS!$C$97,CROQUIS!$C$97-CROQUIS!$C$107/2-CROQUIS!$C$143,IF(CROQUIS!$C$104=1,CROQUIS!$C$97+12,CROQUIS!$C$97-2),CROQUIS!$C$97-CROQUIS!$C$107/2-CROQUIS!$C$143,CROQUIS!$C$97)))*CROQUIS!$C$159)+IF(CROQUIS!$C$92="X",0.8,0)),-1000)</f>
        <v>-1000</v>
      </c>
      <c r="BV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HOOSE(IF(INT(($A67-1)/5)&gt;MAX((MAX(1,INT(((CROQUIS!$C$97)-CROQUIS!$C$107)/MAX((CROQUIS!$C$141*MAX(1,CEILING((INT(((CROQUIS!$C$97)-CROQUIS!$C$107)/MAX(CROQUIS!$C$141,1))+1)/80,1))),1))+1))-1,0),0,MOD($A67-1,5))+1,0,IF(CROQUIS!$C$105=1,-12,2),CROQUIS!$C$107/2+CROQUIS!$C$144,IF(CROQUIS!$C$105=1,-12,2),0)))*CROQUIS!$C$159)+IF(CROQUIS!$C$92="X",0.8,0)),-1000)</f>
        <v>-1000</v>
      </c>
      <c r="BW67">
        <f>IF(AND(CROQUIS!$C$88=1,CROQUIS!$C$91=0,CROQUIS!$C$141&gt;0,OR(CROQUIS!$C$105=1,CROQUIS!$C$146=1)),((CROQUIS!$C$161+(IF(CROQUIS!$C$92="X",CHOOSE(IF(INT(($A67-1)/5)&gt;MAX((MAX(1,INT(((CROQUIS!$C$97)-CROQUIS!$C$107)/MAX((CROQUIS!$C$141*MAX(1,CEILING((INT(((CROQUIS!$C$97)-CROQUIS!$C$107)/MAX(CROQUIS!$C$141,1))+1)/80,1))),1))+1))-1,0),0,MOD($A67-1,5))+1,0,IF(CROQUIS!$C$105=1,-12,2),CROQUIS!$C$107/2+CROQUIS!$C$144,IF(CROQUIS!$C$105=1,-12,2),0),((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ROQUIS!$C$159)+IF(CROQUIS!$C$92="X",0,0.8)),-1000)</f>
        <v>-1000</v>
      </c>
      <c r="BX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HOOSE(IF(INT(($A67-1)/5)&gt;MAX((MAX(1,INT(((CROQUIS!$C$97)-CROQUIS!$C$107)/MAX((CROQUIS!$C$141*MAX(1,CEILING((INT(((CROQUIS!$C$97)-CROQUIS!$C$107)/MAX(CROQUIS!$C$141,1))+1)/80,1))),1))+1))-1,0),0,MOD($A67-1,5))+1,CROQUIS!$C$98,CROQUIS!$C$98-CROQUIS!$C$107/2-CROQUIS!$C$144,IF(CROQUIS!$C$106=1,CROQUIS!$C$98+12,CROQUIS!$C$98-2),CROQUIS!$C$98-CROQUIS!$C$107/2-CROQUIS!$C$144,CROQUIS!$C$98)))*CROQUIS!$C$159)+IF(CROQUIS!$C$92="X",0.8,0)),-1000)</f>
        <v>-1000</v>
      </c>
      <c r="BY67">
        <f>IF(AND(CROQUIS!$C$88=1,CROQUIS!$C$91=0,CROQUIS!$C$141&gt;0,OR(CROQUIS!$C$106=1,CROQUIS!$C$146=1)),((CROQUIS!$C$161+(IF(CROQUIS!$C$92="X",CHOOSE(IF(INT(($A67-1)/5)&gt;MAX((MAX(1,INT(((CROQUIS!$C$97)-CROQUIS!$C$107)/MAX((CROQUIS!$C$141*MAX(1,CEILING((INT(((CROQUIS!$C$97)-CROQUIS!$C$107)/MAX(CROQUIS!$C$141,1))+1)/80,1))),1))+1))-1,0),0,MOD($A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ROQUIS!$C$159)+IF(CROQUIS!$C$92="X",0,0.8)),-1000)</f>
        <v>-1000</v>
      </c>
      <c r="BZ67">
        <f>IF(AND(CROQUIS!$C$88=1,CROQUIS!$C$91=1,CROQUIS!$C$133&gt;0),((CROQUIS!$C$160+(IF(CROQUIS!$C$92="X",CHOOSE(IF(INT(($A67-1)/5)&gt;MAX((MAX(1,INT(((CROQUIS!$C$98)-CROQUIS!$C$107)/MAX((CROQUIS!$C$133*MAX(1,CEILING((INT(((CROQUIS!$C$98)-CROQUIS!$C$107)/MAX(CROQUIS!$C$133,1))+1)/80,1))),1))+1))-1,0),0,MOD($A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CA67">
        <f>IF(AND(CROQUIS!$C$88=1,CROQUIS!$C$91=1,CROQUIS!$C$133&gt;0),((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8">
      <c r="A68" t="n">
        <v>61</v>
      </c>
      <c r="AJ68">
        <f>IF(AND(CROQUIS!$C$87=1,CROQUIS!$C$162&gt;0,CROQUIS!$C$164&gt;0),(CROQUIS!$C$160+((CROQUIS!$C$163+INT(MIN(INT(($A68-1)/2),MAX((2*CROQUIS!$C$162)-1,0))/2)*CROQUIS!$C$116+MOD(MIN(INT(($A68-1)/2),MAX((2*CROQUIS!$C$162)-1,0)),2)*CROQUIS!$C$114))*CROQUIS!$C$159),-1000)</f>
        <v>81.3375508359693</v>
      </c>
      <c r="AK68">
        <f>IF(AND(CROQUIS!$C$87=1,CROQUIS!$C$162&gt;0,CROQUIS!$C$164&gt;0),(CROQUIS!$C$161+(IF(MOD(MIN(INT(($A68-1)/2),MAX((2*CROQUIS!$C$162)-1,0)),2)=0,IF(IF(INT(($A68-1)/2)&gt;MAX((2*CROQUIS!$C$162)-1,0),1,MOD($A68-1,2))=0,CROQUIS!$C$165,(CROQUIS!$C$165+(CROQUIS!$C$164-1)*CROQUIS!$C$116+CROQUIS!$C$115)),IF(IF(INT(($A68-1)/2)&gt;MAX((2*CROQUIS!$C$162)-1,0),1,MOD($A68-1,2))=0,(CROQUIS!$C$165+(CROQUIS!$C$164-1)*CROQUIS!$C$116+CROQUIS!$C$115),CROQUIS!$C$165)))*CROQUIS!$C$159),-1000)</f>
        <v>20.8088567555355</v>
      </c>
      <c r="AL68">
        <f>IF(AND(CROQUIS!$C$87=1,CROQUIS!$C$164&gt;0,CROQUIS!$C$162&gt;0),(CROQUIS!$C$160+(IF(MOD(MIN(INT(($A68-1)/2),MAX((2*CROQUIS!$C$164)-1,0)),2)=0,IF(IF(INT(($A68-1)/2)&gt;MAX((2*CROQUIS!$C$164)-1,0),1,MOD($A68-1,2))=0,CROQUIS!$C$163,(CROQUIS!$C$163+(CROQUIS!$C$162-1)*CROQUIS!$C$116+CROQUIS!$C$114)),IF(IF(INT(($A68-1)/2)&gt;MAX((2*CROQUIS!$C$164)-1,0),1,MOD($A68-1,2))=0,(CROQUIS!$C$163+(CROQUIS!$C$162-1)*CROQUIS!$C$116+CROQUIS!$C$114),CROQUIS!$C$163)))*CROQUIS!$C$159),-1000)</f>
        <v>22.9552643470402</v>
      </c>
      <c r="AM68">
        <f>IF(AND(CROQUIS!$C$87=1,CROQUIS!$C$164&gt;0,CROQUIS!$C$162&gt;0),(CROQUIS!$C$161+((CROQUIS!$C$165+INT(MIN(INT(($A68-1)/2),MAX((2*CROQUIS!$C$164)-1,0))/2)*CROQUIS!$C$116+MOD(MIN(INT(($A68-1)/2),MAX((2*CROQUIS!$C$164)-1,0)),2)*CROQUIS!$C$115))*CROQUIS!$C$159),-1000)</f>
        <v>79.1911432444645</v>
      </c>
      <c r="BN68">
        <f>IF(AND(CROQUIS!$C$88=1,CROQUIS!$C$129&gt;0),((CROQUIS!$C$160+(IF(CROQUIS!$C$92="X",CHOOSE(IF(INT(($A68-1)/5)&gt;MAX((MAX(1,INT(((CROQUIS!$C$98)-CROQUIS!$C$107)/MAX((CROQUIS!$C$129*MAX(1,CEILING((INT(((CROQUIS!$C$98)-CROQUIS!$C$107)/MAX(CROQUIS!$C$129,1))+1)/80,1))),1))+1))-1,0),0,MOD($A68-1,5))+1,0,2,CROQUIS!$C$97-2,2,0),((CROQUIS!$C$107/2+(((CROQUIS!$C$98)-CROQUIS!$C$107)-(MAX(1,INT(((CROQUIS!$C$98)-CROQUIS!$C$107)/MAX((CROQUIS!$C$129*MAX(1,CEILING((INT(((CROQUIS!$C$98)-CROQUIS!$C$107)/MAX(CROQUIS!$C$129,1))+1)/80,1))),1))+1)-1)*(CROQUIS!$C$129*MAX(1,CEILING((INT(((CROQUIS!$C$98)-CROQUIS!$C$107)/MAX(CROQUIS!$C$129,1))+1)/80,1))))/2)+MIN(INT(($A68-1)/5),MAX((MAX(1,INT(((CROQUIS!$C$98)-CROQUIS!$C$107)/MAX((CROQUIS!$C$129*MAX(1,CEILING((INT(((CROQUIS!$C$98)-CROQUIS!$C$107)/MAX(CROQUIS!$C$129,1))+1)/80,1))),1))+1))-1,0))*(CROQUIS!$C$129*MAX(1,CEILING((INT(((CROQUIS!$C$98)-CROQUIS!$C$107)/MAX(CROQUIS!$C$129,1))+1)/80,1))))))*CROQUIS!$C$159)+IF(CROQUIS!$C$92="X",0,0)),-1000)</f>
        <v>-1000</v>
      </c>
      <c r="BO68">
        <f>IF(AND(CROQUIS!$C$88=1,CROQUIS!$C$129&gt;0),((CROQUIS!$C$161+(IF(CROQUIS!$C$92="X",((CROQUIS!$C$107/2+(((CROQUIS!$C$98)-CROQUIS!$C$107)-(MAX(1,INT(((CROQUIS!$C$98)-CROQUIS!$C$107)/MAX((CROQUIS!$C$129*MAX(1,CEILING((INT(((CROQUIS!$C$98)-CROQUIS!$C$107)/MAX(CROQUIS!$C$129,1))+1)/80,1))),1))+1)-1)*(CROQUIS!$C$129*MAX(1,CEILING((INT(((CROQUIS!$C$98)-CROQUIS!$C$107)/MAX(CROQUIS!$C$129,1))+1)/80,1))))/2)+MIN(INT(($A68-1)/5),MAX((MAX(1,INT(((CROQUIS!$C$98)-CROQUIS!$C$107)/MAX((CROQUIS!$C$129*MAX(1,CEILING((INT(((CROQUIS!$C$98)-CROQUIS!$C$107)/MAX(CROQUIS!$C$129,1))+1)/80,1))),1))+1))-1,0))*(CROQUIS!$C$129*MAX(1,CEILING((INT(((CROQUIS!$C$98)-CROQUIS!$C$107)/MAX(CROQUIS!$C$129,1))+1)/80,1)))),CHOOSE(IF(INT(($A68-1)/5)&gt;MAX((MAX(1,INT(((CROQUIS!$C$98)-CROQUIS!$C$107)/MAX((CROQUIS!$C$129*MAX(1,CEILING((INT(((CROQUIS!$C$98)-CROQUIS!$C$107)/MAX(CROQUIS!$C$129,1))+1)/80,1))),1))+1))-1,0),0,MOD($A68-1,5))+1,0,2,CROQUIS!$C$97-2,2,0)))*CROQUIS!$C$159)+IF(CROQUIS!$C$92="X",0,0)),-1000)</f>
        <v>-1000</v>
      </c>
      <c r="BP68">
        <f>IF(AND(CROQUIS!$C$88=1,CROQUIS!$C$137&gt;0),((CROQUIS!$C$160+(IF(CROQUIS!$C$92="X",((CROQUIS!$C$107/2+(((CROQUIS!$C$97)-CROQUIS!$C$107)-(MAX(1,INT(((CROQUIS!$C$97)-CROQUIS!$C$107)/MAX((CROQUIS!$C$137*MAX(1,CEILING((INT(((CROQUIS!$C$97)-CROQUIS!$C$107)/MAX(CROQUIS!$C$137,1))+1)/80,1))),1))+1)-1)*(CROQUIS!$C$137*MAX(1,CEILING((INT(((CROQUIS!$C$97)-CROQUIS!$C$107)/MAX(CROQUIS!$C$137,1))+1)/80,1))))/2)+MIN(INT(($A68-1)/5),MAX((MAX(1,INT(((CROQUIS!$C$97)-CROQUIS!$C$107)/MAX((CROQUIS!$C$137*MAX(1,CEILING((INT(((CROQUIS!$C$97)-CROQUIS!$C$107)/MAX(CROQUIS!$C$137,1))+1)/80,1))),1))+1))-1,0))*(CROQUIS!$C$137*MAX(1,CEILING((INT(((CROQUIS!$C$97)-CROQUIS!$C$107)/MAX(CROQUIS!$C$137,1))+1)/80,1)))),CHOOSE(IF(INT(($A68-1)/5)&gt;MAX((MAX(1,INT(((CROQUIS!$C$97)-CROQUIS!$C$107)/MAX((CROQUIS!$C$137*MAX(1,CEILING((INT(((CROQUIS!$C$97)-CROQUIS!$C$107)/MAX(CROQUIS!$C$137,1))+1)/80,1))),1))+1))-1,0),0,MOD($A68-1,5))+1,0,2,CROQUIS!$C$98-2,2,0)))*CROQUIS!$C$159)+IF(CROQUIS!$C$92="X",0,0)),-1000)</f>
        <v>-1000</v>
      </c>
      <c r="BQ68">
        <f>IF(AND(CROQUIS!$C$88=1,CROQUIS!$C$137&gt;0),((CROQUIS!$C$161+(IF(CROQUIS!$C$92="X",CHOOSE(IF(INT(($A68-1)/5)&gt;MAX((MAX(1,INT(((CROQUIS!$C$97)-CROQUIS!$C$107)/MAX((CROQUIS!$C$137*MAX(1,CEILING((INT(((CROQUIS!$C$97)-CROQUIS!$C$107)/MAX(CROQUIS!$C$137,1))+1)/80,1))),1))+1))-1,0),0,MOD($A68-1,5))+1,0,2,CROQUIS!$C$98-2,2,0),((CROQUIS!$C$107/2+(((CROQUIS!$C$97)-CROQUIS!$C$107)-(MAX(1,INT(((CROQUIS!$C$97)-CROQUIS!$C$107)/MAX((CROQUIS!$C$137*MAX(1,CEILING((INT(((CROQUIS!$C$97)-CROQUIS!$C$107)/MAX(CROQUIS!$C$137,1))+1)/80,1))),1))+1)-1)*(CROQUIS!$C$137*MAX(1,CEILING((INT(((CROQUIS!$C$97)-CROQUIS!$C$107)/MAX(CROQUIS!$C$137,1))+1)/80,1))))/2)+MIN(INT(($A68-1)/5),MAX((MAX(1,INT(((CROQUIS!$C$97)-CROQUIS!$C$107)/MAX((CROQUIS!$C$137*MAX(1,CEILING((INT(((CROQUIS!$C$97)-CROQUIS!$C$107)/MAX(CROQUIS!$C$137,1))+1)/80,1))),1))+1))-1,0))*(CROQUIS!$C$137*MAX(1,CEILING((INT(((CROQUIS!$C$97)-CROQUIS!$C$107)/MAX(CROQUIS!$C$137,1))+1)/80,1))))))*CROQUIS!$C$159)+IF(CROQUIS!$C$92="X",0,0)),-1000)</f>
        <v>-1000</v>
      </c>
      <c r="BR68">
        <f>IF(AND(CROQUIS!$C$88=1,CROQUIS!$C$91=0,CROQUIS!$C$133&gt;0,OR(CROQUIS!$C$103=1,CROQUIS!$C$145=1)),((CROQUIS!$C$160+(IF(CROQUIS!$C$92="X",CHOOSE(IF(INT(($A68-1)/5)&gt;MAX((MAX(1,INT(((CROQUIS!$C$98)-CROQUIS!$C$107)/MAX((CROQUIS!$C$133*MAX(1,CEILING((INT(((CROQUIS!$C$98)-CROQUIS!$C$107)/MAX(CROQUIS!$C$133,1))+1)/80,1))),1))+1))-1,0),0,MOD($A68-1,5))+1,0,IF(CROQUIS!$C$103=1,-12,2),CROQUIS!$C$107/2+CROQUIS!$C$143,IF(CROQUIS!$C$103=1,-12,2),0),((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BS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+1,0,IF(CROQUIS!$C$103=1,-12,2),CROQUIS!$C$107/2+CROQUIS!$C$143,IF(CROQUIS!$C$103=1,-12,2),0)))*CROQUIS!$C$159)+IF(CROQUIS!$C$92="X",0.8,0)),-1000)</f>
        <v>-1000</v>
      </c>
      <c r="BT68">
        <f>IF(AND(CROQUIS!$C$88=1,CROQUIS!$C$91=0,CROQUIS!$C$133&gt;0,OR(CROQUIS!$C$104=1,CROQUIS!$C$145=1)),((CROQUIS!$C$160+(IF(CROQUIS!$C$92="X",CHOOSE(IF(INT(($A68-1)/5)&gt;MAX((MAX(1,INT(((CROQUIS!$C$98)-CROQUIS!$C$107)/MAX((CROQUIS!$C$133*MAX(1,CEILING((INT(((CROQUIS!$C$98)-CROQUIS!$C$107)/MAX(CROQUIS!$C$133,1))+1)/80,1))),1))+1))-1,0),0,MOD($A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BU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CROQUIS!$C$97,CROQUIS!$C$97-CROQUIS!$C$107/2-CROQUIS!$C$143,IF(CROQUIS!$C$104=1,CROQUIS!$C$97+12,CROQUIS!$C$97-2),CROQUIS!$C$97-CROQUIS!$C$107/2-CROQUIS!$C$143,CROQUIS!$C$97)))*CROQUIS!$C$159)+IF(CROQUIS!$C$92="X",0.8,0)),-1000)</f>
        <v>-1000</v>
      </c>
      <c r="BV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HOOSE(IF(INT(($A68-1)/5)&gt;MAX((MAX(1,INT(((CROQUIS!$C$97)-CROQUIS!$C$107)/MAX((CROQUIS!$C$141*MAX(1,CEILING((INT(((CROQUIS!$C$97)-CROQUIS!$C$107)/MAX(CROQUIS!$C$141,1))+1)/80,1))),1))+1))-1,0),0,MOD($A68-1,5))+1,0,IF(CROQUIS!$C$105=1,-12,2),CROQUIS!$C$107/2+CROQUIS!$C$144,IF(CROQUIS!$C$105=1,-12,2),0)))*CROQUIS!$C$159)+IF(CROQUIS!$C$92="X",0.8,0)),-1000)</f>
        <v>-1000</v>
      </c>
      <c r="BW68">
        <f>IF(AND(CROQUIS!$C$88=1,CROQUIS!$C$91=0,CROQUIS!$C$141&gt;0,OR(CROQUIS!$C$105=1,CROQUIS!$C$146=1)),((CROQUIS!$C$161+(IF(CROQUIS!$C$92="X",CHOOSE(IF(INT(($A68-1)/5)&gt;MAX((MAX(1,INT(((CROQUIS!$C$97)-CROQUIS!$C$107)/MAX((CROQUIS!$C$141*MAX(1,CEILING((INT(((CROQUIS!$C$97)-CROQUIS!$C$107)/MAX(CROQUIS!$C$141,1))+1)/80,1))),1))+1))-1,0),0,MOD($A68-1,5))+1,0,IF(CROQUIS!$C$105=1,-12,2),CROQUIS!$C$107/2+CROQUIS!$C$144,IF(CROQUIS!$C$105=1,-12,2),0),((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ROQUIS!$C$159)+IF(CROQUIS!$C$92="X",0,0.8)),-1000)</f>
        <v>-1000</v>
      </c>
      <c r="BX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HOOSE(IF(INT(($A68-1)/5)&gt;MAX((MAX(1,INT(((CROQUIS!$C$97)-CROQUIS!$C$107)/MAX((CROQUIS!$C$141*MAX(1,CEILING((INT(((CROQUIS!$C$97)-CROQUIS!$C$107)/MAX(CROQUIS!$C$141,1))+1)/80,1))),1))+1))-1,0),0,MOD($A68-1,5))+1,CROQUIS!$C$98,CROQUIS!$C$98-CROQUIS!$C$107/2-CROQUIS!$C$144,IF(CROQUIS!$C$106=1,CROQUIS!$C$98+12,CROQUIS!$C$98-2),CROQUIS!$C$98-CROQUIS!$C$107/2-CROQUIS!$C$144,CROQUIS!$C$98)))*CROQUIS!$C$159)+IF(CROQUIS!$C$92="X",0.8,0)),-1000)</f>
        <v>-1000</v>
      </c>
      <c r="BY68">
        <f>IF(AND(CROQUIS!$C$88=1,CROQUIS!$C$91=0,CROQUIS!$C$141&gt;0,OR(CROQUIS!$C$106=1,CROQUIS!$C$146=1)),((CROQUIS!$C$161+(IF(CROQUIS!$C$92="X",CHOOSE(IF(INT(($A68-1)/5)&gt;MAX((MAX(1,INT(((CROQUIS!$C$97)-CROQUIS!$C$107)/MAX((CROQUIS!$C$141*MAX(1,CEILING((INT(((CROQUIS!$C$97)-CROQUIS!$C$107)/MAX(CROQUIS!$C$141,1))+1)/80,1))),1))+1))-1,0),0,MOD($A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ROQUIS!$C$159)+IF(CROQUIS!$C$92="X",0,0.8)),-1000)</f>
        <v>-1000</v>
      </c>
      <c r="BZ68">
        <f>IF(AND(CROQUIS!$C$88=1,CROQUIS!$C$91=1,CROQUIS!$C$133&gt;0),((CROQUIS!$C$160+(IF(CROQUIS!$C$92="X",CHOOSE(IF(INT(($A68-1)/5)&gt;MAX((MAX(1,INT(((CROQUIS!$C$98)-CROQUIS!$C$107)/MAX((CROQUIS!$C$133*MAX(1,CEILING((INT(((CROQUIS!$C$98)-CROQUIS!$C$107)/MAX(CROQUIS!$C$133,1))+1)/80,1))),1))+1))-1,0),0,MOD($A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CA68">
        <f>IF(AND(CROQUIS!$C$88=1,CROQUIS!$C$91=1,CROQUIS!$C$133&gt;0),((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9">
      <c r="A69" t="n">
        <v>62</v>
      </c>
      <c r="AJ69">
        <f>IF(AND(CROQUIS!$C$87=1,CROQUIS!$C$162&gt;0,CROQUIS!$C$164&gt;0),(CROQUIS!$C$160+((CROQUIS!$C$163+INT(MIN(INT(($A69-1)/2),MAX((2*CROQUIS!$C$162)-1,0))/2)*CROQUIS!$C$116+MOD(MIN(INT(($A69-1)/2),MAX((2*CROQUIS!$C$162)-1,0)),2)*CROQUIS!$C$114))*CROQUIS!$C$159),-1000)</f>
        <v>81.3375508359693</v>
      </c>
      <c r="AK69">
        <f>IF(AND(CROQUIS!$C$87=1,CROQUIS!$C$162&gt;0,CROQUIS!$C$164&gt;0),(CROQUIS!$C$161+(IF(MOD(MIN(INT(($A69-1)/2),MAX((2*CROQUIS!$C$162)-1,0)),2)=0,IF(IF(INT(($A69-1)/2)&gt;MAX((2*CROQUIS!$C$162)-1,0),1,MOD($A69-1,2))=0,CROQUIS!$C$165,(CROQUIS!$C$165+(CROQUIS!$C$164-1)*CROQUIS!$C$116+CROQUIS!$C$115)),IF(IF(INT(($A69-1)/2)&gt;MAX((2*CROQUIS!$C$162)-1,0),1,MOD($A69-1,2))=0,(CROQUIS!$C$165+(CROQUIS!$C$164-1)*CROQUIS!$C$116+CROQUIS!$C$115),CROQUIS!$C$165)))*CROQUIS!$C$159),-1000)</f>
        <v>20.8088567555355</v>
      </c>
      <c r="AL69">
        <f>IF(AND(CROQUIS!$C$87=1,CROQUIS!$C$164&gt;0,CROQUIS!$C$162&gt;0),(CROQUIS!$C$160+(IF(MOD(MIN(INT(($A69-1)/2),MAX((2*CROQUIS!$C$164)-1,0)),2)=0,IF(IF(INT(($A69-1)/2)&gt;MAX((2*CROQUIS!$C$164)-1,0),1,MOD($A69-1,2))=0,CROQUIS!$C$163,(CROQUIS!$C$163+(CROQUIS!$C$162-1)*CROQUIS!$C$116+CROQUIS!$C$114)),IF(IF(INT(($A69-1)/2)&gt;MAX((2*CROQUIS!$C$164)-1,0),1,MOD($A69-1,2))=0,(CROQUIS!$C$163+(CROQUIS!$C$162-1)*CROQUIS!$C$116+CROQUIS!$C$114),CROQUIS!$C$163)))*CROQUIS!$C$159),-1000)</f>
        <v>22.9552643470402</v>
      </c>
      <c r="AM69">
        <f>IF(AND(CROQUIS!$C$87=1,CROQUIS!$C$164&gt;0,CROQUIS!$C$162&gt;0),(CROQUIS!$C$161+((CROQUIS!$C$165+INT(MIN(INT(($A69-1)/2),MAX((2*CROQUIS!$C$164)-1,0))/2)*CROQUIS!$C$116+MOD(MIN(INT(($A69-1)/2),MAX((2*CROQUIS!$C$164)-1,0)),2)*CROQUIS!$C$115))*CROQUIS!$C$159),-1000)</f>
        <v>79.1911432444645</v>
      </c>
      <c r="BN69">
        <f>IF(AND(CROQUIS!$C$88=1,CROQUIS!$C$129&gt;0),((CROQUIS!$C$160+(IF(CROQUIS!$C$92="X",CHOOSE(IF(INT(($A69-1)/5)&gt;MAX((MAX(1,INT(((CROQUIS!$C$98)-CROQUIS!$C$107)/MAX((CROQUIS!$C$129*MAX(1,CEILING((INT(((CROQUIS!$C$98)-CROQUIS!$C$107)/MAX(CROQUIS!$C$129,1))+1)/80,1))),1))+1))-1,0),0,MOD($A69-1,5))+1,0,2,CROQUIS!$C$97-2,2,0),((CROQUIS!$C$107/2+(((CROQUIS!$C$98)-CROQUIS!$C$107)-(MAX(1,INT(((CROQUIS!$C$98)-CROQUIS!$C$107)/MAX((CROQUIS!$C$129*MAX(1,CEILING((INT(((CROQUIS!$C$98)-CROQUIS!$C$107)/MAX(CROQUIS!$C$129,1))+1)/80,1))),1))+1)-1)*(CROQUIS!$C$129*MAX(1,CEILING((INT(((CROQUIS!$C$98)-CROQUIS!$C$107)/MAX(CROQUIS!$C$129,1))+1)/80,1))))/2)+MIN(INT(($A69-1)/5),MAX((MAX(1,INT(((CROQUIS!$C$98)-CROQUIS!$C$107)/MAX((CROQUIS!$C$129*MAX(1,CEILING((INT(((CROQUIS!$C$98)-CROQUIS!$C$107)/MAX(CROQUIS!$C$129,1))+1)/80,1))),1))+1))-1,0))*(CROQUIS!$C$129*MAX(1,CEILING((INT(((CROQUIS!$C$98)-CROQUIS!$C$107)/MAX(CROQUIS!$C$129,1))+1)/80,1))))))*CROQUIS!$C$159)+IF(CROQUIS!$C$92="X",0,0)),-1000)</f>
        <v>-1000</v>
      </c>
      <c r="BO69">
        <f>IF(AND(CROQUIS!$C$88=1,CROQUIS!$C$129&gt;0),((CROQUIS!$C$161+(IF(CROQUIS!$C$92="X",((CROQUIS!$C$107/2+(((CROQUIS!$C$98)-CROQUIS!$C$107)-(MAX(1,INT(((CROQUIS!$C$98)-CROQUIS!$C$107)/MAX((CROQUIS!$C$129*MAX(1,CEILING((INT(((CROQUIS!$C$98)-CROQUIS!$C$107)/MAX(CROQUIS!$C$129,1))+1)/80,1))),1))+1)-1)*(CROQUIS!$C$129*MAX(1,CEILING((INT(((CROQUIS!$C$98)-CROQUIS!$C$107)/MAX(CROQUIS!$C$129,1))+1)/80,1))))/2)+MIN(INT(($A69-1)/5),MAX((MAX(1,INT(((CROQUIS!$C$98)-CROQUIS!$C$107)/MAX((CROQUIS!$C$129*MAX(1,CEILING((INT(((CROQUIS!$C$98)-CROQUIS!$C$107)/MAX(CROQUIS!$C$129,1))+1)/80,1))),1))+1))-1,0))*(CROQUIS!$C$129*MAX(1,CEILING((INT(((CROQUIS!$C$98)-CROQUIS!$C$107)/MAX(CROQUIS!$C$129,1))+1)/80,1)))),CHOOSE(IF(INT(($A69-1)/5)&gt;MAX((MAX(1,INT(((CROQUIS!$C$98)-CROQUIS!$C$107)/MAX((CROQUIS!$C$129*MAX(1,CEILING((INT(((CROQUIS!$C$98)-CROQUIS!$C$107)/MAX(CROQUIS!$C$129,1))+1)/80,1))),1))+1))-1,0),0,MOD($A69-1,5))+1,0,2,CROQUIS!$C$97-2,2,0)))*CROQUIS!$C$159)+IF(CROQUIS!$C$92="X",0,0)),-1000)</f>
        <v>-1000</v>
      </c>
      <c r="BP69">
        <f>IF(AND(CROQUIS!$C$88=1,CROQUIS!$C$137&gt;0),((CROQUIS!$C$160+(IF(CROQUIS!$C$92="X",((CROQUIS!$C$107/2+(((CROQUIS!$C$97)-CROQUIS!$C$107)-(MAX(1,INT(((CROQUIS!$C$97)-CROQUIS!$C$107)/MAX((CROQUIS!$C$137*MAX(1,CEILING((INT(((CROQUIS!$C$97)-CROQUIS!$C$107)/MAX(CROQUIS!$C$137,1))+1)/80,1))),1))+1)-1)*(CROQUIS!$C$137*MAX(1,CEILING((INT(((CROQUIS!$C$97)-CROQUIS!$C$107)/MAX(CROQUIS!$C$137,1))+1)/80,1))))/2)+MIN(INT(($A69-1)/5),MAX((MAX(1,INT(((CROQUIS!$C$97)-CROQUIS!$C$107)/MAX((CROQUIS!$C$137*MAX(1,CEILING((INT(((CROQUIS!$C$97)-CROQUIS!$C$107)/MAX(CROQUIS!$C$137,1))+1)/80,1))),1))+1))-1,0))*(CROQUIS!$C$137*MAX(1,CEILING((INT(((CROQUIS!$C$97)-CROQUIS!$C$107)/MAX(CROQUIS!$C$137,1))+1)/80,1)))),CHOOSE(IF(INT(($A69-1)/5)&gt;MAX((MAX(1,INT(((CROQUIS!$C$97)-CROQUIS!$C$107)/MAX((CROQUIS!$C$137*MAX(1,CEILING((INT(((CROQUIS!$C$97)-CROQUIS!$C$107)/MAX(CROQUIS!$C$137,1))+1)/80,1))),1))+1))-1,0),0,MOD($A69-1,5))+1,0,2,CROQUIS!$C$98-2,2,0)))*CROQUIS!$C$159)+IF(CROQUIS!$C$92="X",0,0)),-1000)</f>
        <v>-1000</v>
      </c>
      <c r="BQ69">
        <f>IF(AND(CROQUIS!$C$88=1,CROQUIS!$C$137&gt;0),((CROQUIS!$C$161+(IF(CROQUIS!$C$92="X",CHOOSE(IF(INT(($A69-1)/5)&gt;MAX((MAX(1,INT(((CROQUIS!$C$97)-CROQUIS!$C$107)/MAX((CROQUIS!$C$137*MAX(1,CEILING((INT(((CROQUIS!$C$97)-CROQUIS!$C$107)/MAX(CROQUIS!$C$137,1))+1)/80,1))),1))+1))-1,0),0,MOD($A69-1,5))+1,0,2,CROQUIS!$C$98-2,2,0),((CROQUIS!$C$107/2+(((CROQUIS!$C$97)-CROQUIS!$C$107)-(MAX(1,INT(((CROQUIS!$C$97)-CROQUIS!$C$107)/MAX((CROQUIS!$C$137*MAX(1,CEILING((INT(((CROQUIS!$C$97)-CROQUIS!$C$107)/MAX(CROQUIS!$C$137,1))+1)/80,1))),1))+1)-1)*(CROQUIS!$C$137*MAX(1,CEILING((INT(((CROQUIS!$C$97)-CROQUIS!$C$107)/MAX(CROQUIS!$C$137,1))+1)/80,1))))/2)+MIN(INT(($A69-1)/5),MAX((MAX(1,INT(((CROQUIS!$C$97)-CROQUIS!$C$107)/MAX((CROQUIS!$C$137*MAX(1,CEILING((INT(((CROQUIS!$C$97)-CROQUIS!$C$107)/MAX(CROQUIS!$C$137,1))+1)/80,1))),1))+1))-1,0))*(CROQUIS!$C$137*MAX(1,CEILING((INT(((CROQUIS!$C$97)-CROQUIS!$C$107)/MAX(CROQUIS!$C$137,1))+1)/80,1))))))*CROQUIS!$C$159)+IF(CROQUIS!$C$92="X",0,0)),-1000)</f>
        <v>-1000</v>
      </c>
      <c r="BR69">
        <f>IF(AND(CROQUIS!$C$88=1,CROQUIS!$C$91=0,CROQUIS!$C$133&gt;0,OR(CROQUIS!$C$103=1,CROQUIS!$C$145=1)),((CROQUIS!$C$160+(IF(CROQUIS!$C$92="X",CHOOSE(IF(INT(($A69-1)/5)&gt;MAX((MAX(1,INT(((CROQUIS!$C$98)-CROQUIS!$C$107)/MAX((CROQUIS!$C$133*MAX(1,CEILING((INT(((CROQUIS!$C$98)-CROQUIS!$C$107)/MAX(CROQUIS!$C$133,1))+1)/80,1))),1))+1))-1,0),0,MOD($A69-1,5))+1,0,IF(CROQUIS!$C$103=1,-12,2),CROQUIS!$C$107/2+CROQUIS!$C$143,IF(CROQUIS!$C$103=1,-12,2),0),((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BS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+1,0,IF(CROQUIS!$C$103=1,-12,2),CROQUIS!$C$107/2+CROQUIS!$C$143,IF(CROQUIS!$C$103=1,-12,2),0)))*CROQUIS!$C$159)+IF(CROQUIS!$C$92="X",0.8,0)),-1000)</f>
        <v>-1000</v>
      </c>
      <c r="BT69">
        <f>IF(AND(CROQUIS!$C$88=1,CROQUIS!$C$91=0,CROQUIS!$C$133&gt;0,OR(CROQUIS!$C$104=1,CROQUIS!$C$145=1)),((CROQUIS!$C$160+(IF(CROQUIS!$C$92="X",CHOOSE(IF(INT(($A69-1)/5)&gt;MAX((MAX(1,INT(((CROQUIS!$C$98)-CROQUIS!$C$107)/MAX((CROQUIS!$C$133*MAX(1,CEILING((INT(((CROQUIS!$C$98)-CROQUIS!$C$107)/MAX(CROQUIS!$C$133,1))+1)/80,1))),1))+1))-1,0),0,MOD($A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BU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CROQUIS!$C$97,CROQUIS!$C$97-CROQUIS!$C$107/2-CROQUIS!$C$143,IF(CROQUIS!$C$104=1,CROQUIS!$C$97+12,CROQUIS!$C$97-2),CROQUIS!$C$97-CROQUIS!$C$107/2-CROQUIS!$C$143,CROQUIS!$C$97)))*CROQUIS!$C$159)+IF(CROQUIS!$C$92="X",0.8,0)),-1000)</f>
        <v>-1000</v>
      </c>
      <c r="BV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HOOSE(IF(INT(($A69-1)/5)&gt;MAX((MAX(1,INT(((CROQUIS!$C$97)-CROQUIS!$C$107)/MAX((CROQUIS!$C$141*MAX(1,CEILING((INT(((CROQUIS!$C$97)-CROQUIS!$C$107)/MAX(CROQUIS!$C$141,1))+1)/80,1))),1))+1))-1,0),0,MOD($A69-1,5))+1,0,IF(CROQUIS!$C$105=1,-12,2),CROQUIS!$C$107/2+CROQUIS!$C$144,IF(CROQUIS!$C$105=1,-12,2),0)))*CROQUIS!$C$159)+IF(CROQUIS!$C$92="X",0.8,0)),-1000)</f>
        <v>-1000</v>
      </c>
      <c r="BW69">
        <f>IF(AND(CROQUIS!$C$88=1,CROQUIS!$C$91=0,CROQUIS!$C$141&gt;0,OR(CROQUIS!$C$105=1,CROQUIS!$C$146=1)),((CROQUIS!$C$161+(IF(CROQUIS!$C$92="X",CHOOSE(IF(INT(($A69-1)/5)&gt;MAX((MAX(1,INT(((CROQUIS!$C$97)-CROQUIS!$C$107)/MAX((CROQUIS!$C$141*MAX(1,CEILING((INT(((CROQUIS!$C$97)-CROQUIS!$C$107)/MAX(CROQUIS!$C$141,1))+1)/80,1))),1))+1))-1,0),0,MOD($A69-1,5))+1,0,IF(CROQUIS!$C$105=1,-12,2),CROQUIS!$C$107/2+CROQUIS!$C$144,IF(CROQUIS!$C$105=1,-12,2),0),((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ROQUIS!$C$159)+IF(CROQUIS!$C$92="X",0,0.8)),-1000)</f>
        <v>-1000</v>
      </c>
      <c r="BX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HOOSE(IF(INT(($A69-1)/5)&gt;MAX((MAX(1,INT(((CROQUIS!$C$97)-CROQUIS!$C$107)/MAX((CROQUIS!$C$141*MAX(1,CEILING((INT(((CROQUIS!$C$97)-CROQUIS!$C$107)/MAX(CROQUIS!$C$141,1))+1)/80,1))),1))+1))-1,0),0,MOD($A69-1,5))+1,CROQUIS!$C$98,CROQUIS!$C$98-CROQUIS!$C$107/2-CROQUIS!$C$144,IF(CROQUIS!$C$106=1,CROQUIS!$C$98+12,CROQUIS!$C$98-2),CROQUIS!$C$98-CROQUIS!$C$107/2-CROQUIS!$C$144,CROQUIS!$C$98)))*CROQUIS!$C$159)+IF(CROQUIS!$C$92="X",0.8,0)),-1000)</f>
        <v>-1000</v>
      </c>
      <c r="BY69">
        <f>IF(AND(CROQUIS!$C$88=1,CROQUIS!$C$91=0,CROQUIS!$C$141&gt;0,OR(CROQUIS!$C$106=1,CROQUIS!$C$146=1)),((CROQUIS!$C$161+(IF(CROQUIS!$C$92="X",CHOOSE(IF(INT(($A69-1)/5)&gt;MAX((MAX(1,INT(((CROQUIS!$C$97)-CROQUIS!$C$107)/MAX((CROQUIS!$C$141*MAX(1,CEILING((INT(((CROQUIS!$C$97)-CROQUIS!$C$107)/MAX(CROQUIS!$C$141,1))+1)/80,1))),1))+1))-1,0),0,MOD($A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ROQUIS!$C$159)+IF(CROQUIS!$C$92="X",0,0.8)),-1000)</f>
        <v>-1000</v>
      </c>
      <c r="BZ69">
        <f>IF(AND(CROQUIS!$C$88=1,CROQUIS!$C$91=1,CROQUIS!$C$133&gt;0),((CROQUIS!$C$160+(IF(CROQUIS!$C$92="X",CHOOSE(IF(INT(($A69-1)/5)&gt;MAX((MAX(1,INT(((CROQUIS!$C$98)-CROQUIS!$C$107)/MAX((CROQUIS!$C$133*MAX(1,CEILING((INT(((CROQUIS!$C$98)-CROQUIS!$C$107)/MAX(CROQUIS!$C$133,1))+1)/80,1))),1))+1))-1,0),0,MOD($A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CA69">
        <f>IF(AND(CROQUIS!$C$88=1,CROQUIS!$C$91=1,CROQUIS!$C$133&gt;0),((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0">
      <c r="A70" t="n">
        <v>63</v>
      </c>
      <c r="AJ70">
        <f>IF(AND(CROQUIS!$C$87=1,CROQUIS!$C$162&gt;0,CROQUIS!$C$164&gt;0),(CROQUIS!$C$160+((CROQUIS!$C$163+INT(MIN(INT(($A70-1)/2),MAX((2*CROQUIS!$C$162)-1,0))/2)*CROQUIS!$C$116+MOD(MIN(INT(($A70-1)/2),MAX((2*CROQUIS!$C$162)-1,0)),2)*CROQUIS!$C$114))*CROQUIS!$C$159),-1000)</f>
        <v>81.3375508359693</v>
      </c>
      <c r="AK70">
        <f>IF(AND(CROQUIS!$C$87=1,CROQUIS!$C$162&gt;0,CROQUIS!$C$164&gt;0),(CROQUIS!$C$161+(IF(MOD(MIN(INT(($A70-1)/2),MAX((2*CROQUIS!$C$162)-1,0)),2)=0,IF(IF(INT(($A70-1)/2)&gt;MAX((2*CROQUIS!$C$162)-1,0),1,MOD($A70-1,2))=0,CROQUIS!$C$165,(CROQUIS!$C$165+(CROQUIS!$C$164-1)*CROQUIS!$C$116+CROQUIS!$C$115)),IF(IF(INT(($A70-1)/2)&gt;MAX((2*CROQUIS!$C$162)-1,0),1,MOD($A70-1,2))=0,(CROQUIS!$C$165+(CROQUIS!$C$164-1)*CROQUIS!$C$116+CROQUIS!$C$115),CROQUIS!$C$165)))*CROQUIS!$C$159),-1000)</f>
        <v>20.8088567555355</v>
      </c>
      <c r="AL70">
        <f>IF(AND(CROQUIS!$C$87=1,CROQUIS!$C$164&gt;0,CROQUIS!$C$162&gt;0),(CROQUIS!$C$160+(IF(MOD(MIN(INT(($A70-1)/2),MAX((2*CROQUIS!$C$164)-1,0)),2)=0,IF(IF(INT(($A70-1)/2)&gt;MAX((2*CROQUIS!$C$164)-1,0),1,MOD($A70-1,2))=0,CROQUIS!$C$163,(CROQUIS!$C$163+(CROQUIS!$C$162-1)*CROQUIS!$C$116+CROQUIS!$C$114)),IF(IF(INT(($A70-1)/2)&gt;MAX((2*CROQUIS!$C$164)-1,0),1,MOD($A70-1,2))=0,(CROQUIS!$C$163+(CROQUIS!$C$162-1)*CROQUIS!$C$116+CROQUIS!$C$114),CROQUIS!$C$163)))*CROQUIS!$C$159),-1000)</f>
        <v>22.9552643470402</v>
      </c>
      <c r="AM70">
        <f>IF(AND(CROQUIS!$C$87=1,CROQUIS!$C$164&gt;0,CROQUIS!$C$162&gt;0),(CROQUIS!$C$161+((CROQUIS!$C$165+INT(MIN(INT(($A70-1)/2),MAX((2*CROQUIS!$C$164)-1,0))/2)*CROQUIS!$C$116+MOD(MIN(INT(($A70-1)/2),MAX((2*CROQUIS!$C$164)-1,0)),2)*CROQUIS!$C$115))*CROQUIS!$C$159),-1000)</f>
        <v>79.1911432444645</v>
      </c>
      <c r="BN70">
        <f>IF(AND(CROQUIS!$C$88=1,CROQUIS!$C$129&gt;0),((CROQUIS!$C$160+(IF(CROQUIS!$C$92="X",CHOOSE(IF(INT(($A70-1)/5)&gt;MAX((MAX(1,INT(((CROQUIS!$C$98)-CROQUIS!$C$107)/MAX((CROQUIS!$C$129*MAX(1,CEILING((INT(((CROQUIS!$C$98)-CROQUIS!$C$107)/MAX(CROQUIS!$C$129,1))+1)/80,1))),1))+1))-1,0),0,MOD($A70-1,5))+1,0,2,CROQUIS!$C$97-2,2,0),((CROQUIS!$C$107/2+(((CROQUIS!$C$98)-CROQUIS!$C$107)-(MAX(1,INT(((CROQUIS!$C$98)-CROQUIS!$C$107)/MAX((CROQUIS!$C$129*MAX(1,CEILING((INT(((CROQUIS!$C$98)-CROQUIS!$C$107)/MAX(CROQUIS!$C$129,1))+1)/80,1))),1))+1)-1)*(CROQUIS!$C$129*MAX(1,CEILING((INT(((CROQUIS!$C$98)-CROQUIS!$C$107)/MAX(CROQUIS!$C$129,1))+1)/80,1))))/2)+MIN(INT(($A70-1)/5),MAX((MAX(1,INT(((CROQUIS!$C$98)-CROQUIS!$C$107)/MAX((CROQUIS!$C$129*MAX(1,CEILING((INT(((CROQUIS!$C$98)-CROQUIS!$C$107)/MAX(CROQUIS!$C$129,1))+1)/80,1))),1))+1))-1,0))*(CROQUIS!$C$129*MAX(1,CEILING((INT(((CROQUIS!$C$98)-CROQUIS!$C$107)/MAX(CROQUIS!$C$129,1))+1)/80,1))))))*CROQUIS!$C$159)+IF(CROQUIS!$C$92="X",0,0)),-1000)</f>
        <v>-1000</v>
      </c>
      <c r="BO70">
        <f>IF(AND(CROQUIS!$C$88=1,CROQUIS!$C$129&gt;0),((CROQUIS!$C$161+(IF(CROQUIS!$C$92="X",((CROQUIS!$C$107/2+(((CROQUIS!$C$98)-CROQUIS!$C$107)-(MAX(1,INT(((CROQUIS!$C$98)-CROQUIS!$C$107)/MAX((CROQUIS!$C$129*MAX(1,CEILING((INT(((CROQUIS!$C$98)-CROQUIS!$C$107)/MAX(CROQUIS!$C$129,1))+1)/80,1))),1))+1)-1)*(CROQUIS!$C$129*MAX(1,CEILING((INT(((CROQUIS!$C$98)-CROQUIS!$C$107)/MAX(CROQUIS!$C$129,1))+1)/80,1))))/2)+MIN(INT(($A70-1)/5),MAX((MAX(1,INT(((CROQUIS!$C$98)-CROQUIS!$C$107)/MAX((CROQUIS!$C$129*MAX(1,CEILING((INT(((CROQUIS!$C$98)-CROQUIS!$C$107)/MAX(CROQUIS!$C$129,1))+1)/80,1))),1))+1))-1,0))*(CROQUIS!$C$129*MAX(1,CEILING((INT(((CROQUIS!$C$98)-CROQUIS!$C$107)/MAX(CROQUIS!$C$129,1))+1)/80,1)))),CHOOSE(IF(INT(($A70-1)/5)&gt;MAX((MAX(1,INT(((CROQUIS!$C$98)-CROQUIS!$C$107)/MAX((CROQUIS!$C$129*MAX(1,CEILING((INT(((CROQUIS!$C$98)-CROQUIS!$C$107)/MAX(CROQUIS!$C$129,1))+1)/80,1))),1))+1))-1,0),0,MOD($A70-1,5))+1,0,2,CROQUIS!$C$97-2,2,0)))*CROQUIS!$C$159)+IF(CROQUIS!$C$92="X",0,0)),-1000)</f>
        <v>-1000</v>
      </c>
      <c r="BP70">
        <f>IF(AND(CROQUIS!$C$88=1,CROQUIS!$C$137&gt;0),((CROQUIS!$C$160+(IF(CROQUIS!$C$92="X",((CROQUIS!$C$107/2+(((CROQUIS!$C$97)-CROQUIS!$C$107)-(MAX(1,INT(((CROQUIS!$C$97)-CROQUIS!$C$107)/MAX((CROQUIS!$C$137*MAX(1,CEILING((INT(((CROQUIS!$C$97)-CROQUIS!$C$107)/MAX(CROQUIS!$C$137,1))+1)/80,1))),1))+1)-1)*(CROQUIS!$C$137*MAX(1,CEILING((INT(((CROQUIS!$C$97)-CROQUIS!$C$107)/MAX(CROQUIS!$C$137,1))+1)/80,1))))/2)+MIN(INT(($A70-1)/5),MAX((MAX(1,INT(((CROQUIS!$C$97)-CROQUIS!$C$107)/MAX((CROQUIS!$C$137*MAX(1,CEILING((INT(((CROQUIS!$C$97)-CROQUIS!$C$107)/MAX(CROQUIS!$C$137,1))+1)/80,1))),1))+1))-1,0))*(CROQUIS!$C$137*MAX(1,CEILING((INT(((CROQUIS!$C$97)-CROQUIS!$C$107)/MAX(CROQUIS!$C$137,1))+1)/80,1)))),CHOOSE(IF(INT(($A70-1)/5)&gt;MAX((MAX(1,INT(((CROQUIS!$C$97)-CROQUIS!$C$107)/MAX((CROQUIS!$C$137*MAX(1,CEILING((INT(((CROQUIS!$C$97)-CROQUIS!$C$107)/MAX(CROQUIS!$C$137,1))+1)/80,1))),1))+1))-1,0),0,MOD($A70-1,5))+1,0,2,CROQUIS!$C$98-2,2,0)))*CROQUIS!$C$159)+IF(CROQUIS!$C$92="X",0,0)),-1000)</f>
        <v>-1000</v>
      </c>
      <c r="BQ70">
        <f>IF(AND(CROQUIS!$C$88=1,CROQUIS!$C$137&gt;0),((CROQUIS!$C$161+(IF(CROQUIS!$C$92="X",CHOOSE(IF(INT(($A70-1)/5)&gt;MAX((MAX(1,INT(((CROQUIS!$C$97)-CROQUIS!$C$107)/MAX((CROQUIS!$C$137*MAX(1,CEILING((INT(((CROQUIS!$C$97)-CROQUIS!$C$107)/MAX(CROQUIS!$C$137,1))+1)/80,1))),1))+1))-1,0),0,MOD($A70-1,5))+1,0,2,CROQUIS!$C$98-2,2,0),((CROQUIS!$C$107/2+(((CROQUIS!$C$97)-CROQUIS!$C$107)-(MAX(1,INT(((CROQUIS!$C$97)-CROQUIS!$C$107)/MAX((CROQUIS!$C$137*MAX(1,CEILING((INT(((CROQUIS!$C$97)-CROQUIS!$C$107)/MAX(CROQUIS!$C$137,1))+1)/80,1))),1))+1)-1)*(CROQUIS!$C$137*MAX(1,CEILING((INT(((CROQUIS!$C$97)-CROQUIS!$C$107)/MAX(CROQUIS!$C$137,1))+1)/80,1))))/2)+MIN(INT(($A70-1)/5),MAX((MAX(1,INT(((CROQUIS!$C$97)-CROQUIS!$C$107)/MAX((CROQUIS!$C$137*MAX(1,CEILING((INT(((CROQUIS!$C$97)-CROQUIS!$C$107)/MAX(CROQUIS!$C$137,1))+1)/80,1))),1))+1))-1,0))*(CROQUIS!$C$137*MAX(1,CEILING((INT(((CROQUIS!$C$97)-CROQUIS!$C$107)/MAX(CROQUIS!$C$137,1))+1)/80,1))))))*CROQUIS!$C$159)+IF(CROQUIS!$C$92="X",0,0)),-1000)</f>
        <v>-1000</v>
      </c>
      <c r="BR70">
        <f>IF(AND(CROQUIS!$C$88=1,CROQUIS!$C$91=0,CROQUIS!$C$133&gt;0,OR(CROQUIS!$C$103=1,CROQUIS!$C$145=1)),((CROQUIS!$C$160+(IF(CROQUIS!$C$92="X",CHOOSE(IF(INT(($A70-1)/5)&gt;MAX((MAX(1,INT(((CROQUIS!$C$98)-CROQUIS!$C$107)/MAX((CROQUIS!$C$133*MAX(1,CEILING((INT(((CROQUIS!$C$98)-CROQUIS!$C$107)/MAX(CROQUIS!$C$133,1))+1)/80,1))),1))+1))-1,0),0,MOD($A70-1,5))+1,0,IF(CROQUIS!$C$103=1,-12,2),CROQUIS!$C$107/2+CROQUIS!$C$143,IF(CROQUIS!$C$103=1,-12,2),0),((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BS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+1,0,IF(CROQUIS!$C$103=1,-12,2),CROQUIS!$C$107/2+CROQUIS!$C$143,IF(CROQUIS!$C$103=1,-12,2),0)))*CROQUIS!$C$159)+IF(CROQUIS!$C$92="X",0.8,0)),-1000)</f>
        <v>-1000</v>
      </c>
      <c r="BT70">
        <f>IF(AND(CROQUIS!$C$88=1,CROQUIS!$C$91=0,CROQUIS!$C$133&gt;0,OR(CROQUIS!$C$104=1,CROQUIS!$C$145=1)),((CROQUIS!$C$160+(IF(CROQUIS!$C$92="X",CHOOSE(IF(INT(($A70-1)/5)&gt;MAX((MAX(1,INT(((CROQUIS!$C$98)-CROQUIS!$C$107)/MAX((CROQUIS!$C$133*MAX(1,CEILING((INT(((CROQUIS!$C$98)-CROQUIS!$C$107)/MAX(CROQUIS!$C$133,1))+1)/80,1))),1))+1))-1,0),0,MOD($A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BU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CROQUIS!$C$97,CROQUIS!$C$97-CROQUIS!$C$107/2-CROQUIS!$C$143,IF(CROQUIS!$C$104=1,CROQUIS!$C$97+12,CROQUIS!$C$97-2),CROQUIS!$C$97-CROQUIS!$C$107/2-CROQUIS!$C$143,CROQUIS!$C$97)))*CROQUIS!$C$159)+IF(CROQUIS!$C$92="X",0.8,0)),-1000)</f>
        <v>-1000</v>
      </c>
      <c r="BV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HOOSE(IF(INT(($A70-1)/5)&gt;MAX((MAX(1,INT(((CROQUIS!$C$97)-CROQUIS!$C$107)/MAX((CROQUIS!$C$141*MAX(1,CEILING((INT(((CROQUIS!$C$97)-CROQUIS!$C$107)/MAX(CROQUIS!$C$141,1))+1)/80,1))),1))+1))-1,0),0,MOD($A70-1,5))+1,0,IF(CROQUIS!$C$105=1,-12,2),CROQUIS!$C$107/2+CROQUIS!$C$144,IF(CROQUIS!$C$105=1,-12,2),0)))*CROQUIS!$C$159)+IF(CROQUIS!$C$92="X",0.8,0)),-1000)</f>
        <v>-1000</v>
      </c>
      <c r="BW70">
        <f>IF(AND(CROQUIS!$C$88=1,CROQUIS!$C$91=0,CROQUIS!$C$141&gt;0,OR(CROQUIS!$C$105=1,CROQUIS!$C$146=1)),((CROQUIS!$C$161+(IF(CROQUIS!$C$92="X",CHOOSE(IF(INT(($A70-1)/5)&gt;MAX((MAX(1,INT(((CROQUIS!$C$97)-CROQUIS!$C$107)/MAX((CROQUIS!$C$141*MAX(1,CEILING((INT(((CROQUIS!$C$97)-CROQUIS!$C$107)/MAX(CROQUIS!$C$141,1))+1)/80,1))),1))+1))-1,0),0,MOD($A70-1,5))+1,0,IF(CROQUIS!$C$105=1,-12,2),CROQUIS!$C$107/2+CROQUIS!$C$144,IF(CROQUIS!$C$105=1,-12,2),0),((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ROQUIS!$C$159)+IF(CROQUIS!$C$92="X",0,0.8)),-1000)</f>
        <v>-1000</v>
      </c>
      <c r="BX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HOOSE(IF(INT(($A70-1)/5)&gt;MAX((MAX(1,INT(((CROQUIS!$C$97)-CROQUIS!$C$107)/MAX((CROQUIS!$C$141*MAX(1,CEILING((INT(((CROQUIS!$C$97)-CROQUIS!$C$107)/MAX(CROQUIS!$C$141,1))+1)/80,1))),1))+1))-1,0),0,MOD($A70-1,5))+1,CROQUIS!$C$98,CROQUIS!$C$98-CROQUIS!$C$107/2-CROQUIS!$C$144,IF(CROQUIS!$C$106=1,CROQUIS!$C$98+12,CROQUIS!$C$98-2),CROQUIS!$C$98-CROQUIS!$C$107/2-CROQUIS!$C$144,CROQUIS!$C$98)))*CROQUIS!$C$159)+IF(CROQUIS!$C$92="X",0.8,0)),-1000)</f>
        <v>-1000</v>
      </c>
      <c r="BY70">
        <f>IF(AND(CROQUIS!$C$88=1,CROQUIS!$C$91=0,CROQUIS!$C$141&gt;0,OR(CROQUIS!$C$106=1,CROQUIS!$C$146=1)),((CROQUIS!$C$161+(IF(CROQUIS!$C$92="X",CHOOSE(IF(INT(($A70-1)/5)&gt;MAX((MAX(1,INT(((CROQUIS!$C$97)-CROQUIS!$C$107)/MAX((CROQUIS!$C$141*MAX(1,CEILING((INT(((CROQUIS!$C$97)-CROQUIS!$C$107)/MAX(CROQUIS!$C$141,1))+1)/80,1))),1))+1))-1,0),0,MOD($A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ROQUIS!$C$159)+IF(CROQUIS!$C$92="X",0,0.8)),-1000)</f>
        <v>-1000</v>
      </c>
      <c r="BZ70">
        <f>IF(AND(CROQUIS!$C$88=1,CROQUIS!$C$91=1,CROQUIS!$C$133&gt;0),((CROQUIS!$C$160+(IF(CROQUIS!$C$92="X",CHOOSE(IF(INT(($A70-1)/5)&gt;MAX((MAX(1,INT(((CROQUIS!$C$98)-CROQUIS!$C$107)/MAX((CROQUIS!$C$133*MAX(1,CEILING((INT(((CROQUIS!$C$98)-CROQUIS!$C$107)/MAX(CROQUIS!$C$133,1))+1)/80,1))),1))+1))-1,0),0,MOD($A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CA70">
        <f>IF(AND(CROQUIS!$C$88=1,CROQUIS!$C$91=1,CROQUIS!$C$133&gt;0),((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1">
      <c r="A71" t="n">
        <v>64</v>
      </c>
      <c r="AJ71">
        <f>IF(AND(CROQUIS!$C$87=1,CROQUIS!$C$162&gt;0,CROQUIS!$C$164&gt;0),(CROQUIS!$C$160+((CROQUIS!$C$163+INT(MIN(INT(($A71-1)/2),MAX((2*CROQUIS!$C$162)-1,0))/2)*CROQUIS!$C$116+MOD(MIN(INT(($A71-1)/2),MAX((2*CROQUIS!$C$162)-1,0)),2)*CROQUIS!$C$114))*CROQUIS!$C$159),-1000)</f>
        <v>81.3375508359693</v>
      </c>
      <c r="AK71">
        <f>IF(AND(CROQUIS!$C$87=1,CROQUIS!$C$162&gt;0,CROQUIS!$C$164&gt;0),(CROQUIS!$C$161+(IF(MOD(MIN(INT(($A71-1)/2),MAX((2*CROQUIS!$C$162)-1,0)),2)=0,IF(IF(INT(($A71-1)/2)&gt;MAX((2*CROQUIS!$C$162)-1,0),1,MOD($A71-1,2))=0,CROQUIS!$C$165,(CROQUIS!$C$165+(CROQUIS!$C$164-1)*CROQUIS!$C$116+CROQUIS!$C$115)),IF(IF(INT(($A71-1)/2)&gt;MAX((2*CROQUIS!$C$162)-1,0),1,MOD($A71-1,2))=0,(CROQUIS!$C$165+(CROQUIS!$C$164-1)*CROQUIS!$C$116+CROQUIS!$C$115),CROQUIS!$C$165)))*CROQUIS!$C$159),-1000)</f>
        <v>20.8088567555355</v>
      </c>
      <c r="AL71">
        <f>IF(AND(CROQUIS!$C$87=1,CROQUIS!$C$164&gt;0,CROQUIS!$C$162&gt;0),(CROQUIS!$C$160+(IF(MOD(MIN(INT(($A71-1)/2),MAX((2*CROQUIS!$C$164)-1,0)),2)=0,IF(IF(INT(($A71-1)/2)&gt;MAX((2*CROQUIS!$C$164)-1,0),1,MOD($A71-1,2))=0,CROQUIS!$C$163,(CROQUIS!$C$163+(CROQUIS!$C$162-1)*CROQUIS!$C$116+CROQUIS!$C$114)),IF(IF(INT(($A71-1)/2)&gt;MAX((2*CROQUIS!$C$164)-1,0),1,MOD($A71-1,2))=0,(CROQUIS!$C$163+(CROQUIS!$C$162-1)*CROQUIS!$C$116+CROQUIS!$C$114),CROQUIS!$C$163)))*CROQUIS!$C$159),-1000)</f>
        <v>22.9552643470402</v>
      </c>
      <c r="AM71">
        <f>IF(AND(CROQUIS!$C$87=1,CROQUIS!$C$164&gt;0,CROQUIS!$C$162&gt;0),(CROQUIS!$C$161+((CROQUIS!$C$165+INT(MIN(INT(($A71-1)/2),MAX((2*CROQUIS!$C$164)-1,0))/2)*CROQUIS!$C$116+MOD(MIN(INT(($A71-1)/2),MAX((2*CROQUIS!$C$164)-1,0)),2)*CROQUIS!$C$115))*CROQUIS!$C$159),-1000)</f>
        <v>79.1911432444645</v>
      </c>
      <c r="BN71">
        <f>IF(AND(CROQUIS!$C$88=1,CROQUIS!$C$129&gt;0),((CROQUIS!$C$160+(IF(CROQUIS!$C$92="X",CHOOSE(IF(INT(($A71-1)/5)&gt;MAX((MAX(1,INT(((CROQUIS!$C$98)-CROQUIS!$C$107)/MAX((CROQUIS!$C$129*MAX(1,CEILING((INT(((CROQUIS!$C$98)-CROQUIS!$C$107)/MAX(CROQUIS!$C$129,1))+1)/80,1))),1))+1))-1,0),0,MOD($A71-1,5))+1,0,2,CROQUIS!$C$97-2,2,0),((CROQUIS!$C$107/2+(((CROQUIS!$C$98)-CROQUIS!$C$107)-(MAX(1,INT(((CROQUIS!$C$98)-CROQUIS!$C$107)/MAX((CROQUIS!$C$129*MAX(1,CEILING((INT(((CROQUIS!$C$98)-CROQUIS!$C$107)/MAX(CROQUIS!$C$129,1))+1)/80,1))),1))+1)-1)*(CROQUIS!$C$129*MAX(1,CEILING((INT(((CROQUIS!$C$98)-CROQUIS!$C$107)/MAX(CROQUIS!$C$129,1))+1)/80,1))))/2)+MIN(INT(($A71-1)/5),MAX((MAX(1,INT(((CROQUIS!$C$98)-CROQUIS!$C$107)/MAX((CROQUIS!$C$129*MAX(1,CEILING((INT(((CROQUIS!$C$98)-CROQUIS!$C$107)/MAX(CROQUIS!$C$129,1))+1)/80,1))),1))+1))-1,0))*(CROQUIS!$C$129*MAX(1,CEILING((INT(((CROQUIS!$C$98)-CROQUIS!$C$107)/MAX(CROQUIS!$C$129,1))+1)/80,1))))))*CROQUIS!$C$159)+IF(CROQUIS!$C$92="X",0,0)),-1000)</f>
        <v>-1000</v>
      </c>
      <c r="BO71">
        <f>IF(AND(CROQUIS!$C$88=1,CROQUIS!$C$129&gt;0),((CROQUIS!$C$161+(IF(CROQUIS!$C$92="X",((CROQUIS!$C$107/2+(((CROQUIS!$C$98)-CROQUIS!$C$107)-(MAX(1,INT(((CROQUIS!$C$98)-CROQUIS!$C$107)/MAX((CROQUIS!$C$129*MAX(1,CEILING((INT(((CROQUIS!$C$98)-CROQUIS!$C$107)/MAX(CROQUIS!$C$129,1))+1)/80,1))),1))+1)-1)*(CROQUIS!$C$129*MAX(1,CEILING((INT(((CROQUIS!$C$98)-CROQUIS!$C$107)/MAX(CROQUIS!$C$129,1))+1)/80,1))))/2)+MIN(INT(($A71-1)/5),MAX((MAX(1,INT(((CROQUIS!$C$98)-CROQUIS!$C$107)/MAX((CROQUIS!$C$129*MAX(1,CEILING((INT(((CROQUIS!$C$98)-CROQUIS!$C$107)/MAX(CROQUIS!$C$129,1))+1)/80,1))),1))+1))-1,0))*(CROQUIS!$C$129*MAX(1,CEILING((INT(((CROQUIS!$C$98)-CROQUIS!$C$107)/MAX(CROQUIS!$C$129,1))+1)/80,1)))),CHOOSE(IF(INT(($A71-1)/5)&gt;MAX((MAX(1,INT(((CROQUIS!$C$98)-CROQUIS!$C$107)/MAX((CROQUIS!$C$129*MAX(1,CEILING((INT(((CROQUIS!$C$98)-CROQUIS!$C$107)/MAX(CROQUIS!$C$129,1))+1)/80,1))),1))+1))-1,0),0,MOD($A71-1,5))+1,0,2,CROQUIS!$C$97-2,2,0)))*CROQUIS!$C$159)+IF(CROQUIS!$C$92="X",0,0)),-1000)</f>
        <v>-1000</v>
      </c>
      <c r="BP71">
        <f>IF(AND(CROQUIS!$C$88=1,CROQUIS!$C$137&gt;0),((CROQUIS!$C$160+(IF(CROQUIS!$C$92="X",((CROQUIS!$C$107/2+(((CROQUIS!$C$97)-CROQUIS!$C$107)-(MAX(1,INT(((CROQUIS!$C$97)-CROQUIS!$C$107)/MAX((CROQUIS!$C$137*MAX(1,CEILING((INT(((CROQUIS!$C$97)-CROQUIS!$C$107)/MAX(CROQUIS!$C$137,1))+1)/80,1))),1))+1)-1)*(CROQUIS!$C$137*MAX(1,CEILING((INT(((CROQUIS!$C$97)-CROQUIS!$C$107)/MAX(CROQUIS!$C$137,1))+1)/80,1))))/2)+MIN(INT(($A71-1)/5),MAX((MAX(1,INT(((CROQUIS!$C$97)-CROQUIS!$C$107)/MAX((CROQUIS!$C$137*MAX(1,CEILING((INT(((CROQUIS!$C$97)-CROQUIS!$C$107)/MAX(CROQUIS!$C$137,1))+1)/80,1))),1))+1))-1,0))*(CROQUIS!$C$137*MAX(1,CEILING((INT(((CROQUIS!$C$97)-CROQUIS!$C$107)/MAX(CROQUIS!$C$137,1))+1)/80,1)))),CHOOSE(IF(INT(($A71-1)/5)&gt;MAX((MAX(1,INT(((CROQUIS!$C$97)-CROQUIS!$C$107)/MAX((CROQUIS!$C$137*MAX(1,CEILING((INT(((CROQUIS!$C$97)-CROQUIS!$C$107)/MAX(CROQUIS!$C$137,1))+1)/80,1))),1))+1))-1,0),0,MOD($A71-1,5))+1,0,2,CROQUIS!$C$98-2,2,0)))*CROQUIS!$C$159)+IF(CROQUIS!$C$92="X",0,0)),-1000)</f>
        <v>-1000</v>
      </c>
      <c r="BQ71">
        <f>IF(AND(CROQUIS!$C$88=1,CROQUIS!$C$137&gt;0),((CROQUIS!$C$161+(IF(CROQUIS!$C$92="X",CHOOSE(IF(INT(($A71-1)/5)&gt;MAX((MAX(1,INT(((CROQUIS!$C$97)-CROQUIS!$C$107)/MAX((CROQUIS!$C$137*MAX(1,CEILING((INT(((CROQUIS!$C$97)-CROQUIS!$C$107)/MAX(CROQUIS!$C$137,1))+1)/80,1))),1))+1))-1,0),0,MOD($A71-1,5))+1,0,2,CROQUIS!$C$98-2,2,0),((CROQUIS!$C$107/2+(((CROQUIS!$C$97)-CROQUIS!$C$107)-(MAX(1,INT(((CROQUIS!$C$97)-CROQUIS!$C$107)/MAX((CROQUIS!$C$137*MAX(1,CEILING((INT(((CROQUIS!$C$97)-CROQUIS!$C$107)/MAX(CROQUIS!$C$137,1))+1)/80,1))),1))+1)-1)*(CROQUIS!$C$137*MAX(1,CEILING((INT(((CROQUIS!$C$97)-CROQUIS!$C$107)/MAX(CROQUIS!$C$137,1))+1)/80,1))))/2)+MIN(INT(($A71-1)/5),MAX((MAX(1,INT(((CROQUIS!$C$97)-CROQUIS!$C$107)/MAX((CROQUIS!$C$137*MAX(1,CEILING((INT(((CROQUIS!$C$97)-CROQUIS!$C$107)/MAX(CROQUIS!$C$137,1))+1)/80,1))),1))+1))-1,0))*(CROQUIS!$C$137*MAX(1,CEILING((INT(((CROQUIS!$C$97)-CROQUIS!$C$107)/MAX(CROQUIS!$C$137,1))+1)/80,1))))))*CROQUIS!$C$159)+IF(CROQUIS!$C$92="X",0,0)),-1000)</f>
        <v>-1000</v>
      </c>
      <c r="BR71">
        <f>IF(AND(CROQUIS!$C$88=1,CROQUIS!$C$91=0,CROQUIS!$C$133&gt;0,OR(CROQUIS!$C$103=1,CROQUIS!$C$145=1)),((CROQUIS!$C$160+(IF(CROQUIS!$C$92="X",CHOOSE(IF(INT(($A71-1)/5)&gt;MAX((MAX(1,INT(((CROQUIS!$C$98)-CROQUIS!$C$107)/MAX((CROQUIS!$C$133*MAX(1,CEILING((INT(((CROQUIS!$C$98)-CROQUIS!$C$107)/MAX(CROQUIS!$C$133,1))+1)/80,1))),1))+1))-1,0),0,MOD($A71-1,5))+1,0,IF(CROQUIS!$C$103=1,-12,2),CROQUIS!$C$107/2+CROQUIS!$C$143,IF(CROQUIS!$C$103=1,-12,2),0),((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BS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+1,0,IF(CROQUIS!$C$103=1,-12,2),CROQUIS!$C$107/2+CROQUIS!$C$143,IF(CROQUIS!$C$103=1,-12,2),0)))*CROQUIS!$C$159)+IF(CROQUIS!$C$92="X",0.8,0)),-1000)</f>
        <v>-1000</v>
      </c>
      <c r="BT71">
        <f>IF(AND(CROQUIS!$C$88=1,CROQUIS!$C$91=0,CROQUIS!$C$133&gt;0,OR(CROQUIS!$C$104=1,CROQUIS!$C$145=1)),((CROQUIS!$C$160+(IF(CROQUIS!$C$92="X",CHOOSE(IF(INT(($A71-1)/5)&gt;MAX((MAX(1,INT(((CROQUIS!$C$98)-CROQUIS!$C$107)/MAX((CROQUIS!$C$133*MAX(1,CEILING((INT(((CROQUIS!$C$98)-CROQUIS!$C$107)/MAX(CROQUIS!$C$133,1))+1)/80,1))),1))+1))-1,0),0,MOD($A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BU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CROQUIS!$C$97,CROQUIS!$C$97-CROQUIS!$C$107/2-CROQUIS!$C$143,IF(CROQUIS!$C$104=1,CROQUIS!$C$97+12,CROQUIS!$C$97-2),CROQUIS!$C$97-CROQUIS!$C$107/2-CROQUIS!$C$143,CROQUIS!$C$97)))*CROQUIS!$C$159)+IF(CROQUIS!$C$92="X",0.8,0)),-1000)</f>
        <v>-1000</v>
      </c>
      <c r="BV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HOOSE(IF(INT(($A71-1)/5)&gt;MAX((MAX(1,INT(((CROQUIS!$C$97)-CROQUIS!$C$107)/MAX((CROQUIS!$C$141*MAX(1,CEILING((INT(((CROQUIS!$C$97)-CROQUIS!$C$107)/MAX(CROQUIS!$C$141,1))+1)/80,1))),1))+1))-1,0),0,MOD($A71-1,5))+1,0,IF(CROQUIS!$C$105=1,-12,2),CROQUIS!$C$107/2+CROQUIS!$C$144,IF(CROQUIS!$C$105=1,-12,2),0)))*CROQUIS!$C$159)+IF(CROQUIS!$C$92="X",0.8,0)),-1000)</f>
        <v>-1000</v>
      </c>
      <c r="BW71">
        <f>IF(AND(CROQUIS!$C$88=1,CROQUIS!$C$91=0,CROQUIS!$C$141&gt;0,OR(CROQUIS!$C$105=1,CROQUIS!$C$146=1)),((CROQUIS!$C$161+(IF(CROQUIS!$C$92="X",CHOOSE(IF(INT(($A71-1)/5)&gt;MAX((MAX(1,INT(((CROQUIS!$C$97)-CROQUIS!$C$107)/MAX((CROQUIS!$C$141*MAX(1,CEILING((INT(((CROQUIS!$C$97)-CROQUIS!$C$107)/MAX(CROQUIS!$C$141,1))+1)/80,1))),1))+1))-1,0),0,MOD($A71-1,5))+1,0,IF(CROQUIS!$C$105=1,-12,2),CROQUIS!$C$107/2+CROQUIS!$C$144,IF(CROQUIS!$C$105=1,-12,2),0),((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ROQUIS!$C$159)+IF(CROQUIS!$C$92="X",0,0.8)),-1000)</f>
        <v>-1000</v>
      </c>
      <c r="BX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HOOSE(IF(INT(($A71-1)/5)&gt;MAX((MAX(1,INT(((CROQUIS!$C$97)-CROQUIS!$C$107)/MAX((CROQUIS!$C$141*MAX(1,CEILING((INT(((CROQUIS!$C$97)-CROQUIS!$C$107)/MAX(CROQUIS!$C$141,1))+1)/80,1))),1))+1))-1,0),0,MOD($A71-1,5))+1,CROQUIS!$C$98,CROQUIS!$C$98-CROQUIS!$C$107/2-CROQUIS!$C$144,IF(CROQUIS!$C$106=1,CROQUIS!$C$98+12,CROQUIS!$C$98-2),CROQUIS!$C$98-CROQUIS!$C$107/2-CROQUIS!$C$144,CROQUIS!$C$98)))*CROQUIS!$C$159)+IF(CROQUIS!$C$92="X",0.8,0)),-1000)</f>
        <v>-1000</v>
      </c>
      <c r="BY71">
        <f>IF(AND(CROQUIS!$C$88=1,CROQUIS!$C$91=0,CROQUIS!$C$141&gt;0,OR(CROQUIS!$C$106=1,CROQUIS!$C$146=1)),((CROQUIS!$C$161+(IF(CROQUIS!$C$92="X",CHOOSE(IF(INT(($A71-1)/5)&gt;MAX((MAX(1,INT(((CROQUIS!$C$97)-CROQUIS!$C$107)/MAX((CROQUIS!$C$141*MAX(1,CEILING((INT(((CROQUIS!$C$97)-CROQUIS!$C$107)/MAX(CROQUIS!$C$141,1))+1)/80,1))),1))+1))-1,0),0,MOD($A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ROQUIS!$C$159)+IF(CROQUIS!$C$92="X",0,0.8)),-1000)</f>
        <v>-1000</v>
      </c>
      <c r="BZ71">
        <f>IF(AND(CROQUIS!$C$88=1,CROQUIS!$C$91=1,CROQUIS!$C$133&gt;0),((CROQUIS!$C$160+(IF(CROQUIS!$C$92="X",CHOOSE(IF(INT(($A71-1)/5)&gt;MAX((MAX(1,INT(((CROQUIS!$C$98)-CROQUIS!$C$107)/MAX((CROQUIS!$C$133*MAX(1,CEILING((INT(((CROQUIS!$C$98)-CROQUIS!$C$107)/MAX(CROQUIS!$C$133,1))+1)/80,1))),1))+1))-1,0),0,MOD($A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CA71">
        <f>IF(AND(CROQUIS!$C$88=1,CROQUIS!$C$91=1,CROQUIS!$C$133&gt;0),((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2">
      <c r="A72" t="n">
        <v>65</v>
      </c>
      <c r="AJ72">
        <f>IF(AND(CROQUIS!$C$87=1,CROQUIS!$C$162&gt;0,CROQUIS!$C$164&gt;0),(CROQUIS!$C$160+((CROQUIS!$C$163+INT(MIN(INT(($A72-1)/2),MAX((2*CROQUIS!$C$162)-1,0))/2)*CROQUIS!$C$116+MOD(MIN(INT(($A72-1)/2),MAX((2*CROQUIS!$C$162)-1,0)),2)*CROQUIS!$C$114))*CROQUIS!$C$159),-1000)</f>
        <v>81.3375508359693</v>
      </c>
      <c r="AK72">
        <f>IF(AND(CROQUIS!$C$87=1,CROQUIS!$C$162&gt;0,CROQUIS!$C$164&gt;0),(CROQUIS!$C$161+(IF(MOD(MIN(INT(($A72-1)/2),MAX((2*CROQUIS!$C$162)-1,0)),2)=0,IF(IF(INT(($A72-1)/2)&gt;MAX((2*CROQUIS!$C$162)-1,0),1,MOD($A72-1,2))=0,CROQUIS!$C$165,(CROQUIS!$C$165+(CROQUIS!$C$164-1)*CROQUIS!$C$116+CROQUIS!$C$115)),IF(IF(INT(($A72-1)/2)&gt;MAX((2*CROQUIS!$C$162)-1,0),1,MOD($A72-1,2))=0,(CROQUIS!$C$165+(CROQUIS!$C$164-1)*CROQUIS!$C$116+CROQUIS!$C$115),CROQUIS!$C$165)))*CROQUIS!$C$159),-1000)</f>
        <v>20.8088567555355</v>
      </c>
      <c r="AL72">
        <f>IF(AND(CROQUIS!$C$87=1,CROQUIS!$C$164&gt;0,CROQUIS!$C$162&gt;0),(CROQUIS!$C$160+(IF(MOD(MIN(INT(($A72-1)/2),MAX((2*CROQUIS!$C$164)-1,0)),2)=0,IF(IF(INT(($A72-1)/2)&gt;MAX((2*CROQUIS!$C$164)-1,0),1,MOD($A72-1,2))=0,CROQUIS!$C$163,(CROQUIS!$C$163+(CROQUIS!$C$162-1)*CROQUIS!$C$116+CROQUIS!$C$114)),IF(IF(INT(($A72-1)/2)&gt;MAX((2*CROQUIS!$C$164)-1,0),1,MOD($A72-1,2))=0,(CROQUIS!$C$163+(CROQUIS!$C$162-1)*CROQUIS!$C$116+CROQUIS!$C$114),CROQUIS!$C$163)))*CROQUIS!$C$159),-1000)</f>
        <v>22.9552643470402</v>
      </c>
      <c r="AM72">
        <f>IF(AND(CROQUIS!$C$87=1,CROQUIS!$C$164&gt;0,CROQUIS!$C$162&gt;0),(CROQUIS!$C$161+((CROQUIS!$C$165+INT(MIN(INT(($A72-1)/2),MAX((2*CROQUIS!$C$164)-1,0))/2)*CROQUIS!$C$116+MOD(MIN(INT(($A72-1)/2),MAX((2*CROQUIS!$C$164)-1,0)),2)*CROQUIS!$C$115))*CROQUIS!$C$159),-1000)</f>
        <v>79.1911432444645</v>
      </c>
      <c r="BN72">
        <f>IF(AND(CROQUIS!$C$88=1,CROQUIS!$C$129&gt;0),((CROQUIS!$C$160+(IF(CROQUIS!$C$92="X",CHOOSE(IF(INT(($A72-1)/5)&gt;MAX((MAX(1,INT(((CROQUIS!$C$98)-CROQUIS!$C$107)/MAX((CROQUIS!$C$129*MAX(1,CEILING((INT(((CROQUIS!$C$98)-CROQUIS!$C$107)/MAX(CROQUIS!$C$129,1))+1)/80,1))),1))+1))-1,0),0,MOD($A72-1,5))+1,0,2,CROQUIS!$C$97-2,2,0),((CROQUIS!$C$107/2+(((CROQUIS!$C$98)-CROQUIS!$C$107)-(MAX(1,INT(((CROQUIS!$C$98)-CROQUIS!$C$107)/MAX((CROQUIS!$C$129*MAX(1,CEILING((INT(((CROQUIS!$C$98)-CROQUIS!$C$107)/MAX(CROQUIS!$C$129,1))+1)/80,1))),1))+1)-1)*(CROQUIS!$C$129*MAX(1,CEILING((INT(((CROQUIS!$C$98)-CROQUIS!$C$107)/MAX(CROQUIS!$C$129,1))+1)/80,1))))/2)+MIN(INT(($A72-1)/5),MAX((MAX(1,INT(((CROQUIS!$C$98)-CROQUIS!$C$107)/MAX((CROQUIS!$C$129*MAX(1,CEILING((INT(((CROQUIS!$C$98)-CROQUIS!$C$107)/MAX(CROQUIS!$C$129,1))+1)/80,1))),1))+1))-1,0))*(CROQUIS!$C$129*MAX(1,CEILING((INT(((CROQUIS!$C$98)-CROQUIS!$C$107)/MAX(CROQUIS!$C$129,1))+1)/80,1))))))*CROQUIS!$C$159)+IF(CROQUIS!$C$92="X",0,0)),-1000)</f>
        <v>-1000</v>
      </c>
      <c r="BO72">
        <f>IF(AND(CROQUIS!$C$88=1,CROQUIS!$C$129&gt;0),((CROQUIS!$C$161+(IF(CROQUIS!$C$92="X",((CROQUIS!$C$107/2+(((CROQUIS!$C$98)-CROQUIS!$C$107)-(MAX(1,INT(((CROQUIS!$C$98)-CROQUIS!$C$107)/MAX((CROQUIS!$C$129*MAX(1,CEILING((INT(((CROQUIS!$C$98)-CROQUIS!$C$107)/MAX(CROQUIS!$C$129,1))+1)/80,1))),1))+1)-1)*(CROQUIS!$C$129*MAX(1,CEILING((INT(((CROQUIS!$C$98)-CROQUIS!$C$107)/MAX(CROQUIS!$C$129,1))+1)/80,1))))/2)+MIN(INT(($A72-1)/5),MAX((MAX(1,INT(((CROQUIS!$C$98)-CROQUIS!$C$107)/MAX((CROQUIS!$C$129*MAX(1,CEILING((INT(((CROQUIS!$C$98)-CROQUIS!$C$107)/MAX(CROQUIS!$C$129,1))+1)/80,1))),1))+1))-1,0))*(CROQUIS!$C$129*MAX(1,CEILING((INT(((CROQUIS!$C$98)-CROQUIS!$C$107)/MAX(CROQUIS!$C$129,1))+1)/80,1)))),CHOOSE(IF(INT(($A72-1)/5)&gt;MAX((MAX(1,INT(((CROQUIS!$C$98)-CROQUIS!$C$107)/MAX((CROQUIS!$C$129*MAX(1,CEILING((INT(((CROQUIS!$C$98)-CROQUIS!$C$107)/MAX(CROQUIS!$C$129,1))+1)/80,1))),1))+1))-1,0),0,MOD($A72-1,5))+1,0,2,CROQUIS!$C$97-2,2,0)))*CROQUIS!$C$159)+IF(CROQUIS!$C$92="X",0,0)),-1000)</f>
        <v>-1000</v>
      </c>
      <c r="BP72">
        <f>IF(AND(CROQUIS!$C$88=1,CROQUIS!$C$137&gt;0),((CROQUIS!$C$160+(IF(CROQUIS!$C$92="X",((CROQUIS!$C$107/2+(((CROQUIS!$C$97)-CROQUIS!$C$107)-(MAX(1,INT(((CROQUIS!$C$97)-CROQUIS!$C$107)/MAX((CROQUIS!$C$137*MAX(1,CEILING((INT(((CROQUIS!$C$97)-CROQUIS!$C$107)/MAX(CROQUIS!$C$137,1))+1)/80,1))),1))+1)-1)*(CROQUIS!$C$137*MAX(1,CEILING((INT(((CROQUIS!$C$97)-CROQUIS!$C$107)/MAX(CROQUIS!$C$137,1))+1)/80,1))))/2)+MIN(INT(($A72-1)/5),MAX((MAX(1,INT(((CROQUIS!$C$97)-CROQUIS!$C$107)/MAX((CROQUIS!$C$137*MAX(1,CEILING((INT(((CROQUIS!$C$97)-CROQUIS!$C$107)/MAX(CROQUIS!$C$137,1))+1)/80,1))),1))+1))-1,0))*(CROQUIS!$C$137*MAX(1,CEILING((INT(((CROQUIS!$C$97)-CROQUIS!$C$107)/MAX(CROQUIS!$C$137,1))+1)/80,1)))),CHOOSE(IF(INT(($A72-1)/5)&gt;MAX((MAX(1,INT(((CROQUIS!$C$97)-CROQUIS!$C$107)/MAX((CROQUIS!$C$137*MAX(1,CEILING((INT(((CROQUIS!$C$97)-CROQUIS!$C$107)/MAX(CROQUIS!$C$137,1))+1)/80,1))),1))+1))-1,0),0,MOD($A72-1,5))+1,0,2,CROQUIS!$C$98-2,2,0)))*CROQUIS!$C$159)+IF(CROQUIS!$C$92="X",0,0)),-1000)</f>
        <v>-1000</v>
      </c>
      <c r="BQ72">
        <f>IF(AND(CROQUIS!$C$88=1,CROQUIS!$C$137&gt;0),((CROQUIS!$C$161+(IF(CROQUIS!$C$92="X",CHOOSE(IF(INT(($A72-1)/5)&gt;MAX((MAX(1,INT(((CROQUIS!$C$97)-CROQUIS!$C$107)/MAX((CROQUIS!$C$137*MAX(1,CEILING((INT(((CROQUIS!$C$97)-CROQUIS!$C$107)/MAX(CROQUIS!$C$137,1))+1)/80,1))),1))+1))-1,0),0,MOD($A72-1,5))+1,0,2,CROQUIS!$C$98-2,2,0),((CROQUIS!$C$107/2+(((CROQUIS!$C$97)-CROQUIS!$C$107)-(MAX(1,INT(((CROQUIS!$C$97)-CROQUIS!$C$107)/MAX((CROQUIS!$C$137*MAX(1,CEILING((INT(((CROQUIS!$C$97)-CROQUIS!$C$107)/MAX(CROQUIS!$C$137,1))+1)/80,1))),1))+1)-1)*(CROQUIS!$C$137*MAX(1,CEILING((INT(((CROQUIS!$C$97)-CROQUIS!$C$107)/MAX(CROQUIS!$C$137,1))+1)/80,1))))/2)+MIN(INT(($A72-1)/5),MAX((MAX(1,INT(((CROQUIS!$C$97)-CROQUIS!$C$107)/MAX((CROQUIS!$C$137*MAX(1,CEILING((INT(((CROQUIS!$C$97)-CROQUIS!$C$107)/MAX(CROQUIS!$C$137,1))+1)/80,1))),1))+1))-1,0))*(CROQUIS!$C$137*MAX(1,CEILING((INT(((CROQUIS!$C$97)-CROQUIS!$C$107)/MAX(CROQUIS!$C$137,1))+1)/80,1))))))*CROQUIS!$C$159)+IF(CROQUIS!$C$92="X",0,0)),-1000)</f>
        <v>-1000</v>
      </c>
      <c r="BR72">
        <f>IF(AND(CROQUIS!$C$88=1,CROQUIS!$C$91=0,CROQUIS!$C$133&gt;0,OR(CROQUIS!$C$103=1,CROQUIS!$C$145=1)),((CROQUIS!$C$160+(IF(CROQUIS!$C$92="X",CHOOSE(IF(INT(($A72-1)/5)&gt;MAX((MAX(1,INT(((CROQUIS!$C$98)-CROQUIS!$C$107)/MAX((CROQUIS!$C$133*MAX(1,CEILING((INT(((CROQUIS!$C$98)-CROQUIS!$C$107)/MAX(CROQUIS!$C$133,1))+1)/80,1))),1))+1))-1,0),0,MOD($A72-1,5))+1,0,IF(CROQUIS!$C$103=1,-12,2),CROQUIS!$C$107/2+CROQUIS!$C$143,IF(CROQUIS!$C$103=1,-12,2),0),((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BS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+1,0,IF(CROQUIS!$C$103=1,-12,2),CROQUIS!$C$107/2+CROQUIS!$C$143,IF(CROQUIS!$C$103=1,-12,2),0)))*CROQUIS!$C$159)+IF(CROQUIS!$C$92="X",0.8,0)),-1000)</f>
        <v>-1000</v>
      </c>
      <c r="BT72">
        <f>IF(AND(CROQUIS!$C$88=1,CROQUIS!$C$91=0,CROQUIS!$C$133&gt;0,OR(CROQUIS!$C$104=1,CROQUIS!$C$145=1)),((CROQUIS!$C$160+(IF(CROQUIS!$C$92="X",CHOOSE(IF(INT(($A72-1)/5)&gt;MAX((MAX(1,INT(((CROQUIS!$C$98)-CROQUIS!$C$107)/MAX((CROQUIS!$C$133*MAX(1,CEILING((INT(((CROQUIS!$C$98)-CROQUIS!$C$107)/MAX(CROQUIS!$C$133,1))+1)/80,1))),1))+1))-1,0),0,MOD($A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BU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CROQUIS!$C$97,CROQUIS!$C$97-CROQUIS!$C$107/2-CROQUIS!$C$143,IF(CROQUIS!$C$104=1,CROQUIS!$C$97+12,CROQUIS!$C$97-2),CROQUIS!$C$97-CROQUIS!$C$107/2-CROQUIS!$C$143,CROQUIS!$C$97)))*CROQUIS!$C$159)+IF(CROQUIS!$C$92="X",0.8,0)),-1000)</f>
        <v>-1000</v>
      </c>
      <c r="BV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HOOSE(IF(INT(($A72-1)/5)&gt;MAX((MAX(1,INT(((CROQUIS!$C$97)-CROQUIS!$C$107)/MAX((CROQUIS!$C$141*MAX(1,CEILING((INT(((CROQUIS!$C$97)-CROQUIS!$C$107)/MAX(CROQUIS!$C$141,1))+1)/80,1))),1))+1))-1,0),0,MOD($A72-1,5))+1,0,IF(CROQUIS!$C$105=1,-12,2),CROQUIS!$C$107/2+CROQUIS!$C$144,IF(CROQUIS!$C$105=1,-12,2),0)))*CROQUIS!$C$159)+IF(CROQUIS!$C$92="X",0.8,0)),-1000)</f>
        <v>-1000</v>
      </c>
      <c r="BW72">
        <f>IF(AND(CROQUIS!$C$88=1,CROQUIS!$C$91=0,CROQUIS!$C$141&gt;0,OR(CROQUIS!$C$105=1,CROQUIS!$C$146=1)),((CROQUIS!$C$161+(IF(CROQUIS!$C$92="X",CHOOSE(IF(INT(($A72-1)/5)&gt;MAX((MAX(1,INT(((CROQUIS!$C$97)-CROQUIS!$C$107)/MAX((CROQUIS!$C$141*MAX(1,CEILING((INT(((CROQUIS!$C$97)-CROQUIS!$C$107)/MAX(CROQUIS!$C$141,1))+1)/80,1))),1))+1))-1,0),0,MOD($A72-1,5))+1,0,IF(CROQUIS!$C$105=1,-12,2),CROQUIS!$C$107/2+CROQUIS!$C$144,IF(CROQUIS!$C$105=1,-12,2),0),((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ROQUIS!$C$159)+IF(CROQUIS!$C$92="X",0,0.8)),-1000)</f>
        <v>-1000</v>
      </c>
      <c r="BX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HOOSE(IF(INT(($A72-1)/5)&gt;MAX((MAX(1,INT(((CROQUIS!$C$97)-CROQUIS!$C$107)/MAX((CROQUIS!$C$141*MAX(1,CEILING((INT(((CROQUIS!$C$97)-CROQUIS!$C$107)/MAX(CROQUIS!$C$141,1))+1)/80,1))),1))+1))-1,0),0,MOD($A72-1,5))+1,CROQUIS!$C$98,CROQUIS!$C$98-CROQUIS!$C$107/2-CROQUIS!$C$144,IF(CROQUIS!$C$106=1,CROQUIS!$C$98+12,CROQUIS!$C$98-2),CROQUIS!$C$98-CROQUIS!$C$107/2-CROQUIS!$C$144,CROQUIS!$C$98)))*CROQUIS!$C$159)+IF(CROQUIS!$C$92="X",0.8,0)),-1000)</f>
        <v>-1000</v>
      </c>
      <c r="BY72">
        <f>IF(AND(CROQUIS!$C$88=1,CROQUIS!$C$91=0,CROQUIS!$C$141&gt;0,OR(CROQUIS!$C$106=1,CROQUIS!$C$146=1)),((CROQUIS!$C$161+(IF(CROQUIS!$C$92="X",CHOOSE(IF(INT(($A72-1)/5)&gt;MAX((MAX(1,INT(((CROQUIS!$C$97)-CROQUIS!$C$107)/MAX((CROQUIS!$C$141*MAX(1,CEILING((INT(((CROQUIS!$C$97)-CROQUIS!$C$107)/MAX(CROQUIS!$C$141,1))+1)/80,1))),1))+1))-1,0),0,MOD($A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ROQUIS!$C$159)+IF(CROQUIS!$C$92="X",0,0.8)),-1000)</f>
        <v>-1000</v>
      </c>
      <c r="BZ72">
        <f>IF(AND(CROQUIS!$C$88=1,CROQUIS!$C$91=1,CROQUIS!$C$133&gt;0),((CROQUIS!$C$160+(IF(CROQUIS!$C$92="X",CHOOSE(IF(INT(($A72-1)/5)&gt;MAX((MAX(1,INT(((CROQUIS!$C$98)-CROQUIS!$C$107)/MAX((CROQUIS!$C$133*MAX(1,CEILING((INT(((CROQUIS!$C$98)-CROQUIS!$C$107)/MAX(CROQUIS!$C$133,1))+1)/80,1))),1))+1))-1,0),0,MOD($A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CA72">
        <f>IF(AND(CROQUIS!$C$88=1,CROQUIS!$C$91=1,CROQUIS!$C$133&gt;0),((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3">
      <c r="A73" t="n">
        <v>66</v>
      </c>
      <c r="AJ73">
        <f>IF(AND(CROQUIS!$C$87=1,CROQUIS!$C$162&gt;0,CROQUIS!$C$164&gt;0),(CROQUIS!$C$160+((CROQUIS!$C$163+INT(MIN(INT(($A73-1)/2),MAX((2*CROQUIS!$C$162)-1,0))/2)*CROQUIS!$C$116+MOD(MIN(INT(($A73-1)/2),MAX((2*CROQUIS!$C$162)-1,0)),2)*CROQUIS!$C$114))*CROQUIS!$C$159),-1000)</f>
        <v>81.3375508359693</v>
      </c>
      <c r="AK73">
        <f>IF(AND(CROQUIS!$C$87=1,CROQUIS!$C$162&gt;0,CROQUIS!$C$164&gt;0),(CROQUIS!$C$161+(IF(MOD(MIN(INT(($A73-1)/2),MAX((2*CROQUIS!$C$162)-1,0)),2)=0,IF(IF(INT(($A73-1)/2)&gt;MAX((2*CROQUIS!$C$162)-1,0),1,MOD($A73-1,2))=0,CROQUIS!$C$165,(CROQUIS!$C$165+(CROQUIS!$C$164-1)*CROQUIS!$C$116+CROQUIS!$C$115)),IF(IF(INT(($A73-1)/2)&gt;MAX((2*CROQUIS!$C$162)-1,0),1,MOD($A73-1,2))=0,(CROQUIS!$C$165+(CROQUIS!$C$164-1)*CROQUIS!$C$116+CROQUIS!$C$115),CROQUIS!$C$165)))*CROQUIS!$C$159),-1000)</f>
        <v>20.8088567555355</v>
      </c>
      <c r="AL73">
        <f>IF(AND(CROQUIS!$C$87=1,CROQUIS!$C$164&gt;0,CROQUIS!$C$162&gt;0),(CROQUIS!$C$160+(IF(MOD(MIN(INT(($A73-1)/2),MAX((2*CROQUIS!$C$164)-1,0)),2)=0,IF(IF(INT(($A73-1)/2)&gt;MAX((2*CROQUIS!$C$164)-1,0),1,MOD($A73-1,2))=0,CROQUIS!$C$163,(CROQUIS!$C$163+(CROQUIS!$C$162-1)*CROQUIS!$C$116+CROQUIS!$C$114)),IF(IF(INT(($A73-1)/2)&gt;MAX((2*CROQUIS!$C$164)-1,0),1,MOD($A73-1,2))=0,(CROQUIS!$C$163+(CROQUIS!$C$162-1)*CROQUIS!$C$116+CROQUIS!$C$114),CROQUIS!$C$163)))*CROQUIS!$C$159),-1000)</f>
        <v>22.9552643470402</v>
      </c>
      <c r="AM73">
        <f>IF(AND(CROQUIS!$C$87=1,CROQUIS!$C$164&gt;0,CROQUIS!$C$162&gt;0),(CROQUIS!$C$161+((CROQUIS!$C$165+INT(MIN(INT(($A73-1)/2),MAX((2*CROQUIS!$C$164)-1,0))/2)*CROQUIS!$C$116+MOD(MIN(INT(($A73-1)/2),MAX((2*CROQUIS!$C$164)-1,0)),2)*CROQUIS!$C$115))*CROQUIS!$C$159),-1000)</f>
        <v>79.1911432444645</v>
      </c>
      <c r="BN73">
        <f>IF(AND(CROQUIS!$C$88=1,CROQUIS!$C$129&gt;0),((CROQUIS!$C$160+(IF(CROQUIS!$C$92="X",CHOOSE(IF(INT(($A73-1)/5)&gt;MAX((MAX(1,INT(((CROQUIS!$C$98)-CROQUIS!$C$107)/MAX((CROQUIS!$C$129*MAX(1,CEILING((INT(((CROQUIS!$C$98)-CROQUIS!$C$107)/MAX(CROQUIS!$C$129,1))+1)/80,1))),1))+1))-1,0),0,MOD($A73-1,5))+1,0,2,CROQUIS!$C$97-2,2,0),((CROQUIS!$C$107/2+(((CROQUIS!$C$98)-CROQUIS!$C$107)-(MAX(1,INT(((CROQUIS!$C$98)-CROQUIS!$C$107)/MAX((CROQUIS!$C$129*MAX(1,CEILING((INT(((CROQUIS!$C$98)-CROQUIS!$C$107)/MAX(CROQUIS!$C$129,1))+1)/80,1))),1))+1)-1)*(CROQUIS!$C$129*MAX(1,CEILING((INT(((CROQUIS!$C$98)-CROQUIS!$C$107)/MAX(CROQUIS!$C$129,1))+1)/80,1))))/2)+MIN(INT(($A73-1)/5),MAX((MAX(1,INT(((CROQUIS!$C$98)-CROQUIS!$C$107)/MAX((CROQUIS!$C$129*MAX(1,CEILING((INT(((CROQUIS!$C$98)-CROQUIS!$C$107)/MAX(CROQUIS!$C$129,1))+1)/80,1))),1))+1))-1,0))*(CROQUIS!$C$129*MAX(1,CEILING((INT(((CROQUIS!$C$98)-CROQUIS!$C$107)/MAX(CROQUIS!$C$129,1))+1)/80,1))))))*CROQUIS!$C$159)+IF(CROQUIS!$C$92="X",0,0)),-1000)</f>
        <v>-1000</v>
      </c>
      <c r="BO73">
        <f>IF(AND(CROQUIS!$C$88=1,CROQUIS!$C$129&gt;0),((CROQUIS!$C$161+(IF(CROQUIS!$C$92="X",((CROQUIS!$C$107/2+(((CROQUIS!$C$98)-CROQUIS!$C$107)-(MAX(1,INT(((CROQUIS!$C$98)-CROQUIS!$C$107)/MAX((CROQUIS!$C$129*MAX(1,CEILING((INT(((CROQUIS!$C$98)-CROQUIS!$C$107)/MAX(CROQUIS!$C$129,1))+1)/80,1))),1))+1)-1)*(CROQUIS!$C$129*MAX(1,CEILING((INT(((CROQUIS!$C$98)-CROQUIS!$C$107)/MAX(CROQUIS!$C$129,1))+1)/80,1))))/2)+MIN(INT(($A73-1)/5),MAX((MAX(1,INT(((CROQUIS!$C$98)-CROQUIS!$C$107)/MAX((CROQUIS!$C$129*MAX(1,CEILING((INT(((CROQUIS!$C$98)-CROQUIS!$C$107)/MAX(CROQUIS!$C$129,1))+1)/80,1))),1))+1))-1,0))*(CROQUIS!$C$129*MAX(1,CEILING((INT(((CROQUIS!$C$98)-CROQUIS!$C$107)/MAX(CROQUIS!$C$129,1))+1)/80,1)))),CHOOSE(IF(INT(($A73-1)/5)&gt;MAX((MAX(1,INT(((CROQUIS!$C$98)-CROQUIS!$C$107)/MAX((CROQUIS!$C$129*MAX(1,CEILING((INT(((CROQUIS!$C$98)-CROQUIS!$C$107)/MAX(CROQUIS!$C$129,1))+1)/80,1))),1))+1))-1,0),0,MOD($A73-1,5))+1,0,2,CROQUIS!$C$97-2,2,0)))*CROQUIS!$C$159)+IF(CROQUIS!$C$92="X",0,0)),-1000)</f>
        <v>-1000</v>
      </c>
      <c r="BP73">
        <f>IF(AND(CROQUIS!$C$88=1,CROQUIS!$C$137&gt;0),((CROQUIS!$C$160+(IF(CROQUIS!$C$92="X",((CROQUIS!$C$107/2+(((CROQUIS!$C$97)-CROQUIS!$C$107)-(MAX(1,INT(((CROQUIS!$C$97)-CROQUIS!$C$107)/MAX((CROQUIS!$C$137*MAX(1,CEILING((INT(((CROQUIS!$C$97)-CROQUIS!$C$107)/MAX(CROQUIS!$C$137,1))+1)/80,1))),1))+1)-1)*(CROQUIS!$C$137*MAX(1,CEILING((INT(((CROQUIS!$C$97)-CROQUIS!$C$107)/MAX(CROQUIS!$C$137,1))+1)/80,1))))/2)+MIN(INT(($A73-1)/5),MAX((MAX(1,INT(((CROQUIS!$C$97)-CROQUIS!$C$107)/MAX((CROQUIS!$C$137*MAX(1,CEILING((INT(((CROQUIS!$C$97)-CROQUIS!$C$107)/MAX(CROQUIS!$C$137,1))+1)/80,1))),1))+1))-1,0))*(CROQUIS!$C$137*MAX(1,CEILING((INT(((CROQUIS!$C$97)-CROQUIS!$C$107)/MAX(CROQUIS!$C$137,1))+1)/80,1)))),CHOOSE(IF(INT(($A73-1)/5)&gt;MAX((MAX(1,INT(((CROQUIS!$C$97)-CROQUIS!$C$107)/MAX((CROQUIS!$C$137*MAX(1,CEILING((INT(((CROQUIS!$C$97)-CROQUIS!$C$107)/MAX(CROQUIS!$C$137,1))+1)/80,1))),1))+1))-1,0),0,MOD($A73-1,5))+1,0,2,CROQUIS!$C$98-2,2,0)))*CROQUIS!$C$159)+IF(CROQUIS!$C$92="X",0,0)),-1000)</f>
        <v>-1000</v>
      </c>
      <c r="BQ73">
        <f>IF(AND(CROQUIS!$C$88=1,CROQUIS!$C$137&gt;0),((CROQUIS!$C$161+(IF(CROQUIS!$C$92="X",CHOOSE(IF(INT(($A73-1)/5)&gt;MAX((MAX(1,INT(((CROQUIS!$C$97)-CROQUIS!$C$107)/MAX((CROQUIS!$C$137*MAX(1,CEILING((INT(((CROQUIS!$C$97)-CROQUIS!$C$107)/MAX(CROQUIS!$C$137,1))+1)/80,1))),1))+1))-1,0),0,MOD($A73-1,5))+1,0,2,CROQUIS!$C$98-2,2,0),((CROQUIS!$C$107/2+(((CROQUIS!$C$97)-CROQUIS!$C$107)-(MAX(1,INT(((CROQUIS!$C$97)-CROQUIS!$C$107)/MAX((CROQUIS!$C$137*MAX(1,CEILING((INT(((CROQUIS!$C$97)-CROQUIS!$C$107)/MAX(CROQUIS!$C$137,1))+1)/80,1))),1))+1)-1)*(CROQUIS!$C$137*MAX(1,CEILING((INT(((CROQUIS!$C$97)-CROQUIS!$C$107)/MAX(CROQUIS!$C$137,1))+1)/80,1))))/2)+MIN(INT(($A73-1)/5),MAX((MAX(1,INT(((CROQUIS!$C$97)-CROQUIS!$C$107)/MAX((CROQUIS!$C$137*MAX(1,CEILING((INT(((CROQUIS!$C$97)-CROQUIS!$C$107)/MAX(CROQUIS!$C$137,1))+1)/80,1))),1))+1))-1,0))*(CROQUIS!$C$137*MAX(1,CEILING((INT(((CROQUIS!$C$97)-CROQUIS!$C$107)/MAX(CROQUIS!$C$137,1))+1)/80,1))))))*CROQUIS!$C$159)+IF(CROQUIS!$C$92="X",0,0)),-1000)</f>
        <v>-1000</v>
      </c>
      <c r="BR73">
        <f>IF(AND(CROQUIS!$C$88=1,CROQUIS!$C$91=0,CROQUIS!$C$133&gt;0,OR(CROQUIS!$C$103=1,CROQUIS!$C$145=1)),((CROQUIS!$C$160+(IF(CROQUIS!$C$92="X",CHOOSE(IF(INT(($A73-1)/5)&gt;MAX((MAX(1,INT(((CROQUIS!$C$98)-CROQUIS!$C$107)/MAX((CROQUIS!$C$133*MAX(1,CEILING((INT(((CROQUIS!$C$98)-CROQUIS!$C$107)/MAX(CROQUIS!$C$133,1))+1)/80,1))),1))+1))-1,0),0,MOD($A73-1,5))+1,0,IF(CROQUIS!$C$103=1,-12,2),CROQUIS!$C$107/2+CROQUIS!$C$143,IF(CROQUIS!$C$103=1,-12,2),0),((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BS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+1,0,IF(CROQUIS!$C$103=1,-12,2),CROQUIS!$C$107/2+CROQUIS!$C$143,IF(CROQUIS!$C$103=1,-12,2),0)))*CROQUIS!$C$159)+IF(CROQUIS!$C$92="X",0.8,0)),-1000)</f>
        <v>-1000</v>
      </c>
      <c r="BT73">
        <f>IF(AND(CROQUIS!$C$88=1,CROQUIS!$C$91=0,CROQUIS!$C$133&gt;0,OR(CROQUIS!$C$104=1,CROQUIS!$C$145=1)),((CROQUIS!$C$160+(IF(CROQUIS!$C$92="X",CHOOSE(IF(INT(($A73-1)/5)&gt;MAX((MAX(1,INT(((CROQUIS!$C$98)-CROQUIS!$C$107)/MAX((CROQUIS!$C$133*MAX(1,CEILING((INT(((CROQUIS!$C$98)-CROQUIS!$C$107)/MAX(CROQUIS!$C$133,1))+1)/80,1))),1))+1))-1,0),0,MOD($A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BU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CROQUIS!$C$97,CROQUIS!$C$97-CROQUIS!$C$107/2-CROQUIS!$C$143,IF(CROQUIS!$C$104=1,CROQUIS!$C$97+12,CROQUIS!$C$97-2),CROQUIS!$C$97-CROQUIS!$C$107/2-CROQUIS!$C$143,CROQUIS!$C$97)))*CROQUIS!$C$159)+IF(CROQUIS!$C$92="X",0.8,0)),-1000)</f>
        <v>-1000</v>
      </c>
      <c r="BV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HOOSE(IF(INT(($A73-1)/5)&gt;MAX((MAX(1,INT(((CROQUIS!$C$97)-CROQUIS!$C$107)/MAX((CROQUIS!$C$141*MAX(1,CEILING((INT(((CROQUIS!$C$97)-CROQUIS!$C$107)/MAX(CROQUIS!$C$141,1))+1)/80,1))),1))+1))-1,0),0,MOD($A73-1,5))+1,0,IF(CROQUIS!$C$105=1,-12,2),CROQUIS!$C$107/2+CROQUIS!$C$144,IF(CROQUIS!$C$105=1,-12,2),0)))*CROQUIS!$C$159)+IF(CROQUIS!$C$92="X",0.8,0)),-1000)</f>
        <v>-1000</v>
      </c>
      <c r="BW73">
        <f>IF(AND(CROQUIS!$C$88=1,CROQUIS!$C$91=0,CROQUIS!$C$141&gt;0,OR(CROQUIS!$C$105=1,CROQUIS!$C$146=1)),((CROQUIS!$C$161+(IF(CROQUIS!$C$92="X",CHOOSE(IF(INT(($A73-1)/5)&gt;MAX((MAX(1,INT(((CROQUIS!$C$97)-CROQUIS!$C$107)/MAX((CROQUIS!$C$141*MAX(1,CEILING((INT(((CROQUIS!$C$97)-CROQUIS!$C$107)/MAX(CROQUIS!$C$141,1))+1)/80,1))),1))+1))-1,0),0,MOD($A73-1,5))+1,0,IF(CROQUIS!$C$105=1,-12,2),CROQUIS!$C$107/2+CROQUIS!$C$144,IF(CROQUIS!$C$105=1,-12,2),0),((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ROQUIS!$C$159)+IF(CROQUIS!$C$92="X",0,0.8)),-1000)</f>
        <v>-1000</v>
      </c>
      <c r="BX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HOOSE(IF(INT(($A73-1)/5)&gt;MAX((MAX(1,INT(((CROQUIS!$C$97)-CROQUIS!$C$107)/MAX((CROQUIS!$C$141*MAX(1,CEILING((INT(((CROQUIS!$C$97)-CROQUIS!$C$107)/MAX(CROQUIS!$C$141,1))+1)/80,1))),1))+1))-1,0),0,MOD($A73-1,5))+1,CROQUIS!$C$98,CROQUIS!$C$98-CROQUIS!$C$107/2-CROQUIS!$C$144,IF(CROQUIS!$C$106=1,CROQUIS!$C$98+12,CROQUIS!$C$98-2),CROQUIS!$C$98-CROQUIS!$C$107/2-CROQUIS!$C$144,CROQUIS!$C$98)))*CROQUIS!$C$159)+IF(CROQUIS!$C$92="X",0.8,0)),-1000)</f>
        <v>-1000</v>
      </c>
      <c r="BY73">
        <f>IF(AND(CROQUIS!$C$88=1,CROQUIS!$C$91=0,CROQUIS!$C$141&gt;0,OR(CROQUIS!$C$106=1,CROQUIS!$C$146=1)),((CROQUIS!$C$161+(IF(CROQUIS!$C$92="X",CHOOSE(IF(INT(($A73-1)/5)&gt;MAX((MAX(1,INT(((CROQUIS!$C$97)-CROQUIS!$C$107)/MAX((CROQUIS!$C$141*MAX(1,CEILING((INT(((CROQUIS!$C$97)-CROQUIS!$C$107)/MAX(CROQUIS!$C$141,1))+1)/80,1))),1))+1))-1,0),0,MOD($A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ROQUIS!$C$159)+IF(CROQUIS!$C$92="X",0,0.8)),-1000)</f>
        <v>-1000</v>
      </c>
      <c r="BZ73">
        <f>IF(AND(CROQUIS!$C$88=1,CROQUIS!$C$91=1,CROQUIS!$C$133&gt;0),((CROQUIS!$C$160+(IF(CROQUIS!$C$92="X",CHOOSE(IF(INT(($A73-1)/5)&gt;MAX((MAX(1,INT(((CROQUIS!$C$98)-CROQUIS!$C$107)/MAX((CROQUIS!$C$133*MAX(1,CEILING((INT(((CROQUIS!$C$98)-CROQUIS!$C$107)/MAX(CROQUIS!$C$133,1))+1)/80,1))),1))+1))-1,0),0,MOD($A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CA73">
        <f>IF(AND(CROQUIS!$C$88=1,CROQUIS!$C$91=1,CROQUIS!$C$133&gt;0),((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4">
      <c r="A74" t="n">
        <v>67</v>
      </c>
      <c r="AJ74">
        <f>IF(AND(CROQUIS!$C$87=1,CROQUIS!$C$162&gt;0,CROQUIS!$C$164&gt;0),(CROQUIS!$C$160+((CROQUIS!$C$163+INT(MIN(INT(($A74-1)/2),MAX((2*CROQUIS!$C$162)-1,0))/2)*CROQUIS!$C$116+MOD(MIN(INT(($A74-1)/2),MAX((2*CROQUIS!$C$162)-1,0)),2)*CROQUIS!$C$114))*CROQUIS!$C$159),-1000)</f>
        <v>81.3375508359693</v>
      </c>
      <c r="AK74">
        <f>IF(AND(CROQUIS!$C$87=1,CROQUIS!$C$162&gt;0,CROQUIS!$C$164&gt;0),(CROQUIS!$C$161+(IF(MOD(MIN(INT(($A74-1)/2),MAX((2*CROQUIS!$C$162)-1,0)),2)=0,IF(IF(INT(($A74-1)/2)&gt;MAX((2*CROQUIS!$C$162)-1,0),1,MOD($A74-1,2))=0,CROQUIS!$C$165,(CROQUIS!$C$165+(CROQUIS!$C$164-1)*CROQUIS!$C$116+CROQUIS!$C$115)),IF(IF(INT(($A74-1)/2)&gt;MAX((2*CROQUIS!$C$162)-1,0),1,MOD($A74-1,2))=0,(CROQUIS!$C$165+(CROQUIS!$C$164-1)*CROQUIS!$C$116+CROQUIS!$C$115),CROQUIS!$C$165)))*CROQUIS!$C$159),-1000)</f>
        <v>20.8088567555355</v>
      </c>
      <c r="AL74">
        <f>IF(AND(CROQUIS!$C$87=1,CROQUIS!$C$164&gt;0,CROQUIS!$C$162&gt;0),(CROQUIS!$C$160+(IF(MOD(MIN(INT(($A74-1)/2),MAX((2*CROQUIS!$C$164)-1,0)),2)=0,IF(IF(INT(($A74-1)/2)&gt;MAX((2*CROQUIS!$C$164)-1,0),1,MOD($A74-1,2))=0,CROQUIS!$C$163,(CROQUIS!$C$163+(CROQUIS!$C$162-1)*CROQUIS!$C$116+CROQUIS!$C$114)),IF(IF(INT(($A74-1)/2)&gt;MAX((2*CROQUIS!$C$164)-1,0),1,MOD($A74-1,2))=0,(CROQUIS!$C$163+(CROQUIS!$C$162-1)*CROQUIS!$C$116+CROQUIS!$C$114),CROQUIS!$C$163)))*CROQUIS!$C$159),-1000)</f>
        <v>22.9552643470402</v>
      </c>
      <c r="AM74">
        <f>IF(AND(CROQUIS!$C$87=1,CROQUIS!$C$164&gt;0,CROQUIS!$C$162&gt;0),(CROQUIS!$C$161+((CROQUIS!$C$165+INT(MIN(INT(($A74-1)/2),MAX((2*CROQUIS!$C$164)-1,0))/2)*CROQUIS!$C$116+MOD(MIN(INT(($A74-1)/2),MAX((2*CROQUIS!$C$164)-1,0)),2)*CROQUIS!$C$115))*CROQUIS!$C$159),-1000)</f>
        <v>79.1911432444645</v>
      </c>
      <c r="BN74">
        <f>IF(AND(CROQUIS!$C$88=1,CROQUIS!$C$129&gt;0),((CROQUIS!$C$160+(IF(CROQUIS!$C$92="X",CHOOSE(IF(INT(($A74-1)/5)&gt;MAX((MAX(1,INT(((CROQUIS!$C$98)-CROQUIS!$C$107)/MAX((CROQUIS!$C$129*MAX(1,CEILING((INT(((CROQUIS!$C$98)-CROQUIS!$C$107)/MAX(CROQUIS!$C$129,1))+1)/80,1))),1))+1))-1,0),0,MOD($A74-1,5))+1,0,2,CROQUIS!$C$97-2,2,0),((CROQUIS!$C$107/2+(((CROQUIS!$C$98)-CROQUIS!$C$107)-(MAX(1,INT(((CROQUIS!$C$98)-CROQUIS!$C$107)/MAX((CROQUIS!$C$129*MAX(1,CEILING((INT(((CROQUIS!$C$98)-CROQUIS!$C$107)/MAX(CROQUIS!$C$129,1))+1)/80,1))),1))+1)-1)*(CROQUIS!$C$129*MAX(1,CEILING((INT(((CROQUIS!$C$98)-CROQUIS!$C$107)/MAX(CROQUIS!$C$129,1))+1)/80,1))))/2)+MIN(INT(($A74-1)/5),MAX((MAX(1,INT(((CROQUIS!$C$98)-CROQUIS!$C$107)/MAX((CROQUIS!$C$129*MAX(1,CEILING((INT(((CROQUIS!$C$98)-CROQUIS!$C$107)/MAX(CROQUIS!$C$129,1))+1)/80,1))),1))+1))-1,0))*(CROQUIS!$C$129*MAX(1,CEILING((INT(((CROQUIS!$C$98)-CROQUIS!$C$107)/MAX(CROQUIS!$C$129,1))+1)/80,1))))))*CROQUIS!$C$159)+IF(CROQUIS!$C$92="X",0,0)),-1000)</f>
        <v>-1000</v>
      </c>
      <c r="BO74">
        <f>IF(AND(CROQUIS!$C$88=1,CROQUIS!$C$129&gt;0),((CROQUIS!$C$161+(IF(CROQUIS!$C$92="X",((CROQUIS!$C$107/2+(((CROQUIS!$C$98)-CROQUIS!$C$107)-(MAX(1,INT(((CROQUIS!$C$98)-CROQUIS!$C$107)/MAX((CROQUIS!$C$129*MAX(1,CEILING((INT(((CROQUIS!$C$98)-CROQUIS!$C$107)/MAX(CROQUIS!$C$129,1))+1)/80,1))),1))+1)-1)*(CROQUIS!$C$129*MAX(1,CEILING((INT(((CROQUIS!$C$98)-CROQUIS!$C$107)/MAX(CROQUIS!$C$129,1))+1)/80,1))))/2)+MIN(INT(($A74-1)/5),MAX((MAX(1,INT(((CROQUIS!$C$98)-CROQUIS!$C$107)/MAX((CROQUIS!$C$129*MAX(1,CEILING((INT(((CROQUIS!$C$98)-CROQUIS!$C$107)/MAX(CROQUIS!$C$129,1))+1)/80,1))),1))+1))-1,0))*(CROQUIS!$C$129*MAX(1,CEILING((INT(((CROQUIS!$C$98)-CROQUIS!$C$107)/MAX(CROQUIS!$C$129,1))+1)/80,1)))),CHOOSE(IF(INT(($A74-1)/5)&gt;MAX((MAX(1,INT(((CROQUIS!$C$98)-CROQUIS!$C$107)/MAX((CROQUIS!$C$129*MAX(1,CEILING((INT(((CROQUIS!$C$98)-CROQUIS!$C$107)/MAX(CROQUIS!$C$129,1))+1)/80,1))),1))+1))-1,0),0,MOD($A74-1,5))+1,0,2,CROQUIS!$C$97-2,2,0)))*CROQUIS!$C$159)+IF(CROQUIS!$C$92="X",0,0)),-1000)</f>
        <v>-1000</v>
      </c>
      <c r="BP74">
        <f>IF(AND(CROQUIS!$C$88=1,CROQUIS!$C$137&gt;0),((CROQUIS!$C$160+(IF(CROQUIS!$C$92="X",((CROQUIS!$C$107/2+(((CROQUIS!$C$97)-CROQUIS!$C$107)-(MAX(1,INT(((CROQUIS!$C$97)-CROQUIS!$C$107)/MAX((CROQUIS!$C$137*MAX(1,CEILING((INT(((CROQUIS!$C$97)-CROQUIS!$C$107)/MAX(CROQUIS!$C$137,1))+1)/80,1))),1))+1)-1)*(CROQUIS!$C$137*MAX(1,CEILING((INT(((CROQUIS!$C$97)-CROQUIS!$C$107)/MAX(CROQUIS!$C$137,1))+1)/80,1))))/2)+MIN(INT(($A74-1)/5),MAX((MAX(1,INT(((CROQUIS!$C$97)-CROQUIS!$C$107)/MAX((CROQUIS!$C$137*MAX(1,CEILING((INT(((CROQUIS!$C$97)-CROQUIS!$C$107)/MAX(CROQUIS!$C$137,1))+1)/80,1))),1))+1))-1,0))*(CROQUIS!$C$137*MAX(1,CEILING((INT(((CROQUIS!$C$97)-CROQUIS!$C$107)/MAX(CROQUIS!$C$137,1))+1)/80,1)))),CHOOSE(IF(INT(($A74-1)/5)&gt;MAX((MAX(1,INT(((CROQUIS!$C$97)-CROQUIS!$C$107)/MAX((CROQUIS!$C$137*MAX(1,CEILING((INT(((CROQUIS!$C$97)-CROQUIS!$C$107)/MAX(CROQUIS!$C$137,1))+1)/80,1))),1))+1))-1,0),0,MOD($A74-1,5))+1,0,2,CROQUIS!$C$98-2,2,0)))*CROQUIS!$C$159)+IF(CROQUIS!$C$92="X",0,0)),-1000)</f>
        <v>-1000</v>
      </c>
      <c r="BQ74">
        <f>IF(AND(CROQUIS!$C$88=1,CROQUIS!$C$137&gt;0),((CROQUIS!$C$161+(IF(CROQUIS!$C$92="X",CHOOSE(IF(INT(($A74-1)/5)&gt;MAX((MAX(1,INT(((CROQUIS!$C$97)-CROQUIS!$C$107)/MAX((CROQUIS!$C$137*MAX(1,CEILING((INT(((CROQUIS!$C$97)-CROQUIS!$C$107)/MAX(CROQUIS!$C$137,1))+1)/80,1))),1))+1))-1,0),0,MOD($A74-1,5))+1,0,2,CROQUIS!$C$98-2,2,0),((CROQUIS!$C$107/2+(((CROQUIS!$C$97)-CROQUIS!$C$107)-(MAX(1,INT(((CROQUIS!$C$97)-CROQUIS!$C$107)/MAX((CROQUIS!$C$137*MAX(1,CEILING((INT(((CROQUIS!$C$97)-CROQUIS!$C$107)/MAX(CROQUIS!$C$137,1))+1)/80,1))),1))+1)-1)*(CROQUIS!$C$137*MAX(1,CEILING((INT(((CROQUIS!$C$97)-CROQUIS!$C$107)/MAX(CROQUIS!$C$137,1))+1)/80,1))))/2)+MIN(INT(($A74-1)/5),MAX((MAX(1,INT(((CROQUIS!$C$97)-CROQUIS!$C$107)/MAX((CROQUIS!$C$137*MAX(1,CEILING((INT(((CROQUIS!$C$97)-CROQUIS!$C$107)/MAX(CROQUIS!$C$137,1))+1)/80,1))),1))+1))-1,0))*(CROQUIS!$C$137*MAX(1,CEILING((INT(((CROQUIS!$C$97)-CROQUIS!$C$107)/MAX(CROQUIS!$C$137,1))+1)/80,1))))))*CROQUIS!$C$159)+IF(CROQUIS!$C$92="X",0,0)),-1000)</f>
        <v>-1000</v>
      </c>
      <c r="BR74">
        <f>IF(AND(CROQUIS!$C$88=1,CROQUIS!$C$91=0,CROQUIS!$C$133&gt;0,OR(CROQUIS!$C$103=1,CROQUIS!$C$145=1)),((CROQUIS!$C$160+(IF(CROQUIS!$C$92="X",CHOOSE(IF(INT(($A74-1)/5)&gt;MAX((MAX(1,INT(((CROQUIS!$C$98)-CROQUIS!$C$107)/MAX((CROQUIS!$C$133*MAX(1,CEILING((INT(((CROQUIS!$C$98)-CROQUIS!$C$107)/MAX(CROQUIS!$C$133,1))+1)/80,1))),1))+1))-1,0),0,MOD($A74-1,5))+1,0,IF(CROQUIS!$C$103=1,-12,2),CROQUIS!$C$107/2+CROQUIS!$C$143,IF(CROQUIS!$C$103=1,-12,2),0),((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BS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+1,0,IF(CROQUIS!$C$103=1,-12,2),CROQUIS!$C$107/2+CROQUIS!$C$143,IF(CROQUIS!$C$103=1,-12,2),0)))*CROQUIS!$C$159)+IF(CROQUIS!$C$92="X",0.8,0)),-1000)</f>
        <v>-1000</v>
      </c>
      <c r="BT74">
        <f>IF(AND(CROQUIS!$C$88=1,CROQUIS!$C$91=0,CROQUIS!$C$133&gt;0,OR(CROQUIS!$C$104=1,CROQUIS!$C$145=1)),((CROQUIS!$C$160+(IF(CROQUIS!$C$92="X",CHOOSE(IF(INT(($A74-1)/5)&gt;MAX((MAX(1,INT(((CROQUIS!$C$98)-CROQUIS!$C$107)/MAX((CROQUIS!$C$133*MAX(1,CEILING((INT(((CROQUIS!$C$98)-CROQUIS!$C$107)/MAX(CROQUIS!$C$133,1))+1)/80,1))),1))+1))-1,0),0,MOD($A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BU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CROQUIS!$C$97,CROQUIS!$C$97-CROQUIS!$C$107/2-CROQUIS!$C$143,IF(CROQUIS!$C$104=1,CROQUIS!$C$97+12,CROQUIS!$C$97-2),CROQUIS!$C$97-CROQUIS!$C$107/2-CROQUIS!$C$143,CROQUIS!$C$97)))*CROQUIS!$C$159)+IF(CROQUIS!$C$92="X",0.8,0)),-1000)</f>
        <v>-1000</v>
      </c>
      <c r="BV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HOOSE(IF(INT(($A74-1)/5)&gt;MAX((MAX(1,INT(((CROQUIS!$C$97)-CROQUIS!$C$107)/MAX((CROQUIS!$C$141*MAX(1,CEILING((INT(((CROQUIS!$C$97)-CROQUIS!$C$107)/MAX(CROQUIS!$C$141,1))+1)/80,1))),1))+1))-1,0),0,MOD($A74-1,5))+1,0,IF(CROQUIS!$C$105=1,-12,2),CROQUIS!$C$107/2+CROQUIS!$C$144,IF(CROQUIS!$C$105=1,-12,2),0)))*CROQUIS!$C$159)+IF(CROQUIS!$C$92="X",0.8,0)),-1000)</f>
        <v>-1000</v>
      </c>
      <c r="BW74">
        <f>IF(AND(CROQUIS!$C$88=1,CROQUIS!$C$91=0,CROQUIS!$C$141&gt;0,OR(CROQUIS!$C$105=1,CROQUIS!$C$146=1)),((CROQUIS!$C$161+(IF(CROQUIS!$C$92="X",CHOOSE(IF(INT(($A74-1)/5)&gt;MAX((MAX(1,INT(((CROQUIS!$C$97)-CROQUIS!$C$107)/MAX((CROQUIS!$C$141*MAX(1,CEILING((INT(((CROQUIS!$C$97)-CROQUIS!$C$107)/MAX(CROQUIS!$C$141,1))+1)/80,1))),1))+1))-1,0),0,MOD($A74-1,5))+1,0,IF(CROQUIS!$C$105=1,-12,2),CROQUIS!$C$107/2+CROQUIS!$C$144,IF(CROQUIS!$C$105=1,-12,2),0),((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ROQUIS!$C$159)+IF(CROQUIS!$C$92="X",0,0.8)),-1000)</f>
        <v>-1000</v>
      </c>
      <c r="BX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HOOSE(IF(INT(($A74-1)/5)&gt;MAX((MAX(1,INT(((CROQUIS!$C$97)-CROQUIS!$C$107)/MAX((CROQUIS!$C$141*MAX(1,CEILING((INT(((CROQUIS!$C$97)-CROQUIS!$C$107)/MAX(CROQUIS!$C$141,1))+1)/80,1))),1))+1))-1,0),0,MOD($A74-1,5))+1,CROQUIS!$C$98,CROQUIS!$C$98-CROQUIS!$C$107/2-CROQUIS!$C$144,IF(CROQUIS!$C$106=1,CROQUIS!$C$98+12,CROQUIS!$C$98-2),CROQUIS!$C$98-CROQUIS!$C$107/2-CROQUIS!$C$144,CROQUIS!$C$98)))*CROQUIS!$C$159)+IF(CROQUIS!$C$92="X",0.8,0)),-1000)</f>
        <v>-1000</v>
      </c>
      <c r="BY74">
        <f>IF(AND(CROQUIS!$C$88=1,CROQUIS!$C$91=0,CROQUIS!$C$141&gt;0,OR(CROQUIS!$C$106=1,CROQUIS!$C$146=1)),((CROQUIS!$C$161+(IF(CROQUIS!$C$92="X",CHOOSE(IF(INT(($A74-1)/5)&gt;MAX((MAX(1,INT(((CROQUIS!$C$97)-CROQUIS!$C$107)/MAX((CROQUIS!$C$141*MAX(1,CEILING((INT(((CROQUIS!$C$97)-CROQUIS!$C$107)/MAX(CROQUIS!$C$141,1))+1)/80,1))),1))+1))-1,0),0,MOD($A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ROQUIS!$C$159)+IF(CROQUIS!$C$92="X",0,0.8)),-1000)</f>
        <v>-1000</v>
      </c>
      <c r="BZ74">
        <f>IF(AND(CROQUIS!$C$88=1,CROQUIS!$C$91=1,CROQUIS!$C$133&gt;0),((CROQUIS!$C$160+(IF(CROQUIS!$C$92="X",CHOOSE(IF(INT(($A74-1)/5)&gt;MAX((MAX(1,INT(((CROQUIS!$C$98)-CROQUIS!$C$107)/MAX((CROQUIS!$C$133*MAX(1,CEILING((INT(((CROQUIS!$C$98)-CROQUIS!$C$107)/MAX(CROQUIS!$C$133,1))+1)/80,1))),1))+1))-1,0),0,MOD($A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CA74">
        <f>IF(AND(CROQUIS!$C$88=1,CROQUIS!$C$91=1,CROQUIS!$C$133&gt;0),((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5">
      <c r="A75" t="n">
        <v>68</v>
      </c>
      <c r="AJ75">
        <f>IF(AND(CROQUIS!$C$87=1,CROQUIS!$C$162&gt;0,CROQUIS!$C$164&gt;0),(CROQUIS!$C$160+((CROQUIS!$C$163+INT(MIN(INT(($A75-1)/2),MAX((2*CROQUIS!$C$162)-1,0))/2)*CROQUIS!$C$116+MOD(MIN(INT(($A75-1)/2),MAX((2*CROQUIS!$C$162)-1,0)),2)*CROQUIS!$C$114))*CROQUIS!$C$159),-1000)</f>
        <v>81.3375508359693</v>
      </c>
      <c r="AK75">
        <f>IF(AND(CROQUIS!$C$87=1,CROQUIS!$C$162&gt;0,CROQUIS!$C$164&gt;0),(CROQUIS!$C$161+(IF(MOD(MIN(INT(($A75-1)/2),MAX((2*CROQUIS!$C$162)-1,0)),2)=0,IF(IF(INT(($A75-1)/2)&gt;MAX((2*CROQUIS!$C$162)-1,0),1,MOD($A75-1,2))=0,CROQUIS!$C$165,(CROQUIS!$C$165+(CROQUIS!$C$164-1)*CROQUIS!$C$116+CROQUIS!$C$115)),IF(IF(INT(($A75-1)/2)&gt;MAX((2*CROQUIS!$C$162)-1,0),1,MOD($A75-1,2))=0,(CROQUIS!$C$165+(CROQUIS!$C$164-1)*CROQUIS!$C$116+CROQUIS!$C$115),CROQUIS!$C$165)))*CROQUIS!$C$159),-1000)</f>
        <v>20.8088567555355</v>
      </c>
      <c r="AL75">
        <f>IF(AND(CROQUIS!$C$87=1,CROQUIS!$C$164&gt;0,CROQUIS!$C$162&gt;0),(CROQUIS!$C$160+(IF(MOD(MIN(INT(($A75-1)/2),MAX((2*CROQUIS!$C$164)-1,0)),2)=0,IF(IF(INT(($A75-1)/2)&gt;MAX((2*CROQUIS!$C$164)-1,0),1,MOD($A75-1,2))=0,CROQUIS!$C$163,(CROQUIS!$C$163+(CROQUIS!$C$162-1)*CROQUIS!$C$116+CROQUIS!$C$114)),IF(IF(INT(($A75-1)/2)&gt;MAX((2*CROQUIS!$C$164)-1,0),1,MOD($A75-1,2))=0,(CROQUIS!$C$163+(CROQUIS!$C$162-1)*CROQUIS!$C$116+CROQUIS!$C$114),CROQUIS!$C$163)))*CROQUIS!$C$159),-1000)</f>
        <v>22.9552643470402</v>
      </c>
      <c r="AM75">
        <f>IF(AND(CROQUIS!$C$87=1,CROQUIS!$C$164&gt;0,CROQUIS!$C$162&gt;0),(CROQUIS!$C$161+((CROQUIS!$C$165+INT(MIN(INT(($A75-1)/2),MAX((2*CROQUIS!$C$164)-1,0))/2)*CROQUIS!$C$116+MOD(MIN(INT(($A75-1)/2),MAX((2*CROQUIS!$C$164)-1,0)),2)*CROQUIS!$C$115))*CROQUIS!$C$159),-1000)</f>
        <v>79.1911432444645</v>
      </c>
      <c r="BN75">
        <f>IF(AND(CROQUIS!$C$88=1,CROQUIS!$C$129&gt;0),((CROQUIS!$C$160+(IF(CROQUIS!$C$92="X",CHOOSE(IF(INT(($A75-1)/5)&gt;MAX((MAX(1,INT(((CROQUIS!$C$98)-CROQUIS!$C$107)/MAX((CROQUIS!$C$129*MAX(1,CEILING((INT(((CROQUIS!$C$98)-CROQUIS!$C$107)/MAX(CROQUIS!$C$129,1))+1)/80,1))),1))+1))-1,0),0,MOD($A75-1,5))+1,0,2,CROQUIS!$C$97-2,2,0),((CROQUIS!$C$107/2+(((CROQUIS!$C$98)-CROQUIS!$C$107)-(MAX(1,INT(((CROQUIS!$C$98)-CROQUIS!$C$107)/MAX((CROQUIS!$C$129*MAX(1,CEILING((INT(((CROQUIS!$C$98)-CROQUIS!$C$107)/MAX(CROQUIS!$C$129,1))+1)/80,1))),1))+1)-1)*(CROQUIS!$C$129*MAX(1,CEILING((INT(((CROQUIS!$C$98)-CROQUIS!$C$107)/MAX(CROQUIS!$C$129,1))+1)/80,1))))/2)+MIN(INT(($A75-1)/5),MAX((MAX(1,INT(((CROQUIS!$C$98)-CROQUIS!$C$107)/MAX((CROQUIS!$C$129*MAX(1,CEILING((INT(((CROQUIS!$C$98)-CROQUIS!$C$107)/MAX(CROQUIS!$C$129,1))+1)/80,1))),1))+1))-1,0))*(CROQUIS!$C$129*MAX(1,CEILING((INT(((CROQUIS!$C$98)-CROQUIS!$C$107)/MAX(CROQUIS!$C$129,1))+1)/80,1))))))*CROQUIS!$C$159)+IF(CROQUIS!$C$92="X",0,0)),-1000)</f>
        <v>-1000</v>
      </c>
      <c r="BO75">
        <f>IF(AND(CROQUIS!$C$88=1,CROQUIS!$C$129&gt;0),((CROQUIS!$C$161+(IF(CROQUIS!$C$92="X",((CROQUIS!$C$107/2+(((CROQUIS!$C$98)-CROQUIS!$C$107)-(MAX(1,INT(((CROQUIS!$C$98)-CROQUIS!$C$107)/MAX((CROQUIS!$C$129*MAX(1,CEILING((INT(((CROQUIS!$C$98)-CROQUIS!$C$107)/MAX(CROQUIS!$C$129,1))+1)/80,1))),1))+1)-1)*(CROQUIS!$C$129*MAX(1,CEILING((INT(((CROQUIS!$C$98)-CROQUIS!$C$107)/MAX(CROQUIS!$C$129,1))+1)/80,1))))/2)+MIN(INT(($A75-1)/5),MAX((MAX(1,INT(((CROQUIS!$C$98)-CROQUIS!$C$107)/MAX((CROQUIS!$C$129*MAX(1,CEILING((INT(((CROQUIS!$C$98)-CROQUIS!$C$107)/MAX(CROQUIS!$C$129,1))+1)/80,1))),1))+1))-1,0))*(CROQUIS!$C$129*MAX(1,CEILING((INT(((CROQUIS!$C$98)-CROQUIS!$C$107)/MAX(CROQUIS!$C$129,1))+1)/80,1)))),CHOOSE(IF(INT(($A75-1)/5)&gt;MAX((MAX(1,INT(((CROQUIS!$C$98)-CROQUIS!$C$107)/MAX((CROQUIS!$C$129*MAX(1,CEILING((INT(((CROQUIS!$C$98)-CROQUIS!$C$107)/MAX(CROQUIS!$C$129,1))+1)/80,1))),1))+1))-1,0),0,MOD($A75-1,5))+1,0,2,CROQUIS!$C$97-2,2,0)))*CROQUIS!$C$159)+IF(CROQUIS!$C$92="X",0,0)),-1000)</f>
        <v>-1000</v>
      </c>
      <c r="BP75">
        <f>IF(AND(CROQUIS!$C$88=1,CROQUIS!$C$137&gt;0),((CROQUIS!$C$160+(IF(CROQUIS!$C$92="X",((CROQUIS!$C$107/2+(((CROQUIS!$C$97)-CROQUIS!$C$107)-(MAX(1,INT(((CROQUIS!$C$97)-CROQUIS!$C$107)/MAX((CROQUIS!$C$137*MAX(1,CEILING((INT(((CROQUIS!$C$97)-CROQUIS!$C$107)/MAX(CROQUIS!$C$137,1))+1)/80,1))),1))+1)-1)*(CROQUIS!$C$137*MAX(1,CEILING((INT(((CROQUIS!$C$97)-CROQUIS!$C$107)/MAX(CROQUIS!$C$137,1))+1)/80,1))))/2)+MIN(INT(($A75-1)/5),MAX((MAX(1,INT(((CROQUIS!$C$97)-CROQUIS!$C$107)/MAX((CROQUIS!$C$137*MAX(1,CEILING((INT(((CROQUIS!$C$97)-CROQUIS!$C$107)/MAX(CROQUIS!$C$137,1))+1)/80,1))),1))+1))-1,0))*(CROQUIS!$C$137*MAX(1,CEILING((INT(((CROQUIS!$C$97)-CROQUIS!$C$107)/MAX(CROQUIS!$C$137,1))+1)/80,1)))),CHOOSE(IF(INT(($A75-1)/5)&gt;MAX((MAX(1,INT(((CROQUIS!$C$97)-CROQUIS!$C$107)/MAX((CROQUIS!$C$137*MAX(1,CEILING((INT(((CROQUIS!$C$97)-CROQUIS!$C$107)/MAX(CROQUIS!$C$137,1))+1)/80,1))),1))+1))-1,0),0,MOD($A75-1,5))+1,0,2,CROQUIS!$C$98-2,2,0)))*CROQUIS!$C$159)+IF(CROQUIS!$C$92="X",0,0)),-1000)</f>
        <v>-1000</v>
      </c>
      <c r="BQ75">
        <f>IF(AND(CROQUIS!$C$88=1,CROQUIS!$C$137&gt;0),((CROQUIS!$C$161+(IF(CROQUIS!$C$92="X",CHOOSE(IF(INT(($A75-1)/5)&gt;MAX((MAX(1,INT(((CROQUIS!$C$97)-CROQUIS!$C$107)/MAX((CROQUIS!$C$137*MAX(1,CEILING((INT(((CROQUIS!$C$97)-CROQUIS!$C$107)/MAX(CROQUIS!$C$137,1))+1)/80,1))),1))+1))-1,0),0,MOD($A75-1,5))+1,0,2,CROQUIS!$C$98-2,2,0),((CROQUIS!$C$107/2+(((CROQUIS!$C$97)-CROQUIS!$C$107)-(MAX(1,INT(((CROQUIS!$C$97)-CROQUIS!$C$107)/MAX((CROQUIS!$C$137*MAX(1,CEILING((INT(((CROQUIS!$C$97)-CROQUIS!$C$107)/MAX(CROQUIS!$C$137,1))+1)/80,1))),1))+1)-1)*(CROQUIS!$C$137*MAX(1,CEILING((INT(((CROQUIS!$C$97)-CROQUIS!$C$107)/MAX(CROQUIS!$C$137,1))+1)/80,1))))/2)+MIN(INT(($A75-1)/5),MAX((MAX(1,INT(((CROQUIS!$C$97)-CROQUIS!$C$107)/MAX((CROQUIS!$C$137*MAX(1,CEILING((INT(((CROQUIS!$C$97)-CROQUIS!$C$107)/MAX(CROQUIS!$C$137,1))+1)/80,1))),1))+1))-1,0))*(CROQUIS!$C$137*MAX(1,CEILING((INT(((CROQUIS!$C$97)-CROQUIS!$C$107)/MAX(CROQUIS!$C$137,1))+1)/80,1))))))*CROQUIS!$C$159)+IF(CROQUIS!$C$92="X",0,0)),-1000)</f>
        <v>-1000</v>
      </c>
      <c r="BR75">
        <f>IF(AND(CROQUIS!$C$88=1,CROQUIS!$C$91=0,CROQUIS!$C$133&gt;0,OR(CROQUIS!$C$103=1,CROQUIS!$C$145=1)),((CROQUIS!$C$160+(IF(CROQUIS!$C$92="X",CHOOSE(IF(INT(($A75-1)/5)&gt;MAX((MAX(1,INT(((CROQUIS!$C$98)-CROQUIS!$C$107)/MAX((CROQUIS!$C$133*MAX(1,CEILING((INT(((CROQUIS!$C$98)-CROQUIS!$C$107)/MAX(CROQUIS!$C$133,1))+1)/80,1))),1))+1))-1,0),0,MOD($A75-1,5))+1,0,IF(CROQUIS!$C$103=1,-12,2),CROQUIS!$C$107/2+CROQUIS!$C$143,IF(CROQUIS!$C$103=1,-12,2),0),((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BS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+1,0,IF(CROQUIS!$C$103=1,-12,2),CROQUIS!$C$107/2+CROQUIS!$C$143,IF(CROQUIS!$C$103=1,-12,2),0)))*CROQUIS!$C$159)+IF(CROQUIS!$C$92="X",0.8,0)),-1000)</f>
        <v>-1000</v>
      </c>
      <c r="BT75">
        <f>IF(AND(CROQUIS!$C$88=1,CROQUIS!$C$91=0,CROQUIS!$C$133&gt;0,OR(CROQUIS!$C$104=1,CROQUIS!$C$145=1)),((CROQUIS!$C$160+(IF(CROQUIS!$C$92="X",CHOOSE(IF(INT(($A75-1)/5)&gt;MAX((MAX(1,INT(((CROQUIS!$C$98)-CROQUIS!$C$107)/MAX((CROQUIS!$C$133*MAX(1,CEILING((INT(((CROQUIS!$C$98)-CROQUIS!$C$107)/MAX(CROQUIS!$C$133,1))+1)/80,1))),1))+1))-1,0),0,MOD($A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BU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CROQUIS!$C$97,CROQUIS!$C$97-CROQUIS!$C$107/2-CROQUIS!$C$143,IF(CROQUIS!$C$104=1,CROQUIS!$C$97+12,CROQUIS!$C$97-2),CROQUIS!$C$97-CROQUIS!$C$107/2-CROQUIS!$C$143,CROQUIS!$C$97)))*CROQUIS!$C$159)+IF(CROQUIS!$C$92="X",0.8,0)),-1000)</f>
        <v>-1000</v>
      </c>
      <c r="BV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HOOSE(IF(INT(($A75-1)/5)&gt;MAX((MAX(1,INT(((CROQUIS!$C$97)-CROQUIS!$C$107)/MAX((CROQUIS!$C$141*MAX(1,CEILING((INT(((CROQUIS!$C$97)-CROQUIS!$C$107)/MAX(CROQUIS!$C$141,1))+1)/80,1))),1))+1))-1,0),0,MOD($A75-1,5))+1,0,IF(CROQUIS!$C$105=1,-12,2),CROQUIS!$C$107/2+CROQUIS!$C$144,IF(CROQUIS!$C$105=1,-12,2),0)))*CROQUIS!$C$159)+IF(CROQUIS!$C$92="X",0.8,0)),-1000)</f>
        <v>-1000</v>
      </c>
      <c r="BW75">
        <f>IF(AND(CROQUIS!$C$88=1,CROQUIS!$C$91=0,CROQUIS!$C$141&gt;0,OR(CROQUIS!$C$105=1,CROQUIS!$C$146=1)),((CROQUIS!$C$161+(IF(CROQUIS!$C$92="X",CHOOSE(IF(INT(($A75-1)/5)&gt;MAX((MAX(1,INT(((CROQUIS!$C$97)-CROQUIS!$C$107)/MAX((CROQUIS!$C$141*MAX(1,CEILING((INT(((CROQUIS!$C$97)-CROQUIS!$C$107)/MAX(CROQUIS!$C$141,1))+1)/80,1))),1))+1))-1,0),0,MOD($A75-1,5))+1,0,IF(CROQUIS!$C$105=1,-12,2),CROQUIS!$C$107/2+CROQUIS!$C$144,IF(CROQUIS!$C$105=1,-12,2),0),((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ROQUIS!$C$159)+IF(CROQUIS!$C$92="X",0,0.8)),-1000)</f>
        <v>-1000</v>
      </c>
      <c r="BX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HOOSE(IF(INT(($A75-1)/5)&gt;MAX((MAX(1,INT(((CROQUIS!$C$97)-CROQUIS!$C$107)/MAX((CROQUIS!$C$141*MAX(1,CEILING((INT(((CROQUIS!$C$97)-CROQUIS!$C$107)/MAX(CROQUIS!$C$141,1))+1)/80,1))),1))+1))-1,0),0,MOD($A75-1,5))+1,CROQUIS!$C$98,CROQUIS!$C$98-CROQUIS!$C$107/2-CROQUIS!$C$144,IF(CROQUIS!$C$106=1,CROQUIS!$C$98+12,CROQUIS!$C$98-2),CROQUIS!$C$98-CROQUIS!$C$107/2-CROQUIS!$C$144,CROQUIS!$C$98)))*CROQUIS!$C$159)+IF(CROQUIS!$C$92="X",0.8,0)),-1000)</f>
        <v>-1000</v>
      </c>
      <c r="BY75">
        <f>IF(AND(CROQUIS!$C$88=1,CROQUIS!$C$91=0,CROQUIS!$C$141&gt;0,OR(CROQUIS!$C$106=1,CROQUIS!$C$146=1)),((CROQUIS!$C$161+(IF(CROQUIS!$C$92="X",CHOOSE(IF(INT(($A75-1)/5)&gt;MAX((MAX(1,INT(((CROQUIS!$C$97)-CROQUIS!$C$107)/MAX((CROQUIS!$C$141*MAX(1,CEILING((INT(((CROQUIS!$C$97)-CROQUIS!$C$107)/MAX(CROQUIS!$C$141,1))+1)/80,1))),1))+1))-1,0),0,MOD($A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ROQUIS!$C$159)+IF(CROQUIS!$C$92="X",0,0.8)),-1000)</f>
        <v>-1000</v>
      </c>
      <c r="BZ75">
        <f>IF(AND(CROQUIS!$C$88=1,CROQUIS!$C$91=1,CROQUIS!$C$133&gt;0),((CROQUIS!$C$160+(IF(CROQUIS!$C$92="X",CHOOSE(IF(INT(($A75-1)/5)&gt;MAX((MAX(1,INT(((CROQUIS!$C$98)-CROQUIS!$C$107)/MAX((CROQUIS!$C$133*MAX(1,CEILING((INT(((CROQUIS!$C$98)-CROQUIS!$C$107)/MAX(CROQUIS!$C$133,1))+1)/80,1))),1))+1))-1,0),0,MOD($A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CA75">
        <f>IF(AND(CROQUIS!$C$88=1,CROQUIS!$C$91=1,CROQUIS!$C$133&gt;0),((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6">
      <c r="A76" t="n">
        <v>69</v>
      </c>
      <c r="AJ76">
        <f>IF(AND(CROQUIS!$C$87=1,CROQUIS!$C$162&gt;0,CROQUIS!$C$164&gt;0),(CROQUIS!$C$160+((CROQUIS!$C$163+INT(MIN(INT(($A76-1)/2),MAX((2*CROQUIS!$C$162)-1,0))/2)*CROQUIS!$C$116+MOD(MIN(INT(($A76-1)/2),MAX((2*CROQUIS!$C$162)-1,0)),2)*CROQUIS!$C$114))*CROQUIS!$C$159),-1000)</f>
        <v>81.3375508359693</v>
      </c>
      <c r="AK76">
        <f>IF(AND(CROQUIS!$C$87=1,CROQUIS!$C$162&gt;0,CROQUIS!$C$164&gt;0),(CROQUIS!$C$161+(IF(MOD(MIN(INT(($A76-1)/2),MAX((2*CROQUIS!$C$162)-1,0)),2)=0,IF(IF(INT(($A76-1)/2)&gt;MAX((2*CROQUIS!$C$162)-1,0),1,MOD($A76-1,2))=0,CROQUIS!$C$165,(CROQUIS!$C$165+(CROQUIS!$C$164-1)*CROQUIS!$C$116+CROQUIS!$C$115)),IF(IF(INT(($A76-1)/2)&gt;MAX((2*CROQUIS!$C$162)-1,0),1,MOD($A76-1,2))=0,(CROQUIS!$C$165+(CROQUIS!$C$164-1)*CROQUIS!$C$116+CROQUIS!$C$115),CROQUIS!$C$165)))*CROQUIS!$C$159),-1000)</f>
        <v>20.8088567555355</v>
      </c>
      <c r="AL76">
        <f>IF(AND(CROQUIS!$C$87=1,CROQUIS!$C$164&gt;0,CROQUIS!$C$162&gt;0),(CROQUIS!$C$160+(IF(MOD(MIN(INT(($A76-1)/2),MAX((2*CROQUIS!$C$164)-1,0)),2)=0,IF(IF(INT(($A76-1)/2)&gt;MAX((2*CROQUIS!$C$164)-1,0),1,MOD($A76-1,2))=0,CROQUIS!$C$163,(CROQUIS!$C$163+(CROQUIS!$C$162-1)*CROQUIS!$C$116+CROQUIS!$C$114)),IF(IF(INT(($A76-1)/2)&gt;MAX((2*CROQUIS!$C$164)-1,0),1,MOD($A76-1,2))=0,(CROQUIS!$C$163+(CROQUIS!$C$162-1)*CROQUIS!$C$116+CROQUIS!$C$114),CROQUIS!$C$163)))*CROQUIS!$C$159),-1000)</f>
        <v>22.9552643470402</v>
      </c>
      <c r="AM76">
        <f>IF(AND(CROQUIS!$C$87=1,CROQUIS!$C$164&gt;0,CROQUIS!$C$162&gt;0),(CROQUIS!$C$161+((CROQUIS!$C$165+INT(MIN(INT(($A76-1)/2),MAX((2*CROQUIS!$C$164)-1,0))/2)*CROQUIS!$C$116+MOD(MIN(INT(($A76-1)/2),MAX((2*CROQUIS!$C$164)-1,0)),2)*CROQUIS!$C$115))*CROQUIS!$C$159),-1000)</f>
        <v>79.1911432444645</v>
      </c>
      <c r="BN76">
        <f>IF(AND(CROQUIS!$C$88=1,CROQUIS!$C$129&gt;0),((CROQUIS!$C$160+(IF(CROQUIS!$C$92="X",CHOOSE(IF(INT(($A76-1)/5)&gt;MAX((MAX(1,INT(((CROQUIS!$C$98)-CROQUIS!$C$107)/MAX((CROQUIS!$C$129*MAX(1,CEILING((INT(((CROQUIS!$C$98)-CROQUIS!$C$107)/MAX(CROQUIS!$C$129,1))+1)/80,1))),1))+1))-1,0),0,MOD($A76-1,5))+1,0,2,CROQUIS!$C$97-2,2,0),((CROQUIS!$C$107/2+(((CROQUIS!$C$98)-CROQUIS!$C$107)-(MAX(1,INT(((CROQUIS!$C$98)-CROQUIS!$C$107)/MAX((CROQUIS!$C$129*MAX(1,CEILING((INT(((CROQUIS!$C$98)-CROQUIS!$C$107)/MAX(CROQUIS!$C$129,1))+1)/80,1))),1))+1)-1)*(CROQUIS!$C$129*MAX(1,CEILING((INT(((CROQUIS!$C$98)-CROQUIS!$C$107)/MAX(CROQUIS!$C$129,1))+1)/80,1))))/2)+MIN(INT(($A76-1)/5),MAX((MAX(1,INT(((CROQUIS!$C$98)-CROQUIS!$C$107)/MAX((CROQUIS!$C$129*MAX(1,CEILING((INT(((CROQUIS!$C$98)-CROQUIS!$C$107)/MAX(CROQUIS!$C$129,1))+1)/80,1))),1))+1))-1,0))*(CROQUIS!$C$129*MAX(1,CEILING((INT(((CROQUIS!$C$98)-CROQUIS!$C$107)/MAX(CROQUIS!$C$129,1))+1)/80,1))))))*CROQUIS!$C$159)+IF(CROQUIS!$C$92="X",0,0)),-1000)</f>
        <v>-1000</v>
      </c>
      <c r="BO76">
        <f>IF(AND(CROQUIS!$C$88=1,CROQUIS!$C$129&gt;0),((CROQUIS!$C$161+(IF(CROQUIS!$C$92="X",((CROQUIS!$C$107/2+(((CROQUIS!$C$98)-CROQUIS!$C$107)-(MAX(1,INT(((CROQUIS!$C$98)-CROQUIS!$C$107)/MAX((CROQUIS!$C$129*MAX(1,CEILING((INT(((CROQUIS!$C$98)-CROQUIS!$C$107)/MAX(CROQUIS!$C$129,1))+1)/80,1))),1))+1)-1)*(CROQUIS!$C$129*MAX(1,CEILING((INT(((CROQUIS!$C$98)-CROQUIS!$C$107)/MAX(CROQUIS!$C$129,1))+1)/80,1))))/2)+MIN(INT(($A76-1)/5),MAX((MAX(1,INT(((CROQUIS!$C$98)-CROQUIS!$C$107)/MAX((CROQUIS!$C$129*MAX(1,CEILING((INT(((CROQUIS!$C$98)-CROQUIS!$C$107)/MAX(CROQUIS!$C$129,1))+1)/80,1))),1))+1))-1,0))*(CROQUIS!$C$129*MAX(1,CEILING((INT(((CROQUIS!$C$98)-CROQUIS!$C$107)/MAX(CROQUIS!$C$129,1))+1)/80,1)))),CHOOSE(IF(INT(($A76-1)/5)&gt;MAX((MAX(1,INT(((CROQUIS!$C$98)-CROQUIS!$C$107)/MAX((CROQUIS!$C$129*MAX(1,CEILING((INT(((CROQUIS!$C$98)-CROQUIS!$C$107)/MAX(CROQUIS!$C$129,1))+1)/80,1))),1))+1))-1,0),0,MOD($A76-1,5))+1,0,2,CROQUIS!$C$97-2,2,0)))*CROQUIS!$C$159)+IF(CROQUIS!$C$92="X",0,0)),-1000)</f>
        <v>-1000</v>
      </c>
      <c r="BP76">
        <f>IF(AND(CROQUIS!$C$88=1,CROQUIS!$C$137&gt;0),((CROQUIS!$C$160+(IF(CROQUIS!$C$92="X",((CROQUIS!$C$107/2+(((CROQUIS!$C$97)-CROQUIS!$C$107)-(MAX(1,INT(((CROQUIS!$C$97)-CROQUIS!$C$107)/MAX((CROQUIS!$C$137*MAX(1,CEILING((INT(((CROQUIS!$C$97)-CROQUIS!$C$107)/MAX(CROQUIS!$C$137,1))+1)/80,1))),1))+1)-1)*(CROQUIS!$C$137*MAX(1,CEILING((INT(((CROQUIS!$C$97)-CROQUIS!$C$107)/MAX(CROQUIS!$C$137,1))+1)/80,1))))/2)+MIN(INT(($A76-1)/5),MAX((MAX(1,INT(((CROQUIS!$C$97)-CROQUIS!$C$107)/MAX((CROQUIS!$C$137*MAX(1,CEILING((INT(((CROQUIS!$C$97)-CROQUIS!$C$107)/MAX(CROQUIS!$C$137,1))+1)/80,1))),1))+1))-1,0))*(CROQUIS!$C$137*MAX(1,CEILING((INT(((CROQUIS!$C$97)-CROQUIS!$C$107)/MAX(CROQUIS!$C$137,1))+1)/80,1)))),CHOOSE(IF(INT(($A76-1)/5)&gt;MAX((MAX(1,INT(((CROQUIS!$C$97)-CROQUIS!$C$107)/MAX((CROQUIS!$C$137*MAX(1,CEILING((INT(((CROQUIS!$C$97)-CROQUIS!$C$107)/MAX(CROQUIS!$C$137,1))+1)/80,1))),1))+1))-1,0),0,MOD($A76-1,5))+1,0,2,CROQUIS!$C$98-2,2,0)))*CROQUIS!$C$159)+IF(CROQUIS!$C$92="X",0,0)),-1000)</f>
        <v>-1000</v>
      </c>
      <c r="BQ76">
        <f>IF(AND(CROQUIS!$C$88=1,CROQUIS!$C$137&gt;0),((CROQUIS!$C$161+(IF(CROQUIS!$C$92="X",CHOOSE(IF(INT(($A76-1)/5)&gt;MAX((MAX(1,INT(((CROQUIS!$C$97)-CROQUIS!$C$107)/MAX((CROQUIS!$C$137*MAX(1,CEILING((INT(((CROQUIS!$C$97)-CROQUIS!$C$107)/MAX(CROQUIS!$C$137,1))+1)/80,1))),1))+1))-1,0),0,MOD($A76-1,5))+1,0,2,CROQUIS!$C$98-2,2,0),((CROQUIS!$C$107/2+(((CROQUIS!$C$97)-CROQUIS!$C$107)-(MAX(1,INT(((CROQUIS!$C$97)-CROQUIS!$C$107)/MAX((CROQUIS!$C$137*MAX(1,CEILING((INT(((CROQUIS!$C$97)-CROQUIS!$C$107)/MAX(CROQUIS!$C$137,1))+1)/80,1))),1))+1)-1)*(CROQUIS!$C$137*MAX(1,CEILING((INT(((CROQUIS!$C$97)-CROQUIS!$C$107)/MAX(CROQUIS!$C$137,1))+1)/80,1))))/2)+MIN(INT(($A76-1)/5),MAX((MAX(1,INT(((CROQUIS!$C$97)-CROQUIS!$C$107)/MAX((CROQUIS!$C$137*MAX(1,CEILING((INT(((CROQUIS!$C$97)-CROQUIS!$C$107)/MAX(CROQUIS!$C$137,1))+1)/80,1))),1))+1))-1,0))*(CROQUIS!$C$137*MAX(1,CEILING((INT(((CROQUIS!$C$97)-CROQUIS!$C$107)/MAX(CROQUIS!$C$137,1))+1)/80,1))))))*CROQUIS!$C$159)+IF(CROQUIS!$C$92="X",0,0)),-1000)</f>
        <v>-1000</v>
      </c>
      <c r="BR76">
        <f>IF(AND(CROQUIS!$C$88=1,CROQUIS!$C$91=0,CROQUIS!$C$133&gt;0,OR(CROQUIS!$C$103=1,CROQUIS!$C$145=1)),((CROQUIS!$C$160+(IF(CROQUIS!$C$92="X",CHOOSE(IF(INT(($A76-1)/5)&gt;MAX((MAX(1,INT(((CROQUIS!$C$98)-CROQUIS!$C$107)/MAX((CROQUIS!$C$133*MAX(1,CEILING((INT(((CROQUIS!$C$98)-CROQUIS!$C$107)/MAX(CROQUIS!$C$133,1))+1)/80,1))),1))+1))-1,0),0,MOD($A76-1,5))+1,0,IF(CROQUIS!$C$103=1,-12,2),CROQUIS!$C$107/2+CROQUIS!$C$143,IF(CROQUIS!$C$103=1,-12,2),0),((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BS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+1,0,IF(CROQUIS!$C$103=1,-12,2),CROQUIS!$C$107/2+CROQUIS!$C$143,IF(CROQUIS!$C$103=1,-12,2),0)))*CROQUIS!$C$159)+IF(CROQUIS!$C$92="X",0.8,0)),-1000)</f>
        <v>-1000</v>
      </c>
      <c r="BT76">
        <f>IF(AND(CROQUIS!$C$88=1,CROQUIS!$C$91=0,CROQUIS!$C$133&gt;0,OR(CROQUIS!$C$104=1,CROQUIS!$C$145=1)),((CROQUIS!$C$160+(IF(CROQUIS!$C$92="X",CHOOSE(IF(INT(($A76-1)/5)&gt;MAX((MAX(1,INT(((CROQUIS!$C$98)-CROQUIS!$C$107)/MAX((CROQUIS!$C$133*MAX(1,CEILING((INT(((CROQUIS!$C$98)-CROQUIS!$C$107)/MAX(CROQUIS!$C$133,1))+1)/80,1))),1))+1))-1,0),0,MOD($A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BU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CROQUIS!$C$97,CROQUIS!$C$97-CROQUIS!$C$107/2-CROQUIS!$C$143,IF(CROQUIS!$C$104=1,CROQUIS!$C$97+12,CROQUIS!$C$97-2),CROQUIS!$C$97-CROQUIS!$C$107/2-CROQUIS!$C$143,CROQUIS!$C$97)))*CROQUIS!$C$159)+IF(CROQUIS!$C$92="X",0.8,0)),-1000)</f>
        <v>-1000</v>
      </c>
      <c r="BV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HOOSE(IF(INT(($A76-1)/5)&gt;MAX((MAX(1,INT(((CROQUIS!$C$97)-CROQUIS!$C$107)/MAX((CROQUIS!$C$141*MAX(1,CEILING((INT(((CROQUIS!$C$97)-CROQUIS!$C$107)/MAX(CROQUIS!$C$141,1))+1)/80,1))),1))+1))-1,0),0,MOD($A76-1,5))+1,0,IF(CROQUIS!$C$105=1,-12,2),CROQUIS!$C$107/2+CROQUIS!$C$144,IF(CROQUIS!$C$105=1,-12,2),0)))*CROQUIS!$C$159)+IF(CROQUIS!$C$92="X",0.8,0)),-1000)</f>
        <v>-1000</v>
      </c>
      <c r="BW76">
        <f>IF(AND(CROQUIS!$C$88=1,CROQUIS!$C$91=0,CROQUIS!$C$141&gt;0,OR(CROQUIS!$C$105=1,CROQUIS!$C$146=1)),((CROQUIS!$C$161+(IF(CROQUIS!$C$92="X",CHOOSE(IF(INT(($A76-1)/5)&gt;MAX((MAX(1,INT(((CROQUIS!$C$97)-CROQUIS!$C$107)/MAX((CROQUIS!$C$141*MAX(1,CEILING((INT(((CROQUIS!$C$97)-CROQUIS!$C$107)/MAX(CROQUIS!$C$141,1))+1)/80,1))),1))+1))-1,0),0,MOD($A76-1,5))+1,0,IF(CROQUIS!$C$105=1,-12,2),CROQUIS!$C$107/2+CROQUIS!$C$144,IF(CROQUIS!$C$105=1,-12,2),0),((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ROQUIS!$C$159)+IF(CROQUIS!$C$92="X",0,0.8)),-1000)</f>
        <v>-1000</v>
      </c>
      <c r="BX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HOOSE(IF(INT(($A76-1)/5)&gt;MAX((MAX(1,INT(((CROQUIS!$C$97)-CROQUIS!$C$107)/MAX((CROQUIS!$C$141*MAX(1,CEILING((INT(((CROQUIS!$C$97)-CROQUIS!$C$107)/MAX(CROQUIS!$C$141,1))+1)/80,1))),1))+1))-1,0),0,MOD($A76-1,5))+1,CROQUIS!$C$98,CROQUIS!$C$98-CROQUIS!$C$107/2-CROQUIS!$C$144,IF(CROQUIS!$C$106=1,CROQUIS!$C$98+12,CROQUIS!$C$98-2),CROQUIS!$C$98-CROQUIS!$C$107/2-CROQUIS!$C$144,CROQUIS!$C$98)))*CROQUIS!$C$159)+IF(CROQUIS!$C$92="X",0.8,0)),-1000)</f>
        <v>-1000</v>
      </c>
      <c r="BY76">
        <f>IF(AND(CROQUIS!$C$88=1,CROQUIS!$C$91=0,CROQUIS!$C$141&gt;0,OR(CROQUIS!$C$106=1,CROQUIS!$C$146=1)),((CROQUIS!$C$161+(IF(CROQUIS!$C$92="X",CHOOSE(IF(INT(($A76-1)/5)&gt;MAX((MAX(1,INT(((CROQUIS!$C$97)-CROQUIS!$C$107)/MAX((CROQUIS!$C$141*MAX(1,CEILING((INT(((CROQUIS!$C$97)-CROQUIS!$C$107)/MAX(CROQUIS!$C$141,1))+1)/80,1))),1))+1))-1,0),0,MOD($A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ROQUIS!$C$159)+IF(CROQUIS!$C$92="X",0,0.8)),-1000)</f>
        <v>-1000</v>
      </c>
      <c r="BZ76">
        <f>IF(AND(CROQUIS!$C$88=1,CROQUIS!$C$91=1,CROQUIS!$C$133&gt;0),((CROQUIS!$C$160+(IF(CROQUIS!$C$92="X",CHOOSE(IF(INT(($A76-1)/5)&gt;MAX((MAX(1,INT(((CROQUIS!$C$98)-CROQUIS!$C$107)/MAX((CROQUIS!$C$133*MAX(1,CEILING((INT(((CROQUIS!$C$98)-CROQUIS!$C$107)/MAX(CROQUIS!$C$133,1))+1)/80,1))),1))+1))-1,0),0,MOD($A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CA76">
        <f>IF(AND(CROQUIS!$C$88=1,CROQUIS!$C$91=1,CROQUIS!$C$133&gt;0),((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7">
      <c r="A77" t="n">
        <v>70</v>
      </c>
      <c r="AJ77">
        <f>IF(AND(CROQUIS!$C$87=1,CROQUIS!$C$162&gt;0,CROQUIS!$C$164&gt;0),(CROQUIS!$C$160+((CROQUIS!$C$163+INT(MIN(INT(($A77-1)/2),MAX((2*CROQUIS!$C$162)-1,0))/2)*CROQUIS!$C$116+MOD(MIN(INT(($A77-1)/2),MAX((2*CROQUIS!$C$162)-1,0)),2)*CROQUIS!$C$114))*CROQUIS!$C$159),-1000)</f>
        <v>81.3375508359693</v>
      </c>
      <c r="AK77">
        <f>IF(AND(CROQUIS!$C$87=1,CROQUIS!$C$162&gt;0,CROQUIS!$C$164&gt;0),(CROQUIS!$C$161+(IF(MOD(MIN(INT(($A77-1)/2),MAX((2*CROQUIS!$C$162)-1,0)),2)=0,IF(IF(INT(($A77-1)/2)&gt;MAX((2*CROQUIS!$C$162)-1,0),1,MOD($A77-1,2))=0,CROQUIS!$C$165,(CROQUIS!$C$165+(CROQUIS!$C$164-1)*CROQUIS!$C$116+CROQUIS!$C$115)),IF(IF(INT(($A77-1)/2)&gt;MAX((2*CROQUIS!$C$162)-1,0),1,MOD($A77-1,2))=0,(CROQUIS!$C$165+(CROQUIS!$C$164-1)*CROQUIS!$C$116+CROQUIS!$C$115),CROQUIS!$C$165)))*CROQUIS!$C$159),-1000)</f>
        <v>20.8088567555355</v>
      </c>
      <c r="AL77">
        <f>IF(AND(CROQUIS!$C$87=1,CROQUIS!$C$164&gt;0,CROQUIS!$C$162&gt;0),(CROQUIS!$C$160+(IF(MOD(MIN(INT(($A77-1)/2),MAX((2*CROQUIS!$C$164)-1,0)),2)=0,IF(IF(INT(($A77-1)/2)&gt;MAX((2*CROQUIS!$C$164)-1,0),1,MOD($A77-1,2))=0,CROQUIS!$C$163,(CROQUIS!$C$163+(CROQUIS!$C$162-1)*CROQUIS!$C$116+CROQUIS!$C$114)),IF(IF(INT(($A77-1)/2)&gt;MAX((2*CROQUIS!$C$164)-1,0),1,MOD($A77-1,2))=0,(CROQUIS!$C$163+(CROQUIS!$C$162-1)*CROQUIS!$C$116+CROQUIS!$C$114),CROQUIS!$C$163)))*CROQUIS!$C$159),-1000)</f>
        <v>22.9552643470402</v>
      </c>
      <c r="AM77">
        <f>IF(AND(CROQUIS!$C$87=1,CROQUIS!$C$164&gt;0,CROQUIS!$C$162&gt;0),(CROQUIS!$C$161+((CROQUIS!$C$165+INT(MIN(INT(($A77-1)/2),MAX((2*CROQUIS!$C$164)-1,0))/2)*CROQUIS!$C$116+MOD(MIN(INT(($A77-1)/2),MAX((2*CROQUIS!$C$164)-1,0)),2)*CROQUIS!$C$115))*CROQUIS!$C$159),-1000)</f>
        <v>79.1911432444645</v>
      </c>
      <c r="BN77">
        <f>IF(AND(CROQUIS!$C$88=1,CROQUIS!$C$129&gt;0),((CROQUIS!$C$160+(IF(CROQUIS!$C$92="X",CHOOSE(IF(INT(($A77-1)/5)&gt;MAX((MAX(1,INT(((CROQUIS!$C$98)-CROQUIS!$C$107)/MAX((CROQUIS!$C$129*MAX(1,CEILING((INT(((CROQUIS!$C$98)-CROQUIS!$C$107)/MAX(CROQUIS!$C$129,1))+1)/80,1))),1))+1))-1,0),0,MOD($A77-1,5))+1,0,2,CROQUIS!$C$97-2,2,0),((CROQUIS!$C$107/2+(((CROQUIS!$C$98)-CROQUIS!$C$107)-(MAX(1,INT(((CROQUIS!$C$98)-CROQUIS!$C$107)/MAX((CROQUIS!$C$129*MAX(1,CEILING((INT(((CROQUIS!$C$98)-CROQUIS!$C$107)/MAX(CROQUIS!$C$129,1))+1)/80,1))),1))+1)-1)*(CROQUIS!$C$129*MAX(1,CEILING((INT(((CROQUIS!$C$98)-CROQUIS!$C$107)/MAX(CROQUIS!$C$129,1))+1)/80,1))))/2)+MIN(INT(($A77-1)/5),MAX((MAX(1,INT(((CROQUIS!$C$98)-CROQUIS!$C$107)/MAX((CROQUIS!$C$129*MAX(1,CEILING((INT(((CROQUIS!$C$98)-CROQUIS!$C$107)/MAX(CROQUIS!$C$129,1))+1)/80,1))),1))+1))-1,0))*(CROQUIS!$C$129*MAX(1,CEILING((INT(((CROQUIS!$C$98)-CROQUIS!$C$107)/MAX(CROQUIS!$C$129,1))+1)/80,1))))))*CROQUIS!$C$159)+IF(CROQUIS!$C$92="X",0,0)),-1000)</f>
        <v>-1000</v>
      </c>
      <c r="BO77">
        <f>IF(AND(CROQUIS!$C$88=1,CROQUIS!$C$129&gt;0),((CROQUIS!$C$161+(IF(CROQUIS!$C$92="X",((CROQUIS!$C$107/2+(((CROQUIS!$C$98)-CROQUIS!$C$107)-(MAX(1,INT(((CROQUIS!$C$98)-CROQUIS!$C$107)/MAX((CROQUIS!$C$129*MAX(1,CEILING((INT(((CROQUIS!$C$98)-CROQUIS!$C$107)/MAX(CROQUIS!$C$129,1))+1)/80,1))),1))+1)-1)*(CROQUIS!$C$129*MAX(1,CEILING((INT(((CROQUIS!$C$98)-CROQUIS!$C$107)/MAX(CROQUIS!$C$129,1))+1)/80,1))))/2)+MIN(INT(($A77-1)/5),MAX((MAX(1,INT(((CROQUIS!$C$98)-CROQUIS!$C$107)/MAX((CROQUIS!$C$129*MAX(1,CEILING((INT(((CROQUIS!$C$98)-CROQUIS!$C$107)/MAX(CROQUIS!$C$129,1))+1)/80,1))),1))+1))-1,0))*(CROQUIS!$C$129*MAX(1,CEILING((INT(((CROQUIS!$C$98)-CROQUIS!$C$107)/MAX(CROQUIS!$C$129,1))+1)/80,1)))),CHOOSE(IF(INT(($A77-1)/5)&gt;MAX((MAX(1,INT(((CROQUIS!$C$98)-CROQUIS!$C$107)/MAX((CROQUIS!$C$129*MAX(1,CEILING((INT(((CROQUIS!$C$98)-CROQUIS!$C$107)/MAX(CROQUIS!$C$129,1))+1)/80,1))),1))+1))-1,0),0,MOD($A77-1,5))+1,0,2,CROQUIS!$C$97-2,2,0)))*CROQUIS!$C$159)+IF(CROQUIS!$C$92="X",0,0)),-1000)</f>
        <v>-1000</v>
      </c>
      <c r="BP77">
        <f>IF(AND(CROQUIS!$C$88=1,CROQUIS!$C$137&gt;0),((CROQUIS!$C$160+(IF(CROQUIS!$C$92="X",((CROQUIS!$C$107/2+(((CROQUIS!$C$97)-CROQUIS!$C$107)-(MAX(1,INT(((CROQUIS!$C$97)-CROQUIS!$C$107)/MAX((CROQUIS!$C$137*MAX(1,CEILING((INT(((CROQUIS!$C$97)-CROQUIS!$C$107)/MAX(CROQUIS!$C$137,1))+1)/80,1))),1))+1)-1)*(CROQUIS!$C$137*MAX(1,CEILING((INT(((CROQUIS!$C$97)-CROQUIS!$C$107)/MAX(CROQUIS!$C$137,1))+1)/80,1))))/2)+MIN(INT(($A77-1)/5),MAX((MAX(1,INT(((CROQUIS!$C$97)-CROQUIS!$C$107)/MAX((CROQUIS!$C$137*MAX(1,CEILING((INT(((CROQUIS!$C$97)-CROQUIS!$C$107)/MAX(CROQUIS!$C$137,1))+1)/80,1))),1))+1))-1,0))*(CROQUIS!$C$137*MAX(1,CEILING((INT(((CROQUIS!$C$97)-CROQUIS!$C$107)/MAX(CROQUIS!$C$137,1))+1)/80,1)))),CHOOSE(IF(INT(($A77-1)/5)&gt;MAX((MAX(1,INT(((CROQUIS!$C$97)-CROQUIS!$C$107)/MAX((CROQUIS!$C$137*MAX(1,CEILING((INT(((CROQUIS!$C$97)-CROQUIS!$C$107)/MAX(CROQUIS!$C$137,1))+1)/80,1))),1))+1))-1,0),0,MOD($A77-1,5))+1,0,2,CROQUIS!$C$98-2,2,0)))*CROQUIS!$C$159)+IF(CROQUIS!$C$92="X",0,0)),-1000)</f>
        <v>-1000</v>
      </c>
      <c r="BQ77">
        <f>IF(AND(CROQUIS!$C$88=1,CROQUIS!$C$137&gt;0),((CROQUIS!$C$161+(IF(CROQUIS!$C$92="X",CHOOSE(IF(INT(($A77-1)/5)&gt;MAX((MAX(1,INT(((CROQUIS!$C$97)-CROQUIS!$C$107)/MAX((CROQUIS!$C$137*MAX(1,CEILING((INT(((CROQUIS!$C$97)-CROQUIS!$C$107)/MAX(CROQUIS!$C$137,1))+1)/80,1))),1))+1))-1,0),0,MOD($A77-1,5))+1,0,2,CROQUIS!$C$98-2,2,0),((CROQUIS!$C$107/2+(((CROQUIS!$C$97)-CROQUIS!$C$107)-(MAX(1,INT(((CROQUIS!$C$97)-CROQUIS!$C$107)/MAX((CROQUIS!$C$137*MAX(1,CEILING((INT(((CROQUIS!$C$97)-CROQUIS!$C$107)/MAX(CROQUIS!$C$137,1))+1)/80,1))),1))+1)-1)*(CROQUIS!$C$137*MAX(1,CEILING((INT(((CROQUIS!$C$97)-CROQUIS!$C$107)/MAX(CROQUIS!$C$137,1))+1)/80,1))))/2)+MIN(INT(($A77-1)/5),MAX((MAX(1,INT(((CROQUIS!$C$97)-CROQUIS!$C$107)/MAX((CROQUIS!$C$137*MAX(1,CEILING((INT(((CROQUIS!$C$97)-CROQUIS!$C$107)/MAX(CROQUIS!$C$137,1))+1)/80,1))),1))+1))-1,0))*(CROQUIS!$C$137*MAX(1,CEILING((INT(((CROQUIS!$C$97)-CROQUIS!$C$107)/MAX(CROQUIS!$C$137,1))+1)/80,1))))))*CROQUIS!$C$159)+IF(CROQUIS!$C$92="X",0,0)),-1000)</f>
        <v>-1000</v>
      </c>
      <c r="BR77">
        <f>IF(AND(CROQUIS!$C$88=1,CROQUIS!$C$91=0,CROQUIS!$C$133&gt;0,OR(CROQUIS!$C$103=1,CROQUIS!$C$145=1)),((CROQUIS!$C$160+(IF(CROQUIS!$C$92="X",CHOOSE(IF(INT(($A77-1)/5)&gt;MAX((MAX(1,INT(((CROQUIS!$C$98)-CROQUIS!$C$107)/MAX((CROQUIS!$C$133*MAX(1,CEILING((INT(((CROQUIS!$C$98)-CROQUIS!$C$107)/MAX(CROQUIS!$C$133,1))+1)/80,1))),1))+1))-1,0),0,MOD($A77-1,5))+1,0,IF(CROQUIS!$C$103=1,-12,2),CROQUIS!$C$107/2+CROQUIS!$C$143,IF(CROQUIS!$C$103=1,-12,2),0),((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BS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+1,0,IF(CROQUIS!$C$103=1,-12,2),CROQUIS!$C$107/2+CROQUIS!$C$143,IF(CROQUIS!$C$103=1,-12,2),0)))*CROQUIS!$C$159)+IF(CROQUIS!$C$92="X",0.8,0)),-1000)</f>
        <v>-1000</v>
      </c>
      <c r="BT77">
        <f>IF(AND(CROQUIS!$C$88=1,CROQUIS!$C$91=0,CROQUIS!$C$133&gt;0,OR(CROQUIS!$C$104=1,CROQUIS!$C$145=1)),((CROQUIS!$C$160+(IF(CROQUIS!$C$92="X",CHOOSE(IF(INT(($A77-1)/5)&gt;MAX((MAX(1,INT(((CROQUIS!$C$98)-CROQUIS!$C$107)/MAX((CROQUIS!$C$133*MAX(1,CEILING((INT(((CROQUIS!$C$98)-CROQUIS!$C$107)/MAX(CROQUIS!$C$133,1))+1)/80,1))),1))+1))-1,0),0,MOD($A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BU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CROQUIS!$C$97,CROQUIS!$C$97-CROQUIS!$C$107/2-CROQUIS!$C$143,IF(CROQUIS!$C$104=1,CROQUIS!$C$97+12,CROQUIS!$C$97-2),CROQUIS!$C$97-CROQUIS!$C$107/2-CROQUIS!$C$143,CROQUIS!$C$97)))*CROQUIS!$C$159)+IF(CROQUIS!$C$92="X",0.8,0)),-1000)</f>
        <v>-1000</v>
      </c>
      <c r="BV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HOOSE(IF(INT(($A77-1)/5)&gt;MAX((MAX(1,INT(((CROQUIS!$C$97)-CROQUIS!$C$107)/MAX((CROQUIS!$C$141*MAX(1,CEILING((INT(((CROQUIS!$C$97)-CROQUIS!$C$107)/MAX(CROQUIS!$C$141,1))+1)/80,1))),1))+1))-1,0),0,MOD($A77-1,5))+1,0,IF(CROQUIS!$C$105=1,-12,2),CROQUIS!$C$107/2+CROQUIS!$C$144,IF(CROQUIS!$C$105=1,-12,2),0)))*CROQUIS!$C$159)+IF(CROQUIS!$C$92="X",0.8,0)),-1000)</f>
        <v>-1000</v>
      </c>
      <c r="BW77">
        <f>IF(AND(CROQUIS!$C$88=1,CROQUIS!$C$91=0,CROQUIS!$C$141&gt;0,OR(CROQUIS!$C$105=1,CROQUIS!$C$146=1)),((CROQUIS!$C$161+(IF(CROQUIS!$C$92="X",CHOOSE(IF(INT(($A77-1)/5)&gt;MAX((MAX(1,INT(((CROQUIS!$C$97)-CROQUIS!$C$107)/MAX((CROQUIS!$C$141*MAX(1,CEILING((INT(((CROQUIS!$C$97)-CROQUIS!$C$107)/MAX(CROQUIS!$C$141,1))+1)/80,1))),1))+1))-1,0),0,MOD($A77-1,5))+1,0,IF(CROQUIS!$C$105=1,-12,2),CROQUIS!$C$107/2+CROQUIS!$C$144,IF(CROQUIS!$C$105=1,-12,2),0),((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ROQUIS!$C$159)+IF(CROQUIS!$C$92="X",0,0.8)),-1000)</f>
        <v>-1000</v>
      </c>
      <c r="BX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HOOSE(IF(INT(($A77-1)/5)&gt;MAX((MAX(1,INT(((CROQUIS!$C$97)-CROQUIS!$C$107)/MAX((CROQUIS!$C$141*MAX(1,CEILING((INT(((CROQUIS!$C$97)-CROQUIS!$C$107)/MAX(CROQUIS!$C$141,1))+1)/80,1))),1))+1))-1,0),0,MOD($A77-1,5))+1,CROQUIS!$C$98,CROQUIS!$C$98-CROQUIS!$C$107/2-CROQUIS!$C$144,IF(CROQUIS!$C$106=1,CROQUIS!$C$98+12,CROQUIS!$C$98-2),CROQUIS!$C$98-CROQUIS!$C$107/2-CROQUIS!$C$144,CROQUIS!$C$98)))*CROQUIS!$C$159)+IF(CROQUIS!$C$92="X",0.8,0)),-1000)</f>
        <v>-1000</v>
      </c>
      <c r="BY77">
        <f>IF(AND(CROQUIS!$C$88=1,CROQUIS!$C$91=0,CROQUIS!$C$141&gt;0,OR(CROQUIS!$C$106=1,CROQUIS!$C$146=1)),((CROQUIS!$C$161+(IF(CROQUIS!$C$92="X",CHOOSE(IF(INT(($A77-1)/5)&gt;MAX((MAX(1,INT(((CROQUIS!$C$97)-CROQUIS!$C$107)/MAX((CROQUIS!$C$141*MAX(1,CEILING((INT(((CROQUIS!$C$97)-CROQUIS!$C$107)/MAX(CROQUIS!$C$141,1))+1)/80,1))),1))+1))-1,0),0,MOD($A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ROQUIS!$C$159)+IF(CROQUIS!$C$92="X",0,0.8)),-1000)</f>
        <v>-1000</v>
      </c>
      <c r="BZ77">
        <f>IF(AND(CROQUIS!$C$88=1,CROQUIS!$C$91=1,CROQUIS!$C$133&gt;0),((CROQUIS!$C$160+(IF(CROQUIS!$C$92="X",CHOOSE(IF(INT(($A77-1)/5)&gt;MAX((MAX(1,INT(((CROQUIS!$C$98)-CROQUIS!$C$107)/MAX((CROQUIS!$C$133*MAX(1,CEILING((INT(((CROQUIS!$C$98)-CROQUIS!$C$107)/MAX(CROQUIS!$C$133,1))+1)/80,1))),1))+1))-1,0),0,MOD($A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CA77">
        <f>IF(AND(CROQUIS!$C$88=1,CROQUIS!$C$91=1,CROQUIS!$C$133&gt;0),((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8">
      <c r="A78" t="n">
        <v>71</v>
      </c>
      <c r="AJ78">
        <f>IF(AND(CROQUIS!$C$87=1,CROQUIS!$C$162&gt;0,CROQUIS!$C$164&gt;0),(CROQUIS!$C$160+((CROQUIS!$C$163+INT(MIN(INT(($A78-1)/2),MAX((2*CROQUIS!$C$162)-1,0))/2)*CROQUIS!$C$116+MOD(MIN(INT(($A78-1)/2),MAX((2*CROQUIS!$C$162)-1,0)),2)*CROQUIS!$C$114))*CROQUIS!$C$159),-1000)</f>
        <v>81.3375508359693</v>
      </c>
      <c r="AK78">
        <f>IF(AND(CROQUIS!$C$87=1,CROQUIS!$C$162&gt;0,CROQUIS!$C$164&gt;0),(CROQUIS!$C$161+(IF(MOD(MIN(INT(($A78-1)/2),MAX((2*CROQUIS!$C$162)-1,0)),2)=0,IF(IF(INT(($A78-1)/2)&gt;MAX((2*CROQUIS!$C$162)-1,0),1,MOD($A78-1,2))=0,CROQUIS!$C$165,(CROQUIS!$C$165+(CROQUIS!$C$164-1)*CROQUIS!$C$116+CROQUIS!$C$115)),IF(IF(INT(($A78-1)/2)&gt;MAX((2*CROQUIS!$C$162)-1,0),1,MOD($A78-1,2))=0,(CROQUIS!$C$165+(CROQUIS!$C$164-1)*CROQUIS!$C$116+CROQUIS!$C$115),CROQUIS!$C$165)))*CROQUIS!$C$159),-1000)</f>
        <v>20.8088567555355</v>
      </c>
      <c r="AL78">
        <f>IF(AND(CROQUIS!$C$87=1,CROQUIS!$C$164&gt;0,CROQUIS!$C$162&gt;0),(CROQUIS!$C$160+(IF(MOD(MIN(INT(($A78-1)/2),MAX((2*CROQUIS!$C$164)-1,0)),2)=0,IF(IF(INT(($A78-1)/2)&gt;MAX((2*CROQUIS!$C$164)-1,0),1,MOD($A78-1,2))=0,CROQUIS!$C$163,(CROQUIS!$C$163+(CROQUIS!$C$162-1)*CROQUIS!$C$116+CROQUIS!$C$114)),IF(IF(INT(($A78-1)/2)&gt;MAX((2*CROQUIS!$C$164)-1,0),1,MOD($A78-1,2))=0,(CROQUIS!$C$163+(CROQUIS!$C$162-1)*CROQUIS!$C$116+CROQUIS!$C$114),CROQUIS!$C$163)))*CROQUIS!$C$159),-1000)</f>
        <v>22.9552643470402</v>
      </c>
      <c r="AM78">
        <f>IF(AND(CROQUIS!$C$87=1,CROQUIS!$C$164&gt;0,CROQUIS!$C$162&gt;0),(CROQUIS!$C$161+((CROQUIS!$C$165+INT(MIN(INT(($A78-1)/2),MAX((2*CROQUIS!$C$164)-1,0))/2)*CROQUIS!$C$116+MOD(MIN(INT(($A78-1)/2),MAX((2*CROQUIS!$C$164)-1,0)),2)*CROQUIS!$C$115))*CROQUIS!$C$159),-1000)</f>
        <v>79.1911432444645</v>
      </c>
      <c r="BN78">
        <f>IF(AND(CROQUIS!$C$88=1,CROQUIS!$C$129&gt;0),((CROQUIS!$C$160+(IF(CROQUIS!$C$92="X",CHOOSE(IF(INT(($A78-1)/5)&gt;MAX((MAX(1,INT(((CROQUIS!$C$98)-CROQUIS!$C$107)/MAX((CROQUIS!$C$129*MAX(1,CEILING((INT(((CROQUIS!$C$98)-CROQUIS!$C$107)/MAX(CROQUIS!$C$129,1))+1)/80,1))),1))+1))-1,0),0,MOD($A78-1,5))+1,0,2,CROQUIS!$C$97-2,2,0),((CROQUIS!$C$107/2+(((CROQUIS!$C$98)-CROQUIS!$C$107)-(MAX(1,INT(((CROQUIS!$C$98)-CROQUIS!$C$107)/MAX((CROQUIS!$C$129*MAX(1,CEILING((INT(((CROQUIS!$C$98)-CROQUIS!$C$107)/MAX(CROQUIS!$C$129,1))+1)/80,1))),1))+1)-1)*(CROQUIS!$C$129*MAX(1,CEILING((INT(((CROQUIS!$C$98)-CROQUIS!$C$107)/MAX(CROQUIS!$C$129,1))+1)/80,1))))/2)+MIN(INT(($A78-1)/5),MAX((MAX(1,INT(((CROQUIS!$C$98)-CROQUIS!$C$107)/MAX((CROQUIS!$C$129*MAX(1,CEILING((INT(((CROQUIS!$C$98)-CROQUIS!$C$107)/MAX(CROQUIS!$C$129,1))+1)/80,1))),1))+1))-1,0))*(CROQUIS!$C$129*MAX(1,CEILING((INT(((CROQUIS!$C$98)-CROQUIS!$C$107)/MAX(CROQUIS!$C$129,1))+1)/80,1))))))*CROQUIS!$C$159)+IF(CROQUIS!$C$92="X",0,0)),-1000)</f>
        <v>-1000</v>
      </c>
      <c r="BO78">
        <f>IF(AND(CROQUIS!$C$88=1,CROQUIS!$C$129&gt;0),((CROQUIS!$C$161+(IF(CROQUIS!$C$92="X",((CROQUIS!$C$107/2+(((CROQUIS!$C$98)-CROQUIS!$C$107)-(MAX(1,INT(((CROQUIS!$C$98)-CROQUIS!$C$107)/MAX((CROQUIS!$C$129*MAX(1,CEILING((INT(((CROQUIS!$C$98)-CROQUIS!$C$107)/MAX(CROQUIS!$C$129,1))+1)/80,1))),1))+1)-1)*(CROQUIS!$C$129*MAX(1,CEILING((INT(((CROQUIS!$C$98)-CROQUIS!$C$107)/MAX(CROQUIS!$C$129,1))+1)/80,1))))/2)+MIN(INT(($A78-1)/5),MAX((MAX(1,INT(((CROQUIS!$C$98)-CROQUIS!$C$107)/MAX((CROQUIS!$C$129*MAX(1,CEILING((INT(((CROQUIS!$C$98)-CROQUIS!$C$107)/MAX(CROQUIS!$C$129,1))+1)/80,1))),1))+1))-1,0))*(CROQUIS!$C$129*MAX(1,CEILING((INT(((CROQUIS!$C$98)-CROQUIS!$C$107)/MAX(CROQUIS!$C$129,1))+1)/80,1)))),CHOOSE(IF(INT(($A78-1)/5)&gt;MAX((MAX(1,INT(((CROQUIS!$C$98)-CROQUIS!$C$107)/MAX((CROQUIS!$C$129*MAX(1,CEILING((INT(((CROQUIS!$C$98)-CROQUIS!$C$107)/MAX(CROQUIS!$C$129,1))+1)/80,1))),1))+1))-1,0),0,MOD($A78-1,5))+1,0,2,CROQUIS!$C$97-2,2,0)))*CROQUIS!$C$159)+IF(CROQUIS!$C$92="X",0,0)),-1000)</f>
        <v>-1000</v>
      </c>
      <c r="BP78">
        <f>IF(AND(CROQUIS!$C$88=1,CROQUIS!$C$137&gt;0),((CROQUIS!$C$160+(IF(CROQUIS!$C$92="X",((CROQUIS!$C$107/2+(((CROQUIS!$C$97)-CROQUIS!$C$107)-(MAX(1,INT(((CROQUIS!$C$97)-CROQUIS!$C$107)/MAX((CROQUIS!$C$137*MAX(1,CEILING((INT(((CROQUIS!$C$97)-CROQUIS!$C$107)/MAX(CROQUIS!$C$137,1))+1)/80,1))),1))+1)-1)*(CROQUIS!$C$137*MAX(1,CEILING((INT(((CROQUIS!$C$97)-CROQUIS!$C$107)/MAX(CROQUIS!$C$137,1))+1)/80,1))))/2)+MIN(INT(($A78-1)/5),MAX((MAX(1,INT(((CROQUIS!$C$97)-CROQUIS!$C$107)/MAX((CROQUIS!$C$137*MAX(1,CEILING((INT(((CROQUIS!$C$97)-CROQUIS!$C$107)/MAX(CROQUIS!$C$137,1))+1)/80,1))),1))+1))-1,0))*(CROQUIS!$C$137*MAX(1,CEILING((INT(((CROQUIS!$C$97)-CROQUIS!$C$107)/MAX(CROQUIS!$C$137,1))+1)/80,1)))),CHOOSE(IF(INT(($A78-1)/5)&gt;MAX((MAX(1,INT(((CROQUIS!$C$97)-CROQUIS!$C$107)/MAX((CROQUIS!$C$137*MAX(1,CEILING((INT(((CROQUIS!$C$97)-CROQUIS!$C$107)/MAX(CROQUIS!$C$137,1))+1)/80,1))),1))+1))-1,0),0,MOD($A78-1,5))+1,0,2,CROQUIS!$C$98-2,2,0)))*CROQUIS!$C$159)+IF(CROQUIS!$C$92="X",0,0)),-1000)</f>
        <v>-1000</v>
      </c>
      <c r="BQ78">
        <f>IF(AND(CROQUIS!$C$88=1,CROQUIS!$C$137&gt;0),((CROQUIS!$C$161+(IF(CROQUIS!$C$92="X",CHOOSE(IF(INT(($A78-1)/5)&gt;MAX((MAX(1,INT(((CROQUIS!$C$97)-CROQUIS!$C$107)/MAX((CROQUIS!$C$137*MAX(1,CEILING((INT(((CROQUIS!$C$97)-CROQUIS!$C$107)/MAX(CROQUIS!$C$137,1))+1)/80,1))),1))+1))-1,0),0,MOD($A78-1,5))+1,0,2,CROQUIS!$C$98-2,2,0),((CROQUIS!$C$107/2+(((CROQUIS!$C$97)-CROQUIS!$C$107)-(MAX(1,INT(((CROQUIS!$C$97)-CROQUIS!$C$107)/MAX((CROQUIS!$C$137*MAX(1,CEILING((INT(((CROQUIS!$C$97)-CROQUIS!$C$107)/MAX(CROQUIS!$C$137,1))+1)/80,1))),1))+1)-1)*(CROQUIS!$C$137*MAX(1,CEILING((INT(((CROQUIS!$C$97)-CROQUIS!$C$107)/MAX(CROQUIS!$C$137,1))+1)/80,1))))/2)+MIN(INT(($A78-1)/5),MAX((MAX(1,INT(((CROQUIS!$C$97)-CROQUIS!$C$107)/MAX((CROQUIS!$C$137*MAX(1,CEILING((INT(((CROQUIS!$C$97)-CROQUIS!$C$107)/MAX(CROQUIS!$C$137,1))+1)/80,1))),1))+1))-1,0))*(CROQUIS!$C$137*MAX(1,CEILING((INT(((CROQUIS!$C$97)-CROQUIS!$C$107)/MAX(CROQUIS!$C$137,1))+1)/80,1))))))*CROQUIS!$C$159)+IF(CROQUIS!$C$92="X",0,0)),-1000)</f>
        <v>-1000</v>
      </c>
      <c r="BR78">
        <f>IF(AND(CROQUIS!$C$88=1,CROQUIS!$C$91=0,CROQUIS!$C$133&gt;0,OR(CROQUIS!$C$103=1,CROQUIS!$C$145=1)),((CROQUIS!$C$160+(IF(CROQUIS!$C$92="X",CHOOSE(IF(INT(($A78-1)/5)&gt;MAX((MAX(1,INT(((CROQUIS!$C$98)-CROQUIS!$C$107)/MAX((CROQUIS!$C$133*MAX(1,CEILING((INT(((CROQUIS!$C$98)-CROQUIS!$C$107)/MAX(CROQUIS!$C$133,1))+1)/80,1))),1))+1))-1,0),0,MOD($A78-1,5))+1,0,IF(CROQUIS!$C$103=1,-12,2),CROQUIS!$C$107/2+CROQUIS!$C$143,IF(CROQUIS!$C$103=1,-12,2),0),((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BS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+1,0,IF(CROQUIS!$C$103=1,-12,2),CROQUIS!$C$107/2+CROQUIS!$C$143,IF(CROQUIS!$C$103=1,-12,2),0)))*CROQUIS!$C$159)+IF(CROQUIS!$C$92="X",0.8,0)),-1000)</f>
        <v>-1000</v>
      </c>
      <c r="BT78">
        <f>IF(AND(CROQUIS!$C$88=1,CROQUIS!$C$91=0,CROQUIS!$C$133&gt;0,OR(CROQUIS!$C$104=1,CROQUIS!$C$145=1)),((CROQUIS!$C$160+(IF(CROQUIS!$C$92="X",CHOOSE(IF(INT(($A78-1)/5)&gt;MAX((MAX(1,INT(((CROQUIS!$C$98)-CROQUIS!$C$107)/MAX((CROQUIS!$C$133*MAX(1,CEILING((INT(((CROQUIS!$C$98)-CROQUIS!$C$107)/MAX(CROQUIS!$C$133,1))+1)/80,1))),1))+1))-1,0),0,MOD($A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BU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CROQUIS!$C$97,CROQUIS!$C$97-CROQUIS!$C$107/2-CROQUIS!$C$143,IF(CROQUIS!$C$104=1,CROQUIS!$C$97+12,CROQUIS!$C$97-2),CROQUIS!$C$97-CROQUIS!$C$107/2-CROQUIS!$C$143,CROQUIS!$C$97)))*CROQUIS!$C$159)+IF(CROQUIS!$C$92="X",0.8,0)),-1000)</f>
        <v>-1000</v>
      </c>
      <c r="BV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HOOSE(IF(INT(($A78-1)/5)&gt;MAX((MAX(1,INT(((CROQUIS!$C$97)-CROQUIS!$C$107)/MAX((CROQUIS!$C$141*MAX(1,CEILING((INT(((CROQUIS!$C$97)-CROQUIS!$C$107)/MAX(CROQUIS!$C$141,1))+1)/80,1))),1))+1))-1,0),0,MOD($A78-1,5))+1,0,IF(CROQUIS!$C$105=1,-12,2),CROQUIS!$C$107/2+CROQUIS!$C$144,IF(CROQUIS!$C$105=1,-12,2),0)))*CROQUIS!$C$159)+IF(CROQUIS!$C$92="X",0.8,0)),-1000)</f>
        <v>-1000</v>
      </c>
      <c r="BW78">
        <f>IF(AND(CROQUIS!$C$88=1,CROQUIS!$C$91=0,CROQUIS!$C$141&gt;0,OR(CROQUIS!$C$105=1,CROQUIS!$C$146=1)),((CROQUIS!$C$161+(IF(CROQUIS!$C$92="X",CHOOSE(IF(INT(($A78-1)/5)&gt;MAX((MAX(1,INT(((CROQUIS!$C$97)-CROQUIS!$C$107)/MAX((CROQUIS!$C$141*MAX(1,CEILING((INT(((CROQUIS!$C$97)-CROQUIS!$C$107)/MAX(CROQUIS!$C$141,1))+1)/80,1))),1))+1))-1,0),0,MOD($A78-1,5))+1,0,IF(CROQUIS!$C$105=1,-12,2),CROQUIS!$C$107/2+CROQUIS!$C$144,IF(CROQUIS!$C$105=1,-12,2),0),((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ROQUIS!$C$159)+IF(CROQUIS!$C$92="X",0,0.8)),-1000)</f>
        <v>-1000</v>
      </c>
      <c r="BX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HOOSE(IF(INT(($A78-1)/5)&gt;MAX((MAX(1,INT(((CROQUIS!$C$97)-CROQUIS!$C$107)/MAX((CROQUIS!$C$141*MAX(1,CEILING((INT(((CROQUIS!$C$97)-CROQUIS!$C$107)/MAX(CROQUIS!$C$141,1))+1)/80,1))),1))+1))-1,0),0,MOD($A78-1,5))+1,CROQUIS!$C$98,CROQUIS!$C$98-CROQUIS!$C$107/2-CROQUIS!$C$144,IF(CROQUIS!$C$106=1,CROQUIS!$C$98+12,CROQUIS!$C$98-2),CROQUIS!$C$98-CROQUIS!$C$107/2-CROQUIS!$C$144,CROQUIS!$C$98)))*CROQUIS!$C$159)+IF(CROQUIS!$C$92="X",0.8,0)),-1000)</f>
        <v>-1000</v>
      </c>
      <c r="BY78">
        <f>IF(AND(CROQUIS!$C$88=1,CROQUIS!$C$91=0,CROQUIS!$C$141&gt;0,OR(CROQUIS!$C$106=1,CROQUIS!$C$146=1)),((CROQUIS!$C$161+(IF(CROQUIS!$C$92="X",CHOOSE(IF(INT(($A78-1)/5)&gt;MAX((MAX(1,INT(((CROQUIS!$C$97)-CROQUIS!$C$107)/MAX((CROQUIS!$C$141*MAX(1,CEILING((INT(((CROQUIS!$C$97)-CROQUIS!$C$107)/MAX(CROQUIS!$C$141,1))+1)/80,1))),1))+1))-1,0),0,MOD($A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ROQUIS!$C$159)+IF(CROQUIS!$C$92="X",0,0.8)),-1000)</f>
        <v>-1000</v>
      </c>
      <c r="BZ78">
        <f>IF(AND(CROQUIS!$C$88=1,CROQUIS!$C$91=1,CROQUIS!$C$133&gt;0),((CROQUIS!$C$160+(IF(CROQUIS!$C$92="X",CHOOSE(IF(INT(($A78-1)/5)&gt;MAX((MAX(1,INT(((CROQUIS!$C$98)-CROQUIS!$C$107)/MAX((CROQUIS!$C$133*MAX(1,CEILING((INT(((CROQUIS!$C$98)-CROQUIS!$C$107)/MAX(CROQUIS!$C$133,1))+1)/80,1))),1))+1))-1,0),0,MOD($A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CA78">
        <f>IF(AND(CROQUIS!$C$88=1,CROQUIS!$C$91=1,CROQUIS!$C$133&gt;0),((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9">
      <c r="A79" t="n">
        <v>72</v>
      </c>
      <c r="AJ79">
        <f>IF(AND(CROQUIS!$C$87=1,CROQUIS!$C$162&gt;0,CROQUIS!$C$164&gt;0),(CROQUIS!$C$160+((CROQUIS!$C$163+INT(MIN(INT(($A79-1)/2),MAX((2*CROQUIS!$C$162)-1,0))/2)*CROQUIS!$C$116+MOD(MIN(INT(($A79-1)/2),MAX((2*CROQUIS!$C$162)-1,0)),2)*CROQUIS!$C$114))*CROQUIS!$C$159),-1000)</f>
        <v>81.3375508359693</v>
      </c>
      <c r="AK79">
        <f>IF(AND(CROQUIS!$C$87=1,CROQUIS!$C$162&gt;0,CROQUIS!$C$164&gt;0),(CROQUIS!$C$161+(IF(MOD(MIN(INT(($A79-1)/2),MAX((2*CROQUIS!$C$162)-1,0)),2)=0,IF(IF(INT(($A79-1)/2)&gt;MAX((2*CROQUIS!$C$162)-1,0),1,MOD($A79-1,2))=0,CROQUIS!$C$165,(CROQUIS!$C$165+(CROQUIS!$C$164-1)*CROQUIS!$C$116+CROQUIS!$C$115)),IF(IF(INT(($A79-1)/2)&gt;MAX((2*CROQUIS!$C$162)-1,0),1,MOD($A79-1,2))=0,(CROQUIS!$C$165+(CROQUIS!$C$164-1)*CROQUIS!$C$116+CROQUIS!$C$115),CROQUIS!$C$165)))*CROQUIS!$C$159),-1000)</f>
        <v>20.8088567555355</v>
      </c>
      <c r="AL79">
        <f>IF(AND(CROQUIS!$C$87=1,CROQUIS!$C$164&gt;0,CROQUIS!$C$162&gt;0),(CROQUIS!$C$160+(IF(MOD(MIN(INT(($A79-1)/2),MAX((2*CROQUIS!$C$164)-1,0)),2)=0,IF(IF(INT(($A79-1)/2)&gt;MAX((2*CROQUIS!$C$164)-1,0),1,MOD($A79-1,2))=0,CROQUIS!$C$163,(CROQUIS!$C$163+(CROQUIS!$C$162-1)*CROQUIS!$C$116+CROQUIS!$C$114)),IF(IF(INT(($A79-1)/2)&gt;MAX((2*CROQUIS!$C$164)-1,0),1,MOD($A79-1,2))=0,(CROQUIS!$C$163+(CROQUIS!$C$162-1)*CROQUIS!$C$116+CROQUIS!$C$114),CROQUIS!$C$163)))*CROQUIS!$C$159),-1000)</f>
        <v>22.9552643470402</v>
      </c>
      <c r="AM79">
        <f>IF(AND(CROQUIS!$C$87=1,CROQUIS!$C$164&gt;0,CROQUIS!$C$162&gt;0),(CROQUIS!$C$161+((CROQUIS!$C$165+INT(MIN(INT(($A79-1)/2),MAX((2*CROQUIS!$C$164)-1,0))/2)*CROQUIS!$C$116+MOD(MIN(INT(($A79-1)/2),MAX((2*CROQUIS!$C$164)-1,0)),2)*CROQUIS!$C$115))*CROQUIS!$C$159),-1000)</f>
        <v>79.1911432444645</v>
      </c>
      <c r="BN79">
        <f>IF(AND(CROQUIS!$C$88=1,CROQUIS!$C$129&gt;0),((CROQUIS!$C$160+(IF(CROQUIS!$C$92="X",CHOOSE(IF(INT(($A79-1)/5)&gt;MAX((MAX(1,INT(((CROQUIS!$C$98)-CROQUIS!$C$107)/MAX((CROQUIS!$C$129*MAX(1,CEILING((INT(((CROQUIS!$C$98)-CROQUIS!$C$107)/MAX(CROQUIS!$C$129,1))+1)/80,1))),1))+1))-1,0),0,MOD($A79-1,5))+1,0,2,CROQUIS!$C$97-2,2,0),((CROQUIS!$C$107/2+(((CROQUIS!$C$98)-CROQUIS!$C$107)-(MAX(1,INT(((CROQUIS!$C$98)-CROQUIS!$C$107)/MAX((CROQUIS!$C$129*MAX(1,CEILING((INT(((CROQUIS!$C$98)-CROQUIS!$C$107)/MAX(CROQUIS!$C$129,1))+1)/80,1))),1))+1)-1)*(CROQUIS!$C$129*MAX(1,CEILING((INT(((CROQUIS!$C$98)-CROQUIS!$C$107)/MAX(CROQUIS!$C$129,1))+1)/80,1))))/2)+MIN(INT(($A79-1)/5),MAX((MAX(1,INT(((CROQUIS!$C$98)-CROQUIS!$C$107)/MAX((CROQUIS!$C$129*MAX(1,CEILING((INT(((CROQUIS!$C$98)-CROQUIS!$C$107)/MAX(CROQUIS!$C$129,1))+1)/80,1))),1))+1))-1,0))*(CROQUIS!$C$129*MAX(1,CEILING((INT(((CROQUIS!$C$98)-CROQUIS!$C$107)/MAX(CROQUIS!$C$129,1))+1)/80,1))))))*CROQUIS!$C$159)+IF(CROQUIS!$C$92="X",0,0)),-1000)</f>
        <v>-1000</v>
      </c>
      <c r="BO79">
        <f>IF(AND(CROQUIS!$C$88=1,CROQUIS!$C$129&gt;0),((CROQUIS!$C$161+(IF(CROQUIS!$C$92="X",((CROQUIS!$C$107/2+(((CROQUIS!$C$98)-CROQUIS!$C$107)-(MAX(1,INT(((CROQUIS!$C$98)-CROQUIS!$C$107)/MAX((CROQUIS!$C$129*MAX(1,CEILING((INT(((CROQUIS!$C$98)-CROQUIS!$C$107)/MAX(CROQUIS!$C$129,1))+1)/80,1))),1))+1)-1)*(CROQUIS!$C$129*MAX(1,CEILING((INT(((CROQUIS!$C$98)-CROQUIS!$C$107)/MAX(CROQUIS!$C$129,1))+1)/80,1))))/2)+MIN(INT(($A79-1)/5),MAX((MAX(1,INT(((CROQUIS!$C$98)-CROQUIS!$C$107)/MAX((CROQUIS!$C$129*MAX(1,CEILING((INT(((CROQUIS!$C$98)-CROQUIS!$C$107)/MAX(CROQUIS!$C$129,1))+1)/80,1))),1))+1))-1,0))*(CROQUIS!$C$129*MAX(1,CEILING((INT(((CROQUIS!$C$98)-CROQUIS!$C$107)/MAX(CROQUIS!$C$129,1))+1)/80,1)))),CHOOSE(IF(INT(($A79-1)/5)&gt;MAX((MAX(1,INT(((CROQUIS!$C$98)-CROQUIS!$C$107)/MAX((CROQUIS!$C$129*MAX(1,CEILING((INT(((CROQUIS!$C$98)-CROQUIS!$C$107)/MAX(CROQUIS!$C$129,1))+1)/80,1))),1))+1))-1,0),0,MOD($A79-1,5))+1,0,2,CROQUIS!$C$97-2,2,0)))*CROQUIS!$C$159)+IF(CROQUIS!$C$92="X",0,0)),-1000)</f>
        <v>-1000</v>
      </c>
      <c r="BP79">
        <f>IF(AND(CROQUIS!$C$88=1,CROQUIS!$C$137&gt;0),((CROQUIS!$C$160+(IF(CROQUIS!$C$92="X",((CROQUIS!$C$107/2+(((CROQUIS!$C$97)-CROQUIS!$C$107)-(MAX(1,INT(((CROQUIS!$C$97)-CROQUIS!$C$107)/MAX((CROQUIS!$C$137*MAX(1,CEILING((INT(((CROQUIS!$C$97)-CROQUIS!$C$107)/MAX(CROQUIS!$C$137,1))+1)/80,1))),1))+1)-1)*(CROQUIS!$C$137*MAX(1,CEILING((INT(((CROQUIS!$C$97)-CROQUIS!$C$107)/MAX(CROQUIS!$C$137,1))+1)/80,1))))/2)+MIN(INT(($A79-1)/5),MAX((MAX(1,INT(((CROQUIS!$C$97)-CROQUIS!$C$107)/MAX((CROQUIS!$C$137*MAX(1,CEILING((INT(((CROQUIS!$C$97)-CROQUIS!$C$107)/MAX(CROQUIS!$C$137,1))+1)/80,1))),1))+1))-1,0))*(CROQUIS!$C$137*MAX(1,CEILING((INT(((CROQUIS!$C$97)-CROQUIS!$C$107)/MAX(CROQUIS!$C$137,1))+1)/80,1)))),CHOOSE(IF(INT(($A79-1)/5)&gt;MAX((MAX(1,INT(((CROQUIS!$C$97)-CROQUIS!$C$107)/MAX((CROQUIS!$C$137*MAX(1,CEILING((INT(((CROQUIS!$C$97)-CROQUIS!$C$107)/MAX(CROQUIS!$C$137,1))+1)/80,1))),1))+1))-1,0),0,MOD($A79-1,5))+1,0,2,CROQUIS!$C$98-2,2,0)))*CROQUIS!$C$159)+IF(CROQUIS!$C$92="X",0,0)),-1000)</f>
        <v>-1000</v>
      </c>
      <c r="BQ79">
        <f>IF(AND(CROQUIS!$C$88=1,CROQUIS!$C$137&gt;0),((CROQUIS!$C$161+(IF(CROQUIS!$C$92="X",CHOOSE(IF(INT(($A79-1)/5)&gt;MAX((MAX(1,INT(((CROQUIS!$C$97)-CROQUIS!$C$107)/MAX((CROQUIS!$C$137*MAX(1,CEILING((INT(((CROQUIS!$C$97)-CROQUIS!$C$107)/MAX(CROQUIS!$C$137,1))+1)/80,1))),1))+1))-1,0),0,MOD($A79-1,5))+1,0,2,CROQUIS!$C$98-2,2,0),((CROQUIS!$C$107/2+(((CROQUIS!$C$97)-CROQUIS!$C$107)-(MAX(1,INT(((CROQUIS!$C$97)-CROQUIS!$C$107)/MAX((CROQUIS!$C$137*MAX(1,CEILING((INT(((CROQUIS!$C$97)-CROQUIS!$C$107)/MAX(CROQUIS!$C$137,1))+1)/80,1))),1))+1)-1)*(CROQUIS!$C$137*MAX(1,CEILING((INT(((CROQUIS!$C$97)-CROQUIS!$C$107)/MAX(CROQUIS!$C$137,1))+1)/80,1))))/2)+MIN(INT(($A79-1)/5),MAX((MAX(1,INT(((CROQUIS!$C$97)-CROQUIS!$C$107)/MAX((CROQUIS!$C$137*MAX(1,CEILING((INT(((CROQUIS!$C$97)-CROQUIS!$C$107)/MAX(CROQUIS!$C$137,1))+1)/80,1))),1))+1))-1,0))*(CROQUIS!$C$137*MAX(1,CEILING((INT(((CROQUIS!$C$97)-CROQUIS!$C$107)/MAX(CROQUIS!$C$137,1))+1)/80,1))))))*CROQUIS!$C$159)+IF(CROQUIS!$C$92="X",0,0)),-1000)</f>
        <v>-1000</v>
      </c>
      <c r="BR79">
        <f>IF(AND(CROQUIS!$C$88=1,CROQUIS!$C$91=0,CROQUIS!$C$133&gt;0,OR(CROQUIS!$C$103=1,CROQUIS!$C$145=1)),((CROQUIS!$C$160+(IF(CROQUIS!$C$92="X",CHOOSE(IF(INT(($A79-1)/5)&gt;MAX((MAX(1,INT(((CROQUIS!$C$98)-CROQUIS!$C$107)/MAX((CROQUIS!$C$133*MAX(1,CEILING((INT(((CROQUIS!$C$98)-CROQUIS!$C$107)/MAX(CROQUIS!$C$133,1))+1)/80,1))),1))+1))-1,0),0,MOD($A79-1,5))+1,0,IF(CROQUIS!$C$103=1,-12,2),CROQUIS!$C$107/2+CROQUIS!$C$143,IF(CROQUIS!$C$103=1,-12,2),0),((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BS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+1,0,IF(CROQUIS!$C$103=1,-12,2),CROQUIS!$C$107/2+CROQUIS!$C$143,IF(CROQUIS!$C$103=1,-12,2),0)))*CROQUIS!$C$159)+IF(CROQUIS!$C$92="X",0.8,0)),-1000)</f>
        <v>-1000</v>
      </c>
      <c r="BT79">
        <f>IF(AND(CROQUIS!$C$88=1,CROQUIS!$C$91=0,CROQUIS!$C$133&gt;0,OR(CROQUIS!$C$104=1,CROQUIS!$C$145=1)),((CROQUIS!$C$160+(IF(CROQUIS!$C$92="X",CHOOSE(IF(INT(($A79-1)/5)&gt;MAX((MAX(1,INT(((CROQUIS!$C$98)-CROQUIS!$C$107)/MAX((CROQUIS!$C$133*MAX(1,CEILING((INT(((CROQUIS!$C$98)-CROQUIS!$C$107)/MAX(CROQUIS!$C$133,1))+1)/80,1))),1))+1))-1,0),0,MOD($A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BU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CROQUIS!$C$97,CROQUIS!$C$97-CROQUIS!$C$107/2-CROQUIS!$C$143,IF(CROQUIS!$C$104=1,CROQUIS!$C$97+12,CROQUIS!$C$97-2),CROQUIS!$C$97-CROQUIS!$C$107/2-CROQUIS!$C$143,CROQUIS!$C$97)))*CROQUIS!$C$159)+IF(CROQUIS!$C$92="X",0.8,0)),-1000)</f>
        <v>-1000</v>
      </c>
      <c r="BV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HOOSE(IF(INT(($A79-1)/5)&gt;MAX((MAX(1,INT(((CROQUIS!$C$97)-CROQUIS!$C$107)/MAX((CROQUIS!$C$141*MAX(1,CEILING((INT(((CROQUIS!$C$97)-CROQUIS!$C$107)/MAX(CROQUIS!$C$141,1))+1)/80,1))),1))+1))-1,0),0,MOD($A79-1,5))+1,0,IF(CROQUIS!$C$105=1,-12,2),CROQUIS!$C$107/2+CROQUIS!$C$144,IF(CROQUIS!$C$105=1,-12,2),0)))*CROQUIS!$C$159)+IF(CROQUIS!$C$92="X",0.8,0)),-1000)</f>
        <v>-1000</v>
      </c>
      <c r="BW79">
        <f>IF(AND(CROQUIS!$C$88=1,CROQUIS!$C$91=0,CROQUIS!$C$141&gt;0,OR(CROQUIS!$C$105=1,CROQUIS!$C$146=1)),((CROQUIS!$C$161+(IF(CROQUIS!$C$92="X",CHOOSE(IF(INT(($A79-1)/5)&gt;MAX((MAX(1,INT(((CROQUIS!$C$97)-CROQUIS!$C$107)/MAX((CROQUIS!$C$141*MAX(1,CEILING((INT(((CROQUIS!$C$97)-CROQUIS!$C$107)/MAX(CROQUIS!$C$141,1))+1)/80,1))),1))+1))-1,0),0,MOD($A79-1,5))+1,0,IF(CROQUIS!$C$105=1,-12,2),CROQUIS!$C$107/2+CROQUIS!$C$144,IF(CROQUIS!$C$105=1,-12,2),0),((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ROQUIS!$C$159)+IF(CROQUIS!$C$92="X",0,0.8)),-1000)</f>
        <v>-1000</v>
      </c>
      <c r="BX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HOOSE(IF(INT(($A79-1)/5)&gt;MAX((MAX(1,INT(((CROQUIS!$C$97)-CROQUIS!$C$107)/MAX((CROQUIS!$C$141*MAX(1,CEILING((INT(((CROQUIS!$C$97)-CROQUIS!$C$107)/MAX(CROQUIS!$C$141,1))+1)/80,1))),1))+1))-1,0),0,MOD($A79-1,5))+1,CROQUIS!$C$98,CROQUIS!$C$98-CROQUIS!$C$107/2-CROQUIS!$C$144,IF(CROQUIS!$C$106=1,CROQUIS!$C$98+12,CROQUIS!$C$98-2),CROQUIS!$C$98-CROQUIS!$C$107/2-CROQUIS!$C$144,CROQUIS!$C$98)))*CROQUIS!$C$159)+IF(CROQUIS!$C$92="X",0.8,0)),-1000)</f>
        <v>-1000</v>
      </c>
      <c r="BY79">
        <f>IF(AND(CROQUIS!$C$88=1,CROQUIS!$C$91=0,CROQUIS!$C$141&gt;0,OR(CROQUIS!$C$106=1,CROQUIS!$C$146=1)),((CROQUIS!$C$161+(IF(CROQUIS!$C$92="X",CHOOSE(IF(INT(($A79-1)/5)&gt;MAX((MAX(1,INT(((CROQUIS!$C$97)-CROQUIS!$C$107)/MAX((CROQUIS!$C$141*MAX(1,CEILING((INT(((CROQUIS!$C$97)-CROQUIS!$C$107)/MAX(CROQUIS!$C$141,1))+1)/80,1))),1))+1))-1,0),0,MOD($A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ROQUIS!$C$159)+IF(CROQUIS!$C$92="X",0,0.8)),-1000)</f>
        <v>-1000</v>
      </c>
      <c r="BZ79">
        <f>IF(AND(CROQUIS!$C$88=1,CROQUIS!$C$91=1,CROQUIS!$C$133&gt;0),((CROQUIS!$C$160+(IF(CROQUIS!$C$92="X",CHOOSE(IF(INT(($A79-1)/5)&gt;MAX((MAX(1,INT(((CROQUIS!$C$98)-CROQUIS!$C$107)/MAX((CROQUIS!$C$133*MAX(1,CEILING((INT(((CROQUIS!$C$98)-CROQUIS!$C$107)/MAX(CROQUIS!$C$133,1))+1)/80,1))),1))+1))-1,0),0,MOD($A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CA79">
        <f>IF(AND(CROQUIS!$C$88=1,CROQUIS!$C$91=1,CROQUIS!$C$133&gt;0),((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0">
      <c r="A80" t="n">
        <v>73</v>
      </c>
      <c r="AJ80">
        <f>IF(AND(CROQUIS!$C$87=1,CROQUIS!$C$162&gt;0,CROQUIS!$C$164&gt;0),(CROQUIS!$C$160+((CROQUIS!$C$163+INT(MIN(INT(($A80-1)/2),MAX((2*CROQUIS!$C$162)-1,0))/2)*CROQUIS!$C$116+MOD(MIN(INT(($A80-1)/2),MAX((2*CROQUIS!$C$162)-1,0)),2)*CROQUIS!$C$114))*CROQUIS!$C$159),-1000)</f>
        <v>81.3375508359693</v>
      </c>
      <c r="AK80">
        <f>IF(AND(CROQUIS!$C$87=1,CROQUIS!$C$162&gt;0,CROQUIS!$C$164&gt;0),(CROQUIS!$C$161+(IF(MOD(MIN(INT(($A80-1)/2),MAX((2*CROQUIS!$C$162)-1,0)),2)=0,IF(IF(INT(($A80-1)/2)&gt;MAX((2*CROQUIS!$C$162)-1,0),1,MOD($A80-1,2))=0,CROQUIS!$C$165,(CROQUIS!$C$165+(CROQUIS!$C$164-1)*CROQUIS!$C$116+CROQUIS!$C$115)),IF(IF(INT(($A80-1)/2)&gt;MAX((2*CROQUIS!$C$162)-1,0),1,MOD($A80-1,2))=0,(CROQUIS!$C$165+(CROQUIS!$C$164-1)*CROQUIS!$C$116+CROQUIS!$C$115),CROQUIS!$C$165)))*CROQUIS!$C$159),-1000)</f>
        <v>20.8088567555355</v>
      </c>
      <c r="AL80">
        <f>IF(AND(CROQUIS!$C$87=1,CROQUIS!$C$164&gt;0,CROQUIS!$C$162&gt;0),(CROQUIS!$C$160+(IF(MOD(MIN(INT(($A80-1)/2),MAX((2*CROQUIS!$C$164)-1,0)),2)=0,IF(IF(INT(($A80-1)/2)&gt;MAX((2*CROQUIS!$C$164)-1,0),1,MOD($A80-1,2))=0,CROQUIS!$C$163,(CROQUIS!$C$163+(CROQUIS!$C$162-1)*CROQUIS!$C$116+CROQUIS!$C$114)),IF(IF(INT(($A80-1)/2)&gt;MAX((2*CROQUIS!$C$164)-1,0),1,MOD($A80-1,2))=0,(CROQUIS!$C$163+(CROQUIS!$C$162-1)*CROQUIS!$C$116+CROQUIS!$C$114),CROQUIS!$C$163)))*CROQUIS!$C$159),-1000)</f>
        <v>22.9552643470402</v>
      </c>
      <c r="AM80">
        <f>IF(AND(CROQUIS!$C$87=1,CROQUIS!$C$164&gt;0,CROQUIS!$C$162&gt;0),(CROQUIS!$C$161+((CROQUIS!$C$165+INT(MIN(INT(($A80-1)/2),MAX((2*CROQUIS!$C$164)-1,0))/2)*CROQUIS!$C$116+MOD(MIN(INT(($A80-1)/2),MAX((2*CROQUIS!$C$164)-1,0)),2)*CROQUIS!$C$115))*CROQUIS!$C$159),-1000)</f>
        <v>79.1911432444645</v>
      </c>
      <c r="BN80">
        <f>IF(AND(CROQUIS!$C$88=1,CROQUIS!$C$129&gt;0),((CROQUIS!$C$160+(IF(CROQUIS!$C$92="X",CHOOSE(IF(INT(($A80-1)/5)&gt;MAX((MAX(1,INT(((CROQUIS!$C$98)-CROQUIS!$C$107)/MAX((CROQUIS!$C$129*MAX(1,CEILING((INT(((CROQUIS!$C$98)-CROQUIS!$C$107)/MAX(CROQUIS!$C$129,1))+1)/80,1))),1))+1))-1,0),0,MOD($A80-1,5))+1,0,2,CROQUIS!$C$97-2,2,0),((CROQUIS!$C$107/2+(((CROQUIS!$C$98)-CROQUIS!$C$107)-(MAX(1,INT(((CROQUIS!$C$98)-CROQUIS!$C$107)/MAX((CROQUIS!$C$129*MAX(1,CEILING((INT(((CROQUIS!$C$98)-CROQUIS!$C$107)/MAX(CROQUIS!$C$129,1))+1)/80,1))),1))+1)-1)*(CROQUIS!$C$129*MAX(1,CEILING((INT(((CROQUIS!$C$98)-CROQUIS!$C$107)/MAX(CROQUIS!$C$129,1))+1)/80,1))))/2)+MIN(INT(($A80-1)/5),MAX((MAX(1,INT(((CROQUIS!$C$98)-CROQUIS!$C$107)/MAX((CROQUIS!$C$129*MAX(1,CEILING((INT(((CROQUIS!$C$98)-CROQUIS!$C$107)/MAX(CROQUIS!$C$129,1))+1)/80,1))),1))+1))-1,0))*(CROQUIS!$C$129*MAX(1,CEILING((INT(((CROQUIS!$C$98)-CROQUIS!$C$107)/MAX(CROQUIS!$C$129,1))+1)/80,1))))))*CROQUIS!$C$159)+IF(CROQUIS!$C$92="X",0,0)),-1000)</f>
        <v>-1000</v>
      </c>
      <c r="BO80">
        <f>IF(AND(CROQUIS!$C$88=1,CROQUIS!$C$129&gt;0),((CROQUIS!$C$161+(IF(CROQUIS!$C$92="X",((CROQUIS!$C$107/2+(((CROQUIS!$C$98)-CROQUIS!$C$107)-(MAX(1,INT(((CROQUIS!$C$98)-CROQUIS!$C$107)/MAX((CROQUIS!$C$129*MAX(1,CEILING((INT(((CROQUIS!$C$98)-CROQUIS!$C$107)/MAX(CROQUIS!$C$129,1))+1)/80,1))),1))+1)-1)*(CROQUIS!$C$129*MAX(1,CEILING((INT(((CROQUIS!$C$98)-CROQUIS!$C$107)/MAX(CROQUIS!$C$129,1))+1)/80,1))))/2)+MIN(INT(($A80-1)/5),MAX((MAX(1,INT(((CROQUIS!$C$98)-CROQUIS!$C$107)/MAX((CROQUIS!$C$129*MAX(1,CEILING((INT(((CROQUIS!$C$98)-CROQUIS!$C$107)/MAX(CROQUIS!$C$129,1))+1)/80,1))),1))+1))-1,0))*(CROQUIS!$C$129*MAX(1,CEILING((INT(((CROQUIS!$C$98)-CROQUIS!$C$107)/MAX(CROQUIS!$C$129,1))+1)/80,1)))),CHOOSE(IF(INT(($A80-1)/5)&gt;MAX((MAX(1,INT(((CROQUIS!$C$98)-CROQUIS!$C$107)/MAX((CROQUIS!$C$129*MAX(1,CEILING((INT(((CROQUIS!$C$98)-CROQUIS!$C$107)/MAX(CROQUIS!$C$129,1))+1)/80,1))),1))+1))-1,0),0,MOD($A80-1,5))+1,0,2,CROQUIS!$C$97-2,2,0)))*CROQUIS!$C$159)+IF(CROQUIS!$C$92="X",0,0)),-1000)</f>
        <v>-1000</v>
      </c>
      <c r="BP80">
        <f>IF(AND(CROQUIS!$C$88=1,CROQUIS!$C$137&gt;0),((CROQUIS!$C$160+(IF(CROQUIS!$C$92="X",((CROQUIS!$C$107/2+(((CROQUIS!$C$97)-CROQUIS!$C$107)-(MAX(1,INT(((CROQUIS!$C$97)-CROQUIS!$C$107)/MAX((CROQUIS!$C$137*MAX(1,CEILING((INT(((CROQUIS!$C$97)-CROQUIS!$C$107)/MAX(CROQUIS!$C$137,1))+1)/80,1))),1))+1)-1)*(CROQUIS!$C$137*MAX(1,CEILING((INT(((CROQUIS!$C$97)-CROQUIS!$C$107)/MAX(CROQUIS!$C$137,1))+1)/80,1))))/2)+MIN(INT(($A80-1)/5),MAX((MAX(1,INT(((CROQUIS!$C$97)-CROQUIS!$C$107)/MAX((CROQUIS!$C$137*MAX(1,CEILING((INT(((CROQUIS!$C$97)-CROQUIS!$C$107)/MAX(CROQUIS!$C$137,1))+1)/80,1))),1))+1))-1,0))*(CROQUIS!$C$137*MAX(1,CEILING((INT(((CROQUIS!$C$97)-CROQUIS!$C$107)/MAX(CROQUIS!$C$137,1))+1)/80,1)))),CHOOSE(IF(INT(($A80-1)/5)&gt;MAX((MAX(1,INT(((CROQUIS!$C$97)-CROQUIS!$C$107)/MAX((CROQUIS!$C$137*MAX(1,CEILING((INT(((CROQUIS!$C$97)-CROQUIS!$C$107)/MAX(CROQUIS!$C$137,1))+1)/80,1))),1))+1))-1,0),0,MOD($A80-1,5))+1,0,2,CROQUIS!$C$98-2,2,0)))*CROQUIS!$C$159)+IF(CROQUIS!$C$92="X",0,0)),-1000)</f>
        <v>-1000</v>
      </c>
      <c r="BQ80">
        <f>IF(AND(CROQUIS!$C$88=1,CROQUIS!$C$137&gt;0),((CROQUIS!$C$161+(IF(CROQUIS!$C$92="X",CHOOSE(IF(INT(($A80-1)/5)&gt;MAX((MAX(1,INT(((CROQUIS!$C$97)-CROQUIS!$C$107)/MAX((CROQUIS!$C$137*MAX(1,CEILING((INT(((CROQUIS!$C$97)-CROQUIS!$C$107)/MAX(CROQUIS!$C$137,1))+1)/80,1))),1))+1))-1,0),0,MOD($A80-1,5))+1,0,2,CROQUIS!$C$98-2,2,0),((CROQUIS!$C$107/2+(((CROQUIS!$C$97)-CROQUIS!$C$107)-(MAX(1,INT(((CROQUIS!$C$97)-CROQUIS!$C$107)/MAX((CROQUIS!$C$137*MAX(1,CEILING((INT(((CROQUIS!$C$97)-CROQUIS!$C$107)/MAX(CROQUIS!$C$137,1))+1)/80,1))),1))+1)-1)*(CROQUIS!$C$137*MAX(1,CEILING((INT(((CROQUIS!$C$97)-CROQUIS!$C$107)/MAX(CROQUIS!$C$137,1))+1)/80,1))))/2)+MIN(INT(($A80-1)/5),MAX((MAX(1,INT(((CROQUIS!$C$97)-CROQUIS!$C$107)/MAX((CROQUIS!$C$137*MAX(1,CEILING((INT(((CROQUIS!$C$97)-CROQUIS!$C$107)/MAX(CROQUIS!$C$137,1))+1)/80,1))),1))+1))-1,0))*(CROQUIS!$C$137*MAX(1,CEILING((INT(((CROQUIS!$C$97)-CROQUIS!$C$107)/MAX(CROQUIS!$C$137,1))+1)/80,1))))))*CROQUIS!$C$159)+IF(CROQUIS!$C$92="X",0,0)),-1000)</f>
        <v>-1000</v>
      </c>
      <c r="BR80">
        <f>IF(AND(CROQUIS!$C$88=1,CROQUIS!$C$91=0,CROQUIS!$C$133&gt;0,OR(CROQUIS!$C$103=1,CROQUIS!$C$145=1)),((CROQUIS!$C$160+(IF(CROQUIS!$C$92="X",CHOOSE(IF(INT(($A80-1)/5)&gt;MAX((MAX(1,INT(((CROQUIS!$C$98)-CROQUIS!$C$107)/MAX((CROQUIS!$C$133*MAX(1,CEILING((INT(((CROQUIS!$C$98)-CROQUIS!$C$107)/MAX(CROQUIS!$C$133,1))+1)/80,1))),1))+1))-1,0),0,MOD($A80-1,5))+1,0,IF(CROQUIS!$C$103=1,-12,2),CROQUIS!$C$107/2+CROQUIS!$C$143,IF(CROQUIS!$C$103=1,-12,2),0),((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BS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+1,0,IF(CROQUIS!$C$103=1,-12,2),CROQUIS!$C$107/2+CROQUIS!$C$143,IF(CROQUIS!$C$103=1,-12,2),0)))*CROQUIS!$C$159)+IF(CROQUIS!$C$92="X",0.8,0)),-1000)</f>
        <v>-1000</v>
      </c>
      <c r="BT80">
        <f>IF(AND(CROQUIS!$C$88=1,CROQUIS!$C$91=0,CROQUIS!$C$133&gt;0,OR(CROQUIS!$C$104=1,CROQUIS!$C$145=1)),((CROQUIS!$C$160+(IF(CROQUIS!$C$92="X",CHOOSE(IF(INT(($A80-1)/5)&gt;MAX((MAX(1,INT(((CROQUIS!$C$98)-CROQUIS!$C$107)/MAX((CROQUIS!$C$133*MAX(1,CEILING((INT(((CROQUIS!$C$98)-CROQUIS!$C$107)/MAX(CROQUIS!$C$133,1))+1)/80,1))),1))+1))-1,0),0,MOD($A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BU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CROQUIS!$C$97,CROQUIS!$C$97-CROQUIS!$C$107/2-CROQUIS!$C$143,IF(CROQUIS!$C$104=1,CROQUIS!$C$97+12,CROQUIS!$C$97-2),CROQUIS!$C$97-CROQUIS!$C$107/2-CROQUIS!$C$143,CROQUIS!$C$97)))*CROQUIS!$C$159)+IF(CROQUIS!$C$92="X",0.8,0)),-1000)</f>
        <v>-1000</v>
      </c>
      <c r="BV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HOOSE(IF(INT(($A80-1)/5)&gt;MAX((MAX(1,INT(((CROQUIS!$C$97)-CROQUIS!$C$107)/MAX((CROQUIS!$C$141*MAX(1,CEILING((INT(((CROQUIS!$C$97)-CROQUIS!$C$107)/MAX(CROQUIS!$C$141,1))+1)/80,1))),1))+1))-1,0),0,MOD($A80-1,5))+1,0,IF(CROQUIS!$C$105=1,-12,2),CROQUIS!$C$107/2+CROQUIS!$C$144,IF(CROQUIS!$C$105=1,-12,2),0)))*CROQUIS!$C$159)+IF(CROQUIS!$C$92="X",0.8,0)),-1000)</f>
        <v>-1000</v>
      </c>
      <c r="BW80">
        <f>IF(AND(CROQUIS!$C$88=1,CROQUIS!$C$91=0,CROQUIS!$C$141&gt;0,OR(CROQUIS!$C$105=1,CROQUIS!$C$146=1)),((CROQUIS!$C$161+(IF(CROQUIS!$C$92="X",CHOOSE(IF(INT(($A80-1)/5)&gt;MAX((MAX(1,INT(((CROQUIS!$C$97)-CROQUIS!$C$107)/MAX((CROQUIS!$C$141*MAX(1,CEILING((INT(((CROQUIS!$C$97)-CROQUIS!$C$107)/MAX(CROQUIS!$C$141,1))+1)/80,1))),1))+1))-1,0),0,MOD($A80-1,5))+1,0,IF(CROQUIS!$C$105=1,-12,2),CROQUIS!$C$107/2+CROQUIS!$C$144,IF(CROQUIS!$C$105=1,-12,2),0),((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ROQUIS!$C$159)+IF(CROQUIS!$C$92="X",0,0.8)),-1000)</f>
        <v>-1000</v>
      </c>
      <c r="BX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HOOSE(IF(INT(($A80-1)/5)&gt;MAX((MAX(1,INT(((CROQUIS!$C$97)-CROQUIS!$C$107)/MAX((CROQUIS!$C$141*MAX(1,CEILING((INT(((CROQUIS!$C$97)-CROQUIS!$C$107)/MAX(CROQUIS!$C$141,1))+1)/80,1))),1))+1))-1,0),0,MOD($A80-1,5))+1,CROQUIS!$C$98,CROQUIS!$C$98-CROQUIS!$C$107/2-CROQUIS!$C$144,IF(CROQUIS!$C$106=1,CROQUIS!$C$98+12,CROQUIS!$C$98-2),CROQUIS!$C$98-CROQUIS!$C$107/2-CROQUIS!$C$144,CROQUIS!$C$98)))*CROQUIS!$C$159)+IF(CROQUIS!$C$92="X",0.8,0)),-1000)</f>
        <v>-1000</v>
      </c>
      <c r="BY80">
        <f>IF(AND(CROQUIS!$C$88=1,CROQUIS!$C$91=0,CROQUIS!$C$141&gt;0,OR(CROQUIS!$C$106=1,CROQUIS!$C$146=1)),((CROQUIS!$C$161+(IF(CROQUIS!$C$92="X",CHOOSE(IF(INT(($A80-1)/5)&gt;MAX((MAX(1,INT(((CROQUIS!$C$97)-CROQUIS!$C$107)/MAX((CROQUIS!$C$141*MAX(1,CEILING((INT(((CROQUIS!$C$97)-CROQUIS!$C$107)/MAX(CROQUIS!$C$141,1))+1)/80,1))),1))+1))-1,0),0,MOD($A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ROQUIS!$C$159)+IF(CROQUIS!$C$92="X",0,0.8)),-1000)</f>
        <v>-1000</v>
      </c>
      <c r="BZ80">
        <f>IF(AND(CROQUIS!$C$88=1,CROQUIS!$C$91=1,CROQUIS!$C$133&gt;0),((CROQUIS!$C$160+(IF(CROQUIS!$C$92="X",CHOOSE(IF(INT(($A80-1)/5)&gt;MAX((MAX(1,INT(((CROQUIS!$C$98)-CROQUIS!$C$107)/MAX((CROQUIS!$C$133*MAX(1,CEILING((INT(((CROQUIS!$C$98)-CROQUIS!$C$107)/MAX(CROQUIS!$C$133,1))+1)/80,1))),1))+1))-1,0),0,MOD($A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CA80">
        <f>IF(AND(CROQUIS!$C$88=1,CROQUIS!$C$91=1,CROQUIS!$C$133&gt;0),((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1">
      <c r="A81" t="n">
        <v>74</v>
      </c>
      <c r="AJ81">
        <f>IF(AND(CROQUIS!$C$87=1,CROQUIS!$C$162&gt;0,CROQUIS!$C$164&gt;0),(CROQUIS!$C$160+((CROQUIS!$C$163+INT(MIN(INT(($A81-1)/2),MAX((2*CROQUIS!$C$162)-1,0))/2)*CROQUIS!$C$116+MOD(MIN(INT(($A81-1)/2),MAX((2*CROQUIS!$C$162)-1,0)),2)*CROQUIS!$C$114))*CROQUIS!$C$159),-1000)</f>
        <v>81.3375508359693</v>
      </c>
      <c r="AK81">
        <f>IF(AND(CROQUIS!$C$87=1,CROQUIS!$C$162&gt;0,CROQUIS!$C$164&gt;0),(CROQUIS!$C$161+(IF(MOD(MIN(INT(($A81-1)/2),MAX((2*CROQUIS!$C$162)-1,0)),2)=0,IF(IF(INT(($A81-1)/2)&gt;MAX((2*CROQUIS!$C$162)-1,0),1,MOD($A81-1,2))=0,CROQUIS!$C$165,(CROQUIS!$C$165+(CROQUIS!$C$164-1)*CROQUIS!$C$116+CROQUIS!$C$115)),IF(IF(INT(($A81-1)/2)&gt;MAX((2*CROQUIS!$C$162)-1,0),1,MOD($A81-1,2))=0,(CROQUIS!$C$165+(CROQUIS!$C$164-1)*CROQUIS!$C$116+CROQUIS!$C$115),CROQUIS!$C$165)))*CROQUIS!$C$159),-1000)</f>
        <v>20.8088567555355</v>
      </c>
      <c r="AL81">
        <f>IF(AND(CROQUIS!$C$87=1,CROQUIS!$C$164&gt;0,CROQUIS!$C$162&gt;0),(CROQUIS!$C$160+(IF(MOD(MIN(INT(($A81-1)/2),MAX((2*CROQUIS!$C$164)-1,0)),2)=0,IF(IF(INT(($A81-1)/2)&gt;MAX((2*CROQUIS!$C$164)-1,0),1,MOD($A81-1,2))=0,CROQUIS!$C$163,(CROQUIS!$C$163+(CROQUIS!$C$162-1)*CROQUIS!$C$116+CROQUIS!$C$114)),IF(IF(INT(($A81-1)/2)&gt;MAX((2*CROQUIS!$C$164)-1,0),1,MOD($A81-1,2))=0,(CROQUIS!$C$163+(CROQUIS!$C$162-1)*CROQUIS!$C$116+CROQUIS!$C$114),CROQUIS!$C$163)))*CROQUIS!$C$159),-1000)</f>
        <v>22.9552643470402</v>
      </c>
      <c r="AM81">
        <f>IF(AND(CROQUIS!$C$87=1,CROQUIS!$C$164&gt;0,CROQUIS!$C$162&gt;0),(CROQUIS!$C$161+((CROQUIS!$C$165+INT(MIN(INT(($A81-1)/2),MAX((2*CROQUIS!$C$164)-1,0))/2)*CROQUIS!$C$116+MOD(MIN(INT(($A81-1)/2),MAX((2*CROQUIS!$C$164)-1,0)),2)*CROQUIS!$C$115))*CROQUIS!$C$159),-1000)</f>
        <v>79.1911432444645</v>
      </c>
      <c r="BN81">
        <f>IF(AND(CROQUIS!$C$88=1,CROQUIS!$C$129&gt;0),((CROQUIS!$C$160+(IF(CROQUIS!$C$92="X",CHOOSE(IF(INT(($A81-1)/5)&gt;MAX((MAX(1,INT(((CROQUIS!$C$98)-CROQUIS!$C$107)/MAX((CROQUIS!$C$129*MAX(1,CEILING((INT(((CROQUIS!$C$98)-CROQUIS!$C$107)/MAX(CROQUIS!$C$129,1))+1)/80,1))),1))+1))-1,0),0,MOD($A81-1,5))+1,0,2,CROQUIS!$C$97-2,2,0),((CROQUIS!$C$107/2+(((CROQUIS!$C$98)-CROQUIS!$C$107)-(MAX(1,INT(((CROQUIS!$C$98)-CROQUIS!$C$107)/MAX((CROQUIS!$C$129*MAX(1,CEILING((INT(((CROQUIS!$C$98)-CROQUIS!$C$107)/MAX(CROQUIS!$C$129,1))+1)/80,1))),1))+1)-1)*(CROQUIS!$C$129*MAX(1,CEILING((INT(((CROQUIS!$C$98)-CROQUIS!$C$107)/MAX(CROQUIS!$C$129,1))+1)/80,1))))/2)+MIN(INT(($A81-1)/5),MAX((MAX(1,INT(((CROQUIS!$C$98)-CROQUIS!$C$107)/MAX((CROQUIS!$C$129*MAX(1,CEILING((INT(((CROQUIS!$C$98)-CROQUIS!$C$107)/MAX(CROQUIS!$C$129,1))+1)/80,1))),1))+1))-1,0))*(CROQUIS!$C$129*MAX(1,CEILING((INT(((CROQUIS!$C$98)-CROQUIS!$C$107)/MAX(CROQUIS!$C$129,1))+1)/80,1))))))*CROQUIS!$C$159)+IF(CROQUIS!$C$92="X",0,0)),-1000)</f>
        <v>-1000</v>
      </c>
      <c r="BO81">
        <f>IF(AND(CROQUIS!$C$88=1,CROQUIS!$C$129&gt;0),((CROQUIS!$C$161+(IF(CROQUIS!$C$92="X",((CROQUIS!$C$107/2+(((CROQUIS!$C$98)-CROQUIS!$C$107)-(MAX(1,INT(((CROQUIS!$C$98)-CROQUIS!$C$107)/MAX((CROQUIS!$C$129*MAX(1,CEILING((INT(((CROQUIS!$C$98)-CROQUIS!$C$107)/MAX(CROQUIS!$C$129,1))+1)/80,1))),1))+1)-1)*(CROQUIS!$C$129*MAX(1,CEILING((INT(((CROQUIS!$C$98)-CROQUIS!$C$107)/MAX(CROQUIS!$C$129,1))+1)/80,1))))/2)+MIN(INT(($A81-1)/5),MAX((MAX(1,INT(((CROQUIS!$C$98)-CROQUIS!$C$107)/MAX((CROQUIS!$C$129*MAX(1,CEILING((INT(((CROQUIS!$C$98)-CROQUIS!$C$107)/MAX(CROQUIS!$C$129,1))+1)/80,1))),1))+1))-1,0))*(CROQUIS!$C$129*MAX(1,CEILING((INT(((CROQUIS!$C$98)-CROQUIS!$C$107)/MAX(CROQUIS!$C$129,1))+1)/80,1)))),CHOOSE(IF(INT(($A81-1)/5)&gt;MAX((MAX(1,INT(((CROQUIS!$C$98)-CROQUIS!$C$107)/MAX((CROQUIS!$C$129*MAX(1,CEILING((INT(((CROQUIS!$C$98)-CROQUIS!$C$107)/MAX(CROQUIS!$C$129,1))+1)/80,1))),1))+1))-1,0),0,MOD($A81-1,5))+1,0,2,CROQUIS!$C$97-2,2,0)))*CROQUIS!$C$159)+IF(CROQUIS!$C$92="X",0,0)),-1000)</f>
        <v>-1000</v>
      </c>
      <c r="BP81">
        <f>IF(AND(CROQUIS!$C$88=1,CROQUIS!$C$137&gt;0),((CROQUIS!$C$160+(IF(CROQUIS!$C$92="X",((CROQUIS!$C$107/2+(((CROQUIS!$C$97)-CROQUIS!$C$107)-(MAX(1,INT(((CROQUIS!$C$97)-CROQUIS!$C$107)/MAX((CROQUIS!$C$137*MAX(1,CEILING((INT(((CROQUIS!$C$97)-CROQUIS!$C$107)/MAX(CROQUIS!$C$137,1))+1)/80,1))),1))+1)-1)*(CROQUIS!$C$137*MAX(1,CEILING((INT(((CROQUIS!$C$97)-CROQUIS!$C$107)/MAX(CROQUIS!$C$137,1))+1)/80,1))))/2)+MIN(INT(($A81-1)/5),MAX((MAX(1,INT(((CROQUIS!$C$97)-CROQUIS!$C$107)/MAX((CROQUIS!$C$137*MAX(1,CEILING((INT(((CROQUIS!$C$97)-CROQUIS!$C$107)/MAX(CROQUIS!$C$137,1))+1)/80,1))),1))+1))-1,0))*(CROQUIS!$C$137*MAX(1,CEILING((INT(((CROQUIS!$C$97)-CROQUIS!$C$107)/MAX(CROQUIS!$C$137,1))+1)/80,1)))),CHOOSE(IF(INT(($A81-1)/5)&gt;MAX((MAX(1,INT(((CROQUIS!$C$97)-CROQUIS!$C$107)/MAX((CROQUIS!$C$137*MAX(1,CEILING((INT(((CROQUIS!$C$97)-CROQUIS!$C$107)/MAX(CROQUIS!$C$137,1))+1)/80,1))),1))+1))-1,0),0,MOD($A81-1,5))+1,0,2,CROQUIS!$C$98-2,2,0)))*CROQUIS!$C$159)+IF(CROQUIS!$C$92="X",0,0)),-1000)</f>
        <v>-1000</v>
      </c>
      <c r="BQ81">
        <f>IF(AND(CROQUIS!$C$88=1,CROQUIS!$C$137&gt;0),((CROQUIS!$C$161+(IF(CROQUIS!$C$92="X",CHOOSE(IF(INT(($A81-1)/5)&gt;MAX((MAX(1,INT(((CROQUIS!$C$97)-CROQUIS!$C$107)/MAX((CROQUIS!$C$137*MAX(1,CEILING((INT(((CROQUIS!$C$97)-CROQUIS!$C$107)/MAX(CROQUIS!$C$137,1))+1)/80,1))),1))+1))-1,0),0,MOD($A81-1,5))+1,0,2,CROQUIS!$C$98-2,2,0),((CROQUIS!$C$107/2+(((CROQUIS!$C$97)-CROQUIS!$C$107)-(MAX(1,INT(((CROQUIS!$C$97)-CROQUIS!$C$107)/MAX((CROQUIS!$C$137*MAX(1,CEILING((INT(((CROQUIS!$C$97)-CROQUIS!$C$107)/MAX(CROQUIS!$C$137,1))+1)/80,1))),1))+1)-1)*(CROQUIS!$C$137*MAX(1,CEILING((INT(((CROQUIS!$C$97)-CROQUIS!$C$107)/MAX(CROQUIS!$C$137,1))+1)/80,1))))/2)+MIN(INT(($A81-1)/5),MAX((MAX(1,INT(((CROQUIS!$C$97)-CROQUIS!$C$107)/MAX((CROQUIS!$C$137*MAX(1,CEILING((INT(((CROQUIS!$C$97)-CROQUIS!$C$107)/MAX(CROQUIS!$C$137,1))+1)/80,1))),1))+1))-1,0))*(CROQUIS!$C$137*MAX(1,CEILING((INT(((CROQUIS!$C$97)-CROQUIS!$C$107)/MAX(CROQUIS!$C$137,1))+1)/80,1))))))*CROQUIS!$C$159)+IF(CROQUIS!$C$92="X",0,0)),-1000)</f>
        <v>-1000</v>
      </c>
      <c r="BR81">
        <f>IF(AND(CROQUIS!$C$88=1,CROQUIS!$C$91=0,CROQUIS!$C$133&gt;0,OR(CROQUIS!$C$103=1,CROQUIS!$C$145=1)),((CROQUIS!$C$160+(IF(CROQUIS!$C$92="X",CHOOSE(IF(INT(($A81-1)/5)&gt;MAX((MAX(1,INT(((CROQUIS!$C$98)-CROQUIS!$C$107)/MAX((CROQUIS!$C$133*MAX(1,CEILING((INT(((CROQUIS!$C$98)-CROQUIS!$C$107)/MAX(CROQUIS!$C$133,1))+1)/80,1))),1))+1))-1,0),0,MOD($A81-1,5))+1,0,IF(CROQUIS!$C$103=1,-12,2),CROQUIS!$C$107/2+CROQUIS!$C$143,IF(CROQUIS!$C$103=1,-12,2),0),((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BS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+1,0,IF(CROQUIS!$C$103=1,-12,2),CROQUIS!$C$107/2+CROQUIS!$C$143,IF(CROQUIS!$C$103=1,-12,2),0)))*CROQUIS!$C$159)+IF(CROQUIS!$C$92="X",0.8,0)),-1000)</f>
        <v>-1000</v>
      </c>
      <c r="BT81">
        <f>IF(AND(CROQUIS!$C$88=1,CROQUIS!$C$91=0,CROQUIS!$C$133&gt;0,OR(CROQUIS!$C$104=1,CROQUIS!$C$145=1)),((CROQUIS!$C$160+(IF(CROQUIS!$C$92="X",CHOOSE(IF(INT(($A81-1)/5)&gt;MAX((MAX(1,INT(((CROQUIS!$C$98)-CROQUIS!$C$107)/MAX((CROQUIS!$C$133*MAX(1,CEILING((INT(((CROQUIS!$C$98)-CROQUIS!$C$107)/MAX(CROQUIS!$C$133,1))+1)/80,1))),1))+1))-1,0),0,MOD($A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BU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CROQUIS!$C$97,CROQUIS!$C$97-CROQUIS!$C$107/2-CROQUIS!$C$143,IF(CROQUIS!$C$104=1,CROQUIS!$C$97+12,CROQUIS!$C$97-2),CROQUIS!$C$97-CROQUIS!$C$107/2-CROQUIS!$C$143,CROQUIS!$C$97)))*CROQUIS!$C$159)+IF(CROQUIS!$C$92="X",0.8,0)),-1000)</f>
        <v>-1000</v>
      </c>
      <c r="BV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HOOSE(IF(INT(($A81-1)/5)&gt;MAX((MAX(1,INT(((CROQUIS!$C$97)-CROQUIS!$C$107)/MAX((CROQUIS!$C$141*MAX(1,CEILING((INT(((CROQUIS!$C$97)-CROQUIS!$C$107)/MAX(CROQUIS!$C$141,1))+1)/80,1))),1))+1))-1,0),0,MOD($A81-1,5))+1,0,IF(CROQUIS!$C$105=1,-12,2),CROQUIS!$C$107/2+CROQUIS!$C$144,IF(CROQUIS!$C$105=1,-12,2),0)))*CROQUIS!$C$159)+IF(CROQUIS!$C$92="X",0.8,0)),-1000)</f>
        <v>-1000</v>
      </c>
      <c r="BW81">
        <f>IF(AND(CROQUIS!$C$88=1,CROQUIS!$C$91=0,CROQUIS!$C$141&gt;0,OR(CROQUIS!$C$105=1,CROQUIS!$C$146=1)),((CROQUIS!$C$161+(IF(CROQUIS!$C$92="X",CHOOSE(IF(INT(($A81-1)/5)&gt;MAX((MAX(1,INT(((CROQUIS!$C$97)-CROQUIS!$C$107)/MAX((CROQUIS!$C$141*MAX(1,CEILING((INT(((CROQUIS!$C$97)-CROQUIS!$C$107)/MAX(CROQUIS!$C$141,1))+1)/80,1))),1))+1))-1,0),0,MOD($A81-1,5))+1,0,IF(CROQUIS!$C$105=1,-12,2),CROQUIS!$C$107/2+CROQUIS!$C$144,IF(CROQUIS!$C$105=1,-12,2),0),((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ROQUIS!$C$159)+IF(CROQUIS!$C$92="X",0,0.8)),-1000)</f>
        <v>-1000</v>
      </c>
      <c r="BX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HOOSE(IF(INT(($A81-1)/5)&gt;MAX((MAX(1,INT(((CROQUIS!$C$97)-CROQUIS!$C$107)/MAX((CROQUIS!$C$141*MAX(1,CEILING((INT(((CROQUIS!$C$97)-CROQUIS!$C$107)/MAX(CROQUIS!$C$141,1))+1)/80,1))),1))+1))-1,0),0,MOD($A81-1,5))+1,CROQUIS!$C$98,CROQUIS!$C$98-CROQUIS!$C$107/2-CROQUIS!$C$144,IF(CROQUIS!$C$106=1,CROQUIS!$C$98+12,CROQUIS!$C$98-2),CROQUIS!$C$98-CROQUIS!$C$107/2-CROQUIS!$C$144,CROQUIS!$C$98)))*CROQUIS!$C$159)+IF(CROQUIS!$C$92="X",0.8,0)),-1000)</f>
        <v>-1000</v>
      </c>
      <c r="BY81">
        <f>IF(AND(CROQUIS!$C$88=1,CROQUIS!$C$91=0,CROQUIS!$C$141&gt;0,OR(CROQUIS!$C$106=1,CROQUIS!$C$146=1)),((CROQUIS!$C$161+(IF(CROQUIS!$C$92="X",CHOOSE(IF(INT(($A81-1)/5)&gt;MAX((MAX(1,INT(((CROQUIS!$C$97)-CROQUIS!$C$107)/MAX((CROQUIS!$C$141*MAX(1,CEILING((INT(((CROQUIS!$C$97)-CROQUIS!$C$107)/MAX(CROQUIS!$C$141,1))+1)/80,1))),1))+1))-1,0),0,MOD($A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ROQUIS!$C$159)+IF(CROQUIS!$C$92="X",0,0.8)),-1000)</f>
        <v>-1000</v>
      </c>
      <c r="BZ81">
        <f>IF(AND(CROQUIS!$C$88=1,CROQUIS!$C$91=1,CROQUIS!$C$133&gt;0),((CROQUIS!$C$160+(IF(CROQUIS!$C$92="X",CHOOSE(IF(INT(($A81-1)/5)&gt;MAX((MAX(1,INT(((CROQUIS!$C$98)-CROQUIS!$C$107)/MAX((CROQUIS!$C$133*MAX(1,CEILING((INT(((CROQUIS!$C$98)-CROQUIS!$C$107)/MAX(CROQUIS!$C$133,1))+1)/80,1))),1))+1))-1,0),0,MOD($A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CA81">
        <f>IF(AND(CROQUIS!$C$88=1,CROQUIS!$C$91=1,CROQUIS!$C$133&gt;0),((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2">
      <c r="A82" t="n">
        <v>75</v>
      </c>
      <c r="AJ82">
        <f>IF(AND(CROQUIS!$C$87=1,CROQUIS!$C$162&gt;0,CROQUIS!$C$164&gt;0),(CROQUIS!$C$160+((CROQUIS!$C$163+INT(MIN(INT(($A82-1)/2),MAX((2*CROQUIS!$C$162)-1,0))/2)*CROQUIS!$C$116+MOD(MIN(INT(($A82-1)/2),MAX((2*CROQUIS!$C$162)-1,0)),2)*CROQUIS!$C$114))*CROQUIS!$C$159),-1000)</f>
        <v>81.3375508359693</v>
      </c>
      <c r="AK82">
        <f>IF(AND(CROQUIS!$C$87=1,CROQUIS!$C$162&gt;0,CROQUIS!$C$164&gt;0),(CROQUIS!$C$161+(IF(MOD(MIN(INT(($A82-1)/2),MAX((2*CROQUIS!$C$162)-1,0)),2)=0,IF(IF(INT(($A82-1)/2)&gt;MAX((2*CROQUIS!$C$162)-1,0),1,MOD($A82-1,2))=0,CROQUIS!$C$165,(CROQUIS!$C$165+(CROQUIS!$C$164-1)*CROQUIS!$C$116+CROQUIS!$C$115)),IF(IF(INT(($A82-1)/2)&gt;MAX((2*CROQUIS!$C$162)-1,0),1,MOD($A82-1,2))=0,(CROQUIS!$C$165+(CROQUIS!$C$164-1)*CROQUIS!$C$116+CROQUIS!$C$115),CROQUIS!$C$165)))*CROQUIS!$C$159),-1000)</f>
        <v>20.8088567555355</v>
      </c>
      <c r="AL82">
        <f>IF(AND(CROQUIS!$C$87=1,CROQUIS!$C$164&gt;0,CROQUIS!$C$162&gt;0),(CROQUIS!$C$160+(IF(MOD(MIN(INT(($A82-1)/2),MAX((2*CROQUIS!$C$164)-1,0)),2)=0,IF(IF(INT(($A82-1)/2)&gt;MAX((2*CROQUIS!$C$164)-1,0),1,MOD($A82-1,2))=0,CROQUIS!$C$163,(CROQUIS!$C$163+(CROQUIS!$C$162-1)*CROQUIS!$C$116+CROQUIS!$C$114)),IF(IF(INT(($A82-1)/2)&gt;MAX((2*CROQUIS!$C$164)-1,0),1,MOD($A82-1,2))=0,(CROQUIS!$C$163+(CROQUIS!$C$162-1)*CROQUIS!$C$116+CROQUIS!$C$114),CROQUIS!$C$163)))*CROQUIS!$C$159),-1000)</f>
        <v>22.9552643470402</v>
      </c>
      <c r="AM82">
        <f>IF(AND(CROQUIS!$C$87=1,CROQUIS!$C$164&gt;0,CROQUIS!$C$162&gt;0),(CROQUIS!$C$161+((CROQUIS!$C$165+INT(MIN(INT(($A82-1)/2),MAX((2*CROQUIS!$C$164)-1,0))/2)*CROQUIS!$C$116+MOD(MIN(INT(($A82-1)/2),MAX((2*CROQUIS!$C$164)-1,0)),2)*CROQUIS!$C$115))*CROQUIS!$C$159),-1000)</f>
        <v>79.1911432444645</v>
      </c>
      <c r="BN82">
        <f>IF(AND(CROQUIS!$C$88=1,CROQUIS!$C$129&gt;0),((CROQUIS!$C$160+(IF(CROQUIS!$C$92="X",CHOOSE(IF(INT(($A82-1)/5)&gt;MAX((MAX(1,INT(((CROQUIS!$C$98)-CROQUIS!$C$107)/MAX((CROQUIS!$C$129*MAX(1,CEILING((INT(((CROQUIS!$C$98)-CROQUIS!$C$107)/MAX(CROQUIS!$C$129,1))+1)/80,1))),1))+1))-1,0),0,MOD($A82-1,5))+1,0,2,CROQUIS!$C$97-2,2,0),((CROQUIS!$C$107/2+(((CROQUIS!$C$98)-CROQUIS!$C$107)-(MAX(1,INT(((CROQUIS!$C$98)-CROQUIS!$C$107)/MAX((CROQUIS!$C$129*MAX(1,CEILING((INT(((CROQUIS!$C$98)-CROQUIS!$C$107)/MAX(CROQUIS!$C$129,1))+1)/80,1))),1))+1)-1)*(CROQUIS!$C$129*MAX(1,CEILING((INT(((CROQUIS!$C$98)-CROQUIS!$C$107)/MAX(CROQUIS!$C$129,1))+1)/80,1))))/2)+MIN(INT(($A82-1)/5),MAX((MAX(1,INT(((CROQUIS!$C$98)-CROQUIS!$C$107)/MAX((CROQUIS!$C$129*MAX(1,CEILING((INT(((CROQUIS!$C$98)-CROQUIS!$C$107)/MAX(CROQUIS!$C$129,1))+1)/80,1))),1))+1))-1,0))*(CROQUIS!$C$129*MAX(1,CEILING((INT(((CROQUIS!$C$98)-CROQUIS!$C$107)/MAX(CROQUIS!$C$129,1))+1)/80,1))))))*CROQUIS!$C$159)+IF(CROQUIS!$C$92="X",0,0)),-1000)</f>
        <v>-1000</v>
      </c>
      <c r="BO82">
        <f>IF(AND(CROQUIS!$C$88=1,CROQUIS!$C$129&gt;0),((CROQUIS!$C$161+(IF(CROQUIS!$C$92="X",((CROQUIS!$C$107/2+(((CROQUIS!$C$98)-CROQUIS!$C$107)-(MAX(1,INT(((CROQUIS!$C$98)-CROQUIS!$C$107)/MAX((CROQUIS!$C$129*MAX(1,CEILING((INT(((CROQUIS!$C$98)-CROQUIS!$C$107)/MAX(CROQUIS!$C$129,1))+1)/80,1))),1))+1)-1)*(CROQUIS!$C$129*MAX(1,CEILING((INT(((CROQUIS!$C$98)-CROQUIS!$C$107)/MAX(CROQUIS!$C$129,1))+1)/80,1))))/2)+MIN(INT(($A82-1)/5),MAX((MAX(1,INT(((CROQUIS!$C$98)-CROQUIS!$C$107)/MAX((CROQUIS!$C$129*MAX(1,CEILING((INT(((CROQUIS!$C$98)-CROQUIS!$C$107)/MAX(CROQUIS!$C$129,1))+1)/80,1))),1))+1))-1,0))*(CROQUIS!$C$129*MAX(1,CEILING((INT(((CROQUIS!$C$98)-CROQUIS!$C$107)/MAX(CROQUIS!$C$129,1))+1)/80,1)))),CHOOSE(IF(INT(($A82-1)/5)&gt;MAX((MAX(1,INT(((CROQUIS!$C$98)-CROQUIS!$C$107)/MAX((CROQUIS!$C$129*MAX(1,CEILING((INT(((CROQUIS!$C$98)-CROQUIS!$C$107)/MAX(CROQUIS!$C$129,1))+1)/80,1))),1))+1))-1,0),0,MOD($A82-1,5))+1,0,2,CROQUIS!$C$97-2,2,0)))*CROQUIS!$C$159)+IF(CROQUIS!$C$92="X",0,0)),-1000)</f>
        <v>-1000</v>
      </c>
      <c r="BP82">
        <f>IF(AND(CROQUIS!$C$88=1,CROQUIS!$C$137&gt;0),((CROQUIS!$C$160+(IF(CROQUIS!$C$92="X",((CROQUIS!$C$107/2+(((CROQUIS!$C$97)-CROQUIS!$C$107)-(MAX(1,INT(((CROQUIS!$C$97)-CROQUIS!$C$107)/MAX((CROQUIS!$C$137*MAX(1,CEILING((INT(((CROQUIS!$C$97)-CROQUIS!$C$107)/MAX(CROQUIS!$C$137,1))+1)/80,1))),1))+1)-1)*(CROQUIS!$C$137*MAX(1,CEILING((INT(((CROQUIS!$C$97)-CROQUIS!$C$107)/MAX(CROQUIS!$C$137,1))+1)/80,1))))/2)+MIN(INT(($A82-1)/5),MAX((MAX(1,INT(((CROQUIS!$C$97)-CROQUIS!$C$107)/MAX((CROQUIS!$C$137*MAX(1,CEILING((INT(((CROQUIS!$C$97)-CROQUIS!$C$107)/MAX(CROQUIS!$C$137,1))+1)/80,1))),1))+1))-1,0))*(CROQUIS!$C$137*MAX(1,CEILING((INT(((CROQUIS!$C$97)-CROQUIS!$C$107)/MAX(CROQUIS!$C$137,1))+1)/80,1)))),CHOOSE(IF(INT(($A82-1)/5)&gt;MAX((MAX(1,INT(((CROQUIS!$C$97)-CROQUIS!$C$107)/MAX((CROQUIS!$C$137*MAX(1,CEILING((INT(((CROQUIS!$C$97)-CROQUIS!$C$107)/MAX(CROQUIS!$C$137,1))+1)/80,1))),1))+1))-1,0),0,MOD($A82-1,5))+1,0,2,CROQUIS!$C$98-2,2,0)))*CROQUIS!$C$159)+IF(CROQUIS!$C$92="X",0,0)),-1000)</f>
        <v>-1000</v>
      </c>
      <c r="BQ82">
        <f>IF(AND(CROQUIS!$C$88=1,CROQUIS!$C$137&gt;0),((CROQUIS!$C$161+(IF(CROQUIS!$C$92="X",CHOOSE(IF(INT(($A82-1)/5)&gt;MAX((MAX(1,INT(((CROQUIS!$C$97)-CROQUIS!$C$107)/MAX((CROQUIS!$C$137*MAX(1,CEILING((INT(((CROQUIS!$C$97)-CROQUIS!$C$107)/MAX(CROQUIS!$C$137,1))+1)/80,1))),1))+1))-1,0),0,MOD($A82-1,5))+1,0,2,CROQUIS!$C$98-2,2,0),((CROQUIS!$C$107/2+(((CROQUIS!$C$97)-CROQUIS!$C$107)-(MAX(1,INT(((CROQUIS!$C$97)-CROQUIS!$C$107)/MAX((CROQUIS!$C$137*MAX(1,CEILING((INT(((CROQUIS!$C$97)-CROQUIS!$C$107)/MAX(CROQUIS!$C$137,1))+1)/80,1))),1))+1)-1)*(CROQUIS!$C$137*MAX(1,CEILING((INT(((CROQUIS!$C$97)-CROQUIS!$C$107)/MAX(CROQUIS!$C$137,1))+1)/80,1))))/2)+MIN(INT(($A82-1)/5),MAX((MAX(1,INT(((CROQUIS!$C$97)-CROQUIS!$C$107)/MAX((CROQUIS!$C$137*MAX(1,CEILING((INT(((CROQUIS!$C$97)-CROQUIS!$C$107)/MAX(CROQUIS!$C$137,1))+1)/80,1))),1))+1))-1,0))*(CROQUIS!$C$137*MAX(1,CEILING((INT(((CROQUIS!$C$97)-CROQUIS!$C$107)/MAX(CROQUIS!$C$137,1))+1)/80,1))))))*CROQUIS!$C$159)+IF(CROQUIS!$C$92="X",0,0)),-1000)</f>
        <v>-1000</v>
      </c>
      <c r="BR82">
        <f>IF(AND(CROQUIS!$C$88=1,CROQUIS!$C$91=0,CROQUIS!$C$133&gt;0,OR(CROQUIS!$C$103=1,CROQUIS!$C$145=1)),((CROQUIS!$C$160+(IF(CROQUIS!$C$92="X",CHOOSE(IF(INT(($A82-1)/5)&gt;MAX((MAX(1,INT(((CROQUIS!$C$98)-CROQUIS!$C$107)/MAX((CROQUIS!$C$133*MAX(1,CEILING((INT(((CROQUIS!$C$98)-CROQUIS!$C$107)/MAX(CROQUIS!$C$133,1))+1)/80,1))),1))+1))-1,0),0,MOD($A82-1,5))+1,0,IF(CROQUIS!$C$103=1,-12,2),CROQUIS!$C$107/2+CROQUIS!$C$143,IF(CROQUIS!$C$103=1,-12,2),0),((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BS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+1,0,IF(CROQUIS!$C$103=1,-12,2),CROQUIS!$C$107/2+CROQUIS!$C$143,IF(CROQUIS!$C$103=1,-12,2),0)))*CROQUIS!$C$159)+IF(CROQUIS!$C$92="X",0.8,0)),-1000)</f>
        <v>-1000</v>
      </c>
      <c r="BT82">
        <f>IF(AND(CROQUIS!$C$88=1,CROQUIS!$C$91=0,CROQUIS!$C$133&gt;0,OR(CROQUIS!$C$104=1,CROQUIS!$C$145=1)),((CROQUIS!$C$160+(IF(CROQUIS!$C$92="X",CHOOSE(IF(INT(($A82-1)/5)&gt;MAX((MAX(1,INT(((CROQUIS!$C$98)-CROQUIS!$C$107)/MAX((CROQUIS!$C$133*MAX(1,CEILING((INT(((CROQUIS!$C$98)-CROQUIS!$C$107)/MAX(CROQUIS!$C$133,1))+1)/80,1))),1))+1))-1,0),0,MOD($A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BU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CROQUIS!$C$97,CROQUIS!$C$97-CROQUIS!$C$107/2-CROQUIS!$C$143,IF(CROQUIS!$C$104=1,CROQUIS!$C$97+12,CROQUIS!$C$97-2),CROQUIS!$C$97-CROQUIS!$C$107/2-CROQUIS!$C$143,CROQUIS!$C$97)))*CROQUIS!$C$159)+IF(CROQUIS!$C$92="X",0.8,0)),-1000)</f>
        <v>-1000</v>
      </c>
      <c r="BV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HOOSE(IF(INT(($A82-1)/5)&gt;MAX((MAX(1,INT(((CROQUIS!$C$97)-CROQUIS!$C$107)/MAX((CROQUIS!$C$141*MAX(1,CEILING((INT(((CROQUIS!$C$97)-CROQUIS!$C$107)/MAX(CROQUIS!$C$141,1))+1)/80,1))),1))+1))-1,0),0,MOD($A82-1,5))+1,0,IF(CROQUIS!$C$105=1,-12,2),CROQUIS!$C$107/2+CROQUIS!$C$144,IF(CROQUIS!$C$105=1,-12,2),0)))*CROQUIS!$C$159)+IF(CROQUIS!$C$92="X",0.8,0)),-1000)</f>
        <v>-1000</v>
      </c>
      <c r="BW82">
        <f>IF(AND(CROQUIS!$C$88=1,CROQUIS!$C$91=0,CROQUIS!$C$141&gt;0,OR(CROQUIS!$C$105=1,CROQUIS!$C$146=1)),((CROQUIS!$C$161+(IF(CROQUIS!$C$92="X",CHOOSE(IF(INT(($A82-1)/5)&gt;MAX((MAX(1,INT(((CROQUIS!$C$97)-CROQUIS!$C$107)/MAX((CROQUIS!$C$141*MAX(1,CEILING((INT(((CROQUIS!$C$97)-CROQUIS!$C$107)/MAX(CROQUIS!$C$141,1))+1)/80,1))),1))+1))-1,0),0,MOD($A82-1,5))+1,0,IF(CROQUIS!$C$105=1,-12,2),CROQUIS!$C$107/2+CROQUIS!$C$144,IF(CROQUIS!$C$105=1,-12,2),0),((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ROQUIS!$C$159)+IF(CROQUIS!$C$92="X",0,0.8)),-1000)</f>
        <v>-1000</v>
      </c>
      <c r="BX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HOOSE(IF(INT(($A82-1)/5)&gt;MAX((MAX(1,INT(((CROQUIS!$C$97)-CROQUIS!$C$107)/MAX((CROQUIS!$C$141*MAX(1,CEILING((INT(((CROQUIS!$C$97)-CROQUIS!$C$107)/MAX(CROQUIS!$C$141,1))+1)/80,1))),1))+1))-1,0),0,MOD($A82-1,5))+1,CROQUIS!$C$98,CROQUIS!$C$98-CROQUIS!$C$107/2-CROQUIS!$C$144,IF(CROQUIS!$C$106=1,CROQUIS!$C$98+12,CROQUIS!$C$98-2),CROQUIS!$C$98-CROQUIS!$C$107/2-CROQUIS!$C$144,CROQUIS!$C$98)))*CROQUIS!$C$159)+IF(CROQUIS!$C$92="X",0.8,0)),-1000)</f>
        <v>-1000</v>
      </c>
      <c r="BY82">
        <f>IF(AND(CROQUIS!$C$88=1,CROQUIS!$C$91=0,CROQUIS!$C$141&gt;0,OR(CROQUIS!$C$106=1,CROQUIS!$C$146=1)),((CROQUIS!$C$161+(IF(CROQUIS!$C$92="X",CHOOSE(IF(INT(($A82-1)/5)&gt;MAX((MAX(1,INT(((CROQUIS!$C$97)-CROQUIS!$C$107)/MAX((CROQUIS!$C$141*MAX(1,CEILING((INT(((CROQUIS!$C$97)-CROQUIS!$C$107)/MAX(CROQUIS!$C$141,1))+1)/80,1))),1))+1))-1,0),0,MOD($A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ROQUIS!$C$159)+IF(CROQUIS!$C$92="X",0,0.8)),-1000)</f>
        <v>-1000</v>
      </c>
      <c r="BZ82">
        <f>IF(AND(CROQUIS!$C$88=1,CROQUIS!$C$91=1,CROQUIS!$C$133&gt;0),((CROQUIS!$C$160+(IF(CROQUIS!$C$92="X",CHOOSE(IF(INT(($A82-1)/5)&gt;MAX((MAX(1,INT(((CROQUIS!$C$98)-CROQUIS!$C$107)/MAX((CROQUIS!$C$133*MAX(1,CEILING((INT(((CROQUIS!$C$98)-CROQUIS!$C$107)/MAX(CROQUIS!$C$133,1))+1)/80,1))),1))+1))-1,0),0,MOD($A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CA82">
        <f>IF(AND(CROQUIS!$C$88=1,CROQUIS!$C$91=1,CROQUIS!$C$133&gt;0),((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3">
      <c r="A83" t="n">
        <v>76</v>
      </c>
      <c r="AJ83">
        <f>IF(AND(CROQUIS!$C$87=1,CROQUIS!$C$162&gt;0,CROQUIS!$C$164&gt;0),(CROQUIS!$C$160+((CROQUIS!$C$163+INT(MIN(INT(($A83-1)/2),MAX((2*CROQUIS!$C$162)-1,0))/2)*CROQUIS!$C$116+MOD(MIN(INT(($A83-1)/2),MAX((2*CROQUIS!$C$162)-1,0)),2)*CROQUIS!$C$114))*CROQUIS!$C$159),-1000)</f>
        <v>81.3375508359693</v>
      </c>
      <c r="AK83">
        <f>IF(AND(CROQUIS!$C$87=1,CROQUIS!$C$162&gt;0,CROQUIS!$C$164&gt;0),(CROQUIS!$C$161+(IF(MOD(MIN(INT(($A83-1)/2),MAX((2*CROQUIS!$C$162)-1,0)),2)=0,IF(IF(INT(($A83-1)/2)&gt;MAX((2*CROQUIS!$C$162)-1,0),1,MOD($A83-1,2))=0,CROQUIS!$C$165,(CROQUIS!$C$165+(CROQUIS!$C$164-1)*CROQUIS!$C$116+CROQUIS!$C$115)),IF(IF(INT(($A83-1)/2)&gt;MAX((2*CROQUIS!$C$162)-1,0),1,MOD($A83-1,2))=0,(CROQUIS!$C$165+(CROQUIS!$C$164-1)*CROQUIS!$C$116+CROQUIS!$C$115),CROQUIS!$C$165)))*CROQUIS!$C$159),-1000)</f>
        <v>20.8088567555355</v>
      </c>
      <c r="AL83">
        <f>IF(AND(CROQUIS!$C$87=1,CROQUIS!$C$164&gt;0,CROQUIS!$C$162&gt;0),(CROQUIS!$C$160+(IF(MOD(MIN(INT(($A83-1)/2),MAX((2*CROQUIS!$C$164)-1,0)),2)=0,IF(IF(INT(($A83-1)/2)&gt;MAX((2*CROQUIS!$C$164)-1,0),1,MOD($A83-1,2))=0,CROQUIS!$C$163,(CROQUIS!$C$163+(CROQUIS!$C$162-1)*CROQUIS!$C$116+CROQUIS!$C$114)),IF(IF(INT(($A83-1)/2)&gt;MAX((2*CROQUIS!$C$164)-1,0),1,MOD($A83-1,2))=0,(CROQUIS!$C$163+(CROQUIS!$C$162-1)*CROQUIS!$C$116+CROQUIS!$C$114),CROQUIS!$C$163)))*CROQUIS!$C$159),-1000)</f>
        <v>22.9552643470402</v>
      </c>
      <c r="AM83">
        <f>IF(AND(CROQUIS!$C$87=1,CROQUIS!$C$164&gt;0,CROQUIS!$C$162&gt;0),(CROQUIS!$C$161+((CROQUIS!$C$165+INT(MIN(INT(($A83-1)/2),MAX((2*CROQUIS!$C$164)-1,0))/2)*CROQUIS!$C$116+MOD(MIN(INT(($A83-1)/2),MAX((2*CROQUIS!$C$164)-1,0)),2)*CROQUIS!$C$115))*CROQUIS!$C$159),-1000)</f>
        <v>79.1911432444645</v>
      </c>
      <c r="BN83">
        <f>IF(AND(CROQUIS!$C$88=1,CROQUIS!$C$129&gt;0),((CROQUIS!$C$160+(IF(CROQUIS!$C$92="X",CHOOSE(IF(INT(($A83-1)/5)&gt;MAX((MAX(1,INT(((CROQUIS!$C$98)-CROQUIS!$C$107)/MAX((CROQUIS!$C$129*MAX(1,CEILING((INT(((CROQUIS!$C$98)-CROQUIS!$C$107)/MAX(CROQUIS!$C$129,1))+1)/80,1))),1))+1))-1,0),0,MOD($A83-1,5))+1,0,2,CROQUIS!$C$97-2,2,0),((CROQUIS!$C$107/2+(((CROQUIS!$C$98)-CROQUIS!$C$107)-(MAX(1,INT(((CROQUIS!$C$98)-CROQUIS!$C$107)/MAX((CROQUIS!$C$129*MAX(1,CEILING((INT(((CROQUIS!$C$98)-CROQUIS!$C$107)/MAX(CROQUIS!$C$129,1))+1)/80,1))),1))+1)-1)*(CROQUIS!$C$129*MAX(1,CEILING((INT(((CROQUIS!$C$98)-CROQUIS!$C$107)/MAX(CROQUIS!$C$129,1))+1)/80,1))))/2)+MIN(INT(($A83-1)/5),MAX((MAX(1,INT(((CROQUIS!$C$98)-CROQUIS!$C$107)/MAX((CROQUIS!$C$129*MAX(1,CEILING((INT(((CROQUIS!$C$98)-CROQUIS!$C$107)/MAX(CROQUIS!$C$129,1))+1)/80,1))),1))+1))-1,0))*(CROQUIS!$C$129*MAX(1,CEILING((INT(((CROQUIS!$C$98)-CROQUIS!$C$107)/MAX(CROQUIS!$C$129,1))+1)/80,1))))))*CROQUIS!$C$159)+IF(CROQUIS!$C$92="X",0,0)),-1000)</f>
        <v>-1000</v>
      </c>
      <c r="BO83">
        <f>IF(AND(CROQUIS!$C$88=1,CROQUIS!$C$129&gt;0),((CROQUIS!$C$161+(IF(CROQUIS!$C$92="X",((CROQUIS!$C$107/2+(((CROQUIS!$C$98)-CROQUIS!$C$107)-(MAX(1,INT(((CROQUIS!$C$98)-CROQUIS!$C$107)/MAX((CROQUIS!$C$129*MAX(1,CEILING((INT(((CROQUIS!$C$98)-CROQUIS!$C$107)/MAX(CROQUIS!$C$129,1))+1)/80,1))),1))+1)-1)*(CROQUIS!$C$129*MAX(1,CEILING((INT(((CROQUIS!$C$98)-CROQUIS!$C$107)/MAX(CROQUIS!$C$129,1))+1)/80,1))))/2)+MIN(INT(($A83-1)/5),MAX((MAX(1,INT(((CROQUIS!$C$98)-CROQUIS!$C$107)/MAX((CROQUIS!$C$129*MAX(1,CEILING((INT(((CROQUIS!$C$98)-CROQUIS!$C$107)/MAX(CROQUIS!$C$129,1))+1)/80,1))),1))+1))-1,0))*(CROQUIS!$C$129*MAX(1,CEILING((INT(((CROQUIS!$C$98)-CROQUIS!$C$107)/MAX(CROQUIS!$C$129,1))+1)/80,1)))),CHOOSE(IF(INT(($A83-1)/5)&gt;MAX((MAX(1,INT(((CROQUIS!$C$98)-CROQUIS!$C$107)/MAX((CROQUIS!$C$129*MAX(1,CEILING((INT(((CROQUIS!$C$98)-CROQUIS!$C$107)/MAX(CROQUIS!$C$129,1))+1)/80,1))),1))+1))-1,0),0,MOD($A83-1,5))+1,0,2,CROQUIS!$C$97-2,2,0)))*CROQUIS!$C$159)+IF(CROQUIS!$C$92="X",0,0)),-1000)</f>
        <v>-1000</v>
      </c>
      <c r="BP83">
        <f>IF(AND(CROQUIS!$C$88=1,CROQUIS!$C$137&gt;0),((CROQUIS!$C$160+(IF(CROQUIS!$C$92="X",((CROQUIS!$C$107/2+(((CROQUIS!$C$97)-CROQUIS!$C$107)-(MAX(1,INT(((CROQUIS!$C$97)-CROQUIS!$C$107)/MAX((CROQUIS!$C$137*MAX(1,CEILING((INT(((CROQUIS!$C$97)-CROQUIS!$C$107)/MAX(CROQUIS!$C$137,1))+1)/80,1))),1))+1)-1)*(CROQUIS!$C$137*MAX(1,CEILING((INT(((CROQUIS!$C$97)-CROQUIS!$C$107)/MAX(CROQUIS!$C$137,1))+1)/80,1))))/2)+MIN(INT(($A83-1)/5),MAX((MAX(1,INT(((CROQUIS!$C$97)-CROQUIS!$C$107)/MAX((CROQUIS!$C$137*MAX(1,CEILING((INT(((CROQUIS!$C$97)-CROQUIS!$C$107)/MAX(CROQUIS!$C$137,1))+1)/80,1))),1))+1))-1,0))*(CROQUIS!$C$137*MAX(1,CEILING((INT(((CROQUIS!$C$97)-CROQUIS!$C$107)/MAX(CROQUIS!$C$137,1))+1)/80,1)))),CHOOSE(IF(INT(($A83-1)/5)&gt;MAX((MAX(1,INT(((CROQUIS!$C$97)-CROQUIS!$C$107)/MAX((CROQUIS!$C$137*MAX(1,CEILING((INT(((CROQUIS!$C$97)-CROQUIS!$C$107)/MAX(CROQUIS!$C$137,1))+1)/80,1))),1))+1))-1,0),0,MOD($A83-1,5))+1,0,2,CROQUIS!$C$98-2,2,0)))*CROQUIS!$C$159)+IF(CROQUIS!$C$92="X",0,0)),-1000)</f>
        <v>-1000</v>
      </c>
      <c r="BQ83">
        <f>IF(AND(CROQUIS!$C$88=1,CROQUIS!$C$137&gt;0),((CROQUIS!$C$161+(IF(CROQUIS!$C$92="X",CHOOSE(IF(INT(($A83-1)/5)&gt;MAX((MAX(1,INT(((CROQUIS!$C$97)-CROQUIS!$C$107)/MAX((CROQUIS!$C$137*MAX(1,CEILING((INT(((CROQUIS!$C$97)-CROQUIS!$C$107)/MAX(CROQUIS!$C$137,1))+1)/80,1))),1))+1))-1,0),0,MOD($A83-1,5))+1,0,2,CROQUIS!$C$98-2,2,0),((CROQUIS!$C$107/2+(((CROQUIS!$C$97)-CROQUIS!$C$107)-(MAX(1,INT(((CROQUIS!$C$97)-CROQUIS!$C$107)/MAX((CROQUIS!$C$137*MAX(1,CEILING((INT(((CROQUIS!$C$97)-CROQUIS!$C$107)/MAX(CROQUIS!$C$137,1))+1)/80,1))),1))+1)-1)*(CROQUIS!$C$137*MAX(1,CEILING((INT(((CROQUIS!$C$97)-CROQUIS!$C$107)/MAX(CROQUIS!$C$137,1))+1)/80,1))))/2)+MIN(INT(($A83-1)/5),MAX((MAX(1,INT(((CROQUIS!$C$97)-CROQUIS!$C$107)/MAX((CROQUIS!$C$137*MAX(1,CEILING((INT(((CROQUIS!$C$97)-CROQUIS!$C$107)/MAX(CROQUIS!$C$137,1))+1)/80,1))),1))+1))-1,0))*(CROQUIS!$C$137*MAX(1,CEILING((INT(((CROQUIS!$C$97)-CROQUIS!$C$107)/MAX(CROQUIS!$C$137,1))+1)/80,1))))))*CROQUIS!$C$159)+IF(CROQUIS!$C$92="X",0,0)),-1000)</f>
        <v>-1000</v>
      </c>
      <c r="BR83">
        <f>IF(AND(CROQUIS!$C$88=1,CROQUIS!$C$91=0,CROQUIS!$C$133&gt;0,OR(CROQUIS!$C$103=1,CROQUIS!$C$145=1)),((CROQUIS!$C$160+(IF(CROQUIS!$C$92="X",CHOOSE(IF(INT(($A83-1)/5)&gt;MAX((MAX(1,INT(((CROQUIS!$C$98)-CROQUIS!$C$107)/MAX((CROQUIS!$C$133*MAX(1,CEILING((INT(((CROQUIS!$C$98)-CROQUIS!$C$107)/MAX(CROQUIS!$C$133,1))+1)/80,1))),1))+1))-1,0),0,MOD($A83-1,5))+1,0,IF(CROQUIS!$C$103=1,-12,2),CROQUIS!$C$107/2+CROQUIS!$C$143,IF(CROQUIS!$C$103=1,-12,2),0),((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BS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+1,0,IF(CROQUIS!$C$103=1,-12,2),CROQUIS!$C$107/2+CROQUIS!$C$143,IF(CROQUIS!$C$103=1,-12,2),0)))*CROQUIS!$C$159)+IF(CROQUIS!$C$92="X",0.8,0)),-1000)</f>
        <v>-1000</v>
      </c>
      <c r="BT83">
        <f>IF(AND(CROQUIS!$C$88=1,CROQUIS!$C$91=0,CROQUIS!$C$133&gt;0,OR(CROQUIS!$C$104=1,CROQUIS!$C$145=1)),((CROQUIS!$C$160+(IF(CROQUIS!$C$92="X",CHOOSE(IF(INT(($A83-1)/5)&gt;MAX((MAX(1,INT(((CROQUIS!$C$98)-CROQUIS!$C$107)/MAX((CROQUIS!$C$133*MAX(1,CEILING((INT(((CROQUIS!$C$98)-CROQUIS!$C$107)/MAX(CROQUIS!$C$133,1))+1)/80,1))),1))+1))-1,0),0,MOD($A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BU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CROQUIS!$C$97,CROQUIS!$C$97-CROQUIS!$C$107/2-CROQUIS!$C$143,IF(CROQUIS!$C$104=1,CROQUIS!$C$97+12,CROQUIS!$C$97-2),CROQUIS!$C$97-CROQUIS!$C$107/2-CROQUIS!$C$143,CROQUIS!$C$97)))*CROQUIS!$C$159)+IF(CROQUIS!$C$92="X",0.8,0)),-1000)</f>
        <v>-1000</v>
      </c>
      <c r="BV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HOOSE(IF(INT(($A83-1)/5)&gt;MAX((MAX(1,INT(((CROQUIS!$C$97)-CROQUIS!$C$107)/MAX((CROQUIS!$C$141*MAX(1,CEILING((INT(((CROQUIS!$C$97)-CROQUIS!$C$107)/MAX(CROQUIS!$C$141,1))+1)/80,1))),1))+1))-1,0),0,MOD($A83-1,5))+1,0,IF(CROQUIS!$C$105=1,-12,2),CROQUIS!$C$107/2+CROQUIS!$C$144,IF(CROQUIS!$C$105=1,-12,2),0)))*CROQUIS!$C$159)+IF(CROQUIS!$C$92="X",0.8,0)),-1000)</f>
        <v>-1000</v>
      </c>
      <c r="BW83">
        <f>IF(AND(CROQUIS!$C$88=1,CROQUIS!$C$91=0,CROQUIS!$C$141&gt;0,OR(CROQUIS!$C$105=1,CROQUIS!$C$146=1)),((CROQUIS!$C$161+(IF(CROQUIS!$C$92="X",CHOOSE(IF(INT(($A83-1)/5)&gt;MAX((MAX(1,INT(((CROQUIS!$C$97)-CROQUIS!$C$107)/MAX((CROQUIS!$C$141*MAX(1,CEILING((INT(((CROQUIS!$C$97)-CROQUIS!$C$107)/MAX(CROQUIS!$C$141,1))+1)/80,1))),1))+1))-1,0),0,MOD($A83-1,5))+1,0,IF(CROQUIS!$C$105=1,-12,2),CROQUIS!$C$107/2+CROQUIS!$C$144,IF(CROQUIS!$C$105=1,-12,2),0),((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ROQUIS!$C$159)+IF(CROQUIS!$C$92="X",0,0.8)),-1000)</f>
        <v>-1000</v>
      </c>
      <c r="BX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HOOSE(IF(INT(($A83-1)/5)&gt;MAX((MAX(1,INT(((CROQUIS!$C$97)-CROQUIS!$C$107)/MAX((CROQUIS!$C$141*MAX(1,CEILING((INT(((CROQUIS!$C$97)-CROQUIS!$C$107)/MAX(CROQUIS!$C$141,1))+1)/80,1))),1))+1))-1,0),0,MOD($A83-1,5))+1,CROQUIS!$C$98,CROQUIS!$C$98-CROQUIS!$C$107/2-CROQUIS!$C$144,IF(CROQUIS!$C$106=1,CROQUIS!$C$98+12,CROQUIS!$C$98-2),CROQUIS!$C$98-CROQUIS!$C$107/2-CROQUIS!$C$144,CROQUIS!$C$98)))*CROQUIS!$C$159)+IF(CROQUIS!$C$92="X",0.8,0)),-1000)</f>
        <v>-1000</v>
      </c>
      <c r="BY83">
        <f>IF(AND(CROQUIS!$C$88=1,CROQUIS!$C$91=0,CROQUIS!$C$141&gt;0,OR(CROQUIS!$C$106=1,CROQUIS!$C$146=1)),((CROQUIS!$C$161+(IF(CROQUIS!$C$92="X",CHOOSE(IF(INT(($A83-1)/5)&gt;MAX((MAX(1,INT(((CROQUIS!$C$97)-CROQUIS!$C$107)/MAX((CROQUIS!$C$141*MAX(1,CEILING((INT(((CROQUIS!$C$97)-CROQUIS!$C$107)/MAX(CROQUIS!$C$141,1))+1)/80,1))),1))+1))-1,0),0,MOD($A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ROQUIS!$C$159)+IF(CROQUIS!$C$92="X",0,0.8)),-1000)</f>
        <v>-1000</v>
      </c>
      <c r="BZ83">
        <f>IF(AND(CROQUIS!$C$88=1,CROQUIS!$C$91=1,CROQUIS!$C$133&gt;0),((CROQUIS!$C$160+(IF(CROQUIS!$C$92="X",CHOOSE(IF(INT(($A83-1)/5)&gt;MAX((MAX(1,INT(((CROQUIS!$C$98)-CROQUIS!$C$107)/MAX((CROQUIS!$C$133*MAX(1,CEILING((INT(((CROQUIS!$C$98)-CROQUIS!$C$107)/MAX(CROQUIS!$C$133,1))+1)/80,1))),1))+1))-1,0),0,MOD($A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CA83">
        <f>IF(AND(CROQUIS!$C$88=1,CROQUIS!$C$91=1,CROQUIS!$C$133&gt;0),((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4">
      <c r="A84" t="n">
        <v>77</v>
      </c>
      <c r="AJ84">
        <f>IF(AND(CROQUIS!$C$87=1,CROQUIS!$C$162&gt;0,CROQUIS!$C$164&gt;0),(CROQUIS!$C$160+((CROQUIS!$C$163+INT(MIN(INT(($A84-1)/2),MAX((2*CROQUIS!$C$162)-1,0))/2)*CROQUIS!$C$116+MOD(MIN(INT(($A84-1)/2),MAX((2*CROQUIS!$C$162)-1,0)),2)*CROQUIS!$C$114))*CROQUIS!$C$159),-1000)</f>
        <v>81.3375508359693</v>
      </c>
      <c r="AK84">
        <f>IF(AND(CROQUIS!$C$87=1,CROQUIS!$C$162&gt;0,CROQUIS!$C$164&gt;0),(CROQUIS!$C$161+(IF(MOD(MIN(INT(($A84-1)/2),MAX((2*CROQUIS!$C$162)-1,0)),2)=0,IF(IF(INT(($A84-1)/2)&gt;MAX((2*CROQUIS!$C$162)-1,0),1,MOD($A84-1,2))=0,CROQUIS!$C$165,(CROQUIS!$C$165+(CROQUIS!$C$164-1)*CROQUIS!$C$116+CROQUIS!$C$115)),IF(IF(INT(($A84-1)/2)&gt;MAX((2*CROQUIS!$C$162)-1,0),1,MOD($A84-1,2))=0,(CROQUIS!$C$165+(CROQUIS!$C$164-1)*CROQUIS!$C$116+CROQUIS!$C$115),CROQUIS!$C$165)))*CROQUIS!$C$159),-1000)</f>
        <v>20.8088567555355</v>
      </c>
      <c r="AL84">
        <f>IF(AND(CROQUIS!$C$87=1,CROQUIS!$C$164&gt;0,CROQUIS!$C$162&gt;0),(CROQUIS!$C$160+(IF(MOD(MIN(INT(($A84-1)/2),MAX((2*CROQUIS!$C$164)-1,0)),2)=0,IF(IF(INT(($A84-1)/2)&gt;MAX((2*CROQUIS!$C$164)-1,0),1,MOD($A84-1,2))=0,CROQUIS!$C$163,(CROQUIS!$C$163+(CROQUIS!$C$162-1)*CROQUIS!$C$116+CROQUIS!$C$114)),IF(IF(INT(($A84-1)/2)&gt;MAX((2*CROQUIS!$C$164)-1,0),1,MOD($A84-1,2))=0,(CROQUIS!$C$163+(CROQUIS!$C$162-1)*CROQUIS!$C$116+CROQUIS!$C$114),CROQUIS!$C$163)))*CROQUIS!$C$159),-1000)</f>
        <v>22.9552643470402</v>
      </c>
      <c r="AM84">
        <f>IF(AND(CROQUIS!$C$87=1,CROQUIS!$C$164&gt;0,CROQUIS!$C$162&gt;0),(CROQUIS!$C$161+((CROQUIS!$C$165+INT(MIN(INT(($A84-1)/2),MAX((2*CROQUIS!$C$164)-1,0))/2)*CROQUIS!$C$116+MOD(MIN(INT(($A84-1)/2),MAX((2*CROQUIS!$C$164)-1,0)),2)*CROQUIS!$C$115))*CROQUIS!$C$159),-1000)</f>
        <v>79.1911432444645</v>
      </c>
      <c r="BN84">
        <f>IF(AND(CROQUIS!$C$88=1,CROQUIS!$C$129&gt;0),((CROQUIS!$C$160+(IF(CROQUIS!$C$92="X",CHOOSE(IF(INT(($A84-1)/5)&gt;MAX((MAX(1,INT(((CROQUIS!$C$98)-CROQUIS!$C$107)/MAX((CROQUIS!$C$129*MAX(1,CEILING((INT(((CROQUIS!$C$98)-CROQUIS!$C$107)/MAX(CROQUIS!$C$129,1))+1)/80,1))),1))+1))-1,0),0,MOD($A84-1,5))+1,0,2,CROQUIS!$C$97-2,2,0),((CROQUIS!$C$107/2+(((CROQUIS!$C$98)-CROQUIS!$C$107)-(MAX(1,INT(((CROQUIS!$C$98)-CROQUIS!$C$107)/MAX((CROQUIS!$C$129*MAX(1,CEILING((INT(((CROQUIS!$C$98)-CROQUIS!$C$107)/MAX(CROQUIS!$C$129,1))+1)/80,1))),1))+1)-1)*(CROQUIS!$C$129*MAX(1,CEILING((INT(((CROQUIS!$C$98)-CROQUIS!$C$107)/MAX(CROQUIS!$C$129,1))+1)/80,1))))/2)+MIN(INT(($A84-1)/5),MAX((MAX(1,INT(((CROQUIS!$C$98)-CROQUIS!$C$107)/MAX((CROQUIS!$C$129*MAX(1,CEILING((INT(((CROQUIS!$C$98)-CROQUIS!$C$107)/MAX(CROQUIS!$C$129,1))+1)/80,1))),1))+1))-1,0))*(CROQUIS!$C$129*MAX(1,CEILING((INT(((CROQUIS!$C$98)-CROQUIS!$C$107)/MAX(CROQUIS!$C$129,1))+1)/80,1))))))*CROQUIS!$C$159)+IF(CROQUIS!$C$92="X",0,0)),-1000)</f>
        <v>-1000</v>
      </c>
      <c r="BO84">
        <f>IF(AND(CROQUIS!$C$88=1,CROQUIS!$C$129&gt;0),((CROQUIS!$C$161+(IF(CROQUIS!$C$92="X",((CROQUIS!$C$107/2+(((CROQUIS!$C$98)-CROQUIS!$C$107)-(MAX(1,INT(((CROQUIS!$C$98)-CROQUIS!$C$107)/MAX((CROQUIS!$C$129*MAX(1,CEILING((INT(((CROQUIS!$C$98)-CROQUIS!$C$107)/MAX(CROQUIS!$C$129,1))+1)/80,1))),1))+1)-1)*(CROQUIS!$C$129*MAX(1,CEILING((INT(((CROQUIS!$C$98)-CROQUIS!$C$107)/MAX(CROQUIS!$C$129,1))+1)/80,1))))/2)+MIN(INT(($A84-1)/5),MAX((MAX(1,INT(((CROQUIS!$C$98)-CROQUIS!$C$107)/MAX((CROQUIS!$C$129*MAX(1,CEILING((INT(((CROQUIS!$C$98)-CROQUIS!$C$107)/MAX(CROQUIS!$C$129,1))+1)/80,1))),1))+1))-1,0))*(CROQUIS!$C$129*MAX(1,CEILING((INT(((CROQUIS!$C$98)-CROQUIS!$C$107)/MAX(CROQUIS!$C$129,1))+1)/80,1)))),CHOOSE(IF(INT(($A84-1)/5)&gt;MAX((MAX(1,INT(((CROQUIS!$C$98)-CROQUIS!$C$107)/MAX((CROQUIS!$C$129*MAX(1,CEILING((INT(((CROQUIS!$C$98)-CROQUIS!$C$107)/MAX(CROQUIS!$C$129,1))+1)/80,1))),1))+1))-1,0),0,MOD($A84-1,5))+1,0,2,CROQUIS!$C$97-2,2,0)))*CROQUIS!$C$159)+IF(CROQUIS!$C$92="X",0,0)),-1000)</f>
        <v>-1000</v>
      </c>
      <c r="BP84">
        <f>IF(AND(CROQUIS!$C$88=1,CROQUIS!$C$137&gt;0),((CROQUIS!$C$160+(IF(CROQUIS!$C$92="X",((CROQUIS!$C$107/2+(((CROQUIS!$C$97)-CROQUIS!$C$107)-(MAX(1,INT(((CROQUIS!$C$97)-CROQUIS!$C$107)/MAX((CROQUIS!$C$137*MAX(1,CEILING((INT(((CROQUIS!$C$97)-CROQUIS!$C$107)/MAX(CROQUIS!$C$137,1))+1)/80,1))),1))+1)-1)*(CROQUIS!$C$137*MAX(1,CEILING((INT(((CROQUIS!$C$97)-CROQUIS!$C$107)/MAX(CROQUIS!$C$137,1))+1)/80,1))))/2)+MIN(INT(($A84-1)/5),MAX((MAX(1,INT(((CROQUIS!$C$97)-CROQUIS!$C$107)/MAX((CROQUIS!$C$137*MAX(1,CEILING((INT(((CROQUIS!$C$97)-CROQUIS!$C$107)/MAX(CROQUIS!$C$137,1))+1)/80,1))),1))+1))-1,0))*(CROQUIS!$C$137*MAX(1,CEILING((INT(((CROQUIS!$C$97)-CROQUIS!$C$107)/MAX(CROQUIS!$C$137,1))+1)/80,1)))),CHOOSE(IF(INT(($A84-1)/5)&gt;MAX((MAX(1,INT(((CROQUIS!$C$97)-CROQUIS!$C$107)/MAX((CROQUIS!$C$137*MAX(1,CEILING((INT(((CROQUIS!$C$97)-CROQUIS!$C$107)/MAX(CROQUIS!$C$137,1))+1)/80,1))),1))+1))-1,0),0,MOD($A84-1,5))+1,0,2,CROQUIS!$C$98-2,2,0)))*CROQUIS!$C$159)+IF(CROQUIS!$C$92="X",0,0)),-1000)</f>
        <v>-1000</v>
      </c>
      <c r="BQ84">
        <f>IF(AND(CROQUIS!$C$88=1,CROQUIS!$C$137&gt;0),((CROQUIS!$C$161+(IF(CROQUIS!$C$92="X",CHOOSE(IF(INT(($A84-1)/5)&gt;MAX((MAX(1,INT(((CROQUIS!$C$97)-CROQUIS!$C$107)/MAX((CROQUIS!$C$137*MAX(1,CEILING((INT(((CROQUIS!$C$97)-CROQUIS!$C$107)/MAX(CROQUIS!$C$137,1))+1)/80,1))),1))+1))-1,0),0,MOD($A84-1,5))+1,0,2,CROQUIS!$C$98-2,2,0),((CROQUIS!$C$107/2+(((CROQUIS!$C$97)-CROQUIS!$C$107)-(MAX(1,INT(((CROQUIS!$C$97)-CROQUIS!$C$107)/MAX((CROQUIS!$C$137*MAX(1,CEILING((INT(((CROQUIS!$C$97)-CROQUIS!$C$107)/MAX(CROQUIS!$C$137,1))+1)/80,1))),1))+1)-1)*(CROQUIS!$C$137*MAX(1,CEILING((INT(((CROQUIS!$C$97)-CROQUIS!$C$107)/MAX(CROQUIS!$C$137,1))+1)/80,1))))/2)+MIN(INT(($A84-1)/5),MAX((MAX(1,INT(((CROQUIS!$C$97)-CROQUIS!$C$107)/MAX((CROQUIS!$C$137*MAX(1,CEILING((INT(((CROQUIS!$C$97)-CROQUIS!$C$107)/MAX(CROQUIS!$C$137,1))+1)/80,1))),1))+1))-1,0))*(CROQUIS!$C$137*MAX(1,CEILING((INT(((CROQUIS!$C$97)-CROQUIS!$C$107)/MAX(CROQUIS!$C$137,1))+1)/80,1))))))*CROQUIS!$C$159)+IF(CROQUIS!$C$92="X",0,0)),-1000)</f>
        <v>-1000</v>
      </c>
      <c r="BR84">
        <f>IF(AND(CROQUIS!$C$88=1,CROQUIS!$C$91=0,CROQUIS!$C$133&gt;0,OR(CROQUIS!$C$103=1,CROQUIS!$C$145=1)),((CROQUIS!$C$160+(IF(CROQUIS!$C$92="X",CHOOSE(IF(INT(($A84-1)/5)&gt;MAX((MAX(1,INT(((CROQUIS!$C$98)-CROQUIS!$C$107)/MAX((CROQUIS!$C$133*MAX(1,CEILING((INT(((CROQUIS!$C$98)-CROQUIS!$C$107)/MAX(CROQUIS!$C$133,1))+1)/80,1))),1))+1))-1,0),0,MOD($A84-1,5))+1,0,IF(CROQUIS!$C$103=1,-12,2),CROQUIS!$C$107/2+CROQUIS!$C$143,IF(CROQUIS!$C$103=1,-12,2),0),((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BS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+1,0,IF(CROQUIS!$C$103=1,-12,2),CROQUIS!$C$107/2+CROQUIS!$C$143,IF(CROQUIS!$C$103=1,-12,2),0)))*CROQUIS!$C$159)+IF(CROQUIS!$C$92="X",0.8,0)),-1000)</f>
        <v>-1000</v>
      </c>
      <c r="BT84">
        <f>IF(AND(CROQUIS!$C$88=1,CROQUIS!$C$91=0,CROQUIS!$C$133&gt;0,OR(CROQUIS!$C$104=1,CROQUIS!$C$145=1)),((CROQUIS!$C$160+(IF(CROQUIS!$C$92="X",CHOOSE(IF(INT(($A84-1)/5)&gt;MAX((MAX(1,INT(((CROQUIS!$C$98)-CROQUIS!$C$107)/MAX((CROQUIS!$C$133*MAX(1,CEILING((INT(((CROQUIS!$C$98)-CROQUIS!$C$107)/MAX(CROQUIS!$C$133,1))+1)/80,1))),1))+1))-1,0),0,MOD($A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BU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CROQUIS!$C$97,CROQUIS!$C$97-CROQUIS!$C$107/2-CROQUIS!$C$143,IF(CROQUIS!$C$104=1,CROQUIS!$C$97+12,CROQUIS!$C$97-2),CROQUIS!$C$97-CROQUIS!$C$107/2-CROQUIS!$C$143,CROQUIS!$C$97)))*CROQUIS!$C$159)+IF(CROQUIS!$C$92="X",0.8,0)),-1000)</f>
        <v>-1000</v>
      </c>
      <c r="BV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HOOSE(IF(INT(($A84-1)/5)&gt;MAX((MAX(1,INT(((CROQUIS!$C$97)-CROQUIS!$C$107)/MAX((CROQUIS!$C$141*MAX(1,CEILING((INT(((CROQUIS!$C$97)-CROQUIS!$C$107)/MAX(CROQUIS!$C$141,1))+1)/80,1))),1))+1))-1,0),0,MOD($A84-1,5))+1,0,IF(CROQUIS!$C$105=1,-12,2),CROQUIS!$C$107/2+CROQUIS!$C$144,IF(CROQUIS!$C$105=1,-12,2),0)))*CROQUIS!$C$159)+IF(CROQUIS!$C$92="X",0.8,0)),-1000)</f>
        <v>-1000</v>
      </c>
      <c r="BW84">
        <f>IF(AND(CROQUIS!$C$88=1,CROQUIS!$C$91=0,CROQUIS!$C$141&gt;0,OR(CROQUIS!$C$105=1,CROQUIS!$C$146=1)),((CROQUIS!$C$161+(IF(CROQUIS!$C$92="X",CHOOSE(IF(INT(($A84-1)/5)&gt;MAX((MAX(1,INT(((CROQUIS!$C$97)-CROQUIS!$C$107)/MAX((CROQUIS!$C$141*MAX(1,CEILING((INT(((CROQUIS!$C$97)-CROQUIS!$C$107)/MAX(CROQUIS!$C$141,1))+1)/80,1))),1))+1))-1,0),0,MOD($A84-1,5))+1,0,IF(CROQUIS!$C$105=1,-12,2),CROQUIS!$C$107/2+CROQUIS!$C$144,IF(CROQUIS!$C$105=1,-12,2),0),((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ROQUIS!$C$159)+IF(CROQUIS!$C$92="X",0,0.8)),-1000)</f>
        <v>-1000</v>
      </c>
      <c r="BX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HOOSE(IF(INT(($A84-1)/5)&gt;MAX((MAX(1,INT(((CROQUIS!$C$97)-CROQUIS!$C$107)/MAX((CROQUIS!$C$141*MAX(1,CEILING((INT(((CROQUIS!$C$97)-CROQUIS!$C$107)/MAX(CROQUIS!$C$141,1))+1)/80,1))),1))+1))-1,0),0,MOD($A84-1,5))+1,CROQUIS!$C$98,CROQUIS!$C$98-CROQUIS!$C$107/2-CROQUIS!$C$144,IF(CROQUIS!$C$106=1,CROQUIS!$C$98+12,CROQUIS!$C$98-2),CROQUIS!$C$98-CROQUIS!$C$107/2-CROQUIS!$C$144,CROQUIS!$C$98)))*CROQUIS!$C$159)+IF(CROQUIS!$C$92="X",0.8,0)),-1000)</f>
        <v>-1000</v>
      </c>
      <c r="BY84">
        <f>IF(AND(CROQUIS!$C$88=1,CROQUIS!$C$91=0,CROQUIS!$C$141&gt;0,OR(CROQUIS!$C$106=1,CROQUIS!$C$146=1)),((CROQUIS!$C$161+(IF(CROQUIS!$C$92="X",CHOOSE(IF(INT(($A84-1)/5)&gt;MAX((MAX(1,INT(((CROQUIS!$C$97)-CROQUIS!$C$107)/MAX((CROQUIS!$C$141*MAX(1,CEILING((INT(((CROQUIS!$C$97)-CROQUIS!$C$107)/MAX(CROQUIS!$C$141,1))+1)/80,1))),1))+1))-1,0),0,MOD($A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ROQUIS!$C$159)+IF(CROQUIS!$C$92="X",0,0.8)),-1000)</f>
        <v>-1000</v>
      </c>
      <c r="BZ84">
        <f>IF(AND(CROQUIS!$C$88=1,CROQUIS!$C$91=1,CROQUIS!$C$133&gt;0),((CROQUIS!$C$160+(IF(CROQUIS!$C$92="X",CHOOSE(IF(INT(($A84-1)/5)&gt;MAX((MAX(1,INT(((CROQUIS!$C$98)-CROQUIS!$C$107)/MAX((CROQUIS!$C$133*MAX(1,CEILING((INT(((CROQUIS!$C$98)-CROQUIS!$C$107)/MAX(CROQUIS!$C$133,1))+1)/80,1))),1))+1))-1,0),0,MOD($A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CA84">
        <f>IF(AND(CROQUIS!$C$88=1,CROQUIS!$C$91=1,CROQUIS!$C$133&gt;0),((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5">
      <c r="A85" t="n">
        <v>78</v>
      </c>
      <c r="AJ85">
        <f>IF(AND(CROQUIS!$C$87=1,CROQUIS!$C$162&gt;0,CROQUIS!$C$164&gt;0),(CROQUIS!$C$160+((CROQUIS!$C$163+INT(MIN(INT(($A85-1)/2),MAX((2*CROQUIS!$C$162)-1,0))/2)*CROQUIS!$C$116+MOD(MIN(INT(($A85-1)/2),MAX((2*CROQUIS!$C$162)-1,0)),2)*CROQUIS!$C$114))*CROQUIS!$C$159),-1000)</f>
        <v>81.3375508359693</v>
      </c>
      <c r="AK85">
        <f>IF(AND(CROQUIS!$C$87=1,CROQUIS!$C$162&gt;0,CROQUIS!$C$164&gt;0),(CROQUIS!$C$161+(IF(MOD(MIN(INT(($A85-1)/2),MAX((2*CROQUIS!$C$162)-1,0)),2)=0,IF(IF(INT(($A85-1)/2)&gt;MAX((2*CROQUIS!$C$162)-1,0),1,MOD($A85-1,2))=0,CROQUIS!$C$165,(CROQUIS!$C$165+(CROQUIS!$C$164-1)*CROQUIS!$C$116+CROQUIS!$C$115)),IF(IF(INT(($A85-1)/2)&gt;MAX((2*CROQUIS!$C$162)-1,0),1,MOD($A85-1,2))=0,(CROQUIS!$C$165+(CROQUIS!$C$164-1)*CROQUIS!$C$116+CROQUIS!$C$115),CROQUIS!$C$165)))*CROQUIS!$C$159),-1000)</f>
        <v>20.8088567555355</v>
      </c>
      <c r="AL85">
        <f>IF(AND(CROQUIS!$C$87=1,CROQUIS!$C$164&gt;0,CROQUIS!$C$162&gt;0),(CROQUIS!$C$160+(IF(MOD(MIN(INT(($A85-1)/2),MAX((2*CROQUIS!$C$164)-1,0)),2)=0,IF(IF(INT(($A85-1)/2)&gt;MAX((2*CROQUIS!$C$164)-1,0),1,MOD($A85-1,2))=0,CROQUIS!$C$163,(CROQUIS!$C$163+(CROQUIS!$C$162-1)*CROQUIS!$C$116+CROQUIS!$C$114)),IF(IF(INT(($A85-1)/2)&gt;MAX((2*CROQUIS!$C$164)-1,0),1,MOD($A85-1,2))=0,(CROQUIS!$C$163+(CROQUIS!$C$162-1)*CROQUIS!$C$116+CROQUIS!$C$114),CROQUIS!$C$163)))*CROQUIS!$C$159),-1000)</f>
        <v>22.9552643470402</v>
      </c>
      <c r="AM85">
        <f>IF(AND(CROQUIS!$C$87=1,CROQUIS!$C$164&gt;0,CROQUIS!$C$162&gt;0),(CROQUIS!$C$161+((CROQUIS!$C$165+INT(MIN(INT(($A85-1)/2),MAX((2*CROQUIS!$C$164)-1,0))/2)*CROQUIS!$C$116+MOD(MIN(INT(($A85-1)/2),MAX((2*CROQUIS!$C$164)-1,0)),2)*CROQUIS!$C$115))*CROQUIS!$C$159),-1000)</f>
        <v>79.1911432444645</v>
      </c>
      <c r="BN85">
        <f>IF(AND(CROQUIS!$C$88=1,CROQUIS!$C$129&gt;0),((CROQUIS!$C$160+(IF(CROQUIS!$C$92="X",CHOOSE(IF(INT(($A85-1)/5)&gt;MAX((MAX(1,INT(((CROQUIS!$C$98)-CROQUIS!$C$107)/MAX((CROQUIS!$C$129*MAX(1,CEILING((INT(((CROQUIS!$C$98)-CROQUIS!$C$107)/MAX(CROQUIS!$C$129,1))+1)/80,1))),1))+1))-1,0),0,MOD($A85-1,5))+1,0,2,CROQUIS!$C$97-2,2,0),((CROQUIS!$C$107/2+(((CROQUIS!$C$98)-CROQUIS!$C$107)-(MAX(1,INT(((CROQUIS!$C$98)-CROQUIS!$C$107)/MAX((CROQUIS!$C$129*MAX(1,CEILING((INT(((CROQUIS!$C$98)-CROQUIS!$C$107)/MAX(CROQUIS!$C$129,1))+1)/80,1))),1))+1)-1)*(CROQUIS!$C$129*MAX(1,CEILING((INT(((CROQUIS!$C$98)-CROQUIS!$C$107)/MAX(CROQUIS!$C$129,1))+1)/80,1))))/2)+MIN(INT(($A85-1)/5),MAX((MAX(1,INT(((CROQUIS!$C$98)-CROQUIS!$C$107)/MAX((CROQUIS!$C$129*MAX(1,CEILING((INT(((CROQUIS!$C$98)-CROQUIS!$C$107)/MAX(CROQUIS!$C$129,1))+1)/80,1))),1))+1))-1,0))*(CROQUIS!$C$129*MAX(1,CEILING((INT(((CROQUIS!$C$98)-CROQUIS!$C$107)/MAX(CROQUIS!$C$129,1))+1)/80,1))))))*CROQUIS!$C$159)+IF(CROQUIS!$C$92="X",0,0)),-1000)</f>
        <v>-1000</v>
      </c>
      <c r="BO85">
        <f>IF(AND(CROQUIS!$C$88=1,CROQUIS!$C$129&gt;0),((CROQUIS!$C$161+(IF(CROQUIS!$C$92="X",((CROQUIS!$C$107/2+(((CROQUIS!$C$98)-CROQUIS!$C$107)-(MAX(1,INT(((CROQUIS!$C$98)-CROQUIS!$C$107)/MAX((CROQUIS!$C$129*MAX(1,CEILING((INT(((CROQUIS!$C$98)-CROQUIS!$C$107)/MAX(CROQUIS!$C$129,1))+1)/80,1))),1))+1)-1)*(CROQUIS!$C$129*MAX(1,CEILING((INT(((CROQUIS!$C$98)-CROQUIS!$C$107)/MAX(CROQUIS!$C$129,1))+1)/80,1))))/2)+MIN(INT(($A85-1)/5),MAX((MAX(1,INT(((CROQUIS!$C$98)-CROQUIS!$C$107)/MAX((CROQUIS!$C$129*MAX(1,CEILING((INT(((CROQUIS!$C$98)-CROQUIS!$C$107)/MAX(CROQUIS!$C$129,1))+1)/80,1))),1))+1))-1,0))*(CROQUIS!$C$129*MAX(1,CEILING((INT(((CROQUIS!$C$98)-CROQUIS!$C$107)/MAX(CROQUIS!$C$129,1))+1)/80,1)))),CHOOSE(IF(INT(($A85-1)/5)&gt;MAX((MAX(1,INT(((CROQUIS!$C$98)-CROQUIS!$C$107)/MAX((CROQUIS!$C$129*MAX(1,CEILING((INT(((CROQUIS!$C$98)-CROQUIS!$C$107)/MAX(CROQUIS!$C$129,1))+1)/80,1))),1))+1))-1,0),0,MOD($A85-1,5))+1,0,2,CROQUIS!$C$97-2,2,0)))*CROQUIS!$C$159)+IF(CROQUIS!$C$92="X",0,0)),-1000)</f>
        <v>-1000</v>
      </c>
      <c r="BP85">
        <f>IF(AND(CROQUIS!$C$88=1,CROQUIS!$C$137&gt;0),((CROQUIS!$C$160+(IF(CROQUIS!$C$92="X",((CROQUIS!$C$107/2+(((CROQUIS!$C$97)-CROQUIS!$C$107)-(MAX(1,INT(((CROQUIS!$C$97)-CROQUIS!$C$107)/MAX((CROQUIS!$C$137*MAX(1,CEILING((INT(((CROQUIS!$C$97)-CROQUIS!$C$107)/MAX(CROQUIS!$C$137,1))+1)/80,1))),1))+1)-1)*(CROQUIS!$C$137*MAX(1,CEILING((INT(((CROQUIS!$C$97)-CROQUIS!$C$107)/MAX(CROQUIS!$C$137,1))+1)/80,1))))/2)+MIN(INT(($A85-1)/5),MAX((MAX(1,INT(((CROQUIS!$C$97)-CROQUIS!$C$107)/MAX((CROQUIS!$C$137*MAX(1,CEILING((INT(((CROQUIS!$C$97)-CROQUIS!$C$107)/MAX(CROQUIS!$C$137,1))+1)/80,1))),1))+1))-1,0))*(CROQUIS!$C$137*MAX(1,CEILING((INT(((CROQUIS!$C$97)-CROQUIS!$C$107)/MAX(CROQUIS!$C$137,1))+1)/80,1)))),CHOOSE(IF(INT(($A85-1)/5)&gt;MAX((MAX(1,INT(((CROQUIS!$C$97)-CROQUIS!$C$107)/MAX((CROQUIS!$C$137*MAX(1,CEILING((INT(((CROQUIS!$C$97)-CROQUIS!$C$107)/MAX(CROQUIS!$C$137,1))+1)/80,1))),1))+1))-1,0),0,MOD($A85-1,5))+1,0,2,CROQUIS!$C$98-2,2,0)))*CROQUIS!$C$159)+IF(CROQUIS!$C$92="X",0,0)),-1000)</f>
        <v>-1000</v>
      </c>
      <c r="BQ85">
        <f>IF(AND(CROQUIS!$C$88=1,CROQUIS!$C$137&gt;0),((CROQUIS!$C$161+(IF(CROQUIS!$C$92="X",CHOOSE(IF(INT(($A85-1)/5)&gt;MAX((MAX(1,INT(((CROQUIS!$C$97)-CROQUIS!$C$107)/MAX((CROQUIS!$C$137*MAX(1,CEILING((INT(((CROQUIS!$C$97)-CROQUIS!$C$107)/MAX(CROQUIS!$C$137,1))+1)/80,1))),1))+1))-1,0),0,MOD($A85-1,5))+1,0,2,CROQUIS!$C$98-2,2,0),((CROQUIS!$C$107/2+(((CROQUIS!$C$97)-CROQUIS!$C$107)-(MAX(1,INT(((CROQUIS!$C$97)-CROQUIS!$C$107)/MAX((CROQUIS!$C$137*MAX(1,CEILING((INT(((CROQUIS!$C$97)-CROQUIS!$C$107)/MAX(CROQUIS!$C$137,1))+1)/80,1))),1))+1)-1)*(CROQUIS!$C$137*MAX(1,CEILING((INT(((CROQUIS!$C$97)-CROQUIS!$C$107)/MAX(CROQUIS!$C$137,1))+1)/80,1))))/2)+MIN(INT(($A85-1)/5),MAX((MAX(1,INT(((CROQUIS!$C$97)-CROQUIS!$C$107)/MAX((CROQUIS!$C$137*MAX(1,CEILING((INT(((CROQUIS!$C$97)-CROQUIS!$C$107)/MAX(CROQUIS!$C$137,1))+1)/80,1))),1))+1))-1,0))*(CROQUIS!$C$137*MAX(1,CEILING((INT(((CROQUIS!$C$97)-CROQUIS!$C$107)/MAX(CROQUIS!$C$137,1))+1)/80,1))))))*CROQUIS!$C$159)+IF(CROQUIS!$C$92="X",0,0)),-1000)</f>
        <v>-1000</v>
      </c>
      <c r="BR85">
        <f>IF(AND(CROQUIS!$C$88=1,CROQUIS!$C$91=0,CROQUIS!$C$133&gt;0,OR(CROQUIS!$C$103=1,CROQUIS!$C$145=1)),((CROQUIS!$C$160+(IF(CROQUIS!$C$92="X",CHOOSE(IF(INT(($A85-1)/5)&gt;MAX((MAX(1,INT(((CROQUIS!$C$98)-CROQUIS!$C$107)/MAX((CROQUIS!$C$133*MAX(1,CEILING((INT(((CROQUIS!$C$98)-CROQUIS!$C$107)/MAX(CROQUIS!$C$133,1))+1)/80,1))),1))+1))-1,0),0,MOD($A85-1,5))+1,0,IF(CROQUIS!$C$103=1,-12,2),CROQUIS!$C$107/2+CROQUIS!$C$143,IF(CROQUIS!$C$103=1,-12,2),0),((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BS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+1,0,IF(CROQUIS!$C$103=1,-12,2),CROQUIS!$C$107/2+CROQUIS!$C$143,IF(CROQUIS!$C$103=1,-12,2),0)))*CROQUIS!$C$159)+IF(CROQUIS!$C$92="X",0.8,0)),-1000)</f>
        <v>-1000</v>
      </c>
      <c r="BT85">
        <f>IF(AND(CROQUIS!$C$88=1,CROQUIS!$C$91=0,CROQUIS!$C$133&gt;0,OR(CROQUIS!$C$104=1,CROQUIS!$C$145=1)),((CROQUIS!$C$160+(IF(CROQUIS!$C$92="X",CHOOSE(IF(INT(($A85-1)/5)&gt;MAX((MAX(1,INT(((CROQUIS!$C$98)-CROQUIS!$C$107)/MAX((CROQUIS!$C$133*MAX(1,CEILING((INT(((CROQUIS!$C$98)-CROQUIS!$C$107)/MAX(CROQUIS!$C$133,1))+1)/80,1))),1))+1))-1,0),0,MOD($A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BU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CROQUIS!$C$97,CROQUIS!$C$97-CROQUIS!$C$107/2-CROQUIS!$C$143,IF(CROQUIS!$C$104=1,CROQUIS!$C$97+12,CROQUIS!$C$97-2),CROQUIS!$C$97-CROQUIS!$C$107/2-CROQUIS!$C$143,CROQUIS!$C$97)))*CROQUIS!$C$159)+IF(CROQUIS!$C$92="X",0.8,0)),-1000)</f>
        <v>-1000</v>
      </c>
      <c r="BV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HOOSE(IF(INT(($A85-1)/5)&gt;MAX((MAX(1,INT(((CROQUIS!$C$97)-CROQUIS!$C$107)/MAX((CROQUIS!$C$141*MAX(1,CEILING((INT(((CROQUIS!$C$97)-CROQUIS!$C$107)/MAX(CROQUIS!$C$141,1))+1)/80,1))),1))+1))-1,0),0,MOD($A85-1,5))+1,0,IF(CROQUIS!$C$105=1,-12,2),CROQUIS!$C$107/2+CROQUIS!$C$144,IF(CROQUIS!$C$105=1,-12,2),0)))*CROQUIS!$C$159)+IF(CROQUIS!$C$92="X",0.8,0)),-1000)</f>
        <v>-1000</v>
      </c>
      <c r="BW85">
        <f>IF(AND(CROQUIS!$C$88=1,CROQUIS!$C$91=0,CROQUIS!$C$141&gt;0,OR(CROQUIS!$C$105=1,CROQUIS!$C$146=1)),((CROQUIS!$C$161+(IF(CROQUIS!$C$92="X",CHOOSE(IF(INT(($A85-1)/5)&gt;MAX((MAX(1,INT(((CROQUIS!$C$97)-CROQUIS!$C$107)/MAX((CROQUIS!$C$141*MAX(1,CEILING((INT(((CROQUIS!$C$97)-CROQUIS!$C$107)/MAX(CROQUIS!$C$141,1))+1)/80,1))),1))+1))-1,0),0,MOD($A85-1,5))+1,0,IF(CROQUIS!$C$105=1,-12,2),CROQUIS!$C$107/2+CROQUIS!$C$144,IF(CROQUIS!$C$105=1,-12,2),0),((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ROQUIS!$C$159)+IF(CROQUIS!$C$92="X",0,0.8)),-1000)</f>
        <v>-1000</v>
      </c>
      <c r="BX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HOOSE(IF(INT(($A85-1)/5)&gt;MAX((MAX(1,INT(((CROQUIS!$C$97)-CROQUIS!$C$107)/MAX((CROQUIS!$C$141*MAX(1,CEILING((INT(((CROQUIS!$C$97)-CROQUIS!$C$107)/MAX(CROQUIS!$C$141,1))+1)/80,1))),1))+1))-1,0),0,MOD($A85-1,5))+1,CROQUIS!$C$98,CROQUIS!$C$98-CROQUIS!$C$107/2-CROQUIS!$C$144,IF(CROQUIS!$C$106=1,CROQUIS!$C$98+12,CROQUIS!$C$98-2),CROQUIS!$C$98-CROQUIS!$C$107/2-CROQUIS!$C$144,CROQUIS!$C$98)))*CROQUIS!$C$159)+IF(CROQUIS!$C$92="X",0.8,0)),-1000)</f>
        <v>-1000</v>
      </c>
      <c r="BY85">
        <f>IF(AND(CROQUIS!$C$88=1,CROQUIS!$C$91=0,CROQUIS!$C$141&gt;0,OR(CROQUIS!$C$106=1,CROQUIS!$C$146=1)),((CROQUIS!$C$161+(IF(CROQUIS!$C$92="X",CHOOSE(IF(INT(($A85-1)/5)&gt;MAX((MAX(1,INT(((CROQUIS!$C$97)-CROQUIS!$C$107)/MAX((CROQUIS!$C$141*MAX(1,CEILING((INT(((CROQUIS!$C$97)-CROQUIS!$C$107)/MAX(CROQUIS!$C$141,1))+1)/80,1))),1))+1))-1,0),0,MOD($A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ROQUIS!$C$159)+IF(CROQUIS!$C$92="X",0,0.8)),-1000)</f>
        <v>-1000</v>
      </c>
      <c r="BZ85">
        <f>IF(AND(CROQUIS!$C$88=1,CROQUIS!$C$91=1,CROQUIS!$C$133&gt;0),((CROQUIS!$C$160+(IF(CROQUIS!$C$92="X",CHOOSE(IF(INT(($A85-1)/5)&gt;MAX((MAX(1,INT(((CROQUIS!$C$98)-CROQUIS!$C$107)/MAX((CROQUIS!$C$133*MAX(1,CEILING((INT(((CROQUIS!$C$98)-CROQUIS!$C$107)/MAX(CROQUIS!$C$133,1))+1)/80,1))),1))+1))-1,0),0,MOD($A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CA85">
        <f>IF(AND(CROQUIS!$C$88=1,CROQUIS!$C$91=1,CROQUIS!$C$133&gt;0),((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6">
      <c r="A86" t="n">
        <v>79</v>
      </c>
      <c r="AJ86">
        <f>IF(AND(CROQUIS!$C$87=1,CROQUIS!$C$162&gt;0,CROQUIS!$C$164&gt;0),(CROQUIS!$C$160+((CROQUIS!$C$163+INT(MIN(INT(($A86-1)/2),MAX((2*CROQUIS!$C$162)-1,0))/2)*CROQUIS!$C$116+MOD(MIN(INT(($A86-1)/2),MAX((2*CROQUIS!$C$162)-1,0)),2)*CROQUIS!$C$114))*CROQUIS!$C$159),-1000)</f>
        <v>81.3375508359693</v>
      </c>
      <c r="AK86">
        <f>IF(AND(CROQUIS!$C$87=1,CROQUIS!$C$162&gt;0,CROQUIS!$C$164&gt;0),(CROQUIS!$C$161+(IF(MOD(MIN(INT(($A86-1)/2),MAX((2*CROQUIS!$C$162)-1,0)),2)=0,IF(IF(INT(($A86-1)/2)&gt;MAX((2*CROQUIS!$C$162)-1,0),1,MOD($A86-1,2))=0,CROQUIS!$C$165,(CROQUIS!$C$165+(CROQUIS!$C$164-1)*CROQUIS!$C$116+CROQUIS!$C$115)),IF(IF(INT(($A86-1)/2)&gt;MAX((2*CROQUIS!$C$162)-1,0),1,MOD($A86-1,2))=0,(CROQUIS!$C$165+(CROQUIS!$C$164-1)*CROQUIS!$C$116+CROQUIS!$C$115),CROQUIS!$C$165)))*CROQUIS!$C$159),-1000)</f>
        <v>20.8088567555355</v>
      </c>
      <c r="AL86">
        <f>IF(AND(CROQUIS!$C$87=1,CROQUIS!$C$164&gt;0,CROQUIS!$C$162&gt;0),(CROQUIS!$C$160+(IF(MOD(MIN(INT(($A86-1)/2),MAX((2*CROQUIS!$C$164)-1,0)),2)=0,IF(IF(INT(($A86-1)/2)&gt;MAX((2*CROQUIS!$C$164)-1,0),1,MOD($A86-1,2))=0,CROQUIS!$C$163,(CROQUIS!$C$163+(CROQUIS!$C$162-1)*CROQUIS!$C$116+CROQUIS!$C$114)),IF(IF(INT(($A86-1)/2)&gt;MAX((2*CROQUIS!$C$164)-1,0),1,MOD($A86-1,2))=0,(CROQUIS!$C$163+(CROQUIS!$C$162-1)*CROQUIS!$C$116+CROQUIS!$C$114),CROQUIS!$C$163)))*CROQUIS!$C$159),-1000)</f>
        <v>22.9552643470402</v>
      </c>
      <c r="AM86">
        <f>IF(AND(CROQUIS!$C$87=1,CROQUIS!$C$164&gt;0,CROQUIS!$C$162&gt;0),(CROQUIS!$C$161+((CROQUIS!$C$165+INT(MIN(INT(($A86-1)/2),MAX((2*CROQUIS!$C$164)-1,0))/2)*CROQUIS!$C$116+MOD(MIN(INT(($A86-1)/2),MAX((2*CROQUIS!$C$164)-1,0)),2)*CROQUIS!$C$115))*CROQUIS!$C$159),-1000)</f>
        <v>79.1911432444645</v>
      </c>
      <c r="BN86">
        <f>IF(AND(CROQUIS!$C$88=1,CROQUIS!$C$129&gt;0),((CROQUIS!$C$160+(IF(CROQUIS!$C$92="X",CHOOSE(IF(INT(($A86-1)/5)&gt;MAX((MAX(1,INT(((CROQUIS!$C$98)-CROQUIS!$C$107)/MAX((CROQUIS!$C$129*MAX(1,CEILING((INT(((CROQUIS!$C$98)-CROQUIS!$C$107)/MAX(CROQUIS!$C$129,1))+1)/80,1))),1))+1))-1,0),0,MOD($A86-1,5))+1,0,2,CROQUIS!$C$97-2,2,0),((CROQUIS!$C$107/2+(((CROQUIS!$C$98)-CROQUIS!$C$107)-(MAX(1,INT(((CROQUIS!$C$98)-CROQUIS!$C$107)/MAX((CROQUIS!$C$129*MAX(1,CEILING((INT(((CROQUIS!$C$98)-CROQUIS!$C$107)/MAX(CROQUIS!$C$129,1))+1)/80,1))),1))+1)-1)*(CROQUIS!$C$129*MAX(1,CEILING((INT(((CROQUIS!$C$98)-CROQUIS!$C$107)/MAX(CROQUIS!$C$129,1))+1)/80,1))))/2)+MIN(INT(($A86-1)/5),MAX((MAX(1,INT(((CROQUIS!$C$98)-CROQUIS!$C$107)/MAX((CROQUIS!$C$129*MAX(1,CEILING((INT(((CROQUIS!$C$98)-CROQUIS!$C$107)/MAX(CROQUIS!$C$129,1))+1)/80,1))),1))+1))-1,0))*(CROQUIS!$C$129*MAX(1,CEILING((INT(((CROQUIS!$C$98)-CROQUIS!$C$107)/MAX(CROQUIS!$C$129,1))+1)/80,1))))))*CROQUIS!$C$159)+IF(CROQUIS!$C$92="X",0,0)),-1000)</f>
        <v>-1000</v>
      </c>
      <c r="BO86">
        <f>IF(AND(CROQUIS!$C$88=1,CROQUIS!$C$129&gt;0),((CROQUIS!$C$161+(IF(CROQUIS!$C$92="X",((CROQUIS!$C$107/2+(((CROQUIS!$C$98)-CROQUIS!$C$107)-(MAX(1,INT(((CROQUIS!$C$98)-CROQUIS!$C$107)/MAX((CROQUIS!$C$129*MAX(1,CEILING((INT(((CROQUIS!$C$98)-CROQUIS!$C$107)/MAX(CROQUIS!$C$129,1))+1)/80,1))),1))+1)-1)*(CROQUIS!$C$129*MAX(1,CEILING((INT(((CROQUIS!$C$98)-CROQUIS!$C$107)/MAX(CROQUIS!$C$129,1))+1)/80,1))))/2)+MIN(INT(($A86-1)/5),MAX((MAX(1,INT(((CROQUIS!$C$98)-CROQUIS!$C$107)/MAX((CROQUIS!$C$129*MAX(1,CEILING((INT(((CROQUIS!$C$98)-CROQUIS!$C$107)/MAX(CROQUIS!$C$129,1))+1)/80,1))),1))+1))-1,0))*(CROQUIS!$C$129*MAX(1,CEILING((INT(((CROQUIS!$C$98)-CROQUIS!$C$107)/MAX(CROQUIS!$C$129,1))+1)/80,1)))),CHOOSE(IF(INT(($A86-1)/5)&gt;MAX((MAX(1,INT(((CROQUIS!$C$98)-CROQUIS!$C$107)/MAX((CROQUIS!$C$129*MAX(1,CEILING((INT(((CROQUIS!$C$98)-CROQUIS!$C$107)/MAX(CROQUIS!$C$129,1))+1)/80,1))),1))+1))-1,0),0,MOD($A86-1,5))+1,0,2,CROQUIS!$C$97-2,2,0)))*CROQUIS!$C$159)+IF(CROQUIS!$C$92="X",0,0)),-1000)</f>
        <v>-1000</v>
      </c>
      <c r="BP86">
        <f>IF(AND(CROQUIS!$C$88=1,CROQUIS!$C$137&gt;0),((CROQUIS!$C$160+(IF(CROQUIS!$C$92="X",((CROQUIS!$C$107/2+(((CROQUIS!$C$97)-CROQUIS!$C$107)-(MAX(1,INT(((CROQUIS!$C$97)-CROQUIS!$C$107)/MAX((CROQUIS!$C$137*MAX(1,CEILING((INT(((CROQUIS!$C$97)-CROQUIS!$C$107)/MAX(CROQUIS!$C$137,1))+1)/80,1))),1))+1)-1)*(CROQUIS!$C$137*MAX(1,CEILING((INT(((CROQUIS!$C$97)-CROQUIS!$C$107)/MAX(CROQUIS!$C$137,1))+1)/80,1))))/2)+MIN(INT(($A86-1)/5),MAX((MAX(1,INT(((CROQUIS!$C$97)-CROQUIS!$C$107)/MAX((CROQUIS!$C$137*MAX(1,CEILING((INT(((CROQUIS!$C$97)-CROQUIS!$C$107)/MAX(CROQUIS!$C$137,1))+1)/80,1))),1))+1))-1,0))*(CROQUIS!$C$137*MAX(1,CEILING((INT(((CROQUIS!$C$97)-CROQUIS!$C$107)/MAX(CROQUIS!$C$137,1))+1)/80,1)))),CHOOSE(IF(INT(($A86-1)/5)&gt;MAX((MAX(1,INT(((CROQUIS!$C$97)-CROQUIS!$C$107)/MAX((CROQUIS!$C$137*MAX(1,CEILING((INT(((CROQUIS!$C$97)-CROQUIS!$C$107)/MAX(CROQUIS!$C$137,1))+1)/80,1))),1))+1))-1,0),0,MOD($A86-1,5))+1,0,2,CROQUIS!$C$98-2,2,0)))*CROQUIS!$C$159)+IF(CROQUIS!$C$92="X",0,0)),-1000)</f>
        <v>-1000</v>
      </c>
      <c r="BQ86">
        <f>IF(AND(CROQUIS!$C$88=1,CROQUIS!$C$137&gt;0),((CROQUIS!$C$161+(IF(CROQUIS!$C$92="X",CHOOSE(IF(INT(($A86-1)/5)&gt;MAX((MAX(1,INT(((CROQUIS!$C$97)-CROQUIS!$C$107)/MAX((CROQUIS!$C$137*MAX(1,CEILING((INT(((CROQUIS!$C$97)-CROQUIS!$C$107)/MAX(CROQUIS!$C$137,1))+1)/80,1))),1))+1))-1,0),0,MOD($A86-1,5))+1,0,2,CROQUIS!$C$98-2,2,0),((CROQUIS!$C$107/2+(((CROQUIS!$C$97)-CROQUIS!$C$107)-(MAX(1,INT(((CROQUIS!$C$97)-CROQUIS!$C$107)/MAX((CROQUIS!$C$137*MAX(1,CEILING((INT(((CROQUIS!$C$97)-CROQUIS!$C$107)/MAX(CROQUIS!$C$137,1))+1)/80,1))),1))+1)-1)*(CROQUIS!$C$137*MAX(1,CEILING((INT(((CROQUIS!$C$97)-CROQUIS!$C$107)/MAX(CROQUIS!$C$137,1))+1)/80,1))))/2)+MIN(INT(($A86-1)/5),MAX((MAX(1,INT(((CROQUIS!$C$97)-CROQUIS!$C$107)/MAX((CROQUIS!$C$137*MAX(1,CEILING((INT(((CROQUIS!$C$97)-CROQUIS!$C$107)/MAX(CROQUIS!$C$137,1))+1)/80,1))),1))+1))-1,0))*(CROQUIS!$C$137*MAX(1,CEILING((INT(((CROQUIS!$C$97)-CROQUIS!$C$107)/MAX(CROQUIS!$C$137,1))+1)/80,1))))))*CROQUIS!$C$159)+IF(CROQUIS!$C$92="X",0,0)),-1000)</f>
        <v>-1000</v>
      </c>
      <c r="BR86">
        <f>IF(AND(CROQUIS!$C$88=1,CROQUIS!$C$91=0,CROQUIS!$C$133&gt;0,OR(CROQUIS!$C$103=1,CROQUIS!$C$145=1)),((CROQUIS!$C$160+(IF(CROQUIS!$C$92="X",CHOOSE(IF(INT(($A86-1)/5)&gt;MAX((MAX(1,INT(((CROQUIS!$C$98)-CROQUIS!$C$107)/MAX((CROQUIS!$C$133*MAX(1,CEILING((INT(((CROQUIS!$C$98)-CROQUIS!$C$107)/MAX(CROQUIS!$C$133,1))+1)/80,1))),1))+1))-1,0),0,MOD($A86-1,5))+1,0,IF(CROQUIS!$C$103=1,-12,2),CROQUIS!$C$107/2+CROQUIS!$C$143,IF(CROQUIS!$C$103=1,-12,2),0),((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BS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+1,0,IF(CROQUIS!$C$103=1,-12,2),CROQUIS!$C$107/2+CROQUIS!$C$143,IF(CROQUIS!$C$103=1,-12,2),0)))*CROQUIS!$C$159)+IF(CROQUIS!$C$92="X",0.8,0)),-1000)</f>
        <v>-1000</v>
      </c>
      <c r="BT86">
        <f>IF(AND(CROQUIS!$C$88=1,CROQUIS!$C$91=0,CROQUIS!$C$133&gt;0,OR(CROQUIS!$C$104=1,CROQUIS!$C$145=1)),((CROQUIS!$C$160+(IF(CROQUIS!$C$92="X",CHOOSE(IF(INT(($A86-1)/5)&gt;MAX((MAX(1,INT(((CROQUIS!$C$98)-CROQUIS!$C$107)/MAX((CROQUIS!$C$133*MAX(1,CEILING((INT(((CROQUIS!$C$98)-CROQUIS!$C$107)/MAX(CROQUIS!$C$133,1))+1)/80,1))),1))+1))-1,0),0,MOD($A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BU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CROQUIS!$C$97,CROQUIS!$C$97-CROQUIS!$C$107/2-CROQUIS!$C$143,IF(CROQUIS!$C$104=1,CROQUIS!$C$97+12,CROQUIS!$C$97-2),CROQUIS!$C$97-CROQUIS!$C$107/2-CROQUIS!$C$143,CROQUIS!$C$97)))*CROQUIS!$C$159)+IF(CROQUIS!$C$92="X",0.8,0)),-1000)</f>
        <v>-1000</v>
      </c>
      <c r="BV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HOOSE(IF(INT(($A86-1)/5)&gt;MAX((MAX(1,INT(((CROQUIS!$C$97)-CROQUIS!$C$107)/MAX((CROQUIS!$C$141*MAX(1,CEILING((INT(((CROQUIS!$C$97)-CROQUIS!$C$107)/MAX(CROQUIS!$C$141,1))+1)/80,1))),1))+1))-1,0),0,MOD($A86-1,5))+1,0,IF(CROQUIS!$C$105=1,-12,2),CROQUIS!$C$107/2+CROQUIS!$C$144,IF(CROQUIS!$C$105=1,-12,2),0)))*CROQUIS!$C$159)+IF(CROQUIS!$C$92="X",0.8,0)),-1000)</f>
        <v>-1000</v>
      </c>
      <c r="BW86">
        <f>IF(AND(CROQUIS!$C$88=1,CROQUIS!$C$91=0,CROQUIS!$C$141&gt;0,OR(CROQUIS!$C$105=1,CROQUIS!$C$146=1)),((CROQUIS!$C$161+(IF(CROQUIS!$C$92="X",CHOOSE(IF(INT(($A86-1)/5)&gt;MAX((MAX(1,INT(((CROQUIS!$C$97)-CROQUIS!$C$107)/MAX((CROQUIS!$C$141*MAX(1,CEILING((INT(((CROQUIS!$C$97)-CROQUIS!$C$107)/MAX(CROQUIS!$C$141,1))+1)/80,1))),1))+1))-1,0),0,MOD($A86-1,5))+1,0,IF(CROQUIS!$C$105=1,-12,2),CROQUIS!$C$107/2+CROQUIS!$C$144,IF(CROQUIS!$C$105=1,-12,2),0),((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ROQUIS!$C$159)+IF(CROQUIS!$C$92="X",0,0.8)),-1000)</f>
        <v>-1000</v>
      </c>
      <c r="BX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HOOSE(IF(INT(($A86-1)/5)&gt;MAX((MAX(1,INT(((CROQUIS!$C$97)-CROQUIS!$C$107)/MAX((CROQUIS!$C$141*MAX(1,CEILING((INT(((CROQUIS!$C$97)-CROQUIS!$C$107)/MAX(CROQUIS!$C$141,1))+1)/80,1))),1))+1))-1,0),0,MOD($A86-1,5))+1,CROQUIS!$C$98,CROQUIS!$C$98-CROQUIS!$C$107/2-CROQUIS!$C$144,IF(CROQUIS!$C$106=1,CROQUIS!$C$98+12,CROQUIS!$C$98-2),CROQUIS!$C$98-CROQUIS!$C$107/2-CROQUIS!$C$144,CROQUIS!$C$98)))*CROQUIS!$C$159)+IF(CROQUIS!$C$92="X",0.8,0)),-1000)</f>
        <v>-1000</v>
      </c>
      <c r="BY86">
        <f>IF(AND(CROQUIS!$C$88=1,CROQUIS!$C$91=0,CROQUIS!$C$141&gt;0,OR(CROQUIS!$C$106=1,CROQUIS!$C$146=1)),((CROQUIS!$C$161+(IF(CROQUIS!$C$92="X",CHOOSE(IF(INT(($A86-1)/5)&gt;MAX((MAX(1,INT(((CROQUIS!$C$97)-CROQUIS!$C$107)/MAX((CROQUIS!$C$141*MAX(1,CEILING((INT(((CROQUIS!$C$97)-CROQUIS!$C$107)/MAX(CROQUIS!$C$141,1))+1)/80,1))),1))+1))-1,0),0,MOD($A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ROQUIS!$C$159)+IF(CROQUIS!$C$92="X",0,0.8)),-1000)</f>
        <v>-1000</v>
      </c>
      <c r="BZ86">
        <f>IF(AND(CROQUIS!$C$88=1,CROQUIS!$C$91=1,CROQUIS!$C$133&gt;0),((CROQUIS!$C$160+(IF(CROQUIS!$C$92="X",CHOOSE(IF(INT(($A86-1)/5)&gt;MAX((MAX(1,INT(((CROQUIS!$C$98)-CROQUIS!$C$107)/MAX((CROQUIS!$C$133*MAX(1,CEILING((INT(((CROQUIS!$C$98)-CROQUIS!$C$107)/MAX(CROQUIS!$C$133,1))+1)/80,1))),1))+1))-1,0),0,MOD($A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CA86">
        <f>IF(AND(CROQUIS!$C$88=1,CROQUIS!$C$91=1,CROQUIS!$C$133&gt;0),((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7">
      <c r="A87" t="n">
        <v>80</v>
      </c>
      <c r="AJ87">
        <f>IF(AND(CROQUIS!$C$87=1,CROQUIS!$C$162&gt;0,CROQUIS!$C$164&gt;0),(CROQUIS!$C$160+((CROQUIS!$C$163+INT(MIN(INT(($A87-1)/2),MAX((2*CROQUIS!$C$162)-1,0))/2)*CROQUIS!$C$116+MOD(MIN(INT(($A87-1)/2),MAX((2*CROQUIS!$C$162)-1,0)),2)*CROQUIS!$C$114))*CROQUIS!$C$159),-1000)</f>
        <v>81.3375508359693</v>
      </c>
      <c r="AK87">
        <f>IF(AND(CROQUIS!$C$87=1,CROQUIS!$C$162&gt;0,CROQUIS!$C$164&gt;0),(CROQUIS!$C$161+(IF(MOD(MIN(INT(($A87-1)/2),MAX((2*CROQUIS!$C$162)-1,0)),2)=0,IF(IF(INT(($A87-1)/2)&gt;MAX((2*CROQUIS!$C$162)-1,0),1,MOD($A87-1,2))=0,CROQUIS!$C$165,(CROQUIS!$C$165+(CROQUIS!$C$164-1)*CROQUIS!$C$116+CROQUIS!$C$115)),IF(IF(INT(($A87-1)/2)&gt;MAX((2*CROQUIS!$C$162)-1,0),1,MOD($A87-1,2))=0,(CROQUIS!$C$165+(CROQUIS!$C$164-1)*CROQUIS!$C$116+CROQUIS!$C$115),CROQUIS!$C$165)))*CROQUIS!$C$159),-1000)</f>
        <v>20.8088567555355</v>
      </c>
      <c r="AL87">
        <f>IF(AND(CROQUIS!$C$87=1,CROQUIS!$C$164&gt;0,CROQUIS!$C$162&gt;0),(CROQUIS!$C$160+(IF(MOD(MIN(INT(($A87-1)/2),MAX((2*CROQUIS!$C$164)-1,0)),2)=0,IF(IF(INT(($A87-1)/2)&gt;MAX((2*CROQUIS!$C$164)-1,0),1,MOD($A87-1,2))=0,CROQUIS!$C$163,(CROQUIS!$C$163+(CROQUIS!$C$162-1)*CROQUIS!$C$116+CROQUIS!$C$114)),IF(IF(INT(($A87-1)/2)&gt;MAX((2*CROQUIS!$C$164)-1,0),1,MOD($A87-1,2))=0,(CROQUIS!$C$163+(CROQUIS!$C$162-1)*CROQUIS!$C$116+CROQUIS!$C$114),CROQUIS!$C$163)))*CROQUIS!$C$159),-1000)</f>
        <v>22.9552643470402</v>
      </c>
      <c r="AM87">
        <f>IF(AND(CROQUIS!$C$87=1,CROQUIS!$C$164&gt;0,CROQUIS!$C$162&gt;0),(CROQUIS!$C$161+((CROQUIS!$C$165+INT(MIN(INT(($A87-1)/2),MAX((2*CROQUIS!$C$164)-1,0))/2)*CROQUIS!$C$116+MOD(MIN(INT(($A87-1)/2),MAX((2*CROQUIS!$C$164)-1,0)),2)*CROQUIS!$C$115))*CROQUIS!$C$159),-1000)</f>
        <v>79.1911432444645</v>
      </c>
      <c r="BN87">
        <f>IF(AND(CROQUIS!$C$88=1,CROQUIS!$C$129&gt;0),((CROQUIS!$C$160+(IF(CROQUIS!$C$92="X",CHOOSE(IF(INT(($A87-1)/5)&gt;MAX((MAX(1,INT(((CROQUIS!$C$98)-CROQUIS!$C$107)/MAX((CROQUIS!$C$129*MAX(1,CEILING((INT(((CROQUIS!$C$98)-CROQUIS!$C$107)/MAX(CROQUIS!$C$129,1))+1)/80,1))),1))+1))-1,0),0,MOD($A87-1,5))+1,0,2,CROQUIS!$C$97-2,2,0),((CROQUIS!$C$107/2+(((CROQUIS!$C$98)-CROQUIS!$C$107)-(MAX(1,INT(((CROQUIS!$C$98)-CROQUIS!$C$107)/MAX((CROQUIS!$C$129*MAX(1,CEILING((INT(((CROQUIS!$C$98)-CROQUIS!$C$107)/MAX(CROQUIS!$C$129,1))+1)/80,1))),1))+1)-1)*(CROQUIS!$C$129*MAX(1,CEILING((INT(((CROQUIS!$C$98)-CROQUIS!$C$107)/MAX(CROQUIS!$C$129,1))+1)/80,1))))/2)+MIN(INT(($A87-1)/5),MAX((MAX(1,INT(((CROQUIS!$C$98)-CROQUIS!$C$107)/MAX((CROQUIS!$C$129*MAX(1,CEILING((INT(((CROQUIS!$C$98)-CROQUIS!$C$107)/MAX(CROQUIS!$C$129,1))+1)/80,1))),1))+1))-1,0))*(CROQUIS!$C$129*MAX(1,CEILING((INT(((CROQUIS!$C$98)-CROQUIS!$C$107)/MAX(CROQUIS!$C$129,1))+1)/80,1))))))*CROQUIS!$C$159)+IF(CROQUIS!$C$92="X",0,0)),-1000)</f>
        <v>-1000</v>
      </c>
      <c r="BO87">
        <f>IF(AND(CROQUIS!$C$88=1,CROQUIS!$C$129&gt;0),((CROQUIS!$C$161+(IF(CROQUIS!$C$92="X",((CROQUIS!$C$107/2+(((CROQUIS!$C$98)-CROQUIS!$C$107)-(MAX(1,INT(((CROQUIS!$C$98)-CROQUIS!$C$107)/MAX((CROQUIS!$C$129*MAX(1,CEILING((INT(((CROQUIS!$C$98)-CROQUIS!$C$107)/MAX(CROQUIS!$C$129,1))+1)/80,1))),1))+1)-1)*(CROQUIS!$C$129*MAX(1,CEILING((INT(((CROQUIS!$C$98)-CROQUIS!$C$107)/MAX(CROQUIS!$C$129,1))+1)/80,1))))/2)+MIN(INT(($A87-1)/5),MAX((MAX(1,INT(((CROQUIS!$C$98)-CROQUIS!$C$107)/MAX((CROQUIS!$C$129*MAX(1,CEILING((INT(((CROQUIS!$C$98)-CROQUIS!$C$107)/MAX(CROQUIS!$C$129,1))+1)/80,1))),1))+1))-1,0))*(CROQUIS!$C$129*MAX(1,CEILING((INT(((CROQUIS!$C$98)-CROQUIS!$C$107)/MAX(CROQUIS!$C$129,1))+1)/80,1)))),CHOOSE(IF(INT(($A87-1)/5)&gt;MAX((MAX(1,INT(((CROQUIS!$C$98)-CROQUIS!$C$107)/MAX((CROQUIS!$C$129*MAX(1,CEILING((INT(((CROQUIS!$C$98)-CROQUIS!$C$107)/MAX(CROQUIS!$C$129,1))+1)/80,1))),1))+1))-1,0),0,MOD($A87-1,5))+1,0,2,CROQUIS!$C$97-2,2,0)))*CROQUIS!$C$159)+IF(CROQUIS!$C$92="X",0,0)),-1000)</f>
        <v>-1000</v>
      </c>
      <c r="BP87">
        <f>IF(AND(CROQUIS!$C$88=1,CROQUIS!$C$137&gt;0),((CROQUIS!$C$160+(IF(CROQUIS!$C$92="X",((CROQUIS!$C$107/2+(((CROQUIS!$C$97)-CROQUIS!$C$107)-(MAX(1,INT(((CROQUIS!$C$97)-CROQUIS!$C$107)/MAX((CROQUIS!$C$137*MAX(1,CEILING((INT(((CROQUIS!$C$97)-CROQUIS!$C$107)/MAX(CROQUIS!$C$137,1))+1)/80,1))),1))+1)-1)*(CROQUIS!$C$137*MAX(1,CEILING((INT(((CROQUIS!$C$97)-CROQUIS!$C$107)/MAX(CROQUIS!$C$137,1))+1)/80,1))))/2)+MIN(INT(($A87-1)/5),MAX((MAX(1,INT(((CROQUIS!$C$97)-CROQUIS!$C$107)/MAX((CROQUIS!$C$137*MAX(1,CEILING((INT(((CROQUIS!$C$97)-CROQUIS!$C$107)/MAX(CROQUIS!$C$137,1))+1)/80,1))),1))+1))-1,0))*(CROQUIS!$C$137*MAX(1,CEILING((INT(((CROQUIS!$C$97)-CROQUIS!$C$107)/MAX(CROQUIS!$C$137,1))+1)/80,1)))),CHOOSE(IF(INT(($A87-1)/5)&gt;MAX((MAX(1,INT(((CROQUIS!$C$97)-CROQUIS!$C$107)/MAX((CROQUIS!$C$137*MAX(1,CEILING((INT(((CROQUIS!$C$97)-CROQUIS!$C$107)/MAX(CROQUIS!$C$137,1))+1)/80,1))),1))+1))-1,0),0,MOD($A87-1,5))+1,0,2,CROQUIS!$C$98-2,2,0)))*CROQUIS!$C$159)+IF(CROQUIS!$C$92="X",0,0)),-1000)</f>
        <v>-1000</v>
      </c>
      <c r="BQ87">
        <f>IF(AND(CROQUIS!$C$88=1,CROQUIS!$C$137&gt;0),((CROQUIS!$C$161+(IF(CROQUIS!$C$92="X",CHOOSE(IF(INT(($A87-1)/5)&gt;MAX((MAX(1,INT(((CROQUIS!$C$97)-CROQUIS!$C$107)/MAX((CROQUIS!$C$137*MAX(1,CEILING((INT(((CROQUIS!$C$97)-CROQUIS!$C$107)/MAX(CROQUIS!$C$137,1))+1)/80,1))),1))+1))-1,0),0,MOD($A87-1,5))+1,0,2,CROQUIS!$C$98-2,2,0),((CROQUIS!$C$107/2+(((CROQUIS!$C$97)-CROQUIS!$C$107)-(MAX(1,INT(((CROQUIS!$C$97)-CROQUIS!$C$107)/MAX((CROQUIS!$C$137*MAX(1,CEILING((INT(((CROQUIS!$C$97)-CROQUIS!$C$107)/MAX(CROQUIS!$C$137,1))+1)/80,1))),1))+1)-1)*(CROQUIS!$C$137*MAX(1,CEILING((INT(((CROQUIS!$C$97)-CROQUIS!$C$107)/MAX(CROQUIS!$C$137,1))+1)/80,1))))/2)+MIN(INT(($A87-1)/5),MAX((MAX(1,INT(((CROQUIS!$C$97)-CROQUIS!$C$107)/MAX((CROQUIS!$C$137*MAX(1,CEILING((INT(((CROQUIS!$C$97)-CROQUIS!$C$107)/MAX(CROQUIS!$C$137,1))+1)/80,1))),1))+1))-1,0))*(CROQUIS!$C$137*MAX(1,CEILING((INT(((CROQUIS!$C$97)-CROQUIS!$C$107)/MAX(CROQUIS!$C$137,1))+1)/80,1))))))*CROQUIS!$C$159)+IF(CROQUIS!$C$92="X",0,0)),-1000)</f>
        <v>-1000</v>
      </c>
      <c r="BR87">
        <f>IF(AND(CROQUIS!$C$88=1,CROQUIS!$C$91=0,CROQUIS!$C$133&gt;0,OR(CROQUIS!$C$103=1,CROQUIS!$C$145=1)),((CROQUIS!$C$160+(IF(CROQUIS!$C$92="X",CHOOSE(IF(INT(($A87-1)/5)&gt;MAX((MAX(1,INT(((CROQUIS!$C$98)-CROQUIS!$C$107)/MAX((CROQUIS!$C$133*MAX(1,CEILING((INT(((CROQUIS!$C$98)-CROQUIS!$C$107)/MAX(CROQUIS!$C$133,1))+1)/80,1))),1))+1))-1,0),0,MOD($A87-1,5))+1,0,IF(CROQUIS!$C$103=1,-12,2),CROQUIS!$C$107/2+CROQUIS!$C$143,IF(CROQUIS!$C$103=1,-12,2),0),((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BS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+1,0,IF(CROQUIS!$C$103=1,-12,2),CROQUIS!$C$107/2+CROQUIS!$C$143,IF(CROQUIS!$C$103=1,-12,2),0)))*CROQUIS!$C$159)+IF(CROQUIS!$C$92="X",0.8,0)),-1000)</f>
        <v>-1000</v>
      </c>
      <c r="BT87">
        <f>IF(AND(CROQUIS!$C$88=1,CROQUIS!$C$91=0,CROQUIS!$C$133&gt;0,OR(CROQUIS!$C$104=1,CROQUIS!$C$145=1)),((CROQUIS!$C$160+(IF(CROQUIS!$C$92="X",CHOOSE(IF(INT(($A87-1)/5)&gt;MAX((MAX(1,INT(((CROQUIS!$C$98)-CROQUIS!$C$107)/MAX((CROQUIS!$C$133*MAX(1,CEILING((INT(((CROQUIS!$C$98)-CROQUIS!$C$107)/MAX(CROQUIS!$C$133,1))+1)/80,1))),1))+1))-1,0),0,MOD($A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BU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CROQUIS!$C$97,CROQUIS!$C$97-CROQUIS!$C$107/2-CROQUIS!$C$143,IF(CROQUIS!$C$104=1,CROQUIS!$C$97+12,CROQUIS!$C$97-2),CROQUIS!$C$97-CROQUIS!$C$107/2-CROQUIS!$C$143,CROQUIS!$C$97)))*CROQUIS!$C$159)+IF(CROQUIS!$C$92="X",0.8,0)),-1000)</f>
        <v>-1000</v>
      </c>
      <c r="BV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HOOSE(IF(INT(($A87-1)/5)&gt;MAX((MAX(1,INT(((CROQUIS!$C$97)-CROQUIS!$C$107)/MAX((CROQUIS!$C$141*MAX(1,CEILING((INT(((CROQUIS!$C$97)-CROQUIS!$C$107)/MAX(CROQUIS!$C$141,1))+1)/80,1))),1))+1))-1,0),0,MOD($A87-1,5))+1,0,IF(CROQUIS!$C$105=1,-12,2),CROQUIS!$C$107/2+CROQUIS!$C$144,IF(CROQUIS!$C$105=1,-12,2),0)))*CROQUIS!$C$159)+IF(CROQUIS!$C$92="X",0.8,0)),-1000)</f>
        <v>-1000</v>
      </c>
      <c r="BW87">
        <f>IF(AND(CROQUIS!$C$88=1,CROQUIS!$C$91=0,CROQUIS!$C$141&gt;0,OR(CROQUIS!$C$105=1,CROQUIS!$C$146=1)),((CROQUIS!$C$161+(IF(CROQUIS!$C$92="X",CHOOSE(IF(INT(($A87-1)/5)&gt;MAX((MAX(1,INT(((CROQUIS!$C$97)-CROQUIS!$C$107)/MAX((CROQUIS!$C$141*MAX(1,CEILING((INT(((CROQUIS!$C$97)-CROQUIS!$C$107)/MAX(CROQUIS!$C$141,1))+1)/80,1))),1))+1))-1,0),0,MOD($A87-1,5))+1,0,IF(CROQUIS!$C$105=1,-12,2),CROQUIS!$C$107/2+CROQUIS!$C$144,IF(CROQUIS!$C$105=1,-12,2),0),((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ROQUIS!$C$159)+IF(CROQUIS!$C$92="X",0,0.8)),-1000)</f>
        <v>-1000</v>
      </c>
      <c r="BX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HOOSE(IF(INT(($A87-1)/5)&gt;MAX((MAX(1,INT(((CROQUIS!$C$97)-CROQUIS!$C$107)/MAX((CROQUIS!$C$141*MAX(1,CEILING((INT(((CROQUIS!$C$97)-CROQUIS!$C$107)/MAX(CROQUIS!$C$141,1))+1)/80,1))),1))+1))-1,0),0,MOD($A87-1,5))+1,CROQUIS!$C$98,CROQUIS!$C$98-CROQUIS!$C$107/2-CROQUIS!$C$144,IF(CROQUIS!$C$106=1,CROQUIS!$C$98+12,CROQUIS!$C$98-2),CROQUIS!$C$98-CROQUIS!$C$107/2-CROQUIS!$C$144,CROQUIS!$C$98)))*CROQUIS!$C$159)+IF(CROQUIS!$C$92="X",0.8,0)),-1000)</f>
        <v>-1000</v>
      </c>
      <c r="BY87">
        <f>IF(AND(CROQUIS!$C$88=1,CROQUIS!$C$91=0,CROQUIS!$C$141&gt;0,OR(CROQUIS!$C$106=1,CROQUIS!$C$146=1)),((CROQUIS!$C$161+(IF(CROQUIS!$C$92="X",CHOOSE(IF(INT(($A87-1)/5)&gt;MAX((MAX(1,INT(((CROQUIS!$C$97)-CROQUIS!$C$107)/MAX((CROQUIS!$C$141*MAX(1,CEILING((INT(((CROQUIS!$C$97)-CROQUIS!$C$107)/MAX(CROQUIS!$C$141,1))+1)/80,1))),1))+1))-1,0),0,MOD($A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ROQUIS!$C$159)+IF(CROQUIS!$C$92="X",0,0.8)),-1000)</f>
        <v>-1000</v>
      </c>
      <c r="BZ87">
        <f>IF(AND(CROQUIS!$C$88=1,CROQUIS!$C$91=1,CROQUIS!$C$133&gt;0),((CROQUIS!$C$160+(IF(CROQUIS!$C$92="X",CHOOSE(IF(INT(($A87-1)/5)&gt;MAX((MAX(1,INT(((CROQUIS!$C$98)-CROQUIS!$C$107)/MAX((CROQUIS!$C$133*MAX(1,CEILING((INT(((CROQUIS!$C$98)-CROQUIS!$C$107)/MAX(CROQUIS!$C$133,1))+1)/80,1))),1))+1))-1,0),0,MOD($A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CA87">
        <f>IF(AND(CROQUIS!$C$88=1,CROQUIS!$C$91=1,CROQUIS!$C$133&gt;0),((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8">
      <c r="A88" t="n">
        <v>81</v>
      </c>
      <c r="AJ88">
        <f>IF(AND(CROQUIS!$C$87=1,CROQUIS!$C$162&gt;0,CROQUIS!$C$164&gt;0),(CROQUIS!$C$160+((CROQUIS!$C$163+INT(MIN(INT(($A88-1)/2),MAX((2*CROQUIS!$C$162)-1,0))/2)*CROQUIS!$C$116+MOD(MIN(INT(($A88-1)/2),MAX((2*CROQUIS!$C$162)-1,0)),2)*CROQUIS!$C$114))*CROQUIS!$C$159),-1000)</f>
        <v>81.3375508359693</v>
      </c>
      <c r="AK88">
        <f>IF(AND(CROQUIS!$C$87=1,CROQUIS!$C$162&gt;0,CROQUIS!$C$164&gt;0),(CROQUIS!$C$161+(IF(MOD(MIN(INT(($A88-1)/2),MAX((2*CROQUIS!$C$162)-1,0)),2)=0,IF(IF(INT(($A88-1)/2)&gt;MAX((2*CROQUIS!$C$162)-1,0),1,MOD($A88-1,2))=0,CROQUIS!$C$165,(CROQUIS!$C$165+(CROQUIS!$C$164-1)*CROQUIS!$C$116+CROQUIS!$C$115)),IF(IF(INT(($A88-1)/2)&gt;MAX((2*CROQUIS!$C$162)-1,0),1,MOD($A88-1,2))=0,(CROQUIS!$C$165+(CROQUIS!$C$164-1)*CROQUIS!$C$116+CROQUIS!$C$115),CROQUIS!$C$165)))*CROQUIS!$C$159),-1000)</f>
        <v>20.8088567555355</v>
      </c>
      <c r="AL88">
        <f>IF(AND(CROQUIS!$C$87=1,CROQUIS!$C$164&gt;0,CROQUIS!$C$162&gt;0),(CROQUIS!$C$160+(IF(MOD(MIN(INT(($A88-1)/2),MAX((2*CROQUIS!$C$164)-1,0)),2)=0,IF(IF(INT(($A88-1)/2)&gt;MAX((2*CROQUIS!$C$164)-1,0),1,MOD($A88-1,2))=0,CROQUIS!$C$163,(CROQUIS!$C$163+(CROQUIS!$C$162-1)*CROQUIS!$C$116+CROQUIS!$C$114)),IF(IF(INT(($A88-1)/2)&gt;MAX((2*CROQUIS!$C$164)-1,0),1,MOD($A88-1,2))=0,(CROQUIS!$C$163+(CROQUIS!$C$162-1)*CROQUIS!$C$116+CROQUIS!$C$114),CROQUIS!$C$163)))*CROQUIS!$C$159),-1000)</f>
        <v>22.9552643470402</v>
      </c>
      <c r="AM88">
        <f>IF(AND(CROQUIS!$C$87=1,CROQUIS!$C$164&gt;0,CROQUIS!$C$162&gt;0),(CROQUIS!$C$161+((CROQUIS!$C$165+INT(MIN(INT(($A88-1)/2),MAX((2*CROQUIS!$C$164)-1,0))/2)*CROQUIS!$C$116+MOD(MIN(INT(($A88-1)/2),MAX((2*CROQUIS!$C$164)-1,0)),2)*CROQUIS!$C$115))*CROQUIS!$C$159),-1000)</f>
        <v>79.1911432444645</v>
      </c>
      <c r="BN88">
        <f>IF(AND(CROQUIS!$C$88=1,CROQUIS!$C$129&gt;0),((CROQUIS!$C$160+(IF(CROQUIS!$C$92="X",CHOOSE(IF(INT(($A88-1)/5)&gt;MAX((MAX(1,INT(((CROQUIS!$C$98)-CROQUIS!$C$107)/MAX((CROQUIS!$C$129*MAX(1,CEILING((INT(((CROQUIS!$C$98)-CROQUIS!$C$107)/MAX(CROQUIS!$C$129,1))+1)/80,1))),1))+1))-1,0),0,MOD($A88-1,5))+1,0,2,CROQUIS!$C$97-2,2,0),((CROQUIS!$C$107/2+(((CROQUIS!$C$98)-CROQUIS!$C$107)-(MAX(1,INT(((CROQUIS!$C$98)-CROQUIS!$C$107)/MAX((CROQUIS!$C$129*MAX(1,CEILING((INT(((CROQUIS!$C$98)-CROQUIS!$C$107)/MAX(CROQUIS!$C$129,1))+1)/80,1))),1))+1)-1)*(CROQUIS!$C$129*MAX(1,CEILING((INT(((CROQUIS!$C$98)-CROQUIS!$C$107)/MAX(CROQUIS!$C$129,1))+1)/80,1))))/2)+MIN(INT(($A88-1)/5),MAX((MAX(1,INT(((CROQUIS!$C$98)-CROQUIS!$C$107)/MAX((CROQUIS!$C$129*MAX(1,CEILING((INT(((CROQUIS!$C$98)-CROQUIS!$C$107)/MAX(CROQUIS!$C$129,1))+1)/80,1))),1))+1))-1,0))*(CROQUIS!$C$129*MAX(1,CEILING((INT(((CROQUIS!$C$98)-CROQUIS!$C$107)/MAX(CROQUIS!$C$129,1))+1)/80,1))))))*CROQUIS!$C$159)+IF(CROQUIS!$C$92="X",0,0)),-1000)</f>
        <v>-1000</v>
      </c>
      <c r="BO88">
        <f>IF(AND(CROQUIS!$C$88=1,CROQUIS!$C$129&gt;0),((CROQUIS!$C$161+(IF(CROQUIS!$C$92="X",((CROQUIS!$C$107/2+(((CROQUIS!$C$98)-CROQUIS!$C$107)-(MAX(1,INT(((CROQUIS!$C$98)-CROQUIS!$C$107)/MAX((CROQUIS!$C$129*MAX(1,CEILING((INT(((CROQUIS!$C$98)-CROQUIS!$C$107)/MAX(CROQUIS!$C$129,1))+1)/80,1))),1))+1)-1)*(CROQUIS!$C$129*MAX(1,CEILING((INT(((CROQUIS!$C$98)-CROQUIS!$C$107)/MAX(CROQUIS!$C$129,1))+1)/80,1))))/2)+MIN(INT(($A88-1)/5),MAX((MAX(1,INT(((CROQUIS!$C$98)-CROQUIS!$C$107)/MAX((CROQUIS!$C$129*MAX(1,CEILING((INT(((CROQUIS!$C$98)-CROQUIS!$C$107)/MAX(CROQUIS!$C$129,1))+1)/80,1))),1))+1))-1,0))*(CROQUIS!$C$129*MAX(1,CEILING((INT(((CROQUIS!$C$98)-CROQUIS!$C$107)/MAX(CROQUIS!$C$129,1))+1)/80,1)))),CHOOSE(IF(INT(($A88-1)/5)&gt;MAX((MAX(1,INT(((CROQUIS!$C$98)-CROQUIS!$C$107)/MAX((CROQUIS!$C$129*MAX(1,CEILING((INT(((CROQUIS!$C$98)-CROQUIS!$C$107)/MAX(CROQUIS!$C$129,1))+1)/80,1))),1))+1))-1,0),0,MOD($A88-1,5))+1,0,2,CROQUIS!$C$97-2,2,0)))*CROQUIS!$C$159)+IF(CROQUIS!$C$92="X",0,0)),-1000)</f>
        <v>-1000</v>
      </c>
      <c r="BP88">
        <f>IF(AND(CROQUIS!$C$88=1,CROQUIS!$C$137&gt;0),((CROQUIS!$C$160+(IF(CROQUIS!$C$92="X",((CROQUIS!$C$107/2+(((CROQUIS!$C$97)-CROQUIS!$C$107)-(MAX(1,INT(((CROQUIS!$C$97)-CROQUIS!$C$107)/MAX((CROQUIS!$C$137*MAX(1,CEILING((INT(((CROQUIS!$C$97)-CROQUIS!$C$107)/MAX(CROQUIS!$C$137,1))+1)/80,1))),1))+1)-1)*(CROQUIS!$C$137*MAX(1,CEILING((INT(((CROQUIS!$C$97)-CROQUIS!$C$107)/MAX(CROQUIS!$C$137,1))+1)/80,1))))/2)+MIN(INT(($A88-1)/5),MAX((MAX(1,INT(((CROQUIS!$C$97)-CROQUIS!$C$107)/MAX((CROQUIS!$C$137*MAX(1,CEILING((INT(((CROQUIS!$C$97)-CROQUIS!$C$107)/MAX(CROQUIS!$C$137,1))+1)/80,1))),1))+1))-1,0))*(CROQUIS!$C$137*MAX(1,CEILING((INT(((CROQUIS!$C$97)-CROQUIS!$C$107)/MAX(CROQUIS!$C$137,1))+1)/80,1)))),CHOOSE(IF(INT(($A88-1)/5)&gt;MAX((MAX(1,INT(((CROQUIS!$C$97)-CROQUIS!$C$107)/MAX((CROQUIS!$C$137*MAX(1,CEILING((INT(((CROQUIS!$C$97)-CROQUIS!$C$107)/MAX(CROQUIS!$C$137,1))+1)/80,1))),1))+1))-1,0),0,MOD($A88-1,5))+1,0,2,CROQUIS!$C$98-2,2,0)))*CROQUIS!$C$159)+IF(CROQUIS!$C$92="X",0,0)),-1000)</f>
        <v>-1000</v>
      </c>
      <c r="BQ88">
        <f>IF(AND(CROQUIS!$C$88=1,CROQUIS!$C$137&gt;0),((CROQUIS!$C$161+(IF(CROQUIS!$C$92="X",CHOOSE(IF(INT(($A88-1)/5)&gt;MAX((MAX(1,INT(((CROQUIS!$C$97)-CROQUIS!$C$107)/MAX((CROQUIS!$C$137*MAX(1,CEILING((INT(((CROQUIS!$C$97)-CROQUIS!$C$107)/MAX(CROQUIS!$C$137,1))+1)/80,1))),1))+1))-1,0),0,MOD($A88-1,5))+1,0,2,CROQUIS!$C$98-2,2,0),((CROQUIS!$C$107/2+(((CROQUIS!$C$97)-CROQUIS!$C$107)-(MAX(1,INT(((CROQUIS!$C$97)-CROQUIS!$C$107)/MAX((CROQUIS!$C$137*MAX(1,CEILING((INT(((CROQUIS!$C$97)-CROQUIS!$C$107)/MAX(CROQUIS!$C$137,1))+1)/80,1))),1))+1)-1)*(CROQUIS!$C$137*MAX(1,CEILING((INT(((CROQUIS!$C$97)-CROQUIS!$C$107)/MAX(CROQUIS!$C$137,1))+1)/80,1))))/2)+MIN(INT(($A88-1)/5),MAX((MAX(1,INT(((CROQUIS!$C$97)-CROQUIS!$C$107)/MAX((CROQUIS!$C$137*MAX(1,CEILING((INT(((CROQUIS!$C$97)-CROQUIS!$C$107)/MAX(CROQUIS!$C$137,1))+1)/80,1))),1))+1))-1,0))*(CROQUIS!$C$137*MAX(1,CEILING((INT(((CROQUIS!$C$97)-CROQUIS!$C$107)/MAX(CROQUIS!$C$137,1))+1)/80,1))))))*CROQUIS!$C$159)+IF(CROQUIS!$C$92="X",0,0)),-1000)</f>
        <v>-1000</v>
      </c>
      <c r="BR88">
        <f>IF(AND(CROQUIS!$C$88=1,CROQUIS!$C$91=0,CROQUIS!$C$133&gt;0,OR(CROQUIS!$C$103=1,CROQUIS!$C$145=1)),((CROQUIS!$C$160+(IF(CROQUIS!$C$92="X",CHOOSE(IF(INT(($A88-1)/5)&gt;MAX((MAX(1,INT(((CROQUIS!$C$98)-CROQUIS!$C$107)/MAX((CROQUIS!$C$133*MAX(1,CEILING((INT(((CROQUIS!$C$98)-CROQUIS!$C$107)/MAX(CROQUIS!$C$133,1))+1)/80,1))),1))+1))-1,0),0,MOD($A88-1,5))+1,0,IF(CROQUIS!$C$103=1,-12,2),CROQUIS!$C$107/2+CROQUIS!$C$143,IF(CROQUIS!$C$103=1,-12,2),0),((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BS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+1,0,IF(CROQUIS!$C$103=1,-12,2),CROQUIS!$C$107/2+CROQUIS!$C$143,IF(CROQUIS!$C$103=1,-12,2),0)))*CROQUIS!$C$159)+IF(CROQUIS!$C$92="X",0.8,0)),-1000)</f>
        <v>-1000</v>
      </c>
      <c r="BT88">
        <f>IF(AND(CROQUIS!$C$88=1,CROQUIS!$C$91=0,CROQUIS!$C$133&gt;0,OR(CROQUIS!$C$104=1,CROQUIS!$C$145=1)),((CROQUIS!$C$160+(IF(CROQUIS!$C$92="X",CHOOSE(IF(INT(($A88-1)/5)&gt;MAX((MAX(1,INT(((CROQUIS!$C$98)-CROQUIS!$C$107)/MAX((CROQUIS!$C$133*MAX(1,CEILING((INT(((CROQUIS!$C$98)-CROQUIS!$C$107)/MAX(CROQUIS!$C$133,1))+1)/80,1))),1))+1))-1,0),0,MOD($A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BU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CROQUIS!$C$97,CROQUIS!$C$97-CROQUIS!$C$107/2-CROQUIS!$C$143,IF(CROQUIS!$C$104=1,CROQUIS!$C$97+12,CROQUIS!$C$97-2),CROQUIS!$C$97-CROQUIS!$C$107/2-CROQUIS!$C$143,CROQUIS!$C$97)))*CROQUIS!$C$159)+IF(CROQUIS!$C$92="X",0.8,0)),-1000)</f>
        <v>-1000</v>
      </c>
      <c r="BV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HOOSE(IF(INT(($A88-1)/5)&gt;MAX((MAX(1,INT(((CROQUIS!$C$97)-CROQUIS!$C$107)/MAX((CROQUIS!$C$141*MAX(1,CEILING((INT(((CROQUIS!$C$97)-CROQUIS!$C$107)/MAX(CROQUIS!$C$141,1))+1)/80,1))),1))+1))-1,0),0,MOD($A88-1,5))+1,0,IF(CROQUIS!$C$105=1,-12,2),CROQUIS!$C$107/2+CROQUIS!$C$144,IF(CROQUIS!$C$105=1,-12,2),0)))*CROQUIS!$C$159)+IF(CROQUIS!$C$92="X",0.8,0)),-1000)</f>
        <v>-1000</v>
      </c>
      <c r="BW88">
        <f>IF(AND(CROQUIS!$C$88=1,CROQUIS!$C$91=0,CROQUIS!$C$141&gt;0,OR(CROQUIS!$C$105=1,CROQUIS!$C$146=1)),((CROQUIS!$C$161+(IF(CROQUIS!$C$92="X",CHOOSE(IF(INT(($A88-1)/5)&gt;MAX((MAX(1,INT(((CROQUIS!$C$97)-CROQUIS!$C$107)/MAX((CROQUIS!$C$141*MAX(1,CEILING((INT(((CROQUIS!$C$97)-CROQUIS!$C$107)/MAX(CROQUIS!$C$141,1))+1)/80,1))),1))+1))-1,0),0,MOD($A88-1,5))+1,0,IF(CROQUIS!$C$105=1,-12,2),CROQUIS!$C$107/2+CROQUIS!$C$144,IF(CROQUIS!$C$105=1,-12,2),0),((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ROQUIS!$C$159)+IF(CROQUIS!$C$92="X",0,0.8)),-1000)</f>
        <v>-1000</v>
      </c>
      <c r="BX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HOOSE(IF(INT(($A88-1)/5)&gt;MAX((MAX(1,INT(((CROQUIS!$C$97)-CROQUIS!$C$107)/MAX((CROQUIS!$C$141*MAX(1,CEILING((INT(((CROQUIS!$C$97)-CROQUIS!$C$107)/MAX(CROQUIS!$C$141,1))+1)/80,1))),1))+1))-1,0),0,MOD($A88-1,5))+1,CROQUIS!$C$98,CROQUIS!$C$98-CROQUIS!$C$107/2-CROQUIS!$C$144,IF(CROQUIS!$C$106=1,CROQUIS!$C$98+12,CROQUIS!$C$98-2),CROQUIS!$C$98-CROQUIS!$C$107/2-CROQUIS!$C$144,CROQUIS!$C$98)))*CROQUIS!$C$159)+IF(CROQUIS!$C$92="X",0.8,0)),-1000)</f>
        <v>-1000</v>
      </c>
      <c r="BY88">
        <f>IF(AND(CROQUIS!$C$88=1,CROQUIS!$C$91=0,CROQUIS!$C$141&gt;0,OR(CROQUIS!$C$106=1,CROQUIS!$C$146=1)),((CROQUIS!$C$161+(IF(CROQUIS!$C$92="X",CHOOSE(IF(INT(($A88-1)/5)&gt;MAX((MAX(1,INT(((CROQUIS!$C$97)-CROQUIS!$C$107)/MAX((CROQUIS!$C$141*MAX(1,CEILING((INT(((CROQUIS!$C$97)-CROQUIS!$C$107)/MAX(CROQUIS!$C$141,1))+1)/80,1))),1))+1))-1,0),0,MOD($A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ROQUIS!$C$159)+IF(CROQUIS!$C$92="X",0,0.8)),-1000)</f>
        <v>-1000</v>
      </c>
      <c r="BZ88">
        <f>IF(AND(CROQUIS!$C$88=1,CROQUIS!$C$91=1,CROQUIS!$C$133&gt;0),((CROQUIS!$C$160+(IF(CROQUIS!$C$92="X",CHOOSE(IF(INT(($A88-1)/5)&gt;MAX((MAX(1,INT(((CROQUIS!$C$98)-CROQUIS!$C$107)/MAX((CROQUIS!$C$133*MAX(1,CEILING((INT(((CROQUIS!$C$98)-CROQUIS!$C$107)/MAX(CROQUIS!$C$133,1))+1)/80,1))),1))+1))-1,0),0,MOD($A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CA88">
        <f>IF(AND(CROQUIS!$C$88=1,CROQUIS!$C$91=1,CROQUIS!$C$133&gt;0),((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9">
      <c r="A89" t="n">
        <v>82</v>
      </c>
      <c r="AJ89">
        <f>IF(AND(CROQUIS!$C$87=1,CROQUIS!$C$162&gt;0,CROQUIS!$C$164&gt;0),(CROQUIS!$C$160+((CROQUIS!$C$163+INT(MIN(INT(($A89-1)/2),MAX((2*CROQUIS!$C$162)-1,0))/2)*CROQUIS!$C$116+MOD(MIN(INT(($A89-1)/2),MAX((2*CROQUIS!$C$162)-1,0)),2)*CROQUIS!$C$114))*CROQUIS!$C$159),-1000)</f>
        <v>81.3375508359693</v>
      </c>
      <c r="AK89">
        <f>IF(AND(CROQUIS!$C$87=1,CROQUIS!$C$162&gt;0,CROQUIS!$C$164&gt;0),(CROQUIS!$C$161+(IF(MOD(MIN(INT(($A89-1)/2),MAX((2*CROQUIS!$C$162)-1,0)),2)=0,IF(IF(INT(($A89-1)/2)&gt;MAX((2*CROQUIS!$C$162)-1,0),1,MOD($A89-1,2))=0,CROQUIS!$C$165,(CROQUIS!$C$165+(CROQUIS!$C$164-1)*CROQUIS!$C$116+CROQUIS!$C$115)),IF(IF(INT(($A89-1)/2)&gt;MAX((2*CROQUIS!$C$162)-1,0),1,MOD($A89-1,2))=0,(CROQUIS!$C$165+(CROQUIS!$C$164-1)*CROQUIS!$C$116+CROQUIS!$C$115),CROQUIS!$C$165)))*CROQUIS!$C$159),-1000)</f>
        <v>20.8088567555355</v>
      </c>
      <c r="AL89">
        <f>IF(AND(CROQUIS!$C$87=1,CROQUIS!$C$164&gt;0,CROQUIS!$C$162&gt;0),(CROQUIS!$C$160+(IF(MOD(MIN(INT(($A89-1)/2),MAX((2*CROQUIS!$C$164)-1,0)),2)=0,IF(IF(INT(($A89-1)/2)&gt;MAX((2*CROQUIS!$C$164)-1,0),1,MOD($A89-1,2))=0,CROQUIS!$C$163,(CROQUIS!$C$163+(CROQUIS!$C$162-1)*CROQUIS!$C$116+CROQUIS!$C$114)),IF(IF(INT(($A89-1)/2)&gt;MAX((2*CROQUIS!$C$164)-1,0),1,MOD($A89-1,2))=0,(CROQUIS!$C$163+(CROQUIS!$C$162-1)*CROQUIS!$C$116+CROQUIS!$C$114),CROQUIS!$C$163)))*CROQUIS!$C$159),-1000)</f>
        <v>22.9552643470402</v>
      </c>
      <c r="AM89">
        <f>IF(AND(CROQUIS!$C$87=1,CROQUIS!$C$164&gt;0,CROQUIS!$C$162&gt;0),(CROQUIS!$C$161+((CROQUIS!$C$165+INT(MIN(INT(($A89-1)/2),MAX((2*CROQUIS!$C$164)-1,0))/2)*CROQUIS!$C$116+MOD(MIN(INT(($A89-1)/2),MAX((2*CROQUIS!$C$164)-1,0)),2)*CROQUIS!$C$115))*CROQUIS!$C$159),-1000)</f>
        <v>79.1911432444645</v>
      </c>
      <c r="BN89">
        <f>IF(AND(CROQUIS!$C$88=1,CROQUIS!$C$129&gt;0),((CROQUIS!$C$160+(IF(CROQUIS!$C$92="X",CHOOSE(IF(INT(($A89-1)/5)&gt;MAX((MAX(1,INT(((CROQUIS!$C$98)-CROQUIS!$C$107)/MAX((CROQUIS!$C$129*MAX(1,CEILING((INT(((CROQUIS!$C$98)-CROQUIS!$C$107)/MAX(CROQUIS!$C$129,1))+1)/80,1))),1))+1))-1,0),0,MOD($A89-1,5))+1,0,2,CROQUIS!$C$97-2,2,0),((CROQUIS!$C$107/2+(((CROQUIS!$C$98)-CROQUIS!$C$107)-(MAX(1,INT(((CROQUIS!$C$98)-CROQUIS!$C$107)/MAX((CROQUIS!$C$129*MAX(1,CEILING((INT(((CROQUIS!$C$98)-CROQUIS!$C$107)/MAX(CROQUIS!$C$129,1))+1)/80,1))),1))+1)-1)*(CROQUIS!$C$129*MAX(1,CEILING((INT(((CROQUIS!$C$98)-CROQUIS!$C$107)/MAX(CROQUIS!$C$129,1))+1)/80,1))))/2)+MIN(INT(($A89-1)/5),MAX((MAX(1,INT(((CROQUIS!$C$98)-CROQUIS!$C$107)/MAX((CROQUIS!$C$129*MAX(1,CEILING((INT(((CROQUIS!$C$98)-CROQUIS!$C$107)/MAX(CROQUIS!$C$129,1))+1)/80,1))),1))+1))-1,0))*(CROQUIS!$C$129*MAX(1,CEILING((INT(((CROQUIS!$C$98)-CROQUIS!$C$107)/MAX(CROQUIS!$C$129,1))+1)/80,1))))))*CROQUIS!$C$159)+IF(CROQUIS!$C$92="X",0,0)),-1000)</f>
        <v>-1000</v>
      </c>
      <c r="BO89">
        <f>IF(AND(CROQUIS!$C$88=1,CROQUIS!$C$129&gt;0),((CROQUIS!$C$161+(IF(CROQUIS!$C$92="X",((CROQUIS!$C$107/2+(((CROQUIS!$C$98)-CROQUIS!$C$107)-(MAX(1,INT(((CROQUIS!$C$98)-CROQUIS!$C$107)/MAX((CROQUIS!$C$129*MAX(1,CEILING((INT(((CROQUIS!$C$98)-CROQUIS!$C$107)/MAX(CROQUIS!$C$129,1))+1)/80,1))),1))+1)-1)*(CROQUIS!$C$129*MAX(1,CEILING((INT(((CROQUIS!$C$98)-CROQUIS!$C$107)/MAX(CROQUIS!$C$129,1))+1)/80,1))))/2)+MIN(INT(($A89-1)/5),MAX((MAX(1,INT(((CROQUIS!$C$98)-CROQUIS!$C$107)/MAX((CROQUIS!$C$129*MAX(1,CEILING((INT(((CROQUIS!$C$98)-CROQUIS!$C$107)/MAX(CROQUIS!$C$129,1))+1)/80,1))),1))+1))-1,0))*(CROQUIS!$C$129*MAX(1,CEILING((INT(((CROQUIS!$C$98)-CROQUIS!$C$107)/MAX(CROQUIS!$C$129,1))+1)/80,1)))),CHOOSE(IF(INT(($A89-1)/5)&gt;MAX((MAX(1,INT(((CROQUIS!$C$98)-CROQUIS!$C$107)/MAX((CROQUIS!$C$129*MAX(1,CEILING((INT(((CROQUIS!$C$98)-CROQUIS!$C$107)/MAX(CROQUIS!$C$129,1))+1)/80,1))),1))+1))-1,0),0,MOD($A89-1,5))+1,0,2,CROQUIS!$C$97-2,2,0)))*CROQUIS!$C$159)+IF(CROQUIS!$C$92="X",0,0)),-1000)</f>
        <v>-1000</v>
      </c>
      <c r="BP89">
        <f>IF(AND(CROQUIS!$C$88=1,CROQUIS!$C$137&gt;0),((CROQUIS!$C$160+(IF(CROQUIS!$C$92="X",((CROQUIS!$C$107/2+(((CROQUIS!$C$97)-CROQUIS!$C$107)-(MAX(1,INT(((CROQUIS!$C$97)-CROQUIS!$C$107)/MAX((CROQUIS!$C$137*MAX(1,CEILING((INT(((CROQUIS!$C$97)-CROQUIS!$C$107)/MAX(CROQUIS!$C$137,1))+1)/80,1))),1))+1)-1)*(CROQUIS!$C$137*MAX(1,CEILING((INT(((CROQUIS!$C$97)-CROQUIS!$C$107)/MAX(CROQUIS!$C$137,1))+1)/80,1))))/2)+MIN(INT(($A89-1)/5),MAX((MAX(1,INT(((CROQUIS!$C$97)-CROQUIS!$C$107)/MAX((CROQUIS!$C$137*MAX(1,CEILING((INT(((CROQUIS!$C$97)-CROQUIS!$C$107)/MAX(CROQUIS!$C$137,1))+1)/80,1))),1))+1))-1,0))*(CROQUIS!$C$137*MAX(1,CEILING((INT(((CROQUIS!$C$97)-CROQUIS!$C$107)/MAX(CROQUIS!$C$137,1))+1)/80,1)))),CHOOSE(IF(INT(($A89-1)/5)&gt;MAX((MAX(1,INT(((CROQUIS!$C$97)-CROQUIS!$C$107)/MAX((CROQUIS!$C$137*MAX(1,CEILING((INT(((CROQUIS!$C$97)-CROQUIS!$C$107)/MAX(CROQUIS!$C$137,1))+1)/80,1))),1))+1))-1,0),0,MOD($A89-1,5))+1,0,2,CROQUIS!$C$98-2,2,0)))*CROQUIS!$C$159)+IF(CROQUIS!$C$92="X",0,0)),-1000)</f>
        <v>-1000</v>
      </c>
      <c r="BQ89">
        <f>IF(AND(CROQUIS!$C$88=1,CROQUIS!$C$137&gt;0),((CROQUIS!$C$161+(IF(CROQUIS!$C$92="X",CHOOSE(IF(INT(($A89-1)/5)&gt;MAX((MAX(1,INT(((CROQUIS!$C$97)-CROQUIS!$C$107)/MAX((CROQUIS!$C$137*MAX(1,CEILING((INT(((CROQUIS!$C$97)-CROQUIS!$C$107)/MAX(CROQUIS!$C$137,1))+1)/80,1))),1))+1))-1,0),0,MOD($A89-1,5))+1,0,2,CROQUIS!$C$98-2,2,0),((CROQUIS!$C$107/2+(((CROQUIS!$C$97)-CROQUIS!$C$107)-(MAX(1,INT(((CROQUIS!$C$97)-CROQUIS!$C$107)/MAX((CROQUIS!$C$137*MAX(1,CEILING((INT(((CROQUIS!$C$97)-CROQUIS!$C$107)/MAX(CROQUIS!$C$137,1))+1)/80,1))),1))+1)-1)*(CROQUIS!$C$137*MAX(1,CEILING((INT(((CROQUIS!$C$97)-CROQUIS!$C$107)/MAX(CROQUIS!$C$137,1))+1)/80,1))))/2)+MIN(INT(($A89-1)/5),MAX((MAX(1,INT(((CROQUIS!$C$97)-CROQUIS!$C$107)/MAX((CROQUIS!$C$137*MAX(1,CEILING((INT(((CROQUIS!$C$97)-CROQUIS!$C$107)/MAX(CROQUIS!$C$137,1))+1)/80,1))),1))+1))-1,0))*(CROQUIS!$C$137*MAX(1,CEILING((INT(((CROQUIS!$C$97)-CROQUIS!$C$107)/MAX(CROQUIS!$C$137,1))+1)/80,1))))))*CROQUIS!$C$159)+IF(CROQUIS!$C$92="X",0,0)),-1000)</f>
        <v>-1000</v>
      </c>
      <c r="BR89">
        <f>IF(AND(CROQUIS!$C$88=1,CROQUIS!$C$91=0,CROQUIS!$C$133&gt;0,OR(CROQUIS!$C$103=1,CROQUIS!$C$145=1)),((CROQUIS!$C$160+(IF(CROQUIS!$C$92="X",CHOOSE(IF(INT(($A89-1)/5)&gt;MAX((MAX(1,INT(((CROQUIS!$C$98)-CROQUIS!$C$107)/MAX((CROQUIS!$C$133*MAX(1,CEILING((INT(((CROQUIS!$C$98)-CROQUIS!$C$107)/MAX(CROQUIS!$C$133,1))+1)/80,1))),1))+1))-1,0),0,MOD($A89-1,5))+1,0,IF(CROQUIS!$C$103=1,-12,2),CROQUIS!$C$107/2+CROQUIS!$C$143,IF(CROQUIS!$C$103=1,-12,2),0),((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BS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+1,0,IF(CROQUIS!$C$103=1,-12,2),CROQUIS!$C$107/2+CROQUIS!$C$143,IF(CROQUIS!$C$103=1,-12,2),0)))*CROQUIS!$C$159)+IF(CROQUIS!$C$92="X",0.8,0)),-1000)</f>
        <v>-1000</v>
      </c>
      <c r="BT89">
        <f>IF(AND(CROQUIS!$C$88=1,CROQUIS!$C$91=0,CROQUIS!$C$133&gt;0,OR(CROQUIS!$C$104=1,CROQUIS!$C$145=1)),((CROQUIS!$C$160+(IF(CROQUIS!$C$92="X",CHOOSE(IF(INT(($A89-1)/5)&gt;MAX((MAX(1,INT(((CROQUIS!$C$98)-CROQUIS!$C$107)/MAX((CROQUIS!$C$133*MAX(1,CEILING((INT(((CROQUIS!$C$98)-CROQUIS!$C$107)/MAX(CROQUIS!$C$133,1))+1)/80,1))),1))+1))-1,0),0,MOD($A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BU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CROQUIS!$C$97,CROQUIS!$C$97-CROQUIS!$C$107/2-CROQUIS!$C$143,IF(CROQUIS!$C$104=1,CROQUIS!$C$97+12,CROQUIS!$C$97-2),CROQUIS!$C$97-CROQUIS!$C$107/2-CROQUIS!$C$143,CROQUIS!$C$97)))*CROQUIS!$C$159)+IF(CROQUIS!$C$92="X",0.8,0)),-1000)</f>
        <v>-1000</v>
      </c>
      <c r="BV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HOOSE(IF(INT(($A89-1)/5)&gt;MAX((MAX(1,INT(((CROQUIS!$C$97)-CROQUIS!$C$107)/MAX((CROQUIS!$C$141*MAX(1,CEILING((INT(((CROQUIS!$C$97)-CROQUIS!$C$107)/MAX(CROQUIS!$C$141,1))+1)/80,1))),1))+1))-1,0),0,MOD($A89-1,5))+1,0,IF(CROQUIS!$C$105=1,-12,2),CROQUIS!$C$107/2+CROQUIS!$C$144,IF(CROQUIS!$C$105=1,-12,2),0)))*CROQUIS!$C$159)+IF(CROQUIS!$C$92="X",0.8,0)),-1000)</f>
        <v>-1000</v>
      </c>
      <c r="BW89">
        <f>IF(AND(CROQUIS!$C$88=1,CROQUIS!$C$91=0,CROQUIS!$C$141&gt;0,OR(CROQUIS!$C$105=1,CROQUIS!$C$146=1)),((CROQUIS!$C$161+(IF(CROQUIS!$C$92="X",CHOOSE(IF(INT(($A89-1)/5)&gt;MAX((MAX(1,INT(((CROQUIS!$C$97)-CROQUIS!$C$107)/MAX((CROQUIS!$C$141*MAX(1,CEILING((INT(((CROQUIS!$C$97)-CROQUIS!$C$107)/MAX(CROQUIS!$C$141,1))+1)/80,1))),1))+1))-1,0),0,MOD($A89-1,5))+1,0,IF(CROQUIS!$C$105=1,-12,2),CROQUIS!$C$107/2+CROQUIS!$C$144,IF(CROQUIS!$C$105=1,-12,2),0),((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ROQUIS!$C$159)+IF(CROQUIS!$C$92="X",0,0.8)),-1000)</f>
        <v>-1000</v>
      </c>
      <c r="BX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HOOSE(IF(INT(($A89-1)/5)&gt;MAX((MAX(1,INT(((CROQUIS!$C$97)-CROQUIS!$C$107)/MAX((CROQUIS!$C$141*MAX(1,CEILING((INT(((CROQUIS!$C$97)-CROQUIS!$C$107)/MAX(CROQUIS!$C$141,1))+1)/80,1))),1))+1))-1,0),0,MOD($A89-1,5))+1,CROQUIS!$C$98,CROQUIS!$C$98-CROQUIS!$C$107/2-CROQUIS!$C$144,IF(CROQUIS!$C$106=1,CROQUIS!$C$98+12,CROQUIS!$C$98-2),CROQUIS!$C$98-CROQUIS!$C$107/2-CROQUIS!$C$144,CROQUIS!$C$98)))*CROQUIS!$C$159)+IF(CROQUIS!$C$92="X",0.8,0)),-1000)</f>
        <v>-1000</v>
      </c>
      <c r="BY89">
        <f>IF(AND(CROQUIS!$C$88=1,CROQUIS!$C$91=0,CROQUIS!$C$141&gt;0,OR(CROQUIS!$C$106=1,CROQUIS!$C$146=1)),((CROQUIS!$C$161+(IF(CROQUIS!$C$92="X",CHOOSE(IF(INT(($A89-1)/5)&gt;MAX((MAX(1,INT(((CROQUIS!$C$97)-CROQUIS!$C$107)/MAX((CROQUIS!$C$141*MAX(1,CEILING((INT(((CROQUIS!$C$97)-CROQUIS!$C$107)/MAX(CROQUIS!$C$141,1))+1)/80,1))),1))+1))-1,0),0,MOD($A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ROQUIS!$C$159)+IF(CROQUIS!$C$92="X",0,0.8)),-1000)</f>
        <v>-1000</v>
      </c>
      <c r="BZ89">
        <f>IF(AND(CROQUIS!$C$88=1,CROQUIS!$C$91=1,CROQUIS!$C$133&gt;0),((CROQUIS!$C$160+(IF(CROQUIS!$C$92="X",CHOOSE(IF(INT(($A89-1)/5)&gt;MAX((MAX(1,INT(((CROQUIS!$C$98)-CROQUIS!$C$107)/MAX((CROQUIS!$C$133*MAX(1,CEILING((INT(((CROQUIS!$C$98)-CROQUIS!$C$107)/MAX(CROQUIS!$C$133,1))+1)/80,1))),1))+1))-1,0),0,MOD($A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CA89">
        <f>IF(AND(CROQUIS!$C$88=1,CROQUIS!$C$91=1,CROQUIS!$C$133&gt;0),((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0">
      <c r="A90" t="n">
        <v>83</v>
      </c>
      <c r="AJ90">
        <f>IF(AND(CROQUIS!$C$87=1,CROQUIS!$C$162&gt;0,CROQUIS!$C$164&gt;0),(CROQUIS!$C$160+((CROQUIS!$C$163+INT(MIN(INT(($A90-1)/2),MAX((2*CROQUIS!$C$162)-1,0))/2)*CROQUIS!$C$116+MOD(MIN(INT(($A90-1)/2),MAX((2*CROQUIS!$C$162)-1,0)),2)*CROQUIS!$C$114))*CROQUIS!$C$159),-1000)</f>
        <v>81.3375508359693</v>
      </c>
      <c r="AK90">
        <f>IF(AND(CROQUIS!$C$87=1,CROQUIS!$C$162&gt;0,CROQUIS!$C$164&gt;0),(CROQUIS!$C$161+(IF(MOD(MIN(INT(($A90-1)/2),MAX((2*CROQUIS!$C$162)-1,0)),2)=0,IF(IF(INT(($A90-1)/2)&gt;MAX((2*CROQUIS!$C$162)-1,0),1,MOD($A90-1,2))=0,CROQUIS!$C$165,(CROQUIS!$C$165+(CROQUIS!$C$164-1)*CROQUIS!$C$116+CROQUIS!$C$115)),IF(IF(INT(($A90-1)/2)&gt;MAX((2*CROQUIS!$C$162)-1,0),1,MOD($A90-1,2))=0,(CROQUIS!$C$165+(CROQUIS!$C$164-1)*CROQUIS!$C$116+CROQUIS!$C$115),CROQUIS!$C$165)))*CROQUIS!$C$159),-1000)</f>
        <v>20.8088567555355</v>
      </c>
      <c r="AL90">
        <f>IF(AND(CROQUIS!$C$87=1,CROQUIS!$C$164&gt;0,CROQUIS!$C$162&gt;0),(CROQUIS!$C$160+(IF(MOD(MIN(INT(($A90-1)/2),MAX((2*CROQUIS!$C$164)-1,0)),2)=0,IF(IF(INT(($A90-1)/2)&gt;MAX((2*CROQUIS!$C$164)-1,0),1,MOD($A90-1,2))=0,CROQUIS!$C$163,(CROQUIS!$C$163+(CROQUIS!$C$162-1)*CROQUIS!$C$116+CROQUIS!$C$114)),IF(IF(INT(($A90-1)/2)&gt;MAX((2*CROQUIS!$C$164)-1,0),1,MOD($A90-1,2))=0,(CROQUIS!$C$163+(CROQUIS!$C$162-1)*CROQUIS!$C$116+CROQUIS!$C$114),CROQUIS!$C$163)))*CROQUIS!$C$159),-1000)</f>
        <v>22.9552643470402</v>
      </c>
      <c r="AM90">
        <f>IF(AND(CROQUIS!$C$87=1,CROQUIS!$C$164&gt;0,CROQUIS!$C$162&gt;0),(CROQUIS!$C$161+((CROQUIS!$C$165+INT(MIN(INT(($A90-1)/2),MAX((2*CROQUIS!$C$164)-1,0))/2)*CROQUIS!$C$116+MOD(MIN(INT(($A90-1)/2),MAX((2*CROQUIS!$C$164)-1,0)),2)*CROQUIS!$C$115))*CROQUIS!$C$159),-1000)</f>
        <v>79.1911432444645</v>
      </c>
      <c r="BN90">
        <f>IF(AND(CROQUIS!$C$88=1,CROQUIS!$C$129&gt;0),((CROQUIS!$C$160+(IF(CROQUIS!$C$92="X",CHOOSE(IF(INT(($A90-1)/5)&gt;MAX((MAX(1,INT(((CROQUIS!$C$98)-CROQUIS!$C$107)/MAX((CROQUIS!$C$129*MAX(1,CEILING((INT(((CROQUIS!$C$98)-CROQUIS!$C$107)/MAX(CROQUIS!$C$129,1))+1)/80,1))),1))+1))-1,0),0,MOD($A90-1,5))+1,0,2,CROQUIS!$C$97-2,2,0),((CROQUIS!$C$107/2+(((CROQUIS!$C$98)-CROQUIS!$C$107)-(MAX(1,INT(((CROQUIS!$C$98)-CROQUIS!$C$107)/MAX((CROQUIS!$C$129*MAX(1,CEILING((INT(((CROQUIS!$C$98)-CROQUIS!$C$107)/MAX(CROQUIS!$C$129,1))+1)/80,1))),1))+1)-1)*(CROQUIS!$C$129*MAX(1,CEILING((INT(((CROQUIS!$C$98)-CROQUIS!$C$107)/MAX(CROQUIS!$C$129,1))+1)/80,1))))/2)+MIN(INT(($A90-1)/5),MAX((MAX(1,INT(((CROQUIS!$C$98)-CROQUIS!$C$107)/MAX((CROQUIS!$C$129*MAX(1,CEILING((INT(((CROQUIS!$C$98)-CROQUIS!$C$107)/MAX(CROQUIS!$C$129,1))+1)/80,1))),1))+1))-1,0))*(CROQUIS!$C$129*MAX(1,CEILING((INT(((CROQUIS!$C$98)-CROQUIS!$C$107)/MAX(CROQUIS!$C$129,1))+1)/80,1))))))*CROQUIS!$C$159)+IF(CROQUIS!$C$92="X",0,0)),-1000)</f>
        <v>-1000</v>
      </c>
      <c r="BO90">
        <f>IF(AND(CROQUIS!$C$88=1,CROQUIS!$C$129&gt;0),((CROQUIS!$C$161+(IF(CROQUIS!$C$92="X",((CROQUIS!$C$107/2+(((CROQUIS!$C$98)-CROQUIS!$C$107)-(MAX(1,INT(((CROQUIS!$C$98)-CROQUIS!$C$107)/MAX((CROQUIS!$C$129*MAX(1,CEILING((INT(((CROQUIS!$C$98)-CROQUIS!$C$107)/MAX(CROQUIS!$C$129,1))+1)/80,1))),1))+1)-1)*(CROQUIS!$C$129*MAX(1,CEILING((INT(((CROQUIS!$C$98)-CROQUIS!$C$107)/MAX(CROQUIS!$C$129,1))+1)/80,1))))/2)+MIN(INT(($A90-1)/5),MAX((MAX(1,INT(((CROQUIS!$C$98)-CROQUIS!$C$107)/MAX((CROQUIS!$C$129*MAX(1,CEILING((INT(((CROQUIS!$C$98)-CROQUIS!$C$107)/MAX(CROQUIS!$C$129,1))+1)/80,1))),1))+1))-1,0))*(CROQUIS!$C$129*MAX(1,CEILING((INT(((CROQUIS!$C$98)-CROQUIS!$C$107)/MAX(CROQUIS!$C$129,1))+1)/80,1)))),CHOOSE(IF(INT(($A90-1)/5)&gt;MAX((MAX(1,INT(((CROQUIS!$C$98)-CROQUIS!$C$107)/MAX((CROQUIS!$C$129*MAX(1,CEILING((INT(((CROQUIS!$C$98)-CROQUIS!$C$107)/MAX(CROQUIS!$C$129,1))+1)/80,1))),1))+1))-1,0),0,MOD($A90-1,5))+1,0,2,CROQUIS!$C$97-2,2,0)))*CROQUIS!$C$159)+IF(CROQUIS!$C$92="X",0,0)),-1000)</f>
        <v>-1000</v>
      </c>
      <c r="BP90">
        <f>IF(AND(CROQUIS!$C$88=1,CROQUIS!$C$137&gt;0),((CROQUIS!$C$160+(IF(CROQUIS!$C$92="X",((CROQUIS!$C$107/2+(((CROQUIS!$C$97)-CROQUIS!$C$107)-(MAX(1,INT(((CROQUIS!$C$97)-CROQUIS!$C$107)/MAX((CROQUIS!$C$137*MAX(1,CEILING((INT(((CROQUIS!$C$97)-CROQUIS!$C$107)/MAX(CROQUIS!$C$137,1))+1)/80,1))),1))+1)-1)*(CROQUIS!$C$137*MAX(1,CEILING((INT(((CROQUIS!$C$97)-CROQUIS!$C$107)/MAX(CROQUIS!$C$137,1))+1)/80,1))))/2)+MIN(INT(($A90-1)/5),MAX((MAX(1,INT(((CROQUIS!$C$97)-CROQUIS!$C$107)/MAX((CROQUIS!$C$137*MAX(1,CEILING((INT(((CROQUIS!$C$97)-CROQUIS!$C$107)/MAX(CROQUIS!$C$137,1))+1)/80,1))),1))+1))-1,0))*(CROQUIS!$C$137*MAX(1,CEILING((INT(((CROQUIS!$C$97)-CROQUIS!$C$107)/MAX(CROQUIS!$C$137,1))+1)/80,1)))),CHOOSE(IF(INT(($A90-1)/5)&gt;MAX((MAX(1,INT(((CROQUIS!$C$97)-CROQUIS!$C$107)/MAX((CROQUIS!$C$137*MAX(1,CEILING((INT(((CROQUIS!$C$97)-CROQUIS!$C$107)/MAX(CROQUIS!$C$137,1))+1)/80,1))),1))+1))-1,0),0,MOD($A90-1,5))+1,0,2,CROQUIS!$C$98-2,2,0)))*CROQUIS!$C$159)+IF(CROQUIS!$C$92="X",0,0)),-1000)</f>
        <v>-1000</v>
      </c>
      <c r="BQ90">
        <f>IF(AND(CROQUIS!$C$88=1,CROQUIS!$C$137&gt;0),((CROQUIS!$C$161+(IF(CROQUIS!$C$92="X",CHOOSE(IF(INT(($A90-1)/5)&gt;MAX((MAX(1,INT(((CROQUIS!$C$97)-CROQUIS!$C$107)/MAX((CROQUIS!$C$137*MAX(1,CEILING((INT(((CROQUIS!$C$97)-CROQUIS!$C$107)/MAX(CROQUIS!$C$137,1))+1)/80,1))),1))+1))-1,0),0,MOD($A90-1,5))+1,0,2,CROQUIS!$C$98-2,2,0),((CROQUIS!$C$107/2+(((CROQUIS!$C$97)-CROQUIS!$C$107)-(MAX(1,INT(((CROQUIS!$C$97)-CROQUIS!$C$107)/MAX((CROQUIS!$C$137*MAX(1,CEILING((INT(((CROQUIS!$C$97)-CROQUIS!$C$107)/MAX(CROQUIS!$C$137,1))+1)/80,1))),1))+1)-1)*(CROQUIS!$C$137*MAX(1,CEILING((INT(((CROQUIS!$C$97)-CROQUIS!$C$107)/MAX(CROQUIS!$C$137,1))+1)/80,1))))/2)+MIN(INT(($A90-1)/5),MAX((MAX(1,INT(((CROQUIS!$C$97)-CROQUIS!$C$107)/MAX((CROQUIS!$C$137*MAX(1,CEILING((INT(((CROQUIS!$C$97)-CROQUIS!$C$107)/MAX(CROQUIS!$C$137,1))+1)/80,1))),1))+1))-1,0))*(CROQUIS!$C$137*MAX(1,CEILING((INT(((CROQUIS!$C$97)-CROQUIS!$C$107)/MAX(CROQUIS!$C$137,1))+1)/80,1))))))*CROQUIS!$C$159)+IF(CROQUIS!$C$92="X",0,0)),-1000)</f>
        <v>-1000</v>
      </c>
      <c r="BR90">
        <f>IF(AND(CROQUIS!$C$88=1,CROQUIS!$C$91=0,CROQUIS!$C$133&gt;0,OR(CROQUIS!$C$103=1,CROQUIS!$C$145=1)),((CROQUIS!$C$160+(IF(CROQUIS!$C$92="X",CHOOSE(IF(INT(($A90-1)/5)&gt;MAX((MAX(1,INT(((CROQUIS!$C$98)-CROQUIS!$C$107)/MAX((CROQUIS!$C$133*MAX(1,CEILING((INT(((CROQUIS!$C$98)-CROQUIS!$C$107)/MAX(CROQUIS!$C$133,1))+1)/80,1))),1))+1))-1,0),0,MOD($A90-1,5))+1,0,IF(CROQUIS!$C$103=1,-12,2),CROQUIS!$C$107/2+CROQUIS!$C$143,IF(CROQUIS!$C$103=1,-12,2),0),((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BS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+1,0,IF(CROQUIS!$C$103=1,-12,2),CROQUIS!$C$107/2+CROQUIS!$C$143,IF(CROQUIS!$C$103=1,-12,2),0)))*CROQUIS!$C$159)+IF(CROQUIS!$C$92="X",0.8,0)),-1000)</f>
        <v>-1000</v>
      </c>
      <c r="BT90">
        <f>IF(AND(CROQUIS!$C$88=1,CROQUIS!$C$91=0,CROQUIS!$C$133&gt;0,OR(CROQUIS!$C$104=1,CROQUIS!$C$145=1)),((CROQUIS!$C$160+(IF(CROQUIS!$C$92="X",CHOOSE(IF(INT(($A90-1)/5)&gt;MAX((MAX(1,INT(((CROQUIS!$C$98)-CROQUIS!$C$107)/MAX((CROQUIS!$C$133*MAX(1,CEILING((INT(((CROQUIS!$C$98)-CROQUIS!$C$107)/MAX(CROQUIS!$C$133,1))+1)/80,1))),1))+1))-1,0),0,MOD($A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BU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CROQUIS!$C$97,CROQUIS!$C$97-CROQUIS!$C$107/2-CROQUIS!$C$143,IF(CROQUIS!$C$104=1,CROQUIS!$C$97+12,CROQUIS!$C$97-2),CROQUIS!$C$97-CROQUIS!$C$107/2-CROQUIS!$C$143,CROQUIS!$C$97)))*CROQUIS!$C$159)+IF(CROQUIS!$C$92="X",0.8,0)),-1000)</f>
        <v>-1000</v>
      </c>
      <c r="BV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HOOSE(IF(INT(($A90-1)/5)&gt;MAX((MAX(1,INT(((CROQUIS!$C$97)-CROQUIS!$C$107)/MAX((CROQUIS!$C$141*MAX(1,CEILING((INT(((CROQUIS!$C$97)-CROQUIS!$C$107)/MAX(CROQUIS!$C$141,1))+1)/80,1))),1))+1))-1,0),0,MOD($A90-1,5))+1,0,IF(CROQUIS!$C$105=1,-12,2),CROQUIS!$C$107/2+CROQUIS!$C$144,IF(CROQUIS!$C$105=1,-12,2),0)))*CROQUIS!$C$159)+IF(CROQUIS!$C$92="X",0.8,0)),-1000)</f>
        <v>-1000</v>
      </c>
      <c r="BW90">
        <f>IF(AND(CROQUIS!$C$88=1,CROQUIS!$C$91=0,CROQUIS!$C$141&gt;0,OR(CROQUIS!$C$105=1,CROQUIS!$C$146=1)),((CROQUIS!$C$161+(IF(CROQUIS!$C$92="X",CHOOSE(IF(INT(($A90-1)/5)&gt;MAX((MAX(1,INT(((CROQUIS!$C$97)-CROQUIS!$C$107)/MAX((CROQUIS!$C$141*MAX(1,CEILING((INT(((CROQUIS!$C$97)-CROQUIS!$C$107)/MAX(CROQUIS!$C$141,1))+1)/80,1))),1))+1))-1,0),0,MOD($A90-1,5))+1,0,IF(CROQUIS!$C$105=1,-12,2),CROQUIS!$C$107/2+CROQUIS!$C$144,IF(CROQUIS!$C$105=1,-12,2),0),((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ROQUIS!$C$159)+IF(CROQUIS!$C$92="X",0,0.8)),-1000)</f>
        <v>-1000</v>
      </c>
      <c r="BX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HOOSE(IF(INT(($A90-1)/5)&gt;MAX((MAX(1,INT(((CROQUIS!$C$97)-CROQUIS!$C$107)/MAX((CROQUIS!$C$141*MAX(1,CEILING((INT(((CROQUIS!$C$97)-CROQUIS!$C$107)/MAX(CROQUIS!$C$141,1))+1)/80,1))),1))+1))-1,0),0,MOD($A90-1,5))+1,CROQUIS!$C$98,CROQUIS!$C$98-CROQUIS!$C$107/2-CROQUIS!$C$144,IF(CROQUIS!$C$106=1,CROQUIS!$C$98+12,CROQUIS!$C$98-2),CROQUIS!$C$98-CROQUIS!$C$107/2-CROQUIS!$C$144,CROQUIS!$C$98)))*CROQUIS!$C$159)+IF(CROQUIS!$C$92="X",0.8,0)),-1000)</f>
        <v>-1000</v>
      </c>
      <c r="BY90">
        <f>IF(AND(CROQUIS!$C$88=1,CROQUIS!$C$91=0,CROQUIS!$C$141&gt;0,OR(CROQUIS!$C$106=1,CROQUIS!$C$146=1)),((CROQUIS!$C$161+(IF(CROQUIS!$C$92="X",CHOOSE(IF(INT(($A90-1)/5)&gt;MAX((MAX(1,INT(((CROQUIS!$C$97)-CROQUIS!$C$107)/MAX((CROQUIS!$C$141*MAX(1,CEILING((INT(((CROQUIS!$C$97)-CROQUIS!$C$107)/MAX(CROQUIS!$C$141,1))+1)/80,1))),1))+1))-1,0),0,MOD($A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ROQUIS!$C$159)+IF(CROQUIS!$C$92="X",0,0.8)),-1000)</f>
        <v>-1000</v>
      </c>
      <c r="BZ90">
        <f>IF(AND(CROQUIS!$C$88=1,CROQUIS!$C$91=1,CROQUIS!$C$133&gt;0),((CROQUIS!$C$160+(IF(CROQUIS!$C$92="X",CHOOSE(IF(INT(($A90-1)/5)&gt;MAX((MAX(1,INT(((CROQUIS!$C$98)-CROQUIS!$C$107)/MAX((CROQUIS!$C$133*MAX(1,CEILING((INT(((CROQUIS!$C$98)-CROQUIS!$C$107)/MAX(CROQUIS!$C$133,1))+1)/80,1))),1))+1))-1,0),0,MOD($A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CA90">
        <f>IF(AND(CROQUIS!$C$88=1,CROQUIS!$C$91=1,CROQUIS!$C$133&gt;0),((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1">
      <c r="A91" t="n">
        <v>84</v>
      </c>
      <c r="AJ91">
        <f>IF(AND(CROQUIS!$C$87=1,CROQUIS!$C$162&gt;0,CROQUIS!$C$164&gt;0),(CROQUIS!$C$160+((CROQUIS!$C$163+INT(MIN(INT(($A91-1)/2),MAX((2*CROQUIS!$C$162)-1,0))/2)*CROQUIS!$C$116+MOD(MIN(INT(($A91-1)/2),MAX((2*CROQUIS!$C$162)-1,0)),2)*CROQUIS!$C$114))*CROQUIS!$C$159),-1000)</f>
        <v>81.3375508359693</v>
      </c>
      <c r="AK91">
        <f>IF(AND(CROQUIS!$C$87=1,CROQUIS!$C$162&gt;0,CROQUIS!$C$164&gt;0),(CROQUIS!$C$161+(IF(MOD(MIN(INT(($A91-1)/2),MAX((2*CROQUIS!$C$162)-1,0)),2)=0,IF(IF(INT(($A91-1)/2)&gt;MAX((2*CROQUIS!$C$162)-1,0),1,MOD($A91-1,2))=0,CROQUIS!$C$165,(CROQUIS!$C$165+(CROQUIS!$C$164-1)*CROQUIS!$C$116+CROQUIS!$C$115)),IF(IF(INT(($A91-1)/2)&gt;MAX((2*CROQUIS!$C$162)-1,0),1,MOD($A91-1,2))=0,(CROQUIS!$C$165+(CROQUIS!$C$164-1)*CROQUIS!$C$116+CROQUIS!$C$115),CROQUIS!$C$165)))*CROQUIS!$C$159),-1000)</f>
        <v>20.8088567555355</v>
      </c>
      <c r="AL91">
        <f>IF(AND(CROQUIS!$C$87=1,CROQUIS!$C$164&gt;0,CROQUIS!$C$162&gt;0),(CROQUIS!$C$160+(IF(MOD(MIN(INT(($A91-1)/2),MAX((2*CROQUIS!$C$164)-1,0)),2)=0,IF(IF(INT(($A91-1)/2)&gt;MAX((2*CROQUIS!$C$164)-1,0),1,MOD($A91-1,2))=0,CROQUIS!$C$163,(CROQUIS!$C$163+(CROQUIS!$C$162-1)*CROQUIS!$C$116+CROQUIS!$C$114)),IF(IF(INT(($A91-1)/2)&gt;MAX((2*CROQUIS!$C$164)-1,0),1,MOD($A91-1,2))=0,(CROQUIS!$C$163+(CROQUIS!$C$162-1)*CROQUIS!$C$116+CROQUIS!$C$114),CROQUIS!$C$163)))*CROQUIS!$C$159),-1000)</f>
        <v>22.9552643470402</v>
      </c>
      <c r="AM91">
        <f>IF(AND(CROQUIS!$C$87=1,CROQUIS!$C$164&gt;0,CROQUIS!$C$162&gt;0),(CROQUIS!$C$161+((CROQUIS!$C$165+INT(MIN(INT(($A91-1)/2),MAX((2*CROQUIS!$C$164)-1,0))/2)*CROQUIS!$C$116+MOD(MIN(INT(($A91-1)/2),MAX((2*CROQUIS!$C$164)-1,0)),2)*CROQUIS!$C$115))*CROQUIS!$C$159),-1000)</f>
        <v>79.1911432444645</v>
      </c>
      <c r="BN91">
        <f>IF(AND(CROQUIS!$C$88=1,CROQUIS!$C$129&gt;0),((CROQUIS!$C$160+(IF(CROQUIS!$C$92="X",CHOOSE(IF(INT(($A91-1)/5)&gt;MAX((MAX(1,INT(((CROQUIS!$C$98)-CROQUIS!$C$107)/MAX((CROQUIS!$C$129*MAX(1,CEILING((INT(((CROQUIS!$C$98)-CROQUIS!$C$107)/MAX(CROQUIS!$C$129,1))+1)/80,1))),1))+1))-1,0),0,MOD($A91-1,5))+1,0,2,CROQUIS!$C$97-2,2,0),((CROQUIS!$C$107/2+(((CROQUIS!$C$98)-CROQUIS!$C$107)-(MAX(1,INT(((CROQUIS!$C$98)-CROQUIS!$C$107)/MAX((CROQUIS!$C$129*MAX(1,CEILING((INT(((CROQUIS!$C$98)-CROQUIS!$C$107)/MAX(CROQUIS!$C$129,1))+1)/80,1))),1))+1)-1)*(CROQUIS!$C$129*MAX(1,CEILING((INT(((CROQUIS!$C$98)-CROQUIS!$C$107)/MAX(CROQUIS!$C$129,1))+1)/80,1))))/2)+MIN(INT(($A91-1)/5),MAX((MAX(1,INT(((CROQUIS!$C$98)-CROQUIS!$C$107)/MAX((CROQUIS!$C$129*MAX(1,CEILING((INT(((CROQUIS!$C$98)-CROQUIS!$C$107)/MAX(CROQUIS!$C$129,1))+1)/80,1))),1))+1))-1,0))*(CROQUIS!$C$129*MAX(1,CEILING((INT(((CROQUIS!$C$98)-CROQUIS!$C$107)/MAX(CROQUIS!$C$129,1))+1)/80,1))))))*CROQUIS!$C$159)+IF(CROQUIS!$C$92="X",0,0)),-1000)</f>
        <v>-1000</v>
      </c>
      <c r="BO91">
        <f>IF(AND(CROQUIS!$C$88=1,CROQUIS!$C$129&gt;0),((CROQUIS!$C$161+(IF(CROQUIS!$C$92="X",((CROQUIS!$C$107/2+(((CROQUIS!$C$98)-CROQUIS!$C$107)-(MAX(1,INT(((CROQUIS!$C$98)-CROQUIS!$C$107)/MAX((CROQUIS!$C$129*MAX(1,CEILING((INT(((CROQUIS!$C$98)-CROQUIS!$C$107)/MAX(CROQUIS!$C$129,1))+1)/80,1))),1))+1)-1)*(CROQUIS!$C$129*MAX(1,CEILING((INT(((CROQUIS!$C$98)-CROQUIS!$C$107)/MAX(CROQUIS!$C$129,1))+1)/80,1))))/2)+MIN(INT(($A91-1)/5),MAX((MAX(1,INT(((CROQUIS!$C$98)-CROQUIS!$C$107)/MAX((CROQUIS!$C$129*MAX(1,CEILING((INT(((CROQUIS!$C$98)-CROQUIS!$C$107)/MAX(CROQUIS!$C$129,1))+1)/80,1))),1))+1))-1,0))*(CROQUIS!$C$129*MAX(1,CEILING((INT(((CROQUIS!$C$98)-CROQUIS!$C$107)/MAX(CROQUIS!$C$129,1))+1)/80,1)))),CHOOSE(IF(INT(($A91-1)/5)&gt;MAX((MAX(1,INT(((CROQUIS!$C$98)-CROQUIS!$C$107)/MAX((CROQUIS!$C$129*MAX(1,CEILING((INT(((CROQUIS!$C$98)-CROQUIS!$C$107)/MAX(CROQUIS!$C$129,1))+1)/80,1))),1))+1))-1,0),0,MOD($A91-1,5))+1,0,2,CROQUIS!$C$97-2,2,0)))*CROQUIS!$C$159)+IF(CROQUIS!$C$92="X",0,0)),-1000)</f>
        <v>-1000</v>
      </c>
      <c r="BP91">
        <f>IF(AND(CROQUIS!$C$88=1,CROQUIS!$C$137&gt;0),((CROQUIS!$C$160+(IF(CROQUIS!$C$92="X",((CROQUIS!$C$107/2+(((CROQUIS!$C$97)-CROQUIS!$C$107)-(MAX(1,INT(((CROQUIS!$C$97)-CROQUIS!$C$107)/MAX((CROQUIS!$C$137*MAX(1,CEILING((INT(((CROQUIS!$C$97)-CROQUIS!$C$107)/MAX(CROQUIS!$C$137,1))+1)/80,1))),1))+1)-1)*(CROQUIS!$C$137*MAX(1,CEILING((INT(((CROQUIS!$C$97)-CROQUIS!$C$107)/MAX(CROQUIS!$C$137,1))+1)/80,1))))/2)+MIN(INT(($A91-1)/5),MAX((MAX(1,INT(((CROQUIS!$C$97)-CROQUIS!$C$107)/MAX((CROQUIS!$C$137*MAX(1,CEILING((INT(((CROQUIS!$C$97)-CROQUIS!$C$107)/MAX(CROQUIS!$C$137,1))+1)/80,1))),1))+1))-1,0))*(CROQUIS!$C$137*MAX(1,CEILING((INT(((CROQUIS!$C$97)-CROQUIS!$C$107)/MAX(CROQUIS!$C$137,1))+1)/80,1)))),CHOOSE(IF(INT(($A91-1)/5)&gt;MAX((MAX(1,INT(((CROQUIS!$C$97)-CROQUIS!$C$107)/MAX((CROQUIS!$C$137*MAX(1,CEILING((INT(((CROQUIS!$C$97)-CROQUIS!$C$107)/MAX(CROQUIS!$C$137,1))+1)/80,1))),1))+1))-1,0),0,MOD($A91-1,5))+1,0,2,CROQUIS!$C$98-2,2,0)))*CROQUIS!$C$159)+IF(CROQUIS!$C$92="X",0,0)),-1000)</f>
        <v>-1000</v>
      </c>
      <c r="BQ91">
        <f>IF(AND(CROQUIS!$C$88=1,CROQUIS!$C$137&gt;0),((CROQUIS!$C$161+(IF(CROQUIS!$C$92="X",CHOOSE(IF(INT(($A91-1)/5)&gt;MAX((MAX(1,INT(((CROQUIS!$C$97)-CROQUIS!$C$107)/MAX((CROQUIS!$C$137*MAX(1,CEILING((INT(((CROQUIS!$C$97)-CROQUIS!$C$107)/MAX(CROQUIS!$C$137,1))+1)/80,1))),1))+1))-1,0),0,MOD($A91-1,5))+1,0,2,CROQUIS!$C$98-2,2,0),((CROQUIS!$C$107/2+(((CROQUIS!$C$97)-CROQUIS!$C$107)-(MAX(1,INT(((CROQUIS!$C$97)-CROQUIS!$C$107)/MAX((CROQUIS!$C$137*MAX(1,CEILING((INT(((CROQUIS!$C$97)-CROQUIS!$C$107)/MAX(CROQUIS!$C$137,1))+1)/80,1))),1))+1)-1)*(CROQUIS!$C$137*MAX(1,CEILING((INT(((CROQUIS!$C$97)-CROQUIS!$C$107)/MAX(CROQUIS!$C$137,1))+1)/80,1))))/2)+MIN(INT(($A91-1)/5),MAX((MAX(1,INT(((CROQUIS!$C$97)-CROQUIS!$C$107)/MAX((CROQUIS!$C$137*MAX(1,CEILING((INT(((CROQUIS!$C$97)-CROQUIS!$C$107)/MAX(CROQUIS!$C$137,1))+1)/80,1))),1))+1))-1,0))*(CROQUIS!$C$137*MAX(1,CEILING((INT(((CROQUIS!$C$97)-CROQUIS!$C$107)/MAX(CROQUIS!$C$137,1))+1)/80,1))))))*CROQUIS!$C$159)+IF(CROQUIS!$C$92="X",0,0)),-1000)</f>
        <v>-1000</v>
      </c>
      <c r="BR91">
        <f>IF(AND(CROQUIS!$C$88=1,CROQUIS!$C$91=0,CROQUIS!$C$133&gt;0,OR(CROQUIS!$C$103=1,CROQUIS!$C$145=1)),((CROQUIS!$C$160+(IF(CROQUIS!$C$92="X",CHOOSE(IF(INT(($A91-1)/5)&gt;MAX((MAX(1,INT(((CROQUIS!$C$98)-CROQUIS!$C$107)/MAX((CROQUIS!$C$133*MAX(1,CEILING((INT(((CROQUIS!$C$98)-CROQUIS!$C$107)/MAX(CROQUIS!$C$133,1))+1)/80,1))),1))+1))-1,0),0,MOD($A91-1,5))+1,0,IF(CROQUIS!$C$103=1,-12,2),CROQUIS!$C$107/2+CROQUIS!$C$143,IF(CROQUIS!$C$103=1,-12,2),0),((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BS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+1,0,IF(CROQUIS!$C$103=1,-12,2),CROQUIS!$C$107/2+CROQUIS!$C$143,IF(CROQUIS!$C$103=1,-12,2),0)))*CROQUIS!$C$159)+IF(CROQUIS!$C$92="X",0.8,0)),-1000)</f>
        <v>-1000</v>
      </c>
      <c r="BT91">
        <f>IF(AND(CROQUIS!$C$88=1,CROQUIS!$C$91=0,CROQUIS!$C$133&gt;0,OR(CROQUIS!$C$104=1,CROQUIS!$C$145=1)),((CROQUIS!$C$160+(IF(CROQUIS!$C$92="X",CHOOSE(IF(INT(($A91-1)/5)&gt;MAX((MAX(1,INT(((CROQUIS!$C$98)-CROQUIS!$C$107)/MAX((CROQUIS!$C$133*MAX(1,CEILING((INT(((CROQUIS!$C$98)-CROQUIS!$C$107)/MAX(CROQUIS!$C$133,1))+1)/80,1))),1))+1))-1,0),0,MOD($A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BU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CROQUIS!$C$97,CROQUIS!$C$97-CROQUIS!$C$107/2-CROQUIS!$C$143,IF(CROQUIS!$C$104=1,CROQUIS!$C$97+12,CROQUIS!$C$97-2),CROQUIS!$C$97-CROQUIS!$C$107/2-CROQUIS!$C$143,CROQUIS!$C$97)))*CROQUIS!$C$159)+IF(CROQUIS!$C$92="X",0.8,0)),-1000)</f>
        <v>-1000</v>
      </c>
      <c r="BV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HOOSE(IF(INT(($A91-1)/5)&gt;MAX((MAX(1,INT(((CROQUIS!$C$97)-CROQUIS!$C$107)/MAX((CROQUIS!$C$141*MAX(1,CEILING((INT(((CROQUIS!$C$97)-CROQUIS!$C$107)/MAX(CROQUIS!$C$141,1))+1)/80,1))),1))+1))-1,0),0,MOD($A91-1,5))+1,0,IF(CROQUIS!$C$105=1,-12,2),CROQUIS!$C$107/2+CROQUIS!$C$144,IF(CROQUIS!$C$105=1,-12,2),0)))*CROQUIS!$C$159)+IF(CROQUIS!$C$92="X",0.8,0)),-1000)</f>
        <v>-1000</v>
      </c>
      <c r="BW91">
        <f>IF(AND(CROQUIS!$C$88=1,CROQUIS!$C$91=0,CROQUIS!$C$141&gt;0,OR(CROQUIS!$C$105=1,CROQUIS!$C$146=1)),((CROQUIS!$C$161+(IF(CROQUIS!$C$92="X",CHOOSE(IF(INT(($A91-1)/5)&gt;MAX((MAX(1,INT(((CROQUIS!$C$97)-CROQUIS!$C$107)/MAX((CROQUIS!$C$141*MAX(1,CEILING((INT(((CROQUIS!$C$97)-CROQUIS!$C$107)/MAX(CROQUIS!$C$141,1))+1)/80,1))),1))+1))-1,0),0,MOD($A91-1,5))+1,0,IF(CROQUIS!$C$105=1,-12,2),CROQUIS!$C$107/2+CROQUIS!$C$144,IF(CROQUIS!$C$105=1,-12,2),0),((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ROQUIS!$C$159)+IF(CROQUIS!$C$92="X",0,0.8)),-1000)</f>
        <v>-1000</v>
      </c>
      <c r="BX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HOOSE(IF(INT(($A91-1)/5)&gt;MAX((MAX(1,INT(((CROQUIS!$C$97)-CROQUIS!$C$107)/MAX((CROQUIS!$C$141*MAX(1,CEILING((INT(((CROQUIS!$C$97)-CROQUIS!$C$107)/MAX(CROQUIS!$C$141,1))+1)/80,1))),1))+1))-1,0),0,MOD($A91-1,5))+1,CROQUIS!$C$98,CROQUIS!$C$98-CROQUIS!$C$107/2-CROQUIS!$C$144,IF(CROQUIS!$C$106=1,CROQUIS!$C$98+12,CROQUIS!$C$98-2),CROQUIS!$C$98-CROQUIS!$C$107/2-CROQUIS!$C$144,CROQUIS!$C$98)))*CROQUIS!$C$159)+IF(CROQUIS!$C$92="X",0.8,0)),-1000)</f>
        <v>-1000</v>
      </c>
      <c r="BY91">
        <f>IF(AND(CROQUIS!$C$88=1,CROQUIS!$C$91=0,CROQUIS!$C$141&gt;0,OR(CROQUIS!$C$106=1,CROQUIS!$C$146=1)),((CROQUIS!$C$161+(IF(CROQUIS!$C$92="X",CHOOSE(IF(INT(($A91-1)/5)&gt;MAX((MAX(1,INT(((CROQUIS!$C$97)-CROQUIS!$C$107)/MAX((CROQUIS!$C$141*MAX(1,CEILING((INT(((CROQUIS!$C$97)-CROQUIS!$C$107)/MAX(CROQUIS!$C$141,1))+1)/80,1))),1))+1))-1,0),0,MOD($A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ROQUIS!$C$159)+IF(CROQUIS!$C$92="X",0,0.8)),-1000)</f>
        <v>-1000</v>
      </c>
      <c r="BZ91">
        <f>IF(AND(CROQUIS!$C$88=1,CROQUIS!$C$91=1,CROQUIS!$C$133&gt;0),((CROQUIS!$C$160+(IF(CROQUIS!$C$92="X",CHOOSE(IF(INT(($A91-1)/5)&gt;MAX((MAX(1,INT(((CROQUIS!$C$98)-CROQUIS!$C$107)/MAX((CROQUIS!$C$133*MAX(1,CEILING((INT(((CROQUIS!$C$98)-CROQUIS!$C$107)/MAX(CROQUIS!$C$133,1))+1)/80,1))),1))+1))-1,0),0,MOD($A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CA91">
        <f>IF(AND(CROQUIS!$C$88=1,CROQUIS!$C$91=1,CROQUIS!$C$133&gt;0),((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2">
      <c r="A92" t="n">
        <v>85</v>
      </c>
      <c r="AJ92">
        <f>IF(AND(CROQUIS!$C$87=1,CROQUIS!$C$162&gt;0,CROQUIS!$C$164&gt;0),(CROQUIS!$C$160+((CROQUIS!$C$163+INT(MIN(INT(($A92-1)/2),MAX((2*CROQUIS!$C$162)-1,0))/2)*CROQUIS!$C$116+MOD(MIN(INT(($A92-1)/2),MAX((2*CROQUIS!$C$162)-1,0)),2)*CROQUIS!$C$114))*CROQUIS!$C$159),-1000)</f>
        <v>81.3375508359693</v>
      </c>
      <c r="AK92">
        <f>IF(AND(CROQUIS!$C$87=1,CROQUIS!$C$162&gt;0,CROQUIS!$C$164&gt;0),(CROQUIS!$C$161+(IF(MOD(MIN(INT(($A92-1)/2),MAX((2*CROQUIS!$C$162)-1,0)),2)=0,IF(IF(INT(($A92-1)/2)&gt;MAX((2*CROQUIS!$C$162)-1,0),1,MOD($A92-1,2))=0,CROQUIS!$C$165,(CROQUIS!$C$165+(CROQUIS!$C$164-1)*CROQUIS!$C$116+CROQUIS!$C$115)),IF(IF(INT(($A92-1)/2)&gt;MAX((2*CROQUIS!$C$162)-1,0),1,MOD($A92-1,2))=0,(CROQUIS!$C$165+(CROQUIS!$C$164-1)*CROQUIS!$C$116+CROQUIS!$C$115),CROQUIS!$C$165)))*CROQUIS!$C$159),-1000)</f>
        <v>20.8088567555355</v>
      </c>
      <c r="AL92">
        <f>IF(AND(CROQUIS!$C$87=1,CROQUIS!$C$164&gt;0,CROQUIS!$C$162&gt;0),(CROQUIS!$C$160+(IF(MOD(MIN(INT(($A92-1)/2),MAX((2*CROQUIS!$C$164)-1,0)),2)=0,IF(IF(INT(($A92-1)/2)&gt;MAX((2*CROQUIS!$C$164)-1,0),1,MOD($A92-1,2))=0,CROQUIS!$C$163,(CROQUIS!$C$163+(CROQUIS!$C$162-1)*CROQUIS!$C$116+CROQUIS!$C$114)),IF(IF(INT(($A92-1)/2)&gt;MAX((2*CROQUIS!$C$164)-1,0),1,MOD($A92-1,2))=0,(CROQUIS!$C$163+(CROQUIS!$C$162-1)*CROQUIS!$C$116+CROQUIS!$C$114),CROQUIS!$C$163)))*CROQUIS!$C$159),-1000)</f>
        <v>22.9552643470402</v>
      </c>
      <c r="AM92">
        <f>IF(AND(CROQUIS!$C$87=1,CROQUIS!$C$164&gt;0,CROQUIS!$C$162&gt;0),(CROQUIS!$C$161+((CROQUIS!$C$165+INT(MIN(INT(($A92-1)/2),MAX((2*CROQUIS!$C$164)-1,0))/2)*CROQUIS!$C$116+MOD(MIN(INT(($A92-1)/2),MAX((2*CROQUIS!$C$164)-1,0)),2)*CROQUIS!$C$115))*CROQUIS!$C$159),-1000)</f>
        <v>79.1911432444645</v>
      </c>
      <c r="BN92">
        <f>IF(AND(CROQUIS!$C$88=1,CROQUIS!$C$129&gt;0),((CROQUIS!$C$160+(IF(CROQUIS!$C$92="X",CHOOSE(IF(INT(($A92-1)/5)&gt;MAX((MAX(1,INT(((CROQUIS!$C$98)-CROQUIS!$C$107)/MAX((CROQUIS!$C$129*MAX(1,CEILING((INT(((CROQUIS!$C$98)-CROQUIS!$C$107)/MAX(CROQUIS!$C$129,1))+1)/80,1))),1))+1))-1,0),0,MOD($A92-1,5))+1,0,2,CROQUIS!$C$97-2,2,0),((CROQUIS!$C$107/2+(((CROQUIS!$C$98)-CROQUIS!$C$107)-(MAX(1,INT(((CROQUIS!$C$98)-CROQUIS!$C$107)/MAX((CROQUIS!$C$129*MAX(1,CEILING((INT(((CROQUIS!$C$98)-CROQUIS!$C$107)/MAX(CROQUIS!$C$129,1))+1)/80,1))),1))+1)-1)*(CROQUIS!$C$129*MAX(1,CEILING((INT(((CROQUIS!$C$98)-CROQUIS!$C$107)/MAX(CROQUIS!$C$129,1))+1)/80,1))))/2)+MIN(INT(($A92-1)/5),MAX((MAX(1,INT(((CROQUIS!$C$98)-CROQUIS!$C$107)/MAX((CROQUIS!$C$129*MAX(1,CEILING((INT(((CROQUIS!$C$98)-CROQUIS!$C$107)/MAX(CROQUIS!$C$129,1))+1)/80,1))),1))+1))-1,0))*(CROQUIS!$C$129*MAX(1,CEILING((INT(((CROQUIS!$C$98)-CROQUIS!$C$107)/MAX(CROQUIS!$C$129,1))+1)/80,1))))))*CROQUIS!$C$159)+IF(CROQUIS!$C$92="X",0,0)),-1000)</f>
        <v>-1000</v>
      </c>
      <c r="BO92">
        <f>IF(AND(CROQUIS!$C$88=1,CROQUIS!$C$129&gt;0),((CROQUIS!$C$161+(IF(CROQUIS!$C$92="X",((CROQUIS!$C$107/2+(((CROQUIS!$C$98)-CROQUIS!$C$107)-(MAX(1,INT(((CROQUIS!$C$98)-CROQUIS!$C$107)/MAX((CROQUIS!$C$129*MAX(1,CEILING((INT(((CROQUIS!$C$98)-CROQUIS!$C$107)/MAX(CROQUIS!$C$129,1))+1)/80,1))),1))+1)-1)*(CROQUIS!$C$129*MAX(1,CEILING((INT(((CROQUIS!$C$98)-CROQUIS!$C$107)/MAX(CROQUIS!$C$129,1))+1)/80,1))))/2)+MIN(INT(($A92-1)/5),MAX((MAX(1,INT(((CROQUIS!$C$98)-CROQUIS!$C$107)/MAX((CROQUIS!$C$129*MAX(1,CEILING((INT(((CROQUIS!$C$98)-CROQUIS!$C$107)/MAX(CROQUIS!$C$129,1))+1)/80,1))),1))+1))-1,0))*(CROQUIS!$C$129*MAX(1,CEILING((INT(((CROQUIS!$C$98)-CROQUIS!$C$107)/MAX(CROQUIS!$C$129,1))+1)/80,1)))),CHOOSE(IF(INT(($A92-1)/5)&gt;MAX((MAX(1,INT(((CROQUIS!$C$98)-CROQUIS!$C$107)/MAX((CROQUIS!$C$129*MAX(1,CEILING((INT(((CROQUIS!$C$98)-CROQUIS!$C$107)/MAX(CROQUIS!$C$129,1))+1)/80,1))),1))+1))-1,0),0,MOD($A92-1,5))+1,0,2,CROQUIS!$C$97-2,2,0)))*CROQUIS!$C$159)+IF(CROQUIS!$C$92="X",0,0)),-1000)</f>
        <v>-1000</v>
      </c>
      <c r="BP92">
        <f>IF(AND(CROQUIS!$C$88=1,CROQUIS!$C$137&gt;0),((CROQUIS!$C$160+(IF(CROQUIS!$C$92="X",((CROQUIS!$C$107/2+(((CROQUIS!$C$97)-CROQUIS!$C$107)-(MAX(1,INT(((CROQUIS!$C$97)-CROQUIS!$C$107)/MAX((CROQUIS!$C$137*MAX(1,CEILING((INT(((CROQUIS!$C$97)-CROQUIS!$C$107)/MAX(CROQUIS!$C$137,1))+1)/80,1))),1))+1)-1)*(CROQUIS!$C$137*MAX(1,CEILING((INT(((CROQUIS!$C$97)-CROQUIS!$C$107)/MAX(CROQUIS!$C$137,1))+1)/80,1))))/2)+MIN(INT(($A92-1)/5),MAX((MAX(1,INT(((CROQUIS!$C$97)-CROQUIS!$C$107)/MAX((CROQUIS!$C$137*MAX(1,CEILING((INT(((CROQUIS!$C$97)-CROQUIS!$C$107)/MAX(CROQUIS!$C$137,1))+1)/80,1))),1))+1))-1,0))*(CROQUIS!$C$137*MAX(1,CEILING((INT(((CROQUIS!$C$97)-CROQUIS!$C$107)/MAX(CROQUIS!$C$137,1))+1)/80,1)))),CHOOSE(IF(INT(($A92-1)/5)&gt;MAX((MAX(1,INT(((CROQUIS!$C$97)-CROQUIS!$C$107)/MAX((CROQUIS!$C$137*MAX(1,CEILING((INT(((CROQUIS!$C$97)-CROQUIS!$C$107)/MAX(CROQUIS!$C$137,1))+1)/80,1))),1))+1))-1,0),0,MOD($A92-1,5))+1,0,2,CROQUIS!$C$98-2,2,0)))*CROQUIS!$C$159)+IF(CROQUIS!$C$92="X",0,0)),-1000)</f>
        <v>-1000</v>
      </c>
      <c r="BQ92">
        <f>IF(AND(CROQUIS!$C$88=1,CROQUIS!$C$137&gt;0),((CROQUIS!$C$161+(IF(CROQUIS!$C$92="X",CHOOSE(IF(INT(($A92-1)/5)&gt;MAX((MAX(1,INT(((CROQUIS!$C$97)-CROQUIS!$C$107)/MAX((CROQUIS!$C$137*MAX(1,CEILING((INT(((CROQUIS!$C$97)-CROQUIS!$C$107)/MAX(CROQUIS!$C$137,1))+1)/80,1))),1))+1))-1,0),0,MOD($A92-1,5))+1,0,2,CROQUIS!$C$98-2,2,0),((CROQUIS!$C$107/2+(((CROQUIS!$C$97)-CROQUIS!$C$107)-(MAX(1,INT(((CROQUIS!$C$97)-CROQUIS!$C$107)/MAX((CROQUIS!$C$137*MAX(1,CEILING((INT(((CROQUIS!$C$97)-CROQUIS!$C$107)/MAX(CROQUIS!$C$137,1))+1)/80,1))),1))+1)-1)*(CROQUIS!$C$137*MAX(1,CEILING((INT(((CROQUIS!$C$97)-CROQUIS!$C$107)/MAX(CROQUIS!$C$137,1))+1)/80,1))))/2)+MIN(INT(($A92-1)/5),MAX((MAX(1,INT(((CROQUIS!$C$97)-CROQUIS!$C$107)/MAX((CROQUIS!$C$137*MAX(1,CEILING((INT(((CROQUIS!$C$97)-CROQUIS!$C$107)/MAX(CROQUIS!$C$137,1))+1)/80,1))),1))+1))-1,0))*(CROQUIS!$C$137*MAX(1,CEILING((INT(((CROQUIS!$C$97)-CROQUIS!$C$107)/MAX(CROQUIS!$C$137,1))+1)/80,1))))))*CROQUIS!$C$159)+IF(CROQUIS!$C$92="X",0,0)),-1000)</f>
        <v>-1000</v>
      </c>
      <c r="BR92">
        <f>IF(AND(CROQUIS!$C$88=1,CROQUIS!$C$91=0,CROQUIS!$C$133&gt;0,OR(CROQUIS!$C$103=1,CROQUIS!$C$145=1)),((CROQUIS!$C$160+(IF(CROQUIS!$C$92="X",CHOOSE(IF(INT(($A92-1)/5)&gt;MAX((MAX(1,INT(((CROQUIS!$C$98)-CROQUIS!$C$107)/MAX((CROQUIS!$C$133*MAX(1,CEILING((INT(((CROQUIS!$C$98)-CROQUIS!$C$107)/MAX(CROQUIS!$C$133,1))+1)/80,1))),1))+1))-1,0),0,MOD($A92-1,5))+1,0,IF(CROQUIS!$C$103=1,-12,2),CROQUIS!$C$107/2+CROQUIS!$C$143,IF(CROQUIS!$C$103=1,-12,2),0),((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BS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+1,0,IF(CROQUIS!$C$103=1,-12,2),CROQUIS!$C$107/2+CROQUIS!$C$143,IF(CROQUIS!$C$103=1,-12,2),0)))*CROQUIS!$C$159)+IF(CROQUIS!$C$92="X",0.8,0)),-1000)</f>
        <v>-1000</v>
      </c>
      <c r="BT92">
        <f>IF(AND(CROQUIS!$C$88=1,CROQUIS!$C$91=0,CROQUIS!$C$133&gt;0,OR(CROQUIS!$C$104=1,CROQUIS!$C$145=1)),((CROQUIS!$C$160+(IF(CROQUIS!$C$92="X",CHOOSE(IF(INT(($A92-1)/5)&gt;MAX((MAX(1,INT(((CROQUIS!$C$98)-CROQUIS!$C$107)/MAX((CROQUIS!$C$133*MAX(1,CEILING((INT(((CROQUIS!$C$98)-CROQUIS!$C$107)/MAX(CROQUIS!$C$133,1))+1)/80,1))),1))+1))-1,0),0,MOD($A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BU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CROQUIS!$C$97,CROQUIS!$C$97-CROQUIS!$C$107/2-CROQUIS!$C$143,IF(CROQUIS!$C$104=1,CROQUIS!$C$97+12,CROQUIS!$C$97-2),CROQUIS!$C$97-CROQUIS!$C$107/2-CROQUIS!$C$143,CROQUIS!$C$97)))*CROQUIS!$C$159)+IF(CROQUIS!$C$92="X",0.8,0)),-1000)</f>
        <v>-1000</v>
      </c>
      <c r="BV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HOOSE(IF(INT(($A92-1)/5)&gt;MAX((MAX(1,INT(((CROQUIS!$C$97)-CROQUIS!$C$107)/MAX((CROQUIS!$C$141*MAX(1,CEILING((INT(((CROQUIS!$C$97)-CROQUIS!$C$107)/MAX(CROQUIS!$C$141,1))+1)/80,1))),1))+1))-1,0),0,MOD($A92-1,5))+1,0,IF(CROQUIS!$C$105=1,-12,2),CROQUIS!$C$107/2+CROQUIS!$C$144,IF(CROQUIS!$C$105=1,-12,2),0)))*CROQUIS!$C$159)+IF(CROQUIS!$C$92="X",0.8,0)),-1000)</f>
        <v>-1000</v>
      </c>
      <c r="BW92">
        <f>IF(AND(CROQUIS!$C$88=1,CROQUIS!$C$91=0,CROQUIS!$C$141&gt;0,OR(CROQUIS!$C$105=1,CROQUIS!$C$146=1)),((CROQUIS!$C$161+(IF(CROQUIS!$C$92="X",CHOOSE(IF(INT(($A92-1)/5)&gt;MAX((MAX(1,INT(((CROQUIS!$C$97)-CROQUIS!$C$107)/MAX((CROQUIS!$C$141*MAX(1,CEILING((INT(((CROQUIS!$C$97)-CROQUIS!$C$107)/MAX(CROQUIS!$C$141,1))+1)/80,1))),1))+1))-1,0),0,MOD($A92-1,5))+1,0,IF(CROQUIS!$C$105=1,-12,2),CROQUIS!$C$107/2+CROQUIS!$C$144,IF(CROQUIS!$C$105=1,-12,2),0),((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ROQUIS!$C$159)+IF(CROQUIS!$C$92="X",0,0.8)),-1000)</f>
        <v>-1000</v>
      </c>
      <c r="BX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HOOSE(IF(INT(($A92-1)/5)&gt;MAX((MAX(1,INT(((CROQUIS!$C$97)-CROQUIS!$C$107)/MAX((CROQUIS!$C$141*MAX(1,CEILING((INT(((CROQUIS!$C$97)-CROQUIS!$C$107)/MAX(CROQUIS!$C$141,1))+1)/80,1))),1))+1))-1,0),0,MOD($A92-1,5))+1,CROQUIS!$C$98,CROQUIS!$C$98-CROQUIS!$C$107/2-CROQUIS!$C$144,IF(CROQUIS!$C$106=1,CROQUIS!$C$98+12,CROQUIS!$C$98-2),CROQUIS!$C$98-CROQUIS!$C$107/2-CROQUIS!$C$144,CROQUIS!$C$98)))*CROQUIS!$C$159)+IF(CROQUIS!$C$92="X",0.8,0)),-1000)</f>
        <v>-1000</v>
      </c>
      <c r="BY92">
        <f>IF(AND(CROQUIS!$C$88=1,CROQUIS!$C$91=0,CROQUIS!$C$141&gt;0,OR(CROQUIS!$C$106=1,CROQUIS!$C$146=1)),((CROQUIS!$C$161+(IF(CROQUIS!$C$92="X",CHOOSE(IF(INT(($A92-1)/5)&gt;MAX((MAX(1,INT(((CROQUIS!$C$97)-CROQUIS!$C$107)/MAX((CROQUIS!$C$141*MAX(1,CEILING((INT(((CROQUIS!$C$97)-CROQUIS!$C$107)/MAX(CROQUIS!$C$141,1))+1)/80,1))),1))+1))-1,0),0,MOD($A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ROQUIS!$C$159)+IF(CROQUIS!$C$92="X",0,0.8)),-1000)</f>
        <v>-1000</v>
      </c>
      <c r="BZ92">
        <f>IF(AND(CROQUIS!$C$88=1,CROQUIS!$C$91=1,CROQUIS!$C$133&gt;0),((CROQUIS!$C$160+(IF(CROQUIS!$C$92="X",CHOOSE(IF(INT(($A92-1)/5)&gt;MAX((MAX(1,INT(((CROQUIS!$C$98)-CROQUIS!$C$107)/MAX((CROQUIS!$C$133*MAX(1,CEILING((INT(((CROQUIS!$C$98)-CROQUIS!$C$107)/MAX(CROQUIS!$C$133,1))+1)/80,1))),1))+1))-1,0),0,MOD($A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CA92">
        <f>IF(AND(CROQUIS!$C$88=1,CROQUIS!$C$91=1,CROQUIS!$C$133&gt;0),((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3">
      <c r="A93" t="n">
        <v>86</v>
      </c>
      <c r="AJ93">
        <f>IF(AND(CROQUIS!$C$87=1,CROQUIS!$C$162&gt;0,CROQUIS!$C$164&gt;0),(CROQUIS!$C$160+((CROQUIS!$C$163+INT(MIN(INT(($A93-1)/2),MAX((2*CROQUIS!$C$162)-1,0))/2)*CROQUIS!$C$116+MOD(MIN(INT(($A93-1)/2),MAX((2*CROQUIS!$C$162)-1,0)),2)*CROQUIS!$C$114))*CROQUIS!$C$159),-1000)</f>
        <v>81.3375508359693</v>
      </c>
      <c r="AK93">
        <f>IF(AND(CROQUIS!$C$87=1,CROQUIS!$C$162&gt;0,CROQUIS!$C$164&gt;0),(CROQUIS!$C$161+(IF(MOD(MIN(INT(($A93-1)/2),MAX((2*CROQUIS!$C$162)-1,0)),2)=0,IF(IF(INT(($A93-1)/2)&gt;MAX((2*CROQUIS!$C$162)-1,0),1,MOD($A93-1,2))=0,CROQUIS!$C$165,(CROQUIS!$C$165+(CROQUIS!$C$164-1)*CROQUIS!$C$116+CROQUIS!$C$115)),IF(IF(INT(($A93-1)/2)&gt;MAX((2*CROQUIS!$C$162)-1,0),1,MOD($A93-1,2))=0,(CROQUIS!$C$165+(CROQUIS!$C$164-1)*CROQUIS!$C$116+CROQUIS!$C$115),CROQUIS!$C$165)))*CROQUIS!$C$159),-1000)</f>
        <v>20.8088567555355</v>
      </c>
      <c r="AL93">
        <f>IF(AND(CROQUIS!$C$87=1,CROQUIS!$C$164&gt;0,CROQUIS!$C$162&gt;0),(CROQUIS!$C$160+(IF(MOD(MIN(INT(($A93-1)/2),MAX((2*CROQUIS!$C$164)-1,0)),2)=0,IF(IF(INT(($A93-1)/2)&gt;MAX((2*CROQUIS!$C$164)-1,0),1,MOD($A93-1,2))=0,CROQUIS!$C$163,(CROQUIS!$C$163+(CROQUIS!$C$162-1)*CROQUIS!$C$116+CROQUIS!$C$114)),IF(IF(INT(($A93-1)/2)&gt;MAX((2*CROQUIS!$C$164)-1,0),1,MOD($A93-1,2))=0,(CROQUIS!$C$163+(CROQUIS!$C$162-1)*CROQUIS!$C$116+CROQUIS!$C$114),CROQUIS!$C$163)))*CROQUIS!$C$159),-1000)</f>
        <v>22.9552643470402</v>
      </c>
      <c r="AM93">
        <f>IF(AND(CROQUIS!$C$87=1,CROQUIS!$C$164&gt;0,CROQUIS!$C$162&gt;0),(CROQUIS!$C$161+((CROQUIS!$C$165+INT(MIN(INT(($A93-1)/2),MAX((2*CROQUIS!$C$164)-1,0))/2)*CROQUIS!$C$116+MOD(MIN(INT(($A93-1)/2),MAX((2*CROQUIS!$C$164)-1,0)),2)*CROQUIS!$C$115))*CROQUIS!$C$159),-1000)</f>
        <v>79.1911432444645</v>
      </c>
      <c r="BN93">
        <f>IF(AND(CROQUIS!$C$88=1,CROQUIS!$C$129&gt;0),((CROQUIS!$C$160+(IF(CROQUIS!$C$92="X",CHOOSE(IF(INT(($A93-1)/5)&gt;MAX((MAX(1,INT(((CROQUIS!$C$98)-CROQUIS!$C$107)/MAX((CROQUIS!$C$129*MAX(1,CEILING((INT(((CROQUIS!$C$98)-CROQUIS!$C$107)/MAX(CROQUIS!$C$129,1))+1)/80,1))),1))+1))-1,0),0,MOD($A93-1,5))+1,0,2,CROQUIS!$C$97-2,2,0),((CROQUIS!$C$107/2+(((CROQUIS!$C$98)-CROQUIS!$C$107)-(MAX(1,INT(((CROQUIS!$C$98)-CROQUIS!$C$107)/MAX((CROQUIS!$C$129*MAX(1,CEILING((INT(((CROQUIS!$C$98)-CROQUIS!$C$107)/MAX(CROQUIS!$C$129,1))+1)/80,1))),1))+1)-1)*(CROQUIS!$C$129*MAX(1,CEILING((INT(((CROQUIS!$C$98)-CROQUIS!$C$107)/MAX(CROQUIS!$C$129,1))+1)/80,1))))/2)+MIN(INT(($A93-1)/5),MAX((MAX(1,INT(((CROQUIS!$C$98)-CROQUIS!$C$107)/MAX((CROQUIS!$C$129*MAX(1,CEILING((INT(((CROQUIS!$C$98)-CROQUIS!$C$107)/MAX(CROQUIS!$C$129,1))+1)/80,1))),1))+1))-1,0))*(CROQUIS!$C$129*MAX(1,CEILING((INT(((CROQUIS!$C$98)-CROQUIS!$C$107)/MAX(CROQUIS!$C$129,1))+1)/80,1))))))*CROQUIS!$C$159)+IF(CROQUIS!$C$92="X",0,0)),-1000)</f>
        <v>-1000</v>
      </c>
      <c r="BO93">
        <f>IF(AND(CROQUIS!$C$88=1,CROQUIS!$C$129&gt;0),((CROQUIS!$C$161+(IF(CROQUIS!$C$92="X",((CROQUIS!$C$107/2+(((CROQUIS!$C$98)-CROQUIS!$C$107)-(MAX(1,INT(((CROQUIS!$C$98)-CROQUIS!$C$107)/MAX((CROQUIS!$C$129*MAX(1,CEILING((INT(((CROQUIS!$C$98)-CROQUIS!$C$107)/MAX(CROQUIS!$C$129,1))+1)/80,1))),1))+1)-1)*(CROQUIS!$C$129*MAX(1,CEILING((INT(((CROQUIS!$C$98)-CROQUIS!$C$107)/MAX(CROQUIS!$C$129,1))+1)/80,1))))/2)+MIN(INT(($A93-1)/5),MAX((MAX(1,INT(((CROQUIS!$C$98)-CROQUIS!$C$107)/MAX((CROQUIS!$C$129*MAX(1,CEILING((INT(((CROQUIS!$C$98)-CROQUIS!$C$107)/MAX(CROQUIS!$C$129,1))+1)/80,1))),1))+1))-1,0))*(CROQUIS!$C$129*MAX(1,CEILING((INT(((CROQUIS!$C$98)-CROQUIS!$C$107)/MAX(CROQUIS!$C$129,1))+1)/80,1)))),CHOOSE(IF(INT(($A93-1)/5)&gt;MAX((MAX(1,INT(((CROQUIS!$C$98)-CROQUIS!$C$107)/MAX((CROQUIS!$C$129*MAX(1,CEILING((INT(((CROQUIS!$C$98)-CROQUIS!$C$107)/MAX(CROQUIS!$C$129,1))+1)/80,1))),1))+1))-1,0),0,MOD($A93-1,5))+1,0,2,CROQUIS!$C$97-2,2,0)))*CROQUIS!$C$159)+IF(CROQUIS!$C$92="X",0,0)),-1000)</f>
        <v>-1000</v>
      </c>
      <c r="BP93">
        <f>IF(AND(CROQUIS!$C$88=1,CROQUIS!$C$137&gt;0),((CROQUIS!$C$160+(IF(CROQUIS!$C$92="X",((CROQUIS!$C$107/2+(((CROQUIS!$C$97)-CROQUIS!$C$107)-(MAX(1,INT(((CROQUIS!$C$97)-CROQUIS!$C$107)/MAX((CROQUIS!$C$137*MAX(1,CEILING((INT(((CROQUIS!$C$97)-CROQUIS!$C$107)/MAX(CROQUIS!$C$137,1))+1)/80,1))),1))+1)-1)*(CROQUIS!$C$137*MAX(1,CEILING((INT(((CROQUIS!$C$97)-CROQUIS!$C$107)/MAX(CROQUIS!$C$137,1))+1)/80,1))))/2)+MIN(INT(($A93-1)/5),MAX((MAX(1,INT(((CROQUIS!$C$97)-CROQUIS!$C$107)/MAX((CROQUIS!$C$137*MAX(1,CEILING((INT(((CROQUIS!$C$97)-CROQUIS!$C$107)/MAX(CROQUIS!$C$137,1))+1)/80,1))),1))+1))-1,0))*(CROQUIS!$C$137*MAX(1,CEILING((INT(((CROQUIS!$C$97)-CROQUIS!$C$107)/MAX(CROQUIS!$C$137,1))+1)/80,1)))),CHOOSE(IF(INT(($A93-1)/5)&gt;MAX((MAX(1,INT(((CROQUIS!$C$97)-CROQUIS!$C$107)/MAX((CROQUIS!$C$137*MAX(1,CEILING((INT(((CROQUIS!$C$97)-CROQUIS!$C$107)/MAX(CROQUIS!$C$137,1))+1)/80,1))),1))+1))-1,0),0,MOD($A93-1,5))+1,0,2,CROQUIS!$C$98-2,2,0)))*CROQUIS!$C$159)+IF(CROQUIS!$C$92="X",0,0)),-1000)</f>
        <v>-1000</v>
      </c>
      <c r="BQ93">
        <f>IF(AND(CROQUIS!$C$88=1,CROQUIS!$C$137&gt;0),((CROQUIS!$C$161+(IF(CROQUIS!$C$92="X",CHOOSE(IF(INT(($A93-1)/5)&gt;MAX((MAX(1,INT(((CROQUIS!$C$97)-CROQUIS!$C$107)/MAX((CROQUIS!$C$137*MAX(1,CEILING((INT(((CROQUIS!$C$97)-CROQUIS!$C$107)/MAX(CROQUIS!$C$137,1))+1)/80,1))),1))+1))-1,0),0,MOD($A93-1,5))+1,0,2,CROQUIS!$C$98-2,2,0),((CROQUIS!$C$107/2+(((CROQUIS!$C$97)-CROQUIS!$C$107)-(MAX(1,INT(((CROQUIS!$C$97)-CROQUIS!$C$107)/MAX((CROQUIS!$C$137*MAX(1,CEILING((INT(((CROQUIS!$C$97)-CROQUIS!$C$107)/MAX(CROQUIS!$C$137,1))+1)/80,1))),1))+1)-1)*(CROQUIS!$C$137*MAX(1,CEILING((INT(((CROQUIS!$C$97)-CROQUIS!$C$107)/MAX(CROQUIS!$C$137,1))+1)/80,1))))/2)+MIN(INT(($A93-1)/5),MAX((MAX(1,INT(((CROQUIS!$C$97)-CROQUIS!$C$107)/MAX((CROQUIS!$C$137*MAX(1,CEILING((INT(((CROQUIS!$C$97)-CROQUIS!$C$107)/MAX(CROQUIS!$C$137,1))+1)/80,1))),1))+1))-1,0))*(CROQUIS!$C$137*MAX(1,CEILING((INT(((CROQUIS!$C$97)-CROQUIS!$C$107)/MAX(CROQUIS!$C$137,1))+1)/80,1))))))*CROQUIS!$C$159)+IF(CROQUIS!$C$92="X",0,0)),-1000)</f>
        <v>-1000</v>
      </c>
      <c r="BR93">
        <f>IF(AND(CROQUIS!$C$88=1,CROQUIS!$C$91=0,CROQUIS!$C$133&gt;0,OR(CROQUIS!$C$103=1,CROQUIS!$C$145=1)),((CROQUIS!$C$160+(IF(CROQUIS!$C$92="X",CHOOSE(IF(INT(($A93-1)/5)&gt;MAX((MAX(1,INT(((CROQUIS!$C$98)-CROQUIS!$C$107)/MAX((CROQUIS!$C$133*MAX(1,CEILING((INT(((CROQUIS!$C$98)-CROQUIS!$C$107)/MAX(CROQUIS!$C$133,1))+1)/80,1))),1))+1))-1,0),0,MOD($A93-1,5))+1,0,IF(CROQUIS!$C$103=1,-12,2),CROQUIS!$C$107/2+CROQUIS!$C$143,IF(CROQUIS!$C$103=1,-12,2),0),((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BS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+1,0,IF(CROQUIS!$C$103=1,-12,2),CROQUIS!$C$107/2+CROQUIS!$C$143,IF(CROQUIS!$C$103=1,-12,2),0)))*CROQUIS!$C$159)+IF(CROQUIS!$C$92="X",0.8,0)),-1000)</f>
        <v>-1000</v>
      </c>
      <c r="BT93">
        <f>IF(AND(CROQUIS!$C$88=1,CROQUIS!$C$91=0,CROQUIS!$C$133&gt;0,OR(CROQUIS!$C$104=1,CROQUIS!$C$145=1)),((CROQUIS!$C$160+(IF(CROQUIS!$C$92="X",CHOOSE(IF(INT(($A93-1)/5)&gt;MAX((MAX(1,INT(((CROQUIS!$C$98)-CROQUIS!$C$107)/MAX((CROQUIS!$C$133*MAX(1,CEILING((INT(((CROQUIS!$C$98)-CROQUIS!$C$107)/MAX(CROQUIS!$C$133,1))+1)/80,1))),1))+1))-1,0),0,MOD($A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BU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CROQUIS!$C$97,CROQUIS!$C$97-CROQUIS!$C$107/2-CROQUIS!$C$143,IF(CROQUIS!$C$104=1,CROQUIS!$C$97+12,CROQUIS!$C$97-2),CROQUIS!$C$97-CROQUIS!$C$107/2-CROQUIS!$C$143,CROQUIS!$C$97)))*CROQUIS!$C$159)+IF(CROQUIS!$C$92="X",0.8,0)),-1000)</f>
        <v>-1000</v>
      </c>
      <c r="BV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HOOSE(IF(INT(($A93-1)/5)&gt;MAX((MAX(1,INT(((CROQUIS!$C$97)-CROQUIS!$C$107)/MAX((CROQUIS!$C$141*MAX(1,CEILING((INT(((CROQUIS!$C$97)-CROQUIS!$C$107)/MAX(CROQUIS!$C$141,1))+1)/80,1))),1))+1))-1,0),0,MOD($A93-1,5))+1,0,IF(CROQUIS!$C$105=1,-12,2),CROQUIS!$C$107/2+CROQUIS!$C$144,IF(CROQUIS!$C$105=1,-12,2),0)))*CROQUIS!$C$159)+IF(CROQUIS!$C$92="X",0.8,0)),-1000)</f>
        <v>-1000</v>
      </c>
      <c r="BW93">
        <f>IF(AND(CROQUIS!$C$88=1,CROQUIS!$C$91=0,CROQUIS!$C$141&gt;0,OR(CROQUIS!$C$105=1,CROQUIS!$C$146=1)),((CROQUIS!$C$161+(IF(CROQUIS!$C$92="X",CHOOSE(IF(INT(($A93-1)/5)&gt;MAX((MAX(1,INT(((CROQUIS!$C$97)-CROQUIS!$C$107)/MAX((CROQUIS!$C$141*MAX(1,CEILING((INT(((CROQUIS!$C$97)-CROQUIS!$C$107)/MAX(CROQUIS!$C$141,1))+1)/80,1))),1))+1))-1,0),0,MOD($A93-1,5))+1,0,IF(CROQUIS!$C$105=1,-12,2),CROQUIS!$C$107/2+CROQUIS!$C$144,IF(CROQUIS!$C$105=1,-12,2),0),((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ROQUIS!$C$159)+IF(CROQUIS!$C$92="X",0,0.8)),-1000)</f>
        <v>-1000</v>
      </c>
      <c r="BX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HOOSE(IF(INT(($A93-1)/5)&gt;MAX((MAX(1,INT(((CROQUIS!$C$97)-CROQUIS!$C$107)/MAX((CROQUIS!$C$141*MAX(1,CEILING((INT(((CROQUIS!$C$97)-CROQUIS!$C$107)/MAX(CROQUIS!$C$141,1))+1)/80,1))),1))+1))-1,0),0,MOD($A93-1,5))+1,CROQUIS!$C$98,CROQUIS!$C$98-CROQUIS!$C$107/2-CROQUIS!$C$144,IF(CROQUIS!$C$106=1,CROQUIS!$C$98+12,CROQUIS!$C$98-2),CROQUIS!$C$98-CROQUIS!$C$107/2-CROQUIS!$C$144,CROQUIS!$C$98)))*CROQUIS!$C$159)+IF(CROQUIS!$C$92="X",0.8,0)),-1000)</f>
        <v>-1000</v>
      </c>
      <c r="BY93">
        <f>IF(AND(CROQUIS!$C$88=1,CROQUIS!$C$91=0,CROQUIS!$C$141&gt;0,OR(CROQUIS!$C$106=1,CROQUIS!$C$146=1)),((CROQUIS!$C$161+(IF(CROQUIS!$C$92="X",CHOOSE(IF(INT(($A93-1)/5)&gt;MAX((MAX(1,INT(((CROQUIS!$C$97)-CROQUIS!$C$107)/MAX((CROQUIS!$C$141*MAX(1,CEILING((INT(((CROQUIS!$C$97)-CROQUIS!$C$107)/MAX(CROQUIS!$C$141,1))+1)/80,1))),1))+1))-1,0),0,MOD($A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ROQUIS!$C$159)+IF(CROQUIS!$C$92="X",0,0.8)),-1000)</f>
        <v>-1000</v>
      </c>
      <c r="BZ93">
        <f>IF(AND(CROQUIS!$C$88=1,CROQUIS!$C$91=1,CROQUIS!$C$133&gt;0),((CROQUIS!$C$160+(IF(CROQUIS!$C$92="X",CHOOSE(IF(INT(($A93-1)/5)&gt;MAX((MAX(1,INT(((CROQUIS!$C$98)-CROQUIS!$C$107)/MAX((CROQUIS!$C$133*MAX(1,CEILING((INT(((CROQUIS!$C$98)-CROQUIS!$C$107)/MAX(CROQUIS!$C$133,1))+1)/80,1))),1))+1))-1,0),0,MOD($A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CA93">
        <f>IF(AND(CROQUIS!$C$88=1,CROQUIS!$C$91=1,CROQUIS!$C$133&gt;0),((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4">
      <c r="A94" t="n">
        <v>87</v>
      </c>
      <c r="AJ94">
        <f>IF(AND(CROQUIS!$C$87=1,CROQUIS!$C$162&gt;0,CROQUIS!$C$164&gt;0),(CROQUIS!$C$160+((CROQUIS!$C$163+INT(MIN(INT(($A94-1)/2),MAX((2*CROQUIS!$C$162)-1,0))/2)*CROQUIS!$C$116+MOD(MIN(INT(($A94-1)/2),MAX((2*CROQUIS!$C$162)-1,0)),2)*CROQUIS!$C$114))*CROQUIS!$C$159),-1000)</f>
        <v>81.3375508359693</v>
      </c>
      <c r="AK94">
        <f>IF(AND(CROQUIS!$C$87=1,CROQUIS!$C$162&gt;0,CROQUIS!$C$164&gt;0),(CROQUIS!$C$161+(IF(MOD(MIN(INT(($A94-1)/2),MAX((2*CROQUIS!$C$162)-1,0)),2)=0,IF(IF(INT(($A94-1)/2)&gt;MAX((2*CROQUIS!$C$162)-1,0),1,MOD($A94-1,2))=0,CROQUIS!$C$165,(CROQUIS!$C$165+(CROQUIS!$C$164-1)*CROQUIS!$C$116+CROQUIS!$C$115)),IF(IF(INT(($A94-1)/2)&gt;MAX((2*CROQUIS!$C$162)-1,0),1,MOD($A94-1,2))=0,(CROQUIS!$C$165+(CROQUIS!$C$164-1)*CROQUIS!$C$116+CROQUIS!$C$115),CROQUIS!$C$165)))*CROQUIS!$C$159),-1000)</f>
        <v>20.8088567555355</v>
      </c>
      <c r="AL94">
        <f>IF(AND(CROQUIS!$C$87=1,CROQUIS!$C$164&gt;0,CROQUIS!$C$162&gt;0),(CROQUIS!$C$160+(IF(MOD(MIN(INT(($A94-1)/2),MAX((2*CROQUIS!$C$164)-1,0)),2)=0,IF(IF(INT(($A94-1)/2)&gt;MAX((2*CROQUIS!$C$164)-1,0),1,MOD($A94-1,2))=0,CROQUIS!$C$163,(CROQUIS!$C$163+(CROQUIS!$C$162-1)*CROQUIS!$C$116+CROQUIS!$C$114)),IF(IF(INT(($A94-1)/2)&gt;MAX((2*CROQUIS!$C$164)-1,0),1,MOD($A94-1,2))=0,(CROQUIS!$C$163+(CROQUIS!$C$162-1)*CROQUIS!$C$116+CROQUIS!$C$114),CROQUIS!$C$163)))*CROQUIS!$C$159),-1000)</f>
        <v>22.9552643470402</v>
      </c>
      <c r="AM94">
        <f>IF(AND(CROQUIS!$C$87=1,CROQUIS!$C$164&gt;0,CROQUIS!$C$162&gt;0),(CROQUIS!$C$161+((CROQUIS!$C$165+INT(MIN(INT(($A94-1)/2),MAX((2*CROQUIS!$C$164)-1,0))/2)*CROQUIS!$C$116+MOD(MIN(INT(($A94-1)/2),MAX((2*CROQUIS!$C$164)-1,0)),2)*CROQUIS!$C$115))*CROQUIS!$C$159),-1000)</f>
        <v>79.1911432444645</v>
      </c>
      <c r="BN94">
        <f>IF(AND(CROQUIS!$C$88=1,CROQUIS!$C$129&gt;0),((CROQUIS!$C$160+(IF(CROQUIS!$C$92="X",CHOOSE(IF(INT(($A94-1)/5)&gt;MAX((MAX(1,INT(((CROQUIS!$C$98)-CROQUIS!$C$107)/MAX((CROQUIS!$C$129*MAX(1,CEILING((INT(((CROQUIS!$C$98)-CROQUIS!$C$107)/MAX(CROQUIS!$C$129,1))+1)/80,1))),1))+1))-1,0),0,MOD($A94-1,5))+1,0,2,CROQUIS!$C$97-2,2,0),((CROQUIS!$C$107/2+(((CROQUIS!$C$98)-CROQUIS!$C$107)-(MAX(1,INT(((CROQUIS!$C$98)-CROQUIS!$C$107)/MAX((CROQUIS!$C$129*MAX(1,CEILING((INT(((CROQUIS!$C$98)-CROQUIS!$C$107)/MAX(CROQUIS!$C$129,1))+1)/80,1))),1))+1)-1)*(CROQUIS!$C$129*MAX(1,CEILING((INT(((CROQUIS!$C$98)-CROQUIS!$C$107)/MAX(CROQUIS!$C$129,1))+1)/80,1))))/2)+MIN(INT(($A94-1)/5),MAX((MAX(1,INT(((CROQUIS!$C$98)-CROQUIS!$C$107)/MAX((CROQUIS!$C$129*MAX(1,CEILING((INT(((CROQUIS!$C$98)-CROQUIS!$C$107)/MAX(CROQUIS!$C$129,1))+1)/80,1))),1))+1))-1,0))*(CROQUIS!$C$129*MAX(1,CEILING((INT(((CROQUIS!$C$98)-CROQUIS!$C$107)/MAX(CROQUIS!$C$129,1))+1)/80,1))))))*CROQUIS!$C$159)+IF(CROQUIS!$C$92="X",0,0)),-1000)</f>
        <v>-1000</v>
      </c>
      <c r="BO94">
        <f>IF(AND(CROQUIS!$C$88=1,CROQUIS!$C$129&gt;0),((CROQUIS!$C$161+(IF(CROQUIS!$C$92="X",((CROQUIS!$C$107/2+(((CROQUIS!$C$98)-CROQUIS!$C$107)-(MAX(1,INT(((CROQUIS!$C$98)-CROQUIS!$C$107)/MAX((CROQUIS!$C$129*MAX(1,CEILING((INT(((CROQUIS!$C$98)-CROQUIS!$C$107)/MAX(CROQUIS!$C$129,1))+1)/80,1))),1))+1)-1)*(CROQUIS!$C$129*MAX(1,CEILING((INT(((CROQUIS!$C$98)-CROQUIS!$C$107)/MAX(CROQUIS!$C$129,1))+1)/80,1))))/2)+MIN(INT(($A94-1)/5),MAX((MAX(1,INT(((CROQUIS!$C$98)-CROQUIS!$C$107)/MAX((CROQUIS!$C$129*MAX(1,CEILING((INT(((CROQUIS!$C$98)-CROQUIS!$C$107)/MAX(CROQUIS!$C$129,1))+1)/80,1))),1))+1))-1,0))*(CROQUIS!$C$129*MAX(1,CEILING((INT(((CROQUIS!$C$98)-CROQUIS!$C$107)/MAX(CROQUIS!$C$129,1))+1)/80,1)))),CHOOSE(IF(INT(($A94-1)/5)&gt;MAX((MAX(1,INT(((CROQUIS!$C$98)-CROQUIS!$C$107)/MAX((CROQUIS!$C$129*MAX(1,CEILING((INT(((CROQUIS!$C$98)-CROQUIS!$C$107)/MAX(CROQUIS!$C$129,1))+1)/80,1))),1))+1))-1,0),0,MOD($A94-1,5))+1,0,2,CROQUIS!$C$97-2,2,0)))*CROQUIS!$C$159)+IF(CROQUIS!$C$92="X",0,0)),-1000)</f>
        <v>-1000</v>
      </c>
      <c r="BP94">
        <f>IF(AND(CROQUIS!$C$88=1,CROQUIS!$C$137&gt;0),((CROQUIS!$C$160+(IF(CROQUIS!$C$92="X",((CROQUIS!$C$107/2+(((CROQUIS!$C$97)-CROQUIS!$C$107)-(MAX(1,INT(((CROQUIS!$C$97)-CROQUIS!$C$107)/MAX((CROQUIS!$C$137*MAX(1,CEILING((INT(((CROQUIS!$C$97)-CROQUIS!$C$107)/MAX(CROQUIS!$C$137,1))+1)/80,1))),1))+1)-1)*(CROQUIS!$C$137*MAX(1,CEILING((INT(((CROQUIS!$C$97)-CROQUIS!$C$107)/MAX(CROQUIS!$C$137,1))+1)/80,1))))/2)+MIN(INT(($A94-1)/5),MAX((MAX(1,INT(((CROQUIS!$C$97)-CROQUIS!$C$107)/MAX((CROQUIS!$C$137*MAX(1,CEILING((INT(((CROQUIS!$C$97)-CROQUIS!$C$107)/MAX(CROQUIS!$C$137,1))+1)/80,1))),1))+1))-1,0))*(CROQUIS!$C$137*MAX(1,CEILING((INT(((CROQUIS!$C$97)-CROQUIS!$C$107)/MAX(CROQUIS!$C$137,1))+1)/80,1)))),CHOOSE(IF(INT(($A94-1)/5)&gt;MAX((MAX(1,INT(((CROQUIS!$C$97)-CROQUIS!$C$107)/MAX((CROQUIS!$C$137*MAX(1,CEILING((INT(((CROQUIS!$C$97)-CROQUIS!$C$107)/MAX(CROQUIS!$C$137,1))+1)/80,1))),1))+1))-1,0),0,MOD($A94-1,5))+1,0,2,CROQUIS!$C$98-2,2,0)))*CROQUIS!$C$159)+IF(CROQUIS!$C$92="X",0,0)),-1000)</f>
        <v>-1000</v>
      </c>
      <c r="BQ94">
        <f>IF(AND(CROQUIS!$C$88=1,CROQUIS!$C$137&gt;0),((CROQUIS!$C$161+(IF(CROQUIS!$C$92="X",CHOOSE(IF(INT(($A94-1)/5)&gt;MAX((MAX(1,INT(((CROQUIS!$C$97)-CROQUIS!$C$107)/MAX((CROQUIS!$C$137*MAX(1,CEILING((INT(((CROQUIS!$C$97)-CROQUIS!$C$107)/MAX(CROQUIS!$C$137,1))+1)/80,1))),1))+1))-1,0),0,MOD($A94-1,5))+1,0,2,CROQUIS!$C$98-2,2,0),((CROQUIS!$C$107/2+(((CROQUIS!$C$97)-CROQUIS!$C$107)-(MAX(1,INT(((CROQUIS!$C$97)-CROQUIS!$C$107)/MAX((CROQUIS!$C$137*MAX(1,CEILING((INT(((CROQUIS!$C$97)-CROQUIS!$C$107)/MAX(CROQUIS!$C$137,1))+1)/80,1))),1))+1)-1)*(CROQUIS!$C$137*MAX(1,CEILING((INT(((CROQUIS!$C$97)-CROQUIS!$C$107)/MAX(CROQUIS!$C$137,1))+1)/80,1))))/2)+MIN(INT(($A94-1)/5),MAX((MAX(1,INT(((CROQUIS!$C$97)-CROQUIS!$C$107)/MAX((CROQUIS!$C$137*MAX(1,CEILING((INT(((CROQUIS!$C$97)-CROQUIS!$C$107)/MAX(CROQUIS!$C$137,1))+1)/80,1))),1))+1))-1,0))*(CROQUIS!$C$137*MAX(1,CEILING((INT(((CROQUIS!$C$97)-CROQUIS!$C$107)/MAX(CROQUIS!$C$137,1))+1)/80,1))))))*CROQUIS!$C$159)+IF(CROQUIS!$C$92="X",0,0)),-1000)</f>
        <v>-1000</v>
      </c>
      <c r="BR94">
        <f>IF(AND(CROQUIS!$C$88=1,CROQUIS!$C$91=0,CROQUIS!$C$133&gt;0,OR(CROQUIS!$C$103=1,CROQUIS!$C$145=1)),((CROQUIS!$C$160+(IF(CROQUIS!$C$92="X",CHOOSE(IF(INT(($A94-1)/5)&gt;MAX((MAX(1,INT(((CROQUIS!$C$98)-CROQUIS!$C$107)/MAX((CROQUIS!$C$133*MAX(1,CEILING((INT(((CROQUIS!$C$98)-CROQUIS!$C$107)/MAX(CROQUIS!$C$133,1))+1)/80,1))),1))+1))-1,0),0,MOD($A94-1,5))+1,0,IF(CROQUIS!$C$103=1,-12,2),CROQUIS!$C$107/2+CROQUIS!$C$143,IF(CROQUIS!$C$103=1,-12,2),0),((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BS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+1,0,IF(CROQUIS!$C$103=1,-12,2),CROQUIS!$C$107/2+CROQUIS!$C$143,IF(CROQUIS!$C$103=1,-12,2),0)))*CROQUIS!$C$159)+IF(CROQUIS!$C$92="X",0.8,0)),-1000)</f>
        <v>-1000</v>
      </c>
      <c r="BT94">
        <f>IF(AND(CROQUIS!$C$88=1,CROQUIS!$C$91=0,CROQUIS!$C$133&gt;0,OR(CROQUIS!$C$104=1,CROQUIS!$C$145=1)),((CROQUIS!$C$160+(IF(CROQUIS!$C$92="X",CHOOSE(IF(INT(($A94-1)/5)&gt;MAX((MAX(1,INT(((CROQUIS!$C$98)-CROQUIS!$C$107)/MAX((CROQUIS!$C$133*MAX(1,CEILING((INT(((CROQUIS!$C$98)-CROQUIS!$C$107)/MAX(CROQUIS!$C$133,1))+1)/80,1))),1))+1))-1,0),0,MOD($A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BU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CROQUIS!$C$97,CROQUIS!$C$97-CROQUIS!$C$107/2-CROQUIS!$C$143,IF(CROQUIS!$C$104=1,CROQUIS!$C$97+12,CROQUIS!$C$97-2),CROQUIS!$C$97-CROQUIS!$C$107/2-CROQUIS!$C$143,CROQUIS!$C$97)))*CROQUIS!$C$159)+IF(CROQUIS!$C$92="X",0.8,0)),-1000)</f>
        <v>-1000</v>
      </c>
      <c r="BV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HOOSE(IF(INT(($A94-1)/5)&gt;MAX((MAX(1,INT(((CROQUIS!$C$97)-CROQUIS!$C$107)/MAX((CROQUIS!$C$141*MAX(1,CEILING((INT(((CROQUIS!$C$97)-CROQUIS!$C$107)/MAX(CROQUIS!$C$141,1))+1)/80,1))),1))+1))-1,0),0,MOD($A94-1,5))+1,0,IF(CROQUIS!$C$105=1,-12,2),CROQUIS!$C$107/2+CROQUIS!$C$144,IF(CROQUIS!$C$105=1,-12,2),0)))*CROQUIS!$C$159)+IF(CROQUIS!$C$92="X",0.8,0)),-1000)</f>
        <v>-1000</v>
      </c>
      <c r="BW94">
        <f>IF(AND(CROQUIS!$C$88=1,CROQUIS!$C$91=0,CROQUIS!$C$141&gt;0,OR(CROQUIS!$C$105=1,CROQUIS!$C$146=1)),((CROQUIS!$C$161+(IF(CROQUIS!$C$92="X",CHOOSE(IF(INT(($A94-1)/5)&gt;MAX((MAX(1,INT(((CROQUIS!$C$97)-CROQUIS!$C$107)/MAX((CROQUIS!$C$141*MAX(1,CEILING((INT(((CROQUIS!$C$97)-CROQUIS!$C$107)/MAX(CROQUIS!$C$141,1))+1)/80,1))),1))+1))-1,0),0,MOD($A94-1,5))+1,0,IF(CROQUIS!$C$105=1,-12,2),CROQUIS!$C$107/2+CROQUIS!$C$144,IF(CROQUIS!$C$105=1,-12,2),0),((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ROQUIS!$C$159)+IF(CROQUIS!$C$92="X",0,0.8)),-1000)</f>
        <v>-1000</v>
      </c>
      <c r="BX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HOOSE(IF(INT(($A94-1)/5)&gt;MAX((MAX(1,INT(((CROQUIS!$C$97)-CROQUIS!$C$107)/MAX((CROQUIS!$C$141*MAX(1,CEILING((INT(((CROQUIS!$C$97)-CROQUIS!$C$107)/MAX(CROQUIS!$C$141,1))+1)/80,1))),1))+1))-1,0),0,MOD($A94-1,5))+1,CROQUIS!$C$98,CROQUIS!$C$98-CROQUIS!$C$107/2-CROQUIS!$C$144,IF(CROQUIS!$C$106=1,CROQUIS!$C$98+12,CROQUIS!$C$98-2),CROQUIS!$C$98-CROQUIS!$C$107/2-CROQUIS!$C$144,CROQUIS!$C$98)))*CROQUIS!$C$159)+IF(CROQUIS!$C$92="X",0.8,0)),-1000)</f>
        <v>-1000</v>
      </c>
      <c r="BY94">
        <f>IF(AND(CROQUIS!$C$88=1,CROQUIS!$C$91=0,CROQUIS!$C$141&gt;0,OR(CROQUIS!$C$106=1,CROQUIS!$C$146=1)),((CROQUIS!$C$161+(IF(CROQUIS!$C$92="X",CHOOSE(IF(INT(($A94-1)/5)&gt;MAX((MAX(1,INT(((CROQUIS!$C$97)-CROQUIS!$C$107)/MAX((CROQUIS!$C$141*MAX(1,CEILING((INT(((CROQUIS!$C$97)-CROQUIS!$C$107)/MAX(CROQUIS!$C$141,1))+1)/80,1))),1))+1))-1,0),0,MOD($A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ROQUIS!$C$159)+IF(CROQUIS!$C$92="X",0,0.8)),-1000)</f>
        <v>-1000</v>
      </c>
      <c r="BZ94">
        <f>IF(AND(CROQUIS!$C$88=1,CROQUIS!$C$91=1,CROQUIS!$C$133&gt;0),((CROQUIS!$C$160+(IF(CROQUIS!$C$92="X",CHOOSE(IF(INT(($A94-1)/5)&gt;MAX((MAX(1,INT(((CROQUIS!$C$98)-CROQUIS!$C$107)/MAX((CROQUIS!$C$133*MAX(1,CEILING((INT(((CROQUIS!$C$98)-CROQUIS!$C$107)/MAX(CROQUIS!$C$133,1))+1)/80,1))),1))+1))-1,0),0,MOD($A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CA94">
        <f>IF(AND(CROQUIS!$C$88=1,CROQUIS!$C$91=1,CROQUIS!$C$133&gt;0),((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5">
      <c r="A95" t="n">
        <v>88</v>
      </c>
      <c r="AJ95">
        <f>IF(AND(CROQUIS!$C$87=1,CROQUIS!$C$162&gt;0,CROQUIS!$C$164&gt;0),(CROQUIS!$C$160+((CROQUIS!$C$163+INT(MIN(INT(($A95-1)/2),MAX((2*CROQUIS!$C$162)-1,0))/2)*CROQUIS!$C$116+MOD(MIN(INT(($A95-1)/2),MAX((2*CROQUIS!$C$162)-1,0)),2)*CROQUIS!$C$114))*CROQUIS!$C$159),-1000)</f>
        <v>81.3375508359693</v>
      </c>
      <c r="AK95">
        <f>IF(AND(CROQUIS!$C$87=1,CROQUIS!$C$162&gt;0,CROQUIS!$C$164&gt;0),(CROQUIS!$C$161+(IF(MOD(MIN(INT(($A95-1)/2),MAX((2*CROQUIS!$C$162)-1,0)),2)=0,IF(IF(INT(($A95-1)/2)&gt;MAX((2*CROQUIS!$C$162)-1,0),1,MOD($A95-1,2))=0,CROQUIS!$C$165,(CROQUIS!$C$165+(CROQUIS!$C$164-1)*CROQUIS!$C$116+CROQUIS!$C$115)),IF(IF(INT(($A95-1)/2)&gt;MAX((2*CROQUIS!$C$162)-1,0),1,MOD($A95-1,2))=0,(CROQUIS!$C$165+(CROQUIS!$C$164-1)*CROQUIS!$C$116+CROQUIS!$C$115),CROQUIS!$C$165)))*CROQUIS!$C$159),-1000)</f>
        <v>20.8088567555355</v>
      </c>
      <c r="AL95">
        <f>IF(AND(CROQUIS!$C$87=1,CROQUIS!$C$164&gt;0,CROQUIS!$C$162&gt;0),(CROQUIS!$C$160+(IF(MOD(MIN(INT(($A95-1)/2),MAX((2*CROQUIS!$C$164)-1,0)),2)=0,IF(IF(INT(($A95-1)/2)&gt;MAX((2*CROQUIS!$C$164)-1,0),1,MOD($A95-1,2))=0,CROQUIS!$C$163,(CROQUIS!$C$163+(CROQUIS!$C$162-1)*CROQUIS!$C$116+CROQUIS!$C$114)),IF(IF(INT(($A95-1)/2)&gt;MAX((2*CROQUIS!$C$164)-1,0),1,MOD($A95-1,2))=0,(CROQUIS!$C$163+(CROQUIS!$C$162-1)*CROQUIS!$C$116+CROQUIS!$C$114),CROQUIS!$C$163)))*CROQUIS!$C$159),-1000)</f>
        <v>22.9552643470402</v>
      </c>
      <c r="AM95">
        <f>IF(AND(CROQUIS!$C$87=1,CROQUIS!$C$164&gt;0,CROQUIS!$C$162&gt;0),(CROQUIS!$C$161+((CROQUIS!$C$165+INT(MIN(INT(($A95-1)/2),MAX((2*CROQUIS!$C$164)-1,0))/2)*CROQUIS!$C$116+MOD(MIN(INT(($A95-1)/2),MAX((2*CROQUIS!$C$164)-1,0)),2)*CROQUIS!$C$115))*CROQUIS!$C$159),-1000)</f>
        <v>79.1911432444645</v>
      </c>
      <c r="BN95">
        <f>IF(AND(CROQUIS!$C$88=1,CROQUIS!$C$129&gt;0),((CROQUIS!$C$160+(IF(CROQUIS!$C$92="X",CHOOSE(IF(INT(($A95-1)/5)&gt;MAX((MAX(1,INT(((CROQUIS!$C$98)-CROQUIS!$C$107)/MAX((CROQUIS!$C$129*MAX(1,CEILING((INT(((CROQUIS!$C$98)-CROQUIS!$C$107)/MAX(CROQUIS!$C$129,1))+1)/80,1))),1))+1))-1,0),0,MOD($A95-1,5))+1,0,2,CROQUIS!$C$97-2,2,0),((CROQUIS!$C$107/2+(((CROQUIS!$C$98)-CROQUIS!$C$107)-(MAX(1,INT(((CROQUIS!$C$98)-CROQUIS!$C$107)/MAX((CROQUIS!$C$129*MAX(1,CEILING((INT(((CROQUIS!$C$98)-CROQUIS!$C$107)/MAX(CROQUIS!$C$129,1))+1)/80,1))),1))+1)-1)*(CROQUIS!$C$129*MAX(1,CEILING((INT(((CROQUIS!$C$98)-CROQUIS!$C$107)/MAX(CROQUIS!$C$129,1))+1)/80,1))))/2)+MIN(INT(($A95-1)/5),MAX((MAX(1,INT(((CROQUIS!$C$98)-CROQUIS!$C$107)/MAX((CROQUIS!$C$129*MAX(1,CEILING((INT(((CROQUIS!$C$98)-CROQUIS!$C$107)/MAX(CROQUIS!$C$129,1))+1)/80,1))),1))+1))-1,0))*(CROQUIS!$C$129*MAX(1,CEILING((INT(((CROQUIS!$C$98)-CROQUIS!$C$107)/MAX(CROQUIS!$C$129,1))+1)/80,1))))))*CROQUIS!$C$159)+IF(CROQUIS!$C$92="X",0,0)),-1000)</f>
        <v>-1000</v>
      </c>
      <c r="BO95">
        <f>IF(AND(CROQUIS!$C$88=1,CROQUIS!$C$129&gt;0),((CROQUIS!$C$161+(IF(CROQUIS!$C$92="X",((CROQUIS!$C$107/2+(((CROQUIS!$C$98)-CROQUIS!$C$107)-(MAX(1,INT(((CROQUIS!$C$98)-CROQUIS!$C$107)/MAX((CROQUIS!$C$129*MAX(1,CEILING((INT(((CROQUIS!$C$98)-CROQUIS!$C$107)/MAX(CROQUIS!$C$129,1))+1)/80,1))),1))+1)-1)*(CROQUIS!$C$129*MAX(1,CEILING((INT(((CROQUIS!$C$98)-CROQUIS!$C$107)/MAX(CROQUIS!$C$129,1))+1)/80,1))))/2)+MIN(INT(($A95-1)/5),MAX((MAX(1,INT(((CROQUIS!$C$98)-CROQUIS!$C$107)/MAX((CROQUIS!$C$129*MAX(1,CEILING((INT(((CROQUIS!$C$98)-CROQUIS!$C$107)/MAX(CROQUIS!$C$129,1))+1)/80,1))),1))+1))-1,0))*(CROQUIS!$C$129*MAX(1,CEILING((INT(((CROQUIS!$C$98)-CROQUIS!$C$107)/MAX(CROQUIS!$C$129,1))+1)/80,1)))),CHOOSE(IF(INT(($A95-1)/5)&gt;MAX((MAX(1,INT(((CROQUIS!$C$98)-CROQUIS!$C$107)/MAX((CROQUIS!$C$129*MAX(1,CEILING((INT(((CROQUIS!$C$98)-CROQUIS!$C$107)/MAX(CROQUIS!$C$129,1))+1)/80,1))),1))+1))-1,0),0,MOD($A95-1,5))+1,0,2,CROQUIS!$C$97-2,2,0)))*CROQUIS!$C$159)+IF(CROQUIS!$C$92="X",0,0)),-1000)</f>
        <v>-1000</v>
      </c>
      <c r="BP95">
        <f>IF(AND(CROQUIS!$C$88=1,CROQUIS!$C$137&gt;0),((CROQUIS!$C$160+(IF(CROQUIS!$C$92="X",((CROQUIS!$C$107/2+(((CROQUIS!$C$97)-CROQUIS!$C$107)-(MAX(1,INT(((CROQUIS!$C$97)-CROQUIS!$C$107)/MAX((CROQUIS!$C$137*MAX(1,CEILING((INT(((CROQUIS!$C$97)-CROQUIS!$C$107)/MAX(CROQUIS!$C$137,1))+1)/80,1))),1))+1)-1)*(CROQUIS!$C$137*MAX(1,CEILING((INT(((CROQUIS!$C$97)-CROQUIS!$C$107)/MAX(CROQUIS!$C$137,1))+1)/80,1))))/2)+MIN(INT(($A95-1)/5),MAX((MAX(1,INT(((CROQUIS!$C$97)-CROQUIS!$C$107)/MAX((CROQUIS!$C$137*MAX(1,CEILING((INT(((CROQUIS!$C$97)-CROQUIS!$C$107)/MAX(CROQUIS!$C$137,1))+1)/80,1))),1))+1))-1,0))*(CROQUIS!$C$137*MAX(1,CEILING((INT(((CROQUIS!$C$97)-CROQUIS!$C$107)/MAX(CROQUIS!$C$137,1))+1)/80,1)))),CHOOSE(IF(INT(($A95-1)/5)&gt;MAX((MAX(1,INT(((CROQUIS!$C$97)-CROQUIS!$C$107)/MAX((CROQUIS!$C$137*MAX(1,CEILING((INT(((CROQUIS!$C$97)-CROQUIS!$C$107)/MAX(CROQUIS!$C$137,1))+1)/80,1))),1))+1))-1,0),0,MOD($A95-1,5))+1,0,2,CROQUIS!$C$98-2,2,0)))*CROQUIS!$C$159)+IF(CROQUIS!$C$92="X",0,0)),-1000)</f>
        <v>-1000</v>
      </c>
      <c r="BQ95">
        <f>IF(AND(CROQUIS!$C$88=1,CROQUIS!$C$137&gt;0),((CROQUIS!$C$161+(IF(CROQUIS!$C$92="X",CHOOSE(IF(INT(($A95-1)/5)&gt;MAX((MAX(1,INT(((CROQUIS!$C$97)-CROQUIS!$C$107)/MAX((CROQUIS!$C$137*MAX(1,CEILING((INT(((CROQUIS!$C$97)-CROQUIS!$C$107)/MAX(CROQUIS!$C$137,1))+1)/80,1))),1))+1))-1,0),0,MOD($A95-1,5))+1,0,2,CROQUIS!$C$98-2,2,0),((CROQUIS!$C$107/2+(((CROQUIS!$C$97)-CROQUIS!$C$107)-(MAX(1,INT(((CROQUIS!$C$97)-CROQUIS!$C$107)/MAX((CROQUIS!$C$137*MAX(1,CEILING((INT(((CROQUIS!$C$97)-CROQUIS!$C$107)/MAX(CROQUIS!$C$137,1))+1)/80,1))),1))+1)-1)*(CROQUIS!$C$137*MAX(1,CEILING((INT(((CROQUIS!$C$97)-CROQUIS!$C$107)/MAX(CROQUIS!$C$137,1))+1)/80,1))))/2)+MIN(INT(($A95-1)/5),MAX((MAX(1,INT(((CROQUIS!$C$97)-CROQUIS!$C$107)/MAX((CROQUIS!$C$137*MAX(1,CEILING((INT(((CROQUIS!$C$97)-CROQUIS!$C$107)/MAX(CROQUIS!$C$137,1))+1)/80,1))),1))+1))-1,0))*(CROQUIS!$C$137*MAX(1,CEILING((INT(((CROQUIS!$C$97)-CROQUIS!$C$107)/MAX(CROQUIS!$C$137,1))+1)/80,1))))))*CROQUIS!$C$159)+IF(CROQUIS!$C$92="X",0,0)),-1000)</f>
        <v>-1000</v>
      </c>
      <c r="BR95">
        <f>IF(AND(CROQUIS!$C$88=1,CROQUIS!$C$91=0,CROQUIS!$C$133&gt;0,OR(CROQUIS!$C$103=1,CROQUIS!$C$145=1)),((CROQUIS!$C$160+(IF(CROQUIS!$C$92="X",CHOOSE(IF(INT(($A95-1)/5)&gt;MAX((MAX(1,INT(((CROQUIS!$C$98)-CROQUIS!$C$107)/MAX((CROQUIS!$C$133*MAX(1,CEILING((INT(((CROQUIS!$C$98)-CROQUIS!$C$107)/MAX(CROQUIS!$C$133,1))+1)/80,1))),1))+1))-1,0),0,MOD($A95-1,5))+1,0,IF(CROQUIS!$C$103=1,-12,2),CROQUIS!$C$107/2+CROQUIS!$C$143,IF(CROQUIS!$C$103=1,-12,2),0),((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BS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+1,0,IF(CROQUIS!$C$103=1,-12,2),CROQUIS!$C$107/2+CROQUIS!$C$143,IF(CROQUIS!$C$103=1,-12,2),0)))*CROQUIS!$C$159)+IF(CROQUIS!$C$92="X",0.8,0)),-1000)</f>
        <v>-1000</v>
      </c>
      <c r="BT95">
        <f>IF(AND(CROQUIS!$C$88=1,CROQUIS!$C$91=0,CROQUIS!$C$133&gt;0,OR(CROQUIS!$C$104=1,CROQUIS!$C$145=1)),((CROQUIS!$C$160+(IF(CROQUIS!$C$92="X",CHOOSE(IF(INT(($A95-1)/5)&gt;MAX((MAX(1,INT(((CROQUIS!$C$98)-CROQUIS!$C$107)/MAX((CROQUIS!$C$133*MAX(1,CEILING((INT(((CROQUIS!$C$98)-CROQUIS!$C$107)/MAX(CROQUIS!$C$133,1))+1)/80,1))),1))+1))-1,0),0,MOD($A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BU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CROQUIS!$C$97,CROQUIS!$C$97-CROQUIS!$C$107/2-CROQUIS!$C$143,IF(CROQUIS!$C$104=1,CROQUIS!$C$97+12,CROQUIS!$C$97-2),CROQUIS!$C$97-CROQUIS!$C$107/2-CROQUIS!$C$143,CROQUIS!$C$97)))*CROQUIS!$C$159)+IF(CROQUIS!$C$92="X",0.8,0)),-1000)</f>
        <v>-1000</v>
      </c>
      <c r="BV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HOOSE(IF(INT(($A95-1)/5)&gt;MAX((MAX(1,INT(((CROQUIS!$C$97)-CROQUIS!$C$107)/MAX((CROQUIS!$C$141*MAX(1,CEILING((INT(((CROQUIS!$C$97)-CROQUIS!$C$107)/MAX(CROQUIS!$C$141,1))+1)/80,1))),1))+1))-1,0),0,MOD($A95-1,5))+1,0,IF(CROQUIS!$C$105=1,-12,2),CROQUIS!$C$107/2+CROQUIS!$C$144,IF(CROQUIS!$C$105=1,-12,2),0)))*CROQUIS!$C$159)+IF(CROQUIS!$C$92="X",0.8,0)),-1000)</f>
        <v>-1000</v>
      </c>
      <c r="BW95">
        <f>IF(AND(CROQUIS!$C$88=1,CROQUIS!$C$91=0,CROQUIS!$C$141&gt;0,OR(CROQUIS!$C$105=1,CROQUIS!$C$146=1)),((CROQUIS!$C$161+(IF(CROQUIS!$C$92="X",CHOOSE(IF(INT(($A95-1)/5)&gt;MAX((MAX(1,INT(((CROQUIS!$C$97)-CROQUIS!$C$107)/MAX((CROQUIS!$C$141*MAX(1,CEILING((INT(((CROQUIS!$C$97)-CROQUIS!$C$107)/MAX(CROQUIS!$C$141,1))+1)/80,1))),1))+1))-1,0),0,MOD($A95-1,5))+1,0,IF(CROQUIS!$C$105=1,-12,2),CROQUIS!$C$107/2+CROQUIS!$C$144,IF(CROQUIS!$C$105=1,-12,2),0),((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ROQUIS!$C$159)+IF(CROQUIS!$C$92="X",0,0.8)),-1000)</f>
        <v>-1000</v>
      </c>
      <c r="BX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HOOSE(IF(INT(($A95-1)/5)&gt;MAX((MAX(1,INT(((CROQUIS!$C$97)-CROQUIS!$C$107)/MAX((CROQUIS!$C$141*MAX(1,CEILING((INT(((CROQUIS!$C$97)-CROQUIS!$C$107)/MAX(CROQUIS!$C$141,1))+1)/80,1))),1))+1))-1,0),0,MOD($A95-1,5))+1,CROQUIS!$C$98,CROQUIS!$C$98-CROQUIS!$C$107/2-CROQUIS!$C$144,IF(CROQUIS!$C$106=1,CROQUIS!$C$98+12,CROQUIS!$C$98-2),CROQUIS!$C$98-CROQUIS!$C$107/2-CROQUIS!$C$144,CROQUIS!$C$98)))*CROQUIS!$C$159)+IF(CROQUIS!$C$92="X",0.8,0)),-1000)</f>
        <v>-1000</v>
      </c>
      <c r="BY95">
        <f>IF(AND(CROQUIS!$C$88=1,CROQUIS!$C$91=0,CROQUIS!$C$141&gt;0,OR(CROQUIS!$C$106=1,CROQUIS!$C$146=1)),((CROQUIS!$C$161+(IF(CROQUIS!$C$92="X",CHOOSE(IF(INT(($A95-1)/5)&gt;MAX((MAX(1,INT(((CROQUIS!$C$97)-CROQUIS!$C$107)/MAX((CROQUIS!$C$141*MAX(1,CEILING((INT(((CROQUIS!$C$97)-CROQUIS!$C$107)/MAX(CROQUIS!$C$141,1))+1)/80,1))),1))+1))-1,0),0,MOD($A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ROQUIS!$C$159)+IF(CROQUIS!$C$92="X",0,0.8)),-1000)</f>
        <v>-1000</v>
      </c>
      <c r="BZ95">
        <f>IF(AND(CROQUIS!$C$88=1,CROQUIS!$C$91=1,CROQUIS!$C$133&gt;0),((CROQUIS!$C$160+(IF(CROQUIS!$C$92="X",CHOOSE(IF(INT(($A95-1)/5)&gt;MAX((MAX(1,INT(((CROQUIS!$C$98)-CROQUIS!$C$107)/MAX((CROQUIS!$C$133*MAX(1,CEILING((INT(((CROQUIS!$C$98)-CROQUIS!$C$107)/MAX(CROQUIS!$C$133,1))+1)/80,1))),1))+1))-1,0),0,MOD($A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CA95">
        <f>IF(AND(CROQUIS!$C$88=1,CROQUIS!$C$91=1,CROQUIS!$C$133&gt;0),((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6">
      <c r="A96" t="n">
        <v>89</v>
      </c>
      <c r="AJ96">
        <f>IF(AND(CROQUIS!$C$87=1,CROQUIS!$C$162&gt;0,CROQUIS!$C$164&gt;0),(CROQUIS!$C$160+((CROQUIS!$C$163+INT(MIN(INT(($A96-1)/2),MAX((2*CROQUIS!$C$162)-1,0))/2)*CROQUIS!$C$116+MOD(MIN(INT(($A96-1)/2),MAX((2*CROQUIS!$C$162)-1,0)),2)*CROQUIS!$C$114))*CROQUIS!$C$159),-1000)</f>
        <v>81.3375508359693</v>
      </c>
      <c r="AK96">
        <f>IF(AND(CROQUIS!$C$87=1,CROQUIS!$C$162&gt;0,CROQUIS!$C$164&gt;0),(CROQUIS!$C$161+(IF(MOD(MIN(INT(($A96-1)/2),MAX((2*CROQUIS!$C$162)-1,0)),2)=0,IF(IF(INT(($A96-1)/2)&gt;MAX((2*CROQUIS!$C$162)-1,0),1,MOD($A96-1,2))=0,CROQUIS!$C$165,(CROQUIS!$C$165+(CROQUIS!$C$164-1)*CROQUIS!$C$116+CROQUIS!$C$115)),IF(IF(INT(($A96-1)/2)&gt;MAX((2*CROQUIS!$C$162)-1,0),1,MOD($A96-1,2))=0,(CROQUIS!$C$165+(CROQUIS!$C$164-1)*CROQUIS!$C$116+CROQUIS!$C$115),CROQUIS!$C$165)))*CROQUIS!$C$159),-1000)</f>
        <v>20.8088567555355</v>
      </c>
      <c r="AL96">
        <f>IF(AND(CROQUIS!$C$87=1,CROQUIS!$C$164&gt;0,CROQUIS!$C$162&gt;0),(CROQUIS!$C$160+(IF(MOD(MIN(INT(($A96-1)/2),MAX((2*CROQUIS!$C$164)-1,0)),2)=0,IF(IF(INT(($A96-1)/2)&gt;MAX((2*CROQUIS!$C$164)-1,0),1,MOD($A96-1,2))=0,CROQUIS!$C$163,(CROQUIS!$C$163+(CROQUIS!$C$162-1)*CROQUIS!$C$116+CROQUIS!$C$114)),IF(IF(INT(($A96-1)/2)&gt;MAX((2*CROQUIS!$C$164)-1,0),1,MOD($A96-1,2))=0,(CROQUIS!$C$163+(CROQUIS!$C$162-1)*CROQUIS!$C$116+CROQUIS!$C$114),CROQUIS!$C$163)))*CROQUIS!$C$159),-1000)</f>
        <v>22.9552643470402</v>
      </c>
      <c r="AM96">
        <f>IF(AND(CROQUIS!$C$87=1,CROQUIS!$C$164&gt;0,CROQUIS!$C$162&gt;0),(CROQUIS!$C$161+((CROQUIS!$C$165+INT(MIN(INT(($A96-1)/2),MAX((2*CROQUIS!$C$164)-1,0))/2)*CROQUIS!$C$116+MOD(MIN(INT(($A96-1)/2),MAX((2*CROQUIS!$C$164)-1,0)),2)*CROQUIS!$C$115))*CROQUIS!$C$159),-1000)</f>
        <v>79.1911432444645</v>
      </c>
      <c r="BN96">
        <f>IF(AND(CROQUIS!$C$88=1,CROQUIS!$C$129&gt;0),((CROQUIS!$C$160+(IF(CROQUIS!$C$92="X",CHOOSE(IF(INT(($A96-1)/5)&gt;MAX((MAX(1,INT(((CROQUIS!$C$98)-CROQUIS!$C$107)/MAX((CROQUIS!$C$129*MAX(1,CEILING((INT(((CROQUIS!$C$98)-CROQUIS!$C$107)/MAX(CROQUIS!$C$129,1))+1)/80,1))),1))+1))-1,0),0,MOD($A96-1,5))+1,0,2,CROQUIS!$C$97-2,2,0),((CROQUIS!$C$107/2+(((CROQUIS!$C$98)-CROQUIS!$C$107)-(MAX(1,INT(((CROQUIS!$C$98)-CROQUIS!$C$107)/MAX((CROQUIS!$C$129*MAX(1,CEILING((INT(((CROQUIS!$C$98)-CROQUIS!$C$107)/MAX(CROQUIS!$C$129,1))+1)/80,1))),1))+1)-1)*(CROQUIS!$C$129*MAX(1,CEILING((INT(((CROQUIS!$C$98)-CROQUIS!$C$107)/MAX(CROQUIS!$C$129,1))+1)/80,1))))/2)+MIN(INT(($A96-1)/5),MAX((MAX(1,INT(((CROQUIS!$C$98)-CROQUIS!$C$107)/MAX((CROQUIS!$C$129*MAX(1,CEILING((INT(((CROQUIS!$C$98)-CROQUIS!$C$107)/MAX(CROQUIS!$C$129,1))+1)/80,1))),1))+1))-1,0))*(CROQUIS!$C$129*MAX(1,CEILING((INT(((CROQUIS!$C$98)-CROQUIS!$C$107)/MAX(CROQUIS!$C$129,1))+1)/80,1))))))*CROQUIS!$C$159)+IF(CROQUIS!$C$92="X",0,0)),-1000)</f>
        <v>-1000</v>
      </c>
      <c r="BO96">
        <f>IF(AND(CROQUIS!$C$88=1,CROQUIS!$C$129&gt;0),((CROQUIS!$C$161+(IF(CROQUIS!$C$92="X",((CROQUIS!$C$107/2+(((CROQUIS!$C$98)-CROQUIS!$C$107)-(MAX(1,INT(((CROQUIS!$C$98)-CROQUIS!$C$107)/MAX((CROQUIS!$C$129*MAX(1,CEILING((INT(((CROQUIS!$C$98)-CROQUIS!$C$107)/MAX(CROQUIS!$C$129,1))+1)/80,1))),1))+1)-1)*(CROQUIS!$C$129*MAX(1,CEILING((INT(((CROQUIS!$C$98)-CROQUIS!$C$107)/MAX(CROQUIS!$C$129,1))+1)/80,1))))/2)+MIN(INT(($A96-1)/5),MAX((MAX(1,INT(((CROQUIS!$C$98)-CROQUIS!$C$107)/MAX((CROQUIS!$C$129*MAX(1,CEILING((INT(((CROQUIS!$C$98)-CROQUIS!$C$107)/MAX(CROQUIS!$C$129,1))+1)/80,1))),1))+1))-1,0))*(CROQUIS!$C$129*MAX(1,CEILING((INT(((CROQUIS!$C$98)-CROQUIS!$C$107)/MAX(CROQUIS!$C$129,1))+1)/80,1)))),CHOOSE(IF(INT(($A96-1)/5)&gt;MAX((MAX(1,INT(((CROQUIS!$C$98)-CROQUIS!$C$107)/MAX((CROQUIS!$C$129*MAX(1,CEILING((INT(((CROQUIS!$C$98)-CROQUIS!$C$107)/MAX(CROQUIS!$C$129,1))+1)/80,1))),1))+1))-1,0),0,MOD($A96-1,5))+1,0,2,CROQUIS!$C$97-2,2,0)))*CROQUIS!$C$159)+IF(CROQUIS!$C$92="X",0,0)),-1000)</f>
        <v>-1000</v>
      </c>
      <c r="BP96">
        <f>IF(AND(CROQUIS!$C$88=1,CROQUIS!$C$137&gt;0),((CROQUIS!$C$160+(IF(CROQUIS!$C$92="X",((CROQUIS!$C$107/2+(((CROQUIS!$C$97)-CROQUIS!$C$107)-(MAX(1,INT(((CROQUIS!$C$97)-CROQUIS!$C$107)/MAX((CROQUIS!$C$137*MAX(1,CEILING((INT(((CROQUIS!$C$97)-CROQUIS!$C$107)/MAX(CROQUIS!$C$137,1))+1)/80,1))),1))+1)-1)*(CROQUIS!$C$137*MAX(1,CEILING((INT(((CROQUIS!$C$97)-CROQUIS!$C$107)/MAX(CROQUIS!$C$137,1))+1)/80,1))))/2)+MIN(INT(($A96-1)/5),MAX((MAX(1,INT(((CROQUIS!$C$97)-CROQUIS!$C$107)/MAX((CROQUIS!$C$137*MAX(1,CEILING((INT(((CROQUIS!$C$97)-CROQUIS!$C$107)/MAX(CROQUIS!$C$137,1))+1)/80,1))),1))+1))-1,0))*(CROQUIS!$C$137*MAX(1,CEILING((INT(((CROQUIS!$C$97)-CROQUIS!$C$107)/MAX(CROQUIS!$C$137,1))+1)/80,1)))),CHOOSE(IF(INT(($A96-1)/5)&gt;MAX((MAX(1,INT(((CROQUIS!$C$97)-CROQUIS!$C$107)/MAX((CROQUIS!$C$137*MAX(1,CEILING((INT(((CROQUIS!$C$97)-CROQUIS!$C$107)/MAX(CROQUIS!$C$137,1))+1)/80,1))),1))+1))-1,0),0,MOD($A96-1,5))+1,0,2,CROQUIS!$C$98-2,2,0)))*CROQUIS!$C$159)+IF(CROQUIS!$C$92="X",0,0)),-1000)</f>
        <v>-1000</v>
      </c>
      <c r="BQ96">
        <f>IF(AND(CROQUIS!$C$88=1,CROQUIS!$C$137&gt;0),((CROQUIS!$C$161+(IF(CROQUIS!$C$92="X",CHOOSE(IF(INT(($A96-1)/5)&gt;MAX((MAX(1,INT(((CROQUIS!$C$97)-CROQUIS!$C$107)/MAX((CROQUIS!$C$137*MAX(1,CEILING((INT(((CROQUIS!$C$97)-CROQUIS!$C$107)/MAX(CROQUIS!$C$137,1))+1)/80,1))),1))+1))-1,0),0,MOD($A96-1,5))+1,0,2,CROQUIS!$C$98-2,2,0),((CROQUIS!$C$107/2+(((CROQUIS!$C$97)-CROQUIS!$C$107)-(MAX(1,INT(((CROQUIS!$C$97)-CROQUIS!$C$107)/MAX((CROQUIS!$C$137*MAX(1,CEILING((INT(((CROQUIS!$C$97)-CROQUIS!$C$107)/MAX(CROQUIS!$C$137,1))+1)/80,1))),1))+1)-1)*(CROQUIS!$C$137*MAX(1,CEILING((INT(((CROQUIS!$C$97)-CROQUIS!$C$107)/MAX(CROQUIS!$C$137,1))+1)/80,1))))/2)+MIN(INT(($A96-1)/5),MAX((MAX(1,INT(((CROQUIS!$C$97)-CROQUIS!$C$107)/MAX((CROQUIS!$C$137*MAX(1,CEILING((INT(((CROQUIS!$C$97)-CROQUIS!$C$107)/MAX(CROQUIS!$C$137,1))+1)/80,1))),1))+1))-1,0))*(CROQUIS!$C$137*MAX(1,CEILING((INT(((CROQUIS!$C$97)-CROQUIS!$C$107)/MAX(CROQUIS!$C$137,1))+1)/80,1))))))*CROQUIS!$C$159)+IF(CROQUIS!$C$92="X",0,0)),-1000)</f>
        <v>-1000</v>
      </c>
      <c r="BR96">
        <f>IF(AND(CROQUIS!$C$88=1,CROQUIS!$C$91=0,CROQUIS!$C$133&gt;0,OR(CROQUIS!$C$103=1,CROQUIS!$C$145=1)),((CROQUIS!$C$160+(IF(CROQUIS!$C$92="X",CHOOSE(IF(INT(($A96-1)/5)&gt;MAX((MAX(1,INT(((CROQUIS!$C$98)-CROQUIS!$C$107)/MAX((CROQUIS!$C$133*MAX(1,CEILING((INT(((CROQUIS!$C$98)-CROQUIS!$C$107)/MAX(CROQUIS!$C$133,1))+1)/80,1))),1))+1))-1,0),0,MOD($A96-1,5))+1,0,IF(CROQUIS!$C$103=1,-12,2),CROQUIS!$C$107/2+CROQUIS!$C$143,IF(CROQUIS!$C$103=1,-12,2),0),((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BS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+1,0,IF(CROQUIS!$C$103=1,-12,2),CROQUIS!$C$107/2+CROQUIS!$C$143,IF(CROQUIS!$C$103=1,-12,2),0)))*CROQUIS!$C$159)+IF(CROQUIS!$C$92="X",0.8,0)),-1000)</f>
        <v>-1000</v>
      </c>
      <c r="BT96">
        <f>IF(AND(CROQUIS!$C$88=1,CROQUIS!$C$91=0,CROQUIS!$C$133&gt;0,OR(CROQUIS!$C$104=1,CROQUIS!$C$145=1)),((CROQUIS!$C$160+(IF(CROQUIS!$C$92="X",CHOOSE(IF(INT(($A96-1)/5)&gt;MAX((MAX(1,INT(((CROQUIS!$C$98)-CROQUIS!$C$107)/MAX((CROQUIS!$C$133*MAX(1,CEILING((INT(((CROQUIS!$C$98)-CROQUIS!$C$107)/MAX(CROQUIS!$C$133,1))+1)/80,1))),1))+1))-1,0),0,MOD($A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BU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CROQUIS!$C$97,CROQUIS!$C$97-CROQUIS!$C$107/2-CROQUIS!$C$143,IF(CROQUIS!$C$104=1,CROQUIS!$C$97+12,CROQUIS!$C$97-2),CROQUIS!$C$97-CROQUIS!$C$107/2-CROQUIS!$C$143,CROQUIS!$C$97)))*CROQUIS!$C$159)+IF(CROQUIS!$C$92="X",0.8,0)),-1000)</f>
        <v>-1000</v>
      </c>
      <c r="BV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HOOSE(IF(INT(($A96-1)/5)&gt;MAX((MAX(1,INT(((CROQUIS!$C$97)-CROQUIS!$C$107)/MAX((CROQUIS!$C$141*MAX(1,CEILING((INT(((CROQUIS!$C$97)-CROQUIS!$C$107)/MAX(CROQUIS!$C$141,1))+1)/80,1))),1))+1))-1,0),0,MOD($A96-1,5))+1,0,IF(CROQUIS!$C$105=1,-12,2),CROQUIS!$C$107/2+CROQUIS!$C$144,IF(CROQUIS!$C$105=1,-12,2),0)))*CROQUIS!$C$159)+IF(CROQUIS!$C$92="X",0.8,0)),-1000)</f>
        <v>-1000</v>
      </c>
      <c r="BW96">
        <f>IF(AND(CROQUIS!$C$88=1,CROQUIS!$C$91=0,CROQUIS!$C$141&gt;0,OR(CROQUIS!$C$105=1,CROQUIS!$C$146=1)),((CROQUIS!$C$161+(IF(CROQUIS!$C$92="X",CHOOSE(IF(INT(($A96-1)/5)&gt;MAX((MAX(1,INT(((CROQUIS!$C$97)-CROQUIS!$C$107)/MAX((CROQUIS!$C$141*MAX(1,CEILING((INT(((CROQUIS!$C$97)-CROQUIS!$C$107)/MAX(CROQUIS!$C$141,1))+1)/80,1))),1))+1))-1,0),0,MOD($A96-1,5))+1,0,IF(CROQUIS!$C$105=1,-12,2),CROQUIS!$C$107/2+CROQUIS!$C$144,IF(CROQUIS!$C$105=1,-12,2),0),((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ROQUIS!$C$159)+IF(CROQUIS!$C$92="X",0,0.8)),-1000)</f>
        <v>-1000</v>
      </c>
      <c r="BX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HOOSE(IF(INT(($A96-1)/5)&gt;MAX((MAX(1,INT(((CROQUIS!$C$97)-CROQUIS!$C$107)/MAX((CROQUIS!$C$141*MAX(1,CEILING((INT(((CROQUIS!$C$97)-CROQUIS!$C$107)/MAX(CROQUIS!$C$141,1))+1)/80,1))),1))+1))-1,0),0,MOD($A96-1,5))+1,CROQUIS!$C$98,CROQUIS!$C$98-CROQUIS!$C$107/2-CROQUIS!$C$144,IF(CROQUIS!$C$106=1,CROQUIS!$C$98+12,CROQUIS!$C$98-2),CROQUIS!$C$98-CROQUIS!$C$107/2-CROQUIS!$C$144,CROQUIS!$C$98)))*CROQUIS!$C$159)+IF(CROQUIS!$C$92="X",0.8,0)),-1000)</f>
        <v>-1000</v>
      </c>
      <c r="BY96">
        <f>IF(AND(CROQUIS!$C$88=1,CROQUIS!$C$91=0,CROQUIS!$C$141&gt;0,OR(CROQUIS!$C$106=1,CROQUIS!$C$146=1)),((CROQUIS!$C$161+(IF(CROQUIS!$C$92="X",CHOOSE(IF(INT(($A96-1)/5)&gt;MAX((MAX(1,INT(((CROQUIS!$C$97)-CROQUIS!$C$107)/MAX((CROQUIS!$C$141*MAX(1,CEILING((INT(((CROQUIS!$C$97)-CROQUIS!$C$107)/MAX(CROQUIS!$C$141,1))+1)/80,1))),1))+1))-1,0),0,MOD($A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ROQUIS!$C$159)+IF(CROQUIS!$C$92="X",0,0.8)),-1000)</f>
        <v>-1000</v>
      </c>
      <c r="BZ96">
        <f>IF(AND(CROQUIS!$C$88=1,CROQUIS!$C$91=1,CROQUIS!$C$133&gt;0),((CROQUIS!$C$160+(IF(CROQUIS!$C$92="X",CHOOSE(IF(INT(($A96-1)/5)&gt;MAX((MAX(1,INT(((CROQUIS!$C$98)-CROQUIS!$C$107)/MAX((CROQUIS!$C$133*MAX(1,CEILING((INT(((CROQUIS!$C$98)-CROQUIS!$C$107)/MAX(CROQUIS!$C$133,1))+1)/80,1))),1))+1))-1,0),0,MOD($A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CA96">
        <f>IF(AND(CROQUIS!$C$88=1,CROQUIS!$C$91=1,CROQUIS!$C$133&gt;0),((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7">
      <c r="A97" t="n">
        <v>90</v>
      </c>
      <c r="AJ97">
        <f>IF(AND(CROQUIS!$C$87=1,CROQUIS!$C$162&gt;0,CROQUIS!$C$164&gt;0),(CROQUIS!$C$160+((CROQUIS!$C$163+INT(MIN(INT(($A97-1)/2),MAX((2*CROQUIS!$C$162)-1,0))/2)*CROQUIS!$C$116+MOD(MIN(INT(($A97-1)/2),MAX((2*CROQUIS!$C$162)-1,0)),2)*CROQUIS!$C$114))*CROQUIS!$C$159),-1000)</f>
        <v>81.3375508359693</v>
      </c>
      <c r="AK97">
        <f>IF(AND(CROQUIS!$C$87=1,CROQUIS!$C$162&gt;0,CROQUIS!$C$164&gt;0),(CROQUIS!$C$161+(IF(MOD(MIN(INT(($A97-1)/2),MAX((2*CROQUIS!$C$162)-1,0)),2)=0,IF(IF(INT(($A97-1)/2)&gt;MAX((2*CROQUIS!$C$162)-1,0),1,MOD($A97-1,2))=0,CROQUIS!$C$165,(CROQUIS!$C$165+(CROQUIS!$C$164-1)*CROQUIS!$C$116+CROQUIS!$C$115)),IF(IF(INT(($A97-1)/2)&gt;MAX((2*CROQUIS!$C$162)-1,0),1,MOD($A97-1,2))=0,(CROQUIS!$C$165+(CROQUIS!$C$164-1)*CROQUIS!$C$116+CROQUIS!$C$115),CROQUIS!$C$165)))*CROQUIS!$C$159),-1000)</f>
        <v>20.8088567555355</v>
      </c>
      <c r="AL97">
        <f>IF(AND(CROQUIS!$C$87=1,CROQUIS!$C$164&gt;0,CROQUIS!$C$162&gt;0),(CROQUIS!$C$160+(IF(MOD(MIN(INT(($A97-1)/2),MAX((2*CROQUIS!$C$164)-1,0)),2)=0,IF(IF(INT(($A97-1)/2)&gt;MAX((2*CROQUIS!$C$164)-1,0),1,MOD($A97-1,2))=0,CROQUIS!$C$163,(CROQUIS!$C$163+(CROQUIS!$C$162-1)*CROQUIS!$C$116+CROQUIS!$C$114)),IF(IF(INT(($A97-1)/2)&gt;MAX((2*CROQUIS!$C$164)-1,0),1,MOD($A97-1,2))=0,(CROQUIS!$C$163+(CROQUIS!$C$162-1)*CROQUIS!$C$116+CROQUIS!$C$114),CROQUIS!$C$163)))*CROQUIS!$C$159),-1000)</f>
        <v>22.9552643470402</v>
      </c>
      <c r="AM97">
        <f>IF(AND(CROQUIS!$C$87=1,CROQUIS!$C$164&gt;0,CROQUIS!$C$162&gt;0),(CROQUIS!$C$161+((CROQUIS!$C$165+INT(MIN(INT(($A97-1)/2),MAX((2*CROQUIS!$C$164)-1,0))/2)*CROQUIS!$C$116+MOD(MIN(INT(($A97-1)/2),MAX((2*CROQUIS!$C$164)-1,0)),2)*CROQUIS!$C$115))*CROQUIS!$C$159),-1000)</f>
        <v>79.1911432444645</v>
      </c>
      <c r="BN97">
        <f>IF(AND(CROQUIS!$C$88=1,CROQUIS!$C$129&gt;0),((CROQUIS!$C$160+(IF(CROQUIS!$C$92="X",CHOOSE(IF(INT(($A97-1)/5)&gt;MAX((MAX(1,INT(((CROQUIS!$C$98)-CROQUIS!$C$107)/MAX((CROQUIS!$C$129*MAX(1,CEILING((INT(((CROQUIS!$C$98)-CROQUIS!$C$107)/MAX(CROQUIS!$C$129,1))+1)/80,1))),1))+1))-1,0),0,MOD($A97-1,5))+1,0,2,CROQUIS!$C$97-2,2,0),((CROQUIS!$C$107/2+(((CROQUIS!$C$98)-CROQUIS!$C$107)-(MAX(1,INT(((CROQUIS!$C$98)-CROQUIS!$C$107)/MAX((CROQUIS!$C$129*MAX(1,CEILING((INT(((CROQUIS!$C$98)-CROQUIS!$C$107)/MAX(CROQUIS!$C$129,1))+1)/80,1))),1))+1)-1)*(CROQUIS!$C$129*MAX(1,CEILING((INT(((CROQUIS!$C$98)-CROQUIS!$C$107)/MAX(CROQUIS!$C$129,1))+1)/80,1))))/2)+MIN(INT(($A97-1)/5),MAX((MAX(1,INT(((CROQUIS!$C$98)-CROQUIS!$C$107)/MAX((CROQUIS!$C$129*MAX(1,CEILING((INT(((CROQUIS!$C$98)-CROQUIS!$C$107)/MAX(CROQUIS!$C$129,1))+1)/80,1))),1))+1))-1,0))*(CROQUIS!$C$129*MAX(1,CEILING((INT(((CROQUIS!$C$98)-CROQUIS!$C$107)/MAX(CROQUIS!$C$129,1))+1)/80,1))))))*CROQUIS!$C$159)+IF(CROQUIS!$C$92="X",0,0)),-1000)</f>
        <v>-1000</v>
      </c>
      <c r="BO97">
        <f>IF(AND(CROQUIS!$C$88=1,CROQUIS!$C$129&gt;0),((CROQUIS!$C$161+(IF(CROQUIS!$C$92="X",((CROQUIS!$C$107/2+(((CROQUIS!$C$98)-CROQUIS!$C$107)-(MAX(1,INT(((CROQUIS!$C$98)-CROQUIS!$C$107)/MAX((CROQUIS!$C$129*MAX(1,CEILING((INT(((CROQUIS!$C$98)-CROQUIS!$C$107)/MAX(CROQUIS!$C$129,1))+1)/80,1))),1))+1)-1)*(CROQUIS!$C$129*MAX(1,CEILING((INT(((CROQUIS!$C$98)-CROQUIS!$C$107)/MAX(CROQUIS!$C$129,1))+1)/80,1))))/2)+MIN(INT(($A97-1)/5),MAX((MAX(1,INT(((CROQUIS!$C$98)-CROQUIS!$C$107)/MAX((CROQUIS!$C$129*MAX(1,CEILING((INT(((CROQUIS!$C$98)-CROQUIS!$C$107)/MAX(CROQUIS!$C$129,1))+1)/80,1))),1))+1))-1,0))*(CROQUIS!$C$129*MAX(1,CEILING((INT(((CROQUIS!$C$98)-CROQUIS!$C$107)/MAX(CROQUIS!$C$129,1))+1)/80,1)))),CHOOSE(IF(INT(($A97-1)/5)&gt;MAX((MAX(1,INT(((CROQUIS!$C$98)-CROQUIS!$C$107)/MAX((CROQUIS!$C$129*MAX(1,CEILING((INT(((CROQUIS!$C$98)-CROQUIS!$C$107)/MAX(CROQUIS!$C$129,1))+1)/80,1))),1))+1))-1,0),0,MOD($A97-1,5))+1,0,2,CROQUIS!$C$97-2,2,0)))*CROQUIS!$C$159)+IF(CROQUIS!$C$92="X",0,0)),-1000)</f>
        <v>-1000</v>
      </c>
      <c r="BP97">
        <f>IF(AND(CROQUIS!$C$88=1,CROQUIS!$C$137&gt;0),((CROQUIS!$C$160+(IF(CROQUIS!$C$92="X",((CROQUIS!$C$107/2+(((CROQUIS!$C$97)-CROQUIS!$C$107)-(MAX(1,INT(((CROQUIS!$C$97)-CROQUIS!$C$107)/MAX((CROQUIS!$C$137*MAX(1,CEILING((INT(((CROQUIS!$C$97)-CROQUIS!$C$107)/MAX(CROQUIS!$C$137,1))+1)/80,1))),1))+1)-1)*(CROQUIS!$C$137*MAX(1,CEILING((INT(((CROQUIS!$C$97)-CROQUIS!$C$107)/MAX(CROQUIS!$C$137,1))+1)/80,1))))/2)+MIN(INT(($A97-1)/5),MAX((MAX(1,INT(((CROQUIS!$C$97)-CROQUIS!$C$107)/MAX((CROQUIS!$C$137*MAX(1,CEILING((INT(((CROQUIS!$C$97)-CROQUIS!$C$107)/MAX(CROQUIS!$C$137,1))+1)/80,1))),1))+1))-1,0))*(CROQUIS!$C$137*MAX(1,CEILING((INT(((CROQUIS!$C$97)-CROQUIS!$C$107)/MAX(CROQUIS!$C$137,1))+1)/80,1)))),CHOOSE(IF(INT(($A97-1)/5)&gt;MAX((MAX(1,INT(((CROQUIS!$C$97)-CROQUIS!$C$107)/MAX((CROQUIS!$C$137*MAX(1,CEILING((INT(((CROQUIS!$C$97)-CROQUIS!$C$107)/MAX(CROQUIS!$C$137,1))+1)/80,1))),1))+1))-1,0),0,MOD($A97-1,5))+1,0,2,CROQUIS!$C$98-2,2,0)))*CROQUIS!$C$159)+IF(CROQUIS!$C$92="X",0,0)),-1000)</f>
        <v>-1000</v>
      </c>
      <c r="BQ97">
        <f>IF(AND(CROQUIS!$C$88=1,CROQUIS!$C$137&gt;0),((CROQUIS!$C$161+(IF(CROQUIS!$C$92="X",CHOOSE(IF(INT(($A97-1)/5)&gt;MAX((MAX(1,INT(((CROQUIS!$C$97)-CROQUIS!$C$107)/MAX((CROQUIS!$C$137*MAX(1,CEILING((INT(((CROQUIS!$C$97)-CROQUIS!$C$107)/MAX(CROQUIS!$C$137,1))+1)/80,1))),1))+1))-1,0),0,MOD($A97-1,5))+1,0,2,CROQUIS!$C$98-2,2,0),((CROQUIS!$C$107/2+(((CROQUIS!$C$97)-CROQUIS!$C$107)-(MAX(1,INT(((CROQUIS!$C$97)-CROQUIS!$C$107)/MAX((CROQUIS!$C$137*MAX(1,CEILING((INT(((CROQUIS!$C$97)-CROQUIS!$C$107)/MAX(CROQUIS!$C$137,1))+1)/80,1))),1))+1)-1)*(CROQUIS!$C$137*MAX(1,CEILING((INT(((CROQUIS!$C$97)-CROQUIS!$C$107)/MAX(CROQUIS!$C$137,1))+1)/80,1))))/2)+MIN(INT(($A97-1)/5),MAX((MAX(1,INT(((CROQUIS!$C$97)-CROQUIS!$C$107)/MAX((CROQUIS!$C$137*MAX(1,CEILING((INT(((CROQUIS!$C$97)-CROQUIS!$C$107)/MAX(CROQUIS!$C$137,1))+1)/80,1))),1))+1))-1,0))*(CROQUIS!$C$137*MAX(1,CEILING((INT(((CROQUIS!$C$97)-CROQUIS!$C$107)/MAX(CROQUIS!$C$137,1))+1)/80,1))))))*CROQUIS!$C$159)+IF(CROQUIS!$C$92="X",0,0)),-1000)</f>
        <v>-1000</v>
      </c>
      <c r="BR97">
        <f>IF(AND(CROQUIS!$C$88=1,CROQUIS!$C$91=0,CROQUIS!$C$133&gt;0,OR(CROQUIS!$C$103=1,CROQUIS!$C$145=1)),((CROQUIS!$C$160+(IF(CROQUIS!$C$92="X",CHOOSE(IF(INT(($A97-1)/5)&gt;MAX((MAX(1,INT(((CROQUIS!$C$98)-CROQUIS!$C$107)/MAX((CROQUIS!$C$133*MAX(1,CEILING((INT(((CROQUIS!$C$98)-CROQUIS!$C$107)/MAX(CROQUIS!$C$133,1))+1)/80,1))),1))+1))-1,0),0,MOD($A97-1,5))+1,0,IF(CROQUIS!$C$103=1,-12,2),CROQUIS!$C$107/2+CROQUIS!$C$143,IF(CROQUIS!$C$103=1,-12,2),0),((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BS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+1,0,IF(CROQUIS!$C$103=1,-12,2),CROQUIS!$C$107/2+CROQUIS!$C$143,IF(CROQUIS!$C$103=1,-12,2),0)))*CROQUIS!$C$159)+IF(CROQUIS!$C$92="X",0.8,0)),-1000)</f>
        <v>-1000</v>
      </c>
      <c r="BT97">
        <f>IF(AND(CROQUIS!$C$88=1,CROQUIS!$C$91=0,CROQUIS!$C$133&gt;0,OR(CROQUIS!$C$104=1,CROQUIS!$C$145=1)),((CROQUIS!$C$160+(IF(CROQUIS!$C$92="X",CHOOSE(IF(INT(($A97-1)/5)&gt;MAX((MAX(1,INT(((CROQUIS!$C$98)-CROQUIS!$C$107)/MAX((CROQUIS!$C$133*MAX(1,CEILING((INT(((CROQUIS!$C$98)-CROQUIS!$C$107)/MAX(CROQUIS!$C$133,1))+1)/80,1))),1))+1))-1,0),0,MOD($A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BU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CROQUIS!$C$97,CROQUIS!$C$97-CROQUIS!$C$107/2-CROQUIS!$C$143,IF(CROQUIS!$C$104=1,CROQUIS!$C$97+12,CROQUIS!$C$97-2),CROQUIS!$C$97-CROQUIS!$C$107/2-CROQUIS!$C$143,CROQUIS!$C$97)))*CROQUIS!$C$159)+IF(CROQUIS!$C$92="X",0.8,0)),-1000)</f>
        <v>-1000</v>
      </c>
      <c r="BV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HOOSE(IF(INT(($A97-1)/5)&gt;MAX((MAX(1,INT(((CROQUIS!$C$97)-CROQUIS!$C$107)/MAX((CROQUIS!$C$141*MAX(1,CEILING((INT(((CROQUIS!$C$97)-CROQUIS!$C$107)/MAX(CROQUIS!$C$141,1))+1)/80,1))),1))+1))-1,0),0,MOD($A97-1,5))+1,0,IF(CROQUIS!$C$105=1,-12,2),CROQUIS!$C$107/2+CROQUIS!$C$144,IF(CROQUIS!$C$105=1,-12,2),0)))*CROQUIS!$C$159)+IF(CROQUIS!$C$92="X",0.8,0)),-1000)</f>
        <v>-1000</v>
      </c>
      <c r="BW97">
        <f>IF(AND(CROQUIS!$C$88=1,CROQUIS!$C$91=0,CROQUIS!$C$141&gt;0,OR(CROQUIS!$C$105=1,CROQUIS!$C$146=1)),((CROQUIS!$C$161+(IF(CROQUIS!$C$92="X",CHOOSE(IF(INT(($A97-1)/5)&gt;MAX((MAX(1,INT(((CROQUIS!$C$97)-CROQUIS!$C$107)/MAX((CROQUIS!$C$141*MAX(1,CEILING((INT(((CROQUIS!$C$97)-CROQUIS!$C$107)/MAX(CROQUIS!$C$141,1))+1)/80,1))),1))+1))-1,0),0,MOD($A97-1,5))+1,0,IF(CROQUIS!$C$105=1,-12,2),CROQUIS!$C$107/2+CROQUIS!$C$144,IF(CROQUIS!$C$105=1,-12,2),0),((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ROQUIS!$C$159)+IF(CROQUIS!$C$92="X",0,0.8)),-1000)</f>
        <v>-1000</v>
      </c>
      <c r="BX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HOOSE(IF(INT(($A97-1)/5)&gt;MAX((MAX(1,INT(((CROQUIS!$C$97)-CROQUIS!$C$107)/MAX((CROQUIS!$C$141*MAX(1,CEILING((INT(((CROQUIS!$C$97)-CROQUIS!$C$107)/MAX(CROQUIS!$C$141,1))+1)/80,1))),1))+1))-1,0),0,MOD($A97-1,5))+1,CROQUIS!$C$98,CROQUIS!$C$98-CROQUIS!$C$107/2-CROQUIS!$C$144,IF(CROQUIS!$C$106=1,CROQUIS!$C$98+12,CROQUIS!$C$98-2),CROQUIS!$C$98-CROQUIS!$C$107/2-CROQUIS!$C$144,CROQUIS!$C$98)))*CROQUIS!$C$159)+IF(CROQUIS!$C$92="X",0.8,0)),-1000)</f>
        <v>-1000</v>
      </c>
      <c r="BY97">
        <f>IF(AND(CROQUIS!$C$88=1,CROQUIS!$C$91=0,CROQUIS!$C$141&gt;0,OR(CROQUIS!$C$106=1,CROQUIS!$C$146=1)),((CROQUIS!$C$161+(IF(CROQUIS!$C$92="X",CHOOSE(IF(INT(($A97-1)/5)&gt;MAX((MAX(1,INT(((CROQUIS!$C$97)-CROQUIS!$C$107)/MAX((CROQUIS!$C$141*MAX(1,CEILING((INT(((CROQUIS!$C$97)-CROQUIS!$C$107)/MAX(CROQUIS!$C$141,1))+1)/80,1))),1))+1))-1,0),0,MOD($A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ROQUIS!$C$159)+IF(CROQUIS!$C$92="X",0,0.8)),-1000)</f>
        <v>-1000</v>
      </c>
      <c r="BZ97">
        <f>IF(AND(CROQUIS!$C$88=1,CROQUIS!$C$91=1,CROQUIS!$C$133&gt;0),((CROQUIS!$C$160+(IF(CROQUIS!$C$92="X",CHOOSE(IF(INT(($A97-1)/5)&gt;MAX((MAX(1,INT(((CROQUIS!$C$98)-CROQUIS!$C$107)/MAX((CROQUIS!$C$133*MAX(1,CEILING((INT(((CROQUIS!$C$98)-CROQUIS!$C$107)/MAX(CROQUIS!$C$133,1))+1)/80,1))),1))+1))-1,0),0,MOD($A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CA97">
        <f>IF(AND(CROQUIS!$C$88=1,CROQUIS!$C$91=1,CROQUIS!$C$133&gt;0),((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8">
      <c r="A98" t="n">
        <v>91</v>
      </c>
      <c r="AJ98">
        <f>IF(AND(CROQUIS!$C$87=1,CROQUIS!$C$162&gt;0,CROQUIS!$C$164&gt;0),(CROQUIS!$C$160+((CROQUIS!$C$163+INT(MIN(INT(($A98-1)/2),MAX((2*CROQUIS!$C$162)-1,0))/2)*CROQUIS!$C$116+MOD(MIN(INT(($A98-1)/2),MAX((2*CROQUIS!$C$162)-1,0)),2)*CROQUIS!$C$114))*CROQUIS!$C$159),-1000)</f>
        <v>81.3375508359693</v>
      </c>
      <c r="AK98">
        <f>IF(AND(CROQUIS!$C$87=1,CROQUIS!$C$162&gt;0,CROQUIS!$C$164&gt;0),(CROQUIS!$C$161+(IF(MOD(MIN(INT(($A98-1)/2),MAX((2*CROQUIS!$C$162)-1,0)),2)=0,IF(IF(INT(($A98-1)/2)&gt;MAX((2*CROQUIS!$C$162)-1,0),1,MOD($A98-1,2))=0,CROQUIS!$C$165,(CROQUIS!$C$165+(CROQUIS!$C$164-1)*CROQUIS!$C$116+CROQUIS!$C$115)),IF(IF(INT(($A98-1)/2)&gt;MAX((2*CROQUIS!$C$162)-1,0),1,MOD($A98-1,2))=0,(CROQUIS!$C$165+(CROQUIS!$C$164-1)*CROQUIS!$C$116+CROQUIS!$C$115),CROQUIS!$C$165)))*CROQUIS!$C$159),-1000)</f>
        <v>20.8088567555355</v>
      </c>
      <c r="AL98">
        <f>IF(AND(CROQUIS!$C$87=1,CROQUIS!$C$164&gt;0,CROQUIS!$C$162&gt;0),(CROQUIS!$C$160+(IF(MOD(MIN(INT(($A98-1)/2),MAX((2*CROQUIS!$C$164)-1,0)),2)=0,IF(IF(INT(($A98-1)/2)&gt;MAX((2*CROQUIS!$C$164)-1,0),1,MOD($A98-1,2))=0,CROQUIS!$C$163,(CROQUIS!$C$163+(CROQUIS!$C$162-1)*CROQUIS!$C$116+CROQUIS!$C$114)),IF(IF(INT(($A98-1)/2)&gt;MAX((2*CROQUIS!$C$164)-1,0),1,MOD($A98-1,2))=0,(CROQUIS!$C$163+(CROQUIS!$C$162-1)*CROQUIS!$C$116+CROQUIS!$C$114),CROQUIS!$C$163)))*CROQUIS!$C$159),-1000)</f>
        <v>22.9552643470402</v>
      </c>
      <c r="AM98">
        <f>IF(AND(CROQUIS!$C$87=1,CROQUIS!$C$164&gt;0,CROQUIS!$C$162&gt;0),(CROQUIS!$C$161+((CROQUIS!$C$165+INT(MIN(INT(($A98-1)/2),MAX((2*CROQUIS!$C$164)-1,0))/2)*CROQUIS!$C$116+MOD(MIN(INT(($A98-1)/2),MAX((2*CROQUIS!$C$164)-1,0)),2)*CROQUIS!$C$115))*CROQUIS!$C$159),-1000)</f>
        <v>79.1911432444645</v>
      </c>
      <c r="BN98">
        <f>IF(AND(CROQUIS!$C$88=1,CROQUIS!$C$129&gt;0),((CROQUIS!$C$160+(IF(CROQUIS!$C$92="X",CHOOSE(IF(INT(($A98-1)/5)&gt;MAX((MAX(1,INT(((CROQUIS!$C$98)-CROQUIS!$C$107)/MAX((CROQUIS!$C$129*MAX(1,CEILING((INT(((CROQUIS!$C$98)-CROQUIS!$C$107)/MAX(CROQUIS!$C$129,1))+1)/80,1))),1))+1))-1,0),0,MOD($A98-1,5))+1,0,2,CROQUIS!$C$97-2,2,0),((CROQUIS!$C$107/2+(((CROQUIS!$C$98)-CROQUIS!$C$107)-(MAX(1,INT(((CROQUIS!$C$98)-CROQUIS!$C$107)/MAX((CROQUIS!$C$129*MAX(1,CEILING((INT(((CROQUIS!$C$98)-CROQUIS!$C$107)/MAX(CROQUIS!$C$129,1))+1)/80,1))),1))+1)-1)*(CROQUIS!$C$129*MAX(1,CEILING((INT(((CROQUIS!$C$98)-CROQUIS!$C$107)/MAX(CROQUIS!$C$129,1))+1)/80,1))))/2)+MIN(INT(($A98-1)/5),MAX((MAX(1,INT(((CROQUIS!$C$98)-CROQUIS!$C$107)/MAX((CROQUIS!$C$129*MAX(1,CEILING((INT(((CROQUIS!$C$98)-CROQUIS!$C$107)/MAX(CROQUIS!$C$129,1))+1)/80,1))),1))+1))-1,0))*(CROQUIS!$C$129*MAX(1,CEILING((INT(((CROQUIS!$C$98)-CROQUIS!$C$107)/MAX(CROQUIS!$C$129,1))+1)/80,1))))))*CROQUIS!$C$159)+IF(CROQUIS!$C$92="X",0,0)),-1000)</f>
        <v>-1000</v>
      </c>
      <c r="BO98">
        <f>IF(AND(CROQUIS!$C$88=1,CROQUIS!$C$129&gt;0),((CROQUIS!$C$161+(IF(CROQUIS!$C$92="X",((CROQUIS!$C$107/2+(((CROQUIS!$C$98)-CROQUIS!$C$107)-(MAX(1,INT(((CROQUIS!$C$98)-CROQUIS!$C$107)/MAX((CROQUIS!$C$129*MAX(1,CEILING((INT(((CROQUIS!$C$98)-CROQUIS!$C$107)/MAX(CROQUIS!$C$129,1))+1)/80,1))),1))+1)-1)*(CROQUIS!$C$129*MAX(1,CEILING((INT(((CROQUIS!$C$98)-CROQUIS!$C$107)/MAX(CROQUIS!$C$129,1))+1)/80,1))))/2)+MIN(INT(($A98-1)/5),MAX((MAX(1,INT(((CROQUIS!$C$98)-CROQUIS!$C$107)/MAX((CROQUIS!$C$129*MAX(1,CEILING((INT(((CROQUIS!$C$98)-CROQUIS!$C$107)/MAX(CROQUIS!$C$129,1))+1)/80,1))),1))+1))-1,0))*(CROQUIS!$C$129*MAX(1,CEILING((INT(((CROQUIS!$C$98)-CROQUIS!$C$107)/MAX(CROQUIS!$C$129,1))+1)/80,1)))),CHOOSE(IF(INT(($A98-1)/5)&gt;MAX((MAX(1,INT(((CROQUIS!$C$98)-CROQUIS!$C$107)/MAX((CROQUIS!$C$129*MAX(1,CEILING((INT(((CROQUIS!$C$98)-CROQUIS!$C$107)/MAX(CROQUIS!$C$129,1))+1)/80,1))),1))+1))-1,0),0,MOD($A98-1,5))+1,0,2,CROQUIS!$C$97-2,2,0)))*CROQUIS!$C$159)+IF(CROQUIS!$C$92="X",0,0)),-1000)</f>
        <v>-1000</v>
      </c>
      <c r="BP98">
        <f>IF(AND(CROQUIS!$C$88=1,CROQUIS!$C$137&gt;0),((CROQUIS!$C$160+(IF(CROQUIS!$C$92="X",((CROQUIS!$C$107/2+(((CROQUIS!$C$97)-CROQUIS!$C$107)-(MAX(1,INT(((CROQUIS!$C$97)-CROQUIS!$C$107)/MAX((CROQUIS!$C$137*MAX(1,CEILING((INT(((CROQUIS!$C$97)-CROQUIS!$C$107)/MAX(CROQUIS!$C$137,1))+1)/80,1))),1))+1)-1)*(CROQUIS!$C$137*MAX(1,CEILING((INT(((CROQUIS!$C$97)-CROQUIS!$C$107)/MAX(CROQUIS!$C$137,1))+1)/80,1))))/2)+MIN(INT(($A98-1)/5),MAX((MAX(1,INT(((CROQUIS!$C$97)-CROQUIS!$C$107)/MAX((CROQUIS!$C$137*MAX(1,CEILING((INT(((CROQUIS!$C$97)-CROQUIS!$C$107)/MAX(CROQUIS!$C$137,1))+1)/80,1))),1))+1))-1,0))*(CROQUIS!$C$137*MAX(1,CEILING((INT(((CROQUIS!$C$97)-CROQUIS!$C$107)/MAX(CROQUIS!$C$137,1))+1)/80,1)))),CHOOSE(IF(INT(($A98-1)/5)&gt;MAX((MAX(1,INT(((CROQUIS!$C$97)-CROQUIS!$C$107)/MAX((CROQUIS!$C$137*MAX(1,CEILING((INT(((CROQUIS!$C$97)-CROQUIS!$C$107)/MAX(CROQUIS!$C$137,1))+1)/80,1))),1))+1))-1,0),0,MOD($A98-1,5))+1,0,2,CROQUIS!$C$98-2,2,0)))*CROQUIS!$C$159)+IF(CROQUIS!$C$92="X",0,0)),-1000)</f>
        <v>-1000</v>
      </c>
      <c r="BQ98">
        <f>IF(AND(CROQUIS!$C$88=1,CROQUIS!$C$137&gt;0),((CROQUIS!$C$161+(IF(CROQUIS!$C$92="X",CHOOSE(IF(INT(($A98-1)/5)&gt;MAX((MAX(1,INT(((CROQUIS!$C$97)-CROQUIS!$C$107)/MAX((CROQUIS!$C$137*MAX(1,CEILING((INT(((CROQUIS!$C$97)-CROQUIS!$C$107)/MAX(CROQUIS!$C$137,1))+1)/80,1))),1))+1))-1,0),0,MOD($A98-1,5))+1,0,2,CROQUIS!$C$98-2,2,0),((CROQUIS!$C$107/2+(((CROQUIS!$C$97)-CROQUIS!$C$107)-(MAX(1,INT(((CROQUIS!$C$97)-CROQUIS!$C$107)/MAX((CROQUIS!$C$137*MAX(1,CEILING((INT(((CROQUIS!$C$97)-CROQUIS!$C$107)/MAX(CROQUIS!$C$137,1))+1)/80,1))),1))+1)-1)*(CROQUIS!$C$137*MAX(1,CEILING((INT(((CROQUIS!$C$97)-CROQUIS!$C$107)/MAX(CROQUIS!$C$137,1))+1)/80,1))))/2)+MIN(INT(($A98-1)/5),MAX((MAX(1,INT(((CROQUIS!$C$97)-CROQUIS!$C$107)/MAX((CROQUIS!$C$137*MAX(1,CEILING((INT(((CROQUIS!$C$97)-CROQUIS!$C$107)/MAX(CROQUIS!$C$137,1))+1)/80,1))),1))+1))-1,0))*(CROQUIS!$C$137*MAX(1,CEILING((INT(((CROQUIS!$C$97)-CROQUIS!$C$107)/MAX(CROQUIS!$C$137,1))+1)/80,1))))))*CROQUIS!$C$159)+IF(CROQUIS!$C$92="X",0,0)),-1000)</f>
        <v>-1000</v>
      </c>
      <c r="BR98">
        <f>IF(AND(CROQUIS!$C$88=1,CROQUIS!$C$91=0,CROQUIS!$C$133&gt;0,OR(CROQUIS!$C$103=1,CROQUIS!$C$145=1)),((CROQUIS!$C$160+(IF(CROQUIS!$C$92="X",CHOOSE(IF(INT(($A98-1)/5)&gt;MAX((MAX(1,INT(((CROQUIS!$C$98)-CROQUIS!$C$107)/MAX((CROQUIS!$C$133*MAX(1,CEILING((INT(((CROQUIS!$C$98)-CROQUIS!$C$107)/MAX(CROQUIS!$C$133,1))+1)/80,1))),1))+1))-1,0),0,MOD($A98-1,5))+1,0,IF(CROQUIS!$C$103=1,-12,2),CROQUIS!$C$107/2+CROQUIS!$C$143,IF(CROQUIS!$C$103=1,-12,2),0),((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BS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+1,0,IF(CROQUIS!$C$103=1,-12,2),CROQUIS!$C$107/2+CROQUIS!$C$143,IF(CROQUIS!$C$103=1,-12,2),0)))*CROQUIS!$C$159)+IF(CROQUIS!$C$92="X",0.8,0)),-1000)</f>
        <v>-1000</v>
      </c>
      <c r="BT98">
        <f>IF(AND(CROQUIS!$C$88=1,CROQUIS!$C$91=0,CROQUIS!$C$133&gt;0,OR(CROQUIS!$C$104=1,CROQUIS!$C$145=1)),((CROQUIS!$C$160+(IF(CROQUIS!$C$92="X",CHOOSE(IF(INT(($A98-1)/5)&gt;MAX((MAX(1,INT(((CROQUIS!$C$98)-CROQUIS!$C$107)/MAX((CROQUIS!$C$133*MAX(1,CEILING((INT(((CROQUIS!$C$98)-CROQUIS!$C$107)/MAX(CROQUIS!$C$133,1))+1)/80,1))),1))+1))-1,0),0,MOD($A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BU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CROQUIS!$C$97,CROQUIS!$C$97-CROQUIS!$C$107/2-CROQUIS!$C$143,IF(CROQUIS!$C$104=1,CROQUIS!$C$97+12,CROQUIS!$C$97-2),CROQUIS!$C$97-CROQUIS!$C$107/2-CROQUIS!$C$143,CROQUIS!$C$97)))*CROQUIS!$C$159)+IF(CROQUIS!$C$92="X",0.8,0)),-1000)</f>
        <v>-1000</v>
      </c>
      <c r="BV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HOOSE(IF(INT(($A98-1)/5)&gt;MAX((MAX(1,INT(((CROQUIS!$C$97)-CROQUIS!$C$107)/MAX((CROQUIS!$C$141*MAX(1,CEILING((INT(((CROQUIS!$C$97)-CROQUIS!$C$107)/MAX(CROQUIS!$C$141,1))+1)/80,1))),1))+1))-1,0),0,MOD($A98-1,5))+1,0,IF(CROQUIS!$C$105=1,-12,2),CROQUIS!$C$107/2+CROQUIS!$C$144,IF(CROQUIS!$C$105=1,-12,2),0)))*CROQUIS!$C$159)+IF(CROQUIS!$C$92="X",0.8,0)),-1000)</f>
        <v>-1000</v>
      </c>
      <c r="BW98">
        <f>IF(AND(CROQUIS!$C$88=1,CROQUIS!$C$91=0,CROQUIS!$C$141&gt;0,OR(CROQUIS!$C$105=1,CROQUIS!$C$146=1)),((CROQUIS!$C$161+(IF(CROQUIS!$C$92="X",CHOOSE(IF(INT(($A98-1)/5)&gt;MAX((MAX(1,INT(((CROQUIS!$C$97)-CROQUIS!$C$107)/MAX((CROQUIS!$C$141*MAX(1,CEILING((INT(((CROQUIS!$C$97)-CROQUIS!$C$107)/MAX(CROQUIS!$C$141,1))+1)/80,1))),1))+1))-1,0),0,MOD($A98-1,5))+1,0,IF(CROQUIS!$C$105=1,-12,2),CROQUIS!$C$107/2+CROQUIS!$C$144,IF(CROQUIS!$C$105=1,-12,2),0),((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ROQUIS!$C$159)+IF(CROQUIS!$C$92="X",0,0.8)),-1000)</f>
        <v>-1000</v>
      </c>
      <c r="BX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HOOSE(IF(INT(($A98-1)/5)&gt;MAX((MAX(1,INT(((CROQUIS!$C$97)-CROQUIS!$C$107)/MAX((CROQUIS!$C$141*MAX(1,CEILING((INT(((CROQUIS!$C$97)-CROQUIS!$C$107)/MAX(CROQUIS!$C$141,1))+1)/80,1))),1))+1))-1,0),0,MOD($A98-1,5))+1,CROQUIS!$C$98,CROQUIS!$C$98-CROQUIS!$C$107/2-CROQUIS!$C$144,IF(CROQUIS!$C$106=1,CROQUIS!$C$98+12,CROQUIS!$C$98-2),CROQUIS!$C$98-CROQUIS!$C$107/2-CROQUIS!$C$144,CROQUIS!$C$98)))*CROQUIS!$C$159)+IF(CROQUIS!$C$92="X",0.8,0)),-1000)</f>
        <v>-1000</v>
      </c>
      <c r="BY98">
        <f>IF(AND(CROQUIS!$C$88=1,CROQUIS!$C$91=0,CROQUIS!$C$141&gt;0,OR(CROQUIS!$C$106=1,CROQUIS!$C$146=1)),((CROQUIS!$C$161+(IF(CROQUIS!$C$92="X",CHOOSE(IF(INT(($A98-1)/5)&gt;MAX((MAX(1,INT(((CROQUIS!$C$97)-CROQUIS!$C$107)/MAX((CROQUIS!$C$141*MAX(1,CEILING((INT(((CROQUIS!$C$97)-CROQUIS!$C$107)/MAX(CROQUIS!$C$141,1))+1)/80,1))),1))+1))-1,0),0,MOD($A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ROQUIS!$C$159)+IF(CROQUIS!$C$92="X",0,0.8)),-1000)</f>
        <v>-1000</v>
      </c>
      <c r="BZ98">
        <f>IF(AND(CROQUIS!$C$88=1,CROQUIS!$C$91=1,CROQUIS!$C$133&gt;0),((CROQUIS!$C$160+(IF(CROQUIS!$C$92="X",CHOOSE(IF(INT(($A98-1)/5)&gt;MAX((MAX(1,INT(((CROQUIS!$C$98)-CROQUIS!$C$107)/MAX((CROQUIS!$C$133*MAX(1,CEILING((INT(((CROQUIS!$C$98)-CROQUIS!$C$107)/MAX(CROQUIS!$C$133,1))+1)/80,1))),1))+1))-1,0),0,MOD($A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CA98">
        <f>IF(AND(CROQUIS!$C$88=1,CROQUIS!$C$91=1,CROQUIS!$C$133&gt;0),((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9">
      <c r="A99" t="n">
        <v>92</v>
      </c>
      <c r="AJ99">
        <f>IF(AND(CROQUIS!$C$87=1,CROQUIS!$C$162&gt;0,CROQUIS!$C$164&gt;0),(CROQUIS!$C$160+((CROQUIS!$C$163+INT(MIN(INT(($A99-1)/2),MAX((2*CROQUIS!$C$162)-1,0))/2)*CROQUIS!$C$116+MOD(MIN(INT(($A99-1)/2),MAX((2*CROQUIS!$C$162)-1,0)),2)*CROQUIS!$C$114))*CROQUIS!$C$159),-1000)</f>
        <v>81.3375508359693</v>
      </c>
      <c r="AK99">
        <f>IF(AND(CROQUIS!$C$87=1,CROQUIS!$C$162&gt;0,CROQUIS!$C$164&gt;0),(CROQUIS!$C$161+(IF(MOD(MIN(INT(($A99-1)/2),MAX((2*CROQUIS!$C$162)-1,0)),2)=0,IF(IF(INT(($A99-1)/2)&gt;MAX((2*CROQUIS!$C$162)-1,0),1,MOD($A99-1,2))=0,CROQUIS!$C$165,(CROQUIS!$C$165+(CROQUIS!$C$164-1)*CROQUIS!$C$116+CROQUIS!$C$115)),IF(IF(INT(($A99-1)/2)&gt;MAX((2*CROQUIS!$C$162)-1,0),1,MOD($A99-1,2))=0,(CROQUIS!$C$165+(CROQUIS!$C$164-1)*CROQUIS!$C$116+CROQUIS!$C$115),CROQUIS!$C$165)))*CROQUIS!$C$159),-1000)</f>
        <v>20.8088567555355</v>
      </c>
      <c r="AL99">
        <f>IF(AND(CROQUIS!$C$87=1,CROQUIS!$C$164&gt;0,CROQUIS!$C$162&gt;0),(CROQUIS!$C$160+(IF(MOD(MIN(INT(($A99-1)/2),MAX((2*CROQUIS!$C$164)-1,0)),2)=0,IF(IF(INT(($A99-1)/2)&gt;MAX((2*CROQUIS!$C$164)-1,0),1,MOD($A99-1,2))=0,CROQUIS!$C$163,(CROQUIS!$C$163+(CROQUIS!$C$162-1)*CROQUIS!$C$116+CROQUIS!$C$114)),IF(IF(INT(($A99-1)/2)&gt;MAX((2*CROQUIS!$C$164)-1,0),1,MOD($A99-1,2))=0,(CROQUIS!$C$163+(CROQUIS!$C$162-1)*CROQUIS!$C$116+CROQUIS!$C$114),CROQUIS!$C$163)))*CROQUIS!$C$159),-1000)</f>
        <v>22.9552643470402</v>
      </c>
      <c r="AM99">
        <f>IF(AND(CROQUIS!$C$87=1,CROQUIS!$C$164&gt;0,CROQUIS!$C$162&gt;0),(CROQUIS!$C$161+((CROQUIS!$C$165+INT(MIN(INT(($A99-1)/2),MAX((2*CROQUIS!$C$164)-1,0))/2)*CROQUIS!$C$116+MOD(MIN(INT(($A99-1)/2),MAX((2*CROQUIS!$C$164)-1,0)),2)*CROQUIS!$C$115))*CROQUIS!$C$159),-1000)</f>
        <v>79.1911432444645</v>
      </c>
      <c r="BN99">
        <f>IF(AND(CROQUIS!$C$88=1,CROQUIS!$C$129&gt;0),((CROQUIS!$C$160+(IF(CROQUIS!$C$92="X",CHOOSE(IF(INT(($A99-1)/5)&gt;MAX((MAX(1,INT(((CROQUIS!$C$98)-CROQUIS!$C$107)/MAX((CROQUIS!$C$129*MAX(1,CEILING((INT(((CROQUIS!$C$98)-CROQUIS!$C$107)/MAX(CROQUIS!$C$129,1))+1)/80,1))),1))+1))-1,0),0,MOD($A99-1,5))+1,0,2,CROQUIS!$C$97-2,2,0),((CROQUIS!$C$107/2+(((CROQUIS!$C$98)-CROQUIS!$C$107)-(MAX(1,INT(((CROQUIS!$C$98)-CROQUIS!$C$107)/MAX((CROQUIS!$C$129*MAX(1,CEILING((INT(((CROQUIS!$C$98)-CROQUIS!$C$107)/MAX(CROQUIS!$C$129,1))+1)/80,1))),1))+1)-1)*(CROQUIS!$C$129*MAX(1,CEILING((INT(((CROQUIS!$C$98)-CROQUIS!$C$107)/MAX(CROQUIS!$C$129,1))+1)/80,1))))/2)+MIN(INT(($A99-1)/5),MAX((MAX(1,INT(((CROQUIS!$C$98)-CROQUIS!$C$107)/MAX((CROQUIS!$C$129*MAX(1,CEILING((INT(((CROQUIS!$C$98)-CROQUIS!$C$107)/MAX(CROQUIS!$C$129,1))+1)/80,1))),1))+1))-1,0))*(CROQUIS!$C$129*MAX(1,CEILING((INT(((CROQUIS!$C$98)-CROQUIS!$C$107)/MAX(CROQUIS!$C$129,1))+1)/80,1))))))*CROQUIS!$C$159)+IF(CROQUIS!$C$92="X",0,0)),-1000)</f>
        <v>-1000</v>
      </c>
      <c r="BO99">
        <f>IF(AND(CROQUIS!$C$88=1,CROQUIS!$C$129&gt;0),((CROQUIS!$C$161+(IF(CROQUIS!$C$92="X",((CROQUIS!$C$107/2+(((CROQUIS!$C$98)-CROQUIS!$C$107)-(MAX(1,INT(((CROQUIS!$C$98)-CROQUIS!$C$107)/MAX((CROQUIS!$C$129*MAX(1,CEILING((INT(((CROQUIS!$C$98)-CROQUIS!$C$107)/MAX(CROQUIS!$C$129,1))+1)/80,1))),1))+1)-1)*(CROQUIS!$C$129*MAX(1,CEILING((INT(((CROQUIS!$C$98)-CROQUIS!$C$107)/MAX(CROQUIS!$C$129,1))+1)/80,1))))/2)+MIN(INT(($A99-1)/5),MAX((MAX(1,INT(((CROQUIS!$C$98)-CROQUIS!$C$107)/MAX((CROQUIS!$C$129*MAX(1,CEILING((INT(((CROQUIS!$C$98)-CROQUIS!$C$107)/MAX(CROQUIS!$C$129,1))+1)/80,1))),1))+1))-1,0))*(CROQUIS!$C$129*MAX(1,CEILING((INT(((CROQUIS!$C$98)-CROQUIS!$C$107)/MAX(CROQUIS!$C$129,1))+1)/80,1)))),CHOOSE(IF(INT(($A99-1)/5)&gt;MAX((MAX(1,INT(((CROQUIS!$C$98)-CROQUIS!$C$107)/MAX((CROQUIS!$C$129*MAX(1,CEILING((INT(((CROQUIS!$C$98)-CROQUIS!$C$107)/MAX(CROQUIS!$C$129,1))+1)/80,1))),1))+1))-1,0),0,MOD($A99-1,5))+1,0,2,CROQUIS!$C$97-2,2,0)))*CROQUIS!$C$159)+IF(CROQUIS!$C$92="X",0,0)),-1000)</f>
        <v>-1000</v>
      </c>
      <c r="BP99">
        <f>IF(AND(CROQUIS!$C$88=1,CROQUIS!$C$137&gt;0),((CROQUIS!$C$160+(IF(CROQUIS!$C$92="X",((CROQUIS!$C$107/2+(((CROQUIS!$C$97)-CROQUIS!$C$107)-(MAX(1,INT(((CROQUIS!$C$97)-CROQUIS!$C$107)/MAX((CROQUIS!$C$137*MAX(1,CEILING((INT(((CROQUIS!$C$97)-CROQUIS!$C$107)/MAX(CROQUIS!$C$137,1))+1)/80,1))),1))+1)-1)*(CROQUIS!$C$137*MAX(1,CEILING((INT(((CROQUIS!$C$97)-CROQUIS!$C$107)/MAX(CROQUIS!$C$137,1))+1)/80,1))))/2)+MIN(INT(($A99-1)/5),MAX((MAX(1,INT(((CROQUIS!$C$97)-CROQUIS!$C$107)/MAX((CROQUIS!$C$137*MAX(1,CEILING((INT(((CROQUIS!$C$97)-CROQUIS!$C$107)/MAX(CROQUIS!$C$137,1))+1)/80,1))),1))+1))-1,0))*(CROQUIS!$C$137*MAX(1,CEILING((INT(((CROQUIS!$C$97)-CROQUIS!$C$107)/MAX(CROQUIS!$C$137,1))+1)/80,1)))),CHOOSE(IF(INT(($A99-1)/5)&gt;MAX((MAX(1,INT(((CROQUIS!$C$97)-CROQUIS!$C$107)/MAX((CROQUIS!$C$137*MAX(1,CEILING((INT(((CROQUIS!$C$97)-CROQUIS!$C$107)/MAX(CROQUIS!$C$137,1))+1)/80,1))),1))+1))-1,0),0,MOD($A99-1,5))+1,0,2,CROQUIS!$C$98-2,2,0)))*CROQUIS!$C$159)+IF(CROQUIS!$C$92="X",0,0)),-1000)</f>
        <v>-1000</v>
      </c>
      <c r="BQ99">
        <f>IF(AND(CROQUIS!$C$88=1,CROQUIS!$C$137&gt;0),((CROQUIS!$C$161+(IF(CROQUIS!$C$92="X",CHOOSE(IF(INT(($A99-1)/5)&gt;MAX((MAX(1,INT(((CROQUIS!$C$97)-CROQUIS!$C$107)/MAX((CROQUIS!$C$137*MAX(1,CEILING((INT(((CROQUIS!$C$97)-CROQUIS!$C$107)/MAX(CROQUIS!$C$137,1))+1)/80,1))),1))+1))-1,0),0,MOD($A99-1,5))+1,0,2,CROQUIS!$C$98-2,2,0),((CROQUIS!$C$107/2+(((CROQUIS!$C$97)-CROQUIS!$C$107)-(MAX(1,INT(((CROQUIS!$C$97)-CROQUIS!$C$107)/MAX((CROQUIS!$C$137*MAX(1,CEILING((INT(((CROQUIS!$C$97)-CROQUIS!$C$107)/MAX(CROQUIS!$C$137,1))+1)/80,1))),1))+1)-1)*(CROQUIS!$C$137*MAX(1,CEILING((INT(((CROQUIS!$C$97)-CROQUIS!$C$107)/MAX(CROQUIS!$C$137,1))+1)/80,1))))/2)+MIN(INT(($A99-1)/5),MAX((MAX(1,INT(((CROQUIS!$C$97)-CROQUIS!$C$107)/MAX((CROQUIS!$C$137*MAX(1,CEILING((INT(((CROQUIS!$C$97)-CROQUIS!$C$107)/MAX(CROQUIS!$C$137,1))+1)/80,1))),1))+1))-1,0))*(CROQUIS!$C$137*MAX(1,CEILING((INT(((CROQUIS!$C$97)-CROQUIS!$C$107)/MAX(CROQUIS!$C$137,1))+1)/80,1))))))*CROQUIS!$C$159)+IF(CROQUIS!$C$92="X",0,0)),-1000)</f>
        <v>-1000</v>
      </c>
      <c r="BR99">
        <f>IF(AND(CROQUIS!$C$88=1,CROQUIS!$C$91=0,CROQUIS!$C$133&gt;0,OR(CROQUIS!$C$103=1,CROQUIS!$C$145=1)),((CROQUIS!$C$160+(IF(CROQUIS!$C$92="X",CHOOSE(IF(INT(($A99-1)/5)&gt;MAX((MAX(1,INT(((CROQUIS!$C$98)-CROQUIS!$C$107)/MAX((CROQUIS!$C$133*MAX(1,CEILING((INT(((CROQUIS!$C$98)-CROQUIS!$C$107)/MAX(CROQUIS!$C$133,1))+1)/80,1))),1))+1))-1,0),0,MOD($A99-1,5))+1,0,IF(CROQUIS!$C$103=1,-12,2),CROQUIS!$C$107/2+CROQUIS!$C$143,IF(CROQUIS!$C$103=1,-12,2),0),((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BS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+1,0,IF(CROQUIS!$C$103=1,-12,2),CROQUIS!$C$107/2+CROQUIS!$C$143,IF(CROQUIS!$C$103=1,-12,2),0)))*CROQUIS!$C$159)+IF(CROQUIS!$C$92="X",0.8,0)),-1000)</f>
        <v>-1000</v>
      </c>
      <c r="BT99">
        <f>IF(AND(CROQUIS!$C$88=1,CROQUIS!$C$91=0,CROQUIS!$C$133&gt;0,OR(CROQUIS!$C$104=1,CROQUIS!$C$145=1)),((CROQUIS!$C$160+(IF(CROQUIS!$C$92="X",CHOOSE(IF(INT(($A99-1)/5)&gt;MAX((MAX(1,INT(((CROQUIS!$C$98)-CROQUIS!$C$107)/MAX((CROQUIS!$C$133*MAX(1,CEILING((INT(((CROQUIS!$C$98)-CROQUIS!$C$107)/MAX(CROQUIS!$C$133,1))+1)/80,1))),1))+1))-1,0),0,MOD($A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BU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CROQUIS!$C$97,CROQUIS!$C$97-CROQUIS!$C$107/2-CROQUIS!$C$143,IF(CROQUIS!$C$104=1,CROQUIS!$C$97+12,CROQUIS!$C$97-2),CROQUIS!$C$97-CROQUIS!$C$107/2-CROQUIS!$C$143,CROQUIS!$C$97)))*CROQUIS!$C$159)+IF(CROQUIS!$C$92="X",0.8,0)),-1000)</f>
        <v>-1000</v>
      </c>
      <c r="BV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HOOSE(IF(INT(($A99-1)/5)&gt;MAX((MAX(1,INT(((CROQUIS!$C$97)-CROQUIS!$C$107)/MAX((CROQUIS!$C$141*MAX(1,CEILING((INT(((CROQUIS!$C$97)-CROQUIS!$C$107)/MAX(CROQUIS!$C$141,1))+1)/80,1))),1))+1))-1,0),0,MOD($A99-1,5))+1,0,IF(CROQUIS!$C$105=1,-12,2),CROQUIS!$C$107/2+CROQUIS!$C$144,IF(CROQUIS!$C$105=1,-12,2),0)))*CROQUIS!$C$159)+IF(CROQUIS!$C$92="X",0.8,0)),-1000)</f>
        <v>-1000</v>
      </c>
      <c r="BW99">
        <f>IF(AND(CROQUIS!$C$88=1,CROQUIS!$C$91=0,CROQUIS!$C$141&gt;0,OR(CROQUIS!$C$105=1,CROQUIS!$C$146=1)),((CROQUIS!$C$161+(IF(CROQUIS!$C$92="X",CHOOSE(IF(INT(($A99-1)/5)&gt;MAX((MAX(1,INT(((CROQUIS!$C$97)-CROQUIS!$C$107)/MAX((CROQUIS!$C$141*MAX(1,CEILING((INT(((CROQUIS!$C$97)-CROQUIS!$C$107)/MAX(CROQUIS!$C$141,1))+1)/80,1))),1))+1))-1,0),0,MOD($A99-1,5))+1,0,IF(CROQUIS!$C$105=1,-12,2),CROQUIS!$C$107/2+CROQUIS!$C$144,IF(CROQUIS!$C$105=1,-12,2),0),((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ROQUIS!$C$159)+IF(CROQUIS!$C$92="X",0,0.8)),-1000)</f>
        <v>-1000</v>
      </c>
      <c r="BX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HOOSE(IF(INT(($A99-1)/5)&gt;MAX((MAX(1,INT(((CROQUIS!$C$97)-CROQUIS!$C$107)/MAX((CROQUIS!$C$141*MAX(1,CEILING((INT(((CROQUIS!$C$97)-CROQUIS!$C$107)/MAX(CROQUIS!$C$141,1))+1)/80,1))),1))+1))-1,0),0,MOD($A99-1,5))+1,CROQUIS!$C$98,CROQUIS!$C$98-CROQUIS!$C$107/2-CROQUIS!$C$144,IF(CROQUIS!$C$106=1,CROQUIS!$C$98+12,CROQUIS!$C$98-2),CROQUIS!$C$98-CROQUIS!$C$107/2-CROQUIS!$C$144,CROQUIS!$C$98)))*CROQUIS!$C$159)+IF(CROQUIS!$C$92="X",0.8,0)),-1000)</f>
        <v>-1000</v>
      </c>
      <c r="BY99">
        <f>IF(AND(CROQUIS!$C$88=1,CROQUIS!$C$91=0,CROQUIS!$C$141&gt;0,OR(CROQUIS!$C$106=1,CROQUIS!$C$146=1)),((CROQUIS!$C$161+(IF(CROQUIS!$C$92="X",CHOOSE(IF(INT(($A99-1)/5)&gt;MAX((MAX(1,INT(((CROQUIS!$C$97)-CROQUIS!$C$107)/MAX((CROQUIS!$C$141*MAX(1,CEILING((INT(((CROQUIS!$C$97)-CROQUIS!$C$107)/MAX(CROQUIS!$C$141,1))+1)/80,1))),1))+1))-1,0),0,MOD($A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ROQUIS!$C$159)+IF(CROQUIS!$C$92="X",0,0.8)),-1000)</f>
        <v>-1000</v>
      </c>
      <c r="BZ99">
        <f>IF(AND(CROQUIS!$C$88=1,CROQUIS!$C$91=1,CROQUIS!$C$133&gt;0),((CROQUIS!$C$160+(IF(CROQUIS!$C$92="X",CHOOSE(IF(INT(($A99-1)/5)&gt;MAX((MAX(1,INT(((CROQUIS!$C$98)-CROQUIS!$C$107)/MAX((CROQUIS!$C$133*MAX(1,CEILING((INT(((CROQUIS!$C$98)-CROQUIS!$C$107)/MAX(CROQUIS!$C$133,1))+1)/80,1))),1))+1))-1,0),0,MOD($A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CA99">
        <f>IF(AND(CROQUIS!$C$88=1,CROQUIS!$C$91=1,CROQUIS!$C$133&gt;0),((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0">
      <c r="A100" t="n">
        <v>93</v>
      </c>
      <c r="AJ100">
        <f>IF(AND(CROQUIS!$C$87=1,CROQUIS!$C$162&gt;0,CROQUIS!$C$164&gt;0),(CROQUIS!$C$160+((CROQUIS!$C$163+INT(MIN(INT(($A100-1)/2),MAX((2*CROQUIS!$C$162)-1,0))/2)*CROQUIS!$C$116+MOD(MIN(INT(($A100-1)/2),MAX((2*CROQUIS!$C$162)-1,0)),2)*CROQUIS!$C$114))*CROQUIS!$C$159),-1000)</f>
        <v>81.3375508359693</v>
      </c>
      <c r="AK100">
        <f>IF(AND(CROQUIS!$C$87=1,CROQUIS!$C$162&gt;0,CROQUIS!$C$164&gt;0),(CROQUIS!$C$161+(IF(MOD(MIN(INT(($A100-1)/2),MAX((2*CROQUIS!$C$162)-1,0)),2)=0,IF(IF(INT(($A100-1)/2)&gt;MAX((2*CROQUIS!$C$162)-1,0),1,MOD($A100-1,2))=0,CROQUIS!$C$165,(CROQUIS!$C$165+(CROQUIS!$C$164-1)*CROQUIS!$C$116+CROQUIS!$C$115)),IF(IF(INT(($A100-1)/2)&gt;MAX((2*CROQUIS!$C$162)-1,0),1,MOD($A100-1,2))=0,(CROQUIS!$C$165+(CROQUIS!$C$164-1)*CROQUIS!$C$116+CROQUIS!$C$115),CROQUIS!$C$165)))*CROQUIS!$C$159),-1000)</f>
        <v>20.8088567555355</v>
      </c>
      <c r="AL100">
        <f>IF(AND(CROQUIS!$C$87=1,CROQUIS!$C$164&gt;0,CROQUIS!$C$162&gt;0),(CROQUIS!$C$160+(IF(MOD(MIN(INT(($A100-1)/2),MAX((2*CROQUIS!$C$164)-1,0)),2)=0,IF(IF(INT(($A100-1)/2)&gt;MAX((2*CROQUIS!$C$164)-1,0),1,MOD($A100-1,2))=0,CROQUIS!$C$163,(CROQUIS!$C$163+(CROQUIS!$C$162-1)*CROQUIS!$C$116+CROQUIS!$C$114)),IF(IF(INT(($A100-1)/2)&gt;MAX((2*CROQUIS!$C$164)-1,0),1,MOD($A100-1,2))=0,(CROQUIS!$C$163+(CROQUIS!$C$162-1)*CROQUIS!$C$116+CROQUIS!$C$114),CROQUIS!$C$163)))*CROQUIS!$C$159),-1000)</f>
        <v>22.9552643470402</v>
      </c>
      <c r="AM100">
        <f>IF(AND(CROQUIS!$C$87=1,CROQUIS!$C$164&gt;0,CROQUIS!$C$162&gt;0),(CROQUIS!$C$161+((CROQUIS!$C$165+INT(MIN(INT(($A100-1)/2),MAX((2*CROQUIS!$C$164)-1,0))/2)*CROQUIS!$C$116+MOD(MIN(INT(($A100-1)/2),MAX((2*CROQUIS!$C$164)-1,0)),2)*CROQUIS!$C$115))*CROQUIS!$C$159),-1000)</f>
        <v>79.1911432444645</v>
      </c>
      <c r="BN100">
        <f>IF(AND(CROQUIS!$C$88=1,CROQUIS!$C$129&gt;0),((CROQUIS!$C$160+(IF(CROQUIS!$C$92="X",CHOOSE(IF(INT(($A100-1)/5)&gt;MAX((MAX(1,INT(((CROQUIS!$C$98)-CROQUIS!$C$107)/MAX((CROQUIS!$C$129*MAX(1,CEILING((INT(((CROQUIS!$C$98)-CROQUIS!$C$107)/MAX(CROQUIS!$C$129,1))+1)/80,1))),1))+1))-1,0),0,MOD($A100-1,5))+1,0,2,CROQUIS!$C$97-2,2,0),((CROQUIS!$C$107/2+(((CROQUIS!$C$98)-CROQUIS!$C$107)-(MAX(1,INT(((CROQUIS!$C$98)-CROQUIS!$C$107)/MAX((CROQUIS!$C$129*MAX(1,CEILING((INT(((CROQUIS!$C$98)-CROQUIS!$C$107)/MAX(CROQUIS!$C$129,1))+1)/80,1))),1))+1)-1)*(CROQUIS!$C$129*MAX(1,CEILING((INT(((CROQUIS!$C$98)-CROQUIS!$C$107)/MAX(CROQUIS!$C$129,1))+1)/80,1))))/2)+MIN(INT(($A100-1)/5),MAX((MAX(1,INT(((CROQUIS!$C$98)-CROQUIS!$C$107)/MAX((CROQUIS!$C$129*MAX(1,CEILING((INT(((CROQUIS!$C$98)-CROQUIS!$C$107)/MAX(CROQUIS!$C$129,1))+1)/80,1))),1))+1))-1,0))*(CROQUIS!$C$129*MAX(1,CEILING((INT(((CROQUIS!$C$98)-CROQUIS!$C$107)/MAX(CROQUIS!$C$129,1))+1)/80,1))))))*CROQUIS!$C$159)+IF(CROQUIS!$C$92="X",0,0)),-1000)</f>
        <v>-1000</v>
      </c>
      <c r="BO100">
        <f>IF(AND(CROQUIS!$C$88=1,CROQUIS!$C$129&gt;0),((CROQUIS!$C$161+(IF(CROQUIS!$C$92="X",((CROQUIS!$C$107/2+(((CROQUIS!$C$98)-CROQUIS!$C$107)-(MAX(1,INT(((CROQUIS!$C$98)-CROQUIS!$C$107)/MAX((CROQUIS!$C$129*MAX(1,CEILING((INT(((CROQUIS!$C$98)-CROQUIS!$C$107)/MAX(CROQUIS!$C$129,1))+1)/80,1))),1))+1)-1)*(CROQUIS!$C$129*MAX(1,CEILING((INT(((CROQUIS!$C$98)-CROQUIS!$C$107)/MAX(CROQUIS!$C$129,1))+1)/80,1))))/2)+MIN(INT(($A100-1)/5),MAX((MAX(1,INT(((CROQUIS!$C$98)-CROQUIS!$C$107)/MAX((CROQUIS!$C$129*MAX(1,CEILING((INT(((CROQUIS!$C$98)-CROQUIS!$C$107)/MAX(CROQUIS!$C$129,1))+1)/80,1))),1))+1))-1,0))*(CROQUIS!$C$129*MAX(1,CEILING((INT(((CROQUIS!$C$98)-CROQUIS!$C$107)/MAX(CROQUIS!$C$129,1))+1)/80,1)))),CHOOSE(IF(INT(($A100-1)/5)&gt;MAX((MAX(1,INT(((CROQUIS!$C$98)-CROQUIS!$C$107)/MAX((CROQUIS!$C$129*MAX(1,CEILING((INT(((CROQUIS!$C$98)-CROQUIS!$C$107)/MAX(CROQUIS!$C$129,1))+1)/80,1))),1))+1))-1,0),0,MOD($A100-1,5))+1,0,2,CROQUIS!$C$97-2,2,0)))*CROQUIS!$C$159)+IF(CROQUIS!$C$92="X",0,0)),-1000)</f>
        <v>-1000</v>
      </c>
      <c r="BP100">
        <f>IF(AND(CROQUIS!$C$88=1,CROQUIS!$C$137&gt;0),((CROQUIS!$C$160+(IF(CROQUIS!$C$92="X",((CROQUIS!$C$107/2+(((CROQUIS!$C$97)-CROQUIS!$C$107)-(MAX(1,INT(((CROQUIS!$C$97)-CROQUIS!$C$107)/MAX((CROQUIS!$C$137*MAX(1,CEILING((INT(((CROQUIS!$C$97)-CROQUIS!$C$107)/MAX(CROQUIS!$C$137,1))+1)/80,1))),1))+1)-1)*(CROQUIS!$C$137*MAX(1,CEILING((INT(((CROQUIS!$C$97)-CROQUIS!$C$107)/MAX(CROQUIS!$C$137,1))+1)/80,1))))/2)+MIN(INT(($A100-1)/5),MAX((MAX(1,INT(((CROQUIS!$C$97)-CROQUIS!$C$107)/MAX((CROQUIS!$C$137*MAX(1,CEILING((INT(((CROQUIS!$C$97)-CROQUIS!$C$107)/MAX(CROQUIS!$C$137,1))+1)/80,1))),1))+1))-1,0))*(CROQUIS!$C$137*MAX(1,CEILING((INT(((CROQUIS!$C$97)-CROQUIS!$C$107)/MAX(CROQUIS!$C$137,1))+1)/80,1)))),CHOOSE(IF(INT(($A100-1)/5)&gt;MAX((MAX(1,INT(((CROQUIS!$C$97)-CROQUIS!$C$107)/MAX((CROQUIS!$C$137*MAX(1,CEILING((INT(((CROQUIS!$C$97)-CROQUIS!$C$107)/MAX(CROQUIS!$C$137,1))+1)/80,1))),1))+1))-1,0),0,MOD($A100-1,5))+1,0,2,CROQUIS!$C$98-2,2,0)))*CROQUIS!$C$159)+IF(CROQUIS!$C$92="X",0,0)),-1000)</f>
        <v>-1000</v>
      </c>
      <c r="BQ100">
        <f>IF(AND(CROQUIS!$C$88=1,CROQUIS!$C$137&gt;0),((CROQUIS!$C$161+(IF(CROQUIS!$C$92="X",CHOOSE(IF(INT(($A100-1)/5)&gt;MAX((MAX(1,INT(((CROQUIS!$C$97)-CROQUIS!$C$107)/MAX((CROQUIS!$C$137*MAX(1,CEILING((INT(((CROQUIS!$C$97)-CROQUIS!$C$107)/MAX(CROQUIS!$C$137,1))+1)/80,1))),1))+1))-1,0),0,MOD($A100-1,5))+1,0,2,CROQUIS!$C$98-2,2,0),((CROQUIS!$C$107/2+(((CROQUIS!$C$97)-CROQUIS!$C$107)-(MAX(1,INT(((CROQUIS!$C$97)-CROQUIS!$C$107)/MAX((CROQUIS!$C$137*MAX(1,CEILING((INT(((CROQUIS!$C$97)-CROQUIS!$C$107)/MAX(CROQUIS!$C$137,1))+1)/80,1))),1))+1)-1)*(CROQUIS!$C$137*MAX(1,CEILING((INT(((CROQUIS!$C$97)-CROQUIS!$C$107)/MAX(CROQUIS!$C$137,1))+1)/80,1))))/2)+MIN(INT(($A100-1)/5),MAX((MAX(1,INT(((CROQUIS!$C$97)-CROQUIS!$C$107)/MAX((CROQUIS!$C$137*MAX(1,CEILING((INT(((CROQUIS!$C$97)-CROQUIS!$C$107)/MAX(CROQUIS!$C$137,1))+1)/80,1))),1))+1))-1,0))*(CROQUIS!$C$137*MAX(1,CEILING((INT(((CROQUIS!$C$97)-CROQUIS!$C$107)/MAX(CROQUIS!$C$137,1))+1)/80,1))))))*CROQUIS!$C$159)+IF(CROQUIS!$C$92="X",0,0)),-1000)</f>
        <v>-1000</v>
      </c>
      <c r="BR100">
        <f>IF(AND(CROQUIS!$C$88=1,CROQUIS!$C$91=0,CROQUIS!$C$133&gt;0,OR(CROQUIS!$C$103=1,CROQUIS!$C$145=1)),((CROQUIS!$C$160+(IF(CROQUIS!$C$92="X",CHOOSE(IF(INT(($A100-1)/5)&gt;MAX((MAX(1,INT(((CROQUIS!$C$98)-CROQUIS!$C$107)/MAX((CROQUIS!$C$133*MAX(1,CEILING((INT(((CROQUIS!$C$98)-CROQUIS!$C$107)/MAX(CROQUIS!$C$133,1))+1)/80,1))),1))+1))-1,0),0,MOD($A100-1,5))+1,0,IF(CROQUIS!$C$103=1,-12,2),CROQUIS!$C$107/2+CROQUIS!$C$143,IF(CROQUIS!$C$103=1,-12,2),0),((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BS1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+1,0,IF(CROQUIS!$C$103=1,-12,2),CROQUIS!$C$107/2+CROQUIS!$C$143,IF(CROQUIS!$C$103=1,-12,2),0)))*CROQUIS!$C$159)+IF(CROQUIS!$C$92="X",0.8,0)),-1000)</f>
        <v>-1000</v>
      </c>
      <c r="BT100">
        <f>IF(AND(CROQUIS!$C$88=1,CROQUIS!$C$91=0,CROQUIS!$C$133&gt;0,OR(CROQUIS!$C$104=1,CROQUIS!$C$145=1)),((CROQUIS!$C$160+(IF(CROQUIS!$C$92="X",CHOOSE(IF(INT(($A100-1)/5)&gt;MAX((MAX(1,INT(((CROQUIS!$C$98)-CROQUIS!$C$107)/MAX((CROQUIS!$C$133*MAX(1,CEILING((INT(((CROQUIS!$C$98)-CROQUIS!$C$107)/MAX(CROQUIS!$C$133,1))+1)/80,1))),1))+1))-1,0),0,MOD($A100-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BU1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CROQUIS!$C$97,CROQUIS!$C$97-CROQUIS!$C$107/2-CROQUIS!$C$143,IF(CROQUIS!$C$104=1,CROQUIS!$C$97+12,CROQUIS!$C$97-2),CROQUIS!$C$97-CROQUIS!$C$107/2-CROQUIS!$C$143,CROQUIS!$C$97)))*CROQUIS!$C$159)+IF(CROQUIS!$C$92="X",0.8,0)),-1000)</f>
        <v>-1000</v>
      </c>
      <c r="BV1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HOOSE(IF(INT(($A100-1)/5)&gt;MAX((MAX(1,INT(((CROQUIS!$C$97)-CROQUIS!$C$107)/MAX((CROQUIS!$C$141*MAX(1,CEILING((INT(((CROQUIS!$C$97)-CROQUIS!$C$107)/MAX(CROQUIS!$C$141,1))+1)/80,1))),1))+1))-1,0),0,MOD($A100-1,5))+1,0,IF(CROQUIS!$C$105=1,-12,2),CROQUIS!$C$107/2+CROQUIS!$C$144,IF(CROQUIS!$C$105=1,-12,2),0)))*CROQUIS!$C$159)+IF(CROQUIS!$C$92="X",0.8,0)),-1000)</f>
        <v>-1000</v>
      </c>
      <c r="BW100">
        <f>IF(AND(CROQUIS!$C$88=1,CROQUIS!$C$91=0,CROQUIS!$C$141&gt;0,OR(CROQUIS!$C$105=1,CROQUIS!$C$146=1)),((CROQUIS!$C$161+(IF(CROQUIS!$C$92="X",CHOOSE(IF(INT(($A100-1)/5)&gt;MAX((MAX(1,INT(((CROQUIS!$C$97)-CROQUIS!$C$107)/MAX((CROQUIS!$C$141*MAX(1,CEILING((INT(((CROQUIS!$C$97)-CROQUIS!$C$107)/MAX(CROQUIS!$C$141,1))+1)/80,1))),1))+1))-1,0),0,MOD($A100-1,5))+1,0,IF(CROQUIS!$C$105=1,-12,2),CROQUIS!$C$107/2+CROQUIS!$C$144,IF(CROQUIS!$C$105=1,-12,2),0),((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ROQUIS!$C$159)+IF(CROQUIS!$C$92="X",0,0.8)),-1000)</f>
        <v>-1000</v>
      </c>
      <c r="BX1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HOOSE(IF(INT(($A100-1)/5)&gt;MAX((MAX(1,INT(((CROQUIS!$C$97)-CROQUIS!$C$107)/MAX((CROQUIS!$C$141*MAX(1,CEILING((INT(((CROQUIS!$C$97)-CROQUIS!$C$107)/MAX(CROQUIS!$C$141,1))+1)/80,1))),1))+1))-1,0),0,MOD($A100-1,5))+1,CROQUIS!$C$98,CROQUIS!$C$98-CROQUIS!$C$107/2-CROQUIS!$C$144,IF(CROQUIS!$C$106=1,CROQUIS!$C$98+12,CROQUIS!$C$98-2),CROQUIS!$C$98-CROQUIS!$C$107/2-CROQUIS!$C$144,CROQUIS!$C$98)))*CROQUIS!$C$159)+IF(CROQUIS!$C$92="X",0.8,0)),-1000)</f>
        <v>-1000</v>
      </c>
      <c r="BY100">
        <f>IF(AND(CROQUIS!$C$88=1,CROQUIS!$C$91=0,CROQUIS!$C$141&gt;0,OR(CROQUIS!$C$106=1,CROQUIS!$C$146=1)),((CROQUIS!$C$161+(IF(CROQUIS!$C$92="X",CHOOSE(IF(INT(($A100-1)/5)&gt;MAX((MAX(1,INT(((CROQUIS!$C$97)-CROQUIS!$C$107)/MAX((CROQUIS!$C$141*MAX(1,CEILING((INT(((CROQUIS!$C$97)-CROQUIS!$C$107)/MAX(CROQUIS!$C$141,1))+1)/80,1))),1))+1))-1,0),0,MOD($A100-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ROQUIS!$C$159)+IF(CROQUIS!$C$92="X",0,0.8)),-1000)</f>
        <v>-1000</v>
      </c>
      <c r="BZ100">
        <f>IF(AND(CROQUIS!$C$88=1,CROQUIS!$C$91=1,CROQUIS!$C$133&gt;0),((CROQUIS!$C$160+(IF(CROQUIS!$C$92="X",CHOOSE(IF(INT(($A100-1)/5)&gt;MAX((MAX(1,INT(((CROQUIS!$C$98)-CROQUIS!$C$107)/MAX((CROQUIS!$C$133*MAX(1,CEILING((INT(((CROQUIS!$C$98)-CROQUIS!$C$107)/MAX(CROQUIS!$C$133,1))+1)/80,1))),1))+1))-1,0),0,MOD($A100-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CA100">
        <f>IF(AND(CROQUIS!$C$88=1,CROQUIS!$C$91=1,CROQUIS!$C$133&gt;0),((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1">
      <c r="A101" t="n">
        <v>94</v>
      </c>
      <c r="AJ101">
        <f>IF(AND(CROQUIS!$C$87=1,CROQUIS!$C$162&gt;0,CROQUIS!$C$164&gt;0),(CROQUIS!$C$160+((CROQUIS!$C$163+INT(MIN(INT(($A101-1)/2),MAX((2*CROQUIS!$C$162)-1,0))/2)*CROQUIS!$C$116+MOD(MIN(INT(($A101-1)/2),MAX((2*CROQUIS!$C$162)-1,0)),2)*CROQUIS!$C$114))*CROQUIS!$C$159),-1000)</f>
        <v>81.3375508359693</v>
      </c>
      <c r="AK101">
        <f>IF(AND(CROQUIS!$C$87=1,CROQUIS!$C$162&gt;0,CROQUIS!$C$164&gt;0),(CROQUIS!$C$161+(IF(MOD(MIN(INT(($A101-1)/2),MAX((2*CROQUIS!$C$162)-1,0)),2)=0,IF(IF(INT(($A101-1)/2)&gt;MAX((2*CROQUIS!$C$162)-1,0),1,MOD($A101-1,2))=0,CROQUIS!$C$165,(CROQUIS!$C$165+(CROQUIS!$C$164-1)*CROQUIS!$C$116+CROQUIS!$C$115)),IF(IF(INT(($A101-1)/2)&gt;MAX((2*CROQUIS!$C$162)-1,0),1,MOD($A101-1,2))=0,(CROQUIS!$C$165+(CROQUIS!$C$164-1)*CROQUIS!$C$116+CROQUIS!$C$115),CROQUIS!$C$165)))*CROQUIS!$C$159),-1000)</f>
        <v>20.8088567555355</v>
      </c>
      <c r="AL101">
        <f>IF(AND(CROQUIS!$C$87=1,CROQUIS!$C$164&gt;0,CROQUIS!$C$162&gt;0),(CROQUIS!$C$160+(IF(MOD(MIN(INT(($A101-1)/2),MAX((2*CROQUIS!$C$164)-1,0)),2)=0,IF(IF(INT(($A101-1)/2)&gt;MAX((2*CROQUIS!$C$164)-1,0),1,MOD($A101-1,2))=0,CROQUIS!$C$163,(CROQUIS!$C$163+(CROQUIS!$C$162-1)*CROQUIS!$C$116+CROQUIS!$C$114)),IF(IF(INT(($A101-1)/2)&gt;MAX((2*CROQUIS!$C$164)-1,0),1,MOD($A101-1,2))=0,(CROQUIS!$C$163+(CROQUIS!$C$162-1)*CROQUIS!$C$116+CROQUIS!$C$114),CROQUIS!$C$163)))*CROQUIS!$C$159),-1000)</f>
        <v>22.9552643470402</v>
      </c>
      <c r="AM101">
        <f>IF(AND(CROQUIS!$C$87=1,CROQUIS!$C$164&gt;0,CROQUIS!$C$162&gt;0),(CROQUIS!$C$161+((CROQUIS!$C$165+INT(MIN(INT(($A101-1)/2),MAX((2*CROQUIS!$C$164)-1,0))/2)*CROQUIS!$C$116+MOD(MIN(INT(($A101-1)/2),MAX((2*CROQUIS!$C$164)-1,0)),2)*CROQUIS!$C$115))*CROQUIS!$C$159),-1000)</f>
        <v>79.1911432444645</v>
      </c>
      <c r="BN101">
        <f>IF(AND(CROQUIS!$C$88=1,CROQUIS!$C$129&gt;0),((CROQUIS!$C$160+(IF(CROQUIS!$C$92="X",CHOOSE(IF(INT(($A101-1)/5)&gt;MAX((MAX(1,INT(((CROQUIS!$C$98)-CROQUIS!$C$107)/MAX((CROQUIS!$C$129*MAX(1,CEILING((INT(((CROQUIS!$C$98)-CROQUIS!$C$107)/MAX(CROQUIS!$C$129,1))+1)/80,1))),1))+1))-1,0),0,MOD($A101-1,5))+1,0,2,CROQUIS!$C$97-2,2,0),((CROQUIS!$C$107/2+(((CROQUIS!$C$98)-CROQUIS!$C$107)-(MAX(1,INT(((CROQUIS!$C$98)-CROQUIS!$C$107)/MAX((CROQUIS!$C$129*MAX(1,CEILING((INT(((CROQUIS!$C$98)-CROQUIS!$C$107)/MAX(CROQUIS!$C$129,1))+1)/80,1))),1))+1)-1)*(CROQUIS!$C$129*MAX(1,CEILING((INT(((CROQUIS!$C$98)-CROQUIS!$C$107)/MAX(CROQUIS!$C$129,1))+1)/80,1))))/2)+MIN(INT(($A101-1)/5),MAX((MAX(1,INT(((CROQUIS!$C$98)-CROQUIS!$C$107)/MAX((CROQUIS!$C$129*MAX(1,CEILING((INT(((CROQUIS!$C$98)-CROQUIS!$C$107)/MAX(CROQUIS!$C$129,1))+1)/80,1))),1))+1))-1,0))*(CROQUIS!$C$129*MAX(1,CEILING((INT(((CROQUIS!$C$98)-CROQUIS!$C$107)/MAX(CROQUIS!$C$129,1))+1)/80,1))))))*CROQUIS!$C$159)+IF(CROQUIS!$C$92="X",0,0)),-1000)</f>
        <v>-1000</v>
      </c>
      <c r="BO101">
        <f>IF(AND(CROQUIS!$C$88=1,CROQUIS!$C$129&gt;0),((CROQUIS!$C$161+(IF(CROQUIS!$C$92="X",((CROQUIS!$C$107/2+(((CROQUIS!$C$98)-CROQUIS!$C$107)-(MAX(1,INT(((CROQUIS!$C$98)-CROQUIS!$C$107)/MAX((CROQUIS!$C$129*MAX(1,CEILING((INT(((CROQUIS!$C$98)-CROQUIS!$C$107)/MAX(CROQUIS!$C$129,1))+1)/80,1))),1))+1)-1)*(CROQUIS!$C$129*MAX(1,CEILING((INT(((CROQUIS!$C$98)-CROQUIS!$C$107)/MAX(CROQUIS!$C$129,1))+1)/80,1))))/2)+MIN(INT(($A101-1)/5),MAX((MAX(1,INT(((CROQUIS!$C$98)-CROQUIS!$C$107)/MAX((CROQUIS!$C$129*MAX(1,CEILING((INT(((CROQUIS!$C$98)-CROQUIS!$C$107)/MAX(CROQUIS!$C$129,1))+1)/80,1))),1))+1))-1,0))*(CROQUIS!$C$129*MAX(1,CEILING((INT(((CROQUIS!$C$98)-CROQUIS!$C$107)/MAX(CROQUIS!$C$129,1))+1)/80,1)))),CHOOSE(IF(INT(($A101-1)/5)&gt;MAX((MAX(1,INT(((CROQUIS!$C$98)-CROQUIS!$C$107)/MAX((CROQUIS!$C$129*MAX(1,CEILING((INT(((CROQUIS!$C$98)-CROQUIS!$C$107)/MAX(CROQUIS!$C$129,1))+1)/80,1))),1))+1))-1,0),0,MOD($A101-1,5))+1,0,2,CROQUIS!$C$97-2,2,0)))*CROQUIS!$C$159)+IF(CROQUIS!$C$92="X",0,0)),-1000)</f>
        <v>-1000</v>
      </c>
      <c r="BP101">
        <f>IF(AND(CROQUIS!$C$88=1,CROQUIS!$C$137&gt;0),((CROQUIS!$C$160+(IF(CROQUIS!$C$92="X",((CROQUIS!$C$107/2+(((CROQUIS!$C$97)-CROQUIS!$C$107)-(MAX(1,INT(((CROQUIS!$C$97)-CROQUIS!$C$107)/MAX((CROQUIS!$C$137*MAX(1,CEILING((INT(((CROQUIS!$C$97)-CROQUIS!$C$107)/MAX(CROQUIS!$C$137,1))+1)/80,1))),1))+1)-1)*(CROQUIS!$C$137*MAX(1,CEILING((INT(((CROQUIS!$C$97)-CROQUIS!$C$107)/MAX(CROQUIS!$C$137,1))+1)/80,1))))/2)+MIN(INT(($A101-1)/5),MAX((MAX(1,INT(((CROQUIS!$C$97)-CROQUIS!$C$107)/MAX((CROQUIS!$C$137*MAX(1,CEILING((INT(((CROQUIS!$C$97)-CROQUIS!$C$107)/MAX(CROQUIS!$C$137,1))+1)/80,1))),1))+1))-1,0))*(CROQUIS!$C$137*MAX(1,CEILING((INT(((CROQUIS!$C$97)-CROQUIS!$C$107)/MAX(CROQUIS!$C$137,1))+1)/80,1)))),CHOOSE(IF(INT(($A101-1)/5)&gt;MAX((MAX(1,INT(((CROQUIS!$C$97)-CROQUIS!$C$107)/MAX((CROQUIS!$C$137*MAX(1,CEILING((INT(((CROQUIS!$C$97)-CROQUIS!$C$107)/MAX(CROQUIS!$C$137,1))+1)/80,1))),1))+1))-1,0),0,MOD($A101-1,5))+1,0,2,CROQUIS!$C$98-2,2,0)))*CROQUIS!$C$159)+IF(CROQUIS!$C$92="X",0,0)),-1000)</f>
        <v>-1000</v>
      </c>
      <c r="BQ101">
        <f>IF(AND(CROQUIS!$C$88=1,CROQUIS!$C$137&gt;0),((CROQUIS!$C$161+(IF(CROQUIS!$C$92="X",CHOOSE(IF(INT(($A101-1)/5)&gt;MAX((MAX(1,INT(((CROQUIS!$C$97)-CROQUIS!$C$107)/MAX((CROQUIS!$C$137*MAX(1,CEILING((INT(((CROQUIS!$C$97)-CROQUIS!$C$107)/MAX(CROQUIS!$C$137,1))+1)/80,1))),1))+1))-1,0),0,MOD($A101-1,5))+1,0,2,CROQUIS!$C$98-2,2,0),((CROQUIS!$C$107/2+(((CROQUIS!$C$97)-CROQUIS!$C$107)-(MAX(1,INT(((CROQUIS!$C$97)-CROQUIS!$C$107)/MAX((CROQUIS!$C$137*MAX(1,CEILING((INT(((CROQUIS!$C$97)-CROQUIS!$C$107)/MAX(CROQUIS!$C$137,1))+1)/80,1))),1))+1)-1)*(CROQUIS!$C$137*MAX(1,CEILING((INT(((CROQUIS!$C$97)-CROQUIS!$C$107)/MAX(CROQUIS!$C$137,1))+1)/80,1))))/2)+MIN(INT(($A101-1)/5),MAX((MAX(1,INT(((CROQUIS!$C$97)-CROQUIS!$C$107)/MAX((CROQUIS!$C$137*MAX(1,CEILING((INT(((CROQUIS!$C$97)-CROQUIS!$C$107)/MAX(CROQUIS!$C$137,1))+1)/80,1))),1))+1))-1,0))*(CROQUIS!$C$137*MAX(1,CEILING((INT(((CROQUIS!$C$97)-CROQUIS!$C$107)/MAX(CROQUIS!$C$137,1))+1)/80,1))))))*CROQUIS!$C$159)+IF(CROQUIS!$C$92="X",0,0)),-1000)</f>
        <v>-1000</v>
      </c>
      <c r="BR101">
        <f>IF(AND(CROQUIS!$C$88=1,CROQUIS!$C$91=0,CROQUIS!$C$133&gt;0,OR(CROQUIS!$C$103=1,CROQUIS!$C$145=1)),((CROQUIS!$C$160+(IF(CROQUIS!$C$92="X",CHOOSE(IF(INT(($A101-1)/5)&gt;MAX((MAX(1,INT(((CROQUIS!$C$98)-CROQUIS!$C$107)/MAX((CROQUIS!$C$133*MAX(1,CEILING((INT(((CROQUIS!$C$98)-CROQUIS!$C$107)/MAX(CROQUIS!$C$133,1))+1)/80,1))),1))+1))-1,0),0,MOD($A101-1,5))+1,0,IF(CROQUIS!$C$103=1,-12,2),CROQUIS!$C$107/2+CROQUIS!$C$143,IF(CROQUIS!$C$103=1,-12,2),0),((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BS1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+1,0,IF(CROQUIS!$C$103=1,-12,2),CROQUIS!$C$107/2+CROQUIS!$C$143,IF(CROQUIS!$C$103=1,-12,2),0)))*CROQUIS!$C$159)+IF(CROQUIS!$C$92="X",0.8,0)),-1000)</f>
        <v>-1000</v>
      </c>
      <c r="BT101">
        <f>IF(AND(CROQUIS!$C$88=1,CROQUIS!$C$91=0,CROQUIS!$C$133&gt;0,OR(CROQUIS!$C$104=1,CROQUIS!$C$145=1)),((CROQUIS!$C$160+(IF(CROQUIS!$C$92="X",CHOOSE(IF(INT(($A101-1)/5)&gt;MAX((MAX(1,INT(((CROQUIS!$C$98)-CROQUIS!$C$107)/MAX((CROQUIS!$C$133*MAX(1,CEILING((INT(((CROQUIS!$C$98)-CROQUIS!$C$107)/MAX(CROQUIS!$C$133,1))+1)/80,1))),1))+1))-1,0),0,MOD($A101-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BU1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CROQUIS!$C$97,CROQUIS!$C$97-CROQUIS!$C$107/2-CROQUIS!$C$143,IF(CROQUIS!$C$104=1,CROQUIS!$C$97+12,CROQUIS!$C$97-2),CROQUIS!$C$97-CROQUIS!$C$107/2-CROQUIS!$C$143,CROQUIS!$C$97)))*CROQUIS!$C$159)+IF(CROQUIS!$C$92="X",0.8,0)),-1000)</f>
        <v>-1000</v>
      </c>
      <c r="BV1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HOOSE(IF(INT(($A101-1)/5)&gt;MAX((MAX(1,INT(((CROQUIS!$C$97)-CROQUIS!$C$107)/MAX((CROQUIS!$C$141*MAX(1,CEILING((INT(((CROQUIS!$C$97)-CROQUIS!$C$107)/MAX(CROQUIS!$C$141,1))+1)/80,1))),1))+1))-1,0),0,MOD($A101-1,5))+1,0,IF(CROQUIS!$C$105=1,-12,2),CROQUIS!$C$107/2+CROQUIS!$C$144,IF(CROQUIS!$C$105=1,-12,2),0)))*CROQUIS!$C$159)+IF(CROQUIS!$C$92="X",0.8,0)),-1000)</f>
        <v>-1000</v>
      </c>
      <c r="BW101">
        <f>IF(AND(CROQUIS!$C$88=1,CROQUIS!$C$91=0,CROQUIS!$C$141&gt;0,OR(CROQUIS!$C$105=1,CROQUIS!$C$146=1)),((CROQUIS!$C$161+(IF(CROQUIS!$C$92="X",CHOOSE(IF(INT(($A101-1)/5)&gt;MAX((MAX(1,INT(((CROQUIS!$C$97)-CROQUIS!$C$107)/MAX((CROQUIS!$C$141*MAX(1,CEILING((INT(((CROQUIS!$C$97)-CROQUIS!$C$107)/MAX(CROQUIS!$C$141,1))+1)/80,1))),1))+1))-1,0),0,MOD($A101-1,5))+1,0,IF(CROQUIS!$C$105=1,-12,2),CROQUIS!$C$107/2+CROQUIS!$C$144,IF(CROQUIS!$C$105=1,-12,2),0),((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ROQUIS!$C$159)+IF(CROQUIS!$C$92="X",0,0.8)),-1000)</f>
        <v>-1000</v>
      </c>
      <c r="BX1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HOOSE(IF(INT(($A101-1)/5)&gt;MAX((MAX(1,INT(((CROQUIS!$C$97)-CROQUIS!$C$107)/MAX((CROQUIS!$C$141*MAX(1,CEILING((INT(((CROQUIS!$C$97)-CROQUIS!$C$107)/MAX(CROQUIS!$C$141,1))+1)/80,1))),1))+1))-1,0),0,MOD($A101-1,5))+1,CROQUIS!$C$98,CROQUIS!$C$98-CROQUIS!$C$107/2-CROQUIS!$C$144,IF(CROQUIS!$C$106=1,CROQUIS!$C$98+12,CROQUIS!$C$98-2),CROQUIS!$C$98-CROQUIS!$C$107/2-CROQUIS!$C$144,CROQUIS!$C$98)))*CROQUIS!$C$159)+IF(CROQUIS!$C$92="X",0.8,0)),-1000)</f>
        <v>-1000</v>
      </c>
      <c r="BY101">
        <f>IF(AND(CROQUIS!$C$88=1,CROQUIS!$C$91=0,CROQUIS!$C$141&gt;0,OR(CROQUIS!$C$106=1,CROQUIS!$C$146=1)),((CROQUIS!$C$161+(IF(CROQUIS!$C$92="X",CHOOSE(IF(INT(($A101-1)/5)&gt;MAX((MAX(1,INT(((CROQUIS!$C$97)-CROQUIS!$C$107)/MAX((CROQUIS!$C$141*MAX(1,CEILING((INT(((CROQUIS!$C$97)-CROQUIS!$C$107)/MAX(CROQUIS!$C$141,1))+1)/80,1))),1))+1))-1,0),0,MOD($A101-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ROQUIS!$C$159)+IF(CROQUIS!$C$92="X",0,0.8)),-1000)</f>
        <v>-1000</v>
      </c>
      <c r="BZ101">
        <f>IF(AND(CROQUIS!$C$88=1,CROQUIS!$C$91=1,CROQUIS!$C$133&gt;0),((CROQUIS!$C$160+(IF(CROQUIS!$C$92="X",CHOOSE(IF(INT(($A101-1)/5)&gt;MAX((MAX(1,INT(((CROQUIS!$C$98)-CROQUIS!$C$107)/MAX((CROQUIS!$C$133*MAX(1,CEILING((INT(((CROQUIS!$C$98)-CROQUIS!$C$107)/MAX(CROQUIS!$C$133,1))+1)/80,1))),1))+1))-1,0),0,MOD($A101-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CA101">
        <f>IF(AND(CROQUIS!$C$88=1,CROQUIS!$C$91=1,CROQUIS!$C$133&gt;0),((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2">
      <c r="A102" t="n">
        <v>95</v>
      </c>
      <c r="AJ102">
        <f>IF(AND(CROQUIS!$C$87=1,CROQUIS!$C$162&gt;0,CROQUIS!$C$164&gt;0),(CROQUIS!$C$160+((CROQUIS!$C$163+INT(MIN(INT(($A102-1)/2),MAX((2*CROQUIS!$C$162)-1,0))/2)*CROQUIS!$C$116+MOD(MIN(INT(($A102-1)/2),MAX((2*CROQUIS!$C$162)-1,0)),2)*CROQUIS!$C$114))*CROQUIS!$C$159),-1000)</f>
        <v>81.3375508359693</v>
      </c>
      <c r="AK102">
        <f>IF(AND(CROQUIS!$C$87=1,CROQUIS!$C$162&gt;0,CROQUIS!$C$164&gt;0),(CROQUIS!$C$161+(IF(MOD(MIN(INT(($A102-1)/2),MAX((2*CROQUIS!$C$162)-1,0)),2)=0,IF(IF(INT(($A102-1)/2)&gt;MAX((2*CROQUIS!$C$162)-1,0),1,MOD($A102-1,2))=0,CROQUIS!$C$165,(CROQUIS!$C$165+(CROQUIS!$C$164-1)*CROQUIS!$C$116+CROQUIS!$C$115)),IF(IF(INT(($A102-1)/2)&gt;MAX((2*CROQUIS!$C$162)-1,0),1,MOD($A102-1,2))=0,(CROQUIS!$C$165+(CROQUIS!$C$164-1)*CROQUIS!$C$116+CROQUIS!$C$115),CROQUIS!$C$165)))*CROQUIS!$C$159),-1000)</f>
        <v>20.8088567555355</v>
      </c>
      <c r="AL102">
        <f>IF(AND(CROQUIS!$C$87=1,CROQUIS!$C$164&gt;0,CROQUIS!$C$162&gt;0),(CROQUIS!$C$160+(IF(MOD(MIN(INT(($A102-1)/2),MAX((2*CROQUIS!$C$164)-1,0)),2)=0,IF(IF(INT(($A102-1)/2)&gt;MAX((2*CROQUIS!$C$164)-1,0),1,MOD($A102-1,2))=0,CROQUIS!$C$163,(CROQUIS!$C$163+(CROQUIS!$C$162-1)*CROQUIS!$C$116+CROQUIS!$C$114)),IF(IF(INT(($A102-1)/2)&gt;MAX((2*CROQUIS!$C$164)-1,0),1,MOD($A102-1,2))=0,(CROQUIS!$C$163+(CROQUIS!$C$162-1)*CROQUIS!$C$116+CROQUIS!$C$114),CROQUIS!$C$163)))*CROQUIS!$C$159),-1000)</f>
        <v>22.9552643470402</v>
      </c>
      <c r="AM102">
        <f>IF(AND(CROQUIS!$C$87=1,CROQUIS!$C$164&gt;0,CROQUIS!$C$162&gt;0),(CROQUIS!$C$161+((CROQUIS!$C$165+INT(MIN(INT(($A102-1)/2),MAX((2*CROQUIS!$C$164)-1,0))/2)*CROQUIS!$C$116+MOD(MIN(INT(($A102-1)/2),MAX((2*CROQUIS!$C$164)-1,0)),2)*CROQUIS!$C$115))*CROQUIS!$C$159),-1000)</f>
        <v>79.1911432444645</v>
      </c>
      <c r="BN102">
        <f>IF(AND(CROQUIS!$C$88=1,CROQUIS!$C$129&gt;0),((CROQUIS!$C$160+(IF(CROQUIS!$C$92="X",CHOOSE(IF(INT(($A102-1)/5)&gt;MAX((MAX(1,INT(((CROQUIS!$C$98)-CROQUIS!$C$107)/MAX((CROQUIS!$C$129*MAX(1,CEILING((INT(((CROQUIS!$C$98)-CROQUIS!$C$107)/MAX(CROQUIS!$C$129,1))+1)/80,1))),1))+1))-1,0),0,MOD($A102-1,5))+1,0,2,CROQUIS!$C$97-2,2,0),((CROQUIS!$C$107/2+(((CROQUIS!$C$98)-CROQUIS!$C$107)-(MAX(1,INT(((CROQUIS!$C$98)-CROQUIS!$C$107)/MAX((CROQUIS!$C$129*MAX(1,CEILING((INT(((CROQUIS!$C$98)-CROQUIS!$C$107)/MAX(CROQUIS!$C$129,1))+1)/80,1))),1))+1)-1)*(CROQUIS!$C$129*MAX(1,CEILING((INT(((CROQUIS!$C$98)-CROQUIS!$C$107)/MAX(CROQUIS!$C$129,1))+1)/80,1))))/2)+MIN(INT(($A102-1)/5),MAX((MAX(1,INT(((CROQUIS!$C$98)-CROQUIS!$C$107)/MAX((CROQUIS!$C$129*MAX(1,CEILING((INT(((CROQUIS!$C$98)-CROQUIS!$C$107)/MAX(CROQUIS!$C$129,1))+1)/80,1))),1))+1))-1,0))*(CROQUIS!$C$129*MAX(1,CEILING((INT(((CROQUIS!$C$98)-CROQUIS!$C$107)/MAX(CROQUIS!$C$129,1))+1)/80,1))))))*CROQUIS!$C$159)+IF(CROQUIS!$C$92="X",0,0)),-1000)</f>
        <v>-1000</v>
      </c>
      <c r="BO102">
        <f>IF(AND(CROQUIS!$C$88=1,CROQUIS!$C$129&gt;0),((CROQUIS!$C$161+(IF(CROQUIS!$C$92="X",((CROQUIS!$C$107/2+(((CROQUIS!$C$98)-CROQUIS!$C$107)-(MAX(1,INT(((CROQUIS!$C$98)-CROQUIS!$C$107)/MAX((CROQUIS!$C$129*MAX(1,CEILING((INT(((CROQUIS!$C$98)-CROQUIS!$C$107)/MAX(CROQUIS!$C$129,1))+1)/80,1))),1))+1)-1)*(CROQUIS!$C$129*MAX(1,CEILING((INT(((CROQUIS!$C$98)-CROQUIS!$C$107)/MAX(CROQUIS!$C$129,1))+1)/80,1))))/2)+MIN(INT(($A102-1)/5),MAX((MAX(1,INT(((CROQUIS!$C$98)-CROQUIS!$C$107)/MAX((CROQUIS!$C$129*MAX(1,CEILING((INT(((CROQUIS!$C$98)-CROQUIS!$C$107)/MAX(CROQUIS!$C$129,1))+1)/80,1))),1))+1))-1,0))*(CROQUIS!$C$129*MAX(1,CEILING((INT(((CROQUIS!$C$98)-CROQUIS!$C$107)/MAX(CROQUIS!$C$129,1))+1)/80,1)))),CHOOSE(IF(INT(($A102-1)/5)&gt;MAX((MAX(1,INT(((CROQUIS!$C$98)-CROQUIS!$C$107)/MAX((CROQUIS!$C$129*MAX(1,CEILING((INT(((CROQUIS!$C$98)-CROQUIS!$C$107)/MAX(CROQUIS!$C$129,1))+1)/80,1))),1))+1))-1,0),0,MOD($A102-1,5))+1,0,2,CROQUIS!$C$97-2,2,0)))*CROQUIS!$C$159)+IF(CROQUIS!$C$92="X",0,0)),-1000)</f>
        <v>-1000</v>
      </c>
      <c r="BP102">
        <f>IF(AND(CROQUIS!$C$88=1,CROQUIS!$C$137&gt;0),((CROQUIS!$C$160+(IF(CROQUIS!$C$92="X",((CROQUIS!$C$107/2+(((CROQUIS!$C$97)-CROQUIS!$C$107)-(MAX(1,INT(((CROQUIS!$C$97)-CROQUIS!$C$107)/MAX((CROQUIS!$C$137*MAX(1,CEILING((INT(((CROQUIS!$C$97)-CROQUIS!$C$107)/MAX(CROQUIS!$C$137,1))+1)/80,1))),1))+1)-1)*(CROQUIS!$C$137*MAX(1,CEILING((INT(((CROQUIS!$C$97)-CROQUIS!$C$107)/MAX(CROQUIS!$C$137,1))+1)/80,1))))/2)+MIN(INT(($A102-1)/5),MAX((MAX(1,INT(((CROQUIS!$C$97)-CROQUIS!$C$107)/MAX((CROQUIS!$C$137*MAX(1,CEILING((INT(((CROQUIS!$C$97)-CROQUIS!$C$107)/MAX(CROQUIS!$C$137,1))+1)/80,1))),1))+1))-1,0))*(CROQUIS!$C$137*MAX(1,CEILING((INT(((CROQUIS!$C$97)-CROQUIS!$C$107)/MAX(CROQUIS!$C$137,1))+1)/80,1)))),CHOOSE(IF(INT(($A102-1)/5)&gt;MAX((MAX(1,INT(((CROQUIS!$C$97)-CROQUIS!$C$107)/MAX((CROQUIS!$C$137*MAX(1,CEILING((INT(((CROQUIS!$C$97)-CROQUIS!$C$107)/MAX(CROQUIS!$C$137,1))+1)/80,1))),1))+1))-1,0),0,MOD($A102-1,5))+1,0,2,CROQUIS!$C$98-2,2,0)))*CROQUIS!$C$159)+IF(CROQUIS!$C$92="X",0,0)),-1000)</f>
        <v>-1000</v>
      </c>
      <c r="BQ102">
        <f>IF(AND(CROQUIS!$C$88=1,CROQUIS!$C$137&gt;0),((CROQUIS!$C$161+(IF(CROQUIS!$C$92="X",CHOOSE(IF(INT(($A102-1)/5)&gt;MAX((MAX(1,INT(((CROQUIS!$C$97)-CROQUIS!$C$107)/MAX((CROQUIS!$C$137*MAX(1,CEILING((INT(((CROQUIS!$C$97)-CROQUIS!$C$107)/MAX(CROQUIS!$C$137,1))+1)/80,1))),1))+1))-1,0),0,MOD($A102-1,5))+1,0,2,CROQUIS!$C$98-2,2,0),((CROQUIS!$C$107/2+(((CROQUIS!$C$97)-CROQUIS!$C$107)-(MAX(1,INT(((CROQUIS!$C$97)-CROQUIS!$C$107)/MAX((CROQUIS!$C$137*MAX(1,CEILING((INT(((CROQUIS!$C$97)-CROQUIS!$C$107)/MAX(CROQUIS!$C$137,1))+1)/80,1))),1))+1)-1)*(CROQUIS!$C$137*MAX(1,CEILING((INT(((CROQUIS!$C$97)-CROQUIS!$C$107)/MAX(CROQUIS!$C$137,1))+1)/80,1))))/2)+MIN(INT(($A102-1)/5),MAX((MAX(1,INT(((CROQUIS!$C$97)-CROQUIS!$C$107)/MAX((CROQUIS!$C$137*MAX(1,CEILING((INT(((CROQUIS!$C$97)-CROQUIS!$C$107)/MAX(CROQUIS!$C$137,1))+1)/80,1))),1))+1))-1,0))*(CROQUIS!$C$137*MAX(1,CEILING((INT(((CROQUIS!$C$97)-CROQUIS!$C$107)/MAX(CROQUIS!$C$137,1))+1)/80,1))))))*CROQUIS!$C$159)+IF(CROQUIS!$C$92="X",0,0)),-1000)</f>
        <v>-1000</v>
      </c>
      <c r="BR102">
        <f>IF(AND(CROQUIS!$C$88=1,CROQUIS!$C$91=0,CROQUIS!$C$133&gt;0,OR(CROQUIS!$C$103=1,CROQUIS!$C$145=1)),((CROQUIS!$C$160+(IF(CROQUIS!$C$92="X",CHOOSE(IF(INT(($A102-1)/5)&gt;MAX((MAX(1,INT(((CROQUIS!$C$98)-CROQUIS!$C$107)/MAX((CROQUIS!$C$133*MAX(1,CEILING((INT(((CROQUIS!$C$98)-CROQUIS!$C$107)/MAX(CROQUIS!$C$133,1))+1)/80,1))),1))+1))-1,0),0,MOD($A102-1,5))+1,0,IF(CROQUIS!$C$103=1,-12,2),CROQUIS!$C$107/2+CROQUIS!$C$143,IF(CROQUIS!$C$103=1,-12,2),0),((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BS1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+1,0,IF(CROQUIS!$C$103=1,-12,2),CROQUIS!$C$107/2+CROQUIS!$C$143,IF(CROQUIS!$C$103=1,-12,2),0)))*CROQUIS!$C$159)+IF(CROQUIS!$C$92="X",0.8,0)),-1000)</f>
        <v>-1000</v>
      </c>
      <c r="BT102">
        <f>IF(AND(CROQUIS!$C$88=1,CROQUIS!$C$91=0,CROQUIS!$C$133&gt;0,OR(CROQUIS!$C$104=1,CROQUIS!$C$145=1)),((CROQUIS!$C$160+(IF(CROQUIS!$C$92="X",CHOOSE(IF(INT(($A102-1)/5)&gt;MAX((MAX(1,INT(((CROQUIS!$C$98)-CROQUIS!$C$107)/MAX((CROQUIS!$C$133*MAX(1,CEILING((INT(((CROQUIS!$C$98)-CROQUIS!$C$107)/MAX(CROQUIS!$C$133,1))+1)/80,1))),1))+1))-1,0),0,MOD($A102-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BU1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CROQUIS!$C$97,CROQUIS!$C$97-CROQUIS!$C$107/2-CROQUIS!$C$143,IF(CROQUIS!$C$104=1,CROQUIS!$C$97+12,CROQUIS!$C$97-2),CROQUIS!$C$97-CROQUIS!$C$107/2-CROQUIS!$C$143,CROQUIS!$C$97)))*CROQUIS!$C$159)+IF(CROQUIS!$C$92="X",0.8,0)),-1000)</f>
        <v>-1000</v>
      </c>
      <c r="BV1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HOOSE(IF(INT(($A102-1)/5)&gt;MAX((MAX(1,INT(((CROQUIS!$C$97)-CROQUIS!$C$107)/MAX((CROQUIS!$C$141*MAX(1,CEILING((INT(((CROQUIS!$C$97)-CROQUIS!$C$107)/MAX(CROQUIS!$C$141,1))+1)/80,1))),1))+1))-1,0),0,MOD($A102-1,5))+1,0,IF(CROQUIS!$C$105=1,-12,2),CROQUIS!$C$107/2+CROQUIS!$C$144,IF(CROQUIS!$C$105=1,-12,2),0)))*CROQUIS!$C$159)+IF(CROQUIS!$C$92="X",0.8,0)),-1000)</f>
        <v>-1000</v>
      </c>
      <c r="BW102">
        <f>IF(AND(CROQUIS!$C$88=1,CROQUIS!$C$91=0,CROQUIS!$C$141&gt;0,OR(CROQUIS!$C$105=1,CROQUIS!$C$146=1)),((CROQUIS!$C$161+(IF(CROQUIS!$C$92="X",CHOOSE(IF(INT(($A102-1)/5)&gt;MAX((MAX(1,INT(((CROQUIS!$C$97)-CROQUIS!$C$107)/MAX((CROQUIS!$C$141*MAX(1,CEILING((INT(((CROQUIS!$C$97)-CROQUIS!$C$107)/MAX(CROQUIS!$C$141,1))+1)/80,1))),1))+1))-1,0),0,MOD($A102-1,5))+1,0,IF(CROQUIS!$C$105=1,-12,2),CROQUIS!$C$107/2+CROQUIS!$C$144,IF(CROQUIS!$C$105=1,-12,2),0),((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ROQUIS!$C$159)+IF(CROQUIS!$C$92="X",0,0.8)),-1000)</f>
        <v>-1000</v>
      </c>
      <c r="BX1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HOOSE(IF(INT(($A102-1)/5)&gt;MAX((MAX(1,INT(((CROQUIS!$C$97)-CROQUIS!$C$107)/MAX((CROQUIS!$C$141*MAX(1,CEILING((INT(((CROQUIS!$C$97)-CROQUIS!$C$107)/MAX(CROQUIS!$C$141,1))+1)/80,1))),1))+1))-1,0),0,MOD($A102-1,5))+1,CROQUIS!$C$98,CROQUIS!$C$98-CROQUIS!$C$107/2-CROQUIS!$C$144,IF(CROQUIS!$C$106=1,CROQUIS!$C$98+12,CROQUIS!$C$98-2),CROQUIS!$C$98-CROQUIS!$C$107/2-CROQUIS!$C$144,CROQUIS!$C$98)))*CROQUIS!$C$159)+IF(CROQUIS!$C$92="X",0.8,0)),-1000)</f>
        <v>-1000</v>
      </c>
      <c r="BY102">
        <f>IF(AND(CROQUIS!$C$88=1,CROQUIS!$C$91=0,CROQUIS!$C$141&gt;0,OR(CROQUIS!$C$106=1,CROQUIS!$C$146=1)),((CROQUIS!$C$161+(IF(CROQUIS!$C$92="X",CHOOSE(IF(INT(($A102-1)/5)&gt;MAX((MAX(1,INT(((CROQUIS!$C$97)-CROQUIS!$C$107)/MAX((CROQUIS!$C$141*MAX(1,CEILING((INT(((CROQUIS!$C$97)-CROQUIS!$C$107)/MAX(CROQUIS!$C$141,1))+1)/80,1))),1))+1))-1,0),0,MOD($A102-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ROQUIS!$C$159)+IF(CROQUIS!$C$92="X",0,0.8)),-1000)</f>
        <v>-1000</v>
      </c>
      <c r="BZ102">
        <f>IF(AND(CROQUIS!$C$88=1,CROQUIS!$C$91=1,CROQUIS!$C$133&gt;0),((CROQUIS!$C$160+(IF(CROQUIS!$C$92="X",CHOOSE(IF(INT(($A102-1)/5)&gt;MAX((MAX(1,INT(((CROQUIS!$C$98)-CROQUIS!$C$107)/MAX((CROQUIS!$C$133*MAX(1,CEILING((INT(((CROQUIS!$C$98)-CROQUIS!$C$107)/MAX(CROQUIS!$C$133,1))+1)/80,1))),1))+1))-1,0),0,MOD($A102-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CA102">
        <f>IF(AND(CROQUIS!$C$88=1,CROQUIS!$C$91=1,CROQUIS!$C$133&gt;0),((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3">
      <c r="A103" t="n">
        <v>96</v>
      </c>
      <c r="AJ103">
        <f>IF(AND(CROQUIS!$C$87=1,CROQUIS!$C$162&gt;0,CROQUIS!$C$164&gt;0),(CROQUIS!$C$160+((CROQUIS!$C$163+INT(MIN(INT(($A103-1)/2),MAX((2*CROQUIS!$C$162)-1,0))/2)*CROQUIS!$C$116+MOD(MIN(INT(($A103-1)/2),MAX((2*CROQUIS!$C$162)-1,0)),2)*CROQUIS!$C$114))*CROQUIS!$C$159),-1000)</f>
        <v>81.3375508359693</v>
      </c>
      <c r="AK103">
        <f>IF(AND(CROQUIS!$C$87=1,CROQUIS!$C$162&gt;0,CROQUIS!$C$164&gt;0),(CROQUIS!$C$161+(IF(MOD(MIN(INT(($A103-1)/2),MAX((2*CROQUIS!$C$162)-1,0)),2)=0,IF(IF(INT(($A103-1)/2)&gt;MAX((2*CROQUIS!$C$162)-1,0),1,MOD($A103-1,2))=0,CROQUIS!$C$165,(CROQUIS!$C$165+(CROQUIS!$C$164-1)*CROQUIS!$C$116+CROQUIS!$C$115)),IF(IF(INT(($A103-1)/2)&gt;MAX((2*CROQUIS!$C$162)-1,0),1,MOD($A103-1,2))=0,(CROQUIS!$C$165+(CROQUIS!$C$164-1)*CROQUIS!$C$116+CROQUIS!$C$115),CROQUIS!$C$165)))*CROQUIS!$C$159),-1000)</f>
        <v>20.8088567555355</v>
      </c>
      <c r="AL103">
        <f>IF(AND(CROQUIS!$C$87=1,CROQUIS!$C$164&gt;0,CROQUIS!$C$162&gt;0),(CROQUIS!$C$160+(IF(MOD(MIN(INT(($A103-1)/2),MAX((2*CROQUIS!$C$164)-1,0)),2)=0,IF(IF(INT(($A103-1)/2)&gt;MAX((2*CROQUIS!$C$164)-1,0),1,MOD($A103-1,2))=0,CROQUIS!$C$163,(CROQUIS!$C$163+(CROQUIS!$C$162-1)*CROQUIS!$C$116+CROQUIS!$C$114)),IF(IF(INT(($A103-1)/2)&gt;MAX((2*CROQUIS!$C$164)-1,0),1,MOD($A103-1,2))=0,(CROQUIS!$C$163+(CROQUIS!$C$162-1)*CROQUIS!$C$116+CROQUIS!$C$114),CROQUIS!$C$163)))*CROQUIS!$C$159),-1000)</f>
        <v>22.9552643470402</v>
      </c>
      <c r="AM103">
        <f>IF(AND(CROQUIS!$C$87=1,CROQUIS!$C$164&gt;0,CROQUIS!$C$162&gt;0),(CROQUIS!$C$161+((CROQUIS!$C$165+INT(MIN(INT(($A103-1)/2),MAX((2*CROQUIS!$C$164)-1,0))/2)*CROQUIS!$C$116+MOD(MIN(INT(($A103-1)/2),MAX((2*CROQUIS!$C$164)-1,0)),2)*CROQUIS!$C$115))*CROQUIS!$C$159),-1000)</f>
        <v>79.1911432444645</v>
      </c>
      <c r="BN103">
        <f>IF(AND(CROQUIS!$C$88=1,CROQUIS!$C$129&gt;0),((CROQUIS!$C$160+(IF(CROQUIS!$C$92="X",CHOOSE(IF(INT(($A103-1)/5)&gt;MAX((MAX(1,INT(((CROQUIS!$C$98)-CROQUIS!$C$107)/MAX((CROQUIS!$C$129*MAX(1,CEILING((INT(((CROQUIS!$C$98)-CROQUIS!$C$107)/MAX(CROQUIS!$C$129,1))+1)/80,1))),1))+1))-1,0),0,MOD($A103-1,5))+1,0,2,CROQUIS!$C$97-2,2,0),((CROQUIS!$C$107/2+(((CROQUIS!$C$98)-CROQUIS!$C$107)-(MAX(1,INT(((CROQUIS!$C$98)-CROQUIS!$C$107)/MAX((CROQUIS!$C$129*MAX(1,CEILING((INT(((CROQUIS!$C$98)-CROQUIS!$C$107)/MAX(CROQUIS!$C$129,1))+1)/80,1))),1))+1)-1)*(CROQUIS!$C$129*MAX(1,CEILING((INT(((CROQUIS!$C$98)-CROQUIS!$C$107)/MAX(CROQUIS!$C$129,1))+1)/80,1))))/2)+MIN(INT(($A103-1)/5),MAX((MAX(1,INT(((CROQUIS!$C$98)-CROQUIS!$C$107)/MAX((CROQUIS!$C$129*MAX(1,CEILING((INT(((CROQUIS!$C$98)-CROQUIS!$C$107)/MAX(CROQUIS!$C$129,1))+1)/80,1))),1))+1))-1,0))*(CROQUIS!$C$129*MAX(1,CEILING((INT(((CROQUIS!$C$98)-CROQUIS!$C$107)/MAX(CROQUIS!$C$129,1))+1)/80,1))))))*CROQUIS!$C$159)+IF(CROQUIS!$C$92="X",0,0)),-1000)</f>
        <v>-1000</v>
      </c>
      <c r="BO103">
        <f>IF(AND(CROQUIS!$C$88=1,CROQUIS!$C$129&gt;0),((CROQUIS!$C$161+(IF(CROQUIS!$C$92="X",((CROQUIS!$C$107/2+(((CROQUIS!$C$98)-CROQUIS!$C$107)-(MAX(1,INT(((CROQUIS!$C$98)-CROQUIS!$C$107)/MAX((CROQUIS!$C$129*MAX(1,CEILING((INT(((CROQUIS!$C$98)-CROQUIS!$C$107)/MAX(CROQUIS!$C$129,1))+1)/80,1))),1))+1)-1)*(CROQUIS!$C$129*MAX(1,CEILING((INT(((CROQUIS!$C$98)-CROQUIS!$C$107)/MAX(CROQUIS!$C$129,1))+1)/80,1))))/2)+MIN(INT(($A103-1)/5),MAX((MAX(1,INT(((CROQUIS!$C$98)-CROQUIS!$C$107)/MAX((CROQUIS!$C$129*MAX(1,CEILING((INT(((CROQUIS!$C$98)-CROQUIS!$C$107)/MAX(CROQUIS!$C$129,1))+1)/80,1))),1))+1))-1,0))*(CROQUIS!$C$129*MAX(1,CEILING((INT(((CROQUIS!$C$98)-CROQUIS!$C$107)/MAX(CROQUIS!$C$129,1))+1)/80,1)))),CHOOSE(IF(INT(($A103-1)/5)&gt;MAX((MAX(1,INT(((CROQUIS!$C$98)-CROQUIS!$C$107)/MAX((CROQUIS!$C$129*MAX(1,CEILING((INT(((CROQUIS!$C$98)-CROQUIS!$C$107)/MAX(CROQUIS!$C$129,1))+1)/80,1))),1))+1))-1,0),0,MOD($A103-1,5))+1,0,2,CROQUIS!$C$97-2,2,0)))*CROQUIS!$C$159)+IF(CROQUIS!$C$92="X",0,0)),-1000)</f>
        <v>-1000</v>
      </c>
      <c r="BP103">
        <f>IF(AND(CROQUIS!$C$88=1,CROQUIS!$C$137&gt;0),((CROQUIS!$C$160+(IF(CROQUIS!$C$92="X",((CROQUIS!$C$107/2+(((CROQUIS!$C$97)-CROQUIS!$C$107)-(MAX(1,INT(((CROQUIS!$C$97)-CROQUIS!$C$107)/MAX((CROQUIS!$C$137*MAX(1,CEILING((INT(((CROQUIS!$C$97)-CROQUIS!$C$107)/MAX(CROQUIS!$C$137,1))+1)/80,1))),1))+1)-1)*(CROQUIS!$C$137*MAX(1,CEILING((INT(((CROQUIS!$C$97)-CROQUIS!$C$107)/MAX(CROQUIS!$C$137,1))+1)/80,1))))/2)+MIN(INT(($A103-1)/5),MAX((MAX(1,INT(((CROQUIS!$C$97)-CROQUIS!$C$107)/MAX((CROQUIS!$C$137*MAX(1,CEILING((INT(((CROQUIS!$C$97)-CROQUIS!$C$107)/MAX(CROQUIS!$C$137,1))+1)/80,1))),1))+1))-1,0))*(CROQUIS!$C$137*MAX(1,CEILING((INT(((CROQUIS!$C$97)-CROQUIS!$C$107)/MAX(CROQUIS!$C$137,1))+1)/80,1)))),CHOOSE(IF(INT(($A103-1)/5)&gt;MAX((MAX(1,INT(((CROQUIS!$C$97)-CROQUIS!$C$107)/MAX((CROQUIS!$C$137*MAX(1,CEILING((INT(((CROQUIS!$C$97)-CROQUIS!$C$107)/MAX(CROQUIS!$C$137,1))+1)/80,1))),1))+1))-1,0),0,MOD($A103-1,5))+1,0,2,CROQUIS!$C$98-2,2,0)))*CROQUIS!$C$159)+IF(CROQUIS!$C$92="X",0,0)),-1000)</f>
        <v>-1000</v>
      </c>
      <c r="BQ103">
        <f>IF(AND(CROQUIS!$C$88=1,CROQUIS!$C$137&gt;0),((CROQUIS!$C$161+(IF(CROQUIS!$C$92="X",CHOOSE(IF(INT(($A103-1)/5)&gt;MAX((MAX(1,INT(((CROQUIS!$C$97)-CROQUIS!$C$107)/MAX((CROQUIS!$C$137*MAX(1,CEILING((INT(((CROQUIS!$C$97)-CROQUIS!$C$107)/MAX(CROQUIS!$C$137,1))+1)/80,1))),1))+1))-1,0),0,MOD($A103-1,5))+1,0,2,CROQUIS!$C$98-2,2,0),((CROQUIS!$C$107/2+(((CROQUIS!$C$97)-CROQUIS!$C$107)-(MAX(1,INT(((CROQUIS!$C$97)-CROQUIS!$C$107)/MAX((CROQUIS!$C$137*MAX(1,CEILING((INT(((CROQUIS!$C$97)-CROQUIS!$C$107)/MAX(CROQUIS!$C$137,1))+1)/80,1))),1))+1)-1)*(CROQUIS!$C$137*MAX(1,CEILING((INT(((CROQUIS!$C$97)-CROQUIS!$C$107)/MAX(CROQUIS!$C$137,1))+1)/80,1))))/2)+MIN(INT(($A103-1)/5),MAX((MAX(1,INT(((CROQUIS!$C$97)-CROQUIS!$C$107)/MAX((CROQUIS!$C$137*MAX(1,CEILING((INT(((CROQUIS!$C$97)-CROQUIS!$C$107)/MAX(CROQUIS!$C$137,1))+1)/80,1))),1))+1))-1,0))*(CROQUIS!$C$137*MAX(1,CEILING((INT(((CROQUIS!$C$97)-CROQUIS!$C$107)/MAX(CROQUIS!$C$137,1))+1)/80,1))))))*CROQUIS!$C$159)+IF(CROQUIS!$C$92="X",0,0)),-1000)</f>
        <v>-1000</v>
      </c>
      <c r="BR103">
        <f>IF(AND(CROQUIS!$C$88=1,CROQUIS!$C$91=0,CROQUIS!$C$133&gt;0,OR(CROQUIS!$C$103=1,CROQUIS!$C$145=1)),((CROQUIS!$C$160+(IF(CROQUIS!$C$92="X",CHOOSE(IF(INT(($A103-1)/5)&gt;MAX((MAX(1,INT(((CROQUIS!$C$98)-CROQUIS!$C$107)/MAX((CROQUIS!$C$133*MAX(1,CEILING((INT(((CROQUIS!$C$98)-CROQUIS!$C$107)/MAX(CROQUIS!$C$133,1))+1)/80,1))),1))+1))-1,0),0,MOD($A103-1,5))+1,0,IF(CROQUIS!$C$103=1,-12,2),CROQUIS!$C$107/2+CROQUIS!$C$143,IF(CROQUIS!$C$103=1,-12,2),0),((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BS1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+1,0,IF(CROQUIS!$C$103=1,-12,2),CROQUIS!$C$107/2+CROQUIS!$C$143,IF(CROQUIS!$C$103=1,-12,2),0)))*CROQUIS!$C$159)+IF(CROQUIS!$C$92="X",0.8,0)),-1000)</f>
        <v>-1000</v>
      </c>
      <c r="BT103">
        <f>IF(AND(CROQUIS!$C$88=1,CROQUIS!$C$91=0,CROQUIS!$C$133&gt;0,OR(CROQUIS!$C$104=1,CROQUIS!$C$145=1)),((CROQUIS!$C$160+(IF(CROQUIS!$C$92="X",CHOOSE(IF(INT(($A103-1)/5)&gt;MAX((MAX(1,INT(((CROQUIS!$C$98)-CROQUIS!$C$107)/MAX((CROQUIS!$C$133*MAX(1,CEILING((INT(((CROQUIS!$C$98)-CROQUIS!$C$107)/MAX(CROQUIS!$C$133,1))+1)/80,1))),1))+1))-1,0),0,MOD($A103-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BU1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CROQUIS!$C$97,CROQUIS!$C$97-CROQUIS!$C$107/2-CROQUIS!$C$143,IF(CROQUIS!$C$104=1,CROQUIS!$C$97+12,CROQUIS!$C$97-2),CROQUIS!$C$97-CROQUIS!$C$107/2-CROQUIS!$C$143,CROQUIS!$C$97)))*CROQUIS!$C$159)+IF(CROQUIS!$C$92="X",0.8,0)),-1000)</f>
        <v>-1000</v>
      </c>
      <c r="BV1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HOOSE(IF(INT(($A103-1)/5)&gt;MAX((MAX(1,INT(((CROQUIS!$C$97)-CROQUIS!$C$107)/MAX((CROQUIS!$C$141*MAX(1,CEILING((INT(((CROQUIS!$C$97)-CROQUIS!$C$107)/MAX(CROQUIS!$C$141,1))+1)/80,1))),1))+1))-1,0),0,MOD($A103-1,5))+1,0,IF(CROQUIS!$C$105=1,-12,2),CROQUIS!$C$107/2+CROQUIS!$C$144,IF(CROQUIS!$C$105=1,-12,2),0)))*CROQUIS!$C$159)+IF(CROQUIS!$C$92="X",0.8,0)),-1000)</f>
        <v>-1000</v>
      </c>
      <c r="BW103">
        <f>IF(AND(CROQUIS!$C$88=1,CROQUIS!$C$91=0,CROQUIS!$C$141&gt;0,OR(CROQUIS!$C$105=1,CROQUIS!$C$146=1)),((CROQUIS!$C$161+(IF(CROQUIS!$C$92="X",CHOOSE(IF(INT(($A103-1)/5)&gt;MAX((MAX(1,INT(((CROQUIS!$C$97)-CROQUIS!$C$107)/MAX((CROQUIS!$C$141*MAX(1,CEILING((INT(((CROQUIS!$C$97)-CROQUIS!$C$107)/MAX(CROQUIS!$C$141,1))+1)/80,1))),1))+1))-1,0),0,MOD($A103-1,5))+1,0,IF(CROQUIS!$C$105=1,-12,2),CROQUIS!$C$107/2+CROQUIS!$C$144,IF(CROQUIS!$C$105=1,-12,2),0),((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ROQUIS!$C$159)+IF(CROQUIS!$C$92="X",0,0.8)),-1000)</f>
        <v>-1000</v>
      </c>
      <c r="BX1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HOOSE(IF(INT(($A103-1)/5)&gt;MAX((MAX(1,INT(((CROQUIS!$C$97)-CROQUIS!$C$107)/MAX((CROQUIS!$C$141*MAX(1,CEILING((INT(((CROQUIS!$C$97)-CROQUIS!$C$107)/MAX(CROQUIS!$C$141,1))+1)/80,1))),1))+1))-1,0),0,MOD($A103-1,5))+1,CROQUIS!$C$98,CROQUIS!$C$98-CROQUIS!$C$107/2-CROQUIS!$C$144,IF(CROQUIS!$C$106=1,CROQUIS!$C$98+12,CROQUIS!$C$98-2),CROQUIS!$C$98-CROQUIS!$C$107/2-CROQUIS!$C$144,CROQUIS!$C$98)))*CROQUIS!$C$159)+IF(CROQUIS!$C$92="X",0.8,0)),-1000)</f>
        <v>-1000</v>
      </c>
      <c r="BY103">
        <f>IF(AND(CROQUIS!$C$88=1,CROQUIS!$C$91=0,CROQUIS!$C$141&gt;0,OR(CROQUIS!$C$106=1,CROQUIS!$C$146=1)),((CROQUIS!$C$161+(IF(CROQUIS!$C$92="X",CHOOSE(IF(INT(($A103-1)/5)&gt;MAX((MAX(1,INT(((CROQUIS!$C$97)-CROQUIS!$C$107)/MAX((CROQUIS!$C$141*MAX(1,CEILING((INT(((CROQUIS!$C$97)-CROQUIS!$C$107)/MAX(CROQUIS!$C$141,1))+1)/80,1))),1))+1))-1,0),0,MOD($A103-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ROQUIS!$C$159)+IF(CROQUIS!$C$92="X",0,0.8)),-1000)</f>
        <v>-1000</v>
      </c>
      <c r="BZ103">
        <f>IF(AND(CROQUIS!$C$88=1,CROQUIS!$C$91=1,CROQUIS!$C$133&gt;0),((CROQUIS!$C$160+(IF(CROQUIS!$C$92="X",CHOOSE(IF(INT(($A103-1)/5)&gt;MAX((MAX(1,INT(((CROQUIS!$C$98)-CROQUIS!$C$107)/MAX((CROQUIS!$C$133*MAX(1,CEILING((INT(((CROQUIS!$C$98)-CROQUIS!$C$107)/MAX(CROQUIS!$C$133,1))+1)/80,1))),1))+1))-1,0),0,MOD($A103-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CA103">
        <f>IF(AND(CROQUIS!$C$88=1,CROQUIS!$C$91=1,CROQUIS!$C$133&gt;0),((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4">
      <c r="A104" t="n">
        <v>97</v>
      </c>
      <c r="AJ104">
        <f>IF(AND(CROQUIS!$C$87=1,CROQUIS!$C$162&gt;0,CROQUIS!$C$164&gt;0),(CROQUIS!$C$160+((CROQUIS!$C$163+INT(MIN(INT(($A104-1)/2),MAX((2*CROQUIS!$C$162)-1,0))/2)*CROQUIS!$C$116+MOD(MIN(INT(($A104-1)/2),MAX((2*CROQUIS!$C$162)-1,0)),2)*CROQUIS!$C$114))*CROQUIS!$C$159),-1000)</f>
        <v>81.3375508359693</v>
      </c>
      <c r="AK104">
        <f>IF(AND(CROQUIS!$C$87=1,CROQUIS!$C$162&gt;0,CROQUIS!$C$164&gt;0),(CROQUIS!$C$161+(IF(MOD(MIN(INT(($A104-1)/2),MAX((2*CROQUIS!$C$162)-1,0)),2)=0,IF(IF(INT(($A104-1)/2)&gt;MAX((2*CROQUIS!$C$162)-1,0),1,MOD($A104-1,2))=0,CROQUIS!$C$165,(CROQUIS!$C$165+(CROQUIS!$C$164-1)*CROQUIS!$C$116+CROQUIS!$C$115)),IF(IF(INT(($A104-1)/2)&gt;MAX((2*CROQUIS!$C$162)-1,0),1,MOD($A104-1,2))=0,(CROQUIS!$C$165+(CROQUIS!$C$164-1)*CROQUIS!$C$116+CROQUIS!$C$115),CROQUIS!$C$165)))*CROQUIS!$C$159),-1000)</f>
        <v>20.8088567555355</v>
      </c>
      <c r="AL104">
        <f>IF(AND(CROQUIS!$C$87=1,CROQUIS!$C$164&gt;0,CROQUIS!$C$162&gt;0),(CROQUIS!$C$160+(IF(MOD(MIN(INT(($A104-1)/2),MAX((2*CROQUIS!$C$164)-1,0)),2)=0,IF(IF(INT(($A104-1)/2)&gt;MAX((2*CROQUIS!$C$164)-1,0),1,MOD($A104-1,2))=0,CROQUIS!$C$163,(CROQUIS!$C$163+(CROQUIS!$C$162-1)*CROQUIS!$C$116+CROQUIS!$C$114)),IF(IF(INT(($A104-1)/2)&gt;MAX((2*CROQUIS!$C$164)-1,0),1,MOD($A104-1,2))=0,(CROQUIS!$C$163+(CROQUIS!$C$162-1)*CROQUIS!$C$116+CROQUIS!$C$114),CROQUIS!$C$163)))*CROQUIS!$C$159),-1000)</f>
        <v>22.9552643470402</v>
      </c>
      <c r="AM104">
        <f>IF(AND(CROQUIS!$C$87=1,CROQUIS!$C$164&gt;0,CROQUIS!$C$162&gt;0),(CROQUIS!$C$161+((CROQUIS!$C$165+INT(MIN(INT(($A104-1)/2),MAX((2*CROQUIS!$C$164)-1,0))/2)*CROQUIS!$C$116+MOD(MIN(INT(($A104-1)/2),MAX((2*CROQUIS!$C$164)-1,0)),2)*CROQUIS!$C$115))*CROQUIS!$C$159),-1000)</f>
        <v>79.1911432444645</v>
      </c>
      <c r="BN104">
        <f>IF(AND(CROQUIS!$C$88=1,CROQUIS!$C$129&gt;0),((CROQUIS!$C$160+(IF(CROQUIS!$C$92="X",CHOOSE(IF(INT(($A104-1)/5)&gt;MAX((MAX(1,INT(((CROQUIS!$C$98)-CROQUIS!$C$107)/MAX((CROQUIS!$C$129*MAX(1,CEILING((INT(((CROQUIS!$C$98)-CROQUIS!$C$107)/MAX(CROQUIS!$C$129,1))+1)/80,1))),1))+1))-1,0),0,MOD($A104-1,5))+1,0,2,CROQUIS!$C$97-2,2,0),((CROQUIS!$C$107/2+(((CROQUIS!$C$98)-CROQUIS!$C$107)-(MAX(1,INT(((CROQUIS!$C$98)-CROQUIS!$C$107)/MAX((CROQUIS!$C$129*MAX(1,CEILING((INT(((CROQUIS!$C$98)-CROQUIS!$C$107)/MAX(CROQUIS!$C$129,1))+1)/80,1))),1))+1)-1)*(CROQUIS!$C$129*MAX(1,CEILING((INT(((CROQUIS!$C$98)-CROQUIS!$C$107)/MAX(CROQUIS!$C$129,1))+1)/80,1))))/2)+MIN(INT(($A104-1)/5),MAX((MAX(1,INT(((CROQUIS!$C$98)-CROQUIS!$C$107)/MAX((CROQUIS!$C$129*MAX(1,CEILING((INT(((CROQUIS!$C$98)-CROQUIS!$C$107)/MAX(CROQUIS!$C$129,1))+1)/80,1))),1))+1))-1,0))*(CROQUIS!$C$129*MAX(1,CEILING((INT(((CROQUIS!$C$98)-CROQUIS!$C$107)/MAX(CROQUIS!$C$129,1))+1)/80,1))))))*CROQUIS!$C$159)+IF(CROQUIS!$C$92="X",0,0)),-1000)</f>
        <v>-1000</v>
      </c>
      <c r="BO104">
        <f>IF(AND(CROQUIS!$C$88=1,CROQUIS!$C$129&gt;0),((CROQUIS!$C$161+(IF(CROQUIS!$C$92="X",((CROQUIS!$C$107/2+(((CROQUIS!$C$98)-CROQUIS!$C$107)-(MAX(1,INT(((CROQUIS!$C$98)-CROQUIS!$C$107)/MAX((CROQUIS!$C$129*MAX(1,CEILING((INT(((CROQUIS!$C$98)-CROQUIS!$C$107)/MAX(CROQUIS!$C$129,1))+1)/80,1))),1))+1)-1)*(CROQUIS!$C$129*MAX(1,CEILING((INT(((CROQUIS!$C$98)-CROQUIS!$C$107)/MAX(CROQUIS!$C$129,1))+1)/80,1))))/2)+MIN(INT(($A104-1)/5),MAX((MAX(1,INT(((CROQUIS!$C$98)-CROQUIS!$C$107)/MAX((CROQUIS!$C$129*MAX(1,CEILING((INT(((CROQUIS!$C$98)-CROQUIS!$C$107)/MAX(CROQUIS!$C$129,1))+1)/80,1))),1))+1))-1,0))*(CROQUIS!$C$129*MAX(1,CEILING((INT(((CROQUIS!$C$98)-CROQUIS!$C$107)/MAX(CROQUIS!$C$129,1))+1)/80,1)))),CHOOSE(IF(INT(($A104-1)/5)&gt;MAX((MAX(1,INT(((CROQUIS!$C$98)-CROQUIS!$C$107)/MAX((CROQUIS!$C$129*MAX(1,CEILING((INT(((CROQUIS!$C$98)-CROQUIS!$C$107)/MAX(CROQUIS!$C$129,1))+1)/80,1))),1))+1))-1,0),0,MOD($A104-1,5))+1,0,2,CROQUIS!$C$97-2,2,0)))*CROQUIS!$C$159)+IF(CROQUIS!$C$92="X",0,0)),-1000)</f>
        <v>-1000</v>
      </c>
      <c r="BP104">
        <f>IF(AND(CROQUIS!$C$88=1,CROQUIS!$C$137&gt;0),((CROQUIS!$C$160+(IF(CROQUIS!$C$92="X",((CROQUIS!$C$107/2+(((CROQUIS!$C$97)-CROQUIS!$C$107)-(MAX(1,INT(((CROQUIS!$C$97)-CROQUIS!$C$107)/MAX((CROQUIS!$C$137*MAX(1,CEILING((INT(((CROQUIS!$C$97)-CROQUIS!$C$107)/MAX(CROQUIS!$C$137,1))+1)/80,1))),1))+1)-1)*(CROQUIS!$C$137*MAX(1,CEILING((INT(((CROQUIS!$C$97)-CROQUIS!$C$107)/MAX(CROQUIS!$C$137,1))+1)/80,1))))/2)+MIN(INT(($A104-1)/5),MAX((MAX(1,INT(((CROQUIS!$C$97)-CROQUIS!$C$107)/MAX((CROQUIS!$C$137*MAX(1,CEILING((INT(((CROQUIS!$C$97)-CROQUIS!$C$107)/MAX(CROQUIS!$C$137,1))+1)/80,1))),1))+1))-1,0))*(CROQUIS!$C$137*MAX(1,CEILING((INT(((CROQUIS!$C$97)-CROQUIS!$C$107)/MAX(CROQUIS!$C$137,1))+1)/80,1)))),CHOOSE(IF(INT(($A104-1)/5)&gt;MAX((MAX(1,INT(((CROQUIS!$C$97)-CROQUIS!$C$107)/MAX((CROQUIS!$C$137*MAX(1,CEILING((INT(((CROQUIS!$C$97)-CROQUIS!$C$107)/MAX(CROQUIS!$C$137,1))+1)/80,1))),1))+1))-1,0),0,MOD($A104-1,5))+1,0,2,CROQUIS!$C$98-2,2,0)))*CROQUIS!$C$159)+IF(CROQUIS!$C$92="X",0,0)),-1000)</f>
        <v>-1000</v>
      </c>
      <c r="BQ104">
        <f>IF(AND(CROQUIS!$C$88=1,CROQUIS!$C$137&gt;0),((CROQUIS!$C$161+(IF(CROQUIS!$C$92="X",CHOOSE(IF(INT(($A104-1)/5)&gt;MAX((MAX(1,INT(((CROQUIS!$C$97)-CROQUIS!$C$107)/MAX((CROQUIS!$C$137*MAX(1,CEILING((INT(((CROQUIS!$C$97)-CROQUIS!$C$107)/MAX(CROQUIS!$C$137,1))+1)/80,1))),1))+1))-1,0),0,MOD($A104-1,5))+1,0,2,CROQUIS!$C$98-2,2,0),((CROQUIS!$C$107/2+(((CROQUIS!$C$97)-CROQUIS!$C$107)-(MAX(1,INT(((CROQUIS!$C$97)-CROQUIS!$C$107)/MAX((CROQUIS!$C$137*MAX(1,CEILING((INT(((CROQUIS!$C$97)-CROQUIS!$C$107)/MAX(CROQUIS!$C$137,1))+1)/80,1))),1))+1)-1)*(CROQUIS!$C$137*MAX(1,CEILING((INT(((CROQUIS!$C$97)-CROQUIS!$C$107)/MAX(CROQUIS!$C$137,1))+1)/80,1))))/2)+MIN(INT(($A104-1)/5),MAX((MAX(1,INT(((CROQUIS!$C$97)-CROQUIS!$C$107)/MAX((CROQUIS!$C$137*MAX(1,CEILING((INT(((CROQUIS!$C$97)-CROQUIS!$C$107)/MAX(CROQUIS!$C$137,1))+1)/80,1))),1))+1))-1,0))*(CROQUIS!$C$137*MAX(1,CEILING((INT(((CROQUIS!$C$97)-CROQUIS!$C$107)/MAX(CROQUIS!$C$137,1))+1)/80,1))))))*CROQUIS!$C$159)+IF(CROQUIS!$C$92="X",0,0)),-1000)</f>
        <v>-1000</v>
      </c>
      <c r="BR104">
        <f>IF(AND(CROQUIS!$C$88=1,CROQUIS!$C$91=0,CROQUIS!$C$133&gt;0,OR(CROQUIS!$C$103=1,CROQUIS!$C$145=1)),((CROQUIS!$C$160+(IF(CROQUIS!$C$92="X",CHOOSE(IF(INT(($A104-1)/5)&gt;MAX((MAX(1,INT(((CROQUIS!$C$98)-CROQUIS!$C$107)/MAX((CROQUIS!$C$133*MAX(1,CEILING((INT(((CROQUIS!$C$98)-CROQUIS!$C$107)/MAX(CROQUIS!$C$133,1))+1)/80,1))),1))+1))-1,0),0,MOD($A104-1,5))+1,0,IF(CROQUIS!$C$103=1,-12,2),CROQUIS!$C$107/2+CROQUIS!$C$143,IF(CROQUIS!$C$103=1,-12,2),0),((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BS1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+1,0,IF(CROQUIS!$C$103=1,-12,2),CROQUIS!$C$107/2+CROQUIS!$C$143,IF(CROQUIS!$C$103=1,-12,2),0)))*CROQUIS!$C$159)+IF(CROQUIS!$C$92="X",0.8,0)),-1000)</f>
        <v>-1000</v>
      </c>
      <c r="BT104">
        <f>IF(AND(CROQUIS!$C$88=1,CROQUIS!$C$91=0,CROQUIS!$C$133&gt;0,OR(CROQUIS!$C$104=1,CROQUIS!$C$145=1)),((CROQUIS!$C$160+(IF(CROQUIS!$C$92="X",CHOOSE(IF(INT(($A104-1)/5)&gt;MAX((MAX(1,INT(((CROQUIS!$C$98)-CROQUIS!$C$107)/MAX((CROQUIS!$C$133*MAX(1,CEILING((INT(((CROQUIS!$C$98)-CROQUIS!$C$107)/MAX(CROQUIS!$C$133,1))+1)/80,1))),1))+1))-1,0),0,MOD($A104-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BU1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CROQUIS!$C$97,CROQUIS!$C$97-CROQUIS!$C$107/2-CROQUIS!$C$143,IF(CROQUIS!$C$104=1,CROQUIS!$C$97+12,CROQUIS!$C$97-2),CROQUIS!$C$97-CROQUIS!$C$107/2-CROQUIS!$C$143,CROQUIS!$C$97)))*CROQUIS!$C$159)+IF(CROQUIS!$C$92="X",0.8,0)),-1000)</f>
        <v>-1000</v>
      </c>
      <c r="BV1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HOOSE(IF(INT(($A104-1)/5)&gt;MAX((MAX(1,INT(((CROQUIS!$C$97)-CROQUIS!$C$107)/MAX((CROQUIS!$C$141*MAX(1,CEILING((INT(((CROQUIS!$C$97)-CROQUIS!$C$107)/MAX(CROQUIS!$C$141,1))+1)/80,1))),1))+1))-1,0),0,MOD($A104-1,5))+1,0,IF(CROQUIS!$C$105=1,-12,2),CROQUIS!$C$107/2+CROQUIS!$C$144,IF(CROQUIS!$C$105=1,-12,2),0)))*CROQUIS!$C$159)+IF(CROQUIS!$C$92="X",0.8,0)),-1000)</f>
        <v>-1000</v>
      </c>
      <c r="BW104">
        <f>IF(AND(CROQUIS!$C$88=1,CROQUIS!$C$91=0,CROQUIS!$C$141&gt;0,OR(CROQUIS!$C$105=1,CROQUIS!$C$146=1)),((CROQUIS!$C$161+(IF(CROQUIS!$C$92="X",CHOOSE(IF(INT(($A104-1)/5)&gt;MAX((MAX(1,INT(((CROQUIS!$C$97)-CROQUIS!$C$107)/MAX((CROQUIS!$C$141*MAX(1,CEILING((INT(((CROQUIS!$C$97)-CROQUIS!$C$107)/MAX(CROQUIS!$C$141,1))+1)/80,1))),1))+1))-1,0),0,MOD($A104-1,5))+1,0,IF(CROQUIS!$C$105=1,-12,2),CROQUIS!$C$107/2+CROQUIS!$C$144,IF(CROQUIS!$C$105=1,-12,2),0),((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ROQUIS!$C$159)+IF(CROQUIS!$C$92="X",0,0.8)),-1000)</f>
        <v>-1000</v>
      </c>
      <c r="BX1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HOOSE(IF(INT(($A104-1)/5)&gt;MAX((MAX(1,INT(((CROQUIS!$C$97)-CROQUIS!$C$107)/MAX((CROQUIS!$C$141*MAX(1,CEILING((INT(((CROQUIS!$C$97)-CROQUIS!$C$107)/MAX(CROQUIS!$C$141,1))+1)/80,1))),1))+1))-1,0),0,MOD($A104-1,5))+1,CROQUIS!$C$98,CROQUIS!$C$98-CROQUIS!$C$107/2-CROQUIS!$C$144,IF(CROQUIS!$C$106=1,CROQUIS!$C$98+12,CROQUIS!$C$98-2),CROQUIS!$C$98-CROQUIS!$C$107/2-CROQUIS!$C$144,CROQUIS!$C$98)))*CROQUIS!$C$159)+IF(CROQUIS!$C$92="X",0.8,0)),-1000)</f>
        <v>-1000</v>
      </c>
      <c r="BY104">
        <f>IF(AND(CROQUIS!$C$88=1,CROQUIS!$C$91=0,CROQUIS!$C$141&gt;0,OR(CROQUIS!$C$106=1,CROQUIS!$C$146=1)),((CROQUIS!$C$161+(IF(CROQUIS!$C$92="X",CHOOSE(IF(INT(($A104-1)/5)&gt;MAX((MAX(1,INT(((CROQUIS!$C$97)-CROQUIS!$C$107)/MAX((CROQUIS!$C$141*MAX(1,CEILING((INT(((CROQUIS!$C$97)-CROQUIS!$C$107)/MAX(CROQUIS!$C$141,1))+1)/80,1))),1))+1))-1,0),0,MOD($A104-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ROQUIS!$C$159)+IF(CROQUIS!$C$92="X",0,0.8)),-1000)</f>
        <v>-1000</v>
      </c>
      <c r="BZ104">
        <f>IF(AND(CROQUIS!$C$88=1,CROQUIS!$C$91=1,CROQUIS!$C$133&gt;0),((CROQUIS!$C$160+(IF(CROQUIS!$C$92="X",CHOOSE(IF(INT(($A104-1)/5)&gt;MAX((MAX(1,INT(((CROQUIS!$C$98)-CROQUIS!$C$107)/MAX((CROQUIS!$C$133*MAX(1,CEILING((INT(((CROQUIS!$C$98)-CROQUIS!$C$107)/MAX(CROQUIS!$C$133,1))+1)/80,1))),1))+1))-1,0),0,MOD($A104-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CA104">
        <f>IF(AND(CROQUIS!$C$88=1,CROQUIS!$C$91=1,CROQUIS!$C$133&gt;0),((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5">
      <c r="A105" t="n">
        <v>98</v>
      </c>
      <c r="AJ105">
        <f>IF(AND(CROQUIS!$C$87=1,CROQUIS!$C$162&gt;0,CROQUIS!$C$164&gt;0),(CROQUIS!$C$160+((CROQUIS!$C$163+INT(MIN(INT(($A105-1)/2),MAX((2*CROQUIS!$C$162)-1,0))/2)*CROQUIS!$C$116+MOD(MIN(INT(($A105-1)/2),MAX((2*CROQUIS!$C$162)-1,0)),2)*CROQUIS!$C$114))*CROQUIS!$C$159),-1000)</f>
        <v>81.3375508359693</v>
      </c>
      <c r="AK105">
        <f>IF(AND(CROQUIS!$C$87=1,CROQUIS!$C$162&gt;0,CROQUIS!$C$164&gt;0),(CROQUIS!$C$161+(IF(MOD(MIN(INT(($A105-1)/2),MAX((2*CROQUIS!$C$162)-1,0)),2)=0,IF(IF(INT(($A105-1)/2)&gt;MAX((2*CROQUIS!$C$162)-1,0),1,MOD($A105-1,2))=0,CROQUIS!$C$165,(CROQUIS!$C$165+(CROQUIS!$C$164-1)*CROQUIS!$C$116+CROQUIS!$C$115)),IF(IF(INT(($A105-1)/2)&gt;MAX((2*CROQUIS!$C$162)-1,0),1,MOD($A105-1,2))=0,(CROQUIS!$C$165+(CROQUIS!$C$164-1)*CROQUIS!$C$116+CROQUIS!$C$115),CROQUIS!$C$165)))*CROQUIS!$C$159),-1000)</f>
        <v>20.8088567555355</v>
      </c>
      <c r="AL105">
        <f>IF(AND(CROQUIS!$C$87=1,CROQUIS!$C$164&gt;0,CROQUIS!$C$162&gt;0),(CROQUIS!$C$160+(IF(MOD(MIN(INT(($A105-1)/2),MAX((2*CROQUIS!$C$164)-1,0)),2)=0,IF(IF(INT(($A105-1)/2)&gt;MAX((2*CROQUIS!$C$164)-1,0),1,MOD($A105-1,2))=0,CROQUIS!$C$163,(CROQUIS!$C$163+(CROQUIS!$C$162-1)*CROQUIS!$C$116+CROQUIS!$C$114)),IF(IF(INT(($A105-1)/2)&gt;MAX((2*CROQUIS!$C$164)-1,0),1,MOD($A105-1,2))=0,(CROQUIS!$C$163+(CROQUIS!$C$162-1)*CROQUIS!$C$116+CROQUIS!$C$114),CROQUIS!$C$163)))*CROQUIS!$C$159),-1000)</f>
        <v>22.9552643470402</v>
      </c>
      <c r="AM105">
        <f>IF(AND(CROQUIS!$C$87=1,CROQUIS!$C$164&gt;0,CROQUIS!$C$162&gt;0),(CROQUIS!$C$161+((CROQUIS!$C$165+INT(MIN(INT(($A105-1)/2),MAX((2*CROQUIS!$C$164)-1,0))/2)*CROQUIS!$C$116+MOD(MIN(INT(($A105-1)/2),MAX((2*CROQUIS!$C$164)-1,0)),2)*CROQUIS!$C$115))*CROQUIS!$C$159),-1000)</f>
        <v>79.1911432444645</v>
      </c>
      <c r="BN105">
        <f>IF(AND(CROQUIS!$C$88=1,CROQUIS!$C$129&gt;0),((CROQUIS!$C$160+(IF(CROQUIS!$C$92="X",CHOOSE(IF(INT(($A105-1)/5)&gt;MAX((MAX(1,INT(((CROQUIS!$C$98)-CROQUIS!$C$107)/MAX((CROQUIS!$C$129*MAX(1,CEILING((INT(((CROQUIS!$C$98)-CROQUIS!$C$107)/MAX(CROQUIS!$C$129,1))+1)/80,1))),1))+1))-1,0),0,MOD($A105-1,5))+1,0,2,CROQUIS!$C$97-2,2,0),((CROQUIS!$C$107/2+(((CROQUIS!$C$98)-CROQUIS!$C$107)-(MAX(1,INT(((CROQUIS!$C$98)-CROQUIS!$C$107)/MAX((CROQUIS!$C$129*MAX(1,CEILING((INT(((CROQUIS!$C$98)-CROQUIS!$C$107)/MAX(CROQUIS!$C$129,1))+1)/80,1))),1))+1)-1)*(CROQUIS!$C$129*MAX(1,CEILING((INT(((CROQUIS!$C$98)-CROQUIS!$C$107)/MAX(CROQUIS!$C$129,1))+1)/80,1))))/2)+MIN(INT(($A105-1)/5),MAX((MAX(1,INT(((CROQUIS!$C$98)-CROQUIS!$C$107)/MAX((CROQUIS!$C$129*MAX(1,CEILING((INT(((CROQUIS!$C$98)-CROQUIS!$C$107)/MAX(CROQUIS!$C$129,1))+1)/80,1))),1))+1))-1,0))*(CROQUIS!$C$129*MAX(1,CEILING((INT(((CROQUIS!$C$98)-CROQUIS!$C$107)/MAX(CROQUIS!$C$129,1))+1)/80,1))))))*CROQUIS!$C$159)+IF(CROQUIS!$C$92="X",0,0)),-1000)</f>
        <v>-1000</v>
      </c>
      <c r="BO105">
        <f>IF(AND(CROQUIS!$C$88=1,CROQUIS!$C$129&gt;0),((CROQUIS!$C$161+(IF(CROQUIS!$C$92="X",((CROQUIS!$C$107/2+(((CROQUIS!$C$98)-CROQUIS!$C$107)-(MAX(1,INT(((CROQUIS!$C$98)-CROQUIS!$C$107)/MAX((CROQUIS!$C$129*MAX(1,CEILING((INT(((CROQUIS!$C$98)-CROQUIS!$C$107)/MAX(CROQUIS!$C$129,1))+1)/80,1))),1))+1)-1)*(CROQUIS!$C$129*MAX(1,CEILING((INT(((CROQUIS!$C$98)-CROQUIS!$C$107)/MAX(CROQUIS!$C$129,1))+1)/80,1))))/2)+MIN(INT(($A105-1)/5),MAX((MAX(1,INT(((CROQUIS!$C$98)-CROQUIS!$C$107)/MAX((CROQUIS!$C$129*MAX(1,CEILING((INT(((CROQUIS!$C$98)-CROQUIS!$C$107)/MAX(CROQUIS!$C$129,1))+1)/80,1))),1))+1))-1,0))*(CROQUIS!$C$129*MAX(1,CEILING((INT(((CROQUIS!$C$98)-CROQUIS!$C$107)/MAX(CROQUIS!$C$129,1))+1)/80,1)))),CHOOSE(IF(INT(($A105-1)/5)&gt;MAX((MAX(1,INT(((CROQUIS!$C$98)-CROQUIS!$C$107)/MAX((CROQUIS!$C$129*MAX(1,CEILING((INT(((CROQUIS!$C$98)-CROQUIS!$C$107)/MAX(CROQUIS!$C$129,1))+1)/80,1))),1))+1))-1,0),0,MOD($A105-1,5))+1,0,2,CROQUIS!$C$97-2,2,0)))*CROQUIS!$C$159)+IF(CROQUIS!$C$92="X",0,0)),-1000)</f>
        <v>-1000</v>
      </c>
      <c r="BP105">
        <f>IF(AND(CROQUIS!$C$88=1,CROQUIS!$C$137&gt;0),((CROQUIS!$C$160+(IF(CROQUIS!$C$92="X",((CROQUIS!$C$107/2+(((CROQUIS!$C$97)-CROQUIS!$C$107)-(MAX(1,INT(((CROQUIS!$C$97)-CROQUIS!$C$107)/MAX((CROQUIS!$C$137*MAX(1,CEILING((INT(((CROQUIS!$C$97)-CROQUIS!$C$107)/MAX(CROQUIS!$C$137,1))+1)/80,1))),1))+1)-1)*(CROQUIS!$C$137*MAX(1,CEILING((INT(((CROQUIS!$C$97)-CROQUIS!$C$107)/MAX(CROQUIS!$C$137,1))+1)/80,1))))/2)+MIN(INT(($A105-1)/5),MAX((MAX(1,INT(((CROQUIS!$C$97)-CROQUIS!$C$107)/MAX((CROQUIS!$C$137*MAX(1,CEILING((INT(((CROQUIS!$C$97)-CROQUIS!$C$107)/MAX(CROQUIS!$C$137,1))+1)/80,1))),1))+1))-1,0))*(CROQUIS!$C$137*MAX(1,CEILING((INT(((CROQUIS!$C$97)-CROQUIS!$C$107)/MAX(CROQUIS!$C$137,1))+1)/80,1)))),CHOOSE(IF(INT(($A105-1)/5)&gt;MAX((MAX(1,INT(((CROQUIS!$C$97)-CROQUIS!$C$107)/MAX((CROQUIS!$C$137*MAX(1,CEILING((INT(((CROQUIS!$C$97)-CROQUIS!$C$107)/MAX(CROQUIS!$C$137,1))+1)/80,1))),1))+1))-1,0),0,MOD($A105-1,5))+1,0,2,CROQUIS!$C$98-2,2,0)))*CROQUIS!$C$159)+IF(CROQUIS!$C$92="X",0,0)),-1000)</f>
        <v>-1000</v>
      </c>
      <c r="BQ105">
        <f>IF(AND(CROQUIS!$C$88=1,CROQUIS!$C$137&gt;0),((CROQUIS!$C$161+(IF(CROQUIS!$C$92="X",CHOOSE(IF(INT(($A105-1)/5)&gt;MAX((MAX(1,INT(((CROQUIS!$C$97)-CROQUIS!$C$107)/MAX((CROQUIS!$C$137*MAX(1,CEILING((INT(((CROQUIS!$C$97)-CROQUIS!$C$107)/MAX(CROQUIS!$C$137,1))+1)/80,1))),1))+1))-1,0),0,MOD($A105-1,5))+1,0,2,CROQUIS!$C$98-2,2,0),((CROQUIS!$C$107/2+(((CROQUIS!$C$97)-CROQUIS!$C$107)-(MAX(1,INT(((CROQUIS!$C$97)-CROQUIS!$C$107)/MAX((CROQUIS!$C$137*MAX(1,CEILING((INT(((CROQUIS!$C$97)-CROQUIS!$C$107)/MAX(CROQUIS!$C$137,1))+1)/80,1))),1))+1)-1)*(CROQUIS!$C$137*MAX(1,CEILING((INT(((CROQUIS!$C$97)-CROQUIS!$C$107)/MAX(CROQUIS!$C$137,1))+1)/80,1))))/2)+MIN(INT(($A105-1)/5),MAX((MAX(1,INT(((CROQUIS!$C$97)-CROQUIS!$C$107)/MAX((CROQUIS!$C$137*MAX(1,CEILING((INT(((CROQUIS!$C$97)-CROQUIS!$C$107)/MAX(CROQUIS!$C$137,1))+1)/80,1))),1))+1))-1,0))*(CROQUIS!$C$137*MAX(1,CEILING((INT(((CROQUIS!$C$97)-CROQUIS!$C$107)/MAX(CROQUIS!$C$137,1))+1)/80,1))))))*CROQUIS!$C$159)+IF(CROQUIS!$C$92="X",0,0)),-1000)</f>
        <v>-1000</v>
      </c>
      <c r="BR105">
        <f>IF(AND(CROQUIS!$C$88=1,CROQUIS!$C$91=0,CROQUIS!$C$133&gt;0,OR(CROQUIS!$C$103=1,CROQUIS!$C$145=1)),((CROQUIS!$C$160+(IF(CROQUIS!$C$92="X",CHOOSE(IF(INT(($A105-1)/5)&gt;MAX((MAX(1,INT(((CROQUIS!$C$98)-CROQUIS!$C$107)/MAX((CROQUIS!$C$133*MAX(1,CEILING((INT(((CROQUIS!$C$98)-CROQUIS!$C$107)/MAX(CROQUIS!$C$133,1))+1)/80,1))),1))+1))-1,0),0,MOD($A105-1,5))+1,0,IF(CROQUIS!$C$103=1,-12,2),CROQUIS!$C$107/2+CROQUIS!$C$143,IF(CROQUIS!$C$103=1,-12,2),0),((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BS1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+1,0,IF(CROQUIS!$C$103=1,-12,2),CROQUIS!$C$107/2+CROQUIS!$C$143,IF(CROQUIS!$C$103=1,-12,2),0)))*CROQUIS!$C$159)+IF(CROQUIS!$C$92="X",0.8,0)),-1000)</f>
        <v>-1000</v>
      </c>
      <c r="BT105">
        <f>IF(AND(CROQUIS!$C$88=1,CROQUIS!$C$91=0,CROQUIS!$C$133&gt;0,OR(CROQUIS!$C$104=1,CROQUIS!$C$145=1)),((CROQUIS!$C$160+(IF(CROQUIS!$C$92="X",CHOOSE(IF(INT(($A105-1)/5)&gt;MAX((MAX(1,INT(((CROQUIS!$C$98)-CROQUIS!$C$107)/MAX((CROQUIS!$C$133*MAX(1,CEILING((INT(((CROQUIS!$C$98)-CROQUIS!$C$107)/MAX(CROQUIS!$C$133,1))+1)/80,1))),1))+1))-1,0),0,MOD($A105-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BU1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CROQUIS!$C$97,CROQUIS!$C$97-CROQUIS!$C$107/2-CROQUIS!$C$143,IF(CROQUIS!$C$104=1,CROQUIS!$C$97+12,CROQUIS!$C$97-2),CROQUIS!$C$97-CROQUIS!$C$107/2-CROQUIS!$C$143,CROQUIS!$C$97)))*CROQUIS!$C$159)+IF(CROQUIS!$C$92="X",0.8,0)),-1000)</f>
        <v>-1000</v>
      </c>
      <c r="BV1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HOOSE(IF(INT(($A105-1)/5)&gt;MAX((MAX(1,INT(((CROQUIS!$C$97)-CROQUIS!$C$107)/MAX((CROQUIS!$C$141*MAX(1,CEILING((INT(((CROQUIS!$C$97)-CROQUIS!$C$107)/MAX(CROQUIS!$C$141,1))+1)/80,1))),1))+1))-1,0),0,MOD($A105-1,5))+1,0,IF(CROQUIS!$C$105=1,-12,2),CROQUIS!$C$107/2+CROQUIS!$C$144,IF(CROQUIS!$C$105=1,-12,2),0)))*CROQUIS!$C$159)+IF(CROQUIS!$C$92="X",0.8,0)),-1000)</f>
        <v>-1000</v>
      </c>
      <c r="BW105">
        <f>IF(AND(CROQUIS!$C$88=1,CROQUIS!$C$91=0,CROQUIS!$C$141&gt;0,OR(CROQUIS!$C$105=1,CROQUIS!$C$146=1)),((CROQUIS!$C$161+(IF(CROQUIS!$C$92="X",CHOOSE(IF(INT(($A105-1)/5)&gt;MAX((MAX(1,INT(((CROQUIS!$C$97)-CROQUIS!$C$107)/MAX((CROQUIS!$C$141*MAX(1,CEILING((INT(((CROQUIS!$C$97)-CROQUIS!$C$107)/MAX(CROQUIS!$C$141,1))+1)/80,1))),1))+1))-1,0),0,MOD($A105-1,5))+1,0,IF(CROQUIS!$C$105=1,-12,2),CROQUIS!$C$107/2+CROQUIS!$C$144,IF(CROQUIS!$C$105=1,-12,2),0),((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ROQUIS!$C$159)+IF(CROQUIS!$C$92="X",0,0.8)),-1000)</f>
        <v>-1000</v>
      </c>
      <c r="BX1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HOOSE(IF(INT(($A105-1)/5)&gt;MAX((MAX(1,INT(((CROQUIS!$C$97)-CROQUIS!$C$107)/MAX((CROQUIS!$C$141*MAX(1,CEILING((INT(((CROQUIS!$C$97)-CROQUIS!$C$107)/MAX(CROQUIS!$C$141,1))+1)/80,1))),1))+1))-1,0),0,MOD($A105-1,5))+1,CROQUIS!$C$98,CROQUIS!$C$98-CROQUIS!$C$107/2-CROQUIS!$C$144,IF(CROQUIS!$C$106=1,CROQUIS!$C$98+12,CROQUIS!$C$98-2),CROQUIS!$C$98-CROQUIS!$C$107/2-CROQUIS!$C$144,CROQUIS!$C$98)))*CROQUIS!$C$159)+IF(CROQUIS!$C$92="X",0.8,0)),-1000)</f>
        <v>-1000</v>
      </c>
      <c r="BY105">
        <f>IF(AND(CROQUIS!$C$88=1,CROQUIS!$C$91=0,CROQUIS!$C$141&gt;0,OR(CROQUIS!$C$106=1,CROQUIS!$C$146=1)),((CROQUIS!$C$161+(IF(CROQUIS!$C$92="X",CHOOSE(IF(INT(($A105-1)/5)&gt;MAX((MAX(1,INT(((CROQUIS!$C$97)-CROQUIS!$C$107)/MAX((CROQUIS!$C$141*MAX(1,CEILING((INT(((CROQUIS!$C$97)-CROQUIS!$C$107)/MAX(CROQUIS!$C$141,1))+1)/80,1))),1))+1))-1,0),0,MOD($A105-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ROQUIS!$C$159)+IF(CROQUIS!$C$92="X",0,0.8)),-1000)</f>
        <v>-1000</v>
      </c>
      <c r="BZ105">
        <f>IF(AND(CROQUIS!$C$88=1,CROQUIS!$C$91=1,CROQUIS!$C$133&gt;0),((CROQUIS!$C$160+(IF(CROQUIS!$C$92="X",CHOOSE(IF(INT(($A105-1)/5)&gt;MAX((MAX(1,INT(((CROQUIS!$C$98)-CROQUIS!$C$107)/MAX((CROQUIS!$C$133*MAX(1,CEILING((INT(((CROQUIS!$C$98)-CROQUIS!$C$107)/MAX(CROQUIS!$C$133,1))+1)/80,1))),1))+1))-1,0),0,MOD($A105-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CA105">
        <f>IF(AND(CROQUIS!$C$88=1,CROQUIS!$C$91=1,CROQUIS!$C$133&gt;0),((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6">
      <c r="A106" t="n">
        <v>99</v>
      </c>
      <c r="AJ106">
        <f>IF(AND(CROQUIS!$C$87=1,CROQUIS!$C$162&gt;0,CROQUIS!$C$164&gt;0),(CROQUIS!$C$160+((CROQUIS!$C$163+INT(MIN(INT(($A106-1)/2),MAX((2*CROQUIS!$C$162)-1,0))/2)*CROQUIS!$C$116+MOD(MIN(INT(($A106-1)/2),MAX((2*CROQUIS!$C$162)-1,0)),2)*CROQUIS!$C$114))*CROQUIS!$C$159),-1000)</f>
        <v>81.3375508359693</v>
      </c>
      <c r="AK106">
        <f>IF(AND(CROQUIS!$C$87=1,CROQUIS!$C$162&gt;0,CROQUIS!$C$164&gt;0),(CROQUIS!$C$161+(IF(MOD(MIN(INT(($A106-1)/2),MAX((2*CROQUIS!$C$162)-1,0)),2)=0,IF(IF(INT(($A106-1)/2)&gt;MAX((2*CROQUIS!$C$162)-1,0),1,MOD($A106-1,2))=0,CROQUIS!$C$165,(CROQUIS!$C$165+(CROQUIS!$C$164-1)*CROQUIS!$C$116+CROQUIS!$C$115)),IF(IF(INT(($A106-1)/2)&gt;MAX((2*CROQUIS!$C$162)-1,0),1,MOD($A106-1,2))=0,(CROQUIS!$C$165+(CROQUIS!$C$164-1)*CROQUIS!$C$116+CROQUIS!$C$115),CROQUIS!$C$165)))*CROQUIS!$C$159),-1000)</f>
        <v>20.8088567555355</v>
      </c>
      <c r="AL106">
        <f>IF(AND(CROQUIS!$C$87=1,CROQUIS!$C$164&gt;0,CROQUIS!$C$162&gt;0),(CROQUIS!$C$160+(IF(MOD(MIN(INT(($A106-1)/2),MAX((2*CROQUIS!$C$164)-1,0)),2)=0,IF(IF(INT(($A106-1)/2)&gt;MAX((2*CROQUIS!$C$164)-1,0),1,MOD($A106-1,2))=0,CROQUIS!$C$163,(CROQUIS!$C$163+(CROQUIS!$C$162-1)*CROQUIS!$C$116+CROQUIS!$C$114)),IF(IF(INT(($A106-1)/2)&gt;MAX((2*CROQUIS!$C$164)-1,0),1,MOD($A106-1,2))=0,(CROQUIS!$C$163+(CROQUIS!$C$162-1)*CROQUIS!$C$116+CROQUIS!$C$114),CROQUIS!$C$163)))*CROQUIS!$C$159),-1000)</f>
        <v>22.9552643470402</v>
      </c>
      <c r="AM106">
        <f>IF(AND(CROQUIS!$C$87=1,CROQUIS!$C$164&gt;0,CROQUIS!$C$162&gt;0),(CROQUIS!$C$161+((CROQUIS!$C$165+INT(MIN(INT(($A106-1)/2),MAX((2*CROQUIS!$C$164)-1,0))/2)*CROQUIS!$C$116+MOD(MIN(INT(($A106-1)/2),MAX((2*CROQUIS!$C$164)-1,0)),2)*CROQUIS!$C$115))*CROQUIS!$C$159),-1000)</f>
        <v>79.1911432444645</v>
      </c>
      <c r="BN106">
        <f>IF(AND(CROQUIS!$C$88=1,CROQUIS!$C$129&gt;0),((CROQUIS!$C$160+(IF(CROQUIS!$C$92="X",CHOOSE(IF(INT(($A106-1)/5)&gt;MAX((MAX(1,INT(((CROQUIS!$C$98)-CROQUIS!$C$107)/MAX((CROQUIS!$C$129*MAX(1,CEILING((INT(((CROQUIS!$C$98)-CROQUIS!$C$107)/MAX(CROQUIS!$C$129,1))+1)/80,1))),1))+1))-1,0),0,MOD($A106-1,5))+1,0,2,CROQUIS!$C$97-2,2,0),((CROQUIS!$C$107/2+(((CROQUIS!$C$98)-CROQUIS!$C$107)-(MAX(1,INT(((CROQUIS!$C$98)-CROQUIS!$C$107)/MAX((CROQUIS!$C$129*MAX(1,CEILING((INT(((CROQUIS!$C$98)-CROQUIS!$C$107)/MAX(CROQUIS!$C$129,1))+1)/80,1))),1))+1)-1)*(CROQUIS!$C$129*MAX(1,CEILING((INT(((CROQUIS!$C$98)-CROQUIS!$C$107)/MAX(CROQUIS!$C$129,1))+1)/80,1))))/2)+MIN(INT(($A106-1)/5),MAX((MAX(1,INT(((CROQUIS!$C$98)-CROQUIS!$C$107)/MAX((CROQUIS!$C$129*MAX(1,CEILING((INT(((CROQUIS!$C$98)-CROQUIS!$C$107)/MAX(CROQUIS!$C$129,1))+1)/80,1))),1))+1))-1,0))*(CROQUIS!$C$129*MAX(1,CEILING((INT(((CROQUIS!$C$98)-CROQUIS!$C$107)/MAX(CROQUIS!$C$129,1))+1)/80,1))))))*CROQUIS!$C$159)+IF(CROQUIS!$C$92="X",0,0)),-1000)</f>
        <v>-1000</v>
      </c>
      <c r="BO106">
        <f>IF(AND(CROQUIS!$C$88=1,CROQUIS!$C$129&gt;0),((CROQUIS!$C$161+(IF(CROQUIS!$C$92="X",((CROQUIS!$C$107/2+(((CROQUIS!$C$98)-CROQUIS!$C$107)-(MAX(1,INT(((CROQUIS!$C$98)-CROQUIS!$C$107)/MAX((CROQUIS!$C$129*MAX(1,CEILING((INT(((CROQUIS!$C$98)-CROQUIS!$C$107)/MAX(CROQUIS!$C$129,1))+1)/80,1))),1))+1)-1)*(CROQUIS!$C$129*MAX(1,CEILING((INT(((CROQUIS!$C$98)-CROQUIS!$C$107)/MAX(CROQUIS!$C$129,1))+1)/80,1))))/2)+MIN(INT(($A106-1)/5),MAX((MAX(1,INT(((CROQUIS!$C$98)-CROQUIS!$C$107)/MAX((CROQUIS!$C$129*MAX(1,CEILING((INT(((CROQUIS!$C$98)-CROQUIS!$C$107)/MAX(CROQUIS!$C$129,1))+1)/80,1))),1))+1))-1,0))*(CROQUIS!$C$129*MAX(1,CEILING((INT(((CROQUIS!$C$98)-CROQUIS!$C$107)/MAX(CROQUIS!$C$129,1))+1)/80,1)))),CHOOSE(IF(INT(($A106-1)/5)&gt;MAX((MAX(1,INT(((CROQUIS!$C$98)-CROQUIS!$C$107)/MAX((CROQUIS!$C$129*MAX(1,CEILING((INT(((CROQUIS!$C$98)-CROQUIS!$C$107)/MAX(CROQUIS!$C$129,1))+1)/80,1))),1))+1))-1,0),0,MOD($A106-1,5))+1,0,2,CROQUIS!$C$97-2,2,0)))*CROQUIS!$C$159)+IF(CROQUIS!$C$92="X",0,0)),-1000)</f>
        <v>-1000</v>
      </c>
      <c r="BP106">
        <f>IF(AND(CROQUIS!$C$88=1,CROQUIS!$C$137&gt;0),((CROQUIS!$C$160+(IF(CROQUIS!$C$92="X",((CROQUIS!$C$107/2+(((CROQUIS!$C$97)-CROQUIS!$C$107)-(MAX(1,INT(((CROQUIS!$C$97)-CROQUIS!$C$107)/MAX((CROQUIS!$C$137*MAX(1,CEILING((INT(((CROQUIS!$C$97)-CROQUIS!$C$107)/MAX(CROQUIS!$C$137,1))+1)/80,1))),1))+1)-1)*(CROQUIS!$C$137*MAX(1,CEILING((INT(((CROQUIS!$C$97)-CROQUIS!$C$107)/MAX(CROQUIS!$C$137,1))+1)/80,1))))/2)+MIN(INT(($A106-1)/5),MAX((MAX(1,INT(((CROQUIS!$C$97)-CROQUIS!$C$107)/MAX((CROQUIS!$C$137*MAX(1,CEILING((INT(((CROQUIS!$C$97)-CROQUIS!$C$107)/MAX(CROQUIS!$C$137,1))+1)/80,1))),1))+1))-1,0))*(CROQUIS!$C$137*MAX(1,CEILING((INT(((CROQUIS!$C$97)-CROQUIS!$C$107)/MAX(CROQUIS!$C$137,1))+1)/80,1)))),CHOOSE(IF(INT(($A106-1)/5)&gt;MAX((MAX(1,INT(((CROQUIS!$C$97)-CROQUIS!$C$107)/MAX((CROQUIS!$C$137*MAX(1,CEILING((INT(((CROQUIS!$C$97)-CROQUIS!$C$107)/MAX(CROQUIS!$C$137,1))+1)/80,1))),1))+1))-1,0),0,MOD($A106-1,5))+1,0,2,CROQUIS!$C$98-2,2,0)))*CROQUIS!$C$159)+IF(CROQUIS!$C$92="X",0,0)),-1000)</f>
        <v>-1000</v>
      </c>
      <c r="BQ106">
        <f>IF(AND(CROQUIS!$C$88=1,CROQUIS!$C$137&gt;0),((CROQUIS!$C$161+(IF(CROQUIS!$C$92="X",CHOOSE(IF(INT(($A106-1)/5)&gt;MAX((MAX(1,INT(((CROQUIS!$C$97)-CROQUIS!$C$107)/MAX((CROQUIS!$C$137*MAX(1,CEILING((INT(((CROQUIS!$C$97)-CROQUIS!$C$107)/MAX(CROQUIS!$C$137,1))+1)/80,1))),1))+1))-1,0),0,MOD($A106-1,5))+1,0,2,CROQUIS!$C$98-2,2,0),((CROQUIS!$C$107/2+(((CROQUIS!$C$97)-CROQUIS!$C$107)-(MAX(1,INT(((CROQUIS!$C$97)-CROQUIS!$C$107)/MAX((CROQUIS!$C$137*MAX(1,CEILING((INT(((CROQUIS!$C$97)-CROQUIS!$C$107)/MAX(CROQUIS!$C$137,1))+1)/80,1))),1))+1)-1)*(CROQUIS!$C$137*MAX(1,CEILING((INT(((CROQUIS!$C$97)-CROQUIS!$C$107)/MAX(CROQUIS!$C$137,1))+1)/80,1))))/2)+MIN(INT(($A106-1)/5),MAX((MAX(1,INT(((CROQUIS!$C$97)-CROQUIS!$C$107)/MAX((CROQUIS!$C$137*MAX(1,CEILING((INT(((CROQUIS!$C$97)-CROQUIS!$C$107)/MAX(CROQUIS!$C$137,1))+1)/80,1))),1))+1))-1,0))*(CROQUIS!$C$137*MAX(1,CEILING((INT(((CROQUIS!$C$97)-CROQUIS!$C$107)/MAX(CROQUIS!$C$137,1))+1)/80,1))))))*CROQUIS!$C$159)+IF(CROQUIS!$C$92="X",0,0)),-1000)</f>
        <v>-1000</v>
      </c>
      <c r="BR106">
        <f>IF(AND(CROQUIS!$C$88=1,CROQUIS!$C$91=0,CROQUIS!$C$133&gt;0,OR(CROQUIS!$C$103=1,CROQUIS!$C$145=1)),((CROQUIS!$C$160+(IF(CROQUIS!$C$92="X",CHOOSE(IF(INT(($A106-1)/5)&gt;MAX((MAX(1,INT(((CROQUIS!$C$98)-CROQUIS!$C$107)/MAX((CROQUIS!$C$133*MAX(1,CEILING((INT(((CROQUIS!$C$98)-CROQUIS!$C$107)/MAX(CROQUIS!$C$133,1))+1)/80,1))),1))+1))-1,0),0,MOD($A106-1,5))+1,0,IF(CROQUIS!$C$103=1,-12,2),CROQUIS!$C$107/2+CROQUIS!$C$143,IF(CROQUIS!$C$103=1,-12,2),0),((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BS1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+1,0,IF(CROQUIS!$C$103=1,-12,2),CROQUIS!$C$107/2+CROQUIS!$C$143,IF(CROQUIS!$C$103=1,-12,2),0)))*CROQUIS!$C$159)+IF(CROQUIS!$C$92="X",0.8,0)),-1000)</f>
        <v>-1000</v>
      </c>
      <c r="BT106">
        <f>IF(AND(CROQUIS!$C$88=1,CROQUIS!$C$91=0,CROQUIS!$C$133&gt;0,OR(CROQUIS!$C$104=1,CROQUIS!$C$145=1)),((CROQUIS!$C$160+(IF(CROQUIS!$C$92="X",CHOOSE(IF(INT(($A106-1)/5)&gt;MAX((MAX(1,INT(((CROQUIS!$C$98)-CROQUIS!$C$107)/MAX((CROQUIS!$C$133*MAX(1,CEILING((INT(((CROQUIS!$C$98)-CROQUIS!$C$107)/MAX(CROQUIS!$C$133,1))+1)/80,1))),1))+1))-1,0),0,MOD($A106-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BU1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CROQUIS!$C$97,CROQUIS!$C$97-CROQUIS!$C$107/2-CROQUIS!$C$143,IF(CROQUIS!$C$104=1,CROQUIS!$C$97+12,CROQUIS!$C$97-2),CROQUIS!$C$97-CROQUIS!$C$107/2-CROQUIS!$C$143,CROQUIS!$C$97)))*CROQUIS!$C$159)+IF(CROQUIS!$C$92="X",0.8,0)),-1000)</f>
        <v>-1000</v>
      </c>
      <c r="BV1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HOOSE(IF(INT(($A106-1)/5)&gt;MAX((MAX(1,INT(((CROQUIS!$C$97)-CROQUIS!$C$107)/MAX((CROQUIS!$C$141*MAX(1,CEILING((INT(((CROQUIS!$C$97)-CROQUIS!$C$107)/MAX(CROQUIS!$C$141,1))+1)/80,1))),1))+1))-1,0),0,MOD($A106-1,5))+1,0,IF(CROQUIS!$C$105=1,-12,2),CROQUIS!$C$107/2+CROQUIS!$C$144,IF(CROQUIS!$C$105=1,-12,2),0)))*CROQUIS!$C$159)+IF(CROQUIS!$C$92="X",0.8,0)),-1000)</f>
        <v>-1000</v>
      </c>
      <c r="BW106">
        <f>IF(AND(CROQUIS!$C$88=1,CROQUIS!$C$91=0,CROQUIS!$C$141&gt;0,OR(CROQUIS!$C$105=1,CROQUIS!$C$146=1)),((CROQUIS!$C$161+(IF(CROQUIS!$C$92="X",CHOOSE(IF(INT(($A106-1)/5)&gt;MAX((MAX(1,INT(((CROQUIS!$C$97)-CROQUIS!$C$107)/MAX((CROQUIS!$C$141*MAX(1,CEILING((INT(((CROQUIS!$C$97)-CROQUIS!$C$107)/MAX(CROQUIS!$C$141,1))+1)/80,1))),1))+1))-1,0),0,MOD($A106-1,5))+1,0,IF(CROQUIS!$C$105=1,-12,2),CROQUIS!$C$107/2+CROQUIS!$C$144,IF(CROQUIS!$C$105=1,-12,2),0),((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ROQUIS!$C$159)+IF(CROQUIS!$C$92="X",0,0.8)),-1000)</f>
        <v>-1000</v>
      </c>
      <c r="BX1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HOOSE(IF(INT(($A106-1)/5)&gt;MAX((MAX(1,INT(((CROQUIS!$C$97)-CROQUIS!$C$107)/MAX((CROQUIS!$C$141*MAX(1,CEILING((INT(((CROQUIS!$C$97)-CROQUIS!$C$107)/MAX(CROQUIS!$C$141,1))+1)/80,1))),1))+1))-1,0),0,MOD($A106-1,5))+1,CROQUIS!$C$98,CROQUIS!$C$98-CROQUIS!$C$107/2-CROQUIS!$C$144,IF(CROQUIS!$C$106=1,CROQUIS!$C$98+12,CROQUIS!$C$98-2),CROQUIS!$C$98-CROQUIS!$C$107/2-CROQUIS!$C$144,CROQUIS!$C$98)))*CROQUIS!$C$159)+IF(CROQUIS!$C$92="X",0.8,0)),-1000)</f>
        <v>-1000</v>
      </c>
      <c r="BY106">
        <f>IF(AND(CROQUIS!$C$88=1,CROQUIS!$C$91=0,CROQUIS!$C$141&gt;0,OR(CROQUIS!$C$106=1,CROQUIS!$C$146=1)),((CROQUIS!$C$161+(IF(CROQUIS!$C$92="X",CHOOSE(IF(INT(($A106-1)/5)&gt;MAX((MAX(1,INT(((CROQUIS!$C$97)-CROQUIS!$C$107)/MAX((CROQUIS!$C$141*MAX(1,CEILING((INT(((CROQUIS!$C$97)-CROQUIS!$C$107)/MAX(CROQUIS!$C$141,1))+1)/80,1))),1))+1))-1,0),0,MOD($A106-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ROQUIS!$C$159)+IF(CROQUIS!$C$92="X",0,0.8)),-1000)</f>
        <v>-1000</v>
      </c>
      <c r="BZ106">
        <f>IF(AND(CROQUIS!$C$88=1,CROQUIS!$C$91=1,CROQUIS!$C$133&gt;0),((CROQUIS!$C$160+(IF(CROQUIS!$C$92="X",CHOOSE(IF(INT(($A106-1)/5)&gt;MAX((MAX(1,INT(((CROQUIS!$C$98)-CROQUIS!$C$107)/MAX((CROQUIS!$C$133*MAX(1,CEILING((INT(((CROQUIS!$C$98)-CROQUIS!$C$107)/MAX(CROQUIS!$C$133,1))+1)/80,1))),1))+1))-1,0),0,MOD($A106-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CA106">
        <f>IF(AND(CROQUIS!$C$88=1,CROQUIS!$C$91=1,CROQUIS!$C$133&gt;0),((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7">
      <c r="A107" t="n">
        <v>100</v>
      </c>
      <c r="AJ107">
        <f>IF(AND(CROQUIS!$C$87=1,CROQUIS!$C$162&gt;0,CROQUIS!$C$164&gt;0),(CROQUIS!$C$160+((CROQUIS!$C$163+INT(MIN(INT(($A107-1)/2),MAX((2*CROQUIS!$C$162)-1,0))/2)*CROQUIS!$C$116+MOD(MIN(INT(($A107-1)/2),MAX((2*CROQUIS!$C$162)-1,0)),2)*CROQUIS!$C$114))*CROQUIS!$C$159),-1000)</f>
        <v>81.3375508359693</v>
      </c>
      <c r="AK107">
        <f>IF(AND(CROQUIS!$C$87=1,CROQUIS!$C$162&gt;0,CROQUIS!$C$164&gt;0),(CROQUIS!$C$161+(IF(MOD(MIN(INT(($A107-1)/2),MAX((2*CROQUIS!$C$162)-1,0)),2)=0,IF(IF(INT(($A107-1)/2)&gt;MAX((2*CROQUIS!$C$162)-1,0),1,MOD($A107-1,2))=0,CROQUIS!$C$165,(CROQUIS!$C$165+(CROQUIS!$C$164-1)*CROQUIS!$C$116+CROQUIS!$C$115)),IF(IF(INT(($A107-1)/2)&gt;MAX((2*CROQUIS!$C$162)-1,0),1,MOD($A107-1,2))=0,(CROQUIS!$C$165+(CROQUIS!$C$164-1)*CROQUIS!$C$116+CROQUIS!$C$115),CROQUIS!$C$165)))*CROQUIS!$C$159),-1000)</f>
        <v>20.8088567555355</v>
      </c>
      <c r="AL107">
        <f>IF(AND(CROQUIS!$C$87=1,CROQUIS!$C$164&gt;0,CROQUIS!$C$162&gt;0),(CROQUIS!$C$160+(IF(MOD(MIN(INT(($A107-1)/2),MAX((2*CROQUIS!$C$164)-1,0)),2)=0,IF(IF(INT(($A107-1)/2)&gt;MAX((2*CROQUIS!$C$164)-1,0),1,MOD($A107-1,2))=0,CROQUIS!$C$163,(CROQUIS!$C$163+(CROQUIS!$C$162-1)*CROQUIS!$C$116+CROQUIS!$C$114)),IF(IF(INT(($A107-1)/2)&gt;MAX((2*CROQUIS!$C$164)-1,0),1,MOD($A107-1,2))=0,(CROQUIS!$C$163+(CROQUIS!$C$162-1)*CROQUIS!$C$116+CROQUIS!$C$114),CROQUIS!$C$163)))*CROQUIS!$C$159),-1000)</f>
        <v>22.9552643470402</v>
      </c>
      <c r="AM107">
        <f>IF(AND(CROQUIS!$C$87=1,CROQUIS!$C$164&gt;0,CROQUIS!$C$162&gt;0),(CROQUIS!$C$161+((CROQUIS!$C$165+INT(MIN(INT(($A107-1)/2),MAX((2*CROQUIS!$C$164)-1,0))/2)*CROQUIS!$C$116+MOD(MIN(INT(($A107-1)/2),MAX((2*CROQUIS!$C$164)-1,0)),2)*CROQUIS!$C$115))*CROQUIS!$C$159),-1000)</f>
        <v>79.1911432444645</v>
      </c>
      <c r="BN107">
        <f>IF(AND(CROQUIS!$C$88=1,CROQUIS!$C$129&gt;0),((CROQUIS!$C$160+(IF(CROQUIS!$C$92="X",CHOOSE(IF(INT(($A107-1)/5)&gt;MAX((MAX(1,INT(((CROQUIS!$C$98)-CROQUIS!$C$107)/MAX((CROQUIS!$C$129*MAX(1,CEILING((INT(((CROQUIS!$C$98)-CROQUIS!$C$107)/MAX(CROQUIS!$C$129,1))+1)/80,1))),1))+1))-1,0),0,MOD($A107-1,5))+1,0,2,CROQUIS!$C$97-2,2,0),((CROQUIS!$C$107/2+(((CROQUIS!$C$98)-CROQUIS!$C$107)-(MAX(1,INT(((CROQUIS!$C$98)-CROQUIS!$C$107)/MAX((CROQUIS!$C$129*MAX(1,CEILING((INT(((CROQUIS!$C$98)-CROQUIS!$C$107)/MAX(CROQUIS!$C$129,1))+1)/80,1))),1))+1)-1)*(CROQUIS!$C$129*MAX(1,CEILING((INT(((CROQUIS!$C$98)-CROQUIS!$C$107)/MAX(CROQUIS!$C$129,1))+1)/80,1))))/2)+MIN(INT(($A107-1)/5),MAX((MAX(1,INT(((CROQUIS!$C$98)-CROQUIS!$C$107)/MAX((CROQUIS!$C$129*MAX(1,CEILING((INT(((CROQUIS!$C$98)-CROQUIS!$C$107)/MAX(CROQUIS!$C$129,1))+1)/80,1))),1))+1))-1,0))*(CROQUIS!$C$129*MAX(1,CEILING((INT(((CROQUIS!$C$98)-CROQUIS!$C$107)/MAX(CROQUIS!$C$129,1))+1)/80,1))))))*CROQUIS!$C$159)+IF(CROQUIS!$C$92="X",0,0)),-1000)</f>
        <v>-1000</v>
      </c>
      <c r="BO107">
        <f>IF(AND(CROQUIS!$C$88=1,CROQUIS!$C$129&gt;0),((CROQUIS!$C$161+(IF(CROQUIS!$C$92="X",((CROQUIS!$C$107/2+(((CROQUIS!$C$98)-CROQUIS!$C$107)-(MAX(1,INT(((CROQUIS!$C$98)-CROQUIS!$C$107)/MAX((CROQUIS!$C$129*MAX(1,CEILING((INT(((CROQUIS!$C$98)-CROQUIS!$C$107)/MAX(CROQUIS!$C$129,1))+1)/80,1))),1))+1)-1)*(CROQUIS!$C$129*MAX(1,CEILING((INT(((CROQUIS!$C$98)-CROQUIS!$C$107)/MAX(CROQUIS!$C$129,1))+1)/80,1))))/2)+MIN(INT(($A107-1)/5),MAX((MAX(1,INT(((CROQUIS!$C$98)-CROQUIS!$C$107)/MAX((CROQUIS!$C$129*MAX(1,CEILING((INT(((CROQUIS!$C$98)-CROQUIS!$C$107)/MAX(CROQUIS!$C$129,1))+1)/80,1))),1))+1))-1,0))*(CROQUIS!$C$129*MAX(1,CEILING((INT(((CROQUIS!$C$98)-CROQUIS!$C$107)/MAX(CROQUIS!$C$129,1))+1)/80,1)))),CHOOSE(IF(INT(($A107-1)/5)&gt;MAX((MAX(1,INT(((CROQUIS!$C$98)-CROQUIS!$C$107)/MAX((CROQUIS!$C$129*MAX(1,CEILING((INT(((CROQUIS!$C$98)-CROQUIS!$C$107)/MAX(CROQUIS!$C$129,1))+1)/80,1))),1))+1))-1,0),0,MOD($A107-1,5))+1,0,2,CROQUIS!$C$97-2,2,0)))*CROQUIS!$C$159)+IF(CROQUIS!$C$92="X",0,0)),-1000)</f>
        <v>-1000</v>
      </c>
      <c r="BP107">
        <f>IF(AND(CROQUIS!$C$88=1,CROQUIS!$C$137&gt;0),((CROQUIS!$C$160+(IF(CROQUIS!$C$92="X",((CROQUIS!$C$107/2+(((CROQUIS!$C$97)-CROQUIS!$C$107)-(MAX(1,INT(((CROQUIS!$C$97)-CROQUIS!$C$107)/MAX((CROQUIS!$C$137*MAX(1,CEILING((INT(((CROQUIS!$C$97)-CROQUIS!$C$107)/MAX(CROQUIS!$C$137,1))+1)/80,1))),1))+1)-1)*(CROQUIS!$C$137*MAX(1,CEILING((INT(((CROQUIS!$C$97)-CROQUIS!$C$107)/MAX(CROQUIS!$C$137,1))+1)/80,1))))/2)+MIN(INT(($A107-1)/5),MAX((MAX(1,INT(((CROQUIS!$C$97)-CROQUIS!$C$107)/MAX((CROQUIS!$C$137*MAX(1,CEILING((INT(((CROQUIS!$C$97)-CROQUIS!$C$107)/MAX(CROQUIS!$C$137,1))+1)/80,1))),1))+1))-1,0))*(CROQUIS!$C$137*MAX(1,CEILING((INT(((CROQUIS!$C$97)-CROQUIS!$C$107)/MAX(CROQUIS!$C$137,1))+1)/80,1)))),CHOOSE(IF(INT(($A107-1)/5)&gt;MAX((MAX(1,INT(((CROQUIS!$C$97)-CROQUIS!$C$107)/MAX((CROQUIS!$C$137*MAX(1,CEILING((INT(((CROQUIS!$C$97)-CROQUIS!$C$107)/MAX(CROQUIS!$C$137,1))+1)/80,1))),1))+1))-1,0),0,MOD($A107-1,5))+1,0,2,CROQUIS!$C$98-2,2,0)))*CROQUIS!$C$159)+IF(CROQUIS!$C$92="X",0,0)),-1000)</f>
        <v>-1000</v>
      </c>
      <c r="BQ107">
        <f>IF(AND(CROQUIS!$C$88=1,CROQUIS!$C$137&gt;0),((CROQUIS!$C$161+(IF(CROQUIS!$C$92="X",CHOOSE(IF(INT(($A107-1)/5)&gt;MAX((MAX(1,INT(((CROQUIS!$C$97)-CROQUIS!$C$107)/MAX((CROQUIS!$C$137*MAX(1,CEILING((INT(((CROQUIS!$C$97)-CROQUIS!$C$107)/MAX(CROQUIS!$C$137,1))+1)/80,1))),1))+1))-1,0),0,MOD($A107-1,5))+1,0,2,CROQUIS!$C$98-2,2,0),((CROQUIS!$C$107/2+(((CROQUIS!$C$97)-CROQUIS!$C$107)-(MAX(1,INT(((CROQUIS!$C$97)-CROQUIS!$C$107)/MAX((CROQUIS!$C$137*MAX(1,CEILING((INT(((CROQUIS!$C$97)-CROQUIS!$C$107)/MAX(CROQUIS!$C$137,1))+1)/80,1))),1))+1)-1)*(CROQUIS!$C$137*MAX(1,CEILING((INT(((CROQUIS!$C$97)-CROQUIS!$C$107)/MAX(CROQUIS!$C$137,1))+1)/80,1))))/2)+MIN(INT(($A107-1)/5),MAX((MAX(1,INT(((CROQUIS!$C$97)-CROQUIS!$C$107)/MAX((CROQUIS!$C$137*MAX(1,CEILING((INT(((CROQUIS!$C$97)-CROQUIS!$C$107)/MAX(CROQUIS!$C$137,1))+1)/80,1))),1))+1))-1,0))*(CROQUIS!$C$137*MAX(1,CEILING((INT(((CROQUIS!$C$97)-CROQUIS!$C$107)/MAX(CROQUIS!$C$137,1))+1)/80,1))))))*CROQUIS!$C$159)+IF(CROQUIS!$C$92="X",0,0)),-1000)</f>
        <v>-1000</v>
      </c>
      <c r="BR107">
        <f>IF(AND(CROQUIS!$C$88=1,CROQUIS!$C$91=0,CROQUIS!$C$133&gt;0,OR(CROQUIS!$C$103=1,CROQUIS!$C$145=1)),((CROQUIS!$C$160+(IF(CROQUIS!$C$92="X",CHOOSE(IF(INT(($A107-1)/5)&gt;MAX((MAX(1,INT(((CROQUIS!$C$98)-CROQUIS!$C$107)/MAX((CROQUIS!$C$133*MAX(1,CEILING((INT(((CROQUIS!$C$98)-CROQUIS!$C$107)/MAX(CROQUIS!$C$133,1))+1)/80,1))),1))+1))-1,0),0,MOD($A107-1,5))+1,0,IF(CROQUIS!$C$103=1,-12,2),CROQUIS!$C$107/2+CROQUIS!$C$143,IF(CROQUIS!$C$103=1,-12,2),0),((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BS1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+1,0,IF(CROQUIS!$C$103=1,-12,2),CROQUIS!$C$107/2+CROQUIS!$C$143,IF(CROQUIS!$C$103=1,-12,2),0)))*CROQUIS!$C$159)+IF(CROQUIS!$C$92="X",0.8,0)),-1000)</f>
        <v>-1000</v>
      </c>
      <c r="BT107">
        <f>IF(AND(CROQUIS!$C$88=1,CROQUIS!$C$91=0,CROQUIS!$C$133&gt;0,OR(CROQUIS!$C$104=1,CROQUIS!$C$145=1)),((CROQUIS!$C$160+(IF(CROQUIS!$C$92="X",CHOOSE(IF(INT(($A107-1)/5)&gt;MAX((MAX(1,INT(((CROQUIS!$C$98)-CROQUIS!$C$107)/MAX((CROQUIS!$C$133*MAX(1,CEILING((INT(((CROQUIS!$C$98)-CROQUIS!$C$107)/MAX(CROQUIS!$C$133,1))+1)/80,1))),1))+1))-1,0),0,MOD($A107-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BU1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CROQUIS!$C$97,CROQUIS!$C$97-CROQUIS!$C$107/2-CROQUIS!$C$143,IF(CROQUIS!$C$104=1,CROQUIS!$C$97+12,CROQUIS!$C$97-2),CROQUIS!$C$97-CROQUIS!$C$107/2-CROQUIS!$C$143,CROQUIS!$C$97)))*CROQUIS!$C$159)+IF(CROQUIS!$C$92="X",0.8,0)),-1000)</f>
        <v>-1000</v>
      </c>
      <c r="BV1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HOOSE(IF(INT(($A107-1)/5)&gt;MAX((MAX(1,INT(((CROQUIS!$C$97)-CROQUIS!$C$107)/MAX((CROQUIS!$C$141*MAX(1,CEILING((INT(((CROQUIS!$C$97)-CROQUIS!$C$107)/MAX(CROQUIS!$C$141,1))+1)/80,1))),1))+1))-1,0),0,MOD($A107-1,5))+1,0,IF(CROQUIS!$C$105=1,-12,2),CROQUIS!$C$107/2+CROQUIS!$C$144,IF(CROQUIS!$C$105=1,-12,2),0)))*CROQUIS!$C$159)+IF(CROQUIS!$C$92="X",0.8,0)),-1000)</f>
        <v>-1000</v>
      </c>
      <c r="BW107">
        <f>IF(AND(CROQUIS!$C$88=1,CROQUIS!$C$91=0,CROQUIS!$C$141&gt;0,OR(CROQUIS!$C$105=1,CROQUIS!$C$146=1)),((CROQUIS!$C$161+(IF(CROQUIS!$C$92="X",CHOOSE(IF(INT(($A107-1)/5)&gt;MAX((MAX(1,INT(((CROQUIS!$C$97)-CROQUIS!$C$107)/MAX((CROQUIS!$C$141*MAX(1,CEILING((INT(((CROQUIS!$C$97)-CROQUIS!$C$107)/MAX(CROQUIS!$C$141,1))+1)/80,1))),1))+1))-1,0),0,MOD($A107-1,5))+1,0,IF(CROQUIS!$C$105=1,-12,2),CROQUIS!$C$107/2+CROQUIS!$C$144,IF(CROQUIS!$C$105=1,-12,2),0),((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ROQUIS!$C$159)+IF(CROQUIS!$C$92="X",0,0.8)),-1000)</f>
        <v>-1000</v>
      </c>
      <c r="BX1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HOOSE(IF(INT(($A107-1)/5)&gt;MAX((MAX(1,INT(((CROQUIS!$C$97)-CROQUIS!$C$107)/MAX((CROQUIS!$C$141*MAX(1,CEILING((INT(((CROQUIS!$C$97)-CROQUIS!$C$107)/MAX(CROQUIS!$C$141,1))+1)/80,1))),1))+1))-1,0),0,MOD($A107-1,5))+1,CROQUIS!$C$98,CROQUIS!$C$98-CROQUIS!$C$107/2-CROQUIS!$C$144,IF(CROQUIS!$C$106=1,CROQUIS!$C$98+12,CROQUIS!$C$98-2),CROQUIS!$C$98-CROQUIS!$C$107/2-CROQUIS!$C$144,CROQUIS!$C$98)))*CROQUIS!$C$159)+IF(CROQUIS!$C$92="X",0.8,0)),-1000)</f>
        <v>-1000</v>
      </c>
      <c r="BY107">
        <f>IF(AND(CROQUIS!$C$88=1,CROQUIS!$C$91=0,CROQUIS!$C$141&gt;0,OR(CROQUIS!$C$106=1,CROQUIS!$C$146=1)),((CROQUIS!$C$161+(IF(CROQUIS!$C$92="X",CHOOSE(IF(INT(($A107-1)/5)&gt;MAX((MAX(1,INT(((CROQUIS!$C$97)-CROQUIS!$C$107)/MAX((CROQUIS!$C$141*MAX(1,CEILING((INT(((CROQUIS!$C$97)-CROQUIS!$C$107)/MAX(CROQUIS!$C$141,1))+1)/80,1))),1))+1))-1,0),0,MOD($A107-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ROQUIS!$C$159)+IF(CROQUIS!$C$92="X",0,0.8)),-1000)</f>
        <v>-1000</v>
      </c>
      <c r="BZ107">
        <f>IF(AND(CROQUIS!$C$88=1,CROQUIS!$C$91=1,CROQUIS!$C$133&gt;0),((CROQUIS!$C$160+(IF(CROQUIS!$C$92="X",CHOOSE(IF(INT(($A107-1)/5)&gt;MAX((MAX(1,INT(((CROQUIS!$C$98)-CROQUIS!$C$107)/MAX((CROQUIS!$C$133*MAX(1,CEILING((INT(((CROQUIS!$C$98)-CROQUIS!$C$107)/MAX(CROQUIS!$C$133,1))+1)/80,1))),1))+1))-1,0),0,MOD($A107-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CA107">
        <f>IF(AND(CROQUIS!$C$88=1,CROQUIS!$C$91=1,CROQUIS!$C$133&gt;0),((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8">
      <c r="A108" t="n">
        <v>101</v>
      </c>
      <c r="BN108">
        <f>IF(AND(CROQUIS!$C$88=1,CROQUIS!$C$129&gt;0),((CROQUIS!$C$160+(IF(CROQUIS!$C$92="X",CHOOSE(IF(INT(($A108-1)/5)&gt;MAX((MAX(1,INT(((CROQUIS!$C$98)-CROQUIS!$C$107)/MAX((CROQUIS!$C$129*MAX(1,CEILING((INT(((CROQUIS!$C$98)-CROQUIS!$C$107)/MAX(CROQUIS!$C$129,1))+1)/80,1))),1))+1))-1,0),0,MOD($A108-1,5))+1,0,2,CROQUIS!$C$97-2,2,0),((CROQUIS!$C$107/2+(((CROQUIS!$C$98)-CROQUIS!$C$107)-(MAX(1,INT(((CROQUIS!$C$98)-CROQUIS!$C$107)/MAX((CROQUIS!$C$129*MAX(1,CEILING((INT(((CROQUIS!$C$98)-CROQUIS!$C$107)/MAX(CROQUIS!$C$129,1))+1)/80,1))),1))+1)-1)*(CROQUIS!$C$129*MAX(1,CEILING((INT(((CROQUIS!$C$98)-CROQUIS!$C$107)/MAX(CROQUIS!$C$129,1))+1)/80,1))))/2)+MIN(INT(($A108-1)/5),MAX((MAX(1,INT(((CROQUIS!$C$98)-CROQUIS!$C$107)/MAX((CROQUIS!$C$129*MAX(1,CEILING((INT(((CROQUIS!$C$98)-CROQUIS!$C$107)/MAX(CROQUIS!$C$129,1))+1)/80,1))),1))+1))-1,0))*(CROQUIS!$C$129*MAX(1,CEILING((INT(((CROQUIS!$C$98)-CROQUIS!$C$107)/MAX(CROQUIS!$C$129,1))+1)/80,1))))))*CROQUIS!$C$159)+IF(CROQUIS!$C$92="X",0,0)),-1000)</f>
        <v>-1000</v>
      </c>
      <c r="BO108">
        <f>IF(AND(CROQUIS!$C$88=1,CROQUIS!$C$129&gt;0),((CROQUIS!$C$161+(IF(CROQUIS!$C$92="X",((CROQUIS!$C$107/2+(((CROQUIS!$C$98)-CROQUIS!$C$107)-(MAX(1,INT(((CROQUIS!$C$98)-CROQUIS!$C$107)/MAX((CROQUIS!$C$129*MAX(1,CEILING((INT(((CROQUIS!$C$98)-CROQUIS!$C$107)/MAX(CROQUIS!$C$129,1))+1)/80,1))),1))+1)-1)*(CROQUIS!$C$129*MAX(1,CEILING((INT(((CROQUIS!$C$98)-CROQUIS!$C$107)/MAX(CROQUIS!$C$129,1))+1)/80,1))))/2)+MIN(INT(($A108-1)/5),MAX((MAX(1,INT(((CROQUIS!$C$98)-CROQUIS!$C$107)/MAX((CROQUIS!$C$129*MAX(1,CEILING((INT(((CROQUIS!$C$98)-CROQUIS!$C$107)/MAX(CROQUIS!$C$129,1))+1)/80,1))),1))+1))-1,0))*(CROQUIS!$C$129*MAX(1,CEILING((INT(((CROQUIS!$C$98)-CROQUIS!$C$107)/MAX(CROQUIS!$C$129,1))+1)/80,1)))),CHOOSE(IF(INT(($A108-1)/5)&gt;MAX((MAX(1,INT(((CROQUIS!$C$98)-CROQUIS!$C$107)/MAX((CROQUIS!$C$129*MAX(1,CEILING((INT(((CROQUIS!$C$98)-CROQUIS!$C$107)/MAX(CROQUIS!$C$129,1))+1)/80,1))),1))+1))-1,0),0,MOD($A108-1,5))+1,0,2,CROQUIS!$C$97-2,2,0)))*CROQUIS!$C$159)+IF(CROQUIS!$C$92="X",0,0)),-1000)</f>
        <v>-1000</v>
      </c>
      <c r="BP108">
        <f>IF(AND(CROQUIS!$C$88=1,CROQUIS!$C$137&gt;0),((CROQUIS!$C$160+(IF(CROQUIS!$C$92="X",((CROQUIS!$C$107/2+(((CROQUIS!$C$97)-CROQUIS!$C$107)-(MAX(1,INT(((CROQUIS!$C$97)-CROQUIS!$C$107)/MAX((CROQUIS!$C$137*MAX(1,CEILING((INT(((CROQUIS!$C$97)-CROQUIS!$C$107)/MAX(CROQUIS!$C$137,1))+1)/80,1))),1))+1)-1)*(CROQUIS!$C$137*MAX(1,CEILING((INT(((CROQUIS!$C$97)-CROQUIS!$C$107)/MAX(CROQUIS!$C$137,1))+1)/80,1))))/2)+MIN(INT(($A108-1)/5),MAX((MAX(1,INT(((CROQUIS!$C$97)-CROQUIS!$C$107)/MAX((CROQUIS!$C$137*MAX(1,CEILING((INT(((CROQUIS!$C$97)-CROQUIS!$C$107)/MAX(CROQUIS!$C$137,1))+1)/80,1))),1))+1))-1,0))*(CROQUIS!$C$137*MAX(1,CEILING((INT(((CROQUIS!$C$97)-CROQUIS!$C$107)/MAX(CROQUIS!$C$137,1))+1)/80,1)))),CHOOSE(IF(INT(($A108-1)/5)&gt;MAX((MAX(1,INT(((CROQUIS!$C$97)-CROQUIS!$C$107)/MAX((CROQUIS!$C$137*MAX(1,CEILING((INT(((CROQUIS!$C$97)-CROQUIS!$C$107)/MAX(CROQUIS!$C$137,1))+1)/80,1))),1))+1))-1,0),0,MOD($A108-1,5))+1,0,2,CROQUIS!$C$98-2,2,0)))*CROQUIS!$C$159)+IF(CROQUIS!$C$92="X",0,0)),-1000)</f>
        <v>-1000</v>
      </c>
      <c r="BQ108">
        <f>IF(AND(CROQUIS!$C$88=1,CROQUIS!$C$137&gt;0),((CROQUIS!$C$161+(IF(CROQUIS!$C$92="X",CHOOSE(IF(INT(($A108-1)/5)&gt;MAX((MAX(1,INT(((CROQUIS!$C$97)-CROQUIS!$C$107)/MAX((CROQUIS!$C$137*MAX(1,CEILING((INT(((CROQUIS!$C$97)-CROQUIS!$C$107)/MAX(CROQUIS!$C$137,1))+1)/80,1))),1))+1))-1,0),0,MOD($A108-1,5))+1,0,2,CROQUIS!$C$98-2,2,0),((CROQUIS!$C$107/2+(((CROQUIS!$C$97)-CROQUIS!$C$107)-(MAX(1,INT(((CROQUIS!$C$97)-CROQUIS!$C$107)/MAX((CROQUIS!$C$137*MAX(1,CEILING((INT(((CROQUIS!$C$97)-CROQUIS!$C$107)/MAX(CROQUIS!$C$137,1))+1)/80,1))),1))+1)-1)*(CROQUIS!$C$137*MAX(1,CEILING((INT(((CROQUIS!$C$97)-CROQUIS!$C$107)/MAX(CROQUIS!$C$137,1))+1)/80,1))))/2)+MIN(INT(($A108-1)/5),MAX((MAX(1,INT(((CROQUIS!$C$97)-CROQUIS!$C$107)/MAX((CROQUIS!$C$137*MAX(1,CEILING((INT(((CROQUIS!$C$97)-CROQUIS!$C$107)/MAX(CROQUIS!$C$137,1))+1)/80,1))),1))+1))-1,0))*(CROQUIS!$C$137*MAX(1,CEILING((INT(((CROQUIS!$C$97)-CROQUIS!$C$107)/MAX(CROQUIS!$C$137,1))+1)/80,1))))))*CROQUIS!$C$159)+IF(CROQUIS!$C$92="X",0,0)),-1000)</f>
        <v>-1000</v>
      </c>
      <c r="BR108">
        <f>IF(AND(CROQUIS!$C$88=1,CROQUIS!$C$91=0,CROQUIS!$C$133&gt;0,OR(CROQUIS!$C$103=1,CROQUIS!$C$145=1)),((CROQUIS!$C$160+(IF(CROQUIS!$C$92="X",CHOOSE(IF(INT(($A108-1)/5)&gt;MAX((MAX(1,INT(((CROQUIS!$C$98)-CROQUIS!$C$107)/MAX((CROQUIS!$C$133*MAX(1,CEILING((INT(((CROQUIS!$C$98)-CROQUIS!$C$107)/MAX(CROQUIS!$C$133,1))+1)/80,1))),1))+1))-1,0),0,MOD($A108-1,5))+1,0,IF(CROQUIS!$C$103=1,-12,2),CROQUIS!$C$107/2+CROQUIS!$C$143,IF(CROQUIS!$C$103=1,-12,2),0),((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BS1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+1,0,IF(CROQUIS!$C$103=1,-12,2),CROQUIS!$C$107/2+CROQUIS!$C$143,IF(CROQUIS!$C$103=1,-12,2),0)))*CROQUIS!$C$159)+IF(CROQUIS!$C$92="X",0.8,0)),-1000)</f>
        <v>-1000</v>
      </c>
      <c r="BT108">
        <f>IF(AND(CROQUIS!$C$88=1,CROQUIS!$C$91=0,CROQUIS!$C$133&gt;0,OR(CROQUIS!$C$104=1,CROQUIS!$C$145=1)),((CROQUIS!$C$160+(IF(CROQUIS!$C$92="X",CHOOSE(IF(INT(($A108-1)/5)&gt;MAX((MAX(1,INT(((CROQUIS!$C$98)-CROQUIS!$C$107)/MAX((CROQUIS!$C$133*MAX(1,CEILING((INT(((CROQUIS!$C$98)-CROQUIS!$C$107)/MAX(CROQUIS!$C$133,1))+1)/80,1))),1))+1))-1,0),0,MOD($A108-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BU1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CROQUIS!$C$97,CROQUIS!$C$97-CROQUIS!$C$107/2-CROQUIS!$C$143,IF(CROQUIS!$C$104=1,CROQUIS!$C$97+12,CROQUIS!$C$97-2),CROQUIS!$C$97-CROQUIS!$C$107/2-CROQUIS!$C$143,CROQUIS!$C$97)))*CROQUIS!$C$159)+IF(CROQUIS!$C$92="X",0.8,0)),-1000)</f>
        <v>-1000</v>
      </c>
      <c r="BV1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HOOSE(IF(INT(($A108-1)/5)&gt;MAX((MAX(1,INT(((CROQUIS!$C$97)-CROQUIS!$C$107)/MAX((CROQUIS!$C$141*MAX(1,CEILING((INT(((CROQUIS!$C$97)-CROQUIS!$C$107)/MAX(CROQUIS!$C$141,1))+1)/80,1))),1))+1))-1,0),0,MOD($A108-1,5))+1,0,IF(CROQUIS!$C$105=1,-12,2),CROQUIS!$C$107/2+CROQUIS!$C$144,IF(CROQUIS!$C$105=1,-12,2),0)))*CROQUIS!$C$159)+IF(CROQUIS!$C$92="X",0.8,0)),-1000)</f>
        <v>-1000</v>
      </c>
      <c r="BW108">
        <f>IF(AND(CROQUIS!$C$88=1,CROQUIS!$C$91=0,CROQUIS!$C$141&gt;0,OR(CROQUIS!$C$105=1,CROQUIS!$C$146=1)),((CROQUIS!$C$161+(IF(CROQUIS!$C$92="X",CHOOSE(IF(INT(($A108-1)/5)&gt;MAX((MAX(1,INT(((CROQUIS!$C$97)-CROQUIS!$C$107)/MAX((CROQUIS!$C$141*MAX(1,CEILING((INT(((CROQUIS!$C$97)-CROQUIS!$C$107)/MAX(CROQUIS!$C$141,1))+1)/80,1))),1))+1))-1,0),0,MOD($A108-1,5))+1,0,IF(CROQUIS!$C$105=1,-12,2),CROQUIS!$C$107/2+CROQUIS!$C$144,IF(CROQUIS!$C$105=1,-12,2),0),((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ROQUIS!$C$159)+IF(CROQUIS!$C$92="X",0,0.8)),-1000)</f>
        <v>-1000</v>
      </c>
      <c r="BX1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HOOSE(IF(INT(($A108-1)/5)&gt;MAX((MAX(1,INT(((CROQUIS!$C$97)-CROQUIS!$C$107)/MAX((CROQUIS!$C$141*MAX(1,CEILING((INT(((CROQUIS!$C$97)-CROQUIS!$C$107)/MAX(CROQUIS!$C$141,1))+1)/80,1))),1))+1))-1,0),0,MOD($A108-1,5))+1,CROQUIS!$C$98,CROQUIS!$C$98-CROQUIS!$C$107/2-CROQUIS!$C$144,IF(CROQUIS!$C$106=1,CROQUIS!$C$98+12,CROQUIS!$C$98-2),CROQUIS!$C$98-CROQUIS!$C$107/2-CROQUIS!$C$144,CROQUIS!$C$98)))*CROQUIS!$C$159)+IF(CROQUIS!$C$92="X",0.8,0)),-1000)</f>
        <v>-1000</v>
      </c>
      <c r="BY108">
        <f>IF(AND(CROQUIS!$C$88=1,CROQUIS!$C$91=0,CROQUIS!$C$141&gt;0,OR(CROQUIS!$C$106=1,CROQUIS!$C$146=1)),((CROQUIS!$C$161+(IF(CROQUIS!$C$92="X",CHOOSE(IF(INT(($A108-1)/5)&gt;MAX((MAX(1,INT(((CROQUIS!$C$97)-CROQUIS!$C$107)/MAX((CROQUIS!$C$141*MAX(1,CEILING((INT(((CROQUIS!$C$97)-CROQUIS!$C$107)/MAX(CROQUIS!$C$141,1))+1)/80,1))),1))+1))-1,0),0,MOD($A108-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ROQUIS!$C$159)+IF(CROQUIS!$C$92="X",0,0.8)),-1000)</f>
        <v>-1000</v>
      </c>
      <c r="BZ108">
        <f>IF(AND(CROQUIS!$C$88=1,CROQUIS!$C$91=1,CROQUIS!$C$133&gt;0),((CROQUIS!$C$160+(IF(CROQUIS!$C$92="X",CHOOSE(IF(INT(($A108-1)/5)&gt;MAX((MAX(1,INT(((CROQUIS!$C$98)-CROQUIS!$C$107)/MAX((CROQUIS!$C$133*MAX(1,CEILING((INT(((CROQUIS!$C$98)-CROQUIS!$C$107)/MAX(CROQUIS!$C$133,1))+1)/80,1))),1))+1))-1,0),0,MOD($A108-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CA108">
        <f>IF(AND(CROQUIS!$C$88=1,CROQUIS!$C$91=1,CROQUIS!$C$133&gt;0),((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9">
      <c r="A109" t="n">
        <v>102</v>
      </c>
      <c r="BN109">
        <f>IF(AND(CROQUIS!$C$88=1,CROQUIS!$C$129&gt;0),((CROQUIS!$C$160+(IF(CROQUIS!$C$92="X",CHOOSE(IF(INT(($A109-1)/5)&gt;MAX((MAX(1,INT(((CROQUIS!$C$98)-CROQUIS!$C$107)/MAX((CROQUIS!$C$129*MAX(1,CEILING((INT(((CROQUIS!$C$98)-CROQUIS!$C$107)/MAX(CROQUIS!$C$129,1))+1)/80,1))),1))+1))-1,0),0,MOD($A109-1,5))+1,0,2,CROQUIS!$C$97-2,2,0),((CROQUIS!$C$107/2+(((CROQUIS!$C$98)-CROQUIS!$C$107)-(MAX(1,INT(((CROQUIS!$C$98)-CROQUIS!$C$107)/MAX((CROQUIS!$C$129*MAX(1,CEILING((INT(((CROQUIS!$C$98)-CROQUIS!$C$107)/MAX(CROQUIS!$C$129,1))+1)/80,1))),1))+1)-1)*(CROQUIS!$C$129*MAX(1,CEILING((INT(((CROQUIS!$C$98)-CROQUIS!$C$107)/MAX(CROQUIS!$C$129,1))+1)/80,1))))/2)+MIN(INT(($A109-1)/5),MAX((MAX(1,INT(((CROQUIS!$C$98)-CROQUIS!$C$107)/MAX((CROQUIS!$C$129*MAX(1,CEILING((INT(((CROQUIS!$C$98)-CROQUIS!$C$107)/MAX(CROQUIS!$C$129,1))+1)/80,1))),1))+1))-1,0))*(CROQUIS!$C$129*MAX(1,CEILING((INT(((CROQUIS!$C$98)-CROQUIS!$C$107)/MAX(CROQUIS!$C$129,1))+1)/80,1))))))*CROQUIS!$C$159)+IF(CROQUIS!$C$92="X",0,0)),-1000)</f>
        <v>-1000</v>
      </c>
      <c r="BO109">
        <f>IF(AND(CROQUIS!$C$88=1,CROQUIS!$C$129&gt;0),((CROQUIS!$C$161+(IF(CROQUIS!$C$92="X",((CROQUIS!$C$107/2+(((CROQUIS!$C$98)-CROQUIS!$C$107)-(MAX(1,INT(((CROQUIS!$C$98)-CROQUIS!$C$107)/MAX((CROQUIS!$C$129*MAX(1,CEILING((INT(((CROQUIS!$C$98)-CROQUIS!$C$107)/MAX(CROQUIS!$C$129,1))+1)/80,1))),1))+1)-1)*(CROQUIS!$C$129*MAX(1,CEILING((INT(((CROQUIS!$C$98)-CROQUIS!$C$107)/MAX(CROQUIS!$C$129,1))+1)/80,1))))/2)+MIN(INT(($A109-1)/5),MAX((MAX(1,INT(((CROQUIS!$C$98)-CROQUIS!$C$107)/MAX((CROQUIS!$C$129*MAX(1,CEILING((INT(((CROQUIS!$C$98)-CROQUIS!$C$107)/MAX(CROQUIS!$C$129,1))+1)/80,1))),1))+1))-1,0))*(CROQUIS!$C$129*MAX(1,CEILING((INT(((CROQUIS!$C$98)-CROQUIS!$C$107)/MAX(CROQUIS!$C$129,1))+1)/80,1)))),CHOOSE(IF(INT(($A109-1)/5)&gt;MAX((MAX(1,INT(((CROQUIS!$C$98)-CROQUIS!$C$107)/MAX((CROQUIS!$C$129*MAX(1,CEILING((INT(((CROQUIS!$C$98)-CROQUIS!$C$107)/MAX(CROQUIS!$C$129,1))+1)/80,1))),1))+1))-1,0),0,MOD($A109-1,5))+1,0,2,CROQUIS!$C$97-2,2,0)))*CROQUIS!$C$159)+IF(CROQUIS!$C$92="X",0,0)),-1000)</f>
        <v>-1000</v>
      </c>
      <c r="BP109">
        <f>IF(AND(CROQUIS!$C$88=1,CROQUIS!$C$137&gt;0),((CROQUIS!$C$160+(IF(CROQUIS!$C$92="X",((CROQUIS!$C$107/2+(((CROQUIS!$C$97)-CROQUIS!$C$107)-(MAX(1,INT(((CROQUIS!$C$97)-CROQUIS!$C$107)/MAX((CROQUIS!$C$137*MAX(1,CEILING((INT(((CROQUIS!$C$97)-CROQUIS!$C$107)/MAX(CROQUIS!$C$137,1))+1)/80,1))),1))+1)-1)*(CROQUIS!$C$137*MAX(1,CEILING((INT(((CROQUIS!$C$97)-CROQUIS!$C$107)/MAX(CROQUIS!$C$137,1))+1)/80,1))))/2)+MIN(INT(($A109-1)/5),MAX((MAX(1,INT(((CROQUIS!$C$97)-CROQUIS!$C$107)/MAX((CROQUIS!$C$137*MAX(1,CEILING((INT(((CROQUIS!$C$97)-CROQUIS!$C$107)/MAX(CROQUIS!$C$137,1))+1)/80,1))),1))+1))-1,0))*(CROQUIS!$C$137*MAX(1,CEILING((INT(((CROQUIS!$C$97)-CROQUIS!$C$107)/MAX(CROQUIS!$C$137,1))+1)/80,1)))),CHOOSE(IF(INT(($A109-1)/5)&gt;MAX((MAX(1,INT(((CROQUIS!$C$97)-CROQUIS!$C$107)/MAX((CROQUIS!$C$137*MAX(1,CEILING((INT(((CROQUIS!$C$97)-CROQUIS!$C$107)/MAX(CROQUIS!$C$137,1))+1)/80,1))),1))+1))-1,0),0,MOD($A109-1,5))+1,0,2,CROQUIS!$C$98-2,2,0)))*CROQUIS!$C$159)+IF(CROQUIS!$C$92="X",0,0)),-1000)</f>
        <v>-1000</v>
      </c>
      <c r="BQ109">
        <f>IF(AND(CROQUIS!$C$88=1,CROQUIS!$C$137&gt;0),((CROQUIS!$C$161+(IF(CROQUIS!$C$92="X",CHOOSE(IF(INT(($A109-1)/5)&gt;MAX((MAX(1,INT(((CROQUIS!$C$97)-CROQUIS!$C$107)/MAX((CROQUIS!$C$137*MAX(1,CEILING((INT(((CROQUIS!$C$97)-CROQUIS!$C$107)/MAX(CROQUIS!$C$137,1))+1)/80,1))),1))+1))-1,0),0,MOD($A109-1,5))+1,0,2,CROQUIS!$C$98-2,2,0),((CROQUIS!$C$107/2+(((CROQUIS!$C$97)-CROQUIS!$C$107)-(MAX(1,INT(((CROQUIS!$C$97)-CROQUIS!$C$107)/MAX((CROQUIS!$C$137*MAX(1,CEILING((INT(((CROQUIS!$C$97)-CROQUIS!$C$107)/MAX(CROQUIS!$C$137,1))+1)/80,1))),1))+1)-1)*(CROQUIS!$C$137*MAX(1,CEILING((INT(((CROQUIS!$C$97)-CROQUIS!$C$107)/MAX(CROQUIS!$C$137,1))+1)/80,1))))/2)+MIN(INT(($A109-1)/5),MAX((MAX(1,INT(((CROQUIS!$C$97)-CROQUIS!$C$107)/MAX((CROQUIS!$C$137*MAX(1,CEILING((INT(((CROQUIS!$C$97)-CROQUIS!$C$107)/MAX(CROQUIS!$C$137,1))+1)/80,1))),1))+1))-1,0))*(CROQUIS!$C$137*MAX(1,CEILING((INT(((CROQUIS!$C$97)-CROQUIS!$C$107)/MAX(CROQUIS!$C$137,1))+1)/80,1))))))*CROQUIS!$C$159)+IF(CROQUIS!$C$92="X",0,0)),-1000)</f>
        <v>-1000</v>
      </c>
      <c r="BR109">
        <f>IF(AND(CROQUIS!$C$88=1,CROQUIS!$C$91=0,CROQUIS!$C$133&gt;0,OR(CROQUIS!$C$103=1,CROQUIS!$C$145=1)),((CROQUIS!$C$160+(IF(CROQUIS!$C$92="X",CHOOSE(IF(INT(($A109-1)/5)&gt;MAX((MAX(1,INT(((CROQUIS!$C$98)-CROQUIS!$C$107)/MAX((CROQUIS!$C$133*MAX(1,CEILING((INT(((CROQUIS!$C$98)-CROQUIS!$C$107)/MAX(CROQUIS!$C$133,1))+1)/80,1))),1))+1))-1,0),0,MOD($A109-1,5))+1,0,IF(CROQUIS!$C$103=1,-12,2),CROQUIS!$C$107/2+CROQUIS!$C$143,IF(CROQUIS!$C$103=1,-12,2),0),((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BS1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+1,0,IF(CROQUIS!$C$103=1,-12,2),CROQUIS!$C$107/2+CROQUIS!$C$143,IF(CROQUIS!$C$103=1,-12,2),0)))*CROQUIS!$C$159)+IF(CROQUIS!$C$92="X",0.8,0)),-1000)</f>
        <v>-1000</v>
      </c>
      <c r="BT109">
        <f>IF(AND(CROQUIS!$C$88=1,CROQUIS!$C$91=0,CROQUIS!$C$133&gt;0,OR(CROQUIS!$C$104=1,CROQUIS!$C$145=1)),((CROQUIS!$C$160+(IF(CROQUIS!$C$92="X",CHOOSE(IF(INT(($A109-1)/5)&gt;MAX((MAX(1,INT(((CROQUIS!$C$98)-CROQUIS!$C$107)/MAX((CROQUIS!$C$133*MAX(1,CEILING((INT(((CROQUIS!$C$98)-CROQUIS!$C$107)/MAX(CROQUIS!$C$133,1))+1)/80,1))),1))+1))-1,0),0,MOD($A109-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BU1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CROQUIS!$C$97,CROQUIS!$C$97-CROQUIS!$C$107/2-CROQUIS!$C$143,IF(CROQUIS!$C$104=1,CROQUIS!$C$97+12,CROQUIS!$C$97-2),CROQUIS!$C$97-CROQUIS!$C$107/2-CROQUIS!$C$143,CROQUIS!$C$97)))*CROQUIS!$C$159)+IF(CROQUIS!$C$92="X",0.8,0)),-1000)</f>
        <v>-1000</v>
      </c>
      <c r="BV1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HOOSE(IF(INT(($A109-1)/5)&gt;MAX((MAX(1,INT(((CROQUIS!$C$97)-CROQUIS!$C$107)/MAX((CROQUIS!$C$141*MAX(1,CEILING((INT(((CROQUIS!$C$97)-CROQUIS!$C$107)/MAX(CROQUIS!$C$141,1))+1)/80,1))),1))+1))-1,0),0,MOD($A109-1,5))+1,0,IF(CROQUIS!$C$105=1,-12,2),CROQUIS!$C$107/2+CROQUIS!$C$144,IF(CROQUIS!$C$105=1,-12,2),0)))*CROQUIS!$C$159)+IF(CROQUIS!$C$92="X",0.8,0)),-1000)</f>
        <v>-1000</v>
      </c>
      <c r="BW109">
        <f>IF(AND(CROQUIS!$C$88=1,CROQUIS!$C$91=0,CROQUIS!$C$141&gt;0,OR(CROQUIS!$C$105=1,CROQUIS!$C$146=1)),((CROQUIS!$C$161+(IF(CROQUIS!$C$92="X",CHOOSE(IF(INT(($A109-1)/5)&gt;MAX((MAX(1,INT(((CROQUIS!$C$97)-CROQUIS!$C$107)/MAX((CROQUIS!$C$141*MAX(1,CEILING((INT(((CROQUIS!$C$97)-CROQUIS!$C$107)/MAX(CROQUIS!$C$141,1))+1)/80,1))),1))+1))-1,0),0,MOD($A109-1,5))+1,0,IF(CROQUIS!$C$105=1,-12,2),CROQUIS!$C$107/2+CROQUIS!$C$144,IF(CROQUIS!$C$105=1,-12,2),0),((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ROQUIS!$C$159)+IF(CROQUIS!$C$92="X",0,0.8)),-1000)</f>
        <v>-1000</v>
      </c>
      <c r="BX1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HOOSE(IF(INT(($A109-1)/5)&gt;MAX((MAX(1,INT(((CROQUIS!$C$97)-CROQUIS!$C$107)/MAX((CROQUIS!$C$141*MAX(1,CEILING((INT(((CROQUIS!$C$97)-CROQUIS!$C$107)/MAX(CROQUIS!$C$141,1))+1)/80,1))),1))+1))-1,0),0,MOD($A109-1,5))+1,CROQUIS!$C$98,CROQUIS!$C$98-CROQUIS!$C$107/2-CROQUIS!$C$144,IF(CROQUIS!$C$106=1,CROQUIS!$C$98+12,CROQUIS!$C$98-2),CROQUIS!$C$98-CROQUIS!$C$107/2-CROQUIS!$C$144,CROQUIS!$C$98)))*CROQUIS!$C$159)+IF(CROQUIS!$C$92="X",0.8,0)),-1000)</f>
        <v>-1000</v>
      </c>
      <c r="BY109">
        <f>IF(AND(CROQUIS!$C$88=1,CROQUIS!$C$91=0,CROQUIS!$C$141&gt;0,OR(CROQUIS!$C$106=1,CROQUIS!$C$146=1)),((CROQUIS!$C$161+(IF(CROQUIS!$C$92="X",CHOOSE(IF(INT(($A109-1)/5)&gt;MAX((MAX(1,INT(((CROQUIS!$C$97)-CROQUIS!$C$107)/MAX((CROQUIS!$C$141*MAX(1,CEILING((INT(((CROQUIS!$C$97)-CROQUIS!$C$107)/MAX(CROQUIS!$C$141,1))+1)/80,1))),1))+1))-1,0),0,MOD($A109-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ROQUIS!$C$159)+IF(CROQUIS!$C$92="X",0,0.8)),-1000)</f>
        <v>-1000</v>
      </c>
      <c r="BZ109">
        <f>IF(AND(CROQUIS!$C$88=1,CROQUIS!$C$91=1,CROQUIS!$C$133&gt;0),((CROQUIS!$C$160+(IF(CROQUIS!$C$92="X",CHOOSE(IF(INT(($A109-1)/5)&gt;MAX((MAX(1,INT(((CROQUIS!$C$98)-CROQUIS!$C$107)/MAX((CROQUIS!$C$133*MAX(1,CEILING((INT(((CROQUIS!$C$98)-CROQUIS!$C$107)/MAX(CROQUIS!$C$133,1))+1)/80,1))),1))+1))-1,0),0,MOD($A109-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CA109">
        <f>IF(AND(CROQUIS!$C$88=1,CROQUIS!$C$91=1,CROQUIS!$C$133&gt;0),((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0">
      <c r="A110" t="n">
        <v>103</v>
      </c>
      <c r="BN110">
        <f>IF(AND(CROQUIS!$C$88=1,CROQUIS!$C$129&gt;0),((CROQUIS!$C$160+(IF(CROQUIS!$C$92="X",CHOOSE(IF(INT(($A110-1)/5)&gt;MAX((MAX(1,INT(((CROQUIS!$C$98)-CROQUIS!$C$107)/MAX((CROQUIS!$C$129*MAX(1,CEILING((INT(((CROQUIS!$C$98)-CROQUIS!$C$107)/MAX(CROQUIS!$C$129,1))+1)/80,1))),1))+1))-1,0),0,MOD($A110-1,5))+1,0,2,CROQUIS!$C$97-2,2,0),((CROQUIS!$C$107/2+(((CROQUIS!$C$98)-CROQUIS!$C$107)-(MAX(1,INT(((CROQUIS!$C$98)-CROQUIS!$C$107)/MAX((CROQUIS!$C$129*MAX(1,CEILING((INT(((CROQUIS!$C$98)-CROQUIS!$C$107)/MAX(CROQUIS!$C$129,1))+1)/80,1))),1))+1)-1)*(CROQUIS!$C$129*MAX(1,CEILING((INT(((CROQUIS!$C$98)-CROQUIS!$C$107)/MAX(CROQUIS!$C$129,1))+1)/80,1))))/2)+MIN(INT(($A110-1)/5),MAX((MAX(1,INT(((CROQUIS!$C$98)-CROQUIS!$C$107)/MAX((CROQUIS!$C$129*MAX(1,CEILING((INT(((CROQUIS!$C$98)-CROQUIS!$C$107)/MAX(CROQUIS!$C$129,1))+1)/80,1))),1))+1))-1,0))*(CROQUIS!$C$129*MAX(1,CEILING((INT(((CROQUIS!$C$98)-CROQUIS!$C$107)/MAX(CROQUIS!$C$129,1))+1)/80,1))))))*CROQUIS!$C$159)+IF(CROQUIS!$C$92="X",0,0)),-1000)</f>
        <v>-1000</v>
      </c>
      <c r="BO110">
        <f>IF(AND(CROQUIS!$C$88=1,CROQUIS!$C$129&gt;0),((CROQUIS!$C$161+(IF(CROQUIS!$C$92="X",((CROQUIS!$C$107/2+(((CROQUIS!$C$98)-CROQUIS!$C$107)-(MAX(1,INT(((CROQUIS!$C$98)-CROQUIS!$C$107)/MAX((CROQUIS!$C$129*MAX(1,CEILING((INT(((CROQUIS!$C$98)-CROQUIS!$C$107)/MAX(CROQUIS!$C$129,1))+1)/80,1))),1))+1)-1)*(CROQUIS!$C$129*MAX(1,CEILING((INT(((CROQUIS!$C$98)-CROQUIS!$C$107)/MAX(CROQUIS!$C$129,1))+1)/80,1))))/2)+MIN(INT(($A110-1)/5),MAX((MAX(1,INT(((CROQUIS!$C$98)-CROQUIS!$C$107)/MAX((CROQUIS!$C$129*MAX(1,CEILING((INT(((CROQUIS!$C$98)-CROQUIS!$C$107)/MAX(CROQUIS!$C$129,1))+1)/80,1))),1))+1))-1,0))*(CROQUIS!$C$129*MAX(1,CEILING((INT(((CROQUIS!$C$98)-CROQUIS!$C$107)/MAX(CROQUIS!$C$129,1))+1)/80,1)))),CHOOSE(IF(INT(($A110-1)/5)&gt;MAX((MAX(1,INT(((CROQUIS!$C$98)-CROQUIS!$C$107)/MAX((CROQUIS!$C$129*MAX(1,CEILING((INT(((CROQUIS!$C$98)-CROQUIS!$C$107)/MAX(CROQUIS!$C$129,1))+1)/80,1))),1))+1))-1,0),0,MOD($A110-1,5))+1,0,2,CROQUIS!$C$97-2,2,0)))*CROQUIS!$C$159)+IF(CROQUIS!$C$92="X",0,0)),-1000)</f>
        <v>-1000</v>
      </c>
      <c r="BP110">
        <f>IF(AND(CROQUIS!$C$88=1,CROQUIS!$C$137&gt;0),((CROQUIS!$C$160+(IF(CROQUIS!$C$92="X",((CROQUIS!$C$107/2+(((CROQUIS!$C$97)-CROQUIS!$C$107)-(MAX(1,INT(((CROQUIS!$C$97)-CROQUIS!$C$107)/MAX((CROQUIS!$C$137*MAX(1,CEILING((INT(((CROQUIS!$C$97)-CROQUIS!$C$107)/MAX(CROQUIS!$C$137,1))+1)/80,1))),1))+1)-1)*(CROQUIS!$C$137*MAX(1,CEILING((INT(((CROQUIS!$C$97)-CROQUIS!$C$107)/MAX(CROQUIS!$C$137,1))+1)/80,1))))/2)+MIN(INT(($A110-1)/5),MAX((MAX(1,INT(((CROQUIS!$C$97)-CROQUIS!$C$107)/MAX((CROQUIS!$C$137*MAX(1,CEILING((INT(((CROQUIS!$C$97)-CROQUIS!$C$107)/MAX(CROQUIS!$C$137,1))+1)/80,1))),1))+1))-1,0))*(CROQUIS!$C$137*MAX(1,CEILING((INT(((CROQUIS!$C$97)-CROQUIS!$C$107)/MAX(CROQUIS!$C$137,1))+1)/80,1)))),CHOOSE(IF(INT(($A110-1)/5)&gt;MAX((MAX(1,INT(((CROQUIS!$C$97)-CROQUIS!$C$107)/MAX((CROQUIS!$C$137*MAX(1,CEILING((INT(((CROQUIS!$C$97)-CROQUIS!$C$107)/MAX(CROQUIS!$C$137,1))+1)/80,1))),1))+1))-1,0),0,MOD($A110-1,5))+1,0,2,CROQUIS!$C$98-2,2,0)))*CROQUIS!$C$159)+IF(CROQUIS!$C$92="X",0,0)),-1000)</f>
        <v>-1000</v>
      </c>
      <c r="BQ110">
        <f>IF(AND(CROQUIS!$C$88=1,CROQUIS!$C$137&gt;0),((CROQUIS!$C$161+(IF(CROQUIS!$C$92="X",CHOOSE(IF(INT(($A110-1)/5)&gt;MAX((MAX(1,INT(((CROQUIS!$C$97)-CROQUIS!$C$107)/MAX((CROQUIS!$C$137*MAX(1,CEILING((INT(((CROQUIS!$C$97)-CROQUIS!$C$107)/MAX(CROQUIS!$C$137,1))+1)/80,1))),1))+1))-1,0),0,MOD($A110-1,5))+1,0,2,CROQUIS!$C$98-2,2,0),((CROQUIS!$C$107/2+(((CROQUIS!$C$97)-CROQUIS!$C$107)-(MAX(1,INT(((CROQUIS!$C$97)-CROQUIS!$C$107)/MAX((CROQUIS!$C$137*MAX(1,CEILING((INT(((CROQUIS!$C$97)-CROQUIS!$C$107)/MAX(CROQUIS!$C$137,1))+1)/80,1))),1))+1)-1)*(CROQUIS!$C$137*MAX(1,CEILING((INT(((CROQUIS!$C$97)-CROQUIS!$C$107)/MAX(CROQUIS!$C$137,1))+1)/80,1))))/2)+MIN(INT(($A110-1)/5),MAX((MAX(1,INT(((CROQUIS!$C$97)-CROQUIS!$C$107)/MAX((CROQUIS!$C$137*MAX(1,CEILING((INT(((CROQUIS!$C$97)-CROQUIS!$C$107)/MAX(CROQUIS!$C$137,1))+1)/80,1))),1))+1))-1,0))*(CROQUIS!$C$137*MAX(1,CEILING((INT(((CROQUIS!$C$97)-CROQUIS!$C$107)/MAX(CROQUIS!$C$137,1))+1)/80,1))))))*CROQUIS!$C$159)+IF(CROQUIS!$C$92="X",0,0)),-1000)</f>
        <v>-1000</v>
      </c>
      <c r="BR110">
        <f>IF(AND(CROQUIS!$C$88=1,CROQUIS!$C$91=0,CROQUIS!$C$133&gt;0,OR(CROQUIS!$C$103=1,CROQUIS!$C$145=1)),((CROQUIS!$C$160+(IF(CROQUIS!$C$92="X",CHOOSE(IF(INT(($A110-1)/5)&gt;MAX((MAX(1,INT(((CROQUIS!$C$98)-CROQUIS!$C$107)/MAX((CROQUIS!$C$133*MAX(1,CEILING((INT(((CROQUIS!$C$98)-CROQUIS!$C$107)/MAX(CROQUIS!$C$133,1))+1)/80,1))),1))+1))-1,0),0,MOD($A110-1,5))+1,0,IF(CROQUIS!$C$103=1,-12,2),CROQUIS!$C$107/2+CROQUIS!$C$143,IF(CROQUIS!$C$103=1,-12,2),0),((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BS1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+1,0,IF(CROQUIS!$C$103=1,-12,2),CROQUIS!$C$107/2+CROQUIS!$C$143,IF(CROQUIS!$C$103=1,-12,2),0)))*CROQUIS!$C$159)+IF(CROQUIS!$C$92="X",0.8,0)),-1000)</f>
        <v>-1000</v>
      </c>
      <c r="BT110">
        <f>IF(AND(CROQUIS!$C$88=1,CROQUIS!$C$91=0,CROQUIS!$C$133&gt;0,OR(CROQUIS!$C$104=1,CROQUIS!$C$145=1)),((CROQUIS!$C$160+(IF(CROQUIS!$C$92="X",CHOOSE(IF(INT(($A110-1)/5)&gt;MAX((MAX(1,INT(((CROQUIS!$C$98)-CROQUIS!$C$107)/MAX((CROQUIS!$C$133*MAX(1,CEILING((INT(((CROQUIS!$C$98)-CROQUIS!$C$107)/MAX(CROQUIS!$C$133,1))+1)/80,1))),1))+1))-1,0),0,MOD($A110-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BU1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CROQUIS!$C$97,CROQUIS!$C$97-CROQUIS!$C$107/2-CROQUIS!$C$143,IF(CROQUIS!$C$104=1,CROQUIS!$C$97+12,CROQUIS!$C$97-2),CROQUIS!$C$97-CROQUIS!$C$107/2-CROQUIS!$C$143,CROQUIS!$C$97)))*CROQUIS!$C$159)+IF(CROQUIS!$C$92="X",0.8,0)),-1000)</f>
        <v>-1000</v>
      </c>
      <c r="BV1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HOOSE(IF(INT(($A110-1)/5)&gt;MAX((MAX(1,INT(((CROQUIS!$C$97)-CROQUIS!$C$107)/MAX((CROQUIS!$C$141*MAX(1,CEILING((INT(((CROQUIS!$C$97)-CROQUIS!$C$107)/MAX(CROQUIS!$C$141,1))+1)/80,1))),1))+1))-1,0),0,MOD($A110-1,5))+1,0,IF(CROQUIS!$C$105=1,-12,2),CROQUIS!$C$107/2+CROQUIS!$C$144,IF(CROQUIS!$C$105=1,-12,2),0)))*CROQUIS!$C$159)+IF(CROQUIS!$C$92="X",0.8,0)),-1000)</f>
        <v>-1000</v>
      </c>
      <c r="BW110">
        <f>IF(AND(CROQUIS!$C$88=1,CROQUIS!$C$91=0,CROQUIS!$C$141&gt;0,OR(CROQUIS!$C$105=1,CROQUIS!$C$146=1)),((CROQUIS!$C$161+(IF(CROQUIS!$C$92="X",CHOOSE(IF(INT(($A110-1)/5)&gt;MAX((MAX(1,INT(((CROQUIS!$C$97)-CROQUIS!$C$107)/MAX((CROQUIS!$C$141*MAX(1,CEILING((INT(((CROQUIS!$C$97)-CROQUIS!$C$107)/MAX(CROQUIS!$C$141,1))+1)/80,1))),1))+1))-1,0),0,MOD($A110-1,5))+1,0,IF(CROQUIS!$C$105=1,-12,2),CROQUIS!$C$107/2+CROQUIS!$C$144,IF(CROQUIS!$C$105=1,-12,2),0),((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ROQUIS!$C$159)+IF(CROQUIS!$C$92="X",0,0.8)),-1000)</f>
        <v>-1000</v>
      </c>
      <c r="BX1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HOOSE(IF(INT(($A110-1)/5)&gt;MAX((MAX(1,INT(((CROQUIS!$C$97)-CROQUIS!$C$107)/MAX((CROQUIS!$C$141*MAX(1,CEILING((INT(((CROQUIS!$C$97)-CROQUIS!$C$107)/MAX(CROQUIS!$C$141,1))+1)/80,1))),1))+1))-1,0),0,MOD($A110-1,5))+1,CROQUIS!$C$98,CROQUIS!$C$98-CROQUIS!$C$107/2-CROQUIS!$C$144,IF(CROQUIS!$C$106=1,CROQUIS!$C$98+12,CROQUIS!$C$98-2),CROQUIS!$C$98-CROQUIS!$C$107/2-CROQUIS!$C$144,CROQUIS!$C$98)))*CROQUIS!$C$159)+IF(CROQUIS!$C$92="X",0.8,0)),-1000)</f>
        <v>-1000</v>
      </c>
      <c r="BY110">
        <f>IF(AND(CROQUIS!$C$88=1,CROQUIS!$C$91=0,CROQUIS!$C$141&gt;0,OR(CROQUIS!$C$106=1,CROQUIS!$C$146=1)),((CROQUIS!$C$161+(IF(CROQUIS!$C$92="X",CHOOSE(IF(INT(($A110-1)/5)&gt;MAX((MAX(1,INT(((CROQUIS!$C$97)-CROQUIS!$C$107)/MAX((CROQUIS!$C$141*MAX(1,CEILING((INT(((CROQUIS!$C$97)-CROQUIS!$C$107)/MAX(CROQUIS!$C$141,1))+1)/80,1))),1))+1))-1,0),0,MOD($A110-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ROQUIS!$C$159)+IF(CROQUIS!$C$92="X",0,0.8)),-1000)</f>
        <v>-1000</v>
      </c>
      <c r="BZ110">
        <f>IF(AND(CROQUIS!$C$88=1,CROQUIS!$C$91=1,CROQUIS!$C$133&gt;0),((CROQUIS!$C$160+(IF(CROQUIS!$C$92="X",CHOOSE(IF(INT(($A110-1)/5)&gt;MAX((MAX(1,INT(((CROQUIS!$C$98)-CROQUIS!$C$107)/MAX((CROQUIS!$C$133*MAX(1,CEILING((INT(((CROQUIS!$C$98)-CROQUIS!$C$107)/MAX(CROQUIS!$C$133,1))+1)/80,1))),1))+1))-1,0),0,MOD($A110-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CA110">
        <f>IF(AND(CROQUIS!$C$88=1,CROQUIS!$C$91=1,CROQUIS!$C$133&gt;0),((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1">
      <c r="A111" t="n">
        <v>104</v>
      </c>
      <c r="BN111">
        <f>IF(AND(CROQUIS!$C$88=1,CROQUIS!$C$129&gt;0),((CROQUIS!$C$160+(IF(CROQUIS!$C$92="X",CHOOSE(IF(INT(($A111-1)/5)&gt;MAX((MAX(1,INT(((CROQUIS!$C$98)-CROQUIS!$C$107)/MAX((CROQUIS!$C$129*MAX(1,CEILING((INT(((CROQUIS!$C$98)-CROQUIS!$C$107)/MAX(CROQUIS!$C$129,1))+1)/80,1))),1))+1))-1,0),0,MOD($A111-1,5))+1,0,2,CROQUIS!$C$97-2,2,0),((CROQUIS!$C$107/2+(((CROQUIS!$C$98)-CROQUIS!$C$107)-(MAX(1,INT(((CROQUIS!$C$98)-CROQUIS!$C$107)/MAX((CROQUIS!$C$129*MAX(1,CEILING((INT(((CROQUIS!$C$98)-CROQUIS!$C$107)/MAX(CROQUIS!$C$129,1))+1)/80,1))),1))+1)-1)*(CROQUIS!$C$129*MAX(1,CEILING((INT(((CROQUIS!$C$98)-CROQUIS!$C$107)/MAX(CROQUIS!$C$129,1))+1)/80,1))))/2)+MIN(INT(($A111-1)/5),MAX((MAX(1,INT(((CROQUIS!$C$98)-CROQUIS!$C$107)/MAX((CROQUIS!$C$129*MAX(1,CEILING((INT(((CROQUIS!$C$98)-CROQUIS!$C$107)/MAX(CROQUIS!$C$129,1))+1)/80,1))),1))+1))-1,0))*(CROQUIS!$C$129*MAX(1,CEILING((INT(((CROQUIS!$C$98)-CROQUIS!$C$107)/MAX(CROQUIS!$C$129,1))+1)/80,1))))))*CROQUIS!$C$159)+IF(CROQUIS!$C$92="X",0,0)),-1000)</f>
        <v>-1000</v>
      </c>
      <c r="BO111">
        <f>IF(AND(CROQUIS!$C$88=1,CROQUIS!$C$129&gt;0),((CROQUIS!$C$161+(IF(CROQUIS!$C$92="X",((CROQUIS!$C$107/2+(((CROQUIS!$C$98)-CROQUIS!$C$107)-(MAX(1,INT(((CROQUIS!$C$98)-CROQUIS!$C$107)/MAX((CROQUIS!$C$129*MAX(1,CEILING((INT(((CROQUIS!$C$98)-CROQUIS!$C$107)/MAX(CROQUIS!$C$129,1))+1)/80,1))),1))+1)-1)*(CROQUIS!$C$129*MAX(1,CEILING((INT(((CROQUIS!$C$98)-CROQUIS!$C$107)/MAX(CROQUIS!$C$129,1))+1)/80,1))))/2)+MIN(INT(($A111-1)/5),MAX((MAX(1,INT(((CROQUIS!$C$98)-CROQUIS!$C$107)/MAX((CROQUIS!$C$129*MAX(1,CEILING((INT(((CROQUIS!$C$98)-CROQUIS!$C$107)/MAX(CROQUIS!$C$129,1))+1)/80,1))),1))+1))-1,0))*(CROQUIS!$C$129*MAX(1,CEILING((INT(((CROQUIS!$C$98)-CROQUIS!$C$107)/MAX(CROQUIS!$C$129,1))+1)/80,1)))),CHOOSE(IF(INT(($A111-1)/5)&gt;MAX((MAX(1,INT(((CROQUIS!$C$98)-CROQUIS!$C$107)/MAX((CROQUIS!$C$129*MAX(1,CEILING((INT(((CROQUIS!$C$98)-CROQUIS!$C$107)/MAX(CROQUIS!$C$129,1))+1)/80,1))),1))+1))-1,0),0,MOD($A111-1,5))+1,0,2,CROQUIS!$C$97-2,2,0)))*CROQUIS!$C$159)+IF(CROQUIS!$C$92="X",0,0)),-1000)</f>
        <v>-1000</v>
      </c>
      <c r="BP111">
        <f>IF(AND(CROQUIS!$C$88=1,CROQUIS!$C$137&gt;0),((CROQUIS!$C$160+(IF(CROQUIS!$C$92="X",((CROQUIS!$C$107/2+(((CROQUIS!$C$97)-CROQUIS!$C$107)-(MAX(1,INT(((CROQUIS!$C$97)-CROQUIS!$C$107)/MAX((CROQUIS!$C$137*MAX(1,CEILING((INT(((CROQUIS!$C$97)-CROQUIS!$C$107)/MAX(CROQUIS!$C$137,1))+1)/80,1))),1))+1)-1)*(CROQUIS!$C$137*MAX(1,CEILING((INT(((CROQUIS!$C$97)-CROQUIS!$C$107)/MAX(CROQUIS!$C$137,1))+1)/80,1))))/2)+MIN(INT(($A111-1)/5),MAX((MAX(1,INT(((CROQUIS!$C$97)-CROQUIS!$C$107)/MAX((CROQUIS!$C$137*MAX(1,CEILING((INT(((CROQUIS!$C$97)-CROQUIS!$C$107)/MAX(CROQUIS!$C$137,1))+1)/80,1))),1))+1))-1,0))*(CROQUIS!$C$137*MAX(1,CEILING((INT(((CROQUIS!$C$97)-CROQUIS!$C$107)/MAX(CROQUIS!$C$137,1))+1)/80,1)))),CHOOSE(IF(INT(($A111-1)/5)&gt;MAX((MAX(1,INT(((CROQUIS!$C$97)-CROQUIS!$C$107)/MAX((CROQUIS!$C$137*MAX(1,CEILING((INT(((CROQUIS!$C$97)-CROQUIS!$C$107)/MAX(CROQUIS!$C$137,1))+1)/80,1))),1))+1))-1,0),0,MOD($A111-1,5))+1,0,2,CROQUIS!$C$98-2,2,0)))*CROQUIS!$C$159)+IF(CROQUIS!$C$92="X",0,0)),-1000)</f>
        <v>-1000</v>
      </c>
      <c r="BQ111">
        <f>IF(AND(CROQUIS!$C$88=1,CROQUIS!$C$137&gt;0),((CROQUIS!$C$161+(IF(CROQUIS!$C$92="X",CHOOSE(IF(INT(($A111-1)/5)&gt;MAX((MAX(1,INT(((CROQUIS!$C$97)-CROQUIS!$C$107)/MAX((CROQUIS!$C$137*MAX(1,CEILING((INT(((CROQUIS!$C$97)-CROQUIS!$C$107)/MAX(CROQUIS!$C$137,1))+1)/80,1))),1))+1))-1,0),0,MOD($A111-1,5))+1,0,2,CROQUIS!$C$98-2,2,0),((CROQUIS!$C$107/2+(((CROQUIS!$C$97)-CROQUIS!$C$107)-(MAX(1,INT(((CROQUIS!$C$97)-CROQUIS!$C$107)/MAX((CROQUIS!$C$137*MAX(1,CEILING((INT(((CROQUIS!$C$97)-CROQUIS!$C$107)/MAX(CROQUIS!$C$137,1))+1)/80,1))),1))+1)-1)*(CROQUIS!$C$137*MAX(1,CEILING((INT(((CROQUIS!$C$97)-CROQUIS!$C$107)/MAX(CROQUIS!$C$137,1))+1)/80,1))))/2)+MIN(INT(($A111-1)/5),MAX((MAX(1,INT(((CROQUIS!$C$97)-CROQUIS!$C$107)/MAX((CROQUIS!$C$137*MAX(1,CEILING((INT(((CROQUIS!$C$97)-CROQUIS!$C$107)/MAX(CROQUIS!$C$137,1))+1)/80,1))),1))+1))-1,0))*(CROQUIS!$C$137*MAX(1,CEILING((INT(((CROQUIS!$C$97)-CROQUIS!$C$107)/MAX(CROQUIS!$C$137,1))+1)/80,1))))))*CROQUIS!$C$159)+IF(CROQUIS!$C$92="X",0,0)),-1000)</f>
        <v>-1000</v>
      </c>
      <c r="BR111">
        <f>IF(AND(CROQUIS!$C$88=1,CROQUIS!$C$91=0,CROQUIS!$C$133&gt;0,OR(CROQUIS!$C$103=1,CROQUIS!$C$145=1)),((CROQUIS!$C$160+(IF(CROQUIS!$C$92="X",CHOOSE(IF(INT(($A111-1)/5)&gt;MAX((MAX(1,INT(((CROQUIS!$C$98)-CROQUIS!$C$107)/MAX((CROQUIS!$C$133*MAX(1,CEILING((INT(((CROQUIS!$C$98)-CROQUIS!$C$107)/MAX(CROQUIS!$C$133,1))+1)/80,1))),1))+1))-1,0),0,MOD($A111-1,5))+1,0,IF(CROQUIS!$C$103=1,-12,2),CROQUIS!$C$107/2+CROQUIS!$C$143,IF(CROQUIS!$C$103=1,-12,2),0),((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BS1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+1,0,IF(CROQUIS!$C$103=1,-12,2),CROQUIS!$C$107/2+CROQUIS!$C$143,IF(CROQUIS!$C$103=1,-12,2),0)))*CROQUIS!$C$159)+IF(CROQUIS!$C$92="X",0.8,0)),-1000)</f>
        <v>-1000</v>
      </c>
      <c r="BT111">
        <f>IF(AND(CROQUIS!$C$88=1,CROQUIS!$C$91=0,CROQUIS!$C$133&gt;0,OR(CROQUIS!$C$104=1,CROQUIS!$C$145=1)),((CROQUIS!$C$160+(IF(CROQUIS!$C$92="X",CHOOSE(IF(INT(($A111-1)/5)&gt;MAX((MAX(1,INT(((CROQUIS!$C$98)-CROQUIS!$C$107)/MAX((CROQUIS!$C$133*MAX(1,CEILING((INT(((CROQUIS!$C$98)-CROQUIS!$C$107)/MAX(CROQUIS!$C$133,1))+1)/80,1))),1))+1))-1,0),0,MOD($A111-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BU1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CROQUIS!$C$97,CROQUIS!$C$97-CROQUIS!$C$107/2-CROQUIS!$C$143,IF(CROQUIS!$C$104=1,CROQUIS!$C$97+12,CROQUIS!$C$97-2),CROQUIS!$C$97-CROQUIS!$C$107/2-CROQUIS!$C$143,CROQUIS!$C$97)))*CROQUIS!$C$159)+IF(CROQUIS!$C$92="X",0.8,0)),-1000)</f>
        <v>-1000</v>
      </c>
      <c r="BV1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HOOSE(IF(INT(($A111-1)/5)&gt;MAX((MAX(1,INT(((CROQUIS!$C$97)-CROQUIS!$C$107)/MAX((CROQUIS!$C$141*MAX(1,CEILING((INT(((CROQUIS!$C$97)-CROQUIS!$C$107)/MAX(CROQUIS!$C$141,1))+1)/80,1))),1))+1))-1,0),0,MOD($A111-1,5))+1,0,IF(CROQUIS!$C$105=1,-12,2),CROQUIS!$C$107/2+CROQUIS!$C$144,IF(CROQUIS!$C$105=1,-12,2),0)))*CROQUIS!$C$159)+IF(CROQUIS!$C$92="X",0.8,0)),-1000)</f>
        <v>-1000</v>
      </c>
      <c r="BW111">
        <f>IF(AND(CROQUIS!$C$88=1,CROQUIS!$C$91=0,CROQUIS!$C$141&gt;0,OR(CROQUIS!$C$105=1,CROQUIS!$C$146=1)),((CROQUIS!$C$161+(IF(CROQUIS!$C$92="X",CHOOSE(IF(INT(($A111-1)/5)&gt;MAX((MAX(1,INT(((CROQUIS!$C$97)-CROQUIS!$C$107)/MAX((CROQUIS!$C$141*MAX(1,CEILING((INT(((CROQUIS!$C$97)-CROQUIS!$C$107)/MAX(CROQUIS!$C$141,1))+1)/80,1))),1))+1))-1,0),0,MOD($A111-1,5))+1,0,IF(CROQUIS!$C$105=1,-12,2),CROQUIS!$C$107/2+CROQUIS!$C$144,IF(CROQUIS!$C$105=1,-12,2),0),((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ROQUIS!$C$159)+IF(CROQUIS!$C$92="X",0,0.8)),-1000)</f>
        <v>-1000</v>
      </c>
      <c r="BX1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HOOSE(IF(INT(($A111-1)/5)&gt;MAX((MAX(1,INT(((CROQUIS!$C$97)-CROQUIS!$C$107)/MAX((CROQUIS!$C$141*MAX(1,CEILING((INT(((CROQUIS!$C$97)-CROQUIS!$C$107)/MAX(CROQUIS!$C$141,1))+1)/80,1))),1))+1))-1,0),0,MOD($A111-1,5))+1,CROQUIS!$C$98,CROQUIS!$C$98-CROQUIS!$C$107/2-CROQUIS!$C$144,IF(CROQUIS!$C$106=1,CROQUIS!$C$98+12,CROQUIS!$C$98-2),CROQUIS!$C$98-CROQUIS!$C$107/2-CROQUIS!$C$144,CROQUIS!$C$98)))*CROQUIS!$C$159)+IF(CROQUIS!$C$92="X",0.8,0)),-1000)</f>
        <v>-1000</v>
      </c>
      <c r="BY111">
        <f>IF(AND(CROQUIS!$C$88=1,CROQUIS!$C$91=0,CROQUIS!$C$141&gt;0,OR(CROQUIS!$C$106=1,CROQUIS!$C$146=1)),((CROQUIS!$C$161+(IF(CROQUIS!$C$92="X",CHOOSE(IF(INT(($A111-1)/5)&gt;MAX((MAX(1,INT(((CROQUIS!$C$97)-CROQUIS!$C$107)/MAX((CROQUIS!$C$141*MAX(1,CEILING((INT(((CROQUIS!$C$97)-CROQUIS!$C$107)/MAX(CROQUIS!$C$141,1))+1)/80,1))),1))+1))-1,0),0,MOD($A111-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ROQUIS!$C$159)+IF(CROQUIS!$C$92="X",0,0.8)),-1000)</f>
        <v>-1000</v>
      </c>
      <c r="BZ111">
        <f>IF(AND(CROQUIS!$C$88=1,CROQUIS!$C$91=1,CROQUIS!$C$133&gt;0),((CROQUIS!$C$160+(IF(CROQUIS!$C$92="X",CHOOSE(IF(INT(($A111-1)/5)&gt;MAX((MAX(1,INT(((CROQUIS!$C$98)-CROQUIS!$C$107)/MAX((CROQUIS!$C$133*MAX(1,CEILING((INT(((CROQUIS!$C$98)-CROQUIS!$C$107)/MAX(CROQUIS!$C$133,1))+1)/80,1))),1))+1))-1,0),0,MOD($A111-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CA111">
        <f>IF(AND(CROQUIS!$C$88=1,CROQUIS!$C$91=1,CROQUIS!$C$133&gt;0),((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2">
      <c r="A112" t="n">
        <v>105</v>
      </c>
      <c r="BN112">
        <f>IF(AND(CROQUIS!$C$88=1,CROQUIS!$C$129&gt;0),((CROQUIS!$C$160+(IF(CROQUIS!$C$92="X",CHOOSE(IF(INT(($A112-1)/5)&gt;MAX((MAX(1,INT(((CROQUIS!$C$98)-CROQUIS!$C$107)/MAX((CROQUIS!$C$129*MAX(1,CEILING((INT(((CROQUIS!$C$98)-CROQUIS!$C$107)/MAX(CROQUIS!$C$129,1))+1)/80,1))),1))+1))-1,0),0,MOD($A112-1,5))+1,0,2,CROQUIS!$C$97-2,2,0),((CROQUIS!$C$107/2+(((CROQUIS!$C$98)-CROQUIS!$C$107)-(MAX(1,INT(((CROQUIS!$C$98)-CROQUIS!$C$107)/MAX((CROQUIS!$C$129*MAX(1,CEILING((INT(((CROQUIS!$C$98)-CROQUIS!$C$107)/MAX(CROQUIS!$C$129,1))+1)/80,1))),1))+1)-1)*(CROQUIS!$C$129*MAX(1,CEILING((INT(((CROQUIS!$C$98)-CROQUIS!$C$107)/MAX(CROQUIS!$C$129,1))+1)/80,1))))/2)+MIN(INT(($A112-1)/5),MAX((MAX(1,INT(((CROQUIS!$C$98)-CROQUIS!$C$107)/MAX((CROQUIS!$C$129*MAX(1,CEILING((INT(((CROQUIS!$C$98)-CROQUIS!$C$107)/MAX(CROQUIS!$C$129,1))+1)/80,1))),1))+1))-1,0))*(CROQUIS!$C$129*MAX(1,CEILING((INT(((CROQUIS!$C$98)-CROQUIS!$C$107)/MAX(CROQUIS!$C$129,1))+1)/80,1))))))*CROQUIS!$C$159)+IF(CROQUIS!$C$92="X",0,0)),-1000)</f>
        <v>-1000</v>
      </c>
      <c r="BO112">
        <f>IF(AND(CROQUIS!$C$88=1,CROQUIS!$C$129&gt;0),((CROQUIS!$C$161+(IF(CROQUIS!$C$92="X",((CROQUIS!$C$107/2+(((CROQUIS!$C$98)-CROQUIS!$C$107)-(MAX(1,INT(((CROQUIS!$C$98)-CROQUIS!$C$107)/MAX((CROQUIS!$C$129*MAX(1,CEILING((INT(((CROQUIS!$C$98)-CROQUIS!$C$107)/MAX(CROQUIS!$C$129,1))+1)/80,1))),1))+1)-1)*(CROQUIS!$C$129*MAX(1,CEILING((INT(((CROQUIS!$C$98)-CROQUIS!$C$107)/MAX(CROQUIS!$C$129,1))+1)/80,1))))/2)+MIN(INT(($A112-1)/5),MAX((MAX(1,INT(((CROQUIS!$C$98)-CROQUIS!$C$107)/MAX((CROQUIS!$C$129*MAX(1,CEILING((INT(((CROQUIS!$C$98)-CROQUIS!$C$107)/MAX(CROQUIS!$C$129,1))+1)/80,1))),1))+1))-1,0))*(CROQUIS!$C$129*MAX(1,CEILING((INT(((CROQUIS!$C$98)-CROQUIS!$C$107)/MAX(CROQUIS!$C$129,1))+1)/80,1)))),CHOOSE(IF(INT(($A112-1)/5)&gt;MAX((MAX(1,INT(((CROQUIS!$C$98)-CROQUIS!$C$107)/MAX((CROQUIS!$C$129*MAX(1,CEILING((INT(((CROQUIS!$C$98)-CROQUIS!$C$107)/MAX(CROQUIS!$C$129,1))+1)/80,1))),1))+1))-1,0),0,MOD($A112-1,5))+1,0,2,CROQUIS!$C$97-2,2,0)))*CROQUIS!$C$159)+IF(CROQUIS!$C$92="X",0,0)),-1000)</f>
        <v>-1000</v>
      </c>
      <c r="BP112">
        <f>IF(AND(CROQUIS!$C$88=1,CROQUIS!$C$137&gt;0),((CROQUIS!$C$160+(IF(CROQUIS!$C$92="X",((CROQUIS!$C$107/2+(((CROQUIS!$C$97)-CROQUIS!$C$107)-(MAX(1,INT(((CROQUIS!$C$97)-CROQUIS!$C$107)/MAX((CROQUIS!$C$137*MAX(1,CEILING((INT(((CROQUIS!$C$97)-CROQUIS!$C$107)/MAX(CROQUIS!$C$137,1))+1)/80,1))),1))+1)-1)*(CROQUIS!$C$137*MAX(1,CEILING((INT(((CROQUIS!$C$97)-CROQUIS!$C$107)/MAX(CROQUIS!$C$137,1))+1)/80,1))))/2)+MIN(INT(($A112-1)/5),MAX((MAX(1,INT(((CROQUIS!$C$97)-CROQUIS!$C$107)/MAX((CROQUIS!$C$137*MAX(1,CEILING((INT(((CROQUIS!$C$97)-CROQUIS!$C$107)/MAX(CROQUIS!$C$137,1))+1)/80,1))),1))+1))-1,0))*(CROQUIS!$C$137*MAX(1,CEILING((INT(((CROQUIS!$C$97)-CROQUIS!$C$107)/MAX(CROQUIS!$C$137,1))+1)/80,1)))),CHOOSE(IF(INT(($A112-1)/5)&gt;MAX((MAX(1,INT(((CROQUIS!$C$97)-CROQUIS!$C$107)/MAX((CROQUIS!$C$137*MAX(1,CEILING((INT(((CROQUIS!$C$97)-CROQUIS!$C$107)/MAX(CROQUIS!$C$137,1))+1)/80,1))),1))+1))-1,0),0,MOD($A112-1,5))+1,0,2,CROQUIS!$C$98-2,2,0)))*CROQUIS!$C$159)+IF(CROQUIS!$C$92="X",0,0)),-1000)</f>
        <v>-1000</v>
      </c>
      <c r="BQ112">
        <f>IF(AND(CROQUIS!$C$88=1,CROQUIS!$C$137&gt;0),((CROQUIS!$C$161+(IF(CROQUIS!$C$92="X",CHOOSE(IF(INT(($A112-1)/5)&gt;MAX((MAX(1,INT(((CROQUIS!$C$97)-CROQUIS!$C$107)/MAX((CROQUIS!$C$137*MAX(1,CEILING((INT(((CROQUIS!$C$97)-CROQUIS!$C$107)/MAX(CROQUIS!$C$137,1))+1)/80,1))),1))+1))-1,0),0,MOD($A112-1,5))+1,0,2,CROQUIS!$C$98-2,2,0),((CROQUIS!$C$107/2+(((CROQUIS!$C$97)-CROQUIS!$C$107)-(MAX(1,INT(((CROQUIS!$C$97)-CROQUIS!$C$107)/MAX((CROQUIS!$C$137*MAX(1,CEILING((INT(((CROQUIS!$C$97)-CROQUIS!$C$107)/MAX(CROQUIS!$C$137,1))+1)/80,1))),1))+1)-1)*(CROQUIS!$C$137*MAX(1,CEILING((INT(((CROQUIS!$C$97)-CROQUIS!$C$107)/MAX(CROQUIS!$C$137,1))+1)/80,1))))/2)+MIN(INT(($A112-1)/5),MAX((MAX(1,INT(((CROQUIS!$C$97)-CROQUIS!$C$107)/MAX((CROQUIS!$C$137*MAX(1,CEILING((INT(((CROQUIS!$C$97)-CROQUIS!$C$107)/MAX(CROQUIS!$C$137,1))+1)/80,1))),1))+1))-1,0))*(CROQUIS!$C$137*MAX(1,CEILING((INT(((CROQUIS!$C$97)-CROQUIS!$C$107)/MAX(CROQUIS!$C$137,1))+1)/80,1))))))*CROQUIS!$C$159)+IF(CROQUIS!$C$92="X",0,0)),-1000)</f>
        <v>-1000</v>
      </c>
      <c r="BR112">
        <f>IF(AND(CROQUIS!$C$88=1,CROQUIS!$C$91=0,CROQUIS!$C$133&gt;0,OR(CROQUIS!$C$103=1,CROQUIS!$C$145=1)),((CROQUIS!$C$160+(IF(CROQUIS!$C$92="X",CHOOSE(IF(INT(($A112-1)/5)&gt;MAX((MAX(1,INT(((CROQUIS!$C$98)-CROQUIS!$C$107)/MAX((CROQUIS!$C$133*MAX(1,CEILING((INT(((CROQUIS!$C$98)-CROQUIS!$C$107)/MAX(CROQUIS!$C$133,1))+1)/80,1))),1))+1))-1,0),0,MOD($A112-1,5))+1,0,IF(CROQUIS!$C$103=1,-12,2),CROQUIS!$C$107/2+CROQUIS!$C$143,IF(CROQUIS!$C$103=1,-12,2),0),((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BS1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+1,0,IF(CROQUIS!$C$103=1,-12,2),CROQUIS!$C$107/2+CROQUIS!$C$143,IF(CROQUIS!$C$103=1,-12,2),0)))*CROQUIS!$C$159)+IF(CROQUIS!$C$92="X",0.8,0)),-1000)</f>
        <v>-1000</v>
      </c>
      <c r="BT112">
        <f>IF(AND(CROQUIS!$C$88=1,CROQUIS!$C$91=0,CROQUIS!$C$133&gt;0,OR(CROQUIS!$C$104=1,CROQUIS!$C$145=1)),((CROQUIS!$C$160+(IF(CROQUIS!$C$92="X",CHOOSE(IF(INT(($A112-1)/5)&gt;MAX((MAX(1,INT(((CROQUIS!$C$98)-CROQUIS!$C$107)/MAX((CROQUIS!$C$133*MAX(1,CEILING((INT(((CROQUIS!$C$98)-CROQUIS!$C$107)/MAX(CROQUIS!$C$133,1))+1)/80,1))),1))+1))-1,0),0,MOD($A112-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BU1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CROQUIS!$C$97,CROQUIS!$C$97-CROQUIS!$C$107/2-CROQUIS!$C$143,IF(CROQUIS!$C$104=1,CROQUIS!$C$97+12,CROQUIS!$C$97-2),CROQUIS!$C$97-CROQUIS!$C$107/2-CROQUIS!$C$143,CROQUIS!$C$97)))*CROQUIS!$C$159)+IF(CROQUIS!$C$92="X",0.8,0)),-1000)</f>
        <v>-1000</v>
      </c>
      <c r="BV1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HOOSE(IF(INT(($A112-1)/5)&gt;MAX((MAX(1,INT(((CROQUIS!$C$97)-CROQUIS!$C$107)/MAX((CROQUIS!$C$141*MAX(1,CEILING((INT(((CROQUIS!$C$97)-CROQUIS!$C$107)/MAX(CROQUIS!$C$141,1))+1)/80,1))),1))+1))-1,0),0,MOD($A112-1,5))+1,0,IF(CROQUIS!$C$105=1,-12,2),CROQUIS!$C$107/2+CROQUIS!$C$144,IF(CROQUIS!$C$105=1,-12,2),0)))*CROQUIS!$C$159)+IF(CROQUIS!$C$92="X",0.8,0)),-1000)</f>
        <v>-1000</v>
      </c>
      <c r="BW112">
        <f>IF(AND(CROQUIS!$C$88=1,CROQUIS!$C$91=0,CROQUIS!$C$141&gt;0,OR(CROQUIS!$C$105=1,CROQUIS!$C$146=1)),((CROQUIS!$C$161+(IF(CROQUIS!$C$92="X",CHOOSE(IF(INT(($A112-1)/5)&gt;MAX((MAX(1,INT(((CROQUIS!$C$97)-CROQUIS!$C$107)/MAX((CROQUIS!$C$141*MAX(1,CEILING((INT(((CROQUIS!$C$97)-CROQUIS!$C$107)/MAX(CROQUIS!$C$141,1))+1)/80,1))),1))+1))-1,0),0,MOD($A112-1,5))+1,0,IF(CROQUIS!$C$105=1,-12,2),CROQUIS!$C$107/2+CROQUIS!$C$144,IF(CROQUIS!$C$105=1,-12,2),0),((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ROQUIS!$C$159)+IF(CROQUIS!$C$92="X",0,0.8)),-1000)</f>
        <v>-1000</v>
      </c>
      <c r="BX1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HOOSE(IF(INT(($A112-1)/5)&gt;MAX((MAX(1,INT(((CROQUIS!$C$97)-CROQUIS!$C$107)/MAX((CROQUIS!$C$141*MAX(1,CEILING((INT(((CROQUIS!$C$97)-CROQUIS!$C$107)/MAX(CROQUIS!$C$141,1))+1)/80,1))),1))+1))-1,0),0,MOD($A112-1,5))+1,CROQUIS!$C$98,CROQUIS!$C$98-CROQUIS!$C$107/2-CROQUIS!$C$144,IF(CROQUIS!$C$106=1,CROQUIS!$C$98+12,CROQUIS!$C$98-2),CROQUIS!$C$98-CROQUIS!$C$107/2-CROQUIS!$C$144,CROQUIS!$C$98)))*CROQUIS!$C$159)+IF(CROQUIS!$C$92="X",0.8,0)),-1000)</f>
        <v>-1000</v>
      </c>
      <c r="BY112">
        <f>IF(AND(CROQUIS!$C$88=1,CROQUIS!$C$91=0,CROQUIS!$C$141&gt;0,OR(CROQUIS!$C$106=1,CROQUIS!$C$146=1)),((CROQUIS!$C$161+(IF(CROQUIS!$C$92="X",CHOOSE(IF(INT(($A112-1)/5)&gt;MAX((MAX(1,INT(((CROQUIS!$C$97)-CROQUIS!$C$107)/MAX((CROQUIS!$C$141*MAX(1,CEILING((INT(((CROQUIS!$C$97)-CROQUIS!$C$107)/MAX(CROQUIS!$C$141,1))+1)/80,1))),1))+1))-1,0),0,MOD($A112-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ROQUIS!$C$159)+IF(CROQUIS!$C$92="X",0,0.8)),-1000)</f>
        <v>-1000</v>
      </c>
      <c r="BZ112">
        <f>IF(AND(CROQUIS!$C$88=1,CROQUIS!$C$91=1,CROQUIS!$C$133&gt;0),((CROQUIS!$C$160+(IF(CROQUIS!$C$92="X",CHOOSE(IF(INT(($A112-1)/5)&gt;MAX((MAX(1,INT(((CROQUIS!$C$98)-CROQUIS!$C$107)/MAX((CROQUIS!$C$133*MAX(1,CEILING((INT(((CROQUIS!$C$98)-CROQUIS!$C$107)/MAX(CROQUIS!$C$133,1))+1)/80,1))),1))+1))-1,0),0,MOD($A112-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CA112">
        <f>IF(AND(CROQUIS!$C$88=1,CROQUIS!$C$91=1,CROQUIS!$C$133&gt;0),((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3">
      <c r="A113" t="n">
        <v>106</v>
      </c>
      <c r="BN113">
        <f>IF(AND(CROQUIS!$C$88=1,CROQUIS!$C$129&gt;0),((CROQUIS!$C$160+(IF(CROQUIS!$C$92="X",CHOOSE(IF(INT(($A113-1)/5)&gt;MAX((MAX(1,INT(((CROQUIS!$C$98)-CROQUIS!$C$107)/MAX((CROQUIS!$C$129*MAX(1,CEILING((INT(((CROQUIS!$C$98)-CROQUIS!$C$107)/MAX(CROQUIS!$C$129,1))+1)/80,1))),1))+1))-1,0),0,MOD($A113-1,5))+1,0,2,CROQUIS!$C$97-2,2,0),((CROQUIS!$C$107/2+(((CROQUIS!$C$98)-CROQUIS!$C$107)-(MAX(1,INT(((CROQUIS!$C$98)-CROQUIS!$C$107)/MAX((CROQUIS!$C$129*MAX(1,CEILING((INT(((CROQUIS!$C$98)-CROQUIS!$C$107)/MAX(CROQUIS!$C$129,1))+1)/80,1))),1))+1)-1)*(CROQUIS!$C$129*MAX(1,CEILING((INT(((CROQUIS!$C$98)-CROQUIS!$C$107)/MAX(CROQUIS!$C$129,1))+1)/80,1))))/2)+MIN(INT(($A113-1)/5),MAX((MAX(1,INT(((CROQUIS!$C$98)-CROQUIS!$C$107)/MAX((CROQUIS!$C$129*MAX(1,CEILING((INT(((CROQUIS!$C$98)-CROQUIS!$C$107)/MAX(CROQUIS!$C$129,1))+1)/80,1))),1))+1))-1,0))*(CROQUIS!$C$129*MAX(1,CEILING((INT(((CROQUIS!$C$98)-CROQUIS!$C$107)/MAX(CROQUIS!$C$129,1))+1)/80,1))))))*CROQUIS!$C$159)+IF(CROQUIS!$C$92="X",0,0)),-1000)</f>
        <v>-1000</v>
      </c>
      <c r="BO113">
        <f>IF(AND(CROQUIS!$C$88=1,CROQUIS!$C$129&gt;0),((CROQUIS!$C$161+(IF(CROQUIS!$C$92="X",((CROQUIS!$C$107/2+(((CROQUIS!$C$98)-CROQUIS!$C$107)-(MAX(1,INT(((CROQUIS!$C$98)-CROQUIS!$C$107)/MAX((CROQUIS!$C$129*MAX(1,CEILING((INT(((CROQUIS!$C$98)-CROQUIS!$C$107)/MAX(CROQUIS!$C$129,1))+1)/80,1))),1))+1)-1)*(CROQUIS!$C$129*MAX(1,CEILING((INT(((CROQUIS!$C$98)-CROQUIS!$C$107)/MAX(CROQUIS!$C$129,1))+1)/80,1))))/2)+MIN(INT(($A113-1)/5),MAX((MAX(1,INT(((CROQUIS!$C$98)-CROQUIS!$C$107)/MAX((CROQUIS!$C$129*MAX(1,CEILING((INT(((CROQUIS!$C$98)-CROQUIS!$C$107)/MAX(CROQUIS!$C$129,1))+1)/80,1))),1))+1))-1,0))*(CROQUIS!$C$129*MAX(1,CEILING((INT(((CROQUIS!$C$98)-CROQUIS!$C$107)/MAX(CROQUIS!$C$129,1))+1)/80,1)))),CHOOSE(IF(INT(($A113-1)/5)&gt;MAX((MAX(1,INT(((CROQUIS!$C$98)-CROQUIS!$C$107)/MAX((CROQUIS!$C$129*MAX(1,CEILING((INT(((CROQUIS!$C$98)-CROQUIS!$C$107)/MAX(CROQUIS!$C$129,1))+1)/80,1))),1))+1))-1,0),0,MOD($A113-1,5))+1,0,2,CROQUIS!$C$97-2,2,0)))*CROQUIS!$C$159)+IF(CROQUIS!$C$92="X",0,0)),-1000)</f>
        <v>-1000</v>
      </c>
      <c r="BP113">
        <f>IF(AND(CROQUIS!$C$88=1,CROQUIS!$C$137&gt;0),((CROQUIS!$C$160+(IF(CROQUIS!$C$92="X",((CROQUIS!$C$107/2+(((CROQUIS!$C$97)-CROQUIS!$C$107)-(MAX(1,INT(((CROQUIS!$C$97)-CROQUIS!$C$107)/MAX((CROQUIS!$C$137*MAX(1,CEILING((INT(((CROQUIS!$C$97)-CROQUIS!$C$107)/MAX(CROQUIS!$C$137,1))+1)/80,1))),1))+1)-1)*(CROQUIS!$C$137*MAX(1,CEILING((INT(((CROQUIS!$C$97)-CROQUIS!$C$107)/MAX(CROQUIS!$C$137,1))+1)/80,1))))/2)+MIN(INT(($A113-1)/5),MAX((MAX(1,INT(((CROQUIS!$C$97)-CROQUIS!$C$107)/MAX((CROQUIS!$C$137*MAX(1,CEILING((INT(((CROQUIS!$C$97)-CROQUIS!$C$107)/MAX(CROQUIS!$C$137,1))+1)/80,1))),1))+1))-1,0))*(CROQUIS!$C$137*MAX(1,CEILING((INT(((CROQUIS!$C$97)-CROQUIS!$C$107)/MAX(CROQUIS!$C$137,1))+1)/80,1)))),CHOOSE(IF(INT(($A113-1)/5)&gt;MAX((MAX(1,INT(((CROQUIS!$C$97)-CROQUIS!$C$107)/MAX((CROQUIS!$C$137*MAX(1,CEILING((INT(((CROQUIS!$C$97)-CROQUIS!$C$107)/MAX(CROQUIS!$C$137,1))+1)/80,1))),1))+1))-1,0),0,MOD($A113-1,5))+1,0,2,CROQUIS!$C$98-2,2,0)))*CROQUIS!$C$159)+IF(CROQUIS!$C$92="X",0,0)),-1000)</f>
        <v>-1000</v>
      </c>
      <c r="BQ113">
        <f>IF(AND(CROQUIS!$C$88=1,CROQUIS!$C$137&gt;0),((CROQUIS!$C$161+(IF(CROQUIS!$C$92="X",CHOOSE(IF(INT(($A113-1)/5)&gt;MAX((MAX(1,INT(((CROQUIS!$C$97)-CROQUIS!$C$107)/MAX((CROQUIS!$C$137*MAX(1,CEILING((INT(((CROQUIS!$C$97)-CROQUIS!$C$107)/MAX(CROQUIS!$C$137,1))+1)/80,1))),1))+1))-1,0),0,MOD($A113-1,5))+1,0,2,CROQUIS!$C$98-2,2,0),((CROQUIS!$C$107/2+(((CROQUIS!$C$97)-CROQUIS!$C$107)-(MAX(1,INT(((CROQUIS!$C$97)-CROQUIS!$C$107)/MAX((CROQUIS!$C$137*MAX(1,CEILING((INT(((CROQUIS!$C$97)-CROQUIS!$C$107)/MAX(CROQUIS!$C$137,1))+1)/80,1))),1))+1)-1)*(CROQUIS!$C$137*MAX(1,CEILING((INT(((CROQUIS!$C$97)-CROQUIS!$C$107)/MAX(CROQUIS!$C$137,1))+1)/80,1))))/2)+MIN(INT(($A113-1)/5),MAX((MAX(1,INT(((CROQUIS!$C$97)-CROQUIS!$C$107)/MAX((CROQUIS!$C$137*MAX(1,CEILING((INT(((CROQUIS!$C$97)-CROQUIS!$C$107)/MAX(CROQUIS!$C$137,1))+1)/80,1))),1))+1))-1,0))*(CROQUIS!$C$137*MAX(1,CEILING((INT(((CROQUIS!$C$97)-CROQUIS!$C$107)/MAX(CROQUIS!$C$137,1))+1)/80,1))))))*CROQUIS!$C$159)+IF(CROQUIS!$C$92="X",0,0)),-1000)</f>
        <v>-1000</v>
      </c>
      <c r="BR113">
        <f>IF(AND(CROQUIS!$C$88=1,CROQUIS!$C$91=0,CROQUIS!$C$133&gt;0,OR(CROQUIS!$C$103=1,CROQUIS!$C$145=1)),((CROQUIS!$C$160+(IF(CROQUIS!$C$92="X",CHOOSE(IF(INT(($A113-1)/5)&gt;MAX((MAX(1,INT(((CROQUIS!$C$98)-CROQUIS!$C$107)/MAX((CROQUIS!$C$133*MAX(1,CEILING((INT(((CROQUIS!$C$98)-CROQUIS!$C$107)/MAX(CROQUIS!$C$133,1))+1)/80,1))),1))+1))-1,0),0,MOD($A113-1,5))+1,0,IF(CROQUIS!$C$103=1,-12,2),CROQUIS!$C$107/2+CROQUIS!$C$143,IF(CROQUIS!$C$103=1,-12,2),0),((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BS1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+1,0,IF(CROQUIS!$C$103=1,-12,2),CROQUIS!$C$107/2+CROQUIS!$C$143,IF(CROQUIS!$C$103=1,-12,2),0)))*CROQUIS!$C$159)+IF(CROQUIS!$C$92="X",0.8,0)),-1000)</f>
        <v>-1000</v>
      </c>
      <c r="BT113">
        <f>IF(AND(CROQUIS!$C$88=1,CROQUIS!$C$91=0,CROQUIS!$C$133&gt;0,OR(CROQUIS!$C$104=1,CROQUIS!$C$145=1)),((CROQUIS!$C$160+(IF(CROQUIS!$C$92="X",CHOOSE(IF(INT(($A113-1)/5)&gt;MAX((MAX(1,INT(((CROQUIS!$C$98)-CROQUIS!$C$107)/MAX((CROQUIS!$C$133*MAX(1,CEILING((INT(((CROQUIS!$C$98)-CROQUIS!$C$107)/MAX(CROQUIS!$C$133,1))+1)/80,1))),1))+1))-1,0),0,MOD($A113-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BU1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CROQUIS!$C$97,CROQUIS!$C$97-CROQUIS!$C$107/2-CROQUIS!$C$143,IF(CROQUIS!$C$104=1,CROQUIS!$C$97+12,CROQUIS!$C$97-2),CROQUIS!$C$97-CROQUIS!$C$107/2-CROQUIS!$C$143,CROQUIS!$C$97)))*CROQUIS!$C$159)+IF(CROQUIS!$C$92="X",0.8,0)),-1000)</f>
        <v>-1000</v>
      </c>
      <c r="BV1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HOOSE(IF(INT(($A113-1)/5)&gt;MAX((MAX(1,INT(((CROQUIS!$C$97)-CROQUIS!$C$107)/MAX((CROQUIS!$C$141*MAX(1,CEILING((INT(((CROQUIS!$C$97)-CROQUIS!$C$107)/MAX(CROQUIS!$C$141,1))+1)/80,1))),1))+1))-1,0),0,MOD($A113-1,5))+1,0,IF(CROQUIS!$C$105=1,-12,2),CROQUIS!$C$107/2+CROQUIS!$C$144,IF(CROQUIS!$C$105=1,-12,2),0)))*CROQUIS!$C$159)+IF(CROQUIS!$C$92="X",0.8,0)),-1000)</f>
        <v>-1000</v>
      </c>
      <c r="BW113">
        <f>IF(AND(CROQUIS!$C$88=1,CROQUIS!$C$91=0,CROQUIS!$C$141&gt;0,OR(CROQUIS!$C$105=1,CROQUIS!$C$146=1)),((CROQUIS!$C$161+(IF(CROQUIS!$C$92="X",CHOOSE(IF(INT(($A113-1)/5)&gt;MAX((MAX(1,INT(((CROQUIS!$C$97)-CROQUIS!$C$107)/MAX((CROQUIS!$C$141*MAX(1,CEILING((INT(((CROQUIS!$C$97)-CROQUIS!$C$107)/MAX(CROQUIS!$C$141,1))+1)/80,1))),1))+1))-1,0),0,MOD($A113-1,5))+1,0,IF(CROQUIS!$C$105=1,-12,2),CROQUIS!$C$107/2+CROQUIS!$C$144,IF(CROQUIS!$C$105=1,-12,2),0),((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ROQUIS!$C$159)+IF(CROQUIS!$C$92="X",0,0.8)),-1000)</f>
        <v>-1000</v>
      </c>
      <c r="BX1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HOOSE(IF(INT(($A113-1)/5)&gt;MAX((MAX(1,INT(((CROQUIS!$C$97)-CROQUIS!$C$107)/MAX((CROQUIS!$C$141*MAX(1,CEILING((INT(((CROQUIS!$C$97)-CROQUIS!$C$107)/MAX(CROQUIS!$C$141,1))+1)/80,1))),1))+1))-1,0),0,MOD($A113-1,5))+1,CROQUIS!$C$98,CROQUIS!$C$98-CROQUIS!$C$107/2-CROQUIS!$C$144,IF(CROQUIS!$C$106=1,CROQUIS!$C$98+12,CROQUIS!$C$98-2),CROQUIS!$C$98-CROQUIS!$C$107/2-CROQUIS!$C$144,CROQUIS!$C$98)))*CROQUIS!$C$159)+IF(CROQUIS!$C$92="X",0.8,0)),-1000)</f>
        <v>-1000</v>
      </c>
      <c r="BY113">
        <f>IF(AND(CROQUIS!$C$88=1,CROQUIS!$C$91=0,CROQUIS!$C$141&gt;0,OR(CROQUIS!$C$106=1,CROQUIS!$C$146=1)),((CROQUIS!$C$161+(IF(CROQUIS!$C$92="X",CHOOSE(IF(INT(($A113-1)/5)&gt;MAX((MAX(1,INT(((CROQUIS!$C$97)-CROQUIS!$C$107)/MAX((CROQUIS!$C$141*MAX(1,CEILING((INT(((CROQUIS!$C$97)-CROQUIS!$C$107)/MAX(CROQUIS!$C$141,1))+1)/80,1))),1))+1))-1,0),0,MOD($A113-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ROQUIS!$C$159)+IF(CROQUIS!$C$92="X",0,0.8)),-1000)</f>
        <v>-1000</v>
      </c>
      <c r="BZ113">
        <f>IF(AND(CROQUIS!$C$88=1,CROQUIS!$C$91=1,CROQUIS!$C$133&gt;0),((CROQUIS!$C$160+(IF(CROQUIS!$C$92="X",CHOOSE(IF(INT(($A113-1)/5)&gt;MAX((MAX(1,INT(((CROQUIS!$C$98)-CROQUIS!$C$107)/MAX((CROQUIS!$C$133*MAX(1,CEILING((INT(((CROQUIS!$C$98)-CROQUIS!$C$107)/MAX(CROQUIS!$C$133,1))+1)/80,1))),1))+1))-1,0),0,MOD($A113-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CA113">
        <f>IF(AND(CROQUIS!$C$88=1,CROQUIS!$C$91=1,CROQUIS!$C$133&gt;0),((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4">
      <c r="A114" t="n">
        <v>107</v>
      </c>
      <c r="BN114">
        <f>IF(AND(CROQUIS!$C$88=1,CROQUIS!$C$129&gt;0),((CROQUIS!$C$160+(IF(CROQUIS!$C$92="X",CHOOSE(IF(INT(($A114-1)/5)&gt;MAX((MAX(1,INT(((CROQUIS!$C$98)-CROQUIS!$C$107)/MAX((CROQUIS!$C$129*MAX(1,CEILING((INT(((CROQUIS!$C$98)-CROQUIS!$C$107)/MAX(CROQUIS!$C$129,1))+1)/80,1))),1))+1))-1,0),0,MOD($A114-1,5))+1,0,2,CROQUIS!$C$97-2,2,0),((CROQUIS!$C$107/2+(((CROQUIS!$C$98)-CROQUIS!$C$107)-(MAX(1,INT(((CROQUIS!$C$98)-CROQUIS!$C$107)/MAX((CROQUIS!$C$129*MAX(1,CEILING((INT(((CROQUIS!$C$98)-CROQUIS!$C$107)/MAX(CROQUIS!$C$129,1))+1)/80,1))),1))+1)-1)*(CROQUIS!$C$129*MAX(1,CEILING((INT(((CROQUIS!$C$98)-CROQUIS!$C$107)/MAX(CROQUIS!$C$129,1))+1)/80,1))))/2)+MIN(INT(($A114-1)/5),MAX((MAX(1,INT(((CROQUIS!$C$98)-CROQUIS!$C$107)/MAX((CROQUIS!$C$129*MAX(1,CEILING((INT(((CROQUIS!$C$98)-CROQUIS!$C$107)/MAX(CROQUIS!$C$129,1))+1)/80,1))),1))+1))-1,0))*(CROQUIS!$C$129*MAX(1,CEILING((INT(((CROQUIS!$C$98)-CROQUIS!$C$107)/MAX(CROQUIS!$C$129,1))+1)/80,1))))))*CROQUIS!$C$159)+IF(CROQUIS!$C$92="X",0,0)),-1000)</f>
        <v>-1000</v>
      </c>
      <c r="BO114">
        <f>IF(AND(CROQUIS!$C$88=1,CROQUIS!$C$129&gt;0),((CROQUIS!$C$161+(IF(CROQUIS!$C$92="X",((CROQUIS!$C$107/2+(((CROQUIS!$C$98)-CROQUIS!$C$107)-(MAX(1,INT(((CROQUIS!$C$98)-CROQUIS!$C$107)/MAX((CROQUIS!$C$129*MAX(1,CEILING((INT(((CROQUIS!$C$98)-CROQUIS!$C$107)/MAX(CROQUIS!$C$129,1))+1)/80,1))),1))+1)-1)*(CROQUIS!$C$129*MAX(1,CEILING((INT(((CROQUIS!$C$98)-CROQUIS!$C$107)/MAX(CROQUIS!$C$129,1))+1)/80,1))))/2)+MIN(INT(($A114-1)/5),MAX((MAX(1,INT(((CROQUIS!$C$98)-CROQUIS!$C$107)/MAX((CROQUIS!$C$129*MAX(1,CEILING((INT(((CROQUIS!$C$98)-CROQUIS!$C$107)/MAX(CROQUIS!$C$129,1))+1)/80,1))),1))+1))-1,0))*(CROQUIS!$C$129*MAX(1,CEILING((INT(((CROQUIS!$C$98)-CROQUIS!$C$107)/MAX(CROQUIS!$C$129,1))+1)/80,1)))),CHOOSE(IF(INT(($A114-1)/5)&gt;MAX((MAX(1,INT(((CROQUIS!$C$98)-CROQUIS!$C$107)/MAX((CROQUIS!$C$129*MAX(1,CEILING((INT(((CROQUIS!$C$98)-CROQUIS!$C$107)/MAX(CROQUIS!$C$129,1))+1)/80,1))),1))+1))-1,0),0,MOD($A114-1,5))+1,0,2,CROQUIS!$C$97-2,2,0)))*CROQUIS!$C$159)+IF(CROQUIS!$C$92="X",0,0)),-1000)</f>
        <v>-1000</v>
      </c>
      <c r="BP114">
        <f>IF(AND(CROQUIS!$C$88=1,CROQUIS!$C$137&gt;0),((CROQUIS!$C$160+(IF(CROQUIS!$C$92="X",((CROQUIS!$C$107/2+(((CROQUIS!$C$97)-CROQUIS!$C$107)-(MAX(1,INT(((CROQUIS!$C$97)-CROQUIS!$C$107)/MAX((CROQUIS!$C$137*MAX(1,CEILING((INT(((CROQUIS!$C$97)-CROQUIS!$C$107)/MAX(CROQUIS!$C$137,1))+1)/80,1))),1))+1)-1)*(CROQUIS!$C$137*MAX(1,CEILING((INT(((CROQUIS!$C$97)-CROQUIS!$C$107)/MAX(CROQUIS!$C$137,1))+1)/80,1))))/2)+MIN(INT(($A114-1)/5),MAX((MAX(1,INT(((CROQUIS!$C$97)-CROQUIS!$C$107)/MAX((CROQUIS!$C$137*MAX(1,CEILING((INT(((CROQUIS!$C$97)-CROQUIS!$C$107)/MAX(CROQUIS!$C$137,1))+1)/80,1))),1))+1))-1,0))*(CROQUIS!$C$137*MAX(1,CEILING((INT(((CROQUIS!$C$97)-CROQUIS!$C$107)/MAX(CROQUIS!$C$137,1))+1)/80,1)))),CHOOSE(IF(INT(($A114-1)/5)&gt;MAX((MAX(1,INT(((CROQUIS!$C$97)-CROQUIS!$C$107)/MAX((CROQUIS!$C$137*MAX(1,CEILING((INT(((CROQUIS!$C$97)-CROQUIS!$C$107)/MAX(CROQUIS!$C$137,1))+1)/80,1))),1))+1))-1,0),0,MOD($A114-1,5))+1,0,2,CROQUIS!$C$98-2,2,0)))*CROQUIS!$C$159)+IF(CROQUIS!$C$92="X",0,0)),-1000)</f>
        <v>-1000</v>
      </c>
      <c r="BQ114">
        <f>IF(AND(CROQUIS!$C$88=1,CROQUIS!$C$137&gt;0),((CROQUIS!$C$161+(IF(CROQUIS!$C$92="X",CHOOSE(IF(INT(($A114-1)/5)&gt;MAX((MAX(1,INT(((CROQUIS!$C$97)-CROQUIS!$C$107)/MAX((CROQUIS!$C$137*MAX(1,CEILING((INT(((CROQUIS!$C$97)-CROQUIS!$C$107)/MAX(CROQUIS!$C$137,1))+1)/80,1))),1))+1))-1,0),0,MOD($A114-1,5))+1,0,2,CROQUIS!$C$98-2,2,0),((CROQUIS!$C$107/2+(((CROQUIS!$C$97)-CROQUIS!$C$107)-(MAX(1,INT(((CROQUIS!$C$97)-CROQUIS!$C$107)/MAX((CROQUIS!$C$137*MAX(1,CEILING((INT(((CROQUIS!$C$97)-CROQUIS!$C$107)/MAX(CROQUIS!$C$137,1))+1)/80,1))),1))+1)-1)*(CROQUIS!$C$137*MAX(1,CEILING((INT(((CROQUIS!$C$97)-CROQUIS!$C$107)/MAX(CROQUIS!$C$137,1))+1)/80,1))))/2)+MIN(INT(($A114-1)/5),MAX((MAX(1,INT(((CROQUIS!$C$97)-CROQUIS!$C$107)/MAX((CROQUIS!$C$137*MAX(1,CEILING((INT(((CROQUIS!$C$97)-CROQUIS!$C$107)/MAX(CROQUIS!$C$137,1))+1)/80,1))),1))+1))-1,0))*(CROQUIS!$C$137*MAX(1,CEILING((INT(((CROQUIS!$C$97)-CROQUIS!$C$107)/MAX(CROQUIS!$C$137,1))+1)/80,1))))))*CROQUIS!$C$159)+IF(CROQUIS!$C$92="X",0,0)),-1000)</f>
        <v>-1000</v>
      </c>
      <c r="BR114">
        <f>IF(AND(CROQUIS!$C$88=1,CROQUIS!$C$91=0,CROQUIS!$C$133&gt;0,OR(CROQUIS!$C$103=1,CROQUIS!$C$145=1)),((CROQUIS!$C$160+(IF(CROQUIS!$C$92="X",CHOOSE(IF(INT(($A114-1)/5)&gt;MAX((MAX(1,INT(((CROQUIS!$C$98)-CROQUIS!$C$107)/MAX((CROQUIS!$C$133*MAX(1,CEILING((INT(((CROQUIS!$C$98)-CROQUIS!$C$107)/MAX(CROQUIS!$C$133,1))+1)/80,1))),1))+1))-1,0),0,MOD($A114-1,5))+1,0,IF(CROQUIS!$C$103=1,-12,2),CROQUIS!$C$107/2+CROQUIS!$C$143,IF(CROQUIS!$C$103=1,-12,2),0),((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BS1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+1,0,IF(CROQUIS!$C$103=1,-12,2),CROQUIS!$C$107/2+CROQUIS!$C$143,IF(CROQUIS!$C$103=1,-12,2),0)))*CROQUIS!$C$159)+IF(CROQUIS!$C$92="X",0.8,0)),-1000)</f>
        <v>-1000</v>
      </c>
      <c r="BT114">
        <f>IF(AND(CROQUIS!$C$88=1,CROQUIS!$C$91=0,CROQUIS!$C$133&gt;0,OR(CROQUIS!$C$104=1,CROQUIS!$C$145=1)),((CROQUIS!$C$160+(IF(CROQUIS!$C$92="X",CHOOSE(IF(INT(($A114-1)/5)&gt;MAX((MAX(1,INT(((CROQUIS!$C$98)-CROQUIS!$C$107)/MAX((CROQUIS!$C$133*MAX(1,CEILING((INT(((CROQUIS!$C$98)-CROQUIS!$C$107)/MAX(CROQUIS!$C$133,1))+1)/80,1))),1))+1))-1,0),0,MOD($A114-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BU1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CROQUIS!$C$97,CROQUIS!$C$97-CROQUIS!$C$107/2-CROQUIS!$C$143,IF(CROQUIS!$C$104=1,CROQUIS!$C$97+12,CROQUIS!$C$97-2),CROQUIS!$C$97-CROQUIS!$C$107/2-CROQUIS!$C$143,CROQUIS!$C$97)))*CROQUIS!$C$159)+IF(CROQUIS!$C$92="X",0.8,0)),-1000)</f>
        <v>-1000</v>
      </c>
      <c r="BV1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HOOSE(IF(INT(($A114-1)/5)&gt;MAX((MAX(1,INT(((CROQUIS!$C$97)-CROQUIS!$C$107)/MAX((CROQUIS!$C$141*MAX(1,CEILING((INT(((CROQUIS!$C$97)-CROQUIS!$C$107)/MAX(CROQUIS!$C$141,1))+1)/80,1))),1))+1))-1,0),0,MOD($A114-1,5))+1,0,IF(CROQUIS!$C$105=1,-12,2),CROQUIS!$C$107/2+CROQUIS!$C$144,IF(CROQUIS!$C$105=1,-12,2),0)))*CROQUIS!$C$159)+IF(CROQUIS!$C$92="X",0.8,0)),-1000)</f>
        <v>-1000</v>
      </c>
      <c r="BW114">
        <f>IF(AND(CROQUIS!$C$88=1,CROQUIS!$C$91=0,CROQUIS!$C$141&gt;0,OR(CROQUIS!$C$105=1,CROQUIS!$C$146=1)),((CROQUIS!$C$161+(IF(CROQUIS!$C$92="X",CHOOSE(IF(INT(($A114-1)/5)&gt;MAX((MAX(1,INT(((CROQUIS!$C$97)-CROQUIS!$C$107)/MAX((CROQUIS!$C$141*MAX(1,CEILING((INT(((CROQUIS!$C$97)-CROQUIS!$C$107)/MAX(CROQUIS!$C$141,1))+1)/80,1))),1))+1))-1,0),0,MOD($A114-1,5))+1,0,IF(CROQUIS!$C$105=1,-12,2),CROQUIS!$C$107/2+CROQUIS!$C$144,IF(CROQUIS!$C$105=1,-12,2),0),((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ROQUIS!$C$159)+IF(CROQUIS!$C$92="X",0,0.8)),-1000)</f>
        <v>-1000</v>
      </c>
      <c r="BX1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HOOSE(IF(INT(($A114-1)/5)&gt;MAX((MAX(1,INT(((CROQUIS!$C$97)-CROQUIS!$C$107)/MAX((CROQUIS!$C$141*MAX(1,CEILING((INT(((CROQUIS!$C$97)-CROQUIS!$C$107)/MAX(CROQUIS!$C$141,1))+1)/80,1))),1))+1))-1,0),0,MOD($A114-1,5))+1,CROQUIS!$C$98,CROQUIS!$C$98-CROQUIS!$C$107/2-CROQUIS!$C$144,IF(CROQUIS!$C$106=1,CROQUIS!$C$98+12,CROQUIS!$C$98-2),CROQUIS!$C$98-CROQUIS!$C$107/2-CROQUIS!$C$144,CROQUIS!$C$98)))*CROQUIS!$C$159)+IF(CROQUIS!$C$92="X",0.8,0)),-1000)</f>
        <v>-1000</v>
      </c>
      <c r="BY114">
        <f>IF(AND(CROQUIS!$C$88=1,CROQUIS!$C$91=0,CROQUIS!$C$141&gt;0,OR(CROQUIS!$C$106=1,CROQUIS!$C$146=1)),((CROQUIS!$C$161+(IF(CROQUIS!$C$92="X",CHOOSE(IF(INT(($A114-1)/5)&gt;MAX((MAX(1,INT(((CROQUIS!$C$97)-CROQUIS!$C$107)/MAX((CROQUIS!$C$141*MAX(1,CEILING((INT(((CROQUIS!$C$97)-CROQUIS!$C$107)/MAX(CROQUIS!$C$141,1))+1)/80,1))),1))+1))-1,0),0,MOD($A114-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ROQUIS!$C$159)+IF(CROQUIS!$C$92="X",0,0.8)),-1000)</f>
        <v>-1000</v>
      </c>
      <c r="BZ114">
        <f>IF(AND(CROQUIS!$C$88=1,CROQUIS!$C$91=1,CROQUIS!$C$133&gt;0),((CROQUIS!$C$160+(IF(CROQUIS!$C$92="X",CHOOSE(IF(INT(($A114-1)/5)&gt;MAX((MAX(1,INT(((CROQUIS!$C$98)-CROQUIS!$C$107)/MAX((CROQUIS!$C$133*MAX(1,CEILING((INT(((CROQUIS!$C$98)-CROQUIS!$C$107)/MAX(CROQUIS!$C$133,1))+1)/80,1))),1))+1))-1,0),0,MOD($A114-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CA114">
        <f>IF(AND(CROQUIS!$C$88=1,CROQUIS!$C$91=1,CROQUIS!$C$133&gt;0),((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5">
      <c r="A115" t="n">
        <v>108</v>
      </c>
      <c r="BN115">
        <f>IF(AND(CROQUIS!$C$88=1,CROQUIS!$C$129&gt;0),((CROQUIS!$C$160+(IF(CROQUIS!$C$92="X",CHOOSE(IF(INT(($A115-1)/5)&gt;MAX((MAX(1,INT(((CROQUIS!$C$98)-CROQUIS!$C$107)/MAX((CROQUIS!$C$129*MAX(1,CEILING((INT(((CROQUIS!$C$98)-CROQUIS!$C$107)/MAX(CROQUIS!$C$129,1))+1)/80,1))),1))+1))-1,0),0,MOD($A115-1,5))+1,0,2,CROQUIS!$C$97-2,2,0),((CROQUIS!$C$107/2+(((CROQUIS!$C$98)-CROQUIS!$C$107)-(MAX(1,INT(((CROQUIS!$C$98)-CROQUIS!$C$107)/MAX((CROQUIS!$C$129*MAX(1,CEILING((INT(((CROQUIS!$C$98)-CROQUIS!$C$107)/MAX(CROQUIS!$C$129,1))+1)/80,1))),1))+1)-1)*(CROQUIS!$C$129*MAX(1,CEILING((INT(((CROQUIS!$C$98)-CROQUIS!$C$107)/MAX(CROQUIS!$C$129,1))+1)/80,1))))/2)+MIN(INT(($A115-1)/5),MAX((MAX(1,INT(((CROQUIS!$C$98)-CROQUIS!$C$107)/MAX((CROQUIS!$C$129*MAX(1,CEILING((INT(((CROQUIS!$C$98)-CROQUIS!$C$107)/MAX(CROQUIS!$C$129,1))+1)/80,1))),1))+1))-1,0))*(CROQUIS!$C$129*MAX(1,CEILING((INT(((CROQUIS!$C$98)-CROQUIS!$C$107)/MAX(CROQUIS!$C$129,1))+1)/80,1))))))*CROQUIS!$C$159)+IF(CROQUIS!$C$92="X",0,0)),-1000)</f>
        <v>-1000</v>
      </c>
      <c r="BO115">
        <f>IF(AND(CROQUIS!$C$88=1,CROQUIS!$C$129&gt;0),((CROQUIS!$C$161+(IF(CROQUIS!$C$92="X",((CROQUIS!$C$107/2+(((CROQUIS!$C$98)-CROQUIS!$C$107)-(MAX(1,INT(((CROQUIS!$C$98)-CROQUIS!$C$107)/MAX((CROQUIS!$C$129*MAX(1,CEILING((INT(((CROQUIS!$C$98)-CROQUIS!$C$107)/MAX(CROQUIS!$C$129,1))+1)/80,1))),1))+1)-1)*(CROQUIS!$C$129*MAX(1,CEILING((INT(((CROQUIS!$C$98)-CROQUIS!$C$107)/MAX(CROQUIS!$C$129,1))+1)/80,1))))/2)+MIN(INT(($A115-1)/5),MAX((MAX(1,INT(((CROQUIS!$C$98)-CROQUIS!$C$107)/MAX((CROQUIS!$C$129*MAX(1,CEILING((INT(((CROQUIS!$C$98)-CROQUIS!$C$107)/MAX(CROQUIS!$C$129,1))+1)/80,1))),1))+1))-1,0))*(CROQUIS!$C$129*MAX(1,CEILING((INT(((CROQUIS!$C$98)-CROQUIS!$C$107)/MAX(CROQUIS!$C$129,1))+1)/80,1)))),CHOOSE(IF(INT(($A115-1)/5)&gt;MAX((MAX(1,INT(((CROQUIS!$C$98)-CROQUIS!$C$107)/MAX((CROQUIS!$C$129*MAX(1,CEILING((INT(((CROQUIS!$C$98)-CROQUIS!$C$107)/MAX(CROQUIS!$C$129,1))+1)/80,1))),1))+1))-1,0),0,MOD($A115-1,5))+1,0,2,CROQUIS!$C$97-2,2,0)))*CROQUIS!$C$159)+IF(CROQUIS!$C$92="X",0,0)),-1000)</f>
        <v>-1000</v>
      </c>
      <c r="BP115">
        <f>IF(AND(CROQUIS!$C$88=1,CROQUIS!$C$137&gt;0),((CROQUIS!$C$160+(IF(CROQUIS!$C$92="X",((CROQUIS!$C$107/2+(((CROQUIS!$C$97)-CROQUIS!$C$107)-(MAX(1,INT(((CROQUIS!$C$97)-CROQUIS!$C$107)/MAX((CROQUIS!$C$137*MAX(1,CEILING((INT(((CROQUIS!$C$97)-CROQUIS!$C$107)/MAX(CROQUIS!$C$137,1))+1)/80,1))),1))+1)-1)*(CROQUIS!$C$137*MAX(1,CEILING((INT(((CROQUIS!$C$97)-CROQUIS!$C$107)/MAX(CROQUIS!$C$137,1))+1)/80,1))))/2)+MIN(INT(($A115-1)/5),MAX((MAX(1,INT(((CROQUIS!$C$97)-CROQUIS!$C$107)/MAX((CROQUIS!$C$137*MAX(1,CEILING((INT(((CROQUIS!$C$97)-CROQUIS!$C$107)/MAX(CROQUIS!$C$137,1))+1)/80,1))),1))+1))-1,0))*(CROQUIS!$C$137*MAX(1,CEILING((INT(((CROQUIS!$C$97)-CROQUIS!$C$107)/MAX(CROQUIS!$C$137,1))+1)/80,1)))),CHOOSE(IF(INT(($A115-1)/5)&gt;MAX((MAX(1,INT(((CROQUIS!$C$97)-CROQUIS!$C$107)/MAX((CROQUIS!$C$137*MAX(1,CEILING((INT(((CROQUIS!$C$97)-CROQUIS!$C$107)/MAX(CROQUIS!$C$137,1))+1)/80,1))),1))+1))-1,0),0,MOD($A115-1,5))+1,0,2,CROQUIS!$C$98-2,2,0)))*CROQUIS!$C$159)+IF(CROQUIS!$C$92="X",0,0)),-1000)</f>
        <v>-1000</v>
      </c>
      <c r="BQ115">
        <f>IF(AND(CROQUIS!$C$88=1,CROQUIS!$C$137&gt;0),((CROQUIS!$C$161+(IF(CROQUIS!$C$92="X",CHOOSE(IF(INT(($A115-1)/5)&gt;MAX((MAX(1,INT(((CROQUIS!$C$97)-CROQUIS!$C$107)/MAX((CROQUIS!$C$137*MAX(1,CEILING((INT(((CROQUIS!$C$97)-CROQUIS!$C$107)/MAX(CROQUIS!$C$137,1))+1)/80,1))),1))+1))-1,0),0,MOD($A115-1,5))+1,0,2,CROQUIS!$C$98-2,2,0),((CROQUIS!$C$107/2+(((CROQUIS!$C$97)-CROQUIS!$C$107)-(MAX(1,INT(((CROQUIS!$C$97)-CROQUIS!$C$107)/MAX((CROQUIS!$C$137*MAX(1,CEILING((INT(((CROQUIS!$C$97)-CROQUIS!$C$107)/MAX(CROQUIS!$C$137,1))+1)/80,1))),1))+1)-1)*(CROQUIS!$C$137*MAX(1,CEILING((INT(((CROQUIS!$C$97)-CROQUIS!$C$107)/MAX(CROQUIS!$C$137,1))+1)/80,1))))/2)+MIN(INT(($A115-1)/5),MAX((MAX(1,INT(((CROQUIS!$C$97)-CROQUIS!$C$107)/MAX((CROQUIS!$C$137*MAX(1,CEILING((INT(((CROQUIS!$C$97)-CROQUIS!$C$107)/MAX(CROQUIS!$C$137,1))+1)/80,1))),1))+1))-1,0))*(CROQUIS!$C$137*MAX(1,CEILING((INT(((CROQUIS!$C$97)-CROQUIS!$C$107)/MAX(CROQUIS!$C$137,1))+1)/80,1))))))*CROQUIS!$C$159)+IF(CROQUIS!$C$92="X",0,0)),-1000)</f>
        <v>-1000</v>
      </c>
      <c r="BR115">
        <f>IF(AND(CROQUIS!$C$88=1,CROQUIS!$C$91=0,CROQUIS!$C$133&gt;0,OR(CROQUIS!$C$103=1,CROQUIS!$C$145=1)),((CROQUIS!$C$160+(IF(CROQUIS!$C$92="X",CHOOSE(IF(INT(($A115-1)/5)&gt;MAX((MAX(1,INT(((CROQUIS!$C$98)-CROQUIS!$C$107)/MAX((CROQUIS!$C$133*MAX(1,CEILING((INT(((CROQUIS!$C$98)-CROQUIS!$C$107)/MAX(CROQUIS!$C$133,1))+1)/80,1))),1))+1))-1,0),0,MOD($A115-1,5))+1,0,IF(CROQUIS!$C$103=1,-12,2),CROQUIS!$C$107/2+CROQUIS!$C$143,IF(CROQUIS!$C$103=1,-12,2),0),((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BS1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+1,0,IF(CROQUIS!$C$103=1,-12,2),CROQUIS!$C$107/2+CROQUIS!$C$143,IF(CROQUIS!$C$103=1,-12,2),0)))*CROQUIS!$C$159)+IF(CROQUIS!$C$92="X",0.8,0)),-1000)</f>
        <v>-1000</v>
      </c>
      <c r="BT115">
        <f>IF(AND(CROQUIS!$C$88=1,CROQUIS!$C$91=0,CROQUIS!$C$133&gt;0,OR(CROQUIS!$C$104=1,CROQUIS!$C$145=1)),((CROQUIS!$C$160+(IF(CROQUIS!$C$92="X",CHOOSE(IF(INT(($A115-1)/5)&gt;MAX((MAX(1,INT(((CROQUIS!$C$98)-CROQUIS!$C$107)/MAX((CROQUIS!$C$133*MAX(1,CEILING((INT(((CROQUIS!$C$98)-CROQUIS!$C$107)/MAX(CROQUIS!$C$133,1))+1)/80,1))),1))+1))-1,0),0,MOD($A115-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BU1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CROQUIS!$C$97,CROQUIS!$C$97-CROQUIS!$C$107/2-CROQUIS!$C$143,IF(CROQUIS!$C$104=1,CROQUIS!$C$97+12,CROQUIS!$C$97-2),CROQUIS!$C$97-CROQUIS!$C$107/2-CROQUIS!$C$143,CROQUIS!$C$97)))*CROQUIS!$C$159)+IF(CROQUIS!$C$92="X",0.8,0)),-1000)</f>
        <v>-1000</v>
      </c>
      <c r="BV1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HOOSE(IF(INT(($A115-1)/5)&gt;MAX((MAX(1,INT(((CROQUIS!$C$97)-CROQUIS!$C$107)/MAX((CROQUIS!$C$141*MAX(1,CEILING((INT(((CROQUIS!$C$97)-CROQUIS!$C$107)/MAX(CROQUIS!$C$141,1))+1)/80,1))),1))+1))-1,0),0,MOD($A115-1,5))+1,0,IF(CROQUIS!$C$105=1,-12,2),CROQUIS!$C$107/2+CROQUIS!$C$144,IF(CROQUIS!$C$105=1,-12,2),0)))*CROQUIS!$C$159)+IF(CROQUIS!$C$92="X",0.8,0)),-1000)</f>
        <v>-1000</v>
      </c>
      <c r="BW115">
        <f>IF(AND(CROQUIS!$C$88=1,CROQUIS!$C$91=0,CROQUIS!$C$141&gt;0,OR(CROQUIS!$C$105=1,CROQUIS!$C$146=1)),((CROQUIS!$C$161+(IF(CROQUIS!$C$92="X",CHOOSE(IF(INT(($A115-1)/5)&gt;MAX((MAX(1,INT(((CROQUIS!$C$97)-CROQUIS!$C$107)/MAX((CROQUIS!$C$141*MAX(1,CEILING((INT(((CROQUIS!$C$97)-CROQUIS!$C$107)/MAX(CROQUIS!$C$141,1))+1)/80,1))),1))+1))-1,0),0,MOD($A115-1,5))+1,0,IF(CROQUIS!$C$105=1,-12,2),CROQUIS!$C$107/2+CROQUIS!$C$144,IF(CROQUIS!$C$105=1,-12,2),0),((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ROQUIS!$C$159)+IF(CROQUIS!$C$92="X",0,0.8)),-1000)</f>
        <v>-1000</v>
      </c>
      <c r="BX1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HOOSE(IF(INT(($A115-1)/5)&gt;MAX((MAX(1,INT(((CROQUIS!$C$97)-CROQUIS!$C$107)/MAX((CROQUIS!$C$141*MAX(1,CEILING((INT(((CROQUIS!$C$97)-CROQUIS!$C$107)/MAX(CROQUIS!$C$141,1))+1)/80,1))),1))+1))-1,0),0,MOD($A115-1,5))+1,CROQUIS!$C$98,CROQUIS!$C$98-CROQUIS!$C$107/2-CROQUIS!$C$144,IF(CROQUIS!$C$106=1,CROQUIS!$C$98+12,CROQUIS!$C$98-2),CROQUIS!$C$98-CROQUIS!$C$107/2-CROQUIS!$C$144,CROQUIS!$C$98)))*CROQUIS!$C$159)+IF(CROQUIS!$C$92="X",0.8,0)),-1000)</f>
        <v>-1000</v>
      </c>
      <c r="BY115">
        <f>IF(AND(CROQUIS!$C$88=1,CROQUIS!$C$91=0,CROQUIS!$C$141&gt;0,OR(CROQUIS!$C$106=1,CROQUIS!$C$146=1)),((CROQUIS!$C$161+(IF(CROQUIS!$C$92="X",CHOOSE(IF(INT(($A115-1)/5)&gt;MAX((MAX(1,INT(((CROQUIS!$C$97)-CROQUIS!$C$107)/MAX((CROQUIS!$C$141*MAX(1,CEILING((INT(((CROQUIS!$C$97)-CROQUIS!$C$107)/MAX(CROQUIS!$C$141,1))+1)/80,1))),1))+1))-1,0),0,MOD($A115-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ROQUIS!$C$159)+IF(CROQUIS!$C$92="X",0,0.8)),-1000)</f>
        <v>-1000</v>
      </c>
      <c r="BZ115">
        <f>IF(AND(CROQUIS!$C$88=1,CROQUIS!$C$91=1,CROQUIS!$C$133&gt;0),((CROQUIS!$C$160+(IF(CROQUIS!$C$92="X",CHOOSE(IF(INT(($A115-1)/5)&gt;MAX((MAX(1,INT(((CROQUIS!$C$98)-CROQUIS!$C$107)/MAX((CROQUIS!$C$133*MAX(1,CEILING((INT(((CROQUIS!$C$98)-CROQUIS!$C$107)/MAX(CROQUIS!$C$133,1))+1)/80,1))),1))+1))-1,0),0,MOD($A115-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CA115">
        <f>IF(AND(CROQUIS!$C$88=1,CROQUIS!$C$91=1,CROQUIS!$C$133&gt;0),((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6">
      <c r="A116" t="n">
        <v>109</v>
      </c>
      <c r="BN116">
        <f>IF(AND(CROQUIS!$C$88=1,CROQUIS!$C$129&gt;0),((CROQUIS!$C$160+(IF(CROQUIS!$C$92="X",CHOOSE(IF(INT(($A116-1)/5)&gt;MAX((MAX(1,INT(((CROQUIS!$C$98)-CROQUIS!$C$107)/MAX((CROQUIS!$C$129*MAX(1,CEILING((INT(((CROQUIS!$C$98)-CROQUIS!$C$107)/MAX(CROQUIS!$C$129,1))+1)/80,1))),1))+1))-1,0),0,MOD($A116-1,5))+1,0,2,CROQUIS!$C$97-2,2,0),((CROQUIS!$C$107/2+(((CROQUIS!$C$98)-CROQUIS!$C$107)-(MAX(1,INT(((CROQUIS!$C$98)-CROQUIS!$C$107)/MAX((CROQUIS!$C$129*MAX(1,CEILING((INT(((CROQUIS!$C$98)-CROQUIS!$C$107)/MAX(CROQUIS!$C$129,1))+1)/80,1))),1))+1)-1)*(CROQUIS!$C$129*MAX(1,CEILING((INT(((CROQUIS!$C$98)-CROQUIS!$C$107)/MAX(CROQUIS!$C$129,1))+1)/80,1))))/2)+MIN(INT(($A116-1)/5),MAX((MAX(1,INT(((CROQUIS!$C$98)-CROQUIS!$C$107)/MAX((CROQUIS!$C$129*MAX(1,CEILING((INT(((CROQUIS!$C$98)-CROQUIS!$C$107)/MAX(CROQUIS!$C$129,1))+1)/80,1))),1))+1))-1,0))*(CROQUIS!$C$129*MAX(1,CEILING((INT(((CROQUIS!$C$98)-CROQUIS!$C$107)/MAX(CROQUIS!$C$129,1))+1)/80,1))))))*CROQUIS!$C$159)+IF(CROQUIS!$C$92="X",0,0)),-1000)</f>
        <v>-1000</v>
      </c>
      <c r="BO116">
        <f>IF(AND(CROQUIS!$C$88=1,CROQUIS!$C$129&gt;0),((CROQUIS!$C$161+(IF(CROQUIS!$C$92="X",((CROQUIS!$C$107/2+(((CROQUIS!$C$98)-CROQUIS!$C$107)-(MAX(1,INT(((CROQUIS!$C$98)-CROQUIS!$C$107)/MAX((CROQUIS!$C$129*MAX(1,CEILING((INT(((CROQUIS!$C$98)-CROQUIS!$C$107)/MAX(CROQUIS!$C$129,1))+1)/80,1))),1))+1)-1)*(CROQUIS!$C$129*MAX(1,CEILING((INT(((CROQUIS!$C$98)-CROQUIS!$C$107)/MAX(CROQUIS!$C$129,1))+1)/80,1))))/2)+MIN(INT(($A116-1)/5),MAX((MAX(1,INT(((CROQUIS!$C$98)-CROQUIS!$C$107)/MAX((CROQUIS!$C$129*MAX(1,CEILING((INT(((CROQUIS!$C$98)-CROQUIS!$C$107)/MAX(CROQUIS!$C$129,1))+1)/80,1))),1))+1))-1,0))*(CROQUIS!$C$129*MAX(1,CEILING((INT(((CROQUIS!$C$98)-CROQUIS!$C$107)/MAX(CROQUIS!$C$129,1))+1)/80,1)))),CHOOSE(IF(INT(($A116-1)/5)&gt;MAX((MAX(1,INT(((CROQUIS!$C$98)-CROQUIS!$C$107)/MAX((CROQUIS!$C$129*MAX(1,CEILING((INT(((CROQUIS!$C$98)-CROQUIS!$C$107)/MAX(CROQUIS!$C$129,1))+1)/80,1))),1))+1))-1,0),0,MOD($A116-1,5))+1,0,2,CROQUIS!$C$97-2,2,0)))*CROQUIS!$C$159)+IF(CROQUIS!$C$92="X",0,0)),-1000)</f>
        <v>-1000</v>
      </c>
      <c r="BP116">
        <f>IF(AND(CROQUIS!$C$88=1,CROQUIS!$C$137&gt;0),((CROQUIS!$C$160+(IF(CROQUIS!$C$92="X",((CROQUIS!$C$107/2+(((CROQUIS!$C$97)-CROQUIS!$C$107)-(MAX(1,INT(((CROQUIS!$C$97)-CROQUIS!$C$107)/MAX((CROQUIS!$C$137*MAX(1,CEILING((INT(((CROQUIS!$C$97)-CROQUIS!$C$107)/MAX(CROQUIS!$C$137,1))+1)/80,1))),1))+1)-1)*(CROQUIS!$C$137*MAX(1,CEILING((INT(((CROQUIS!$C$97)-CROQUIS!$C$107)/MAX(CROQUIS!$C$137,1))+1)/80,1))))/2)+MIN(INT(($A116-1)/5),MAX((MAX(1,INT(((CROQUIS!$C$97)-CROQUIS!$C$107)/MAX((CROQUIS!$C$137*MAX(1,CEILING((INT(((CROQUIS!$C$97)-CROQUIS!$C$107)/MAX(CROQUIS!$C$137,1))+1)/80,1))),1))+1))-1,0))*(CROQUIS!$C$137*MAX(1,CEILING((INT(((CROQUIS!$C$97)-CROQUIS!$C$107)/MAX(CROQUIS!$C$137,1))+1)/80,1)))),CHOOSE(IF(INT(($A116-1)/5)&gt;MAX((MAX(1,INT(((CROQUIS!$C$97)-CROQUIS!$C$107)/MAX((CROQUIS!$C$137*MAX(1,CEILING((INT(((CROQUIS!$C$97)-CROQUIS!$C$107)/MAX(CROQUIS!$C$137,1))+1)/80,1))),1))+1))-1,0),0,MOD($A116-1,5))+1,0,2,CROQUIS!$C$98-2,2,0)))*CROQUIS!$C$159)+IF(CROQUIS!$C$92="X",0,0)),-1000)</f>
        <v>-1000</v>
      </c>
      <c r="BQ116">
        <f>IF(AND(CROQUIS!$C$88=1,CROQUIS!$C$137&gt;0),((CROQUIS!$C$161+(IF(CROQUIS!$C$92="X",CHOOSE(IF(INT(($A116-1)/5)&gt;MAX((MAX(1,INT(((CROQUIS!$C$97)-CROQUIS!$C$107)/MAX((CROQUIS!$C$137*MAX(1,CEILING((INT(((CROQUIS!$C$97)-CROQUIS!$C$107)/MAX(CROQUIS!$C$137,1))+1)/80,1))),1))+1))-1,0),0,MOD($A116-1,5))+1,0,2,CROQUIS!$C$98-2,2,0),((CROQUIS!$C$107/2+(((CROQUIS!$C$97)-CROQUIS!$C$107)-(MAX(1,INT(((CROQUIS!$C$97)-CROQUIS!$C$107)/MAX((CROQUIS!$C$137*MAX(1,CEILING((INT(((CROQUIS!$C$97)-CROQUIS!$C$107)/MAX(CROQUIS!$C$137,1))+1)/80,1))),1))+1)-1)*(CROQUIS!$C$137*MAX(1,CEILING((INT(((CROQUIS!$C$97)-CROQUIS!$C$107)/MAX(CROQUIS!$C$137,1))+1)/80,1))))/2)+MIN(INT(($A116-1)/5),MAX((MAX(1,INT(((CROQUIS!$C$97)-CROQUIS!$C$107)/MAX((CROQUIS!$C$137*MAX(1,CEILING((INT(((CROQUIS!$C$97)-CROQUIS!$C$107)/MAX(CROQUIS!$C$137,1))+1)/80,1))),1))+1))-1,0))*(CROQUIS!$C$137*MAX(1,CEILING((INT(((CROQUIS!$C$97)-CROQUIS!$C$107)/MAX(CROQUIS!$C$137,1))+1)/80,1))))))*CROQUIS!$C$159)+IF(CROQUIS!$C$92="X",0,0)),-1000)</f>
        <v>-1000</v>
      </c>
      <c r="BR116">
        <f>IF(AND(CROQUIS!$C$88=1,CROQUIS!$C$91=0,CROQUIS!$C$133&gt;0,OR(CROQUIS!$C$103=1,CROQUIS!$C$145=1)),((CROQUIS!$C$160+(IF(CROQUIS!$C$92="X",CHOOSE(IF(INT(($A116-1)/5)&gt;MAX((MAX(1,INT(((CROQUIS!$C$98)-CROQUIS!$C$107)/MAX((CROQUIS!$C$133*MAX(1,CEILING((INT(((CROQUIS!$C$98)-CROQUIS!$C$107)/MAX(CROQUIS!$C$133,1))+1)/80,1))),1))+1))-1,0),0,MOD($A116-1,5))+1,0,IF(CROQUIS!$C$103=1,-12,2),CROQUIS!$C$107/2+CROQUIS!$C$143,IF(CROQUIS!$C$103=1,-12,2),0),((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BS1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+1,0,IF(CROQUIS!$C$103=1,-12,2),CROQUIS!$C$107/2+CROQUIS!$C$143,IF(CROQUIS!$C$103=1,-12,2),0)))*CROQUIS!$C$159)+IF(CROQUIS!$C$92="X",0.8,0)),-1000)</f>
        <v>-1000</v>
      </c>
      <c r="BT116">
        <f>IF(AND(CROQUIS!$C$88=1,CROQUIS!$C$91=0,CROQUIS!$C$133&gt;0,OR(CROQUIS!$C$104=1,CROQUIS!$C$145=1)),((CROQUIS!$C$160+(IF(CROQUIS!$C$92="X",CHOOSE(IF(INT(($A116-1)/5)&gt;MAX((MAX(1,INT(((CROQUIS!$C$98)-CROQUIS!$C$107)/MAX((CROQUIS!$C$133*MAX(1,CEILING((INT(((CROQUIS!$C$98)-CROQUIS!$C$107)/MAX(CROQUIS!$C$133,1))+1)/80,1))),1))+1))-1,0),0,MOD($A116-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BU1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CROQUIS!$C$97,CROQUIS!$C$97-CROQUIS!$C$107/2-CROQUIS!$C$143,IF(CROQUIS!$C$104=1,CROQUIS!$C$97+12,CROQUIS!$C$97-2),CROQUIS!$C$97-CROQUIS!$C$107/2-CROQUIS!$C$143,CROQUIS!$C$97)))*CROQUIS!$C$159)+IF(CROQUIS!$C$92="X",0.8,0)),-1000)</f>
        <v>-1000</v>
      </c>
      <c r="BV1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HOOSE(IF(INT(($A116-1)/5)&gt;MAX((MAX(1,INT(((CROQUIS!$C$97)-CROQUIS!$C$107)/MAX((CROQUIS!$C$141*MAX(1,CEILING((INT(((CROQUIS!$C$97)-CROQUIS!$C$107)/MAX(CROQUIS!$C$141,1))+1)/80,1))),1))+1))-1,0),0,MOD($A116-1,5))+1,0,IF(CROQUIS!$C$105=1,-12,2),CROQUIS!$C$107/2+CROQUIS!$C$144,IF(CROQUIS!$C$105=1,-12,2),0)))*CROQUIS!$C$159)+IF(CROQUIS!$C$92="X",0.8,0)),-1000)</f>
        <v>-1000</v>
      </c>
      <c r="BW116">
        <f>IF(AND(CROQUIS!$C$88=1,CROQUIS!$C$91=0,CROQUIS!$C$141&gt;0,OR(CROQUIS!$C$105=1,CROQUIS!$C$146=1)),((CROQUIS!$C$161+(IF(CROQUIS!$C$92="X",CHOOSE(IF(INT(($A116-1)/5)&gt;MAX((MAX(1,INT(((CROQUIS!$C$97)-CROQUIS!$C$107)/MAX((CROQUIS!$C$141*MAX(1,CEILING((INT(((CROQUIS!$C$97)-CROQUIS!$C$107)/MAX(CROQUIS!$C$141,1))+1)/80,1))),1))+1))-1,0),0,MOD($A116-1,5))+1,0,IF(CROQUIS!$C$105=1,-12,2),CROQUIS!$C$107/2+CROQUIS!$C$144,IF(CROQUIS!$C$105=1,-12,2),0),((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ROQUIS!$C$159)+IF(CROQUIS!$C$92="X",0,0.8)),-1000)</f>
        <v>-1000</v>
      </c>
      <c r="BX1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HOOSE(IF(INT(($A116-1)/5)&gt;MAX((MAX(1,INT(((CROQUIS!$C$97)-CROQUIS!$C$107)/MAX((CROQUIS!$C$141*MAX(1,CEILING((INT(((CROQUIS!$C$97)-CROQUIS!$C$107)/MAX(CROQUIS!$C$141,1))+1)/80,1))),1))+1))-1,0),0,MOD($A116-1,5))+1,CROQUIS!$C$98,CROQUIS!$C$98-CROQUIS!$C$107/2-CROQUIS!$C$144,IF(CROQUIS!$C$106=1,CROQUIS!$C$98+12,CROQUIS!$C$98-2),CROQUIS!$C$98-CROQUIS!$C$107/2-CROQUIS!$C$144,CROQUIS!$C$98)))*CROQUIS!$C$159)+IF(CROQUIS!$C$92="X",0.8,0)),-1000)</f>
        <v>-1000</v>
      </c>
      <c r="BY116">
        <f>IF(AND(CROQUIS!$C$88=1,CROQUIS!$C$91=0,CROQUIS!$C$141&gt;0,OR(CROQUIS!$C$106=1,CROQUIS!$C$146=1)),((CROQUIS!$C$161+(IF(CROQUIS!$C$92="X",CHOOSE(IF(INT(($A116-1)/5)&gt;MAX((MAX(1,INT(((CROQUIS!$C$97)-CROQUIS!$C$107)/MAX((CROQUIS!$C$141*MAX(1,CEILING((INT(((CROQUIS!$C$97)-CROQUIS!$C$107)/MAX(CROQUIS!$C$141,1))+1)/80,1))),1))+1))-1,0),0,MOD($A116-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ROQUIS!$C$159)+IF(CROQUIS!$C$92="X",0,0.8)),-1000)</f>
        <v>-1000</v>
      </c>
      <c r="BZ116">
        <f>IF(AND(CROQUIS!$C$88=1,CROQUIS!$C$91=1,CROQUIS!$C$133&gt;0),((CROQUIS!$C$160+(IF(CROQUIS!$C$92="X",CHOOSE(IF(INT(($A116-1)/5)&gt;MAX((MAX(1,INT(((CROQUIS!$C$98)-CROQUIS!$C$107)/MAX((CROQUIS!$C$133*MAX(1,CEILING((INT(((CROQUIS!$C$98)-CROQUIS!$C$107)/MAX(CROQUIS!$C$133,1))+1)/80,1))),1))+1))-1,0),0,MOD($A116-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CA116">
        <f>IF(AND(CROQUIS!$C$88=1,CROQUIS!$C$91=1,CROQUIS!$C$133&gt;0),((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7">
      <c r="A117" t="n">
        <v>110</v>
      </c>
      <c r="BN117">
        <f>IF(AND(CROQUIS!$C$88=1,CROQUIS!$C$129&gt;0),((CROQUIS!$C$160+(IF(CROQUIS!$C$92="X",CHOOSE(IF(INT(($A117-1)/5)&gt;MAX((MAX(1,INT(((CROQUIS!$C$98)-CROQUIS!$C$107)/MAX((CROQUIS!$C$129*MAX(1,CEILING((INT(((CROQUIS!$C$98)-CROQUIS!$C$107)/MAX(CROQUIS!$C$129,1))+1)/80,1))),1))+1))-1,0),0,MOD($A117-1,5))+1,0,2,CROQUIS!$C$97-2,2,0),((CROQUIS!$C$107/2+(((CROQUIS!$C$98)-CROQUIS!$C$107)-(MAX(1,INT(((CROQUIS!$C$98)-CROQUIS!$C$107)/MAX((CROQUIS!$C$129*MAX(1,CEILING((INT(((CROQUIS!$C$98)-CROQUIS!$C$107)/MAX(CROQUIS!$C$129,1))+1)/80,1))),1))+1)-1)*(CROQUIS!$C$129*MAX(1,CEILING((INT(((CROQUIS!$C$98)-CROQUIS!$C$107)/MAX(CROQUIS!$C$129,1))+1)/80,1))))/2)+MIN(INT(($A117-1)/5),MAX((MAX(1,INT(((CROQUIS!$C$98)-CROQUIS!$C$107)/MAX((CROQUIS!$C$129*MAX(1,CEILING((INT(((CROQUIS!$C$98)-CROQUIS!$C$107)/MAX(CROQUIS!$C$129,1))+1)/80,1))),1))+1))-1,0))*(CROQUIS!$C$129*MAX(1,CEILING((INT(((CROQUIS!$C$98)-CROQUIS!$C$107)/MAX(CROQUIS!$C$129,1))+1)/80,1))))))*CROQUIS!$C$159)+IF(CROQUIS!$C$92="X",0,0)),-1000)</f>
        <v>-1000</v>
      </c>
      <c r="BO117">
        <f>IF(AND(CROQUIS!$C$88=1,CROQUIS!$C$129&gt;0),((CROQUIS!$C$161+(IF(CROQUIS!$C$92="X",((CROQUIS!$C$107/2+(((CROQUIS!$C$98)-CROQUIS!$C$107)-(MAX(1,INT(((CROQUIS!$C$98)-CROQUIS!$C$107)/MAX((CROQUIS!$C$129*MAX(1,CEILING((INT(((CROQUIS!$C$98)-CROQUIS!$C$107)/MAX(CROQUIS!$C$129,1))+1)/80,1))),1))+1)-1)*(CROQUIS!$C$129*MAX(1,CEILING((INT(((CROQUIS!$C$98)-CROQUIS!$C$107)/MAX(CROQUIS!$C$129,1))+1)/80,1))))/2)+MIN(INT(($A117-1)/5),MAX((MAX(1,INT(((CROQUIS!$C$98)-CROQUIS!$C$107)/MAX((CROQUIS!$C$129*MAX(1,CEILING((INT(((CROQUIS!$C$98)-CROQUIS!$C$107)/MAX(CROQUIS!$C$129,1))+1)/80,1))),1))+1))-1,0))*(CROQUIS!$C$129*MAX(1,CEILING((INT(((CROQUIS!$C$98)-CROQUIS!$C$107)/MAX(CROQUIS!$C$129,1))+1)/80,1)))),CHOOSE(IF(INT(($A117-1)/5)&gt;MAX((MAX(1,INT(((CROQUIS!$C$98)-CROQUIS!$C$107)/MAX((CROQUIS!$C$129*MAX(1,CEILING((INT(((CROQUIS!$C$98)-CROQUIS!$C$107)/MAX(CROQUIS!$C$129,1))+1)/80,1))),1))+1))-1,0),0,MOD($A117-1,5))+1,0,2,CROQUIS!$C$97-2,2,0)))*CROQUIS!$C$159)+IF(CROQUIS!$C$92="X",0,0)),-1000)</f>
        <v>-1000</v>
      </c>
      <c r="BP117">
        <f>IF(AND(CROQUIS!$C$88=1,CROQUIS!$C$137&gt;0),((CROQUIS!$C$160+(IF(CROQUIS!$C$92="X",((CROQUIS!$C$107/2+(((CROQUIS!$C$97)-CROQUIS!$C$107)-(MAX(1,INT(((CROQUIS!$C$97)-CROQUIS!$C$107)/MAX((CROQUIS!$C$137*MAX(1,CEILING((INT(((CROQUIS!$C$97)-CROQUIS!$C$107)/MAX(CROQUIS!$C$137,1))+1)/80,1))),1))+1)-1)*(CROQUIS!$C$137*MAX(1,CEILING((INT(((CROQUIS!$C$97)-CROQUIS!$C$107)/MAX(CROQUIS!$C$137,1))+1)/80,1))))/2)+MIN(INT(($A117-1)/5),MAX((MAX(1,INT(((CROQUIS!$C$97)-CROQUIS!$C$107)/MAX((CROQUIS!$C$137*MAX(1,CEILING((INT(((CROQUIS!$C$97)-CROQUIS!$C$107)/MAX(CROQUIS!$C$137,1))+1)/80,1))),1))+1))-1,0))*(CROQUIS!$C$137*MAX(1,CEILING((INT(((CROQUIS!$C$97)-CROQUIS!$C$107)/MAX(CROQUIS!$C$137,1))+1)/80,1)))),CHOOSE(IF(INT(($A117-1)/5)&gt;MAX((MAX(1,INT(((CROQUIS!$C$97)-CROQUIS!$C$107)/MAX((CROQUIS!$C$137*MAX(1,CEILING((INT(((CROQUIS!$C$97)-CROQUIS!$C$107)/MAX(CROQUIS!$C$137,1))+1)/80,1))),1))+1))-1,0),0,MOD($A117-1,5))+1,0,2,CROQUIS!$C$98-2,2,0)))*CROQUIS!$C$159)+IF(CROQUIS!$C$92="X",0,0)),-1000)</f>
        <v>-1000</v>
      </c>
      <c r="BQ117">
        <f>IF(AND(CROQUIS!$C$88=1,CROQUIS!$C$137&gt;0),((CROQUIS!$C$161+(IF(CROQUIS!$C$92="X",CHOOSE(IF(INT(($A117-1)/5)&gt;MAX((MAX(1,INT(((CROQUIS!$C$97)-CROQUIS!$C$107)/MAX((CROQUIS!$C$137*MAX(1,CEILING((INT(((CROQUIS!$C$97)-CROQUIS!$C$107)/MAX(CROQUIS!$C$137,1))+1)/80,1))),1))+1))-1,0),0,MOD($A117-1,5))+1,0,2,CROQUIS!$C$98-2,2,0),((CROQUIS!$C$107/2+(((CROQUIS!$C$97)-CROQUIS!$C$107)-(MAX(1,INT(((CROQUIS!$C$97)-CROQUIS!$C$107)/MAX((CROQUIS!$C$137*MAX(1,CEILING((INT(((CROQUIS!$C$97)-CROQUIS!$C$107)/MAX(CROQUIS!$C$137,1))+1)/80,1))),1))+1)-1)*(CROQUIS!$C$137*MAX(1,CEILING((INT(((CROQUIS!$C$97)-CROQUIS!$C$107)/MAX(CROQUIS!$C$137,1))+1)/80,1))))/2)+MIN(INT(($A117-1)/5),MAX((MAX(1,INT(((CROQUIS!$C$97)-CROQUIS!$C$107)/MAX((CROQUIS!$C$137*MAX(1,CEILING((INT(((CROQUIS!$C$97)-CROQUIS!$C$107)/MAX(CROQUIS!$C$137,1))+1)/80,1))),1))+1))-1,0))*(CROQUIS!$C$137*MAX(1,CEILING((INT(((CROQUIS!$C$97)-CROQUIS!$C$107)/MAX(CROQUIS!$C$137,1))+1)/80,1))))))*CROQUIS!$C$159)+IF(CROQUIS!$C$92="X",0,0)),-1000)</f>
        <v>-1000</v>
      </c>
      <c r="BR117">
        <f>IF(AND(CROQUIS!$C$88=1,CROQUIS!$C$91=0,CROQUIS!$C$133&gt;0,OR(CROQUIS!$C$103=1,CROQUIS!$C$145=1)),((CROQUIS!$C$160+(IF(CROQUIS!$C$92="X",CHOOSE(IF(INT(($A117-1)/5)&gt;MAX((MAX(1,INT(((CROQUIS!$C$98)-CROQUIS!$C$107)/MAX((CROQUIS!$C$133*MAX(1,CEILING((INT(((CROQUIS!$C$98)-CROQUIS!$C$107)/MAX(CROQUIS!$C$133,1))+1)/80,1))),1))+1))-1,0),0,MOD($A117-1,5))+1,0,IF(CROQUIS!$C$103=1,-12,2),CROQUIS!$C$107/2+CROQUIS!$C$143,IF(CROQUIS!$C$103=1,-12,2),0),((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BS1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+1,0,IF(CROQUIS!$C$103=1,-12,2),CROQUIS!$C$107/2+CROQUIS!$C$143,IF(CROQUIS!$C$103=1,-12,2),0)))*CROQUIS!$C$159)+IF(CROQUIS!$C$92="X",0.8,0)),-1000)</f>
        <v>-1000</v>
      </c>
      <c r="BT117">
        <f>IF(AND(CROQUIS!$C$88=1,CROQUIS!$C$91=0,CROQUIS!$C$133&gt;0,OR(CROQUIS!$C$104=1,CROQUIS!$C$145=1)),((CROQUIS!$C$160+(IF(CROQUIS!$C$92="X",CHOOSE(IF(INT(($A117-1)/5)&gt;MAX((MAX(1,INT(((CROQUIS!$C$98)-CROQUIS!$C$107)/MAX((CROQUIS!$C$133*MAX(1,CEILING((INT(((CROQUIS!$C$98)-CROQUIS!$C$107)/MAX(CROQUIS!$C$133,1))+1)/80,1))),1))+1))-1,0),0,MOD($A117-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BU1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CROQUIS!$C$97,CROQUIS!$C$97-CROQUIS!$C$107/2-CROQUIS!$C$143,IF(CROQUIS!$C$104=1,CROQUIS!$C$97+12,CROQUIS!$C$97-2),CROQUIS!$C$97-CROQUIS!$C$107/2-CROQUIS!$C$143,CROQUIS!$C$97)))*CROQUIS!$C$159)+IF(CROQUIS!$C$92="X",0.8,0)),-1000)</f>
        <v>-1000</v>
      </c>
      <c r="BV1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HOOSE(IF(INT(($A117-1)/5)&gt;MAX((MAX(1,INT(((CROQUIS!$C$97)-CROQUIS!$C$107)/MAX((CROQUIS!$C$141*MAX(1,CEILING((INT(((CROQUIS!$C$97)-CROQUIS!$C$107)/MAX(CROQUIS!$C$141,1))+1)/80,1))),1))+1))-1,0),0,MOD($A117-1,5))+1,0,IF(CROQUIS!$C$105=1,-12,2),CROQUIS!$C$107/2+CROQUIS!$C$144,IF(CROQUIS!$C$105=1,-12,2),0)))*CROQUIS!$C$159)+IF(CROQUIS!$C$92="X",0.8,0)),-1000)</f>
        <v>-1000</v>
      </c>
      <c r="BW117">
        <f>IF(AND(CROQUIS!$C$88=1,CROQUIS!$C$91=0,CROQUIS!$C$141&gt;0,OR(CROQUIS!$C$105=1,CROQUIS!$C$146=1)),((CROQUIS!$C$161+(IF(CROQUIS!$C$92="X",CHOOSE(IF(INT(($A117-1)/5)&gt;MAX((MAX(1,INT(((CROQUIS!$C$97)-CROQUIS!$C$107)/MAX((CROQUIS!$C$141*MAX(1,CEILING((INT(((CROQUIS!$C$97)-CROQUIS!$C$107)/MAX(CROQUIS!$C$141,1))+1)/80,1))),1))+1))-1,0),0,MOD($A117-1,5))+1,0,IF(CROQUIS!$C$105=1,-12,2),CROQUIS!$C$107/2+CROQUIS!$C$144,IF(CROQUIS!$C$105=1,-12,2),0),((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ROQUIS!$C$159)+IF(CROQUIS!$C$92="X",0,0.8)),-1000)</f>
        <v>-1000</v>
      </c>
      <c r="BX1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HOOSE(IF(INT(($A117-1)/5)&gt;MAX((MAX(1,INT(((CROQUIS!$C$97)-CROQUIS!$C$107)/MAX((CROQUIS!$C$141*MAX(1,CEILING((INT(((CROQUIS!$C$97)-CROQUIS!$C$107)/MAX(CROQUIS!$C$141,1))+1)/80,1))),1))+1))-1,0),0,MOD($A117-1,5))+1,CROQUIS!$C$98,CROQUIS!$C$98-CROQUIS!$C$107/2-CROQUIS!$C$144,IF(CROQUIS!$C$106=1,CROQUIS!$C$98+12,CROQUIS!$C$98-2),CROQUIS!$C$98-CROQUIS!$C$107/2-CROQUIS!$C$144,CROQUIS!$C$98)))*CROQUIS!$C$159)+IF(CROQUIS!$C$92="X",0.8,0)),-1000)</f>
        <v>-1000</v>
      </c>
      <c r="BY117">
        <f>IF(AND(CROQUIS!$C$88=1,CROQUIS!$C$91=0,CROQUIS!$C$141&gt;0,OR(CROQUIS!$C$106=1,CROQUIS!$C$146=1)),((CROQUIS!$C$161+(IF(CROQUIS!$C$92="X",CHOOSE(IF(INT(($A117-1)/5)&gt;MAX((MAX(1,INT(((CROQUIS!$C$97)-CROQUIS!$C$107)/MAX((CROQUIS!$C$141*MAX(1,CEILING((INT(((CROQUIS!$C$97)-CROQUIS!$C$107)/MAX(CROQUIS!$C$141,1))+1)/80,1))),1))+1))-1,0),0,MOD($A117-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ROQUIS!$C$159)+IF(CROQUIS!$C$92="X",0,0.8)),-1000)</f>
        <v>-1000</v>
      </c>
      <c r="BZ117">
        <f>IF(AND(CROQUIS!$C$88=1,CROQUIS!$C$91=1,CROQUIS!$C$133&gt;0),((CROQUIS!$C$160+(IF(CROQUIS!$C$92="X",CHOOSE(IF(INT(($A117-1)/5)&gt;MAX((MAX(1,INT(((CROQUIS!$C$98)-CROQUIS!$C$107)/MAX((CROQUIS!$C$133*MAX(1,CEILING((INT(((CROQUIS!$C$98)-CROQUIS!$C$107)/MAX(CROQUIS!$C$133,1))+1)/80,1))),1))+1))-1,0),0,MOD($A117-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CA117">
        <f>IF(AND(CROQUIS!$C$88=1,CROQUIS!$C$91=1,CROQUIS!$C$133&gt;0),((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8">
      <c r="A118" t="n">
        <v>111</v>
      </c>
      <c r="BN118">
        <f>IF(AND(CROQUIS!$C$88=1,CROQUIS!$C$129&gt;0),((CROQUIS!$C$160+(IF(CROQUIS!$C$92="X",CHOOSE(IF(INT(($A118-1)/5)&gt;MAX((MAX(1,INT(((CROQUIS!$C$98)-CROQUIS!$C$107)/MAX((CROQUIS!$C$129*MAX(1,CEILING((INT(((CROQUIS!$C$98)-CROQUIS!$C$107)/MAX(CROQUIS!$C$129,1))+1)/80,1))),1))+1))-1,0),0,MOD($A118-1,5))+1,0,2,CROQUIS!$C$97-2,2,0),((CROQUIS!$C$107/2+(((CROQUIS!$C$98)-CROQUIS!$C$107)-(MAX(1,INT(((CROQUIS!$C$98)-CROQUIS!$C$107)/MAX((CROQUIS!$C$129*MAX(1,CEILING((INT(((CROQUIS!$C$98)-CROQUIS!$C$107)/MAX(CROQUIS!$C$129,1))+1)/80,1))),1))+1)-1)*(CROQUIS!$C$129*MAX(1,CEILING((INT(((CROQUIS!$C$98)-CROQUIS!$C$107)/MAX(CROQUIS!$C$129,1))+1)/80,1))))/2)+MIN(INT(($A118-1)/5),MAX((MAX(1,INT(((CROQUIS!$C$98)-CROQUIS!$C$107)/MAX((CROQUIS!$C$129*MAX(1,CEILING((INT(((CROQUIS!$C$98)-CROQUIS!$C$107)/MAX(CROQUIS!$C$129,1))+1)/80,1))),1))+1))-1,0))*(CROQUIS!$C$129*MAX(1,CEILING((INT(((CROQUIS!$C$98)-CROQUIS!$C$107)/MAX(CROQUIS!$C$129,1))+1)/80,1))))))*CROQUIS!$C$159)+IF(CROQUIS!$C$92="X",0,0)),-1000)</f>
        <v>-1000</v>
      </c>
      <c r="BO118">
        <f>IF(AND(CROQUIS!$C$88=1,CROQUIS!$C$129&gt;0),((CROQUIS!$C$161+(IF(CROQUIS!$C$92="X",((CROQUIS!$C$107/2+(((CROQUIS!$C$98)-CROQUIS!$C$107)-(MAX(1,INT(((CROQUIS!$C$98)-CROQUIS!$C$107)/MAX((CROQUIS!$C$129*MAX(1,CEILING((INT(((CROQUIS!$C$98)-CROQUIS!$C$107)/MAX(CROQUIS!$C$129,1))+1)/80,1))),1))+1)-1)*(CROQUIS!$C$129*MAX(1,CEILING((INT(((CROQUIS!$C$98)-CROQUIS!$C$107)/MAX(CROQUIS!$C$129,1))+1)/80,1))))/2)+MIN(INT(($A118-1)/5),MAX((MAX(1,INT(((CROQUIS!$C$98)-CROQUIS!$C$107)/MAX((CROQUIS!$C$129*MAX(1,CEILING((INT(((CROQUIS!$C$98)-CROQUIS!$C$107)/MAX(CROQUIS!$C$129,1))+1)/80,1))),1))+1))-1,0))*(CROQUIS!$C$129*MAX(1,CEILING((INT(((CROQUIS!$C$98)-CROQUIS!$C$107)/MAX(CROQUIS!$C$129,1))+1)/80,1)))),CHOOSE(IF(INT(($A118-1)/5)&gt;MAX((MAX(1,INT(((CROQUIS!$C$98)-CROQUIS!$C$107)/MAX((CROQUIS!$C$129*MAX(1,CEILING((INT(((CROQUIS!$C$98)-CROQUIS!$C$107)/MAX(CROQUIS!$C$129,1))+1)/80,1))),1))+1))-1,0),0,MOD($A118-1,5))+1,0,2,CROQUIS!$C$97-2,2,0)))*CROQUIS!$C$159)+IF(CROQUIS!$C$92="X",0,0)),-1000)</f>
        <v>-1000</v>
      </c>
      <c r="BP118">
        <f>IF(AND(CROQUIS!$C$88=1,CROQUIS!$C$137&gt;0),((CROQUIS!$C$160+(IF(CROQUIS!$C$92="X",((CROQUIS!$C$107/2+(((CROQUIS!$C$97)-CROQUIS!$C$107)-(MAX(1,INT(((CROQUIS!$C$97)-CROQUIS!$C$107)/MAX((CROQUIS!$C$137*MAX(1,CEILING((INT(((CROQUIS!$C$97)-CROQUIS!$C$107)/MAX(CROQUIS!$C$137,1))+1)/80,1))),1))+1)-1)*(CROQUIS!$C$137*MAX(1,CEILING((INT(((CROQUIS!$C$97)-CROQUIS!$C$107)/MAX(CROQUIS!$C$137,1))+1)/80,1))))/2)+MIN(INT(($A118-1)/5),MAX((MAX(1,INT(((CROQUIS!$C$97)-CROQUIS!$C$107)/MAX((CROQUIS!$C$137*MAX(1,CEILING((INT(((CROQUIS!$C$97)-CROQUIS!$C$107)/MAX(CROQUIS!$C$137,1))+1)/80,1))),1))+1))-1,0))*(CROQUIS!$C$137*MAX(1,CEILING((INT(((CROQUIS!$C$97)-CROQUIS!$C$107)/MAX(CROQUIS!$C$137,1))+1)/80,1)))),CHOOSE(IF(INT(($A118-1)/5)&gt;MAX((MAX(1,INT(((CROQUIS!$C$97)-CROQUIS!$C$107)/MAX((CROQUIS!$C$137*MAX(1,CEILING((INT(((CROQUIS!$C$97)-CROQUIS!$C$107)/MAX(CROQUIS!$C$137,1))+1)/80,1))),1))+1))-1,0),0,MOD($A118-1,5))+1,0,2,CROQUIS!$C$98-2,2,0)))*CROQUIS!$C$159)+IF(CROQUIS!$C$92="X",0,0)),-1000)</f>
        <v>-1000</v>
      </c>
      <c r="BQ118">
        <f>IF(AND(CROQUIS!$C$88=1,CROQUIS!$C$137&gt;0),((CROQUIS!$C$161+(IF(CROQUIS!$C$92="X",CHOOSE(IF(INT(($A118-1)/5)&gt;MAX((MAX(1,INT(((CROQUIS!$C$97)-CROQUIS!$C$107)/MAX((CROQUIS!$C$137*MAX(1,CEILING((INT(((CROQUIS!$C$97)-CROQUIS!$C$107)/MAX(CROQUIS!$C$137,1))+1)/80,1))),1))+1))-1,0),0,MOD($A118-1,5))+1,0,2,CROQUIS!$C$98-2,2,0),((CROQUIS!$C$107/2+(((CROQUIS!$C$97)-CROQUIS!$C$107)-(MAX(1,INT(((CROQUIS!$C$97)-CROQUIS!$C$107)/MAX((CROQUIS!$C$137*MAX(1,CEILING((INT(((CROQUIS!$C$97)-CROQUIS!$C$107)/MAX(CROQUIS!$C$137,1))+1)/80,1))),1))+1)-1)*(CROQUIS!$C$137*MAX(1,CEILING((INT(((CROQUIS!$C$97)-CROQUIS!$C$107)/MAX(CROQUIS!$C$137,1))+1)/80,1))))/2)+MIN(INT(($A118-1)/5),MAX((MAX(1,INT(((CROQUIS!$C$97)-CROQUIS!$C$107)/MAX((CROQUIS!$C$137*MAX(1,CEILING((INT(((CROQUIS!$C$97)-CROQUIS!$C$107)/MAX(CROQUIS!$C$137,1))+1)/80,1))),1))+1))-1,0))*(CROQUIS!$C$137*MAX(1,CEILING((INT(((CROQUIS!$C$97)-CROQUIS!$C$107)/MAX(CROQUIS!$C$137,1))+1)/80,1))))))*CROQUIS!$C$159)+IF(CROQUIS!$C$92="X",0,0)),-1000)</f>
        <v>-1000</v>
      </c>
      <c r="BR118">
        <f>IF(AND(CROQUIS!$C$88=1,CROQUIS!$C$91=0,CROQUIS!$C$133&gt;0,OR(CROQUIS!$C$103=1,CROQUIS!$C$145=1)),((CROQUIS!$C$160+(IF(CROQUIS!$C$92="X",CHOOSE(IF(INT(($A118-1)/5)&gt;MAX((MAX(1,INT(((CROQUIS!$C$98)-CROQUIS!$C$107)/MAX((CROQUIS!$C$133*MAX(1,CEILING((INT(((CROQUIS!$C$98)-CROQUIS!$C$107)/MAX(CROQUIS!$C$133,1))+1)/80,1))),1))+1))-1,0),0,MOD($A118-1,5))+1,0,IF(CROQUIS!$C$103=1,-12,2),CROQUIS!$C$107/2+CROQUIS!$C$143,IF(CROQUIS!$C$103=1,-12,2),0),((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BS1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+1,0,IF(CROQUIS!$C$103=1,-12,2),CROQUIS!$C$107/2+CROQUIS!$C$143,IF(CROQUIS!$C$103=1,-12,2),0)))*CROQUIS!$C$159)+IF(CROQUIS!$C$92="X",0.8,0)),-1000)</f>
        <v>-1000</v>
      </c>
      <c r="BT118">
        <f>IF(AND(CROQUIS!$C$88=1,CROQUIS!$C$91=0,CROQUIS!$C$133&gt;0,OR(CROQUIS!$C$104=1,CROQUIS!$C$145=1)),((CROQUIS!$C$160+(IF(CROQUIS!$C$92="X",CHOOSE(IF(INT(($A118-1)/5)&gt;MAX((MAX(1,INT(((CROQUIS!$C$98)-CROQUIS!$C$107)/MAX((CROQUIS!$C$133*MAX(1,CEILING((INT(((CROQUIS!$C$98)-CROQUIS!$C$107)/MAX(CROQUIS!$C$133,1))+1)/80,1))),1))+1))-1,0),0,MOD($A118-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BU1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CROQUIS!$C$97,CROQUIS!$C$97-CROQUIS!$C$107/2-CROQUIS!$C$143,IF(CROQUIS!$C$104=1,CROQUIS!$C$97+12,CROQUIS!$C$97-2),CROQUIS!$C$97-CROQUIS!$C$107/2-CROQUIS!$C$143,CROQUIS!$C$97)))*CROQUIS!$C$159)+IF(CROQUIS!$C$92="X",0.8,0)),-1000)</f>
        <v>-1000</v>
      </c>
      <c r="BV1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HOOSE(IF(INT(($A118-1)/5)&gt;MAX((MAX(1,INT(((CROQUIS!$C$97)-CROQUIS!$C$107)/MAX((CROQUIS!$C$141*MAX(1,CEILING((INT(((CROQUIS!$C$97)-CROQUIS!$C$107)/MAX(CROQUIS!$C$141,1))+1)/80,1))),1))+1))-1,0),0,MOD($A118-1,5))+1,0,IF(CROQUIS!$C$105=1,-12,2),CROQUIS!$C$107/2+CROQUIS!$C$144,IF(CROQUIS!$C$105=1,-12,2),0)))*CROQUIS!$C$159)+IF(CROQUIS!$C$92="X",0.8,0)),-1000)</f>
        <v>-1000</v>
      </c>
      <c r="BW118">
        <f>IF(AND(CROQUIS!$C$88=1,CROQUIS!$C$91=0,CROQUIS!$C$141&gt;0,OR(CROQUIS!$C$105=1,CROQUIS!$C$146=1)),((CROQUIS!$C$161+(IF(CROQUIS!$C$92="X",CHOOSE(IF(INT(($A118-1)/5)&gt;MAX((MAX(1,INT(((CROQUIS!$C$97)-CROQUIS!$C$107)/MAX((CROQUIS!$C$141*MAX(1,CEILING((INT(((CROQUIS!$C$97)-CROQUIS!$C$107)/MAX(CROQUIS!$C$141,1))+1)/80,1))),1))+1))-1,0),0,MOD($A118-1,5))+1,0,IF(CROQUIS!$C$105=1,-12,2),CROQUIS!$C$107/2+CROQUIS!$C$144,IF(CROQUIS!$C$105=1,-12,2),0),((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ROQUIS!$C$159)+IF(CROQUIS!$C$92="X",0,0.8)),-1000)</f>
        <v>-1000</v>
      </c>
      <c r="BX1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HOOSE(IF(INT(($A118-1)/5)&gt;MAX((MAX(1,INT(((CROQUIS!$C$97)-CROQUIS!$C$107)/MAX((CROQUIS!$C$141*MAX(1,CEILING((INT(((CROQUIS!$C$97)-CROQUIS!$C$107)/MAX(CROQUIS!$C$141,1))+1)/80,1))),1))+1))-1,0),0,MOD($A118-1,5))+1,CROQUIS!$C$98,CROQUIS!$C$98-CROQUIS!$C$107/2-CROQUIS!$C$144,IF(CROQUIS!$C$106=1,CROQUIS!$C$98+12,CROQUIS!$C$98-2),CROQUIS!$C$98-CROQUIS!$C$107/2-CROQUIS!$C$144,CROQUIS!$C$98)))*CROQUIS!$C$159)+IF(CROQUIS!$C$92="X",0.8,0)),-1000)</f>
        <v>-1000</v>
      </c>
      <c r="BY118">
        <f>IF(AND(CROQUIS!$C$88=1,CROQUIS!$C$91=0,CROQUIS!$C$141&gt;0,OR(CROQUIS!$C$106=1,CROQUIS!$C$146=1)),((CROQUIS!$C$161+(IF(CROQUIS!$C$92="X",CHOOSE(IF(INT(($A118-1)/5)&gt;MAX((MAX(1,INT(((CROQUIS!$C$97)-CROQUIS!$C$107)/MAX((CROQUIS!$C$141*MAX(1,CEILING((INT(((CROQUIS!$C$97)-CROQUIS!$C$107)/MAX(CROQUIS!$C$141,1))+1)/80,1))),1))+1))-1,0),0,MOD($A118-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ROQUIS!$C$159)+IF(CROQUIS!$C$92="X",0,0.8)),-1000)</f>
        <v>-1000</v>
      </c>
      <c r="BZ118">
        <f>IF(AND(CROQUIS!$C$88=1,CROQUIS!$C$91=1,CROQUIS!$C$133&gt;0),((CROQUIS!$C$160+(IF(CROQUIS!$C$92="X",CHOOSE(IF(INT(($A118-1)/5)&gt;MAX((MAX(1,INT(((CROQUIS!$C$98)-CROQUIS!$C$107)/MAX((CROQUIS!$C$133*MAX(1,CEILING((INT(((CROQUIS!$C$98)-CROQUIS!$C$107)/MAX(CROQUIS!$C$133,1))+1)/80,1))),1))+1))-1,0),0,MOD($A118-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CA118">
        <f>IF(AND(CROQUIS!$C$88=1,CROQUIS!$C$91=1,CROQUIS!$C$133&gt;0),((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9">
      <c r="A119" t="n">
        <v>112</v>
      </c>
      <c r="BN119">
        <f>IF(AND(CROQUIS!$C$88=1,CROQUIS!$C$129&gt;0),((CROQUIS!$C$160+(IF(CROQUIS!$C$92="X",CHOOSE(IF(INT(($A119-1)/5)&gt;MAX((MAX(1,INT(((CROQUIS!$C$98)-CROQUIS!$C$107)/MAX((CROQUIS!$C$129*MAX(1,CEILING((INT(((CROQUIS!$C$98)-CROQUIS!$C$107)/MAX(CROQUIS!$C$129,1))+1)/80,1))),1))+1))-1,0),0,MOD($A119-1,5))+1,0,2,CROQUIS!$C$97-2,2,0),((CROQUIS!$C$107/2+(((CROQUIS!$C$98)-CROQUIS!$C$107)-(MAX(1,INT(((CROQUIS!$C$98)-CROQUIS!$C$107)/MAX((CROQUIS!$C$129*MAX(1,CEILING((INT(((CROQUIS!$C$98)-CROQUIS!$C$107)/MAX(CROQUIS!$C$129,1))+1)/80,1))),1))+1)-1)*(CROQUIS!$C$129*MAX(1,CEILING((INT(((CROQUIS!$C$98)-CROQUIS!$C$107)/MAX(CROQUIS!$C$129,1))+1)/80,1))))/2)+MIN(INT(($A119-1)/5),MAX((MAX(1,INT(((CROQUIS!$C$98)-CROQUIS!$C$107)/MAX((CROQUIS!$C$129*MAX(1,CEILING((INT(((CROQUIS!$C$98)-CROQUIS!$C$107)/MAX(CROQUIS!$C$129,1))+1)/80,1))),1))+1))-1,0))*(CROQUIS!$C$129*MAX(1,CEILING((INT(((CROQUIS!$C$98)-CROQUIS!$C$107)/MAX(CROQUIS!$C$129,1))+1)/80,1))))))*CROQUIS!$C$159)+IF(CROQUIS!$C$92="X",0,0)),-1000)</f>
        <v>-1000</v>
      </c>
      <c r="BO119">
        <f>IF(AND(CROQUIS!$C$88=1,CROQUIS!$C$129&gt;0),((CROQUIS!$C$161+(IF(CROQUIS!$C$92="X",((CROQUIS!$C$107/2+(((CROQUIS!$C$98)-CROQUIS!$C$107)-(MAX(1,INT(((CROQUIS!$C$98)-CROQUIS!$C$107)/MAX((CROQUIS!$C$129*MAX(1,CEILING((INT(((CROQUIS!$C$98)-CROQUIS!$C$107)/MAX(CROQUIS!$C$129,1))+1)/80,1))),1))+1)-1)*(CROQUIS!$C$129*MAX(1,CEILING((INT(((CROQUIS!$C$98)-CROQUIS!$C$107)/MAX(CROQUIS!$C$129,1))+1)/80,1))))/2)+MIN(INT(($A119-1)/5),MAX((MAX(1,INT(((CROQUIS!$C$98)-CROQUIS!$C$107)/MAX((CROQUIS!$C$129*MAX(1,CEILING((INT(((CROQUIS!$C$98)-CROQUIS!$C$107)/MAX(CROQUIS!$C$129,1))+1)/80,1))),1))+1))-1,0))*(CROQUIS!$C$129*MAX(1,CEILING((INT(((CROQUIS!$C$98)-CROQUIS!$C$107)/MAX(CROQUIS!$C$129,1))+1)/80,1)))),CHOOSE(IF(INT(($A119-1)/5)&gt;MAX((MAX(1,INT(((CROQUIS!$C$98)-CROQUIS!$C$107)/MAX((CROQUIS!$C$129*MAX(1,CEILING((INT(((CROQUIS!$C$98)-CROQUIS!$C$107)/MAX(CROQUIS!$C$129,1))+1)/80,1))),1))+1))-1,0),0,MOD($A119-1,5))+1,0,2,CROQUIS!$C$97-2,2,0)))*CROQUIS!$C$159)+IF(CROQUIS!$C$92="X",0,0)),-1000)</f>
        <v>-1000</v>
      </c>
      <c r="BP119">
        <f>IF(AND(CROQUIS!$C$88=1,CROQUIS!$C$137&gt;0),((CROQUIS!$C$160+(IF(CROQUIS!$C$92="X",((CROQUIS!$C$107/2+(((CROQUIS!$C$97)-CROQUIS!$C$107)-(MAX(1,INT(((CROQUIS!$C$97)-CROQUIS!$C$107)/MAX((CROQUIS!$C$137*MAX(1,CEILING((INT(((CROQUIS!$C$97)-CROQUIS!$C$107)/MAX(CROQUIS!$C$137,1))+1)/80,1))),1))+1)-1)*(CROQUIS!$C$137*MAX(1,CEILING((INT(((CROQUIS!$C$97)-CROQUIS!$C$107)/MAX(CROQUIS!$C$137,1))+1)/80,1))))/2)+MIN(INT(($A119-1)/5),MAX((MAX(1,INT(((CROQUIS!$C$97)-CROQUIS!$C$107)/MAX((CROQUIS!$C$137*MAX(1,CEILING((INT(((CROQUIS!$C$97)-CROQUIS!$C$107)/MAX(CROQUIS!$C$137,1))+1)/80,1))),1))+1))-1,0))*(CROQUIS!$C$137*MAX(1,CEILING((INT(((CROQUIS!$C$97)-CROQUIS!$C$107)/MAX(CROQUIS!$C$137,1))+1)/80,1)))),CHOOSE(IF(INT(($A119-1)/5)&gt;MAX((MAX(1,INT(((CROQUIS!$C$97)-CROQUIS!$C$107)/MAX((CROQUIS!$C$137*MAX(1,CEILING((INT(((CROQUIS!$C$97)-CROQUIS!$C$107)/MAX(CROQUIS!$C$137,1))+1)/80,1))),1))+1))-1,0),0,MOD($A119-1,5))+1,0,2,CROQUIS!$C$98-2,2,0)))*CROQUIS!$C$159)+IF(CROQUIS!$C$92="X",0,0)),-1000)</f>
        <v>-1000</v>
      </c>
      <c r="BQ119">
        <f>IF(AND(CROQUIS!$C$88=1,CROQUIS!$C$137&gt;0),((CROQUIS!$C$161+(IF(CROQUIS!$C$92="X",CHOOSE(IF(INT(($A119-1)/5)&gt;MAX((MAX(1,INT(((CROQUIS!$C$97)-CROQUIS!$C$107)/MAX((CROQUIS!$C$137*MAX(1,CEILING((INT(((CROQUIS!$C$97)-CROQUIS!$C$107)/MAX(CROQUIS!$C$137,1))+1)/80,1))),1))+1))-1,0),0,MOD($A119-1,5))+1,0,2,CROQUIS!$C$98-2,2,0),((CROQUIS!$C$107/2+(((CROQUIS!$C$97)-CROQUIS!$C$107)-(MAX(1,INT(((CROQUIS!$C$97)-CROQUIS!$C$107)/MAX((CROQUIS!$C$137*MAX(1,CEILING((INT(((CROQUIS!$C$97)-CROQUIS!$C$107)/MAX(CROQUIS!$C$137,1))+1)/80,1))),1))+1)-1)*(CROQUIS!$C$137*MAX(1,CEILING((INT(((CROQUIS!$C$97)-CROQUIS!$C$107)/MAX(CROQUIS!$C$137,1))+1)/80,1))))/2)+MIN(INT(($A119-1)/5),MAX((MAX(1,INT(((CROQUIS!$C$97)-CROQUIS!$C$107)/MAX((CROQUIS!$C$137*MAX(1,CEILING((INT(((CROQUIS!$C$97)-CROQUIS!$C$107)/MAX(CROQUIS!$C$137,1))+1)/80,1))),1))+1))-1,0))*(CROQUIS!$C$137*MAX(1,CEILING((INT(((CROQUIS!$C$97)-CROQUIS!$C$107)/MAX(CROQUIS!$C$137,1))+1)/80,1))))))*CROQUIS!$C$159)+IF(CROQUIS!$C$92="X",0,0)),-1000)</f>
        <v>-1000</v>
      </c>
      <c r="BR119">
        <f>IF(AND(CROQUIS!$C$88=1,CROQUIS!$C$91=0,CROQUIS!$C$133&gt;0,OR(CROQUIS!$C$103=1,CROQUIS!$C$145=1)),((CROQUIS!$C$160+(IF(CROQUIS!$C$92="X",CHOOSE(IF(INT(($A119-1)/5)&gt;MAX((MAX(1,INT(((CROQUIS!$C$98)-CROQUIS!$C$107)/MAX((CROQUIS!$C$133*MAX(1,CEILING((INT(((CROQUIS!$C$98)-CROQUIS!$C$107)/MAX(CROQUIS!$C$133,1))+1)/80,1))),1))+1))-1,0),0,MOD($A119-1,5))+1,0,IF(CROQUIS!$C$103=1,-12,2),CROQUIS!$C$107/2+CROQUIS!$C$143,IF(CROQUIS!$C$103=1,-12,2),0),((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BS1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+1,0,IF(CROQUIS!$C$103=1,-12,2),CROQUIS!$C$107/2+CROQUIS!$C$143,IF(CROQUIS!$C$103=1,-12,2),0)))*CROQUIS!$C$159)+IF(CROQUIS!$C$92="X",0.8,0)),-1000)</f>
        <v>-1000</v>
      </c>
      <c r="BT119">
        <f>IF(AND(CROQUIS!$C$88=1,CROQUIS!$C$91=0,CROQUIS!$C$133&gt;0,OR(CROQUIS!$C$104=1,CROQUIS!$C$145=1)),((CROQUIS!$C$160+(IF(CROQUIS!$C$92="X",CHOOSE(IF(INT(($A119-1)/5)&gt;MAX((MAX(1,INT(((CROQUIS!$C$98)-CROQUIS!$C$107)/MAX((CROQUIS!$C$133*MAX(1,CEILING((INT(((CROQUIS!$C$98)-CROQUIS!$C$107)/MAX(CROQUIS!$C$133,1))+1)/80,1))),1))+1))-1,0),0,MOD($A119-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BU1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CROQUIS!$C$97,CROQUIS!$C$97-CROQUIS!$C$107/2-CROQUIS!$C$143,IF(CROQUIS!$C$104=1,CROQUIS!$C$97+12,CROQUIS!$C$97-2),CROQUIS!$C$97-CROQUIS!$C$107/2-CROQUIS!$C$143,CROQUIS!$C$97)))*CROQUIS!$C$159)+IF(CROQUIS!$C$92="X",0.8,0)),-1000)</f>
        <v>-1000</v>
      </c>
      <c r="BV1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HOOSE(IF(INT(($A119-1)/5)&gt;MAX((MAX(1,INT(((CROQUIS!$C$97)-CROQUIS!$C$107)/MAX((CROQUIS!$C$141*MAX(1,CEILING((INT(((CROQUIS!$C$97)-CROQUIS!$C$107)/MAX(CROQUIS!$C$141,1))+1)/80,1))),1))+1))-1,0),0,MOD($A119-1,5))+1,0,IF(CROQUIS!$C$105=1,-12,2),CROQUIS!$C$107/2+CROQUIS!$C$144,IF(CROQUIS!$C$105=1,-12,2),0)))*CROQUIS!$C$159)+IF(CROQUIS!$C$92="X",0.8,0)),-1000)</f>
        <v>-1000</v>
      </c>
      <c r="BW119">
        <f>IF(AND(CROQUIS!$C$88=1,CROQUIS!$C$91=0,CROQUIS!$C$141&gt;0,OR(CROQUIS!$C$105=1,CROQUIS!$C$146=1)),((CROQUIS!$C$161+(IF(CROQUIS!$C$92="X",CHOOSE(IF(INT(($A119-1)/5)&gt;MAX((MAX(1,INT(((CROQUIS!$C$97)-CROQUIS!$C$107)/MAX((CROQUIS!$C$141*MAX(1,CEILING((INT(((CROQUIS!$C$97)-CROQUIS!$C$107)/MAX(CROQUIS!$C$141,1))+1)/80,1))),1))+1))-1,0),0,MOD($A119-1,5))+1,0,IF(CROQUIS!$C$105=1,-12,2),CROQUIS!$C$107/2+CROQUIS!$C$144,IF(CROQUIS!$C$105=1,-12,2),0),((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ROQUIS!$C$159)+IF(CROQUIS!$C$92="X",0,0.8)),-1000)</f>
        <v>-1000</v>
      </c>
      <c r="BX1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HOOSE(IF(INT(($A119-1)/5)&gt;MAX((MAX(1,INT(((CROQUIS!$C$97)-CROQUIS!$C$107)/MAX((CROQUIS!$C$141*MAX(1,CEILING((INT(((CROQUIS!$C$97)-CROQUIS!$C$107)/MAX(CROQUIS!$C$141,1))+1)/80,1))),1))+1))-1,0),0,MOD($A119-1,5))+1,CROQUIS!$C$98,CROQUIS!$C$98-CROQUIS!$C$107/2-CROQUIS!$C$144,IF(CROQUIS!$C$106=1,CROQUIS!$C$98+12,CROQUIS!$C$98-2),CROQUIS!$C$98-CROQUIS!$C$107/2-CROQUIS!$C$144,CROQUIS!$C$98)))*CROQUIS!$C$159)+IF(CROQUIS!$C$92="X",0.8,0)),-1000)</f>
        <v>-1000</v>
      </c>
      <c r="BY119">
        <f>IF(AND(CROQUIS!$C$88=1,CROQUIS!$C$91=0,CROQUIS!$C$141&gt;0,OR(CROQUIS!$C$106=1,CROQUIS!$C$146=1)),((CROQUIS!$C$161+(IF(CROQUIS!$C$92="X",CHOOSE(IF(INT(($A119-1)/5)&gt;MAX((MAX(1,INT(((CROQUIS!$C$97)-CROQUIS!$C$107)/MAX((CROQUIS!$C$141*MAX(1,CEILING((INT(((CROQUIS!$C$97)-CROQUIS!$C$107)/MAX(CROQUIS!$C$141,1))+1)/80,1))),1))+1))-1,0),0,MOD($A119-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ROQUIS!$C$159)+IF(CROQUIS!$C$92="X",0,0.8)),-1000)</f>
        <v>-1000</v>
      </c>
      <c r="BZ119">
        <f>IF(AND(CROQUIS!$C$88=1,CROQUIS!$C$91=1,CROQUIS!$C$133&gt;0),((CROQUIS!$C$160+(IF(CROQUIS!$C$92="X",CHOOSE(IF(INT(($A119-1)/5)&gt;MAX((MAX(1,INT(((CROQUIS!$C$98)-CROQUIS!$C$107)/MAX((CROQUIS!$C$133*MAX(1,CEILING((INT(((CROQUIS!$C$98)-CROQUIS!$C$107)/MAX(CROQUIS!$C$133,1))+1)/80,1))),1))+1))-1,0),0,MOD($A119-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CA119">
        <f>IF(AND(CROQUIS!$C$88=1,CROQUIS!$C$91=1,CROQUIS!$C$133&gt;0),((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0">
      <c r="A120" t="n">
        <v>113</v>
      </c>
      <c r="BN120">
        <f>IF(AND(CROQUIS!$C$88=1,CROQUIS!$C$129&gt;0),((CROQUIS!$C$160+(IF(CROQUIS!$C$92="X",CHOOSE(IF(INT(($A120-1)/5)&gt;MAX((MAX(1,INT(((CROQUIS!$C$98)-CROQUIS!$C$107)/MAX((CROQUIS!$C$129*MAX(1,CEILING((INT(((CROQUIS!$C$98)-CROQUIS!$C$107)/MAX(CROQUIS!$C$129,1))+1)/80,1))),1))+1))-1,0),0,MOD($A120-1,5))+1,0,2,CROQUIS!$C$97-2,2,0),((CROQUIS!$C$107/2+(((CROQUIS!$C$98)-CROQUIS!$C$107)-(MAX(1,INT(((CROQUIS!$C$98)-CROQUIS!$C$107)/MAX((CROQUIS!$C$129*MAX(1,CEILING((INT(((CROQUIS!$C$98)-CROQUIS!$C$107)/MAX(CROQUIS!$C$129,1))+1)/80,1))),1))+1)-1)*(CROQUIS!$C$129*MAX(1,CEILING((INT(((CROQUIS!$C$98)-CROQUIS!$C$107)/MAX(CROQUIS!$C$129,1))+1)/80,1))))/2)+MIN(INT(($A120-1)/5),MAX((MAX(1,INT(((CROQUIS!$C$98)-CROQUIS!$C$107)/MAX((CROQUIS!$C$129*MAX(1,CEILING((INT(((CROQUIS!$C$98)-CROQUIS!$C$107)/MAX(CROQUIS!$C$129,1))+1)/80,1))),1))+1))-1,0))*(CROQUIS!$C$129*MAX(1,CEILING((INT(((CROQUIS!$C$98)-CROQUIS!$C$107)/MAX(CROQUIS!$C$129,1))+1)/80,1))))))*CROQUIS!$C$159)+IF(CROQUIS!$C$92="X",0,0)),-1000)</f>
        <v>-1000</v>
      </c>
      <c r="BO120">
        <f>IF(AND(CROQUIS!$C$88=1,CROQUIS!$C$129&gt;0),((CROQUIS!$C$161+(IF(CROQUIS!$C$92="X",((CROQUIS!$C$107/2+(((CROQUIS!$C$98)-CROQUIS!$C$107)-(MAX(1,INT(((CROQUIS!$C$98)-CROQUIS!$C$107)/MAX((CROQUIS!$C$129*MAX(1,CEILING((INT(((CROQUIS!$C$98)-CROQUIS!$C$107)/MAX(CROQUIS!$C$129,1))+1)/80,1))),1))+1)-1)*(CROQUIS!$C$129*MAX(1,CEILING((INT(((CROQUIS!$C$98)-CROQUIS!$C$107)/MAX(CROQUIS!$C$129,1))+1)/80,1))))/2)+MIN(INT(($A120-1)/5),MAX((MAX(1,INT(((CROQUIS!$C$98)-CROQUIS!$C$107)/MAX((CROQUIS!$C$129*MAX(1,CEILING((INT(((CROQUIS!$C$98)-CROQUIS!$C$107)/MAX(CROQUIS!$C$129,1))+1)/80,1))),1))+1))-1,0))*(CROQUIS!$C$129*MAX(1,CEILING((INT(((CROQUIS!$C$98)-CROQUIS!$C$107)/MAX(CROQUIS!$C$129,1))+1)/80,1)))),CHOOSE(IF(INT(($A120-1)/5)&gt;MAX((MAX(1,INT(((CROQUIS!$C$98)-CROQUIS!$C$107)/MAX((CROQUIS!$C$129*MAX(1,CEILING((INT(((CROQUIS!$C$98)-CROQUIS!$C$107)/MAX(CROQUIS!$C$129,1))+1)/80,1))),1))+1))-1,0),0,MOD($A120-1,5))+1,0,2,CROQUIS!$C$97-2,2,0)))*CROQUIS!$C$159)+IF(CROQUIS!$C$92="X",0,0)),-1000)</f>
        <v>-1000</v>
      </c>
      <c r="BP120">
        <f>IF(AND(CROQUIS!$C$88=1,CROQUIS!$C$137&gt;0),((CROQUIS!$C$160+(IF(CROQUIS!$C$92="X",((CROQUIS!$C$107/2+(((CROQUIS!$C$97)-CROQUIS!$C$107)-(MAX(1,INT(((CROQUIS!$C$97)-CROQUIS!$C$107)/MAX((CROQUIS!$C$137*MAX(1,CEILING((INT(((CROQUIS!$C$97)-CROQUIS!$C$107)/MAX(CROQUIS!$C$137,1))+1)/80,1))),1))+1)-1)*(CROQUIS!$C$137*MAX(1,CEILING((INT(((CROQUIS!$C$97)-CROQUIS!$C$107)/MAX(CROQUIS!$C$137,1))+1)/80,1))))/2)+MIN(INT(($A120-1)/5),MAX((MAX(1,INT(((CROQUIS!$C$97)-CROQUIS!$C$107)/MAX((CROQUIS!$C$137*MAX(1,CEILING((INT(((CROQUIS!$C$97)-CROQUIS!$C$107)/MAX(CROQUIS!$C$137,1))+1)/80,1))),1))+1))-1,0))*(CROQUIS!$C$137*MAX(1,CEILING((INT(((CROQUIS!$C$97)-CROQUIS!$C$107)/MAX(CROQUIS!$C$137,1))+1)/80,1)))),CHOOSE(IF(INT(($A120-1)/5)&gt;MAX((MAX(1,INT(((CROQUIS!$C$97)-CROQUIS!$C$107)/MAX((CROQUIS!$C$137*MAX(1,CEILING((INT(((CROQUIS!$C$97)-CROQUIS!$C$107)/MAX(CROQUIS!$C$137,1))+1)/80,1))),1))+1))-1,0),0,MOD($A120-1,5))+1,0,2,CROQUIS!$C$98-2,2,0)))*CROQUIS!$C$159)+IF(CROQUIS!$C$92="X",0,0)),-1000)</f>
        <v>-1000</v>
      </c>
      <c r="BQ120">
        <f>IF(AND(CROQUIS!$C$88=1,CROQUIS!$C$137&gt;0),((CROQUIS!$C$161+(IF(CROQUIS!$C$92="X",CHOOSE(IF(INT(($A120-1)/5)&gt;MAX((MAX(1,INT(((CROQUIS!$C$97)-CROQUIS!$C$107)/MAX((CROQUIS!$C$137*MAX(1,CEILING((INT(((CROQUIS!$C$97)-CROQUIS!$C$107)/MAX(CROQUIS!$C$137,1))+1)/80,1))),1))+1))-1,0),0,MOD($A120-1,5))+1,0,2,CROQUIS!$C$98-2,2,0),((CROQUIS!$C$107/2+(((CROQUIS!$C$97)-CROQUIS!$C$107)-(MAX(1,INT(((CROQUIS!$C$97)-CROQUIS!$C$107)/MAX((CROQUIS!$C$137*MAX(1,CEILING((INT(((CROQUIS!$C$97)-CROQUIS!$C$107)/MAX(CROQUIS!$C$137,1))+1)/80,1))),1))+1)-1)*(CROQUIS!$C$137*MAX(1,CEILING((INT(((CROQUIS!$C$97)-CROQUIS!$C$107)/MAX(CROQUIS!$C$137,1))+1)/80,1))))/2)+MIN(INT(($A120-1)/5),MAX((MAX(1,INT(((CROQUIS!$C$97)-CROQUIS!$C$107)/MAX((CROQUIS!$C$137*MAX(1,CEILING((INT(((CROQUIS!$C$97)-CROQUIS!$C$107)/MAX(CROQUIS!$C$137,1))+1)/80,1))),1))+1))-1,0))*(CROQUIS!$C$137*MAX(1,CEILING((INT(((CROQUIS!$C$97)-CROQUIS!$C$107)/MAX(CROQUIS!$C$137,1))+1)/80,1))))))*CROQUIS!$C$159)+IF(CROQUIS!$C$92="X",0,0)),-1000)</f>
        <v>-1000</v>
      </c>
      <c r="BR120">
        <f>IF(AND(CROQUIS!$C$88=1,CROQUIS!$C$91=0,CROQUIS!$C$133&gt;0,OR(CROQUIS!$C$103=1,CROQUIS!$C$145=1)),((CROQUIS!$C$160+(IF(CROQUIS!$C$92="X",CHOOSE(IF(INT(($A120-1)/5)&gt;MAX((MAX(1,INT(((CROQUIS!$C$98)-CROQUIS!$C$107)/MAX((CROQUIS!$C$133*MAX(1,CEILING((INT(((CROQUIS!$C$98)-CROQUIS!$C$107)/MAX(CROQUIS!$C$133,1))+1)/80,1))),1))+1))-1,0),0,MOD($A120-1,5))+1,0,IF(CROQUIS!$C$103=1,-12,2),CROQUIS!$C$107/2+CROQUIS!$C$143,IF(CROQUIS!$C$103=1,-12,2),0),((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BS1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+1,0,IF(CROQUIS!$C$103=1,-12,2),CROQUIS!$C$107/2+CROQUIS!$C$143,IF(CROQUIS!$C$103=1,-12,2),0)))*CROQUIS!$C$159)+IF(CROQUIS!$C$92="X",0.8,0)),-1000)</f>
        <v>-1000</v>
      </c>
      <c r="BT120">
        <f>IF(AND(CROQUIS!$C$88=1,CROQUIS!$C$91=0,CROQUIS!$C$133&gt;0,OR(CROQUIS!$C$104=1,CROQUIS!$C$145=1)),((CROQUIS!$C$160+(IF(CROQUIS!$C$92="X",CHOOSE(IF(INT(($A120-1)/5)&gt;MAX((MAX(1,INT(((CROQUIS!$C$98)-CROQUIS!$C$107)/MAX((CROQUIS!$C$133*MAX(1,CEILING((INT(((CROQUIS!$C$98)-CROQUIS!$C$107)/MAX(CROQUIS!$C$133,1))+1)/80,1))),1))+1))-1,0),0,MOD($A120-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BU1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CROQUIS!$C$97,CROQUIS!$C$97-CROQUIS!$C$107/2-CROQUIS!$C$143,IF(CROQUIS!$C$104=1,CROQUIS!$C$97+12,CROQUIS!$C$97-2),CROQUIS!$C$97-CROQUIS!$C$107/2-CROQUIS!$C$143,CROQUIS!$C$97)))*CROQUIS!$C$159)+IF(CROQUIS!$C$92="X",0.8,0)),-1000)</f>
        <v>-1000</v>
      </c>
      <c r="BV1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HOOSE(IF(INT(($A120-1)/5)&gt;MAX((MAX(1,INT(((CROQUIS!$C$97)-CROQUIS!$C$107)/MAX((CROQUIS!$C$141*MAX(1,CEILING((INT(((CROQUIS!$C$97)-CROQUIS!$C$107)/MAX(CROQUIS!$C$141,1))+1)/80,1))),1))+1))-1,0),0,MOD($A120-1,5))+1,0,IF(CROQUIS!$C$105=1,-12,2),CROQUIS!$C$107/2+CROQUIS!$C$144,IF(CROQUIS!$C$105=1,-12,2),0)))*CROQUIS!$C$159)+IF(CROQUIS!$C$92="X",0.8,0)),-1000)</f>
        <v>-1000</v>
      </c>
      <c r="BW120">
        <f>IF(AND(CROQUIS!$C$88=1,CROQUIS!$C$91=0,CROQUIS!$C$141&gt;0,OR(CROQUIS!$C$105=1,CROQUIS!$C$146=1)),((CROQUIS!$C$161+(IF(CROQUIS!$C$92="X",CHOOSE(IF(INT(($A120-1)/5)&gt;MAX((MAX(1,INT(((CROQUIS!$C$97)-CROQUIS!$C$107)/MAX((CROQUIS!$C$141*MAX(1,CEILING((INT(((CROQUIS!$C$97)-CROQUIS!$C$107)/MAX(CROQUIS!$C$141,1))+1)/80,1))),1))+1))-1,0),0,MOD($A120-1,5))+1,0,IF(CROQUIS!$C$105=1,-12,2),CROQUIS!$C$107/2+CROQUIS!$C$144,IF(CROQUIS!$C$105=1,-12,2),0),((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ROQUIS!$C$159)+IF(CROQUIS!$C$92="X",0,0.8)),-1000)</f>
        <v>-1000</v>
      </c>
      <c r="BX1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HOOSE(IF(INT(($A120-1)/5)&gt;MAX((MAX(1,INT(((CROQUIS!$C$97)-CROQUIS!$C$107)/MAX((CROQUIS!$C$141*MAX(1,CEILING((INT(((CROQUIS!$C$97)-CROQUIS!$C$107)/MAX(CROQUIS!$C$141,1))+1)/80,1))),1))+1))-1,0),0,MOD($A120-1,5))+1,CROQUIS!$C$98,CROQUIS!$C$98-CROQUIS!$C$107/2-CROQUIS!$C$144,IF(CROQUIS!$C$106=1,CROQUIS!$C$98+12,CROQUIS!$C$98-2),CROQUIS!$C$98-CROQUIS!$C$107/2-CROQUIS!$C$144,CROQUIS!$C$98)))*CROQUIS!$C$159)+IF(CROQUIS!$C$92="X",0.8,0)),-1000)</f>
        <v>-1000</v>
      </c>
      <c r="BY120">
        <f>IF(AND(CROQUIS!$C$88=1,CROQUIS!$C$91=0,CROQUIS!$C$141&gt;0,OR(CROQUIS!$C$106=1,CROQUIS!$C$146=1)),((CROQUIS!$C$161+(IF(CROQUIS!$C$92="X",CHOOSE(IF(INT(($A120-1)/5)&gt;MAX((MAX(1,INT(((CROQUIS!$C$97)-CROQUIS!$C$107)/MAX((CROQUIS!$C$141*MAX(1,CEILING((INT(((CROQUIS!$C$97)-CROQUIS!$C$107)/MAX(CROQUIS!$C$141,1))+1)/80,1))),1))+1))-1,0),0,MOD($A120-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ROQUIS!$C$159)+IF(CROQUIS!$C$92="X",0,0.8)),-1000)</f>
        <v>-1000</v>
      </c>
      <c r="BZ120">
        <f>IF(AND(CROQUIS!$C$88=1,CROQUIS!$C$91=1,CROQUIS!$C$133&gt;0),((CROQUIS!$C$160+(IF(CROQUIS!$C$92="X",CHOOSE(IF(INT(($A120-1)/5)&gt;MAX((MAX(1,INT(((CROQUIS!$C$98)-CROQUIS!$C$107)/MAX((CROQUIS!$C$133*MAX(1,CEILING((INT(((CROQUIS!$C$98)-CROQUIS!$C$107)/MAX(CROQUIS!$C$133,1))+1)/80,1))),1))+1))-1,0),0,MOD($A120-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CA120">
        <f>IF(AND(CROQUIS!$C$88=1,CROQUIS!$C$91=1,CROQUIS!$C$133&gt;0),((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1">
      <c r="A121" t="n">
        <v>114</v>
      </c>
      <c r="BN121">
        <f>IF(AND(CROQUIS!$C$88=1,CROQUIS!$C$129&gt;0),((CROQUIS!$C$160+(IF(CROQUIS!$C$92="X",CHOOSE(IF(INT(($A121-1)/5)&gt;MAX((MAX(1,INT(((CROQUIS!$C$98)-CROQUIS!$C$107)/MAX((CROQUIS!$C$129*MAX(1,CEILING((INT(((CROQUIS!$C$98)-CROQUIS!$C$107)/MAX(CROQUIS!$C$129,1))+1)/80,1))),1))+1))-1,0),0,MOD($A121-1,5))+1,0,2,CROQUIS!$C$97-2,2,0),((CROQUIS!$C$107/2+(((CROQUIS!$C$98)-CROQUIS!$C$107)-(MAX(1,INT(((CROQUIS!$C$98)-CROQUIS!$C$107)/MAX((CROQUIS!$C$129*MAX(1,CEILING((INT(((CROQUIS!$C$98)-CROQUIS!$C$107)/MAX(CROQUIS!$C$129,1))+1)/80,1))),1))+1)-1)*(CROQUIS!$C$129*MAX(1,CEILING((INT(((CROQUIS!$C$98)-CROQUIS!$C$107)/MAX(CROQUIS!$C$129,1))+1)/80,1))))/2)+MIN(INT(($A121-1)/5),MAX((MAX(1,INT(((CROQUIS!$C$98)-CROQUIS!$C$107)/MAX((CROQUIS!$C$129*MAX(1,CEILING((INT(((CROQUIS!$C$98)-CROQUIS!$C$107)/MAX(CROQUIS!$C$129,1))+1)/80,1))),1))+1))-1,0))*(CROQUIS!$C$129*MAX(1,CEILING((INT(((CROQUIS!$C$98)-CROQUIS!$C$107)/MAX(CROQUIS!$C$129,1))+1)/80,1))))))*CROQUIS!$C$159)+IF(CROQUIS!$C$92="X",0,0)),-1000)</f>
        <v>-1000</v>
      </c>
      <c r="BO121">
        <f>IF(AND(CROQUIS!$C$88=1,CROQUIS!$C$129&gt;0),((CROQUIS!$C$161+(IF(CROQUIS!$C$92="X",((CROQUIS!$C$107/2+(((CROQUIS!$C$98)-CROQUIS!$C$107)-(MAX(1,INT(((CROQUIS!$C$98)-CROQUIS!$C$107)/MAX((CROQUIS!$C$129*MAX(1,CEILING((INT(((CROQUIS!$C$98)-CROQUIS!$C$107)/MAX(CROQUIS!$C$129,1))+1)/80,1))),1))+1)-1)*(CROQUIS!$C$129*MAX(1,CEILING((INT(((CROQUIS!$C$98)-CROQUIS!$C$107)/MAX(CROQUIS!$C$129,1))+1)/80,1))))/2)+MIN(INT(($A121-1)/5),MAX((MAX(1,INT(((CROQUIS!$C$98)-CROQUIS!$C$107)/MAX((CROQUIS!$C$129*MAX(1,CEILING((INT(((CROQUIS!$C$98)-CROQUIS!$C$107)/MAX(CROQUIS!$C$129,1))+1)/80,1))),1))+1))-1,0))*(CROQUIS!$C$129*MAX(1,CEILING((INT(((CROQUIS!$C$98)-CROQUIS!$C$107)/MAX(CROQUIS!$C$129,1))+1)/80,1)))),CHOOSE(IF(INT(($A121-1)/5)&gt;MAX((MAX(1,INT(((CROQUIS!$C$98)-CROQUIS!$C$107)/MAX((CROQUIS!$C$129*MAX(1,CEILING((INT(((CROQUIS!$C$98)-CROQUIS!$C$107)/MAX(CROQUIS!$C$129,1))+1)/80,1))),1))+1))-1,0),0,MOD($A121-1,5))+1,0,2,CROQUIS!$C$97-2,2,0)))*CROQUIS!$C$159)+IF(CROQUIS!$C$92="X",0,0)),-1000)</f>
        <v>-1000</v>
      </c>
      <c r="BP121">
        <f>IF(AND(CROQUIS!$C$88=1,CROQUIS!$C$137&gt;0),((CROQUIS!$C$160+(IF(CROQUIS!$C$92="X",((CROQUIS!$C$107/2+(((CROQUIS!$C$97)-CROQUIS!$C$107)-(MAX(1,INT(((CROQUIS!$C$97)-CROQUIS!$C$107)/MAX((CROQUIS!$C$137*MAX(1,CEILING((INT(((CROQUIS!$C$97)-CROQUIS!$C$107)/MAX(CROQUIS!$C$137,1))+1)/80,1))),1))+1)-1)*(CROQUIS!$C$137*MAX(1,CEILING((INT(((CROQUIS!$C$97)-CROQUIS!$C$107)/MAX(CROQUIS!$C$137,1))+1)/80,1))))/2)+MIN(INT(($A121-1)/5),MAX((MAX(1,INT(((CROQUIS!$C$97)-CROQUIS!$C$107)/MAX((CROQUIS!$C$137*MAX(1,CEILING((INT(((CROQUIS!$C$97)-CROQUIS!$C$107)/MAX(CROQUIS!$C$137,1))+1)/80,1))),1))+1))-1,0))*(CROQUIS!$C$137*MAX(1,CEILING((INT(((CROQUIS!$C$97)-CROQUIS!$C$107)/MAX(CROQUIS!$C$137,1))+1)/80,1)))),CHOOSE(IF(INT(($A121-1)/5)&gt;MAX((MAX(1,INT(((CROQUIS!$C$97)-CROQUIS!$C$107)/MAX((CROQUIS!$C$137*MAX(1,CEILING((INT(((CROQUIS!$C$97)-CROQUIS!$C$107)/MAX(CROQUIS!$C$137,1))+1)/80,1))),1))+1))-1,0),0,MOD($A121-1,5))+1,0,2,CROQUIS!$C$98-2,2,0)))*CROQUIS!$C$159)+IF(CROQUIS!$C$92="X",0,0)),-1000)</f>
        <v>-1000</v>
      </c>
      <c r="BQ121">
        <f>IF(AND(CROQUIS!$C$88=1,CROQUIS!$C$137&gt;0),((CROQUIS!$C$161+(IF(CROQUIS!$C$92="X",CHOOSE(IF(INT(($A121-1)/5)&gt;MAX((MAX(1,INT(((CROQUIS!$C$97)-CROQUIS!$C$107)/MAX((CROQUIS!$C$137*MAX(1,CEILING((INT(((CROQUIS!$C$97)-CROQUIS!$C$107)/MAX(CROQUIS!$C$137,1))+1)/80,1))),1))+1))-1,0),0,MOD($A121-1,5))+1,0,2,CROQUIS!$C$98-2,2,0),((CROQUIS!$C$107/2+(((CROQUIS!$C$97)-CROQUIS!$C$107)-(MAX(1,INT(((CROQUIS!$C$97)-CROQUIS!$C$107)/MAX((CROQUIS!$C$137*MAX(1,CEILING((INT(((CROQUIS!$C$97)-CROQUIS!$C$107)/MAX(CROQUIS!$C$137,1))+1)/80,1))),1))+1)-1)*(CROQUIS!$C$137*MAX(1,CEILING((INT(((CROQUIS!$C$97)-CROQUIS!$C$107)/MAX(CROQUIS!$C$137,1))+1)/80,1))))/2)+MIN(INT(($A121-1)/5),MAX((MAX(1,INT(((CROQUIS!$C$97)-CROQUIS!$C$107)/MAX((CROQUIS!$C$137*MAX(1,CEILING((INT(((CROQUIS!$C$97)-CROQUIS!$C$107)/MAX(CROQUIS!$C$137,1))+1)/80,1))),1))+1))-1,0))*(CROQUIS!$C$137*MAX(1,CEILING((INT(((CROQUIS!$C$97)-CROQUIS!$C$107)/MAX(CROQUIS!$C$137,1))+1)/80,1))))))*CROQUIS!$C$159)+IF(CROQUIS!$C$92="X",0,0)),-1000)</f>
        <v>-1000</v>
      </c>
      <c r="BR121">
        <f>IF(AND(CROQUIS!$C$88=1,CROQUIS!$C$91=0,CROQUIS!$C$133&gt;0,OR(CROQUIS!$C$103=1,CROQUIS!$C$145=1)),((CROQUIS!$C$160+(IF(CROQUIS!$C$92="X",CHOOSE(IF(INT(($A121-1)/5)&gt;MAX((MAX(1,INT(((CROQUIS!$C$98)-CROQUIS!$C$107)/MAX((CROQUIS!$C$133*MAX(1,CEILING((INT(((CROQUIS!$C$98)-CROQUIS!$C$107)/MAX(CROQUIS!$C$133,1))+1)/80,1))),1))+1))-1,0),0,MOD($A121-1,5))+1,0,IF(CROQUIS!$C$103=1,-12,2),CROQUIS!$C$107/2+CROQUIS!$C$143,IF(CROQUIS!$C$103=1,-12,2),0),((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BS1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+1,0,IF(CROQUIS!$C$103=1,-12,2),CROQUIS!$C$107/2+CROQUIS!$C$143,IF(CROQUIS!$C$103=1,-12,2),0)))*CROQUIS!$C$159)+IF(CROQUIS!$C$92="X",0.8,0)),-1000)</f>
        <v>-1000</v>
      </c>
      <c r="BT121">
        <f>IF(AND(CROQUIS!$C$88=1,CROQUIS!$C$91=0,CROQUIS!$C$133&gt;0,OR(CROQUIS!$C$104=1,CROQUIS!$C$145=1)),((CROQUIS!$C$160+(IF(CROQUIS!$C$92="X",CHOOSE(IF(INT(($A121-1)/5)&gt;MAX((MAX(1,INT(((CROQUIS!$C$98)-CROQUIS!$C$107)/MAX((CROQUIS!$C$133*MAX(1,CEILING((INT(((CROQUIS!$C$98)-CROQUIS!$C$107)/MAX(CROQUIS!$C$133,1))+1)/80,1))),1))+1))-1,0),0,MOD($A121-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BU1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CROQUIS!$C$97,CROQUIS!$C$97-CROQUIS!$C$107/2-CROQUIS!$C$143,IF(CROQUIS!$C$104=1,CROQUIS!$C$97+12,CROQUIS!$C$97-2),CROQUIS!$C$97-CROQUIS!$C$107/2-CROQUIS!$C$143,CROQUIS!$C$97)))*CROQUIS!$C$159)+IF(CROQUIS!$C$92="X",0.8,0)),-1000)</f>
        <v>-1000</v>
      </c>
      <c r="BV1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HOOSE(IF(INT(($A121-1)/5)&gt;MAX((MAX(1,INT(((CROQUIS!$C$97)-CROQUIS!$C$107)/MAX((CROQUIS!$C$141*MAX(1,CEILING((INT(((CROQUIS!$C$97)-CROQUIS!$C$107)/MAX(CROQUIS!$C$141,1))+1)/80,1))),1))+1))-1,0),0,MOD($A121-1,5))+1,0,IF(CROQUIS!$C$105=1,-12,2),CROQUIS!$C$107/2+CROQUIS!$C$144,IF(CROQUIS!$C$105=1,-12,2),0)))*CROQUIS!$C$159)+IF(CROQUIS!$C$92="X",0.8,0)),-1000)</f>
        <v>-1000</v>
      </c>
      <c r="BW121">
        <f>IF(AND(CROQUIS!$C$88=1,CROQUIS!$C$91=0,CROQUIS!$C$141&gt;0,OR(CROQUIS!$C$105=1,CROQUIS!$C$146=1)),((CROQUIS!$C$161+(IF(CROQUIS!$C$92="X",CHOOSE(IF(INT(($A121-1)/5)&gt;MAX((MAX(1,INT(((CROQUIS!$C$97)-CROQUIS!$C$107)/MAX((CROQUIS!$C$141*MAX(1,CEILING((INT(((CROQUIS!$C$97)-CROQUIS!$C$107)/MAX(CROQUIS!$C$141,1))+1)/80,1))),1))+1))-1,0),0,MOD($A121-1,5))+1,0,IF(CROQUIS!$C$105=1,-12,2),CROQUIS!$C$107/2+CROQUIS!$C$144,IF(CROQUIS!$C$105=1,-12,2),0),((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ROQUIS!$C$159)+IF(CROQUIS!$C$92="X",0,0.8)),-1000)</f>
        <v>-1000</v>
      </c>
      <c r="BX1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HOOSE(IF(INT(($A121-1)/5)&gt;MAX((MAX(1,INT(((CROQUIS!$C$97)-CROQUIS!$C$107)/MAX((CROQUIS!$C$141*MAX(1,CEILING((INT(((CROQUIS!$C$97)-CROQUIS!$C$107)/MAX(CROQUIS!$C$141,1))+1)/80,1))),1))+1))-1,0),0,MOD($A121-1,5))+1,CROQUIS!$C$98,CROQUIS!$C$98-CROQUIS!$C$107/2-CROQUIS!$C$144,IF(CROQUIS!$C$106=1,CROQUIS!$C$98+12,CROQUIS!$C$98-2),CROQUIS!$C$98-CROQUIS!$C$107/2-CROQUIS!$C$144,CROQUIS!$C$98)))*CROQUIS!$C$159)+IF(CROQUIS!$C$92="X",0.8,0)),-1000)</f>
        <v>-1000</v>
      </c>
      <c r="BY121">
        <f>IF(AND(CROQUIS!$C$88=1,CROQUIS!$C$91=0,CROQUIS!$C$141&gt;0,OR(CROQUIS!$C$106=1,CROQUIS!$C$146=1)),((CROQUIS!$C$161+(IF(CROQUIS!$C$92="X",CHOOSE(IF(INT(($A121-1)/5)&gt;MAX((MAX(1,INT(((CROQUIS!$C$97)-CROQUIS!$C$107)/MAX((CROQUIS!$C$141*MAX(1,CEILING((INT(((CROQUIS!$C$97)-CROQUIS!$C$107)/MAX(CROQUIS!$C$141,1))+1)/80,1))),1))+1))-1,0),0,MOD($A121-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ROQUIS!$C$159)+IF(CROQUIS!$C$92="X",0,0.8)),-1000)</f>
        <v>-1000</v>
      </c>
      <c r="BZ121">
        <f>IF(AND(CROQUIS!$C$88=1,CROQUIS!$C$91=1,CROQUIS!$C$133&gt;0),((CROQUIS!$C$160+(IF(CROQUIS!$C$92="X",CHOOSE(IF(INT(($A121-1)/5)&gt;MAX((MAX(1,INT(((CROQUIS!$C$98)-CROQUIS!$C$107)/MAX((CROQUIS!$C$133*MAX(1,CEILING((INT(((CROQUIS!$C$98)-CROQUIS!$C$107)/MAX(CROQUIS!$C$133,1))+1)/80,1))),1))+1))-1,0),0,MOD($A121-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CA121">
        <f>IF(AND(CROQUIS!$C$88=1,CROQUIS!$C$91=1,CROQUIS!$C$133&gt;0),((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2">
      <c r="A122" t="n">
        <v>115</v>
      </c>
      <c r="BN122">
        <f>IF(AND(CROQUIS!$C$88=1,CROQUIS!$C$129&gt;0),((CROQUIS!$C$160+(IF(CROQUIS!$C$92="X",CHOOSE(IF(INT(($A122-1)/5)&gt;MAX((MAX(1,INT(((CROQUIS!$C$98)-CROQUIS!$C$107)/MAX((CROQUIS!$C$129*MAX(1,CEILING((INT(((CROQUIS!$C$98)-CROQUIS!$C$107)/MAX(CROQUIS!$C$129,1))+1)/80,1))),1))+1))-1,0),0,MOD($A122-1,5))+1,0,2,CROQUIS!$C$97-2,2,0),((CROQUIS!$C$107/2+(((CROQUIS!$C$98)-CROQUIS!$C$107)-(MAX(1,INT(((CROQUIS!$C$98)-CROQUIS!$C$107)/MAX((CROQUIS!$C$129*MAX(1,CEILING((INT(((CROQUIS!$C$98)-CROQUIS!$C$107)/MAX(CROQUIS!$C$129,1))+1)/80,1))),1))+1)-1)*(CROQUIS!$C$129*MAX(1,CEILING((INT(((CROQUIS!$C$98)-CROQUIS!$C$107)/MAX(CROQUIS!$C$129,1))+1)/80,1))))/2)+MIN(INT(($A122-1)/5),MAX((MAX(1,INT(((CROQUIS!$C$98)-CROQUIS!$C$107)/MAX((CROQUIS!$C$129*MAX(1,CEILING((INT(((CROQUIS!$C$98)-CROQUIS!$C$107)/MAX(CROQUIS!$C$129,1))+1)/80,1))),1))+1))-1,0))*(CROQUIS!$C$129*MAX(1,CEILING((INT(((CROQUIS!$C$98)-CROQUIS!$C$107)/MAX(CROQUIS!$C$129,1))+1)/80,1))))))*CROQUIS!$C$159)+IF(CROQUIS!$C$92="X",0,0)),-1000)</f>
        <v>-1000</v>
      </c>
      <c r="BO122">
        <f>IF(AND(CROQUIS!$C$88=1,CROQUIS!$C$129&gt;0),((CROQUIS!$C$161+(IF(CROQUIS!$C$92="X",((CROQUIS!$C$107/2+(((CROQUIS!$C$98)-CROQUIS!$C$107)-(MAX(1,INT(((CROQUIS!$C$98)-CROQUIS!$C$107)/MAX((CROQUIS!$C$129*MAX(1,CEILING((INT(((CROQUIS!$C$98)-CROQUIS!$C$107)/MAX(CROQUIS!$C$129,1))+1)/80,1))),1))+1)-1)*(CROQUIS!$C$129*MAX(1,CEILING((INT(((CROQUIS!$C$98)-CROQUIS!$C$107)/MAX(CROQUIS!$C$129,1))+1)/80,1))))/2)+MIN(INT(($A122-1)/5),MAX((MAX(1,INT(((CROQUIS!$C$98)-CROQUIS!$C$107)/MAX((CROQUIS!$C$129*MAX(1,CEILING((INT(((CROQUIS!$C$98)-CROQUIS!$C$107)/MAX(CROQUIS!$C$129,1))+1)/80,1))),1))+1))-1,0))*(CROQUIS!$C$129*MAX(1,CEILING((INT(((CROQUIS!$C$98)-CROQUIS!$C$107)/MAX(CROQUIS!$C$129,1))+1)/80,1)))),CHOOSE(IF(INT(($A122-1)/5)&gt;MAX((MAX(1,INT(((CROQUIS!$C$98)-CROQUIS!$C$107)/MAX((CROQUIS!$C$129*MAX(1,CEILING((INT(((CROQUIS!$C$98)-CROQUIS!$C$107)/MAX(CROQUIS!$C$129,1))+1)/80,1))),1))+1))-1,0),0,MOD($A122-1,5))+1,0,2,CROQUIS!$C$97-2,2,0)))*CROQUIS!$C$159)+IF(CROQUIS!$C$92="X",0,0)),-1000)</f>
        <v>-1000</v>
      </c>
      <c r="BP122">
        <f>IF(AND(CROQUIS!$C$88=1,CROQUIS!$C$137&gt;0),((CROQUIS!$C$160+(IF(CROQUIS!$C$92="X",((CROQUIS!$C$107/2+(((CROQUIS!$C$97)-CROQUIS!$C$107)-(MAX(1,INT(((CROQUIS!$C$97)-CROQUIS!$C$107)/MAX((CROQUIS!$C$137*MAX(1,CEILING((INT(((CROQUIS!$C$97)-CROQUIS!$C$107)/MAX(CROQUIS!$C$137,1))+1)/80,1))),1))+1)-1)*(CROQUIS!$C$137*MAX(1,CEILING((INT(((CROQUIS!$C$97)-CROQUIS!$C$107)/MAX(CROQUIS!$C$137,1))+1)/80,1))))/2)+MIN(INT(($A122-1)/5),MAX((MAX(1,INT(((CROQUIS!$C$97)-CROQUIS!$C$107)/MAX((CROQUIS!$C$137*MAX(1,CEILING((INT(((CROQUIS!$C$97)-CROQUIS!$C$107)/MAX(CROQUIS!$C$137,1))+1)/80,1))),1))+1))-1,0))*(CROQUIS!$C$137*MAX(1,CEILING((INT(((CROQUIS!$C$97)-CROQUIS!$C$107)/MAX(CROQUIS!$C$137,1))+1)/80,1)))),CHOOSE(IF(INT(($A122-1)/5)&gt;MAX((MAX(1,INT(((CROQUIS!$C$97)-CROQUIS!$C$107)/MAX((CROQUIS!$C$137*MAX(1,CEILING((INT(((CROQUIS!$C$97)-CROQUIS!$C$107)/MAX(CROQUIS!$C$137,1))+1)/80,1))),1))+1))-1,0),0,MOD($A122-1,5))+1,0,2,CROQUIS!$C$98-2,2,0)))*CROQUIS!$C$159)+IF(CROQUIS!$C$92="X",0,0)),-1000)</f>
        <v>-1000</v>
      </c>
      <c r="BQ122">
        <f>IF(AND(CROQUIS!$C$88=1,CROQUIS!$C$137&gt;0),((CROQUIS!$C$161+(IF(CROQUIS!$C$92="X",CHOOSE(IF(INT(($A122-1)/5)&gt;MAX((MAX(1,INT(((CROQUIS!$C$97)-CROQUIS!$C$107)/MAX((CROQUIS!$C$137*MAX(1,CEILING((INT(((CROQUIS!$C$97)-CROQUIS!$C$107)/MAX(CROQUIS!$C$137,1))+1)/80,1))),1))+1))-1,0),0,MOD($A122-1,5))+1,0,2,CROQUIS!$C$98-2,2,0),((CROQUIS!$C$107/2+(((CROQUIS!$C$97)-CROQUIS!$C$107)-(MAX(1,INT(((CROQUIS!$C$97)-CROQUIS!$C$107)/MAX((CROQUIS!$C$137*MAX(1,CEILING((INT(((CROQUIS!$C$97)-CROQUIS!$C$107)/MAX(CROQUIS!$C$137,1))+1)/80,1))),1))+1)-1)*(CROQUIS!$C$137*MAX(1,CEILING((INT(((CROQUIS!$C$97)-CROQUIS!$C$107)/MAX(CROQUIS!$C$137,1))+1)/80,1))))/2)+MIN(INT(($A122-1)/5),MAX((MAX(1,INT(((CROQUIS!$C$97)-CROQUIS!$C$107)/MAX((CROQUIS!$C$137*MAX(1,CEILING((INT(((CROQUIS!$C$97)-CROQUIS!$C$107)/MAX(CROQUIS!$C$137,1))+1)/80,1))),1))+1))-1,0))*(CROQUIS!$C$137*MAX(1,CEILING((INT(((CROQUIS!$C$97)-CROQUIS!$C$107)/MAX(CROQUIS!$C$137,1))+1)/80,1))))))*CROQUIS!$C$159)+IF(CROQUIS!$C$92="X",0,0)),-1000)</f>
        <v>-1000</v>
      </c>
      <c r="BR122">
        <f>IF(AND(CROQUIS!$C$88=1,CROQUIS!$C$91=0,CROQUIS!$C$133&gt;0,OR(CROQUIS!$C$103=1,CROQUIS!$C$145=1)),((CROQUIS!$C$160+(IF(CROQUIS!$C$92="X",CHOOSE(IF(INT(($A122-1)/5)&gt;MAX((MAX(1,INT(((CROQUIS!$C$98)-CROQUIS!$C$107)/MAX((CROQUIS!$C$133*MAX(1,CEILING((INT(((CROQUIS!$C$98)-CROQUIS!$C$107)/MAX(CROQUIS!$C$133,1))+1)/80,1))),1))+1))-1,0),0,MOD($A122-1,5))+1,0,IF(CROQUIS!$C$103=1,-12,2),CROQUIS!$C$107/2+CROQUIS!$C$143,IF(CROQUIS!$C$103=1,-12,2),0),((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BS1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+1,0,IF(CROQUIS!$C$103=1,-12,2),CROQUIS!$C$107/2+CROQUIS!$C$143,IF(CROQUIS!$C$103=1,-12,2),0)))*CROQUIS!$C$159)+IF(CROQUIS!$C$92="X",0.8,0)),-1000)</f>
        <v>-1000</v>
      </c>
      <c r="BT122">
        <f>IF(AND(CROQUIS!$C$88=1,CROQUIS!$C$91=0,CROQUIS!$C$133&gt;0,OR(CROQUIS!$C$104=1,CROQUIS!$C$145=1)),((CROQUIS!$C$160+(IF(CROQUIS!$C$92="X",CHOOSE(IF(INT(($A122-1)/5)&gt;MAX((MAX(1,INT(((CROQUIS!$C$98)-CROQUIS!$C$107)/MAX((CROQUIS!$C$133*MAX(1,CEILING((INT(((CROQUIS!$C$98)-CROQUIS!$C$107)/MAX(CROQUIS!$C$133,1))+1)/80,1))),1))+1))-1,0),0,MOD($A122-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BU1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CROQUIS!$C$97,CROQUIS!$C$97-CROQUIS!$C$107/2-CROQUIS!$C$143,IF(CROQUIS!$C$104=1,CROQUIS!$C$97+12,CROQUIS!$C$97-2),CROQUIS!$C$97-CROQUIS!$C$107/2-CROQUIS!$C$143,CROQUIS!$C$97)))*CROQUIS!$C$159)+IF(CROQUIS!$C$92="X",0.8,0)),-1000)</f>
        <v>-1000</v>
      </c>
      <c r="BV1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HOOSE(IF(INT(($A122-1)/5)&gt;MAX((MAX(1,INT(((CROQUIS!$C$97)-CROQUIS!$C$107)/MAX((CROQUIS!$C$141*MAX(1,CEILING((INT(((CROQUIS!$C$97)-CROQUIS!$C$107)/MAX(CROQUIS!$C$141,1))+1)/80,1))),1))+1))-1,0),0,MOD($A122-1,5))+1,0,IF(CROQUIS!$C$105=1,-12,2),CROQUIS!$C$107/2+CROQUIS!$C$144,IF(CROQUIS!$C$105=1,-12,2),0)))*CROQUIS!$C$159)+IF(CROQUIS!$C$92="X",0.8,0)),-1000)</f>
        <v>-1000</v>
      </c>
      <c r="BW122">
        <f>IF(AND(CROQUIS!$C$88=1,CROQUIS!$C$91=0,CROQUIS!$C$141&gt;0,OR(CROQUIS!$C$105=1,CROQUIS!$C$146=1)),((CROQUIS!$C$161+(IF(CROQUIS!$C$92="X",CHOOSE(IF(INT(($A122-1)/5)&gt;MAX((MAX(1,INT(((CROQUIS!$C$97)-CROQUIS!$C$107)/MAX((CROQUIS!$C$141*MAX(1,CEILING((INT(((CROQUIS!$C$97)-CROQUIS!$C$107)/MAX(CROQUIS!$C$141,1))+1)/80,1))),1))+1))-1,0),0,MOD($A122-1,5))+1,0,IF(CROQUIS!$C$105=1,-12,2),CROQUIS!$C$107/2+CROQUIS!$C$144,IF(CROQUIS!$C$105=1,-12,2),0),((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ROQUIS!$C$159)+IF(CROQUIS!$C$92="X",0,0.8)),-1000)</f>
        <v>-1000</v>
      </c>
      <c r="BX1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HOOSE(IF(INT(($A122-1)/5)&gt;MAX((MAX(1,INT(((CROQUIS!$C$97)-CROQUIS!$C$107)/MAX((CROQUIS!$C$141*MAX(1,CEILING((INT(((CROQUIS!$C$97)-CROQUIS!$C$107)/MAX(CROQUIS!$C$141,1))+1)/80,1))),1))+1))-1,0),0,MOD($A122-1,5))+1,CROQUIS!$C$98,CROQUIS!$C$98-CROQUIS!$C$107/2-CROQUIS!$C$144,IF(CROQUIS!$C$106=1,CROQUIS!$C$98+12,CROQUIS!$C$98-2),CROQUIS!$C$98-CROQUIS!$C$107/2-CROQUIS!$C$144,CROQUIS!$C$98)))*CROQUIS!$C$159)+IF(CROQUIS!$C$92="X",0.8,0)),-1000)</f>
        <v>-1000</v>
      </c>
      <c r="BY122">
        <f>IF(AND(CROQUIS!$C$88=1,CROQUIS!$C$91=0,CROQUIS!$C$141&gt;0,OR(CROQUIS!$C$106=1,CROQUIS!$C$146=1)),((CROQUIS!$C$161+(IF(CROQUIS!$C$92="X",CHOOSE(IF(INT(($A122-1)/5)&gt;MAX((MAX(1,INT(((CROQUIS!$C$97)-CROQUIS!$C$107)/MAX((CROQUIS!$C$141*MAX(1,CEILING((INT(((CROQUIS!$C$97)-CROQUIS!$C$107)/MAX(CROQUIS!$C$141,1))+1)/80,1))),1))+1))-1,0),0,MOD($A122-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ROQUIS!$C$159)+IF(CROQUIS!$C$92="X",0,0.8)),-1000)</f>
        <v>-1000</v>
      </c>
      <c r="BZ122">
        <f>IF(AND(CROQUIS!$C$88=1,CROQUIS!$C$91=1,CROQUIS!$C$133&gt;0),((CROQUIS!$C$160+(IF(CROQUIS!$C$92="X",CHOOSE(IF(INT(($A122-1)/5)&gt;MAX((MAX(1,INT(((CROQUIS!$C$98)-CROQUIS!$C$107)/MAX((CROQUIS!$C$133*MAX(1,CEILING((INT(((CROQUIS!$C$98)-CROQUIS!$C$107)/MAX(CROQUIS!$C$133,1))+1)/80,1))),1))+1))-1,0),0,MOD($A122-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CA122">
        <f>IF(AND(CROQUIS!$C$88=1,CROQUIS!$C$91=1,CROQUIS!$C$133&gt;0),((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3">
      <c r="A123" t="n">
        <v>116</v>
      </c>
      <c r="BN123">
        <f>IF(AND(CROQUIS!$C$88=1,CROQUIS!$C$129&gt;0),((CROQUIS!$C$160+(IF(CROQUIS!$C$92="X",CHOOSE(IF(INT(($A123-1)/5)&gt;MAX((MAX(1,INT(((CROQUIS!$C$98)-CROQUIS!$C$107)/MAX((CROQUIS!$C$129*MAX(1,CEILING((INT(((CROQUIS!$C$98)-CROQUIS!$C$107)/MAX(CROQUIS!$C$129,1))+1)/80,1))),1))+1))-1,0),0,MOD($A123-1,5))+1,0,2,CROQUIS!$C$97-2,2,0),((CROQUIS!$C$107/2+(((CROQUIS!$C$98)-CROQUIS!$C$107)-(MAX(1,INT(((CROQUIS!$C$98)-CROQUIS!$C$107)/MAX((CROQUIS!$C$129*MAX(1,CEILING((INT(((CROQUIS!$C$98)-CROQUIS!$C$107)/MAX(CROQUIS!$C$129,1))+1)/80,1))),1))+1)-1)*(CROQUIS!$C$129*MAX(1,CEILING((INT(((CROQUIS!$C$98)-CROQUIS!$C$107)/MAX(CROQUIS!$C$129,1))+1)/80,1))))/2)+MIN(INT(($A123-1)/5),MAX((MAX(1,INT(((CROQUIS!$C$98)-CROQUIS!$C$107)/MAX((CROQUIS!$C$129*MAX(1,CEILING((INT(((CROQUIS!$C$98)-CROQUIS!$C$107)/MAX(CROQUIS!$C$129,1))+1)/80,1))),1))+1))-1,0))*(CROQUIS!$C$129*MAX(1,CEILING((INT(((CROQUIS!$C$98)-CROQUIS!$C$107)/MAX(CROQUIS!$C$129,1))+1)/80,1))))))*CROQUIS!$C$159)+IF(CROQUIS!$C$92="X",0,0)),-1000)</f>
        <v>-1000</v>
      </c>
      <c r="BO123">
        <f>IF(AND(CROQUIS!$C$88=1,CROQUIS!$C$129&gt;0),((CROQUIS!$C$161+(IF(CROQUIS!$C$92="X",((CROQUIS!$C$107/2+(((CROQUIS!$C$98)-CROQUIS!$C$107)-(MAX(1,INT(((CROQUIS!$C$98)-CROQUIS!$C$107)/MAX((CROQUIS!$C$129*MAX(1,CEILING((INT(((CROQUIS!$C$98)-CROQUIS!$C$107)/MAX(CROQUIS!$C$129,1))+1)/80,1))),1))+1)-1)*(CROQUIS!$C$129*MAX(1,CEILING((INT(((CROQUIS!$C$98)-CROQUIS!$C$107)/MAX(CROQUIS!$C$129,1))+1)/80,1))))/2)+MIN(INT(($A123-1)/5),MAX((MAX(1,INT(((CROQUIS!$C$98)-CROQUIS!$C$107)/MAX((CROQUIS!$C$129*MAX(1,CEILING((INT(((CROQUIS!$C$98)-CROQUIS!$C$107)/MAX(CROQUIS!$C$129,1))+1)/80,1))),1))+1))-1,0))*(CROQUIS!$C$129*MAX(1,CEILING((INT(((CROQUIS!$C$98)-CROQUIS!$C$107)/MAX(CROQUIS!$C$129,1))+1)/80,1)))),CHOOSE(IF(INT(($A123-1)/5)&gt;MAX((MAX(1,INT(((CROQUIS!$C$98)-CROQUIS!$C$107)/MAX((CROQUIS!$C$129*MAX(1,CEILING((INT(((CROQUIS!$C$98)-CROQUIS!$C$107)/MAX(CROQUIS!$C$129,1))+1)/80,1))),1))+1))-1,0),0,MOD($A123-1,5))+1,0,2,CROQUIS!$C$97-2,2,0)))*CROQUIS!$C$159)+IF(CROQUIS!$C$92="X",0,0)),-1000)</f>
        <v>-1000</v>
      </c>
      <c r="BP123">
        <f>IF(AND(CROQUIS!$C$88=1,CROQUIS!$C$137&gt;0),((CROQUIS!$C$160+(IF(CROQUIS!$C$92="X",((CROQUIS!$C$107/2+(((CROQUIS!$C$97)-CROQUIS!$C$107)-(MAX(1,INT(((CROQUIS!$C$97)-CROQUIS!$C$107)/MAX((CROQUIS!$C$137*MAX(1,CEILING((INT(((CROQUIS!$C$97)-CROQUIS!$C$107)/MAX(CROQUIS!$C$137,1))+1)/80,1))),1))+1)-1)*(CROQUIS!$C$137*MAX(1,CEILING((INT(((CROQUIS!$C$97)-CROQUIS!$C$107)/MAX(CROQUIS!$C$137,1))+1)/80,1))))/2)+MIN(INT(($A123-1)/5),MAX((MAX(1,INT(((CROQUIS!$C$97)-CROQUIS!$C$107)/MAX((CROQUIS!$C$137*MAX(1,CEILING((INT(((CROQUIS!$C$97)-CROQUIS!$C$107)/MAX(CROQUIS!$C$137,1))+1)/80,1))),1))+1))-1,0))*(CROQUIS!$C$137*MAX(1,CEILING((INT(((CROQUIS!$C$97)-CROQUIS!$C$107)/MAX(CROQUIS!$C$137,1))+1)/80,1)))),CHOOSE(IF(INT(($A123-1)/5)&gt;MAX((MAX(1,INT(((CROQUIS!$C$97)-CROQUIS!$C$107)/MAX((CROQUIS!$C$137*MAX(1,CEILING((INT(((CROQUIS!$C$97)-CROQUIS!$C$107)/MAX(CROQUIS!$C$137,1))+1)/80,1))),1))+1))-1,0),0,MOD($A123-1,5))+1,0,2,CROQUIS!$C$98-2,2,0)))*CROQUIS!$C$159)+IF(CROQUIS!$C$92="X",0,0)),-1000)</f>
        <v>-1000</v>
      </c>
      <c r="BQ123">
        <f>IF(AND(CROQUIS!$C$88=1,CROQUIS!$C$137&gt;0),((CROQUIS!$C$161+(IF(CROQUIS!$C$92="X",CHOOSE(IF(INT(($A123-1)/5)&gt;MAX((MAX(1,INT(((CROQUIS!$C$97)-CROQUIS!$C$107)/MAX((CROQUIS!$C$137*MAX(1,CEILING((INT(((CROQUIS!$C$97)-CROQUIS!$C$107)/MAX(CROQUIS!$C$137,1))+1)/80,1))),1))+1))-1,0),0,MOD($A123-1,5))+1,0,2,CROQUIS!$C$98-2,2,0),((CROQUIS!$C$107/2+(((CROQUIS!$C$97)-CROQUIS!$C$107)-(MAX(1,INT(((CROQUIS!$C$97)-CROQUIS!$C$107)/MAX((CROQUIS!$C$137*MAX(1,CEILING((INT(((CROQUIS!$C$97)-CROQUIS!$C$107)/MAX(CROQUIS!$C$137,1))+1)/80,1))),1))+1)-1)*(CROQUIS!$C$137*MAX(1,CEILING((INT(((CROQUIS!$C$97)-CROQUIS!$C$107)/MAX(CROQUIS!$C$137,1))+1)/80,1))))/2)+MIN(INT(($A123-1)/5),MAX((MAX(1,INT(((CROQUIS!$C$97)-CROQUIS!$C$107)/MAX((CROQUIS!$C$137*MAX(1,CEILING((INT(((CROQUIS!$C$97)-CROQUIS!$C$107)/MAX(CROQUIS!$C$137,1))+1)/80,1))),1))+1))-1,0))*(CROQUIS!$C$137*MAX(1,CEILING((INT(((CROQUIS!$C$97)-CROQUIS!$C$107)/MAX(CROQUIS!$C$137,1))+1)/80,1))))))*CROQUIS!$C$159)+IF(CROQUIS!$C$92="X",0,0)),-1000)</f>
        <v>-1000</v>
      </c>
      <c r="BR123">
        <f>IF(AND(CROQUIS!$C$88=1,CROQUIS!$C$91=0,CROQUIS!$C$133&gt;0,OR(CROQUIS!$C$103=1,CROQUIS!$C$145=1)),((CROQUIS!$C$160+(IF(CROQUIS!$C$92="X",CHOOSE(IF(INT(($A123-1)/5)&gt;MAX((MAX(1,INT(((CROQUIS!$C$98)-CROQUIS!$C$107)/MAX((CROQUIS!$C$133*MAX(1,CEILING((INT(((CROQUIS!$C$98)-CROQUIS!$C$107)/MAX(CROQUIS!$C$133,1))+1)/80,1))),1))+1))-1,0),0,MOD($A123-1,5))+1,0,IF(CROQUIS!$C$103=1,-12,2),CROQUIS!$C$107/2+CROQUIS!$C$143,IF(CROQUIS!$C$103=1,-12,2),0),((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BS1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+1,0,IF(CROQUIS!$C$103=1,-12,2),CROQUIS!$C$107/2+CROQUIS!$C$143,IF(CROQUIS!$C$103=1,-12,2),0)))*CROQUIS!$C$159)+IF(CROQUIS!$C$92="X",0.8,0)),-1000)</f>
        <v>-1000</v>
      </c>
      <c r="BT123">
        <f>IF(AND(CROQUIS!$C$88=1,CROQUIS!$C$91=0,CROQUIS!$C$133&gt;0,OR(CROQUIS!$C$104=1,CROQUIS!$C$145=1)),((CROQUIS!$C$160+(IF(CROQUIS!$C$92="X",CHOOSE(IF(INT(($A123-1)/5)&gt;MAX((MAX(1,INT(((CROQUIS!$C$98)-CROQUIS!$C$107)/MAX((CROQUIS!$C$133*MAX(1,CEILING((INT(((CROQUIS!$C$98)-CROQUIS!$C$107)/MAX(CROQUIS!$C$133,1))+1)/80,1))),1))+1))-1,0),0,MOD($A123-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BU1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CROQUIS!$C$97,CROQUIS!$C$97-CROQUIS!$C$107/2-CROQUIS!$C$143,IF(CROQUIS!$C$104=1,CROQUIS!$C$97+12,CROQUIS!$C$97-2),CROQUIS!$C$97-CROQUIS!$C$107/2-CROQUIS!$C$143,CROQUIS!$C$97)))*CROQUIS!$C$159)+IF(CROQUIS!$C$92="X",0.8,0)),-1000)</f>
        <v>-1000</v>
      </c>
      <c r="BV1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HOOSE(IF(INT(($A123-1)/5)&gt;MAX((MAX(1,INT(((CROQUIS!$C$97)-CROQUIS!$C$107)/MAX((CROQUIS!$C$141*MAX(1,CEILING((INT(((CROQUIS!$C$97)-CROQUIS!$C$107)/MAX(CROQUIS!$C$141,1))+1)/80,1))),1))+1))-1,0),0,MOD($A123-1,5))+1,0,IF(CROQUIS!$C$105=1,-12,2),CROQUIS!$C$107/2+CROQUIS!$C$144,IF(CROQUIS!$C$105=1,-12,2),0)))*CROQUIS!$C$159)+IF(CROQUIS!$C$92="X",0.8,0)),-1000)</f>
        <v>-1000</v>
      </c>
      <c r="BW123">
        <f>IF(AND(CROQUIS!$C$88=1,CROQUIS!$C$91=0,CROQUIS!$C$141&gt;0,OR(CROQUIS!$C$105=1,CROQUIS!$C$146=1)),((CROQUIS!$C$161+(IF(CROQUIS!$C$92="X",CHOOSE(IF(INT(($A123-1)/5)&gt;MAX((MAX(1,INT(((CROQUIS!$C$97)-CROQUIS!$C$107)/MAX((CROQUIS!$C$141*MAX(1,CEILING((INT(((CROQUIS!$C$97)-CROQUIS!$C$107)/MAX(CROQUIS!$C$141,1))+1)/80,1))),1))+1))-1,0),0,MOD($A123-1,5))+1,0,IF(CROQUIS!$C$105=1,-12,2),CROQUIS!$C$107/2+CROQUIS!$C$144,IF(CROQUIS!$C$105=1,-12,2),0),((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ROQUIS!$C$159)+IF(CROQUIS!$C$92="X",0,0.8)),-1000)</f>
        <v>-1000</v>
      </c>
      <c r="BX1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HOOSE(IF(INT(($A123-1)/5)&gt;MAX((MAX(1,INT(((CROQUIS!$C$97)-CROQUIS!$C$107)/MAX((CROQUIS!$C$141*MAX(1,CEILING((INT(((CROQUIS!$C$97)-CROQUIS!$C$107)/MAX(CROQUIS!$C$141,1))+1)/80,1))),1))+1))-1,0),0,MOD($A123-1,5))+1,CROQUIS!$C$98,CROQUIS!$C$98-CROQUIS!$C$107/2-CROQUIS!$C$144,IF(CROQUIS!$C$106=1,CROQUIS!$C$98+12,CROQUIS!$C$98-2),CROQUIS!$C$98-CROQUIS!$C$107/2-CROQUIS!$C$144,CROQUIS!$C$98)))*CROQUIS!$C$159)+IF(CROQUIS!$C$92="X",0.8,0)),-1000)</f>
        <v>-1000</v>
      </c>
      <c r="BY123">
        <f>IF(AND(CROQUIS!$C$88=1,CROQUIS!$C$91=0,CROQUIS!$C$141&gt;0,OR(CROQUIS!$C$106=1,CROQUIS!$C$146=1)),((CROQUIS!$C$161+(IF(CROQUIS!$C$92="X",CHOOSE(IF(INT(($A123-1)/5)&gt;MAX((MAX(1,INT(((CROQUIS!$C$97)-CROQUIS!$C$107)/MAX((CROQUIS!$C$141*MAX(1,CEILING((INT(((CROQUIS!$C$97)-CROQUIS!$C$107)/MAX(CROQUIS!$C$141,1))+1)/80,1))),1))+1))-1,0),0,MOD($A123-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ROQUIS!$C$159)+IF(CROQUIS!$C$92="X",0,0.8)),-1000)</f>
        <v>-1000</v>
      </c>
      <c r="BZ123">
        <f>IF(AND(CROQUIS!$C$88=1,CROQUIS!$C$91=1,CROQUIS!$C$133&gt;0),((CROQUIS!$C$160+(IF(CROQUIS!$C$92="X",CHOOSE(IF(INT(($A123-1)/5)&gt;MAX((MAX(1,INT(((CROQUIS!$C$98)-CROQUIS!$C$107)/MAX((CROQUIS!$C$133*MAX(1,CEILING((INT(((CROQUIS!$C$98)-CROQUIS!$C$107)/MAX(CROQUIS!$C$133,1))+1)/80,1))),1))+1))-1,0),0,MOD($A123-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CA123">
        <f>IF(AND(CROQUIS!$C$88=1,CROQUIS!$C$91=1,CROQUIS!$C$133&gt;0),((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4">
      <c r="A124" t="n">
        <v>117</v>
      </c>
      <c r="BN124">
        <f>IF(AND(CROQUIS!$C$88=1,CROQUIS!$C$129&gt;0),((CROQUIS!$C$160+(IF(CROQUIS!$C$92="X",CHOOSE(IF(INT(($A124-1)/5)&gt;MAX((MAX(1,INT(((CROQUIS!$C$98)-CROQUIS!$C$107)/MAX((CROQUIS!$C$129*MAX(1,CEILING((INT(((CROQUIS!$C$98)-CROQUIS!$C$107)/MAX(CROQUIS!$C$129,1))+1)/80,1))),1))+1))-1,0),0,MOD($A124-1,5))+1,0,2,CROQUIS!$C$97-2,2,0),((CROQUIS!$C$107/2+(((CROQUIS!$C$98)-CROQUIS!$C$107)-(MAX(1,INT(((CROQUIS!$C$98)-CROQUIS!$C$107)/MAX((CROQUIS!$C$129*MAX(1,CEILING((INT(((CROQUIS!$C$98)-CROQUIS!$C$107)/MAX(CROQUIS!$C$129,1))+1)/80,1))),1))+1)-1)*(CROQUIS!$C$129*MAX(1,CEILING((INT(((CROQUIS!$C$98)-CROQUIS!$C$107)/MAX(CROQUIS!$C$129,1))+1)/80,1))))/2)+MIN(INT(($A124-1)/5),MAX((MAX(1,INT(((CROQUIS!$C$98)-CROQUIS!$C$107)/MAX((CROQUIS!$C$129*MAX(1,CEILING((INT(((CROQUIS!$C$98)-CROQUIS!$C$107)/MAX(CROQUIS!$C$129,1))+1)/80,1))),1))+1))-1,0))*(CROQUIS!$C$129*MAX(1,CEILING((INT(((CROQUIS!$C$98)-CROQUIS!$C$107)/MAX(CROQUIS!$C$129,1))+1)/80,1))))))*CROQUIS!$C$159)+IF(CROQUIS!$C$92="X",0,0)),-1000)</f>
        <v>-1000</v>
      </c>
      <c r="BO124">
        <f>IF(AND(CROQUIS!$C$88=1,CROQUIS!$C$129&gt;0),((CROQUIS!$C$161+(IF(CROQUIS!$C$92="X",((CROQUIS!$C$107/2+(((CROQUIS!$C$98)-CROQUIS!$C$107)-(MAX(1,INT(((CROQUIS!$C$98)-CROQUIS!$C$107)/MAX((CROQUIS!$C$129*MAX(1,CEILING((INT(((CROQUIS!$C$98)-CROQUIS!$C$107)/MAX(CROQUIS!$C$129,1))+1)/80,1))),1))+1)-1)*(CROQUIS!$C$129*MAX(1,CEILING((INT(((CROQUIS!$C$98)-CROQUIS!$C$107)/MAX(CROQUIS!$C$129,1))+1)/80,1))))/2)+MIN(INT(($A124-1)/5),MAX((MAX(1,INT(((CROQUIS!$C$98)-CROQUIS!$C$107)/MAX((CROQUIS!$C$129*MAX(1,CEILING((INT(((CROQUIS!$C$98)-CROQUIS!$C$107)/MAX(CROQUIS!$C$129,1))+1)/80,1))),1))+1))-1,0))*(CROQUIS!$C$129*MAX(1,CEILING((INT(((CROQUIS!$C$98)-CROQUIS!$C$107)/MAX(CROQUIS!$C$129,1))+1)/80,1)))),CHOOSE(IF(INT(($A124-1)/5)&gt;MAX((MAX(1,INT(((CROQUIS!$C$98)-CROQUIS!$C$107)/MAX((CROQUIS!$C$129*MAX(1,CEILING((INT(((CROQUIS!$C$98)-CROQUIS!$C$107)/MAX(CROQUIS!$C$129,1))+1)/80,1))),1))+1))-1,0),0,MOD($A124-1,5))+1,0,2,CROQUIS!$C$97-2,2,0)))*CROQUIS!$C$159)+IF(CROQUIS!$C$92="X",0,0)),-1000)</f>
        <v>-1000</v>
      </c>
      <c r="BP124">
        <f>IF(AND(CROQUIS!$C$88=1,CROQUIS!$C$137&gt;0),((CROQUIS!$C$160+(IF(CROQUIS!$C$92="X",((CROQUIS!$C$107/2+(((CROQUIS!$C$97)-CROQUIS!$C$107)-(MAX(1,INT(((CROQUIS!$C$97)-CROQUIS!$C$107)/MAX((CROQUIS!$C$137*MAX(1,CEILING((INT(((CROQUIS!$C$97)-CROQUIS!$C$107)/MAX(CROQUIS!$C$137,1))+1)/80,1))),1))+1)-1)*(CROQUIS!$C$137*MAX(1,CEILING((INT(((CROQUIS!$C$97)-CROQUIS!$C$107)/MAX(CROQUIS!$C$137,1))+1)/80,1))))/2)+MIN(INT(($A124-1)/5),MAX((MAX(1,INT(((CROQUIS!$C$97)-CROQUIS!$C$107)/MAX((CROQUIS!$C$137*MAX(1,CEILING((INT(((CROQUIS!$C$97)-CROQUIS!$C$107)/MAX(CROQUIS!$C$137,1))+1)/80,1))),1))+1))-1,0))*(CROQUIS!$C$137*MAX(1,CEILING((INT(((CROQUIS!$C$97)-CROQUIS!$C$107)/MAX(CROQUIS!$C$137,1))+1)/80,1)))),CHOOSE(IF(INT(($A124-1)/5)&gt;MAX((MAX(1,INT(((CROQUIS!$C$97)-CROQUIS!$C$107)/MAX((CROQUIS!$C$137*MAX(1,CEILING((INT(((CROQUIS!$C$97)-CROQUIS!$C$107)/MAX(CROQUIS!$C$137,1))+1)/80,1))),1))+1))-1,0),0,MOD($A124-1,5))+1,0,2,CROQUIS!$C$98-2,2,0)))*CROQUIS!$C$159)+IF(CROQUIS!$C$92="X",0,0)),-1000)</f>
        <v>-1000</v>
      </c>
      <c r="BQ124">
        <f>IF(AND(CROQUIS!$C$88=1,CROQUIS!$C$137&gt;0),((CROQUIS!$C$161+(IF(CROQUIS!$C$92="X",CHOOSE(IF(INT(($A124-1)/5)&gt;MAX((MAX(1,INT(((CROQUIS!$C$97)-CROQUIS!$C$107)/MAX((CROQUIS!$C$137*MAX(1,CEILING((INT(((CROQUIS!$C$97)-CROQUIS!$C$107)/MAX(CROQUIS!$C$137,1))+1)/80,1))),1))+1))-1,0),0,MOD($A124-1,5))+1,0,2,CROQUIS!$C$98-2,2,0),((CROQUIS!$C$107/2+(((CROQUIS!$C$97)-CROQUIS!$C$107)-(MAX(1,INT(((CROQUIS!$C$97)-CROQUIS!$C$107)/MAX((CROQUIS!$C$137*MAX(1,CEILING((INT(((CROQUIS!$C$97)-CROQUIS!$C$107)/MAX(CROQUIS!$C$137,1))+1)/80,1))),1))+1)-1)*(CROQUIS!$C$137*MAX(1,CEILING((INT(((CROQUIS!$C$97)-CROQUIS!$C$107)/MAX(CROQUIS!$C$137,1))+1)/80,1))))/2)+MIN(INT(($A124-1)/5),MAX((MAX(1,INT(((CROQUIS!$C$97)-CROQUIS!$C$107)/MAX((CROQUIS!$C$137*MAX(1,CEILING((INT(((CROQUIS!$C$97)-CROQUIS!$C$107)/MAX(CROQUIS!$C$137,1))+1)/80,1))),1))+1))-1,0))*(CROQUIS!$C$137*MAX(1,CEILING((INT(((CROQUIS!$C$97)-CROQUIS!$C$107)/MAX(CROQUIS!$C$137,1))+1)/80,1))))))*CROQUIS!$C$159)+IF(CROQUIS!$C$92="X",0,0)),-1000)</f>
        <v>-1000</v>
      </c>
      <c r="BR124">
        <f>IF(AND(CROQUIS!$C$88=1,CROQUIS!$C$91=0,CROQUIS!$C$133&gt;0,OR(CROQUIS!$C$103=1,CROQUIS!$C$145=1)),((CROQUIS!$C$160+(IF(CROQUIS!$C$92="X",CHOOSE(IF(INT(($A124-1)/5)&gt;MAX((MAX(1,INT(((CROQUIS!$C$98)-CROQUIS!$C$107)/MAX((CROQUIS!$C$133*MAX(1,CEILING((INT(((CROQUIS!$C$98)-CROQUIS!$C$107)/MAX(CROQUIS!$C$133,1))+1)/80,1))),1))+1))-1,0),0,MOD($A124-1,5))+1,0,IF(CROQUIS!$C$103=1,-12,2),CROQUIS!$C$107/2+CROQUIS!$C$143,IF(CROQUIS!$C$103=1,-12,2),0),((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BS1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+1,0,IF(CROQUIS!$C$103=1,-12,2),CROQUIS!$C$107/2+CROQUIS!$C$143,IF(CROQUIS!$C$103=1,-12,2),0)))*CROQUIS!$C$159)+IF(CROQUIS!$C$92="X",0.8,0)),-1000)</f>
        <v>-1000</v>
      </c>
      <c r="BT124">
        <f>IF(AND(CROQUIS!$C$88=1,CROQUIS!$C$91=0,CROQUIS!$C$133&gt;0,OR(CROQUIS!$C$104=1,CROQUIS!$C$145=1)),((CROQUIS!$C$160+(IF(CROQUIS!$C$92="X",CHOOSE(IF(INT(($A124-1)/5)&gt;MAX((MAX(1,INT(((CROQUIS!$C$98)-CROQUIS!$C$107)/MAX((CROQUIS!$C$133*MAX(1,CEILING((INT(((CROQUIS!$C$98)-CROQUIS!$C$107)/MAX(CROQUIS!$C$133,1))+1)/80,1))),1))+1))-1,0),0,MOD($A124-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BU1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CROQUIS!$C$97,CROQUIS!$C$97-CROQUIS!$C$107/2-CROQUIS!$C$143,IF(CROQUIS!$C$104=1,CROQUIS!$C$97+12,CROQUIS!$C$97-2),CROQUIS!$C$97-CROQUIS!$C$107/2-CROQUIS!$C$143,CROQUIS!$C$97)))*CROQUIS!$C$159)+IF(CROQUIS!$C$92="X",0.8,0)),-1000)</f>
        <v>-1000</v>
      </c>
      <c r="BV1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HOOSE(IF(INT(($A124-1)/5)&gt;MAX((MAX(1,INT(((CROQUIS!$C$97)-CROQUIS!$C$107)/MAX((CROQUIS!$C$141*MAX(1,CEILING((INT(((CROQUIS!$C$97)-CROQUIS!$C$107)/MAX(CROQUIS!$C$141,1))+1)/80,1))),1))+1))-1,0),0,MOD($A124-1,5))+1,0,IF(CROQUIS!$C$105=1,-12,2),CROQUIS!$C$107/2+CROQUIS!$C$144,IF(CROQUIS!$C$105=1,-12,2),0)))*CROQUIS!$C$159)+IF(CROQUIS!$C$92="X",0.8,0)),-1000)</f>
        <v>-1000</v>
      </c>
      <c r="BW124">
        <f>IF(AND(CROQUIS!$C$88=1,CROQUIS!$C$91=0,CROQUIS!$C$141&gt;0,OR(CROQUIS!$C$105=1,CROQUIS!$C$146=1)),((CROQUIS!$C$161+(IF(CROQUIS!$C$92="X",CHOOSE(IF(INT(($A124-1)/5)&gt;MAX((MAX(1,INT(((CROQUIS!$C$97)-CROQUIS!$C$107)/MAX((CROQUIS!$C$141*MAX(1,CEILING((INT(((CROQUIS!$C$97)-CROQUIS!$C$107)/MAX(CROQUIS!$C$141,1))+1)/80,1))),1))+1))-1,0),0,MOD($A124-1,5))+1,0,IF(CROQUIS!$C$105=1,-12,2),CROQUIS!$C$107/2+CROQUIS!$C$144,IF(CROQUIS!$C$105=1,-12,2),0),((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ROQUIS!$C$159)+IF(CROQUIS!$C$92="X",0,0.8)),-1000)</f>
        <v>-1000</v>
      </c>
      <c r="BX1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HOOSE(IF(INT(($A124-1)/5)&gt;MAX((MAX(1,INT(((CROQUIS!$C$97)-CROQUIS!$C$107)/MAX((CROQUIS!$C$141*MAX(1,CEILING((INT(((CROQUIS!$C$97)-CROQUIS!$C$107)/MAX(CROQUIS!$C$141,1))+1)/80,1))),1))+1))-1,0),0,MOD($A124-1,5))+1,CROQUIS!$C$98,CROQUIS!$C$98-CROQUIS!$C$107/2-CROQUIS!$C$144,IF(CROQUIS!$C$106=1,CROQUIS!$C$98+12,CROQUIS!$C$98-2),CROQUIS!$C$98-CROQUIS!$C$107/2-CROQUIS!$C$144,CROQUIS!$C$98)))*CROQUIS!$C$159)+IF(CROQUIS!$C$92="X",0.8,0)),-1000)</f>
        <v>-1000</v>
      </c>
      <c r="BY124">
        <f>IF(AND(CROQUIS!$C$88=1,CROQUIS!$C$91=0,CROQUIS!$C$141&gt;0,OR(CROQUIS!$C$106=1,CROQUIS!$C$146=1)),((CROQUIS!$C$161+(IF(CROQUIS!$C$92="X",CHOOSE(IF(INT(($A124-1)/5)&gt;MAX((MAX(1,INT(((CROQUIS!$C$97)-CROQUIS!$C$107)/MAX((CROQUIS!$C$141*MAX(1,CEILING((INT(((CROQUIS!$C$97)-CROQUIS!$C$107)/MAX(CROQUIS!$C$141,1))+1)/80,1))),1))+1))-1,0),0,MOD($A124-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ROQUIS!$C$159)+IF(CROQUIS!$C$92="X",0,0.8)),-1000)</f>
        <v>-1000</v>
      </c>
      <c r="BZ124">
        <f>IF(AND(CROQUIS!$C$88=1,CROQUIS!$C$91=1,CROQUIS!$C$133&gt;0),((CROQUIS!$C$160+(IF(CROQUIS!$C$92="X",CHOOSE(IF(INT(($A124-1)/5)&gt;MAX((MAX(1,INT(((CROQUIS!$C$98)-CROQUIS!$C$107)/MAX((CROQUIS!$C$133*MAX(1,CEILING((INT(((CROQUIS!$C$98)-CROQUIS!$C$107)/MAX(CROQUIS!$C$133,1))+1)/80,1))),1))+1))-1,0),0,MOD($A124-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CA124">
        <f>IF(AND(CROQUIS!$C$88=1,CROQUIS!$C$91=1,CROQUIS!$C$133&gt;0),((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5">
      <c r="A125" t="n">
        <v>118</v>
      </c>
      <c r="BN125">
        <f>IF(AND(CROQUIS!$C$88=1,CROQUIS!$C$129&gt;0),((CROQUIS!$C$160+(IF(CROQUIS!$C$92="X",CHOOSE(IF(INT(($A125-1)/5)&gt;MAX((MAX(1,INT(((CROQUIS!$C$98)-CROQUIS!$C$107)/MAX((CROQUIS!$C$129*MAX(1,CEILING((INT(((CROQUIS!$C$98)-CROQUIS!$C$107)/MAX(CROQUIS!$C$129,1))+1)/80,1))),1))+1))-1,0),0,MOD($A125-1,5))+1,0,2,CROQUIS!$C$97-2,2,0),((CROQUIS!$C$107/2+(((CROQUIS!$C$98)-CROQUIS!$C$107)-(MAX(1,INT(((CROQUIS!$C$98)-CROQUIS!$C$107)/MAX((CROQUIS!$C$129*MAX(1,CEILING((INT(((CROQUIS!$C$98)-CROQUIS!$C$107)/MAX(CROQUIS!$C$129,1))+1)/80,1))),1))+1)-1)*(CROQUIS!$C$129*MAX(1,CEILING((INT(((CROQUIS!$C$98)-CROQUIS!$C$107)/MAX(CROQUIS!$C$129,1))+1)/80,1))))/2)+MIN(INT(($A125-1)/5),MAX((MAX(1,INT(((CROQUIS!$C$98)-CROQUIS!$C$107)/MAX((CROQUIS!$C$129*MAX(1,CEILING((INT(((CROQUIS!$C$98)-CROQUIS!$C$107)/MAX(CROQUIS!$C$129,1))+1)/80,1))),1))+1))-1,0))*(CROQUIS!$C$129*MAX(1,CEILING((INT(((CROQUIS!$C$98)-CROQUIS!$C$107)/MAX(CROQUIS!$C$129,1))+1)/80,1))))))*CROQUIS!$C$159)+IF(CROQUIS!$C$92="X",0,0)),-1000)</f>
        <v>-1000</v>
      </c>
      <c r="BO125">
        <f>IF(AND(CROQUIS!$C$88=1,CROQUIS!$C$129&gt;0),((CROQUIS!$C$161+(IF(CROQUIS!$C$92="X",((CROQUIS!$C$107/2+(((CROQUIS!$C$98)-CROQUIS!$C$107)-(MAX(1,INT(((CROQUIS!$C$98)-CROQUIS!$C$107)/MAX((CROQUIS!$C$129*MAX(1,CEILING((INT(((CROQUIS!$C$98)-CROQUIS!$C$107)/MAX(CROQUIS!$C$129,1))+1)/80,1))),1))+1)-1)*(CROQUIS!$C$129*MAX(1,CEILING((INT(((CROQUIS!$C$98)-CROQUIS!$C$107)/MAX(CROQUIS!$C$129,1))+1)/80,1))))/2)+MIN(INT(($A125-1)/5),MAX((MAX(1,INT(((CROQUIS!$C$98)-CROQUIS!$C$107)/MAX((CROQUIS!$C$129*MAX(1,CEILING((INT(((CROQUIS!$C$98)-CROQUIS!$C$107)/MAX(CROQUIS!$C$129,1))+1)/80,1))),1))+1))-1,0))*(CROQUIS!$C$129*MAX(1,CEILING((INT(((CROQUIS!$C$98)-CROQUIS!$C$107)/MAX(CROQUIS!$C$129,1))+1)/80,1)))),CHOOSE(IF(INT(($A125-1)/5)&gt;MAX((MAX(1,INT(((CROQUIS!$C$98)-CROQUIS!$C$107)/MAX((CROQUIS!$C$129*MAX(1,CEILING((INT(((CROQUIS!$C$98)-CROQUIS!$C$107)/MAX(CROQUIS!$C$129,1))+1)/80,1))),1))+1))-1,0),0,MOD($A125-1,5))+1,0,2,CROQUIS!$C$97-2,2,0)))*CROQUIS!$C$159)+IF(CROQUIS!$C$92="X",0,0)),-1000)</f>
        <v>-1000</v>
      </c>
      <c r="BP125">
        <f>IF(AND(CROQUIS!$C$88=1,CROQUIS!$C$137&gt;0),((CROQUIS!$C$160+(IF(CROQUIS!$C$92="X",((CROQUIS!$C$107/2+(((CROQUIS!$C$97)-CROQUIS!$C$107)-(MAX(1,INT(((CROQUIS!$C$97)-CROQUIS!$C$107)/MAX((CROQUIS!$C$137*MAX(1,CEILING((INT(((CROQUIS!$C$97)-CROQUIS!$C$107)/MAX(CROQUIS!$C$137,1))+1)/80,1))),1))+1)-1)*(CROQUIS!$C$137*MAX(1,CEILING((INT(((CROQUIS!$C$97)-CROQUIS!$C$107)/MAX(CROQUIS!$C$137,1))+1)/80,1))))/2)+MIN(INT(($A125-1)/5),MAX((MAX(1,INT(((CROQUIS!$C$97)-CROQUIS!$C$107)/MAX((CROQUIS!$C$137*MAX(1,CEILING((INT(((CROQUIS!$C$97)-CROQUIS!$C$107)/MAX(CROQUIS!$C$137,1))+1)/80,1))),1))+1))-1,0))*(CROQUIS!$C$137*MAX(1,CEILING((INT(((CROQUIS!$C$97)-CROQUIS!$C$107)/MAX(CROQUIS!$C$137,1))+1)/80,1)))),CHOOSE(IF(INT(($A125-1)/5)&gt;MAX((MAX(1,INT(((CROQUIS!$C$97)-CROQUIS!$C$107)/MAX((CROQUIS!$C$137*MAX(1,CEILING((INT(((CROQUIS!$C$97)-CROQUIS!$C$107)/MAX(CROQUIS!$C$137,1))+1)/80,1))),1))+1))-1,0),0,MOD($A125-1,5))+1,0,2,CROQUIS!$C$98-2,2,0)))*CROQUIS!$C$159)+IF(CROQUIS!$C$92="X",0,0)),-1000)</f>
        <v>-1000</v>
      </c>
      <c r="BQ125">
        <f>IF(AND(CROQUIS!$C$88=1,CROQUIS!$C$137&gt;0),((CROQUIS!$C$161+(IF(CROQUIS!$C$92="X",CHOOSE(IF(INT(($A125-1)/5)&gt;MAX((MAX(1,INT(((CROQUIS!$C$97)-CROQUIS!$C$107)/MAX((CROQUIS!$C$137*MAX(1,CEILING((INT(((CROQUIS!$C$97)-CROQUIS!$C$107)/MAX(CROQUIS!$C$137,1))+1)/80,1))),1))+1))-1,0),0,MOD($A125-1,5))+1,0,2,CROQUIS!$C$98-2,2,0),((CROQUIS!$C$107/2+(((CROQUIS!$C$97)-CROQUIS!$C$107)-(MAX(1,INT(((CROQUIS!$C$97)-CROQUIS!$C$107)/MAX((CROQUIS!$C$137*MAX(1,CEILING((INT(((CROQUIS!$C$97)-CROQUIS!$C$107)/MAX(CROQUIS!$C$137,1))+1)/80,1))),1))+1)-1)*(CROQUIS!$C$137*MAX(1,CEILING((INT(((CROQUIS!$C$97)-CROQUIS!$C$107)/MAX(CROQUIS!$C$137,1))+1)/80,1))))/2)+MIN(INT(($A125-1)/5),MAX((MAX(1,INT(((CROQUIS!$C$97)-CROQUIS!$C$107)/MAX((CROQUIS!$C$137*MAX(1,CEILING((INT(((CROQUIS!$C$97)-CROQUIS!$C$107)/MAX(CROQUIS!$C$137,1))+1)/80,1))),1))+1))-1,0))*(CROQUIS!$C$137*MAX(1,CEILING((INT(((CROQUIS!$C$97)-CROQUIS!$C$107)/MAX(CROQUIS!$C$137,1))+1)/80,1))))))*CROQUIS!$C$159)+IF(CROQUIS!$C$92="X",0,0)),-1000)</f>
        <v>-1000</v>
      </c>
      <c r="BR125">
        <f>IF(AND(CROQUIS!$C$88=1,CROQUIS!$C$91=0,CROQUIS!$C$133&gt;0,OR(CROQUIS!$C$103=1,CROQUIS!$C$145=1)),((CROQUIS!$C$160+(IF(CROQUIS!$C$92="X",CHOOSE(IF(INT(($A125-1)/5)&gt;MAX((MAX(1,INT(((CROQUIS!$C$98)-CROQUIS!$C$107)/MAX((CROQUIS!$C$133*MAX(1,CEILING((INT(((CROQUIS!$C$98)-CROQUIS!$C$107)/MAX(CROQUIS!$C$133,1))+1)/80,1))),1))+1))-1,0),0,MOD($A125-1,5))+1,0,IF(CROQUIS!$C$103=1,-12,2),CROQUIS!$C$107/2+CROQUIS!$C$143,IF(CROQUIS!$C$103=1,-12,2),0),((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BS1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+1,0,IF(CROQUIS!$C$103=1,-12,2),CROQUIS!$C$107/2+CROQUIS!$C$143,IF(CROQUIS!$C$103=1,-12,2),0)))*CROQUIS!$C$159)+IF(CROQUIS!$C$92="X",0.8,0)),-1000)</f>
        <v>-1000</v>
      </c>
      <c r="BT125">
        <f>IF(AND(CROQUIS!$C$88=1,CROQUIS!$C$91=0,CROQUIS!$C$133&gt;0,OR(CROQUIS!$C$104=1,CROQUIS!$C$145=1)),((CROQUIS!$C$160+(IF(CROQUIS!$C$92="X",CHOOSE(IF(INT(($A125-1)/5)&gt;MAX((MAX(1,INT(((CROQUIS!$C$98)-CROQUIS!$C$107)/MAX((CROQUIS!$C$133*MAX(1,CEILING((INT(((CROQUIS!$C$98)-CROQUIS!$C$107)/MAX(CROQUIS!$C$133,1))+1)/80,1))),1))+1))-1,0),0,MOD($A125-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BU1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CROQUIS!$C$97,CROQUIS!$C$97-CROQUIS!$C$107/2-CROQUIS!$C$143,IF(CROQUIS!$C$104=1,CROQUIS!$C$97+12,CROQUIS!$C$97-2),CROQUIS!$C$97-CROQUIS!$C$107/2-CROQUIS!$C$143,CROQUIS!$C$97)))*CROQUIS!$C$159)+IF(CROQUIS!$C$92="X",0.8,0)),-1000)</f>
        <v>-1000</v>
      </c>
      <c r="BV1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HOOSE(IF(INT(($A125-1)/5)&gt;MAX((MAX(1,INT(((CROQUIS!$C$97)-CROQUIS!$C$107)/MAX((CROQUIS!$C$141*MAX(1,CEILING((INT(((CROQUIS!$C$97)-CROQUIS!$C$107)/MAX(CROQUIS!$C$141,1))+1)/80,1))),1))+1))-1,0),0,MOD($A125-1,5))+1,0,IF(CROQUIS!$C$105=1,-12,2),CROQUIS!$C$107/2+CROQUIS!$C$144,IF(CROQUIS!$C$105=1,-12,2),0)))*CROQUIS!$C$159)+IF(CROQUIS!$C$92="X",0.8,0)),-1000)</f>
        <v>-1000</v>
      </c>
      <c r="BW125">
        <f>IF(AND(CROQUIS!$C$88=1,CROQUIS!$C$91=0,CROQUIS!$C$141&gt;0,OR(CROQUIS!$C$105=1,CROQUIS!$C$146=1)),((CROQUIS!$C$161+(IF(CROQUIS!$C$92="X",CHOOSE(IF(INT(($A125-1)/5)&gt;MAX((MAX(1,INT(((CROQUIS!$C$97)-CROQUIS!$C$107)/MAX((CROQUIS!$C$141*MAX(1,CEILING((INT(((CROQUIS!$C$97)-CROQUIS!$C$107)/MAX(CROQUIS!$C$141,1))+1)/80,1))),1))+1))-1,0),0,MOD($A125-1,5))+1,0,IF(CROQUIS!$C$105=1,-12,2),CROQUIS!$C$107/2+CROQUIS!$C$144,IF(CROQUIS!$C$105=1,-12,2),0),((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ROQUIS!$C$159)+IF(CROQUIS!$C$92="X",0,0.8)),-1000)</f>
        <v>-1000</v>
      </c>
      <c r="BX1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HOOSE(IF(INT(($A125-1)/5)&gt;MAX((MAX(1,INT(((CROQUIS!$C$97)-CROQUIS!$C$107)/MAX((CROQUIS!$C$141*MAX(1,CEILING((INT(((CROQUIS!$C$97)-CROQUIS!$C$107)/MAX(CROQUIS!$C$141,1))+1)/80,1))),1))+1))-1,0),0,MOD($A125-1,5))+1,CROQUIS!$C$98,CROQUIS!$C$98-CROQUIS!$C$107/2-CROQUIS!$C$144,IF(CROQUIS!$C$106=1,CROQUIS!$C$98+12,CROQUIS!$C$98-2),CROQUIS!$C$98-CROQUIS!$C$107/2-CROQUIS!$C$144,CROQUIS!$C$98)))*CROQUIS!$C$159)+IF(CROQUIS!$C$92="X",0.8,0)),-1000)</f>
        <v>-1000</v>
      </c>
      <c r="BY125">
        <f>IF(AND(CROQUIS!$C$88=1,CROQUIS!$C$91=0,CROQUIS!$C$141&gt;0,OR(CROQUIS!$C$106=1,CROQUIS!$C$146=1)),((CROQUIS!$C$161+(IF(CROQUIS!$C$92="X",CHOOSE(IF(INT(($A125-1)/5)&gt;MAX((MAX(1,INT(((CROQUIS!$C$97)-CROQUIS!$C$107)/MAX((CROQUIS!$C$141*MAX(1,CEILING((INT(((CROQUIS!$C$97)-CROQUIS!$C$107)/MAX(CROQUIS!$C$141,1))+1)/80,1))),1))+1))-1,0),0,MOD($A125-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ROQUIS!$C$159)+IF(CROQUIS!$C$92="X",0,0.8)),-1000)</f>
        <v>-1000</v>
      </c>
      <c r="BZ125">
        <f>IF(AND(CROQUIS!$C$88=1,CROQUIS!$C$91=1,CROQUIS!$C$133&gt;0),((CROQUIS!$C$160+(IF(CROQUIS!$C$92="X",CHOOSE(IF(INT(($A125-1)/5)&gt;MAX((MAX(1,INT(((CROQUIS!$C$98)-CROQUIS!$C$107)/MAX((CROQUIS!$C$133*MAX(1,CEILING((INT(((CROQUIS!$C$98)-CROQUIS!$C$107)/MAX(CROQUIS!$C$133,1))+1)/80,1))),1))+1))-1,0),0,MOD($A125-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CA125">
        <f>IF(AND(CROQUIS!$C$88=1,CROQUIS!$C$91=1,CROQUIS!$C$133&gt;0),((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6">
      <c r="A126" t="n">
        <v>119</v>
      </c>
      <c r="BN126">
        <f>IF(AND(CROQUIS!$C$88=1,CROQUIS!$C$129&gt;0),((CROQUIS!$C$160+(IF(CROQUIS!$C$92="X",CHOOSE(IF(INT(($A126-1)/5)&gt;MAX((MAX(1,INT(((CROQUIS!$C$98)-CROQUIS!$C$107)/MAX((CROQUIS!$C$129*MAX(1,CEILING((INT(((CROQUIS!$C$98)-CROQUIS!$C$107)/MAX(CROQUIS!$C$129,1))+1)/80,1))),1))+1))-1,0),0,MOD($A126-1,5))+1,0,2,CROQUIS!$C$97-2,2,0),((CROQUIS!$C$107/2+(((CROQUIS!$C$98)-CROQUIS!$C$107)-(MAX(1,INT(((CROQUIS!$C$98)-CROQUIS!$C$107)/MAX((CROQUIS!$C$129*MAX(1,CEILING((INT(((CROQUIS!$C$98)-CROQUIS!$C$107)/MAX(CROQUIS!$C$129,1))+1)/80,1))),1))+1)-1)*(CROQUIS!$C$129*MAX(1,CEILING((INT(((CROQUIS!$C$98)-CROQUIS!$C$107)/MAX(CROQUIS!$C$129,1))+1)/80,1))))/2)+MIN(INT(($A126-1)/5),MAX((MAX(1,INT(((CROQUIS!$C$98)-CROQUIS!$C$107)/MAX((CROQUIS!$C$129*MAX(1,CEILING((INT(((CROQUIS!$C$98)-CROQUIS!$C$107)/MAX(CROQUIS!$C$129,1))+1)/80,1))),1))+1))-1,0))*(CROQUIS!$C$129*MAX(1,CEILING((INT(((CROQUIS!$C$98)-CROQUIS!$C$107)/MAX(CROQUIS!$C$129,1))+1)/80,1))))))*CROQUIS!$C$159)+IF(CROQUIS!$C$92="X",0,0)),-1000)</f>
        <v>-1000</v>
      </c>
      <c r="BO126">
        <f>IF(AND(CROQUIS!$C$88=1,CROQUIS!$C$129&gt;0),((CROQUIS!$C$161+(IF(CROQUIS!$C$92="X",((CROQUIS!$C$107/2+(((CROQUIS!$C$98)-CROQUIS!$C$107)-(MAX(1,INT(((CROQUIS!$C$98)-CROQUIS!$C$107)/MAX((CROQUIS!$C$129*MAX(1,CEILING((INT(((CROQUIS!$C$98)-CROQUIS!$C$107)/MAX(CROQUIS!$C$129,1))+1)/80,1))),1))+1)-1)*(CROQUIS!$C$129*MAX(1,CEILING((INT(((CROQUIS!$C$98)-CROQUIS!$C$107)/MAX(CROQUIS!$C$129,1))+1)/80,1))))/2)+MIN(INT(($A126-1)/5),MAX((MAX(1,INT(((CROQUIS!$C$98)-CROQUIS!$C$107)/MAX((CROQUIS!$C$129*MAX(1,CEILING((INT(((CROQUIS!$C$98)-CROQUIS!$C$107)/MAX(CROQUIS!$C$129,1))+1)/80,1))),1))+1))-1,0))*(CROQUIS!$C$129*MAX(1,CEILING((INT(((CROQUIS!$C$98)-CROQUIS!$C$107)/MAX(CROQUIS!$C$129,1))+1)/80,1)))),CHOOSE(IF(INT(($A126-1)/5)&gt;MAX((MAX(1,INT(((CROQUIS!$C$98)-CROQUIS!$C$107)/MAX((CROQUIS!$C$129*MAX(1,CEILING((INT(((CROQUIS!$C$98)-CROQUIS!$C$107)/MAX(CROQUIS!$C$129,1))+1)/80,1))),1))+1))-1,0),0,MOD($A126-1,5))+1,0,2,CROQUIS!$C$97-2,2,0)))*CROQUIS!$C$159)+IF(CROQUIS!$C$92="X",0,0)),-1000)</f>
        <v>-1000</v>
      </c>
      <c r="BP126">
        <f>IF(AND(CROQUIS!$C$88=1,CROQUIS!$C$137&gt;0),((CROQUIS!$C$160+(IF(CROQUIS!$C$92="X",((CROQUIS!$C$107/2+(((CROQUIS!$C$97)-CROQUIS!$C$107)-(MAX(1,INT(((CROQUIS!$C$97)-CROQUIS!$C$107)/MAX((CROQUIS!$C$137*MAX(1,CEILING((INT(((CROQUIS!$C$97)-CROQUIS!$C$107)/MAX(CROQUIS!$C$137,1))+1)/80,1))),1))+1)-1)*(CROQUIS!$C$137*MAX(1,CEILING((INT(((CROQUIS!$C$97)-CROQUIS!$C$107)/MAX(CROQUIS!$C$137,1))+1)/80,1))))/2)+MIN(INT(($A126-1)/5),MAX((MAX(1,INT(((CROQUIS!$C$97)-CROQUIS!$C$107)/MAX((CROQUIS!$C$137*MAX(1,CEILING((INT(((CROQUIS!$C$97)-CROQUIS!$C$107)/MAX(CROQUIS!$C$137,1))+1)/80,1))),1))+1))-1,0))*(CROQUIS!$C$137*MAX(1,CEILING((INT(((CROQUIS!$C$97)-CROQUIS!$C$107)/MAX(CROQUIS!$C$137,1))+1)/80,1)))),CHOOSE(IF(INT(($A126-1)/5)&gt;MAX((MAX(1,INT(((CROQUIS!$C$97)-CROQUIS!$C$107)/MAX((CROQUIS!$C$137*MAX(1,CEILING((INT(((CROQUIS!$C$97)-CROQUIS!$C$107)/MAX(CROQUIS!$C$137,1))+1)/80,1))),1))+1))-1,0),0,MOD($A126-1,5))+1,0,2,CROQUIS!$C$98-2,2,0)))*CROQUIS!$C$159)+IF(CROQUIS!$C$92="X",0,0)),-1000)</f>
        <v>-1000</v>
      </c>
      <c r="BQ126">
        <f>IF(AND(CROQUIS!$C$88=1,CROQUIS!$C$137&gt;0),((CROQUIS!$C$161+(IF(CROQUIS!$C$92="X",CHOOSE(IF(INT(($A126-1)/5)&gt;MAX((MAX(1,INT(((CROQUIS!$C$97)-CROQUIS!$C$107)/MAX((CROQUIS!$C$137*MAX(1,CEILING((INT(((CROQUIS!$C$97)-CROQUIS!$C$107)/MAX(CROQUIS!$C$137,1))+1)/80,1))),1))+1))-1,0),0,MOD($A126-1,5))+1,0,2,CROQUIS!$C$98-2,2,0),((CROQUIS!$C$107/2+(((CROQUIS!$C$97)-CROQUIS!$C$107)-(MAX(1,INT(((CROQUIS!$C$97)-CROQUIS!$C$107)/MAX((CROQUIS!$C$137*MAX(1,CEILING((INT(((CROQUIS!$C$97)-CROQUIS!$C$107)/MAX(CROQUIS!$C$137,1))+1)/80,1))),1))+1)-1)*(CROQUIS!$C$137*MAX(1,CEILING((INT(((CROQUIS!$C$97)-CROQUIS!$C$107)/MAX(CROQUIS!$C$137,1))+1)/80,1))))/2)+MIN(INT(($A126-1)/5),MAX((MAX(1,INT(((CROQUIS!$C$97)-CROQUIS!$C$107)/MAX((CROQUIS!$C$137*MAX(1,CEILING((INT(((CROQUIS!$C$97)-CROQUIS!$C$107)/MAX(CROQUIS!$C$137,1))+1)/80,1))),1))+1))-1,0))*(CROQUIS!$C$137*MAX(1,CEILING((INT(((CROQUIS!$C$97)-CROQUIS!$C$107)/MAX(CROQUIS!$C$137,1))+1)/80,1))))))*CROQUIS!$C$159)+IF(CROQUIS!$C$92="X",0,0)),-1000)</f>
        <v>-1000</v>
      </c>
      <c r="BR126">
        <f>IF(AND(CROQUIS!$C$88=1,CROQUIS!$C$91=0,CROQUIS!$C$133&gt;0,OR(CROQUIS!$C$103=1,CROQUIS!$C$145=1)),((CROQUIS!$C$160+(IF(CROQUIS!$C$92="X",CHOOSE(IF(INT(($A126-1)/5)&gt;MAX((MAX(1,INT(((CROQUIS!$C$98)-CROQUIS!$C$107)/MAX((CROQUIS!$C$133*MAX(1,CEILING((INT(((CROQUIS!$C$98)-CROQUIS!$C$107)/MAX(CROQUIS!$C$133,1))+1)/80,1))),1))+1))-1,0),0,MOD($A126-1,5))+1,0,IF(CROQUIS!$C$103=1,-12,2),CROQUIS!$C$107/2+CROQUIS!$C$143,IF(CROQUIS!$C$103=1,-12,2),0),((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BS1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+1,0,IF(CROQUIS!$C$103=1,-12,2),CROQUIS!$C$107/2+CROQUIS!$C$143,IF(CROQUIS!$C$103=1,-12,2),0)))*CROQUIS!$C$159)+IF(CROQUIS!$C$92="X",0.8,0)),-1000)</f>
        <v>-1000</v>
      </c>
      <c r="BT126">
        <f>IF(AND(CROQUIS!$C$88=1,CROQUIS!$C$91=0,CROQUIS!$C$133&gt;0,OR(CROQUIS!$C$104=1,CROQUIS!$C$145=1)),((CROQUIS!$C$160+(IF(CROQUIS!$C$92="X",CHOOSE(IF(INT(($A126-1)/5)&gt;MAX((MAX(1,INT(((CROQUIS!$C$98)-CROQUIS!$C$107)/MAX((CROQUIS!$C$133*MAX(1,CEILING((INT(((CROQUIS!$C$98)-CROQUIS!$C$107)/MAX(CROQUIS!$C$133,1))+1)/80,1))),1))+1))-1,0),0,MOD($A126-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BU1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CROQUIS!$C$97,CROQUIS!$C$97-CROQUIS!$C$107/2-CROQUIS!$C$143,IF(CROQUIS!$C$104=1,CROQUIS!$C$97+12,CROQUIS!$C$97-2),CROQUIS!$C$97-CROQUIS!$C$107/2-CROQUIS!$C$143,CROQUIS!$C$97)))*CROQUIS!$C$159)+IF(CROQUIS!$C$92="X",0.8,0)),-1000)</f>
        <v>-1000</v>
      </c>
      <c r="BV1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HOOSE(IF(INT(($A126-1)/5)&gt;MAX((MAX(1,INT(((CROQUIS!$C$97)-CROQUIS!$C$107)/MAX((CROQUIS!$C$141*MAX(1,CEILING((INT(((CROQUIS!$C$97)-CROQUIS!$C$107)/MAX(CROQUIS!$C$141,1))+1)/80,1))),1))+1))-1,0),0,MOD($A126-1,5))+1,0,IF(CROQUIS!$C$105=1,-12,2),CROQUIS!$C$107/2+CROQUIS!$C$144,IF(CROQUIS!$C$105=1,-12,2),0)))*CROQUIS!$C$159)+IF(CROQUIS!$C$92="X",0.8,0)),-1000)</f>
        <v>-1000</v>
      </c>
      <c r="BW126">
        <f>IF(AND(CROQUIS!$C$88=1,CROQUIS!$C$91=0,CROQUIS!$C$141&gt;0,OR(CROQUIS!$C$105=1,CROQUIS!$C$146=1)),((CROQUIS!$C$161+(IF(CROQUIS!$C$92="X",CHOOSE(IF(INT(($A126-1)/5)&gt;MAX((MAX(1,INT(((CROQUIS!$C$97)-CROQUIS!$C$107)/MAX((CROQUIS!$C$141*MAX(1,CEILING((INT(((CROQUIS!$C$97)-CROQUIS!$C$107)/MAX(CROQUIS!$C$141,1))+1)/80,1))),1))+1))-1,0),0,MOD($A126-1,5))+1,0,IF(CROQUIS!$C$105=1,-12,2),CROQUIS!$C$107/2+CROQUIS!$C$144,IF(CROQUIS!$C$105=1,-12,2),0),((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ROQUIS!$C$159)+IF(CROQUIS!$C$92="X",0,0.8)),-1000)</f>
        <v>-1000</v>
      </c>
      <c r="BX1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HOOSE(IF(INT(($A126-1)/5)&gt;MAX((MAX(1,INT(((CROQUIS!$C$97)-CROQUIS!$C$107)/MAX((CROQUIS!$C$141*MAX(1,CEILING((INT(((CROQUIS!$C$97)-CROQUIS!$C$107)/MAX(CROQUIS!$C$141,1))+1)/80,1))),1))+1))-1,0),0,MOD($A126-1,5))+1,CROQUIS!$C$98,CROQUIS!$C$98-CROQUIS!$C$107/2-CROQUIS!$C$144,IF(CROQUIS!$C$106=1,CROQUIS!$C$98+12,CROQUIS!$C$98-2),CROQUIS!$C$98-CROQUIS!$C$107/2-CROQUIS!$C$144,CROQUIS!$C$98)))*CROQUIS!$C$159)+IF(CROQUIS!$C$92="X",0.8,0)),-1000)</f>
        <v>-1000</v>
      </c>
      <c r="BY126">
        <f>IF(AND(CROQUIS!$C$88=1,CROQUIS!$C$91=0,CROQUIS!$C$141&gt;0,OR(CROQUIS!$C$106=1,CROQUIS!$C$146=1)),((CROQUIS!$C$161+(IF(CROQUIS!$C$92="X",CHOOSE(IF(INT(($A126-1)/5)&gt;MAX((MAX(1,INT(((CROQUIS!$C$97)-CROQUIS!$C$107)/MAX((CROQUIS!$C$141*MAX(1,CEILING((INT(((CROQUIS!$C$97)-CROQUIS!$C$107)/MAX(CROQUIS!$C$141,1))+1)/80,1))),1))+1))-1,0),0,MOD($A126-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ROQUIS!$C$159)+IF(CROQUIS!$C$92="X",0,0.8)),-1000)</f>
        <v>-1000</v>
      </c>
      <c r="BZ126">
        <f>IF(AND(CROQUIS!$C$88=1,CROQUIS!$C$91=1,CROQUIS!$C$133&gt;0),((CROQUIS!$C$160+(IF(CROQUIS!$C$92="X",CHOOSE(IF(INT(($A126-1)/5)&gt;MAX((MAX(1,INT(((CROQUIS!$C$98)-CROQUIS!$C$107)/MAX((CROQUIS!$C$133*MAX(1,CEILING((INT(((CROQUIS!$C$98)-CROQUIS!$C$107)/MAX(CROQUIS!$C$133,1))+1)/80,1))),1))+1))-1,0),0,MOD($A126-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CA126">
        <f>IF(AND(CROQUIS!$C$88=1,CROQUIS!$C$91=1,CROQUIS!$C$133&gt;0),((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7">
      <c r="A127" t="n">
        <v>120</v>
      </c>
      <c r="BN127">
        <f>IF(AND(CROQUIS!$C$88=1,CROQUIS!$C$129&gt;0),((CROQUIS!$C$160+(IF(CROQUIS!$C$92="X",CHOOSE(IF(INT(($A127-1)/5)&gt;MAX((MAX(1,INT(((CROQUIS!$C$98)-CROQUIS!$C$107)/MAX((CROQUIS!$C$129*MAX(1,CEILING((INT(((CROQUIS!$C$98)-CROQUIS!$C$107)/MAX(CROQUIS!$C$129,1))+1)/80,1))),1))+1))-1,0),0,MOD($A127-1,5))+1,0,2,CROQUIS!$C$97-2,2,0),((CROQUIS!$C$107/2+(((CROQUIS!$C$98)-CROQUIS!$C$107)-(MAX(1,INT(((CROQUIS!$C$98)-CROQUIS!$C$107)/MAX((CROQUIS!$C$129*MAX(1,CEILING((INT(((CROQUIS!$C$98)-CROQUIS!$C$107)/MAX(CROQUIS!$C$129,1))+1)/80,1))),1))+1)-1)*(CROQUIS!$C$129*MAX(1,CEILING((INT(((CROQUIS!$C$98)-CROQUIS!$C$107)/MAX(CROQUIS!$C$129,1))+1)/80,1))))/2)+MIN(INT(($A127-1)/5),MAX((MAX(1,INT(((CROQUIS!$C$98)-CROQUIS!$C$107)/MAX((CROQUIS!$C$129*MAX(1,CEILING((INT(((CROQUIS!$C$98)-CROQUIS!$C$107)/MAX(CROQUIS!$C$129,1))+1)/80,1))),1))+1))-1,0))*(CROQUIS!$C$129*MAX(1,CEILING((INT(((CROQUIS!$C$98)-CROQUIS!$C$107)/MAX(CROQUIS!$C$129,1))+1)/80,1))))))*CROQUIS!$C$159)+IF(CROQUIS!$C$92="X",0,0)),-1000)</f>
        <v>-1000</v>
      </c>
      <c r="BO127">
        <f>IF(AND(CROQUIS!$C$88=1,CROQUIS!$C$129&gt;0),((CROQUIS!$C$161+(IF(CROQUIS!$C$92="X",((CROQUIS!$C$107/2+(((CROQUIS!$C$98)-CROQUIS!$C$107)-(MAX(1,INT(((CROQUIS!$C$98)-CROQUIS!$C$107)/MAX((CROQUIS!$C$129*MAX(1,CEILING((INT(((CROQUIS!$C$98)-CROQUIS!$C$107)/MAX(CROQUIS!$C$129,1))+1)/80,1))),1))+1)-1)*(CROQUIS!$C$129*MAX(1,CEILING((INT(((CROQUIS!$C$98)-CROQUIS!$C$107)/MAX(CROQUIS!$C$129,1))+1)/80,1))))/2)+MIN(INT(($A127-1)/5),MAX((MAX(1,INT(((CROQUIS!$C$98)-CROQUIS!$C$107)/MAX((CROQUIS!$C$129*MAX(1,CEILING((INT(((CROQUIS!$C$98)-CROQUIS!$C$107)/MAX(CROQUIS!$C$129,1))+1)/80,1))),1))+1))-1,0))*(CROQUIS!$C$129*MAX(1,CEILING((INT(((CROQUIS!$C$98)-CROQUIS!$C$107)/MAX(CROQUIS!$C$129,1))+1)/80,1)))),CHOOSE(IF(INT(($A127-1)/5)&gt;MAX((MAX(1,INT(((CROQUIS!$C$98)-CROQUIS!$C$107)/MAX((CROQUIS!$C$129*MAX(1,CEILING((INT(((CROQUIS!$C$98)-CROQUIS!$C$107)/MAX(CROQUIS!$C$129,1))+1)/80,1))),1))+1))-1,0),0,MOD($A127-1,5))+1,0,2,CROQUIS!$C$97-2,2,0)))*CROQUIS!$C$159)+IF(CROQUIS!$C$92="X",0,0)),-1000)</f>
        <v>-1000</v>
      </c>
      <c r="BP127">
        <f>IF(AND(CROQUIS!$C$88=1,CROQUIS!$C$137&gt;0),((CROQUIS!$C$160+(IF(CROQUIS!$C$92="X",((CROQUIS!$C$107/2+(((CROQUIS!$C$97)-CROQUIS!$C$107)-(MAX(1,INT(((CROQUIS!$C$97)-CROQUIS!$C$107)/MAX((CROQUIS!$C$137*MAX(1,CEILING((INT(((CROQUIS!$C$97)-CROQUIS!$C$107)/MAX(CROQUIS!$C$137,1))+1)/80,1))),1))+1)-1)*(CROQUIS!$C$137*MAX(1,CEILING((INT(((CROQUIS!$C$97)-CROQUIS!$C$107)/MAX(CROQUIS!$C$137,1))+1)/80,1))))/2)+MIN(INT(($A127-1)/5),MAX((MAX(1,INT(((CROQUIS!$C$97)-CROQUIS!$C$107)/MAX((CROQUIS!$C$137*MAX(1,CEILING((INT(((CROQUIS!$C$97)-CROQUIS!$C$107)/MAX(CROQUIS!$C$137,1))+1)/80,1))),1))+1))-1,0))*(CROQUIS!$C$137*MAX(1,CEILING((INT(((CROQUIS!$C$97)-CROQUIS!$C$107)/MAX(CROQUIS!$C$137,1))+1)/80,1)))),CHOOSE(IF(INT(($A127-1)/5)&gt;MAX((MAX(1,INT(((CROQUIS!$C$97)-CROQUIS!$C$107)/MAX((CROQUIS!$C$137*MAX(1,CEILING((INT(((CROQUIS!$C$97)-CROQUIS!$C$107)/MAX(CROQUIS!$C$137,1))+1)/80,1))),1))+1))-1,0),0,MOD($A127-1,5))+1,0,2,CROQUIS!$C$98-2,2,0)))*CROQUIS!$C$159)+IF(CROQUIS!$C$92="X",0,0)),-1000)</f>
        <v>-1000</v>
      </c>
      <c r="BQ127">
        <f>IF(AND(CROQUIS!$C$88=1,CROQUIS!$C$137&gt;0),((CROQUIS!$C$161+(IF(CROQUIS!$C$92="X",CHOOSE(IF(INT(($A127-1)/5)&gt;MAX((MAX(1,INT(((CROQUIS!$C$97)-CROQUIS!$C$107)/MAX((CROQUIS!$C$137*MAX(1,CEILING((INT(((CROQUIS!$C$97)-CROQUIS!$C$107)/MAX(CROQUIS!$C$137,1))+1)/80,1))),1))+1))-1,0),0,MOD($A127-1,5))+1,0,2,CROQUIS!$C$98-2,2,0),((CROQUIS!$C$107/2+(((CROQUIS!$C$97)-CROQUIS!$C$107)-(MAX(1,INT(((CROQUIS!$C$97)-CROQUIS!$C$107)/MAX((CROQUIS!$C$137*MAX(1,CEILING((INT(((CROQUIS!$C$97)-CROQUIS!$C$107)/MAX(CROQUIS!$C$137,1))+1)/80,1))),1))+1)-1)*(CROQUIS!$C$137*MAX(1,CEILING((INT(((CROQUIS!$C$97)-CROQUIS!$C$107)/MAX(CROQUIS!$C$137,1))+1)/80,1))))/2)+MIN(INT(($A127-1)/5),MAX((MAX(1,INT(((CROQUIS!$C$97)-CROQUIS!$C$107)/MAX((CROQUIS!$C$137*MAX(1,CEILING((INT(((CROQUIS!$C$97)-CROQUIS!$C$107)/MAX(CROQUIS!$C$137,1))+1)/80,1))),1))+1))-1,0))*(CROQUIS!$C$137*MAX(1,CEILING((INT(((CROQUIS!$C$97)-CROQUIS!$C$107)/MAX(CROQUIS!$C$137,1))+1)/80,1))))))*CROQUIS!$C$159)+IF(CROQUIS!$C$92="X",0,0)),-1000)</f>
        <v>-1000</v>
      </c>
      <c r="BR127">
        <f>IF(AND(CROQUIS!$C$88=1,CROQUIS!$C$91=0,CROQUIS!$C$133&gt;0,OR(CROQUIS!$C$103=1,CROQUIS!$C$145=1)),((CROQUIS!$C$160+(IF(CROQUIS!$C$92="X",CHOOSE(IF(INT(($A127-1)/5)&gt;MAX((MAX(1,INT(((CROQUIS!$C$98)-CROQUIS!$C$107)/MAX((CROQUIS!$C$133*MAX(1,CEILING((INT(((CROQUIS!$C$98)-CROQUIS!$C$107)/MAX(CROQUIS!$C$133,1))+1)/80,1))),1))+1))-1,0),0,MOD($A127-1,5))+1,0,IF(CROQUIS!$C$103=1,-12,2),CROQUIS!$C$107/2+CROQUIS!$C$143,IF(CROQUIS!$C$103=1,-12,2),0),((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BS1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+1,0,IF(CROQUIS!$C$103=1,-12,2),CROQUIS!$C$107/2+CROQUIS!$C$143,IF(CROQUIS!$C$103=1,-12,2),0)))*CROQUIS!$C$159)+IF(CROQUIS!$C$92="X",0.8,0)),-1000)</f>
        <v>-1000</v>
      </c>
      <c r="BT127">
        <f>IF(AND(CROQUIS!$C$88=1,CROQUIS!$C$91=0,CROQUIS!$C$133&gt;0,OR(CROQUIS!$C$104=1,CROQUIS!$C$145=1)),((CROQUIS!$C$160+(IF(CROQUIS!$C$92="X",CHOOSE(IF(INT(($A127-1)/5)&gt;MAX((MAX(1,INT(((CROQUIS!$C$98)-CROQUIS!$C$107)/MAX((CROQUIS!$C$133*MAX(1,CEILING((INT(((CROQUIS!$C$98)-CROQUIS!$C$107)/MAX(CROQUIS!$C$133,1))+1)/80,1))),1))+1))-1,0),0,MOD($A127-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BU1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CROQUIS!$C$97,CROQUIS!$C$97-CROQUIS!$C$107/2-CROQUIS!$C$143,IF(CROQUIS!$C$104=1,CROQUIS!$C$97+12,CROQUIS!$C$97-2),CROQUIS!$C$97-CROQUIS!$C$107/2-CROQUIS!$C$143,CROQUIS!$C$97)))*CROQUIS!$C$159)+IF(CROQUIS!$C$92="X",0.8,0)),-1000)</f>
        <v>-1000</v>
      </c>
      <c r="BV1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HOOSE(IF(INT(($A127-1)/5)&gt;MAX((MAX(1,INT(((CROQUIS!$C$97)-CROQUIS!$C$107)/MAX((CROQUIS!$C$141*MAX(1,CEILING((INT(((CROQUIS!$C$97)-CROQUIS!$C$107)/MAX(CROQUIS!$C$141,1))+1)/80,1))),1))+1))-1,0),0,MOD($A127-1,5))+1,0,IF(CROQUIS!$C$105=1,-12,2),CROQUIS!$C$107/2+CROQUIS!$C$144,IF(CROQUIS!$C$105=1,-12,2),0)))*CROQUIS!$C$159)+IF(CROQUIS!$C$92="X",0.8,0)),-1000)</f>
        <v>-1000</v>
      </c>
      <c r="BW127">
        <f>IF(AND(CROQUIS!$C$88=1,CROQUIS!$C$91=0,CROQUIS!$C$141&gt;0,OR(CROQUIS!$C$105=1,CROQUIS!$C$146=1)),((CROQUIS!$C$161+(IF(CROQUIS!$C$92="X",CHOOSE(IF(INT(($A127-1)/5)&gt;MAX((MAX(1,INT(((CROQUIS!$C$97)-CROQUIS!$C$107)/MAX((CROQUIS!$C$141*MAX(1,CEILING((INT(((CROQUIS!$C$97)-CROQUIS!$C$107)/MAX(CROQUIS!$C$141,1))+1)/80,1))),1))+1))-1,0),0,MOD($A127-1,5))+1,0,IF(CROQUIS!$C$105=1,-12,2),CROQUIS!$C$107/2+CROQUIS!$C$144,IF(CROQUIS!$C$105=1,-12,2),0),((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ROQUIS!$C$159)+IF(CROQUIS!$C$92="X",0,0.8)),-1000)</f>
        <v>-1000</v>
      </c>
      <c r="BX1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HOOSE(IF(INT(($A127-1)/5)&gt;MAX((MAX(1,INT(((CROQUIS!$C$97)-CROQUIS!$C$107)/MAX((CROQUIS!$C$141*MAX(1,CEILING((INT(((CROQUIS!$C$97)-CROQUIS!$C$107)/MAX(CROQUIS!$C$141,1))+1)/80,1))),1))+1))-1,0),0,MOD($A127-1,5))+1,CROQUIS!$C$98,CROQUIS!$C$98-CROQUIS!$C$107/2-CROQUIS!$C$144,IF(CROQUIS!$C$106=1,CROQUIS!$C$98+12,CROQUIS!$C$98-2),CROQUIS!$C$98-CROQUIS!$C$107/2-CROQUIS!$C$144,CROQUIS!$C$98)))*CROQUIS!$C$159)+IF(CROQUIS!$C$92="X",0.8,0)),-1000)</f>
        <v>-1000</v>
      </c>
      <c r="BY127">
        <f>IF(AND(CROQUIS!$C$88=1,CROQUIS!$C$91=0,CROQUIS!$C$141&gt;0,OR(CROQUIS!$C$106=1,CROQUIS!$C$146=1)),((CROQUIS!$C$161+(IF(CROQUIS!$C$92="X",CHOOSE(IF(INT(($A127-1)/5)&gt;MAX((MAX(1,INT(((CROQUIS!$C$97)-CROQUIS!$C$107)/MAX((CROQUIS!$C$141*MAX(1,CEILING((INT(((CROQUIS!$C$97)-CROQUIS!$C$107)/MAX(CROQUIS!$C$141,1))+1)/80,1))),1))+1))-1,0),0,MOD($A127-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ROQUIS!$C$159)+IF(CROQUIS!$C$92="X",0,0.8)),-1000)</f>
        <v>-1000</v>
      </c>
      <c r="BZ127">
        <f>IF(AND(CROQUIS!$C$88=1,CROQUIS!$C$91=1,CROQUIS!$C$133&gt;0),((CROQUIS!$C$160+(IF(CROQUIS!$C$92="X",CHOOSE(IF(INT(($A127-1)/5)&gt;MAX((MAX(1,INT(((CROQUIS!$C$98)-CROQUIS!$C$107)/MAX((CROQUIS!$C$133*MAX(1,CEILING((INT(((CROQUIS!$C$98)-CROQUIS!$C$107)/MAX(CROQUIS!$C$133,1))+1)/80,1))),1))+1))-1,0),0,MOD($A127-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CA127">
        <f>IF(AND(CROQUIS!$C$88=1,CROQUIS!$C$91=1,CROQUIS!$C$133&gt;0),((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8">
      <c r="A128" t="n">
        <v>121</v>
      </c>
      <c r="BN128">
        <f>IF(AND(CROQUIS!$C$88=1,CROQUIS!$C$129&gt;0),((CROQUIS!$C$160+(IF(CROQUIS!$C$92="X",CHOOSE(IF(INT(($A128-1)/5)&gt;MAX((MAX(1,INT(((CROQUIS!$C$98)-CROQUIS!$C$107)/MAX((CROQUIS!$C$129*MAX(1,CEILING((INT(((CROQUIS!$C$98)-CROQUIS!$C$107)/MAX(CROQUIS!$C$129,1))+1)/80,1))),1))+1))-1,0),0,MOD($A128-1,5))+1,0,2,CROQUIS!$C$97-2,2,0),((CROQUIS!$C$107/2+(((CROQUIS!$C$98)-CROQUIS!$C$107)-(MAX(1,INT(((CROQUIS!$C$98)-CROQUIS!$C$107)/MAX((CROQUIS!$C$129*MAX(1,CEILING((INT(((CROQUIS!$C$98)-CROQUIS!$C$107)/MAX(CROQUIS!$C$129,1))+1)/80,1))),1))+1)-1)*(CROQUIS!$C$129*MAX(1,CEILING((INT(((CROQUIS!$C$98)-CROQUIS!$C$107)/MAX(CROQUIS!$C$129,1))+1)/80,1))))/2)+MIN(INT(($A128-1)/5),MAX((MAX(1,INT(((CROQUIS!$C$98)-CROQUIS!$C$107)/MAX((CROQUIS!$C$129*MAX(1,CEILING((INT(((CROQUIS!$C$98)-CROQUIS!$C$107)/MAX(CROQUIS!$C$129,1))+1)/80,1))),1))+1))-1,0))*(CROQUIS!$C$129*MAX(1,CEILING((INT(((CROQUIS!$C$98)-CROQUIS!$C$107)/MAX(CROQUIS!$C$129,1))+1)/80,1))))))*CROQUIS!$C$159)+IF(CROQUIS!$C$92="X",0,0)),-1000)</f>
        <v>-1000</v>
      </c>
      <c r="BO128">
        <f>IF(AND(CROQUIS!$C$88=1,CROQUIS!$C$129&gt;0),((CROQUIS!$C$161+(IF(CROQUIS!$C$92="X",((CROQUIS!$C$107/2+(((CROQUIS!$C$98)-CROQUIS!$C$107)-(MAX(1,INT(((CROQUIS!$C$98)-CROQUIS!$C$107)/MAX((CROQUIS!$C$129*MAX(1,CEILING((INT(((CROQUIS!$C$98)-CROQUIS!$C$107)/MAX(CROQUIS!$C$129,1))+1)/80,1))),1))+1)-1)*(CROQUIS!$C$129*MAX(1,CEILING((INT(((CROQUIS!$C$98)-CROQUIS!$C$107)/MAX(CROQUIS!$C$129,1))+1)/80,1))))/2)+MIN(INT(($A128-1)/5),MAX((MAX(1,INT(((CROQUIS!$C$98)-CROQUIS!$C$107)/MAX((CROQUIS!$C$129*MAX(1,CEILING((INT(((CROQUIS!$C$98)-CROQUIS!$C$107)/MAX(CROQUIS!$C$129,1))+1)/80,1))),1))+1))-1,0))*(CROQUIS!$C$129*MAX(1,CEILING((INT(((CROQUIS!$C$98)-CROQUIS!$C$107)/MAX(CROQUIS!$C$129,1))+1)/80,1)))),CHOOSE(IF(INT(($A128-1)/5)&gt;MAX((MAX(1,INT(((CROQUIS!$C$98)-CROQUIS!$C$107)/MAX((CROQUIS!$C$129*MAX(1,CEILING((INT(((CROQUIS!$C$98)-CROQUIS!$C$107)/MAX(CROQUIS!$C$129,1))+1)/80,1))),1))+1))-1,0),0,MOD($A128-1,5))+1,0,2,CROQUIS!$C$97-2,2,0)))*CROQUIS!$C$159)+IF(CROQUIS!$C$92="X",0,0)),-1000)</f>
        <v>-1000</v>
      </c>
      <c r="BP128">
        <f>IF(AND(CROQUIS!$C$88=1,CROQUIS!$C$137&gt;0),((CROQUIS!$C$160+(IF(CROQUIS!$C$92="X",((CROQUIS!$C$107/2+(((CROQUIS!$C$97)-CROQUIS!$C$107)-(MAX(1,INT(((CROQUIS!$C$97)-CROQUIS!$C$107)/MAX((CROQUIS!$C$137*MAX(1,CEILING((INT(((CROQUIS!$C$97)-CROQUIS!$C$107)/MAX(CROQUIS!$C$137,1))+1)/80,1))),1))+1)-1)*(CROQUIS!$C$137*MAX(1,CEILING((INT(((CROQUIS!$C$97)-CROQUIS!$C$107)/MAX(CROQUIS!$C$137,1))+1)/80,1))))/2)+MIN(INT(($A128-1)/5),MAX((MAX(1,INT(((CROQUIS!$C$97)-CROQUIS!$C$107)/MAX((CROQUIS!$C$137*MAX(1,CEILING((INT(((CROQUIS!$C$97)-CROQUIS!$C$107)/MAX(CROQUIS!$C$137,1))+1)/80,1))),1))+1))-1,0))*(CROQUIS!$C$137*MAX(1,CEILING((INT(((CROQUIS!$C$97)-CROQUIS!$C$107)/MAX(CROQUIS!$C$137,1))+1)/80,1)))),CHOOSE(IF(INT(($A128-1)/5)&gt;MAX((MAX(1,INT(((CROQUIS!$C$97)-CROQUIS!$C$107)/MAX((CROQUIS!$C$137*MAX(1,CEILING((INT(((CROQUIS!$C$97)-CROQUIS!$C$107)/MAX(CROQUIS!$C$137,1))+1)/80,1))),1))+1))-1,0),0,MOD($A128-1,5))+1,0,2,CROQUIS!$C$98-2,2,0)))*CROQUIS!$C$159)+IF(CROQUIS!$C$92="X",0,0)),-1000)</f>
        <v>-1000</v>
      </c>
      <c r="BQ128">
        <f>IF(AND(CROQUIS!$C$88=1,CROQUIS!$C$137&gt;0),((CROQUIS!$C$161+(IF(CROQUIS!$C$92="X",CHOOSE(IF(INT(($A128-1)/5)&gt;MAX((MAX(1,INT(((CROQUIS!$C$97)-CROQUIS!$C$107)/MAX((CROQUIS!$C$137*MAX(1,CEILING((INT(((CROQUIS!$C$97)-CROQUIS!$C$107)/MAX(CROQUIS!$C$137,1))+1)/80,1))),1))+1))-1,0),0,MOD($A128-1,5))+1,0,2,CROQUIS!$C$98-2,2,0),((CROQUIS!$C$107/2+(((CROQUIS!$C$97)-CROQUIS!$C$107)-(MAX(1,INT(((CROQUIS!$C$97)-CROQUIS!$C$107)/MAX((CROQUIS!$C$137*MAX(1,CEILING((INT(((CROQUIS!$C$97)-CROQUIS!$C$107)/MAX(CROQUIS!$C$137,1))+1)/80,1))),1))+1)-1)*(CROQUIS!$C$137*MAX(1,CEILING((INT(((CROQUIS!$C$97)-CROQUIS!$C$107)/MAX(CROQUIS!$C$137,1))+1)/80,1))))/2)+MIN(INT(($A128-1)/5),MAX((MAX(1,INT(((CROQUIS!$C$97)-CROQUIS!$C$107)/MAX((CROQUIS!$C$137*MAX(1,CEILING((INT(((CROQUIS!$C$97)-CROQUIS!$C$107)/MAX(CROQUIS!$C$137,1))+1)/80,1))),1))+1))-1,0))*(CROQUIS!$C$137*MAX(1,CEILING((INT(((CROQUIS!$C$97)-CROQUIS!$C$107)/MAX(CROQUIS!$C$137,1))+1)/80,1))))))*CROQUIS!$C$159)+IF(CROQUIS!$C$92="X",0,0)),-1000)</f>
        <v>-1000</v>
      </c>
      <c r="BR128">
        <f>IF(AND(CROQUIS!$C$88=1,CROQUIS!$C$91=0,CROQUIS!$C$133&gt;0,OR(CROQUIS!$C$103=1,CROQUIS!$C$145=1)),((CROQUIS!$C$160+(IF(CROQUIS!$C$92="X",CHOOSE(IF(INT(($A128-1)/5)&gt;MAX((MAX(1,INT(((CROQUIS!$C$98)-CROQUIS!$C$107)/MAX((CROQUIS!$C$133*MAX(1,CEILING((INT(((CROQUIS!$C$98)-CROQUIS!$C$107)/MAX(CROQUIS!$C$133,1))+1)/80,1))),1))+1))-1,0),0,MOD($A128-1,5))+1,0,IF(CROQUIS!$C$103=1,-12,2),CROQUIS!$C$107/2+CROQUIS!$C$143,IF(CROQUIS!$C$103=1,-12,2),0),((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BS1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+1,0,IF(CROQUIS!$C$103=1,-12,2),CROQUIS!$C$107/2+CROQUIS!$C$143,IF(CROQUIS!$C$103=1,-12,2),0)))*CROQUIS!$C$159)+IF(CROQUIS!$C$92="X",0.8,0)),-1000)</f>
        <v>-1000</v>
      </c>
      <c r="BT128">
        <f>IF(AND(CROQUIS!$C$88=1,CROQUIS!$C$91=0,CROQUIS!$C$133&gt;0,OR(CROQUIS!$C$104=1,CROQUIS!$C$145=1)),((CROQUIS!$C$160+(IF(CROQUIS!$C$92="X",CHOOSE(IF(INT(($A128-1)/5)&gt;MAX((MAX(1,INT(((CROQUIS!$C$98)-CROQUIS!$C$107)/MAX((CROQUIS!$C$133*MAX(1,CEILING((INT(((CROQUIS!$C$98)-CROQUIS!$C$107)/MAX(CROQUIS!$C$133,1))+1)/80,1))),1))+1))-1,0),0,MOD($A128-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BU1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CROQUIS!$C$97,CROQUIS!$C$97-CROQUIS!$C$107/2-CROQUIS!$C$143,IF(CROQUIS!$C$104=1,CROQUIS!$C$97+12,CROQUIS!$C$97-2),CROQUIS!$C$97-CROQUIS!$C$107/2-CROQUIS!$C$143,CROQUIS!$C$97)))*CROQUIS!$C$159)+IF(CROQUIS!$C$92="X",0.8,0)),-1000)</f>
        <v>-1000</v>
      </c>
      <c r="BV1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HOOSE(IF(INT(($A128-1)/5)&gt;MAX((MAX(1,INT(((CROQUIS!$C$97)-CROQUIS!$C$107)/MAX((CROQUIS!$C$141*MAX(1,CEILING((INT(((CROQUIS!$C$97)-CROQUIS!$C$107)/MAX(CROQUIS!$C$141,1))+1)/80,1))),1))+1))-1,0),0,MOD($A128-1,5))+1,0,IF(CROQUIS!$C$105=1,-12,2),CROQUIS!$C$107/2+CROQUIS!$C$144,IF(CROQUIS!$C$105=1,-12,2),0)))*CROQUIS!$C$159)+IF(CROQUIS!$C$92="X",0.8,0)),-1000)</f>
        <v>-1000</v>
      </c>
      <c r="BW128">
        <f>IF(AND(CROQUIS!$C$88=1,CROQUIS!$C$91=0,CROQUIS!$C$141&gt;0,OR(CROQUIS!$C$105=1,CROQUIS!$C$146=1)),((CROQUIS!$C$161+(IF(CROQUIS!$C$92="X",CHOOSE(IF(INT(($A128-1)/5)&gt;MAX((MAX(1,INT(((CROQUIS!$C$97)-CROQUIS!$C$107)/MAX((CROQUIS!$C$141*MAX(1,CEILING((INT(((CROQUIS!$C$97)-CROQUIS!$C$107)/MAX(CROQUIS!$C$141,1))+1)/80,1))),1))+1))-1,0),0,MOD($A128-1,5))+1,0,IF(CROQUIS!$C$105=1,-12,2),CROQUIS!$C$107/2+CROQUIS!$C$144,IF(CROQUIS!$C$105=1,-12,2),0),((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ROQUIS!$C$159)+IF(CROQUIS!$C$92="X",0,0.8)),-1000)</f>
        <v>-1000</v>
      </c>
      <c r="BX1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HOOSE(IF(INT(($A128-1)/5)&gt;MAX((MAX(1,INT(((CROQUIS!$C$97)-CROQUIS!$C$107)/MAX((CROQUIS!$C$141*MAX(1,CEILING((INT(((CROQUIS!$C$97)-CROQUIS!$C$107)/MAX(CROQUIS!$C$141,1))+1)/80,1))),1))+1))-1,0),0,MOD($A128-1,5))+1,CROQUIS!$C$98,CROQUIS!$C$98-CROQUIS!$C$107/2-CROQUIS!$C$144,IF(CROQUIS!$C$106=1,CROQUIS!$C$98+12,CROQUIS!$C$98-2),CROQUIS!$C$98-CROQUIS!$C$107/2-CROQUIS!$C$144,CROQUIS!$C$98)))*CROQUIS!$C$159)+IF(CROQUIS!$C$92="X",0.8,0)),-1000)</f>
        <v>-1000</v>
      </c>
      <c r="BY128">
        <f>IF(AND(CROQUIS!$C$88=1,CROQUIS!$C$91=0,CROQUIS!$C$141&gt;0,OR(CROQUIS!$C$106=1,CROQUIS!$C$146=1)),((CROQUIS!$C$161+(IF(CROQUIS!$C$92="X",CHOOSE(IF(INT(($A128-1)/5)&gt;MAX((MAX(1,INT(((CROQUIS!$C$97)-CROQUIS!$C$107)/MAX((CROQUIS!$C$141*MAX(1,CEILING((INT(((CROQUIS!$C$97)-CROQUIS!$C$107)/MAX(CROQUIS!$C$141,1))+1)/80,1))),1))+1))-1,0),0,MOD($A128-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ROQUIS!$C$159)+IF(CROQUIS!$C$92="X",0,0.8)),-1000)</f>
        <v>-1000</v>
      </c>
      <c r="BZ128">
        <f>IF(AND(CROQUIS!$C$88=1,CROQUIS!$C$91=1,CROQUIS!$C$133&gt;0),((CROQUIS!$C$160+(IF(CROQUIS!$C$92="X",CHOOSE(IF(INT(($A128-1)/5)&gt;MAX((MAX(1,INT(((CROQUIS!$C$98)-CROQUIS!$C$107)/MAX((CROQUIS!$C$133*MAX(1,CEILING((INT(((CROQUIS!$C$98)-CROQUIS!$C$107)/MAX(CROQUIS!$C$133,1))+1)/80,1))),1))+1))-1,0),0,MOD($A128-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CA128">
        <f>IF(AND(CROQUIS!$C$88=1,CROQUIS!$C$91=1,CROQUIS!$C$133&gt;0),((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9">
      <c r="A129" t="n">
        <v>122</v>
      </c>
      <c r="BN129">
        <f>IF(AND(CROQUIS!$C$88=1,CROQUIS!$C$129&gt;0),((CROQUIS!$C$160+(IF(CROQUIS!$C$92="X",CHOOSE(IF(INT(($A129-1)/5)&gt;MAX((MAX(1,INT(((CROQUIS!$C$98)-CROQUIS!$C$107)/MAX((CROQUIS!$C$129*MAX(1,CEILING((INT(((CROQUIS!$C$98)-CROQUIS!$C$107)/MAX(CROQUIS!$C$129,1))+1)/80,1))),1))+1))-1,0),0,MOD($A129-1,5))+1,0,2,CROQUIS!$C$97-2,2,0),((CROQUIS!$C$107/2+(((CROQUIS!$C$98)-CROQUIS!$C$107)-(MAX(1,INT(((CROQUIS!$C$98)-CROQUIS!$C$107)/MAX((CROQUIS!$C$129*MAX(1,CEILING((INT(((CROQUIS!$C$98)-CROQUIS!$C$107)/MAX(CROQUIS!$C$129,1))+1)/80,1))),1))+1)-1)*(CROQUIS!$C$129*MAX(1,CEILING((INT(((CROQUIS!$C$98)-CROQUIS!$C$107)/MAX(CROQUIS!$C$129,1))+1)/80,1))))/2)+MIN(INT(($A129-1)/5),MAX((MAX(1,INT(((CROQUIS!$C$98)-CROQUIS!$C$107)/MAX((CROQUIS!$C$129*MAX(1,CEILING((INT(((CROQUIS!$C$98)-CROQUIS!$C$107)/MAX(CROQUIS!$C$129,1))+1)/80,1))),1))+1))-1,0))*(CROQUIS!$C$129*MAX(1,CEILING((INT(((CROQUIS!$C$98)-CROQUIS!$C$107)/MAX(CROQUIS!$C$129,1))+1)/80,1))))))*CROQUIS!$C$159)+IF(CROQUIS!$C$92="X",0,0)),-1000)</f>
        <v>-1000</v>
      </c>
      <c r="BO129">
        <f>IF(AND(CROQUIS!$C$88=1,CROQUIS!$C$129&gt;0),((CROQUIS!$C$161+(IF(CROQUIS!$C$92="X",((CROQUIS!$C$107/2+(((CROQUIS!$C$98)-CROQUIS!$C$107)-(MAX(1,INT(((CROQUIS!$C$98)-CROQUIS!$C$107)/MAX((CROQUIS!$C$129*MAX(1,CEILING((INT(((CROQUIS!$C$98)-CROQUIS!$C$107)/MAX(CROQUIS!$C$129,1))+1)/80,1))),1))+1)-1)*(CROQUIS!$C$129*MAX(1,CEILING((INT(((CROQUIS!$C$98)-CROQUIS!$C$107)/MAX(CROQUIS!$C$129,1))+1)/80,1))))/2)+MIN(INT(($A129-1)/5),MAX((MAX(1,INT(((CROQUIS!$C$98)-CROQUIS!$C$107)/MAX((CROQUIS!$C$129*MAX(1,CEILING((INT(((CROQUIS!$C$98)-CROQUIS!$C$107)/MAX(CROQUIS!$C$129,1))+1)/80,1))),1))+1))-1,0))*(CROQUIS!$C$129*MAX(1,CEILING((INT(((CROQUIS!$C$98)-CROQUIS!$C$107)/MAX(CROQUIS!$C$129,1))+1)/80,1)))),CHOOSE(IF(INT(($A129-1)/5)&gt;MAX((MAX(1,INT(((CROQUIS!$C$98)-CROQUIS!$C$107)/MAX((CROQUIS!$C$129*MAX(1,CEILING((INT(((CROQUIS!$C$98)-CROQUIS!$C$107)/MAX(CROQUIS!$C$129,1))+1)/80,1))),1))+1))-1,0),0,MOD($A129-1,5))+1,0,2,CROQUIS!$C$97-2,2,0)))*CROQUIS!$C$159)+IF(CROQUIS!$C$92="X",0,0)),-1000)</f>
        <v>-1000</v>
      </c>
      <c r="BP129">
        <f>IF(AND(CROQUIS!$C$88=1,CROQUIS!$C$137&gt;0),((CROQUIS!$C$160+(IF(CROQUIS!$C$92="X",((CROQUIS!$C$107/2+(((CROQUIS!$C$97)-CROQUIS!$C$107)-(MAX(1,INT(((CROQUIS!$C$97)-CROQUIS!$C$107)/MAX((CROQUIS!$C$137*MAX(1,CEILING((INT(((CROQUIS!$C$97)-CROQUIS!$C$107)/MAX(CROQUIS!$C$137,1))+1)/80,1))),1))+1)-1)*(CROQUIS!$C$137*MAX(1,CEILING((INT(((CROQUIS!$C$97)-CROQUIS!$C$107)/MAX(CROQUIS!$C$137,1))+1)/80,1))))/2)+MIN(INT(($A129-1)/5),MAX((MAX(1,INT(((CROQUIS!$C$97)-CROQUIS!$C$107)/MAX((CROQUIS!$C$137*MAX(1,CEILING((INT(((CROQUIS!$C$97)-CROQUIS!$C$107)/MAX(CROQUIS!$C$137,1))+1)/80,1))),1))+1))-1,0))*(CROQUIS!$C$137*MAX(1,CEILING((INT(((CROQUIS!$C$97)-CROQUIS!$C$107)/MAX(CROQUIS!$C$137,1))+1)/80,1)))),CHOOSE(IF(INT(($A129-1)/5)&gt;MAX((MAX(1,INT(((CROQUIS!$C$97)-CROQUIS!$C$107)/MAX((CROQUIS!$C$137*MAX(1,CEILING((INT(((CROQUIS!$C$97)-CROQUIS!$C$107)/MAX(CROQUIS!$C$137,1))+1)/80,1))),1))+1))-1,0),0,MOD($A129-1,5))+1,0,2,CROQUIS!$C$98-2,2,0)))*CROQUIS!$C$159)+IF(CROQUIS!$C$92="X",0,0)),-1000)</f>
        <v>-1000</v>
      </c>
      <c r="BQ129">
        <f>IF(AND(CROQUIS!$C$88=1,CROQUIS!$C$137&gt;0),((CROQUIS!$C$161+(IF(CROQUIS!$C$92="X",CHOOSE(IF(INT(($A129-1)/5)&gt;MAX((MAX(1,INT(((CROQUIS!$C$97)-CROQUIS!$C$107)/MAX((CROQUIS!$C$137*MAX(1,CEILING((INT(((CROQUIS!$C$97)-CROQUIS!$C$107)/MAX(CROQUIS!$C$137,1))+1)/80,1))),1))+1))-1,0),0,MOD($A129-1,5))+1,0,2,CROQUIS!$C$98-2,2,0),((CROQUIS!$C$107/2+(((CROQUIS!$C$97)-CROQUIS!$C$107)-(MAX(1,INT(((CROQUIS!$C$97)-CROQUIS!$C$107)/MAX((CROQUIS!$C$137*MAX(1,CEILING((INT(((CROQUIS!$C$97)-CROQUIS!$C$107)/MAX(CROQUIS!$C$137,1))+1)/80,1))),1))+1)-1)*(CROQUIS!$C$137*MAX(1,CEILING((INT(((CROQUIS!$C$97)-CROQUIS!$C$107)/MAX(CROQUIS!$C$137,1))+1)/80,1))))/2)+MIN(INT(($A129-1)/5),MAX((MAX(1,INT(((CROQUIS!$C$97)-CROQUIS!$C$107)/MAX((CROQUIS!$C$137*MAX(1,CEILING((INT(((CROQUIS!$C$97)-CROQUIS!$C$107)/MAX(CROQUIS!$C$137,1))+1)/80,1))),1))+1))-1,0))*(CROQUIS!$C$137*MAX(1,CEILING((INT(((CROQUIS!$C$97)-CROQUIS!$C$107)/MAX(CROQUIS!$C$137,1))+1)/80,1))))))*CROQUIS!$C$159)+IF(CROQUIS!$C$92="X",0,0)),-1000)</f>
        <v>-1000</v>
      </c>
      <c r="BR129">
        <f>IF(AND(CROQUIS!$C$88=1,CROQUIS!$C$91=0,CROQUIS!$C$133&gt;0,OR(CROQUIS!$C$103=1,CROQUIS!$C$145=1)),((CROQUIS!$C$160+(IF(CROQUIS!$C$92="X",CHOOSE(IF(INT(($A129-1)/5)&gt;MAX((MAX(1,INT(((CROQUIS!$C$98)-CROQUIS!$C$107)/MAX((CROQUIS!$C$133*MAX(1,CEILING((INT(((CROQUIS!$C$98)-CROQUIS!$C$107)/MAX(CROQUIS!$C$133,1))+1)/80,1))),1))+1))-1,0),0,MOD($A129-1,5))+1,0,IF(CROQUIS!$C$103=1,-12,2),CROQUIS!$C$107/2+CROQUIS!$C$143,IF(CROQUIS!$C$103=1,-12,2),0),((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BS1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+1,0,IF(CROQUIS!$C$103=1,-12,2),CROQUIS!$C$107/2+CROQUIS!$C$143,IF(CROQUIS!$C$103=1,-12,2),0)))*CROQUIS!$C$159)+IF(CROQUIS!$C$92="X",0.8,0)),-1000)</f>
        <v>-1000</v>
      </c>
      <c r="BT129">
        <f>IF(AND(CROQUIS!$C$88=1,CROQUIS!$C$91=0,CROQUIS!$C$133&gt;0,OR(CROQUIS!$C$104=1,CROQUIS!$C$145=1)),((CROQUIS!$C$160+(IF(CROQUIS!$C$92="X",CHOOSE(IF(INT(($A129-1)/5)&gt;MAX((MAX(1,INT(((CROQUIS!$C$98)-CROQUIS!$C$107)/MAX((CROQUIS!$C$133*MAX(1,CEILING((INT(((CROQUIS!$C$98)-CROQUIS!$C$107)/MAX(CROQUIS!$C$133,1))+1)/80,1))),1))+1))-1,0),0,MOD($A129-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BU1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CROQUIS!$C$97,CROQUIS!$C$97-CROQUIS!$C$107/2-CROQUIS!$C$143,IF(CROQUIS!$C$104=1,CROQUIS!$C$97+12,CROQUIS!$C$97-2),CROQUIS!$C$97-CROQUIS!$C$107/2-CROQUIS!$C$143,CROQUIS!$C$97)))*CROQUIS!$C$159)+IF(CROQUIS!$C$92="X",0.8,0)),-1000)</f>
        <v>-1000</v>
      </c>
      <c r="BV1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HOOSE(IF(INT(($A129-1)/5)&gt;MAX((MAX(1,INT(((CROQUIS!$C$97)-CROQUIS!$C$107)/MAX((CROQUIS!$C$141*MAX(1,CEILING((INT(((CROQUIS!$C$97)-CROQUIS!$C$107)/MAX(CROQUIS!$C$141,1))+1)/80,1))),1))+1))-1,0),0,MOD($A129-1,5))+1,0,IF(CROQUIS!$C$105=1,-12,2),CROQUIS!$C$107/2+CROQUIS!$C$144,IF(CROQUIS!$C$105=1,-12,2),0)))*CROQUIS!$C$159)+IF(CROQUIS!$C$92="X",0.8,0)),-1000)</f>
        <v>-1000</v>
      </c>
      <c r="BW129">
        <f>IF(AND(CROQUIS!$C$88=1,CROQUIS!$C$91=0,CROQUIS!$C$141&gt;0,OR(CROQUIS!$C$105=1,CROQUIS!$C$146=1)),((CROQUIS!$C$161+(IF(CROQUIS!$C$92="X",CHOOSE(IF(INT(($A129-1)/5)&gt;MAX((MAX(1,INT(((CROQUIS!$C$97)-CROQUIS!$C$107)/MAX((CROQUIS!$C$141*MAX(1,CEILING((INT(((CROQUIS!$C$97)-CROQUIS!$C$107)/MAX(CROQUIS!$C$141,1))+1)/80,1))),1))+1))-1,0),0,MOD($A129-1,5))+1,0,IF(CROQUIS!$C$105=1,-12,2),CROQUIS!$C$107/2+CROQUIS!$C$144,IF(CROQUIS!$C$105=1,-12,2),0),((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ROQUIS!$C$159)+IF(CROQUIS!$C$92="X",0,0.8)),-1000)</f>
        <v>-1000</v>
      </c>
      <c r="BX1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HOOSE(IF(INT(($A129-1)/5)&gt;MAX((MAX(1,INT(((CROQUIS!$C$97)-CROQUIS!$C$107)/MAX((CROQUIS!$C$141*MAX(1,CEILING((INT(((CROQUIS!$C$97)-CROQUIS!$C$107)/MAX(CROQUIS!$C$141,1))+1)/80,1))),1))+1))-1,0),0,MOD($A129-1,5))+1,CROQUIS!$C$98,CROQUIS!$C$98-CROQUIS!$C$107/2-CROQUIS!$C$144,IF(CROQUIS!$C$106=1,CROQUIS!$C$98+12,CROQUIS!$C$98-2),CROQUIS!$C$98-CROQUIS!$C$107/2-CROQUIS!$C$144,CROQUIS!$C$98)))*CROQUIS!$C$159)+IF(CROQUIS!$C$92="X",0.8,0)),-1000)</f>
        <v>-1000</v>
      </c>
      <c r="BY129">
        <f>IF(AND(CROQUIS!$C$88=1,CROQUIS!$C$91=0,CROQUIS!$C$141&gt;0,OR(CROQUIS!$C$106=1,CROQUIS!$C$146=1)),((CROQUIS!$C$161+(IF(CROQUIS!$C$92="X",CHOOSE(IF(INT(($A129-1)/5)&gt;MAX((MAX(1,INT(((CROQUIS!$C$97)-CROQUIS!$C$107)/MAX((CROQUIS!$C$141*MAX(1,CEILING((INT(((CROQUIS!$C$97)-CROQUIS!$C$107)/MAX(CROQUIS!$C$141,1))+1)/80,1))),1))+1))-1,0),0,MOD($A129-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ROQUIS!$C$159)+IF(CROQUIS!$C$92="X",0,0.8)),-1000)</f>
        <v>-1000</v>
      </c>
      <c r="BZ129">
        <f>IF(AND(CROQUIS!$C$88=1,CROQUIS!$C$91=1,CROQUIS!$C$133&gt;0),((CROQUIS!$C$160+(IF(CROQUIS!$C$92="X",CHOOSE(IF(INT(($A129-1)/5)&gt;MAX((MAX(1,INT(((CROQUIS!$C$98)-CROQUIS!$C$107)/MAX((CROQUIS!$C$133*MAX(1,CEILING((INT(((CROQUIS!$C$98)-CROQUIS!$C$107)/MAX(CROQUIS!$C$133,1))+1)/80,1))),1))+1))-1,0),0,MOD($A129-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CA129">
        <f>IF(AND(CROQUIS!$C$88=1,CROQUIS!$C$91=1,CROQUIS!$C$133&gt;0),((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0">
      <c r="A130" t="n">
        <v>123</v>
      </c>
      <c r="BN130">
        <f>IF(AND(CROQUIS!$C$88=1,CROQUIS!$C$129&gt;0),((CROQUIS!$C$160+(IF(CROQUIS!$C$92="X",CHOOSE(IF(INT(($A130-1)/5)&gt;MAX((MAX(1,INT(((CROQUIS!$C$98)-CROQUIS!$C$107)/MAX((CROQUIS!$C$129*MAX(1,CEILING((INT(((CROQUIS!$C$98)-CROQUIS!$C$107)/MAX(CROQUIS!$C$129,1))+1)/80,1))),1))+1))-1,0),0,MOD($A130-1,5))+1,0,2,CROQUIS!$C$97-2,2,0),((CROQUIS!$C$107/2+(((CROQUIS!$C$98)-CROQUIS!$C$107)-(MAX(1,INT(((CROQUIS!$C$98)-CROQUIS!$C$107)/MAX((CROQUIS!$C$129*MAX(1,CEILING((INT(((CROQUIS!$C$98)-CROQUIS!$C$107)/MAX(CROQUIS!$C$129,1))+1)/80,1))),1))+1)-1)*(CROQUIS!$C$129*MAX(1,CEILING((INT(((CROQUIS!$C$98)-CROQUIS!$C$107)/MAX(CROQUIS!$C$129,1))+1)/80,1))))/2)+MIN(INT(($A130-1)/5),MAX((MAX(1,INT(((CROQUIS!$C$98)-CROQUIS!$C$107)/MAX((CROQUIS!$C$129*MAX(1,CEILING((INT(((CROQUIS!$C$98)-CROQUIS!$C$107)/MAX(CROQUIS!$C$129,1))+1)/80,1))),1))+1))-1,0))*(CROQUIS!$C$129*MAX(1,CEILING((INT(((CROQUIS!$C$98)-CROQUIS!$C$107)/MAX(CROQUIS!$C$129,1))+1)/80,1))))))*CROQUIS!$C$159)+IF(CROQUIS!$C$92="X",0,0)),-1000)</f>
        <v>-1000</v>
      </c>
      <c r="BO130">
        <f>IF(AND(CROQUIS!$C$88=1,CROQUIS!$C$129&gt;0),((CROQUIS!$C$161+(IF(CROQUIS!$C$92="X",((CROQUIS!$C$107/2+(((CROQUIS!$C$98)-CROQUIS!$C$107)-(MAX(1,INT(((CROQUIS!$C$98)-CROQUIS!$C$107)/MAX((CROQUIS!$C$129*MAX(1,CEILING((INT(((CROQUIS!$C$98)-CROQUIS!$C$107)/MAX(CROQUIS!$C$129,1))+1)/80,1))),1))+1)-1)*(CROQUIS!$C$129*MAX(1,CEILING((INT(((CROQUIS!$C$98)-CROQUIS!$C$107)/MAX(CROQUIS!$C$129,1))+1)/80,1))))/2)+MIN(INT(($A130-1)/5),MAX((MAX(1,INT(((CROQUIS!$C$98)-CROQUIS!$C$107)/MAX((CROQUIS!$C$129*MAX(1,CEILING((INT(((CROQUIS!$C$98)-CROQUIS!$C$107)/MAX(CROQUIS!$C$129,1))+1)/80,1))),1))+1))-1,0))*(CROQUIS!$C$129*MAX(1,CEILING((INT(((CROQUIS!$C$98)-CROQUIS!$C$107)/MAX(CROQUIS!$C$129,1))+1)/80,1)))),CHOOSE(IF(INT(($A130-1)/5)&gt;MAX((MAX(1,INT(((CROQUIS!$C$98)-CROQUIS!$C$107)/MAX((CROQUIS!$C$129*MAX(1,CEILING((INT(((CROQUIS!$C$98)-CROQUIS!$C$107)/MAX(CROQUIS!$C$129,1))+1)/80,1))),1))+1))-1,0),0,MOD($A130-1,5))+1,0,2,CROQUIS!$C$97-2,2,0)))*CROQUIS!$C$159)+IF(CROQUIS!$C$92="X",0,0)),-1000)</f>
        <v>-1000</v>
      </c>
      <c r="BP130">
        <f>IF(AND(CROQUIS!$C$88=1,CROQUIS!$C$137&gt;0),((CROQUIS!$C$160+(IF(CROQUIS!$C$92="X",((CROQUIS!$C$107/2+(((CROQUIS!$C$97)-CROQUIS!$C$107)-(MAX(1,INT(((CROQUIS!$C$97)-CROQUIS!$C$107)/MAX((CROQUIS!$C$137*MAX(1,CEILING((INT(((CROQUIS!$C$97)-CROQUIS!$C$107)/MAX(CROQUIS!$C$137,1))+1)/80,1))),1))+1)-1)*(CROQUIS!$C$137*MAX(1,CEILING((INT(((CROQUIS!$C$97)-CROQUIS!$C$107)/MAX(CROQUIS!$C$137,1))+1)/80,1))))/2)+MIN(INT(($A130-1)/5),MAX((MAX(1,INT(((CROQUIS!$C$97)-CROQUIS!$C$107)/MAX((CROQUIS!$C$137*MAX(1,CEILING((INT(((CROQUIS!$C$97)-CROQUIS!$C$107)/MAX(CROQUIS!$C$137,1))+1)/80,1))),1))+1))-1,0))*(CROQUIS!$C$137*MAX(1,CEILING((INT(((CROQUIS!$C$97)-CROQUIS!$C$107)/MAX(CROQUIS!$C$137,1))+1)/80,1)))),CHOOSE(IF(INT(($A130-1)/5)&gt;MAX((MAX(1,INT(((CROQUIS!$C$97)-CROQUIS!$C$107)/MAX((CROQUIS!$C$137*MAX(1,CEILING((INT(((CROQUIS!$C$97)-CROQUIS!$C$107)/MAX(CROQUIS!$C$137,1))+1)/80,1))),1))+1))-1,0),0,MOD($A130-1,5))+1,0,2,CROQUIS!$C$98-2,2,0)))*CROQUIS!$C$159)+IF(CROQUIS!$C$92="X",0,0)),-1000)</f>
        <v>-1000</v>
      </c>
      <c r="BQ130">
        <f>IF(AND(CROQUIS!$C$88=1,CROQUIS!$C$137&gt;0),((CROQUIS!$C$161+(IF(CROQUIS!$C$92="X",CHOOSE(IF(INT(($A130-1)/5)&gt;MAX((MAX(1,INT(((CROQUIS!$C$97)-CROQUIS!$C$107)/MAX((CROQUIS!$C$137*MAX(1,CEILING((INT(((CROQUIS!$C$97)-CROQUIS!$C$107)/MAX(CROQUIS!$C$137,1))+1)/80,1))),1))+1))-1,0),0,MOD($A130-1,5))+1,0,2,CROQUIS!$C$98-2,2,0),((CROQUIS!$C$107/2+(((CROQUIS!$C$97)-CROQUIS!$C$107)-(MAX(1,INT(((CROQUIS!$C$97)-CROQUIS!$C$107)/MAX((CROQUIS!$C$137*MAX(1,CEILING((INT(((CROQUIS!$C$97)-CROQUIS!$C$107)/MAX(CROQUIS!$C$137,1))+1)/80,1))),1))+1)-1)*(CROQUIS!$C$137*MAX(1,CEILING((INT(((CROQUIS!$C$97)-CROQUIS!$C$107)/MAX(CROQUIS!$C$137,1))+1)/80,1))))/2)+MIN(INT(($A130-1)/5),MAX((MAX(1,INT(((CROQUIS!$C$97)-CROQUIS!$C$107)/MAX((CROQUIS!$C$137*MAX(1,CEILING((INT(((CROQUIS!$C$97)-CROQUIS!$C$107)/MAX(CROQUIS!$C$137,1))+1)/80,1))),1))+1))-1,0))*(CROQUIS!$C$137*MAX(1,CEILING((INT(((CROQUIS!$C$97)-CROQUIS!$C$107)/MAX(CROQUIS!$C$137,1))+1)/80,1))))))*CROQUIS!$C$159)+IF(CROQUIS!$C$92="X",0,0)),-1000)</f>
        <v>-1000</v>
      </c>
      <c r="BR130">
        <f>IF(AND(CROQUIS!$C$88=1,CROQUIS!$C$91=0,CROQUIS!$C$133&gt;0,OR(CROQUIS!$C$103=1,CROQUIS!$C$145=1)),((CROQUIS!$C$160+(IF(CROQUIS!$C$92="X",CHOOSE(IF(INT(($A130-1)/5)&gt;MAX((MAX(1,INT(((CROQUIS!$C$98)-CROQUIS!$C$107)/MAX((CROQUIS!$C$133*MAX(1,CEILING((INT(((CROQUIS!$C$98)-CROQUIS!$C$107)/MAX(CROQUIS!$C$133,1))+1)/80,1))),1))+1))-1,0),0,MOD($A130-1,5))+1,0,IF(CROQUIS!$C$103=1,-12,2),CROQUIS!$C$107/2+CROQUIS!$C$143,IF(CROQUIS!$C$103=1,-12,2),0),((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BS1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+1,0,IF(CROQUIS!$C$103=1,-12,2),CROQUIS!$C$107/2+CROQUIS!$C$143,IF(CROQUIS!$C$103=1,-12,2),0)))*CROQUIS!$C$159)+IF(CROQUIS!$C$92="X",0.8,0)),-1000)</f>
        <v>-1000</v>
      </c>
      <c r="BT130">
        <f>IF(AND(CROQUIS!$C$88=1,CROQUIS!$C$91=0,CROQUIS!$C$133&gt;0,OR(CROQUIS!$C$104=1,CROQUIS!$C$145=1)),((CROQUIS!$C$160+(IF(CROQUIS!$C$92="X",CHOOSE(IF(INT(($A130-1)/5)&gt;MAX((MAX(1,INT(((CROQUIS!$C$98)-CROQUIS!$C$107)/MAX((CROQUIS!$C$133*MAX(1,CEILING((INT(((CROQUIS!$C$98)-CROQUIS!$C$107)/MAX(CROQUIS!$C$133,1))+1)/80,1))),1))+1))-1,0),0,MOD($A130-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BU1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CROQUIS!$C$97,CROQUIS!$C$97-CROQUIS!$C$107/2-CROQUIS!$C$143,IF(CROQUIS!$C$104=1,CROQUIS!$C$97+12,CROQUIS!$C$97-2),CROQUIS!$C$97-CROQUIS!$C$107/2-CROQUIS!$C$143,CROQUIS!$C$97)))*CROQUIS!$C$159)+IF(CROQUIS!$C$92="X",0.8,0)),-1000)</f>
        <v>-1000</v>
      </c>
      <c r="BV1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HOOSE(IF(INT(($A130-1)/5)&gt;MAX((MAX(1,INT(((CROQUIS!$C$97)-CROQUIS!$C$107)/MAX((CROQUIS!$C$141*MAX(1,CEILING((INT(((CROQUIS!$C$97)-CROQUIS!$C$107)/MAX(CROQUIS!$C$141,1))+1)/80,1))),1))+1))-1,0),0,MOD($A130-1,5))+1,0,IF(CROQUIS!$C$105=1,-12,2),CROQUIS!$C$107/2+CROQUIS!$C$144,IF(CROQUIS!$C$105=1,-12,2),0)))*CROQUIS!$C$159)+IF(CROQUIS!$C$92="X",0.8,0)),-1000)</f>
        <v>-1000</v>
      </c>
      <c r="BW130">
        <f>IF(AND(CROQUIS!$C$88=1,CROQUIS!$C$91=0,CROQUIS!$C$141&gt;0,OR(CROQUIS!$C$105=1,CROQUIS!$C$146=1)),((CROQUIS!$C$161+(IF(CROQUIS!$C$92="X",CHOOSE(IF(INT(($A130-1)/5)&gt;MAX((MAX(1,INT(((CROQUIS!$C$97)-CROQUIS!$C$107)/MAX((CROQUIS!$C$141*MAX(1,CEILING((INT(((CROQUIS!$C$97)-CROQUIS!$C$107)/MAX(CROQUIS!$C$141,1))+1)/80,1))),1))+1))-1,0),0,MOD($A130-1,5))+1,0,IF(CROQUIS!$C$105=1,-12,2),CROQUIS!$C$107/2+CROQUIS!$C$144,IF(CROQUIS!$C$105=1,-12,2),0),((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ROQUIS!$C$159)+IF(CROQUIS!$C$92="X",0,0.8)),-1000)</f>
        <v>-1000</v>
      </c>
      <c r="BX1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HOOSE(IF(INT(($A130-1)/5)&gt;MAX((MAX(1,INT(((CROQUIS!$C$97)-CROQUIS!$C$107)/MAX((CROQUIS!$C$141*MAX(1,CEILING((INT(((CROQUIS!$C$97)-CROQUIS!$C$107)/MAX(CROQUIS!$C$141,1))+1)/80,1))),1))+1))-1,0),0,MOD($A130-1,5))+1,CROQUIS!$C$98,CROQUIS!$C$98-CROQUIS!$C$107/2-CROQUIS!$C$144,IF(CROQUIS!$C$106=1,CROQUIS!$C$98+12,CROQUIS!$C$98-2),CROQUIS!$C$98-CROQUIS!$C$107/2-CROQUIS!$C$144,CROQUIS!$C$98)))*CROQUIS!$C$159)+IF(CROQUIS!$C$92="X",0.8,0)),-1000)</f>
        <v>-1000</v>
      </c>
      <c r="BY130">
        <f>IF(AND(CROQUIS!$C$88=1,CROQUIS!$C$91=0,CROQUIS!$C$141&gt;0,OR(CROQUIS!$C$106=1,CROQUIS!$C$146=1)),((CROQUIS!$C$161+(IF(CROQUIS!$C$92="X",CHOOSE(IF(INT(($A130-1)/5)&gt;MAX((MAX(1,INT(((CROQUIS!$C$97)-CROQUIS!$C$107)/MAX((CROQUIS!$C$141*MAX(1,CEILING((INT(((CROQUIS!$C$97)-CROQUIS!$C$107)/MAX(CROQUIS!$C$141,1))+1)/80,1))),1))+1))-1,0),0,MOD($A130-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ROQUIS!$C$159)+IF(CROQUIS!$C$92="X",0,0.8)),-1000)</f>
        <v>-1000</v>
      </c>
      <c r="BZ130">
        <f>IF(AND(CROQUIS!$C$88=1,CROQUIS!$C$91=1,CROQUIS!$C$133&gt;0),((CROQUIS!$C$160+(IF(CROQUIS!$C$92="X",CHOOSE(IF(INT(($A130-1)/5)&gt;MAX((MAX(1,INT(((CROQUIS!$C$98)-CROQUIS!$C$107)/MAX((CROQUIS!$C$133*MAX(1,CEILING((INT(((CROQUIS!$C$98)-CROQUIS!$C$107)/MAX(CROQUIS!$C$133,1))+1)/80,1))),1))+1))-1,0),0,MOD($A130-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CA130">
        <f>IF(AND(CROQUIS!$C$88=1,CROQUIS!$C$91=1,CROQUIS!$C$133&gt;0),((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1">
      <c r="A131" t="n">
        <v>124</v>
      </c>
      <c r="BN131">
        <f>IF(AND(CROQUIS!$C$88=1,CROQUIS!$C$129&gt;0),((CROQUIS!$C$160+(IF(CROQUIS!$C$92="X",CHOOSE(IF(INT(($A131-1)/5)&gt;MAX((MAX(1,INT(((CROQUIS!$C$98)-CROQUIS!$C$107)/MAX((CROQUIS!$C$129*MAX(1,CEILING((INT(((CROQUIS!$C$98)-CROQUIS!$C$107)/MAX(CROQUIS!$C$129,1))+1)/80,1))),1))+1))-1,0),0,MOD($A131-1,5))+1,0,2,CROQUIS!$C$97-2,2,0),((CROQUIS!$C$107/2+(((CROQUIS!$C$98)-CROQUIS!$C$107)-(MAX(1,INT(((CROQUIS!$C$98)-CROQUIS!$C$107)/MAX((CROQUIS!$C$129*MAX(1,CEILING((INT(((CROQUIS!$C$98)-CROQUIS!$C$107)/MAX(CROQUIS!$C$129,1))+1)/80,1))),1))+1)-1)*(CROQUIS!$C$129*MAX(1,CEILING((INT(((CROQUIS!$C$98)-CROQUIS!$C$107)/MAX(CROQUIS!$C$129,1))+1)/80,1))))/2)+MIN(INT(($A131-1)/5),MAX((MAX(1,INT(((CROQUIS!$C$98)-CROQUIS!$C$107)/MAX((CROQUIS!$C$129*MAX(1,CEILING((INT(((CROQUIS!$C$98)-CROQUIS!$C$107)/MAX(CROQUIS!$C$129,1))+1)/80,1))),1))+1))-1,0))*(CROQUIS!$C$129*MAX(1,CEILING((INT(((CROQUIS!$C$98)-CROQUIS!$C$107)/MAX(CROQUIS!$C$129,1))+1)/80,1))))))*CROQUIS!$C$159)+IF(CROQUIS!$C$92="X",0,0)),-1000)</f>
        <v>-1000</v>
      </c>
      <c r="BO131">
        <f>IF(AND(CROQUIS!$C$88=1,CROQUIS!$C$129&gt;0),((CROQUIS!$C$161+(IF(CROQUIS!$C$92="X",((CROQUIS!$C$107/2+(((CROQUIS!$C$98)-CROQUIS!$C$107)-(MAX(1,INT(((CROQUIS!$C$98)-CROQUIS!$C$107)/MAX((CROQUIS!$C$129*MAX(1,CEILING((INT(((CROQUIS!$C$98)-CROQUIS!$C$107)/MAX(CROQUIS!$C$129,1))+1)/80,1))),1))+1)-1)*(CROQUIS!$C$129*MAX(1,CEILING((INT(((CROQUIS!$C$98)-CROQUIS!$C$107)/MAX(CROQUIS!$C$129,1))+1)/80,1))))/2)+MIN(INT(($A131-1)/5),MAX((MAX(1,INT(((CROQUIS!$C$98)-CROQUIS!$C$107)/MAX((CROQUIS!$C$129*MAX(1,CEILING((INT(((CROQUIS!$C$98)-CROQUIS!$C$107)/MAX(CROQUIS!$C$129,1))+1)/80,1))),1))+1))-1,0))*(CROQUIS!$C$129*MAX(1,CEILING((INT(((CROQUIS!$C$98)-CROQUIS!$C$107)/MAX(CROQUIS!$C$129,1))+1)/80,1)))),CHOOSE(IF(INT(($A131-1)/5)&gt;MAX((MAX(1,INT(((CROQUIS!$C$98)-CROQUIS!$C$107)/MAX((CROQUIS!$C$129*MAX(1,CEILING((INT(((CROQUIS!$C$98)-CROQUIS!$C$107)/MAX(CROQUIS!$C$129,1))+1)/80,1))),1))+1))-1,0),0,MOD($A131-1,5))+1,0,2,CROQUIS!$C$97-2,2,0)))*CROQUIS!$C$159)+IF(CROQUIS!$C$92="X",0,0)),-1000)</f>
        <v>-1000</v>
      </c>
      <c r="BP131">
        <f>IF(AND(CROQUIS!$C$88=1,CROQUIS!$C$137&gt;0),((CROQUIS!$C$160+(IF(CROQUIS!$C$92="X",((CROQUIS!$C$107/2+(((CROQUIS!$C$97)-CROQUIS!$C$107)-(MAX(1,INT(((CROQUIS!$C$97)-CROQUIS!$C$107)/MAX((CROQUIS!$C$137*MAX(1,CEILING((INT(((CROQUIS!$C$97)-CROQUIS!$C$107)/MAX(CROQUIS!$C$137,1))+1)/80,1))),1))+1)-1)*(CROQUIS!$C$137*MAX(1,CEILING((INT(((CROQUIS!$C$97)-CROQUIS!$C$107)/MAX(CROQUIS!$C$137,1))+1)/80,1))))/2)+MIN(INT(($A131-1)/5),MAX((MAX(1,INT(((CROQUIS!$C$97)-CROQUIS!$C$107)/MAX((CROQUIS!$C$137*MAX(1,CEILING((INT(((CROQUIS!$C$97)-CROQUIS!$C$107)/MAX(CROQUIS!$C$137,1))+1)/80,1))),1))+1))-1,0))*(CROQUIS!$C$137*MAX(1,CEILING((INT(((CROQUIS!$C$97)-CROQUIS!$C$107)/MAX(CROQUIS!$C$137,1))+1)/80,1)))),CHOOSE(IF(INT(($A131-1)/5)&gt;MAX((MAX(1,INT(((CROQUIS!$C$97)-CROQUIS!$C$107)/MAX((CROQUIS!$C$137*MAX(1,CEILING((INT(((CROQUIS!$C$97)-CROQUIS!$C$107)/MAX(CROQUIS!$C$137,1))+1)/80,1))),1))+1))-1,0),0,MOD($A131-1,5))+1,0,2,CROQUIS!$C$98-2,2,0)))*CROQUIS!$C$159)+IF(CROQUIS!$C$92="X",0,0)),-1000)</f>
        <v>-1000</v>
      </c>
      <c r="BQ131">
        <f>IF(AND(CROQUIS!$C$88=1,CROQUIS!$C$137&gt;0),((CROQUIS!$C$161+(IF(CROQUIS!$C$92="X",CHOOSE(IF(INT(($A131-1)/5)&gt;MAX((MAX(1,INT(((CROQUIS!$C$97)-CROQUIS!$C$107)/MAX((CROQUIS!$C$137*MAX(1,CEILING((INT(((CROQUIS!$C$97)-CROQUIS!$C$107)/MAX(CROQUIS!$C$137,1))+1)/80,1))),1))+1))-1,0),0,MOD($A131-1,5))+1,0,2,CROQUIS!$C$98-2,2,0),((CROQUIS!$C$107/2+(((CROQUIS!$C$97)-CROQUIS!$C$107)-(MAX(1,INT(((CROQUIS!$C$97)-CROQUIS!$C$107)/MAX((CROQUIS!$C$137*MAX(1,CEILING((INT(((CROQUIS!$C$97)-CROQUIS!$C$107)/MAX(CROQUIS!$C$137,1))+1)/80,1))),1))+1)-1)*(CROQUIS!$C$137*MAX(1,CEILING((INT(((CROQUIS!$C$97)-CROQUIS!$C$107)/MAX(CROQUIS!$C$137,1))+1)/80,1))))/2)+MIN(INT(($A131-1)/5),MAX((MAX(1,INT(((CROQUIS!$C$97)-CROQUIS!$C$107)/MAX((CROQUIS!$C$137*MAX(1,CEILING((INT(((CROQUIS!$C$97)-CROQUIS!$C$107)/MAX(CROQUIS!$C$137,1))+1)/80,1))),1))+1))-1,0))*(CROQUIS!$C$137*MAX(1,CEILING((INT(((CROQUIS!$C$97)-CROQUIS!$C$107)/MAX(CROQUIS!$C$137,1))+1)/80,1))))))*CROQUIS!$C$159)+IF(CROQUIS!$C$92="X",0,0)),-1000)</f>
        <v>-1000</v>
      </c>
      <c r="BR131">
        <f>IF(AND(CROQUIS!$C$88=1,CROQUIS!$C$91=0,CROQUIS!$C$133&gt;0,OR(CROQUIS!$C$103=1,CROQUIS!$C$145=1)),((CROQUIS!$C$160+(IF(CROQUIS!$C$92="X",CHOOSE(IF(INT(($A131-1)/5)&gt;MAX((MAX(1,INT(((CROQUIS!$C$98)-CROQUIS!$C$107)/MAX((CROQUIS!$C$133*MAX(1,CEILING((INT(((CROQUIS!$C$98)-CROQUIS!$C$107)/MAX(CROQUIS!$C$133,1))+1)/80,1))),1))+1))-1,0),0,MOD($A131-1,5))+1,0,IF(CROQUIS!$C$103=1,-12,2),CROQUIS!$C$107/2+CROQUIS!$C$143,IF(CROQUIS!$C$103=1,-12,2),0),((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BS1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+1,0,IF(CROQUIS!$C$103=1,-12,2),CROQUIS!$C$107/2+CROQUIS!$C$143,IF(CROQUIS!$C$103=1,-12,2),0)))*CROQUIS!$C$159)+IF(CROQUIS!$C$92="X",0.8,0)),-1000)</f>
        <v>-1000</v>
      </c>
      <c r="BT131">
        <f>IF(AND(CROQUIS!$C$88=1,CROQUIS!$C$91=0,CROQUIS!$C$133&gt;0,OR(CROQUIS!$C$104=1,CROQUIS!$C$145=1)),((CROQUIS!$C$160+(IF(CROQUIS!$C$92="X",CHOOSE(IF(INT(($A131-1)/5)&gt;MAX((MAX(1,INT(((CROQUIS!$C$98)-CROQUIS!$C$107)/MAX((CROQUIS!$C$133*MAX(1,CEILING((INT(((CROQUIS!$C$98)-CROQUIS!$C$107)/MAX(CROQUIS!$C$133,1))+1)/80,1))),1))+1))-1,0),0,MOD($A131-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BU1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CROQUIS!$C$97,CROQUIS!$C$97-CROQUIS!$C$107/2-CROQUIS!$C$143,IF(CROQUIS!$C$104=1,CROQUIS!$C$97+12,CROQUIS!$C$97-2),CROQUIS!$C$97-CROQUIS!$C$107/2-CROQUIS!$C$143,CROQUIS!$C$97)))*CROQUIS!$C$159)+IF(CROQUIS!$C$92="X",0.8,0)),-1000)</f>
        <v>-1000</v>
      </c>
      <c r="BV1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HOOSE(IF(INT(($A131-1)/5)&gt;MAX((MAX(1,INT(((CROQUIS!$C$97)-CROQUIS!$C$107)/MAX((CROQUIS!$C$141*MAX(1,CEILING((INT(((CROQUIS!$C$97)-CROQUIS!$C$107)/MAX(CROQUIS!$C$141,1))+1)/80,1))),1))+1))-1,0),0,MOD($A131-1,5))+1,0,IF(CROQUIS!$C$105=1,-12,2),CROQUIS!$C$107/2+CROQUIS!$C$144,IF(CROQUIS!$C$105=1,-12,2),0)))*CROQUIS!$C$159)+IF(CROQUIS!$C$92="X",0.8,0)),-1000)</f>
        <v>-1000</v>
      </c>
      <c r="BW131">
        <f>IF(AND(CROQUIS!$C$88=1,CROQUIS!$C$91=0,CROQUIS!$C$141&gt;0,OR(CROQUIS!$C$105=1,CROQUIS!$C$146=1)),((CROQUIS!$C$161+(IF(CROQUIS!$C$92="X",CHOOSE(IF(INT(($A131-1)/5)&gt;MAX((MAX(1,INT(((CROQUIS!$C$97)-CROQUIS!$C$107)/MAX((CROQUIS!$C$141*MAX(1,CEILING((INT(((CROQUIS!$C$97)-CROQUIS!$C$107)/MAX(CROQUIS!$C$141,1))+1)/80,1))),1))+1))-1,0),0,MOD($A131-1,5))+1,0,IF(CROQUIS!$C$105=1,-12,2),CROQUIS!$C$107/2+CROQUIS!$C$144,IF(CROQUIS!$C$105=1,-12,2),0),((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ROQUIS!$C$159)+IF(CROQUIS!$C$92="X",0,0.8)),-1000)</f>
        <v>-1000</v>
      </c>
      <c r="BX1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HOOSE(IF(INT(($A131-1)/5)&gt;MAX((MAX(1,INT(((CROQUIS!$C$97)-CROQUIS!$C$107)/MAX((CROQUIS!$C$141*MAX(1,CEILING((INT(((CROQUIS!$C$97)-CROQUIS!$C$107)/MAX(CROQUIS!$C$141,1))+1)/80,1))),1))+1))-1,0),0,MOD($A131-1,5))+1,CROQUIS!$C$98,CROQUIS!$C$98-CROQUIS!$C$107/2-CROQUIS!$C$144,IF(CROQUIS!$C$106=1,CROQUIS!$C$98+12,CROQUIS!$C$98-2),CROQUIS!$C$98-CROQUIS!$C$107/2-CROQUIS!$C$144,CROQUIS!$C$98)))*CROQUIS!$C$159)+IF(CROQUIS!$C$92="X",0.8,0)),-1000)</f>
        <v>-1000</v>
      </c>
      <c r="BY131">
        <f>IF(AND(CROQUIS!$C$88=1,CROQUIS!$C$91=0,CROQUIS!$C$141&gt;0,OR(CROQUIS!$C$106=1,CROQUIS!$C$146=1)),((CROQUIS!$C$161+(IF(CROQUIS!$C$92="X",CHOOSE(IF(INT(($A131-1)/5)&gt;MAX((MAX(1,INT(((CROQUIS!$C$97)-CROQUIS!$C$107)/MAX((CROQUIS!$C$141*MAX(1,CEILING((INT(((CROQUIS!$C$97)-CROQUIS!$C$107)/MAX(CROQUIS!$C$141,1))+1)/80,1))),1))+1))-1,0),0,MOD($A131-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ROQUIS!$C$159)+IF(CROQUIS!$C$92="X",0,0.8)),-1000)</f>
        <v>-1000</v>
      </c>
      <c r="BZ131">
        <f>IF(AND(CROQUIS!$C$88=1,CROQUIS!$C$91=1,CROQUIS!$C$133&gt;0),((CROQUIS!$C$160+(IF(CROQUIS!$C$92="X",CHOOSE(IF(INT(($A131-1)/5)&gt;MAX((MAX(1,INT(((CROQUIS!$C$98)-CROQUIS!$C$107)/MAX((CROQUIS!$C$133*MAX(1,CEILING((INT(((CROQUIS!$C$98)-CROQUIS!$C$107)/MAX(CROQUIS!$C$133,1))+1)/80,1))),1))+1))-1,0),0,MOD($A131-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CA131">
        <f>IF(AND(CROQUIS!$C$88=1,CROQUIS!$C$91=1,CROQUIS!$C$133&gt;0),((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2">
      <c r="A132" t="n">
        <v>125</v>
      </c>
      <c r="BN132">
        <f>IF(AND(CROQUIS!$C$88=1,CROQUIS!$C$129&gt;0),((CROQUIS!$C$160+(IF(CROQUIS!$C$92="X",CHOOSE(IF(INT(($A132-1)/5)&gt;MAX((MAX(1,INT(((CROQUIS!$C$98)-CROQUIS!$C$107)/MAX((CROQUIS!$C$129*MAX(1,CEILING((INT(((CROQUIS!$C$98)-CROQUIS!$C$107)/MAX(CROQUIS!$C$129,1))+1)/80,1))),1))+1))-1,0),0,MOD($A132-1,5))+1,0,2,CROQUIS!$C$97-2,2,0),((CROQUIS!$C$107/2+(((CROQUIS!$C$98)-CROQUIS!$C$107)-(MAX(1,INT(((CROQUIS!$C$98)-CROQUIS!$C$107)/MAX((CROQUIS!$C$129*MAX(1,CEILING((INT(((CROQUIS!$C$98)-CROQUIS!$C$107)/MAX(CROQUIS!$C$129,1))+1)/80,1))),1))+1)-1)*(CROQUIS!$C$129*MAX(1,CEILING((INT(((CROQUIS!$C$98)-CROQUIS!$C$107)/MAX(CROQUIS!$C$129,1))+1)/80,1))))/2)+MIN(INT(($A132-1)/5),MAX((MAX(1,INT(((CROQUIS!$C$98)-CROQUIS!$C$107)/MAX((CROQUIS!$C$129*MAX(1,CEILING((INT(((CROQUIS!$C$98)-CROQUIS!$C$107)/MAX(CROQUIS!$C$129,1))+1)/80,1))),1))+1))-1,0))*(CROQUIS!$C$129*MAX(1,CEILING((INT(((CROQUIS!$C$98)-CROQUIS!$C$107)/MAX(CROQUIS!$C$129,1))+1)/80,1))))))*CROQUIS!$C$159)+IF(CROQUIS!$C$92="X",0,0)),-1000)</f>
        <v>-1000</v>
      </c>
      <c r="BO132">
        <f>IF(AND(CROQUIS!$C$88=1,CROQUIS!$C$129&gt;0),((CROQUIS!$C$161+(IF(CROQUIS!$C$92="X",((CROQUIS!$C$107/2+(((CROQUIS!$C$98)-CROQUIS!$C$107)-(MAX(1,INT(((CROQUIS!$C$98)-CROQUIS!$C$107)/MAX((CROQUIS!$C$129*MAX(1,CEILING((INT(((CROQUIS!$C$98)-CROQUIS!$C$107)/MAX(CROQUIS!$C$129,1))+1)/80,1))),1))+1)-1)*(CROQUIS!$C$129*MAX(1,CEILING((INT(((CROQUIS!$C$98)-CROQUIS!$C$107)/MAX(CROQUIS!$C$129,1))+1)/80,1))))/2)+MIN(INT(($A132-1)/5),MAX((MAX(1,INT(((CROQUIS!$C$98)-CROQUIS!$C$107)/MAX((CROQUIS!$C$129*MAX(1,CEILING((INT(((CROQUIS!$C$98)-CROQUIS!$C$107)/MAX(CROQUIS!$C$129,1))+1)/80,1))),1))+1))-1,0))*(CROQUIS!$C$129*MAX(1,CEILING((INT(((CROQUIS!$C$98)-CROQUIS!$C$107)/MAX(CROQUIS!$C$129,1))+1)/80,1)))),CHOOSE(IF(INT(($A132-1)/5)&gt;MAX((MAX(1,INT(((CROQUIS!$C$98)-CROQUIS!$C$107)/MAX((CROQUIS!$C$129*MAX(1,CEILING((INT(((CROQUIS!$C$98)-CROQUIS!$C$107)/MAX(CROQUIS!$C$129,1))+1)/80,1))),1))+1))-1,0),0,MOD($A132-1,5))+1,0,2,CROQUIS!$C$97-2,2,0)))*CROQUIS!$C$159)+IF(CROQUIS!$C$92="X",0,0)),-1000)</f>
        <v>-1000</v>
      </c>
      <c r="BP132">
        <f>IF(AND(CROQUIS!$C$88=1,CROQUIS!$C$137&gt;0),((CROQUIS!$C$160+(IF(CROQUIS!$C$92="X",((CROQUIS!$C$107/2+(((CROQUIS!$C$97)-CROQUIS!$C$107)-(MAX(1,INT(((CROQUIS!$C$97)-CROQUIS!$C$107)/MAX((CROQUIS!$C$137*MAX(1,CEILING((INT(((CROQUIS!$C$97)-CROQUIS!$C$107)/MAX(CROQUIS!$C$137,1))+1)/80,1))),1))+1)-1)*(CROQUIS!$C$137*MAX(1,CEILING((INT(((CROQUIS!$C$97)-CROQUIS!$C$107)/MAX(CROQUIS!$C$137,1))+1)/80,1))))/2)+MIN(INT(($A132-1)/5),MAX((MAX(1,INT(((CROQUIS!$C$97)-CROQUIS!$C$107)/MAX((CROQUIS!$C$137*MAX(1,CEILING((INT(((CROQUIS!$C$97)-CROQUIS!$C$107)/MAX(CROQUIS!$C$137,1))+1)/80,1))),1))+1))-1,0))*(CROQUIS!$C$137*MAX(1,CEILING((INT(((CROQUIS!$C$97)-CROQUIS!$C$107)/MAX(CROQUIS!$C$137,1))+1)/80,1)))),CHOOSE(IF(INT(($A132-1)/5)&gt;MAX((MAX(1,INT(((CROQUIS!$C$97)-CROQUIS!$C$107)/MAX((CROQUIS!$C$137*MAX(1,CEILING((INT(((CROQUIS!$C$97)-CROQUIS!$C$107)/MAX(CROQUIS!$C$137,1))+1)/80,1))),1))+1))-1,0),0,MOD($A132-1,5))+1,0,2,CROQUIS!$C$98-2,2,0)))*CROQUIS!$C$159)+IF(CROQUIS!$C$92="X",0,0)),-1000)</f>
        <v>-1000</v>
      </c>
      <c r="BQ132">
        <f>IF(AND(CROQUIS!$C$88=1,CROQUIS!$C$137&gt;0),((CROQUIS!$C$161+(IF(CROQUIS!$C$92="X",CHOOSE(IF(INT(($A132-1)/5)&gt;MAX((MAX(1,INT(((CROQUIS!$C$97)-CROQUIS!$C$107)/MAX((CROQUIS!$C$137*MAX(1,CEILING((INT(((CROQUIS!$C$97)-CROQUIS!$C$107)/MAX(CROQUIS!$C$137,1))+1)/80,1))),1))+1))-1,0),0,MOD($A132-1,5))+1,0,2,CROQUIS!$C$98-2,2,0),((CROQUIS!$C$107/2+(((CROQUIS!$C$97)-CROQUIS!$C$107)-(MAX(1,INT(((CROQUIS!$C$97)-CROQUIS!$C$107)/MAX((CROQUIS!$C$137*MAX(1,CEILING((INT(((CROQUIS!$C$97)-CROQUIS!$C$107)/MAX(CROQUIS!$C$137,1))+1)/80,1))),1))+1)-1)*(CROQUIS!$C$137*MAX(1,CEILING((INT(((CROQUIS!$C$97)-CROQUIS!$C$107)/MAX(CROQUIS!$C$137,1))+1)/80,1))))/2)+MIN(INT(($A132-1)/5),MAX((MAX(1,INT(((CROQUIS!$C$97)-CROQUIS!$C$107)/MAX((CROQUIS!$C$137*MAX(1,CEILING((INT(((CROQUIS!$C$97)-CROQUIS!$C$107)/MAX(CROQUIS!$C$137,1))+1)/80,1))),1))+1))-1,0))*(CROQUIS!$C$137*MAX(1,CEILING((INT(((CROQUIS!$C$97)-CROQUIS!$C$107)/MAX(CROQUIS!$C$137,1))+1)/80,1))))))*CROQUIS!$C$159)+IF(CROQUIS!$C$92="X",0,0)),-1000)</f>
        <v>-1000</v>
      </c>
      <c r="BR132">
        <f>IF(AND(CROQUIS!$C$88=1,CROQUIS!$C$91=0,CROQUIS!$C$133&gt;0,OR(CROQUIS!$C$103=1,CROQUIS!$C$145=1)),((CROQUIS!$C$160+(IF(CROQUIS!$C$92="X",CHOOSE(IF(INT(($A132-1)/5)&gt;MAX((MAX(1,INT(((CROQUIS!$C$98)-CROQUIS!$C$107)/MAX((CROQUIS!$C$133*MAX(1,CEILING((INT(((CROQUIS!$C$98)-CROQUIS!$C$107)/MAX(CROQUIS!$C$133,1))+1)/80,1))),1))+1))-1,0),0,MOD($A132-1,5))+1,0,IF(CROQUIS!$C$103=1,-12,2),CROQUIS!$C$107/2+CROQUIS!$C$143,IF(CROQUIS!$C$103=1,-12,2),0),((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BS1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+1,0,IF(CROQUIS!$C$103=1,-12,2),CROQUIS!$C$107/2+CROQUIS!$C$143,IF(CROQUIS!$C$103=1,-12,2),0)))*CROQUIS!$C$159)+IF(CROQUIS!$C$92="X",0.8,0)),-1000)</f>
        <v>-1000</v>
      </c>
      <c r="BT132">
        <f>IF(AND(CROQUIS!$C$88=1,CROQUIS!$C$91=0,CROQUIS!$C$133&gt;0,OR(CROQUIS!$C$104=1,CROQUIS!$C$145=1)),((CROQUIS!$C$160+(IF(CROQUIS!$C$92="X",CHOOSE(IF(INT(($A132-1)/5)&gt;MAX((MAX(1,INT(((CROQUIS!$C$98)-CROQUIS!$C$107)/MAX((CROQUIS!$C$133*MAX(1,CEILING((INT(((CROQUIS!$C$98)-CROQUIS!$C$107)/MAX(CROQUIS!$C$133,1))+1)/80,1))),1))+1))-1,0),0,MOD($A132-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BU1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CROQUIS!$C$97,CROQUIS!$C$97-CROQUIS!$C$107/2-CROQUIS!$C$143,IF(CROQUIS!$C$104=1,CROQUIS!$C$97+12,CROQUIS!$C$97-2),CROQUIS!$C$97-CROQUIS!$C$107/2-CROQUIS!$C$143,CROQUIS!$C$97)))*CROQUIS!$C$159)+IF(CROQUIS!$C$92="X",0.8,0)),-1000)</f>
        <v>-1000</v>
      </c>
      <c r="BV1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HOOSE(IF(INT(($A132-1)/5)&gt;MAX((MAX(1,INT(((CROQUIS!$C$97)-CROQUIS!$C$107)/MAX((CROQUIS!$C$141*MAX(1,CEILING((INT(((CROQUIS!$C$97)-CROQUIS!$C$107)/MAX(CROQUIS!$C$141,1))+1)/80,1))),1))+1))-1,0),0,MOD($A132-1,5))+1,0,IF(CROQUIS!$C$105=1,-12,2),CROQUIS!$C$107/2+CROQUIS!$C$144,IF(CROQUIS!$C$105=1,-12,2),0)))*CROQUIS!$C$159)+IF(CROQUIS!$C$92="X",0.8,0)),-1000)</f>
        <v>-1000</v>
      </c>
      <c r="BW132">
        <f>IF(AND(CROQUIS!$C$88=1,CROQUIS!$C$91=0,CROQUIS!$C$141&gt;0,OR(CROQUIS!$C$105=1,CROQUIS!$C$146=1)),((CROQUIS!$C$161+(IF(CROQUIS!$C$92="X",CHOOSE(IF(INT(($A132-1)/5)&gt;MAX((MAX(1,INT(((CROQUIS!$C$97)-CROQUIS!$C$107)/MAX((CROQUIS!$C$141*MAX(1,CEILING((INT(((CROQUIS!$C$97)-CROQUIS!$C$107)/MAX(CROQUIS!$C$141,1))+1)/80,1))),1))+1))-1,0),0,MOD($A132-1,5))+1,0,IF(CROQUIS!$C$105=1,-12,2),CROQUIS!$C$107/2+CROQUIS!$C$144,IF(CROQUIS!$C$105=1,-12,2),0),((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ROQUIS!$C$159)+IF(CROQUIS!$C$92="X",0,0.8)),-1000)</f>
        <v>-1000</v>
      </c>
      <c r="BX1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HOOSE(IF(INT(($A132-1)/5)&gt;MAX((MAX(1,INT(((CROQUIS!$C$97)-CROQUIS!$C$107)/MAX((CROQUIS!$C$141*MAX(1,CEILING((INT(((CROQUIS!$C$97)-CROQUIS!$C$107)/MAX(CROQUIS!$C$141,1))+1)/80,1))),1))+1))-1,0),0,MOD($A132-1,5))+1,CROQUIS!$C$98,CROQUIS!$C$98-CROQUIS!$C$107/2-CROQUIS!$C$144,IF(CROQUIS!$C$106=1,CROQUIS!$C$98+12,CROQUIS!$C$98-2),CROQUIS!$C$98-CROQUIS!$C$107/2-CROQUIS!$C$144,CROQUIS!$C$98)))*CROQUIS!$C$159)+IF(CROQUIS!$C$92="X",0.8,0)),-1000)</f>
        <v>-1000</v>
      </c>
      <c r="BY132">
        <f>IF(AND(CROQUIS!$C$88=1,CROQUIS!$C$91=0,CROQUIS!$C$141&gt;0,OR(CROQUIS!$C$106=1,CROQUIS!$C$146=1)),((CROQUIS!$C$161+(IF(CROQUIS!$C$92="X",CHOOSE(IF(INT(($A132-1)/5)&gt;MAX((MAX(1,INT(((CROQUIS!$C$97)-CROQUIS!$C$107)/MAX((CROQUIS!$C$141*MAX(1,CEILING((INT(((CROQUIS!$C$97)-CROQUIS!$C$107)/MAX(CROQUIS!$C$141,1))+1)/80,1))),1))+1))-1,0),0,MOD($A132-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ROQUIS!$C$159)+IF(CROQUIS!$C$92="X",0,0.8)),-1000)</f>
        <v>-1000</v>
      </c>
      <c r="BZ132">
        <f>IF(AND(CROQUIS!$C$88=1,CROQUIS!$C$91=1,CROQUIS!$C$133&gt;0),((CROQUIS!$C$160+(IF(CROQUIS!$C$92="X",CHOOSE(IF(INT(($A132-1)/5)&gt;MAX((MAX(1,INT(((CROQUIS!$C$98)-CROQUIS!$C$107)/MAX((CROQUIS!$C$133*MAX(1,CEILING((INT(((CROQUIS!$C$98)-CROQUIS!$C$107)/MAX(CROQUIS!$C$133,1))+1)/80,1))),1))+1))-1,0),0,MOD($A132-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CA132">
        <f>IF(AND(CROQUIS!$C$88=1,CROQUIS!$C$91=1,CROQUIS!$C$133&gt;0),((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3">
      <c r="A133" t="n">
        <v>126</v>
      </c>
      <c r="BN133">
        <f>IF(AND(CROQUIS!$C$88=1,CROQUIS!$C$129&gt;0),((CROQUIS!$C$160+(IF(CROQUIS!$C$92="X",CHOOSE(IF(INT(($A133-1)/5)&gt;MAX((MAX(1,INT(((CROQUIS!$C$98)-CROQUIS!$C$107)/MAX((CROQUIS!$C$129*MAX(1,CEILING((INT(((CROQUIS!$C$98)-CROQUIS!$C$107)/MAX(CROQUIS!$C$129,1))+1)/80,1))),1))+1))-1,0),0,MOD($A133-1,5))+1,0,2,CROQUIS!$C$97-2,2,0),((CROQUIS!$C$107/2+(((CROQUIS!$C$98)-CROQUIS!$C$107)-(MAX(1,INT(((CROQUIS!$C$98)-CROQUIS!$C$107)/MAX((CROQUIS!$C$129*MAX(1,CEILING((INT(((CROQUIS!$C$98)-CROQUIS!$C$107)/MAX(CROQUIS!$C$129,1))+1)/80,1))),1))+1)-1)*(CROQUIS!$C$129*MAX(1,CEILING((INT(((CROQUIS!$C$98)-CROQUIS!$C$107)/MAX(CROQUIS!$C$129,1))+1)/80,1))))/2)+MIN(INT(($A133-1)/5),MAX((MAX(1,INT(((CROQUIS!$C$98)-CROQUIS!$C$107)/MAX((CROQUIS!$C$129*MAX(1,CEILING((INT(((CROQUIS!$C$98)-CROQUIS!$C$107)/MAX(CROQUIS!$C$129,1))+1)/80,1))),1))+1))-1,0))*(CROQUIS!$C$129*MAX(1,CEILING((INT(((CROQUIS!$C$98)-CROQUIS!$C$107)/MAX(CROQUIS!$C$129,1))+1)/80,1))))))*CROQUIS!$C$159)+IF(CROQUIS!$C$92="X",0,0)),-1000)</f>
        <v>-1000</v>
      </c>
      <c r="BO133">
        <f>IF(AND(CROQUIS!$C$88=1,CROQUIS!$C$129&gt;0),((CROQUIS!$C$161+(IF(CROQUIS!$C$92="X",((CROQUIS!$C$107/2+(((CROQUIS!$C$98)-CROQUIS!$C$107)-(MAX(1,INT(((CROQUIS!$C$98)-CROQUIS!$C$107)/MAX((CROQUIS!$C$129*MAX(1,CEILING((INT(((CROQUIS!$C$98)-CROQUIS!$C$107)/MAX(CROQUIS!$C$129,1))+1)/80,1))),1))+1)-1)*(CROQUIS!$C$129*MAX(1,CEILING((INT(((CROQUIS!$C$98)-CROQUIS!$C$107)/MAX(CROQUIS!$C$129,1))+1)/80,1))))/2)+MIN(INT(($A133-1)/5),MAX((MAX(1,INT(((CROQUIS!$C$98)-CROQUIS!$C$107)/MAX((CROQUIS!$C$129*MAX(1,CEILING((INT(((CROQUIS!$C$98)-CROQUIS!$C$107)/MAX(CROQUIS!$C$129,1))+1)/80,1))),1))+1))-1,0))*(CROQUIS!$C$129*MAX(1,CEILING((INT(((CROQUIS!$C$98)-CROQUIS!$C$107)/MAX(CROQUIS!$C$129,1))+1)/80,1)))),CHOOSE(IF(INT(($A133-1)/5)&gt;MAX((MAX(1,INT(((CROQUIS!$C$98)-CROQUIS!$C$107)/MAX((CROQUIS!$C$129*MAX(1,CEILING((INT(((CROQUIS!$C$98)-CROQUIS!$C$107)/MAX(CROQUIS!$C$129,1))+1)/80,1))),1))+1))-1,0),0,MOD($A133-1,5))+1,0,2,CROQUIS!$C$97-2,2,0)))*CROQUIS!$C$159)+IF(CROQUIS!$C$92="X",0,0)),-1000)</f>
        <v>-1000</v>
      </c>
      <c r="BP133">
        <f>IF(AND(CROQUIS!$C$88=1,CROQUIS!$C$137&gt;0),((CROQUIS!$C$160+(IF(CROQUIS!$C$92="X",((CROQUIS!$C$107/2+(((CROQUIS!$C$97)-CROQUIS!$C$107)-(MAX(1,INT(((CROQUIS!$C$97)-CROQUIS!$C$107)/MAX((CROQUIS!$C$137*MAX(1,CEILING((INT(((CROQUIS!$C$97)-CROQUIS!$C$107)/MAX(CROQUIS!$C$137,1))+1)/80,1))),1))+1)-1)*(CROQUIS!$C$137*MAX(1,CEILING((INT(((CROQUIS!$C$97)-CROQUIS!$C$107)/MAX(CROQUIS!$C$137,1))+1)/80,1))))/2)+MIN(INT(($A133-1)/5),MAX((MAX(1,INT(((CROQUIS!$C$97)-CROQUIS!$C$107)/MAX((CROQUIS!$C$137*MAX(1,CEILING((INT(((CROQUIS!$C$97)-CROQUIS!$C$107)/MAX(CROQUIS!$C$137,1))+1)/80,1))),1))+1))-1,0))*(CROQUIS!$C$137*MAX(1,CEILING((INT(((CROQUIS!$C$97)-CROQUIS!$C$107)/MAX(CROQUIS!$C$137,1))+1)/80,1)))),CHOOSE(IF(INT(($A133-1)/5)&gt;MAX((MAX(1,INT(((CROQUIS!$C$97)-CROQUIS!$C$107)/MAX((CROQUIS!$C$137*MAX(1,CEILING((INT(((CROQUIS!$C$97)-CROQUIS!$C$107)/MAX(CROQUIS!$C$137,1))+1)/80,1))),1))+1))-1,0),0,MOD($A133-1,5))+1,0,2,CROQUIS!$C$98-2,2,0)))*CROQUIS!$C$159)+IF(CROQUIS!$C$92="X",0,0)),-1000)</f>
        <v>-1000</v>
      </c>
      <c r="BQ133">
        <f>IF(AND(CROQUIS!$C$88=1,CROQUIS!$C$137&gt;0),((CROQUIS!$C$161+(IF(CROQUIS!$C$92="X",CHOOSE(IF(INT(($A133-1)/5)&gt;MAX((MAX(1,INT(((CROQUIS!$C$97)-CROQUIS!$C$107)/MAX((CROQUIS!$C$137*MAX(1,CEILING((INT(((CROQUIS!$C$97)-CROQUIS!$C$107)/MAX(CROQUIS!$C$137,1))+1)/80,1))),1))+1))-1,0),0,MOD($A133-1,5))+1,0,2,CROQUIS!$C$98-2,2,0),((CROQUIS!$C$107/2+(((CROQUIS!$C$97)-CROQUIS!$C$107)-(MAX(1,INT(((CROQUIS!$C$97)-CROQUIS!$C$107)/MAX((CROQUIS!$C$137*MAX(1,CEILING((INT(((CROQUIS!$C$97)-CROQUIS!$C$107)/MAX(CROQUIS!$C$137,1))+1)/80,1))),1))+1)-1)*(CROQUIS!$C$137*MAX(1,CEILING((INT(((CROQUIS!$C$97)-CROQUIS!$C$107)/MAX(CROQUIS!$C$137,1))+1)/80,1))))/2)+MIN(INT(($A133-1)/5),MAX((MAX(1,INT(((CROQUIS!$C$97)-CROQUIS!$C$107)/MAX((CROQUIS!$C$137*MAX(1,CEILING((INT(((CROQUIS!$C$97)-CROQUIS!$C$107)/MAX(CROQUIS!$C$137,1))+1)/80,1))),1))+1))-1,0))*(CROQUIS!$C$137*MAX(1,CEILING((INT(((CROQUIS!$C$97)-CROQUIS!$C$107)/MAX(CROQUIS!$C$137,1))+1)/80,1))))))*CROQUIS!$C$159)+IF(CROQUIS!$C$92="X",0,0)),-1000)</f>
        <v>-1000</v>
      </c>
      <c r="BR133">
        <f>IF(AND(CROQUIS!$C$88=1,CROQUIS!$C$91=0,CROQUIS!$C$133&gt;0,OR(CROQUIS!$C$103=1,CROQUIS!$C$145=1)),((CROQUIS!$C$160+(IF(CROQUIS!$C$92="X",CHOOSE(IF(INT(($A133-1)/5)&gt;MAX((MAX(1,INT(((CROQUIS!$C$98)-CROQUIS!$C$107)/MAX((CROQUIS!$C$133*MAX(1,CEILING((INT(((CROQUIS!$C$98)-CROQUIS!$C$107)/MAX(CROQUIS!$C$133,1))+1)/80,1))),1))+1))-1,0),0,MOD($A133-1,5))+1,0,IF(CROQUIS!$C$103=1,-12,2),CROQUIS!$C$107/2+CROQUIS!$C$143,IF(CROQUIS!$C$103=1,-12,2),0),((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BS1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+1,0,IF(CROQUIS!$C$103=1,-12,2),CROQUIS!$C$107/2+CROQUIS!$C$143,IF(CROQUIS!$C$103=1,-12,2),0)))*CROQUIS!$C$159)+IF(CROQUIS!$C$92="X",0.8,0)),-1000)</f>
        <v>-1000</v>
      </c>
      <c r="BT133">
        <f>IF(AND(CROQUIS!$C$88=1,CROQUIS!$C$91=0,CROQUIS!$C$133&gt;0,OR(CROQUIS!$C$104=1,CROQUIS!$C$145=1)),((CROQUIS!$C$160+(IF(CROQUIS!$C$92="X",CHOOSE(IF(INT(($A133-1)/5)&gt;MAX((MAX(1,INT(((CROQUIS!$C$98)-CROQUIS!$C$107)/MAX((CROQUIS!$C$133*MAX(1,CEILING((INT(((CROQUIS!$C$98)-CROQUIS!$C$107)/MAX(CROQUIS!$C$133,1))+1)/80,1))),1))+1))-1,0),0,MOD($A133-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BU1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CROQUIS!$C$97,CROQUIS!$C$97-CROQUIS!$C$107/2-CROQUIS!$C$143,IF(CROQUIS!$C$104=1,CROQUIS!$C$97+12,CROQUIS!$C$97-2),CROQUIS!$C$97-CROQUIS!$C$107/2-CROQUIS!$C$143,CROQUIS!$C$97)))*CROQUIS!$C$159)+IF(CROQUIS!$C$92="X",0.8,0)),-1000)</f>
        <v>-1000</v>
      </c>
      <c r="BV1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HOOSE(IF(INT(($A133-1)/5)&gt;MAX((MAX(1,INT(((CROQUIS!$C$97)-CROQUIS!$C$107)/MAX((CROQUIS!$C$141*MAX(1,CEILING((INT(((CROQUIS!$C$97)-CROQUIS!$C$107)/MAX(CROQUIS!$C$141,1))+1)/80,1))),1))+1))-1,0),0,MOD($A133-1,5))+1,0,IF(CROQUIS!$C$105=1,-12,2),CROQUIS!$C$107/2+CROQUIS!$C$144,IF(CROQUIS!$C$105=1,-12,2),0)))*CROQUIS!$C$159)+IF(CROQUIS!$C$92="X",0.8,0)),-1000)</f>
        <v>-1000</v>
      </c>
      <c r="BW133">
        <f>IF(AND(CROQUIS!$C$88=1,CROQUIS!$C$91=0,CROQUIS!$C$141&gt;0,OR(CROQUIS!$C$105=1,CROQUIS!$C$146=1)),((CROQUIS!$C$161+(IF(CROQUIS!$C$92="X",CHOOSE(IF(INT(($A133-1)/5)&gt;MAX((MAX(1,INT(((CROQUIS!$C$97)-CROQUIS!$C$107)/MAX((CROQUIS!$C$141*MAX(1,CEILING((INT(((CROQUIS!$C$97)-CROQUIS!$C$107)/MAX(CROQUIS!$C$141,1))+1)/80,1))),1))+1))-1,0),0,MOD($A133-1,5))+1,0,IF(CROQUIS!$C$105=1,-12,2),CROQUIS!$C$107/2+CROQUIS!$C$144,IF(CROQUIS!$C$105=1,-12,2),0),((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ROQUIS!$C$159)+IF(CROQUIS!$C$92="X",0,0.8)),-1000)</f>
        <v>-1000</v>
      </c>
      <c r="BX1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HOOSE(IF(INT(($A133-1)/5)&gt;MAX((MAX(1,INT(((CROQUIS!$C$97)-CROQUIS!$C$107)/MAX((CROQUIS!$C$141*MAX(1,CEILING((INT(((CROQUIS!$C$97)-CROQUIS!$C$107)/MAX(CROQUIS!$C$141,1))+1)/80,1))),1))+1))-1,0),0,MOD($A133-1,5))+1,CROQUIS!$C$98,CROQUIS!$C$98-CROQUIS!$C$107/2-CROQUIS!$C$144,IF(CROQUIS!$C$106=1,CROQUIS!$C$98+12,CROQUIS!$C$98-2),CROQUIS!$C$98-CROQUIS!$C$107/2-CROQUIS!$C$144,CROQUIS!$C$98)))*CROQUIS!$C$159)+IF(CROQUIS!$C$92="X",0.8,0)),-1000)</f>
        <v>-1000</v>
      </c>
      <c r="BY133">
        <f>IF(AND(CROQUIS!$C$88=1,CROQUIS!$C$91=0,CROQUIS!$C$141&gt;0,OR(CROQUIS!$C$106=1,CROQUIS!$C$146=1)),((CROQUIS!$C$161+(IF(CROQUIS!$C$92="X",CHOOSE(IF(INT(($A133-1)/5)&gt;MAX((MAX(1,INT(((CROQUIS!$C$97)-CROQUIS!$C$107)/MAX((CROQUIS!$C$141*MAX(1,CEILING((INT(((CROQUIS!$C$97)-CROQUIS!$C$107)/MAX(CROQUIS!$C$141,1))+1)/80,1))),1))+1))-1,0),0,MOD($A133-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ROQUIS!$C$159)+IF(CROQUIS!$C$92="X",0,0.8)),-1000)</f>
        <v>-1000</v>
      </c>
      <c r="BZ133">
        <f>IF(AND(CROQUIS!$C$88=1,CROQUIS!$C$91=1,CROQUIS!$C$133&gt;0),((CROQUIS!$C$160+(IF(CROQUIS!$C$92="X",CHOOSE(IF(INT(($A133-1)/5)&gt;MAX((MAX(1,INT(((CROQUIS!$C$98)-CROQUIS!$C$107)/MAX((CROQUIS!$C$133*MAX(1,CEILING((INT(((CROQUIS!$C$98)-CROQUIS!$C$107)/MAX(CROQUIS!$C$133,1))+1)/80,1))),1))+1))-1,0),0,MOD($A133-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CA133">
        <f>IF(AND(CROQUIS!$C$88=1,CROQUIS!$C$91=1,CROQUIS!$C$133&gt;0),((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4">
      <c r="A134" t="n">
        <v>127</v>
      </c>
      <c r="BN134">
        <f>IF(AND(CROQUIS!$C$88=1,CROQUIS!$C$129&gt;0),((CROQUIS!$C$160+(IF(CROQUIS!$C$92="X",CHOOSE(IF(INT(($A134-1)/5)&gt;MAX((MAX(1,INT(((CROQUIS!$C$98)-CROQUIS!$C$107)/MAX((CROQUIS!$C$129*MAX(1,CEILING((INT(((CROQUIS!$C$98)-CROQUIS!$C$107)/MAX(CROQUIS!$C$129,1))+1)/80,1))),1))+1))-1,0),0,MOD($A134-1,5))+1,0,2,CROQUIS!$C$97-2,2,0),((CROQUIS!$C$107/2+(((CROQUIS!$C$98)-CROQUIS!$C$107)-(MAX(1,INT(((CROQUIS!$C$98)-CROQUIS!$C$107)/MAX((CROQUIS!$C$129*MAX(1,CEILING((INT(((CROQUIS!$C$98)-CROQUIS!$C$107)/MAX(CROQUIS!$C$129,1))+1)/80,1))),1))+1)-1)*(CROQUIS!$C$129*MAX(1,CEILING((INT(((CROQUIS!$C$98)-CROQUIS!$C$107)/MAX(CROQUIS!$C$129,1))+1)/80,1))))/2)+MIN(INT(($A134-1)/5),MAX((MAX(1,INT(((CROQUIS!$C$98)-CROQUIS!$C$107)/MAX((CROQUIS!$C$129*MAX(1,CEILING((INT(((CROQUIS!$C$98)-CROQUIS!$C$107)/MAX(CROQUIS!$C$129,1))+1)/80,1))),1))+1))-1,0))*(CROQUIS!$C$129*MAX(1,CEILING((INT(((CROQUIS!$C$98)-CROQUIS!$C$107)/MAX(CROQUIS!$C$129,1))+1)/80,1))))))*CROQUIS!$C$159)+IF(CROQUIS!$C$92="X",0,0)),-1000)</f>
        <v>-1000</v>
      </c>
      <c r="BO134">
        <f>IF(AND(CROQUIS!$C$88=1,CROQUIS!$C$129&gt;0),((CROQUIS!$C$161+(IF(CROQUIS!$C$92="X",((CROQUIS!$C$107/2+(((CROQUIS!$C$98)-CROQUIS!$C$107)-(MAX(1,INT(((CROQUIS!$C$98)-CROQUIS!$C$107)/MAX((CROQUIS!$C$129*MAX(1,CEILING((INT(((CROQUIS!$C$98)-CROQUIS!$C$107)/MAX(CROQUIS!$C$129,1))+1)/80,1))),1))+1)-1)*(CROQUIS!$C$129*MAX(1,CEILING((INT(((CROQUIS!$C$98)-CROQUIS!$C$107)/MAX(CROQUIS!$C$129,1))+1)/80,1))))/2)+MIN(INT(($A134-1)/5),MAX((MAX(1,INT(((CROQUIS!$C$98)-CROQUIS!$C$107)/MAX((CROQUIS!$C$129*MAX(1,CEILING((INT(((CROQUIS!$C$98)-CROQUIS!$C$107)/MAX(CROQUIS!$C$129,1))+1)/80,1))),1))+1))-1,0))*(CROQUIS!$C$129*MAX(1,CEILING((INT(((CROQUIS!$C$98)-CROQUIS!$C$107)/MAX(CROQUIS!$C$129,1))+1)/80,1)))),CHOOSE(IF(INT(($A134-1)/5)&gt;MAX((MAX(1,INT(((CROQUIS!$C$98)-CROQUIS!$C$107)/MAX((CROQUIS!$C$129*MAX(1,CEILING((INT(((CROQUIS!$C$98)-CROQUIS!$C$107)/MAX(CROQUIS!$C$129,1))+1)/80,1))),1))+1))-1,0),0,MOD($A134-1,5))+1,0,2,CROQUIS!$C$97-2,2,0)))*CROQUIS!$C$159)+IF(CROQUIS!$C$92="X",0,0)),-1000)</f>
        <v>-1000</v>
      </c>
      <c r="BP134">
        <f>IF(AND(CROQUIS!$C$88=1,CROQUIS!$C$137&gt;0),((CROQUIS!$C$160+(IF(CROQUIS!$C$92="X",((CROQUIS!$C$107/2+(((CROQUIS!$C$97)-CROQUIS!$C$107)-(MAX(1,INT(((CROQUIS!$C$97)-CROQUIS!$C$107)/MAX((CROQUIS!$C$137*MAX(1,CEILING((INT(((CROQUIS!$C$97)-CROQUIS!$C$107)/MAX(CROQUIS!$C$137,1))+1)/80,1))),1))+1)-1)*(CROQUIS!$C$137*MAX(1,CEILING((INT(((CROQUIS!$C$97)-CROQUIS!$C$107)/MAX(CROQUIS!$C$137,1))+1)/80,1))))/2)+MIN(INT(($A134-1)/5),MAX((MAX(1,INT(((CROQUIS!$C$97)-CROQUIS!$C$107)/MAX((CROQUIS!$C$137*MAX(1,CEILING((INT(((CROQUIS!$C$97)-CROQUIS!$C$107)/MAX(CROQUIS!$C$137,1))+1)/80,1))),1))+1))-1,0))*(CROQUIS!$C$137*MAX(1,CEILING((INT(((CROQUIS!$C$97)-CROQUIS!$C$107)/MAX(CROQUIS!$C$137,1))+1)/80,1)))),CHOOSE(IF(INT(($A134-1)/5)&gt;MAX((MAX(1,INT(((CROQUIS!$C$97)-CROQUIS!$C$107)/MAX((CROQUIS!$C$137*MAX(1,CEILING((INT(((CROQUIS!$C$97)-CROQUIS!$C$107)/MAX(CROQUIS!$C$137,1))+1)/80,1))),1))+1))-1,0),0,MOD($A134-1,5))+1,0,2,CROQUIS!$C$98-2,2,0)))*CROQUIS!$C$159)+IF(CROQUIS!$C$92="X",0,0)),-1000)</f>
        <v>-1000</v>
      </c>
      <c r="BQ134">
        <f>IF(AND(CROQUIS!$C$88=1,CROQUIS!$C$137&gt;0),((CROQUIS!$C$161+(IF(CROQUIS!$C$92="X",CHOOSE(IF(INT(($A134-1)/5)&gt;MAX((MAX(1,INT(((CROQUIS!$C$97)-CROQUIS!$C$107)/MAX((CROQUIS!$C$137*MAX(1,CEILING((INT(((CROQUIS!$C$97)-CROQUIS!$C$107)/MAX(CROQUIS!$C$137,1))+1)/80,1))),1))+1))-1,0),0,MOD($A134-1,5))+1,0,2,CROQUIS!$C$98-2,2,0),((CROQUIS!$C$107/2+(((CROQUIS!$C$97)-CROQUIS!$C$107)-(MAX(1,INT(((CROQUIS!$C$97)-CROQUIS!$C$107)/MAX((CROQUIS!$C$137*MAX(1,CEILING((INT(((CROQUIS!$C$97)-CROQUIS!$C$107)/MAX(CROQUIS!$C$137,1))+1)/80,1))),1))+1)-1)*(CROQUIS!$C$137*MAX(1,CEILING((INT(((CROQUIS!$C$97)-CROQUIS!$C$107)/MAX(CROQUIS!$C$137,1))+1)/80,1))))/2)+MIN(INT(($A134-1)/5),MAX((MAX(1,INT(((CROQUIS!$C$97)-CROQUIS!$C$107)/MAX((CROQUIS!$C$137*MAX(1,CEILING((INT(((CROQUIS!$C$97)-CROQUIS!$C$107)/MAX(CROQUIS!$C$137,1))+1)/80,1))),1))+1))-1,0))*(CROQUIS!$C$137*MAX(1,CEILING((INT(((CROQUIS!$C$97)-CROQUIS!$C$107)/MAX(CROQUIS!$C$137,1))+1)/80,1))))))*CROQUIS!$C$159)+IF(CROQUIS!$C$92="X",0,0)),-1000)</f>
        <v>-1000</v>
      </c>
      <c r="BR134">
        <f>IF(AND(CROQUIS!$C$88=1,CROQUIS!$C$91=0,CROQUIS!$C$133&gt;0,OR(CROQUIS!$C$103=1,CROQUIS!$C$145=1)),((CROQUIS!$C$160+(IF(CROQUIS!$C$92="X",CHOOSE(IF(INT(($A134-1)/5)&gt;MAX((MAX(1,INT(((CROQUIS!$C$98)-CROQUIS!$C$107)/MAX((CROQUIS!$C$133*MAX(1,CEILING((INT(((CROQUIS!$C$98)-CROQUIS!$C$107)/MAX(CROQUIS!$C$133,1))+1)/80,1))),1))+1))-1,0),0,MOD($A134-1,5))+1,0,IF(CROQUIS!$C$103=1,-12,2),CROQUIS!$C$107/2+CROQUIS!$C$143,IF(CROQUIS!$C$103=1,-12,2),0),((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BS1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+1,0,IF(CROQUIS!$C$103=1,-12,2),CROQUIS!$C$107/2+CROQUIS!$C$143,IF(CROQUIS!$C$103=1,-12,2),0)))*CROQUIS!$C$159)+IF(CROQUIS!$C$92="X",0.8,0)),-1000)</f>
        <v>-1000</v>
      </c>
      <c r="BT134">
        <f>IF(AND(CROQUIS!$C$88=1,CROQUIS!$C$91=0,CROQUIS!$C$133&gt;0,OR(CROQUIS!$C$104=1,CROQUIS!$C$145=1)),((CROQUIS!$C$160+(IF(CROQUIS!$C$92="X",CHOOSE(IF(INT(($A134-1)/5)&gt;MAX((MAX(1,INT(((CROQUIS!$C$98)-CROQUIS!$C$107)/MAX((CROQUIS!$C$133*MAX(1,CEILING((INT(((CROQUIS!$C$98)-CROQUIS!$C$107)/MAX(CROQUIS!$C$133,1))+1)/80,1))),1))+1))-1,0),0,MOD($A134-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BU1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CROQUIS!$C$97,CROQUIS!$C$97-CROQUIS!$C$107/2-CROQUIS!$C$143,IF(CROQUIS!$C$104=1,CROQUIS!$C$97+12,CROQUIS!$C$97-2),CROQUIS!$C$97-CROQUIS!$C$107/2-CROQUIS!$C$143,CROQUIS!$C$97)))*CROQUIS!$C$159)+IF(CROQUIS!$C$92="X",0.8,0)),-1000)</f>
        <v>-1000</v>
      </c>
      <c r="BV1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HOOSE(IF(INT(($A134-1)/5)&gt;MAX((MAX(1,INT(((CROQUIS!$C$97)-CROQUIS!$C$107)/MAX((CROQUIS!$C$141*MAX(1,CEILING((INT(((CROQUIS!$C$97)-CROQUIS!$C$107)/MAX(CROQUIS!$C$141,1))+1)/80,1))),1))+1))-1,0),0,MOD($A134-1,5))+1,0,IF(CROQUIS!$C$105=1,-12,2),CROQUIS!$C$107/2+CROQUIS!$C$144,IF(CROQUIS!$C$105=1,-12,2),0)))*CROQUIS!$C$159)+IF(CROQUIS!$C$92="X",0.8,0)),-1000)</f>
        <v>-1000</v>
      </c>
      <c r="BW134">
        <f>IF(AND(CROQUIS!$C$88=1,CROQUIS!$C$91=0,CROQUIS!$C$141&gt;0,OR(CROQUIS!$C$105=1,CROQUIS!$C$146=1)),((CROQUIS!$C$161+(IF(CROQUIS!$C$92="X",CHOOSE(IF(INT(($A134-1)/5)&gt;MAX((MAX(1,INT(((CROQUIS!$C$97)-CROQUIS!$C$107)/MAX((CROQUIS!$C$141*MAX(1,CEILING((INT(((CROQUIS!$C$97)-CROQUIS!$C$107)/MAX(CROQUIS!$C$141,1))+1)/80,1))),1))+1))-1,0),0,MOD($A134-1,5))+1,0,IF(CROQUIS!$C$105=1,-12,2),CROQUIS!$C$107/2+CROQUIS!$C$144,IF(CROQUIS!$C$105=1,-12,2),0),((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ROQUIS!$C$159)+IF(CROQUIS!$C$92="X",0,0.8)),-1000)</f>
        <v>-1000</v>
      </c>
      <c r="BX1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HOOSE(IF(INT(($A134-1)/5)&gt;MAX((MAX(1,INT(((CROQUIS!$C$97)-CROQUIS!$C$107)/MAX((CROQUIS!$C$141*MAX(1,CEILING((INT(((CROQUIS!$C$97)-CROQUIS!$C$107)/MAX(CROQUIS!$C$141,1))+1)/80,1))),1))+1))-1,0),0,MOD($A134-1,5))+1,CROQUIS!$C$98,CROQUIS!$C$98-CROQUIS!$C$107/2-CROQUIS!$C$144,IF(CROQUIS!$C$106=1,CROQUIS!$C$98+12,CROQUIS!$C$98-2),CROQUIS!$C$98-CROQUIS!$C$107/2-CROQUIS!$C$144,CROQUIS!$C$98)))*CROQUIS!$C$159)+IF(CROQUIS!$C$92="X",0.8,0)),-1000)</f>
        <v>-1000</v>
      </c>
      <c r="BY134">
        <f>IF(AND(CROQUIS!$C$88=1,CROQUIS!$C$91=0,CROQUIS!$C$141&gt;0,OR(CROQUIS!$C$106=1,CROQUIS!$C$146=1)),((CROQUIS!$C$161+(IF(CROQUIS!$C$92="X",CHOOSE(IF(INT(($A134-1)/5)&gt;MAX((MAX(1,INT(((CROQUIS!$C$97)-CROQUIS!$C$107)/MAX((CROQUIS!$C$141*MAX(1,CEILING((INT(((CROQUIS!$C$97)-CROQUIS!$C$107)/MAX(CROQUIS!$C$141,1))+1)/80,1))),1))+1))-1,0),0,MOD($A134-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ROQUIS!$C$159)+IF(CROQUIS!$C$92="X",0,0.8)),-1000)</f>
        <v>-1000</v>
      </c>
      <c r="BZ134">
        <f>IF(AND(CROQUIS!$C$88=1,CROQUIS!$C$91=1,CROQUIS!$C$133&gt;0),((CROQUIS!$C$160+(IF(CROQUIS!$C$92="X",CHOOSE(IF(INT(($A134-1)/5)&gt;MAX((MAX(1,INT(((CROQUIS!$C$98)-CROQUIS!$C$107)/MAX((CROQUIS!$C$133*MAX(1,CEILING((INT(((CROQUIS!$C$98)-CROQUIS!$C$107)/MAX(CROQUIS!$C$133,1))+1)/80,1))),1))+1))-1,0),0,MOD($A134-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CA134">
        <f>IF(AND(CROQUIS!$C$88=1,CROQUIS!$C$91=1,CROQUIS!$C$133&gt;0),((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5">
      <c r="A135" t="n">
        <v>128</v>
      </c>
      <c r="BN135">
        <f>IF(AND(CROQUIS!$C$88=1,CROQUIS!$C$129&gt;0),((CROQUIS!$C$160+(IF(CROQUIS!$C$92="X",CHOOSE(IF(INT(($A135-1)/5)&gt;MAX((MAX(1,INT(((CROQUIS!$C$98)-CROQUIS!$C$107)/MAX((CROQUIS!$C$129*MAX(1,CEILING((INT(((CROQUIS!$C$98)-CROQUIS!$C$107)/MAX(CROQUIS!$C$129,1))+1)/80,1))),1))+1))-1,0),0,MOD($A135-1,5))+1,0,2,CROQUIS!$C$97-2,2,0),((CROQUIS!$C$107/2+(((CROQUIS!$C$98)-CROQUIS!$C$107)-(MAX(1,INT(((CROQUIS!$C$98)-CROQUIS!$C$107)/MAX((CROQUIS!$C$129*MAX(1,CEILING((INT(((CROQUIS!$C$98)-CROQUIS!$C$107)/MAX(CROQUIS!$C$129,1))+1)/80,1))),1))+1)-1)*(CROQUIS!$C$129*MAX(1,CEILING((INT(((CROQUIS!$C$98)-CROQUIS!$C$107)/MAX(CROQUIS!$C$129,1))+1)/80,1))))/2)+MIN(INT(($A135-1)/5),MAX((MAX(1,INT(((CROQUIS!$C$98)-CROQUIS!$C$107)/MAX((CROQUIS!$C$129*MAX(1,CEILING((INT(((CROQUIS!$C$98)-CROQUIS!$C$107)/MAX(CROQUIS!$C$129,1))+1)/80,1))),1))+1))-1,0))*(CROQUIS!$C$129*MAX(1,CEILING((INT(((CROQUIS!$C$98)-CROQUIS!$C$107)/MAX(CROQUIS!$C$129,1))+1)/80,1))))))*CROQUIS!$C$159)+IF(CROQUIS!$C$92="X",0,0)),-1000)</f>
        <v>-1000</v>
      </c>
      <c r="BO135">
        <f>IF(AND(CROQUIS!$C$88=1,CROQUIS!$C$129&gt;0),((CROQUIS!$C$161+(IF(CROQUIS!$C$92="X",((CROQUIS!$C$107/2+(((CROQUIS!$C$98)-CROQUIS!$C$107)-(MAX(1,INT(((CROQUIS!$C$98)-CROQUIS!$C$107)/MAX((CROQUIS!$C$129*MAX(1,CEILING((INT(((CROQUIS!$C$98)-CROQUIS!$C$107)/MAX(CROQUIS!$C$129,1))+1)/80,1))),1))+1)-1)*(CROQUIS!$C$129*MAX(1,CEILING((INT(((CROQUIS!$C$98)-CROQUIS!$C$107)/MAX(CROQUIS!$C$129,1))+1)/80,1))))/2)+MIN(INT(($A135-1)/5),MAX((MAX(1,INT(((CROQUIS!$C$98)-CROQUIS!$C$107)/MAX((CROQUIS!$C$129*MAX(1,CEILING((INT(((CROQUIS!$C$98)-CROQUIS!$C$107)/MAX(CROQUIS!$C$129,1))+1)/80,1))),1))+1))-1,0))*(CROQUIS!$C$129*MAX(1,CEILING((INT(((CROQUIS!$C$98)-CROQUIS!$C$107)/MAX(CROQUIS!$C$129,1))+1)/80,1)))),CHOOSE(IF(INT(($A135-1)/5)&gt;MAX((MAX(1,INT(((CROQUIS!$C$98)-CROQUIS!$C$107)/MAX((CROQUIS!$C$129*MAX(1,CEILING((INT(((CROQUIS!$C$98)-CROQUIS!$C$107)/MAX(CROQUIS!$C$129,1))+1)/80,1))),1))+1))-1,0),0,MOD($A135-1,5))+1,0,2,CROQUIS!$C$97-2,2,0)))*CROQUIS!$C$159)+IF(CROQUIS!$C$92="X",0,0)),-1000)</f>
        <v>-1000</v>
      </c>
      <c r="BP135">
        <f>IF(AND(CROQUIS!$C$88=1,CROQUIS!$C$137&gt;0),((CROQUIS!$C$160+(IF(CROQUIS!$C$92="X",((CROQUIS!$C$107/2+(((CROQUIS!$C$97)-CROQUIS!$C$107)-(MAX(1,INT(((CROQUIS!$C$97)-CROQUIS!$C$107)/MAX((CROQUIS!$C$137*MAX(1,CEILING((INT(((CROQUIS!$C$97)-CROQUIS!$C$107)/MAX(CROQUIS!$C$137,1))+1)/80,1))),1))+1)-1)*(CROQUIS!$C$137*MAX(1,CEILING((INT(((CROQUIS!$C$97)-CROQUIS!$C$107)/MAX(CROQUIS!$C$137,1))+1)/80,1))))/2)+MIN(INT(($A135-1)/5),MAX((MAX(1,INT(((CROQUIS!$C$97)-CROQUIS!$C$107)/MAX((CROQUIS!$C$137*MAX(1,CEILING((INT(((CROQUIS!$C$97)-CROQUIS!$C$107)/MAX(CROQUIS!$C$137,1))+1)/80,1))),1))+1))-1,0))*(CROQUIS!$C$137*MAX(1,CEILING((INT(((CROQUIS!$C$97)-CROQUIS!$C$107)/MAX(CROQUIS!$C$137,1))+1)/80,1)))),CHOOSE(IF(INT(($A135-1)/5)&gt;MAX((MAX(1,INT(((CROQUIS!$C$97)-CROQUIS!$C$107)/MAX((CROQUIS!$C$137*MAX(1,CEILING((INT(((CROQUIS!$C$97)-CROQUIS!$C$107)/MAX(CROQUIS!$C$137,1))+1)/80,1))),1))+1))-1,0),0,MOD($A135-1,5))+1,0,2,CROQUIS!$C$98-2,2,0)))*CROQUIS!$C$159)+IF(CROQUIS!$C$92="X",0,0)),-1000)</f>
        <v>-1000</v>
      </c>
      <c r="BQ135">
        <f>IF(AND(CROQUIS!$C$88=1,CROQUIS!$C$137&gt;0),((CROQUIS!$C$161+(IF(CROQUIS!$C$92="X",CHOOSE(IF(INT(($A135-1)/5)&gt;MAX((MAX(1,INT(((CROQUIS!$C$97)-CROQUIS!$C$107)/MAX((CROQUIS!$C$137*MAX(1,CEILING((INT(((CROQUIS!$C$97)-CROQUIS!$C$107)/MAX(CROQUIS!$C$137,1))+1)/80,1))),1))+1))-1,0),0,MOD($A135-1,5))+1,0,2,CROQUIS!$C$98-2,2,0),((CROQUIS!$C$107/2+(((CROQUIS!$C$97)-CROQUIS!$C$107)-(MAX(1,INT(((CROQUIS!$C$97)-CROQUIS!$C$107)/MAX((CROQUIS!$C$137*MAX(1,CEILING((INT(((CROQUIS!$C$97)-CROQUIS!$C$107)/MAX(CROQUIS!$C$137,1))+1)/80,1))),1))+1)-1)*(CROQUIS!$C$137*MAX(1,CEILING((INT(((CROQUIS!$C$97)-CROQUIS!$C$107)/MAX(CROQUIS!$C$137,1))+1)/80,1))))/2)+MIN(INT(($A135-1)/5),MAX((MAX(1,INT(((CROQUIS!$C$97)-CROQUIS!$C$107)/MAX((CROQUIS!$C$137*MAX(1,CEILING((INT(((CROQUIS!$C$97)-CROQUIS!$C$107)/MAX(CROQUIS!$C$137,1))+1)/80,1))),1))+1))-1,0))*(CROQUIS!$C$137*MAX(1,CEILING((INT(((CROQUIS!$C$97)-CROQUIS!$C$107)/MAX(CROQUIS!$C$137,1))+1)/80,1))))))*CROQUIS!$C$159)+IF(CROQUIS!$C$92="X",0,0)),-1000)</f>
        <v>-1000</v>
      </c>
      <c r="BR135">
        <f>IF(AND(CROQUIS!$C$88=1,CROQUIS!$C$91=0,CROQUIS!$C$133&gt;0,OR(CROQUIS!$C$103=1,CROQUIS!$C$145=1)),((CROQUIS!$C$160+(IF(CROQUIS!$C$92="X",CHOOSE(IF(INT(($A135-1)/5)&gt;MAX((MAX(1,INT(((CROQUIS!$C$98)-CROQUIS!$C$107)/MAX((CROQUIS!$C$133*MAX(1,CEILING((INT(((CROQUIS!$C$98)-CROQUIS!$C$107)/MAX(CROQUIS!$C$133,1))+1)/80,1))),1))+1))-1,0),0,MOD($A135-1,5))+1,0,IF(CROQUIS!$C$103=1,-12,2),CROQUIS!$C$107/2+CROQUIS!$C$143,IF(CROQUIS!$C$103=1,-12,2),0),((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BS1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+1,0,IF(CROQUIS!$C$103=1,-12,2),CROQUIS!$C$107/2+CROQUIS!$C$143,IF(CROQUIS!$C$103=1,-12,2),0)))*CROQUIS!$C$159)+IF(CROQUIS!$C$92="X",0.8,0)),-1000)</f>
        <v>-1000</v>
      </c>
      <c r="BT135">
        <f>IF(AND(CROQUIS!$C$88=1,CROQUIS!$C$91=0,CROQUIS!$C$133&gt;0,OR(CROQUIS!$C$104=1,CROQUIS!$C$145=1)),((CROQUIS!$C$160+(IF(CROQUIS!$C$92="X",CHOOSE(IF(INT(($A135-1)/5)&gt;MAX((MAX(1,INT(((CROQUIS!$C$98)-CROQUIS!$C$107)/MAX((CROQUIS!$C$133*MAX(1,CEILING((INT(((CROQUIS!$C$98)-CROQUIS!$C$107)/MAX(CROQUIS!$C$133,1))+1)/80,1))),1))+1))-1,0),0,MOD($A135-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BU1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CROQUIS!$C$97,CROQUIS!$C$97-CROQUIS!$C$107/2-CROQUIS!$C$143,IF(CROQUIS!$C$104=1,CROQUIS!$C$97+12,CROQUIS!$C$97-2),CROQUIS!$C$97-CROQUIS!$C$107/2-CROQUIS!$C$143,CROQUIS!$C$97)))*CROQUIS!$C$159)+IF(CROQUIS!$C$92="X",0.8,0)),-1000)</f>
        <v>-1000</v>
      </c>
      <c r="BV1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HOOSE(IF(INT(($A135-1)/5)&gt;MAX((MAX(1,INT(((CROQUIS!$C$97)-CROQUIS!$C$107)/MAX((CROQUIS!$C$141*MAX(1,CEILING((INT(((CROQUIS!$C$97)-CROQUIS!$C$107)/MAX(CROQUIS!$C$141,1))+1)/80,1))),1))+1))-1,0),0,MOD($A135-1,5))+1,0,IF(CROQUIS!$C$105=1,-12,2),CROQUIS!$C$107/2+CROQUIS!$C$144,IF(CROQUIS!$C$105=1,-12,2),0)))*CROQUIS!$C$159)+IF(CROQUIS!$C$92="X",0.8,0)),-1000)</f>
        <v>-1000</v>
      </c>
      <c r="BW135">
        <f>IF(AND(CROQUIS!$C$88=1,CROQUIS!$C$91=0,CROQUIS!$C$141&gt;0,OR(CROQUIS!$C$105=1,CROQUIS!$C$146=1)),((CROQUIS!$C$161+(IF(CROQUIS!$C$92="X",CHOOSE(IF(INT(($A135-1)/5)&gt;MAX((MAX(1,INT(((CROQUIS!$C$97)-CROQUIS!$C$107)/MAX((CROQUIS!$C$141*MAX(1,CEILING((INT(((CROQUIS!$C$97)-CROQUIS!$C$107)/MAX(CROQUIS!$C$141,1))+1)/80,1))),1))+1))-1,0),0,MOD($A135-1,5))+1,0,IF(CROQUIS!$C$105=1,-12,2),CROQUIS!$C$107/2+CROQUIS!$C$144,IF(CROQUIS!$C$105=1,-12,2),0),((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ROQUIS!$C$159)+IF(CROQUIS!$C$92="X",0,0.8)),-1000)</f>
        <v>-1000</v>
      </c>
      <c r="BX1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HOOSE(IF(INT(($A135-1)/5)&gt;MAX((MAX(1,INT(((CROQUIS!$C$97)-CROQUIS!$C$107)/MAX((CROQUIS!$C$141*MAX(1,CEILING((INT(((CROQUIS!$C$97)-CROQUIS!$C$107)/MAX(CROQUIS!$C$141,1))+1)/80,1))),1))+1))-1,0),0,MOD($A135-1,5))+1,CROQUIS!$C$98,CROQUIS!$C$98-CROQUIS!$C$107/2-CROQUIS!$C$144,IF(CROQUIS!$C$106=1,CROQUIS!$C$98+12,CROQUIS!$C$98-2),CROQUIS!$C$98-CROQUIS!$C$107/2-CROQUIS!$C$144,CROQUIS!$C$98)))*CROQUIS!$C$159)+IF(CROQUIS!$C$92="X",0.8,0)),-1000)</f>
        <v>-1000</v>
      </c>
      <c r="BY135">
        <f>IF(AND(CROQUIS!$C$88=1,CROQUIS!$C$91=0,CROQUIS!$C$141&gt;0,OR(CROQUIS!$C$106=1,CROQUIS!$C$146=1)),((CROQUIS!$C$161+(IF(CROQUIS!$C$92="X",CHOOSE(IF(INT(($A135-1)/5)&gt;MAX((MAX(1,INT(((CROQUIS!$C$97)-CROQUIS!$C$107)/MAX((CROQUIS!$C$141*MAX(1,CEILING((INT(((CROQUIS!$C$97)-CROQUIS!$C$107)/MAX(CROQUIS!$C$141,1))+1)/80,1))),1))+1))-1,0),0,MOD($A135-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ROQUIS!$C$159)+IF(CROQUIS!$C$92="X",0,0.8)),-1000)</f>
        <v>-1000</v>
      </c>
      <c r="BZ135">
        <f>IF(AND(CROQUIS!$C$88=1,CROQUIS!$C$91=1,CROQUIS!$C$133&gt;0),((CROQUIS!$C$160+(IF(CROQUIS!$C$92="X",CHOOSE(IF(INT(($A135-1)/5)&gt;MAX((MAX(1,INT(((CROQUIS!$C$98)-CROQUIS!$C$107)/MAX((CROQUIS!$C$133*MAX(1,CEILING((INT(((CROQUIS!$C$98)-CROQUIS!$C$107)/MAX(CROQUIS!$C$133,1))+1)/80,1))),1))+1))-1,0),0,MOD($A135-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CA135">
        <f>IF(AND(CROQUIS!$C$88=1,CROQUIS!$C$91=1,CROQUIS!$C$133&gt;0),((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6">
      <c r="A136" t="n">
        <v>129</v>
      </c>
      <c r="BN136">
        <f>IF(AND(CROQUIS!$C$88=1,CROQUIS!$C$129&gt;0),((CROQUIS!$C$160+(IF(CROQUIS!$C$92="X",CHOOSE(IF(INT(($A136-1)/5)&gt;MAX((MAX(1,INT(((CROQUIS!$C$98)-CROQUIS!$C$107)/MAX((CROQUIS!$C$129*MAX(1,CEILING((INT(((CROQUIS!$C$98)-CROQUIS!$C$107)/MAX(CROQUIS!$C$129,1))+1)/80,1))),1))+1))-1,0),0,MOD($A136-1,5))+1,0,2,CROQUIS!$C$97-2,2,0),((CROQUIS!$C$107/2+(((CROQUIS!$C$98)-CROQUIS!$C$107)-(MAX(1,INT(((CROQUIS!$C$98)-CROQUIS!$C$107)/MAX((CROQUIS!$C$129*MAX(1,CEILING((INT(((CROQUIS!$C$98)-CROQUIS!$C$107)/MAX(CROQUIS!$C$129,1))+1)/80,1))),1))+1)-1)*(CROQUIS!$C$129*MAX(1,CEILING((INT(((CROQUIS!$C$98)-CROQUIS!$C$107)/MAX(CROQUIS!$C$129,1))+1)/80,1))))/2)+MIN(INT(($A136-1)/5),MAX((MAX(1,INT(((CROQUIS!$C$98)-CROQUIS!$C$107)/MAX((CROQUIS!$C$129*MAX(1,CEILING((INT(((CROQUIS!$C$98)-CROQUIS!$C$107)/MAX(CROQUIS!$C$129,1))+1)/80,1))),1))+1))-1,0))*(CROQUIS!$C$129*MAX(1,CEILING((INT(((CROQUIS!$C$98)-CROQUIS!$C$107)/MAX(CROQUIS!$C$129,1))+1)/80,1))))))*CROQUIS!$C$159)+IF(CROQUIS!$C$92="X",0,0)),-1000)</f>
        <v>-1000</v>
      </c>
      <c r="BO136">
        <f>IF(AND(CROQUIS!$C$88=1,CROQUIS!$C$129&gt;0),((CROQUIS!$C$161+(IF(CROQUIS!$C$92="X",((CROQUIS!$C$107/2+(((CROQUIS!$C$98)-CROQUIS!$C$107)-(MAX(1,INT(((CROQUIS!$C$98)-CROQUIS!$C$107)/MAX((CROQUIS!$C$129*MAX(1,CEILING((INT(((CROQUIS!$C$98)-CROQUIS!$C$107)/MAX(CROQUIS!$C$129,1))+1)/80,1))),1))+1)-1)*(CROQUIS!$C$129*MAX(1,CEILING((INT(((CROQUIS!$C$98)-CROQUIS!$C$107)/MAX(CROQUIS!$C$129,1))+1)/80,1))))/2)+MIN(INT(($A136-1)/5),MAX((MAX(1,INT(((CROQUIS!$C$98)-CROQUIS!$C$107)/MAX((CROQUIS!$C$129*MAX(1,CEILING((INT(((CROQUIS!$C$98)-CROQUIS!$C$107)/MAX(CROQUIS!$C$129,1))+1)/80,1))),1))+1))-1,0))*(CROQUIS!$C$129*MAX(1,CEILING((INT(((CROQUIS!$C$98)-CROQUIS!$C$107)/MAX(CROQUIS!$C$129,1))+1)/80,1)))),CHOOSE(IF(INT(($A136-1)/5)&gt;MAX((MAX(1,INT(((CROQUIS!$C$98)-CROQUIS!$C$107)/MAX((CROQUIS!$C$129*MAX(1,CEILING((INT(((CROQUIS!$C$98)-CROQUIS!$C$107)/MAX(CROQUIS!$C$129,1))+1)/80,1))),1))+1))-1,0),0,MOD($A136-1,5))+1,0,2,CROQUIS!$C$97-2,2,0)))*CROQUIS!$C$159)+IF(CROQUIS!$C$92="X",0,0)),-1000)</f>
        <v>-1000</v>
      </c>
      <c r="BP136">
        <f>IF(AND(CROQUIS!$C$88=1,CROQUIS!$C$137&gt;0),((CROQUIS!$C$160+(IF(CROQUIS!$C$92="X",((CROQUIS!$C$107/2+(((CROQUIS!$C$97)-CROQUIS!$C$107)-(MAX(1,INT(((CROQUIS!$C$97)-CROQUIS!$C$107)/MAX((CROQUIS!$C$137*MAX(1,CEILING((INT(((CROQUIS!$C$97)-CROQUIS!$C$107)/MAX(CROQUIS!$C$137,1))+1)/80,1))),1))+1)-1)*(CROQUIS!$C$137*MAX(1,CEILING((INT(((CROQUIS!$C$97)-CROQUIS!$C$107)/MAX(CROQUIS!$C$137,1))+1)/80,1))))/2)+MIN(INT(($A136-1)/5),MAX((MAX(1,INT(((CROQUIS!$C$97)-CROQUIS!$C$107)/MAX((CROQUIS!$C$137*MAX(1,CEILING((INT(((CROQUIS!$C$97)-CROQUIS!$C$107)/MAX(CROQUIS!$C$137,1))+1)/80,1))),1))+1))-1,0))*(CROQUIS!$C$137*MAX(1,CEILING((INT(((CROQUIS!$C$97)-CROQUIS!$C$107)/MAX(CROQUIS!$C$137,1))+1)/80,1)))),CHOOSE(IF(INT(($A136-1)/5)&gt;MAX((MAX(1,INT(((CROQUIS!$C$97)-CROQUIS!$C$107)/MAX((CROQUIS!$C$137*MAX(1,CEILING((INT(((CROQUIS!$C$97)-CROQUIS!$C$107)/MAX(CROQUIS!$C$137,1))+1)/80,1))),1))+1))-1,0),0,MOD($A136-1,5))+1,0,2,CROQUIS!$C$98-2,2,0)))*CROQUIS!$C$159)+IF(CROQUIS!$C$92="X",0,0)),-1000)</f>
        <v>-1000</v>
      </c>
      <c r="BQ136">
        <f>IF(AND(CROQUIS!$C$88=1,CROQUIS!$C$137&gt;0),((CROQUIS!$C$161+(IF(CROQUIS!$C$92="X",CHOOSE(IF(INT(($A136-1)/5)&gt;MAX((MAX(1,INT(((CROQUIS!$C$97)-CROQUIS!$C$107)/MAX((CROQUIS!$C$137*MAX(1,CEILING((INT(((CROQUIS!$C$97)-CROQUIS!$C$107)/MAX(CROQUIS!$C$137,1))+1)/80,1))),1))+1))-1,0),0,MOD($A136-1,5))+1,0,2,CROQUIS!$C$98-2,2,0),((CROQUIS!$C$107/2+(((CROQUIS!$C$97)-CROQUIS!$C$107)-(MAX(1,INT(((CROQUIS!$C$97)-CROQUIS!$C$107)/MAX((CROQUIS!$C$137*MAX(1,CEILING((INT(((CROQUIS!$C$97)-CROQUIS!$C$107)/MAX(CROQUIS!$C$137,1))+1)/80,1))),1))+1)-1)*(CROQUIS!$C$137*MAX(1,CEILING((INT(((CROQUIS!$C$97)-CROQUIS!$C$107)/MAX(CROQUIS!$C$137,1))+1)/80,1))))/2)+MIN(INT(($A136-1)/5),MAX((MAX(1,INT(((CROQUIS!$C$97)-CROQUIS!$C$107)/MAX((CROQUIS!$C$137*MAX(1,CEILING((INT(((CROQUIS!$C$97)-CROQUIS!$C$107)/MAX(CROQUIS!$C$137,1))+1)/80,1))),1))+1))-1,0))*(CROQUIS!$C$137*MAX(1,CEILING((INT(((CROQUIS!$C$97)-CROQUIS!$C$107)/MAX(CROQUIS!$C$137,1))+1)/80,1))))))*CROQUIS!$C$159)+IF(CROQUIS!$C$92="X",0,0)),-1000)</f>
        <v>-1000</v>
      </c>
      <c r="BR136">
        <f>IF(AND(CROQUIS!$C$88=1,CROQUIS!$C$91=0,CROQUIS!$C$133&gt;0,OR(CROQUIS!$C$103=1,CROQUIS!$C$145=1)),((CROQUIS!$C$160+(IF(CROQUIS!$C$92="X",CHOOSE(IF(INT(($A136-1)/5)&gt;MAX((MAX(1,INT(((CROQUIS!$C$98)-CROQUIS!$C$107)/MAX((CROQUIS!$C$133*MAX(1,CEILING((INT(((CROQUIS!$C$98)-CROQUIS!$C$107)/MAX(CROQUIS!$C$133,1))+1)/80,1))),1))+1))-1,0),0,MOD($A136-1,5))+1,0,IF(CROQUIS!$C$103=1,-12,2),CROQUIS!$C$107/2+CROQUIS!$C$143,IF(CROQUIS!$C$103=1,-12,2),0),((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BS1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+1,0,IF(CROQUIS!$C$103=1,-12,2),CROQUIS!$C$107/2+CROQUIS!$C$143,IF(CROQUIS!$C$103=1,-12,2),0)))*CROQUIS!$C$159)+IF(CROQUIS!$C$92="X",0.8,0)),-1000)</f>
        <v>-1000</v>
      </c>
      <c r="BT136">
        <f>IF(AND(CROQUIS!$C$88=1,CROQUIS!$C$91=0,CROQUIS!$C$133&gt;0,OR(CROQUIS!$C$104=1,CROQUIS!$C$145=1)),((CROQUIS!$C$160+(IF(CROQUIS!$C$92="X",CHOOSE(IF(INT(($A136-1)/5)&gt;MAX((MAX(1,INT(((CROQUIS!$C$98)-CROQUIS!$C$107)/MAX((CROQUIS!$C$133*MAX(1,CEILING((INT(((CROQUIS!$C$98)-CROQUIS!$C$107)/MAX(CROQUIS!$C$133,1))+1)/80,1))),1))+1))-1,0),0,MOD($A136-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BU1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CROQUIS!$C$97,CROQUIS!$C$97-CROQUIS!$C$107/2-CROQUIS!$C$143,IF(CROQUIS!$C$104=1,CROQUIS!$C$97+12,CROQUIS!$C$97-2),CROQUIS!$C$97-CROQUIS!$C$107/2-CROQUIS!$C$143,CROQUIS!$C$97)))*CROQUIS!$C$159)+IF(CROQUIS!$C$92="X",0.8,0)),-1000)</f>
        <v>-1000</v>
      </c>
      <c r="BV1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HOOSE(IF(INT(($A136-1)/5)&gt;MAX((MAX(1,INT(((CROQUIS!$C$97)-CROQUIS!$C$107)/MAX((CROQUIS!$C$141*MAX(1,CEILING((INT(((CROQUIS!$C$97)-CROQUIS!$C$107)/MAX(CROQUIS!$C$141,1))+1)/80,1))),1))+1))-1,0),0,MOD($A136-1,5))+1,0,IF(CROQUIS!$C$105=1,-12,2),CROQUIS!$C$107/2+CROQUIS!$C$144,IF(CROQUIS!$C$105=1,-12,2),0)))*CROQUIS!$C$159)+IF(CROQUIS!$C$92="X",0.8,0)),-1000)</f>
        <v>-1000</v>
      </c>
      <c r="BW136">
        <f>IF(AND(CROQUIS!$C$88=1,CROQUIS!$C$91=0,CROQUIS!$C$141&gt;0,OR(CROQUIS!$C$105=1,CROQUIS!$C$146=1)),((CROQUIS!$C$161+(IF(CROQUIS!$C$92="X",CHOOSE(IF(INT(($A136-1)/5)&gt;MAX((MAX(1,INT(((CROQUIS!$C$97)-CROQUIS!$C$107)/MAX((CROQUIS!$C$141*MAX(1,CEILING((INT(((CROQUIS!$C$97)-CROQUIS!$C$107)/MAX(CROQUIS!$C$141,1))+1)/80,1))),1))+1))-1,0),0,MOD($A136-1,5))+1,0,IF(CROQUIS!$C$105=1,-12,2),CROQUIS!$C$107/2+CROQUIS!$C$144,IF(CROQUIS!$C$105=1,-12,2),0),((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ROQUIS!$C$159)+IF(CROQUIS!$C$92="X",0,0.8)),-1000)</f>
        <v>-1000</v>
      </c>
      <c r="BX1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HOOSE(IF(INT(($A136-1)/5)&gt;MAX((MAX(1,INT(((CROQUIS!$C$97)-CROQUIS!$C$107)/MAX((CROQUIS!$C$141*MAX(1,CEILING((INT(((CROQUIS!$C$97)-CROQUIS!$C$107)/MAX(CROQUIS!$C$141,1))+1)/80,1))),1))+1))-1,0),0,MOD($A136-1,5))+1,CROQUIS!$C$98,CROQUIS!$C$98-CROQUIS!$C$107/2-CROQUIS!$C$144,IF(CROQUIS!$C$106=1,CROQUIS!$C$98+12,CROQUIS!$C$98-2),CROQUIS!$C$98-CROQUIS!$C$107/2-CROQUIS!$C$144,CROQUIS!$C$98)))*CROQUIS!$C$159)+IF(CROQUIS!$C$92="X",0.8,0)),-1000)</f>
        <v>-1000</v>
      </c>
      <c r="BY136">
        <f>IF(AND(CROQUIS!$C$88=1,CROQUIS!$C$91=0,CROQUIS!$C$141&gt;0,OR(CROQUIS!$C$106=1,CROQUIS!$C$146=1)),((CROQUIS!$C$161+(IF(CROQUIS!$C$92="X",CHOOSE(IF(INT(($A136-1)/5)&gt;MAX((MAX(1,INT(((CROQUIS!$C$97)-CROQUIS!$C$107)/MAX((CROQUIS!$C$141*MAX(1,CEILING((INT(((CROQUIS!$C$97)-CROQUIS!$C$107)/MAX(CROQUIS!$C$141,1))+1)/80,1))),1))+1))-1,0),0,MOD($A136-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ROQUIS!$C$159)+IF(CROQUIS!$C$92="X",0,0.8)),-1000)</f>
        <v>-1000</v>
      </c>
      <c r="BZ136">
        <f>IF(AND(CROQUIS!$C$88=1,CROQUIS!$C$91=1,CROQUIS!$C$133&gt;0),((CROQUIS!$C$160+(IF(CROQUIS!$C$92="X",CHOOSE(IF(INT(($A136-1)/5)&gt;MAX((MAX(1,INT(((CROQUIS!$C$98)-CROQUIS!$C$107)/MAX((CROQUIS!$C$133*MAX(1,CEILING((INT(((CROQUIS!$C$98)-CROQUIS!$C$107)/MAX(CROQUIS!$C$133,1))+1)/80,1))),1))+1))-1,0),0,MOD($A136-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CA136">
        <f>IF(AND(CROQUIS!$C$88=1,CROQUIS!$C$91=1,CROQUIS!$C$133&gt;0),((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7">
      <c r="A137" t="n">
        <v>130</v>
      </c>
      <c r="BN137">
        <f>IF(AND(CROQUIS!$C$88=1,CROQUIS!$C$129&gt;0),((CROQUIS!$C$160+(IF(CROQUIS!$C$92="X",CHOOSE(IF(INT(($A137-1)/5)&gt;MAX((MAX(1,INT(((CROQUIS!$C$98)-CROQUIS!$C$107)/MAX((CROQUIS!$C$129*MAX(1,CEILING((INT(((CROQUIS!$C$98)-CROQUIS!$C$107)/MAX(CROQUIS!$C$129,1))+1)/80,1))),1))+1))-1,0),0,MOD($A137-1,5))+1,0,2,CROQUIS!$C$97-2,2,0),((CROQUIS!$C$107/2+(((CROQUIS!$C$98)-CROQUIS!$C$107)-(MAX(1,INT(((CROQUIS!$C$98)-CROQUIS!$C$107)/MAX((CROQUIS!$C$129*MAX(1,CEILING((INT(((CROQUIS!$C$98)-CROQUIS!$C$107)/MAX(CROQUIS!$C$129,1))+1)/80,1))),1))+1)-1)*(CROQUIS!$C$129*MAX(1,CEILING((INT(((CROQUIS!$C$98)-CROQUIS!$C$107)/MAX(CROQUIS!$C$129,1))+1)/80,1))))/2)+MIN(INT(($A137-1)/5),MAX((MAX(1,INT(((CROQUIS!$C$98)-CROQUIS!$C$107)/MAX((CROQUIS!$C$129*MAX(1,CEILING((INT(((CROQUIS!$C$98)-CROQUIS!$C$107)/MAX(CROQUIS!$C$129,1))+1)/80,1))),1))+1))-1,0))*(CROQUIS!$C$129*MAX(1,CEILING((INT(((CROQUIS!$C$98)-CROQUIS!$C$107)/MAX(CROQUIS!$C$129,1))+1)/80,1))))))*CROQUIS!$C$159)+IF(CROQUIS!$C$92="X",0,0)),-1000)</f>
        <v>-1000</v>
      </c>
      <c r="BO137">
        <f>IF(AND(CROQUIS!$C$88=1,CROQUIS!$C$129&gt;0),((CROQUIS!$C$161+(IF(CROQUIS!$C$92="X",((CROQUIS!$C$107/2+(((CROQUIS!$C$98)-CROQUIS!$C$107)-(MAX(1,INT(((CROQUIS!$C$98)-CROQUIS!$C$107)/MAX((CROQUIS!$C$129*MAX(1,CEILING((INT(((CROQUIS!$C$98)-CROQUIS!$C$107)/MAX(CROQUIS!$C$129,1))+1)/80,1))),1))+1)-1)*(CROQUIS!$C$129*MAX(1,CEILING((INT(((CROQUIS!$C$98)-CROQUIS!$C$107)/MAX(CROQUIS!$C$129,1))+1)/80,1))))/2)+MIN(INT(($A137-1)/5),MAX((MAX(1,INT(((CROQUIS!$C$98)-CROQUIS!$C$107)/MAX((CROQUIS!$C$129*MAX(1,CEILING((INT(((CROQUIS!$C$98)-CROQUIS!$C$107)/MAX(CROQUIS!$C$129,1))+1)/80,1))),1))+1))-1,0))*(CROQUIS!$C$129*MAX(1,CEILING((INT(((CROQUIS!$C$98)-CROQUIS!$C$107)/MAX(CROQUIS!$C$129,1))+1)/80,1)))),CHOOSE(IF(INT(($A137-1)/5)&gt;MAX((MAX(1,INT(((CROQUIS!$C$98)-CROQUIS!$C$107)/MAX((CROQUIS!$C$129*MAX(1,CEILING((INT(((CROQUIS!$C$98)-CROQUIS!$C$107)/MAX(CROQUIS!$C$129,1))+1)/80,1))),1))+1))-1,0),0,MOD($A137-1,5))+1,0,2,CROQUIS!$C$97-2,2,0)))*CROQUIS!$C$159)+IF(CROQUIS!$C$92="X",0,0)),-1000)</f>
        <v>-1000</v>
      </c>
      <c r="BP137">
        <f>IF(AND(CROQUIS!$C$88=1,CROQUIS!$C$137&gt;0),((CROQUIS!$C$160+(IF(CROQUIS!$C$92="X",((CROQUIS!$C$107/2+(((CROQUIS!$C$97)-CROQUIS!$C$107)-(MAX(1,INT(((CROQUIS!$C$97)-CROQUIS!$C$107)/MAX((CROQUIS!$C$137*MAX(1,CEILING((INT(((CROQUIS!$C$97)-CROQUIS!$C$107)/MAX(CROQUIS!$C$137,1))+1)/80,1))),1))+1)-1)*(CROQUIS!$C$137*MAX(1,CEILING((INT(((CROQUIS!$C$97)-CROQUIS!$C$107)/MAX(CROQUIS!$C$137,1))+1)/80,1))))/2)+MIN(INT(($A137-1)/5),MAX((MAX(1,INT(((CROQUIS!$C$97)-CROQUIS!$C$107)/MAX((CROQUIS!$C$137*MAX(1,CEILING((INT(((CROQUIS!$C$97)-CROQUIS!$C$107)/MAX(CROQUIS!$C$137,1))+1)/80,1))),1))+1))-1,0))*(CROQUIS!$C$137*MAX(1,CEILING((INT(((CROQUIS!$C$97)-CROQUIS!$C$107)/MAX(CROQUIS!$C$137,1))+1)/80,1)))),CHOOSE(IF(INT(($A137-1)/5)&gt;MAX((MAX(1,INT(((CROQUIS!$C$97)-CROQUIS!$C$107)/MAX((CROQUIS!$C$137*MAX(1,CEILING((INT(((CROQUIS!$C$97)-CROQUIS!$C$107)/MAX(CROQUIS!$C$137,1))+1)/80,1))),1))+1))-1,0),0,MOD($A137-1,5))+1,0,2,CROQUIS!$C$98-2,2,0)))*CROQUIS!$C$159)+IF(CROQUIS!$C$92="X",0,0)),-1000)</f>
        <v>-1000</v>
      </c>
      <c r="BQ137">
        <f>IF(AND(CROQUIS!$C$88=1,CROQUIS!$C$137&gt;0),((CROQUIS!$C$161+(IF(CROQUIS!$C$92="X",CHOOSE(IF(INT(($A137-1)/5)&gt;MAX((MAX(1,INT(((CROQUIS!$C$97)-CROQUIS!$C$107)/MAX((CROQUIS!$C$137*MAX(1,CEILING((INT(((CROQUIS!$C$97)-CROQUIS!$C$107)/MAX(CROQUIS!$C$137,1))+1)/80,1))),1))+1))-1,0),0,MOD($A137-1,5))+1,0,2,CROQUIS!$C$98-2,2,0),((CROQUIS!$C$107/2+(((CROQUIS!$C$97)-CROQUIS!$C$107)-(MAX(1,INT(((CROQUIS!$C$97)-CROQUIS!$C$107)/MAX((CROQUIS!$C$137*MAX(1,CEILING((INT(((CROQUIS!$C$97)-CROQUIS!$C$107)/MAX(CROQUIS!$C$137,1))+1)/80,1))),1))+1)-1)*(CROQUIS!$C$137*MAX(1,CEILING((INT(((CROQUIS!$C$97)-CROQUIS!$C$107)/MAX(CROQUIS!$C$137,1))+1)/80,1))))/2)+MIN(INT(($A137-1)/5),MAX((MAX(1,INT(((CROQUIS!$C$97)-CROQUIS!$C$107)/MAX((CROQUIS!$C$137*MAX(1,CEILING((INT(((CROQUIS!$C$97)-CROQUIS!$C$107)/MAX(CROQUIS!$C$137,1))+1)/80,1))),1))+1))-1,0))*(CROQUIS!$C$137*MAX(1,CEILING((INT(((CROQUIS!$C$97)-CROQUIS!$C$107)/MAX(CROQUIS!$C$137,1))+1)/80,1))))))*CROQUIS!$C$159)+IF(CROQUIS!$C$92="X",0,0)),-1000)</f>
        <v>-1000</v>
      </c>
      <c r="BR137">
        <f>IF(AND(CROQUIS!$C$88=1,CROQUIS!$C$91=0,CROQUIS!$C$133&gt;0,OR(CROQUIS!$C$103=1,CROQUIS!$C$145=1)),((CROQUIS!$C$160+(IF(CROQUIS!$C$92="X",CHOOSE(IF(INT(($A137-1)/5)&gt;MAX((MAX(1,INT(((CROQUIS!$C$98)-CROQUIS!$C$107)/MAX((CROQUIS!$C$133*MAX(1,CEILING((INT(((CROQUIS!$C$98)-CROQUIS!$C$107)/MAX(CROQUIS!$C$133,1))+1)/80,1))),1))+1))-1,0),0,MOD($A137-1,5))+1,0,IF(CROQUIS!$C$103=1,-12,2),CROQUIS!$C$107/2+CROQUIS!$C$143,IF(CROQUIS!$C$103=1,-12,2),0),((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BS1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+1,0,IF(CROQUIS!$C$103=1,-12,2),CROQUIS!$C$107/2+CROQUIS!$C$143,IF(CROQUIS!$C$103=1,-12,2),0)))*CROQUIS!$C$159)+IF(CROQUIS!$C$92="X",0.8,0)),-1000)</f>
        <v>-1000</v>
      </c>
      <c r="BT137">
        <f>IF(AND(CROQUIS!$C$88=1,CROQUIS!$C$91=0,CROQUIS!$C$133&gt;0,OR(CROQUIS!$C$104=1,CROQUIS!$C$145=1)),((CROQUIS!$C$160+(IF(CROQUIS!$C$92="X",CHOOSE(IF(INT(($A137-1)/5)&gt;MAX((MAX(1,INT(((CROQUIS!$C$98)-CROQUIS!$C$107)/MAX((CROQUIS!$C$133*MAX(1,CEILING((INT(((CROQUIS!$C$98)-CROQUIS!$C$107)/MAX(CROQUIS!$C$133,1))+1)/80,1))),1))+1))-1,0),0,MOD($A137-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BU1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CROQUIS!$C$97,CROQUIS!$C$97-CROQUIS!$C$107/2-CROQUIS!$C$143,IF(CROQUIS!$C$104=1,CROQUIS!$C$97+12,CROQUIS!$C$97-2),CROQUIS!$C$97-CROQUIS!$C$107/2-CROQUIS!$C$143,CROQUIS!$C$97)))*CROQUIS!$C$159)+IF(CROQUIS!$C$92="X",0.8,0)),-1000)</f>
        <v>-1000</v>
      </c>
      <c r="BV1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HOOSE(IF(INT(($A137-1)/5)&gt;MAX((MAX(1,INT(((CROQUIS!$C$97)-CROQUIS!$C$107)/MAX((CROQUIS!$C$141*MAX(1,CEILING((INT(((CROQUIS!$C$97)-CROQUIS!$C$107)/MAX(CROQUIS!$C$141,1))+1)/80,1))),1))+1))-1,0),0,MOD($A137-1,5))+1,0,IF(CROQUIS!$C$105=1,-12,2),CROQUIS!$C$107/2+CROQUIS!$C$144,IF(CROQUIS!$C$105=1,-12,2),0)))*CROQUIS!$C$159)+IF(CROQUIS!$C$92="X",0.8,0)),-1000)</f>
        <v>-1000</v>
      </c>
      <c r="BW137">
        <f>IF(AND(CROQUIS!$C$88=1,CROQUIS!$C$91=0,CROQUIS!$C$141&gt;0,OR(CROQUIS!$C$105=1,CROQUIS!$C$146=1)),((CROQUIS!$C$161+(IF(CROQUIS!$C$92="X",CHOOSE(IF(INT(($A137-1)/5)&gt;MAX((MAX(1,INT(((CROQUIS!$C$97)-CROQUIS!$C$107)/MAX((CROQUIS!$C$141*MAX(1,CEILING((INT(((CROQUIS!$C$97)-CROQUIS!$C$107)/MAX(CROQUIS!$C$141,1))+1)/80,1))),1))+1))-1,0),0,MOD($A137-1,5))+1,0,IF(CROQUIS!$C$105=1,-12,2),CROQUIS!$C$107/2+CROQUIS!$C$144,IF(CROQUIS!$C$105=1,-12,2),0),((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ROQUIS!$C$159)+IF(CROQUIS!$C$92="X",0,0.8)),-1000)</f>
        <v>-1000</v>
      </c>
      <c r="BX1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HOOSE(IF(INT(($A137-1)/5)&gt;MAX((MAX(1,INT(((CROQUIS!$C$97)-CROQUIS!$C$107)/MAX((CROQUIS!$C$141*MAX(1,CEILING((INT(((CROQUIS!$C$97)-CROQUIS!$C$107)/MAX(CROQUIS!$C$141,1))+1)/80,1))),1))+1))-1,0),0,MOD($A137-1,5))+1,CROQUIS!$C$98,CROQUIS!$C$98-CROQUIS!$C$107/2-CROQUIS!$C$144,IF(CROQUIS!$C$106=1,CROQUIS!$C$98+12,CROQUIS!$C$98-2),CROQUIS!$C$98-CROQUIS!$C$107/2-CROQUIS!$C$144,CROQUIS!$C$98)))*CROQUIS!$C$159)+IF(CROQUIS!$C$92="X",0.8,0)),-1000)</f>
        <v>-1000</v>
      </c>
      <c r="BY137">
        <f>IF(AND(CROQUIS!$C$88=1,CROQUIS!$C$91=0,CROQUIS!$C$141&gt;0,OR(CROQUIS!$C$106=1,CROQUIS!$C$146=1)),((CROQUIS!$C$161+(IF(CROQUIS!$C$92="X",CHOOSE(IF(INT(($A137-1)/5)&gt;MAX((MAX(1,INT(((CROQUIS!$C$97)-CROQUIS!$C$107)/MAX((CROQUIS!$C$141*MAX(1,CEILING((INT(((CROQUIS!$C$97)-CROQUIS!$C$107)/MAX(CROQUIS!$C$141,1))+1)/80,1))),1))+1))-1,0),0,MOD($A137-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ROQUIS!$C$159)+IF(CROQUIS!$C$92="X",0,0.8)),-1000)</f>
        <v>-1000</v>
      </c>
      <c r="BZ137">
        <f>IF(AND(CROQUIS!$C$88=1,CROQUIS!$C$91=1,CROQUIS!$C$133&gt;0),((CROQUIS!$C$160+(IF(CROQUIS!$C$92="X",CHOOSE(IF(INT(($A137-1)/5)&gt;MAX((MAX(1,INT(((CROQUIS!$C$98)-CROQUIS!$C$107)/MAX((CROQUIS!$C$133*MAX(1,CEILING((INT(((CROQUIS!$C$98)-CROQUIS!$C$107)/MAX(CROQUIS!$C$133,1))+1)/80,1))),1))+1))-1,0),0,MOD($A137-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CA137">
        <f>IF(AND(CROQUIS!$C$88=1,CROQUIS!$C$91=1,CROQUIS!$C$133&gt;0),((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8">
      <c r="A138" t="n">
        <v>131</v>
      </c>
      <c r="BN138">
        <f>IF(AND(CROQUIS!$C$88=1,CROQUIS!$C$129&gt;0),((CROQUIS!$C$160+(IF(CROQUIS!$C$92="X",CHOOSE(IF(INT(($A138-1)/5)&gt;MAX((MAX(1,INT(((CROQUIS!$C$98)-CROQUIS!$C$107)/MAX((CROQUIS!$C$129*MAX(1,CEILING((INT(((CROQUIS!$C$98)-CROQUIS!$C$107)/MAX(CROQUIS!$C$129,1))+1)/80,1))),1))+1))-1,0),0,MOD($A138-1,5))+1,0,2,CROQUIS!$C$97-2,2,0),((CROQUIS!$C$107/2+(((CROQUIS!$C$98)-CROQUIS!$C$107)-(MAX(1,INT(((CROQUIS!$C$98)-CROQUIS!$C$107)/MAX((CROQUIS!$C$129*MAX(1,CEILING((INT(((CROQUIS!$C$98)-CROQUIS!$C$107)/MAX(CROQUIS!$C$129,1))+1)/80,1))),1))+1)-1)*(CROQUIS!$C$129*MAX(1,CEILING((INT(((CROQUIS!$C$98)-CROQUIS!$C$107)/MAX(CROQUIS!$C$129,1))+1)/80,1))))/2)+MIN(INT(($A138-1)/5),MAX((MAX(1,INT(((CROQUIS!$C$98)-CROQUIS!$C$107)/MAX((CROQUIS!$C$129*MAX(1,CEILING((INT(((CROQUIS!$C$98)-CROQUIS!$C$107)/MAX(CROQUIS!$C$129,1))+1)/80,1))),1))+1))-1,0))*(CROQUIS!$C$129*MAX(1,CEILING((INT(((CROQUIS!$C$98)-CROQUIS!$C$107)/MAX(CROQUIS!$C$129,1))+1)/80,1))))))*CROQUIS!$C$159)+IF(CROQUIS!$C$92="X",0,0)),-1000)</f>
        <v>-1000</v>
      </c>
      <c r="BO138">
        <f>IF(AND(CROQUIS!$C$88=1,CROQUIS!$C$129&gt;0),((CROQUIS!$C$161+(IF(CROQUIS!$C$92="X",((CROQUIS!$C$107/2+(((CROQUIS!$C$98)-CROQUIS!$C$107)-(MAX(1,INT(((CROQUIS!$C$98)-CROQUIS!$C$107)/MAX((CROQUIS!$C$129*MAX(1,CEILING((INT(((CROQUIS!$C$98)-CROQUIS!$C$107)/MAX(CROQUIS!$C$129,1))+1)/80,1))),1))+1)-1)*(CROQUIS!$C$129*MAX(1,CEILING((INT(((CROQUIS!$C$98)-CROQUIS!$C$107)/MAX(CROQUIS!$C$129,1))+1)/80,1))))/2)+MIN(INT(($A138-1)/5),MAX((MAX(1,INT(((CROQUIS!$C$98)-CROQUIS!$C$107)/MAX((CROQUIS!$C$129*MAX(1,CEILING((INT(((CROQUIS!$C$98)-CROQUIS!$C$107)/MAX(CROQUIS!$C$129,1))+1)/80,1))),1))+1))-1,0))*(CROQUIS!$C$129*MAX(1,CEILING((INT(((CROQUIS!$C$98)-CROQUIS!$C$107)/MAX(CROQUIS!$C$129,1))+1)/80,1)))),CHOOSE(IF(INT(($A138-1)/5)&gt;MAX((MAX(1,INT(((CROQUIS!$C$98)-CROQUIS!$C$107)/MAX((CROQUIS!$C$129*MAX(1,CEILING((INT(((CROQUIS!$C$98)-CROQUIS!$C$107)/MAX(CROQUIS!$C$129,1))+1)/80,1))),1))+1))-1,0),0,MOD($A138-1,5))+1,0,2,CROQUIS!$C$97-2,2,0)))*CROQUIS!$C$159)+IF(CROQUIS!$C$92="X",0,0)),-1000)</f>
        <v>-1000</v>
      </c>
      <c r="BP138">
        <f>IF(AND(CROQUIS!$C$88=1,CROQUIS!$C$137&gt;0),((CROQUIS!$C$160+(IF(CROQUIS!$C$92="X",((CROQUIS!$C$107/2+(((CROQUIS!$C$97)-CROQUIS!$C$107)-(MAX(1,INT(((CROQUIS!$C$97)-CROQUIS!$C$107)/MAX((CROQUIS!$C$137*MAX(1,CEILING((INT(((CROQUIS!$C$97)-CROQUIS!$C$107)/MAX(CROQUIS!$C$137,1))+1)/80,1))),1))+1)-1)*(CROQUIS!$C$137*MAX(1,CEILING((INT(((CROQUIS!$C$97)-CROQUIS!$C$107)/MAX(CROQUIS!$C$137,1))+1)/80,1))))/2)+MIN(INT(($A138-1)/5),MAX((MAX(1,INT(((CROQUIS!$C$97)-CROQUIS!$C$107)/MAX((CROQUIS!$C$137*MAX(1,CEILING((INT(((CROQUIS!$C$97)-CROQUIS!$C$107)/MAX(CROQUIS!$C$137,1))+1)/80,1))),1))+1))-1,0))*(CROQUIS!$C$137*MAX(1,CEILING((INT(((CROQUIS!$C$97)-CROQUIS!$C$107)/MAX(CROQUIS!$C$137,1))+1)/80,1)))),CHOOSE(IF(INT(($A138-1)/5)&gt;MAX((MAX(1,INT(((CROQUIS!$C$97)-CROQUIS!$C$107)/MAX((CROQUIS!$C$137*MAX(1,CEILING((INT(((CROQUIS!$C$97)-CROQUIS!$C$107)/MAX(CROQUIS!$C$137,1))+1)/80,1))),1))+1))-1,0),0,MOD($A138-1,5))+1,0,2,CROQUIS!$C$98-2,2,0)))*CROQUIS!$C$159)+IF(CROQUIS!$C$92="X",0,0)),-1000)</f>
        <v>-1000</v>
      </c>
      <c r="BQ138">
        <f>IF(AND(CROQUIS!$C$88=1,CROQUIS!$C$137&gt;0),((CROQUIS!$C$161+(IF(CROQUIS!$C$92="X",CHOOSE(IF(INT(($A138-1)/5)&gt;MAX((MAX(1,INT(((CROQUIS!$C$97)-CROQUIS!$C$107)/MAX((CROQUIS!$C$137*MAX(1,CEILING((INT(((CROQUIS!$C$97)-CROQUIS!$C$107)/MAX(CROQUIS!$C$137,1))+1)/80,1))),1))+1))-1,0),0,MOD($A138-1,5))+1,0,2,CROQUIS!$C$98-2,2,0),((CROQUIS!$C$107/2+(((CROQUIS!$C$97)-CROQUIS!$C$107)-(MAX(1,INT(((CROQUIS!$C$97)-CROQUIS!$C$107)/MAX((CROQUIS!$C$137*MAX(1,CEILING((INT(((CROQUIS!$C$97)-CROQUIS!$C$107)/MAX(CROQUIS!$C$137,1))+1)/80,1))),1))+1)-1)*(CROQUIS!$C$137*MAX(1,CEILING((INT(((CROQUIS!$C$97)-CROQUIS!$C$107)/MAX(CROQUIS!$C$137,1))+1)/80,1))))/2)+MIN(INT(($A138-1)/5),MAX((MAX(1,INT(((CROQUIS!$C$97)-CROQUIS!$C$107)/MAX((CROQUIS!$C$137*MAX(1,CEILING((INT(((CROQUIS!$C$97)-CROQUIS!$C$107)/MAX(CROQUIS!$C$137,1))+1)/80,1))),1))+1))-1,0))*(CROQUIS!$C$137*MAX(1,CEILING((INT(((CROQUIS!$C$97)-CROQUIS!$C$107)/MAX(CROQUIS!$C$137,1))+1)/80,1))))))*CROQUIS!$C$159)+IF(CROQUIS!$C$92="X",0,0)),-1000)</f>
        <v>-1000</v>
      </c>
      <c r="BR138">
        <f>IF(AND(CROQUIS!$C$88=1,CROQUIS!$C$91=0,CROQUIS!$C$133&gt;0,OR(CROQUIS!$C$103=1,CROQUIS!$C$145=1)),((CROQUIS!$C$160+(IF(CROQUIS!$C$92="X",CHOOSE(IF(INT(($A138-1)/5)&gt;MAX((MAX(1,INT(((CROQUIS!$C$98)-CROQUIS!$C$107)/MAX((CROQUIS!$C$133*MAX(1,CEILING((INT(((CROQUIS!$C$98)-CROQUIS!$C$107)/MAX(CROQUIS!$C$133,1))+1)/80,1))),1))+1))-1,0),0,MOD($A138-1,5))+1,0,IF(CROQUIS!$C$103=1,-12,2),CROQUIS!$C$107/2+CROQUIS!$C$143,IF(CROQUIS!$C$103=1,-12,2),0),((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BS1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+1,0,IF(CROQUIS!$C$103=1,-12,2),CROQUIS!$C$107/2+CROQUIS!$C$143,IF(CROQUIS!$C$103=1,-12,2),0)))*CROQUIS!$C$159)+IF(CROQUIS!$C$92="X",0.8,0)),-1000)</f>
        <v>-1000</v>
      </c>
      <c r="BT138">
        <f>IF(AND(CROQUIS!$C$88=1,CROQUIS!$C$91=0,CROQUIS!$C$133&gt;0,OR(CROQUIS!$C$104=1,CROQUIS!$C$145=1)),((CROQUIS!$C$160+(IF(CROQUIS!$C$92="X",CHOOSE(IF(INT(($A138-1)/5)&gt;MAX((MAX(1,INT(((CROQUIS!$C$98)-CROQUIS!$C$107)/MAX((CROQUIS!$C$133*MAX(1,CEILING((INT(((CROQUIS!$C$98)-CROQUIS!$C$107)/MAX(CROQUIS!$C$133,1))+1)/80,1))),1))+1))-1,0),0,MOD($A138-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BU1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CROQUIS!$C$97,CROQUIS!$C$97-CROQUIS!$C$107/2-CROQUIS!$C$143,IF(CROQUIS!$C$104=1,CROQUIS!$C$97+12,CROQUIS!$C$97-2),CROQUIS!$C$97-CROQUIS!$C$107/2-CROQUIS!$C$143,CROQUIS!$C$97)))*CROQUIS!$C$159)+IF(CROQUIS!$C$92="X",0.8,0)),-1000)</f>
        <v>-1000</v>
      </c>
      <c r="BV1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HOOSE(IF(INT(($A138-1)/5)&gt;MAX((MAX(1,INT(((CROQUIS!$C$97)-CROQUIS!$C$107)/MAX((CROQUIS!$C$141*MAX(1,CEILING((INT(((CROQUIS!$C$97)-CROQUIS!$C$107)/MAX(CROQUIS!$C$141,1))+1)/80,1))),1))+1))-1,0),0,MOD($A138-1,5))+1,0,IF(CROQUIS!$C$105=1,-12,2),CROQUIS!$C$107/2+CROQUIS!$C$144,IF(CROQUIS!$C$105=1,-12,2),0)))*CROQUIS!$C$159)+IF(CROQUIS!$C$92="X",0.8,0)),-1000)</f>
        <v>-1000</v>
      </c>
      <c r="BW138">
        <f>IF(AND(CROQUIS!$C$88=1,CROQUIS!$C$91=0,CROQUIS!$C$141&gt;0,OR(CROQUIS!$C$105=1,CROQUIS!$C$146=1)),((CROQUIS!$C$161+(IF(CROQUIS!$C$92="X",CHOOSE(IF(INT(($A138-1)/5)&gt;MAX((MAX(1,INT(((CROQUIS!$C$97)-CROQUIS!$C$107)/MAX((CROQUIS!$C$141*MAX(1,CEILING((INT(((CROQUIS!$C$97)-CROQUIS!$C$107)/MAX(CROQUIS!$C$141,1))+1)/80,1))),1))+1))-1,0),0,MOD($A138-1,5))+1,0,IF(CROQUIS!$C$105=1,-12,2),CROQUIS!$C$107/2+CROQUIS!$C$144,IF(CROQUIS!$C$105=1,-12,2),0),((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ROQUIS!$C$159)+IF(CROQUIS!$C$92="X",0,0.8)),-1000)</f>
        <v>-1000</v>
      </c>
      <c r="BX1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HOOSE(IF(INT(($A138-1)/5)&gt;MAX((MAX(1,INT(((CROQUIS!$C$97)-CROQUIS!$C$107)/MAX((CROQUIS!$C$141*MAX(1,CEILING((INT(((CROQUIS!$C$97)-CROQUIS!$C$107)/MAX(CROQUIS!$C$141,1))+1)/80,1))),1))+1))-1,0),0,MOD($A138-1,5))+1,CROQUIS!$C$98,CROQUIS!$C$98-CROQUIS!$C$107/2-CROQUIS!$C$144,IF(CROQUIS!$C$106=1,CROQUIS!$C$98+12,CROQUIS!$C$98-2),CROQUIS!$C$98-CROQUIS!$C$107/2-CROQUIS!$C$144,CROQUIS!$C$98)))*CROQUIS!$C$159)+IF(CROQUIS!$C$92="X",0.8,0)),-1000)</f>
        <v>-1000</v>
      </c>
      <c r="BY138">
        <f>IF(AND(CROQUIS!$C$88=1,CROQUIS!$C$91=0,CROQUIS!$C$141&gt;0,OR(CROQUIS!$C$106=1,CROQUIS!$C$146=1)),((CROQUIS!$C$161+(IF(CROQUIS!$C$92="X",CHOOSE(IF(INT(($A138-1)/5)&gt;MAX((MAX(1,INT(((CROQUIS!$C$97)-CROQUIS!$C$107)/MAX((CROQUIS!$C$141*MAX(1,CEILING((INT(((CROQUIS!$C$97)-CROQUIS!$C$107)/MAX(CROQUIS!$C$141,1))+1)/80,1))),1))+1))-1,0),0,MOD($A138-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ROQUIS!$C$159)+IF(CROQUIS!$C$92="X",0,0.8)),-1000)</f>
        <v>-1000</v>
      </c>
      <c r="BZ138">
        <f>IF(AND(CROQUIS!$C$88=1,CROQUIS!$C$91=1,CROQUIS!$C$133&gt;0),((CROQUIS!$C$160+(IF(CROQUIS!$C$92="X",CHOOSE(IF(INT(($A138-1)/5)&gt;MAX((MAX(1,INT(((CROQUIS!$C$98)-CROQUIS!$C$107)/MAX((CROQUIS!$C$133*MAX(1,CEILING((INT(((CROQUIS!$C$98)-CROQUIS!$C$107)/MAX(CROQUIS!$C$133,1))+1)/80,1))),1))+1))-1,0),0,MOD($A138-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CA138">
        <f>IF(AND(CROQUIS!$C$88=1,CROQUIS!$C$91=1,CROQUIS!$C$133&gt;0),((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9">
      <c r="A139" t="n">
        <v>132</v>
      </c>
      <c r="BN139">
        <f>IF(AND(CROQUIS!$C$88=1,CROQUIS!$C$129&gt;0),((CROQUIS!$C$160+(IF(CROQUIS!$C$92="X",CHOOSE(IF(INT(($A139-1)/5)&gt;MAX((MAX(1,INT(((CROQUIS!$C$98)-CROQUIS!$C$107)/MAX((CROQUIS!$C$129*MAX(1,CEILING((INT(((CROQUIS!$C$98)-CROQUIS!$C$107)/MAX(CROQUIS!$C$129,1))+1)/80,1))),1))+1))-1,0),0,MOD($A139-1,5))+1,0,2,CROQUIS!$C$97-2,2,0),((CROQUIS!$C$107/2+(((CROQUIS!$C$98)-CROQUIS!$C$107)-(MAX(1,INT(((CROQUIS!$C$98)-CROQUIS!$C$107)/MAX((CROQUIS!$C$129*MAX(1,CEILING((INT(((CROQUIS!$C$98)-CROQUIS!$C$107)/MAX(CROQUIS!$C$129,1))+1)/80,1))),1))+1)-1)*(CROQUIS!$C$129*MAX(1,CEILING((INT(((CROQUIS!$C$98)-CROQUIS!$C$107)/MAX(CROQUIS!$C$129,1))+1)/80,1))))/2)+MIN(INT(($A139-1)/5),MAX((MAX(1,INT(((CROQUIS!$C$98)-CROQUIS!$C$107)/MAX((CROQUIS!$C$129*MAX(1,CEILING((INT(((CROQUIS!$C$98)-CROQUIS!$C$107)/MAX(CROQUIS!$C$129,1))+1)/80,1))),1))+1))-1,0))*(CROQUIS!$C$129*MAX(1,CEILING((INT(((CROQUIS!$C$98)-CROQUIS!$C$107)/MAX(CROQUIS!$C$129,1))+1)/80,1))))))*CROQUIS!$C$159)+IF(CROQUIS!$C$92="X",0,0)),-1000)</f>
        <v>-1000</v>
      </c>
      <c r="BO139">
        <f>IF(AND(CROQUIS!$C$88=1,CROQUIS!$C$129&gt;0),((CROQUIS!$C$161+(IF(CROQUIS!$C$92="X",((CROQUIS!$C$107/2+(((CROQUIS!$C$98)-CROQUIS!$C$107)-(MAX(1,INT(((CROQUIS!$C$98)-CROQUIS!$C$107)/MAX((CROQUIS!$C$129*MAX(1,CEILING((INT(((CROQUIS!$C$98)-CROQUIS!$C$107)/MAX(CROQUIS!$C$129,1))+1)/80,1))),1))+1)-1)*(CROQUIS!$C$129*MAX(1,CEILING((INT(((CROQUIS!$C$98)-CROQUIS!$C$107)/MAX(CROQUIS!$C$129,1))+1)/80,1))))/2)+MIN(INT(($A139-1)/5),MAX((MAX(1,INT(((CROQUIS!$C$98)-CROQUIS!$C$107)/MAX((CROQUIS!$C$129*MAX(1,CEILING((INT(((CROQUIS!$C$98)-CROQUIS!$C$107)/MAX(CROQUIS!$C$129,1))+1)/80,1))),1))+1))-1,0))*(CROQUIS!$C$129*MAX(1,CEILING((INT(((CROQUIS!$C$98)-CROQUIS!$C$107)/MAX(CROQUIS!$C$129,1))+1)/80,1)))),CHOOSE(IF(INT(($A139-1)/5)&gt;MAX((MAX(1,INT(((CROQUIS!$C$98)-CROQUIS!$C$107)/MAX((CROQUIS!$C$129*MAX(1,CEILING((INT(((CROQUIS!$C$98)-CROQUIS!$C$107)/MAX(CROQUIS!$C$129,1))+1)/80,1))),1))+1))-1,0),0,MOD($A139-1,5))+1,0,2,CROQUIS!$C$97-2,2,0)))*CROQUIS!$C$159)+IF(CROQUIS!$C$92="X",0,0)),-1000)</f>
        <v>-1000</v>
      </c>
      <c r="BP139">
        <f>IF(AND(CROQUIS!$C$88=1,CROQUIS!$C$137&gt;0),((CROQUIS!$C$160+(IF(CROQUIS!$C$92="X",((CROQUIS!$C$107/2+(((CROQUIS!$C$97)-CROQUIS!$C$107)-(MAX(1,INT(((CROQUIS!$C$97)-CROQUIS!$C$107)/MAX((CROQUIS!$C$137*MAX(1,CEILING((INT(((CROQUIS!$C$97)-CROQUIS!$C$107)/MAX(CROQUIS!$C$137,1))+1)/80,1))),1))+1)-1)*(CROQUIS!$C$137*MAX(1,CEILING((INT(((CROQUIS!$C$97)-CROQUIS!$C$107)/MAX(CROQUIS!$C$137,1))+1)/80,1))))/2)+MIN(INT(($A139-1)/5),MAX((MAX(1,INT(((CROQUIS!$C$97)-CROQUIS!$C$107)/MAX((CROQUIS!$C$137*MAX(1,CEILING((INT(((CROQUIS!$C$97)-CROQUIS!$C$107)/MAX(CROQUIS!$C$137,1))+1)/80,1))),1))+1))-1,0))*(CROQUIS!$C$137*MAX(1,CEILING((INT(((CROQUIS!$C$97)-CROQUIS!$C$107)/MAX(CROQUIS!$C$137,1))+1)/80,1)))),CHOOSE(IF(INT(($A139-1)/5)&gt;MAX((MAX(1,INT(((CROQUIS!$C$97)-CROQUIS!$C$107)/MAX((CROQUIS!$C$137*MAX(1,CEILING((INT(((CROQUIS!$C$97)-CROQUIS!$C$107)/MAX(CROQUIS!$C$137,1))+1)/80,1))),1))+1))-1,0),0,MOD($A139-1,5))+1,0,2,CROQUIS!$C$98-2,2,0)))*CROQUIS!$C$159)+IF(CROQUIS!$C$92="X",0,0)),-1000)</f>
        <v>-1000</v>
      </c>
      <c r="BQ139">
        <f>IF(AND(CROQUIS!$C$88=1,CROQUIS!$C$137&gt;0),((CROQUIS!$C$161+(IF(CROQUIS!$C$92="X",CHOOSE(IF(INT(($A139-1)/5)&gt;MAX((MAX(1,INT(((CROQUIS!$C$97)-CROQUIS!$C$107)/MAX((CROQUIS!$C$137*MAX(1,CEILING((INT(((CROQUIS!$C$97)-CROQUIS!$C$107)/MAX(CROQUIS!$C$137,1))+1)/80,1))),1))+1))-1,0),0,MOD($A139-1,5))+1,0,2,CROQUIS!$C$98-2,2,0),((CROQUIS!$C$107/2+(((CROQUIS!$C$97)-CROQUIS!$C$107)-(MAX(1,INT(((CROQUIS!$C$97)-CROQUIS!$C$107)/MAX((CROQUIS!$C$137*MAX(1,CEILING((INT(((CROQUIS!$C$97)-CROQUIS!$C$107)/MAX(CROQUIS!$C$137,1))+1)/80,1))),1))+1)-1)*(CROQUIS!$C$137*MAX(1,CEILING((INT(((CROQUIS!$C$97)-CROQUIS!$C$107)/MAX(CROQUIS!$C$137,1))+1)/80,1))))/2)+MIN(INT(($A139-1)/5),MAX((MAX(1,INT(((CROQUIS!$C$97)-CROQUIS!$C$107)/MAX((CROQUIS!$C$137*MAX(1,CEILING((INT(((CROQUIS!$C$97)-CROQUIS!$C$107)/MAX(CROQUIS!$C$137,1))+1)/80,1))),1))+1))-1,0))*(CROQUIS!$C$137*MAX(1,CEILING((INT(((CROQUIS!$C$97)-CROQUIS!$C$107)/MAX(CROQUIS!$C$137,1))+1)/80,1))))))*CROQUIS!$C$159)+IF(CROQUIS!$C$92="X",0,0)),-1000)</f>
        <v>-1000</v>
      </c>
      <c r="BR139">
        <f>IF(AND(CROQUIS!$C$88=1,CROQUIS!$C$91=0,CROQUIS!$C$133&gt;0,OR(CROQUIS!$C$103=1,CROQUIS!$C$145=1)),((CROQUIS!$C$160+(IF(CROQUIS!$C$92="X",CHOOSE(IF(INT(($A139-1)/5)&gt;MAX((MAX(1,INT(((CROQUIS!$C$98)-CROQUIS!$C$107)/MAX((CROQUIS!$C$133*MAX(1,CEILING((INT(((CROQUIS!$C$98)-CROQUIS!$C$107)/MAX(CROQUIS!$C$133,1))+1)/80,1))),1))+1))-1,0),0,MOD($A139-1,5))+1,0,IF(CROQUIS!$C$103=1,-12,2),CROQUIS!$C$107/2+CROQUIS!$C$143,IF(CROQUIS!$C$103=1,-12,2),0),((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BS1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+1,0,IF(CROQUIS!$C$103=1,-12,2),CROQUIS!$C$107/2+CROQUIS!$C$143,IF(CROQUIS!$C$103=1,-12,2),0)))*CROQUIS!$C$159)+IF(CROQUIS!$C$92="X",0.8,0)),-1000)</f>
        <v>-1000</v>
      </c>
      <c r="BT139">
        <f>IF(AND(CROQUIS!$C$88=1,CROQUIS!$C$91=0,CROQUIS!$C$133&gt;0,OR(CROQUIS!$C$104=1,CROQUIS!$C$145=1)),((CROQUIS!$C$160+(IF(CROQUIS!$C$92="X",CHOOSE(IF(INT(($A139-1)/5)&gt;MAX((MAX(1,INT(((CROQUIS!$C$98)-CROQUIS!$C$107)/MAX((CROQUIS!$C$133*MAX(1,CEILING((INT(((CROQUIS!$C$98)-CROQUIS!$C$107)/MAX(CROQUIS!$C$133,1))+1)/80,1))),1))+1))-1,0),0,MOD($A139-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BU1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CROQUIS!$C$97,CROQUIS!$C$97-CROQUIS!$C$107/2-CROQUIS!$C$143,IF(CROQUIS!$C$104=1,CROQUIS!$C$97+12,CROQUIS!$C$97-2),CROQUIS!$C$97-CROQUIS!$C$107/2-CROQUIS!$C$143,CROQUIS!$C$97)))*CROQUIS!$C$159)+IF(CROQUIS!$C$92="X",0.8,0)),-1000)</f>
        <v>-1000</v>
      </c>
      <c r="BV1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HOOSE(IF(INT(($A139-1)/5)&gt;MAX((MAX(1,INT(((CROQUIS!$C$97)-CROQUIS!$C$107)/MAX((CROQUIS!$C$141*MAX(1,CEILING((INT(((CROQUIS!$C$97)-CROQUIS!$C$107)/MAX(CROQUIS!$C$141,1))+1)/80,1))),1))+1))-1,0),0,MOD($A139-1,5))+1,0,IF(CROQUIS!$C$105=1,-12,2),CROQUIS!$C$107/2+CROQUIS!$C$144,IF(CROQUIS!$C$105=1,-12,2),0)))*CROQUIS!$C$159)+IF(CROQUIS!$C$92="X",0.8,0)),-1000)</f>
        <v>-1000</v>
      </c>
      <c r="BW139">
        <f>IF(AND(CROQUIS!$C$88=1,CROQUIS!$C$91=0,CROQUIS!$C$141&gt;0,OR(CROQUIS!$C$105=1,CROQUIS!$C$146=1)),((CROQUIS!$C$161+(IF(CROQUIS!$C$92="X",CHOOSE(IF(INT(($A139-1)/5)&gt;MAX((MAX(1,INT(((CROQUIS!$C$97)-CROQUIS!$C$107)/MAX((CROQUIS!$C$141*MAX(1,CEILING((INT(((CROQUIS!$C$97)-CROQUIS!$C$107)/MAX(CROQUIS!$C$141,1))+1)/80,1))),1))+1))-1,0),0,MOD($A139-1,5))+1,0,IF(CROQUIS!$C$105=1,-12,2),CROQUIS!$C$107/2+CROQUIS!$C$144,IF(CROQUIS!$C$105=1,-12,2),0),((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ROQUIS!$C$159)+IF(CROQUIS!$C$92="X",0,0.8)),-1000)</f>
        <v>-1000</v>
      </c>
      <c r="BX1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HOOSE(IF(INT(($A139-1)/5)&gt;MAX((MAX(1,INT(((CROQUIS!$C$97)-CROQUIS!$C$107)/MAX((CROQUIS!$C$141*MAX(1,CEILING((INT(((CROQUIS!$C$97)-CROQUIS!$C$107)/MAX(CROQUIS!$C$141,1))+1)/80,1))),1))+1))-1,0),0,MOD($A139-1,5))+1,CROQUIS!$C$98,CROQUIS!$C$98-CROQUIS!$C$107/2-CROQUIS!$C$144,IF(CROQUIS!$C$106=1,CROQUIS!$C$98+12,CROQUIS!$C$98-2),CROQUIS!$C$98-CROQUIS!$C$107/2-CROQUIS!$C$144,CROQUIS!$C$98)))*CROQUIS!$C$159)+IF(CROQUIS!$C$92="X",0.8,0)),-1000)</f>
        <v>-1000</v>
      </c>
      <c r="BY139">
        <f>IF(AND(CROQUIS!$C$88=1,CROQUIS!$C$91=0,CROQUIS!$C$141&gt;0,OR(CROQUIS!$C$106=1,CROQUIS!$C$146=1)),((CROQUIS!$C$161+(IF(CROQUIS!$C$92="X",CHOOSE(IF(INT(($A139-1)/5)&gt;MAX((MAX(1,INT(((CROQUIS!$C$97)-CROQUIS!$C$107)/MAX((CROQUIS!$C$141*MAX(1,CEILING((INT(((CROQUIS!$C$97)-CROQUIS!$C$107)/MAX(CROQUIS!$C$141,1))+1)/80,1))),1))+1))-1,0),0,MOD($A139-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ROQUIS!$C$159)+IF(CROQUIS!$C$92="X",0,0.8)),-1000)</f>
        <v>-1000</v>
      </c>
      <c r="BZ139">
        <f>IF(AND(CROQUIS!$C$88=1,CROQUIS!$C$91=1,CROQUIS!$C$133&gt;0),((CROQUIS!$C$160+(IF(CROQUIS!$C$92="X",CHOOSE(IF(INT(($A139-1)/5)&gt;MAX((MAX(1,INT(((CROQUIS!$C$98)-CROQUIS!$C$107)/MAX((CROQUIS!$C$133*MAX(1,CEILING((INT(((CROQUIS!$C$98)-CROQUIS!$C$107)/MAX(CROQUIS!$C$133,1))+1)/80,1))),1))+1))-1,0),0,MOD($A139-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CA139">
        <f>IF(AND(CROQUIS!$C$88=1,CROQUIS!$C$91=1,CROQUIS!$C$133&gt;0),((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0">
      <c r="A140" t="n">
        <v>133</v>
      </c>
      <c r="BN140">
        <f>IF(AND(CROQUIS!$C$88=1,CROQUIS!$C$129&gt;0),((CROQUIS!$C$160+(IF(CROQUIS!$C$92="X",CHOOSE(IF(INT(($A140-1)/5)&gt;MAX((MAX(1,INT(((CROQUIS!$C$98)-CROQUIS!$C$107)/MAX((CROQUIS!$C$129*MAX(1,CEILING((INT(((CROQUIS!$C$98)-CROQUIS!$C$107)/MAX(CROQUIS!$C$129,1))+1)/80,1))),1))+1))-1,0),0,MOD($A140-1,5))+1,0,2,CROQUIS!$C$97-2,2,0),((CROQUIS!$C$107/2+(((CROQUIS!$C$98)-CROQUIS!$C$107)-(MAX(1,INT(((CROQUIS!$C$98)-CROQUIS!$C$107)/MAX((CROQUIS!$C$129*MAX(1,CEILING((INT(((CROQUIS!$C$98)-CROQUIS!$C$107)/MAX(CROQUIS!$C$129,1))+1)/80,1))),1))+1)-1)*(CROQUIS!$C$129*MAX(1,CEILING((INT(((CROQUIS!$C$98)-CROQUIS!$C$107)/MAX(CROQUIS!$C$129,1))+1)/80,1))))/2)+MIN(INT(($A140-1)/5),MAX((MAX(1,INT(((CROQUIS!$C$98)-CROQUIS!$C$107)/MAX((CROQUIS!$C$129*MAX(1,CEILING((INT(((CROQUIS!$C$98)-CROQUIS!$C$107)/MAX(CROQUIS!$C$129,1))+1)/80,1))),1))+1))-1,0))*(CROQUIS!$C$129*MAX(1,CEILING((INT(((CROQUIS!$C$98)-CROQUIS!$C$107)/MAX(CROQUIS!$C$129,1))+1)/80,1))))))*CROQUIS!$C$159)+IF(CROQUIS!$C$92="X",0,0)),-1000)</f>
        <v>-1000</v>
      </c>
      <c r="BO140">
        <f>IF(AND(CROQUIS!$C$88=1,CROQUIS!$C$129&gt;0),((CROQUIS!$C$161+(IF(CROQUIS!$C$92="X",((CROQUIS!$C$107/2+(((CROQUIS!$C$98)-CROQUIS!$C$107)-(MAX(1,INT(((CROQUIS!$C$98)-CROQUIS!$C$107)/MAX((CROQUIS!$C$129*MAX(1,CEILING((INT(((CROQUIS!$C$98)-CROQUIS!$C$107)/MAX(CROQUIS!$C$129,1))+1)/80,1))),1))+1)-1)*(CROQUIS!$C$129*MAX(1,CEILING((INT(((CROQUIS!$C$98)-CROQUIS!$C$107)/MAX(CROQUIS!$C$129,1))+1)/80,1))))/2)+MIN(INT(($A140-1)/5),MAX((MAX(1,INT(((CROQUIS!$C$98)-CROQUIS!$C$107)/MAX((CROQUIS!$C$129*MAX(1,CEILING((INT(((CROQUIS!$C$98)-CROQUIS!$C$107)/MAX(CROQUIS!$C$129,1))+1)/80,1))),1))+1))-1,0))*(CROQUIS!$C$129*MAX(1,CEILING((INT(((CROQUIS!$C$98)-CROQUIS!$C$107)/MAX(CROQUIS!$C$129,1))+1)/80,1)))),CHOOSE(IF(INT(($A140-1)/5)&gt;MAX((MAX(1,INT(((CROQUIS!$C$98)-CROQUIS!$C$107)/MAX((CROQUIS!$C$129*MAX(1,CEILING((INT(((CROQUIS!$C$98)-CROQUIS!$C$107)/MAX(CROQUIS!$C$129,1))+1)/80,1))),1))+1))-1,0),0,MOD($A140-1,5))+1,0,2,CROQUIS!$C$97-2,2,0)))*CROQUIS!$C$159)+IF(CROQUIS!$C$92="X",0,0)),-1000)</f>
        <v>-1000</v>
      </c>
      <c r="BP140">
        <f>IF(AND(CROQUIS!$C$88=1,CROQUIS!$C$137&gt;0),((CROQUIS!$C$160+(IF(CROQUIS!$C$92="X",((CROQUIS!$C$107/2+(((CROQUIS!$C$97)-CROQUIS!$C$107)-(MAX(1,INT(((CROQUIS!$C$97)-CROQUIS!$C$107)/MAX((CROQUIS!$C$137*MAX(1,CEILING((INT(((CROQUIS!$C$97)-CROQUIS!$C$107)/MAX(CROQUIS!$C$137,1))+1)/80,1))),1))+1)-1)*(CROQUIS!$C$137*MAX(1,CEILING((INT(((CROQUIS!$C$97)-CROQUIS!$C$107)/MAX(CROQUIS!$C$137,1))+1)/80,1))))/2)+MIN(INT(($A140-1)/5),MAX((MAX(1,INT(((CROQUIS!$C$97)-CROQUIS!$C$107)/MAX((CROQUIS!$C$137*MAX(1,CEILING((INT(((CROQUIS!$C$97)-CROQUIS!$C$107)/MAX(CROQUIS!$C$137,1))+1)/80,1))),1))+1))-1,0))*(CROQUIS!$C$137*MAX(1,CEILING((INT(((CROQUIS!$C$97)-CROQUIS!$C$107)/MAX(CROQUIS!$C$137,1))+1)/80,1)))),CHOOSE(IF(INT(($A140-1)/5)&gt;MAX((MAX(1,INT(((CROQUIS!$C$97)-CROQUIS!$C$107)/MAX((CROQUIS!$C$137*MAX(1,CEILING((INT(((CROQUIS!$C$97)-CROQUIS!$C$107)/MAX(CROQUIS!$C$137,1))+1)/80,1))),1))+1))-1,0),0,MOD($A140-1,5))+1,0,2,CROQUIS!$C$98-2,2,0)))*CROQUIS!$C$159)+IF(CROQUIS!$C$92="X",0,0)),-1000)</f>
        <v>-1000</v>
      </c>
      <c r="BQ140">
        <f>IF(AND(CROQUIS!$C$88=1,CROQUIS!$C$137&gt;0),((CROQUIS!$C$161+(IF(CROQUIS!$C$92="X",CHOOSE(IF(INT(($A140-1)/5)&gt;MAX((MAX(1,INT(((CROQUIS!$C$97)-CROQUIS!$C$107)/MAX((CROQUIS!$C$137*MAX(1,CEILING((INT(((CROQUIS!$C$97)-CROQUIS!$C$107)/MAX(CROQUIS!$C$137,1))+1)/80,1))),1))+1))-1,0),0,MOD($A140-1,5))+1,0,2,CROQUIS!$C$98-2,2,0),((CROQUIS!$C$107/2+(((CROQUIS!$C$97)-CROQUIS!$C$107)-(MAX(1,INT(((CROQUIS!$C$97)-CROQUIS!$C$107)/MAX((CROQUIS!$C$137*MAX(1,CEILING((INT(((CROQUIS!$C$97)-CROQUIS!$C$107)/MAX(CROQUIS!$C$137,1))+1)/80,1))),1))+1)-1)*(CROQUIS!$C$137*MAX(1,CEILING((INT(((CROQUIS!$C$97)-CROQUIS!$C$107)/MAX(CROQUIS!$C$137,1))+1)/80,1))))/2)+MIN(INT(($A140-1)/5),MAX((MAX(1,INT(((CROQUIS!$C$97)-CROQUIS!$C$107)/MAX((CROQUIS!$C$137*MAX(1,CEILING((INT(((CROQUIS!$C$97)-CROQUIS!$C$107)/MAX(CROQUIS!$C$137,1))+1)/80,1))),1))+1))-1,0))*(CROQUIS!$C$137*MAX(1,CEILING((INT(((CROQUIS!$C$97)-CROQUIS!$C$107)/MAX(CROQUIS!$C$137,1))+1)/80,1))))))*CROQUIS!$C$159)+IF(CROQUIS!$C$92="X",0,0)),-1000)</f>
        <v>-1000</v>
      </c>
      <c r="BR140">
        <f>IF(AND(CROQUIS!$C$88=1,CROQUIS!$C$91=0,CROQUIS!$C$133&gt;0,OR(CROQUIS!$C$103=1,CROQUIS!$C$145=1)),((CROQUIS!$C$160+(IF(CROQUIS!$C$92="X",CHOOSE(IF(INT(($A140-1)/5)&gt;MAX((MAX(1,INT(((CROQUIS!$C$98)-CROQUIS!$C$107)/MAX((CROQUIS!$C$133*MAX(1,CEILING((INT(((CROQUIS!$C$98)-CROQUIS!$C$107)/MAX(CROQUIS!$C$133,1))+1)/80,1))),1))+1))-1,0),0,MOD($A140-1,5))+1,0,IF(CROQUIS!$C$103=1,-12,2),CROQUIS!$C$107/2+CROQUIS!$C$143,IF(CROQUIS!$C$103=1,-12,2),0),((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BS1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+1,0,IF(CROQUIS!$C$103=1,-12,2),CROQUIS!$C$107/2+CROQUIS!$C$143,IF(CROQUIS!$C$103=1,-12,2),0)))*CROQUIS!$C$159)+IF(CROQUIS!$C$92="X",0.8,0)),-1000)</f>
        <v>-1000</v>
      </c>
      <c r="BT140">
        <f>IF(AND(CROQUIS!$C$88=1,CROQUIS!$C$91=0,CROQUIS!$C$133&gt;0,OR(CROQUIS!$C$104=1,CROQUIS!$C$145=1)),((CROQUIS!$C$160+(IF(CROQUIS!$C$92="X",CHOOSE(IF(INT(($A140-1)/5)&gt;MAX((MAX(1,INT(((CROQUIS!$C$98)-CROQUIS!$C$107)/MAX((CROQUIS!$C$133*MAX(1,CEILING((INT(((CROQUIS!$C$98)-CROQUIS!$C$107)/MAX(CROQUIS!$C$133,1))+1)/80,1))),1))+1))-1,0),0,MOD($A140-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BU1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CROQUIS!$C$97,CROQUIS!$C$97-CROQUIS!$C$107/2-CROQUIS!$C$143,IF(CROQUIS!$C$104=1,CROQUIS!$C$97+12,CROQUIS!$C$97-2),CROQUIS!$C$97-CROQUIS!$C$107/2-CROQUIS!$C$143,CROQUIS!$C$97)))*CROQUIS!$C$159)+IF(CROQUIS!$C$92="X",0.8,0)),-1000)</f>
        <v>-1000</v>
      </c>
      <c r="BV1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HOOSE(IF(INT(($A140-1)/5)&gt;MAX((MAX(1,INT(((CROQUIS!$C$97)-CROQUIS!$C$107)/MAX((CROQUIS!$C$141*MAX(1,CEILING((INT(((CROQUIS!$C$97)-CROQUIS!$C$107)/MAX(CROQUIS!$C$141,1))+1)/80,1))),1))+1))-1,0),0,MOD($A140-1,5))+1,0,IF(CROQUIS!$C$105=1,-12,2),CROQUIS!$C$107/2+CROQUIS!$C$144,IF(CROQUIS!$C$105=1,-12,2),0)))*CROQUIS!$C$159)+IF(CROQUIS!$C$92="X",0.8,0)),-1000)</f>
        <v>-1000</v>
      </c>
      <c r="BW140">
        <f>IF(AND(CROQUIS!$C$88=1,CROQUIS!$C$91=0,CROQUIS!$C$141&gt;0,OR(CROQUIS!$C$105=1,CROQUIS!$C$146=1)),((CROQUIS!$C$161+(IF(CROQUIS!$C$92="X",CHOOSE(IF(INT(($A140-1)/5)&gt;MAX((MAX(1,INT(((CROQUIS!$C$97)-CROQUIS!$C$107)/MAX((CROQUIS!$C$141*MAX(1,CEILING((INT(((CROQUIS!$C$97)-CROQUIS!$C$107)/MAX(CROQUIS!$C$141,1))+1)/80,1))),1))+1))-1,0),0,MOD($A140-1,5))+1,0,IF(CROQUIS!$C$105=1,-12,2),CROQUIS!$C$107/2+CROQUIS!$C$144,IF(CROQUIS!$C$105=1,-12,2),0),((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ROQUIS!$C$159)+IF(CROQUIS!$C$92="X",0,0.8)),-1000)</f>
        <v>-1000</v>
      </c>
      <c r="BX1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HOOSE(IF(INT(($A140-1)/5)&gt;MAX((MAX(1,INT(((CROQUIS!$C$97)-CROQUIS!$C$107)/MAX((CROQUIS!$C$141*MAX(1,CEILING((INT(((CROQUIS!$C$97)-CROQUIS!$C$107)/MAX(CROQUIS!$C$141,1))+1)/80,1))),1))+1))-1,0),0,MOD($A140-1,5))+1,CROQUIS!$C$98,CROQUIS!$C$98-CROQUIS!$C$107/2-CROQUIS!$C$144,IF(CROQUIS!$C$106=1,CROQUIS!$C$98+12,CROQUIS!$C$98-2),CROQUIS!$C$98-CROQUIS!$C$107/2-CROQUIS!$C$144,CROQUIS!$C$98)))*CROQUIS!$C$159)+IF(CROQUIS!$C$92="X",0.8,0)),-1000)</f>
        <v>-1000</v>
      </c>
      <c r="BY140">
        <f>IF(AND(CROQUIS!$C$88=1,CROQUIS!$C$91=0,CROQUIS!$C$141&gt;0,OR(CROQUIS!$C$106=1,CROQUIS!$C$146=1)),((CROQUIS!$C$161+(IF(CROQUIS!$C$92="X",CHOOSE(IF(INT(($A140-1)/5)&gt;MAX((MAX(1,INT(((CROQUIS!$C$97)-CROQUIS!$C$107)/MAX((CROQUIS!$C$141*MAX(1,CEILING((INT(((CROQUIS!$C$97)-CROQUIS!$C$107)/MAX(CROQUIS!$C$141,1))+1)/80,1))),1))+1))-1,0),0,MOD($A140-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ROQUIS!$C$159)+IF(CROQUIS!$C$92="X",0,0.8)),-1000)</f>
        <v>-1000</v>
      </c>
      <c r="BZ140">
        <f>IF(AND(CROQUIS!$C$88=1,CROQUIS!$C$91=1,CROQUIS!$C$133&gt;0),((CROQUIS!$C$160+(IF(CROQUIS!$C$92="X",CHOOSE(IF(INT(($A140-1)/5)&gt;MAX((MAX(1,INT(((CROQUIS!$C$98)-CROQUIS!$C$107)/MAX((CROQUIS!$C$133*MAX(1,CEILING((INT(((CROQUIS!$C$98)-CROQUIS!$C$107)/MAX(CROQUIS!$C$133,1))+1)/80,1))),1))+1))-1,0),0,MOD($A140-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CA140">
        <f>IF(AND(CROQUIS!$C$88=1,CROQUIS!$C$91=1,CROQUIS!$C$133&gt;0),((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1">
      <c r="A141" t="n">
        <v>134</v>
      </c>
      <c r="BN141">
        <f>IF(AND(CROQUIS!$C$88=1,CROQUIS!$C$129&gt;0),((CROQUIS!$C$160+(IF(CROQUIS!$C$92="X",CHOOSE(IF(INT(($A141-1)/5)&gt;MAX((MAX(1,INT(((CROQUIS!$C$98)-CROQUIS!$C$107)/MAX((CROQUIS!$C$129*MAX(1,CEILING((INT(((CROQUIS!$C$98)-CROQUIS!$C$107)/MAX(CROQUIS!$C$129,1))+1)/80,1))),1))+1))-1,0),0,MOD($A141-1,5))+1,0,2,CROQUIS!$C$97-2,2,0),((CROQUIS!$C$107/2+(((CROQUIS!$C$98)-CROQUIS!$C$107)-(MAX(1,INT(((CROQUIS!$C$98)-CROQUIS!$C$107)/MAX((CROQUIS!$C$129*MAX(1,CEILING((INT(((CROQUIS!$C$98)-CROQUIS!$C$107)/MAX(CROQUIS!$C$129,1))+1)/80,1))),1))+1)-1)*(CROQUIS!$C$129*MAX(1,CEILING((INT(((CROQUIS!$C$98)-CROQUIS!$C$107)/MAX(CROQUIS!$C$129,1))+1)/80,1))))/2)+MIN(INT(($A141-1)/5),MAX((MAX(1,INT(((CROQUIS!$C$98)-CROQUIS!$C$107)/MAX((CROQUIS!$C$129*MAX(1,CEILING((INT(((CROQUIS!$C$98)-CROQUIS!$C$107)/MAX(CROQUIS!$C$129,1))+1)/80,1))),1))+1))-1,0))*(CROQUIS!$C$129*MAX(1,CEILING((INT(((CROQUIS!$C$98)-CROQUIS!$C$107)/MAX(CROQUIS!$C$129,1))+1)/80,1))))))*CROQUIS!$C$159)+IF(CROQUIS!$C$92="X",0,0)),-1000)</f>
        <v>-1000</v>
      </c>
      <c r="BO141">
        <f>IF(AND(CROQUIS!$C$88=1,CROQUIS!$C$129&gt;0),((CROQUIS!$C$161+(IF(CROQUIS!$C$92="X",((CROQUIS!$C$107/2+(((CROQUIS!$C$98)-CROQUIS!$C$107)-(MAX(1,INT(((CROQUIS!$C$98)-CROQUIS!$C$107)/MAX((CROQUIS!$C$129*MAX(1,CEILING((INT(((CROQUIS!$C$98)-CROQUIS!$C$107)/MAX(CROQUIS!$C$129,1))+1)/80,1))),1))+1)-1)*(CROQUIS!$C$129*MAX(1,CEILING((INT(((CROQUIS!$C$98)-CROQUIS!$C$107)/MAX(CROQUIS!$C$129,1))+1)/80,1))))/2)+MIN(INT(($A141-1)/5),MAX((MAX(1,INT(((CROQUIS!$C$98)-CROQUIS!$C$107)/MAX((CROQUIS!$C$129*MAX(1,CEILING((INT(((CROQUIS!$C$98)-CROQUIS!$C$107)/MAX(CROQUIS!$C$129,1))+1)/80,1))),1))+1))-1,0))*(CROQUIS!$C$129*MAX(1,CEILING((INT(((CROQUIS!$C$98)-CROQUIS!$C$107)/MAX(CROQUIS!$C$129,1))+1)/80,1)))),CHOOSE(IF(INT(($A141-1)/5)&gt;MAX((MAX(1,INT(((CROQUIS!$C$98)-CROQUIS!$C$107)/MAX((CROQUIS!$C$129*MAX(1,CEILING((INT(((CROQUIS!$C$98)-CROQUIS!$C$107)/MAX(CROQUIS!$C$129,1))+1)/80,1))),1))+1))-1,0),0,MOD($A141-1,5))+1,0,2,CROQUIS!$C$97-2,2,0)))*CROQUIS!$C$159)+IF(CROQUIS!$C$92="X",0,0)),-1000)</f>
        <v>-1000</v>
      </c>
      <c r="BP141">
        <f>IF(AND(CROQUIS!$C$88=1,CROQUIS!$C$137&gt;0),((CROQUIS!$C$160+(IF(CROQUIS!$C$92="X",((CROQUIS!$C$107/2+(((CROQUIS!$C$97)-CROQUIS!$C$107)-(MAX(1,INT(((CROQUIS!$C$97)-CROQUIS!$C$107)/MAX((CROQUIS!$C$137*MAX(1,CEILING((INT(((CROQUIS!$C$97)-CROQUIS!$C$107)/MAX(CROQUIS!$C$137,1))+1)/80,1))),1))+1)-1)*(CROQUIS!$C$137*MAX(1,CEILING((INT(((CROQUIS!$C$97)-CROQUIS!$C$107)/MAX(CROQUIS!$C$137,1))+1)/80,1))))/2)+MIN(INT(($A141-1)/5),MAX((MAX(1,INT(((CROQUIS!$C$97)-CROQUIS!$C$107)/MAX((CROQUIS!$C$137*MAX(1,CEILING((INT(((CROQUIS!$C$97)-CROQUIS!$C$107)/MAX(CROQUIS!$C$137,1))+1)/80,1))),1))+1))-1,0))*(CROQUIS!$C$137*MAX(1,CEILING((INT(((CROQUIS!$C$97)-CROQUIS!$C$107)/MAX(CROQUIS!$C$137,1))+1)/80,1)))),CHOOSE(IF(INT(($A141-1)/5)&gt;MAX((MAX(1,INT(((CROQUIS!$C$97)-CROQUIS!$C$107)/MAX((CROQUIS!$C$137*MAX(1,CEILING((INT(((CROQUIS!$C$97)-CROQUIS!$C$107)/MAX(CROQUIS!$C$137,1))+1)/80,1))),1))+1))-1,0),0,MOD($A141-1,5))+1,0,2,CROQUIS!$C$98-2,2,0)))*CROQUIS!$C$159)+IF(CROQUIS!$C$92="X",0,0)),-1000)</f>
        <v>-1000</v>
      </c>
      <c r="BQ141">
        <f>IF(AND(CROQUIS!$C$88=1,CROQUIS!$C$137&gt;0),((CROQUIS!$C$161+(IF(CROQUIS!$C$92="X",CHOOSE(IF(INT(($A141-1)/5)&gt;MAX((MAX(1,INT(((CROQUIS!$C$97)-CROQUIS!$C$107)/MAX((CROQUIS!$C$137*MAX(1,CEILING((INT(((CROQUIS!$C$97)-CROQUIS!$C$107)/MAX(CROQUIS!$C$137,1))+1)/80,1))),1))+1))-1,0),0,MOD($A141-1,5))+1,0,2,CROQUIS!$C$98-2,2,0),((CROQUIS!$C$107/2+(((CROQUIS!$C$97)-CROQUIS!$C$107)-(MAX(1,INT(((CROQUIS!$C$97)-CROQUIS!$C$107)/MAX((CROQUIS!$C$137*MAX(1,CEILING((INT(((CROQUIS!$C$97)-CROQUIS!$C$107)/MAX(CROQUIS!$C$137,1))+1)/80,1))),1))+1)-1)*(CROQUIS!$C$137*MAX(1,CEILING((INT(((CROQUIS!$C$97)-CROQUIS!$C$107)/MAX(CROQUIS!$C$137,1))+1)/80,1))))/2)+MIN(INT(($A141-1)/5),MAX((MAX(1,INT(((CROQUIS!$C$97)-CROQUIS!$C$107)/MAX((CROQUIS!$C$137*MAX(1,CEILING((INT(((CROQUIS!$C$97)-CROQUIS!$C$107)/MAX(CROQUIS!$C$137,1))+1)/80,1))),1))+1))-1,0))*(CROQUIS!$C$137*MAX(1,CEILING((INT(((CROQUIS!$C$97)-CROQUIS!$C$107)/MAX(CROQUIS!$C$137,1))+1)/80,1))))))*CROQUIS!$C$159)+IF(CROQUIS!$C$92="X",0,0)),-1000)</f>
        <v>-1000</v>
      </c>
      <c r="BR141">
        <f>IF(AND(CROQUIS!$C$88=1,CROQUIS!$C$91=0,CROQUIS!$C$133&gt;0,OR(CROQUIS!$C$103=1,CROQUIS!$C$145=1)),((CROQUIS!$C$160+(IF(CROQUIS!$C$92="X",CHOOSE(IF(INT(($A141-1)/5)&gt;MAX((MAX(1,INT(((CROQUIS!$C$98)-CROQUIS!$C$107)/MAX((CROQUIS!$C$133*MAX(1,CEILING((INT(((CROQUIS!$C$98)-CROQUIS!$C$107)/MAX(CROQUIS!$C$133,1))+1)/80,1))),1))+1))-1,0),0,MOD($A141-1,5))+1,0,IF(CROQUIS!$C$103=1,-12,2),CROQUIS!$C$107/2+CROQUIS!$C$143,IF(CROQUIS!$C$103=1,-12,2),0),((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BS1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+1,0,IF(CROQUIS!$C$103=1,-12,2),CROQUIS!$C$107/2+CROQUIS!$C$143,IF(CROQUIS!$C$103=1,-12,2),0)))*CROQUIS!$C$159)+IF(CROQUIS!$C$92="X",0.8,0)),-1000)</f>
        <v>-1000</v>
      </c>
      <c r="BT141">
        <f>IF(AND(CROQUIS!$C$88=1,CROQUIS!$C$91=0,CROQUIS!$C$133&gt;0,OR(CROQUIS!$C$104=1,CROQUIS!$C$145=1)),((CROQUIS!$C$160+(IF(CROQUIS!$C$92="X",CHOOSE(IF(INT(($A141-1)/5)&gt;MAX((MAX(1,INT(((CROQUIS!$C$98)-CROQUIS!$C$107)/MAX((CROQUIS!$C$133*MAX(1,CEILING((INT(((CROQUIS!$C$98)-CROQUIS!$C$107)/MAX(CROQUIS!$C$133,1))+1)/80,1))),1))+1))-1,0),0,MOD($A141-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BU1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CROQUIS!$C$97,CROQUIS!$C$97-CROQUIS!$C$107/2-CROQUIS!$C$143,IF(CROQUIS!$C$104=1,CROQUIS!$C$97+12,CROQUIS!$C$97-2),CROQUIS!$C$97-CROQUIS!$C$107/2-CROQUIS!$C$143,CROQUIS!$C$97)))*CROQUIS!$C$159)+IF(CROQUIS!$C$92="X",0.8,0)),-1000)</f>
        <v>-1000</v>
      </c>
      <c r="BV1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HOOSE(IF(INT(($A141-1)/5)&gt;MAX((MAX(1,INT(((CROQUIS!$C$97)-CROQUIS!$C$107)/MAX((CROQUIS!$C$141*MAX(1,CEILING((INT(((CROQUIS!$C$97)-CROQUIS!$C$107)/MAX(CROQUIS!$C$141,1))+1)/80,1))),1))+1))-1,0),0,MOD($A141-1,5))+1,0,IF(CROQUIS!$C$105=1,-12,2),CROQUIS!$C$107/2+CROQUIS!$C$144,IF(CROQUIS!$C$105=1,-12,2),0)))*CROQUIS!$C$159)+IF(CROQUIS!$C$92="X",0.8,0)),-1000)</f>
        <v>-1000</v>
      </c>
      <c r="BW141">
        <f>IF(AND(CROQUIS!$C$88=1,CROQUIS!$C$91=0,CROQUIS!$C$141&gt;0,OR(CROQUIS!$C$105=1,CROQUIS!$C$146=1)),((CROQUIS!$C$161+(IF(CROQUIS!$C$92="X",CHOOSE(IF(INT(($A141-1)/5)&gt;MAX((MAX(1,INT(((CROQUIS!$C$97)-CROQUIS!$C$107)/MAX((CROQUIS!$C$141*MAX(1,CEILING((INT(((CROQUIS!$C$97)-CROQUIS!$C$107)/MAX(CROQUIS!$C$141,1))+1)/80,1))),1))+1))-1,0),0,MOD($A141-1,5))+1,0,IF(CROQUIS!$C$105=1,-12,2),CROQUIS!$C$107/2+CROQUIS!$C$144,IF(CROQUIS!$C$105=1,-12,2),0),((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ROQUIS!$C$159)+IF(CROQUIS!$C$92="X",0,0.8)),-1000)</f>
        <v>-1000</v>
      </c>
      <c r="BX1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HOOSE(IF(INT(($A141-1)/5)&gt;MAX((MAX(1,INT(((CROQUIS!$C$97)-CROQUIS!$C$107)/MAX((CROQUIS!$C$141*MAX(1,CEILING((INT(((CROQUIS!$C$97)-CROQUIS!$C$107)/MAX(CROQUIS!$C$141,1))+1)/80,1))),1))+1))-1,0),0,MOD($A141-1,5))+1,CROQUIS!$C$98,CROQUIS!$C$98-CROQUIS!$C$107/2-CROQUIS!$C$144,IF(CROQUIS!$C$106=1,CROQUIS!$C$98+12,CROQUIS!$C$98-2),CROQUIS!$C$98-CROQUIS!$C$107/2-CROQUIS!$C$144,CROQUIS!$C$98)))*CROQUIS!$C$159)+IF(CROQUIS!$C$92="X",0.8,0)),-1000)</f>
        <v>-1000</v>
      </c>
      <c r="BY141">
        <f>IF(AND(CROQUIS!$C$88=1,CROQUIS!$C$91=0,CROQUIS!$C$141&gt;0,OR(CROQUIS!$C$106=1,CROQUIS!$C$146=1)),((CROQUIS!$C$161+(IF(CROQUIS!$C$92="X",CHOOSE(IF(INT(($A141-1)/5)&gt;MAX((MAX(1,INT(((CROQUIS!$C$97)-CROQUIS!$C$107)/MAX((CROQUIS!$C$141*MAX(1,CEILING((INT(((CROQUIS!$C$97)-CROQUIS!$C$107)/MAX(CROQUIS!$C$141,1))+1)/80,1))),1))+1))-1,0),0,MOD($A141-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ROQUIS!$C$159)+IF(CROQUIS!$C$92="X",0,0.8)),-1000)</f>
        <v>-1000</v>
      </c>
      <c r="BZ141">
        <f>IF(AND(CROQUIS!$C$88=1,CROQUIS!$C$91=1,CROQUIS!$C$133&gt;0),((CROQUIS!$C$160+(IF(CROQUIS!$C$92="X",CHOOSE(IF(INT(($A141-1)/5)&gt;MAX((MAX(1,INT(((CROQUIS!$C$98)-CROQUIS!$C$107)/MAX((CROQUIS!$C$133*MAX(1,CEILING((INT(((CROQUIS!$C$98)-CROQUIS!$C$107)/MAX(CROQUIS!$C$133,1))+1)/80,1))),1))+1))-1,0),0,MOD($A141-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CA141">
        <f>IF(AND(CROQUIS!$C$88=1,CROQUIS!$C$91=1,CROQUIS!$C$133&gt;0),((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2">
      <c r="A142" t="n">
        <v>135</v>
      </c>
      <c r="BN142">
        <f>IF(AND(CROQUIS!$C$88=1,CROQUIS!$C$129&gt;0),((CROQUIS!$C$160+(IF(CROQUIS!$C$92="X",CHOOSE(IF(INT(($A142-1)/5)&gt;MAX((MAX(1,INT(((CROQUIS!$C$98)-CROQUIS!$C$107)/MAX((CROQUIS!$C$129*MAX(1,CEILING((INT(((CROQUIS!$C$98)-CROQUIS!$C$107)/MAX(CROQUIS!$C$129,1))+1)/80,1))),1))+1))-1,0),0,MOD($A142-1,5))+1,0,2,CROQUIS!$C$97-2,2,0),((CROQUIS!$C$107/2+(((CROQUIS!$C$98)-CROQUIS!$C$107)-(MAX(1,INT(((CROQUIS!$C$98)-CROQUIS!$C$107)/MAX((CROQUIS!$C$129*MAX(1,CEILING((INT(((CROQUIS!$C$98)-CROQUIS!$C$107)/MAX(CROQUIS!$C$129,1))+1)/80,1))),1))+1)-1)*(CROQUIS!$C$129*MAX(1,CEILING((INT(((CROQUIS!$C$98)-CROQUIS!$C$107)/MAX(CROQUIS!$C$129,1))+1)/80,1))))/2)+MIN(INT(($A142-1)/5),MAX((MAX(1,INT(((CROQUIS!$C$98)-CROQUIS!$C$107)/MAX((CROQUIS!$C$129*MAX(1,CEILING((INT(((CROQUIS!$C$98)-CROQUIS!$C$107)/MAX(CROQUIS!$C$129,1))+1)/80,1))),1))+1))-1,0))*(CROQUIS!$C$129*MAX(1,CEILING((INT(((CROQUIS!$C$98)-CROQUIS!$C$107)/MAX(CROQUIS!$C$129,1))+1)/80,1))))))*CROQUIS!$C$159)+IF(CROQUIS!$C$92="X",0,0)),-1000)</f>
        <v>-1000</v>
      </c>
      <c r="BO142">
        <f>IF(AND(CROQUIS!$C$88=1,CROQUIS!$C$129&gt;0),((CROQUIS!$C$161+(IF(CROQUIS!$C$92="X",((CROQUIS!$C$107/2+(((CROQUIS!$C$98)-CROQUIS!$C$107)-(MAX(1,INT(((CROQUIS!$C$98)-CROQUIS!$C$107)/MAX((CROQUIS!$C$129*MAX(1,CEILING((INT(((CROQUIS!$C$98)-CROQUIS!$C$107)/MAX(CROQUIS!$C$129,1))+1)/80,1))),1))+1)-1)*(CROQUIS!$C$129*MAX(1,CEILING((INT(((CROQUIS!$C$98)-CROQUIS!$C$107)/MAX(CROQUIS!$C$129,1))+1)/80,1))))/2)+MIN(INT(($A142-1)/5),MAX((MAX(1,INT(((CROQUIS!$C$98)-CROQUIS!$C$107)/MAX((CROQUIS!$C$129*MAX(1,CEILING((INT(((CROQUIS!$C$98)-CROQUIS!$C$107)/MAX(CROQUIS!$C$129,1))+1)/80,1))),1))+1))-1,0))*(CROQUIS!$C$129*MAX(1,CEILING((INT(((CROQUIS!$C$98)-CROQUIS!$C$107)/MAX(CROQUIS!$C$129,1))+1)/80,1)))),CHOOSE(IF(INT(($A142-1)/5)&gt;MAX((MAX(1,INT(((CROQUIS!$C$98)-CROQUIS!$C$107)/MAX((CROQUIS!$C$129*MAX(1,CEILING((INT(((CROQUIS!$C$98)-CROQUIS!$C$107)/MAX(CROQUIS!$C$129,1))+1)/80,1))),1))+1))-1,0),0,MOD($A142-1,5))+1,0,2,CROQUIS!$C$97-2,2,0)))*CROQUIS!$C$159)+IF(CROQUIS!$C$92="X",0,0)),-1000)</f>
        <v>-1000</v>
      </c>
      <c r="BP142">
        <f>IF(AND(CROQUIS!$C$88=1,CROQUIS!$C$137&gt;0),((CROQUIS!$C$160+(IF(CROQUIS!$C$92="X",((CROQUIS!$C$107/2+(((CROQUIS!$C$97)-CROQUIS!$C$107)-(MAX(1,INT(((CROQUIS!$C$97)-CROQUIS!$C$107)/MAX((CROQUIS!$C$137*MAX(1,CEILING((INT(((CROQUIS!$C$97)-CROQUIS!$C$107)/MAX(CROQUIS!$C$137,1))+1)/80,1))),1))+1)-1)*(CROQUIS!$C$137*MAX(1,CEILING((INT(((CROQUIS!$C$97)-CROQUIS!$C$107)/MAX(CROQUIS!$C$137,1))+1)/80,1))))/2)+MIN(INT(($A142-1)/5),MAX((MAX(1,INT(((CROQUIS!$C$97)-CROQUIS!$C$107)/MAX((CROQUIS!$C$137*MAX(1,CEILING((INT(((CROQUIS!$C$97)-CROQUIS!$C$107)/MAX(CROQUIS!$C$137,1))+1)/80,1))),1))+1))-1,0))*(CROQUIS!$C$137*MAX(1,CEILING((INT(((CROQUIS!$C$97)-CROQUIS!$C$107)/MAX(CROQUIS!$C$137,1))+1)/80,1)))),CHOOSE(IF(INT(($A142-1)/5)&gt;MAX((MAX(1,INT(((CROQUIS!$C$97)-CROQUIS!$C$107)/MAX((CROQUIS!$C$137*MAX(1,CEILING((INT(((CROQUIS!$C$97)-CROQUIS!$C$107)/MAX(CROQUIS!$C$137,1))+1)/80,1))),1))+1))-1,0),0,MOD($A142-1,5))+1,0,2,CROQUIS!$C$98-2,2,0)))*CROQUIS!$C$159)+IF(CROQUIS!$C$92="X",0,0)),-1000)</f>
        <v>-1000</v>
      </c>
      <c r="BQ142">
        <f>IF(AND(CROQUIS!$C$88=1,CROQUIS!$C$137&gt;0),((CROQUIS!$C$161+(IF(CROQUIS!$C$92="X",CHOOSE(IF(INT(($A142-1)/5)&gt;MAX((MAX(1,INT(((CROQUIS!$C$97)-CROQUIS!$C$107)/MAX((CROQUIS!$C$137*MAX(1,CEILING((INT(((CROQUIS!$C$97)-CROQUIS!$C$107)/MAX(CROQUIS!$C$137,1))+1)/80,1))),1))+1))-1,0),0,MOD($A142-1,5))+1,0,2,CROQUIS!$C$98-2,2,0),((CROQUIS!$C$107/2+(((CROQUIS!$C$97)-CROQUIS!$C$107)-(MAX(1,INT(((CROQUIS!$C$97)-CROQUIS!$C$107)/MAX((CROQUIS!$C$137*MAX(1,CEILING((INT(((CROQUIS!$C$97)-CROQUIS!$C$107)/MAX(CROQUIS!$C$137,1))+1)/80,1))),1))+1)-1)*(CROQUIS!$C$137*MAX(1,CEILING((INT(((CROQUIS!$C$97)-CROQUIS!$C$107)/MAX(CROQUIS!$C$137,1))+1)/80,1))))/2)+MIN(INT(($A142-1)/5),MAX((MAX(1,INT(((CROQUIS!$C$97)-CROQUIS!$C$107)/MAX((CROQUIS!$C$137*MAX(1,CEILING((INT(((CROQUIS!$C$97)-CROQUIS!$C$107)/MAX(CROQUIS!$C$137,1))+1)/80,1))),1))+1))-1,0))*(CROQUIS!$C$137*MAX(1,CEILING((INT(((CROQUIS!$C$97)-CROQUIS!$C$107)/MAX(CROQUIS!$C$137,1))+1)/80,1))))))*CROQUIS!$C$159)+IF(CROQUIS!$C$92="X",0,0)),-1000)</f>
        <v>-1000</v>
      </c>
      <c r="BR142">
        <f>IF(AND(CROQUIS!$C$88=1,CROQUIS!$C$91=0,CROQUIS!$C$133&gt;0,OR(CROQUIS!$C$103=1,CROQUIS!$C$145=1)),((CROQUIS!$C$160+(IF(CROQUIS!$C$92="X",CHOOSE(IF(INT(($A142-1)/5)&gt;MAX((MAX(1,INT(((CROQUIS!$C$98)-CROQUIS!$C$107)/MAX((CROQUIS!$C$133*MAX(1,CEILING((INT(((CROQUIS!$C$98)-CROQUIS!$C$107)/MAX(CROQUIS!$C$133,1))+1)/80,1))),1))+1))-1,0),0,MOD($A142-1,5))+1,0,IF(CROQUIS!$C$103=1,-12,2),CROQUIS!$C$107/2+CROQUIS!$C$143,IF(CROQUIS!$C$103=1,-12,2),0),((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BS1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+1,0,IF(CROQUIS!$C$103=1,-12,2),CROQUIS!$C$107/2+CROQUIS!$C$143,IF(CROQUIS!$C$103=1,-12,2),0)))*CROQUIS!$C$159)+IF(CROQUIS!$C$92="X",0.8,0)),-1000)</f>
        <v>-1000</v>
      </c>
      <c r="BT142">
        <f>IF(AND(CROQUIS!$C$88=1,CROQUIS!$C$91=0,CROQUIS!$C$133&gt;0,OR(CROQUIS!$C$104=1,CROQUIS!$C$145=1)),((CROQUIS!$C$160+(IF(CROQUIS!$C$92="X",CHOOSE(IF(INT(($A142-1)/5)&gt;MAX((MAX(1,INT(((CROQUIS!$C$98)-CROQUIS!$C$107)/MAX((CROQUIS!$C$133*MAX(1,CEILING((INT(((CROQUIS!$C$98)-CROQUIS!$C$107)/MAX(CROQUIS!$C$133,1))+1)/80,1))),1))+1))-1,0),0,MOD($A142-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BU1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CROQUIS!$C$97,CROQUIS!$C$97-CROQUIS!$C$107/2-CROQUIS!$C$143,IF(CROQUIS!$C$104=1,CROQUIS!$C$97+12,CROQUIS!$C$97-2),CROQUIS!$C$97-CROQUIS!$C$107/2-CROQUIS!$C$143,CROQUIS!$C$97)))*CROQUIS!$C$159)+IF(CROQUIS!$C$92="X",0.8,0)),-1000)</f>
        <v>-1000</v>
      </c>
      <c r="BV1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HOOSE(IF(INT(($A142-1)/5)&gt;MAX((MAX(1,INT(((CROQUIS!$C$97)-CROQUIS!$C$107)/MAX((CROQUIS!$C$141*MAX(1,CEILING((INT(((CROQUIS!$C$97)-CROQUIS!$C$107)/MAX(CROQUIS!$C$141,1))+1)/80,1))),1))+1))-1,0),0,MOD($A142-1,5))+1,0,IF(CROQUIS!$C$105=1,-12,2),CROQUIS!$C$107/2+CROQUIS!$C$144,IF(CROQUIS!$C$105=1,-12,2),0)))*CROQUIS!$C$159)+IF(CROQUIS!$C$92="X",0.8,0)),-1000)</f>
        <v>-1000</v>
      </c>
      <c r="BW142">
        <f>IF(AND(CROQUIS!$C$88=1,CROQUIS!$C$91=0,CROQUIS!$C$141&gt;0,OR(CROQUIS!$C$105=1,CROQUIS!$C$146=1)),((CROQUIS!$C$161+(IF(CROQUIS!$C$92="X",CHOOSE(IF(INT(($A142-1)/5)&gt;MAX((MAX(1,INT(((CROQUIS!$C$97)-CROQUIS!$C$107)/MAX((CROQUIS!$C$141*MAX(1,CEILING((INT(((CROQUIS!$C$97)-CROQUIS!$C$107)/MAX(CROQUIS!$C$141,1))+1)/80,1))),1))+1))-1,0),0,MOD($A142-1,5))+1,0,IF(CROQUIS!$C$105=1,-12,2),CROQUIS!$C$107/2+CROQUIS!$C$144,IF(CROQUIS!$C$105=1,-12,2),0),((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ROQUIS!$C$159)+IF(CROQUIS!$C$92="X",0,0.8)),-1000)</f>
        <v>-1000</v>
      </c>
      <c r="BX1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HOOSE(IF(INT(($A142-1)/5)&gt;MAX((MAX(1,INT(((CROQUIS!$C$97)-CROQUIS!$C$107)/MAX((CROQUIS!$C$141*MAX(1,CEILING((INT(((CROQUIS!$C$97)-CROQUIS!$C$107)/MAX(CROQUIS!$C$141,1))+1)/80,1))),1))+1))-1,0),0,MOD($A142-1,5))+1,CROQUIS!$C$98,CROQUIS!$C$98-CROQUIS!$C$107/2-CROQUIS!$C$144,IF(CROQUIS!$C$106=1,CROQUIS!$C$98+12,CROQUIS!$C$98-2),CROQUIS!$C$98-CROQUIS!$C$107/2-CROQUIS!$C$144,CROQUIS!$C$98)))*CROQUIS!$C$159)+IF(CROQUIS!$C$92="X",0.8,0)),-1000)</f>
        <v>-1000</v>
      </c>
      <c r="BY142">
        <f>IF(AND(CROQUIS!$C$88=1,CROQUIS!$C$91=0,CROQUIS!$C$141&gt;0,OR(CROQUIS!$C$106=1,CROQUIS!$C$146=1)),((CROQUIS!$C$161+(IF(CROQUIS!$C$92="X",CHOOSE(IF(INT(($A142-1)/5)&gt;MAX((MAX(1,INT(((CROQUIS!$C$97)-CROQUIS!$C$107)/MAX((CROQUIS!$C$141*MAX(1,CEILING((INT(((CROQUIS!$C$97)-CROQUIS!$C$107)/MAX(CROQUIS!$C$141,1))+1)/80,1))),1))+1))-1,0),0,MOD($A142-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ROQUIS!$C$159)+IF(CROQUIS!$C$92="X",0,0.8)),-1000)</f>
        <v>-1000</v>
      </c>
      <c r="BZ142">
        <f>IF(AND(CROQUIS!$C$88=1,CROQUIS!$C$91=1,CROQUIS!$C$133&gt;0),((CROQUIS!$C$160+(IF(CROQUIS!$C$92="X",CHOOSE(IF(INT(($A142-1)/5)&gt;MAX((MAX(1,INT(((CROQUIS!$C$98)-CROQUIS!$C$107)/MAX((CROQUIS!$C$133*MAX(1,CEILING((INT(((CROQUIS!$C$98)-CROQUIS!$C$107)/MAX(CROQUIS!$C$133,1))+1)/80,1))),1))+1))-1,0),0,MOD($A142-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CA142">
        <f>IF(AND(CROQUIS!$C$88=1,CROQUIS!$C$91=1,CROQUIS!$C$133&gt;0),((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3">
      <c r="A143" t="n">
        <v>136</v>
      </c>
      <c r="BN143">
        <f>IF(AND(CROQUIS!$C$88=1,CROQUIS!$C$129&gt;0),((CROQUIS!$C$160+(IF(CROQUIS!$C$92="X",CHOOSE(IF(INT(($A143-1)/5)&gt;MAX((MAX(1,INT(((CROQUIS!$C$98)-CROQUIS!$C$107)/MAX((CROQUIS!$C$129*MAX(1,CEILING((INT(((CROQUIS!$C$98)-CROQUIS!$C$107)/MAX(CROQUIS!$C$129,1))+1)/80,1))),1))+1))-1,0),0,MOD($A143-1,5))+1,0,2,CROQUIS!$C$97-2,2,0),((CROQUIS!$C$107/2+(((CROQUIS!$C$98)-CROQUIS!$C$107)-(MAX(1,INT(((CROQUIS!$C$98)-CROQUIS!$C$107)/MAX((CROQUIS!$C$129*MAX(1,CEILING((INT(((CROQUIS!$C$98)-CROQUIS!$C$107)/MAX(CROQUIS!$C$129,1))+1)/80,1))),1))+1)-1)*(CROQUIS!$C$129*MAX(1,CEILING((INT(((CROQUIS!$C$98)-CROQUIS!$C$107)/MAX(CROQUIS!$C$129,1))+1)/80,1))))/2)+MIN(INT(($A143-1)/5),MAX((MAX(1,INT(((CROQUIS!$C$98)-CROQUIS!$C$107)/MAX((CROQUIS!$C$129*MAX(1,CEILING((INT(((CROQUIS!$C$98)-CROQUIS!$C$107)/MAX(CROQUIS!$C$129,1))+1)/80,1))),1))+1))-1,0))*(CROQUIS!$C$129*MAX(1,CEILING((INT(((CROQUIS!$C$98)-CROQUIS!$C$107)/MAX(CROQUIS!$C$129,1))+1)/80,1))))))*CROQUIS!$C$159)+IF(CROQUIS!$C$92="X",0,0)),-1000)</f>
        <v>-1000</v>
      </c>
      <c r="BO143">
        <f>IF(AND(CROQUIS!$C$88=1,CROQUIS!$C$129&gt;0),((CROQUIS!$C$161+(IF(CROQUIS!$C$92="X",((CROQUIS!$C$107/2+(((CROQUIS!$C$98)-CROQUIS!$C$107)-(MAX(1,INT(((CROQUIS!$C$98)-CROQUIS!$C$107)/MAX((CROQUIS!$C$129*MAX(1,CEILING((INT(((CROQUIS!$C$98)-CROQUIS!$C$107)/MAX(CROQUIS!$C$129,1))+1)/80,1))),1))+1)-1)*(CROQUIS!$C$129*MAX(1,CEILING((INT(((CROQUIS!$C$98)-CROQUIS!$C$107)/MAX(CROQUIS!$C$129,1))+1)/80,1))))/2)+MIN(INT(($A143-1)/5),MAX((MAX(1,INT(((CROQUIS!$C$98)-CROQUIS!$C$107)/MAX((CROQUIS!$C$129*MAX(1,CEILING((INT(((CROQUIS!$C$98)-CROQUIS!$C$107)/MAX(CROQUIS!$C$129,1))+1)/80,1))),1))+1))-1,0))*(CROQUIS!$C$129*MAX(1,CEILING((INT(((CROQUIS!$C$98)-CROQUIS!$C$107)/MAX(CROQUIS!$C$129,1))+1)/80,1)))),CHOOSE(IF(INT(($A143-1)/5)&gt;MAX((MAX(1,INT(((CROQUIS!$C$98)-CROQUIS!$C$107)/MAX((CROQUIS!$C$129*MAX(1,CEILING((INT(((CROQUIS!$C$98)-CROQUIS!$C$107)/MAX(CROQUIS!$C$129,1))+1)/80,1))),1))+1))-1,0),0,MOD($A143-1,5))+1,0,2,CROQUIS!$C$97-2,2,0)))*CROQUIS!$C$159)+IF(CROQUIS!$C$92="X",0,0)),-1000)</f>
        <v>-1000</v>
      </c>
      <c r="BP143">
        <f>IF(AND(CROQUIS!$C$88=1,CROQUIS!$C$137&gt;0),((CROQUIS!$C$160+(IF(CROQUIS!$C$92="X",((CROQUIS!$C$107/2+(((CROQUIS!$C$97)-CROQUIS!$C$107)-(MAX(1,INT(((CROQUIS!$C$97)-CROQUIS!$C$107)/MAX((CROQUIS!$C$137*MAX(1,CEILING((INT(((CROQUIS!$C$97)-CROQUIS!$C$107)/MAX(CROQUIS!$C$137,1))+1)/80,1))),1))+1)-1)*(CROQUIS!$C$137*MAX(1,CEILING((INT(((CROQUIS!$C$97)-CROQUIS!$C$107)/MAX(CROQUIS!$C$137,1))+1)/80,1))))/2)+MIN(INT(($A143-1)/5),MAX((MAX(1,INT(((CROQUIS!$C$97)-CROQUIS!$C$107)/MAX((CROQUIS!$C$137*MAX(1,CEILING((INT(((CROQUIS!$C$97)-CROQUIS!$C$107)/MAX(CROQUIS!$C$137,1))+1)/80,1))),1))+1))-1,0))*(CROQUIS!$C$137*MAX(1,CEILING((INT(((CROQUIS!$C$97)-CROQUIS!$C$107)/MAX(CROQUIS!$C$137,1))+1)/80,1)))),CHOOSE(IF(INT(($A143-1)/5)&gt;MAX((MAX(1,INT(((CROQUIS!$C$97)-CROQUIS!$C$107)/MAX((CROQUIS!$C$137*MAX(1,CEILING((INT(((CROQUIS!$C$97)-CROQUIS!$C$107)/MAX(CROQUIS!$C$137,1))+1)/80,1))),1))+1))-1,0),0,MOD($A143-1,5))+1,0,2,CROQUIS!$C$98-2,2,0)))*CROQUIS!$C$159)+IF(CROQUIS!$C$92="X",0,0)),-1000)</f>
        <v>-1000</v>
      </c>
      <c r="BQ143">
        <f>IF(AND(CROQUIS!$C$88=1,CROQUIS!$C$137&gt;0),((CROQUIS!$C$161+(IF(CROQUIS!$C$92="X",CHOOSE(IF(INT(($A143-1)/5)&gt;MAX((MAX(1,INT(((CROQUIS!$C$97)-CROQUIS!$C$107)/MAX((CROQUIS!$C$137*MAX(1,CEILING((INT(((CROQUIS!$C$97)-CROQUIS!$C$107)/MAX(CROQUIS!$C$137,1))+1)/80,1))),1))+1))-1,0),0,MOD($A143-1,5))+1,0,2,CROQUIS!$C$98-2,2,0),((CROQUIS!$C$107/2+(((CROQUIS!$C$97)-CROQUIS!$C$107)-(MAX(1,INT(((CROQUIS!$C$97)-CROQUIS!$C$107)/MAX((CROQUIS!$C$137*MAX(1,CEILING((INT(((CROQUIS!$C$97)-CROQUIS!$C$107)/MAX(CROQUIS!$C$137,1))+1)/80,1))),1))+1)-1)*(CROQUIS!$C$137*MAX(1,CEILING((INT(((CROQUIS!$C$97)-CROQUIS!$C$107)/MAX(CROQUIS!$C$137,1))+1)/80,1))))/2)+MIN(INT(($A143-1)/5),MAX((MAX(1,INT(((CROQUIS!$C$97)-CROQUIS!$C$107)/MAX((CROQUIS!$C$137*MAX(1,CEILING((INT(((CROQUIS!$C$97)-CROQUIS!$C$107)/MAX(CROQUIS!$C$137,1))+1)/80,1))),1))+1))-1,0))*(CROQUIS!$C$137*MAX(1,CEILING((INT(((CROQUIS!$C$97)-CROQUIS!$C$107)/MAX(CROQUIS!$C$137,1))+1)/80,1))))))*CROQUIS!$C$159)+IF(CROQUIS!$C$92="X",0,0)),-1000)</f>
        <v>-1000</v>
      </c>
      <c r="BR143">
        <f>IF(AND(CROQUIS!$C$88=1,CROQUIS!$C$91=0,CROQUIS!$C$133&gt;0,OR(CROQUIS!$C$103=1,CROQUIS!$C$145=1)),((CROQUIS!$C$160+(IF(CROQUIS!$C$92="X",CHOOSE(IF(INT(($A143-1)/5)&gt;MAX((MAX(1,INT(((CROQUIS!$C$98)-CROQUIS!$C$107)/MAX((CROQUIS!$C$133*MAX(1,CEILING((INT(((CROQUIS!$C$98)-CROQUIS!$C$107)/MAX(CROQUIS!$C$133,1))+1)/80,1))),1))+1))-1,0),0,MOD($A143-1,5))+1,0,IF(CROQUIS!$C$103=1,-12,2),CROQUIS!$C$107/2+CROQUIS!$C$143,IF(CROQUIS!$C$103=1,-12,2),0),((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BS1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+1,0,IF(CROQUIS!$C$103=1,-12,2),CROQUIS!$C$107/2+CROQUIS!$C$143,IF(CROQUIS!$C$103=1,-12,2),0)))*CROQUIS!$C$159)+IF(CROQUIS!$C$92="X",0.8,0)),-1000)</f>
        <v>-1000</v>
      </c>
      <c r="BT143">
        <f>IF(AND(CROQUIS!$C$88=1,CROQUIS!$C$91=0,CROQUIS!$C$133&gt;0,OR(CROQUIS!$C$104=1,CROQUIS!$C$145=1)),((CROQUIS!$C$160+(IF(CROQUIS!$C$92="X",CHOOSE(IF(INT(($A143-1)/5)&gt;MAX((MAX(1,INT(((CROQUIS!$C$98)-CROQUIS!$C$107)/MAX((CROQUIS!$C$133*MAX(1,CEILING((INT(((CROQUIS!$C$98)-CROQUIS!$C$107)/MAX(CROQUIS!$C$133,1))+1)/80,1))),1))+1))-1,0),0,MOD($A143-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BU1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CROQUIS!$C$97,CROQUIS!$C$97-CROQUIS!$C$107/2-CROQUIS!$C$143,IF(CROQUIS!$C$104=1,CROQUIS!$C$97+12,CROQUIS!$C$97-2),CROQUIS!$C$97-CROQUIS!$C$107/2-CROQUIS!$C$143,CROQUIS!$C$97)))*CROQUIS!$C$159)+IF(CROQUIS!$C$92="X",0.8,0)),-1000)</f>
        <v>-1000</v>
      </c>
      <c r="BV1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HOOSE(IF(INT(($A143-1)/5)&gt;MAX((MAX(1,INT(((CROQUIS!$C$97)-CROQUIS!$C$107)/MAX((CROQUIS!$C$141*MAX(1,CEILING((INT(((CROQUIS!$C$97)-CROQUIS!$C$107)/MAX(CROQUIS!$C$141,1))+1)/80,1))),1))+1))-1,0),0,MOD($A143-1,5))+1,0,IF(CROQUIS!$C$105=1,-12,2),CROQUIS!$C$107/2+CROQUIS!$C$144,IF(CROQUIS!$C$105=1,-12,2),0)))*CROQUIS!$C$159)+IF(CROQUIS!$C$92="X",0.8,0)),-1000)</f>
        <v>-1000</v>
      </c>
      <c r="BW143">
        <f>IF(AND(CROQUIS!$C$88=1,CROQUIS!$C$91=0,CROQUIS!$C$141&gt;0,OR(CROQUIS!$C$105=1,CROQUIS!$C$146=1)),((CROQUIS!$C$161+(IF(CROQUIS!$C$92="X",CHOOSE(IF(INT(($A143-1)/5)&gt;MAX((MAX(1,INT(((CROQUIS!$C$97)-CROQUIS!$C$107)/MAX((CROQUIS!$C$141*MAX(1,CEILING((INT(((CROQUIS!$C$97)-CROQUIS!$C$107)/MAX(CROQUIS!$C$141,1))+1)/80,1))),1))+1))-1,0),0,MOD($A143-1,5))+1,0,IF(CROQUIS!$C$105=1,-12,2),CROQUIS!$C$107/2+CROQUIS!$C$144,IF(CROQUIS!$C$105=1,-12,2),0),((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ROQUIS!$C$159)+IF(CROQUIS!$C$92="X",0,0.8)),-1000)</f>
        <v>-1000</v>
      </c>
      <c r="BX1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HOOSE(IF(INT(($A143-1)/5)&gt;MAX((MAX(1,INT(((CROQUIS!$C$97)-CROQUIS!$C$107)/MAX((CROQUIS!$C$141*MAX(1,CEILING((INT(((CROQUIS!$C$97)-CROQUIS!$C$107)/MAX(CROQUIS!$C$141,1))+1)/80,1))),1))+1))-1,0),0,MOD($A143-1,5))+1,CROQUIS!$C$98,CROQUIS!$C$98-CROQUIS!$C$107/2-CROQUIS!$C$144,IF(CROQUIS!$C$106=1,CROQUIS!$C$98+12,CROQUIS!$C$98-2),CROQUIS!$C$98-CROQUIS!$C$107/2-CROQUIS!$C$144,CROQUIS!$C$98)))*CROQUIS!$C$159)+IF(CROQUIS!$C$92="X",0.8,0)),-1000)</f>
        <v>-1000</v>
      </c>
      <c r="BY143">
        <f>IF(AND(CROQUIS!$C$88=1,CROQUIS!$C$91=0,CROQUIS!$C$141&gt;0,OR(CROQUIS!$C$106=1,CROQUIS!$C$146=1)),((CROQUIS!$C$161+(IF(CROQUIS!$C$92="X",CHOOSE(IF(INT(($A143-1)/5)&gt;MAX((MAX(1,INT(((CROQUIS!$C$97)-CROQUIS!$C$107)/MAX((CROQUIS!$C$141*MAX(1,CEILING((INT(((CROQUIS!$C$97)-CROQUIS!$C$107)/MAX(CROQUIS!$C$141,1))+1)/80,1))),1))+1))-1,0),0,MOD($A143-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ROQUIS!$C$159)+IF(CROQUIS!$C$92="X",0,0.8)),-1000)</f>
        <v>-1000</v>
      </c>
      <c r="BZ143">
        <f>IF(AND(CROQUIS!$C$88=1,CROQUIS!$C$91=1,CROQUIS!$C$133&gt;0),((CROQUIS!$C$160+(IF(CROQUIS!$C$92="X",CHOOSE(IF(INT(($A143-1)/5)&gt;MAX((MAX(1,INT(((CROQUIS!$C$98)-CROQUIS!$C$107)/MAX((CROQUIS!$C$133*MAX(1,CEILING((INT(((CROQUIS!$C$98)-CROQUIS!$C$107)/MAX(CROQUIS!$C$133,1))+1)/80,1))),1))+1))-1,0),0,MOD($A143-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CA143">
        <f>IF(AND(CROQUIS!$C$88=1,CROQUIS!$C$91=1,CROQUIS!$C$133&gt;0),((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4">
      <c r="A144" t="n">
        <v>137</v>
      </c>
      <c r="BN144">
        <f>IF(AND(CROQUIS!$C$88=1,CROQUIS!$C$129&gt;0),((CROQUIS!$C$160+(IF(CROQUIS!$C$92="X",CHOOSE(IF(INT(($A144-1)/5)&gt;MAX((MAX(1,INT(((CROQUIS!$C$98)-CROQUIS!$C$107)/MAX((CROQUIS!$C$129*MAX(1,CEILING((INT(((CROQUIS!$C$98)-CROQUIS!$C$107)/MAX(CROQUIS!$C$129,1))+1)/80,1))),1))+1))-1,0),0,MOD($A144-1,5))+1,0,2,CROQUIS!$C$97-2,2,0),((CROQUIS!$C$107/2+(((CROQUIS!$C$98)-CROQUIS!$C$107)-(MAX(1,INT(((CROQUIS!$C$98)-CROQUIS!$C$107)/MAX((CROQUIS!$C$129*MAX(1,CEILING((INT(((CROQUIS!$C$98)-CROQUIS!$C$107)/MAX(CROQUIS!$C$129,1))+1)/80,1))),1))+1)-1)*(CROQUIS!$C$129*MAX(1,CEILING((INT(((CROQUIS!$C$98)-CROQUIS!$C$107)/MAX(CROQUIS!$C$129,1))+1)/80,1))))/2)+MIN(INT(($A144-1)/5),MAX((MAX(1,INT(((CROQUIS!$C$98)-CROQUIS!$C$107)/MAX((CROQUIS!$C$129*MAX(1,CEILING((INT(((CROQUIS!$C$98)-CROQUIS!$C$107)/MAX(CROQUIS!$C$129,1))+1)/80,1))),1))+1))-1,0))*(CROQUIS!$C$129*MAX(1,CEILING((INT(((CROQUIS!$C$98)-CROQUIS!$C$107)/MAX(CROQUIS!$C$129,1))+1)/80,1))))))*CROQUIS!$C$159)+IF(CROQUIS!$C$92="X",0,0)),-1000)</f>
        <v>-1000</v>
      </c>
      <c r="BO144">
        <f>IF(AND(CROQUIS!$C$88=1,CROQUIS!$C$129&gt;0),((CROQUIS!$C$161+(IF(CROQUIS!$C$92="X",((CROQUIS!$C$107/2+(((CROQUIS!$C$98)-CROQUIS!$C$107)-(MAX(1,INT(((CROQUIS!$C$98)-CROQUIS!$C$107)/MAX((CROQUIS!$C$129*MAX(1,CEILING((INT(((CROQUIS!$C$98)-CROQUIS!$C$107)/MAX(CROQUIS!$C$129,1))+1)/80,1))),1))+1)-1)*(CROQUIS!$C$129*MAX(1,CEILING((INT(((CROQUIS!$C$98)-CROQUIS!$C$107)/MAX(CROQUIS!$C$129,1))+1)/80,1))))/2)+MIN(INT(($A144-1)/5),MAX((MAX(1,INT(((CROQUIS!$C$98)-CROQUIS!$C$107)/MAX((CROQUIS!$C$129*MAX(1,CEILING((INT(((CROQUIS!$C$98)-CROQUIS!$C$107)/MAX(CROQUIS!$C$129,1))+1)/80,1))),1))+1))-1,0))*(CROQUIS!$C$129*MAX(1,CEILING((INT(((CROQUIS!$C$98)-CROQUIS!$C$107)/MAX(CROQUIS!$C$129,1))+1)/80,1)))),CHOOSE(IF(INT(($A144-1)/5)&gt;MAX((MAX(1,INT(((CROQUIS!$C$98)-CROQUIS!$C$107)/MAX((CROQUIS!$C$129*MAX(1,CEILING((INT(((CROQUIS!$C$98)-CROQUIS!$C$107)/MAX(CROQUIS!$C$129,1))+1)/80,1))),1))+1))-1,0),0,MOD($A144-1,5))+1,0,2,CROQUIS!$C$97-2,2,0)))*CROQUIS!$C$159)+IF(CROQUIS!$C$92="X",0,0)),-1000)</f>
        <v>-1000</v>
      </c>
      <c r="BP144">
        <f>IF(AND(CROQUIS!$C$88=1,CROQUIS!$C$137&gt;0),((CROQUIS!$C$160+(IF(CROQUIS!$C$92="X",((CROQUIS!$C$107/2+(((CROQUIS!$C$97)-CROQUIS!$C$107)-(MAX(1,INT(((CROQUIS!$C$97)-CROQUIS!$C$107)/MAX((CROQUIS!$C$137*MAX(1,CEILING((INT(((CROQUIS!$C$97)-CROQUIS!$C$107)/MAX(CROQUIS!$C$137,1))+1)/80,1))),1))+1)-1)*(CROQUIS!$C$137*MAX(1,CEILING((INT(((CROQUIS!$C$97)-CROQUIS!$C$107)/MAX(CROQUIS!$C$137,1))+1)/80,1))))/2)+MIN(INT(($A144-1)/5),MAX((MAX(1,INT(((CROQUIS!$C$97)-CROQUIS!$C$107)/MAX((CROQUIS!$C$137*MAX(1,CEILING((INT(((CROQUIS!$C$97)-CROQUIS!$C$107)/MAX(CROQUIS!$C$137,1))+1)/80,1))),1))+1))-1,0))*(CROQUIS!$C$137*MAX(1,CEILING((INT(((CROQUIS!$C$97)-CROQUIS!$C$107)/MAX(CROQUIS!$C$137,1))+1)/80,1)))),CHOOSE(IF(INT(($A144-1)/5)&gt;MAX((MAX(1,INT(((CROQUIS!$C$97)-CROQUIS!$C$107)/MAX((CROQUIS!$C$137*MAX(1,CEILING((INT(((CROQUIS!$C$97)-CROQUIS!$C$107)/MAX(CROQUIS!$C$137,1))+1)/80,1))),1))+1))-1,0),0,MOD($A144-1,5))+1,0,2,CROQUIS!$C$98-2,2,0)))*CROQUIS!$C$159)+IF(CROQUIS!$C$92="X",0,0)),-1000)</f>
        <v>-1000</v>
      </c>
      <c r="BQ144">
        <f>IF(AND(CROQUIS!$C$88=1,CROQUIS!$C$137&gt;0),((CROQUIS!$C$161+(IF(CROQUIS!$C$92="X",CHOOSE(IF(INT(($A144-1)/5)&gt;MAX((MAX(1,INT(((CROQUIS!$C$97)-CROQUIS!$C$107)/MAX((CROQUIS!$C$137*MAX(1,CEILING((INT(((CROQUIS!$C$97)-CROQUIS!$C$107)/MAX(CROQUIS!$C$137,1))+1)/80,1))),1))+1))-1,0),0,MOD($A144-1,5))+1,0,2,CROQUIS!$C$98-2,2,0),((CROQUIS!$C$107/2+(((CROQUIS!$C$97)-CROQUIS!$C$107)-(MAX(1,INT(((CROQUIS!$C$97)-CROQUIS!$C$107)/MAX((CROQUIS!$C$137*MAX(1,CEILING((INT(((CROQUIS!$C$97)-CROQUIS!$C$107)/MAX(CROQUIS!$C$137,1))+1)/80,1))),1))+1)-1)*(CROQUIS!$C$137*MAX(1,CEILING((INT(((CROQUIS!$C$97)-CROQUIS!$C$107)/MAX(CROQUIS!$C$137,1))+1)/80,1))))/2)+MIN(INT(($A144-1)/5),MAX((MAX(1,INT(((CROQUIS!$C$97)-CROQUIS!$C$107)/MAX((CROQUIS!$C$137*MAX(1,CEILING((INT(((CROQUIS!$C$97)-CROQUIS!$C$107)/MAX(CROQUIS!$C$137,1))+1)/80,1))),1))+1))-1,0))*(CROQUIS!$C$137*MAX(1,CEILING((INT(((CROQUIS!$C$97)-CROQUIS!$C$107)/MAX(CROQUIS!$C$137,1))+1)/80,1))))))*CROQUIS!$C$159)+IF(CROQUIS!$C$92="X",0,0)),-1000)</f>
        <v>-1000</v>
      </c>
      <c r="BR144">
        <f>IF(AND(CROQUIS!$C$88=1,CROQUIS!$C$91=0,CROQUIS!$C$133&gt;0,OR(CROQUIS!$C$103=1,CROQUIS!$C$145=1)),((CROQUIS!$C$160+(IF(CROQUIS!$C$92="X",CHOOSE(IF(INT(($A144-1)/5)&gt;MAX((MAX(1,INT(((CROQUIS!$C$98)-CROQUIS!$C$107)/MAX((CROQUIS!$C$133*MAX(1,CEILING((INT(((CROQUIS!$C$98)-CROQUIS!$C$107)/MAX(CROQUIS!$C$133,1))+1)/80,1))),1))+1))-1,0),0,MOD($A144-1,5))+1,0,IF(CROQUIS!$C$103=1,-12,2),CROQUIS!$C$107/2+CROQUIS!$C$143,IF(CROQUIS!$C$103=1,-12,2),0),((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BS1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+1,0,IF(CROQUIS!$C$103=1,-12,2),CROQUIS!$C$107/2+CROQUIS!$C$143,IF(CROQUIS!$C$103=1,-12,2),0)))*CROQUIS!$C$159)+IF(CROQUIS!$C$92="X",0.8,0)),-1000)</f>
        <v>-1000</v>
      </c>
      <c r="BT144">
        <f>IF(AND(CROQUIS!$C$88=1,CROQUIS!$C$91=0,CROQUIS!$C$133&gt;0,OR(CROQUIS!$C$104=1,CROQUIS!$C$145=1)),((CROQUIS!$C$160+(IF(CROQUIS!$C$92="X",CHOOSE(IF(INT(($A144-1)/5)&gt;MAX((MAX(1,INT(((CROQUIS!$C$98)-CROQUIS!$C$107)/MAX((CROQUIS!$C$133*MAX(1,CEILING((INT(((CROQUIS!$C$98)-CROQUIS!$C$107)/MAX(CROQUIS!$C$133,1))+1)/80,1))),1))+1))-1,0),0,MOD($A144-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BU1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CROQUIS!$C$97,CROQUIS!$C$97-CROQUIS!$C$107/2-CROQUIS!$C$143,IF(CROQUIS!$C$104=1,CROQUIS!$C$97+12,CROQUIS!$C$97-2),CROQUIS!$C$97-CROQUIS!$C$107/2-CROQUIS!$C$143,CROQUIS!$C$97)))*CROQUIS!$C$159)+IF(CROQUIS!$C$92="X",0.8,0)),-1000)</f>
        <v>-1000</v>
      </c>
      <c r="BV1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HOOSE(IF(INT(($A144-1)/5)&gt;MAX((MAX(1,INT(((CROQUIS!$C$97)-CROQUIS!$C$107)/MAX((CROQUIS!$C$141*MAX(1,CEILING((INT(((CROQUIS!$C$97)-CROQUIS!$C$107)/MAX(CROQUIS!$C$141,1))+1)/80,1))),1))+1))-1,0),0,MOD($A144-1,5))+1,0,IF(CROQUIS!$C$105=1,-12,2),CROQUIS!$C$107/2+CROQUIS!$C$144,IF(CROQUIS!$C$105=1,-12,2),0)))*CROQUIS!$C$159)+IF(CROQUIS!$C$92="X",0.8,0)),-1000)</f>
        <v>-1000</v>
      </c>
      <c r="BW144">
        <f>IF(AND(CROQUIS!$C$88=1,CROQUIS!$C$91=0,CROQUIS!$C$141&gt;0,OR(CROQUIS!$C$105=1,CROQUIS!$C$146=1)),((CROQUIS!$C$161+(IF(CROQUIS!$C$92="X",CHOOSE(IF(INT(($A144-1)/5)&gt;MAX((MAX(1,INT(((CROQUIS!$C$97)-CROQUIS!$C$107)/MAX((CROQUIS!$C$141*MAX(1,CEILING((INT(((CROQUIS!$C$97)-CROQUIS!$C$107)/MAX(CROQUIS!$C$141,1))+1)/80,1))),1))+1))-1,0),0,MOD($A144-1,5))+1,0,IF(CROQUIS!$C$105=1,-12,2),CROQUIS!$C$107/2+CROQUIS!$C$144,IF(CROQUIS!$C$105=1,-12,2),0),((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ROQUIS!$C$159)+IF(CROQUIS!$C$92="X",0,0.8)),-1000)</f>
        <v>-1000</v>
      </c>
      <c r="BX1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HOOSE(IF(INT(($A144-1)/5)&gt;MAX((MAX(1,INT(((CROQUIS!$C$97)-CROQUIS!$C$107)/MAX((CROQUIS!$C$141*MAX(1,CEILING((INT(((CROQUIS!$C$97)-CROQUIS!$C$107)/MAX(CROQUIS!$C$141,1))+1)/80,1))),1))+1))-1,0),0,MOD($A144-1,5))+1,CROQUIS!$C$98,CROQUIS!$C$98-CROQUIS!$C$107/2-CROQUIS!$C$144,IF(CROQUIS!$C$106=1,CROQUIS!$C$98+12,CROQUIS!$C$98-2),CROQUIS!$C$98-CROQUIS!$C$107/2-CROQUIS!$C$144,CROQUIS!$C$98)))*CROQUIS!$C$159)+IF(CROQUIS!$C$92="X",0.8,0)),-1000)</f>
        <v>-1000</v>
      </c>
      <c r="BY144">
        <f>IF(AND(CROQUIS!$C$88=1,CROQUIS!$C$91=0,CROQUIS!$C$141&gt;0,OR(CROQUIS!$C$106=1,CROQUIS!$C$146=1)),((CROQUIS!$C$161+(IF(CROQUIS!$C$92="X",CHOOSE(IF(INT(($A144-1)/5)&gt;MAX((MAX(1,INT(((CROQUIS!$C$97)-CROQUIS!$C$107)/MAX((CROQUIS!$C$141*MAX(1,CEILING((INT(((CROQUIS!$C$97)-CROQUIS!$C$107)/MAX(CROQUIS!$C$141,1))+1)/80,1))),1))+1))-1,0),0,MOD($A144-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ROQUIS!$C$159)+IF(CROQUIS!$C$92="X",0,0.8)),-1000)</f>
        <v>-1000</v>
      </c>
      <c r="BZ144">
        <f>IF(AND(CROQUIS!$C$88=1,CROQUIS!$C$91=1,CROQUIS!$C$133&gt;0),((CROQUIS!$C$160+(IF(CROQUIS!$C$92="X",CHOOSE(IF(INT(($A144-1)/5)&gt;MAX((MAX(1,INT(((CROQUIS!$C$98)-CROQUIS!$C$107)/MAX((CROQUIS!$C$133*MAX(1,CEILING((INT(((CROQUIS!$C$98)-CROQUIS!$C$107)/MAX(CROQUIS!$C$133,1))+1)/80,1))),1))+1))-1,0),0,MOD($A144-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CA144">
        <f>IF(AND(CROQUIS!$C$88=1,CROQUIS!$C$91=1,CROQUIS!$C$133&gt;0),((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5">
      <c r="A145" t="n">
        <v>138</v>
      </c>
      <c r="BN145">
        <f>IF(AND(CROQUIS!$C$88=1,CROQUIS!$C$129&gt;0),((CROQUIS!$C$160+(IF(CROQUIS!$C$92="X",CHOOSE(IF(INT(($A145-1)/5)&gt;MAX((MAX(1,INT(((CROQUIS!$C$98)-CROQUIS!$C$107)/MAX((CROQUIS!$C$129*MAX(1,CEILING((INT(((CROQUIS!$C$98)-CROQUIS!$C$107)/MAX(CROQUIS!$C$129,1))+1)/80,1))),1))+1))-1,0),0,MOD($A145-1,5))+1,0,2,CROQUIS!$C$97-2,2,0),((CROQUIS!$C$107/2+(((CROQUIS!$C$98)-CROQUIS!$C$107)-(MAX(1,INT(((CROQUIS!$C$98)-CROQUIS!$C$107)/MAX((CROQUIS!$C$129*MAX(1,CEILING((INT(((CROQUIS!$C$98)-CROQUIS!$C$107)/MAX(CROQUIS!$C$129,1))+1)/80,1))),1))+1)-1)*(CROQUIS!$C$129*MAX(1,CEILING((INT(((CROQUIS!$C$98)-CROQUIS!$C$107)/MAX(CROQUIS!$C$129,1))+1)/80,1))))/2)+MIN(INT(($A145-1)/5),MAX((MAX(1,INT(((CROQUIS!$C$98)-CROQUIS!$C$107)/MAX((CROQUIS!$C$129*MAX(1,CEILING((INT(((CROQUIS!$C$98)-CROQUIS!$C$107)/MAX(CROQUIS!$C$129,1))+1)/80,1))),1))+1))-1,0))*(CROQUIS!$C$129*MAX(1,CEILING((INT(((CROQUIS!$C$98)-CROQUIS!$C$107)/MAX(CROQUIS!$C$129,1))+1)/80,1))))))*CROQUIS!$C$159)+IF(CROQUIS!$C$92="X",0,0)),-1000)</f>
        <v>-1000</v>
      </c>
      <c r="BO145">
        <f>IF(AND(CROQUIS!$C$88=1,CROQUIS!$C$129&gt;0),((CROQUIS!$C$161+(IF(CROQUIS!$C$92="X",((CROQUIS!$C$107/2+(((CROQUIS!$C$98)-CROQUIS!$C$107)-(MAX(1,INT(((CROQUIS!$C$98)-CROQUIS!$C$107)/MAX((CROQUIS!$C$129*MAX(1,CEILING((INT(((CROQUIS!$C$98)-CROQUIS!$C$107)/MAX(CROQUIS!$C$129,1))+1)/80,1))),1))+1)-1)*(CROQUIS!$C$129*MAX(1,CEILING((INT(((CROQUIS!$C$98)-CROQUIS!$C$107)/MAX(CROQUIS!$C$129,1))+1)/80,1))))/2)+MIN(INT(($A145-1)/5),MAX((MAX(1,INT(((CROQUIS!$C$98)-CROQUIS!$C$107)/MAX((CROQUIS!$C$129*MAX(1,CEILING((INT(((CROQUIS!$C$98)-CROQUIS!$C$107)/MAX(CROQUIS!$C$129,1))+1)/80,1))),1))+1))-1,0))*(CROQUIS!$C$129*MAX(1,CEILING((INT(((CROQUIS!$C$98)-CROQUIS!$C$107)/MAX(CROQUIS!$C$129,1))+1)/80,1)))),CHOOSE(IF(INT(($A145-1)/5)&gt;MAX((MAX(1,INT(((CROQUIS!$C$98)-CROQUIS!$C$107)/MAX((CROQUIS!$C$129*MAX(1,CEILING((INT(((CROQUIS!$C$98)-CROQUIS!$C$107)/MAX(CROQUIS!$C$129,1))+1)/80,1))),1))+1))-1,0),0,MOD($A145-1,5))+1,0,2,CROQUIS!$C$97-2,2,0)))*CROQUIS!$C$159)+IF(CROQUIS!$C$92="X",0,0)),-1000)</f>
        <v>-1000</v>
      </c>
      <c r="BP145">
        <f>IF(AND(CROQUIS!$C$88=1,CROQUIS!$C$137&gt;0),((CROQUIS!$C$160+(IF(CROQUIS!$C$92="X",((CROQUIS!$C$107/2+(((CROQUIS!$C$97)-CROQUIS!$C$107)-(MAX(1,INT(((CROQUIS!$C$97)-CROQUIS!$C$107)/MAX((CROQUIS!$C$137*MAX(1,CEILING((INT(((CROQUIS!$C$97)-CROQUIS!$C$107)/MAX(CROQUIS!$C$137,1))+1)/80,1))),1))+1)-1)*(CROQUIS!$C$137*MAX(1,CEILING((INT(((CROQUIS!$C$97)-CROQUIS!$C$107)/MAX(CROQUIS!$C$137,1))+1)/80,1))))/2)+MIN(INT(($A145-1)/5),MAX((MAX(1,INT(((CROQUIS!$C$97)-CROQUIS!$C$107)/MAX((CROQUIS!$C$137*MAX(1,CEILING((INT(((CROQUIS!$C$97)-CROQUIS!$C$107)/MAX(CROQUIS!$C$137,1))+1)/80,1))),1))+1))-1,0))*(CROQUIS!$C$137*MAX(1,CEILING((INT(((CROQUIS!$C$97)-CROQUIS!$C$107)/MAX(CROQUIS!$C$137,1))+1)/80,1)))),CHOOSE(IF(INT(($A145-1)/5)&gt;MAX((MAX(1,INT(((CROQUIS!$C$97)-CROQUIS!$C$107)/MAX((CROQUIS!$C$137*MAX(1,CEILING((INT(((CROQUIS!$C$97)-CROQUIS!$C$107)/MAX(CROQUIS!$C$137,1))+1)/80,1))),1))+1))-1,0),0,MOD($A145-1,5))+1,0,2,CROQUIS!$C$98-2,2,0)))*CROQUIS!$C$159)+IF(CROQUIS!$C$92="X",0,0)),-1000)</f>
        <v>-1000</v>
      </c>
      <c r="BQ145">
        <f>IF(AND(CROQUIS!$C$88=1,CROQUIS!$C$137&gt;0),((CROQUIS!$C$161+(IF(CROQUIS!$C$92="X",CHOOSE(IF(INT(($A145-1)/5)&gt;MAX((MAX(1,INT(((CROQUIS!$C$97)-CROQUIS!$C$107)/MAX((CROQUIS!$C$137*MAX(1,CEILING((INT(((CROQUIS!$C$97)-CROQUIS!$C$107)/MAX(CROQUIS!$C$137,1))+1)/80,1))),1))+1))-1,0),0,MOD($A145-1,5))+1,0,2,CROQUIS!$C$98-2,2,0),((CROQUIS!$C$107/2+(((CROQUIS!$C$97)-CROQUIS!$C$107)-(MAX(1,INT(((CROQUIS!$C$97)-CROQUIS!$C$107)/MAX((CROQUIS!$C$137*MAX(1,CEILING((INT(((CROQUIS!$C$97)-CROQUIS!$C$107)/MAX(CROQUIS!$C$137,1))+1)/80,1))),1))+1)-1)*(CROQUIS!$C$137*MAX(1,CEILING((INT(((CROQUIS!$C$97)-CROQUIS!$C$107)/MAX(CROQUIS!$C$137,1))+1)/80,1))))/2)+MIN(INT(($A145-1)/5),MAX((MAX(1,INT(((CROQUIS!$C$97)-CROQUIS!$C$107)/MAX((CROQUIS!$C$137*MAX(1,CEILING((INT(((CROQUIS!$C$97)-CROQUIS!$C$107)/MAX(CROQUIS!$C$137,1))+1)/80,1))),1))+1))-1,0))*(CROQUIS!$C$137*MAX(1,CEILING((INT(((CROQUIS!$C$97)-CROQUIS!$C$107)/MAX(CROQUIS!$C$137,1))+1)/80,1))))))*CROQUIS!$C$159)+IF(CROQUIS!$C$92="X",0,0)),-1000)</f>
        <v>-1000</v>
      </c>
      <c r="BR145">
        <f>IF(AND(CROQUIS!$C$88=1,CROQUIS!$C$91=0,CROQUIS!$C$133&gt;0,OR(CROQUIS!$C$103=1,CROQUIS!$C$145=1)),((CROQUIS!$C$160+(IF(CROQUIS!$C$92="X",CHOOSE(IF(INT(($A145-1)/5)&gt;MAX((MAX(1,INT(((CROQUIS!$C$98)-CROQUIS!$C$107)/MAX((CROQUIS!$C$133*MAX(1,CEILING((INT(((CROQUIS!$C$98)-CROQUIS!$C$107)/MAX(CROQUIS!$C$133,1))+1)/80,1))),1))+1))-1,0),0,MOD($A145-1,5))+1,0,IF(CROQUIS!$C$103=1,-12,2),CROQUIS!$C$107/2+CROQUIS!$C$143,IF(CROQUIS!$C$103=1,-12,2),0),((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BS1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+1,0,IF(CROQUIS!$C$103=1,-12,2),CROQUIS!$C$107/2+CROQUIS!$C$143,IF(CROQUIS!$C$103=1,-12,2),0)))*CROQUIS!$C$159)+IF(CROQUIS!$C$92="X",0.8,0)),-1000)</f>
        <v>-1000</v>
      </c>
      <c r="BT145">
        <f>IF(AND(CROQUIS!$C$88=1,CROQUIS!$C$91=0,CROQUIS!$C$133&gt;0,OR(CROQUIS!$C$104=1,CROQUIS!$C$145=1)),((CROQUIS!$C$160+(IF(CROQUIS!$C$92="X",CHOOSE(IF(INT(($A145-1)/5)&gt;MAX((MAX(1,INT(((CROQUIS!$C$98)-CROQUIS!$C$107)/MAX((CROQUIS!$C$133*MAX(1,CEILING((INT(((CROQUIS!$C$98)-CROQUIS!$C$107)/MAX(CROQUIS!$C$133,1))+1)/80,1))),1))+1))-1,0),0,MOD($A145-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BU1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CROQUIS!$C$97,CROQUIS!$C$97-CROQUIS!$C$107/2-CROQUIS!$C$143,IF(CROQUIS!$C$104=1,CROQUIS!$C$97+12,CROQUIS!$C$97-2),CROQUIS!$C$97-CROQUIS!$C$107/2-CROQUIS!$C$143,CROQUIS!$C$97)))*CROQUIS!$C$159)+IF(CROQUIS!$C$92="X",0.8,0)),-1000)</f>
        <v>-1000</v>
      </c>
      <c r="BV1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HOOSE(IF(INT(($A145-1)/5)&gt;MAX((MAX(1,INT(((CROQUIS!$C$97)-CROQUIS!$C$107)/MAX((CROQUIS!$C$141*MAX(1,CEILING((INT(((CROQUIS!$C$97)-CROQUIS!$C$107)/MAX(CROQUIS!$C$141,1))+1)/80,1))),1))+1))-1,0),0,MOD($A145-1,5))+1,0,IF(CROQUIS!$C$105=1,-12,2),CROQUIS!$C$107/2+CROQUIS!$C$144,IF(CROQUIS!$C$105=1,-12,2),0)))*CROQUIS!$C$159)+IF(CROQUIS!$C$92="X",0.8,0)),-1000)</f>
        <v>-1000</v>
      </c>
      <c r="BW145">
        <f>IF(AND(CROQUIS!$C$88=1,CROQUIS!$C$91=0,CROQUIS!$C$141&gt;0,OR(CROQUIS!$C$105=1,CROQUIS!$C$146=1)),((CROQUIS!$C$161+(IF(CROQUIS!$C$92="X",CHOOSE(IF(INT(($A145-1)/5)&gt;MAX((MAX(1,INT(((CROQUIS!$C$97)-CROQUIS!$C$107)/MAX((CROQUIS!$C$141*MAX(1,CEILING((INT(((CROQUIS!$C$97)-CROQUIS!$C$107)/MAX(CROQUIS!$C$141,1))+1)/80,1))),1))+1))-1,0),0,MOD($A145-1,5))+1,0,IF(CROQUIS!$C$105=1,-12,2),CROQUIS!$C$107/2+CROQUIS!$C$144,IF(CROQUIS!$C$105=1,-12,2),0),((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ROQUIS!$C$159)+IF(CROQUIS!$C$92="X",0,0.8)),-1000)</f>
        <v>-1000</v>
      </c>
      <c r="BX1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HOOSE(IF(INT(($A145-1)/5)&gt;MAX((MAX(1,INT(((CROQUIS!$C$97)-CROQUIS!$C$107)/MAX((CROQUIS!$C$141*MAX(1,CEILING((INT(((CROQUIS!$C$97)-CROQUIS!$C$107)/MAX(CROQUIS!$C$141,1))+1)/80,1))),1))+1))-1,0),0,MOD($A145-1,5))+1,CROQUIS!$C$98,CROQUIS!$C$98-CROQUIS!$C$107/2-CROQUIS!$C$144,IF(CROQUIS!$C$106=1,CROQUIS!$C$98+12,CROQUIS!$C$98-2),CROQUIS!$C$98-CROQUIS!$C$107/2-CROQUIS!$C$144,CROQUIS!$C$98)))*CROQUIS!$C$159)+IF(CROQUIS!$C$92="X",0.8,0)),-1000)</f>
        <v>-1000</v>
      </c>
      <c r="BY145">
        <f>IF(AND(CROQUIS!$C$88=1,CROQUIS!$C$91=0,CROQUIS!$C$141&gt;0,OR(CROQUIS!$C$106=1,CROQUIS!$C$146=1)),((CROQUIS!$C$161+(IF(CROQUIS!$C$92="X",CHOOSE(IF(INT(($A145-1)/5)&gt;MAX((MAX(1,INT(((CROQUIS!$C$97)-CROQUIS!$C$107)/MAX((CROQUIS!$C$141*MAX(1,CEILING((INT(((CROQUIS!$C$97)-CROQUIS!$C$107)/MAX(CROQUIS!$C$141,1))+1)/80,1))),1))+1))-1,0),0,MOD($A145-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ROQUIS!$C$159)+IF(CROQUIS!$C$92="X",0,0.8)),-1000)</f>
        <v>-1000</v>
      </c>
      <c r="BZ145">
        <f>IF(AND(CROQUIS!$C$88=1,CROQUIS!$C$91=1,CROQUIS!$C$133&gt;0),((CROQUIS!$C$160+(IF(CROQUIS!$C$92="X",CHOOSE(IF(INT(($A145-1)/5)&gt;MAX((MAX(1,INT(((CROQUIS!$C$98)-CROQUIS!$C$107)/MAX((CROQUIS!$C$133*MAX(1,CEILING((INT(((CROQUIS!$C$98)-CROQUIS!$C$107)/MAX(CROQUIS!$C$133,1))+1)/80,1))),1))+1))-1,0),0,MOD($A145-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CA145">
        <f>IF(AND(CROQUIS!$C$88=1,CROQUIS!$C$91=1,CROQUIS!$C$133&gt;0),((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6">
      <c r="A146" t="n">
        <v>139</v>
      </c>
      <c r="BN146">
        <f>IF(AND(CROQUIS!$C$88=1,CROQUIS!$C$129&gt;0),((CROQUIS!$C$160+(IF(CROQUIS!$C$92="X",CHOOSE(IF(INT(($A146-1)/5)&gt;MAX((MAX(1,INT(((CROQUIS!$C$98)-CROQUIS!$C$107)/MAX((CROQUIS!$C$129*MAX(1,CEILING((INT(((CROQUIS!$C$98)-CROQUIS!$C$107)/MAX(CROQUIS!$C$129,1))+1)/80,1))),1))+1))-1,0),0,MOD($A146-1,5))+1,0,2,CROQUIS!$C$97-2,2,0),((CROQUIS!$C$107/2+(((CROQUIS!$C$98)-CROQUIS!$C$107)-(MAX(1,INT(((CROQUIS!$C$98)-CROQUIS!$C$107)/MAX((CROQUIS!$C$129*MAX(1,CEILING((INT(((CROQUIS!$C$98)-CROQUIS!$C$107)/MAX(CROQUIS!$C$129,1))+1)/80,1))),1))+1)-1)*(CROQUIS!$C$129*MAX(1,CEILING((INT(((CROQUIS!$C$98)-CROQUIS!$C$107)/MAX(CROQUIS!$C$129,1))+1)/80,1))))/2)+MIN(INT(($A146-1)/5),MAX((MAX(1,INT(((CROQUIS!$C$98)-CROQUIS!$C$107)/MAX((CROQUIS!$C$129*MAX(1,CEILING((INT(((CROQUIS!$C$98)-CROQUIS!$C$107)/MAX(CROQUIS!$C$129,1))+1)/80,1))),1))+1))-1,0))*(CROQUIS!$C$129*MAX(1,CEILING((INT(((CROQUIS!$C$98)-CROQUIS!$C$107)/MAX(CROQUIS!$C$129,1))+1)/80,1))))))*CROQUIS!$C$159)+IF(CROQUIS!$C$92="X",0,0)),-1000)</f>
        <v>-1000</v>
      </c>
      <c r="BO146">
        <f>IF(AND(CROQUIS!$C$88=1,CROQUIS!$C$129&gt;0),((CROQUIS!$C$161+(IF(CROQUIS!$C$92="X",((CROQUIS!$C$107/2+(((CROQUIS!$C$98)-CROQUIS!$C$107)-(MAX(1,INT(((CROQUIS!$C$98)-CROQUIS!$C$107)/MAX((CROQUIS!$C$129*MAX(1,CEILING((INT(((CROQUIS!$C$98)-CROQUIS!$C$107)/MAX(CROQUIS!$C$129,1))+1)/80,1))),1))+1)-1)*(CROQUIS!$C$129*MAX(1,CEILING((INT(((CROQUIS!$C$98)-CROQUIS!$C$107)/MAX(CROQUIS!$C$129,1))+1)/80,1))))/2)+MIN(INT(($A146-1)/5),MAX((MAX(1,INT(((CROQUIS!$C$98)-CROQUIS!$C$107)/MAX((CROQUIS!$C$129*MAX(1,CEILING((INT(((CROQUIS!$C$98)-CROQUIS!$C$107)/MAX(CROQUIS!$C$129,1))+1)/80,1))),1))+1))-1,0))*(CROQUIS!$C$129*MAX(1,CEILING((INT(((CROQUIS!$C$98)-CROQUIS!$C$107)/MAX(CROQUIS!$C$129,1))+1)/80,1)))),CHOOSE(IF(INT(($A146-1)/5)&gt;MAX((MAX(1,INT(((CROQUIS!$C$98)-CROQUIS!$C$107)/MAX((CROQUIS!$C$129*MAX(1,CEILING((INT(((CROQUIS!$C$98)-CROQUIS!$C$107)/MAX(CROQUIS!$C$129,1))+1)/80,1))),1))+1))-1,0),0,MOD($A146-1,5))+1,0,2,CROQUIS!$C$97-2,2,0)))*CROQUIS!$C$159)+IF(CROQUIS!$C$92="X",0,0)),-1000)</f>
        <v>-1000</v>
      </c>
      <c r="BP146">
        <f>IF(AND(CROQUIS!$C$88=1,CROQUIS!$C$137&gt;0),((CROQUIS!$C$160+(IF(CROQUIS!$C$92="X",((CROQUIS!$C$107/2+(((CROQUIS!$C$97)-CROQUIS!$C$107)-(MAX(1,INT(((CROQUIS!$C$97)-CROQUIS!$C$107)/MAX((CROQUIS!$C$137*MAX(1,CEILING((INT(((CROQUIS!$C$97)-CROQUIS!$C$107)/MAX(CROQUIS!$C$137,1))+1)/80,1))),1))+1)-1)*(CROQUIS!$C$137*MAX(1,CEILING((INT(((CROQUIS!$C$97)-CROQUIS!$C$107)/MAX(CROQUIS!$C$137,1))+1)/80,1))))/2)+MIN(INT(($A146-1)/5),MAX((MAX(1,INT(((CROQUIS!$C$97)-CROQUIS!$C$107)/MAX((CROQUIS!$C$137*MAX(1,CEILING((INT(((CROQUIS!$C$97)-CROQUIS!$C$107)/MAX(CROQUIS!$C$137,1))+1)/80,1))),1))+1))-1,0))*(CROQUIS!$C$137*MAX(1,CEILING((INT(((CROQUIS!$C$97)-CROQUIS!$C$107)/MAX(CROQUIS!$C$137,1))+1)/80,1)))),CHOOSE(IF(INT(($A146-1)/5)&gt;MAX((MAX(1,INT(((CROQUIS!$C$97)-CROQUIS!$C$107)/MAX((CROQUIS!$C$137*MAX(1,CEILING((INT(((CROQUIS!$C$97)-CROQUIS!$C$107)/MAX(CROQUIS!$C$137,1))+1)/80,1))),1))+1))-1,0),0,MOD($A146-1,5))+1,0,2,CROQUIS!$C$98-2,2,0)))*CROQUIS!$C$159)+IF(CROQUIS!$C$92="X",0,0)),-1000)</f>
        <v>-1000</v>
      </c>
      <c r="BQ146">
        <f>IF(AND(CROQUIS!$C$88=1,CROQUIS!$C$137&gt;0),((CROQUIS!$C$161+(IF(CROQUIS!$C$92="X",CHOOSE(IF(INT(($A146-1)/5)&gt;MAX((MAX(1,INT(((CROQUIS!$C$97)-CROQUIS!$C$107)/MAX((CROQUIS!$C$137*MAX(1,CEILING((INT(((CROQUIS!$C$97)-CROQUIS!$C$107)/MAX(CROQUIS!$C$137,1))+1)/80,1))),1))+1))-1,0),0,MOD($A146-1,5))+1,0,2,CROQUIS!$C$98-2,2,0),((CROQUIS!$C$107/2+(((CROQUIS!$C$97)-CROQUIS!$C$107)-(MAX(1,INT(((CROQUIS!$C$97)-CROQUIS!$C$107)/MAX((CROQUIS!$C$137*MAX(1,CEILING((INT(((CROQUIS!$C$97)-CROQUIS!$C$107)/MAX(CROQUIS!$C$137,1))+1)/80,1))),1))+1)-1)*(CROQUIS!$C$137*MAX(1,CEILING((INT(((CROQUIS!$C$97)-CROQUIS!$C$107)/MAX(CROQUIS!$C$137,1))+1)/80,1))))/2)+MIN(INT(($A146-1)/5),MAX((MAX(1,INT(((CROQUIS!$C$97)-CROQUIS!$C$107)/MAX((CROQUIS!$C$137*MAX(1,CEILING((INT(((CROQUIS!$C$97)-CROQUIS!$C$107)/MAX(CROQUIS!$C$137,1))+1)/80,1))),1))+1))-1,0))*(CROQUIS!$C$137*MAX(1,CEILING((INT(((CROQUIS!$C$97)-CROQUIS!$C$107)/MAX(CROQUIS!$C$137,1))+1)/80,1))))))*CROQUIS!$C$159)+IF(CROQUIS!$C$92="X",0,0)),-1000)</f>
        <v>-1000</v>
      </c>
      <c r="BR146">
        <f>IF(AND(CROQUIS!$C$88=1,CROQUIS!$C$91=0,CROQUIS!$C$133&gt;0,OR(CROQUIS!$C$103=1,CROQUIS!$C$145=1)),((CROQUIS!$C$160+(IF(CROQUIS!$C$92="X",CHOOSE(IF(INT(($A146-1)/5)&gt;MAX((MAX(1,INT(((CROQUIS!$C$98)-CROQUIS!$C$107)/MAX((CROQUIS!$C$133*MAX(1,CEILING((INT(((CROQUIS!$C$98)-CROQUIS!$C$107)/MAX(CROQUIS!$C$133,1))+1)/80,1))),1))+1))-1,0),0,MOD($A146-1,5))+1,0,IF(CROQUIS!$C$103=1,-12,2),CROQUIS!$C$107/2+CROQUIS!$C$143,IF(CROQUIS!$C$103=1,-12,2),0),((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BS1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+1,0,IF(CROQUIS!$C$103=1,-12,2),CROQUIS!$C$107/2+CROQUIS!$C$143,IF(CROQUIS!$C$103=1,-12,2),0)))*CROQUIS!$C$159)+IF(CROQUIS!$C$92="X",0.8,0)),-1000)</f>
        <v>-1000</v>
      </c>
      <c r="BT146">
        <f>IF(AND(CROQUIS!$C$88=1,CROQUIS!$C$91=0,CROQUIS!$C$133&gt;0,OR(CROQUIS!$C$104=1,CROQUIS!$C$145=1)),((CROQUIS!$C$160+(IF(CROQUIS!$C$92="X",CHOOSE(IF(INT(($A146-1)/5)&gt;MAX((MAX(1,INT(((CROQUIS!$C$98)-CROQUIS!$C$107)/MAX((CROQUIS!$C$133*MAX(1,CEILING((INT(((CROQUIS!$C$98)-CROQUIS!$C$107)/MAX(CROQUIS!$C$133,1))+1)/80,1))),1))+1))-1,0),0,MOD($A146-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BU1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CROQUIS!$C$97,CROQUIS!$C$97-CROQUIS!$C$107/2-CROQUIS!$C$143,IF(CROQUIS!$C$104=1,CROQUIS!$C$97+12,CROQUIS!$C$97-2),CROQUIS!$C$97-CROQUIS!$C$107/2-CROQUIS!$C$143,CROQUIS!$C$97)))*CROQUIS!$C$159)+IF(CROQUIS!$C$92="X",0.8,0)),-1000)</f>
        <v>-1000</v>
      </c>
      <c r="BV1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HOOSE(IF(INT(($A146-1)/5)&gt;MAX((MAX(1,INT(((CROQUIS!$C$97)-CROQUIS!$C$107)/MAX((CROQUIS!$C$141*MAX(1,CEILING((INT(((CROQUIS!$C$97)-CROQUIS!$C$107)/MAX(CROQUIS!$C$141,1))+1)/80,1))),1))+1))-1,0),0,MOD($A146-1,5))+1,0,IF(CROQUIS!$C$105=1,-12,2),CROQUIS!$C$107/2+CROQUIS!$C$144,IF(CROQUIS!$C$105=1,-12,2),0)))*CROQUIS!$C$159)+IF(CROQUIS!$C$92="X",0.8,0)),-1000)</f>
        <v>-1000</v>
      </c>
      <c r="BW146">
        <f>IF(AND(CROQUIS!$C$88=1,CROQUIS!$C$91=0,CROQUIS!$C$141&gt;0,OR(CROQUIS!$C$105=1,CROQUIS!$C$146=1)),((CROQUIS!$C$161+(IF(CROQUIS!$C$92="X",CHOOSE(IF(INT(($A146-1)/5)&gt;MAX((MAX(1,INT(((CROQUIS!$C$97)-CROQUIS!$C$107)/MAX((CROQUIS!$C$141*MAX(1,CEILING((INT(((CROQUIS!$C$97)-CROQUIS!$C$107)/MAX(CROQUIS!$C$141,1))+1)/80,1))),1))+1))-1,0),0,MOD($A146-1,5))+1,0,IF(CROQUIS!$C$105=1,-12,2),CROQUIS!$C$107/2+CROQUIS!$C$144,IF(CROQUIS!$C$105=1,-12,2),0),((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ROQUIS!$C$159)+IF(CROQUIS!$C$92="X",0,0.8)),-1000)</f>
        <v>-1000</v>
      </c>
      <c r="BX1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HOOSE(IF(INT(($A146-1)/5)&gt;MAX((MAX(1,INT(((CROQUIS!$C$97)-CROQUIS!$C$107)/MAX((CROQUIS!$C$141*MAX(1,CEILING((INT(((CROQUIS!$C$97)-CROQUIS!$C$107)/MAX(CROQUIS!$C$141,1))+1)/80,1))),1))+1))-1,0),0,MOD($A146-1,5))+1,CROQUIS!$C$98,CROQUIS!$C$98-CROQUIS!$C$107/2-CROQUIS!$C$144,IF(CROQUIS!$C$106=1,CROQUIS!$C$98+12,CROQUIS!$C$98-2),CROQUIS!$C$98-CROQUIS!$C$107/2-CROQUIS!$C$144,CROQUIS!$C$98)))*CROQUIS!$C$159)+IF(CROQUIS!$C$92="X",0.8,0)),-1000)</f>
        <v>-1000</v>
      </c>
      <c r="BY146">
        <f>IF(AND(CROQUIS!$C$88=1,CROQUIS!$C$91=0,CROQUIS!$C$141&gt;0,OR(CROQUIS!$C$106=1,CROQUIS!$C$146=1)),((CROQUIS!$C$161+(IF(CROQUIS!$C$92="X",CHOOSE(IF(INT(($A146-1)/5)&gt;MAX((MAX(1,INT(((CROQUIS!$C$97)-CROQUIS!$C$107)/MAX((CROQUIS!$C$141*MAX(1,CEILING((INT(((CROQUIS!$C$97)-CROQUIS!$C$107)/MAX(CROQUIS!$C$141,1))+1)/80,1))),1))+1))-1,0),0,MOD($A146-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ROQUIS!$C$159)+IF(CROQUIS!$C$92="X",0,0.8)),-1000)</f>
        <v>-1000</v>
      </c>
      <c r="BZ146">
        <f>IF(AND(CROQUIS!$C$88=1,CROQUIS!$C$91=1,CROQUIS!$C$133&gt;0),((CROQUIS!$C$160+(IF(CROQUIS!$C$92="X",CHOOSE(IF(INT(($A146-1)/5)&gt;MAX((MAX(1,INT(((CROQUIS!$C$98)-CROQUIS!$C$107)/MAX((CROQUIS!$C$133*MAX(1,CEILING((INT(((CROQUIS!$C$98)-CROQUIS!$C$107)/MAX(CROQUIS!$C$133,1))+1)/80,1))),1))+1))-1,0),0,MOD($A146-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CA146">
        <f>IF(AND(CROQUIS!$C$88=1,CROQUIS!$C$91=1,CROQUIS!$C$133&gt;0),((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7">
      <c r="A147" t="n">
        <v>140</v>
      </c>
      <c r="BN147">
        <f>IF(AND(CROQUIS!$C$88=1,CROQUIS!$C$129&gt;0),((CROQUIS!$C$160+(IF(CROQUIS!$C$92="X",CHOOSE(IF(INT(($A147-1)/5)&gt;MAX((MAX(1,INT(((CROQUIS!$C$98)-CROQUIS!$C$107)/MAX((CROQUIS!$C$129*MAX(1,CEILING((INT(((CROQUIS!$C$98)-CROQUIS!$C$107)/MAX(CROQUIS!$C$129,1))+1)/80,1))),1))+1))-1,0),0,MOD($A147-1,5))+1,0,2,CROQUIS!$C$97-2,2,0),((CROQUIS!$C$107/2+(((CROQUIS!$C$98)-CROQUIS!$C$107)-(MAX(1,INT(((CROQUIS!$C$98)-CROQUIS!$C$107)/MAX((CROQUIS!$C$129*MAX(1,CEILING((INT(((CROQUIS!$C$98)-CROQUIS!$C$107)/MAX(CROQUIS!$C$129,1))+1)/80,1))),1))+1)-1)*(CROQUIS!$C$129*MAX(1,CEILING((INT(((CROQUIS!$C$98)-CROQUIS!$C$107)/MAX(CROQUIS!$C$129,1))+1)/80,1))))/2)+MIN(INT(($A147-1)/5),MAX((MAX(1,INT(((CROQUIS!$C$98)-CROQUIS!$C$107)/MAX((CROQUIS!$C$129*MAX(1,CEILING((INT(((CROQUIS!$C$98)-CROQUIS!$C$107)/MAX(CROQUIS!$C$129,1))+1)/80,1))),1))+1))-1,0))*(CROQUIS!$C$129*MAX(1,CEILING((INT(((CROQUIS!$C$98)-CROQUIS!$C$107)/MAX(CROQUIS!$C$129,1))+1)/80,1))))))*CROQUIS!$C$159)+IF(CROQUIS!$C$92="X",0,0)),-1000)</f>
        <v>-1000</v>
      </c>
      <c r="BO147">
        <f>IF(AND(CROQUIS!$C$88=1,CROQUIS!$C$129&gt;0),((CROQUIS!$C$161+(IF(CROQUIS!$C$92="X",((CROQUIS!$C$107/2+(((CROQUIS!$C$98)-CROQUIS!$C$107)-(MAX(1,INT(((CROQUIS!$C$98)-CROQUIS!$C$107)/MAX((CROQUIS!$C$129*MAX(1,CEILING((INT(((CROQUIS!$C$98)-CROQUIS!$C$107)/MAX(CROQUIS!$C$129,1))+1)/80,1))),1))+1)-1)*(CROQUIS!$C$129*MAX(1,CEILING((INT(((CROQUIS!$C$98)-CROQUIS!$C$107)/MAX(CROQUIS!$C$129,1))+1)/80,1))))/2)+MIN(INT(($A147-1)/5),MAX((MAX(1,INT(((CROQUIS!$C$98)-CROQUIS!$C$107)/MAX((CROQUIS!$C$129*MAX(1,CEILING((INT(((CROQUIS!$C$98)-CROQUIS!$C$107)/MAX(CROQUIS!$C$129,1))+1)/80,1))),1))+1))-1,0))*(CROQUIS!$C$129*MAX(1,CEILING((INT(((CROQUIS!$C$98)-CROQUIS!$C$107)/MAX(CROQUIS!$C$129,1))+1)/80,1)))),CHOOSE(IF(INT(($A147-1)/5)&gt;MAX((MAX(1,INT(((CROQUIS!$C$98)-CROQUIS!$C$107)/MAX((CROQUIS!$C$129*MAX(1,CEILING((INT(((CROQUIS!$C$98)-CROQUIS!$C$107)/MAX(CROQUIS!$C$129,1))+1)/80,1))),1))+1))-1,0),0,MOD($A147-1,5))+1,0,2,CROQUIS!$C$97-2,2,0)))*CROQUIS!$C$159)+IF(CROQUIS!$C$92="X",0,0)),-1000)</f>
        <v>-1000</v>
      </c>
      <c r="BP147">
        <f>IF(AND(CROQUIS!$C$88=1,CROQUIS!$C$137&gt;0),((CROQUIS!$C$160+(IF(CROQUIS!$C$92="X",((CROQUIS!$C$107/2+(((CROQUIS!$C$97)-CROQUIS!$C$107)-(MAX(1,INT(((CROQUIS!$C$97)-CROQUIS!$C$107)/MAX((CROQUIS!$C$137*MAX(1,CEILING((INT(((CROQUIS!$C$97)-CROQUIS!$C$107)/MAX(CROQUIS!$C$137,1))+1)/80,1))),1))+1)-1)*(CROQUIS!$C$137*MAX(1,CEILING((INT(((CROQUIS!$C$97)-CROQUIS!$C$107)/MAX(CROQUIS!$C$137,1))+1)/80,1))))/2)+MIN(INT(($A147-1)/5),MAX((MAX(1,INT(((CROQUIS!$C$97)-CROQUIS!$C$107)/MAX((CROQUIS!$C$137*MAX(1,CEILING((INT(((CROQUIS!$C$97)-CROQUIS!$C$107)/MAX(CROQUIS!$C$137,1))+1)/80,1))),1))+1))-1,0))*(CROQUIS!$C$137*MAX(1,CEILING((INT(((CROQUIS!$C$97)-CROQUIS!$C$107)/MAX(CROQUIS!$C$137,1))+1)/80,1)))),CHOOSE(IF(INT(($A147-1)/5)&gt;MAX((MAX(1,INT(((CROQUIS!$C$97)-CROQUIS!$C$107)/MAX((CROQUIS!$C$137*MAX(1,CEILING((INT(((CROQUIS!$C$97)-CROQUIS!$C$107)/MAX(CROQUIS!$C$137,1))+1)/80,1))),1))+1))-1,0),0,MOD($A147-1,5))+1,0,2,CROQUIS!$C$98-2,2,0)))*CROQUIS!$C$159)+IF(CROQUIS!$C$92="X",0,0)),-1000)</f>
        <v>-1000</v>
      </c>
      <c r="BQ147">
        <f>IF(AND(CROQUIS!$C$88=1,CROQUIS!$C$137&gt;0),((CROQUIS!$C$161+(IF(CROQUIS!$C$92="X",CHOOSE(IF(INT(($A147-1)/5)&gt;MAX((MAX(1,INT(((CROQUIS!$C$97)-CROQUIS!$C$107)/MAX((CROQUIS!$C$137*MAX(1,CEILING((INT(((CROQUIS!$C$97)-CROQUIS!$C$107)/MAX(CROQUIS!$C$137,1))+1)/80,1))),1))+1))-1,0),0,MOD($A147-1,5))+1,0,2,CROQUIS!$C$98-2,2,0),((CROQUIS!$C$107/2+(((CROQUIS!$C$97)-CROQUIS!$C$107)-(MAX(1,INT(((CROQUIS!$C$97)-CROQUIS!$C$107)/MAX((CROQUIS!$C$137*MAX(1,CEILING((INT(((CROQUIS!$C$97)-CROQUIS!$C$107)/MAX(CROQUIS!$C$137,1))+1)/80,1))),1))+1)-1)*(CROQUIS!$C$137*MAX(1,CEILING((INT(((CROQUIS!$C$97)-CROQUIS!$C$107)/MAX(CROQUIS!$C$137,1))+1)/80,1))))/2)+MIN(INT(($A147-1)/5),MAX((MAX(1,INT(((CROQUIS!$C$97)-CROQUIS!$C$107)/MAX((CROQUIS!$C$137*MAX(1,CEILING((INT(((CROQUIS!$C$97)-CROQUIS!$C$107)/MAX(CROQUIS!$C$137,1))+1)/80,1))),1))+1))-1,0))*(CROQUIS!$C$137*MAX(1,CEILING((INT(((CROQUIS!$C$97)-CROQUIS!$C$107)/MAX(CROQUIS!$C$137,1))+1)/80,1))))))*CROQUIS!$C$159)+IF(CROQUIS!$C$92="X",0,0)),-1000)</f>
        <v>-1000</v>
      </c>
      <c r="BR147">
        <f>IF(AND(CROQUIS!$C$88=1,CROQUIS!$C$91=0,CROQUIS!$C$133&gt;0,OR(CROQUIS!$C$103=1,CROQUIS!$C$145=1)),((CROQUIS!$C$160+(IF(CROQUIS!$C$92="X",CHOOSE(IF(INT(($A147-1)/5)&gt;MAX((MAX(1,INT(((CROQUIS!$C$98)-CROQUIS!$C$107)/MAX((CROQUIS!$C$133*MAX(1,CEILING((INT(((CROQUIS!$C$98)-CROQUIS!$C$107)/MAX(CROQUIS!$C$133,1))+1)/80,1))),1))+1))-1,0),0,MOD($A147-1,5))+1,0,IF(CROQUIS!$C$103=1,-12,2),CROQUIS!$C$107/2+CROQUIS!$C$143,IF(CROQUIS!$C$103=1,-12,2),0),((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BS1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+1,0,IF(CROQUIS!$C$103=1,-12,2),CROQUIS!$C$107/2+CROQUIS!$C$143,IF(CROQUIS!$C$103=1,-12,2),0)))*CROQUIS!$C$159)+IF(CROQUIS!$C$92="X",0.8,0)),-1000)</f>
        <v>-1000</v>
      </c>
      <c r="BT147">
        <f>IF(AND(CROQUIS!$C$88=1,CROQUIS!$C$91=0,CROQUIS!$C$133&gt;0,OR(CROQUIS!$C$104=1,CROQUIS!$C$145=1)),((CROQUIS!$C$160+(IF(CROQUIS!$C$92="X",CHOOSE(IF(INT(($A147-1)/5)&gt;MAX((MAX(1,INT(((CROQUIS!$C$98)-CROQUIS!$C$107)/MAX((CROQUIS!$C$133*MAX(1,CEILING((INT(((CROQUIS!$C$98)-CROQUIS!$C$107)/MAX(CROQUIS!$C$133,1))+1)/80,1))),1))+1))-1,0),0,MOD($A147-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BU1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CROQUIS!$C$97,CROQUIS!$C$97-CROQUIS!$C$107/2-CROQUIS!$C$143,IF(CROQUIS!$C$104=1,CROQUIS!$C$97+12,CROQUIS!$C$97-2),CROQUIS!$C$97-CROQUIS!$C$107/2-CROQUIS!$C$143,CROQUIS!$C$97)))*CROQUIS!$C$159)+IF(CROQUIS!$C$92="X",0.8,0)),-1000)</f>
        <v>-1000</v>
      </c>
      <c r="BV1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HOOSE(IF(INT(($A147-1)/5)&gt;MAX((MAX(1,INT(((CROQUIS!$C$97)-CROQUIS!$C$107)/MAX((CROQUIS!$C$141*MAX(1,CEILING((INT(((CROQUIS!$C$97)-CROQUIS!$C$107)/MAX(CROQUIS!$C$141,1))+1)/80,1))),1))+1))-1,0),0,MOD($A147-1,5))+1,0,IF(CROQUIS!$C$105=1,-12,2),CROQUIS!$C$107/2+CROQUIS!$C$144,IF(CROQUIS!$C$105=1,-12,2),0)))*CROQUIS!$C$159)+IF(CROQUIS!$C$92="X",0.8,0)),-1000)</f>
        <v>-1000</v>
      </c>
      <c r="BW147">
        <f>IF(AND(CROQUIS!$C$88=1,CROQUIS!$C$91=0,CROQUIS!$C$141&gt;0,OR(CROQUIS!$C$105=1,CROQUIS!$C$146=1)),((CROQUIS!$C$161+(IF(CROQUIS!$C$92="X",CHOOSE(IF(INT(($A147-1)/5)&gt;MAX((MAX(1,INT(((CROQUIS!$C$97)-CROQUIS!$C$107)/MAX((CROQUIS!$C$141*MAX(1,CEILING((INT(((CROQUIS!$C$97)-CROQUIS!$C$107)/MAX(CROQUIS!$C$141,1))+1)/80,1))),1))+1))-1,0),0,MOD($A147-1,5))+1,0,IF(CROQUIS!$C$105=1,-12,2),CROQUIS!$C$107/2+CROQUIS!$C$144,IF(CROQUIS!$C$105=1,-12,2),0),((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ROQUIS!$C$159)+IF(CROQUIS!$C$92="X",0,0.8)),-1000)</f>
        <v>-1000</v>
      </c>
      <c r="BX1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HOOSE(IF(INT(($A147-1)/5)&gt;MAX((MAX(1,INT(((CROQUIS!$C$97)-CROQUIS!$C$107)/MAX((CROQUIS!$C$141*MAX(1,CEILING((INT(((CROQUIS!$C$97)-CROQUIS!$C$107)/MAX(CROQUIS!$C$141,1))+1)/80,1))),1))+1))-1,0),0,MOD($A147-1,5))+1,CROQUIS!$C$98,CROQUIS!$C$98-CROQUIS!$C$107/2-CROQUIS!$C$144,IF(CROQUIS!$C$106=1,CROQUIS!$C$98+12,CROQUIS!$C$98-2),CROQUIS!$C$98-CROQUIS!$C$107/2-CROQUIS!$C$144,CROQUIS!$C$98)))*CROQUIS!$C$159)+IF(CROQUIS!$C$92="X",0.8,0)),-1000)</f>
        <v>-1000</v>
      </c>
      <c r="BY147">
        <f>IF(AND(CROQUIS!$C$88=1,CROQUIS!$C$91=0,CROQUIS!$C$141&gt;0,OR(CROQUIS!$C$106=1,CROQUIS!$C$146=1)),((CROQUIS!$C$161+(IF(CROQUIS!$C$92="X",CHOOSE(IF(INT(($A147-1)/5)&gt;MAX((MAX(1,INT(((CROQUIS!$C$97)-CROQUIS!$C$107)/MAX((CROQUIS!$C$141*MAX(1,CEILING((INT(((CROQUIS!$C$97)-CROQUIS!$C$107)/MAX(CROQUIS!$C$141,1))+1)/80,1))),1))+1))-1,0),0,MOD($A147-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ROQUIS!$C$159)+IF(CROQUIS!$C$92="X",0,0.8)),-1000)</f>
        <v>-1000</v>
      </c>
      <c r="BZ147">
        <f>IF(AND(CROQUIS!$C$88=1,CROQUIS!$C$91=1,CROQUIS!$C$133&gt;0),((CROQUIS!$C$160+(IF(CROQUIS!$C$92="X",CHOOSE(IF(INT(($A147-1)/5)&gt;MAX((MAX(1,INT(((CROQUIS!$C$98)-CROQUIS!$C$107)/MAX((CROQUIS!$C$133*MAX(1,CEILING((INT(((CROQUIS!$C$98)-CROQUIS!$C$107)/MAX(CROQUIS!$C$133,1))+1)/80,1))),1))+1))-1,0),0,MOD($A147-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CA147">
        <f>IF(AND(CROQUIS!$C$88=1,CROQUIS!$C$91=1,CROQUIS!$C$133&gt;0),((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8">
      <c r="A148" t="n">
        <v>141</v>
      </c>
      <c r="BN148">
        <f>IF(AND(CROQUIS!$C$88=1,CROQUIS!$C$129&gt;0),((CROQUIS!$C$160+(IF(CROQUIS!$C$92="X",CHOOSE(IF(INT(($A148-1)/5)&gt;MAX((MAX(1,INT(((CROQUIS!$C$98)-CROQUIS!$C$107)/MAX((CROQUIS!$C$129*MAX(1,CEILING((INT(((CROQUIS!$C$98)-CROQUIS!$C$107)/MAX(CROQUIS!$C$129,1))+1)/80,1))),1))+1))-1,0),0,MOD($A148-1,5))+1,0,2,CROQUIS!$C$97-2,2,0),((CROQUIS!$C$107/2+(((CROQUIS!$C$98)-CROQUIS!$C$107)-(MAX(1,INT(((CROQUIS!$C$98)-CROQUIS!$C$107)/MAX((CROQUIS!$C$129*MAX(1,CEILING((INT(((CROQUIS!$C$98)-CROQUIS!$C$107)/MAX(CROQUIS!$C$129,1))+1)/80,1))),1))+1)-1)*(CROQUIS!$C$129*MAX(1,CEILING((INT(((CROQUIS!$C$98)-CROQUIS!$C$107)/MAX(CROQUIS!$C$129,1))+1)/80,1))))/2)+MIN(INT(($A148-1)/5),MAX((MAX(1,INT(((CROQUIS!$C$98)-CROQUIS!$C$107)/MAX((CROQUIS!$C$129*MAX(1,CEILING((INT(((CROQUIS!$C$98)-CROQUIS!$C$107)/MAX(CROQUIS!$C$129,1))+1)/80,1))),1))+1))-1,0))*(CROQUIS!$C$129*MAX(1,CEILING((INT(((CROQUIS!$C$98)-CROQUIS!$C$107)/MAX(CROQUIS!$C$129,1))+1)/80,1))))))*CROQUIS!$C$159)+IF(CROQUIS!$C$92="X",0,0)),-1000)</f>
        <v>-1000</v>
      </c>
      <c r="BO148">
        <f>IF(AND(CROQUIS!$C$88=1,CROQUIS!$C$129&gt;0),((CROQUIS!$C$161+(IF(CROQUIS!$C$92="X",((CROQUIS!$C$107/2+(((CROQUIS!$C$98)-CROQUIS!$C$107)-(MAX(1,INT(((CROQUIS!$C$98)-CROQUIS!$C$107)/MAX((CROQUIS!$C$129*MAX(1,CEILING((INT(((CROQUIS!$C$98)-CROQUIS!$C$107)/MAX(CROQUIS!$C$129,1))+1)/80,1))),1))+1)-1)*(CROQUIS!$C$129*MAX(1,CEILING((INT(((CROQUIS!$C$98)-CROQUIS!$C$107)/MAX(CROQUIS!$C$129,1))+1)/80,1))))/2)+MIN(INT(($A148-1)/5),MAX((MAX(1,INT(((CROQUIS!$C$98)-CROQUIS!$C$107)/MAX((CROQUIS!$C$129*MAX(1,CEILING((INT(((CROQUIS!$C$98)-CROQUIS!$C$107)/MAX(CROQUIS!$C$129,1))+1)/80,1))),1))+1))-1,0))*(CROQUIS!$C$129*MAX(1,CEILING((INT(((CROQUIS!$C$98)-CROQUIS!$C$107)/MAX(CROQUIS!$C$129,1))+1)/80,1)))),CHOOSE(IF(INT(($A148-1)/5)&gt;MAX((MAX(1,INT(((CROQUIS!$C$98)-CROQUIS!$C$107)/MAX((CROQUIS!$C$129*MAX(1,CEILING((INT(((CROQUIS!$C$98)-CROQUIS!$C$107)/MAX(CROQUIS!$C$129,1))+1)/80,1))),1))+1))-1,0),0,MOD($A148-1,5))+1,0,2,CROQUIS!$C$97-2,2,0)))*CROQUIS!$C$159)+IF(CROQUIS!$C$92="X",0,0)),-1000)</f>
        <v>-1000</v>
      </c>
      <c r="BP148">
        <f>IF(AND(CROQUIS!$C$88=1,CROQUIS!$C$137&gt;0),((CROQUIS!$C$160+(IF(CROQUIS!$C$92="X",((CROQUIS!$C$107/2+(((CROQUIS!$C$97)-CROQUIS!$C$107)-(MAX(1,INT(((CROQUIS!$C$97)-CROQUIS!$C$107)/MAX((CROQUIS!$C$137*MAX(1,CEILING((INT(((CROQUIS!$C$97)-CROQUIS!$C$107)/MAX(CROQUIS!$C$137,1))+1)/80,1))),1))+1)-1)*(CROQUIS!$C$137*MAX(1,CEILING((INT(((CROQUIS!$C$97)-CROQUIS!$C$107)/MAX(CROQUIS!$C$137,1))+1)/80,1))))/2)+MIN(INT(($A148-1)/5),MAX((MAX(1,INT(((CROQUIS!$C$97)-CROQUIS!$C$107)/MAX((CROQUIS!$C$137*MAX(1,CEILING((INT(((CROQUIS!$C$97)-CROQUIS!$C$107)/MAX(CROQUIS!$C$137,1))+1)/80,1))),1))+1))-1,0))*(CROQUIS!$C$137*MAX(1,CEILING((INT(((CROQUIS!$C$97)-CROQUIS!$C$107)/MAX(CROQUIS!$C$137,1))+1)/80,1)))),CHOOSE(IF(INT(($A148-1)/5)&gt;MAX((MAX(1,INT(((CROQUIS!$C$97)-CROQUIS!$C$107)/MAX((CROQUIS!$C$137*MAX(1,CEILING((INT(((CROQUIS!$C$97)-CROQUIS!$C$107)/MAX(CROQUIS!$C$137,1))+1)/80,1))),1))+1))-1,0),0,MOD($A148-1,5))+1,0,2,CROQUIS!$C$98-2,2,0)))*CROQUIS!$C$159)+IF(CROQUIS!$C$92="X",0,0)),-1000)</f>
        <v>-1000</v>
      </c>
      <c r="BQ148">
        <f>IF(AND(CROQUIS!$C$88=1,CROQUIS!$C$137&gt;0),((CROQUIS!$C$161+(IF(CROQUIS!$C$92="X",CHOOSE(IF(INT(($A148-1)/5)&gt;MAX((MAX(1,INT(((CROQUIS!$C$97)-CROQUIS!$C$107)/MAX((CROQUIS!$C$137*MAX(1,CEILING((INT(((CROQUIS!$C$97)-CROQUIS!$C$107)/MAX(CROQUIS!$C$137,1))+1)/80,1))),1))+1))-1,0),0,MOD($A148-1,5))+1,0,2,CROQUIS!$C$98-2,2,0),((CROQUIS!$C$107/2+(((CROQUIS!$C$97)-CROQUIS!$C$107)-(MAX(1,INT(((CROQUIS!$C$97)-CROQUIS!$C$107)/MAX((CROQUIS!$C$137*MAX(1,CEILING((INT(((CROQUIS!$C$97)-CROQUIS!$C$107)/MAX(CROQUIS!$C$137,1))+1)/80,1))),1))+1)-1)*(CROQUIS!$C$137*MAX(1,CEILING((INT(((CROQUIS!$C$97)-CROQUIS!$C$107)/MAX(CROQUIS!$C$137,1))+1)/80,1))))/2)+MIN(INT(($A148-1)/5),MAX((MAX(1,INT(((CROQUIS!$C$97)-CROQUIS!$C$107)/MAX((CROQUIS!$C$137*MAX(1,CEILING((INT(((CROQUIS!$C$97)-CROQUIS!$C$107)/MAX(CROQUIS!$C$137,1))+1)/80,1))),1))+1))-1,0))*(CROQUIS!$C$137*MAX(1,CEILING((INT(((CROQUIS!$C$97)-CROQUIS!$C$107)/MAX(CROQUIS!$C$137,1))+1)/80,1))))))*CROQUIS!$C$159)+IF(CROQUIS!$C$92="X",0,0)),-1000)</f>
        <v>-1000</v>
      </c>
      <c r="BR148">
        <f>IF(AND(CROQUIS!$C$88=1,CROQUIS!$C$91=0,CROQUIS!$C$133&gt;0,OR(CROQUIS!$C$103=1,CROQUIS!$C$145=1)),((CROQUIS!$C$160+(IF(CROQUIS!$C$92="X",CHOOSE(IF(INT(($A148-1)/5)&gt;MAX((MAX(1,INT(((CROQUIS!$C$98)-CROQUIS!$C$107)/MAX((CROQUIS!$C$133*MAX(1,CEILING((INT(((CROQUIS!$C$98)-CROQUIS!$C$107)/MAX(CROQUIS!$C$133,1))+1)/80,1))),1))+1))-1,0),0,MOD($A148-1,5))+1,0,IF(CROQUIS!$C$103=1,-12,2),CROQUIS!$C$107/2+CROQUIS!$C$143,IF(CROQUIS!$C$103=1,-12,2),0),((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BS1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+1,0,IF(CROQUIS!$C$103=1,-12,2),CROQUIS!$C$107/2+CROQUIS!$C$143,IF(CROQUIS!$C$103=1,-12,2),0)))*CROQUIS!$C$159)+IF(CROQUIS!$C$92="X",0.8,0)),-1000)</f>
        <v>-1000</v>
      </c>
      <c r="BT148">
        <f>IF(AND(CROQUIS!$C$88=1,CROQUIS!$C$91=0,CROQUIS!$C$133&gt;0,OR(CROQUIS!$C$104=1,CROQUIS!$C$145=1)),((CROQUIS!$C$160+(IF(CROQUIS!$C$92="X",CHOOSE(IF(INT(($A148-1)/5)&gt;MAX((MAX(1,INT(((CROQUIS!$C$98)-CROQUIS!$C$107)/MAX((CROQUIS!$C$133*MAX(1,CEILING((INT(((CROQUIS!$C$98)-CROQUIS!$C$107)/MAX(CROQUIS!$C$133,1))+1)/80,1))),1))+1))-1,0),0,MOD($A148-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BU1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CROQUIS!$C$97,CROQUIS!$C$97-CROQUIS!$C$107/2-CROQUIS!$C$143,IF(CROQUIS!$C$104=1,CROQUIS!$C$97+12,CROQUIS!$C$97-2),CROQUIS!$C$97-CROQUIS!$C$107/2-CROQUIS!$C$143,CROQUIS!$C$97)))*CROQUIS!$C$159)+IF(CROQUIS!$C$92="X",0.8,0)),-1000)</f>
        <v>-1000</v>
      </c>
      <c r="BV1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HOOSE(IF(INT(($A148-1)/5)&gt;MAX((MAX(1,INT(((CROQUIS!$C$97)-CROQUIS!$C$107)/MAX((CROQUIS!$C$141*MAX(1,CEILING((INT(((CROQUIS!$C$97)-CROQUIS!$C$107)/MAX(CROQUIS!$C$141,1))+1)/80,1))),1))+1))-1,0),0,MOD($A148-1,5))+1,0,IF(CROQUIS!$C$105=1,-12,2),CROQUIS!$C$107/2+CROQUIS!$C$144,IF(CROQUIS!$C$105=1,-12,2),0)))*CROQUIS!$C$159)+IF(CROQUIS!$C$92="X",0.8,0)),-1000)</f>
        <v>-1000</v>
      </c>
      <c r="BW148">
        <f>IF(AND(CROQUIS!$C$88=1,CROQUIS!$C$91=0,CROQUIS!$C$141&gt;0,OR(CROQUIS!$C$105=1,CROQUIS!$C$146=1)),((CROQUIS!$C$161+(IF(CROQUIS!$C$92="X",CHOOSE(IF(INT(($A148-1)/5)&gt;MAX((MAX(1,INT(((CROQUIS!$C$97)-CROQUIS!$C$107)/MAX((CROQUIS!$C$141*MAX(1,CEILING((INT(((CROQUIS!$C$97)-CROQUIS!$C$107)/MAX(CROQUIS!$C$141,1))+1)/80,1))),1))+1))-1,0),0,MOD($A148-1,5))+1,0,IF(CROQUIS!$C$105=1,-12,2),CROQUIS!$C$107/2+CROQUIS!$C$144,IF(CROQUIS!$C$105=1,-12,2),0),((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ROQUIS!$C$159)+IF(CROQUIS!$C$92="X",0,0.8)),-1000)</f>
        <v>-1000</v>
      </c>
      <c r="BX1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HOOSE(IF(INT(($A148-1)/5)&gt;MAX((MAX(1,INT(((CROQUIS!$C$97)-CROQUIS!$C$107)/MAX((CROQUIS!$C$141*MAX(1,CEILING((INT(((CROQUIS!$C$97)-CROQUIS!$C$107)/MAX(CROQUIS!$C$141,1))+1)/80,1))),1))+1))-1,0),0,MOD($A148-1,5))+1,CROQUIS!$C$98,CROQUIS!$C$98-CROQUIS!$C$107/2-CROQUIS!$C$144,IF(CROQUIS!$C$106=1,CROQUIS!$C$98+12,CROQUIS!$C$98-2),CROQUIS!$C$98-CROQUIS!$C$107/2-CROQUIS!$C$144,CROQUIS!$C$98)))*CROQUIS!$C$159)+IF(CROQUIS!$C$92="X",0.8,0)),-1000)</f>
        <v>-1000</v>
      </c>
      <c r="BY148">
        <f>IF(AND(CROQUIS!$C$88=1,CROQUIS!$C$91=0,CROQUIS!$C$141&gt;0,OR(CROQUIS!$C$106=1,CROQUIS!$C$146=1)),((CROQUIS!$C$161+(IF(CROQUIS!$C$92="X",CHOOSE(IF(INT(($A148-1)/5)&gt;MAX((MAX(1,INT(((CROQUIS!$C$97)-CROQUIS!$C$107)/MAX((CROQUIS!$C$141*MAX(1,CEILING((INT(((CROQUIS!$C$97)-CROQUIS!$C$107)/MAX(CROQUIS!$C$141,1))+1)/80,1))),1))+1))-1,0),0,MOD($A148-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ROQUIS!$C$159)+IF(CROQUIS!$C$92="X",0,0.8)),-1000)</f>
        <v>-1000</v>
      </c>
      <c r="BZ148">
        <f>IF(AND(CROQUIS!$C$88=1,CROQUIS!$C$91=1,CROQUIS!$C$133&gt;0),((CROQUIS!$C$160+(IF(CROQUIS!$C$92="X",CHOOSE(IF(INT(($A148-1)/5)&gt;MAX((MAX(1,INT(((CROQUIS!$C$98)-CROQUIS!$C$107)/MAX((CROQUIS!$C$133*MAX(1,CEILING((INT(((CROQUIS!$C$98)-CROQUIS!$C$107)/MAX(CROQUIS!$C$133,1))+1)/80,1))),1))+1))-1,0),0,MOD($A148-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CA148">
        <f>IF(AND(CROQUIS!$C$88=1,CROQUIS!$C$91=1,CROQUIS!$C$133&gt;0),((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9">
      <c r="A149" t="n">
        <v>142</v>
      </c>
      <c r="BN149">
        <f>IF(AND(CROQUIS!$C$88=1,CROQUIS!$C$129&gt;0),((CROQUIS!$C$160+(IF(CROQUIS!$C$92="X",CHOOSE(IF(INT(($A149-1)/5)&gt;MAX((MAX(1,INT(((CROQUIS!$C$98)-CROQUIS!$C$107)/MAX((CROQUIS!$C$129*MAX(1,CEILING((INT(((CROQUIS!$C$98)-CROQUIS!$C$107)/MAX(CROQUIS!$C$129,1))+1)/80,1))),1))+1))-1,0),0,MOD($A149-1,5))+1,0,2,CROQUIS!$C$97-2,2,0),((CROQUIS!$C$107/2+(((CROQUIS!$C$98)-CROQUIS!$C$107)-(MAX(1,INT(((CROQUIS!$C$98)-CROQUIS!$C$107)/MAX((CROQUIS!$C$129*MAX(1,CEILING((INT(((CROQUIS!$C$98)-CROQUIS!$C$107)/MAX(CROQUIS!$C$129,1))+1)/80,1))),1))+1)-1)*(CROQUIS!$C$129*MAX(1,CEILING((INT(((CROQUIS!$C$98)-CROQUIS!$C$107)/MAX(CROQUIS!$C$129,1))+1)/80,1))))/2)+MIN(INT(($A149-1)/5),MAX((MAX(1,INT(((CROQUIS!$C$98)-CROQUIS!$C$107)/MAX((CROQUIS!$C$129*MAX(1,CEILING((INT(((CROQUIS!$C$98)-CROQUIS!$C$107)/MAX(CROQUIS!$C$129,1))+1)/80,1))),1))+1))-1,0))*(CROQUIS!$C$129*MAX(1,CEILING((INT(((CROQUIS!$C$98)-CROQUIS!$C$107)/MAX(CROQUIS!$C$129,1))+1)/80,1))))))*CROQUIS!$C$159)+IF(CROQUIS!$C$92="X",0,0)),-1000)</f>
        <v>-1000</v>
      </c>
      <c r="BO149">
        <f>IF(AND(CROQUIS!$C$88=1,CROQUIS!$C$129&gt;0),((CROQUIS!$C$161+(IF(CROQUIS!$C$92="X",((CROQUIS!$C$107/2+(((CROQUIS!$C$98)-CROQUIS!$C$107)-(MAX(1,INT(((CROQUIS!$C$98)-CROQUIS!$C$107)/MAX((CROQUIS!$C$129*MAX(1,CEILING((INT(((CROQUIS!$C$98)-CROQUIS!$C$107)/MAX(CROQUIS!$C$129,1))+1)/80,1))),1))+1)-1)*(CROQUIS!$C$129*MAX(1,CEILING((INT(((CROQUIS!$C$98)-CROQUIS!$C$107)/MAX(CROQUIS!$C$129,1))+1)/80,1))))/2)+MIN(INT(($A149-1)/5),MAX((MAX(1,INT(((CROQUIS!$C$98)-CROQUIS!$C$107)/MAX((CROQUIS!$C$129*MAX(1,CEILING((INT(((CROQUIS!$C$98)-CROQUIS!$C$107)/MAX(CROQUIS!$C$129,1))+1)/80,1))),1))+1))-1,0))*(CROQUIS!$C$129*MAX(1,CEILING((INT(((CROQUIS!$C$98)-CROQUIS!$C$107)/MAX(CROQUIS!$C$129,1))+1)/80,1)))),CHOOSE(IF(INT(($A149-1)/5)&gt;MAX((MAX(1,INT(((CROQUIS!$C$98)-CROQUIS!$C$107)/MAX((CROQUIS!$C$129*MAX(1,CEILING((INT(((CROQUIS!$C$98)-CROQUIS!$C$107)/MAX(CROQUIS!$C$129,1))+1)/80,1))),1))+1))-1,0),0,MOD($A149-1,5))+1,0,2,CROQUIS!$C$97-2,2,0)))*CROQUIS!$C$159)+IF(CROQUIS!$C$92="X",0,0)),-1000)</f>
        <v>-1000</v>
      </c>
      <c r="BP149">
        <f>IF(AND(CROQUIS!$C$88=1,CROQUIS!$C$137&gt;0),((CROQUIS!$C$160+(IF(CROQUIS!$C$92="X",((CROQUIS!$C$107/2+(((CROQUIS!$C$97)-CROQUIS!$C$107)-(MAX(1,INT(((CROQUIS!$C$97)-CROQUIS!$C$107)/MAX((CROQUIS!$C$137*MAX(1,CEILING((INT(((CROQUIS!$C$97)-CROQUIS!$C$107)/MAX(CROQUIS!$C$137,1))+1)/80,1))),1))+1)-1)*(CROQUIS!$C$137*MAX(1,CEILING((INT(((CROQUIS!$C$97)-CROQUIS!$C$107)/MAX(CROQUIS!$C$137,1))+1)/80,1))))/2)+MIN(INT(($A149-1)/5),MAX((MAX(1,INT(((CROQUIS!$C$97)-CROQUIS!$C$107)/MAX((CROQUIS!$C$137*MAX(1,CEILING((INT(((CROQUIS!$C$97)-CROQUIS!$C$107)/MAX(CROQUIS!$C$137,1))+1)/80,1))),1))+1))-1,0))*(CROQUIS!$C$137*MAX(1,CEILING((INT(((CROQUIS!$C$97)-CROQUIS!$C$107)/MAX(CROQUIS!$C$137,1))+1)/80,1)))),CHOOSE(IF(INT(($A149-1)/5)&gt;MAX((MAX(1,INT(((CROQUIS!$C$97)-CROQUIS!$C$107)/MAX((CROQUIS!$C$137*MAX(1,CEILING((INT(((CROQUIS!$C$97)-CROQUIS!$C$107)/MAX(CROQUIS!$C$137,1))+1)/80,1))),1))+1))-1,0),0,MOD($A149-1,5))+1,0,2,CROQUIS!$C$98-2,2,0)))*CROQUIS!$C$159)+IF(CROQUIS!$C$92="X",0,0)),-1000)</f>
        <v>-1000</v>
      </c>
      <c r="BQ149">
        <f>IF(AND(CROQUIS!$C$88=1,CROQUIS!$C$137&gt;0),((CROQUIS!$C$161+(IF(CROQUIS!$C$92="X",CHOOSE(IF(INT(($A149-1)/5)&gt;MAX((MAX(1,INT(((CROQUIS!$C$97)-CROQUIS!$C$107)/MAX((CROQUIS!$C$137*MAX(1,CEILING((INT(((CROQUIS!$C$97)-CROQUIS!$C$107)/MAX(CROQUIS!$C$137,1))+1)/80,1))),1))+1))-1,0),0,MOD($A149-1,5))+1,0,2,CROQUIS!$C$98-2,2,0),((CROQUIS!$C$107/2+(((CROQUIS!$C$97)-CROQUIS!$C$107)-(MAX(1,INT(((CROQUIS!$C$97)-CROQUIS!$C$107)/MAX((CROQUIS!$C$137*MAX(1,CEILING((INT(((CROQUIS!$C$97)-CROQUIS!$C$107)/MAX(CROQUIS!$C$137,1))+1)/80,1))),1))+1)-1)*(CROQUIS!$C$137*MAX(1,CEILING((INT(((CROQUIS!$C$97)-CROQUIS!$C$107)/MAX(CROQUIS!$C$137,1))+1)/80,1))))/2)+MIN(INT(($A149-1)/5),MAX((MAX(1,INT(((CROQUIS!$C$97)-CROQUIS!$C$107)/MAX((CROQUIS!$C$137*MAX(1,CEILING((INT(((CROQUIS!$C$97)-CROQUIS!$C$107)/MAX(CROQUIS!$C$137,1))+1)/80,1))),1))+1))-1,0))*(CROQUIS!$C$137*MAX(1,CEILING((INT(((CROQUIS!$C$97)-CROQUIS!$C$107)/MAX(CROQUIS!$C$137,1))+1)/80,1))))))*CROQUIS!$C$159)+IF(CROQUIS!$C$92="X",0,0)),-1000)</f>
        <v>-1000</v>
      </c>
      <c r="BR149">
        <f>IF(AND(CROQUIS!$C$88=1,CROQUIS!$C$91=0,CROQUIS!$C$133&gt;0,OR(CROQUIS!$C$103=1,CROQUIS!$C$145=1)),((CROQUIS!$C$160+(IF(CROQUIS!$C$92="X",CHOOSE(IF(INT(($A149-1)/5)&gt;MAX((MAX(1,INT(((CROQUIS!$C$98)-CROQUIS!$C$107)/MAX((CROQUIS!$C$133*MAX(1,CEILING((INT(((CROQUIS!$C$98)-CROQUIS!$C$107)/MAX(CROQUIS!$C$133,1))+1)/80,1))),1))+1))-1,0),0,MOD($A149-1,5))+1,0,IF(CROQUIS!$C$103=1,-12,2),CROQUIS!$C$107/2+CROQUIS!$C$143,IF(CROQUIS!$C$103=1,-12,2),0),((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BS1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+1,0,IF(CROQUIS!$C$103=1,-12,2),CROQUIS!$C$107/2+CROQUIS!$C$143,IF(CROQUIS!$C$103=1,-12,2),0)))*CROQUIS!$C$159)+IF(CROQUIS!$C$92="X",0.8,0)),-1000)</f>
        <v>-1000</v>
      </c>
      <c r="BT149">
        <f>IF(AND(CROQUIS!$C$88=1,CROQUIS!$C$91=0,CROQUIS!$C$133&gt;0,OR(CROQUIS!$C$104=1,CROQUIS!$C$145=1)),((CROQUIS!$C$160+(IF(CROQUIS!$C$92="X",CHOOSE(IF(INT(($A149-1)/5)&gt;MAX((MAX(1,INT(((CROQUIS!$C$98)-CROQUIS!$C$107)/MAX((CROQUIS!$C$133*MAX(1,CEILING((INT(((CROQUIS!$C$98)-CROQUIS!$C$107)/MAX(CROQUIS!$C$133,1))+1)/80,1))),1))+1))-1,0),0,MOD($A149-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BU1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CROQUIS!$C$97,CROQUIS!$C$97-CROQUIS!$C$107/2-CROQUIS!$C$143,IF(CROQUIS!$C$104=1,CROQUIS!$C$97+12,CROQUIS!$C$97-2),CROQUIS!$C$97-CROQUIS!$C$107/2-CROQUIS!$C$143,CROQUIS!$C$97)))*CROQUIS!$C$159)+IF(CROQUIS!$C$92="X",0.8,0)),-1000)</f>
        <v>-1000</v>
      </c>
      <c r="BV1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HOOSE(IF(INT(($A149-1)/5)&gt;MAX((MAX(1,INT(((CROQUIS!$C$97)-CROQUIS!$C$107)/MAX((CROQUIS!$C$141*MAX(1,CEILING((INT(((CROQUIS!$C$97)-CROQUIS!$C$107)/MAX(CROQUIS!$C$141,1))+1)/80,1))),1))+1))-1,0),0,MOD($A149-1,5))+1,0,IF(CROQUIS!$C$105=1,-12,2),CROQUIS!$C$107/2+CROQUIS!$C$144,IF(CROQUIS!$C$105=1,-12,2),0)))*CROQUIS!$C$159)+IF(CROQUIS!$C$92="X",0.8,0)),-1000)</f>
        <v>-1000</v>
      </c>
      <c r="BW149">
        <f>IF(AND(CROQUIS!$C$88=1,CROQUIS!$C$91=0,CROQUIS!$C$141&gt;0,OR(CROQUIS!$C$105=1,CROQUIS!$C$146=1)),((CROQUIS!$C$161+(IF(CROQUIS!$C$92="X",CHOOSE(IF(INT(($A149-1)/5)&gt;MAX((MAX(1,INT(((CROQUIS!$C$97)-CROQUIS!$C$107)/MAX((CROQUIS!$C$141*MAX(1,CEILING((INT(((CROQUIS!$C$97)-CROQUIS!$C$107)/MAX(CROQUIS!$C$141,1))+1)/80,1))),1))+1))-1,0),0,MOD($A149-1,5))+1,0,IF(CROQUIS!$C$105=1,-12,2),CROQUIS!$C$107/2+CROQUIS!$C$144,IF(CROQUIS!$C$105=1,-12,2),0),((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ROQUIS!$C$159)+IF(CROQUIS!$C$92="X",0,0.8)),-1000)</f>
        <v>-1000</v>
      </c>
      <c r="BX1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HOOSE(IF(INT(($A149-1)/5)&gt;MAX((MAX(1,INT(((CROQUIS!$C$97)-CROQUIS!$C$107)/MAX((CROQUIS!$C$141*MAX(1,CEILING((INT(((CROQUIS!$C$97)-CROQUIS!$C$107)/MAX(CROQUIS!$C$141,1))+1)/80,1))),1))+1))-1,0),0,MOD($A149-1,5))+1,CROQUIS!$C$98,CROQUIS!$C$98-CROQUIS!$C$107/2-CROQUIS!$C$144,IF(CROQUIS!$C$106=1,CROQUIS!$C$98+12,CROQUIS!$C$98-2),CROQUIS!$C$98-CROQUIS!$C$107/2-CROQUIS!$C$144,CROQUIS!$C$98)))*CROQUIS!$C$159)+IF(CROQUIS!$C$92="X",0.8,0)),-1000)</f>
        <v>-1000</v>
      </c>
      <c r="BY149">
        <f>IF(AND(CROQUIS!$C$88=1,CROQUIS!$C$91=0,CROQUIS!$C$141&gt;0,OR(CROQUIS!$C$106=1,CROQUIS!$C$146=1)),((CROQUIS!$C$161+(IF(CROQUIS!$C$92="X",CHOOSE(IF(INT(($A149-1)/5)&gt;MAX((MAX(1,INT(((CROQUIS!$C$97)-CROQUIS!$C$107)/MAX((CROQUIS!$C$141*MAX(1,CEILING((INT(((CROQUIS!$C$97)-CROQUIS!$C$107)/MAX(CROQUIS!$C$141,1))+1)/80,1))),1))+1))-1,0),0,MOD($A149-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ROQUIS!$C$159)+IF(CROQUIS!$C$92="X",0,0.8)),-1000)</f>
        <v>-1000</v>
      </c>
      <c r="BZ149">
        <f>IF(AND(CROQUIS!$C$88=1,CROQUIS!$C$91=1,CROQUIS!$C$133&gt;0),((CROQUIS!$C$160+(IF(CROQUIS!$C$92="X",CHOOSE(IF(INT(($A149-1)/5)&gt;MAX((MAX(1,INT(((CROQUIS!$C$98)-CROQUIS!$C$107)/MAX((CROQUIS!$C$133*MAX(1,CEILING((INT(((CROQUIS!$C$98)-CROQUIS!$C$107)/MAX(CROQUIS!$C$133,1))+1)/80,1))),1))+1))-1,0),0,MOD($A149-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CA149">
        <f>IF(AND(CROQUIS!$C$88=1,CROQUIS!$C$91=1,CROQUIS!$C$133&gt;0),((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0">
      <c r="A150" t="n">
        <v>143</v>
      </c>
      <c r="BN150">
        <f>IF(AND(CROQUIS!$C$88=1,CROQUIS!$C$129&gt;0),((CROQUIS!$C$160+(IF(CROQUIS!$C$92="X",CHOOSE(IF(INT(($A150-1)/5)&gt;MAX((MAX(1,INT(((CROQUIS!$C$98)-CROQUIS!$C$107)/MAX((CROQUIS!$C$129*MAX(1,CEILING((INT(((CROQUIS!$C$98)-CROQUIS!$C$107)/MAX(CROQUIS!$C$129,1))+1)/80,1))),1))+1))-1,0),0,MOD($A150-1,5))+1,0,2,CROQUIS!$C$97-2,2,0),((CROQUIS!$C$107/2+(((CROQUIS!$C$98)-CROQUIS!$C$107)-(MAX(1,INT(((CROQUIS!$C$98)-CROQUIS!$C$107)/MAX((CROQUIS!$C$129*MAX(1,CEILING((INT(((CROQUIS!$C$98)-CROQUIS!$C$107)/MAX(CROQUIS!$C$129,1))+1)/80,1))),1))+1)-1)*(CROQUIS!$C$129*MAX(1,CEILING((INT(((CROQUIS!$C$98)-CROQUIS!$C$107)/MAX(CROQUIS!$C$129,1))+1)/80,1))))/2)+MIN(INT(($A150-1)/5),MAX((MAX(1,INT(((CROQUIS!$C$98)-CROQUIS!$C$107)/MAX((CROQUIS!$C$129*MAX(1,CEILING((INT(((CROQUIS!$C$98)-CROQUIS!$C$107)/MAX(CROQUIS!$C$129,1))+1)/80,1))),1))+1))-1,0))*(CROQUIS!$C$129*MAX(1,CEILING((INT(((CROQUIS!$C$98)-CROQUIS!$C$107)/MAX(CROQUIS!$C$129,1))+1)/80,1))))))*CROQUIS!$C$159)+IF(CROQUIS!$C$92="X",0,0)),-1000)</f>
        <v>-1000</v>
      </c>
      <c r="BO150">
        <f>IF(AND(CROQUIS!$C$88=1,CROQUIS!$C$129&gt;0),((CROQUIS!$C$161+(IF(CROQUIS!$C$92="X",((CROQUIS!$C$107/2+(((CROQUIS!$C$98)-CROQUIS!$C$107)-(MAX(1,INT(((CROQUIS!$C$98)-CROQUIS!$C$107)/MAX((CROQUIS!$C$129*MAX(1,CEILING((INT(((CROQUIS!$C$98)-CROQUIS!$C$107)/MAX(CROQUIS!$C$129,1))+1)/80,1))),1))+1)-1)*(CROQUIS!$C$129*MAX(1,CEILING((INT(((CROQUIS!$C$98)-CROQUIS!$C$107)/MAX(CROQUIS!$C$129,1))+1)/80,1))))/2)+MIN(INT(($A150-1)/5),MAX((MAX(1,INT(((CROQUIS!$C$98)-CROQUIS!$C$107)/MAX((CROQUIS!$C$129*MAX(1,CEILING((INT(((CROQUIS!$C$98)-CROQUIS!$C$107)/MAX(CROQUIS!$C$129,1))+1)/80,1))),1))+1))-1,0))*(CROQUIS!$C$129*MAX(1,CEILING((INT(((CROQUIS!$C$98)-CROQUIS!$C$107)/MAX(CROQUIS!$C$129,1))+1)/80,1)))),CHOOSE(IF(INT(($A150-1)/5)&gt;MAX((MAX(1,INT(((CROQUIS!$C$98)-CROQUIS!$C$107)/MAX((CROQUIS!$C$129*MAX(1,CEILING((INT(((CROQUIS!$C$98)-CROQUIS!$C$107)/MAX(CROQUIS!$C$129,1))+1)/80,1))),1))+1))-1,0),0,MOD($A150-1,5))+1,0,2,CROQUIS!$C$97-2,2,0)))*CROQUIS!$C$159)+IF(CROQUIS!$C$92="X",0,0)),-1000)</f>
        <v>-1000</v>
      </c>
      <c r="BP150">
        <f>IF(AND(CROQUIS!$C$88=1,CROQUIS!$C$137&gt;0),((CROQUIS!$C$160+(IF(CROQUIS!$C$92="X",((CROQUIS!$C$107/2+(((CROQUIS!$C$97)-CROQUIS!$C$107)-(MAX(1,INT(((CROQUIS!$C$97)-CROQUIS!$C$107)/MAX((CROQUIS!$C$137*MAX(1,CEILING((INT(((CROQUIS!$C$97)-CROQUIS!$C$107)/MAX(CROQUIS!$C$137,1))+1)/80,1))),1))+1)-1)*(CROQUIS!$C$137*MAX(1,CEILING((INT(((CROQUIS!$C$97)-CROQUIS!$C$107)/MAX(CROQUIS!$C$137,1))+1)/80,1))))/2)+MIN(INT(($A150-1)/5),MAX((MAX(1,INT(((CROQUIS!$C$97)-CROQUIS!$C$107)/MAX((CROQUIS!$C$137*MAX(1,CEILING((INT(((CROQUIS!$C$97)-CROQUIS!$C$107)/MAX(CROQUIS!$C$137,1))+1)/80,1))),1))+1))-1,0))*(CROQUIS!$C$137*MAX(1,CEILING((INT(((CROQUIS!$C$97)-CROQUIS!$C$107)/MAX(CROQUIS!$C$137,1))+1)/80,1)))),CHOOSE(IF(INT(($A150-1)/5)&gt;MAX((MAX(1,INT(((CROQUIS!$C$97)-CROQUIS!$C$107)/MAX((CROQUIS!$C$137*MAX(1,CEILING((INT(((CROQUIS!$C$97)-CROQUIS!$C$107)/MAX(CROQUIS!$C$137,1))+1)/80,1))),1))+1))-1,0),0,MOD($A150-1,5))+1,0,2,CROQUIS!$C$98-2,2,0)))*CROQUIS!$C$159)+IF(CROQUIS!$C$92="X",0,0)),-1000)</f>
        <v>-1000</v>
      </c>
      <c r="BQ150">
        <f>IF(AND(CROQUIS!$C$88=1,CROQUIS!$C$137&gt;0),((CROQUIS!$C$161+(IF(CROQUIS!$C$92="X",CHOOSE(IF(INT(($A150-1)/5)&gt;MAX((MAX(1,INT(((CROQUIS!$C$97)-CROQUIS!$C$107)/MAX((CROQUIS!$C$137*MAX(1,CEILING((INT(((CROQUIS!$C$97)-CROQUIS!$C$107)/MAX(CROQUIS!$C$137,1))+1)/80,1))),1))+1))-1,0),0,MOD($A150-1,5))+1,0,2,CROQUIS!$C$98-2,2,0),((CROQUIS!$C$107/2+(((CROQUIS!$C$97)-CROQUIS!$C$107)-(MAX(1,INT(((CROQUIS!$C$97)-CROQUIS!$C$107)/MAX((CROQUIS!$C$137*MAX(1,CEILING((INT(((CROQUIS!$C$97)-CROQUIS!$C$107)/MAX(CROQUIS!$C$137,1))+1)/80,1))),1))+1)-1)*(CROQUIS!$C$137*MAX(1,CEILING((INT(((CROQUIS!$C$97)-CROQUIS!$C$107)/MAX(CROQUIS!$C$137,1))+1)/80,1))))/2)+MIN(INT(($A150-1)/5),MAX((MAX(1,INT(((CROQUIS!$C$97)-CROQUIS!$C$107)/MAX((CROQUIS!$C$137*MAX(1,CEILING((INT(((CROQUIS!$C$97)-CROQUIS!$C$107)/MAX(CROQUIS!$C$137,1))+1)/80,1))),1))+1))-1,0))*(CROQUIS!$C$137*MAX(1,CEILING((INT(((CROQUIS!$C$97)-CROQUIS!$C$107)/MAX(CROQUIS!$C$137,1))+1)/80,1))))))*CROQUIS!$C$159)+IF(CROQUIS!$C$92="X",0,0)),-1000)</f>
        <v>-1000</v>
      </c>
      <c r="BR150">
        <f>IF(AND(CROQUIS!$C$88=1,CROQUIS!$C$91=0,CROQUIS!$C$133&gt;0,OR(CROQUIS!$C$103=1,CROQUIS!$C$145=1)),((CROQUIS!$C$160+(IF(CROQUIS!$C$92="X",CHOOSE(IF(INT(($A150-1)/5)&gt;MAX((MAX(1,INT(((CROQUIS!$C$98)-CROQUIS!$C$107)/MAX((CROQUIS!$C$133*MAX(1,CEILING((INT(((CROQUIS!$C$98)-CROQUIS!$C$107)/MAX(CROQUIS!$C$133,1))+1)/80,1))),1))+1))-1,0),0,MOD($A150-1,5))+1,0,IF(CROQUIS!$C$103=1,-12,2),CROQUIS!$C$107/2+CROQUIS!$C$143,IF(CROQUIS!$C$103=1,-12,2),0),((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BS1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+1,0,IF(CROQUIS!$C$103=1,-12,2),CROQUIS!$C$107/2+CROQUIS!$C$143,IF(CROQUIS!$C$103=1,-12,2),0)))*CROQUIS!$C$159)+IF(CROQUIS!$C$92="X",0.8,0)),-1000)</f>
        <v>-1000</v>
      </c>
      <c r="BT150">
        <f>IF(AND(CROQUIS!$C$88=1,CROQUIS!$C$91=0,CROQUIS!$C$133&gt;0,OR(CROQUIS!$C$104=1,CROQUIS!$C$145=1)),((CROQUIS!$C$160+(IF(CROQUIS!$C$92="X",CHOOSE(IF(INT(($A150-1)/5)&gt;MAX((MAX(1,INT(((CROQUIS!$C$98)-CROQUIS!$C$107)/MAX((CROQUIS!$C$133*MAX(1,CEILING((INT(((CROQUIS!$C$98)-CROQUIS!$C$107)/MAX(CROQUIS!$C$133,1))+1)/80,1))),1))+1))-1,0),0,MOD($A150-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BU1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CROQUIS!$C$97,CROQUIS!$C$97-CROQUIS!$C$107/2-CROQUIS!$C$143,IF(CROQUIS!$C$104=1,CROQUIS!$C$97+12,CROQUIS!$C$97-2),CROQUIS!$C$97-CROQUIS!$C$107/2-CROQUIS!$C$143,CROQUIS!$C$97)))*CROQUIS!$C$159)+IF(CROQUIS!$C$92="X",0.8,0)),-1000)</f>
        <v>-1000</v>
      </c>
      <c r="BV1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HOOSE(IF(INT(($A150-1)/5)&gt;MAX((MAX(1,INT(((CROQUIS!$C$97)-CROQUIS!$C$107)/MAX((CROQUIS!$C$141*MAX(1,CEILING((INT(((CROQUIS!$C$97)-CROQUIS!$C$107)/MAX(CROQUIS!$C$141,1))+1)/80,1))),1))+1))-1,0),0,MOD($A150-1,5))+1,0,IF(CROQUIS!$C$105=1,-12,2),CROQUIS!$C$107/2+CROQUIS!$C$144,IF(CROQUIS!$C$105=1,-12,2),0)))*CROQUIS!$C$159)+IF(CROQUIS!$C$92="X",0.8,0)),-1000)</f>
        <v>-1000</v>
      </c>
      <c r="BW150">
        <f>IF(AND(CROQUIS!$C$88=1,CROQUIS!$C$91=0,CROQUIS!$C$141&gt;0,OR(CROQUIS!$C$105=1,CROQUIS!$C$146=1)),((CROQUIS!$C$161+(IF(CROQUIS!$C$92="X",CHOOSE(IF(INT(($A150-1)/5)&gt;MAX((MAX(1,INT(((CROQUIS!$C$97)-CROQUIS!$C$107)/MAX((CROQUIS!$C$141*MAX(1,CEILING((INT(((CROQUIS!$C$97)-CROQUIS!$C$107)/MAX(CROQUIS!$C$141,1))+1)/80,1))),1))+1))-1,0),0,MOD($A150-1,5))+1,0,IF(CROQUIS!$C$105=1,-12,2),CROQUIS!$C$107/2+CROQUIS!$C$144,IF(CROQUIS!$C$105=1,-12,2),0),((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ROQUIS!$C$159)+IF(CROQUIS!$C$92="X",0,0.8)),-1000)</f>
        <v>-1000</v>
      </c>
      <c r="BX1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HOOSE(IF(INT(($A150-1)/5)&gt;MAX((MAX(1,INT(((CROQUIS!$C$97)-CROQUIS!$C$107)/MAX((CROQUIS!$C$141*MAX(1,CEILING((INT(((CROQUIS!$C$97)-CROQUIS!$C$107)/MAX(CROQUIS!$C$141,1))+1)/80,1))),1))+1))-1,0),0,MOD($A150-1,5))+1,CROQUIS!$C$98,CROQUIS!$C$98-CROQUIS!$C$107/2-CROQUIS!$C$144,IF(CROQUIS!$C$106=1,CROQUIS!$C$98+12,CROQUIS!$C$98-2),CROQUIS!$C$98-CROQUIS!$C$107/2-CROQUIS!$C$144,CROQUIS!$C$98)))*CROQUIS!$C$159)+IF(CROQUIS!$C$92="X",0.8,0)),-1000)</f>
        <v>-1000</v>
      </c>
      <c r="BY150">
        <f>IF(AND(CROQUIS!$C$88=1,CROQUIS!$C$91=0,CROQUIS!$C$141&gt;0,OR(CROQUIS!$C$106=1,CROQUIS!$C$146=1)),((CROQUIS!$C$161+(IF(CROQUIS!$C$92="X",CHOOSE(IF(INT(($A150-1)/5)&gt;MAX((MAX(1,INT(((CROQUIS!$C$97)-CROQUIS!$C$107)/MAX((CROQUIS!$C$141*MAX(1,CEILING((INT(((CROQUIS!$C$97)-CROQUIS!$C$107)/MAX(CROQUIS!$C$141,1))+1)/80,1))),1))+1))-1,0),0,MOD($A150-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ROQUIS!$C$159)+IF(CROQUIS!$C$92="X",0,0.8)),-1000)</f>
        <v>-1000</v>
      </c>
      <c r="BZ150">
        <f>IF(AND(CROQUIS!$C$88=1,CROQUIS!$C$91=1,CROQUIS!$C$133&gt;0),((CROQUIS!$C$160+(IF(CROQUIS!$C$92="X",CHOOSE(IF(INT(($A150-1)/5)&gt;MAX((MAX(1,INT(((CROQUIS!$C$98)-CROQUIS!$C$107)/MAX((CROQUIS!$C$133*MAX(1,CEILING((INT(((CROQUIS!$C$98)-CROQUIS!$C$107)/MAX(CROQUIS!$C$133,1))+1)/80,1))),1))+1))-1,0),0,MOD($A150-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CA150">
        <f>IF(AND(CROQUIS!$C$88=1,CROQUIS!$C$91=1,CROQUIS!$C$133&gt;0),((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1">
      <c r="A151" t="n">
        <v>144</v>
      </c>
      <c r="BN151">
        <f>IF(AND(CROQUIS!$C$88=1,CROQUIS!$C$129&gt;0),((CROQUIS!$C$160+(IF(CROQUIS!$C$92="X",CHOOSE(IF(INT(($A151-1)/5)&gt;MAX((MAX(1,INT(((CROQUIS!$C$98)-CROQUIS!$C$107)/MAX((CROQUIS!$C$129*MAX(1,CEILING((INT(((CROQUIS!$C$98)-CROQUIS!$C$107)/MAX(CROQUIS!$C$129,1))+1)/80,1))),1))+1))-1,0),0,MOD($A151-1,5))+1,0,2,CROQUIS!$C$97-2,2,0),((CROQUIS!$C$107/2+(((CROQUIS!$C$98)-CROQUIS!$C$107)-(MAX(1,INT(((CROQUIS!$C$98)-CROQUIS!$C$107)/MAX((CROQUIS!$C$129*MAX(1,CEILING((INT(((CROQUIS!$C$98)-CROQUIS!$C$107)/MAX(CROQUIS!$C$129,1))+1)/80,1))),1))+1)-1)*(CROQUIS!$C$129*MAX(1,CEILING((INT(((CROQUIS!$C$98)-CROQUIS!$C$107)/MAX(CROQUIS!$C$129,1))+1)/80,1))))/2)+MIN(INT(($A151-1)/5),MAX((MAX(1,INT(((CROQUIS!$C$98)-CROQUIS!$C$107)/MAX((CROQUIS!$C$129*MAX(1,CEILING((INT(((CROQUIS!$C$98)-CROQUIS!$C$107)/MAX(CROQUIS!$C$129,1))+1)/80,1))),1))+1))-1,0))*(CROQUIS!$C$129*MAX(1,CEILING((INT(((CROQUIS!$C$98)-CROQUIS!$C$107)/MAX(CROQUIS!$C$129,1))+1)/80,1))))))*CROQUIS!$C$159)+IF(CROQUIS!$C$92="X",0,0)),-1000)</f>
        <v>-1000</v>
      </c>
      <c r="BO151">
        <f>IF(AND(CROQUIS!$C$88=1,CROQUIS!$C$129&gt;0),((CROQUIS!$C$161+(IF(CROQUIS!$C$92="X",((CROQUIS!$C$107/2+(((CROQUIS!$C$98)-CROQUIS!$C$107)-(MAX(1,INT(((CROQUIS!$C$98)-CROQUIS!$C$107)/MAX((CROQUIS!$C$129*MAX(1,CEILING((INT(((CROQUIS!$C$98)-CROQUIS!$C$107)/MAX(CROQUIS!$C$129,1))+1)/80,1))),1))+1)-1)*(CROQUIS!$C$129*MAX(1,CEILING((INT(((CROQUIS!$C$98)-CROQUIS!$C$107)/MAX(CROQUIS!$C$129,1))+1)/80,1))))/2)+MIN(INT(($A151-1)/5),MAX((MAX(1,INT(((CROQUIS!$C$98)-CROQUIS!$C$107)/MAX((CROQUIS!$C$129*MAX(1,CEILING((INT(((CROQUIS!$C$98)-CROQUIS!$C$107)/MAX(CROQUIS!$C$129,1))+1)/80,1))),1))+1))-1,0))*(CROQUIS!$C$129*MAX(1,CEILING((INT(((CROQUIS!$C$98)-CROQUIS!$C$107)/MAX(CROQUIS!$C$129,1))+1)/80,1)))),CHOOSE(IF(INT(($A151-1)/5)&gt;MAX((MAX(1,INT(((CROQUIS!$C$98)-CROQUIS!$C$107)/MAX((CROQUIS!$C$129*MAX(1,CEILING((INT(((CROQUIS!$C$98)-CROQUIS!$C$107)/MAX(CROQUIS!$C$129,1))+1)/80,1))),1))+1))-1,0),0,MOD($A151-1,5))+1,0,2,CROQUIS!$C$97-2,2,0)))*CROQUIS!$C$159)+IF(CROQUIS!$C$92="X",0,0)),-1000)</f>
        <v>-1000</v>
      </c>
      <c r="BP151">
        <f>IF(AND(CROQUIS!$C$88=1,CROQUIS!$C$137&gt;0),((CROQUIS!$C$160+(IF(CROQUIS!$C$92="X",((CROQUIS!$C$107/2+(((CROQUIS!$C$97)-CROQUIS!$C$107)-(MAX(1,INT(((CROQUIS!$C$97)-CROQUIS!$C$107)/MAX((CROQUIS!$C$137*MAX(1,CEILING((INT(((CROQUIS!$C$97)-CROQUIS!$C$107)/MAX(CROQUIS!$C$137,1))+1)/80,1))),1))+1)-1)*(CROQUIS!$C$137*MAX(1,CEILING((INT(((CROQUIS!$C$97)-CROQUIS!$C$107)/MAX(CROQUIS!$C$137,1))+1)/80,1))))/2)+MIN(INT(($A151-1)/5),MAX((MAX(1,INT(((CROQUIS!$C$97)-CROQUIS!$C$107)/MAX((CROQUIS!$C$137*MAX(1,CEILING((INT(((CROQUIS!$C$97)-CROQUIS!$C$107)/MAX(CROQUIS!$C$137,1))+1)/80,1))),1))+1))-1,0))*(CROQUIS!$C$137*MAX(1,CEILING((INT(((CROQUIS!$C$97)-CROQUIS!$C$107)/MAX(CROQUIS!$C$137,1))+1)/80,1)))),CHOOSE(IF(INT(($A151-1)/5)&gt;MAX((MAX(1,INT(((CROQUIS!$C$97)-CROQUIS!$C$107)/MAX((CROQUIS!$C$137*MAX(1,CEILING((INT(((CROQUIS!$C$97)-CROQUIS!$C$107)/MAX(CROQUIS!$C$137,1))+1)/80,1))),1))+1))-1,0),0,MOD($A151-1,5))+1,0,2,CROQUIS!$C$98-2,2,0)))*CROQUIS!$C$159)+IF(CROQUIS!$C$92="X",0,0)),-1000)</f>
        <v>-1000</v>
      </c>
      <c r="BQ151">
        <f>IF(AND(CROQUIS!$C$88=1,CROQUIS!$C$137&gt;0),((CROQUIS!$C$161+(IF(CROQUIS!$C$92="X",CHOOSE(IF(INT(($A151-1)/5)&gt;MAX((MAX(1,INT(((CROQUIS!$C$97)-CROQUIS!$C$107)/MAX((CROQUIS!$C$137*MAX(1,CEILING((INT(((CROQUIS!$C$97)-CROQUIS!$C$107)/MAX(CROQUIS!$C$137,1))+1)/80,1))),1))+1))-1,0),0,MOD($A151-1,5))+1,0,2,CROQUIS!$C$98-2,2,0),((CROQUIS!$C$107/2+(((CROQUIS!$C$97)-CROQUIS!$C$107)-(MAX(1,INT(((CROQUIS!$C$97)-CROQUIS!$C$107)/MAX((CROQUIS!$C$137*MAX(1,CEILING((INT(((CROQUIS!$C$97)-CROQUIS!$C$107)/MAX(CROQUIS!$C$137,1))+1)/80,1))),1))+1)-1)*(CROQUIS!$C$137*MAX(1,CEILING((INT(((CROQUIS!$C$97)-CROQUIS!$C$107)/MAX(CROQUIS!$C$137,1))+1)/80,1))))/2)+MIN(INT(($A151-1)/5),MAX((MAX(1,INT(((CROQUIS!$C$97)-CROQUIS!$C$107)/MAX((CROQUIS!$C$137*MAX(1,CEILING((INT(((CROQUIS!$C$97)-CROQUIS!$C$107)/MAX(CROQUIS!$C$137,1))+1)/80,1))),1))+1))-1,0))*(CROQUIS!$C$137*MAX(1,CEILING((INT(((CROQUIS!$C$97)-CROQUIS!$C$107)/MAX(CROQUIS!$C$137,1))+1)/80,1))))))*CROQUIS!$C$159)+IF(CROQUIS!$C$92="X",0,0)),-1000)</f>
        <v>-1000</v>
      </c>
      <c r="BR151">
        <f>IF(AND(CROQUIS!$C$88=1,CROQUIS!$C$91=0,CROQUIS!$C$133&gt;0,OR(CROQUIS!$C$103=1,CROQUIS!$C$145=1)),((CROQUIS!$C$160+(IF(CROQUIS!$C$92="X",CHOOSE(IF(INT(($A151-1)/5)&gt;MAX((MAX(1,INT(((CROQUIS!$C$98)-CROQUIS!$C$107)/MAX((CROQUIS!$C$133*MAX(1,CEILING((INT(((CROQUIS!$C$98)-CROQUIS!$C$107)/MAX(CROQUIS!$C$133,1))+1)/80,1))),1))+1))-1,0),0,MOD($A151-1,5))+1,0,IF(CROQUIS!$C$103=1,-12,2),CROQUIS!$C$107/2+CROQUIS!$C$143,IF(CROQUIS!$C$103=1,-12,2),0),((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BS1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+1,0,IF(CROQUIS!$C$103=1,-12,2),CROQUIS!$C$107/2+CROQUIS!$C$143,IF(CROQUIS!$C$103=1,-12,2),0)))*CROQUIS!$C$159)+IF(CROQUIS!$C$92="X",0.8,0)),-1000)</f>
        <v>-1000</v>
      </c>
      <c r="BT151">
        <f>IF(AND(CROQUIS!$C$88=1,CROQUIS!$C$91=0,CROQUIS!$C$133&gt;0,OR(CROQUIS!$C$104=1,CROQUIS!$C$145=1)),((CROQUIS!$C$160+(IF(CROQUIS!$C$92="X",CHOOSE(IF(INT(($A151-1)/5)&gt;MAX((MAX(1,INT(((CROQUIS!$C$98)-CROQUIS!$C$107)/MAX((CROQUIS!$C$133*MAX(1,CEILING((INT(((CROQUIS!$C$98)-CROQUIS!$C$107)/MAX(CROQUIS!$C$133,1))+1)/80,1))),1))+1))-1,0),0,MOD($A151-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BU1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CROQUIS!$C$97,CROQUIS!$C$97-CROQUIS!$C$107/2-CROQUIS!$C$143,IF(CROQUIS!$C$104=1,CROQUIS!$C$97+12,CROQUIS!$C$97-2),CROQUIS!$C$97-CROQUIS!$C$107/2-CROQUIS!$C$143,CROQUIS!$C$97)))*CROQUIS!$C$159)+IF(CROQUIS!$C$92="X",0.8,0)),-1000)</f>
        <v>-1000</v>
      </c>
      <c r="BV1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HOOSE(IF(INT(($A151-1)/5)&gt;MAX((MAX(1,INT(((CROQUIS!$C$97)-CROQUIS!$C$107)/MAX((CROQUIS!$C$141*MAX(1,CEILING((INT(((CROQUIS!$C$97)-CROQUIS!$C$107)/MAX(CROQUIS!$C$141,1))+1)/80,1))),1))+1))-1,0),0,MOD($A151-1,5))+1,0,IF(CROQUIS!$C$105=1,-12,2),CROQUIS!$C$107/2+CROQUIS!$C$144,IF(CROQUIS!$C$105=1,-12,2),0)))*CROQUIS!$C$159)+IF(CROQUIS!$C$92="X",0.8,0)),-1000)</f>
        <v>-1000</v>
      </c>
      <c r="BW151">
        <f>IF(AND(CROQUIS!$C$88=1,CROQUIS!$C$91=0,CROQUIS!$C$141&gt;0,OR(CROQUIS!$C$105=1,CROQUIS!$C$146=1)),((CROQUIS!$C$161+(IF(CROQUIS!$C$92="X",CHOOSE(IF(INT(($A151-1)/5)&gt;MAX((MAX(1,INT(((CROQUIS!$C$97)-CROQUIS!$C$107)/MAX((CROQUIS!$C$141*MAX(1,CEILING((INT(((CROQUIS!$C$97)-CROQUIS!$C$107)/MAX(CROQUIS!$C$141,1))+1)/80,1))),1))+1))-1,0),0,MOD($A151-1,5))+1,0,IF(CROQUIS!$C$105=1,-12,2),CROQUIS!$C$107/2+CROQUIS!$C$144,IF(CROQUIS!$C$105=1,-12,2),0),((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ROQUIS!$C$159)+IF(CROQUIS!$C$92="X",0,0.8)),-1000)</f>
        <v>-1000</v>
      </c>
      <c r="BX1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HOOSE(IF(INT(($A151-1)/5)&gt;MAX((MAX(1,INT(((CROQUIS!$C$97)-CROQUIS!$C$107)/MAX((CROQUIS!$C$141*MAX(1,CEILING((INT(((CROQUIS!$C$97)-CROQUIS!$C$107)/MAX(CROQUIS!$C$141,1))+1)/80,1))),1))+1))-1,0),0,MOD($A151-1,5))+1,CROQUIS!$C$98,CROQUIS!$C$98-CROQUIS!$C$107/2-CROQUIS!$C$144,IF(CROQUIS!$C$106=1,CROQUIS!$C$98+12,CROQUIS!$C$98-2),CROQUIS!$C$98-CROQUIS!$C$107/2-CROQUIS!$C$144,CROQUIS!$C$98)))*CROQUIS!$C$159)+IF(CROQUIS!$C$92="X",0.8,0)),-1000)</f>
        <v>-1000</v>
      </c>
      <c r="BY151">
        <f>IF(AND(CROQUIS!$C$88=1,CROQUIS!$C$91=0,CROQUIS!$C$141&gt;0,OR(CROQUIS!$C$106=1,CROQUIS!$C$146=1)),((CROQUIS!$C$161+(IF(CROQUIS!$C$92="X",CHOOSE(IF(INT(($A151-1)/5)&gt;MAX((MAX(1,INT(((CROQUIS!$C$97)-CROQUIS!$C$107)/MAX((CROQUIS!$C$141*MAX(1,CEILING((INT(((CROQUIS!$C$97)-CROQUIS!$C$107)/MAX(CROQUIS!$C$141,1))+1)/80,1))),1))+1))-1,0),0,MOD($A151-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ROQUIS!$C$159)+IF(CROQUIS!$C$92="X",0,0.8)),-1000)</f>
        <v>-1000</v>
      </c>
      <c r="BZ151">
        <f>IF(AND(CROQUIS!$C$88=1,CROQUIS!$C$91=1,CROQUIS!$C$133&gt;0),((CROQUIS!$C$160+(IF(CROQUIS!$C$92="X",CHOOSE(IF(INT(($A151-1)/5)&gt;MAX((MAX(1,INT(((CROQUIS!$C$98)-CROQUIS!$C$107)/MAX((CROQUIS!$C$133*MAX(1,CEILING((INT(((CROQUIS!$C$98)-CROQUIS!$C$107)/MAX(CROQUIS!$C$133,1))+1)/80,1))),1))+1))-1,0),0,MOD($A151-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CA151">
        <f>IF(AND(CROQUIS!$C$88=1,CROQUIS!$C$91=1,CROQUIS!$C$133&gt;0),((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2">
      <c r="A152" t="n">
        <v>145</v>
      </c>
      <c r="BN152">
        <f>IF(AND(CROQUIS!$C$88=1,CROQUIS!$C$129&gt;0),((CROQUIS!$C$160+(IF(CROQUIS!$C$92="X",CHOOSE(IF(INT(($A152-1)/5)&gt;MAX((MAX(1,INT(((CROQUIS!$C$98)-CROQUIS!$C$107)/MAX((CROQUIS!$C$129*MAX(1,CEILING((INT(((CROQUIS!$C$98)-CROQUIS!$C$107)/MAX(CROQUIS!$C$129,1))+1)/80,1))),1))+1))-1,0),0,MOD($A152-1,5))+1,0,2,CROQUIS!$C$97-2,2,0),((CROQUIS!$C$107/2+(((CROQUIS!$C$98)-CROQUIS!$C$107)-(MAX(1,INT(((CROQUIS!$C$98)-CROQUIS!$C$107)/MAX((CROQUIS!$C$129*MAX(1,CEILING((INT(((CROQUIS!$C$98)-CROQUIS!$C$107)/MAX(CROQUIS!$C$129,1))+1)/80,1))),1))+1)-1)*(CROQUIS!$C$129*MAX(1,CEILING((INT(((CROQUIS!$C$98)-CROQUIS!$C$107)/MAX(CROQUIS!$C$129,1))+1)/80,1))))/2)+MIN(INT(($A152-1)/5),MAX((MAX(1,INT(((CROQUIS!$C$98)-CROQUIS!$C$107)/MAX((CROQUIS!$C$129*MAX(1,CEILING((INT(((CROQUIS!$C$98)-CROQUIS!$C$107)/MAX(CROQUIS!$C$129,1))+1)/80,1))),1))+1))-1,0))*(CROQUIS!$C$129*MAX(1,CEILING((INT(((CROQUIS!$C$98)-CROQUIS!$C$107)/MAX(CROQUIS!$C$129,1))+1)/80,1))))))*CROQUIS!$C$159)+IF(CROQUIS!$C$92="X",0,0)),-1000)</f>
        <v>-1000</v>
      </c>
      <c r="BO152">
        <f>IF(AND(CROQUIS!$C$88=1,CROQUIS!$C$129&gt;0),((CROQUIS!$C$161+(IF(CROQUIS!$C$92="X",((CROQUIS!$C$107/2+(((CROQUIS!$C$98)-CROQUIS!$C$107)-(MAX(1,INT(((CROQUIS!$C$98)-CROQUIS!$C$107)/MAX((CROQUIS!$C$129*MAX(1,CEILING((INT(((CROQUIS!$C$98)-CROQUIS!$C$107)/MAX(CROQUIS!$C$129,1))+1)/80,1))),1))+1)-1)*(CROQUIS!$C$129*MAX(1,CEILING((INT(((CROQUIS!$C$98)-CROQUIS!$C$107)/MAX(CROQUIS!$C$129,1))+1)/80,1))))/2)+MIN(INT(($A152-1)/5),MAX((MAX(1,INT(((CROQUIS!$C$98)-CROQUIS!$C$107)/MAX((CROQUIS!$C$129*MAX(1,CEILING((INT(((CROQUIS!$C$98)-CROQUIS!$C$107)/MAX(CROQUIS!$C$129,1))+1)/80,1))),1))+1))-1,0))*(CROQUIS!$C$129*MAX(1,CEILING((INT(((CROQUIS!$C$98)-CROQUIS!$C$107)/MAX(CROQUIS!$C$129,1))+1)/80,1)))),CHOOSE(IF(INT(($A152-1)/5)&gt;MAX((MAX(1,INT(((CROQUIS!$C$98)-CROQUIS!$C$107)/MAX((CROQUIS!$C$129*MAX(1,CEILING((INT(((CROQUIS!$C$98)-CROQUIS!$C$107)/MAX(CROQUIS!$C$129,1))+1)/80,1))),1))+1))-1,0),0,MOD($A152-1,5))+1,0,2,CROQUIS!$C$97-2,2,0)))*CROQUIS!$C$159)+IF(CROQUIS!$C$92="X",0,0)),-1000)</f>
        <v>-1000</v>
      </c>
      <c r="BP152">
        <f>IF(AND(CROQUIS!$C$88=1,CROQUIS!$C$137&gt;0),((CROQUIS!$C$160+(IF(CROQUIS!$C$92="X",((CROQUIS!$C$107/2+(((CROQUIS!$C$97)-CROQUIS!$C$107)-(MAX(1,INT(((CROQUIS!$C$97)-CROQUIS!$C$107)/MAX((CROQUIS!$C$137*MAX(1,CEILING((INT(((CROQUIS!$C$97)-CROQUIS!$C$107)/MAX(CROQUIS!$C$137,1))+1)/80,1))),1))+1)-1)*(CROQUIS!$C$137*MAX(1,CEILING((INT(((CROQUIS!$C$97)-CROQUIS!$C$107)/MAX(CROQUIS!$C$137,1))+1)/80,1))))/2)+MIN(INT(($A152-1)/5),MAX((MAX(1,INT(((CROQUIS!$C$97)-CROQUIS!$C$107)/MAX((CROQUIS!$C$137*MAX(1,CEILING((INT(((CROQUIS!$C$97)-CROQUIS!$C$107)/MAX(CROQUIS!$C$137,1))+1)/80,1))),1))+1))-1,0))*(CROQUIS!$C$137*MAX(1,CEILING((INT(((CROQUIS!$C$97)-CROQUIS!$C$107)/MAX(CROQUIS!$C$137,1))+1)/80,1)))),CHOOSE(IF(INT(($A152-1)/5)&gt;MAX((MAX(1,INT(((CROQUIS!$C$97)-CROQUIS!$C$107)/MAX((CROQUIS!$C$137*MAX(1,CEILING((INT(((CROQUIS!$C$97)-CROQUIS!$C$107)/MAX(CROQUIS!$C$137,1))+1)/80,1))),1))+1))-1,0),0,MOD($A152-1,5))+1,0,2,CROQUIS!$C$98-2,2,0)))*CROQUIS!$C$159)+IF(CROQUIS!$C$92="X",0,0)),-1000)</f>
        <v>-1000</v>
      </c>
      <c r="BQ152">
        <f>IF(AND(CROQUIS!$C$88=1,CROQUIS!$C$137&gt;0),((CROQUIS!$C$161+(IF(CROQUIS!$C$92="X",CHOOSE(IF(INT(($A152-1)/5)&gt;MAX((MAX(1,INT(((CROQUIS!$C$97)-CROQUIS!$C$107)/MAX((CROQUIS!$C$137*MAX(1,CEILING((INT(((CROQUIS!$C$97)-CROQUIS!$C$107)/MAX(CROQUIS!$C$137,1))+1)/80,1))),1))+1))-1,0),0,MOD($A152-1,5))+1,0,2,CROQUIS!$C$98-2,2,0),((CROQUIS!$C$107/2+(((CROQUIS!$C$97)-CROQUIS!$C$107)-(MAX(1,INT(((CROQUIS!$C$97)-CROQUIS!$C$107)/MAX((CROQUIS!$C$137*MAX(1,CEILING((INT(((CROQUIS!$C$97)-CROQUIS!$C$107)/MAX(CROQUIS!$C$137,1))+1)/80,1))),1))+1)-1)*(CROQUIS!$C$137*MAX(1,CEILING((INT(((CROQUIS!$C$97)-CROQUIS!$C$107)/MAX(CROQUIS!$C$137,1))+1)/80,1))))/2)+MIN(INT(($A152-1)/5),MAX((MAX(1,INT(((CROQUIS!$C$97)-CROQUIS!$C$107)/MAX((CROQUIS!$C$137*MAX(1,CEILING((INT(((CROQUIS!$C$97)-CROQUIS!$C$107)/MAX(CROQUIS!$C$137,1))+1)/80,1))),1))+1))-1,0))*(CROQUIS!$C$137*MAX(1,CEILING((INT(((CROQUIS!$C$97)-CROQUIS!$C$107)/MAX(CROQUIS!$C$137,1))+1)/80,1))))))*CROQUIS!$C$159)+IF(CROQUIS!$C$92="X",0,0)),-1000)</f>
        <v>-1000</v>
      </c>
      <c r="BR152">
        <f>IF(AND(CROQUIS!$C$88=1,CROQUIS!$C$91=0,CROQUIS!$C$133&gt;0,OR(CROQUIS!$C$103=1,CROQUIS!$C$145=1)),((CROQUIS!$C$160+(IF(CROQUIS!$C$92="X",CHOOSE(IF(INT(($A152-1)/5)&gt;MAX((MAX(1,INT(((CROQUIS!$C$98)-CROQUIS!$C$107)/MAX((CROQUIS!$C$133*MAX(1,CEILING((INT(((CROQUIS!$C$98)-CROQUIS!$C$107)/MAX(CROQUIS!$C$133,1))+1)/80,1))),1))+1))-1,0),0,MOD($A152-1,5))+1,0,IF(CROQUIS!$C$103=1,-12,2),CROQUIS!$C$107/2+CROQUIS!$C$143,IF(CROQUIS!$C$103=1,-12,2),0),((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BS1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+1,0,IF(CROQUIS!$C$103=1,-12,2),CROQUIS!$C$107/2+CROQUIS!$C$143,IF(CROQUIS!$C$103=1,-12,2),0)))*CROQUIS!$C$159)+IF(CROQUIS!$C$92="X",0.8,0)),-1000)</f>
        <v>-1000</v>
      </c>
      <c r="BT152">
        <f>IF(AND(CROQUIS!$C$88=1,CROQUIS!$C$91=0,CROQUIS!$C$133&gt;0,OR(CROQUIS!$C$104=1,CROQUIS!$C$145=1)),((CROQUIS!$C$160+(IF(CROQUIS!$C$92="X",CHOOSE(IF(INT(($A152-1)/5)&gt;MAX((MAX(1,INT(((CROQUIS!$C$98)-CROQUIS!$C$107)/MAX((CROQUIS!$C$133*MAX(1,CEILING((INT(((CROQUIS!$C$98)-CROQUIS!$C$107)/MAX(CROQUIS!$C$133,1))+1)/80,1))),1))+1))-1,0),0,MOD($A152-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BU1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CROQUIS!$C$97,CROQUIS!$C$97-CROQUIS!$C$107/2-CROQUIS!$C$143,IF(CROQUIS!$C$104=1,CROQUIS!$C$97+12,CROQUIS!$C$97-2),CROQUIS!$C$97-CROQUIS!$C$107/2-CROQUIS!$C$143,CROQUIS!$C$97)))*CROQUIS!$C$159)+IF(CROQUIS!$C$92="X",0.8,0)),-1000)</f>
        <v>-1000</v>
      </c>
      <c r="BV1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HOOSE(IF(INT(($A152-1)/5)&gt;MAX((MAX(1,INT(((CROQUIS!$C$97)-CROQUIS!$C$107)/MAX((CROQUIS!$C$141*MAX(1,CEILING((INT(((CROQUIS!$C$97)-CROQUIS!$C$107)/MAX(CROQUIS!$C$141,1))+1)/80,1))),1))+1))-1,0),0,MOD($A152-1,5))+1,0,IF(CROQUIS!$C$105=1,-12,2),CROQUIS!$C$107/2+CROQUIS!$C$144,IF(CROQUIS!$C$105=1,-12,2),0)))*CROQUIS!$C$159)+IF(CROQUIS!$C$92="X",0.8,0)),-1000)</f>
        <v>-1000</v>
      </c>
      <c r="BW152">
        <f>IF(AND(CROQUIS!$C$88=1,CROQUIS!$C$91=0,CROQUIS!$C$141&gt;0,OR(CROQUIS!$C$105=1,CROQUIS!$C$146=1)),((CROQUIS!$C$161+(IF(CROQUIS!$C$92="X",CHOOSE(IF(INT(($A152-1)/5)&gt;MAX((MAX(1,INT(((CROQUIS!$C$97)-CROQUIS!$C$107)/MAX((CROQUIS!$C$141*MAX(1,CEILING((INT(((CROQUIS!$C$97)-CROQUIS!$C$107)/MAX(CROQUIS!$C$141,1))+1)/80,1))),1))+1))-1,0),0,MOD($A152-1,5))+1,0,IF(CROQUIS!$C$105=1,-12,2),CROQUIS!$C$107/2+CROQUIS!$C$144,IF(CROQUIS!$C$105=1,-12,2),0),((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ROQUIS!$C$159)+IF(CROQUIS!$C$92="X",0,0.8)),-1000)</f>
        <v>-1000</v>
      </c>
      <c r="BX1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HOOSE(IF(INT(($A152-1)/5)&gt;MAX((MAX(1,INT(((CROQUIS!$C$97)-CROQUIS!$C$107)/MAX((CROQUIS!$C$141*MAX(1,CEILING((INT(((CROQUIS!$C$97)-CROQUIS!$C$107)/MAX(CROQUIS!$C$141,1))+1)/80,1))),1))+1))-1,0),0,MOD($A152-1,5))+1,CROQUIS!$C$98,CROQUIS!$C$98-CROQUIS!$C$107/2-CROQUIS!$C$144,IF(CROQUIS!$C$106=1,CROQUIS!$C$98+12,CROQUIS!$C$98-2),CROQUIS!$C$98-CROQUIS!$C$107/2-CROQUIS!$C$144,CROQUIS!$C$98)))*CROQUIS!$C$159)+IF(CROQUIS!$C$92="X",0.8,0)),-1000)</f>
        <v>-1000</v>
      </c>
      <c r="BY152">
        <f>IF(AND(CROQUIS!$C$88=1,CROQUIS!$C$91=0,CROQUIS!$C$141&gt;0,OR(CROQUIS!$C$106=1,CROQUIS!$C$146=1)),((CROQUIS!$C$161+(IF(CROQUIS!$C$92="X",CHOOSE(IF(INT(($A152-1)/5)&gt;MAX((MAX(1,INT(((CROQUIS!$C$97)-CROQUIS!$C$107)/MAX((CROQUIS!$C$141*MAX(1,CEILING((INT(((CROQUIS!$C$97)-CROQUIS!$C$107)/MAX(CROQUIS!$C$141,1))+1)/80,1))),1))+1))-1,0),0,MOD($A152-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ROQUIS!$C$159)+IF(CROQUIS!$C$92="X",0,0.8)),-1000)</f>
        <v>-1000</v>
      </c>
      <c r="BZ152">
        <f>IF(AND(CROQUIS!$C$88=1,CROQUIS!$C$91=1,CROQUIS!$C$133&gt;0),((CROQUIS!$C$160+(IF(CROQUIS!$C$92="X",CHOOSE(IF(INT(($A152-1)/5)&gt;MAX((MAX(1,INT(((CROQUIS!$C$98)-CROQUIS!$C$107)/MAX((CROQUIS!$C$133*MAX(1,CEILING((INT(((CROQUIS!$C$98)-CROQUIS!$C$107)/MAX(CROQUIS!$C$133,1))+1)/80,1))),1))+1))-1,0),0,MOD($A152-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CA152">
        <f>IF(AND(CROQUIS!$C$88=1,CROQUIS!$C$91=1,CROQUIS!$C$133&gt;0),((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3">
      <c r="A153" t="n">
        <v>146</v>
      </c>
      <c r="BN153">
        <f>IF(AND(CROQUIS!$C$88=1,CROQUIS!$C$129&gt;0),((CROQUIS!$C$160+(IF(CROQUIS!$C$92="X",CHOOSE(IF(INT(($A153-1)/5)&gt;MAX((MAX(1,INT(((CROQUIS!$C$98)-CROQUIS!$C$107)/MAX((CROQUIS!$C$129*MAX(1,CEILING((INT(((CROQUIS!$C$98)-CROQUIS!$C$107)/MAX(CROQUIS!$C$129,1))+1)/80,1))),1))+1))-1,0),0,MOD($A153-1,5))+1,0,2,CROQUIS!$C$97-2,2,0),((CROQUIS!$C$107/2+(((CROQUIS!$C$98)-CROQUIS!$C$107)-(MAX(1,INT(((CROQUIS!$C$98)-CROQUIS!$C$107)/MAX((CROQUIS!$C$129*MAX(1,CEILING((INT(((CROQUIS!$C$98)-CROQUIS!$C$107)/MAX(CROQUIS!$C$129,1))+1)/80,1))),1))+1)-1)*(CROQUIS!$C$129*MAX(1,CEILING((INT(((CROQUIS!$C$98)-CROQUIS!$C$107)/MAX(CROQUIS!$C$129,1))+1)/80,1))))/2)+MIN(INT(($A153-1)/5),MAX((MAX(1,INT(((CROQUIS!$C$98)-CROQUIS!$C$107)/MAX((CROQUIS!$C$129*MAX(1,CEILING((INT(((CROQUIS!$C$98)-CROQUIS!$C$107)/MAX(CROQUIS!$C$129,1))+1)/80,1))),1))+1))-1,0))*(CROQUIS!$C$129*MAX(1,CEILING((INT(((CROQUIS!$C$98)-CROQUIS!$C$107)/MAX(CROQUIS!$C$129,1))+1)/80,1))))))*CROQUIS!$C$159)+IF(CROQUIS!$C$92="X",0,0)),-1000)</f>
        <v>-1000</v>
      </c>
      <c r="BO153">
        <f>IF(AND(CROQUIS!$C$88=1,CROQUIS!$C$129&gt;0),((CROQUIS!$C$161+(IF(CROQUIS!$C$92="X",((CROQUIS!$C$107/2+(((CROQUIS!$C$98)-CROQUIS!$C$107)-(MAX(1,INT(((CROQUIS!$C$98)-CROQUIS!$C$107)/MAX((CROQUIS!$C$129*MAX(1,CEILING((INT(((CROQUIS!$C$98)-CROQUIS!$C$107)/MAX(CROQUIS!$C$129,1))+1)/80,1))),1))+1)-1)*(CROQUIS!$C$129*MAX(1,CEILING((INT(((CROQUIS!$C$98)-CROQUIS!$C$107)/MAX(CROQUIS!$C$129,1))+1)/80,1))))/2)+MIN(INT(($A153-1)/5),MAX((MAX(1,INT(((CROQUIS!$C$98)-CROQUIS!$C$107)/MAX((CROQUIS!$C$129*MAX(1,CEILING((INT(((CROQUIS!$C$98)-CROQUIS!$C$107)/MAX(CROQUIS!$C$129,1))+1)/80,1))),1))+1))-1,0))*(CROQUIS!$C$129*MAX(1,CEILING((INT(((CROQUIS!$C$98)-CROQUIS!$C$107)/MAX(CROQUIS!$C$129,1))+1)/80,1)))),CHOOSE(IF(INT(($A153-1)/5)&gt;MAX((MAX(1,INT(((CROQUIS!$C$98)-CROQUIS!$C$107)/MAX((CROQUIS!$C$129*MAX(1,CEILING((INT(((CROQUIS!$C$98)-CROQUIS!$C$107)/MAX(CROQUIS!$C$129,1))+1)/80,1))),1))+1))-1,0),0,MOD($A153-1,5))+1,0,2,CROQUIS!$C$97-2,2,0)))*CROQUIS!$C$159)+IF(CROQUIS!$C$92="X",0,0)),-1000)</f>
        <v>-1000</v>
      </c>
      <c r="BP153">
        <f>IF(AND(CROQUIS!$C$88=1,CROQUIS!$C$137&gt;0),((CROQUIS!$C$160+(IF(CROQUIS!$C$92="X",((CROQUIS!$C$107/2+(((CROQUIS!$C$97)-CROQUIS!$C$107)-(MAX(1,INT(((CROQUIS!$C$97)-CROQUIS!$C$107)/MAX((CROQUIS!$C$137*MAX(1,CEILING((INT(((CROQUIS!$C$97)-CROQUIS!$C$107)/MAX(CROQUIS!$C$137,1))+1)/80,1))),1))+1)-1)*(CROQUIS!$C$137*MAX(1,CEILING((INT(((CROQUIS!$C$97)-CROQUIS!$C$107)/MAX(CROQUIS!$C$137,1))+1)/80,1))))/2)+MIN(INT(($A153-1)/5),MAX((MAX(1,INT(((CROQUIS!$C$97)-CROQUIS!$C$107)/MAX((CROQUIS!$C$137*MAX(1,CEILING((INT(((CROQUIS!$C$97)-CROQUIS!$C$107)/MAX(CROQUIS!$C$137,1))+1)/80,1))),1))+1))-1,0))*(CROQUIS!$C$137*MAX(1,CEILING((INT(((CROQUIS!$C$97)-CROQUIS!$C$107)/MAX(CROQUIS!$C$137,1))+1)/80,1)))),CHOOSE(IF(INT(($A153-1)/5)&gt;MAX((MAX(1,INT(((CROQUIS!$C$97)-CROQUIS!$C$107)/MAX((CROQUIS!$C$137*MAX(1,CEILING((INT(((CROQUIS!$C$97)-CROQUIS!$C$107)/MAX(CROQUIS!$C$137,1))+1)/80,1))),1))+1))-1,0),0,MOD($A153-1,5))+1,0,2,CROQUIS!$C$98-2,2,0)))*CROQUIS!$C$159)+IF(CROQUIS!$C$92="X",0,0)),-1000)</f>
        <v>-1000</v>
      </c>
      <c r="BQ153">
        <f>IF(AND(CROQUIS!$C$88=1,CROQUIS!$C$137&gt;0),((CROQUIS!$C$161+(IF(CROQUIS!$C$92="X",CHOOSE(IF(INT(($A153-1)/5)&gt;MAX((MAX(1,INT(((CROQUIS!$C$97)-CROQUIS!$C$107)/MAX((CROQUIS!$C$137*MAX(1,CEILING((INT(((CROQUIS!$C$97)-CROQUIS!$C$107)/MAX(CROQUIS!$C$137,1))+1)/80,1))),1))+1))-1,0),0,MOD($A153-1,5))+1,0,2,CROQUIS!$C$98-2,2,0),((CROQUIS!$C$107/2+(((CROQUIS!$C$97)-CROQUIS!$C$107)-(MAX(1,INT(((CROQUIS!$C$97)-CROQUIS!$C$107)/MAX((CROQUIS!$C$137*MAX(1,CEILING((INT(((CROQUIS!$C$97)-CROQUIS!$C$107)/MAX(CROQUIS!$C$137,1))+1)/80,1))),1))+1)-1)*(CROQUIS!$C$137*MAX(1,CEILING((INT(((CROQUIS!$C$97)-CROQUIS!$C$107)/MAX(CROQUIS!$C$137,1))+1)/80,1))))/2)+MIN(INT(($A153-1)/5),MAX((MAX(1,INT(((CROQUIS!$C$97)-CROQUIS!$C$107)/MAX((CROQUIS!$C$137*MAX(1,CEILING((INT(((CROQUIS!$C$97)-CROQUIS!$C$107)/MAX(CROQUIS!$C$137,1))+1)/80,1))),1))+1))-1,0))*(CROQUIS!$C$137*MAX(1,CEILING((INT(((CROQUIS!$C$97)-CROQUIS!$C$107)/MAX(CROQUIS!$C$137,1))+1)/80,1))))))*CROQUIS!$C$159)+IF(CROQUIS!$C$92="X",0,0)),-1000)</f>
        <v>-1000</v>
      </c>
      <c r="BR153">
        <f>IF(AND(CROQUIS!$C$88=1,CROQUIS!$C$91=0,CROQUIS!$C$133&gt;0,OR(CROQUIS!$C$103=1,CROQUIS!$C$145=1)),((CROQUIS!$C$160+(IF(CROQUIS!$C$92="X",CHOOSE(IF(INT(($A153-1)/5)&gt;MAX((MAX(1,INT(((CROQUIS!$C$98)-CROQUIS!$C$107)/MAX((CROQUIS!$C$133*MAX(1,CEILING((INT(((CROQUIS!$C$98)-CROQUIS!$C$107)/MAX(CROQUIS!$C$133,1))+1)/80,1))),1))+1))-1,0),0,MOD($A153-1,5))+1,0,IF(CROQUIS!$C$103=1,-12,2),CROQUIS!$C$107/2+CROQUIS!$C$143,IF(CROQUIS!$C$103=1,-12,2),0),((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BS1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+1,0,IF(CROQUIS!$C$103=1,-12,2),CROQUIS!$C$107/2+CROQUIS!$C$143,IF(CROQUIS!$C$103=1,-12,2),0)))*CROQUIS!$C$159)+IF(CROQUIS!$C$92="X",0.8,0)),-1000)</f>
        <v>-1000</v>
      </c>
      <c r="BT153">
        <f>IF(AND(CROQUIS!$C$88=1,CROQUIS!$C$91=0,CROQUIS!$C$133&gt;0,OR(CROQUIS!$C$104=1,CROQUIS!$C$145=1)),((CROQUIS!$C$160+(IF(CROQUIS!$C$92="X",CHOOSE(IF(INT(($A153-1)/5)&gt;MAX((MAX(1,INT(((CROQUIS!$C$98)-CROQUIS!$C$107)/MAX((CROQUIS!$C$133*MAX(1,CEILING((INT(((CROQUIS!$C$98)-CROQUIS!$C$107)/MAX(CROQUIS!$C$133,1))+1)/80,1))),1))+1))-1,0),0,MOD($A153-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BU1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CROQUIS!$C$97,CROQUIS!$C$97-CROQUIS!$C$107/2-CROQUIS!$C$143,IF(CROQUIS!$C$104=1,CROQUIS!$C$97+12,CROQUIS!$C$97-2),CROQUIS!$C$97-CROQUIS!$C$107/2-CROQUIS!$C$143,CROQUIS!$C$97)))*CROQUIS!$C$159)+IF(CROQUIS!$C$92="X",0.8,0)),-1000)</f>
        <v>-1000</v>
      </c>
      <c r="BV1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HOOSE(IF(INT(($A153-1)/5)&gt;MAX((MAX(1,INT(((CROQUIS!$C$97)-CROQUIS!$C$107)/MAX((CROQUIS!$C$141*MAX(1,CEILING((INT(((CROQUIS!$C$97)-CROQUIS!$C$107)/MAX(CROQUIS!$C$141,1))+1)/80,1))),1))+1))-1,0),0,MOD($A153-1,5))+1,0,IF(CROQUIS!$C$105=1,-12,2),CROQUIS!$C$107/2+CROQUIS!$C$144,IF(CROQUIS!$C$105=1,-12,2),0)))*CROQUIS!$C$159)+IF(CROQUIS!$C$92="X",0.8,0)),-1000)</f>
        <v>-1000</v>
      </c>
      <c r="BW153">
        <f>IF(AND(CROQUIS!$C$88=1,CROQUIS!$C$91=0,CROQUIS!$C$141&gt;0,OR(CROQUIS!$C$105=1,CROQUIS!$C$146=1)),((CROQUIS!$C$161+(IF(CROQUIS!$C$92="X",CHOOSE(IF(INT(($A153-1)/5)&gt;MAX((MAX(1,INT(((CROQUIS!$C$97)-CROQUIS!$C$107)/MAX((CROQUIS!$C$141*MAX(1,CEILING((INT(((CROQUIS!$C$97)-CROQUIS!$C$107)/MAX(CROQUIS!$C$141,1))+1)/80,1))),1))+1))-1,0),0,MOD($A153-1,5))+1,0,IF(CROQUIS!$C$105=1,-12,2),CROQUIS!$C$107/2+CROQUIS!$C$144,IF(CROQUIS!$C$105=1,-12,2),0),((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ROQUIS!$C$159)+IF(CROQUIS!$C$92="X",0,0.8)),-1000)</f>
        <v>-1000</v>
      </c>
      <c r="BX1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HOOSE(IF(INT(($A153-1)/5)&gt;MAX((MAX(1,INT(((CROQUIS!$C$97)-CROQUIS!$C$107)/MAX((CROQUIS!$C$141*MAX(1,CEILING((INT(((CROQUIS!$C$97)-CROQUIS!$C$107)/MAX(CROQUIS!$C$141,1))+1)/80,1))),1))+1))-1,0),0,MOD($A153-1,5))+1,CROQUIS!$C$98,CROQUIS!$C$98-CROQUIS!$C$107/2-CROQUIS!$C$144,IF(CROQUIS!$C$106=1,CROQUIS!$C$98+12,CROQUIS!$C$98-2),CROQUIS!$C$98-CROQUIS!$C$107/2-CROQUIS!$C$144,CROQUIS!$C$98)))*CROQUIS!$C$159)+IF(CROQUIS!$C$92="X",0.8,0)),-1000)</f>
        <v>-1000</v>
      </c>
      <c r="BY153">
        <f>IF(AND(CROQUIS!$C$88=1,CROQUIS!$C$91=0,CROQUIS!$C$141&gt;0,OR(CROQUIS!$C$106=1,CROQUIS!$C$146=1)),((CROQUIS!$C$161+(IF(CROQUIS!$C$92="X",CHOOSE(IF(INT(($A153-1)/5)&gt;MAX((MAX(1,INT(((CROQUIS!$C$97)-CROQUIS!$C$107)/MAX((CROQUIS!$C$141*MAX(1,CEILING((INT(((CROQUIS!$C$97)-CROQUIS!$C$107)/MAX(CROQUIS!$C$141,1))+1)/80,1))),1))+1))-1,0),0,MOD($A153-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ROQUIS!$C$159)+IF(CROQUIS!$C$92="X",0,0.8)),-1000)</f>
        <v>-1000</v>
      </c>
      <c r="BZ153">
        <f>IF(AND(CROQUIS!$C$88=1,CROQUIS!$C$91=1,CROQUIS!$C$133&gt;0),((CROQUIS!$C$160+(IF(CROQUIS!$C$92="X",CHOOSE(IF(INT(($A153-1)/5)&gt;MAX((MAX(1,INT(((CROQUIS!$C$98)-CROQUIS!$C$107)/MAX((CROQUIS!$C$133*MAX(1,CEILING((INT(((CROQUIS!$C$98)-CROQUIS!$C$107)/MAX(CROQUIS!$C$133,1))+1)/80,1))),1))+1))-1,0),0,MOD($A153-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CA153">
        <f>IF(AND(CROQUIS!$C$88=1,CROQUIS!$C$91=1,CROQUIS!$C$133&gt;0),((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4">
      <c r="A154" t="n">
        <v>147</v>
      </c>
      <c r="BN154">
        <f>IF(AND(CROQUIS!$C$88=1,CROQUIS!$C$129&gt;0),((CROQUIS!$C$160+(IF(CROQUIS!$C$92="X",CHOOSE(IF(INT(($A154-1)/5)&gt;MAX((MAX(1,INT(((CROQUIS!$C$98)-CROQUIS!$C$107)/MAX((CROQUIS!$C$129*MAX(1,CEILING((INT(((CROQUIS!$C$98)-CROQUIS!$C$107)/MAX(CROQUIS!$C$129,1))+1)/80,1))),1))+1))-1,0),0,MOD($A154-1,5))+1,0,2,CROQUIS!$C$97-2,2,0),((CROQUIS!$C$107/2+(((CROQUIS!$C$98)-CROQUIS!$C$107)-(MAX(1,INT(((CROQUIS!$C$98)-CROQUIS!$C$107)/MAX((CROQUIS!$C$129*MAX(1,CEILING((INT(((CROQUIS!$C$98)-CROQUIS!$C$107)/MAX(CROQUIS!$C$129,1))+1)/80,1))),1))+1)-1)*(CROQUIS!$C$129*MAX(1,CEILING((INT(((CROQUIS!$C$98)-CROQUIS!$C$107)/MAX(CROQUIS!$C$129,1))+1)/80,1))))/2)+MIN(INT(($A154-1)/5),MAX((MAX(1,INT(((CROQUIS!$C$98)-CROQUIS!$C$107)/MAX((CROQUIS!$C$129*MAX(1,CEILING((INT(((CROQUIS!$C$98)-CROQUIS!$C$107)/MAX(CROQUIS!$C$129,1))+1)/80,1))),1))+1))-1,0))*(CROQUIS!$C$129*MAX(1,CEILING((INT(((CROQUIS!$C$98)-CROQUIS!$C$107)/MAX(CROQUIS!$C$129,1))+1)/80,1))))))*CROQUIS!$C$159)+IF(CROQUIS!$C$92="X",0,0)),-1000)</f>
        <v>-1000</v>
      </c>
      <c r="BO154">
        <f>IF(AND(CROQUIS!$C$88=1,CROQUIS!$C$129&gt;0),((CROQUIS!$C$161+(IF(CROQUIS!$C$92="X",((CROQUIS!$C$107/2+(((CROQUIS!$C$98)-CROQUIS!$C$107)-(MAX(1,INT(((CROQUIS!$C$98)-CROQUIS!$C$107)/MAX((CROQUIS!$C$129*MAX(1,CEILING((INT(((CROQUIS!$C$98)-CROQUIS!$C$107)/MAX(CROQUIS!$C$129,1))+1)/80,1))),1))+1)-1)*(CROQUIS!$C$129*MAX(1,CEILING((INT(((CROQUIS!$C$98)-CROQUIS!$C$107)/MAX(CROQUIS!$C$129,1))+1)/80,1))))/2)+MIN(INT(($A154-1)/5),MAX((MAX(1,INT(((CROQUIS!$C$98)-CROQUIS!$C$107)/MAX((CROQUIS!$C$129*MAX(1,CEILING((INT(((CROQUIS!$C$98)-CROQUIS!$C$107)/MAX(CROQUIS!$C$129,1))+1)/80,1))),1))+1))-1,0))*(CROQUIS!$C$129*MAX(1,CEILING((INT(((CROQUIS!$C$98)-CROQUIS!$C$107)/MAX(CROQUIS!$C$129,1))+1)/80,1)))),CHOOSE(IF(INT(($A154-1)/5)&gt;MAX((MAX(1,INT(((CROQUIS!$C$98)-CROQUIS!$C$107)/MAX((CROQUIS!$C$129*MAX(1,CEILING((INT(((CROQUIS!$C$98)-CROQUIS!$C$107)/MAX(CROQUIS!$C$129,1))+1)/80,1))),1))+1))-1,0),0,MOD($A154-1,5))+1,0,2,CROQUIS!$C$97-2,2,0)))*CROQUIS!$C$159)+IF(CROQUIS!$C$92="X",0,0)),-1000)</f>
        <v>-1000</v>
      </c>
      <c r="BP154">
        <f>IF(AND(CROQUIS!$C$88=1,CROQUIS!$C$137&gt;0),((CROQUIS!$C$160+(IF(CROQUIS!$C$92="X",((CROQUIS!$C$107/2+(((CROQUIS!$C$97)-CROQUIS!$C$107)-(MAX(1,INT(((CROQUIS!$C$97)-CROQUIS!$C$107)/MAX((CROQUIS!$C$137*MAX(1,CEILING((INT(((CROQUIS!$C$97)-CROQUIS!$C$107)/MAX(CROQUIS!$C$137,1))+1)/80,1))),1))+1)-1)*(CROQUIS!$C$137*MAX(1,CEILING((INT(((CROQUIS!$C$97)-CROQUIS!$C$107)/MAX(CROQUIS!$C$137,1))+1)/80,1))))/2)+MIN(INT(($A154-1)/5),MAX((MAX(1,INT(((CROQUIS!$C$97)-CROQUIS!$C$107)/MAX((CROQUIS!$C$137*MAX(1,CEILING((INT(((CROQUIS!$C$97)-CROQUIS!$C$107)/MAX(CROQUIS!$C$137,1))+1)/80,1))),1))+1))-1,0))*(CROQUIS!$C$137*MAX(1,CEILING((INT(((CROQUIS!$C$97)-CROQUIS!$C$107)/MAX(CROQUIS!$C$137,1))+1)/80,1)))),CHOOSE(IF(INT(($A154-1)/5)&gt;MAX((MAX(1,INT(((CROQUIS!$C$97)-CROQUIS!$C$107)/MAX((CROQUIS!$C$137*MAX(1,CEILING((INT(((CROQUIS!$C$97)-CROQUIS!$C$107)/MAX(CROQUIS!$C$137,1))+1)/80,1))),1))+1))-1,0),0,MOD($A154-1,5))+1,0,2,CROQUIS!$C$98-2,2,0)))*CROQUIS!$C$159)+IF(CROQUIS!$C$92="X",0,0)),-1000)</f>
        <v>-1000</v>
      </c>
      <c r="BQ154">
        <f>IF(AND(CROQUIS!$C$88=1,CROQUIS!$C$137&gt;0),((CROQUIS!$C$161+(IF(CROQUIS!$C$92="X",CHOOSE(IF(INT(($A154-1)/5)&gt;MAX((MAX(1,INT(((CROQUIS!$C$97)-CROQUIS!$C$107)/MAX((CROQUIS!$C$137*MAX(1,CEILING((INT(((CROQUIS!$C$97)-CROQUIS!$C$107)/MAX(CROQUIS!$C$137,1))+1)/80,1))),1))+1))-1,0),0,MOD($A154-1,5))+1,0,2,CROQUIS!$C$98-2,2,0),((CROQUIS!$C$107/2+(((CROQUIS!$C$97)-CROQUIS!$C$107)-(MAX(1,INT(((CROQUIS!$C$97)-CROQUIS!$C$107)/MAX((CROQUIS!$C$137*MAX(1,CEILING((INT(((CROQUIS!$C$97)-CROQUIS!$C$107)/MAX(CROQUIS!$C$137,1))+1)/80,1))),1))+1)-1)*(CROQUIS!$C$137*MAX(1,CEILING((INT(((CROQUIS!$C$97)-CROQUIS!$C$107)/MAX(CROQUIS!$C$137,1))+1)/80,1))))/2)+MIN(INT(($A154-1)/5),MAX((MAX(1,INT(((CROQUIS!$C$97)-CROQUIS!$C$107)/MAX((CROQUIS!$C$137*MAX(1,CEILING((INT(((CROQUIS!$C$97)-CROQUIS!$C$107)/MAX(CROQUIS!$C$137,1))+1)/80,1))),1))+1))-1,0))*(CROQUIS!$C$137*MAX(1,CEILING((INT(((CROQUIS!$C$97)-CROQUIS!$C$107)/MAX(CROQUIS!$C$137,1))+1)/80,1))))))*CROQUIS!$C$159)+IF(CROQUIS!$C$92="X",0,0)),-1000)</f>
        <v>-1000</v>
      </c>
      <c r="BR154">
        <f>IF(AND(CROQUIS!$C$88=1,CROQUIS!$C$91=0,CROQUIS!$C$133&gt;0,OR(CROQUIS!$C$103=1,CROQUIS!$C$145=1)),((CROQUIS!$C$160+(IF(CROQUIS!$C$92="X",CHOOSE(IF(INT(($A154-1)/5)&gt;MAX((MAX(1,INT(((CROQUIS!$C$98)-CROQUIS!$C$107)/MAX((CROQUIS!$C$133*MAX(1,CEILING((INT(((CROQUIS!$C$98)-CROQUIS!$C$107)/MAX(CROQUIS!$C$133,1))+1)/80,1))),1))+1))-1,0),0,MOD($A154-1,5))+1,0,IF(CROQUIS!$C$103=1,-12,2),CROQUIS!$C$107/2+CROQUIS!$C$143,IF(CROQUIS!$C$103=1,-12,2),0),((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BS1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+1,0,IF(CROQUIS!$C$103=1,-12,2),CROQUIS!$C$107/2+CROQUIS!$C$143,IF(CROQUIS!$C$103=1,-12,2),0)))*CROQUIS!$C$159)+IF(CROQUIS!$C$92="X",0.8,0)),-1000)</f>
        <v>-1000</v>
      </c>
      <c r="BT154">
        <f>IF(AND(CROQUIS!$C$88=1,CROQUIS!$C$91=0,CROQUIS!$C$133&gt;0,OR(CROQUIS!$C$104=1,CROQUIS!$C$145=1)),((CROQUIS!$C$160+(IF(CROQUIS!$C$92="X",CHOOSE(IF(INT(($A154-1)/5)&gt;MAX((MAX(1,INT(((CROQUIS!$C$98)-CROQUIS!$C$107)/MAX((CROQUIS!$C$133*MAX(1,CEILING((INT(((CROQUIS!$C$98)-CROQUIS!$C$107)/MAX(CROQUIS!$C$133,1))+1)/80,1))),1))+1))-1,0),0,MOD($A154-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BU1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CROQUIS!$C$97,CROQUIS!$C$97-CROQUIS!$C$107/2-CROQUIS!$C$143,IF(CROQUIS!$C$104=1,CROQUIS!$C$97+12,CROQUIS!$C$97-2),CROQUIS!$C$97-CROQUIS!$C$107/2-CROQUIS!$C$143,CROQUIS!$C$97)))*CROQUIS!$C$159)+IF(CROQUIS!$C$92="X",0.8,0)),-1000)</f>
        <v>-1000</v>
      </c>
      <c r="BV1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HOOSE(IF(INT(($A154-1)/5)&gt;MAX((MAX(1,INT(((CROQUIS!$C$97)-CROQUIS!$C$107)/MAX((CROQUIS!$C$141*MAX(1,CEILING((INT(((CROQUIS!$C$97)-CROQUIS!$C$107)/MAX(CROQUIS!$C$141,1))+1)/80,1))),1))+1))-1,0),0,MOD($A154-1,5))+1,0,IF(CROQUIS!$C$105=1,-12,2),CROQUIS!$C$107/2+CROQUIS!$C$144,IF(CROQUIS!$C$105=1,-12,2),0)))*CROQUIS!$C$159)+IF(CROQUIS!$C$92="X",0.8,0)),-1000)</f>
        <v>-1000</v>
      </c>
      <c r="BW154">
        <f>IF(AND(CROQUIS!$C$88=1,CROQUIS!$C$91=0,CROQUIS!$C$141&gt;0,OR(CROQUIS!$C$105=1,CROQUIS!$C$146=1)),((CROQUIS!$C$161+(IF(CROQUIS!$C$92="X",CHOOSE(IF(INT(($A154-1)/5)&gt;MAX((MAX(1,INT(((CROQUIS!$C$97)-CROQUIS!$C$107)/MAX((CROQUIS!$C$141*MAX(1,CEILING((INT(((CROQUIS!$C$97)-CROQUIS!$C$107)/MAX(CROQUIS!$C$141,1))+1)/80,1))),1))+1))-1,0),0,MOD($A154-1,5))+1,0,IF(CROQUIS!$C$105=1,-12,2),CROQUIS!$C$107/2+CROQUIS!$C$144,IF(CROQUIS!$C$105=1,-12,2),0),((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ROQUIS!$C$159)+IF(CROQUIS!$C$92="X",0,0.8)),-1000)</f>
        <v>-1000</v>
      </c>
      <c r="BX1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HOOSE(IF(INT(($A154-1)/5)&gt;MAX((MAX(1,INT(((CROQUIS!$C$97)-CROQUIS!$C$107)/MAX((CROQUIS!$C$141*MAX(1,CEILING((INT(((CROQUIS!$C$97)-CROQUIS!$C$107)/MAX(CROQUIS!$C$141,1))+1)/80,1))),1))+1))-1,0),0,MOD($A154-1,5))+1,CROQUIS!$C$98,CROQUIS!$C$98-CROQUIS!$C$107/2-CROQUIS!$C$144,IF(CROQUIS!$C$106=1,CROQUIS!$C$98+12,CROQUIS!$C$98-2),CROQUIS!$C$98-CROQUIS!$C$107/2-CROQUIS!$C$144,CROQUIS!$C$98)))*CROQUIS!$C$159)+IF(CROQUIS!$C$92="X",0.8,0)),-1000)</f>
        <v>-1000</v>
      </c>
      <c r="BY154">
        <f>IF(AND(CROQUIS!$C$88=1,CROQUIS!$C$91=0,CROQUIS!$C$141&gt;0,OR(CROQUIS!$C$106=1,CROQUIS!$C$146=1)),((CROQUIS!$C$161+(IF(CROQUIS!$C$92="X",CHOOSE(IF(INT(($A154-1)/5)&gt;MAX((MAX(1,INT(((CROQUIS!$C$97)-CROQUIS!$C$107)/MAX((CROQUIS!$C$141*MAX(1,CEILING((INT(((CROQUIS!$C$97)-CROQUIS!$C$107)/MAX(CROQUIS!$C$141,1))+1)/80,1))),1))+1))-1,0),0,MOD($A154-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ROQUIS!$C$159)+IF(CROQUIS!$C$92="X",0,0.8)),-1000)</f>
        <v>-1000</v>
      </c>
      <c r="BZ154">
        <f>IF(AND(CROQUIS!$C$88=1,CROQUIS!$C$91=1,CROQUIS!$C$133&gt;0),((CROQUIS!$C$160+(IF(CROQUIS!$C$92="X",CHOOSE(IF(INT(($A154-1)/5)&gt;MAX((MAX(1,INT(((CROQUIS!$C$98)-CROQUIS!$C$107)/MAX((CROQUIS!$C$133*MAX(1,CEILING((INT(((CROQUIS!$C$98)-CROQUIS!$C$107)/MAX(CROQUIS!$C$133,1))+1)/80,1))),1))+1))-1,0),0,MOD($A154-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CA154">
        <f>IF(AND(CROQUIS!$C$88=1,CROQUIS!$C$91=1,CROQUIS!$C$133&gt;0),((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5">
      <c r="A155" t="n">
        <v>148</v>
      </c>
      <c r="BN155">
        <f>IF(AND(CROQUIS!$C$88=1,CROQUIS!$C$129&gt;0),((CROQUIS!$C$160+(IF(CROQUIS!$C$92="X",CHOOSE(IF(INT(($A155-1)/5)&gt;MAX((MAX(1,INT(((CROQUIS!$C$98)-CROQUIS!$C$107)/MAX((CROQUIS!$C$129*MAX(1,CEILING((INT(((CROQUIS!$C$98)-CROQUIS!$C$107)/MAX(CROQUIS!$C$129,1))+1)/80,1))),1))+1))-1,0),0,MOD($A155-1,5))+1,0,2,CROQUIS!$C$97-2,2,0),((CROQUIS!$C$107/2+(((CROQUIS!$C$98)-CROQUIS!$C$107)-(MAX(1,INT(((CROQUIS!$C$98)-CROQUIS!$C$107)/MAX((CROQUIS!$C$129*MAX(1,CEILING((INT(((CROQUIS!$C$98)-CROQUIS!$C$107)/MAX(CROQUIS!$C$129,1))+1)/80,1))),1))+1)-1)*(CROQUIS!$C$129*MAX(1,CEILING((INT(((CROQUIS!$C$98)-CROQUIS!$C$107)/MAX(CROQUIS!$C$129,1))+1)/80,1))))/2)+MIN(INT(($A155-1)/5),MAX((MAX(1,INT(((CROQUIS!$C$98)-CROQUIS!$C$107)/MAX((CROQUIS!$C$129*MAX(1,CEILING((INT(((CROQUIS!$C$98)-CROQUIS!$C$107)/MAX(CROQUIS!$C$129,1))+1)/80,1))),1))+1))-1,0))*(CROQUIS!$C$129*MAX(1,CEILING((INT(((CROQUIS!$C$98)-CROQUIS!$C$107)/MAX(CROQUIS!$C$129,1))+1)/80,1))))))*CROQUIS!$C$159)+IF(CROQUIS!$C$92="X",0,0)),-1000)</f>
        <v>-1000</v>
      </c>
      <c r="BO155">
        <f>IF(AND(CROQUIS!$C$88=1,CROQUIS!$C$129&gt;0),((CROQUIS!$C$161+(IF(CROQUIS!$C$92="X",((CROQUIS!$C$107/2+(((CROQUIS!$C$98)-CROQUIS!$C$107)-(MAX(1,INT(((CROQUIS!$C$98)-CROQUIS!$C$107)/MAX((CROQUIS!$C$129*MAX(1,CEILING((INT(((CROQUIS!$C$98)-CROQUIS!$C$107)/MAX(CROQUIS!$C$129,1))+1)/80,1))),1))+1)-1)*(CROQUIS!$C$129*MAX(1,CEILING((INT(((CROQUIS!$C$98)-CROQUIS!$C$107)/MAX(CROQUIS!$C$129,1))+1)/80,1))))/2)+MIN(INT(($A155-1)/5),MAX((MAX(1,INT(((CROQUIS!$C$98)-CROQUIS!$C$107)/MAX((CROQUIS!$C$129*MAX(1,CEILING((INT(((CROQUIS!$C$98)-CROQUIS!$C$107)/MAX(CROQUIS!$C$129,1))+1)/80,1))),1))+1))-1,0))*(CROQUIS!$C$129*MAX(1,CEILING((INT(((CROQUIS!$C$98)-CROQUIS!$C$107)/MAX(CROQUIS!$C$129,1))+1)/80,1)))),CHOOSE(IF(INT(($A155-1)/5)&gt;MAX((MAX(1,INT(((CROQUIS!$C$98)-CROQUIS!$C$107)/MAX((CROQUIS!$C$129*MAX(1,CEILING((INT(((CROQUIS!$C$98)-CROQUIS!$C$107)/MAX(CROQUIS!$C$129,1))+1)/80,1))),1))+1))-1,0),0,MOD($A155-1,5))+1,0,2,CROQUIS!$C$97-2,2,0)))*CROQUIS!$C$159)+IF(CROQUIS!$C$92="X",0,0)),-1000)</f>
        <v>-1000</v>
      </c>
      <c r="BP155">
        <f>IF(AND(CROQUIS!$C$88=1,CROQUIS!$C$137&gt;0),((CROQUIS!$C$160+(IF(CROQUIS!$C$92="X",((CROQUIS!$C$107/2+(((CROQUIS!$C$97)-CROQUIS!$C$107)-(MAX(1,INT(((CROQUIS!$C$97)-CROQUIS!$C$107)/MAX((CROQUIS!$C$137*MAX(1,CEILING((INT(((CROQUIS!$C$97)-CROQUIS!$C$107)/MAX(CROQUIS!$C$137,1))+1)/80,1))),1))+1)-1)*(CROQUIS!$C$137*MAX(1,CEILING((INT(((CROQUIS!$C$97)-CROQUIS!$C$107)/MAX(CROQUIS!$C$137,1))+1)/80,1))))/2)+MIN(INT(($A155-1)/5),MAX((MAX(1,INT(((CROQUIS!$C$97)-CROQUIS!$C$107)/MAX((CROQUIS!$C$137*MAX(1,CEILING((INT(((CROQUIS!$C$97)-CROQUIS!$C$107)/MAX(CROQUIS!$C$137,1))+1)/80,1))),1))+1))-1,0))*(CROQUIS!$C$137*MAX(1,CEILING((INT(((CROQUIS!$C$97)-CROQUIS!$C$107)/MAX(CROQUIS!$C$137,1))+1)/80,1)))),CHOOSE(IF(INT(($A155-1)/5)&gt;MAX((MAX(1,INT(((CROQUIS!$C$97)-CROQUIS!$C$107)/MAX((CROQUIS!$C$137*MAX(1,CEILING((INT(((CROQUIS!$C$97)-CROQUIS!$C$107)/MAX(CROQUIS!$C$137,1))+1)/80,1))),1))+1))-1,0),0,MOD($A155-1,5))+1,0,2,CROQUIS!$C$98-2,2,0)))*CROQUIS!$C$159)+IF(CROQUIS!$C$92="X",0,0)),-1000)</f>
        <v>-1000</v>
      </c>
      <c r="BQ155">
        <f>IF(AND(CROQUIS!$C$88=1,CROQUIS!$C$137&gt;0),((CROQUIS!$C$161+(IF(CROQUIS!$C$92="X",CHOOSE(IF(INT(($A155-1)/5)&gt;MAX((MAX(1,INT(((CROQUIS!$C$97)-CROQUIS!$C$107)/MAX((CROQUIS!$C$137*MAX(1,CEILING((INT(((CROQUIS!$C$97)-CROQUIS!$C$107)/MAX(CROQUIS!$C$137,1))+1)/80,1))),1))+1))-1,0),0,MOD($A155-1,5))+1,0,2,CROQUIS!$C$98-2,2,0),((CROQUIS!$C$107/2+(((CROQUIS!$C$97)-CROQUIS!$C$107)-(MAX(1,INT(((CROQUIS!$C$97)-CROQUIS!$C$107)/MAX((CROQUIS!$C$137*MAX(1,CEILING((INT(((CROQUIS!$C$97)-CROQUIS!$C$107)/MAX(CROQUIS!$C$137,1))+1)/80,1))),1))+1)-1)*(CROQUIS!$C$137*MAX(1,CEILING((INT(((CROQUIS!$C$97)-CROQUIS!$C$107)/MAX(CROQUIS!$C$137,1))+1)/80,1))))/2)+MIN(INT(($A155-1)/5),MAX((MAX(1,INT(((CROQUIS!$C$97)-CROQUIS!$C$107)/MAX((CROQUIS!$C$137*MAX(1,CEILING((INT(((CROQUIS!$C$97)-CROQUIS!$C$107)/MAX(CROQUIS!$C$137,1))+1)/80,1))),1))+1))-1,0))*(CROQUIS!$C$137*MAX(1,CEILING((INT(((CROQUIS!$C$97)-CROQUIS!$C$107)/MAX(CROQUIS!$C$137,1))+1)/80,1))))))*CROQUIS!$C$159)+IF(CROQUIS!$C$92="X",0,0)),-1000)</f>
        <v>-1000</v>
      </c>
      <c r="BR155">
        <f>IF(AND(CROQUIS!$C$88=1,CROQUIS!$C$91=0,CROQUIS!$C$133&gt;0,OR(CROQUIS!$C$103=1,CROQUIS!$C$145=1)),((CROQUIS!$C$160+(IF(CROQUIS!$C$92="X",CHOOSE(IF(INT(($A155-1)/5)&gt;MAX((MAX(1,INT(((CROQUIS!$C$98)-CROQUIS!$C$107)/MAX((CROQUIS!$C$133*MAX(1,CEILING((INT(((CROQUIS!$C$98)-CROQUIS!$C$107)/MAX(CROQUIS!$C$133,1))+1)/80,1))),1))+1))-1,0),0,MOD($A155-1,5))+1,0,IF(CROQUIS!$C$103=1,-12,2),CROQUIS!$C$107/2+CROQUIS!$C$143,IF(CROQUIS!$C$103=1,-12,2),0),((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BS1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+1,0,IF(CROQUIS!$C$103=1,-12,2),CROQUIS!$C$107/2+CROQUIS!$C$143,IF(CROQUIS!$C$103=1,-12,2),0)))*CROQUIS!$C$159)+IF(CROQUIS!$C$92="X",0.8,0)),-1000)</f>
        <v>-1000</v>
      </c>
      <c r="BT155">
        <f>IF(AND(CROQUIS!$C$88=1,CROQUIS!$C$91=0,CROQUIS!$C$133&gt;0,OR(CROQUIS!$C$104=1,CROQUIS!$C$145=1)),((CROQUIS!$C$160+(IF(CROQUIS!$C$92="X",CHOOSE(IF(INT(($A155-1)/5)&gt;MAX((MAX(1,INT(((CROQUIS!$C$98)-CROQUIS!$C$107)/MAX((CROQUIS!$C$133*MAX(1,CEILING((INT(((CROQUIS!$C$98)-CROQUIS!$C$107)/MAX(CROQUIS!$C$133,1))+1)/80,1))),1))+1))-1,0),0,MOD($A155-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BU1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CROQUIS!$C$97,CROQUIS!$C$97-CROQUIS!$C$107/2-CROQUIS!$C$143,IF(CROQUIS!$C$104=1,CROQUIS!$C$97+12,CROQUIS!$C$97-2),CROQUIS!$C$97-CROQUIS!$C$107/2-CROQUIS!$C$143,CROQUIS!$C$97)))*CROQUIS!$C$159)+IF(CROQUIS!$C$92="X",0.8,0)),-1000)</f>
        <v>-1000</v>
      </c>
      <c r="BV1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HOOSE(IF(INT(($A155-1)/5)&gt;MAX((MAX(1,INT(((CROQUIS!$C$97)-CROQUIS!$C$107)/MAX((CROQUIS!$C$141*MAX(1,CEILING((INT(((CROQUIS!$C$97)-CROQUIS!$C$107)/MAX(CROQUIS!$C$141,1))+1)/80,1))),1))+1))-1,0),0,MOD($A155-1,5))+1,0,IF(CROQUIS!$C$105=1,-12,2),CROQUIS!$C$107/2+CROQUIS!$C$144,IF(CROQUIS!$C$105=1,-12,2),0)))*CROQUIS!$C$159)+IF(CROQUIS!$C$92="X",0.8,0)),-1000)</f>
        <v>-1000</v>
      </c>
      <c r="BW155">
        <f>IF(AND(CROQUIS!$C$88=1,CROQUIS!$C$91=0,CROQUIS!$C$141&gt;0,OR(CROQUIS!$C$105=1,CROQUIS!$C$146=1)),((CROQUIS!$C$161+(IF(CROQUIS!$C$92="X",CHOOSE(IF(INT(($A155-1)/5)&gt;MAX((MAX(1,INT(((CROQUIS!$C$97)-CROQUIS!$C$107)/MAX((CROQUIS!$C$141*MAX(1,CEILING((INT(((CROQUIS!$C$97)-CROQUIS!$C$107)/MAX(CROQUIS!$C$141,1))+1)/80,1))),1))+1))-1,0),0,MOD($A155-1,5))+1,0,IF(CROQUIS!$C$105=1,-12,2),CROQUIS!$C$107/2+CROQUIS!$C$144,IF(CROQUIS!$C$105=1,-12,2),0),((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ROQUIS!$C$159)+IF(CROQUIS!$C$92="X",0,0.8)),-1000)</f>
        <v>-1000</v>
      </c>
      <c r="BX1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HOOSE(IF(INT(($A155-1)/5)&gt;MAX((MAX(1,INT(((CROQUIS!$C$97)-CROQUIS!$C$107)/MAX((CROQUIS!$C$141*MAX(1,CEILING((INT(((CROQUIS!$C$97)-CROQUIS!$C$107)/MAX(CROQUIS!$C$141,1))+1)/80,1))),1))+1))-1,0),0,MOD($A155-1,5))+1,CROQUIS!$C$98,CROQUIS!$C$98-CROQUIS!$C$107/2-CROQUIS!$C$144,IF(CROQUIS!$C$106=1,CROQUIS!$C$98+12,CROQUIS!$C$98-2),CROQUIS!$C$98-CROQUIS!$C$107/2-CROQUIS!$C$144,CROQUIS!$C$98)))*CROQUIS!$C$159)+IF(CROQUIS!$C$92="X",0.8,0)),-1000)</f>
        <v>-1000</v>
      </c>
      <c r="BY155">
        <f>IF(AND(CROQUIS!$C$88=1,CROQUIS!$C$91=0,CROQUIS!$C$141&gt;0,OR(CROQUIS!$C$106=1,CROQUIS!$C$146=1)),((CROQUIS!$C$161+(IF(CROQUIS!$C$92="X",CHOOSE(IF(INT(($A155-1)/5)&gt;MAX((MAX(1,INT(((CROQUIS!$C$97)-CROQUIS!$C$107)/MAX((CROQUIS!$C$141*MAX(1,CEILING((INT(((CROQUIS!$C$97)-CROQUIS!$C$107)/MAX(CROQUIS!$C$141,1))+1)/80,1))),1))+1))-1,0),0,MOD($A155-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ROQUIS!$C$159)+IF(CROQUIS!$C$92="X",0,0.8)),-1000)</f>
        <v>-1000</v>
      </c>
      <c r="BZ155">
        <f>IF(AND(CROQUIS!$C$88=1,CROQUIS!$C$91=1,CROQUIS!$C$133&gt;0),((CROQUIS!$C$160+(IF(CROQUIS!$C$92="X",CHOOSE(IF(INT(($A155-1)/5)&gt;MAX((MAX(1,INT(((CROQUIS!$C$98)-CROQUIS!$C$107)/MAX((CROQUIS!$C$133*MAX(1,CEILING((INT(((CROQUIS!$C$98)-CROQUIS!$C$107)/MAX(CROQUIS!$C$133,1))+1)/80,1))),1))+1))-1,0),0,MOD($A155-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CA155">
        <f>IF(AND(CROQUIS!$C$88=1,CROQUIS!$C$91=1,CROQUIS!$C$133&gt;0),((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6">
      <c r="A156" t="n">
        <v>149</v>
      </c>
      <c r="BN156">
        <f>IF(AND(CROQUIS!$C$88=1,CROQUIS!$C$129&gt;0),((CROQUIS!$C$160+(IF(CROQUIS!$C$92="X",CHOOSE(IF(INT(($A156-1)/5)&gt;MAX((MAX(1,INT(((CROQUIS!$C$98)-CROQUIS!$C$107)/MAX((CROQUIS!$C$129*MAX(1,CEILING((INT(((CROQUIS!$C$98)-CROQUIS!$C$107)/MAX(CROQUIS!$C$129,1))+1)/80,1))),1))+1))-1,0),0,MOD($A156-1,5))+1,0,2,CROQUIS!$C$97-2,2,0),((CROQUIS!$C$107/2+(((CROQUIS!$C$98)-CROQUIS!$C$107)-(MAX(1,INT(((CROQUIS!$C$98)-CROQUIS!$C$107)/MAX((CROQUIS!$C$129*MAX(1,CEILING((INT(((CROQUIS!$C$98)-CROQUIS!$C$107)/MAX(CROQUIS!$C$129,1))+1)/80,1))),1))+1)-1)*(CROQUIS!$C$129*MAX(1,CEILING((INT(((CROQUIS!$C$98)-CROQUIS!$C$107)/MAX(CROQUIS!$C$129,1))+1)/80,1))))/2)+MIN(INT(($A156-1)/5),MAX((MAX(1,INT(((CROQUIS!$C$98)-CROQUIS!$C$107)/MAX((CROQUIS!$C$129*MAX(1,CEILING((INT(((CROQUIS!$C$98)-CROQUIS!$C$107)/MAX(CROQUIS!$C$129,1))+1)/80,1))),1))+1))-1,0))*(CROQUIS!$C$129*MAX(1,CEILING((INT(((CROQUIS!$C$98)-CROQUIS!$C$107)/MAX(CROQUIS!$C$129,1))+1)/80,1))))))*CROQUIS!$C$159)+IF(CROQUIS!$C$92="X",0,0)),-1000)</f>
        <v>-1000</v>
      </c>
      <c r="BO156">
        <f>IF(AND(CROQUIS!$C$88=1,CROQUIS!$C$129&gt;0),((CROQUIS!$C$161+(IF(CROQUIS!$C$92="X",((CROQUIS!$C$107/2+(((CROQUIS!$C$98)-CROQUIS!$C$107)-(MAX(1,INT(((CROQUIS!$C$98)-CROQUIS!$C$107)/MAX((CROQUIS!$C$129*MAX(1,CEILING((INT(((CROQUIS!$C$98)-CROQUIS!$C$107)/MAX(CROQUIS!$C$129,1))+1)/80,1))),1))+1)-1)*(CROQUIS!$C$129*MAX(1,CEILING((INT(((CROQUIS!$C$98)-CROQUIS!$C$107)/MAX(CROQUIS!$C$129,1))+1)/80,1))))/2)+MIN(INT(($A156-1)/5),MAX((MAX(1,INT(((CROQUIS!$C$98)-CROQUIS!$C$107)/MAX((CROQUIS!$C$129*MAX(1,CEILING((INT(((CROQUIS!$C$98)-CROQUIS!$C$107)/MAX(CROQUIS!$C$129,1))+1)/80,1))),1))+1))-1,0))*(CROQUIS!$C$129*MAX(1,CEILING((INT(((CROQUIS!$C$98)-CROQUIS!$C$107)/MAX(CROQUIS!$C$129,1))+1)/80,1)))),CHOOSE(IF(INT(($A156-1)/5)&gt;MAX((MAX(1,INT(((CROQUIS!$C$98)-CROQUIS!$C$107)/MAX((CROQUIS!$C$129*MAX(1,CEILING((INT(((CROQUIS!$C$98)-CROQUIS!$C$107)/MAX(CROQUIS!$C$129,1))+1)/80,1))),1))+1))-1,0),0,MOD($A156-1,5))+1,0,2,CROQUIS!$C$97-2,2,0)))*CROQUIS!$C$159)+IF(CROQUIS!$C$92="X",0,0)),-1000)</f>
        <v>-1000</v>
      </c>
      <c r="BP156">
        <f>IF(AND(CROQUIS!$C$88=1,CROQUIS!$C$137&gt;0),((CROQUIS!$C$160+(IF(CROQUIS!$C$92="X",((CROQUIS!$C$107/2+(((CROQUIS!$C$97)-CROQUIS!$C$107)-(MAX(1,INT(((CROQUIS!$C$97)-CROQUIS!$C$107)/MAX((CROQUIS!$C$137*MAX(1,CEILING((INT(((CROQUIS!$C$97)-CROQUIS!$C$107)/MAX(CROQUIS!$C$137,1))+1)/80,1))),1))+1)-1)*(CROQUIS!$C$137*MAX(1,CEILING((INT(((CROQUIS!$C$97)-CROQUIS!$C$107)/MAX(CROQUIS!$C$137,1))+1)/80,1))))/2)+MIN(INT(($A156-1)/5),MAX((MAX(1,INT(((CROQUIS!$C$97)-CROQUIS!$C$107)/MAX((CROQUIS!$C$137*MAX(1,CEILING((INT(((CROQUIS!$C$97)-CROQUIS!$C$107)/MAX(CROQUIS!$C$137,1))+1)/80,1))),1))+1))-1,0))*(CROQUIS!$C$137*MAX(1,CEILING((INT(((CROQUIS!$C$97)-CROQUIS!$C$107)/MAX(CROQUIS!$C$137,1))+1)/80,1)))),CHOOSE(IF(INT(($A156-1)/5)&gt;MAX((MAX(1,INT(((CROQUIS!$C$97)-CROQUIS!$C$107)/MAX((CROQUIS!$C$137*MAX(1,CEILING((INT(((CROQUIS!$C$97)-CROQUIS!$C$107)/MAX(CROQUIS!$C$137,1))+1)/80,1))),1))+1))-1,0),0,MOD($A156-1,5))+1,0,2,CROQUIS!$C$98-2,2,0)))*CROQUIS!$C$159)+IF(CROQUIS!$C$92="X",0,0)),-1000)</f>
        <v>-1000</v>
      </c>
      <c r="BQ156">
        <f>IF(AND(CROQUIS!$C$88=1,CROQUIS!$C$137&gt;0),((CROQUIS!$C$161+(IF(CROQUIS!$C$92="X",CHOOSE(IF(INT(($A156-1)/5)&gt;MAX((MAX(1,INT(((CROQUIS!$C$97)-CROQUIS!$C$107)/MAX((CROQUIS!$C$137*MAX(1,CEILING((INT(((CROQUIS!$C$97)-CROQUIS!$C$107)/MAX(CROQUIS!$C$137,1))+1)/80,1))),1))+1))-1,0),0,MOD($A156-1,5))+1,0,2,CROQUIS!$C$98-2,2,0),((CROQUIS!$C$107/2+(((CROQUIS!$C$97)-CROQUIS!$C$107)-(MAX(1,INT(((CROQUIS!$C$97)-CROQUIS!$C$107)/MAX((CROQUIS!$C$137*MAX(1,CEILING((INT(((CROQUIS!$C$97)-CROQUIS!$C$107)/MAX(CROQUIS!$C$137,1))+1)/80,1))),1))+1)-1)*(CROQUIS!$C$137*MAX(1,CEILING((INT(((CROQUIS!$C$97)-CROQUIS!$C$107)/MAX(CROQUIS!$C$137,1))+1)/80,1))))/2)+MIN(INT(($A156-1)/5),MAX((MAX(1,INT(((CROQUIS!$C$97)-CROQUIS!$C$107)/MAX((CROQUIS!$C$137*MAX(1,CEILING((INT(((CROQUIS!$C$97)-CROQUIS!$C$107)/MAX(CROQUIS!$C$137,1))+1)/80,1))),1))+1))-1,0))*(CROQUIS!$C$137*MAX(1,CEILING((INT(((CROQUIS!$C$97)-CROQUIS!$C$107)/MAX(CROQUIS!$C$137,1))+1)/80,1))))))*CROQUIS!$C$159)+IF(CROQUIS!$C$92="X",0,0)),-1000)</f>
        <v>-1000</v>
      </c>
      <c r="BR156">
        <f>IF(AND(CROQUIS!$C$88=1,CROQUIS!$C$91=0,CROQUIS!$C$133&gt;0,OR(CROQUIS!$C$103=1,CROQUIS!$C$145=1)),((CROQUIS!$C$160+(IF(CROQUIS!$C$92="X",CHOOSE(IF(INT(($A156-1)/5)&gt;MAX((MAX(1,INT(((CROQUIS!$C$98)-CROQUIS!$C$107)/MAX((CROQUIS!$C$133*MAX(1,CEILING((INT(((CROQUIS!$C$98)-CROQUIS!$C$107)/MAX(CROQUIS!$C$133,1))+1)/80,1))),1))+1))-1,0),0,MOD($A156-1,5))+1,0,IF(CROQUIS!$C$103=1,-12,2),CROQUIS!$C$107/2+CROQUIS!$C$143,IF(CROQUIS!$C$103=1,-12,2),0),((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BS1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+1,0,IF(CROQUIS!$C$103=1,-12,2),CROQUIS!$C$107/2+CROQUIS!$C$143,IF(CROQUIS!$C$103=1,-12,2),0)))*CROQUIS!$C$159)+IF(CROQUIS!$C$92="X",0.8,0)),-1000)</f>
        <v>-1000</v>
      </c>
      <c r="BT156">
        <f>IF(AND(CROQUIS!$C$88=1,CROQUIS!$C$91=0,CROQUIS!$C$133&gt;0,OR(CROQUIS!$C$104=1,CROQUIS!$C$145=1)),((CROQUIS!$C$160+(IF(CROQUIS!$C$92="X",CHOOSE(IF(INT(($A156-1)/5)&gt;MAX((MAX(1,INT(((CROQUIS!$C$98)-CROQUIS!$C$107)/MAX((CROQUIS!$C$133*MAX(1,CEILING((INT(((CROQUIS!$C$98)-CROQUIS!$C$107)/MAX(CROQUIS!$C$133,1))+1)/80,1))),1))+1))-1,0),0,MOD($A156-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BU1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CROQUIS!$C$97,CROQUIS!$C$97-CROQUIS!$C$107/2-CROQUIS!$C$143,IF(CROQUIS!$C$104=1,CROQUIS!$C$97+12,CROQUIS!$C$97-2),CROQUIS!$C$97-CROQUIS!$C$107/2-CROQUIS!$C$143,CROQUIS!$C$97)))*CROQUIS!$C$159)+IF(CROQUIS!$C$92="X",0.8,0)),-1000)</f>
        <v>-1000</v>
      </c>
      <c r="BV1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HOOSE(IF(INT(($A156-1)/5)&gt;MAX((MAX(1,INT(((CROQUIS!$C$97)-CROQUIS!$C$107)/MAX((CROQUIS!$C$141*MAX(1,CEILING((INT(((CROQUIS!$C$97)-CROQUIS!$C$107)/MAX(CROQUIS!$C$141,1))+1)/80,1))),1))+1))-1,0),0,MOD($A156-1,5))+1,0,IF(CROQUIS!$C$105=1,-12,2),CROQUIS!$C$107/2+CROQUIS!$C$144,IF(CROQUIS!$C$105=1,-12,2),0)))*CROQUIS!$C$159)+IF(CROQUIS!$C$92="X",0.8,0)),-1000)</f>
        <v>-1000</v>
      </c>
      <c r="BW156">
        <f>IF(AND(CROQUIS!$C$88=1,CROQUIS!$C$91=0,CROQUIS!$C$141&gt;0,OR(CROQUIS!$C$105=1,CROQUIS!$C$146=1)),((CROQUIS!$C$161+(IF(CROQUIS!$C$92="X",CHOOSE(IF(INT(($A156-1)/5)&gt;MAX((MAX(1,INT(((CROQUIS!$C$97)-CROQUIS!$C$107)/MAX((CROQUIS!$C$141*MAX(1,CEILING((INT(((CROQUIS!$C$97)-CROQUIS!$C$107)/MAX(CROQUIS!$C$141,1))+1)/80,1))),1))+1))-1,0),0,MOD($A156-1,5))+1,0,IF(CROQUIS!$C$105=1,-12,2),CROQUIS!$C$107/2+CROQUIS!$C$144,IF(CROQUIS!$C$105=1,-12,2),0),((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ROQUIS!$C$159)+IF(CROQUIS!$C$92="X",0,0.8)),-1000)</f>
        <v>-1000</v>
      </c>
      <c r="BX1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HOOSE(IF(INT(($A156-1)/5)&gt;MAX((MAX(1,INT(((CROQUIS!$C$97)-CROQUIS!$C$107)/MAX((CROQUIS!$C$141*MAX(1,CEILING((INT(((CROQUIS!$C$97)-CROQUIS!$C$107)/MAX(CROQUIS!$C$141,1))+1)/80,1))),1))+1))-1,0),0,MOD($A156-1,5))+1,CROQUIS!$C$98,CROQUIS!$C$98-CROQUIS!$C$107/2-CROQUIS!$C$144,IF(CROQUIS!$C$106=1,CROQUIS!$C$98+12,CROQUIS!$C$98-2),CROQUIS!$C$98-CROQUIS!$C$107/2-CROQUIS!$C$144,CROQUIS!$C$98)))*CROQUIS!$C$159)+IF(CROQUIS!$C$92="X",0.8,0)),-1000)</f>
        <v>-1000</v>
      </c>
      <c r="BY156">
        <f>IF(AND(CROQUIS!$C$88=1,CROQUIS!$C$91=0,CROQUIS!$C$141&gt;0,OR(CROQUIS!$C$106=1,CROQUIS!$C$146=1)),((CROQUIS!$C$161+(IF(CROQUIS!$C$92="X",CHOOSE(IF(INT(($A156-1)/5)&gt;MAX((MAX(1,INT(((CROQUIS!$C$97)-CROQUIS!$C$107)/MAX((CROQUIS!$C$141*MAX(1,CEILING((INT(((CROQUIS!$C$97)-CROQUIS!$C$107)/MAX(CROQUIS!$C$141,1))+1)/80,1))),1))+1))-1,0),0,MOD($A156-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ROQUIS!$C$159)+IF(CROQUIS!$C$92="X",0,0.8)),-1000)</f>
        <v>-1000</v>
      </c>
      <c r="BZ156">
        <f>IF(AND(CROQUIS!$C$88=1,CROQUIS!$C$91=1,CROQUIS!$C$133&gt;0),((CROQUIS!$C$160+(IF(CROQUIS!$C$92="X",CHOOSE(IF(INT(($A156-1)/5)&gt;MAX((MAX(1,INT(((CROQUIS!$C$98)-CROQUIS!$C$107)/MAX((CROQUIS!$C$133*MAX(1,CEILING((INT(((CROQUIS!$C$98)-CROQUIS!$C$107)/MAX(CROQUIS!$C$133,1))+1)/80,1))),1))+1))-1,0),0,MOD($A156-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CA156">
        <f>IF(AND(CROQUIS!$C$88=1,CROQUIS!$C$91=1,CROQUIS!$C$133&gt;0),((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7">
      <c r="A157" t="n">
        <v>150</v>
      </c>
      <c r="BN157">
        <f>IF(AND(CROQUIS!$C$88=1,CROQUIS!$C$129&gt;0),((CROQUIS!$C$160+(IF(CROQUIS!$C$92="X",CHOOSE(IF(INT(($A157-1)/5)&gt;MAX((MAX(1,INT(((CROQUIS!$C$98)-CROQUIS!$C$107)/MAX((CROQUIS!$C$129*MAX(1,CEILING((INT(((CROQUIS!$C$98)-CROQUIS!$C$107)/MAX(CROQUIS!$C$129,1))+1)/80,1))),1))+1))-1,0),0,MOD($A157-1,5))+1,0,2,CROQUIS!$C$97-2,2,0),((CROQUIS!$C$107/2+(((CROQUIS!$C$98)-CROQUIS!$C$107)-(MAX(1,INT(((CROQUIS!$C$98)-CROQUIS!$C$107)/MAX((CROQUIS!$C$129*MAX(1,CEILING((INT(((CROQUIS!$C$98)-CROQUIS!$C$107)/MAX(CROQUIS!$C$129,1))+1)/80,1))),1))+1)-1)*(CROQUIS!$C$129*MAX(1,CEILING((INT(((CROQUIS!$C$98)-CROQUIS!$C$107)/MAX(CROQUIS!$C$129,1))+1)/80,1))))/2)+MIN(INT(($A157-1)/5),MAX((MAX(1,INT(((CROQUIS!$C$98)-CROQUIS!$C$107)/MAX((CROQUIS!$C$129*MAX(1,CEILING((INT(((CROQUIS!$C$98)-CROQUIS!$C$107)/MAX(CROQUIS!$C$129,1))+1)/80,1))),1))+1))-1,0))*(CROQUIS!$C$129*MAX(1,CEILING((INT(((CROQUIS!$C$98)-CROQUIS!$C$107)/MAX(CROQUIS!$C$129,1))+1)/80,1))))))*CROQUIS!$C$159)+IF(CROQUIS!$C$92="X",0,0)),-1000)</f>
        <v>-1000</v>
      </c>
      <c r="BO157">
        <f>IF(AND(CROQUIS!$C$88=1,CROQUIS!$C$129&gt;0),((CROQUIS!$C$161+(IF(CROQUIS!$C$92="X",((CROQUIS!$C$107/2+(((CROQUIS!$C$98)-CROQUIS!$C$107)-(MAX(1,INT(((CROQUIS!$C$98)-CROQUIS!$C$107)/MAX((CROQUIS!$C$129*MAX(1,CEILING((INT(((CROQUIS!$C$98)-CROQUIS!$C$107)/MAX(CROQUIS!$C$129,1))+1)/80,1))),1))+1)-1)*(CROQUIS!$C$129*MAX(1,CEILING((INT(((CROQUIS!$C$98)-CROQUIS!$C$107)/MAX(CROQUIS!$C$129,1))+1)/80,1))))/2)+MIN(INT(($A157-1)/5),MAX((MAX(1,INT(((CROQUIS!$C$98)-CROQUIS!$C$107)/MAX((CROQUIS!$C$129*MAX(1,CEILING((INT(((CROQUIS!$C$98)-CROQUIS!$C$107)/MAX(CROQUIS!$C$129,1))+1)/80,1))),1))+1))-1,0))*(CROQUIS!$C$129*MAX(1,CEILING((INT(((CROQUIS!$C$98)-CROQUIS!$C$107)/MAX(CROQUIS!$C$129,1))+1)/80,1)))),CHOOSE(IF(INT(($A157-1)/5)&gt;MAX((MAX(1,INT(((CROQUIS!$C$98)-CROQUIS!$C$107)/MAX((CROQUIS!$C$129*MAX(1,CEILING((INT(((CROQUIS!$C$98)-CROQUIS!$C$107)/MAX(CROQUIS!$C$129,1))+1)/80,1))),1))+1))-1,0),0,MOD($A157-1,5))+1,0,2,CROQUIS!$C$97-2,2,0)))*CROQUIS!$C$159)+IF(CROQUIS!$C$92="X",0,0)),-1000)</f>
        <v>-1000</v>
      </c>
      <c r="BP157">
        <f>IF(AND(CROQUIS!$C$88=1,CROQUIS!$C$137&gt;0),((CROQUIS!$C$160+(IF(CROQUIS!$C$92="X",((CROQUIS!$C$107/2+(((CROQUIS!$C$97)-CROQUIS!$C$107)-(MAX(1,INT(((CROQUIS!$C$97)-CROQUIS!$C$107)/MAX((CROQUIS!$C$137*MAX(1,CEILING((INT(((CROQUIS!$C$97)-CROQUIS!$C$107)/MAX(CROQUIS!$C$137,1))+1)/80,1))),1))+1)-1)*(CROQUIS!$C$137*MAX(1,CEILING((INT(((CROQUIS!$C$97)-CROQUIS!$C$107)/MAX(CROQUIS!$C$137,1))+1)/80,1))))/2)+MIN(INT(($A157-1)/5),MAX((MAX(1,INT(((CROQUIS!$C$97)-CROQUIS!$C$107)/MAX((CROQUIS!$C$137*MAX(1,CEILING((INT(((CROQUIS!$C$97)-CROQUIS!$C$107)/MAX(CROQUIS!$C$137,1))+1)/80,1))),1))+1))-1,0))*(CROQUIS!$C$137*MAX(1,CEILING((INT(((CROQUIS!$C$97)-CROQUIS!$C$107)/MAX(CROQUIS!$C$137,1))+1)/80,1)))),CHOOSE(IF(INT(($A157-1)/5)&gt;MAX((MAX(1,INT(((CROQUIS!$C$97)-CROQUIS!$C$107)/MAX((CROQUIS!$C$137*MAX(1,CEILING((INT(((CROQUIS!$C$97)-CROQUIS!$C$107)/MAX(CROQUIS!$C$137,1))+1)/80,1))),1))+1))-1,0),0,MOD($A157-1,5))+1,0,2,CROQUIS!$C$98-2,2,0)))*CROQUIS!$C$159)+IF(CROQUIS!$C$92="X",0,0)),-1000)</f>
        <v>-1000</v>
      </c>
      <c r="BQ157">
        <f>IF(AND(CROQUIS!$C$88=1,CROQUIS!$C$137&gt;0),((CROQUIS!$C$161+(IF(CROQUIS!$C$92="X",CHOOSE(IF(INT(($A157-1)/5)&gt;MAX((MAX(1,INT(((CROQUIS!$C$97)-CROQUIS!$C$107)/MAX((CROQUIS!$C$137*MAX(1,CEILING((INT(((CROQUIS!$C$97)-CROQUIS!$C$107)/MAX(CROQUIS!$C$137,1))+1)/80,1))),1))+1))-1,0),0,MOD($A157-1,5))+1,0,2,CROQUIS!$C$98-2,2,0),((CROQUIS!$C$107/2+(((CROQUIS!$C$97)-CROQUIS!$C$107)-(MAX(1,INT(((CROQUIS!$C$97)-CROQUIS!$C$107)/MAX((CROQUIS!$C$137*MAX(1,CEILING((INT(((CROQUIS!$C$97)-CROQUIS!$C$107)/MAX(CROQUIS!$C$137,1))+1)/80,1))),1))+1)-1)*(CROQUIS!$C$137*MAX(1,CEILING((INT(((CROQUIS!$C$97)-CROQUIS!$C$107)/MAX(CROQUIS!$C$137,1))+1)/80,1))))/2)+MIN(INT(($A157-1)/5),MAX((MAX(1,INT(((CROQUIS!$C$97)-CROQUIS!$C$107)/MAX((CROQUIS!$C$137*MAX(1,CEILING((INT(((CROQUIS!$C$97)-CROQUIS!$C$107)/MAX(CROQUIS!$C$137,1))+1)/80,1))),1))+1))-1,0))*(CROQUIS!$C$137*MAX(1,CEILING((INT(((CROQUIS!$C$97)-CROQUIS!$C$107)/MAX(CROQUIS!$C$137,1))+1)/80,1))))))*CROQUIS!$C$159)+IF(CROQUIS!$C$92="X",0,0)),-1000)</f>
        <v>-1000</v>
      </c>
      <c r="BR157">
        <f>IF(AND(CROQUIS!$C$88=1,CROQUIS!$C$91=0,CROQUIS!$C$133&gt;0,OR(CROQUIS!$C$103=1,CROQUIS!$C$145=1)),((CROQUIS!$C$160+(IF(CROQUIS!$C$92="X",CHOOSE(IF(INT(($A157-1)/5)&gt;MAX((MAX(1,INT(((CROQUIS!$C$98)-CROQUIS!$C$107)/MAX((CROQUIS!$C$133*MAX(1,CEILING((INT(((CROQUIS!$C$98)-CROQUIS!$C$107)/MAX(CROQUIS!$C$133,1))+1)/80,1))),1))+1))-1,0),0,MOD($A157-1,5))+1,0,IF(CROQUIS!$C$103=1,-12,2),CROQUIS!$C$107/2+CROQUIS!$C$143,IF(CROQUIS!$C$103=1,-12,2),0),((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BS1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+1,0,IF(CROQUIS!$C$103=1,-12,2),CROQUIS!$C$107/2+CROQUIS!$C$143,IF(CROQUIS!$C$103=1,-12,2),0)))*CROQUIS!$C$159)+IF(CROQUIS!$C$92="X",0.8,0)),-1000)</f>
        <v>-1000</v>
      </c>
      <c r="BT157">
        <f>IF(AND(CROQUIS!$C$88=1,CROQUIS!$C$91=0,CROQUIS!$C$133&gt;0,OR(CROQUIS!$C$104=1,CROQUIS!$C$145=1)),((CROQUIS!$C$160+(IF(CROQUIS!$C$92="X",CHOOSE(IF(INT(($A157-1)/5)&gt;MAX((MAX(1,INT(((CROQUIS!$C$98)-CROQUIS!$C$107)/MAX((CROQUIS!$C$133*MAX(1,CEILING((INT(((CROQUIS!$C$98)-CROQUIS!$C$107)/MAX(CROQUIS!$C$133,1))+1)/80,1))),1))+1))-1,0),0,MOD($A157-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BU1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CROQUIS!$C$97,CROQUIS!$C$97-CROQUIS!$C$107/2-CROQUIS!$C$143,IF(CROQUIS!$C$104=1,CROQUIS!$C$97+12,CROQUIS!$C$97-2),CROQUIS!$C$97-CROQUIS!$C$107/2-CROQUIS!$C$143,CROQUIS!$C$97)))*CROQUIS!$C$159)+IF(CROQUIS!$C$92="X",0.8,0)),-1000)</f>
        <v>-1000</v>
      </c>
      <c r="BV1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HOOSE(IF(INT(($A157-1)/5)&gt;MAX((MAX(1,INT(((CROQUIS!$C$97)-CROQUIS!$C$107)/MAX((CROQUIS!$C$141*MAX(1,CEILING((INT(((CROQUIS!$C$97)-CROQUIS!$C$107)/MAX(CROQUIS!$C$141,1))+1)/80,1))),1))+1))-1,0),0,MOD($A157-1,5))+1,0,IF(CROQUIS!$C$105=1,-12,2),CROQUIS!$C$107/2+CROQUIS!$C$144,IF(CROQUIS!$C$105=1,-12,2),0)))*CROQUIS!$C$159)+IF(CROQUIS!$C$92="X",0.8,0)),-1000)</f>
        <v>-1000</v>
      </c>
      <c r="BW157">
        <f>IF(AND(CROQUIS!$C$88=1,CROQUIS!$C$91=0,CROQUIS!$C$141&gt;0,OR(CROQUIS!$C$105=1,CROQUIS!$C$146=1)),((CROQUIS!$C$161+(IF(CROQUIS!$C$92="X",CHOOSE(IF(INT(($A157-1)/5)&gt;MAX((MAX(1,INT(((CROQUIS!$C$97)-CROQUIS!$C$107)/MAX((CROQUIS!$C$141*MAX(1,CEILING((INT(((CROQUIS!$C$97)-CROQUIS!$C$107)/MAX(CROQUIS!$C$141,1))+1)/80,1))),1))+1))-1,0),0,MOD($A157-1,5))+1,0,IF(CROQUIS!$C$105=1,-12,2),CROQUIS!$C$107/2+CROQUIS!$C$144,IF(CROQUIS!$C$105=1,-12,2),0),((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ROQUIS!$C$159)+IF(CROQUIS!$C$92="X",0,0.8)),-1000)</f>
        <v>-1000</v>
      </c>
      <c r="BX1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HOOSE(IF(INT(($A157-1)/5)&gt;MAX((MAX(1,INT(((CROQUIS!$C$97)-CROQUIS!$C$107)/MAX((CROQUIS!$C$141*MAX(1,CEILING((INT(((CROQUIS!$C$97)-CROQUIS!$C$107)/MAX(CROQUIS!$C$141,1))+1)/80,1))),1))+1))-1,0),0,MOD($A157-1,5))+1,CROQUIS!$C$98,CROQUIS!$C$98-CROQUIS!$C$107/2-CROQUIS!$C$144,IF(CROQUIS!$C$106=1,CROQUIS!$C$98+12,CROQUIS!$C$98-2),CROQUIS!$C$98-CROQUIS!$C$107/2-CROQUIS!$C$144,CROQUIS!$C$98)))*CROQUIS!$C$159)+IF(CROQUIS!$C$92="X",0.8,0)),-1000)</f>
        <v>-1000</v>
      </c>
      <c r="BY157">
        <f>IF(AND(CROQUIS!$C$88=1,CROQUIS!$C$91=0,CROQUIS!$C$141&gt;0,OR(CROQUIS!$C$106=1,CROQUIS!$C$146=1)),((CROQUIS!$C$161+(IF(CROQUIS!$C$92="X",CHOOSE(IF(INT(($A157-1)/5)&gt;MAX((MAX(1,INT(((CROQUIS!$C$97)-CROQUIS!$C$107)/MAX((CROQUIS!$C$141*MAX(1,CEILING((INT(((CROQUIS!$C$97)-CROQUIS!$C$107)/MAX(CROQUIS!$C$141,1))+1)/80,1))),1))+1))-1,0),0,MOD($A157-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ROQUIS!$C$159)+IF(CROQUIS!$C$92="X",0,0.8)),-1000)</f>
        <v>-1000</v>
      </c>
      <c r="BZ157">
        <f>IF(AND(CROQUIS!$C$88=1,CROQUIS!$C$91=1,CROQUIS!$C$133&gt;0),((CROQUIS!$C$160+(IF(CROQUIS!$C$92="X",CHOOSE(IF(INT(($A157-1)/5)&gt;MAX((MAX(1,INT(((CROQUIS!$C$98)-CROQUIS!$C$107)/MAX((CROQUIS!$C$133*MAX(1,CEILING((INT(((CROQUIS!$C$98)-CROQUIS!$C$107)/MAX(CROQUIS!$C$133,1))+1)/80,1))),1))+1))-1,0),0,MOD($A157-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CA157">
        <f>IF(AND(CROQUIS!$C$88=1,CROQUIS!$C$91=1,CROQUIS!$C$133&gt;0),((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8">
      <c r="A158" t="n">
        <v>151</v>
      </c>
      <c r="BN158">
        <f>IF(AND(CROQUIS!$C$88=1,CROQUIS!$C$129&gt;0),((CROQUIS!$C$160+(IF(CROQUIS!$C$92="X",CHOOSE(IF(INT(($A158-1)/5)&gt;MAX((MAX(1,INT(((CROQUIS!$C$98)-CROQUIS!$C$107)/MAX((CROQUIS!$C$129*MAX(1,CEILING((INT(((CROQUIS!$C$98)-CROQUIS!$C$107)/MAX(CROQUIS!$C$129,1))+1)/80,1))),1))+1))-1,0),0,MOD($A158-1,5))+1,0,2,CROQUIS!$C$97-2,2,0),((CROQUIS!$C$107/2+(((CROQUIS!$C$98)-CROQUIS!$C$107)-(MAX(1,INT(((CROQUIS!$C$98)-CROQUIS!$C$107)/MAX((CROQUIS!$C$129*MAX(1,CEILING((INT(((CROQUIS!$C$98)-CROQUIS!$C$107)/MAX(CROQUIS!$C$129,1))+1)/80,1))),1))+1)-1)*(CROQUIS!$C$129*MAX(1,CEILING((INT(((CROQUIS!$C$98)-CROQUIS!$C$107)/MAX(CROQUIS!$C$129,1))+1)/80,1))))/2)+MIN(INT(($A158-1)/5),MAX((MAX(1,INT(((CROQUIS!$C$98)-CROQUIS!$C$107)/MAX((CROQUIS!$C$129*MAX(1,CEILING((INT(((CROQUIS!$C$98)-CROQUIS!$C$107)/MAX(CROQUIS!$C$129,1))+1)/80,1))),1))+1))-1,0))*(CROQUIS!$C$129*MAX(1,CEILING((INT(((CROQUIS!$C$98)-CROQUIS!$C$107)/MAX(CROQUIS!$C$129,1))+1)/80,1))))))*CROQUIS!$C$159)+IF(CROQUIS!$C$92="X",0,0)),-1000)</f>
        <v>-1000</v>
      </c>
      <c r="BO158">
        <f>IF(AND(CROQUIS!$C$88=1,CROQUIS!$C$129&gt;0),((CROQUIS!$C$161+(IF(CROQUIS!$C$92="X",((CROQUIS!$C$107/2+(((CROQUIS!$C$98)-CROQUIS!$C$107)-(MAX(1,INT(((CROQUIS!$C$98)-CROQUIS!$C$107)/MAX((CROQUIS!$C$129*MAX(1,CEILING((INT(((CROQUIS!$C$98)-CROQUIS!$C$107)/MAX(CROQUIS!$C$129,1))+1)/80,1))),1))+1)-1)*(CROQUIS!$C$129*MAX(1,CEILING((INT(((CROQUIS!$C$98)-CROQUIS!$C$107)/MAX(CROQUIS!$C$129,1))+1)/80,1))))/2)+MIN(INT(($A158-1)/5),MAX((MAX(1,INT(((CROQUIS!$C$98)-CROQUIS!$C$107)/MAX((CROQUIS!$C$129*MAX(1,CEILING((INT(((CROQUIS!$C$98)-CROQUIS!$C$107)/MAX(CROQUIS!$C$129,1))+1)/80,1))),1))+1))-1,0))*(CROQUIS!$C$129*MAX(1,CEILING((INT(((CROQUIS!$C$98)-CROQUIS!$C$107)/MAX(CROQUIS!$C$129,1))+1)/80,1)))),CHOOSE(IF(INT(($A158-1)/5)&gt;MAX((MAX(1,INT(((CROQUIS!$C$98)-CROQUIS!$C$107)/MAX((CROQUIS!$C$129*MAX(1,CEILING((INT(((CROQUIS!$C$98)-CROQUIS!$C$107)/MAX(CROQUIS!$C$129,1))+1)/80,1))),1))+1))-1,0),0,MOD($A158-1,5))+1,0,2,CROQUIS!$C$97-2,2,0)))*CROQUIS!$C$159)+IF(CROQUIS!$C$92="X",0,0)),-1000)</f>
        <v>-1000</v>
      </c>
      <c r="BP158">
        <f>IF(AND(CROQUIS!$C$88=1,CROQUIS!$C$137&gt;0),((CROQUIS!$C$160+(IF(CROQUIS!$C$92="X",((CROQUIS!$C$107/2+(((CROQUIS!$C$97)-CROQUIS!$C$107)-(MAX(1,INT(((CROQUIS!$C$97)-CROQUIS!$C$107)/MAX((CROQUIS!$C$137*MAX(1,CEILING((INT(((CROQUIS!$C$97)-CROQUIS!$C$107)/MAX(CROQUIS!$C$137,1))+1)/80,1))),1))+1)-1)*(CROQUIS!$C$137*MAX(1,CEILING((INT(((CROQUIS!$C$97)-CROQUIS!$C$107)/MAX(CROQUIS!$C$137,1))+1)/80,1))))/2)+MIN(INT(($A158-1)/5),MAX((MAX(1,INT(((CROQUIS!$C$97)-CROQUIS!$C$107)/MAX((CROQUIS!$C$137*MAX(1,CEILING((INT(((CROQUIS!$C$97)-CROQUIS!$C$107)/MAX(CROQUIS!$C$137,1))+1)/80,1))),1))+1))-1,0))*(CROQUIS!$C$137*MAX(1,CEILING((INT(((CROQUIS!$C$97)-CROQUIS!$C$107)/MAX(CROQUIS!$C$137,1))+1)/80,1)))),CHOOSE(IF(INT(($A158-1)/5)&gt;MAX((MAX(1,INT(((CROQUIS!$C$97)-CROQUIS!$C$107)/MAX((CROQUIS!$C$137*MAX(1,CEILING((INT(((CROQUIS!$C$97)-CROQUIS!$C$107)/MAX(CROQUIS!$C$137,1))+1)/80,1))),1))+1))-1,0),0,MOD($A158-1,5))+1,0,2,CROQUIS!$C$98-2,2,0)))*CROQUIS!$C$159)+IF(CROQUIS!$C$92="X",0,0)),-1000)</f>
        <v>-1000</v>
      </c>
      <c r="BQ158">
        <f>IF(AND(CROQUIS!$C$88=1,CROQUIS!$C$137&gt;0),((CROQUIS!$C$161+(IF(CROQUIS!$C$92="X",CHOOSE(IF(INT(($A158-1)/5)&gt;MAX((MAX(1,INT(((CROQUIS!$C$97)-CROQUIS!$C$107)/MAX((CROQUIS!$C$137*MAX(1,CEILING((INT(((CROQUIS!$C$97)-CROQUIS!$C$107)/MAX(CROQUIS!$C$137,1))+1)/80,1))),1))+1))-1,0),0,MOD($A158-1,5))+1,0,2,CROQUIS!$C$98-2,2,0),((CROQUIS!$C$107/2+(((CROQUIS!$C$97)-CROQUIS!$C$107)-(MAX(1,INT(((CROQUIS!$C$97)-CROQUIS!$C$107)/MAX((CROQUIS!$C$137*MAX(1,CEILING((INT(((CROQUIS!$C$97)-CROQUIS!$C$107)/MAX(CROQUIS!$C$137,1))+1)/80,1))),1))+1)-1)*(CROQUIS!$C$137*MAX(1,CEILING((INT(((CROQUIS!$C$97)-CROQUIS!$C$107)/MAX(CROQUIS!$C$137,1))+1)/80,1))))/2)+MIN(INT(($A158-1)/5),MAX((MAX(1,INT(((CROQUIS!$C$97)-CROQUIS!$C$107)/MAX((CROQUIS!$C$137*MAX(1,CEILING((INT(((CROQUIS!$C$97)-CROQUIS!$C$107)/MAX(CROQUIS!$C$137,1))+1)/80,1))),1))+1))-1,0))*(CROQUIS!$C$137*MAX(1,CEILING((INT(((CROQUIS!$C$97)-CROQUIS!$C$107)/MAX(CROQUIS!$C$137,1))+1)/80,1))))))*CROQUIS!$C$159)+IF(CROQUIS!$C$92="X",0,0)),-1000)</f>
        <v>-1000</v>
      </c>
      <c r="BR158">
        <f>IF(AND(CROQUIS!$C$88=1,CROQUIS!$C$91=0,CROQUIS!$C$133&gt;0,OR(CROQUIS!$C$103=1,CROQUIS!$C$145=1)),((CROQUIS!$C$160+(IF(CROQUIS!$C$92="X",CHOOSE(IF(INT(($A158-1)/5)&gt;MAX((MAX(1,INT(((CROQUIS!$C$98)-CROQUIS!$C$107)/MAX((CROQUIS!$C$133*MAX(1,CEILING((INT(((CROQUIS!$C$98)-CROQUIS!$C$107)/MAX(CROQUIS!$C$133,1))+1)/80,1))),1))+1))-1,0),0,MOD($A158-1,5))+1,0,IF(CROQUIS!$C$103=1,-12,2),CROQUIS!$C$107/2+CROQUIS!$C$143,IF(CROQUIS!$C$103=1,-12,2),0),((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BS1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+1,0,IF(CROQUIS!$C$103=1,-12,2),CROQUIS!$C$107/2+CROQUIS!$C$143,IF(CROQUIS!$C$103=1,-12,2),0)))*CROQUIS!$C$159)+IF(CROQUIS!$C$92="X",0.8,0)),-1000)</f>
        <v>-1000</v>
      </c>
      <c r="BT158">
        <f>IF(AND(CROQUIS!$C$88=1,CROQUIS!$C$91=0,CROQUIS!$C$133&gt;0,OR(CROQUIS!$C$104=1,CROQUIS!$C$145=1)),((CROQUIS!$C$160+(IF(CROQUIS!$C$92="X",CHOOSE(IF(INT(($A158-1)/5)&gt;MAX((MAX(1,INT(((CROQUIS!$C$98)-CROQUIS!$C$107)/MAX((CROQUIS!$C$133*MAX(1,CEILING((INT(((CROQUIS!$C$98)-CROQUIS!$C$107)/MAX(CROQUIS!$C$133,1))+1)/80,1))),1))+1))-1,0),0,MOD($A158-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BU1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CROQUIS!$C$97,CROQUIS!$C$97-CROQUIS!$C$107/2-CROQUIS!$C$143,IF(CROQUIS!$C$104=1,CROQUIS!$C$97+12,CROQUIS!$C$97-2),CROQUIS!$C$97-CROQUIS!$C$107/2-CROQUIS!$C$143,CROQUIS!$C$97)))*CROQUIS!$C$159)+IF(CROQUIS!$C$92="X",0.8,0)),-1000)</f>
        <v>-1000</v>
      </c>
      <c r="BV1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HOOSE(IF(INT(($A158-1)/5)&gt;MAX((MAX(1,INT(((CROQUIS!$C$97)-CROQUIS!$C$107)/MAX((CROQUIS!$C$141*MAX(1,CEILING((INT(((CROQUIS!$C$97)-CROQUIS!$C$107)/MAX(CROQUIS!$C$141,1))+1)/80,1))),1))+1))-1,0),0,MOD($A158-1,5))+1,0,IF(CROQUIS!$C$105=1,-12,2),CROQUIS!$C$107/2+CROQUIS!$C$144,IF(CROQUIS!$C$105=1,-12,2),0)))*CROQUIS!$C$159)+IF(CROQUIS!$C$92="X",0.8,0)),-1000)</f>
        <v>-1000</v>
      </c>
      <c r="BW158">
        <f>IF(AND(CROQUIS!$C$88=1,CROQUIS!$C$91=0,CROQUIS!$C$141&gt;0,OR(CROQUIS!$C$105=1,CROQUIS!$C$146=1)),((CROQUIS!$C$161+(IF(CROQUIS!$C$92="X",CHOOSE(IF(INT(($A158-1)/5)&gt;MAX((MAX(1,INT(((CROQUIS!$C$97)-CROQUIS!$C$107)/MAX((CROQUIS!$C$141*MAX(1,CEILING((INT(((CROQUIS!$C$97)-CROQUIS!$C$107)/MAX(CROQUIS!$C$141,1))+1)/80,1))),1))+1))-1,0),0,MOD($A158-1,5))+1,0,IF(CROQUIS!$C$105=1,-12,2),CROQUIS!$C$107/2+CROQUIS!$C$144,IF(CROQUIS!$C$105=1,-12,2),0),((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ROQUIS!$C$159)+IF(CROQUIS!$C$92="X",0,0.8)),-1000)</f>
        <v>-1000</v>
      </c>
      <c r="BX1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HOOSE(IF(INT(($A158-1)/5)&gt;MAX((MAX(1,INT(((CROQUIS!$C$97)-CROQUIS!$C$107)/MAX((CROQUIS!$C$141*MAX(1,CEILING((INT(((CROQUIS!$C$97)-CROQUIS!$C$107)/MAX(CROQUIS!$C$141,1))+1)/80,1))),1))+1))-1,0),0,MOD($A158-1,5))+1,CROQUIS!$C$98,CROQUIS!$C$98-CROQUIS!$C$107/2-CROQUIS!$C$144,IF(CROQUIS!$C$106=1,CROQUIS!$C$98+12,CROQUIS!$C$98-2),CROQUIS!$C$98-CROQUIS!$C$107/2-CROQUIS!$C$144,CROQUIS!$C$98)))*CROQUIS!$C$159)+IF(CROQUIS!$C$92="X",0.8,0)),-1000)</f>
        <v>-1000</v>
      </c>
      <c r="BY158">
        <f>IF(AND(CROQUIS!$C$88=1,CROQUIS!$C$91=0,CROQUIS!$C$141&gt;0,OR(CROQUIS!$C$106=1,CROQUIS!$C$146=1)),((CROQUIS!$C$161+(IF(CROQUIS!$C$92="X",CHOOSE(IF(INT(($A158-1)/5)&gt;MAX((MAX(1,INT(((CROQUIS!$C$97)-CROQUIS!$C$107)/MAX((CROQUIS!$C$141*MAX(1,CEILING((INT(((CROQUIS!$C$97)-CROQUIS!$C$107)/MAX(CROQUIS!$C$141,1))+1)/80,1))),1))+1))-1,0),0,MOD($A158-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ROQUIS!$C$159)+IF(CROQUIS!$C$92="X",0,0.8)),-1000)</f>
        <v>-1000</v>
      </c>
      <c r="BZ158">
        <f>IF(AND(CROQUIS!$C$88=1,CROQUIS!$C$91=1,CROQUIS!$C$133&gt;0),((CROQUIS!$C$160+(IF(CROQUIS!$C$92="X",CHOOSE(IF(INT(($A158-1)/5)&gt;MAX((MAX(1,INT(((CROQUIS!$C$98)-CROQUIS!$C$107)/MAX((CROQUIS!$C$133*MAX(1,CEILING((INT(((CROQUIS!$C$98)-CROQUIS!$C$107)/MAX(CROQUIS!$C$133,1))+1)/80,1))),1))+1))-1,0),0,MOD($A158-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CA158">
        <f>IF(AND(CROQUIS!$C$88=1,CROQUIS!$C$91=1,CROQUIS!$C$133&gt;0),((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9">
      <c r="A159" t="n">
        <v>152</v>
      </c>
      <c r="BN159">
        <f>IF(AND(CROQUIS!$C$88=1,CROQUIS!$C$129&gt;0),((CROQUIS!$C$160+(IF(CROQUIS!$C$92="X",CHOOSE(IF(INT(($A159-1)/5)&gt;MAX((MAX(1,INT(((CROQUIS!$C$98)-CROQUIS!$C$107)/MAX((CROQUIS!$C$129*MAX(1,CEILING((INT(((CROQUIS!$C$98)-CROQUIS!$C$107)/MAX(CROQUIS!$C$129,1))+1)/80,1))),1))+1))-1,0),0,MOD($A159-1,5))+1,0,2,CROQUIS!$C$97-2,2,0),((CROQUIS!$C$107/2+(((CROQUIS!$C$98)-CROQUIS!$C$107)-(MAX(1,INT(((CROQUIS!$C$98)-CROQUIS!$C$107)/MAX((CROQUIS!$C$129*MAX(1,CEILING((INT(((CROQUIS!$C$98)-CROQUIS!$C$107)/MAX(CROQUIS!$C$129,1))+1)/80,1))),1))+1)-1)*(CROQUIS!$C$129*MAX(1,CEILING((INT(((CROQUIS!$C$98)-CROQUIS!$C$107)/MAX(CROQUIS!$C$129,1))+1)/80,1))))/2)+MIN(INT(($A159-1)/5),MAX((MAX(1,INT(((CROQUIS!$C$98)-CROQUIS!$C$107)/MAX((CROQUIS!$C$129*MAX(1,CEILING((INT(((CROQUIS!$C$98)-CROQUIS!$C$107)/MAX(CROQUIS!$C$129,1))+1)/80,1))),1))+1))-1,0))*(CROQUIS!$C$129*MAX(1,CEILING((INT(((CROQUIS!$C$98)-CROQUIS!$C$107)/MAX(CROQUIS!$C$129,1))+1)/80,1))))))*CROQUIS!$C$159)+IF(CROQUIS!$C$92="X",0,0)),-1000)</f>
        <v>-1000</v>
      </c>
      <c r="BO159">
        <f>IF(AND(CROQUIS!$C$88=1,CROQUIS!$C$129&gt;0),((CROQUIS!$C$161+(IF(CROQUIS!$C$92="X",((CROQUIS!$C$107/2+(((CROQUIS!$C$98)-CROQUIS!$C$107)-(MAX(1,INT(((CROQUIS!$C$98)-CROQUIS!$C$107)/MAX((CROQUIS!$C$129*MAX(1,CEILING((INT(((CROQUIS!$C$98)-CROQUIS!$C$107)/MAX(CROQUIS!$C$129,1))+1)/80,1))),1))+1)-1)*(CROQUIS!$C$129*MAX(1,CEILING((INT(((CROQUIS!$C$98)-CROQUIS!$C$107)/MAX(CROQUIS!$C$129,1))+1)/80,1))))/2)+MIN(INT(($A159-1)/5),MAX((MAX(1,INT(((CROQUIS!$C$98)-CROQUIS!$C$107)/MAX((CROQUIS!$C$129*MAX(1,CEILING((INT(((CROQUIS!$C$98)-CROQUIS!$C$107)/MAX(CROQUIS!$C$129,1))+1)/80,1))),1))+1))-1,0))*(CROQUIS!$C$129*MAX(1,CEILING((INT(((CROQUIS!$C$98)-CROQUIS!$C$107)/MAX(CROQUIS!$C$129,1))+1)/80,1)))),CHOOSE(IF(INT(($A159-1)/5)&gt;MAX((MAX(1,INT(((CROQUIS!$C$98)-CROQUIS!$C$107)/MAX((CROQUIS!$C$129*MAX(1,CEILING((INT(((CROQUIS!$C$98)-CROQUIS!$C$107)/MAX(CROQUIS!$C$129,1))+1)/80,1))),1))+1))-1,0),0,MOD($A159-1,5))+1,0,2,CROQUIS!$C$97-2,2,0)))*CROQUIS!$C$159)+IF(CROQUIS!$C$92="X",0,0)),-1000)</f>
        <v>-1000</v>
      </c>
      <c r="BP159">
        <f>IF(AND(CROQUIS!$C$88=1,CROQUIS!$C$137&gt;0),((CROQUIS!$C$160+(IF(CROQUIS!$C$92="X",((CROQUIS!$C$107/2+(((CROQUIS!$C$97)-CROQUIS!$C$107)-(MAX(1,INT(((CROQUIS!$C$97)-CROQUIS!$C$107)/MAX((CROQUIS!$C$137*MAX(1,CEILING((INT(((CROQUIS!$C$97)-CROQUIS!$C$107)/MAX(CROQUIS!$C$137,1))+1)/80,1))),1))+1)-1)*(CROQUIS!$C$137*MAX(1,CEILING((INT(((CROQUIS!$C$97)-CROQUIS!$C$107)/MAX(CROQUIS!$C$137,1))+1)/80,1))))/2)+MIN(INT(($A159-1)/5),MAX((MAX(1,INT(((CROQUIS!$C$97)-CROQUIS!$C$107)/MAX((CROQUIS!$C$137*MAX(1,CEILING((INT(((CROQUIS!$C$97)-CROQUIS!$C$107)/MAX(CROQUIS!$C$137,1))+1)/80,1))),1))+1))-1,0))*(CROQUIS!$C$137*MAX(1,CEILING((INT(((CROQUIS!$C$97)-CROQUIS!$C$107)/MAX(CROQUIS!$C$137,1))+1)/80,1)))),CHOOSE(IF(INT(($A159-1)/5)&gt;MAX((MAX(1,INT(((CROQUIS!$C$97)-CROQUIS!$C$107)/MAX((CROQUIS!$C$137*MAX(1,CEILING((INT(((CROQUIS!$C$97)-CROQUIS!$C$107)/MAX(CROQUIS!$C$137,1))+1)/80,1))),1))+1))-1,0),0,MOD($A159-1,5))+1,0,2,CROQUIS!$C$98-2,2,0)))*CROQUIS!$C$159)+IF(CROQUIS!$C$92="X",0,0)),-1000)</f>
        <v>-1000</v>
      </c>
      <c r="BQ159">
        <f>IF(AND(CROQUIS!$C$88=1,CROQUIS!$C$137&gt;0),((CROQUIS!$C$161+(IF(CROQUIS!$C$92="X",CHOOSE(IF(INT(($A159-1)/5)&gt;MAX((MAX(1,INT(((CROQUIS!$C$97)-CROQUIS!$C$107)/MAX((CROQUIS!$C$137*MAX(1,CEILING((INT(((CROQUIS!$C$97)-CROQUIS!$C$107)/MAX(CROQUIS!$C$137,1))+1)/80,1))),1))+1))-1,0),0,MOD($A159-1,5))+1,0,2,CROQUIS!$C$98-2,2,0),((CROQUIS!$C$107/2+(((CROQUIS!$C$97)-CROQUIS!$C$107)-(MAX(1,INT(((CROQUIS!$C$97)-CROQUIS!$C$107)/MAX((CROQUIS!$C$137*MAX(1,CEILING((INT(((CROQUIS!$C$97)-CROQUIS!$C$107)/MAX(CROQUIS!$C$137,1))+1)/80,1))),1))+1)-1)*(CROQUIS!$C$137*MAX(1,CEILING((INT(((CROQUIS!$C$97)-CROQUIS!$C$107)/MAX(CROQUIS!$C$137,1))+1)/80,1))))/2)+MIN(INT(($A159-1)/5),MAX((MAX(1,INT(((CROQUIS!$C$97)-CROQUIS!$C$107)/MAX((CROQUIS!$C$137*MAX(1,CEILING((INT(((CROQUIS!$C$97)-CROQUIS!$C$107)/MAX(CROQUIS!$C$137,1))+1)/80,1))),1))+1))-1,0))*(CROQUIS!$C$137*MAX(1,CEILING((INT(((CROQUIS!$C$97)-CROQUIS!$C$107)/MAX(CROQUIS!$C$137,1))+1)/80,1))))))*CROQUIS!$C$159)+IF(CROQUIS!$C$92="X",0,0)),-1000)</f>
        <v>-1000</v>
      </c>
      <c r="BR159">
        <f>IF(AND(CROQUIS!$C$88=1,CROQUIS!$C$91=0,CROQUIS!$C$133&gt;0,OR(CROQUIS!$C$103=1,CROQUIS!$C$145=1)),((CROQUIS!$C$160+(IF(CROQUIS!$C$92="X",CHOOSE(IF(INT(($A159-1)/5)&gt;MAX((MAX(1,INT(((CROQUIS!$C$98)-CROQUIS!$C$107)/MAX((CROQUIS!$C$133*MAX(1,CEILING((INT(((CROQUIS!$C$98)-CROQUIS!$C$107)/MAX(CROQUIS!$C$133,1))+1)/80,1))),1))+1))-1,0),0,MOD($A159-1,5))+1,0,IF(CROQUIS!$C$103=1,-12,2),CROQUIS!$C$107/2+CROQUIS!$C$143,IF(CROQUIS!$C$103=1,-12,2),0),((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BS1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+1,0,IF(CROQUIS!$C$103=1,-12,2),CROQUIS!$C$107/2+CROQUIS!$C$143,IF(CROQUIS!$C$103=1,-12,2),0)))*CROQUIS!$C$159)+IF(CROQUIS!$C$92="X",0.8,0)),-1000)</f>
        <v>-1000</v>
      </c>
      <c r="BT159">
        <f>IF(AND(CROQUIS!$C$88=1,CROQUIS!$C$91=0,CROQUIS!$C$133&gt;0,OR(CROQUIS!$C$104=1,CROQUIS!$C$145=1)),((CROQUIS!$C$160+(IF(CROQUIS!$C$92="X",CHOOSE(IF(INT(($A159-1)/5)&gt;MAX((MAX(1,INT(((CROQUIS!$C$98)-CROQUIS!$C$107)/MAX((CROQUIS!$C$133*MAX(1,CEILING((INT(((CROQUIS!$C$98)-CROQUIS!$C$107)/MAX(CROQUIS!$C$133,1))+1)/80,1))),1))+1))-1,0),0,MOD($A159-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BU1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CROQUIS!$C$97,CROQUIS!$C$97-CROQUIS!$C$107/2-CROQUIS!$C$143,IF(CROQUIS!$C$104=1,CROQUIS!$C$97+12,CROQUIS!$C$97-2),CROQUIS!$C$97-CROQUIS!$C$107/2-CROQUIS!$C$143,CROQUIS!$C$97)))*CROQUIS!$C$159)+IF(CROQUIS!$C$92="X",0.8,0)),-1000)</f>
        <v>-1000</v>
      </c>
      <c r="BV1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HOOSE(IF(INT(($A159-1)/5)&gt;MAX((MAX(1,INT(((CROQUIS!$C$97)-CROQUIS!$C$107)/MAX((CROQUIS!$C$141*MAX(1,CEILING((INT(((CROQUIS!$C$97)-CROQUIS!$C$107)/MAX(CROQUIS!$C$141,1))+1)/80,1))),1))+1))-1,0),0,MOD($A159-1,5))+1,0,IF(CROQUIS!$C$105=1,-12,2),CROQUIS!$C$107/2+CROQUIS!$C$144,IF(CROQUIS!$C$105=1,-12,2),0)))*CROQUIS!$C$159)+IF(CROQUIS!$C$92="X",0.8,0)),-1000)</f>
        <v>-1000</v>
      </c>
      <c r="BW159">
        <f>IF(AND(CROQUIS!$C$88=1,CROQUIS!$C$91=0,CROQUIS!$C$141&gt;0,OR(CROQUIS!$C$105=1,CROQUIS!$C$146=1)),((CROQUIS!$C$161+(IF(CROQUIS!$C$92="X",CHOOSE(IF(INT(($A159-1)/5)&gt;MAX((MAX(1,INT(((CROQUIS!$C$97)-CROQUIS!$C$107)/MAX((CROQUIS!$C$141*MAX(1,CEILING((INT(((CROQUIS!$C$97)-CROQUIS!$C$107)/MAX(CROQUIS!$C$141,1))+1)/80,1))),1))+1))-1,0),0,MOD($A159-1,5))+1,0,IF(CROQUIS!$C$105=1,-12,2),CROQUIS!$C$107/2+CROQUIS!$C$144,IF(CROQUIS!$C$105=1,-12,2),0),((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ROQUIS!$C$159)+IF(CROQUIS!$C$92="X",0,0.8)),-1000)</f>
        <v>-1000</v>
      </c>
      <c r="BX1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HOOSE(IF(INT(($A159-1)/5)&gt;MAX((MAX(1,INT(((CROQUIS!$C$97)-CROQUIS!$C$107)/MAX((CROQUIS!$C$141*MAX(1,CEILING((INT(((CROQUIS!$C$97)-CROQUIS!$C$107)/MAX(CROQUIS!$C$141,1))+1)/80,1))),1))+1))-1,0),0,MOD($A159-1,5))+1,CROQUIS!$C$98,CROQUIS!$C$98-CROQUIS!$C$107/2-CROQUIS!$C$144,IF(CROQUIS!$C$106=1,CROQUIS!$C$98+12,CROQUIS!$C$98-2),CROQUIS!$C$98-CROQUIS!$C$107/2-CROQUIS!$C$144,CROQUIS!$C$98)))*CROQUIS!$C$159)+IF(CROQUIS!$C$92="X",0.8,0)),-1000)</f>
        <v>-1000</v>
      </c>
      <c r="BY159">
        <f>IF(AND(CROQUIS!$C$88=1,CROQUIS!$C$91=0,CROQUIS!$C$141&gt;0,OR(CROQUIS!$C$106=1,CROQUIS!$C$146=1)),((CROQUIS!$C$161+(IF(CROQUIS!$C$92="X",CHOOSE(IF(INT(($A159-1)/5)&gt;MAX((MAX(1,INT(((CROQUIS!$C$97)-CROQUIS!$C$107)/MAX((CROQUIS!$C$141*MAX(1,CEILING((INT(((CROQUIS!$C$97)-CROQUIS!$C$107)/MAX(CROQUIS!$C$141,1))+1)/80,1))),1))+1))-1,0),0,MOD($A159-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ROQUIS!$C$159)+IF(CROQUIS!$C$92="X",0,0.8)),-1000)</f>
        <v>-1000</v>
      </c>
      <c r="BZ159">
        <f>IF(AND(CROQUIS!$C$88=1,CROQUIS!$C$91=1,CROQUIS!$C$133&gt;0),((CROQUIS!$C$160+(IF(CROQUIS!$C$92="X",CHOOSE(IF(INT(($A159-1)/5)&gt;MAX((MAX(1,INT(((CROQUIS!$C$98)-CROQUIS!$C$107)/MAX((CROQUIS!$C$133*MAX(1,CEILING((INT(((CROQUIS!$C$98)-CROQUIS!$C$107)/MAX(CROQUIS!$C$133,1))+1)/80,1))),1))+1))-1,0),0,MOD($A159-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CA159">
        <f>IF(AND(CROQUIS!$C$88=1,CROQUIS!$C$91=1,CROQUIS!$C$133&gt;0),((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0">
      <c r="A160" t="n">
        <v>153</v>
      </c>
      <c r="BN160">
        <f>IF(AND(CROQUIS!$C$88=1,CROQUIS!$C$129&gt;0),((CROQUIS!$C$160+(IF(CROQUIS!$C$92="X",CHOOSE(IF(INT(($A160-1)/5)&gt;MAX((MAX(1,INT(((CROQUIS!$C$98)-CROQUIS!$C$107)/MAX((CROQUIS!$C$129*MAX(1,CEILING((INT(((CROQUIS!$C$98)-CROQUIS!$C$107)/MAX(CROQUIS!$C$129,1))+1)/80,1))),1))+1))-1,0),0,MOD($A160-1,5))+1,0,2,CROQUIS!$C$97-2,2,0),((CROQUIS!$C$107/2+(((CROQUIS!$C$98)-CROQUIS!$C$107)-(MAX(1,INT(((CROQUIS!$C$98)-CROQUIS!$C$107)/MAX((CROQUIS!$C$129*MAX(1,CEILING((INT(((CROQUIS!$C$98)-CROQUIS!$C$107)/MAX(CROQUIS!$C$129,1))+1)/80,1))),1))+1)-1)*(CROQUIS!$C$129*MAX(1,CEILING((INT(((CROQUIS!$C$98)-CROQUIS!$C$107)/MAX(CROQUIS!$C$129,1))+1)/80,1))))/2)+MIN(INT(($A160-1)/5),MAX((MAX(1,INT(((CROQUIS!$C$98)-CROQUIS!$C$107)/MAX((CROQUIS!$C$129*MAX(1,CEILING((INT(((CROQUIS!$C$98)-CROQUIS!$C$107)/MAX(CROQUIS!$C$129,1))+1)/80,1))),1))+1))-1,0))*(CROQUIS!$C$129*MAX(1,CEILING((INT(((CROQUIS!$C$98)-CROQUIS!$C$107)/MAX(CROQUIS!$C$129,1))+1)/80,1))))))*CROQUIS!$C$159)+IF(CROQUIS!$C$92="X",0,0)),-1000)</f>
        <v>-1000</v>
      </c>
      <c r="BO160">
        <f>IF(AND(CROQUIS!$C$88=1,CROQUIS!$C$129&gt;0),((CROQUIS!$C$161+(IF(CROQUIS!$C$92="X",((CROQUIS!$C$107/2+(((CROQUIS!$C$98)-CROQUIS!$C$107)-(MAX(1,INT(((CROQUIS!$C$98)-CROQUIS!$C$107)/MAX((CROQUIS!$C$129*MAX(1,CEILING((INT(((CROQUIS!$C$98)-CROQUIS!$C$107)/MAX(CROQUIS!$C$129,1))+1)/80,1))),1))+1)-1)*(CROQUIS!$C$129*MAX(1,CEILING((INT(((CROQUIS!$C$98)-CROQUIS!$C$107)/MAX(CROQUIS!$C$129,1))+1)/80,1))))/2)+MIN(INT(($A160-1)/5),MAX((MAX(1,INT(((CROQUIS!$C$98)-CROQUIS!$C$107)/MAX((CROQUIS!$C$129*MAX(1,CEILING((INT(((CROQUIS!$C$98)-CROQUIS!$C$107)/MAX(CROQUIS!$C$129,1))+1)/80,1))),1))+1))-1,0))*(CROQUIS!$C$129*MAX(1,CEILING((INT(((CROQUIS!$C$98)-CROQUIS!$C$107)/MAX(CROQUIS!$C$129,1))+1)/80,1)))),CHOOSE(IF(INT(($A160-1)/5)&gt;MAX((MAX(1,INT(((CROQUIS!$C$98)-CROQUIS!$C$107)/MAX((CROQUIS!$C$129*MAX(1,CEILING((INT(((CROQUIS!$C$98)-CROQUIS!$C$107)/MAX(CROQUIS!$C$129,1))+1)/80,1))),1))+1))-1,0),0,MOD($A160-1,5))+1,0,2,CROQUIS!$C$97-2,2,0)))*CROQUIS!$C$159)+IF(CROQUIS!$C$92="X",0,0)),-1000)</f>
        <v>-1000</v>
      </c>
      <c r="BP160">
        <f>IF(AND(CROQUIS!$C$88=1,CROQUIS!$C$137&gt;0),((CROQUIS!$C$160+(IF(CROQUIS!$C$92="X",((CROQUIS!$C$107/2+(((CROQUIS!$C$97)-CROQUIS!$C$107)-(MAX(1,INT(((CROQUIS!$C$97)-CROQUIS!$C$107)/MAX((CROQUIS!$C$137*MAX(1,CEILING((INT(((CROQUIS!$C$97)-CROQUIS!$C$107)/MAX(CROQUIS!$C$137,1))+1)/80,1))),1))+1)-1)*(CROQUIS!$C$137*MAX(1,CEILING((INT(((CROQUIS!$C$97)-CROQUIS!$C$107)/MAX(CROQUIS!$C$137,1))+1)/80,1))))/2)+MIN(INT(($A160-1)/5),MAX((MAX(1,INT(((CROQUIS!$C$97)-CROQUIS!$C$107)/MAX((CROQUIS!$C$137*MAX(1,CEILING((INT(((CROQUIS!$C$97)-CROQUIS!$C$107)/MAX(CROQUIS!$C$137,1))+1)/80,1))),1))+1))-1,0))*(CROQUIS!$C$137*MAX(1,CEILING((INT(((CROQUIS!$C$97)-CROQUIS!$C$107)/MAX(CROQUIS!$C$137,1))+1)/80,1)))),CHOOSE(IF(INT(($A160-1)/5)&gt;MAX((MAX(1,INT(((CROQUIS!$C$97)-CROQUIS!$C$107)/MAX((CROQUIS!$C$137*MAX(1,CEILING((INT(((CROQUIS!$C$97)-CROQUIS!$C$107)/MAX(CROQUIS!$C$137,1))+1)/80,1))),1))+1))-1,0),0,MOD($A160-1,5))+1,0,2,CROQUIS!$C$98-2,2,0)))*CROQUIS!$C$159)+IF(CROQUIS!$C$92="X",0,0)),-1000)</f>
        <v>-1000</v>
      </c>
      <c r="BQ160">
        <f>IF(AND(CROQUIS!$C$88=1,CROQUIS!$C$137&gt;0),((CROQUIS!$C$161+(IF(CROQUIS!$C$92="X",CHOOSE(IF(INT(($A160-1)/5)&gt;MAX((MAX(1,INT(((CROQUIS!$C$97)-CROQUIS!$C$107)/MAX((CROQUIS!$C$137*MAX(1,CEILING((INT(((CROQUIS!$C$97)-CROQUIS!$C$107)/MAX(CROQUIS!$C$137,1))+1)/80,1))),1))+1))-1,0),0,MOD($A160-1,5))+1,0,2,CROQUIS!$C$98-2,2,0),((CROQUIS!$C$107/2+(((CROQUIS!$C$97)-CROQUIS!$C$107)-(MAX(1,INT(((CROQUIS!$C$97)-CROQUIS!$C$107)/MAX((CROQUIS!$C$137*MAX(1,CEILING((INT(((CROQUIS!$C$97)-CROQUIS!$C$107)/MAX(CROQUIS!$C$137,1))+1)/80,1))),1))+1)-1)*(CROQUIS!$C$137*MAX(1,CEILING((INT(((CROQUIS!$C$97)-CROQUIS!$C$107)/MAX(CROQUIS!$C$137,1))+1)/80,1))))/2)+MIN(INT(($A160-1)/5),MAX((MAX(1,INT(((CROQUIS!$C$97)-CROQUIS!$C$107)/MAX((CROQUIS!$C$137*MAX(1,CEILING((INT(((CROQUIS!$C$97)-CROQUIS!$C$107)/MAX(CROQUIS!$C$137,1))+1)/80,1))),1))+1))-1,0))*(CROQUIS!$C$137*MAX(1,CEILING((INT(((CROQUIS!$C$97)-CROQUIS!$C$107)/MAX(CROQUIS!$C$137,1))+1)/80,1))))))*CROQUIS!$C$159)+IF(CROQUIS!$C$92="X",0,0)),-1000)</f>
        <v>-1000</v>
      </c>
      <c r="BR160">
        <f>IF(AND(CROQUIS!$C$88=1,CROQUIS!$C$91=0,CROQUIS!$C$133&gt;0,OR(CROQUIS!$C$103=1,CROQUIS!$C$145=1)),((CROQUIS!$C$160+(IF(CROQUIS!$C$92="X",CHOOSE(IF(INT(($A160-1)/5)&gt;MAX((MAX(1,INT(((CROQUIS!$C$98)-CROQUIS!$C$107)/MAX((CROQUIS!$C$133*MAX(1,CEILING((INT(((CROQUIS!$C$98)-CROQUIS!$C$107)/MAX(CROQUIS!$C$133,1))+1)/80,1))),1))+1))-1,0),0,MOD($A160-1,5))+1,0,IF(CROQUIS!$C$103=1,-12,2),CROQUIS!$C$107/2+CROQUIS!$C$143,IF(CROQUIS!$C$103=1,-12,2),0),((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BS1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+1,0,IF(CROQUIS!$C$103=1,-12,2),CROQUIS!$C$107/2+CROQUIS!$C$143,IF(CROQUIS!$C$103=1,-12,2),0)))*CROQUIS!$C$159)+IF(CROQUIS!$C$92="X",0.8,0)),-1000)</f>
        <v>-1000</v>
      </c>
      <c r="BT160">
        <f>IF(AND(CROQUIS!$C$88=1,CROQUIS!$C$91=0,CROQUIS!$C$133&gt;0,OR(CROQUIS!$C$104=1,CROQUIS!$C$145=1)),((CROQUIS!$C$160+(IF(CROQUIS!$C$92="X",CHOOSE(IF(INT(($A160-1)/5)&gt;MAX((MAX(1,INT(((CROQUIS!$C$98)-CROQUIS!$C$107)/MAX((CROQUIS!$C$133*MAX(1,CEILING((INT(((CROQUIS!$C$98)-CROQUIS!$C$107)/MAX(CROQUIS!$C$133,1))+1)/80,1))),1))+1))-1,0),0,MOD($A160-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BU1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CROQUIS!$C$97,CROQUIS!$C$97-CROQUIS!$C$107/2-CROQUIS!$C$143,IF(CROQUIS!$C$104=1,CROQUIS!$C$97+12,CROQUIS!$C$97-2),CROQUIS!$C$97-CROQUIS!$C$107/2-CROQUIS!$C$143,CROQUIS!$C$97)))*CROQUIS!$C$159)+IF(CROQUIS!$C$92="X",0.8,0)),-1000)</f>
        <v>-1000</v>
      </c>
      <c r="BV1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HOOSE(IF(INT(($A160-1)/5)&gt;MAX((MAX(1,INT(((CROQUIS!$C$97)-CROQUIS!$C$107)/MAX((CROQUIS!$C$141*MAX(1,CEILING((INT(((CROQUIS!$C$97)-CROQUIS!$C$107)/MAX(CROQUIS!$C$141,1))+1)/80,1))),1))+1))-1,0),0,MOD($A160-1,5))+1,0,IF(CROQUIS!$C$105=1,-12,2),CROQUIS!$C$107/2+CROQUIS!$C$144,IF(CROQUIS!$C$105=1,-12,2),0)))*CROQUIS!$C$159)+IF(CROQUIS!$C$92="X",0.8,0)),-1000)</f>
        <v>-1000</v>
      </c>
      <c r="BW160">
        <f>IF(AND(CROQUIS!$C$88=1,CROQUIS!$C$91=0,CROQUIS!$C$141&gt;0,OR(CROQUIS!$C$105=1,CROQUIS!$C$146=1)),((CROQUIS!$C$161+(IF(CROQUIS!$C$92="X",CHOOSE(IF(INT(($A160-1)/5)&gt;MAX((MAX(1,INT(((CROQUIS!$C$97)-CROQUIS!$C$107)/MAX((CROQUIS!$C$141*MAX(1,CEILING((INT(((CROQUIS!$C$97)-CROQUIS!$C$107)/MAX(CROQUIS!$C$141,1))+1)/80,1))),1))+1))-1,0),0,MOD($A160-1,5))+1,0,IF(CROQUIS!$C$105=1,-12,2),CROQUIS!$C$107/2+CROQUIS!$C$144,IF(CROQUIS!$C$105=1,-12,2),0),((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ROQUIS!$C$159)+IF(CROQUIS!$C$92="X",0,0.8)),-1000)</f>
        <v>-1000</v>
      </c>
      <c r="BX1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HOOSE(IF(INT(($A160-1)/5)&gt;MAX((MAX(1,INT(((CROQUIS!$C$97)-CROQUIS!$C$107)/MAX((CROQUIS!$C$141*MAX(1,CEILING((INT(((CROQUIS!$C$97)-CROQUIS!$C$107)/MAX(CROQUIS!$C$141,1))+1)/80,1))),1))+1))-1,0),0,MOD($A160-1,5))+1,CROQUIS!$C$98,CROQUIS!$C$98-CROQUIS!$C$107/2-CROQUIS!$C$144,IF(CROQUIS!$C$106=1,CROQUIS!$C$98+12,CROQUIS!$C$98-2),CROQUIS!$C$98-CROQUIS!$C$107/2-CROQUIS!$C$144,CROQUIS!$C$98)))*CROQUIS!$C$159)+IF(CROQUIS!$C$92="X",0.8,0)),-1000)</f>
        <v>-1000</v>
      </c>
      <c r="BY160">
        <f>IF(AND(CROQUIS!$C$88=1,CROQUIS!$C$91=0,CROQUIS!$C$141&gt;0,OR(CROQUIS!$C$106=1,CROQUIS!$C$146=1)),((CROQUIS!$C$161+(IF(CROQUIS!$C$92="X",CHOOSE(IF(INT(($A160-1)/5)&gt;MAX((MAX(1,INT(((CROQUIS!$C$97)-CROQUIS!$C$107)/MAX((CROQUIS!$C$141*MAX(1,CEILING((INT(((CROQUIS!$C$97)-CROQUIS!$C$107)/MAX(CROQUIS!$C$141,1))+1)/80,1))),1))+1))-1,0),0,MOD($A160-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ROQUIS!$C$159)+IF(CROQUIS!$C$92="X",0,0.8)),-1000)</f>
        <v>-1000</v>
      </c>
      <c r="BZ160">
        <f>IF(AND(CROQUIS!$C$88=1,CROQUIS!$C$91=1,CROQUIS!$C$133&gt;0),((CROQUIS!$C$160+(IF(CROQUIS!$C$92="X",CHOOSE(IF(INT(($A160-1)/5)&gt;MAX((MAX(1,INT(((CROQUIS!$C$98)-CROQUIS!$C$107)/MAX((CROQUIS!$C$133*MAX(1,CEILING((INT(((CROQUIS!$C$98)-CROQUIS!$C$107)/MAX(CROQUIS!$C$133,1))+1)/80,1))),1))+1))-1,0),0,MOD($A160-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CA160">
        <f>IF(AND(CROQUIS!$C$88=1,CROQUIS!$C$91=1,CROQUIS!$C$133&gt;0),((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1">
      <c r="A161" t="n">
        <v>154</v>
      </c>
      <c r="BN161">
        <f>IF(AND(CROQUIS!$C$88=1,CROQUIS!$C$129&gt;0),((CROQUIS!$C$160+(IF(CROQUIS!$C$92="X",CHOOSE(IF(INT(($A161-1)/5)&gt;MAX((MAX(1,INT(((CROQUIS!$C$98)-CROQUIS!$C$107)/MAX((CROQUIS!$C$129*MAX(1,CEILING((INT(((CROQUIS!$C$98)-CROQUIS!$C$107)/MAX(CROQUIS!$C$129,1))+1)/80,1))),1))+1))-1,0),0,MOD($A161-1,5))+1,0,2,CROQUIS!$C$97-2,2,0),((CROQUIS!$C$107/2+(((CROQUIS!$C$98)-CROQUIS!$C$107)-(MAX(1,INT(((CROQUIS!$C$98)-CROQUIS!$C$107)/MAX((CROQUIS!$C$129*MAX(1,CEILING((INT(((CROQUIS!$C$98)-CROQUIS!$C$107)/MAX(CROQUIS!$C$129,1))+1)/80,1))),1))+1)-1)*(CROQUIS!$C$129*MAX(1,CEILING((INT(((CROQUIS!$C$98)-CROQUIS!$C$107)/MAX(CROQUIS!$C$129,1))+1)/80,1))))/2)+MIN(INT(($A161-1)/5),MAX((MAX(1,INT(((CROQUIS!$C$98)-CROQUIS!$C$107)/MAX((CROQUIS!$C$129*MAX(1,CEILING((INT(((CROQUIS!$C$98)-CROQUIS!$C$107)/MAX(CROQUIS!$C$129,1))+1)/80,1))),1))+1))-1,0))*(CROQUIS!$C$129*MAX(1,CEILING((INT(((CROQUIS!$C$98)-CROQUIS!$C$107)/MAX(CROQUIS!$C$129,1))+1)/80,1))))))*CROQUIS!$C$159)+IF(CROQUIS!$C$92="X",0,0)),-1000)</f>
        <v>-1000</v>
      </c>
      <c r="BO161">
        <f>IF(AND(CROQUIS!$C$88=1,CROQUIS!$C$129&gt;0),((CROQUIS!$C$161+(IF(CROQUIS!$C$92="X",((CROQUIS!$C$107/2+(((CROQUIS!$C$98)-CROQUIS!$C$107)-(MAX(1,INT(((CROQUIS!$C$98)-CROQUIS!$C$107)/MAX((CROQUIS!$C$129*MAX(1,CEILING((INT(((CROQUIS!$C$98)-CROQUIS!$C$107)/MAX(CROQUIS!$C$129,1))+1)/80,1))),1))+1)-1)*(CROQUIS!$C$129*MAX(1,CEILING((INT(((CROQUIS!$C$98)-CROQUIS!$C$107)/MAX(CROQUIS!$C$129,1))+1)/80,1))))/2)+MIN(INT(($A161-1)/5),MAX((MAX(1,INT(((CROQUIS!$C$98)-CROQUIS!$C$107)/MAX((CROQUIS!$C$129*MAX(1,CEILING((INT(((CROQUIS!$C$98)-CROQUIS!$C$107)/MAX(CROQUIS!$C$129,1))+1)/80,1))),1))+1))-1,0))*(CROQUIS!$C$129*MAX(1,CEILING((INT(((CROQUIS!$C$98)-CROQUIS!$C$107)/MAX(CROQUIS!$C$129,1))+1)/80,1)))),CHOOSE(IF(INT(($A161-1)/5)&gt;MAX((MAX(1,INT(((CROQUIS!$C$98)-CROQUIS!$C$107)/MAX((CROQUIS!$C$129*MAX(1,CEILING((INT(((CROQUIS!$C$98)-CROQUIS!$C$107)/MAX(CROQUIS!$C$129,1))+1)/80,1))),1))+1))-1,0),0,MOD($A161-1,5))+1,0,2,CROQUIS!$C$97-2,2,0)))*CROQUIS!$C$159)+IF(CROQUIS!$C$92="X",0,0)),-1000)</f>
        <v>-1000</v>
      </c>
      <c r="BP161">
        <f>IF(AND(CROQUIS!$C$88=1,CROQUIS!$C$137&gt;0),((CROQUIS!$C$160+(IF(CROQUIS!$C$92="X",((CROQUIS!$C$107/2+(((CROQUIS!$C$97)-CROQUIS!$C$107)-(MAX(1,INT(((CROQUIS!$C$97)-CROQUIS!$C$107)/MAX((CROQUIS!$C$137*MAX(1,CEILING((INT(((CROQUIS!$C$97)-CROQUIS!$C$107)/MAX(CROQUIS!$C$137,1))+1)/80,1))),1))+1)-1)*(CROQUIS!$C$137*MAX(1,CEILING((INT(((CROQUIS!$C$97)-CROQUIS!$C$107)/MAX(CROQUIS!$C$137,1))+1)/80,1))))/2)+MIN(INT(($A161-1)/5),MAX((MAX(1,INT(((CROQUIS!$C$97)-CROQUIS!$C$107)/MAX((CROQUIS!$C$137*MAX(1,CEILING((INT(((CROQUIS!$C$97)-CROQUIS!$C$107)/MAX(CROQUIS!$C$137,1))+1)/80,1))),1))+1))-1,0))*(CROQUIS!$C$137*MAX(1,CEILING((INT(((CROQUIS!$C$97)-CROQUIS!$C$107)/MAX(CROQUIS!$C$137,1))+1)/80,1)))),CHOOSE(IF(INT(($A161-1)/5)&gt;MAX((MAX(1,INT(((CROQUIS!$C$97)-CROQUIS!$C$107)/MAX((CROQUIS!$C$137*MAX(1,CEILING((INT(((CROQUIS!$C$97)-CROQUIS!$C$107)/MAX(CROQUIS!$C$137,1))+1)/80,1))),1))+1))-1,0),0,MOD($A161-1,5))+1,0,2,CROQUIS!$C$98-2,2,0)))*CROQUIS!$C$159)+IF(CROQUIS!$C$92="X",0,0)),-1000)</f>
        <v>-1000</v>
      </c>
      <c r="BQ161">
        <f>IF(AND(CROQUIS!$C$88=1,CROQUIS!$C$137&gt;0),((CROQUIS!$C$161+(IF(CROQUIS!$C$92="X",CHOOSE(IF(INT(($A161-1)/5)&gt;MAX((MAX(1,INT(((CROQUIS!$C$97)-CROQUIS!$C$107)/MAX((CROQUIS!$C$137*MAX(1,CEILING((INT(((CROQUIS!$C$97)-CROQUIS!$C$107)/MAX(CROQUIS!$C$137,1))+1)/80,1))),1))+1))-1,0),0,MOD($A161-1,5))+1,0,2,CROQUIS!$C$98-2,2,0),((CROQUIS!$C$107/2+(((CROQUIS!$C$97)-CROQUIS!$C$107)-(MAX(1,INT(((CROQUIS!$C$97)-CROQUIS!$C$107)/MAX((CROQUIS!$C$137*MAX(1,CEILING((INT(((CROQUIS!$C$97)-CROQUIS!$C$107)/MAX(CROQUIS!$C$137,1))+1)/80,1))),1))+1)-1)*(CROQUIS!$C$137*MAX(1,CEILING((INT(((CROQUIS!$C$97)-CROQUIS!$C$107)/MAX(CROQUIS!$C$137,1))+1)/80,1))))/2)+MIN(INT(($A161-1)/5),MAX((MAX(1,INT(((CROQUIS!$C$97)-CROQUIS!$C$107)/MAX((CROQUIS!$C$137*MAX(1,CEILING((INT(((CROQUIS!$C$97)-CROQUIS!$C$107)/MAX(CROQUIS!$C$137,1))+1)/80,1))),1))+1))-1,0))*(CROQUIS!$C$137*MAX(1,CEILING((INT(((CROQUIS!$C$97)-CROQUIS!$C$107)/MAX(CROQUIS!$C$137,1))+1)/80,1))))))*CROQUIS!$C$159)+IF(CROQUIS!$C$92="X",0,0)),-1000)</f>
        <v>-1000</v>
      </c>
      <c r="BR161">
        <f>IF(AND(CROQUIS!$C$88=1,CROQUIS!$C$91=0,CROQUIS!$C$133&gt;0,OR(CROQUIS!$C$103=1,CROQUIS!$C$145=1)),((CROQUIS!$C$160+(IF(CROQUIS!$C$92="X",CHOOSE(IF(INT(($A161-1)/5)&gt;MAX((MAX(1,INT(((CROQUIS!$C$98)-CROQUIS!$C$107)/MAX((CROQUIS!$C$133*MAX(1,CEILING((INT(((CROQUIS!$C$98)-CROQUIS!$C$107)/MAX(CROQUIS!$C$133,1))+1)/80,1))),1))+1))-1,0),0,MOD($A161-1,5))+1,0,IF(CROQUIS!$C$103=1,-12,2),CROQUIS!$C$107/2+CROQUIS!$C$143,IF(CROQUIS!$C$103=1,-12,2),0),((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BS1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+1,0,IF(CROQUIS!$C$103=1,-12,2),CROQUIS!$C$107/2+CROQUIS!$C$143,IF(CROQUIS!$C$103=1,-12,2),0)))*CROQUIS!$C$159)+IF(CROQUIS!$C$92="X",0.8,0)),-1000)</f>
        <v>-1000</v>
      </c>
      <c r="BT161">
        <f>IF(AND(CROQUIS!$C$88=1,CROQUIS!$C$91=0,CROQUIS!$C$133&gt;0,OR(CROQUIS!$C$104=1,CROQUIS!$C$145=1)),((CROQUIS!$C$160+(IF(CROQUIS!$C$92="X",CHOOSE(IF(INT(($A161-1)/5)&gt;MAX((MAX(1,INT(((CROQUIS!$C$98)-CROQUIS!$C$107)/MAX((CROQUIS!$C$133*MAX(1,CEILING((INT(((CROQUIS!$C$98)-CROQUIS!$C$107)/MAX(CROQUIS!$C$133,1))+1)/80,1))),1))+1))-1,0),0,MOD($A161-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BU1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CROQUIS!$C$97,CROQUIS!$C$97-CROQUIS!$C$107/2-CROQUIS!$C$143,IF(CROQUIS!$C$104=1,CROQUIS!$C$97+12,CROQUIS!$C$97-2),CROQUIS!$C$97-CROQUIS!$C$107/2-CROQUIS!$C$143,CROQUIS!$C$97)))*CROQUIS!$C$159)+IF(CROQUIS!$C$92="X",0.8,0)),-1000)</f>
        <v>-1000</v>
      </c>
      <c r="BV1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HOOSE(IF(INT(($A161-1)/5)&gt;MAX((MAX(1,INT(((CROQUIS!$C$97)-CROQUIS!$C$107)/MAX((CROQUIS!$C$141*MAX(1,CEILING((INT(((CROQUIS!$C$97)-CROQUIS!$C$107)/MAX(CROQUIS!$C$141,1))+1)/80,1))),1))+1))-1,0),0,MOD($A161-1,5))+1,0,IF(CROQUIS!$C$105=1,-12,2),CROQUIS!$C$107/2+CROQUIS!$C$144,IF(CROQUIS!$C$105=1,-12,2),0)))*CROQUIS!$C$159)+IF(CROQUIS!$C$92="X",0.8,0)),-1000)</f>
        <v>-1000</v>
      </c>
      <c r="BW161">
        <f>IF(AND(CROQUIS!$C$88=1,CROQUIS!$C$91=0,CROQUIS!$C$141&gt;0,OR(CROQUIS!$C$105=1,CROQUIS!$C$146=1)),((CROQUIS!$C$161+(IF(CROQUIS!$C$92="X",CHOOSE(IF(INT(($A161-1)/5)&gt;MAX((MAX(1,INT(((CROQUIS!$C$97)-CROQUIS!$C$107)/MAX((CROQUIS!$C$141*MAX(1,CEILING((INT(((CROQUIS!$C$97)-CROQUIS!$C$107)/MAX(CROQUIS!$C$141,1))+1)/80,1))),1))+1))-1,0),0,MOD($A161-1,5))+1,0,IF(CROQUIS!$C$105=1,-12,2),CROQUIS!$C$107/2+CROQUIS!$C$144,IF(CROQUIS!$C$105=1,-12,2),0),((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ROQUIS!$C$159)+IF(CROQUIS!$C$92="X",0,0.8)),-1000)</f>
        <v>-1000</v>
      </c>
      <c r="BX1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HOOSE(IF(INT(($A161-1)/5)&gt;MAX((MAX(1,INT(((CROQUIS!$C$97)-CROQUIS!$C$107)/MAX((CROQUIS!$C$141*MAX(1,CEILING((INT(((CROQUIS!$C$97)-CROQUIS!$C$107)/MAX(CROQUIS!$C$141,1))+1)/80,1))),1))+1))-1,0),0,MOD($A161-1,5))+1,CROQUIS!$C$98,CROQUIS!$C$98-CROQUIS!$C$107/2-CROQUIS!$C$144,IF(CROQUIS!$C$106=1,CROQUIS!$C$98+12,CROQUIS!$C$98-2),CROQUIS!$C$98-CROQUIS!$C$107/2-CROQUIS!$C$144,CROQUIS!$C$98)))*CROQUIS!$C$159)+IF(CROQUIS!$C$92="X",0.8,0)),-1000)</f>
        <v>-1000</v>
      </c>
      <c r="BY161">
        <f>IF(AND(CROQUIS!$C$88=1,CROQUIS!$C$91=0,CROQUIS!$C$141&gt;0,OR(CROQUIS!$C$106=1,CROQUIS!$C$146=1)),((CROQUIS!$C$161+(IF(CROQUIS!$C$92="X",CHOOSE(IF(INT(($A161-1)/5)&gt;MAX((MAX(1,INT(((CROQUIS!$C$97)-CROQUIS!$C$107)/MAX((CROQUIS!$C$141*MAX(1,CEILING((INT(((CROQUIS!$C$97)-CROQUIS!$C$107)/MAX(CROQUIS!$C$141,1))+1)/80,1))),1))+1))-1,0),0,MOD($A161-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ROQUIS!$C$159)+IF(CROQUIS!$C$92="X",0,0.8)),-1000)</f>
        <v>-1000</v>
      </c>
      <c r="BZ161">
        <f>IF(AND(CROQUIS!$C$88=1,CROQUIS!$C$91=1,CROQUIS!$C$133&gt;0),((CROQUIS!$C$160+(IF(CROQUIS!$C$92="X",CHOOSE(IF(INT(($A161-1)/5)&gt;MAX((MAX(1,INT(((CROQUIS!$C$98)-CROQUIS!$C$107)/MAX((CROQUIS!$C$133*MAX(1,CEILING((INT(((CROQUIS!$C$98)-CROQUIS!$C$107)/MAX(CROQUIS!$C$133,1))+1)/80,1))),1))+1))-1,0),0,MOD($A161-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CA161">
        <f>IF(AND(CROQUIS!$C$88=1,CROQUIS!$C$91=1,CROQUIS!$C$133&gt;0),((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2">
      <c r="A162" t="n">
        <v>155</v>
      </c>
      <c r="BN162">
        <f>IF(AND(CROQUIS!$C$88=1,CROQUIS!$C$129&gt;0),((CROQUIS!$C$160+(IF(CROQUIS!$C$92="X",CHOOSE(IF(INT(($A162-1)/5)&gt;MAX((MAX(1,INT(((CROQUIS!$C$98)-CROQUIS!$C$107)/MAX((CROQUIS!$C$129*MAX(1,CEILING((INT(((CROQUIS!$C$98)-CROQUIS!$C$107)/MAX(CROQUIS!$C$129,1))+1)/80,1))),1))+1))-1,0),0,MOD($A162-1,5))+1,0,2,CROQUIS!$C$97-2,2,0),((CROQUIS!$C$107/2+(((CROQUIS!$C$98)-CROQUIS!$C$107)-(MAX(1,INT(((CROQUIS!$C$98)-CROQUIS!$C$107)/MAX((CROQUIS!$C$129*MAX(1,CEILING((INT(((CROQUIS!$C$98)-CROQUIS!$C$107)/MAX(CROQUIS!$C$129,1))+1)/80,1))),1))+1)-1)*(CROQUIS!$C$129*MAX(1,CEILING((INT(((CROQUIS!$C$98)-CROQUIS!$C$107)/MAX(CROQUIS!$C$129,1))+1)/80,1))))/2)+MIN(INT(($A162-1)/5),MAX((MAX(1,INT(((CROQUIS!$C$98)-CROQUIS!$C$107)/MAX((CROQUIS!$C$129*MAX(1,CEILING((INT(((CROQUIS!$C$98)-CROQUIS!$C$107)/MAX(CROQUIS!$C$129,1))+1)/80,1))),1))+1))-1,0))*(CROQUIS!$C$129*MAX(1,CEILING((INT(((CROQUIS!$C$98)-CROQUIS!$C$107)/MAX(CROQUIS!$C$129,1))+1)/80,1))))))*CROQUIS!$C$159)+IF(CROQUIS!$C$92="X",0,0)),-1000)</f>
        <v>-1000</v>
      </c>
      <c r="BO162">
        <f>IF(AND(CROQUIS!$C$88=1,CROQUIS!$C$129&gt;0),((CROQUIS!$C$161+(IF(CROQUIS!$C$92="X",((CROQUIS!$C$107/2+(((CROQUIS!$C$98)-CROQUIS!$C$107)-(MAX(1,INT(((CROQUIS!$C$98)-CROQUIS!$C$107)/MAX((CROQUIS!$C$129*MAX(1,CEILING((INT(((CROQUIS!$C$98)-CROQUIS!$C$107)/MAX(CROQUIS!$C$129,1))+1)/80,1))),1))+1)-1)*(CROQUIS!$C$129*MAX(1,CEILING((INT(((CROQUIS!$C$98)-CROQUIS!$C$107)/MAX(CROQUIS!$C$129,1))+1)/80,1))))/2)+MIN(INT(($A162-1)/5),MAX((MAX(1,INT(((CROQUIS!$C$98)-CROQUIS!$C$107)/MAX((CROQUIS!$C$129*MAX(1,CEILING((INT(((CROQUIS!$C$98)-CROQUIS!$C$107)/MAX(CROQUIS!$C$129,1))+1)/80,1))),1))+1))-1,0))*(CROQUIS!$C$129*MAX(1,CEILING((INT(((CROQUIS!$C$98)-CROQUIS!$C$107)/MAX(CROQUIS!$C$129,1))+1)/80,1)))),CHOOSE(IF(INT(($A162-1)/5)&gt;MAX((MAX(1,INT(((CROQUIS!$C$98)-CROQUIS!$C$107)/MAX((CROQUIS!$C$129*MAX(1,CEILING((INT(((CROQUIS!$C$98)-CROQUIS!$C$107)/MAX(CROQUIS!$C$129,1))+1)/80,1))),1))+1))-1,0),0,MOD($A162-1,5))+1,0,2,CROQUIS!$C$97-2,2,0)))*CROQUIS!$C$159)+IF(CROQUIS!$C$92="X",0,0)),-1000)</f>
        <v>-1000</v>
      </c>
      <c r="BP162">
        <f>IF(AND(CROQUIS!$C$88=1,CROQUIS!$C$137&gt;0),((CROQUIS!$C$160+(IF(CROQUIS!$C$92="X",((CROQUIS!$C$107/2+(((CROQUIS!$C$97)-CROQUIS!$C$107)-(MAX(1,INT(((CROQUIS!$C$97)-CROQUIS!$C$107)/MAX((CROQUIS!$C$137*MAX(1,CEILING((INT(((CROQUIS!$C$97)-CROQUIS!$C$107)/MAX(CROQUIS!$C$137,1))+1)/80,1))),1))+1)-1)*(CROQUIS!$C$137*MAX(1,CEILING((INT(((CROQUIS!$C$97)-CROQUIS!$C$107)/MAX(CROQUIS!$C$137,1))+1)/80,1))))/2)+MIN(INT(($A162-1)/5),MAX((MAX(1,INT(((CROQUIS!$C$97)-CROQUIS!$C$107)/MAX((CROQUIS!$C$137*MAX(1,CEILING((INT(((CROQUIS!$C$97)-CROQUIS!$C$107)/MAX(CROQUIS!$C$137,1))+1)/80,1))),1))+1))-1,0))*(CROQUIS!$C$137*MAX(1,CEILING((INT(((CROQUIS!$C$97)-CROQUIS!$C$107)/MAX(CROQUIS!$C$137,1))+1)/80,1)))),CHOOSE(IF(INT(($A162-1)/5)&gt;MAX((MAX(1,INT(((CROQUIS!$C$97)-CROQUIS!$C$107)/MAX((CROQUIS!$C$137*MAX(1,CEILING((INT(((CROQUIS!$C$97)-CROQUIS!$C$107)/MAX(CROQUIS!$C$137,1))+1)/80,1))),1))+1))-1,0),0,MOD($A162-1,5))+1,0,2,CROQUIS!$C$98-2,2,0)))*CROQUIS!$C$159)+IF(CROQUIS!$C$92="X",0,0)),-1000)</f>
        <v>-1000</v>
      </c>
      <c r="BQ162">
        <f>IF(AND(CROQUIS!$C$88=1,CROQUIS!$C$137&gt;0),((CROQUIS!$C$161+(IF(CROQUIS!$C$92="X",CHOOSE(IF(INT(($A162-1)/5)&gt;MAX((MAX(1,INT(((CROQUIS!$C$97)-CROQUIS!$C$107)/MAX((CROQUIS!$C$137*MAX(1,CEILING((INT(((CROQUIS!$C$97)-CROQUIS!$C$107)/MAX(CROQUIS!$C$137,1))+1)/80,1))),1))+1))-1,0),0,MOD($A162-1,5))+1,0,2,CROQUIS!$C$98-2,2,0),((CROQUIS!$C$107/2+(((CROQUIS!$C$97)-CROQUIS!$C$107)-(MAX(1,INT(((CROQUIS!$C$97)-CROQUIS!$C$107)/MAX((CROQUIS!$C$137*MAX(1,CEILING((INT(((CROQUIS!$C$97)-CROQUIS!$C$107)/MAX(CROQUIS!$C$137,1))+1)/80,1))),1))+1)-1)*(CROQUIS!$C$137*MAX(1,CEILING((INT(((CROQUIS!$C$97)-CROQUIS!$C$107)/MAX(CROQUIS!$C$137,1))+1)/80,1))))/2)+MIN(INT(($A162-1)/5),MAX((MAX(1,INT(((CROQUIS!$C$97)-CROQUIS!$C$107)/MAX((CROQUIS!$C$137*MAX(1,CEILING((INT(((CROQUIS!$C$97)-CROQUIS!$C$107)/MAX(CROQUIS!$C$137,1))+1)/80,1))),1))+1))-1,0))*(CROQUIS!$C$137*MAX(1,CEILING((INT(((CROQUIS!$C$97)-CROQUIS!$C$107)/MAX(CROQUIS!$C$137,1))+1)/80,1))))))*CROQUIS!$C$159)+IF(CROQUIS!$C$92="X",0,0)),-1000)</f>
        <v>-1000</v>
      </c>
      <c r="BR162">
        <f>IF(AND(CROQUIS!$C$88=1,CROQUIS!$C$91=0,CROQUIS!$C$133&gt;0,OR(CROQUIS!$C$103=1,CROQUIS!$C$145=1)),((CROQUIS!$C$160+(IF(CROQUIS!$C$92="X",CHOOSE(IF(INT(($A162-1)/5)&gt;MAX((MAX(1,INT(((CROQUIS!$C$98)-CROQUIS!$C$107)/MAX((CROQUIS!$C$133*MAX(1,CEILING((INT(((CROQUIS!$C$98)-CROQUIS!$C$107)/MAX(CROQUIS!$C$133,1))+1)/80,1))),1))+1))-1,0),0,MOD($A162-1,5))+1,0,IF(CROQUIS!$C$103=1,-12,2),CROQUIS!$C$107/2+CROQUIS!$C$143,IF(CROQUIS!$C$103=1,-12,2),0),((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BS1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+1,0,IF(CROQUIS!$C$103=1,-12,2),CROQUIS!$C$107/2+CROQUIS!$C$143,IF(CROQUIS!$C$103=1,-12,2),0)))*CROQUIS!$C$159)+IF(CROQUIS!$C$92="X",0.8,0)),-1000)</f>
        <v>-1000</v>
      </c>
      <c r="BT162">
        <f>IF(AND(CROQUIS!$C$88=1,CROQUIS!$C$91=0,CROQUIS!$C$133&gt;0,OR(CROQUIS!$C$104=1,CROQUIS!$C$145=1)),((CROQUIS!$C$160+(IF(CROQUIS!$C$92="X",CHOOSE(IF(INT(($A162-1)/5)&gt;MAX((MAX(1,INT(((CROQUIS!$C$98)-CROQUIS!$C$107)/MAX((CROQUIS!$C$133*MAX(1,CEILING((INT(((CROQUIS!$C$98)-CROQUIS!$C$107)/MAX(CROQUIS!$C$133,1))+1)/80,1))),1))+1))-1,0),0,MOD($A162-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BU1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CROQUIS!$C$97,CROQUIS!$C$97-CROQUIS!$C$107/2-CROQUIS!$C$143,IF(CROQUIS!$C$104=1,CROQUIS!$C$97+12,CROQUIS!$C$97-2),CROQUIS!$C$97-CROQUIS!$C$107/2-CROQUIS!$C$143,CROQUIS!$C$97)))*CROQUIS!$C$159)+IF(CROQUIS!$C$92="X",0.8,0)),-1000)</f>
        <v>-1000</v>
      </c>
      <c r="BV1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HOOSE(IF(INT(($A162-1)/5)&gt;MAX((MAX(1,INT(((CROQUIS!$C$97)-CROQUIS!$C$107)/MAX((CROQUIS!$C$141*MAX(1,CEILING((INT(((CROQUIS!$C$97)-CROQUIS!$C$107)/MAX(CROQUIS!$C$141,1))+1)/80,1))),1))+1))-1,0),0,MOD($A162-1,5))+1,0,IF(CROQUIS!$C$105=1,-12,2),CROQUIS!$C$107/2+CROQUIS!$C$144,IF(CROQUIS!$C$105=1,-12,2),0)))*CROQUIS!$C$159)+IF(CROQUIS!$C$92="X",0.8,0)),-1000)</f>
        <v>-1000</v>
      </c>
      <c r="BW162">
        <f>IF(AND(CROQUIS!$C$88=1,CROQUIS!$C$91=0,CROQUIS!$C$141&gt;0,OR(CROQUIS!$C$105=1,CROQUIS!$C$146=1)),((CROQUIS!$C$161+(IF(CROQUIS!$C$92="X",CHOOSE(IF(INT(($A162-1)/5)&gt;MAX((MAX(1,INT(((CROQUIS!$C$97)-CROQUIS!$C$107)/MAX((CROQUIS!$C$141*MAX(1,CEILING((INT(((CROQUIS!$C$97)-CROQUIS!$C$107)/MAX(CROQUIS!$C$141,1))+1)/80,1))),1))+1))-1,0),0,MOD($A162-1,5))+1,0,IF(CROQUIS!$C$105=1,-12,2),CROQUIS!$C$107/2+CROQUIS!$C$144,IF(CROQUIS!$C$105=1,-12,2),0),((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ROQUIS!$C$159)+IF(CROQUIS!$C$92="X",0,0.8)),-1000)</f>
        <v>-1000</v>
      </c>
      <c r="BX1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HOOSE(IF(INT(($A162-1)/5)&gt;MAX((MAX(1,INT(((CROQUIS!$C$97)-CROQUIS!$C$107)/MAX((CROQUIS!$C$141*MAX(1,CEILING((INT(((CROQUIS!$C$97)-CROQUIS!$C$107)/MAX(CROQUIS!$C$141,1))+1)/80,1))),1))+1))-1,0),0,MOD($A162-1,5))+1,CROQUIS!$C$98,CROQUIS!$C$98-CROQUIS!$C$107/2-CROQUIS!$C$144,IF(CROQUIS!$C$106=1,CROQUIS!$C$98+12,CROQUIS!$C$98-2),CROQUIS!$C$98-CROQUIS!$C$107/2-CROQUIS!$C$144,CROQUIS!$C$98)))*CROQUIS!$C$159)+IF(CROQUIS!$C$92="X",0.8,0)),-1000)</f>
        <v>-1000</v>
      </c>
      <c r="BY162">
        <f>IF(AND(CROQUIS!$C$88=1,CROQUIS!$C$91=0,CROQUIS!$C$141&gt;0,OR(CROQUIS!$C$106=1,CROQUIS!$C$146=1)),((CROQUIS!$C$161+(IF(CROQUIS!$C$92="X",CHOOSE(IF(INT(($A162-1)/5)&gt;MAX((MAX(1,INT(((CROQUIS!$C$97)-CROQUIS!$C$107)/MAX((CROQUIS!$C$141*MAX(1,CEILING((INT(((CROQUIS!$C$97)-CROQUIS!$C$107)/MAX(CROQUIS!$C$141,1))+1)/80,1))),1))+1))-1,0),0,MOD($A162-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ROQUIS!$C$159)+IF(CROQUIS!$C$92="X",0,0.8)),-1000)</f>
        <v>-1000</v>
      </c>
      <c r="BZ162">
        <f>IF(AND(CROQUIS!$C$88=1,CROQUIS!$C$91=1,CROQUIS!$C$133&gt;0),((CROQUIS!$C$160+(IF(CROQUIS!$C$92="X",CHOOSE(IF(INT(($A162-1)/5)&gt;MAX((MAX(1,INT(((CROQUIS!$C$98)-CROQUIS!$C$107)/MAX((CROQUIS!$C$133*MAX(1,CEILING((INT(((CROQUIS!$C$98)-CROQUIS!$C$107)/MAX(CROQUIS!$C$133,1))+1)/80,1))),1))+1))-1,0),0,MOD($A162-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CA162">
        <f>IF(AND(CROQUIS!$C$88=1,CROQUIS!$C$91=1,CROQUIS!$C$133&gt;0),((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3">
      <c r="A163" t="n">
        <v>156</v>
      </c>
      <c r="BN163">
        <f>IF(AND(CROQUIS!$C$88=1,CROQUIS!$C$129&gt;0),((CROQUIS!$C$160+(IF(CROQUIS!$C$92="X",CHOOSE(IF(INT(($A163-1)/5)&gt;MAX((MAX(1,INT(((CROQUIS!$C$98)-CROQUIS!$C$107)/MAX((CROQUIS!$C$129*MAX(1,CEILING((INT(((CROQUIS!$C$98)-CROQUIS!$C$107)/MAX(CROQUIS!$C$129,1))+1)/80,1))),1))+1))-1,0),0,MOD($A163-1,5))+1,0,2,CROQUIS!$C$97-2,2,0),((CROQUIS!$C$107/2+(((CROQUIS!$C$98)-CROQUIS!$C$107)-(MAX(1,INT(((CROQUIS!$C$98)-CROQUIS!$C$107)/MAX((CROQUIS!$C$129*MAX(1,CEILING((INT(((CROQUIS!$C$98)-CROQUIS!$C$107)/MAX(CROQUIS!$C$129,1))+1)/80,1))),1))+1)-1)*(CROQUIS!$C$129*MAX(1,CEILING((INT(((CROQUIS!$C$98)-CROQUIS!$C$107)/MAX(CROQUIS!$C$129,1))+1)/80,1))))/2)+MIN(INT(($A163-1)/5),MAX((MAX(1,INT(((CROQUIS!$C$98)-CROQUIS!$C$107)/MAX((CROQUIS!$C$129*MAX(1,CEILING((INT(((CROQUIS!$C$98)-CROQUIS!$C$107)/MAX(CROQUIS!$C$129,1))+1)/80,1))),1))+1))-1,0))*(CROQUIS!$C$129*MAX(1,CEILING((INT(((CROQUIS!$C$98)-CROQUIS!$C$107)/MAX(CROQUIS!$C$129,1))+1)/80,1))))))*CROQUIS!$C$159)+IF(CROQUIS!$C$92="X",0,0)),-1000)</f>
        <v>-1000</v>
      </c>
      <c r="BO163">
        <f>IF(AND(CROQUIS!$C$88=1,CROQUIS!$C$129&gt;0),((CROQUIS!$C$161+(IF(CROQUIS!$C$92="X",((CROQUIS!$C$107/2+(((CROQUIS!$C$98)-CROQUIS!$C$107)-(MAX(1,INT(((CROQUIS!$C$98)-CROQUIS!$C$107)/MAX((CROQUIS!$C$129*MAX(1,CEILING((INT(((CROQUIS!$C$98)-CROQUIS!$C$107)/MAX(CROQUIS!$C$129,1))+1)/80,1))),1))+1)-1)*(CROQUIS!$C$129*MAX(1,CEILING((INT(((CROQUIS!$C$98)-CROQUIS!$C$107)/MAX(CROQUIS!$C$129,1))+1)/80,1))))/2)+MIN(INT(($A163-1)/5),MAX((MAX(1,INT(((CROQUIS!$C$98)-CROQUIS!$C$107)/MAX((CROQUIS!$C$129*MAX(1,CEILING((INT(((CROQUIS!$C$98)-CROQUIS!$C$107)/MAX(CROQUIS!$C$129,1))+1)/80,1))),1))+1))-1,0))*(CROQUIS!$C$129*MAX(1,CEILING((INT(((CROQUIS!$C$98)-CROQUIS!$C$107)/MAX(CROQUIS!$C$129,1))+1)/80,1)))),CHOOSE(IF(INT(($A163-1)/5)&gt;MAX((MAX(1,INT(((CROQUIS!$C$98)-CROQUIS!$C$107)/MAX((CROQUIS!$C$129*MAX(1,CEILING((INT(((CROQUIS!$C$98)-CROQUIS!$C$107)/MAX(CROQUIS!$C$129,1))+1)/80,1))),1))+1))-1,0),0,MOD($A163-1,5))+1,0,2,CROQUIS!$C$97-2,2,0)))*CROQUIS!$C$159)+IF(CROQUIS!$C$92="X",0,0)),-1000)</f>
        <v>-1000</v>
      </c>
      <c r="BP163">
        <f>IF(AND(CROQUIS!$C$88=1,CROQUIS!$C$137&gt;0),((CROQUIS!$C$160+(IF(CROQUIS!$C$92="X",((CROQUIS!$C$107/2+(((CROQUIS!$C$97)-CROQUIS!$C$107)-(MAX(1,INT(((CROQUIS!$C$97)-CROQUIS!$C$107)/MAX((CROQUIS!$C$137*MAX(1,CEILING((INT(((CROQUIS!$C$97)-CROQUIS!$C$107)/MAX(CROQUIS!$C$137,1))+1)/80,1))),1))+1)-1)*(CROQUIS!$C$137*MAX(1,CEILING((INT(((CROQUIS!$C$97)-CROQUIS!$C$107)/MAX(CROQUIS!$C$137,1))+1)/80,1))))/2)+MIN(INT(($A163-1)/5),MAX((MAX(1,INT(((CROQUIS!$C$97)-CROQUIS!$C$107)/MAX((CROQUIS!$C$137*MAX(1,CEILING((INT(((CROQUIS!$C$97)-CROQUIS!$C$107)/MAX(CROQUIS!$C$137,1))+1)/80,1))),1))+1))-1,0))*(CROQUIS!$C$137*MAX(1,CEILING((INT(((CROQUIS!$C$97)-CROQUIS!$C$107)/MAX(CROQUIS!$C$137,1))+1)/80,1)))),CHOOSE(IF(INT(($A163-1)/5)&gt;MAX((MAX(1,INT(((CROQUIS!$C$97)-CROQUIS!$C$107)/MAX((CROQUIS!$C$137*MAX(1,CEILING((INT(((CROQUIS!$C$97)-CROQUIS!$C$107)/MAX(CROQUIS!$C$137,1))+1)/80,1))),1))+1))-1,0),0,MOD($A163-1,5))+1,0,2,CROQUIS!$C$98-2,2,0)))*CROQUIS!$C$159)+IF(CROQUIS!$C$92="X",0,0)),-1000)</f>
        <v>-1000</v>
      </c>
      <c r="BQ163">
        <f>IF(AND(CROQUIS!$C$88=1,CROQUIS!$C$137&gt;0),((CROQUIS!$C$161+(IF(CROQUIS!$C$92="X",CHOOSE(IF(INT(($A163-1)/5)&gt;MAX((MAX(1,INT(((CROQUIS!$C$97)-CROQUIS!$C$107)/MAX((CROQUIS!$C$137*MAX(1,CEILING((INT(((CROQUIS!$C$97)-CROQUIS!$C$107)/MAX(CROQUIS!$C$137,1))+1)/80,1))),1))+1))-1,0),0,MOD($A163-1,5))+1,0,2,CROQUIS!$C$98-2,2,0),((CROQUIS!$C$107/2+(((CROQUIS!$C$97)-CROQUIS!$C$107)-(MAX(1,INT(((CROQUIS!$C$97)-CROQUIS!$C$107)/MAX((CROQUIS!$C$137*MAX(1,CEILING((INT(((CROQUIS!$C$97)-CROQUIS!$C$107)/MAX(CROQUIS!$C$137,1))+1)/80,1))),1))+1)-1)*(CROQUIS!$C$137*MAX(1,CEILING((INT(((CROQUIS!$C$97)-CROQUIS!$C$107)/MAX(CROQUIS!$C$137,1))+1)/80,1))))/2)+MIN(INT(($A163-1)/5),MAX((MAX(1,INT(((CROQUIS!$C$97)-CROQUIS!$C$107)/MAX((CROQUIS!$C$137*MAX(1,CEILING((INT(((CROQUIS!$C$97)-CROQUIS!$C$107)/MAX(CROQUIS!$C$137,1))+1)/80,1))),1))+1))-1,0))*(CROQUIS!$C$137*MAX(1,CEILING((INT(((CROQUIS!$C$97)-CROQUIS!$C$107)/MAX(CROQUIS!$C$137,1))+1)/80,1))))))*CROQUIS!$C$159)+IF(CROQUIS!$C$92="X",0,0)),-1000)</f>
        <v>-1000</v>
      </c>
      <c r="BR163">
        <f>IF(AND(CROQUIS!$C$88=1,CROQUIS!$C$91=0,CROQUIS!$C$133&gt;0,OR(CROQUIS!$C$103=1,CROQUIS!$C$145=1)),((CROQUIS!$C$160+(IF(CROQUIS!$C$92="X",CHOOSE(IF(INT(($A163-1)/5)&gt;MAX((MAX(1,INT(((CROQUIS!$C$98)-CROQUIS!$C$107)/MAX((CROQUIS!$C$133*MAX(1,CEILING((INT(((CROQUIS!$C$98)-CROQUIS!$C$107)/MAX(CROQUIS!$C$133,1))+1)/80,1))),1))+1))-1,0),0,MOD($A163-1,5))+1,0,IF(CROQUIS!$C$103=1,-12,2),CROQUIS!$C$107/2+CROQUIS!$C$143,IF(CROQUIS!$C$103=1,-12,2),0),((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BS1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+1,0,IF(CROQUIS!$C$103=1,-12,2),CROQUIS!$C$107/2+CROQUIS!$C$143,IF(CROQUIS!$C$103=1,-12,2),0)))*CROQUIS!$C$159)+IF(CROQUIS!$C$92="X",0.8,0)),-1000)</f>
        <v>-1000</v>
      </c>
      <c r="BT163">
        <f>IF(AND(CROQUIS!$C$88=1,CROQUIS!$C$91=0,CROQUIS!$C$133&gt;0,OR(CROQUIS!$C$104=1,CROQUIS!$C$145=1)),((CROQUIS!$C$160+(IF(CROQUIS!$C$92="X",CHOOSE(IF(INT(($A163-1)/5)&gt;MAX((MAX(1,INT(((CROQUIS!$C$98)-CROQUIS!$C$107)/MAX((CROQUIS!$C$133*MAX(1,CEILING((INT(((CROQUIS!$C$98)-CROQUIS!$C$107)/MAX(CROQUIS!$C$133,1))+1)/80,1))),1))+1))-1,0),0,MOD($A163-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BU1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CROQUIS!$C$97,CROQUIS!$C$97-CROQUIS!$C$107/2-CROQUIS!$C$143,IF(CROQUIS!$C$104=1,CROQUIS!$C$97+12,CROQUIS!$C$97-2),CROQUIS!$C$97-CROQUIS!$C$107/2-CROQUIS!$C$143,CROQUIS!$C$97)))*CROQUIS!$C$159)+IF(CROQUIS!$C$92="X",0.8,0)),-1000)</f>
        <v>-1000</v>
      </c>
      <c r="BV1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HOOSE(IF(INT(($A163-1)/5)&gt;MAX((MAX(1,INT(((CROQUIS!$C$97)-CROQUIS!$C$107)/MAX((CROQUIS!$C$141*MAX(1,CEILING((INT(((CROQUIS!$C$97)-CROQUIS!$C$107)/MAX(CROQUIS!$C$141,1))+1)/80,1))),1))+1))-1,0),0,MOD($A163-1,5))+1,0,IF(CROQUIS!$C$105=1,-12,2),CROQUIS!$C$107/2+CROQUIS!$C$144,IF(CROQUIS!$C$105=1,-12,2),0)))*CROQUIS!$C$159)+IF(CROQUIS!$C$92="X",0.8,0)),-1000)</f>
        <v>-1000</v>
      </c>
      <c r="BW163">
        <f>IF(AND(CROQUIS!$C$88=1,CROQUIS!$C$91=0,CROQUIS!$C$141&gt;0,OR(CROQUIS!$C$105=1,CROQUIS!$C$146=1)),((CROQUIS!$C$161+(IF(CROQUIS!$C$92="X",CHOOSE(IF(INT(($A163-1)/5)&gt;MAX((MAX(1,INT(((CROQUIS!$C$97)-CROQUIS!$C$107)/MAX((CROQUIS!$C$141*MAX(1,CEILING((INT(((CROQUIS!$C$97)-CROQUIS!$C$107)/MAX(CROQUIS!$C$141,1))+1)/80,1))),1))+1))-1,0),0,MOD($A163-1,5))+1,0,IF(CROQUIS!$C$105=1,-12,2),CROQUIS!$C$107/2+CROQUIS!$C$144,IF(CROQUIS!$C$105=1,-12,2),0),((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ROQUIS!$C$159)+IF(CROQUIS!$C$92="X",0,0.8)),-1000)</f>
        <v>-1000</v>
      </c>
      <c r="BX1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HOOSE(IF(INT(($A163-1)/5)&gt;MAX((MAX(1,INT(((CROQUIS!$C$97)-CROQUIS!$C$107)/MAX((CROQUIS!$C$141*MAX(1,CEILING((INT(((CROQUIS!$C$97)-CROQUIS!$C$107)/MAX(CROQUIS!$C$141,1))+1)/80,1))),1))+1))-1,0),0,MOD($A163-1,5))+1,CROQUIS!$C$98,CROQUIS!$C$98-CROQUIS!$C$107/2-CROQUIS!$C$144,IF(CROQUIS!$C$106=1,CROQUIS!$C$98+12,CROQUIS!$C$98-2),CROQUIS!$C$98-CROQUIS!$C$107/2-CROQUIS!$C$144,CROQUIS!$C$98)))*CROQUIS!$C$159)+IF(CROQUIS!$C$92="X",0.8,0)),-1000)</f>
        <v>-1000</v>
      </c>
      <c r="BY163">
        <f>IF(AND(CROQUIS!$C$88=1,CROQUIS!$C$91=0,CROQUIS!$C$141&gt;0,OR(CROQUIS!$C$106=1,CROQUIS!$C$146=1)),((CROQUIS!$C$161+(IF(CROQUIS!$C$92="X",CHOOSE(IF(INT(($A163-1)/5)&gt;MAX((MAX(1,INT(((CROQUIS!$C$97)-CROQUIS!$C$107)/MAX((CROQUIS!$C$141*MAX(1,CEILING((INT(((CROQUIS!$C$97)-CROQUIS!$C$107)/MAX(CROQUIS!$C$141,1))+1)/80,1))),1))+1))-1,0),0,MOD($A163-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ROQUIS!$C$159)+IF(CROQUIS!$C$92="X",0,0.8)),-1000)</f>
        <v>-1000</v>
      </c>
      <c r="BZ163">
        <f>IF(AND(CROQUIS!$C$88=1,CROQUIS!$C$91=1,CROQUIS!$C$133&gt;0),((CROQUIS!$C$160+(IF(CROQUIS!$C$92="X",CHOOSE(IF(INT(($A163-1)/5)&gt;MAX((MAX(1,INT(((CROQUIS!$C$98)-CROQUIS!$C$107)/MAX((CROQUIS!$C$133*MAX(1,CEILING((INT(((CROQUIS!$C$98)-CROQUIS!$C$107)/MAX(CROQUIS!$C$133,1))+1)/80,1))),1))+1))-1,0),0,MOD($A163-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CA163">
        <f>IF(AND(CROQUIS!$C$88=1,CROQUIS!$C$91=1,CROQUIS!$C$133&gt;0),((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4">
      <c r="A164" t="n">
        <v>157</v>
      </c>
      <c r="BN164">
        <f>IF(AND(CROQUIS!$C$88=1,CROQUIS!$C$129&gt;0),((CROQUIS!$C$160+(IF(CROQUIS!$C$92="X",CHOOSE(IF(INT(($A164-1)/5)&gt;MAX((MAX(1,INT(((CROQUIS!$C$98)-CROQUIS!$C$107)/MAX((CROQUIS!$C$129*MAX(1,CEILING((INT(((CROQUIS!$C$98)-CROQUIS!$C$107)/MAX(CROQUIS!$C$129,1))+1)/80,1))),1))+1))-1,0),0,MOD($A164-1,5))+1,0,2,CROQUIS!$C$97-2,2,0),((CROQUIS!$C$107/2+(((CROQUIS!$C$98)-CROQUIS!$C$107)-(MAX(1,INT(((CROQUIS!$C$98)-CROQUIS!$C$107)/MAX((CROQUIS!$C$129*MAX(1,CEILING((INT(((CROQUIS!$C$98)-CROQUIS!$C$107)/MAX(CROQUIS!$C$129,1))+1)/80,1))),1))+1)-1)*(CROQUIS!$C$129*MAX(1,CEILING((INT(((CROQUIS!$C$98)-CROQUIS!$C$107)/MAX(CROQUIS!$C$129,1))+1)/80,1))))/2)+MIN(INT(($A164-1)/5),MAX((MAX(1,INT(((CROQUIS!$C$98)-CROQUIS!$C$107)/MAX((CROQUIS!$C$129*MAX(1,CEILING((INT(((CROQUIS!$C$98)-CROQUIS!$C$107)/MAX(CROQUIS!$C$129,1))+1)/80,1))),1))+1))-1,0))*(CROQUIS!$C$129*MAX(1,CEILING((INT(((CROQUIS!$C$98)-CROQUIS!$C$107)/MAX(CROQUIS!$C$129,1))+1)/80,1))))))*CROQUIS!$C$159)+IF(CROQUIS!$C$92="X",0,0)),-1000)</f>
        <v>-1000</v>
      </c>
      <c r="BO164">
        <f>IF(AND(CROQUIS!$C$88=1,CROQUIS!$C$129&gt;0),((CROQUIS!$C$161+(IF(CROQUIS!$C$92="X",((CROQUIS!$C$107/2+(((CROQUIS!$C$98)-CROQUIS!$C$107)-(MAX(1,INT(((CROQUIS!$C$98)-CROQUIS!$C$107)/MAX((CROQUIS!$C$129*MAX(1,CEILING((INT(((CROQUIS!$C$98)-CROQUIS!$C$107)/MAX(CROQUIS!$C$129,1))+1)/80,1))),1))+1)-1)*(CROQUIS!$C$129*MAX(1,CEILING((INT(((CROQUIS!$C$98)-CROQUIS!$C$107)/MAX(CROQUIS!$C$129,1))+1)/80,1))))/2)+MIN(INT(($A164-1)/5),MAX((MAX(1,INT(((CROQUIS!$C$98)-CROQUIS!$C$107)/MAX((CROQUIS!$C$129*MAX(1,CEILING((INT(((CROQUIS!$C$98)-CROQUIS!$C$107)/MAX(CROQUIS!$C$129,1))+1)/80,1))),1))+1))-1,0))*(CROQUIS!$C$129*MAX(1,CEILING((INT(((CROQUIS!$C$98)-CROQUIS!$C$107)/MAX(CROQUIS!$C$129,1))+1)/80,1)))),CHOOSE(IF(INT(($A164-1)/5)&gt;MAX((MAX(1,INT(((CROQUIS!$C$98)-CROQUIS!$C$107)/MAX((CROQUIS!$C$129*MAX(1,CEILING((INT(((CROQUIS!$C$98)-CROQUIS!$C$107)/MAX(CROQUIS!$C$129,1))+1)/80,1))),1))+1))-1,0),0,MOD($A164-1,5))+1,0,2,CROQUIS!$C$97-2,2,0)))*CROQUIS!$C$159)+IF(CROQUIS!$C$92="X",0,0)),-1000)</f>
        <v>-1000</v>
      </c>
      <c r="BP164">
        <f>IF(AND(CROQUIS!$C$88=1,CROQUIS!$C$137&gt;0),((CROQUIS!$C$160+(IF(CROQUIS!$C$92="X",((CROQUIS!$C$107/2+(((CROQUIS!$C$97)-CROQUIS!$C$107)-(MAX(1,INT(((CROQUIS!$C$97)-CROQUIS!$C$107)/MAX((CROQUIS!$C$137*MAX(1,CEILING((INT(((CROQUIS!$C$97)-CROQUIS!$C$107)/MAX(CROQUIS!$C$137,1))+1)/80,1))),1))+1)-1)*(CROQUIS!$C$137*MAX(1,CEILING((INT(((CROQUIS!$C$97)-CROQUIS!$C$107)/MAX(CROQUIS!$C$137,1))+1)/80,1))))/2)+MIN(INT(($A164-1)/5),MAX((MAX(1,INT(((CROQUIS!$C$97)-CROQUIS!$C$107)/MAX((CROQUIS!$C$137*MAX(1,CEILING((INT(((CROQUIS!$C$97)-CROQUIS!$C$107)/MAX(CROQUIS!$C$137,1))+1)/80,1))),1))+1))-1,0))*(CROQUIS!$C$137*MAX(1,CEILING((INT(((CROQUIS!$C$97)-CROQUIS!$C$107)/MAX(CROQUIS!$C$137,1))+1)/80,1)))),CHOOSE(IF(INT(($A164-1)/5)&gt;MAX((MAX(1,INT(((CROQUIS!$C$97)-CROQUIS!$C$107)/MAX((CROQUIS!$C$137*MAX(1,CEILING((INT(((CROQUIS!$C$97)-CROQUIS!$C$107)/MAX(CROQUIS!$C$137,1))+1)/80,1))),1))+1))-1,0),0,MOD($A164-1,5))+1,0,2,CROQUIS!$C$98-2,2,0)))*CROQUIS!$C$159)+IF(CROQUIS!$C$92="X",0,0)),-1000)</f>
        <v>-1000</v>
      </c>
      <c r="BQ164">
        <f>IF(AND(CROQUIS!$C$88=1,CROQUIS!$C$137&gt;0),((CROQUIS!$C$161+(IF(CROQUIS!$C$92="X",CHOOSE(IF(INT(($A164-1)/5)&gt;MAX((MAX(1,INT(((CROQUIS!$C$97)-CROQUIS!$C$107)/MAX((CROQUIS!$C$137*MAX(1,CEILING((INT(((CROQUIS!$C$97)-CROQUIS!$C$107)/MAX(CROQUIS!$C$137,1))+1)/80,1))),1))+1))-1,0),0,MOD($A164-1,5))+1,0,2,CROQUIS!$C$98-2,2,0),((CROQUIS!$C$107/2+(((CROQUIS!$C$97)-CROQUIS!$C$107)-(MAX(1,INT(((CROQUIS!$C$97)-CROQUIS!$C$107)/MAX((CROQUIS!$C$137*MAX(1,CEILING((INT(((CROQUIS!$C$97)-CROQUIS!$C$107)/MAX(CROQUIS!$C$137,1))+1)/80,1))),1))+1)-1)*(CROQUIS!$C$137*MAX(1,CEILING((INT(((CROQUIS!$C$97)-CROQUIS!$C$107)/MAX(CROQUIS!$C$137,1))+1)/80,1))))/2)+MIN(INT(($A164-1)/5),MAX((MAX(1,INT(((CROQUIS!$C$97)-CROQUIS!$C$107)/MAX((CROQUIS!$C$137*MAX(1,CEILING((INT(((CROQUIS!$C$97)-CROQUIS!$C$107)/MAX(CROQUIS!$C$137,1))+1)/80,1))),1))+1))-1,0))*(CROQUIS!$C$137*MAX(1,CEILING((INT(((CROQUIS!$C$97)-CROQUIS!$C$107)/MAX(CROQUIS!$C$137,1))+1)/80,1))))))*CROQUIS!$C$159)+IF(CROQUIS!$C$92="X",0,0)),-1000)</f>
        <v>-1000</v>
      </c>
      <c r="BR164">
        <f>IF(AND(CROQUIS!$C$88=1,CROQUIS!$C$91=0,CROQUIS!$C$133&gt;0,OR(CROQUIS!$C$103=1,CROQUIS!$C$145=1)),((CROQUIS!$C$160+(IF(CROQUIS!$C$92="X",CHOOSE(IF(INT(($A164-1)/5)&gt;MAX((MAX(1,INT(((CROQUIS!$C$98)-CROQUIS!$C$107)/MAX((CROQUIS!$C$133*MAX(1,CEILING((INT(((CROQUIS!$C$98)-CROQUIS!$C$107)/MAX(CROQUIS!$C$133,1))+1)/80,1))),1))+1))-1,0),0,MOD($A164-1,5))+1,0,IF(CROQUIS!$C$103=1,-12,2),CROQUIS!$C$107/2+CROQUIS!$C$143,IF(CROQUIS!$C$103=1,-12,2),0),((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BS1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+1,0,IF(CROQUIS!$C$103=1,-12,2),CROQUIS!$C$107/2+CROQUIS!$C$143,IF(CROQUIS!$C$103=1,-12,2),0)))*CROQUIS!$C$159)+IF(CROQUIS!$C$92="X",0.8,0)),-1000)</f>
        <v>-1000</v>
      </c>
      <c r="BT164">
        <f>IF(AND(CROQUIS!$C$88=1,CROQUIS!$C$91=0,CROQUIS!$C$133&gt;0,OR(CROQUIS!$C$104=1,CROQUIS!$C$145=1)),((CROQUIS!$C$160+(IF(CROQUIS!$C$92="X",CHOOSE(IF(INT(($A164-1)/5)&gt;MAX((MAX(1,INT(((CROQUIS!$C$98)-CROQUIS!$C$107)/MAX((CROQUIS!$C$133*MAX(1,CEILING((INT(((CROQUIS!$C$98)-CROQUIS!$C$107)/MAX(CROQUIS!$C$133,1))+1)/80,1))),1))+1))-1,0),0,MOD($A164-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BU1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CROQUIS!$C$97,CROQUIS!$C$97-CROQUIS!$C$107/2-CROQUIS!$C$143,IF(CROQUIS!$C$104=1,CROQUIS!$C$97+12,CROQUIS!$C$97-2),CROQUIS!$C$97-CROQUIS!$C$107/2-CROQUIS!$C$143,CROQUIS!$C$97)))*CROQUIS!$C$159)+IF(CROQUIS!$C$92="X",0.8,0)),-1000)</f>
        <v>-1000</v>
      </c>
      <c r="BV1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HOOSE(IF(INT(($A164-1)/5)&gt;MAX((MAX(1,INT(((CROQUIS!$C$97)-CROQUIS!$C$107)/MAX((CROQUIS!$C$141*MAX(1,CEILING((INT(((CROQUIS!$C$97)-CROQUIS!$C$107)/MAX(CROQUIS!$C$141,1))+1)/80,1))),1))+1))-1,0),0,MOD($A164-1,5))+1,0,IF(CROQUIS!$C$105=1,-12,2),CROQUIS!$C$107/2+CROQUIS!$C$144,IF(CROQUIS!$C$105=1,-12,2),0)))*CROQUIS!$C$159)+IF(CROQUIS!$C$92="X",0.8,0)),-1000)</f>
        <v>-1000</v>
      </c>
      <c r="BW164">
        <f>IF(AND(CROQUIS!$C$88=1,CROQUIS!$C$91=0,CROQUIS!$C$141&gt;0,OR(CROQUIS!$C$105=1,CROQUIS!$C$146=1)),((CROQUIS!$C$161+(IF(CROQUIS!$C$92="X",CHOOSE(IF(INT(($A164-1)/5)&gt;MAX((MAX(1,INT(((CROQUIS!$C$97)-CROQUIS!$C$107)/MAX((CROQUIS!$C$141*MAX(1,CEILING((INT(((CROQUIS!$C$97)-CROQUIS!$C$107)/MAX(CROQUIS!$C$141,1))+1)/80,1))),1))+1))-1,0),0,MOD($A164-1,5))+1,0,IF(CROQUIS!$C$105=1,-12,2),CROQUIS!$C$107/2+CROQUIS!$C$144,IF(CROQUIS!$C$105=1,-12,2),0),((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ROQUIS!$C$159)+IF(CROQUIS!$C$92="X",0,0.8)),-1000)</f>
        <v>-1000</v>
      </c>
      <c r="BX1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HOOSE(IF(INT(($A164-1)/5)&gt;MAX((MAX(1,INT(((CROQUIS!$C$97)-CROQUIS!$C$107)/MAX((CROQUIS!$C$141*MAX(1,CEILING((INT(((CROQUIS!$C$97)-CROQUIS!$C$107)/MAX(CROQUIS!$C$141,1))+1)/80,1))),1))+1))-1,0),0,MOD($A164-1,5))+1,CROQUIS!$C$98,CROQUIS!$C$98-CROQUIS!$C$107/2-CROQUIS!$C$144,IF(CROQUIS!$C$106=1,CROQUIS!$C$98+12,CROQUIS!$C$98-2),CROQUIS!$C$98-CROQUIS!$C$107/2-CROQUIS!$C$144,CROQUIS!$C$98)))*CROQUIS!$C$159)+IF(CROQUIS!$C$92="X",0.8,0)),-1000)</f>
        <v>-1000</v>
      </c>
      <c r="BY164">
        <f>IF(AND(CROQUIS!$C$88=1,CROQUIS!$C$91=0,CROQUIS!$C$141&gt;0,OR(CROQUIS!$C$106=1,CROQUIS!$C$146=1)),((CROQUIS!$C$161+(IF(CROQUIS!$C$92="X",CHOOSE(IF(INT(($A164-1)/5)&gt;MAX((MAX(1,INT(((CROQUIS!$C$97)-CROQUIS!$C$107)/MAX((CROQUIS!$C$141*MAX(1,CEILING((INT(((CROQUIS!$C$97)-CROQUIS!$C$107)/MAX(CROQUIS!$C$141,1))+1)/80,1))),1))+1))-1,0),0,MOD($A164-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ROQUIS!$C$159)+IF(CROQUIS!$C$92="X",0,0.8)),-1000)</f>
        <v>-1000</v>
      </c>
      <c r="BZ164">
        <f>IF(AND(CROQUIS!$C$88=1,CROQUIS!$C$91=1,CROQUIS!$C$133&gt;0),((CROQUIS!$C$160+(IF(CROQUIS!$C$92="X",CHOOSE(IF(INT(($A164-1)/5)&gt;MAX((MAX(1,INT(((CROQUIS!$C$98)-CROQUIS!$C$107)/MAX((CROQUIS!$C$133*MAX(1,CEILING((INT(((CROQUIS!$C$98)-CROQUIS!$C$107)/MAX(CROQUIS!$C$133,1))+1)/80,1))),1))+1))-1,0),0,MOD($A164-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CA164">
        <f>IF(AND(CROQUIS!$C$88=1,CROQUIS!$C$91=1,CROQUIS!$C$133&gt;0),((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5">
      <c r="A165" t="n">
        <v>158</v>
      </c>
      <c r="BN165">
        <f>IF(AND(CROQUIS!$C$88=1,CROQUIS!$C$129&gt;0),((CROQUIS!$C$160+(IF(CROQUIS!$C$92="X",CHOOSE(IF(INT(($A165-1)/5)&gt;MAX((MAX(1,INT(((CROQUIS!$C$98)-CROQUIS!$C$107)/MAX((CROQUIS!$C$129*MAX(1,CEILING((INT(((CROQUIS!$C$98)-CROQUIS!$C$107)/MAX(CROQUIS!$C$129,1))+1)/80,1))),1))+1))-1,0),0,MOD($A165-1,5))+1,0,2,CROQUIS!$C$97-2,2,0),((CROQUIS!$C$107/2+(((CROQUIS!$C$98)-CROQUIS!$C$107)-(MAX(1,INT(((CROQUIS!$C$98)-CROQUIS!$C$107)/MAX((CROQUIS!$C$129*MAX(1,CEILING((INT(((CROQUIS!$C$98)-CROQUIS!$C$107)/MAX(CROQUIS!$C$129,1))+1)/80,1))),1))+1)-1)*(CROQUIS!$C$129*MAX(1,CEILING((INT(((CROQUIS!$C$98)-CROQUIS!$C$107)/MAX(CROQUIS!$C$129,1))+1)/80,1))))/2)+MIN(INT(($A165-1)/5),MAX((MAX(1,INT(((CROQUIS!$C$98)-CROQUIS!$C$107)/MAX((CROQUIS!$C$129*MAX(1,CEILING((INT(((CROQUIS!$C$98)-CROQUIS!$C$107)/MAX(CROQUIS!$C$129,1))+1)/80,1))),1))+1))-1,0))*(CROQUIS!$C$129*MAX(1,CEILING((INT(((CROQUIS!$C$98)-CROQUIS!$C$107)/MAX(CROQUIS!$C$129,1))+1)/80,1))))))*CROQUIS!$C$159)+IF(CROQUIS!$C$92="X",0,0)),-1000)</f>
        <v>-1000</v>
      </c>
      <c r="BO165">
        <f>IF(AND(CROQUIS!$C$88=1,CROQUIS!$C$129&gt;0),((CROQUIS!$C$161+(IF(CROQUIS!$C$92="X",((CROQUIS!$C$107/2+(((CROQUIS!$C$98)-CROQUIS!$C$107)-(MAX(1,INT(((CROQUIS!$C$98)-CROQUIS!$C$107)/MAX((CROQUIS!$C$129*MAX(1,CEILING((INT(((CROQUIS!$C$98)-CROQUIS!$C$107)/MAX(CROQUIS!$C$129,1))+1)/80,1))),1))+1)-1)*(CROQUIS!$C$129*MAX(1,CEILING((INT(((CROQUIS!$C$98)-CROQUIS!$C$107)/MAX(CROQUIS!$C$129,1))+1)/80,1))))/2)+MIN(INT(($A165-1)/5),MAX((MAX(1,INT(((CROQUIS!$C$98)-CROQUIS!$C$107)/MAX((CROQUIS!$C$129*MAX(1,CEILING((INT(((CROQUIS!$C$98)-CROQUIS!$C$107)/MAX(CROQUIS!$C$129,1))+1)/80,1))),1))+1))-1,0))*(CROQUIS!$C$129*MAX(1,CEILING((INT(((CROQUIS!$C$98)-CROQUIS!$C$107)/MAX(CROQUIS!$C$129,1))+1)/80,1)))),CHOOSE(IF(INT(($A165-1)/5)&gt;MAX((MAX(1,INT(((CROQUIS!$C$98)-CROQUIS!$C$107)/MAX((CROQUIS!$C$129*MAX(1,CEILING((INT(((CROQUIS!$C$98)-CROQUIS!$C$107)/MAX(CROQUIS!$C$129,1))+1)/80,1))),1))+1))-1,0),0,MOD($A165-1,5))+1,0,2,CROQUIS!$C$97-2,2,0)))*CROQUIS!$C$159)+IF(CROQUIS!$C$92="X",0,0)),-1000)</f>
        <v>-1000</v>
      </c>
      <c r="BP165">
        <f>IF(AND(CROQUIS!$C$88=1,CROQUIS!$C$137&gt;0),((CROQUIS!$C$160+(IF(CROQUIS!$C$92="X",((CROQUIS!$C$107/2+(((CROQUIS!$C$97)-CROQUIS!$C$107)-(MAX(1,INT(((CROQUIS!$C$97)-CROQUIS!$C$107)/MAX((CROQUIS!$C$137*MAX(1,CEILING((INT(((CROQUIS!$C$97)-CROQUIS!$C$107)/MAX(CROQUIS!$C$137,1))+1)/80,1))),1))+1)-1)*(CROQUIS!$C$137*MAX(1,CEILING((INT(((CROQUIS!$C$97)-CROQUIS!$C$107)/MAX(CROQUIS!$C$137,1))+1)/80,1))))/2)+MIN(INT(($A165-1)/5),MAX((MAX(1,INT(((CROQUIS!$C$97)-CROQUIS!$C$107)/MAX((CROQUIS!$C$137*MAX(1,CEILING((INT(((CROQUIS!$C$97)-CROQUIS!$C$107)/MAX(CROQUIS!$C$137,1))+1)/80,1))),1))+1))-1,0))*(CROQUIS!$C$137*MAX(1,CEILING((INT(((CROQUIS!$C$97)-CROQUIS!$C$107)/MAX(CROQUIS!$C$137,1))+1)/80,1)))),CHOOSE(IF(INT(($A165-1)/5)&gt;MAX((MAX(1,INT(((CROQUIS!$C$97)-CROQUIS!$C$107)/MAX((CROQUIS!$C$137*MAX(1,CEILING((INT(((CROQUIS!$C$97)-CROQUIS!$C$107)/MAX(CROQUIS!$C$137,1))+1)/80,1))),1))+1))-1,0),0,MOD($A165-1,5))+1,0,2,CROQUIS!$C$98-2,2,0)))*CROQUIS!$C$159)+IF(CROQUIS!$C$92="X",0,0)),-1000)</f>
        <v>-1000</v>
      </c>
      <c r="BQ165">
        <f>IF(AND(CROQUIS!$C$88=1,CROQUIS!$C$137&gt;0),((CROQUIS!$C$161+(IF(CROQUIS!$C$92="X",CHOOSE(IF(INT(($A165-1)/5)&gt;MAX((MAX(1,INT(((CROQUIS!$C$97)-CROQUIS!$C$107)/MAX((CROQUIS!$C$137*MAX(1,CEILING((INT(((CROQUIS!$C$97)-CROQUIS!$C$107)/MAX(CROQUIS!$C$137,1))+1)/80,1))),1))+1))-1,0),0,MOD($A165-1,5))+1,0,2,CROQUIS!$C$98-2,2,0),((CROQUIS!$C$107/2+(((CROQUIS!$C$97)-CROQUIS!$C$107)-(MAX(1,INT(((CROQUIS!$C$97)-CROQUIS!$C$107)/MAX((CROQUIS!$C$137*MAX(1,CEILING((INT(((CROQUIS!$C$97)-CROQUIS!$C$107)/MAX(CROQUIS!$C$137,1))+1)/80,1))),1))+1)-1)*(CROQUIS!$C$137*MAX(1,CEILING((INT(((CROQUIS!$C$97)-CROQUIS!$C$107)/MAX(CROQUIS!$C$137,1))+1)/80,1))))/2)+MIN(INT(($A165-1)/5),MAX((MAX(1,INT(((CROQUIS!$C$97)-CROQUIS!$C$107)/MAX((CROQUIS!$C$137*MAX(1,CEILING((INT(((CROQUIS!$C$97)-CROQUIS!$C$107)/MAX(CROQUIS!$C$137,1))+1)/80,1))),1))+1))-1,0))*(CROQUIS!$C$137*MAX(1,CEILING((INT(((CROQUIS!$C$97)-CROQUIS!$C$107)/MAX(CROQUIS!$C$137,1))+1)/80,1))))))*CROQUIS!$C$159)+IF(CROQUIS!$C$92="X",0,0)),-1000)</f>
        <v>-1000</v>
      </c>
      <c r="BR165">
        <f>IF(AND(CROQUIS!$C$88=1,CROQUIS!$C$91=0,CROQUIS!$C$133&gt;0,OR(CROQUIS!$C$103=1,CROQUIS!$C$145=1)),((CROQUIS!$C$160+(IF(CROQUIS!$C$92="X",CHOOSE(IF(INT(($A165-1)/5)&gt;MAX((MAX(1,INT(((CROQUIS!$C$98)-CROQUIS!$C$107)/MAX((CROQUIS!$C$133*MAX(1,CEILING((INT(((CROQUIS!$C$98)-CROQUIS!$C$107)/MAX(CROQUIS!$C$133,1))+1)/80,1))),1))+1))-1,0),0,MOD($A165-1,5))+1,0,IF(CROQUIS!$C$103=1,-12,2),CROQUIS!$C$107/2+CROQUIS!$C$143,IF(CROQUIS!$C$103=1,-12,2),0),((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BS1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+1,0,IF(CROQUIS!$C$103=1,-12,2),CROQUIS!$C$107/2+CROQUIS!$C$143,IF(CROQUIS!$C$103=1,-12,2),0)))*CROQUIS!$C$159)+IF(CROQUIS!$C$92="X",0.8,0)),-1000)</f>
        <v>-1000</v>
      </c>
      <c r="BT165">
        <f>IF(AND(CROQUIS!$C$88=1,CROQUIS!$C$91=0,CROQUIS!$C$133&gt;0,OR(CROQUIS!$C$104=1,CROQUIS!$C$145=1)),((CROQUIS!$C$160+(IF(CROQUIS!$C$92="X",CHOOSE(IF(INT(($A165-1)/5)&gt;MAX((MAX(1,INT(((CROQUIS!$C$98)-CROQUIS!$C$107)/MAX((CROQUIS!$C$133*MAX(1,CEILING((INT(((CROQUIS!$C$98)-CROQUIS!$C$107)/MAX(CROQUIS!$C$133,1))+1)/80,1))),1))+1))-1,0),0,MOD($A165-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BU1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CROQUIS!$C$97,CROQUIS!$C$97-CROQUIS!$C$107/2-CROQUIS!$C$143,IF(CROQUIS!$C$104=1,CROQUIS!$C$97+12,CROQUIS!$C$97-2),CROQUIS!$C$97-CROQUIS!$C$107/2-CROQUIS!$C$143,CROQUIS!$C$97)))*CROQUIS!$C$159)+IF(CROQUIS!$C$92="X",0.8,0)),-1000)</f>
        <v>-1000</v>
      </c>
      <c r="BV1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HOOSE(IF(INT(($A165-1)/5)&gt;MAX((MAX(1,INT(((CROQUIS!$C$97)-CROQUIS!$C$107)/MAX((CROQUIS!$C$141*MAX(1,CEILING((INT(((CROQUIS!$C$97)-CROQUIS!$C$107)/MAX(CROQUIS!$C$141,1))+1)/80,1))),1))+1))-1,0),0,MOD($A165-1,5))+1,0,IF(CROQUIS!$C$105=1,-12,2),CROQUIS!$C$107/2+CROQUIS!$C$144,IF(CROQUIS!$C$105=1,-12,2),0)))*CROQUIS!$C$159)+IF(CROQUIS!$C$92="X",0.8,0)),-1000)</f>
        <v>-1000</v>
      </c>
      <c r="BW165">
        <f>IF(AND(CROQUIS!$C$88=1,CROQUIS!$C$91=0,CROQUIS!$C$141&gt;0,OR(CROQUIS!$C$105=1,CROQUIS!$C$146=1)),((CROQUIS!$C$161+(IF(CROQUIS!$C$92="X",CHOOSE(IF(INT(($A165-1)/5)&gt;MAX((MAX(1,INT(((CROQUIS!$C$97)-CROQUIS!$C$107)/MAX((CROQUIS!$C$141*MAX(1,CEILING((INT(((CROQUIS!$C$97)-CROQUIS!$C$107)/MAX(CROQUIS!$C$141,1))+1)/80,1))),1))+1))-1,0),0,MOD($A165-1,5))+1,0,IF(CROQUIS!$C$105=1,-12,2),CROQUIS!$C$107/2+CROQUIS!$C$144,IF(CROQUIS!$C$105=1,-12,2),0),((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ROQUIS!$C$159)+IF(CROQUIS!$C$92="X",0,0.8)),-1000)</f>
        <v>-1000</v>
      </c>
      <c r="BX1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HOOSE(IF(INT(($A165-1)/5)&gt;MAX((MAX(1,INT(((CROQUIS!$C$97)-CROQUIS!$C$107)/MAX((CROQUIS!$C$141*MAX(1,CEILING((INT(((CROQUIS!$C$97)-CROQUIS!$C$107)/MAX(CROQUIS!$C$141,1))+1)/80,1))),1))+1))-1,0),0,MOD($A165-1,5))+1,CROQUIS!$C$98,CROQUIS!$C$98-CROQUIS!$C$107/2-CROQUIS!$C$144,IF(CROQUIS!$C$106=1,CROQUIS!$C$98+12,CROQUIS!$C$98-2),CROQUIS!$C$98-CROQUIS!$C$107/2-CROQUIS!$C$144,CROQUIS!$C$98)))*CROQUIS!$C$159)+IF(CROQUIS!$C$92="X",0.8,0)),-1000)</f>
        <v>-1000</v>
      </c>
      <c r="BY165">
        <f>IF(AND(CROQUIS!$C$88=1,CROQUIS!$C$91=0,CROQUIS!$C$141&gt;0,OR(CROQUIS!$C$106=1,CROQUIS!$C$146=1)),((CROQUIS!$C$161+(IF(CROQUIS!$C$92="X",CHOOSE(IF(INT(($A165-1)/5)&gt;MAX((MAX(1,INT(((CROQUIS!$C$97)-CROQUIS!$C$107)/MAX((CROQUIS!$C$141*MAX(1,CEILING((INT(((CROQUIS!$C$97)-CROQUIS!$C$107)/MAX(CROQUIS!$C$141,1))+1)/80,1))),1))+1))-1,0),0,MOD($A165-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ROQUIS!$C$159)+IF(CROQUIS!$C$92="X",0,0.8)),-1000)</f>
        <v>-1000</v>
      </c>
      <c r="BZ165">
        <f>IF(AND(CROQUIS!$C$88=1,CROQUIS!$C$91=1,CROQUIS!$C$133&gt;0),((CROQUIS!$C$160+(IF(CROQUIS!$C$92="X",CHOOSE(IF(INT(($A165-1)/5)&gt;MAX((MAX(1,INT(((CROQUIS!$C$98)-CROQUIS!$C$107)/MAX((CROQUIS!$C$133*MAX(1,CEILING((INT(((CROQUIS!$C$98)-CROQUIS!$C$107)/MAX(CROQUIS!$C$133,1))+1)/80,1))),1))+1))-1,0),0,MOD($A165-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CA165">
        <f>IF(AND(CROQUIS!$C$88=1,CROQUIS!$C$91=1,CROQUIS!$C$133&gt;0),((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6">
      <c r="A166" t="n">
        <v>159</v>
      </c>
      <c r="BN166">
        <f>IF(AND(CROQUIS!$C$88=1,CROQUIS!$C$129&gt;0),((CROQUIS!$C$160+(IF(CROQUIS!$C$92="X",CHOOSE(IF(INT(($A166-1)/5)&gt;MAX((MAX(1,INT(((CROQUIS!$C$98)-CROQUIS!$C$107)/MAX((CROQUIS!$C$129*MAX(1,CEILING((INT(((CROQUIS!$C$98)-CROQUIS!$C$107)/MAX(CROQUIS!$C$129,1))+1)/80,1))),1))+1))-1,0),0,MOD($A166-1,5))+1,0,2,CROQUIS!$C$97-2,2,0),((CROQUIS!$C$107/2+(((CROQUIS!$C$98)-CROQUIS!$C$107)-(MAX(1,INT(((CROQUIS!$C$98)-CROQUIS!$C$107)/MAX((CROQUIS!$C$129*MAX(1,CEILING((INT(((CROQUIS!$C$98)-CROQUIS!$C$107)/MAX(CROQUIS!$C$129,1))+1)/80,1))),1))+1)-1)*(CROQUIS!$C$129*MAX(1,CEILING((INT(((CROQUIS!$C$98)-CROQUIS!$C$107)/MAX(CROQUIS!$C$129,1))+1)/80,1))))/2)+MIN(INT(($A166-1)/5),MAX((MAX(1,INT(((CROQUIS!$C$98)-CROQUIS!$C$107)/MAX((CROQUIS!$C$129*MAX(1,CEILING((INT(((CROQUIS!$C$98)-CROQUIS!$C$107)/MAX(CROQUIS!$C$129,1))+1)/80,1))),1))+1))-1,0))*(CROQUIS!$C$129*MAX(1,CEILING((INT(((CROQUIS!$C$98)-CROQUIS!$C$107)/MAX(CROQUIS!$C$129,1))+1)/80,1))))))*CROQUIS!$C$159)+IF(CROQUIS!$C$92="X",0,0)),-1000)</f>
        <v>-1000</v>
      </c>
      <c r="BO166">
        <f>IF(AND(CROQUIS!$C$88=1,CROQUIS!$C$129&gt;0),((CROQUIS!$C$161+(IF(CROQUIS!$C$92="X",((CROQUIS!$C$107/2+(((CROQUIS!$C$98)-CROQUIS!$C$107)-(MAX(1,INT(((CROQUIS!$C$98)-CROQUIS!$C$107)/MAX((CROQUIS!$C$129*MAX(1,CEILING((INT(((CROQUIS!$C$98)-CROQUIS!$C$107)/MAX(CROQUIS!$C$129,1))+1)/80,1))),1))+1)-1)*(CROQUIS!$C$129*MAX(1,CEILING((INT(((CROQUIS!$C$98)-CROQUIS!$C$107)/MAX(CROQUIS!$C$129,1))+1)/80,1))))/2)+MIN(INT(($A166-1)/5),MAX((MAX(1,INT(((CROQUIS!$C$98)-CROQUIS!$C$107)/MAX((CROQUIS!$C$129*MAX(1,CEILING((INT(((CROQUIS!$C$98)-CROQUIS!$C$107)/MAX(CROQUIS!$C$129,1))+1)/80,1))),1))+1))-1,0))*(CROQUIS!$C$129*MAX(1,CEILING((INT(((CROQUIS!$C$98)-CROQUIS!$C$107)/MAX(CROQUIS!$C$129,1))+1)/80,1)))),CHOOSE(IF(INT(($A166-1)/5)&gt;MAX((MAX(1,INT(((CROQUIS!$C$98)-CROQUIS!$C$107)/MAX((CROQUIS!$C$129*MAX(1,CEILING((INT(((CROQUIS!$C$98)-CROQUIS!$C$107)/MAX(CROQUIS!$C$129,1))+1)/80,1))),1))+1))-1,0),0,MOD($A166-1,5))+1,0,2,CROQUIS!$C$97-2,2,0)))*CROQUIS!$C$159)+IF(CROQUIS!$C$92="X",0,0)),-1000)</f>
        <v>-1000</v>
      </c>
      <c r="BP166">
        <f>IF(AND(CROQUIS!$C$88=1,CROQUIS!$C$137&gt;0),((CROQUIS!$C$160+(IF(CROQUIS!$C$92="X",((CROQUIS!$C$107/2+(((CROQUIS!$C$97)-CROQUIS!$C$107)-(MAX(1,INT(((CROQUIS!$C$97)-CROQUIS!$C$107)/MAX((CROQUIS!$C$137*MAX(1,CEILING((INT(((CROQUIS!$C$97)-CROQUIS!$C$107)/MAX(CROQUIS!$C$137,1))+1)/80,1))),1))+1)-1)*(CROQUIS!$C$137*MAX(1,CEILING((INT(((CROQUIS!$C$97)-CROQUIS!$C$107)/MAX(CROQUIS!$C$137,1))+1)/80,1))))/2)+MIN(INT(($A166-1)/5),MAX((MAX(1,INT(((CROQUIS!$C$97)-CROQUIS!$C$107)/MAX((CROQUIS!$C$137*MAX(1,CEILING((INT(((CROQUIS!$C$97)-CROQUIS!$C$107)/MAX(CROQUIS!$C$137,1))+1)/80,1))),1))+1))-1,0))*(CROQUIS!$C$137*MAX(1,CEILING((INT(((CROQUIS!$C$97)-CROQUIS!$C$107)/MAX(CROQUIS!$C$137,1))+1)/80,1)))),CHOOSE(IF(INT(($A166-1)/5)&gt;MAX((MAX(1,INT(((CROQUIS!$C$97)-CROQUIS!$C$107)/MAX((CROQUIS!$C$137*MAX(1,CEILING((INT(((CROQUIS!$C$97)-CROQUIS!$C$107)/MAX(CROQUIS!$C$137,1))+1)/80,1))),1))+1))-1,0),0,MOD($A166-1,5))+1,0,2,CROQUIS!$C$98-2,2,0)))*CROQUIS!$C$159)+IF(CROQUIS!$C$92="X",0,0)),-1000)</f>
        <v>-1000</v>
      </c>
      <c r="BQ166">
        <f>IF(AND(CROQUIS!$C$88=1,CROQUIS!$C$137&gt;0),((CROQUIS!$C$161+(IF(CROQUIS!$C$92="X",CHOOSE(IF(INT(($A166-1)/5)&gt;MAX((MAX(1,INT(((CROQUIS!$C$97)-CROQUIS!$C$107)/MAX((CROQUIS!$C$137*MAX(1,CEILING((INT(((CROQUIS!$C$97)-CROQUIS!$C$107)/MAX(CROQUIS!$C$137,1))+1)/80,1))),1))+1))-1,0),0,MOD($A166-1,5))+1,0,2,CROQUIS!$C$98-2,2,0),((CROQUIS!$C$107/2+(((CROQUIS!$C$97)-CROQUIS!$C$107)-(MAX(1,INT(((CROQUIS!$C$97)-CROQUIS!$C$107)/MAX((CROQUIS!$C$137*MAX(1,CEILING((INT(((CROQUIS!$C$97)-CROQUIS!$C$107)/MAX(CROQUIS!$C$137,1))+1)/80,1))),1))+1)-1)*(CROQUIS!$C$137*MAX(1,CEILING((INT(((CROQUIS!$C$97)-CROQUIS!$C$107)/MAX(CROQUIS!$C$137,1))+1)/80,1))))/2)+MIN(INT(($A166-1)/5),MAX((MAX(1,INT(((CROQUIS!$C$97)-CROQUIS!$C$107)/MAX((CROQUIS!$C$137*MAX(1,CEILING((INT(((CROQUIS!$C$97)-CROQUIS!$C$107)/MAX(CROQUIS!$C$137,1))+1)/80,1))),1))+1))-1,0))*(CROQUIS!$C$137*MAX(1,CEILING((INT(((CROQUIS!$C$97)-CROQUIS!$C$107)/MAX(CROQUIS!$C$137,1))+1)/80,1))))))*CROQUIS!$C$159)+IF(CROQUIS!$C$92="X",0,0)),-1000)</f>
        <v>-1000</v>
      </c>
      <c r="BR166">
        <f>IF(AND(CROQUIS!$C$88=1,CROQUIS!$C$91=0,CROQUIS!$C$133&gt;0,OR(CROQUIS!$C$103=1,CROQUIS!$C$145=1)),((CROQUIS!$C$160+(IF(CROQUIS!$C$92="X",CHOOSE(IF(INT(($A166-1)/5)&gt;MAX((MAX(1,INT(((CROQUIS!$C$98)-CROQUIS!$C$107)/MAX((CROQUIS!$C$133*MAX(1,CEILING((INT(((CROQUIS!$C$98)-CROQUIS!$C$107)/MAX(CROQUIS!$C$133,1))+1)/80,1))),1))+1))-1,0),0,MOD($A166-1,5))+1,0,IF(CROQUIS!$C$103=1,-12,2),CROQUIS!$C$107/2+CROQUIS!$C$143,IF(CROQUIS!$C$103=1,-12,2),0),((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BS1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+1,0,IF(CROQUIS!$C$103=1,-12,2),CROQUIS!$C$107/2+CROQUIS!$C$143,IF(CROQUIS!$C$103=1,-12,2),0)))*CROQUIS!$C$159)+IF(CROQUIS!$C$92="X",0.8,0)),-1000)</f>
        <v>-1000</v>
      </c>
      <c r="BT166">
        <f>IF(AND(CROQUIS!$C$88=1,CROQUIS!$C$91=0,CROQUIS!$C$133&gt;0,OR(CROQUIS!$C$104=1,CROQUIS!$C$145=1)),((CROQUIS!$C$160+(IF(CROQUIS!$C$92="X",CHOOSE(IF(INT(($A166-1)/5)&gt;MAX((MAX(1,INT(((CROQUIS!$C$98)-CROQUIS!$C$107)/MAX((CROQUIS!$C$133*MAX(1,CEILING((INT(((CROQUIS!$C$98)-CROQUIS!$C$107)/MAX(CROQUIS!$C$133,1))+1)/80,1))),1))+1))-1,0),0,MOD($A166-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BU1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CROQUIS!$C$97,CROQUIS!$C$97-CROQUIS!$C$107/2-CROQUIS!$C$143,IF(CROQUIS!$C$104=1,CROQUIS!$C$97+12,CROQUIS!$C$97-2),CROQUIS!$C$97-CROQUIS!$C$107/2-CROQUIS!$C$143,CROQUIS!$C$97)))*CROQUIS!$C$159)+IF(CROQUIS!$C$92="X",0.8,0)),-1000)</f>
        <v>-1000</v>
      </c>
      <c r="BV1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HOOSE(IF(INT(($A166-1)/5)&gt;MAX((MAX(1,INT(((CROQUIS!$C$97)-CROQUIS!$C$107)/MAX((CROQUIS!$C$141*MAX(1,CEILING((INT(((CROQUIS!$C$97)-CROQUIS!$C$107)/MAX(CROQUIS!$C$141,1))+1)/80,1))),1))+1))-1,0),0,MOD($A166-1,5))+1,0,IF(CROQUIS!$C$105=1,-12,2),CROQUIS!$C$107/2+CROQUIS!$C$144,IF(CROQUIS!$C$105=1,-12,2),0)))*CROQUIS!$C$159)+IF(CROQUIS!$C$92="X",0.8,0)),-1000)</f>
        <v>-1000</v>
      </c>
      <c r="BW166">
        <f>IF(AND(CROQUIS!$C$88=1,CROQUIS!$C$91=0,CROQUIS!$C$141&gt;0,OR(CROQUIS!$C$105=1,CROQUIS!$C$146=1)),((CROQUIS!$C$161+(IF(CROQUIS!$C$92="X",CHOOSE(IF(INT(($A166-1)/5)&gt;MAX((MAX(1,INT(((CROQUIS!$C$97)-CROQUIS!$C$107)/MAX((CROQUIS!$C$141*MAX(1,CEILING((INT(((CROQUIS!$C$97)-CROQUIS!$C$107)/MAX(CROQUIS!$C$141,1))+1)/80,1))),1))+1))-1,0),0,MOD($A166-1,5))+1,0,IF(CROQUIS!$C$105=1,-12,2),CROQUIS!$C$107/2+CROQUIS!$C$144,IF(CROQUIS!$C$105=1,-12,2),0),((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ROQUIS!$C$159)+IF(CROQUIS!$C$92="X",0,0.8)),-1000)</f>
        <v>-1000</v>
      </c>
      <c r="BX1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HOOSE(IF(INT(($A166-1)/5)&gt;MAX((MAX(1,INT(((CROQUIS!$C$97)-CROQUIS!$C$107)/MAX((CROQUIS!$C$141*MAX(1,CEILING((INT(((CROQUIS!$C$97)-CROQUIS!$C$107)/MAX(CROQUIS!$C$141,1))+1)/80,1))),1))+1))-1,0),0,MOD($A166-1,5))+1,CROQUIS!$C$98,CROQUIS!$C$98-CROQUIS!$C$107/2-CROQUIS!$C$144,IF(CROQUIS!$C$106=1,CROQUIS!$C$98+12,CROQUIS!$C$98-2),CROQUIS!$C$98-CROQUIS!$C$107/2-CROQUIS!$C$144,CROQUIS!$C$98)))*CROQUIS!$C$159)+IF(CROQUIS!$C$92="X",0.8,0)),-1000)</f>
        <v>-1000</v>
      </c>
      <c r="BY166">
        <f>IF(AND(CROQUIS!$C$88=1,CROQUIS!$C$91=0,CROQUIS!$C$141&gt;0,OR(CROQUIS!$C$106=1,CROQUIS!$C$146=1)),((CROQUIS!$C$161+(IF(CROQUIS!$C$92="X",CHOOSE(IF(INT(($A166-1)/5)&gt;MAX((MAX(1,INT(((CROQUIS!$C$97)-CROQUIS!$C$107)/MAX((CROQUIS!$C$141*MAX(1,CEILING((INT(((CROQUIS!$C$97)-CROQUIS!$C$107)/MAX(CROQUIS!$C$141,1))+1)/80,1))),1))+1))-1,0),0,MOD($A166-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ROQUIS!$C$159)+IF(CROQUIS!$C$92="X",0,0.8)),-1000)</f>
        <v>-1000</v>
      </c>
      <c r="BZ166">
        <f>IF(AND(CROQUIS!$C$88=1,CROQUIS!$C$91=1,CROQUIS!$C$133&gt;0),((CROQUIS!$C$160+(IF(CROQUIS!$C$92="X",CHOOSE(IF(INT(($A166-1)/5)&gt;MAX((MAX(1,INT(((CROQUIS!$C$98)-CROQUIS!$C$107)/MAX((CROQUIS!$C$133*MAX(1,CEILING((INT(((CROQUIS!$C$98)-CROQUIS!$C$107)/MAX(CROQUIS!$C$133,1))+1)/80,1))),1))+1))-1,0),0,MOD($A166-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CA166">
        <f>IF(AND(CROQUIS!$C$88=1,CROQUIS!$C$91=1,CROQUIS!$C$133&gt;0),((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7">
      <c r="A167" t="n">
        <v>160</v>
      </c>
      <c r="BN167">
        <f>IF(AND(CROQUIS!$C$88=1,CROQUIS!$C$129&gt;0),((CROQUIS!$C$160+(IF(CROQUIS!$C$92="X",CHOOSE(IF(INT(($A167-1)/5)&gt;MAX((MAX(1,INT(((CROQUIS!$C$98)-CROQUIS!$C$107)/MAX((CROQUIS!$C$129*MAX(1,CEILING((INT(((CROQUIS!$C$98)-CROQUIS!$C$107)/MAX(CROQUIS!$C$129,1))+1)/80,1))),1))+1))-1,0),0,MOD($A167-1,5))+1,0,2,CROQUIS!$C$97-2,2,0),((CROQUIS!$C$107/2+(((CROQUIS!$C$98)-CROQUIS!$C$107)-(MAX(1,INT(((CROQUIS!$C$98)-CROQUIS!$C$107)/MAX((CROQUIS!$C$129*MAX(1,CEILING((INT(((CROQUIS!$C$98)-CROQUIS!$C$107)/MAX(CROQUIS!$C$129,1))+1)/80,1))),1))+1)-1)*(CROQUIS!$C$129*MAX(1,CEILING((INT(((CROQUIS!$C$98)-CROQUIS!$C$107)/MAX(CROQUIS!$C$129,1))+1)/80,1))))/2)+MIN(INT(($A167-1)/5),MAX((MAX(1,INT(((CROQUIS!$C$98)-CROQUIS!$C$107)/MAX((CROQUIS!$C$129*MAX(1,CEILING((INT(((CROQUIS!$C$98)-CROQUIS!$C$107)/MAX(CROQUIS!$C$129,1))+1)/80,1))),1))+1))-1,0))*(CROQUIS!$C$129*MAX(1,CEILING((INT(((CROQUIS!$C$98)-CROQUIS!$C$107)/MAX(CROQUIS!$C$129,1))+1)/80,1))))))*CROQUIS!$C$159)+IF(CROQUIS!$C$92="X",0,0)),-1000)</f>
        <v>-1000</v>
      </c>
      <c r="BO167">
        <f>IF(AND(CROQUIS!$C$88=1,CROQUIS!$C$129&gt;0),((CROQUIS!$C$161+(IF(CROQUIS!$C$92="X",((CROQUIS!$C$107/2+(((CROQUIS!$C$98)-CROQUIS!$C$107)-(MAX(1,INT(((CROQUIS!$C$98)-CROQUIS!$C$107)/MAX((CROQUIS!$C$129*MAX(1,CEILING((INT(((CROQUIS!$C$98)-CROQUIS!$C$107)/MAX(CROQUIS!$C$129,1))+1)/80,1))),1))+1)-1)*(CROQUIS!$C$129*MAX(1,CEILING((INT(((CROQUIS!$C$98)-CROQUIS!$C$107)/MAX(CROQUIS!$C$129,1))+1)/80,1))))/2)+MIN(INT(($A167-1)/5),MAX((MAX(1,INT(((CROQUIS!$C$98)-CROQUIS!$C$107)/MAX((CROQUIS!$C$129*MAX(1,CEILING((INT(((CROQUIS!$C$98)-CROQUIS!$C$107)/MAX(CROQUIS!$C$129,1))+1)/80,1))),1))+1))-1,0))*(CROQUIS!$C$129*MAX(1,CEILING((INT(((CROQUIS!$C$98)-CROQUIS!$C$107)/MAX(CROQUIS!$C$129,1))+1)/80,1)))),CHOOSE(IF(INT(($A167-1)/5)&gt;MAX((MAX(1,INT(((CROQUIS!$C$98)-CROQUIS!$C$107)/MAX((CROQUIS!$C$129*MAX(1,CEILING((INT(((CROQUIS!$C$98)-CROQUIS!$C$107)/MAX(CROQUIS!$C$129,1))+1)/80,1))),1))+1))-1,0),0,MOD($A167-1,5))+1,0,2,CROQUIS!$C$97-2,2,0)))*CROQUIS!$C$159)+IF(CROQUIS!$C$92="X",0,0)),-1000)</f>
        <v>-1000</v>
      </c>
      <c r="BP167">
        <f>IF(AND(CROQUIS!$C$88=1,CROQUIS!$C$137&gt;0),((CROQUIS!$C$160+(IF(CROQUIS!$C$92="X",((CROQUIS!$C$107/2+(((CROQUIS!$C$97)-CROQUIS!$C$107)-(MAX(1,INT(((CROQUIS!$C$97)-CROQUIS!$C$107)/MAX((CROQUIS!$C$137*MAX(1,CEILING((INT(((CROQUIS!$C$97)-CROQUIS!$C$107)/MAX(CROQUIS!$C$137,1))+1)/80,1))),1))+1)-1)*(CROQUIS!$C$137*MAX(1,CEILING((INT(((CROQUIS!$C$97)-CROQUIS!$C$107)/MAX(CROQUIS!$C$137,1))+1)/80,1))))/2)+MIN(INT(($A167-1)/5),MAX((MAX(1,INT(((CROQUIS!$C$97)-CROQUIS!$C$107)/MAX((CROQUIS!$C$137*MAX(1,CEILING((INT(((CROQUIS!$C$97)-CROQUIS!$C$107)/MAX(CROQUIS!$C$137,1))+1)/80,1))),1))+1))-1,0))*(CROQUIS!$C$137*MAX(1,CEILING((INT(((CROQUIS!$C$97)-CROQUIS!$C$107)/MAX(CROQUIS!$C$137,1))+1)/80,1)))),CHOOSE(IF(INT(($A167-1)/5)&gt;MAX((MAX(1,INT(((CROQUIS!$C$97)-CROQUIS!$C$107)/MAX((CROQUIS!$C$137*MAX(1,CEILING((INT(((CROQUIS!$C$97)-CROQUIS!$C$107)/MAX(CROQUIS!$C$137,1))+1)/80,1))),1))+1))-1,0),0,MOD($A167-1,5))+1,0,2,CROQUIS!$C$98-2,2,0)))*CROQUIS!$C$159)+IF(CROQUIS!$C$92="X",0,0)),-1000)</f>
        <v>-1000</v>
      </c>
      <c r="BQ167">
        <f>IF(AND(CROQUIS!$C$88=1,CROQUIS!$C$137&gt;0),((CROQUIS!$C$161+(IF(CROQUIS!$C$92="X",CHOOSE(IF(INT(($A167-1)/5)&gt;MAX((MAX(1,INT(((CROQUIS!$C$97)-CROQUIS!$C$107)/MAX((CROQUIS!$C$137*MAX(1,CEILING((INT(((CROQUIS!$C$97)-CROQUIS!$C$107)/MAX(CROQUIS!$C$137,1))+1)/80,1))),1))+1))-1,0),0,MOD($A167-1,5))+1,0,2,CROQUIS!$C$98-2,2,0),((CROQUIS!$C$107/2+(((CROQUIS!$C$97)-CROQUIS!$C$107)-(MAX(1,INT(((CROQUIS!$C$97)-CROQUIS!$C$107)/MAX((CROQUIS!$C$137*MAX(1,CEILING((INT(((CROQUIS!$C$97)-CROQUIS!$C$107)/MAX(CROQUIS!$C$137,1))+1)/80,1))),1))+1)-1)*(CROQUIS!$C$137*MAX(1,CEILING((INT(((CROQUIS!$C$97)-CROQUIS!$C$107)/MAX(CROQUIS!$C$137,1))+1)/80,1))))/2)+MIN(INT(($A167-1)/5),MAX((MAX(1,INT(((CROQUIS!$C$97)-CROQUIS!$C$107)/MAX((CROQUIS!$C$137*MAX(1,CEILING((INT(((CROQUIS!$C$97)-CROQUIS!$C$107)/MAX(CROQUIS!$C$137,1))+1)/80,1))),1))+1))-1,0))*(CROQUIS!$C$137*MAX(1,CEILING((INT(((CROQUIS!$C$97)-CROQUIS!$C$107)/MAX(CROQUIS!$C$137,1))+1)/80,1))))))*CROQUIS!$C$159)+IF(CROQUIS!$C$92="X",0,0)),-1000)</f>
        <v>-1000</v>
      </c>
      <c r="BR167">
        <f>IF(AND(CROQUIS!$C$88=1,CROQUIS!$C$91=0,CROQUIS!$C$133&gt;0,OR(CROQUIS!$C$103=1,CROQUIS!$C$145=1)),((CROQUIS!$C$160+(IF(CROQUIS!$C$92="X",CHOOSE(IF(INT(($A167-1)/5)&gt;MAX((MAX(1,INT(((CROQUIS!$C$98)-CROQUIS!$C$107)/MAX((CROQUIS!$C$133*MAX(1,CEILING((INT(((CROQUIS!$C$98)-CROQUIS!$C$107)/MAX(CROQUIS!$C$133,1))+1)/80,1))),1))+1))-1,0),0,MOD($A167-1,5))+1,0,IF(CROQUIS!$C$103=1,-12,2),CROQUIS!$C$107/2+CROQUIS!$C$143,IF(CROQUIS!$C$103=1,-12,2),0),((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BS1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+1,0,IF(CROQUIS!$C$103=1,-12,2),CROQUIS!$C$107/2+CROQUIS!$C$143,IF(CROQUIS!$C$103=1,-12,2),0)))*CROQUIS!$C$159)+IF(CROQUIS!$C$92="X",0.8,0)),-1000)</f>
        <v>-1000</v>
      </c>
      <c r="BT167">
        <f>IF(AND(CROQUIS!$C$88=1,CROQUIS!$C$91=0,CROQUIS!$C$133&gt;0,OR(CROQUIS!$C$104=1,CROQUIS!$C$145=1)),((CROQUIS!$C$160+(IF(CROQUIS!$C$92="X",CHOOSE(IF(INT(($A167-1)/5)&gt;MAX((MAX(1,INT(((CROQUIS!$C$98)-CROQUIS!$C$107)/MAX((CROQUIS!$C$133*MAX(1,CEILING((INT(((CROQUIS!$C$98)-CROQUIS!$C$107)/MAX(CROQUIS!$C$133,1))+1)/80,1))),1))+1))-1,0),0,MOD($A167-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BU1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CROQUIS!$C$97,CROQUIS!$C$97-CROQUIS!$C$107/2-CROQUIS!$C$143,IF(CROQUIS!$C$104=1,CROQUIS!$C$97+12,CROQUIS!$C$97-2),CROQUIS!$C$97-CROQUIS!$C$107/2-CROQUIS!$C$143,CROQUIS!$C$97)))*CROQUIS!$C$159)+IF(CROQUIS!$C$92="X",0.8,0)),-1000)</f>
        <v>-1000</v>
      </c>
      <c r="BV1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HOOSE(IF(INT(($A167-1)/5)&gt;MAX((MAX(1,INT(((CROQUIS!$C$97)-CROQUIS!$C$107)/MAX((CROQUIS!$C$141*MAX(1,CEILING((INT(((CROQUIS!$C$97)-CROQUIS!$C$107)/MAX(CROQUIS!$C$141,1))+1)/80,1))),1))+1))-1,0),0,MOD($A167-1,5))+1,0,IF(CROQUIS!$C$105=1,-12,2),CROQUIS!$C$107/2+CROQUIS!$C$144,IF(CROQUIS!$C$105=1,-12,2),0)))*CROQUIS!$C$159)+IF(CROQUIS!$C$92="X",0.8,0)),-1000)</f>
        <v>-1000</v>
      </c>
      <c r="BW167">
        <f>IF(AND(CROQUIS!$C$88=1,CROQUIS!$C$91=0,CROQUIS!$C$141&gt;0,OR(CROQUIS!$C$105=1,CROQUIS!$C$146=1)),((CROQUIS!$C$161+(IF(CROQUIS!$C$92="X",CHOOSE(IF(INT(($A167-1)/5)&gt;MAX((MAX(1,INT(((CROQUIS!$C$97)-CROQUIS!$C$107)/MAX((CROQUIS!$C$141*MAX(1,CEILING((INT(((CROQUIS!$C$97)-CROQUIS!$C$107)/MAX(CROQUIS!$C$141,1))+1)/80,1))),1))+1))-1,0),0,MOD($A167-1,5))+1,0,IF(CROQUIS!$C$105=1,-12,2),CROQUIS!$C$107/2+CROQUIS!$C$144,IF(CROQUIS!$C$105=1,-12,2),0),((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ROQUIS!$C$159)+IF(CROQUIS!$C$92="X",0,0.8)),-1000)</f>
        <v>-1000</v>
      </c>
      <c r="BX1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HOOSE(IF(INT(($A167-1)/5)&gt;MAX((MAX(1,INT(((CROQUIS!$C$97)-CROQUIS!$C$107)/MAX((CROQUIS!$C$141*MAX(1,CEILING((INT(((CROQUIS!$C$97)-CROQUIS!$C$107)/MAX(CROQUIS!$C$141,1))+1)/80,1))),1))+1))-1,0),0,MOD($A167-1,5))+1,CROQUIS!$C$98,CROQUIS!$C$98-CROQUIS!$C$107/2-CROQUIS!$C$144,IF(CROQUIS!$C$106=1,CROQUIS!$C$98+12,CROQUIS!$C$98-2),CROQUIS!$C$98-CROQUIS!$C$107/2-CROQUIS!$C$144,CROQUIS!$C$98)))*CROQUIS!$C$159)+IF(CROQUIS!$C$92="X",0.8,0)),-1000)</f>
        <v>-1000</v>
      </c>
      <c r="BY167">
        <f>IF(AND(CROQUIS!$C$88=1,CROQUIS!$C$91=0,CROQUIS!$C$141&gt;0,OR(CROQUIS!$C$106=1,CROQUIS!$C$146=1)),((CROQUIS!$C$161+(IF(CROQUIS!$C$92="X",CHOOSE(IF(INT(($A167-1)/5)&gt;MAX((MAX(1,INT(((CROQUIS!$C$97)-CROQUIS!$C$107)/MAX((CROQUIS!$C$141*MAX(1,CEILING((INT(((CROQUIS!$C$97)-CROQUIS!$C$107)/MAX(CROQUIS!$C$141,1))+1)/80,1))),1))+1))-1,0),0,MOD($A167-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ROQUIS!$C$159)+IF(CROQUIS!$C$92="X",0,0.8)),-1000)</f>
        <v>-1000</v>
      </c>
      <c r="BZ167">
        <f>IF(AND(CROQUIS!$C$88=1,CROQUIS!$C$91=1,CROQUIS!$C$133&gt;0),((CROQUIS!$C$160+(IF(CROQUIS!$C$92="X",CHOOSE(IF(INT(($A167-1)/5)&gt;MAX((MAX(1,INT(((CROQUIS!$C$98)-CROQUIS!$C$107)/MAX((CROQUIS!$C$133*MAX(1,CEILING((INT(((CROQUIS!$C$98)-CROQUIS!$C$107)/MAX(CROQUIS!$C$133,1))+1)/80,1))),1))+1))-1,0),0,MOD($A167-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CA167">
        <f>IF(AND(CROQUIS!$C$88=1,CROQUIS!$C$91=1,CROQUIS!$C$133&gt;0),((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8">
      <c r="A168" t="n">
        <v>161</v>
      </c>
      <c r="BN168">
        <f>IF(AND(CROQUIS!$C$88=1,CROQUIS!$C$129&gt;0),((CROQUIS!$C$160+(IF(CROQUIS!$C$92="X",CHOOSE(IF(INT(($A168-1)/5)&gt;MAX((MAX(1,INT(((CROQUIS!$C$98)-CROQUIS!$C$107)/MAX((CROQUIS!$C$129*MAX(1,CEILING((INT(((CROQUIS!$C$98)-CROQUIS!$C$107)/MAX(CROQUIS!$C$129,1))+1)/80,1))),1))+1))-1,0),0,MOD($A168-1,5))+1,0,2,CROQUIS!$C$97-2,2,0),((CROQUIS!$C$107/2+(((CROQUIS!$C$98)-CROQUIS!$C$107)-(MAX(1,INT(((CROQUIS!$C$98)-CROQUIS!$C$107)/MAX((CROQUIS!$C$129*MAX(1,CEILING((INT(((CROQUIS!$C$98)-CROQUIS!$C$107)/MAX(CROQUIS!$C$129,1))+1)/80,1))),1))+1)-1)*(CROQUIS!$C$129*MAX(1,CEILING((INT(((CROQUIS!$C$98)-CROQUIS!$C$107)/MAX(CROQUIS!$C$129,1))+1)/80,1))))/2)+MIN(INT(($A168-1)/5),MAX((MAX(1,INT(((CROQUIS!$C$98)-CROQUIS!$C$107)/MAX((CROQUIS!$C$129*MAX(1,CEILING((INT(((CROQUIS!$C$98)-CROQUIS!$C$107)/MAX(CROQUIS!$C$129,1))+1)/80,1))),1))+1))-1,0))*(CROQUIS!$C$129*MAX(1,CEILING((INT(((CROQUIS!$C$98)-CROQUIS!$C$107)/MAX(CROQUIS!$C$129,1))+1)/80,1))))))*CROQUIS!$C$159)+IF(CROQUIS!$C$92="X",0,0)),-1000)</f>
        <v>-1000</v>
      </c>
      <c r="BO168">
        <f>IF(AND(CROQUIS!$C$88=1,CROQUIS!$C$129&gt;0),((CROQUIS!$C$161+(IF(CROQUIS!$C$92="X",((CROQUIS!$C$107/2+(((CROQUIS!$C$98)-CROQUIS!$C$107)-(MAX(1,INT(((CROQUIS!$C$98)-CROQUIS!$C$107)/MAX((CROQUIS!$C$129*MAX(1,CEILING((INT(((CROQUIS!$C$98)-CROQUIS!$C$107)/MAX(CROQUIS!$C$129,1))+1)/80,1))),1))+1)-1)*(CROQUIS!$C$129*MAX(1,CEILING((INT(((CROQUIS!$C$98)-CROQUIS!$C$107)/MAX(CROQUIS!$C$129,1))+1)/80,1))))/2)+MIN(INT(($A168-1)/5),MAX((MAX(1,INT(((CROQUIS!$C$98)-CROQUIS!$C$107)/MAX((CROQUIS!$C$129*MAX(1,CEILING((INT(((CROQUIS!$C$98)-CROQUIS!$C$107)/MAX(CROQUIS!$C$129,1))+1)/80,1))),1))+1))-1,0))*(CROQUIS!$C$129*MAX(1,CEILING((INT(((CROQUIS!$C$98)-CROQUIS!$C$107)/MAX(CROQUIS!$C$129,1))+1)/80,1)))),CHOOSE(IF(INT(($A168-1)/5)&gt;MAX((MAX(1,INT(((CROQUIS!$C$98)-CROQUIS!$C$107)/MAX((CROQUIS!$C$129*MAX(1,CEILING((INT(((CROQUIS!$C$98)-CROQUIS!$C$107)/MAX(CROQUIS!$C$129,1))+1)/80,1))),1))+1))-1,0),0,MOD($A168-1,5))+1,0,2,CROQUIS!$C$97-2,2,0)))*CROQUIS!$C$159)+IF(CROQUIS!$C$92="X",0,0)),-1000)</f>
        <v>-1000</v>
      </c>
      <c r="BP168">
        <f>IF(AND(CROQUIS!$C$88=1,CROQUIS!$C$137&gt;0),((CROQUIS!$C$160+(IF(CROQUIS!$C$92="X",((CROQUIS!$C$107/2+(((CROQUIS!$C$97)-CROQUIS!$C$107)-(MAX(1,INT(((CROQUIS!$C$97)-CROQUIS!$C$107)/MAX((CROQUIS!$C$137*MAX(1,CEILING((INT(((CROQUIS!$C$97)-CROQUIS!$C$107)/MAX(CROQUIS!$C$137,1))+1)/80,1))),1))+1)-1)*(CROQUIS!$C$137*MAX(1,CEILING((INT(((CROQUIS!$C$97)-CROQUIS!$C$107)/MAX(CROQUIS!$C$137,1))+1)/80,1))))/2)+MIN(INT(($A168-1)/5),MAX((MAX(1,INT(((CROQUIS!$C$97)-CROQUIS!$C$107)/MAX((CROQUIS!$C$137*MAX(1,CEILING((INT(((CROQUIS!$C$97)-CROQUIS!$C$107)/MAX(CROQUIS!$C$137,1))+1)/80,1))),1))+1))-1,0))*(CROQUIS!$C$137*MAX(1,CEILING((INT(((CROQUIS!$C$97)-CROQUIS!$C$107)/MAX(CROQUIS!$C$137,1))+1)/80,1)))),CHOOSE(IF(INT(($A168-1)/5)&gt;MAX((MAX(1,INT(((CROQUIS!$C$97)-CROQUIS!$C$107)/MAX((CROQUIS!$C$137*MAX(1,CEILING((INT(((CROQUIS!$C$97)-CROQUIS!$C$107)/MAX(CROQUIS!$C$137,1))+1)/80,1))),1))+1))-1,0),0,MOD($A168-1,5))+1,0,2,CROQUIS!$C$98-2,2,0)))*CROQUIS!$C$159)+IF(CROQUIS!$C$92="X",0,0)),-1000)</f>
        <v>-1000</v>
      </c>
      <c r="BQ168">
        <f>IF(AND(CROQUIS!$C$88=1,CROQUIS!$C$137&gt;0),((CROQUIS!$C$161+(IF(CROQUIS!$C$92="X",CHOOSE(IF(INT(($A168-1)/5)&gt;MAX((MAX(1,INT(((CROQUIS!$C$97)-CROQUIS!$C$107)/MAX((CROQUIS!$C$137*MAX(1,CEILING((INT(((CROQUIS!$C$97)-CROQUIS!$C$107)/MAX(CROQUIS!$C$137,1))+1)/80,1))),1))+1))-1,0),0,MOD($A168-1,5))+1,0,2,CROQUIS!$C$98-2,2,0),((CROQUIS!$C$107/2+(((CROQUIS!$C$97)-CROQUIS!$C$107)-(MAX(1,INT(((CROQUIS!$C$97)-CROQUIS!$C$107)/MAX((CROQUIS!$C$137*MAX(1,CEILING((INT(((CROQUIS!$C$97)-CROQUIS!$C$107)/MAX(CROQUIS!$C$137,1))+1)/80,1))),1))+1)-1)*(CROQUIS!$C$137*MAX(1,CEILING((INT(((CROQUIS!$C$97)-CROQUIS!$C$107)/MAX(CROQUIS!$C$137,1))+1)/80,1))))/2)+MIN(INT(($A168-1)/5),MAX((MAX(1,INT(((CROQUIS!$C$97)-CROQUIS!$C$107)/MAX((CROQUIS!$C$137*MAX(1,CEILING((INT(((CROQUIS!$C$97)-CROQUIS!$C$107)/MAX(CROQUIS!$C$137,1))+1)/80,1))),1))+1))-1,0))*(CROQUIS!$C$137*MAX(1,CEILING((INT(((CROQUIS!$C$97)-CROQUIS!$C$107)/MAX(CROQUIS!$C$137,1))+1)/80,1))))))*CROQUIS!$C$159)+IF(CROQUIS!$C$92="X",0,0)),-1000)</f>
        <v>-1000</v>
      </c>
      <c r="BR168">
        <f>IF(AND(CROQUIS!$C$88=1,CROQUIS!$C$91=0,CROQUIS!$C$133&gt;0,OR(CROQUIS!$C$103=1,CROQUIS!$C$145=1)),((CROQUIS!$C$160+(IF(CROQUIS!$C$92="X",CHOOSE(IF(INT(($A168-1)/5)&gt;MAX((MAX(1,INT(((CROQUIS!$C$98)-CROQUIS!$C$107)/MAX((CROQUIS!$C$133*MAX(1,CEILING((INT(((CROQUIS!$C$98)-CROQUIS!$C$107)/MAX(CROQUIS!$C$133,1))+1)/80,1))),1))+1))-1,0),0,MOD($A168-1,5))+1,0,IF(CROQUIS!$C$103=1,-12,2),CROQUIS!$C$107/2+CROQUIS!$C$143,IF(CROQUIS!$C$103=1,-12,2),0),((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BS1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+1,0,IF(CROQUIS!$C$103=1,-12,2),CROQUIS!$C$107/2+CROQUIS!$C$143,IF(CROQUIS!$C$103=1,-12,2),0)))*CROQUIS!$C$159)+IF(CROQUIS!$C$92="X",0.8,0)),-1000)</f>
        <v>-1000</v>
      </c>
      <c r="BT168">
        <f>IF(AND(CROQUIS!$C$88=1,CROQUIS!$C$91=0,CROQUIS!$C$133&gt;0,OR(CROQUIS!$C$104=1,CROQUIS!$C$145=1)),((CROQUIS!$C$160+(IF(CROQUIS!$C$92="X",CHOOSE(IF(INT(($A168-1)/5)&gt;MAX((MAX(1,INT(((CROQUIS!$C$98)-CROQUIS!$C$107)/MAX((CROQUIS!$C$133*MAX(1,CEILING((INT(((CROQUIS!$C$98)-CROQUIS!$C$107)/MAX(CROQUIS!$C$133,1))+1)/80,1))),1))+1))-1,0),0,MOD($A168-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BU1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CROQUIS!$C$97,CROQUIS!$C$97-CROQUIS!$C$107/2-CROQUIS!$C$143,IF(CROQUIS!$C$104=1,CROQUIS!$C$97+12,CROQUIS!$C$97-2),CROQUIS!$C$97-CROQUIS!$C$107/2-CROQUIS!$C$143,CROQUIS!$C$97)))*CROQUIS!$C$159)+IF(CROQUIS!$C$92="X",0.8,0)),-1000)</f>
        <v>-1000</v>
      </c>
      <c r="BV1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HOOSE(IF(INT(($A168-1)/5)&gt;MAX((MAX(1,INT(((CROQUIS!$C$97)-CROQUIS!$C$107)/MAX((CROQUIS!$C$141*MAX(1,CEILING((INT(((CROQUIS!$C$97)-CROQUIS!$C$107)/MAX(CROQUIS!$C$141,1))+1)/80,1))),1))+1))-1,0),0,MOD($A168-1,5))+1,0,IF(CROQUIS!$C$105=1,-12,2),CROQUIS!$C$107/2+CROQUIS!$C$144,IF(CROQUIS!$C$105=1,-12,2),0)))*CROQUIS!$C$159)+IF(CROQUIS!$C$92="X",0.8,0)),-1000)</f>
        <v>-1000</v>
      </c>
      <c r="BW168">
        <f>IF(AND(CROQUIS!$C$88=1,CROQUIS!$C$91=0,CROQUIS!$C$141&gt;0,OR(CROQUIS!$C$105=1,CROQUIS!$C$146=1)),((CROQUIS!$C$161+(IF(CROQUIS!$C$92="X",CHOOSE(IF(INT(($A168-1)/5)&gt;MAX((MAX(1,INT(((CROQUIS!$C$97)-CROQUIS!$C$107)/MAX((CROQUIS!$C$141*MAX(1,CEILING((INT(((CROQUIS!$C$97)-CROQUIS!$C$107)/MAX(CROQUIS!$C$141,1))+1)/80,1))),1))+1))-1,0),0,MOD($A168-1,5))+1,0,IF(CROQUIS!$C$105=1,-12,2),CROQUIS!$C$107/2+CROQUIS!$C$144,IF(CROQUIS!$C$105=1,-12,2),0),((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ROQUIS!$C$159)+IF(CROQUIS!$C$92="X",0,0.8)),-1000)</f>
        <v>-1000</v>
      </c>
      <c r="BX1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HOOSE(IF(INT(($A168-1)/5)&gt;MAX((MAX(1,INT(((CROQUIS!$C$97)-CROQUIS!$C$107)/MAX((CROQUIS!$C$141*MAX(1,CEILING((INT(((CROQUIS!$C$97)-CROQUIS!$C$107)/MAX(CROQUIS!$C$141,1))+1)/80,1))),1))+1))-1,0),0,MOD($A168-1,5))+1,CROQUIS!$C$98,CROQUIS!$C$98-CROQUIS!$C$107/2-CROQUIS!$C$144,IF(CROQUIS!$C$106=1,CROQUIS!$C$98+12,CROQUIS!$C$98-2),CROQUIS!$C$98-CROQUIS!$C$107/2-CROQUIS!$C$144,CROQUIS!$C$98)))*CROQUIS!$C$159)+IF(CROQUIS!$C$92="X",0.8,0)),-1000)</f>
        <v>-1000</v>
      </c>
      <c r="BY168">
        <f>IF(AND(CROQUIS!$C$88=1,CROQUIS!$C$91=0,CROQUIS!$C$141&gt;0,OR(CROQUIS!$C$106=1,CROQUIS!$C$146=1)),((CROQUIS!$C$161+(IF(CROQUIS!$C$92="X",CHOOSE(IF(INT(($A168-1)/5)&gt;MAX((MAX(1,INT(((CROQUIS!$C$97)-CROQUIS!$C$107)/MAX((CROQUIS!$C$141*MAX(1,CEILING((INT(((CROQUIS!$C$97)-CROQUIS!$C$107)/MAX(CROQUIS!$C$141,1))+1)/80,1))),1))+1))-1,0),0,MOD($A168-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ROQUIS!$C$159)+IF(CROQUIS!$C$92="X",0,0.8)),-1000)</f>
        <v>-1000</v>
      </c>
      <c r="BZ168">
        <f>IF(AND(CROQUIS!$C$88=1,CROQUIS!$C$91=1,CROQUIS!$C$133&gt;0),((CROQUIS!$C$160+(IF(CROQUIS!$C$92="X",CHOOSE(IF(INT(($A168-1)/5)&gt;MAX((MAX(1,INT(((CROQUIS!$C$98)-CROQUIS!$C$107)/MAX((CROQUIS!$C$133*MAX(1,CEILING((INT(((CROQUIS!$C$98)-CROQUIS!$C$107)/MAX(CROQUIS!$C$133,1))+1)/80,1))),1))+1))-1,0),0,MOD($A168-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CA168">
        <f>IF(AND(CROQUIS!$C$88=1,CROQUIS!$C$91=1,CROQUIS!$C$133&gt;0),((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9">
      <c r="A169" t="n">
        <v>162</v>
      </c>
      <c r="BN169">
        <f>IF(AND(CROQUIS!$C$88=1,CROQUIS!$C$129&gt;0),((CROQUIS!$C$160+(IF(CROQUIS!$C$92="X",CHOOSE(IF(INT(($A169-1)/5)&gt;MAX((MAX(1,INT(((CROQUIS!$C$98)-CROQUIS!$C$107)/MAX((CROQUIS!$C$129*MAX(1,CEILING((INT(((CROQUIS!$C$98)-CROQUIS!$C$107)/MAX(CROQUIS!$C$129,1))+1)/80,1))),1))+1))-1,0),0,MOD($A169-1,5))+1,0,2,CROQUIS!$C$97-2,2,0),((CROQUIS!$C$107/2+(((CROQUIS!$C$98)-CROQUIS!$C$107)-(MAX(1,INT(((CROQUIS!$C$98)-CROQUIS!$C$107)/MAX((CROQUIS!$C$129*MAX(1,CEILING((INT(((CROQUIS!$C$98)-CROQUIS!$C$107)/MAX(CROQUIS!$C$129,1))+1)/80,1))),1))+1)-1)*(CROQUIS!$C$129*MAX(1,CEILING((INT(((CROQUIS!$C$98)-CROQUIS!$C$107)/MAX(CROQUIS!$C$129,1))+1)/80,1))))/2)+MIN(INT(($A169-1)/5),MAX((MAX(1,INT(((CROQUIS!$C$98)-CROQUIS!$C$107)/MAX((CROQUIS!$C$129*MAX(1,CEILING((INT(((CROQUIS!$C$98)-CROQUIS!$C$107)/MAX(CROQUIS!$C$129,1))+1)/80,1))),1))+1))-1,0))*(CROQUIS!$C$129*MAX(1,CEILING((INT(((CROQUIS!$C$98)-CROQUIS!$C$107)/MAX(CROQUIS!$C$129,1))+1)/80,1))))))*CROQUIS!$C$159)+IF(CROQUIS!$C$92="X",0,0)),-1000)</f>
        <v>-1000</v>
      </c>
      <c r="BO169">
        <f>IF(AND(CROQUIS!$C$88=1,CROQUIS!$C$129&gt;0),((CROQUIS!$C$161+(IF(CROQUIS!$C$92="X",((CROQUIS!$C$107/2+(((CROQUIS!$C$98)-CROQUIS!$C$107)-(MAX(1,INT(((CROQUIS!$C$98)-CROQUIS!$C$107)/MAX((CROQUIS!$C$129*MAX(1,CEILING((INT(((CROQUIS!$C$98)-CROQUIS!$C$107)/MAX(CROQUIS!$C$129,1))+1)/80,1))),1))+1)-1)*(CROQUIS!$C$129*MAX(1,CEILING((INT(((CROQUIS!$C$98)-CROQUIS!$C$107)/MAX(CROQUIS!$C$129,1))+1)/80,1))))/2)+MIN(INT(($A169-1)/5),MAX((MAX(1,INT(((CROQUIS!$C$98)-CROQUIS!$C$107)/MAX((CROQUIS!$C$129*MAX(1,CEILING((INT(((CROQUIS!$C$98)-CROQUIS!$C$107)/MAX(CROQUIS!$C$129,1))+1)/80,1))),1))+1))-1,0))*(CROQUIS!$C$129*MAX(1,CEILING((INT(((CROQUIS!$C$98)-CROQUIS!$C$107)/MAX(CROQUIS!$C$129,1))+1)/80,1)))),CHOOSE(IF(INT(($A169-1)/5)&gt;MAX((MAX(1,INT(((CROQUIS!$C$98)-CROQUIS!$C$107)/MAX((CROQUIS!$C$129*MAX(1,CEILING((INT(((CROQUIS!$C$98)-CROQUIS!$C$107)/MAX(CROQUIS!$C$129,1))+1)/80,1))),1))+1))-1,0),0,MOD($A169-1,5))+1,0,2,CROQUIS!$C$97-2,2,0)))*CROQUIS!$C$159)+IF(CROQUIS!$C$92="X",0,0)),-1000)</f>
        <v>-1000</v>
      </c>
      <c r="BP169">
        <f>IF(AND(CROQUIS!$C$88=1,CROQUIS!$C$137&gt;0),((CROQUIS!$C$160+(IF(CROQUIS!$C$92="X",((CROQUIS!$C$107/2+(((CROQUIS!$C$97)-CROQUIS!$C$107)-(MAX(1,INT(((CROQUIS!$C$97)-CROQUIS!$C$107)/MAX((CROQUIS!$C$137*MAX(1,CEILING((INT(((CROQUIS!$C$97)-CROQUIS!$C$107)/MAX(CROQUIS!$C$137,1))+1)/80,1))),1))+1)-1)*(CROQUIS!$C$137*MAX(1,CEILING((INT(((CROQUIS!$C$97)-CROQUIS!$C$107)/MAX(CROQUIS!$C$137,1))+1)/80,1))))/2)+MIN(INT(($A169-1)/5),MAX((MAX(1,INT(((CROQUIS!$C$97)-CROQUIS!$C$107)/MAX((CROQUIS!$C$137*MAX(1,CEILING((INT(((CROQUIS!$C$97)-CROQUIS!$C$107)/MAX(CROQUIS!$C$137,1))+1)/80,1))),1))+1))-1,0))*(CROQUIS!$C$137*MAX(1,CEILING((INT(((CROQUIS!$C$97)-CROQUIS!$C$107)/MAX(CROQUIS!$C$137,1))+1)/80,1)))),CHOOSE(IF(INT(($A169-1)/5)&gt;MAX((MAX(1,INT(((CROQUIS!$C$97)-CROQUIS!$C$107)/MAX((CROQUIS!$C$137*MAX(1,CEILING((INT(((CROQUIS!$C$97)-CROQUIS!$C$107)/MAX(CROQUIS!$C$137,1))+1)/80,1))),1))+1))-1,0),0,MOD($A169-1,5))+1,0,2,CROQUIS!$C$98-2,2,0)))*CROQUIS!$C$159)+IF(CROQUIS!$C$92="X",0,0)),-1000)</f>
        <v>-1000</v>
      </c>
      <c r="BQ169">
        <f>IF(AND(CROQUIS!$C$88=1,CROQUIS!$C$137&gt;0),((CROQUIS!$C$161+(IF(CROQUIS!$C$92="X",CHOOSE(IF(INT(($A169-1)/5)&gt;MAX((MAX(1,INT(((CROQUIS!$C$97)-CROQUIS!$C$107)/MAX((CROQUIS!$C$137*MAX(1,CEILING((INT(((CROQUIS!$C$97)-CROQUIS!$C$107)/MAX(CROQUIS!$C$137,1))+1)/80,1))),1))+1))-1,0),0,MOD($A169-1,5))+1,0,2,CROQUIS!$C$98-2,2,0),((CROQUIS!$C$107/2+(((CROQUIS!$C$97)-CROQUIS!$C$107)-(MAX(1,INT(((CROQUIS!$C$97)-CROQUIS!$C$107)/MAX((CROQUIS!$C$137*MAX(1,CEILING((INT(((CROQUIS!$C$97)-CROQUIS!$C$107)/MAX(CROQUIS!$C$137,1))+1)/80,1))),1))+1)-1)*(CROQUIS!$C$137*MAX(1,CEILING((INT(((CROQUIS!$C$97)-CROQUIS!$C$107)/MAX(CROQUIS!$C$137,1))+1)/80,1))))/2)+MIN(INT(($A169-1)/5),MAX((MAX(1,INT(((CROQUIS!$C$97)-CROQUIS!$C$107)/MAX((CROQUIS!$C$137*MAX(1,CEILING((INT(((CROQUIS!$C$97)-CROQUIS!$C$107)/MAX(CROQUIS!$C$137,1))+1)/80,1))),1))+1))-1,0))*(CROQUIS!$C$137*MAX(1,CEILING((INT(((CROQUIS!$C$97)-CROQUIS!$C$107)/MAX(CROQUIS!$C$137,1))+1)/80,1))))))*CROQUIS!$C$159)+IF(CROQUIS!$C$92="X",0,0)),-1000)</f>
        <v>-1000</v>
      </c>
      <c r="BR169">
        <f>IF(AND(CROQUIS!$C$88=1,CROQUIS!$C$91=0,CROQUIS!$C$133&gt;0,OR(CROQUIS!$C$103=1,CROQUIS!$C$145=1)),((CROQUIS!$C$160+(IF(CROQUIS!$C$92="X",CHOOSE(IF(INT(($A169-1)/5)&gt;MAX((MAX(1,INT(((CROQUIS!$C$98)-CROQUIS!$C$107)/MAX((CROQUIS!$C$133*MAX(1,CEILING((INT(((CROQUIS!$C$98)-CROQUIS!$C$107)/MAX(CROQUIS!$C$133,1))+1)/80,1))),1))+1))-1,0),0,MOD($A169-1,5))+1,0,IF(CROQUIS!$C$103=1,-12,2),CROQUIS!$C$107/2+CROQUIS!$C$143,IF(CROQUIS!$C$103=1,-12,2),0),((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BS1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+1,0,IF(CROQUIS!$C$103=1,-12,2),CROQUIS!$C$107/2+CROQUIS!$C$143,IF(CROQUIS!$C$103=1,-12,2),0)))*CROQUIS!$C$159)+IF(CROQUIS!$C$92="X",0.8,0)),-1000)</f>
        <v>-1000</v>
      </c>
      <c r="BT169">
        <f>IF(AND(CROQUIS!$C$88=1,CROQUIS!$C$91=0,CROQUIS!$C$133&gt;0,OR(CROQUIS!$C$104=1,CROQUIS!$C$145=1)),((CROQUIS!$C$160+(IF(CROQUIS!$C$92="X",CHOOSE(IF(INT(($A169-1)/5)&gt;MAX((MAX(1,INT(((CROQUIS!$C$98)-CROQUIS!$C$107)/MAX((CROQUIS!$C$133*MAX(1,CEILING((INT(((CROQUIS!$C$98)-CROQUIS!$C$107)/MAX(CROQUIS!$C$133,1))+1)/80,1))),1))+1))-1,0),0,MOD($A169-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BU1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CROQUIS!$C$97,CROQUIS!$C$97-CROQUIS!$C$107/2-CROQUIS!$C$143,IF(CROQUIS!$C$104=1,CROQUIS!$C$97+12,CROQUIS!$C$97-2),CROQUIS!$C$97-CROQUIS!$C$107/2-CROQUIS!$C$143,CROQUIS!$C$97)))*CROQUIS!$C$159)+IF(CROQUIS!$C$92="X",0.8,0)),-1000)</f>
        <v>-1000</v>
      </c>
      <c r="BV1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HOOSE(IF(INT(($A169-1)/5)&gt;MAX((MAX(1,INT(((CROQUIS!$C$97)-CROQUIS!$C$107)/MAX((CROQUIS!$C$141*MAX(1,CEILING((INT(((CROQUIS!$C$97)-CROQUIS!$C$107)/MAX(CROQUIS!$C$141,1))+1)/80,1))),1))+1))-1,0),0,MOD($A169-1,5))+1,0,IF(CROQUIS!$C$105=1,-12,2),CROQUIS!$C$107/2+CROQUIS!$C$144,IF(CROQUIS!$C$105=1,-12,2),0)))*CROQUIS!$C$159)+IF(CROQUIS!$C$92="X",0.8,0)),-1000)</f>
        <v>-1000</v>
      </c>
      <c r="BW169">
        <f>IF(AND(CROQUIS!$C$88=1,CROQUIS!$C$91=0,CROQUIS!$C$141&gt;0,OR(CROQUIS!$C$105=1,CROQUIS!$C$146=1)),((CROQUIS!$C$161+(IF(CROQUIS!$C$92="X",CHOOSE(IF(INT(($A169-1)/5)&gt;MAX((MAX(1,INT(((CROQUIS!$C$97)-CROQUIS!$C$107)/MAX((CROQUIS!$C$141*MAX(1,CEILING((INT(((CROQUIS!$C$97)-CROQUIS!$C$107)/MAX(CROQUIS!$C$141,1))+1)/80,1))),1))+1))-1,0),0,MOD($A169-1,5))+1,0,IF(CROQUIS!$C$105=1,-12,2),CROQUIS!$C$107/2+CROQUIS!$C$144,IF(CROQUIS!$C$105=1,-12,2),0),((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ROQUIS!$C$159)+IF(CROQUIS!$C$92="X",0,0.8)),-1000)</f>
        <v>-1000</v>
      </c>
      <c r="BX1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HOOSE(IF(INT(($A169-1)/5)&gt;MAX((MAX(1,INT(((CROQUIS!$C$97)-CROQUIS!$C$107)/MAX((CROQUIS!$C$141*MAX(1,CEILING((INT(((CROQUIS!$C$97)-CROQUIS!$C$107)/MAX(CROQUIS!$C$141,1))+1)/80,1))),1))+1))-1,0),0,MOD($A169-1,5))+1,CROQUIS!$C$98,CROQUIS!$C$98-CROQUIS!$C$107/2-CROQUIS!$C$144,IF(CROQUIS!$C$106=1,CROQUIS!$C$98+12,CROQUIS!$C$98-2),CROQUIS!$C$98-CROQUIS!$C$107/2-CROQUIS!$C$144,CROQUIS!$C$98)))*CROQUIS!$C$159)+IF(CROQUIS!$C$92="X",0.8,0)),-1000)</f>
        <v>-1000</v>
      </c>
      <c r="BY169">
        <f>IF(AND(CROQUIS!$C$88=1,CROQUIS!$C$91=0,CROQUIS!$C$141&gt;0,OR(CROQUIS!$C$106=1,CROQUIS!$C$146=1)),((CROQUIS!$C$161+(IF(CROQUIS!$C$92="X",CHOOSE(IF(INT(($A169-1)/5)&gt;MAX((MAX(1,INT(((CROQUIS!$C$97)-CROQUIS!$C$107)/MAX((CROQUIS!$C$141*MAX(1,CEILING((INT(((CROQUIS!$C$97)-CROQUIS!$C$107)/MAX(CROQUIS!$C$141,1))+1)/80,1))),1))+1))-1,0),0,MOD($A169-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ROQUIS!$C$159)+IF(CROQUIS!$C$92="X",0,0.8)),-1000)</f>
        <v>-1000</v>
      </c>
      <c r="BZ169">
        <f>IF(AND(CROQUIS!$C$88=1,CROQUIS!$C$91=1,CROQUIS!$C$133&gt;0),((CROQUIS!$C$160+(IF(CROQUIS!$C$92="X",CHOOSE(IF(INT(($A169-1)/5)&gt;MAX((MAX(1,INT(((CROQUIS!$C$98)-CROQUIS!$C$107)/MAX((CROQUIS!$C$133*MAX(1,CEILING((INT(((CROQUIS!$C$98)-CROQUIS!$C$107)/MAX(CROQUIS!$C$133,1))+1)/80,1))),1))+1))-1,0),0,MOD($A169-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CA169">
        <f>IF(AND(CROQUIS!$C$88=1,CROQUIS!$C$91=1,CROQUIS!$C$133&gt;0),((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0">
      <c r="A170" t="n">
        <v>163</v>
      </c>
      <c r="BN170">
        <f>IF(AND(CROQUIS!$C$88=1,CROQUIS!$C$129&gt;0),((CROQUIS!$C$160+(IF(CROQUIS!$C$92="X",CHOOSE(IF(INT(($A170-1)/5)&gt;MAX((MAX(1,INT(((CROQUIS!$C$98)-CROQUIS!$C$107)/MAX((CROQUIS!$C$129*MAX(1,CEILING((INT(((CROQUIS!$C$98)-CROQUIS!$C$107)/MAX(CROQUIS!$C$129,1))+1)/80,1))),1))+1))-1,0),0,MOD($A170-1,5))+1,0,2,CROQUIS!$C$97-2,2,0),((CROQUIS!$C$107/2+(((CROQUIS!$C$98)-CROQUIS!$C$107)-(MAX(1,INT(((CROQUIS!$C$98)-CROQUIS!$C$107)/MAX((CROQUIS!$C$129*MAX(1,CEILING((INT(((CROQUIS!$C$98)-CROQUIS!$C$107)/MAX(CROQUIS!$C$129,1))+1)/80,1))),1))+1)-1)*(CROQUIS!$C$129*MAX(1,CEILING((INT(((CROQUIS!$C$98)-CROQUIS!$C$107)/MAX(CROQUIS!$C$129,1))+1)/80,1))))/2)+MIN(INT(($A170-1)/5),MAX((MAX(1,INT(((CROQUIS!$C$98)-CROQUIS!$C$107)/MAX((CROQUIS!$C$129*MAX(1,CEILING((INT(((CROQUIS!$C$98)-CROQUIS!$C$107)/MAX(CROQUIS!$C$129,1))+1)/80,1))),1))+1))-1,0))*(CROQUIS!$C$129*MAX(1,CEILING((INT(((CROQUIS!$C$98)-CROQUIS!$C$107)/MAX(CROQUIS!$C$129,1))+1)/80,1))))))*CROQUIS!$C$159)+IF(CROQUIS!$C$92="X",0,0)),-1000)</f>
        <v>-1000</v>
      </c>
      <c r="BO170">
        <f>IF(AND(CROQUIS!$C$88=1,CROQUIS!$C$129&gt;0),((CROQUIS!$C$161+(IF(CROQUIS!$C$92="X",((CROQUIS!$C$107/2+(((CROQUIS!$C$98)-CROQUIS!$C$107)-(MAX(1,INT(((CROQUIS!$C$98)-CROQUIS!$C$107)/MAX((CROQUIS!$C$129*MAX(1,CEILING((INT(((CROQUIS!$C$98)-CROQUIS!$C$107)/MAX(CROQUIS!$C$129,1))+1)/80,1))),1))+1)-1)*(CROQUIS!$C$129*MAX(1,CEILING((INT(((CROQUIS!$C$98)-CROQUIS!$C$107)/MAX(CROQUIS!$C$129,1))+1)/80,1))))/2)+MIN(INT(($A170-1)/5),MAX((MAX(1,INT(((CROQUIS!$C$98)-CROQUIS!$C$107)/MAX((CROQUIS!$C$129*MAX(1,CEILING((INT(((CROQUIS!$C$98)-CROQUIS!$C$107)/MAX(CROQUIS!$C$129,1))+1)/80,1))),1))+1))-1,0))*(CROQUIS!$C$129*MAX(1,CEILING((INT(((CROQUIS!$C$98)-CROQUIS!$C$107)/MAX(CROQUIS!$C$129,1))+1)/80,1)))),CHOOSE(IF(INT(($A170-1)/5)&gt;MAX((MAX(1,INT(((CROQUIS!$C$98)-CROQUIS!$C$107)/MAX((CROQUIS!$C$129*MAX(1,CEILING((INT(((CROQUIS!$C$98)-CROQUIS!$C$107)/MAX(CROQUIS!$C$129,1))+1)/80,1))),1))+1))-1,0),0,MOD($A170-1,5))+1,0,2,CROQUIS!$C$97-2,2,0)))*CROQUIS!$C$159)+IF(CROQUIS!$C$92="X",0,0)),-1000)</f>
        <v>-1000</v>
      </c>
      <c r="BP170">
        <f>IF(AND(CROQUIS!$C$88=1,CROQUIS!$C$137&gt;0),((CROQUIS!$C$160+(IF(CROQUIS!$C$92="X",((CROQUIS!$C$107/2+(((CROQUIS!$C$97)-CROQUIS!$C$107)-(MAX(1,INT(((CROQUIS!$C$97)-CROQUIS!$C$107)/MAX((CROQUIS!$C$137*MAX(1,CEILING((INT(((CROQUIS!$C$97)-CROQUIS!$C$107)/MAX(CROQUIS!$C$137,1))+1)/80,1))),1))+1)-1)*(CROQUIS!$C$137*MAX(1,CEILING((INT(((CROQUIS!$C$97)-CROQUIS!$C$107)/MAX(CROQUIS!$C$137,1))+1)/80,1))))/2)+MIN(INT(($A170-1)/5),MAX((MAX(1,INT(((CROQUIS!$C$97)-CROQUIS!$C$107)/MAX((CROQUIS!$C$137*MAX(1,CEILING((INT(((CROQUIS!$C$97)-CROQUIS!$C$107)/MAX(CROQUIS!$C$137,1))+1)/80,1))),1))+1))-1,0))*(CROQUIS!$C$137*MAX(1,CEILING((INT(((CROQUIS!$C$97)-CROQUIS!$C$107)/MAX(CROQUIS!$C$137,1))+1)/80,1)))),CHOOSE(IF(INT(($A170-1)/5)&gt;MAX((MAX(1,INT(((CROQUIS!$C$97)-CROQUIS!$C$107)/MAX((CROQUIS!$C$137*MAX(1,CEILING((INT(((CROQUIS!$C$97)-CROQUIS!$C$107)/MAX(CROQUIS!$C$137,1))+1)/80,1))),1))+1))-1,0),0,MOD($A170-1,5))+1,0,2,CROQUIS!$C$98-2,2,0)))*CROQUIS!$C$159)+IF(CROQUIS!$C$92="X",0,0)),-1000)</f>
        <v>-1000</v>
      </c>
      <c r="BQ170">
        <f>IF(AND(CROQUIS!$C$88=1,CROQUIS!$C$137&gt;0),((CROQUIS!$C$161+(IF(CROQUIS!$C$92="X",CHOOSE(IF(INT(($A170-1)/5)&gt;MAX((MAX(1,INT(((CROQUIS!$C$97)-CROQUIS!$C$107)/MAX((CROQUIS!$C$137*MAX(1,CEILING((INT(((CROQUIS!$C$97)-CROQUIS!$C$107)/MAX(CROQUIS!$C$137,1))+1)/80,1))),1))+1))-1,0),0,MOD($A170-1,5))+1,0,2,CROQUIS!$C$98-2,2,0),((CROQUIS!$C$107/2+(((CROQUIS!$C$97)-CROQUIS!$C$107)-(MAX(1,INT(((CROQUIS!$C$97)-CROQUIS!$C$107)/MAX((CROQUIS!$C$137*MAX(1,CEILING((INT(((CROQUIS!$C$97)-CROQUIS!$C$107)/MAX(CROQUIS!$C$137,1))+1)/80,1))),1))+1)-1)*(CROQUIS!$C$137*MAX(1,CEILING((INT(((CROQUIS!$C$97)-CROQUIS!$C$107)/MAX(CROQUIS!$C$137,1))+1)/80,1))))/2)+MIN(INT(($A170-1)/5),MAX((MAX(1,INT(((CROQUIS!$C$97)-CROQUIS!$C$107)/MAX((CROQUIS!$C$137*MAX(1,CEILING((INT(((CROQUIS!$C$97)-CROQUIS!$C$107)/MAX(CROQUIS!$C$137,1))+1)/80,1))),1))+1))-1,0))*(CROQUIS!$C$137*MAX(1,CEILING((INT(((CROQUIS!$C$97)-CROQUIS!$C$107)/MAX(CROQUIS!$C$137,1))+1)/80,1))))))*CROQUIS!$C$159)+IF(CROQUIS!$C$92="X",0,0)),-1000)</f>
        <v>-1000</v>
      </c>
      <c r="BR170">
        <f>IF(AND(CROQUIS!$C$88=1,CROQUIS!$C$91=0,CROQUIS!$C$133&gt;0,OR(CROQUIS!$C$103=1,CROQUIS!$C$145=1)),((CROQUIS!$C$160+(IF(CROQUIS!$C$92="X",CHOOSE(IF(INT(($A170-1)/5)&gt;MAX((MAX(1,INT(((CROQUIS!$C$98)-CROQUIS!$C$107)/MAX((CROQUIS!$C$133*MAX(1,CEILING((INT(((CROQUIS!$C$98)-CROQUIS!$C$107)/MAX(CROQUIS!$C$133,1))+1)/80,1))),1))+1))-1,0),0,MOD($A170-1,5))+1,0,IF(CROQUIS!$C$103=1,-12,2),CROQUIS!$C$107/2+CROQUIS!$C$143,IF(CROQUIS!$C$103=1,-12,2),0),((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BS1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+1,0,IF(CROQUIS!$C$103=1,-12,2),CROQUIS!$C$107/2+CROQUIS!$C$143,IF(CROQUIS!$C$103=1,-12,2),0)))*CROQUIS!$C$159)+IF(CROQUIS!$C$92="X",0.8,0)),-1000)</f>
        <v>-1000</v>
      </c>
      <c r="BT170">
        <f>IF(AND(CROQUIS!$C$88=1,CROQUIS!$C$91=0,CROQUIS!$C$133&gt;0,OR(CROQUIS!$C$104=1,CROQUIS!$C$145=1)),((CROQUIS!$C$160+(IF(CROQUIS!$C$92="X",CHOOSE(IF(INT(($A170-1)/5)&gt;MAX((MAX(1,INT(((CROQUIS!$C$98)-CROQUIS!$C$107)/MAX((CROQUIS!$C$133*MAX(1,CEILING((INT(((CROQUIS!$C$98)-CROQUIS!$C$107)/MAX(CROQUIS!$C$133,1))+1)/80,1))),1))+1))-1,0),0,MOD($A170-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BU1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CROQUIS!$C$97,CROQUIS!$C$97-CROQUIS!$C$107/2-CROQUIS!$C$143,IF(CROQUIS!$C$104=1,CROQUIS!$C$97+12,CROQUIS!$C$97-2),CROQUIS!$C$97-CROQUIS!$C$107/2-CROQUIS!$C$143,CROQUIS!$C$97)))*CROQUIS!$C$159)+IF(CROQUIS!$C$92="X",0.8,0)),-1000)</f>
        <v>-1000</v>
      </c>
      <c r="BV1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HOOSE(IF(INT(($A170-1)/5)&gt;MAX((MAX(1,INT(((CROQUIS!$C$97)-CROQUIS!$C$107)/MAX((CROQUIS!$C$141*MAX(1,CEILING((INT(((CROQUIS!$C$97)-CROQUIS!$C$107)/MAX(CROQUIS!$C$141,1))+1)/80,1))),1))+1))-1,0),0,MOD($A170-1,5))+1,0,IF(CROQUIS!$C$105=1,-12,2),CROQUIS!$C$107/2+CROQUIS!$C$144,IF(CROQUIS!$C$105=1,-12,2),0)))*CROQUIS!$C$159)+IF(CROQUIS!$C$92="X",0.8,0)),-1000)</f>
        <v>-1000</v>
      </c>
      <c r="BW170">
        <f>IF(AND(CROQUIS!$C$88=1,CROQUIS!$C$91=0,CROQUIS!$C$141&gt;0,OR(CROQUIS!$C$105=1,CROQUIS!$C$146=1)),((CROQUIS!$C$161+(IF(CROQUIS!$C$92="X",CHOOSE(IF(INT(($A170-1)/5)&gt;MAX((MAX(1,INT(((CROQUIS!$C$97)-CROQUIS!$C$107)/MAX((CROQUIS!$C$141*MAX(1,CEILING((INT(((CROQUIS!$C$97)-CROQUIS!$C$107)/MAX(CROQUIS!$C$141,1))+1)/80,1))),1))+1))-1,0),0,MOD($A170-1,5))+1,0,IF(CROQUIS!$C$105=1,-12,2),CROQUIS!$C$107/2+CROQUIS!$C$144,IF(CROQUIS!$C$105=1,-12,2),0),((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ROQUIS!$C$159)+IF(CROQUIS!$C$92="X",0,0.8)),-1000)</f>
        <v>-1000</v>
      </c>
      <c r="BX1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HOOSE(IF(INT(($A170-1)/5)&gt;MAX((MAX(1,INT(((CROQUIS!$C$97)-CROQUIS!$C$107)/MAX((CROQUIS!$C$141*MAX(1,CEILING((INT(((CROQUIS!$C$97)-CROQUIS!$C$107)/MAX(CROQUIS!$C$141,1))+1)/80,1))),1))+1))-1,0),0,MOD($A170-1,5))+1,CROQUIS!$C$98,CROQUIS!$C$98-CROQUIS!$C$107/2-CROQUIS!$C$144,IF(CROQUIS!$C$106=1,CROQUIS!$C$98+12,CROQUIS!$C$98-2),CROQUIS!$C$98-CROQUIS!$C$107/2-CROQUIS!$C$144,CROQUIS!$C$98)))*CROQUIS!$C$159)+IF(CROQUIS!$C$92="X",0.8,0)),-1000)</f>
        <v>-1000</v>
      </c>
      <c r="BY170">
        <f>IF(AND(CROQUIS!$C$88=1,CROQUIS!$C$91=0,CROQUIS!$C$141&gt;0,OR(CROQUIS!$C$106=1,CROQUIS!$C$146=1)),((CROQUIS!$C$161+(IF(CROQUIS!$C$92="X",CHOOSE(IF(INT(($A170-1)/5)&gt;MAX((MAX(1,INT(((CROQUIS!$C$97)-CROQUIS!$C$107)/MAX((CROQUIS!$C$141*MAX(1,CEILING((INT(((CROQUIS!$C$97)-CROQUIS!$C$107)/MAX(CROQUIS!$C$141,1))+1)/80,1))),1))+1))-1,0),0,MOD($A170-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ROQUIS!$C$159)+IF(CROQUIS!$C$92="X",0,0.8)),-1000)</f>
        <v>-1000</v>
      </c>
      <c r="BZ170">
        <f>IF(AND(CROQUIS!$C$88=1,CROQUIS!$C$91=1,CROQUIS!$C$133&gt;0),((CROQUIS!$C$160+(IF(CROQUIS!$C$92="X",CHOOSE(IF(INT(($A170-1)/5)&gt;MAX((MAX(1,INT(((CROQUIS!$C$98)-CROQUIS!$C$107)/MAX((CROQUIS!$C$133*MAX(1,CEILING((INT(((CROQUIS!$C$98)-CROQUIS!$C$107)/MAX(CROQUIS!$C$133,1))+1)/80,1))),1))+1))-1,0),0,MOD($A170-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CA170">
        <f>IF(AND(CROQUIS!$C$88=1,CROQUIS!$C$91=1,CROQUIS!$C$133&gt;0),((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1">
      <c r="A171" t="n">
        <v>164</v>
      </c>
      <c r="BN171">
        <f>IF(AND(CROQUIS!$C$88=1,CROQUIS!$C$129&gt;0),((CROQUIS!$C$160+(IF(CROQUIS!$C$92="X",CHOOSE(IF(INT(($A171-1)/5)&gt;MAX((MAX(1,INT(((CROQUIS!$C$98)-CROQUIS!$C$107)/MAX((CROQUIS!$C$129*MAX(1,CEILING((INT(((CROQUIS!$C$98)-CROQUIS!$C$107)/MAX(CROQUIS!$C$129,1))+1)/80,1))),1))+1))-1,0),0,MOD($A171-1,5))+1,0,2,CROQUIS!$C$97-2,2,0),((CROQUIS!$C$107/2+(((CROQUIS!$C$98)-CROQUIS!$C$107)-(MAX(1,INT(((CROQUIS!$C$98)-CROQUIS!$C$107)/MAX((CROQUIS!$C$129*MAX(1,CEILING((INT(((CROQUIS!$C$98)-CROQUIS!$C$107)/MAX(CROQUIS!$C$129,1))+1)/80,1))),1))+1)-1)*(CROQUIS!$C$129*MAX(1,CEILING((INT(((CROQUIS!$C$98)-CROQUIS!$C$107)/MAX(CROQUIS!$C$129,1))+1)/80,1))))/2)+MIN(INT(($A171-1)/5),MAX((MAX(1,INT(((CROQUIS!$C$98)-CROQUIS!$C$107)/MAX((CROQUIS!$C$129*MAX(1,CEILING((INT(((CROQUIS!$C$98)-CROQUIS!$C$107)/MAX(CROQUIS!$C$129,1))+1)/80,1))),1))+1))-1,0))*(CROQUIS!$C$129*MAX(1,CEILING((INT(((CROQUIS!$C$98)-CROQUIS!$C$107)/MAX(CROQUIS!$C$129,1))+1)/80,1))))))*CROQUIS!$C$159)+IF(CROQUIS!$C$92="X",0,0)),-1000)</f>
        <v>-1000</v>
      </c>
      <c r="BO171">
        <f>IF(AND(CROQUIS!$C$88=1,CROQUIS!$C$129&gt;0),((CROQUIS!$C$161+(IF(CROQUIS!$C$92="X",((CROQUIS!$C$107/2+(((CROQUIS!$C$98)-CROQUIS!$C$107)-(MAX(1,INT(((CROQUIS!$C$98)-CROQUIS!$C$107)/MAX((CROQUIS!$C$129*MAX(1,CEILING((INT(((CROQUIS!$C$98)-CROQUIS!$C$107)/MAX(CROQUIS!$C$129,1))+1)/80,1))),1))+1)-1)*(CROQUIS!$C$129*MAX(1,CEILING((INT(((CROQUIS!$C$98)-CROQUIS!$C$107)/MAX(CROQUIS!$C$129,1))+1)/80,1))))/2)+MIN(INT(($A171-1)/5),MAX((MAX(1,INT(((CROQUIS!$C$98)-CROQUIS!$C$107)/MAX((CROQUIS!$C$129*MAX(1,CEILING((INT(((CROQUIS!$C$98)-CROQUIS!$C$107)/MAX(CROQUIS!$C$129,1))+1)/80,1))),1))+1))-1,0))*(CROQUIS!$C$129*MAX(1,CEILING((INT(((CROQUIS!$C$98)-CROQUIS!$C$107)/MAX(CROQUIS!$C$129,1))+1)/80,1)))),CHOOSE(IF(INT(($A171-1)/5)&gt;MAX((MAX(1,INT(((CROQUIS!$C$98)-CROQUIS!$C$107)/MAX((CROQUIS!$C$129*MAX(1,CEILING((INT(((CROQUIS!$C$98)-CROQUIS!$C$107)/MAX(CROQUIS!$C$129,1))+1)/80,1))),1))+1))-1,0),0,MOD($A171-1,5))+1,0,2,CROQUIS!$C$97-2,2,0)))*CROQUIS!$C$159)+IF(CROQUIS!$C$92="X",0,0)),-1000)</f>
        <v>-1000</v>
      </c>
      <c r="BP171">
        <f>IF(AND(CROQUIS!$C$88=1,CROQUIS!$C$137&gt;0),((CROQUIS!$C$160+(IF(CROQUIS!$C$92="X",((CROQUIS!$C$107/2+(((CROQUIS!$C$97)-CROQUIS!$C$107)-(MAX(1,INT(((CROQUIS!$C$97)-CROQUIS!$C$107)/MAX((CROQUIS!$C$137*MAX(1,CEILING((INT(((CROQUIS!$C$97)-CROQUIS!$C$107)/MAX(CROQUIS!$C$137,1))+1)/80,1))),1))+1)-1)*(CROQUIS!$C$137*MAX(1,CEILING((INT(((CROQUIS!$C$97)-CROQUIS!$C$107)/MAX(CROQUIS!$C$137,1))+1)/80,1))))/2)+MIN(INT(($A171-1)/5),MAX((MAX(1,INT(((CROQUIS!$C$97)-CROQUIS!$C$107)/MAX((CROQUIS!$C$137*MAX(1,CEILING((INT(((CROQUIS!$C$97)-CROQUIS!$C$107)/MAX(CROQUIS!$C$137,1))+1)/80,1))),1))+1))-1,0))*(CROQUIS!$C$137*MAX(1,CEILING((INT(((CROQUIS!$C$97)-CROQUIS!$C$107)/MAX(CROQUIS!$C$137,1))+1)/80,1)))),CHOOSE(IF(INT(($A171-1)/5)&gt;MAX((MAX(1,INT(((CROQUIS!$C$97)-CROQUIS!$C$107)/MAX((CROQUIS!$C$137*MAX(1,CEILING((INT(((CROQUIS!$C$97)-CROQUIS!$C$107)/MAX(CROQUIS!$C$137,1))+1)/80,1))),1))+1))-1,0),0,MOD($A171-1,5))+1,0,2,CROQUIS!$C$98-2,2,0)))*CROQUIS!$C$159)+IF(CROQUIS!$C$92="X",0,0)),-1000)</f>
        <v>-1000</v>
      </c>
      <c r="BQ171">
        <f>IF(AND(CROQUIS!$C$88=1,CROQUIS!$C$137&gt;0),((CROQUIS!$C$161+(IF(CROQUIS!$C$92="X",CHOOSE(IF(INT(($A171-1)/5)&gt;MAX((MAX(1,INT(((CROQUIS!$C$97)-CROQUIS!$C$107)/MAX((CROQUIS!$C$137*MAX(1,CEILING((INT(((CROQUIS!$C$97)-CROQUIS!$C$107)/MAX(CROQUIS!$C$137,1))+1)/80,1))),1))+1))-1,0),0,MOD($A171-1,5))+1,0,2,CROQUIS!$C$98-2,2,0),((CROQUIS!$C$107/2+(((CROQUIS!$C$97)-CROQUIS!$C$107)-(MAX(1,INT(((CROQUIS!$C$97)-CROQUIS!$C$107)/MAX((CROQUIS!$C$137*MAX(1,CEILING((INT(((CROQUIS!$C$97)-CROQUIS!$C$107)/MAX(CROQUIS!$C$137,1))+1)/80,1))),1))+1)-1)*(CROQUIS!$C$137*MAX(1,CEILING((INT(((CROQUIS!$C$97)-CROQUIS!$C$107)/MAX(CROQUIS!$C$137,1))+1)/80,1))))/2)+MIN(INT(($A171-1)/5),MAX((MAX(1,INT(((CROQUIS!$C$97)-CROQUIS!$C$107)/MAX((CROQUIS!$C$137*MAX(1,CEILING((INT(((CROQUIS!$C$97)-CROQUIS!$C$107)/MAX(CROQUIS!$C$137,1))+1)/80,1))),1))+1))-1,0))*(CROQUIS!$C$137*MAX(1,CEILING((INT(((CROQUIS!$C$97)-CROQUIS!$C$107)/MAX(CROQUIS!$C$137,1))+1)/80,1))))))*CROQUIS!$C$159)+IF(CROQUIS!$C$92="X",0,0)),-1000)</f>
        <v>-1000</v>
      </c>
      <c r="BR171">
        <f>IF(AND(CROQUIS!$C$88=1,CROQUIS!$C$91=0,CROQUIS!$C$133&gt;0,OR(CROQUIS!$C$103=1,CROQUIS!$C$145=1)),((CROQUIS!$C$160+(IF(CROQUIS!$C$92="X",CHOOSE(IF(INT(($A171-1)/5)&gt;MAX((MAX(1,INT(((CROQUIS!$C$98)-CROQUIS!$C$107)/MAX((CROQUIS!$C$133*MAX(1,CEILING((INT(((CROQUIS!$C$98)-CROQUIS!$C$107)/MAX(CROQUIS!$C$133,1))+1)/80,1))),1))+1))-1,0),0,MOD($A171-1,5))+1,0,IF(CROQUIS!$C$103=1,-12,2),CROQUIS!$C$107/2+CROQUIS!$C$143,IF(CROQUIS!$C$103=1,-12,2),0),((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BS1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+1,0,IF(CROQUIS!$C$103=1,-12,2),CROQUIS!$C$107/2+CROQUIS!$C$143,IF(CROQUIS!$C$103=1,-12,2),0)))*CROQUIS!$C$159)+IF(CROQUIS!$C$92="X",0.8,0)),-1000)</f>
        <v>-1000</v>
      </c>
      <c r="BT171">
        <f>IF(AND(CROQUIS!$C$88=1,CROQUIS!$C$91=0,CROQUIS!$C$133&gt;0,OR(CROQUIS!$C$104=1,CROQUIS!$C$145=1)),((CROQUIS!$C$160+(IF(CROQUIS!$C$92="X",CHOOSE(IF(INT(($A171-1)/5)&gt;MAX((MAX(1,INT(((CROQUIS!$C$98)-CROQUIS!$C$107)/MAX((CROQUIS!$C$133*MAX(1,CEILING((INT(((CROQUIS!$C$98)-CROQUIS!$C$107)/MAX(CROQUIS!$C$133,1))+1)/80,1))),1))+1))-1,0),0,MOD($A171-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BU1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CROQUIS!$C$97,CROQUIS!$C$97-CROQUIS!$C$107/2-CROQUIS!$C$143,IF(CROQUIS!$C$104=1,CROQUIS!$C$97+12,CROQUIS!$C$97-2),CROQUIS!$C$97-CROQUIS!$C$107/2-CROQUIS!$C$143,CROQUIS!$C$97)))*CROQUIS!$C$159)+IF(CROQUIS!$C$92="X",0.8,0)),-1000)</f>
        <v>-1000</v>
      </c>
      <c r="BV1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HOOSE(IF(INT(($A171-1)/5)&gt;MAX((MAX(1,INT(((CROQUIS!$C$97)-CROQUIS!$C$107)/MAX((CROQUIS!$C$141*MAX(1,CEILING((INT(((CROQUIS!$C$97)-CROQUIS!$C$107)/MAX(CROQUIS!$C$141,1))+1)/80,1))),1))+1))-1,0),0,MOD($A171-1,5))+1,0,IF(CROQUIS!$C$105=1,-12,2),CROQUIS!$C$107/2+CROQUIS!$C$144,IF(CROQUIS!$C$105=1,-12,2),0)))*CROQUIS!$C$159)+IF(CROQUIS!$C$92="X",0.8,0)),-1000)</f>
        <v>-1000</v>
      </c>
      <c r="BW171">
        <f>IF(AND(CROQUIS!$C$88=1,CROQUIS!$C$91=0,CROQUIS!$C$141&gt;0,OR(CROQUIS!$C$105=1,CROQUIS!$C$146=1)),((CROQUIS!$C$161+(IF(CROQUIS!$C$92="X",CHOOSE(IF(INT(($A171-1)/5)&gt;MAX((MAX(1,INT(((CROQUIS!$C$97)-CROQUIS!$C$107)/MAX((CROQUIS!$C$141*MAX(1,CEILING((INT(((CROQUIS!$C$97)-CROQUIS!$C$107)/MAX(CROQUIS!$C$141,1))+1)/80,1))),1))+1))-1,0),0,MOD($A171-1,5))+1,0,IF(CROQUIS!$C$105=1,-12,2),CROQUIS!$C$107/2+CROQUIS!$C$144,IF(CROQUIS!$C$105=1,-12,2),0),((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ROQUIS!$C$159)+IF(CROQUIS!$C$92="X",0,0.8)),-1000)</f>
        <v>-1000</v>
      </c>
      <c r="BX1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HOOSE(IF(INT(($A171-1)/5)&gt;MAX((MAX(1,INT(((CROQUIS!$C$97)-CROQUIS!$C$107)/MAX((CROQUIS!$C$141*MAX(1,CEILING((INT(((CROQUIS!$C$97)-CROQUIS!$C$107)/MAX(CROQUIS!$C$141,1))+1)/80,1))),1))+1))-1,0),0,MOD($A171-1,5))+1,CROQUIS!$C$98,CROQUIS!$C$98-CROQUIS!$C$107/2-CROQUIS!$C$144,IF(CROQUIS!$C$106=1,CROQUIS!$C$98+12,CROQUIS!$C$98-2),CROQUIS!$C$98-CROQUIS!$C$107/2-CROQUIS!$C$144,CROQUIS!$C$98)))*CROQUIS!$C$159)+IF(CROQUIS!$C$92="X",0.8,0)),-1000)</f>
        <v>-1000</v>
      </c>
      <c r="BY171">
        <f>IF(AND(CROQUIS!$C$88=1,CROQUIS!$C$91=0,CROQUIS!$C$141&gt;0,OR(CROQUIS!$C$106=1,CROQUIS!$C$146=1)),((CROQUIS!$C$161+(IF(CROQUIS!$C$92="X",CHOOSE(IF(INT(($A171-1)/5)&gt;MAX((MAX(1,INT(((CROQUIS!$C$97)-CROQUIS!$C$107)/MAX((CROQUIS!$C$141*MAX(1,CEILING((INT(((CROQUIS!$C$97)-CROQUIS!$C$107)/MAX(CROQUIS!$C$141,1))+1)/80,1))),1))+1))-1,0),0,MOD($A171-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ROQUIS!$C$159)+IF(CROQUIS!$C$92="X",0,0.8)),-1000)</f>
        <v>-1000</v>
      </c>
      <c r="BZ171">
        <f>IF(AND(CROQUIS!$C$88=1,CROQUIS!$C$91=1,CROQUIS!$C$133&gt;0),((CROQUIS!$C$160+(IF(CROQUIS!$C$92="X",CHOOSE(IF(INT(($A171-1)/5)&gt;MAX((MAX(1,INT(((CROQUIS!$C$98)-CROQUIS!$C$107)/MAX((CROQUIS!$C$133*MAX(1,CEILING((INT(((CROQUIS!$C$98)-CROQUIS!$C$107)/MAX(CROQUIS!$C$133,1))+1)/80,1))),1))+1))-1,0),0,MOD($A171-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CA171">
        <f>IF(AND(CROQUIS!$C$88=1,CROQUIS!$C$91=1,CROQUIS!$C$133&gt;0),((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2">
      <c r="A172" t="n">
        <v>165</v>
      </c>
      <c r="BN172">
        <f>IF(AND(CROQUIS!$C$88=1,CROQUIS!$C$129&gt;0),((CROQUIS!$C$160+(IF(CROQUIS!$C$92="X",CHOOSE(IF(INT(($A172-1)/5)&gt;MAX((MAX(1,INT(((CROQUIS!$C$98)-CROQUIS!$C$107)/MAX((CROQUIS!$C$129*MAX(1,CEILING((INT(((CROQUIS!$C$98)-CROQUIS!$C$107)/MAX(CROQUIS!$C$129,1))+1)/80,1))),1))+1))-1,0),0,MOD($A172-1,5))+1,0,2,CROQUIS!$C$97-2,2,0),((CROQUIS!$C$107/2+(((CROQUIS!$C$98)-CROQUIS!$C$107)-(MAX(1,INT(((CROQUIS!$C$98)-CROQUIS!$C$107)/MAX((CROQUIS!$C$129*MAX(1,CEILING((INT(((CROQUIS!$C$98)-CROQUIS!$C$107)/MAX(CROQUIS!$C$129,1))+1)/80,1))),1))+1)-1)*(CROQUIS!$C$129*MAX(1,CEILING((INT(((CROQUIS!$C$98)-CROQUIS!$C$107)/MAX(CROQUIS!$C$129,1))+1)/80,1))))/2)+MIN(INT(($A172-1)/5),MAX((MAX(1,INT(((CROQUIS!$C$98)-CROQUIS!$C$107)/MAX((CROQUIS!$C$129*MAX(1,CEILING((INT(((CROQUIS!$C$98)-CROQUIS!$C$107)/MAX(CROQUIS!$C$129,1))+1)/80,1))),1))+1))-1,0))*(CROQUIS!$C$129*MAX(1,CEILING((INT(((CROQUIS!$C$98)-CROQUIS!$C$107)/MAX(CROQUIS!$C$129,1))+1)/80,1))))))*CROQUIS!$C$159)+IF(CROQUIS!$C$92="X",0,0)),-1000)</f>
        <v>-1000</v>
      </c>
      <c r="BO172">
        <f>IF(AND(CROQUIS!$C$88=1,CROQUIS!$C$129&gt;0),((CROQUIS!$C$161+(IF(CROQUIS!$C$92="X",((CROQUIS!$C$107/2+(((CROQUIS!$C$98)-CROQUIS!$C$107)-(MAX(1,INT(((CROQUIS!$C$98)-CROQUIS!$C$107)/MAX((CROQUIS!$C$129*MAX(1,CEILING((INT(((CROQUIS!$C$98)-CROQUIS!$C$107)/MAX(CROQUIS!$C$129,1))+1)/80,1))),1))+1)-1)*(CROQUIS!$C$129*MAX(1,CEILING((INT(((CROQUIS!$C$98)-CROQUIS!$C$107)/MAX(CROQUIS!$C$129,1))+1)/80,1))))/2)+MIN(INT(($A172-1)/5),MAX((MAX(1,INT(((CROQUIS!$C$98)-CROQUIS!$C$107)/MAX((CROQUIS!$C$129*MAX(1,CEILING((INT(((CROQUIS!$C$98)-CROQUIS!$C$107)/MAX(CROQUIS!$C$129,1))+1)/80,1))),1))+1))-1,0))*(CROQUIS!$C$129*MAX(1,CEILING((INT(((CROQUIS!$C$98)-CROQUIS!$C$107)/MAX(CROQUIS!$C$129,1))+1)/80,1)))),CHOOSE(IF(INT(($A172-1)/5)&gt;MAX((MAX(1,INT(((CROQUIS!$C$98)-CROQUIS!$C$107)/MAX((CROQUIS!$C$129*MAX(1,CEILING((INT(((CROQUIS!$C$98)-CROQUIS!$C$107)/MAX(CROQUIS!$C$129,1))+1)/80,1))),1))+1))-1,0),0,MOD($A172-1,5))+1,0,2,CROQUIS!$C$97-2,2,0)))*CROQUIS!$C$159)+IF(CROQUIS!$C$92="X",0,0)),-1000)</f>
        <v>-1000</v>
      </c>
      <c r="BP172">
        <f>IF(AND(CROQUIS!$C$88=1,CROQUIS!$C$137&gt;0),((CROQUIS!$C$160+(IF(CROQUIS!$C$92="X",((CROQUIS!$C$107/2+(((CROQUIS!$C$97)-CROQUIS!$C$107)-(MAX(1,INT(((CROQUIS!$C$97)-CROQUIS!$C$107)/MAX((CROQUIS!$C$137*MAX(1,CEILING((INT(((CROQUIS!$C$97)-CROQUIS!$C$107)/MAX(CROQUIS!$C$137,1))+1)/80,1))),1))+1)-1)*(CROQUIS!$C$137*MAX(1,CEILING((INT(((CROQUIS!$C$97)-CROQUIS!$C$107)/MAX(CROQUIS!$C$137,1))+1)/80,1))))/2)+MIN(INT(($A172-1)/5),MAX((MAX(1,INT(((CROQUIS!$C$97)-CROQUIS!$C$107)/MAX((CROQUIS!$C$137*MAX(1,CEILING((INT(((CROQUIS!$C$97)-CROQUIS!$C$107)/MAX(CROQUIS!$C$137,1))+1)/80,1))),1))+1))-1,0))*(CROQUIS!$C$137*MAX(1,CEILING((INT(((CROQUIS!$C$97)-CROQUIS!$C$107)/MAX(CROQUIS!$C$137,1))+1)/80,1)))),CHOOSE(IF(INT(($A172-1)/5)&gt;MAX((MAX(1,INT(((CROQUIS!$C$97)-CROQUIS!$C$107)/MAX((CROQUIS!$C$137*MAX(1,CEILING((INT(((CROQUIS!$C$97)-CROQUIS!$C$107)/MAX(CROQUIS!$C$137,1))+1)/80,1))),1))+1))-1,0),0,MOD($A172-1,5))+1,0,2,CROQUIS!$C$98-2,2,0)))*CROQUIS!$C$159)+IF(CROQUIS!$C$92="X",0,0)),-1000)</f>
        <v>-1000</v>
      </c>
      <c r="BQ172">
        <f>IF(AND(CROQUIS!$C$88=1,CROQUIS!$C$137&gt;0),((CROQUIS!$C$161+(IF(CROQUIS!$C$92="X",CHOOSE(IF(INT(($A172-1)/5)&gt;MAX((MAX(1,INT(((CROQUIS!$C$97)-CROQUIS!$C$107)/MAX((CROQUIS!$C$137*MAX(1,CEILING((INT(((CROQUIS!$C$97)-CROQUIS!$C$107)/MAX(CROQUIS!$C$137,1))+1)/80,1))),1))+1))-1,0),0,MOD($A172-1,5))+1,0,2,CROQUIS!$C$98-2,2,0),((CROQUIS!$C$107/2+(((CROQUIS!$C$97)-CROQUIS!$C$107)-(MAX(1,INT(((CROQUIS!$C$97)-CROQUIS!$C$107)/MAX((CROQUIS!$C$137*MAX(1,CEILING((INT(((CROQUIS!$C$97)-CROQUIS!$C$107)/MAX(CROQUIS!$C$137,1))+1)/80,1))),1))+1)-1)*(CROQUIS!$C$137*MAX(1,CEILING((INT(((CROQUIS!$C$97)-CROQUIS!$C$107)/MAX(CROQUIS!$C$137,1))+1)/80,1))))/2)+MIN(INT(($A172-1)/5),MAX((MAX(1,INT(((CROQUIS!$C$97)-CROQUIS!$C$107)/MAX((CROQUIS!$C$137*MAX(1,CEILING((INT(((CROQUIS!$C$97)-CROQUIS!$C$107)/MAX(CROQUIS!$C$137,1))+1)/80,1))),1))+1))-1,0))*(CROQUIS!$C$137*MAX(1,CEILING((INT(((CROQUIS!$C$97)-CROQUIS!$C$107)/MAX(CROQUIS!$C$137,1))+1)/80,1))))))*CROQUIS!$C$159)+IF(CROQUIS!$C$92="X",0,0)),-1000)</f>
        <v>-1000</v>
      </c>
      <c r="BR172">
        <f>IF(AND(CROQUIS!$C$88=1,CROQUIS!$C$91=0,CROQUIS!$C$133&gt;0,OR(CROQUIS!$C$103=1,CROQUIS!$C$145=1)),((CROQUIS!$C$160+(IF(CROQUIS!$C$92="X",CHOOSE(IF(INT(($A172-1)/5)&gt;MAX((MAX(1,INT(((CROQUIS!$C$98)-CROQUIS!$C$107)/MAX((CROQUIS!$C$133*MAX(1,CEILING((INT(((CROQUIS!$C$98)-CROQUIS!$C$107)/MAX(CROQUIS!$C$133,1))+1)/80,1))),1))+1))-1,0),0,MOD($A172-1,5))+1,0,IF(CROQUIS!$C$103=1,-12,2),CROQUIS!$C$107/2+CROQUIS!$C$143,IF(CROQUIS!$C$103=1,-12,2),0),((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BS1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+1,0,IF(CROQUIS!$C$103=1,-12,2),CROQUIS!$C$107/2+CROQUIS!$C$143,IF(CROQUIS!$C$103=1,-12,2),0)))*CROQUIS!$C$159)+IF(CROQUIS!$C$92="X",0.8,0)),-1000)</f>
        <v>-1000</v>
      </c>
      <c r="BT172">
        <f>IF(AND(CROQUIS!$C$88=1,CROQUIS!$C$91=0,CROQUIS!$C$133&gt;0,OR(CROQUIS!$C$104=1,CROQUIS!$C$145=1)),((CROQUIS!$C$160+(IF(CROQUIS!$C$92="X",CHOOSE(IF(INT(($A172-1)/5)&gt;MAX((MAX(1,INT(((CROQUIS!$C$98)-CROQUIS!$C$107)/MAX((CROQUIS!$C$133*MAX(1,CEILING((INT(((CROQUIS!$C$98)-CROQUIS!$C$107)/MAX(CROQUIS!$C$133,1))+1)/80,1))),1))+1))-1,0),0,MOD($A172-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BU1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CROQUIS!$C$97,CROQUIS!$C$97-CROQUIS!$C$107/2-CROQUIS!$C$143,IF(CROQUIS!$C$104=1,CROQUIS!$C$97+12,CROQUIS!$C$97-2),CROQUIS!$C$97-CROQUIS!$C$107/2-CROQUIS!$C$143,CROQUIS!$C$97)))*CROQUIS!$C$159)+IF(CROQUIS!$C$92="X",0.8,0)),-1000)</f>
        <v>-1000</v>
      </c>
      <c r="BV1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HOOSE(IF(INT(($A172-1)/5)&gt;MAX((MAX(1,INT(((CROQUIS!$C$97)-CROQUIS!$C$107)/MAX((CROQUIS!$C$141*MAX(1,CEILING((INT(((CROQUIS!$C$97)-CROQUIS!$C$107)/MAX(CROQUIS!$C$141,1))+1)/80,1))),1))+1))-1,0),0,MOD($A172-1,5))+1,0,IF(CROQUIS!$C$105=1,-12,2),CROQUIS!$C$107/2+CROQUIS!$C$144,IF(CROQUIS!$C$105=1,-12,2),0)))*CROQUIS!$C$159)+IF(CROQUIS!$C$92="X",0.8,0)),-1000)</f>
        <v>-1000</v>
      </c>
      <c r="BW172">
        <f>IF(AND(CROQUIS!$C$88=1,CROQUIS!$C$91=0,CROQUIS!$C$141&gt;0,OR(CROQUIS!$C$105=1,CROQUIS!$C$146=1)),((CROQUIS!$C$161+(IF(CROQUIS!$C$92="X",CHOOSE(IF(INT(($A172-1)/5)&gt;MAX((MAX(1,INT(((CROQUIS!$C$97)-CROQUIS!$C$107)/MAX((CROQUIS!$C$141*MAX(1,CEILING((INT(((CROQUIS!$C$97)-CROQUIS!$C$107)/MAX(CROQUIS!$C$141,1))+1)/80,1))),1))+1))-1,0),0,MOD($A172-1,5))+1,0,IF(CROQUIS!$C$105=1,-12,2),CROQUIS!$C$107/2+CROQUIS!$C$144,IF(CROQUIS!$C$105=1,-12,2),0),((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ROQUIS!$C$159)+IF(CROQUIS!$C$92="X",0,0.8)),-1000)</f>
        <v>-1000</v>
      </c>
      <c r="BX1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HOOSE(IF(INT(($A172-1)/5)&gt;MAX((MAX(1,INT(((CROQUIS!$C$97)-CROQUIS!$C$107)/MAX((CROQUIS!$C$141*MAX(1,CEILING((INT(((CROQUIS!$C$97)-CROQUIS!$C$107)/MAX(CROQUIS!$C$141,1))+1)/80,1))),1))+1))-1,0),0,MOD($A172-1,5))+1,CROQUIS!$C$98,CROQUIS!$C$98-CROQUIS!$C$107/2-CROQUIS!$C$144,IF(CROQUIS!$C$106=1,CROQUIS!$C$98+12,CROQUIS!$C$98-2),CROQUIS!$C$98-CROQUIS!$C$107/2-CROQUIS!$C$144,CROQUIS!$C$98)))*CROQUIS!$C$159)+IF(CROQUIS!$C$92="X",0.8,0)),-1000)</f>
        <v>-1000</v>
      </c>
      <c r="BY172">
        <f>IF(AND(CROQUIS!$C$88=1,CROQUIS!$C$91=0,CROQUIS!$C$141&gt;0,OR(CROQUIS!$C$106=1,CROQUIS!$C$146=1)),((CROQUIS!$C$161+(IF(CROQUIS!$C$92="X",CHOOSE(IF(INT(($A172-1)/5)&gt;MAX((MAX(1,INT(((CROQUIS!$C$97)-CROQUIS!$C$107)/MAX((CROQUIS!$C$141*MAX(1,CEILING((INT(((CROQUIS!$C$97)-CROQUIS!$C$107)/MAX(CROQUIS!$C$141,1))+1)/80,1))),1))+1))-1,0),0,MOD($A172-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ROQUIS!$C$159)+IF(CROQUIS!$C$92="X",0,0.8)),-1000)</f>
        <v>-1000</v>
      </c>
      <c r="BZ172">
        <f>IF(AND(CROQUIS!$C$88=1,CROQUIS!$C$91=1,CROQUIS!$C$133&gt;0),((CROQUIS!$C$160+(IF(CROQUIS!$C$92="X",CHOOSE(IF(INT(($A172-1)/5)&gt;MAX((MAX(1,INT(((CROQUIS!$C$98)-CROQUIS!$C$107)/MAX((CROQUIS!$C$133*MAX(1,CEILING((INT(((CROQUIS!$C$98)-CROQUIS!$C$107)/MAX(CROQUIS!$C$133,1))+1)/80,1))),1))+1))-1,0),0,MOD($A172-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CA172">
        <f>IF(AND(CROQUIS!$C$88=1,CROQUIS!$C$91=1,CROQUIS!$C$133&gt;0),((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3">
      <c r="A173" t="n">
        <v>166</v>
      </c>
      <c r="BN173">
        <f>IF(AND(CROQUIS!$C$88=1,CROQUIS!$C$129&gt;0),((CROQUIS!$C$160+(IF(CROQUIS!$C$92="X",CHOOSE(IF(INT(($A173-1)/5)&gt;MAX((MAX(1,INT(((CROQUIS!$C$98)-CROQUIS!$C$107)/MAX((CROQUIS!$C$129*MAX(1,CEILING((INT(((CROQUIS!$C$98)-CROQUIS!$C$107)/MAX(CROQUIS!$C$129,1))+1)/80,1))),1))+1))-1,0),0,MOD($A173-1,5))+1,0,2,CROQUIS!$C$97-2,2,0),((CROQUIS!$C$107/2+(((CROQUIS!$C$98)-CROQUIS!$C$107)-(MAX(1,INT(((CROQUIS!$C$98)-CROQUIS!$C$107)/MAX((CROQUIS!$C$129*MAX(1,CEILING((INT(((CROQUIS!$C$98)-CROQUIS!$C$107)/MAX(CROQUIS!$C$129,1))+1)/80,1))),1))+1)-1)*(CROQUIS!$C$129*MAX(1,CEILING((INT(((CROQUIS!$C$98)-CROQUIS!$C$107)/MAX(CROQUIS!$C$129,1))+1)/80,1))))/2)+MIN(INT(($A173-1)/5),MAX((MAX(1,INT(((CROQUIS!$C$98)-CROQUIS!$C$107)/MAX((CROQUIS!$C$129*MAX(1,CEILING((INT(((CROQUIS!$C$98)-CROQUIS!$C$107)/MAX(CROQUIS!$C$129,1))+1)/80,1))),1))+1))-1,0))*(CROQUIS!$C$129*MAX(1,CEILING((INT(((CROQUIS!$C$98)-CROQUIS!$C$107)/MAX(CROQUIS!$C$129,1))+1)/80,1))))))*CROQUIS!$C$159)+IF(CROQUIS!$C$92="X",0,0)),-1000)</f>
        <v>-1000</v>
      </c>
      <c r="BO173">
        <f>IF(AND(CROQUIS!$C$88=1,CROQUIS!$C$129&gt;0),((CROQUIS!$C$161+(IF(CROQUIS!$C$92="X",((CROQUIS!$C$107/2+(((CROQUIS!$C$98)-CROQUIS!$C$107)-(MAX(1,INT(((CROQUIS!$C$98)-CROQUIS!$C$107)/MAX((CROQUIS!$C$129*MAX(1,CEILING((INT(((CROQUIS!$C$98)-CROQUIS!$C$107)/MAX(CROQUIS!$C$129,1))+1)/80,1))),1))+1)-1)*(CROQUIS!$C$129*MAX(1,CEILING((INT(((CROQUIS!$C$98)-CROQUIS!$C$107)/MAX(CROQUIS!$C$129,1))+1)/80,1))))/2)+MIN(INT(($A173-1)/5),MAX((MAX(1,INT(((CROQUIS!$C$98)-CROQUIS!$C$107)/MAX((CROQUIS!$C$129*MAX(1,CEILING((INT(((CROQUIS!$C$98)-CROQUIS!$C$107)/MAX(CROQUIS!$C$129,1))+1)/80,1))),1))+1))-1,0))*(CROQUIS!$C$129*MAX(1,CEILING((INT(((CROQUIS!$C$98)-CROQUIS!$C$107)/MAX(CROQUIS!$C$129,1))+1)/80,1)))),CHOOSE(IF(INT(($A173-1)/5)&gt;MAX((MAX(1,INT(((CROQUIS!$C$98)-CROQUIS!$C$107)/MAX((CROQUIS!$C$129*MAX(1,CEILING((INT(((CROQUIS!$C$98)-CROQUIS!$C$107)/MAX(CROQUIS!$C$129,1))+1)/80,1))),1))+1))-1,0),0,MOD($A173-1,5))+1,0,2,CROQUIS!$C$97-2,2,0)))*CROQUIS!$C$159)+IF(CROQUIS!$C$92="X",0,0)),-1000)</f>
        <v>-1000</v>
      </c>
      <c r="BP173">
        <f>IF(AND(CROQUIS!$C$88=1,CROQUIS!$C$137&gt;0),((CROQUIS!$C$160+(IF(CROQUIS!$C$92="X",((CROQUIS!$C$107/2+(((CROQUIS!$C$97)-CROQUIS!$C$107)-(MAX(1,INT(((CROQUIS!$C$97)-CROQUIS!$C$107)/MAX((CROQUIS!$C$137*MAX(1,CEILING((INT(((CROQUIS!$C$97)-CROQUIS!$C$107)/MAX(CROQUIS!$C$137,1))+1)/80,1))),1))+1)-1)*(CROQUIS!$C$137*MAX(1,CEILING((INT(((CROQUIS!$C$97)-CROQUIS!$C$107)/MAX(CROQUIS!$C$137,1))+1)/80,1))))/2)+MIN(INT(($A173-1)/5),MAX((MAX(1,INT(((CROQUIS!$C$97)-CROQUIS!$C$107)/MAX((CROQUIS!$C$137*MAX(1,CEILING((INT(((CROQUIS!$C$97)-CROQUIS!$C$107)/MAX(CROQUIS!$C$137,1))+1)/80,1))),1))+1))-1,0))*(CROQUIS!$C$137*MAX(1,CEILING((INT(((CROQUIS!$C$97)-CROQUIS!$C$107)/MAX(CROQUIS!$C$137,1))+1)/80,1)))),CHOOSE(IF(INT(($A173-1)/5)&gt;MAX((MAX(1,INT(((CROQUIS!$C$97)-CROQUIS!$C$107)/MAX((CROQUIS!$C$137*MAX(1,CEILING((INT(((CROQUIS!$C$97)-CROQUIS!$C$107)/MAX(CROQUIS!$C$137,1))+1)/80,1))),1))+1))-1,0),0,MOD($A173-1,5))+1,0,2,CROQUIS!$C$98-2,2,0)))*CROQUIS!$C$159)+IF(CROQUIS!$C$92="X",0,0)),-1000)</f>
        <v>-1000</v>
      </c>
      <c r="BQ173">
        <f>IF(AND(CROQUIS!$C$88=1,CROQUIS!$C$137&gt;0),((CROQUIS!$C$161+(IF(CROQUIS!$C$92="X",CHOOSE(IF(INT(($A173-1)/5)&gt;MAX((MAX(1,INT(((CROQUIS!$C$97)-CROQUIS!$C$107)/MAX((CROQUIS!$C$137*MAX(1,CEILING((INT(((CROQUIS!$C$97)-CROQUIS!$C$107)/MAX(CROQUIS!$C$137,1))+1)/80,1))),1))+1))-1,0),0,MOD($A173-1,5))+1,0,2,CROQUIS!$C$98-2,2,0),((CROQUIS!$C$107/2+(((CROQUIS!$C$97)-CROQUIS!$C$107)-(MAX(1,INT(((CROQUIS!$C$97)-CROQUIS!$C$107)/MAX((CROQUIS!$C$137*MAX(1,CEILING((INT(((CROQUIS!$C$97)-CROQUIS!$C$107)/MAX(CROQUIS!$C$137,1))+1)/80,1))),1))+1)-1)*(CROQUIS!$C$137*MAX(1,CEILING((INT(((CROQUIS!$C$97)-CROQUIS!$C$107)/MAX(CROQUIS!$C$137,1))+1)/80,1))))/2)+MIN(INT(($A173-1)/5),MAX((MAX(1,INT(((CROQUIS!$C$97)-CROQUIS!$C$107)/MAX((CROQUIS!$C$137*MAX(1,CEILING((INT(((CROQUIS!$C$97)-CROQUIS!$C$107)/MAX(CROQUIS!$C$137,1))+1)/80,1))),1))+1))-1,0))*(CROQUIS!$C$137*MAX(1,CEILING((INT(((CROQUIS!$C$97)-CROQUIS!$C$107)/MAX(CROQUIS!$C$137,1))+1)/80,1))))))*CROQUIS!$C$159)+IF(CROQUIS!$C$92="X",0,0)),-1000)</f>
        <v>-1000</v>
      </c>
      <c r="BR173">
        <f>IF(AND(CROQUIS!$C$88=1,CROQUIS!$C$91=0,CROQUIS!$C$133&gt;0,OR(CROQUIS!$C$103=1,CROQUIS!$C$145=1)),((CROQUIS!$C$160+(IF(CROQUIS!$C$92="X",CHOOSE(IF(INT(($A173-1)/5)&gt;MAX((MAX(1,INT(((CROQUIS!$C$98)-CROQUIS!$C$107)/MAX((CROQUIS!$C$133*MAX(1,CEILING((INT(((CROQUIS!$C$98)-CROQUIS!$C$107)/MAX(CROQUIS!$C$133,1))+1)/80,1))),1))+1))-1,0),0,MOD($A173-1,5))+1,0,IF(CROQUIS!$C$103=1,-12,2),CROQUIS!$C$107/2+CROQUIS!$C$143,IF(CROQUIS!$C$103=1,-12,2),0),((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BS1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+1,0,IF(CROQUIS!$C$103=1,-12,2),CROQUIS!$C$107/2+CROQUIS!$C$143,IF(CROQUIS!$C$103=1,-12,2),0)))*CROQUIS!$C$159)+IF(CROQUIS!$C$92="X",0.8,0)),-1000)</f>
        <v>-1000</v>
      </c>
      <c r="BT173">
        <f>IF(AND(CROQUIS!$C$88=1,CROQUIS!$C$91=0,CROQUIS!$C$133&gt;0,OR(CROQUIS!$C$104=1,CROQUIS!$C$145=1)),((CROQUIS!$C$160+(IF(CROQUIS!$C$92="X",CHOOSE(IF(INT(($A173-1)/5)&gt;MAX((MAX(1,INT(((CROQUIS!$C$98)-CROQUIS!$C$107)/MAX((CROQUIS!$C$133*MAX(1,CEILING((INT(((CROQUIS!$C$98)-CROQUIS!$C$107)/MAX(CROQUIS!$C$133,1))+1)/80,1))),1))+1))-1,0),0,MOD($A173-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BU1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CROQUIS!$C$97,CROQUIS!$C$97-CROQUIS!$C$107/2-CROQUIS!$C$143,IF(CROQUIS!$C$104=1,CROQUIS!$C$97+12,CROQUIS!$C$97-2),CROQUIS!$C$97-CROQUIS!$C$107/2-CROQUIS!$C$143,CROQUIS!$C$97)))*CROQUIS!$C$159)+IF(CROQUIS!$C$92="X",0.8,0)),-1000)</f>
        <v>-1000</v>
      </c>
      <c r="BV1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HOOSE(IF(INT(($A173-1)/5)&gt;MAX((MAX(1,INT(((CROQUIS!$C$97)-CROQUIS!$C$107)/MAX((CROQUIS!$C$141*MAX(1,CEILING((INT(((CROQUIS!$C$97)-CROQUIS!$C$107)/MAX(CROQUIS!$C$141,1))+1)/80,1))),1))+1))-1,0),0,MOD($A173-1,5))+1,0,IF(CROQUIS!$C$105=1,-12,2),CROQUIS!$C$107/2+CROQUIS!$C$144,IF(CROQUIS!$C$105=1,-12,2),0)))*CROQUIS!$C$159)+IF(CROQUIS!$C$92="X",0.8,0)),-1000)</f>
        <v>-1000</v>
      </c>
      <c r="BW173">
        <f>IF(AND(CROQUIS!$C$88=1,CROQUIS!$C$91=0,CROQUIS!$C$141&gt;0,OR(CROQUIS!$C$105=1,CROQUIS!$C$146=1)),((CROQUIS!$C$161+(IF(CROQUIS!$C$92="X",CHOOSE(IF(INT(($A173-1)/5)&gt;MAX((MAX(1,INT(((CROQUIS!$C$97)-CROQUIS!$C$107)/MAX((CROQUIS!$C$141*MAX(1,CEILING((INT(((CROQUIS!$C$97)-CROQUIS!$C$107)/MAX(CROQUIS!$C$141,1))+1)/80,1))),1))+1))-1,0),0,MOD($A173-1,5))+1,0,IF(CROQUIS!$C$105=1,-12,2),CROQUIS!$C$107/2+CROQUIS!$C$144,IF(CROQUIS!$C$105=1,-12,2),0),((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ROQUIS!$C$159)+IF(CROQUIS!$C$92="X",0,0.8)),-1000)</f>
        <v>-1000</v>
      </c>
      <c r="BX1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HOOSE(IF(INT(($A173-1)/5)&gt;MAX((MAX(1,INT(((CROQUIS!$C$97)-CROQUIS!$C$107)/MAX((CROQUIS!$C$141*MAX(1,CEILING((INT(((CROQUIS!$C$97)-CROQUIS!$C$107)/MAX(CROQUIS!$C$141,1))+1)/80,1))),1))+1))-1,0),0,MOD($A173-1,5))+1,CROQUIS!$C$98,CROQUIS!$C$98-CROQUIS!$C$107/2-CROQUIS!$C$144,IF(CROQUIS!$C$106=1,CROQUIS!$C$98+12,CROQUIS!$C$98-2),CROQUIS!$C$98-CROQUIS!$C$107/2-CROQUIS!$C$144,CROQUIS!$C$98)))*CROQUIS!$C$159)+IF(CROQUIS!$C$92="X",0.8,0)),-1000)</f>
        <v>-1000</v>
      </c>
      <c r="BY173">
        <f>IF(AND(CROQUIS!$C$88=1,CROQUIS!$C$91=0,CROQUIS!$C$141&gt;0,OR(CROQUIS!$C$106=1,CROQUIS!$C$146=1)),((CROQUIS!$C$161+(IF(CROQUIS!$C$92="X",CHOOSE(IF(INT(($A173-1)/5)&gt;MAX((MAX(1,INT(((CROQUIS!$C$97)-CROQUIS!$C$107)/MAX((CROQUIS!$C$141*MAX(1,CEILING((INT(((CROQUIS!$C$97)-CROQUIS!$C$107)/MAX(CROQUIS!$C$141,1))+1)/80,1))),1))+1))-1,0),0,MOD($A173-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ROQUIS!$C$159)+IF(CROQUIS!$C$92="X",0,0.8)),-1000)</f>
        <v>-1000</v>
      </c>
      <c r="BZ173">
        <f>IF(AND(CROQUIS!$C$88=1,CROQUIS!$C$91=1,CROQUIS!$C$133&gt;0),((CROQUIS!$C$160+(IF(CROQUIS!$C$92="X",CHOOSE(IF(INT(($A173-1)/5)&gt;MAX((MAX(1,INT(((CROQUIS!$C$98)-CROQUIS!$C$107)/MAX((CROQUIS!$C$133*MAX(1,CEILING((INT(((CROQUIS!$C$98)-CROQUIS!$C$107)/MAX(CROQUIS!$C$133,1))+1)/80,1))),1))+1))-1,0),0,MOD($A173-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CA173">
        <f>IF(AND(CROQUIS!$C$88=1,CROQUIS!$C$91=1,CROQUIS!$C$133&gt;0),((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4">
      <c r="A174" t="n">
        <v>167</v>
      </c>
      <c r="BN174">
        <f>IF(AND(CROQUIS!$C$88=1,CROQUIS!$C$129&gt;0),((CROQUIS!$C$160+(IF(CROQUIS!$C$92="X",CHOOSE(IF(INT(($A174-1)/5)&gt;MAX((MAX(1,INT(((CROQUIS!$C$98)-CROQUIS!$C$107)/MAX((CROQUIS!$C$129*MAX(1,CEILING((INT(((CROQUIS!$C$98)-CROQUIS!$C$107)/MAX(CROQUIS!$C$129,1))+1)/80,1))),1))+1))-1,0),0,MOD($A174-1,5))+1,0,2,CROQUIS!$C$97-2,2,0),((CROQUIS!$C$107/2+(((CROQUIS!$C$98)-CROQUIS!$C$107)-(MAX(1,INT(((CROQUIS!$C$98)-CROQUIS!$C$107)/MAX((CROQUIS!$C$129*MAX(1,CEILING((INT(((CROQUIS!$C$98)-CROQUIS!$C$107)/MAX(CROQUIS!$C$129,1))+1)/80,1))),1))+1)-1)*(CROQUIS!$C$129*MAX(1,CEILING((INT(((CROQUIS!$C$98)-CROQUIS!$C$107)/MAX(CROQUIS!$C$129,1))+1)/80,1))))/2)+MIN(INT(($A174-1)/5),MAX((MAX(1,INT(((CROQUIS!$C$98)-CROQUIS!$C$107)/MAX((CROQUIS!$C$129*MAX(1,CEILING((INT(((CROQUIS!$C$98)-CROQUIS!$C$107)/MAX(CROQUIS!$C$129,1))+1)/80,1))),1))+1))-1,0))*(CROQUIS!$C$129*MAX(1,CEILING((INT(((CROQUIS!$C$98)-CROQUIS!$C$107)/MAX(CROQUIS!$C$129,1))+1)/80,1))))))*CROQUIS!$C$159)+IF(CROQUIS!$C$92="X",0,0)),-1000)</f>
        <v>-1000</v>
      </c>
      <c r="BO174">
        <f>IF(AND(CROQUIS!$C$88=1,CROQUIS!$C$129&gt;0),((CROQUIS!$C$161+(IF(CROQUIS!$C$92="X",((CROQUIS!$C$107/2+(((CROQUIS!$C$98)-CROQUIS!$C$107)-(MAX(1,INT(((CROQUIS!$C$98)-CROQUIS!$C$107)/MAX((CROQUIS!$C$129*MAX(1,CEILING((INT(((CROQUIS!$C$98)-CROQUIS!$C$107)/MAX(CROQUIS!$C$129,1))+1)/80,1))),1))+1)-1)*(CROQUIS!$C$129*MAX(1,CEILING((INT(((CROQUIS!$C$98)-CROQUIS!$C$107)/MAX(CROQUIS!$C$129,1))+1)/80,1))))/2)+MIN(INT(($A174-1)/5),MAX((MAX(1,INT(((CROQUIS!$C$98)-CROQUIS!$C$107)/MAX((CROQUIS!$C$129*MAX(1,CEILING((INT(((CROQUIS!$C$98)-CROQUIS!$C$107)/MAX(CROQUIS!$C$129,1))+1)/80,1))),1))+1))-1,0))*(CROQUIS!$C$129*MAX(1,CEILING((INT(((CROQUIS!$C$98)-CROQUIS!$C$107)/MAX(CROQUIS!$C$129,1))+1)/80,1)))),CHOOSE(IF(INT(($A174-1)/5)&gt;MAX((MAX(1,INT(((CROQUIS!$C$98)-CROQUIS!$C$107)/MAX((CROQUIS!$C$129*MAX(1,CEILING((INT(((CROQUIS!$C$98)-CROQUIS!$C$107)/MAX(CROQUIS!$C$129,1))+1)/80,1))),1))+1))-1,0),0,MOD($A174-1,5))+1,0,2,CROQUIS!$C$97-2,2,0)))*CROQUIS!$C$159)+IF(CROQUIS!$C$92="X",0,0)),-1000)</f>
        <v>-1000</v>
      </c>
      <c r="BP174">
        <f>IF(AND(CROQUIS!$C$88=1,CROQUIS!$C$137&gt;0),((CROQUIS!$C$160+(IF(CROQUIS!$C$92="X",((CROQUIS!$C$107/2+(((CROQUIS!$C$97)-CROQUIS!$C$107)-(MAX(1,INT(((CROQUIS!$C$97)-CROQUIS!$C$107)/MAX((CROQUIS!$C$137*MAX(1,CEILING((INT(((CROQUIS!$C$97)-CROQUIS!$C$107)/MAX(CROQUIS!$C$137,1))+1)/80,1))),1))+1)-1)*(CROQUIS!$C$137*MAX(1,CEILING((INT(((CROQUIS!$C$97)-CROQUIS!$C$107)/MAX(CROQUIS!$C$137,1))+1)/80,1))))/2)+MIN(INT(($A174-1)/5),MAX((MAX(1,INT(((CROQUIS!$C$97)-CROQUIS!$C$107)/MAX((CROQUIS!$C$137*MAX(1,CEILING((INT(((CROQUIS!$C$97)-CROQUIS!$C$107)/MAX(CROQUIS!$C$137,1))+1)/80,1))),1))+1))-1,0))*(CROQUIS!$C$137*MAX(1,CEILING((INT(((CROQUIS!$C$97)-CROQUIS!$C$107)/MAX(CROQUIS!$C$137,1))+1)/80,1)))),CHOOSE(IF(INT(($A174-1)/5)&gt;MAX((MAX(1,INT(((CROQUIS!$C$97)-CROQUIS!$C$107)/MAX((CROQUIS!$C$137*MAX(1,CEILING((INT(((CROQUIS!$C$97)-CROQUIS!$C$107)/MAX(CROQUIS!$C$137,1))+1)/80,1))),1))+1))-1,0),0,MOD($A174-1,5))+1,0,2,CROQUIS!$C$98-2,2,0)))*CROQUIS!$C$159)+IF(CROQUIS!$C$92="X",0,0)),-1000)</f>
        <v>-1000</v>
      </c>
      <c r="BQ174">
        <f>IF(AND(CROQUIS!$C$88=1,CROQUIS!$C$137&gt;0),((CROQUIS!$C$161+(IF(CROQUIS!$C$92="X",CHOOSE(IF(INT(($A174-1)/5)&gt;MAX((MAX(1,INT(((CROQUIS!$C$97)-CROQUIS!$C$107)/MAX((CROQUIS!$C$137*MAX(1,CEILING((INT(((CROQUIS!$C$97)-CROQUIS!$C$107)/MAX(CROQUIS!$C$137,1))+1)/80,1))),1))+1))-1,0),0,MOD($A174-1,5))+1,0,2,CROQUIS!$C$98-2,2,0),((CROQUIS!$C$107/2+(((CROQUIS!$C$97)-CROQUIS!$C$107)-(MAX(1,INT(((CROQUIS!$C$97)-CROQUIS!$C$107)/MAX((CROQUIS!$C$137*MAX(1,CEILING((INT(((CROQUIS!$C$97)-CROQUIS!$C$107)/MAX(CROQUIS!$C$137,1))+1)/80,1))),1))+1)-1)*(CROQUIS!$C$137*MAX(1,CEILING((INT(((CROQUIS!$C$97)-CROQUIS!$C$107)/MAX(CROQUIS!$C$137,1))+1)/80,1))))/2)+MIN(INT(($A174-1)/5),MAX((MAX(1,INT(((CROQUIS!$C$97)-CROQUIS!$C$107)/MAX((CROQUIS!$C$137*MAX(1,CEILING((INT(((CROQUIS!$C$97)-CROQUIS!$C$107)/MAX(CROQUIS!$C$137,1))+1)/80,1))),1))+1))-1,0))*(CROQUIS!$C$137*MAX(1,CEILING((INT(((CROQUIS!$C$97)-CROQUIS!$C$107)/MAX(CROQUIS!$C$137,1))+1)/80,1))))))*CROQUIS!$C$159)+IF(CROQUIS!$C$92="X",0,0)),-1000)</f>
        <v>-1000</v>
      </c>
      <c r="BR174">
        <f>IF(AND(CROQUIS!$C$88=1,CROQUIS!$C$91=0,CROQUIS!$C$133&gt;0,OR(CROQUIS!$C$103=1,CROQUIS!$C$145=1)),((CROQUIS!$C$160+(IF(CROQUIS!$C$92="X",CHOOSE(IF(INT(($A174-1)/5)&gt;MAX((MAX(1,INT(((CROQUIS!$C$98)-CROQUIS!$C$107)/MAX((CROQUIS!$C$133*MAX(1,CEILING((INT(((CROQUIS!$C$98)-CROQUIS!$C$107)/MAX(CROQUIS!$C$133,1))+1)/80,1))),1))+1))-1,0),0,MOD($A174-1,5))+1,0,IF(CROQUIS!$C$103=1,-12,2),CROQUIS!$C$107/2+CROQUIS!$C$143,IF(CROQUIS!$C$103=1,-12,2),0),((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BS1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+1,0,IF(CROQUIS!$C$103=1,-12,2),CROQUIS!$C$107/2+CROQUIS!$C$143,IF(CROQUIS!$C$103=1,-12,2),0)))*CROQUIS!$C$159)+IF(CROQUIS!$C$92="X",0.8,0)),-1000)</f>
        <v>-1000</v>
      </c>
      <c r="BT174">
        <f>IF(AND(CROQUIS!$C$88=1,CROQUIS!$C$91=0,CROQUIS!$C$133&gt;0,OR(CROQUIS!$C$104=1,CROQUIS!$C$145=1)),((CROQUIS!$C$160+(IF(CROQUIS!$C$92="X",CHOOSE(IF(INT(($A174-1)/5)&gt;MAX((MAX(1,INT(((CROQUIS!$C$98)-CROQUIS!$C$107)/MAX((CROQUIS!$C$133*MAX(1,CEILING((INT(((CROQUIS!$C$98)-CROQUIS!$C$107)/MAX(CROQUIS!$C$133,1))+1)/80,1))),1))+1))-1,0),0,MOD($A174-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BU1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CROQUIS!$C$97,CROQUIS!$C$97-CROQUIS!$C$107/2-CROQUIS!$C$143,IF(CROQUIS!$C$104=1,CROQUIS!$C$97+12,CROQUIS!$C$97-2),CROQUIS!$C$97-CROQUIS!$C$107/2-CROQUIS!$C$143,CROQUIS!$C$97)))*CROQUIS!$C$159)+IF(CROQUIS!$C$92="X",0.8,0)),-1000)</f>
        <v>-1000</v>
      </c>
      <c r="BV1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HOOSE(IF(INT(($A174-1)/5)&gt;MAX((MAX(1,INT(((CROQUIS!$C$97)-CROQUIS!$C$107)/MAX((CROQUIS!$C$141*MAX(1,CEILING((INT(((CROQUIS!$C$97)-CROQUIS!$C$107)/MAX(CROQUIS!$C$141,1))+1)/80,1))),1))+1))-1,0),0,MOD($A174-1,5))+1,0,IF(CROQUIS!$C$105=1,-12,2),CROQUIS!$C$107/2+CROQUIS!$C$144,IF(CROQUIS!$C$105=1,-12,2),0)))*CROQUIS!$C$159)+IF(CROQUIS!$C$92="X",0.8,0)),-1000)</f>
        <v>-1000</v>
      </c>
      <c r="BW174">
        <f>IF(AND(CROQUIS!$C$88=1,CROQUIS!$C$91=0,CROQUIS!$C$141&gt;0,OR(CROQUIS!$C$105=1,CROQUIS!$C$146=1)),((CROQUIS!$C$161+(IF(CROQUIS!$C$92="X",CHOOSE(IF(INT(($A174-1)/5)&gt;MAX((MAX(1,INT(((CROQUIS!$C$97)-CROQUIS!$C$107)/MAX((CROQUIS!$C$141*MAX(1,CEILING((INT(((CROQUIS!$C$97)-CROQUIS!$C$107)/MAX(CROQUIS!$C$141,1))+1)/80,1))),1))+1))-1,0),0,MOD($A174-1,5))+1,0,IF(CROQUIS!$C$105=1,-12,2),CROQUIS!$C$107/2+CROQUIS!$C$144,IF(CROQUIS!$C$105=1,-12,2),0),((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ROQUIS!$C$159)+IF(CROQUIS!$C$92="X",0,0.8)),-1000)</f>
        <v>-1000</v>
      </c>
      <c r="BX1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HOOSE(IF(INT(($A174-1)/5)&gt;MAX((MAX(1,INT(((CROQUIS!$C$97)-CROQUIS!$C$107)/MAX((CROQUIS!$C$141*MAX(1,CEILING((INT(((CROQUIS!$C$97)-CROQUIS!$C$107)/MAX(CROQUIS!$C$141,1))+1)/80,1))),1))+1))-1,0),0,MOD($A174-1,5))+1,CROQUIS!$C$98,CROQUIS!$C$98-CROQUIS!$C$107/2-CROQUIS!$C$144,IF(CROQUIS!$C$106=1,CROQUIS!$C$98+12,CROQUIS!$C$98-2),CROQUIS!$C$98-CROQUIS!$C$107/2-CROQUIS!$C$144,CROQUIS!$C$98)))*CROQUIS!$C$159)+IF(CROQUIS!$C$92="X",0.8,0)),-1000)</f>
        <v>-1000</v>
      </c>
      <c r="BY174">
        <f>IF(AND(CROQUIS!$C$88=1,CROQUIS!$C$91=0,CROQUIS!$C$141&gt;0,OR(CROQUIS!$C$106=1,CROQUIS!$C$146=1)),((CROQUIS!$C$161+(IF(CROQUIS!$C$92="X",CHOOSE(IF(INT(($A174-1)/5)&gt;MAX((MAX(1,INT(((CROQUIS!$C$97)-CROQUIS!$C$107)/MAX((CROQUIS!$C$141*MAX(1,CEILING((INT(((CROQUIS!$C$97)-CROQUIS!$C$107)/MAX(CROQUIS!$C$141,1))+1)/80,1))),1))+1))-1,0),0,MOD($A174-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ROQUIS!$C$159)+IF(CROQUIS!$C$92="X",0,0.8)),-1000)</f>
        <v>-1000</v>
      </c>
      <c r="BZ174">
        <f>IF(AND(CROQUIS!$C$88=1,CROQUIS!$C$91=1,CROQUIS!$C$133&gt;0),((CROQUIS!$C$160+(IF(CROQUIS!$C$92="X",CHOOSE(IF(INT(($A174-1)/5)&gt;MAX((MAX(1,INT(((CROQUIS!$C$98)-CROQUIS!$C$107)/MAX((CROQUIS!$C$133*MAX(1,CEILING((INT(((CROQUIS!$C$98)-CROQUIS!$C$107)/MAX(CROQUIS!$C$133,1))+1)/80,1))),1))+1))-1,0),0,MOD($A174-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CA174">
        <f>IF(AND(CROQUIS!$C$88=1,CROQUIS!$C$91=1,CROQUIS!$C$133&gt;0),((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5">
      <c r="A175" t="n">
        <v>168</v>
      </c>
      <c r="BN175">
        <f>IF(AND(CROQUIS!$C$88=1,CROQUIS!$C$129&gt;0),((CROQUIS!$C$160+(IF(CROQUIS!$C$92="X",CHOOSE(IF(INT(($A175-1)/5)&gt;MAX((MAX(1,INT(((CROQUIS!$C$98)-CROQUIS!$C$107)/MAX((CROQUIS!$C$129*MAX(1,CEILING((INT(((CROQUIS!$C$98)-CROQUIS!$C$107)/MAX(CROQUIS!$C$129,1))+1)/80,1))),1))+1))-1,0),0,MOD($A175-1,5))+1,0,2,CROQUIS!$C$97-2,2,0),((CROQUIS!$C$107/2+(((CROQUIS!$C$98)-CROQUIS!$C$107)-(MAX(1,INT(((CROQUIS!$C$98)-CROQUIS!$C$107)/MAX((CROQUIS!$C$129*MAX(1,CEILING((INT(((CROQUIS!$C$98)-CROQUIS!$C$107)/MAX(CROQUIS!$C$129,1))+1)/80,1))),1))+1)-1)*(CROQUIS!$C$129*MAX(1,CEILING((INT(((CROQUIS!$C$98)-CROQUIS!$C$107)/MAX(CROQUIS!$C$129,1))+1)/80,1))))/2)+MIN(INT(($A175-1)/5),MAX((MAX(1,INT(((CROQUIS!$C$98)-CROQUIS!$C$107)/MAX((CROQUIS!$C$129*MAX(1,CEILING((INT(((CROQUIS!$C$98)-CROQUIS!$C$107)/MAX(CROQUIS!$C$129,1))+1)/80,1))),1))+1))-1,0))*(CROQUIS!$C$129*MAX(1,CEILING((INT(((CROQUIS!$C$98)-CROQUIS!$C$107)/MAX(CROQUIS!$C$129,1))+1)/80,1))))))*CROQUIS!$C$159)+IF(CROQUIS!$C$92="X",0,0)),-1000)</f>
        <v>-1000</v>
      </c>
      <c r="BO175">
        <f>IF(AND(CROQUIS!$C$88=1,CROQUIS!$C$129&gt;0),((CROQUIS!$C$161+(IF(CROQUIS!$C$92="X",((CROQUIS!$C$107/2+(((CROQUIS!$C$98)-CROQUIS!$C$107)-(MAX(1,INT(((CROQUIS!$C$98)-CROQUIS!$C$107)/MAX((CROQUIS!$C$129*MAX(1,CEILING((INT(((CROQUIS!$C$98)-CROQUIS!$C$107)/MAX(CROQUIS!$C$129,1))+1)/80,1))),1))+1)-1)*(CROQUIS!$C$129*MAX(1,CEILING((INT(((CROQUIS!$C$98)-CROQUIS!$C$107)/MAX(CROQUIS!$C$129,1))+1)/80,1))))/2)+MIN(INT(($A175-1)/5),MAX((MAX(1,INT(((CROQUIS!$C$98)-CROQUIS!$C$107)/MAX((CROQUIS!$C$129*MAX(1,CEILING((INT(((CROQUIS!$C$98)-CROQUIS!$C$107)/MAX(CROQUIS!$C$129,1))+1)/80,1))),1))+1))-1,0))*(CROQUIS!$C$129*MAX(1,CEILING((INT(((CROQUIS!$C$98)-CROQUIS!$C$107)/MAX(CROQUIS!$C$129,1))+1)/80,1)))),CHOOSE(IF(INT(($A175-1)/5)&gt;MAX((MAX(1,INT(((CROQUIS!$C$98)-CROQUIS!$C$107)/MAX((CROQUIS!$C$129*MAX(1,CEILING((INT(((CROQUIS!$C$98)-CROQUIS!$C$107)/MAX(CROQUIS!$C$129,1))+1)/80,1))),1))+1))-1,0),0,MOD($A175-1,5))+1,0,2,CROQUIS!$C$97-2,2,0)))*CROQUIS!$C$159)+IF(CROQUIS!$C$92="X",0,0)),-1000)</f>
        <v>-1000</v>
      </c>
      <c r="BP175">
        <f>IF(AND(CROQUIS!$C$88=1,CROQUIS!$C$137&gt;0),((CROQUIS!$C$160+(IF(CROQUIS!$C$92="X",((CROQUIS!$C$107/2+(((CROQUIS!$C$97)-CROQUIS!$C$107)-(MAX(1,INT(((CROQUIS!$C$97)-CROQUIS!$C$107)/MAX((CROQUIS!$C$137*MAX(1,CEILING((INT(((CROQUIS!$C$97)-CROQUIS!$C$107)/MAX(CROQUIS!$C$137,1))+1)/80,1))),1))+1)-1)*(CROQUIS!$C$137*MAX(1,CEILING((INT(((CROQUIS!$C$97)-CROQUIS!$C$107)/MAX(CROQUIS!$C$137,1))+1)/80,1))))/2)+MIN(INT(($A175-1)/5),MAX((MAX(1,INT(((CROQUIS!$C$97)-CROQUIS!$C$107)/MAX((CROQUIS!$C$137*MAX(1,CEILING((INT(((CROQUIS!$C$97)-CROQUIS!$C$107)/MAX(CROQUIS!$C$137,1))+1)/80,1))),1))+1))-1,0))*(CROQUIS!$C$137*MAX(1,CEILING((INT(((CROQUIS!$C$97)-CROQUIS!$C$107)/MAX(CROQUIS!$C$137,1))+1)/80,1)))),CHOOSE(IF(INT(($A175-1)/5)&gt;MAX((MAX(1,INT(((CROQUIS!$C$97)-CROQUIS!$C$107)/MAX((CROQUIS!$C$137*MAX(1,CEILING((INT(((CROQUIS!$C$97)-CROQUIS!$C$107)/MAX(CROQUIS!$C$137,1))+1)/80,1))),1))+1))-1,0),0,MOD($A175-1,5))+1,0,2,CROQUIS!$C$98-2,2,0)))*CROQUIS!$C$159)+IF(CROQUIS!$C$92="X",0,0)),-1000)</f>
        <v>-1000</v>
      </c>
      <c r="BQ175">
        <f>IF(AND(CROQUIS!$C$88=1,CROQUIS!$C$137&gt;0),((CROQUIS!$C$161+(IF(CROQUIS!$C$92="X",CHOOSE(IF(INT(($A175-1)/5)&gt;MAX((MAX(1,INT(((CROQUIS!$C$97)-CROQUIS!$C$107)/MAX((CROQUIS!$C$137*MAX(1,CEILING((INT(((CROQUIS!$C$97)-CROQUIS!$C$107)/MAX(CROQUIS!$C$137,1))+1)/80,1))),1))+1))-1,0),0,MOD($A175-1,5))+1,0,2,CROQUIS!$C$98-2,2,0),((CROQUIS!$C$107/2+(((CROQUIS!$C$97)-CROQUIS!$C$107)-(MAX(1,INT(((CROQUIS!$C$97)-CROQUIS!$C$107)/MAX((CROQUIS!$C$137*MAX(1,CEILING((INT(((CROQUIS!$C$97)-CROQUIS!$C$107)/MAX(CROQUIS!$C$137,1))+1)/80,1))),1))+1)-1)*(CROQUIS!$C$137*MAX(1,CEILING((INT(((CROQUIS!$C$97)-CROQUIS!$C$107)/MAX(CROQUIS!$C$137,1))+1)/80,1))))/2)+MIN(INT(($A175-1)/5),MAX((MAX(1,INT(((CROQUIS!$C$97)-CROQUIS!$C$107)/MAX((CROQUIS!$C$137*MAX(1,CEILING((INT(((CROQUIS!$C$97)-CROQUIS!$C$107)/MAX(CROQUIS!$C$137,1))+1)/80,1))),1))+1))-1,0))*(CROQUIS!$C$137*MAX(1,CEILING((INT(((CROQUIS!$C$97)-CROQUIS!$C$107)/MAX(CROQUIS!$C$137,1))+1)/80,1))))))*CROQUIS!$C$159)+IF(CROQUIS!$C$92="X",0,0)),-1000)</f>
        <v>-1000</v>
      </c>
      <c r="BR175">
        <f>IF(AND(CROQUIS!$C$88=1,CROQUIS!$C$91=0,CROQUIS!$C$133&gt;0,OR(CROQUIS!$C$103=1,CROQUIS!$C$145=1)),((CROQUIS!$C$160+(IF(CROQUIS!$C$92="X",CHOOSE(IF(INT(($A175-1)/5)&gt;MAX((MAX(1,INT(((CROQUIS!$C$98)-CROQUIS!$C$107)/MAX((CROQUIS!$C$133*MAX(1,CEILING((INT(((CROQUIS!$C$98)-CROQUIS!$C$107)/MAX(CROQUIS!$C$133,1))+1)/80,1))),1))+1))-1,0),0,MOD($A175-1,5))+1,0,IF(CROQUIS!$C$103=1,-12,2),CROQUIS!$C$107/2+CROQUIS!$C$143,IF(CROQUIS!$C$103=1,-12,2),0),((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BS1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+1,0,IF(CROQUIS!$C$103=1,-12,2),CROQUIS!$C$107/2+CROQUIS!$C$143,IF(CROQUIS!$C$103=1,-12,2),0)))*CROQUIS!$C$159)+IF(CROQUIS!$C$92="X",0.8,0)),-1000)</f>
        <v>-1000</v>
      </c>
      <c r="BT175">
        <f>IF(AND(CROQUIS!$C$88=1,CROQUIS!$C$91=0,CROQUIS!$C$133&gt;0,OR(CROQUIS!$C$104=1,CROQUIS!$C$145=1)),((CROQUIS!$C$160+(IF(CROQUIS!$C$92="X",CHOOSE(IF(INT(($A175-1)/5)&gt;MAX((MAX(1,INT(((CROQUIS!$C$98)-CROQUIS!$C$107)/MAX((CROQUIS!$C$133*MAX(1,CEILING((INT(((CROQUIS!$C$98)-CROQUIS!$C$107)/MAX(CROQUIS!$C$133,1))+1)/80,1))),1))+1))-1,0),0,MOD($A175-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BU1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CROQUIS!$C$97,CROQUIS!$C$97-CROQUIS!$C$107/2-CROQUIS!$C$143,IF(CROQUIS!$C$104=1,CROQUIS!$C$97+12,CROQUIS!$C$97-2),CROQUIS!$C$97-CROQUIS!$C$107/2-CROQUIS!$C$143,CROQUIS!$C$97)))*CROQUIS!$C$159)+IF(CROQUIS!$C$92="X",0.8,0)),-1000)</f>
        <v>-1000</v>
      </c>
      <c r="BV1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HOOSE(IF(INT(($A175-1)/5)&gt;MAX((MAX(1,INT(((CROQUIS!$C$97)-CROQUIS!$C$107)/MAX((CROQUIS!$C$141*MAX(1,CEILING((INT(((CROQUIS!$C$97)-CROQUIS!$C$107)/MAX(CROQUIS!$C$141,1))+1)/80,1))),1))+1))-1,0),0,MOD($A175-1,5))+1,0,IF(CROQUIS!$C$105=1,-12,2),CROQUIS!$C$107/2+CROQUIS!$C$144,IF(CROQUIS!$C$105=1,-12,2),0)))*CROQUIS!$C$159)+IF(CROQUIS!$C$92="X",0.8,0)),-1000)</f>
        <v>-1000</v>
      </c>
      <c r="BW175">
        <f>IF(AND(CROQUIS!$C$88=1,CROQUIS!$C$91=0,CROQUIS!$C$141&gt;0,OR(CROQUIS!$C$105=1,CROQUIS!$C$146=1)),((CROQUIS!$C$161+(IF(CROQUIS!$C$92="X",CHOOSE(IF(INT(($A175-1)/5)&gt;MAX((MAX(1,INT(((CROQUIS!$C$97)-CROQUIS!$C$107)/MAX((CROQUIS!$C$141*MAX(1,CEILING((INT(((CROQUIS!$C$97)-CROQUIS!$C$107)/MAX(CROQUIS!$C$141,1))+1)/80,1))),1))+1))-1,0),0,MOD($A175-1,5))+1,0,IF(CROQUIS!$C$105=1,-12,2),CROQUIS!$C$107/2+CROQUIS!$C$144,IF(CROQUIS!$C$105=1,-12,2),0),((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ROQUIS!$C$159)+IF(CROQUIS!$C$92="X",0,0.8)),-1000)</f>
        <v>-1000</v>
      </c>
      <c r="BX1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HOOSE(IF(INT(($A175-1)/5)&gt;MAX((MAX(1,INT(((CROQUIS!$C$97)-CROQUIS!$C$107)/MAX((CROQUIS!$C$141*MAX(1,CEILING((INT(((CROQUIS!$C$97)-CROQUIS!$C$107)/MAX(CROQUIS!$C$141,1))+1)/80,1))),1))+1))-1,0),0,MOD($A175-1,5))+1,CROQUIS!$C$98,CROQUIS!$C$98-CROQUIS!$C$107/2-CROQUIS!$C$144,IF(CROQUIS!$C$106=1,CROQUIS!$C$98+12,CROQUIS!$C$98-2),CROQUIS!$C$98-CROQUIS!$C$107/2-CROQUIS!$C$144,CROQUIS!$C$98)))*CROQUIS!$C$159)+IF(CROQUIS!$C$92="X",0.8,0)),-1000)</f>
        <v>-1000</v>
      </c>
      <c r="BY175">
        <f>IF(AND(CROQUIS!$C$88=1,CROQUIS!$C$91=0,CROQUIS!$C$141&gt;0,OR(CROQUIS!$C$106=1,CROQUIS!$C$146=1)),((CROQUIS!$C$161+(IF(CROQUIS!$C$92="X",CHOOSE(IF(INT(($A175-1)/5)&gt;MAX((MAX(1,INT(((CROQUIS!$C$97)-CROQUIS!$C$107)/MAX((CROQUIS!$C$141*MAX(1,CEILING((INT(((CROQUIS!$C$97)-CROQUIS!$C$107)/MAX(CROQUIS!$C$141,1))+1)/80,1))),1))+1))-1,0),0,MOD($A175-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ROQUIS!$C$159)+IF(CROQUIS!$C$92="X",0,0.8)),-1000)</f>
        <v>-1000</v>
      </c>
      <c r="BZ175">
        <f>IF(AND(CROQUIS!$C$88=1,CROQUIS!$C$91=1,CROQUIS!$C$133&gt;0),((CROQUIS!$C$160+(IF(CROQUIS!$C$92="X",CHOOSE(IF(INT(($A175-1)/5)&gt;MAX((MAX(1,INT(((CROQUIS!$C$98)-CROQUIS!$C$107)/MAX((CROQUIS!$C$133*MAX(1,CEILING((INT(((CROQUIS!$C$98)-CROQUIS!$C$107)/MAX(CROQUIS!$C$133,1))+1)/80,1))),1))+1))-1,0),0,MOD($A175-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CA175">
        <f>IF(AND(CROQUIS!$C$88=1,CROQUIS!$C$91=1,CROQUIS!$C$133&gt;0),((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6">
      <c r="A176" t="n">
        <v>169</v>
      </c>
      <c r="BN176">
        <f>IF(AND(CROQUIS!$C$88=1,CROQUIS!$C$129&gt;0),((CROQUIS!$C$160+(IF(CROQUIS!$C$92="X",CHOOSE(IF(INT(($A176-1)/5)&gt;MAX((MAX(1,INT(((CROQUIS!$C$98)-CROQUIS!$C$107)/MAX((CROQUIS!$C$129*MAX(1,CEILING((INT(((CROQUIS!$C$98)-CROQUIS!$C$107)/MAX(CROQUIS!$C$129,1))+1)/80,1))),1))+1))-1,0),0,MOD($A176-1,5))+1,0,2,CROQUIS!$C$97-2,2,0),((CROQUIS!$C$107/2+(((CROQUIS!$C$98)-CROQUIS!$C$107)-(MAX(1,INT(((CROQUIS!$C$98)-CROQUIS!$C$107)/MAX((CROQUIS!$C$129*MAX(1,CEILING((INT(((CROQUIS!$C$98)-CROQUIS!$C$107)/MAX(CROQUIS!$C$129,1))+1)/80,1))),1))+1)-1)*(CROQUIS!$C$129*MAX(1,CEILING((INT(((CROQUIS!$C$98)-CROQUIS!$C$107)/MAX(CROQUIS!$C$129,1))+1)/80,1))))/2)+MIN(INT(($A176-1)/5),MAX((MAX(1,INT(((CROQUIS!$C$98)-CROQUIS!$C$107)/MAX((CROQUIS!$C$129*MAX(1,CEILING((INT(((CROQUIS!$C$98)-CROQUIS!$C$107)/MAX(CROQUIS!$C$129,1))+1)/80,1))),1))+1))-1,0))*(CROQUIS!$C$129*MAX(1,CEILING((INT(((CROQUIS!$C$98)-CROQUIS!$C$107)/MAX(CROQUIS!$C$129,1))+1)/80,1))))))*CROQUIS!$C$159)+IF(CROQUIS!$C$92="X",0,0)),-1000)</f>
        <v>-1000</v>
      </c>
      <c r="BO176">
        <f>IF(AND(CROQUIS!$C$88=1,CROQUIS!$C$129&gt;0),((CROQUIS!$C$161+(IF(CROQUIS!$C$92="X",((CROQUIS!$C$107/2+(((CROQUIS!$C$98)-CROQUIS!$C$107)-(MAX(1,INT(((CROQUIS!$C$98)-CROQUIS!$C$107)/MAX((CROQUIS!$C$129*MAX(1,CEILING((INT(((CROQUIS!$C$98)-CROQUIS!$C$107)/MAX(CROQUIS!$C$129,1))+1)/80,1))),1))+1)-1)*(CROQUIS!$C$129*MAX(1,CEILING((INT(((CROQUIS!$C$98)-CROQUIS!$C$107)/MAX(CROQUIS!$C$129,1))+1)/80,1))))/2)+MIN(INT(($A176-1)/5),MAX((MAX(1,INT(((CROQUIS!$C$98)-CROQUIS!$C$107)/MAX((CROQUIS!$C$129*MAX(1,CEILING((INT(((CROQUIS!$C$98)-CROQUIS!$C$107)/MAX(CROQUIS!$C$129,1))+1)/80,1))),1))+1))-1,0))*(CROQUIS!$C$129*MAX(1,CEILING((INT(((CROQUIS!$C$98)-CROQUIS!$C$107)/MAX(CROQUIS!$C$129,1))+1)/80,1)))),CHOOSE(IF(INT(($A176-1)/5)&gt;MAX((MAX(1,INT(((CROQUIS!$C$98)-CROQUIS!$C$107)/MAX((CROQUIS!$C$129*MAX(1,CEILING((INT(((CROQUIS!$C$98)-CROQUIS!$C$107)/MAX(CROQUIS!$C$129,1))+1)/80,1))),1))+1))-1,0),0,MOD($A176-1,5))+1,0,2,CROQUIS!$C$97-2,2,0)))*CROQUIS!$C$159)+IF(CROQUIS!$C$92="X",0,0)),-1000)</f>
        <v>-1000</v>
      </c>
      <c r="BP176">
        <f>IF(AND(CROQUIS!$C$88=1,CROQUIS!$C$137&gt;0),((CROQUIS!$C$160+(IF(CROQUIS!$C$92="X",((CROQUIS!$C$107/2+(((CROQUIS!$C$97)-CROQUIS!$C$107)-(MAX(1,INT(((CROQUIS!$C$97)-CROQUIS!$C$107)/MAX((CROQUIS!$C$137*MAX(1,CEILING((INT(((CROQUIS!$C$97)-CROQUIS!$C$107)/MAX(CROQUIS!$C$137,1))+1)/80,1))),1))+1)-1)*(CROQUIS!$C$137*MAX(1,CEILING((INT(((CROQUIS!$C$97)-CROQUIS!$C$107)/MAX(CROQUIS!$C$137,1))+1)/80,1))))/2)+MIN(INT(($A176-1)/5),MAX((MAX(1,INT(((CROQUIS!$C$97)-CROQUIS!$C$107)/MAX((CROQUIS!$C$137*MAX(1,CEILING((INT(((CROQUIS!$C$97)-CROQUIS!$C$107)/MAX(CROQUIS!$C$137,1))+1)/80,1))),1))+1))-1,0))*(CROQUIS!$C$137*MAX(1,CEILING((INT(((CROQUIS!$C$97)-CROQUIS!$C$107)/MAX(CROQUIS!$C$137,1))+1)/80,1)))),CHOOSE(IF(INT(($A176-1)/5)&gt;MAX((MAX(1,INT(((CROQUIS!$C$97)-CROQUIS!$C$107)/MAX((CROQUIS!$C$137*MAX(1,CEILING((INT(((CROQUIS!$C$97)-CROQUIS!$C$107)/MAX(CROQUIS!$C$137,1))+1)/80,1))),1))+1))-1,0),0,MOD($A176-1,5))+1,0,2,CROQUIS!$C$98-2,2,0)))*CROQUIS!$C$159)+IF(CROQUIS!$C$92="X",0,0)),-1000)</f>
        <v>-1000</v>
      </c>
      <c r="BQ176">
        <f>IF(AND(CROQUIS!$C$88=1,CROQUIS!$C$137&gt;0),((CROQUIS!$C$161+(IF(CROQUIS!$C$92="X",CHOOSE(IF(INT(($A176-1)/5)&gt;MAX((MAX(1,INT(((CROQUIS!$C$97)-CROQUIS!$C$107)/MAX((CROQUIS!$C$137*MAX(1,CEILING((INT(((CROQUIS!$C$97)-CROQUIS!$C$107)/MAX(CROQUIS!$C$137,1))+1)/80,1))),1))+1))-1,0),0,MOD($A176-1,5))+1,0,2,CROQUIS!$C$98-2,2,0),((CROQUIS!$C$107/2+(((CROQUIS!$C$97)-CROQUIS!$C$107)-(MAX(1,INT(((CROQUIS!$C$97)-CROQUIS!$C$107)/MAX((CROQUIS!$C$137*MAX(1,CEILING((INT(((CROQUIS!$C$97)-CROQUIS!$C$107)/MAX(CROQUIS!$C$137,1))+1)/80,1))),1))+1)-1)*(CROQUIS!$C$137*MAX(1,CEILING((INT(((CROQUIS!$C$97)-CROQUIS!$C$107)/MAX(CROQUIS!$C$137,1))+1)/80,1))))/2)+MIN(INT(($A176-1)/5),MAX((MAX(1,INT(((CROQUIS!$C$97)-CROQUIS!$C$107)/MAX((CROQUIS!$C$137*MAX(1,CEILING((INT(((CROQUIS!$C$97)-CROQUIS!$C$107)/MAX(CROQUIS!$C$137,1))+1)/80,1))),1))+1))-1,0))*(CROQUIS!$C$137*MAX(1,CEILING((INT(((CROQUIS!$C$97)-CROQUIS!$C$107)/MAX(CROQUIS!$C$137,1))+1)/80,1))))))*CROQUIS!$C$159)+IF(CROQUIS!$C$92="X",0,0)),-1000)</f>
        <v>-1000</v>
      </c>
      <c r="BR176">
        <f>IF(AND(CROQUIS!$C$88=1,CROQUIS!$C$91=0,CROQUIS!$C$133&gt;0,OR(CROQUIS!$C$103=1,CROQUIS!$C$145=1)),((CROQUIS!$C$160+(IF(CROQUIS!$C$92="X",CHOOSE(IF(INT(($A176-1)/5)&gt;MAX((MAX(1,INT(((CROQUIS!$C$98)-CROQUIS!$C$107)/MAX((CROQUIS!$C$133*MAX(1,CEILING((INT(((CROQUIS!$C$98)-CROQUIS!$C$107)/MAX(CROQUIS!$C$133,1))+1)/80,1))),1))+1))-1,0),0,MOD($A176-1,5))+1,0,IF(CROQUIS!$C$103=1,-12,2),CROQUIS!$C$107/2+CROQUIS!$C$143,IF(CROQUIS!$C$103=1,-12,2),0),((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BS1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+1,0,IF(CROQUIS!$C$103=1,-12,2),CROQUIS!$C$107/2+CROQUIS!$C$143,IF(CROQUIS!$C$103=1,-12,2),0)))*CROQUIS!$C$159)+IF(CROQUIS!$C$92="X",0.8,0)),-1000)</f>
        <v>-1000</v>
      </c>
      <c r="BT176">
        <f>IF(AND(CROQUIS!$C$88=1,CROQUIS!$C$91=0,CROQUIS!$C$133&gt;0,OR(CROQUIS!$C$104=1,CROQUIS!$C$145=1)),((CROQUIS!$C$160+(IF(CROQUIS!$C$92="X",CHOOSE(IF(INT(($A176-1)/5)&gt;MAX((MAX(1,INT(((CROQUIS!$C$98)-CROQUIS!$C$107)/MAX((CROQUIS!$C$133*MAX(1,CEILING((INT(((CROQUIS!$C$98)-CROQUIS!$C$107)/MAX(CROQUIS!$C$133,1))+1)/80,1))),1))+1))-1,0),0,MOD($A176-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BU1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CROQUIS!$C$97,CROQUIS!$C$97-CROQUIS!$C$107/2-CROQUIS!$C$143,IF(CROQUIS!$C$104=1,CROQUIS!$C$97+12,CROQUIS!$C$97-2),CROQUIS!$C$97-CROQUIS!$C$107/2-CROQUIS!$C$143,CROQUIS!$C$97)))*CROQUIS!$C$159)+IF(CROQUIS!$C$92="X",0.8,0)),-1000)</f>
        <v>-1000</v>
      </c>
      <c r="BV1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HOOSE(IF(INT(($A176-1)/5)&gt;MAX((MAX(1,INT(((CROQUIS!$C$97)-CROQUIS!$C$107)/MAX((CROQUIS!$C$141*MAX(1,CEILING((INT(((CROQUIS!$C$97)-CROQUIS!$C$107)/MAX(CROQUIS!$C$141,1))+1)/80,1))),1))+1))-1,0),0,MOD($A176-1,5))+1,0,IF(CROQUIS!$C$105=1,-12,2),CROQUIS!$C$107/2+CROQUIS!$C$144,IF(CROQUIS!$C$105=1,-12,2),0)))*CROQUIS!$C$159)+IF(CROQUIS!$C$92="X",0.8,0)),-1000)</f>
        <v>-1000</v>
      </c>
      <c r="BW176">
        <f>IF(AND(CROQUIS!$C$88=1,CROQUIS!$C$91=0,CROQUIS!$C$141&gt;0,OR(CROQUIS!$C$105=1,CROQUIS!$C$146=1)),((CROQUIS!$C$161+(IF(CROQUIS!$C$92="X",CHOOSE(IF(INT(($A176-1)/5)&gt;MAX((MAX(1,INT(((CROQUIS!$C$97)-CROQUIS!$C$107)/MAX((CROQUIS!$C$141*MAX(1,CEILING((INT(((CROQUIS!$C$97)-CROQUIS!$C$107)/MAX(CROQUIS!$C$141,1))+1)/80,1))),1))+1))-1,0),0,MOD($A176-1,5))+1,0,IF(CROQUIS!$C$105=1,-12,2),CROQUIS!$C$107/2+CROQUIS!$C$144,IF(CROQUIS!$C$105=1,-12,2),0),((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ROQUIS!$C$159)+IF(CROQUIS!$C$92="X",0,0.8)),-1000)</f>
        <v>-1000</v>
      </c>
      <c r="BX1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HOOSE(IF(INT(($A176-1)/5)&gt;MAX((MAX(1,INT(((CROQUIS!$C$97)-CROQUIS!$C$107)/MAX((CROQUIS!$C$141*MAX(1,CEILING((INT(((CROQUIS!$C$97)-CROQUIS!$C$107)/MAX(CROQUIS!$C$141,1))+1)/80,1))),1))+1))-1,0),0,MOD($A176-1,5))+1,CROQUIS!$C$98,CROQUIS!$C$98-CROQUIS!$C$107/2-CROQUIS!$C$144,IF(CROQUIS!$C$106=1,CROQUIS!$C$98+12,CROQUIS!$C$98-2),CROQUIS!$C$98-CROQUIS!$C$107/2-CROQUIS!$C$144,CROQUIS!$C$98)))*CROQUIS!$C$159)+IF(CROQUIS!$C$92="X",0.8,0)),-1000)</f>
        <v>-1000</v>
      </c>
      <c r="BY176">
        <f>IF(AND(CROQUIS!$C$88=1,CROQUIS!$C$91=0,CROQUIS!$C$141&gt;0,OR(CROQUIS!$C$106=1,CROQUIS!$C$146=1)),((CROQUIS!$C$161+(IF(CROQUIS!$C$92="X",CHOOSE(IF(INT(($A176-1)/5)&gt;MAX((MAX(1,INT(((CROQUIS!$C$97)-CROQUIS!$C$107)/MAX((CROQUIS!$C$141*MAX(1,CEILING((INT(((CROQUIS!$C$97)-CROQUIS!$C$107)/MAX(CROQUIS!$C$141,1))+1)/80,1))),1))+1))-1,0),0,MOD($A176-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ROQUIS!$C$159)+IF(CROQUIS!$C$92="X",0,0.8)),-1000)</f>
        <v>-1000</v>
      </c>
      <c r="BZ176">
        <f>IF(AND(CROQUIS!$C$88=1,CROQUIS!$C$91=1,CROQUIS!$C$133&gt;0),((CROQUIS!$C$160+(IF(CROQUIS!$C$92="X",CHOOSE(IF(INT(($A176-1)/5)&gt;MAX((MAX(1,INT(((CROQUIS!$C$98)-CROQUIS!$C$107)/MAX((CROQUIS!$C$133*MAX(1,CEILING((INT(((CROQUIS!$C$98)-CROQUIS!$C$107)/MAX(CROQUIS!$C$133,1))+1)/80,1))),1))+1))-1,0),0,MOD($A176-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CA176">
        <f>IF(AND(CROQUIS!$C$88=1,CROQUIS!$C$91=1,CROQUIS!$C$133&gt;0),((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7">
      <c r="A177" t="n">
        <v>170</v>
      </c>
      <c r="BN177">
        <f>IF(AND(CROQUIS!$C$88=1,CROQUIS!$C$129&gt;0),((CROQUIS!$C$160+(IF(CROQUIS!$C$92="X",CHOOSE(IF(INT(($A177-1)/5)&gt;MAX((MAX(1,INT(((CROQUIS!$C$98)-CROQUIS!$C$107)/MAX((CROQUIS!$C$129*MAX(1,CEILING((INT(((CROQUIS!$C$98)-CROQUIS!$C$107)/MAX(CROQUIS!$C$129,1))+1)/80,1))),1))+1))-1,0),0,MOD($A177-1,5))+1,0,2,CROQUIS!$C$97-2,2,0),((CROQUIS!$C$107/2+(((CROQUIS!$C$98)-CROQUIS!$C$107)-(MAX(1,INT(((CROQUIS!$C$98)-CROQUIS!$C$107)/MAX((CROQUIS!$C$129*MAX(1,CEILING((INT(((CROQUIS!$C$98)-CROQUIS!$C$107)/MAX(CROQUIS!$C$129,1))+1)/80,1))),1))+1)-1)*(CROQUIS!$C$129*MAX(1,CEILING((INT(((CROQUIS!$C$98)-CROQUIS!$C$107)/MAX(CROQUIS!$C$129,1))+1)/80,1))))/2)+MIN(INT(($A177-1)/5),MAX((MAX(1,INT(((CROQUIS!$C$98)-CROQUIS!$C$107)/MAX((CROQUIS!$C$129*MAX(1,CEILING((INT(((CROQUIS!$C$98)-CROQUIS!$C$107)/MAX(CROQUIS!$C$129,1))+1)/80,1))),1))+1))-1,0))*(CROQUIS!$C$129*MAX(1,CEILING((INT(((CROQUIS!$C$98)-CROQUIS!$C$107)/MAX(CROQUIS!$C$129,1))+1)/80,1))))))*CROQUIS!$C$159)+IF(CROQUIS!$C$92="X",0,0)),-1000)</f>
        <v>-1000</v>
      </c>
      <c r="BO177">
        <f>IF(AND(CROQUIS!$C$88=1,CROQUIS!$C$129&gt;0),((CROQUIS!$C$161+(IF(CROQUIS!$C$92="X",((CROQUIS!$C$107/2+(((CROQUIS!$C$98)-CROQUIS!$C$107)-(MAX(1,INT(((CROQUIS!$C$98)-CROQUIS!$C$107)/MAX((CROQUIS!$C$129*MAX(1,CEILING((INT(((CROQUIS!$C$98)-CROQUIS!$C$107)/MAX(CROQUIS!$C$129,1))+1)/80,1))),1))+1)-1)*(CROQUIS!$C$129*MAX(1,CEILING((INT(((CROQUIS!$C$98)-CROQUIS!$C$107)/MAX(CROQUIS!$C$129,1))+1)/80,1))))/2)+MIN(INT(($A177-1)/5),MAX((MAX(1,INT(((CROQUIS!$C$98)-CROQUIS!$C$107)/MAX((CROQUIS!$C$129*MAX(1,CEILING((INT(((CROQUIS!$C$98)-CROQUIS!$C$107)/MAX(CROQUIS!$C$129,1))+1)/80,1))),1))+1))-1,0))*(CROQUIS!$C$129*MAX(1,CEILING((INT(((CROQUIS!$C$98)-CROQUIS!$C$107)/MAX(CROQUIS!$C$129,1))+1)/80,1)))),CHOOSE(IF(INT(($A177-1)/5)&gt;MAX((MAX(1,INT(((CROQUIS!$C$98)-CROQUIS!$C$107)/MAX((CROQUIS!$C$129*MAX(1,CEILING((INT(((CROQUIS!$C$98)-CROQUIS!$C$107)/MAX(CROQUIS!$C$129,1))+1)/80,1))),1))+1))-1,0),0,MOD($A177-1,5))+1,0,2,CROQUIS!$C$97-2,2,0)))*CROQUIS!$C$159)+IF(CROQUIS!$C$92="X",0,0)),-1000)</f>
        <v>-1000</v>
      </c>
      <c r="BP177">
        <f>IF(AND(CROQUIS!$C$88=1,CROQUIS!$C$137&gt;0),((CROQUIS!$C$160+(IF(CROQUIS!$C$92="X",((CROQUIS!$C$107/2+(((CROQUIS!$C$97)-CROQUIS!$C$107)-(MAX(1,INT(((CROQUIS!$C$97)-CROQUIS!$C$107)/MAX((CROQUIS!$C$137*MAX(1,CEILING((INT(((CROQUIS!$C$97)-CROQUIS!$C$107)/MAX(CROQUIS!$C$137,1))+1)/80,1))),1))+1)-1)*(CROQUIS!$C$137*MAX(1,CEILING((INT(((CROQUIS!$C$97)-CROQUIS!$C$107)/MAX(CROQUIS!$C$137,1))+1)/80,1))))/2)+MIN(INT(($A177-1)/5),MAX((MAX(1,INT(((CROQUIS!$C$97)-CROQUIS!$C$107)/MAX((CROQUIS!$C$137*MAX(1,CEILING((INT(((CROQUIS!$C$97)-CROQUIS!$C$107)/MAX(CROQUIS!$C$137,1))+1)/80,1))),1))+1))-1,0))*(CROQUIS!$C$137*MAX(1,CEILING((INT(((CROQUIS!$C$97)-CROQUIS!$C$107)/MAX(CROQUIS!$C$137,1))+1)/80,1)))),CHOOSE(IF(INT(($A177-1)/5)&gt;MAX((MAX(1,INT(((CROQUIS!$C$97)-CROQUIS!$C$107)/MAX((CROQUIS!$C$137*MAX(1,CEILING((INT(((CROQUIS!$C$97)-CROQUIS!$C$107)/MAX(CROQUIS!$C$137,1))+1)/80,1))),1))+1))-1,0),0,MOD($A177-1,5))+1,0,2,CROQUIS!$C$98-2,2,0)))*CROQUIS!$C$159)+IF(CROQUIS!$C$92="X",0,0)),-1000)</f>
        <v>-1000</v>
      </c>
      <c r="BQ177">
        <f>IF(AND(CROQUIS!$C$88=1,CROQUIS!$C$137&gt;0),((CROQUIS!$C$161+(IF(CROQUIS!$C$92="X",CHOOSE(IF(INT(($A177-1)/5)&gt;MAX((MAX(1,INT(((CROQUIS!$C$97)-CROQUIS!$C$107)/MAX((CROQUIS!$C$137*MAX(1,CEILING((INT(((CROQUIS!$C$97)-CROQUIS!$C$107)/MAX(CROQUIS!$C$137,1))+1)/80,1))),1))+1))-1,0),0,MOD($A177-1,5))+1,0,2,CROQUIS!$C$98-2,2,0),((CROQUIS!$C$107/2+(((CROQUIS!$C$97)-CROQUIS!$C$107)-(MAX(1,INT(((CROQUIS!$C$97)-CROQUIS!$C$107)/MAX((CROQUIS!$C$137*MAX(1,CEILING((INT(((CROQUIS!$C$97)-CROQUIS!$C$107)/MAX(CROQUIS!$C$137,1))+1)/80,1))),1))+1)-1)*(CROQUIS!$C$137*MAX(1,CEILING((INT(((CROQUIS!$C$97)-CROQUIS!$C$107)/MAX(CROQUIS!$C$137,1))+1)/80,1))))/2)+MIN(INT(($A177-1)/5),MAX((MAX(1,INT(((CROQUIS!$C$97)-CROQUIS!$C$107)/MAX((CROQUIS!$C$137*MAX(1,CEILING((INT(((CROQUIS!$C$97)-CROQUIS!$C$107)/MAX(CROQUIS!$C$137,1))+1)/80,1))),1))+1))-1,0))*(CROQUIS!$C$137*MAX(1,CEILING((INT(((CROQUIS!$C$97)-CROQUIS!$C$107)/MAX(CROQUIS!$C$137,1))+1)/80,1))))))*CROQUIS!$C$159)+IF(CROQUIS!$C$92="X",0,0)),-1000)</f>
        <v>-1000</v>
      </c>
      <c r="BR177">
        <f>IF(AND(CROQUIS!$C$88=1,CROQUIS!$C$91=0,CROQUIS!$C$133&gt;0,OR(CROQUIS!$C$103=1,CROQUIS!$C$145=1)),((CROQUIS!$C$160+(IF(CROQUIS!$C$92="X",CHOOSE(IF(INT(($A177-1)/5)&gt;MAX((MAX(1,INT(((CROQUIS!$C$98)-CROQUIS!$C$107)/MAX((CROQUIS!$C$133*MAX(1,CEILING((INT(((CROQUIS!$C$98)-CROQUIS!$C$107)/MAX(CROQUIS!$C$133,1))+1)/80,1))),1))+1))-1,0),0,MOD($A177-1,5))+1,0,IF(CROQUIS!$C$103=1,-12,2),CROQUIS!$C$107/2+CROQUIS!$C$143,IF(CROQUIS!$C$103=1,-12,2),0),((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BS1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+1,0,IF(CROQUIS!$C$103=1,-12,2),CROQUIS!$C$107/2+CROQUIS!$C$143,IF(CROQUIS!$C$103=1,-12,2),0)))*CROQUIS!$C$159)+IF(CROQUIS!$C$92="X",0.8,0)),-1000)</f>
        <v>-1000</v>
      </c>
      <c r="BT177">
        <f>IF(AND(CROQUIS!$C$88=1,CROQUIS!$C$91=0,CROQUIS!$C$133&gt;0,OR(CROQUIS!$C$104=1,CROQUIS!$C$145=1)),((CROQUIS!$C$160+(IF(CROQUIS!$C$92="X",CHOOSE(IF(INT(($A177-1)/5)&gt;MAX((MAX(1,INT(((CROQUIS!$C$98)-CROQUIS!$C$107)/MAX((CROQUIS!$C$133*MAX(1,CEILING((INT(((CROQUIS!$C$98)-CROQUIS!$C$107)/MAX(CROQUIS!$C$133,1))+1)/80,1))),1))+1))-1,0),0,MOD($A177-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BU1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CROQUIS!$C$97,CROQUIS!$C$97-CROQUIS!$C$107/2-CROQUIS!$C$143,IF(CROQUIS!$C$104=1,CROQUIS!$C$97+12,CROQUIS!$C$97-2),CROQUIS!$C$97-CROQUIS!$C$107/2-CROQUIS!$C$143,CROQUIS!$C$97)))*CROQUIS!$C$159)+IF(CROQUIS!$C$92="X",0.8,0)),-1000)</f>
        <v>-1000</v>
      </c>
      <c r="BV1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HOOSE(IF(INT(($A177-1)/5)&gt;MAX((MAX(1,INT(((CROQUIS!$C$97)-CROQUIS!$C$107)/MAX((CROQUIS!$C$141*MAX(1,CEILING((INT(((CROQUIS!$C$97)-CROQUIS!$C$107)/MAX(CROQUIS!$C$141,1))+1)/80,1))),1))+1))-1,0),0,MOD($A177-1,5))+1,0,IF(CROQUIS!$C$105=1,-12,2),CROQUIS!$C$107/2+CROQUIS!$C$144,IF(CROQUIS!$C$105=1,-12,2),0)))*CROQUIS!$C$159)+IF(CROQUIS!$C$92="X",0.8,0)),-1000)</f>
        <v>-1000</v>
      </c>
      <c r="BW177">
        <f>IF(AND(CROQUIS!$C$88=1,CROQUIS!$C$91=0,CROQUIS!$C$141&gt;0,OR(CROQUIS!$C$105=1,CROQUIS!$C$146=1)),((CROQUIS!$C$161+(IF(CROQUIS!$C$92="X",CHOOSE(IF(INT(($A177-1)/5)&gt;MAX((MAX(1,INT(((CROQUIS!$C$97)-CROQUIS!$C$107)/MAX((CROQUIS!$C$141*MAX(1,CEILING((INT(((CROQUIS!$C$97)-CROQUIS!$C$107)/MAX(CROQUIS!$C$141,1))+1)/80,1))),1))+1))-1,0),0,MOD($A177-1,5))+1,0,IF(CROQUIS!$C$105=1,-12,2),CROQUIS!$C$107/2+CROQUIS!$C$144,IF(CROQUIS!$C$105=1,-12,2),0),((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ROQUIS!$C$159)+IF(CROQUIS!$C$92="X",0,0.8)),-1000)</f>
        <v>-1000</v>
      </c>
      <c r="BX1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HOOSE(IF(INT(($A177-1)/5)&gt;MAX((MAX(1,INT(((CROQUIS!$C$97)-CROQUIS!$C$107)/MAX((CROQUIS!$C$141*MAX(1,CEILING((INT(((CROQUIS!$C$97)-CROQUIS!$C$107)/MAX(CROQUIS!$C$141,1))+1)/80,1))),1))+1))-1,0),0,MOD($A177-1,5))+1,CROQUIS!$C$98,CROQUIS!$C$98-CROQUIS!$C$107/2-CROQUIS!$C$144,IF(CROQUIS!$C$106=1,CROQUIS!$C$98+12,CROQUIS!$C$98-2),CROQUIS!$C$98-CROQUIS!$C$107/2-CROQUIS!$C$144,CROQUIS!$C$98)))*CROQUIS!$C$159)+IF(CROQUIS!$C$92="X",0.8,0)),-1000)</f>
        <v>-1000</v>
      </c>
      <c r="BY177">
        <f>IF(AND(CROQUIS!$C$88=1,CROQUIS!$C$91=0,CROQUIS!$C$141&gt;0,OR(CROQUIS!$C$106=1,CROQUIS!$C$146=1)),((CROQUIS!$C$161+(IF(CROQUIS!$C$92="X",CHOOSE(IF(INT(($A177-1)/5)&gt;MAX((MAX(1,INT(((CROQUIS!$C$97)-CROQUIS!$C$107)/MAX((CROQUIS!$C$141*MAX(1,CEILING((INT(((CROQUIS!$C$97)-CROQUIS!$C$107)/MAX(CROQUIS!$C$141,1))+1)/80,1))),1))+1))-1,0),0,MOD($A177-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ROQUIS!$C$159)+IF(CROQUIS!$C$92="X",0,0.8)),-1000)</f>
        <v>-1000</v>
      </c>
      <c r="BZ177">
        <f>IF(AND(CROQUIS!$C$88=1,CROQUIS!$C$91=1,CROQUIS!$C$133&gt;0),((CROQUIS!$C$160+(IF(CROQUIS!$C$92="X",CHOOSE(IF(INT(($A177-1)/5)&gt;MAX((MAX(1,INT(((CROQUIS!$C$98)-CROQUIS!$C$107)/MAX((CROQUIS!$C$133*MAX(1,CEILING((INT(((CROQUIS!$C$98)-CROQUIS!$C$107)/MAX(CROQUIS!$C$133,1))+1)/80,1))),1))+1))-1,0),0,MOD($A177-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CA177">
        <f>IF(AND(CROQUIS!$C$88=1,CROQUIS!$C$91=1,CROQUIS!$C$133&gt;0),((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8">
      <c r="A178" t="n">
        <v>171</v>
      </c>
      <c r="BN178">
        <f>IF(AND(CROQUIS!$C$88=1,CROQUIS!$C$129&gt;0),((CROQUIS!$C$160+(IF(CROQUIS!$C$92="X",CHOOSE(IF(INT(($A178-1)/5)&gt;MAX((MAX(1,INT(((CROQUIS!$C$98)-CROQUIS!$C$107)/MAX((CROQUIS!$C$129*MAX(1,CEILING((INT(((CROQUIS!$C$98)-CROQUIS!$C$107)/MAX(CROQUIS!$C$129,1))+1)/80,1))),1))+1))-1,0),0,MOD($A178-1,5))+1,0,2,CROQUIS!$C$97-2,2,0),((CROQUIS!$C$107/2+(((CROQUIS!$C$98)-CROQUIS!$C$107)-(MAX(1,INT(((CROQUIS!$C$98)-CROQUIS!$C$107)/MAX((CROQUIS!$C$129*MAX(1,CEILING((INT(((CROQUIS!$C$98)-CROQUIS!$C$107)/MAX(CROQUIS!$C$129,1))+1)/80,1))),1))+1)-1)*(CROQUIS!$C$129*MAX(1,CEILING((INT(((CROQUIS!$C$98)-CROQUIS!$C$107)/MAX(CROQUIS!$C$129,1))+1)/80,1))))/2)+MIN(INT(($A178-1)/5),MAX((MAX(1,INT(((CROQUIS!$C$98)-CROQUIS!$C$107)/MAX((CROQUIS!$C$129*MAX(1,CEILING((INT(((CROQUIS!$C$98)-CROQUIS!$C$107)/MAX(CROQUIS!$C$129,1))+1)/80,1))),1))+1))-1,0))*(CROQUIS!$C$129*MAX(1,CEILING((INT(((CROQUIS!$C$98)-CROQUIS!$C$107)/MAX(CROQUIS!$C$129,1))+1)/80,1))))))*CROQUIS!$C$159)+IF(CROQUIS!$C$92="X",0,0)),-1000)</f>
        <v>-1000</v>
      </c>
      <c r="BO178">
        <f>IF(AND(CROQUIS!$C$88=1,CROQUIS!$C$129&gt;0),((CROQUIS!$C$161+(IF(CROQUIS!$C$92="X",((CROQUIS!$C$107/2+(((CROQUIS!$C$98)-CROQUIS!$C$107)-(MAX(1,INT(((CROQUIS!$C$98)-CROQUIS!$C$107)/MAX((CROQUIS!$C$129*MAX(1,CEILING((INT(((CROQUIS!$C$98)-CROQUIS!$C$107)/MAX(CROQUIS!$C$129,1))+1)/80,1))),1))+1)-1)*(CROQUIS!$C$129*MAX(1,CEILING((INT(((CROQUIS!$C$98)-CROQUIS!$C$107)/MAX(CROQUIS!$C$129,1))+1)/80,1))))/2)+MIN(INT(($A178-1)/5),MAX((MAX(1,INT(((CROQUIS!$C$98)-CROQUIS!$C$107)/MAX((CROQUIS!$C$129*MAX(1,CEILING((INT(((CROQUIS!$C$98)-CROQUIS!$C$107)/MAX(CROQUIS!$C$129,1))+1)/80,1))),1))+1))-1,0))*(CROQUIS!$C$129*MAX(1,CEILING((INT(((CROQUIS!$C$98)-CROQUIS!$C$107)/MAX(CROQUIS!$C$129,1))+1)/80,1)))),CHOOSE(IF(INT(($A178-1)/5)&gt;MAX((MAX(1,INT(((CROQUIS!$C$98)-CROQUIS!$C$107)/MAX((CROQUIS!$C$129*MAX(1,CEILING((INT(((CROQUIS!$C$98)-CROQUIS!$C$107)/MAX(CROQUIS!$C$129,1))+1)/80,1))),1))+1))-1,0),0,MOD($A178-1,5))+1,0,2,CROQUIS!$C$97-2,2,0)))*CROQUIS!$C$159)+IF(CROQUIS!$C$92="X",0,0)),-1000)</f>
        <v>-1000</v>
      </c>
      <c r="BP178">
        <f>IF(AND(CROQUIS!$C$88=1,CROQUIS!$C$137&gt;0),((CROQUIS!$C$160+(IF(CROQUIS!$C$92="X",((CROQUIS!$C$107/2+(((CROQUIS!$C$97)-CROQUIS!$C$107)-(MAX(1,INT(((CROQUIS!$C$97)-CROQUIS!$C$107)/MAX((CROQUIS!$C$137*MAX(1,CEILING((INT(((CROQUIS!$C$97)-CROQUIS!$C$107)/MAX(CROQUIS!$C$137,1))+1)/80,1))),1))+1)-1)*(CROQUIS!$C$137*MAX(1,CEILING((INT(((CROQUIS!$C$97)-CROQUIS!$C$107)/MAX(CROQUIS!$C$137,1))+1)/80,1))))/2)+MIN(INT(($A178-1)/5),MAX((MAX(1,INT(((CROQUIS!$C$97)-CROQUIS!$C$107)/MAX((CROQUIS!$C$137*MAX(1,CEILING((INT(((CROQUIS!$C$97)-CROQUIS!$C$107)/MAX(CROQUIS!$C$137,1))+1)/80,1))),1))+1))-1,0))*(CROQUIS!$C$137*MAX(1,CEILING((INT(((CROQUIS!$C$97)-CROQUIS!$C$107)/MAX(CROQUIS!$C$137,1))+1)/80,1)))),CHOOSE(IF(INT(($A178-1)/5)&gt;MAX((MAX(1,INT(((CROQUIS!$C$97)-CROQUIS!$C$107)/MAX((CROQUIS!$C$137*MAX(1,CEILING((INT(((CROQUIS!$C$97)-CROQUIS!$C$107)/MAX(CROQUIS!$C$137,1))+1)/80,1))),1))+1))-1,0),0,MOD($A178-1,5))+1,0,2,CROQUIS!$C$98-2,2,0)))*CROQUIS!$C$159)+IF(CROQUIS!$C$92="X",0,0)),-1000)</f>
        <v>-1000</v>
      </c>
      <c r="BQ178">
        <f>IF(AND(CROQUIS!$C$88=1,CROQUIS!$C$137&gt;0),((CROQUIS!$C$161+(IF(CROQUIS!$C$92="X",CHOOSE(IF(INT(($A178-1)/5)&gt;MAX((MAX(1,INT(((CROQUIS!$C$97)-CROQUIS!$C$107)/MAX((CROQUIS!$C$137*MAX(1,CEILING((INT(((CROQUIS!$C$97)-CROQUIS!$C$107)/MAX(CROQUIS!$C$137,1))+1)/80,1))),1))+1))-1,0),0,MOD($A178-1,5))+1,0,2,CROQUIS!$C$98-2,2,0),((CROQUIS!$C$107/2+(((CROQUIS!$C$97)-CROQUIS!$C$107)-(MAX(1,INT(((CROQUIS!$C$97)-CROQUIS!$C$107)/MAX((CROQUIS!$C$137*MAX(1,CEILING((INT(((CROQUIS!$C$97)-CROQUIS!$C$107)/MAX(CROQUIS!$C$137,1))+1)/80,1))),1))+1)-1)*(CROQUIS!$C$137*MAX(1,CEILING((INT(((CROQUIS!$C$97)-CROQUIS!$C$107)/MAX(CROQUIS!$C$137,1))+1)/80,1))))/2)+MIN(INT(($A178-1)/5),MAX((MAX(1,INT(((CROQUIS!$C$97)-CROQUIS!$C$107)/MAX((CROQUIS!$C$137*MAX(1,CEILING((INT(((CROQUIS!$C$97)-CROQUIS!$C$107)/MAX(CROQUIS!$C$137,1))+1)/80,1))),1))+1))-1,0))*(CROQUIS!$C$137*MAX(1,CEILING((INT(((CROQUIS!$C$97)-CROQUIS!$C$107)/MAX(CROQUIS!$C$137,1))+1)/80,1))))))*CROQUIS!$C$159)+IF(CROQUIS!$C$92="X",0,0)),-1000)</f>
        <v>-1000</v>
      </c>
      <c r="BR178">
        <f>IF(AND(CROQUIS!$C$88=1,CROQUIS!$C$91=0,CROQUIS!$C$133&gt;0,OR(CROQUIS!$C$103=1,CROQUIS!$C$145=1)),((CROQUIS!$C$160+(IF(CROQUIS!$C$92="X",CHOOSE(IF(INT(($A178-1)/5)&gt;MAX((MAX(1,INT(((CROQUIS!$C$98)-CROQUIS!$C$107)/MAX((CROQUIS!$C$133*MAX(1,CEILING((INT(((CROQUIS!$C$98)-CROQUIS!$C$107)/MAX(CROQUIS!$C$133,1))+1)/80,1))),1))+1))-1,0),0,MOD($A178-1,5))+1,0,IF(CROQUIS!$C$103=1,-12,2),CROQUIS!$C$107/2+CROQUIS!$C$143,IF(CROQUIS!$C$103=1,-12,2),0),((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BS1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+1,0,IF(CROQUIS!$C$103=1,-12,2),CROQUIS!$C$107/2+CROQUIS!$C$143,IF(CROQUIS!$C$103=1,-12,2),0)))*CROQUIS!$C$159)+IF(CROQUIS!$C$92="X",0.8,0)),-1000)</f>
        <v>-1000</v>
      </c>
      <c r="BT178">
        <f>IF(AND(CROQUIS!$C$88=1,CROQUIS!$C$91=0,CROQUIS!$C$133&gt;0,OR(CROQUIS!$C$104=1,CROQUIS!$C$145=1)),((CROQUIS!$C$160+(IF(CROQUIS!$C$92="X",CHOOSE(IF(INT(($A178-1)/5)&gt;MAX((MAX(1,INT(((CROQUIS!$C$98)-CROQUIS!$C$107)/MAX((CROQUIS!$C$133*MAX(1,CEILING((INT(((CROQUIS!$C$98)-CROQUIS!$C$107)/MAX(CROQUIS!$C$133,1))+1)/80,1))),1))+1))-1,0),0,MOD($A178-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BU1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CROQUIS!$C$97,CROQUIS!$C$97-CROQUIS!$C$107/2-CROQUIS!$C$143,IF(CROQUIS!$C$104=1,CROQUIS!$C$97+12,CROQUIS!$C$97-2),CROQUIS!$C$97-CROQUIS!$C$107/2-CROQUIS!$C$143,CROQUIS!$C$97)))*CROQUIS!$C$159)+IF(CROQUIS!$C$92="X",0.8,0)),-1000)</f>
        <v>-1000</v>
      </c>
      <c r="BV1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HOOSE(IF(INT(($A178-1)/5)&gt;MAX((MAX(1,INT(((CROQUIS!$C$97)-CROQUIS!$C$107)/MAX((CROQUIS!$C$141*MAX(1,CEILING((INT(((CROQUIS!$C$97)-CROQUIS!$C$107)/MAX(CROQUIS!$C$141,1))+1)/80,1))),1))+1))-1,0),0,MOD($A178-1,5))+1,0,IF(CROQUIS!$C$105=1,-12,2),CROQUIS!$C$107/2+CROQUIS!$C$144,IF(CROQUIS!$C$105=1,-12,2),0)))*CROQUIS!$C$159)+IF(CROQUIS!$C$92="X",0.8,0)),-1000)</f>
        <v>-1000</v>
      </c>
      <c r="BW178">
        <f>IF(AND(CROQUIS!$C$88=1,CROQUIS!$C$91=0,CROQUIS!$C$141&gt;0,OR(CROQUIS!$C$105=1,CROQUIS!$C$146=1)),((CROQUIS!$C$161+(IF(CROQUIS!$C$92="X",CHOOSE(IF(INT(($A178-1)/5)&gt;MAX((MAX(1,INT(((CROQUIS!$C$97)-CROQUIS!$C$107)/MAX((CROQUIS!$C$141*MAX(1,CEILING((INT(((CROQUIS!$C$97)-CROQUIS!$C$107)/MAX(CROQUIS!$C$141,1))+1)/80,1))),1))+1))-1,0),0,MOD($A178-1,5))+1,0,IF(CROQUIS!$C$105=1,-12,2),CROQUIS!$C$107/2+CROQUIS!$C$144,IF(CROQUIS!$C$105=1,-12,2),0),((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ROQUIS!$C$159)+IF(CROQUIS!$C$92="X",0,0.8)),-1000)</f>
        <v>-1000</v>
      </c>
      <c r="BX1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HOOSE(IF(INT(($A178-1)/5)&gt;MAX((MAX(1,INT(((CROQUIS!$C$97)-CROQUIS!$C$107)/MAX((CROQUIS!$C$141*MAX(1,CEILING((INT(((CROQUIS!$C$97)-CROQUIS!$C$107)/MAX(CROQUIS!$C$141,1))+1)/80,1))),1))+1))-1,0),0,MOD($A178-1,5))+1,CROQUIS!$C$98,CROQUIS!$C$98-CROQUIS!$C$107/2-CROQUIS!$C$144,IF(CROQUIS!$C$106=1,CROQUIS!$C$98+12,CROQUIS!$C$98-2),CROQUIS!$C$98-CROQUIS!$C$107/2-CROQUIS!$C$144,CROQUIS!$C$98)))*CROQUIS!$C$159)+IF(CROQUIS!$C$92="X",0.8,0)),-1000)</f>
        <v>-1000</v>
      </c>
      <c r="BY178">
        <f>IF(AND(CROQUIS!$C$88=1,CROQUIS!$C$91=0,CROQUIS!$C$141&gt;0,OR(CROQUIS!$C$106=1,CROQUIS!$C$146=1)),((CROQUIS!$C$161+(IF(CROQUIS!$C$92="X",CHOOSE(IF(INT(($A178-1)/5)&gt;MAX((MAX(1,INT(((CROQUIS!$C$97)-CROQUIS!$C$107)/MAX((CROQUIS!$C$141*MAX(1,CEILING((INT(((CROQUIS!$C$97)-CROQUIS!$C$107)/MAX(CROQUIS!$C$141,1))+1)/80,1))),1))+1))-1,0),0,MOD($A178-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ROQUIS!$C$159)+IF(CROQUIS!$C$92="X",0,0.8)),-1000)</f>
        <v>-1000</v>
      </c>
      <c r="BZ178">
        <f>IF(AND(CROQUIS!$C$88=1,CROQUIS!$C$91=1,CROQUIS!$C$133&gt;0),((CROQUIS!$C$160+(IF(CROQUIS!$C$92="X",CHOOSE(IF(INT(($A178-1)/5)&gt;MAX((MAX(1,INT(((CROQUIS!$C$98)-CROQUIS!$C$107)/MAX((CROQUIS!$C$133*MAX(1,CEILING((INT(((CROQUIS!$C$98)-CROQUIS!$C$107)/MAX(CROQUIS!$C$133,1))+1)/80,1))),1))+1))-1,0),0,MOD($A178-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CA178">
        <f>IF(AND(CROQUIS!$C$88=1,CROQUIS!$C$91=1,CROQUIS!$C$133&gt;0),((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9">
      <c r="A179" t="n">
        <v>172</v>
      </c>
      <c r="BN179">
        <f>IF(AND(CROQUIS!$C$88=1,CROQUIS!$C$129&gt;0),((CROQUIS!$C$160+(IF(CROQUIS!$C$92="X",CHOOSE(IF(INT(($A179-1)/5)&gt;MAX((MAX(1,INT(((CROQUIS!$C$98)-CROQUIS!$C$107)/MAX((CROQUIS!$C$129*MAX(1,CEILING((INT(((CROQUIS!$C$98)-CROQUIS!$C$107)/MAX(CROQUIS!$C$129,1))+1)/80,1))),1))+1))-1,0),0,MOD($A179-1,5))+1,0,2,CROQUIS!$C$97-2,2,0),((CROQUIS!$C$107/2+(((CROQUIS!$C$98)-CROQUIS!$C$107)-(MAX(1,INT(((CROQUIS!$C$98)-CROQUIS!$C$107)/MAX((CROQUIS!$C$129*MAX(1,CEILING((INT(((CROQUIS!$C$98)-CROQUIS!$C$107)/MAX(CROQUIS!$C$129,1))+1)/80,1))),1))+1)-1)*(CROQUIS!$C$129*MAX(1,CEILING((INT(((CROQUIS!$C$98)-CROQUIS!$C$107)/MAX(CROQUIS!$C$129,1))+1)/80,1))))/2)+MIN(INT(($A179-1)/5),MAX((MAX(1,INT(((CROQUIS!$C$98)-CROQUIS!$C$107)/MAX((CROQUIS!$C$129*MAX(1,CEILING((INT(((CROQUIS!$C$98)-CROQUIS!$C$107)/MAX(CROQUIS!$C$129,1))+1)/80,1))),1))+1))-1,0))*(CROQUIS!$C$129*MAX(1,CEILING((INT(((CROQUIS!$C$98)-CROQUIS!$C$107)/MAX(CROQUIS!$C$129,1))+1)/80,1))))))*CROQUIS!$C$159)+IF(CROQUIS!$C$92="X",0,0)),-1000)</f>
        <v>-1000</v>
      </c>
      <c r="BO179">
        <f>IF(AND(CROQUIS!$C$88=1,CROQUIS!$C$129&gt;0),((CROQUIS!$C$161+(IF(CROQUIS!$C$92="X",((CROQUIS!$C$107/2+(((CROQUIS!$C$98)-CROQUIS!$C$107)-(MAX(1,INT(((CROQUIS!$C$98)-CROQUIS!$C$107)/MAX((CROQUIS!$C$129*MAX(1,CEILING((INT(((CROQUIS!$C$98)-CROQUIS!$C$107)/MAX(CROQUIS!$C$129,1))+1)/80,1))),1))+1)-1)*(CROQUIS!$C$129*MAX(1,CEILING((INT(((CROQUIS!$C$98)-CROQUIS!$C$107)/MAX(CROQUIS!$C$129,1))+1)/80,1))))/2)+MIN(INT(($A179-1)/5),MAX((MAX(1,INT(((CROQUIS!$C$98)-CROQUIS!$C$107)/MAX((CROQUIS!$C$129*MAX(1,CEILING((INT(((CROQUIS!$C$98)-CROQUIS!$C$107)/MAX(CROQUIS!$C$129,1))+1)/80,1))),1))+1))-1,0))*(CROQUIS!$C$129*MAX(1,CEILING((INT(((CROQUIS!$C$98)-CROQUIS!$C$107)/MAX(CROQUIS!$C$129,1))+1)/80,1)))),CHOOSE(IF(INT(($A179-1)/5)&gt;MAX((MAX(1,INT(((CROQUIS!$C$98)-CROQUIS!$C$107)/MAX((CROQUIS!$C$129*MAX(1,CEILING((INT(((CROQUIS!$C$98)-CROQUIS!$C$107)/MAX(CROQUIS!$C$129,1))+1)/80,1))),1))+1))-1,0),0,MOD($A179-1,5))+1,0,2,CROQUIS!$C$97-2,2,0)))*CROQUIS!$C$159)+IF(CROQUIS!$C$92="X",0,0)),-1000)</f>
        <v>-1000</v>
      </c>
      <c r="BP179">
        <f>IF(AND(CROQUIS!$C$88=1,CROQUIS!$C$137&gt;0),((CROQUIS!$C$160+(IF(CROQUIS!$C$92="X",((CROQUIS!$C$107/2+(((CROQUIS!$C$97)-CROQUIS!$C$107)-(MAX(1,INT(((CROQUIS!$C$97)-CROQUIS!$C$107)/MAX((CROQUIS!$C$137*MAX(1,CEILING((INT(((CROQUIS!$C$97)-CROQUIS!$C$107)/MAX(CROQUIS!$C$137,1))+1)/80,1))),1))+1)-1)*(CROQUIS!$C$137*MAX(1,CEILING((INT(((CROQUIS!$C$97)-CROQUIS!$C$107)/MAX(CROQUIS!$C$137,1))+1)/80,1))))/2)+MIN(INT(($A179-1)/5),MAX((MAX(1,INT(((CROQUIS!$C$97)-CROQUIS!$C$107)/MAX((CROQUIS!$C$137*MAX(1,CEILING((INT(((CROQUIS!$C$97)-CROQUIS!$C$107)/MAX(CROQUIS!$C$137,1))+1)/80,1))),1))+1))-1,0))*(CROQUIS!$C$137*MAX(1,CEILING((INT(((CROQUIS!$C$97)-CROQUIS!$C$107)/MAX(CROQUIS!$C$137,1))+1)/80,1)))),CHOOSE(IF(INT(($A179-1)/5)&gt;MAX((MAX(1,INT(((CROQUIS!$C$97)-CROQUIS!$C$107)/MAX((CROQUIS!$C$137*MAX(1,CEILING((INT(((CROQUIS!$C$97)-CROQUIS!$C$107)/MAX(CROQUIS!$C$137,1))+1)/80,1))),1))+1))-1,0),0,MOD($A179-1,5))+1,0,2,CROQUIS!$C$98-2,2,0)))*CROQUIS!$C$159)+IF(CROQUIS!$C$92="X",0,0)),-1000)</f>
        <v>-1000</v>
      </c>
      <c r="BQ179">
        <f>IF(AND(CROQUIS!$C$88=1,CROQUIS!$C$137&gt;0),((CROQUIS!$C$161+(IF(CROQUIS!$C$92="X",CHOOSE(IF(INT(($A179-1)/5)&gt;MAX((MAX(1,INT(((CROQUIS!$C$97)-CROQUIS!$C$107)/MAX((CROQUIS!$C$137*MAX(1,CEILING((INT(((CROQUIS!$C$97)-CROQUIS!$C$107)/MAX(CROQUIS!$C$137,1))+1)/80,1))),1))+1))-1,0),0,MOD($A179-1,5))+1,0,2,CROQUIS!$C$98-2,2,0),((CROQUIS!$C$107/2+(((CROQUIS!$C$97)-CROQUIS!$C$107)-(MAX(1,INT(((CROQUIS!$C$97)-CROQUIS!$C$107)/MAX((CROQUIS!$C$137*MAX(1,CEILING((INT(((CROQUIS!$C$97)-CROQUIS!$C$107)/MAX(CROQUIS!$C$137,1))+1)/80,1))),1))+1)-1)*(CROQUIS!$C$137*MAX(1,CEILING((INT(((CROQUIS!$C$97)-CROQUIS!$C$107)/MAX(CROQUIS!$C$137,1))+1)/80,1))))/2)+MIN(INT(($A179-1)/5),MAX((MAX(1,INT(((CROQUIS!$C$97)-CROQUIS!$C$107)/MAX((CROQUIS!$C$137*MAX(1,CEILING((INT(((CROQUIS!$C$97)-CROQUIS!$C$107)/MAX(CROQUIS!$C$137,1))+1)/80,1))),1))+1))-1,0))*(CROQUIS!$C$137*MAX(1,CEILING((INT(((CROQUIS!$C$97)-CROQUIS!$C$107)/MAX(CROQUIS!$C$137,1))+1)/80,1))))))*CROQUIS!$C$159)+IF(CROQUIS!$C$92="X",0,0)),-1000)</f>
        <v>-1000</v>
      </c>
      <c r="BR179">
        <f>IF(AND(CROQUIS!$C$88=1,CROQUIS!$C$91=0,CROQUIS!$C$133&gt;0,OR(CROQUIS!$C$103=1,CROQUIS!$C$145=1)),((CROQUIS!$C$160+(IF(CROQUIS!$C$92="X",CHOOSE(IF(INT(($A179-1)/5)&gt;MAX((MAX(1,INT(((CROQUIS!$C$98)-CROQUIS!$C$107)/MAX((CROQUIS!$C$133*MAX(1,CEILING((INT(((CROQUIS!$C$98)-CROQUIS!$C$107)/MAX(CROQUIS!$C$133,1))+1)/80,1))),1))+1))-1,0),0,MOD($A179-1,5))+1,0,IF(CROQUIS!$C$103=1,-12,2),CROQUIS!$C$107/2+CROQUIS!$C$143,IF(CROQUIS!$C$103=1,-12,2),0),((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BS1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+1,0,IF(CROQUIS!$C$103=1,-12,2),CROQUIS!$C$107/2+CROQUIS!$C$143,IF(CROQUIS!$C$103=1,-12,2),0)))*CROQUIS!$C$159)+IF(CROQUIS!$C$92="X",0.8,0)),-1000)</f>
        <v>-1000</v>
      </c>
      <c r="BT179">
        <f>IF(AND(CROQUIS!$C$88=1,CROQUIS!$C$91=0,CROQUIS!$C$133&gt;0,OR(CROQUIS!$C$104=1,CROQUIS!$C$145=1)),((CROQUIS!$C$160+(IF(CROQUIS!$C$92="X",CHOOSE(IF(INT(($A179-1)/5)&gt;MAX((MAX(1,INT(((CROQUIS!$C$98)-CROQUIS!$C$107)/MAX((CROQUIS!$C$133*MAX(1,CEILING((INT(((CROQUIS!$C$98)-CROQUIS!$C$107)/MAX(CROQUIS!$C$133,1))+1)/80,1))),1))+1))-1,0),0,MOD($A179-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BU1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CROQUIS!$C$97,CROQUIS!$C$97-CROQUIS!$C$107/2-CROQUIS!$C$143,IF(CROQUIS!$C$104=1,CROQUIS!$C$97+12,CROQUIS!$C$97-2),CROQUIS!$C$97-CROQUIS!$C$107/2-CROQUIS!$C$143,CROQUIS!$C$97)))*CROQUIS!$C$159)+IF(CROQUIS!$C$92="X",0.8,0)),-1000)</f>
        <v>-1000</v>
      </c>
      <c r="BV1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HOOSE(IF(INT(($A179-1)/5)&gt;MAX((MAX(1,INT(((CROQUIS!$C$97)-CROQUIS!$C$107)/MAX((CROQUIS!$C$141*MAX(1,CEILING((INT(((CROQUIS!$C$97)-CROQUIS!$C$107)/MAX(CROQUIS!$C$141,1))+1)/80,1))),1))+1))-1,0),0,MOD($A179-1,5))+1,0,IF(CROQUIS!$C$105=1,-12,2),CROQUIS!$C$107/2+CROQUIS!$C$144,IF(CROQUIS!$C$105=1,-12,2),0)))*CROQUIS!$C$159)+IF(CROQUIS!$C$92="X",0.8,0)),-1000)</f>
        <v>-1000</v>
      </c>
      <c r="BW179">
        <f>IF(AND(CROQUIS!$C$88=1,CROQUIS!$C$91=0,CROQUIS!$C$141&gt;0,OR(CROQUIS!$C$105=1,CROQUIS!$C$146=1)),((CROQUIS!$C$161+(IF(CROQUIS!$C$92="X",CHOOSE(IF(INT(($A179-1)/5)&gt;MAX((MAX(1,INT(((CROQUIS!$C$97)-CROQUIS!$C$107)/MAX((CROQUIS!$C$141*MAX(1,CEILING((INT(((CROQUIS!$C$97)-CROQUIS!$C$107)/MAX(CROQUIS!$C$141,1))+1)/80,1))),1))+1))-1,0),0,MOD($A179-1,5))+1,0,IF(CROQUIS!$C$105=1,-12,2),CROQUIS!$C$107/2+CROQUIS!$C$144,IF(CROQUIS!$C$105=1,-12,2),0),((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ROQUIS!$C$159)+IF(CROQUIS!$C$92="X",0,0.8)),-1000)</f>
        <v>-1000</v>
      </c>
      <c r="BX1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HOOSE(IF(INT(($A179-1)/5)&gt;MAX((MAX(1,INT(((CROQUIS!$C$97)-CROQUIS!$C$107)/MAX((CROQUIS!$C$141*MAX(1,CEILING((INT(((CROQUIS!$C$97)-CROQUIS!$C$107)/MAX(CROQUIS!$C$141,1))+1)/80,1))),1))+1))-1,0),0,MOD($A179-1,5))+1,CROQUIS!$C$98,CROQUIS!$C$98-CROQUIS!$C$107/2-CROQUIS!$C$144,IF(CROQUIS!$C$106=1,CROQUIS!$C$98+12,CROQUIS!$C$98-2),CROQUIS!$C$98-CROQUIS!$C$107/2-CROQUIS!$C$144,CROQUIS!$C$98)))*CROQUIS!$C$159)+IF(CROQUIS!$C$92="X",0.8,0)),-1000)</f>
        <v>-1000</v>
      </c>
      <c r="BY179">
        <f>IF(AND(CROQUIS!$C$88=1,CROQUIS!$C$91=0,CROQUIS!$C$141&gt;0,OR(CROQUIS!$C$106=1,CROQUIS!$C$146=1)),((CROQUIS!$C$161+(IF(CROQUIS!$C$92="X",CHOOSE(IF(INT(($A179-1)/5)&gt;MAX((MAX(1,INT(((CROQUIS!$C$97)-CROQUIS!$C$107)/MAX((CROQUIS!$C$141*MAX(1,CEILING((INT(((CROQUIS!$C$97)-CROQUIS!$C$107)/MAX(CROQUIS!$C$141,1))+1)/80,1))),1))+1))-1,0),0,MOD($A179-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ROQUIS!$C$159)+IF(CROQUIS!$C$92="X",0,0.8)),-1000)</f>
        <v>-1000</v>
      </c>
      <c r="BZ179">
        <f>IF(AND(CROQUIS!$C$88=1,CROQUIS!$C$91=1,CROQUIS!$C$133&gt;0),((CROQUIS!$C$160+(IF(CROQUIS!$C$92="X",CHOOSE(IF(INT(($A179-1)/5)&gt;MAX((MAX(1,INT(((CROQUIS!$C$98)-CROQUIS!$C$107)/MAX((CROQUIS!$C$133*MAX(1,CEILING((INT(((CROQUIS!$C$98)-CROQUIS!$C$107)/MAX(CROQUIS!$C$133,1))+1)/80,1))),1))+1))-1,0),0,MOD($A179-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CA179">
        <f>IF(AND(CROQUIS!$C$88=1,CROQUIS!$C$91=1,CROQUIS!$C$133&gt;0),((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0">
      <c r="A180" t="n">
        <v>173</v>
      </c>
      <c r="BN180">
        <f>IF(AND(CROQUIS!$C$88=1,CROQUIS!$C$129&gt;0),((CROQUIS!$C$160+(IF(CROQUIS!$C$92="X",CHOOSE(IF(INT(($A180-1)/5)&gt;MAX((MAX(1,INT(((CROQUIS!$C$98)-CROQUIS!$C$107)/MAX((CROQUIS!$C$129*MAX(1,CEILING((INT(((CROQUIS!$C$98)-CROQUIS!$C$107)/MAX(CROQUIS!$C$129,1))+1)/80,1))),1))+1))-1,0),0,MOD($A180-1,5))+1,0,2,CROQUIS!$C$97-2,2,0),((CROQUIS!$C$107/2+(((CROQUIS!$C$98)-CROQUIS!$C$107)-(MAX(1,INT(((CROQUIS!$C$98)-CROQUIS!$C$107)/MAX((CROQUIS!$C$129*MAX(1,CEILING((INT(((CROQUIS!$C$98)-CROQUIS!$C$107)/MAX(CROQUIS!$C$129,1))+1)/80,1))),1))+1)-1)*(CROQUIS!$C$129*MAX(1,CEILING((INT(((CROQUIS!$C$98)-CROQUIS!$C$107)/MAX(CROQUIS!$C$129,1))+1)/80,1))))/2)+MIN(INT(($A180-1)/5),MAX((MAX(1,INT(((CROQUIS!$C$98)-CROQUIS!$C$107)/MAX((CROQUIS!$C$129*MAX(1,CEILING((INT(((CROQUIS!$C$98)-CROQUIS!$C$107)/MAX(CROQUIS!$C$129,1))+1)/80,1))),1))+1))-1,0))*(CROQUIS!$C$129*MAX(1,CEILING((INT(((CROQUIS!$C$98)-CROQUIS!$C$107)/MAX(CROQUIS!$C$129,1))+1)/80,1))))))*CROQUIS!$C$159)+IF(CROQUIS!$C$92="X",0,0)),-1000)</f>
        <v>-1000</v>
      </c>
      <c r="BO180">
        <f>IF(AND(CROQUIS!$C$88=1,CROQUIS!$C$129&gt;0),((CROQUIS!$C$161+(IF(CROQUIS!$C$92="X",((CROQUIS!$C$107/2+(((CROQUIS!$C$98)-CROQUIS!$C$107)-(MAX(1,INT(((CROQUIS!$C$98)-CROQUIS!$C$107)/MAX((CROQUIS!$C$129*MAX(1,CEILING((INT(((CROQUIS!$C$98)-CROQUIS!$C$107)/MAX(CROQUIS!$C$129,1))+1)/80,1))),1))+1)-1)*(CROQUIS!$C$129*MAX(1,CEILING((INT(((CROQUIS!$C$98)-CROQUIS!$C$107)/MAX(CROQUIS!$C$129,1))+1)/80,1))))/2)+MIN(INT(($A180-1)/5),MAX((MAX(1,INT(((CROQUIS!$C$98)-CROQUIS!$C$107)/MAX((CROQUIS!$C$129*MAX(1,CEILING((INT(((CROQUIS!$C$98)-CROQUIS!$C$107)/MAX(CROQUIS!$C$129,1))+1)/80,1))),1))+1))-1,0))*(CROQUIS!$C$129*MAX(1,CEILING((INT(((CROQUIS!$C$98)-CROQUIS!$C$107)/MAX(CROQUIS!$C$129,1))+1)/80,1)))),CHOOSE(IF(INT(($A180-1)/5)&gt;MAX((MAX(1,INT(((CROQUIS!$C$98)-CROQUIS!$C$107)/MAX((CROQUIS!$C$129*MAX(1,CEILING((INT(((CROQUIS!$C$98)-CROQUIS!$C$107)/MAX(CROQUIS!$C$129,1))+1)/80,1))),1))+1))-1,0),0,MOD($A180-1,5))+1,0,2,CROQUIS!$C$97-2,2,0)))*CROQUIS!$C$159)+IF(CROQUIS!$C$92="X",0,0)),-1000)</f>
        <v>-1000</v>
      </c>
      <c r="BP180">
        <f>IF(AND(CROQUIS!$C$88=1,CROQUIS!$C$137&gt;0),((CROQUIS!$C$160+(IF(CROQUIS!$C$92="X",((CROQUIS!$C$107/2+(((CROQUIS!$C$97)-CROQUIS!$C$107)-(MAX(1,INT(((CROQUIS!$C$97)-CROQUIS!$C$107)/MAX((CROQUIS!$C$137*MAX(1,CEILING((INT(((CROQUIS!$C$97)-CROQUIS!$C$107)/MAX(CROQUIS!$C$137,1))+1)/80,1))),1))+1)-1)*(CROQUIS!$C$137*MAX(1,CEILING((INT(((CROQUIS!$C$97)-CROQUIS!$C$107)/MAX(CROQUIS!$C$137,1))+1)/80,1))))/2)+MIN(INT(($A180-1)/5),MAX((MAX(1,INT(((CROQUIS!$C$97)-CROQUIS!$C$107)/MAX((CROQUIS!$C$137*MAX(1,CEILING((INT(((CROQUIS!$C$97)-CROQUIS!$C$107)/MAX(CROQUIS!$C$137,1))+1)/80,1))),1))+1))-1,0))*(CROQUIS!$C$137*MAX(1,CEILING((INT(((CROQUIS!$C$97)-CROQUIS!$C$107)/MAX(CROQUIS!$C$137,1))+1)/80,1)))),CHOOSE(IF(INT(($A180-1)/5)&gt;MAX((MAX(1,INT(((CROQUIS!$C$97)-CROQUIS!$C$107)/MAX((CROQUIS!$C$137*MAX(1,CEILING((INT(((CROQUIS!$C$97)-CROQUIS!$C$107)/MAX(CROQUIS!$C$137,1))+1)/80,1))),1))+1))-1,0),0,MOD($A180-1,5))+1,0,2,CROQUIS!$C$98-2,2,0)))*CROQUIS!$C$159)+IF(CROQUIS!$C$92="X",0,0)),-1000)</f>
        <v>-1000</v>
      </c>
      <c r="BQ180">
        <f>IF(AND(CROQUIS!$C$88=1,CROQUIS!$C$137&gt;0),((CROQUIS!$C$161+(IF(CROQUIS!$C$92="X",CHOOSE(IF(INT(($A180-1)/5)&gt;MAX((MAX(1,INT(((CROQUIS!$C$97)-CROQUIS!$C$107)/MAX((CROQUIS!$C$137*MAX(1,CEILING((INT(((CROQUIS!$C$97)-CROQUIS!$C$107)/MAX(CROQUIS!$C$137,1))+1)/80,1))),1))+1))-1,0),0,MOD($A180-1,5))+1,0,2,CROQUIS!$C$98-2,2,0),((CROQUIS!$C$107/2+(((CROQUIS!$C$97)-CROQUIS!$C$107)-(MAX(1,INT(((CROQUIS!$C$97)-CROQUIS!$C$107)/MAX((CROQUIS!$C$137*MAX(1,CEILING((INT(((CROQUIS!$C$97)-CROQUIS!$C$107)/MAX(CROQUIS!$C$137,1))+1)/80,1))),1))+1)-1)*(CROQUIS!$C$137*MAX(1,CEILING((INT(((CROQUIS!$C$97)-CROQUIS!$C$107)/MAX(CROQUIS!$C$137,1))+1)/80,1))))/2)+MIN(INT(($A180-1)/5),MAX((MAX(1,INT(((CROQUIS!$C$97)-CROQUIS!$C$107)/MAX((CROQUIS!$C$137*MAX(1,CEILING((INT(((CROQUIS!$C$97)-CROQUIS!$C$107)/MAX(CROQUIS!$C$137,1))+1)/80,1))),1))+1))-1,0))*(CROQUIS!$C$137*MAX(1,CEILING((INT(((CROQUIS!$C$97)-CROQUIS!$C$107)/MAX(CROQUIS!$C$137,1))+1)/80,1))))))*CROQUIS!$C$159)+IF(CROQUIS!$C$92="X",0,0)),-1000)</f>
        <v>-1000</v>
      </c>
      <c r="BR180">
        <f>IF(AND(CROQUIS!$C$88=1,CROQUIS!$C$91=0,CROQUIS!$C$133&gt;0,OR(CROQUIS!$C$103=1,CROQUIS!$C$145=1)),((CROQUIS!$C$160+(IF(CROQUIS!$C$92="X",CHOOSE(IF(INT(($A180-1)/5)&gt;MAX((MAX(1,INT(((CROQUIS!$C$98)-CROQUIS!$C$107)/MAX((CROQUIS!$C$133*MAX(1,CEILING((INT(((CROQUIS!$C$98)-CROQUIS!$C$107)/MAX(CROQUIS!$C$133,1))+1)/80,1))),1))+1))-1,0),0,MOD($A180-1,5))+1,0,IF(CROQUIS!$C$103=1,-12,2),CROQUIS!$C$107/2+CROQUIS!$C$143,IF(CROQUIS!$C$103=1,-12,2),0),((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BS1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+1,0,IF(CROQUIS!$C$103=1,-12,2),CROQUIS!$C$107/2+CROQUIS!$C$143,IF(CROQUIS!$C$103=1,-12,2),0)))*CROQUIS!$C$159)+IF(CROQUIS!$C$92="X",0.8,0)),-1000)</f>
        <v>-1000</v>
      </c>
      <c r="BT180">
        <f>IF(AND(CROQUIS!$C$88=1,CROQUIS!$C$91=0,CROQUIS!$C$133&gt;0,OR(CROQUIS!$C$104=1,CROQUIS!$C$145=1)),((CROQUIS!$C$160+(IF(CROQUIS!$C$92="X",CHOOSE(IF(INT(($A180-1)/5)&gt;MAX((MAX(1,INT(((CROQUIS!$C$98)-CROQUIS!$C$107)/MAX((CROQUIS!$C$133*MAX(1,CEILING((INT(((CROQUIS!$C$98)-CROQUIS!$C$107)/MAX(CROQUIS!$C$133,1))+1)/80,1))),1))+1))-1,0),0,MOD($A180-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BU1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CROQUIS!$C$97,CROQUIS!$C$97-CROQUIS!$C$107/2-CROQUIS!$C$143,IF(CROQUIS!$C$104=1,CROQUIS!$C$97+12,CROQUIS!$C$97-2),CROQUIS!$C$97-CROQUIS!$C$107/2-CROQUIS!$C$143,CROQUIS!$C$97)))*CROQUIS!$C$159)+IF(CROQUIS!$C$92="X",0.8,0)),-1000)</f>
        <v>-1000</v>
      </c>
      <c r="BV1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HOOSE(IF(INT(($A180-1)/5)&gt;MAX((MAX(1,INT(((CROQUIS!$C$97)-CROQUIS!$C$107)/MAX((CROQUIS!$C$141*MAX(1,CEILING((INT(((CROQUIS!$C$97)-CROQUIS!$C$107)/MAX(CROQUIS!$C$141,1))+1)/80,1))),1))+1))-1,0),0,MOD($A180-1,5))+1,0,IF(CROQUIS!$C$105=1,-12,2),CROQUIS!$C$107/2+CROQUIS!$C$144,IF(CROQUIS!$C$105=1,-12,2),0)))*CROQUIS!$C$159)+IF(CROQUIS!$C$92="X",0.8,0)),-1000)</f>
        <v>-1000</v>
      </c>
      <c r="BW180">
        <f>IF(AND(CROQUIS!$C$88=1,CROQUIS!$C$91=0,CROQUIS!$C$141&gt;0,OR(CROQUIS!$C$105=1,CROQUIS!$C$146=1)),((CROQUIS!$C$161+(IF(CROQUIS!$C$92="X",CHOOSE(IF(INT(($A180-1)/5)&gt;MAX((MAX(1,INT(((CROQUIS!$C$97)-CROQUIS!$C$107)/MAX((CROQUIS!$C$141*MAX(1,CEILING((INT(((CROQUIS!$C$97)-CROQUIS!$C$107)/MAX(CROQUIS!$C$141,1))+1)/80,1))),1))+1))-1,0),0,MOD($A180-1,5))+1,0,IF(CROQUIS!$C$105=1,-12,2),CROQUIS!$C$107/2+CROQUIS!$C$144,IF(CROQUIS!$C$105=1,-12,2),0),((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ROQUIS!$C$159)+IF(CROQUIS!$C$92="X",0,0.8)),-1000)</f>
        <v>-1000</v>
      </c>
      <c r="BX1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HOOSE(IF(INT(($A180-1)/5)&gt;MAX((MAX(1,INT(((CROQUIS!$C$97)-CROQUIS!$C$107)/MAX((CROQUIS!$C$141*MAX(1,CEILING((INT(((CROQUIS!$C$97)-CROQUIS!$C$107)/MAX(CROQUIS!$C$141,1))+1)/80,1))),1))+1))-1,0),0,MOD($A180-1,5))+1,CROQUIS!$C$98,CROQUIS!$C$98-CROQUIS!$C$107/2-CROQUIS!$C$144,IF(CROQUIS!$C$106=1,CROQUIS!$C$98+12,CROQUIS!$C$98-2),CROQUIS!$C$98-CROQUIS!$C$107/2-CROQUIS!$C$144,CROQUIS!$C$98)))*CROQUIS!$C$159)+IF(CROQUIS!$C$92="X",0.8,0)),-1000)</f>
        <v>-1000</v>
      </c>
      <c r="BY180">
        <f>IF(AND(CROQUIS!$C$88=1,CROQUIS!$C$91=0,CROQUIS!$C$141&gt;0,OR(CROQUIS!$C$106=1,CROQUIS!$C$146=1)),((CROQUIS!$C$161+(IF(CROQUIS!$C$92="X",CHOOSE(IF(INT(($A180-1)/5)&gt;MAX((MAX(1,INT(((CROQUIS!$C$97)-CROQUIS!$C$107)/MAX((CROQUIS!$C$141*MAX(1,CEILING((INT(((CROQUIS!$C$97)-CROQUIS!$C$107)/MAX(CROQUIS!$C$141,1))+1)/80,1))),1))+1))-1,0),0,MOD($A180-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ROQUIS!$C$159)+IF(CROQUIS!$C$92="X",0,0.8)),-1000)</f>
        <v>-1000</v>
      </c>
      <c r="BZ180">
        <f>IF(AND(CROQUIS!$C$88=1,CROQUIS!$C$91=1,CROQUIS!$C$133&gt;0),((CROQUIS!$C$160+(IF(CROQUIS!$C$92="X",CHOOSE(IF(INT(($A180-1)/5)&gt;MAX((MAX(1,INT(((CROQUIS!$C$98)-CROQUIS!$C$107)/MAX((CROQUIS!$C$133*MAX(1,CEILING((INT(((CROQUIS!$C$98)-CROQUIS!$C$107)/MAX(CROQUIS!$C$133,1))+1)/80,1))),1))+1))-1,0),0,MOD($A180-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CA180">
        <f>IF(AND(CROQUIS!$C$88=1,CROQUIS!$C$91=1,CROQUIS!$C$133&gt;0),((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1">
      <c r="A181" t="n">
        <v>174</v>
      </c>
      <c r="BN181">
        <f>IF(AND(CROQUIS!$C$88=1,CROQUIS!$C$129&gt;0),((CROQUIS!$C$160+(IF(CROQUIS!$C$92="X",CHOOSE(IF(INT(($A181-1)/5)&gt;MAX((MAX(1,INT(((CROQUIS!$C$98)-CROQUIS!$C$107)/MAX((CROQUIS!$C$129*MAX(1,CEILING((INT(((CROQUIS!$C$98)-CROQUIS!$C$107)/MAX(CROQUIS!$C$129,1))+1)/80,1))),1))+1))-1,0),0,MOD($A181-1,5))+1,0,2,CROQUIS!$C$97-2,2,0),((CROQUIS!$C$107/2+(((CROQUIS!$C$98)-CROQUIS!$C$107)-(MAX(1,INT(((CROQUIS!$C$98)-CROQUIS!$C$107)/MAX((CROQUIS!$C$129*MAX(1,CEILING((INT(((CROQUIS!$C$98)-CROQUIS!$C$107)/MAX(CROQUIS!$C$129,1))+1)/80,1))),1))+1)-1)*(CROQUIS!$C$129*MAX(1,CEILING((INT(((CROQUIS!$C$98)-CROQUIS!$C$107)/MAX(CROQUIS!$C$129,1))+1)/80,1))))/2)+MIN(INT(($A181-1)/5),MAX((MAX(1,INT(((CROQUIS!$C$98)-CROQUIS!$C$107)/MAX((CROQUIS!$C$129*MAX(1,CEILING((INT(((CROQUIS!$C$98)-CROQUIS!$C$107)/MAX(CROQUIS!$C$129,1))+1)/80,1))),1))+1))-1,0))*(CROQUIS!$C$129*MAX(1,CEILING((INT(((CROQUIS!$C$98)-CROQUIS!$C$107)/MAX(CROQUIS!$C$129,1))+1)/80,1))))))*CROQUIS!$C$159)+IF(CROQUIS!$C$92="X",0,0)),-1000)</f>
        <v>-1000</v>
      </c>
      <c r="BO181">
        <f>IF(AND(CROQUIS!$C$88=1,CROQUIS!$C$129&gt;0),((CROQUIS!$C$161+(IF(CROQUIS!$C$92="X",((CROQUIS!$C$107/2+(((CROQUIS!$C$98)-CROQUIS!$C$107)-(MAX(1,INT(((CROQUIS!$C$98)-CROQUIS!$C$107)/MAX((CROQUIS!$C$129*MAX(1,CEILING((INT(((CROQUIS!$C$98)-CROQUIS!$C$107)/MAX(CROQUIS!$C$129,1))+1)/80,1))),1))+1)-1)*(CROQUIS!$C$129*MAX(1,CEILING((INT(((CROQUIS!$C$98)-CROQUIS!$C$107)/MAX(CROQUIS!$C$129,1))+1)/80,1))))/2)+MIN(INT(($A181-1)/5),MAX((MAX(1,INT(((CROQUIS!$C$98)-CROQUIS!$C$107)/MAX((CROQUIS!$C$129*MAX(1,CEILING((INT(((CROQUIS!$C$98)-CROQUIS!$C$107)/MAX(CROQUIS!$C$129,1))+1)/80,1))),1))+1))-1,0))*(CROQUIS!$C$129*MAX(1,CEILING((INT(((CROQUIS!$C$98)-CROQUIS!$C$107)/MAX(CROQUIS!$C$129,1))+1)/80,1)))),CHOOSE(IF(INT(($A181-1)/5)&gt;MAX((MAX(1,INT(((CROQUIS!$C$98)-CROQUIS!$C$107)/MAX((CROQUIS!$C$129*MAX(1,CEILING((INT(((CROQUIS!$C$98)-CROQUIS!$C$107)/MAX(CROQUIS!$C$129,1))+1)/80,1))),1))+1))-1,0),0,MOD($A181-1,5))+1,0,2,CROQUIS!$C$97-2,2,0)))*CROQUIS!$C$159)+IF(CROQUIS!$C$92="X",0,0)),-1000)</f>
        <v>-1000</v>
      </c>
      <c r="BP181">
        <f>IF(AND(CROQUIS!$C$88=1,CROQUIS!$C$137&gt;0),((CROQUIS!$C$160+(IF(CROQUIS!$C$92="X",((CROQUIS!$C$107/2+(((CROQUIS!$C$97)-CROQUIS!$C$107)-(MAX(1,INT(((CROQUIS!$C$97)-CROQUIS!$C$107)/MAX((CROQUIS!$C$137*MAX(1,CEILING((INT(((CROQUIS!$C$97)-CROQUIS!$C$107)/MAX(CROQUIS!$C$137,1))+1)/80,1))),1))+1)-1)*(CROQUIS!$C$137*MAX(1,CEILING((INT(((CROQUIS!$C$97)-CROQUIS!$C$107)/MAX(CROQUIS!$C$137,1))+1)/80,1))))/2)+MIN(INT(($A181-1)/5),MAX((MAX(1,INT(((CROQUIS!$C$97)-CROQUIS!$C$107)/MAX((CROQUIS!$C$137*MAX(1,CEILING((INT(((CROQUIS!$C$97)-CROQUIS!$C$107)/MAX(CROQUIS!$C$137,1))+1)/80,1))),1))+1))-1,0))*(CROQUIS!$C$137*MAX(1,CEILING((INT(((CROQUIS!$C$97)-CROQUIS!$C$107)/MAX(CROQUIS!$C$137,1))+1)/80,1)))),CHOOSE(IF(INT(($A181-1)/5)&gt;MAX((MAX(1,INT(((CROQUIS!$C$97)-CROQUIS!$C$107)/MAX((CROQUIS!$C$137*MAX(1,CEILING((INT(((CROQUIS!$C$97)-CROQUIS!$C$107)/MAX(CROQUIS!$C$137,1))+1)/80,1))),1))+1))-1,0),0,MOD($A181-1,5))+1,0,2,CROQUIS!$C$98-2,2,0)))*CROQUIS!$C$159)+IF(CROQUIS!$C$92="X",0,0)),-1000)</f>
        <v>-1000</v>
      </c>
      <c r="BQ181">
        <f>IF(AND(CROQUIS!$C$88=1,CROQUIS!$C$137&gt;0),((CROQUIS!$C$161+(IF(CROQUIS!$C$92="X",CHOOSE(IF(INT(($A181-1)/5)&gt;MAX((MAX(1,INT(((CROQUIS!$C$97)-CROQUIS!$C$107)/MAX((CROQUIS!$C$137*MAX(1,CEILING((INT(((CROQUIS!$C$97)-CROQUIS!$C$107)/MAX(CROQUIS!$C$137,1))+1)/80,1))),1))+1))-1,0),0,MOD($A181-1,5))+1,0,2,CROQUIS!$C$98-2,2,0),((CROQUIS!$C$107/2+(((CROQUIS!$C$97)-CROQUIS!$C$107)-(MAX(1,INT(((CROQUIS!$C$97)-CROQUIS!$C$107)/MAX((CROQUIS!$C$137*MAX(1,CEILING((INT(((CROQUIS!$C$97)-CROQUIS!$C$107)/MAX(CROQUIS!$C$137,1))+1)/80,1))),1))+1)-1)*(CROQUIS!$C$137*MAX(1,CEILING((INT(((CROQUIS!$C$97)-CROQUIS!$C$107)/MAX(CROQUIS!$C$137,1))+1)/80,1))))/2)+MIN(INT(($A181-1)/5),MAX((MAX(1,INT(((CROQUIS!$C$97)-CROQUIS!$C$107)/MAX((CROQUIS!$C$137*MAX(1,CEILING((INT(((CROQUIS!$C$97)-CROQUIS!$C$107)/MAX(CROQUIS!$C$137,1))+1)/80,1))),1))+1))-1,0))*(CROQUIS!$C$137*MAX(1,CEILING((INT(((CROQUIS!$C$97)-CROQUIS!$C$107)/MAX(CROQUIS!$C$137,1))+1)/80,1))))))*CROQUIS!$C$159)+IF(CROQUIS!$C$92="X",0,0)),-1000)</f>
        <v>-1000</v>
      </c>
      <c r="BR181">
        <f>IF(AND(CROQUIS!$C$88=1,CROQUIS!$C$91=0,CROQUIS!$C$133&gt;0,OR(CROQUIS!$C$103=1,CROQUIS!$C$145=1)),((CROQUIS!$C$160+(IF(CROQUIS!$C$92="X",CHOOSE(IF(INT(($A181-1)/5)&gt;MAX((MAX(1,INT(((CROQUIS!$C$98)-CROQUIS!$C$107)/MAX((CROQUIS!$C$133*MAX(1,CEILING((INT(((CROQUIS!$C$98)-CROQUIS!$C$107)/MAX(CROQUIS!$C$133,1))+1)/80,1))),1))+1))-1,0),0,MOD($A181-1,5))+1,0,IF(CROQUIS!$C$103=1,-12,2),CROQUIS!$C$107/2+CROQUIS!$C$143,IF(CROQUIS!$C$103=1,-12,2),0),((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BS1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+1,0,IF(CROQUIS!$C$103=1,-12,2),CROQUIS!$C$107/2+CROQUIS!$C$143,IF(CROQUIS!$C$103=1,-12,2),0)))*CROQUIS!$C$159)+IF(CROQUIS!$C$92="X",0.8,0)),-1000)</f>
        <v>-1000</v>
      </c>
      <c r="BT181">
        <f>IF(AND(CROQUIS!$C$88=1,CROQUIS!$C$91=0,CROQUIS!$C$133&gt;0,OR(CROQUIS!$C$104=1,CROQUIS!$C$145=1)),((CROQUIS!$C$160+(IF(CROQUIS!$C$92="X",CHOOSE(IF(INT(($A181-1)/5)&gt;MAX((MAX(1,INT(((CROQUIS!$C$98)-CROQUIS!$C$107)/MAX((CROQUIS!$C$133*MAX(1,CEILING((INT(((CROQUIS!$C$98)-CROQUIS!$C$107)/MAX(CROQUIS!$C$133,1))+1)/80,1))),1))+1))-1,0),0,MOD($A181-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BU1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CROQUIS!$C$97,CROQUIS!$C$97-CROQUIS!$C$107/2-CROQUIS!$C$143,IF(CROQUIS!$C$104=1,CROQUIS!$C$97+12,CROQUIS!$C$97-2),CROQUIS!$C$97-CROQUIS!$C$107/2-CROQUIS!$C$143,CROQUIS!$C$97)))*CROQUIS!$C$159)+IF(CROQUIS!$C$92="X",0.8,0)),-1000)</f>
        <v>-1000</v>
      </c>
      <c r="BV1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HOOSE(IF(INT(($A181-1)/5)&gt;MAX((MAX(1,INT(((CROQUIS!$C$97)-CROQUIS!$C$107)/MAX((CROQUIS!$C$141*MAX(1,CEILING((INT(((CROQUIS!$C$97)-CROQUIS!$C$107)/MAX(CROQUIS!$C$141,1))+1)/80,1))),1))+1))-1,0),0,MOD($A181-1,5))+1,0,IF(CROQUIS!$C$105=1,-12,2),CROQUIS!$C$107/2+CROQUIS!$C$144,IF(CROQUIS!$C$105=1,-12,2),0)))*CROQUIS!$C$159)+IF(CROQUIS!$C$92="X",0.8,0)),-1000)</f>
        <v>-1000</v>
      </c>
      <c r="BW181">
        <f>IF(AND(CROQUIS!$C$88=1,CROQUIS!$C$91=0,CROQUIS!$C$141&gt;0,OR(CROQUIS!$C$105=1,CROQUIS!$C$146=1)),((CROQUIS!$C$161+(IF(CROQUIS!$C$92="X",CHOOSE(IF(INT(($A181-1)/5)&gt;MAX((MAX(1,INT(((CROQUIS!$C$97)-CROQUIS!$C$107)/MAX((CROQUIS!$C$141*MAX(1,CEILING((INT(((CROQUIS!$C$97)-CROQUIS!$C$107)/MAX(CROQUIS!$C$141,1))+1)/80,1))),1))+1))-1,0),0,MOD($A181-1,5))+1,0,IF(CROQUIS!$C$105=1,-12,2),CROQUIS!$C$107/2+CROQUIS!$C$144,IF(CROQUIS!$C$105=1,-12,2),0),((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ROQUIS!$C$159)+IF(CROQUIS!$C$92="X",0,0.8)),-1000)</f>
        <v>-1000</v>
      </c>
      <c r="BX1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HOOSE(IF(INT(($A181-1)/5)&gt;MAX((MAX(1,INT(((CROQUIS!$C$97)-CROQUIS!$C$107)/MAX((CROQUIS!$C$141*MAX(1,CEILING((INT(((CROQUIS!$C$97)-CROQUIS!$C$107)/MAX(CROQUIS!$C$141,1))+1)/80,1))),1))+1))-1,0),0,MOD($A181-1,5))+1,CROQUIS!$C$98,CROQUIS!$C$98-CROQUIS!$C$107/2-CROQUIS!$C$144,IF(CROQUIS!$C$106=1,CROQUIS!$C$98+12,CROQUIS!$C$98-2),CROQUIS!$C$98-CROQUIS!$C$107/2-CROQUIS!$C$144,CROQUIS!$C$98)))*CROQUIS!$C$159)+IF(CROQUIS!$C$92="X",0.8,0)),-1000)</f>
        <v>-1000</v>
      </c>
      <c r="BY181">
        <f>IF(AND(CROQUIS!$C$88=1,CROQUIS!$C$91=0,CROQUIS!$C$141&gt;0,OR(CROQUIS!$C$106=1,CROQUIS!$C$146=1)),((CROQUIS!$C$161+(IF(CROQUIS!$C$92="X",CHOOSE(IF(INT(($A181-1)/5)&gt;MAX((MAX(1,INT(((CROQUIS!$C$97)-CROQUIS!$C$107)/MAX((CROQUIS!$C$141*MAX(1,CEILING((INT(((CROQUIS!$C$97)-CROQUIS!$C$107)/MAX(CROQUIS!$C$141,1))+1)/80,1))),1))+1))-1,0),0,MOD($A181-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ROQUIS!$C$159)+IF(CROQUIS!$C$92="X",0,0.8)),-1000)</f>
        <v>-1000</v>
      </c>
      <c r="BZ181">
        <f>IF(AND(CROQUIS!$C$88=1,CROQUIS!$C$91=1,CROQUIS!$C$133&gt;0),((CROQUIS!$C$160+(IF(CROQUIS!$C$92="X",CHOOSE(IF(INT(($A181-1)/5)&gt;MAX((MAX(1,INT(((CROQUIS!$C$98)-CROQUIS!$C$107)/MAX((CROQUIS!$C$133*MAX(1,CEILING((INT(((CROQUIS!$C$98)-CROQUIS!$C$107)/MAX(CROQUIS!$C$133,1))+1)/80,1))),1))+1))-1,0),0,MOD($A181-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CA181">
        <f>IF(AND(CROQUIS!$C$88=1,CROQUIS!$C$91=1,CROQUIS!$C$133&gt;0),((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2">
      <c r="A182" t="n">
        <v>175</v>
      </c>
      <c r="BN182">
        <f>IF(AND(CROQUIS!$C$88=1,CROQUIS!$C$129&gt;0),((CROQUIS!$C$160+(IF(CROQUIS!$C$92="X",CHOOSE(IF(INT(($A182-1)/5)&gt;MAX((MAX(1,INT(((CROQUIS!$C$98)-CROQUIS!$C$107)/MAX((CROQUIS!$C$129*MAX(1,CEILING((INT(((CROQUIS!$C$98)-CROQUIS!$C$107)/MAX(CROQUIS!$C$129,1))+1)/80,1))),1))+1))-1,0),0,MOD($A182-1,5))+1,0,2,CROQUIS!$C$97-2,2,0),((CROQUIS!$C$107/2+(((CROQUIS!$C$98)-CROQUIS!$C$107)-(MAX(1,INT(((CROQUIS!$C$98)-CROQUIS!$C$107)/MAX((CROQUIS!$C$129*MAX(1,CEILING((INT(((CROQUIS!$C$98)-CROQUIS!$C$107)/MAX(CROQUIS!$C$129,1))+1)/80,1))),1))+1)-1)*(CROQUIS!$C$129*MAX(1,CEILING((INT(((CROQUIS!$C$98)-CROQUIS!$C$107)/MAX(CROQUIS!$C$129,1))+1)/80,1))))/2)+MIN(INT(($A182-1)/5),MAX((MAX(1,INT(((CROQUIS!$C$98)-CROQUIS!$C$107)/MAX((CROQUIS!$C$129*MAX(1,CEILING((INT(((CROQUIS!$C$98)-CROQUIS!$C$107)/MAX(CROQUIS!$C$129,1))+1)/80,1))),1))+1))-1,0))*(CROQUIS!$C$129*MAX(1,CEILING((INT(((CROQUIS!$C$98)-CROQUIS!$C$107)/MAX(CROQUIS!$C$129,1))+1)/80,1))))))*CROQUIS!$C$159)+IF(CROQUIS!$C$92="X",0,0)),-1000)</f>
        <v>-1000</v>
      </c>
      <c r="BO182">
        <f>IF(AND(CROQUIS!$C$88=1,CROQUIS!$C$129&gt;0),((CROQUIS!$C$161+(IF(CROQUIS!$C$92="X",((CROQUIS!$C$107/2+(((CROQUIS!$C$98)-CROQUIS!$C$107)-(MAX(1,INT(((CROQUIS!$C$98)-CROQUIS!$C$107)/MAX((CROQUIS!$C$129*MAX(1,CEILING((INT(((CROQUIS!$C$98)-CROQUIS!$C$107)/MAX(CROQUIS!$C$129,1))+1)/80,1))),1))+1)-1)*(CROQUIS!$C$129*MAX(1,CEILING((INT(((CROQUIS!$C$98)-CROQUIS!$C$107)/MAX(CROQUIS!$C$129,1))+1)/80,1))))/2)+MIN(INT(($A182-1)/5),MAX((MAX(1,INT(((CROQUIS!$C$98)-CROQUIS!$C$107)/MAX((CROQUIS!$C$129*MAX(1,CEILING((INT(((CROQUIS!$C$98)-CROQUIS!$C$107)/MAX(CROQUIS!$C$129,1))+1)/80,1))),1))+1))-1,0))*(CROQUIS!$C$129*MAX(1,CEILING((INT(((CROQUIS!$C$98)-CROQUIS!$C$107)/MAX(CROQUIS!$C$129,1))+1)/80,1)))),CHOOSE(IF(INT(($A182-1)/5)&gt;MAX((MAX(1,INT(((CROQUIS!$C$98)-CROQUIS!$C$107)/MAX((CROQUIS!$C$129*MAX(1,CEILING((INT(((CROQUIS!$C$98)-CROQUIS!$C$107)/MAX(CROQUIS!$C$129,1))+1)/80,1))),1))+1))-1,0),0,MOD($A182-1,5))+1,0,2,CROQUIS!$C$97-2,2,0)))*CROQUIS!$C$159)+IF(CROQUIS!$C$92="X",0,0)),-1000)</f>
        <v>-1000</v>
      </c>
      <c r="BP182">
        <f>IF(AND(CROQUIS!$C$88=1,CROQUIS!$C$137&gt;0),((CROQUIS!$C$160+(IF(CROQUIS!$C$92="X",((CROQUIS!$C$107/2+(((CROQUIS!$C$97)-CROQUIS!$C$107)-(MAX(1,INT(((CROQUIS!$C$97)-CROQUIS!$C$107)/MAX((CROQUIS!$C$137*MAX(1,CEILING((INT(((CROQUIS!$C$97)-CROQUIS!$C$107)/MAX(CROQUIS!$C$137,1))+1)/80,1))),1))+1)-1)*(CROQUIS!$C$137*MAX(1,CEILING((INT(((CROQUIS!$C$97)-CROQUIS!$C$107)/MAX(CROQUIS!$C$137,1))+1)/80,1))))/2)+MIN(INT(($A182-1)/5),MAX((MAX(1,INT(((CROQUIS!$C$97)-CROQUIS!$C$107)/MAX((CROQUIS!$C$137*MAX(1,CEILING((INT(((CROQUIS!$C$97)-CROQUIS!$C$107)/MAX(CROQUIS!$C$137,1))+1)/80,1))),1))+1))-1,0))*(CROQUIS!$C$137*MAX(1,CEILING((INT(((CROQUIS!$C$97)-CROQUIS!$C$107)/MAX(CROQUIS!$C$137,1))+1)/80,1)))),CHOOSE(IF(INT(($A182-1)/5)&gt;MAX((MAX(1,INT(((CROQUIS!$C$97)-CROQUIS!$C$107)/MAX((CROQUIS!$C$137*MAX(1,CEILING((INT(((CROQUIS!$C$97)-CROQUIS!$C$107)/MAX(CROQUIS!$C$137,1))+1)/80,1))),1))+1))-1,0),0,MOD($A182-1,5))+1,0,2,CROQUIS!$C$98-2,2,0)))*CROQUIS!$C$159)+IF(CROQUIS!$C$92="X",0,0)),-1000)</f>
        <v>-1000</v>
      </c>
      <c r="BQ182">
        <f>IF(AND(CROQUIS!$C$88=1,CROQUIS!$C$137&gt;0),((CROQUIS!$C$161+(IF(CROQUIS!$C$92="X",CHOOSE(IF(INT(($A182-1)/5)&gt;MAX((MAX(1,INT(((CROQUIS!$C$97)-CROQUIS!$C$107)/MAX((CROQUIS!$C$137*MAX(1,CEILING((INT(((CROQUIS!$C$97)-CROQUIS!$C$107)/MAX(CROQUIS!$C$137,1))+1)/80,1))),1))+1))-1,0),0,MOD($A182-1,5))+1,0,2,CROQUIS!$C$98-2,2,0),((CROQUIS!$C$107/2+(((CROQUIS!$C$97)-CROQUIS!$C$107)-(MAX(1,INT(((CROQUIS!$C$97)-CROQUIS!$C$107)/MAX((CROQUIS!$C$137*MAX(1,CEILING((INT(((CROQUIS!$C$97)-CROQUIS!$C$107)/MAX(CROQUIS!$C$137,1))+1)/80,1))),1))+1)-1)*(CROQUIS!$C$137*MAX(1,CEILING((INT(((CROQUIS!$C$97)-CROQUIS!$C$107)/MAX(CROQUIS!$C$137,1))+1)/80,1))))/2)+MIN(INT(($A182-1)/5),MAX((MAX(1,INT(((CROQUIS!$C$97)-CROQUIS!$C$107)/MAX((CROQUIS!$C$137*MAX(1,CEILING((INT(((CROQUIS!$C$97)-CROQUIS!$C$107)/MAX(CROQUIS!$C$137,1))+1)/80,1))),1))+1))-1,0))*(CROQUIS!$C$137*MAX(1,CEILING((INT(((CROQUIS!$C$97)-CROQUIS!$C$107)/MAX(CROQUIS!$C$137,1))+1)/80,1))))))*CROQUIS!$C$159)+IF(CROQUIS!$C$92="X",0,0)),-1000)</f>
        <v>-1000</v>
      </c>
      <c r="BR182">
        <f>IF(AND(CROQUIS!$C$88=1,CROQUIS!$C$91=0,CROQUIS!$C$133&gt;0,OR(CROQUIS!$C$103=1,CROQUIS!$C$145=1)),((CROQUIS!$C$160+(IF(CROQUIS!$C$92="X",CHOOSE(IF(INT(($A182-1)/5)&gt;MAX((MAX(1,INT(((CROQUIS!$C$98)-CROQUIS!$C$107)/MAX((CROQUIS!$C$133*MAX(1,CEILING((INT(((CROQUIS!$C$98)-CROQUIS!$C$107)/MAX(CROQUIS!$C$133,1))+1)/80,1))),1))+1))-1,0),0,MOD($A182-1,5))+1,0,IF(CROQUIS!$C$103=1,-12,2),CROQUIS!$C$107/2+CROQUIS!$C$143,IF(CROQUIS!$C$103=1,-12,2),0),((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BS1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+1,0,IF(CROQUIS!$C$103=1,-12,2),CROQUIS!$C$107/2+CROQUIS!$C$143,IF(CROQUIS!$C$103=1,-12,2),0)))*CROQUIS!$C$159)+IF(CROQUIS!$C$92="X",0.8,0)),-1000)</f>
        <v>-1000</v>
      </c>
      <c r="BT182">
        <f>IF(AND(CROQUIS!$C$88=1,CROQUIS!$C$91=0,CROQUIS!$C$133&gt;0,OR(CROQUIS!$C$104=1,CROQUIS!$C$145=1)),((CROQUIS!$C$160+(IF(CROQUIS!$C$92="X",CHOOSE(IF(INT(($A182-1)/5)&gt;MAX((MAX(1,INT(((CROQUIS!$C$98)-CROQUIS!$C$107)/MAX((CROQUIS!$C$133*MAX(1,CEILING((INT(((CROQUIS!$C$98)-CROQUIS!$C$107)/MAX(CROQUIS!$C$133,1))+1)/80,1))),1))+1))-1,0),0,MOD($A182-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BU1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CROQUIS!$C$97,CROQUIS!$C$97-CROQUIS!$C$107/2-CROQUIS!$C$143,IF(CROQUIS!$C$104=1,CROQUIS!$C$97+12,CROQUIS!$C$97-2),CROQUIS!$C$97-CROQUIS!$C$107/2-CROQUIS!$C$143,CROQUIS!$C$97)))*CROQUIS!$C$159)+IF(CROQUIS!$C$92="X",0.8,0)),-1000)</f>
        <v>-1000</v>
      </c>
      <c r="BV1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HOOSE(IF(INT(($A182-1)/5)&gt;MAX((MAX(1,INT(((CROQUIS!$C$97)-CROQUIS!$C$107)/MAX((CROQUIS!$C$141*MAX(1,CEILING((INT(((CROQUIS!$C$97)-CROQUIS!$C$107)/MAX(CROQUIS!$C$141,1))+1)/80,1))),1))+1))-1,0),0,MOD($A182-1,5))+1,0,IF(CROQUIS!$C$105=1,-12,2),CROQUIS!$C$107/2+CROQUIS!$C$144,IF(CROQUIS!$C$105=1,-12,2),0)))*CROQUIS!$C$159)+IF(CROQUIS!$C$92="X",0.8,0)),-1000)</f>
        <v>-1000</v>
      </c>
      <c r="BW182">
        <f>IF(AND(CROQUIS!$C$88=1,CROQUIS!$C$91=0,CROQUIS!$C$141&gt;0,OR(CROQUIS!$C$105=1,CROQUIS!$C$146=1)),((CROQUIS!$C$161+(IF(CROQUIS!$C$92="X",CHOOSE(IF(INT(($A182-1)/5)&gt;MAX((MAX(1,INT(((CROQUIS!$C$97)-CROQUIS!$C$107)/MAX((CROQUIS!$C$141*MAX(1,CEILING((INT(((CROQUIS!$C$97)-CROQUIS!$C$107)/MAX(CROQUIS!$C$141,1))+1)/80,1))),1))+1))-1,0),0,MOD($A182-1,5))+1,0,IF(CROQUIS!$C$105=1,-12,2),CROQUIS!$C$107/2+CROQUIS!$C$144,IF(CROQUIS!$C$105=1,-12,2),0),((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ROQUIS!$C$159)+IF(CROQUIS!$C$92="X",0,0.8)),-1000)</f>
        <v>-1000</v>
      </c>
      <c r="BX1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HOOSE(IF(INT(($A182-1)/5)&gt;MAX((MAX(1,INT(((CROQUIS!$C$97)-CROQUIS!$C$107)/MAX((CROQUIS!$C$141*MAX(1,CEILING((INT(((CROQUIS!$C$97)-CROQUIS!$C$107)/MAX(CROQUIS!$C$141,1))+1)/80,1))),1))+1))-1,0),0,MOD($A182-1,5))+1,CROQUIS!$C$98,CROQUIS!$C$98-CROQUIS!$C$107/2-CROQUIS!$C$144,IF(CROQUIS!$C$106=1,CROQUIS!$C$98+12,CROQUIS!$C$98-2),CROQUIS!$C$98-CROQUIS!$C$107/2-CROQUIS!$C$144,CROQUIS!$C$98)))*CROQUIS!$C$159)+IF(CROQUIS!$C$92="X",0.8,0)),-1000)</f>
        <v>-1000</v>
      </c>
      <c r="BY182">
        <f>IF(AND(CROQUIS!$C$88=1,CROQUIS!$C$91=0,CROQUIS!$C$141&gt;0,OR(CROQUIS!$C$106=1,CROQUIS!$C$146=1)),((CROQUIS!$C$161+(IF(CROQUIS!$C$92="X",CHOOSE(IF(INT(($A182-1)/5)&gt;MAX((MAX(1,INT(((CROQUIS!$C$97)-CROQUIS!$C$107)/MAX((CROQUIS!$C$141*MAX(1,CEILING((INT(((CROQUIS!$C$97)-CROQUIS!$C$107)/MAX(CROQUIS!$C$141,1))+1)/80,1))),1))+1))-1,0),0,MOD($A182-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ROQUIS!$C$159)+IF(CROQUIS!$C$92="X",0,0.8)),-1000)</f>
        <v>-1000</v>
      </c>
      <c r="BZ182">
        <f>IF(AND(CROQUIS!$C$88=1,CROQUIS!$C$91=1,CROQUIS!$C$133&gt;0),((CROQUIS!$C$160+(IF(CROQUIS!$C$92="X",CHOOSE(IF(INT(($A182-1)/5)&gt;MAX((MAX(1,INT(((CROQUIS!$C$98)-CROQUIS!$C$107)/MAX((CROQUIS!$C$133*MAX(1,CEILING((INT(((CROQUIS!$C$98)-CROQUIS!$C$107)/MAX(CROQUIS!$C$133,1))+1)/80,1))),1))+1))-1,0),0,MOD($A182-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CA182">
        <f>IF(AND(CROQUIS!$C$88=1,CROQUIS!$C$91=1,CROQUIS!$C$133&gt;0),((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3">
      <c r="A183" t="n">
        <v>176</v>
      </c>
      <c r="BN183">
        <f>IF(AND(CROQUIS!$C$88=1,CROQUIS!$C$129&gt;0),((CROQUIS!$C$160+(IF(CROQUIS!$C$92="X",CHOOSE(IF(INT(($A183-1)/5)&gt;MAX((MAX(1,INT(((CROQUIS!$C$98)-CROQUIS!$C$107)/MAX((CROQUIS!$C$129*MAX(1,CEILING((INT(((CROQUIS!$C$98)-CROQUIS!$C$107)/MAX(CROQUIS!$C$129,1))+1)/80,1))),1))+1))-1,0),0,MOD($A183-1,5))+1,0,2,CROQUIS!$C$97-2,2,0),((CROQUIS!$C$107/2+(((CROQUIS!$C$98)-CROQUIS!$C$107)-(MAX(1,INT(((CROQUIS!$C$98)-CROQUIS!$C$107)/MAX((CROQUIS!$C$129*MAX(1,CEILING((INT(((CROQUIS!$C$98)-CROQUIS!$C$107)/MAX(CROQUIS!$C$129,1))+1)/80,1))),1))+1)-1)*(CROQUIS!$C$129*MAX(1,CEILING((INT(((CROQUIS!$C$98)-CROQUIS!$C$107)/MAX(CROQUIS!$C$129,1))+1)/80,1))))/2)+MIN(INT(($A183-1)/5),MAX((MAX(1,INT(((CROQUIS!$C$98)-CROQUIS!$C$107)/MAX((CROQUIS!$C$129*MAX(1,CEILING((INT(((CROQUIS!$C$98)-CROQUIS!$C$107)/MAX(CROQUIS!$C$129,1))+1)/80,1))),1))+1))-1,0))*(CROQUIS!$C$129*MAX(1,CEILING((INT(((CROQUIS!$C$98)-CROQUIS!$C$107)/MAX(CROQUIS!$C$129,1))+1)/80,1))))))*CROQUIS!$C$159)+IF(CROQUIS!$C$92="X",0,0)),-1000)</f>
        <v>-1000</v>
      </c>
      <c r="BO183">
        <f>IF(AND(CROQUIS!$C$88=1,CROQUIS!$C$129&gt;0),((CROQUIS!$C$161+(IF(CROQUIS!$C$92="X",((CROQUIS!$C$107/2+(((CROQUIS!$C$98)-CROQUIS!$C$107)-(MAX(1,INT(((CROQUIS!$C$98)-CROQUIS!$C$107)/MAX((CROQUIS!$C$129*MAX(1,CEILING((INT(((CROQUIS!$C$98)-CROQUIS!$C$107)/MAX(CROQUIS!$C$129,1))+1)/80,1))),1))+1)-1)*(CROQUIS!$C$129*MAX(1,CEILING((INT(((CROQUIS!$C$98)-CROQUIS!$C$107)/MAX(CROQUIS!$C$129,1))+1)/80,1))))/2)+MIN(INT(($A183-1)/5),MAX((MAX(1,INT(((CROQUIS!$C$98)-CROQUIS!$C$107)/MAX((CROQUIS!$C$129*MAX(1,CEILING((INT(((CROQUIS!$C$98)-CROQUIS!$C$107)/MAX(CROQUIS!$C$129,1))+1)/80,1))),1))+1))-1,0))*(CROQUIS!$C$129*MAX(1,CEILING((INT(((CROQUIS!$C$98)-CROQUIS!$C$107)/MAX(CROQUIS!$C$129,1))+1)/80,1)))),CHOOSE(IF(INT(($A183-1)/5)&gt;MAX((MAX(1,INT(((CROQUIS!$C$98)-CROQUIS!$C$107)/MAX((CROQUIS!$C$129*MAX(1,CEILING((INT(((CROQUIS!$C$98)-CROQUIS!$C$107)/MAX(CROQUIS!$C$129,1))+1)/80,1))),1))+1))-1,0),0,MOD($A183-1,5))+1,0,2,CROQUIS!$C$97-2,2,0)))*CROQUIS!$C$159)+IF(CROQUIS!$C$92="X",0,0)),-1000)</f>
        <v>-1000</v>
      </c>
      <c r="BP183">
        <f>IF(AND(CROQUIS!$C$88=1,CROQUIS!$C$137&gt;0),((CROQUIS!$C$160+(IF(CROQUIS!$C$92="X",((CROQUIS!$C$107/2+(((CROQUIS!$C$97)-CROQUIS!$C$107)-(MAX(1,INT(((CROQUIS!$C$97)-CROQUIS!$C$107)/MAX((CROQUIS!$C$137*MAX(1,CEILING((INT(((CROQUIS!$C$97)-CROQUIS!$C$107)/MAX(CROQUIS!$C$137,1))+1)/80,1))),1))+1)-1)*(CROQUIS!$C$137*MAX(1,CEILING((INT(((CROQUIS!$C$97)-CROQUIS!$C$107)/MAX(CROQUIS!$C$137,1))+1)/80,1))))/2)+MIN(INT(($A183-1)/5),MAX((MAX(1,INT(((CROQUIS!$C$97)-CROQUIS!$C$107)/MAX((CROQUIS!$C$137*MAX(1,CEILING((INT(((CROQUIS!$C$97)-CROQUIS!$C$107)/MAX(CROQUIS!$C$137,1))+1)/80,1))),1))+1))-1,0))*(CROQUIS!$C$137*MAX(1,CEILING((INT(((CROQUIS!$C$97)-CROQUIS!$C$107)/MAX(CROQUIS!$C$137,1))+1)/80,1)))),CHOOSE(IF(INT(($A183-1)/5)&gt;MAX((MAX(1,INT(((CROQUIS!$C$97)-CROQUIS!$C$107)/MAX((CROQUIS!$C$137*MAX(1,CEILING((INT(((CROQUIS!$C$97)-CROQUIS!$C$107)/MAX(CROQUIS!$C$137,1))+1)/80,1))),1))+1))-1,0),0,MOD($A183-1,5))+1,0,2,CROQUIS!$C$98-2,2,0)))*CROQUIS!$C$159)+IF(CROQUIS!$C$92="X",0,0)),-1000)</f>
        <v>-1000</v>
      </c>
      <c r="BQ183">
        <f>IF(AND(CROQUIS!$C$88=1,CROQUIS!$C$137&gt;0),((CROQUIS!$C$161+(IF(CROQUIS!$C$92="X",CHOOSE(IF(INT(($A183-1)/5)&gt;MAX((MAX(1,INT(((CROQUIS!$C$97)-CROQUIS!$C$107)/MAX((CROQUIS!$C$137*MAX(1,CEILING((INT(((CROQUIS!$C$97)-CROQUIS!$C$107)/MAX(CROQUIS!$C$137,1))+1)/80,1))),1))+1))-1,0),0,MOD($A183-1,5))+1,0,2,CROQUIS!$C$98-2,2,0),((CROQUIS!$C$107/2+(((CROQUIS!$C$97)-CROQUIS!$C$107)-(MAX(1,INT(((CROQUIS!$C$97)-CROQUIS!$C$107)/MAX((CROQUIS!$C$137*MAX(1,CEILING((INT(((CROQUIS!$C$97)-CROQUIS!$C$107)/MAX(CROQUIS!$C$137,1))+1)/80,1))),1))+1)-1)*(CROQUIS!$C$137*MAX(1,CEILING((INT(((CROQUIS!$C$97)-CROQUIS!$C$107)/MAX(CROQUIS!$C$137,1))+1)/80,1))))/2)+MIN(INT(($A183-1)/5),MAX((MAX(1,INT(((CROQUIS!$C$97)-CROQUIS!$C$107)/MAX((CROQUIS!$C$137*MAX(1,CEILING((INT(((CROQUIS!$C$97)-CROQUIS!$C$107)/MAX(CROQUIS!$C$137,1))+1)/80,1))),1))+1))-1,0))*(CROQUIS!$C$137*MAX(1,CEILING((INT(((CROQUIS!$C$97)-CROQUIS!$C$107)/MAX(CROQUIS!$C$137,1))+1)/80,1))))))*CROQUIS!$C$159)+IF(CROQUIS!$C$92="X",0,0)),-1000)</f>
        <v>-1000</v>
      </c>
      <c r="BR183">
        <f>IF(AND(CROQUIS!$C$88=1,CROQUIS!$C$91=0,CROQUIS!$C$133&gt;0,OR(CROQUIS!$C$103=1,CROQUIS!$C$145=1)),((CROQUIS!$C$160+(IF(CROQUIS!$C$92="X",CHOOSE(IF(INT(($A183-1)/5)&gt;MAX((MAX(1,INT(((CROQUIS!$C$98)-CROQUIS!$C$107)/MAX((CROQUIS!$C$133*MAX(1,CEILING((INT(((CROQUIS!$C$98)-CROQUIS!$C$107)/MAX(CROQUIS!$C$133,1))+1)/80,1))),1))+1))-1,0),0,MOD($A183-1,5))+1,0,IF(CROQUIS!$C$103=1,-12,2),CROQUIS!$C$107/2+CROQUIS!$C$143,IF(CROQUIS!$C$103=1,-12,2),0),((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BS1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+1,0,IF(CROQUIS!$C$103=1,-12,2),CROQUIS!$C$107/2+CROQUIS!$C$143,IF(CROQUIS!$C$103=1,-12,2),0)))*CROQUIS!$C$159)+IF(CROQUIS!$C$92="X",0.8,0)),-1000)</f>
        <v>-1000</v>
      </c>
      <c r="BT183">
        <f>IF(AND(CROQUIS!$C$88=1,CROQUIS!$C$91=0,CROQUIS!$C$133&gt;0,OR(CROQUIS!$C$104=1,CROQUIS!$C$145=1)),((CROQUIS!$C$160+(IF(CROQUIS!$C$92="X",CHOOSE(IF(INT(($A183-1)/5)&gt;MAX((MAX(1,INT(((CROQUIS!$C$98)-CROQUIS!$C$107)/MAX((CROQUIS!$C$133*MAX(1,CEILING((INT(((CROQUIS!$C$98)-CROQUIS!$C$107)/MAX(CROQUIS!$C$133,1))+1)/80,1))),1))+1))-1,0),0,MOD($A183-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BU1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CROQUIS!$C$97,CROQUIS!$C$97-CROQUIS!$C$107/2-CROQUIS!$C$143,IF(CROQUIS!$C$104=1,CROQUIS!$C$97+12,CROQUIS!$C$97-2),CROQUIS!$C$97-CROQUIS!$C$107/2-CROQUIS!$C$143,CROQUIS!$C$97)))*CROQUIS!$C$159)+IF(CROQUIS!$C$92="X",0.8,0)),-1000)</f>
        <v>-1000</v>
      </c>
      <c r="BV1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HOOSE(IF(INT(($A183-1)/5)&gt;MAX((MAX(1,INT(((CROQUIS!$C$97)-CROQUIS!$C$107)/MAX((CROQUIS!$C$141*MAX(1,CEILING((INT(((CROQUIS!$C$97)-CROQUIS!$C$107)/MAX(CROQUIS!$C$141,1))+1)/80,1))),1))+1))-1,0),0,MOD($A183-1,5))+1,0,IF(CROQUIS!$C$105=1,-12,2),CROQUIS!$C$107/2+CROQUIS!$C$144,IF(CROQUIS!$C$105=1,-12,2),0)))*CROQUIS!$C$159)+IF(CROQUIS!$C$92="X",0.8,0)),-1000)</f>
        <v>-1000</v>
      </c>
      <c r="BW183">
        <f>IF(AND(CROQUIS!$C$88=1,CROQUIS!$C$91=0,CROQUIS!$C$141&gt;0,OR(CROQUIS!$C$105=1,CROQUIS!$C$146=1)),((CROQUIS!$C$161+(IF(CROQUIS!$C$92="X",CHOOSE(IF(INT(($A183-1)/5)&gt;MAX((MAX(1,INT(((CROQUIS!$C$97)-CROQUIS!$C$107)/MAX((CROQUIS!$C$141*MAX(1,CEILING((INT(((CROQUIS!$C$97)-CROQUIS!$C$107)/MAX(CROQUIS!$C$141,1))+1)/80,1))),1))+1))-1,0),0,MOD($A183-1,5))+1,0,IF(CROQUIS!$C$105=1,-12,2),CROQUIS!$C$107/2+CROQUIS!$C$144,IF(CROQUIS!$C$105=1,-12,2),0),((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ROQUIS!$C$159)+IF(CROQUIS!$C$92="X",0,0.8)),-1000)</f>
        <v>-1000</v>
      </c>
      <c r="BX1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HOOSE(IF(INT(($A183-1)/5)&gt;MAX((MAX(1,INT(((CROQUIS!$C$97)-CROQUIS!$C$107)/MAX((CROQUIS!$C$141*MAX(1,CEILING((INT(((CROQUIS!$C$97)-CROQUIS!$C$107)/MAX(CROQUIS!$C$141,1))+1)/80,1))),1))+1))-1,0),0,MOD($A183-1,5))+1,CROQUIS!$C$98,CROQUIS!$C$98-CROQUIS!$C$107/2-CROQUIS!$C$144,IF(CROQUIS!$C$106=1,CROQUIS!$C$98+12,CROQUIS!$C$98-2),CROQUIS!$C$98-CROQUIS!$C$107/2-CROQUIS!$C$144,CROQUIS!$C$98)))*CROQUIS!$C$159)+IF(CROQUIS!$C$92="X",0.8,0)),-1000)</f>
        <v>-1000</v>
      </c>
      <c r="BY183">
        <f>IF(AND(CROQUIS!$C$88=1,CROQUIS!$C$91=0,CROQUIS!$C$141&gt;0,OR(CROQUIS!$C$106=1,CROQUIS!$C$146=1)),((CROQUIS!$C$161+(IF(CROQUIS!$C$92="X",CHOOSE(IF(INT(($A183-1)/5)&gt;MAX((MAX(1,INT(((CROQUIS!$C$97)-CROQUIS!$C$107)/MAX((CROQUIS!$C$141*MAX(1,CEILING((INT(((CROQUIS!$C$97)-CROQUIS!$C$107)/MAX(CROQUIS!$C$141,1))+1)/80,1))),1))+1))-1,0),0,MOD($A183-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ROQUIS!$C$159)+IF(CROQUIS!$C$92="X",0,0.8)),-1000)</f>
        <v>-1000</v>
      </c>
      <c r="BZ183">
        <f>IF(AND(CROQUIS!$C$88=1,CROQUIS!$C$91=1,CROQUIS!$C$133&gt;0),((CROQUIS!$C$160+(IF(CROQUIS!$C$92="X",CHOOSE(IF(INT(($A183-1)/5)&gt;MAX((MAX(1,INT(((CROQUIS!$C$98)-CROQUIS!$C$107)/MAX((CROQUIS!$C$133*MAX(1,CEILING((INT(((CROQUIS!$C$98)-CROQUIS!$C$107)/MAX(CROQUIS!$C$133,1))+1)/80,1))),1))+1))-1,0),0,MOD($A183-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CA183">
        <f>IF(AND(CROQUIS!$C$88=1,CROQUIS!$C$91=1,CROQUIS!$C$133&gt;0),((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4">
      <c r="A184" t="n">
        <v>177</v>
      </c>
      <c r="BN184">
        <f>IF(AND(CROQUIS!$C$88=1,CROQUIS!$C$129&gt;0),((CROQUIS!$C$160+(IF(CROQUIS!$C$92="X",CHOOSE(IF(INT(($A184-1)/5)&gt;MAX((MAX(1,INT(((CROQUIS!$C$98)-CROQUIS!$C$107)/MAX((CROQUIS!$C$129*MAX(1,CEILING((INT(((CROQUIS!$C$98)-CROQUIS!$C$107)/MAX(CROQUIS!$C$129,1))+1)/80,1))),1))+1))-1,0),0,MOD($A184-1,5))+1,0,2,CROQUIS!$C$97-2,2,0),((CROQUIS!$C$107/2+(((CROQUIS!$C$98)-CROQUIS!$C$107)-(MAX(1,INT(((CROQUIS!$C$98)-CROQUIS!$C$107)/MAX((CROQUIS!$C$129*MAX(1,CEILING((INT(((CROQUIS!$C$98)-CROQUIS!$C$107)/MAX(CROQUIS!$C$129,1))+1)/80,1))),1))+1)-1)*(CROQUIS!$C$129*MAX(1,CEILING((INT(((CROQUIS!$C$98)-CROQUIS!$C$107)/MAX(CROQUIS!$C$129,1))+1)/80,1))))/2)+MIN(INT(($A184-1)/5),MAX((MAX(1,INT(((CROQUIS!$C$98)-CROQUIS!$C$107)/MAX((CROQUIS!$C$129*MAX(1,CEILING((INT(((CROQUIS!$C$98)-CROQUIS!$C$107)/MAX(CROQUIS!$C$129,1))+1)/80,1))),1))+1))-1,0))*(CROQUIS!$C$129*MAX(1,CEILING((INT(((CROQUIS!$C$98)-CROQUIS!$C$107)/MAX(CROQUIS!$C$129,1))+1)/80,1))))))*CROQUIS!$C$159)+IF(CROQUIS!$C$92="X",0,0)),-1000)</f>
        <v>-1000</v>
      </c>
      <c r="BO184">
        <f>IF(AND(CROQUIS!$C$88=1,CROQUIS!$C$129&gt;0),((CROQUIS!$C$161+(IF(CROQUIS!$C$92="X",((CROQUIS!$C$107/2+(((CROQUIS!$C$98)-CROQUIS!$C$107)-(MAX(1,INT(((CROQUIS!$C$98)-CROQUIS!$C$107)/MAX((CROQUIS!$C$129*MAX(1,CEILING((INT(((CROQUIS!$C$98)-CROQUIS!$C$107)/MAX(CROQUIS!$C$129,1))+1)/80,1))),1))+1)-1)*(CROQUIS!$C$129*MAX(1,CEILING((INT(((CROQUIS!$C$98)-CROQUIS!$C$107)/MAX(CROQUIS!$C$129,1))+1)/80,1))))/2)+MIN(INT(($A184-1)/5),MAX((MAX(1,INT(((CROQUIS!$C$98)-CROQUIS!$C$107)/MAX((CROQUIS!$C$129*MAX(1,CEILING((INT(((CROQUIS!$C$98)-CROQUIS!$C$107)/MAX(CROQUIS!$C$129,1))+1)/80,1))),1))+1))-1,0))*(CROQUIS!$C$129*MAX(1,CEILING((INT(((CROQUIS!$C$98)-CROQUIS!$C$107)/MAX(CROQUIS!$C$129,1))+1)/80,1)))),CHOOSE(IF(INT(($A184-1)/5)&gt;MAX((MAX(1,INT(((CROQUIS!$C$98)-CROQUIS!$C$107)/MAX((CROQUIS!$C$129*MAX(1,CEILING((INT(((CROQUIS!$C$98)-CROQUIS!$C$107)/MAX(CROQUIS!$C$129,1))+1)/80,1))),1))+1))-1,0),0,MOD($A184-1,5))+1,0,2,CROQUIS!$C$97-2,2,0)))*CROQUIS!$C$159)+IF(CROQUIS!$C$92="X",0,0)),-1000)</f>
        <v>-1000</v>
      </c>
      <c r="BP184">
        <f>IF(AND(CROQUIS!$C$88=1,CROQUIS!$C$137&gt;0),((CROQUIS!$C$160+(IF(CROQUIS!$C$92="X",((CROQUIS!$C$107/2+(((CROQUIS!$C$97)-CROQUIS!$C$107)-(MAX(1,INT(((CROQUIS!$C$97)-CROQUIS!$C$107)/MAX((CROQUIS!$C$137*MAX(1,CEILING((INT(((CROQUIS!$C$97)-CROQUIS!$C$107)/MAX(CROQUIS!$C$137,1))+1)/80,1))),1))+1)-1)*(CROQUIS!$C$137*MAX(1,CEILING((INT(((CROQUIS!$C$97)-CROQUIS!$C$107)/MAX(CROQUIS!$C$137,1))+1)/80,1))))/2)+MIN(INT(($A184-1)/5),MAX((MAX(1,INT(((CROQUIS!$C$97)-CROQUIS!$C$107)/MAX((CROQUIS!$C$137*MAX(1,CEILING((INT(((CROQUIS!$C$97)-CROQUIS!$C$107)/MAX(CROQUIS!$C$137,1))+1)/80,1))),1))+1))-1,0))*(CROQUIS!$C$137*MAX(1,CEILING((INT(((CROQUIS!$C$97)-CROQUIS!$C$107)/MAX(CROQUIS!$C$137,1))+1)/80,1)))),CHOOSE(IF(INT(($A184-1)/5)&gt;MAX((MAX(1,INT(((CROQUIS!$C$97)-CROQUIS!$C$107)/MAX((CROQUIS!$C$137*MAX(1,CEILING((INT(((CROQUIS!$C$97)-CROQUIS!$C$107)/MAX(CROQUIS!$C$137,1))+1)/80,1))),1))+1))-1,0),0,MOD($A184-1,5))+1,0,2,CROQUIS!$C$98-2,2,0)))*CROQUIS!$C$159)+IF(CROQUIS!$C$92="X",0,0)),-1000)</f>
        <v>-1000</v>
      </c>
      <c r="BQ184">
        <f>IF(AND(CROQUIS!$C$88=1,CROQUIS!$C$137&gt;0),((CROQUIS!$C$161+(IF(CROQUIS!$C$92="X",CHOOSE(IF(INT(($A184-1)/5)&gt;MAX((MAX(1,INT(((CROQUIS!$C$97)-CROQUIS!$C$107)/MAX((CROQUIS!$C$137*MAX(1,CEILING((INT(((CROQUIS!$C$97)-CROQUIS!$C$107)/MAX(CROQUIS!$C$137,1))+1)/80,1))),1))+1))-1,0),0,MOD($A184-1,5))+1,0,2,CROQUIS!$C$98-2,2,0),((CROQUIS!$C$107/2+(((CROQUIS!$C$97)-CROQUIS!$C$107)-(MAX(1,INT(((CROQUIS!$C$97)-CROQUIS!$C$107)/MAX((CROQUIS!$C$137*MAX(1,CEILING((INT(((CROQUIS!$C$97)-CROQUIS!$C$107)/MAX(CROQUIS!$C$137,1))+1)/80,1))),1))+1)-1)*(CROQUIS!$C$137*MAX(1,CEILING((INT(((CROQUIS!$C$97)-CROQUIS!$C$107)/MAX(CROQUIS!$C$137,1))+1)/80,1))))/2)+MIN(INT(($A184-1)/5),MAX((MAX(1,INT(((CROQUIS!$C$97)-CROQUIS!$C$107)/MAX((CROQUIS!$C$137*MAX(1,CEILING((INT(((CROQUIS!$C$97)-CROQUIS!$C$107)/MAX(CROQUIS!$C$137,1))+1)/80,1))),1))+1))-1,0))*(CROQUIS!$C$137*MAX(1,CEILING((INT(((CROQUIS!$C$97)-CROQUIS!$C$107)/MAX(CROQUIS!$C$137,1))+1)/80,1))))))*CROQUIS!$C$159)+IF(CROQUIS!$C$92="X",0,0)),-1000)</f>
        <v>-1000</v>
      </c>
      <c r="BR184">
        <f>IF(AND(CROQUIS!$C$88=1,CROQUIS!$C$91=0,CROQUIS!$C$133&gt;0,OR(CROQUIS!$C$103=1,CROQUIS!$C$145=1)),((CROQUIS!$C$160+(IF(CROQUIS!$C$92="X",CHOOSE(IF(INT(($A184-1)/5)&gt;MAX((MAX(1,INT(((CROQUIS!$C$98)-CROQUIS!$C$107)/MAX((CROQUIS!$C$133*MAX(1,CEILING((INT(((CROQUIS!$C$98)-CROQUIS!$C$107)/MAX(CROQUIS!$C$133,1))+1)/80,1))),1))+1))-1,0),0,MOD($A184-1,5))+1,0,IF(CROQUIS!$C$103=1,-12,2),CROQUIS!$C$107/2+CROQUIS!$C$143,IF(CROQUIS!$C$103=1,-12,2),0),((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BS1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+1,0,IF(CROQUIS!$C$103=1,-12,2),CROQUIS!$C$107/2+CROQUIS!$C$143,IF(CROQUIS!$C$103=1,-12,2),0)))*CROQUIS!$C$159)+IF(CROQUIS!$C$92="X",0.8,0)),-1000)</f>
        <v>-1000</v>
      </c>
      <c r="BT184">
        <f>IF(AND(CROQUIS!$C$88=1,CROQUIS!$C$91=0,CROQUIS!$C$133&gt;0,OR(CROQUIS!$C$104=1,CROQUIS!$C$145=1)),((CROQUIS!$C$160+(IF(CROQUIS!$C$92="X",CHOOSE(IF(INT(($A184-1)/5)&gt;MAX((MAX(1,INT(((CROQUIS!$C$98)-CROQUIS!$C$107)/MAX((CROQUIS!$C$133*MAX(1,CEILING((INT(((CROQUIS!$C$98)-CROQUIS!$C$107)/MAX(CROQUIS!$C$133,1))+1)/80,1))),1))+1))-1,0),0,MOD($A184-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BU1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CROQUIS!$C$97,CROQUIS!$C$97-CROQUIS!$C$107/2-CROQUIS!$C$143,IF(CROQUIS!$C$104=1,CROQUIS!$C$97+12,CROQUIS!$C$97-2),CROQUIS!$C$97-CROQUIS!$C$107/2-CROQUIS!$C$143,CROQUIS!$C$97)))*CROQUIS!$C$159)+IF(CROQUIS!$C$92="X",0.8,0)),-1000)</f>
        <v>-1000</v>
      </c>
      <c r="BV1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HOOSE(IF(INT(($A184-1)/5)&gt;MAX((MAX(1,INT(((CROQUIS!$C$97)-CROQUIS!$C$107)/MAX((CROQUIS!$C$141*MAX(1,CEILING((INT(((CROQUIS!$C$97)-CROQUIS!$C$107)/MAX(CROQUIS!$C$141,1))+1)/80,1))),1))+1))-1,0),0,MOD($A184-1,5))+1,0,IF(CROQUIS!$C$105=1,-12,2),CROQUIS!$C$107/2+CROQUIS!$C$144,IF(CROQUIS!$C$105=1,-12,2),0)))*CROQUIS!$C$159)+IF(CROQUIS!$C$92="X",0.8,0)),-1000)</f>
        <v>-1000</v>
      </c>
      <c r="BW184">
        <f>IF(AND(CROQUIS!$C$88=1,CROQUIS!$C$91=0,CROQUIS!$C$141&gt;0,OR(CROQUIS!$C$105=1,CROQUIS!$C$146=1)),((CROQUIS!$C$161+(IF(CROQUIS!$C$92="X",CHOOSE(IF(INT(($A184-1)/5)&gt;MAX((MAX(1,INT(((CROQUIS!$C$97)-CROQUIS!$C$107)/MAX((CROQUIS!$C$141*MAX(1,CEILING((INT(((CROQUIS!$C$97)-CROQUIS!$C$107)/MAX(CROQUIS!$C$141,1))+1)/80,1))),1))+1))-1,0),0,MOD($A184-1,5))+1,0,IF(CROQUIS!$C$105=1,-12,2),CROQUIS!$C$107/2+CROQUIS!$C$144,IF(CROQUIS!$C$105=1,-12,2),0),((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ROQUIS!$C$159)+IF(CROQUIS!$C$92="X",0,0.8)),-1000)</f>
        <v>-1000</v>
      </c>
      <c r="BX1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HOOSE(IF(INT(($A184-1)/5)&gt;MAX((MAX(1,INT(((CROQUIS!$C$97)-CROQUIS!$C$107)/MAX((CROQUIS!$C$141*MAX(1,CEILING((INT(((CROQUIS!$C$97)-CROQUIS!$C$107)/MAX(CROQUIS!$C$141,1))+1)/80,1))),1))+1))-1,0),0,MOD($A184-1,5))+1,CROQUIS!$C$98,CROQUIS!$C$98-CROQUIS!$C$107/2-CROQUIS!$C$144,IF(CROQUIS!$C$106=1,CROQUIS!$C$98+12,CROQUIS!$C$98-2),CROQUIS!$C$98-CROQUIS!$C$107/2-CROQUIS!$C$144,CROQUIS!$C$98)))*CROQUIS!$C$159)+IF(CROQUIS!$C$92="X",0.8,0)),-1000)</f>
        <v>-1000</v>
      </c>
      <c r="BY184">
        <f>IF(AND(CROQUIS!$C$88=1,CROQUIS!$C$91=0,CROQUIS!$C$141&gt;0,OR(CROQUIS!$C$106=1,CROQUIS!$C$146=1)),((CROQUIS!$C$161+(IF(CROQUIS!$C$92="X",CHOOSE(IF(INT(($A184-1)/5)&gt;MAX((MAX(1,INT(((CROQUIS!$C$97)-CROQUIS!$C$107)/MAX((CROQUIS!$C$141*MAX(1,CEILING((INT(((CROQUIS!$C$97)-CROQUIS!$C$107)/MAX(CROQUIS!$C$141,1))+1)/80,1))),1))+1))-1,0),0,MOD($A184-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ROQUIS!$C$159)+IF(CROQUIS!$C$92="X",0,0.8)),-1000)</f>
        <v>-1000</v>
      </c>
      <c r="BZ184">
        <f>IF(AND(CROQUIS!$C$88=1,CROQUIS!$C$91=1,CROQUIS!$C$133&gt;0),((CROQUIS!$C$160+(IF(CROQUIS!$C$92="X",CHOOSE(IF(INT(($A184-1)/5)&gt;MAX((MAX(1,INT(((CROQUIS!$C$98)-CROQUIS!$C$107)/MAX((CROQUIS!$C$133*MAX(1,CEILING((INT(((CROQUIS!$C$98)-CROQUIS!$C$107)/MAX(CROQUIS!$C$133,1))+1)/80,1))),1))+1))-1,0),0,MOD($A184-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CA184">
        <f>IF(AND(CROQUIS!$C$88=1,CROQUIS!$C$91=1,CROQUIS!$C$133&gt;0),((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5">
      <c r="A185" t="n">
        <v>178</v>
      </c>
      <c r="BN185">
        <f>IF(AND(CROQUIS!$C$88=1,CROQUIS!$C$129&gt;0),((CROQUIS!$C$160+(IF(CROQUIS!$C$92="X",CHOOSE(IF(INT(($A185-1)/5)&gt;MAX((MAX(1,INT(((CROQUIS!$C$98)-CROQUIS!$C$107)/MAX((CROQUIS!$C$129*MAX(1,CEILING((INT(((CROQUIS!$C$98)-CROQUIS!$C$107)/MAX(CROQUIS!$C$129,1))+1)/80,1))),1))+1))-1,0),0,MOD($A185-1,5))+1,0,2,CROQUIS!$C$97-2,2,0),((CROQUIS!$C$107/2+(((CROQUIS!$C$98)-CROQUIS!$C$107)-(MAX(1,INT(((CROQUIS!$C$98)-CROQUIS!$C$107)/MAX((CROQUIS!$C$129*MAX(1,CEILING((INT(((CROQUIS!$C$98)-CROQUIS!$C$107)/MAX(CROQUIS!$C$129,1))+1)/80,1))),1))+1)-1)*(CROQUIS!$C$129*MAX(1,CEILING((INT(((CROQUIS!$C$98)-CROQUIS!$C$107)/MAX(CROQUIS!$C$129,1))+1)/80,1))))/2)+MIN(INT(($A185-1)/5),MAX((MAX(1,INT(((CROQUIS!$C$98)-CROQUIS!$C$107)/MAX((CROQUIS!$C$129*MAX(1,CEILING((INT(((CROQUIS!$C$98)-CROQUIS!$C$107)/MAX(CROQUIS!$C$129,1))+1)/80,1))),1))+1))-1,0))*(CROQUIS!$C$129*MAX(1,CEILING((INT(((CROQUIS!$C$98)-CROQUIS!$C$107)/MAX(CROQUIS!$C$129,1))+1)/80,1))))))*CROQUIS!$C$159)+IF(CROQUIS!$C$92="X",0,0)),-1000)</f>
        <v>-1000</v>
      </c>
      <c r="BO185">
        <f>IF(AND(CROQUIS!$C$88=1,CROQUIS!$C$129&gt;0),((CROQUIS!$C$161+(IF(CROQUIS!$C$92="X",((CROQUIS!$C$107/2+(((CROQUIS!$C$98)-CROQUIS!$C$107)-(MAX(1,INT(((CROQUIS!$C$98)-CROQUIS!$C$107)/MAX((CROQUIS!$C$129*MAX(1,CEILING((INT(((CROQUIS!$C$98)-CROQUIS!$C$107)/MAX(CROQUIS!$C$129,1))+1)/80,1))),1))+1)-1)*(CROQUIS!$C$129*MAX(1,CEILING((INT(((CROQUIS!$C$98)-CROQUIS!$C$107)/MAX(CROQUIS!$C$129,1))+1)/80,1))))/2)+MIN(INT(($A185-1)/5),MAX((MAX(1,INT(((CROQUIS!$C$98)-CROQUIS!$C$107)/MAX((CROQUIS!$C$129*MAX(1,CEILING((INT(((CROQUIS!$C$98)-CROQUIS!$C$107)/MAX(CROQUIS!$C$129,1))+1)/80,1))),1))+1))-1,0))*(CROQUIS!$C$129*MAX(1,CEILING((INT(((CROQUIS!$C$98)-CROQUIS!$C$107)/MAX(CROQUIS!$C$129,1))+1)/80,1)))),CHOOSE(IF(INT(($A185-1)/5)&gt;MAX((MAX(1,INT(((CROQUIS!$C$98)-CROQUIS!$C$107)/MAX((CROQUIS!$C$129*MAX(1,CEILING((INT(((CROQUIS!$C$98)-CROQUIS!$C$107)/MAX(CROQUIS!$C$129,1))+1)/80,1))),1))+1))-1,0),0,MOD($A185-1,5))+1,0,2,CROQUIS!$C$97-2,2,0)))*CROQUIS!$C$159)+IF(CROQUIS!$C$92="X",0,0)),-1000)</f>
        <v>-1000</v>
      </c>
      <c r="BP185">
        <f>IF(AND(CROQUIS!$C$88=1,CROQUIS!$C$137&gt;0),((CROQUIS!$C$160+(IF(CROQUIS!$C$92="X",((CROQUIS!$C$107/2+(((CROQUIS!$C$97)-CROQUIS!$C$107)-(MAX(1,INT(((CROQUIS!$C$97)-CROQUIS!$C$107)/MAX((CROQUIS!$C$137*MAX(1,CEILING((INT(((CROQUIS!$C$97)-CROQUIS!$C$107)/MAX(CROQUIS!$C$137,1))+1)/80,1))),1))+1)-1)*(CROQUIS!$C$137*MAX(1,CEILING((INT(((CROQUIS!$C$97)-CROQUIS!$C$107)/MAX(CROQUIS!$C$137,1))+1)/80,1))))/2)+MIN(INT(($A185-1)/5),MAX((MAX(1,INT(((CROQUIS!$C$97)-CROQUIS!$C$107)/MAX((CROQUIS!$C$137*MAX(1,CEILING((INT(((CROQUIS!$C$97)-CROQUIS!$C$107)/MAX(CROQUIS!$C$137,1))+1)/80,1))),1))+1))-1,0))*(CROQUIS!$C$137*MAX(1,CEILING((INT(((CROQUIS!$C$97)-CROQUIS!$C$107)/MAX(CROQUIS!$C$137,1))+1)/80,1)))),CHOOSE(IF(INT(($A185-1)/5)&gt;MAX((MAX(1,INT(((CROQUIS!$C$97)-CROQUIS!$C$107)/MAX((CROQUIS!$C$137*MAX(1,CEILING((INT(((CROQUIS!$C$97)-CROQUIS!$C$107)/MAX(CROQUIS!$C$137,1))+1)/80,1))),1))+1))-1,0),0,MOD($A185-1,5))+1,0,2,CROQUIS!$C$98-2,2,0)))*CROQUIS!$C$159)+IF(CROQUIS!$C$92="X",0,0)),-1000)</f>
        <v>-1000</v>
      </c>
      <c r="BQ185">
        <f>IF(AND(CROQUIS!$C$88=1,CROQUIS!$C$137&gt;0),((CROQUIS!$C$161+(IF(CROQUIS!$C$92="X",CHOOSE(IF(INT(($A185-1)/5)&gt;MAX((MAX(1,INT(((CROQUIS!$C$97)-CROQUIS!$C$107)/MAX((CROQUIS!$C$137*MAX(1,CEILING((INT(((CROQUIS!$C$97)-CROQUIS!$C$107)/MAX(CROQUIS!$C$137,1))+1)/80,1))),1))+1))-1,0),0,MOD($A185-1,5))+1,0,2,CROQUIS!$C$98-2,2,0),((CROQUIS!$C$107/2+(((CROQUIS!$C$97)-CROQUIS!$C$107)-(MAX(1,INT(((CROQUIS!$C$97)-CROQUIS!$C$107)/MAX((CROQUIS!$C$137*MAX(1,CEILING((INT(((CROQUIS!$C$97)-CROQUIS!$C$107)/MAX(CROQUIS!$C$137,1))+1)/80,1))),1))+1)-1)*(CROQUIS!$C$137*MAX(1,CEILING((INT(((CROQUIS!$C$97)-CROQUIS!$C$107)/MAX(CROQUIS!$C$137,1))+1)/80,1))))/2)+MIN(INT(($A185-1)/5),MAX((MAX(1,INT(((CROQUIS!$C$97)-CROQUIS!$C$107)/MAX((CROQUIS!$C$137*MAX(1,CEILING((INT(((CROQUIS!$C$97)-CROQUIS!$C$107)/MAX(CROQUIS!$C$137,1))+1)/80,1))),1))+1))-1,0))*(CROQUIS!$C$137*MAX(1,CEILING((INT(((CROQUIS!$C$97)-CROQUIS!$C$107)/MAX(CROQUIS!$C$137,1))+1)/80,1))))))*CROQUIS!$C$159)+IF(CROQUIS!$C$92="X",0,0)),-1000)</f>
        <v>-1000</v>
      </c>
      <c r="BR185">
        <f>IF(AND(CROQUIS!$C$88=1,CROQUIS!$C$91=0,CROQUIS!$C$133&gt;0,OR(CROQUIS!$C$103=1,CROQUIS!$C$145=1)),((CROQUIS!$C$160+(IF(CROQUIS!$C$92="X",CHOOSE(IF(INT(($A185-1)/5)&gt;MAX((MAX(1,INT(((CROQUIS!$C$98)-CROQUIS!$C$107)/MAX((CROQUIS!$C$133*MAX(1,CEILING((INT(((CROQUIS!$C$98)-CROQUIS!$C$107)/MAX(CROQUIS!$C$133,1))+1)/80,1))),1))+1))-1,0),0,MOD($A185-1,5))+1,0,IF(CROQUIS!$C$103=1,-12,2),CROQUIS!$C$107/2+CROQUIS!$C$143,IF(CROQUIS!$C$103=1,-12,2),0),((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BS1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+1,0,IF(CROQUIS!$C$103=1,-12,2),CROQUIS!$C$107/2+CROQUIS!$C$143,IF(CROQUIS!$C$103=1,-12,2),0)))*CROQUIS!$C$159)+IF(CROQUIS!$C$92="X",0.8,0)),-1000)</f>
        <v>-1000</v>
      </c>
      <c r="BT185">
        <f>IF(AND(CROQUIS!$C$88=1,CROQUIS!$C$91=0,CROQUIS!$C$133&gt;0,OR(CROQUIS!$C$104=1,CROQUIS!$C$145=1)),((CROQUIS!$C$160+(IF(CROQUIS!$C$92="X",CHOOSE(IF(INT(($A185-1)/5)&gt;MAX((MAX(1,INT(((CROQUIS!$C$98)-CROQUIS!$C$107)/MAX((CROQUIS!$C$133*MAX(1,CEILING((INT(((CROQUIS!$C$98)-CROQUIS!$C$107)/MAX(CROQUIS!$C$133,1))+1)/80,1))),1))+1))-1,0),0,MOD($A185-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BU1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CROQUIS!$C$97,CROQUIS!$C$97-CROQUIS!$C$107/2-CROQUIS!$C$143,IF(CROQUIS!$C$104=1,CROQUIS!$C$97+12,CROQUIS!$C$97-2),CROQUIS!$C$97-CROQUIS!$C$107/2-CROQUIS!$C$143,CROQUIS!$C$97)))*CROQUIS!$C$159)+IF(CROQUIS!$C$92="X",0.8,0)),-1000)</f>
        <v>-1000</v>
      </c>
      <c r="BV1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HOOSE(IF(INT(($A185-1)/5)&gt;MAX((MAX(1,INT(((CROQUIS!$C$97)-CROQUIS!$C$107)/MAX((CROQUIS!$C$141*MAX(1,CEILING((INT(((CROQUIS!$C$97)-CROQUIS!$C$107)/MAX(CROQUIS!$C$141,1))+1)/80,1))),1))+1))-1,0),0,MOD($A185-1,5))+1,0,IF(CROQUIS!$C$105=1,-12,2),CROQUIS!$C$107/2+CROQUIS!$C$144,IF(CROQUIS!$C$105=1,-12,2),0)))*CROQUIS!$C$159)+IF(CROQUIS!$C$92="X",0.8,0)),-1000)</f>
        <v>-1000</v>
      </c>
      <c r="BW185">
        <f>IF(AND(CROQUIS!$C$88=1,CROQUIS!$C$91=0,CROQUIS!$C$141&gt;0,OR(CROQUIS!$C$105=1,CROQUIS!$C$146=1)),((CROQUIS!$C$161+(IF(CROQUIS!$C$92="X",CHOOSE(IF(INT(($A185-1)/5)&gt;MAX((MAX(1,INT(((CROQUIS!$C$97)-CROQUIS!$C$107)/MAX((CROQUIS!$C$141*MAX(1,CEILING((INT(((CROQUIS!$C$97)-CROQUIS!$C$107)/MAX(CROQUIS!$C$141,1))+1)/80,1))),1))+1))-1,0),0,MOD($A185-1,5))+1,0,IF(CROQUIS!$C$105=1,-12,2),CROQUIS!$C$107/2+CROQUIS!$C$144,IF(CROQUIS!$C$105=1,-12,2),0),((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ROQUIS!$C$159)+IF(CROQUIS!$C$92="X",0,0.8)),-1000)</f>
        <v>-1000</v>
      </c>
      <c r="BX1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HOOSE(IF(INT(($A185-1)/5)&gt;MAX((MAX(1,INT(((CROQUIS!$C$97)-CROQUIS!$C$107)/MAX((CROQUIS!$C$141*MAX(1,CEILING((INT(((CROQUIS!$C$97)-CROQUIS!$C$107)/MAX(CROQUIS!$C$141,1))+1)/80,1))),1))+1))-1,0),0,MOD($A185-1,5))+1,CROQUIS!$C$98,CROQUIS!$C$98-CROQUIS!$C$107/2-CROQUIS!$C$144,IF(CROQUIS!$C$106=1,CROQUIS!$C$98+12,CROQUIS!$C$98-2),CROQUIS!$C$98-CROQUIS!$C$107/2-CROQUIS!$C$144,CROQUIS!$C$98)))*CROQUIS!$C$159)+IF(CROQUIS!$C$92="X",0.8,0)),-1000)</f>
        <v>-1000</v>
      </c>
      <c r="BY185">
        <f>IF(AND(CROQUIS!$C$88=1,CROQUIS!$C$91=0,CROQUIS!$C$141&gt;0,OR(CROQUIS!$C$106=1,CROQUIS!$C$146=1)),((CROQUIS!$C$161+(IF(CROQUIS!$C$92="X",CHOOSE(IF(INT(($A185-1)/5)&gt;MAX((MAX(1,INT(((CROQUIS!$C$97)-CROQUIS!$C$107)/MAX((CROQUIS!$C$141*MAX(1,CEILING((INT(((CROQUIS!$C$97)-CROQUIS!$C$107)/MAX(CROQUIS!$C$141,1))+1)/80,1))),1))+1))-1,0),0,MOD($A185-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ROQUIS!$C$159)+IF(CROQUIS!$C$92="X",0,0.8)),-1000)</f>
        <v>-1000</v>
      </c>
      <c r="BZ185">
        <f>IF(AND(CROQUIS!$C$88=1,CROQUIS!$C$91=1,CROQUIS!$C$133&gt;0),((CROQUIS!$C$160+(IF(CROQUIS!$C$92="X",CHOOSE(IF(INT(($A185-1)/5)&gt;MAX((MAX(1,INT(((CROQUIS!$C$98)-CROQUIS!$C$107)/MAX((CROQUIS!$C$133*MAX(1,CEILING((INT(((CROQUIS!$C$98)-CROQUIS!$C$107)/MAX(CROQUIS!$C$133,1))+1)/80,1))),1))+1))-1,0),0,MOD($A185-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CA185">
        <f>IF(AND(CROQUIS!$C$88=1,CROQUIS!$C$91=1,CROQUIS!$C$133&gt;0),((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6">
      <c r="A186" t="n">
        <v>179</v>
      </c>
      <c r="BN186">
        <f>IF(AND(CROQUIS!$C$88=1,CROQUIS!$C$129&gt;0),((CROQUIS!$C$160+(IF(CROQUIS!$C$92="X",CHOOSE(IF(INT(($A186-1)/5)&gt;MAX((MAX(1,INT(((CROQUIS!$C$98)-CROQUIS!$C$107)/MAX((CROQUIS!$C$129*MAX(1,CEILING((INT(((CROQUIS!$C$98)-CROQUIS!$C$107)/MAX(CROQUIS!$C$129,1))+1)/80,1))),1))+1))-1,0),0,MOD($A186-1,5))+1,0,2,CROQUIS!$C$97-2,2,0),((CROQUIS!$C$107/2+(((CROQUIS!$C$98)-CROQUIS!$C$107)-(MAX(1,INT(((CROQUIS!$C$98)-CROQUIS!$C$107)/MAX((CROQUIS!$C$129*MAX(1,CEILING((INT(((CROQUIS!$C$98)-CROQUIS!$C$107)/MAX(CROQUIS!$C$129,1))+1)/80,1))),1))+1)-1)*(CROQUIS!$C$129*MAX(1,CEILING((INT(((CROQUIS!$C$98)-CROQUIS!$C$107)/MAX(CROQUIS!$C$129,1))+1)/80,1))))/2)+MIN(INT(($A186-1)/5),MAX((MAX(1,INT(((CROQUIS!$C$98)-CROQUIS!$C$107)/MAX((CROQUIS!$C$129*MAX(1,CEILING((INT(((CROQUIS!$C$98)-CROQUIS!$C$107)/MAX(CROQUIS!$C$129,1))+1)/80,1))),1))+1))-1,0))*(CROQUIS!$C$129*MAX(1,CEILING((INT(((CROQUIS!$C$98)-CROQUIS!$C$107)/MAX(CROQUIS!$C$129,1))+1)/80,1))))))*CROQUIS!$C$159)+IF(CROQUIS!$C$92="X",0,0)),-1000)</f>
        <v>-1000</v>
      </c>
      <c r="BO186">
        <f>IF(AND(CROQUIS!$C$88=1,CROQUIS!$C$129&gt;0),((CROQUIS!$C$161+(IF(CROQUIS!$C$92="X",((CROQUIS!$C$107/2+(((CROQUIS!$C$98)-CROQUIS!$C$107)-(MAX(1,INT(((CROQUIS!$C$98)-CROQUIS!$C$107)/MAX((CROQUIS!$C$129*MAX(1,CEILING((INT(((CROQUIS!$C$98)-CROQUIS!$C$107)/MAX(CROQUIS!$C$129,1))+1)/80,1))),1))+1)-1)*(CROQUIS!$C$129*MAX(1,CEILING((INT(((CROQUIS!$C$98)-CROQUIS!$C$107)/MAX(CROQUIS!$C$129,1))+1)/80,1))))/2)+MIN(INT(($A186-1)/5),MAX((MAX(1,INT(((CROQUIS!$C$98)-CROQUIS!$C$107)/MAX((CROQUIS!$C$129*MAX(1,CEILING((INT(((CROQUIS!$C$98)-CROQUIS!$C$107)/MAX(CROQUIS!$C$129,1))+1)/80,1))),1))+1))-1,0))*(CROQUIS!$C$129*MAX(1,CEILING((INT(((CROQUIS!$C$98)-CROQUIS!$C$107)/MAX(CROQUIS!$C$129,1))+1)/80,1)))),CHOOSE(IF(INT(($A186-1)/5)&gt;MAX((MAX(1,INT(((CROQUIS!$C$98)-CROQUIS!$C$107)/MAX((CROQUIS!$C$129*MAX(1,CEILING((INT(((CROQUIS!$C$98)-CROQUIS!$C$107)/MAX(CROQUIS!$C$129,1))+1)/80,1))),1))+1))-1,0),0,MOD($A186-1,5))+1,0,2,CROQUIS!$C$97-2,2,0)))*CROQUIS!$C$159)+IF(CROQUIS!$C$92="X",0,0)),-1000)</f>
        <v>-1000</v>
      </c>
      <c r="BP186">
        <f>IF(AND(CROQUIS!$C$88=1,CROQUIS!$C$137&gt;0),((CROQUIS!$C$160+(IF(CROQUIS!$C$92="X",((CROQUIS!$C$107/2+(((CROQUIS!$C$97)-CROQUIS!$C$107)-(MAX(1,INT(((CROQUIS!$C$97)-CROQUIS!$C$107)/MAX((CROQUIS!$C$137*MAX(1,CEILING((INT(((CROQUIS!$C$97)-CROQUIS!$C$107)/MAX(CROQUIS!$C$137,1))+1)/80,1))),1))+1)-1)*(CROQUIS!$C$137*MAX(1,CEILING((INT(((CROQUIS!$C$97)-CROQUIS!$C$107)/MAX(CROQUIS!$C$137,1))+1)/80,1))))/2)+MIN(INT(($A186-1)/5),MAX((MAX(1,INT(((CROQUIS!$C$97)-CROQUIS!$C$107)/MAX((CROQUIS!$C$137*MAX(1,CEILING((INT(((CROQUIS!$C$97)-CROQUIS!$C$107)/MAX(CROQUIS!$C$137,1))+1)/80,1))),1))+1))-1,0))*(CROQUIS!$C$137*MAX(1,CEILING((INT(((CROQUIS!$C$97)-CROQUIS!$C$107)/MAX(CROQUIS!$C$137,1))+1)/80,1)))),CHOOSE(IF(INT(($A186-1)/5)&gt;MAX((MAX(1,INT(((CROQUIS!$C$97)-CROQUIS!$C$107)/MAX((CROQUIS!$C$137*MAX(1,CEILING((INT(((CROQUIS!$C$97)-CROQUIS!$C$107)/MAX(CROQUIS!$C$137,1))+1)/80,1))),1))+1))-1,0),0,MOD($A186-1,5))+1,0,2,CROQUIS!$C$98-2,2,0)))*CROQUIS!$C$159)+IF(CROQUIS!$C$92="X",0,0)),-1000)</f>
        <v>-1000</v>
      </c>
      <c r="BQ186">
        <f>IF(AND(CROQUIS!$C$88=1,CROQUIS!$C$137&gt;0),((CROQUIS!$C$161+(IF(CROQUIS!$C$92="X",CHOOSE(IF(INT(($A186-1)/5)&gt;MAX((MAX(1,INT(((CROQUIS!$C$97)-CROQUIS!$C$107)/MAX((CROQUIS!$C$137*MAX(1,CEILING((INT(((CROQUIS!$C$97)-CROQUIS!$C$107)/MAX(CROQUIS!$C$137,1))+1)/80,1))),1))+1))-1,0),0,MOD($A186-1,5))+1,0,2,CROQUIS!$C$98-2,2,0),((CROQUIS!$C$107/2+(((CROQUIS!$C$97)-CROQUIS!$C$107)-(MAX(1,INT(((CROQUIS!$C$97)-CROQUIS!$C$107)/MAX((CROQUIS!$C$137*MAX(1,CEILING((INT(((CROQUIS!$C$97)-CROQUIS!$C$107)/MAX(CROQUIS!$C$137,1))+1)/80,1))),1))+1)-1)*(CROQUIS!$C$137*MAX(1,CEILING((INT(((CROQUIS!$C$97)-CROQUIS!$C$107)/MAX(CROQUIS!$C$137,1))+1)/80,1))))/2)+MIN(INT(($A186-1)/5),MAX((MAX(1,INT(((CROQUIS!$C$97)-CROQUIS!$C$107)/MAX((CROQUIS!$C$137*MAX(1,CEILING((INT(((CROQUIS!$C$97)-CROQUIS!$C$107)/MAX(CROQUIS!$C$137,1))+1)/80,1))),1))+1))-1,0))*(CROQUIS!$C$137*MAX(1,CEILING((INT(((CROQUIS!$C$97)-CROQUIS!$C$107)/MAX(CROQUIS!$C$137,1))+1)/80,1))))))*CROQUIS!$C$159)+IF(CROQUIS!$C$92="X",0,0)),-1000)</f>
        <v>-1000</v>
      </c>
      <c r="BR186">
        <f>IF(AND(CROQUIS!$C$88=1,CROQUIS!$C$91=0,CROQUIS!$C$133&gt;0,OR(CROQUIS!$C$103=1,CROQUIS!$C$145=1)),((CROQUIS!$C$160+(IF(CROQUIS!$C$92="X",CHOOSE(IF(INT(($A186-1)/5)&gt;MAX((MAX(1,INT(((CROQUIS!$C$98)-CROQUIS!$C$107)/MAX((CROQUIS!$C$133*MAX(1,CEILING((INT(((CROQUIS!$C$98)-CROQUIS!$C$107)/MAX(CROQUIS!$C$133,1))+1)/80,1))),1))+1))-1,0),0,MOD($A186-1,5))+1,0,IF(CROQUIS!$C$103=1,-12,2),CROQUIS!$C$107/2+CROQUIS!$C$143,IF(CROQUIS!$C$103=1,-12,2),0),((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BS1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+1,0,IF(CROQUIS!$C$103=1,-12,2),CROQUIS!$C$107/2+CROQUIS!$C$143,IF(CROQUIS!$C$103=1,-12,2),0)))*CROQUIS!$C$159)+IF(CROQUIS!$C$92="X",0.8,0)),-1000)</f>
        <v>-1000</v>
      </c>
      <c r="BT186">
        <f>IF(AND(CROQUIS!$C$88=1,CROQUIS!$C$91=0,CROQUIS!$C$133&gt;0,OR(CROQUIS!$C$104=1,CROQUIS!$C$145=1)),((CROQUIS!$C$160+(IF(CROQUIS!$C$92="X",CHOOSE(IF(INT(($A186-1)/5)&gt;MAX((MAX(1,INT(((CROQUIS!$C$98)-CROQUIS!$C$107)/MAX((CROQUIS!$C$133*MAX(1,CEILING((INT(((CROQUIS!$C$98)-CROQUIS!$C$107)/MAX(CROQUIS!$C$133,1))+1)/80,1))),1))+1))-1,0),0,MOD($A186-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BU1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CROQUIS!$C$97,CROQUIS!$C$97-CROQUIS!$C$107/2-CROQUIS!$C$143,IF(CROQUIS!$C$104=1,CROQUIS!$C$97+12,CROQUIS!$C$97-2),CROQUIS!$C$97-CROQUIS!$C$107/2-CROQUIS!$C$143,CROQUIS!$C$97)))*CROQUIS!$C$159)+IF(CROQUIS!$C$92="X",0.8,0)),-1000)</f>
        <v>-1000</v>
      </c>
      <c r="BV1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HOOSE(IF(INT(($A186-1)/5)&gt;MAX((MAX(1,INT(((CROQUIS!$C$97)-CROQUIS!$C$107)/MAX((CROQUIS!$C$141*MAX(1,CEILING((INT(((CROQUIS!$C$97)-CROQUIS!$C$107)/MAX(CROQUIS!$C$141,1))+1)/80,1))),1))+1))-1,0),0,MOD($A186-1,5))+1,0,IF(CROQUIS!$C$105=1,-12,2),CROQUIS!$C$107/2+CROQUIS!$C$144,IF(CROQUIS!$C$105=1,-12,2),0)))*CROQUIS!$C$159)+IF(CROQUIS!$C$92="X",0.8,0)),-1000)</f>
        <v>-1000</v>
      </c>
      <c r="BW186">
        <f>IF(AND(CROQUIS!$C$88=1,CROQUIS!$C$91=0,CROQUIS!$C$141&gt;0,OR(CROQUIS!$C$105=1,CROQUIS!$C$146=1)),((CROQUIS!$C$161+(IF(CROQUIS!$C$92="X",CHOOSE(IF(INT(($A186-1)/5)&gt;MAX((MAX(1,INT(((CROQUIS!$C$97)-CROQUIS!$C$107)/MAX((CROQUIS!$C$141*MAX(1,CEILING((INT(((CROQUIS!$C$97)-CROQUIS!$C$107)/MAX(CROQUIS!$C$141,1))+1)/80,1))),1))+1))-1,0),0,MOD($A186-1,5))+1,0,IF(CROQUIS!$C$105=1,-12,2),CROQUIS!$C$107/2+CROQUIS!$C$144,IF(CROQUIS!$C$105=1,-12,2),0),((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ROQUIS!$C$159)+IF(CROQUIS!$C$92="X",0,0.8)),-1000)</f>
        <v>-1000</v>
      </c>
      <c r="BX1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HOOSE(IF(INT(($A186-1)/5)&gt;MAX((MAX(1,INT(((CROQUIS!$C$97)-CROQUIS!$C$107)/MAX((CROQUIS!$C$141*MAX(1,CEILING((INT(((CROQUIS!$C$97)-CROQUIS!$C$107)/MAX(CROQUIS!$C$141,1))+1)/80,1))),1))+1))-1,0),0,MOD($A186-1,5))+1,CROQUIS!$C$98,CROQUIS!$C$98-CROQUIS!$C$107/2-CROQUIS!$C$144,IF(CROQUIS!$C$106=1,CROQUIS!$C$98+12,CROQUIS!$C$98-2),CROQUIS!$C$98-CROQUIS!$C$107/2-CROQUIS!$C$144,CROQUIS!$C$98)))*CROQUIS!$C$159)+IF(CROQUIS!$C$92="X",0.8,0)),-1000)</f>
        <v>-1000</v>
      </c>
      <c r="BY186">
        <f>IF(AND(CROQUIS!$C$88=1,CROQUIS!$C$91=0,CROQUIS!$C$141&gt;0,OR(CROQUIS!$C$106=1,CROQUIS!$C$146=1)),((CROQUIS!$C$161+(IF(CROQUIS!$C$92="X",CHOOSE(IF(INT(($A186-1)/5)&gt;MAX((MAX(1,INT(((CROQUIS!$C$97)-CROQUIS!$C$107)/MAX((CROQUIS!$C$141*MAX(1,CEILING((INT(((CROQUIS!$C$97)-CROQUIS!$C$107)/MAX(CROQUIS!$C$141,1))+1)/80,1))),1))+1))-1,0),0,MOD($A186-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ROQUIS!$C$159)+IF(CROQUIS!$C$92="X",0,0.8)),-1000)</f>
        <v>-1000</v>
      </c>
      <c r="BZ186">
        <f>IF(AND(CROQUIS!$C$88=1,CROQUIS!$C$91=1,CROQUIS!$C$133&gt;0),((CROQUIS!$C$160+(IF(CROQUIS!$C$92="X",CHOOSE(IF(INT(($A186-1)/5)&gt;MAX((MAX(1,INT(((CROQUIS!$C$98)-CROQUIS!$C$107)/MAX((CROQUIS!$C$133*MAX(1,CEILING((INT(((CROQUIS!$C$98)-CROQUIS!$C$107)/MAX(CROQUIS!$C$133,1))+1)/80,1))),1))+1))-1,0),0,MOD($A186-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CA186">
        <f>IF(AND(CROQUIS!$C$88=1,CROQUIS!$C$91=1,CROQUIS!$C$133&gt;0),((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7">
      <c r="A187" t="n">
        <v>180</v>
      </c>
      <c r="BN187">
        <f>IF(AND(CROQUIS!$C$88=1,CROQUIS!$C$129&gt;0),((CROQUIS!$C$160+(IF(CROQUIS!$C$92="X",CHOOSE(IF(INT(($A187-1)/5)&gt;MAX((MAX(1,INT(((CROQUIS!$C$98)-CROQUIS!$C$107)/MAX((CROQUIS!$C$129*MAX(1,CEILING((INT(((CROQUIS!$C$98)-CROQUIS!$C$107)/MAX(CROQUIS!$C$129,1))+1)/80,1))),1))+1))-1,0),0,MOD($A187-1,5))+1,0,2,CROQUIS!$C$97-2,2,0),((CROQUIS!$C$107/2+(((CROQUIS!$C$98)-CROQUIS!$C$107)-(MAX(1,INT(((CROQUIS!$C$98)-CROQUIS!$C$107)/MAX((CROQUIS!$C$129*MAX(1,CEILING((INT(((CROQUIS!$C$98)-CROQUIS!$C$107)/MAX(CROQUIS!$C$129,1))+1)/80,1))),1))+1)-1)*(CROQUIS!$C$129*MAX(1,CEILING((INT(((CROQUIS!$C$98)-CROQUIS!$C$107)/MAX(CROQUIS!$C$129,1))+1)/80,1))))/2)+MIN(INT(($A187-1)/5),MAX((MAX(1,INT(((CROQUIS!$C$98)-CROQUIS!$C$107)/MAX((CROQUIS!$C$129*MAX(1,CEILING((INT(((CROQUIS!$C$98)-CROQUIS!$C$107)/MAX(CROQUIS!$C$129,1))+1)/80,1))),1))+1))-1,0))*(CROQUIS!$C$129*MAX(1,CEILING((INT(((CROQUIS!$C$98)-CROQUIS!$C$107)/MAX(CROQUIS!$C$129,1))+1)/80,1))))))*CROQUIS!$C$159)+IF(CROQUIS!$C$92="X",0,0)),-1000)</f>
        <v>-1000</v>
      </c>
      <c r="BO187">
        <f>IF(AND(CROQUIS!$C$88=1,CROQUIS!$C$129&gt;0),((CROQUIS!$C$161+(IF(CROQUIS!$C$92="X",((CROQUIS!$C$107/2+(((CROQUIS!$C$98)-CROQUIS!$C$107)-(MAX(1,INT(((CROQUIS!$C$98)-CROQUIS!$C$107)/MAX((CROQUIS!$C$129*MAX(1,CEILING((INT(((CROQUIS!$C$98)-CROQUIS!$C$107)/MAX(CROQUIS!$C$129,1))+1)/80,1))),1))+1)-1)*(CROQUIS!$C$129*MAX(1,CEILING((INT(((CROQUIS!$C$98)-CROQUIS!$C$107)/MAX(CROQUIS!$C$129,1))+1)/80,1))))/2)+MIN(INT(($A187-1)/5),MAX((MAX(1,INT(((CROQUIS!$C$98)-CROQUIS!$C$107)/MAX((CROQUIS!$C$129*MAX(1,CEILING((INT(((CROQUIS!$C$98)-CROQUIS!$C$107)/MAX(CROQUIS!$C$129,1))+1)/80,1))),1))+1))-1,0))*(CROQUIS!$C$129*MAX(1,CEILING((INT(((CROQUIS!$C$98)-CROQUIS!$C$107)/MAX(CROQUIS!$C$129,1))+1)/80,1)))),CHOOSE(IF(INT(($A187-1)/5)&gt;MAX((MAX(1,INT(((CROQUIS!$C$98)-CROQUIS!$C$107)/MAX((CROQUIS!$C$129*MAX(1,CEILING((INT(((CROQUIS!$C$98)-CROQUIS!$C$107)/MAX(CROQUIS!$C$129,1))+1)/80,1))),1))+1))-1,0),0,MOD($A187-1,5))+1,0,2,CROQUIS!$C$97-2,2,0)))*CROQUIS!$C$159)+IF(CROQUIS!$C$92="X",0,0)),-1000)</f>
        <v>-1000</v>
      </c>
      <c r="BP187">
        <f>IF(AND(CROQUIS!$C$88=1,CROQUIS!$C$137&gt;0),((CROQUIS!$C$160+(IF(CROQUIS!$C$92="X",((CROQUIS!$C$107/2+(((CROQUIS!$C$97)-CROQUIS!$C$107)-(MAX(1,INT(((CROQUIS!$C$97)-CROQUIS!$C$107)/MAX((CROQUIS!$C$137*MAX(1,CEILING((INT(((CROQUIS!$C$97)-CROQUIS!$C$107)/MAX(CROQUIS!$C$137,1))+1)/80,1))),1))+1)-1)*(CROQUIS!$C$137*MAX(1,CEILING((INT(((CROQUIS!$C$97)-CROQUIS!$C$107)/MAX(CROQUIS!$C$137,1))+1)/80,1))))/2)+MIN(INT(($A187-1)/5),MAX((MAX(1,INT(((CROQUIS!$C$97)-CROQUIS!$C$107)/MAX((CROQUIS!$C$137*MAX(1,CEILING((INT(((CROQUIS!$C$97)-CROQUIS!$C$107)/MAX(CROQUIS!$C$137,1))+1)/80,1))),1))+1))-1,0))*(CROQUIS!$C$137*MAX(1,CEILING((INT(((CROQUIS!$C$97)-CROQUIS!$C$107)/MAX(CROQUIS!$C$137,1))+1)/80,1)))),CHOOSE(IF(INT(($A187-1)/5)&gt;MAX((MAX(1,INT(((CROQUIS!$C$97)-CROQUIS!$C$107)/MAX((CROQUIS!$C$137*MAX(1,CEILING((INT(((CROQUIS!$C$97)-CROQUIS!$C$107)/MAX(CROQUIS!$C$137,1))+1)/80,1))),1))+1))-1,0),0,MOD($A187-1,5))+1,0,2,CROQUIS!$C$98-2,2,0)))*CROQUIS!$C$159)+IF(CROQUIS!$C$92="X",0,0)),-1000)</f>
        <v>-1000</v>
      </c>
      <c r="BQ187">
        <f>IF(AND(CROQUIS!$C$88=1,CROQUIS!$C$137&gt;0),((CROQUIS!$C$161+(IF(CROQUIS!$C$92="X",CHOOSE(IF(INT(($A187-1)/5)&gt;MAX((MAX(1,INT(((CROQUIS!$C$97)-CROQUIS!$C$107)/MAX((CROQUIS!$C$137*MAX(1,CEILING((INT(((CROQUIS!$C$97)-CROQUIS!$C$107)/MAX(CROQUIS!$C$137,1))+1)/80,1))),1))+1))-1,0),0,MOD($A187-1,5))+1,0,2,CROQUIS!$C$98-2,2,0),((CROQUIS!$C$107/2+(((CROQUIS!$C$97)-CROQUIS!$C$107)-(MAX(1,INT(((CROQUIS!$C$97)-CROQUIS!$C$107)/MAX((CROQUIS!$C$137*MAX(1,CEILING((INT(((CROQUIS!$C$97)-CROQUIS!$C$107)/MAX(CROQUIS!$C$137,1))+1)/80,1))),1))+1)-1)*(CROQUIS!$C$137*MAX(1,CEILING((INT(((CROQUIS!$C$97)-CROQUIS!$C$107)/MAX(CROQUIS!$C$137,1))+1)/80,1))))/2)+MIN(INT(($A187-1)/5),MAX((MAX(1,INT(((CROQUIS!$C$97)-CROQUIS!$C$107)/MAX((CROQUIS!$C$137*MAX(1,CEILING((INT(((CROQUIS!$C$97)-CROQUIS!$C$107)/MAX(CROQUIS!$C$137,1))+1)/80,1))),1))+1))-1,0))*(CROQUIS!$C$137*MAX(1,CEILING((INT(((CROQUIS!$C$97)-CROQUIS!$C$107)/MAX(CROQUIS!$C$137,1))+1)/80,1))))))*CROQUIS!$C$159)+IF(CROQUIS!$C$92="X",0,0)),-1000)</f>
        <v>-1000</v>
      </c>
      <c r="BR187">
        <f>IF(AND(CROQUIS!$C$88=1,CROQUIS!$C$91=0,CROQUIS!$C$133&gt;0,OR(CROQUIS!$C$103=1,CROQUIS!$C$145=1)),((CROQUIS!$C$160+(IF(CROQUIS!$C$92="X",CHOOSE(IF(INT(($A187-1)/5)&gt;MAX((MAX(1,INT(((CROQUIS!$C$98)-CROQUIS!$C$107)/MAX((CROQUIS!$C$133*MAX(1,CEILING((INT(((CROQUIS!$C$98)-CROQUIS!$C$107)/MAX(CROQUIS!$C$133,1))+1)/80,1))),1))+1))-1,0),0,MOD($A187-1,5))+1,0,IF(CROQUIS!$C$103=1,-12,2),CROQUIS!$C$107/2+CROQUIS!$C$143,IF(CROQUIS!$C$103=1,-12,2),0),((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BS1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+1,0,IF(CROQUIS!$C$103=1,-12,2),CROQUIS!$C$107/2+CROQUIS!$C$143,IF(CROQUIS!$C$103=1,-12,2),0)))*CROQUIS!$C$159)+IF(CROQUIS!$C$92="X",0.8,0)),-1000)</f>
        <v>-1000</v>
      </c>
      <c r="BT187">
        <f>IF(AND(CROQUIS!$C$88=1,CROQUIS!$C$91=0,CROQUIS!$C$133&gt;0,OR(CROQUIS!$C$104=1,CROQUIS!$C$145=1)),((CROQUIS!$C$160+(IF(CROQUIS!$C$92="X",CHOOSE(IF(INT(($A187-1)/5)&gt;MAX((MAX(1,INT(((CROQUIS!$C$98)-CROQUIS!$C$107)/MAX((CROQUIS!$C$133*MAX(1,CEILING((INT(((CROQUIS!$C$98)-CROQUIS!$C$107)/MAX(CROQUIS!$C$133,1))+1)/80,1))),1))+1))-1,0),0,MOD($A187-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BU1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CROQUIS!$C$97,CROQUIS!$C$97-CROQUIS!$C$107/2-CROQUIS!$C$143,IF(CROQUIS!$C$104=1,CROQUIS!$C$97+12,CROQUIS!$C$97-2),CROQUIS!$C$97-CROQUIS!$C$107/2-CROQUIS!$C$143,CROQUIS!$C$97)))*CROQUIS!$C$159)+IF(CROQUIS!$C$92="X",0.8,0)),-1000)</f>
        <v>-1000</v>
      </c>
      <c r="BV1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HOOSE(IF(INT(($A187-1)/5)&gt;MAX((MAX(1,INT(((CROQUIS!$C$97)-CROQUIS!$C$107)/MAX((CROQUIS!$C$141*MAX(1,CEILING((INT(((CROQUIS!$C$97)-CROQUIS!$C$107)/MAX(CROQUIS!$C$141,1))+1)/80,1))),1))+1))-1,0),0,MOD($A187-1,5))+1,0,IF(CROQUIS!$C$105=1,-12,2),CROQUIS!$C$107/2+CROQUIS!$C$144,IF(CROQUIS!$C$105=1,-12,2),0)))*CROQUIS!$C$159)+IF(CROQUIS!$C$92="X",0.8,0)),-1000)</f>
        <v>-1000</v>
      </c>
      <c r="BW187">
        <f>IF(AND(CROQUIS!$C$88=1,CROQUIS!$C$91=0,CROQUIS!$C$141&gt;0,OR(CROQUIS!$C$105=1,CROQUIS!$C$146=1)),((CROQUIS!$C$161+(IF(CROQUIS!$C$92="X",CHOOSE(IF(INT(($A187-1)/5)&gt;MAX((MAX(1,INT(((CROQUIS!$C$97)-CROQUIS!$C$107)/MAX((CROQUIS!$C$141*MAX(1,CEILING((INT(((CROQUIS!$C$97)-CROQUIS!$C$107)/MAX(CROQUIS!$C$141,1))+1)/80,1))),1))+1))-1,0),0,MOD($A187-1,5))+1,0,IF(CROQUIS!$C$105=1,-12,2),CROQUIS!$C$107/2+CROQUIS!$C$144,IF(CROQUIS!$C$105=1,-12,2),0),((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ROQUIS!$C$159)+IF(CROQUIS!$C$92="X",0,0.8)),-1000)</f>
        <v>-1000</v>
      </c>
      <c r="BX1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HOOSE(IF(INT(($A187-1)/5)&gt;MAX((MAX(1,INT(((CROQUIS!$C$97)-CROQUIS!$C$107)/MAX((CROQUIS!$C$141*MAX(1,CEILING((INT(((CROQUIS!$C$97)-CROQUIS!$C$107)/MAX(CROQUIS!$C$141,1))+1)/80,1))),1))+1))-1,0),0,MOD($A187-1,5))+1,CROQUIS!$C$98,CROQUIS!$C$98-CROQUIS!$C$107/2-CROQUIS!$C$144,IF(CROQUIS!$C$106=1,CROQUIS!$C$98+12,CROQUIS!$C$98-2),CROQUIS!$C$98-CROQUIS!$C$107/2-CROQUIS!$C$144,CROQUIS!$C$98)))*CROQUIS!$C$159)+IF(CROQUIS!$C$92="X",0.8,0)),-1000)</f>
        <v>-1000</v>
      </c>
      <c r="BY187">
        <f>IF(AND(CROQUIS!$C$88=1,CROQUIS!$C$91=0,CROQUIS!$C$141&gt;0,OR(CROQUIS!$C$106=1,CROQUIS!$C$146=1)),((CROQUIS!$C$161+(IF(CROQUIS!$C$92="X",CHOOSE(IF(INT(($A187-1)/5)&gt;MAX((MAX(1,INT(((CROQUIS!$C$97)-CROQUIS!$C$107)/MAX((CROQUIS!$C$141*MAX(1,CEILING((INT(((CROQUIS!$C$97)-CROQUIS!$C$107)/MAX(CROQUIS!$C$141,1))+1)/80,1))),1))+1))-1,0),0,MOD($A187-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ROQUIS!$C$159)+IF(CROQUIS!$C$92="X",0,0.8)),-1000)</f>
        <v>-1000</v>
      </c>
      <c r="BZ187">
        <f>IF(AND(CROQUIS!$C$88=1,CROQUIS!$C$91=1,CROQUIS!$C$133&gt;0),((CROQUIS!$C$160+(IF(CROQUIS!$C$92="X",CHOOSE(IF(INT(($A187-1)/5)&gt;MAX((MAX(1,INT(((CROQUIS!$C$98)-CROQUIS!$C$107)/MAX((CROQUIS!$C$133*MAX(1,CEILING((INT(((CROQUIS!$C$98)-CROQUIS!$C$107)/MAX(CROQUIS!$C$133,1))+1)/80,1))),1))+1))-1,0),0,MOD($A187-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CA187">
        <f>IF(AND(CROQUIS!$C$88=1,CROQUIS!$C$91=1,CROQUIS!$C$133&gt;0),((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8">
      <c r="A188" t="n">
        <v>181</v>
      </c>
      <c r="BN188">
        <f>IF(AND(CROQUIS!$C$88=1,CROQUIS!$C$129&gt;0),((CROQUIS!$C$160+(IF(CROQUIS!$C$92="X",CHOOSE(IF(INT(($A188-1)/5)&gt;MAX((MAX(1,INT(((CROQUIS!$C$98)-CROQUIS!$C$107)/MAX((CROQUIS!$C$129*MAX(1,CEILING((INT(((CROQUIS!$C$98)-CROQUIS!$C$107)/MAX(CROQUIS!$C$129,1))+1)/80,1))),1))+1))-1,0),0,MOD($A188-1,5))+1,0,2,CROQUIS!$C$97-2,2,0),((CROQUIS!$C$107/2+(((CROQUIS!$C$98)-CROQUIS!$C$107)-(MAX(1,INT(((CROQUIS!$C$98)-CROQUIS!$C$107)/MAX((CROQUIS!$C$129*MAX(1,CEILING((INT(((CROQUIS!$C$98)-CROQUIS!$C$107)/MAX(CROQUIS!$C$129,1))+1)/80,1))),1))+1)-1)*(CROQUIS!$C$129*MAX(1,CEILING((INT(((CROQUIS!$C$98)-CROQUIS!$C$107)/MAX(CROQUIS!$C$129,1))+1)/80,1))))/2)+MIN(INT(($A188-1)/5),MAX((MAX(1,INT(((CROQUIS!$C$98)-CROQUIS!$C$107)/MAX((CROQUIS!$C$129*MAX(1,CEILING((INT(((CROQUIS!$C$98)-CROQUIS!$C$107)/MAX(CROQUIS!$C$129,1))+1)/80,1))),1))+1))-1,0))*(CROQUIS!$C$129*MAX(1,CEILING((INT(((CROQUIS!$C$98)-CROQUIS!$C$107)/MAX(CROQUIS!$C$129,1))+1)/80,1))))))*CROQUIS!$C$159)+IF(CROQUIS!$C$92="X",0,0)),-1000)</f>
        <v>-1000</v>
      </c>
      <c r="BO188">
        <f>IF(AND(CROQUIS!$C$88=1,CROQUIS!$C$129&gt;0),((CROQUIS!$C$161+(IF(CROQUIS!$C$92="X",((CROQUIS!$C$107/2+(((CROQUIS!$C$98)-CROQUIS!$C$107)-(MAX(1,INT(((CROQUIS!$C$98)-CROQUIS!$C$107)/MAX((CROQUIS!$C$129*MAX(1,CEILING((INT(((CROQUIS!$C$98)-CROQUIS!$C$107)/MAX(CROQUIS!$C$129,1))+1)/80,1))),1))+1)-1)*(CROQUIS!$C$129*MAX(1,CEILING((INT(((CROQUIS!$C$98)-CROQUIS!$C$107)/MAX(CROQUIS!$C$129,1))+1)/80,1))))/2)+MIN(INT(($A188-1)/5),MAX((MAX(1,INT(((CROQUIS!$C$98)-CROQUIS!$C$107)/MAX((CROQUIS!$C$129*MAX(1,CEILING((INT(((CROQUIS!$C$98)-CROQUIS!$C$107)/MAX(CROQUIS!$C$129,1))+1)/80,1))),1))+1))-1,0))*(CROQUIS!$C$129*MAX(1,CEILING((INT(((CROQUIS!$C$98)-CROQUIS!$C$107)/MAX(CROQUIS!$C$129,1))+1)/80,1)))),CHOOSE(IF(INT(($A188-1)/5)&gt;MAX((MAX(1,INT(((CROQUIS!$C$98)-CROQUIS!$C$107)/MAX((CROQUIS!$C$129*MAX(1,CEILING((INT(((CROQUIS!$C$98)-CROQUIS!$C$107)/MAX(CROQUIS!$C$129,1))+1)/80,1))),1))+1))-1,0),0,MOD($A188-1,5))+1,0,2,CROQUIS!$C$97-2,2,0)))*CROQUIS!$C$159)+IF(CROQUIS!$C$92="X",0,0)),-1000)</f>
        <v>-1000</v>
      </c>
      <c r="BP188">
        <f>IF(AND(CROQUIS!$C$88=1,CROQUIS!$C$137&gt;0),((CROQUIS!$C$160+(IF(CROQUIS!$C$92="X",((CROQUIS!$C$107/2+(((CROQUIS!$C$97)-CROQUIS!$C$107)-(MAX(1,INT(((CROQUIS!$C$97)-CROQUIS!$C$107)/MAX((CROQUIS!$C$137*MAX(1,CEILING((INT(((CROQUIS!$C$97)-CROQUIS!$C$107)/MAX(CROQUIS!$C$137,1))+1)/80,1))),1))+1)-1)*(CROQUIS!$C$137*MAX(1,CEILING((INT(((CROQUIS!$C$97)-CROQUIS!$C$107)/MAX(CROQUIS!$C$137,1))+1)/80,1))))/2)+MIN(INT(($A188-1)/5),MAX((MAX(1,INT(((CROQUIS!$C$97)-CROQUIS!$C$107)/MAX((CROQUIS!$C$137*MAX(1,CEILING((INT(((CROQUIS!$C$97)-CROQUIS!$C$107)/MAX(CROQUIS!$C$137,1))+1)/80,1))),1))+1))-1,0))*(CROQUIS!$C$137*MAX(1,CEILING((INT(((CROQUIS!$C$97)-CROQUIS!$C$107)/MAX(CROQUIS!$C$137,1))+1)/80,1)))),CHOOSE(IF(INT(($A188-1)/5)&gt;MAX((MAX(1,INT(((CROQUIS!$C$97)-CROQUIS!$C$107)/MAX((CROQUIS!$C$137*MAX(1,CEILING((INT(((CROQUIS!$C$97)-CROQUIS!$C$107)/MAX(CROQUIS!$C$137,1))+1)/80,1))),1))+1))-1,0),0,MOD($A188-1,5))+1,0,2,CROQUIS!$C$98-2,2,0)))*CROQUIS!$C$159)+IF(CROQUIS!$C$92="X",0,0)),-1000)</f>
        <v>-1000</v>
      </c>
      <c r="BQ188">
        <f>IF(AND(CROQUIS!$C$88=1,CROQUIS!$C$137&gt;0),((CROQUIS!$C$161+(IF(CROQUIS!$C$92="X",CHOOSE(IF(INT(($A188-1)/5)&gt;MAX((MAX(1,INT(((CROQUIS!$C$97)-CROQUIS!$C$107)/MAX((CROQUIS!$C$137*MAX(1,CEILING((INT(((CROQUIS!$C$97)-CROQUIS!$C$107)/MAX(CROQUIS!$C$137,1))+1)/80,1))),1))+1))-1,0),0,MOD($A188-1,5))+1,0,2,CROQUIS!$C$98-2,2,0),((CROQUIS!$C$107/2+(((CROQUIS!$C$97)-CROQUIS!$C$107)-(MAX(1,INT(((CROQUIS!$C$97)-CROQUIS!$C$107)/MAX((CROQUIS!$C$137*MAX(1,CEILING((INT(((CROQUIS!$C$97)-CROQUIS!$C$107)/MAX(CROQUIS!$C$137,1))+1)/80,1))),1))+1)-1)*(CROQUIS!$C$137*MAX(1,CEILING((INT(((CROQUIS!$C$97)-CROQUIS!$C$107)/MAX(CROQUIS!$C$137,1))+1)/80,1))))/2)+MIN(INT(($A188-1)/5),MAX((MAX(1,INT(((CROQUIS!$C$97)-CROQUIS!$C$107)/MAX((CROQUIS!$C$137*MAX(1,CEILING((INT(((CROQUIS!$C$97)-CROQUIS!$C$107)/MAX(CROQUIS!$C$137,1))+1)/80,1))),1))+1))-1,0))*(CROQUIS!$C$137*MAX(1,CEILING((INT(((CROQUIS!$C$97)-CROQUIS!$C$107)/MAX(CROQUIS!$C$137,1))+1)/80,1))))))*CROQUIS!$C$159)+IF(CROQUIS!$C$92="X",0,0)),-1000)</f>
        <v>-1000</v>
      </c>
      <c r="BR188">
        <f>IF(AND(CROQUIS!$C$88=1,CROQUIS!$C$91=0,CROQUIS!$C$133&gt;0,OR(CROQUIS!$C$103=1,CROQUIS!$C$145=1)),((CROQUIS!$C$160+(IF(CROQUIS!$C$92="X",CHOOSE(IF(INT(($A188-1)/5)&gt;MAX((MAX(1,INT(((CROQUIS!$C$98)-CROQUIS!$C$107)/MAX((CROQUIS!$C$133*MAX(1,CEILING((INT(((CROQUIS!$C$98)-CROQUIS!$C$107)/MAX(CROQUIS!$C$133,1))+1)/80,1))),1))+1))-1,0),0,MOD($A188-1,5))+1,0,IF(CROQUIS!$C$103=1,-12,2),CROQUIS!$C$107/2+CROQUIS!$C$143,IF(CROQUIS!$C$103=1,-12,2),0),((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BS1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+1,0,IF(CROQUIS!$C$103=1,-12,2),CROQUIS!$C$107/2+CROQUIS!$C$143,IF(CROQUIS!$C$103=1,-12,2),0)))*CROQUIS!$C$159)+IF(CROQUIS!$C$92="X",0.8,0)),-1000)</f>
        <v>-1000</v>
      </c>
      <c r="BT188">
        <f>IF(AND(CROQUIS!$C$88=1,CROQUIS!$C$91=0,CROQUIS!$C$133&gt;0,OR(CROQUIS!$C$104=1,CROQUIS!$C$145=1)),((CROQUIS!$C$160+(IF(CROQUIS!$C$92="X",CHOOSE(IF(INT(($A188-1)/5)&gt;MAX((MAX(1,INT(((CROQUIS!$C$98)-CROQUIS!$C$107)/MAX((CROQUIS!$C$133*MAX(1,CEILING((INT(((CROQUIS!$C$98)-CROQUIS!$C$107)/MAX(CROQUIS!$C$133,1))+1)/80,1))),1))+1))-1,0),0,MOD($A188-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BU1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CROQUIS!$C$97,CROQUIS!$C$97-CROQUIS!$C$107/2-CROQUIS!$C$143,IF(CROQUIS!$C$104=1,CROQUIS!$C$97+12,CROQUIS!$C$97-2),CROQUIS!$C$97-CROQUIS!$C$107/2-CROQUIS!$C$143,CROQUIS!$C$97)))*CROQUIS!$C$159)+IF(CROQUIS!$C$92="X",0.8,0)),-1000)</f>
        <v>-1000</v>
      </c>
      <c r="BV1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HOOSE(IF(INT(($A188-1)/5)&gt;MAX((MAX(1,INT(((CROQUIS!$C$97)-CROQUIS!$C$107)/MAX((CROQUIS!$C$141*MAX(1,CEILING((INT(((CROQUIS!$C$97)-CROQUIS!$C$107)/MAX(CROQUIS!$C$141,1))+1)/80,1))),1))+1))-1,0),0,MOD($A188-1,5))+1,0,IF(CROQUIS!$C$105=1,-12,2),CROQUIS!$C$107/2+CROQUIS!$C$144,IF(CROQUIS!$C$105=1,-12,2),0)))*CROQUIS!$C$159)+IF(CROQUIS!$C$92="X",0.8,0)),-1000)</f>
        <v>-1000</v>
      </c>
      <c r="BW188">
        <f>IF(AND(CROQUIS!$C$88=1,CROQUIS!$C$91=0,CROQUIS!$C$141&gt;0,OR(CROQUIS!$C$105=1,CROQUIS!$C$146=1)),((CROQUIS!$C$161+(IF(CROQUIS!$C$92="X",CHOOSE(IF(INT(($A188-1)/5)&gt;MAX((MAX(1,INT(((CROQUIS!$C$97)-CROQUIS!$C$107)/MAX((CROQUIS!$C$141*MAX(1,CEILING((INT(((CROQUIS!$C$97)-CROQUIS!$C$107)/MAX(CROQUIS!$C$141,1))+1)/80,1))),1))+1))-1,0),0,MOD($A188-1,5))+1,0,IF(CROQUIS!$C$105=1,-12,2),CROQUIS!$C$107/2+CROQUIS!$C$144,IF(CROQUIS!$C$105=1,-12,2),0),((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ROQUIS!$C$159)+IF(CROQUIS!$C$92="X",0,0.8)),-1000)</f>
        <v>-1000</v>
      </c>
      <c r="BX1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HOOSE(IF(INT(($A188-1)/5)&gt;MAX((MAX(1,INT(((CROQUIS!$C$97)-CROQUIS!$C$107)/MAX((CROQUIS!$C$141*MAX(1,CEILING((INT(((CROQUIS!$C$97)-CROQUIS!$C$107)/MAX(CROQUIS!$C$141,1))+1)/80,1))),1))+1))-1,0),0,MOD($A188-1,5))+1,CROQUIS!$C$98,CROQUIS!$C$98-CROQUIS!$C$107/2-CROQUIS!$C$144,IF(CROQUIS!$C$106=1,CROQUIS!$C$98+12,CROQUIS!$C$98-2),CROQUIS!$C$98-CROQUIS!$C$107/2-CROQUIS!$C$144,CROQUIS!$C$98)))*CROQUIS!$C$159)+IF(CROQUIS!$C$92="X",0.8,0)),-1000)</f>
        <v>-1000</v>
      </c>
      <c r="BY188">
        <f>IF(AND(CROQUIS!$C$88=1,CROQUIS!$C$91=0,CROQUIS!$C$141&gt;0,OR(CROQUIS!$C$106=1,CROQUIS!$C$146=1)),((CROQUIS!$C$161+(IF(CROQUIS!$C$92="X",CHOOSE(IF(INT(($A188-1)/5)&gt;MAX((MAX(1,INT(((CROQUIS!$C$97)-CROQUIS!$C$107)/MAX((CROQUIS!$C$141*MAX(1,CEILING((INT(((CROQUIS!$C$97)-CROQUIS!$C$107)/MAX(CROQUIS!$C$141,1))+1)/80,1))),1))+1))-1,0),0,MOD($A188-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ROQUIS!$C$159)+IF(CROQUIS!$C$92="X",0,0.8)),-1000)</f>
        <v>-1000</v>
      </c>
      <c r="BZ188">
        <f>IF(AND(CROQUIS!$C$88=1,CROQUIS!$C$91=1,CROQUIS!$C$133&gt;0),((CROQUIS!$C$160+(IF(CROQUIS!$C$92="X",CHOOSE(IF(INT(($A188-1)/5)&gt;MAX((MAX(1,INT(((CROQUIS!$C$98)-CROQUIS!$C$107)/MAX((CROQUIS!$C$133*MAX(1,CEILING((INT(((CROQUIS!$C$98)-CROQUIS!$C$107)/MAX(CROQUIS!$C$133,1))+1)/80,1))),1))+1))-1,0),0,MOD($A188-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CA188">
        <f>IF(AND(CROQUIS!$C$88=1,CROQUIS!$C$91=1,CROQUIS!$C$133&gt;0),((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9">
      <c r="A189" t="n">
        <v>182</v>
      </c>
      <c r="BN189">
        <f>IF(AND(CROQUIS!$C$88=1,CROQUIS!$C$129&gt;0),((CROQUIS!$C$160+(IF(CROQUIS!$C$92="X",CHOOSE(IF(INT(($A189-1)/5)&gt;MAX((MAX(1,INT(((CROQUIS!$C$98)-CROQUIS!$C$107)/MAX((CROQUIS!$C$129*MAX(1,CEILING((INT(((CROQUIS!$C$98)-CROQUIS!$C$107)/MAX(CROQUIS!$C$129,1))+1)/80,1))),1))+1))-1,0),0,MOD($A189-1,5))+1,0,2,CROQUIS!$C$97-2,2,0),((CROQUIS!$C$107/2+(((CROQUIS!$C$98)-CROQUIS!$C$107)-(MAX(1,INT(((CROQUIS!$C$98)-CROQUIS!$C$107)/MAX((CROQUIS!$C$129*MAX(1,CEILING((INT(((CROQUIS!$C$98)-CROQUIS!$C$107)/MAX(CROQUIS!$C$129,1))+1)/80,1))),1))+1)-1)*(CROQUIS!$C$129*MAX(1,CEILING((INT(((CROQUIS!$C$98)-CROQUIS!$C$107)/MAX(CROQUIS!$C$129,1))+1)/80,1))))/2)+MIN(INT(($A189-1)/5),MAX((MAX(1,INT(((CROQUIS!$C$98)-CROQUIS!$C$107)/MAX((CROQUIS!$C$129*MAX(1,CEILING((INT(((CROQUIS!$C$98)-CROQUIS!$C$107)/MAX(CROQUIS!$C$129,1))+1)/80,1))),1))+1))-1,0))*(CROQUIS!$C$129*MAX(1,CEILING((INT(((CROQUIS!$C$98)-CROQUIS!$C$107)/MAX(CROQUIS!$C$129,1))+1)/80,1))))))*CROQUIS!$C$159)+IF(CROQUIS!$C$92="X",0,0)),-1000)</f>
        <v>-1000</v>
      </c>
      <c r="BO189">
        <f>IF(AND(CROQUIS!$C$88=1,CROQUIS!$C$129&gt;0),((CROQUIS!$C$161+(IF(CROQUIS!$C$92="X",((CROQUIS!$C$107/2+(((CROQUIS!$C$98)-CROQUIS!$C$107)-(MAX(1,INT(((CROQUIS!$C$98)-CROQUIS!$C$107)/MAX((CROQUIS!$C$129*MAX(1,CEILING((INT(((CROQUIS!$C$98)-CROQUIS!$C$107)/MAX(CROQUIS!$C$129,1))+1)/80,1))),1))+1)-1)*(CROQUIS!$C$129*MAX(1,CEILING((INT(((CROQUIS!$C$98)-CROQUIS!$C$107)/MAX(CROQUIS!$C$129,1))+1)/80,1))))/2)+MIN(INT(($A189-1)/5),MAX((MAX(1,INT(((CROQUIS!$C$98)-CROQUIS!$C$107)/MAX((CROQUIS!$C$129*MAX(1,CEILING((INT(((CROQUIS!$C$98)-CROQUIS!$C$107)/MAX(CROQUIS!$C$129,1))+1)/80,1))),1))+1))-1,0))*(CROQUIS!$C$129*MAX(1,CEILING((INT(((CROQUIS!$C$98)-CROQUIS!$C$107)/MAX(CROQUIS!$C$129,1))+1)/80,1)))),CHOOSE(IF(INT(($A189-1)/5)&gt;MAX((MAX(1,INT(((CROQUIS!$C$98)-CROQUIS!$C$107)/MAX((CROQUIS!$C$129*MAX(1,CEILING((INT(((CROQUIS!$C$98)-CROQUIS!$C$107)/MAX(CROQUIS!$C$129,1))+1)/80,1))),1))+1))-1,0),0,MOD($A189-1,5))+1,0,2,CROQUIS!$C$97-2,2,0)))*CROQUIS!$C$159)+IF(CROQUIS!$C$92="X",0,0)),-1000)</f>
        <v>-1000</v>
      </c>
      <c r="BP189">
        <f>IF(AND(CROQUIS!$C$88=1,CROQUIS!$C$137&gt;0),((CROQUIS!$C$160+(IF(CROQUIS!$C$92="X",((CROQUIS!$C$107/2+(((CROQUIS!$C$97)-CROQUIS!$C$107)-(MAX(1,INT(((CROQUIS!$C$97)-CROQUIS!$C$107)/MAX((CROQUIS!$C$137*MAX(1,CEILING((INT(((CROQUIS!$C$97)-CROQUIS!$C$107)/MAX(CROQUIS!$C$137,1))+1)/80,1))),1))+1)-1)*(CROQUIS!$C$137*MAX(1,CEILING((INT(((CROQUIS!$C$97)-CROQUIS!$C$107)/MAX(CROQUIS!$C$137,1))+1)/80,1))))/2)+MIN(INT(($A189-1)/5),MAX((MAX(1,INT(((CROQUIS!$C$97)-CROQUIS!$C$107)/MAX((CROQUIS!$C$137*MAX(1,CEILING((INT(((CROQUIS!$C$97)-CROQUIS!$C$107)/MAX(CROQUIS!$C$137,1))+1)/80,1))),1))+1))-1,0))*(CROQUIS!$C$137*MAX(1,CEILING((INT(((CROQUIS!$C$97)-CROQUIS!$C$107)/MAX(CROQUIS!$C$137,1))+1)/80,1)))),CHOOSE(IF(INT(($A189-1)/5)&gt;MAX((MAX(1,INT(((CROQUIS!$C$97)-CROQUIS!$C$107)/MAX((CROQUIS!$C$137*MAX(1,CEILING((INT(((CROQUIS!$C$97)-CROQUIS!$C$107)/MAX(CROQUIS!$C$137,1))+1)/80,1))),1))+1))-1,0),0,MOD($A189-1,5))+1,0,2,CROQUIS!$C$98-2,2,0)))*CROQUIS!$C$159)+IF(CROQUIS!$C$92="X",0,0)),-1000)</f>
        <v>-1000</v>
      </c>
      <c r="BQ189">
        <f>IF(AND(CROQUIS!$C$88=1,CROQUIS!$C$137&gt;0),((CROQUIS!$C$161+(IF(CROQUIS!$C$92="X",CHOOSE(IF(INT(($A189-1)/5)&gt;MAX((MAX(1,INT(((CROQUIS!$C$97)-CROQUIS!$C$107)/MAX((CROQUIS!$C$137*MAX(1,CEILING((INT(((CROQUIS!$C$97)-CROQUIS!$C$107)/MAX(CROQUIS!$C$137,1))+1)/80,1))),1))+1))-1,0),0,MOD($A189-1,5))+1,0,2,CROQUIS!$C$98-2,2,0),((CROQUIS!$C$107/2+(((CROQUIS!$C$97)-CROQUIS!$C$107)-(MAX(1,INT(((CROQUIS!$C$97)-CROQUIS!$C$107)/MAX((CROQUIS!$C$137*MAX(1,CEILING((INT(((CROQUIS!$C$97)-CROQUIS!$C$107)/MAX(CROQUIS!$C$137,1))+1)/80,1))),1))+1)-1)*(CROQUIS!$C$137*MAX(1,CEILING((INT(((CROQUIS!$C$97)-CROQUIS!$C$107)/MAX(CROQUIS!$C$137,1))+1)/80,1))))/2)+MIN(INT(($A189-1)/5),MAX((MAX(1,INT(((CROQUIS!$C$97)-CROQUIS!$C$107)/MAX((CROQUIS!$C$137*MAX(1,CEILING((INT(((CROQUIS!$C$97)-CROQUIS!$C$107)/MAX(CROQUIS!$C$137,1))+1)/80,1))),1))+1))-1,0))*(CROQUIS!$C$137*MAX(1,CEILING((INT(((CROQUIS!$C$97)-CROQUIS!$C$107)/MAX(CROQUIS!$C$137,1))+1)/80,1))))))*CROQUIS!$C$159)+IF(CROQUIS!$C$92="X",0,0)),-1000)</f>
        <v>-1000</v>
      </c>
      <c r="BR189">
        <f>IF(AND(CROQUIS!$C$88=1,CROQUIS!$C$91=0,CROQUIS!$C$133&gt;0,OR(CROQUIS!$C$103=1,CROQUIS!$C$145=1)),((CROQUIS!$C$160+(IF(CROQUIS!$C$92="X",CHOOSE(IF(INT(($A189-1)/5)&gt;MAX((MAX(1,INT(((CROQUIS!$C$98)-CROQUIS!$C$107)/MAX((CROQUIS!$C$133*MAX(1,CEILING((INT(((CROQUIS!$C$98)-CROQUIS!$C$107)/MAX(CROQUIS!$C$133,1))+1)/80,1))),1))+1))-1,0),0,MOD($A189-1,5))+1,0,IF(CROQUIS!$C$103=1,-12,2),CROQUIS!$C$107/2+CROQUIS!$C$143,IF(CROQUIS!$C$103=1,-12,2),0),((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BS1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+1,0,IF(CROQUIS!$C$103=1,-12,2),CROQUIS!$C$107/2+CROQUIS!$C$143,IF(CROQUIS!$C$103=1,-12,2),0)))*CROQUIS!$C$159)+IF(CROQUIS!$C$92="X",0.8,0)),-1000)</f>
        <v>-1000</v>
      </c>
      <c r="BT189">
        <f>IF(AND(CROQUIS!$C$88=1,CROQUIS!$C$91=0,CROQUIS!$C$133&gt;0,OR(CROQUIS!$C$104=1,CROQUIS!$C$145=1)),((CROQUIS!$C$160+(IF(CROQUIS!$C$92="X",CHOOSE(IF(INT(($A189-1)/5)&gt;MAX((MAX(1,INT(((CROQUIS!$C$98)-CROQUIS!$C$107)/MAX((CROQUIS!$C$133*MAX(1,CEILING((INT(((CROQUIS!$C$98)-CROQUIS!$C$107)/MAX(CROQUIS!$C$133,1))+1)/80,1))),1))+1))-1,0),0,MOD($A189-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BU1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CROQUIS!$C$97,CROQUIS!$C$97-CROQUIS!$C$107/2-CROQUIS!$C$143,IF(CROQUIS!$C$104=1,CROQUIS!$C$97+12,CROQUIS!$C$97-2),CROQUIS!$C$97-CROQUIS!$C$107/2-CROQUIS!$C$143,CROQUIS!$C$97)))*CROQUIS!$C$159)+IF(CROQUIS!$C$92="X",0.8,0)),-1000)</f>
        <v>-1000</v>
      </c>
      <c r="BV1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HOOSE(IF(INT(($A189-1)/5)&gt;MAX((MAX(1,INT(((CROQUIS!$C$97)-CROQUIS!$C$107)/MAX((CROQUIS!$C$141*MAX(1,CEILING((INT(((CROQUIS!$C$97)-CROQUIS!$C$107)/MAX(CROQUIS!$C$141,1))+1)/80,1))),1))+1))-1,0),0,MOD($A189-1,5))+1,0,IF(CROQUIS!$C$105=1,-12,2),CROQUIS!$C$107/2+CROQUIS!$C$144,IF(CROQUIS!$C$105=1,-12,2),0)))*CROQUIS!$C$159)+IF(CROQUIS!$C$92="X",0.8,0)),-1000)</f>
        <v>-1000</v>
      </c>
      <c r="BW189">
        <f>IF(AND(CROQUIS!$C$88=1,CROQUIS!$C$91=0,CROQUIS!$C$141&gt;0,OR(CROQUIS!$C$105=1,CROQUIS!$C$146=1)),((CROQUIS!$C$161+(IF(CROQUIS!$C$92="X",CHOOSE(IF(INT(($A189-1)/5)&gt;MAX((MAX(1,INT(((CROQUIS!$C$97)-CROQUIS!$C$107)/MAX((CROQUIS!$C$141*MAX(1,CEILING((INT(((CROQUIS!$C$97)-CROQUIS!$C$107)/MAX(CROQUIS!$C$141,1))+1)/80,1))),1))+1))-1,0),0,MOD($A189-1,5))+1,0,IF(CROQUIS!$C$105=1,-12,2),CROQUIS!$C$107/2+CROQUIS!$C$144,IF(CROQUIS!$C$105=1,-12,2),0),((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ROQUIS!$C$159)+IF(CROQUIS!$C$92="X",0,0.8)),-1000)</f>
        <v>-1000</v>
      </c>
      <c r="BX1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HOOSE(IF(INT(($A189-1)/5)&gt;MAX((MAX(1,INT(((CROQUIS!$C$97)-CROQUIS!$C$107)/MAX((CROQUIS!$C$141*MAX(1,CEILING((INT(((CROQUIS!$C$97)-CROQUIS!$C$107)/MAX(CROQUIS!$C$141,1))+1)/80,1))),1))+1))-1,0),0,MOD($A189-1,5))+1,CROQUIS!$C$98,CROQUIS!$C$98-CROQUIS!$C$107/2-CROQUIS!$C$144,IF(CROQUIS!$C$106=1,CROQUIS!$C$98+12,CROQUIS!$C$98-2),CROQUIS!$C$98-CROQUIS!$C$107/2-CROQUIS!$C$144,CROQUIS!$C$98)))*CROQUIS!$C$159)+IF(CROQUIS!$C$92="X",0.8,0)),-1000)</f>
        <v>-1000</v>
      </c>
      <c r="BY189">
        <f>IF(AND(CROQUIS!$C$88=1,CROQUIS!$C$91=0,CROQUIS!$C$141&gt;0,OR(CROQUIS!$C$106=1,CROQUIS!$C$146=1)),((CROQUIS!$C$161+(IF(CROQUIS!$C$92="X",CHOOSE(IF(INT(($A189-1)/5)&gt;MAX((MAX(1,INT(((CROQUIS!$C$97)-CROQUIS!$C$107)/MAX((CROQUIS!$C$141*MAX(1,CEILING((INT(((CROQUIS!$C$97)-CROQUIS!$C$107)/MAX(CROQUIS!$C$141,1))+1)/80,1))),1))+1))-1,0),0,MOD($A189-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ROQUIS!$C$159)+IF(CROQUIS!$C$92="X",0,0.8)),-1000)</f>
        <v>-1000</v>
      </c>
      <c r="BZ189">
        <f>IF(AND(CROQUIS!$C$88=1,CROQUIS!$C$91=1,CROQUIS!$C$133&gt;0),((CROQUIS!$C$160+(IF(CROQUIS!$C$92="X",CHOOSE(IF(INT(($A189-1)/5)&gt;MAX((MAX(1,INT(((CROQUIS!$C$98)-CROQUIS!$C$107)/MAX((CROQUIS!$C$133*MAX(1,CEILING((INT(((CROQUIS!$C$98)-CROQUIS!$C$107)/MAX(CROQUIS!$C$133,1))+1)/80,1))),1))+1))-1,0),0,MOD($A189-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CA189">
        <f>IF(AND(CROQUIS!$C$88=1,CROQUIS!$C$91=1,CROQUIS!$C$133&gt;0),((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0">
      <c r="A190" t="n">
        <v>183</v>
      </c>
      <c r="BN190">
        <f>IF(AND(CROQUIS!$C$88=1,CROQUIS!$C$129&gt;0),((CROQUIS!$C$160+(IF(CROQUIS!$C$92="X",CHOOSE(IF(INT(($A190-1)/5)&gt;MAX((MAX(1,INT(((CROQUIS!$C$98)-CROQUIS!$C$107)/MAX((CROQUIS!$C$129*MAX(1,CEILING((INT(((CROQUIS!$C$98)-CROQUIS!$C$107)/MAX(CROQUIS!$C$129,1))+1)/80,1))),1))+1))-1,0),0,MOD($A190-1,5))+1,0,2,CROQUIS!$C$97-2,2,0),((CROQUIS!$C$107/2+(((CROQUIS!$C$98)-CROQUIS!$C$107)-(MAX(1,INT(((CROQUIS!$C$98)-CROQUIS!$C$107)/MAX((CROQUIS!$C$129*MAX(1,CEILING((INT(((CROQUIS!$C$98)-CROQUIS!$C$107)/MAX(CROQUIS!$C$129,1))+1)/80,1))),1))+1)-1)*(CROQUIS!$C$129*MAX(1,CEILING((INT(((CROQUIS!$C$98)-CROQUIS!$C$107)/MAX(CROQUIS!$C$129,1))+1)/80,1))))/2)+MIN(INT(($A190-1)/5),MAX((MAX(1,INT(((CROQUIS!$C$98)-CROQUIS!$C$107)/MAX((CROQUIS!$C$129*MAX(1,CEILING((INT(((CROQUIS!$C$98)-CROQUIS!$C$107)/MAX(CROQUIS!$C$129,1))+1)/80,1))),1))+1))-1,0))*(CROQUIS!$C$129*MAX(1,CEILING((INT(((CROQUIS!$C$98)-CROQUIS!$C$107)/MAX(CROQUIS!$C$129,1))+1)/80,1))))))*CROQUIS!$C$159)+IF(CROQUIS!$C$92="X",0,0)),-1000)</f>
        <v>-1000</v>
      </c>
      <c r="BO190">
        <f>IF(AND(CROQUIS!$C$88=1,CROQUIS!$C$129&gt;0),((CROQUIS!$C$161+(IF(CROQUIS!$C$92="X",((CROQUIS!$C$107/2+(((CROQUIS!$C$98)-CROQUIS!$C$107)-(MAX(1,INT(((CROQUIS!$C$98)-CROQUIS!$C$107)/MAX((CROQUIS!$C$129*MAX(1,CEILING((INT(((CROQUIS!$C$98)-CROQUIS!$C$107)/MAX(CROQUIS!$C$129,1))+1)/80,1))),1))+1)-1)*(CROQUIS!$C$129*MAX(1,CEILING((INT(((CROQUIS!$C$98)-CROQUIS!$C$107)/MAX(CROQUIS!$C$129,1))+1)/80,1))))/2)+MIN(INT(($A190-1)/5),MAX((MAX(1,INT(((CROQUIS!$C$98)-CROQUIS!$C$107)/MAX((CROQUIS!$C$129*MAX(1,CEILING((INT(((CROQUIS!$C$98)-CROQUIS!$C$107)/MAX(CROQUIS!$C$129,1))+1)/80,1))),1))+1))-1,0))*(CROQUIS!$C$129*MAX(1,CEILING((INT(((CROQUIS!$C$98)-CROQUIS!$C$107)/MAX(CROQUIS!$C$129,1))+1)/80,1)))),CHOOSE(IF(INT(($A190-1)/5)&gt;MAX((MAX(1,INT(((CROQUIS!$C$98)-CROQUIS!$C$107)/MAX((CROQUIS!$C$129*MAX(1,CEILING((INT(((CROQUIS!$C$98)-CROQUIS!$C$107)/MAX(CROQUIS!$C$129,1))+1)/80,1))),1))+1))-1,0),0,MOD($A190-1,5))+1,0,2,CROQUIS!$C$97-2,2,0)))*CROQUIS!$C$159)+IF(CROQUIS!$C$92="X",0,0)),-1000)</f>
        <v>-1000</v>
      </c>
      <c r="BP190">
        <f>IF(AND(CROQUIS!$C$88=1,CROQUIS!$C$137&gt;0),((CROQUIS!$C$160+(IF(CROQUIS!$C$92="X",((CROQUIS!$C$107/2+(((CROQUIS!$C$97)-CROQUIS!$C$107)-(MAX(1,INT(((CROQUIS!$C$97)-CROQUIS!$C$107)/MAX((CROQUIS!$C$137*MAX(1,CEILING((INT(((CROQUIS!$C$97)-CROQUIS!$C$107)/MAX(CROQUIS!$C$137,1))+1)/80,1))),1))+1)-1)*(CROQUIS!$C$137*MAX(1,CEILING((INT(((CROQUIS!$C$97)-CROQUIS!$C$107)/MAX(CROQUIS!$C$137,1))+1)/80,1))))/2)+MIN(INT(($A190-1)/5),MAX((MAX(1,INT(((CROQUIS!$C$97)-CROQUIS!$C$107)/MAX((CROQUIS!$C$137*MAX(1,CEILING((INT(((CROQUIS!$C$97)-CROQUIS!$C$107)/MAX(CROQUIS!$C$137,1))+1)/80,1))),1))+1))-1,0))*(CROQUIS!$C$137*MAX(1,CEILING((INT(((CROQUIS!$C$97)-CROQUIS!$C$107)/MAX(CROQUIS!$C$137,1))+1)/80,1)))),CHOOSE(IF(INT(($A190-1)/5)&gt;MAX((MAX(1,INT(((CROQUIS!$C$97)-CROQUIS!$C$107)/MAX((CROQUIS!$C$137*MAX(1,CEILING((INT(((CROQUIS!$C$97)-CROQUIS!$C$107)/MAX(CROQUIS!$C$137,1))+1)/80,1))),1))+1))-1,0),0,MOD($A190-1,5))+1,0,2,CROQUIS!$C$98-2,2,0)))*CROQUIS!$C$159)+IF(CROQUIS!$C$92="X",0,0)),-1000)</f>
        <v>-1000</v>
      </c>
      <c r="BQ190">
        <f>IF(AND(CROQUIS!$C$88=1,CROQUIS!$C$137&gt;0),((CROQUIS!$C$161+(IF(CROQUIS!$C$92="X",CHOOSE(IF(INT(($A190-1)/5)&gt;MAX((MAX(1,INT(((CROQUIS!$C$97)-CROQUIS!$C$107)/MAX((CROQUIS!$C$137*MAX(1,CEILING((INT(((CROQUIS!$C$97)-CROQUIS!$C$107)/MAX(CROQUIS!$C$137,1))+1)/80,1))),1))+1))-1,0),0,MOD($A190-1,5))+1,0,2,CROQUIS!$C$98-2,2,0),((CROQUIS!$C$107/2+(((CROQUIS!$C$97)-CROQUIS!$C$107)-(MAX(1,INT(((CROQUIS!$C$97)-CROQUIS!$C$107)/MAX((CROQUIS!$C$137*MAX(1,CEILING((INT(((CROQUIS!$C$97)-CROQUIS!$C$107)/MAX(CROQUIS!$C$137,1))+1)/80,1))),1))+1)-1)*(CROQUIS!$C$137*MAX(1,CEILING((INT(((CROQUIS!$C$97)-CROQUIS!$C$107)/MAX(CROQUIS!$C$137,1))+1)/80,1))))/2)+MIN(INT(($A190-1)/5),MAX((MAX(1,INT(((CROQUIS!$C$97)-CROQUIS!$C$107)/MAX((CROQUIS!$C$137*MAX(1,CEILING((INT(((CROQUIS!$C$97)-CROQUIS!$C$107)/MAX(CROQUIS!$C$137,1))+1)/80,1))),1))+1))-1,0))*(CROQUIS!$C$137*MAX(1,CEILING((INT(((CROQUIS!$C$97)-CROQUIS!$C$107)/MAX(CROQUIS!$C$137,1))+1)/80,1))))))*CROQUIS!$C$159)+IF(CROQUIS!$C$92="X",0,0)),-1000)</f>
        <v>-1000</v>
      </c>
      <c r="BR190">
        <f>IF(AND(CROQUIS!$C$88=1,CROQUIS!$C$91=0,CROQUIS!$C$133&gt;0,OR(CROQUIS!$C$103=1,CROQUIS!$C$145=1)),((CROQUIS!$C$160+(IF(CROQUIS!$C$92="X",CHOOSE(IF(INT(($A190-1)/5)&gt;MAX((MAX(1,INT(((CROQUIS!$C$98)-CROQUIS!$C$107)/MAX((CROQUIS!$C$133*MAX(1,CEILING((INT(((CROQUIS!$C$98)-CROQUIS!$C$107)/MAX(CROQUIS!$C$133,1))+1)/80,1))),1))+1))-1,0),0,MOD($A190-1,5))+1,0,IF(CROQUIS!$C$103=1,-12,2),CROQUIS!$C$107/2+CROQUIS!$C$143,IF(CROQUIS!$C$103=1,-12,2),0),((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BS1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+1,0,IF(CROQUIS!$C$103=1,-12,2),CROQUIS!$C$107/2+CROQUIS!$C$143,IF(CROQUIS!$C$103=1,-12,2),0)))*CROQUIS!$C$159)+IF(CROQUIS!$C$92="X",0.8,0)),-1000)</f>
        <v>-1000</v>
      </c>
      <c r="BT190">
        <f>IF(AND(CROQUIS!$C$88=1,CROQUIS!$C$91=0,CROQUIS!$C$133&gt;0,OR(CROQUIS!$C$104=1,CROQUIS!$C$145=1)),((CROQUIS!$C$160+(IF(CROQUIS!$C$92="X",CHOOSE(IF(INT(($A190-1)/5)&gt;MAX((MAX(1,INT(((CROQUIS!$C$98)-CROQUIS!$C$107)/MAX((CROQUIS!$C$133*MAX(1,CEILING((INT(((CROQUIS!$C$98)-CROQUIS!$C$107)/MAX(CROQUIS!$C$133,1))+1)/80,1))),1))+1))-1,0),0,MOD($A190-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BU1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CROQUIS!$C$97,CROQUIS!$C$97-CROQUIS!$C$107/2-CROQUIS!$C$143,IF(CROQUIS!$C$104=1,CROQUIS!$C$97+12,CROQUIS!$C$97-2),CROQUIS!$C$97-CROQUIS!$C$107/2-CROQUIS!$C$143,CROQUIS!$C$97)))*CROQUIS!$C$159)+IF(CROQUIS!$C$92="X",0.8,0)),-1000)</f>
        <v>-1000</v>
      </c>
      <c r="BV1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HOOSE(IF(INT(($A190-1)/5)&gt;MAX((MAX(1,INT(((CROQUIS!$C$97)-CROQUIS!$C$107)/MAX((CROQUIS!$C$141*MAX(1,CEILING((INT(((CROQUIS!$C$97)-CROQUIS!$C$107)/MAX(CROQUIS!$C$141,1))+1)/80,1))),1))+1))-1,0),0,MOD($A190-1,5))+1,0,IF(CROQUIS!$C$105=1,-12,2),CROQUIS!$C$107/2+CROQUIS!$C$144,IF(CROQUIS!$C$105=1,-12,2),0)))*CROQUIS!$C$159)+IF(CROQUIS!$C$92="X",0.8,0)),-1000)</f>
        <v>-1000</v>
      </c>
      <c r="BW190">
        <f>IF(AND(CROQUIS!$C$88=1,CROQUIS!$C$91=0,CROQUIS!$C$141&gt;0,OR(CROQUIS!$C$105=1,CROQUIS!$C$146=1)),((CROQUIS!$C$161+(IF(CROQUIS!$C$92="X",CHOOSE(IF(INT(($A190-1)/5)&gt;MAX((MAX(1,INT(((CROQUIS!$C$97)-CROQUIS!$C$107)/MAX((CROQUIS!$C$141*MAX(1,CEILING((INT(((CROQUIS!$C$97)-CROQUIS!$C$107)/MAX(CROQUIS!$C$141,1))+1)/80,1))),1))+1))-1,0),0,MOD($A190-1,5))+1,0,IF(CROQUIS!$C$105=1,-12,2),CROQUIS!$C$107/2+CROQUIS!$C$144,IF(CROQUIS!$C$105=1,-12,2),0),((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ROQUIS!$C$159)+IF(CROQUIS!$C$92="X",0,0.8)),-1000)</f>
        <v>-1000</v>
      </c>
      <c r="BX1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HOOSE(IF(INT(($A190-1)/5)&gt;MAX((MAX(1,INT(((CROQUIS!$C$97)-CROQUIS!$C$107)/MAX((CROQUIS!$C$141*MAX(1,CEILING((INT(((CROQUIS!$C$97)-CROQUIS!$C$107)/MAX(CROQUIS!$C$141,1))+1)/80,1))),1))+1))-1,0),0,MOD($A190-1,5))+1,CROQUIS!$C$98,CROQUIS!$C$98-CROQUIS!$C$107/2-CROQUIS!$C$144,IF(CROQUIS!$C$106=1,CROQUIS!$C$98+12,CROQUIS!$C$98-2),CROQUIS!$C$98-CROQUIS!$C$107/2-CROQUIS!$C$144,CROQUIS!$C$98)))*CROQUIS!$C$159)+IF(CROQUIS!$C$92="X",0.8,0)),-1000)</f>
        <v>-1000</v>
      </c>
      <c r="BY190">
        <f>IF(AND(CROQUIS!$C$88=1,CROQUIS!$C$91=0,CROQUIS!$C$141&gt;0,OR(CROQUIS!$C$106=1,CROQUIS!$C$146=1)),((CROQUIS!$C$161+(IF(CROQUIS!$C$92="X",CHOOSE(IF(INT(($A190-1)/5)&gt;MAX((MAX(1,INT(((CROQUIS!$C$97)-CROQUIS!$C$107)/MAX((CROQUIS!$C$141*MAX(1,CEILING((INT(((CROQUIS!$C$97)-CROQUIS!$C$107)/MAX(CROQUIS!$C$141,1))+1)/80,1))),1))+1))-1,0),0,MOD($A190-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ROQUIS!$C$159)+IF(CROQUIS!$C$92="X",0,0.8)),-1000)</f>
        <v>-1000</v>
      </c>
      <c r="BZ190">
        <f>IF(AND(CROQUIS!$C$88=1,CROQUIS!$C$91=1,CROQUIS!$C$133&gt;0),((CROQUIS!$C$160+(IF(CROQUIS!$C$92="X",CHOOSE(IF(INT(($A190-1)/5)&gt;MAX((MAX(1,INT(((CROQUIS!$C$98)-CROQUIS!$C$107)/MAX((CROQUIS!$C$133*MAX(1,CEILING((INT(((CROQUIS!$C$98)-CROQUIS!$C$107)/MAX(CROQUIS!$C$133,1))+1)/80,1))),1))+1))-1,0),0,MOD($A190-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CA190">
        <f>IF(AND(CROQUIS!$C$88=1,CROQUIS!$C$91=1,CROQUIS!$C$133&gt;0),((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1">
      <c r="A191" t="n">
        <v>184</v>
      </c>
      <c r="BN191">
        <f>IF(AND(CROQUIS!$C$88=1,CROQUIS!$C$129&gt;0),((CROQUIS!$C$160+(IF(CROQUIS!$C$92="X",CHOOSE(IF(INT(($A191-1)/5)&gt;MAX((MAX(1,INT(((CROQUIS!$C$98)-CROQUIS!$C$107)/MAX((CROQUIS!$C$129*MAX(1,CEILING((INT(((CROQUIS!$C$98)-CROQUIS!$C$107)/MAX(CROQUIS!$C$129,1))+1)/80,1))),1))+1))-1,0),0,MOD($A191-1,5))+1,0,2,CROQUIS!$C$97-2,2,0),((CROQUIS!$C$107/2+(((CROQUIS!$C$98)-CROQUIS!$C$107)-(MAX(1,INT(((CROQUIS!$C$98)-CROQUIS!$C$107)/MAX((CROQUIS!$C$129*MAX(1,CEILING((INT(((CROQUIS!$C$98)-CROQUIS!$C$107)/MAX(CROQUIS!$C$129,1))+1)/80,1))),1))+1)-1)*(CROQUIS!$C$129*MAX(1,CEILING((INT(((CROQUIS!$C$98)-CROQUIS!$C$107)/MAX(CROQUIS!$C$129,1))+1)/80,1))))/2)+MIN(INT(($A191-1)/5),MAX((MAX(1,INT(((CROQUIS!$C$98)-CROQUIS!$C$107)/MAX((CROQUIS!$C$129*MAX(1,CEILING((INT(((CROQUIS!$C$98)-CROQUIS!$C$107)/MAX(CROQUIS!$C$129,1))+1)/80,1))),1))+1))-1,0))*(CROQUIS!$C$129*MAX(1,CEILING((INT(((CROQUIS!$C$98)-CROQUIS!$C$107)/MAX(CROQUIS!$C$129,1))+1)/80,1))))))*CROQUIS!$C$159)+IF(CROQUIS!$C$92="X",0,0)),-1000)</f>
        <v>-1000</v>
      </c>
      <c r="BO191">
        <f>IF(AND(CROQUIS!$C$88=1,CROQUIS!$C$129&gt;0),((CROQUIS!$C$161+(IF(CROQUIS!$C$92="X",((CROQUIS!$C$107/2+(((CROQUIS!$C$98)-CROQUIS!$C$107)-(MAX(1,INT(((CROQUIS!$C$98)-CROQUIS!$C$107)/MAX((CROQUIS!$C$129*MAX(1,CEILING((INT(((CROQUIS!$C$98)-CROQUIS!$C$107)/MAX(CROQUIS!$C$129,1))+1)/80,1))),1))+1)-1)*(CROQUIS!$C$129*MAX(1,CEILING((INT(((CROQUIS!$C$98)-CROQUIS!$C$107)/MAX(CROQUIS!$C$129,1))+1)/80,1))))/2)+MIN(INT(($A191-1)/5),MAX((MAX(1,INT(((CROQUIS!$C$98)-CROQUIS!$C$107)/MAX((CROQUIS!$C$129*MAX(1,CEILING((INT(((CROQUIS!$C$98)-CROQUIS!$C$107)/MAX(CROQUIS!$C$129,1))+1)/80,1))),1))+1))-1,0))*(CROQUIS!$C$129*MAX(1,CEILING((INT(((CROQUIS!$C$98)-CROQUIS!$C$107)/MAX(CROQUIS!$C$129,1))+1)/80,1)))),CHOOSE(IF(INT(($A191-1)/5)&gt;MAX((MAX(1,INT(((CROQUIS!$C$98)-CROQUIS!$C$107)/MAX((CROQUIS!$C$129*MAX(1,CEILING((INT(((CROQUIS!$C$98)-CROQUIS!$C$107)/MAX(CROQUIS!$C$129,1))+1)/80,1))),1))+1))-1,0),0,MOD($A191-1,5))+1,0,2,CROQUIS!$C$97-2,2,0)))*CROQUIS!$C$159)+IF(CROQUIS!$C$92="X",0,0)),-1000)</f>
        <v>-1000</v>
      </c>
      <c r="BP191">
        <f>IF(AND(CROQUIS!$C$88=1,CROQUIS!$C$137&gt;0),((CROQUIS!$C$160+(IF(CROQUIS!$C$92="X",((CROQUIS!$C$107/2+(((CROQUIS!$C$97)-CROQUIS!$C$107)-(MAX(1,INT(((CROQUIS!$C$97)-CROQUIS!$C$107)/MAX((CROQUIS!$C$137*MAX(1,CEILING((INT(((CROQUIS!$C$97)-CROQUIS!$C$107)/MAX(CROQUIS!$C$137,1))+1)/80,1))),1))+1)-1)*(CROQUIS!$C$137*MAX(1,CEILING((INT(((CROQUIS!$C$97)-CROQUIS!$C$107)/MAX(CROQUIS!$C$137,1))+1)/80,1))))/2)+MIN(INT(($A191-1)/5),MAX((MAX(1,INT(((CROQUIS!$C$97)-CROQUIS!$C$107)/MAX((CROQUIS!$C$137*MAX(1,CEILING((INT(((CROQUIS!$C$97)-CROQUIS!$C$107)/MAX(CROQUIS!$C$137,1))+1)/80,1))),1))+1))-1,0))*(CROQUIS!$C$137*MAX(1,CEILING((INT(((CROQUIS!$C$97)-CROQUIS!$C$107)/MAX(CROQUIS!$C$137,1))+1)/80,1)))),CHOOSE(IF(INT(($A191-1)/5)&gt;MAX((MAX(1,INT(((CROQUIS!$C$97)-CROQUIS!$C$107)/MAX((CROQUIS!$C$137*MAX(1,CEILING((INT(((CROQUIS!$C$97)-CROQUIS!$C$107)/MAX(CROQUIS!$C$137,1))+1)/80,1))),1))+1))-1,0),0,MOD($A191-1,5))+1,0,2,CROQUIS!$C$98-2,2,0)))*CROQUIS!$C$159)+IF(CROQUIS!$C$92="X",0,0)),-1000)</f>
        <v>-1000</v>
      </c>
      <c r="BQ191">
        <f>IF(AND(CROQUIS!$C$88=1,CROQUIS!$C$137&gt;0),((CROQUIS!$C$161+(IF(CROQUIS!$C$92="X",CHOOSE(IF(INT(($A191-1)/5)&gt;MAX((MAX(1,INT(((CROQUIS!$C$97)-CROQUIS!$C$107)/MAX((CROQUIS!$C$137*MAX(1,CEILING((INT(((CROQUIS!$C$97)-CROQUIS!$C$107)/MAX(CROQUIS!$C$137,1))+1)/80,1))),1))+1))-1,0),0,MOD($A191-1,5))+1,0,2,CROQUIS!$C$98-2,2,0),((CROQUIS!$C$107/2+(((CROQUIS!$C$97)-CROQUIS!$C$107)-(MAX(1,INT(((CROQUIS!$C$97)-CROQUIS!$C$107)/MAX((CROQUIS!$C$137*MAX(1,CEILING((INT(((CROQUIS!$C$97)-CROQUIS!$C$107)/MAX(CROQUIS!$C$137,1))+1)/80,1))),1))+1)-1)*(CROQUIS!$C$137*MAX(1,CEILING((INT(((CROQUIS!$C$97)-CROQUIS!$C$107)/MAX(CROQUIS!$C$137,1))+1)/80,1))))/2)+MIN(INT(($A191-1)/5),MAX((MAX(1,INT(((CROQUIS!$C$97)-CROQUIS!$C$107)/MAX((CROQUIS!$C$137*MAX(1,CEILING((INT(((CROQUIS!$C$97)-CROQUIS!$C$107)/MAX(CROQUIS!$C$137,1))+1)/80,1))),1))+1))-1,0))*(CROQUIS!$C$137*MAX(1,CEILING((INT(((CROQUIS!$C$97)-CROQUIS!$C$107)/MAX(CROQUIS!$C$137,1))+1)/80,1))))))*CROQUIS!$C$159)+IF(CROQUIS!$C$92="X",0,0)),-1000)</f>
        <v>-1000</v>
      </c>
      <c r="BR191">
        <f>IF(AND(CROQUIS!$C$88=1,CROQUIS!$C$91=0,CROQUIS!$C$133&gt;0,OR(CROQUIS!$C$103=1,CROQUIS!$C$145=1)),((CROQUIS!$C$160+(IF(CROQUIS!$C$92="X",CHOOSE(IF(INT(($A191-1)/5)&gt;MAX((MAX(1,INT(((CROQUIS!$C$98)-CROQUIS!$C$107)/MAX((CROQUIS!$C$133*MAX(1,CEILING((INT(((CROQUIS!$C$98)-CROQUIS!$C$107)/MAX(CROQUIS!$C$133,1))+1)/80,1))),1))+1))-1,0),0,MOD($A191-1,5))+1,0,IF(CROQUIS!$C$103=1,-12,2),CROQUIS!$C$107/2+CROQUIS!$C$143,IF(CROQUIS!$C$103=1,-12,2),0),((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BS1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+1,0,IF(CROQUIS!$C$103=1,-12,2),CROQUIS!$C$107/2+CROQUIS!$C$143,IF(CROQUIS!$C$103=1,-12,2),0)))*CROQUIS!$C$159)+IF(CROQUIS!$C$92="X",0.8,0)),-1000)</f>
        <v>-1000</v>
      </c>
      <c r="BT191">
        <f>IF(AND(CROQUIS!$C$88=1,CROQUIS!$C$91=0,CROQUIS!$C$133&gt;0,OR(CROQUIS!$C$104=1,CROQUIS!$C$145=1)),((CROQUIS!$C$160+(IF(CROQUIS!$C$92="X",CHOOSE(IF(INT(($A191-1)/5)&gt;MAX((MAX(1,INT(((CROQUIS!$C$98)-CROQUIS!$C$107)/MAX((CROQUIS!$C$133*MAX(1,CEILING((INT(((CROQUIS!$C$98)-CROQUIS!$C$107)/MAX(CROQUIS!$C$133,1))+1)/80,1))),1))+1))-1,0),0,MOD($A191-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BU1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CROQUIS!$C$97,CROQUIS!$C$97-CROQUIS!$C$107/2-CROQUIS!$C$143,IF(CROQUIS!$C$104=1,CROQUIS!$C$97+12,CROQUIS!$C$97-2),CROQUIS!$C$97-CROQUIS!$C$107/2-CROQUIS!$C$143,CROQUIS!$C$97)))*CROQUIS!$C$159)+IF(CROQUIS!$C$92="X",0.8,0)),-1000)</f>
        <v>-1000</v>
      </c>
      <c r="BV1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HOOSE(IF(INT(($A191-1)/5)&gt;MAX((MAX(1,INT(((CROQUIS!$C$97)-CROQUIS!$C$107)/MAX((CROQUIS!$C$141*MAX(1,CEILING((INT(((CROQUIS!$C$97)-CROQUIS!$C$107)/MAX(CROQUIS!$C$141,1))+1)/80,1))),1))+1))-1,0),0,MOD($A191-1,5))+1,0,IF(CROQUIS!$C$105=1,-12,2),CROQUIS!$C$107/2+CROQUIS!$C$144,IF(CROQUIS!$C$105=1,-12,2),0)))*CROQUIS!$C$159)+IF(CROQUIS!$C$92="X",0.8,0)),-1000)</f>
        <v>-1000</v>
      </c>
      <c r="BW191">
        <f>IF(AND(CROQUIS!$C$88=1,CROQUIS!$C$91=0,CROQUIS!$C$141&gt;0,OR(CROQUIS!$C$105=1,CROQUIS!$C$146=1)),((CROQUIS!$C$161+(IF(CROQUIS!$C$92="X",CHOOSE(IF(INT(($A191-1)/5)&gt;MAX((MAX(1,INT(((CROQUIS!$C$97)-CROQUIS!$C$107)/MAX((CROQUIS!$C$141*MAX(1,CEILING((INT(((CROQUIS!$C$97)-CROQUIS!$C$107)/MAX(CROQUIS!$C$141,1))+1)/80,1))),1))+1))-1,0),0,MOD($A191-1,5))+1,0,IF(CROQUIS!$C$105=1,-12,2),CROQUIS!$C$107/2+CROQUIS!$C$144,IF(CROQUIS!$C$105=1,-12,2),0),((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ROQUIS!$C$159)+IF(CROQUIS!$C$92="X",0,0.8)),-1000)</f>
        <v>-1000</v>
      </c>
      <c r="BX1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HOOSE(IF(INT(($A191-1)/5)&gt;MAX((MAX(1,INT(((CROQUIS!$C$97)-CROQUIS!$C$107)/MAX((CROQUIS!$C$141*MAX(1,CEILING((INT(((CROQUIS!$C$97)-CROQUIS!$C$107)/MAX(CROQUIS!$C$141,1))+1)/80,1))),1))+1))-1,0),0,MOD($A191-1,5))+1,CROQUIS!$C$98,CROQUIS!$C$98-CROQUIS!$C$107/2-CROQUIS!$C$144,IF(CROQUIS!$C$106=1,CROQUIS!$C$98+12,CROQUIS!$C$98-2),CROQUIS!$C$98-CROQUIS!$C$107/2-CROQUIS!$C$144,CROQUIS!$C$98)))*CROQUIS!$C$159)+IF(CROQUIS!$C$92="X",0.8,0)),-1000)</f>
        <v>-1000</v>
      </c>
      <c r="BY191">
        <f>IF(AND(CROQUIS!$C$88=1,CROQUIS!$C$91=0,CROQUIS!$C$141&gt;0,OR(CROQUIS!$C$106=1,CROQUIS!$C$146=1)),((CROQUIS!$C$161+(IF(CROQUIS!$C$92="X",CHOOSE(IF(INT(($A191-1)/5)&gt;MAX((MAX(1,INT(((CROQUIS!$C$97)-CROQUIS!$C$107)/MAX((CROQUIS!$C$141*MAX(1,CEILING((INT(((CROQUIS!$C$97)-CROQUIS!$C$107)/MAX(CROQUIS!$C$141,1))+1)/80,1))),1))+1))-1,0),0,MOD($A191-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ROQUIS!$C$159)+IF(CROQUIS!$C$92="X",0,0.8)),-1000)</f>
        <v>-1000</v>
      </c>
      <c r="BZ191">
        <f>IF(AND(CROQUIS!$C$88=1,CROQUIS!$C$91=1,CROQUIS!$C$133&gt;0),((CROQUIS!$C$160+(IF(CROQUIS!$C$92="X",CHOOSE(IF(INT(($A191-1)/5)&gt;MAX((MAX(1,INT(((CROQUIS!$C$98)-CROQUIS!$C$107)/MAX((CROQUIS!$C$133*MAX(1,CEILING((INT(((CROQUIS!$C$98)-CROQUIS!$C$107)/MAX(CROQUIS!$C$133,1))+1)/80,1))),1))+1))-1,0),0,MOD($A191-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CA191">
        <f>IF(AND(CROQUIS!$C$88=1,CROQUIS!$C$91=1,CROQUIS!$C$133&gt;0),((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2">
      <c r="A192" t="n">
        <v>185</v>
      </c>
      <c r="BN192">
        <f>IF(AND(CROQUIS!$C$88=1,CROQUIS!$C$129&gt;0),((CROQUIS!$C$160+(IF(CROQUIS!$C$92="X",CHOOSE(IF(INT(($A192-1)/5)&gt;MAX((MAX(1,INT(((CROQUIS!$C$98)-CROQUIS!$C$107)/MAX((CROQUIS!$C$129*MAX(1,CEILING((INT(((CROQUIS!$C$98)-CROQUIS!$C$107)/MAX(CROQUIS!$C$129,1))+1)/80,1))),1))+1))-1,0),0,MOD($A192-1,5))+1,0,2,CROQUIS!$C$97-2,2,0),((CROQUIS!$C$107/2+(((CROQUIS!$C$98)-CROQUIS!$C$107)-(MAX(1,INT(((CROQUIS!$C$98)-CROQUIS!$C$107)/MAX((CROQUIS!$C$129*MAX(1,CEILING((INT(((CROQUIS!$C$98)-CROQUIS!$C$107)/MAX(CROQUIS!$C$129,1))+1)/80,1))),1))+1)-1)*(CROQUIS!$C$129*MAX(1,CEILING((INT(((CROQUIS!$C$98)-CROQUIS!$C$107)/MAX(CROQUIS!$C$129,1))+1)/80,1))))/2)+MIN(INT(($A192-1)/5),MAX((MAX(1,INT(((CROQUIS!$C$98)-CROQUIS!$C$107)/MAX((CROQUIS!$C$129*MAX(1,CEILING((INT(((CROQUIS!$C$98)-CROQUIS!$C$107)/MAX(CROQUIS!$C$129,1))+1)/80,1))),1))+1))-1,0))*(CROQUIS!$C$129*MAX(1,CEILING((INT(((CROQUIS!$C$98)-CROQUIS!$C$107)/MAX(CROQUIS!$C$129,1))+1)/80,1))))))*CROQUIS!$C$159)+IF(CROQUIS!$C$92="X",0,0)),-1000)</f>
        <v>-1000</v>
      </c>
      <c r="BO192">
        <f>IF(AND(CROQUIS!$C$88=1,CROQUIS!$C$129&gt;0),((CROQUIS!$C$161+(IF(CROQUIS!$C$92="X",((CROQUIS!$C$107/2+(((CROQUIS!$C$98)-CROQUIS!$C$107)-(MAX(1,INT(((CROQUIS!$C$98)-CROQUIS!$C$107)/MAX((CROQUIS!$C$129*MAX(1,CEILING((INT(((CROQUIS!$C$98)-CROQUIS!$C$107)/MAX(CROQUIS!$C$129,1))+1)/80,1))),1))+1)-1)*(CROQUIS!$C$129*MAX(1,CEILING((INT(((CROQUIS!$C$98)-CROQUIS!$C$107)/MAX(CROQUIS!$C$129,1))+1)/80,1))))/2)+MIN(INT(($A192-1)/5),MAX((MAX(1,INT(((CROQUIS!$C$98)-CROQUIS!$C$107)/MAX((CROQUIS!$C$129*MAX(1,CEILING((INT(((CROQUIS!$C$98)-CROQUIS!$C$107)/MAX(CROQUIS!$C$129,1))+1)/80,1))),1))+1))-1,0))*(CROQUIS!$C$129*MAX(1,CEILING((INT(((CROQUIS!$C$98)-CROQUIS!$C$107)/MAX(CROQUIS!$C$129,1))+1)/80,1)))),CHOOSE(IF(INT(($A192-1)/5)&gt;MAX((MAX(1,INT(((CROQUIS!$C$98)-CROQUIS!$C$107)/MAX((CROQUIS!$C$129*MAX(1,CEILING((INT(((CROQUIS!$C$98)-CROQUIS!$C$107)/MAX(CROQUIS!$C$129,1))+1)/80,1))),1))+1))-1,0),0,MOD($A192-1,5))+1,0,2,CROQUIS!$C$97-2,2,0)))*CROQUIS!$C$159)+IF(CROQUIS!$C$92="X",0,0)),-1000)</f>
        <v>-1000</v>
      </c>
      <c r="BP192">
        <f>IF(AND(CROQUIS!$C$88=1,CROQUIS!$C$137&gt;0),((CROQUIS!$C$160+(IF(CROQUIS!$C$92="X",((CROQUIS!$C$107/2+(((CROQUIS!$C$97)-CROQUIS!$C$107)-(MAX(1,INT(((CROQUIS!$C$97)-CROQUIS!$C$107)/MAX((CROQUIS!$C$137*MAX(1,CEILING((INT(((CROQUIS!$C$97)-CROQUIS!$C$107)/MAX(CROQUIS!$C$137,1))+1)/80,1))),1))+1)-1)*(CROQUIS!$C$137*MAX(1,CEILING((INT(((CROQUIS!$C$97)-CROQUIS!$C$107)/MAX(CROQUIS!$C$137,1))+1)/80,1))))/2)+MIN(INT(($A192-1)/5),MAX((MAX(1,INT(((CROQUIS!$C$97)-CROQUIS!$C$107)/MAX((CROQUIS!$C$137*MAX(1,CEILING((INT(((CROQUIS!$C$97)-CROQUIS!$C$107)/MAX(CROQUIS!$C$137,1))+1)/80,1))),1))+1))-1,0))*(CROQUIS!$C$137*MAX(1,CEILING((INT(((CROQUIS!$C$97)-CROQUIS!$C$107)/MAX(CROQUIS!$C$137,1))+1)/80,1)))),CHOOSE(IF(INT(($A192-1)/5)&gt;MAX((MAX(1,INT(((CROQUIS!$C$97)-CROQUIS!$C$107)/MAX((CROQUIS!$C$137*MAX(1,CEILING((INT(((CROQUIS!$C$97)-CROQUIS!$C$107)/MAX(CROQUIS!$C$137,1))+1)/80,1))),1))+1))-1,0),0,MOD($A192-1,5))+1,0,2,CROQUIS!$C$98-2,2,0)))*CROQUIS!$C$159)+IF(CROQUIS!$C$92="X",0,0)),-1000)</f>
        <v>-1000</v>
      </c>
      <c r="BQ192">
        <f>IF(AND(CROQUIS!$C$88=1,CROQUIS!$C$137&gt;0),((CROQUIS!$C$161+(IF(CROQUIS!$C$92="X",CHOOSE(IF(INT(($A192-1)/5)&gt;MAX((MAX(1,INT(((CROQUIS!$C$97)-CROQUIS!$C$107)/MAX((CROQUIS!$C$137*MAX(1,CEILING((INT(((CROQUIS!$C$97)-CROQUIS!$C$107)/MAX(CROQUIS!$C$137,1))+1)/80,1))),1))+1))-1,0),0,MOD($A192-1,5))+1,0,2,CROQUIS!$C$98-2,2,0),((CROQUIS!$C$107/2+(((CROQUIS!$C$97)-CROQUIS!$C$107)-(MAX(1,INT(((CROQUIS!$C$97)-CROQUIS!$C$107)/MAX((CROQUIS!$C$137*MAX(1,CEILING((INT(((CROQUIS!$C$97)-CROQUIS!$C$107)/MAX(CROQUIS!$C$137,1))+1)/80,1))),1))+1)-1)*(CROQUIS!$C$137*MAX(1,CEILING((INT(((CROQUIS!$C$97)-CROQUIS!$C$107)/MAX(CROQUIS!$C$137,1))+1)/80,1))))/2)+MIN(INT(($A192-1)/5),MAX((MAX(1,INT(((CROQUIS!$C$97)-CROQUIS!$C$107)/MAX((CROQUIS!$C$137*MAX(1,CEILING((INT(((CROQUIS!$C$97)-CROQUIS!$C$107)/MAX(CROQUIS!$C$137,1))+1)/80,1))),1))+1))-1,0))*(CROQUIS!$C$137*MAX(1,CEILING((INT(((CROQUIS!$C$97)-CROQUIS!$C$107)/MAX(CROQUIS!$C$137,1))+1)/80,1))))))*CROQUIS!$C$159)+IF(CROQUIS!$C$92="X",0,0)),-1000)</f>
        <v>-1000</v>
      </c>
      <c r="BR192">
        <f>IF(AND(CROQUIS!$C$88=1,CROQUIS!$C$91=0,CROQUIS!$C$133&gt;0,OR(CROQUIS!$C$103=1,CROQUIS!$C$145=1)),((CROQUIS!$C$160+(IF(CROQUIS!$C$92="X",CHOOSE(IF(INT(($A192-1)/5)&gt;MAX((MAX(1,INT(((CROQUIS!$C$98)-CROQUIS!$C$107)/MAX((CROQUIS!$C$133*MAX(1,CEILING((INT(((CROQUIS!$C$98)-CROQUIS!$C$107)/MAX(CROQUIS!$C$133,1))+1)/80,1))),1))+1))-1,0),0,MOD($A192-1,5))+1,0,IF(CROQUIS!$C$103=1,-12,2),CROQUIS!$C$107/2+CROQUIS!$C$143,IF(CROQUIS!$C$103=1,-12,2),0),((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BS1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+1,0,IF(CROQUIS!$C$103=1,-12,2),CROQUIS!$C$107/2+CROQUIS!$C$143,IF(CROQUIS!$C$103=1,-12,2),0)))*CROQUIS!$C$159)+IF(CROQUIS!$C$92="X",0.8,0)),-1000)</f>
        <v>-1000</v>
      </c>
      <c r="BT192">
        <f>IF(AND(CROQUIS!$C$88=1,CROQUIS!$C$91=0,CROQUIS!$C$133&gt;0,OR(CROQUIS!$C$104=1,CROQUIS!$C$145=1)),((CROQUIS!$C$160+(IF(CROQUIS!$C$92="X",CHOOSE(IF(INT(($A192-1)/5)&gt;MAX((MAX(1,INT(((CROQUIS!$C$98)-CROQUIS!$C$107)/MAX((CROQUIS!$C$133*MAX(1,CEILING((INT(((CROQUIS!$C$98)-CROQUIS!$C$107)/MAX(CROQUIS!$C$133,1))+1)/80,1))),1))+1))-1,0),0,MOD($A192-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BU1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CROQUIS!$C$97,CROQUIS!$C$97-CROQUIS!$C$107/2-CROQUIS!$C$143,IF(CROQUIS!$C$104=1,CROQUIS!$C$97+12,CROQUIS!$C$97-2),CROQUIS!$C$97-CROQUIS!$C$107/2-CROQUIS!$C$143,CROQUIS!$C$97)))*CROQUIS!$C$159)+IF(CROQUIS!$C$92="X",0.8,0)),-1000)</f>
        <v>-1000</v>
      </c>
      <c r="BV1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HOOSE(IF(INT(($A192-1)/5)&gt;MAX((MAX(1,INT(((CROQUIS!$C$97)-CROQUIS!$C$107)/MAX((CROQUIS!$C$141*MAX(1,CEILING((INT(((CROQUIS!$C$97)-CROQUIS!$C$107)/MAX(CROQUIS!$C$141,1))+1)/80,1))),1))+1))-1,0),0,MOD($A192-1,5))+1,0,IF(CROQUIS!$C$105=1,-12,2),CROQUIS!$C$107/2+CROQUIS!$C$144,IF(CROQUIS!$C$105=1,-12,2),0)))*CROQUIS!$C$159)+IF(CROQUIS!$C$92="X",0.8,0)),-1000)</f>
        <v>-1000</v>
      </c>
      <c r="BW192">
        <f>IF(AND(CROQUIS!$C$88=1,CROQUIS!$C$91=0,CROQUIS!$C$141&gt;0,OR(CROQUIS!$C$105=1,CROQUIS!$C$146=1)),((CROQUIS!$C$161+(IF(CROQUIS!$C$92="X",CHOOSE(IF(INT(($A192-1)/5)&gt;MAX((MAX(1,INT(((CROQUIS!$C$97)-CROQUIS!$C$107)/MAX((CROQUIS!$C$141*MAX(1,CEILING((INT(((CROQUIS!$C$97)-CROQUIS!$C$107)/MAX(CROQUIS!$C$141,1))+1)/80,1))),1))+1))-1,0),0,MOD($A192-1,5))+1,0,IF(CROQUIS!$C$105=1,-12,2),CROQUIS!$C$107/2+CROQUIS!$C$144,IF(CROQUIS!$C$105=1,-12,2),0),((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ROQUIS!$C$159)+IF(CROQUIS!$C$92="X",0,0.8)),-1000)</f>
        <v>-1000</v>
      </c>
      <c r="BX1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HOOSE(IF(INT(($A192-1)/5)&gt;MAX((MAX(1,INT(((CROQUIS!$C$97)-CROQUIS!$C$107)/MAX((CROQUIS!$C$141*MAX(1,CEILING((INT(((CROQUIS!$C$97)-CROQUIS!$C$107)/MAX(CROQUIS!$C$141,1))+1)/80,1))),1))+1))-1,0),0,MOD($A192-1,5))+1,CROQUIS!$C$98,CROQUIS!$C$98-CROQUIS!$C$107/2-CROQUIS!$C$144,IF(CROQUIS!$C$106=1,CROQUIS!$C$98+12,CROQUIS!$C$98-2),CROQUIS!$C$98-CROQUIS!$C$107/2-CROQUIS!$C$144,CROQUIS!$C$98)))*CROQUIS!$C$159)+IF(CROQUIS!$C$92="X",0.8,0)),-1000)</f>
        <v>-1000</v>
      </c>
      <c r="BY192">
        <f>IF(AND(CROQUIS!$C$88=1,CROQUIS!$C$91=0,CROQUIS!$C$141&gt;0,OR(CROQUIS!$C$106=1,CROQUIS!$C$146=1)),((CROQUIS!$C$161+(IF(CROQUIS!$C$92="X",CHOOSE(IF(INT(($A192-1)/5)&gt;MAX((MAX(1,INT(((CROQUIS!$C$97)-CROQUIS!$C$107)/MAX((CROQUIS!$C$141*MAX(1,CEILING((INT(((CROQUIS!$C$97)-CROQUIS!$C$107)/MAX(CROQUIS!$C$141,1))+1)/80,1))),1))+1))-1,0),0,MOD($A192-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ROQUIS!$C$159)+IF(CROQUIS!$C$92="X",0,0.8)),-1000)</f>
        <v>-1000</v>
      </c>
      <c r="BZ192">
        <f>IF(AND(CROQUIS!$C$88=1,CROQUIS!$C$91=1,CROQUIS!$C$133&gt;0),((CROQUIS!$C$160+(IF(CROQUIS!$C$92="X",CHOOSE(IF(INT(($A192-1)/5)&gt;MAX((MAX(1,INT(((CROQUIS!$C$98)-CROQUIS!$C$107)/MAX((CROQUIS!$C$133*MAX(1,CEILING((INT(((CROQUIS!$C$98)-CROQUIS!$C$107)/MAX(CROQUIS!$C$133,1))+1)/80,1))),1))+1))-1,0),0,MOD($A192-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CA192">
        <f>IF(AND(CROQUIS!$C$88=1,CROQUIS!$C$91=1,CROQUIS!$C$133&gt;0),((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3">
      <c r="A193" t="n">
        <v>186</v>
      </c>
      <c r="BN193">
        <f>IF(AND(CROQUIS!$C$88=1,CROQUIS!$C$129&gt;0),((CROQUIS!$C$160+(IF(CROQUIS!$C$92="X",CHOOSE(IF(INT(($A193-1)/5)&gt;MAX((MAX(1,INT(((CROQUIS!$C$98)-CROQUIS!$C$107)/MAX((CROQUIS!$C$129*MAX(1,CEILING((INT(((CROQUIS!$C$98)-CROQUIS!$C$107)/MAX(CROQUIS!$C$129,1))+1)/80,1))),1))+1))-1,0),0,MOD($A193-1,5))+1,0,2,CROQUIS!$C$97-2,2,0),((CROQUIS!$C$107/2+(((CROQUIS!$C$98)-CROQUIS!$C$107)-(MAX(1,INT(((CROQUIS!$C$98)-CROQUIS!$C$107)/MAX((CROQUIS!$C$129*MAX(1,CEILING((INT(((CROQUIS!$C$98)-CROQUIS!$C$107)/MAX(CROQUIS!$C$129,1))+1)/80,1))),1))+1)-1)*(CROQUIS!$C$129*MAX(1,CEILING((INT(((CROQUIS!$C$98)-CROQUIS!$C$107)/MAX(CROQUIS!$C$129,1))+1)/80,1))))/2)+MIN(INT(($A193-1)/5),MAX((MAX(1,INT(((CROQUIS!$C$98)-CROQUIS!$C$107)/MAX((CROQUIS!$C$129*MAX(1,CEILING((INT(((CROQUIS!$C$98)-CROQUIS!$C$107)/MAX(CROQUIS!$C$129,1))+1)/80,1))),1))+1))-1,0))*(CROQUIS!$C$129*MAX(1,CEILING((INT(((CROQUIS!$C$98)-CROQUIS!$C$107)/MAX(CROQUIS!$C$129,1))+1)/80,1))))))*CROQUIS!$C$159)+IF(CROQUIS!$C$92="X",0,0)),-1000)</f>
        <v>-1000</v>
      </c>
      <c r="BO193">
        <f>IF(AND(CROQUIS!$C$88=1,CROQUIS!$C$129&gt;0),((CROQUIS!$C$161+(IF(CROQUIS!$C$92="X",((CROQUIS!$C$107/2+(((CROQUIS!$C$98)-CROQUIS!$C$107)-(MAX(1,INT(((CROQUIS!$C$98)-CROQUIS!$C$107)/MAX((CROQUIS!$C$129*MAX(1,CEILING((INT(((CROQUIS!$C$98)-CROQUIS!$C$107)/MAX(CROQUIS!$C$129,1))+1)/80,1))),1))+1)-1)*(CROQUIS!$C$129*MAX(1,CEILING((INT(((CROQUIS!$C$98)-CROQUIS!$C$107)/MAX(CROQUIS!$C$129,1))+1)/80,1))))/2)+MIN(INT(($A193-1)/5),MAX((MAX(1,INT(((CROQUIS!$C$98)-CROQUIS!$C$107)/MAX((CROQUIS!$C$129*MAX(1,CEILING((INT(((CROQUIS!$C$98)-CROQUIS!$C$107)/MAX(CROQUIS!$C$129,1))+1)/80,1))),1))+1))-1,0))*(CROQUIS!$C$129*MAX(1,CEILING((INT(((CROQUIS!$C$98)-CROQUIS!$C$107)/MAX(CROQUIS!$C$129,1))+1)/80,1)))),CHOOSE(IF(INT(($A193-1)/5)&gt;MAX((MAX(1,INT(((CROQUIS!$C$98)-CROQUIS!$C$107)/MAX((CROQUIS!$C$129*MAX(1,CEILING((INT(((CROQUIS!$C$98)-CROQUIS!$C$107)/MAX(CROQUIS!$C$129,1))+1)/80,1))),1))+1))-1,0),0,MOD($A193-1,5))+1,0,2,CROQUIS!$C$97-2,2,0)))*CROQUIS!$C$159)+IF(CROQUIS!$C$92="X",0,0)),-1000)</f>
        <v>-1000</v>
      </c>
      <c r="BP193">
        <f>IF(AND(CROQUIS!$C$88=1,CROQUIS!$C$137&gt;0),((CROQUIS!$C$160+(IF(CROQUIS!$C$92="X",((CROQUIS!$C$107/2+(((CROQUIS!$C$97)-CROQUIS!$C$107)-(MAX(1,INT(((CROQUIS!$C$97)-CROQUIS!$C$107)/MAX((CROQUIS!$C$137*MAX(1,CEILING((INT(((CROQUIS!$C$97)-CROQUIS!$C$107)/MAX(CROQUIS!$C$137,1))+1)/80,1))),1))+1)-1)*(CROQUIS!$C$137*MAX(1,CEILING((INT(((CROQUIS!$C$97)-CROQUIS!$C$107)/MAX(CROQUIS!$C$137,1))+1)/80,1))))/2)+MIN(INT(($A193-1)/5),MAX((MAX(1,INT(((CROQUIS!$C$97)-CROQUIS!$C$107)/MAX((CROQUIS!$C$137*MAX(1,CEILING((INT(((CROQUIS!$C$97)-CROQUIS!$C$107)/MAX(CROQUIS!$C$137,1))+1)/80,1))),1))+1))-1,0))*(CROQUIS!$C$137*MAX(1,CEILING((INT(((CROQUIS!$C$97)-CROQUIS!$C$107)/MAX(CROQUIS!$C$137,1))+1)/80,1)))),CHOOSE(IF(INT(($A193-1)/5)&gt;MAX((MAX(1,INT(((CROQUIS!$C$97)-CROQUIS!$C$107)/MAX((CROQUIS!$C$137*MAX(1,CEILING((INT(((CROQUIS!$C$97)-CROQUIS!$C$107)/MAX(CROQUIS!$C$137,1))+1)/80,1))),1))+1))-1,0),0,MOD($A193-1,5))+1,0,2,CROQUIS!$C$98-2,2,0)))*CROQUIS!$C$159)+IF(CROQUIS!$C$92="X",0,0)),-1000)</f>
        <v>-1000</v>
      </c>
      <c r="BQ193">
        <f>IF(AND(CROQUIS!$C$88=1,CROQUIS!$C$137&gt;0),((CROQUIS!$C$161+(IF(CROQUIS!$C$92="X",CHOOSE(IF(INT(($A193-1)/5)&gt;MAX((MAX(1,INT(((CROQUIS!$C$97)-CROQUIS!$C$107)/MAX((CROQUIS!$C$137*MAX(1,CEILING((INT(((CROQUIS!$C$97)-CROQUIS!$C$107)/MAX(CROQUIS!$C$137,1))+1)/80,1))),1))+1))-1,0),0,MOD($A193-1,5))+1,0,2,CROQUIS!$C$98-2,2,0),((CROQUIS!$C$107/2+(((CROQUIS!$C$97)-CROQUIS!$C$107)-(MAX(1,INT(((CROQUIS!$C$97)-CROQUIS!$C$107)/MAX((CROQUIS!$C$137*MAX(1,CEILING((INT(((CROQUIS!$C$97)-CROQUIS!$C$107)/MAX(CROQUIS!$C$137,1))+1)/80,1))),1))+1)-1)*(CROQUIS!$C$137*MAX(1,CEILING((INT(((CROQUIS!$C$97)-CROQUIS!$C$107)/MAX(CROQUIS!$C$137,1))+1)/80,1))))/2)+MIN(INT(($A193-1)/5),MAX((MAX(1,INT(((CROQUIS!$C$97)-CROQUIS!$C$107)/MAX((CROQUIS!$C$137*MAX(1,CEILING((INT(((CROQUIS!$C$97)-CROQUIS!$C$107)/MAX(CROQUIS!$C$137,1))+1)/80,1))),1))+1))-1,0))*(CROQUIS!$C$137*MAX(1,CEILING((INT(((CROQUIS!$C$97)-CROQUIS!$C$107)/MAX(CROQUIS!$C$137,1))+1)/80,1))))))*CROQUIS!$C$159)+IF(CROQUIS!$C$92="X",0,0)),-1000)</f>
        <v>-1000</v>
      </c>
      <c r="BR193">
        <f>IF(AND(CROQUIS!$C$88=1,CROQUIS!$C$91=0,CROQUIS!$C$133&gt;0,OR(CROQUIS!$C$103=1,CROQUIS!$C$145=1)),((CROQUIS!$C$160+(IF(CROQUIS!$C$92="X",CHOOSE(IF(INT(($A193-1)/5)&gt;MAX((MAX(1,INT(((CROQUIS!$C$98)-CROQUIS!$C$107)/MAX((CROQUIS!$C$133*MAX(1,CEILING((INT(((CROQUIS!$C$98)-CROQUIS!$C$107)/MAX(CROQUIS!$C$133,1))+1)/80,1))),1))+1))-1,0),0,MOD($A193-1,5))+1,0,IF(CROQUIS!$C$103=1,-12,2),CROQUIS!$C$107/2+CROQUIS!$C$143,IF(CROQUIS!$C$103=1,-12,2),0),((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BS1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+1,0,IF(CROQUIS!$C$103=1,-12,2),CROQUIS!$C$107/2+CROQUIS!$C$143,IF(CROQUIS!$C$103=1,-12,2),0)))*CROQUIS!$C$159)+IF(CROQUIS!$C$92="X",0.8,0)),-1000)</f>
        <v>-1000</v>
      </c>
      <c r="BT193">
        <f>IF(AND(CROQUIS!$C$88=1,CROQUIS!$C$91=0,CROQUIS!$C$133&gt;0,OR(CROQUIS!$C$104=1,CROQUIS!$C$145=1)),((CROQUIS!$C$160+(IF(CROQUIS!$C$92="X",CHOOSE(IF(INT(($A193-1)/5)&gt;MAX((MAX(1,INT(((CROQUIS!$C$98)-CROQUIS!$C$107)/MAX((CROQUIS!$C$133*MAX(1,CEILING((INT(((CROQUIS!$C$98)-CROQUIS!$C$107)/MAX(CROQUIS!$C$133,1))+1)/80,1))),1))+1))-1,0),0,MOD($A193-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BU1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CROQUIS!$C$97,CROQUIS!$C$97-CROQUIS!$C$107/2-CROQUIS!$C$143,IF(CROQUIS!$C$104=1,CROQUIS!$C$97+12,CROQUIS!$C$97-2),CROQUIS!$C$97-CROQUIS!$C$107/2-CROQUIS!$C$143,CROQUIS!$C$97)))*CROQUIS!$C$159)+IF(CROQUIS!$C$92="X",0.8,0)),-1000)</f>
        <v>-1000</v>
      </c>
      <c r="BV1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HOOSE(IF(INT(($A193-1)/5)&gt;MAX((MAX(1,INT(((CROQUIS!$C$97)-CROQUIS!$C$107)/MAX((CROQUIS!$C$141*MAX(1,CEILING((INT(((CROQUIS!$C$97)-CROQUIS!$C$107)/MAX(CROQUIS!$C$141,1))+1)/80,1))),1))+1))-1,0),0,MOD($A193-1,5))+1,0,IF(CROQUIS!$C$105=1,-12,2),CROQUIS!$C$107/2+CROQUIS!$C$144,IF(CROQUIS!$C$105=1,-12,2),0)))*CROQUIS!$C$159)+IF(CROQUIS!$C$92="X",0.8,0)),-1000)</f>
        <v>-1000</v>
      </c>
      <c r="BW193">
        <f>IF(AND(CROQUIS!$C$88=1,CROQUIS!$C$91=0,CROQUIS!$C$141&gt;0,OR(CROQUIS!$C$105=1,CROQUIS!$C$146=1)),((CROQUIS!$C$161+(IF(CROQUIS!$C$92="X",CHOOSE(IF(INT(($A193-1)/5)&gt;MAX((MAX(1,INT(((CROQUIS!$C$97)-CROQUIS!$C$107)/MAX((CROQUIS!$C$141*MAX(1,CEILING((INT(((CROQUIS!$C$97)-CROQUIS!$C$107)/MAX(CROQUIS!$C$141,1))+1)/80,1))),1))+1))-1,0),0,MOD($A193-1,5))+1,0,IF(CROQUIS!$C$105=1,-12,2),CROQUIS!$C$107/2+CROQUIS!$C$144,IF(CROQUIS!$C$105=1,-12,2),0),((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ROQUIS!$C$159)+IF(CROQUIS!$C$92="X",0,0.8)),-1000)</f>
        <v>-1000</v>
      </c>
      <c r="BX1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HOOSE(IF(INT(($A193-1)/5)&gt;MAX((MAX(1,INT(((CROQUIS!$C$97)-CROQUIS!$C$107)/MAX((CROQUIS!$C$141*MAX(1,CEILING((INT(((CROQUIS!$C$97)-CROQUIS!$C$107)/MAX(CROQUIS!$C$141,1))+1)/80,1))),1))+1))-1,0),0,MOD($A193-1,5))+1,CROQUIS!$C$98,CROQUIS!$C$98-CROQUIS!$C$107/2-CROQUIS!$C$144,IF(CROQUIS!$C$106=1,CROQUIS!$C$98+12,CROQUIS!$C$98-2),CROQUIS!$C$98-CROQUIS!$C$107/2-CROQUIS!$C$144,CROQUIS!$C$98)))*CROQUIS!$C$159)+IF(CROQUIS!$C$92="X",0.8,0)),-1000)</f>
        <v>-1000</v>
      </c>
      <c r="BY193">
        <f>IF(AND(CROQUIS!$C$88=1,CROQUIS!$C$91=0,CROQUIS!$C$141&gt;0,OR(CROQUIS!$C$106=1,CROQUIS!$C$146=1)),((CROQUIS!$C$161+(IF(CROQUIS!$C$92="X",CHOOSE(IF(INT(($A193-1)/5)&gt;MAX((MAX(1,INT(((CROQUIS!$C$97)-CROQUIS!$C$107)/MAX((CROQUIS!$C$141*MAX(1,CEILING((INT(((CROQUIS!$C$97)-CROQUIS!$C$107)/MAX(CROQUIS!$C$141,1))+1)/80,1))),1))+1))-1,0),0,MOD($A193-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ROQUIS!$C$159)+IF(CROQUIS!$C$92="X",0,0.8)),-1000)</f>
        <v>-1000</v>
      </c>
      <c r="BZ193">
        <f>IF(AND(CROQUIS!$C$88=1,CROQUIS!$C$91=1,CROQUIS!$C$133&gt;0),((CROQUIS!$C$160+(IF(CROQUIS!$C$92="X",CHOOSE(IF(INT(($A193-1)/5)&gt;MAX((MAX(1,INT(((CROQUIS!$C$98)-CROQUIS!$C$107)/MAX((CROQUIS!$C$133*MAX(1,CEILING((INT(((CROQUIS!$C$98)-CROQUIS!$C$107)/MAX(CROQUIS!$C$133,1))+1)/80,1))),1))+1))-1,0),0,MOD($A193-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CA193">
        <f>IF(AND(CROQUIS!$C$88=1,CROQUIS!$C$91=1,CROQUIS!$C$133&gt;0),((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4">
      <c r="A194" t="n">
        <v>187</v>
      </c>
      <c r="BN194">
        <f>IF(AND(CROQUIS!$C$88=1,CROQUIS!$C$129&gt;0),((CROQUIS!$C$160+(IF(CROQUIS!$C$92="X",CHOOSE(IF(INT(($A194-1)/5)&gt;MAX((MAX(1,INT(((CROQUIS!$C$98)-CROQUIS!$C$107)/MAX((CROQUIS!$C$129*MAX(1,CEILING((INT(((CROQUIS!$C$98)-CROQUIS!$C$107)/MAX(CROQUIS!$C$129,1))+1)/80,1))),1))+1))-1,0),0,MOD($A194-1,5))+1,0,2,CROQUIS!$C$97-2,2,0),((CROQUIS!$C$107/2+(((CROQUIS!$C$98)-CROQUIS!$C$107)-(MAX(1,INT(((CROQUIS!$C$98)-CROQUIS!$C$107)/MAX((CROQUIS!$C$129*MAX(1,CEILING((INT(((CROQUIS!$C$98)-CROQUIS!$C$107)/MAX(CROQUIS!$C$129,1))+1)/80,1))),1))+1)-1)*(CROQUIS!$C$129*MAX(1,CEILING((INT(((CROQUIS!$C$98)-CROQUIS!$C$107)/MAX(CROQUIS!$C$129,1))+1)/80,1))))/2)+MIN(INT(($A194-1)/5),MAX((MAX(1,INT(((CROQUIS!$C$98)-CROQUIS!$C$107)/MAX((CROQUIS!$C$129*MAX(1,CEILING((INT(((CROQUIS!$C$98)-CROQUIS!$C$107)/MAX(CROQUIS!$C$129,1))+1)/80,1))),1))+1))-1,0))*(CROQUIS!$C$129*MAX(1,CEILING((INT(((CROQUIS!$C$98)-CROQUIS!$C$107)/MAX(CROQUIS!$C$129,1))+1)/80,1))))))*CROQUIS!$C$159)+IF(CROQUIS!$C$92="X",0,0)),-1000)</f>
        <v>-1000</v>
      </c>
      <c r="BO194">
        <f>IF(AND(CROQUIS!$C$88=1,CROQUIS!$C$129&gt;0),((CROQUIS!$C$161+(IF(CROQUIS!$C$92="X",((CROQUIS!$C$107/2+(((CROQUIS!$C$98)-CROQUIS!$C$107)-(MAX(1,INT(((CROQUIS!$C$98)-CROQUIS!$C$107)/MAX((CROQUIS!$C$129*MAX(1,CEILING((INT(((CROQUIS!$C$98)-CROQUIS!$C$107)/MAX(CROQUIS!$C$129,1))+1)/80,1))),1))+1)-1)*(CROQUIS!$C$129*MAX(1,CEILING((INT(((CROQUIS!$C$98)-CROQUIS!$C$107)/MAX(CROQUIS!$C$129,1))+1)/80,1))))/2)+MIN(INT(($A194-1)/5),MAX((MAX(1,INT(((CROQUIS!$C$98)-CROQUIS!$C$107)/MAX((CROQUIS!$C$129*MAX(1,CEILING((INT(((CROQUIS!$C$98)-CROQUIS!$C$107)/MAX(CROQUIS!$C$129,1))+1)/80,1))),1))+1))-1,0))*(CROQUIS!$C$129*MAX(1,CEILING((INT(((CROQUIS!$C$98)-CROQUIS!$C$107)/MAX(CROQUIS!$C$129,1))+1)/80,1)))),CHOOSE(IF(INT(($A194-1)/5)&gt;MAX((MAX(1,INT(((CROQUIS!$C$98)-CROQUIS!$C$107)/MAX((CROQUIS!$C$129*MAX(1,CEILING((INT(((CROQUIS!$C$98)-CROQUIS!$C$107)/MAX(CROQUIS!$C$129,1))+1)/80,1))),1))+1))-1,0),0,MOD($A194-1,5))+1,0,2,CROQUIS!$C$97-2,2,0)))*CROQUIS!$C$159)+IF(CROQUIS!$C$92="X",0,0)),-1000)</f>
        <v>-1000</v>
      </c>
      <c r="BP194">
        <f>IF(AND(CROQUIS!$C$88=1,CROQUIS!$C$137&gt;0),((CROQUIS!$C$160+(IF(CROQUIS!$C$92="X",((CROQUIS!$C$107/2+(((CROQUIS!$C$97)-CROQUIS!$C$107)-(MAX(1,INT(((CROQUIS!$C$97)-CROQUIS!$C$107)/MAX((CROQUIS!$C$137*MAX(1,CEILING((INT(((CROQUIS!$C$97)-CROQUIS!$C$107)/MAX(CROQUIS!$C$137,1))+1)/80,1))),1))+1)-1)*(CROQUIS!$C$137*MAX(1,CEILING((INT(((CROQUIS!$C$97)-CROQUIS!$C$107)/MAX(CROQUIS!$C$137,1))+1)/80,1))))/2)+MIN(INT(($A194-1)/5),MAX((MAX(1,INT(((CROQUIS!$C$97)-CROQUIS!$C$107)/MAX((CROQUIS!$C$137*MAX(1,CEILING((INT(((CROQUIS!$C$97)-CROQUIS!$C$107)/MAX(CROQUIS!$C$137,1))+1)/80,1))),1))+1))-1,0))*(CROQUIS!$C$137*MAX(1,CEILING((INT(((CROQUIS!$C$97)-CROQUIS!$C$107)/MAX(CROQUIS!$C$137,1))+1)/80,1)))),CHOOSE(IF(INT(($A194-1)/5)&gt;MAX((MAX(1,INT(((CROQUIS!$C$97)-CROQUIS!$C$107)/MAX((CROQUIS!$C$137*MAX(1,CEILING((INT(((CROQUIS!$C$97)-CROQUIS!$C$107)/MAX(CROQUIS!$C$137,1))+1)/80,1))),1))+1))-1,0),0,MOD($A194-1,5))+1,0,2,CROQUIS!$C$98-2,2,0)))*CROQUIS!$C$159)+IF(CROQUIS!$C$92="X",0,0)),-1000)</f>
        <v>-1000</v>
      </c>
      <c r="BQ194">
        <f>IF(AND(CROQUIS!$C$88=1,CROQUIS!$C$137&gt;0),((CROQUIS!$C$161+(IF(CROQUIS!$C$92="X",CHOOSE(IF(INT(($A194-1)/5)&gt;MAX((MAX(1,INT(((CROQUIS!$C$97)-CROQUIS!$C$107)/MAX((CROQUIS!$C$137*MAX(1,CEILING((INT(((CROQUIS!$C$97)-CROQUIS!$C$107)/MAX(CROQUIS!$C$137,1))+1)/80,1))),1))+1))-1,0),0,MOD($A194-1,5))+1,0,2,CROQUIS!$C$98-2,2,0),((CROQUIS!$C$107/2+(((CROQUIS!$C$97)-CROQUIS!$C$107)-(MAX(1,INT(((CROQUIS!$C$97)-CROQUIS!$C$107)/MAX((CROQUIS!$C$137*MAX(1,CEILING((INT(((CROQUIS!$C$97)-CROQUIS!$C$107)/MAX(CROQUIS!$C$137,1))+1)/80,1))),1))+1)-1)*(CROQUIS!$C$137*MAX(1,CEILING((INT(((CROQUIS!$C$97)-CROQUIS!$C$107)/MAX(CROQUIS!$C$137,1))+1)/80,1))))/2)+MIN(INT(($A194-1)/5),MAX((MAX(1,INT(((CROQUIS!$C$97)-CROQUIS!$C$107)/MAX((CROQUIS!$C$137*MAX(1,CEILING((INT(((CROQUIS!$C$97)-CROQUIS!$C$107)/MAX(CROQUIS!$C$137,1))+1)/80,1))),1))+1))-1,0))*(CROQUIS!$C$137*MAX(1,CEILING((INT(((CROQUIS!$C$97)-CROQUIS!$C$107)/MAX(CROQUIS!$C$137,1))+1)/80,1))))))*CROQUIS!$C$159)+IF(CROQUIS!$C$92="X",0,0)),-1000)</f>
        <v>-1000</v>
      </c>
      <c r="BR194">
        <f>IF(AND(CROQUIS!$C$88=1,CROQUIS!$C$91=0,CROQUIS!$C$133&gt;0,OR(CROQUIS!$C$103=1,CROQUIS!$C$145=1)),((CROQUIS!$C$160+(IF(CROQUIS!$C$92="X",CHOOSE(IF(INT(($A194-1)/5)&gt;MAX((MAX(1,INT(((CROQUIS!$C$98)-CROQUIS!$C$107)/MAX((CROQUIS!$C$133*MAX(1,CEILING((INT(((CROQUIS!$C$98)-CROQUIS!$C$107)/MAX(CROQUIS!$C$133,1))+1)/80,1))),1))+1))-1,0),0,MOD($A194-1,5))+1,0,IF(CROQUIS!$C$103=1,-12,2),CROQUIS!$C$107/2+CROQUIS!$C$143,IF(CROQUIS!$C$103=1,-12,2),0),((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BS1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+1,0,IF(CROQUIS!$C$103=1,-12,2),CROQUIS!$C$107/2+CROQUIS!$C$143,IF(CROQUIS!$C$103=1,-12,2),0)))*CROQUIS!$C$159)+IF(CROQUIS!$C$92="X",0.8,0)),-1000)</f>
        <v>-1000</v>
      </c>
      <c r="BT194">
        <f>IF(AND(CROQUIS!$C$88=1,CROQUIS!$C$91=0,CROQUIS!$C$133&gt;0,OR(CROQUIS!$C$104=1,CROQUIS!$C$145=1)),((CROQUIS!$C$160+(IF(CROQUIS!$C$92="X",CHOOSE(IF(INT(($A194-1)/5)&gt;MAX((MAX(1,INT(((CROQUIS!$C$98)-CROQUIS!$C$107)/MAX((CROQUIS!$C$133*MAX(1,CEILING((INT(((CROQUIS!$C$98)-CROQUIS!$C$107)/MAX(CROQUIS!$C$133,1))+1)/80,1))),1))+1))-1,0),0,MOD($A194-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BU1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CROQUIS!$C$97,CROQUIS!$C$97-CROQUIS!$C$107/2-CROQUIS!$C$143,IF(CROQUIS!$C$104=1,CROQUIS!$C$97+12,CROQUIS!$C$97-2),CROQUIS!$C$97-CROQUIS!$C$107/2-CROQUIS!$C$143,CROQUIS!$C$97)))*CROQUIS!$C$159)+IF(CROQUIS!$C$92="X",0.8,0)),-1000)</f>
        <v>-1000</v>
      </c>
      <c r="BV1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HOOSE(IF(INT(($A194-1)/5)&gt;MAX((MAX(1,INT(((CROQUIS!$C$97)-CROQUIS!$C$107)/MAX((CROQUIS!$C$141*MAX(1,CEILING((INT(((CROQUIS!$C$97)-CROQUIS!$C$107)/MAX(CROQUIS!$C$141,1))+1)/80,1))),1))+1))-1,0),0,MOD($A194-1,5))+1,0,IF(CROQUIS!$C$105=1,-12,2),CROQUIS!$C$107/2+CROQUIS!$C$144,IF(CROQUIS!$C$105=1,-12,2),0)))*CROQUIS!$C$159)+IF(CROQUIS!$C$92="X",0.8,0)),-1000)</f>
        <v>-1000</v>
      </c>
      <c r="BW194">
        <f>IF(AND(CROQUIS!$C$88=1,CROQUIS!$C$91=0,CROQUIS!$C$141&gt;0,OR(CROQUIS!$C$105=1,CROQUIS!$C$146=1)),((CROQUIS!$C$161+(IF(CROQUIS!$C$92="X",CHOOSE(IF(INT(($A194-1)/5)&gt;MAX((MAX(1,INT(((CROQUIS!$C$97)-CROQUIS!$C$107)/MAX((CROQUIS!$C$141*MAX(1,CEILING((INT(((CROQUIS!$C$97)-CROQUIS!$C$107)/MAX(CROQUIS!$C$141,1))+1)/80,1))),1))+1))-1,0),0,MOD($A194-1,5))+1,0,IF(CROQUIS!$C$105=1,-12,2),CROQUIS!$C$107/2+CROQUIS!$C$144,IF(CROQUIS!$C$105=1,-12,2),0),((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ROQUIS!$C$159)+IF(CROQUIS!$C$92="X",0,0.8)),-1000)</f>
        <v>-1000</v>
      </c>
      <c r="BX1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HOOSE(IF(INT(($A194-1)/5)&gt;MAX((MAX(1,INT(((CROQUIS!$C$97)-CROQUIS!$C$107)/MAX((CROQUIS!$C$141*MAX(1,CEILING((INT(((CROQUIS!$C$97)-CROQUIS!$C$107)/MAX(CROQUIS!$C$141,1))+1)/80,1))),1))+1))-1,0),0,MOD($A194-1,5))+1,CROQUIS!$C$98,CROQUIS!$C$98-CROQUIS!$C$107/2-CROQUIS!$C$144,IF(CROQUIS!$C$106=1,CROQUIS!$C$98+12,CROQUIS!$C$98-2),CROQUIS!$C$98-CROQUIS!$C$107/2-CROQUIS!$C$144,CROQUIS!$C$98)))*CROQUIS!$C$159)+IF(CROQUIS!$C$92="X",0.8,0)),-1000)</f>
        <v>-1000</v>
      </c>
      <c r="BY194">
        <f>IF(AND(CROQUIS!$C$88=1,CROQUIS!$C$91=0,CROQUIS!$C$141&gt;0,OR(CROQUIS!$C$106=1,CROQUIS!$C$146=1)),((CROQUIS!$C$161+(IF(CROQUIS!$C$92="X",CHOOSE(IF(INT(($A194-1)/5)&gt;MAX((MAX(1,INT(((CROQUIS!$C$97)-CROQUIS!$C$107)/MAX((CROQUIS!$C$141*MAX(1,CEILING((INT(((CROQUIS!$C$97)-CROQUIS!$C$107)/MAX(CROQUIS!$C$141,1))+1)/80,1))),1))+1))-1,0),0,MOD($A194-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ROQUIS!$C$159)+IF(CROQUIS!$C$92="X",0,0.8)),-1000)</f>
        <v>-1000</v>
      </c>
      <c r="BZ194">
        <f>IF(AND(CROQUIS!$C$88=1,CROQUIS!$C$91=1,CROQUIS!$C$133&gt;0),((CROQUIS!$C$160+(IF(CROQUIS!$C$92="X",CHOOSE(IF(INT(($A194-1)/5)&gt;MAX((MAX(1,INT(((CROQUIS!$C$98)-CROQUIS!$C$107)/MAX((CROQUIS!$C$133*MAX(1,CEILING((INT(((CROQUIS!$C$98)-CROQUIS!$C$107)/MAX(CROQUIS!$C$133,1))+1)/80,1))),1))+1))-1,0),0,MOD($A194-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CA194">
        <f>IF(AND(CROQUIS!$C$88=1,CROQUIS!$C$91=1,CROQUIS!$C$133&gt;0),((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5">
      <c r="A195" t="n">
        <v>188</v>
      </c>
      <c r="BN195">
        <f>IF(AND(CROQUIS!$C$88=1,CROQUIS!$C$129&gt;0),((CROQUIS!$C$160+(IF(CROQUIS!$C$92="X",CHOOSE(IF(INT(($A195-1)/5)&gt;MAX((MAX(1,INT(((CROQUIS!$C$98)-CROQUIS!$C$107)/MAX((CROQUIS!$C$129*MAX(1,CEILING((INT(((CROQUIS!$C$98)-CROQUIS!$C$107)/MAX(CROQUIS!$C$129,1))+1)/80,1))),1))+1))-1,0),0,MOD($A195-1,5))+1,0,2,CROQUIS!$C$97-2,2,0),((CROQUIS!$C$107/2+(((CROQUIS!$C$98)-CROQUIS!$C$107)-(MAX(1,INT(((CROQUIS!$C$98)-CROQUIS!$C$107)/MAX((CROQUIS!$C$129*MAX(1,CEILING((INT(((CROQUIS!$C$98)-CROQUIS!$C$107)/MAX(CROQUIS!$C$129,1))+1)/80,1))),1))+1)-1)*(CROQUIS!$C$129*MAX(1,CEILING((INT(((CROQUIS!$C$98)-CROQUIS!$C$107)/MAX(CROQUIS!$C$129,1))+1)/80,1))))/2)+MIN(INT(($A195-1)/5),MAX((MAX(1,INT(((CROQUIS!$C$98)-CROQUIS!$C$107)/MAX((CROQUIS!$C$129*MAX(1,CEILING((INT(((CROQUIS!$C$98)-CROQUIS!$C$107)/MAX(CROQUIS!$C$129,1))+1)/80,1))),1))+1))-1,0))*(CROQUIS!$C$129*MAX(1,CEILING((INT(((CROQUIS!$C$98)-CROQUIS!$C$107)/MAX(CROQUIS!$C$129,1))+1)/80,1))))))*CROQUIS!$C$159)+IF(CROQUIS!$C$92="X",0,0)),-1000)</f>
        <v>-1000</v>
      </c>
      <c r="BO195">
        <f>IF(AND(CROQUIS!$C$88=1,CROQUIS!$C$129&gt;0),((CROQUIS!$C$161+(IF(CROQUIS!$C$92="X",((CROQUIS!$C$107/2+(((CROQUIS!$C$98)-CROQUIS!$C$107)-(MAX(1,INT(((CROQUIS!$C$98)-CROQUIS!$C$107)/MAX((CROQUIS!$C$129*MAX(1,CEILING((INT(((CROQUIS!$C$98)-CROQUIS!$C$107)/MAX(CROQUIS!$C$129,1))+1)/80,1))),1))+1)-1)*(CROQUIS!$C$129*MAX(1,CEILING((INT(((CROQUIS!$C$98)-CROQUIS!$C$107)/MAX(CROQUIS!$C$129,1))+1)/80,1))))/2)+MIN(INT(($A195-1)/5),MAX((MAX(1,INT(((CROQUIS!$C$98)-CROQUIS!$C$107)/MAX((CROQUIS!$C$129*MAX(1,CEILING((INT(((CROQUIS!$C$98)-CROQUIS!$C$107)/MAX(CROQUIS!$C$129,1))+1)/80,1))),1))+1))-1,0))*(CROQUIS!$C$129*MAX(1,CEILING((INT(((CROQUIS!$C$98)-CROQUIS!$C$107)/MAX(CROQUIS!$C$129,1))+1)/80,1)))),CHOOSE(IF(INT(($A195-1)/5)&gt;MAX((MAX(1,INT(((CROQUIS!$C$98)-CROQUIS!$C$107)/MAX((CROQUIS!$C$129*MAX(1,CEILING((INT(((CROQUIS!$C$98)-CROQUIS!$C$107)/MAX(CROQUIS!$C$129,1))+1)/80,1))),1))+1))-1,0),0,MOD($A195-1,5))+1,0,2,CROQUIS!$C$97-2,2,0)))*CROQUIS!$C$159)+IF(CROQUIS!$C$92="X",0,0)),-1000)</f>
        <v>-1000</v>
      </c>
      <c r="BP195">
        <f>IF(AND(CROQUIS!$C$88=1,CROQUIS!$C$137&gt;0),((CROQUIS!$C$160+(IF(CROQUIS!$C$92="X",((CROQUIS!$C$107/2+(((CROQUIS!$C$97)-CROQUIS!$C$107)-(MAX(1,INT(((CROQUIS!$C$97)-CROQUIS!$C$107)/MAX((CROQUIS!$C$137*MAX(1,CEILING((INT(((CROQUIS!$C$97)-CROQUIS!$C$107)/MAX(CROQUIS!$C$137,1))+1)/80,1))),1))+1)-1)*(CROQUIS!$C$137*MAX(1,CEILING((INT(((CROQUIS!$C$97)-CROQUIS!$C$107)/MAX(CROQUIS!$C$137,1))+1)/80,1))))/2)+MIN(INT(($A195-1)/5),MAX((MAX(1,INT(((CROQUIS!$C$97)-CROQUIS!$C$107)/MAX((CROQUIS!$C$137*MAX(1,CEILING((INT(((CROQUIS!$C$97)-CROQUIS!$C$107)/MAX(CROQUIS!$C$137,1))+1)/80,1))),1))+1))-1,0))*(CROQUIS!$C$137*MAX(1,CEILING((INT(((CROQUIS!$C$97)-CROQUIS!$C$107)/MAX(CROQUIS!$C$137,1))+1)/80,1)))),CHOOSE(IF(INT(($A195-1)/5)&gt;MAX((MAX(1,INT(((CROQUIS!$C$97)-CROQUIS!$C$107)/MAX((CROQUIS!$C$137*MAX(1,CEILING((INT(((CROQUIS!$C$97)-CROQUIS!$C$107)/MAX(CROQUIS!$C$137,1))+1)/80,1))),1))+1))-1,0),0,MOD($A195-1,5))+1,0,2,CROQUIS!$C$98-2,2,0)))*CROQUIS!$C$159)+IF(CROQUIS!$C$92="X",0,0)),-1000)</f>
        <v>-1000</v>
      </c>
      <c r="BQ195">
        <f>IF(AND(CROQUIS!$C$88=1,CROQUIS!$C$137&gt;0),((CROQUIS!$C$161+(IF(CROQUIS!$C$92="X",CHOOSE(IF(INT(($A195-1)/5)&gt;MAX((MAX(1,INT(((CROQUIS!$C$97)-CROQUIS!$C$107)/MAX((CROQUIS!$C$137*MAX(1,CEILING((INT(((CROQUIS!$C$97)-CROQUIS!$C$107)/MAX(CROQUIS!$C$137,1))+1)/80,1))),1))+1))-1,0),0,MOD($A195-1,5))+1,0,2,CROQUIS!$C$98-2,2,0),((CROQUIS!$C$107/2+(((CROQUIS!$C$97)-CROQUIS!$C$107)-(MAX(1,INT(((CROQUIS!$C$97)-CROQUIS!$C$107)/MAX((CROQUIS!$C$137*MAX(1,CEILING((INT(((CROQUIS!$C$97)-CROQUIS!$C$107)/MAX(CROQUIS!$C$137,1))+1)/80,1))),1))+1)-1)*(CROQUIS!$C$137*MAX(1,CEILING((INT(((CROQUIS!$C$97)-CROQUIS!$C$107)/MAX(CROQUIS!$C$137,1))+1)/80,1))))/2)+MIN(INT(($A195-1)/5),MAX((MAX(1,INT(((CROQUIS!$C$97)-CROQUIS!$C$107)/MAX((CROQUIS!$C$137*MAX(1,CEILING((INT(((CROQUIS!$C$97)-CROQUIS!$C$107)/MAX(CROQUIS!$C$137,1))+1)/80,1))),1))+1))-1,0))*(CROQUIS!$C$137*MAX(1,CEILING((INT(((CROQUIS!$C$97)-CROQUIS!$C$107)/MAX(CROQUIS!$C$137,1))+1)/80,1))))))*CROQUIS!$C$159)+IF(CROQUIS!$C$92="X",0,0)),-1000)</f>
        <v>-1000</v>
      </c>
      <c r="BR195">
        <f>IF(AND(CROQUIS!$C$88=1,CROQUIS!$C$91=0,CROQUIS!$C$133&gt;0,OR(CROQUIS!$C$103=1,CROQUIS!$C$145=1)),((CROQUIS!$C$160+(IF(CROQUIS!$C$92="X",CHOOSE(IF(INT(($A195-1)/5)&gt;MAX((MAX(1,INT(((CROQUIS!$C$98)-CROQUIS!$C$107)/MAX((CROQUIS!$C$133*MAX(1,CEILING((INT(((CROQUIS!$C$98)-CROQUIS!$C$107)/MAX(CROQUIS!$C$133,1))+1)/80,1))),1))+1))-1,0),0,MOD($A195-1,5))+1,0,IF(CROQUIS!$C$103=1,-12,2),CROQUIS!$C$107/2+CROQUIS!$C$143,IF(CROQUIS!$C$103=1,-12,2),0),((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BS1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+1,0,IF(CROQUIS!$C$103=1,-12,2),CROQUIS!$C$107/2+CROQUIS!$C$143,IF(CROQUIS!$C$103=1,-12,2),0)))*CROQUIS!$C$159)+IF(CROQUIS!$C$92="X",0.8,0)),-1000)</f>
        <v>-1000</v>
      </c>
      <c r="BT195">
        <f>IF(AND(CROQUIS!$C$88=1,CROQUIS!$C$91=0,CROQUIS!$C$133&gt;0,OR(CROQUIS!$C$104=1,CROQUIS!$C$145=1)),((CROQUIS!$C$160+(IF(CROQUIS!$C$92="X",CHOOSE(IF(INT(($A195-1)/5)&gt;MAX((MAX(1,INT(((CROQUIS!$C$98)-CROQUIS!$C$107)/MAX((CROQUIS!$C$133*MAX(1,CEILING((INT(((CROQUIS!$C$98)-CROQUIS!$C$107)/MAX(CROQUIS!$C$133,1))+1)/80,1))),1))+1))-1,0),0,MOD($A195-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BU1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CROQUIS!$C$97,CROQUIS!$C$97-CROQUIS!$C$107/2-CROQUIS!$C$143,IF(CROQUIS!$C$104=1,CROQUIS!$C$97+12,CROQUIS!$C$97-2),CROQUIS!$C$97-CROQUIS!$C$107/2-CROQUIS!$C$143,CROQUIS!$C$97)))*CROQUIS!$C$159)+IF(CROQUIS!$C$92="X",0.8,0)),-1000)</f>
        <v>-1000</v>
      </c>
      <c r="BV1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HOOSE(IF(INT(($A195-1)/5)&gt;MAX((MAX(1,INT(((CROQUIS!$C$97)-CROQUIS!$C$107)/MAX((CROQUIS!$C$141*MAX(1,CEILING((INT(((CROQUIS!$C$97)-CROQUIS!$C$107)/MAX(CROQUIS!$C$141,1))+1)/80,1))),1))+1))-1,0),0,MOD($A195-1,5))+1,0,IF(CROQUIS!$C$105=1,-12,2),CROQUIS!$C$107/2+CROQUIS!$C$144,IF(CROQUIS!$C$105=1,-12,2),0)))*CROQUIS!$C$159)+IF(CROQUIS!$C$92="X",0.8,0)),-1000)</f>
        <v>-1000</v>
      </c>
      <c r="BW195">
        <f>IF(AND(CROQUIS!$C$88=1,CROQUIS!$C$91=0,CROQUIS!$C$141&gt;0,OR(CROQUIS!$C$105=1,CROQUIS!$C$146=1)),((CROQUIS!$C$161+(IF(CROQUIS!$C$92="X",CHOOSE(IF(INT(($A195-1)/5)&gt;MAX((MAX(1,INT(((CROQUIS!$C$97)-CROQUIS!$C$107)/MAX((CROQUIS!$C$141*MAX(1,CEILING((INT(((CROQUIS!$C$97)-CROQUIS!$C$107)/MAX(CROQUIS!$C$141,1))+1)/80,1))),1))+1))-1,0),0,MOD($A195-1,5))+1,0,IF(CROQUIS!$C$105=1,-12,2),CROQUIS!$C$107/2+CROQUIS!$C$144,IF(CROQUIS!$C$105=1,-12,2),0),((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ROQUIS!$C$159)+IF(CROQUIS!$C$92="X",0,0.8)),-1000)</f>
        <v>-1000</v>
      </c>
      <c r="BX1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HOOSE(IF(INT(($A195-1)/5)&gt;MAX((MAX(1,INT(((CROQUIS!$C$97)-CROQUIS!$C$107)/MAX((CROQUIS!$C$141*MAX(1,CEILING((INT(((CROQUIS!$C$97)-CROQUIS!$C$107)/MAX(CROQUIS!$C$141,1))+1)/80,1))),1))+1))-1,0),0,MOD($A195-1,5))+1,CROQUIS!$C$98,CROQUIS!$C$98-CROQUIS!$C$107/2-CROQUIS!$C$144,IF(CROQUIS!$C$106=1,CROQUIS!$C$98+12,CROQUIS!$C$98-2),CROQUIS!$C$98-CROQUIS!$C$107/2-CROQUIS!$C$144,CROQUIS!$C$98)))*CROQUIS!$C$159)+IF(CROQUIS!$C$92="X",0.8,0)),-1000)</f>
        <v>-1000</v>
      </c>
      <c r="BY195">
        <f>IF(AND(CROQUIS!$C$88=1,CROQUIS!$C$91=0,CROQUIS!$C$141&gt;0,OR(CROQUIS!$C$106=1,CROQUIS!$C$146=1)),((CROQUIS!$C$161+(IF(CROQUIS!$C$92="X",CHOOSE(IF(INT(($A195-1)/5)&gt;MAX((MAX(1,INT(((CROQUIS!$C$97)-CROQUIS!$C$107)/MAX((CROQUIS!$C$141*MAX(1,CEILING((INT(((CROQUIS!$C$97)-CROQUIS!$C$107)/MAX(CROQUIS!$C$141,1))+1)/80,1))),1))+1))-1,0),0,MOD($A195-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ROQUIS!$C$159)+IF(CROQUIS!$C$92="X",0,0.8)),-1000)</f>
        <v>-1000</v>
      </c>
      <c r="BZ195">
        <f>IF(AND(CROQUIS!$C$88=1,CROQUIS!$C$91=1,CROQUIS!$C$133&gt;0),((CROQUIS!$C$160+(IF(CROQUIS!$C$92="X",CHOOSE(IF(INT(($A195-1)/5)&gt;MAX((MAX(1,INT(((CROQUIS!$C$98)-CROQUIS!$C$107)/MAX((CROQUIS!$C$133*MAX(1,CEILING((INT(((CROQUIS!$C$98)-CROQUIS!$C$107)/MAX(CROQUIS!$C$133,1))+1)/80,1))),1))+1))-1,0),0,MOD($A195-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CA195">
        <f>IF(AND(CROQUIS!$C$88=1,CROQUIS!$C$91=1,CROQUIS!$C$133&gt;0),((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6">
      <c r="A196" t="n">
        <v>189</v>
      </c>
      <c r="BN196">
        <f>IF(AND(CROQUIS!$C$88=1,CROQUIS!$C$129&gt;0),((CROQUIS!$C$160+(IF(CROQUIS!$C$92="X",CHOOSE(IF(INT(($A196-1)/5)&gt;MAX((MAX(1,INT(((CROQUIS!$C$98)-CROQUIS!$C$107)/MAX((CROQUIS!$C$129*MAX(1,CEILING((INT(((CROQUIS!$C$98)-CROQUIS!$C$107)/MAX(CROQUIS!$C$129,1))+1)/80,1))),1))+1))-1,0),0,MOD($A196-1,5))+1,0,2,CROQUIS!$C$97-2,2,0),((CROQUIS!$C$107/2+(((CROQUIS!$C$98)-CROQUIS!$C$107)-(MAX(1,INT(((CROQUIS!$C$98)-CROQUIS!$C$107)/MAX((CROQUIS!$C$129*MAX(1,CEILING((INT(((CROQUIS!$C$98)-CROQUIS!$C$107)/MAX(CROQUIS!$C$129,1))+1)/80,1))),1))+1)-1)*(CROQUIS!$C$129*MAX(1,CEILING((INT(((CROQUIS!$C$98)-CROQUIS!$C$107)/MAX(CROQUIS!$C$129,1))+1)/80,1))))/2)+MIN(INT(($A196-1)/5),MAX((MAX(1,INT(((CROQUIS!$C$98)-CROQUIS!$C$107)/MAX((CROQUIS!$C$129*MAX(1,CEILING((INT(((CROQUIS!$C$98)-CROQUIS!$C$107)/MAX(CROQUIS!$C$129,1))+1)/80,1))),1))+1))-1,0))*(CROQUIS!$C$129*MAX(1,CEILING((INT(((CROQUIS!$C$98)-CROQUIS!$C$107)/MAX(CROQUIS!$C$129,1))+1)/80,1))))))*CROQUIS!$C$159)+IF(CROQUIS!$C$92="X",0,0)),-1000)</f>
        <v>-1000</v>
      </c>
      <c r="BO196">
        <f>IF(AND(CROQUIS!$C$88=1,CROQUIS!$C$129&gt;0),((CROQUIS!$C$161+(IF(CROQUIS!$C$92="X",((CROQUIS!$C$107/2+(((CROQUIS!$C$98)-CROQUIS!$C$107)-(MAX(1,INT(((CROQUIS!$C$98)-CROQUIS!$C$107)/MAX((CROQUIS!$C$129*MAX(1,CEILING((INT(((CROQUIS!$C$98)-CROQUIS!$C$107)/MAX(CROQUIS!$C$129,1))+1)/80,1))),1))+1)-1)*(CROQUIS!$C$129*MAX(1,CEILING((INT(((CROQUIS!$C$98)-CROQUIS!$C$107)/MAX(CROQUIS!$C$129,1))+1)/80,1))))/2)+MIN(INT(($A196-1)/5),MAX((MAX(1,INT(((CROQUIS!$C$98)-CROQUIS!$C$107)/MAX((CROQUIS!$C$129*MAX(1,CEILING((INT(((CROQUIS!$C$98)-CROQUIS!$C$107)/MAX(CROQUIS!$C$129,1))+1)/80,1))),1))+1))-1,0))*(CROQUIS!$C$129*MAX(1,CEILING((INT(((CROQUIS!$C$98)-CROQUIS!$C$107)/MAX(CROQUIS!$C$129,1))+1)/80,1)))),CHOOSE(IF(INT(($A196-1)/5)&gt;MAX((MAX(1,INT(((CROQUIS!$C$98)-CROQUIS!$C$107)/MAX((CROQUIS!$C$129*MAX(1,CEILING((INT(((CROQUIS!$C$98)-CROQUIS!$C$107)/MAX(CROQUIS!$C$129,1))+1)/80,1))),1))+1))-1,0),0,MOD($A196-1,5))+1,0,2,CROQUIS!$C$97-2,2,0)))*CROQUIS!$C$159)+IF(CROQUIS!$C$92="X",0,0)),-1000)</f>
        <v>-1000</v>
      </c>
      <c r="BP196">
        <f>IF(AND(CROQUIS!$C$88=1,CROQUIS!$C$137&gt;0),((CROQUIS!$C$160+(IF(CROQUIS!$C$92="X",((CROQUIS!$C$107/2+(((CROQUIS!$C$97)-CROQUIS!$C$107)-(MAX(1,INT(((CROQUIS!$C$97)-CROQUIS!$C$107)/MAX((CROQUIS!$C$137*MAX(1,CEILING((INT(((CROQUIS!$C$97)-CROQUIS!$C$107)/MAX(CROQUIS!$C$137,1))+1)/80,1))),1))+1)-1)*(CROQUIS!$C$137*MAX(1,CEILING((INT(((CROQUIS!$C$97)-CROQUIS!$C$107)/MAX(CROQUIS!$C$137,1))+1)/80,1))))/2)+MIN(INT(($A196-1)/5),MAX((MAX(1,INT(((CROQUIS!$C$97)-CROQUIS!$C$107)/MAX((CROQUIS!$C$137*MAX(1,CEILING((INT(((CROQUIS!$C$97)-CROQUIS!$C$107)/MAX(CROQUIS!$C$137,1))+1)/80,1))),1))+1))-1,0))*(CROQUIS!$C$137*MAX(1,CEILING((INT(((CROQUIS!$C$97)-CROQUIS!$C$107)/MAX(CROQUIS!$C$137,1))+1)/80,1)))),CHOOSE(IF(INT(($A196-1)/5)&gt;MAX((MAX(1,INT(((CROQUIS!$C$97)-CROQUIS!$C$107)/MAX((CROQUIS!$C$137*MAX(1,CEILING((INT(((CROQUIS!$C$97)-CROQUIS!$C$107)/MAX(CROQUIS!$C$137,1))+1)/80,1))),1))+1))-1,0),0,MOD($A196-1,5))+1,0,2,CROQUIS!$C$98-2,2,0)))*CROQUIS!$C$159)+IF(CROQUIS!$C$92="X",0,0)),-1000)</f>
        <v>-1000</v>
      </c>
      <c r="BQ196">
        <f>IF(AND(CROQUIS!$C$88=1,CROQUIS!$C$137&gt;0),((CROQUIS!$C$161+(IF(CROQUIS!$C$92="X",CHOOSE(IF(INT(($A196-1)/5)&gt;MAX((MAX(1,INT(((CROQUIS!$C$97)-CROQUIS!$C$107)/MAX((CROQUIS!$C$137*MAX(1,CEILING((INT(((CROQUIS!$C$97)-CROQUIS!$C$107)/MAX(CROQUIS!$C$137,1))+1)/80,1))),1))+1))-1,0),0,MOD($A196-1,5))+1,0,2,CROQUIS!$C$98-2,2,0),((CROQUIS!$C$107/2+(((CROQUIS!$C$97)-CROQUIS!$C$107)-(MAX(1,INT(((CROQUIS!$C$97)-CROQUIS!$C$107)/MAX((CROQUIS!$C$137*MAX(1,CEILING((INT(((CROQUIS!$C$97)-CROQUIS!$C$107)/MAX(CROQUIS!$C$137,1))+1)/80,1))),1))+1)-1)*(CROQUIS!$C$137*MAX(1,CEILING((INT(((CROQUIS!$C$97)-CROQUIS!$C$107)/MAX(CROQUIS!$C$137,1))+1)/80,1))))/2)+MIN(INT(($A196-1)/5),MAX((MAX(1,INT(((CROQUIS!$C$97)-CROQUIS!$C$107)/MAX((CROQUIS!$C$137*MAX(1,CEILING((INT(((CROQUIS!$C$97)-CROQUIS!$C$107)/MAX(CROQUIS!$C$137,1))+1)/80,1))),1))+1))-1,0))*(CROQUIS!$C$137*MAX(1,CEILING((INT(((CROQUIS!$C$97)-CROQUIS!$C$107)/MAX(CROQUIS!$C$137,1))+1)/80,1))))))*CROQUIS!$C$159)+IF(CROQUIS!$C$92="X",0,0)),-1000)</f>
        <v>-1000</v>
      </c>
      <c r="BR196">
        <f>IF(AND(CROQUIS!$C$88=1,CROQUIS!$C$91=0,CROQUIS!$C$133&gt;0,OR(CROQUIS!$C$103=1,CROQUIS!$C$145=1)),((CROQUIS!$C$160+(IF(CROQUIS!$C$92="X",CHOOSE(IF(INT(($A196-1)/5)&gt;MAX((MAX(1,INT(((CROQUIS!$C$98)-CROQUIS!$C$107)/MAX((CROQUIS!$C$133*MAX(1,CEILING((INT(((CROQUIS!$C$98)-CROQUIS!$C$107)/MAX(CROQUIS!$C$133,1))+1)/80,1))),1))+1))-1,0),0,MOD($A196-1,5))+1,0,IF(CROQUIS!$C$103=1,-12,2),CROQUIS!$C$107/2+CROQUIS!$C$143,IF(CROQUIS!$C$103=1,-12,2),0),((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BS1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+1,0,IF(CROQUIS!$C$103=1,-12,2),CROQUIS!$C$107/2+CROQUIS!$C$143,IF(CROQUIS!$C$103=1,-12,2),0)))*CROQUIS!$C$159)+IF(CROQUIS!$C$92="X",0.8,0)),-1000)</f>
        <v>-1000</v>
      </c>
      <c r="BT196">
        <f>IF(AND(CROQUIS!$C$88=1,CROQUIS!$C$91=0,CROQUIS!$C$133&gt;0,OR(CROQUIS!$C$104=1,CROQUIS!$C$145=1)),((CROQUIS!$C$160+(IF(CROQUIS!$C$92="X",CHOOSE(IF(INT(($A196-1)/5)&gt;MAX((MAX(1,INT(((CROQUIS!$C$98)-CROQUIS!$C$107)/MAX((CROQUIS!$C$133*MAX(1,CEILING((INT(((CROQUIS!$C$98)-CROQUIS!$C$107)/MAX(CROQUIS!$C$133,1))+1)/80,1))),1))+1))-1,0),0,MOD($A196-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BU1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CROQUIS!$C$97,CROQUIS!$C$97-CROQUIS!$C$107/2-CROQUIS!$C$143,IF(CROQUIS!$C$104=1,CROQUIS!$C$97+12,CROQUIS!$C$97-2),CROQUIS!$C$97-CROQUIS!$C$107/2-CROQUIS!$C$143,CROQUIS!$C$97)))*CROQUIS!$C$159)+IF(CROQUIS!$C$92="X",0.8,0)),-1000)</f>
        <v>-1000</v>
      </c>
      <c r="BV1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HOOSE(IF(INT(($A196-1)/5)&gt;MAX((MAX(1,INT(((CROQUIS!$C$97)-CROQUIS!$C$107)/MAX((CROQUIS!$C$141*MAX(1,CEILING((INT(((CROQUIS!$C$97)-CROQUIS!$C$107)/MAX(CROQUIS!$C$141,1))+1)/80,1))),1))+1))-1,0),0,MOD($A196-1,5))+1,0,IF(CROQUIS!$C$105=1,-12,2),CROQUIS!$C$107/2+CROQUIS!$C$144,IF(CROQUIS!$C$105=1,-12,2),0)))*CROQUIS!$C$159)+IF(CROQUIS!$C$92="X",0.8,0)),-1000)</f>
        <v>-1000</v>
      </c>
      <c r="BW196">
        <f>IF(AND(CROQUIS!$C$88=1,CROQUIS!$C$91=0,CROQUIS!$C$141&gt;0,OR(CROQUIS!$C$105=1,CROQUIS!$C$146=1)),((CROQUIS!$C$161+(IF(CROQUIS!$C$92="X",CHOOSE(IF(INT(($A196-1)/5)&gt;MAX((MAX(1,INT(((CROQUIS!$C$97)-CROQUIS!$C$107)/MAX((CROQUIS!$C$141*MAX(1,CEILING((INT(((CROQUIS!$C$97)-CROQUIS!$C$107)/MAX(CROQUIS!$C$141,1))+1)/80,1))),1))+1))-1,0),0,MOD($A196-1,5))+1,0,IF(CROQUIS!$C$105=1,-12,2),CROQUIS!$C$107/2+CROQUIS!$C$144,IF(CROQUIS!$C$105=1,-12,2),0),((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ROQUIS!$C$159)+IF(CROQUIS!$C$92="X",0,0.8)),-1000)</f>
        <v>-1000</v>
      </c>
      <c r="BX1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HOOSE(IF(INT(($A196-1)/5)&gt;MAX((MAX(1,INT(((CROQUIS!$C$97)-CROQUIS!$C$107)/MAX((CROQUIS!$C$141*MAX(1,CEILING((INT(((CROQUIS!$C$97)-CROQUIS!$C$107)/MAX(CROQUIS!$C$141,1))+1)/80,1))),1))+1))-1,0),0,MOD($A196-1,5))+1,CROQUIS!$C$98,CROQUIS!$C$98-CROQUIS!$C$107/2-CROQUIS!$C$144,IF(CROQUIS!$C$106=1,CROQUIS!$C$98+12,CROQUIS!$C$98-2),CROQUIS!$C$98-CROQUIS!$C$107/2-CROQUIS!$C$144,CROQUIS!$C$98)))*CROQUIS!$C$159)+IF(CROQUIS!$C$92="X",0.8,0)),-1000)</f>
        <v>-1000</v>
      </c>
      <c r="BY196">
        <f>IF(AND(CROQUIS!$C$88=1,CROQUIS!$C$91=0,CROQUIS!$C$141&gt;0,OR(CROQUIS!$C$106=1,CROQUIS!$C$146=1)),((CROQUIS!$C$161+(IF(CROQUIS!$C$92="X",CHOOSE(IF(INT(($A196-1)/5)&gt;MAX((MAX(1,INT(((CROQUIS!$C$97)-CROQUIS!$C$107)/MAX((CROQUIS!$C$141*MAX(1,CEILING((INT(((CROQUIS!$C$97)-CROQUIS!$C$107)/MAX(CROQUIS!$C$141,1))+1)/80,1))),1))+1))-1,0),0,MOD($A196-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ROQUIS!$C$159)+IF(CROQUIS!$C$92="X",0,0.8)),-1000)</f>
        <v>-1000</v>
      </c>
      <c r="BZ196">
        <f>IF(AND(CROQUIS!$C$88=1,CROQUIS!$C$91=1,CROQUIS!$C$133&gt;0),((CROQUIS!$C$160+(IF(CROQUIS!$C$92="X",CHOOSE(IF(INT(($A196-1)/5)&gt;MAX((MAX(1,INT(((CROQUIS!$C$98)-CROQUIS!$C$107)/MAX((CROQUIS!$C$133*MAX(1,CEILING((INT(((CROQUIS!$C$98)-CROQUIS!$C$107)/MAX(CROQUIS!$C$133,1))+1)/80,1))),1))+1))-1,0),0,MOD($A196-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CA196">
        <f>IF(AND(CROQUIS!$C$88=1,CROQUIS!$C$91=1,CROQUIS!$C$133&gt;0),((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7">
      <c r="A197" t="n">
        <v>190</v>
      </c>
      <c r="BN197">
        <f>IF(AND(CROQUIS!$C$88=1,CROQUIS!$C$129&gt;0),((CROQUIS!$C$160+(IF(CROQUIS!$C$92="X",CHOOSE(IF(INT(($A197-1)/5)&gt;MAX((MAX(1,INT(((CROQUIS!$C$98)-CROQUIS!$C$107)/MAX((CROQUIS!$C$129*MAX(1,CEILING((INT(((CROQUIS!$C$98)-CROQUIS!$C$107)/MAX(CROQUIS!$C$129,1))+1)/80,1))),1))+1))-1,0),0,MOD($A197-1,5))+1,0,2,CROQUIS!$C$97-2,2,0),((CROQUIS!$C$107/2+(((CROQUIS!$C$98)-CROQUIS!$C$107)-(MAX(1,INT(((CROQUIS!$C$98)-CROQUIS!$C$107)/MAX((CROQUIS!$C$129*MAX(1,CEILING((INT(((CROQUIS!$C$98)-CROQUIS!$C$107)/MAX(CROQUIS!$C$129,1))+1)/80,1))),1))+1)-1)*(CROQUIS!$C$129*MAX(1,CEILING((INT(((CROQUIS!$C$98)-CROQUIS!$C$107)/MAX(CROQUIS!$C$129,1))+1)/80,1))))/2)+MIN(INT(($A197-1)/5),MAX((MAX(1,INT(((CROQUIS!$C$98)-CROQUIS!$C$107)/MAX((CROQUIS!$C$129*MAX(1,CEILING((INT(((CROQUIS!$C$98)-CROQUIS!$C$107)/MAX(CROQUIS!$C$129,1))+1)/80,1))),1))+1))-1,0))*(CROQUIS!$C$129*MAX(1,CEILING((INT(((CROQUIS!$C$98)-CROQUIS!$C$107)/MAX(CROQUIS!$C$129,1))+1)/80,1))))))*CROQUIS!$C$159)+IF(CROQUIS!$C$92="X",0,0)),-1000)</f>
        <v>-1000</v>
      </c>
      <c r="BO197">
        <f>IF(AND(CROQUIS!$C$88=1,CROQUIS!$C$129&gt;0),((CROQUIS!$C$161+(IF(CROQUIS!$C$92="X",((CROQUIS!$C$107/2+(((CROQUIS!$C$98)-CROQUIS!$C$107)-(MAX(1,INT(((CROQUIS!$C$98)-CROQUIS!$C$107)/MAX((CROQUIS!$C$129*MAX(1,CEILING((INT(((CROQUIS!$C$98)-CROQUIS!$C$107)/MAX(CROQUIS!$C$129,1))+1)/80,1))),1))+1)-1)*(CROQUIS!$C$129*MAX(1,CEILING((INT(((CROQUIS!$C$98)-CROQUIS!$C$107)/MAX(CROQUIS!$C$129,1))+1)/80,1))))/2)+MIN(INT(($A197-1)/5),MAX((MAX(1,INT(((CROQUIS!$C$98)-CROQUIS!$C$107)/MAX((CROQUIS!$C$129*MAX(1,CEILING((INT(((CROQUIS!$C$98)-CROQUIS!$C$107)/MAX(CROQUIS!$C$129,1))+1)/80,1))),1))+1))-1,0))*(CROQUIS!$C$129*MAX(1,CEILING((INT(((CROQUIS!$C$98)-CROQUIS!$C$107)/MAX(CROQUIS!$C$129,1))+1)/80,1)))),CHOOSE(IF(INT(($A197-1)/5)&gt;MAX((MAX(1,INT(((CROQUIS!$C$98)-CROQUIS!$C$107)/MAX((CROQUIS!$C$129*MAX(1,CEILING((INT(((CROQUIS!$C$98)-CROQUIS!$C$107)/MAX(CROQUIS!$C$129,1))+1)/80,1))),1))+1))-1,0),0,MOD($A197-1,5))+1,0,2,CROQUIS!$C$97-2,2,0)))*CROQUIS!$C$159)+IF(CROQUIS!$C$92="X",0,0)),-1000)</f>
        <v>-1000</v>
      </c>
      <c r="BP197">
        <f>IF(AND(CROQUIS!$C$88=1,CROQUIS!$C$137&gt;0),((CROQUIS!$C$160+(IF(CROQUIS!$C$92="X",((CROQUIS!$C$107/2+(((CROQUIS!$C$97)-CROQUIS!$C$107)-(MAX(1,INT(((CROQUIS!$C$97)-CROQUIS!$C$107)/MAX((CROQUIS!$C$137*MAX(1,CEILING((INT(((CROQUIS!$C$97)-CROQUIS!$C$107)/MAX(CROQUIS!$C$137,1))+1)/80,1))),1))+1)-1)*(CROQUIS!$C$137*MAX(1,CEILING((INT(((CROQUIS!$C$97)-CROQUIS!$C$107)/MAX(CROQUIS!$C$137,1))+1)/80,1))))/2)+MIN(INT(($A197-1)/5),MAX((MAX(1,INT(((CROQUIS!$C$97)-CROQUIS!$C$107)/MAX((CROQUIS!$C$137*MAX(1,CEILING((INT(((CROQUIS!$C$97)-CROQUIS!$C$107)/MAX(CROQUIS!$C$137,1))+1)/80,1))),1))+1))-1,0))*(CROQUIS!$C$137*MAX(1,CEILING((INT(((CROQUIS!$C$97)-CROQUIS!$C$107)/MAX(CROQUIS!$C$137,1))+1)/80,1)))),CHOOSE(IF(INT(($A197-1)/5)&gt;MAX((MAX(1,INT(((CROQUIS!$C$97)-CROQUIS!$C$107)/MAX((CROQUIS!$C$137*MAX(1,CEILING((INT(((CROQUIS!$C$97)-CROQUIS!$C$107)/MAX(CROQUIS!$C$137,1))+1)/80,1))),1))+1))-1,0),0,MOD($A197-1,5))+1,0,2,CROQUIS!$C$98-2,2,0)))*CROQUIS!$C$159)+IF(CROQUIS!$C$92="X",0,0)),-1000)</f>
        <v>-1000</v>
      </c>
      <c r="BQ197">
        <f>IF(AND(CROQUIS!$C$88=1,CROQUIS!$C$137&gt;0),((CROQUIS!$C$161+(IF(CROQUIS!$C$92="X",CHOOSE(IF(INT(($A197-1)/5)&gt;MAX((MAX(1,INT(((CROQUIS!$C$97)-CROQUIS!$C$107)/MAX((CROQUIS!$C$137*MAX(1,CEILING((INT(((CROQUIS!$C$97)-CROQUIS!$C$107)/MAX(CROQUIS!$C$137,1))+1)/80,1))),1))+1))-1,0),0,MOD($A197-1,5))+1,0,2,CROQUIS!$C$98-2,2,0),((CROQUIS!$C$107/2+(((CROQUIS!$C$97)-CROQUIS!$C$107)-(MAX(1,INT(((CROQUIS!$C$97)-CROQUIS!$C$107)/MAX((CROQUIS!$C$137*MAX(1,CEILING((INT(((CROQUIS!$C$97)-CROQUIS!$C$107)/MAX(CROQUIS!$C$137,1))+1)/80,1))),1))+1)-1)*(CROQUIS!$C$137*MAX(1,CEILING((INT(((CROQUIS!$C$97)-CROQUIS!$C$107)/MAX(CROQUIS!$C$137,1))+1)/80,1))))/2)+MIN(INT(($A197-1)/5),MAX((MAX(1,INT(((CROQUIS!$C$97)-CROQUIS!$C$107)/MAX((CROQUIS!$C$137*MAX(1,CEILING((INT(((CROQUIS!$C$97)-CROQUIS!$C$107)/MAX(CROQUIS!$C$137,1))+1)/80,1))),1))+1))-1,0))*(CROQUIS!$C$137*MAX(1,CEILING((INT(((CROQUIS!$C$97)-CROQUIS!$C$107)/MAX(CROQUIS!$C$137,1))+1)/80,1))))))*CROQUIS!$C$159)+IF(CROQUIS!$C$92="X",0,0)),-1000)</f>
        <v>-1000</v>
      </c>
      <c r="BR197">
        <f>IF(AND(CROQUIS!$C$88=1,CROQUIS!$C$91=0,CROQUIS!$C$133&gt;0,OR(CROQUIS!$C$103=1,CROQUIS!$C$145=1)),((CROQUIS!$C$160+(IF(CROQUIS!$C$92="X",CHOOSE(IF(INT(($A197-1)/5)&gt;MAX((MAX(1,INT(((CROQUIS!$C$98)-CROQUIS!$C$107)/MAX((CROQUIS!$C$133*MAX(1,CEILING((INT(((CROQUIS!$C$98)-CROQUIS!$C$107)/MAX(CROQUIS!$C$133,1))+1)/80,1))),1))+1))-1,0),0,MOD($A197-1,5))+1,0,IF(CROQUIS!$C$103=1,-12,2),CROQUIS!$C$107/2+CROQUIS!$C$143,IF(CROQUIS!$C$103=1,-12,2),0),((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BS1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+1,0,IF(CROQUIS!$C$103=1,-12,2),CROQUIS!$C$107/2+CROQUIS!$C$143,IF(CROQUIS!$C$103=1,-12,2),0)))*CROQUIS!$C$159)+IF(CROQUIS!$C$92="X",0.8,0)),-1000)</f>
        <v>-1000</v>
      </c>
      <c r="BT197">
        <f>IF(AND(CROQUIS!$C$88=1,CROQUIS!$C$91=0,CROQUIS!$C$133&gt;0,OR(CROQUIS!$C$104=1,CROQUIS!$C$145=1)),((CROQUIS!$C$160+(IF(CROQUIS!$C$92="X",CHOOSE(IF(INT(($A197-1)/5)&gt;MAX((MAX(1,INT(((CROQUIS!$C$98)-CROQUIS!$C$107)/MAX((CROQUIS!$C$133*MAX(1,CEILING((INT(((CROQUIS!$C$98)-CROQUIS!$C$107)/MAX(CROQUIS!$C$133,1))+1)/80,1))),1))+1))-1,0),0,MOD($A197-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BU1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CROQUIS!$C$97,CROQUIS!$C$97-CROQUIS!$C$107/2-CROQUIS!$C$143,IF(CROQUIS!$C$104=1,CROQUIS!$C$97+12,CROQUIS!$C$97-2),CROQUIS!$C$97-CROQUIS!$C$107/2-CROQUIS!$C$143,CROQUIS!$C$97)))*CROQUIS!$C$159)+IF(CROQUIS!$C$92="X",0.8,0)),-1000)</f>
        <v>-1000</v>
      </c>
      <c r="BV1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HOOSE(IF(INT(($A197-1)/5)&gt;MAX((MAX(1,INT(((CROQUIS!$C$97)-CROQUIS!$C$107)/MAX((CROQUIS!$C$141*MAX(1,CEILING((INT(((CROQUIS!$C$97)-CROQUIS!$C$107)/MAX(CROQUIS!$C$141,1))+1)/80,1))),1))+1))-1,0),0,MOD($A197-1,5))+1,0,IF(CROQUIS!$C$105=1,-12,2),CROQUIS!$C$107/2+CROQUIS!$C$144,IF(CROQUIS!$C$105=1,-12,2),0)))*CROQUIS!$C$159)+IF(CROQUIS!$C$92="X",0.8,0)),-1000)</f>
        <v>-1000</v>
      </c>
      <c r="BW197">
        <f>IF(AND(CROQUIS!$C$88=1,CROQUIS!$C$91=0,CROQUIS!$C$141&gt;0,OR(CROQUIS!$C$105=1,CROQUIS!$C$146=1)),((CROQUIS!$C$161+(IF(CROQUIS!$C$92="X",CHOOSE(IF(INT(($A197-1)/5)&gt;MAX((MAX(1,INT(((CROQUIS!$C$97)-CROQUIS!$C$107)/MAX((CROQUIS!$C$141*MAX(1,CEILING((INT(((CROQUIS!$C$97)-CROQUIS!$C$107)/MAX(CROQUIS!$C$141,1))+1)/80,1))),1))+1))-1,0),0,MOD($A197-1,5))+1,0,IF(CROQUIS!$C$105=1,-12,2),CROQUIS!$C$107/2+CROQUIS!$C$144,IF(CROQUIS!$C$105=1,-12,2),0),((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ROQUIS!$C$159)+IF(CROQUIS!$C$92="X",0,0.8)),-1000)</f>
        <v>-1000</v>
      </c>
      <c r="BX1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HOOSE(IF(INT(($A197-1)/5)&gt;MAX((MAX(1,INT(((CROQUIS!$C$97)-CROQUIS!$C$107)/MAX((CROQUIS!$C$141*MAX(1,CEILING((INT(((CROQUIS!$C$97)-CROQUIS!$C$107)/MAX(CROQUIS!$C$141,1))+1)/80,1))),1))+1))-1,0),0,MOD($A197-1,5))+1,CROQUIS!$C$98,CROQUIS!$C$98-CROQUIS!$C$107/2-CROQUIS!$C$144,IF(CROQUIS!$C$106=1,CROQUIS!$C$98+12,CROQUIS!$C$98-2),CROQUIS!$C$98-CROQUIS!$C$107/2-CROQUIS!$C$144,CROQUIS!$C$98)))*CROQUIS!$C$159)+IF(CROQUIS!$C$92="X",0.8,0)),-1000)</f>
        <v>-1000</v>
      </c>
      <c r="BY197">
        <f>IF(AND(CROQUIS!$C$88=1,CROQUIS!$C$91=0,CROQUIS!$C$141&gt;0,OR(CROQUIS!$C$106=1,CROQUIS!$C$146=1)),((CROQUIS!$C$161+(IF(CROQUIS!$C$92="X",CHOOSE(IF(INT(($A197-1)/5)&gt;MAX((MAX(1,INT(((CROQUIS!$C$97)-CROQUIS!$C$107)/MAX((CROQUIS!$C$141*MAX(1,CEILING((INT(((CROQUIS!$C$97)-CROQUIS!$C$107)/MAX(CROQUIS!$C$141,1))+1)/80,1))),1))+1))-1,0),0,MOD($A197-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ROQUIS!$C$159)+IF(CROQUIS!$C$92="X",0,0.8)),-1000)</f>
        <v>-1000</v>
      </c>
      <c r="BZ197">
        <f>IF(AND(CROQUIS!$C$88=1,CROQUIS!$C$91=1,CROQUIS!$C$133&gt;0),((CROQUIS!$C$160+(IF(CROQUIS!$C$92="X",CHOOSE(IF(INT(($A197-1)/5)&gt;MAX((MAX(1,INT(((CROQUIS!$C$98)-CROQUIS!$C$107)/MAX((CROQUIS!$C$133*MAX(1,CEILING((INT(((CROQUIS!$C$98)-CROQUIS!$C$107)/MAX(CROQUIS!$C$133,1))+1)/80,1))),1))+1))-1,0),0,MOD($A197-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CA197">
        <f>IF(AND(CROQUIS!$C$88=1,CROQUIS!$C$91=1,CROQUIS!$C$133&gt;0),((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8">
      <c r="A198" t="n">
        <v>191</v>
      </c>
      <c r="BN198">
        <f>IF(AND(CROQUIS!$C$88=1,CROQUIS!$C$129&gt;0),((CROQUIS!$C$160+(IF(CROQUIS!$C$92="X",CHOOSE(IF(INT(($A198-1)/5)&gt;MAX((MAX(1,INT(((CROQUIS!$C$98)-CROQUIS!$C$107)/MAX((CROQUIS!$C$129*MAX(1,CEILING((INT(((CROQUIS!$C$98)-CROQUIS!$C$107)/MAX(CROQUIS!$C$129,1))+1)/80,1))),1))+1))-1,0),0,MOD($A198-1,5))+1,0,2,CROQUIS!$C$97-2,2,0),((CROQUIS!$C$107/2+(((CROQUIS!$C$98)-CROQUIS!$C$107)-(MAX(1,INT(((CROQUIS!$C$98)-CROQUIS!$C$107)/MAX((CROQUIS!$C$129*MAX(1,CEILING((INT(((CROQUIS!$C$98)-CROQUIS!$C$107)/MAX(CROQUIS!$C$129,1))+1)/80,1))),1))+1)-1)*(CROQUIS!$C$129*MAX(1,CEILING((INT(((CROQUIS!$C$98)-CROQUIS!$C$107)/MAX(CROQUIS!$C$129,1))+1)/80,1))))/2)+MIN(INT(($A198-1)/5),MAX((MAX(1,INT(((CROQUIS!$C$98)-CROQUIS!$C$107)/MAX((CROQUIS!$C$129*MAX(1,CEILING((INT(((CROQUIS!$C$98)-CROQUIS!$C$107)/MAX(CROQUIS!$C$129,1))+1)/80,1))),1))+1))-1,0))*(CROQUIS!$C$129*MAX(1,CEILING((INT(((CROQUIS!$C$98)-CROQUIS!$C$107)/MAX(CROQUIS!$C$129,1))+1)/80,1))))))*CROQUIS!$C$159)+IF(CROQUIS!$C$92="X",0,0)),-1000)</f>
        <v>-1000</v>
      </c>
      <c r="BO198">
        <f>IF(AND(CROQUIS!$C$88=1,CROQUIS!$C$129&gt;0),((CROQUIS!$C$161+(IF(CROQUIS!$C$92="X",((CROQUIS!$C$107/2+(((CROQUIS!$C$98)-CROQUIS!$C$107)-(MAX(1,INT(((CROQUIS!$C$98)-CROQUIS!$C$107)/MAX((CROQUIS!$C$129*MAX(1,CEILING((INT(((CROQUIS!$C$98)-CROQUIS!$C$107)/MAX(CROQUIS!$C$129,1))+1)/80,1))),1))+1)-1)*(CROQUIS!$C$129*MAX(1,CEILING((INT(((CROQUIS!$C$98)-CROQUIS!$C$107)/MAX(CROQUIS!$C$129,1))+1)/80,1))))/2)+MIN(INT(($A198-1)/5),MAX((MAX(1,INT(((CROQUIS!$C$98)-CROQUIS!$C$107)/MAX((CROQUIS!$C$129*MAX(1,CEILING((INT(((CROQUIS!$C$98)-CROQUIS!$C$107)/MAX(CROQUIS!$C$129,1))+1)/80,1))),1))+1))-1,0))*(CROQUIS!$C$129*MAX(1,CEILING((INT(((CROQUIS!$C$98)-CROQUIS!$C$107)/MAX(CROQUIS!$C$129,1))+1)/80,1)))),CHOOSE(IF(INT(($A198-1)/5)&gt;MAX((MAX(1,INT(((CROQUIS!$C$98)-CROQUIS!$C$107)/MAX((CROQUIS!$C$129*MAX(1,CEILING((INT(((CROQUIS!$C$98)-CROQUIS!$C$107)/MAX(CROQUIS!$C$129,1))+1)/80,1))),1))+1))-1,0),0,MOD($A198-1,5))+1,0,2,CROQUIS!$C$97-2,2,0)))*CROQUIS!$C$159)+IF(CROQUIS!$C$92="X",0,0)),-1000)</f>
        <v>-1000</v>
      </c>
      <c r="BP198">
        <f>IF(AND(CROQUIS!$C$88=1,CROQUIS!$C$137&gt;0),((CROQUIS!$C$160+(IF(CROQUIS!$C$92="X",((CROQUIS!$C$107/2+(((CROQUIS!$C$97)-CROQUIS!$C$107)-(MAX(1,INT(((CROQUIS!$C$97)-CROQUIS!$C$107)/MAX((CROQUIS!$C$137*MAX(1,CEILING((INT(((CROQUIS!$C$97)-CROQUIS!$C$107)/MAX(CROQUIS!$C$137,1))+1)/80,1))),1))+1)-1)*(CROQUIS!$C$137*MAX(1,CEILING((INT(((CROQUIS!$C$97)-CROQUIS!$C$107)/MAX(CROQUIS!$C$137,1))+1)/80,1))))/2)+MIN(INT(($A198-1)/5),MAX((MAX(1,INT(((CROQUIS!$C$97)-CROQUIS!$C$107)/MAX((CROQUIS!$C$137*MAX(1,CEILING((INT(((CROQUIS!$C$97)-CROQUIS!$C$107)/MAX(CROQUIS!$C$137,1))+1)/80,1))),1))+1))-1,0))*(CROQUIS!$C$137*MAX(1,CEILING((INT(((CROQUIS!$C$97)-CROQUIS!$C$107)/MAX(CROQUIS!$C$137,1))+1)/80,1)))),CHOOSE(IF(INT(($A198-1)/5)&gt;MAX((MAX(1,INT(((CROQUIS!$C$97)-CROQUIS!$C$107)/MAX((CROQUIS!$C$137*MAX(1,CEILING((INT(((CROQUIS!$C$97)-CROQUIS!$C$107)/MAX(CROQUIS!$C$137,1))+1)/80,1))),1))+1))-1,0),0,MOD($A198-1,5))+1,0,2,CROQUIS!$C$98-2,2,0)))*CROQUIS!$C$159)+IF(CROQUIS!$C$92="X",0,0)),-1000)</f>
        <v>-1000</v>
      </c>
      <c r="BQ198">
        <f>IF(AND(CROQUIS!$C$88=1,CROQUIS!$C$137&gt;0),((CROQUIS!$C$161+(IF(CROQUIS!$C$92="X",CHOOSE(IF(INT(($A198-1)/5)&gt;MAX((MAX(1,INT(((CROQUIS!$C$97)-CROQUIS!$C$107)/MAX((CROQUIS!$C$137*MAX(1,CEILING((INT(((CROQUIS!$C$97)-CROQUIS!$C$107)/MAX(CROQUIS!$C$137,1))+1)/80,1))),1))+1))-1,0),0,MOD($A198-1,5))+1,0,2,CROQUIS!$C$98-2,2,0),((CROQUIS!$C$107/2+(((CROQUIS!$C$97)-CROQUIS!$C$107)-(MAX(1,INT(((CROQUIS!$C$97)-CROQUIS!$C$107)/MAX((CROQUIS!$C$137*MAX(1,CEILING((INT(((CROQUIS!$C$97)-CROQUIS!$C$107)/MAX(CROQUIS!$C$137,1))+1)/80,1))),1))+1)-1)*(CROQUIS!$C$137*MAX(1,CEILING((INT(((CROQUIS!$C$97)-CROQUIS!$C$107)/MAX(CROQUIS!$C$137,1))+1)/80,1))))/2)+MIN(INT(($A198-1)/5),MAX((MAX(1,INT(((CROQUIS!$C$97)-CROQUIS!$C$107)/MAX((CROQUIS!$C$137*MAX(1,CEILING((INT(((CROQUIS!$C$97)-CROQUIS!$C$107)/MAX(CROQUIS!$C$137,1))+1)/80,1))),1))+1))-1,0))*(CROQUIS!$C$137*MAX(1,CEILING((INT(((CROQUIS!$C$97)-CROQUIS!$C$107)/MAX(CROQUIS!$C$137,1))+1)/80,1))))))*CROQUIS!$C$159)+IF(CROQUIS!$C$92="X",0,0)),-1000)</f>
        <v>-1000</v>
      </c>
      <c r="BR198">
        <f>IF(AND(CROQUIS!$C$88=1,CROQUIS!$C$91=0,CROQUIS!$C$133&gt;0,OR(CROQUIS!$C$103=1,CROQUIS!$C$145=1)),((CROQUIS!$C$160+(IF(CROQUIS!$C$92="X",CHOOSE(IF(INT(($A198-1)/5)&gt;MAX((MAX(1,INT(((CROQUIS!$C$98)-CROQUIS!$C$107)/MAX((CROQUIS!$C$133*MAX(1,CEILING((INT(((CROQUIS!$C$98)-CROQUIS!$C$107)/MAX(CROQUIS!$C$133,1))+1)/80,1))),1))+1))-1,0),0,MOD($A198-1,5))+1,0,IF(CROQUIS!$C$103=1,-12,2),CROQUIS!$C$107/2+CROQUIS!$C$143,IF(CROQUIS!$C$103=1,-12,2),0),((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BS1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+1,0,IF(CROQUIS!$C$103=1,-12,2),CROQUIS!$C$107/2+CROQUIS!$C$143,IF(CROQUIS!$C$103=1,-12,2),0)))*CROQUIS!$C$159)+IF(CROQUIS!$C$92="X",0.8,0)),-1000)</f>
        <v>-1000</v>
      </c>
      <c r="BT198">
        <f>IF(AND(CROQUIS!$C$88=1,CROQUIS!$C$91=0,CROQUIS!$C$133&gt;0,OR(CROQUIS!$C$104=1,CROQUIS!$C$145=1)),((CROQUIS!$C$160+(IF(CROQUIS!$C$92="X",CHOOSE(IF(INT(($A198-1)/5)&gt;MAX((MAX(1,INT(((CROQUIS!$C$98)-CROQUIS!$C$107)/MAX((CROQUIS!$C$133*MAX(1,CEILING((INT(((CROQUIS!$C$98)-CROQUIS!$C$107)/MAX(CROQUIS!$C$133,1))+1)/80,1))),1))+1))-1,0),0,MOD($A198-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BU1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CROQUIS!$C$97,CROQUIS!$C$97-CROQUIS!$C$107/2-CROQUIS!$C$143,IF(CROQUIS!$C$104=1,CROQUIS!$C$97+12,CROQUIS!$C$97-2),CROQUIS!$C$97-CROQUIS!$C$107/2-CROQUIS!$C$143,CROQUIS!$C$97)))*CROQUIS!$C$159)+IF(CROQUIS!$C$92="X",0.8,0)),-1000)</f>
        <v>-1000</v>
      </c>
      <c r="BV1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HOOSE(IF(INT(($A198-1)/5)&gt;MAX((MAX(1,INT(((CROQUIS!$C$97)-CROQUIS!$C$107)/MAX((CROQUIS!$C$141*MAX(1,CEILING((INT(((CROQUIS!$C$97)-CROQUIS!$C$107)/MAX(CROQUIS!$C$141,1))+1)/80,1))),1))+1))-1,0),0,MOD($A198-1,5))+1,0,IF(CROQUIS!$C$105=1,-12,2),CROQUIS!$C$107/2+CROQUIS!$C$144,IF(CROQUIS!$C$105=1,-12,2),0)))*CROQUIS!$C$159)+IF(CROQUIS!$C$92="X",0.8,0)),-1000)</f>
        <v>-1000</v>
      </c>
      <c r="BW198">
        <f>IF(AND(CROQUIS!$C$88=1,CROQUIS!$C$91=0,CROQUIS!$C$141&gt;0,OR(CROQUIS!$C$105=1,CROQUIS!$C$146=1)),((CROQUIS!$C$161+(IF(CROQUIS!$C$92="X",CHOOSE(IF(INT(($A198-1)/5)&gt;MAX((MAX(1,INT(((CROQUIS!$C$97)-CROQUIS!$C$107)/MAX((CROQUIS!$C$141*MAX(1,CEILING((INT(((CROQUIS!$C$97)-CROQUIS!$C$107)/MAX(CROQUIS!$C$141,1))+1)/80,1))),1))+1))-1,0),0,MOD($A198-1,5))+1,0,IF(CROQUIS!$C$105=1,-12,2),CROQUIS!$C$107/2+CROQUIS!$C$144,IF(CROQUIS!$C$105=1,-12,2),0),((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ROQUIS!$C$159)+IF(CROQUIS!$C$92="X",0,0.8)),-1000)</f>
        <v>-1000</v>
      </c>
      <c r="BX1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HOOSE(IF(INT(($A198-1)/5)&gt;MAX((MAX(1,INT(((CROQUIS!$C$97)-CROQUIS!$C$107)/MAX((CROQUIS!$C$141*MAX(1,CEILING((INT(((CROQUIS!$C$97)-CROQUIS!$C$107)/MAX(CROQUIS!$C$141,1))+1)/80,1))),1))+1))-1,0),0,MOD($A198-1,5))+1,CROQUIS!$C$98,CROQUIS!$C$98-CROQUIS!$C$107/2-CROQUIS!$C$144,IF(CROQUIS!$C$106=1,CROQUIS!$C$98+12,CROQUIS!$C$98-2),CROQUIS!$C$98-CROQUIS!$C$107/2-CROQUIS!$C$144,CROQUIS!$C$98)))*CROQUIS!$C$159)+IF(CROQUIS!$C$92="X",0.8,0)),-1000)</f>
        <v>-1000</v>
      </c>
      <c r="BY198">
        <f>IF(AND(CROQUIS!$C$88=1,CROQUIS!$C$91=0,CROQUIS!$C$141&gt;0,OR(CROQUIS!$C$106=1,CROQUIS!$C$146=1)),((CROQUIS!$C$161+(IF(CROQUIS!$C$92="X",CHOOSE(IF(INT(($A198-1)/5)&gt;MAX((MAX(1,INT(((CROQUIS!$C$97)-CROQUIS!$C$107)/MAX((CROQUIS!$C$141*MAX(1,CEILING((INT(((CROQUIS!$C$97)-CROQUIS!$C$107)/MAX(CROQUIS!$C$141,1))+1)/80,1))),1))+1))-1,0),0,MOD($A198-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ROQUIS!$C$159)+IF(CROQUIS!$C$92="X",0,0.8)),-1000)</f>
        <v>-1000</v>
      </c>
      <c r="BZ198">
        <f>IF(AND(CROQUIS!$C$88=1,CROQUIS!$C$91=1,CROQUIS!$C$133&gt;0),((CROQUIS!$C$160+(IF(CROQUIS!$C$92="X",CHOOSE(IF(INT(($A198-1)/5)&gt;MAX((MAX(1,INT(((CROQUIS!$C$98)-CROQUIS!$C$107)/MAX((CROQUIS!$C$133*MAX(1,CEILING((INT(((CROQUIS!$C$98)-CROQUIS!$C$107)/MAX(CROQUIS!$C$133,1))+1)/80,1))),1))+1))-1,0),0,MOD($A198-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CA198">
        <f>IF(AND(CROQUIS!$C$88=1,CROQUIS!$C$91=1,CROQUIS!$C$133&gt;0),((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9">
      <c r="A199" t="n">
        <v>192</v>
      </c>
      <c r="BN199">
        <f>IF(AND(CROQUIS!$C$88=1,CROQUIS!$C$129&gt;0),((CROQUIS!$C$160+(IF(CROQUIS!$C$92="X",CHOOSE(IF(INT(($A199-1)/5)&gt;MAX((MAX(1,INT(((CROQUIS!$C$98)-CROQUIS!$C$107)/MAX((CROQUIS!$C$129*MAX(1,CEILING((INT(((CROQUIS!$C$98)-CROQUIS!$C$107)/MAX(CROQUIS!$C$129,1))+1)/80,1))),1))+1))-1,0),0,MOD($A199-1,5))+1,0,2,CROQUIS!$C$97-2,2,0),((CROQUIS!$C$107/2+(((CROQUIS!$C$98)-CROQUIS!$C$107)-(MAX(1,INT(((CROQUIS!$C$98)-CROQUIS!$C$107)/MAX((CROQUIS!$C$129*MAX(1,CEILING((INT(((CROQUIS!$C$98)-CROQUIS!$C$107)/MAX(CROQUIS!$C$129,1))+1)/80,1))),1))+1)-1)*(CROQUIS!$C$129*MAX(1,CEILING((INT(((CROQUIS!$C$98)-CROQUIS!$C$107)/MAX(CROQUIS!$C$129,1))+1)/80,1))))/2)+MIN(INT(($A199-1)/5),MAX((MAX(1,INT(((CROQUIS!$C$98)-CROQUIS!$C$107)/MAX((CROQUIS!$C$129*MAX(1,CEILING((INT(((CROQUIS!$C$98)-CROQUIS!$C$107)/MAX(CROQUIS!$C$129,1))+1)/80,1))),1))+1))-1,0))*(CROQUIS!$C$129*MAX(1,CEILING((INT(((CROQUIS!$C$98)-CROQUIS!$C$107)/MAX(CROQUIS!$C$129,1))+1)/80,1))))))*CROQUIS!$C$159)+IF(CROQUIS!$C$92="X",0,0)),-1000)</f>
        <v>-1000</v>
      </c>
      <c r="BO199">
        <f>IF(AND(CROQUIS!$C$88=1,CROQUIS!$C$129&gt;0),((CROQUIS!$C$161+(IF(CROQUIS!$C$92="X",((CROQUIS!$C$107/2+(((CROQUIS!$C$98)-CROQUIS!$C$107)-(MAX(1,INT(((CROQUIS!$C$98)-CROQUIS!$C$107)/MAX((CROQUIS!$C$129*MAX(1,CEILING((INT(((CROQUIS!$C$98)-CROQUIS!$C$107)/MAX(CROQUIS!$C$129,1))+1)/80,1))),1))+1)-1)*(CROQUIS!$C$129*MAX(1,CEILING((INT(((CROQUIS!$C$98)-CROQUIS!$C$107)/MAX(CROQUIS!$C$129,1))+1)/80,1))))/2)+MIN(INT(($A199-1)/5),MAX((MAX(1,INT(((CROQUIS!$C$98)-CROQUIS!$C$107)/MAX((CROQUIS!$C$129*MAX(1,CEILING((INT(((CROQUIS!$C$98)-CROQUIS!$C$107)/MAX(CROQUIS!$C$129,1))+1)/80,1))),1))+1))-1,0))*(CROQUIS!$C$129*MAX(1,CEILING((INT(((CROQUIS!$C$98)-CROQUIS!$C$107)/MAX(CROQUIS!$C$129,1))+1)/80,1)))),CHOOSE(IF(INT(($A199-1)/5)&gt;MAX((MAX(1,INT(((CROQUIS!$C$98)-CROQUIS!$C$107)/MAX((CROQUIS!$C$129*MAX(1,CEILING((INT(((CROQUIS!$C$98)-CROQUIS!$C$107)/MAX(CROQUIS!$C$129,1))+1)/80,1))),1))+1))-1,0),0,MOD($A199-1,5))+1,0,2,CROQUIS!$C$97-2,2,0)))*CROQUIS!$C$159)+IF(CROQUIS!$C$92="X",0,0)),-1000)</f>
        <v>-1000</v>
      </c>
      <c r="BP199">
        <f>IF(AND(CROQUIS!$C$88=1,CROQUIS!$C$137&gt;0),((CROQUIS!$C$160+(IF(CROQUIS!$C$92="X",((CROQUIS!$C$107/2+(((CROQUIS!$C$97)-CROQUIS!$C$107)-(MAX(1,INT(((CROQUIS!$C$97)-CROQUIS!$C$107)/MAX((CROQUIS!$C$137*MAX(1,CEILING((INT(((CROQUIS!$C$97)-CROQUIS!$C$107)/MAX(CROQUIS!$C$137,1))+1)/80,1))),1))+1)-1)*(CROQUIS!$C$137*MAX(1,CEILING((INT(((CROQUIS!$C$97)-CROQUIS!$C$107)/MAX(CROQUIS!$C$137,1))+1)/80,1))))/2)+MIN(INT(($A199-1)/5),MAX((MAX(1,INT(((CROQUIS!$C$97)-CROQUIS!$C$107)/MAX((CROQUIS!$C$137*MAX(1,CEILING((INT(((CROQUIS!$C$97)-CROQUIS!$C$107)/MAX(CROQUIS!$C$137,1))+1)/80,1))),1))+1))-1,0))*(CROQUIS!$C$137*MAX(1,CEILING((INT(((CROQUIS!$C$97)-CROQUIS!$C$107)/MAX(CROQUIS!$C$137,1))+1)/80,1)))),CHOOSE(IF(INT(($A199-1)/5)&gt;MAX((MAX(1,INT(((CROQUIS!$C$97)-CROQUIS!$C$107)/MAX((CROQUIS!$C$137*MAX(1,CEILING((INT(((CROQUIS!$C$97)-CROQUIS!$C$107)/MAX(CROQUIS!$C$137,1))+1)/80,1))),1))+1))-1,0),0,MOD($A199-1,5))+1,0,2,CROQUIS!$C$98-2,2,0)))*CROQUIS!$C$159)+IF(CROQUIS!$C$92="X",0,0)),-1000)</f>
        <v>-1000</v>
      </c>
      <c r="BQ199">
        <f>IF(AND(CROQUIS!$C$88=1,CROQUIS!$C$137&gt;0),((CROQUIS!$C$161+(IF(CROQUIS!$C$92="X",CHOOSE(IF(INT(($A199-1)/5)&gt;MAX((MAX(1,INT(((CROQUIS!$C$97)-CROQUIS!$C$107)/MAX((CROQUIS!$C$137*MAX(1,CEILING((INT(((CROQUIS!$C$97)-CROQUIS!$C$107)/MAX(CROQUIS!$C$137,1))+1)/80,1))),1))+1))-1,0),0,MOD($A199-1,5))+1,0,2,CROQUIS!$C$98-2,2,0),((CROQUIS!$C$107/2+(((CROQUIS!$C$97)-CROQUIS!$C$107)-(MAX(1,INT(((CROQUIS!$C$97)-CROQUIS!$C$107)/MAX((CROQUIS!$C$137*MAX(1,CEILING((INT(((CROQUIS!$C$97)-CROQUIS!$C$107)/MAX(CROQUIS!$C$137,1))+1)/80,1))),1))+1)-1)*(CROQUIS!$C$137*MAX(1,CEILING((INT(((CROQUIS!$C$97)-CROQUIS!$C$107)/MAX(CROQUIS!$C$137,1))+1)/80,1))))/2)+MIN(INT(($A199-1)/5),MAX((MAX(1,INT(((CROQUIS!$C$97)-CROQUIS!$C$107)/MAX((CROQUIS!$C$137*MAX(1,CEILING((INT(((CROQUIS!$C$97)-CROQUIS!$C$107)/MAX(CROQUIS!$C$137,1))+1)/80,1))),1))+1))-1,0))*(CROQUIS!$C$137*MAX(1,CEILING((INT(((CROQUIS!$C$97)-CROQUIS!$C$107)/MAX(CROQUIS!$C$137,1))+1)/80,1))))))*CROQUIS!$C$159)+IF(CROQUIS!$C$92="X",0,0)),-1000)</f>
        <v>-1000</v>
      </c>
      <c r="BR199">
        <f>IF(AND(CROQUIS!$C$88=1,CROQUIS!$C$91=0,CROQUIS!$C$133&gt;0,OR(CROQUIS!$C$103=1,CROQUIS!$C$145=1)),((CROQUIS!$C$160+(IF(CROQUIS!$C$92="X",CHOOSE(IF(INT(($A199-1)/5)&gt;MAX((MAX(1,INT(((CROQUIS!$C$98)-CROQUIS!$C$107)/MAX((CROQUIS!$C$133*MAX(1,CEILING((INT(((CROQUIS!$C$98)-CROQUIS!$C$107)/MAX(CROQUIS!$C$133,1))+1)/80,1))),1))+1))-1,0),0,MOD($A199-1,5))+1,0,IF(CROQUIS!$C$103=1,-12,2),CROQUIS!$C$107/2+CROQUIS!$C$143,IF(CROQUIS!$C$103=1,-12,2),0),((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BS1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+1,0,IF(CROQUIS!$C$103=1,-12,2),CROQUIS!$C$107/2+CROQUIS!$C$143,IF(CROQUIS!$C$103=1,-12,2),0)))*CROQUIS!$C$159)+IF(CROQUIS!$C$92="X",0.8,0)),-1000)</f>
        <v>-1000</v>
      </c>
      <c r="BT199">
        <f>IF(AND(CROQUIS!$C$88=1,CROQUIS!$C$91=0,CROQUIS!$C$133&gt;0,OR(CROQUIS!$C$104=1,CROQUIS!$C$145=1)),((CROQUIS!$C$160+(IF(CROQUIS!$C$92="X",CHOOSE(IF(INT(($A199-1)/5)&gt;MAX((MAX(1,INT(((CROQUIS!$C$98)-CROQUIS!$C$107)/MAX((CROQUIS!$C$133*MAX(1,CEILING((INT(((CROQUIS!$C$98)-CROQUIS!$C$107)/MAX(CROQUIS!$C$133,1))+1)/80,1))),1))+1))-1,0),0,MOD($A199-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BU1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CROQUIS!$C$97,CROQUIS!$C$97-CROQUIS!$C$107/2-CROQUIS!$C$143,IF(CROQUIS!$C$104=1,CROQUIS!$C$97+12,CROQUIS!$C$97-2),CROQUIS!$C$97-CROQUIS!$C$107/2-CROQUIS!$C$143,CROQUIS!$C$97)))*CROQUIS!$C$159)+IF(CROQUIS!$C$92="X",0.8,0)),-1000)</f>
        <v>-1000</v>
      </c>
      <c r="BV1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HOOSE(IF(INT(($A199-1)/5)&gt;MAX((MAX(1,INT(((CROQUIS!$C$97)-CROQUIS!$C$107)/MAX((CROQUIS!$C$141*MAX(1,CEILING((INT(((CROQUIS!$C$97)-CROQUIS!$C$107)/MAX(CROQUIS!$C$141,1))+1)/80,1))),1))+1))-1,0),0,MOD($A199-1,5))+1,0,IF(CROQUIS!$C$105=1,-12,2),CROQUIS!$C$107/2+CROQUIS!$C$144,IF(CROQUIS!$C$105=1,-12,2),0)))*CROQUIS!$C$159)+IF(CROQUIS!$C$92="X",0.8,0)),-1000)</f>
        <v>-1000</v>
      </c>
      <c r="BW199">
        <f>IF(AND(CROQUIS!$C$88=1,CROQUIS!$C$91=0,CROQUIS!$C$141&gt;0,OR(CROQUIS!$C$105=1,CROQUIS!$C$146=1)),((CROQUIS!$C$161+(IF(CROQUIS!$C$92="X",CHOOSE(IF(INT(($A199-1)/5)&gt;MAX((MAX(1,INT(((CROQUIS!$C$97)-CROQUIS!$C$107)/MAX((CROQUIS!$C$141*MAX(1,CEILING((INT(((CROQUIS!$C$97)-CROQUIS!$C$107)/MAX(CROQUIS!$C$141,1))+1)/80,1))),1))+1))-1,0),0,MOD($A199-1,5))+1,0,IF(CROQUIS!$C$105=1,-12,2),CROQUIS!$C$107/2+CROQUIS!$C$144,IF(CROQUIS!$C$105=1,-12,2),0),((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ROQUIS!$C$159)+IF(CROQUIS!$C$92="X",0,0.8)),-1000)</f>
        <v>-1000</v>
      </c>
      <c r="BX1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HOOSE(IF(INT(($A199-1)/5)&gt;MAX((MAX(1,INT(((CROQUIS!$C$97)-CROQUIS!$C$107)/MAX((CROQUIS!$C$141*MAX(1,CEILING((INT(((CROQUIS!$C$97)-CROQUIS!$C$107)/MAX(CROQUIS!$C$141,1))+1)/80,1))),1))+1))-1,0),0,MOD($A199-1,5))+1,CROQUIS!$C$98,CROQUIS!$C$98-CROQUIS!$C$107/2-CROQUIS!$C$144,IF(CROQUIS!$C$106=1,CROQUIS!$C$98+12,CROQUIS!$C$98-2),CROQUIS!$C$98-CROQUIS!$C$107/2-CROQUIS!$C$144,CROQUIS!$C$98)))*CROQUIS!$C$159)+IF(CROQUIS!$C$92="X",0.8,0)),-1000)</f>
        <v>-1000</v>
      </c>
      <c r="BY199">
        <f>IF(AND(CROQUIS!$C$88=1,CROQUIS!$C$91=0,CROQUIS!$C$141&gt;0,OR(CROQUIS!$C$106=1,CROQUIS!$C$146=1)),((CROQUIS!$C$161+(IF(CROQUIS!$C$92="X",CHOOSE(IF(INT(($A199-1)/5)&gt;MAX((MAX(1,INT(((CROQUIS!$C$97)-CROQUIS!$C$107)/MAX((CROQUIS!$C$141*MAX(1,CEILING((INT(((CROQUIS!$C$97)-CROQUIS!$C$107)/MAX(CROQUIS!$C$141,1))+1)/80,1))),1))+1))-1,0),0,MOD($A199-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ROQUIS!$C$159)+IF(CROQUIS!$C$92="X",0,0.8)),-1000)</f>
        <v>-1000</v>
      </c>
      <c r="BZ199">
        <f>IF(AND(CROQUIS!$C$88=1,CROQUIS!$C$91=1,CROQUIS!$C$133&gt;0),((CROQUIS!$C$160+(IF(CROQUIS!$C$92="X",CHOOSE(IF(INT(($A199-1)/5)&gt;MAX((MAX(1,INT(((CROQUIS!$C$98)-CROQUIS!$C$107)/MAX((CROQUIS!$C$133*MAX(1,CEILING((INT(((CROQUIS!$C$98)-CROQUIS!$C$107)/MAX(CROQUIS!$C$133,1))+1)/80,1))),1))+1))-1,0),0,MOD($A199-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CA199">
        <f>IF(AND(CROQUIS!$C$88=1,CROQUIS!$C$91=1,CROQUIS!$C$133&gt;0),((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0">
      <c r="A200" t="n">
        <v>193</v>
      </c>
      <c r="BN200">
        <f>IF(AND(CROQUIS!$C$88=1,CROQUIS!$C$129&gt;0),((CROQUIS!$C$160+(IF(CROQUIS!$C$92="X",CHOOSE(IF(INT(($A200-1)/5)&gt;MAX((MAX(1,INT(((CROQUIS!$C$98)-CROQUIS!$C$107)/MAX((CROQUIS!$C$129*MAX(1,CEILING((INT(((CROQUIS!$C$98)-CROQUIS!$C$107)/MAX(CROQUIS!$C$129,1))+1)/80,1))),1))+1))-1,0),0,MOD($A200-1,5))+1,0,2,CROQUIS!$C$97-2,2,0),((CROQUIS!$C$107/2+(((CROQUIS!$C$98)-CROQUIS!$C$107)-(MAX(1,INT(((CROQUIS!$C$98)-CROQUIS!$C$107)/MAX((CROQUIS!$C$129*MAX(1,CEILING((INT(((CROQUIS!$C$98)-CROQUIS!$C$107)/MAX(CROQUIS!$C$129,1))+1)/80,1))),1))+1)-1)*(CROQUIS!$C$129*MAX(1,CEILING((INT(((CROQUIS!$C$98)-CROQUIS!$C$107)/MAX(CROQUIS!$C$129,1))+1)/80,1))))/2)+MIN(INT(($A200-1)/5),MAX((MAX(1,INT(((CROQUIS!$C$98)-CROQUIS!$C$107)/MAX((CROQUIS!$C$129*MAX(1,CEILING((INT(((CROQUIS!$C$98)-CROQUIS!$C$107)/MAX(CROQUIS!$C$129,1))+1)/80,1))),1))+1))-1,0))*(CROQUIS!$C$129*MAX(1,CEILING((INT(((CROQUIS!$C$98)-CROQUIS!$C$107)/MAX(CROQUIS!$C$129,1))+1)/80,1))))))*CROQUIS!$C$159)+IF(CROQUIS!$C$92="X",0,0)),-1000)</f>
        <v>-1000</v>
      </c>
      <c r="BO200">
        <f>IF(AND(CROQUIS!$C$88=1,CROQUIS!$C$129&gt;0),((CROQUIS!$C$161+(IF(CROQUIS!$C$92="X",((CROQUIS!$C$107/2+(((CROQUIS!$C$98)-CROQUIS!$C$107)-(MAX(1,INT(((CROQUIS!$C$98)-CROQUIS!$C$107)/MAX((CROQUIS!$C$129*MAX(1,CEILING((INT(((CROQUIS!$C$98)-CROQUIS!$C$107)/MAX(CROQUIS!$C$129,1))+1)/80,1))),1))+1)-1)*(CROQUIS!$C$129*MAX(1,CEILING((INT(((CROQUIS!$C$98)-CROQUIS!$C$107)/MAX(CROQUIS!$C$129,1))+1)/80,1))))/2)+MIN(INT(($A200-1)/5),MAX((MAX(1,INT(((CROQUIS!$C$98)-CROQUIS!$C$107)/MAX((CROQUIS!$C$129*MAX(1,CEILING((INT(((CROQUIS!$C$98)-CROQUIS!$C$107)/MAX(CROQUIS!$C$129,1))+1)/80,1))),1))+1))-1,0))*(CROQUIS!$C$129*MAX(1,CEILING((INT(((CROQUIS!$C$98)-CROQUIS!$C$107)/MAX(CROQUIS!$C$129,1))+1)/80,1)))),CHOOSE(IF(INT(($A200-1)/5)&gt;MAX((MAX(1,INT(((CROQUIS!$C$98)-CROQUIS!$C$107)/MAX((CROQUIS!$C$129*MAX(1,CEILING((INT(((CROQUIS!$C$98)-CROQUIS!$C$107)/MAX(CROQUIS!$C$129,1))+1)/80,1))),1))+1))-1,0),0,MOD($A200-1,5))+1,0,2,CROQUIS!$C$97-2,2,0)))*CROQUIS!$C$159)+IF(CROQUIS!$C$92="X",0,0)),-1000)</f>
        <v>-1000</v>
      </c>
      <c r="BP200">
        <f>IF(AND(CROQUIS!$C$88=1,CROQUIS!$C$137&gt;0),((CROQUIS!$C$160+(IF(CROQUIS!$C$92="X",((CROQUIS!$C$107/2+(((CROQUIS!$C$97)-CROQUIS!$C$107)-(MAX(1,INT(((CROQUIS!$C$97)-CROQUIS!$C$107)/MAX((CROQUIS!$C$137*MAX(1,CEILING((INT(((CROQUIS!$C$97)-CROQUIS!$C$107)/MAX(CROQUIS!$C$137,1))+1)/80,1))),1))+1)-1)*(CROQUIS!$C$137*MAX(1,CEILING((INT(((CROQUIS!$C$97)-CROQUIS!$C$107)/MAX(CROQUIS!$C$137,1))+1)/80,1))))/2)+MIN(INT(($A200-1)/5),MAX((MAX(1,INT(((CROQUIS!$C$97)-CROQUIS!$C$107)/MAX((CROQUIS!$C$137*MAX(1,CEILING((INT(((CROQUIS!$C$97)-CROQUIS!$C$107)/MAX(CROQUIS!$C$137,1))+1)/80,1))),1))+1))-1,0))*(CROQUIS!$C$137*MAX(1,CEILING((INT(((CROQUIS!$C$97)-CROQUIS!$C$107)/MAX(CROQUIS!$C$137,1))+1)/80,1)))),CHOOSE(IF(INT(($A200-1)/5)&gt;MAX((MAX(1,INT(((CROQUIS!$C$97)-CROQUIS!$C$107)/MAX((CROQUIS!$C$137*MAX(1,CEILING((INT(((CROQUIS!$C$97)-CROQUIS!$C$107)/MAX(CROQUIS!$C$137,1))+1)/80,1))),1))+1))-1,0),0,MOD($A200-1,5))+1,0,2,CROQUIS!$C$98-2,2,0)))*CROQUIS!$C$159)+IF(CROQUIS!$C$92="X",0,0)),-1000)</f>
        <v>-1000</v>
      </c>
      <c r="BQ200">
        <f>IF(AND(CROQUIS!$C$88=1,CROQUIS!$C$137&gt;0),((CROQUIS!$C$161+(IF(CROQUIS!$C$92="X",CHOOSE(IF(INT(($A200-1)/5)&gt;MAX((MAX(1,INT(((CROQUIS!$C$97)-CROQUIS!$C$107)/MAX((CROQUIS!$C$137*MAX(1,CEILING((INT(((CROQUIS!$C$97)-CROQUIS!$C$107)/MAX(CROQUIS!$C$137,1))+1)/80,1))),1))+1))-1,0),0,MOD($A200-1,5))+1,0,2,CROQUIS!$C$98-2,2,0),((CROQUIS!$C$107/2+(((CROQUIS!$C$97)-CROQUIS!$C$107)-(MAX(1,INT(((CROQUIS!$C$97)-CROQUIS!$C$107)/MAX((CROQUIS!$C$137*MAX(1,CEILING((INT(((CROQUIS!$C$97)-CROQUIS!$C$107)/MAX(CROQUIS!$C$137,1))+1)/80,1))),1))+1)-1)*(CROQUIS!$C$137*MAX(1,CEILING((INT(((CROQUIS!$C$97)-CROQUIS!$C$107)/MAX(CROQUIS!$C$137,1))+1)/80,1))))/2)+MIN(INT(($A200-1)/5),MAX((MAX(1,INT(((CROQUIS!$C$97)-CROQUIS!$C$107)/MAX((CROQUIS!$C$137*MAX(1,CEILING((INT(((CROQUIS!$C$97)-CROQUIS!$C$107)/MAX(CROQUIS!$C$137,1))+1)/80,1))),1))+1))-1,0))*(CROQUIS!$C$137*MAX(1,CEILING((INT(((CROQUIS!$C$97)-CROQUIS!$C$107)/MAX(CROQUIS!$C$137,1))+1)/80,1))))))*CROQUIS!$C$159)+IF(CROQUIS!$C$92="X",0,0)),-1000)</f>
        <v>-1000</v>
      </c>
      <c r="BR200">
        <f>IF(AND(CROQUIS!$C$88=1,CROQUIS!$C$91=0,CROQUIS!$C$133&gt;0,OR(CROQUIS!$C$103=1,CROQUIS!$C$145=1)),((CROQUIS!$C$160+(IF(CROQUIS!$C$92="X",CHOOSE(IF(INT(($A200-1)/5)&gt;MAX((MAX(1,INT(((CROQUIS!$C$98)-CROQUIS!$C$107)/MAX((CROQUIS!$C$133*MAX(1,CEILING((INT(((CROQUIS!$C$98)-CROQUIS!$C$107)/MAX(CROQUIS!$C$133,1))+1)/80,1))),1))+1))-1,0),0,MOD($A200-1,5))+1,0,IF(CROQUIS!$C$103=1,-12,2),CROQUIS!$C$107/2+CROQUIS!$C$143,IF(CROQUIS!$C$103=1,-12,2),0),((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BS2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+1,0,IF(CROQUIS!$C$103=1,-12,2),CROQUIS!$C$107/2+CROQUIS!$C$143,IF(CROQUIS!$C$103=1,-12,2),0)))*CROQUIS!$C$159)+IF(CROQUIS!$C$92="X",0.8,0)),-1000)</f>
        <v>-1000</v>
      </c>
      <c r="BT200">
        <f>IF(AND(CROQUIS!$C$88=1,CROQUIS!$C$91=0,CROQUIS!$C$133&gt;0,OR(CROQUIS!$C$104=1,CROQUIS!$C$145=1)),((CROQUIS!$C$160+(IF(CROQUIS!$C$92="X",CHOOSE(IF(INT(($A200-1)/5)&gt;MAX((MAX(1,INT(((CROQUIS!$C$98)-CROQUIS!$C$107)/MAX((CROQUIS!$C$133*MAX(1,CEILING((INT(((CROQUIS!$C$98)-CROQUIS!$C$107)/MAX(CROQUIS!$C$133,1))+1)/80,1))),1))+1))-1,0),0,MOD($A200-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BU2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CROQUIS!$C$97,CROQUIS!$C$97-CROQUIS!$C$107/2-CROQUIS!$C$143,IF(CROQUIS!$C$104=1,CROQUIS!$C$97+12,CROQUIS!$C$97-2),CROQUIS!$C$97-CROQUIS!$C$107/2-CROQUIS!$C$143,CROQUIS!$C$97)))*CROQUIS!$C$159)+IF(CROQUIS!$C$92="X",0.8,0)),-1000)</f>
        <v>-1000</v>
      </c>
      <c r="BV2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HOOSE(IF(INT(($A200-1)/5)&gt;MAX((MAX(1,INT(((CROQUIS!$C$97)-CROQUIS!$C$107)/MAX((CROQUIS!$C$141*MAX(1,CEILING((INT(((CROQUIS!$C$97)-CROQUIS!$C$107)/MAX(CROQUIS!$C$141,1))+1)/80,1))),1))+1))-1,0),0,MOD($A200-1,5))+1,0,IF(CROQUIS!$C$105=1,-12,2),CROQUIS!$C$107/2+CROQUIS!$C$144,IF(CROQUIS!$C$105=1,-12,2),0)))*CROQUIS!$C$159)+IF(CROQUIS!$C$92="X",0.8,0)),-1000)</f>
        <v>-1000</v>
      </c>
      <c r="BW200">
        <f>IF(AND(CROQUIS!$C$88=1,CROQUIS!$C$91=0,CROQUIS!$C$141&gt;0,OR(CROQUIS!$C$105=1,CROQUIS!$C$146=1)),((CROQUIS!$C$161+(IF(CROQUIS!$C$92="X",CHOOSE(IF(INT(($A200-1)/5)&gt;MAX((MAX(1,INT(((CROQUIS!$C$97)-CROQUIS!$C$107)/MAX((CROQUIS!$C$141*MAX(1,CEILING((INT(((CROQUIS!$C$97)-CROQUIS!$C$107)/MAX(CROQUIS!$C$141,1))+1)/80,1))),1))+1))-1,0),0,MOD($A200-1,5))+1,0,IF(CROQUIS!$C$105=1,-12,2),CROQUIS!$C$107/2+CROQUIS!$C$144,IF(CROQUIS!$C$105=1,-12,2),0),((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ROQUIS!$C$159)+IF(CROQUIS!$C$92="X",0,0.8)),-1000)</f>
        <v>-1000</v>
      </c>
      <c r="BX2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HOOSE(IF(INT(($A200-1)/5)&gt;MAX((MAX(1,INT(((CROQUIS!$C$97)-CROQUIS!$C$107)/MAX((CROQUIS!$C$141*MAX(1,CEILING((INT(((CROQUIS!$C$97)-CROQUIS!$C$107)/MAX(CROQUIS!$C$141,1))+1)/80,1))),1))+1))-1,0),0,MOD($A200-1,5))+1,CROQUIS!$C$98,CROQUIS!$C$98-CROQUIS!$C$107/2-CROQUIS!$C$144,IF(CROQUIS!$C$106=1,CROQUIS!$C$98+12,CROQUIS!$C$98-2),CROQUIS!$C$98-CROQUIS!$C$107/2-CROQUIS!$C$144,CROQUIS!$C$98)))*CROQUIS!$C$159)+IF(CROQUIS!$C$92="X",0.8,0)),-1000)</f>
        <v>-1000</v>
      </c>
      <c r="BY200">
        <f>IF(AND(CROQUIS!$C$88=1,CROQUIS!$C$91=0,CROQUIS!$C$141&gt;0,OR(CROQUIS!$C$106=1,CROQUIS!$C$146=1)),((CROQUIS!$C$161+(IF(CROQUIS!$C$92="X",CHOOSE(IF(INT(($A200-1)/5)&gt;MAX((MAX(1,INT(((CROQUIS!$C$97)-CROQUIS!$C$107)/MAX((CROQUIS!$C$141*MAX(1,CEILING((INT(((CROQUIS!$C$97)-CROQUIS!$C$107)/MAX(CROQUIS!$C$141,1))+1)/80,1))),1))+1))-1,0),0,MOD($A200-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ROQUIS!$C$159)+IF(CROQUIS!$C$92="X",0,0.8)),-1000)</f>
        <v>-1000</v>
      </c>
      <c r="BZ200">
        <f>IF(AND(CROQUIS!$C$88=1,CROQUIS!$C$91=1,CROQUIS!$C$133&gt;0),((CROQUIS!$C$160+(IF(CROQUIS!$C$92="X",CHOOSE(IF(INT(($A200-1)/5)&gt;MAX((MAX(1,INT(((CROQUIS!$C$98)-CROQUIS!$C$107)/MAX((CROQUIS!$C$133*MAX(1,CEILING((INT(((CROQUIS!$C$98)-CROQUIS!$C$107)/MAX(CROQUIS!$C$133,1))+1)/80,1))),1))+1))-1,0),0,MOD($A200-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CA200">
        <f>IF(AND(CROQUIS!$C$88=1,CROQUIS!$C$91=1,CROQUIS!$C$133&gt;0),((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1">
      <c r="A201" t="n">
        <v>194</v>
      </c>
      <c r="BN201">
        <f>IF(AND(CROQUIS!$C$88=1,CROQUIS!$C$129&gt;0),((CROQUIS!$C$160+(IF(CROQUIS!$C$92="X",CHOOSE(IF(INT(($A201-1)/5)&gt;MAX((MAX(1,INT(((CROQUIS!$C$98)-CROQUIS!$C$107)/MAX((CROQUIS!$C$129*MAX(1,CEILING((INT(((CROQUIS!$C$98)-CROQUIS!$C$107)/MAX(CROQUIS!$C$129,1))+1)/80,1))),1))+1))-1,0),0,MOD($A201-1,5))+1,0,2,CROQUIS!$C$97-2,2,0),((CROQUIS!$C$107/2+(((CROQUIS!$C$98)-CROQUIS!$C$107)-(MAX(1,INT(((CROQUIS!$C$98)-CROQUIS!$C$107)/MAX((CROQUIS!$C$129*MAX(1,CEILING((INT(((CROQUIS!$C$98)-CROQUIS!$C$107)/MAX(CROQUIS!$C$129,1))+1)/80,1))),1))+1)-1)*(CROQUIS!$C$129*MAX(1,CEILING((INT(((CROQUIS!$C$98)-CROQUIS!$C$107)/MAX(CROQUIS!$C$129,1))+1)/80,1))))/2)+MIN(INT(($A201-1)/5),MAX((MAX(1,INT(((CROQUIS!$C$98)-CROQUIS!$C$107)/MAX((CROQUIS!$C$129*MAX(1,CEILING((INT(((CROQUIS!$C$98)-CROQUIS!$C$107)/MAX(CROQUIS!$C$129,1))+1)/80,1))),1))+1))-1,0))*(CROQUIS!$C$129*MAX(1,CEILING((INT(((CROQUIS!$C$98)-CROQUIS!$C$107)/MAX(CROQUIS!$C$129,1))+1)/80,1))))))*CROQUIS!$C$159)+IF(CROQUIS!$C$92="X",0,0)),-1000)</f>
        <v>-1000</v>
      </c>
      <c r="BO201">
        <f>IF(AND(CROQUIS!$C$88=1,CROQUIS!$C$129&gt;0),((CROQUIS!$C$161+(IF(CROQUIS!$C$92="X",((CROQUIS!$C$107/2+(((CROQUIS!$C$98)-CROQUIS!$C$107)-(MAX(1,INT(((CROQUIS!$C$98)-CROQUIS!$C$107)/MAX((CROQUIS!$C$129*MAX(1,CEILING((INT(((CROQUIS!$C$98)-CROQUIS!$C$107)/MAX(CROQUIS!$C$129,1))+1)/80,1))),1))+1)-1)*(CROQUIS!$C$129*MAX(1,CEILING((INT(((CROQUIS!$C$98)-CROQUIS!$C$107)/MAX(CROQUIS!$C$129,1))+1)/80,1))))/2)+MIN(INT(($A201-1)/5),MAX((MAX(1,INT(((CROQUIS!$C$98)-CROQUIS!$C$107)/MAX((CROQUIS!$C$129*MAX(1,CEILING((INT(((CROQUIS!$C$98)-CROQUIS!$C$107)/MAX(CROQUIS!$C$129,1))+1)/80,1))),1))+1))-1,0))*(CROQUIS!$C$129*MAX(1,CEILING((INT(((CROQUIS!$C$98)-CROQUIS!$C$107)/MAX(CROQUIS!$C$129,1))+1)/80,1)))),CHOOSE(IF(INT(($A201-1)/5)&gt;MAX((MAX(1,INT(((CROQUIS!$C$98)-CROQUIS!$C$107)/MAX((CROQUIS!$C$129*MAX(1,CEILING((INT(((CROQUIS!$C$98)-CROQUIS!$C$107)/MAX(CROQUIS!$C$129,1))+1)/80,1))),1))+1))-1,0),0,MOD($A201-1,5))+1,0,2,CROQUIS!$C$97-2,2,0)))*CROQUIS!$C$159)+IF(CROQUIS!$C$92="X",0,0)),-1000)</f>
        <v>-1000</v>
      </c>
      <c r="BP201">
        <f>IF(AND(CROQUIS!$C$88=1,CROQUIS!$C$137&gt;0),((CROQUIS!$C$160+(IF(CROQUIS!$C$92="X",((CROQUIS!$C$107/2+(((CROQUIS!$C$97)-CROQUIS!$C$107)-(MAX(1,INT(((CROQUIS!$C$97)-CROQUIS!$C$107)/MAX((CROQUIS!$C$137*MAX(1,CEILING((INT(((CROQUIS!$C$97)-CROQUIS!$C$107)/MAX(CROQUIS!$C$137,1))+1)/80,1))),1))+1)-1)*(CROQUIS!$C$137*MAX(1,CEILING((INT(((CROQUIS!$C$97)-CROQUIS!$C$107)/MAX(CROQUIS!$C$137,1))+1)/80,1))))/2)+MIN(INT(($A201-1)/5),MAX((MAX(1,INT(((CROQUIS!$C$97)-CROQUIS!$C$107)/MAX((CROQUIS!$C$137*MAX(1,CEILING((INT(((CROQUIS!$C$97)-CROQUIS!$C$107)/MAX(CROQUIS!$C$137,1))+1)/80,1))),1))+1))-1,0))*(CROQUIS!$C$137*MAX(1,CEILING((INT(((CROQUIS!$C$97)-CROQUIS!$C$107)/MAX(CROQUIS!$C$137,1))+1)/80,1)))),CHOOSE(IF(INT(($A201-1)/5)&gt;MAX((MAX(1,INT(((CROQUIS!$C$97)-CROQUIS!$C$107)/MAX((CROQUIS!$C$137*MAX(1,CEILING((INT(((CROQUIS!$C$97)-CROQUIS!$C$107)/MAX(CROQUIS!$C$137,1))+1)/80,1))),1))+1))-1,0),0,MOD($A201-1,5))+1,0,2,CROQUIS!$C$98-2,2,0)))*CROQUIS!$C$159)+IF(CROQUIS!$C$92="X",0,0)),-1000)</f>
        <v>-1000</v>
      </c>
      <c r="BQ201">
        <f>IF(AND(CROQUIS!$C$88=1,CROQUIS!$C$137&gt;0),((CROQUIS!$C$161+(IF(CROQUIS!$C$92="X",CHOOSE(IF(INT(($A201-1)/5)&gt;MAX((MAX(1,INT(((CROQUIS!$C$97)-CROQUIS!$C$107)/MAX((CROQUIS!$C$137*MAX(1,CEILING((INT(((CROQUIS!$C$97)-CROQUIS!$C$107)/MAX(CROQUIS!$C$137,1))+1)/80,1))),1))+1))-1,0),0,MOD($A201-1,5))+1,0,2,CROQUIS!$C$98-2,2,0),((CROQUIS!$C$107/2+(((CROQUIS!$C$97)-CROQUIS!$C$107)-(MAX(1,INT(((CROQUIS!$C$97)-CROQUIS!$C$107)/MAX((CROQUIS!$C$137*MAX(1,CEILING((INT(((CROQUIS!$C$97)-CROQUIS!$C$107)/MAX(CROQUIS!$C$137,1))+1)/80,1))),1))+1)-1)*(CROQUIS!$C$137*MAX(1,CEILING((INT(((CROQUIS!$C$97)-CROQUIS!$C$107)/MAX(CROQUIS!$C$137,1))+1)/80,1))))/2)+MIN(INT(($A201-1)/5),MAX((MAX(1,INT(((CROQUIS!$C$97)-CROQUIS!$C$107)/MAX((CROQUIS!$C$137*MAX(1,CEILING((INT(((CROQUIS!$C$97)-CROQUIS!$C$107)/MAX(CROQUIS!$C$137,1))+1)/80,1))),1))+1))-1,0))*(CROQUIS!$C$137*MAX(1,CEILING((INT(((CROQUIS!$C$97)-CROQUIS!$C$107)/MAX(CROQUIS!$C$137,1))+1)/80,1))))))*CROQUIS!$C$159)+IF(CROQUIS!$C$92="X",0,0)),-1000)</f>
        <v>-1000</v>
      </c>
      <c r="BR201">
        <f>IF(AND(CROQUIS!$C$88=1,CROQUIS!$C$91=0,CROQUIS!$C$133&gt;0,OR(CROQUIS!$C$103=1,CROQUIS!$C$145=1)),((CROQUIS!$C$160+(IF(CROQUIS!$C$92="X",CHOOSE(IF(INT(($A201-1)/5)&gt;MAX((MAX(1,INT(((CROQUIS!$C$98)-CROQUIS!$C$107)/MAX((CROQUIS!$C$133*MAX(1,CEILING((INT(((CROQUIS!$C$98)-CROQUIS!$C$107)/MAX(CROQUIS!$C$133,1))+1)/80,1))),1))+1))-1,0),0,MOD($A201-1,5))+1,0,IF(CROQUIS!$C$103=1,-12,2),CROQUIS!$C$107/2+CROQUIS!$C$143,IF(CROQUIS!$C$103=1,-12,2),0),((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BS2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+1,0,IF(CROQUIS!$C$103=1,-12,2),CROQUIS!$C$107/2+CROQUIS!$C$143,IF(CROQUIS!$C$103=1,-12,2),0)))*CROQUIS!$C$159)+IF(CROQUIS!$C$92="X",0.8,0)),-1000)</f>
        <v>-1000</v>
      </c>
      <c r="BT201">
        <f>IF(AND(CROQUIS!$C$88=1,CROQUIS!$C$91=0,CROQUIS!$C$133&gt;0,OR(CROQUIS!$C$104=1,CROQUIS!$C$145=1)),((CROQUIS!$C$160+(IF(CROQUIS!$C$92="X",CHOOSE(IF(INT(($A201-1)/5)&gt;MAX((MAX(1,INT(((CROQUIS!$C$98)-CROQUIS!$C$107)/MAX((CROQUIS!$C$133*MAX(1,CEILING((INT(((CROQUIS!$C$98)-CROQUIS!$C$107)/MAX(CROQUIS!$C$133,1))+1)/80,1))),1))+1))-1,0),0,MOD($A201-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BU2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CROQUIS!$C$97,CROQUIS!$C$97-CROQUIS!$C$107/2-CROQUIS!$C$143,IF(CROQUIS!$C$104=1,CROQUIS!$C$97+12,CROQUIS!$C$97-2),CROQUIS!$C$97-CROQUIS!$C$107/2-CROQUIS!$C$143,CROQUIS!$C$97)))*CROQUIS!$C$159)+IF(CROQUIS!$C$92="X",0.8,0)),-1000)</f>
        <v>-1000</v>
      </c>
      <c r="BV2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HOOSE(IF(INT(($A201-1)/5)&gt;MAX((MAX(1,INT(((CROQUIS!$C$97)-CROQUIS!$C$107)/MAX((CROQUIS!$C$141*MAX(1,CEILING((INT(((CROQUIS!$C$97)-CROQUIS!$C$107)/MAX(CROQUIS!$C$141,1))+1)/80,1))),1))+1))-1,0),0,MOD($A201-1,5))+1,0,IF(CROQUIS!$C$105=1,-12,2),CROQUIS!$C$107/2+CROQUIS!$C$144,IF(CROQUIS!$C$105=1,-12,2),0)))*CROQUIS!$C$159)+IF(CROQUIS!$C$92="X",0.8,0)),-1000)</f>
        <v>-1000</v>
      </c>
      <c r="BW201">
        <f>IF(AND(CROQUIS!$C$88=1,CROQUIS!$C$91=0,CROQUIS!$C$141&gt;0,OR(CROQUIS!$C$105=1,CROQUIS!$C$146=1)),((CROQUIS!$C$161+(IF(CROQUIS!$C$92="X",CHOOSE(IF(INT(($A201-1)/5)&gt;MAX((MAX(1,INT(((CROQUIS!$C$97)-CROQUIS!$C$107)/MAX((CROQUIS!$C$141*MAX(1,CEILING((INT(((CROQUIS!$C$97)-CROQUIS!$C$107)/MAX(CROQUIS!$C$141,1))+1)/80,1))),1))+1))-1,0),0,MOD($A201-1,5))+1,0,IF(CROQUIS!$C$105=1,-12,2),CROQUIS!$C$107/2+CROQUIS!$C$144,IF(CROQUIS!$C$105=1,-12,2),0),((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ROQUIS!$C$159)+IF(CROQUIS!$C$92="X",0,0.8)),-1000)</f>
        <v>-1000</v>
      </c>
      <c r="BX2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HOOSE(IF(INT(($A201-1)/5)&gt;MAX((MAX(1,INT(((CROQUIS!$C$97)-CROQUIS!$C$107)/MAX((CROQUIS!$C$141*MAX(1,CEILING((INT(((CROQUIS!$C$97)-CROQUIS!$C$107)/MAX(CROQUIS!$C$141,1))+1)/80,1))),1))+1))-1,0),0,MOD($A201-1,5))+1,CROQUIS!$C$98,CROQUIS!$C$98-CROQUIS!$C$107/2-CROQUIS!$C$144,IF(CROQUIS!$C$106=1,CROQUIS!$C$98+12,CROQUIS!$C$98-2),CROQUIS!$C$98-CROQUIS!$C$107/2-CROQUIS!$C$144,CROQUIS!$C$98)))*CROQUIS!$C$159)+IF(CROQUIS!$C$92="X",0.8,0)),-1000)</f>
        <v>-1000</v>
      </c>
      <c r="BY201">
        <f>IF(AND(CROQUIS!$C$88=1,CROQUIS!$C$91=0,CROQUIS!$C$141&gt;0,OR(CROQUIS!$C$106=1,CROQUIS!$C$146=1)),((CROQUIS!$C$161+(IF(CROQUIS!$C$92="X",CHOOSE(IF(INT(($A201-1)/5)&gt;MAX((MAX(1,INT(((CROQUIS!$C$97)-CROQUIS!$C$107)/MAX((CROQUIS!$C$141*MAX(1,CEILING((INT(((CROQUIS!$C$97)-CROQUIS!$C$107)/MAX(CROQUIS!$C$141,1))+1)/80,1))),1))+1))-1,0),0,MOD($A201-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ROQUIS!$C$159)+IF(CROQUIS!$C$92="X",0,0.8)),-1000)</f>
        <v>-1000</v>
      </c>
      <c r="BZ201">
        <f>IF(AND(CROQUIS!$C$88=1,CROQUIS!$C$91=1,CROQUIS!$C$133&gt;0),((CROQUIS!$C$160+(IF(CROQUIS!$C$92="X",CHOOSE(IF(INT(($A201-1)/5)&gt;MAX((MAX(1,INT(((CROQUIS!$C$98)-CROQUIS!$C$107)/MAX((CROQUIS!$C$133*MAX(1,CEILING((INT(((CROQUIS!$C$98)-CROQUIS!$C$107)/MAX(CROQUIS!$C$133,1))+1)/80,1))),1))+1))-1,0),0,MOD($A201-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CA201">
        <f>IF(AND(CROQUIS!$C$88=1,CROQUIS!$C$91=1,CROQUIS!$C$133&gt;0),((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2">
      <c r="A202" t="n">
        <v>195</v>
      </c>
      <c r="BN202">
        <f>IF(AND(CROQUIS!$C$88=1,CROQUIS!$C$129&gt;0),((CROQUIS!$C$160+(IF(CROQUIS!$C$92="X",CHOOSE(IF(INT(($A202-1)/5)&gt;MAX((MAX(1,INT(((CROQUIS!$C$98)-CROQUIS!$C$107)/MAX((CROQUIS!$C$129*MAX(1,CEILING((INT(((CROQUIS!$C$98)-CROQUIS!$C$107)/MAX(CROQUIS!$C$129,1))+1)/80,1))),1))+1))-1,0),0,MOD($A202-1,5))+1,0,2,CROQUIS!$C$97-2,2,0),((CROQUIS!$C$107/2+(((CROQUIS!$C$98)-CROQUIS!$C$107)-(MAX(1,INT(((CROQUIS!$C$98)-CROQUIS!$C$107)/MAX((CROQUIS!$C$129*MAX(1,CEILING((INT(((CROQUIS!$C$98)-CROQUIS!$C$107)/MAX(CROQUIS!$C$129,1))+1)/80,1))),1))+1)-1)*(CROQUIS!$C$129*MAX(1,CEILING((INT(((CROQUIS!$C$98)-CROQUIS!$C$107)/MAX(CROQUIS!$C$129,1))+1)/80,1))))/2)+MIN(INT(($A202-1)/5),MAX((MAX(1,INT(((CROQUIS!$C$98)-CROQUIS!$C$107)/MAX((CROQUIS!$C$129*MAX(1,CEILING((INT(((CROQUIS!$C$98)-CROQUIS!$C$107)/MAX(CROQUIS!$C$129,1))+1)/80,1))),1))+1))-1,0))*(CROQUIS!$C$129*MAX(1,CEILING((INT(((CROQUIS!$C$98)-CROQUIS!$C$107)/MAX(CROQUIS!$C$129,1))+1)/80,1))))))*CROQUIS!$C$159)+IF(CROQUIS!$C$92="X",0,0)),-1000)</f>
        <v>-1000</v>
      </c>
      <c r="BO202">
        <f>IF(AND(CROQUIS!$C$88=1,CROQUIS!$C$129&gt;0),((CROQUIS!$C$161+(IF(CROQUIS!$C$92="X",((CROQUIS!$C$107/2+(((CROQUIS!$C$98)-CROQUIS!$C$107)-(MAX(1,INT(((CROQUIS!$C$98)-CROQUIS!$C$107)/MAX((CROQUIS!$C$129*MAX(1,CEILING((INT(((CROQUIS!$C$98)-CROQUIS!$C$107)/MAX(CROQUIS!$C$129,1))+1)/80,1))),1))+1)-1)*(CROQUIS!$C$129*MAX(1,CEILING((INT(((CROQUIS!$C$98)-CROQUIS!$C$107)/MAX(CROQUIS!$C$129,1))+1)/80,1))))/2)+MIN(INT(($A202-1)/5),MAX((MAX(1,INT(((CROQUIS!$C$98)-CROQUIS!$C$107)/MAX((CROQUIS!$C$129*MAX(1,CEILING((INT(((CROQUIS!$C$98)-CROQUIS!$C$107)/MAX(CROQUIS!$C$129,1))+1)/80,1))),1))+1))-1,0))*(CROQUIS!$C$129*MAX(1,CEILING((INT(((CROQUIS!$C$98)-CROQUIS!$C$107)/MAX(CROQUIS!$C$129,1))+1)/80,1)))),CHOOSE(IF(INT(($A202-1)/5)&gt;MAX((MAX(1,INT(((CROQUIS!$C$98)-CROQUIS!$C$107)/MAX((CROQUIS!$C$129*MAX(1,CEILING((INT(((CROQUIS!$C$98)-CROQUIS!$C$107)/MAX(CROQUIS!$C$129,1))+1)/80,1))),1))+1))-1,0),0,MOD($A202-1,5))+1,0,2,CROQUIS!$C$97-2,2,0)))*CROQUIS!$C$159)+IF(CROQUIS!$C$92="X",0,0)),-1000)</f>
        <v>-1000</v>
      </c>
      <c r="BP202">
        <f>IF(AND(CROQUIS!$C$88=1,CROQUIS!$C$137&gt;0),((CROQUIS!$C$160+(IF(CROQUIS!$C$92="X",((CROQUIS!$C$107/2+(((CROQUIS!$C$97)-CROQUIS!$C$107)-(MAX(1,INT(((CROQUIS!$C$97)-CROQUIS!$C$107)/MAX((CROQUIS!$C$137*MAX(1,CEILING((INT(((CROQUIS!$C$97)-CROQUIS!$C$107)/MAX(CROQUIS!$C$137,1))+1)/80,1))),1))+1)-1)*(CROQUIS!$C$137*MAX(1,CEILING((INT(((CROQUIS!$C$97)-CROQUIS!$C$107)/MAX(CROQUIS!$C$137,1))+1)/80,1))))/2)+MIN(INT(($A202-1)/5),MAX((MAX(1,INT(((CROQUIS!$C$97)-CROQUIS!$C$107)/MAX((CROQUIS!$C$137*MAX(1,CEILING((INT(((CROQUIS!$C$97)-CROQUIS!$C$107)/MAX(CROQUIS!$C$137,1))+1)/80,1))),1))+1))-1,0))*(CROQUIS!$C$137*MAX(1,CEILING((INT(((CROQUIS!$C$97)-CROQUIS!$C$107)/MAX(CROQUIS!$C$137,1))+1)/80,1)))),CHOOSE(IF(INT(($A202-1)/5)&gt;MAX((MAX(1,INT(((CROQUIS!$C$97)-CROQUIS!$C$107)/MAX((CROQUIS!$C$137*MAX(1,CEILING((INT(((CROQUIS!$C$97)-CROQUIS!$C$107)/MAX(CROQUIS!$C$137,1))+1)/80,1))),1))+1))-1,0),0,MOD($A202-1,5))+1,0,2,CROQUIS!$C$98-2,2,0)))*CROQUIS!$C$159)+IF(CROQUIS!$C$92="X",0,0)),-1000)</f>
        <v>-1000</v>
      </c>
      <c r="BQ202">
        <f>IF(AND(CROQUIS!$C$88=1,CROQUIS!$C$137&gt;0),((CROQUIS!$C$161+(IF(CROQUIS!$C$92="X",CHOOSE(IF(INT(($A202-1)/5)&gt;MAX((MAX(1,INT(((CROQUIS!$C$97)-CROQUIS!$C$107)/MAX((CROQUIS!$C$137*MAX(1,CEILING((INT(((CROQUIS!$C$97)-CROQUIS!$C$107)/MAX(CROQUIS!$C$137,1))+1)/80,1))),1))+1))-1,0),0,MOD($A202-1,5))+1,0,2,CROQUIS!$C$98-2,2,0),((CROQUIS!$C$107/2+(((CROQUIS!$C$97)-CROQUIS!$C$107)-(MAX(1,INT(((CROQUIS!$C$97)-CROQUIS!$C$107)/MAX((CROQUIS!$C$137*MAX(1,CEILING((INT(((CROQUIS!$C$97)-CROQUIS!$C$107)/MAX(CROQUIS!$C$137,1))+1)/80,1))),1))+1)-1)*(CROQUIS!$C$137*MAX(1,CEILING((INT(((CROQUIS!$C$97)-CROQUIS!$C$107)/MAX(CROQUIS!$C$137,1))+1)/80,1))))/2)+MIN(INT(($A202-1)/5),MAX((MAX(1,INT(((CROQUIS!$C$97)-CROQUIS!$C$107)/MAX((CROQUIS!$C$137*MAX(1,CEILING((INT(((CROQUIS!$C$97)-CROQUIS!$C$107)/MAX(CROQUIS!$C$137,1))+1)/80,1))),1))+1))-1,0))*(CROQUIS!$C$137*MAX(1,CEILING((INT(((CROQUIS!$C$97)-CROQUIS!$C$107)/MAX(CROQUIS!$C$137,1))+1)/80,1))))))*CROQUIS!$C$159)+IF(CROQUIS!$C$92="X",0,0)),-1000)</f>
        <v>-1000</v>
      </c>
      <c r="BR202">
        <f>IF(AND(CROQUIS!$C$88=1,CROQUIS!$C$91=0,CROQUIS!$C$133&gt;0,OR(CROQUIS!$C$103=1,CROQUIS!$C$145=1)),((CROQUIS!$C$160+(IF(CROQUIS!$C$92="X",CHOOSE(IF(INT(($A202-1)/5)&gt;MAX((MAX(1,INT(((CROQUIS!$C$98)-CROQUIS!$C$107)/MAX((CROQUIS!$C$133*MAX(1,CEILING((INT(((CROQUIS!$C$98)-CROQUIS!$C$107)/MAX(CROQUIS!$C$133,1))+1)/80,1))),1))+1))-1,0),0,MOD($A202-1,5))+1,0,IF(CROQUIS!$C$103=1,-12,2),CROQUIS!$C$107/2+CROQUIS!$C$143,IF(CROQUIS!$C$103=1,-12,2),0),((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BS2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+1,0,IF(CROQUIS!$C$103=1,-12,2),CROQUIS!$C$107/2+CROQUIS!$C$143,IF(CROQUIS!$C$103=1,-12,2),0)))*CROQUIS!$C$159)+IF(CROQUIS!$C$92="X",0.8,0)),-1000)</f>
        <v>-1000</v>
      </c>
      <c r="BT202">
        <f>IF(AND(CROQUIS!$C$88=1,CROQUIS!$C$91=0,CROQUIS!$C$133&gt;0,OR(CROQUIS!$C$104=1,CROQUIS!$C$145=1)),((CROQUIS!$C$160+(IF(CROQUIS!$C$92="X",CHOOSE(IF(INT(($A202-1)/5)&gt;MAX((MAX(1,INT(((CROQUIS!$C$98)-CROQUIS!$C$107)/MAX((CROQUIS!$C$133*MAX(1,CEILING((INT(((CROQUIS!$C$98)-CROQUIS!$C$107)/MAX(CROQUIS!$C$133,1))+1)/80,1))),1))+1))-1,0),0,MOD($A202-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BU2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CROQUIS!$C$97,CROQUIS!$C$97-CROQUIS!$C$107/2-CROQUIS!$C$143,IF(CROQUIS!$C$104=1,CROQUIS!$C$97+12,CROQUIS!$C$97-2),CROQUIS!$C$97-CROQUIS!$C$107/2-CROQUIS!$C$143,CROQUIS!$C$97)))*CROQUIS!$C$159)+IF(CROQUIS!$C$92="X",0.8,0)),-1000)</f>
        <v>-1000</v>
      </c>
      <c r="BV2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HOOSE(IF(INT(($A202-1)/5)&gt;MAX((MAX(1,INT(((CROQUIS!$C$97)-CROQUIS!$C$107)/MAX((CROQUIS!$C$141*MAX(1,CEILING((INT(((CROQUIS!$C$97)-CROQUIS!$C$107)/MAX(CROQUIS!$C$141,1))+1)/80,1))),1))+1))-1,0),0,MOD($A202-1,5))+1,0,IF(CROQUIS!$C$105=1,-12,2),CROQUIS!$C$107/2+CROQUIS!$C$144,IF(CROQUIS!$C$105=1,-12,2),0)))*CROQUIS!$C$159)+IF(CROQUIS!$C$92="X",0.8,0)),-1000)</f>
        <v>-1000</v>
      </c>
      <c r="BW202">
        <f>IF(AND(CROQUIS!$C$88=1,CROQUIS!$C$91=0,CROQUIS!$C$141&gt;0,OR(CROQUIS!$C$105=1,CROQUIS!$C$146=1)),((CROQUIS!$C$161+(IF(CROQUIS!$C$92="X",CHOOSE(IF(INT(($A202-1)/5)&gt;MAX((MAX(1,INT(((CROQUIS!$C$97)-CROQUIS!$C$107)/MAX((CROQUIS!$C$141*MAX(1,CEILING((INT(((CROQUIS!$C$97)-CROQUIS!$C$107)/MAX(CROQUIS!$C$141,1))+1)/80,1))),1))+1))-1,0),0,MOD($A202-1,5))+1,0,IF(CROQUIS!$C$105=1,-12,2),CROQUIS!$C$107/2+CROQUIS!$C$144,IF(CROQUIS!$C$105=1,-12,2),0),((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ROQUIS!$C$159)+IF(CROQUIS!$C$92="X",0,0.8)),-1000)</f>
        <v>-1000</v>
      </c>
      <c r="BX2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HOOSE(IF(INT(($A202-1)/5)&gt;MAX((MAX(1,INT(((CROQUIS!$C$97)-CROQUIS!$C$107)/MAX((CROQUIS!$C$141*MAX(1,CEILING((INT(((CROQUIS!$C$97)-CROQUIS!$C$107)/MAX(CROQUIS!$C$141,1))+1)/80,1))),1))+1))-1,0),0,MOD($A202-1,5))+1,CROQUIS!$C$98,CROQUIS!$C$98-CROQUIS!$C$107/2-CROQUIS!$C$144,IF(CROQUIS!$C$106=1,CROQUIS!$C$98+12,CROQUIS!$C$98-2),CROQUIS!$C$98-CROQUIS!$C$107/2-CROQUIS!$C$144,CROQUIS!$C$98)))*CROQUIS!$C$159)+IF(CROQUIS!$C$92="X",0.8,0)),-1000)</f>
        <v>-1000</v>
      </c>
      <c r="BY202">
        <f>IF(AND(CROQUIS!$C$88=1,CROQUIS!$C$91=0,CROQUIS!$C$141&gt;0,OR(CROQUIS!$C$106=1,CROQUIS!$C$146=1)),((CROQUIS!$C$161+(IF(CROQUIS!$C$92="X",CHOOSE(IF(INT(($A202-1)/5)&gt;MAX((MAX(1,INT(((CROQUIS!$C$97)-CROQUIS!$C$107)/MAX((CROQUIS!$C$141*MAX(1,CEILING((INT(((CROQUIS!$C$97)-CROQUIS!$C$107)/MAX(CROQUIS!$C$141,1))+1)/80,1))),1))+1))-1,0),0,MOD($A202-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ROQUIS!$C$159)+IF(CROQUIS!$C$92="X",0,0.8)),-1000)</f>
        <v>-1000</v>
      </c>
      <c r="BZ202">
        <f>IF(AND(CROQUIS!$C$88=1,CROQUIS!$C$91=1,CROQUIS!$C$133&gt;0),((CROQUIS!$C$160+(IF(CROQUIS!$C$92="X",CHOOSE(IF(INT(($A202-1)/5)&gt;MAX((MAX(1,INT(((CROQUIS!$C$98)-CROQUIS!$C$107)/MAX((CROQUIS!$C$133*MAX(1,CEILING((INT(((CROQUIS!$C$98)-CROQUIS!$C$107)/MAX(CROQUIS!$C$133,1))+1)/80,1))),1))+1))-1,0),0,MOD($A202-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CA202">
        <f>IF(AND(CROQUIS!$C$88=1,CROQUIS!$C$91=1,CROQUIS!$C$133&gt;0),((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3">
      <c r="A203" t="n">
        <v>196</v>
      </c>
      <c r="BN203">
        <f>IF(AND(CROQUIS!$C$88=1,CROQUIS!$C$129&gt;0),((CROQUIS!$C$160+(IF(CROQUIS!$C$92="X",CHOOSE(IF(INT(($A203-1)/5)&gt;MAX((MAX(1,INT(((CROQUIS!$C$98)-CROQUIS!$C$107)/MAX((CROQUIS!$C$129*MAX(1,CEILING((INT(((CROQUIS!$C$98)-CROQUIS!$C$107)/MAX(CROQUIS!$C$129,1))+1)/80,1))),1))+1))-1,0),0,MOD($A203-1,5))+1,0,2,CROQUIS!$C$97-2,2,0),((CROQUIS!$C$107/2+(((CROQUIS!$C$98)-CROQUIS!$C$107)-(MAX(1,INT(((CROQUIS!$C$98)-CROQUIS!$C$107)/MAX((CROQUIS!$C$129*MAX(1,CEILING((INT(((CROQUIS!$C$98)-CROQUIS!$C$107)/MAX(CROQUIS!$C$129,1))+1)/80,1))),1))+1)-1)*(CROQUIS!$C$129*MAX(1,CEILING((INT(((CROQUIS!$C$98)-CROQUIS!$C$107)/MAX(CROQUIS!$C$129,1))+1)/80,1))))/2)+MIN(INT(($A203-1)/5),MAX((MAX(1,INT(((CROQUIS!$C$98)-CROQUIS!$C$107)/MAX((CROQUIS!$C$129*MAX(1,CEILING((INT(((CROQUIS!$C$98)-CROQUIS!$C$107)/MAX(CROQUIS!$C$129,1))+1)/80,1))),1))+1))-1,0))*(CROQUIS!$C$129*MAX(1,CEILING((INT(((CROQUIS!$C$98)-CROQUIS!$C$107)/MAX(CROQUIS!$C$129,1))+1)/80,1))))))*CROQUIS!$C$159)+IF(CROQUIS!$C$92="X",0,0)),-1000)</f>
        <v>-1000</v>
      </c>
      <c r="BO203">
        <f>IF(AND(CROQUIS!$C$88=1,CROQUIS!$C$129&gt;0),((CROQUIS!$C$161+(IF(CROQUIS!$C$92="X",((CROQUIS!$C$107/2+(((CROQUIS!$C$98)-CROQUIS!$C$107)-(MAX(1,INT(((CROQUIS!$C$98)-CROQUIS!$C$107)/MAX((CROQUIS!$C$129*MAX(1,CEILING((INT(((CROQUIS!$C$98)-CROQUIS!$C$107)/MAX(CROQUIS!$C$129,1))+1)/80,1))),1))+1)-1)*(CROQUIS!$C$129*MAX(1,CEILING((INT(((CROQUIS!$C$98)-CROQUIS!$C$107)/MAX(CROQUIS!$C$129,1))+1)/80,1))))/2)+MIN(INT(($A203-1)/5),MAX((MAX(1,INT(((CROQUIS!$C$98)-CROQUIS!$C$107)/MAX((CROQUIS!$C$129*MAX(1,CEILING((INT(((CROQUIS!$C$98)-CROQUIS!$C$107)/MAX(CROQUIS!$C$129,1))+1)/80,1))),1))+1))-1,0))*(CROQUIS!$C$129*MAX(1,CEILING((INT(((CROQUIS!$C$98)-CROQUIS!$C$107)/MAX(CROQUIS!$C$129,1))+1)/80,1)))),CHOOSE(IF(INT(($A203-1)/5)&gt;MAX((MAX(1,INT(((CROQUIS!$C$98)-CROQUIS!$C$107)/MAX((CROQUIS!$C$129*MAX(1,CEILING((INT(((CROQUIS!$C$98)-CROQUIS!$C$107)/MAX(CROQUIS!$C$129,1))+1)/80,1))),1))+1))-1,0),0,MOD($A203-1,5))+1,0,2,CROQUIS!$C$97-2,2,0)))*CROQUIS!$C$159)+IF(CROQUIS!$C$92="X",0,0)),-1000)</f>
        <v>-1000</v>
      </c>
      <c r="BP203">
        <f>IF(AND(CROQUIS!$C$88=1,CROQUIS!$C$137&gt;0),((CROQUIS!$C$160+(IF(CROQUIS!$C$92="X",((CROQUIS!$C$107/2+(((CROQUIS!$C$97)-CROQUIS!$C$107)-(MAX(1,INT(((CROQUIS!$C$97)-CROQUIS!$C$107)/MAX((CROQUIS!$C$137*MAX(1,CEILING((INT(((CROQUIS!$C$97)-CROQUIS!$C$107)/MAX(CROQUIS!$C$137,1))+1)/80,1))),1))+1)-1)*(CROQUIS!$C$137*MAX(1,CEILING((INT(((CROQUIS!$C$97)-CROQUIS!$C$107)/MAX(CROQUIS!$C$137,1))+1)/80,1))))/2)+MIN(INT(($A203-1)/5),MAX((MAX(1,INT(((CROQUIS!$C$97)-CROQUIS!$C$107)/MAX((CROQUIS!$C$137*MAX(1,CEILING((INT(((CROQUIS!$C$97)-CROQUIS!$C$107)/MAX(CROQUIS!$C$137,1))+1)/80,1))),1))+1))-1,0))*(CROQUIS!$C$137*MAX(1,CEILING((INT(((CROQUIS!$C$97)-CROQUIS!$C$107)/MAX(CROQUIS!$C$137,1))+1)/80,1)))),CHOOSE(IF(INT(($A203-1)/5)&gt;MAX((MAX(1,INT(((CROQUIS!$C$97)-CROQUIS!$C$107)/MAX((CROQUIS!$C$137*MAX(1,CEILING((INT(((CROQUIS!$C$97)-CROQUIS!$C$107)/MAX(CROQUIS!$C$137,1))+1)/80,1))),1))+1))-1,0),0,MOD($A203-1,5))+1,0,2,CROQUIS!$C$98-2,2,0)))*CROQUIS!$C$159)+IF(CROQUIS!$C$92="X",0,0)),-1000)</f>
        <v>-1000</v>
      </c>
      <c r="BQ203">
        <f>IF(AND(CROQUIS!$C$88=1,CROQUIS!$C$137&gt;0),((CROQUIS!$C$161+(IF(CROQUIS!$C$92="X",CHOOSE(IF(INT(($A203-1)/5)&gt;MAX((MAX(1,INT(((CROQUIS!$C$97)-CROQUIS!$C$107)/MAX((CROQUIS!$C$137*MAX(1,CEILING((INT(((CROQUIS!$C$97)-CROQUIS!$C$107)/MAX(CROQUIS!$C$137,1))+1)/80,1))),1))+1))-1,0),0,MOD($A203-1,5))+1,0,2,CROQUIS!$C$98-2,2,0),((CROQUIS!$C$107/2+(((CROQUIS!$C$97)-CROQUIS!$C$107)-(MAX(1,INT(((CROQUIS!$C$97)-CROQUIS!$C$107)/MAX((CROQUIS!$C$137*MAX(1,CEILING((INT(((CROQUIS!$C$97)-CROQUIS!$C$107)/MAX(CROQUIS!$C$137,1))+1)/80,1))),1))+1)-1)*(CROQUIS!$C$137*MAX(1,CEILING((INT(((CROQUIS!$C$97)-CROQUIS!$C$107)/MAX(CROQUIS!$C$137,1))+1)/80,1))))/2)+MIN(INT(($A203-1)/5),MAX((MAX(1,INT(((CROQUIS!$C$97)-CROQUIS!$C$107)/MAX((CROQUIS!$C$137*MAX(1,CEILING((INT(((CROQUIS!$C$97)-CROQUIS!$C$107)/MAX(CROQUIS!$C$137,1))+1)/80,1))),1))+1))-1,0))*(CROQUIS!$C$137*MAX(1,CEILING((INT(((CROQUIS!$C$97)-CROQUIS!$C$107)/MAX(CROQUIS!$C$137,1))+1)/80,1))))))*CROQUIS!$C$159)+IF(CROQUIS!$C$92="X",0,0)),-1000)</f>
        <v>-1000</v>
      </c>
      <c r="BR203">
        <f>IF(AND(CROQUIS!$C$88=1,CROQUIS!$C$91=0,CROQUIS!$C$133&gt;0,OR(CROQUIS!$C$103=1,CROQUIS!$C$145=1)),((CROQUIS!$C$160+(IF(CROQUIS!$C$92="X",CHOOSE(IF(INT(($A203-1)/5)&gt;MAX((MAX(1,INT(((CROQUIS!$C$98)-CROQUIS!$C$107)/MAX((CROQUIS!$C$133*MAX(1,CEILING((INT(((CROQUIS!$C$98)-CROQUIS!$C$107)/MAX(CROQUIS!$C$133,1))+1)/80,1))),1))+1))-1,0),0,MOD($A203-1,5))+1,0,IF(CROQUIS!$C$103=1,-12,2),CROQUIS!$C$107/2+CROQUIS!$C$143,IF(CROQUIS!$C$103=1,-12,2),0),((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BS2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+1,0,IF(CROQUIS!$C$103=1,-12,2),CROQUIS!$C$107/2+CROQUIS!$C$143,IF(CROQUIS!$C$103=1,-12,2),0)))*CROQUIS!$C$159)+IF(CROQUIS!$C$92="X",0.8,0)),-1000)</f>
        <v>-1000</v>
      </c>
      <c r="BT203">
        <f>IF(AND(CROQUIS!$C$88=1,CROQUIS!$C$91=0,CROQUIS!$C$133&gt;0,OR(CROQUIS!$C$104=1,CROQUIS!$C$145=1)),((CROQUIS!$C$160+(IF(CROQUIS!$C$92="X",CHOOSE(IF(INT(($A203-1)/5)&gt;MAX((MAX(1,INT(((CROQUIS!$C$98)-CROQUIS!$C$107)/MAX((CROQUIS!$C$133*MAX(1,CEILING((INT(((CROQUIS!$C$98)-CROQUIS!$C$107)/MAX(CROQUIS!$C$133,1))+1)/80,1))),1))+1))-1,0),0,MOD($A203-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BU2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CROQUIS!$C$97,CROQUIS!$C$97-CROQUIS!$C$107/2-CROQUIS!$C$143,IF(CROQUIS!$C$104=1,CROQUIS!$C$97+12,CROQUIS!$C$97-2),CROQUIS!$C$97-CROQUIS!$C$107/2-CROQUIS!$C$143,CROQUIS!$C$97)))*CROQUIS!$C$159)+IF(CROQUIS!$C$92="X",0.8,0)),-1000)</f>
        <v>-1000</v>
      </c>
      <c r="BV2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HOOSE(IF(INT(($A203-1)/5)&gt;MAX((MAX(1,INT(((CROQUIS!$C$97)-CROQUIS!$C$107)/MAX((CROQUIS!$C$141*MAX(1,CEILING((INT(((CROQUIS!$C$97)-CROQUIS!$C$107)/MAX(CROQUIS!$C$141,1))+1)/80,1))),1))+1))-1,0),0,MOD($A203-1,5))+1,0,IF(CROQUIS!$C$105=1,-12,2),CROQUIS!$C$107/2+CROQUIS!$C$144,IF(CROQUIS!$C$105=1,-12,2),0)))*CROQUIS!$C$159)+IF(CROQUIS!$C$92="X",0.8,0)),-1000)</f>
        <v>-1000</v>
      </c>
      <c r="BW203">
        <f>IF(AND(CROQUIS!$C$88=1,CROQUIS!$C$91=0,CROQUIS!$C$141&gt;0,OR(CROQUIS!$C$105=1,CROQUIS!$C$146=1)),((CROQUIS!$C$161+(IF(CROQUIS!$C$92="X",CHOOSE(IF(INT(($A203-1)/5)&gt;MAX((MAX(1,INT(((CROQUIS!$C$97)-CROQUIS!$C$107)/MAX((CROQUIS!$C$141*MAX(1,CEILING((INT(((CROQUIS!$C$97)-CROQUIS!$C$107)/MAX(CROQUIS!$C$141,1))+1)/80,1))),1))+1))-1,0),0,MOD($A203-1,5))+1,0,IF(CROQUIS!$C$105=1,-12,2),CROQUIS!$C$107/2+CROQUIS!$C$144,IF(CROQUIS!$C$105=1,-12,2),0),((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ROQUIS!$C$159)+IF(CROQUIS!$C$92="X",0,0.8)),-1000)</f>
        <v>-1000</v>
      </c>
      <c r="BX2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HOOSE(IF(INT(($A203-1)/5)&gt;MAX((MAX(1,INT(((CROQUIS!$C$97)-CROQUIS!$C$107)/MAX((CROQUIS!$C$141*MAX(1,CEILING((INT(((CROQUIS!$C$97)-CROQUIS!$C$107)/MAX(CROQUIS!$C$141,1))+1)/80,1))),1))+1))-1,0),0,MOD($A203-1,5))+1,CROQUIS!$C$98,CROQUIS!$C$98-CROQUIS!$C$107/2-CROQUIS!$C$144,IF(CROQUIS!$C$106=1,CROQUIS!$C$98+12,CROQUIS!$C$98-2),CROQUIS!$C$98-CROQUIS!$C$107/2-CROQUIS!$C$144,CROQUIS!$C$98)))*CROQUIS!$C$159)+IF(CROQUIS!$C$92="X",0.8,0)),-1000)</f>
        <v>-1000</v>
      </c>
      <c r="BY203">
        <f>IF(AND(CROQUIS!$C$88=1,CROQUIS!$C$91=0,CROQUIS!$C$141&gt;0,OR(CROQUIS!$C$106=1,CROQUIS!$C$146=1)),((CROQUIS!$C$161+(IF(CROQUIS!$C$92="X",CHOOSE(IF(INT(($A203-1)/5)&gt;MAX((MAX(1,INT(((CROQUIS!$C$97)-CROQUIS!$C$107)/MAX((CROQUIS!$C$141*MAX(1,CEILING((INT(((CROQUIS!$C$97)-CROQUIS!$C$107)/MAX(CROQUIS!$C$141,1))+1)/80,1))),1))+1))-1,0),0,MOD($A203-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ROQUIS!$C$159)+IF(CROQUIS!$C$92="X",0,0.8)),-1000)</f>
        <v>-1000</v>
      </c>
      <c r="BZ203">
        <f>IF(AND(CROQUIS!$C$88=1,CROQUIS!$C$91=1,CROQUIS!$C$133&gt;0),((CROQUIS!$C$160+(IF(CROQUIS!$C$92="X",CHOOSE(IF(INT(($A203-1)/5)&gt;MAX((MAX(1,INT(((CROQUIS!$C$98)-CROQUIS!$C$107)/MAX((CROQUIS!$C$133*MAX(1,CEILING((INT(((CROQUIS!$C$98)-CROQUIS!$C$107)/MAX(CROQUIS!$C$133,1))+1)/80,1))),1))+1))-1,0),0,MOD($A203-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CA203">
        <f>IF(AND(CROQUIS!$C$88=1,CROQUIS!$C$91=1,CROQUIS!$C$133&gt;0),((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4">
      <c r="A204" t="n">
        <v>197</v>
      </c>
      <c r="BN204">
        <f>IF(AND(CROQUIS!$C$88=1,CROQUIS!$C$129&gt;0),((CROQUIS!$C$160+(IF(CROQUIS!$C$92="X",CHOOSE(IF(INT(($A204-1)/5)&gt;MAX((MAX(1,INT(((CROQUIS!$C$98)-CROQUIS!$C$107)/MAX((CROQUIS!$C$129*MAX(1,CEILING((INT(((CROQUIS!$C$98)-CROQUIS!$C$107)/MAX(CROQUIS!$C$129,1))+1)/80,1))),1))+1))-1,0),0,MOD($A204-1,5))+1,0,2,CROQUIS!$C$97-2,2,0),((CROQUIS!$C$107/2+(((CROQUIS!$C$98)-CROQUIS!$C$107)-(MAX(1,INT(((CROQUIS!$C$98)-CROQUIS!$C$107)/MAX((CROQUIS!$C$129*MAX(1,CEILING((INT(((CROQUIS!$C$98)-CROQUIS!$C$107)/MAX(CROQUIS!$C$129,1))+1)/80,1))),1))+1)-1)*(CROQUIS!$C$129*MAX(1,CEILING((INT(((CROQUIS!$C$98)-CROQUIS!$C$107)/MAX(CROQUIS!$C$129,1))+1)/80,1))))/2)+MIN(INT(($A204-1)/5),MAX((MAX(1,INT(((CROQUIS!$C$98)-CROQUIS!$C$107)/MAX((CROQUIS!$C$129*MAX(1,CEILING((INT(((CROQUIS!$C$98)-CROQUIS!$C$107)/MAX(CROQUIS!$C$129,1))+1)/80,1))),1))+1))-1,0))*(CROQUIS!$C$129*MAX(1,CEILING((INT(((CROQUIS!$C$98)-CROQUIS!$C$107)/MAX(CROQUIS!$C$129,1))+1)/80,1))))))*CROQUIS!$C$159)+IF(CROQUIS!$C$92="X",0,0)),-1000)</f>
        <v>-1000</v>
      </c>
      <c r="BO204">
        <f>IF(AND(CROQUIS!$C$88=1,CROQUIS!$C$129&gt;0),((CROQUIS!$C$161+(IF(CROQUIS!$C$92="X",((CROQUIS!$C$107/2+(((CROQUIS!$C$98)-CROQUIS!$C$107)-(MAX(1,INT(((CROQUIS!$C$98)-CROQUIS!$C$107)/MAX((CROQUIS!$C$129*MAX(1,CEILING((INT(((CROQUIS!$C$98)-CROQUIS!$C$107)/MAX(CROQUIS!$C$129,1))+1)/80,1))),1))+1)-1)*(CROQUIS!$C$129*MAX(1,CEILING((INT(((CROQUIS!$C$98)-CROQUIS!$C$107)/MAX(CROQUIS!$C$129,1))+1)/80,1))))/2)+MIN(INT(($A204-1)/5),MAX((MAX(1,INT(((CROQUIS!$C$98)-CROQUIS!$C$107)/MAX((CROQUIS!$C$129*MAX(1,CEILING((INT(((CROQUIS!$C$98)-CROQUIS!$C$107)/MAX(CROQUIS!$C$129,1))+1)/80,1))),1))+1))-1,0))*(CROQUIS!$C$129*MAX(1,CEILING((INT(((CROQUIS!$C$98)-CROQUIS!$C$107)/MAX(CROQUIS!$C$129,1))+1)/80,1)))),CHOOSE(IF(INT(($A204-1)/5)&gt;MAX((MAX(1,INT(((CROQUIS!$C$98)-CROQUIS!$C$107)/MAX((CROQUIS!$C$129*MAX(1,CEILING((INT(((CROQUIS!$C$98)-CROQUIS!$C$107)/MAX(CROQUIS!$C$129,1))+1)/80,1))),1))+1))-1,0),0,MOD($A204-1,5))+1,0,2,CROQUIS!$C$97-2,2,0)))*CROQUIS!$C$159)+IF(CROQUIS!$C$92="X",0,0)),-1000)</f>
        <v>-1000</v>
      </c>
      <c r="BP204">
        <f>IF(AND(CROQUIS!$C$88=1,CROQUIS!$C$137&gt;0),((CROQUIS!$C$160+(IF(CROQUIS!$C$92="X",((CROQUIS!$C$107/2+(((CROQUIS!$C$97)-CROQUIS!$C$107)-(MAX(1,INT(((CROQUIS!$C$97)-CROQUIS!$C$107)/MAX((CROQUIS!$C$137*MAX(1,CEILING((INT(((CROQUIS!$C$97)-CROQUIS!$C$107)/MAX(CROQUIS!$C$137,1))+1)/80,1))),1))+1)-1)*(CROQUIS!$C$137*MAX(1,CEILING((INT(((CROQUIS!$C$97)-CROQUIS!$C$107)/MAX(CROQUIS!$C$137,1))+1)/80,1))))/2)+MIN(INT(($A204-1)/5),MAX((MAX(1,INT(((CROQUIS!$C$97)-CROQUIS!$C$107)/MAX((CROQUIS!$C$137*MAX(1,CEILING((INT(((CROQUIS!$C$97)-CROQUIS!$C$107)/MAX(CROQUIS!$C$137,1))+1)/80,1))),1))+1))-1,0))*(CROQUIS!$C$137*MAX(1,CEILING((INT(((CROQUIS!$C$97)-CROQUIS!$C$107)/MAX(CROQUIS!$C$137,1))+1)/80,1)))),CHOOSE(IF(INT(($A204-1)/5)&gt;MAX((MAX(1,INT(((CROQUIS!$C$97)-CROQUIS!$C$107)/MAX((CROQUIS!$C$137*MAX(1,CEILING((INT(((CROQUIS!$C$97)-CROQUIS!$C$107)/MAX(CROQUIS!$C$137,1))+1)/80,1))),1))+1))-1,0),0,MOD($A204-1,5))+1,0,2,CROQUIS!$C$98-2,2,0)))*CROQUIS!$C$159)+IF(CROQUIS!$C$92="X",0,0)),-1000)</f>
        <v>-1000</v>
      </c>
      <c r="BQ204">
        <f>IF(AND(CROQUIS!$C$88=1,CROQUIS!$C$137&gt;0),((CROQUIS!$C$161+(IF(CROQUIS!$C$92="X",CHOOSE(IF(INT(($A204-1)/5)&gt;MAX((MAX(1,INT(((CROQUIS!$C$97)-CROQUIS!$C$107)/MAX((CROQUIS!$C$137*MAX(1,CEILING((INT(((CROQUIS!$C$97)-CROQUIS!$C$107)/MAX(CROQUIS!$C$137,1))+1)/80,1))),1))+1))-1,0),0,MOD($A204-1,5))+1,0,2,CROQUIS!$C$98-2,2,0),((CROQUIS!$C$107/2+(((CROQUIS!$C$97)-CROQUIS!$C$107)-(MAX(1,INT(((CROQUIS!$C$97)-CROQUIS!$C$107)/MAX((CROQUIS!$C$137*MAX(1,CEILING((INT(((CROQUIS!$C$97)-CROQUIS!$C$107)/MAX(CROQUIS!$C$137,1))+1)/80,1))),1))+1)-1)*(CROQUIS!$C$137*MAX(1,CEILING((INT(((CROQUIS!$C$97)-CROQUIS!$C$107)/MAX(CROQUIS!$C$137,1))+1)/80,1))))/2)+MIN(INT(($A204-1)/5),MAX((MAX(1,INT(((CROQUIS!$C$97)-CROQUIS!$C$107)/MAX((CROQUIS!$C$137*MAX(1,CEILING((INT(((CROQUIS!$C$97)-CROQUIS!$C$107)/MAX(CROQUIS!$C$137,1))+1)/80,1))),1))+1))-1,0))*(CROQUIS!$C$137*MAX(1,CEILING((INT(((CROQUIS!$C$97)-CROQUIS!$C$107)/MAX(CROQUIS!$C$137,1))+1)/80,1))))))*CROQUIS!$C$159)+IF(CROQUIS!$C$92="X",0,0)),-1000)</f>
        <v>-1000</v>
      </c>
      <c r="BR204">
        <f>IF(AND(CROQUIS!$C$88=1,CROQUIS!$C$91=0,CROQUIS!$C$133&gt;0,OR(CROQUIS!$C$103=1,CROQUIS!$C$145=1)),((CROQUIS!$C$160+(IF(CROQUIS!$C$92="X",CHOOSE(IF(INT(($A204-1)/5)&gt;MAX((MAX(1,INT(((CROQUIS!$C$98)-CROQUIS!$C$107)/MAX((CROQUIS!$C$133*MAX(1,CEILING((INT(((CROQUIS!$C$98)-CROQUIS!$C$107)/MAX(CROQUIS!$C$133,1))+1)/80,1))),1))+1))-1,0),0,MOD($A204-1,5))+1,0,IF(CROQUIS!$C$103=1,-12,2),CROQUIS!$C$107/2+CROQUIS!$C$143,IF(CROQUIS!$C$103=1,-12,2),0),((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BS2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+1,0,IF(CROQUIS!$C$103=1,-12,2),CROQUIS!$C$107/2+CROQUIS!$C$143,IF(CROQUIS!$C$103=1,-12,2),0)))*CROQUIS!$C$159)+IF(CROQUIS!$C$92="X",0.8,0)),-1000)</f>
        <v>-1000</v>
      </c>
      <c r="BT204">
        <f>IF(AND(CROQUIS!$C$88=1,CROQUIS!$C$91=0,CROQUIS!$C$133&gt;0,OR(CROQUIS!$C$104=1,CROQUIS!$C$145=1)),((CROQUIS!$C$160+(IF(CROQUIS!$C$92="X",CHOOSE(IF(INT(($A204-1)/5)&gt;MAX((MAX(1,INT(((CROQUIS!$C$98)-CROQUIS!$C$107)/MAX((CROQUIS!$C$133*MAX(1,CEILING((INT(((CROQUIS!$C$98)-CROQUIS!$C$107)/MAX(CROQUIS!$C$133,1))+1)/80,1))),1))+1))-1,0),0,MOD($A204-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BU2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CROQUIS!$C$97,CROQUIS!$C$97-CROQUIS!$C$107/2-CROQUIS!$C$143,IF(CROQUIS!$C$104=1,CROQUIS!$C$97+12,CROQUIS!$C$97-2),CROQUIS!$C$97-CROQUIS!$C$107/2-CROQUIS!$C$143,CROQUIS!$C$97)))*CROQUIS!$C$159)+IF(CROQUIS!$C$92="X",0.8,0)),-1000)</f>
        <v>-1000</v>
      </c>
      <c r="BV2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HOOSE(IF(INT(($A204-1)/5)&gt;MAX((MAX(1,INT(((CROQUIS!$C$97)-CROQUIS!$C$107)/MAX((CROQUIS!$C$141*MAX(1,CEILING((INT(((CROQUIS!$C$97)-CROQUIS!$C$107)/MAX(CROQUIS!$C$141,1))+1)/80,1))),1))+1))-1,0),0,MOD($A204-1,5))+1,0,IF(CROQUIS!$C$105=1,-12,2),CROQUIS!$C$107/2+CROQUIS!$C$144,IF(CROQUIS!$C$105=1,-12,2),0)))*CROQUIS!$C$159)+IF(CROQUIS!$C$92="X",0.8,0)),-1000)</f>
        <v>-1000</v>
      </c>
      <c r="BW204">
        <f>IF(AND(CROQUIS!$C$88=1,CROQUIS!$C$91=0,CROQUIS!$C$141&gt;0,OR(CROQUIS!$C$105=1,CROQUIS!$C$146=1)),((CROQUIS!$C$161+(IF(CROQUIS!$C$92="X",CHOOSE(IF(INT(($A204-1)/5)&gt;MAX((MAX(1,INT(((CROQUIS!$C$97)-CROQUIS!$C$107)/MAX((CROQUIS!$C$141*MAX(1,CEILING((INT(((CROQUIS!$C$97)-CROQUIS!$C$107)/MAX(CROQUIS!$C$141,1))+1)/80,1))),1))+1))-1,0),0,MOD($A204-1,5))+1,0,IF(CROQUIS!$C$105=1,-12,2),CROQUIS!$C$107/2+CROQUIS!$C$144,IF(CROQUIS!$C$105=1,-12,2),0),((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ROQUIS!$C$159)+IF(CROQUIS!$C$92="X",0,0.8)),-1000)</f>
        <v>-1000</v>
      </c>
      <c r="BX2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HOOSE(IF(INT(($A204-1)/5)&gt;MAX((MAX(1,INT(((CROQUIS!$C$97)-CROQUIS!$C$107)/MAX((CROQUIS!$C$141*MAX(1,CEILING((INT(((CROQUIS!$C$97)-CROQUIS!$C$107)/MAX(CROQUIS!$C$141,1))+1)/80,1))),1))+1))-1,0),0,MOD($A204-1,5))+1,CROQUIS!$C$98,CROQUIS!$C$98-CROQUIS!$C$107/2-CROQUIS!$C$144,IF(CROQUIS!$C$106=1,CROQUIS!$C$98+12,CROQUIS!$C$98-2),CROQUIS!$C$98-CROQUIS!$C$107/2-CROQUIS!$C$144,CROQUIS!$C$98)))*CROQUIS!$C$159)+IF(CROQUIS!$C$92="X",0.8,0)),-1000)</f>
        <v>-1000</v>
      </c>
      <c r="BY204">
        <f>IF(AND(CROQUIS!$C$88=1,CROQUIS!$C$91=0,CROQUIS!$C$141&gt;0,OR(CROQUIS!$C$106=1,CROQUIS!$C$146=1)),((CROQUIS!$C$161+(IF(CROQUIS!$C$92="X",CHOOSE(IF(INT(($A204-1)/5)&gt;MAX((MAX(1,INT(((CROQUIS!$C$97)-CROQUIS!$C$107)/MAX((CROQUIS!$C$141*MAX(1,CEILING((INT(((CROQUIS!$C$97)-CROQUIS!$C$107)/MAX(CROQUIS!$C$141,1))+1)/80,1))),1))+1))-1,0),0,MOD($A204-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ROQUIS!$C$159)+IF(CROQUIS!$C$92="X",0,0.8)),-1000)</f>
        <v>-1000</v>
      </c>
      <c r="BZ204">
        <f>IF(AND(CROQUIS!$C$88=1,CROQUIS!$C$91=1,CROQUIS!$C$133&gt;0),((CROQUIS!$C$160+(IF(CROQUIS!$C$92="X",CHOOSE(IF(INT(($A204-1)/5)&gt;MAX((MAX(1,INT(((CROQUIS!$C$98)-CROQUIS!$C$107)/MAX((CROQUIS!$C$133*MAX(1,CEILING((INT(((CROQUIS!$C$98)-CROQUIS!$C$107)/MAX(CROQUIS!$C$133,1))+1)/80,1))),1))+1))-1,0),0,MOD($A204-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CA204">
        <f>IF(AND(CROQUIS!$C$88=1,CROQUIS!$C$91=1,CROQUIS!$C$133&gt;0),((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5">
      <c r="A205" t="n">
        <v>198</v>
      </c>
      <c r="BN205">
        <f>IF(AND(CROQUIS!$C$88=1,CROQUIS!$C$129&gt;0),((CROQUIS!$C$160+(IF(CROQUIS!$C$92="X",CHOOSE(IF(INT(($A205-1)/5)&gt;MAX((MAX(1,INT(((CROQUIS!$C$98)-CROQUIS!$C$107)/MAX((CROQUIS!$C$129*MAX(1,CEILING((INT(((CROQUIS!$C$98)-CROQUIS!$C$107)/MAX(CROQUIS!$C$129,1))+1)/80,1))),1))+1))-1,0),0,MOD($A205-1,5))+1,0,2,CROQUIS!$C$97-2,2,0),((CROQUIS!$C$107/2+(((CROQUIS!$C$98)-CROQUIS!$C$107)-(MAX(1,INT(((CROQUIS!$C$98)-CROQUIS!$C$107)/MAX((CROQUIS!$C$129*MAX(1,CEILING((INT(((CROQUIS!$C$98)-CROQUIS!$C$107)/MAX(CROQUIS!$C$129,1))+1)/80,1))),1))+1)-1)*(CROQUIS!$C$129*MAX(1,CEILING((INT(((CROQUIS!$C$98)-CROQUIS!$C$107)/MAX(CROQUIS!$C$129,1))+1)/80,1))))/2)+MIN(INT(($A205-1)/5),MAX((MAX(1,INT(((CROQUIS!$C$98)-CROQUIS!$C$107)/MAX((CROQUIS!$C$129*MAX(1,CEILING((INT(((CROQUIS!$C$98)-CROQUIS!$C$107)/MAX(CROQUIS!$C$129,1))+1)/80,1))),1))+1))-1,0))*(CROQUIS!$C$129*MAX(1,CEILING((INT(((CROQUIS!$C$98)-CROQUIS!$C$107)/MAX(CROQUIS!$C$129,1))+1)/80,1))))))*CROQUIS!$C$159)+IF(CROQUIS!$C$92="X",0,0)),-1000)</f>
        <v>-1000</v>
      </c>
      <c r="BO205">
        <f>IF(AND(CROQUIS!$C$88=1,CROQUIS!$C$129&gt;0),((CROQUIS!$C$161+(IF(CROQUIS!$C$92="X",((CROQUIS!$C$107/2+(((CROQUIS!$C$98)-CROQUIS!$C$107)-(MAX(1,INT(((CROQUIS!$C$98)-CROQUIS!$C$107)/MAX((CROQUIS!$C$129*MAX(1,CEILING((INT(((CROQUIS!$C$98)-CROQUIS!$C$107)/MAX(CROQUIS!$C$129,1))+1)/80,1))),1))+1)-1)*(CROQUIS!$C$129*MAX(1,CEILING((INT(((CROQUIS!$C$98)-CROQUIS!$C$107)/MAX(CROQUIS!$C$129,1))+1)/80,1))))/2)+MIN(INT(($A205-1)/5),MAX((MAX(1,INT(((CROQUIS!$C$98)-CROQUIS!$C$107)/MAX((CROQUIS!$C$129*MAX(1,CEILING((INT(((CROQUIS!$C$98)-CROQUIS!$C$107)/MAX(CROQUIS!$C$129,1))+1)/80,1))),1))+1))-1,0))*(CROQUIS!$C$129*MAX(1,CEILING((INT(((CROQUIS!$C$98)-CROQUIS!$C$107)/MAX(CROQUIS!$C$129,1))+1)/80,1)))),CHOOSE(IF(INT(($A205-1)/5)&gt;MAX((MAX(1,INT(((CROQUIS!$C$98)-CROQUIS!$C$107)/MAX((CROQUIS!$C$129*MAX(1,CEILING((INT(((CROQUIS!$C$98)-CROQUIS!$C$107)/MAX(CROQUIS!$C$129,1))+1)/80,1))),1))+1))-1,0),0,MOD($A205-1,5))+1,0,2,CROQUIS!$C$97-2,2,0)))*CROQUIS!$C$159)+IF(CROQUIS!$C$92="X",0,0)),-1000)</f>
        <v>-1000</v>
      </c>
      <c r="BP205">
        <f>IF(AND(CROQUIS!$C$88=1,CROQUIS!$C$137&gt;0),((CROQUIS!$C$160+(IF(CROQUIS!$C$92="X",((CROQUIS!$C$107/2+(((CROQUIS!$C$97)-CROQUIS!$C$107)-(MAX(1,INT(((CROQUIS!$C$97)-CROQUIS!$C$107)/MAX((CROQUIS!$C$137*MAX(1,CEILING((INT(((CROQUIS!$C$97)-CROQUIS!$C$107)/MAX(CROQUIS!$C$137,1))+1)/80,1))),1))+1)-1)*(CROQUIS!$C$137*MAX(1,CEILING((INT(((CROQUIS!$C$97)-CROQUIS!$C$107)/MAX(CROQUIS!$C$137,1))+1)/80,1))))/2)+MIN(INT(($A205-1)/5),MAX((MAX(1,INT(((CROQUIS!$C$97)-CROQUIS!$C$107)/MAX((CROQUIS!$C$137*MAX(1,CEILING((INT(((CROQUIS!$C$97)-CROQUIS!$C$107)/MAX(CROQUIS!$C$137,1))+1)/80,1))),1))+1))-1,0))*(CROQUIS!$C$137*MAX(1,CEILING((INT(((CROQUIS!$C$97)-CROQUIS!$C$107)/MAX(CROQUIS!$C$137,1))+1)/80,1)))),CHOOSE(IF(INT(($A205-1)/5)&gt;MAX((MAX(1,INT(((CROQUIS!$C$97)-CROQUIS!$C$107)/MAX((CROQUIS!$C$137*MAX(1,CEILING((INT(((CROQUIS!$C$97)-CROQUIS!$C$107)/MAX(CROQUIS!$C$137,1))+1)/80,1))),1))+1))-1,0),0,MOD($A205-1,5))+1,0,2,CROQUIS!$C$98-2,2,0)))*CROQUIS!$C$159)+IF(CROQUIS!$C$92="X",0,0)),-1000)</f>
        <v>-1000</v>
      </c>
      <c r="BQ205">
        <f>IF(AND(CROQUIS!$C$88=1,CROQUIS!$C$137&gt;0),((CROQUIS!$C$161+(IF(CROQUIS!$C$92="X",CHOOSE(IF(INT(($A205-1)/5)&gt;MAX((MAX(1,INT(((CROQUIS!$C$97)-CROQUIS!$C$107)/MAX((CROQUIS!$C$137*MAX(1,CEILING((INT(((CROQUIS!$C$97)-CROQUIS!$C$107)/MAX(CROQUIS!$C$137,1))+1)/80,1))),1))+1))-1,0),0,MOD($A205-1,5))+1,0,2,CROQUIS!$C$98-2,2,0),((CROQUIS!$C$107/2+(((CROQUIS!$C$97)-CROQUIS!$C$107)-(MAX(1,INT(((CROQUIS!$C$97)-CROQUIS!$C$107)/MAX((CROQUIS!$C$137*MAX(1,CEILING((INT(((CROQUIS!$C$97)-CROQUIS!$C$107)/MAX(CROQUIS!$C$137,1))+1)/80,1))),1))+1)-1)*(CROQUIS!$C$137*MAX(1,CEILING((INT(((CROQUIS!$C$97)-CROQUIS!$C$107)/MAX(CROQUIS!$C$137,1))+1)/80,1))))/2)+MIN(INT(($A205-1)/5),MAX((MAX(1,INT(((CROQUIS!$C$97)-CROQUIS!$C$107)/MAX((CROQUIS!$C$137*MAX(1,CEILING((INT(((CROQUIS!$C$97)-CROQUIS!$C$107)/MAX(CROQUIS!$C$137,1))+1)/80,1))),1))+1))-1,0))*(CROQUIS!$C$137*MAX(1,CEILING((INT(((CROQUIS!$C$97)-CROQUIS!$C$107)/MAX(CROQUIS!$C$137,1))+1)/80,1))))))*CROQUIS!$C$159)+IF(CROQUIS!$C$92="X",0,0)),-1000)</f>
        <v>-1000</v>
      </c>
      <c r="BR205">
        <f>IF(AND(CROQUIS!$C$88=1,CROQUIS!$C$91=0,CROQUIS!$C$133&gt;0,OR(CROQUIS!$C$103=1,CROQUIS!$C$145=1)),((CROQUIS!$C$160+(IF(CROQUIS!$C$92="X",CHOOSE(IF(INT(($A205-1)/5)&gt;MAX((MAX(1,INT(((CROQUIS!$C$98)-CROQUIS!$C$107)/MAX((CROQUIS!$C$133*MAX(1,CEILING((INT(((CROQUIS!$C$98)-CROQUIS!$C$107)/MAX(CROQUIS!$C$133,1))+1)/80,1))),1))+1))-1,0),0,MOD($A205-1,5))+1,0,IF(CROQUIS!$C$103=1,-12,2),CROQUIS!$C$107/2+CROQUIS!$C$143,IF(CROQUIS!$C$103=1,-12,2),0),((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BS2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+1,0,IF(CROQUIS!$C$103=1,-12,2),CROQUIS!$C$107/2+CROQUIS!$C$143,IF(CROQUIS!$C$103=1,-12,2),0)))*CROQUIS!$C$159)+IF(CROQUIS!$C$92="X",0.8,0)),-1000)</f>
        <v>-1000</v>
      </c>
      <c r="BT205">
        <f>IF(AND(CROQUIS!$C$88=1,CROQUIS!$C$91=0,CROQUIS!$C$133&gt;0,OR(CROQUIS!$C$104=1,CROQUIS!$C$145=1)),((CROQUIS!$C$160+(IF(CROQUIS!$C$92="X",CHOOSE(IF(INT(($A205-1)/5)&gt;MAX((MAX(1,INT(((CROQUIS!$C$98)-CROQUIS!$C$107)/MAX((CROQUIS!$C$133*MAX(1,CEILING((INT(((CROQUIS!$C$98)-CROQUIS!$C$107)/MAX(CROQUIS!$C$133,1))+1)/80,1))),1))+1))-1,0),0,MOD($A205-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BU2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CROQUIS!$C$97,CROQUIS!$C$97-CROQUIS!$C$107/2-CROQUIS!$C$143,IF(CROQUIS!$C$104=1,CROQUIS!$C$97+12,CROQUIS!$C$97-2),CROQUIS!$C$97-CROQUIS!$C$107/2-CROQUIS!$C$143,CROQUIS!$C$97)))*CROQUIS!$C$159)+IF(CROQUIS!$C$92="X",0.8,0)),-1000)</f>
        <v>-1000</v>
      </c>
      <c r="BV2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HOOSE(IF(INT(($A205-1)/5)&gt;MAX((MAX(1,INT(((CROQUIS!$C$97)-CROQUIS!$C$107)/MAX((CROQUIS!$C$141*MAX(1,CEILING((INT(((CROQUIS!$C$97)-CROQUIS!$C$107)/MAX(CROQUIS!$C$141,1))+1)/80,1))),1))+1))-1,0),0,MOD($A205-1,5))+1,0,IF(CROQUIS!$C$105=1,-12,2),CROQUIS!$C$107/2+CROQUIS!$C$144,IF(CROQUIS!$C$105=1,-12,2),0)))*CROQUIS!$C$159)+IF(CROQUIS!$C$92="X",0.8,0)),-1000)</f>
        <v>-1000</v>
      </c>
      <c r="BW205">
        <f>IF(AND(CROQUIS!$C$88=1,CROQUIS!$C$91=0,CROQUIS!$C$141&gt;0,OR(CROQUIS!$C$105=1,CROQUIS!$C$146=1)),((CROQUIS!$C$161+(IF(CROQUIS!$C$92="X",CHOOSE(IF(INT(($A205-1)/5)&gt;MAX((MAX(1,INT(((CROQUIS!$C$97)-CROQUIS!$C$107)/MAX((CROQUIS!$C$141*MAX(1,CEILING((INT(((CROQUIS!$C$97)-CROQUIS!$C$107)/MAX(CROQUIS!$C$141,1))+1)/80,1))),1))+1))-1,0),0,MOD($A205-1,5))+1,0,IF(CROQUIS!$C$105=1,-12,2),CROQUIS!$C$107/2+CROQUIS!$C$144,IF(CROQUIS!$C$105=1,-12,2),0),((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ROQUIS!$C$159)+IF(CROQUIS!$C$92="X",0,0.8)),-1000)</f>
        <v>-1000</v>
      </c>
      <c r="BX2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HOOSE(IF(INT(($A205-1)/5)&gt;MAX((MAX(1,INT(((CROQUIS!$C$97)-CROQUIS!$C$107)/MAX((CROQUIS!$C$141*MAX(1,CEILING((INT(((CROQUIS!$C$97)-CROQUIS!$C$107)/MAX(CROQUIS!$C$141,1))+1)/80,1))),1))+1))-1,0),0,MOD($A205-1,5))+1,CROQUIS!$C$98,CROQUIS!$C$98-CROQUIS!$C$107/2-CROQUIS!$C$144,IF(CROQUIS!$C$106=1,CROQUIS!$C$98+12,CROQUIS!$C$98-2),CROQUIS!$C$98-CROQUIS!$C$107/2-CROQUIS!$C$144,CROQUIS!$C$98)))*CROQUIS!$C$159)+IF(CROQUIS!$C$92="X",0.8,0)),-1000)</f>
        <v>-1000</v>
      </c>
      <c r="BY205">
        <f>IF(AND(CROQUIS!$C$88=1,CROQUIS!$C$91=0,CROQUIS!$C$141&gt;0,OR(CROQUIS!$C$106=1,CROQUIS!$C$146=1)),((CROQUIS!$C$161+(IF(CROQUIS!$C$92="X",CHOOSE(IF(INT(($A205-1)/5)&gt;MAX((MAX(1,INT(((CROQUIS!$C$97)-CROQUIS!$C$107)/MAX((CROQUIS!$C$141*MAX(1,CEILING((INT(((CROQUIS!$C$97)-CROQUIS!$C$107)/MAX(CROQUIS!$C$141,1))+1)/80,1))),1))+1))-1,0),0,MOD($A205-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ROQUIS!$C$159)+IF(CROQUIS!$C$92="X",0,0.8)),-1000)</f>
        <v>-1000</v>
      </c>
      <c r="BZ205">
        <f>IF(AND(CROQUIS!$C$88=1,CROQUIS!$C$91=1,CROQUIS!$C$133&gt;0),((CROQUIS!$C$160+(IF(CROQUIS!$C$92="X",CHOOSE(IF(INT(($A205-1)/5)&gt;MAX((MAX(1,INT(((CROQUIS!$C$98)-CROQUIS!$C$107)/MAX((CROQUIS!$C$133*MAX(1,CEILING((INT(((CROQUIS!$C$98)-CROQUIS!$C$107)/MAX(CROQUIS!$C$133,1))+1)/80,1))),1))+1))-1,0),0,MOD($A205-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CA205">
        <f>IF(AND(CROQUIS!$C$88=1,CROQUIS!$C$91=1,CROQUIS!$C$133&gt;0),((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6">
      <c r="A206" t="n">
        <v>199</v>
      </c>
      <c r="BN206">
        <f>IF(AND(CROQUIS!$C$88=1,CROQUIS!$C$129&gt;0),((CROQUIS!$C$160+(IF(CROQUIS!$C$92="X",CHOOSE(IF(INT(($A206-1)/5)&gt;MAX((MAX(1,INT(((CROQUIS!$C$98)-CROQUIS!$C$107)/MAX((CROQUIS!$C$129*MAX(1,CEILING((INT(((CROQUIS!$C$98)-CROQUIS!$C$107)/MAX(CROQUIS!$C$129,1))+1)/80,1))),1))+1))-1,0),0,MOD($A206-1,5))+1,0,2,CROQUIS!$C$97-2,2,0),((CROQUIS!$C$107/2+(((CROQUIS!$C$98)-CROQUIS!$C$107)-(MAX(1,INT(((CROQUIS!$C$98)-CROQUIS!$C$107)/MAX((CROQUIS!$C$129*MAX(1,CEILING((INT(((CROQUIS!$C$98)-CROQUIS!$C$107)/MAX(CROQUIS!$C$129,1))+1)/80,1))),1))+1)-1)*(CROQUIS!$C$129*MAX(1,CEILING((INT(((CROQUIS!$C$98)-CROQUIS!$C$107)/MAX(CROQUIS!$C$129,1))+1)/80,1))))/2)+MIN(INT(($A206-1)/5),MAX((MAX(1,INT(((CROQUIS!$C$98)-CROQUIS!$C$107)/MAX((CROQUIS!$C$129*MAX(1,CEILING((INT(((CROQUIS!$C$98)-CROQUIS!$C$107)/MAX(CROQUIS!$C$129,1))+1)/80,1))),1))+1))-1,0))*(CROQUIS!$C$129*MAX(1,CEILING((INT(((CROQUIS!$C$98)-CROQUIS!$C$107)/MAX(CROQUIS!$C$129,1))+1)/80,1))))))*CROQUIS!$C$159)+IF(CROQUIS!$C$92="X",0,0)),-1000)</f>
        <v>-1000</v>
      </c>
      <c r="BO206">
        <f>IF(AND(CROQUIS!$C$88=1,CROQUIS!$C$129&gt;0),((CROQUIS!$C$161+(IF(CROQUIS!$C$92="X",((CROQUIS!$C$107/2+(((CROQUIS!$C$98)-CROQUIS!$C$107)-(MAX(1,INT(((CROQUIS!$C$98)-CROQUIS!$C$107)/MAX((CROQUIS!$C$129*MAX(1,CEILING((INT(((CROQUIS!$C$98)-CROQUIS!$C$107)/MAX(CROQUIS!$C$129,1))+1)/80,1))),1))+1)-1)*(CROQUIS!$C$129*MAX(1,CEILING((INT(((CROQUIS!$C$98)-CROQUIS!$C$107)/MAX(CROQUIS!$C$129,1))+1)/80,1))))/2)+MIN(INT(($A206-1)/5),MAX((MAX(1,INT(((CROQUIS!$C$98)-CROQUIS!$C$107)/MAX((CROQUIS!$C$129*MAX(1,CEILING((INT(((CROQUIS!$C$98)-CROQUIS!$C$107)/MAX(CROQUIS!$C$129,1))+1)/80,1))),1))+1))-1,0))*(CROQUIS!$C$129*MAX(1,CEILING((INT(((CROQUIS!$C$98)-CROQUIS!$C$107)/MAX(CROQUIS!$C$129,1))+1)/80,1)))),CHOOSE(IF(INT(($A206-1)/5)&gt;MAX((MAX(1,INT(((CROQUIS!$C$98)-CROQUIS!$C$107)/MAX((CROQUIS!$C$129*MAX(1,CEILING((INT(((CROQUIS!$C$98)-CROQUIS!$C$107)/MAX(CROQUIS!$C$129,1))+1)/80,1))),1))+1))-1,0),0,MOD($A206-1,5))+1,0,2,CROQUIS!$C$97-2,2,0)))*CROQUIS!$C$159)+IF(CROQUIS!$C$92="X",0,0)),-1000)</f>
        <v>-1000</v>
      </c>
      <c r="BP206">
        <f>IF(AND(CROQUIS!$C$88=1,CROQUIS!$C$137&gt;0),((CROQUIS!$C$160+(IF(CROQUIS!$C$92="X",((CROQUIS!$C$107/2+(((CROQUIS!$C$97)-CROQUIS!$C$107)-(MAX(1,INT(((CROQUIS!$C$97)-CROQUIS!$C$107)/MAX((CROQUIS!$C$137*MAX(1,CEILING((INT(((CROQUIS!$C$97)-CROQUIS!$C$107)/MAX(CROQUIS!$C$137,1))+1)/80,1))),1))+1)-1)*(CROQUIS!$C$137*MAX(1,CEILING((INT(((CROQUIS!$C$97)-CROQUIS!$C$107)/MAX(CROQUIS!$C$137,1))+1)/80,1))))/2)+MIN(INT(($A206-1)/5),MAX((MAX(1,INT(((CROQUIS!$C$97)-CROQUIS!$C$107)/MAX((CROQUIS!$C$137*MAX(1,CEILING((INT(((CROQUIS!$C$97)-CROQUIS!$C$107)/MAX(CROQUIS!$C$137,1))+1)/80,1))),1))+1))-1,0))*(CROQUIS!$C$137*MAX(1,CEILING((INT(((CROQUIS!$C$97)-CROQUIS!$C$107)/MAX(CROQUIS!$C$137,1))+1)/80,1)))),CHOOSE(IF(INT(($A206-1)/5)&gt;MAX((MAX(1,INT(((CROQUIS!$C$97)-CROQUIS!$C$107)/MAX((CROQUIS!$C$137*MAX(1,CEILING((INT(((CROQUIS!$C$97)-CROQUIS!$C$107)/MAX(CROQUIS!$C$137,1))+1)/80,1))),1))+1))-1,0),0,MOD($A206-1,5))+1,0,2,CROQUIS!$C$98-2,2,0)))*CROQUIS!$C$159)+IF(CROQUIS!$C$92="X",0,0)),-1000)</f>
        <v>-1000</v>
      </c>
      <c r="BQ206">
        <f>IF(AND(CROQUIS!$C$88=1,CROQUIS!$C$137&gt;0),((CROQUIS!$C$161+(IF(CROQUIS!$C$92="X",CHOOSE(IF(INT(($A206-1)/5)&gt;MAX((MAX(1,INT(((CROQUIS!$C$97)-CROQUIS!$C$107)/MAX((CROQUIS!$C$137*MAX(1,CEILING((INT(((CROQUIS!$C$97)-CROQUIS!$C$107)/MAX(CROQUIS!$C$137,1))+1)/80,1))),1))+1))-1,0),0,MOD($A206-1,5))+1,0,2,CROQUIS!$C$98-2,2,0),((CROQUIS!$C$107/2+(((CROQUIS!$C$97)-CROQUIS!$C$107)-(MAX(1,INT(((CROQUIS!$C$97)-CROQUIS!$C$107)/MAX((CROQUIS!$C$137*MAX(1,CEILING((INT(((CROQUIS!$C$97)-CROQUIS!$C$107)/MAX(CROQUIS!$C$137,1))+1)/80,1))),1))+1)-1)*(CROQUIS!$C$137*MAX(1,CEILING((INT(((CROQUIS!$C$97)-CROQUIS!$C$107)/MAX(CROQUIS!$C$137,1))+1)/80,1))))/2)+MIN(INT(($A206-1)/5),MAX((MAX(1,INT(((CROQUIS!$C$97)-CROQUIS!$C$107)/MAX((CROQUIS!$C$137*MAX(1,CEILING((INT(((CROQUIS!$C$97)-CROQUIS!$C$107)/MAX(CROQUIS!$C$137,1))+1)/80,1))),1))+1))-1,0))*(CROQUIS!$C$137*MAX(1,CEILING((INT(((CROQUIS!$C$97)-CROQUIS!$C$107)/MAX(CROQUIS!$C$137,1))+1)/80,1))))))*CROQUIS!$C$159)+IF(CROQUIS!$C$92="X",0,0)),-1000)</f>
        <v>-1000</v>
      </c>
      <c r="BR206">
        <f>IF(AND(CROQUIS!$C$88=1,CROQUIS!$C$91=0,CROQUIS!$C$133&gt;0,OR(CROQUIS!$C$103=1,CROQUIS!$C$145=1)),((CROQUIS!$C$160+(IF(CROQUIS!$C$92="X",CHOOSE(IF(INT(($A206-1)/5)&gt;MAX((MAX(1,INT(((CROQUIS!$C$98)-CROQUIS!$C$107)/MAX((CROQUIS!$C$133*MAX(1,CEILING((INT(((CROQUIS!$C$98)-CROQUIS!$C$107)/MAX(CROQUIS!$C$133,1))+1)/80,1))),1))+1))-1,0),0,MOD($A206-1,5))+1,0,IF(CROQUIS!$C$103=1,-12,2),CROQUIS!$C$107/2+CROQUIS!$C$143,IF(CROQUIS!$C$103=1,-12,2),0),((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BS2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+1,0,IF(CROQUIS!$C$103=1,-12,2),CROQUIS!$C$107/2+CROQUIS!$C$143,IF(CROQUIS!$C$103=1,-12,2),0)))*CROQUIS!$C$159)+IF(CROQUIS!$C$92="X",0.8,0)),-1000)</f>
        <v>-1000</v>
      </c>
      <c r="BT206">
        <f>IF(AND(CROQUIS!$C$88=1,CROQUIS!$C$91=0,CROQUIS!$C$133&gt;0,OR(CROQUIS!$C$104=1,CROQUIS!$C$145=1)),((CROQUIS!$C$160+(IF(CROQUIS!$C$92="X",CHOOSE(IF(INT(($A206-1)/5)&gt;MAX((MAX(1,INT(((CROQUIS!$C$98)-CROQUIS!$C$107)/MAX((CROQUIS!$C$133*MAX(1,CEILING((INT(((CROQUIS!$C$98)-CROQUIS!$C$107)/MAX(CROQUIS!$C$133,1))+1)/80,1))),1))+1))-1,0),0,MOD($A206-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BU2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CROQUIS!$C$97,CROQUIS!$C$97-CROQUIS!$C$107/2-CROQUIS!$C$143,IF(CROQUIS!$C$104=1,CROQUIS!$C$97+12,CROQUIS!$C$97-2),CROQUIS!$C$97-CROQUIS!$C$107/2-CROQUIS!$C$143,CROQUIS!$C$97)))*CROQUIS!$C$159)+IF(CROQUIS!$C$92="X",0.8,0)),-1000)</f>
        <v>-1000</v>
      </c>
      <c r="BV2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HOOSE(IF(INT(($A206-1)/5)&gt;MAX((MAX(1,INT(((CROQUIS!$C$97)-CROQUIS!$C$107)/MAX((CROQUIS!$C$141*MAX(1,CEILING((INT(((CROQUIS!$C$97)-CROQUIS!$C$107)/MAX(CROQUIS!$C$141,1))+1)/80,1))),1))+1))-1,0),0,MOD($A206-1,5))+1,0,IF(CROQUIS!$C$105=1,-12,2),CROQUIS!$C$107/2+CROQUIS!$C$144,IF(CROQUIS!$C$105=1,-12,2),0)))*CROQUIS!$C$159)+IF(CROQUIS!$C$92="X",0.8,0)),-1000)</f>
        <v>-1000</v>
      </c>
      <c r="BW206">
        <f>IF(AND(CROQUIS!$C$88=1,CROQUIS!$C$91=0,CROQUIS!$C$141&gt;0,OR(CROQUIS!$C$105=1,CROQUIS!$C$146=1)),((CROQUIS!$C$161+(IF(CROQUIS!$C$92="X",CHOOSE(IF(INT(($A206-1)/5)&gt;MAX((MAX(1,INT(((CROQUIS!$C$97)-CROQUIS!$C$107)/MAX((CROQUIS!$C$141*MAX(1,CEILING((INT(((CROQUIS!$C$97)-CROQUIS!$C$107)/MAX(CROQUIS!$C$141,1))+1)/80,1))),1))+1))-1,0),0,MOD($A206-1,5))+1,0,IF(CROQUIS!$C$105=1,-12,2),CROQUIS!$C$107/2+CROQUIS!$C$144,IF(CROQUIS!$C$105=1,-12,2),0),((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ROQUIS!$C$159)+IF(CROQUIS!$C$92="X",0,0.8)),-1000)</f>
        <v>-1000</v>
      </c>
      <c r="BX2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HOOSE(IF(INT(($A206-1)/5)&gt;MAX((MAX(1,INT(((CROQUIS!$C$97)-CROQUIS!$C$107)/MAX((CROQUIS!$C$141*MAX(1,CEILING((INT(((CROQUIS!$C$97)-CROQUIS!$C$107)/MAX(CROQUIS!$C$141,1))+1)/80,1))),1))+1))-1,0),0,MOD($A206-1,5))+1,CROQUIS!$C$98,CROQUIS!$C$98-CROQUIS!$C$107/2-CROQUIS!$C$144,IF(CROQUIS!$C$106=1,CROQUIS!$C$98+12,CROQUIS!$C$98-2),CROQUIS!$C$98-CROQUIS!$C$107/2-CROQUIS!$C$144,CROQUIS!$C$98)))*CROQUIS!$C$159)+IF(CROQUIS!$C$92="X",0.8,0)),-1000)</f>
        <v>-1000</v>
      </c>
      <c r="BY206">
        <f>IF(AND(CROQUIS!$C$88=1,CROQUIS!$C$91=0,CROQUIS!$C$141&gt;0,OR(CROQUIS!$C$106=1,CROQUIS!$C$146=1)),((CROQUIS!$C$161+(IF(CROQUIS!$C$92="X",CHOOSE(IF(INT(($A206-1)/5)&gt;MAX((MAX(1,INT(((CROQUIS!$C$97)-CROQUIS!$C$107)/MAX((CROQUIS!$C$141*MAX(1,CEILING((INT(((CROQUIS!$C$97)-CROQUIS!$C$107)/MAX(CROQUIS!$C$141,1))+1)/80,1))),1))+1))-1,0),0,MOD($A206-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ROQUIS!$C$159)+IF(CROQUIS!$C$92="X",0,0.8)),-1000)</f>
        <v>-1000</v>
      </c>
      <c r="BZ206">
        <f>IF(AND(CROQUIS!$C$88=1,CROQUIS!$C$91=1,CROQUIS!$C$133&gt;0),((CROQUIS!$C$160+(IF(CROQUIS!$C$92="X",CHOOSE(IF(INT(($A206-1)/5)&gt;MAX((MAX(1,INT(((CROQUIS!$C$98)-CROQUIS!$C$107)/MAX((CROQUIS!$C$133*MAX(1,CEILING((INT(((CROQUIS!$C$98)-CROQUIS!$C$107)/MAX(CROQUIS!$C$133,1))+1)/80,1))),1))+1))-1,0),0,MOD($A206-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CA206">
        <f>IF(AND(CROQUIS!$C$88=1,CROQUIS!$C$91=1,CROQUIS!$C$133&gt;0),((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7">
      <c r="A207" t="n">
        <v>200</v>
      </c>
      <c r="BN207">
        <f>IF(AND(CROQUIS!$C$88=1,CROQUIS!$C$129&gt;0),((CROQUIS!$C$160+(IF(CROQUIS!$C$92="X",CHOOSE(IF(INT(($A207-1)/5)&gt;MAX((MAX(1,INT(((CROQUIS!$C$98)-CROQUIS!$C$107)/MAX((CROQUIS!$C$129*MAX(1,CEILING((INT(((CROQUIS!$C$98)-CROQUIS!$C$107)/MAX(CROQUIS!$C$129,1))+1)/80,1))),1))+1))-1,0),0,MOD($A207-1,5))+1,0,2,CROQUIS!$C$97-2,2,0),((CROQUIS!$C$107/2+(((CROQUIS!$C$98)-CROQUIS!$C$107)-(MAX(1,INT(((CROQUIS!$C$98)-CROQUIS!$C$107)/MAX((CROQUIS!$C$129*MAX(1,CEILING((INT(((CROQUIS!$C$98)-CROQUIS!$C$107)/MAX(CROQUIS!$C$129,1))+1)/80,1))),1))+1)-1)*(CROQUIS!$C$129*MAX(1,CEILING((INT(((CROQUIS!$C$98)-CROQUIS!$C$107)/MAX(CROQUIS!$C$129,1))+1)/80,1))))/2)+MIN(INT(($A207-1)/5),MAX((MAX(1,INT(((CROQUIS!$C$98)-CROQUIS!$C$107)/MAX((CROQUIS!$C$129*MAX(1,CEILING((INT(((CROQUIS!$C$98)-CROQUIS!$C$107)/MAX(CROQUIS!$C$129,1))+1)/80,1))),1))+1))-1,0))*(CROQUIS!$C$129*MAX(1,CEILING((INT(((CROQUIS!$C$98)-CROQUIS!$C$107)/MAX(CROQUIS!$C$129,1))+1)/80,1))))))*CROQUIS!$C$159)+IF(CROQUIS!$C$92="X",0,0)),-1000)</f>
        <v>-1000</v>
      </c>
      <c r="BO207">
        <f>IF(AND(CROQUIS!$C$88=1,CROQUIS!$C$129&gt;0),((CROQUIS!$C$161+(IF(CROQUIS!$C$92="X",((CROQUIS!$C$107/2+(((CROQUIS!$C$98)-CROQUIS!$C$107)-(MAX(1,INT(((CROQUIS!$C$98)-CROQUIS!$C$107)/MAX((CROQUIS!$C$129*MAX(1,CEILING((INT(((CROQUIS!$C$98)-CROQUIS!$C$107)/MAX(CROQUIS!$C$129,1))+1)/80,1))),1))+1)-1)*(CROQUIS!$C$129*MAX(1,CEILING((INT(((CROQUIS!$C$98)-CROQUIS!$C$107)/MAX(CROQUIS!$C$129,1))+1)/80,1))))/2)+MIN(INT(($A207-1)/5),MAX((MAX(1,INT(((CROQUIS!$C$98)-CROQUIS!$C$107)/MAX((CROQUIS!$C$129*MAX(1,CEILING((INT(((CROQUIS!$C$98)-CROQUIS!$C$107)/MAX(CROQUIS!$C$129,1))+1)/80,1))),1))+1))-1,0))*(CROQUIS!$C$129*MAX(1,CEILING((INT(((CROQUIS!$C$98)-CROQUIS!$C$107)/MAX(CROQUIS!$C$129,1))+1)/80,1)))),CHOOSE(IF(INT(($A207-1)/5)&gt;MAX((MAX(1,INT(((CROQUIS!$C$98)-CROQUIS!$C$107)/MAX((CROQUIS!$C$129*MAX(1,CEILING((INT(((CROQUIS!$C$98)-CROQUIS!$C$107)/MAX(CROQUIS!$C$129,1))+1)/80,1))),1))+1))-1,0),0,MOD($A207-1,5))+1,0,2,CROQUIS!$C$97-2,2,0)))*CROQUIS!$C$159)+IF(CROQUIS!$C$92="X",0,0)),-1000)</f>
        <v>-1000</v>
      </c>
      <c r="BP207">
        <f>IF(AND(CROQUIS!$C$88=1,CROQUIS!$C$137&gt;0),((CROQUIS!$C$160+(IF(CROQUIS!$C$92="X",((CROQUIS!$C$107/2+(((CROQUIS!$C$97)-CROQUIS!$C$107)-(MAX(1,INT(((CROQUIS!$C$97)-CROQUIS!$C$107)/MAX((CROQUIS!$C$137*MAX(1,CEILING((INT(((CROQUIS!$C$97)-CROQUIS!$C$107)/MAX(CROQUIS!$C$137,1))+1)/80,1))),1))+1)-1)*(CROQUIS!$C$137*MAX(1,CEILING((INT(((CROQUIS!$C$97)-CROQUIS!$C$107)/MAX(CROQUIS!$C$137,1))+1)/80,1))))/2)+MIN(INT(($A207-1)/5),MAX((MAX(1,INT(((CROQUIS!$C$97)-CROQUIS!$C$107)/MAX((CROQUIS!$C$137*MAX(1,CEILING((INT(((CROQUIS!$C$97)-CROQUIS!$C$107)/MAX(CROQUIS!$C$137,1))+1)/80,1))),1))+1))-1,0))*(CROQUIS!$C$137*MAX(1,CEILING((INT(((CROQUIS!$C$97)-CROQUIS!$C$107)/MAX(CROQUIS!$C$137,1))+1)/80,1)))),CHOOSE(IF(INT(($A207-1)/5)&gt;MAX((MAX(1,INT(((CROQUIS!$C$97)-CROQUIS!$C$107)/MAX((CROQUIS!$C$137*MAX(1,CEILING((INT(((CROQUIS!$C$97)-CROQUIS!$C$107)/MAX(CROQUIS!$C$137,1))+1)/80,1))),1))+1))-1,0),0,MOD($A207-1,5))+1,0,2,CROQUIS!$C$98-2,2,0)))*CROQUIS!$C$159)+IF(CROQUIS!$C$92="X",0,0)),-1000)</f>
        <v>-1000</v>
      </c>
      <c r="BQ207">
        <f>IF(AND(CROQUIS!$C$88=1,CROQUIS!$C$137&gt;0),((CROQUIS!$C$161+(IF(CROQUIS!$C$92="X",CHOOSE(IF(INT(($A207-1)/5)&gt;MAX((MAX(1,INT(((CROQUIS!$C$97)-CROQUIS!$C$107)/MAX((CROQUIS!$C$137*MAX(1,CEILING((INT(((CROQUIS!$C$97)-CROQUIS!$C$107)/MAX(CROQUIS!$C$137,1))+1)/80,1))),1))+1))-1,0),0,MOD($A207-1,5))+1,0,2,CROQUIS!$C$98-2,2,0),((CROQUIS!$C$107/2+(((CROQUIS!$C$97)-CROQUIS!$C$107)-(MAX(1,INT(((CROQUIS!$C$97)-CROQUIS!$C$107)/MAX((CROQUIS!$C$137*MAX(1,CEILING((INT(((CROQUIS!$C$97)-CROQUIS!$C$107)/MAX(CROQUIS!$C$137,1))+1)/80,1))),1))+1)-1)*(CROQUIS!$C$137*MAX(1,CEILING((INT(((CROQUIS!$C$97)-CROQUIS!$C$107)/MAX(CROQUIS!$C$137,1))+1)/80,1))))/2)+MIN(INT(($A207-1)/5),MAX((MAX(1,INT(((CROQUIS!$C$97)-CROQUIS!$C$107)/MAX((CROQUIS!$C$137*MAX(1,CEILING((INT(((CROQUIS!$C$97)-CROQUIS!$C$107)/MAX(CROQUIS!$C$137,1))+1)/80,1))),1))+1))-1,0))*(CROQUIS!$C$137*MAX(1,CEILING((INT(((CROQUIS!$C$97)-CROQUIS!$C$107)/MAX(CROQUIS!$C$137,1))+1)/80,1))))))*CROQUIS!$C$159)+IF(CROQUIS!$C$92="X",0,0)),-1000)</f>
        <v>-1000</v>
      </c>
      <c r="BR207">
        <f>IF(AND(CROQUIS!$C$88=1,CROQUIS!$C$91=0,CROQUIS!$C$133&gt;0,OR(CROQUIS!$C$103=1,CROQUIS!$C$145=1)),((CROQUIS!$C$160+(IF(CROQUIS!$C$92="X",CHOOSE(IF(INT(($A207-1)/5)&gt;MAX((MAX(1,INT(((CROQUIS!$C$98)-CROQUIS!$C$107)/MAX((CROQUIS!$C$133*MAX(1,CEILING((INT(((CROQUIS!$C$98)-CROQUIS!$C$107)/MAX(CROQUIS!$C$133,1))+1)/80,1))),1))+1))-1,0),0,MOD($A207-1,5))+1,0,IF(CROQUIS!$C$103=1,-12,2),CROQUIS!$C$107/2+CROQUIS!$C$143,IF(CROQUIS!$C$103=1,-12,2),0),((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BS2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+1,0,IF(CROQUIS!$C$103=1,-12,2),CROQUIS!$C$107/2+CROQUIS!$C$143,IF(CROQUIS!$C$103=1,-12,2),0)))*CROQUIS!$C$159)+IF(CROQUIS!$C$92="X",0.8,0)),-1000)</f>
        <v>-1000</v>
      </c>
      <c r="BT207">
        <f>IF(AND(CROQUIS!$C$88=1,CROQUIS!$C$91=0,CROQUIS!$C$133&gt;0,OR(CROQUIS!$C$104=1,CROQUIS!$C$145=1)),((CROQUIS!$C$160+(IF(CROQUIS!$C$92="X",CHOOSE(IF(INT(($A207-1)/5)&gt;MAX((MAX(1,INT(((CROQUIS!$C$98)-CROQUIS!$C$107)/MAX((CROQUIS!$C$133*MAX(1,CEILING((INT(((CROQUIS!$C$98)-CROQUIS!$C$107)/MAX(CROQUIS!$C$133,1))+1)/80,1))),1))+1))-1,0),0,MOD($A207-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BU2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CROQUIS!$C$97,CROQUIS!$C$97-CROQUIS!$C$107/2-CROQUIS!$C$143,IF(CROQUIS!$C$104=1,CROQUIS!$C$97+12,CROQUIS!$C$97-2),CROQUIS!$C$97-CROQUIS!$C$107/2-CROQUIS!$C$143,CROQUIS!$C$97)))*CROQUIS!$C$159)+IF(CROQUIS!$C$92="X",0.8,0)),-1000)</f>
        <v>-1000</v>
      </c>
      <c r="BV2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HOOSE(IF(INT(($A207-1)/5)&gt;MAX((MAX(1,INT(((CROQUIS!$C$97)-CROQUIS!$C$107)/MAX((CROQUIS!$C$141*MAX(1,CEILING((INT(((CROQUIS!$C$97)-CROQUIS!$C$107)/MAX(CROQUIS!$C$141,1))+1)/80,1))),1))+1))-1,0),0,MOD($A207-1,5))+1,0,IF(CROQUIS!$C$105=1,-12,2),CROQUIS!$C$107/2+CROQUIS!$C$144,IF(CROQUIS!$C$105=1,-12,2),0)))*CROQUIS!$C$159)+IF(CROQUIS!$C$92="X",0.8,0)),-1000)</f>
        <v>-1000</v>
      </c>
      <c r="BW207">
        <f>IF(AND(CROQUIS!$C$88=1,CROQUIS!$C$91=0,CROQUIS!$C$141&gt;0,OR(CROQUIS!$C$105=1,CROQUIS!$C$146=1)),((CROQUIS!$C$161+(IF(CROQUIS!$C$92="X",CHOOSE(IF(INT(($A207-1)/5)&gt;MAX((MAX(1,INT(((CROQUIS!$C$97)-CROQUIS!$C$107)/MAX((CROQUIS!$C$141*MAX(1,CEILING((INT(((CROQUIS!$C$97)-CROQUIS!$C$107)/MAX(CROQUIS!$C$141,1))+1)/80,1))),1))+1))-1,0),0,MOD($A207-1,5))+1,0,IF(CROQUIS!$C$105=1,-12,2),CROQUIS!$C$107/2+CROQUIS!$C$144,IF(CROQUIS!$C$105=1,-12,2),0),((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ROQUIS!$C$159)+IF(CROQUIS!$C$92="X",0,0.8)),-1000)</f>
        <v>-1000</v>
      </c>
      <c r="BX2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HOOSE(IF(INT(($A207-1)/5)&gt;MAX((MAX(1,INT(((CROQUIS!$C$97)-CROQUIS!$C$107)/MAX((CROQUIS!$C$141*MAX(1,CEILING((INT(((CROQUIS!$C$97)-CROQUIS!$C$107)/MAX(CROQUIS!$C$141,1))+1)/80,1))),1))+1))-1,0),0,MOD($A207-1,5))+1,CROQUIS!$C$98,CROQUIS!$C$98-CROQUIS!$C$107/2-CROQUIS!$C$144,IF(CROQUIS!$C$106=1,CROQUIS!$C$98+12,CROQUIS!$C$98-2),CROQUIS!$C$98-CROQUIS!$C$107/2-CROQUIS!$C$144,CROQUIS!$C$98)))*CROQUIS!$C$159)+IF(CROQUIS!$C$92="X",0.8,0)),-1000)</f>
        <v>-1000</v>
      </c>
      <c r="BY207">
        <f>IF(AND(CROQUIS!$C$88=1,CROQUIS!$C$91=0,CROQUIS!$C$141&gt;0,OR(CROQUIS!$C$106=1,CROQUIS!$C$146=1)),((CROQUIS!$C$161+(IF(CROQUIS!$C$92="X",CHOOSE(IF(INT(($A207-1)/5)&gt;MAX((MAX(1,INT(((CROQUIS!$C$97)-CROQUIS!$C$107)/MAX((CROQUIS!$C$141*MAX(1,CEILING((INT(((CROQUIS!$C$97)-CROQUIS!$C$107)/MAX(CROQUIS!$C$141,1))+1)/80,1))),1))+1))-1,0),0,MOD($A207-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ROQUIS!$C$159)+IF(CROQUIS!$C$92="X",0,0.8)),-1000)</f>
        <v>-1000</v>
      </c>
      <c r="BZ207">
        <f>IF(AND(CROQUIS!$C$88=1,CROQUIS!$C$91=1,CROQUIS!$C$133&gt;0),((CROQUIS!$C$160+(IF(CROQUIS!$C$92="X",CHOOSE(IF(INT(($A207-1)/5)&gt;MAX((MAX(1,INT(((CROQUIS!$C$98)-CROQUIS!$C$107)/MAX((CROQUIS!$C$133*MAX(1,CEILING((INT(((CROQUIS!$C$98)-CROQUIS!$C$107)/MAX(CROQUIS!$C$133,1))+1)/80,1))),1))+1))-1,0),0,MOD($A207-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CA207">
        <f>IF(AND(CROQUIS!$C$88=1,CROQUIS!$C$91=1,CROQUIS!$C$133&gt;0),((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8">
      <c r="A208" t="n">
        <v>201</v>
      </c>
      <c r="BN208">
        <f>IF(AND(CROQUIS!$C$88=1,CROQUIS!$C$129&gt;0),((CROQUIS!$C$160+(IF(CROQUIS!$C$92="X",CHOOSE(IF(INT(($A208-1)/5)&gt;MAX((MAX(1,INT(((CROQUIS!$C$98)-CROQUIS!$C$107)/MAX((CROQUIS!$C$129*MAX(1,CEILING((INT(((CROQUIS!$C$98)-CROQUIS!$C$107)/MAX(CROQUIS!$C$129,1))+1)/80,1))),1))+1))-1,0),0,MOD($A208-1,5))+1,0,2,CROQUIS!$C$97-2,2,0),((CROQUIS!$C$107/2+(((CROQUIS!$C$98)-CROQUIS!$C$107)-(MAX(1,INT(((CROQUIS!$C$98)-CROQUIS!$C$107)/MAX((CROQUIS!$C$129*MAX(1,CEILING((INT(((CROQUIS!$C$98)-CROQUIS!$C$107)/MAX(CROQUIS!$C$129,1))+1)/80,1))),1))+1)-1)*(CROQUIS!$C$129*MAX(1,CEILING((INT(((CROQUIS!$C$98)-CROQUIS!$C$107)/MAX(CROQUIS!$C$129,1))+1)/80,1))))/2)+MIN(INT(($A208-1)/5),MAX((MAX(1,INT(((CROQUIS!$C$98)-CROQUIS!$C$107)/MAX((CROQUIS!$C$129*MAX(1,CEILING((INT(((CROQUIS!$C$98)-CROQUIS!$C$107)/MAX(CROQUIS!$C$129,1))+1)/80,1))),1))+1))-1,0))*(CROQUIS!$C$129*MAX(1,CEILING((INT(((CROQUIS!$C$98)-CROQUIS!$C$107)/MAX(CROQUIS!$C$129,1))+1)/80,1))))))*CROQUIS!$C$159)+IF(CROQUIS!$C$92="X",0,0)),-1000)</f>
        <v>-1000</v>
      </c>
      <c r="BO208">
        <f>IF(AND(CROQUIS!$C$88=1,CROQUIS!$C$129&gt;0),((CROQUIS!$C$161+(IF(CROQUIS!$C$92="X",((CROQUIS!$C$107/2+(((CROQUIS!$C$98)-CROQUIS!$C$107)-(MAX(1,INT(((CROQUIS!$C$98)-CROQUIS!$C$107)/MAX((CROQUIS!$C$129*MAX(1,CEILING((INT(((CROQUIS!$C$98)-CROQUIS!$C$107)/MAX(CROQUIS!$C$129,1))+1)/80,1))),1))+1)-1)*(CROQUIS!$C$129*MAX(1,CEILING((INT(((CROQUIS!$C$98)-CROQUIS!$C$107)/MAX(CROQUIS!$C$129,1))+1)/80,1))))/2)+MIN(INT(($A208-1)/5),MAX((MAX(1,INT(((CROQUIS!$C$98)-CROQUIS!$C$107)/MAX((CROQUIS!$C$129*MAX(1,CEILING((INT(((CROQUIS!$C$98)-CROQUIS!$C$107)/MAX(CROQUIS!$C$129,1))+1)/80,1))),1))+1))-1,0))*(CROQUIS!$C$129*MAX(1,CEILING((INT(((CROQUIS!$C$98)-CROQUIS!$C$107)/MAX(CROQUIS!$C$129,1))+1)/80,1)))),CHOOSE(IF(INT(($A208-1)/5)&gt;MAX((MAX(1,INT(((CROQUIS!$C$98)-CROQUIS!$C$107)/MAX((CROQUIS!$C$129*MAX(1,CEILING((INT(((CROQUIS!$C$98)-CROQUIS!$C$107)/MAX(CROQUIS!$C$129,1))+1)/80,1))),1))+1))-1,0),0,MOD($A208-1,5))+1,0,2,CROQUIS!$C$97-2,2,0)))*CROQUIS!$C$159)+IF(CROQUIS!$C$92="X",0,0)),-1000)</f>
        <v>-1000</v>
      </c>
      <c r="BP208">
        <f>IF(AND(CROQUIS!$C$88=1,CROQUIS!$C$137&gt;0),((CROQUIS!$C$160+(IF(CROQUIS!$C$92="X",((CROQUIS!$C$107/2+(((CROQUIS!$C$97)-CROQUIS!$C$107)-(MAX(1,INT(((CROQUIS!$C$97)-CROQUIS!$C$107)/MAX((CROQUIS!$C$137*MAX(1,CEILING((INT(((CROQUIS!$C$97)-CROQUIS!$C$107)/MAX(CROQUIS!$C$137,1))+1)/80,1))),1))+1)-1)*(CROQUIS!$C$137*MAX(1,CEILING((INT(((CROQUIS!$C$97)-CROQUIS!$C$107)/MAX(CROQUIS!$C$137,1))+1)/80,1))))/2)+MIN(INT(($A208-1)/5),MAX((MAX(1,INT(((CROQUIS!$C$97)-CROQUIS!$C$107)/MAX((CROQUIS!$C$137*MAX(1,CEILING((INT(((CROQUIS!$C$97)-CROQUIS!$C$107)/MAX(CROQUIS!$C$137,1))+1)/80,1))),1))+1))-1,0))*(CROQUIS!$C$137*MAX(1,CEILING((INT(((CROQUIS!$C$97)-CROQUIS!$C$107)/MAX(CROQUIS!$C$137,1))+1)/80,1)))),CHOOSE(IF(INT(($A208-1)/5)&gt;MAX((MAX(1,INT(((CROQUIS!$C$97)-CROQUIS!$C$107)/MAX((CROQUIS!$C$137*MAX(1,CEILING((INT(((CROQUIS!$C$97)-CROQUIS!$C$107)/MAX(CROQUIS!$C$137,1))+1)/80,1))),1))+1))-1,0),0,MOD($A208-1,5))+1,0,2,CROQUIS!$C$98-2,2,0)))*CROQUIS!$C$159)+IF(CROQUIS!$C$92="X",0,0)),-1000)</f>
        <v>-1000</v>
      </c>
      <c r="BQ208">
        <f>IF(AND(CROQUIS!$C$88=1,CROQUIS!$C$137&gt;0),((CROQUIS!$C$161+(IF(CROQUIS!$C$92="X",CHOOSE(IF(INT(($A208-1)/5)&gt;MAX((MAX(1,INT(((CROQUIS!$C$97)-CROQUIS!$C$107)/MAX((CROQUIS!$C$137*MAX(1,CEILING((INT(((CROQUIS!$C$97)-CROQUIS!$C$107)/MAX(CROQUIS!$C$137,1))+1)/80,1))),1))+1))-1,0),0,MOD($A208-1,5))+1,0,2,CROQUIS!$C$98-2,2,0),((CROQUIS!$C$107/2+(((CROQUIS!$C$97)-CROQUIS!$C$107)-(MAX(1,INT(((CROQUIS!$C$97)-CROQUIS!$C$107)/MAX((CROQUIS!$C$137*MAX(1,CEILING((INT(((CROQUIS!$C$97)-CROQUIS!$C$107)/MAX(CROQUIS!$C$137,1))+1)/80,1))),1))+1)-1)*(CROQUIS!$C$137*MAX(1,CEILING((INT(((CROQUIS!$C$97)-CROQUIS!$C$107)/MAX(CROQUIS!$C$137,1))+1)/80,1))))/2)+MIN(INT(($A208-1)/5),MAX((MAX(1,INT(((CROQUIS!$C$97)-CROQUIS!$C$107)/MAX((CROQUIS!$C$137*MAX(1,CEILING((INT(((CROQUIS!$C$97)-CROQUIS!$C$107)/MAX(CROQUIS!$C$137,1))+1)/80,1))),1))+1))-1,0))*(CROQUIS!$C$137*MAX(1,CEILING((INT(((CROQUIS!$C$97)-CROQUIS!$C$107)/MAX(CROQUIS!$C$137,1))+1)/80,1))))))*CROQUIS!$C$159)+IF(CROQUIS!$C$92="X",0,0)),-1000)</f>
        <v>-1000</v>
      </c>
      <c r="BR208">
        <f>IF(AND(CROQUIS!$C$88=1,CROQUIS!$C$91=0,CROQUIS!$C$133&gt;0,OR(CROQUIS!$C$103=1,CROQUIS!$C$145=1)),((CROQUIS!$C$160+(IF(CROQUIS!$C$92="X",CHOOSE(IF(INT(($A208-1)/5)&gt;MAX((MAX(1,INT(((CROQUIS!$C$98)-CROQUIS!$C$107)/MAX((CROQUIS!$C$133*MAX(1,CEILING((INT(((CROQUIS!$C$98)-CROQUIS!$C$107)/MAX(CROQUIS!$C$133,1))+1)/80,1))),1))+1))-1,0),0,MOD($A208-1,5))+1,0,IF(CROQUIS!$C$103=1,-12,2),CROQUIS!$C$107/2+CROQUIS!$C$143,IF(CROQUIS!$C$103=1,-12,2),0),((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BS2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+1,0,IF(CROQUIS!$C$103=1,-12,2),CROQUIS!$C$107/2+CROQUIS!$C$143,IF(CROQUIS!$C$103=1,-12,2),0)))*CROQUIS!$C$159)+IF(CROQUIS!$C$92="X",0.8,0)),-1000)</f>
        <v>-1000</v>
      </c>
      <c r="BT208">
        <f>IF(AND(CROQUIS!$C$88=1,CROQUIS!$C$91=0,CROQUIS!$C$133&gt;0,OR(CROQUIS!$C$104=1,CROQUIS!$C$145=1)),((CROQUIS!$C$160+(IF(CROQUIS!$C$92="X",CHOOSE(IF(INT(($A208-1)/5)&gt;MAX((MAX(1,INT(((CROQUIS!$C$98)-CROQUIS!$C$107)/MAX((CROQUIS!$C$133*MAX(1,CEILING((INT(((CROQUIS!$C$98)-CROQUIS!$C$107)/MAX(CROQUIS!$C$133,1))+1)/80,1))),1))+1))-1,0),0,MOD($A208-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BU2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CROQUIS!$C$97,CROQUIS!$C$97-CROQUIS!$C$107/2-CROQUIS!$C$143,IF(CROQUIS!$C$104=1,CROQUIS!$C$97+12,CROQUIS!$C$97-2),CROQUIS!$C$97-CROQUIS!$C$107/2-CROQUIS!$C$143,CROQUIS!$C$97)))*CROQUIS!$C$159)+IF(CROQUIS!$C$92="X",0.8,0)),-1000)</f>
        <v>-1000</v>
      </c>
      <c r="BV2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HOOSE(IF(INT(($A208-1)/5)&gt;MAX((MAX(1,INT(((CROQUIS!$C$97)-CROQUIS!$C$107)/MAX((CROQUIS!$C$141*MAX(1,CEILING((INT(((CROQUIS!$C$97)-CROQUIS!$C$107)/MAX(CROQUIS!$C$141,1))+1)/80,1))),1))+1))-1,0),0,MOD($A208-1,5))+1,0,IF(CROQUIS!$C$105=1,-12,2),CROQUIS!$C$107/2+CROQUIS!$C$144,IF(CROQUIS!$C$105=1,-12,2),0)))*CROQUIS!$C$159)+IF(CROQUIS!$C$92="X",0.8,0)),-1000)</f>
        <v>-1000</v>
      </c>
      <c r="BW208">
        <f>IF(AND(CROQUIS!$C$88=1,CROQUIS!$C$91=0,CROQUIS!$C$141&gt;0,OR(CROQUIS!$C$105=1,CROQUIS!$C$146=1)),((CROQUIS!$C$161+(IF(CROQUIS!$C$92="X",CHOOSE(IF(INT(($A208-1)/5)&gt;MAX((MAX(1,INT(((CROQUIS!$C$97)-CROQUIS!$C$107)/MAX((CROQUIS!$C$141*MAX(1,CEILING((INT(((CROQUIS!$C$97)-CROQUIS!$C$107)/MAX(CROQUIS!$C$141,1))+1)/80,1))),1))+1))-1,0),0,MOD($A208-1,5))+1,0,IF(CROQUIS!$C$105=1,-12,2),CROQUIS!$C$107/2+CROQUIS!$C$144,IF(CROQUIS!$C$105=1,-12,2),0),((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ROQUIS!$C$159)+IF(CROQUIS!$C$92="X",0,0.8)),-1000)</f>
        <v>-1000</v>
      </c>
      <c r="BX2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HOOSE(IF(INT(($A208-1)/5)&gt;MAX((MAX(1,INT(((CROQUIS!$C$97)-CROQUIS!$C$107)/MAX((CROQUIS!$C$141*MAX(1,CEILING((INT(((CROQUIS!$C$97)-CROQUIS!$C$107)/MAX(CROQUIS!$C$141,1))+1)/80,1))),1))+1))-1,0),0,MOD($A208-1,5))+1,CROQUIS!$C$98,CROQUIS!$C$98-CROQUIS!$C$107/2-CROQUIS!$C$144,IF(CROQUIS!$C$106=1,CROQUIS!$C$98+12,CROQUIS!$C$98-2),CROQUIS!$C$98-CROQUIS!$C$107/2-CROQUIS!$C$144,CROQUIS!$C$98)))*CROQUIS!$C$159)+IF(CROQUIS!$C$92="X",0.8,0)),-1000)</f>
        <v>-1000</v>
      </c>
      <c r="BY208">
        <f>IF(AND(CROQUIS!$C$88=1,CROQUIS!$C$91=0,CROQUIS!$C$141&gt;0,OR(CROQUIS!$C$106=1,CROQUIS!$C$146=1)),((CROQUIS!$C$161+(IF(CROQUIS!$C$92="X",CHOOSE(IF(INT(($A208-1)/5)&gt;MAX((MAX(1,INT(((CROQUIS!$C$97)-CROQUIS!$C$107)/MAX((CROQUIS!$C$141*MAX(1,CEILING((INT(((CROQUIS!$C$97)-CROQUIS!$C$107)/MAX(CROQUIS!$C$141,1))+1)/80,1))),1))+1))-1,0),0,MOD($A208-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ROQUIS!$C$159)+IF(CROQUIS!$C$92="X",0,0.8)),-1000)</f>
        <v>-1000</v>
      </c>
      <c r="BZ208">
        <f>IF(AND(CROQUIS!$C$88=1,CROQUIS!$C$91=1,CROQUIS!$C$133&gt;0),((CROQUIS!$C$160+(IF(CROQUIS!$C$92="X",CHOOSE(IF(INT(($A208-1)/5)&gt;MAX((MAX(1,INT(((CROQUIS!$C$98)-CROQUIS!$C$107)/MAX((CROQUIS!$C$133*MAX(1,CEILING((INT(((CROQUIS!$C$98)-CROQUIS!$C$107)/MAX(CROQUIS!$C$133,1))+1)/80,1))),1))+1))-1,0),0,MOD($A208-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CA208">
        <f>IF(AND(CROQUIS!$C$88=1,CROQUIS!$C$91=1,CROQUIS!$C$133&gt;0),((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9">
      <c r="A209" t="n">
        <v>202</v>
      </c>
      <c r="BN209">
        <f>IF(AND(CROQUIS!$C$88=1,CROQUIS!$C$129&gt;0),((CROQUIS!$C$160+(IF(CROQUIS!$C$92="X",CHOOSE(IF(INT(($A209-1)/5)&gt;MAX((MAX(1,INT(((CROQUIS!$C$98)-CROQUIS!$C$107)/MAX((CROQUIS!$C$129*MAX(1,CEILING((INT(((CROQUIS!$C$98)-CROQUIS!$C$107)/MAX(CROQUIS!$C$129,1))+1)/80,1))),1))+1))-1,0),0,MOD($A209-1,5))+1,0,2,CROQUIS!$C$97-2,2,0),((CROQUIS!$C$107/2+(((CROQUIS!$C$98)-CROQUIS!$C$107)-(MAX(1,INT(((CROQUIS!$C$98)-CROQUIS!$C$107)/MAX((CROQUIS!$C$129*MAX(1,CEILING((INT(((CROQUIS!$C$98)-CROQUIS!$C$107)/MAX(CROQUIS!$C$129,1))+1)/80,1))),1))+1)-1)*(CROQUIS!$C$129*MAX(1,CEILING((INT(((CROQUIS!$C$98)-CROQUIS!$C$107)/MAX(CROQUIS!$C$129,1))+1)/80,1))))/2)+MIN(INT(($A209-1)/5),MAX((MAX(1,INT(((CROQUIS!$C$98)-CROQUIS!$C$107)/MAX((CROQUIS!$C$129*MAX(1,CEILING((INT(((CROQUIS!$C$98)-CROQUIS!$C$107)/MAX(CROQUIS!$C$129,1))+1)/80,1))),1))+1))-1,0))*(CROQUIS!$C$129*MAX(1,CEILING((INT(((CROQUIS!$C$98)-CROQUIS!$C$107)/MAX(CROQUIS!$C$129,1))+1)/80,1))))))*CROQUIS!$C$159)+IF(CROQUIS!$C$92="X",0,0)),-1000)</f>
        <v>-1000</v>
      </c>
      <c r="BO209">
        <f>IF(AND(CROQUIS!$C$88=1,CROQUIS!$C$129&gt;0),((CROQUIS!$C$161+(IF(CROQUIS!$C$92="X",((CROQUIS!$C$107/2+(((CROQUIS!$C$98)-CROQUIS!$C$107)-(MAX(1,INT(((CROQUIS!$C$98)-CROQUIS!$C$107)/MAX((CROQUIS!$C$129*MAX(1,CEILING((INT(((CROQUIS!$C$98)-CROQUIS!$C$107)/MAX(CROQUIS!$C$129,1))+1)/80,1))),1))+1)-1)*(CROQUIS!$C$129*MAX(1,CEILING((INT(((CROQUIS!$C$98)-CROQUIS!$C$107)/MAX(CROQUIS!$C$129,1))+1)/80,1))))/2)+MIN(INT(($A209-1)/5),MAX((MAX(1,INT(((CROQUIS!$C$98)-CROQUIS!$C$107)/MAX((CROQUIS!$C$129*MAX(1,CEILING((INT(((CROQUIS!$C$98)-CROQUIS!$C$107)/MAX(CROQUIS!$C$129,1))+1)/80,1))),1))+1))-1,0))*(CROQUIS!$C$129*MAX(1,CEILING((INT(((CROQUIS!$C$98)-CROQUIS!$C$107)/MAX(CROQUIS!$C$129,1))+1)/80,1)))),CHOOSE(IF(INT(($A209-1)/5)&gt;MAX((MAX(1,INT(((CROQUIS!$C$98)-CROQUIS!$C$107)/MAX((CROQUIS!$C$129*MAX(1,CEILING((INT(((CROQUIS!$C$98)-CROQUIS!$C$107)/MAX(CROQUIS!$C$129,1))+1)/80,1))),1))+1))-1,0),0,MOD($A209-1,5))+1,0,2,CROQUIS!$C$97-2,2,0)))*CROQUIS!$C$159)+IF(CROQUIS!$C$92="X",0,0)),-1000)</f>
        <v>-1000</v>
      </c>
      <c r="BP209">
        <f>IF(AND(CROQUIS!$C$88=1,CROQUIS!$C$137&gt;0),((CROQUIS!$C$160+(IF(CROQUIS!$C$92="X",((CROQUIS!$C$107/2+(((CROQUIS!$C$97)-CROQUIS!$C$107)-(MAX(1,INT(((CROQUIS!$C$97)-CROQUIS!$C$107)/MAX((CROQUIS!$C$137*MAX(1,CEILING((INT(((CROQUIS!$C$97)-CROQUIS!$C$107)/MAX(CROQUIS!$C$137,1))+1)/80,1))),1))+1)-1)*(CROQUIS!$C$137*MAX(1,CEILING((INT(((CROQUIS!$C$97)-CROQUIS!$C$107)/MAX(CROQUIS!$C$137,1))+1)/80,1))))/2)+MIN(INT(($A209-1)/5),MAX((MAX(1,INT(((CROQUIS!$C$97)-CROQUIS!$C$107)/MAX((CROQUIS!$C$137*MAX(1,CEILING((INT(((CROQUIS!$C$97)-CROQUIS!$C$107)/MAX(CROQUIS!$C$137,1))+1)/80,1))),1))+1))-1,0))*(CROQUIS!$C$137*MAX(1,CEILING((INT(((CROQUIS!$C$97)-CROQUIS!$C$107)/MAX(CROQUIS!$C$137,1))+1)/80,1)))),CHOOSE(IF(INT(($A209-1)/5)&gt;MAX((MAX(1,INT(((CROQUIS!$C$97)-CROQUIS!$C$107)/MAX((CROQUIS!$C$137*MAX(1,CEILING((INT(((CROQUIS!$C$97)-CROQUIS!$C$107)/MAX(CROQUIS!$C$137,1))+1)/80,1))),1))+1))-1,0),0,MOD($A209-1,5))+1,0,2,CROQUIS!$C$98-2,2,0)))*CROQUIS!$C$159)+IF(CROQUIS!$C$92="X",0,0)),-1000)</f>
        <v>-1000</v>
      </c>
      <c r="BQ209">
        <f>IF(AND(CROQUIS!$C$88=1,CROQUIS!$C$137&gt;0),((CROQUIS!$C$161+(IF(CROQUIS!$C$92="X",CHOOSE(IF(INT(($A209-1)/5)&gt;MAX((MAX(1,INT(((CROQUIS!$C$97)-CROQUIS!$C$107)/MAX((CROQUIS!$C$137*MAX(1,CEILING((INT(((CROQUIS!$C$97)-CROQUIS!$C$107)/MAX(CROQUIS!$C$137,1))+1)/80,1))),1))+1))-1,0),0,MOD($A209-1,5))+1,0,2,CROQUIS!$C$98-2,2,0),((CROQUIS!$C$107/2+(((CROQUIS!$C$97)-CROQUIS!$C$107)-(MAX(1,INT(((CROQUIS!$C$97)-CROQUIS!$C$107)/MAX((CROQUIS!$C$137*MAX(1,CEILING((INT(((CROQUIS!$C$97)-CROQUIS!$C$107)/MAX(CROQUIS!$C$137,1))+1)/80,1))),1))+1)-1)*(CROQUIS!$C$137*MAX(1,CEILING((INT(((CROQUIS!$C$97)-CROQUIS!$C$107)/MAX(CROQUIS!$C$137,1))+1)/80,1))))/2)+MIN(INT(($A209-1)/5),MAX((MAX(1,INT(((CROQUIS!$C$97)-CROQUIS!$C$107)/MAX((CROQUIS!$C$137*MAX(1,CEILING((INT(((CROQUIS!$C$97)-CROQUIS!$C$107)/MAX(CROQUIS!$C$137,1))+1)/80,1))),1))+1))-1,0))*(CROQUIS!$C$137*MAX(1,CEILING((INT(((CROQUIS!$C$97)-CROQUIS!$C$107)/MAX(CROQUIS!$C$137,1))+1)/80,1))))))*CROQUIS!$C$159)+IF(CROQUIS!$C$92="X",0,0)),-1000)</f>
        <v>-1000</v>
      </c>
      <c r="BR209">
        <f>IF(AND(CROQUIS!$C$88=1,CROQUIS!$C$91=0,CROQUIS!$C$133&gt;0,OR(CROQUIS!$C$103=1,CROQUIS!$C$145=1)),((CROQUIS!$C$160+(IF(CROQUIS!$C$92="X",CHOOSE(IF(INT(($A209-1)/5)&gt;MAX((MAX(1,INT(((CROQUIS!$C$98)-CROQUIS!$C$107)/MAX((CROQUIS!$C$133*MAX(1,CEILING((INT(((CROQUIS!$C$98)-CROQUIS!$C$107)/MAX(CROQUIS!$C$133,1))+1)/80,1))),1))+1))-1,0),0,MOD($A209-1,5))+1,0,IF(CROQUIS!$C$103=1,-12,2),CROQUIS!$C$107/2+CROQUIS!$C$143,IF(CROQUIS!$C$103=1,-12,2),0),((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BS2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+1,0,IF(CROQUIS!$C$103=1,-12,2),CROQUIS!$C$107/2+CROQUIS!$C$143,IF(CROQUIS!$C$103=1,-12,2),0)))*CROQUIS!$C$159)+IF(CROQUIS!$C$92="X",0.8,0)),-1000)</f>
        <v>-1000</v>
      </c>
      <c r="BT209">
        <f>IF(AND(CROQUIS!$C$88=1,CROQUIS!$C$91=0,CROQUIS!$C$133&gt;0,OR(CROQUIS!$C$104=1,CROQUIS!$C$145=1)),((CROQUIS!$C$160+(IF(CROQUIS!$C$92="X",CHOOSE(IF(INT(($A209-1)/5)&gt;MAX((MAX(1,INT(((CROQUIS!$C$98)-CROQUIS!$C$107)/MAX((CROQUIS!$C$133*MAX(1,CEILING((INT(((CROQUIS!$C$98)-CROQUIS!$C$107)/MAX(CROQUIS!$C$133,1))+1)/80,1))),1))+1))-1,0),0,MOD($A209-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BU2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CROQUIS!$C$97,CROQUIS!$C$97-CROQUIS!$C$107/2-CROQUIS!$C$143,IF(CROQUIS!$C$104=1,CROQUIS!$C$97+12,CROQUIS!$C$97-2),CROQUIS!$C$97-CROQUIS!$C$107/2-CROQUIS!$C$143,CROQUIS!$C$97)))*CROQUIS!$C$159)+IF(CROQUIS!$C$92="X",0.8,0)),-1000)</f>
        <v>-1000</v>
      </c>
      <c r="BV2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HOOSE(IF(INT(($A209-1)/5)&gt;MAX((MAX(1,INT(((CROQUIS!$C$97)-CROQUIS!$C$107)/MAX((CROQUIS!$C$141*MAX(1,CEILING((INT(((CROQUIS!$C$97)-CROQUIS!$C$107)/MAX(CROQUIS!$C$141,1))+1)/80,1))),1))+1))-1,0),0,MOD($A209-1,5))+1,0,IF(CROQUIS!$C$105=1,-12,2),CROQUIS!$C$107/2+CROQUIS!$C$144,IF(CROQUIS!$C$105=1,-12,2),0)))*CROQUIS!$C$159)+IF(CROQUIS!$C$92="X",0.8,0)),-1000)</f>
        <v>-1000</v>
      </c>
      <c r="BW209">
        <f>IF(AND(CROQUIS!$C$88=1,CROQUIS!$C$91=0,CROQUIS!$C$141&gt;0,OR(CROQUIS!$C$105=1,CROQUIS!$C$146=1)),((CROQUIS!$C$161+(IF(CROQUIS!$C$92="X",CHOOSE(IF(INT(($A209-1)/5)&gt;MAX((MAX(1,INT(((CROQUIS!$C$97)-CROQUIS!$C$107)/MAX((CROQUIS!$C$141*MAX(1,CEILING((INT(((CROQUIS!$C$97)-CROQUIS!$C$107)/MAX(CROQUIS!$C$141,1))+1)/80,1))),1))+1))-1,0),0,MOD($A209-1,5))+1,0,IF(CROQUIS!$C$105=1,-12,2),CROQUIS!$C$107/2+CROQUIS!$C$144,IF(CROQUIS!$C$105=1,-12,2),0),((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ROQUIS!$C$159)+IF(CROQUIS!$C$92="X",0,0.8)),-1000)</f>
        <v>-1000</v>
      </c>
      <c r="BX2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HOOSE(IF(INT(($A209-1)/5)&gt;MAX((MAX(1,INT(((CROQUIS!$C$97)-CROQUIS!$C$107)/MAX((CROQUIS!$C$141*MAX(1,CEILING((INT(((CROQUIS!$C$97)-CROQUIS!$C$107)/MAX(CROQUIS!$C$141,1))+1)/80,1))),1))+1))-1,0),0,MOD($A209-1,5))+1,CROQUIS!$C$98,CROQUIS!$C$98-CROQUIS!$C$107/2-CROQUIS!$C$144,IF(CROQUIS!$C$106=1,CROQUIS!$C$98+12,CROQUIS!$C$98-2),CROQUIS!$C$98-CROQUIS!$C$107/2-CROQUIS!$C$144,CROQUIS!$C$98)))*CROQUIS!$C$159)+IF(CROQUIS!$C$92="X",0.8,0)),-1000)</f>
        <v>-1000</v>
      </c>
      <c r="BY209">
        <f>IF(AND(CROQUIS!$C$88=1,CROQUIS!$C$91=0,CROQUIS!$C$141&gt;0,OR(CROQUIS!$C$106=1,CROQUIS!$C$146=1)),((CROQUIS!$C$161+(IF(CROQUIS!$C$92="X",CHOOSE(IF(INT(($A209-1)/5)&gt;MAX((MAX(1,INT(((CROQUIS!$C$97)-CROQUIS!$C$107)/MAX((CROQUIS!$C$141*MAX(1,CEILING((INT(((CROQUIS!$C$97)-CROQUIS!$C$107)/MAX(CROQUIS!$C$141,1))+1)/80,1))),1))+1))-1,0),0,MOD($A209-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ROQUIS!$C$159)+IF(CROQUIS!$C$92="X",0,0.8)),-1000)</f>
        <v>-1000</v>
      </c>
      <c r="BZ209">
        <f>IF(AND(CROQUIS!$C$88=1,CROQUIS!$C$91=1,CROQUIS!$C$133&gt;0),((CROQUIS!$C$160+(IF(CROQUIS!$C$92="X",CHOOSE(IF(INT(($A209-1)/5)&gt;MAX((MAX(1,INT(((CROQUIS!$C$98)-CROQUIS!$C$107)/MAX((CROQUIS!$C$133*MAX(1,CEILING((INT(((CROQUIS!$C$98)-CROQUIS!$C$107)/MAX(CROQUIS!$C$133,1))+1)/80,1))),1))+1))-1,0),0,MOD($A209-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CA209">
        <f>IF(AND(CROQUIS!$C$88=1,CROQUIS!$C$91=1,CROQUIS!$C$133&gt;0),((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0">
      <c r="A210" t="n">
        <v>203</v>
      </c>
      <c r="BN210">
        <f>IF(AND(CROQUIS!$C$88=1,CROQUIS!$C$129&gt;0),((CROQUIS!$C$160+(IF(CROQUIS!$C$92="X",CHOOSE(IF(INT(($A210-1)/5)&gt;MAX((MAX(1,INT(((CROQUIS!$C$98)-CROQUIS!$C$107)/MAX((CROQUIS!$C$129*MAX(1,CEILING((INT(((CROQUIS!$C$98)-CROQUIS!$C$107)/MAX(CROQUIS!$C$129,1))+1)/80,1))),1))+1))-1,0),0,MOD($A210-1,5))+1,0,2,CROQUIS!$C$97-2,2,0),((CROQUIS!$C$107/2+(((CROQUIS!$C$98)-CROQUIS!$C$107)-(MAX(1,INT(((CROQUIS!$C$98)-CROQUIS!$C$107)/MAX((CROQUIS!$C$129*MAX(1,CEILING((INT(((CROQUIS!$C$98)-CROQUIS!$C$107)/MAX(CROQUIS!$C$129,1))+1)/80,1))),1))+1)-1)*(CROQUIS!$C$129*MAX(1,CEILING((INT(((CROQUIS!$C$98)-CROQUIS!$C$107)/MAX(CROQUIS!$C$129,1))+1)/80,1))))/2)+MIN(INT(($A210-1)/5),MAX((MAX(1,INT(((CROQUIS!$C$98)-CROQUIS!$C$107)/MAX((CROQUIS!$C$129*MAX(1,CEILING((INT(((CROQUIS!$C$98)-CROQUIS!$C$107)/MAX(CROQUIS!$C$129,1))+1)/80,1))),1))+1))-1,0))*(CROQUIS!$C$129*MAX(1,CEILING((INT(((CROQUIS!$C$98)-CROQUIS!$C$107)/MAX(CROQUIS!$C$129,1))+1)/80,1))))))*CROQUIS!$C$159)+IF(CROQUIS!$C$92="X",0,0)),-1000)</f>
        <v>-1000</v>
      </c>
      <c r="BO210">
        <f>IF(AND(CROQUIS!$C$88=1,CROQUIS!$C$129&gt;0),((CROQUIS!$C$161+(IF(CROQUIS!$C$92="X",((CROQUIS!$C$107/2+(((CROQUIS!$C$98)-CROQUIS!$C$107)-(MAX(1,INT(((CROQUIS!$C$98)-CROQUIS!$C$107)/MAX((CROQUIS!$C$129*MAX(1,CEILING((INT(((CROQUIS!$C$98)-CROQUIS!$C$107)/MAX(CROQUIS!$C$129,1))+1)/80,1))),1))+1)-1)*(CROQUIS!$C$129*MAX(1,CEILING((INT(((CROQUIS!$C$98)-CROQUIS!$C$107)/MAX(CROQUIS!$C$129,1))+1)/80,1))))/2)+MIN(INT(($A210-1)/5),MAX((MAX(1,INT(((CROQUIS!$C$98)-CROQUIS!$C$107)/MAX((CROQUIS!$C$129*MAX(1,CEILING((INT(((CROQUIS!$C$98)-CROQUIS!$C$107)/MAX(CROQUIS!$C$129,1))+1)/80,1))),1))+1))-1,0))*(CROQUIS!$C$129*MAX(1,CEILING((INT(((CROQUIS!$C$98)-CROQUIS!$C$107)/MAX(CROQUIS!$C$129,1))+1)/80,1)))),CHOOSE(IF(INT(($A210-1)/5)&gt;MAX((MAX(1,INT(((CROQUIS!$C$98)-CROQUIS!$C$107)/MAX((CROQUIS!$C$129*MAX(1,CEILING((INT(((CROQUIS!$C$98)-CROQUIS!$C$107)/MAX(CROQUIS!$C$129,1))+1)/80,1))),1))+1))-1,0),0,MOD($A210-1,5))+1,0,2,CROQUIS!$C$97-2,2,0)))*CROQUIS!$C$159)+IF(CROQUIS!$C$92="X",0,0)),-1000)</f>
        <v>-1000</v>
      </c>
      <c r="BP210">
        <f>IF(AND(CROQUIS!$C$88=1,CROQUIS!$C$137&gt;0),((CROQUIS!$C$160+(IF(CROQUIS!$C$92="X",((CROQUIS!$C$107/2+(((CROQUIS!$C$97)-CROQUIS!$C$107)-(MAX(1,INT(((CROQUIS!$C$97)-CROQUIS!$C$107)/MAX((CROQUIS!$C$137*MAX(1,CEILING((INT(((CROQUIS!$C$97)-CROQUIS!$C$107)/MAX(CROQUIS!$C$137,1))+1)/80,1))),1))+1)-1)*(CROQUIS!$C$137*MAX(1,CEILING((INT(((CROQUIS!$C$97)-CROQUIS!$C$107)/MAX(CROQUIS!$C$137,1))+1)/80,1))))/2)+MIN(INT(($A210-1)/5),MAX((MAX(1,INT(((CROQUIS!$C$97)-CROQUIS!$C$107)/MAX((CROQUIS!$C$137*MAX(1,CEILING((INT(((CROQUIS!$C$97)-CROQUIS!$C$107)/MAX(CROQUIS!$C$137,1))+1)/80,1))),1))+1))-1,0))*(CROQUIS!$C$137*MAX(1,CEILING((INT(((CROQUIS!$C$97)-CROQUIS!$C$107)/MAX(CROQUIS!$C$137,1))+1)/80,1)))),CHOOSE(IF(INT(($A210-1)/5)&gt;MAX((MAX(1,INT(((CROQUIS!$C$97)-CROQUIS!$C$107)/MAX((CROQUIS!$C$137*MAX(1,CEILING((INT(((CROQUIS!$C$97)-CROQUIS!$C$107)/MAX(CROQUIS!$C$137,1))+1)/80,1))),1))+1))-1,0),0,MOD($A210-1,5))+1,0,2,CROQUIS!$C$98-2,2,0)))*CROQUIS!$C$159)+IF(CROQUIS!$C$92="X",0,0)),-1000)</f>
        <v>-1000</v>
      </c>
      <c r="BQ210">
        <f>IF(AND(CROQUIS!$C$88=1,CROQUIS!$C$137&gt;0),((CROQUIS!$C$161+(IF(CROQUIS!$C$92="X",CHOOSE(IF(INT(($A210-1)/5)&gt;MAX((MAX(1,INT(((CROQUIS!$C$97)-CROQUIS!$C$107)/MAX((CROQUIS!$C$137*MAX(1,CEILING((INT(((CROQUIS!$C$97)-CROQUIS!$C$107)/MAX(CROQUIS!$C$137,1))+1)/80,1))),1))+1))-1,0),0,MOD($A210-1,5))+1,0,2,CROQUIS!$C$98-2,2,0),((CROQUIS!$C$107/2+(((CROQUIS!$C$97)-CROQUIS!$C$107)-(MAX(1,INT(((CROQUIS!$C$97)-CROQUIS!$C$107)/MAX((CROQUIS!$C$137*MAX(1,CEILING((INT(((CROQUIS!$C$97)-CROQUIS!$C$107)/MAX(CROQUIS!$C$137,1))+1)/80,1))),1))+1)-1)*(CROQUIS!$C$137*MAX(1,CEILING((INT(((CROQUIS!$C$97)-CROQUIS!$C$107)/MAX(CROQUIS!$C$137,1))+1)/80,1))))/2)+MIN(INT(($A210-1)/5),MAX((MAX(1,INT(((CROQUIS!$C$97)-CROQUIS!$C$107)/MAX((CROQUIS!$C$137*MAX(1,CEILING((INT(((CROQUIS!$C$97)-CROQUIS!$C$107)/MAX(CROQUIS!$C$137,1))+1)/80,1))),1))+1))-1,0))*(CROQUIS!$C$137*MAX(1,CEILING((INT(((CROQUIS!$C$97)-CROQUIS!$C$107)/MAX(CROQUIS!$C$137,1))+1)/80,1))))))*CROQUIS!$C$159)+IF(CROQUIS!$C$92="X",0,0)),-1000)</f>
        <v>-1000</v>
      </c>
      <c r="BR210">
        <f>IF(AND(CROQUIS!$C$88=1,CROQUIS!$C$91=0,CROQUIS!$C$133&gt;0,OR(CROQUIS!$C$103=1,CROQUIS!$C$145=1)),((CROQUIS!$C$160+(IF(CROQUIS!$C$92="X",CHOOSE(IF(INT(($A210-1)/5)&gt;MAX((MAX(1,INT(((CROQUIS!$C$98)-CROQUIS!$C$107)/MAX((CROQUIS!$C$133*MAX(1,CEILING((INT(((CROQUIS!$C$98)-CROQUIS!$C$107)/MAX(CROQUIS!$C$133,1))+1)/80,1))),1))+1))-1,0),0,MOD($A210-1,5))+1,0,IF(CROQUIS!$C$103=1,-12,2),CROQUIS!$C$107/2+CROQUIS!$C$143,IF(CROQUIS!$C$103=1,-12,2),0),((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BS2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+1,0,IF(CROQUIS!$C$103=1,-12,2),CROQUIS!$C$107/2+CROQUIS!$C$143,IF(CROQUIS!$C$103=1,-12,2),0)))*CROQUIS!$C$159)+IF(CROQUIS!$C$92="X",0.8,0)),-1000)</f>
        <v>-1000</v>
      </c>
      <c r="BT210">
        <f>IF(AND(CROQUIS!$C$88=1,CROQUIS!$C$91=0,CROQUIS!$C$133&gt;0,OR(CROQUIS!$C$104=1,CROQUIS!$C$145=1)),((CROQUIS!$C$160+(IF(CROQUIS!$C$92="X",CHOOSE(IF(INT(($A210-1)/5)&gt;MAX((MAX(1,INT(((CROQUIS!$C$98)-CROQUIS!$C$107)/MAX((CROQUIS!$C$133*MAX(1,CEILING((INT(((CROQUIS!$C$98)-CROQUIS!$C$107)/MAX(CROQUIS!$C$133,1))+1)/80,1))),1))+1))-1,0),0,MOD($A210-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BU2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CROQUIS!$C$97,CROQUIS!$C$97-CROQUIS!$C$107/2-CROQUIS!$C$143,IF(CROQUIS!$C$104=1,CROQUIS!$C$97+12,CROQUIS!$C$97-2),CROQUIS!$C$97-CROQUIS!$C$107/2-CROQUIS!$C$143,CROQUIS!$C$97)))*CROQUIS!$C$159)+IF(CROQUIS!$C$92="X",0.8,0)),-1000)</f>
        <v>-1000</v>
      </c>
      <c r="BV2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HOOSE(IF(INT(($A210-1)/5)&gt;MAX((MAX(1,INT(((CROQUIS!$C$97)-CROQUIS!$C$107)/MAX((CROQUIS!$C$141*MAX(1,CEILING((INT(((CROQUIS!$C$97)-CROQUIS!$C$107)/MAX(CROQUIS!$C$141,1))+1)/80,1))),1))+1))-1,0),0,MOD($A210-1,5))+1,0,IF(CROQUIS!$C$105=1,-12,2),CROQUIS!$C$107/2+CROQUIS!$C$144,IF(CROQUIS!$C$105=1,-12,2),0)))*CROQUIS!$C$159)+IF(CROQUIS!$C$92="X",0.8,0)),-1000)</f>
        <v>-1000</v>
      </c>
      <c r="BW210">
        <f>IF(AND(CROQUIS!$C$88=1,CROQUIS!$C$91=0,CROQUIS!$C$141&gt;0,OR(CROQUIS!$C$105=1,CROQUIS!$C$146=1)),((CROQUIS!$C$161+(IF(CROQUIS!$C$92="X",CHOOSE(IF(INT(($A210-1)/5)&gt;MAX((MAX(1,INT(((CROQUIS!$C$97)-CROQUIS!$C$107)/MAX((CROQUIS!$C$141*MAX(1,CEILING((INT(((CROQUIS!$C$97)-CROQUIS!$C$107)/MAX(CROQUIS!$C$141,1))+1)/80,1))),1))+1))-1,0),0,MOD($A210-1,5))+1,0,IF(CROQUIS!$C$105=1,-12,2),CROQUIS!$C$107/2+CROQUIS!$C$144,IF(CROQUIS!$C$105=1,-12,2),0),((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ROQUIS!$C$159)+IF(CROQUIS!$C$92="X",0,0.8)),-1000)</f>
        <v>-1000</v>
      </c>
      <c r="BX2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HOOSE(IF(INT(($A210-1)/5)&gt;MAX((MAX(1,INT(((CROQUIS!$C$97)-CROQUIS!$C$107)/MAX((CROQUIS!$C$141*MAX(1,CEILING((INT(((CROQUIS!$C$97)-CROQUIS!$C$107)/MAX(CROQUIS!$C$141,1))+1)/80,1))),1))+1))-1,0),0,MOD($A210-1,5))+1,CROQUIS!$C$98,CROQUIS!$C$98-CROQUIS!$C$107/2-CROQUIS!$C$144,IF(CROQUIS!$C$106=1,CROQUIS!$C$98+12,CROQUIS!$C$98-2),CROQUIS!$C$98-CROQUIS!$C$107/2-CROQUIS!$C$144,CROQUIS!$C$98)))*CROQUIS!$C$159)+IF(CROQUIS!$C$92="X",0.8,0)),-1000)</f>
        <v>-1000</v>
      </c>
      <c r="BY210">
        <f>IF(AND(CROQUIS!$C$88=1,CROQUIS!$C$91=0,CROQUIS!$C$141&gt;0,OR(CROQUIS!$C$106=1,CROQUIS!$C$146=1)),((CROQUIS!$C$161+(IF(CROQUIS!$C$92="X",CHOOSE(IF(INT(($A210-1)/5)&gt;MAX((MAX(1,INT(((CROQUIS!$C$97)-CROQUIS!$C$107)/MAX((CROQUIS!$C$141*MAX(1,CEILING((INT(((CROQUIS!$C$97)-CROQUIS!$C$107)/MAX(CROQUIS!$C$141,1))+1)/80,1))),1))+1))-1,0),0,MOD($A210-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ROQUIS!$C$159)+IF(CROQUIS!$C$92="X",0,0.8)),-1000)</f>
        <v>-1000</v>
      </c>
      <c r="BZ210">
        <f>IF(AND(CROQUIS!$C$88=1,CROQUIS!$C$91=1,CROQUIS!$C$133&gt;0),((CROQUIS!$C$160+(IF(CROQUIS!$C$92="X",CHOOSE(IF(INT(($A210-1)/5)&gt;MAX((MAX(1,INT(((CROQUIS!$C$98)-CROQUIS!$C$107)/MAX((CROQUIS!$C$133*MAX(1,CEILING((INT(((CROQUIS!$C$98)-CROQUIS!$C$107)/MAX(CROQUIS!$C$133,1))+1)/80,1))),1))+1))-1,0),0,MOD($A210-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CA210">
        <f>IF(AND(CROQUIS!$C$88=1,CROQUIS!$C$91=1,CROQUIS!$C$133&gt;0),((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1">
      <c r="A211" t="n">
        <v>204</v>
      </c>
      <c r="BN211">
        <f>IF(AND(CROQUIS!$C$88=1,CROQUIS!$C$129&gt;0),((CROQUIS!$C$160+(IF(CROQUIS!$C$92="X",CHOOSE(IF(INT(($A211-1)/5)&gt;MAX((MAX(1,INT(((CROQUIS!$C$98)-CROQUIS!$C$107)/MAX((CROQUIS!$C$129*MAX(1,CEILING((INT(((CROQUIS!$C$98)-CROQUIS!$C$107)/MAX(CROQUIS!$C$129,1))+1)/80,1))),1))+1))-1,0),0,MOD($A211-1,5))+1,0,2,CROQUIS!$C$97-2,2,0),((CROQUIS!$C$107/2+(((CROQUIS!$C$98)-CROQUIS!$C$107)-(MAX(1,INT(((CROQUIS!$C$98)-CROQUIS!$C$107)/MAX((CROQUIS!$C$129*MAX(1,CEILING((INT(((CROQUIS!$C$98)-CROQUIS!$C$107)/MAX(CROQUIS!$C$129,1))+1)/80,1))),1))+1)-1)*(CROQUIS!$C$129*MAX(1,CEILING((INT(((CROQUIS!$C$98)-CROQUIS!$C$107)/MAX(CROQUIS!$C$129,1))+1)/80,1))))/2)+MIN(INT(($A211-1)/5),MAX((MAX(1,INT(((CROQUIS!$C$98)-CROQUIS!$C$107)/MAX((CROQUIS!$C$129*MAX(1,CEILING((INT(((CROQUIS!$C$98)-CROQUIS!$C$107)/MAX(CROQUIS!$C$129,1))+1)/80,1))),1))+1))-1,0))*(CROQUIS!$C$129*MAX(1,CEILING((INT(((CROQUIS!$C$98)-CROQUIS!$C$107)/MAX(CROQUIS!$C$129,1))+1)/80,1))))))*CROQUIS!$C$159)+IF(CROQUIS!$C$92="X",0,0)),-1000)</f>
        <v>-1000</v>
      </c>
      <c r="BO211">
        <f>IF(AND(CROQUIS!$C$88=1,CROQUIS!$C$129&gt;0),((CROQUIS!$C$161+(IF(CROQUIS!$C$92="X",((CROQUIS!$C$107/2+(((CROQUIS!$C$98)-CROQUIS!$C$107)-(MAX(1,INT(((CROQUIS!$C$98)-CROQUIS!$C$107)/MAX((CROQUIS!$C$129*MAX(1,CEILING((INT(((CROQUIS!$C$98)-CROQUIS!$C$107)/MAX(CROQUIS!$C$129,1))+1)/80,1))),1))+1)-1)*(CROQUIS!$C$129*MAX(1,CEILING((INT(((CROQUIS!$C$98)-CROQUIS!$C$107)/MAX(CROQUIS!$C$129,1))+1)/80,1))))/2)+MIN(INT(($A211-1)/5),MAX((MAX(1,INT(((CROQUIS!$C$98)-CROQUIS!$C$107)/MAX((CROQUIS!$C$129*MAX(1,CEILING((INT(((CROQUIS!$C$98)-CROQUIS!$C$107)/MAX(CROQUIS!$C$129,1))+1)/80,1))),1))+1))-1,0))*(CROQUIS!$C$129*MAX(1,CEILING((INT(((CROQUIS!$C$98)-CROQUIS!$C$107)/MAX(CROQUIS!$C$129,1))+1)/80,1)))),CHOOSE(IF(INT(($A211-1)/5)&gt;MAX((MAX(1,INT(((CROQUIS!$C$98)-CROQUIS!$C$107)/MAX((CROQUIS!$C$129*MAX(1,CEILING((INT(((CROQUIS!$C$98)-CROQUIS!$C$107)/MAX(CROQUIS!$C$129,1))+1)/80,1))),1))+1))-1,0),0,MOD($A211-1,5))+1,0,2,CROQUIS!$C$97-2,2,0)))*CROQUIS!$C$159)+IF(CROQUIS!$C$92="X",0,0)),-1000)</f>
        <v>-1000</v>
      </c>
      <c r="BP211">
        <f>IF(AND(CROQUIS!$C$88=1,CROQUIS!$C$137&gt;0),((CROQUIS!$C$160+(IF(CROQUIS!$C$92="X",((CROQUIS!$C$107/2+(((CROQUIS!$C$97)-CROQUIS!$C$107)-(MAX(1,INT(((CROQUIS!$C$97)-CROQUIS!$C$107)/MAX((CROQUIS!$C$137*MAX(1,CEILING((INT(((CROQUIS!$C$97)-CROQUIS!$C$107)/MAX(CROQUIS!$C$137,1))+1)/80,1))),1))+1)-1)*(CROQUIS!$C$137*MAX(1,CEILING((INT(((CROQUIS!$C$97)-CROQUIS!$C$107)/MAX(CROQUIS!$C$137,1))+1)/80,1))))/2)+MIN(INT(($A211-1)/5),MAX((MAX(1,INT(((CROQUIS!$C$97)-CROQUIS!$C$107)/MAX((CROQUIS!$C$137*MAX(1,CEILING((INT(((CROQUIS!$C$97)-CROQUIS!$C$107)/MAX(CROQUIS!$C$137,1))+1)/80,1))),1))+1))-1,0))*(CROQUIS!$C$137*MAX(1,CEILING((INT(((CROQUIS!$C$97)-CROQUIS!$C$107)/MAX(CROQUIS!$C$137,1))+1)/80,1)))),CHOOSE(IF(INT(($A211-1)/5)&gt;MAX((MAX(1,INT(((CROQUIS!$C$97)-CROQUIS!$C$107)/MAX((CROQUIS!$C$137*MAX(1,CEILING((INT(((CROQUIS!$C$97)-CROQUIS!$C$107)/MAX(CROQUIS!$C$137,1))+1)/80,1))),1))+1))-1,0),0,MOD($A211-1,5))+1,0,2,CROQUIS!$C$98-2,2,0)))*CROQUIS!$C$159)+IF(CROQUIS!$C$92="X",0,0)),-1000)</f>
        <v>-1000</v>
      </c>
      <c r="BQ211">
        <f>IF(AND(CROQUIS!$C$88=1,CROQUIS!$C$137&gt;0),((CROQUIS!$C$161+(IF(CROQUIS!$C$92="X",CHOOSE(IF(INT(($A211-1)/5)&gt;MAX((MAX(1,INT(((CROQUIS!$C$97)-CROQUIS!$C$107)/MAX((CROQUIS!$C$137*MAX(1,CEILING((INT(((CROQUIS!$C$97)-CROQUIS!$C$107)/MAX(CROQUIS!$C$137,1))+1)/80,1))),1))+1))-1,0),0,MOD($A211-1,5))+1,0,2,CROQUIS!$C$98-2,2,0),((CROQUIS!$C$107/2+(((CROQUIS!$C$97)-CROQUIS!$C$107)-(MAX(1,INT(((CROQUIS!$C$97)-CROQUIS!$C$107)/MAX((CROQUIS!$C$137*MAX(1,CEILING((INT(((CROQUIS!$C$97)-CROQUIS!$C$107)/MAX(CROQUIS!$C$137,1))+1)/80,1))),1))+1)-1)*(CROQUIS!$C$137*MAX(1,CEILING((INT(((CROQUIS!$C$97)-CROQUIS!$C$107)/MAX(CROQUIS!$C$137,1))+1)/80,1))))/2)+MIN(INT(($A211-1)/5),MAX((MAX(1,INT(((CROQUIS!$C$97)-CROQUIS!$C$107)/MAX((CROQUIS!$C$137*MAX(1,CEILING((INT(((CROQUIS!$C$97)-CROQUIS!$C$107)/MAX(CROQUIS!$C$137,1))+1)/80,1))),1))+1))-1,0))*(CROQUIS!$C$137*MAX(1,CEILING((INT(((CROQUIS!$C$97)-CROQUIS!$C$107)/MAX(CROQUIS!$C$137,1))+1)/80,1))))))*CROQUIS!$C$159)+IF(CROQUIS!$C$92="X",0,0)),-1000)</f>
        <v>-1000</v>
      </c>
      <c r="BR211">
        <f>IF(AND(CROQUIS!$C$88=1,CROQUIS!$C$91=0,CROQUIS!$C$133&gt;0,OR(CROQUIS!$C$103=1,CROQUIS!$C$145=1)),((CROQUIS!$C$160+(IF(CROQUIS!$C$92="X",CHOOSE(IF(INT(($A211-1)/5)&gt;MAX((MAX(1,INT(((CROQUIS!$C$98)-CROQUIS!$C$107)/MAX((CROQUIS!$C$133*MAX(1,CEILING((INT(((CROQUIS!$C$98)-CROQUIS!$C$107)/MAX(CROQUIS!$C$133,1))+1)/80,1))),1))+1))-1,0),0,MOD($A211-1,5))+1,0,IF(CROQUIS!$C$103=1,-12,2),CROQUIS!$C$107/2+CROQUIS!$C$143,IF(CROQUIS!$C$103=1,-12,2),0),((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BS2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+1,0,IF(CROQUIS!$C$103=1,-12,2),CROQUIS!$C$107/2+CROQUIS!$C$143,IF(CROQUIS!$C$103=1,-12,2),0)))*CROQUIS!$C$159)+IF(CROQUIS!$C$92="X",0.8,0)),-1000)</f>
        <v>-1000</v>
      </c>
      <c r="BT211">
        <f>IF(AND(CROQUIS!$C$88=1,CROQUIS!$C$91=0,CROQUIS!$C$133&gt;0,OR(CROQUIS!$C$104=1,CROQUIS!$C$145=1)),((CROQUIS!$C$160+(IF(CROQUIS!$C$92="X",CHOOSE(IF(INT(($A211-1)/5)&gt;MAX((MAX(1,INT(((CROQUIS!$C$98)-CROQUIS!$C$107)/MAX((CROQUIS!$C$133*MAX(1,CEILING((INT(((CROQUIS!$C$98)-CROQUIS!$C$107)/MAX(CROQUIS!$C$133,1))+1)/80,1))),1))+1))-1,0),0,MOD($A211-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BU2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CROQUIS!$C$97,CROQUIS!$C$97-CROQUIS!$C$107/2-CROQUIS!$C$143,IF(CROQUIS!$C$104=1,CROQUIS!$C$97+12,CROQUIS!$C$97-2),CROQUIS!$C$97-CROQUIS!$C$107/2-CROQUIS!$C$143,CROQUIS!$C$97)))*CROQUIS!$C$159)+IF(CROQUIS!$C$92="X",0.8,0)),-1000)</f>
        <v>-1000</v>
      </c>
      <c r="BV2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HOOSE(IF(INT(($A211-1)/5)&gt;MAX((MAX(1,INT(((CROQUIS!$C$97)-CROQUIS!$C$107)/MAX((CROQUIS!$C$141*MAX(1,CEILING((INT(((CROQUIS!$C$97)-CROQUIS!$C$107)/MAX(CROQUIS!$C$141,1))+1)/80,1))),1))+1))-1,0),0,MOD($A211-1,5))+1,0,IF(CROQUIS!$C$105=1,-12,2),CROQUIS!$C$107/2+CROQUIS!$C$144,IF(CROQUIS!$C$105=1,-12,2),0)))*CROQUIS!$C$159)+IF(CROQUIS!$C$92="X",0.8,0)),-1000)</f>
        <v>-1000</v>
      </c>
      <c r="BW211">
        <f>IF(AND(CROQUIS!$C$88=1,CROQUIS!$C$91=0,CROQUIS!$C$141&gt;0,OR(CROQUIS!$C$105=1,CROQUIS!$C$146=1)),((CROQUIS!$C$161+(IF(CROQUIS!$C$92="X",CHOOSE(IF(INT(($A211-1)/5)&gt;MAX((MAX(1,INT(((CROQUIS!$C$97)-CROQUIS!$C$107)/MAX((CROQUIS!$C$141*MAX(1,CEILING((INT(((CROQUIS!$C$97)-CROQUIS!$C$107)/MAX(CROQUIS!$C$141,1))+1)/80,1))),1))+1))-1,0),0,MOD($A211-1,5))+1,0,IF(CROQUIS!$C$105=1,-12,2),CROQUIS!$C$107/2+CROQUIS!$C$144,IF(CROQUIS!$C$105=1,-12,2),0),((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ROQUIS!$C$159)+IF(CROQUIS!$C$92="X",0,0.8)),-1000)</f>
        <v>-1000</v>
      </c>
      <c r="BX2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HOOSE(IF(INT(($A211-1)/5)&gt;MAX((MAX(1,INT(((CROQUIS!$C$97)-CROQUIS!$C$107)/MAX((CROQUIS!$C$141*MAX(1,CEILING((INT(((CROQUIS!$C$97)-CROQUIS!$C$107)/MAX(CROQUIS!$C$141,1))+1)/80,1))),1))+1))-1,0),0,MOD($A211-1,5))+1,CROQUIS!$C$98,CROQUIS!$C$98-CROQUIS!$C$107/2-CROQUIS!$C$144,IF(CROQUIS!$C$106=1,CROQUIS!$C$98+12,CROQUIS!$C$98-2),CROQUIS!$C$98-CROQUIS!$C$107/2-CROQUIS!$C$144,CROQUIS!$C$98)))*CROQUIS!$C$159)+IF(CROQUIS!$C$92="X",0.8,0)),-1000)</f>
        <v>-1000</v>
      </c>
      <c r="BY211">
        <f>IF(AND(CROQUIS!$C$88=1,CROQUIS!$C$91=0,CROQUIS!$C$141&gt;0,OR(CROQUIS!$C$106=1,CROQUIS!$C$146=1)),((CROQUIS!$C$161+(IF(CROQUIS!$C$92="X",CHOOSE(IF(INT(($A211-1)/5)&gt;MAX((MAX(1,INT(((CROQUIS!$C$97)-CROQUIS!$C$107)/MAX((CROQUIS!$C$141*MAX(1,CEILING((INT(((CROQUIS!$C$97)-CROQUIS!$C$107)/MAX(CROQUIS!$C$141,1))+1)/80,1))),1))+1))-1,0),0,MOD($A211-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ROQUIS!$C$159)+IF(CROQUIS!$C$92="X",0,0.8)),-1000)</f>
        <v>-1000</v>
      </c>
      <c r="BZ211">
        <f>IF(AND(CROQUIS!$C$88=1,CROQUIS!$C$91=1,CROQUIS!$C$133&gt;0),((CROQUIS!$C$160+(IF(CROQUIS!$C$92="X",CHOOSE(IF(INT(($A211-1)/5)&gt;MAX((MAX(1,INT(((CROQUIS!$C$98)-CROQUIS!$C$107)/MAX((CROQUIS!$C$133*MAX(1,CEILING((INT(((CROQUIS!$C$98)-CROQUIS!$C$107)/MAX(CROQUIS!$C$133,1))+1)/80,1))),1))+1))-1,0),0,MOD($A211-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CA211">
        <f>IF(AND(CROQUIS!$C$88=1,CROQUIS!$C$91=1,CROQUIS!$C$133&gt;0),((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2">
      <c r="A212" t="n">
        <v>205</v>
      </c>
      <c r="BN212">
        <f>IF(AND(CROQUIS!$C$88=1,CROQUIS!$C$129&gt;0),((CROQUIS!$C$160+(IF(CROQUIS!$C$92="X",CHOOSE(IF(INT(($A212-1)/5)&gt;MAX((MAX(1,INT(((CROQUIS!$C$98)-CROQUIS!$C$107)/MAX((CROQUIS!$C$129*MAX(1,CEILING((INT(((CROQUIS!$C$98)-CROQUIS!$C$107)/MAX(CROQUIS!$C$129,1))+1)/80,1))),1))+1))-1,0),0,MOD($A212-1,5))+1,0,2,CROQUIS!$C$97-2,2,0),((CROQUIS!$C$107/2+(((CROQUIS!$C$98)-CROQUIS!$C$107)-(MAX(1,INT(((CROQUIS!$C$98)-CROQUIS!$C$107)/MAX((CROQUIS!$C$129*MAX(1,CEILING((INT(((CROQUIS!$C$98)-CROQUIS!$C$107)/MAX(CROQUIS!$C$129,1))+1)/80,1))),1))+1)-1)*(CROQUIS!$C$129*MAX(1,CEILING((INT(((CROQUIS!$C$98)-CROQUIS!$C$107)/MAX(CROQUIS!$C$129,1))+1)/80,1))))/2)+MIN(INT(($A212-1)/5),MAX((MAX(1,INT(((CROQUIS!$C$98)-CROQUIS!$C$107)/MAX((CROQUIS!$C$129*MAX(1,CEILING((INT(((CROQUIS!$C$98)-CROQUIS!$C$107)/MAX(CROQUIS!$C$129,1))+1)/80,1))),1))+1))-1,0))*(CROQUIS!$C$129*MAX(1,CEILING((INT(((CROQUIS!$C$98)-CROQUIS!$C$107)/MAX(CROQUIS!$C$129,1))+1)/80,1))))))*CROQUIS!$C$159)+IF(CROQUIS!$C$92="X",0,0)),-1000)</f>
        <v>-1000</v>
      </c>
      <c r="BO212">
        <f>IF(AND(CROQUIS!$C$88=1,CROQUIS!$C$129&gt;0),((CROQUIS!$C$161+(IF(CROQUIS!$C$92="X",((CROQUIS!$C$107/2+(((CROQUIS!$C$98)-CROQUIS!$C$107)-(MAX(1,INT(((CROQUIS!$C$98)-CROQUIS!$C$107)/MAX((CROQUIS!$C$129*MAX(1,CEILING((INT(((CROQUIS!$C$98)-CROQUIS!$C$107)/MAX(CROQUIS!$C$129,1))+1)/80,1))),1))+1)-1)*(CROQUIS!$C$129*MAX(1,CEILING((INT(((CROQUIS!$C$98)-CROQUIS!$C$107)/MAX(CROQUIS!$C$129,1))+1)/80,1))))/2)+MIN(INT(($A212-1)/5),MAX((MAX(1,INT(((CROQUIS!$C$98)-CROQUIS!$C$107)/MAX((CROQUIS!$C$129*MAX(1,CEILING((INT(((CROQUIS!$C$98)-CROQUIS!$C$107)/MAX(CROQUIS!$C$129,1))+1)/80,1))),1))+1))-1,0))*(CROQUIS!$C$129*MAX(1,CEILING((INT(((CROQUIS!$C$98)-CROQUIS!$C$107)/MAX(CROQUIS!$C$129,1))+1)/80,1)))),CHOOSE(IF(INT(($A212-1)/5)&gt;MAX((MAX(1,INT(((CROQUIS!$C$98)-CROQUIS!$C$107)/MAX((CROQUIS!$C$129*MAX(1,CEILING((INT(((CROQUIS!$C$98)-CROQUIS!$C$107)/MAX(CROQUIS!$C$129,1))+1)/80,1))),1))+1))-1,0),0,MOD($A212-1,5))+1,0,2,CROQUIS!$C$97-2,2,0)))*CROQUIS!$C$159)+IF(CROQUIS!$C$92="X",0,0)),-1000)</f>
        <v>-1000</v>
      </c>
      <c r="BP212">
        <f>IF(AND(CROQUIS!$C$88=1,CROQUIS!$C$137&gt;0),((CROQUIS!$C$160+(IF(CROQUIS!$C$92="X",((CROQUIS!$C$107/2+(((CROQUIS!$C$97)-CROQUIS!$C$107)-(MAX(1,INT(((CROQUIS!$C$97)-CROQUIS!$C$107)/MAX((CROQUIS!$C$137*MAX(1,CEILING((INT(((CROQUIS!$C$97)-CROQUIS!$C$107)/MAX(CROQUIS!$C$137,1))+1)/80,1))),1))+1)-1)*(CROQUIS!$C$137*MAX(1,CEILING((INT(((CROQUIS!$C$97)-CROQUIS!$C$107)/MAX(CROQUIS!$C$137,1))+1)/80,1))))/2)+MIN(INT(($A212-1)/5),MAX((MAX(1,INT(((CROQUIS!$C$97)-CROQUIS!$C$107)/MAX((CROQUIS!$C$137*MAX(1,CEILING((INT(((CROQUIS!$C$97)-CROQUIS!$C$107)/MAX(CROQUIS!$C$137,1))+1)/80,1))),1))+1))-1,0))*(CROQUIS!$C$137*MAX(1,CEILING((INT(((CROQUIS!$C$97)-CROQUIS!$C$107)/MAX(CROQUIS!$C$137,1))+1)/80,1)))),CHOOSE(IF(INT(($A212-1)/5)&gt;MAX((MAX(1,INT(((CROQUIS!$C$97)-CROQUIS!$C$107)/MAX((CROQUIS!$C$137*MAX(1,CEILING((INT(((CROQUIS!$C$97)-CROQUIS!$C$107)/MAX(CROQUIS!$C$137,1))+1)/80,1))),1))+1))-1,0),0,MOD($A212-1,5))+1,0,2,CROQUIS!$C$98-2,2,0)))*CROQUIS!$C$159)+IF(CROQUIS!$C$92="X",0,0)),-1000)</f>
        <v>-1000</v>
      </c>
      <c r="BQ212">
        <f>IF(AND(CROQUIS!$C$88=1,CROQUIS!$C$137&gt;0),((CROQUIS!$C$161+(IF(CROQUIS!$C$92="X",CHOOSE(IF(INT(($A212-1)/5)&gt;MAX((MAX(1,INT(((CROQUIS!$C$97)-CROQUIS!$C$107)/MAX((CROQUIS!$C$137*MAX(1,CEILING((INT(((CROQUIS!$C$97)-CROQUIS!$C$107)/MAX(CROQUIS!$C$137,1))+1)/80,1))),1))+1))-1,0),0,MOD($A212-1,5))+1,0,2,CROQUIS!$C$98-2,2,0),((CROQUIS!$C$107/2+(((CROQUIS!$C$97)-CROQUIS!$C$107)-(MAX(1,INT(((CROQUIS!$C$97)-CROQUIS!$C$107)/MAX((CROQUIS!$C$137*MAX(1,CEILING((INT(((CROQUIS!$C$97)-CROQUIS!$C$107)/MAX(CROQUIS!$C$137,1))+1)/80,1))),1))+1)-1)*(CROQUIS!$C$137*MAX(1,CEILING((INT(((CROQUIS!$C$97)-CROQUIS!$C$107)/MAX(CROQUIS!$C$137,1))+1)/80,1))))/2)+MIN(INT(($A212-1)/5),MAX((MAX(1,INT(((CROQUIS!$C$97)-CROQUIS!$C$107)/MAX((CROQUIS!$C$137*MAX(1,CEILING((INT(((CROQUIS!$C$97)-CROQUIS!$C$107)/MAX(CROQUIS!$C$137,1))+1)/80,1))),1))+1))-1,0))*(CROQUIS!$C$137*MAX(1,CEILING((INT(((CROQUIS!$C$97)-CROQUIS!$C$107)/MAX(CROQUIS!$C$137,1))+1)/80,1))))))*CROQUIS!$C$159)+IF(CROQUIS!$C$92="X",0,0)),-1000)</f>
        <v>-1000</v>
      </c>
      <c r="BR212">
        <f>IF(AND(CROQUIS!$C$88=1,CROQUIS!$C$91=0,CROQUIS!$C$133&gt;0,OR(CROQUIS!$C$103=1,CROQUIS!$C$145=1)),((CROQUIS!$C$160+(IF(CROQUIS!$C$92="X",CHOOSE(IF(INT(($A212-1)/5)&gt;MAX((MAX(1,INT(((CROQUIS!$C$98)-CROQUIS!$C$107)/MAX((CROQUIS!$C$133*MAX(1,CEILING((INT(((CROQUIS!$C$98)-CROQUIS!$C$107)/MAX(CROQUIS!$C$133,1))+1)/80,1))),1))+1))-1,0),0,MOD($A212-1,5))+1,0,IF(CROQUIS!$C$103=1,-12,2),CROQUIS!$C$107/2+CROQUIS!$C$143,IF(CROQUIS!$C$103=1,-12,2),0),((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BS2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+1,0,IF(CROQUIS!$C$103=1,-12,2),CROQUIS!$C$107/2+CROQUIS!$C$143,IF(CROQUIS!$C$103=1,-12,2),0)))*CROQUIS!$C$159)+IF(CROQUIS!$C$92="X",0.8,0)),-1000)</f>
        <v>-1000</v>
      </c>
      <c r="BT212">
        <f>IF(AND(CROQUIS!$C$88=1,CROQUIS!$C$91=0,CROQUIS!$C$133&gt;0,OR(CROQUIS!$C$104=1,CROQUIS!$C$145=1)),((CROQUIS!$C$160+(IF(CROQUIS!$C$92="X",CHOOSE(IF(INT(($A212-1)/5)&gt;MAX((MAX(1,INT(((CROQUIS!$C$98)-CROQUIS!$C$107)/MAX((CROQUIS!$C$133*MAX(1,CEILING((INT(((CROQUIS!$C$98)-CROQUIS!$C$107)/MAX(CROQUIS!$C$133,1))+1)/80,1))),1))+1))-1,0),0,MOD($A212-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BU2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CROQUIS!$C$97,CROQUIS!$C$97-CROQUIS!$C$107/2-CROQUIS!$C$143,IF(CROQUIS!$C$104=1,CROQUIS!$C$97+12,CROQUIS!$C$97-2),CROQUIS!$C$97-CROQUIS!$C$107/2-CROQUIS!$C$143,CROQUIS!$C$97)))*CROQUIS!$C$159)+IF(CROQUIS!$C$92="X",0.8,0)),-1000)</f>
        <v>-1000</v>
      </c>
      <c r="BV2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HOOSE(IF(INT(($A212-1)/5)&gt;MAX((MAX(1,INT(((CROQUIS!$C$97)-CROQUIS!$C$107)/MAX((CROQUIS!$C$141*MAX(1,CEILING((INT(((CROQUIS!$C$97)-CROQUIS!$C$107)/MAX(CROQUIS!$C$141,1))+1)/80,1))),1))+1))-1,0),0,MOD($A212-1,5))+1,0,IF(CROQUIS!$C$105=1,-12,2),CROQUIS!$C$107/2+CROQUIS!$C$144,IF(CROQUIS!$C$105=1,-12,2),0)))*CROQUIS!$C$159)+IF(CROQUIS!$C$92="X",0.8,0)),-1000)</f>
        <v>-1000</v>
      </c>
      <c r="BW212">
        <f>IF(AND(CROQUIS!$C$88=1,CROQUIS!$C$91=0,CROQUIS!$C$141&gt;0,OR(CROQUIS!$C$105=1,CROQUIS!$C$146=1)),((CROQUIS!$C$161+(IF(CROQUIS!$C$92="X",CHOOSE(IF(INT(($A212-1)/5)&gt;MAX((MAX(1,INT(((CROQUIS!$C$97)-CROQUIS!$C$107)/MAX((CROQUIS!$C$141*MAX(1,CEILING((INT(((CROQUIS!$C$97)-CROQUIS!$C$107)/MAX(CROQUIS!$C$141,1))+1)/80,1))),1))+1))-1,0),0,MOD($A212-1,5))+1,0,IF(CROQUIS!$C$105=1,-12,2),CROQUIS!$C$107/2+CROQUIS!$C$144,IF(CROQUIS!$C$105=1,-12,2),0),((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ROQUIS!$C$159)+IF(CROQUIS!$C$92="X",0,0.8)),-1000)</f>
        <v>-1000</v>
      </c>
      <c r="BX2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HOOSE(IF(INT(($A212-1)/5)&gt;MAX((MAX(1,INT(((CROQUIS!$C$97)-CROQUIS!$C$107)/MAX((CROQUIS!$C$141*MAX(1,CEILING((INT(((CROQUIS!$C$97)-CROQUIS!$C$107)/MAX(CROQUIS!$C$141,1))+1)/80,1))),1))+1))-1,0),0,MOD($A212-1,5))+1,CROQUIS!$C$98,CROQUIS!$C$98-CROQUIS!$C$107/2-CROQUIS!$C$144,IF(CROQUIS!$C$106=1,CROQUIS!$C$98+12,CROQUIS!$C$98-2),CROQUIS!$C$98-CROQUIS!$C$107/2-CROQUIS!$C$144,CROQUIS!$C$98)))*CROQUIS!$C$159)+IF(CROQUIS!$C$92="X",0.8,0)),-1000)</f>
        <v>-1000</v>
      </c>
      <c r="BY212">
        <f>IF(AND(CROQUIS!$C$88=1,CROQUIS!$C$91=0,CROQUIS!$C$141&gt;0,OR(CROQUIS!$C$106=1,CROQUIS!$C$146=1)),((CROQUIS!$C$161+(IF(CROQUIS!$C$92="X",CHOOSE(IF(INT(($A212-1)/5)&gt;MAX((MAX(1,INT(((CROQUIS!$C$97)-CROQUIS!$C$107)/MAX((CROQUIS!$C$141*MAX(1,CEILING((INT(((CROQUIS!$C$97)-CROQUIS!$C$107)/MAX(CROQUIS!$C$141,1))+1)/80,1))),1))+1))-1,0),0,MOD($A212-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ROQUIS!$C$159)+IF(CROQUIS!$C$92="X",0,0.8)),-1000)</f>
        <v>-1000</v>
      </c>
      <c r="BZ212">
        <f>IF(AND(CROQUIS!$C$88=1,CROQUIS!$C$91=1,CROQUIS!$C$133&gt;0),((CROQUIS!$C$160+(IF(CROQUIS!$C$92="X",CHOOSE(IF(INT(($A212-1)/5)&gt;MAX((MAX(1,INT(((CROQUIS!$C$98)-CROQUIS!$C$107)/MAX((CROQUIS!$C$133*MAX(1,CEILING((INT(((CROQUIS!$C$98)-CROQUIS!$C$107)/MAX(CROQUIS!$C$133,1))+1)/80,1))),1))+1))-1,0),0,MOD($A212-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CA212">
        <f>IF(AND(CROQUIS!$C$88=1,CROQUIS!$C$91=1,CROQUIS!$C$133&gt;0),((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3">
      <c r="A213" t="n">
        <v>206</v>
      </c>
      <c r="BN213">
        <f>IF(AND(CROQUIS!$C$88=1,CROQUIS!$C$129&gt;0),((CROQUIS!$C$160+(IF(CROQUIS!$C$92="X",CHOOSE(IF(INT(($A213-1)/5)&gt;MAX((MAX(1,INT(((CROQUIS!$C$98)-CROQUIS!$C$107)/MAX((CROQUIS!$C$129*MAX(1,CEILING((INT(((CROQUIS!$C$98)-CROQUIS!$C$107)/MAX(CROQUIS!$C$129,1))+1)/80,1))),1))+1))-1,0),0,MOD($A213-1,5))+1,0,2,CROQUIS!$C$97-2,2,0),((CROQUIS!$C$107/2+(((CROQUIS!$C$98)-CROQUIS!$C$107)-(MAX(1,INT(((CROQUIS!$C$98)-CROQUIS!$C$107)/MAX((CROQUIS!$C$129*MAX(1,CEILING((INT(((CROQUIS!$C$98)-CROQUIS!$C$107)/MAX(CROQUIS!$C$129,1))+1)/80,1))),1))+1)-1)*(CROQUIS!$C$129*MAX(1,CEILING((INT(((CROQUIS!$C$98)-CROQUIS!$C$107)/MAX(CROQUIS!$C$129,1))+1)/80,1))))/2)+MIN(INT(($A213-1)/5),MAX((MAX(1,INT(((CROQUIS!$C$98)-CROQUIS!$C$107)/MAX((CROQUIS!$C$129*MAX(1,CEILING((INT(((CROQUIS!$C$98)-CROQUIS!$C$107)/MAX(CROQUIS!$C$129,1))+1)/80,1))),1))+1))-1,0))*(CROQUIS!$C$129*MAX(1,CEILING((INT(((CROQUIS!$C$98)-CROQUIS!$C$107)/MAX(CROQUIS!$C$129,1))+1)/80,1))))))*CROQUIS!$C$159)+IF(CROQUIS!$C$92="X",0,0)),-1000)</f>
        <v>-1000</v>
      </c>
      <c r="BO213">
        <f>IF(AND(CROQUIS!$C$88=1,CROQUIS!$C$129&gt;0),((CROQUIS!$C$161+(IF(CROQUIS!$C$92="X",((CROQUIS!$C$107/2+(((CROQUIS!$C$98)-CROQUIS!$C$107)-(MAX(1,INT(((CROQUIS!$C$98)-CROQUIS!$C$107)/MAX((CROQUIS!$C$129*MAX(1,CEILING((INT(((CROQUIS!$C$98)-CROQUIS!$C$107)/MAX(CROQUIS!$C$129,1))+1)/80,1))),1))+1)-1)*(CROQUIS!$C$129*MAX(1,CEILING((INT(((CROQUIS!$C$98)-CROQUIS!$C$107)/MAX(CROQUIS!$C$129,1))+1)/80,1))))/2)+MIN(INT(($A213-1)/5),MAX((MAX(1,INT(((CROQUIS!$C$98)-CROQUIS!$C$107)/MAX((CROQUIS!$C$129*MAX(1,CEILING((INT(((CROQUIS!$C$98)-CROQUIS!$C$107)/MAX(CROQUIS!$C$129,1))+1)/80,1))),1))+1))-1,0))*(CROQUIS!$C$129*MAX(1,CEILING((INT(((CROQUIS!$C$98)-CROQUIS!$C$107)/MAX(CROQUIS!$C$129,1))+1)/80,1)))),CHOOSE(IF(INT(($A213-1)/5)&gt;MAX((MAX(1,INT(((CROQUIS!$C$98)-CROQUIS!$C$107)/MAX((CROQUIS!$C$129*MAX(1,CEILING((INT(((CROQUIS!$C$98)-CROQUIS!$C$107)/MAX(CROQUIS!$C$129,1))+1)/80,1))),1))+1))-1,0),0,MOD($A213-1,5))+1,0,2,CROQUIS!$C$97-2,2,0)))*CROQUIS!$C$159)+IF(CROQUIS!$C$92="X",0,0)),-1000)</f>
        <v>-1000</v>
      </c>
      <c r="BP213">
        <f>IF(AND(CROQUIS!$C$88=1,CROQUIS!$C$137&gt;0),((CROQUIS!$C$160+(IF(CROQUIS!$C$92="X",((CROQUIS!$C$107/2+(((CROQUIS!$C$97)-CROQUIS!$C$107)-(MAX(1,INT(((CROQUIS!$C$97)-CROQUIS!$C$107)/MAX((CROQUIS!$C$137*MAX(1,CEILING((INT(((CROQUIS!$C$97)-CROQUIS!$C$107)/MAX(CROQUIS!$C$137,1))+1)/80,1))),1))+1)-1)*(CROQUIS!$C$137*MAX(1,CEILING((INT(((CROQUIS!$C$97)-CROQUIS!$C$107)/MAX(CROQUIS!$C$137,1))+1)/80,1))))/2)+MIN(INT(($A213-1)/5),MAX((MAX(1,INT(((CROQUIS!$C$97)-CROQUIS!$C$107)/MAX((CROQUIS!$C$137*MAX(1,CEILING((INT(((CROQUIS!$C$97)-CROQUIS!$C$107)/MAX(CROQUIS!$C$137,1))+1)/80,1))),1))+1))-1,0))*(CROQUIS!$C$137*MAX(1,CEILING((INT(((CROQUIS!$C$97)-CROQUIS!$C$107)/MAX(CROQUIS!$C$137,1))+1)/80,1)))),CHOOSE(IF(INT(($A213-1)/5)&gt;MAX((MAX(1,INT(((CROQUIS!$C$97)-CROQUIS!$C$107)/MAX((CROQUIS!$C$137*MAX(1,CEILING((INT(((CROQUIS!$C$97)-CROQUIS!$C$107)/MAX(CROQUIS!$C$137,1))+1)/80,1))),1))+1))-1,0),0,MOD($A213-1,5))+1,0,2,CROQUIS!$C$98-2,2,0)))*CROQUIS!$C$159)+IF(CROQUIS!$C$92="X",0,0)),-1000)</f>
        <v>-1000</v>
      </c>
      <c r="BQ213">
        <f>IF(AND(CROQUIS!$C$88=1,CROQUIS!$C$137&gt;0),((CROQUIS!$C$161+(IF(CROQUIS!$C$92="X",CHOOSE(IF(INT(($A213-1)/5)&gt;MAX((MAX(1,INT(((CROQUIS!$C$97)-CROQUIS!$C$107)/MAX((CROQUIS!$C$137*MAX(1,CEILING((INT(((CROQUIS!$C$97)-CROQUIS!$C$107)/MAX(CROQUIS!$C$137,1))+1)/80,1))),1))+1))-1,0),0,MOD($A213-1,5))+1,0,2,CROQUIS!$C$98-2,2,0),((CROQUIS!$C$107/2+(((CROQUIS!$C$97)-CROQUIS!$C$107)-(MAX(1,INT(((CROQUIS!$C$97)-CROQUIS!$C$107)/MAX((CROQUIS!$C$137*MAX(1,CEILING((INT(((CROQUIS!$C$97)-CROQUIS!$C$107)/MAX(CROQUIS!$C$137,1))+1)/80,1))),1))+1)-1)*(CROQUIS!$C$137*MAX(1,CEILING((INT(((CROQUIS!$C$97)-CROQUIS!$C$107)/MAX(CROQUIS!$C$137,1))+1)/80,1))))/2)+MIN(INT(($A213-1)/5),MAX((MAX(1,INT(((CROQUIS!$C$97)-CROQUIS!$C$107)/MAX((CROQUIS!$C$137*MAX(1,CEILING((INT(((CROQUIS!$C$97)-CROQUIS!$C$107)/MAX(CROQUIS!$C$137,1))+1)/80,1))),1))+1))-1,0))*(CROQUIS!$C$137*MAX(1,CEILING((INT(((CROQUIS!$C$97)-CROQUIS!$C$107)/MAX(CROQUIS!$C$137,1))+1)/80,1))))))*CROQUIS!$C$159)+IF(CROQUIS!$C$92="X",0,0)),-1000)</f>
        <v>-1000</v>
      </c>
      <c r="BR213">
        <f>IF(AND(CROQUIS!$C$88=1,CROQUIS!$C$91=0,CROQUIS!$C$133&gt;0,OR(CROQUIS!$C$103=1,CROQUIS!$C$145=1)),((CROQUIS!$C$160+(IF(CROQUIS!$C$92="X",CHOOSE(IF(INT(($A213-1)/5)&gt;MAX((MAX(1,INT(((CROQUIS!$C$98)-CROQUIS!$C$107)/MAX((CROQUIS!$C$133*MAX(1,CEILING((INT(((CROQUIS!$C$98)-CROQUIS!$C$107)/MAX(CROQUIS!$C$133,1))+1)/80,1))),1))+1))-1,0),0,MOD($A213-1,5))+1,0,IF(CROQUIS!$C$103=1,-12,2),CROQUIS!$C$107/2+CROQUIS!$C$143,IF(CROQUIS!$C$103=1,-12,2),0),((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BS2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+1,0,IF(CROQUIS!$C$103=1,-12,2),CROQUIS!$C$107/2+CROQUIS!$C$143,IF(CROQUIS!$C$103=1,-12,2),0)))*CROQUIS!$C$159)+IF(CROQUIS!$C$92="X",0.8,0)),-1000)</f>
        <v>-1000</v>
      </c>
      <c r="BT213">
        <f>IF(AND(CROQUIS!$C$88=1,CROQUIS!$C$91=0,CROQUIS!$C$133&gt;0,OR(CROQUIS!$C$104=1,CROQUIS!$C$145=1)),((CROQUIS!$C$160+(IF(CROQUIS!$C$92="X",CHOOSE(IF(INT(($A213-1)/5)&gt;MAX((MAX(1,INT(((CROQUIS!$C$98)-CROQUIS!$C$107)/MAX((CROQUIS!$C$133*MAX(1,CEILING((INT(((CROQUIS!$C$98)-CROQUIS!$C$107)/MAX(CROQUIS!$C$133,1))+1)/80,1))),1))+1))-1,0),0,MOD($A213-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BU2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CROQUIS!$C$97,CROQUIS!$C$97-CROQUIS!$C$107/2-CROQUIS!$C$143,IF(CROQUIS!$C$104=1,CROQUIS!$C$97+12,CROQUIS!$C$97-2),CROQUIS!$C$97-CROQUIS!$C$107/2-CROQUIS!$C$143,CROQUIS!$C$97)))*CROQUIS!$C$159)+IF(CROQUIS!$C$92="X",0.8,0)),-1000)</f>
        <v>-1000</v>
      </c>
      <c r="BV2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HOOSE(IF(INT(($A213-1)/5)&gt;MAX((MAX(1,INT(((CROQUIS!$C$97)-CROQUIS!$C$107)/MAX((CROQUIS!$C$141*MAX(1,CEILING((INT(((CROQUIS!$C$97)-CROQUIS!$C$107)/MAX(CROQUIS!$C$141,1))+1)/80,1))),1))+1))-1,0),0,MOD($A213-1,5))+1,0,IF(CROQUIS!$C$105=1,-12,2),CROQUIS!$C$107/2+CROQUIS!$C$144,IF(CROQUIS!$C$105=1,-12,2),0)))*CROQUIS!$C$159)+IF(CROQUIS!$C$92="X",0.8,0)),-1000)</f>
        <v>-1000</v>
      </c>
      <c r="BW213">
        <f>IF(AND(CROQUIS!$C$88=1,CROQUIS!$C$91=0,CROQUIS!$C$141&gt;0,OR(CROQUIS!$C$105=1,CROQUIS!$C$146=1)),((CROQUIS!$C$161+(IF(CROQUIS!$C$92="X",CHOOSE(IF(INT(($A213-1)/5)&gt;MAX((MAX(1,INT(((CROQUIS!$C$97)-CROQUIS!$C$107)/MAX((CROQUIS!$C$141*MAX(1,CEILING((INT(((CROQUIS!$C$97)-CROQUIS!$C$107)/MAX(CROQUIS!$C$141,1))+1)/80,1))),1))+1))-1,0),0,MOD($A213-1,5))+1,0,IF(CROQUIS!$C$105=1,-12,2),CROQUIS!$C$107/2+CROQUIS!$C$144,IF(CROQUIS!$C$105=1,-12,2),0),((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ROQUIS!$C$159)+IF(CROQUIS!$C$92="X",0,0.8)),-1000)</f>
        <v>-1000</v>
      </c>
      <c r="BX2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HOOSE(IF(INT(($A213-1)/5)&gt;MAX((MAX(1,INT(((CROQUIS!$C$97)-CROQUIS!$C$107)/MAX((CROQUIS!$C$141*MAX(1,CEILING((INT(((CROQUIS!$C$97)-CROQUIS!$C$107)/MAX(CROQUIS!$C$141,1))+1)/80,1))),1))+1))-1,0),0,MOD($A213-1,5))+1,CROQUIS!$C$98,CROQUIS!$C$98-CROQUIS!$C$107/2-CROQUIS!$C$144,IF(CROQUIS!$C$106=1,CROQUIS!$C$98+12,CROQUIS!$C$98-2),CROQUIS!$C$98-CROQUIS!$C$107/2-CROQUIS!$C$144,CROQUIS!$C$98)))*CROQUIS!$C$159)+IF(CROQUIS!$C$92="X",0.8,0)),-1000)</f>
        <v>-1000</v>
      </c>
      <c r="BY213">
        <f>IF(AND(CROQUIS!$C$88=1,CROQUIS!$C$91=0,CROQUIS!$C$141&gt;0,OR(CROQUIS!$C$106=1,CROQUIS!$C$146=1)),((CROQUIS!$C$161+(IF(CROQUIS!$C$92="X",CHOOSE(IF(INT(($A213-1)/5)&gt;MAX((MAX(1,INT(((CROQUIS!$C$97)-CROQUIS!$C$107)/MAX((CROQUIS!$C$141*MAX(1,CEILING((INT(((CROQUIS!$C$97)-CROQUIS!$C$107)/MAX(CROQUIS!$C$141,1))+1)/80,1))),1))+1))-1,0),0,MOD($A213-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ROQUIS!$C$159)+IF(CROQUIS!$C$92="X",0,0.8)),-1000)</f>
        <v>-1000</v>
      </c>
      <c r="BZ213">
        <f>IF(AND(CROQUIS!$C$88=1,CROQUIS!$C$91=1,CROQUIS!$C$133&gt;0),((CROQUIS!$C$160+(IF(CROQUIS!$C$92="X",CHOOSE(IF(INT(($A213-1)/5)&gt;MAX((MAX(1,INT(((CROQUIS!$C$98)-CROQUIS!$C$107)/MAX((CROQUIS!$C$133*MAX(1,CEILING((INT(((CROQUIS!$C$98)-CROQUIS!$C$107)/MAX(CROQUIS!$C$133,1))+1)/80,1))),1))+1))-1,0),0,MOD($A213-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CA213">
        <f>IF(AND(CROQUIS!$C$88=1,CROQUIS!$C$91=1,CROQUIS!$C$133&gt;0),((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4">
      <c r="A214" t="n">
        <v>207</v>
      </c>
      <c r="BN214">
        <f>IF(AND(CROQUIS!$C$88=1,CROQUIS!$C$129&gt;0),((CROQUIS!$C$160+(IF(CROQUIS!$C$92="X",CHOOSE(IF(INT(($A214-1)/5)&gt;MAX((MAX(1,INT(((CROQUIS!$C$98)-CROQUIS!$C$107)/MAX((CROQUIS!$C$129*MAX(1,CEILING((INT(((CROQUIS!$C$98)-CROQUIS!$C$107)/MAX(CROQUIS!$C$129,1))+1)/80,1))),1))+1))-1,0),0,MOD($A214-1,5))+1,0,2,CROQUIS!$C$97-2,2,0),((CROQUIS!$C$107/2+(((CROQUIS!$C$98)-CROQUIS!$C$107)-(MAX(1,INT(((CROQUIS!$C$98)-CROQUIS!$C$107)/MAX((CROQUIS!$C$129*MAX(1,CEILING((INT(((CROQUIS!$C$98)-CROQUIS!$C$107)/MAX(CROQUIS!$C$129,1))+1)/80,1))),1))+1)-1)*(CROQUIS!$C$129*MAX(1,CEILING((INT(((CROQUIS!$C$98)-CROQUIS!$C$107)/MAX(CROQUIS!$C$129,1))+1)/80,1))))/2)+MIN(INT(($A214-1)/5),MAX((MAX(1,INT(((CROQUIS!$C$98)-CROQUIS!$C$107)/MAX((CROQUIS!$C$129*MAX(1,CEILING((INT(((CROQUIS!$C$98)-CROQUIS!$C$107)/MAX(CROQUIS!$C$129,1))+1)/80,1))),1))+1))-1,0))*(CROQUIS!$C$129*MAX(1,CEILING((INT(((CROQUIS!$C$98)-CROQUIS!$C$107)/MAX(CROQUIS!$C$129,1))+1)/80,1))))))*CROQUIS!$C$159)+IF(CROQUIS!$C$92="X",0,0)),-1000)</f>
        <v>-1000</v>
      </c>
      <c r="BO214">
        <f>IF(AND(CROQUIS!$C$88=1,CROQUIS!$C$129&gt;0),((CROQUIS!$C$161+(IF(CROQUIS!$C$92="X",((CROQUIS!$C$107/2+(((CROQUIS!$C$98)-CROQUIS!$C$107)-(MAX(1,INT(((CROQUIS!$C$98)-CROQUIS!$C$107)/MAX((CROQUIS!$C$129*MAX(1,CEILING((INT(((CROQUIS!$C$98)-CROQUIS!$C$107)/MAX(CROQUIS!$C$129,1))+1)/80,1))),1))+1)-1)*(CROQUIS!$C$129*MAX(1,CEILING((INT(((CROQUIS!$C$98)-CROQUIS!$C$107)/MAX(CROQUIS!$C$129,1))+1)/80,1))))/2)+MIN(INT(($A214-1)/5),MAX((MAX(1,INT(((CROQUIS!$C$98)-CROQUIS!$C$107)/MAX((CROQUIS!$C$129*MAX(1,CEILING((INT(((CROQUIS!$C$98)-CROQUIS!$C$107)/MAX(CROQUIS!$C$129,1))+1)/80,1))),1))+1))-1,0))*(CROQUIS!$C$129*MAX(1,CEILING((INT(((CROQUIS!$C$98)-CROQUIS!$C$107)/MAX(CROQUIS!$C$129,1))+1)/80,1)))),CHOOSE(IF(INT(($A214-1)/5)&gt;MAX((MAX(1,INT(((CROQUIS!$C$98)-CROQUIS!$C$107)/MAX((CROQUIS!$C$129*MAX(1,CEILING((INT(((CROQUIS!$C$98)-CROQUIS!$C$107)/MAX(CROQUIS!$C$129,1))+1)/80,1))),1))+1))-1,0),0,MOD($A214-1,5))+1,0,2,CROQUIS!$C$97-2,2,0)))*CROQUIS!$C$159)+IF(CROQUIS!$C$92="X",0,0)),-1000)</f>
        <v>-1000</v>
      </c>
      <c r="BP214">
        <f>IF(AND(CROQUIS!$C$88=1,CROQUIS!$C$137&gt;0),((CROQUIS!$C$160+(IF(CROQUIS!$C$92="X",((CROQUIS!$C$107/2+(((CROQUIS!$C$97)-CROQUIS!$C$107)-(MAX(1,INT(((CROQUIS!$C$97)-CROQUIS!$C$107)/MAX((CROQUIS!$C$137*MAX(1,CEILING((INT(((CROQUIS!$C$97)-CROQUIS!$C$107)/MAX(CROQUIS!$C$137,1))+1)/80,1))),1))+1)-1)*(CROQUIS!$C$137*MAX(1,CEILING((INT(((CROQUIS!$C$97)-CROQUIS!$C$107)/MAX(CROQUIS!$C$137,1))+1)/80,1))))/2)+MIN(INT(($A214-1)/5),MAX((MAX(1,INT(((CROQUIS!$C$97)-CROQUIS!$C$107)/MAX((CROQUIS!$C$137*MAX(1,CEILING((INT(((CROQUIS!$C$97)-CROQUIS!$C$107)/MAX(CROQUIS!$C$137,1))+1)/80,1))),1))+1))-1,0))*(CROQUIS!$C$137*MAX(1,CEILING((INT(((CROQUIS!$C$97)-CROQUIS!$C$107)/MAX(CROQUIS!$C$137,1))+1)/80,1)))),CHOOSE(IF(INT(($A214-1)/5)&gt;MAX((MAX(1,INT(((CROQUIS!$C$97)-CROQUIS!$C$107)/MAX((CROQUIS!$C$137*MAX(1,CEILING((INT(((CROQUIS!$C$97)-CROQUIS!$C$107)/MAX(CROQUIS!$C$137,1))+1)/80,1))),1))+1))-1,0),0,MOD($A214-1,5))+1,0,2,CROQUIS!$C$98-2,2,0)))*CROQUIS!$C$159)+IF(CROQUIS!$C$92="X",0,0)),-1000)</f>
        <v>-1000</v>
      </c>
      <c r="BQ214">
        <f>IF(AND(CROQUIS!$C$88=1,CROQUIS!$C$137&gt;0),((CROQUIS!$C$161+(IF(CROQUIS!$C$92="X",CHOOSE(IF(INT(($A214-1)/5)&gt;MAX((MAX(1,INT(((CROQUIS!$C$97)-CROQUIS!$C$107)/MAX((CROQUIS!$C$137*MAX(1,CEILING((INT(((CROQUIS!$C$97)-CROQUIS!$C$107)/MAX(CROQUIS!$C$137,1))+1)/80,1))),1))+1))-1,0),0,MOD($A214-1,5))+1,0,2,CROQUIS!$C$98-2,2,0),((CROQUIS!$C$107/2+(((CROQUIS!$C$97)-CROQUIS!$C$107)-(MAX(1,INT(((CROQUIS!$C$97)-CROQUIS!$C$107)/MAX((CROQUIS!$C$137*MAX(1,CEILING((INT(((CROQUIS!$C$97)-CROQUIS!$C$107)/MAX(CROQUIS!$C$137,1))+1)/80,1))),1))+1)-1)*(CROQUIS!$C$137*MAX(1,CEILING((INT(((CROQUIS!$C$97)-CROQUIS!$C$107)/MAX(CROQUIS!$C$137,1))+1)/80,1))))/2)+MIN(INT(($A214-1)/5),MAX((MAX(1,INT(((CROQUIS!$C$97)-CROQUIS!$C$107)/MAX((CROQUIS!$C$137*MAX(1,CEILING((INT(((CROQUIS!$C$97)-CROQUIS!$C$107)/MAX(CROQUIS!$C$137,1))+1)/80,1))),1))+1))-1,0))*(CROQUIS!$C$137*MAX(1,CEILING((INT(((CROQUIS!$C$97)-CROQUIS!$C$107)/MAX(CROQUIS!$C$137,1))+1)/80,1))))))*CROQUIS!$C$159)+IF(CROQUIS!$C$92="X",0,0)),-1000)</f>
        <v>-1000</v>
      </c>
      <c r="BR214">
        <f>IF(AND(CROQUIS!$C$88=1,CROQUIS!$C$91=0,CROQUIS!$C$133&gt;0,OR(CROQUIS!$C$103=1,CROQUIS!$C$145=1)),((CROQUIS!$C$160+(IF(CROQUIS!$C$92="X",CHOOSE(IF(INT(($A214-1)/5)&gt;MAX((MAX(1,INT(((CROQUIS!$C$98)-CROQUIS!$C$107)/MAX((CROQUIS!$C$133*MAX(1,CEILING((INT(((CROQUIS!$C$98)-CROQUIS!$C$107)/MAX(CROQUIS!$C$133,1))+1)/80,1))),1))+1))-1,0),0,MOD($A214-1,5))+1,0,IF(CROQUIS!$C$103=1,-12,2),CROQUIS!$C$107/2+CROQUIS!$C$143,IF(CROQUIS!$C$103=1,-12,2),0),((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BS2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+1,0,IF(CROQUIS!$C$103=1,-12,2),CROQUIS!$C$107/2+CROQUIS!$C$143,IF(CROQUIS!$C$103=1,-12,2),0)))*CROQUIS!$C$159)+IF(CROQUIS!$C$92="X",0.8,0)),-1000)</f>
        <v>-1000</v>
      </c>
      <c r="BT214">
        <f>IF(AND(CROQUIS!$C$88=1,CROQUIS!$C$91=0,CROQUIS!$C$133&gt;0,OR(CROQUIS!$C$104=1,CROQUIS!$C$145=1)),((CROQUIS!$C$160+(IF(CROQUIS!$C$92="X",CHOOSE(IF(INT(($A214-1)/5)&gt;MAX((MAX(1,INT(((CROQUIS!$C$98)-CROQUIS!$C$107)/MAX((CROQUIS!$C$133*MAX(1,CEILING((INT(((CROQUIS!$C$98)-CROQUIS!$C$107)/MAX(CROQUIS!$C$133,1))+1)/80,1))),1))+1))-1,0),0,MOD($A214-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BU2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CROQUIS!$C$97,CROQUIS!$C$97-CROQUIS!$C$107/2-CROQUIS!$C$143,IF(CROQUIS!$C$104=1,CROQUIS!$C$97+12,CROQUIS!$C$97-2),CROQUIS!$C$97-CROQUIS!$C$107/2-CROQUIS!$C$143,CROQUIS!$C$97)))*CROQUIS!$C$159)+IF(CROQUIS!$C$92="X",0.8,0)),-1000)</f>
        <v>-1000</v>
      </c>
      <c r="BV2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HOOSE(IF(INT(($A214-1)/5)&gt;MAX((MAX(1,INT(((CROQUIS!$C$97)-CROQUIS!$C$107)/MAX((CROQUIS!$C$141*MAX(1,CEILING((INT(((CROQUIS!$C$97)-CROQUIS!$C$107)/MAX(CROQUIS!$C$141,1))+1)/80,1))),1))+1))-1,0),0,MOD($A214-1,5))+1,0,IF(CROQUIS!$C$105=1,-12,2),CROQUIS!$C$107/2+CROQUIS!$C$144,IF(CROQUIS!$C$105=1,-12,2),0)))*CROQUIS!$C$159)+IF(CROQUIS!$C$92="X",0.8,0)),-1000)</f>
        <v>-1000</v>
      </c>
      <c r="BW214">
        <f>IF(AND(CROQUIS!$C$88=1,CROQUIS!$C$91=0,CROQUIS!$C$141&gt;0,OR(CROQUIS!$C$105=1,CROQUIS!$C$146=1)),((CROQUIS!$C$161+(IF(CROQUIS!$C$92="X",CHOOSE(IF(INT(($A214-1)/5)&gt;MAX((MAX(1,INT(((CROQUIS!$C$97)-CROQUIS!$C$107)/MAX((CROQUIS!$C$141*MAX(1,CEILING((INT(((CROQUIS!$C$97)-CROQUIS!$C$107)/MAX(CROQUIS!$C$141,1))+1)/80,1))),1))+1))-1,0),0,MOD($A214-1,5))+1,0,IF(CROQUIS!$C$105=1,-12,2),CROQUIS!$C$107/2+CROQUIS!$C$144,IF(CROQUIS!$C$105=1,-12,2),0),((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ROQUIS!$C$159)+IF(CROQUIS!$C$92="X",0,0.8)),-1000)</f>
        <v>-1000</v>
      </c>
      <c r="BX2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HOOSE(IF(INT(($A214-1)/5)&gt;MAX((MAX(1,INT(((CROQUIS!$C$97)-CROQUIS!$C$107)/MAX((CROQUIS!$C$141*MAX(1,CEILING((INT(((CROQUIS!$C$97)-CROQUIS!$C$107)/MAX(CROQUIS!$C$141,1))+1)/80,1))),1))+1))-1,0),0,MOD($A214-1,5))+1,CROQUIS!$C$98,CROQUIS!$C$98-CROQUIS!$C$107/2-CROQUIS!$C$144,IF(CROQUIS!$C$106=1,CROQUIS!$C$98+12,CROQUIS!$C$98-2),CROQUIS!$C$98-CROQUIS!$C$107/2-CROQUIS!$C$144,CROQUIS!$C$98)))*CROQUIS!$C$159)+IF(CROQUIS!$C$92="X",0.8,0)),-1000)</f>
        <v>-1000</v>
      </c>
      <c r="BY214">
        <f>IF(AND(CROQUIS!$C$88=1,CROQUIS!$C$91=0,CROQUIS!$C$141&gt;0,OR(CROQUIS!$C$106=1,CROQUIS!$C$146=1)),((CROQUIS!$C$161+(IF(CROQUIS!$C$92="X",CHOOSE(IF(INT(($A214-1)/5)&gt;MAX((MAX(1,INT(((CROQUIS!$C$97)-CROQUIS!$C$107)/MAX((CROQUIS!$C$141*MAX(1,CEILING((INT(((CROQUIS!$C$97)-CROQUIS!$C$107)/MAX(CROQUIS!$C$141,1))+1)/80,1))),1))+1))-1,0),0,MOD($A214-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ROQUIS!$C$159)+IF(CROQUIS!$C$92="X",0,0.8)),-1000)</f>
        <v>-1000</v>
      </c>
      <c r="BZ214">
        <f>IF(AND(CROQUIS!$C$88=1,CROQUIS!$C$91=1,CROQUIS!$C$133&gt;0),((CROQUIS!$C$160+(IF(CROQUIS!$C$92="X",CHOOSE(IF(INT(($A214-1)/5)&gt;MAX((MAX(1,INT(((CROQUIS!$C$98)-CROQUIS!$C$107)/MAX((CROQUIS!$C$133*MAX(1,CEILING((INT(((CROQUIS!$C$98)-CROQUIS!$C$107)/MAX(CROQUIS!$C$133,1))+1)/80,1))),1))+1))-1,0),0,MOD($A214-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CA214">
        <f>IF(AND(CROQUIS!$C$88=1,CROQUIS!$C$91=1,CROQUIS!$C$133&gt;0),((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5">
      <c r="A215" t="n">
        <v>208</v>
      </c>
      <c r="BN215">
        <f>IF(AND(CROQUIS!$C$88=1,CROQUIS!$C$129&gt;0),((CROQUIS!$C$160+(IF(CROQUIS!$C$92="X",CHOOSE(IF(INT(($A215-1)/5)&gt;MAX((MAX(1,INT(((CROQUIS!$C$98)-CROQUIS!$C$107)/MAX((CROQUIS!$C$129*MAX(1,CEILING((INT(((CROQUIS!$C$98)-CROQUIS!$C$107)/MAX(CROQUIS!$C$129,1))+1)/80,1))),1))+1))-1,0),0,MOD($A215-1,5))+1,0,2,CROQUIS!$C$97-2,2,0),((CROQUIS!$C$107/2+(((CROQUIS!$C$98)-CROQUIS!$C$107)-(MAX(1,INT(((CROQUIS!$C$98)-CROQUIS!$C$107)/MAX((CROQUIS!$C$129*MAX(1,CEILING((INT(((CROQUIS!$C$98)-CROQUIS!$C$107)/MAX(CROQUIS!$C$129,1))+1)/80,1))),1))+1)-1)*(CROQUIS!$C$129*MAX(1,CEILING((INT(((CROQUIS!$C$98)-CROQUIS!$C$107)/MAX(CROQUIS!$C$129,1))+1)/80,1))))/2)+MIN(INT(($A215-1)/5),MAX((MAX(1,INT(((CROQUIS!$C$98)-CROQUIS!$C$107)/MAX((CROQUIS!$C$129*MAX(1,CEILING((INT(((CROQUIS!$C$98)-CROQUIS!$C$107)/MAX(CROQUIS!$C$129,1))+1)/80,1))),1))+1))-1,0))*(CROQUIS!$C$129*MAX(1,CEILING((INT(((CROQUIS!$C$98)-CROQUIS!$C$107)/MAX(CROQUIS!$C$129,1))+1)/80,1))))))*CROQUIS!$C$159)+IF(CROQUIS!$C$92="X",0,0)),-1000)</f>
        <v>-1000</v>
      </c>
      <c r="BO215">
        <f>IF(AND(CROQUIS!$C$88=1,CROQUIS!$C$129&gt;0),((CROQUIS!$C$161+(IF(CROQUIS!$C$92="X",((CROQUIS!$C$107/2+(((CROQUIS!$C$98)-CROQUIS!$C$107)-(MAX(1,INT(((CROQUIS!$C$98)-CROQUIS!$C$107)/MAX((CROQUIS!$C$129*MAX(1,CEILING((INT(((CROQUIS!$C$98)-CROQUIS!$C$107)/MAX(CROQUIS!$C$129,1))+1)/80,1))),1))+1)-1)*(CROQUIS!$C$129*MAX(1,CEILING((INT(((CROQUIS!$C$98)-CROQUIS!$C$107)/MAX(CROQUIS!$C$129,1))+1)/80,1))))/2)+MIN(INT(($A215-1)/5),MAX((MAX(1,INT(((CROQUIS!$C$98)-CROQUIS!$C$107)/MAX((CROQUIS!$C$129*MAX(1,CEILING((INT(((CROQUIS!$C$98)-CROQUIS!$C$107)/MAX(CROQUIS!$C$129,1))+1)/80,1))),1))+1))-1,0))*(CROQUIS!$C$129*MAX(1,CEILING((INT(((CROQUIS!$C$98)-CROQUIS!$C$107)/MAX(CROQUIS!$C$129,1))+1)/80,1)))),CHOOSE(IF(INT(($A215-1)/5)&gt;MAX((MAX(1,INT(((CROQUIS!$C$98)-CROQUIS!$C$107)/MAX((CROQUIS!$C$129*MAX(1,CEILING((INT(((CROQUIS!$C$98)-CROQUIS!$C$107)/MAX(CROQUIS!$C$129,1))+1)/80,1))),1))+1))-1,0),0,MOD($A215-1,5))+1,0,2,CROQUIS!$C$97-2,2,0)))*CROQUIS!$C$159)+IF(CROQUIS!$C$92="X",0,0)),-1000)</f>
        <v>-1000</v>
      </c>
      <c r="BP215">
        <f>IF(AND(CROQUIS!$C$88=1,CROQUIS!$C$137&gt;0),((CROQUIS!$C$160+(IF(CROQUIS!$C$92="X",((CROQUIS!$C$107/2+(((CROQUIS!$C$97)-CROQUIS!$C$107)-(MAX(1,INT(((CROQUIS!$C$97)-CROQUIS!$C$107)/MAX((CROQUIS!$C$137*MAX(1,CEILING((INT(((CROQUIS!$C$97)-CROQUIS!$C$107)/MAX(CROQUIS!$C$137,1))+1)/80,1))),1))+1)-1)*(CROQUIS!$C$137*MAX(1,CEILING((INT(((CROQUIS!$C$97)-CROQUIS!$C$107)/MAX(CROQUIS!$C$137,1))+1)/80,1))))/2)+MIN(INT(($A215-1)/5),MAX((MAX(1,INT(((CROQUIS!$C$97)-CROQUIS!$C$107)/MAX((CROQUIS!$C$137*MAX(1,CEILING((INT(((CROQUIS!$C$97)-CROQUIS!$C$107)/MAX(CROQUIS!$C$137,1))+1)/80,1))),1))+1))-1,0))*(CROQUIS!$C$137*MAX(1,CEILING((INT(((CROQUIS!$C$97)-CROQUIS!$C$107)/MAX(CROQUIS!$C$137,1))+1)/80,1)))),CHOOSE(IF(INT(($A215-1)/5)&gt;MAX((MAX(1,INT(((CROQUIS!$C$97)-CROQUIS!$C$107)/MAX((CROQUIS!$C$137*MAX(1,CEILING((INT(((CROQUIS!$C$97)-CROQUIS!$C$107)/MAX(CROQUIS!$C$137,1))+1)/80,1))),1))+1))-1,0),0,MOD($A215-1,5))+1,0,2,CROQUIS!$C$98-2,2,0)))*CROQUIS!$C$159)+IF(CROQUIS!$C$92="X",0,0)),-1000)</f>
        <v>-1000</v>
      </c>
      <c r="BQ215">
        <f>IF(AND(CROQUIS!$C$88=1,CROQUIS!$C$137&gt;0),((CROQUIS!$C$161+(IF(CROQUIS!$C$92="X",CHOOSE(IF(INT(($A215-1)/5)&gt;MAX((MAX(1,INT(((CROQUIS!$C$97)-CROQUIS!$C$107)/MAX((CROQUIS!$C$137*MAX(1,CEILING((INT(((CROQUIS!$C$97)-CROQUIS!$C$107)/MAX(CROQUIS!$C$137,1))+1)/80,1))),1))+1))-1,0),0,MOD($A215-1,5))+1,0,2,CROQUIS!$C$98-2,2,0),((CROQUIS!$C$107/2+(((CROQUIS!$C$97)-CROQUIS!$C$107)-(MAX(1,INT(((CROQUIS!$C$97)-CROQUIS!$C$107)/MAX((CROQUIS!$C$137*MAX(1,CEILING((INT(((CROQUIS!$C$97)-CROQUIS!$C$107)/MAX(CROQUIS!$C$137,1))+1)/80,1))),1))+1)-1)*(CROQUIS!$C$137*MAX(1,CEILING((INT(((CROQUIS!$C$97)-CROQUIS!$C$107)/MAX(CROQUIS!$C$137,1))+1)/80,1))))/2)+MIN(INT(($A215-1)/5),MAX((MAX(1,INT(((CROQUIS!$C$97)-CROQUIS!$C$107)/MAX((CROQUIS!$C$137*MAX(1,CEILING((INT(((CROQUIS!$C$97)-CROQUIS!$C$107)/MAX(CROQUIS!$C$137,1))+1)/80,1))),1))+1))-1,0))*(CROQUIS!$C$137*MAX(1,CEILING((INT(((CROQUIS!$C$97)-CROQUIS!$C$107)/MAX(CROQUIS!$C$137,1))+1)/80,1))))))*CROQUIS!$C$159)+IF(CROQUIS!$C$92="X",0,0)),-1000)</f>
        <v>-1000</v>
      </c>
      <c r="BR215">
        <f>IF(AND(CROQUIS!$C$88=1,CROQUIS!$C$91=0,CROQUIS!$C$133&gt;0,OR(CROQUIS!$C$103=1,CROQUIS!$C$145=1)),((CROQUIS!$C$160+(IF(CROQUIS!$C$92="X",CHOOSE(IF(INT(($A215-1)/5)&gt;MAX((MAX(1,INT(((CROQUIS!$C$98)-CROQUIS!$C$107)/MAX((CROQUIS!$C$133*MAX(1,CEILING((INT(((CROQUIS!$C$98)-CROQUIS!$C$107)/MAX(CROQUIS!$C$133,1))+1)/80,1))),1))+1))-1,0),0,MOD($A215-1,5))+1,0,IF(CROQUIS!$C$103=1,-12,2),CROQUIS!$C$107/2+CROQUIS!$C$143,IF(CROQUIS!$C$103=1,-12,2),0),((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BS2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+1,0,IF(CROQUIS!$C$103=1,-12,2),CROQUIS!$C$107/2+CROQUIS!$C$143,IF(CROQUIS!$C$103=1,-12,2),0)))*CROQUIS!$C$159)+IF(CROQUIS!$C$92="X",0.8,0)),-1000)</f>
        <v>-1000</v>
      </c>
      <c r="BT215">
        <f>IF(AND(CROQUIS!$C$88=1,CROQUIS!$C$91=0,CROQUIS!$C$133&gt;0,OR(CROQUIS!$C$104=1,CROQUIS!$C$145=1)),((CROQUIS!$C$160+(IF(CROQUIS!$C$92="X",CHOOSE(IF(INT(($A215-1)/5)&gt;MAX((MAX(1,INT(((CROQUIS!$C$98)-CROQUIS!$C$107)/MAX((CROQUIS!$C$133*MAX(1,CEILING((INT(((CROQUIS!$C$98)-CROQUIS!$C$107)/MAX(CROQUIS!$C$133,1))+1)/80,1))),1))+1))-1,0),0,MOD($A215-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BU2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CROQUIS!$C$97,CROQUIS!$C$97-CROQUIS!$C$107/2-CROQUIS!$C$143,IF(CROQUIS!$C$104=1,CROQUIS!$C$97+12,CROQUIS!$C$97-2),CROQUIS!$C$97-CROQUIS!$C$107/2-CROQUIS!$C$143,CROQUIS!$C$97)))*CROQUIS!$C$159)+IF(CROQUIS!$C$92="X",0.8,0)),-1000)</f>
        <v>-1000</v>
      </c>
      <c r="BV2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HOOSE(IF(INT(($A215-1)/5)&gt;MAX((MAX(1,INT(((CROQUIS!$C$97)-CROQUIS!$C$107)/MAX((CROQUIS!$C$141*MAX(1,CEILING((INT(((CROQUIS!$C$97)-CROQUIS!$C$107)/MAX(CROQUIS!$C$141,1))+1)/80,1))),1))+1))-1,0),0,MOD($A215-1,5))+1,0,IF(CROQUIS!$C$105=1,-12,2),CROQUIS!$C$107/2+CROQUIS!$C$144,IF(CROQUIS!$C$105=1,-12,2),0)))*CROQUIS!$C$159)+IF(CROQUIS!$C$92="X",0.8,0)),-1000)</f>
        <v>-1000</v>
      </c>
      <c r="BW215">
        <f>IF(AND(CROQUIS!$C$88=1,CROQUIS!$C$91=0,CROQUIS!$C$141&gt;0,OR(CROQUIS!$C$105=1,CROQUIS!$C$146=1)),((CROQUIS!$C$161+(IF(CROQUIS!$C$92="X",CHOOSE(IF(INT(($A215-1)/5)&gt;MAX((MAX(1,INT(((CROQUIS!$C$97)-CROQUIS!$C$107)/MAX((CROQUIS!$C$141*MAX(1,CEILING((INT(((CROQUIS!$C$97)-CROQUIS!$C$107)/MAX(CROQUIS!$C$141,1))+1)/80,1))),1))+1))-1,0),0,MOD($A215-1,5))+1,0,IF(CROQUIS!$C$105=1,-12,2),CROQUIS!$C$107/2+CROQUIS!$C$144,IF(CROQUIS!$C$105=1,-12,2),0),((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ROQUIS!$C$159)+IF(CROQUIS!$C$92="X",0,0.8)),-1000)</f>
        <v>-1000</v>
      </c>
      <c r="BX2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HOOSE(IF(INT(($A215-1)/5)&gt;MAX((MAX(1,INT(((CROQUIS!$C$97)-CROQUIS!$C$107)/MAX((CROQUIS!$C$141*MAX(1,CEILING((INT(((CROQUIS!$C$97)-CROQUIS!$C$107)/MAX(CROQUIS!$C$141,1))+1)/80,1))),1))+1))-1,0),0,MOD($A215-1,5))+1,CROQUIS!$C$98,CROQUIS!$C$98-CROQUIS!$C$107/2-CROQUIS!$C$144,IF(CROQUIS!$C$106=1,CROQUIS!$C$98+12,CROQUIS!$C$98-2),CROQUIS!$C$98-CROQUIS!$C$107/2-CROQUIS!$C$144,CROQUIS!$C$98)))*CROQUIS!$C$159)+IF(CROQUIS!$C$92="X",0.8,0)),-1000)</f>
        <v>-1000</v>
      </c>
      <c r="BY215">
        <f>IF(AND(CROQUIS!$C$88=1,CROQUIS!$C$91=0,CROQUIS!$C$141&gt;0,OR(CROQUIS!$C$106=1,CROQUIS!$C$146=1)),((CROQUIS!$C$161+(IF(CROQUIS!$C$92="X",CHOOSE(IF(INT(($A215-1)/5)&gt;MAX((MAX(1,INT(((CROQUIS!$C$97)-CROQUIS!$C$107)/MAX((CROQUIS!$C$141*MAX(1,CEILING((INT(((CROQUIS!$C$97)-CROQUIS!$C$107)/MAX(CROQUIS!$C$141,1))+1)/80,1))),1))+1))-1,0),0,MOD($A215-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ROQUIS!$C$159)+IF(CROQUIS!$C$92="X",0,0.8)),-1000)</f>
        <v>-1000</v>
      </c>
      <c r="BZ215">
        <f>IF(AND(CROQUIS!$C$88=1,CROQUIS!$C$91=1,CROQUIS!$C$133&gt;0),((CROQUIS!$C$160+(IF(CROQUIS!$C$92="X",CHOOSE(IF(INT(($A215-1)/5)&gt;MAX((MAX(1,INT(((CROQUIS!$C$98)-CROQUIS!$C$107)/MAX((CROQUIS!$C$133*MAX(1,CEILING((INT(((CROQUIS!$C$98)-CROQUIS!$C$107)/MAX(CROQUIS!$C$133,1))+1)/80,1))),1))+1))-1,0),0,MOD($A215-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CA215">
        <f>IF(AND(CROQUIS!$C$88=1,CROQUIS!$C$91=1,CROQUIS!$C$133&gt;0),((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6">
      <c r="A216" t="n">
        <v>209</v>
      </c>
      <c r="BN216">
        <f>IF(AND(CROQUIS!$C$88=1,CROQUIS!$C$129&gt;0),((CROQUIS!$C$160+(IF(CROQUIS!$C$92="X",CHOOSE(IF(INT(($A216-1)/5)&gt;MAX((MAX(1,INT(((CROQUIS!$C$98)-CROQUIS!$C$107)/MAX((CROQUIS!$C$129*MAX(1,CEILING((INT(((CROQUIS!$C$98)-CROQUIS!$C$107)/MAX(CROQUIS!$C$129,1))+1)/80,1))),1))+1))-1,0),0,MOD($A216-1,5))+1,0,2,CROQUIS!$C$97-2,2,0),((CROQUIS!$C$107/2+(((CROQUIS!$C$98)-CROQUIS!$C$107)-(MAX(1,INT(((CROQUIS!$C$98)-CROQUIS!$C$107)/MAX((CROQUIS!$C$129*MAX(1,CEILING((INT(((CROQUIS!$C$98)-CROQUIS!$C$107)/MAX(CROQUIS!$C$129,1))+1)/80,1))),1))+1)-1)*(CROQUIS!$C$129*MAX(1,CEILING((INT(((CROQUIS!$C$98)-CROQUIS!$C$107)/MAX(CROQUIS!$C$129,1))+1)/80,1))))/2)+MIN(INT(($A216-1)/5),MAX((MAX(1,INT(((CROQUIS!$C$98)-CROQUIS!$C$107)/MAX((CROQUIS!$C$129*MAX(1,CEILING((INT(((CROQUIS!$C$98)-CROQUIS!$C$107)/MAX(CROQUIS!$C$129,1))+1)/80,1))),1))+1))-1,0))*(CROQUIS!$C$129*MAX(1,CEILING((INT(((CROQUIS!$C$98)-CROQUIS!$C$107)/MAX(CROQUIS!$C$129,1))+1)/80,1))))))*CROQUIS!$C$159)+IF(CROQUIS!$C$92="X",0,0)),-1000)</f>
        <v>-1000</v>
      </c>
      <c r="BO216">
        <f>IF(AND(CROQUIS!$C$88=1,CROQUIS!$C$129&gt;0),((CROQUIS!$C$161+(IF(CROQUIS!$C$92="X",((CROQUIS!$C$107/2+(((CROQUIS!$C$98)-CROQUIS!$C$107)-(MAX(1,INT(((CROQUIS!$C$98)-CROQUIS!$C$107)/MAX((CROQUIS!$C$129*MAX(1,CEILING((INT(((CROQUIS!$C$98)-CROQUIS!$C$107)/MAX(CROQUIS!$C$129,1))+1)/80,1))),1))+1)-1)*(CROQUIS!$C$129*MAX(1,CEILING((INT(((CROQUIS!$C$98)-CROQUIS!$C$107)/MAX(CROQUIS!$C$129,1))+1)/80,1))))/2)+MIN(INT(($A216-1)/5),MAX((MAX(1,INT(((CROQUIS!$C$98)-CROQUIS!$C$107)/MAX((CROQUIS!$C$129*MAX(1,CEILING((INT(((CROQUIS!$C$98)-CROQUIS!$C$107)/MAX(CROQUIS!$C$129,1))+1)/80,1))),1))+1))-1,0))*(CROQUIS!$C$129*MAX(1,CEILING((INT(((CROQUIS!$C$98)-CROQUIS!$C$107)/MAX(CROQUIS!$C$129,1))+1)/80,1)))),CHOOSE(IF(INT(($A216-1)/5)&gt;MAX((MAX(1,INT(((CROQUIS!$C$98)-CROQUIS!$C$107)/MAX((CROQUIS!$C$129*MAX(1,CEILING((INT(((CROQUIS!$C$98)-CROQUIS!$C$107)/MAX(CROQUIS!$C$129,1))+1)/80,1))),1))+1))-1,0),0,MOD($A216-1,5))+1,0,2,CROQUIS!$C$97-2,2,0)))*CROQUIS!$C$159)+IF(CROQUIS!$C$92="X",0,0)),-1000)</f>
        <v>-1000</v>
      </c>
      <c r="BP216">
        <f>IF(AND(CROQUIS!$C$88=1,CROQUIS!$C$137&gt;0),((CROQUIS!$C$160+(IF(CROQUIS!$C$92="X",((CROQUIS!$C$107/2+(((CROQUIS!$C$97)-CROQUIS!$C$107)-(MAX(1,INT(((CROQUIS!$C$97)-CROQUIS!$C$107)/MAX((CROQUIS!$C$137*MAX(1,CEILING((INT(((CROQUIS!$C$97)-CROQUIS!$C$107)/MAX(CROQUIS!$C$137,1))+1)/80,1))),1))+1)-1)*(CROQUIS!$C$137*MAX(1,CEILING((INT(((CROQUIS!$C$97)-CROQUIS!$C$107)/MAX(CROQUIS!$C$137,1))+1)/80,1))))/2)+MIN(INT(($A216-1)/5),MAX((MAX(1,INT(((CROQUIS!$C$97)-CROQUIS!$C$107)/MAX((CROQUIS!$C$137*MAX(1,CEILING((INT(((CROQUIS!$C$97)-CROQUIS!$C$107)/MAX(CROQUIS!$C$137,1))+1)/80,1))),1))+1))-1,0))*(CROQUIS!$C$137*MAX(1,CEILING((INT(((CROQUIS!$C$97)-CROQUIS!$C$107)/MAX(CROQUIS!$C$137,1))+1)/80,1)))),CHOOSE(IF(INT(($A216-1)/5)&gt;MAX((MAX(1,INT(((CROQUIS!$C$97)-CROQUIS!$C$107)/MAX((CROQUIS!$C$137*MAX(1,CEILING((INT(((CROQUIS!$C$97)-CROQUIS!$C$107)/MAX(CROQUIS!$C$137,1))+1)/80,1))),1))+1))-1,0),0,MOD($A216-1,5))+1,0,2,CROQUIS!$C$98-2,2,0)))*CROQUIS!$C$159)+IF(CROQUIS!$C$92="X",0,0)),-1000)</f>
        <v>-1000</v>
      </c>
      <c r="BQ216">
        <f>IF(AND(CROQUIS!$C$88=1,CROQUIS!$C$137&gt;0),((CROQUIS!$C$161+(IF(CROQUIS!$C$92="X",CHOOSE(IF(INT(($A216-1)/5)&gt;MAX((MAX(1,INT(((CROQUIS!$C$97)-CROQUIS!$C$107)/MAX((CROQUIS!$C$137*MAX(1,CEILING((INT(((CROQUIS!$C$97)-CROQUIS!$C$107)/MAX(CROQUIS!$C$137,1))+1)/80,1))),1))+1))-1,0),0,MOD($A216-1,5))+1,0,2,CROQUIS!$C$98-2,2,0),((CROQUIS!$C$107/2+(((CROQUIS!$C$97)-CROQUIS!$C$107)-(MAX(1,INT(((CROQUIS!$C$97)-CROQUIS!$C$107)/MAX((CROQUIS!$C$137*MAX(1,CEILING((INT(((CROQUIS!$C$97)-CROQUIS!$C$107)/MAX(CROQUIS!$C$137,1))+1)/80,1))),1))+1)-1)*(CROQUIS!$C$137*MAX(1,CEILING((INT(((CROQUIS!$C$97)-CROQUIS!$C$107)/MAX(CROQUIS!$C$137,1))+1)/80,1))))/2)+MIN(INT(($A216-1)/5),MAX((MAX(1,INT(((CROQUIS!$C$97)-CROQUIS!$C$107)/MAX((CROQUIS!$C$137*MAX(1,CEILING((INT(((CROQUIS!$C$97)-CROQUIS!$C$107)/MAX(CROQUIS!$C$137,1))+1)/80,1))),1))+1))-1,0))*(CROQUIS!$C$137*MAX(1,CEILING((INT(((CROQUIS!$C$97)-CROQUIS!$C$107)/MAX(CROQUIS!$C$137,1))+1)/80,1))))))*CROQUIS!$C$159)+IF(CROQUIS!$C$92="X",0,0)),-1000)</f>
        <v>-1000</v>
      </c>
      <c r="BR216">
        <f>IF(AND(CROQUIS!$C$88=1,CROQUIS!$C$91=0,CROQUIS!$C$133&gt;0,OR(CROQUIS!$C$103=1,CROQUIS!$C$145=1)),((CROQUIS!$C$160+(IF(CROQUIS!$C$92="X",CHOOSE(IF(INT(($A216-1)/5)&gt;MAX((MAX(1,INT(((CROQUIS!$C$98)-CROQUIS!$C$107)/MAX((CROQUIS!$C$133*MAX(1,CEILING((INT(((CROQUIS!$C$98)-CROQUIS!$C$107)/MAX(CROQUIS!$C$133,1))+1)/80,1))),1))+1))-1,0),0,MOD($A216-1,5))+1,0,IF(CROQUIS!$C$103=1,-12,2),CROQUIS!$C$107/2+CROQUIS!$C$143,IF(CROQUIS!$C$103=1,-12,2),0),((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BS2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+1,0,IF(CROQUIS!$C$103=1,-12,2),CROQUIS!$C$107/2+CROQUIS!$C$143,IF(CROQUIS!$C$103=1,-12,2),0)))*CROQUIS!$C$159)+IF(CROQUIS!$C$92="X",0.8,0)),-1000)</f>
        <v>-1000</v>
      </c>
      <c r="BT216">
        <f>IF(AND(CROQUIS!$C$88=1,CROQUIS!$C$91=0,CROQUIS!$C$133&gt;0,OR(CROQUIS!$C$104=1,CROQUIS!$C$145=1)),((CROQUIS!$C$160+(IF(CROQUIS!$C$92="X",CHOOSE(IF(INT(($A216-1)/5)&gt;MAX((MAX(1,INT(((CROQUIS!$C$98)-CROQUIS!$C$107)/MAX((CROQUIS!$C$133*MAX(1,CEILING((INT(((CROQUIS!$C$98)-CROQUIS!$C$107)/MAX(CROQUIS!$C$133,1))+1)/80,1))),1))+1))-1,0),0,MOD($A216-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BU2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CROQUIS!$C$97,CROQUIS!$C$97-CROQUIS!$C$107/2-CROQUIS!$C$143,IF(CROQUIS!$C$104=1,CROQUIS!$C$97+12,CROQUIS!$C$97-2),CROQUIS!$C$97-CROQUIS!$C$107/2-CROQUIS!$C$143,CROQUIS!$C$97)))*CROQUIS!$C$159)+IF(CROQUIS!$C$92="X",0.8,0)),-1000)</f>
        <v>-1000</v>
      </c>
      <c r="BV2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HOOSE(IF(INT(($A216-1)/5)&gt;MAX((MAX(1,INT(((CROQUIS!$C$97)-CROQUIS!$C$107)/MAX((CROQUIS!$C$141*MAX(1,CEILING((INT(((CROQUIS!$C$97)-CROQUIS!$C$107)/MAX(CROQUIS!$C$141,1))+1)/80,1))),1))+1))-1,0),0,MOD($A216-1,5))+1,0,IF(CROQUIS!$C$105=1,-12,2),CROQUIS!$C$107/2+CROQUIS!$C$144,IF(CROQUIS!$C$105=1,-12,2),0)))*CROQUIS!$C$159)+IF(CROQUIS!$C$92="X",0.8,0)),-1000)</f>
        <v>-1000</v>
      </c>
      <c r="BW216">
        <f>IF(AND(CROQUIS!$C$88=1,CROQUIS!$C$91=0,CROQUIS!$C$141&gt;0,OR(CROQUIS!$C$105=1,CROQUIS!$C$146=1)),((CROQUIS!$C$161+(IF(CROQUIS!$C$92="X",CHOOSE(IF(INT(($A216-1)/5)&gt;MAX((MAX(1,INT(((CROQUIS!$C$97)-CROQUIS!$C$107)/MAX((CROQUIS!$C$141*MAX(1,CEILING((INT(((CROQUIS!$C$97)-CROQUIS!$C$107)/MAX(CROQUIS!$C$141,1))+1)/80,1))),1))+1))-1,0),0,MOD($A216-1,5))+1,0,IF(CROQUIS!$C$105=1,-12,2),CROQUIS!$C$107/2+CROQUIS!$C$144,IF(CROQUIS!$C$105=1,-12,2),0),((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ROQUIS!$C$159)+IF(CROQUIS!$C$92="X",0,0.8)),-1000)</f>
        <v>-1000</v>
      </c>
      <c r="BX2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HOOSE(IF(INT(($A216-1)/5)&gt;MAX((MAX(1,INT(((CROQUIS!$C$97)-CROQUIS!$C$107)/MAX((CROQUIS!$C$141*MAX(1,CEILING((INT(((CROQUIS!$C$97)-CROQUIS!$C$107)/MAX(CROQUIS!$C$141,1))+1)/80,1))),1))+1))-1,0),0,MOD($A216-1,5))+1,CROQUIS!$C$98,CROQUIS!$C$98-CROQUIS!$C$107/2-CROQUIS!$C$144,IF(CROQUIS!$C$106=1,CROQUIS!$C$98+12,CROQUIS!$C$98-2),CROQUIS!$C$98-CROQUIS!$C$107/2-CROQUIS!$C$144,CROQUIS!$C$98)))*CROQUIS!$C$159)+IF(CROQUIS!$C$92="X",0.8,0)),-1000)</f>
        <v>-1000</v>
      </c>
      <c r="BY216">
        <f>IF(AND(CROQUIS!$C$88=1,CROQUIS!$C$91=0,CROQUIS!$C$141&gt;0,OR(CROQUIS!$C$106=1,CROQUIS!$C$146=1)),((CROQUIS!$C$161+(IF(CROQUIS!$C$92="X",CHOOSE(IF(INT(($A216-1)/5)&gt;MAX((MAX(1,INT(((CROQUIS!$C$97)-CROQUIS!$C$107)/MAX((CROQUIS!$C$141*MAX(1,CEILING((INT(((CROQUIS!$C$97)-CROQUIS!$C$107)/MAX(CROQUIS!$C$141,1))+1)/80,1))),1))+1))-1,0),0,MOD($A216-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ROQUIS!$C$159)+IF(CROQUIS!$C$92="X",0,0.8)),-1000)</f>
        <v>-1000</v>
      </c>
      <c r="BZ216">
        <f>IF(AND(CROQUIS!$C$88=1,CROQUIS!$C$91=1,CROQUIS!$C$133&gt;0),((CROQUIS!$C$160+(IF(CROQUIS!$C$92="X",CHOOSE(IF(INT(($A216-1)/5)&gt;MAX((MAX(1,INT(((CROQUIS!$C$98)-CROQUIS!$C$107)/MAX((CROQUIS!$C$133*MAX(1,CEILING((INT(((CROQUIS!$C$98)-CROQUIS!$C$107)/MAX(CROQUIS!$C$133,1))+1)/80,1))),1))+1))-1,0),0,MOD($A216-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CA216">
        <f>IF(AND(CROQUIS!$C$88=1,CROQUIS!$C$91=1,CROQUIS!$C$133&gt;0),((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7">
      <c r="A217" t="n">
        <v>210</v>
      </c>
      <c r="BN217">
        <f>IF(AND(CROQUIS!$C$88=1,CROQUIS!$C$129&gt;0),((CROQUIS!$C$160+(IF(CROQUIS!$C$92="X",CHOOSE(IF(INT(($A217-1)/5)&gt;MAX((MAX(1,INT(((CROQUIS!$C$98)-CROQUIS!$C$107)/MAX((CROQUIS!$C$129*MAX(1,CEILING((INT(((CROQUIS!$C$98)-CROQUIS!$C$107)/MAX(CROQUIS!$C$129,1))+1)/80,1))),1))+1))-1,0),0,MOD($A217-1,5))+1,0,2,CROQUIS!$C$97-2,2,0),((CROQUIS!$C$107/2+(((CROQUIS!$C$98)-CROQUIS!$C$107)-(MAX(1,INT(((CROQUIS!$C$98)-CROQUIS!$C$107)/MAX((CROQUIS!$C$129*MAX(1,CEILING((INT(((CROQUIS!$C$98)-CROQUIS!$C$107)/MAX(CROQUIS!$C$129,1))+1)/80,1))),1))+1)-1)*(CROQUIS!$C$129*MAX(1,CEILING((INT(((CROQUIS!$C$98)-CROQUIS!$C$107)/MAX(CROQUIS!$C$129,1))+1)/80,1))))/2)+MIN(INT(($A217-1)/5),MAX((MAX(1,INT(((CROQUIS!$C$98)-CROQUIS!$C$107)/MAX((CROQUIS!$C$129*MAX(1,CEILING((INT(((CROQUIS!$C$98)-CROQUIS!$C$107)/MAX(CROQUIS!$C$129,1))+1)/80,1))),1))+1))-1,0))*(CROQUIS!$C$129*MAX(1,CEILING((INT(((CROQUIS!$C$98)-CROQUIS!$C$107)/MAX(CROQUIS!$C$129,1))+1)/80,1))))))*CROQUIS!$C$159)+IF(CROQUIS!$C$92="X",0,0)),-1000)</f>
        <v>-1000</v>
      </c>
      <c r="BO217">
        <f>IF(AND(CROQUIS!$C$88=1,CROQUIS!$C$129&gt;0),((CROQUIS!$C$161+(IF(CROQUIS!$C$92="X",((CROQUIS!$C$107/2+(((CROQUIS!$C$98)-CROQUIS!$C$107)-(MAX(1,INT(((CROQUIS!$C$98)-CROQUIS!$C$107)/MAX((CROQUIS!$C$129*MAX(1,CEILING((INT(((CROQUIS!$C$98)-CROQUIS!$C$107)/MAX(CROQUIS!$C$129,1))+1)/80,1))),1))+1)-1)*(CROQUIS!$C$129*MAX(1,CEILING((INT(((CROQUIS!$C$98)-CROQUIS!$C$107)/MAX(CROQUIS!$C$129,1))+1)/80,1))))/2)+MIN(INT(($A217-1)/5),MAX((MAX(1,INT(((CROQUIS!$C$98)-CROQUIS!$C$107)/MAX((CROQUIS!$C$129*MAX(1,CEILING((INT(((CROQUIS!$C$98)-CROQUIS!$C$107)/MAX(CROQUIS!$C$129,1))+1)/80,1))),1))+1))-1,0))*(CROQUIS!$C$129*MAX(1,CEILING((INT(((CROQUIS!$C$98)-CROQUIS!$C$107)/MAX(CROQUIS!$C$129,1))+1)/80,1)))),CHOOSE(IF(INT(($A217-1)/5)&gt;MAX((MAX(1,INT(((CROQUIS!$C$98)-CROQUIS!$C$107)/MAX((CROQUIS!$C$129*MAX(1,CEILING((INT(((CROQUIS!$C$98)-CROQUIS!$C$107)/MAX(CROQUIS!$C$129,1))+1)/80,1))),1))+1))-1,0),0,MOD($A217-1,5))+1,0,2,CROQUIS!$C$97-2,2,0)))*CROQUIS!$C$159)+IF(CROQUIS!$C$92="X",0,0)),-1000)</f>
        <v>-1000</v>
      </c>
      <c r="BP217">
        <f>IF(AND(CROQUIS!$C$88=1,CROQUIS!$C$137&gt;0),((CROQUIS!$C$160+(IF(CROQUIS!$C$92="X",((CROQUIS!$C$107/2+(((CROQUIS!$C$97)-CROQUIS!$C$107)-(MAX(1,INT(((CROQUIS!$C$97)-CROQUIS!$C$107)/MAX((CROQUIS!$C$137*MAX(1,CEILING((INT(((CROQUIS!$C$97)-CROQUIS!$C$107)/MAX(CROQUIS!$C$137,1))+1)/80,1))),1))+1)-1)*(CROQUIS!$C$137*MAX(1,CEILING((INT(((CROQUIS!$C$97)-CROQUIS!$C$107)/MAX(CROQUIS!$C$137,1))+1)/80,1))))/2)+MIN(INT(($A217-1)/5),MAX((MAX(1,INT(((CROQUIS!$C$97)-CROQUIS!$C$107)/MAX((CROQUIS!$C$137*MAX(1,CEILING((INT(((CROQUIS!$C$97)-CROQUIS!$C$107)/MAX(CROQUIS!$C$137,1))+1)/80,1))),1))+1))-1,0))*(CROQUIS!$C$137*MAX(1,CEILING((INT(((CROQUIS!$C$97)-CROQUIS!$C$107)/MAX(CROQUIS!$C$137,1))+1)/80,1)))),CHOOSE(IF(INT(($A217-1)/5)&gt;MAX((MAX(1,INT(((CROQUIS!$C$97)-CROQUIS!$C$107)/MAX((CROQUIS!$C$137*MAX(1,CEILING((INT(((CROQUIS!$C$97)-CROQUIS!$C$107)/MAX(CROQUIS!$C$137,1))+1)/80,1))),1))+1))-1,0),0,MOD($A217-1,5))+1,0,2,CROQUIS!$C$98-2,2,0)))*CROQUIS!$C$159)+IF(CROQUIS!$C$92="X",0,0)),-1000)</f>
        <v>-1000</v>
      </c>
      <c r="BQ217">
        <f>IF(AND(CROQUIS!$C$88=1,CROQUIS!$C$137&gt;0),((CROQUIS!$C$161+(IF(CROQUIS!$C$92="X",CHOOSE(IF(INT(($A217-1)/5)&gt;MAX((MAX(1,INT(((CROQUIS!$C$97)-CROQUIS!$C$107)/MAX((CROQUIS!$C$137*MAX(1,CEILING((INT(((CROQUIS!$C$97)-CROQUIS!$C$107)/MAX(CROQUIS!$C$137,1))+1)/80,1))),1))+1))-1,0),0,MOD($A217-1,5))+1,0,2,CROQUIS!$C$98-2,2,0),((CROQUIS!$C$107/2+(((CROQUIS!$C$97)-CROQUIS!$C$107)-(MAX(1,INT(((CROQUIS!$C$97)-CROQUIS!$C$107)/MAX((CROQUIS!$C$137*MAX(1,CEILING((INT(((CROQUIS!$C$97)-CROQUIS!$C$107)/MAX(CROQUIS!$C$137,1))+1)/80,1))),1))+1)-1)*(CROQUIS!$C$137*MAX(1,CEILING((INT(((CROQUIS!$C$97)-CROQUIS!$C$107)/MAX(CROQUIS!$C$137,1))+1)/80,1))))/2)+MIN(INT(($A217-1)/5),MAX((MAX(1,INT(((CROQUIS!$C$97)-CROQUIS!$C$107)/MAX((CROQUIS!$C$137*MAX(1,CEILING((INT(((CROQUIS!$C$97)-CROQUIS!$C$107)/MAX(CROQUIS!$C$137,1))+1)/80,1))),1))+1))-1,0))*(CROQUIS!$C$137*MAX(1,CEILING((INT(((CROQUIS!$C$97)-CROQUIS!$C$107)/MAX(CROQUIS!$C$137,1))+1)/80,1))))))*CROQUIS!$C$159)+IF(CROQUIS!$C$92="X",0,0)),-1000)</f>
        <v>-1000</v>
      </c>
      <c r="BR217">
        <f>IF(AND(CROQUIS!$C$88=1,CROQUIS!$C$91=0,CROQUIS!$C$133&gt;0,OR(CROQUIS!$C$103=1,CROQUIS!$C$145=1)),((CROQUIS!$C$160+(IF(CROQUIS!$C$92="X",CHOOSE(IF(INT(($A217-1)/5)&gt;MAX((MAX(1,INT(((CROQUIS!$C$98)-CROQUIS!$C$107)/MAX((CROQUIS!$C$133*MAX(1,CEILING((INT(((CROQUIS!$C$98)-CROQUIS!$C$107)/MAX(CROQUIS!$C$133,1))+1)/80,1))),1))+1))-1,0),0,MOD($A217-1,5))+1,0,IF(CROQUIS!$C$103=1,-12,2),CROQUIS!$C$107/2+CROQUIS!$C$143,IF(CROQUIS!$C$103=1,-12,2),0),((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BS2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+1,0,IF(CROQUIS!$C$103=1,-12,2),CROQUIS!$C$107/2+CROQUIS!$C$143,IF(CROQUIS!$C$103=1,-12,2),0)))*CROQUIS!$C$159)+IF(CROQUIS!$C$92="X",0.8,0)),-1000)</f>
        <v>-1000</v>
      </c>
      <c r="BT217">
        <f>IF(AND(CROQUIS!$C$88=1,CROQUIS!$C$91=0,CROQUIS!$C$133&gt;0,OR(CROQUIS!$C$104=1,CROQUIS!$C$145=1)),((CROQUIS!$C$160+(IF(CROQUIS!$C$92="X",CHOOSE(IF(INT(($A217-1)/5)&gt;MAX((MAX(1,INT(((CROQUIS!$C$98)-CROQUIS!$C$107)/MAX((CROQUIS!$C$133*MAX(1,CEILING((INT(((CROQUIS!$C$98)-CROQUIS!$C$107)/MAX(CROQUIS!$C$133,1))+1)/80,1))),1))+1))-1,0),0,MOD($A217-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BU2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CROQUIS!$C$97,CROQUIS!$C$97-CROQUIS!$C$107/2-CROQUIS!$C$143,IF(CROQUIS!$C$104=1,CROQUIS!$C$97+12,CROQUIS!$C$97-2),CROQUIS!$C$97-CROQUIS!$C$107/2-CROQUIS!$C$143,CROQUIS!$C$97)))*CROQUIS!$C$159)+IF(CROQUIS!$C$92="X",0.8,0)),-1000)</f>
        <v>-1000</v>
      </c>
      <c r="BV2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HOOSE(IF(INT(($A217-1)/5)&gt;MAX((MAX(1,INT(((CROQUIS!$C$97)-CROQUIS!$C$107)/MAX((CROQUIS!$C$141*MAX(1,CEILING((INT(((CROQUIS!$C$97)-CROQUIS!$C$107)/MAX(CROQUIS!$C$141,1))+1)/80,1))),1))+1))-1,0),0,MOD($A217-1,5))+1,0,IF(CROQUIS!$C$105=1,-12,2),CROQUIS!$C$107/2+CROQUIS!$C$144,IF(CROQUIS!$C$105=1,-12,2),0)))*CROQUIS!$C$159)+IF(CROQUIS!$C$92="X",0.8,0)),-1000)</f>
        <v>-1000</v>
      </c>
      <c r="BW217">
        <f>IF(AND(CROQUIS!$C$88=1,CROQUIS!$C$91=0,CROQUIS!$C$141&gt;0,OR(CROQUIS!$C$105=1,CROQUIS!$C$146=1)),((CROQUIS!$C$161+(IF(CROQUIS!$C$92="X",CHOOSE(IF(INT(($A217-1)/5)&gt;MAX((MAX(1,INT(((CROQUIS!$C$97)-CROQUIS!$C$107)/MAX((CROQUIS!$C$141*MAX(1,CEILING((INT(((CROQUIS!$C$97)-CROQUIS!$C$107)/MAX(CROQUIS!$C$141,1))+1)/80,1))),1))+1))-1,0),0,MOD($A217-1,5))+1,0,IF(CROQUIS!$C$105=1,-12,2),CROQUIS!$C$107/2+CROQUIS!$C$144,IF(CROQUIS!$C$105=1,-12,2),0),((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ROQUIS!$C$159)+IF(CROQUIS!$C$92="X",0,0.8)),-1000)</f>
        <v>-1000</v>
      </c>
      <c r="BX2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HOOSE(IF(INT(($A217-1)/5)&gt;MAX((MAX(1,INT(((CROQUIS!$C$97)-CROQUIS!$C$107)/MAX((CROQUIS!$C$141*MAX(1,CEILING((INT(((CROQUIS!$C$97)-CROQUIS!$C$107)/MAX(CROQUIS!$C$141,1))+1)/80,1))),1))+1))-1,0),0,MOD($A217-1,5))+1,CROQUIS!$C$98,CROQUIS!$C$98-CROQUIS!$C$107/2-CROQUIS!$C$144,IF(CROQUIS!$C$106=1,CROQUIS!$C$98+12,CROQUIS!$C$98-2),CROQUIS!$C$98-CROQUIS!$C$107/2-CROQUIS!$C$144,CROQUIS!$C$98)))*CROQUIS!$C$159)+IF(CROQUIS!$C$92="X",0.8,0)),-1000)</f>
        <v>-1000</v>
      </c>
      <c r="BY217">
        <f>IF(AND(CROQUIS!$C$88=1,CROQUIS!$C$91=0,CROQUIS!$C$141&gt;0,OR(CROQUIS!$C$106=1,CROQUIS!$C$146=1)),((CROQUIS!$C$161+(IF(CROQUIS!$C$92="X",CHOOSE(IF(INT(($A217-1)/5)&gt;MAX((MAX(1,INT(((CROQUIS!$C$97)-CROQUIS!$C$107)/MAX((CROQUIS!$C$141*MAX(1,CEILING((INT(((CROQUIS!$C$97)-CROQUIS!$C$107)/MAX(CROQUIS!$C$141,1))+1)/80,1))),1))+1))-1,0),0,MOD($A217-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ROQUIS!$C$159)+IF(CROQUIS!$C$92="X",0,0.8)),-1000)</f>
        <v>-1000</v>
      </c>
      <c r="BZ217">
        <f>IF(AND(CROQUIS!$C$88=1,CROQUIS!$C$91=1,CROQUIS!$C$133&gt;0),((CROQUIS!$C$160+(IF(CROQUIS!$C$92="X",CHOOSE(IF(INT(($A217-1)/5)&gt;MAX((MAX(1,INT(((CROQUIS!$C$98)-CROQUIS!$C$107)/MAX((CROQUIS!$C$133*MAX(1,CEILING((INT(((CROQUIS!$C$98)-CROQUIS!$C$107)/MAX(CROQUIS!$C$133,1))+1)/80,1))),1))+1))-1,0),0,MOD($A217-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CA217">
        <f>IF(AND(CROQUIS!$C$88=1,CROQUIS!$C$91=1,CROQUIS!$C$133&gt;0),((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8">
      <c r="A218" t="n">
        <v>211</v>
      </c>
      <c r="BN218">
        <f>IF(AND(CROQUIS!$C$88=1,CROQUIS!$C$129&gt;0),((CROQUIS!$C$160+(IF(CROQUIS!$C$92="X",CHOOSE(IF(INT(($A218-1)/5)&gt;MAX((MAX(1,INT(((CROQUIS!$C$98)-CROQUIS!$C$107)/MAX((CROQUIS!$C$129*MAX(1,CEILING((INT(((CROQUIS!$C$98)-CROQUIS!$C$107)/MAX(CROQUIS!$C$129,1))+1)/80,1))),1))+1))-1,0),0,MOD($A218-1,5))+1,0,2,CROQUIS!$C$97-2,2,0),((CROQUIS!$C$107/2+(((CROQUIS!$C$98)-CROQUIS!$C$107)-(MAX(1,INT(((CROQUIS!$C$98)-CROQUIS!$C$107)/MAX((CROQUIS!$C$129*MAX(1,CEILING((INT(((CROQUIS!$C$98)-CROQUIS!$C$107)/MAX(CROQUIS!$C$129,1))+1)/80,1))),1))+1)-1)*(CROQUIS!$C$129*MAX(1,CEILING((INT(((CROQUIS!$C$98)-CROQUIS!$C$107)/MAX(CROQUIS!$C$129,1))+1)/80,1))))/2)+MIN(INT(($A218-1)/5),MAX((MAX(1,INT(((CROQUIS!$C$98)-CROQUIS!$C$107)/MAX((CROQUIS!$C$129*MAX(1,CEILING((INT(((CROQUIS!$C$98)-CROQUIS!$C$107)/MAX(CROQUIS!$C$129,1))+1)/80,1))),1))+1))-1,0))*(CROQUIS!$C$129*MAX(1,CEILING((INT(((CROQUIS!$C$98)-CROQUIS!$C$107)/MAX(CROQUIS!$C$129,1))+1)/80,1))))))*CROQUIS!$C$159)+IF(CROQUIS!$C$92="X",0,0)),-1000)</f>
        <v>-1000</v>
      </c>
      <c r="BO218">
        <f>IF(AND(CROQUIS!$C$88=1,CROQUIS!$C$129&gt;0),((CROQUIS!$C$161+(IF(CROQUIS!$C$92="X",((CROQUIS!$C$107/2+(((CROQUIS!$C$98)-CROQUIS!$C$107)-(MAX(1,INT(((CROQUIS!$C$98)-CROQUIS!$C$107)/MAX((CROQUIS!$C$129*MAX(1,CEILING((INT(((CROQUIS!$C$98)-CROQUIS!$C$107)/MAX(CROQUIS!$C$129,1))+1)/80,1))),1))+1)-1)*(CROQUIS!$C$129*MAX(1,CEILING((INT(((CROQUIS!$C$98)-CROQUIS!$C$107)/MAX(CROQUIS!$C$129,1))+1)/80,1))))/2)+MIN(INT(($A218-1)/5),MAX((MAX(1,INT(((CROQUIS!$C$98)-CROQUIS!$C$107)/MAX((CROQUIS!$C$129*MAX(1,CEILING((INT(((CROQUIS!$C$98)-CROQUIS!$C$107)/MAX(CROQUIS!$C$129,1))+1)/80,1))),1))+1))-1,0))*(CROQUIS!$C$129*MAX(1,CEILING((INT(((CROQUIS!$C$98)-CROQUIS!$C$107)/MAX(CROQUIS!$C$129,1))+1)/80,1)))),CHOOSE(IF(INT(($A218-1)/5)&gt;MAX((MAX(1,INT(((CROQUIS!$C$98)-CROQUIS!$C$107)/MAX((CROQUIS!$C$129*MAX(1,CEILING((INT(((CROQUIS!$C$98)-CROQUIS!$C$107)/MAX(CROQUIS!$C$129,1))+1)/80,1))),1))+1))-1,0),0,MOD($A218-1,5))+1,0,2,CROQUIS!$C$97-2,2,0)))*CROQUIS!$C$159)+IF(CROQUIS!$C$92="X",0,0)),-1000)</f>
        <v>-1000</v>
      </c>
      <c r="BP218">
        <f>IF(AND(CROQUIS!$C$88=1,CROQUIS!$C$137&gt;0),((CROQUIS!$C$160+(IF(CROQUIS!$C$92="X",((CROQUIS!$C$107/2+(((CROQUIS!$C$97)-CROQUIS!$C$107)-(MAX(1,INT(((CROQUIS!$C$97)-CROQUIS!$C$107)/MAX((CROQUIS!$C$137*MAX(1,CEILING((INT(((CROQUIS!$C$97)-CROQUIS!$C$107)/MAX(CROQUIS!$C$137,1))+1)/80,1))),1))+1)-1)*(CROQUIS!$C$137*MAX(1,CEILING((INT(((CROQUIS!$C$97)-CROQUIS!$C$107)/MAX(CROQUIS!$C$137,1))+1)/80,1))))/2)+MIN(INT(($A218-1)/5),MAX((MAX(1,INT(((CROQUIS!$C$97)-CROQUIS!$C$107)/MAX((CROQUIS!$C$137*MAX(1,CEILING((INT(((CROQUIS!$C$97)-CROQUIS!$C$107)/MAX(CROQUIS!$C$137,1))+1)/80,1))),1))+1))-1,0))*(CROQUIS!$C$137*MAX(1,CEILING((INT(((CROQUIS!$C$97)-CROQUIS!$C$107)/MAX(CROQUIS!$C$137,1))+1)/80,1)))),CHOOSE(IF(INT(($A218-1)/5)&gt;MAX((MAX(1,INT(((CROQUIS!$C$97)-CROQUIS!$C$107)/MAX((CROQUIS!$C$137*MAX(1,CEILING((INT(((CROQUIS!$C$97)-CROQUIS!$C$107)/MAX(CROQUIS!$C$137,1))+1)/80,1))),1))+1))-1,0),0,MOD($A218-1,5))+1,0,2,CROQUIS!$C$98-2,2,0)))*CROQUIS!$C$159)+IF(CROQUIS!$C$92="X",0,0)),-1000)</f>
        <v>-1000</v>
      </c>
      <c r="BQ218">
        <f>IF(AND(CROQUIS!$C$88=1,CROQUIS!$C$137&gt;0),((CROQUIS!$C$161+(IF(CROQUIS!$C$92="X",CHOOSE(IF(INT(($A218-1)/5)&gt;MAX((MAX(1,INT(((CROQUIS!$C$97)-CROQUIS!$C$107)/MAX((CROQUIS!$C$137*MAX(1,CEILING((INT(((CROQUIS!$C$97)-CROQUIS!$C$107)/MAX(CROQUIS!$C$137,1))+1)/80,1))),1))+1))-1,0),0,MOD($A218-1,5))+1,0,2,CROQUIS!$C$98-2,2,0),((CROQUIS!$C$107/2+(((CROQUIS!$C$97)-CROQUIS!$C$107)-(MAX(1,INT(((CROQUIS!$C$97)-CROQUIS!$C$107)/MAX((CROQUIS!$C$137*MAX(1,CEILING((INT(((CROQUIS!$C$97)-CROQUIS!$C$107)/MAX(CROQUIS!$C$137,1))+1)/80,1))),1))+1)-1)*(CROQUIS!$C$137*MAX(1,CEILING((INT(((CROQUIS!$C$97)-CROQUIS!$C$107)/MAX(CROQUIS!$C$137,1))+1)/80,1))))/2)+MIN(INT(($A218-1)/5),MAX((MAX(1,INT(((CROQUIS!$C$97)-CROQUIS!$C$107)/MAX((CROQUIS!$C$137*MAX(1,CEILING((INT(((CROQUIS!$C$97)-CROQUIS!$C$107)/MAX(CROQUIS!$C$137,1))+1)/80,1))),1))+1))-1,0))*(CROQUIS!$C$137*MAX(1,CEILING((INT(((CROQUIS!$C$97)-CROQUIS!$C$107)/MAX(CROQUIS!$C$137,1))+1)/80,1))))))*CROQUIS!$C$159)+IF(CROQUIS!$C$92="X",0,0)),-1000)</f>
        <v>-1000</v>
      </c>
      <c r="BR218">
        <f>IF(AND(CROQUIS!$C$88=1,CROQUIS!$C$91=0,CROQUIS!$C$133&gt;0,OR(CROQUIS!$C$103=1,CROQUIS!$C$145=1)),((CROQUIS!$C$160+(IF(CROQUIS!$C$92="X",CHOOSE(IF(INT(($A218-1)/5)&gt;MAX((MAX(1,INT(((CROQUIS!$C$98)-CROQUIS!$C$107)/MAX((CROQUIS!$C$133*MAX(1,CEILING((INT(((CROQUIS!$C$98)-CROQUIS!$C$107)/MAX(CROQUIS!$C$133,1))+1)/80,1))),1))+1))-1,0),0,MOD($A218-1,5))+1,0,IF(CROQUIS!$C$103=1,-12,2),CROQUIS!$C$107/2+CROQUIS!$C$143,IF(CROQUIS!$C$103=1,-12,2),0),((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BS2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+1,0,IF(CROQUIS!$C$103=1,-12,2),CROQUIS!$C$107/2+CROQUIS!$C$143,IF(CROQUIS!$C$103=1,-12,2),0)))*CROQUIS!$C$159)+IF(CROQUIS!$C$92="X",0.8,0)),-1000)</f>
        <v>-1000</v>
      </c>
      <c r="BT218">
        <f>IF(AND(CROQUIS!$C$88=1,CROQUIS!$C$91=0,CROQUIS!$C$133&gt;0,OR(CROQUIS!$C$104=1,CROQUIS!$C$145=1)),((CROQUIS!$C$160+(IF(CROQUIS!$C$92="X",CHOOSE(IF(INT(($A218-1)/5)&gt;MAX((MAX(1,INT(((CROQUIS!$C$98)-CROQUIS!$C$107)/MAX((CROQUIS!$C$133*MAX(1,CEILING((INT(((CROQUIS!$C$98)-CROQUIS!$C$107)/MAX(CROQUIS!$C$133,1))+1)/80,1))),1))+1))-1,0),0,MOD($A218-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BU2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CROQUIS!$C$97,CROQUIS!$C$97-CROQUIS!$C$107/2-CROQUIS!$C$143,IF(CROQUIS!$C$104=1,CROQUIS!$C$97+12,CROQUIS!$C$97-2),CROQUIS!$C$97-CROQUIS!$C$107/2-CROQUIS!$C$143,CROQUIS!$C$97)))*CROQUIS!$C$159)+IF(CROQUIS!$C$92="X",0.8,0)),-1000)</f>
        <v>-1000</v>
      </c>
      <c r="BV2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HOOSE(IF(INT(($A218-1)/5)&gt;MAX((MAX(1,INT(((CROQUIS!$C$97)-CROQUIS!$C$107)/MAX((CROQUIS!$C$141*MAX(1,CEILING((INT(((CROQUIS!$C$97)-CROQUIS!$C$107)/MAX(CROQUIS!$C$141,1))+1)/80,1))),1))+1))-1,0),0,MOD($A218-1,5))+1,0,IF(CROQUIS!$C$105=1,-12,2),CROQUIS!$C$107/2+CROQUIS!$C$144,IF(CROQUIS!$C$105=1,-12,2),0)))*CROQUIS!$C$159)+IF(CROQUIS!$C$92="X",0.8,0)),-1000)</f>
        <v>-1000</v>
      </c>
      <c r="BW218">
        <f>IF(AND(CROQUIS!$C$88=1,CROQUIS!$C$91=0,CROQUIS!$C$141&gt;0,OR(CROQUIS!$C$105=1,CROQUIS!$C$146=1)),((CROQUIS!$C$161+(IF(CROQUIS!$C$92="X",CHOOSE(IF(INT(($A218-1)/5)&gt;MAX((MAX(1,INT(((CROQUIS!$C$97)-CROQUIS!$C$107)/MAX((CROQUIS!$C$141*MAX(1,CEILING((INT(((CROQUIS!$C$97)-CROQUIS!$C$107)/MAX(CROQUIS!$C$141,1))+1)/80,1))),1))+1))-1,0),0,MOD($A218-1,5))+1,0,IF(CROQUIS!$C$105=1,-12,2),CROQUIS!$C$107/2+CROQUIS!$C$144,IF(CROQUIS!$C$105=1,-12,2),0),((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ROQUIS!$C$159)+IF(CROQUIS!$C$92="X",0,0.8)),-1000)</f>
        <v>-1000</v>
      </c>
      <c r="BX2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HOOSE(IF(INT(($A218-1)/5)&gt;MAX((MAX(1,INT(((CROQUIS!$C$97)-CROQUIS!$C$107)/MAX((CROQUIS!$C$141*MAX(1,CEILING((INT(((CROQUIS!$C$97)-CROQUIS!$C$107)/MAX(CROQUIS!$C$141,1))+1)/80,1))),1))+1))-1,0),0,MOD($A218-1,5))+1,CROQUIS!$C$98,CROQUIS!$C$98-CROQUIS!$C$107/2-CROQUIS!$C$144,IF(CROQUIS!$C$106=1,CROQUIS!$C$98+12,CROQUIS!$C$98-2),CROQUIS!$C$98-CROQUIS!$C$107/2-CROQUIS!$C$144,CROQUIS!$C$98)))*CROQUIS!$C$159)+IF(CROQUIS!$C$92="X",0.8,0)),-1000)</f>
        <v>-1000</v>
      </c>
      <c r="BY218">
        <f>IF(AND(CROQUIS!$C$88=1,CROQUIS!$C$91=0,CROQUIS!$C$141&gt;0,OR(CROQUIS!$C$106=1,CROQUIS!$C$146=1)),((CROQUIS!$C$161+(IF(CROQUIS!$C$92="X",CHOOSE(IF(INT(($A218-1)/5)&gt;MAX((MAX(1,INT(((CROQUIS!$C$97)-CROQUIS!$C$107)/MAX((CROQUIS!$C$141*MAX(1,CEILING((INT(((CROQUIS!$C$97)-CROQUIS!$C$107)/MAX(CROQUIS!$C$141,1))+1)/80,1))),1))+1))-1,0),0,MOD($A218-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ROQUIS!$C$159)+IF(CROQUIS!$C$92="X",0,0.8)),-1000)</f>
        <v>-1000</v>
      </c>
      <c r="BZ218">
        <f>IF(AND(CROQUIS!$C$88=1,CROQUIS!$C$91=1,CROQUIS!$C$133&gt;0),((CROQUIS!$C$160+(IF(CROQUIS!$C$92="X",CHOOSE(IF(INT(($A218-1)/5)&gt;MAX((MAX(1,INT(((CROQUIS!$C$98)-CROQUIS!$C$107)/MAX((CROQUIS!$C$133*MAX(1,CEILING((INT(((CROQUIS!$C$98)-CROQUIS!$C$107)/MAX(CROQUIS!$C$133,1))+1)/80,1))),1))+1))-1,0),0,MOD($A218-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CA218">
        <f>IF(AND(CROQUIS!$C$88=1,CROQUIS!$C$91=1,CROQUIS!$C$133&gt;0),((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9">
      <c r="A219" t="n">
        <v>212</v>
      </c>
      <c r="BN219">
        <f>IF(AND(CROQUIS!$C$88=1,CROQUIS!$C$129&gt;0),((CROQUIS!$C$160+(IF(CROQUIS!$C$92="X",CHOOSE(IF(INT(($A219-1)/5)&gt;MAX((MAX(1,INT(((CROQUIS!$C$98)-CROQUIS!$C$107)/MAX((CROQUIS!$C$129*MAX(1,CEILING((INT(((CROQUIS!$C$98)-CROQUIS!$C$107)/MAX(CROQUIS!$C$129,1))+1)/80,1))),1))+1))-1,0),0,MOD($A219-1,5))+1,0,2,CROQUIS!$C$97-2,2,0),((CROQUIS!$C$107/2+(((CROQUIS!$C$98)-CROQUIS!$C$107)-(MAX(1,INT(((CROQUIS!$C$98)-CROQUIS!$C$107)/MAX((CROQUIS!$C$129*MAX(1,CEILING((INT(((CROQUIS!$C$98)-CROQUIS!$C$107)/MAX(CROQUIS!$C$129,1))+1)/80,1))),1))+1)-1)*(CROQUIS!$C$129*MAX(1,CEILING((INT(((CROQUIS!$C$98)-CROQUIS!$C$107)/MAX(CROQUIS!$C$129,1))+1)/80,1))))/2)+MIN(INT(($A219-1)/5),MAX((MAX(1,INT(((CROQUIS!$C$98)-CROQUIS!$C$107)/MAX((CROQUIS!$C$129*MAX(1,CEILING((INT(((CROQUIS!$C$98)-CROQUIS!$C$107)/MAX(CROQUIS!$C$129,1))+1)/80,1))),1))+1))-1,0))*(CROQUIS!$C$129*MAX(1,CEILING((INT(((CROQUIS!$C$98)-CROQUIS!$C$107)/MAX(CROQUIS!$C$129,1))+1)/80,1))))))*CROQUIS!$C$159)+IF(CROQUIS!$C$92="X",0,0)),-1000)</f>
        <v>-1000</v>
      </c>
      <c r="BO219">
        <f>IF(AND(CROQUIS!$C$88=1,CROQUIS!$C$129&gt;0),((CROQUIS!$C$161+(IF(CROQUIS!$C$92="X",((CROQUIS!$C$107/2+(((CROQUIS!$C$98)-CROQUIS!$C$107)-(MAX(1,INT(((CROQUIS!$C$98)-CROQUIS!$C$107)/MAX((CROQUIS!$C$129*MAX(1,CEILING((INT(((CROQUIS!$C$98)-CROQUIS!$C$107)/MAX(CROQUIS!$C$129,1))+1)/80,1))),1))+1)-1)*(CROQUIS!$C$129*MAX(1,CEILING((INT(((CROQUIS!$C$98)-CROQUIS!$C$107)/MAX(CROQUIS!$C$129,1))+1)/80,1))))/2)+MIN(INT(($A219-1)/5),MAX((MAX(1,INT(((CROQUIS!$C$98)-CROQUIS!$C$107)/MAX((CROQUIS!$C$129*MAX(1,CEILING((INT(((CROQUIS!$C$98)-CROQUIS!$C$107)/MAX(CROQUIS!$C$129,1))+1)/80,1))),1))+1))-1,0))*(CROQUIS!$C$129*MAX(1,CEILING((INT(((CROQUIS!$C$98)-CROQUIS!$C$107)/MAX(CROQUIS!$C$129,1))+1)/80,1)))),CHOOSE(IF(INT(($A219-1)/5)&gt;MAX((MAX(1,INT(((CROQUIS!$C$98)-CROQUIS!$C$107)/MAX((CROQUIS!$C$129*MAX(1,CEILING((INT(((CROQUIS!$C$98)-CROQUIS!$C$107)/MAX(CROQUIS!$C$129,1))+1)/80,1))),1))+1))-1,0),0,MOD($A219-1,5))+1,0,2,CROQUIS!$C$97-2,2,0)))*CROQUIS!$C$159)+IF(CROQUIS!$C$92="X",0,0)),-1000)</f>
        <v>-1000</v>
      </c>
      <c r="BP219">
        <f>IF(AND(CROQUIS!$C$88=1,CROQUIS!$C$137&gt;0),((CROQUIS!$C$160+(IF(CROQUIS!$C$92="X",((CROQUIS!$C$107/2+(((CROQUIS!$C$97)-CROQUIS!$C$107)-(MAX(1,INT(((CROQUIS!$C$97)-CROQUIS!$C$107)/MAX((CROQUIS!$C$137*MAX(1,CEILING((INT(((CROQUIS!$C$97)-CROQUIS!$C$107)/MAX(CROQUIS!$C$137,1))+1)/80,1))),1))+1)-1)*(CROQUIS!$C$137*MAX(1,CEILING((INT(((CROQUIS!$C$97)-CROQUIS!$C$107)/MAX(CROQUIS!$C$137,1))+1)/80,1))))/2)+MIN(INT(($A219-1)/5),MAX((MAX(1,INT(((CROQUIS!$C$97)-CROQUIS!$C$107)/MAX((CROQUIS!$C$137*MAX(1,CEILING((INT(((CROQUIS!$C$97)-CROQUIS!$C$107)/MAX(CROQUIS!$C$137,1))+1)/80,1))),1))+1))-1,0))*(CROQUIS!$C$137*MAX(1,CEILING((INT(((CROQUIS!$C$97)-CROQUIS!$C$107)/MAX(CROQUIS!$C$137,1))+1)/80,1)))),CHOOSE(IF(INT(($A219-1)/5)&gt;MAX((MAX(1,INT(((CROQUIS!$C$97)-CROQUIS!$C$107)/MAX((CROQUIS!$C$137*MAX(1,CEILING((INT(((CROQUIS!$C$97)-CROQUIS!$C$107)/MAX(CROQUIS!$C$137,1))+1)/80,1))),1))+1))-1,0),0,MOD($A219-1,5))+1,0,2,CROQUIS!$C$98-2,2,0)))*CROQUIS!$C$159)+IF(CROQUIS!$C$92="X",0,0)),-1000)</f>
        <v>-1000</v>
      </c>
      <c r="BQ219">
        <f>IF(AND(CROQUIS!$C$88=1,CROQUIS!$C$137&gt;0),((CROQUIS!$C$161+(IF(CROQUIS!$C$92="X",CHOOSE(IF(INT(($A219-1)/5)&gt;MAX((MAX(1,INT(((CROQUIS!$C$97)-CROQUIS!$C$107)/MAX((CROQUIS!$C$137*MAX(1,CEILING((INT(((CROQUIS!$C$97)-CROQUIS!$C$107)/MAX(CROQUIS!$C$137,1))+1)/80,1))),1))+1))-1,0),0,MOD($A219-1,5))+1,0,2,CROQUIS!$C$98-2,2,0),((CROQUIS!$C$107/2+(((CROQUIS!$C$97)-CROQUIS!$C$107)-(MAX(1,INT(((CROQUIS!$C$97)-CROQUIS!$C$107)/MAX((CROQUIS!$C$137*MAX(1,CEILING((INT(((CROQUIS!$C$97)-CROQUIS!$C$107)/MAX(CROQUIS!$C$137,1))+1)/80,1))),1))+1)-1)*(CROQUIS!$C$137*MAX(1,CEILING((INT(((CROQUIS!$C$97)-CROQUIS!$C$107)/MAX(CROQUIS!$C$137,1))+1)/80,1))))/2)+MIN(INT(($A219-1)/5),MAX((MAX(1,INT(((CROQUIS!$C$97)-CROQUIS!$C$107)/MAX((CROQUIS!$C$137*MAX(1,CEILING((INT(((CROQUIS!$C$97)-CROQUIS!$C$107)/MAX(CROQUIS!$C$137,1))+1)/80,1))),1))+1))-1,0))*(CROQUIS!$C$137*MAX(1,CEILING((INT(((CROQUIS!$C$97)-CROQUIS!$C$107)/MAX(CROQUIS!$C$137,1))+1)/80,1))))))*CROQUIS!$C$159)+IF(CROQUIS!$C$92="X",0,0)),-1000)</f>
        <v>-1000</v>
      </c>
      <c r="BR219">
        <f>IF(AND(CROQUIS!$C$88=1,CROQUIS!$C$91=0,CROQUIS!$C$133&gt;0,OR(CROQUIS!$C$103=1,CROQUIS!$C$145=1)),((CROQUIS!$C$160+(IF(CROQUIS!$C$92="X",CHOOSE(IF(INT(($A219-1)/5)&gt;MAX((MAX(1,INT(((CROQUIS!$C$98)-CROQUIS!$C$107)/MAX((CROQUIS!$C$133*MAX(1,CEILING((INT(((CROQUIS!$C$98)-CROQUIS!$C$107)/MAX(CROQUIS!$C$133,1))+1)/80,1))),1))+1))-1,0),0,MOD($A219-1,5))+1,0,IF(CROQUIS!$C$103=1,-12,2),CROQUIS!$C$107/2+CROQUIS!$C$143,IF(CROQUIS!$C$103=1,-12,2),0),((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BS2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+1,0,IF(CROQUIS!$C$103=1,-12,2),CROQUIS!$C$107/2+CROQUIS!$C$143,IF(CROQUIS!$C$103=1,-12,2),0)))*CROQUIS!$C$159)+IF(CROQUIS!$C$92="X",0.8,0)),-1000)</f>
        <v>-1000</v>
      </c>
      <c r="BT219">
        <f>IF(AND(CROQUIS!$C$88=1,CROQUIS!$C$91=0,CROQUIS!$C$133&gt;0,OR(CROQUIS!$C$104=1,CROQUIS!$C$145=1)),((CROQUIS!$C$160+(IF(CROQUIS!$C$92="X",CHOOSE(IF(INT(($A219-1)/5)&gt;MAX((MAX(1,INT(((CROQUIS!$C$98)-CROQUIS!$C$107)/MAX((CROQUIS!$C$133*MAX(1,CEILING((INT(((CROQUIS!$C$98)-CROQUIS!$C$107)/MAX(CROQUIS!$C$133,1))+1)/80,1))),1))+1))-1,0),0,MOD($A219-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BU2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CROQUIS!$C$97,CROQUIS!$C$97-CROQUIS!$C$107/2-CROQUIS!$C$143,IF(CROQUIS!$C$104=1,CROQUIS!$C$97+12,CROQUIS!$C$97-2),CROQUIS!$C$97-CROQUIS!$C$107/2-CROQUIS!$C$143,CROQUIS!$C$97)))*CROQUIS!$C$159)+IF(CROQUIS!$C$92="X",0.8,0)),-1000)</f>
        <v>-1000</v>
      </c>
      <c r="BV2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HOOSE(IF(INT(($A219-1)/5)&gt;MAX((MAX(1,INT(((CROQUIS!$C$97)-CROQUIS!$C$107)/MAX((CROQUIS!$C$141*MAX(1,CEILING((INT(((CROQUIS!$C$97)-CROQUIS!$C$107)/MAX(CROQUIS!$C$141,1))+1)/80,1))),1))+1))-1,0),0,MOD($A219-1,5))+1,0,IF(CROQUIS!$C$105=1,-12,2),CROQUIS!$C$107/2+CROQUIS!$C$144,IF(CROQUIS!$C$105=1,-12,2),0)))*CROQUIS!$C$159)+IF(CROQUIS!$C$92="X",0.8,0)),-1000)</f>
        <v>-1000</v>
      </c>
      <c r="BW219">
        <f>IF(AND(CROQUIS!$C$88=1,CROQUIS!$C$91=0,CROQUIS!$C$141&gt;0,OR(CROQUIS!$C$105=1,CROQUIS!$C$146=1)),((CROQUIS!$C$161+(IF(CROQUIS!$C$92="X",CHOOSE(IF(INT(($A219-1)/5)&gt;MAX((MAX(1,INT(((CROQUIS!$C$97)-CROQUIS!$C$107)/MAX((CROQUIS!$C$141*MAX(1,CEILING((INT(((CROQUIS!$C$97)-CROQUIS!$C$107)/MAX(CROQUIS!$C$141,1))+1)/80,1))),1))+1))-1,0),0,MOD($A219-1,5))+1,0,IF(CROQUIS!$C$105=1,-12,2),CROQUIS!$C$107/2+CROQUIS!$C$144,IF(CROQUIS!$C$105=1,-12,2),0),((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ROQUIS!$C$159)+IF(CROQUIS!$C$92="X",0,0.8)),-1000)</f>
        <v>-1000</v>
      </c>
      <c r="BX2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HOOSE(IF(INT(($A219-1)/5)&gt;MAX((MAX(1,INT(((CROQUIS!$C$97)-CROQUIS!$C$107)/MAX((CROQUIS!$C$141*MAX(1,CEILING((INT(((CROQUIS!$C$97)-CROQUIS!$C$107)/MAX(CROQUIS!$C$141,1))+1)/80,1))),1))+1))-1,0),0,MOD($A219-1,5))+1,CROQUIS!$C$98,CROQUIS!$C$98-CROQUIS!$C$107/2-CROQUIS!$C$144,IF(CROQUIS!$C$106=1,CROQUIS!$C$98+12,CROQUIS!$C$98-2),CROQUIS!$C$98-CROQUIS!$C$107/2-CROQUIS!$C$144,CROQUIS!$C$98)))*CROQUIS!$C$159)+IF(CROQUIS!$C$92="X",0.8,0)),-1000)</f>
        <v>-1000</v>
      </c>
      <c r="BY219">
        <f>IF(AND(CROQUIS!$C$88=1,CROQUIS!$C$91=0,CROQUIS!$C$141&gt;0,OR(CROQUIS!$C$106=1,CROQUIS!$C$146=1)),((CROQUIS!$C$161+(IF(CROQUIS!$C$92="X",CHOOSE(IF(INT(($A219-1)/5)&gt;MAX((MAX(1,INT(((CROQUIS!$C$97)-CROQUIS!$C$107)/MAX((CROQUIS!$C$141*MAX(1,CEILING((INT(((CROQUIS!$C$97)-CROQUIS!$C$107)/MAX(CROQUIS!$C$141,1))+1)/80,1))),1))+1))-1,0),0,MOD($A219-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ROQUIS!$C$159)+IF(CROQUIS!$C$92="X",0,0.8)),-1000)</f>
        <v>-1000</v>
      </c>
      <c r="BZ219">
        <f>IF(AND(CROQUIS!$C$88=1,CROQUIS!$C$91=1,CROQUIS!$C$133&gt;0),((CROQUIS!$C$160+(IF(CROQUIS!$C$92="X",CHOOSE(IF(INT(($A219-1)/5)&gt;MAX((MAX(1,INT(((CROQUIS!$C$98)-CROQUIS!$C$107)/MAX((CROQUIS!$C$133*MAX(1,CEILING((INT(((CROQUIS!$C$98)-CROQUIS!$C$107)/MAX(CROQUIS!$C$133,1))+1)/80,1))),1))+1))-1,0),0,MOD($A219-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CA219">
        <f>IF(AND(CROQUIS!$C$88=1,CROQUIS!$C$91=1,CROQUIS!$C$133&gt;0),((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0">
      <c r="A220" t="n">
        <v>213</v>
      </c>
      <c r="BN220">
        <f>IF(AND(CROQUIS!$C$88=1,CROQUIS!$C$129&gt;0),((CROQUIS!$C$160+(IF(CROQUIS!$C$92="X",CHOOSE(IF(INT(($A220-1)/5)&gt;MAX((MAX(1,INT(((CROQUIS!$C$98)-CROQUIS!$C$107)/MAX((CROQUIS!$C$129*MAX(1,CEILING((INT(((CROQUIS!$C$98)-CROQUIS!$C$107)/MAX(CROQUIS!$C$129,1))+1)/80,1))),1))+1))-1,0),0,MOD($A220-1,5))+1,0,2,CROQUIS!$C$97-2,2,0),((CROQUIS!$C$107/2+(((CROQUIS!$C$98)-CROQUIS!$C$107)-(MAX(1,INT(((CROQUIS!$C$98)-CROQUIS!$C$107)/MAX((CROQUIS!$C$129*MAX(1,CEILING((INT(((CROQUIS!$C$98)-CROQUIS!$C$107)/MAX(CROQUIS!$C$129,1))+1)/80,1))),1))+1)-1)*(CROQUIS!$C$129*MAX(1,CEILING((INT(((CROQUIS!$C$98)-CROQUIS!$C$107)/MAX(CROQUIS!$C$129,1))+1)/80,1))))/2)+MIN(INT(($A220-1)/5),MAX((MAX(1,INT(((CROQUIS!$C$98)-CROQUIS!$C$107)/MAX((CROQUIS!$C$129*MAX(1,CEILING((INT(((CROQUIS!$C$98)-CROQUIS!$C$107)/MAX(CROQUIS!$C$129,1))+1)/80,1))),1))+1))-1,0))*(CROQUIS!$C$129*MAX(1,CEILING((INT(((CROQUIS!$C$98)-CROQUIS!$C$107)/MAX(CROQUIS!$C$129,1))+1)/80,1))))))*CROQUIS!$C$159)+IF(CROQUIS!$C$92="X",0,0)),-1000)</f>
        <v>-1000</v>
      </c>
      <c r="BO220">
        <f>IF(AND(CROQUIS!$C$88=1,CROQUIS!$C$129&gt;0),((CROQUIS!$C$161+(IF(CROQUIS!$C$92="X",((CROQUIS!$C$107/2+(((CROQUIS!$C$98)-CROQUIS!$C$107)-(MAX(1,INT(((CROQUIS!$C$98)-CROQUIS!$C$107)/MAX((CROQUIS!$C$129*MAX(1,CEILING((INT(((CROQUIS!$C$98)-CROQUIS!$C$107)/MAX(CROQUIS!$C$129,1))+1)/80,1))),1))+1)-1)*(CROQUIS!$C$129*MAX(1,CEILING((INT(((CROQUIS!$C$98)-CROQUIS!$C$107)/MAX(CROQUIS!$C$129,1))+1)/80,1))))/2)+MIN(INT(($A220-1)/5),MAX((MAX(1,INT(((CROQUIS!$C$98)-CROQUIS!$C$107)/MAX((CROQUIS!$C$129*MAX(1,CEILING((INT(((CROQUIS!$C$98)-CROQUIS!$C$107)/MAX(CROQUIS!$C$129,1))+1)/80,1))),1))+1))-1,0))*(CROQUIS!$C$129*MAX(1,CEILING((INT(((CROQUIS!$C$98)-CROQUIS!$C$107)/MAX(CROQUIS!$C$129,1))+1)/80,1)))),CHOOSE(IF(INT(($A220-1)/5)&gt;MAX((MAX(1,INT(((CROQUIS!$C$98)-CROQUIS!$C$107)/MAX((CROQUIS!$C$129*MAX(1,CEILING((INT(((CROQUIS!$C$98)-CROQUIS!$C$107)/MAX(CROQUIS!$C$129,1))+1)/80,1))),1))+1))-1,0),0,MOD($A220-1,5))+1,0,2,CROQUIS!$C$97-2,2,0)))*CROQUIS!$C$159)+IF(CROQUIS!$C$92="X",0,0)),-1000)</f>
        <v>-1000</v>
      </c>
      <c r="BP220">
        <f>IF(AND(CROQUIS!$C$88=1,CROQUIS!$C$137&gt;0),((CROQUIS!$C$160+(IF(CROQUIS!$C$92="X",((CROQUIS!$C$107/2+(((CROQUIS!$C$97)-CROQUIS!$C$107)-(MAX(1,INT(((CROQUIS!$C$97)-CROQUIS!$C$107)/MAX((CROQUIS!$C$137*MAX(1,CEILING((INT(((CROQUIS!$C$97)-CROQUIS!$C$107)/MAX(CROQUIS!$C$137,1))+1)/80,1))),1))+1)-1)*(CROQUIS!$C$137*MAX(1,CEILING((INT(((CROQUIS!$C$97)-CROQUIS!$C$107)/MAX(CROQUIS!$C$137,1))+1)/80,1))))/2)+MIN(INT(($A220-1)/5),MAX((MAX(1,INT(((CROQUIS!$C$97)-CROQUIS!$C$107)/MAX((CROQUIS!$C$137*MAX(1,CEILING((INT(((CROQUIS!$C$97)-CROQUIS!$C$107)/MAX(CROQUIS!$C$137,1))+1)/80,1))),1))+1))-1,0))*(CROQUIS!$C$137*MAX(1,CEILING((INT(((CROQUIS!$C$97)-CROQUIS!$C$107)/MAX(CROQUIS!$C$137,1))+1)/80,1)))),CHOOSE(IF(INT(($A220-1)/5)&gt;MAX((MAX(1,INT(((CROQUIS!$C$97)-CROQUIS!$C$107)/MAX((CROQUIS!$C$137*MAX(1,CEILING((INT(((CROQUIS!$C$97)-CROQUIS!$C$107)/MAX(CROQUIS!$C$137,1))+1)/80,1))),1))+1))-1,0),0,MOD($A220-1,5))+1,0,2,CROQUIS!$C$98-2,2,0)))*CROQUIS!$C$159)+IF(CROQUIS!$C$92="X",0,0)),-1000)</f>
        <v>-1000</v>
      </c>
      <c r="BQ220">
        <f>IF(AND(CROQUIS!$C$88=1,CROQUIS!$C$137&gt;0),((CROQUIS!$C$161+(IF(CROQUIS!$C$92="X",CHOOSE(IF(INT(($A220-1)/5)&gt;MAX((MAX(1,INT(((CROQUIS!$C$97)-CROQUIS!$C$107)/MAX((CROQUIS!$C$137*MAX(1,CEILING((INT(((CROQUIS!$C$97)-CROQUIS!$C$107)/MAX(CROQUIS!$C$137,1))+1)/80,1))),1))+1))-1,0),0,MOD($A220-1,5))+1,0,2,CROQUIS!$C$98-2,2,0),((CROQUIS!$C$107/2+(((CROQUIS!$C$97)-CROQUIS!$C$107)-(MAX(1,INT(((CROQUIS!$C$97)-CROQUIS!$C$107)/MAX((CROQUIS!$C$137*MAX(1,CEILING((INT(((CROQUIS!$C$97)-CROQUIS!$C$107)/MAX(CROQUIS!$C$137,1))+1)/80,1))),1))+1)-1)*(CROQUIS!$C$137*MAX(1,CEILING((INT(((CROQUIS!$C$97)-CROQUIS!$C$107)/MAX(CROQUIS!$C$137,1))+1)/80,1))))/2)+MIN(INT(($A220-1)/5),MAX((MAX(1,INT(((CROQUIS!$C$97)-CROQUIS!$C$107)/MAX((CROQUIS!$C$137*MAX(1,CEILING((INT(((CROQUIS!$C$97)-CROQUIS!$C$107)/MAX(CROQUIS!$C$137,1))+1)/80,1))),1))+1))-1,0))*(CROQUIS!$C$137*MAX(1,CEILING((INT(((CROQUIS!$C$97)-CROQUIS!$C$107)/MAX(CROQUIS!$C$137,1))+1)/80,1))))))*CROQUIS!$C$159)+IF(CROQUIS!$C$92="X",0,0)),-1000)</f>
        <v>-1000</v>
      </c>
      <c r="BR220">
        <f>IF(AND(CROQUIS!$C$88=1,CROQUIS!$C$91=0,CROQUIS!$C$133&gt;0,OR(CROQUIS!$C$103=1,CROQUIS!$C$145=1)),((CROQUIS!$C$160+(IF(CROQUIS!$C$92="X",CHOOSE(IF(INT(($A220-1)/5)&gt;MAX((MAX(1,INT(((CROQUIS!$C$98)-CROQUIS!$C$107)/MAX((CROQUIS!$C$133*MAX(1,CEILING((INT(((CROQUIS!$C$98)-CROQUIS!$C$107)/MAX(CROQUIS!$C$133,1))+1)/80,1))),1))+1))-1,0),0,MOD($A220-1,5))+1,0,IF(CROQUIS!$C$103=1,-12,2),CROQUIS!$C$107/2+CROQUIS!$C$143,IF(CROQUIS!$C$103=1,-12,2),0),((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BS2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+1,0,IF(CROQUIS!$C$103=1,-12,2),CROQUIS!$C$107/2+CROQUIS!$C$143,IF(CROQUIS!$C$103=1,-12,2),0)))*CROQUIS!$C$159)+IF(CROQUIS!$C$92="X",0.8,0)),-1000)</f>
        <v>-1000</v>
      </c>
      <c r="BT220">
        <f>IF(AND(CROQUIS!$C$88=1,CROQUIS!$C$91=0,CROQUIS!$C$133&gt;0,OR(CROQUIS!$C$104=1,CROQUIS!$C$145=1)),((CROQUIS!$C$160+(IF(CROQUIS!$C$92="X",CHOOSE(IF(INT(($A220-1)/5)&gt;MAX((MAX(1,INT(((CROQUIS!$C$98)-CROQUIS!$C$107)/MAX((CROQUIS!$C$133*MAX(1,CEILING((INT(((CROQUIS!$C$98)-CROQUIS!$C$107)/MAX(CROQUIS!$C$133,1))+1)/80,1))),1))+1))-1,0),0,MOD($A220-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BU2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CROQUIS!$C$97,CROQUIS!$C$97-CROQUIS!$C$107/2-CROQUIS!$C$143,IF(CROQUIS!$C$104=1,CROQUIS!$C$97+12,CROQUIS!$C$97-2),CROQUIS!$C$97-CROQUIS!$C$107/2-CROQUIS!$C$143,CROQUIS!$C$97)))*CROQUIS!$C$159)+IF(CROQUIS!$C$92="X",0.8,0)),-1000)</f>
        <v>-1000</v>
      </c>
      <c r="BV2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HOOSE(IF(INT(($A220-1)/5)&gt;MAX((MAX(1,INT(((CROQUIS!$C$97)-CROQUIS!$C$107)/MAX((CROQUIS!$C$141*MAX(1,CEILING((INT(((CROQUIS!$C$97)-CROQUIS!$C$107)/MAX(CROQUIS!$C$141,1))+1)/80,1))),1))+1))-1,0),0,MOD($A220-1,5))+1,0,IF(CROQUIS!$C$105=1,-12,2),CROQUIS!$C$107/2+CROQUIS!$C$144,IF(CROQUIS!$C$105=1,-12,2),0)))*CROQUIS!$C$159)+IF(CROQUIS!$C$92="X",0.8,0)),-1000)</f>
        <v>-1000</v>
      </c>
      <c r="BW220">
        <f>IF(AND(CROQUIS!$C$88=1,CROQUIS!$C$91=0,CROQUIS!$C$141&gt;0,OR(CROQUIS!$C$105=1,CROQUIS!$C$146=1)),((CROQUIS!$C$161+(IF(CROQUIS!$C$92="X",CHOOSE(IF(INT(($A220-1)/5)&gt;MAX((MAX(1,INT(((CROQUIS!$C$97)-CROQUIS!$C$107)/MAX((CROQUIS!$C$141*MAX(1,CEILING((INT(((CROQUIS!$C$97)-CROQUIS!$C$107)/MAX(CROQUIS!$C$141,1))+1)/80,1))),1))+1))-1,0),0,MOD($A220-1,5))+1,0,IF(CROQUIS!$C$105=1,-12,2),CROQUIS!$C$107/2+CROQUIS!$C$144,IF(CROQUIS!$C$105=1,-12,2),0),((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ROQUIS!$C$159)+IF(CROQUIS!$C$92="X",0,0.8)),-1000)</f>
        <v>-1000</v>
      </c>
      <c r="BX2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HOOSE(IF(INT(($A220-1)/5)&gt;MAX((MAX(1,INT(((CROQUIS!$C$97)-CROQUIS!$C$107)/MAX((CROQUIS!$C$141*MAX(1,CEILING((INT(((CROQUIS!$C$97)-CROQUIS!$C$107)/MAX(CROQUIS!$C$141,1))+1)/80,1))),1))+1))-1,0),0,MOD($A220-1,5))+1,CROQUIS!$C$98,CROQUIS!$C$98-CROQUIS!$C$107/2-CROQUIS!$C$144,IF(CROQUIS!$C$106=1,CROQUIS!$C$98+12,CROQUIS!$C$98-2),CROQUIS!$C$98-CROQUIS!$C$107/2-CROQUIS!$C$144,CROQUIS!$C$98)))*CROQUIS!$C$159)+IF(CROQUIS!$C$92="X",0.8,0)),-1000)</f>
        <v>-1000</v>
      </c>
      <c r="BY220">
        <f>IF(AND(CROQUIS!$C$88=1,CROQUIS!$C$91=0,CROQUIS!$C$141&gt;0,OR(CROQUIS!$C$106=1,CROQUIS!$C$146=1)),((CROQUIS!$C$161+(IF(CROQUIS!$C$92="X",CHOOSE(IF(INT(($A220-1)/5)&gt;MAX((MAX(1,INT(((CROQUIS!$C$97)-CROQUIS!$C$107)/MAX((CROQUIS!$C$141*MAX(1,CEILING((INT(((CROQUIS!$C$97)-CROQUIS!$C$107)/MAX(CROQUIS!$C$141,1))+1)/80,1))),1))+1))-1,0),0,MOD($A220-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ROQUIS!$C$159)+IF(CROQUIS!$C$92="X",0,0.8)),-1000)</f>
        <v>-1000</v>
      </c>
      <c r="BZ220">
        <f>IF(AND(CROQUIS!$C$88=1,CROQUIS!$C$91=1,CROQUIS!$C$133&gt;0),((CROQUIS!$C$160+(IF(CROQUIS!$C$92="X",CHOOSE(IF(INT(($A220-1)/5)&gt;MAX((MAX(1,INT(((CROQUIS!$C$98)-CROQUIS!$C$107)/MAX((CROQUIS!$C$133*MAX(1,CEILING((INT(((CROQUIS!$C$98)-CROQUIS!$C$107)/MAX(CROQUIS!$C$133,1))+1)/80,1))),1))+1))-1,0),0,MOD($A220-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CA220">
        <f>IF(AND(CROQUIS!$C$88=1,CROQUIS!$C$91=1,CROQUIS!$C$133&gt;0),((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1">
      <c r="A221" t="n">
        <v>214</v>
      </c>
      <c r="BN221">
        <f>IF(AND(CROQUIS!$C$88=1,CROQUIS!$C$129&gt;0),((CROQUIS!$C$160+(IF(CROQUIS!$C$92="X",CHOOSE(IF(INT(($A221-1)/5)&gt;MAX((MAX(1,INT(((CROQUIS!$C$98)-CROQUIS!$C$107)/MAX((CROQUIS!$C$129*MAX(1,CEILING((INT(((CROQUIS!$C$98)-CROQUIS!$C$107)/MAX(CROQUIS!$C$129,1))+1)/80,1))),1))+1))-1,0),0,MOD($A221-1,5))+1,0,2,CROQUIS!$C$97-2,2,0),((CROQUIS!$C$107/2+(((CROQUIS!$C$98)-CROQUIS!$C$107)-(MAX(1,INT(((CROQUIS!$C$98)-CROQUIS!$C$107)/MAX((CROQUIS!$C$129*MAX(1,CEILING((INT(((CROQUIS!$C$98)-CROQUIS!$C$107)/MAX(CROQUIS!$C$129,1))+1)/80,1))),1))+1)-1)*(CROQUIS!$C$129*MAX(1,CEILING((INT(((CROQUIS!$C$98)-CROQUIS!$C$107)/MAX(CROQUIS!$C$129,1))+1)/80,1))))/2)+MIN(INT(($A221-1)/5),MAX((MAX(1,INT(((CROQUIS!$C$98)-CROQUIS!$C$107)/MAX((CROQUIS!$C$129*MAX(1,CEILING((INT(((CROQUIS!$C$98)-CROQUIS!$C$107)/MAX(CROQUIS!$C$129,1))+1)/80,1))),1))+1))-1,0))*(CROQUIS!$C$129*MAX(1,CEILING((INT(((CROQUIS!$C$98)-CROQUIS!$C$107)/MAX(CROQUIS!$C$129,1))+1)/80,1))))))*CROQUIS!$C$159)+IF(CROQUIS!$C$92="X",0,0)),-1000)</f>
        <v>-1000</v>
      </c>
      <c r="BO221">
        <f>IF(AND(CROQUIS!$C$88=1,CROQUIS!$C$129&gt;0),((CROQUIS!$C$161+(IF(CROQUIS!$C$92="X",((CROQUIS!$C$107/2+(((CROQUIS!$C$98)-CROQUIS!$C$107)-(MAX(1,INT(((CROQUIS!$C$98)-CROQUIS!$C$107)/MAX((CROQUIS!$C$129*MAX(1,CEILING((INT(((CROQUIS!$C$98)-CROQUIS!$C$107)/MAX(CROQUIS!$C$129,1))+1)/80,1))),1))+1)-1)*(CROQUIS!$C$129*MAX(1,CEILING((INT(((CROQUIS!$C$98)-CROQUIS!$C$107)/MAX(CROQUIS!$C$129,1))+1)/80,1))))/2)+MIN(INT(($A221-1)/5),MAX((MAX(1,INT(((CROQUIS!$C$98)-CROQUIS!$C$107)/MAX((CROQUIS!$C$129*MAX(1,CEILING((INT(((CROQUIS!$C$98)-CROQUIS!$C$107)/MAX(CROQUIS!$C$129,1))+1)/80,1))),1))+1))-1,0))*(CROQUIS!$C$129*MAX(1,CEILING((INT(((CROQUIS!$C$98)-CROQUIS!$C$107)/MAX(CROQUIS!$C$129,1))+1)/80,1)))),CHOOSE(IF(INT(($A221-1)/5)&gt;MAX((MAX(1,INT(((CROQUIS!$C$98)-CROQUIS!$C$107)/MAX((CROQUIS!$C$129*MAX(1,CEILING((INT(((CROQUIS!$C$98)-CROQUIS!$C$107)/MAX(CROQUIS!$C$129,1))+1)/80,1))),1))+1))-1,0),0,MOD($A221-1,5))+1,0,2,CROQUIS!$C$97-2,2,0)))*CROQUIS!$C$159)+IF(CROQUIS!$C$92="X",0,0)),-1000)</f>
        <v>-1000</v>
      </c>
      <c r="BP221">
        <f>IF(AND(CROQUIS!$C$88=1,CROQUIS!$C$137&gt;0),((CROQUIS!$C$160+(IF(CROQUIS!$C$92="X",((CROQUIS!$C$107/2+(((CROQUIS!$C$97)-CROQUIS!$C$107)-(MAX(1,INT(((CROQUIS!$C$97)-CROQUIS!$C$107)/MAX((CROQUIS!$C$137*MAX(1,CEILING((INT(((CROQUIS!$C$97)-CROQUIS!$C$107)/MAX(CROQUIS!$C$137,1))+1)/80,1))),1))+1)-1)*(CROQUIS!$C$137*MAX(1,CEILING((INT(((CROQUIS!$C$97)-CROQUIS!$C$107)/MAX(CROQUIS!$C$137,1))+1)/80,1))))/2)+MIN(INT(($A221-1)/5),MAX((MAX(1,INT(((CROQUIS!$C$97)-CROQUIS!$C$107)/MAX((CROQUIS!$C$137*MAX(1,CEILING((INT(((CROQUIS!$C$97)-CROQUIS!$C$107)/MAX(CROQUIS!$C$137,1))+1)/80,1))),1))+1))-1,0))*(CROQUIS!$C$137*MAX(1,CEILING((INT(((CROQUIS!$C$97)-CROQUIS!$C$107)/MAX(CROQUIS!$C$137,1))+1)/80,1)))),CHOOSE(IF(INT(($A221-1)/5)&gt;MAX((MAX(1,INT(((CROQUIS!$C$97)-CROQUIS!$C$107)/MAX((CROQUIS!$C$137*MAX(1,CEILING((INT(((CROQUIS!$C$97)-CROQUIS!$C$107)/MAX(CROQUIS!$C$137,1))+1)/80,1))),1))+1))-1,0),0,MOD($A221-1,5))+1,0,2,CROQUIS!$C$98-2,2,0)))*CROQUIS!$C$159)+IF(CROQUIS!$C$92="X",0,0)),-1000)</f>
        <v>-1000</v>
      </c>
      <c r="BQ221">
        <f>IF(AND(CROQUIS!$C$88=1,CROQUIS!$C$137&gt;0),((CROQUIS!$C$161+(IF(CROQUIS!$C$92="X",CHOOSE(IF(INT(($A221-1)/5)&gt;MAX((MAX(1,INT(((CROQUIS!$C$97)-CROQUIS!$C$107)/MAX((CROQUIS!$C$137*MAX(1,CEILING((INT(((CROQUIS!$C$97)-CROQUIS!$C$107)/MAX(CROQUIS!$C$137,1))+1)/80,1))),1))+1))-1,0),0,MOD($A221-1,5))+1,0,2,CROQUIS!$C$98-2,2,0),((CROQUIS!$C$107/2+(((CROQUIS!$C$97)-CROQUIS!$C$107)-(MAX(1,INT(((CROQUIS!$C$97)-CROQUIS!$C$107)/MAX((CROQUIS!$C$137*MAX(1,CEILING((INT(((CROQUIS!$C$97)-CROQUIS!$C$107)/MAX(CROQUIS!$C$137,1))+1)/80,1))),1))+1)-1)*(CROQUIS!$C$137*MAX(1,CEILING((INT(((CROQUIS!$C$97)-CROQUIS!$C$107)/MAX(CROQUIS!$C$137,1))+1)/80,1))))/2)+MIN(INT(($A221-1)/5),MAX((MAX(1,INT(((CROQUIS!$C$97)-CROQUIS!$C$107)/MAX((CROQUIS!$C$137*MAX(1,CEILING((INT(((CROQUIS!$C$97)-CROQUIS!$C$107)/MAX(CROQUIS!$C$137,1))+1)/80,1))),1))+1))-1,0))*(CROQUIS!$C$137*MAX(1,CEILING((INT(((CROQUIS!$C$97)-CROQUIS!$C$107)/MAX(CROQUIS!$C$137,1))+1)/80,1))))))*CROQUIS!$C$159)+IF(CROQUIS!$C$92="X",0,0)),-1000)</f>
        <v>-1000</v>
      </c>
      <c r="BR221">
        <f>IF(AND(CROQUIS!$C$88=1,CROQUIS!$C$91=0,CROQUIS!$C$133&gt;0,OR(CROQUIS!$C$103=1,CROQUIS!$C$145=1)),((CROQUIS!$C$160+(IF(CROQUIS!$C$92="X",CHOOSE(IF(INT(($A221-1)/5)&gt;MAX((MAX(1,INT(((CROQUIS!$C$98)-CROQUIS!$C$107)/MAX((CROQUIS!$C$133*MAX(1,CEILING((INT(((CROQUIS!$C$98)-CROQUIS!$C$107)/MAX(CROQUIS!$C$133,1))+1)/80,1))),1))+1))-1,0),0,MOD($A221-1,5))+1,0,IF(CROQUIS!$C$103=1,-12,2),CROQUIS!$C$107/2+CROQUIS!$C$143,IF(CROQUIS!$C$103=1,-12,2),0),((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BS2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+1,0,IF(CROQUIS!$C$103=1,-12,2),CROQUIS!$C$107/2+CROQUIS!$C$143,IF(CROQUIS!$C$103=1,-12,2),0)))*CROQUIS!$C$159)+IF(CROQUIS!$C$92="X",0.8,0)),-1000)</f>
        <v>-1000</v>
      </c>
      <c r="BT221">
        <f>IF(AND(CROQUIS!$C$88=1,CROQUIS!$C$91=0,CROQUIS!$C$133&gt;0,OR(CROQUIS!$C$104=1,CROQUIS!$C$145=1)),((CROQUIS!$C$160+(IF(CROQUIS!$C$92="X",CHOOSE(IF(INT(($A221-1)/5)&gt;MAX((MAX(1,INT(((CROQUIS!$C$98)-CROQUIS!$C$107)/MAX((CROQUIS!$C$133*MAX(1,CEILING((INT(((CROQUIS!$C$98)-CROQUIS!$C$107)/MAX(CROQUIS!$C$133,1))+1)/80,1))),1))+1))-1,0),0,MOD($A221-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BU2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CROQUIS!$C$97,CROQUIS!$C$97-CROQUIS!$C$107/2-CROQUIS!$C$143,IF(CROQUIS!$C$104=1,CROQUIS!$C$97+12,CROQUIS!$C$97-2),CROQUIS!$C$97-CROQUIS!$C$107/2-CROQUIS!$C$143,CROQUIS!$C$97)))*CROQUIS!$C$159)+IF(CROQUIS!$C$92="X",0.8,0)),-1000)</f>
        <v>-1000</v>
      </c>
      <c r="BV2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HOOSE(IF(INT(($A221-1)/5)&gt;MAX((MAX(1,INT(((CROQUIS!$C$97)-CROQUIS!$C$107)/MAX((CROQUIS!$C$141*MAX(1,CEILING((INT(((CROQUIS!$C$97)-CROQUIS!$C$107)/MAX(CROQUIS!$C$141,1))+1)/80,1))),1))+1))-1,0),0,MOD($A221-1,5))+1,0,IF(CROQUIS!$C$105=1,-12,2),CROQUIS!$C$107/2+CROQUIS!$C$144,IF(CROQUIS!$C$105=1,-12,2),0)))*CROQUIS!$C$159)+IF(CROQUIS!$C$92="X",0.8,0)),-1000)</f>
        <v>-1000</v>
      </c>
      <c r="BW221">
        <f>IF(AND(CROQUIS!$C$88=1,CROQUIS!$C$91=0,CROQUIS!$C$141&gt;0,OR(CROQUIS!$C$105=1,CROQUIS!$C$146=1)),((CROQUIS!$C$161+(IF(CROQUIS!$C$92="X",CHOOSE(IF(INT(($A221-1)/5)&gt;MAX((MAX(1,INT(((CROQUIS!$C$97)-CROQUIS!$C$107)/MAX((CROQUIS!$C$141*MAX(1,CEILING((INT(((CROQUIS!$C$97)-CROQUIS!$C$107)/MAX(CROQUIS!$C$141,1))+1)/80,1))),1))+1))-1,0),0,MOD($A221-1,5))+1,0,IF(CROQUIS!$C$105=1,-12,2),CROQUIS!$C$107/2+CROQUIS!$C$144,IF(CROQUIS!$C$105=1,-12,2),0),((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ROQUIS!$C$159)+IF(CROQUIS!$C$92="X",0,0.8)),-1000)</f>
        <v>-1000</v>
      </c>
      <c r="BX2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HOOSE(IF(INT(($A221-1)/5)&gt;MAX((MAX(1,INT(((CROQUIS!$C$97)-CROQUIS!$C$107)/MAX((CROQUIS!$C$141*MAX(1,CEILING((INT(((CROQUIS!$C$97)-CROQUIS!$C$107)/MAX(CROQUIS!$C$141,1))+1)/80,1))),1))+1))-1,0),0,MOD($A221-1,5))+1,CROQUIS!$C$98,CROQUIS!$C$98-CROQUIS!$C$107/2-CROQUIS!$C$144,IF(CROQUIS!$C$106=1,CROQUIS!$C$98+12,CROQUIS!$C$98-2),CROQUIS!$C$98-CROQUIS!$C$107/2-CROQUIS!$C$144,CROQUIS!$C$98)))*CROQUIS!$C$159)+IF(CROQUIS!$C$92="X",0.8,0)),-1000)</f>
        <v>-1000</v>
      </c>
      <c r="BY221">
        <f>IF(AND(CROQUIS!$C$88=1,CROQUIS!$C$91=0,CROQUIS!$C$141&gt;0,OR(CROQUIS!$C$106=1,CROQUIS!$C$146=1)),((CROQUIS!$C$161+(IF(CROQUIS!$C$92="X",CHOOSE(IF(INT(($A221-1)/5)&gt;MAX((MAX(1,INT(((CROQUIS!$C$97)-CROQUIS!$C$107)/MAX((CROQUIS!$C$141*MAX(1,CEILING((INT(((CROQUIS!$C$97)-CROQUIS!$C$107)/MAX(CROQUIS!$C$141,1))+1)/80,1))),1))+1))-1,0),0,MOD($A221-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ROQUIS!$C$159)+IF(CROQUIS!$C$92="X",0,0.8)),-1000)</f>
        <v>-1000</v>
      </c>
      <c r="BZ221">
        <f>IF(AND(CROQUIS!$C$88=1,CROQUIS!$C$91=1,CROQUIS!$C$133&gt;0),((CROQUIS!$C$160+(IF(CROQUIS!$C$92="X",CHOOSE(IF(INT(($A221-1)/5)&gt;MAX((MAX(1,INT(((CROQUIS!$C$98)-CROQUIS!$C$107)/MAX((CROQUIS!$C$133*MAX(1,CEILING((INT(((CROQUIS!$C$98)-CROQUIS!$C$107)/MAX(CROQUIS!$C$133,1))+1)/80,1))),1))+1))-1,0),0,MOD($A221-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CA221">
        <f>IF(AND(CROQUIS!$C$88=1,CROQUIS!$C$91=1,CROQUIS!$C$133&gt;0),((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2">
      <c r="A222" t="n">
        <v>215</v>
      </c>
      <c r="BN222">
        <f>IF(AND(CROQUIS!$C$88=1,CROQUIS!$C$129&gt;0),((CROQUIS!$C$160+(IF(CROQUIS!$C$92="X",CHOOSE(IF(INT(($A222-1)/5)&gt;MAX((MAX(1,INT(((CROQUIS!$C$98)-CROQUIS!$C$107)/MAX((CROQUIS!$C$129*MAX(1,CEILING((INT(((CROQUIS!$C$98)-CROQUIS!$C$107)/MAX(CROQUIS!$C$129,1))+1)/80,1))),1))+1))-1,0),0,MOD($A222-1,5))+1,0,2,CROQUIS!$C$97-2,2,0),((CROQUIS!$C$107/2+(((CROQUIS!$C$98)-CROQUIS!$C$107)-(MAX(1,INT(((CROQUIS!$C$98)-CROQUIS!$C$107)/MAX((CROQUIS!$C$129*MAX(1,CEILING((INT(((CROQUIS!$C$98)-CROQUIS!$C$107)/MAX(CROQUIS!$C$129,1))+1)/80,1))),1))+1)-1)*(CROQUIS!$C$129*MAX(1,CEILING((INT(((CROQUIS!$C$98)-CROQUIS!$C$107)/MAX(CROQUIS!$C$129,1))+1)/80,1))))/2)+MIN(INT(($A222-1)/5),MAX((MAX(1,INT(((CROQUIS!$C$98)-CROQUIS!$C$107)/MAX((CROQUIS!$C$129*MAX(1,CEILING((INT(((CROQUIS!$C$98)-CROQUIS!$C$107)/MAX(CROQUIS!$C$129,1))+1)/80,1))),1))+1))-1,0))*(CROQUIS!$C$129*MAX(1,CEILING((INT(((CROQUIS!$C$98)-CROQUIS!$C$107)/MAX(CROQUIS!$C$129,1))+1)/80,1))))))*CROQUIS!$C$159)+IF(CROQUIS!$C$92="X",0,0)),-1000)</f>
        <v>-1000</v>
      </c>
      <c r="BO222">
        <f>IF(AND(CROQUIS!$C$88=1,CROQUIS!$C$129&gt;0),((CROQUIS!$C$161+(IF(CROQUIS!$C$92="X",((CROQUIS!$C$107/2+(((CROQUIS!$C$98)-CROQUIS!$C$107)-(MAX(1,INT(((CROQUIS!$C$98)-CROQUIS!$C$107)/MAX((CROQUIS!$C$129*MAX(1,CEILING((INT(((CROQUIS!$C$98)-CROQUIS!$C$107)/MAX(CROQUIS!$C$129,1))+1)/80,1))),1))+1)-1)*(CROQUIS!$C$129*MAX(1,CEILING((INT(((CROQUIS!$C$98)-CROQUIS!$C$107)/MAX(CROQUIS!$C$129,1))+1)/80,1))))/2)+MIN(INT(($A222-1)/5),MAX((MAX(1,INT(((CROQUIS!$C$98)-CROQUIS!$C$107)/MAX((CROQUIS!$C$129*MAX(1,CEILING((INT(((CROQUIS!$C$98)-CROQUIS!$C$107)/MAX(CROQUIS!$C$129,1))+1)/80,1))),1))+1))-1,0))*(CROQUIS!$C$129*MAX(1,CEILING((INT(((CROQUIS!$C$98)-CROQUIS!$C$107)/MAX(CROQUIS!$C$129,1))+1)/80,1)))),CHOOSE(IF(INT(($A222-1)/5)&gt;MAX((MAX(1,INT(((CROQUIS!$C$98)-CROQUIS!$C$107)/MAX((CROQUIS!$C$129*MAX(1,CEILING((INT(((CROQUIS!$C$98)-CROQUIS!$C$107)/MAX(CROQUIS!$C$129,1))+1)/80,1))),1))+1))-1,0),0,MOD($A222-1,5))+1,0,2,CROQUIS!$C$97-2,2,0)))*CROQUIS!$C$159)+IF(CROQUIS!$C$92="X",0,0)),-1000)</f>
        <v>-1000</v>
      </c>
      <c r="BP222">
        <f>IF(AND(CROQUIS!$C$88=1,CROQUIS!$C$137&gt;0),((CROQUIS!$C$160+(IF(CROQUIS!$C$92="X",((CROQUIS!$C$107/2+(((CROQUIS!$C$97)-CROQUIS!$C$107)-(MAX(1,INT(((CROQUIS!$C$97)-CROQUIS!$C$107)/MAX((CROQUIS!$C$137*MAX(1,CEILING((INT(((CROQUIS!$C$97)-CROQUIS!$C$107)/MAX(CROQUIS!$C$137,1))+1)/80,1))),1))+1)-1)*(CROQUIS!$C$137*MAX(1,CEILING((INT(((CROQUIS!$C$97)-CROQUIS!$C$107)/MAX(CROQUIS!$C$137,1))+1)/80,1))))/2)+MIN(INT(($A222-1)/5),MAX((MAX(1,INT(((CROQUIS!$C$97)-CROQUIS!$C$107)/MAX((CROQUIS!$C$137*MAX(1,CEILING((INT(((CROQUIS!$C$97)-CROQUIS!$C$107)/MAX(CROQUIS!$C$137,1))+1)/80,1))),1))+1))-1,0))*(CROQUIS!$C$137*MAX(1,CEILING((INT(((CROQUIS!$C$97)-CROQUIS!$C$107)/MAX(CROQUIS!$C$137,1))+1)/80,1)))),CHOOSE(IF(INT(($A222-1)/5)&gt;MAX((MAX(1,INT(((CROQUIS!$C$97)-CROQUIS!$C$107)/MAX((CROQUIS!$C$137*MAX(1,CEILING((INT(((CROQUIS!$C$97)-CROQUIS!$C$107)/MAX(CROQUIS!$C$137,1))+1)/80,1))),1))+1))-1,0),0,MOD($A222-1,5))+1,0,2,CROQUIS!$C$98-2,2,0)))*CROQUIS!$C$159)+IF(CROQUIS!$C$92="X",0,0)),-1000)</f>
        <v>-1000</v>
      </c>
      <c r="BQ222">
        <f>IF(AND(CROQUIS!$C$88=1,CROQUIS!$C$137&gt;0),((CROQUIS!$C$161+(IF(CROQUIS!$C$92="X",CHOOSE(IF(INT(($A222-1)/5)&gt;MAX((MAX(1,INT(((CROQUIS!$C$97)-CROQUIS!$C$107)/MAX((CROQUIS!$C$137*MAX(1,CEILING((INT(((CROQUIS!$C$97)-CROQUIS!$C$107)/MAX(CROQUIS!$C$137,1))+1)/80,1))),1))+1))-1,0),0,MOD($A222-1,5))+1,0,2,CROQUIS!$C$98-2,2,0),((CROQUIS!$C$107/2+(((CROQUIS!$C$97)-CROQUIS!$C$107)-(MAX(1,INT(((CROQUIS!$C$97)-CROQUIS!$C$107)/MAX((CROQUIS!$C$137*MAX(1,CEILING((INT(((CROQUIS!$C$97)-CROQUIS!$C$107)/MAX(CROQUIS!$C$137,1))+1)/80,1))),1))+1)-1)*(CROQUIS!$C$137*MAX(1,CEILING((INT(((CROQUIS!$C$97)-CROQUIS!$C$107)/MAX(CROQUIS!$C$137,1))+1)/80,1))))/2)+MIN(INT(($A222-1)/5),MAX((MAX(1,INT(((CROQUIS!$C$97)-CROQUIS!$C$107)/MAX((CROQUIS!$C$137*MAX(1,CEILING((INT(((CROQUIS!$C$97)-CROQUIS!$C$107)/MAX(CROQUIS!$C$137,1))+1)/80,1))),1))+1))-1,0))*(CROQUIS!$C$137*MAX(1,CEILING((INT(((CROQUIS!$C$97)-CROQUIS!$C$107)/MAX(CROQUIS!$C$137,1))+1)/80,1))))))*CROQUIS!$C$159)+IF(CROQUIS!$C$92="X",0,0)),-1000)</f>
        <v>-1000</v>
      </c>
      <c r="BR222">
        <f>IF(AND(CROQUIS!$C$88=1,CROQUIS!$C$91=0,CROQUIS!$C$133&gt;0,OR(CROQUIS!$C$103=1,CROQUIS!$C$145=1)),((CROQUIS!$C$160+(IF(CROQUIS!$C$92="X",CHOOSE(IF(INT(($A222-1)/5)&gt;MAX((MAX(1,INT(((CROQUIS!$C$98)-CROQUIS!$C$107)/MAX((CROQUIS!$C$133*MAX(1,CEILING((INT(((CROQUIS!$C$98)-CROQUIS!$C$107)/MAX(CROQUIS!$C$133,1))+1)/80,1))),1))+1))-1,0),0,MOD($A222-1,5))+1,0,IF(CROQUIS!$C$103=1,-12,2),CROQUIS!$C$107/2+CROQUIS!$C$143,IF(CROQUIS!$C$103=1,-12,2),0),((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BS2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+1,0,IF(CROQUIS!$C$103=1,-12,2),CROQUIS!$C$107/2+CROQUIS!$C$143,IF(CROQUIS!$C$103=1,-12,2),0)))*CROQUIS!$C$159)+IF(CROQUIS!$C$92="X",0.8,0)),-1000)</f>
        <v>-1000</v>
      </c>
      <c r="BT222">
        <f>IF(AND(CROQUIS!$C$88=1,CROQUIS!$C$91=0,CROQUIS!$C$133&gt;0,OR(CROQUIS!$C$104=1,CROQUIS!$C$145=1)),((CROQUIS!$C$160+(IF(CROQUIS!$C$92="X",CHOOSE(IF(INT(($A222-1)/5)&gt;MAX((MAX(1,INT(((CROQUIS!$C$98)-CROQUIS!$C$107)/MAX((CROQUIS!$C$133*MAX(1,CEILING((INT(((CROQUIS!$C$98)-CROQUIS!$C$107)/MAX(CROQUIS!$C$133,1))+1)/80,1))),1))+1))-1,0),0,MOD($A222-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BU2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CROQUIS!$C$97,CROQUIS!$C$97-CROQUIS!$C$107/2-CROQUIS!$C$143,IF(CROQUIS!$C$104=1,CROQUIS!$C$97+12,CROQUIS!$C$97-2),CROQUIS!$C$97-CROQUIS!$C$107/2-CROQUIS!$C$143,CROQUIS!$C$97)))*CROQUIS!$C$159)+IF(CROQUIS!$C$92="X",0.8,0)),-1000)</f>
        <v>-1000</v>
      </c>
      <c r="BV2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HOOSE(IF(INT(($A222-1)/5)&gt;MAX((MAX(1,INT(((CROQUIS!$C$97)-CROQUIS!$C$107)/MAX((CROQUIS!$C$141*MAX(1,CEILING((INT(((CROQUIS!$C$97)-CROQUIS!$C$107)/MAX(CROQUIS!$C$141,1))+1)/80,1))),1))+1))-1,0),0,MOD($A222-1,5))+1,0,IF(CROQUIS!$C$105=1,-12,2),CROQUIS!$C$107/2+CROQUIS!$C$144,IF(CROQUIS!$C$105=1,-12,2),0)))*CROQUIS!$C$159)+IF(CROQUIS!$C$92="X",0.8,0)),-1000)</f>
        <v>-1000</v>
      </c>
      <c r="BW222">
        <f>IF(AND(CROQUIS!$C$88=1,CROQUIS!$C$91=0,CROQUIS!$C$141&gt;0,OR(CROQUIS!$C$105=1,CROQUIS!$C$146=1)),((CROQUIS!$C$161+(IF(CROQUIS!$C$92="X",CHOOSE(IF(INT(($A222-1)/5)&gt;MAX((MAX(1,INT(((CROQUIS!$C$97)-CROQUIS!$C$107)/MAX((CROQUIS!$C$141*MAX(1,CEILING((INT(((CROQUIS!$C$97)-CROQUIS!$C$107)/MAX(CROQUIS!$C$141,1))+1)/80,1))),1))+1))-1,0),0,MOD($A222-1,5))+1,0,IF(CROQUIS!$C$105=1,-12,2),CROQUIS!$C$107/2+CROQUIS!$C$144,IF(CROQUIS!$C$105=1,-12,2),0),((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ROQUIS!$C$159)+IF(CROQUIS!$C$92="X",0,0.8)),-1000)</f>
        <v>-1000</v>
      </c>
      <c r="BX2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HOOSE(IF(INT(($A222-1)/5)&gt;MAX((MAX(1,INT(((CROQUIS!$C$97)-CROQUIS!$C$107)/MAX((CROQUIS!$C$141*MAX(1,CEILING((INT(((CROQUIS!$C$97)-CROQUIS!$C$107)/MAX(CROQUIS!$C$141,1))+1)/80,1))),1))+1))-1,0),0,MOD($A222-1,5))+1,CROQUIS!$C$98,CROQUIS!$C$98-CROQUIS!$C$107/2-CROQUIS!$C$144,IF(CROQUIS!$C$106=1,CROQUIS!$C$98+12,CROQUIS!$C$98-2),CROQUIS!$C$98-CROQUIS!$C$107/2-CROQUIS!$C$144,CROQUIS!$C$98)))*CROQUIS!$C$159)+IF(CROQUIS!$C$92="X",0.8,0)),-1000)</f>
        <v>-1000</v>
      </c>
      <c r="BY222">
        <f>IF(AND(CROQUIS!$C$88=1,CROQUIS!$C$91=0,CROQUIS!$C$141&gt;0,OR(CROQUIS!$C$106=1,CROQUIS!$C$146=1)),((CROQUIS!$C$161+(IF(CROQUIS!$C$92="X",CHOOSE(IF(INT(($A222-1)/5)&gt;MAX((MAX(1,INT(((CROQUIS!$C$97)-CROQUIS!$C$107)/MAX((CROQUIS!$C$141*MAX(1,CEILING((INT(((CROQUIS!$C$97)-CROQUIS!$C$107)/MAX(CROQUIS!$C$141,1))+1)/80,1))),1))+1))-1,0),0,MOD($A222-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ROQUIS!$C$159)+IF(CROQUIS!$C$92="X",0,0.8)),-1000)</f>
        <v>-1000</v>
      </c>
      <c r="BZ222">
        <f>IF(AND(CROQUIS!$C$88=1,CROQUIS!$C$91=1,CROQUIS!$C$133&gt;0),((CROQUIS!$C$160+(IF(CROQUIS!$C$92="X",CHOOSE(IF(INT(($A222-1)/5)&gt;MAX((MAX(1,INT(((CROQUIS!$C$98)-CROQUIS!$C$107)/MAX((CROQUIS!$C$133*MAX(1,CEILING((INT(((CROQUIS!$C$98)-CROQUIS!$C$107)/MAX(CROQUIS!$C$133,1))+1)/80,1))),1))+1))-1,0),0,MOD($A222-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CA222">
        <f>IF(AND(CROQUIS!$C$88=1,CROQUIS!$C$91=1,CROQUIS!$C$133&gt;0),((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3">
      <c r="A223" t="n">
        <v>216</v>
      </c>
      <c r="BN223">
        <f>IF(AND(CROQUIS!$C$88=1,CROQUIS!$C$129&gt;0),((CROQUIS!$C$160+(IF(CROQUIS!$C$92="X",CHOOSE(IF(INT(($A223-1)/5)&gt;MAX((MAX(1,INT(((CROQUIS!$C$98)-CROQUIS!$C$107)/MAX((CROQUIS!$C$129*MAX(1,CEILING((INT(((CROQUIS!$C$98)-CROQUIS!$C$107)/MAX(CROQUIS!$C$129,1))+1)/80,1))),1))+1))-1,0),0,MOD($A223-1,5))+1,0,2,CROQUIS!$C$97-2,2,0),((CROQUIS!$C$107/2+(((CROQUIS!$C$98)-CROQUIS!$C$107)-(MAX(1,INT(((CROQUIS!$C$98)-CROQUIS!$C$107)/MAX((CROQUIS!$C$129*MAX(1,CEILING((INT(((CROQUIS!$C$98)-CROQUIS!$C$107)/MAX(CROQUIS!$C$129,1))+1)/80,1))),1))+1)-1)*(CROQUIS!$C$129*MAX(1,CEILING((INT(((CROQUIS!$C$98)-CROQUIS!$C$107)/MAX(CROQUIS!$C$129,1))+1)/80,1))))/2)+MIN(INT(($A223-1)/5),MAX((MAX(1,INT(((CROQUIS!$C$98)-CROQUIS!$C$107)/MAX((CROQUIS!$C$129*MAX(1,CEILING((INT(((CROQUIS!$C$98)-CROQUIS!$C$107)/MAX(CROQUIS!$C$129,1))+1)/80,1))),1))+1))-1,0))*(CROQUIS!$C$129*MAX(1,CEILING((INT(((CROQUIS!$C$98)-CROQUIS!$C$107)/MAX(CROQUIS!$C$129,1))+1)/80,1))))))*CROQUIS!$C$159)+IF(CROQUIS!$C$92="X",0,0)),-1000)</f>
        <v>-1000</v>
      </c>
      <c r="BO223">
        <f>IF(AND(CROQUIS!$C$88=1,CROQUIS!$C$129&gt;0),((CROQUIS!$C$161+(IF(CROQUIS!$C$92="X",((CROQUIS!$C$107/2+(((CROQUIS!$C$98)-CROQUIS!$C$107)-(MAX(1,INT(((CROQUIS!$C$98)-CROQUIS!$C$107)/MAX((CROQUIS!$C$129*MAX(1,CEILING((INT(((CROQUIS!$C$98)-CROQUIS!$C$107)/MAX(CROQUIS!$C$129,1))+1)/80,1))),1))+1)-1)*(CROQUIS!$C$129*MAX(1,CEILING((INT(((CROQUIS!$C$98)-CROQUIS!$C$107)/MAX(CROQUIS!$C$129,1))+1)/80,1))))/2)+MIN(INT(($A223-1)/5),MAX((MAX(1,INT(((CROQUIS!$C$98)-CROQUIS!$C$107)/MAX((CROQUIS!$C$129*MAX(1,CEILING((INT(((CROQUIS!$C$98)-CROQUIS!$C$107)/MAX(CROQUIS!$C$129,1))+1)/80,1))),1))+1))-1,0))*(CROQUIS!$C$129*MAX(1,CEILING((INT(((CROQUIS!$C$98)-CROQUIS!$C$107)/MAX(CROQUIS!$C$129,1))+1)/80,1)))),CHOOSE(IF(INT(($A223-1)/5)&gt;MAX((MAX(1,INT(((CROQUIS!$C$98)-CROQUIS!$C$107)/MAX((CROQUIS!$C$129*MAX(1,CEILING((INT(((CROQUIS!$C$98)-CROQUIS!$C$107)/MAX(CROQUIS!$C$129,1))+1)/80,1))),1))+1))-1,0),0,MOD($A223-1,5))+1,0,2,CROQUIS!$C$97-2,2,0)))*CROQUIS!$C$159)+IF(CROQUIS!$C$92="X",0,0)),-1000)</f>
        <v>-1000</v>
      </c>
      <c r="BP223">
        <f>IF(AND(CROQUIS!$C$88=1,CROQUIS!$C$137&gt;0),((CROQUIS!$C$160+(IF(CROQUIS!$C$92="X",((CROQUIS!$C$107/2+(((CROQUIS!$C$97)-CROQUIS!$C$107)-(MAX(1,INT(((CROQUIS!$C$97)-CROQUIS!$C$107)/MAX((CROQUIS!$C$137*MAX(1,CEILING((INT(((CROQUIS!$C$97)-CROQUIS!$C$107)/MAX(CROQUIS!$C$137,1))+1)/80,1))),1))+1)-1)*(CROQUIS!$C$137*MAX(1,CEILING((INT(((CROQUIS!$C$97)-CROQUIS!$C$107)/MAX(CROQUIS!$C$137,1))+1)/80,1))))/2)+MIN(INT(($A223-1)/5),MAX((MAX(1,INT(((CROQUIS!$C$97)-CROQUIS!$C$107)/MAX((CROQUIS!$C$137*MAX(1,CEILING((INT(((CROQUIS!$C$97)-CROQUIS!$C$107)/MAX(CROQUIS!$C$137,1))+1)/80,1))),1))+1))-1,0))*(CROQUIS!$C$137*MAX(1,CEILING((INT(((CROQUIS!$C$97)-CROQUIS!$C$107)/MAX(CROQUIS!$C$137,1))+1)/80,1)))),CHOOSE(IF(INT(($A223-1)/5)&gt;MAX((MAX(1,INT(((CROQUIS!$C$97)-CROQUIS!$C$107)/MAX((CROQUIS!$C$137*MAX(1,CEILING((INT(((CROQUIS!$C$97)-CROQUIS!$C$107)/MAX(CROQUIS!$C$137,1))+1)/80,1))),1))+1))-1,0),0,MOD($A223-1,5))+1,0,2,CROQUIS!$C$98-2,2,0)))*CROQUIS!$C$159)+IF(CROQUIS!$C$92="X",0,0)),-1000)</f>
        <v>-1000</v>
      </c>
      <c r="BQ223">
        <f>IF(AND(CROQUIS!$C$88=1,CROQUIS!$C$137&gt;0),((CROQUIS!$C$161+(IF(CROQUIS!$C$92="X",CHOOSE(IF(INT(($A223-1)/5)&gt;MAX((MAX(1,INT(((CROQUIS!$C$97)-CROQUIS!$C$107)/MAX((CROQUIS!$C$137*MAX(1,CEILING((INT(((CROQUIS!$C$97)-CROQUIS!$C$107)/MAX(CROQUIS!$C$137,1))+1)/80,1))),1))+1))-1,0),0,MOD($A223-1,5))+1,0,2,CROQUIS!$C$98-2,2,0),((CROQUIS!$C$107/2+(((CROQUIS!$C$97)-CROQUIS!$C$107)-(MAX(1,INT(((CROQUIS!$C$97)-CROQUIS!$C$107)/MAX((CROQUIS!$C$137*MAX(1,CEILING((INT(((CROQUIS!$C$97)-CROQUIS!$C$107)/MAX(CROQUIS!$C$137,1))+1)/80,1))),1))+1)-1)*(CROQUIS!$C$137*MAX(1,CEILING((INT(((CROQUIS!$C$97)-CROQUIS!$C$107)/MAX(CROQUIS!$C$137,1))+1)/80,1))))/2)+MIN(INT(($A223-1)/5),MAX((MAX(1,INT(((CROQUIS!$C$97)-CROQUIS!$C$107)/MAX((CROQUIS!$C$137*MAX(1,CEILING((INT(((CROQUIS!$C$97)-CROQUIS!$C$107)/MAX(CROQUIS!$C$137,1))+1)/80,1))),1))+1))-1,0))*(CROQUIS!$C$137*MAX(1,CEILING((INT(((CROQUIS!$C$97)-CROQUIS!$C$107)/MAX(CROQUIS!$C$137,1))+1)/80,1))))))*CROQUIS!$C$159)+IF(CROQUIS!$C$92="X",0,0)),-1000)</f>
        <v>-1000</v>
      </c>
      <c r="BR223">
        <f>IF(AND(CROQUIS!$C$88=1,CROQUIS!$C$91=0,CROQUIS!$C$133&gt;0,OR(CROQUIS!$C$103=1,CROQUIS!$C$145=1)),((CROQUIS!$C$160+(IF(CROQUIS!$C$92="X",CHOOSE(IF(INT(($A223-1)/5)&gt;MAX((MAX(1,INT(((CROQUIS!$C$98)-CROQUIS!$C$107)/MAX((CROQUIS!$C$133*MAX(1,CEILING((INT(((CROQUIS!$C$98)-CROQUIS!$C$107)/MAX(CROQUIS!$C$133,1))+1)/80,1))),1))+1))-1,0),0,MOD($A223-1,5))+1,0,IF(CROQUIS!$C$103=1,-12,2),CROQUIS!$C$107/2+CROQUIS!$C$143,IF(CROQUIS!$C$103=1,-12,2),0),((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BS2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+1,0,IF(CROQUIS!$C$103=1,-12,2),CROQUIS!$C$107/2+CROQUIS!$C$143,IF(CROQUIS!$C$103=1,-12,2),0)))*CROQUIS!$C$159)+IF(CROQUIS!$C$92="X",0.8,0)),-1000)</f>
        <v>-1000</v>
      </c>
      <c r="BT223">
        <f>IF(AND(CROQUIS!$C$88=1,CROQUIS!$C$91=0,CROQUIS!$C$133&gt;0,OR(CROQUIS!$C$104=1,CROQUIS!$C$145=1)),((CROQUIS!$C$160+(IF(CROQUIS!$C$92="X",CHOOSE(IF(INT(($A223-1)/5)&gt;MAX((MAX(1,INT(((CROQUIS!$C$98)-CROQUIS!$C$107)/MAX((CROQUIS!$C$133*MAX(1,CEILING((INT(((CROQUIS!$C$98)-CROQUIS!$C$107)/MAX(CROQUIS!$C$133,1))+1)/80,1))),1))+1))-1,0),0,MOD($A223-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BU2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CROQUIS!$C$97,CROQUIS!$C$97-CROQUIS!$C$107/2-CROQUIS!$C$143,IF(CROQUIS!$C$104=1,CROQUIS!$C$97+12,CROQUIS!$C$97-2),CROQUIS!$C$97-CROQUIS!$C$107/2-CROQUIS!$C$143,CROQUIS!$C$97)))*CROQUIS!$C$159)+IF(CROQUIS!$C$92="X",0.8,0)),-1000)</f>
        <v>-1000</v>
      </c>
      <c r="BV2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HOOSE(IF(INT(($A223-1)/5)&gt;MAX((MAX(1,INT(((CROQUIS!$C$97)-CROQUIS!$C$107)/MAX((CROQUIS!$C$141*MAX(1,CEILING((INT(((CROQUIS!$C$97)-CROQUIS!$C$107)/MAX(CROQUIS!$C$141,1))+1)/80,1))),1))+1))-1,0),0,MOD($A223-1,5))+1,0,IF(CROQUIS!$C$105=1,-12,2),CROQUIS!$C$107/2+CROQUIS!$C$144,IF(CROQUIS!$C$105=1,-12,2),0)))*CROQUIS!$C$159)+IF(CROQUIS!$C$92="X",0.8,0)),-1000)</f>
        <v>-1000</v>
      </c>
      <c r="BW223">
        <f>IF(AND(CROQUIS!$C$88=1,CROQUIS!$C$91=0,CROQUIS!$C$141&gt;0,OR(CROQUIS!$C$105=1,CROQUIS!$C$146=1)),((CROQUIS!$C$161+(IF(CROQUIS!$C$92="X",CHOOSE(IF(INT(($A223-1)/5)&gt;MAX((MAX(1,INT(((CROQUIS!$C$97)-CROQUIS!$C$107)/MAX((CROQUIS!$C$141*MAX(1,CEILING((INT(((CROQUIS!$C$97)-CROQUIS!$C$107)/MAX(CROQUIS!$C$141,1))+1)/80,1))),1))+1))-1,0),0,MOD($A223-1,5))+1,0,IF(CROQUIS!$C$105=1,-12,2),CROQUIS!$C$107/2+CROQUIS!$C$144,IF(CROQUIS!$C$105=1,-12,2),0),((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ROQUIS!$C$159)+IF(CROQUIS!$C$92="X",0,0.8)),-1000)</f>
        <v>-1000</v>
      </c>
      <c r="BX2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HOOSE(IF(INT(($A223-1)/5)&gt;MAX((MAX(1,INT(((CROQUIS!$C$97)-CROQUIS!$C$107)/MAX((CROQUIS!$C$141*MAX(1,CEILING((INT(((CROQUIS!$C$97)-CROQUIS!$C$107)/MAX(CROQUIS!$C$141,1))+1)/80,1))),1))+1))-1,0),0,MOD($A223-1,5))+1,CROQUIS!$C$98,CROQUIS!$C$98-CROQUIS!$C$107/2-CROQUIS!$C$144,IF(CROQUIS!$C$106=1,CROQUIS!$C$98+12,CROQUIS!$C$98-2),CROQUIS!$C$98-CROQUIS!$C$107/2-CROQUIS!$C$144,CROQUIS!$C$98)))*CROQUIS!$C$159)+IF(CROQUIS!$C$92="X",0.8,0)),-1000)</f>
        <v>-1000</v>
      </c>
      <c r="BY223">
        <f>IF(AND(CROQUIS!$C$88=1,CROQUIS!$C$91=0,CROQUIS!$C$141&gt;0,OR(CROQUIS!$C$106=1,CROQUIS!$C$146=1)),((CROQUIS!$C$161+(IF(CROQUIS!$C$92="X",CHOOSE(IF(INT(($A223-1)/5)&gt;MAX((MAX(1,INT(((CROQUIS!$C$97)-CROQUIS!$C$107)/MAX((CROQUIS!$C$141*MAX(1,CEILING((INT(((CROQUIS!$C$97)-CROQUIS!$C$107)/MAX(CROQUIS!$C$141,1))+1)/80,1))),1))+1))-1,0),0,MOD($A223-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ROQUIS!$C$159)+IF(CROQUIS!$C$92="X",0,0.8)),-1000)</f>
        <v>-1000</v>
      </c>
      <c r="BZ223">
        <f>IF(AND(CROQUIS!$C$88=1,CROQUIS!$C$91=1,CROQUIS!$C$133&gt;0),((CROQUIS!$C$160+(IF(CROQUIS!$C$92="X",CHOOSE(IF(INT(($A223-1)/5)&gt;MAX((MAX(1,INT(((CROQUIS!$C$98)-CROQUIS!$C$107)/MAX((CROQUIS!$C$133*MAX(1,CEILING((INT(((CROQUIS!$C$98)-CROQUIS!$C$107)/MAX(CROQUIS!$C$133,1))+1)/80,1))),1))+1))-1,0),0,MOD($A223-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CA223">
        <f>IF(AND(CROQUIS!$C$88=1,CROQUIS!$C$91=1,CROQUIS!$C$133&gt;0),((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4">
      <c r="A224" t="n">
        <v>217</v>
      </c>
      <c r="BN224">
        <f>IF(AND(CROQUIS!$C$88=1,CROQUIS!$C$129&gt;0),((CROQUIS!$C$160+(IF(CROQUIS!$C$92="X",CHOOSE(IF(INT(($A224-1)/5)&gt;MAX((MAX(1,INT(((CROQUIS!$C$98)-CROQUIS!$C$107)/MAX((CROQUIS!$C$129*MAX(1,CEILING((INT(((CROQUIS!$C$98)-CROQUIS!$C$107)/MAX(CROQUIS!$C$129,1))+1)/80,1))),1))+1))-1,0),0,MOD($A224-1,5))+1,0,2,CROQUIS!$C$97-2,2,0),((CROQUIS!$C$107/2+(((CROQUIS!$C$98)-CROQUIS!$C$107)-(MAX(1,INT(((CROQUIS!$C$98)-CROQUIS!$C$107)/MAX((CROQUIS!$C$129*MAX(1,CEILING((INT(((CROQUIS!$C$98)-CROQUIS!$C$107)/MAX(CROQUIS!$C$129,1))+1)/80,1))),1))+1)-1)*(CROQUIS!$C$129*MAX(1,CEILING((INT(((CROQUIS!$C$98)-CROQUIS!$C$107)/MAX(CROQUIS!$C$129,1))+1)/80,1))))/2)+MIN(INT(($A224-1)/5),MAX((MAX(1,INT(((CROQUIS!$C$98)-CROQUIS!$C$107)/MAX((CROQUIS!$C$129*MAX(1,CEILING((INT(((CROQUIS!$C$98)-CROQUIS!$C$107)/MAX(CROQUIS!$C$129,1))+1)/80,1))),1))+1))-1,0))*(CROQUIS!$C$129*MAX(1,CEILING((INT(((CROQUIS!$C$98)-CROQUIS!$C$107)/MAX(CROQUIS!$C$129,1))+1)/80,1))))))*CROQUIS!$C$159)+IF(CROQUIS!$C$92="X",0,0)),-1000)</f>
        <v>-1000</v>
      </c>
      <c r="BO224">
        <f>IF(AND(CROQUIS!$C$88=1,CROQUIS!$C$129&gt;0),((CROQUIS!$C$161+(IF(CROQUIS!$C$92="X",((CROQUIS!$C$107/2+(((CROQUIS!$C$98)-CROQUIS!$C$107)-(MAX(1,INT(((CROQUIS!$C$98)-CROQUIS!$C$107)/MAX((CROQUIS!$C$129*MAX(1,CEILING((INT(((CROQUIS!$C$98)-CROQUIS!$C$107)/MAX(CROQUIS!$C$129,1))+1)/80,1))),1))+1)-1)*(CROQUIS!$C$129*MAX(1,CEILING((INT(((CROQUIS!$C$98)-CROQUIS!$C$107)/MAX(CROQUIS!$C$129,1))+1)/80,1))))/2)+MIN(INT(($A224-1)/5),MAX((MAX(1,INT(((CROQUIS!$C$98)-CROQUIS!$C$107)/MAX((CROQUIS!$C$129*MAX(1,CEILING((INT(((CROQUIS!$C$98)-CROQUIS!$C$107)/MAX(CROQUIS!$C$129,1))+1)/80,1))),1))+1))-1,0))*(CROQUIS!$C$129*MAX(1,CEILING((INT(((CROQUIS!$C$98)-CROQUIS!$C$107)/MAX(CROQUIS!$C$129,1))+1)/80,1)))),CHOOSE(IF(INT(($A224-1)/5)&gt;MAX((MAX(1,INT(((CROQUIS!$C$98)-CROQUIS!$C$107)/MAX((CROQUIS!$C$129*MAX(1,CEILING((INT(((CROQUIS!$C$98)-CROQUIS!$C$107)/MAX(CROQUIS!$C$129,1))+1)/80,1))),1))+1))-1,0),0,MOD($A224-1,5))+1,0,2,CROQUIS!$C$97-2,2,0)))*CROQUIS!$C$159)+IF(CROQUIS!$C$92="X",0,0)),-1000)</f>
        <v>-1000</v>
      </c>
      <c r="BP224">
        <f>IF(AND(CROQUIS!$C$88=1,CROQUIS!$C$137&gt;0),((CROQUIS!$C$160+(IF(CROQUIS!$C$92="X",((CROQUIS!$C$107/2+(((CROQUIS!$C$97)-CROQUIS!$C$107)-(MAX(1,INT(((CROQUIS!$C$97)-CROQUIS!$C$107)/MAX((CROQUIS!$C$137*MAX(1,CEILING((INT(((CROQUIS!$C$97)-CROQUIS!$C$107)/MAX(CROQUIS!$C$137,1))+1)/80,1))),1))+1)-1)*(CROQUIS!$C$137*MAX(1,CEILING((INT(((CROQUIS!$C$97)-CROQUIS!$C$107)/MAX(CROQUIS!$C$137,1))+1)/80,1))))/2)+MIN(INT(($A224-1)/5),MAX((MAX(1,INT(((CROQUIS!$C$97)-CROQUIS!$C$107)/MAX((CROQUIS!$C$137*MAX(1,CEILING((INT(((CROQUIS!$C$97)-CROQUIS!$C$107)/MAX(CROQUIS!$C$137,1))+1)/80,1))),1))+1))-1,0))*(CROQUIS!$C$137*MAX(1,CEILING((INT(((CROQUIS!$C$97)-CROQUIS!$C$107)/MAX(CROQUIS!$C$137,1))+1)/80,1)))),CHOOSE(IF(INT(($A224-1)/5)&gt;MAX((MAX(1,INT(((CROQUIS!$C$97)-CROQUIS!$C$107)/MAX((CROQUIS!$C$137*MAX(1,CEILING((INT(((CROQUIS!$C$97)-CROQUIS!$C$107)/MAX(CROQUIS!$C$137,1))+1)/80,1))),1))+1))-1,0),0,MOD($A224-1,5))+1,0,2,CROQUIS!$C$98-2,2,0)))*CROQUIS!$C$159)+IF(CROQUIS!$C$92="X",0,0)),-1000)</f>
        <v>-1000</v>
      </c>
      <c r="BQ224">
        <f>IF(AND(CROQUIS!$C$88=1,CROQUIS!$C$137&gt;0),((CROQUIS!$C$161+(IF(CROQUIS!$C$92="X",CHOOSE(IF(INT(($A224-1)/5)&gt;MAX((MAX(1,INT(((CROQUIS!$C$97)-CROQUIS!$C$107)/MAX((CROQUIS!$C$137*MAX(1,CEILING((INT(((CROQUIS!$C$97)-CROQUIS!$C$107)/MAX(CROQUIS!$C$137,1))+1)/80,1))),1))+1))-1,0),0,MOD($A224-1,5))+1,0,2,CROQUIS!$C$98-2,2,0),((CROQUIS!$C$107/2+(((CROQUIS!$C$97)-CROQUIS!$C$107)-(MAX(1,INT(((CROQUIS!$C$97)-CROQUIS!$C$107)/MAX((CROQUIS!$C$137*MAX(1,CEILING((INT(((CROQUIS!$C$97)-CROQUIS!$C$107)/MAX(CROQUIS!$C$137,1))+1)/80,1))),1))+1)-1)*(CROQUIS!$C$137*MAX(1,CEILING((INT(((CROQUIS!$C$97)-CROQUIS!$C$107)/MAX(CROQUIS!$C$137,1))+1)/80,1))))/2)+MIN(INT(($A224-1)/5),MAX((MAX(1,INT(((CROQUIS!$C$97)-CROQUIS!$C$107)/MAX((CROQUIS!$C$137*MAX(1,CEILING((INT(((CROQUIS!$C$97)-CROQUIS!$C$107)/MAX(CROQUIS!$C$137,1))+1)/80,1))),1))+1))-1,0))*(CROQUIS!$C$137*MAX(1,CEILING((INT(((CROQUIS!$C$97)-CROQUIS!$C$107)/MAX(CROQUIS!$C$137,1))+1)/80,1))))))*CROQUIS!$C$159)+IF(CROQUIS!$C$92="X",0,0)),-1000)</f>
        <v>-1000</v>
      </c>
      <c r="BR224">
        <f>IF(AND(CROQUIS!$C$88=1,CROQUIS!$C$91=0,CROQUIS!$C$133&gt;0,OR(CROQUIS!$C$103=1,CROQUIS!$C$145=1)),((CROQUIS!$C$160+(IF(CROQUIS!$C$92="X",CHOOSE(IF(INT(($A224-1)/5)&gt;MAX((MAX(1,INT(((CROQUIS!$C$98)-CROQUIS!$C$107)/MAX((CROQUIS!$C$133*MAX(1,CEILING((INT(((CROQUIS!$C$98)-CROQUIS!$C$107)/MAX(CROQUIS!$C$133,1))+1)/80,1))),1))+1))-1,0),0,MOD($A224-1,5))+1,0,IF(CROQUIS!$C$103=1,-12,2),CROQUIS!$C$107/2+CROQUIS!$C$143,IF(CROQUIS!$C$103=1,-12,2),0),((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BS2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+1,0,IF(CROQUIS!$C$103=1,-12,2),CROQUIS!$C$107/2+CROQUIS!$C$143,IF(CROQUIS!$C$103=1,-12,2),0)))*CROQUIS!$C$159)+IF(CROQUIS!$C$92="X",0.8,0)),-1000)</f>
        <v>-1000</v>
      </c>
      <c r="BT224">
        <f>IF(AND(CROQUIS!$C$88=1,CROQUIS!$C$91=0,CROQUIS!$C$133&gt;0,OR(CROQUIS!$C$104=1,CROQUIS!$C$145=1)),((CROQUIS!$C$160+(IF(CROQUIS!$C$92="X",CHOOSE(IF(INT(($A224-1)/5)&gt;MAX((MAX(1,INT(((CROQUIS!$C$98)-CROQUIS!$C$107)/MAX((CROQUIS!$C$133*MAX(1,CEILING((INT(((CROQUIS!$C$98)-CROQUIS!$C$107)/MAX(CROQUIS!$C$133,1))+1)/80,1))),1))+1))-1,0),0,MOD($A224-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BU2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CROQUIS!$C$97,CROQUIS!$C$97-CROQUIS!$C$107/2-CROQUIS!$C$143,IF(CROQUIS!$C$104=1,CROQUIS!$C$97+12,CROQUIS!$C$97-2),CROQUIS!$C$97-CROQUIS!$C$107/2-CROQUIS!$C$143,CROQUIS!$C$97)))*CROQUIS!$C$159)+IF(CROQUIS!$C$92="X",0.8,0)),-1000)</f>
        <v>-1000</v>
      </c>
      <c r="BV2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HOOSE(IF(INT(($A224-1)/5)&gt;MAX((MAX(1,INT(((CROQUIS!$C$97)-CROQUIS!$C$107)/MAX((CROQUIS!$C$141*MAX(1,CEILING((INT(((CROQUIS!$C$97)-CROQUIS!$C$107)/MAX(CROQUIS!$C$141,1))+1)/80,1))),1))+1))-1,0),0,MOD($A224-1,5))+1,0,IF(CROQUIS!$C$105=1,-12,2),CROQUIS!$C$107/2+CROQUIS!$C$144,IF(CROQUIS!$C$105=1,-12,2),0)))*CROQUIS!$C$159)+IF(CROQUIS!$C$92="X",0.8,0)),-1000)</f>
        <v>-1000</v>
      </c>
      <c r="BW224">
        <f>IF(AND(CROQUIS!$C$88=1,CROQUIS!$C$91=0,CROQUIS!$C$141&gt;0,OR(CROQUIS!$C$105=1,CROQUIS!$C$146=1)),((CROQUIS!$C$161+(IF(CROQUIS!$C$92="X",CHOOSE(IF(INT(($A224-1)/5)&gt;MAX((MAX(1,INT(((CROQUIS!$C$97)-CROQUIS!$C$107)/MAX((CROQUIS!$C$141*MAX(1,CEILING((INT(((CROQUIS!$C$97)-CROQUIS!$C$107)/MAX(CROQUIS!$C$141,1))+1)/80,1))),1))+1))-1,0),0,MOD($A224-1,5))+1,0,IF(CROQUIS!$C$105=1,-12,2),CROQUIS!$C$107/2+CROQUIS!$C$144,IF(CROQUIS!$C$105=1,-12,2),0),((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ROQUIS!$C$159)+IF(CROQUIS!$C$92="X",0,0.8)),-1000)</f>
        <v>-1000</v>
      </c>
      <c r="BX2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HOOSE(IF(INT(($A224-1)/5)&gt;MAX((MAX(1,INT(((CROQUIS!$C$97)-CROQUIS!$C$107)/MAX((CROQUIS!$C$141*MAX(1,CEILING((INT(((CROQUIS!$C$97)-CROQUIS!$C$107)/MAX(CROQUIS!$C$141,1))+1)/80,1))),1))+1))-1,0),0,MOD($A224-1,5))+1,CROQUIS!$C$98,CROQUIS!$C$98-CROQUIS!$C$107/2-CROQUIS!$C$144,IF(CROQUIS!$C$106=1,CROQUIS!$C$98+12,CROQUIS!$C$98-2),CROQUIS!$C$98-CROQUIS!$C$107/2-CROQUIS!$C$144,CROQUIS!$C$98)))*CROQUIS!$C$159)+IF(CROQUIS!$C$92="X",0.8,0)),-1000)</f>
        <v>-1000</v>
      </c>
      <c r="BY224">
        <f>IF(AND(CROQUIS!$C$88=1,CROQUIS!$C$91=0,CROQUIS!$C$141&gt;0,OR(CROQUIS!$C$106=1,CROQUIS!$C$146=1)),((CROQUIS!$C$161+(IF(CROQUIS!$C$92="X",CHOOSE(IF(INT(($A224-1)/5)&gt;MAX((MAX(1,INT(((CROQUIS!$C$97)-CROQUIS!$C$107)/MAX((CROQUIS!$C$141*MAX(1,CEILING((INT(((CROQUIS!$C$97)-CROQUIS!$C$107)/MAX(CROQUIS!$C$141,1))+1)/80,1))),1))+1))-1,0),0,MOD($A224-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ROQUIS!$C$159)+IF(CROQUIS!$C$92="X",0,0.8)),-1000)</f>
        <v>-1000</v>
      </c>
      <c r="BZ224">
        <f>IF(AND(CROQUIS!$C$88=1,CROQUIS!$C$91=1,CROQUIS!$C$133&gt;0),((CROQUIS!$C$160+(IF(CROQUIS!$C$92="X",CHOOSE(IF(INT(($A224-1)/5)&gt;MAX((MAX(1,INT(((CROQUIS!$C$98)-CROQUIS!$C$107)/MAX((CROQUIS!$C$133*MAX(1,CEILING((INT(((CROQUIS!$C$98)-CROQUIS!$C$107)/MAX(CROQUIS!$C$133,1))+1)/80,1))),1))+1))-1,0),0,MOD($A224-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CA224">
        <f>IF(AND(CROQUIS!$C$88=1,CROQUIS!$C$91=1,CROQUIS!$C$133&gt;0),((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5">
      <c r="A225" t="n">
        <v>218</v>
      </c>
      <c r="BN225">
        <f>IF(AND(CROQUIS!$C$88=1,CROQUIS!$C$129&gt;0),((CROQUIS!$C$160+(IF(CROQUIS!$C$92="X",CHOOSE(IF(INT(($A225-1)/5)&gt;MAX((MAX(1,INT(((CROQUIS!$C$98)-CROQUIS!$C$107)/MAX((CROQUIS!$C$129*MAX(1,CEILING((INT(((CROQUIS!$C$98)-CROQUIS!$C$107)/MAX(CROQUIS!$C$129,1))+1)/80,1))),1))+1))-1,0),0,MOD($A225-1,5))+1,0,2,CROQUIS!$C$97-2,2,0),((CROQUIS!$C$107/2+(((CROQUIS!$C$98)-CROQUIS!$C$107)-(MAX(1,INT(((CROQUIS!$C$98)-CROQUIS!$C$107)/MAX((CROQUIS!$C$129*MAX(1,CEILING((INT(((CROQUIS!$C$98)-CROQUIS!$C$107)/MAX(CROQUIS!$C$129,1))+1)/80,1))),1))+1)-1)*(CROQUIS!$C$129*MAX(1,CEILING((INT(((CROQUIS!$C$98)-CROQUIS!$C$107)/MAX(CROQUIS!$C$129,1))+1)/80,1))))/2)+MIN(INT(($A225-1)/5),MAX((MAX(1,INT(((CROQUIS!$C$98)-CROQUIS!$C$107)/MAX((CROQUIS!$C$129*MAX(1,CEILING((INT(((CROQUIS!$C$98)-CROQUIS!$C$107)/MAX(CROQUIS!$C$129,1))+1)/80,1))),1))+1))-1,0))*(CROQUIS!$C$129*MAX(1,CEILING((INT(((CROQUIS!$C$98)-CROQUIS!$C$107)/MAX(CROQUIS!$C$129,1))+1)/80,1))))))*CROQUIS!$C$159)+IF(CROQUIS!$C$92="X",0,0)),-1000)</f>
        <v>-1000</v>
      </c>
      <c r="BO225">
        <f>IF(AND(CROQUIS!$C$88=1,CROQUIS!$C$129&gt;0),((CROQUIS!$C$161+(IF(CROQUIS!$C$92="X",((CROQUIS!$C$107/2+(((CROQUIS!$C$98)-CROQUIS!$C$107)-(MAX(1,INT(((CROQUIS!$C$98)-CROQUIS!$C$107)/MAX((CROQUIS!$C$129*MAX(1,CEILING((INT(((CROQUIS!$C$98)-CROQUIS!$C$107)/MAX(CROQUIS!$C$129,1))+1)/80,1))),1))+1)-1)*(CROQUIS!$C$129*MAX(1,CEILING((INT(((CROQUIS!$C$98)-CROQUIS!$C$107)/MAX(CROQUIS!$C$129,1))+1)/80,1))))/2)+MIN(INT(($A225-1)/5),MAX((MAX(1,INT(((CROQUIS!$C$98)-CROQUIS!$C$107)/MAX((CROQUIS!$C$129*MAX(1,CEILING((INT(((CROQUIS!$C$98)-CROQUIS!$C$107)/MAX(CROQUIS!$C$129,1))+1)/80,1))),1))+1))-1,0))*(CROQUIS!$C$129*MAX(1,CEILING((INT(((CROQUIS!$C$98)-CROQUIS!$C$107)/MAX(CROQUIS!$C$129,1))+1)/80,1)))),CHOOSE(IF(INT(($A225-1)/5)&gt;MAX((MAX(1,INT(((CROQUIS!$C$98)-CROQUIS!$C$107)/MAX((CROQUIS!$C$129*MAX(1,CEILING((INT(((CROQUIS!$C$98)-CROQUIS!$C$107)/MAX(CROQUIS!$C$129,1))+1)/80,1))),1))+1))-1,0),0,MOD($A225-1,5))+1,0,2,CROQUIS!$C$97-2,2,0)))*CROQUIS!$C$159)+IF(CROQUIS!$C$92="X",0,0)),-1000)</f>
        <v>-1000</v>
      </c>
      <c r="BP225">
        <f>IF(AND(CROQUIS!$C$88=1,CROQUIS!$C$137&gt;0),((CROQUIS!$C$160+(IF(CROQUIS!$C$92="X",((CROQUIS!$C$107/2+(((CROQUIS!$C$97)-CROQUIS!$C$107)-(MAX(1,INT(((CROQUIS!$C$97)-CROQUIS!$C$107)/MAX((CROQUIS!$C$137*MAX(1,CEILING((INT(((CROQUIS!$C$97)-CROQUIS!$C$107)/MAX(CROQUIS!$C$137,1))+1)/80,1))),1))+1)-1)*(CROQUIS!$C$137*MAX(1,CEILING((INT(((CROQUIS!$C$97)-CROQUIS!$C$107)/MAX(CROQUIS!$C$137,1))+1)/80,1))))/2)+MIN(INT(($A225-1)/5),MAX((MAX(1,INT(((CROQUIS!$C$97)-CROQUIS!$C$107)/MAX((CROQUIS!$C$137*MAX(1,CEILING((INT(((CROQUIS!$C$97)-CROQUIS!$C$107)/MAX(CROQUIS!$C$137,1))+1)/80,1))),1))+1))-1,0))*(CROQUIS!$C$137*MAX(1,CEILING((INT(((CROQUIS!$C$97)-CROQUIS!$C$107)/MAX(CROQUIS!$C$137,1))+1)/80,1)))),CHOOSE(IF(INT(($A225-1)/5)&gt;MAX((MAX(1,INT(((CROQUIS!$C$97)-CROQUIS!$C$107)/MAX((CROQUIS!$C$137*MAX(1,CEILING((INT(((CROQUIS!$C$97)-CROQUIS!$C$107)/MAX(CROQUIS!$C$137,1))+1)/80,1))),1))+1))-1,0),0,MOD($A225-1,5))+1,0,2,CROQUIS!$C$98-2,2,0)))*CROQUIS!$C$159)+IF(CROQUIS!$C$92="X",0,0)),-1000)</f>
        <v>-1000</v>
      </c>
      <c r="BQ225">
        <f>IF(AND(CROQUIS!$C$88=1,CROQUIS!$C$137&gt;0),((CROQUIS!$C$161+(IF(CROQUIS!$C$92="X",CHOOSE(IF(INT(($A225-1)/5)&gt;MAX((MAX(1,INT(((CROQUIS!$C$97)-CROQUIS!$C$107)/MAX((CROQUIS!$C$137*MAX(1,CEILING((INT(((CROQUIS!$C$97)-CROQUIS!$C$107)/MAX(CROQUIS!$C$137,1))+1)/80,1))),1))+1))-1,0),0,MOD($A225-1,5))+1,0,2,CROQUIS!$C$98-2,2,0),((CROQUIS!$C$107/2+(((CROQUIS!$C$97)-CROQUIS!$C$107)-(MAX(1,INT(((CROQUIS!$C$97)-CROQUIS!$C$107)/MAX((CROQUIS!$C$137*MAX(1,CEILING((INT(((CROQUIS!$C$97)-CROQUIS!$C$107)/MAX(CROQUIS!$C$137,1))+1)/80,1))),1))+1)-1)*(CROQUIS!$C$137*MAX(1,CEILING((INT(((CROQUIS!$C$97)-CROQUIS!$C$107)/MAX(CROQUIS!$C$137,1))+1)/80,1))))/2)+MIN(INT(($A225-1)/5),MAX((MAX(1,INT(((CROQUIS!$C$97)-CROQUIS!$C$107)/MAX((CROQUIS!$C$137*MAX(1,CEILING((INT(((CROQUIS!$C$97)-CROQUIS!$C$107)/MAX(CROQUIS!$C$137,1))+1)/80,1))),1))+1))-1,0))*(CROQUIS!$C$137*MAX(1,CEILING((INT(((CROQUIS!$C$97)-CROQUIS!$C$107)/MAX(CROQUIS!$C$137,1))+1)/80,1))))))*CROQUIS!$C$159)+IF(CROQUIS!$C$92="X",0,0)),-1000)</f>
        <v>-1000</v>
      </c>
      <c r="BR225">
        <f>IF(AND(CROQUIS!$C$88=1,CROQUIS!$C$91=0,CROQUIS!$C$133&gt;0,OR(CROQUIS!$C$103=1,CROQUIS!$C$145=1)),((CROQUIS!$C$160+(IF(CROQUIS!$C$92="X",CHOOSE(IF(INT(($A225-1)/5)&gt;MAX((MAX(1,INT(((CROQUIS!$C$98)-CROQUIS!$C$107)/MAX((CROQUIS!$C$133*MAX(1,CEILING((INT(((CROQUIS!$C$98)-CROQUIS!$C$107)/MAX(CROQUIS!$C$133,1))+1)/80,1))),1))+1))-1,0),0,MOD($A225-1,5))+1,0,IF(CROQUIS!$C$103=1,-12,2),CROQUIS!$C$107/2+CROQUIS!$C$143,IF(CROQUIS!$C$103=1,-12,2),0),((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BS2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+1,0,IF(CROQUIS!$C$103=1,-12,2),CROQUIS!$C$107/2+CROQUIS!$C$143,IF(CROQUIS!$C$103=1,-12,2),0)))*CROQUIS!$C$159)+IF(CROQUIS!$C$92="X",0.8,0)),-1000)</f>
        <v>-1000</v>
      </c>
      <c r="BT225">
        <f>IF(AND(CROQUIS!$C$88=1,CROQUIS!$C$91=0,CROQUIS!$C$133&gt;0,OR(CROQUIS!$C$104=1,CROQUIS!$C$145=1)),((CROQUIS!$C$160+(IF(CROQUIS!$C$92="X",CHOOSE(IF(INT(($A225-1)/5)&gt;MAX((MAX(1,INT(((CROQUIS!$C$98)-CROQUIS!$C$107)/MAX((CROQUIS!$C$133*MAX(1,CEILING((INT(((CROQUIS!$C$98)-CROQUIS!$C$107)/MAX(CROQUIS!$C$133,1))+1)/80,1))),1))+1))-1,0),0,MOD($A225-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BU2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CROQUIS!$C$97,CROQUIS!$C$97-CROQUIS!$C$107/2-CROQUIS!$C$143,IF(CROQUIS!$C$104=1,CROQUIS!$C$97+12,CROQUIS!$C$97-2),CROQUIS!$C$97-CROQUIS!$C$107/2-CROQUIS!$C$143,CROQUIS!$C$97)))*CROQUIS!$C$159)+IF(CROQUIS!$C$92="X",0.8,0)),-1000)</f>
        <v>-1000</v>
      </c>
      <c r="BV2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HOOSE(IF(INT(($A225-1)/5)&gt;MAX((MAX(1,INT(((CROQUIS!$C$97)-CROQUIS!$C$107)/MAX((CROQUIS!$C$141*MAX(1,CEILING((INT(((CROQUIS!$C$97)-CROQUIS!$C$107)/MAX(CROQUIS!$C$141,1))+1)/80,1))),1))+1))-1,0),0,MOD($A225-1,5))+1,0,IF(CROQUIS!$C$105=1,-12,2),CROQUIS!$C$107/2+CROQUIS!$C$144,IF(CROQUIS!$C$105=1,-12,2),0)))*CROQUIS!$C$159)+IF(CROQUIS!$C$92="X",0.8,0)),-1000)</f>
        <v>-1000</v>
      </c>
      <c r="BW225">
        <f>IF(AND(CROQUIS!$C$88=1,CROQUIS!$C$91=0,CROQUIS!$C$141&gt;0,OR(CROQUIS!$C$105=1,CROQUIS!$C$146=1)),((CROQUIS!$C$161+(IF(CROQUIS!$C$92="X",CHOOSE(IF(INT(($A225-1)/5)&gt;MAX((MAX(1,INT(((CROQUIS!$C$97)-CROQUIS!$C$107)/MAX((CROQUIS!$C$141*MAX(1,CEILING((INT(((CROQUIS!$C$97)-CROQUIS!$C$107)/MAX(CROQUIS!$C$141,1))+1)/80,1))),1))+1))-1,0),0,MOD($A225-1,5))+1,0,IF(CROQUIS!$C$105=1,-12,2),CROQUIS!$C$107/2+CROQUIS!$C$144,IF(CROQUIS!$C$105=1,-12,2),0),((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ROQUIS!$C$159)+IF(CROQUIS!$C$92="X",0,0.8)),-1000)</f>
        <v>-1000</v>
      </c>
      <c r="BX2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HOOSE(IF(INT(($A225-1)/5)&gt;MAX((MAX(1,INT(((CROQUIS!$C$97)-CROQUIS!$C$107)/MAX((CROQUIS!$C$141*MAX(1,CEILING((INT(((CROQUIS!$C$97)-CROQUIS!$C$107)/MAX(CROQUIS!$C$141,1))+1)/80,1))),1))+1))-1,0),0,MOD($A225-1,5))+1,CROQUIS!$C$98,CROQUIS!$C$98-CROQUIS!$C$107/2-CROQUIS!$C$144,IF(CROQUIS!$C$106=1,CROQUIS!$C$98+12,CROQUIS!$C$98-2),CROQUIS!$C$98-CROQUIS!$C$107/2-CROQUIS!$C$144,CROQUIS!$C$98)))*CROQUIS!$C$159)+IF(CROQUIS!$C$92="X",0.8,0)),-1000)</f>
        <v>-1000</v>
      </c>
      <c r="BY225">
        <f>IF(AND(CROQUIS!$C$88=1,CROQUIS!$C$91=0,CROQUIS!$C$141&gt;0,OR(CROQUIS!$C$106=1,CROQUIS!$C$146=1)),((CROQUIS!$C$161+(IF(CROQUIS!$C$92="X",CHOOSE(IF(INT(($A225-1)/5)&gt;MAX((MAX(1,INT(((CROQUIS!$C$97)-CROQUIS!$C$107)/MAX((CROQUIS!$C$141*MAX(1,CEILING((INT(((CROQUIS!$C$97)-CROQUIS!$C$107)/MAX(CROQUIS!$C$141,1))+1)/80,1))),1))+1))-1,0),0,MOD($A225-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ROQUIS!$C$159)+IF(CROQUIS!$C$92="X",0,0.8)),-1000)</f>
        <v>-1000</v>
      </c>
      <c r="BZ225">
        <f>IF(AND(CROQUIS!$C$88=1,CROQUIS!$C$91=1,CROQUIS!$C$133&gt;0),((CROQUIS!$C$160+(IF(CROQUIS!$C$92="X",CHOOSE(IF(INT(($A225-1)/5)&gt;MAX((MAX(1,INT(((CROQUIS!$C$98)-CROQUIS!$C$107)/MAX((CROQUIS!$C$133*MAX(1,CEILING((INT(((CROQUIS!$C$98)-CROQUIS!$C$107)/MAX(CROQUIS!$C$133,1))+1)/80,1))),1))+1))-1,0),0,MOD($A225-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CA225">
        <f>IF(AND(CROQUIS!$C$88=1,CROQUIS!$C$91=1,CROQUIS!$C$133&gt;0),((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6">
      <c r="A226" t="n">
        <v>219</v>
      </c>
      <c r="BN226">
        <f>IF(AND(CROQUIS!$C$88=1,CROQUIS!$C$129&gt;0),((CROQUIS!$C$160+(IF(CROQUIS!$C$92="X",CHOOSE(IF(INT(($A226-1)/5)&gt;MAX((MAX(1,INT(((CROQUIS!$C$98)-CROQUIS!$C$107)/MAX((CROQUIS!$C$129*MAX(1,CEILING((INT(((CROQUIS!$C$98)-CROQUIS!$C$107)/MAX(CROQUIS!$C$129,1))+1)/80,1))),1))+1))-1,0),0,MOD($A226-1,5))+1,0,2,CROQUIS!$C$97-2,2,0),((CROQUIS!$C$107/2+(((CROQUIS!$C$98)-CROQUIS!$C$107)-(MAX(1,INT(((CROQUIS!$C$98)-CROQUIS!$C$107)/MAX((CROQUIS!$C$129*MAX(1,CEILING((INT(((CROQUIS!$C$98)-CROQUIS!$C$107)/MAX(CROQUIS!$C$129,1))+1)/80,1))),1))+1)-1)*(CROQUIS!$C$129*MAX(1,CEILING((INT(((CROQUIS!$C$98)-CROQUIS!$C$107)/MAX(CROQUIS!$C$129,1))+1)/80,1))))/2)+MIN(INT(($A226-1)/5),MAX((MAX(1,INT(((CROQUIS!$C$98)-CROQUIS!$C$107)/MAX((CROQUIS!$C$129*MAX(1,CEILING((INT(((CROQUIS!$C$98)-CROQUIS!$C$107)/MAX(CROQUIS!$C$129,1))+1)/80,1))),1))+1))-1,0))*(CROQUIS!$C$129*MAX(1,CEILING((INT(((CROQUIS!$C$98)-CROQUIS!$C$107)/MAX(CROQUIS!$C$129,1))+1)/80,1))))))*CROQUIS!$C$159)+IF(CROQUIS!$C$92="X",0,0)),-1000)</f>
        <v>-1000</v>
      </c>
      <c r="BO226">
        <f>IF(AND(CROQUIS!$C$88=1,CROQUIS!$C$129&gt;0),((CROQUIS!$C$161+(IF(CROQUIS!$C$92="X",((CROQUIS!$C$107/2+(((CROQUIS!$C$98)-CROQUIS!$C$107)-(MAX(1,INT(((CROQUIS!$C$98)-CROQUIS!$C$107)/MAX((CROQUIS!$C$129*MAX(1,CEILING((INT(((CROQUIS!$C$98)-CROQUIS!$C$107)/MAX(CROQUIS!$C$129,1))+1)/80,1))),1))+1)-1)*(CROQUIS!$C$129*MAX(1,CEILING((INT(((CROQUIS!$C$98)-CROQUIS!$C$107)/MAX(CROQUIS!$C$129,1))+1)/80,1))))/2)+MIN(INT(($A226-1)/5),MAX((MAX(1,INT(((CROQUIS!$C$98)-CROQUIS!$C$107)/MAX((CROQUIS!$C$129*MAX(1,CEILING((INT(((CROQUIS!$C$98)-CROQUIS!$C$107)/MAX(CROQUIS!$C$129,1))+1)/80,1))),1))+1))-1,0))*(CROQUIS!$C$129*MAX(1,CEILING((INT(((CROQUIS!$C$98)-CROQUIS!$C$107)/MAX(CROQUIS!$C$129,1))+1)/80,1)))),CHOOSE(IF(INT(($A226-1)/5)&gt;MAX((MAX(1,INT(((CROQUIS!$C$98)-CROQUIS!$C$107)/MAX((CROQUIS!$C$129*MAX(1,CEILING((INT(((CROQUIS!$C$98)-CROQUIS!$C$107)/MAX(CROQUIS!$C$129,1))+1)/80,1))),1))+1))-1,0),0,MOD($A226-1,5))+1,0,2,CROQUIS!$C$97-2,2,0)))*CROQUIS!$C$159)+IF(CROQUIS!$C$92="X",0,0)),-1000)</f>
        <v>-1000</v>
      </c>
      <c r="BP226">
        <f>IF(AND(CROQUIS!$C$88=1,CROQUIS!$C$137&gt;0),((CROQUIS!$C$160+(IF(CROQUIS!$C$92="X",((CROQUIS!$C$107/2+(((CROQUIS!$C$97)-CROQUIS!$C$107)-(MAX(1,INT(((CROQUIS!$C$97)-CROQUIS!$C$107)/MAX((CROQUIS!$C$137*MAX(1,CEILING((INT(((CROQUIS!$C$97)-CROQUIS!$C$107)/MAX(CROQUIS!$C$137,1))+1)/80,1))),1))+1)-1)*(CROQUIS!$C$137*MAX(1,CEILING((INT(((CROQUIS!$C$97)-CROQUIS!$C$107)/MAX(CROQUIS!$C$137,1))+1)/80,1))))/2)+MIN(INT(($A226-1)/5),MAX((MAX(1,INT(((CROQUIS!$C$97)-CROQUIS!$C$107)/MAX((CROQUIS!$C$137*MAX(1,CEILING((INT(((CROQUIS!$C$97)-CROQUIS!$C$107)/MAX(CROQUIS!$C$137,1))+1)/80,1))),1))+1))-1,0))*(CROQUIS!$C$137*MAX(1,CEILING((INT(((CROQUIS!$C$97)-CROQUIS!$C$107)/MAX(CROQUIS!$C$137,1))+1)/80,1)))),CHOOSE(IF(INT(($A226-1)/5)&gt;MAX((MAX(1,INT(((CROQUIS!$C$97)-CROQUIS!$C$107)/MAX((CROQUIS!$C$137*MAX(1,CEILING((INT(((CROQUIS!$C$97)-CROQUIS!$C$107)/MAX(CROQUIS!$C$137,1))+1)/80,1))),1))+1))-1,0),0,MOD($A226-1,5))+1,0,2,CROQUIS!$C$98-2,2,0)))*CROQUIS!$C$159)+IF(CROQUIS!$C$92="X",0,0)),-1000)</f>
        <v>-1000</v>
      </c>
      <c r="BQ226">
        <f>IF(AND(CROQUIS!$C$88=1,CROQUIS!$C$137&gt;0),((CROQUIS!$C$161+(IF(CROQUIS!$C$92="X",CHOOSE(IF(INT(($A226-1)/5)&gt;MAX((MAX(1,INT(((CROQUIS!$C$97)-CROQUIS!$C$107)/MAX((CROQUIS!$C$137*MAX(1,CEILING((INT(((CROQUIS!$C$97)-CROQUIS!$C$107)/MAX(CROQUIS!$C$137,1))+1)/80,1))),1))+1))-1,0),0,MOD($A226-1,5))+1,0,2,CROQUIS!$C$98-2,2,0),((CROQUIS!$C$107/2+(((CROQUIS!$C$97)-CROQUIS!$C$107)-(MAX(1,INT(((CROQUIS!$C$97)-CROQUIS!$C$107)/MAX((CROQUIS!$C$137*MAX(1,CEILING((INT(((CROQUIS!$C$97)-CROQUIS!$C$107)/MAX(CROQUIS!$C$137,1))+1)/80,1))),1))+1)-1)*(CROQUIS!$C$137*MAX(1,CEILING((INT(((CROQUIS!$C$97)-CROQUIS!$C$107)/MAX(CROQUIS!$C$137,1))+1)/80,1))))/2)+MIN(INT(($A226-1)/5),MAX((MAX(1,INT(((CROQUIS!$C$97)-CROQUIS!$C$107)/MAX((CROQUIS!$C$137*MAX(1,CEILING((INT(((CROQUIS!$C$97)-CROQUIS!$C$107)/MAX(CROQUIS!$C$137,1))+1)/80,1))),1))+1))-1,0))*(CROQUIS!$C$137*MAX(1,CEILING((INT(((CROQUIS!$C$97)-CROQUIS!$C$107)/MAX(CROQUIS!$C$137,1))+1)/80,1))))))*CROQUIS!$C$159)+IF(CROQUIS!$C$92="X",0,0)),-1000)</f>
        <v>-1000</v>
      </c>
      <c r="BR226">
        <f>IF(AND(CROQUIS!$C$88=1,CROQUIS!$C$91=0,CROQUIS!$C$133&gt;0,OR(CROQUIS!$C$103=1,CROQUIS!$C$145=1)),((CROQUIS!$C$160+(IF(CROQUIS!$C$92="X",CHOOSE(IF(INT(($A226-1)/5)&gt;MAX((MAX(1,INT(((CROQUIS!$C$98)-CROQUIS!$C$107)/MAX((CROQUIS!$C$133*MAX(1,CEILING((INT(((CROQUIS!$C$98)-CROQUIS!$C$107)/MAX(CROQUIS!$C$133,1))+1)/80,1))),1))+1))-1,0),0,MOD($A226-1,5))+1,0,IF(CROQUIS!$C$103=1,-12,2),CROQUIS!$C$107/2+CROQUIS!$C$143,IF(CROQUIS!$C$103=1,-12,2),0),((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BS2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+1,0,IF(CROQUIS!$C$103=1,-12,2),CROQUIS!$C$107/2+CROQUIS!$C$143,IF(CROQUIS!$C$103=1,-12,2),0)))*CROQUIS!$C$159)+IF(CROQUIS!$C$92="X",0.8,0)),-1000)</f>
        <v>-1000</v>
      </c>
      <c r="BT226">
        <f>IF(AND(CROQUIS!$C$88=1,CROQUIS!$C$91=0,CROQUIS!$C$133&gt;0,OR(CROQUIS!$C$104=1,CROQUIS!$C$145=1)),((CROQUIS!$C$160+(IF(CROQUIS!$C$92="X",CHOOSE(IF(INT(($A226-1)/5)&gt;MAX((MAX(1,INT(((CROQUIS!$C$98)-CROQUIS!$C$107)/MAX((CROQUIS!$C$133*MAX(1,CEILING((INT(((CROQUIS!$C$98)-CROQUIS!$C$107)/MAX(CROQUIS!$C$133,1))+1)/80,1))),1))+1))-1,0),0,MOD($A226-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BU2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CROQUIS!$C$97,CROQUIS!$C$97-CROQUIS!$C$107/2-CROQUIS!$C$143,IF(CROQUIS!$C$104=1,CROQUIS!$C$97+12,CROQUIS!$C$97-2),CROQUIS!$C$97-CROQUIS!$C$107/2-CROQUIS!$C$143,CROQUIS!$C$97)))*CROQUIS!$C$159)+IF(CROQUIS!$C$92="X",0.8,0)),-1000)</f>
        <v>-1000</v>
      </c>
      <c r="BV2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HOOSE(IF(INT(($A226-1)/5)&gt;MAX((MAX(1,INT(((CROQUIS!$C$97)-CROQUIS!$C$107)/MAX((CROQUIS!$C$141*MAX(1,CEILING((INT(((CROQUIS!$C$97)-CROQUIS!$C$107)/MAX(CROQUIS!$C$141,1))+1)/80,1))),1))+1))-1,0),0,MOD($A226-1,5))+1,0,IF(CROQUIS!$C$105=1,-12,2),CROQUIS!$C$107/2+CROQUIS!$C$144,IF(CROQUIS!$C$105=1,-12,2),0)))*CROQUIS!$C$159)+IF(CROQUIS!$C$92="X",0.8,0)),-1000)</f>
        <v>-1000</v>
      </c>
      <c r="BW226">
        <f>IF(AND(CROQUIS!$C$88=1,CROQUIS!$C$91=0,CROQUIS!$C$141&gt;0,OR(CROQUIS!$C$105=1,CROQUIS!$C$146=1)),((CROQUIS!$C$161+(IF(CROQUIS!$C$92="X",CHOOSE(IF(INT(($A226-1)/5)&gt;MAX((MAX(1,INT(((CROQUIS!$C$97)-CROQUIS!$C$107)/MAX((CROQUIS!$C$141*MAX(1,CEILING((INT(((CROQUIS!$C$97)-CROQUIS!$C$107)/MAX(CROQUIS!$C$141,1))+1)/80,1))),1))+1))-1,0),0,MOD($A226-1,5))+1,0,IF(CROQUIS!$C$105=1,-12,2),CROQUIS!$C$107/2+CROQUIS!$C$144,IF(CROQUIS!$C$105=1,-12,2),0),((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ROQUIS!$C$159)+IF(CROQUIS!$C$92="X",0,0.8)),-1000)</f>
        <v>-1000</v>
      </c>
      <c r="BX2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HOOSE(IF(INT(($A226-1)/5)&gt;MAX((MAX(1,INT(((CROQUIS!$C$97)-CROQUIS!$C$107)/MAX((CROQUIS!$C$141*MAX(1,CEILING((INT(((CROQUIS!$C$97)-CROQUIS!$C$107)/MAX(CROQUIS!$C$141,1))+1)/80,1))),1))+1))-1,0),0,MOD($A226-1,5))+1,CROQUIS!$C$98,CROQUIS!$C$98-CROQUIS!$C$107/2-CROQUIS!$C$144,IF(CROQUIS!$C$106=1,CROQUIS!$C$98+12,CROQUIS!$C$98-2),CROQUIS!$C$98-CROQUIS!$C$107/2-CROQUIS!$C$144,CROQUIS!$C$98)))*CROQUIS!$C$159)+IF(CROQUIS!$C$92="X",0.8,0)),-1000)</f>
        <v>-1000</v>
      </c>
      <c r="BY226">
        <f>IF(AND(CROQUIS!$C$88=1,CROQUIS!$C$91=0,CROQUIS!$C$141&gt;0,OR(CROQUIS!$C$106=1,CROQUIS!$C$146=1)),((CROQUIS!$C$161+(IF(CROQUIS!$C$92="X",CHOOSE(IF(INT(($A226-1)/5)&gt;MAX((MAX(1,INT(((CROQUIS!$C$97)-CROQUIS!$C$107)/MAX((CROQUIS!$C$141*MAX(1,CEILING((INT(((CROQUIS!$C$97)-CROQUIS!$C$107)/MAX(CROQUIS!$C$141,1))+1)/80,1))),1))+1))-1,0),0,MOD($A226-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ROQUIS!$C$159)+IF(CROQUIS!$C$92="X",0,0.8)),-1000)</f>
        <v>-1000</v>
      </c>
      <c r="BZ226">
        <f>IF(AND(CROQUIS!$C$88=1,CROQUIS!$C$91=1,CROQUIS!$C$133&gt;0),((CROQUIS!$C$160+(IF(CROQUIS!$C$92="X",CHOOSE(IF(INT(($A226-1)/5)&gt;MAX((MAX(1,INT(((CROQUIS!$C$98)-CROQUIS!$C$107)/MAX((CROQUIS!$C$133*MAX(1,CEILING((INT(((CROQUIS!$C$98)-CROQUIS!$C$107)/MAX(CROQUIS!$C$133,1))+1)/80,1))),1))+1))-1,0),0,MOD($A226-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CA226">
        <f>IF(AND(CROQUIS!$C$88=1,CROQUIS!$C$91=1,CROQUIS!$C$133&gt;0),((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7">
      <c r="A227" t="n">
        <v>220</v>
      </c>
      <c r="BN227">
        <f>IF(AND(CROQUIS!$C$88=1,CROQUIS!$C$129&gt;0),((CROQUIS!$C$160+(IF(CROQUIS!$C$92="X",CHOOSE(IF(INT(($A227-1)/5)&gt;MAX((MAX(1,INT(((CROQUIS!$C$98)-CROQUIS!$C$107)/MAX((CROQUIS!$C$129*MAX(1,CEILING((INT(((CROQUIS!$C$98)-CROQUIS!$C$107)/MAX(CROQUIS!$C$129,1))+1)/80,1))),1))+1))-1,0),0,MOD($A227-1,5))+1,0,2,CROQUIS!$C$97-2,2,0),((CROQUIS!$C$107/2+(((CROQUIS!$C$98)-CROQUIS!$C$107)-(MAX(1,INT(((CROQUIS!$C$98)-CROQUIS!$C$107)/MAX((CROQUIS!$C$129*MAX(1,CEILING((INT(((CROQUIS!$C$98)-CROQUIS!$C$107)/MAX(CROQUIS!$C$129,1))+1)/80,1))),1))+1)-1)*(CROQUIS!$C$129*MAX(1,CEILING((INT(((CROQUIS!$C$98)-CROQUIS!$C$107)/MAX(CROQUIS!$C$129,1))+1)/80,1))))/2)+MIN(INT(($A227-1)/5),MAX((MAX(1,INT(((CROQUIS!$C$98)-CROQUIS!$C$107)/MAX((CROQUIS!$C$129*MAX(1,CEILING((INT(((CROQUIS!$C$98)-CROQUIS!$C$107)/MAX(CROQUIS!$C$129,1))+1)/80,1))),1))+1))-1,0))*(CROQUIS!$C$129*MAX(1,CEILING((INT(((CROQUIS!$C$98)-CROQUIS!$C$107)/MAX(CROQUIS!$C$129,1))+1)/80,1))))))*CROQUIS!$C$159)+IF(CROQUIS!$C$92="X",0,0)),-1000)</f>
        <v>-1000</v>
      </c>
      <c r="BO227">
        <f>IF(AND(CROQUIS!$C$88=1,CROQUIS!$C$129&gt;0),((CROQUIS!$C$161+(IF(CROQUIS!$C$92="X",((CROQUIS!$C$107/2+(((CROQUIS!$C$98)-CROQUIS!$C$107)-(MAX(1,INT(((CROQUIS!$C$98)-CROQUIS!$C$107)/MAX((CROQUIS!$C$129*MAX(1,CEILING((INT(((CROQUIS!$C$98)-CROQUIS!$C$107)/MAX(CROQUIS!$C$129,1))+1)/80,1))),1))+1)-1)*(CROQUIS!$C$129*MAX(1,CEILING((INT(((CROQUIS!$C$98)-CROQUIS!$C$107)/MAX(CROQUIS!$C$129,1))+1)/80,1))))/2)+MIN(INT(($A227-1)/5),MAX((MAX(1,INT(((CROQUIS!$C$98)-CROQUIS!$C$107)/MAX((CROQUIS!$C$129*MAX(1,CEILING((INT(((CROQUIS!$C$98)-CROQUIS!$C$107)/MAX(CROQUIS!$C$129,1))+1)/80,1))),1))+1))-1,0))*(CROQUIS!$C$129*MAX(1,CEILING((INT(((CROQUIS!$C$98)-CROQUIS!$C$107)/MAX(CROQUIS!$C$129,1))+1)/80,1)))),CHOOSE(IF(INT(($A227-1)/5)&gt;MAX((MAX(1,INT(((CROQUIS!$C$98)-CROQUIS!$C$107)/MAX((CROQUIS!$C$129*MAX(1,CEILING((INT(((CROQUIS!$C$98)-CROQUIS!$C$107)/MAX(CROQUIS!$C$129,1))+1)/80,1))),1))+1))-1,0),0,MOD($A227-1,5))+1,0,2,CROQUIS!$C$97-2,2,0)))*CROQUIS!$C$159)+IF(CROQUIS!$C$92="X",0,0)),-1000)</f>
        <v>-1000</v>
      </c>
      <c r="BP227">
        <f>IF(AND(CROQUIS!$C$88=1,CROQUIS!$C$137&gt;0),((CROQUIS!$C$160+(IF(CROQUIS!$C$92="X",((CROQUIS!$C$107/2+(((CROQUIS!$C$97)-CROQUIS!$C$107)-(MAX(1,INT(((CROQUIS!$C$97)-CROQUIS!$C$107)/MAX((CROQUIS!$C$137*MAX(1,CEILING((INT(((CROQUIS!$C$97)-CROQUIS!$C$107)/MAX(CROQUIS!$C$137,1))+1)/80,1))),1))+1)-1)*(CROQUIS!$C$137*MAX(1,CEILING((INT(((CROQUIS!$C$97)-CROQUIS!$C$107)/MAX(CROQUIS!$C$137,1))+1)/80,1))))/2)+MIN(INT(($A227-1)/5),MAX((MAX(1,INT(((CROQUIS!$C$97)-CROQUIS!$C$107)/MAX((CROQUIS!$C$137*MAX(1,CEILING((INT(((CROQUIS!$C$97)-CROQUIS!$C$107)/MAX(CROQUIS!$C$137,1))+1)/80,1))),1))+1))-1,0))*(CROQUIS!$C$137*MAX(1,CEILING((INT(((CROQUIS!$C$97)-CROQUIS!$C$107)/MAX(CROQUIS!$C$137,1))+1)/80,1)))),CHOOSE(IF(INT(($A227-1)/5)&gt;MAX((MAX(1,INT(((CROQUIS!$C$97)-CROQUIS!$C$107)/MAX((CROQUIS!$C$137*MAX(1,CEILING((INT(((CROQUIS!$C$97)-CROQUIS!$C$107)/MAX(CROQUIS!$C$137,1))+1)/80,1))),1))+1))-1,0),0,MOD($A227-1,5))+1,0,2,CROQUIS!$C$98-2,2,0)))*CROQUIS!$C$159)+IF(CROQUIS!$C$92="X",0,0)),-1000)</f>
        <v>-1000</v>
      </c>
      <c r="BQ227">
        <f>IF(AND(CROQUIS!$C$88=1,CROQUIS!$C$137&gt;0),((CROQUIS!$C$161+(IF(CROQUIS!$C$92="X",CHOOSE(IF(INT(($A227-1)/5)&gt;MAX((MAX(1,INT(((CROQUIS!$C$97)-CROQUIS!$C$107)/MAX((CROQUIS!$C$137*MAX(1,CEILING((INT(((CROQUIS!$C$97)-CROQUIS!$C$107)/MAX(CROQUIS!$C$137,1))+1)/80,1))),1))+1))-1,0),0,MOD($A227-1,5))+1,0,2,CROQUIS!$C$98-2,2,0),((CROQUIS!$C$107/2+(((CROQUIS!$C$97)-CROQUIS!$C$107)-(MAX(1,INT(((CROQUIS!$C$97)-CROQUIS!$C$107)/MAX((CROQUIS!$C$137*MAX(1,CEILING((INT(((CROQUIS!$C$97)-CROQUIS!$C$107)/MAX(CROQUIS!$C$137,1))+1)/80,1))),1))+1)-1)*(CROQUIS!$C$137*MAX(1,CEILING((INT(((CROQUIS!$C$97)-CROQUIS!$C$107)/MAX(CROQUIS!$C$137,1))+1)/80,1))))/2)+MIN(INT(($A227-1)/5),MAX((MAX(1,INT(((CROQUIS!$C$97)-CROQUIS!$C$107)/MAX((CROQUIS!$C$137*MAX(1,CEILING((INT(((CROQUIS!$C$97)-CROQUIS!$C$107)/MAX(CROQUIS!$C$137,1))+1)/80,1))),1))+1))-1,0))*(CROQUIS!$C$137*MAX(1,CEILING((INT(((CROQUIS!$C$97)-CROQUIS!$C$107)/MAX(CROQUIS!$C$137,1))+1)/80,1))))))*CROQUIS!$C$159)+IF(CROQUIS!$C$92="X",0,0)),-1000)</f>
        <v>-1000</v>
      </c>
      <c r="BR227">
        <f>IF(AND(CROQUIS!$C$88=1,CROQUIS!$C$91=0,CROQUIS!$C$133&gt;0,OR(CROQUIS!$C$103=1,CROQUIS!$C$145=1)),((CROQUIS!$C$160+(IF(CROQUIS!$C$92="X",CHOOSE(IF(INT(($A227-1)/5)&gt;MAX((MAX(1,INT(((CROQUIS!$C$98)-CROQUIS!$C$107)/MAX((CROQUIS!$C$133*MAX(1,CEILING((INT(((CROQUIS!$C$98)-CROQUIS!$C$107)/MAX(CROQUIS!$C$133,1))+1)/80,1))),1))+1))-1,0),0,MOD($A227-1,5))+1,0,IF(CROQUIS!$C$103=1,-12,2),CROQUIS!$C$107/2+CROQUIS!$C$143,IF(CROQUIS!$C$103=1,-12,2),0),((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BS2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+1,0,IF(CROQUIS!$C$103=1,-12,2),CROQUIS!$C$107/2+CROQUIS!$C$143,IF(CROQUIS!$C$103=1,-12,2),0)))*CROQUIS!$C$159)+IF(CROQUIS!$C$92="X",0.8,0)),-1000)</f>
        <v>-1000</v>
      </c>
      <c r="BT227">
        <f>IF(AND(CROQUIS!$C$88=1,CROQUIS!$C$91=0,CROQUIS!$C$133&gt;0,OR(CROQUIS!$C$104=1,CROQUIS!$C$145=1)),((CROQUIS!$C$160+(IF(CROQUIS!$C$92="X",CHOOSE(IF(INT(($A227-1)/5)&gt;MAX((MAX(1,INT(((CROQUIS!$C$98)-CROQUIS!$C$107)/MAX((CROQUIS!$C$133*MAX(1,CEILING((INT(((CROQUIS!$C$98)-CROQUIS!$C$107)/MAX(CROQUIS!$C$133,1))+1)/80,1))),1))+1))-1,0),0,MOD($A227-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BU2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CROQUIS!$C$97,CROQUIS!$C$97-CROQUIS!$C$107/2-CROQUIS!$C$143,IF(CROQUIS!$C$104=1,CROQUIS!$C$97+12,CROQUIS!$C$97-2),CROQUIS!$C$97-CROQUIS!$C$107/2-CROQUIS!$C$143,CROQUIS!$C$97)))*CROQUIS!$C$159)+IF(CROQUIS!$C$92="X",0.8,0)),-1000)</f>
        <v>-1000</v>
      </c>
      <c r="BV2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HOOSE(IF(INT(($A227-1)/5)&gt;MAX((MAX(1,INT(((CROQUIS!$C$97)-CROQUIS!$C$107)/MAX((CROQUIS!$C$141*MAX(1,CEILING((INT(((CROQUIS!$C$97)-CROQUIS!$C$107)/MAX(CROQUIS!$C$141,1))+1)/80,1))),1))+1))-1,0),0,MOD($A227-1,5))+1,0,IF(CROQUIS!$C$105=1,-12,2),CROQUIS!$C$107/2+CROQUIS!$C$144,IF(CROQUIS!$C$105=1,-12,2),0)))*CROQUIS!$C$159)+IF(CROQUIS!$C$92="X",0.8,0)),-1000)</f>
        <v>-1000</v>
      </c>
      <c r="BW227">
        <f>IF(AND(CROQUIS!$C$88=1,CROQUIS!$C$91=0,CROQUIS!$C$141&gt;0,OR(CROQUIS!$C$105=1,CROQUIS!$C$146=1)),((CROQUIS!$C$161+(IF(CROQUIS!$C$92="X",CHOOSE(IF(INT(($A227-1)/5)&gt;MAX((MAX(1,INT(((CROQUIS!$C$97)-CROQUIS!$C$107)/MAX((CROQUIS!$C$141*MAX(1,CEILING((INT(((CROQUIS!$C$97)-CROQUIS!$C$107)/MAX(CROQUIS!$C$141,1))+1)/80,1))),1))+1))-1,0),0,MOD($A227-1,5))+1,0,IF(CROQUIS!$C$105=1,-12,2),CROQUIS!$C$107/2+CROQUIS!$C$144,IF(CROQUIS!$C$105=1,-12,2),0),((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ROQUIS!$C$159)+IF(CROQUIS!$C$92="X",0,0.8)),-1000)</f>
        <v>-1000</v>
      </c>
      <c r="BX2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HOOSE(IF(INT(($A227-1)/5)&gt;MAX((MAX(1,INT(((CROQUIS!$C$97)-CROQUIS!$C$107)/MAX((CROQUIS!$C$141*MAX(1,CEILING((INT(((CROQUIS!$C$97)-CROQUIS!$C$107)/MAX(CROQUIS!$C$141,1))+1)/80,1))),1))+1))-1,0),0,MOD($A227-1,5))+1,CROQUIS!$C$98,CROQUIS!$C$98-CROQUIS!$C$107/2-CROQUIS!$C$144,IF(CROQUIS!$C$106=1,CROQUIS!$C$98+12,CROQUIS!$C$98-2),CROQUIS!$C$98-CROQUIS!$C$107/2-CROQUIS!$C$144,CROQUIS!$C$98)))*CROQUIS!$C$159)+IF(CROQUIS!$C$92="X",0.8,0)),-1000)</f>
        <v>-1000</v>
      </c>
      <c r="BY227">
        <f>IF(AND(CROQUIS!$C$88=1,CROQUIS!$C$91=0,CROQUIS!$C$141&gt;0,OR(CROQUIS!$C$106=1,CROQUIS!$C$146=1)),((CROQUIS!$C$161+(IF(CROQUIS!$C$92="X",CHOOSE(IF(INT(($A227-1)/5)&gt;MAX((MAX(1,INT(((CROQUIS!$C$97)-CROQUIS!$C$107)/MAX((CROQUIS!$C$141*MAX(1,CEILING((INT(((CROQUIS!$C$97)-CROQUIS!$C$107)/MAX(CROQUIS!$C$141,1))+1)/80,1))),1))+1))-1,0),0,MOD($A227-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ROQUIS!$C$159)+IF(CROQUIS!$C$92="X",0,0.8)),-1000)</f>
        <v>-1000</v>
      </c>
      <c r="BZ227">
        <f>IF(AND(CROQUIS!$C$88=1,CROQUIS!$C$91=1,CROQUIS!$C$133&gt;0),((CROQUIS!$C$160+(IF(CROQUIS!$C$92="X",CHOOSE(IF(INT(($A227-1)/5)&gt;MAX((MAX(1,INT(((CROQUIS!$C$98)-CROQUIS!$C$107)/MAX((CROQUIS!$C$133*MAX(1,CEILING((INT(((CROQUIS!$C$98)-CROQUIS!$C$107)/MAX(CROQUIS!$C$133,1))+1)/80,1))),1))+1))-1,0),0,MOD($A227-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CA227">
        <f>IF(AND(CROQUIS!$C$88=1,CROQUIS!$C$91=1,CROQUIS!$C$133&gt;0),((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8">
      <c r="A228" t="n">
        <v>221</v>
      </c>
      <c r="BN228">
        <f>IF(AND(CROQUIS!$C$88=1,CROQUIS!$C$129&gt;0),((CROQUIS!$C$160+(IF(CROQUIS!$C$92="X",CHOOSE(IF(INT(($A228-1)/5)&gt;MAX((MAX(1,INT(((CROQUIS!$C$98)-CROQUIS!$C$107)/MAX((CROQUIS!$C$129*MAX(1,CEILING((INT(((CROQUIS!$C$98)-CROQUIS!$C$107)/MAX(CROQUIS!$C$129,1))+1)/80,1))),1))+1))-1,0),0,MOD($A228-1,5))+1,0,2,CROQUIS!$C$97-2,2,0),((CROQUIS!$C$107/2+(((CROQUIS!$C$98)-CROQUIS!$C$107)-(MAX(1,INT(((CROQUIS!$C$98)-CROQUIS!$C$107)/MAX((CROQUIS!$C$129*MAX(1,CEILING((INT(((CROQUIS!$C$98)-CROQUIS!$C$107)/MAX(CROQUIS!$C$129,1))+1)/80,1))),1))+1)-1)*(CROQUIS!$C$129*MAX(1,CEILING((INT(((CROQUIS!$C$98)-CROQUIS!$C$107)/MAX(CROQUIS!$C$129,1))+1)/80,1))))/2)+MIN(INT(($A228-1)/5),MAX((MAX(1,INT(((CROQUIS!$C$98)-CROQUIS!$C$107)/MAX((CROQUIS!$C$129*MAX(1,CEILING((INT(((CROQUIS!$C$98)-CROQUIS!$C$107)/MAX(CROQUIS!$C$129,1))+1)/80,1))),1))+1))-1,0))*(CROQUIS!$C$129*MAX(1,CEILING((INT(((CROQUIS!$C$98)-CROQUIS!$C$107)/MAX(CROQUIS!$C$129,1))+1)/80,1))))))*CROQUIS!$C$159)+IF(CROQUIS!$C$92="X",0,0)),-1000)</f>
        <v>-1000</v>
      </c>
      <c r="BO228">
        <f>IF(AND(CROQUIS!$C$88=1,CROQUIS!$C$129&gt;0),((CROQUIS!$C$161+(IF(CROQUIS!$C$92="X",((CROQUIS!$C$107/2+(((CROQUIS!$C$98)-CROQUIS!$C$107)-(MAX(1,INT(((CROQUIS!$C$98)-CROQUIS!$C$107)/MAX((CROQUIS!$C$129*MAX(1,CEILING((INT(((CROQUIS!$C$98)-CROQUIS!$C$107)/MAX(CROQUIS!$C$129,1))+1)/80,1))),1))+1)-1)*(CROQUIS!$C$129*MAX(1,CEILING((INT(((CROQUIS!$C$98)-CROQUIS!$C$107)/MAX(CROQUIS!$C$129,1))+1)/80,1))))/2)+MIN(INT(($A228-1)/5),MAX((MAX(1,INT(((CROQUIS!$C$98)-CROQUIS!$C$107)/MAX((CROQUIS!$C$129*MAX(1,CEILING((INT(((CROQUIS!$C$98)-CROQUIS!$C$107)/MAX(CROQUIS!$C$129,1))+1)/80,1))),1))+1))-1,0))*(CROQUIS!$C$129*MAX(1,CEILING((INT(((CROQUIS!$C$98)-CROQUIS!$C$107)/MAX(CROQUIS!$C$129,1))+1)/80,1)))),CHOOSE(IF(INT(($A228-1)/5)&gt;MAX((MAX(1,INT(((CROQUIS!$C$98)-CROQUIS!$C$107)/MAX((CROQUIS!$C$129*MAX(1,CEILING((INT(((CROQUIS!$C$98)-CROQUIS!$C$107)/MAX(CROQUIS!$C$129,1))+1)/80,1))),1))+1))-1,0),0,MOD($A228-1,5))+1,0,2,CROQUIS!$C$97-2,2,0)))*CROQUIS!$C$159)+IF(CROQUIS!$C$92="X",0,0)),-1000)</f>
        <v>-1000</v>
      </c>
      <c r="BP228">
        <f>IF(AND(CROQUIS!$C$88=1,CROQUIS!$C$137&gt;0),((CROQUIS!$C$160+(IF(CROQUIS!$C$92="X",((CROQUIS!$C$107/2+(((CROQUIS!$C$97)-CROQUIS!$C$107)-(MAX(1,INT(((CROQUIS!$C$97)-CROQUIS!$C$107)/MAX((CROQUIS!$C$137*MAX(1,CEILING((INT(((CROQUIS!$C$97)-CROQUIS!$C$107)/MAX(CROQUIS!$C$137,1))+1)/80,1))),1))+1)-1)*(CROQUIS!$C$137*MAX(1,CEILING((INT(((CROQUIS!$C$97)-CROQUIS!$C$107)/MAX(CROQUIS!$C$137,1))+1)/80,1))))/2)+MIN(INT(($A228-1)/5),MAX((MAX(1,INT(((CROQUIS!$C$97)-CROQUIS!$C$107)/MAX((CROQUIS!$C$137*MAX(1,CEILING((INT(((CROQUIS!$C$97)-CROQUIS!$C$107)/MAX(CROQUIS!$C$137,1))+1)/80,1))),1))+1))-1,0))*(CROQUIS!$C$137*MAX(1,CEILING((INT(((CROQUIS!$C$97)-CROQUIS!$C$107)/MAX(CROQUIS!$C$137,1))+1)/80,1)))),CHOOSE(IF(INT(($A228-1)/5)&gt;MAX((MAX(1,INT(((CROQUIS!$C$97)-CROQUIS!$C$107)/MAX((CROQUIS!$C$137*MAX(1,CEILING((INT(((CROQUIS!$C$97)-CROQUIS!$C$107)/MAX(CROQUIS!$C$137,1))+1)/80,1))),1))+1))-1,0),0,MOD($A228-1,5))+1,0,2,CROQUIS!$C$98-2,2,0)))*CROQUIS!$C$159)+IF(CROQUIS!$C$92="X",0,0)),-1000)</f>
        <v>-1000</v>
      </c>
      <c r="BQ228">
        <f>IF(AND(CROQUIS!$C$88=1,CROQUIS!$C$137&gt;0),((CROQUIS!$C$161+(IF(CROQUIS!$C$92="X",CHOOSE(IF(INT(($A228-1)/5)&gt;MAX((MAX(1,INT(((CROQUIS!$C$97)-CROQUIS!$C$107)/MAX((CROQUIS!$C$137*MAX(1,CEILING((INT(((CROQUIS!$C$97)-CROQUIS!$C$107)/MAX(CROQUIS!$C$137,1))+1)/80,1))),1))+1))-1,0),0,MOD($A228-1,5))+1,0,2,CROQUIS!$C$98-2,2,0),((CROQUIS!$C$107/2+(((CROQUIS!$C$97)-CROQUIS!$C$107)-(MAX(1,INT(((CROQUIS!$C$97)-CROQUIS!$C$107)/MAX((CROQUIS!$C$137*MAX(1,CEILING((INT(((CROQUIS!$C$97)-CROQUIS!$C$107)/MAX(CROQUIS!$C$137,1))+1)/80,1))),1))+1)-1)*(CROQUIS!$C$137*MAX(1,CEILING((INT(((CROQUIS!$C$97)-CROQUIS!$C$107)/MAX(CROQUIS!$C$137,1))+1)/80,1))))/2)+MIN(INT(($A228-1)/5),MAX((MAX(1,INT(((CROQUIS!$C$97)-CROQUIS!$C$107)/MAX((CROQUIS!$C$137*MAX(1,CEILING((INT(((CROQUIS!$C$97)-CROQUIS!$C$107)/MAX(CROQUIS!$C$137,1))+1)/80,1))),1))+1))-1,0))*(CROQUIS!$C$137*MAX(1,CEILING((INT(((CROQUIS!$C$97)-CROQUIS!$C$107)/MAX(CROQUIS!$C$137,1))+1)/80,1))))))*CROQUIS!$C$159)+IF(CROQUIS!$C$92="X",0,0)),-1000)</f>
        <v>-1000</v>
      </c>
      <c r="BR228">
        <f>IF(AND(CROQUIS!$C$88=1,CROQUIS!$C$91=0,CROQUIS!$C$133&gt;0,OR(CROQUIS!$C$103=1,CROQUIS!$C$145=1)),((CROQUIS!$C$160+(IF(CROQUIS!$C$92="X",CHOOSE(IF(INT(($A228-1)/5)&gt;MAX((MAX(1,INT(((CROQUIS!$C$98)-CROQUIS!$C$107)/MAX((CROQUIS!$C$133*MAX(1,CEILING((INT(((CROQUIS!$C$98)-CROQUIS!$C$107)/MAX(CROQUIS!$C$133,1))+1)/80,1))),1))+1))-1,0),0,MOD($A228-1,5))+1,0,IF(CROQUIS!$C$103=1,-12,2),CROQUIS!$C$107/2+CROQUIS!$C$143,IF(CROQUIS!$C$103=1,-12,2),0),((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BS2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+1,0,IF(CROQUIS!$C$103=1,-12,2),CROQUIS!$C$107/2+CROQUIS!$C$143,IF(CROQUIS!$C$103=1,-12,2),0)))*CROQUIS!$C$159)+IF(CROQUIS!$C$92="X",0.8,0)),-1000)</f>
        <v>-1000</v>
      </c>
      <c r="BT228">
        <f>IF(AND(CROQUIS!$C$88=1,CROQUIS!$C$91=0,CROQUIS!$C$133&gt;0,OR(CROQUIS!$C$104=1,CROQUIS!$C$145=1)),((CROQUIS!$C$160+(IF(CROQUIS!$C$92="X",CHOOSE(IF(INT(($A228-1)/5)&gt;MAX((MAX(1,INT(((CROQUIS!$C$98)-CROQUIS!$C$107)/MAX((CROQUIS!$C$133*MAX(1,CEILING((INT(((CROQUIS!$C$98)-CROQUIS!$C$107)/MAX(CROQUIS!$C$133,1))+1)/80,1))),1))+1))-1,0),0,MOD($A228-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BU2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CROQUIS!$C$97,CROQUIS!$C$97-CROQUIS!$C$107/2-CROQUIS!$C$143,IF(CROQUIS!$C$104=1,CROQUIS!$C$97+12,CROQUIS!$C$97-2),CROQUIS!$C$97-CROQUIS!$C$107/2-CROQUIS!$C$143,CROQUIS!$C$97)))*CROQUIS!$C$159)+IF(CROQUIS!$C$92="X",0.8,0)),-1000)</f>
        <v>-1000</v>
      </c>
      <c r="BV2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HOOSE(IF(INT(($A228-1)/5)&gt;MAX((MAX(1,INT(((CROQUIS!$C$97)-CROQUIS!$C$107)/MAX((CROQUIS!$C$141*MAX(1,CEILING((INT(((CROQUIS!$C$97)-CROQUIS!$C$107)/MAX(CROQUIS!$C$141,1))+1)/80,1))),1))+1))-1,0),0,MOD($A228-1,5))+1,0,IF(CROQUIS!$C$105=1,-12,2),CROQUIS!$C$107/2+CROQUIS!$C$144,IF(CROQUIS!$C$105=1,-12,2),0)))*CROQUIS!$C$159)+IF(CROQUIS!$C$92="X",0.8,0)),-1000)</f>
        <v>-1000</v>
      </c>
      <c r="BW228">
        <f>IF(AND(CROQUIS!$C$88=1,CROQUIS!$C$91=0,CROQUIS!$C$141&gt;0,OR(CROQUIS!$C$105=1,CROQUIS!$C$146=1)),((CROQUIS!$C$161+(IF(CROQUIS!$C$92="X",CHOOSE(IF(INT(($A228-1)/5)&gt;MAX((MAX(1,INT(((CROQUIS!$C$97)-CROQUIS!$C$107)/MAX((CROQUIS!$C$141*MAX(1,CEILING((INT(((CROQUIS!$C$97)-CROQUIS!$C$107)/MAX(CROQUIS!$C$141,1))+1)/80,1))),1))+1))-1,0),0,MOD($A228-1,5))+1,0,IF(CROQUIS!$C$105=1,-12,2),CROQUIS!$C$107/2+CROQUIS!$C$144,IF(CROQUIS!$C$105=1,-12,2),0),((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ROQUIS!$C$159)+IF(CROQUIS!$C$92="X",0,0.8)),-1000)</f>
        <v>-1000</v>
      </c>
      <c r="BX2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HOOSE(IF(INT(($A228-1)/5)&gt;MAX((MAX(1,INT(((CROQUIS!$C$97)-CROQUIS!$C$107)/MAX((CROQUIS!$C$141*MAX(1,CEILING((INT(((CROQUIS!$C$97)-CROQUIS!$C$107)/MAX(CROQUIS!$C$141,1))+1)/80,1))),1))+1))-1,0),0,MOD($A228-1,5))+1,CROQUIS!$C$98,CROQUIS!$C$98-CROQUIS!$C$107/2-CROQUIS!$C$144,IF(CROQUIS!$C$106=1,CROQUIS!$C$98+12,CROQUIS!$C$98-2),CROQUIS!$C$98-CROQUIS!$C$107/2-CROQUIS!$C$144,CROQUIS!$C$98)))*CROQUIS!$C$159)+IF(CROQUIS!$C$92="X",0.8,0)),-1000)</f>
        <v>-1000</v>
      </c>
      <c r="BY228">
        <f>IF(AND(CROQUIS!$C$88=1,CROQUIS!$C$91=0,CROQUIS!$C$141&gt;0,OR(CROQUIS!$C$106=1,CROQUIS!$C$146=1)),((CROQUIS!$C$161+(IF(CROQUIS!$C$92="X",CHOOSE(IF(INT(($A228-1)/5)&gt;MAX((MAX(1,INT(((CROQUIS!$C$97)-CROQUIS!$C$107)/MAX((CROQUIS!$C$141*MAX(1,CEILING((INT(((CROQUIS!$C$97)-CROQUIS!$C$107)/MAX(CROQUIS!$C$141,1))+1)/80,1))),1))+1))-1,0),0,MOD($A228-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ROQUIS!$C$159)+IF(CROQUIS!$C$92="X",0,0.8)),-1000)</f>
        <v>-1000</v>
      </c>
      <c r="BZ228">
        <f>IF(AND(CROQUIS!$C$88=1,CROQUIS!$C$91=1,CROQUIS!$C$133&gt;0),((CROQUIS!$C$160+(IF(CROQUIS!$C$92="X",CHOOSE(IF(INT(($A228-1)/5)&gt;MAX((MAX(1,INT(((CROQUIS!$C$98)-CROQUIS!$C$107)/MAX((CROQUIS!$C$133*MAX(1,CEILING((INT(((CROQUIS!$C$98)-CROQUIS!$C$107)/MAX(CROQUIS!$C$133,1))+1)/80,1))),1))+1))-1,0),0,MOD($A228-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CA228">
        <f>IF(AND(CROQUIS!$C$88=1,CROQUIS!$C$91=1,CROQUIS!$C$133&gt;0),((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9">
      <c r="A229" t="n">
        <v>222</v>
      </c>
      <c r="BN229">
        <f>IF(AND(CROQUIS!$C$88=1,CROQUIS!$C$129&gt;0),((CROQUIS!$C$160+(IF(CROQUIS!$C$92="X",CHOOSE(IF(INT(($A229-1)/5)&gt;MAX((MAX(1,INT(((CROQUIS!$C$98)-CROQUIS!$C$107)/MAX((CROQUIS!$C$129*MAX(1,CEILING((INT(((CROQUIS!$C$98)-CROQUIS!$C$107)/MAX(CROQUIS!$C$129,1))+1)/80,1))),1))+1))-1,0),0,MOD($A229-1,5))+1,0,2,CROQUIS!$C$97-2,2,0),((CROQUIS!$C$107/2+(((CROQUIS!$C$98)-CROQUIS!$C$107)-(MAX(1,INT(((CROQUIS!$C$98)-CROQUIS!$C$107)/MAX((CROQUIS!$C$129*MAX(1,CEILING((INT(((CROQUIS!$C$98)-CROQUIS!$C$107)/MAX(CROQUIS!$C$129,1))+1)/80,1))),1))+1)-1)*(CROQUIS!$C$129*MAX(1,CEILING((INT(((CROQUIS!$C$98)-CROQUIS!$C$107)/MAX(CROQUIS!$C$129,1))+1)/80,1))))/2)+MIN(INT(($A229-1)/5),MAX((MAX(1,INT(((CROQUIS!$C$98)-CROQUIS!$C$107)/MAX((CROQUIS!$C$129*MAX(1,CEILING((INT(((CROQUIS!$C$98)-CROQUIS!$C$107)/MAX(CROQUIS!$C$129,1))+1)/80,1))),1))+1))-1,0))*(CROQUIS!$C$129*MAX(1,CEILING((INT(((CROQUIS!$C$98)-CROQUIS!$C$107)/MAX(CROQUIS!$C$129,1))+1)/80,1))))))*CROQUIS!$C$159)+IF(CROQUIS!$C$92="X",0,0)),-1000)</f>
        <v>-1000</v>
      </c>
      <c r="BO229">
        <f>IF(AND(CROQUIS!$C$88=1,CROQUIS!$C$129&gt;0),((CROQUIS!$C$161+(IF(CROQUIS!$C$92="X",((CROQUIS!$C$107/2+(((CROQUIS!$C$98)-CROQUIS!$C$107)-(MAX(1,INT(((CROQUIS!$C$98)-CROQUIS!$C$107)/MAX((CROQUIS!$C$129*MAX(1,CEILING((INT(((CROQUIS!$C$98)-CROQUIS!$C$107)/MAX(CROQUIS!$C$129,1))+1)/80,1))),1))+1)-1)*(CROQUIS!$C$129*MAX(1,CEILING((INT(((CROQUIS!$C$98)-CROQUIS!$C$107)/MAX(CROQUIS!$C$129,1))+1)/80,1))))/2)+MIN(INT(($A229-1)/5),MAX((MAX(1,INT(((CROQUIS!$C$98)-CROQUIS!$C$107)/MAX((CROQUIS!$C$129*MAX(1,CEILING((INT(((CROQUIS!$C$98)-CROQUIS!$C$107)/MAX(CROQUIS!$C$129,1))+1)/80,1))),1))+1))-1,0))*(CROQUIS!$C$129*MAX(1,CEILING((INT(((CROQUIS!$C$98)-CROQUIS!$C$107)/MAX(CROQUIS!$C$129,1))+1)/80,1)))),CHOOSE(IF(INT(($A229-1)/5)&gt;MAX((MAX(1,INT(((CROQUIS!$C$98)-CROQUIS!$C$107)/MAX((CROQUIS!$C$129*MAX(1,CEILING((INT(((CROQUIS!$C$98)-CROQUIS!$C$107)/MAX(CROQUIS!$C$129,1))+1)/80,1))),1))+1))-1,0),0,MOD($A229-1,5))+1,0,2,CROQUIS!$C$97-2,2,0)))*CROQUIS!$C$159)+IF(CROQUIS!$C$92="X",0,0)),-1000)</f>
        <v>-1000</v>
      </c>
      <c r="BP229">
        <f>IF(AND(CROQUIS!$C$88=1,CROQUIS!$C$137&gt;0),((CROQUIS!$C$160+(IF(CROQUIS!$C$92="X",((CROQUIS!$C$107/2+(((CROQUIS!$C$97)-CROQUIS!$C$107)-(MAX(1,INT(((CROQUIS!$C$97)-CROQUIS!$C$107)/MAX((CROQUIS!$C$137*MAX(1,CEILING((INT(((CROQUIS!$C$97)-CROQUIS!$C$107)/MAX(CROQUIS!$C$137,1))+1)/80,1))),1))+1)-1)*(CROQUIS!$C$137*MAX(1,CEILING((INT(((CROQUIS!$C$97)-CROQUIS!$C$107)/MAX(CROQUIS!$C$137,1))+1)/80,1))))/2)+MIN(INT(($A229-1)/5),MAX((MAX(1,INT(((CROQUIS!$C$97)-CROQUIS!$C$107)/MAX((CROQUIS!$C$137*MAX(1,CEILING((INT(((CROQUIS!$C$97)-CROQUIS!$C$107)/MAX(CROQUIS!$C$137,1))+1)/80,1))),1))+1))-1,0))*(CROQUIS!$C$137*MAX(1,CEILING((INT(((CROQUIS!$C$97)-CROQUIS!$C$107)/MAX(CROQUIS!$C$137,1))+1)/80,1)))),CHOOSE(IF(INT(($A229-1)/5)&gt;MAX((MAX(1,INT(((CROQUIS!$C$97)-CROQUIS!$C$107)/MAX((CROQUIS!$C$137*MAX(1,CEILING((INT(((CROQUIS!$C$97)-CROQUIS!$C$107)/MAX(CROQUIS!$C$137,1))+1)/80,1))),1))+1))-1,0),0,MOD($A229-1,5))+1,0,2,CROQUIS!$C$98-2,2,0)))*CROQUIS!$C$159)+IF(CROQUIS!$C$92="X",0,0)),-1000)</f>
        <v>-1000</v>
      </c>
      <c r="BQ229">
        <f>IF(AND(CROQUIS!$C$88=1,CROQUIS!$C$137&gt;0),((CROQUIS!$C$161+(IF(CROQUIS!$C$92="X",CHOOSE(IF(INT(($A229-1)/5)&gt;MAX((MAX(1,INT(((CROQUIS!$C$97)-CROQUIS!$C$107)/MAX((CROQUIS!$C$137*MAX(1,CEILING((INT(((CROQUIS!$C$97)-CROQUIS!$C$107)/MAX(CROQUIS!$C$137,1))+1)/80,1))),1))+1))-1,0),0,MOD($A229-1,5))+1,0,2,CROQUIS!$C$98-2,2,0),((CROQUIS!$C$107/2+(((CROQUIS!$C$97)-CROQUIS!$C$107)-(MAX(1,INT(((CROQUIS!$C$97)-CROQUIS!$C$107)/MAX((CROQUIS!$C$137*MAX(1,CEILING((INT(((CROQUIS!$C$97)-CROQUIS!$C$107)/MAX(CROQUIS!$C$137,1))+1)/80,1))),1))+1)-1)*(CROQUIS!$C$137*MAX(1,CEILING((INT(((CROQUIS!$C$97)-CROQUIS!$C$107)/MAX(CROQUIS!$C$137,1))+1)/80,1))))/2)+MIN(INT(($A229-1)/5),MAX((MAX(1,INT(((CROQUIS!$C$97)-CROQUIS!$C$107)/MAX((CROQUIS!$C$137*MAX(1,CEILING((INT(((CROQUIS!$C$97)-CROQUIS!$C$107)/MAX(CROQUIS!$C$137,1))+1)/80,1))),1))+1))-1,0))*(CROQUIS!$C$137*MAX(1,CEILING((INT(((CROQUIS!$C$97)-CROQUIS!$C$107)/MAX(CROQUIS!$C$137,1))+1)/80,1))))))*CROQUIS!$C$159)+IF(CROQUIS!$C$92="X",0,0)),-1000)</f>
        <v>-1000</v>
      </c>
      <c r="BR229">
        <f>IF(AND(CROQUIS!$C$88=1,CROQUIS!$C$91=0,CROQUIS!$C$133&gt;0,OR(CROQUIS!$C$103=1,CROQUIS!$C$145=1)),((CROQUIS!$C$160+(IF(CROQUIS!$C$92="X",CHOOSE(IF(INT(($A229-1)/5)&gt;MAX((MAX(1,INT(((CROQUIS!$C$98)-CROQUIS!$C$107)/MAX((CROQUIS!$C$133*MAX(1,CEILING((INT(((CROQUIS!$C$98)-CROQUIS!$C$107)/MAX(CROQUIS!$C$133,1))+1)/80,1))),1))+1))-1,0),0,MOD($A229-1,5))+1,0,IF(CROQUIS!$C$103=1,-12,2),CROQUIS!$C$107/2+CROQUIS!$C$143,IF(CROQUIS!$C$103=1,-12,2),0),((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BS2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+1,0,IF(CROQUIS!$C$103=1,-12,2),CROQUIS!$C$107/2+CROQUIS!$C$143,IF(CROQUIS!$C$103=1,-12,2),0)))*CROQUIS!$C$159)+IF(CROQUIS!$C$92="X",0.8,0)),-1000)</f>
        <v>-1000</v>
      </c>
      <c r="BT229">
        <f>IF(AND(CROQUIS!$C$88=1,CROQUIS!$C$91=0,CROQUIS!$C$133&gt;0,OR(CROQUIS!$C$104=1,CROQUIS!$C$145=1)),((CROQUIS!$C$160+(IF(CROQUIS!$C$92="X",CHOOSE(IF(INT(($A229-1)/5)&gt;MAX((MAX(1,INT(((CROQUIS!$C$98)-CROQUIS!$C$107)/MAX((CROQUIS!$C$133*MAX(1,CEILING((INT(((CROQUIS!$C$98)-CROQUIS!$C$107)/MAX(CROQUIS!$C$133,1))+1)/80,1))),1))+1))-1,0),0,MOD($A229-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BU2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CROQUIS!$C$97,CROQUIS!$C$97-CROQUIS!$C$107/2-CROQUIS!$C$143,IF(CROQUIS!$C$104=1,CROQUIS!$C$97+12,CROQUIS!$C$97-2),CROQUIS!$C$97-CROQUIS!$C$107/2-CROQUIS!$C$143,CROQUIS!$C$97)))*CROQUIS!$C$159)+IF(CROQUIS!$C$92="X",0.8,0)),-1000)</f>
        <v>-1000</v>
      </c>
      <c r="BV2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HOOSE(IF(INT(($A229-1)/5)&gt;MAX((MAX(1,INT(((CROQUIS!$C$97)-CROQUIS!$C$107)/MAX((CROQUIS!$C$141*MAX(1,CEILING((INT(((CROQUIS!$C$97)-CROQUIS!$C$107)/MAX(CROQUIS!$C$141,1))+1)/80,1))),1))+1))-1,0),0,MOD($A229-1,5))+1,0,IF(CROQUIS!$C$105=1,-12,2),CROQUIS!$C$107/2+CROQUIS!$C$144,IF(CROQUIS!$C$105=1,-12,2),0)))*CROQUIS!$C$159)+IF(CROQUIS!$C$92="X",0.8,0)),-1000)</f>
        <v>-1000</v>
      </c>
      <c r="BW229">
        <f>IF(AND(CROQUIS!$C$88=1,CROQUIS!$C$91=0,CROQUIS!$C$141&gt;0,OR(CROQUIS!$C$105=1,CROQUIS!$C$146=1)),((CROQUIS!$C$161+(IF(CROQUIS!$C$92="X",CHOOSE(IF(INT(($A229-1)/5)&gt;MAX((MAX(1,INT(((CROQUIS!$C$97)-CROQUIS!$C$107)/MAX((CROQUIS!$C$141*MAX(1,CEILING((INT(((CROQUIS!$C$97)-CROQUIS!$C$107)/MAX(CROQUIS!$C$141,1))+1)/80,1))),1))+1))-1,0),0,MOD($A229-1,5))+1,0,IF(CROQUIS!$C$105=1,-12,2),CROQUIS!$C$107/2+CROQUIS!$C$144,IF(CROQUIS!$C$105=1,-12,2),0),((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ROQUIS!$C$159)+IF(CROQUIS!$C$92="X",0,0.8)),-1000)</f>
        <v>-1000</v>
      </c>
      <c r="BX2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HOOSE(IF(INT(($A229-1)/5)&gt;MAX((MAX(1,INT(((CROQUIS!$C$97)-CROQUIS!$C$107)/MAX((CROQUIS!$C$141*MAX(1,CEILING((INT(((CROQUIS!$C$97)-CROQUIS!$C$107)/MAX(CROQUIS!$C$141,1))+1)/80,1))),1))+1))-1,0),0,MOD($A229-1,5))+1,CROQUIS!$C$98,CROQUIS!$C$98-CROQUIS!$C$107/2-CROQUIS!$C$144,IF(CROQUIS!$C$106=1,CROQUIS!$C$98+12,CROQUIS!$C$98-2),CROQUIS!$C$98-CROQUIS!$C$107/2-CROQUIS!$C$144,CROQUIS!$C$98)))*CROQUIS!$C$159)+IF(CROQUIS!$C$92="X",0.8,0)),-1000)</f>
        <v>-1000</v>
      </c>
      <c r="BY229">
        <f>IF(AND(CROQUIS!$C$88=1,CROQUIS!$C$91=0,CROQUIS!$C$141&gt;0,OR(CROQUIS!$C$106=1,CROQUIS!$C$146=1)),((CROQUIS!$C$161+(IF(CROQUIS!$C$92="X",CHOOSE(IF(INT(($A229-1)/5)&gt;MAX((MAX(1,INT(((CROQUIS!$C$97)-CROQUIS!$C$107)/MAX((CROQUIS!$C$141*MAX(1,CEILING((INT(((CROQUIS!$C$97)-CROQUIS!$C$107)/MAX(CROQUIS!$C$141,1))+1)/80,1))),1))+1))-1,0),0,MOD($A229-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ROQUIS!$C$159)+IF(CROQUIS!$C$92="X",0,0.8)),-1000)</f>
        <v>-1000</v>
      </c>
      <c r="BZ229">
        <f>IF(AND(CROQUIS!$C$88=1,CROQUIS!$C$91=1,CROQUIS!$C$133&gt;0),((CROQUIS!$C$160+(IF(CROQUIS!$C$92="X",CHOOSE(IF(INT(($A229-1)/5)&gt;MAX((MAX(1,INT(((CROQUIS!$C$98)-CROQUIS!$C$107)/MAX((CROQUIS!$C$133*MAX(1,CEILING((INT(((CROQUIS!$C$98)-CROQUIS!$C$107)/MAX(CROQUIS!$C$133,1))+1)/80,1))),1))+1))-1,0),0,MOD($A229-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CA229">
        <f>IF(AND(CROQUIS!$C$88=1,CROQUIS!$C$91=1,CROQUIS!$C$133&gt;0),((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0">
      <c r="A230" t="n">
        <v>223</v>
      </c>
      <c r="BN230">
        <f>IF(AND(CROQUIS!$C$88=1,CROQUIS!$C$129&gt;0),((CROQUIS!$C$160+(IF(CROQUIS!$C$92="X",CHOOSE(IF(INT(($A230-1)/5)&gt;MAX((MAX(1,INT(((CROQUIS!$C$98)-CROQUIS!$C$107)/MAX((CROQUIS!$C$129*MAX(1,CEILING((INT(((CROQUIS!$C$98)-CROQUIS!$C$107)/MAX(CROQUIS!$C$129,1))+1)/80,1))),1))+1))-1,0),0,MOD($A230-1,5))+1,0,2,CROQUIS!$C$97-2,2,0),((CROQUIS!$C$107/2+(((CROQUIS!$C$98)-CROQUIS!$C$107)-(MAX(1,INT(((CROQUIS!$C$98)-CROQUIS!$C$107)/MAX((CROQUIS!$C$129*MAX(1,CEILING((INT(((CROQUIS!$C$98)-CROQUIS!$C$107)/MAX(CROQUIS!$C$129,1))+1)/80,1))),1))+1)-1)*(CROQUIS!$C$129*MAX(1,CEILING((INT(((CROQUIS!$C$98)-CROQUIS!$C$107)/MAX(CROQUIS!$C$129,1))+1)/80,1))))/2)+MIN(INT(($A230-1)/5),MAX((MAX(1,INT(((CROQUIS!$C$98)-CROQUIS!$C$107)/MAX((CROQUIS!$C$129*MAX(1,CEILING((INT(((CROQUIS!$C$98)-CROQUIS!$C$107)/MAX(CROQUIS!$C$129,1))+1)/80,1))),1))+1))-1,0))*(CROQUIS!$C$129*MAX(1,CEILING((INT(((CROQUIS!$C$98)-CROQUIS!$C$107)/MAX(CROQUIS!$C$129,1))+1)/80,1))))))*CROQUIS!$C$159)+IF(CROQUIS!$C$92="X",0,0)),-1000)</f>
        <v>-1000</v>
      </c>
      <c r="BO230">
        <f>IF(AND(CROQUIS!$C$88=1,CROQUIS!$C$129&gt;0),((CROQUIS!$C$161+(IF(CROQUIS!$C$92="X",((CROQUIS!$C$107/2+(((CROQUIS!$C$98)-CROQUIS!$C$107)-(MAX(1,INT(((CROQUIS!$C$98)-CROQUIS!$C$107)/MAX((CROQUIS!$C$129*MAX(1,CEILING((INT(((CROQUIS!$C$98)-CROQUIS!$C$107)/MAX(CROQUIS!$C$129,1))+1)/80,1))),1))+1)-1)*(CROQUIS!$C$129*MAX(1,CEILING((INT(((CROQUIS!$C$98)-CROQUIS!$C$107)/MAX(CROQUIS!$C$129,1))+1)/80,1))))/2)+MIN(INT(($A230-1)/5),MAX((MAX(1,INT(((CROQUIS!$C$98)-CROQUIS!$C$107)/MAX((CROQUIS!$C$129*MAX(1,CEILING((INT(((CROQUIS!$C$98)-CROQUIS!$C$107)/MAX(CROQUIS!$C$129,1))+1)/80,1))),1))+1))-1,0))*(CROQUIS!$C$129*MAX(1,CEILING((INT(((CROQUIS!$C$98)-CROQUIS!$C$107)/MAX(CROQUIS!$C$129,1))+1)/80,1)))),CHOOSE(IF(INT(($A230-1)/5)&gt;MAX((MAX(1,INT(((CROQUIS!$C$98)-CROQUIS!$C$107)/MAX((CROQUIS!$C$129*MAX(1,CEILING((INT(((CROQUIS!$C$98)-CROQUIS!$C$107)/MAX(CROQUIS!$C$129,1))+1)/80,1))),1))+1))-1,0),0,MOD($A230-1,5))+1,0,2,CROQUIS!$C$97-2,2,0)))*CROQUIS!$C$159)+IF(CROQUIS!$C$92="X",0,0)),-1000)</f>
        <v>-1000</v>
      </c>
      <c r="BP230">
        <f>IF(AND(CROQUIS!$C$88=1,CROQUIS!$C$137&gt;0),((CROQUIS!$C$160+(IF(CROQUIS!$C$92="X",((CROQUIS!$C$107/2+(((CROQUIS!$C$97)-CROQUIS!$C$107)-(MAX(1,INT(((CROQUIS!$C$97)-CROQUIS!$C$107)/MAX((CROQUIS!$C$137*MAX(1,CEILING((INT(((CROQUIS!$C$97)-CROQUIS!$C$107)/MAX(CROQUIS!$C$137,1))+1)/80,1))),1))+1)-1)*(CROQUIS!$C$137*MAX(1,CEILING((INT(((CROQUIS!$C$97)-CROQUIS!$C$107)/MAX(CROQUIS!$C$137,1))+1)/80,1))))/2)+MIN(INT(($A230-1)/5),MAX((MAX(1,INT(((CROQUIS!$C$97)-CROQUIS!$C$107)/MAX((CROQUIS!$C$137*MAX(1,CEILING((INT(((CROQUIS!$C$97)-CROQUIS!$C$107)/MAX(CROQUIS!$C$137,1))+1)/80,1))),1))+1))-1,0))*(CROQUIS!$C$137*MAX(1,CEILING((INT(((CROQUIS!$C$97)-CROQUIS!$C$107)/MAX(CROQUIS!$C$137,1))+1)/80,1)))),CHOOSE(IF(INT(($A230-1)/5)&gt;MAX((MAX(1,INT(((CROQUIS!$C$97)-CROQUIS!$C$107)/MAX((CROQUIS!$C$137*MAX(1,CEILING((INT(((CROQUIS!$C$97)-CROQUIS!$C$107)/MAX(CROQUIS!$C$137,1))+1)/80,1))),1))+1))-1,0),0,MOD($A230-1,5))+1,0,2,CROQUIS!$C$98-2,2,0)))*CROQUIS!$C$159)+IF(CROQUIS!$C$92="X",0,0)),-1000)</f>
        <v>-1000</v>
      </c>
      <c r="BQ230">
        <f>IF(AND(CROQUIS!$C$88=1,CROQUIS!$C$137&gt;0),((CROQUIS!$C$161+(IF(CROQUIS!$C$92="X",CHOOSE(IF(INT(($A230-1)/5)&gt;MAX((MAX(1,INT(((CROQUIS!$C$97)-CROQUIS!$C$107)/MAX((CROQUIS!$C$137*MAX(1,CEILING((INT(((CROQUIS!$C$97)-CROQUIS!$C$107)/MAX(CROQUIS!$C$137,1))+1)/80,1))),1))+1))-1,0),0,MOD($A230-1,5))+1,0,2,CROQUIS!$C$98-2,2,0),((CROQUIS!$C$107/2+(((CROQUIS!$C$97)-CROQUIS!$C$107)-(MAX(1,INT(((CROQUIS!$C$97)-CROQUIS!$C$107)/MAX((CROQUIS!$C$137*MAX(1,CEILING((INT(((CROQUIS!$C$97)-CROQUIS!$C$107)/MAX(CROQUIS!$C$137,1))+1)/80,1))),1))+1)-1)*(CROQUIS!$C$137*MAX(1,CEILING((INT(((CROQUIS!$C$97)-CROQUIS!$C$107)/MAX(CROQUIS!$C$137,1))+1)/80,1))))/2)+MIN(INT(($A230-1)/5),MAX((MAX(1,INT(((CROQUIS!$C$97)-CROQUIS!$C$107)/MAX((CROQUIS!$C$137*MAX(1,CEILING((INT(((CROQUIS!$C$97)-CROQUIS!$C$107)/MAX(CROQUIS!$C$137,1))+1)/80,1))),1))+1))-1,0))*(CROQUIS!$C$137*MAX(1,CEILING((INT(((CROQUIS!$C$97)-CROQUIS!$C$107)/MAX(CROQUIS!$C$137,1))+1)/80,1))))))*CROQUIS!$C$159)+IF(CROQUIS!$C$92="X",0,0)),-1000)</f>
        <v>-1000</v>
      </c>
      <c r="BR230">
        <f>IF(AND(CROQUIS!$C$88=1,CROQUIS!$C$91=0,CROQUIS!$C$133&gt;0,OR(CROQUIS!$C$103=1,CROQUIS!$C$145=1)),((CROQUIS!$C$160+(IF(CROQUIS!$C$92="X",CHOOSE(IF(INT(($A230-1)/5)&gt;MAX((MAX(1,INT(((CROQUIS!$C$98)-CROQUIS!$C$107)/MAX((CROQUIS!$C$133*MAX(1,CEILING((INT(((CROQUIS!$C$98)-CROQUIS!$C$107)/MAX(CROQUIS!$C$133,1))+1)/80,1))),1))+1))-1,0),0,MOD($A230-1,5))+1,0,IF(CROQUIS!$C$103=1,-12,2),CROQUIS!$C$107/2+CROQUIS!$C$143,IF(CROQUIS!$C$103=1,-12,2),0),((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BS2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+1,0,IF(CROQUIS!$C$103=1,-12,2),CROQUIS!$C$107/2+CROQUIS!$C$143,IF(CROQUIS!$C$103=1,-12,2),0)))*CROQUIS!$C$159)+IF(CROQUIS!$C$92="X",0.8,0)),-1000)</f>
        <v>-1000</v>
      </c>
      <c r="BT230">
        <f>IF(AND(CROQUIS!$C$88=1,CROQUIS!$C$91=0,CROQUIS!$C$133&gt;0,OR(CROQUIS!$C$104=1,CROQUIS!$C$145=1)),((CROQUIS!$C$160+(IF(CROQUIS!$C$92="X",CHOOSE(IF(INT(($A230-1)/5)&gt;MAX((MAX(1,INT(((CROQUIS!$C$98)-CROQUIS!$C$107)/MAX((CROQUIS!$C$133*MAX(1,CEILING((INT(((CROQUIS!$C$98)-CROQUIS!$C$107)/MAX(CROQUIS!$C$133,1))+1)/80,1))),1))+1))-1,0),0,MOD($A230-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BU2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CROQUIS!$C$97,CROQUIS!$C$97-CROQUIS!$C$107/2-CROQUIS!$C$143,IF(CROQUIS!$C$104=1,CROQUIS!$C$97+12,CROQUIS!$C$97-2),CROQUIS!$C$97-CROQUIS!$C$107/2-CROQUIS!$C$143,CROQUIS!$C$97)))*CROQUIS!$C$159)+IF(CROQUIS!$C$92="X",0.8,0)),-1000)</f>
        <v>-1000</v>
      </c>
      <c r="BV2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HOOSE(IF(INT(($A230-1)/5)&gt;MAX((MAX(1,INT(((CROQUIS!$C$97)-CROQUIS!$C$107)/MAX((CROQUIS!$C$141*MAX(1,CEILING((INT(((CROQUIS!$C$97)-CROQUIS!$C$107)/MAX(CROQUIS!$C$141,1))+1)/80,1))),1))+1))-1,0),0,MOD($A230-1,5))+1,0,IF(CROQUIS!$C$105=1,-12,2),CROQUIS!$C$107/2+CROQUIS!$C$144,IF(CROQUIS!$C$105=1,-12,2),0)))*CROQUIS!$C$159)+IF(CROQUIS!$C$92="X",0.8,0)),-1000)</f>
        <v>-1000</v>
      </c>
      <c r="BW230">
        <f>IF(AND(CROQUIS!$C$88=1,CROQUIS!$C$91=0,CROQUIS!$C$141&gt;0,OR(CROQUIS!$C$105=1,CROQUIS!$C$146=1)),((CROQUIS!$C$161+(IF(CROQUIS!$C$92="X",CHOOSE(IF(INT(($A230-1)/5)&gt;MAX((MAX(1,INT(((CROQUIS!$C$97)-CROQUIS!$C$107)/MAX((CROQUIS!$C$141*MAX(1,CEILING((INT(((CROQUIS!$C$97)-CROQUIS!$C$107)/MAX(CROQUIS!$C$141,1))+1)/80,1))),1))+1))-1,0),0,MOD($A230-1,5))+1,0,IF(CROQUIS!$C$105=1,-12,2),CROQUIS!$C$107/2+CROQUIS!$C$144,IF(CROQUIS!$C$105=1,-12,2),0),((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ROQUIS!$C$159)+IF(CROQUIS!$C$92="X",0,0.8)),-1000)</f>
        <v>-1000</v>
      </c>
      <c r="BX2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HOOSE(IF(INT(($A230-1)/5)&gt;MAX((MAX(1,INT(((CROQUIS!$C$97)-CROQUIS!$C$107)/MAX((CROQUIS!$C$141*MAX(1,CEILING((INT(((CROQUIS!$C$97)-CROQUIS!$C$107)/MAX(CROQUIS!$C$141,1))+1)/80,1))),1))+1))-1,0),0,MOD($A230-1,5))+1,CROQUIS!$C$98,CROQUIS!$C$98-CROQUIS!$C$107/2-CROQUIS!$C$144,IF(CROQUIS!$C$106=1,CROQUIS!$C$98+12,CROQUIS!$C$98-2),CROQUIS!$C$98-CROQUIS!$C$107/2-CROQUIS!$C$144,CROQUIS!$C$98)))*CROQUIS!$C$159)+IF(CROQUIS!$C$92="X",0.8,0)),-1000)</f>
        <v>-1000</v>
      </c>
      <c r="BY230">
        <f>IF(AND(CROQUIS!$C$88=1,CROQUIS!$C$91=0,CROQUIS!$C$141&gt;0,OR(CROQUIS!$C$106=1,CROQUIS!$C$146=1)),((CROQUIS!$C$161+(IF(CROQUIS!$C$92="X",CHOOSE(IF(INT(($A230-1)/5)&gt;MAX((MAX(1,INT(((CROQUIS!$C$97)-CROQUIS!$C$107)/MAX((CROQUIS!$C$141*MAX(1,CEILING((INT(((CROQUIS!$C$97)-CROQUIS!$C$107)/MAX(CROQUIS!$C$141,1))+1)/80,1))),1))+1))-1,0),0,MOD($A230-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ROQUIS!$C$159)+IF(CROQUIS!$C$92="X",0,0.8)),-1000)</f>
        <v>-1000</v>
      </c>
      <c r="BZ230">
        <f>IF(AND(CROQUIS!$C$88=1,CROQUIS!$C$91=1,CROQUIS!$C$133&gt;0),((CROQUIS!$C$160+(IF(CROQUIS!$C$92="X",CHOOSE(IF(INT(($A230-1)/5)&gt;MAX((MAX(1,INT(((CROQUIS!$C$98)-CROQUIS!$C$107)/MAX((CROQUIS!$C$133*MAX(1,CEILING((INT(((CROQUIS!$C$98)-CROQUIS!$C$107)/MAX(CROQUIS!$C$133,1))+1)/80,1))),1))+1))-1,0),0,MOD($A230-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CA230">
        <f>IF(AND(CROQUIS!$C$88=1,CROQUIS!$C$91=1,CROQUIS!$C$133&gt;0),((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1">
      <c r="A231" t="n">
        <v>224</v>
      </c>
      <c r="BN231">
        <f>IF(AND(CROQUIS!$C$88=1,CROQUIS!$C$129&gt;0),((CROQUIS!$C$160+(IF(CROQUIS!$C$92="X",CHOOSE(IF(INT(($A231-1)/5)&gt;MAX((MAX(1,INT(((CROQUIS!$C$98)-CROQUIS!$C$107)/MAX((CROQUIS!$C$129*MAX(1,CEILING((INT(((CROQUIS!$C$98)-CROQUIS!$C$107)/MAX(CROQUIS!$C$129,1))+1)/80,1))),1))+1))-1,0),0,MOD($A231-1,5))+1,0,2,CROQUIS!$C$97-2,2,0),((CROQUIS!$C$107/2+(((CROQUIS!$C$98)-CROQUIS!$C$107)-(MAX(1,INT(((CROQUIS!$C$98)-CROQUIS!$C$107)/MAX((CROQUIS!$C$129*MAX(1,CEILING((INT(((CROQUIS!$C$98)-CROQUIS!$C$107)/MAX(CROQUIS!$C$129,1))+1)/80,1))),1))+1)-1)*(CROQUIS!$C$129*MAX(1,CEILING((INT(((CROQUIS!$C$98)-CROQUIS!$C$107)/MAX(CROQUIS!$C$129,1))+1)/80,1))))/2)+MIN(INT(($A231-1)/5),MAX((MAX(1,INT(((CROQUIS!$C$98)-CROQUIS!$C$107)/MAX((CROQUIS!$C$129*MAX(1,CEILING((INT(((CROQUIS!$C$98)-CROQUIS!$C$107)/MAX(CROQUIS!$C$129,1))+1)/80,1))),1))+1))-1,0))*(CROQUIS!$C$129*MAX(1,CEILING((INT(((CROQUIS!$C$98)-CROQUIS!$C$107)/MAX(CROQUIS!$C$129,1))+1)/80,1))))))*CROQUIS!$C$159)+IF(CROQUIS!$C$92="X",0,0)),-1000)</f>
        <v>-1000</v>
      </c>
      <c r="BO231">
        <f>IF(AND(CROQUIS!$C$88=1,CROQUIS!$C$129&gt;0),((CROQUIS!$C$161+(IF(CROQUIS!$C$92="X",((CROQUIS!$C$107/2+(((CROQUIS!$C$98)-CROQUIS!$C$107)-(MAX(1,INT(((CROQUIS!$C$98)-CROQUIS!$C$107)/MAX((CROQUIS!$C$129*MAX(1,CEILING((INT(((CROQUIS!$C$98)-CROQUIS!$C$107)/MAX(CROQUIS!$C$129,1))+1)/80,1))),1))+1)-1)*(CROQUIS!$C$129*MAX(1,CEILING((INT(((CROQUIS!$C$98)-CROQUIS!$C$107)/MAX(CROQUIS!$C$129,1))+1)/80,1))))/2)+MIN(INT(($A231-1)/5),MAX((MAX(1,INT(((CROQUIS!$C$98)-CROQUIS!$C$107)/MAX((CROQUIS!$C$129*MAX(1,CEILING((INT(((CROQUIS!$C$98)-CROQUIS!$C$107)/MAX(CROQUIS!$C$129,1))+1)/80,1))),1))+1))-1,0))*(CROQUIS!$C$129*MAX(1,CEILING((INT(((CROQUIS!$C$98)-CROQUIS!$C$107)/MAX(CROQUIS!$C$129,1))+1)/80,1)))),CHOOSE(IF(INT(($A231-1)/5)&gt;MAX((MAX(1,INT(((CROQUIS!$C$98)-CROQUIS!$C$107)/MAX((CROQUIS!$C$129*MAX(1,CEILING((INT(((CROQUIS!$C$98)-CROQUIS!$C$107)/MAX(CROQUIS!$C$129,1))+1)/80,1))),1))+1))-1,0),0,MOD($A231-1,5))+1,0,2,CROQUIS!$C$97-2,2,0)))*CROQUIS!$C$159)+IF(CROQUIS!$C$92="X",0,0)),-1000)</f>
        <v>-1000</v>
      </c>
      <c r="BP231">
        <f>IF(AND(CROQUIS!$C$88=1,CROQUIS!$C$137&gt;0),((CROQUIS!$C$160+(IF(CROQUIS!$C$92="X",((CROQUIS!$C$107/2+(((CROQUIS!$C$97)-CROQUIS!$C$107)-(MAX(1,INT(((CROQUIS!$C$97)-CROQUIS!$C$107)/MAX((CROQUIS!$C$137*MAX(1,CEILING((INT(((CROQUIS!$C$97)-CROQUIS!$C$107)/MAX(CROQUIS!$C$137,1))+1)/80,1))),1))+1)-1)*(CROQUIS!$C$137*MAX(1,CEILING((INT(((CROQUIS!$C$97)-CROQUIS!$C$107)/MAX(CROQUIS!$C$137,1))+1)/80,1))))/2)+MIN(INT(($A231-1)/5),MAX((MAX(1,INT(((CROQUIS!$C$97)-CROQUIS!$C$107)/MAX((CROQUIS!$C$137*MAX(1,CEILING((INT(((CROQUIS!$C$97)-CROQUIS!$C$107)/MAX(CROQUIS!$C$137,1))+1)/80,1))),1))+1))-1,0))*(CROQUIS!$C$137*MAX(1,CEILING((INT(((CROQUIS!$C$97)-CROQUIS!$C$107)/MAX(CROQUIS!$C$137,1))+1)/80,1)))),CHOOSE(IF(INT(($A231-1)/5)&gt;MAX((MAX(1,INT(((CROQUIS!$C$97)-CROQUIS!$C$107)/MAX((CROQUIS!$C$137*MAX(1,CEILING((INT(((CROQUIS!$C$97)-CROQUIS!$C$107)/MAX(CROQUIS!$C$137,1))+1)/80,1))),1))+1))-1,0),0,MOD($A231-1,5))+1,0,2,CROQUIS!$C$98-2,2,0)))*CROQUIS!$C$159)+IF(CROQUIS!$C$92="X",0,0)),-1000)</f>
        <v>-1000</v>
      </c>
      <c r="BQ231">
        <f>IF(AND(CROQUIS!$C$88=1,CROQUIS!$C$137&gt;0),((CROQUIS!$C$161+(IF(CROQUIS!$C$92="X",CHOOSE(IF(INT(($A231-1)/5)&gt;MAX((MAX(1,INT(((CROQUIS!$C$97)-CROQUIS!$C$107)/MAX((CROQUIS!$C$137*MAX(1,CEILING((INT(((CROQUIS!$C$97)-CROQUIS!$C$107)/MAX(CROQUIS!$C$137,1))+1)/80,1))),1))+1))-1,0),0,MOD($A231-1,5))+1,0,2,CROQUIS!$C$98-2,2,0),((CROQUIS!$C$107/2+(((CROQUIS!$C$97)-CROQUIS!$C$107)-(MAX(1,INT(((CROQUIS!$C$97)-CROQUIS!$C$107)/MAX((CROQUIS!$C$137*MAX(1,CEILING((INT(((CROQUIS!$C$97)-CROQUIS!$C$107)/MAX(CROQUIS!$C$137,1))+1)/80,1))),1))+1)-1)*(CROQUIS!$C$137*MAX(1,CEILING((INT(((CROQUIS!$C$97)-CROQUIS!$C$107)/MAX(CROQUIS!$C$137,1))+1)/80,1))))/2)+MIN(INT(($A231-1)/5),MAX((MAX(1,INT(((CROQUIS!$C$97)-CROQUIS!$C$107)/MAX((CROQUIS!$C$137*MAX(1,CEILING((INT(((CROQUIS!$C$97)-CROQUIS!$C$107)/MAX(CROQUIS!$C$137,1))+1)/80,1))),1))+1))-1,0))*(CROQUIS!$C$137*MAX(1,CEILING((INT(((CROQUIS!$C$97)-CROQUIS!$C$107)/MAX(CROQUIS!$C$137,1))+1)/80,1))))))*CROQUIS!$C$159)+IF(CROQUIS!$C$92="X",0,0)),-1000)</f>
        <v>-1000</v>
      </c>
      <c r="BR231">
        <f>IF(AND(CROQUIS!$C$88=1,CROQUIS!$C$91=0,CROQUIS!$C$133&gt;0,OR(CROQUIS!$C$103=1,CROQUIS!$C$145=1)),((CROQUIS!$C$160+(IF(CROQUIS!$C$92="X",CHOOSE(IF(INT(($A231-1)/5)&gt;MAX((MAX(1,INT(((CROQUIS!$C$98)-CROQUIS!$C$107)/MAX((CROQUIS!$C$133*MAX(1,CEILING((INT(((CROQUIS!$C$98)-CROQUIS!$C$107)/MAX(CROQUIS!$C$133,1))+1)/80,1))),1))+1))-1,0),0,MOD($A231-1,5))+1,0,IF(CROQUIS!$C$103=1,-12,2),CROQUIS!$C$107/2+CROQUIS!$C$143,IF(CROQUIS!$C$103=1,-12,2),0),((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BS2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+1,0,IF(CROQUIS!$C$103=1,-12,2),CROQUIS!$C$107/2+CROQUIS!$C$143,IF(CROQUIS!$C$103=1,-12,2),0)))*CROQUIS!$C$159)+IF(CROQUIS!$C$92="X",0.8,0)),-1000)</f>
        <v>-1000</v>
      </c>
      <c r="BT231">
        <f>IF(AND(CROQUIS!$C$88=1,CROQUIS!$C$91=0,CROQUIS!$C$133&gt;0,OR(CROQUIS!$C$104=1,CROQUIS!$C$145=1)),((CROQUIS!$C$160+(IF(CROQUIS!$C$92="X",CHOOSE(IF(INT(($A231-1)/5)&gt;MAX((MAX(1,INT(((CROQUIS!$C$98)-CROQUIS!$C$107)/MAX((CROQUIS!$C$133*MAX(1,CEILING((INT(((CROQUIS!$C$98)-CROQUIS!$C$107)/MAX(CROQUIS!$C$133,1))+1)/80,1))),1))+1))-1,0),0,MOD($A231-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BU2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CROQUIS!$C$97,CROQUIS!$C$97-CROQUIS!$C$107/2-CROQUIS!$C$143,IF(CROQUIS!$C$104=1,CROQUIS!$C$97+12,CROQUIS!$C$97-2),CROQUIS!$C$97-CROQUIS!$C$107/2-CROQUIS!$C$143,CROQUIS!$C$97)))*CROQUIS!$C$159)+IF(CROQUIS!$C$92="X",0.8,0)),-1000)</f>
        <v>-1000</v>
      </c>
      <c r="BV2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HOOSE(IF(INT(($A231-1)/5)&gt;MAX((MAX(1,INT(((CROQUIS!$C$97)-CROQUIS!$C$107)/MAX((CROQUIS!$C$141*MAX(1,CEILING((INT(((CROQUIS!$C$97)-CROQUIS!$C$107)/MAX(CROQUIS!$C$141,1))+1)/80,1))),1))+1))-1,0),0,MOD($A231-1,5))+1,0,IF(CROQUIS!$C$105=1,-12,2),CROQUIS!$C$107/2+CROQUIS!$C$144,IF(CROQUIS!$C$105=1,-12,2),0)))*CROQUIS!$C$159)+IF(CROQUIS!$C$92="X",0.8,0)),-1000)</f>
        <v>-1000</v>
      </c>
      <c r="BW231">
        <f>IF(AND(CROQUIS!$C$88=1,CROQUIS!$C$91=0,CROQUIS!$C$141&gt;0,OR(CROQUIS!$C$105=1,CROQUIS!$C$146=1)),((CROQUIS!$C$161+(IF(CROQUIS!$C$92="X",CHOOSE(IF(INT(($A231-1)/5)&gt;MAX((MAX(1,INT(((CROQUIS!$C$97)-CROQUIS!$C$107)/MAX((CROQUIS!$C$141*MAX(1,CEILING((INT(((CROQUIS!$C$97)-CROQUIS!$C$107)/MAX(CROQUIS!$C$141,1))+1)/80,1))),1))+1))-1,0),0,MOD($A231-1,5))+1,0,IF(CROQUIS!$C$105=1,-12,2),CROQUIS!$C$107/2+CROQUIS!$C$144,IF(CROQUIS!$C$105=1,-12,2),0),((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ROQUIS!$C$159)+IF(CROQUIS!$C$92="X",0,0.8)),-1000)</f>
        <v>-1000</v>
      </c>
      <c r="BX2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HOOSE(IF(INT(($A231-1)/5)&gt;MAX((MAX(1,INT(((CROQUIS!$C$97)-CROQUIS!$C$107)/MAX((CROQUIS!$C$141*MAX(1,CEILING((INT(((CROQUIS!$C$97)-CROQUIS!$C$107)/MAX(CROQUIS!$C$141,1))+1)/80,1))),1))+1))-1,0),0,MOD($A231-1,5))+1,CROQUIS!$C$98,CROQUIS!$C$98-CROQUIS!$C$107/2-CROQUIS!$C$144,IF(CROQUIS!$C$106=1,CROQUIS!$C$98+12,CROQUIS!$C$98-2),CROQUIS!$C$98-CROQUIS!$C$107/2-CROQUIS!$C$144,CROQUIS!$C$98)))*CROQUIS!$C$159)+IF(CROQUIS!$C$92="X",0.8,0)),-1000)</f>
        <v>-1000</v>
      </c>
      <c r="BY231">
        <f>IF(AND(CROQUIS!$C$88=1,CROQUIS!$C$91=0,CROQUIS!$C$141&gt;0,OR(CROQUIS!$C$106=1,CROQUIS!$C$146=1)),((CROQUIS!$C$161+(IF(CROQUIS!$C$92="X",CHOOSE(IF(INT(($A231-1)/5)&gt;MAX((MAX(1,INT(((CROQUIS!$C$97)-CROQUIS!$C$107)/MAX((CROQUIS!$C$141*MAX(1,CEILING((INT(((CROQUIS!$C$97)-CROQUIS!$C$107)/MAX(CROQUIS!$C$141,1))+1)/80,1))),1))+1))-1,0),0,MOD($A231-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ROQUIS!$C$159)+IF(CROQUIS!$C$92="X",0,0.8)),-1000)</f>
        <v>-1000</v>
      </c>
      <c r="BZ231">
        <f>IF(AND(CROQUIS!$C$88=1,CROQUIS!$C$91=1,CROQUIS!$C$133&gt;0),((CROQUIS!$C$160+(IF(CROQUIS!$C$92="X",CHOOSE(IF(INT(($A231-1)/5)&gt;MAX((MAX(1,INT(((CROQUIS!$C$98)-CROQUIS!$C$107)/MAX((CROQUIS!$C$133*MAX(1,CEILING((INT(((CROQUIS!$C$98)-CROQUIS!$C$107)/MAX(CROQUIS!$C$133,1))+1)/80,1))),1))+1))-1,0),0,MOD($A231-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CA231">
        <f>IF(AND(CROQUIS!$C$88=1,CROQUIS!$C$91=1,CROQUIS!$C$133&gt;0),((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2">
      <c r="A232" t="n">
        <v>225</v>
      </c>
      <c r="BN232">
        <f>IF(AND(CROQUIS!$C$88=1,CROQUIS!$C$129&gt;0),((CROQUIS!$C$160+(IF(CROQUIS!$C$92="X",CHOOSE(IF(INT(($A232-1)/5)&gt;MAX((MAX(1,INT(((CROQUIS!$C$98)-CROQUIS!$C$107)/MAX((CROQUIS!$C$129*MAX(1,CEILING((INT(((CROQUIS!$C$98)-CROQUIS!$C$107)/MAX(CROQUIS!$C$129,1))+1)/80,1))),1))+1))-1,0),0,MOD($A232-1,5))+1,0,2,CROQUIS!$C$97-2,2,0),((CROQUIS!$C$107/2+(((CROQUIS!$C$98)-CROQUIS!$C$107)-(MAX(1,INT(((CROQUIS!$C$98)-CROQUIS!$C$107)/MAX((CROQUIS!$C$129*MAX(1,CEILING((INT(((CROQUIS!$C$98)-CROQUIS!$C$107)/MAX(CROQUIS!$C$129,1))+1)/80,1))),1))+1)-1)*(CROQUIS!$C$129*MAX(1,CEILING((INT(((CROQUIS!$C$98)-CROQUIS!$C$107)/MAX(CROQUIS!$C$129,1))+1)/80,1))))/2)+MIN(INT(($A232-1)/5),MAX((MAX(1,INT(((CROQUIS!$C$98)-CROQUIS!$C$107)/MAX((CROQUIS!$C$129*MAX(1,CEILING((INT(((CROQUIS!$C$98)-CROQUIS!$C$107)/MAX(CROQUIS!$C$129,1))+1)/80,1))),1))+1))-1,0))*(CROQUIS!$C$129*MAX(1,CEILING((INT(((CROQUIS!$C$98)-CROQUIS!$C$107)/MAX(CROQUIS!$C$129,1))+1)/80,1))))))*CROQUIS!$C$159)+IF(CROQUIS!$C$92="X",0,0)),-1000)</f>
        <v>-1000</v>
      </c>
      <c r="BO232">
        <f>IF(AND(CROQUIS!$C$88=1,CROQUIS!$C$129&gt;0),((CROQUIS!$C$161+(IF(CROQUIS!$C$92="X",((CROQUIS!$C$107/2+(((CROQUIS!$C$98)-CROQUIS!$C$107)-(MAX(1,INT(((CROQUIS!$C$98)-CROQUIS!$C$107)/MAX((CROQUIS!$C$129*MAX(1,CEILING((INT(((CROQUIS!$C$98)-CROQUIS!$C$107)/MAX(CROQUIS!$C$129,1))+1)/80,1))),1))+1)-1)*(CROQUIS!$C$129*MAX(1,CEILING((INT(((CROQUIS!$C$98)-CROQUIS!$C$107)/MAX(CROQUIS!$C$129,1))+1)/80,1))))/2)+MIN(INT(($A232-1)/5),MAX((MAX(1,INT(((CROQUIS!$C$98)-CROQUIS!$C$107)/MAX((CROQUIS!$C$129*MAX(1,CEILING((INT(((CROQUIS!$C$98)-CROQUIS!$C$107)/MAX(CROQUIS!$C$129,1))+1)/80,1))),1))+1))-1,0))*(CROQUIS!$C$129*MAX(1,CEILING((INT(((CROQUIS!$C$98)-CROQUIS!$C$107)/MAX(CROQUIS!$C$129,1))+1)/80,1)))),CHOOSE(IF(INT(($A232-1)/5)&gt;MAX((MAX(1,INT(((CROQUIS!$C$98)-CROQUIS!$C$107)/MAX((CROQUIS!$C$129*MAX(1,CEILING((INT(((CROQUIS!$C$98)-CROQUIS!$C$107)/MAX(CROQUIS!$C$129,1))+1)/80,1))),1))+1))-1,0),0,MOD($A232-1,5))+1,0,2,CROQUIS!$C$97-2,2,0)))*CROQUIS!$C$159)+IF(CROQUIS!$C$92="X",0,0)),-1000)</f>
        <v>-1000</v>
      </c>
      <c r="BP232">
        <f>IF(AND(CROQUIS!$C$88=1,CROQUIS!$C$137&gt;0),((CROQUIS!$C$160+(IF(CROQUIS!$C$92="X",((CROQUIS!$C$107/2+(((CROQUIS!$C$97)-CROQUIS!$C$107)-(MAX(1,INT(((CROQUIS!$C$97)-CROQUIS!$C$107)/MAX((CROQUIS!$C$137*MAX(1,CEILING((INT(((CROQUIS!$C$97)-CROQUIS!$C$107)/MAX(CROQUIS!$C$137,1))+1)/80,1))),1))+1)-1)*(CROQUIS!$C$137*MAX(1,CEILING((INT(((CROQUIS!$C$97)-CROQUIS!$C$107)/MAX(CROQUIS!$C$137,1))+1)/80,1))))/2)+MIN(INT(($A232-1)/5),MAX((MAX(1,INT(((CROQUIS!$C$97)-CROQUIS!$C$107)/MAX((CROQUIS!$C$137*MAX(1,CEILING((INT(((CROQUIS!$C$97)-CROQUIS!$C$107)/MAX(CROQUIS!$C$137,1))+1)/80,1))),1))+1))-1,0))*(CROQUIS!$C$137*MAX(1,CEILING((INT(((CROQUIS!$C$97)-CROQUIS!$C$107)/MAX(CROQUIS!$C$137,1))+1)/80,1)))),CHOOSE(IF(INT(($A232-1)/5)&gt;MAX((MAX(1,INT(((CROQUIS!$C$97)-CROQUIS!$C$107)/MAX((CROQUIS!$C$137*MAX(1,CEILING((INT(((CROQUIS!$C$97)-CROQUIS!$C$107)/MAX(CROQUIS!$C$137,1))+1)/80,1))),1))+1))-1,0),0,MOD($A232-1,5))+1,0,2,CROQUIS!$C$98-2,2,0)))*CROQUIS!$C$159)+IF(CROQUIS!$C$92="X",0,0)),-1000)</f>
        <v>-1000</v>
      </c>
      <c r="BQ232">
        <f>IF(AND(CROQUIS!$C$88=1,CROQUIS!$C$137&gt;0),((CROQUIS!$C$161+(IF(CROQUIS!$C$92="X",CHOOSE(IF(INT(($A232-1)/5)&gt;MAX((MAX(1,INT(((CROQUIS!$C$97)-CROQUIS!$C$107)/MAX((CROQUIS!$C$137*MAX(1,CEILING((INT(((CROQUIS!$C$97)-CROQUIS!$C$107)/MAX(CROQUIS!$C$137,1))+1)/80,1))),1))+1))-1,0),0,MOD($A232-1,5))+1,0,2,CROQUIS!$C$98-2,2,0),((CROQUIS!$C$107/2+(((CROQUIS!$C$97)-CROQUIS!$C$107)-(MAX(1,INT(((CROQUIS!$C$97)-CROQUIS!$C$107)/MAX((CROQUIS!$C$137*MAX(1,CEILING((INT(((CROQUIS!$C$97)-CROQUIS!$C$107)/MAX(CROQUIS!$C$137,1))+1)/80,1))),1))+1)-1)*(CROQUIS!$C$137*MAX(1,CEILING((INT(((CROQUIS!$C$97)-CROQUIS!$C$107)/MAX(CROQUIS!$C$137,1))+1)/80,1))))/2)+MIN(INT(($A232-1)/5),MAX((MAX(1,INT(((CROQUIS!$C$97)-CROQUIS!$C$107)/MAX((CROQUIS!$C$137*MAX(1,CEILING((INT(((CROQUIS!$C$97)-CROQUIS!$C$107)/MAX(CROQUIS!$C$137,1))+1)/80,1))),1))+1))-1,0))*(CROQUIS!$C$137*MAX(1,CEILING((INT(((CROQUIS!$C$97)-CROQUIS!$C$107)/MAX(CROQUIS!$C$137,1))+1)/80,1))))))*CROQUIS!$C$159)+IF(CROQUIS!$C$92="X",0,0)),-1000)</f>
        <v>-1000</v>
      </c>
      <c r="BR232">
        <f>IF(AND(CROQUIS!$C$88=1,CROQUIS!$C$91=0,CROQUIS!$C$133&gt;0,OR(CROQUIS!$C$103=1,CROQUIS!$C$145=1)),((CROQUIS!$C$160+(IF(CROQUIS!$C$92="X",CHOOSE(IF(INT(($A232-1)/5)&gt;MAX((MAX(1,INT(((CROQUIS!$C$98)-CROQUIS!$C$107)/MAX((CROQUIS!$C$133*MAX(1,CEILING((INT(((CROQUIS!$C$98)-CROQUIS!$C$107)/MAX(CROQUIS!$C$133,1))+1)/80,1))),1))+1))-1,0),0,MOD($A232-1,5))+1,0,IF(CROQUIS!$C$103=1,-12,2),CROQUIS!$C$107/2+CROQUIS!$C$143,IF(CROQUIS!$C$103=1,-12,2),0),((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BS2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+1,0,IF(CROQUIS!$C$103=1,-12,2),CROQUIS!$C$107/2+CROQUIS!$C$143,IF(CROQUIS!$C$103=1,-12,2),0)))*CROQUIS!$C$159)+IF(CROQUIS!$C$92="X",0.8,0)),-1000)</f>
        <v>-1000</v>
      </c>
      <c r="BT232">
        <f>IF(AND(CROQUIS!$C$88=1,CROQUIS!$C$91=0,CROQUIS!$C$133&gt;0,OR(CROQUIS!$C$104=1,CROQUIS!$C$145=1)),((CROQUIS!$C$160+(IF(CROQUIS!$C$92="X",CHOOSE(IF(INT(($A232-1)/5)&gt;MAX((MAX(1,INT(((CROQUIS!$C$98)-CROQUIS!$C$107)/MAX((CROQUIS!$C$133*MAX(1,CEILING((INT(((CROQUIS!$C$98)-CROQUIS!$C$107)/MAX(CROQUIS!$C$133,1))+1)/80,1))),1))+1))-1,0),0,MOD($A232-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BU2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CROQUIS!$C$97,CROQUIS!$C$97-CROQUIS!$C$107/2-CROQUIS!$C$143,IF(CROQUIS!$C$104=1,CROQUIS!$C$97+12,CROQUIS!$C$97-2),CROQUIS!$C$97-CROQUIS!$C$107/2-CROQUIS!$C$143,CROQUIS!$C$97)))*CROQUIS!$C$159)+IF(CROQUIS!$C$92="X",0.8,0)),-1000)</f>
        <v>-1000</v>
      </c>
      <c r="BV2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HOOSE(IF(INT(($A232-1)/5)&gt;MAX((MAX(1,INT(((CROQUIS!$C$97)-CROQUIS!$C$107)/MAX((CROQUIS!$C$141*MAX(1,CEILING((INT(((CROQUIS!$C$97)-CROQUIS!$C$107)/MAX(CROQUIS!$C$141,1))+1)/80,1))),1))+1))-1,0),0,MOD($A232-1,5))+1,0,IF(CROQUIS!$C$105=1,-12,2),CROQUIS!$C$107/2+CROQUIS!$C$144,IF(CROQUIS!$C$105=1,-12,2),0)))*CROQUIS!$C$159)+IF(CROQUIS!$C$92="X",0.8,0)),-1000)</f>
        <v>-1000</v>
      </c>
      <c r="BW232">
        <f>IF(AND(CROQUIS!$C$88=1,CROQUIS!$C$91=0,CROQUIS!$C$141&gt;0,OR(CROQUIS!$C$105=1,CROQUIS!$C$146=1)),((CROQUIS!$C$161+(IF(CROQUIS!$C$92="X",CHOOSE(IF(INT(($A232-1)/5)&gt;MAX((MAX(1,INT(((CROQUIS!$C$97)-CROQUIS!$C$107)/MAX((CROQUIS!$C$141*MAX(1,CEILING((INT(((CROQUIS!$C$97)-CROQUIS!$C$107)/MAX(CROQUIS!$C$141,1))+1)/80,1))),1))+1))-1,0),0,MOD($A232-1,5))+1,0,IF(CROQUIS!$C$105=1,-12,2),CROQUIS!$C$107/2+CROQUIS!$C$144,IF(CROQUIS!$C$105=1,-12,2),0),((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ROQUIS!$C$159)+IF(CROQUIS!$C$92="X",0,0.8)),-1000)</f>
        <v>-1000</v>
      </c>
      <c r="BX2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HOOSE(IF(INT(($A232-1)/5)&gt;MAX((MAX(1,INT(((CROQUIS!$C$97)-CROQUIS!$C$107)/MAX((CROQUIS!$C$141*MAX(1,CEILING((INT(((CROQUIS!$C$97)-CROQUIS!$C$107)/MAX(CROQUIS!$C$141,1))+1)/80,1))),1))+1))-1,0),0,MOD($A232-1,5))+1,CROQUIS!$C$98,CROQUIS!$C$98-CROQUIS!$C$107/2-CROQUIS!$C$144,IF(CROQUIS!$C$106=1,CROQUIS!$C$98+12,CROQUIS!$C$98-2),CROQUIS!$C$98-CROQUIS!$C$107/2-CROQUIS!$C$144,CROQUIS!$C$98)))*CROQUIS!$C$159)+IF(CROQUIS!$C$92="X",0.8,0)),-1000)</f>
        <v>-1000</v>
      </c>
      <c r="BY232">
        <f>IF(AND(CROQUIS!$C$88=1,CROQUIS!$C$91=0,CROQUIS!$C$141&gt;0,OR(CROQUIS!$C$106=1,CROQUIS!$C$146=1)),((CROQUIS!$C$161+(IF(CROQUIS!$C$92="X",CHOOSE(IF(INT(($A232-1)/5)&gt;MAX((MAX(1,INT(((CROQUIS!$C$97)-CROQUIS!$C$107)/MAX((CROQUIS!$C$141*MAX(1,CEILING((INT(((CROQUIS!$C$97)-CROQUIS!$C$107)/MAX(CROQUIS!$C$141,1))+1)/80,1))),1))+1))-1,0),0,MOD($A232-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ROQUIS!$C$159)+IF(CROQUIS!$C$92="X",0,0.8)),-1000)</f>
        <v>-1000</v>
      </c>
      <c r="BZ232">
        <f>IF(AND(CROQUIS!$C$88=1,CROQUIS!$C$91=1,CROQUIS!$C$133&gt;0),((CROQUIS!$C$160+(IF(CROQUIS!$C$92="X",CHOOSE(IF(INT(($A232-1)/5)&gt;MAX((MAX(1,INT(((CROQUIS!$C$98)-CROQUIS!$C$107)/MAX((CROQUIS!$C$133*MAX(1,CEILING((INT(((CROQUIS!$C$98)-CROQUIS!$C$107)/MAX(CROQUIS!$C$133,1))+1)/80,1))),1))+1))-1,0),0,MOD($A232-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CA232">
        <f>IF(AND(CROQUIS!$C$88=1,CROQUIS!$C$91=1,CROQUIS!$C$133&gt;0),((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3">
      <c r="A233" t="n">
        <v>226</v>
      </c>
      <c r="BN233">
        <f>IF(AND(CROQUIS!$C$88=1,CROQUIS!$C$129&gt;0),((CROQUIS!$C$160+(IF(CROQUIS!$C$92="X",CHOOSE(IF(INT(($A233-1)/5)&gt;MAX((MAX(1,INT(((CROQUIS!$C$98)-CROQUIS!$C$107)/MAX((CROQUIS!$C$129*MAX(1,CEILING((INT(((CROQUIS!$C$98)-CROQUIS!$C$107)/MAX(CROQUIS!$C$129,1))+1)/80,1))),1))+1))-1,0),0,MOD($A233-1,5))+1,0,2,CROQUIS!$C$97-2,2,0),((CROQUIS!$C$107/2+(((CROQUIS!$C$98)-CROQUIS!$C$107)-(MAX(1,INT(((CROQUIS!$C$98)-CROQUIS!$C$107)/MAX((CROQUIS!$C$129*MAX(1,CEILING((INT(((CROQUIS!$C$98)-CROQUIS!$C$107)/MAX(CROQUIS!$C$129,1))+1)/80,1))),1))+1)-1)*(CROQUIS!$C$129*MAX(1,CEILING((INT(((CROQUIS!$C$98)-CROQUIS!$C$107)/MAX(CROQUIS!$C$129,1))+1)/80,1))))/2)+MIN(INT(($A233-1)/5),MAX((MAX(1,INT(((CROQUIS!$C$98)-CROQUIS!$C$107)/MAX((CROQUIS!$C$129*MAX(1,CEILING((INT(((CROQUIS!$C$98)-CROQUIS!$C$107)/MAX(CROQUIS!$C$129,1))+1)/80,1))),1))+1))-1,0))*(CROQUIS!$C$129*MAX(1,CEILING((INT(((CROQUIS!$C$98)-CROQUIS!$C$107)/MAX(CROQUIS!$C$129,1))+1)/80,1))))))*CROQUIS!$C$159)+IF(CROQUIS!$C$92="X",0,0)),-1000)</f>
        <v>-1000</v>
      </c>
      <c r="BO233">
        <f>IF(AND(CROQUIS!$C$88=1,CROQUIS!$C$129&gt;0),((CROQUIS!$C$161+(IF(CROQUIS!$C$92="X",((CROQUIS!$C$107/2+(((CROQUIS!$C$98)-CROQUIS!$C$107)-(MAX(1,INT(((CROQUIS!$C$98)-CROQUIS!$C$107)/MAX((CROQUIS!$C$129*MAX(1,CEILING((INT(((CROQUIS!$C$98)-CROQUIS!$C$107)/MAX(CROQUIS!$C$129,1))+1)/80,1))),1))+1)-1)*(CROQUIS!$C$129*MAX(1,CEILING((INT(((CROQUIS!$C$98)-CROQUIS!$C$107)/MAX(CROQUIS!$C$129,1))+1)/80,1))))/2)+MIN(INT(($A233-1)/5),MAX((MAX(1,INT(((CROQUIS!$C$98)-CROQUIS!$C$107)/MAX((CROQUIS!$C$129*MAX(1,CEILING((INT(((CROQUIS!$C$98)-CROQUIS!$C$107)/MAX(CROQUIS!$C$129,1))+1)/80,1))),1))+1))-1,0))*(CROQUIS!$C$129*MAX(1,CEILING((INT(((CROQUIS!$C$98)-CROQUIS!$C$107)/MAX(CROQUIS!$C$129,1))+1)/80,1)))),CHOOSE(IF(INT(($A233-1)/5)&gt;MAX((MAX(1,INT(((CROQUIS!$C$98)-CROQUIS!$C$107)/MAX((CROQUIS!$C$129*MAX(1,CEILING((INT(((CROQUIS!$C$98)-CROQUIS!$C$107)/MAX(CROQUIS!$C$129,1))+1)/80,1))),1))+1))-1,0),0,MOD($A233-1,5))+1,0,2,CROQUIS!$C$97-2,2,0)))*CROQUIS!$C$159)+IF(CROQUIS!$C$92="X",0,0)),-1000)</f>
        <v>-1000</v>
      </c>
      <c r="BP233">
        <f>IF(AND(CROQUIS!$C$88=1,CROQUIS!$C$137&gt;0),((CROQUIS!$C$160+(IF(CROQUIS!$C$92="X",((CROQUIS!$C$107/2+(((CROQUIS!$C$97)-CROQUIS!$C$107)-(MAX(1,INT(((CROQUIS!$C$97)-CROQUIS!$C$107)/MAX((CROQUIS!$C$137*MAX(1,CEILING((INT(((CROQUIS!$C$97)-CROQUIS!$C$107)/MAX(CROQUIS!$C$137,1))+1)/80,1))),1))+1)-1)*(CROQUIS!$C$137*MAX(1,CEILING((INT(((CROQUIS!$C$97)-CROQUIS!$C$107)/MAX(CROQUIS!$C$137,1))+1)/80,1))))/2)+MIN(INT(($A233-1)/5),MAX((MAX(1,INT(((CROQUIS!$C$97)-CROQUIS!$C$107)/MAX((CROQUIS!$C$137*MAX(1,CEILING((INT(((CROQUIS!$C$97)-CROQUIS!$C$107)/MAX(CROQUIS!$C$137,1))+1)/80,1))),1))+1))-1,0))*(CROQUIS!$C$137*MAX(1,CEILING((INT(((CROQUIS!$C$97)-CROQUIS!$C$107)/MAX(CROQUIS!$C$137,1))+1)/80,1)))),CHOOSE(IF(INT(($A233-1)/5)&gt;MAX((MAX(1,INT(((CROQUIS!$C$97)-CROQUIS!$C$107)/MAX((CROQUIS!$C$137*MAX(1,CEILING((INT(((CROQUIS!$C$97)-CROQUIS!$C$107)/MAX(CROQUIS!$C$137,1))+1)/80,1))),1))+1))-1,0),0,MOD($A233-1,5))+1,0,2,CROQUIS!$C$98-2,2,0)))*CROQUIS!$C$159)+IF(CROQUIS!$C$92="X",0,0)),-1000)</f>
        <v>-1000</v>
      </c>
      <c r="BQ233">
        <f>IF(AND(CROQUIS!$C$88=1,CROQUIS!$C$137&gt;0),((CROQUIS!$C$161+(IF(CROQUIS!$C$92="X",CHOOSE(IF(INT(($A233-1)/5)&gt;MAX((MAX(1,INT(((CROQUIS!$C$97)-CROQUIS!$C$107)/MAX((CROQUIS!$C$137*MAX(1,CEILING((INT(((CROQUIS!$C$97)-CROQUIS!$C$107)/MAX(CROQUIS!$C$137,1))+1)/80,1))),1))+1))-1,0),0,MOD($A233-1,5))+1,0,2,CROQUIS!$C$98-2,2,0),((CROQUIS!$C$107/2+(((CROQUIS!$C$97)-CROQUIS!$C$107)-(MAX(1,INT(((CROQUIS!$C$97)-CROQUIS!$C$107)/MAX((CROQUIS!$C$137*MAX(1,CEILING((INT(((CROQUIS!$C$97)-CROQUIS!$C$107)/MAX(CROQUIS!$C$137,1))+1)/80,1))),1))+1)-1)*(CROQUIS!$C$137*MAX(1,CEILING((INT(((CROQUIS!$C$97)-CROQUIS!$C$107)/MAX(CROQUIS!$C$137,1))+1)/80,1))))/2)+MIN(INT(($A233-1)/5),MAX((MAX(1,INT(((CROQUIS!$C$97)-CROQUIS!$C$107)/MAX((CROQUIS!$C$137*MAX(1,CEILING((INT(((CROQUIS!$C$97)-CROQUIS!$C$107)/MAX(CROQUIS!$C$137,1))+1)/80,1))),1))+1))-1,0))*(CROQUIS!$C$137*MAX(1,CEILING((INT(((CROQUIS!$C$97)-CROQUIS!$C$107)/MAX(CROQUIS!$C$137,1))+1)/80,1))))))*CROQUIS!$C$159)+IF(CROQUIS!$C$92="X",0,0)),-1000)</f>
        <v>-1000</v>
      </c>
      <c r="BR233">
        <f>IF(AND(CROQUIS!$C$88=1,CROQUIS!$C$91=0,CROQUIS!$C$133&gt;0,OR(CROQUIS!$C$103=1,CROQUIS!$C$145=1)),((CROQUIS!$C$160+(IF(CROQUIS!$C$92="X",CHOOSE(IF(INT(($A233-1)/5)&gt;MAX((MAX(1,INT(((CROQUIS!$C$98)-CROQUIS!$C$107)/MAX((CROQUIS!$C$133*MAX(1,CEILING((INT(((CROQUIS!$C$98)-CROQUIS!$C$107)/MAX(CROQUIS!$C$133,1))+1)/80,1))),1))+1))-1,0),0,MOD($A233-1,5))+1,0,IF(CROQUIS!$C$103=1,-12,2),CROQUIS!$C$107/2+CROQUIS!$C$143,IF(CROQUIS!$C$103=1,-12,2),0),((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BS2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+1,0,IF(CROQUIS!$C$103=1,-12,2),CROQUIS!$C$107/2+CROQUIS!$C$143,IF(CROQUIS!$C$103=1,-12,2),0)))*CROQUIS!$C$159)+IF(CROQUIS!$C$92="X",0.8,0)),-1000)</f>
        <v>-1000</v>
      </c>
      <c r="BT233">
        <f>IF(AND(CROQUIS!$C$88=1,CROQUIS!$C$91=0,CROQUIS!$C$133&gt;0,OR(CROQUIS!$C$104=1,CROQUIS!$C$145=1)),((CROQUIS!$C$160+(IF(CROQUIS!$C$92="X",CHOOSE(IF(INT(($A233-1)/5)&gt;MAX((MAX(1,INT(((CROQUIS!$C$98)-CROQUIS!$C$107)/MAX((CROQUIS!$C$133*MAX(1,CEILING((INT(((CROQUIS!$C$98)-CROQUIS!$C$107)/MAX(CROQUIS!$C$133,1))+1)/80,1))),1))+1))-1,0),0,MOD($A233-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BU2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CROQUIS!$C$97,CROQUIS!$C$97-CROQUIS!$C$107/2-CROQUIS!$C$143,IF(CROQUIS!$C$104=1,CROQUIS!$C$97+12,CROQUIS!$C$97-2),CROQUIS!$C$97-CROQUIS!$C$107/2-CROQUIS!$C$143,CROQUIS!$C$97)))*CROQUIS!$C$159)+IF(CROQUIS!$C$92="X",0.8,0)),-1000)</f>
        <v>-1000</v>
      </c>
      <c r="BV2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HOOSE(IF(INT(($A233-1)/5)&gt;MAX((MAX(1,INT(((CROQUIS!$C$97)-CROQUIS!$C$107)/MAX((CROQUIS!$C$141*MAX(1,CEILING((INT(((CROQUIS!$C$97)-CROQUIS!$C$107)/MAX(CROQUIS!$C$141,1))+1)/80,1))),1))+1))-1,0),0,MOD($A233-1,5))+1,0,IF(CROQUIS!$C$105=1,-12,2),CROQUIS!$C$107/2+CROQUIS!$C$144,IF(CROQUIS!$C$105=1,-12,2),0)))*CROQUIS!$C$159)+IF(CROQUIS!$C$92="X",0.8,0)),-1000)</f>
        <v>-1000</v>
      </c>
      <c r="BW233">
        <f>IF(AND(CROQUIS!$C$88=1,CROQUIS!$C$91=0,CROQUIS!$C$141&gt;0,OR(CROQUIS!$C$105=1,CROQUIS!$C$146=1)),((CROQUIS!$C$161+(IF(CROQUIS!$C$92="X",CHOOSE(IF(INT(($A233-1)/5)&gt;MAX((MAX(1,INT(((CROQUIS!$C$97)-CROQUIS!$C$107)/MAX((CROQUIS!$C$141*MAX(1,CEILING((INT(((CROQUIS!$C$97)-CROQUIS!$C$107)/MAX(CROQUIS!$C$141,1))+1)/80,1))),1))+1))-1,0),0,MOD($A233-1,5))+1,0,IF(CROQUIS!$C$105=1,-12,2),CROQUIS!$C$107/2+CROQUIS!$C$144,IF(CROQUIS!$C$105=1,-12,2),0),((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ROQUIS!$C$159)+IF(CROQUIS!$C$92="X",0,0.8)),-1000)</f>
        <v>-1000</v>
      </c>
      <c r="BX2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HOOSE(IF(INT(($A233-1)/5)&gt;MAX((MAX(1,INT(((CROQUIS!$C$97)-CROQUIS!$C$107)/MAX((CROQUIS!$C$141*MAX(1,CEILING((INT(((CROQUIS!$C$97)-CROQUIS!$C$107)/MAX(CROQUIS!$C$141,1))+1)/80,1))),1))+1))-1,0),0,MOD($A233-1,5))+1,CROQUIS!$C$98,CROQUIS!$C$98-CROQUIS!$C$107/2-CROQUIS!$C$144,IF(CROQUIS!$C$106=1,CROQUIS!$C$98+12,CROQUIS!$C$98-2),CROQUIS!$C$98-CROQUIS!$C$107/2-CROQUIS!$C$144,CROQUIS!$C$98)))*CROQUIS!$C$159)+IF(CROQUIS!$C$92="X",0.8,0)),-1000)</f>
        <v>-1000</v>
      </c>
      <c r="BY233">
        <f>IF(AND(CROQUIS!$C$88=1,CROQUIS!$C$91=0,CROQUIS!$C$141&gt;0,OR(CROQUIS!$C$106=1,CROQUIS!$C$146=1)),((CROQUIS!$C$161+(IF(CROQUIS!$C$92="X",CHOOSE(IF(INT(($A233-1)/5)&gt;MAX((MAX(1,INT(((CROQUIS!$C$97)-CROQUIS!$C$107)/MAX((CROQUIS!$C$141*MAX(1,CEILING((INT(((CROQUIS!$C$97)-CROQUIS!$C$107)/MAX(CROQUIS!$C$141,1))+1)/80,1))),1))+1))-1,0),0,MOD($A233-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ROQUIS!$C$159)+IF(CROQUIS!$C$92="X",0,0.8)),-1000)</f>
        <v>-1000</v>
      </c>
      <c r="BZ233">
        <f>IF(AND(CROQUIS!$C$88=1,CROQUIS!$C$91=1,CROQUIS!$C$133&gt;0),((CROQUIS!$C$160+(IF(CROQUIS!$C$92="X",CHOOSE(IF(INT(($A233-1)/5)&gt;MAX((MAX(1,INT(((CROQUIS!$C$98)-CROQUIS!$C$107)/MAX((CROQUIS!$C$133*MAX(1,CEILING((INT(((CROQUIS!$C$98)-CROQUIS!$C$107)/MAX(CROQUIS!$C$133,1))+1)/80,1))),1))+1))-1,0),0,MOD($A233-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CA233">
        <f>IF(AND(CROQUIS!$C$88=1,CROQUIS!$C$91=1,CROQUIS!$C$133&gt;0),((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4">
      <c r="A234" t="n">
        <v>227</v>
      </c>
      <c r="BN234">
        <f>IF(AND(CROQUIS!$C$88=1,CROQUIS!$C$129&gt;0),((CROQUIS!$C$160+(IF(CROQUIS!$C$92="X",CHOOSE(IF(INT(($A234-1)/5)&gt;MAX((MAX(1,INT(((CROQUIS!$C$98)-CROQUIS!$C$107)/MAX((CROQUIS!$C$129*MAX(1,CEILING((INT(((CROQUIS!$C$98)-CROQUIS!$C$107)/MAX(CROQUIS!$C$129,1))+1)/80,1))),1))+1))-1,0),0,MOD($A234-1,5))+1,0,2,CROQUIS!$C$97-2,2,0),((CROQUIS!$C$107/2+(((CROQUIS!$C$98)-CROQUIS!$C$107)-(MAX(1,INT(((CROQUIS!$C$98)-CROQUIS!$C$107)/MAX((CROQUIS!$C$129*MAX(1,CEILING((INT(((CROQUIS!$C$98)-CROQUIS!$C$107)/MAX(CROQUIS!$C$129,1))+1)/80,1))),1))+1)-1)*(CROQUIS!$C$129*MAX(1,CEILING((INT(((CROQUIS!$C$98)-CROQUIS!$C$107)/MAX(CROQUIS!$C$129,1))+1)/80,1))))/2)+MIN(INT(($A234-1)/5),MAX((MAX(1,INT(((CROQUIS!$C$98)-CROQUIS!$C$107)/MAX((CROQUIS!$C$129*MAX(1,CEILING((INT(((CROQUIS!$C$98)-CROQUIS!$C$107)/MAX(CROQUIS!$C$129,1))+1)/80,1))),1))+1))-1,0))*(CROQUIS!$C$129*MAX(1,CEILING((INT(((CROQUIS!$C$98)-CROQUIS!$C$107)/MAX(CROQUIS!$C$129,1))+1)/80,1))))))*CROQUIS!$C$159)+IF(CROQUIS!$C$92="X",0,0)),-1000)</f>
        <v>-1000</v>
      </c>
      <c r="BO234">
        <f>IF(AND(CROQUIS!$C$88=1,CROQUIS!$C$129&gt;0),((CROQUIS!$C$161+(IF(CROQUIS!$C$92="X",((CROQUIS!$C$107/2+(((CROQUIS!$C$98)-CROQUIS!$C$107)-(MAX(1,INT(((CROQUIS!$C$98)-CROQUIS!$C$107)/MAX((CROQUIS!$C$129*MAX(1,CEILING((INT(((CROQUIS!$C$98)-CROQUIS!$C$107)/MAX(CROQUIS!$C$129,1))+1)/80,1))),1))+1)-1)*(CROQUIS!$C$129*MAX(1,CEILING((INT(((CROQUIS!$C$98)-CROQUIS!$C$107)/MAX(CROQUIS!$C$129,1))+1)/80,1))))/2)+MIN(INT(($A234-1)/5),MAX((MAX(1,INT(((CROQUIS!$C$98)-CROQUIS!$C$107)/MAX((CROQUIS!$C$129*MAX(1,CEILING((INT(((CROQUIS!$C$98)-CROQUIS!$C$107)/MAX(CROQUIS!$C$129,1))+1)/80,1))),1))+1))-1,0))*(CROQUIS!$C$129*MAX(1,CEILING((INT(((CROQUIS!$C$98)-CROQUIS!$C$107)/MAX(CROQUIS!$C$129,1))+1)/80,1)))),CHOOSE(IF(INT(($A234-1)/5)&gt;MAX((MAX(1,INT(((CROQUIS!$C$98)-CROQUIS!$C$107)/MAX((CROQUIS!$C$129*MAX(1,CEILING((INT(((CROQUIS!$C$98)-CROQUIS!$C$107)/MAX(CROQUIS!$C$129,1))+1)/80,1))),1))+1))-1,0),0,MOD($A234-1,5))+1,0,2,CROQUIS!$C$97-2,2,0)))*CROQUIS!$C$159)+IF(CROQUIS!$C$92="X",0,0)),-1000)</f>
        <v>-1000</v>
      </c>
      <c r="BP234">
        <f>IF(AND(CROQUIS!$C$88=1,CROQUIS!$C$137&gt;0),((CROQUIS!$C$160+(IF(CROQUIS!$C$92="X",((CROQUIS!$C$107/2+(((CROQUIS!$C$97)-CROQUIS!$C$107)-(MAX(1,INT(((CROQUIS!$C$97)-CROQUIS!$C$107)/MAX((CROQUIS!$C$137*MAX(1,CEILING((INT(((CROQUIS!$C$97)-CROQUIS!$C$107)/MAX(CROQUIS!$C$137,1))+1)/80,1))),1))+1)-1)*(CROQUIS!$C$137*MAX(1,CEILING((INT(((CROQUIS!$C$97)-CROQUIS!$C$107)/MAX(CROQUIS!$C$137,1))+1)/80,1))))/2)+MIN(INT(($A234-1)/5),MAX((MAX(1,INT(((CROQUIS!$C$97)-CROQUIS!$C$107)/MAX((CROQUIS!$C$137*MAX(1,CEILING((INT(((CROQUIS!$C$97)-CROQUIS!$C$107)/MAX(CROQUIS!$C$137,1))+1)/80,1))),1))+1))-1,0))*(CROQUIS!$C$137*MAX(1,CEILING((INT(((CROQUIS!$C$97)-CROQUIS!$C$107)/MAX(CROQUIS!$C$137,1))+1)/80,1)))),CHOOSE(IF(INT(($A234-1)/5)&gt;MAX((MAX(1,INT(((CROQUIS!$C$97)-CROQUIS!$C$107)/MAX((CROQUIS!$C$137*MAX(1,CEILING((INT(((CROQUIS!$C$97)-CROQUIS!$C$107)/MAX(CROQUIS!$C$137,1))+1)/80,1))),1))+1))-1,0),0,MOD($A234-1,5))+1,0,2,CROQUIS!$C$98-2,2,0)))*CROQUIS!$C$159)+IF(CROQUIS!$C$92="X",0,0)),-1000)</f>
        <v>-1000</v>
      </c>
      <c r="BQ234">
        <f>IF(AND(CROQUIS!$C$88=1,CROQUIS!$C$137&gt;0),((CROQUIS!$C$161+(IF(CROQUIS!$C$92="X",CHOOSE(IF(INT(($A234-1)/5)&gt;MAX((MAX(1,INT(((CROQUIS!$C$97)-CROQUIS!$C$107)/MAX((CROQUIS!$C$137*MAX(1,CEILING((INT(((CROQUIS!$C$97)-CROQUIS!$C$107)/MAX(CROQUIS!$C$137,1))+1)/80,1))),1))+1))-1,0),0,MOD($A234-1,5))+1,0,2,CROQUIS!$C$98-2,2,0),((CROQUIS!$C$107/2+(((CROQUIS!$C$97)-CROQUIS!$C$107)-(MAX(1,INT(((CROQUIS!$C$97)-CROQUIS!$C$107)/MAX((CROQUIS!$C$137*MAX(1,CEILING((INT(((CROQUIS!$C$97)-CROQUIS!$C$107)/MAX(CROQUIS!$C$137,1))+1)/80,1))),1))+1)-1)*(CROQUIS!$C$137*MAX(1,CEILING((INT(((CROQUIS!$C$97)-CROQUIS!$C$107)/MAX(CROQUIS!$C$137,1))+1)/80,1))))/2)+MIN(INT(($A234-1)/5),MAX((MAX(1,INT(((CROQUIS!$C$97)-CROQUIS!$C$107)/MAX((CROQUIS!$C$137*MAX(1,CEILING((INT(((CROQUIS!$C$97)-CROQUIS!$C$107)/MAX(CROQUIS!$C$137,1))+1)/80,1))),1))+1))-1,0))*(CROQUIS!$C$137*MAX(1,CEILING((INT(((CROQUIS!$C$97)-CROQUIS!$C$107)/MAX(CROQUIS!$C$137,1))+1)/80,1))))))*CROQUIS!$C$159)+IF(CROQUIS!$C$92="X",0,0)),-1000)</f>
        <v>-1000</v>
      </c>
      <c r="BR234">
        <f>IF(AND(CROQUIS!$C$88=1,CROQUIS!$C$91=0,CROQUIS!$C$133&gt;0,OR(CROQUIS!$C$103=1,CROQUIS!$C$145=1)),((CROQUIS!$C$160+(IF(CROQUIS!$C$92="X",CHOOSE(IF(INT(($A234-1)/5)&gt;MAX((MAX(1,INT(((CROQUIS!$C$98)-CROQUIS!$C$107)/MAX((CROQUIS!$C$133*MAX(1,CEILING((INT(((CROQUIS!$C$98)-CROQUIS!$C$107)/MAX(CROQUIS!$C$133,1))+1)/80,1))),1))+1))-1,0),0,MOD($A234-1,5))+1,0,IF(CROQUIS!$C$103=1,-12,2),CROQUIS!$C$107/2+CROQUIS!$C$143,IF(CROQUIS!$C$103=1,-12,2),0),((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BS2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+1,0,IF(CROQUIS!$C$103=1,-12,2),CROQUIS!$C$107/2+CROQUIS!$C$143,IF(CROQUIS!$C$103=1,-12,2),0)))*CROQUIS!$C$159)+IF(CROQUIS!$C$92="X",0.8,0)),-1000)</f>
        <v>-1000</v>
      </c>
      <c r="BT234">
        <f>IF(AND(CROQUIS!$C$88=1,CROQUIS!$C$91=0,CROQUIS!$C$133&gt;0,OR(CROQUIS!$C$104=1,CROQUIS!$C$145=1)),((CROQUIS!$C$160+(IF(CROQUIS!$C$92="X",CHOOSE(IF(INT(($A234-1)/5)&gt;MAX((MAX(1,INT(((CROQUIS!$C$98)-CROQUIS!$C$107)/MAX((CROQUIS!$C$133*MAX(1,CEILING((INT(((CROQUIS!$C$98)-CROQUIS!$C$107)/MAX(CROQUIS!$C$133,1))+1)/80,1))),1))+1))-1,0),0,MOD($A234-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BU2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CROQUIS!$C$97,CROQUIS!$C$97-CROQUIS!$C$107/2-CROQUIS!$C$143,IF(CROQUIS!$C$104=1,CROQUIS!$C$97+12,CROQUIS!$C$97-2),CROQUIS!$C$97-CROQUIS!$C$107/2-CROQUIS!$C$143,CROQUIS!$C$97)))*CROQUIS!$C$159)+IF(CROQUIS!$C$92="X",0.8,0)),-1000)</f>
        <v>-1000</v>
      </c>
      <c r="BV2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HOOSE(IF(INT(($A234-1)/5)&gt;MAX((MAX(1,INT(((CROQUIS!$C$97)-CROQUIS!$C$107)/MAX((CROQUIS!$C$141*MAX(1,CEILING((INT(((CROQUIS!$C$97)-CROQUIS!$C$107)/MAX(CROQUIS!$C$141,1))+1)/80,1))),1))+1))-1,0),0,MOD($A234-1,5))+1,0,IF(CROQUIS!$C$105=1,-12,2),CROQUIS!$C$107/2+CROQUIS!$C$144,IF(CROQUIS!$C$105=1,-12,2),0)))*CROQUIS!$C$159)+IF(CROQUIS!$C$92="X",0.8,0)),-1000)</f>
        <v>-1000</v>
      </c>
      <c r="BW234">
        <f>IF(AND(CROQUIS!$C$88=1,CROQUIS!$C$91=0,CROQUIS!$C$141&gt;0,OR(CROQUIS!$C$105=1,CROQUIS!$C$146=1)),((CROQUIS!$C$161+(IF(CROQUIS!$C$92="X",CHOOSE(IF(INT(($A234-1)/5)&gt;MAX((MAX(1,INT(((CROQUIS!$C$97)-CROQUIS!$C$107)/MAX((CROQUIS!$C$141*MAX(1,CEILING((INT(((CROQUIS!$C$97)-CROQUIS!$C$107)/MAX(CROQUIS!$C$141,1))+1)/80,1))),1))+1))-1,0),0,MOD($A234-1,5))+1,0,IF(CROQUIS!$C$105=1,-12,2),CROQUIS!$C$107/2+CROQUIS!$C$144,IF(CROQUIS!$C$105=1,-12,2),0),((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ROQUIS!$C$159)+IF(CROQUIS!$C$92="X",0,0.8)),-1000)</f>
        <v>-1000</v>
      </c>
      <c r="BX2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HOOSE(IF(INT(($A234-1)/5)&gt;MAX((MAX(1,INT(((CROQUIS!$C$97)-CROQUIS!$C$107)/MAX((CROQUIS!$C$141*MAX(1,CEILING((INT(((CROQUIS!$C$97)-CROQUIS!$C$107)/MAX(CROQUIS!$C$141,1))+1)/80,1))),1))+1))-1,0),0,MOD($A234-1,5))+1,CROQUIS!$C$98,CROQUIS!$C$98-CROQUIS!$C$107/2-CROQUIS!$C$144,IF(CROQUIS!$C$106=1,CROQUIS!$C$98+12,CROQUIS!$C$98-2),CROQUIS!$C$98-CROQUIS!$C$107/2-CROQUIS!$C$144,CROQUIS!$C$98)))*CROQUIS!$C$159)+IF(CROQUIS!$C$92="X",0.8,0)),-1000)</f>
        <v>-1000</v>
      </c>
      <c r="BY234">
        <f>IF(AND(CROQUIS!$C$88=1,CROQUIS!$C$91=0,CROQUIS!$C$141&gt;0,OR(CROQUIS!$C$106=1,CROQUIS!$C$146=1)),((CROQUIS!$C$161+(IF(CROQUIS!$C$92="X",CHOOSE(IF(INT(($A234-1)/5)&gt;MAX((MAX(1,INT(((CROQUIS!$C$97)-CROQUIS!$C$107)/MAX((CROQUIS!$C$141*MAX(1,CEILING((INT(((CROQUIS!$C$97)-CROQUIS!$C$107)/MAX(CROQUIS!$C$141,1))+1)/80,1))),1))+1))-1,0),0,MOD($A234-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ROQUIS!$C$159)+IF(CROQUIS!$C$92="X",0,0.8)),-1000)</f>
        <v>-1000</v>
      </c>
      <c r="BZ234">
        <f>IF(AND(CROQUIS!$C$88=1,CROQUIS!$C$91=1,CROQUIS!$C$133&gt;0),((CROQUIS!$C$160+(IF(CROQUIS!$C$92="X",CHOOSE(IF(INT(($A234-1)/5)&gt;MAX((MAX(1,INT(((CROQUIS!$C$98)-CROQUIS!$C$107)/MAX((CROQUIS!$C$133*MAX(1,CEILING((INT(((CROQUIS!$C$98)-CROQUIS!$C$107)/MAX(CROQUIS!$C$133,1))+1)/80,1))),1))+1))-1,0),0,MOD($A234-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CA234">
        <f>IF(AND(CROQUIS!$C$88=1,CROQUIS!$C$91=1,CROQUIS!$C$133&gt;0),((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5">
      <c r="A235" t="n">
        <v>228</v>
      </c>
      <c r="BN235">
        <f>IF(AND(CROQUIS!$C$88=1,CROQUIS!$C$129&gt;0),((CROQUIS!$C$160+(IF(CROQUIS!$C$92="X",CHOOSE(IF(INT(($A235-1)/5)&gt;MAX((MAX(1,INT(((CROQUIS!$C$98)-CROQUIS!$C$107)/MAX((CROQUIS!$C$129*MAX(1,CEILING((INT(((CROQUIS!$C$98)-CROQUIS!$C$107)/MAX(CROQUIS!$C$129,1))+1)/80,1))),1))+1))-1,0),0,MOD($A235-1,5))+1,0,2,CROQUIS!$C$97-2,2,0),((CROQUIS!$C$107/2+(((CROQUIS!$C$98)-CROQUIS!$C$107)-(MAX(1,INT(((CROQUIS!$C$98)-CROQUIS!$C$107)/MAX((CROQUIS!$C$129*MAX(1,CEILING((INT(((CROQUIS!$C$98)-CROQUIS!$C$107)/MAX(CROQUIS!$C$129,1))+1)/80,1))),1))+1)-1)*(CROQUIS!$C$129*MAX(1,CEILING((INT(((CROQUIS!$C$98)-CROQUIS!$C$107)/MAX(CROQUIS!$C$129,1))+1)/80,1))))/2)+MIN(INT(($A235-1)/5),MAX((MAX(1,INT(((CROQUIS!$C$98)-CROQUIS!$C$107)/MAX((CROQUIS!$C$129*MAX(1,CEILING((INT(((CROQUIS!$C$98)-CROQUIS!$C$107)/MAX(CROQUIS!$C$129,1))+1)/80,1))),1))+1))-1,0))*(CROQUIS!$C$129*MAX(1,CEILING((INT(((CROQUIS!$C$98)-CROQUIS!$C$107)/MAX(CROQUIS!$C$129,1))+1)/80,1))))))*CROQUIS!$C$159)+IF(CROQUIS!$C$92="X",0,0)),-1000)</f>
        <v>-1000</v>
      </c>
      <c r="BO235">
        <f>IF(AND(CROQUIS!$C$88=1,CROQUIS!$C$129&gt;0),((CROQUIS!$C$161+(IF(CROQUIS!$C$92="X",((CROQUIS!$C$107/2+(((CROQUIS!$C$98)-CROQUIS!$C$107)-(MAX(1,INT(((CROQUIS!$C$98)-CROQUIS!$C$107)/MAX((CROQUIS!$C$129*MAX(1,CEILING((INT(((CROQUIS!$C$98)-CROQUIS!$C$107)/MAX(CROQUIS!$C$129,1))+1)/80,1))),1))+1)-1)*(CROQUIS!$C$129*MAX(1,CEILING((INT(((CROQUIS!$C$98)-CROQUIS!$C$107)/MAX(CROQUIS!$C$129,1))+1)/80,1))))/2)+MIN(INT(($A235-1)/5),MAX((MAX(1,INT(((CROQUIS!$C$98)-CROQUIS!$C$107)/MAX((CROQUIS!$C$129*MAX(1,CEILING((INT(((CROQUIS!$C$98)-CROQUIS!$C$107)/MAX(CROQUIS!$C$129,1))+1)/80,1))),1))+1))-1,0))*(CROQUIS!$C$129*MAX(1,CEILING((INT(((CROQUIS!$C$98)-CROQUIS!$C$107)/MAX(CROQUIS!$C$129,1))+1)/80,1)))),CHOOSE(IF(INT(($A235-1)/5)&gt;MAX((MAX(1,INT(((CROQUIS!$C$98)-CROQUIS!$C$107)/MAX((CROQUIS!$C$129*MAX(1,CEILING((INT(((CROQUIS!$C$98)-CROQUIS!$C$107)/MAX(CROQUIS!$C$129,1))+1)/80,1))),1))+1))-1,0),0,MOD($A235-1,5))+1,0,2,CROQUIS!$C$97-2,2,0)))*CROQUIS!$C$159)+IF(CROQUIS!$C$92="X",0,0)),-1000)</f>
        <v>-1000</v>
      </c>
      <c r="BP235">
        <f>IF(AND(CROQUIS!$C$88=1,CROQUIS!$C$137&gt;0),((CROQUIS!$C$160+(IF(CROQUIS!$C$92="X",((CROQUIS!$C$107/2+(((CROQUIS!$C$97)-CROQUIS!$C$107)-(MAX(1,INT(((CROQUIS!$C$97)-CROQUIS!$C$107)/MAX((CROQUIS!$C$137*MAX(1,CEILING((INT(((CROQUIS!$C$97)-CROQUIS!$C$107)/MAX(CROQUIS!$C$137,1))+1)/80,1))),1))+1)-1)*(CROQUIS!$C$137*MAX(1,CEILING((INT(((CROQUIS!$C$97)-CROQUIS!$C$107)/MAX(CROQUIS!$C$137,1))+1)/80,1))))/2)+MIN(INT(($A235-1)/5),MAX((MAX(1,INT(((CROQUIS!$C$97)-CROQUIS!$C$107)/MAX((CROQUIS!$C$137*MAX(1,CEILING((INT(((CROQUIS!$C$97)-CROQUIS!$C$107)/MAX(CROQUIS!$C$137,1))+1)/80,1))),1))+1))-1,0))*(CROQUIS!$C$137*MAX(1,CEILING((INT(((CROQUIS!$C$97)-CROQUIS!$C$107)/MAX(CROQUIS!$C$137,1))+1)/80,1)))),CHOOSE(IF(INT(($A235-1)/5)&gt;MAX((MAX(1,INT(((CROQUIS!$C$97)-CROQUIS!$C$107)/MAX((CROQUIS!$C$137*MAX(1,CEILING((INT(((CROQUIS!$C$97)-CROQUIS!$C$107)/MAX(CROQUIS!$C$137,1))+1)/80,1))),1))+1))-1,0),0,MOD($A235-1,5))+1,0,2,CROQUIS!$C$98-2,2,0)))*CROQUIS!$C$159)+IF(CROQUIS!$C$92="X",0,0)),-1000)</f>
        <v>-1000</v>
      </c>
      <c r="BQ235">
        <f>IF(AND(CROQUIS!$C$88=1,CROQUIS!$C$137&gt;0),((CROQUIS!$C$161+(IF(CROQUIS!$C$92="X",CHOOSE(IF(INT(($A235-1)/5)&gt;MAX((MAX(1,INT(((CROQUIS!$C$97)-CROQUIS!$C$107)/MAX((CROQUIS!$C$137*MAX(1,CEILING((INT(((CROQUIS!$C$97)-CROQUIS!$C$107)/MAX(CROQUIS!$C$137,1))+1)/80,1))),1))+1))-1,0),0,MOD($A235-1,5))+1,0,2,CROQUIS!$C$98-2,2,0),((CROQUIS!$C$107/2+(((CROQUIS!$C$97)-CROQUIS!$C$107)-(MAX(1,INT(((CROQUIS!$C$97)-CROQUIS!$C$107)/MAX((CROQUIS!$C$137*MAX(1,CEILING((INT(((CROQUIS!$C$97)-CROQUIS!$C$107)/MAX(CROQUIS!$C$137,1))+1)/80,1))),1))+1)-1)*(CROQUIS!$C$137*MAX(1,CEILING((INT(((CROQUIS!$C$97)-CROQUIS!$C$107)/MAX(CROQUIS!$C$137,1))+1)/80,1))))/2)+MIN(INT(($A235-1)/5),MAX((MAX(1,INT(((CROQUIS!$C$97)-CROQUIS!$C$107)/MAX((CROQUIS!$C$137*MAX(1,CEILING((INT(((CROQUIS!$C$97)-CROQUIS!$C$107)/MAX(CROQUIS!$C$137,1))+1)/80,1))),1))+1))-1,0))*(CROQUIS!$C$137*MAX(1,CEILING((INT(((CROQUIS!$C$97)-CROQUIS!$C$107)/MAX(CROQUIS!$C$137,1))+1)/80,1))))))*CROQUIS!$C$159)+IF(CROQUIS!$C$92="X",0,0)),-1000)</f>
        <v>-1000</v>
      </c>
      <c r="BR235">
        <f>IF(AND(CROQUIS!$C$88=1,CROQUIS!$C$91=0,CROQUIS!$C$133&gt;0,OR(CROQUIS!$C$103=1,CROQUIS!$C$145=1)),((CROQUIS!$C$160+(IF(CROQUIS!$C$92="X",CHOOSE(IF(INT(($A235-1)/5)&gt;MAX((MAX(1,INT(((CROQUIS!$C$98)-CROQUIS!$C$107)/MAX((CROQUIS!$C$133*MAX(1,CEILING((INT(((CROQUIS!$C$98)-CROQUIS!$C$107)/MAX(CROQUIS!$C$133,1))+1)/80,1))),1))+1))-1,0),0,MOD($A235-1,5))+1,0,IF(CROQUIS!$C$103=1,-12,2),CROQUIS!$C$107/2+CROQUIS!$C$143,IF(CROQUIS!$C$103=1,-12,2),0),((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BS2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+1,0,IF(CROQUIS!$C$103=1,-12,2),CROQUIS!$C$107/2+CROQUIS!$C$143,IF(CROQUIS!$C$103=1,-12,2),0)))*CROQUIS!$C$159)+IF(CROQUIS!$C$92="X",0.8,0)),-1000)</f>
        <v>-1000</v>
      </c>
      <c r="BT235">
        <f>IF(AND(CROQUIS!$C$88=1,CROQUIS!$C$91=0,CROQUIS!$C$133&gt;0,OR(CROQUIS!$C$104=1,CROQUIS!$C$145=1)),((CROQUIS!$C$160+(IF(CROQUIS!$C$92="X",CHOOSE(IF(INT(($A235-1)/5)&gt;MAX((MAX(1,INT(((CROQUIS!$C$98)-CROQUIS!$C$107)/MAX((CROQUIS!$C$133*MAX(1,CEILING((INT(((CROQUIS!$C$98)-CROQUIS!$C$107)/MAX(CROQUIS!$C$133,1))+1)/80,1))),1))+1))-1,0),0,MOD($A235-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BU2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CROQUIS!$C$97,CROQUIS!$C$97-CROQUIS!$C$107/2-CROQUIS!$C$143,IF(CROQUIS!$C$104=1,CROQUIS!$C$97+12,CROQUIS!$C$97-2),CROQUIS!$C$97-CROQUIS!$C$107/2-CROQUIS!$C$143,CROQUIS!$C$97)))*CROQUIS!$C$159)+IF(CROQUIS!$C$92="X",0.8,0)),-1000)</f>
        <v>-1000</v>
      </c>
      <c r="BV2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HOOSE(IF(INT(($A235-1)/5)&gt;MAX((MAX(1,INT(((CROQUIS!$C$97)-CROQUIS!$C$107)/MAX((CROQUIS!$C$141*MAX(1,CEILING((INT(((CROQUIS!$C$97)-CROQUIS!$C$107)/MAX(CROQUIS!$C$141,1))+1)/80,1))),1))+1))-1,0),0,MOD($A235-1,5))+1,0,IF(CROQUIS!$C$105=1,-12,2),CROQUIS!$C$107/2+CROQUIS!$C$144,IF(CROQUIS!$C$105=1,-12,2),0)))*CROQUIS!$C$159)+IF(CROQUIS!$C$92="X",0.8,0)),-1000)</f>
        <v>-1000</v>
      </c>
      <c r="BW235">
        <f>IF(AND(CROQUIS!$C$88=1,CROQUIS!$C$91=0,CROQUIS!$C$141&gt;0,OR(CROQUIS!$C$105=1,CROQUIS!$C$146=1)),((CROQUIS!$C$161+(IF(CROQUIS!$C$92="X",CHOOSE(IF(INT(($A235-1)/5)&gt;MAX((MAX(1,INT(((CROQUIS!$C$97)-CROQUIS!$C$107)/MAX((CROQUIS!$C$141*MAX(1,CEILING((INT(((CROQUIS!$C$97)-CROQUIS!$C$107)/MAX(CROQUIS!$C$141,1))+1)/80,1))),1))+1))-1,0),0,MOD($A235-1,5))+1,0,IF(CROQUIS!$C$105=1,-12,2),CROQUIS!$C$107/2+CROQUIS!$C$144,IF(CROQUIS!$C$105=1,-12,2),0),((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ROQUIS!$C$159)+IF(CROQUIS!$C$92="X",0,0.8)),-1000)</f>
        <v>-1000</v>
      </c>
      <c r="BX2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HOOSE(IF(INT(($A235-1)/5)&gt;MAX((MAX(1,INT(((CROQUIS!$C$97)-CROQUIS!$C$107)/MAX((CROQUIS!$C$141*MAX(1,CEILING((INT(((CROQUIS!$C$97)-CROQUIS!$C$107)/MAX(CROQUIS!$C$141,1))+1)/80,1))),1))+1))-1,0),0,MOD($A235-1,5))+1,CROQUIS!$C$98,CROQUIS!$C$98-CROQUIS!$C$107/2-CROQUIS!$C$144,IF(CROQUIS!$C$106=1,CROQUIS!$C$98+12,CROQUIS!$C$98-2),CROQUIS!$C$98-CROQUIS!$C$107/2-CROQUIS!$C$144,CROQUIS!$C$98)))*CROQUIS!$C$159)+IF(CROQUIS!$C$92="X",0.8,0)),-1000)</f>
        <v>-1000</v>
      </c>
      <c r="BY235">
        <f>IF(AND(CROQUIS!$C$88=1,CROQUIS!$C$91=0,CROQUIS!$C$141&gt;0,OR(CROQUIS!$C$106=1,CROQUIS!$C$146=1)),((CROQUIS!$C$161+(IF(CROQUIS!$C$92="X",CHOOSE(IF(INT(($A235-1)/5)&gt;MAX((MAX(1,INT(((CROQUIS!$C$97)-CROQUIS!$C$107)/MAX((CROQUIS!$C$141*MAX(1,CEILING((INT(((CROQUIS!$C$97)-CROQUIS!$C$107)/MAX(CROQUIS!$C$141,1))+1)/80,1))),1))+1))-1,0),0,MOD($A235-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ROQUIS!$C$159)+IF(CROQUIS!$C$92="X",0,0.8)),-1000)</f>
        <v>-1000</v>
      </c>
      <c r="BZ235">
        <f>IF(AND(CROQUIS!$C$88=1,CROQUIS!$C$91=1,CROQUIS!$C$133&gt;0),((CROQUIS!$C$160+(IF(CROQUIS!$C$92="X",CHOOSE(IF(INT(($A235-1)/5)&gt;MAX((MAX(1,INT(((CROQUIS!$C$98)-CROQUIS!$C$107)/MAX((CROQUIS!$C$133*MAX(1,CEILING((INT(((CROQUIS!$C$98)-CROQUIS!$C$107)/MAX(CROQUIS!$C$133,1))+1)/80,1))),1))+1))-1,0),0,MOD($A235-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CA235">
        <f>IF(AND(CROQUIS!$C$88=1,CROQUIS!$C$91=1,CROQUIS!$C$133&gt;0),((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6">
      <c r="A236" t="n">
        <v>229</v>
      </c>
      <c r="BN236">
        <f>IF(AND(CROQUIS!$C$88=1,CROQUIS!$C$129&gt;0),((CROQUIS!$C$160+(IF(CROQUIS!$C$92="X",CHOOSE(IF(INT(($A236-1)/5)&gt;MAX((MAX(1,INT(((CROQUIS!$C$98)-CROQUIS!$C$107)/MAX((CROQUIS!$C$129*MAX(1,CEILING((INT(((CROQUIS!$C$98)-CROQUIS!$C$107)/MAX(CROQUIS!$C$129,1))+1)/80,1))),1))+1))-1,0),0,MOD($A236-1,5))+1,0,2,CROQUIS!$C$97-2,2,0),((CROQUIS!$C$107/2+(((CROQUIS!$C$98)-CROQUIS!$C$107)-(MAX(1,INT(((CROQUIS!$C$98)-CROQUIS!$C$107)/MAX((CROQUIS!$C$129*MAX(1,CEILING((INT(((CROQUIS!$C$98)-CROQUIS!$C$107)/MAX(CROQUIS!$C$129,1))+1)/80,1))),1))+1)-1)*(CROQUIS!$C$129*MAX(1,CEILING((INT(((CROQUIS!$C$98)-CROQUIS!$C$107)/MAX(CROQUIS!$C$129,1))+1)/80,1))))/2)+MIN(INT(($A236-1)/5),MAX((MAX(1,INT(((CROQUIS!$C$98)-CROQUIS!$C$107)/MAX((CROQUIS!$C$129*MAX(1,CEILING((INT(((CROQUIS!$C$98)-CROQUIS!$C$107)/MAX(CROQUIS!$C$129,1))+1)/80,1))),1))+1))-1,0))*(CROQUIS!$C$129*MAX(1,CEILING((INT(((CROQUIS!$C$98)-CROQUIS!$C$107)/MAX(CROQUIS!$C$129,1))+1)/80,1))))))*CROQUIS!$C$159)+IF(CROQUIS!$C$92="X",0,0)),-1000)</f>
        <v>-1000</v>
      </c>
      <c r="BO236">
        <f>IF(AND(CROQUIS!$C$88=1,CROQUIS!$C$129&gt;0),((CROQUIS!$C$161+(IF(CROQUIS!$C$92="X",((CROQUIS!$C$107/2+(((CROQUIS!$C$98)-CROQUIS!$C$107)-(MAX(1,INT(((CROQUIS!$C$98)-CROQUIS!$C$107)/MAX((CROQUIS!$C$129*MAX(1,CEILING((INT(((CROQUIS!$C$98)-CROQUIS!$C$107)/MAX(CROQUIS!$C$129,1))+1)/80,1))),1))+1)-1)*(CROQUIS!$C$129*MAX(1,CEILING((INT(((CROQUIS!$C$98)-CROQUIS!$C$107)/MAX(CROQUIS!$C$129,1))+1)/80,1))))/2)+MIN(INT(($A236-1)/5),MAX((MAX(1,INT(((CROQUIS!$C$98)-CROQUIS!$C$107)/MAX((CROQUIS!$C$129*MAX(1,CEILING((INT(((CROQUIS!$C$98)-CROQUIS!$C$107)/MAX(CROQUIS!$C$129,1))+1)/80,1))),1))+1))-1,0))*(CROQUIS!$C$129*MAX(1,CEILING((INT(((CROQUIS!$C$98)-CROQUIS!$C$107)/MAX(CROQUIS!$C$129,1))+1)/80,1)))),CHOOSE(IF(INT(($A236-1)/5)&gt;MAX((MAX(1,INT(((CROQUIS!$C$98)-CROQUIS!$C$107)/MAX((CROQUIS!$C$129*MAX(1,CEILING((INT(((CROQUIS!$C$98)-CROQUIS!$C$107)/MAX(CROQUIS!$C$129,1))+1)/80,1))),1))+1))-1,0),0,MOD($A236-1,5))+1,0,2,CROQUIS!$C$97-2,2,0)))*CROQUIS!$C$159)+IF(CROQUIS!$C$92="X",0,0)),-1000)</f>
        <v>-1000</v>
      </c>
      <c r="BP236">
        <f>IF(AND(CROQUIS!$C$88=1,CROQUIS!$C$137&gt;0),((CROQUIS!$C$160+(IF(CROQUIS!$C$92="X",((CROQUIS!$C$107/2+(((CROQUIS!$C$97)-CROQUIS!$C$107)-(MAX(1,INT(((CROQUIS!$C$97)-CROQUIS!$C$107)/MAX((CROQUIS!$C$137*MAX(1,CEILING((INT(((CROQUIS!$C$97)-CROQUIS!$C$107)/MAX(CROQUIS!$C$137,1))+1)/80,1))),1))+1)-1)*(CROQUIS!$C$137*MAX(1,CEILING((INT(((CROQUIS!$C$97)-CROQUIS!$C$107)/MAX(CROQUIS!$C$137,1))+1)/80,1))))/2)+MIN(INT(($A236-1)/5),MAX((MAX(1,INT(((CROQUIS!$C$97)-CROQUIS!$C$107)/MAX((CROQUIS!$C$137*MAX(1,CEILING((INT(((CROQUIS!$C$97)-CROQUIS!$C$107)/MAX(CROQUIS!$C$137,1))+1)/80,1))),1))+1))-1,0))*(CROQUIS!$C$137*MAX(1,CEILING((INT(((CROQUIS!$C$97)-CROQUIS!$C$107)/MAX(CROQUIS!$C$137,1))+1)/80,1)))),CHOOSE(IF(INT(($A236-1)/5)&gt;MAX((MAX(1,INT(((CROQUIS!$C$97)-CROQUIS!$C$107)/MAX((CROQUIS!$C$137*MAX(1,CEILING((INT(((CROQUIS!$C$97)-CROQUIS!$C$107)/MAX(CROQUIS!$C$137,1))+1)/80,1))),1))+1))-1,0),0,MOD($A236-1,5))+1,0,2,CROQUIS!$C$98-2,2,0)))*CROQUIS!$C$159)+IF(CROQUIS!$C$92="X",0,0)),-1000)</f>
        <v>-1000</v>
      </c>
      <c r="BQ236">
        <f>IF(AND(CROQUIS!$C$88=1,CROQUIS!$C$137&gt;0),((CROQUIS!$C$161+(IF(CROQUIS!$C$92="X",CHOOSE(IF(INT(($A236-1)/5)&gt;MAX((MAX(1,INT(((CROQUIS!$C$97)-CROQUIS!$C$107)/MAX((CROQUIS!$C$137*MAX(1,CEILING((INT(((CROQUIS!$C$97)-CROQUIS!$C$107)/MAX(CROQUIS!$C$137,1))+1)/80,1))),1))+1))-1,0),0,MOD($A236-1,5))+1,0,2,CROQUIS!$C$98-2,2,0),((CROQUIS!$C$107/2+(((CROQUIS!$C$97)-CROQUIS!$C$107)-(MAX(1,INT(((CROQUIS!$C$97)-CROQUIS!$C$107)/MAX((CROQUIS!$C$137*MAX(1,CEILING((INT(((CROQUIS!$C$97)-CROQUIS!$C$107)/MAX(CROQUIS!$C$137,1))+1)/80,1))),1))+1)-1)*(CROQUIS!$C$137*MAX(1,CEILING((INT(((CROQUIS!$C$97)-CROQUIS!$C$107)/MAX(CROQUIS!$C$137,1))+1)/80,1))))/2)+MIN(INT(($A236-1)/5),MAX((MAX(1,INT(((CROQUIS!$C$97)-CROQUIS!$C$107)/MAX((CROQUIS!$C$137*MAX(1,CEILING((INT(((CROQUIS!$C$97)-CROQUIS!$C$107)/MAX(CROQUIS!$C$137,1))+1)/80,1))),1))+1))-1,0))*(CROQUIS!$C$137*MAX(1,CEILING((INT(((CROQUIS!$C$97)-CROQUIS!$C$107)/MAX(CROQUIS!$C$137,1))+1)/80,1))))))*CROQUIS!$C$159)+IF(CROQUIS!$C$92="X",0,0)),-1000)</f>
        <v>-1000</v>
      </c>
      <c r="BR236">
        <f>IF(AND(CROQUIS!$C$88=1,CROQUIS!$C$91=0,CROQUIS!$C$133&gt;0,OR(CROQUIS!$C$103=1,CROQUIS!$C$145=1)),((CROQUIS!$C$160+(IF(CROQUIS!$C$92="X",CHOOSE(IF(INT(($A236-1)/5)&gt;MAX((MAX(1,INT(((CROQUIS!$C$98)-CROQUIS!$C$107)/MAX((CROQUIS!$C$133*MAX(1,CEILING((INT(((CROQUIS!$C$98)-CROQUIS!$C$107)/MAX(CROQUIS!$C$133,1))+1)/80,1))),1))+1))-1,0),0,MOD($A236-1,5))+1,0,IF(CROQUIS!$C$103=1,-12,2),CROQUIS!$C$107/2+CROQUIS!$C$143,IF(CROQUIS!$C$103=1,-12,2),0),((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BS2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+1,0,IF(CROQUIS!$C$103=1,-12,2),CROQUIS!$C$107/2+CROQUIS!$C$143,IF(CROQUIS!$C$103=1,-12,2),0)))*CROQUIS!$C$159)+IF(CROQUIS!$C$92="X",0.8,0)),-1000)</f>
        <v>-1000</v>
      </c>
      <c r="BT236">
        <f>IF(AND(CROQUIS!$C$88=1,CROQUIS!$C$91=0,CROQUIS!$C$133&gt;0,OR(CROQUIS!$C$104=1,CROQUIS!$C$145=1)),((CROQUIS!$C$160+(IF(CROQUIS!$C$92="X",CHOOSE(IF(INT(($A236-1)/5)&gt;MAX((MAX(1,INT(((CROQUIS!$C$98)-CROQUIS!$C$107)/MAX((CROQUIS!$C$133*MAX(1,CEILING((INT(((CROQUIS!$C$98)-CROQUIS!$C$107)/MAX(CROQUIS!$C$133,1))+1)/80,1))),1))+1))-1,0),0,MOD($A236-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BU2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CROQUIS!$C$97,CROQUIS!$C$97-CROQUIS!$C$107/2-CROQUIS!$C$143,IF(CROQUIS!$C$104=1,CROQUIS!$C$97+12,CROQUIS!$C$97-2),CROQUIS!$C$97-CROQUIS!$C$107/2-CROQUIS!$C$143,CROQUIS!$C$97)))*CROQUIS!$C$159)+IF(CROQUIS!$C$92="X",0.8,0)),-1000)</f>
        <v>-1000</v>
      </c>
      <c r="BV2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HOOSE(IF(INT(($A236-1)/5)&gt;MAX((MAX(1,INT(((CROQUIS!$C$97)-CROQUIS!$C$107)/MAX((CROQUIS!$C$141*MAX(1,CEILING((INT(((CROQUIS!$C$97)-CROQUIS!$C$107)/MAX(CROQUIS!$C$141,1))+1)/80,1))),1))+1))-1,0),0,MOD($A236-1,5))+1,0,IF(CROQUIS!$C$105=1,-12,2),CROQUIS!$C$107/2+CROQUIS!$C$144,IF(CROQUIS!$C$105=1,-12,2),0)))*CROQUIS!$C$159)+IF(CROQUIS!$C$92="X",0.8,0)),-1000)</f>
        <v>-1000</v>
      </c>
      <c r="BW236">
        <f>IF(AND(CROQUIS!$C$88=1,CROQUIS!$C$91=0,CROQUIS!$C$141&gt;0,OR(CROQUIS!$C$105=1,CROQUIS!$C$146=1)),((CROQUIS!$C$161+(IF(CROQUIS!$C$92="X",CHOOSE(IF(INT(($A236-1)/5)&gt;MAX((MAX(1,INT(((CROQUIS!$C$97)-CROQUIS!$C$107)/MAX((CROQUIS!$C$141*MAX(1,CEILING((INT(((CROQUIS!$C$97)-CROQUIS!$C$107)/MAX(CROQUIS!$C$141,1))+1)/80,1))),1))+1))-1,0),0,MOD($A236-1,5))+1,0,IF(CROQUIS!$C$105=1,-12,2),CROQUIS!$C$107/2+CROQUIS!$C$144,IF(CROQUIS!$C$105=1,-12,2),0),((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ROQUIS!$C$159)+IF(CROQUIS!$C$92="X",0,0.8)),-1000)</f>
        <v>-1000</v>
      </c>
      <c r="BX2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HOOSE(IF(INT(($A236-1)/5)&gt;MAX((MAX(1,INT(((CROQUIS!$C$97)-CROQUIS!$C$107)/MAX((CROQUIS!$C$141*MAX(1,CEILING((INT(((CROQUIS!$C$97)-CROQUIS!$C$107)/MAX(CROQUIS!$C$141,1))+1)/80,1))),1))+1))-1,0),0,MOD($A236-1,5))+1,CROQUIS!$C$98,CROQUIS!$C$98-CROQUIS!$C$107/2-CROQUIS!$C$144,IF(CROQUIS!$C$106=1,CROQUIS!$C$98+12,CROQUIS!$C$98-2),CROQUIS!$C$98-CROQUIS!$C$107/2-CROQUIS!$C$144,CROQUIS!$C$98)))*CROQUIS!$C$159)+IF(CROQUIS!$C$92="X",0.8,0)),-1000)</f>
        <v>-1000</v>
      </c>
      <c r="BY236">
        <f>IF(AND(CROQUIS!$C$88=1,CROQUIS!$C$91=0,CROQUIS!$C$141&gt;0,OR(CROQUIS!$C$106=1,CROQUIS!$C$146=1)),((CROQUIS!$C$161+(IF(CROQUIS!$C$92="X",CHOOSE(IF(INT(($A236-1)/5)&gt;MAX((MAX(1,INT(((CROQUIS!$C$97)-CROQUIS!$C$107)/MAX((CROQUIS!$C$141*MAX(1,CEILING((INT(((CROQUIS!$C$97)-CROQUIS!$C$107)/MAX(CROQUIS!$C$141,1))+1)/80,1))),1))+1))-1,0),0,MOD($A236-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ROQUIS!$C$159)+IF(CROQUIS!$C$92="X",0,0.8)),-1000)</f>
        <v>-1000</v>
      </c>
      <c r="BZ236">
        <f>IF(AND(CROQUIS!$C$88=1,CROQUIS!$C$91=1,CROQUIS!$C$133&gt;0),((CROQUIS!$C$160+(IF(CROQUIS!$C$92="X",CHOOSE(IF(INT(($A236-1)/5)&gt;MAX((MAX(1,INT(((CROQUIS!$C$98)-CROQUIS!$C$107)/MAX((CROQUIS!$C$133*MAX(1,CEILING((INT(((CROQUIS!$C$98)-CROQUIS!$C$107)/MAX(CROQUIS!$C$133,1))+1)/80,1))),1))+1))-1,0),0,MOD($A236-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CA236">
        <f>IF(AND(CROQUIS!$C$88=1,CROQUIS!$C$91=1,CROQUIS!$C$133&gt;0),((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7">
      <c r="A237" t="n">
        <v>230</v>
      </c>
      <c r="BN237">
        <f>IF(AND(CROQUIS!$C$88=1,CROQUIS!$C$129&gt;0),((CROQUIS!$C$160+(IF(CROQUIS!$C$92="X",CHOOSE(IF(INT(($A237-1)/5)&gt;MAX((MAX(1,INT(((CROQUIS!$C$98)-CROQUIS!$C$107)/MAX((CROQUIS!$C$129*MAX(1,CEILING((INT(((CROQUIS!$C$98)-CROQUIS!$C$107)/MAX(CROQUIS!$C$129,1))+1)/80,1))),1))+1))-1,0),0,MOD($A237-1,5))+1,0,2,CROQUIS!$C$97-2,2,0),((CROQUIS!$C$107/2+(((CROQUIS!$C$98)-CROQUIS!$C$107)-(MAX(1,INT(((CROQUIS!$C$98)-CROQUIS!$C$107)/MAX((CROQUIS!$C$129*MAX(1,CEILING((INT(((CROQUIS!$C$98)-CROQUIS!$C$107)/MAX(CROQUIS!$C$129,1))+1)/80,1))),1))+1)-1)*(CROQUIS!$C$129*MAX(1,CEILING((INT(((CROQUIS!$C$98)-CROQUIS!$C$107)/MAX(CROQUIS!$C$129,1))+1)/80,1))))/2)+MIN(INT(($A237-1)/5),MAX((MAX(1,INT(((CROQUIS!$C$98)-CROQUIS!$C$107)/MAX((CROQUIS!$C$129*MAX(1,CEILING((INT(((CROQUIS!$C$98)-CROQUIS!$C$107)/MAX(CROQUIS!$C$129,1))+1)/80,1))),1))+1))-1,0))*(CROQUIS!$C$129*MAX(1,CEILING((INT(((CROQUIS!$C$98)-CROQUIS!$C$107)/MAX(CROQUIS!$C$129,1))+1)/80,1))))))*CROQUIS!$C$159)+IF(CROQUIS!$C$92="X",0,0)),-1000)</f>
        <v>-1000</v>
      </c>
      <c r="BO237">
        <f>IF(AND(CROQUIS!$C$88=1,CROQUIS!$C$129&gt;0),((CROQUIS!$C$161+(IF(CROQUIS!$C$92="X",((CROQUIS!$C$107/2+(((CROQUIS!$C$98)-CROQUIS!$C$107)-(MAX(1,INT(((CROQUIS!$C$98)-CROQUIS!$C$107)/MAX((CROQUIS!$C$129*MAX(1,CEILING((INT(((CROQUIS!$C$98)-CROQUIS!$C$107)/MAX(CROQUIS!$C$129,1))+1)/80,1))),1))+1)-1)*(CROQUIS!$C$129*MAX(1,CEILING((INT(((CROQUIS!$C$98)-CROQUIS!$C$107)/MAX(CROQUIS!$C$129,1))+1)/80,1))))/2)+MIN(INT(($A237-1)/5),MAX((MAX(1,INT(((CROQUIS!$C$98)-CROQUIS!$C$107)/MAX((CROQUIS!$C$129*MAX(1,CEILING((INT(((CROQUIS!$C$98)-CROQUIS!$C$107)/MAX(CROQUIS!$C$129,1))+1)/80,1))),1))+1))-1,0))*(CROQUIS!$C$129*MAX(1,CEILING((INT(((CROQUIS!$C$98)-CROQUIS!$C$107)/MAX(CROQUIS!$C$129,1))+1)/80,1)))),CHOOSE(IF(INT(($A237-1)/5)&gt;MAX((MAX(1,INT(((CROQUIS!$C$98)-CROQUIS!$C$107)/MAX((CROQUIS!$C$129*MAX(1,CEILING((INT(((CROQUIS!$C$98)-CROQUIS!$C$107)/MAX(CROQUIS!$C$129,1))+1)/80,1))),1))+1))-1,0),0,MOD($A237-1,5))+1,0,2,CROQUIS!$C$97-2,2,0)))*CROQUIS!$C$159)+IF(CROQUIS!$C$92="X",0,0)),-1000)</f>
        <v>-1000</v>
      </c>
      <c r="BP237">
        <f>IF(AND(CROQUIS!$C$88=1,CROQUIS!$C$137&gt;0),((CROQUIS!$C$160+(IF(CROQUIS!$C$92="X",((CROQUIS!$C$107/2+(((CROQUIS!$C$97)-CROQUIS!$C$107)-(MAX(1,INT(((CROQUIS!$C$97)-CROQUIS!$C$107)/MAX((CROQUIS!$C$137*MAX(1,CEILING((INT(((CROQUIS!$C$97)-CROQUIS!$C$107)/MAX(CROQUIS!$C$137,1))+1)/80,1))),1))+1)-1)*(CROQUIS!$C$137*MAX(1,CEILING((INT(((CROQUIS!$C$97)-CROQUIS!$C$107)/MAX(CROQUIS!$C$137,1))+1)/80,1))))/2)+MIN(INT(($A237-1)/5),MAX((MAX(1,INT(((CROQUIS!$C$97)-CROQUIS!$C$107)/MAX((CROQUIS!$C$137*MAX(1,CEILING((INT(((CROQUIS!$C$97)-CROQUIS!$C$107)/MAX(CROQUIS!$C$137,1))+1)/80,1))),1))+1))-1,0))*(CROQUIS!$C$137*MAX(1,CEILING((INT(((CROQUIS!$C$97)-CROQUIS!$C$107)/MAX(CROQUIS!$C$137,1))+1)/80,1)))),CHOOSE(IF(INT(($A237-1)/5)&gt;MAX((MAX(1,INT(((CROQUIS!$C$97)-CROQUIS!$C$107)/MAX((CROQUIS!$C$137*MAX(1,CEILING((INT(((CROQUIS!$C$97)-CROQUIS!$C$107)/MAX(CROQUIS!$C$137,1))+1)/80,1))),1))+1))-1,0),0,MOD($A237-1,5))+1,0,2,CROQUIS!$C$98-2,2,0)))*CROQUIS!$C$159)+IF(CROQUIS!$C$92="X",0,0)),-1000)</f>
        <v>-1000</v>
      </c>
      <c r="BQ237">
        <f>IF(AND(CROQUIS!$C$88=1,CROQUIS!$C$137&gt;0),((CROQUIS!$C$161+(IF(CROQUIS!$C$92="X",CHOOSE(IF(INT(($A237-1)/5)&gt;MAX((MAX(1,INT(((CROQUIS!$C$97)-CROQUIS!$C$107)/MAX((CROQUIS!$C$137*MAX(1,CEILING((INT(((CROQUIS!$C$97)-CROQUIS!$C$107)/MAX(CROQUIS!$C$137,1))+1)/80,1))),1))+1))-1,0),0,MOD($A237-1,5))+1,0,2,CROQUIS!$C$98-2,2,0),((CROQUIS!$C$107/2+(((CROQUIS!$C$97)-CROQUIS!$C$107)-(MAX(1,INT(((CROQUIS!$C$97)-CROQUIS!$C$107)/MAX((CROQUIS!$C$137*MAX(1,CEILING((INT(((CROQUIS!$C$97)-CROQUIS!$C$107)/MAX(CROQUIS!$C$137,1))+1)/80,1))),1))+1)-1)*(CROQUIS!$C$137*MAX(1,CEILING((INT(((CROQUIS!$C$97)-CROQUIS!$C$107)/MAX(CROQUIS!$C$137,1))+1)/80,1))))/2)+MIN(INT(($A237-1)/5),MAX((MAX(1,INT(((CROQUIS!$C$97)-CROQUIS!$C$107)/MAX((CROQUIS!$C$137*MAX(1,CEILING((INT(((CROQUIS!$C$97)-CROQUIS!$C$107)/MAX(CROQUIS!$C$137,1))+1)/80,1))),1))+1))-1,0))*(CROQUIS!$C$137*MAX(1,CEILING((INT(((CROQUIS!$C$97)-CROQUIS!$C$107)/MAX(CROQUIS!$C$137,1))+1)/80,1))))))*CROQUIS!$C$159)+IF(CROQUIS!$C$92="X",0,0)),-1000)</f>
        <v>-1000</v>
      </c>
      <c r="BR237">
        <f>IF(AND(CROQUIS!$C$88=1,CROQUIS!$C$91=0,CROQUIS!$C$133&gt;0,OR(CROQUIS!$C$103=1,CROQUIS!$C$145=1)),((CROQUIS!$C$160+(IF(CROQUIS!$C$92="X",CHOOSE(IF(INT(($A237-1)/5)&gt;MAX((MAX(1,INT(((CROQUIS!$C$98)-CROQUIS!$C$107)/MAX((CROQUIS!$C$133*MAX(1,CEILING((INT(((CROQUIS!$C$98)-CROQUIS!$C$107)/MAX(CROQUIS!$C$133,1))+1)/80,1))),1))+1))-1,0),0,MOD($A237-1,5))+1,0,IF(CROQUIS!$C$103=1,-12,2),CROQUIS!$C$107/2+CROQUIS!$C$143,IF(CROQUIS!$C$103=1,-12,2),0),((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BS2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+1,0,IF(CROQUIS!$C$103=1,-12,2),CROQUIS!$C$107/2+CROQUIS!$C$143,IF(CROQUIS!$C$103=1,-12,2),0)))*CROQUIS!$C$159)+IF(CROQUIS!$C$92="X",0.8,0)),-1000)</f>
        <v>-1000</v>
      </c>
      <c r="BT237">
        <f>IF(AND(CROQUIS!$C$88=1,CROQUIS!$C$91=0,CROQUIS!$C$133&gt;0,OR(CROQUIS!$C$104=1,CROQUIS!$C$145=1)),((CROQUIS!$C$160+(IF(CROQUIS!$C$92="X",CHOOSE(IF(INT(($A237-1)/5)&gt;MAX((MAX(1,INT(((CROQUIS!$C$98)-CROQUIS!$C$107)/MAX((CROQUIS!$C$133*MAX(1,CEILING((INT(((CROQUIS!$C$98)-CROQUIS!$C$107)/MAX(CROQUIS!$C$133,1))+1)/80,1))),1))+1))-1,0),0,MOD($A237-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BU2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CROQUIS!$C$97,CROQUIS!$C$97-CROQUIS!$C$107/2-CROQUIS!$C$143,IF(CROQUIS!$C$104=1,CROQUIS!$C$97+12,CROQUIS!$C$97-2),CROQUIS!$C$97-CROQUIS!$C$107/2-CROQUIS!$C$143,CROQUIS!$C$97)))*CROQUIS!$C$159)+IF(CROQUIS!$C$92="X",0.8,0)),-1000)</f>
        <v>-1000</v>
      </c>
      <c r="BV2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HOOSE(IF(INT(($A237-1)/5)&gt;MAX((MAX(1,INT(((CROQUIS!$C$97)-CROQUIS!$C$107)/MAX((CROQUIS!$C$141*MAX(1,CEILING((INT(((CROQUIS!$C$97)-CROQUIS!$C$107)/MAX(CROQUIS!$C$141,1))+1)/80,1))),1))+1))-1,0),0,MOD($A237-1,5))+1,0,IF(CROQUIS!$C$105=1,-12,2),CROQUIS!$C$107/2+CROQUIS!$C$144,IF(CROQUIS!$C$105=1,-12,2),0)))*CROQUIS!$C$159)+IF(CROQUIS!$C$92="X",0.8,0)),-1000)</f>
        <v>-1000</v>
      </c>
      <c r="BW237">
        <f>IF(AND(CROQUIS!$C$88=1,CROQUIS!$C$91=0,CROQUIS!$C$141&gt;0,OR(CROQUIS!$C$105=1,CROQUIS!$C$146=1)),((CROQUIS!$C$161+(IF(CROQUIS!$C$92="X",CHOOSE(IF(INT(($A237-1)/5)&gt;MAX((MAX(1,INT(((CROQUIS!$C$97)-CROQUIS!$C$107)/MAX((CROQUIS!$C$141*MAX(1,CEILING((INT(((CROQUIS!$C$97)-CROQUIS!$C$107)/MAX(CROQUIS!$C$141,1))+1)/80,1))),1))+1))-1,0),0,MOD($A237-1,5))+1,0,IF(CROQUIS!$C$105=1,-12,2),CROQUIS!$C$107/2+CROQUIS!$C$144,IF(CROQUIS!$C$105=1,-12,2),0),((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ROQUIS!$C$159)+IF(CROQUIS!$C$92="X",0,0.8)),-1000)</f>
        <v>-1000</v>
      </c>
      <c r="BX2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HOOSE(IF(INT(($A237-1)/5)&gt;MAX((MAX(1,INT(((CROQUIS!$C$97)-CROQUIS!$C$107)/MAX((CROQUIS!$C$141*MAX(1,CEILING((INT(((CROQUIS!$C$97)-CROQUIS!$C$107)/MAX(CROQUIS!$C$141,1))+1)/80,1))),1))+1))-1,0),0,MOD($A237-1,5))+1,CROQUIS!$C$98,CROQUIS!$C$98-CROQUIS!$C$107/2-CROQUIS!$C$144,IF(CROQUIS!$C$106=1,CROQUIS!$C$98+12,CROQUIS!$C$98-2),CROQUIS!$C$98-CROQUIS!$C$107/2-CROQUIS!$C$144,CROQUIS!$C$98)))*CROQUIS!$C$159)+IF(CROQUIS!$C$92="X",0.8,0)),-1000)</f>
        <v>-1000</v>
      </c>
      <c r="BY237">
        <f>IF(AND(CROQUIS!$C$88=1,CROQUIS!$C$91=0,CROQUIS!$C$141&gt;0,OR(CROQUIS!$C$106=1,CROQUIS!$C$146=1)),((CROQUIS!$C$161+(IF(CROQUIS!$C$92="X",CHOOSE(IF(INT(($A237-1)/5)&gt;MAX((MAX(1,INT(((CROQUIS!$C$97)-CROQUIS!$C$107)/MAX((CROQUIS!$C$141*MAX(1,CEILING((INT(((CROQUIS!$C$97)-CROQUIS!$C$107)/MAX(CROQUIS!$C$141,1))+1)/80,1))),1))+1))-1,0),0,MOD($A237-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ROQUIS!$C$159)+IF(CROQUIS!$C$92="X",0,0.8)),-1000)</f>
        <v>-1000</v>
      </c>
      <c r="BZ237">
        <f>IF(AND(CROQUIS!$C$88=1,CROQUIS!$C$91=1,CROQUIS!$C$133&gt;0),((CROQUIS!$C$160+(IF(CROQUIS!$C$92="X",CHOOSE(IF(INT(($A237-1)/5)&gt;MAX((MAX(1,INT(((CROQUIS!$C$98)-CROQUIS!$C$107)/MAX((CROQUIS!$C$133*MAX(1,CEILING((INT(((CROQUIS!$C$98)-CROQUIS!$C$107)/MAX(CROQUIS!$C$133,1))+1)/80,1))),1))+1))-1,0),0,MOD($A237-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CA237">
        <f>IF(AND(CROQUIS!$C$88=1,CROQUIS!$C$91=1,CROQUIS!$C$133&gt;0),((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8">
      <c r="A238" t="n">
        <v>231</v>
      </c>
      <c r="BN238">
        <f>IF(AND(CROQUIS!$C$88=1,CROQUIS!$C$129&gt;0),((CROQUIS!$C$160+(IF(CROQUIS!$C$92="X",CHOOSE(IF(INT(($A238-1)/5)&gt;MAX((MAX(1,INT(((CROQUIS!$C$98)-CROQUIS!$C$107)/MAX((CROQUIS!$C$129*MAX(1,CEILING((INT(((CROQUIS!$C$98)-CROQUIS!$C$107)/MAX(CROQUIS!$C$129,1))+1)/80,1))),1))+1))-1,0),0,MOD($A238-1,5))+1,0,2,CROQUIS!$C$97-2,2,0),((CROQUIS!$C$107/2+(((CROQUIS!$C$98)-CROQUIS!$C$107)-(MAX(1,INT(((CROQUIS!$C$98)-CROQUIS!$C$107)/MAX((CROQUIS!$C$129*MAX(1,CEILING((INT(((CROQUIS!$C$98)-CROQUIS!$C$107)/MAX(CROQUIS!$C$129,1))+1)/80,1))),1))+1)-1)*(CROQUIS!$C$129*MAX(1,CEILING((INT(((CROQUIS!$C$98)-CROQUIS!$C$107)/MAX(CROQUIS!$C$129,1))+1)/80,1))))/2)+MIN(INT(($A238-1)/5),MAX((MAX(1,INT(((CROQUIS!$C$98)-CROQUIS!$C$107)/MAX((CROQUIS!$C$129*MAX(1,CEILING((INT(((CROQUIS!$C$98)-CROQUIS!$C$107)/MAX(CROQUIS!$C$129,1))+1)/80,1))),1))+1))-1,0))*(CROQUIS!$C$129*MAX(1,CEILING((INT(((CROQUIS!$C$98)-CROQUIS!$C$107)/MAX(CROQUIS!$C$129,1))+1)/80,1))))))*CROQUIS!$C$159)+IF(CROQUIS!$C$92="X",0,0)),-1000)</f>
        <v>-1000</v>
      </c>
      <c r="BO238">
        <f>IF(AND(CROQUIS!$C$88=1,CROQUIS!$C$129&gt;0),((CROQUIS!$C$161+(IF(CROQUIS!$C$92="X",((CROQUIS!$C$107/2+(((CROQUIS!$C$98)-CROQUIS!$C$107)-(MAX(1,INT(((CROQUIS!$C$98)-CROQUIS!$C$107)/MAX((CROQUIS!$C$129*MAX(1,CEILING((INT(((CROQUIS!$C$98)-CROQUIS!$C$107)/MAX(CROQUIS!$C$129,1))+1)/80,1))),1))+1)-1)*(CROQUIS!$C$129*MAX(1,CEILING((INT(((CROQUIS!$C$98)-CROQUIS!$C$107)/MAX(CROQUIS!$C$129,1))+1)/80,1))))/2)+MIN(INT(($A238-1)/5),MAX((MAX(1,INT(((CROQUIS!$C$98)-CROQUIS!$C$107)/MAX((CROQUIS!$C$129*MAX(1,CEILING((INT(((CROQUIS!$C$98)-CROQUIS!$C$107)/MAX(CROQUIS!$C$129,1))+1)/80,1))),1))+1))-1,0))*(CROQUIS!$C$129*MAX(1,CEILING((INT(((CROQUIS!$C$98)-CROQUIS!$C$107)/MAX(CROQUIS!$C$129,1))+1)/80,1)))),CHOOSE(IF(INT(($A238-1)/5)&gt;MAX((MAX(1,INT(((CROQUIS!$C$98)-CROQUIS!$C$107)/MAX((CROQUIS!$C$129*MAX(1,CEILING((INT(((CROQUIS!$C$98)-CROQUIS!$C$107)/MAX(CROQUIS!$C$129,1))+1)/80,1))),1))+1))-1,0),0,MOD($A238-1,5))+1,0,2,CROQUIS!$C$97-2,2,0)))*CROQUIS!$C$159)+IF(CROQUIS!$C$92="X",0,0)),-1000)</f>
        <v>-1000</v>
      </c>
      <c r="BP238">
        <f>IF(AND(CROQUIS!$C$88=1,CROQUIS!$C$137&gt;0),((CROQUIS!$C$160+(IF(CROQUIS!$C$92="X",((CROQUIS!$C$107/2+(((CROQUIS!$C$97)-CROQUIS!$C$107)-(MAX(1,INT(((CROQUIS!$C$97)-CROQUIS!$C$107)/MAX((CROQUIS!$C$137*MAX(1,CEILING((INT(((CROQUIS!$C$97)-CROQUIS!$C$107)/MAX(CROQUIS!$C$137,1))+1)/80,1))),1))+1)-1)*(CROQUIS!$C$137*MAX(1,CEILING((INT(((CROQUIS!$C$97)-CROQUIS!$C$107)/MAX(CROQUIS!$C$137,1))+1)/80,1))))/2)+MIN(INT(($A238-1)/5),MAX((MAX(1,INT(((CROQUIS!$C$97)-CROQUIS!$C$107)/MAX((CROQUIS!$C$137*MAX(1,CEILING((INT(((CROQUIS!$C$97)-CROQUIS!$C$107)/MAX(CROQUIS!$C$137,1))+1)/80,1))),1))+1))-1,0))*(CROQUIS!$C$137*MAX(1,CEILING((INT(((CROQUIS!$C$97)-CROQUIS!$C$107)/MAX(CROQUIS!$C$137,1))+1)/80,1)))),CHOOSE(IF(INT(($A238-1)/5)&gt;MAX((MAX(1,INT(((CROQUIS!$C$97)-CROQUIS!$C$107)/MAX((CROQUIS!$C$137*MAX(1,CEILING((INT(((CROQUIS!$C$97)-CROQUIS!$C$107)/MAX(CROQUIS!$C$137,1))+1)/80,1))),1))+1))-1,0),0,MOD($A238-1,5))+1,0,2,CROQUIS!$C$98-2,2,0)))*CROQUIS!$C$159)+IF(CROQUIS!$C$92="X",0,0)),-1000)</f>
        <v>-1000</v>
      </c>
      <c r="BQ238">
        <f>IF(AND(CROQUIS!$C$88=1,CROQUIS!$C$137&gt;0),((CROQUIS!$C$161+(IF(CROQUIS!$C$92="X",CHOOSE(IF(INT(($A238-1)/5)&gt;MAX((MAX(1,INT(((CROQUIS!$C$97)-CROQUIS!$C$107)/MAX((CROQUIS!$C$137*MAX(1,CEILING((INT(((CROQUIS!$C$97)-CROQUIS!$C$107)/MAX(CROQUIS!$C$137,1))+1)/80,1))),1))+1))-1,0),0,MOD($A238-1,5))+1,0,2,CROQUIS!$C$98-2,2,0),((CROQUIS!$C$107/2+(((CROQUIS!$C$97)-CROQUIS!$C$107)-(MAX(1,INT(((CROQUIS!$C$97)-CROQUIS!$C$107)/MAX((CROQUIS!$C$137*MAX(1,CEILING((INT(((CROQUIS!$C$97)-CROQUIS!$C$107)/MAX(CROQUIS!$C$137,1))+1)/80,1))),1))+1)-1)*(CROQUIS!$C$137*MAX(1,CEILING((INT(((CROQUIS!$C$97)-CROQUIS!$C$107)/MAX(CROQUIS!$C$137,1))+1)/80,1))))/2)+MIN(INT(($A238-1)/5),MAX((MAX(1,INT(((CROQUIS!$C$97)-CROQUIS!$C$107)/MAX((CROQUIS!$C$137*MAX(1,CEILING((INT(((CROQUIS!$C$97)-CROQUIS!$C$107)/MAX(CROQUIS!$C$137,1))+1)/80,1))),1))+1))-1,0))*(CROQUIS!$C$137*MAX(1,CEILING((INT(((CROQUIS!$C$97)-CROQUIS!$C$107)/MAX(CROQUIS!$C$137,1))+1)/80,1))))))*CROQUIS!$C$159)+IF(CROQUIS!$C$92="X",0,0)),-1000)</f>
        <v>-1000</v>
      </c>
      <c r="BR238">
        <f>IF(AND(CROQUIS!$C$88=1,CROQUIS!$C$91=0,CROQUIS!$C$133&gt;0,OR(CROQUIS!$C$103=1,CROQUIS!$C$145=1)),((CROQUIS!$C$160+(IF(CROQUIS!$C$92="X",CHOOSE(IF(INT(($A238-1)/5)&gt;MAX((MAX(1,INT(((CROQUIS!$C$98)-CROQUIS!$C$107)/MAX((CROQUIS!$C$133*MAX(1,CEILING((INT(((CROQUIS!$C$98)-CROQUIS!$C$107)/MAX(CROQUIS!$C$133,1))+1)/80,1))),1))+1))-1,0),0,MOD($A238-1,5))+1,0,IF(CROQUIS!$C$103=1,-12,2),CROQUIS!$C$107/2+CROQUIS!$C$143,IF(CROQUIS!$C$103=1,-12,2),0),((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BS2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+1,0,IF(CROQUIS!$C$103=1,-12,2),CROQUIS!$C$107/2+CROQUIS!$C$143,IF(CROQUIS!$C$103=1,-12,2),0)))*CROQUIS!$C$159)+IF(CROQUIS!$C$92="X",0.8,0)),-1000)</f>
        <v>-1000</v>
      </c>
      <c r="BT238">
        <f>IF(AND(CROQUIS!$C$88=1,CROQUIS!$C$91=0,CROQUIS!$C$133&gt;0,OR(CROQUIS!$C$104=1,CROQUIS!$C$145=1)),((CROQUIS!$C$160+(IF(CROQUIS!$C$92="X",CHOOSE(IF(INT(($A238-1)/5)&gt;MAX((MAX(1,INT(((CROQUIS!$C$98)-CROQUIS!$C$107)/MAX((CROQUIS!$C$133*MAX(1,CEILING((INT(((CROQUIS!$C$98)-CROQUIS!$C$107)/MAX(CROQUIS!$C$133,1))+1)/80,1))),1))+1))-1,0),0,MOD($A238-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BU2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CROQUIS!$C$97,CROQUIS!$C$97-CROQUIS!$C$107/2-CROQUIS!$C$143,IF(CROQUIS!$C$104=1,CROQUIS!$C$97+12,CROQUIS!$C$97-2),CROQUIS!$C$97-CROQUIS!$C$107/2-CROQUIS!$C$143,CROQUIS!$C$97)))*CROQUIS!$C$159)+IF(CROQUIS!$C$92="X",0.8,0)),-1000)</f>
        <v>-1000</v>
      </c>
      <c r="BV2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HOOSE(IF(INT(($A238-1)/5)&gt;MAX((MAX(1,INT(((CROQUIS!$C$97)-CROQUIS!$C$107)/MAX((CROQUIS!$C$141*MAX(1,CEILING((INT(((CROQUIS!$C$97)-CROQUIS!$C$107)/MAX(CROQUIS!$C$141,1))+1)/80,1))),1))+1))-1,0),0,MOD($A238-1,5))+1,0,IF(CROQUIS!$C$105=1,-12,2),CROQUIS!$C$107/2+CROQUIS!$C$144,IF(CROQUIS!$C$105=1,-12,2),0)))*CROQUIS!$C$159)+IF(CROQUIS!$C$92="X",0.8,0)),-1000)</f>
        <v>-1000</v>
      </c>
      <c r="BW238">
        <f>IF(AND(CROQUIS!$C$88=1,CROQUIS!$C$91=0,CROQUIS!$C$141&gt;0,OR(CROQUIS!$C$105=1,CROQUIS!$C$146=1)),((CROQUIS!$C$161+(IF(CROQUIS!$C$92="X",CHOOSE(IF(INT(($A238-1)/5)&gt;MAX((MAX(1,INT(((CROQUIS!$C$97)-CROQUIS!$C$107)/MAX((CROQUIS!$C$141*MAX(1,CEILING((INT(((CROQUIS!$C$97)-CROQUIS!$C$107)/MAX(CROQUIS!$C$141,1))+1)/80,1))),1))+1))-1,0),0,MOD($A238-1,5))+1,0,IF(CROQUIS!$C$105=1,-12,2),CROQUIS!$C$107/2+CROQUIS!$C$144,IF(CROQUIS!$C$105=1,-12,2),0),((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ROQUIS!$C$159)+IF(CROQUIS!$C$92="X",0,0.8)),-1000)</f>
        <v>-1000</v>
      </c>
      <c r="BX2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HOOSE(IF(INT(($A238-1)/5)&gt;MAX((MAX(1,INT(((CROQUIS!$C$97)-CROQUIS!$C$107)/MAX((CROQUIS!$C$141*MAX(1,CEILING((INT(((CROQUIS!$C$97)-CROQUIS!$C$107)/MAX(CROQUIS!$C$141,1))+1)/80,1))),1))+1))-1,0),0,MOD($A238-1,5))+1,CROQUIS!$C$98,CROQUIS!$C$98-CROQUIS!$C$107/2-CROQUIS!$C$144,IF(CROQUIS!$C$106=1,CROQUIS!$C$98+12,CROQUIS!$C$98-2),CROQUIS!$C$98-CROQUIS!$C$107/2-CROQUIS!$C$144,CROQUIS!$C$98)))*CROQUIS!$C$159)+IF(CROQUIS!$C$92="X",0.8,0)),-1000)</f>
        <v>-1000</v>
      </c>
      <c r="BY238">
        <f>IF(AND(CROQUIS!$C$88=1,CROQUIS!$C$91=0,CROQUIS!$C$141&gt;0,OR(CROQUIS!$C$106=1,CROQUIS!$C$146=1)),((CROQUIS!$C$161+(IF(CROQUIS!$C$92="X",CHOOSE(IF(INT(($A238-1)/5)&gt;MAX((MAX(1,INT(((CROQUIS!$C$97)-CROQUIS!$C$107)/MAX((CROQUIS!$C$141*MAX(1,CEILING((INT(((CROQUIS!$C$97)-CROQUIS!$C$107)/MAX(CROQUIS!$C$141,1))+1)/80,1))),1))+1))-1,0),0,MOD($A238-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ROQUIS!$C$159)+IF(CROQUIS!$C$92="X",0,0.8)),-1000)</f>
        <v>-1000</v>
      </c>
      <c r="BZ238">
        <f>IF(AND(CROQUIS!$C$88=1,CROQUIS!$C$91=1,CROQUIS!$C$133&gt;0),((CROQUIS!$C$160+(IF(CROQUIS!$C$92="X",CHOOSE(IF(INT(($A238-1)/5)&gt;MAX((MAX(1,INT(((CROQUIS!$C$98)-CROQUIS!$C$107)/MAX((CROQUIS!$C$133*MAX(1,CEILING((INT(((CROQUIS!$C$98)-CROQUIS!$C$107)/MAX(CROQUIS!$C$133,1))+1)/80,1))),1))+1))-1,0),0,MOD($A238-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CA238">
        <f>IF(AND(CROQUIS!$C$88=1,CROQUIS!$C$91=1,CROQUIS!$C$133&gt;0),((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9">
      <c r="A239" t="n">
        <v>232</v>
      </c>
      <c r="BN239">
        <f>IF(AND(CROQUIS!$C$88=1,CROQUIS!$C$129&gt;0),((CROQUIS!$C$160+(IF(CROQUIS!$C$92="X",CHOOSE(IF(INT(($A239-1)/5)&gt;MAX((MAX(1,INT(((CROQUIS!$C$98)-CROQUIS!$C$107)/MAX((CROQUIS!$C$129*MAX(1,CEILING((INT(((CROQUIS!$C$98)-CROQUIS!$C$107)/MAX(CROQUIS!$C$129,1))+1)/80,1))),1))+1))-1,0),0,MOD($A239-1,5))+1,0,2,CROQUIS!$C$97-2,2,0),((CROQUIS!$C$107/2+(((CROQUIS!$C$98)-CROQUIS!$C$107)-(MAX(1,INT(((CROQUIS!$C$98)-CROQUIS!$C$107)/MAX((CROQUIS!$C$129*MAX(1,CEILING((INT(((CROQUIS!$C$98)-CROQUIS!$C$107)/MAX(CROQUIS!$C$129,1))+1)/80,1))),1))+1)-1)*(CROQUIS!$C$129*MAX(1,CEILING((INT(((CROQUIS!$C$98)-CROQUIS!$C$107)/MAX(CROQUIS!$C$129,1))+1)/80,1))))/2)+MIN(INT(($A239-1)/5),MAX((MAX(1,INT(((CROQUIS!$C$98)-CROQUIS!$C$107)/MAX((CROQUIS!$C$129*MAX(1,CEILING((INT(((CROQUIS!$C$98)-CROQUIS!$C$107)/MAX(CROQUIS!$C$129,1))+1)/80,1))),1))+1))-1,0))*(CROQUIS!$C$129*MAX(1,CEILING((INT(((CROQUIS!$C$98)-CROQUIS!$C$107)/MAX(CROQUIS!$C$129,1))+1)/80,1))))))*CROQUIS!$C$159)+IF(CROQUIS!$C$92="X",0,0)),-1000)</f>
        <v>-1000</v>
      </c>
      <c r="BO239">
        <f>IF(AND(CROQUIS!$C$88=1,CROQUIS!$C$129&gt;0),((CROQUIS!$C$161+(IF(CROQUIS!$C$92="X",((CROQUIS!$C$107/2+(((CROQUIS!$C$98)-CROQUIS!$C$107)-(MAX(1,INT(((CROQUIS!$C$98)-CROQUIS!$C$107)/MAX((CROQUIS!$C$129*MAX(1,CEILING((INT(((CROQUIS!$C$98)-CROQUIS!$C$107)/MAX(CROQUIS!$C$129,1))+1)/80,1))),1))+1)-1)*(CROQUIS!$C$129*MAX(1,CEILING((INT(((CROQUIS!$C$98)-CROQUIS!$C$107)/MAX(CROQUIS!$C$129,1))+1)/80,1))))/2)+MIN(INT(($A239-1)/5),MAX((MAX(1,INT(((CROQUIS!$C$98)-CROQUIS!$C$107)/MAX((CROQUIS!$C$129*MAX(1,CEILING((INT(((CROQUIS!$C$98)-CROQUIS!$C$107)/MAX(CROQUIS!$C$129,1))+1)/80,1))),1))+1))-1,0))*(CROQUIS!$C$129*MAX(1,CEILING((INT(((CROQUIS!$C$98)-CROQUIS!$C$107)/MAX(CROQUIS!$C$129,1))+1)/80,1)))),CHOOSE(IF(INT(($A239-1)/5)&gt;MAX((MAX(1,INT(((CROQUIS!$C$98)-CROQUIS!$C$107)/MAX((CROQUIS!$C$129*MAX(1,CEILING((INT(((CROQUIS!$C$98)-CROQUIS!$C$107)/MAX(CROQUIS!$C$129,1))+1)/80,1))),1))+1))-1,0),0,MOD($A239-1,5))+1,0,2,CROQUIS!$C$97-2,2,0)))*CROQUIS!$C$159)+IF(CROQUIS!$C$92="X",0,0)),-1000)</f>
        <v>-1000</v>
      </c>
      <c r="BP239">
        <f>IF(AND(CROQUIS!$C$88=1,CROQUIS!$C$137&gt;0),((CROQUIS!$C$160+(IF(CROQUIS!$C$92="X",((CROQUIS!$C$107/2+(((CROQUIS!$C$97)-CROQUIS!$C$107)-(MAX(1,INT(((CROQUIS!$C$97)-CROQUIS!$C$107)/MAX((CROQUIS!$C$137*MAX(1,CEILING((INT(((CROQUIS!$C$97)-CROQUIS!$C$107)/MAX(CROQUIS!$C$137,1))+1)/80,1))),1))+1)-1)*(CROQUIS!$C$137*MAX(1,CEILING((INT(((CROQUIS!$C$97)-CROQUIS!$C$107)/MAX(CROQUIS!$C$137,1))+1)/80,1))))/2)+MIN(INT(($A239-1)/5),MAX((MAX(1,INT(((CROQUIS!$C$97)-CROQUIS!$C$107)/MAX((CROQUIS!$C$137*MAX(1,CEILING((INT(((CROQUIS!$C$97)-CROQUIS!$C$107)/MAX(CROQUIS!$C$137,1))+1)/80,1))),1))+1))-1,0))*(CROQUIS!$C$137*MAX(1,CEILING((INT(((CROQUIS!$C$97)-CROQUIS!$C$107)/MAX(CROQUIS!$C$137,1))+1)/80,1)))),CHOOSE(IF(INT(($A239-1)/5)&gt;MAX((MAX(1,INT(((CROQUIS!$C$97)-CROQUIS!$C$107)/MAX((CROQUIS!$C$137*MAX(1,CEILING((INT(((CROQUIS!$C$97)-CROQUIS!$C$107)/MAX(CROQUIS!$C$137,1))+1)/80,1))),1))+1))-1,0),0,MOD($A239-1,5))+1,0,2,CROQUIS!$C$98-2,2,0)))*CROQUIS!$C$159)+IF(CROQUIS!$C$92="X",0,0)),-1000)</f>
        <v>-1000</v>
      </c>
      <c r="BQ239">
        <f>IF(AND(CROQUIS!$C$88=1,CROQUIS!$C$137&gt;0),((CROQUIS!$C$161+(IF(CROQUIS!$C$92="X",CHOOSE(IF(INT(($A239-1)/5)&gt;MAX((MAX(1,INT(((CROQUIS!$C$97)-CROQUIS!$C$107)/MAX((CROQUIS!$C$137*MAX(1,CEILING((INT(((CROQUIS!$C$97)-CROQUIS!$C$107)/MAX(CROQUIS!$C$137,1))+1)/80,1))),1))+1))-1,0),0,MOD($A239-1,5))+1,0,2,CROQUIS!$C$98-2,2,0),((CROQUIS!$C$107/2+(((CROQUIS!$C$97)-CROQUIS!$C$107)-(MAX(1,INT(((CROQUIS!$C$97)-CROQUIS!$C$107)/MAX((CROQUIS!$C$137*MAX(1,CEILING((INT(((CROQUIS!$C$97)-CROQUIS!$C$107)/MAX(CROQUIS!$C$137,1))+1)/80,1))),1))+1)-1)*(CROQUIS!$C$137*MAX(1,CEILING((INT(((CROQUIS!$C$97)-CROQUIS!$C$107)/MAX(CROQUIS!$C$137,1))+1)/80,1))))/2)+MIN(INT(($A239-1)/5),MAX((MAX(1,INT(((CROQUIS!$C$97)-CROQUIS!$C$107)/MAX((CROQUIS!$C$137*MAX(1,CEILING((INT(((CROQUIS!$C$97)-CROQUIS!$C$107)/MAX(CROQUIS!$C$137,1))+1)/80,1))),1))+1))-1,0))*(CROQUIS!$C$137*MAX(1,CEILING((INT(((CROQUIS!$C$97)-CROQUIS!$C$107)/MAX(CROQUIS!$C$137,1))+1)/80,1))))))*CROQUIS!$C$159)+IF(CROQUIS!$C$92="X",0,0)),-1000)</f>
        <v>-1000</v>
      </c>
      <c r="BR239">
        <f>IF(AND(CROQUIS!$C$88=1,CROQUIS!$C$91=0,CROQUIS!$C$133&gt;0,OR(CROQUIS!$C$103=1,CROQUIS!$C$145=1)),((CROQUIS!$C$160+(IF(CROQUIS!$C$92="X",CHOOSE(IF(INT(($A239-1)/5)&gt;MAX((MAX(1,INT(((CROQUIS!$C$98)-CROQUIS!$C$107)/MAX((CROQUIS!$C$133*MAX(1,CEILING((INT(((CROQUIS!$C$98)-CROQUIS!$C$107)/MAX(CROQUIS!$C$133,1))+1)/80,1))),1))+1))-1,0),0,MOD($A239-1,5))+1,0,IF(CROQUIS!$C$103=1,-12,2),CROQUIS!$C$107/2+CROQUIS!$C$143,IF(CROQUIS!$C$103=1,-12,2),0),((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BS2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+1,0,IF(CROQUIS!$C$103=1,-12,2),CROQUIS!$C$107/2+CROQUIS!$C$143,IF(CROQUIS!$C$103=1,-12,2),0)))*CROQUIS!$C$159)+IF(CROQUIS!$C$92="X",0.8,0)),-1000)</f>
        <v>-1000</v>
      </c>
      <c r="BT239">
        <f>IF(AND(CROQUIS!$C$88=1,CROQUIS!$C$91=0,CROQUIS!$C$133&gt;0,OR(CROQUIS!$C$104=1,CROQUIS!$C$145=1)),((CROQUIS!$C$160+(IF(CROQUIS!$C$92="X",CHOOSE(IF(INT(($A239-1)/5)&gt;MAX((MAX(1,INT(((CROQUIS!$C$98)-CROQUIS!$C$107)/MAX((CROQUIS!$C$133*MAX(1,CEILING((INT(((CROQUIS!$C$98)-CROQUIS!$C$107)/MAX(CROQUIS!$C$133,1))+1)/80,1))),1))+1))-1,0),0,MOD($A239-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BU2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CROQUIS!$C$97,CROQUIS!$C$97-CROQUIS!$C$107/2-CROQUIS!$C$143,IF(CROQUIS!$C$104=1,CROQUIS!$C$97+12,CROQUIS!$C$97-2),CROQUIS!$C$97-CROQUIS!$C$107/2-CROQUIS!$C$143,CROQUIS!$C$97)))*CROQUIS!$C$159)+IF(CROQUIS!$C$92="X",0.8,0)),-1000)</f>
        <v>-1000</v>
      </c>
      <c r="BV2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HOOSE(IF(INT(($A239-1)/5)&gt;MAX((MAX(1,INT(((CROQUIS!$C$97)-CROQUIS!$C$107)/MAX((CROQUIS!$C$141*MAX(1,CEILING((INT(((CROQUIS!$C$97)-CROQUIS!$C$107)/MAX(CROQUIS!$C$141,1))+1)/80,1))),1))+1))-1,0),0,MOD($A239-1,5))+1,0,IF(CROQUIS!$C$105=1,-12,2),CROQUIS!$C$107/2+CROQUIS!$C$144,IF(CROQUIS!$C$105=1,-12,2),0)))*CROQUIS!$C$159)+IF(CROQUIS!$C$92="X",0.8,0)),-1000)</f>
        <v>-1000</v>
      </c>
      <c r="BW239">
        <f>IF(AND(CROQUIS!$C$88=1,CROQUIS!$C$91=0,CROQUIS!$C$141&gt;0,OR(CROQUIS!$C$105=1,CROQUIS!$C$146=1)),((CROQUIS!$C$161+(IF(CROQUIS!$C$92="X",CHOOSE(IF(INT(($A239-1)/5)&gt;MAX((MAX(1,INT(((CROQUIS!$C$97)-CROQUIS!$C$107)/MAX((CROQUIS!$C$141*MAX(1,CEILING((INT(((CROQUIS!$C$97)-CROQUIS!$C$107)/MAX(CROQUIS!$C$141,1))+1)/80,1))),1))+1))-1,0),0,MOD($A239-1,5))+1,0,IF(CROQUIS!$C$105=1,-12,2),CROQUIS!$C$107/2+CROQUIS!$C$144,IF(CROQUIS!$C$105=1,-12,2),0),((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ROQUIS!$C$159)+IF(CROQUIS!$C$92="X",0,0.8)),-1000)</f>
        <v>-1000</v>
      </c>
      <c r="BX2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HOOSE(IF(INT(($A239-1)/5)&gt;MAX((MAX(1,INT(((CROQUIS!$C$97)-CROQUIS!$C$107)/MAX((CROQUIS!$C$141*MAX(1,CEILING((INT(((CROQUIS!$C$97)-CROQUIS!$C$107)/MAX(CROQUIS!$C$141,1))+1)/80,1))),1))+1))-1,0),0,MOD($A239-1,5))+1,CROQUIS!$C$98,CROQUIS!$C$98-CROQUIS!$C$107/2-CROQUIS!$C$144,IF(CROQUIS!$C$106=1,CROQUIS!$C$98+12,CROQUIS!$C$98-2),CROQUIS!$C$98-CROQUIS!$C$107/2-CROQUIS!$C$144,CROQUIS!$C$98)))*CROQUIS!$C$159)+IF(CROQUIS!$C$92="X",0.8,0)),-1000)</f>
        <v>-1000</v>
      </c>
      <c r="BY239">
        <f>IF(AND(CROQUIS!$C$88=1,CROQUIS!$C$91=0,CROQUIS!$C$141&gt;0,OR(CROQUIS!$C$106=1,CROQUIS!$C$146=1)),((CROQUIS!$C$161+(IF(CROQUIS!$C$92="X",CHOOSE(IF(INT(($A239-1)/5)&gt;MAX((MAX(1,INT(((CROQUIS!$C$97)-CROQUIS!$C$107)/MAX((CROQUIS!$C$141*MAX(1,CEILING((INT(((CROQUIS!$C$97)-CROQUIS!$C$107)/MAX(CROQUIS!$C$141,1))+1)/80,1))),1))+1))-1,0),0,MOD($A239-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ROQUIS!$C$159)+IF(CROQUIS!$C$92="X",0,0.8)),-1000)</f>
        <v>-1000</v>
      </c>
      <c r="BZ239">
        <f>IF(AND(CROQUIS!$C$88=1,CROQUIS!$C$91=1,CROQUIS!$C$133&gt;0),((CROQUIS!$C$160+(IF(CROQUIS!$C$92="X",CHOOSE(IF(INT(($A239-1)/5)&gt;MAX((MAX(1,INT(((CROQUIS!$C$98)-CROQUIS!$C$107)/MAX((CROQUIS!$C$133*MAX(1,CEILING((INT(((CROQUIS!$C$98)-CROQUIS!$C$107)/MAX(CROQUIS!$C$133,1))+1)/80,1))),1))+1))-1,0),0,MOD($A239-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CA239">
        <f>IF(AND(CROQUIS!$C$88=1,CROQUIS!$C$91=1,CROQUIS!$C$133&gt;0),((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0">
      <c r="A240" t="n">
        <v>233</v>
      </c>
      <c r="BN240">
        <f>IF(AND(CROQUIS!$C$88=1,CROQUIS!$C$129&gt;0),((CROQUIS!$C$160+(IF(CROQUIS!$C$92="X",CHOOSE(IF(INT(($A240-1)/5)&gt;MAX((MAX(1,INT(((CROQUIS!$C$98)-CROQUIS!$C$107)/MAX((CROQUIS!$C$129*MAX(1,CEILING((INT(((CROQUIS!$C$98)-CROQUIS!$C$107)/MAX(CROQUIS!$C$129,1))+1)/80,1))),1))+1))-1,0),0,MOD($A240-1,5))+1,0,2,CROQUIS!$C$97-2,2,0),((CROQUIS!$C$107/2+(((CROQUIS!$C$98)-CROQUIS!$C$107)-(MAX(1,INT(((CROQUIS!$C$98)-CROQUIS!$C$107)/MAX((CROQUIS!$C$129*MAX(1,CEILING((INT(((CROQUIS!$C$98)-CROQUIS!$C$107)/MAX(CROQUIS!$C$129,1))+1)/80,1))),1))+1)-1)*(CROQUIS!$C$129*MAX(1,CEILING((INT(((CROQUIS!$C$98)-CROQUIS!$C$107)/MAX(CROQUIS!$C$129,1))+1)/80,1))))/2)+MIN(INT(($A240-1)/5),MAX((MAX(1,INT(((CROQUIS!$C$98)-CROQUIS!$C$107)/MAX((CROQUIS!$C$129*MAX(1,CEILING((INT(((CROQUIS!$C$98)-CROQUIS!$C$107)/MAX(CROQUIS!$C$129,1))+1)/80,1))),1))+1))-1,0))*(CROQUIS!$C$129*MAX(1,CEILING((INT(((CROQUIS!$C$98)-CROQUIS!$C$107)/MAX(CROQUIS!$C$129,1))+1)/80,1))))))*CROQUIS!$C$159)+IF(CROQUIS!$C$92="X",0,0)),-1000)</f>
        <v>-1000</v>
      </c>
      <c r="BO240">
        <f>IF(AND(CROQUIS!$C$88=1,CROQUIS!$C$129&gt;0),((CROQUIS!$C$161+(IF(CROQUIS!$C$92="X",((CROQUIS!$C$107/2+(((CROQUIS!$C$98)-CROQUIS!$C$107)-(MAX(1,INT(((CROQUIS!$C$98)-CROQUIS!$C$107)/MAX((CROQUIS!$C$129*MAX(1,CEILING((INT(((CROQUIS!$C$98)-CROQUIS!$C$107)/MAX(CROQUIS!$C$129,1))+1)/80,1))),1))+1)-1)*(CROQUIS!$C$129*MAX(1,CEILING((INT(((CROQUIS!$C$98)-CROQUIS!$C$107)/MAX(CROQUIS!$C$129,1))+1)/80,1))))/2)+MIN(INT(($A240-1)/5),MAX((MAX(1,INT(((CROQUIS!$C$98)-CROQUIS!$C$107)/MAX((CROQUIS!$C$129*MAX(1,CEILING((INT(((CROQUIS!$C$98)-CROQUIS!$C$107)/MAX(CROQUIS!$C$129,1))+1)/80,1))),1))+1))-1,0))*(CROQUIS!$C$129*MAX(1,CEILING((INT(((CROQUIS!$C$98)-CROQUIS!$C$107)/MAX(CROQUIS!$C$129,1))+1)/80,1)))),CHOOSE(IF(INT(($A240-1)/5)&gt;MAX((MAX(1,INT(((CROQUIS!$C$98)-CROQUIS!$C$107)/MAX((CROQUIS!$C$129*MAX(1,CEILING((INT(((CROQUIS!$C$98)-CROQUIS!$C$107)/MAX(CROQUIS!$C$129,1))+1)/80,1))),1))+1))-1,0),0,MOD($A240-1,5))+1,0,2,CROQUIS!$C$97-2,2,0)))*CROQUIS!$C$159)+IF(CROQUIS!$C$92="X",0,0)),-1000)</f>
        <v>-1000</v>
      </c>
      <c r="BP240">
        <f>IF(AND(CROQUIS!$C$88=1,CROQUIS!$C$137&gt;0),((CROQUIS!$C$160+(IF(CROQUIS!$C$92="X",((CROQUIS!$C$107/2+(((CROQUIS!$C$97)-CROQUIS!$C$107)-(MAX(1,INT(((CROQUIS!$C$97)-CROQUIS!$C$107)/MAX((CROQUIS!$C$137*MAX(1,CEILING((INT(((CROQUIS!$C$97)-CROQUIS!$C$107)/MAX(CROQUIS!$C$137,1))+1)/80,1))),1))+1)-1)*(CROQUIS!$C$137*MAX(1,CEILING((INT(((CROQUIS!$C$97)-CROQUIS!$C$107)/MAX(CROQUIS!$C$137,1))+1)/80,1))))/2)+MIN(INT(($A240-1)/5),MAX((MAX(1,INT(((CROQUIS!$C$97)-CROQUIS!$C$107)/MAX((CROQUIS!$C$137*MAX(1,CEILING((INT(((CROQUIS!$C$97)-CROQUIS!$C$107)/MAX(CROQUIS!$C$137,1))+1)/80,1))),1))+1))-1,0))*(CROQUIS!$C$137*MAX(1,CEILING((INT(((CROQUIS!$C$97)-CROQUIS!$C$107)/MAX(CROQUIS!$C$137,1))+1)/80,1)))),CHOOSE(IF(INT(($A240-1)/5)&gt;MAX((MAX(1,INT(((CROQUIS!$C$97)-CROQUIS!$C$107)/MAX((CROQUIS!$C$137*MAX(1,CEILING((INT(((CROQUIS!$C$97)-CROQUIS!$C$107)/MAX(CROQUIS!$C$137,1))+1)/80,1))),1))+1))-1,0),0,MOD($A240-1,5))+1,0,2,CROQUIS!$C$98-2,2,0)))*CROQUIS!$C$159)+IF(CROQUIS!$C$92="X",0,0)),-1000)</f>
        <v>-1000</v>
      </c>
      <c r="BQ240">
        <f>IF(AND(CROQUIS!$C$88=1,CROQUIS!$C$137&gt;0),((CROQUIS!$C$161+(IF(CROQUIS!$C$92="X",CHOOSE(IF(INT(($A240-1)/5)&gt;MAX((MAX(1,INT(((CROQUIS!$C$97)-CROQUIS!$C$107)/MAX((CROQUIS!$C$137*MAX(1,CEILING((INT(((CROQUIS!$C$97)-CROQUIS!$C$107)/MAX(CROQUIS!$C$137,1))+1)/80,1))),1))+1))-1,0),0,MOD($A240-1,5))+1,0,2,CROQUIS!$C$98-2,2,0),((CROQUIS!$C$107/2+(((CROQUIS!$C$97)-CROQUIS!$C$107)-(MAX(1,INT(((CROQUIS!$C$97)-CROQUIS!$C$107)/MAX((CROQUIS!$C$137*MAX(1,CEILING((INT(((CROQUIS!$C$97)-CROQUIS!$C$107)/MAX(CROQUIS!$C$137,1))+1)/80,1))),1))+1)-1)*(CROQUIS!$C$137*MAX(1,CEILING((INT(((CROQUIS!$C$97)-CROQUIS!$C$107)/MAX(CROQUIS!$C$137,1))+1)/80,1))))/2)+MIN(INT(($A240-1)/5),MAX((MAX(1,INT(((CROQUIS!$C$97)-CROQUIS!$C$107)/MAX((CROQUIS!$C$137*MAX(1,CEILING((INT(((CROQUIS!$C$97)-CROQUIS!$C$107)/MAX(CROQUIS!$C$137,1))+1)/80,1))),1))+1))-1,0))*(CROQUIS!$C$137*MAX(1,CEILING((INT(((CROQUIS!$C$97)-CROQUIS!$C$107)/MAX(CROQUIS!$C$137,1))+1)/80,1))))))*CROQUIS!$C$159)+IF(CROQUIS!$C$92="X",0,0)),-1000)</f>
        <v>-1000</v>
      </c>
      <c r="BR240">
        <f>IF(AND(CROQUIS!$C$88=1,CROQUIS!$C$91=0,CROQUIS!$C$133&gt;0,OR(CROQUIS!$C$103=1,CROQUIS!$C$145=1)),((CROQUIS!$C$160+(IF(CROQUIS!$C$92="X",CHOOSE(IF(INT(($A240-1)/5)&gt;MAX((MAX(1,INT(((CROQUIS!$C$98)-CROQUIS!$C$107)/MAX((CROQUIS!$C$133*MAX(1,CEILING((INT(((CROQUIS!$C$98)-CROQUIS!$C$107)/MAX(CROQUIS!$C$133,1))+1)/80,1))),1))+1))-1,0),0,MOD($A240-1,5))+1,0,IF(CROQUIS!$C$103=1,-12,2),CROQUIS!$C$107/2+CROQUIS!$C$143,IF(CROQUIS!$C$103=1,-12,2),0),((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BS2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+1,0,IF(CROQUIS!$C$103=1,-12,2),CROQUIS!$C$107/2+CROQUIS!$C$143,IF(CROQUIS!$C$103=1,-12,2),0)))*CROQUIS!$C$159)+IF(CROQUIS!$C$92="X",0.8,0)),-1000)</f>
        <v>-1000</v>
      </c>
      <c r="BT240">
        <f>IF(AND(CROQUIS!$C$88=1,CROQUIS!$C$91=0,CROQUIS!$C$133&gt;0,OR(CROQUIS!$C$104=1,CROQUIS!$C$145=1)),((CROQUIS!$C$160+(IF(CROQUIS!$C$92="X",CHOOSE(IF(INT(($A240-1)/5)&gt;MAX((MAX(1,INT(((CROQUIS!$C$98)-CROQUIS!$C$107)/MAX((CROQUIS!$C$133*MAX(1,CEILING((INT(((CROQUIS!$C$98)-CROQUIS!$C$107)/MAX(CROQUIS!$C$133,1))+1)/80,1))),1))+1))-1,0),0,MOD($A240-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BU2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CROQUIS!$C$97,CROQUIS!$C$97-CROQUIS!$C$107/2-CROQUIS!$C$143,IF(CROQUIS!$C$104=1,CROQUIS!$C$97+12,CROQUIS!$C$97-2),CROQUIS!$C$97-CROQUIS!$C$107/2-CROQUIS!$C$143,CROQUIS!$C$97)))*CROQUIS!$C$159)+IF(CROQUIS!$C$92="X",0.8,0)),-1000)</f>
        <v>-1000</v>
      </c>
      <c r="BV2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HOOSE(IF(INT(($A240-1)/5)&gt;MAX((MAX(1,INT(((CROQUIS!$C$97)-CROQUIS!$C$107)/MAX((CROQUIS!$C$141*MAX(1,CEILING((INT(((CROQUIS!$C$97)-CROQUIS!$C$107)/MAX(CROQUIS!$C$141,1))+1)/80,1))),1))+1))-1,0),0,MOD($A240-1,5))+1,0,IF(CROQUIS!$C$105=1,-12,2),CROQUIS!$C$107/2+CROQUIS!$C$144,IF(CROQUIS!$C$105=1,-12,2),0)))*CROQUIS!$C$159)+IF(CROQUIS!$C$92="X",0.8,0)),-1000)</f>
        <v>-1000</v>
      </c>
      <c r="BW240">
        <f>IF(AND(CROQUIS!$C$88=1,CROQUIS!$C$91=0,CROQUIS!$C$141&gt;0,OR(CROQUIS!$C$105=1,CROQUIS!$C$146=1)),((CROQUIS!$C$161+(IF(CROQUIS!$C$92="X",CHOOSE(IF(INT(($A240-1)/5)&gt;MAX((MAX(1,INT(((CROQUIS!$C$97)-CROQUIS!$C$107)/MAX((CROQUIS!$C$141*MAX(1,CEILING((INT(((CROQUIS!$C$97)-CROQUIS!$C$107)/MAX(CROQUIS!$C$141,1))+1)/80,1))),1))+1))-1,0),0,MOD($A240-1,5))+1,0,IF(CROQUIS!$C$105=1,-12,2),CROQUIS!$C$107/2+CROQUIS!$C$144,IF(CROQUIS!$C$105=1,-12,2),0),((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ROQUIS!$C$159)+IF(CROQUIS!$C$92="X",0,0.8)),-1000)</f>
        <v>-1000</v>
      </c>
      <c r="BX2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HOOSE(IF(INT(($A240-1)/5)&gt;MAX((MAX(1,INT(((CROQUIS!$C$97)-CROQUIS!$C$107)/MAX((CROQUIS!$C$141*MAX(1,CEILING((INT(((CROQUIS!$C$97)-CROQUIS!$C$107)/MAX(CROQUIS!$C$141,1))+1)/80,1))),1))+1))-1,0),0,MOD($A240-1,5))+1,CROQUIS!$C$98,CROQUIS!$C$98-CROQUIS!$C$107/2-CROQUIS!$C$144,IF(CROQUIS!$C$106=1,CROQUIS!$C$98+12,CROQUIS!$C$98-2),CROQUIS!$C$98-CROQUIS!$C$107/2-CROQUIS!$C$144,CROQUIS!$C$98)))*CROQUIS!$C$159)+IF(CROQUIS!$C$92="X",0.8,0)),-1000)</f>
        <v>-1000</v>
      </c>
      <c r="BY240">
        <f>IF(AND(CROQUIS!$C$88=1,CROQUIS!$C$91=0,CROQUIS!$C$141&gt;0,OR(CROQUIS!$C$106=1,CROQUIS!$C$146=1)),((CROQUIS!$C$161+(IF(CROQUIS!$C$92="X",CHOOSE(IF(INT(($A240-1)/5)&gt;MAX((MAX(1,INT(((CROQUIS!$C$97)-CROQUIS!$C$107)/MAX((CROQUIS!$C$141*MAX(1,CEILING((INT(((CROQUIS!$C$97)-CROQUIS!$C$107)/MAX(CROQUIS!$C$141,1))+1)/80,1))),1))+1))-1,0),0,MOD($A240-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ROQUIS!$C$159)+IF(CROQUIS!$C$92="X",0,0.8)),-1000)</f>
        <v>-1000</v>
      </c>
      <c r="BZ240">
        <f>IF(AND(CROQUIS!$C$88=1,CROQUIS!$C$91=1,CROQUIS!$C$133&gt;0),((CROQUIS!$C$160+(IF(CROQUIS!$C$92="X",CHOOSE(IF(INT(($A240-1)/5)&gt;MAX((MAX(1,INT(((CROQUIS!$C$98)-CROQUIS!$C$107)/MAX((CROQUIS!$C$133*MAX(1,CEILING((INT(((CROQUIS!$C$98)-CROQUIS!$C$107)/MAX(CROQUIS!$C$133,1))+1)/80,1))),1))+1))-1,0),0,MOD($A240-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CA240">
        <f>IF(AND(CROQUIS!$C$88=1,CROQUIS!$C$91=1,CROQUIS!$C$133&gt;0),((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1">
      <c r="A241" t="n">
        <v>234</v>
      </c>
      <c r="BN241">
        <f>IF(AND(CROQUIS!$C$88=1,CROQUIS!$C$129&gt;0),((CROQUIS!$C$160+(IF(CROQUIS!$C$92="X",CHOOSE(IF(INT(($A241-1)/5)&gt;MAX((MAX(1,INT(((CROQUIS!$C$98)-CROQUIS!$C$107)/MAX((CROQUIS!$C$129*MAX(1,CEILING((INT(((CROQUIS!$C$98)-CROQUIS!$C$107)/MAX(CROQUIS!$C$129,1))+1)/80,1))),1))+1))-1,0),0,MOD($A241-1,5))+1,0,2,CROQUIS!$C$97-2,2,0),((CROQUIS!$C$107/2+(((CROQUIS!$C$98)-CROQUIS!$C$107)-(MAX(1,INT(((CROQUIS!$C$98)-CROQUIS!$C$107)/MAX((CROQUIS!$C$129*MAX(1,CEILING((INT(((CROQUIS!$C$98)-CROQUIS!$C$107)/MAX(CROQUIS!$C$129,1))+1)/80,1))),1))+1)-1)*(CROQUIS!$C$129*MAX(1,CEILING((INT(((CROQUIS!$C$98)-CROQUIS!$C$107)/MAX(CROQUIS!$C$129,1))+1)/80,1))))/2)+MIN(INT(($A241-1)/5),MAX((MAX(1,INT(((CROQUIS!$C$98)-CROQUIS!$C$107)/MAX((CROQUIS!$C$129*MAX(1,CEILING((INT(((CROQUIS!$C$98)-CROQUIS!$C$107)/MAX(CROQUIS!$C$129,1))+1)/80,1))),1))+1))-1,0))*(CROQUIS!$C$129*MAX(1,CEILING((INT(((CROQUIS!$C$98)-CROQUIS!$C$107)/MAX(CROQUIS!$C$129,1))+1)/80,1))))))*CROQUIS!$C$159)+IF(CROQUIS!$C$92="X",0,0)),-1000)</f>
        <v>-1000</v>
      </c>
      <c r="BO241">
        <f>IF(AND(CROQUIS!$C$88=1,CROQUIS!$C$129&gt;0),((CROQUIS!$C$161+(IF(CROQUIS!$C$92="X",((CROQUIS!$C$107/2+(((CROQUIS!$C$98)-CROQUIS!$C$107)-(MAX(1,INT(((CROQUIS!$C$98)-CROQUIS!$C$107)/MAX((CROQUIS!$C$129*MAX(1,CEILING((INT(((CROQUIS!$C$98)-CROQUIS!$C$107)/MAX(CROQUIS!$C$129,1))+1)/80,1))),1))+1)-1)*(CROQUIS!$C$129*MAX(1,CEILING((INT(((CROQUIS!$C$98)-CROQUIS!$C$107)/MAX(CROQUIS!$C$129,1))+1)/80,1))))/2)+MIN(INT(($A241-1)/5),MAX((MAX(1,INT(((CROQUIS!$C$98)-CROQUIS!$C$107)/MAX((CROQUIS!$C$129*MAX(1,CEILING((INT(((CROQUIS!$C$98)-CROQUIS!$C$107)/MAX(CROQUIS!$C$129,1))+1)/80,1))),1))+1))-1,0))*(CROQUIS!$C$129*MAX(1,CEILING((INT(((CROQUIS!$C$98)-CROQUIS!$C$107)/MAX(CROQUIS!$C$129,1))+1)/80,1)))),CHOOSE(IF(INT(($A241-1)/5)&gt;MAX((MAX(1,INT(((CROQUIS!$C$98)-CROQUIS!$C$107)/MAX((CROQUIS!$C$129*MAX(1,CEILING((INT(((CROQUIS!$C$98)-CROQUIS!$C$107)/MAX(CROQUIS!$C$129,1))+1)/80,1))),1))+1))-1,0),0,MOD($A241-1,5))+1,0,2,CROQUIS!$C$97-2,2,0)))*CROQUIS!$C$159)+IF(CROQUIS!$C$92="X",0,0)),-1000)</f>
        <v>-1000</v>
      </c>
      <c r="BP241">
        <f>IF(AND(CROQUIS!$C$88=1,CROQUIS!$C$137&gt;0),((CROQUIS!$C$160+(IF(CROQUIS!$C$92="X",((CROQUIS!$C$107/2+(((CROQUIS!$C$97)-CROQUIS!$C$107)-(MAX(1,INT(((CROQUIS!$C$97)-CROQUIS!$C$107)/MAX((CROQUIS!$C$137*MAX(1,CEILING((INT(((CROQUIS!$C$97)-CROQUIS!$C$107)/MAX(CROQUIS!$C$137,1))+1)/80,1))),1))+1)-1)*(CROQUIS!$C$137*MAX(1,CEILING((INT(((CROQUIS!$C$97)-CROQUIS!$C$107)/MAX(CROQUIS!$C$137,1))+1)/80,1))))/2)+MIN(INT(($A241-1)/5),MAX((MAX(1,INT(((CROQUIS!$C$97)-CROQUIS!$C$107)/MAX((CROQUIS!$C$137*MAX(1,CEILING((INT(((CROQUIS!$C$97)-CROQUIS!$C$107)/MAX(CROQUIS!$C$137,1))+1)/80,1))),1))+1))-1,0))*(CROQUIS!$C$137*MAX(1,CEILING((INT(((CROQUIS!$C$97)-CROQUIS!$C$107)/MAX(CROQUIS!$C$137,1))+1)/80,1)))),CHOOSE(IF(INT(($A241-1)/5)&gt;MAX((MAX(1,INT(((CROQUIS!$C$97)-CROQUIS!$C$107)/MAX((CROQUIS!$C$137*MAX(1,CEILING((INT(((CROQUIS!$C$97)-CROQUIS!$C$107)/MAX(CROQUIS!$C$137,1))+1)/80,1))),1))+1))-1,0),0,MOD($A241-1,5))+1,0,2,CROQUIS!$C$98-2,2,0)))*CROQUIS!$C$159)+IF(CROQUIS!$C$92="X",0,0)),-1000)</f>
        <v>-1000</v>
      </c>
      <c r="BQ241">
        <f>IF(AND(CROQUIS!$C$88=1,CROQUIS!$C$137&gt;0),((CROQUIS!$C$161+(IF(CROQUIS!$C$92="X",CHOOSE(IF(INT(($A241-1)/5)&gt;MAX((MAX(1,INT(((CROQUIS!$C$97)-CROQUIS!$C$107)/MAX((CROQUIS!$C$137*MAX(1,CEILING((INT(((CROQUIS!$C$97)-CROQUIS!$C$107)/MAX(CROQUIS!$C$137,1))+1)/80,1))),1))+1))-1,0),0,MOD($A241-1,5))+1,0,2,CROQUIS!$C$98-2,2,0),((CROQUIS!$C$107/2+(((CROQUIS!$C$97)-CROQUIS!$C$107)-(MAX(1,INT(((CROQUIS!$C$97)-CROQUIS!$C$107)/MAX((CROQUIS!$C$137*MAX(1,CEILING((INT(((CROQUIS!$C$97)-CROQUIS!$C$107)/MAX(CROQUIS!$C$137,1))+1)/80,1))),1))+1)-1)*(CROQUIS!$C$137*MAX(1,CEILING((INT(((CROQUIS!$C$97)-CROQUIS!$C$107)/MAX(CROQUIS!$C$137,1))+1)/80,1))))/2)+MIN(INT(($A241-1)/5),MAX((MAX(1,INT(((CROQUIS!$C$97)-CROQUIS!$C$107)/MAX((CROQUIS!$C$137*MAX(1,CEILING((INT(((CROQUIS!$C$97)-CROQUIS!$C$107)/MAX(CROQUIS!$C$137,1))+1)/80,1))),1))+1))-1,0))*(CROQUIS!$C$137*MAX(1,CEILING((INT(((CROQUIS!$C$97)-CROQUIS!$C$107)/MAX(CROQUIS!$C$137,1))+1)/80,1))))))*CROQUIS!$C$159)+IF(CROQUIS!$C$92="X",0,0)),-1000)</f>
        <v>-1000</v>
      </c>
      <c r="BR241">
        <f>IF(AND(CROQUIS!$C$88=1,CROQUIS!$C$91=0,CROQUIS!$C$133&gt;0,OR(CROQUIS!$C$103=1,CROQUIS!$C$145=1)),((CROQUIS!$C$160+(IF(CROQUIS!$C$92="X",CHOOSE(IF(INT(($A241-1)/5)&gt;MAX((MAX(1,INT(((CROQUIS!$C$98)-CROQUIS!$C$107)/MAX((CROQUIS!$C$133*MAX(1,CEILING((INT(((CROQUIS!$C$98)-CROQUIS!$C$107)/MAX(CROQUIS!$C$133,1))+1)/80,1))),1))+1))-1,0),0,MOD($A241-1,5))+1,0,IF(CROQUIS!$C$103=1,-12,2),CROQUIS!$C$107/2+CROQUIS!$C$143,IF(CROQUIS!$C$103=1,-12,2),0),((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BS2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+1,0,IF(CROQUIS!$C$103=1,-12,2),CROQUIS!$C$107/2+CROQUIS!$C$143,IF(CROQUIS!$C$103=1,-12,2),0)))*CROQUIS!$C$159)+IF(CROQUIS!$C$92="X",0.8,0)),-1000)</f>
        <v>-1000</v>
      </c>
      <c r="BT241">
        <f>IF(AND(CROQUIS!$C$88=1,CROQUIS!$C$91=0,CROQUIS!$C$133&gt;0,OR(CROQUIS!$C$104=1,CROQUIS!$C$145=1)),((CROQUIS!$C$160+(IF(CROQUIS!$C$92="X",CHOOSE(IF(INT(($A241-1)/5)&gt;MAX((MAX(1,INT(((CROQUIS!$C$98)-CROQUIS!$C$107)/MAX((CROQUIS!$C$133*MAX(1,CEILING((INT(((CROQUIS!$C$98)-CROQUIS!$C$107)/MAX(CROQUIS!$C$133,1))+1)/80,1))),1))+1))-1,0),0,MOD($A241-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BU2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CROQUIS!$C$97,CROQUIS!$C$97-CROQUIS!$C$107/2-CROQUIS!$C$143,IF(CROQUIS!$C$104=1,CROQUIS!$C$97+12,CROQUIS!$C$97-2),CROQUIS!$C$97-CROQUIS!$C$107/2-CROQUIS!$C$143,CROQUIS!$C$97)))*CROQUIS!$C$159)+IF(CROQUIS!$C$92="X",0.8,0)),-1000)</f>
        <v>-1000</v>
      </c>
      <c r="BV2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HOOSE(IF(INT(($A241-1)/5)&gt;MAX((MAX(1,INT(((CROQUIS!$C$97)-CROQUIS!$C$107)/MAX((CROQUIS!$C$141*MAX(1,CEILING((INT(((CROQUIS!$C$97)-CROQUIS!$C$107)/MAX(CROQUIS!$C$141,1))+1)/80,1))),1))+1))-1,0),0,MOD($A241-1,5))+1,0,IF(CROQUIS!$C$105=1,-12,2),CROQUIS!$C$107/2+CROQUIS!$C$144,IF(CROQUIS!$C$105=1,-12,2),0)))*CROQUIS!$C$159)+IF(CROQUIS!$C$92="X",0.8,0)),-1000)</f>
        <v>-1000</v>
      </c>
      <c r="BW241">
        <f>IF(AND(CROQUIS!$C$88=1,CROQUIS!$C$91=0,CROQUIS!$C$141&gt;0,OR(CROQUIS!$C$105=1,CROQUIS!$C$146=1)),((CROQUIS!$C$161+(IF(CROQUIS!$C$92="X",CHOOSE(IF(INT(($A241-1)/5)&gt;MAX((MAX(1,INT(((CROQUIS!$C$97)-CROQUIS!$C$107)/MAX((CROQUIS!$C$141*MAX(1,CEILING((INT(((CROQUIS!$C$97)-CROQUIS!$C$107)/MAX(CROQUIS!$C$141,1))+1)/80,1))),1))+1))-1,0),0,MOD($A241-1,5))+1,0,IF(CROQUIS!$C$105=1,-12,2),CROQUIS!$C$107/2+CROQUIS!$C$144,IF(CROQUIS!$C$105=1,-12,2),0),((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ROQUIS!$C$159)+IF(CROQUIS!$C$92="X",0,0.8)),-1000)</f>
        <v>-1000</v>
      </c>
      <c r="BX2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HOOSE(IF(INT(($A241-1)/5)&gt;MAX((MAX(1,INT(((CROQUIS!$C$97)-CROQUIS!$C$107)/MAX((CROQUIS!$C$141*MAX(1,CEILING((INT(((CROQUIS!$C$97)-CROQUIS!$C$107)/MAX(CROQUIS!$C$141,1))+1)/80,1))),1))+1))-1,0),0,MOD($A241-1,5))+1,CROQUIS!$C$98,CROQUIS!$C$98-CROQUIS!$C$107/2-CROQUIS!$C$144,IF(CROQUIS!$C$106=1,CROQUIS!$C$98+12,CROQUIS!$C$98-2),CROQUIS!$C$98-CROQUIS!$C$107/2-CROQUIS!$C$144,CROQUIS!$C$98)))*CROQUIS!$C$159)+IF(CROQUIS!$C$92="X",0.8,0)),-1000)</f>
        <v>-1000</v>
      </c>
      <c r="BY241">
        <f>IF(AND(CROQUIS!$C$88=1,CROQUIS!$C$91=0,CROQUIS!$C$141&gt;0,OR(CROQUIS!$C$106=1,CROQUIS!$C$146=1)),((CROQUIS!$C$161+(IF(CROQUIS!$C$92="X",CHOOSE(IF(INT(($A241-1)/5)&gt;MAX((MAX(1,INT(((CROQUIS!$C$97)-CROQUIS!$C$107)/MAX((CROQUIS!$C$141*MAX(1,CEILING((INT(((CROQUIS!$C$97)-CROQUIS!$C$107)/MAX(CROQUIS!$C$141,1))+1)/80,1))),1))+1))-1,0),0,MOD($A241-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ROQUIS!$C$159)+IF(CROQUIS!$C$92="X",0,0.8)),-1000)</f>
        <v>-1000</v>
      </c>
      <c r="BZ241">
        <f>IF(AND(CROQUIS!$C$88=1,CROQUIS!$C$91=1,CROQUIS!$C$133&gt;0),((CROQUIS!$C$160+(IF(CROQUIS!$C$92="X",CHOOSE(IF(INT(($A241-1)/5)&gt;MAX((MAX(1,INT(((CROQUIS!$C$98)-CROQUIS!$C$107)/MAX((CROQUIS!$C$133*MAX(1,CEILING((INT(((CROQUIS!$C$98)-CROQUIS!$C$107)/MAX(CROQUIS!$C$133,1))+1)/80,1))),1))+1))-1,0),0,MOD($A241-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CA241">
        <f>IF(AND(CROQUIS!$C$88=1,CROQUIS!$C$91=1,CROQUIS!$C$133&gt;0),((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2">
      <c r="A242" t="n">
        <v>235</v>
      </c>
      <c r="BN242">
        <f>IF(AND(CROQUIS!$C$88=1,CROQUIS!$C$129&gt;0),((CROQUIS!$C$160+(IF(CROQUIS!$C$92="X",CHOOSE(IF(INT(($A242-1)/5)&gt;MAX((MAX(1,INT(((CROQUIS!$C$98)-CROQUIS!$C$107)/MAX((CROQUIS!$C$129*MAX(1,CEILING((INT(((CROQUIS!$C$98)-CROQUIS!$C$107)/MAX(CROQUIS!$C$129,1))+1)/80,1))),1))+1))-1,0),0,MOD($A242-1,5))+1,0,2,CROQUIS!$C$97-2,2,0),((CROQUIS!$C$107/2+(((CROQUIS!$C$98)-CROQUIS!$C$107)-(MAX(1,INT(((CROQUIS!$C$98)-CROQUIS!$C$107)/MAX((CROQUIS!$C$129*MAX(1,CEILING((INT(((CROQUIS!$C$98)-CROQUIS!$C$107)/MAX(CROQUIS!$C$129,1))+1)/80,1))),1))+1)-1)*(CROQUIS!$C$129*MAX(1,CEILING((INT(((CROQUIS!$C$98)-CROQUIS!$C$107)/MAX(CROQUIS!$C$129,1))+1)/80,1))))/2)+MIN(INT(($A242-1)/5),MAX((MAX(1,INT(((CROQUIS!$C$98)-CROQUIS!$C$107)/MAX((CROQUIS!$C$129*MAX(1,CEILING((INT(((CROQUIS!$C$98)-CROQUIS!$C$107)/MAX(CROQUIS!$C$129,1))+1)/80,1))),1))+1))-1,0))*(CROQUIS!$C$129*MAX(1,CEILING((INT(((CROQUIS!$C$98)-CROQUIS!$C$107)/MAX(CROQUIS!$C$129,1))+1)/80,1))))))*CROQUIS!$C$159)+IF(CROQUIS!$C$92="X",0,0)),-1000)</f>
        <v>-1000</v>
      </c>
      <c r="BO242">
        <f>IF(AND(CROQUIS!$C$88=1,CROQUIS!$C$129&gt;0),((CROQUIS!$C$161+(IF(CROQUIS!$C$92="X",((CROQUIS!$C$107/2+(((CROQUIS!$C$98)-CROQUIS!$C$107)-(MAX(1,INT(((CROQUIS!$C$98)-CROQUIS!$C$107)/MAX((CROQUIS!$C$129*MAX(1,CEILING((INT(((CROQUIS!$C$98)-CROQUIS!$C$107)/MAX(CROQUIS!$C$129,1))+1)/80,1))),1))+1)-1)*(CROQUIS!$C$129*MAX(1,CEILING((INT(((CROQUIS!$C$98)-CROQUIS!$C$107)/MAX(CROQUIS!$C$129,1))+1)/80,1))))/2)+MIN(INT(($A242-1)/5),MAX((MAX(1,INT(((CROQUIS!$C$98)-CROQUIS!$C$107)/MAX((CROQUIS!$C$129*MAX(1,CEILING((INT(((CROQUIS!$C$98)-CROQUIS!$C$107)/MAX(CROQUIS!$C$129,1))+1)/80,1))),1))+1))-1,0))*(CROQUIS!$C$129*MAX(1,CEILING((INT(((CROQUIS!$C$98)-CROQUIS!$C$107)/MAX(CROQUIS!$C$129,1))+1)/80,1)))),CHOOSE(IF(INT(($A242-1)/5)&gt;MAX((MAX(1,INT(((CROQUIS!$C$98)-CROQUIS!$C$107)/MAX((CROQUIS!$C$129*MAX(1,CEILING((INT(((CROQUIS!$C$98)-CROQUIS!$C$107)/MAX(CROQUIS!$C$129,1))+1)/80,1))),1))+1))-1,0),0,MOD($A242-1,5))+1,0,2,CROQUIS!$C$97-2,2,0)))*CROQUIS!$C$159)+IF(CROQUIS!$C$92="X",0,0)),-1000)</f>
        <v>-1000</v>
      </c>
      <c r="BP242">
        <f>IF(AND(CROQUIS!$C$88=1,CROQUIS!$C$137&gt;0),((CROQUIS!$C$160+(IF(CROQUIS!$C$92="X",((CROQUIS!$C$107/2+(((CROQUIS!$C$97)-CROQUIS!$C$107)-(MAX(1,INT(((CROQUIS!$C$97)-CROQUIS!$C$107)/MAX((CROQUIS!$C$137*MAX(1,CEILING((INT(((CROQUIS!$C$97)-CROQUIS!$C$107)/MAX(CROQUIS!$C$137,1))+1)/80,1))),1))+1)-1)*(CROQUIS!$C$137*MAX(1,CEILING((INT(((CROQUIS!$C$97)-CROQUIS!$C$107)/MAX(CROQUIS!$C$137,1))+1)/80,1))))/2)+MIN(INT(($A242-1)/5),MAX((MAX(1,INT(((CROQUIS!$C$97)-CROQUIS!$C$107)/MAX((CROQUIS!$C$137*MAX(1,CEILING((INT(((CROQUIS!$C$97)-CROQUIS!$C$107)/MAX(CROQUIS!$C$137,1))+1)/80,1))),1))+1))-1,0))*(CROQUIS!$C$137*MAX(1,CEILING((INT(((CROQUIS!$C$97)-CROQUIS!$C$107)/MAX(CROQUIS!$C$137,1))+1)/80,1)))),CHOOSE(IF(INT(($A242-1)/5)&gt;MAX((MAX(1,INT(((CROQUIS!$C$97)-CROQUIS!$C$107)/MAX((CROQUIS!$C$137*MAX(1,CEILING((INT(((CROQUIS!$C$97)-CROQUIS!$C$107)/MAX(CROQUIS!$C$137,1))+1)/80,1))),1))+1))-1,0),0,MOD($A242-1,5))+1,0,2,CROQUIS!$C$98-2,2,0)))*CROQUIS!$C$159)+IF(CROQUIS!$C$92="X",0,0)),-1000)</f>
        <v>-1000</v>
      </c>
      <c r="BQ242">
        <f>IF(AND(CROQUIS!$C$88=1,CROQUIS!$C$137&gt;0),((CROQUIS!$C$161+(IF(CROQUIS!$C$92="X",CHOOSE(IF(INT(($A242-1)/5)&gt;MAX((MAX(1,INT(((CROQUIS!$C$97)-CROQUIS!$C$107)/MAX((CROQUIS!$C$137*MAX(1,CEILING((INT(((CROQUIS!$C$97)-CROQUIS!$C$107)/MAX(CROQUIS!$C$137,1))+1)/80,1))),1))+1))-1,0),0,MOD($A242-1,5))+1,0,2,CROQUIS!$C$98-2,2,0),((CROQUIS!$C$107/2+(((CROQUIS!$C$97)-CROQUIS!$C$107)-(MAX(1,INT(((CROQUIS!$C$97)-CROQUIS!$C$107)/MAX((CROQUIS!$C$137*MAX(1,CEILING((INT(((CROQUIS!$C$97)-CROQUIS!$C$107)/MAX(CROQUIS!$C$137,1))+1)/80,1))),1))+1)-1)*(CROQUIS!$C$137*MAX(1,CEILING((INT(((CROQUIS!$C$97)-CROQUIS!$C$107)/MAX(CROQUIS!$C$137,1))+1)/80,1))))/2)+MIN(INT(($A242-1)/5),MAX((MAX(1,INT(((CROQUIS!$C$97)-CROQUIS!$C$107)/MAX((CROQUIS!$C$137*MAX(1,CEILING((INT(((CROQUIS!$C$97)-CROQUIS!$C$107)/MAX(CROQUIS!$C$137,1))+1)/80,1))),1))+1))-1,0))*(CROQUIS!$C$137*MAX(1,CEILING((INT(((CROQUIS!$C$97)-CROQUIS!$C$107)/MAX(CROQUIS!$C$137,1))+1)/80,1))))))*CROQUIS!$C$159)+IF(CROQUIS!$C$92="X",0,0)),-1000)</f>
        <v>-1000</v>
      </c>
      <c r="BR242">
        <f>IF(AND(CROQUIS!$C$88=1,CROQUIS!$C$91=0,CROQUIS!$C$133&gt;0,OR(CROQUIS!$C$103=1,CROQUIS!$C$145=1)),((CROQUIS!$C$160+(IF(CROQUIS!$C$92="X",CHOOSE(IF(INT(($A242-1)/5)&gt;MAX((MAX(1,INT(((CROQUIS!$C$98)-CROQUIS!$C$107)/MAX((CROQUIS!$C$133*MAX(1,CEILING((INT(((CROQUIS!$C$98)-CROQUIS!$C$107)/MAX(CROQUIS!$C$133,1))+1)/80,1))),1))+1))-1,0),0,MOD($A242-1,5))+1,0,IF(CROQUIS!$C$103=1,-12,2),CROQUIS!$C$107/2+CROQUIS!$C$143,IF(CROQUIS!$C$103=1,-12,2),0),((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BS2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+1,0,IF(CROQUIS!$C$103=1,-12,2),CROQUIS!$C$107/2+CROQUIS!$C$143,IF(CROQUIS!$C$103=1,-12,2),0)))*CROQUIS!$C$159)+IF(CROQUIS!$C$92="X",0.8,0)),-1000)</f>
        <v>-1000</v>
      </c>
      <c r="BT242">
        <f>IF(AND(CROQUIS!$C$88=1,CROQUIS!$C$91=0,CROQUIS!$C$133&gt;0,OR(CROQUIS!$C$104=1,CROQUIS!$C$145=1)),((CROQUIS!$C$160+(IF(CROQUIS!$C$92="X",CHOOSE(IF(INT(($A242-1)/5)&gt;MAX((MAX(1,INT(((CROQUIS!$C$98)-CROQUIS!$C$107)/MAX((CROQUIS!$C$133*MAX(1,CEILING((INT(((CROQUIS!$C$98)-CROQUIS!$C$107)/MAX(CROQUIS!$C$133,1))+1)/80,1))),1))+1))-1,0),0,MOD($A242-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BU2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CROQUIS!$C$97,CROQUIS!$C$97-CROQUIS!$C$107/2-CROQUIS!$C$143,IF(CROQUIS!$C$104=1,CROQUIS!$C$97+12,CROQUIS!$C$97-2),CROQUIS!$C$97-CROQUIS!$C$107/2-CROQUIS!$C$143,CROQUIS!$C$97)))*CROQUIS!$C$159)+IF(CROQUIS!$C$92="X",0.8,0)),-1000)</f>
        <v>-1000</v>
      </c>
      <c r="BV2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HOOSE(IF(INT(($A242-1)/5)&gt;MAX((MAX(1,INT(((CROQUIS!$C$97)-CROQUIS!$C$107)/MAX((CROQUIS!$C$141*MAX(1,CEILING((INT(((CROQUIS!$C$97)-CROQUIS!$C$107)/MAX(CROQUIS!$C$141,1))+1)/80,1))),1))+1))-1,0),0,MOD($A242-1,5))+1,0,IF(CROQUIS!$C$105=1,-12,2),CROQUIS!$C$107/2+CROQUIS!$C$144,IF(CROQUIS!$C$105=1,-12,2),0)))*CROQUIS!$C$159)+IF(CROQUIS!$C$92="X",0.8,0)),-1000)</f>
        <v>-1000</v>
      </c>
      <c r="BW242">
        <f>IF(AND(CROQUIS!$C$88=1,CROQUIS!$C$91=0,CROQUIS!$C$141&gt;0,OR(CROQUIS!$C$105=1,CROQUIS!$C$146=1)),((CROQUIS!$C$161+(IF(CROQUIS!$C$92="X",CHOOSE(IF(INT(($A242-1)/5)&gt;MAX((MAX(1,INT(((CROQUIS!$C$97)-CROQUIS!$C$107)/MAX((CROQUIS!$C$141*MAX(1,CEILING((INT(((CROQUIS!$C$97)-CROQUIS!$C$107)/MAX(CROQUIS!$C$141,1))+1)/80,1))),1))+1))-1,0),0,MOD($A242-1,5))+1,0,IF(CROQUIS!$C$105=1,-12,2),CROQUIS!$C$107/2+CROQUIS!$C$144,IF(CROQUIS!$C$105=1,-12,2),0),((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ROQUIS!$C$159)+IF(CROQUIS!$C$92="X",0,0.8)),-1000)</f>
        <v>-1000</v>
      </c>
      <c r="BX2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HOOSE(IF(INT(($A242-1)/5)&gt;MAX((MAX(1,INT(((CROQUIS!$C$97)-CROQUIS!$C$107)/MAX((CROQUIS!$C$141*MAX(1,CEILING((INT(((CROQUIS!$C$97)-CROQUIS!$C$107)/MAX(CROQUIS!$C$141,1))+1)/80,1))),1))+1))-1,0),0,MOD($A242-1,5))+1,CROQUIS!$C$98,CROQUIS!$C$98-CROQUIS!$C$107/2-CROQUIS!$C$144,IF(CROQUIS!$C$106=1,CROQUIS!$C$98+12,CROQUIS!$C$98-2),CROQUIS!$C$98-CROQUIS!$C$107/2-CROQUIS!$C$144,CROQUIS!$C$98)))*CROQUIS!$C$159)+IF(CROQUIS!$C$92="X",0.8,0)),-1000)</f>
        <v>-1000</v>
      </c>
      <c r="BY242">
        <f>IF(AND(CROQUIS!$C$88=1,CROQUIS!$C$91=0,CROQUIS!$C$141&gt;0,OR(CROQUIS!$C$106=1,CROQUIS!$C$146=1)),((CROQUIS!$C$161+(IF(CROQUIS!$C$92="X",CHOOSE(IF(INT(($A242-1)/5)&gt;MAX((MAX(1,INT(((CROQUIS!$C$97)-CROQUIS!$C$107)/MAX((CROQUIS!$C$141*MAX(1,CEILING((INT(((CROQUIS!$C$97)-CROQUIS!$C$107)/MAX(CROQUIS!$C$141,1))+1)/80,1))),1))+1))-1,0),0,MOD($A242-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ROQUIS!$C$159)+IF(CROQUIS!$C$92="X",0,0.8)),-1000)</f>
        <v>-1000</v>
      </c>
      <c r="BZ242">
        <f>IF(AND(CROQUIS!$C$88=1,CROQUIS!$C$91=1,CROQUIS!$C$133&gt;0),((CROQUIS!$C$160+(IF(CROQUIS!$C$92="X",CHOOSE(IF(INT(($A242-1)/5)&gt;MAX((MAX(1,INT(((CROQUIS!$C$98)-CROQUIS!$C$107)/MAX((CROQUIS!$C$133*MAX(1,CEILING((INT(((CROQUIS!$C$98)-CROQUIS!$C$107)/MAX(CROQUIS!$C$133,1))+1)/80,1))),1))+1))-1,0),0,MOD($A242-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CA242">
        <f>IF(AND(CROQUIS!$C$88=1,CROQUIS!$C$91=1,CROQUIS!$C$133&gt;0),((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3">
      <c r="A243" t="n">
        <v>236</v>
      </c>
      <c r="BN243">
        <f>IF(AND(CROQUIS!$C$88=1,CROQUIS!$C$129&gt;0),((CROQUIS!$C$160+(IF(CROQUIS!$C$92="X",CHOOSE(IF(INT(($A243-1)/5)&gt;MAX((MAX(1,INT(((CROQUIS!$C$98)-CROQUIS!$C$107)/MAX((CROQUIS!$C$129*MAX(1,CEILING((INT(((CROQUIS!$C$98)-CROQUIS!$C$107)/MAX(CROQUIS!$C$129,1))+1)/80,1))),1))+1))-1,0),0,MOD($A243-1,5))+1,0,2,CROQUIS!$C$97-2,2,0),((CROQUIS!$C$107/2+(((CROQUIS!$C$98)-CROQUIS!$C$107)-(MAX(1,INT(((CROQUIS!$C$98)-CROQUIS!$C$107)/MAX((CROQUIS!$C$129*MAX(1,CEILING((INT(((CROQUIS!$C$98)-CROQUIS!$C$107)/MAX(CROQUIS!$C$129,1))+1)/80,1))),1))+1)-1)*(CROQUIS!$C$129*MAX(1,CEILING((INT(((CROQUIS!$C$98)-CROQUIS!$C$107)/MAX(CROQUIS!$C$129,1))+1)/80,1))))/2)+MIN(INT(($A243-1)/5),MAX((MAX(1,INT(((CROQUIS!$C$98)-CROQUIS!$C$107)/MAX((CROQUIS!$C$129*MAX(1,CEILING((INT(((CROQUIS!$C$98)-CROQUIS!$C$107)/MAX(CROQUIS!$C$129,1))+1)/80,1))),1))+1))-1,0))*(CROQUIS!$C$129*MAX(1,CEILING((INT(((CROQUIS!$C$98)-CROQUIS!$C$107)/MAX(CROQUIS!$C$129,1))+1)/80,1))))))*CROQUIS!$C$159)+IF(CROQUIS!$C$92="X",0,0)),-1000)</f>
        <v>-1000</v>
      </c>
      <c r="BO243">
        <f>IF(AND(CROQUIS!$C$88=1,CROQUIS!$C$129&gt;0),((CROQUIS!$C$161+(IF(CROQUIS!$C$92="X",((CROQUIS!$C$107/2+(((CROQUIS!$C$98)-CROQUIS!$C$107)-(MAX(1,INT(((CROQUIS!$C$98)-CROQUIS!$C$107)/MAX((CROQUIS!$C$129*MAX(1,CEILING((INT(((CROQUIS!$C$98)-CROQUIS!$C$107)/MAX(CROQUIS!$C$129,1))+1)/80,1))),1))+1)-1)*(CROQUIS!$C$129*MAX(1,CEILING((INT(((CROQUIS!$C$98)-CROQUIS!$C$107)/MAX(CROQUIS!$C$129,1))+1)/80,1))))/2)+MIN(INT(($A243-1)/5),MAX((MAX(1,INT(((CROQUIS!$C$98)-CROQUIS!$C$107)/MAX((CROQUIS!$C$129*MAX(1,CEILING((INT(((CROQUIS!$C$98)-CROQUIS!$C$107)/MAX(CROQUIS!$C$129,1))+1)/80,1))),1))+1))-1,0))*(CROQUIS!$C$129*MAX(1,CEILING((INT(((CROQUIS!$C$98)-CROQUIS!$C$107)/MAX(CROQUIS!$C$129,1))+1)/80,1)))),CHOOSE(IF(INT(($A243-1)/5)&gt;MAX((MAX(1,INT(((CROQUIS!$C$98)-CROQUIS!$C$107)/MAX((CROQUIS!$C$129*MAX(1,CEILING((INT(((CROQUIS!$C$98)-CROQUIS!$C$107)/MAX(CROQUIS!$C$129,1))+1)/80,1))),1))+1))-1,0),0,MOD($A243-1,5))+1,0,2,CROQUIS!$C$97-2,2,0)))*CROQUIS!$C$159)+IF(CROQUIS!$C$92="X",0,0)),-1000)</f>
        <v>-1000</v>
      </c>
      <c r="BP243">
        <f>IF(AND(CROQUIS!$C$88=1,CROQUIS!$C$137&gt;0),((CROQUIS!$C$160+(IF(CROQUIS!$C$92="X",((CROQUIS!$C$107/2+(((CROQUIS!$C$97)-CROQUIS!$C$107)-(MAX(1,INT(((CROQUIS!$C$97)-CROQUIS!$C$107)/MAX((CROQUIS!$C$137*MAX(1,CEILING((INT(((CROQUIS!$C$97)-CROQUIS!$C$107)/MAX(CROQUIS!$C$137,1))+1)/80,1))),1))+1)-1)*(CROQUIS!$C$137*MAX(1,CEILING((INT(((CROQUIS!$C$97)-CROQUIS!$C$107)/MAX(CROQUIS!$C$137,1))+1)/80,1))))/2)+MIN(INT(($A243-1)/5),MAX((MAX(1,INT(((CROQUIS!$C$97)-CROQUIS!$C$107)/MAX((CROQUIS!$C$137*MAX(1,CEILING((INT(((CROQUIS!$C$97)-CROQUIS!$C$107)/MAX(CROQUIS!$C$137,1))+1)/80,1))),1))+1))-1,0))*(CROQUIS!$C$137*MAX(1,CEILING((INT(((CROQUIS!$C$97)-CROQUIS!$C$107)/MAX(CROQUIS!$C$137,1))+1)/80,1)))),CHOOSE(IF(INT(($A243-1)/5)&gt;MAX((MAX(1,INT(((CROQUIS!$C$97)-CROQUIS!$C$107)/MAX((CROQUIS!$C$137*MAX(1,CEILING((INT(((CROQUIS!$C$97)-CROQUIS!$C$107)/MAX(CROQUIS!$C$137,1))+1)/80,1))),1))+1))-1,0),0,MOD($A243-1,5))+1,0,2,CROQUIS!$C$98-2,2,0)))*CROQUIS!$C$159)+IF(CROQUIS!$C$92="X",0,0)),-1000)</f>
        <v>-1000</v>
      </c>
      <c r="BQ243">
        <f>IF(AND(CROQUIS!$C$88=1,CROQUIS!$C$137&gt;0),((CROQUIS!$C$161+(IF(CROQUIS!$C$92="X",CHOOSE(IF(INT(($A243-1)/5)&gt;MAX((MAX(1,INT(((CROQUIS!$C$97)-CROQUIS!$C$107)/MAX((CROQUIS!$C$137*MAX(1,CEILING((INT(((CROQUIS!$C$97)-CROQUIS!$C$107)/MAX(CROQUIS!$C$137,1))+1)/80,1))),1))+1))-1,0),0,MOD($A243-1,5))+1,0,2,CROQUIS!$C$98-2,2,0),((CROQUIS!$C$107/2+(((CROQUIS!$C$97)-CROQUIS!$C$107)-(MAX(1,INT(((CROQUIS!$C$97)-CROQUIS!$C$107)/MAX((CROQUIS!$C$137*MAX(1,CEILING((INT(((CROQUIS!$C$97)-CROQUIS!$C$107)/MAX(CROQUIS!$C$137,1))+1)/80,1))),1))+1)-1)*(CROQUIS!$C$137*MAX(1,CEILING((INT(((CROQUIS!$C$97)-CROQUIS!$C$107)/MAX(CROQUIS!$C$137,1))+1)/80,1))))/2)+MIN(INT(($A243-1)/5),MAX((MAX(1,INT(((CROQUIS!$C$97)-CROQUIS!$C$107)/MAX((CROQUIS!$C$137*MAX(1,CEILING((INT(((CROQUIS!$C$97)-CROQUIS!$C$107)/MAX(CROQUIS!$C$137,1))+1)/80,1))),1))+1))-1,0))*(CROQUIS!$C$137*MAX(1,CEILING((INT(((CROQUIS!$C$97)-CROQUIS!$C$107)/MAX(CROQUIS!$C$137,1))+1)/80,1))))))*CROQUIS!$C$159)+IF(CROQUIS!$C$92="X",0,0)),-1000)</f>
        <v>-1000</v>
      </c>
      <c r="BR243">
        <f>IF(AND(CROQUIS!$C$88=1,CROQUIS!$C$91=0,CROQUIS!$C$133&gt;0,OR(CROQUIS!$C$103=1,CROQUIS!$C$145=1)),((CROQUIS!$C$160+(IF(CROQUIS!$C$92="X",CHOOSE(IF(INT(($A243-1)/5)&gt;MAX((MAX(1,INT(((CROQUIS!$C$98)-CROQUIS!$C$107)/MAX((CROQUIS!$C$133*MAX(1,CEILING((INT(((CROQUIS!$C$98)-CROQUIS!$C$107)/MAX(CROQUIS!$C$133,1))+1)/80,1))),1))+1))-1,0),0,MOD($A243-1,5))+1,0,IF(CROQUIS!$C$103=1,-12,2),CROQUIS!$C$107/2+CROQUIS!$C$143,IF(CROQUIS!$C$103=1,-12,2),0),((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BS2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+1,0,IF(CROQUIS!$C$103=1,-12,2),CROQUIS!$C$107/2+CROQUIS!$C$143,IF(CROQUIS!$C$103=1,-12,2),0)))*CROQUIS!$C$159)+IF(CROQUIS!$C$92="X",0.8,0)),-1000)</f>
        <v>-1000</v>
      </c>
      <c r="BT243">
        <f>IF(AND(CROQUIS!$C$88=1,CROQUIS!$C$91=0,CROQUIS!$C$133&gt;0,OR(CROQUIS!$C$104=1,CROQUIS!$C$145=1)),((CROQUIS!$C$160+(IF(CROQUIS!$C$92="X",CHOOSE(IF(INT(($A243-1)/5)&gt;MAX((MAX(1,INT(((CROQUIS!$C$98)-CROQUIS!$C$107)/MAX((CROQUIS!$C$133*MAX(1,CEILING((INT(((CROQUIS!$C$98)-CROQUIS!$C$107)/MAX(CROQUIS!$C$133,1))+1)/80,1))),1))+1))-1,0),0,MOD($A243-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BU2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CROQUIS!$C$97,CROQUIS!$C$97-CROQUIS!$C$107/2-CROQUIS!$C$143,IF(CROQUIS!$C$104=1,CROQUIS!$C$97+12,CROQUIS!$C$97-2),CROQUIS!$C$97-CROQUIS!$C$107/2-CROQUIS!$C$143,CROQUIS!$C$97)))*CROQUIS!$C$159)+IF(CROQUIS!$C$92="X",0.8,0)),-1000)</f>
        <v>-1000</v>
      </c>
      <c r="BV2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HOOSE(IF(INT(($A243-1)/5)&gt;MAX((MAX(1,INT(((CROQUIS!$C$97)-CROQUIS!$C$107)/MAX((CROQUIS!$C$141*MAX(1,CEILING((INT(((CROQUIS!$C$97)-CROQUIS!$C$107)/MAX(CROQUIS!$C$141,1))+1)/80,1))),1))+1))-1,0),0,MOD($A243-1,5))+1,0,IF(CROQUIS!$C$105=1,-12,2),CROQUIS!$C$107/2+CROQUIS!$C$144,IF(CROQUIS!$C$105=1,-12,2),0)))*CROQUIS!$C$159)+IF(CROQUIS!$C$92="X",0.8,0)),-1000)</f>
        <v>-1000</v>
      </c>
      <c r="BW243">
        <f>IF(AND(CROQUIS!$C$88=1,CROQUIS!$C$91=0,CROQUIS!$C$141&gt;0,OR(CROQUIS!$C$105=1,CROQUIS!$C$146=1)),((CROQUIS!$C$161+(IF(CROQUIS!$C$92="X",CHOOSE(IF(INT(($A243-1)/5)&gt;MAX((MAX(1,INT(((CROQUIS!$C$97)-CROQUIS!$C$107)/MAX((CROQUIS!$C$141*MAX(1,CEILING((INT(((CROQUIS!$C$97)-CROQUIS!$C$107)/MAX(CROQUIS!$C$141,1))+1)/80,1))),1))+1))-1,0),0,MOD($A243-1,5))+1,0,IF(CROQUIS!$C$105=1,-12,2),CROQUIS!$C$107/2+CROQUIS!$C$144,IF(CROQUIS!$C$105=1,-12,2),0),((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ROQUIS!$C$159)+IF(CROQUIS!$C$92="X",0,0.8)),-1000)</f>
        <v>-1000</v>
      </c>
      <c r="BX2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HOOSE(IF(INT(($A243-1)/5)&gt;MAX((MAX(1,INT(((CROQUIS!$C$97)-CROQUIS!$C$107)/MAX((CROQUIS!$C$141*MAX(1,CEILING((INT(((CROQUIS!$C$97)-CROQUIS!$C$107)/MAX(CROQUIS!$C$141,1))+1)/80,1))),1))+1))-1,0),0,MOD($A243-1,5))+1,CROQUIS!$C$98,CROQUIS!$C$98-CROQUIS!$C$107/2-CROQUIS!$C$144,IF(CROQUIS!$C$106=1,CROQUIS!$C$98+12,CROQUIS!$C$98-2),CROQUIS!$C$98-CROQUIS!$C$107/2-CROQUIS!$C$144,CROQUIS!$C$98)))*CROQUIS!$C$159)+IF(CROQUIS!$C$92="X",0.8,0)),-1000)</f>
        <v>-1000</v>
      </c>
      <c r="BY243">
        <f>IF(AND(CROQUIS!$C$88=1,CROQUIS!$C$91=0,CROQUIS!$C$141&gt;0,OR(CROQUIS!$C$106=1,CROQUIS!$C$146=1)),((CROQUIS!$C$161+(IF(CROQUIS!$C$92="X",CHOOSE(IF(INT(($A243-1)/5)&gt;MAX((MAX(1,INT(((CROQUIS!$C$97)-CROQUIS!$C$107)/MAX((CROQUIS!$C$141*MAX(1,CEILING((INT(((CROQUIS!$C$97)-CROQUIS!$C$107)/MAX(CROQUIS!$C$141,1))+1)/80,1))),1))+1))-1,0),0,MOD($A243-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ROQUIS!$C$159)+IF(CROQUIS!$C$92="X",0,0.8)),-1000)</f>
        <v>-1000</v>
      </c>
      <c r="BZ243">
        <f>IF(AND(CROQUIS!$C$88=1,CROQUIS!$C$91=1,CROQUIS!$C$133&gt;0),((CROQUIS!$C$160+(IF(CROQUIS!$C$92="X",CHOOSE(IF(INT(($A243-1)/5)&gt;MAX((MAX(1,INT(((CROQUIS!$C$98)-CROQUIS!$C$107)/MAX((CROQUIS!$C$133*MAX(1,CEILING((INT(((CROQUIS!$C$98)-CROQUIS!$C$107)/MAX(CROQUIS!$C$133,1))+1)/80,1))),1))+1))-1,0),0,MOD($A243-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CA243">
        <f>IF(AND(CROQUIS!$C$88=1,CROQUIS!$C$91=1,CROQUIS!$C$133&gt;0),((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4">
      <c r="A244" t="n">
        <v>237</v>
      </c>
      <c r="BN244">
        <f>IF(AND(CROQUIS!$C$88=1,CROQUIS!$C$129&gt;0),((CROQUIS!$C$160+(IF(CROQUIS!$C$92="X",CHOOSE(IF(INT(($A244-1)/5)&gt;MAX((MAX(1,INT(((CROQUIS!$C$98)-CROQUIS!$C$107)/MAX((CROQUIS!$C$129*MAX(1,CEILING((INT(((CROQUIS!$C$98)-CROQUIS!$C$107)/MAX(CROQUIS!$C$129,1))+1)/80,1))),1))+1))-1,0),0,MOD($A244-1,5))+1,0,2,CROQUIS!$C$97-2,2,0),((CROQUIS!$C$107/2+(((CROQUIS!$C$98)-CROQUIS!$C$107)-(MAX(1,INT(((CROQUIS!$C$98)-CROQUIS!$C$107)/MAX((CROQUIS!$C$129*MAX(1,CEILING((INT(((CROQUIS!$C$98)-CROQUIS!$C$107)/MAX(CROQUIS!$C$129,1))+1)/80,1))),1))+1)-1)*(CROQUIS!$C$129*MAX(1,CEILING((INT(((CROQUIS!$C$98)-CROQUIS!$C$107)/MAX(CROQUIS!$C$129,1))+1)/80,1))))/2)+MIN(INT(($A244-1)/5),MAX((MAX(1,INT(((CROQUIS!$C$98)-CROQUIS!$C$107)/MAX((CROQUIS!$C$129*MAX(1,CEILING((INT(((CROQUIS!$C$98)-CROQUIS!$C$107)/MAX(CROQUIS!$C$129,1))+1)/80,1))),1))+1))-1,0))*(CROQUIS!$C$129*MAX(1,CEILING((INT(((CROQUIS!$C$98)-CROQUIS!$C$107)/MAX(CROQUIS!$C$129,1))+1)/80,1))))))*CROQUIS!$C$159)+IF(CROQUIS!$C$92="X",0,0)),-1000)</f>
        <v>-1000</v>
      </c>
      <c r="BO244">
        <f>IF(AND(CROQUIS!$C$88=1,CROQUIS!$C$129&gt;0),((CROQUIS!$C$161+(IF(CROQUIS!$C$92="X",((CROQUIS!$C$107/2+(((CROQUIS!$C$98)-CROQUIS!$C$107)-(MAX(1,INT(((CROQUIS!$C$98)-CROQUIS!$C$107)/MAX((CROQUIS!$C$129*MAX(1,CEILING((INT(((CROQUIS!$C$98)-CROQUIS!$C$107)/MAX(CROQUIS!$C$129,1))+1)/80,1))),1))+1)-1)*(CROQUIS!$C$129*MAX(1,CEILING((INT(((CROQUIS!$C$98)-CROQUIS!$C$107)/MAX(CROQUIS!$C$129,1))+1)/80,1))))/2)+MIN(INT(($A244-1)/5),MAX((MAX(1,INT(((CROQUIS!$C$98)-CROQUIS!$C$107)/MAX((CROQUIS!$C$129*MAX(1,CEILING((INT(((CROQUIS!$C$98)-CROQUIS!$C$107)/MAX(CROQUIS!$C$129,1))+1)/80,1))),1))+1))-1,0))*(CROQUIS!$C$129*MAX(1,CEILING((INT(((CROQUIS!$C$98)-CROQUIS!$C$107)/MAX(CROQUIS!$C$129,1))+1)/80,1)))),CHOOSE(IF(INT(($A244-1)/5)&gt;MAX((MAX(1,INT(((CROQUIS!$C$98)-CROQUIS!$C$107)/MAX((CROQUIS!$C$129*MAX(1,CEILING((INT(((CROQUIS!$C$98)-CROQUIS!$C$107)/MAX(CROQUIS!$C$129,1))+1)/80,1))),1))+1))-1,0),0,MOD($A244-1,5))+1,0,2,CROQUIS!$C$97-2,2,0)))*CROQUIS!$C$159)+IF(CROQUIS!$C$92="X",0,0)),-1000)</f>
        <v>-1000</v>
      </c>
      <c r="BP244">
        <f>IF(AND(CROQUIS!$C$88=1,CROQUIS!$C$137&gt;0),((CROQUIS!$C$160+(IF(CROQUIS!$C$92="X",((CROQUIS!$C$107/2+(((CROQUIS!$C$97)-CROQUIS!$C$107)-(MAX(1,INT(((CROQUIS!$C$97)-CROQUIS!$C$107)/MAX((CROQUIS!$C$137*MAX(1,CEILING((INT(((CROQUIS!$C$97)-CROQUIS!$C$107)/MAX(CROQUIS!$C$137,1))+1)/80,1))),1))+1)-1)*(CROQUIS!$C$137*MAX(1,CEILING((INT(((CROQUIS!$C$97)-CROQUIS!$C$107)/MAX(CROQUIS!$C$137,1))+1)/80,1))))/2)+MIN(INT(($A244-1)/5),MAX((MAX(1,INT(((CROQUIS!$C$97)-CROQUIS!$C$107)/MAX((CROQUIS!$C$137*MAX(1,CEILING((INT(((CROQUIS!$C$97)-CROQUIS!$C$107)/MAX(CROQUIS!$C$137,1))+1)/80,1))),1))+1))-1,0))*(CROQUIS!$C$137*MAX(1,CEILING((INT(((CROQUIS!$C$97)-CROQUIS!$C$107)/MAX(CROQUIS!$C$137,1))+1)/80,1)))),CHOOSE(IF(INT(($A244-1)/5)&gt;MAX((MAX(1,INT(((CROQUIS!$C$97)-CROQUIS!$C$107)/MAX((CROQUIS!$C$137*MAX(1,CEILING((INT(((CROQUIS!$C$97)-CROQUIS!$C$107)/MAX(CROQUIS!$C$137,1))+1)/80,1))),1))+1))-1,0),0,MOD($A244-1,5))+1,0,2,CROQUIS!$C$98-2,2,0)))*CROQUIS!$C$159)+IF(CROQUIS!$C$92="X",0,0)),-1000)</f>
        <v>-1000</v>
      </c>
      <c r="BQ244">
        <f>IF(AND(CROQUIS!$C$88=1,CROQUIS!$C$137&gt;0),((CROQUIS!$C$161+(IF(CROQUIS!$C$92="X",CHOOSE(IF(INT(($A244-1)/5)&gt;MAX((MAX(1,INT(((CROQUIS!$C$97)-CROQUIS!$C$107)/MAX((CROQUIS!$C$137*MAX(1,CEILING((INT(((CROQUIS!$C$97)-CROQUIS!$C$107)/MAX(CROQUIS!$C$137,1))+1)/80,1))),1))+1))-1,0),0,MOD($A244-1,5))+1,0,2,CROQUIS!$C$98-2,2,0),((CROQUIS!$C$107/2+(((CROQUIS!$C$97)-CROQUIS!$C$107)-(MAX(1,INT(((CROQUIS!$C$97)-CROQUIS!$C$107)/MAX((CROQUIS!$C$137*MAX(1,CEILING((INT(((CROQUIS!$C$97)-CROQUIS!$C$107)/MAX(CROQUIS!$C$137,1))+1)/80,1))),1))+1)-1)*(CROQUIS!$C$137*MAX(1,CEILING((INT(((CROQUIS!$C$97)-CROQUIS!$C$107)/MAX(CROQUIS!$C$137,1))+1)/80,1))))/2)+MIN(INT(($A244-1)/5),MAX((MAX(1,INT(((CROQUIS!$C$97)-CROQUIS!$C$107)/MAX((CROQUIS!$C$137*MAX(1,CEILING((INT(((CROQUIS!$C$97)-CROQUIS!$C$107)/MAX(CROQUIS!$C$137,1))+1)/80,1))),1))+1))-1,0))*(CROQUIS!$C$137*MAX(1,CEILING((INT(((CROQUIS!$C$97)-CROQUIS!$C$107)/MAX(CROQUIS!$C$137,1))+1)/80,1))))))*CROQUIS!$C$159)+IF(CROQUIS!$C$92="X",0,0)),-1000)</f>
        <v>-1000</v>
      </c>
      <c r="BR244">
        <f>IF(AND(CROQUIS!$C$88=1,CROQUIS!$C$91=0,CROQUIS!$C$133&gt;0,OR(CROQUIS!$C$103=1,CROQUIS!$C$145=1)),((CROQUIS!$C$160+(IF(CROQUIS!$C$92="X",CHOOSE(IF(INT(($A244-1)/5)&gt;MAX((MAX(1,INT(((CROQUIS!$C$98)-CROQUIS!$C$107)/MAX((CROQUIS!$C$133*MAX(1,CEILING((INT(((CROQUIS!$C$98)-CROQUIS!$C$107)/MAX(CROQUIS!$C$133,1))+1)/80,1))),1))+1))-1,0),0,MOD($A244-1,5))+1,0,IF(CROQUIS!$C$103=1,-12,2),CROQUIS!$C$107/2+CROQUIS!$C$143,IF(CROQUIS!$C$103=1,-12,2),0),((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BS2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+1,0,IF(CROQUIS!$C$103=1,-12,2),CROQUIS!$C$107/2+CROQUIS!$C$143,IF(CROQUIS!$C$103=1,-12,2),0)))*CROQUIS!$C$159)+IF(CROQUIS!$C$92="X",0.8,0)),-1000)</f>
        <v>-1000</v>
      </c>
      <c r="BT244">
        <f>IF(AND(CROQUIS!$C$88=1,CROQUIS!$C$91=0,CROQUIS!$C$133&gt;0,OR(CROQUIS!$C$104=1,CROQUIS!$C$145=1)),((CROQUIS!$C$160+(IF(CROQUIS!$C$92="X",CHOOSE(IF(INT(($A244-1)/5)&gt;MAX((MAX(1,INT(((CROQUIS!$C$98)-CROQUIS!$C$107)/MAX((CROQUIS!$C$133*MAX(1,CEILING((INT(((CROQUIS!$C$98)-CROQUIS!$C$107)/MAX(CROQUIS!$C$133,1))+1)/80,1))),1))+1))-1,0),0,MOD($A244-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BU2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CROQUIS!$C$97,CROQUIS!$C$97-CROQUIS!$C$107/2-CROQUIS!$C$143,IF(CROQUIS!$C$104=1,CROQUIS!$C$97+12,CROQUIS!$C$97-2),CROQUIS!$C$97-CROQUIS!$C$107/2-CROQUIS!$C$143,CROQUIS!$C$97)))*CROQUIS!$C$159)+IF(CROQUIS!$C$92="X",0.8,0)),-1000)</f>
        <v>-1000</v>
      </c>
      <c r="BV2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HOOSE(IF(INT(($A244-1)/5)&gt;MAX((MAX(1,INT(((CROQUIS!$C$97)-CROQUIS!$C$107)/MAX((CROQUIS!$C$141*MAX(1,CEILING((INT(((CROQUIS!$C$97)-CROQUIS!$C$107)/MAX(CROQUIS!$C$141,1))+1)/80,1))),1))+1))-1,0),0,MOD($A244-1,5))+1,0,IF(CROQUIS!$C$105=1,-12,2),CROQUIS!$C$107/2+CROQUIS!$C$144,IF(CROQUIS!$C$105=1,-12,2),0)))*CROQUIS!$C$159)+IF(CROQUIS!$C$92="X",0.8,0)),-1000)</f>
        <v>-1000</v>
      </c>
      <c r="BW244">
        <f>IF(AND(CROQUIS!$C$88=1,CROQUIS!$C$91=0,CROQUIS!$C$141&gt;0,OR(CROQUIS!$C$105=1,CROQUIS!$C$146=1)),((CROQUIS!$C$161+(IF(CROQUIS!$C$92="X",CHOOSE(IF(INT(($A244-1)/5)&gt;MAX((MAX(1,INT(((CROQUIS!$C$97)-CROQUIS!$C$107)/MAX((CROQUIS!$C$141*MAX(1,CEILING((INT(((CROQUIS!$C$97)-CROQUIS!$C$107)/MAX(CROQUIS!$C$141,1))+1)/80,1))),1))+1))-1,0),0,MOD($A244-1,5))+1,0,IF(CROQUIS!$C$105=1,-12,2),CROQUIS!$C$107/2+CROQUIS!$C$144,IF(CROQUIS!$C$105=1,-12,2),0),((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ROQUIS!$C$159)+IF(CROQUIS!$C$92="X",0,0.8)),-1000)</f>
        <v>-1000</v>
      </c>
      <c r="BX2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HOOSE(IF(INT(($A244-1)/5)&gt;MAX((MAX(1,INT(((CROQUIS!$C$97)-CROQUIS!$C$107)/MAX((CROQUIS!$C$141*MAX(1,CEILING((INT(((CROQUIS!$C$97)-CROQUIS!$C$107)/MAX(CROQUIS!$C$141,1))+1)/80,1))),1))+1))-1,0),0,MOD($A244-1,5))+1,CROQUIS!$C$98,CROQUIS!$C$98-CROQUIS!$C$107/2-CROQUIS!$C$144,IF(CROQUIS!$C$106=1,CROQUIS!$C$98+12,CROQUIS!$C$98-2),CROQUIS!$C$98-CROQUIS!$C$107/2-CROQUIS!$C$144,CROQUIS!$C$98)))*CROQUIS!$C$159)+IF(CROQUIS!$C$92="X",0.8,0)),-1000)</f>
        <v>-1000</v>
      </c>
      <c r="BY244">
        <f>IF(AND(CROQUIS!$C$88=1,CROQUIS!$C$91=0,CROQUIS!$C$141&gt;0,OR(CROQUIS!$C$106=1,CROQUIS!$C$146=1)),((CROQUIS!$C$161+(IF(CROQUIS!$C$92="X",CHOOSE(IF(INT(($A244-1)/5)&gt;MAX((MAX(1,INT(((CROQUIS!$C$97)-CROQUIS!$C$107)/MAX((CROQUIS!$C$141*MAX(1,CEILING((INT(((CROQUIS!$C$97)-CROQUIS!$C$107)/MAX(CROQUIS!$C$141,1))+1)/80,1))),1))+1))-1,0),0,MOD($A244-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ROQUIS!$C$159)+IF(CROQUIS!$C$92="X",0,0.8)),-1000)</f>
        <v>-1000</v>
      </c>
      <c r="BZ244">
        <f>IF(AND(CROQUIS!$C$88=1,CROQUIS!$C$91=1,CROQUIS!$C$133&gt;0),((CROQUIS!$C$160+(IF(CROQUIS!$C$92="X",CHOOSE(IF(INT(($A244-1)/5)&gt;MAX((MAX(1,INT(((CROQUIS!$C$98)-CROQUIS!$C$107)/MAX((CROQUIS!$C$133*MAX(1,CEILING((INT(((CROQUIS!$C$98)-CROQUIS!$C$107)/MAX(CROQUIS!$C$133,1))+1)/80,1))),1))+1))-1,0),0,MOD($A244-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CA244">
        <f>IF(AND(CROQUIS!$C$88=1,CROQUIS!$C$91=1,CROQUIS!$C$133&gt;0),((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5">
      <c r="A245" t="n">
        <v>238</v>
      </c>
      <c r="BN245">
        <f>IF(AND(CROQUIS!$C$88=1,CROQUIS!$C$129&gt;0),((CROQUIS!$C$160+(IF(CROQUIS!$C$92="X",CHOOSE(IF(INT(($A245-1)/5)&gt;MAX((MAX(1,INT(((CROQUIS!$C$98)-CROQUIS!$C$107)/MAX((CROQUIS!$C$129*MAX(1,CEILING((INT(((CROQUIS!$C$98)-CROQUIS!$C$107)/MAX(CROQUIS!$C$129,1))+1)/80,1))),1))+1))-1,0),0,MOD($A245-1,5))+1,0,2,CROQUIS!$C$97-2,2,0),((CROQUIS!$C$107/2+(((CROQUIS!$C$98)-CROQUIS!$C$107)-(MAX(1,INT(((CROQUIS!$C$98)-CROQUIS!$C$107)/MAX((CROQUIS!$C$129*MAX(1,CEILING((INT(((CROQUIS!$C$98)-CROQUIS!$C$107)/MAX(CROQUIS!$C$129,1))+1)/80,1))),1))+1)-1)*(CROQUIS!$C$129*MAX(1,CEILING((INT(((CROQUIS!$C$98)-CROQUIS!$C$107)/MAX(CROQUIS!$C$129,1))+1)/80,1))))/2)+MIN(INT(($A245-1)/5),MAX((MAX(1,INT(((CROQUIS!$C$98)-CROQUIS!$C$107)/MAX((CROQUIS!$C$129*MAX(1,CEILING((INT(((CROQUIS!$C$98)-CROQUIS!$C$107)/MAX(CROQUIS!$C$129,1))+1)/80,1))),1))+1))-1,0))*(CROQUIS!$C$129*MAX(1,CEILING((INT(((CROQUIS!$C$98)-CROQUIS!$C$107)/MAX(CROQUIS!$C$129,1))+1)/80,1))))))*CROQUIS!$C$159)+IF(CROQUIS!$C$92="X",0,0)),-1000)</f>
        <v>-1000</v>
      </c>
      <c r="BO245">
        <f>IF(AND(CROQUIS!$C$88=1,CROQUIS!$C$129&gt;0),((CROQUIS!$C$161+(IF(CROQUIS!$C$92="X",((CROQUIS!$C$107/2+(((CROQUIS!$C$98)-CROQUIS!$C$107)-(MAX(1,INT(((CROQUIS!$C$98)-CROQUIS!$C$107)/MAX((CROQUIS!$C$129*MAX(1,CEILING((INT(((CROQUIS!$C$98)-CROQUIS!$C$107)/MAX(CROQUIS!$C$129,1))+1)/80,1))),1))+1)-1)*(CROQUIS!$C$129*MAX(1,CEILING((INT(((CROQUIS!$C$98)-CROQUIS!$C$107)/MAX(CROQUIS!$C$129,1))+1)/80,1))))/2)+MIN(INT(($A245-1)/5),MAX((MAX(1,INT(((CROQUIS!$C$98)-CROQUIS!$C$107)/MAX((CROQUIS!$C$129*MAX(1,CEILING((INT(((CROQUIS!$C$98)-CROQUIS!$C$107)/MAX(CROQUIS!$C$129,1))+1)/80,1))),1))+1))-1,0))*(CROQUIS!$C$129*MAX(1,CEILING((INT(((CROQUIS!$C$98)-CROQUIS!$C$107)/MAX(CROQUIS!$C$129,1))+1)/80,1)))),CHOOSE(IF(INT(($A245-1)/5)&gt;MAX((MAX(1,INT(((CROQUIS!$C$98)-CROQUIS!$C$107)/MAX((CROQUIS!$C$129*MAX(1,CEILING((INT(((CROQUIS!$C$98)-CROQUIS!$C$107)/MAX(CROQUIS!$C$129,1))+1)/80,1))),1))+1))-1,0),0,MOD($A245-1,5))+1,0,2,CROQUIS!$C$97-2,2,0)))*CROQUIS!$C$159)+IF(CROQUIS!$C$92="X",0,0)),-1000)</f>
        <v>-1000</v>
      </c>
      <c r="BP245">
        <f>IF(AND(CROQUIS!$C$88=1,CROQUIS!$C$137&gt;0),((CROQUIS!$C$160+(IF(CROQUIS!$C$92="X",((CROQUIS!$C$107/2+(((CROQUIS!$C$97)-CROQUIS!$C$107)-(MAX(1,INT(((CROQUIS!$C$97)-CROQUIS!$C$107)/MAX((CROQUIS!$C$137*MAX(1,CEILING((INT(((CROQUIS!$C$97)-CROQUIS!$C$107)/MAX(CROQUIS!$C$137,1))+1)/80,1))),1))+1)-1)*(CROQUIS!$C$137*MAX(1,CEILING((INT(((CROQUIS!$C$97)-CROQUIS!$C$107)/MAX(CROQUIS!$C$137,1))+1)/80,1))))/2)+MIN(INT(($A245-1)/5),MAX((MAX(1,INT(((CROQUIS!$C$97)-CROQUIS!$C$107)/MAX((CROQUIS!$C$137*MAX(1,CEILING((INT(((CROQUIS!$C$97)-CROQUIS!$C$107)/MAX(CROQUIS!$C$137,1))+1)/80,1))),1))+1))-1,0))*(CROQUIS!$C$137*MAX(1,CEILING((INT(((CROQUIS!$C$97)-CROQUIS!$C$107)/MAX(CROQUIS!$C$137,1))+1)/80,1)))),CHOOSE(IF(INT(($A245-1)/5)&gt;MAX((MAX(1,INT(((CROQUIS!$C$97)-CROQUIS!$C$107)/MAX((CROQUIS!$C$137*MAX(1,CEILING((INT(((CROQUIS!$C$97)-CROQUIS!$C$107)/MAX(CROQUIS!$C$137,1))+1)/80,1))),1))+1))-1,0),0,MOD($A245-1,5))+1,0,2,CROQUIS!$C$98-2,2,0)))*CROQUIS!$C$159)+IF(CROQUIS!$C$92="X",0,0)),-1000)</f>
        <v>-1000</v>
      </c>
      <c r="BQ245">
        <f>IF(AND(CROQUIS!$C$88=1,CROQUIS!$C$137&gt;0),((CROQUIS!$C$161+(IF(CROQUIS!$C$92="X",CHOOSE(IF(INT(($A245-1)/5)&gt;MAX((MAX(1,INT(((CROQUIS!$C$97)-CROQUIS!$C$107)/MAX((CROQUIS!$C$137*MAX(1,CEILING((INT(((CROQUIS!$C$97)-CROQUIS!$C$107)/MAX(CROQUIS!$C$137,1))+1)/80,1))),1))+1))-1,0),0,MOD($A245-1,5))+1,0,2,CROQUIS!$C$98-2,2,0),((CROQUIS!$C$107/2+(((CROQUIS!$C$97)-CROQUIS!$C$107)-(MAX(1,INT(((CROQUIS!$C$97)-CROQUIS!$C$107)/MAX((CROQUIS!$C$137*MAX(1,CEILING((INT(((CROQUIS!$C$97)-CROQUIS!$C$107)/MAX(CROQUIS!$C$137,1))+1)/80,1))),1))+1)-1)*(CROQUIS!$C$137*MAX(1,CEILING((INT(((CROQUIS!$C$97)-CROQUIS!$C$107)/MAX(CROQUIS!$C$137,1))+1)/80,1))))/2)+MIN(INT(($A245-1)/5),MAX((MAX(1,INT(((CROQUIS!$C$97)-CROQUIS!$C$107)/MAX((CROQUIS!$C$137*MAX(1,CEILING((INT(((CROQUIS!$C$97)-CROQUIS!$C$107)/MAX(CROQUIS!$C$137,1))+1)/80,1))),1))+1))-1,0))*(CROQUIS!$C$137*MAX(1,CEILING((INT(((CROQUIS!$C$97)-CROQUIS!$C$107)/MAX(CROQUIS!$C$137,1))+1)/80,1))))))*CROQUIS!$C$159)+IF(CROQUIS!$C$92="X",0,0)),-1000)</f>
        <v>-1000</v>
      </c>
      <c r="BR245">
        <f>IF(AND(CROQUIS!$C$88=1,CROQUIS!$C$91=0,CROQUIS!$C$133&gt;0,OR(CROQUIS!$C$103=1,CROQUIS!$C$145=1)),((CROQUIS!$C$160+(IF(CROQUIS!$C$92="X",CHOOSE(IF(INT(($A245-1)/5)&gt;MAX((MAX(1,INT(((CROQUIS!$C$98)-CROQUIS!$C$107)/MAX((CROQUIS!$C$133*MAX(1,CEILING((INT(((CROQUIS!$C$98)-CROQUIS!$C$107)/MAX(CROQUIS!$C$133,1))+1)/80,1))),1))+1))-1,0),0,MOD($A245-1,5))+1,0,IF(CROQUIS!$C$103=1,-12,2),CROQUIS!$C$107/2+CROQUIS!$C$143,IF(CROQUIS!$C$103=1,-12,2),0),((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BS2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+1,0,IF(CROQUIS!$C$103=1,-12,2),CROQUIS!$C$107/2+CROQUIS!$C$143,IF(CROQUIS!$C$103=1,-12,2),0)))*CROQUIS!$C$159)+IF(CROQUIS!$C$92="X",0.8,0)),-1000)</f>
        <v>-1000</v>
      </c>
      <c r="BT245">
        <f>IF(AND(CROQUIS!$C$88=1,CROQUIS!$C$91=0,CROQUIS!$C$133&gt;0,OR(CROQUIS!$C$104=1,CROQUIS!$C$145=1)),((CROQUIS!$C$160+(IF(CROQUIS!$C$92="X",CHOOSE(IF(INT(($A245-1)/5)&gt;MAX((MAX(1,INT(((CROQUIS!$C$98)-CROQUIS!$C$107)/MAX((CROQUIS!$C$133*MAX(1,CEILING((INT(((CROQUIS!$C$98)-CROQUIS!$C$107)/MAX(CROQUIS!$C$133,1))+1)/80,1))),1))+1))-1,0),0,MOD($A245-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BU2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CROQUIS!$C$97,CROQUIS!$C$97-CROQUIS!$C$107/2-CROQUIS!$C$143,IF(CROQUIS!$C$104=1,CROQUIS!$C$97+12,CROQUIS!$C$97-2),CROQUIS!$C$97-CROQUIS!$C$107/2-CROQUIS!$C$143,CROQUIS!$C$97)))*CROQUIS!$C$159)+IF(CROQUIS!$C$92="X",0.8,0)),-1000)</f>
        <v>-1000</v>
      </c>
      <c r="BV2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HOOSE(IF(INT(($A245-1)/5)&gt;MAX((MAX(1,INT(((CROQUIS!$C$97)-CROQUIS!$C$107)/MAX((CROQUIS!$C$141*MAX(1,CEILING((INT(((CROQUIS!$C$97)-CROQUIS!$C$107)/MAX(CROQUIS!$C$141,1))+1)/80,1))),1))+1))-1,0),0,MOD($A245-1,5))+1,0,IF(CROQUIS!$C$105=1,-12,2),CROQUIS!$C$107/2+CROQUIS!$C$144,IF(CROQUIS!$C$105=1,-12,2),0)))*CROQUIS!$C$159)+IF(CROQUIS!$C$92="X",0.8,0)),-1000)</f>
        <v>-1000</v>
      </c>
      <c r="BW245">
        <f>IF(AND(CROQUIS!$C$88=1,CROQUIS!$C$91=0,CROQUIS!$C$141&gt;0,OR(CROQUIS!$C$105=1,CROQUIS!$C$146=1)),((CROQUIS!$C$161+(IF(CROQUIS!$C$92="X",CHOOSE(IF(INT(($A245-1)/5)&gt;MAX((MAX(1,INT(((CROQUIS!$C$97)-CROQUIS!$C$107)/MAX((CROQUIS!$C$141*MAX(1,CEILING((INT(((CROQUIS!$C$97)-CROQUIS!$C$107)/MAX(CROQUIS!$C$141,1))+1)/80,1))),1))+1))-1,0),0,MOD($A245-1,5))+1,0,IF(CROQUIS!$C$105=1,-12,2),CROQUIS!$C$107/2+CROQUIS!$C$144,IF(CROQUIS!$C$105=1,-12,2),0),((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ROQUIS!$C$159)+IF(CROQUIS!$C$92="X",0,0.8)),-1000)</f>
        <v>-1000</v>
      </c>
      <c r="BX2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HOOSE(IF(INT(($A245-1)/5)&gt;MAX((MAX(1,INT(((CROQUIS!$C$97)-CROQUIS!$C$107)/MAX((CROQUIS!$C$141*MAX(1,CEILING((INT(((CROQUIS!$C$97)-CROQUIS!$C$107)/MAX(CROQUIS!$C$141,1))+1)/80,1))),1))+1))-1,0),0,MOD($A245-1,5))+1,CROQUIS!$C$98,CROQUIS!$C$98-CROQUIS!$C$107/2-CROQUIS!$C$144,IF(CROQUIS!$C$106=1,CROQUIS!$C$98+12,CROQUIS!$C$98-2),CROQUIS!$C$98-CROQUIS!$C$107/2-CROQUIS!$C$144,CROQUIS!$C$98)))*CROQUIS!$C$159)+IF(CROQUIS!$C$92="X",0.8,0)),-1000)</f>
        <v>-1000</v>
      </c>
      <c r="BY245">
        <f>IF(AND(CROQUIS!$C$88=1,CROQUIS!$C$91=0,CROQUIS!$C$141&gt;0,OR(CROQUIS!$C$106=1,CROQUIS!$C$146=1)),((CROQUIS!$C$161+(IF(CROQUIS!$C$92="X",CHOOSE(IF(INT(($A245-1)/5)&gt;MAX((MAX(1,INT(((CROQUIS!$C$97)-CROQUIS!$C$107)/MAX((CROQUIS!$C$141*MAX(1,CEILING((INT(((CROQUIS!$C$97)-CROQUIS!$C$107)/MAX(CROQUIS!$C$141,1))+1)/80,1))),1))+1))-1,0),0,MOD($A245-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ROQUIS!$C$159)+IF(CROQUIS!$C$92="X",0,0.8)),-1000)</f>
        <v>-1000</v>
      </c>
      <c r="BZ245">
        <f>IF(AND(CROQUIS!$C$88=1,CROQUIS!$C$91=1,CROQUIS!$C$133&gt;0),((CROQUIS!$C$160+(IF(CROQUIS!$C$92="X",CHOOSE(IF(INT(($A245-1)/5)&gt;MAX((MAX(1,INT(((CROQUIS!$C$98)-CROQUIS!$C$107)/MAX((CROQUIS!$C$133*MAX(1,CEILING((INT(((CROQUIS!$C$98)-CROQUIS!$C$107)/MAX(CROQUIS!$C$133,1))+1)/80,1))),1))+1))-1,0),0,MOD($A245-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CA245">
        <f>IF(AND(CROQUIS!$C$88=1,CROQUIS!$C$91=1,CROQUIS!$C$133&gt;0),((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6">
      <c r="A246" t="n">
        <v>239</v>
      </c>
      <c r="BN246">
        <f>IF(AND(CROQUIS!$C$88=1,CROQUIS!$C$129&gt;0),((CROQUIS!$C$160+(IF(CROQUIS!$C$92="X",CHOOSE(IF(INT(($A246-1)/5)&gt;MAX((MAX(1,INT(((CROQUIS!$C$98)-CROQUIS!$C$107)/MAX((CROQUIS!$C$129*MAX(1,CEILING((INT(((CROQUIS!$C$98)-CROQUIS!$C$107)/MAX(CROQUIS!$C$129,1))+1)/80,1))),1))+1))-1,0),0,MOD($A246-1,5))+1,0,2,CROQUIS!$C$97-2,2,0),((CROQUIS!$C$107/2+(((CROQUIS!$C$98)-CROQUIS!$C$107)-(MAX(1,INT(((CROQUIS!$C$98)-CROQUIS!$C$107)/MAX((CROQUIS!$C$129*MAX(1,CEILING((INT(((CROQUIS!$C$98)-CROQUIS!$C$107)/MAX(CROQUIS!$C$129,1))+1)/80,1))),1))+1)-1)*(CROQUIS!$C$129*MAX(1,CEILING((INT(((CROQUIS!$C$98)-CROQUIS!$C$107)/MAX(CROQUIS!$C$129,1))+1)/80,1))))/2)+MIN(INT(($A246-1)/5),MAX((MAX(1,INT(((CROQUIS!$C$98)-CROQUIS!$C$107)/MAX((CROQUIS!$C$129*MAX(1,CEILING((INT(((CROQUIS!$C$98)-CROQUIS!$C$107)/MAX(CROQUIS!$C$129,1))+1)/80,1))),1))+1))-1,0))*(CROQUIS!$C$129*MAX(1,CEILING((INT(((CROQUIS!$C$98)-CROQUIS!$C$107)/MAX(CROQUIS!$C$129,1))+1)/80,1))))))*CROQUIS!$C$159)+IF(CROQUIS!$C$92="X",0,0)),-1000)</f>
        <v>-1000</v>
      </c>
      <c r="BO246">
        <f>IF(AND(CROQUIS!$C$88=1,CROQUIS!$C$129&gt;0),((CROQUIS!$C$161+(IF(CROQUIS!$C$92="X",((CROQUIS!$C$107/2+(((CROQUIS!$C$98)-CROQUIS!$C$107)-(MAX(1,INT(((CROQUIS!$C$98)-CROQUIS!$C$107)/MAX((CROQUIS!$C$129*MAX(1,CEILING((INT(((CROQUIS!$C$98)-CROQUIS!$C$107)/MAX(CROQUIS!$C$129,1))+1)/80,1))),1))+1)-1)*(CROQUIS!$C$129*MAX(1,CEILING((INT(((CROQUIS!$C$98)-CROQUIS!$C$107)/MAX(CROQUIS!$C$129,1))+1)/80,1))))/2)+MIN(INT(($A246-1)/5),MAX((MAX(1,INT(((CROQUIS!$C$98)-CROQUIS!$C$107)/MAX((CROQUIS!$C$129*MAX(1,CEILING((INT(((CROQUIS!$C$98)-CROQUIS!$C$107)/MAX(CROQUIS!$C$129,1))+1)/80,1))),1))+1))-1,0))*(CROQUIS!$C$129*MAX(1,CEILING((INT(((CROQUIS!$C$98)-CROQUIS!$C$107)/MAX(CROQUIS!$C$129,1))+1)/80,1)))),CHOOSE(IF(INT(($A246-1)/5)&gt;MAX((MAX(1,INT(((CROQUIS!$C$98)-CROQUIS!$C$107)/MAX((CROQUIS!$C$129*MAX(1,CEILING((INT(((CROQUIS!$C$98)-CROQUIS!$C$107)/MAX(CROQUIS!$C$129,1))+1)/80,1))),1))+1))-1,0),0,MOD($A246-1,5))+1,0,2,CROQUIS!$C$97-2,2,0)))*CROQUIS!$C$159)+IF(CROQUIS!$C$92="X",0,0)),-1000)</f>
        <v>-1000</v>
      </c>
      <c r="BP246">
        <f>IF(AND(CROQUIS!$C$88=1,CROQUIS!$C$137&gt;0),((CROQUIS!$C$160+(IF(CROQUIS!$C$92="X",((CROQUIS!$C$107/2+(((CROQUIS!$C$97)-CROQUIS!$C$107)-(MAX(1,INT(((CROQUIS!$C$97)-CROQUIS!$C$107)/MAX((CROQUIS!$C$137*MAX(1,CEILING((INT(((CROQUIS!$C$97)-CROQUIS!$C$107)/MAX(CROQUIS!$C$137,1))+1)/80,1))),1))+1)-1)*(CROQUIS!$C$137*MAX(1,CEILING((INT(((CROQUIS!$C$97)-CROQUIS!$C$107)/MAX(CROQUIS!$C$137,1))+1)/80,1))))/2)+MIN(INT(($A246-1)/5),MAX((MAX(1,INT(((CROQUIS!$C$97)-CROQUIS!$C$107)/MAX((CROQUIS!$C$137*MAX(1,CEILING((INT(((CROQUIS!$C$97)-CROQUIS!$C$107)/MAX(CROQUIS!$C$137,1))+1)/80,1))),1))+1))-1,0))*(CROQUIS!$C$137*MAX(1,CEILING((INT(((CROQUIS!$C$97)-CROQUIS!$C$107)/MAX(CROQUIS!$C$137,1))+1)/80,1)))),CHOOSE(IF(INT(($A246-1)/5)&gt;MAX((MAX(1,INT(((CROQUIS!$C$97)-CROQUIS!$C$107)/MAX((CROQUIS!$C$137*MAX(1,CEILING((INT(((CROQUIS!$C$97)-CROQUIS!$C$107)/MAX(CROQUIS!$C$137,1))+1)/80,1))),1))+1))-1,0),0,MOD($A246-1,5))+1,0,2,CROQUIS!$C$98-2,2,0)))*CROQUIS!$C$159)+IF(CROQUIS!$C$92="X",0,0)),-1000)</f>
        <v>-1000</v>
      </c>
      <c r="BQ246">
        <f>IF(AND(CROQUIS!$C$88=1,CROQUIS!$C$137&gt;0),((CROQUIS!$C$161+(IF(CROQUIS!$C$92="X",CHOOSE(IF(INT(($A246-1)/5)&gt;MAX((MAX(1,INT(((CROQUIS!$C$97)-CROQUIS!$C$107)/MAX((CROQUIS!$C$137*MAX(1,CEILING((INT(((CROQUIS!$C$97)-CROQUIS!$C$107)/MAX(CROQUIS!$C$137,1))+1)/80,1))),1))+1))-1,0),0,MOD($A246-1,5))+1,0,2,CROQUIS!$C$98-2,2,0),((CROQUIS!$C$107/2+(((CROQUIS!$C$97)-CROQUIS!$C$107)-(MAX(1,INT(((CROQUIS!$C$97)-CROQUIS!$C$107)/MAX((CROQUIS!$C$137*MAX(1,CEILING((INT(((CROQUIS!$C$97)-CROQUIS!$C$107)/MAX(CROQUIS!$C$137,1))+1)/80,1))),1))+1)-1)*(CROQUIS!$C$137*MAX(1,CEILING((INT(((CROQUIS!$C$97)-CROQUIS!$C$107)/MAX(CROQUIS!$C$137,1))+1)/80,1))))/2)+MIN(INT(($A246-1)/5),MAX((MAX(1,INT(((CROQUIS!$C$97)-CROQUIS!$C$107)/MAX((CROQUIS!$C$137*MAX(1,CEILING((INT(((CROQUIS!$C$97)-CROQUIS!$C$107)/MAX(CROQUIS!$C$137,1))+1)/80,1))),1))+1))-1,0))*(CROQUIS!$C$137*MAX(1,CEILING((INT(((CROQUIS!$C$97)-CROQUIS!$C$107)/MAX(CROQUIS!$C$137,1))+1)/80,1))))))*CROQUIS!$C$159)+IF(CROQUIS!$C$92="X",0,0)),-1000)</f>
        <v>-1000</v>
      </c>
      <c r="BR246">
        <f>IF(AND(CROQUIS!$C$88=1,CROQUIS!$C$91=0,CROQUIS!$C$133&gt;0,OR(CROQUIS!$C$103=1,CROQUIS!$C$145=1)),((CROQUIS!$C$160+(IF(CROQUIS!$C$92="X",CHOOSE(IF(INT(($A246-1)/5)&gt;MAX((MAX(1,INT(((CROQUIS!$C$98)-CROQUIS!$C$107)/MAX((CROQUIS!$C$133*MAX(1,CEILING((INT(((CROQUIS!$C$98)-CROQUIS!$C$107)/MAX(CROQUIS!$C$133,1))+1)/80,1))),1))+1))-1,0),0,MOD($A246-1,5))+1,0,IF(CROQUIS!$C$103=1,-12,2),CROQUIS!$C$107/2+CROQUIS!$C$143,IF(CROQUIS!$C$103=1,-12,2),0),((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BS2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+1,0,IF(CROQUIS!$C$103=1,-12,2),CROQUIS!$C$107/2+CROQUIS!$C$143,IF(CROQUIS!$C$103=1,-12,2),0)))*CROQUIS!$C$159)+IF(CROQUIS!$C$92="X",0.8,0)),-1000)</f>
        <v>-1000</v>
      </c>
      <c r="BT246">
        <f>IF(AND(CROQUIS!$C$88=1,CROQUIS!$C$91=0,CROQUIS!$C$133&gt;0,OR(CROQUIS!$C$104=1,CROQUIS!$C$145=1)),((CROQUIS!$C$160+(IF(CROQUIS!$C$92="X",CHOOSE(IF(INT(($A246-1)/5)&gt;MAX((MAX(1,INT(((CROQUIS!$C$98)-CROQUIS!$C$107)/MAX((CROQUIS!$C$133*MAX(1,CEILING((INT(((CROQUIS!$C$98)-CROQUIS!$C$107)/MAX(CROQUIS!$C$133,1))+1)/80,1))),1))+1))-1,0),0,MOD($A246-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BU2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CROQUIS!$C$97,CROQUIS!$C$97-CROQUIS!$C$107/2-CROQUIS!$C$143,IF(CROQUIS!$C$104=1,CROQUIS!$C$97+12,CROQUIS!$C$97-2),CROQUIS!$C$97-CROQUIS!$C$107/2-CROQUIS!$C$143,CROQUIS!$C$97)))*CROQUIS!$C$159)+IF(CROQUIS!$C$92="X",0.8,0)),-1000)</f>
        <v>-1000</v>
      </c>
      <c r="BV2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HOOSE(IF(INT(($A246-1)/5)&gt;MAX((MAX(1,INT(((CROQUIS!$C$97)-CROQUIS!$C$107)/MAX((CROQUIS!$C$141*MAX(1,CEILING((INT(((CROQUIS!$C$97)-CROQUIS!$C$107)/MAX(CROQUIS!$C$141,1))+1)/80,1))),1))+1))-1,0),0,MOD($A246-1,5))+1,0,IF(CROQUIS!$C$105=1,-12,2),CROQUIS!$C$107/2+CROQUIS!$C$144,IF(CROQUIS!$C$105=1,-12,2),0)))*CROQUIS!$C$159)+IF(CROQUIS!$C$92="X",0.8,0)),-1000)</f>
        <v>-1000</v>
      </c>
      <c r="BW246">
        <f>IF(AND(CROQUIS!$C$88=1,CROQUIS!$C$91=0,CROQUIS!$C$141&gt;0,OR(CROQUIS!$C$105=1,CROQUIS!$C$146=1)),((CROQUIS!$C$161+(IF(CROQUIS!$C$92="X",CHOOSE(IF(INT(($A246-1)/5)&gt;MAX((MAX(1,INT(((CROQUIS!$C$97)-CROQUIS!$C$107)/MAX((CROQUIS!$C$141*MAX(1,CEILING((INT(((CROQUIS!$C$97)-CROQUIS!$C$107)/MAX(CROQUIS!$C$141,1))+1)/80,1))),1))+1))-1,0),0,MOD($A246-1,5))+1,0,IF(CROQUIS!$C$105=1,-12,2),CROQUIS!$C$107/2+CROQUIS!$C$144,IF(CROQUIS!$C$105=1,-12,2),0),((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ROQUIS!$C$159)+IF(CROQUIS!$C$92="X",0,0.8)),-1000)</f>
        <v>-1000</v>
      </c>
      <c r="BX2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HOOSE(IF(INT(($A246-1)/5)&gt;MAX((MAX(1,INT(((CROQUIS!$C$97)-CROQUIS!$C$107)/MAX((CROQUIS!$C$141*MAX(1,CEILING((INT(((CROQUIS!$C$97)-CROQUIS!$C$107)/MAX(CROQUIS!$C$141,1))+1)/80,1))),1))+1))-1,0),0,MOD($A246-1,5))+1,CROQUIS!$C$98,CROQUIS!$C$98-CROQUIS!$C$107/2-CROQUIS!$C$144,IF(CROQUIS!$C$106=1,CROQUIS!$C$98+12,CROQUIS!$C$98-2),CROQUIS!$C$98-CROQUIS!$C$107/2-CROQUIS!$C$144,CROQUIS!$C$98)))*CROQUIS!$C$159)+IF(CROQUIS!$C$92="X",0.8,0)),-1000)</f>
        <v>-1000</v>
      </c>
      <c r="BY246">
        <f>IF(AND(CROQUIS!$C$88=1,CROQUIS!$C$91=0,CROQUIS!$C$141&gt;0,OR(CROQUIS!$C$106=1,CROQUIS!$C$146=1)),((CROQUIS!$C$161+(IF(CROQUIS!$C$92="X",CHOOSE(IF(INT(($A246-1)/5)&gt;MAX((MAX(1,INT(((CROQUIS!$C$97)-CROQUIS!$C$107)/MAX((CROQUIS!$C$141*MAX(1,CEILING((INT(((CROQUIS!$C$97)-CROQUIS!$C$107)/MAX(CROQUIS!$C$141,1))+1)/80,1))),1))+1))-1,0),0,MOD($A246-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ROQUIS!$C$159)+IF(CROQUIS!$C$92="X",0,0.8)),-1000)</f>
        <v>-1000</v>
      </c>
      <c r="BZ246">
        <f>IF(AND(CROQUIS!$C$88=1,CROQUIS!$C$91=1,CROQUIS!$C$133&gt;0),((CROQUIS!$C$160+(IF(CROQUIS!$C$92="X",CHOOSE(IF(INT(($A246-1)/5)&gt;MAX((MAX(1,INT(((CROQUIS!$C$98)-CROQUIS!$C$107)/MAX((CROQUIS!$C$133*MAX(1,CEILING((INT(((CROQUIS!$C$98)-CROQUIS!$C$107)/MAX(CROQUIS!$C$133,1))+1)/80,1))),1))+1))-1,0),0,MOD($A246-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CA246">
        <f>IF(AND(CROQUIS!$C$88=1,CROQUIS!$C$91=1,CROQUIS!$C$133&gt;0),((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7">
      <c r="A247" t="n">
        <v>240</v>
      </c>
      <c r="BN247">
        <f>IF(AND(CROQUIS!$C$88=1,CROQUIS!$C$129&gt;0),((CROQUIS!$C$160+(IF(CROQUIS!$C$92="X",CHOOSE(IF(INT(($A247-1)/5)&gt;MAX((MAX(1,INT(((CROQUIS!$C$98)-CROQUIS!$C$107)/MAX((CROQUIS!$C$129*MAX(1,CEILING((INT(((CROQUIS!$C$98)-CROQUIS!$C$107)/MAX(CROQUIS!$C$129,1))+1)/80,1))),1))+1))-1,0),0,MOD($A247-1,5))+1,0,2,CROQUIS!$C$97-2,2,0),((CROQUIS!$C$107/2+(((CROQUIS!$C$98)-CROQUIS!$C$107)-(MAX(1,INT(((CROQUIS!$C$98)-CROQUIS!$C$107)/MAX((CROQUIS!$C$129*MAX(1,CEILING((INT(((CROQUIS!$C$98)-CROQUIS!$C$107)/MAX(CROQUIS!$C$129,1))+1)/80,1))),1))+1)-1)*(CROQUIS!$C$129*MAX(1,CEILING((INT(((CROQUIS!$C$98)-CROQUIS!$C$107)/MAX(CROQUIS!$C$129,1))+1)/80,1))))/2)+MIN(INT(($A247-1)/5),MAX((MAX(1,INT(((CROQUIS!$C$98)-CROQUIS!$C$107)/MAX((CROQUIS!$C$129*MAX(1,CEILING((INT(((CROQUIS!$C$98)-CROQUIS!$C$107)/MAX(CROQUIS!$C$129,1))+1)/80,1))),1))+1))-1,0))*(CROQUIS!$C$129*MAX(1,CEILING((INT(((CROQUIS!$C$98)-CROQUIS!$C$107)/MAX(CROQUIS!$C$129,1))+1)/80,1))))))*CROQUIS!$C$159)+IF(CROQUIS!$C$92="X",0,0)),-1000)</f>
        <v>-1000</v>
      </c>
      <c r="BO247">
        <f>IF(AND(CROQUIS!$C$88=1,CROQUIS!$C$129&gt;0),((CROQUIS!$C$161+(IF(CROQUIS!$C$92="X",((CROQUIS!$C$107/2+(((CROQUIS!$C$98)-CROQUIS!$C$107)-(MAX(1,INT(((CROQUIS!$C$98)-CROQUIS!$C$107)/MAX((CROQUIS!$C$129*MAX(1,CEILING((INT(((CROQUIS!$C$98)-CROQUIS!$C$107)/MAX(CROQUIS!$C$129,1))+1)/80,1))),1))+1)-1)*(CROQUIS!$C$129*MAX(1,CEILING((INT(((CROQUIS!$C$98)-CROQUIS!$C$107)/MAX(CROQUIS!$C$129,1))+1)/80,1))))/2)+MIN(INT(($A247-1)/5),MAX((MAX(1,INT(((CROQUIS!$C$98)-CROQUIS!$C$107)/MAX((CROQUIS!$C$129*MAX(1,CEILING((INT(((CROQUIS!$C$98)-CROQUIS!$C$107)/MAX(CROQUIS!$C$129,1))+1)/80,1))),1))+1))-1,0))*(CROQUIS!$C$129*MAX(1,CEILING((INT(((CROQUIS!$C$98)-CROQUIS!$C$107)/MAX(CROQUIS!$C$129,1))+1)/80,1)))),CHOOSE(IF(INT(($A247-1)/5)&gt;MAX((MAX(1,INT(((CROQUIS!$C$98)-CROQUIS!$C$107)/MAX((CROQUIS!$C$129*MAX(1,CEILING((INT(((CROQUIS!$C$98)-CROQUIS!$C$107)/MAX(CROQUIS!$C$129,1))+1)/80,1))),1))+1))-1,0),0,MOD($A247-1,5))+1,0,2,CROQUIS!$C$97-2,2,0)))*CROQUIS!$C$159)+IF(CROQUIS!$C$92="X",0,0)),-1000)</f>
        <v>-1000</v>
      </c>
      <c r="BP247">
        <f>IF(AND(CROQUIS!$C$88=1,CROQUIS!$C$137&gt;0),((CROQUIS!$C$160+(IF(CROQUIS!$C$92="X",((CROQUIS!$C$107/2+(((CROQUIS!$C$97)-CROQUIS!$C$107)-(MAX(1,INT(((CROQUIS!$C$97)-CROQUIS!$C$107)/MAX((CROQUIS!$C$137*MAX(1,CEILING((INT(((CROQUIS!$C$97)-CROQUIS!$C$107)/MAX(CROQUIS!$C$137,1))+1)/80,1))),1))+1)-1)*(CROQUIS!$C$137*MAX(1,CEILING((INT(((CROQUIS!$C$97)-CROQUIS!$C$107)/MAX(CROQUIS!$C$137,1))+1)/80,1))))/2)+MIN(INT(($A247-1)/5),MAX((MAX(1,INT(((CROQUIS!$C$97)-CROQUIS!$C$107)/MAX((CROQUIS!$C$137*MAX(1,CEILING((INT(((CROQUIS!$C$97)-CROQUIS!$C$107)/MAX(CROQUIS!$C$137,1))+1)/80,1))),1))+1))-1,0))*(CROQUIS!$C$137*MAX(1,CEILING((INT(((CROQUIS!$C$97)-CROQUIS!$C$107)/MAX(CROQUIS!$C$137,1))+1)/80,1)))),CHOOSE(IF(INT(($A247-1)/5)&gt;MAX((MAX(1,INT(((CROQUIS!$C$97)-CROQUIS!$C$107)/MAX((CROQUIS!$C$137*MAX(1,CEILING((INT(((CROQUIS!$C$97)-CROQUIS!$C$107)/MAX(CROQUIS!$C$137,1))+1)/80,1))),1))+1))-1,0),0,MOD($A247-1,5))+1,0,2,CROQUIS!$C$98-2,2,0)))*CROQUIS!$C$159)+IF(CROQUIS!$C$92="X",0,0)),-1000)</f>
        <v>-1000</v>
      </c>
      <c r="BQ247">
        <f>IF(AND(CROQUIS!$C$88=1,CROQUIS!$C$137&gt;0),((CROQUIS!$C$161+(IF(CROQUIS!$C$92="X",CHOOSE(IF(INT(($A247-1)/5)&gt;MAX((MAX(1,INT(((CROQUIS!$C$97)-CROQUIS!$C$107)/MAX((CROQUIS!$C$137*MAX(1,CEILING((INT(((CROQUIS!$C$97)-CROQUIS!$C$107)/MAX(CROQUIS!$C$137,1))+1)/80,1))),1))+1))-1,0),0,MOD($A247-1,5))+1,0,2,CROQUIS!$C$98-2,2,0),((CROQUIS!$C$107/2+(((CROQUIS!$C$97)-CROQUIS!$C$107)-(MAX(1,INT(((CROQUIS!$C$97)-CROQUIS!$C$107)/MAX((CROQUIS!$C$137*MAX(1,CEILING((INT(((CROQUIS!$C$97)-CROQUIS!$C$107)/MAX(CROQUIS!$C$137,1))+1)/80,1))),1))+1)-1)*(CROQUIS!$C$137*MAX(1,CEILING((INT(((CROQUIS!$C$97)-CROQUIS!$C$107)/MAX(CROQUIS!$C$137,1))+1)/80,1))))/2)+MIN(INT(($A247-1)/5),MAX((MAX(1,INT(((CROQUIS!$C$97)-CROQUIS!$C$107)/MAX((CROQUIS!$C$137*MAX(1,CEILING((INT(((CROQUIS!$C$97)-CROQUIS!$C$107)/MAX(CROQUIS!$C$137,1))+1)/80,1))),1))+1))-1,0))*(CROQUIS!$C$137*MAX(1,CEILING((INT(((CROQUIS!$C$97)-CROQUIS!$C$107)/MAX(CROQUIS!$C$137,1))+1)/80,1))))))*CROQUIS!$C$159)+IF(CROQUIS!$C$92="X",0,0)),-1000)</f>
        <v>-1000</v>
      </c>
      <c r="BR247">
        <f>IF(AND(CROQUIS!$C$88=1,CROQUIS!$C$91=0,CROQUIS!$C$133&gt;0,OR(CROQUIS!$C$103=1,CROQUIS!$C$145=1)),((CROQUIS!$C$160+(IF(CROQUIS!$C$92="X",CHOOSE(IF(INT(($A247-1)/5)&gt;MAX((MAX(1,INT(((CROQUIS!$C$98)-CROQUIS!$C$107)/MAX((CROQUIS!$C$133*MAX(1,CEILING((INT(((CROQUIS!$C$98)-CROQUIS!$C$107)/MAX(CROQUIS!$C$133,1))+1)/80,1))),1))+1))-1,0),0,MOD($A247-1,5))+1,0,IF(CROQUIS!$C$103=1,-12,2),CROQUIS!$C$107/2+CROQUIS!$C$143,IF(CROQUIS!$C$103=1,-12,2),0),((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BS2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+1,0,IF(CROQUIS!$C$103=1,-12,2),CROQUIS!$C$107/2+CROQUIS!$C$143,IF(CROQUIS!$C$103=1,-12,2),0)))*CROQUIS!$C$159)+IF(CROQUIS!$C$92="X",0.8,0)),-1000)</f>
        <v>-1000</v>
      </c>
      <c r="BT247">
        <f>IF(AND(CROQUIS!$C$88=1,CROQUIS!$C$91=0,CROQUIS!$C$133&gt;0,OR(CROQUIS!$C$104=1,CROQUIS!$C$145=1)),((CROQUIS!$C$160+(IF(CROQUIS!$C$92="X",CHOOSE(IF(INT(($A247-1)/5)&gt;MAX((MAX(1,INT(((CROQUIS!$C$98)-CROQUIS!$C$107)/MAX((CROQUIS!$C$133*MAX(1,CEILING((INT(((CROQUIS!$C$98)-CROQUIS!$C$107)/MAX(CROQUIS!$C$133,1))+1)/80,1))),1))+1))-1,0),0,MOD($A247-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BU2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CROQUIS!$C$97,CROQUIS!$C$97-CROQUIS!$C$107/2-CROQUIS!$C$143,IF(CROQUIS!$C$104=1,CROQUIS!$C$97+12,CROQUIS!$C$97-2),CROQUIS!$C$97-CROQUIS!$C$107/2-CROQUIS!$C$143,CROQUIS!$C$97)))*CROQUIS!$C$159)+IF(CROQUIS!$C$92="X",0.8,0)),-1000)</f>
        <v>-1000</v>
      </c>
      <c r="BV2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HOOSE(IF(INT(($A247-1)/5)&gt;MAX((MAX(1,INT(((CROQUIS!$C$97)-CROQUIS!$C$107)/MAX((CROQUIS!$C$141*MAX(1,CEILING((INT(((CROQUIS!$C$97)-CROQUIS!$C$107)/MAX(CROQUIS!$C$141,1))+1)/80,1))),1))+1))-1,0),0,MOD($A247-1,5))+1,0,IF(CROQUIS!$C$105=1,-12,2),CROQUIS!$C$107/2+CROQUIS!$C$144,IF(CROQUIS!$C$105=1,-12,2),0)))*CROQUIS!$C$159)+IF(CROQUIS!$C$92="X",0.8,0)),-1000)</f>
        <v>-1000</v>
      </c>
      <c r="BW247">
        <f>IF(AND(CROQUIS!$C$88=1,CROQUIS!$C$91=0,CROQUIS!$C$141&gt;0,OR(CROQUIS!$C$105=1,CROQUIS!$C$146=1)),((CROQUIS!$C$161+(IF(CROQUIS!$C$92="X",CHOOSE(IF(INT(($A247-1)/5)&gt;MAX((MAX(1,INT(((CROQUIS!$C$97)-CROQUIS!$C$107)/MAX((CROQUIS!$C$141*MAX(1,CEILING((INT(((CROQUIS!$C$97)-CROQUIS!$C$107)/MAX(CROQUIS!$C$141,1))+1)/80,1))),1))+1))-1,0),0,MOD($A247-1,5))+1,0,IF(CROQUIS!$C$105=1,-12,2),CROQUIS!$C$107/2+CROQUIS!$C$144,IF(CROQUIS!$C$105=1,-12,2),0),((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ROQUIS!$C$159)+IF(CROQUIS!$C$92="X",0,0.8)),-1000)</f>
        <v>-1000</v>
      </c>
      <c r="BX2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HOOSE(IF(INT(($A247-1)/5)&gt;MAX((MAX(1,INT(((CROQUIS!$C$97)-CROQUIS!$C$107)/MAX((CROQUIS!$C$141*MAX(1,CEILING((INT(((CROQUIS!$C$97)-CROQUIS!$C$107)/MAX(CROQUIS!$C$141,1))+1)/80,1))),1))+1))-1,0),0,MOD($A247-1,5))+1,CROQUIS!$C$98,CROQUIS!$C$98-CROQUIS!$C$107/2-CROQUIS!$C$144,IF(CROQUIS!$C$106=1,CROQUIS!$C$98+12,CROQUIS!$C$98-2),CROQUIS!$C$98-CROQUIS!$C$107/2-CROQUIS!$C$144,CROQUIS!$C$98)))*CROQUIS!$C$159)+IF(CROQUIS!$C$92="X",0.8,0)),-1000)</f>
        <v>-1000</v>
      </c>
      <c r="BY247">
        <f>IF(AND(CROQUIS!$C$88=1,CROQUIS!$C$91=0,CROQUIS!$C$141&gt;0,OR(CROQUIS!$C$106=1,CROQUIS!$C$146=1)),((CROQUIS!$C$161+(IF(CROQUIS!$C$92="X",CHOOSE(IF(INT(($A247-1)/5)&gt;MAX((MAX(1,INT(((CROQUIS!$C$97)-CROQUIS!$C$107)/MAX((CROQUIS!$C$141*MAX(1,CEILING((INT(((CROQUIS!$C$97)-CROQUIS!$C$107)/MAX(CROQUIS!$C$141,1))+1)/80,1))),1))+1))-1,0),0,MOD($A247-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ROQUIS!$C$159)+IF(CROQUIS!$C$92="X",0,0.8)),-1000)</f>
        <v>-1000</v>
      </c>
      <c r="BZ247">
        <f>IF(AND(CROQUIS!$C$88=1,CROQUIS!$C$91=1,CROQUIS!$C$133&gt;0),((CROQUIS!$C$160+(IF(CROQUIS!$C$92="X",CHOOSE(IF(INT(($A247-1)/5)&gt;MAX((MAX(1,INT(((CROQUIS!$C$98)-CROQUIS!$C$107)/MAX((CROQUIS!$C$133*MAX(1,CEILING((INT(((CROQUIS!$C$98)-CROQUIS!$C$107)/MAX(CROQUIS!$C$133,1))+1)/80,1))),1))+1))-1,0),0,MOD($A247-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CA247">
        <f>IF(AND(CROQUIS!$C$88=1,CROQUIS!$C$91=1,CROQUIS!$C$133&gt;0),((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8">
      <c r="A248" t="n">
        <v>241</v>
      </c>
      <c r="BN248">
        <f>IF(AND(CROQUIS!$C$88=1,CROQUIS!$C$129&gt;0),((CROQUIS!$C$160+(IF(CROQUIS!$C$92="X",CHOOSE(IF(INT(($A248-1)/5)&gt;MAX((MAX(1,INT(((CROQUIS!$C$98)-CROQUIS!$C$107)/MAX((CROQUIS!$C$129*MAX(1,CEILING((INT(((CROQUIS!$C$98)-CROQUIS!$C$107)/MAX(CROQUIS!$C$129,1))+1)/80,1))),1))+1))-1,0),0,MOD($A248-1,5))+1,0,2,CROQUIS!$C$97-2,2,0),((CROQUIS!$C$107/2+(((CROQUIS!$C$98)-CROQUIS!$C$107)-(MAX(1,INT(((CROQUIS!$C$98)-CROQUIS!$C$107)/MAX((CROQUIS!$C$129*MAX(1,CEILING((INT(((CROQUIS!$C$98)-CROQUIS!$C$107)/MAX(CROQUIS!$C$129,1))+1)/80,1))),1))+1)-1)*(CROQUIS!$C$129*MAX(1,CEILING((INT(((CROQUIS!$C$98)-CROQUIS!$C$107)/MAX(CROQUIS!$C$129,1))+1)/80,1))))/2)+MIN(INT(($A248-1)/5),MAX((MAX(1,INT(((CROQUIS!$C$98)-CROQUIS!$C$107)/MAX((CROQUIS!$C$129*MAX(1,CEILING((INT(((CROQUIS!$C$98)-CROQUIS!$C$107)/MAX(CROQUIS!$C$129,1))+1)/80,1))),1))+1))-1,0))*(CROQUIS!$C$129*MAX(1,CEILING((INT(((CROQUIS!$C$98)-CROQUIS!$C$107)/MAX(CROQUIS!$C$129,1))+1)/80,1))))))*CROQUIS!$C$159)+IF(CROQUIS!$C$92="X",0,0)),-1000)</f>
        <v>-1000</v>
      </c>
      <c r="BO248">
        <f>IF(AND(CROQUIS!$C$88=1,CROQUIS!$C$129&gt;0),((CROQUIS!$C$161+(IF(CROQUIS!$C$92="X",((CROQUIS!$C$107/2+(((CROQUIS!$C$98)-CROQUIS!$C$107)-(MAX(1,INT(((CROQUIS!$C$98)-CROQUIS!$C$107)/MAX((CROQUIS!$C$129*MAX(1,CEILING((INT(((CROQUIS!$C$98)-CROQUIS!$C$107)/MAX(CROQUIS!$C$129,1))+1)/80,1))),1))+1)-1)*(CROQUIS!$C$129*MAX(1,CEILING((INT(((CROQUIS!$C$98)-CROQUIS!$C$107)/MAX(CROQUIS!$C$129,1))+1)/80,1))))/2)+MIN(INT(($A248-1)/5),MAX((MAX(1,INT(((CROQUIS!$C$98)-CROQUIS!$C$107)/MAX((CROQUIS!$C$129*MAX(1,CEILING((INT(((CROQUIS!$C$98)-CROQUIS!$C$107)/MAX(CROQUIS!$C$129,1))+1)/80,1))),1))+1))-1,0))*(CROQUIS!$C$129*MAX(1,CEILING((INT(((CROQUIS!$C$98)-CROQUIS!$C$107)/MAX(CROQUIS!$C$129,1))+1)/80,1)))),CHOOSE(IF(INT(($A248-1)/5)&gt;MAX((MAX(1,INT(((CROQUIS!$C$98)-CROQUIS!$C$107)/MAX((CROQUIS!$C$129*MAX(1,CEILING((INT(((CROQUIS!$C$98)-CROQUIS!$C$107)/MAX(CROQUIS!$C$129,1))+1)/80,1))),1))+1))-1,0),0,MOD($A248-1,5))+1,0,2,CROQUIS!$C$97-2,2,0)))*CROQUIS!$C$159)+IF(CROQUIS!$C$92="X",0,0)),-1000)</f>
        <v>-1000</v>
      </c>
      <c r="BP248">
        <f>IF(AND(CROQUIS!$C$88=1,CROQUIS!$C$137&gt;0),((CROQUIS!$C$160+(IF(CROQUIS!$C$92="X",((CROQUIS!$C$107/2+(((CROQUIS!$C$97)-CROQUIS!$C$107)-(MAX(1,INT(((CROQUIS!$C$97)-CROQUIS!$C$107)/MAX((CROQUIS!$C$137*MAX(1,CEILING((INT(((CROQUIS!$C$97)-CROQUIS!$C$107)/MAX(CROQUIS!$C$137,1))+1)/80,1))),1))+1)-1)*(CROQUIS!$C$137*MAX(1,CEILING((INT(((CROQUIS!$C$97)-CROQUIS!$C$107)/MAX(CROQUIS!$C$137,1))+1)/80,1))))/2)+MIN(INT(($A248-1)/5),MAX((MAX(1,INT(((CROQUIS!$C$97)-CROQUIS!$C$107)/MAX((CROQUIS!$C$137*MAX(1,CEILING((INT(((CROQUIS!$C$97)-CROQUIS!$C$107)/MAX(CROQUIS!$C$137,1))+1)/80,1))),1))+1))-1,0))*(CROQUIS!$C$137*MAX(1,CEILING((INT(((CROQUIS!$C$97)-CROQUIS!$C$107)/MAX(CROQUIS!$C$137,1))+1)/80,1)))),CHOOSE(IF(INT(($A248-1)/5)&gt;MAX((MAX(1,INT(((CROQUIS!$C$97)-CROQUIS!$C$107)/MAX((CROQUIS!$C$137*MAX(1,CEILING((INT(((CROQUIS!$C$97)-CROQUIS!$C$107)/MAX(CROQUIS!$C$137,1))+1)/80,1))),1))+1))-1,0),0,MOD($A248-1,5))+1,0,2,CROQUIS!$C$98-2,2,0)))*CROQUIS!$C$159)+IF(CROQUIS!$C$92="X",0,0)),-1000)</f>
        <v>-1000</v>
      </c>
      <c r="BQ248">
        <f>IF(AND(CROQUIS!$C$88=1,CROQUIS!$C$137&gt;0),((CROQUIS!$C$161+(IF(CROQUIS!$C$92="X",CHOOSE(IF(INT(($A248-1)/5)&gt;MAX((MAX(1,INT(((CROQUIS!$C$97)-CROQUIS!$C$107)/MAX((CROQUIS!$C$137*MAX(1,CEILING((INT(((CROQUIS!$C$97)-CROQUIS!$C$107)/MAX(CROQUIS!$C$137,1))+1)/80,1))),1))+1))-1,0),0,MOD($A248-1,5))+1,0,2,CROQUIS!$C$98-2,2,0),((CROQUIS!$C$107/2+(((CROQUIS!$C$97)-CROQUIS!$C$107)-(MAX(1,INT(((CROQUIS!$C$97)-CROQUIS!$C$107)/MAX((CROQUIS!$C$137*MAX(1,CEILING((INT(((CROQUIS!$C$97)-CROQUIS!$C$107)/MAX(CROQUIS!$C$137,1))+1)/80,1))),1))+1)-1)*(CROQUIS!$C$137*MAX(1,CEILING((INT(((CROQUIS!$C$97)-CROQUIS!$C$107)/MAX(CROQUIS!$C$137,1))+1)/80,1))))/2)+MIN(INT(($A248-1)/5),MAX((MAX(1,INT(((CROQUIS!$C$97)-CROQUIS!$C$107)/MAX((CROQUIS!$C$137*MAX(1,CEILING((INT(((CROQUIS!$C$97)-CROQUIS!$C$107)/MAX(CROQUIS!$C$137,1))+1)/80,1))),1))+1))-1,0))*(CROQUIS!$C$137*MAX(1,CEILING((INT(((CROQUIS!$C$97)-CROQUIS!$C$107)/MAX(CROQUIS!$C$137,1))+1)/80,1))))))*CROQUIS!$C$159)+IF(CROQUIS!$C$92="X",0,0)),-1000)</f>
        <v>-1000</v>
      </c>
      <c r="BR248">
        <f>IF(AND(CROQUIS!$C$88=1,CROQUIS!$C$91=0,CROQUIS!$C$133&gt;0,OR(CROQUIS!$C$103=1,CROQUIS!$C$145=1)),((CROQUIS!$C$160+(IF(CROQUIS!$C$92="X",CHOOSE(IF(INT(($A248-1)/5)&gt;MAX((MAX(1,INT(((CROQUIS!$C$98)-CROQUIS!$C$107)/MAX((CROQUIS!$C$133*MAX(1,CEILING((INT(((CROQUIS!$C$98)-CROQUIS!$C$107)/MAX(CROQUIS!$C$133,1))+1)/80,1))),1))+1))-1,0),0,MOD($A248-1,5))+1,0,IF(CROQUIS!$C$103=1,-12,2),CROQUIS!$C$107/2+CROQUIS!$C$143,IF(CROQUIS!$C$103=1,-12,2),0),((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BS2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+1,0,IF(CROQUIS!$C$103=1,-12,2),CROQUIS!$C$107/2+CROQUIS!$C$143,IF(CROQUIS!$C$103=1,-12,2),0)))*CROQUIS!$C$159)+IF(CROQUIS!$C$92="X",0.8,0)),-1000)</f>
        <v>-1000</v>
      </c>
      <c r="BT248">
        <f>IF(AND(CROQUIS!$C$88=1,CROQUIS!$C$91=0,CROQUIS!$C$133&gt;0,OR(CROQUIS!$C$104=1,CROQUIS!$C$145=1)),((CROQUIS!$C$160+(IF(CROQUIS!$C$92="X",CHOOSE(IF(INT(($A248-1)/5)&gt;MAX((MAX(1,INT(((CROQUIS!$C$98)-CROQUIS!$C$107)/MAX((CROQUIS!$C$133*MAX(1,CEILING((INT(((CROQUIS!$C$98)-CROQUIS!$C$107)/MAX(CROQUIS!$C$133,1))+1)/80,1))),1))+1))-1,0),0,MOD($A248-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BU2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CROQUIS!$C$97,CROQUIS!$C$97-CROQUIS!$C$107/2-CROQUIS!$C$143,IF(CROQUIS!$C$104=1,CROQUIS!$C$97+12,CROQUIS!$C$97-2),CROQUIS!$C$97-CROQUIS!$C$107/2-CROQUIS!$C$143,CROQUIS!$C$97)))*CROQUIS!$C$159)+IF(CROQUIS!$C$92="X",0.8,0)),-1000)</f>
        <v>-1000</v>
      </c>
      <c r="BV2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HOOSE(IF(INT(($A248-1)/5)&gt;MAX((MAX(1,INT(((CROQUIS!$C$97)-CROQUIS!$C$107)/MAX((CROQUIS!$C$141*MAX(1,CEILING((INT(((CROQUIS!$C$97)-CROQUIS!$C$107)/MAX(CROQUIS!$C$141,1))+1)/80,1))),1))+1))-1,0),0,MOD($A248-1,5))+1,0,IF(CROQUIS!$C$105=1,-12,2),CROQUIS!$C$107/2+CROQUIS!$C$144,IF(CROQUIS!$C$105=1,-12,2),0)))*CROQUIS!$C$159)+IF(CROQUIS!$C$92="X",0.8,0)),-1000)</f>
        <v>-1000</v>
      </c>
      <c r="BW248">
        <f>IF(AND(CROQUIS!$C$88=1,CROQUIS!$C$91=0,CROQUIS!$C$141&gt;0,OR(CROQUIS!$C$105=1,CROQUIS!$C$146=1)),((CROQUIS!$C$161+(IF(CROQUIS!$C$92="X",CHOOSE(IF(INT(($A248-1)/5)&gt;MAX((MAX(1,INT(((CROQUIS!$C$97)-CROQUIS!$C$107)/MAX((CROQUIS!$C$141*MAX(1,CEILING((INT(((CROQUIS!$C$97)-CROQUIS!$C$107)/MAX(CROQUIS!$C$141,1))+1)/80,1))),1))+1))-1,0),0,MOD($A248-1,5))+1,0,IF(CROQUIS!$C$105=1,-12,2),CROQUIS!$C$107/2+CROQUIS!$C$144,IF(CROQUIS!$C$105=1,-12,2),0),((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ROQUIS!$C$159)+IF(CROQUIS!$C$92="X",0,0.8)),-1000)</f>
        <v>-1000</v>
      </c>
      <c r="BX2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HOOSE(IF(INT(($A248-1)/5)&gt;MAX((MAX(1,INT(((CROQUIS!$C$97)-CROQUIS!$C$107)/MAX((CROQUIS!$C$141*MAX(1,CEILING((INT(((CROQUIS!$C$97)-CROQUIS!$C$107)/MAX(CROQUIS!$C$141,1))+1)/80,1))),1))+1))-1,0),0,MOD($A248-1,5))+1,CROQUIS!$C$98,CROQUIS!$C$98-CROQUIS!$C$107/2-CROQUIS!$C$144,IF(CROQUIS!$C$106=1,CROQUIS!$C$98+12,CROQUIS!$C$98-2),CROQUIS!$C$98-CROQUIS!$C$107/2-CROQUIS!$C$144,CROQUIS!$C$98)))*CROQUIS!$C$159)+IF(CROQUIS!$C$92="X",0.8,0)),-1000)</f>
        <v>-1000</v>
      </c>
      <c r="BY248">
        <f>IF(AND(CROQUIS!$C$88=1,CROQUIS!$C$91=0,CROQUIS!$C$141&gt;0,OR(CROQUIS!$C$106=1,CROQUIS!$C$146=1)),((CROQUIS!$C$161+(IF(CROQUIS!$C$92="X",CHOOSE(IF(INT(($A248-1)/5)&gt;MAX((MAX(1,INT(((CROQUIS!$C$97)-CROQUIS!$C$107)/MAX((CROQUIS!$C$141*MAX(1,CEILING((INT(((CROQUIS!$C$97)-CROQUIS!$C$107)/MAX(CROQUIS!$C$141,1))+1)/80,1))),1))+1))-1,0),0,MOD($A248-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ROQUIS!$C$159)+IF(CROQUIS!$C$92="X",0,0.8)),-1000)</f>
        <v>-1000</v>
      </c>
      <c r="BZ248">
        <f>IF(AND(CROQUIS!$C$88=1,CROQUIS!$C$91=1,CROQUIS!$C$133&gt;0),((CROQUIS!$C$160+(IF(CROQUIS!$C$92="X",CHOOSE(IF(INT(($A248-1)/5)&gt;MAX((MAX(1,INT(((CROQUIS!$C$98)-CROQUIS!$C$107)/MAX((CROQUIS!$C$133*MAX(1,CEILING((INT(((CROQUIS!$C$98)-CROQUIS!$C$107)/MAX(CROQUIS!$C$133,1))+1)/80,1))),1))+1))-1,0),0,MOD($A248-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CA248">
        <f>IF(AND(CROQUIS!$C$88=1,CROQUIS!$C$91=1,CROQUIS!$C$133&gt;0),((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9">
      <c r="A249" t="n">
        <v>242</v>
      </c>
      <c r="BN249">
        <f>IF(AND(CROQUIS!$C$88=1,CROQUIS!$C$129&gt;0),((CROQUIS!$C$160+(IF(CROQUIS!$C$92="X",CHOOSE(IF(INT(($A249-1)/5)&gt;MAX((MAX(1,INT(((CROQUIS!$C$98)-CROQUIS!$C$107)/MAX((CROQUIS!$C$129*MAX(1,CEILING((INT(((CROQUIS!$C$98)-CROQUIS!$C$107)/MAX(CROQUIS!$C$129,1))+1)/80,1))),1))+1))-1,0),0,MOD($A249-1,5))+1,0,2,CROQUIS!$C$97-2,2,0),((CROQUIS!$C$107/2+(((CROQUIS!$C$98)-CROQUIS!$C$107)-(MAX(1,INT(((CROQUIS!$C$98)-CROQUIS!$C$107)/MAX((CROQUIS!$C$129*MAX(1,CEILING((INT(((CROQUIS!$C$98)-CROQUIS!$C$107)/MAX(CROQUIS!$C$129,1))+1)/80,1))),1))+1)-1)*(CROQUIS!$C$129*MAX(1,CEILING((INT(((CROQUIS!$C$98)-CROQUIS!$C$107)/MAX(CROQUIS!$C$129,1))+1)/80,1))))/2)+MIN(INT(($A249-1)/5),MAX((MAX(1,INT(((CROQUIS!$C$98)-CROQUIS!$C$107)/MAX((CROQUIS!$C$129*MAX(1,CEILING((INT(((CROQUIS!$C$98)-CROQUIS!$C$107)/MAX(CROQUIS!$C$129,1))+1)/80,1))),1))+1))-1,0))*(CROQUIS!$C$129*MAX(1,CEILING((INT(((CROQUIS!$C$98)-CROQUIS!$C$107)/MAX(CROQUIS!$C$129,1))+1)/80,1))))))*CROQUIS!$C$159)+IF(CROQUIS!$C$92="X",0,0)),-1000)</f>
        <v>-1000</v>
      </c>
      <c r="BO249">
        <f>IF(AND(CROQUIS!$C$88=1,CROQUIS!$C$129&gt;0),((CROQUIS!$C$161+(IF(CROQUIS!$C$92="X",((CROQUIS!$C$107/2+(((CROQUIS!$C$98)-CROQUIS!$C$107)-(MAX(1,INT(((CROQUIS!$C$98)-CROQUIS!$C$107)/MAX((CROQUIS!$C$129*MAX(1,CEILING((INT(((CROQUIS!$C$98)-CROQUIS!$C$107)/MAX(CROQUIS!$C$129,1))+1)/80,1))),1))+1)-1)*(CROQUIS!$C$129*MAX(1,CEILING((INT(((CROQUIS!$C$98)-CROQUIS!$C$107)/MAX(CROQUIS!$C$129,1))+1)/80,1))))/2)+MIN(INT(($A249-1)/5),MAX((MAX(1,INT(((CROQUIS!$C$98)-CROQUIS!$C$107)/MAX((CROQUIS!$C$129*MAX(1,CEILING((INT(((CROQUIS!$C$98)-CROQUIS!$C$107)/MAX(CROQUIS!$C$129,1))+1)/80,1))),1))+1))-1,0))*(CROQUIS!$C$129*MAX(1,CEILING((INT(((CROQUIS!$C$98)-CROQUIS!$C$107)/MAX(CROQUIS!$C$129,1))+1)/80,1)))),CHOOSE(IF(INT(($A249-1)/5)&gt;MAX((MAX(1,INT(((CROQUIS!$C$98)-CROQUIS!$C$107)/MAX((CROQUIS!$C$129*MAX(1,CEILING((INT(((CROQUIS!$C$98)-CROQUIS!$C$107)/MAX(CROQUIS!$C$129,1))+1)/80,1))),1))+1))-1,0),0,MOD($A249-1,5))+1,0,2,CROQUIS!$C$97-2,2,0)))*CROQUIS!$C$159)+IF(CROQUIS!$C$92="X",0,0)),-1000)</f>
        <v>-1000</v>
      </c>
      <c r="BP249">
        <f>IF(AND(CROQUIS!$C$88=1,CROQUIS!$C$137&gt;0),((CROQUIS!$C$160+(IF(CROQUIS!$C$92="X",((CROQUIS!$C$107/2+(((CROQUIS!$C$97)-CROQUIS!$C$107)-(MAX(1,INT(((CROQUIS!$C$97)-CROQUIS!$C$107)/MAX((CROQUIS!$C$137*MAX(1,CEILING((INT(((CROQUIS!$C$97)-CROQUIS!$C$107)/MAX(CROQUIS!$C$137,1))+1)/80,1))),1))+1)-1)*(CROQUIS!$C$137*MAX(1,CEILING((INT(((CROQUIS!$C$97)-CROQUIS!$C$107)/MAX(CROQUIS!$C$137,1))+1)/80,1))))/2)+MIN(INT(($A249-1)/5),MAX((MAX(1,INT(((CROQUIS!$C$97)-CROQUIS!$C$107)/MAX((CROQUIS!$C$137*MAX(1,CEILING((INT(((CROQUIS!$C$97)-CROQUIS!$C$107)/MAX(CROQUIS!$C$137,1))+1)/80,1))),1))+1))-1,0))*(CROQUIS!$C$137*MAX(1,CEILING((INT(((CROQUIS!$C$97)-CROQUIS!$C$107)/MAX(CROQUIS!$C$137,1))+1)/80,1)))),CHOOSE(IF(INT(($A249-1)/5)&gt;MAX((MAX(1,INT(((CROQUIS!$C$97)-CROQUIS!$C$107)/MAX((CROQUIS!$C$137*MAX(1,CEILING((INT(((CROQUIS!$C$97)-CROQUIS!$C$107)/MAX(CROQUIS!$C$137,1))+1)/80,1))),1))+1))-1,0),0,MOD($A249-1,5))+1,0,2,CROQUIS!$C$98-2,2,0)))*CROQUIS!$C$159)+IF(CROQUIS!$C$92="X",0,0)),-1000)</f>
        <v>-1000</v>
      </c>
      <c r="BQ249">
        <f>IF(AND(CROQUIS!$C$88=1,CROQUIS!$C$137&gt;0),((CROQUIS!$C$161+(IF(CROQUIS!$C$92="X",CHOOSE(IF(INT(($A249-1)/5)&gt;MAX((MAX(1,INT(((CROQUIS!$C$97)-CROQUIS!$C$107)/MAX((CROQUIS!$C$137*MAX(1,CEILING((INT(((CROQUIS!$C$97)-CROQUIS!$C$107)/MAX(CROQUIS!$C$137,1))+1)/80,1))),1))+1))-1,0),0,MOD($A249-1,5))+1,0,2,CROQUIS!$C$98-2,2,0),((CROQUIS!$C$107/2+(((CROQUIS!$C$97)-CROQUIS!$C$107)-(MAX(1,INT(((CROQUIS!$C$97)-CROQUIS!$C$107)/MAX((CROQUIS!$C$137*MAX(1,CEILING((INT(((CROQUIS!$C$97)-CROQUIS!$C$107)/MAX(CROQUIS!$C$137,1))+1)/80,1))),1))+1)-1)*(CROQUIS!$C$137*MAX(1,CEILING((INT(((CROQUIS!$C$97)-CROQUIS!$C$107)/MAX(CROQUIS!$C$137,1))+1)/80,1))))/2)+MIN(INT(($A249-1)/5),MAX((MAX(1,INT(((CROQUIS!$C$97)-CROQUIS!$C$107)/MAX((CROQUIS!$C$137*MAX(1,CEILING((INT(((CROQUIS!$C$97)-CROQUIS!$C$107)/MAX(CROQUIS!$C$137,1))+1)/80,1))),1))+1))-1,0))*(CROQUIS!$C$137*MAX(1,CEILING((INT(((CROQUIS!$C$97)-CROQUIS!$C$107)/MAX(CROQUIS!$C$137,1))+1)/80,1))))))*CROQUIS!$C$159)+IF(CROQUIS!$C$92="X",0,0)),-1000)</f>
        <v>-1000</v>
      </c>
      <c r="BR249">
        <f>IF(AND(CROQUIS!$C$88=1,CROQUIS!$C$91=0,CROQUIS!$C$133&gt;0,OR(CROQUIS!$C$103=1,CROQUIS!$C$145=1)),((CROQUIS!$C$160+(IF(CROQUIS!$C$92="X",CHOOSE(IF(INT(($A249-1)/5)&gt;MAX((MAX(1,INT(((CROQUIS!$C$98)-CROQUIS!$C$107)/MAX((CROQUIS!$C$133*MAX(1,CEILING((INT(((CROQUIS!$C$98)-CROQUIS!$C$107)/MAX(CROQUIS!$C$133,1))+1)/80,1))),1))+1))-1,0),0,MOD($A249-1,5))+1,0,IF(CROQUIS!$C$103=1,-12,2),CROQUIS!$C$107/2+CROQUIS!$C$143,IF(CROQUIS!$C$103=1,-12,2),0),((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BS2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+1,0,IF(CROQUIS!$C$103=1,-12,2),CROQUIS!$C$107/2+CROQUIS!$C$143,IF(CROQUIS!$C$103=1,-12,2),0)))*CROQUIS!$C$159)+IF(CROQUIS!$C$92="X",0.8,0)),-1000)</f>
        <v>-1000</v>
      </c>
      <c r="BT249">
        <f>IF(AND(CROQUIS!$C$88=1,CROQUIS!$C$91=0,CROQUIS!$C$133&gt;0,OR(CROQUIS!$C$104=1,CROQUIS!$C$145=1)),((CROQUIS!$C$160+(IF(CROQUIS!$C$92="X",CHOOSE(IF(INT(($A249-1)/5)&gt;MAX((MAX(1,INT(((CROQUIS!$C$98)-CROQUIS!$C$107)/MAX((CROQUIS!$C$133*MAX(1,CEILING((INT(((CROQUIS!$C$98)-CROQUIS!$C$107)/MAX(CROQUIS!$C$133,1))+1)/80,1))),1))+1))-1,0),0,MOD($A249-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BU2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CROQUIS!$C$97,CROQUIS!$C$97-CROQUIS!$C$107/2-CROQUIS!$C$143,IF(CROQUIS!$C$104=1,CROQUIS!$C$97+12,CROQUIS!$C$97-2),CROQUIS!$C$97-CROQUIS!$C$107/2-CROQUIS!$C$143,CROQUIS!$C$97)))*CROQUIS!$C$159)+IF(CROQUIS!$C$92="X",0.8,0)),-1000)</f>
        <v>-1000</v>
      </c>
      <c r="BV2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HOOSE(IF(INT(($A249-1)/5)&gt;MAX((MAX(1,INT(((CROQUIS!$C$97)-CROQUIS!$C$107)/MAX((CROQUIS!$C$141*MAX(1,CEILING((INT(((CROQUIS!$C$97)-CROQUIS!$C$107)/MAX(CROQUIS!$C$141,1))+1)/80,1))),1))+1))-1,0),0,MOD($A249-1,5))+1,0,IF(CROQUIS!$C$105=1,-12,2),CROQUIS!$C$107/2+CROQUIS!$C$144,IF(CROQUIS!$C$105=1,-12,2),0)))*CROQUIS!$C$159)+IF(CROQUIS!$C$92="X",0.8,0)),-1000)</f>
        <v>-1000</v>
      </c>
      <c r="BW249">
        <f>IF(AND(CROQUIS!$C$88=1,CROQUIS!$C$91=0,CROQUIS!$C$141&gt;0,OR(CROQUIS!$C$105=1,CROQUIS!$C$146=1)),((CROQUIS!$C$161+(IF(CROQUIS!$C$92="X",CHOOSE(IF(INT(($A249-1)/5)&gt;MAX((MAX(1,INT(((CROQUIS!$C$97)-CROQUIS!$C$107)/MAX((CROQUIS!$C$141*MAX(1,CEILING((INT(((CROQUIS!$C$97)-CROQUIS!$C$107)/MAX(CROQUIS!$C$141,1))+1)/80,1))),1))+1))-1,0),0,MOD($A249-1,5))+1,0,IF(CROQUIS!$C$105=1,-12,2),CROQUIS!$C$107/2+CROQUIS!$C$144,IF(CROQUIS!$C$105=1,-12,2),0),((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ROQUIS!$C$159)+IF(CROQUIS!$C$92="X",0,0.8)),-1000)</f>
        <v>-1000</v>
      </c>
      <c r="BX2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HOOSE(IF(INT(($A249-1)/5)&gt;MAX((MAX(1,INT(((CROQUIS!$C$97)-CROQUIS!$C$107)/MAX((CROQUIS!$C$141*MAX(1,CEILING((INT(((CROQUIS!$C$97)-CROQUIS!$C$107)/MAX(CROQUIS!$C$141,1))+1)/80,1))),1))+1))-1,0),0,MOD($A249-1,5))+1,CROQUIS!$C$98,CROQUIS!$C$98-CROQUIS!$C$107/2-CROQUIS!$C$144,IF(CROQUIS!$C$106=1,CROQUIS!$C$98+12,CROQUIS!$C$98-2),CROQUIS!$C$98-CROQUIS!$C$107/2-CROQUIS!$C$144,CROQUIS!$C$98)))*CROQUIS!$C$159)+IF(CROQUIS!$C$92="X",0.8,0)),-1000)</f>
        <v>-1000</v>
      </c>
      <c r="BY249">
        <f>IF(AND(CROQUIS!$C$88=1,CROQUIS!$C$91=0,CROQUIS!$C$141&gt;0,OR(CROQUIS!$C$106=1,CROQUIS!$C$146=1)),((CROQUIS!$C$161+(IF(CROQUIS!$C$92="X",CHOOSE(IF(INT(($A249-1)/5)&gt;MAX((MAX(1,INT(((CROQUIS!$C$97)-CROQUIS!$C$107)/MAX((CROQUIS!$C$141*MAX(1,CEILING((INT(((CROQUIS!$C$97)-CROQUIS!$C$107)/MAX(CROQUIS!$C$141,1))+1)/80,1))),1))+1))-1,0),0,MOD($A249-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ROQUIS!$C$159)+IF(CROQUIS!$C$92="X",0,0.8)),-1000)</f>
        <v>-1000</v>
      </c>
      <c r="BZ249">
        <f>IF(AND(CROQUIS!$C$88=1,CROQUIS!$C$91=1,CROQUIS!$C$133&gt;0),((CROQUIS!$C$160+(IF(CROQUIS!$C$92="X",CHOOSE(IF(INT(($A249-1)/5)&gt;MAX((MAX(1,INT(((CROQUIS!$C$98)-CROQUIS!$C$107)/MAX((CROQUIS!$C$133*MAX(1,CEILING((INT(((CROQUIS!$C$98)-CROQUIS!$C$107)/MAX(CROQUIS!$C$133,1))+1)/80,1))),1))+1))-1,0),0,MOD($A249-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CA249">
        <f>IF(AND(CROQUIS!$C$88=1,CROQUIS!$C$91=1,CROQUIS!$C$133&gt;0),((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0">
      <c r="A250" t="n">
        <v>243</v>
      </c>
      <c r="BN250">
        <f>IF(AND(CROQUIS!$C$88=1,CROQUIS!$C$129&gt;0),((CROQUIS!$C$160+(IF(CROQUIS!$C$92="X",CHOOSE(IF(INT(($A250-1)/5)&gt;MAX((MAX(1,INT(((CROQUIS!$C$98)-CROQUIS!$C$107)/MAX((CROQUIS!$C$129*MAX(1,CEILING((INT(((CROQUIS!$C$98)-CROQUIS!$C$107)/MAX(CROQUIS!$C$129,1))+1)/80,1))),1))+1))-1,0),0,MOD($A250-1,5))+1,0,2,CROQUIS!$C$97-2,2,0),((CROQUIS!$C$107/2+(((CROQUIS!$C$98)-CROQUIS!$C$107)-(MAX(1,INT(((CROQUIS!$C$98)-CROQUIS!$C$107)/MAX((CROQUIS!$C$129*MAX(1,CEILING((INT(((CROQUIS!$C$98)-CROQUIS!$C$107)/MAX(CROQUIS!$C$129,1))+1)/80,1))),1))+1)-1)*(CROQUIS!$C$129*MAX(1,CEILING((INT(((CROQUIS!$C$98)-CROQUIS!$C$107)/MAX(CROQUIS!$C$129,1))+1)/80,1))))/2)+MIN(INT(($A250-1)/5),MAX((MAX(1,INT(((CROQUIS!$C$98)-CROQUIS!$C$107)/MAX((CROQUIS!$C$129*MAX(1,CEILING((INT(((CROQUIS!$C$98)-CROQUIS!$C$107)/MAX(CROQUIS!$C$129,1))+1)/80,1))),1))+1))-1,0))*(CROQUIS!$C$129*MAX(1,CEILING((INT(((CROQUIS!$C$98)-CROQUIS!$C$107)/MAX(CROQUIS!$C$129,1))+1)/80,1))))))*CROQUIS!$C$159)+IF(CROQUIS!$C$92="X",0,0)),-1000)</f>
        <v>-1000</v>
      </c>
      <c r="BO250">
        <f>IF(AND(CROQUIS!$C$88=1,CROQUIS!$C$129&gt;0),((CROQUIS!$C$161+(IF(CROQUIS!$C$92="X",((CROQUIS!$C$107/2+(((CROQUIS!$C$98)-CROQUIS!$C$107)-(MAX(1,INT(((CROQUIS!$C$98)-CROQUIS!$C$107)/MAX((CROQUIS!$C$129*MAX(1,CEILING((INT(((CROQUIS!$C$98)-CROQUIS!$C$107)/MAX(CROQUIS!$C$129,1))+1)/80,1))),1))+1)-1)*(CROQUIS!$C$129*MAX(1,CEILING((INT(((CROQUIS!$C$98)-CROQUIS!$C$107)/MAX(CROQUIS!$C$129,1))+1)/80,1))))/2)+MIN(INT(($A250-1)/5),MAX((MAX(1,INT(((CROQUIS!$C$98)-CROQUIS!$C$107)/MAX((CROQUIS!$C$129*MAX(1,CEILING((INT(((CROQUIS!$C$98)-CROQUIS!$C$107)/MAX(CROQUIS!$C$129,1))+1)/80,1))),1))+1))-1,0))*(CROQUIS!$C$129*MAX(1,CEILING((INT(((CROQUIS!$C$98)-CROQUIS!$C$107)/MAX(CROQUIS!$C$129,1))+1)/80,1)))),CHOOSE(IF(INT(($A250-1)/5)&gt;MAX((MAX(1,INT(((CROQUIS!$C$98)-CROQUIS!$C$107)/MAX((CROQUIS!$C$129*MAX(1,CEILING((INT(((CROQUIS!$C$98)-CROQUIS!$C$107)/MAX(CROQUIS!$C$129,1))+1)/80,1))),1))+1))-1,0),0,MOD($A250-1,5))+1,0,2,CROQUIS!$C$97-2,2,0)))*CROQUIS!$C$159)+IF(CROQUIS!$C$92="X",0,0)),-1000)</f>
        <v>-1000</v>
      </c>
      <c r="BP250">
        <f>IF(AND(CROQUIS!$C$88=1,CROQUIS!$C$137&gt;0),((CROQUIS!$C$160+(IF(CROQUIS!$C$92="X",((CROQUIS!$C$107/2+(((CROQUIS!$C$97)-CROQUIS!$C$107)-(MAX(1,INT(((CROQUIS!$C$97)-CROQUIS!$C$107)/MAX((CROQUIS!$C$137*MAX(1,CEILING((INT(((CROQUIS!$C$97)-CROQUIS!$C$107)/MAX(CROQUIS!$C$137,1))+1)/80,1))),1))+1)-1)*(CROQUIS!$C$137*MAX(1,CEILING((INT(((CROQUIS!$C$97)-CROQUIS!$C$107)/MAX(CROQUIS!$C$137,1))+1)/80,1))))/2)+MIN(INT(($A250-1)/5),MAX((MAX(1,INT(((CROQUIS!$C$97)-CROQUIS!$C$107)/MAX((CROQUIS!$C$137*MAX(1,CEILING((INT(((CROQUIS!$C$97)-CROQUIS!$C$107)/MAX(CROQUIS!$C$137,1))+1)/80,1))),1))+1))-1,0))*(CROQUIS!$C$137*MAX(1,CEILING((INT(((CROQUIS!$C$97)-CROQUIS!$C$107)/MAX(CROQUIS!$C$137,1))+1)/80,1)))),CHOOSE(IF(INT(($A250-1)/5)&gt;MAX((MAX(1,INT(((CROQUIS!$C$97)-CROQUIS!$C$107)/MAX((CROQUIS!$C$137*MAX(1,CEILING((INT(((CROQUIS!$C$97)-CROQUIS!$C$107)/MAX(CROQUIS!$C$137,1))+1)/80,1))),1))+1))-1,0),0,MOD($A250-1,5))+1,0,2,CROQUIS!$C$98-2,2,0)))*CROQUIS!$C$159)+IF(CROQUIS!$C$92="X",0,0)),-1000)</f>
        <v>-1000</v>
      </c>
      <c r="BQ250">
        <f>IF(AND(CROQUIS!$C$88=1,CROQUIS!$C$137&gt;0),((CROQUIS!$C$161+(IF(CROQUIS!$C$92="X",CHOOSE(IF(INT(($A250-1)/5)&gt;MAX((MAX(1,INT(((CROQUIS!$C$97)-CROQUIS!$C$107)/MAX((CROQUIS!$C$137*MAX(1,CEILING((INT(((CROQUIS!$C$97)-CROQUIS!$C$107)/MAX(CROQUIS!$C$137,1))+1)/80,1))),1))+1))-1,0),0,MOD($A250-1,5))+1,0,2,CROQUIS!$C$98-2,2,0),((CROQUIS!$C$107/2+(((CROQUIS!$C$97)-CROQUIS!$C$107)-(MAX(1,INT(((CROQUIS!$C$97)-CROQUIS!$C$107)/MAX((CROQUIS!$C$137*MAX(1,CEILING((INT(((CROQUIS!$C$97)-CROQUIS!$C$107)/MAX(CROQUIS!$C$137,1))+1)/80,1))),1))+1)-1)*(CROQUIS!$C$137*MAX(1,CEILING((INT(((CROQUIS!$C$97)-CROQUIS!$C$107)/MAX(CROQUIS!$C$137,1))+1)/80,1))))/2)+MIN(INT(($A250-1)/5),MAX((MAX(1,INT(((CROQUIS!$C$97)-CROQUIS!$C$107)/MAX((CROQUIS!$C$137*MAX(1,CEILING((INT(((CROQUIS!$C$97)-CROQUIS!$C$107)/MAX(CROQUIS!$C$137,1))+1)/80,1))),1))+1))-1,0))*(CROQUIS!$C$137*MAX(1,CEILING((INT(((CROQUIS!$C$97)-CROQUIS!$C$107)/MAX(CROQUIS!$C$137,1))+1)/80,1))))))*CROQUIS!$C$159)+IF(CROQUIS!$C$92="X",0,0)),-1000)</f>
        <v>-1000</v>
      </c>
      <c r="BR250">
        <f>IF(AND(CROQUIS!$C$88=1,CROQUIS!$C$91=0,CROQUIS!$C$133&gt;0,OR(CROQUIS!$C$103=1,CROQUIS!$C$145=1)),((CROQUIS!$C$160+(IF(CROQUIS!$C$92="X",CHOOSE(IF(INT(($A250-1)/5)&gt;MAX((MAX(1,INT(((CROQUIS!$C$98)-CROQUIS!$C$107)/MAX((CROQUIS!$C$133*MAX(1,CEILING((INT(((CROQUIS!$C$98)-CROQUIS!$C$107)/MAX(CROQUIS!$C$133,1))+1)/80,1))),1))+1))-1,0),0,MOD($A250-1,5))+1,0,IF(CROQUIS!$C$103=1,-12,2),CROQUIS!$C$107/2+CROQUIS!$C$143,IF(CROQUIS!$C$103=1,-12,2),0),((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BS2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+1,0,IF(CROQUIS!$C$103=1,-12,2),CROQUIS!$C$107/2+CROQUIS!$C$143,IF(CROQUIS!$C$103=1,-12,2),0)))*CROQUIS!$C$159)+IF(CROQUIS!$C$92="X",0.8,0)),-1000)</f>
        <v>-1000</v>
      </c>
      <c r="BT250">
        <f>IF(AND(CROQUIS!$C$88=1,CROQUIS!$C$91=0,CROQUIS!$C$133&gt;0,OR(CROQUIS!$C$104=1,CROQUIS!$C$145=1)),((CROQUIS!$C$160+(IF(CROQUIS!$C$92="X",CHOOSE(IF(INT(($A250-1)/5)&gt;MAX((MAX(1,INT(((CROQUIS!$C$98)-CROQUIS!$C$107)/MAX((CROQUIS!$C$133*MAX(1,CEILING((INT(((CROQUIS!$C$98)-CROQUIS!$C$107)/MAX(CROQUIS!$C$133,1))+1)/80,1))),1))+1))-1,0),0,MOD($A250-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BU2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CROQUIS!$C$97,CROQUIS!$C$97-CROQUIS!$C$107/2-CROQUIS!$C$143,IF(CROQUIS!$C$104=1,CROQUIS!$C$97+12,CROQUIS!$C$97-2),CROQUIS!$C$97-CROQUIS!$C$107/2-CROQUIS!$C$143,CROQUIS!$C$97)))*CROQUIS!$C$159)+IF(CROQUIS!$C$92="X",0.8,0)),-1000)</f>
        <v>-1000</v>
      </c>
      <c r="BV2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HOOSE(IF(INT(($A250-1)/5)&gt;MAX((MAX(1,INT(((CROQUIS!$C$97)-CROQUIS!$C$107)/MAX((CROQUIS!$C$141*MAX(1,CEILING((INT(((CROQUIS!$C$97)-CROQUIS!$C$107)/MAX(CROQUIS!$C$141,1))+1)/80,1))),1))+1))-1,0),0,MOD($A250-1,5))+1,0,IF(CROQUIS!$C$105=1,-12,2),CROQUIS!$C$107/2+CROQUIS!$C$144,IF(CROQUIS!$C$105=1,-12,2),0)))*CROQUIS!$C$159)+IF(CROQUIS!$C$92="X",0.8,0)),-1000)</f>
        <v>-1000</v>
      </c>
      <c r="BW250">
        <f>IF(AND(CROQUIS!$C$88=1,CROQUIS!$C$91=0,CROQUIS!$C$141&gt;0,OR(CROQUIS!$C$105=1,CROQUIS!$C$146=1)),((CROQUIS!$C$161+(IF(CROQUIS!$C$92="X",CHOOSE(IF(INT(($A250-1)/5)&gt;MAX((MAX(1,INT(((CROQUIS!$C$97)-CROQUIS!$C$107)/MAX((CROQUIS!$C$141*MAX(1,CEILING((INT(((CROQUIS!$C$97)-CROQUIS!$C$107)/MAX(CROQUIS!$C$141,1))+1)/80,1))),1))+1))-1,0),0,MOD($A250-1,5))+1,0,IF(CROQUIS!$C$105=1,-12,2),CROQUIS!$C$107/2+CROQUIS!$C$144,IF(CROQUIS!$C$105=1,-12,2),0),((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ROQUIS!$C$159)+IF(CROQUIS!$C$92="X",0,0.8)),-1000)</f>
        <v>-1000</v>
      </c>
      <c r="BX2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HOOSE(IF(INT(($A250-1)/5)&gt;MAX((MAX(1,INT(((CROQUIS!$C$97)-CROQUIS!$C$107)/MAX((CROQUIS!$C$141*MAX(1,CEILING((INT(((CROQUIS!$C$97)-CROQUIS!$C$107)/MAX(CROQUIS!$C$141,1))+1)/80,1))),1))+1))-1,0),0,MOD($A250-1,5))+1,CROQUIS!$C$98,CROQUIS!$C$98-CROQUIS!$C$107/2-CROQUIS!$C$144,IF(CROQUIS!$C$106=1,CROQUIS!$C$98+12,CROQUIS!$C$98-2),CROQUIS!$C$98-CROQUIS!$C$107/2-CROQUIS!$C$144,CROQUIS!$C$98)))*CROQUIS!$C$159)+IF(CROQUIS!$C$92="X",0.8,0)),-1000)</f>
        <v>-1000</v>
      </c>
      <c r="BY250">
        <f>IF(AND(CROQUIS!$C$88=1,CROQUIS!$C$91=0,CROQUIS!$C$141&gt;0,OR(CROQUIS!$C$106=1,CROQUIS!$C$146=1)),((CROQUIS!$C$161+(IF(CROQUIS!$C$92="X",CHOOSE(IF(INT(($A250-1)/5)&gt;MAX((MAX(1,INT(((CROQUIS!$C$97)-CROQUIS!$C$107)/MAX((CROQUIS!$C$141*MAX(1,CEILING((INT(((CROQUIS!$C$97)-CROQUIS!$C$107)/MAX(CROQUIS!$C$141,1))+1)/80,1))),1))+1))-1,0),0,MOD($A250-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ROQUIS!$C$159)+IF(CROQUIS!$C$92="X",0,0.8)),-1000)</f>
        <v>-1000</v>
      </c>
      <c r="BZ250">
        <f>IF(AND(CROQUIS!$C$88=1,CROQUIS!$C$91=1,CROQUIS!$C$133&gt;0),((CROQUIS!$C$160+(IF(CROQUIS!$C$92="X",CHOOSE(IF(INT(($A250-1)/5)&gt;MAX((MAX(1,INT(((CROQUIS!$C$98)-CROQUIS!$C$107)/MAX((CROQUIS!$C$133*MAX(1,CEILING((INT(((CROQUIS!$C$98)-CROQUIS!$C$107)/MAX(CROQUIS!$C$133,1))+1)/80,1))),1))+1))-1,0),0,MOD($A250-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CA250">
        <f>IF(AND(CROQUIS!$C$88=1,CROQUIS!$C$91=1,CROQUIS!$C$133&gt;0),((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1">
      <c r="A251" t="n">
        <v>244</v>
      </c>
      <c r="BN251">
        <f>IF(AND(CROQUIS!$C$88=1,CROQUIS!$C$129&gt;0),((CROQUIS!$C$160+(IF(CROQUIS!$C$92="X",CHOOSE(IF(INT(($A251-1)/5)&gt;MAX((MAX(1,INT(((CROQUIS!$C$98)-CROQUIS!$C$107)/MAX((CROQUIS!$C$129*MAX(1,CEILING((INT(((CROQUIS!$C$98)-CROQUIS!$C$107)/MAX(CROQUIS!$C$129,1))+1)/80,1))),1))+1))-1,0),0,MOD($A251-1,5))+1,0,2,CROQUIS!$C$97-2,2,0),((CROQUIS!$C$107/2+(((CROQUIS!$C$98)-CROQUIS!$C$107)-(MAX(1,INT(((CROQUIS!$C$98)-CROQUIS!$C$107)/MAX((CROQUIS!$C$129*MAX(1,CEILING((INT(((CROQUIS!$C$98)-CROQUIS!$C$107)/MAX(CROQUIS!$C$129,1))+1)/80,1))),1))+1)-1)*(CROQUIS!$C$129*MAX(1,CEILING((INT(((CROQUIS!$C$98)-CROQUIS!$C$107)/MAX(CROQUIS!$C$129,1))+1)/80,1))))/2)+MIN(INT(($A251-1)/5),MAX((MAX(1,INT(((CROQUIS!$C$98)-CROQUIS!$C$107)/MAX((CROQUIS!$C$129*MAX(1,CEILING((INT(((CROQUIS!$C$98)-CROQUIS!$C$107)/MAX(CROQUIS!$C$129,1))+1)/80,1))),1))+1))-1,0))*(CROQUIS!$C$129*MAX(1,CEILING((INT(((CROQUIS!$C$98)-CROQUIS!$C$107)/MAX(CROQUIS!$C$129,1))+1)/80,1))))))*CROQUIS!$C$159)+IF(CROQUIS!$C$92="X",0,0)),-1000)</f>
        <v>-1000</v>
      </c>
      <c r="BO251">
        <f>IF(AND(CROQUIS!$C$88=1,CROQUIS!$C$129&gt;0),((CROQUIS!$C$161+(IF(CROQUIS!$C$92="X",((CROQUIS!$C$107/2+(((CROQUIS!$C$98)-CROQUIS!$C$107)-(MAX(1,INT(((CROQUIS!$C$98)-CROQUIS!$C$107)/MAX((CROQUIS!$C$129*MAX(1,CEILING((INT(((CROQUIS!$C$98)-CROQUIS!$C$107)/MAX(CROQUIS!$C$129,1))+1)/80,1))),1))+1)-1)*(CROQUIS!$C$129*MAX(1,CEILING((INT(((CROQUIS!$C$98)-CROQUIS!$C$107)/MAX(CROQUIS!$C$129,1))+1)/80,1))))/2)+MIN(INT(($A251-1)/5),MAX((MAX(1,INT(((CROQUIS!$C$98)-CROQUIS!$C$107)/MAX((CROQUIS!$C$129*MAX(1,CEILING((INT(((CROQUIS!$C$98)-CROQUIS!$C$107)/MAX(CROQUIS!$C$129,1))+1)/80,1))),1))+1))-1,0))*(CROQUIS!$C$129*MAX(1,CEILING((INT(((CROQUIS!$C$98)-CROQUIS!$C$107)/MAX(CROQUIS!$C$129,1))+1)/80,1)))),CHOOSE(IF(INT(($A251-1)/5)&gt;MAX((MAX(1,INT(((CROQUIS!$C$98)-CROQUIS!$C$107)/MAX((CROQUIS!$C$129*MAX(1,CEILING((INT(((CROQUIS!$C$98)-CROQUIS!$C$107)/MAX(CROQUIS!$C$129,1))+1)/80,1))),1))+1))-1,0),0,MOD($A251-1,5))+1,0,2,CROQUIS!$C$97-2,2,0)))*CROQUIS!$C$159)+IF(CROQUIS!$C$92="X",0,0)),-1000)</f>
        <v>-1000</v>
      </c>
      <c r="BP251">
        <f>IF(AND(CROQUIS!$C$88=1,CROQUIS!$C$137&gt;0),((CROQUIS!$C$160+(IF(CROQUIS!$C$92="X",((CROQUIS!$C$107/2+(((CROQUIS!$C$97)-CROQUIS!$C$107)-(MAX(1,INT(((CROQUIS!$C$97)-CROQUIS!$C$107)/MAX((CROQUIS!$C$137*MAX(1,CEILING((INT(((CROQUIS!$C$97)-CROQUIS!$C$107)/MAX(CROQUIS!$C$137,1))+1)/80,1))),1))+1)-1)*(CROQUIS!$C$137*MAX(1,CEILING((INT(((CROQUIS!$C$97)-CROQUIS!$C$107)/MAX(CROQUIS!$C$137,1))+1)/80,1))))/2)+MIN(INT(($A251-1)/5),MAX((MAX(1,INT(((CROQUIS!$C$97)-CROQUIS!$C$107)/MAX((CROQUIS!$C$137*MAX(1,CEILING((INT(((CROQUIS!$C$97)-CROQUIS!$C$107)/MAX(CROQUIS!$C$137,1))+1)/80,1))),1))+1))-1,0))*(CROQUIS!$C$137*MAX(1,CEILING((INT(((CROQUIS!$C$97)-CROQUIS!$C$107)/MAX(CROQUIS!$C$137,1))+1)/80,1)))),CHOOSE(IF(INT(($A251-1)/5)&gt;MAX((MAX(1,INT(((CROQUIS!$C$97)-CROQUIS!$C$107)/MAX((CROQUIS!$C$137*MAX(1,CEILING((INT(((CROQUIS!$C$97)-CROQUIS!$C$107)/MAX(CROQUIS!$C$137,1))+1)/80,1))),1))+1))-1,0),0,MOD($A251-1,5))+1,0,2,CROQUIS!$C$98-2,2,0)))*CROQUIS!$C$159)+IF(CROQUIS!$C$92="X",0,0)),-1000)</f>
        <v>-1000</v>
      </c>
      <c r="BQ251">
        <f>IF(AND(CROQUIS!$C$88=1,CROQUIS!$C$137&gt;0),((CROQUIS!$C$161+(IF(CROQUIS!$C$92="X",CHOOSE(IF(INT(($A251-1)/5)&gt;MAX((MAX(1,INT(((CROQUIS!$C$97)-CROQUIS!$C$107)/MAX((CROQUIS!$C$137*MAX(1,CEILING((INT(((CROQUIS!$C$97)-CROQUIS!$C$107)/MAX(CROQUIS!$C$137,1))+1)/80,1))),1))+1))-1,0),0,MOD($A251-1,5))+1,0,2,CROQUIS!$C$98-2,2,0),((CROQUIS!$C$107/2+(((CROQUIS!$C$97)-CROQUIS!$C$107)-(MAX(1,INT(((CROQUIS!$C$97)-CROQUIS!$C$107)/MAX((CROQUIS!$C$137*MAX(1,CEILING((INT(((CROQUIS!$C$97)-CROQUIS!$C$107)/MAX(CROQUIS!$C$137,1))+1)/80,1))),1))+1)-1)*(CROQUIS!$C$137*MAX(1,CEILING((INT(((CROQUIS!$C$97)-CROQUIS!$C$107)/MAX(CROQUIS!$C$137,1))+1)/80,1))))/2)+MIN(INT(($A251-1)/5),MAX((MAX(1,INT(((CROQUIS!$C$97)-CROQUIS!$C$107)/MAX((CROQUIS!$C$137*MAX(1,CEILING((INT(((CROQUIS!$C$97)-CROQUIS!$C$107)/MAX(CROQUIS!$C$137,1))+1)/80,1))),1))+1))-1,0))*(CROQUIS!$C$137*MAX(1,CEILING((INT(((CROQUIS!$C$97)-CROQUIS!$C$107)/MAX(CROQUIS!$C$137,1))+1)/80,1))))))*CROQUIS!$C$159)+IF(CROQUIS!$C$92="X",0,0)),-1000)</f>
        <v>-1000</v>
      </c>
      <c r="BR251">
        <f>IF(AND(CROQUIS!$C$88=1,CROQUIS!$C$91=0,CROQUIS!$C$133&gt;0,OR(CROQUIS!$C$103=1,CROQUIS!$C$145=1)),((CROQUIS!$C$160+(IF(CROQUIS!$C$92="X",CHOOSE(IF(INT(($A251-1)/5)&gt;MAX((MAX(1,INT(((CROQUIS!$C$98)-CROQUIS!$C$107)/MAX((CROQUIS!$C$133*MAX(1,CEILING((INT(((CROQUIS!$C$98)-CROQUIS!$C$107)/MAX(CROQUIS!$C$133,1))+1)/80,1))),1))+1))-1,0),0,MOD($A251-1,5))+1,0,IF(CROQUIS!$C$103=1,-12,2),CROQUIS!$C$107/2+CROQUIS!$C$143,IF(CROQUIS!$C$103=1,-12,2),0),((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BS2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+1,0,IF(CROQUIS!$C$103=1,-12,2),CROQUIS!$C$107/2+CROQUIS!$C$143,IF(CROQUIS!$C$103=1,-12,2),0)))*CROQUIS!$C$159)+IF(CROQUIS!$C$92="X",0.8,0)),-1000)</f>
        <v>-1000</v>
      </c>
      <c r="BT251">
        <f>IF(AND(CROQUIS!$C$88=1,CROQUIS!$C$91=0,CROQUIS!$C$133&gt;0,OR(CROQUIS!$C$104=1,CROQUIS!$C$145=1)),((CROQUIS!$C$160+(IF(CROQUIS!$C$92="X",CHOOSE(IF(INT(($A251-1)/5)&gt;MAX((MAX(1,INT(((CROQUIS!$C$98)-CROQUIS!$C$107)/MAX((CROQUIS!$C$133*MAX(1,CEILING((INT(((CROQUIS!$C$98)-CROQUIS!$C$107)/MAX(CROQUIS!$C$133,1))+1)/80,1))),1))+1))-1,0),0,MOD($A251-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BU2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CROQUIS!$C$97,CROQUIS!$C$97-CROQUIS!$C$107/2-CROQUIS!$C$143,IF(CROQUIS!$C$104=1,CROQUIS!$C$97+12,CROQUIS!$C$97-2),CROQUIS!$C$97-CROQUIS!$C$107/2-CROQUIS!$C$143,CROQUIS!$C$97)))*CROQUIS!$C$159)+IF(CROQUIS!$C$92="X",0.8,0)),-1000)</f>
        <v>-1000</v>
      </c>
      <c r="BV2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HOOSE(IF(INT(($A251-1)/5)&gt;MAX((MAX(1,INT(((CROQUIS!$C$97)-CROQUIS!$C$107)/MAX((CROQUIS!$C$141*MAX(1,CEILING((INT(((CROQUIS!$C$97)-CROQUIS!$C$107)/MAX(CROQUIS!$C$141,1))+1)/80,1))),1))+1))-1,0),0,MOD($A251-1,5))+1,0,IF(CROQUIS!$C$105=1,-12,2),CROQUIS!$C$107/2+CROQUIS!$C$144,IF(CROQUIS!$C$105=1,-12,2),0)))*CROQUIS!$C$159)+IF(CROQUIS!$C$92="X",0.8,0)),-1000)</f>
        <v>-1000</v>
      </c>
      <c r="BW251">
        <f>IF(AND(CROQUIS!$C$88=1,CROQUIS!$C$91=0,CROQUIS!$C$141&gt;0,OR(CROQUIS!$C$105=1,CROQUIS!$C$146=1)),((CROQUIS!$C$161+(IF(CROQUIS!$C$92="X",CHOOSE(IF(INT(($A251-1)/5)&gt;MAX((MAX(1,INT(((CROQUIS!$C$97)-CROQUIS!$C$107)/MAX((CROQUIS!$C$141*MAX(1,CEILING((INT(((CROQUIS!$C$97)-CROQUIS!$C$107)/MAX(CROQUIS!$C$141,1))+1)/80,1))),1))+1))-1,0),0,MOD($A251-1,5))+1,0,IF(CROQUIS!$C$105=1,-12,2),CROQUIS!$C$107/2+CROQUIS!$C$144,IF(CROQUIS!$C$105=1,-12,2),0),((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ROQUIS!$C$159)+IF(CROQUIS!$C$92="X",0,0.8)),-1000)</f>
        <v>-1000</v>
      </c>
      <c r="BX2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HOOSE(IF(INT(($A251-1)/5)&gt;MAX((MAX(1,INT(((CROQUIS!$C$97)-CROQUIS!$C$107)/MAX((CROQUIS!$C$141*MAX(1,CEILING((INT(((CROQUIS!$C$97)-CROQUIS!$C$107)/MAX(CROQUIS!$C$141,1))+1)/80,1))),1))+1))-1,0),0,MOD($A251-1,5))+1,CROQUIS!$C$98,CROQUIS!$C$98-CROQUIS!$C$107/2-CROQUIS!$C$144,IF(CROQUIS!$C$106=1,CROQUIS!$C$98+12,CROQUIS!$C$98-2),CROQUIS!$C$98-CROQUIS!$C$107/2-CROQUIS!$C$144,CROQUIS!$C$98)))*CROQUIS!$C$159)+IF(CROQUIS!$C$92="X",0.8,0)),-1000)</f>
        <v>-1000</v>
      </c>
      <c r="BY251">
        <f>IF(AND(CROQUIS!$C$88=1,CROQUIS!$C$91=0,CROQUIS!$C$141&gt;0,OR(CROQUIS!$C$106=1,CROQUIS!$C$146=1)),((CROQUIS!$C$161+(IF(CROQUIS!$C$92="X",CHOOSE(IF(INT(($A251-1)/5)&gt;MAX((MAX(1,INT(((CROQUIS!$C$97)-CROQUIS!$C$107)/MAX((CROQUIS!$C$141*MAX(1,CEILING((INT(((CROQUIS!$C$97)-CROQUIS!$C$107)/MAX(CROQUIS!$C$141,1))+1)/80,1))),1))+1))-1,0),0,MOD($A251-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ROQUIS!$C$159)+IF(CROQUIS!$C$92="X",0,0.8)),-1000)</f>
        <v>-1000</v>
      </c>
      <c r="BZ251">
        <f>IF(AND(CROQUIS!$C$88=1,CROQUIS!$C$91=1,CROQUIS!$C$133&gt;0),((CROQUIS!$C$160+(IF(CROQUIS!$C$92="X",CHOOSE(IF(INT(($A251-1)/5)&gt;MAX((MAX(1,INT(((CROQUIS!$C$98)-CROQUIS!$C$107)/MAX((CROQUIS!$C$133*MAX(1,CEILING((INT(((CROQUIS!$C$98)-CROQUIS!$C$107)/MAX(CROQUIS!$C$133,1))+1)/80,1))),1))+1))-1,0),0,MOD($A251-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CA251">
        <f>IF(AND(CROQUIS!$C$88=1,CROQUIS!$C$91=1,CROQUIS!$C$133&gt;0),((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2">
      <c r="A252" t="n">
        <v>245</v>
      </c>
      <c r="BN252">
        <f>IF(AND(CROQUIS!$C$88=1,CROQUIS!$C$129&gt;0),((CROQUIS!$C$160+(IF(CROQUIS!$C$92="X",CHOOSE(IF(INT(($A252-1)/5)&gt;MAX((MAX(1,INT(((CROQUIS!$C$98)-CROQUIS!$C$107)/MAX((CROQUIS!$C$129*MAX(1,CEILING((INT(((CROQUIS!$C$98)-CROQUIS!$C$107)/MAX(CROQUIS!$C$129,1))+1)/80,1))),1))+1))-1,0),0,MOD($A252-1,5))+1,0,2,CROQUIS!$C$97-2,2,0),((CROQUIS!$C$107/2+(((CROQUIS!$C$98)-CROQUIS!$C$107)-(MAX(1,INT(((CROQUIS!$C$98)-CROQUIS!$C$107)/MAX((CROQUIS!$C$129*MAX(1,CEILING((INT(((CROQUIS!$C$98)-CROQUIS!$C$107)/MAX(CROQUIS!$C$129,1))+1)/80,1))),1))+1)-1)*(CROQUIS!$C$129*MAX(1,CEILING((INT(((CROQUIS!$C$98)-CROQUIS!$C$107)/MAX(CROQUIS!$C$129,1))+1)/80,1))))/2)+MIN(INT(($A252-1)/5),MAX((MAX(1,INT(((CROQUIS!$C$98)-CROQUIS!$C$107)/MAX((CROQUIS!$C$129*MAX(1,CEILING((INT(((CROQUIS!$C$98)-CROQUIS!$C$107)/MAX(CROQUIS!$C$129,1))+1)/80,1))),1))+1))-1,0))*(CROQUIS!$C$129*MAX(1,CEILING((INT(((CROQUIS!$C$98)-CROQUIS!$C$107)/MAX(CROQUIS!$C$129,1))+1)/80,1))))))*CROQUIS!$C$159)+IF(CROQUIS!$C$92="X",0,0)),-1000)</f>
        <v>-1000</v>
      </c>
      <c r="BO252">
        <f>IF(AND(CROQUIS!$C$88=1,CROQUIS!$C$129&gt;0),((CROQUIS!$C$161+(IF(CROQUIS!$C$92="X",((CROQUIS!$C$107/2+(((CROQUIS!$C$98)-CROQUIS!$C$107)-(MAX(1,INT(((CROQUIS!$C$98)-CROQUIS!$C$107)/MAX((CROQUIS!$C$129*MAX(1,CEILING((INT(((CROQUIS!$C$98)-CROQUIS!$C$107)/MAX(CROQUIS!$C$129,1))+1)/80,1))),1))+1)-1)*(CROQUIS!$C$129*MAX(1,CEILING((INT(((CROQUIS!$C$98)-CROQUIS!$C$107)/MAX(CROQUIS!$C$129,1))+1)/80,1))))/2)+MIN(INT(($A252-1)/5),MAX((MAX(1,INT(((CROQUIS!$C$98)-CROQUIS!$C$107)/MAX((CROQUIS!$C$129*MAX(1,CEILING((INT(((CROQUIS!$C$98)-CROQUIS!$C$107)/MAX(CROQUIS!$C$129,1))+1)/80,1))),1))+1))-1,0))*(CROQUIS!$C$129*MAX(1,CEILING((INT(((CROQUIS!$C$98)-CROQUIS!$C$107)/MAX(CROQUIS!$C$129,1))+1)/80,1)))),CHOOSE(IF(INT(($A252-1)/5)&gt;MAX((MAX(1,INT(((CROQUIS!$C$98)-CROQUIS!$C$107)/MAX((CROQUIS!$C$129*MAX(1,CEILING((INT(((CROQUIS!$C$98)-CROQUIS!$C$107)/MAX(CROQUIS!$C$129,1))+1)/80,1))),1))+1))-1,0),0,MOD($A252-1,5))+1,0,2,CROQUIS!$C$97-2,2,0)))*CROQUIS!$C$159)+IF(CROQUIS!$C$92="X",0,0)),-1000)</f>
        <v>-1000</v>
      </c>
      <c r="BP252">
        <f>IF(AND(CROQUIS!$C$88=1,CROQUIS!$C$137&gt;0),((CROQUIS!$C$160+(IF(CROQUIS!$C$92="X",((CROQUIS!$C$107/2+(((CROQUIS!$C$97)-CROQUIS!$C$107)-(MAX(1,INT(((CROQUIS!$C$97)-CROQUIS!$C$107)/MAX((CROQUIS!$C$137*MAX(1,CEILING((INT(((CROQUIS!$C$97)-CROQUIS!$C$107)/MAX(CROQUIS!$C$137,1))+1)/80,1))),1))+1)-1)*(CROQUIS!$C$137*MAX(1,CEILING((INT(((CROQUIS!$C$97)-CROQUIS!$C$107)/MAX(CROQUIS!$C$137,1))+1)/80,1))))/2)+MIN(INT(($A252-1)/5),MAX((MAX(1,INT(((CROQUIS!$C$97)-CROQUIS!$C$107)/MAX((CROQUIS!$C$137*MAX(1,CEILING((INT(((CROQUIS!$C$97)-CROQUIS!$C$107)/MAX(CROQUIS!$C$137,1))+1)/80,1))),1))+1))-1,0))*(CROQUIS!$C$137*MAX(1,CEILING((INT(((CROQUIS!$C$97)-CROQUIS!$C$107)/MAX(CROQUIS!$C$137,1))+1)/80,1)))),CHOOSE(IF(INT(($A252-1)/5)&gt;MAX((MAX(1,INT(((CROQUIS!$C$97)-CROQUIS!$C$107)/MAX((CROQUIS!$C$137*MAX(1,CEILING((INT(((CROQUIS!$C$97)-CROQUIS!$C$107)/MAX(CROQUIS!$C$137,1))+1)/80,1))),1))+1))-1,0),0,MOD($A252-1,5))+1,0,2,CROQUIS!$C$98-2,2,0)))*CROQUIS!$C$159)+IF(CROQUIS!$C$92="X",0,0)),-1000)</f>
        <v>-1000</v>
      </c>
      <c r="BQ252">
        <f>IF(AND(CROQUIS!$C$88=1,CROQUIS!$C$137&gt;0),((CROQUIS!$C$161+(IF(CROQUIS!$C$92="X",CHOOSE(IF(INT(($A252-1)/5)&gt;MAX((MAX(1,INT(((CROQUIS!$C$97)-CROQUIS!$C$107)/MAX((CROQUIS!$C$137*MAX(1,CEILING((INT(((CROQUIS!$C$97)-CROQUIS!$C$107)/MAX(CROQUIS!$C$137,1))+1)/80,1))),1))+1))-1,0),0,MOD($A252-1,5))+1,0,2,CROQUIS!$C$98-2,2,0),((CROQUIS!$C$107/2+(((CROQUIS!$C$97)-CROQUIS!$C$107)-(MAX(1,INT(((CROQUIS!$C$97)-CROQUIS!$C$107)/MAX((CROQUIS!$C$137*MAX(1,CEILING((INT(((CROQUIS!$C$97)-CROQUIS!$C$107)/MAX(CROQUIS!$C$137,1))+1)/80,1))),1))+1)-1)*(CROQUIS!$C$137*MAX(1,CEILING((INT(((CROQUIS!$C$97)-CROQUIS!$C$107)/MAX(CROQUIS!$C$137,1))+1)/80,1))))/2)+MIN(INT(($A252-1)/5),MAX((MAX(1,INT(((CROQUIS!$C$97)-CROQUIS!$C$107)/MAX((CROQUIS!$C$137*MAX(1,CEILING((INT(((CROQUIS!$C$97)-CROQUIS!$C$107)/MAX(CROQUIS!$C$137,1))+1)/80,1))),1))+1))-1,0))*(CROQUIS!$C$137*MAX(1,CEILING((INT(((CROQUIS!$C$97)-CROQUIS!$C$107)/MAX(CROQUIS!$C$137,1))+1)/80,1))))))*CROQUIS!$C$159)+IF(CROQUIS!$C$92="X",0,0)),-1000)</f>
        <v>-1000</v>
      </c>
      <c r="BR252">
        <f>IF(AND(CROQUIS!$C$88=1,CROQUIS!$C$91=0,CROQUIS!$C$133&gt;0,OR(CROQUIS!$C$103=1,CROQUIS!$C$145=1)),((CROQUIS!$C$160+(IF(CROQUIS!$C$92="X",CHOOSE(IF(INT(($A252-1)/5)&gt;MAX((MAX(1,INT(((CROQUIS!$C$98)-CROQUIS!$C$107)/MAX((CROQUIS!$C$133*MAX(1,CEILING((INT(((CROQUIS!$C$98)-CROQUIS!$C$107)/MAX(CROQUIS!$C$133,1))+1)/80,1))),1))+1))-1,0),0,MOD($A252-1,5))+1,0,IF(CROQUIS!$C$103=1,-12,2),CROQUIS!$C$107/2+CROQUIS!$C$143,IF(CROQUIS!$C$103=1,-12,2),0),((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BS2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+1,0,IF(CROQUIS!$C$103=1,-12,2),CROQUIS!$C$107/2+CROQUIS!$C$143,IF(CROQUIS!$C$103=1,-12,2),0)))*CROQUIS!$C$159)+IF(CROQUIS!$C$92="X",0.8,0)),-1000)</f>
        <v>-1000</v>
      </c>
      <c r="BT252">
        <f>IF(AND(CROQUIS!$C$88=1,CROQUIS!$C$91=0,CROQUIS!$C$133&gt;0,OR(CROQUIS!$C$104=1,CROQUIS!$C$145=1)),((CROQUIS!$C$160+(IF(CROQUIS!$C$92="X",CHOOSE(IF(INT(($A252-1)/5)&gt;MAX((MAX(1,INT(((CROQUIS!$C$98)-CROQUIS!$C$107)/MAX((CROQUIS!$C$133*MAX(1,CEILING((INT(((CROQUIS!$C$98)-CROQUIS!$C$107)/MAX(CROQUIS!$C$133,1))+1)/80,1))),1))+1))-1,0),0,MOD($A252-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BU2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CROQUIS!$C$97,CROQUIS!$C$97-CROQUIS!$C$107/2-CROQUIS!$C$143,IF(CROQUIS!$C$104=1,CROQUIS!$C$97+12,CROQUIS!$C$97-2),CROQUIS!$C$97-CROQUIS!$C$107/2-CROQUIS!$C$143,CROQUIS!$C$97)))*CROQUIS!$C$159)+IF(CROQUIS!$C$92="X",0.8,0)),-1000)</f>
        <v>-1000</v>
      </c>
      <c r="BV2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HOOSE(IF(INT(($A252-1)/5)&gt;MAX((MAX(1,INT(((CROQUIS!$C$97)-CROQUIS!$C$107)/MAX((CROQUIS!$C$141*MAX(1,CEILING((INT(((CROQUIS!$C$97)-CROQUIS!$C$107)/MAX(CROQUIS!$C$141,1))+1)/80,1))),1))+1))-1,0),0,MOD($A252-1,5))+1,0,IF(CROQUIS!$C$105=1,-12,2),CROQUIS!$C$107/2+CROQUIS!$C$144,IF(CROQUIS!$C$105=1,-12,2),0)))*CROQUIS!$C$159)+IF(CROQUIS!$C$92="X",0.8,0)),-1000)</f>
        <v>-1000</v>
      </c>
      <c r="BW252">
        <f>IF(AND(CROQUIS!$C$88=1,CROQUIS!$C$91=0,CROQUIS!$C$141&gt;0,OR(CROQUIS!$C$105=1,CROQUIS!$C$146=1)),((CROQUIS!$C$161+(IF(CROQUIS!$C$92="X",CHOOSE(IF(INT(($A252-1)/5)&gt;MAX((MAX(1,INT(((CROQUIS!$C$97)-CROQUIS!$C$107)/MAX((CROQUIS!$C$141*MAX(1,CEILING((INT(((CROQUIS!$C$97)-CROQUIS!$C$107)/MAX(CROQUIS!$C$141,1))+1)/80,1))),1))+1))-1,0),0,MOD($A252-1,5))+1,0,IF(CROQUIS!$C$105=1,-12,2),CROQUIS!$C$107/2+CROQUIS!$C$144,IF(CROQUIS!$C$105=1,-12,2),0),((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ROQUIS!$C$159)+IF(CROQUIS!$C$92="X",0,0.8)),-1000)</f>
        <v>-1000</v>
      </c>
      <c r="BX2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HOOSE(IF(INT(($A252-1)/5)&gt;MAX((MAX(1,INT(((CROQUIS!$C$97)-CROQUIS!$C$107)/MAX((CROQUIS!$C$141*MAX(1,CEILING((INT(((CROQUIS!$C$97)-CROQUIS!$C$107)/MAX(CROQUIS!$C$141,1))+1)/80,1))),1))+1))-1,0),0,MOD($A252-1,5))+1,CROQUIS!$C$98,CROQUIS!$C$98-CROQUIS!$C$107/2-CROQUIS!$C$144,IF(CROQUIS!$C$106=1,CROQUIS!$C$98+12,CROQUIS!$C$98-2),CROQUIS!$C$98-CROQUIS!$C$107/2-CROQUIS!$C$144,CROQUIS!$C$98)))*CROQUIS!$C$159)+IF(CROQUIS!$C$92="X",0.8,0)),-1000)</f>
        <v>-1000</v>
      </c>
      <c r="BY252">
        <f>IF(AND(CROQUIS!$C$88=1,CROQUIS!$C$91=0,CROQUIS!$C$141&gt;0,OR(CROQUIS!$C$106=1,CROQUIS!$C$146=1)),((CROQUIS!$C$161+(IF(CROQUIS!$C$92="X",CHOOSE(IF(INT(($A252-1)/5)&gt;MAX((MAX(1,INT(((CROQUIS!$C$97)-CROQUIS!$C$107)/MAX((CROQUIS!$C$141*MAX(1,CEILING((INT(((CROQUIS!$C$97)-CROQUIS!$C$107)/MAX(CROQUIS!$C$141,1))+1)/80,1))),1))+1))-1,0),0,MOD($A252-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ROQUIS!$C$159)+IF(CROQUIS!$C$92="X",0,0.8)),-1000)</f>
        <v>-1000</v>
      </c>
      <c r="BZ252">
        <f>IF(AND(CROQUIS!$C$88=1,CROQUIS!$C$91=1,CROQUIS!$C$133&gt;0),((CROQUIS!$C$160+(IF(CROQUIS!$C$92="X",CHOOSE(IF(INT(($A252-1)/5)&gt;MAX((MAX(1,INT(((CROQUIS!$C$98)-CROQUIS!$C$107)/MAX((CROQUIS!$C$133*MAX(1,CEILING((INT(((CROQUIS!$C$98)-CROQUIS!$C$107)/MAX(CROQUIS!$C$133,1))+1)/80,1))),1))+1))-1,0),0,MOD($A252-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CA252">
        <f>IF(AND(CROQUIS!$C$88=1,CROQUIS!$C$91=1,CROQUIS!$C$133&gt;0),((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3">
      <c r="A253" t="n">
        <v>246</v>
      </c>
      <c r="BN253">
        <f>IF(AND(CROQUIS!$C$88=1,CROQUIS!$C$129&gt;0),((CROQUIS!$C$160+(IF(CROQUIS!$C$92="X",CHOOSE(IF(INT(($A253-1)/5)&gt;MAX((MAX(1,INT(((CROQUIS!$C$98)-CROQUIS!$C$107)/MAX((CROQUIS!$C$129*MAX(1,CEILING((INT(((CROQUIS!$C$98)-CROQUIS!$C$107)/MAX(CROQUIS!$C$129,1))+1)/80,1))),1))+1))-1,0),0,MOD($A253-1,5))+1,0,2,CROQUIS!$C$97-2,2,0),((CROQUIS!$C$107/2+(((CROQUIS!$C$98)-CROQUIS!$C$107)-(MAX(1,INT(((CROQUIS!$C$98)-CROQUIS!$C$107)/MAX((CROQUIS!$C$129*MAX(1,CEILING((INT(((CROQUIS!$C$98)-CROQUIS!$C$107)/MAX(CROQUIS!$C$129,1))+1)/80,1))),1))+1)-1)*(CROQUIS!$C$129*MAX(1,CEILING((INT(((CROQUIS!$C$98)-CROQUIS!$C$107)/MAX(CROQUIS!$C$129,1))+1)/80,1))))/2)+MIN(INT(($A253-1)/5),MAX((MAX(1,INT(((CROQUIS!$C$98)-CROQUIS!$C$107)/MAX((CROQUIS!$C$129*MAX(1,CEILING((INT(((CROQUIS!$C$98)-CROQUIS!$C$107)/MAX(CROQUIS!$C$129,1))+1)/80,1))),1))+1))-1,0))*(CROQUIS!$C$129*MAX(1,CEILING((INT(((CROQUIS!$C$98)-CROQUIS!$C$107)/MAX(CROQUIS!$C$129,1))+1)/80,1))))))*CROQUIS!$C$159)+IF(CROQUIS!$C$92="X",0,0)),-1000)</f>
        <v>-1000</v>
      </c>
      <c r="BO253">
        <f>IF(AND(CROQUIS!$C$88=1,CROQUIS!$C$129&gt;0),((CROQUIS!$C$161+(IF(CROQUIS!$C$92="X",((CROQUIS!$C$107/2+(((CROQUIS!$C$98)-CROQUIS!$C$107)-(MAX(1,INT(((CROQUIS!$C$98)-CROQUIS!$C$107)/MAX((CROQUIS!$C$129*MAX(1,CEILING((INT(((CROQUIS!$C$98)-CROQUIS!$C$107)/MAX(CROQUIS!$C$129,1))+1)/80,1))),1))+1)-1)*(CROQUIS!$C$129*MAX(1,CEILING((INT(((CROQUIS!$C$98)-CROQUIS!$C$107)/MAX(CROQUIS!$C$129,1))+1)/80,1))))/2)+MIN(INT(($A253-1)/5),MAX((MAX(1,INT(((CROQUIS!$C$98)-CROQUIS!$C$107)/MAX((CROQUIS!$C$129*MAX(1,CEILING((INT(((CROQUIS!$C$98)-CROQUIS!$C$107)/MAX(CROQUIS!$C$129,1))+1)/80,1))),1))+1))-1,0))*(CROQUIS!$C$129*MAX(1,CEILING((INT(((CROQUIS!$C$98)-CROQUIS!$C$107)/MAX(CROQUIS!$C$129,1))+1)/80,1)))),CHOOSE(IF(INT(($A253-1)/5)&gt;MAX((MAX(1,INT(((CROQUIS!$C$98)-CROQUIS!$C$107)/MAX((CROQUIS!$C$129*MAX(1,CEILING((INT(((CROQUIS!$C$98)-CROQUIS!$C$107)/MAX(CROQUIS!$C$129,1))+1)/80,1))),1))+1))-1,0),0,MOD($A253-1,5))+1,0,2,CROQUIS!$C$97-2,2,0)))*CROQUIS!$C$159)+IF(CROQUIS!$C$92="X",0,0)),-1000)</f>
        <v>-1000</v>
      </c>
      <c r="BP253">
        <f>IF(AND(CROQUIS!$C$88=1,CROQUIS!$C$137&gt;0),((CROQUIS!$C$160+(IF(CROQUIS!$C$92="X",((CROQUIS!$C$107/2+(((CROQUIS!$C$97)-CROQUIS!$C$107)-(MAX(1,INT(((CROQUIS!$C$97)-CROQUIS!$C$107)/MAX((CROQUIS!$C$137*MAX(1,CEILING((INT(((CROQUIS!$C$97)-CROQUIS!$C$107)/MAX(CROQUIS!$C$137,1))+1)/80,1))),1))+1)-1)*(CROQUIS!$C$137*MAX(1,CEILING((INT(((CROQUIS!$C$97)-CROQUIS!$C$107)/MAX(CROQUIS!$C$137,1))+1)/80,1))))/2)+MIN(INT(($A253-1)/5),MAX((MAX(1,INT(((CROQUIS!$C$97)-CROQUIS!$C$107)/MAX((CROQUIS!$C$137*MAX(1,CEILING((INT(((CROQUIS!$C$97)-CROQUIS!$C$107)/MAX(CROQUIS!$C$137,1))+1)/80,1))),1))+1))-1,0))*(CROQUIS!$C$137*MAX(1,CEILING((INT(((CROQUIS!$C$97)-CROQUIS!$C$107)/MAX(CROQUIS!$C$137,1))+1)/80,1)))),CHOOSE(IF(INT(($A253-1)/5)&gt;MAX((MAX(1,INT(((CROQUIS!$C$97)-CROQUIS!$C$107)/MAX((CROQUIS!$C$137*MAX(1,CEILING((INT(((CROQUIS!$C$97)-CROQUIS!$C$107)/MAX(CROQUIS!$C$137,1))+1)/80,1))),1))+1))-1,0),0,MOD($A253-1,5))+1,0,2,CROQUIS!$C$98-2,2,0)))*CROQUIS!$C$159)+IF(CROQUIS!$C$92="X",0,0)),-1000)</f>
        <v>-1000</v>
      </c>
      <c r="BQ253">
        <f>IF(AND(CROQUIS!$C$88=1,CROQUIS!$C$137&gt;0),((CROQUIS!$C$161+(IF(CROQUIS!$C$92="X",CHOOSE(IF(INT(($A253-1)/5)&gt;MAX((MAX(1,INT(((CROQUIS!$C$97)-CROQUIS!$C$107)/MAX((CROQUIS!$C$137*MAX(1,CEILING((INT(((CROQUIS!$C$97)-CROQUIS!$C$107)/MAX(CROQUIS!$C$137,1))+1)/80,1))),1))+1))-1,0),0,MOD($A253-1,5))+1,0,2,CROQUIS!$C$98-2,2,0),((CROQUIS!$C$107/2+(((CROQUIS!$C$97)-CROQUIS!$C$107)-(MAX(1,INT(((CROQUIS!$C$97)-CROQUIS!$C$107)/MAX((CROQUIS!$C$137*MAX(1,CEILING((INT(((CROQUIS!$C$97)-CROQUIS!$C$107)/MAX(CROQUIS!$C$137,1))+1)/80,1))),1))+1)-1)*(CROQUIS!$C$137*MAX(1,CEILING((INT(((CROQUIS!$C$97)-CROQUIS!$C$107)/MAX(CROQUIS!$C$137,1))+1)/80,1))))/2)+MIN(INT(($A253-1)/5),MAX((MAX(1,INT(((CROQUIS!$C$97)-CROQUIS!$C$107)/MAX((CROQUIS!$C$137*MAX(1,CEILING((INT(((CROQUIS!$C$97)-CROQUIS!$C$107)/MAX(CROQUIS!$C$137,1))+1)/80,1))),1))+1))-1,0))*(CROQUIS!$C$137*MAX(1,CEILING((INT(((CROQUIS!$C$97)-CROQUIS!$C$107)/MAX(CROQUIS!$C$137,1))+1)/80,1))))))*CROQUIS!$C$159)+IF(CROQUIS!$C$92="X",0,0)),-1000)</f>
        <v>-1000</v>
      </c>
      <c r="BR253">
        <f>IF(AND(CROQUIS!$C$88=1,CROQUIS!$C$91=0,CROQUIS!$C$133&gt;0,OR(CROQUIS!$C$103=1,CROQUIS!$C$145=1)),((CROQUIS!$C$160+(IF(CROQUIS!$C$92="X",CHOOSE(IF(INT(($A253-1)/5)&gt;MAX((MAX(1,INT(((CROQUIS!$C$98)-CROQUIS!$C$107)/MAX((CROQUIS!$C$133*MAX(1,CEILING((INT(((CROQUIS!$C$98)-CROQUIS!$C$107)/MAX(CROQUIS!$C$133,1))+1)/80,1))),1))+1))-1,0),0,MOD($A253-1,5))+1,0,IF(CROQUIS!$C$103=1,-12,2),CROQUIS!$C$107/2+CROQUIS!$C$143,IF(CROQUIS!$C$103=1,-12,2),0),((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BS2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+1,0,IF(CROQUIS!$C$103=1,-12,2),CROQUIS!$C$107/2+CROQUIS!$C$143,IF(CROQUIS!$C$103=1,-12,2),0)))*CROQUIS!$C$159)+IF(CROQUIS!$C$92="X",0.8,0)),-1000)</f>
        <v>-1000</v>
      </c>
      <c r="BT253">
        <f>IF(AND(CROQUIS!$C$88=1,CROQUIS!$C$91=0,CROQUIS!$C$133&gt;0,OR(CROQUIS!$C$104=1,CROQUIS!$C$145=1)),((CROQUIS!$C$160+(IF(CROQUIS!$C$92="X",CHOOSE(IF(INT(($A253-1)/5)&gt;MAX((MAX(1,INT(((CROQUIS!$C$98)-CROQUIS!$C$107)/MAX((CROQUIS!$C$133*MAX(1,CEILING((INT(((CROQUIS!$C$98)-CROQUIS!$C$107)/MAX(CROQUIS!$C$133,1))+1)/80,1))),1))+1))-1,0),0,MOD($A253-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BU2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CROQUIS!$C$97,CROQUIS!$C$97-CROQUIS!$C$107/2-CROQUIS!$C$143,IF(CROQUIS!$C$104=1,CROQUIS!$C$97+12,CROQUIS!$C$97-2),CROQUIS!$C$97-CROQUIS!$C$107/2-CROQUIS!$C$143,CROQUIS!$C$97)))*CROQUIS!$C$159)+IF(CROQUIS!$C$92="X",0.8,0)),-1000)</f>
        <v>-1000</v>
      </c>
      <c r="BV2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HOOSE(IF(INT(($A253-1)/5)&gt;MAX((MAX(1,INT(((CROQUIS!$C$97)-CROQUIS!$C$107)/MAX((CROQUIS!$C$141*MAX(1,CEILING((INT(((CROQUIS!$C$97)-CROQUIS!$C$107)/MAX(CROQUIS!$C$141,1))+1)/80,1))),1))+1))-1,0),0,MOD($A253-1,5))+1,0,IF(CROQUIS!$C$105=1,-12,2),CROQUIS!$C$107/2+CROQUIS!$C$144,IF(CROQUIS!$C$105=1,-12,2),0)))*CROQUIS!$C$159)+IF(CROQUIS!$C$92="X",0.8,0)),-1000)</f>
        <v>-1000</v>
      </c>
      <c r="BW253">
        <f>IF(AND(CROQUIS!$C$88=1,CROQUIS!$C$91=0,CROQUIS!$C$141&gt;0,OR(CROQUIS!$C$105=1,CROQUIS!$C$146=1)),((CROQUIS!$C$161+(IF(CROQUIS!$C$92="X",CHOOSE(IF(INT(($A253-1)/5)&gt;MAX((MAX(1,INT(((CROQUIS!$C$97)-CROQUIS!$C$107)/MAX((CROQUIS!$C$141*MAX(1,CEILING((INT(((CROQUIS!$C$97)-CROQUIS!$C$107)/MAX(CROQUIS!$C$141,1))+1)/80,1))),1))+1))-1,0),0,MOD($A253-1,5))+1,0,IF(CROQUIS!$C$105=1,-12,2),CROQUIS!$C$107/2+CROQUIS!$C$144,IF(CROQUIS!$C$105=1,-12,2),0),((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ROQUIS!$C$159)+IF(CROQUIS!$C$92="X",0,0.8)),-1000)</f>
        <v>-1000</v>
      </c>
      <c r="BX2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HOOSE(IF(INT(($A253-1)/5)&gt;MAX((MAX(1,INT(((CROQUIS!$C$97)-CROQUIS!$C$107)/MAX((CROQUIS!$C$141*MAX(1,CEILING((INT(((CROQUIS!$C$97)-CROQUIS!$C$107)/MAX(CROQUIS!$C$141,1))+1)/80,1))),1))+1))-1,0),0,MOD($A253-1,5))+1,CROQUIS!$C$98,CROQUIS!$C$98-CROQUIS!$C$107/2-CROQUIS!$C$144,IF(CROQUIS!$C$106=1,CROQUIS!$C$98+12,CROQUIS!$C$98-2),CROQUIS!$C$98-CROQUIS!$C$107/2-CROQUIS!$C$144,CROQUIS!$C$98)))*CROQUIS!$C$159)+IF(CROQUIS!$C$92="X",0.8,0)),-1000)</f>
        <v>-1000</v>
      </c>
      <c r="BY253">
        <f>IF(AND(CROQUIS!$C$88=1,CROQUIS!$C$91=0,CROQUIS!$C$141&gt;0,OR(CROQUIS!$C$106=1,CROQUIS!$C$146=1)),((CROQUIS!$C$161+(IF(CROQUIS!$C$92="X",CHOOSE(IF(INT(($A253-1)/5)&gt;MAX((MAX(1,INT(((CROQUIS!$C$97)-CROQUIS!$C$107)/MAX((CROQUIS!$C$141*MAX(1,CEILING((INT(((CROQUIS!$C$97)-CROQUIS!$C$107)/MAX(CROQUIS!$C$141,1))+1)/80,1))),1))+1))-1,0),0,MOD($A253-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ROQUIS!$C$159)+IF(CROQUIS!$C$92="X",0,0.8)),-1000)</f>
        <v>-1000</v>
      </c>
      <c r="BZ253">
        <f>IF(AND(CROQUIS!$C$88=1,CROQUIS!$C$91=1,CROQUIS!$C$133&gt;0),((CROQUIS!$C$160+(IF(CROQUIS!$C$92="X",CHOOSE(IF(INT(($A253-1)/5)&gt;MAX((MAX(1,INT(((CROQUIS!$C$98)-CROQUIS!$C$107)/MAX((CROQUIS!$C$133*MAX(1,CEILING((INT(((CROQUIS!$C$98)-CROQUIS!$C$107)/MAX(CROQUIS!$C$133,1))+1)/80,1))),1))+1))-1,0),0,MOD($A253-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CA253">
        <f>IF(AND(CROQUIS!$C$88=1,CROQUIS!$C$91=1,CROQUIS!$C$133&gt;0),((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4">
      <c r="A254" t="n">
        <v>247</v>
      </c>
      <c r="BN254">
        <f>IF(AND(CROQUIS!$C$88=1,CROQUIS!$C$129&gt;0),((CROQUIS!$C$160+(IF(CROQUIS!$C$92="X",CHOOSE(IF(INT(($A254-1)/5)&gt;MAX((MAX(1,INT(((CROQUIS!$C$98)-CROQUIS!$C$107)/MAX((CROQUIS!$C$129*MAX(1,CEILING((INT(((CROQUIS!$C$98)-CROQUIS!$C$107)/MAX(CROQUIS!$C$129,1))+1)/80,1))),1))+1))-1,0),0,MOD($A254-1,5))+1,0,2,CROQUIS!$C$97-2,2,0),((CROQUIS!$C$107/2+(((CROQUIS!$C$98)-CROQUIS!$C$107)-(MAX(1,INT(((CROQUIS!$C$98)-CROQUIS!$C$107)/MAX((CROQUIS!$C$129*MAX(1,CEILING((INT(((CROQUIS!$C$98)-CROQUIS!$C$107)/MAX(CROQUIS!$C$129,1))+1)/80,1))),1))+1)-1)*(CROQUIS!$C$129*MAX(1,CEILING((INT(((CROQUIS!$C$98)-CROQUIS!$C$107)/MAX(CROQUIS!$C$129,1))+1)/80,1))))/2)+MIN(INT(($A254-1)/5),MAX((MAX(1,INT(((CROQUIS!$C$98)-CROQUIS!$C$107)/MAX((CROQUIS!$C$129*MAX(1,CEILING((INT(((CROQUIS!$C$98)-CROQUIS!$C$107)/MAX(CROQUIS!$C$129,1))+1)/80,1))),1))+1))-1,0))*(CROQUIS!$C$129*MAX(1,CEILING((INT(((CROQUIS!$C$98)-CROQUIS!$C$107)/MAX(CROQUIS!$C$129,1))+1)/80,1))))))*CROQUIS!$C$159)+IF(CROQUIS!$C$92="X",0,0)),-1000)</f>
        <v>-1000</v>
      </c>
      <c r="BO254">
        <f>IF(AND(CROQUIS!$C$88=1,CROQUIS!$C$129&gt;0),((CROQUIS!$C$161+(IF(CROQUIS!$C$92="X",((CROQUIS!$C$107/2+(((CROQUIS!$C$98)-CROQUIS!$C$107)-(MAX(1,INT(((CROQUIS!$C$98)-CROQUIS!$C$107)/MAX((CROQUIS!$C$129*MAX(1,CEILING((INT(((CROQUIS!$C$98)-CROQUIS!$C$107)/MAX(CROQUIS!$C$129,1))+1)/80,1))),1))+1)-1)*(CROQUIS!$C$129*MAX(1,CEILING((INT(((CROQUIS!$C$98)-CROQUIS!$C$107)/MAX(CROQUIS!$C$129,1))+1)/80,1))))/2)+MIN(INT(($A254-1)/5),MAX((MAX(1,INT(((CROQUIS!$C$98)-CROQUIS!$C$107)/MAX((CROQUIS!$C$129*MAX(1,CEILING((INT(((CROQUIS!$C$98)-CROQUIS!$C$107)/MAX(CROQUIS!$C$129,1))+1)/80,1))),1))+1))-1,0))*(CROQUIS!$C$129*MAX(1,CEILING((INT(((CROQUIS!$C$98)-CROQUIS!$C$107)/MAX(CROQUIS!$C$129,1))+1)/80,1)))),CHOOSE(IF(INT(($A254-1)/5)&gt;MAX((MAX(1,INT(((CROQUIS!$C$98)-CROQUIS!$C$107)/MAX((CROQUIS!$C$129*MAX(1,CEILING((INT(((CROQUIS!$C$98)-CROQUIS!$C$107)/MAX(CROQUIS!$C$129,1))+1)/80,1))),1))+1))-1,0),0,MOD($A254-1,5))+1,0,2,CROQUIS!$C$97-2,2,0)))*CROQUIS!$C$159)+IF(CROQUIS!$C$92="X",0,0)),-1000)</f>
        <v>-1000</v>
      </c>
      <c r="BP254">
        <f>IF(AND(CROQUIS!$C$88=1,CROQUIS!$C$137&gt;0),((CROQUIS!$C$160+(IF(CROQUIS!$C$92="X",((CROQUIS!$C$107/2+(((CROQUIS!$C$97)-CROQUIS!$C$107)-(MAX(1,INT(((CROQUIS!$C$97)-CROQUIS!$C$107)/MAX((CROQUIS!$C$137*MAX(1,CEILING((INT(((CROQUIS!$C$97)-CROQUIS!$C$107)/MAX(CROQUIS!$C$137,1))+1)/80,1))),1))+1)-1)*(CROQUIS!$C$137*MAX(1,CEILING((INT(((CROQUIS!$C$97)-CROQUIS!$C$107)/MAX(CROQUIS!$C$137,1))+1)/80,1))))/2)+MIN(INT(($A254-1)/5),MAX((MAX(1,INT(((CROQUIS!$C$97)-CROQUIS!$C$107)/MAX((CROQUIS!$C$137*MAX(1,CEILING((INT(((CROQUIS!$C$97)-CROQUIS!$C$107)/MAX(CROQUIS!$C$137,1))+1)/80,1))),1))+1))-1,0))*(CROQUIS!$C$137*MAX(1,CEILING((INT(((CROQUIS!$C$97)-CROQUIS!$C$107)/MAX(CROQUIS!$C$137,1))+1)/80,1)))),CHOOSE(IF(INT(($A254-1)/5)&gt;MAX((MAX(1,INT(((CROQUIS!$C$97)-CROQUIS!$C$107)/MAX((CROQUIS!$C$137*MAX(1,CEILING((INT(((CROQUIS!$C$97)-CROQUIS!$C$107)/MAX(CROQUIS!$C$137,1))+1)/80,1))),1))+1))-1,0),0,MOD($A254-1,5))+1,0,2,CROQUIS!$C$98-2,2,0)))*CROQUIS!$C$159)+IF(CROQUIS!$C$92="X",0,0)),-1000)</f>
        <v>-1000</v>
      </c>
      <c r="BQ254">
        <f>IF(AND(CROQUIS!$C$88=1,CROQUIS!$C$137&gt;0),((CROQUIS!$C$161+(IF(CROQUIS!$C$92="X",CHOOSE(IF(INT(($A254-1)/5)&gt;MAX((MAX(1,INT(((CROQUIS!$C$97)-CROQUIS!$C$107)/MAX((CROQUIS!$C$137*MAX(1,CEILING((INT(((CROQUIS!$C$97)-CROQUIS!$C$107)/MAX(CROQUIS!$C$137,1))+1)/80,1))),1))+1))-1,0),0,MOD($A254-1,5))+1,0,2,CROQUIS!$C$98-2,2,0),((CROQUIS!$C$107/2+(((CROQUIS!$C$97)-CROQUIS!$C$107)-(MAX(1,INT(((CROQUIS!$C$97)-CROQUIS!$C$107)/MAX((CROQUIS!$C$137*MAX(1,CEILING((INT(((CROQUIS!$C$97)-CROQUIS!$C$107)/MAX(CROQUIS!$C$137,1))+1)/80,1))),1))+1)-1)*(CROQUIS!$C$137*MAX(1,CEILING((INT(((CROQUIS!$C$97)-CROQUIS!$C$107)/MAX(CROQUIS!$C$137,1))+1)/80,1))))/2)+MIN(INT(($A254-1)/5),MAX((MAX(1,INT(((CROQUIS!$C$97)-CROQUIS!$C$107)/MAX((CROQUIS!$C$137*MAX(1,CEILING((INT(((CROQUIS!$C$97)-CROQUIS!$C$107)/MAX(CROQUIS!$C$137,1))+1)/80,1))),1))+1))-1,0))*(CROQUIS!$C$137*MAX(1,CEILING((INT(((CROQUIS!$C$97)-CROQUIS!$C$107)/MAX(CROQUIS!$C$137,1))+1)/80,1))))))*CROQUIS!$C$159)+IF(CROQUIS!$C$92="X",0,0)),-1000)</f>
        <v>-1000</v>
      </c>
      <c r="BR254">
        <f>IF(AND(CROQUIS!$C$88=1,CROQUIS!$C$91=0,CROQUIS!$C$133&gt;0,OR(CROQUIS!$C$103=1,CROQUIS!$C$145=1)),((CROQUIS!$C$160+(IF(CROQUIS!$C$92="X",CHOOSE(IF(INT(($A254-1)/5)&gt;MAX((MAX(1,INT(((CROQUIS!$C$98)-CROQUIS!$C$107)/MAX((CROQUIS!$C$133*MAX(1,CEILING((INT(((CROQUIS!$C$98)-CROQUIS!$C$107)/MAX(CROQUIS!$C$133,1))+1)/80,1))),1))+1))-1,0),0,MOD($A254-1,5))+1,0,IF(CROQUIS!$C$103=1,-12,2),CROQUIS!$C$107/2+CROQUIS!$C$143,IF(CROQUIS!$C$103=1,-12,2),0),((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BS2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+1,0,IF(CROQUIS!$C$103=1,-12,2),CROQUIS!$C$107/2+CROQUIS!$C$143,IF(CROQUIS!$C$103=1,-12,2),0)))*CROQUIS!$C$159)+IF(CROQUIS!$C$92="X",0.8,0)),-1000)</f>
        <v>-1000</v>
      </c>
      <c r="BT254">
        <f>IF(AND(CROQUIS!$C$88=1,CROQUIS!$C$91=0,CROQUIS!$C$133&gt;0,OR(CROQUIS!$C$104=1,CROQUIS!$C$145=1)),((CROQUIS!$C$160+(IF(CROQUIS!$C$92="X",CHOOSE(IF(INT(($A254-1)/5)&gt;MAX((MAX(1,INT(((CROQUIS!$C$98)-CROQUIS!$C$107)/MAX((CROQUIS!$C$133*MAX(1,CEILING((INT(((CROQUIS!$C$98)-CROQUIS!$C$107)/MAX(CROQUIS!$C$133,1))+1)/80,1))),1))+1))-1,0),0,MOD($A254-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BU2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CROQUIS!$C$97,CROQUIS!$C$97-CROQUIS!$C$107/2-CROQUIS!$C$143,IF(CROQUIS!$C$104=1,CROQUIS!$C$97+12,CROQUIS!$C$97-2),CROQUIS!$C$97-CROQUIS!$C$107/2-CROQUIS!$C$143,CROQUIS!$C$97)))*CROQUIS!$C$159)+IF(CROQUIS!$C$92="X",0.8,0)),-1000)</f>
        <v>-1000</v>
      </c>
      <c r="BV2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HOOSE(IF(INT(($A254-1)/5)&gt;MAX((MAX(1,INT(((CROQUIS!$C$97)-CROQUIS!$C$107)/MAX((CROQUIS!$C$141*MAX(1,CEILING((INT(((CROQUIS!$C$97)-CROQUIS!$C$107)/MAX(CROQUIS!$C$141,1))+1)/80,1))),1))+1))-1,0),0,MOD($A254-1,5))+1,0,IF(CROQUIS!$C$105=1,-12,2),CROQUIS!$C$107/2+CROQUIS!$C$144,IF(CROQUIS!$C$105=1,-12,2),0)))*CROQUIS!$C$159)+IF(CROQUIS!$C$92="X",0.8,0)),-1000)</f>
        <v>-1000</v>
      </c>
      <c r="BW254">
        <f>IF(AND(CROQUIS!$C$88=1,CROQUIS!$C$91=0,CROQUIS!$C$141&gt;0,OR(CROQUIS!$C$105=1,CROQUIS!$C$146=1)),((CROQUIS!$C$161+(IF(CROQUIS!$C$92="X",CHOOSE(IF(INT(($A254-1)/5)&gt;MAX((MAX(1,INT(((CROQUIS!$C$97)-CROQUIS!$C$107)/MAX((CROQUIS!$C$141*MAX(1,CEILING((INT(((CROQUIS!$C$97)-CROQUIS!$C$107)/MAX(CROQUIS!$C$141,1))+1)/80,1))),1))+1))-1,0),0,MOD($A254-1,5))+1,0,IF(CROQUIS!$C$105=1,-12,2),CROQUIS!$C$107/2+CROQUIS!$C$144,IF(CROQUIS!$C$105=1,-12,2),0),((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ROQUIS!$C$159)+IF(CROQUIS!$C$92="X",0,0.8)),-1000)</f>
        <v>-1000</v>
      </c>
      <c r="BX2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HOOSE(IF(INT(($A254-1)/5)&gt;MAX((MAX(1,INT(((CROQUIS!$C$97)-CROQUIS!$C$107)/MAX((CROQUIS!$C$141*MAX(1,CEILING((INT(((CROQUIS!$C$97)-CROQUIS!$C$107)/MAX(CROQUIS!$C$141,1))+1)/80,1))),1))+1))-1,0),0,MOD($A254-1,5))+1,CROQUIS!$C$98,CROQUIS!$C$98-CROQUIS!$C$107/2-CROQUIS!$C$144,IF(CROQUIS!$C$106=1,CROQUIS!$C$98+12,CROQUIS!$C$98-2),CROQUIS!$C$98-CROQUIS!$C$107/2-CROQUIS!$C$144,CROQUIS!$C$98)))*CROQUIS!$C$159)+IF(CROQUIS!$C$92="X",0.8,0)),-1000)</f>
        <v>-1000</v>
      </c>
      <c r="BY254">
        <f>IF(AND(CROQUIS!$C$88=1,CROQUIS!$C$91=0,CROQUIS!$C$141&gt;0,OR(CROQUIS!$C$106=1,CROQUIS!$C$146=1)),((CROQUIS!$C$161+(IF(CROQUIS!$C$92="X",CHOOSE(IF(INT(($A254-1)/5)&gt;MAX((MAX(1,INT(((CROQUIS!$C$97)-CROQUIS!$C$107)/MAX((CROQUIS!$C$141*MAX(1,CEILING((INT(((CROQUIS!$C$97)-CROQUIS!$C$107)/MAX(CROQUIS!$C$141,1))+1)/80,1))),1))+1))-1,0),0,MOD($A254-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ROQUIS!$C$159)+IF(CROQUIS!$C$92="X",0,0.8)),-1000)</f>
        <v>-1000</v>
      </c>
      <c r="BZ254">
        <f>IF(AND(CROQUIS!$C$88=1,CROQUIS!$C$91=1,CROQUIS!$C$133&gt;0),((CROQUIS!$C$160+(IF(CROQUIS!$C$92="X",CHOOSE(IF(INT(($A254-1)/5)&gt;MAX((MAX(1,INT(((CROQUIS!$C$98)-CROQUIS!$C$107)/MAX((CROQUIS!$C$133*MAX(1,CEILING((INT(((CROQUIS!$C$98)-CROQUIS!$C$107)/MAX(CROQUIS!$C$133,1))+1)/80,1))),1))+1))-1,0),0,MOD($A254-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CA254">
        <f>IF(AND(CROQUIS!$C$88=1,CROQUIS!$C$91=1,CROQUIS!$C$133&gt;0),((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5">
      <c r="A255" t="n">
        <v>248</v>
      </c>
      <c r="BN255">
        <f>IF(AND(CROQUIS!$C$88=1,CROQUIS!$C$129&gt;0),((CROQUIS!$C$160+(IF(CROQUIS!$C$92="X",CHOOSE(IF(INT(($A255-1)/5)&gt;MAX((MAX(1,INT(((CROQUIS!$C$98)-CROQUIS!$C$107)/MAX((CROQUIS!$C$129*MAX(1,CEILING((INT(((CROQUIS!$C$98)-CROQUIS!$C$107)/MAX(CROQUIS!$C$129,1))+1)/80,1))),1))+1))-1,0),0,MOD($A255-1,5))+1,0,2,CROQUIS!$C$97-2,2,0),((CROQUIS!$C$107/2+(((CROQUIS!$C$98)-CROQUIS!$C$107)-(MAX(1,INT(((CROQUIS!$C$98)-CROQUIS!$C$107)/MAX((CROQUIS!$C$129*MAX(1,CEILING((INT(((CROQUIS!$C$98)-CROQUIS!$C$107)/MAX(CROQUIS!$C$129,1))+1)/80,1))),1))+1)-1)*(CROQUIS!$C$129*MAX(1,CEILING((INT(((CROQUIS!$C$98)-CROQUIS!$C$107)/MAX(CROQUIS!$C$129,1))+1)/80,1))))/2)+MIN(INT(($A255-1)/5),MAX((MAX(1,INT(((CROQUIS!$C$98)-CROQUIS!$C$107)/MAX((CROQUIS!$C$129*MAX(1,CEILING((INT(((CROQUIS!$C$98)-CROQUIS!$C$107)/MAX(CROQUIS!$C$129,1))+1)/80,1))),1))+1))-1,0))*(CROQUIS!$C$129*MAX(1,CEILING((INT(((CROQUIS!$C$98)-CROQUIS!$C$107)/MAX(CROQUIS!$C$129,1))+1)/80,1))))))*CROQUIS!$C$159)+IF(CROQUIS!$C$92="X",0,0)),-1000)</f>
        <v>-1000</v>
      </c>
      <c r="BO255">
        <f>IF(AND(CROQUIS!$C$88=1,CROQUIS!$C$129&gt;0),((CROQUIS!$C$161+(IF(CROQUIS!$C$92="X",((CROQUIS!$C$107/2+(((CROQUIS!$C$98)-CROQUIS!$C$107)-(MAX(1,INT(((CROQUIS!$C$98)-CROQUIS!$C$107)/MAX((CROQUIS!$C$129*MAX(1,CEILING((INT(((CROQUIS!$C$98)-CROQUIS!$C$107)/MAX(CROQUIS!$C$129,1))+1)/80,1))),1))+1)-1)*(CROQUIS!$C$129*MAX(1,CEILING((INT(((CROQUIS!$C$98)-CROQUIS!$C$107)/MAX(CROQUIS!$C$129,1))+1)/80,1))))/2)+MIN(INT(($A255-1)/5),MAX((MAX(1,INT(((CROQUIS!$C$98)-CROQUIS!$C$107)/MAX((CROQUIS!$C$129*MAX(1,CEILING((INT(((CROQUIS!$C$98)-CROQUIS!$C$107)/MAX(CROQUIS!$C$129,1))+1)/80,1))),1))+1))-1,0))*(CROQUIS!$C$129*MAX(1,CEILING((INT(((CROQUIS!$C$98)-CROQUIS!$C$107)/MAX(CROQUIS!$C$129,1))+1)/80,1)))),CHOOSE(IF(INT(($A255-1)/5)&gt;MAX((MAX(1,INT(((CROQUIS!$C$98)-CROQUIS!$C$107)/MAX((CROQUIS!$C$129*MAX(1,CEILING((INT(((CROQUIS!$C$98)-CROQUIS!$C$107)/MAX(CROQUIS!$C$129,1))+1)/80,1))),1))+1))-1,0),0,MOD($A255-1,5))+1,0,2,CROQUIS!$C$97-2,2,0)))*CROQUIS!$C$159)+IF(CROQUIS!$C$92="X",0,0)),-1000)</f>
        <v>-1000</v>
      </c>
      <c r="BP255">
        <f>IF(AND(CROQUIS!$C$88=1,CROQUIS!$C$137&gt;0),((CROQUIS!$C$160+(IF(CROQUIS!$C$92="X",((CROQUIS!$C$107/2+(((CROQUIS!$C$97)-CROQUIS!$C$107)-(MAX(1,INT(((CROQUIS!$C$97)-CROQUIS!$C$107)/MAX((CROQUIS!$C$137*MAX(1,CEILING((INT(((CROQUIS!$C$97)-CROQUIS!$C$107)/MAX(CROQUIS!$C$137,1))+1)/80,1))),1))+1)-1)*(CROQUIS!$C$137*MAX(1,CEILING((INT(((CROQUIS!$C$97)-CROQUIS!$C$107)/MAX(CROQUIS!$C$137,1))+1)/80,1))))/2)+MIN(INT(($A255-1)/5),MAX((MAX(1,INT(((CROQUIS!$C$97)-CROQUIS!$C$107)/MAX((CROQUIS!$C$137*MAX(1,CEILING((INT(((CROQUIS!$C$97)-CROQUIS!$C$107)/MAX(CROQUIS!$C$137,1))+1)/80,1))),1))+1))-1,0))*(CROQUIS!$C$137*MAX(1,CEILING((INT(((CROQUIS!$C$97)-CROQUIS!$C$107)/MAX(CROQUIS!$C$137,1))+1)/80,1)))),CHOOSE(IF(INT(($A255-1)/5)&gt;MAX((MAX(1,INT(((CROQUIS!$C$97)-CROQUIS!$C$107)/MAX((CROQUIS!$C$137*MAX(1,CEILING((INT(((CROQUIS!$C$97)-CROQUIS!$C$107)/MAX(CROQUIS!$C$137,1))+1)/80,1))),1))+1))-1,0),0,MOD($A255-1,5))+1,0,2,CROQUIS!$C$98-2,2,0)))*CROQUIS!$C$159)+IF(CROQUIS!$C$92="X",0,0)),-1000)</f>
        <v>-1000</v>
      </c>
      <c r="BQ255">
        <f>IF(AND(CROQUIS!$C$88=1,CROQUIS!$C$137&gt;0),((CROQUIS!$C$161+(IF(CROQUIS!$C$92="X",CHOOSE(IF(INT(($A255-1)/5)&gt;MAX((MAX(1,INT(((CROQUIS!$C$97)-CROQUIS!$C$107)/MAX((CROQUIS!$C$137*MAX(1,CEILING((INT(((CROQUIS!$C$97)-CROQUIS!$C$107)/MAX(CROQUIS!$C$137,1))+1)/80,1))),1))+1))-1,0),0,MOD($A255-1,5))+1,0,2,CROQUIS!$C$98-2,2,0),((CROQUIS!$C$107/2+(((CROQUIS!$C$97)-CROQUIS!$C$107)-(MAX(1,INT(((CROQUIS!$C$97)-CROQUIS!$C$107)/MAX((CROQUIS!$C$137*MAX(1,CEILING((INT(((CROQUIS!$C$97)-CROQUIS!$C$107)/MAX(CROQUIS!$C$137,1))+1)/80,1))),1))+1)-1)*(CROQUIS!$C$137*MAX(1,CEILING((INT(((CROQUIS!$C$97)-CROQUIS!$C$107)/MAX(CROQUIS!$C$137,1))+1)/80,1))))/2)+MIN(INT(($A255-1)/5),MAX((MAX(1,INT(((CROQUIS!$C$97)-CROQUIS!$C$107)/MAX((CROQUIS!$C$137*MAX(1,CEILING((INT(((CROQUIS!$C$97)-CROQUIS!$C$107)/MAX(CROQUIS!$C$137,1))+1)/80,1))),1))+1))-1,0))*(CROQUIS!$C$137*MAX(1,CEILING((INT(((CROQUIS!$C$97)-CROQUIS!$C$107)/MAX(CROQUIS!$C$137,1))+1)/80,1))))))*CROQUIS!$C$159)+IF(CROQUIS!$C$92="X",0,0)),-1000)</f>
        <v>-1000</v>
      </c>
      <c r="BR255">
        <f>IF(AND(CROQUIS!$C$88=1,CROQUIS!$C$91=0,CROQUIS!$C$133&gt;0,OR(CROQUIS!$C$103=1,CROQUIS!$C$145=1)),((CROQUIS!$C$160+(IF(CROQUIS!$C$92="X",CHOOSE(IF(INT(($A255-1)/5)&gt;MAX((MAX(1,INT(((CROQUIS!$C$98)-CROQUIS!$C$107)/MAX((CROQUIS!$C$133*MAX(1,CEILING((INT(((CROQUIS!$C$98)-CROQUIS!$C$107)/MAX(CROQUIS!$C$133,1))+1)/80,1))),1))+1))-1,0),0,MOD($A255-1,5))+1,0,IF(CROQUIS!$C$103=1,-12,2),CROQUIS!$C$107/2+CROQUIS!$C$143,IF(CROQUIS!$C$103=1,-12,2),0),((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BS2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+1,0,IF(CROQUIS!$C$103=1,-12,2),CROQUIS!$C$107/2+CROQUIS!$C$143,IF(CROQUIS!$C$103=1,-12,2),0)))*CROQUIS!$C$159)+IF(CROQUIS!$C$92="X",0.8,0)),-1000)</f>
        <v>-1000</v>
      </c>
      <c r="BT255">
        <f>IF(AND(CROQUIS!$C$88=1,CROQUIS!$C$91=0,CROQUIS!$C$133&gt;0,OR(CROQUIS!$C$104=1,CROQUIS!$C$145=1)),((CROQUIS!$C$160+(IF(CROQUIS!$C$92="X",CHOOSE(IF(INT(($A255-1)/5)&gt;MAX((MAX(1,INT(((CROQUIS!$C$98)-CROQUIS!$C$107)/MAX((CROQUIS!$C$133*MAX(1,CEILING((INT(((CROQUIS!$C$98)-CROQUIS!$C$107)/MAX(CROQUIS!$C$133,1))+1)/80,1))),1))+1))-1,0),0,MOD($A255-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BU2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CROQUIS!$C$97,CROQUIS!$C$97-CROQUIS!$C$107/2-CROQUIS!$C$143,IF(CROQUIS!$C$104=1,CROQUIS!$C$97+12,CROQUIS!$C$97-2),CROQUIS!$C$97-CROQUIS!$C$107/2-CROQUIS!$C$143,CROQUIS!$C$97)))*CROQUIS!$C$159)+IF(CROQUIS!$C$92="X",0.8,0)),-1000)</f>
        <v>-1000</v>
      </c>
      <c r="BV2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HOOSE(IF(INT(($A255-1)/5)&gt;MAX((MAX(1,INT(((CROQUIS!$C$97)-CROQUIS!$C$107)/MAX((CROQUIS!$C$141*MAX(1,CEILING((INT(((CROQUIS!$C$97)-CROQUIS!$C$107)/MAX(CROQUIS!$C$141,1))+1)/80,1))),1))+1))-1,0),0,MOD($A255-1,5))+1,0,IF(CROQUIS!$C$105=1,-12,2),CROQUIS!$C$107/2+CROQUIS!$C$144,IF(CROQUIS!$C$105=1,-12,2),0)))*CROQUIS!$C$159)+IF(CROQUIS!$C$92="X",0.8,0)),-1000)</f>
        <v>-1000</v>
      </c>
      <c r="BW255">
        <f>IF(AND(CROQUIS!$C$88=1,CROQUIS!$C$91=0,CROQUIS!$C$141&gt;0,OR(CROQUIS!$C$105=1,CROQUIS!$C$146=1)),((CROQUIS!$C$161+(IF(CROQUIS!$C$92="X",CHOOSE(IF(INT(($A255-1)/5)&gt;MAX((MAX(1,INT(((CROQUIS!$C$97)-CROQUIS!$C$107)/MAX((CROQUIS!$C$141*MAX(1,CEILING((INT(((CROQUIS!$C$97)-CROQUIS!$C$107)/MAX(CROQUIS!$C$141,1))+1)/80,1))),1))+1))-1,0),0,MOD($A255-1,5))+1,0,IF(CROQUIS!$C$105=1,-12,2),CROQUIS!$C$107/2+CROQUIS!$C$144,IF(CROQUIS!$C$105=1,-12,2),0),((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ROQUIS!$C$159)+IF(CROQUIS!$C$92="X",0,0.8)),-1000)</f>
        <v>-1000</v>
      </c>
      <c r="BX2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HOOSE(IF(INT(($A255-1)/5)&gt;MAX((MAX(1,INT(((CROQUIS!$C$97)-CROQUIS!$C$107)/MAX((CROQUIS!$C$141*MAX(1,CEILING((INT(((CROQUIS!$C$97)-CROQUIS!$C$107)/MAX(CROQUIS!$C$141,1))+1)/80,1))),1))+1))-1,0),0,MOD($A255-1,5))+1,CROQUIS!$C$98,CROQUIS!$C$98-CROQUIS!$C$107/2-CROQUIS!$C$144,IF(CROQUIS!$C$106=1,CROQUIS!$C$98+12,CROQUIS!$C$98-2),CROQUIS!$C$98-CROQUIS!$C$107/2-CROQUIS!$C$144,CROQUIS!$C$98)))*CROQUIS!$C$159)+IF(CROQUIS!$C$92="X",0.8,0)),-1000)</f>
        <v>-1000</v>
      </c>
      <c r="BY255">
        <f>IF(AND(CROQUIS!$C$88=1,CROQUIS!$C$91=0,CROQUIS!$C$141&gt;0,OR(CROQUIS!$C$106=1,CROQUIS!$C$146=1)),((CROQUIS!$C$161+(IF(CROQUIS!$C$92="X",CHOOSE(IF(INT(($A255-1)/5)&gt;MAX((MAX(1,INT(((CROQUIS!$C$97)-CROQUIS!$C$107)/MAX((CROQUIS!$C$141*MAX(1,CEILING((INT(((CROQUIS!$C$97)-CROQUIS!$C$107)/MAX(CROQUIS!$C$141,1))+1)/80,1))),1))+1))-1,0),0,MOD($A255-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ROQUIS!$C$159)+IF(CROQUIS!$C$92="X",0,0.8)),-1000)</f>
        <v>-1000</v>
      </c>
      <c r="BZ255">
        <f>IF(AND(CROQUIS!$C$88=1,CROQUIS!$C$91=1,CROQUIS!$C$133&gt;0),((CROQUIS!$C$160+(IF(CROQUIS!$C$92="X",CHOOSE(IF(INT(($A255-1)/5)&gt;MAX((MAX(1,INT(((CROQUIS!$C$98)-CROQUIS!$C$107)/MAX((CROQUIS!$C$133*MAX(1,CEILING((INT(((CROQUIS!$C$98)-CROQUIS!$C$107)/MAX(CROQUIS!$C$133,1))+1)/80,1))),1))+1))-1,0),0,MOD($A255-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CA255">
        <f>IF(AND(CROQUIS!$C$88=1,CROQUIS!$C$91=1,CROQUIS!$C$133&gt;0),((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6">
      <c r="A256" t="n">
        <v>249</v>
      </c>
      <c r="BN256">
        <f>IF(AND(CROQUIS!$C$88=1,CROQUIS!$C$129&gt;0),((CROQUIS!$C$160+(IF(CROQUIS!$C$92="X",CHOOSE(IF(INT(($A256-1)/5)&gt;MAX((MAX(1,INT(((CROQUIS!$C$98)-CROQUIS!$C$107)/MAX((CROQUIS!$C$129*MAX(1,CEILING((INT(((CROQUIS!$C$98)-CROQUIS!$C$107)/MAX(CROQUIS!$C$129,1))+1)/80,1))),1))+1))-1,0),0,MOD($A256-1,5))+1,0,2,CROQUIS!$C$97-2,2,0),((CROQUIS!$C$107/2+(((CROQUIS!$C$98)-CROQUIS!$C$107)-(MAX(1,INT(((CROQUIS!$C$98)-CROQUIS!$C$107)/MAX((CROQUIS!$C$129*MAX(1,CEILING((INT(((CROQUIS!$C$98)-CROQUIS!$C$107)/MAX(CROQUIS!$C$129,1))+1)/80,1))),1))+1)-1)*(CROQUIS!$C$129*MAX(1,CEILING((INT(((CROQUIS!$C$98)-CROQUIS!$C$107)/MAX(CROQUIS!$C$129,1))+1)/80,1))))/2)+MIN(INT(($A256-1)/5),MAX((MAX(1,INT(((CROQUIS!$C$98)-CROQUIS!$C$107)/MAX((CROQUIS!$C$129*MAX(1,CEILING((INT(((CROQUIS!$C$98)-CROQUIS!$C$107)/MAX(CROQUIS!$C$129,1))+1)/80,1))),1))+1))-1,0))*(CROQUIS!$C$129*MAX(1,CEILING((INT(((CROQUIS!$C$98)-CROQUIS!$C$107)/MAX(CROQUIS!$C$129,1))+1)/80,1))))))*CROQUIS!$C$159)+IF(CROQUIS!$C$92="X",0,0)),-1000)</f>
        <v>-1000</v>
      </c>
      <c r="BO256">
        <f>IF(AND(CROQUIS!$C$88=1,CROQUIS!$C$129&gt;0),((CROQUIS!$C$161+(IF(CROQUIS!$C$92="X",((CROQUIS!$C$107/2+(((CROQUIS!$C$98)-CROQUIS!$C$107)-(MAX(1,INT(((CROQUIS!$C$98)-CROQUIS!$C$107)/MAX((CROQUIS!$C$129*MAX(1,CEILING((INT(((CROQUIS!$C$98)-CROQUIS!$C$107)/MAX(CROQUIS!$C$129,1))+1)/80,1))),1))+1)-1)*(CROQUIS!$C$129*MAX(1,CEILING((INT(((CROQUIS!$C$98)-CROQUIS!$C$107)/MAX(CROQUIS!$C$129,1))+1)/80,1))))/2)+MIN(INT(($A256-1)/5),MAX((MAX(1,INT(((CROQUIS!$C$98)-CROQUIS!$C$107)/MAX((CROQUIS!$C$129*MAX(1,CEILING((INT(((CROQUIS!$C$98)-CROQUIS!$C$107)/MAX(CROQUIS!$C$129,1))+1)/80,1))),1))+1))-1,0))*(CROQUIS!$C$129*MAX(1,CEILING((INT(((CROQUIS!$C$98)-CROQUIS!$C$107)/MAX(CROQUIS!$C$129,1))+1)/80,1)))),CHOOSE(IF(INT(($A256-1)/5)&gt;MAX((MAX(1,INT(((CROQUIS!$C$98)-CROQUIS!$C$107)/MAX((CROQUIS!$C$129*MAX(1,CEILING((INT(((CROQUIS!$C$98)-CROQUIS!$C$107)/MAX(CROQUIS!$C$129,1))+1)/80,1))),1))+1))-1,0),0,MOD($A256-1,5))+1,0,2,CROQUIS!$C$97-2,2,0)))*CROQUIS!$C$159)+IF(CROQUIS!$C$92="X",0,0)),-1000)</f>
        <v>-1000</v>
      </c>
      <c r="BP256">
        <f>IF(AND(CROQUIS!$C$88=1,CROQUIS!$C$137&gt;0),((CROQUIS!$C$160+(IF(CROQUIS!$C$92="X",((CROQUIS!$C$107/2+(((CROQUIS!$C$97)-CROQUIS!$C$107)-(MAX(1,INT(((CROQUIS!$C$97)-CROQUIS!$C$107)/MAX((CROQUIS!$C$137*MAX(1,CEILING((INT(((CROQUIS!$C$97)-CROQUIS!$C$107)/MAX(CROQUIS!$C$137,1))+1)/80,1))),1))+1)-1)*(CROQUIS!$C$137*MAX(1,CEILING((INT(((CROQUIS!$C$97)-CROQUIS!$C$107)/MAX(CROQUIS!$C$137,1))+1)/80,1))))/2)+MIN(INT(($A256-1)/5),MAX((MAX(1,INT(((CROQUIS!$C$97)-CROQUIS!$C$107)/MAX((CROQUIS!$C$137*MAX(1,CEILING((INT(((CROQUIS!$C$97)-CROQUIS!$C$107)/MAX(CROQUIS!$C$137,1))+1)/80,1))),1))+1))-1,0))*(CROQUIS!$C$137*MAX(1,CEILING((INT(((CROQUIS!$C$97)-CROQUIS!$C$107)/MAX(CROQUIS!$C$137,1))+1)/80,1)))),CHOOSE(IF(INT(($A256-1)/5)&gt;MAX((MAX(1,INT(((CROQUIS!$C$97)-CROQUIS!$C$107)/MAX((CROQUIS!$C$137*MAX(1,CEILING((INT(((CROQUIS!$C$97)-CROQUIS!$C$107)/MAX(CROQUIS!$C$137,1))+1)/80,1))),1))+1))-1,0),0,MOD($A256-1,5))+1,0,2,CROQUIS!$C$98-2,2,0)))*CROQUIS!$C$159)+IF(CROQUIS!$C$92="X",0,0)),-1000)</f>
        <v>-1000</v>
      </c>
      <c r="BQ256">
        <f>IF(AND(CROQUIS!$C$88=1,CROQUIS!$C$137&gt;0),((CROQUIS!$C$161+(IF(CROQUIS!$C$92="X",CHOOSE(IF(INT(($A256-1)/5)&gt;MAX((MAX(1,INT(((CROQUIS!$C$97)-CROQUIS!$C$107)/MAX((CROQUIS!$C$137*MAX(1,CEILING((INT(((CROQUIS!$C$97)-CROQUIS!$C$107)/MAX(CROQUIS!$C$137,1))+1)/80,1))),1))+1))-1,0),0,MOD($A256-1,5))+1,0,2,CROQUIS!$C$98-2,2,0),((CROQUIS!$C$107/2+(((CROQUIS!$C$97)-CROQUIS!$C$107)-(MAX(1,INT(((CROQUIS!$C$97)-CROQUIS!$C$107)/MAX((CROQUIS!$C$137*MAX(1,CEILING((INT(((CROQUIS!$C$97)-CROQUIS!$C$107)/MAX(CROQUIS!$C$137,1))+1)/80,1))),1))+1)-1)*(CROQUIS!$C$137*MAX(1,CEILING((INT(((CROQUIS!$C$97)-CROQUIS!$C$107)/MAX(CROQUIS!$C$137,1))+1)/80,1))))/2)+MIN(INT(($A256-1)/5),MAX((MAX(1,INT(((CROQUIS!$C$97)-CROQUIS!$C$107)/MAX((CROQUIS!$C$137*MAX(1,CEILING((INT(((CROQUIS!$C$97)-CROQUIS!$C$107)/MAX(CROQUIS!$C$137,1))+1)/80,1))),1))+1))-1,0))*(CROQUIS!$C$137*MAX(1,CEILING((INT(((CROQUIS!$C$97)-CROQUIS!$C$107)/MAX(CROQUIS!$C$137,1))+1)/80,1))))))*CROQUIS!$C$159)+IF(CROQUIS!$C$92="X",0,0)),-1000)</f>
        <v>-1000</v>
      </c>
      <c r="BR256">
        <f>IF(AND(CROQUIS!$C$88=1,CROQUIS!$C$91=0,CROQUIS!$C$133&gt;0,OR(CROQUIS!$C$103=1,CROQUIS!$C$145=1)),((CROQUIS!$C$160+(IF(CROQUIS!$C$92="X",CHOOSE(IF(INT(($A256-1)/5)&gt;MAX((MAX(1,INT(((CROQUIS!$C$98)-CROQUIS!$C$107)/MAX((CROQUIS!$C$133*MAX(1,CEILING((INT(((CROQUIS!$C$98)-CROQUIS!$C$107)/MAX(CROQUIS!$C$133,1))+1)/80,1))),1))+1))-1,0),0,MOD($A256-1,5))+1,0,IF(CROQUIS!$C$103=1,-12,2),CROQUIS!$C$107/2+CROQUIS!$C$143,IF(CROQUIS!$C$103=1,-12,2),0),((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BS2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+1,0,IF(CROQUIS!$C$103=1,-12,2),CROQUIS!$C$107/2+CROQUIS!$C$143,IF(CROQUIS!$C$103=1,-12,2),0)))*CROQUIS!$C$159)+IF(CROQUIS!$C$92="X",0.8,0)),-1000)</f>
        <v>-1000</v>
      </c>
      <c r="BT256">
        <f>IF(AND(CROQUIS!$C$88=1,CROQUIS!$C$91=0,CROQUIS!$C$133&gt;0,OR(CROQUIS!$C$104=1,CROQUIS!$C$145=1)),((CROQUIS!$C$160+(IF(CROQUIS!$C$92="X",CHOOSE(IF(INT(($A256-1)/5)&gt;MAX((MAX(1,INT(((CROQUIS!$C$98)-CROQUIS!$C$107)/MAX((CROQUIS!$C$133*MAX(1,CEILING((INT(((CROQUIS!$C$98)-CROQUIS!$C$107)/MAX(CROQUIS!$C$133,1))+1)/80,1))),1))+1))-1,0),0,MOD($A256-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BU2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CROQUIS!$C$97,CROQUIS!$C$97-CROQUIS!$C$107/2-CROQUIS!$C$143,IF(CROQUIS!$C$104=1,CROQUIS!$C$97+12,CROQUIS!$C$97-2),CROQUIS!$C$97-CROQUIS!$C$107/2-CROQUIS!$C$143,CROQUIS!$C$97)))*CROQUIS!$C$159)+IF(CROQUIS!$C$92="X",0.8,0)),-1000)</f>
        <v>-1000</v>
      </c>
      <c r="BV2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HOOSE(IF(INT(($A256-1)/5)&gt;MAX((MAX(1,INT(((CROQUIS!$C$97)-CROQUIS!$C$107)/MAX((CROQUIS!$C$141*MAX(1,CEILING((INT(((CROQUIS!$C$97)-CROQUIS!$C$107)/MAX(CROQUIS!$C$141,1))+1)/80,1))),1))+1))-1,0),0,MOD($A256-1,5))+1,0,IF(CROQUIS!$C$105=1,-12,2),CROQUIS!$C$107/2+CROQUIS!$C$144,IF(CROQUIS!$C$105=1,-12,2),0)))*CROQUIS!$C$159)+IF(CROQUIS!$C$92="X",0.8,0)),-1000)</f>
        <v>-1000</v>
      </c>
      <c r="BW256">
        <f>IF(AND(CROQUIS!$C$88=1,CROQUIS!$C$91=0,CROQUIS!$C$141&gt;0,OR(CROQUIS!$C$105=1,CROQUIS!$C$146=1)),((CROQUIS!$C$161+(IF(CROQUIS!$C$92="X",CHOOSE(IF(INT(($A256-1)/5)&gt;MAX((MAX(1,INT(((CROQUIS!$C$97)-CROQUIS!$C$107)/MAX((CROQUIS!$C$141*MAX(1,CEILING((INT(((CROQUIS!$C$97)-CROQUIS!$C$107)/MAX(CROQUIS!$C$141,1))+1)/80,1))),1))+1))-1,0),0,MOD($A256-1,5))+1,0,IF(CROQUIS!$C$105=1,-12,2),CROQUIS!$C$107/2+CROQUIS!$C$144,IF(CROQUIS!$C$105=1,-12,2),0),((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ROQUIS!$C$159)+IF(CROQUIS!$C$92="X",0,0.8)),-1000)</f>
        <v>-1000</v>
      </c>
      <c r="BX2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HOOSE(IF(INT(($A256-1)/5)&gt;MAX((MAX(1,INT(((CROQUIS!$C$97)-CROQUIS!$C$107)/MAX((CROQUIS!$C$141*MAX(1,CEILING((INT(((CROQUIS!$C$97)-CROQUIS!$C$107)/MAX(CROQUIS!$C$141,1))+1)/80,1))),1))+1))-1,0),0,MOD($A256-1,5))+1,CROQUIS!$C$98,CROQUIS!$C$98-CROQUIS!$C$107/2-CROQUIS!$C$144,IF(CROQUIS!$C$106=1,CROQUIS!$C$98+12,CROQUIS!$C$98-2),CROQUIS!$C$98-CROQUIS!$C$107/2-CROQUIS!$C$144,CROQUIS!$C$98)))*CROQUIS!$C$159)+IF(CROQUIS!$C$92="X",0.8,0)),-1000)</f>
        <v>-1000</v>
      </c>
      <c r="BY256">
        <f>IF(AND(CROQUIS!$C$88=1,CROQUIS!$C$91=0,CROQUIS!$C$141&gt;0,OR(CROQUIS!$C$106=1,CROQUIS!$C$146=1)),((CROQUIS!$C$161+(IF(CROQUIS!$C$92="X",CHOOSE(IF(INT(($A256-1)/5)&gt;MAX((MAX(1,INT(((CROQUIS!$C$97)-CROQUIS!$C$107)/MAX((CROQUIS!$C$141*MAX(1,CEILING((INT(((CROQUIS!$C$97)-CROQUIS!$C$107)/MAX(CROQUIS!$C$141,1))+1)/80,1))),1))+1))-1,0),0,MOD($A256-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ROQUIS!$C$159)+IF(CROQUIS!$C$92="X",0,0.8)),-1000)</f>
        <v>-1000</v>
      </c>
      <c r="BZ256">
        <f>IF(AND(CROQUIS!$C$88=1,CROQUIS!$C$91=1,CROQUIS!$C$133&gt;0),((CROQUIS!$C$160+(IF(CROQUIS!$C$92="X",CHOOSE(IF(INT(($A256-1)/5)&gt;MAX((MAX(1,INT(((CROQUIS!$C$98)-CROQUIS!$C$107)/MAX((CROQUIS!$C$133*MAX(1,CEILING((INT(((CROQUIS!$C$98)-CROQUIS!$C$107)/MAX(CROQUIS!$C$133,1))+1)/80,1))),1))+1))-1,0),0,MOD($A256-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CA256">
        <f>IF(AND(CROQUIS!$C$88=1,CROQUIS!$C$91=1,CROQUIS!$C$133&gt;0),((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7">
      <c r="A257" t="n">
        <v>250</v>
      </c>
      <c r="BN257">
        <f>IF(AND(CROQUIS!$C$88=1,CROQUIS!$C$129&gt;0),((CROQUIS!$C$160+(IF(CROQUIS!$C$92="X",CHOOSE(IF(INT(($A257-1)/5)&gt;MAX((MAX(1,INT(((CROQUIS!$C$98)-CROQUIS!$C$107)/MAX((CROQUIS!$C$129*MAX(1,CEILING((INT(((CROQUIS!$C$98)-CROQUIS!$C$107)/MAX(CROQUIS!$C$129,1))+1)/80,1))),1))+1))-1,0),0,MOD($A257-1,5))+1,0,2,CROQUIS!$C$97-2,2,0),((CROQUIS!$C$107/2+(((CROQUIS!$C$98)-CROQUIS!$C$107)-(MAX(1,INT(((CROQUIS!$C$98)-CROQUIS!$C$107)/MAX((CROQUIS!$C$129*MAX(1,CEILING((INT(((CROQUIS!$C$98)-CROQUIS!$C$107)/MAX(CROQUIS!$C$129,1))+1)/80,1))),1))+1)-1)*(CROQUIS!$C$129*MAX(1,CEILING((INT(((CROQUIS!$C$98)-CROQUIS!$C$107)/MAX(CROQUIS!$C$129,1))+1)/80,1))))/2)+MIN(INT(($A257-1)/5),MAX((MAX(1,INT(((CROQUIS!$C$98)-CROQUIS!$C$107)/MAX((CROQUIS!$C$129*MAX(1,CEILING((INT(((CROQUIS!$C$98)-CROQUIS!$C$107)/MAX(CROQUIS!$C$129,1))+1)/80,1))),1))+1))-1,0))*(CROQUIS!$C$129*MAX(1,CEILING((INT(((CROQUIS!$C$98)-CROQUIS!$C$107)/MAX(CROQUIS!$C$129,1))+1)/80,1))))))*CROQUIS!$C$159)+IF(CROQUIS!$C$92="X",0,0)),-1000)</f>
        <v>-1000</v>
      </c>
      <c r="BO257">
        <f>IF(AND(CROQUIS!$C$88=1,CROQUIS!$C$129&gt;0),((CROQUIS!$C$161+(IF(CROQUIS!$C$92="X",((CROQUIS!$C$107/2+(((CROQUIS!$C$98)-CROQUIS!$C$107)-(MAX(1,INT(((CROQUIS!$C$98)-CROQUIS!$C$107)/MAX((CROQUIS!$C$129*MAX(1,CEILING((INT(((CROQUIS!$C$98)-CROQUIS!$C$107)/MAX(CROQUIS!$C$129,1))+1)/80,1))),1))+1)-1)*(CROQUIS!$C$129*MAX(1,CEILING((INT(((CROQUIS!$C$98)-CROQUIS!$C$107)/MAX(CROQUIS!$C$129,1))+1)/80,1))))/2)+MIN(INT(($A257-1)/5),MAX((MAX(1,INT(((CROQUIS!$C$98)-CROQUIS!$C$107)/MAX((CROQUIS!$C$129*MAX(1,CEILING((INT(((CROQUIS!$C$98)-CROQUIS!$C$107)/MAX(CROQUIS!$C$129,1))+1)/80,1))),1))+1))-1,0))*(CROQUIS!$C$129*MAX(1,CEILING((INT(((CROQUIS!$C$98)-CROQUIS!$C$107)/MAX(CROQUIS!$C$129,1))+1)/80,1)))),CHOOSE(IF(INT(($A257-1)/5)&gt;MAX((MAX(1,INT(((CROQUIS!$C$98)-CROQUIS!$C$107)/MAX((CROQUIS!$C$129*MAX(1,CEILING((INT(((CROQUIS!$C$98)-CROQUIS!$C$107)/MAX(CROQUIS!$C$129,1))+1)/80,1))),1))+1))-1,0),0,MOD($A257-1,5))+1,0,2,CROQUIS!$C$97-2,2,0)))*CROQUIS!$C$159)+IF(CROQUIS!$C$92="X",0,0)),-1000)</f>
        <v>-1000</v>
      </c>
      <c r="BP257">
        <f>IF(AND(CROQUIS!$C$88=1,CROQUIS!$C$137&gt;0),((CROQUIS!$C$160+(IF(CROQUIS!$C$92="X",((CROQUIS!$C$107/2+(((CROQUIS!$C$97)-CROQUIS!$C$107)-(MAX(1,INT(((CROQUIS!$C$97)-CROQUIS!$C$107)/MAX((CROQUIS!$C$137*MAX(1,CEILING((INT(((CROQUIS!$C$97)-CROQUIS!$C$107)/MAX(CROQUIS!$C$137,1))+1)/80,1))),1))+1)-1)*(CROQUIS!$C$137*MAX(1,CEILING((INT(((CROQUIS!$C$97)-CROQUIS!$C$107)/MAX(CROQUIS!$C$137,1))+1)/80,1))))/2)+MIN(INT(($A257-1)/5),MAX((MAX(1,INT(((CROQUIS!$C$97)-CROQUIS!$C$107)/MAX((CROQUIS!$C$137*MAX(1,CEILING((INT(((CROQUIS!$C$97)-CROQUIS!$C$107)/MAX(CROQUIS!$C$137,1))+1)/80,1))),1))+1))-1,0))*(CROQUIS!$C$137*MAX(1,CEILING((INT(((CROQUIS!$C$97)-CROQUIS!$C$107)/MAX(CROQUIS!$C$137,1))+1)/80,1)))),CHOOSE(IF(INT(($A257-1)/5)&gt;MAX((MAX(1,INT(((CROQUIS!$C$97)-CROQUIS!$C$107)/MAX((CROQUIS!$C$137*MAX(1,CEILING((INT(((CROQUIS!$C$97)-CROQUIS!$C$107)/MAX(CROQUIS!$C$137,1))+1)/80,1))),1))+1))-1,0),0,MOD($A257-1,5))+1,0,2,CROQUIS!$C$98-2,2,0)))*CROQUIS!$C$159)+IF(CROQUIS!$C$92="X",0,0)),-1000)</f>
        <v>-1000</v>
      </c>
      <c r="BQ257">
        <f>IF(AND(CROQUIS!$C$88=1,CROQUIS!$C$137&gt;0),((CROQUIS!$C$161+(IF(CROQUIS!$C$92="X",CHOOSE(IF(INT(($A257-1)/5)&gt;MAX((MAX(1,INT(((CROQUIS!$C$97)-CROQUIS!$C$107)/MAX((CROQUIS!$C$137*MAX(1,CEILING((INT(((CROQUIS!$C$97)-CROQUIS!$C$107)/MAX(CROQUIS!$C$137,1))+1)/80,1))),1))+1))-1,0),0,MOD($A257-1,5))+1,0,2,CROQUIS!$C$98-2,2,0),((CROQUIS!$C$107/2+(((CROQUIS!$C$97)-CROQUIS!$C$107)-(MAX(1,INT(((CROQUIS!$C$97)-CROQUIS!$C$107)/MAX((CROQUIS!$C$137*MAX(1,CEILING((INT(((CROQUIS!$C$97)-CROQUIS!$C$107)/MAX(CROQUIS!$C$137,1))+1)/80,1))),1))+1)-1)*(CROQUIS!$C$137*MAX(1,CEILING((INT(((CROQUIS!$C$97)-CROQUIS!$C$107)/MAX(CROQUIS!$C$137,1))+1)/80,1))))/2)+MIN(INT(($A257-1)/5),MAX((MAX(1,INT(((CROQUIS!$C$97)-CROQUIS!$C$107)/MAX((CROQUIS!$C$137*MAX(1,CEILING((INT(((CROQUIS!$C$97)-CROQUIS!$C$107)/MAX(CROQUIS!$C$137,1))+1)/80,1))),1))+1))-1,0))*(CROQUIS!$C$137*MAX(1,CEILING((INT(((CROQUIS!$C$97)-CROQUIS!$C$107)/MAX(CROQUIS!$C$137,1))+1)/80,1))))))*CROQUIS!$C$159)+IF(CROQUIS!$C$92="X",0,0)),-1000)</f>
        <v>-1000</v>
      </c>
      <c r="BR257">
        <f>IF(AND(CROQUIS!$C$88=1,CROQUIS!$C$91=0,CROQUIS!$C$133&gt;0,OR(CROQUIS!$C$103=1,CROQUIS!$C$145=1)),((CROQUIS!$C$160+(IF(CROQUIS!$C$92="X",CHOOSE(IF(INT(($A257-1)/5)&gt;MAX((MAX(1,INT(((CROQUIS!$C$98)-CROQUIS!$C$107)/MAX((CROQUIS!$C$133*MAX(1,CEILING((INT(((CROQUIS!$C$98)-CROQUIS!$C$107)/MAX(CROQUIS!$C$133,1))+1)/80,1))),1))+1))-1,0),0,MOD($A257-1,5))+1,0,IF(CROQUIS!$C$103=1,-12,2),CROQUIS!$C$107/2+CROQUIS!$C$143,IF(CROQUIS!$C$103=1,-12,2),0),((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BS2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+1,0,IF(CROQUIS!$C$103=1,-12,2),CROQUIS!$C$107/2+CROQUIS!$C$143,IF(CROQUIS!$C$103=1,-12,2),0)))*CROQUIS!$C$159)+IF(CROQUIS!$C$92="X",0.8,0)),-1000)</f>
        <v>-1000</v>
      </c>
      <c r="BT257">
        <f>IF(AND(CROQUIS!$C$88=1,CROQUIS!$C$91=0,CROQUIS!$C$133&gt;0,OR(CROQUIS!$C$104=1,CROQUIS!$C$145=1)),((CROQUIS!$C$160+(IF(CROQUIS!$C$92="X",CHOOSE(IF(INT(($A257-1)/5)&gt;MAX((MAX(1,INT(((CROQUIS!$C$98)-CROQUIS!$C$107)/MAX((CROQUIS!$C$133*MAX(1,CEILING((INT(((CROQUIS!$C$98)-CROQUIS!$C$107)/MAX(CROQUIS!$C$133,1))+1)/80,1))),1))+1))-1,0),0,MOD($A257-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BU2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CROQUIS!$C$97,CROQUIS!$C$97-CROQUIS!$C$107/2-CROQUIS!$C$143,IF(CROQUIS!$C$104=1,CROQUIS!$C$97+12,CROQUIS!$C$97-2),CROQUIS!$C$97-CROQUIS!$C$107/2-CROQUIS!$C$143,CROQUIS!$C$97)))*CROQUIS!$C$159)+IF(CROQUIS!$C$92="X",0.8,0)),-1000)</f>
        <v>-1000</v>
      </c>
      <c r="BV2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HOOSE(IF(INT(($A257-1)/5)&gt;MAX((MAX(1,INT(((CROQUIS!$C$97)-CROQUIS!$C$107)/MAX((CROQUIS!$C$141*MAX(1,CEILING((INT(((CROQUIS!$C$97)-CROQUIS!$C$107)/MAX(CROQUIS!$C$141,1))+1)/80,1))),1))+1))-1,0),0,MOD($A257-1,5))+1,0,IF(CROQUIS!$C$105=1,-12,2),CROQUIS!$C$107/2+CROQUIS!$C$144,IF(CROQUIS!$C$105=1,-12,2),0)))*CROQUIS!$C$159)+IF(CROQUIS!$C$92="X",0.8,0)),-1000)</f>
        <v>-1000</v>
      </c>
      <c r="BW257">
        <f>IF(AND(CROQUIS!$C$88=1,CROQUIS!$C$91=0,CROQUIS!$C$141&gt;0,OR(CROQUIS!$C$105=1,CROQUIS!$C$146=1)),((CROQUIS!$C$161+(IF(CROQUIS!$C$92="X",CHOOSE(IF(INT(($A257-1)/5)&gt;MAX((MAX(1,INT(((CROQUIS!$C$97)-CROQUIS!$C$107)/MAX((CROQUIS!$C$141*MAX(1,CEILING((INT(((CROQUIS!$C$97)-CROQUIS!$C$107)/MAX(CROQUIS!$C$141,1))+1)/80,1))),1))+1))-1,0),0,MOD($A257-1,5))+1,0,IF(CROQUIS!$C$105=1,-12,2),CROQUIS!$C$107/2+CROQUIS!$C$144,IF(CROQUIS!$C$105=1,-12,2),0),((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ROQUIS!$C$159)+IF(CROQUIS!$C$92="X",0,0.8)),-1000)</f>
        <v>-1000</v>
      </c>
      <c r="BX2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HOOSE(IF(INT(($A257-1)/5)&gt;MAX((MAX(1,INT(((CROQUIS!$C$97)-CROQUIS!$C$107)/MAX((CROQUIS!$C$141*MAX(1,CEILING((INT(((CROQUIS!$C$97)-CROQUIS!$C$107)/MAX(CROQUIS!$C$141,1))+1)/80,1))),1))+1))-1,0),0,MOD($A257-1,5))+1,CROQUIS!$C$98,CROQUIS!$C$98-CROQUIS!$C$107/2-CROQUIS!$C$144,IF(CROQUIS!$C$106=1,CROQUIS!$C$98+12,CROQUIS!$C$98-2),CROQUIS!$C$98-CROQUIS!$C$107/2-CROQUIS!$C$144,CROQUIS!$C$98)))*CROQUIS!$C$159)+IF(CROQUIS!$C$92="X",0.8,0)),-1000)</f>
        <v>-1000</v>
      </c>
      <c r="BY257">
        <f>IF(AND(CROQUIS!$C$88=1,CROQUIS!$C$91=0,CROQUIS!$C$141&gt;0,OR(CROQUIS!$C$106=1,CROQUIS!$C$146=1)),((CROQUIS!$C$161+(IF(CROQUIS!$C$92="X",CHOOSE(IF(INT(($A257-1)/5)&gt;MAX((MAX(1,INT(((CROQUIS!$C$97)-CROQUIS!$C$107)/MAX((CROQUIS!$C$141*MAX(1,CEILING((INT(((CROQUIS!$C$97)-CROQUIS!$C$107)/MAX(CROQUIS!$C$141,1))+1)/80,1))),1))+1))-1,0),0,MOD($A257-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ROQUIS!$C$159)+IF(CROQUIS!$C$92="X",0,0.8)),-1000)</f>
        <v>-1000</v>
      </c>
      <c r="BZ257">
        <f>IF(AND(CROQUIS!$C$88=1,CROQUIS!$C$91=1,CROQUIS!$C$133&gt;0),((CROQUIS!$C$160+(IF(CROQUIS!$C$92="X",CHOOSE(IF(INT(($A257-1)/5)&gt;MAX((MAX(1,INT(((CROQUIS!$C$98)-CROQUIS!$C$107)/MAX((CROQUIS!$C$133*MAX(1,CEILING((INT(((CROQUIS!$C$98)-CROQUIS!$C$107)/MAX(CROQUIS!$C$133,1))+1)/80,1))),1))+1))-1,0),0,MOD($A257-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CA257">
        <f>IF(AND(CROQUIS!$C$88=1,CROQUIS!$C$91=1,CROQUIS!$C$133&gt;0),((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8">
      <c r="A258" t="n">
        <v>251</v>
      </c>
      <c r="BN258">
        <f>IF(AND(CROQUIS!$C$88=1,CROQUIS!$C$129&gt;0),((CROQUIS!$C$160+(IF(CROQUIS!$C$92="X",CHOOSE(IF(INT(($A258-1)/5)&gt;MAX((MAX(1,INT(((CROQUIS!$C$98)-CROQUIS!$C$107)/MAX((CROQUIS!$C$129*MAX(1,CEILING((INT(((CROQUIS!$C$98)-CROQUIS!$C$107)/MAX(CROQUIS!$C$129,1))+1)/80,1))),1))+1))-1,0),0,MOD($A258-1,5))+1,0,2,CROQUIS!$C$97-2,2,0),((CROQUIS!$C$107/2+(((CROQUIS!$C$98)-CROQUIS!$C$107)-(MAX(1,INT(((CROQUIS!$C$98)-CROQUIS!$C$107)/MAX((CROQUIS!$C$129*MAX(1,CEILING((INT(((CROQUIS!$C$98)-CROQUIS!$C$107)/MAX(CROQUIS!$C$129,1))+1)/80,1))),1))+1)-1)*(CROQUIS!$C$129*MAX(1,CEILING((INT(((CROQUIS!$C$98)-CROQUIS!$C$107)/MAX(CROQUIS!$C$129,1))+1)/80,1))))/2)+MIN(INT(($A258-1)/5),MAX((MAX(1,INT(((CROQUIS!$C$98)-CROQUIS!$C$107)/MAX((CROQUIS!$C$129*MAX(1,CEILING((INT(((CROQUIS!$C$98)-CROQUIS!$C$107)/MAX(CROQUIS!$C$129,1))+1)/80,1))),1))+1))-1,0))*(CROQUIS!$C$129*MAX(1,CEILING((INT(((CROQUIS!$C$98)-CROQUIS!$C$107)/MAX(CROQUIS!$C$129,1))+1)/80,1))))))*CROQUIS!$C$159)+IF(CROQUIS!$C$92="X",0,0)),-1000)</f>
        <v>-1000</v>
      </c>
      <c r="BO258">
        <f>IF(AND(CROQUIS!$C$88=1,CROQUIS!$C$129&gt;0),((CROQUIS!$C$161+(IF(CROQUIS!$C$92="X",((CROQUIS!$C$107/2+(((CROQUIS!$C$98)-CROQUIS!$C$107)-(MAX(1,INT(((CROQUIS!$C$98)-CROQUIS!$C$107)/MAX((CROQUIS!$C$129*MAX(1,CEILING((INT(((CROQUIS!$C$98)-CROQUIS!$C$107)/MAX(CROQUIS!$C$129,1))+1)/80,1))),1))+1)-1)*(CROQUIS!$C$129*MAX(1,CEILING((INT(((CROQUIS!$C$98)-CROQUIS!$C$107)/MAX(CROQUIS!$C$129,1))+1)/80,1))))/2)+MIN(INT(($A258-1)/5),MAX((MAX(1,INT(((CROQUIS!$C$98)-CROQUIS!$C$107)/MAX((CROQUIS!$C$129*MAX(1,CEILING((INT(((CROQUIS!$C$98)-CROQUIS!$C$107)/MAX(CROQUIS!$C$129,1))+1)/80,1))),1))+1))-1,0))*(CROQUIS!$C$129*MAX(1,CEILING((INT(((CROQUIS!$C$98)-CROQUIS!$C$107)/MAX(CROQUIS!$C$129,1))+1)/80,1)))),CHOOSE(IF(INT(($A258-1)/5)&gt;MAX((MAX(1,INT(((CROQUIS!$C$98)-CROQUIS!$C$107)/MAX((CROQUIS!$C$129*MAX(1,CEILING((INT(((CROQUIS!$C$98)-CROQUIS!$C$107)/MAX(CROQUIS!$C$129,1))+1)/80,1))),1))+1))-1,0),0,MOD($A258-1,5))+1,0,2,CROQUIS!$C$97-2,2,0)))*CROQUIS!$C$159)+IF(CROQUIS!$C$92="X",0,0)),-1000)</f>
        <v>-1000</v>
      </c>
      <c r="BP258">
        <f>IF(AND(CROQUIS!$C$88=1,CROQUIS!$C$137&gt;0),((CROQUIS!$C$160+(IF(CROQUIS!$C$92="X",((CROQUIS!$C$107/2+(((CROQUIS!$C$97)-CROQUIS!$C$107)-(MAX(1,INT(((CROQUIS!$C$97)-CROQUIS!$C$107)/MAX((CROQUIS!$C$137*MAX(1,CEILING((INT(((CROQUIS!$C$97)-CROQUIS!$C$107)/MAX(CROQUIS!$C$137,1))+1)/80,1))),1))+1)-1)*(CROQUIS!$C$137*MAX(1,CEILING((INT(((CROQUIS!$C$97)-CROQUIS!$C$107)/MAX(CROQUIS!$C$137,1))+1)/80,1))))/2)+MIN(INT(($A258-1)/5),MAX((MAX(1,INT(((CROQUIS!$C$97)-CROQUIS!$C$107)/MAX((CROQUIS!$C$137*MAX(1,CEILING((INT(((CROQUIS!$C$97)-CROQUIS!$C$107)/MAX(CROQUIS!$C$137,1))+1)/80,1))),1))+1))-1,0))*(CROQUIS!$C$137*MAX(1,CEILING((INT(((CROQUIS!$C$97)-CROQUIS!$C$107)/MAX(CROQUIS!$C$137,1))+1)/80,1)))),CHOOSE(IF(INT(($A258-1)/5)&gt;MAX((MAX(1,INT(((CROQUIS!$C$97)-CROQUIS!$C$107)/MAX((CROQUIS!$C$137*MAX(1,CEILING((INT(((CROQUIS!$C$97)-CROQUIS!$C$107)/MAX(CROQUIS!$C$137,1))+1)/80,1))),1))+1))-1,0),0,MOD($A258-1,5))+1,0,2,CROQUIS!$C$98-2,2,0)))*CROQUIS!$C$159)+IF(CROQUIS!$C$92="X",0,0)),-1000)</f>
        <v>-1000</v>
      </c>
      <c r="BQ258">
        <f>IF(AND(CROQUIS!$C$88=1,CROQUIS!$C$137&gt;0),((CROQUIS!$C$161+(IF(CROQUIS!$C$92="X",CHOOSE(IF(INT(($A258-1)/5)&gt;MAX((MAX(1,INT(((CROQUIS!$C$97)-CROQUIS!$C$107)/MAX((CROQUIS!$C$137*MAX(1,CEILING((INT(((CROQUIS!$C$97)-CROQUIS!$C$107)/MAX(CROQUIS!$C$137,1))+1)/80,1))),1))+1))-1,0),0,MOD($A258-1,5))+1,0,2,CROQUIS!$C$98-2,2,0),((CROQUIS!$C$107/2+(((CROQUIS!$C$97)-CROQUIS!$C$107)-(MAX(1,INT(((CROQUIS!$C$97)-CROQUIS!$C$107)/MAX((CROQUIS!$C$137*MAX(1,CEILING((INT(((CROQUIS!$C$97)-CROQUIS!$C$107)/MAX(CROQUIS!$C$137,1))+1)/80,1))),1))+1)-1)*(CROQUIS!$C$137*MAX(1,CEILING((INT(((CROQUIS!$C$97)-CROQUIS!$C$107)/MAX(CROQUIS!$C$137,1))+1)/80,1))))/2)+MIN(INT(($A258-1)/5),MAX((MAX(1,INT(((CROQUIS!$C$97)-CROQUIS!$C$107)/MAX((CROQUIS!$C$137*MAX(1,CEILING((INT(((CROQUIS!$C$97)-CROQUIS!$C$107)/MAX(CROQUIS!$C$137,1))+1)/80,1))),1))+1))-1,0))*(CROQUIS!$C$137*MAX(1,CEILING((INT(((CROQUIS!$C$97)-CROQUIS!$C$107)/MAX(CROQUIS!$C$137,1))+1)/80,1))))))*CROQUIS!$C$159)+IF(CROQUIS!$C$92="X",0,0)),-1000)</f>
        <v>-1000</v>
      </c>
      <c r="BR258">
        <f>IF(AND(CROQUIS!$C$88=1,CROQUIS!$C$91=0,CROQUIS!$C$133&gt;0,OR(CROQUIS!$C$103=1,CROQUIS!$C$145=1)),((CROQUIS!$C$160+(IF(CROQUIS!$C$92="X",CHOOSE(IF(INT(($A258-1)/5)&gt;MAX((MAX(1,INT(((CROQUIS!$C$98)-CROQUIS!$C$107)/MAX((CROQUIS!$C$133*MAX(1,CEILING((INT(((CROQUIS!$C$98)-CROQUIS!$C$107)/MAX(CROQUIS!$C$133,1))+1)/80,1))),1))+1))-1,0),0,MOD($A258-1,5))+1,0,IF(CROQUIS!$C$103=1,-12,2),CROQUIS!$C$107/2+CROQUIS!$C$143,IF(CROQUIS!$C$103=1,-12,2),0),((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BS2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+1,0,IF(CROQUIS!$C$103=1,-12,2),CROQUIS!$C$107/2+CROQUIS!$C$143,IF(CROQUIS!$C$103=1,-12,2),0)))*CROQUIS!$C$159)+IF(CROQUIS!$C$92="X",0.8,0)),-1000)</f>
        <v>-1000</v>
      </c>
      <c r="BT258">
        <f>IF(AND(CROQUIS!$C$88=1,CROQUIS!$C$91=0,CROQUIS!$C$133&gt;0,OR(CROQUIS!$C$104=1,CROQUIS!$C$145=1)),((CROQUIS!$C$160+(IF(CROQUIS!$C$92="X",CHOOSE(IF(INT(($A258-1)/5)&gt;MAX((MAX(1,INT(((CROQUIS!$C$98)-CROQUIS!$C$107)/MAX((CROQUIS!$C$133*MAX(1,CEILING((INT(((CROQUIS!$C$98)-CROQUIS!$C$107)/MAX(CROQUIS!$C$133,1))+1)/80,1))),1))+1))-1,0),0,MOD($A258-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BU2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CROQUIS!$C$97,CROQUIS!$C$97-CROQUIS!$C$107/2-CROQUIS!$C$143,IF(CROQUIS!$C$104=1,CROQUIS!$C$97+12,CROQUIS!$C$97-2),CROQUIS!$C$97-CROQUIS!$C$107/2-CROQUIS!$C$143,CROQUIS!$C$97)))*CROQUIS!$C$159)+IF(CROQUIS!$C$92="X",0.8,0)),-1000)</f>
        <v>-1000</v>
      </c>
      <c r="BV2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HOOSE(IF(INT(($A258-1)/5)&gt;MAX((MAX(1,INT(((CROQUIS!$C$97)-CROQUIS!$C$107)/MAX((CROQUIS!$C$141*MAX(1,CEILING((INT(((CROQUIS!$C$97)-CROQUIS!$C$107)/MAX(CROQUIS!$C$141,1))+1)/80,1))),1))+1))-1,0),0,MOD($A258-1,5))+1,0,IF(CROQUIS!$C$105=1,-12,2),CROQUIS!$C$107/2+CROQUIS!$C$144,IF(CROQUIS!$C$105=1,-12,2),0)))*CROQUIS!$C$159)+IF(CROQUIS!$C$92="X",0.8,0)),-1000)</f>
        <v>-1000</v>
      </c>
      <c r="BW258">
        <f>IF(AND(CROQUIS!$C$88=1,CROQUIS!$C$91=0,CROQUIS!$C$141&gt;0,OR(CROQUIS!$C$105=1,CROQUIS!$C$146=1)),((CROQUIS!$C$161+(IF(CROQUIS!$C$92="X",CHOOSE(IF(INT(($A258-1)/5)&gt;MAX((MAX(1,INT(((CROQUIS!$C$97)-CROQUIS!$C$107)/MAX((CROQUIS!$C$141*MAX(1,CEILING((INT(((CROQUIS!$C$97)-CROQUIS!$C$107)/MAX(CROQUIS!$C$141,1))+1)/80,1))),1))+1))-1,0),0,MOD($A258-1,5))+1,0,IF(CROQUIS!$C$105=1,-12,2),CROQUIS!$C$107/2+CROQUIS!$C$144,IF(CROQUIS!$C$105=1,-12,2),0),((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ROQUIS!$C$159)+IF(CROQUIS!$C$92="X",0,0.8)),-1000)</f>
        <v>-1000</v>
      </c>
      <c r="BX2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HOOSE(IF(INT(($A258-1)/5)&gt;MAX((MAX(1,INT(((CROQUIS!$C$97)-CROQUIS!$C$107)/MAX((CROQUIS!$C$141*MAX(1,CEILING((INT(((CROQUIS!$C$97)-CROQUIS!$C$107)/MAX(CROQUIS!$C$141,1))+1)/80,1))),1))+1))-1,0),0,MOD($A258-1,5))+1,CROQUIS!$C$98,CROQUIS!$C$98-CROQUIS!$C$107/2-CROQUIS!$C$144,IF(CROQUIS!$C$106=1,CROQUIS!$C$98+12,CROQUIS!$C$98-2),CROQUIS!$C$98-CROQUIS!$C$107/2-CROQUIS!$C$144,CROQUIS!$C$98)))*CROQUIS!$C$159)+IF(CROQUIS!$C$92="X",0.8,0)),-1000)</f>
        <v>-1000</v>
      </c>
      <c r="BY258">
        <f>IF(AND(CROQUIS!$C$88=1,CROQUIS!$C$91=0,CROQUIS!$C$141&gt;0,OR(CROQUIS!$C$106=1,CROQUIS!$C$146=1)),((CROQUIS!$C$161+(IF(CROQUIS!$C$92="X",CHOOSE(IF(INT(($A258-1)/5)&gt;MAX((MAX(1,INT(((CROQUIS!$C$97)-CROQUIS!$C$107)/MAX((CROQUIS!$C$141*MAX(1,CEILING((INT(((CROQUIS!$C$97)-CROQUIS!$C$107)/MAX(CROQUIS!$C$141,1))+1)/80,1))),1))+1))-1,0),0,MOD($A258-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ROQUIS!$C$159)+IF(CROQUIS!$C$92="X",0,0.8)),-1000)</f>
        <v>-1000</v>
      </c>
      <c r="BZ258">
        <f>IF(AND(CROQUIS!$C$88=1,CROQUIS!$C$91=1,CROQUIS!$C$133&gt;0),((CROQUIS!$C$160+(IF(CROQUIS!$C$92="X",CHOOSE(IF(INT(($A258-1)/5)&gt;MAX((MAX(1,INT(((CROQUIS!$C$98)-CROQUIS!$C$107)/MAX((CROQUIS!$C$133*MAX(1,CEILING((INT(((CROQUIS!$C$98)-CROQUIS!$C$107)/MAX(CROQUIS!$C$133,1))+1)/80,1))),1))+1))-1,0),0,MOD($A258-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CA258">
        <f>IF(AND(CROQUIS!$C$88=1,CROQUIS!$C$91=1,CROQUIS!$C$133&gt;0),((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9">
      <c r="A259" t="n">
        <v>252</v>
      </c>
      <c r="BN259">
        <f>IF(AND(CROQUIS!$C$88=1,CROQUIS!$C$129&gt;0),((CROQUIS!$C$160+(IF(CROQUIS!$C$92="X",CHOOSE(IF(INT(($A259-1)/5)&gt;MAX((MAX(1,INT(((CROQUIS!$C$98)-CROQUIS!$C$107)/MAX((CROQUIS!$C$129*MAX(1,CEILING((INT(((CROQUIS!$C$98)-CROQUIS!$C$107)/MAX(CROQUIS!$C$129,1))+1)/80,1))),1))+1))-1,0),0,MOD($A259-1,5))+1,0,2,CROQUIS!$C$97-2,2,0),((CROQUIS!$C$107/2+(((CROQUIS!$C$98)-CROQUIS!$C$107)-(MAX(1,INT(((CROQUIS!$C$98)-CROQUIS!$C$107)/MAX((CROQUIS!$C$129*MAX(1,CEILING((INT(((CROQUIS!$C$98)-CROQUIS!$C$107)/MAX(CROQUIS!$C$129,1))+1)/80,1))),1))+1)-1)*(CROQUIS!$C$129*MAX(1,CEILING((INT(((CROQUIS!$C$98)-CROQUIS!$C$107)/MAX(CROQUIS!$C$129,1))+1)/80,1))))/2)+MIN(INT(($A259-1)/5),MAX((MAX(1,INT(((CROQUIS!$C$98)-CROQUIS!$C$107)/MAX((CROQUIS!$C$129*MAX(1,CEILING((INT(((CROQUIS!$C$98)-CROQUIS!$C$107)/MAX(CROQUIS!$C$129,1))+1)/80,1))),1))+1))-1,0))*(CROQUIS!$C$129*MAX(1,CEILING((INT(((CROQUIS!$C$98)-CROQUIS!$C$107)/MAX(CROQUIS!$C$129,1))+1)/80,1))))))*CROQUIS!$C$159)+IF(CROQUIS!$C$92="X",0,0)),-1000)</f>
        <v>-1000</v>
      </c>
      <c r="BO259">
        <f>IF(AND(CROQUIS!$C$88=1,CROQUIS!$C$129&gt;0),((CROQUIS!$C$161+(IF(CROQUIS!$C$92="X",((CROQUIS!$C$107/2+(((CROQUIS!$C$98)-CROQUIS!$C$107)-(MAX(1,INT(((CROQUIS!$C$98)-CROQUIS!$C$107)/MAX((CROQUIS!$C$129*MAX(1,CEILING((INT(((CROQUIS!$C$98)-CROQUIS!$C$107)/MAX(CROQUIS!$C$129,1))+1)/80,1))),1))+1)-1)*(CROQUIS!$C$129*MAX(1,CEILING((INT(((CROQUIS!$C$98)-CROQUIS!$C$107)/MAX(CROQUIS!$C$129,1))+1)/80,1))))/2)+MIN(INT(($A259-1)/5),MAX((MAX(1,INT(((CROQUIS!$C$98)-CROQUIS!$C$107)/MAX((CROQUIS!$C$129*MAX(1,CEILING((INT(((CROQUIS!$C$98)-CROQUIS!$C$107)/MAX(CROQUIS!$C$129,1))+1)/80,1))),1))+1))-1,0))*(CROQUIS!$C$129*MAX(1,CEILING((INT(((CROQUIS!$C$98)-CROQUIS!$C$107)/MAX(CROQUIS!$C$129,1))+1)/80,1)))),CHOOSE(IF(INT(($A259-1)/5)&gt;MAX((MAX(1,INT(((CROQUIS!$C$98)-CROQUIS!$C$107)/MAX((CROQUIS!$C$129*MAX(1,CEILING((INT(((CROQUIS!$C$98)-CROQUIS!$C$107)/MAX(CROQUIS!$C$129,1))+1)/80,1))),1))+1))-1,0),0,MOD($A259-1,5))+1,0,2,CROQUIS!$C$97-2,2,0)))*CROQUIS!$C$159)+IF(CROQUIS!$C$92="X",0,0)),-1000)</f>
        <v>-1000</v>
      </c>
      <c r="BP259">
        <f>IF(AND(CROQUIS!$C$88=1,CROQUIS!$C$137&gt;0),((CROQUIS!$C$160+(IF(CROQUIS!$C$92="X",((CROQUIS!$C$107/2+(((CROQUIS!$C$97)-CROQUIS!$C$107)-(MAX(1,INT(((CROQUIS!$C$97)-CROQUIS!$C$107)/MAX((CROQUIS!$C$137*MAX(1,CEILING((INT(((CROQUIS!$C$97)-CROQUIS!$C$107)/MAX(CROQUIS!$C$137,1))+1)/80,1))),1))+1)-1)*(CROQUIS!$C$137*MAX(1,CEILING((INT(((CROQUIS!$C$97)-CROQUIS!$C$107)/MAX(CROQUIS!$C$137,1))+1)/80,1))))/2)+MIN(INT(($A259-1)/5),MAX((MAX(1,INT(((CROQUIS!$C$97)-CROQUIS!$C$107)/MAX((CROQUIS!$C$137*MAX(1,CEILING((INT(((CROQUIS!$C$97)-CROQUIS!$C$107)/MAX(CROQUIS!$C$137,1))+1)/80,1))),1))+1))-1,0))*(CROQUIS!$C$137*MAX(1,CEILING((INT(((CROQUIS!$C$97)-CROQUIS!$C$107)/MAX(CROQUIS!$C$137,1))+1)/80,1)))),CHOOSE(IF(INT(($A259-1)/5)&gt;MAX((MAX(1,INT(((CROQUIS!$C$97)-CROQUIS!$C$107)/MAX((CROQUIS!$C$137*MAX(1,CEILING((INT(((CROQUIS!$C$97)-CROQUIS!$C$107)/MAX(CROQUIS!$C$137,1))+1)/80,1))),1))+1))-1,0),0,MOD($A259-1,5))+1,0,2,CROQUIS!$C$98-2,2,0)))*CROQUIS!$C$159)+IF(CROQUIS!$C$92="X",0,0)),-1000)</f>
        <v>-1000</v>
      </c>
      <c r="BQ259">
        <f>IF(AND(CROQUIS!$C$88=1,CROQUIS!$C$137&gt;0),((CROQUIS!$C$161+(IF(CROQUIS!$C$92="X",CHOOSE(IF(INT(($A259-1)/5)&gt;MAX((MAX(1,INT(((CROQUIS!$C$97)-CROQUIS!$C$107)/MAX((CROQUIS!$C$137*MAX(1,CEILING((INT(((CROQUIS!$C$97)-CROQUIS!$C$107)/MAX(CROQUIS!$C$137,1))+1)/80,1))),1))+1))-1,0),0,MOD($A259-1,5))+1,0,2,CROQUIS!$C$98-2,2,0),((CROQUIS!$C$107/2+(((CROQUIS!$C$97)-CROQUIS!$C$107)-(MAX(1,INT(((CROQUIS!$C$97)-CROQUIS!$C$107)/MAX((CROQUIS!$C$137*MAX(1,CEILING((INT(((CROQUIS!$C$97)-CROQUIS!$C$107)/MAX(CROQUIS!$C$137,1))+1)/80,1))),1))+1)-1)*(CROQUIS!$C$137*MAX(1,CEILING((INT(((CROQUIS!$C$97)-CROQUIS!$C$107)/MAX(CROQUIS!$C$137,1))+1)/80,1))))/2)+MIN(INT(($A259-1)/5),MAX((MAX(1,INT(((CROQUIS!$C$97)-CROQUIS!$C$107)/MAX((CROQUIS!$C$137*MAX(1,CEILING((INT(((CROQUIS!$C$97)-CROQUIS!$C$107)/MAX(CROQUIS!$C$137,1))+1)/80,1))),1))+1))-1,0))*(CROQUIS!$C$137*MAX(1,CEILING((INT(((CROQUIS!$C$97)-CROQUIS!$C$107)/MAX(CROQUIS!$C$137,1))+1)/80,1))))))*CROQUIS!$C$159)+IF(CROQUIS!$C$92="X",0,0)),-1000)</f>
        <v>-1000</v>
      </c>
      <c r="BR259">
        <f>IF(AND(CROQUIS!$C$88=1,CROQUIS!$C$91=0,CROQUIS!$C$133&gt;0,OR(CROQUIS!$C$103=1,CROQUIS!$C$145=1)),((CROQUIS!$C$160+(IF(CROQUIS!$C$92="X",CHOOSE(IF(INT(($A259-1)/5)&gt;MAX((MAX(1,INT(((CROQUIS!$C$98)-CROQUIS!$C$107)/MAX((CROQUIS!$C$133*MAX(1,CEILING((INT(((CROQUIS!$C$98)-CROQUIS!$C$107)/MAX(CROQUIS!$C$133,1))+1)/80,1))),1))+1))-1,0),0,MOD($A259-1,5))+1,0,IF(CROQUIS!$C$103=1,-12,2),CROQUIS!$C$107/2+CROQUIS!$C$143,IF(CROQUIS!$C$103=1,-12,2),0),((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BS2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+1,0,IF(CROQUIS!$C$103=1,-12,2),CROQUIS!$C$107/2+CROQUIS!$C$143,IF(CROQUIS!$C$103=1,-12,2),0)))*CROQUIS!$C$159)+IF(CROQUIS!$C$92="X",0.8,0)),-1000)</f>
        <v>-1000</v>
      </c>
      <c r="BT259">
        <f>IF(AND(CROQUIS!$C$88=1,CROQUIS!$C$91=0,CROQUIS!$C$133&gt;0,OR(CROQUIS!$C$104=1,CROQUIS!$C$145=1)),((CROQUIS!$C$160+(IF(CROQUIS!$C$92="X",CHOOSE(IF(INT(($A259-1)/5)&gt;MAX((MAX(1,INT(((CROQUIS!$C$98)-CROQUIS!$C$107)/MAX((CROQUIS!$C$133*MAX(1,CEILING((INT(((CROQUIS!$C$98)-CROQUIS!$C$107)/MAX(CROQUIS!$C$133,1))+1)/80,1))),1))+1))-1,0),0,MOD($A259-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BU2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CROQUIS!$C$97,CROQUIS!$C$97-CROQUIS!$C$107/2-CROQUIS!$C$143,IF(CROQUIS!$C$104=1,CROQUIS!$C$97+12,CROQUIS!$C$97-2),CROQUIS!$C$97-CROQUIS!$C$107/2-CROQUIS!$C$143,CROQUIS!$C$97)))*CROQUIS!$C$159)+IF(CROQUIS!$C$92="X",0.8,0)),-1000)</f>
        <v>-1000</v>
      </c>
      <c r="BV2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HOOSE(IF(INT(($A259-1)/5)&gt;MAX((MAX(1,INT(((CROQUIS!$C$97)-CROQUIS!$C$107)/MAX((CROQUIS!$C$141*MAX(1,CEILING((INT(((CROQUIS!$C$97)-CROQUIS!$C$107)/MAX(CROQUIS!$C$141,1))+1)/80,1))),1))+1))-1,0),0,MOD($A259-1,5))+1,0,IF(CROQUIS!$C$105=1,-12,2),CROQUIS!$C$107/2+CROQUIS!$C$144,IF(CROQUIS!$C$105=1,-12,2),0)))*CROQUIS!$C$159)+IF(CROQUIS!$C$92="X",0.8,0)),-1000)</f>
        <v>-1000</v>
      </c>
      <c r="BW259">
        <f>IF(AND(CROQUIS!$C$88=1,CROQUIS!$C$91=0,CROQUIS!$C$141&gt;0,OR(CROQUIS!$C$105=1,CROQUIS!$C$146=1)),((CROQUIS!$C$161+(IF(CROQUIS!$C$92="X",CHOOSE(IF(INT(($A259-1)/5)&gt;MAX((MAX(1,INT(((CROQUIS!$C$97)-CROQUIS!$C$107)/MAX((CROQUIS!$C$141*MAX(1,CEILING((INT(((CROQUIS!$C$97)-CROQUIS!$C$107)/MAX(CROQUIS!$C$141,1))+1)/80,1))),1))+1))-1,0),0,MOD($A259-1,5))+1,0,IF(CROQUIS!$C$105=1,-12,2),CROQUIS!$C$107/2+CROQUIS!$C$144,IF(CROQUIS!$C$105=1,-12,2),0),((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ROQUIS!$C$159)+IF(CROQUIS!$C$92="X",0,0.8)),-1000)</f>
        <v>-1000</v>
      </c>
      <c r="BX2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HOOSE(IF(INT(($A259-1)/5)&gt;MAX((MAX(1,INT(((CROQUIS!$C$97)-CROQUIS!$C$107)/MAX((CROQUIS!$C$141*MAX(1,CEILING((INT(((CROQUIS!$C$97)-CROQUIS!$C$107)/MAX(CROQUIS!$C$141,1))+1)/80,1))),1))+1))-1,0),0,MOD($A259-1,5))+1,CROQUIS!$C$98,CROQUIS!$C$98-CROQUIS!$C$107/2-CROQUIS!$C$144,IF(CROQUIS!$C$106=1,CROQUIS!$C$98+12,CROQUIS!$C$98-2),CROQUIS!$C$98-CROQUIS!$C$107/2-CROQUIS!$C$144,CROQUIS!$C$98)))*CROQUIS!$C$159)+IF(CROQUIS!$C$92="X",0.8,0)),-1000)</f>
        <v>-1000</v>
      </c>
      <c r="BY259">
        <f>IF(AND(CROQUIS!$C$88=1,CROQUIS!$C$91=0,CROQUIS!$C$141&gt;0,OR(CROQUIS!$C$106=1,CROQUIS!$C$146=1)),((CROQUIS!$C$161+(IF(CROQUIS!$C$92="X",CHOOSE(IF(INT(($A259-1)/5)&gt;MAX((MAX(1,INT(((CROQUIS!$C$97)-CROQUIS!$C$107)/MAX((CROQUIS!$C$141*MAX(1,CEILING((INT(((CROQUIS!$C$97)-CROQUIS!$C$107)/MAX(CROQUIS!$C$141,1))+1)/80,1))),1))+1))-1,0),0,MOD($A259-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ROQUIS!$C$159)+IF(CROQUIS!$C$92="X",0,0.8)),-1000)</f>
        <v>-1000</v>
      </c>
      <c r="BZ259">
        <f>IF(AND(CROQUIS!$C$88=1,CROQUIS!$C$91=1,CROQUIS!$C$133&gt;0),((CROQUIS!$C$160+(IF(CROQUIS!$C$92="X",CHOOSE(IF(INT(($A259-1)/5)&gt;MAX((MAX(1,INT(((CROQUIS!$C$98)-CROQUIS!$C$107)/MAX((CROQUIS!$C$133*MAX(1,CEILING((INT(((CROQUIS!$C$98)-CROQUIS!$C$107)/MAX(CROQUIS!$C$133,1))+1)/80,1))),1))+1))-1,0),0,MOD($A259-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CA259">
        <f>IF(AND(CROQUIS!$C$88=1,CROQUIS!$C$91=1,CROQUIS!$C$133&gt;0),((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0">
      <c r="A260" t="n">
        <v>253</v>
      </c>
      <c r="BN260">
        <f>IF(AND(CROQUIS!$C$88=1,CROQUIS!$C$129&gt;0),((CROQUIS!$C$160+(IF(CROQUIS!$C$92="X",CHOOSE(IF(INT(($A260-1)/5)&gt;MAX((MAX(1,INT(((CROQUIS!$C$98)-CROQUIS!$C$107)/MAX((CROQUIS!$C$129*MAX(1,CEILING((INT(((CROQUIS!$C$98)-CROQUIS!$C$107)/MAX(CROQUIS!$C$129,1))+1)/80,1))),1))+1))-1,0),0,MOD($A260-1,5))+1,0,2,CROQUIS!$C$97-2,2,0),((CROQUIS!$C$107/2+(((CROQUIS!$C$98)-CROQUIS!$C$107)-(MAX(1,INT(((CROQUIS!$C$98)-CROQUIS!$C$107)/MAX((CROQUIS!$C$129*MAX(1,CEILING((INT(((CROQUIS!$C$98)-CROQUIS!$C$107)/MAX(CROQUIS!$C$129,1))+1)/80,1))),1))+1)-1)*(CROQUIS!$C$129*MAX(1,CEILING((INT(((CROQUIS!$C$98)-CROQUIS!$C$107)/MAX(CROQUIS!$C$129,1))+1)/80,1))))/2)+MIN(INT(($A260-1)/5),MAX((MAX(1,INT(((CROQUIS!$C$98)-CROQUIS!$C$107)/MAX((CROQUIS!$C$129*MAX(1,CEILING((INT(((CROQUIS!$C$98)-CROQUIS!$C$107)/MAX(CROQUIS!$C$129,1))+1)/80,1))),1))+1))-1,0))*(CROQUIS!$C$129*MAX(1,CEILING((INT(((CROQUIS!$C$98)-CROQUIS!$C$107)/MAX(CROQUIS!$C$129,1))+1)/80,1))))))*CROQUIS!$C$159)+IF(CROQUIS!$C$92="X",0,0)),-1000)</f>
        <v>-1000</v>
      </c>
      <c r="BO260">
        <f>IF(AND(CROQUIS!$C$88=1,CROQUIS!$C$129&gt;0),((CROQUIS!$C$161+(IF(CROQUIS!$C$92="X",((CROQUIS!$C$107/2+(((CROQUIS!$C$98)-CROQUIS!$C$107)-(MAX(1,INT(((CROQUIS!$C$98)-CROQUIS!$C$107)/MAX((CROQUIS!$C$129*MAX(1,CEILING((INT(((CROQUIS!$C$98)-CROQUIS!$C$107)/MAX(CROQUIS!$C$129,1))+1)/80,1))),1))+1)-1)*(CROQUIS!$C$129*MAX(1,CEILING((INT(((CROQUIS!$C$98)-CROQUIS!$C$107)/MAX(CROQUIS!$C$129,1))+1)/80,1))))/2)+MIN(INT(($A260-1)/5),MAX((MAX(1,INT(((CROQUIS!$C$98)-CROQUIS!$C$107)/MAX((CROQUIS!$C$129*MAX(1,CEILING((INT(((CROQUIS!$C$98)-CROQUIS!$C$107)/MAX(CROQUIS!$C$129,1))+1)/80,1))),1))+1))-1,0))*(CROQUIS!$C$129*MAX(1,CEILING((INT(((CROQUIS!$C$98)-CROQUIS!$C$107)/MAX(CROQUIS!$C$129,1))+1)/80,1)))),CHOOSE(IF(INT(($A260-1)/5)&gt;MAX((MAX(1,INT(((CROQUIS!$C$98)-CROQUIS!$C$107)/MAX((CROQUIS!$C$129*MAX(1,CEILING((INT(((CROQUIS!$C$98)-CROQUIS!$C$107)/MAX(CROQUIS!$C$129,1))+1)/80,1))),1))+1))-1,0),0,MOD($A260-1,5))+1,0,2,CROQUIS!$C$97-2,2,0)))*CROQUIS!$C$159)+IF(CROQUIS!$C$92="X",0,0)),-1000)</f>
        <v>-1000</v>
      </c>
      <c r="BP260">
        <f>IF(AND(CROQUIS!$C$88=1,CROQUIS!$C$137&gt;0),((CROQUIS!$C$160+(IF(CROQUIS!$C$92="X",((CROQUIS!$C$107/2+(((CROQUIS!$C$97)-CROQUIS!$C$107)-(MAX(1,INT(((CROQUIS!$C$97)-CROQUIS!$C$107)/MAX((CROQUIS!$C$137*MAX(1,CEILING((INT(((CROQUIS!$C$97)-CROQUIS!$C$107)/MAX(CROQUIS!$C$137,1))+1)/80,1))),1))+1)-1)*(CROQUIS!$C$137*MAX(1,CEILING((INT(((CROQUIS!$C$97)-CROQUIS!$C$107)/MAX(CROQUIS!$C$137,1))+1)/80,1))))/2)+MIN(INT(($A260-1)/5),MAX((MAX(1,INT(((CROQUIS!$C$97)-CROQUIS!$C$107)/MAX((CROQUIS!$C$137*MAX(1,CEILING((INT(((CROQUIS!$C$97)-CROQUIS!$C$107)/MAX(CROQUIS!$C$137,1))+1)/80,1))),1))+1))-1,0))*(CROQUIS!$C$137*MAX(1,CEILING((INT(((CROQUIS!$C$97)-CROQUIS!$C$107)/MAX(CROQUIS!$C$137,1))+1)/80,1)))),CHOOSE(IF(INT(($A260-1)/5)&gt;MAX((MAX(1,INT(((CROQUIS!$C$97)-CROQUIS!$C$107)/MAX((CROQUIS!$C$137*MAX(1,CEILING((INT(((CROQUIS!$C$97)-CROQUIS!$C$107)/MAX(CROQUIS!$C$137,1))+1)/80,1))),1))+1))-1,0),0,MOD($A260-1,5))+1,0,2,CROQUIS!$C$98-2,2,0)))*CROQUIS!$C$159)+IF(CROQUIS!$C$92="X",0,0)),-1000)</f>
        <v>-1000</v>
      </c>
      <c r="BQ260">
        <f>IF(AND(CROQUIS!$C$88=1,CROQUIS!$C$137&gt;0),((CROQUIS!$C$161+(IF(CROQUIS!$C$92="X",CHOOSE(IF(INT(($A260-1)/5)&gt;MAX((MAX(1,INT(((CROQUIS!$C$97)-CROQUIS!$C$107)/MAX((CROQUIS!$C$137*MAX(1,CEILING((INT(((CROQUIS!$C$97)-CROQUIS!$C$107)/MAX(CROQUIS!$C$137,1))+1)/80,1))),1))+1))-1,0),0,MOD($A260-1,5))+1,0,2,CROQUIS!$C$98-2,2,0),((CROQUIS!$C$107/2+(((CROQUIS!$C$97)-CROQUIS!$C$107)-(MAX(1,INT(((CROQUIS!$C$97)-CROQUIS!$C$107)/MAX((CROQUIS!$C$137*MAX(1,CEILING((INT(((CROQUIS!$C$97)-CROQUIS!$C$107)/MAX(CROQUIS!$C$137,1))+1)/80,1))),1))+1)-1)*(CROQUIS!$C$137*MAX(1,CEILING((INT(((CROQUIS!$C$97)-CROQUIS!$C$107)/MAX(CROQUIS!$C$137,1))+1)/80,1))))/2)+MIN(INT(($A260-1)/5),MAX((MAX(1,INT(((CROQUIS!$C$97)-CROQUIS!$C$107)/MAX((CROQUIS!$C$137*MAX(1,CEILING((INT(((CROQUIS!$C$97)-CROQUIS!$C$107)/MAX(CROQUIS!$C$137,1))+1)/80,1))),1))+1))-1,0))*(CROQUIS!$C$137*MAX(1,CEILING((INT(((CROQUIS!$C$97)-CROQUIS!$C$107)/MAX(CROQUIS!$C$137,1))+1)/80,1))))))*CROQUIS!$C$159)+IF(CROQUIS!$C$92="X",0,0)),-1000)</f>
        <v>-1000</v>
      </c>
      <c r="BR260">
        <f>IF(AND(CROQUIS!$C$88=1,CROQUIS!$C$91=0,CROQUIS!$C$133&gt;0,OR(CROQUIS!$C$103=1,CROQUIS!$C$145=1)),((CROQUIS!$C$160+(IF(CROQUIS!$C$92="X",CHOOSE(IF(INT(($A260-1)/5)&gt;MAX((MAX(1,INT(((CROQUIS!$C$98)-CROQUIS!$C$107)/MAX((CROQUIS!$C$133*MAX(1,CEILING((INT(((CROQUIS!$C$98)-CROQUIS!$C$107)/MAX(CROQUIS!$C$133,1))+1)/80,1))),1))+1))-1,0),0,MOD($A260-1,5))+1,0,IF(CROQUIS!$C$103=1,-12,2),CROQUIS!$C$107/2+CROQUIS!$C$143,IF(CROQUIS!$C$103=1,-12,2),0),((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BS2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+1,0,IF(CROQUIS!$C$103=1,-12,2),CROQUIS!$C$107/2+CROQUIS!$C$143,IF(CROQUIS!$C$103=1,-12,2),0)))*CROQUIS!$C$159)+IF(CROQUIS!$C$92="X",0.8,0)),-1000)</f>
        <v>-1000</v>
      </c>
      <c r="BT260">
        <f>IF(AND(CROQUIS!$C$88=1,CROQUIS!$C$91=0,CROQUIS!$C$133&gt;0,OR(CROQUIS!$C$104=1,CROQUIS!$C$145=1)),((CROQUIS!$C$160+(IF(CROQUIS!$C$92="X",CHOOSE(IF(INT(($A260-1)/5)&gt;MAX((MAX(1,INT(((CROQUIS!$C$98)-CROQUIS!$C$107)/MAX((CROQUIS!$C$133*MAX(1,CEILING((INT(((CROQUIS!$C$98)-CROQUIS!$C$107)/MAX(CROQUIS!$C$133,1))+1)/80,1))),1))+1))-1,0),0,MOD($A260-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BU2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CROQUIS!$C$97,CROQUIS!$C$97-CROQUIS!$C$107/2-CROQUIS!$C$143,IF(CROQUIS!$C$104=1,CROQUIS!$C$97+12,CROQUIS!$C$97-2),CROQUIS!$C$97-CROQUIS!$C$107/2-CROQUIS!$C$143,CROQUIS!$C$97)))*CROQUIS!$C$159)+IF(CROQUIS!$C$92="X",0.8,0)),-1000)</f>
        <v>-1000</v>
      </c>
      <c r="BV2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HOOSE(IF(INT(($A260-1)/5)&gt;MAX((MAX(1,INT(((CROQUIS!$C$97)-CROQUIS!$C$107)/MAX((CROQUIS!$C$141*MAX(1,CEILING((INT(((CROQUIS!$C$97)-CROQUIS!$C$107)/MAX(CROQUIS!$C$141,1))+1)/80,1))),1))+1))-1,0),0,MOD($A260-1,5))+1,0,IF(CROQUIS!$C$105=1,-12,2),CROQUIS!$C$107/2+CROQUIS!$C$144,IF(CROQUIS!$C$105=1,-12,2),0)))*CROQUIS!$C$159)+IF(CROQUIS!$C$92="X",0.8,0)),-1000)</f>
        <v>-1000</v>
      </c>
      <c r="BW260">
        <f>IF(AND(CROQUIS!$C$88=1,CROQUIS!$C$91=0,CROQUIS!$C$141&gt;0,OR(CROQUIS!$C$105=1,CROQUIS!$C$146=1)),((CROQUIS!$C$161+(IF(CROQUIS!$C$92="X",CHOOSE(IF(INT(($A260-1)/5)&gt;MAX((MAX(1,INT(((CROQUIS!$C$97)-CROQUIS!$C$107)/MAX((CROQUIS!$C$141*MAX(1,CEILING((INT(((CROQUIS!$C$97)-CROQUIS!$C$107)/MAX(CROQUIS!$C$141,1))+1)/80,1))),1))+1))-1,0),0,MOD($A260-1,5))+1,0,IF(CROQUIS!$C$105=1,-12,2),CROQUIS!$C$107/2+CROQUIS!$C$144,IF(CROQUIS!$C$105=1,-12,2),0),((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ROQUIS!$C$159)+IF(CROQUIS!$C$92="X",0,0.8)),-1000)</f>
        <v>-1000</v>
      </c>
      <c r="BX2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HOOSE(IF(INT(($A260-1)/5)&gt;MAX((MAX(1,INT(((CROQUIS!$C$97)-CROQUIS!$C$107)/MAX((CROQUIS!$C$141*MAX(1,CEILING((INT(((CROQUIS!$C$97)-CROQUIS!$C$107)/MAX(CROQUIS!$C$141,1))+1)/80,1))),1))+1))-1,0),0,MOD($A260-1,5))+1,CROQUIS!$C$98,CROQUIS!$C$98-CROQUIS!$C$107/2-CROQUIS!$C$144,IF(CROQUIS!$C$106=1,CROQUIS!$C$98+12,CROQUIS!$C$98-2),CROQUIS!$C$98-CROQUIS!$C$107/2-CROQUIS!$C$144,CROQUIS!$C$98)))*CROQUIS!$C$159)+IF(CROQUIS!$C$92="X",0.8,0)),-1000)</f>
        <v>-1000</v>
      </c>
      <c r="BY260">
        <f>IF(AND(CROQUIS!$C$88=1,CROQUIS!$C$91=0,CROQUIS!$C$141&gt;0,OR(CROQUIS!$C$106=1,CROQUIS!$C$146=1)),((CROQUIS!$C$161+(IF(CROQUIS!$C$92="X",CHOOSE(IF(INT(($A260-1)/5)&gt;MAX((MAX(1,INT(((CROQUIS!$C$97)-CROQUIS!$C$107)/MAX((CROQUIS!$C$141*MAX(1,CEILING((INT(((CROQUIS!$C$97)-CROQUIS!$C$107)/MAX(CROQUIS!$C$141,1))+1)/80,1))),1))+1))-1,0),0,MOD($A260-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ROQUIS!$C$159)+IF(CROQUIS!$C$92="X",0,0.8)),-1000)</f>
        <v>-1000</v>
      </c>
      <c r="BZ260">
        <f>IF(AND(CROQUIS!$C$88=1,CROQUIS!$C$91=1,CROQUIS!$C$133&gt;0),((CROQUIS!$C$160+(IF(CROQUIS!$C$92="X",CHOOSE(IF(INT(($A260-1)/5)&gt;MAX((MAX(1,INT(((CROQUIS!$C$98)-CROQUIS!$C$107)/MAX((CROQUIS!$C$133*MAX(1,CEILING((INT(((CROQUIS!$C$98)-CROQUIS!$C$107)/MAX(CROQUIS!$C$133,1))+1)/80,1))),1))+1))-1,0),0,MOD($A260-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CA260">
        <f>IF(AND(CROQUIS!$C$88=1,CROQUIS!$C$91=1,CROQUIS!$C$133&gt;0),((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1">
      <c r="A261" t="n">
        <v>254</v>
      </c>
      <c r="BN261">
        <f>IF(AND(CROQUIS!$C$88=1,CROQUIS!$C$129&gt;0),((CROQUIS!$C$160+(IF(CROQUIS!$C$92="X",CHOOSE(IF(INT(($A261-1)/5)&gt;MAX((MAX(1,INT(((CROQUIS!$C$98)-CROQUIS!$C$107)/MAX((CROQUIS!$C$129*MAX(1,CEILING((INT(((CROQUIS!$C$98)-CROQUIS!$C$107)/MAX(CROQUIS!$C$129,1))+1)/80,1))),1))+1))-1,0),0,MOD($A261-1,5))+1,0,2,CROQUIS!$C$97-2,2,0),((CROQUIS!$C$107/2+(((CROQUIS!$C$98)-CROQUIS!$C$107)-(MAX(1,INT(((CROQUIS!$C$98)-CROQUIS!$C$107)/MAX((CROQUIS!$C$129*MAX(1,CEILING((INT(((CROQUIS!$C$98)-CROQUIS!$C$107)/MAX(CROQUIS!$C$129,1))+1)/80,1))),1))+1)-1)*(CROQUIS!$C$129*MAX(1,CEILING((INT(((CROQUIS!$C$98)-CROQUIS!$C$107)/MAX(CROQUIS!$C$129,1))+1)/80,1))))/2)+MIN(INT(($A261-1)/5),MAX((MAX(1,INT(((CROQUIS!$C$98)-CROQUIS!$C$107)/MAX((CROQUIS!$C$129*MAX(1,CEILING((INT(((CROQUIS!$C$98)-CROQUIS!$C$107)/MAX(CROQUIS!$C$129,1))+1)/80,1))),1))+1))-1,0))*(CROQUIS!$C$129*MAX(1,CEILING((INT(((CROQUIS!$C$98)-CROQUIS!$C$107)/MAX(CROQUIS!$C$129,1))+1)/80,1))))))*CROQUIS!$C$159)+IF(CROQUIS!$C$92="X",0,0)),-1000)</f>
        <v>-1000</v>
      </c>
      <c r="BO261">
        <f>IF(AND(CROQUIS!$C$88=1,CROQUIS!$C$129&gt;0),((CROQUIS!$C$161+(IF(CROQUIS!$C$92="X",((CROQUIS!$C$107/2+(((CROQUIS!$C$98)-CROQUIS!$C$107)-(MAX(1,INT(((CROQUIS!$C$98)-CROQUIS!$C$107)/MAX((CROQUIS!$C$129*MAX(1,CEILING((INT(((CROQUIS!$C$98)-CROQUIS!$C$107)/MAX(CROQUIS!$C$129,1))+1)/80,1))),1))+1)-1)*(CROQUIS!$C$129*MAX(1,CEILING((INT(((CROQUIS!$C$98)-CROQUIS!$C$107)/MAX(CROQUIS!$C$129,1))+1)/80,1))))/2)+MIN(INT(($A261-1)/5),MAX((MAX(1,INT(((CROQUIS!$C$98)-CROQUIS!$C$107)/MAX((CROQUIS!$C$129*MAX(1,CEILING((INT(((CROQUIS!$C$98)-CROQUIS!$C$107)/MAX(CROQUIS!$C$129,1))+1)/80,1))),1))+1))-1,0))*(CROQUIS!$C$129*MAX(1,CEILING((INT(((CROQUIS!$C$98)-CROQUIS!$C$107)/MAX(CROQUIS!$C$129,1))+1)/80,1)))),CHOOSE(IF(INT(($A261-1)/5)&gt;MAX((MAX(1,INT(((CROQUIS!$C$98)-CROQUIS!$C$107)/MAX((CROQUIS!$C$129*MAX(1,CEILING((INT(((CROQUIS!$C$98)-CROQUIS!$C$107)/MAX(CROQUIS!$C$129,1))+1)/80,1))),1))+1))-1,0),0,MOD($A261-1,5))+1,0,2,CROQUIS!$C$97-2,2,0)))*CROQUIS!$C$159)+IF(CROQUIS!$C$92="X",0,0)),-1000)</f>
        <v>-1000</v>
      </c>
      <c r="BP261">
        <f>IF(AND(CROQUIS!$C$88=1,CROQUIS!$C$137&gt;0),((CROQUIS!$C$160+(IF(CROQUIS!$C$92="X",((CROQUIS!$C$107/2+(((CROQUIS!$C$97)-CROQUIS!$C$107)-(MAX(1,INT(((CROQUIS!$C$97)-CROQUIS!$C$107)/MAX((CROQUIS!$C$137*MAX(1,CEILING((INT(((CROQUIS!$C$97)-CROQUIS!$C$107)/MAX(CROQUIS!$C$137,1))+1)/80,1))),1))+1)-1)*(CROQUIS!$C$137*MAX(1,CEILING((INT(((CROQUIS!$C$97)-CROQUIS!$C$107)/MAX(CROQUIS!$C$137,1))+1)/80,1))))/2)+MIN(INT(($A261-1)/5),MAX((MAX(1,INT(((CROQUIS!$C$97)-CROQUIS!$C$107)/MAX((CROQUIS!$C$137*MAX(1,CEILING((INT(((CROQUIS!$C$97)-CROQUIS!$C$107)/MAX(CROQUIS!$C$137,1))+1)/80,1))),1))+1))-1,0))*(CROQUIS!$C$137*MAX(1,CEILING((INT(((CROQUIS!$C$97)-CROQUIS!$C$107)/MAX(CROQUIS!$C$137,1))+1)/80,1)))),CHOOSE(IF(INT(($A261-1)/5)&gt;MAX((MAX(1,INT(((CROQUIS!$C$97)-CROQUIS!$C$107)/MAX((CROQUIS!$C$137*MAX(1,CEILING((INT(((CROQUIS!$C$97)-CROQUIS!$C$107)/MAX(CROQUIS!$C$137,1))+1)/80,1))),1))+1))-1,0),0,MOD($A261-1,5))+1,0,2,CROQUIS!$C$98-2,2,0)))*CROQUIS!$C$159)+IF(CROQUIS!$C$92="X",0,0)),-1000)</f>
        <v>-1000</v>
      </c>
      <c r="BQ261">
        <f>IF(AND(CROQUIS!$C$88=1,CROQUIS!$C$137&gt;0),((CROQUIS!$C$161+(IF(CROQUIS!$C$92="X",CHOOSE(IF(INT(($A261-1)/5)&gt;MAX((MAX(1,INT(((CROQUIS!$C$97)-CROQUIS!$C$107)/MAX((CROQUIS!$C$137*MAX(1,CEILING((INT(((CROQUIS!$C$97)-CROQUIS!$C$107)/MAX(CROQUIS!$C$137,1))+1)/80,1))),1))+1))-1,0),0,MOD($A261-1,5))+1,0,2,CROQUIS!$C$98-2,2,0),((CROQUIS!$C$107/2+(((CROQUIS!$C$97)-CROQUIS!$C$107)-(MAX(1,INT(((CROQUIS!$C$97)-CROQUIS!$C$107)/MAX((CROQUIS!$C$137*MAX(1,CEILING((INT(((CROQUIS!$C$97)-CROQUIS!$C$107)/MAX(CROQUIS!$C$137,1))+1)/80,1))),1))+1)-1)*(CROQUIS!$C$137*MAX(1,CEILING((INT(((CROQUIS!$C$97)-CROQUIS!$C$107)/MAX(CROQUIS!$C$137,1))+1)/80,1))))/2)+MIN(INT(($A261-1)/5),MAX((MAX(1,INT(((CROQUIS!$C$97)-CROQUIS!$C$107)/MAX((CROQUIS!$C$137*MAX(1,CEILING((INT(((CROQUIS!$C$97)-CROQUIS!$C$107)/MAX(CROQUIS!$C$137,1))+1)/80,1))),1))+1))-1,0))*(CROQUIS!$C$137*MAX(1,CEILING((INT(((CROQUIS!$C$97)-CROQUIS!$C$107)/MAX(CROQUIS!$C$137,1))+1)/80,1))))))*CROQUIS!$C$159)+IF(CROQUIS!$C$92="X",0,0)),-1000)</f>
        <v>-1000</v>
      </c>
      <c r="BR261">
        <f>IF(AND(CROQUIS!$C$88=1,CROQUIS!$C$91=0,CROQUIS!$C$133&gt;0,OR(CROQUIS!$C$103=1,CROQUIS!$C$145=1)),((CROQUIS!$C$160+(IF(CROQUIS!$C$92="X",CHOOSE(IF(INT(($A261-1)/5)&gt;MAX((MAX(1,INT(((CROQUIS!$C$98)-CROQUIS!$C$107)/MAX((CROQUIS!$C$133*MAX(1,CEILING((INT(((CROQUIS!$C$98)-CROQUIS!$C$107)/MAX(CROQUIS!$C$133,1))+1)/80,1))),1))+1))-1,0),0,MOD($A261-1,5))+1,0,IF(CROQUIS!$C$103=1,-12,2),CROQUIS!$C$107/2+CROQUIS!$C$143,IF(CROQUIS!$C$103=1,-12,2),0),((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BS2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+1,0,IF(CROQUIS!$C$103=1,-12,2),CROQUIS!$C$107/2+CROQUIS!$C$143,IF(CROQUIS!$C$103=1,-12,2),0)))*CROQUIS!$C$159)+IF(CROQUIS!$C$92="X",0.8,0)),-1000)</f>
        <v>-1000</v>
      </c>
      <c r="BT261">
        <f>IF(AND(CROQUIS!$C$88=1,CROQUIS!$C$91=0,CROQUIS!$C$133&gt;0,OR(CROQUIS!$C$104=1,CROQUIS!$C$145=1)),((CROQUIS!$C$160+(IF(CROQUIS!$C$92="X",CHOOSE(IF(INT(($A261-1)/5)&gt;MAX((MAX(1,INT(((CROQUIS!$C$98)-CROQUIS!$C$107)/MAX((CROQUIS!$C$133*MAX(1,CEILING((INT(((CROQUIS!$C$98)-CROQUIS!$C$107)/MAX(CROQUIS!$C$133,1))+1)/80,1))),1))+1))-1,0),0,MOD($A261-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BU2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CROQUIS!$C$97,CROQUIS!$C$97-CROQUIS!$C$107/2-CROQUIS!$C$143,IF(CROQUIS!$C$104=1,CROQUIS!$C$97+12,CROQUIS!$C$97-2),CROQUIS!$C$97-CROQUIS!$C$107/2-CROQUIS!$C$143,CROQUIS!$C$97)))*CROQUIS!$C$159)+IF(CROQUIS!$C$92="X",0.8,0)),-1000)</f>
        <v>-1000</v>
      </c>
      <c r="BV2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HOOSE(IF(INT(($A261-1)/5)&gt;MAX((MAX(1,INT(((CROQUIS!$C$97)-CROQUIS!$C$107)/MAX((CROQUIS!$C$141*MAX(1,CEILING((INT(((CROQUIS!$C$97)-CROQUIS!$C$107)/MAX(CROQUIS!$C$141,1))+1)/80,1))),1))+1))-1,0),0,MOD($A261-1,5))+1,0,IF(CROQUIS!$C$105=1,-12,2),CROQUIS!$C$107/2+CROQUIS!$C$144,IF(CROQUIS!$C$105=1,-12,2),0)))*CROQUIS!$C$159)+IF(CROQUIS!$C$92="X",0.8,0)),-1000)</f>
        <v>-1000</v>
      </c>
      <c r="BW261">
        <f>IF(AND(CROQUIS!$C$88=1,CROQUIS!$C$91=0,CROQUIS!$C$141&gt;0,OR(CROQUIS!$C$105=1,CROQUIS!$C$146=1)),((CROQUIS!$C$161+(IF(CROQUIS!$C$92="X",CHOOSE(IF(INT(($A261-1)/5)&gt;MAX((MAX(1,INT(((CROQUIS!$C$97)-CROQUIS!$C$107)/MAX((CROQUIS!$C$141*MAX(1,CEILING((INT(((CROQUIS!$C$97)-CROQUIS!$C$107)/MAX(CROQUIS!$C$141,1))+1)/80,1))),1))+1))-1,0),0,MOD($A261-1,5))+1,0,IF(CROQUIS!$C$105=1,-12,2),CROQUIS!$C$107/2+CROQUIS!$C$144,IF(CROQUIS!$C$105=1,-12,2),0),((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ROQUIS!$C$159)+IF(CROQUIS!$C$92="X",0,0.8)),-1000)</f>
        <v>-1000</v>
      </c>
      <c r="BX2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HOOSE(IF(INT(($A261-1)/5)&gt;MAX((MAX(1,INT(((CROQUIS!$C$97)-CROQUIS!$C$107)/MAX((CROQUIS!$C$141*MAX(1,CEILING((INT(((CROQUIS!$C$97)-CROQUIS!$C$107)/MAX(CROQUIS!$C$141,1))+1)/80,1))),1))+1))-1,0),0,MOD($A261-1,5))+1,CROQUIS!$C$98,CROQUIS!$C$98-CROQUIS!$C$107/2-CROQUIS!$C$144,IF(CROQUIS!$C$106=1,CROQUIS!$C$98+12,CROQUIS!$C$98-2),CROQUIS!$C$98-CROQUIS!$C$107/2-CROQUIS!$C$144,CROQUIS!$C$98)))*CROQUIS!$C$159)+IF(CROQUIS!$C$92="X",0.8,0)),-1000)</f>
        <v>-1000</v>
      </c>
      <c r="BY261">
        <f>IF(AND(CROQUIS!$C$88=1,CROQUIS!$C$91=0,CROQUIS!$C$141&gt;0,OR(CROQUIS!$C$106=1,CROQUIS!$C$146=1)),((CROQUIS!$C$161+(IF(CROQUIS!$C$92="X",CHOOSE(IF(INT(($A261-1)/5)&gt;MAX((MAX(1,INT(((CROQUIS!$C$97)-CROQUIS!$C$107)/MAX((CROQUIS!$C$141*MAX(1,CEILING((INT(((CROQUIS!$C$97)-CROQUIS!$C$107)/MAX(CROQUIS!$C$141,1))+1)/80,1))),1))+1))-1,0),0,MOD($A261-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ROQUIS!$C$159)+IF(CROQUIS!$C$92="X",0,0.8)),-1000)</f>
        <v>-1000</v>
      </c>
      <c r="BZ261">
        <f>IF(AND(CROQUIS!$C$88=1,CROQUIS!$C$91=1,CROQUIS!$C$133&gt;0),((CROQUIS!$C$160+(IF(CROQUIS!$C$92="X",CHOOSE(IF(INT(($A261-1)/5)&gt;MAX((MAX(1,INT(((CROQUIS!$C$98)-CROQUIS!$C$107)/MAX((CROQUIS!$C$133*MAX(1,CEILING((INT(((CROQUIS!$C$98)-CROQUIS!$C$107)/MAX(CROQUIS!$C$133,1))+1)/80,1))),1))+1))-1,0),0,MOD($A261-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CA261">
        <f>IF(AND(CROQUIS!$C$88=1,CROQUIS!$C$91=1,CROQUIS!$C$133&gt;0),((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2">
      <c r="A262" t="n">
        <v>255</v>
      </c>
      <c r="BN262">
        <f>IF(AND(CROQUIS!$C$88=1,CROQUIS!$C$129&gt;0),((CROQUIS!$C$160+(IF(CROQUIS!$C$92="X",CHOOSE(IF(INT(($A262-1)/5)&gt;MAX((MAX(1,INT(((CROQUIS!$C$98)-CROQUIS!$C$107)/MAX((CROQUIS!$C$129*MAX(1,CEILING((INT(((CROQUIS!$C$98)-CROQUIS!$C$107)/MAX(CROQUIS!$C$129,1))+1)/80,1))),1))+1))-1,0),0,MOD($A262-1,5))+1,0,2,CROQUIS!$C$97-2,2,0),((CROQUIS!$C$107/2+(((CROQUIS!$C$98)-CROQUIS!$C$107)-(MAX(1,INT(((CROQUIS!$C$98)-CROQUIS!$C$107)/MAX((CROQUIS!$C$129*MAX(1,CEILING((INT(((CROQUIS!$C$98)-CROQUIS!$C$107)/MAX(CROQUIS!$C$129,1))+1)/80,1))),1))+1)-1)*(CROQUIS!$C$129*MAX(1,CEILING((INT(((CROQUIS!$C$98)-CROQUIS!$C$107)/MAX(CROQUIS!$C$129,1))+1)/80,1))))/2)+MIN(INT(($A262-1)/5),MAX((MAX(1,INT(((CROQUIS!$C$98)-CROQUIS!$C$107)/MAX((CROQUIS!$C$129*MAX(1,CEILING((INT(((CROQUIS!$C$98)-CROQUIS!$C$107)/MAX(CROQUIS!$C$129,1))+1)/80,1))),1))+1))-1,0))*(CROQUIS!$C$129*MAX(1,CEILING((INT(((CROQUIS!$C$98)-CROQUIS!$C$107)/MAX(CROQUIS!$C$129,1))+1)/80,1))))))*CROQUIS!$C$159)+IF(CROQUIS!$C$92="X",0,0)),-1000)</f>
        <v>-1000</v>
      </c>
      <c r="BO262">
        <f>IF(AND(CROQUIS!$C$88=1,CROQUIS!$C$129&gt;0),((CROQUIS!$C$161+(IF(CROQUIS!$C$92="X",((CROQUIS!$C$107/2+(((CROQUIS!$C$98)-CROQUIS!$C$107)-(MAX(1,INT(((CROQUIS!$C$98)-CROQUIS!$C$107)/MAX((CROQUIS!$C$129*MAX(1,CEILING((INT(((CROQUIS!$C$98)-CROQUIS!$C$107)/MAX(CROQUIS!$C$129,1))+1)/80,1))),1))+1)-1)*(CROQUIS!$C$129*MAX(1,CEILING((INT(((CROQUIS!$C$98)-CROQUIS!$C$107)/MAX(CROQUIS!$C$129,1))+1)/80,1))))/2)+MIN(INT(($A262-1)/5),MAX((MAX(1,INT(((CROQUIS!$C$98)-CROQUIS!$C$107)/MAX((CROQUIS!$C$129*MAX(1,CEILING((INT(((CROQUIS!$C$98)-CROQUIS!$C$107)/MAX(CROQUIS!$C$129,1))+1)/80,1))),1))+1))-1,0))*(CROQUIS!$C$129*MAX(1,CEILING((INT(((CROQUIS!$C$98)-CROQUIS!$C$107)/MAX(CROQUIS!$C$129,1))+1)/80,1)))),CHOOSE(IF(INT(($A262-1)/5)&gt;MAX((MAX(1,INT(((CROQUIS!$C$98)-CROQUIS!$C$107)/MAX((CROQUIS!$C$129*MAX(1,CEILING((INT(((CROQUIS!$C$98)-CROQUIS!$C$107)/MAX(CROQUIS!$C$129,1))+1)/80,1))),1))+1))-1,0),0,MOD($A262-1,5))+1,0,2,CROQUIS!$C$97-2,2,0)))*CROQUIS!$C$159)+IF(CROQUIS!$C$92="X",0,0)),-1000)</f>
        <v>-1000</v>
      </c>
      <c r="BP262">
        <f>IF(AND(CROQUIS!$C$88=1,CROQUIS!$C$137&gt;0),((CROQUIS!$C$160+(IF(CROQUIS!$C$92="X",((CROQUIS!$C$107/2+(((CROQUIS!$C$97)-CROQUIS!$C$107)-(MAX(1,INT(((CROQUIS!$C$97)-CROQUIS!$C$107)/MAX((CROQUIS!$C$137*MAX(1,CEILING((INT(((CROQUIS!$C$97)-CROQUIS!$C$107)/MAX(CROQUIS!$C$137,1))+1)/80,1))),1))+1)-1)*(CROQUIS!$C$137*MAX(1,CEILING((INT(((CROQUIS!$C$97)-CROQUIS!$C$107)/MAX(CROQUIS!$C$137,1))+1)/80,1))))/2)+MIN(INT(($A262-1)/5),MAX((MAX(1,INT(((CROQUIS!$C$97)-CROQUIS!$C$107)/MAX((CROQUIS!$C$137*MAX(1,CEILING((INT(((CROQUIS!$C$97)-CROQUIS!$C$107)/MAX(CROQUIS!$C$137,1))+1)/80,1))),1))+1))-1,0))*(CROQUIS!$C$137*MAX(1,CEILING((INT(((CROQUIS!$C$97)-CROQUIS!$C$107)/MAX(CROQUIS!$C$137,1))+1)/80,1)))),CHOOSE(IF(INT(($A262-1)/5)&gt;MAX((MAX(1,INT(((CROQUIS!$C$97)-CROQUIS!$C$107)/MAX((CROQUIS!$C$137*MAX(1,CEILING((INT(((CROQUIS!$C$97)-CROQUIS!$C$107)/MAX(CROQUIS!$C$137,1))+1)/80,1))),1))+1))-1,0),0,MOD($A262-1,5))+1,0,2,CROQUIS!$C$98-2,2,0)))*CROQUIS!$C$159)+IF(CROQUIS!$C$92="X",0,0)),-1000)</f>
        <v>-1000</v>
      </c>
      <c r="BQ262">
        <f>IF(AND(CROQUIS!$C$88=1,CROQUIS!$C$137&gt;0),((CROQUIS!$C$161+(IF(CROQUIS!$C$92="X",CHOOSE(IF(INT(($A262-1)/5)&gt;MAX((MAX(1,INT(((CROQUIS!$C$97)-CROQUIS!$C$107)/MAX((CROQUIS!$C$137*MAX(1,CEILING((INT(((CROQUIS!$C$97)-CROQUIS!$C$107)/MAX(CROQUIS!$C$137,1))+1)/80,1))),1))+1))-1,0),0,MOD($A262-1,5))+1,0,2,CROQUIS!$C$98-2,2,0),((CROQUIS!$C$107/2+(((CROQUIS!$C$97)-CROQUIS!$C$107)-(MAX(1,INT(((CROQUIS!$C$97)-CROQUIS!$C$107)/MAX((CROQUIS!$C$137*MAX(1,CEILING((INT(((CROQUIS!$C$97)-CROQUIS!$C$107)/MAX(CROQUIS!$C$137,1))+1)/80,1))),1))+1)-1)*(CROQUIS!$C$137*MAX(1,CEILING((INT(((CROQUIS!$C$97)-CROQUIS!$C$107)/MAX(CROQUIS!$C$137,1))+1)/80,1))))/2)+MIN(INT(($A262-1)/5),MAX((MAX(1,INT(((CROQUIS!$C$97)-CROQUIS!$C$107)/MAX((CROQUIS!$C$137*MAX(1,CEILING((INT(((CROQUIS!$C$97)-CROQUIS!$C$107)/MAX(CROQUIS!$C$137,1))+1)/80,1))),1))+1))-1,0))*(CROQUIS!$C$137*MAX(1,CEILING((INT(((CROQUIS!$C$97)-CROQUIS!$C$107)/MAX(CROQUIS!$C$137,1))+1)/80,1))))))*CROQUIS!$C$159)+IF(CROQUIS!$C$92="X",0,0)),-1000)</f>
        <v>-1000</v>
      </c>
      <c r="BR262">
        <f>IF(AND(CROQUIS!$C$88=1,CROQUIS!$C$91=0,CROQUIS!$C$133&gt;0,OR(CROQUIS!$C$103=1,CROQUIS!$C$145=1)),((CROQUIS!$C$160+(IF(CROQUIS!$C$92="X",CHOOSE(IF(INT(($A262-1)/5)&gt;MAX((MAX(1,INT(((CROQUIS!$C$98)-CROQUIS!$C$107)/MAX((CROQUIS!$C$133*MAX(1,CEILING((INT(((CROQUIS!$C$98)-CROQUIS!$C$107)/MAX(CROQUIS!$C$133,1))+1)/80,1))),1))+1))-1,0),0,MOD($A262-1,5))+1,0,IF(CROQUIS!$C$103=1,-12,2),CROQUIS!$C$107/2+CROQUIS!$C$143,IF(CROQUIS!$C$103=1,-12,2),0),((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BS2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+1,0,IF(CROQUIS!$C$103=1,-12,2),CROQUIS!$C$107/2+CROQUIS!$C$143,IF(CROQUIS!$C$103=1,-12,2),0)))*CROQUIS!$C$159)+IF(CROQUIS!$C$92="X",0.8,0)),-1000)</f>
        <v>-1000</v>
      </c>
      <c r="BT262">
        <f>IF(AND(CROQUIS!$C$88=1,CROQUIS!$C$91=0,CROQUIS!$C$133&gt;0,OR(CROQUIS!$C$104=1,CROQUIS!$C$145=1)),((CROQUIS!$C$160+(IF(CROQUIS!$C$92="X",CHOOSE(IF(INT(($A262-1)/5)&gt;MAX((MAX(1,INT(((CROQUIS!$C$98)-CROQUIS!$C$107)/MAX((CROQUIS!$C$133*MAX(1,CEILING((INT(((CROQUIS!$C$98)-CROQUIS!$C$107)/MAX(CROQUIS!$C$133,1))+1)/80,1))),1))+1))-1,0),0,MOD($A262-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BU2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CROQUIS!$C$97,CROQUIS!$C$97-CROQUIS!$C$107/2-CROQUIS!$C$143,IF(CROQUIS!$C$104=1,CROQUIS!$C$97+12,CROQUIS!$C$97-2),CROQUIS!$C$97-CROQUIS!$C$107/2-CROQUIS!$C$143,CROQUIS!$C$97)))*CROQUIS!$C$159)+IF(CROQUIS!$C$92="X",0.8,0)),-1000)</f>
        <v>-1000</v>
      </c>
      <c r="BV2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HOOSE(IF(INT(($A262-1)/5)&gt;MAX((MAX(1,INT(((CROQUIS!$C$97)-CROQUIS!$C$107)/MAX((CROQUIS!$C$141*MAX(1,CEILING((INT(((CROQUIS!$C$97)-CROQUIS!$C$107)/MAX(CROQUIS!$C$141,1))+1)/80,1))),1))+1))-1,0),0,MOD($A262-1,5))+1,0,IF(CROQUIS!$C$105=1,-12,2),CROQUIS!$C$107/2+CROQUIS!$C$144,IF(CROQUIS!$C$105=1,-12,2),0)))*CROQUIS!$C$159)+IF(CROQUIS!$C$92="X",0.8,0)),-1000)</f>
        <v>-1000</v>
      </c>
      <c r="BW262">
        <f>IF(AND(CROQUIS!$C$88=1,CROQUIS!$C$91=0,CROQUIS!$C$141&gt;0,OR(CROQUIS!$C$105=1,CROQUIS!$C$146=1)),((CROQUIS!$C$161+(IF(CROQUIS!$C$92="X",CHOOSE(IF(INT(($A262-1)/5)&gt;MAX((MAX(1,INT(((CROQUIS!$C$97)-CROQUIS!$C$107)/MAX((CROQUIS!$C$141*MAX(1,CEILING((INT(((CROQUIS!$C$97)-CROQUIS!$C$107)/MAX(CROQUIS!$C$141,1))+1)/80,1))),1))+1))-1,0),0,MOD($A262-1,5))+1,0,IF(CROQUIS!$C$105=1,-12,2),CROQUIS!$C$107/2+CROQUIS!$C$144,IF(CROQUIS!$C$105=1,-12,2),0),((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ROQUIS!$C$159)+IF(CROQUIS!$C$92="X",0,0.8)),-1000)</f>
        <v>-1000</v>
      </c>
      <c r="BX2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HOOSE(IF(INT(($A262-1)/5)&gt;MAX((MAX(1,INT(((CROQUIS!$C$97)-CROQUIS!$C$107)/MAX((CROQUIS!$C$141*MAX(1,CEILING((INT(((CROQUIS!$C$97)-CROQUIS!$C$107)/MAX(CROQUIS!$C$141,1))+1)/80,1))),1))+1))-1,0),0,MOD($A262-1,5))+1,CROQUIS!$C$98,CROQUIS!$C$98-CROQUIS!$C$107/2-CROQUIS!$C$144,IF(CROQUIS!$C$106=1,CROQUIS!$C$98+12,CROQUIS!$C$98-2),CROQUIS!$C$98-CROQUIS!$C$107/2-CROQUIS!$C$144,CROQUIS!$C$98)))*CROQUIS!$C$159)+IF(CROQUIS!$C$92="X",0.8,0)),-1000)</f>
        <v>-1000</v>
      </c>
      <c r="BY262">
        <f>IF(AND(CROQUIS!$C$88=1,CROQUIS!$C$91=0,CROQUIS!$C$141&gt;0,OR(CROQUIS!$C$106=1,CROQUIS!$C$146=1)),((CROQUIS!$C$161+(IF(CROQUIS!$C$92="X",CHOOSE(IF(INT(($A262-1)/5)&gt;MAX((MAX(1,INT(((CROQUIS!$C$97)-CROQUIS!$C$107)/MAX((CROQUIS!$C$141*MAX(1,CEILING((INT(((CROQUIS!$C$97)-CROQUIS!$C$107)/MAX(CROQUIS!$C$141,1))+1)/80,1))),1))+1))-1,0),0,MOD($A262-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ROQUIS!$C$159)+IF(CROQUIS!$C$92="X",0,0.8)),-1000)</f>
        <v>-1000</v>
      </c>
      <c r="BZ262">
        <f>IF(AND(CROQUIS!$C$88=1,CROQUIS!$C$91=1,CROQUIS!$C$133&gt;0),((CROQUIS!$C$160+(IF(CROQUIS!$C$92="X",CHOOSE(IF(INT(($A262-1)/5)&gt;MAX((MAX(1,INT(((CROQUIS!$C$98)-CROQUIS!$C$107)/MAX((CROQUIS!$C$133*MAX(1,CEILING((INT(((CROQUIS!$C$98)-CROQUIS!$C$107)/MAX(CROQUIS!$C$133,1))+1)/80,1))),1))+1))-1,0),0,MOD($A262-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CA262">
        <f>IF(AND(CROQUIS!$C$88=1,CROQUIS!$C$91=1,CROQUIS!$C$133&gt;0),((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3">
      <c r="A263" t="n">
        <v>256</v>
      </c>
      <c r="BN263">
        <f>IF(AND(CROQUIS!$C$88=1,CROQUIS!$C$129&gt;0),((CROQUIS!$C$160+(IF(CROQUIS!$C$92="X",CHOOSE(IF(INT(($A263-1)/5)&gt;MAX((MAX(1,INT(((CROQUIS!$C$98)-CROQUIS!$C$107)/MAX((CROQUIS!$C$129*MAX(1,CEILING((INT(((CROQUIS!$C$98)-CROQUIS!$C$107)/MAX(CROQUIS!$C$129,1))+1)/80,1))),1))+1))-1,0),0,MOD($A263-1,5))+1,0,2,CROQUIS!$C$97-2,2,0),((CROQUIS!$C$107/2+(((CROQUIS!$C$98)-CROQUIS!$C$107)-(MAX(1,INT(((CROQUIS!$C$98)-CROQUIS!$C$107)/MAX((CROQUIS!$C$129*MAX(1,CEILING((INT(((CROQUIS!$C$98)-CROQUIS!$C$107)/MAX(CROQUIS!$C$129,1))+1)/80,1))),1))+1)-1)*(CROQUIS!$C$129*MAX(1,CEILING((INT(((CROQUIS!$C$98)-CROQUIS!$C$107)/MAX(CROQUIS!$C$129,1))+1)/80,1))))/2)+MIN(INT(($A263-1)/5),MAX((MAX(1,INT(((CROQUIS!$C$98)-CROQUIS!$C$107)/MAX((CROQUIS!$C$129*MAX(1,CEILING((INT(((CROQUIS!$C$98)-CROQUIS!$C$107)/MAX(CROQUIS!$C$129,1))+1)/80,1))),1))+1))-1,0))*(CROQUIS!$C$129*MAX(1,CEILING((INT(((CROQUIS!$C$98)-CROQUIS!$C$107)/MAX(CROQUIS!$C$129,1))+1)/80,1))))))*CROQUIS!$C$159)+IF(CROQUIS!$C$92="X",0,0)),-1000)</f>
        <v>-1000</v>
      </c>
      <c r="BO263">
        <f>IF(AND(CROQUIS!$C$88=1,CROQUIS!$C$129&gt;0),((CROQUIS!$C$161+(IF(CROQUIS!$C$92="X",((CROQUIS!$C$107/2+(((CROQUIS!$C$98)-CROQUIS!$C$107)-(MAX(1,INT(((CROQUIS!$C$98)-CROQUIS!$C$107)/MAX((CROQUIS!$C$129*MAX(1,CEILING((INT(((CROQUIS!$C$98)-CROQUIS!$C$107)/MAX(CROQUIS!$C$129,1))+1)/80,1))),1))+1)-1)*(CROQUIS!$C$129*MAX(1,CEILING((INT(((CROQUIS!$C$98)-CROQUIS!$C$107)/MAX(CROQUIS!$C$129,1))+1)/80,1))))/2)+MIN(INT(($A263-1)/5),MAX((MAX(1,INT(((CROQUIS!$C$98)-CROQUIS!$C$107)/MAX((CROQUIS!$C$129*MAX(1,CEILING((INT(((CROQUIS!$C$98)-CROQUIS!$C$107)/MAX(CROQUIS!$C$129,1))+1)/80,1))),1))+1))-1,0))*(CROQUIS!$C$129*MAX(1,CEILING((INT(((CROQUIS!$C$98)-CROQUIS!$C$107)/MAX(CROQUIS!$C$129,1))+1)/80,1)))),CHOOSE(IF(INT(($A263-1)/5)&gt;MAX((MAX(1,INT(((CROQUIS!$C$98)-CROQUIS!$C$107)/MAX((CROQUIS!$C$129*MAX(1,CEILING((INT(((CROQUIS!$C$98)-CROQUIS!$C$107)/MAX(CROQUIS!$C$129,1))+1)/80,1))),1))+1))-1,0),0,MOD($A263-1,5))+1,0,2,CROQUIS!$C$97-2,2,0)))*CROQUIS!$C$159)+IF(CROQUIS!$C$92="X",0,0)),-1000)</f>
        <v>-1000</v>
      </c>
      <c r="BP263">
        <f>IF(AND(CROQUIS!$C$88=1,CROQUIS!$C$137&gt;0),((CROQUIS!$C$160+(IF(CROQUIS!$C$92="X",((CROQUIS!$C$107/2+(((CROQUIS!$C$97)-CROQUIS!$C$107)-(MAX(1,INT(((CROQUIS!$C$97)-CROQUIS!$C$107)/MAX((CROQUIS!$C$137*MAX(1,CEILING((INT(((CROQUIS!$C$97)-CROQUIS!$C$107)/MAX(CROQUIS!$C$137,1))+1)/80,1))),1))+1)-1)*(CROQUIS!$C$137*MAX(1,CEILING((INT(((CROQUIS!$C$97)-CROQUIS!$C$107)/MAX(CROQUIS!$C$137,1))+1)/80,1))))/2)+MIN(INT(($A263-1)/5),MAX((MAX(1,INT(((CROQUIS!$C$97)-CROQUIS!$C$107)/MAX((CROQUIS!$C$137*MAX(1,CEILING((INT(((CROQUIS!$C$97)-CROQUIS!$C$107)/MAX(CROQUIS!$C$137,1))+1)/80,1))),1))+1))-1,0))*(CROQUIS!$C$137*MAX(1,CEILING((INT(((CROQUIS!$C$97)-CROQUIS!$C$107)/MAX(CROQUIS!$C$137,1))+1)/80,1)))),CHOOSE(IF(INT(($A263-1)/5)&gt;MAX((MAX(1,INT(((CROQUIS!$C$97)-CROQUIS!$C$107)/MAX((CROQUIS!$C$137*MAX(1,CEILING((INT(((CROQUIS!$C$97)-CROQUIS!$C$107)/MAX(CROQUIS!$C$137,1))+1)/80,1))),1))+1))-1,0),0,MOD($A263-1,5))+1,0,2,CROQUIS!$C$98-2,2,0)))*CROQUIS!$C$159)+IF(CROQUIS!$C$92="X",0,0)),-1000)</f>
        <v>-1000</v>
      </c>
      <c r="BQ263">
        <f>IF(AND(CROQUIS!$C$88=1,CROQUIS!$C$137&gt;0),((CROQUIS!$C$161+(IF(CROQUIS!$C$92="X",CHOOSE(IF(INT(($A263-1)/5)&gt;MAX((MAX(1,INT(((CROQUIS!$C$97)-CROQUIS!$C$107)/MAX((CROQUIS!$C$137*MAX(1,CEILING((INT(((CROQUIS!$C$97)-CROQUIS!$C$107)/MAX(CROQUIS!$C$137,1))+1)/80,1))),1))+1))-1,0),0,MOD($A263-1,5))+1,0,2,CROQUIS!$C$98-2,2,0),((CROQUIS!$C$107/2+(((CROQUIS!$C$97)-CROQUIS!$C$107)-(MAX(1,INT(((CROQUIS!$C$97)-CROQUIS!$C$107)/MAX((CROQUIS!$C$137*MAX(1,CEILING((INT(((CROQUIS!$C$97)-CROQUIS!$C$107)/MAX(CROQUIS!$C$137,1))+1)/80,1))),1))+1)-1)*(CROQUIS!$C$137*MAX(1,CEILING((INT(((CROQUIS!$C$97)-CROQUIS!$C$107)/MAX(CROQUIS!$C$137,1))+1)/80,1))))/2)+MIN(INT(($A263-1)/5),MAX((MAX(1,INT(((CROQUIS!$C$97)-CROQUIS!$C$107)/MAX((CROQUIS!$C$137*MAX(1,CEILING((INT(((CROQUIS!$C$97)-CROQUIS!$C$107)/MAX(CROQUIS!$C$137,1))+1)/80,1))),1))+1))-1,0))*(CROQUIS!$C$137*MAX(1,CEILING((INT(((CROQUIS!$C$97)-CROQUIS!$C$107)/MAX(CROQUIS!$C$137,1))+1)/80,1))))))*CROQUIS!$C$159)+IF(CROQUIS!$C$92="X",0,0)),-1000)</f>
        <v>-1000</v>
      </c>
      <c r="BR263">
        <f>IF(AND(CROQUIS!$C$88=1,CROQUIS!$C$91=0,CROQUIS!$C$133&gt;0,OR(CROQUIS!$C$103=1,CROQUIS!$C$145=1)),((CROQUIS!$C$160+(IF(CROQUIS!$C$92="X",CHOOSE(IF(INT(($A263-1)/5)&gt;MAX((MAX(1,INT(((CROQUIS!$C$98)-CROQUIS!$C$107)/MAX((CROQUIS!$C$133*MAX(1,CEILING((INT(((CROQUIS!$C$98)-CROQUIS!$C$107)/MAX(CROQUIS!$C$133,1))+1)/80,1))),1))+1))-1,0),0,MOD($A263-1,5))+1,0,IF(CROQUIS!$C$103=1,-12,2),CROQUIS!$C$107/2+CROQUIS!$C$143,IF(CROQUIS!$C$103=1,-12,2),0),((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BS2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+1,0,IF(CROQUIS!$C$103=1,-12,2),CROQUIS!$C$107/2+CROQUIS!$C$143,IF(CROQUIS!$C$103=1,-12,2),0)))*CROQUIS!$C$159)+IF(CROQUIS!$C$92="X",0.8,0)),-1000)</f>
        <v>-1000</v>
      </c>
      <c r="BT263">
        <f>IF(AND(CROQUIS!$C$88=1,CROQUIS!$C$91=0,CROQUIS!$C$133&gt;0,OR(CROQUIS!$C$104=1,CROQUIS!$C$145=1)),((CROQUIS!$C$160+(IF(CROQUIS!$C$92="X",CHOOSE(IF(INT(($A263-1)/5)&gt;MAX((MAX(1,INT(((CROQUIS!$C$98)-CROQUIS!$C$107)/MAX((CROQUIS!$C$133*MAX(1,CEILING((INT(((CROQUIS!$C$98)-CROQUIS!$C$107)/MAX(CROQUIS!$C$133,1))+1)/80,1))),1))+1))-1,0),0,MOD($A263-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BU2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CROQUIS!$C$97,CROQUIS!$C$97-CROQUIS!$C$107/2-CROQUIS!$C$143,IF(CROQUIS!$C$104=1,CROQUIS!$C$97+12,CROQUIS!$C$97-2),CROQUIS!$C$97-CROQUIS!$C$107/2-CROQUIS!$C$143,CROQUIS!$C$97)))*CROQUIS!$C$159)+IF(CROQUIS!$C$92="X",0.8,0)),-1000)</f>
        <v>-1000</v>
      </c>
      <c r="BV2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HOOSE(IF(INT(($A263-1)/5)&gt;MAX((MAX(1,INT(((CROQUIS!$C$97)-CROQUIS!$C$107)/MAX((CROQUIS!$C$141*MAX(1,CEILING((INT(((CROQUIS!$C$97)-CROQUIS!$C$107)/MAX(CROQUIS!$C$141,1))+1)/80,1))),1))+1))-1,0),0,MOD($A263-1,5))+1,0,IF(CROQUIS!$C$105=1,-12,2),CROQUIS!$C$107/2+CROQUIS!$C$144,IF(CROQUIS!$C$105=1,-12,2),0)))*CROQUIS!$C$159)+IF(CROQUIS!$C$92="X",0.8,0)),-1000)</f>
        <v>-1000</v>
      </c>
      <c r="BW263">
        <f>IF(AND(CROQUIS!$C$88=1,CROQUIS!$C$91=0,CROQUIS!$C$141&gt;0,OR(CROQUIS!$C$105=1,CROQUIS!$C$146=1)),((CROQUIS!$C$161+(IF(CROQUIS!$C$92="X",CHOOSE(IF(INT(($A263-1)/5)&gt;MAX((MAX(1,INT(((CROQUIS!$C$97)-CROQUIS!$C$107)/MAX((CROQUIS!$C$141*MAX(1,CEILING((INT(((CROQUIS!$C$97)-CROQUIS!$C$107)/MAX(CROQUIS!$C$141,1))+1)/80,1))),1))+1))-1,0),0,MOD($A263-1,5))+1,0,IF(CROQUIS!$C$105=1,-12,2),CROQUIS!$C$107/2+CROQUIS!$C$144,IF(CROQUIS!$C$105=1,-12,2),0),((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ROQUIS!$C$159)+IF(CROQUIS!$C$92="X",0,0.8)),-1000)</f>
        <v>-1000</v>
      </c>
      <c r="BX2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HOOSE(IF(INT(($A263-1)/5)&gt;MAX((MAX(1,INT(((CROQUIS!$C$97)-CROQUIS!$C$107)/MAX((CROQUIS!$C$141*MAX(1,CEILING((INT(((CROQUIS!$C$97)-CROQUIS!$C$107)/MAX(CROQUIS!$C$141,1))+1)/80,1))),1))+1))-1,0),0,MOD($A263-1,5))+1,CROQUIS!$C$98,CROQUIS!$C$98-CROQUIS!$C$107/2-CROQUIS!$C$144,IF(CROQUIS!$C$106=1,CROQUIS!$C$98+12,CROQUIS!$C$98-2),CROQUIS!$C$98-CROQUIS!$C$107/2-CROQUIS!$C$144,CROQUIS!$C$98)))*CROQUIS!$C$159)+IF(CROQUIS!$C$92="X",0.8,0)),-1000)</f>
        <v>-1000</v>
      </c>
      <c r="BY263">
        <f>IF(AND(CROQUIS!$C$88=1,CROQUIS!$C$91=0,CROQUIS!$C$141&gt;0,OR(CROQUIS!$C$106=1,CROQUIS!$C$146=1)),((CROQUIS!$C$161+(IF(CROQUIS!$C$92="X",CHOOSE(IF(INT(($A263-1)/5)&gt;MAX((MAX(1,INT(((CROQUIS!$C$97)-CROQUIS!$C$107)/MAX((CROQUIS!$C$141*MAX(1,CEILING((INT(((CROQUIS!$C$97)-CROQUIS!$C$107)/MAX(CROQUIS!$C$141,1))+1)/80,1))),1))+1))-1,0),0,MOD($A263-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ROQUIS!$C$159)+IF(CROQUIS!$C$92="X",0,0.8)),-1000)</f>
        <v>-1000</v>
      </c>
      <c r="BZ263">
        <f>IF(AND(CROQUIS!$C$88=1,CROQUIS!$C$91=1,CROQUIS!$C$133&gt;0),((CROQUIS!$C$160+(IF(CROQUIS!$C$92="X",CHOOSE(IF(INT(($A263-1)/5)&gt;MAX((MAX(1,INT(((CROQUIS!$C$98)-CROQUIS!$C$107)/MAX((CROQUIS!$C$133*MAX(1,CEILING((INT(((CROQUIS!$C$98)-CROQUIS!$C$107)/MAX(CROQUIS!$C$133,1))+1)/80,1))),1))+1))-1,0),0,MOD($A263-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CA263">
        <f>IF(AND(CROQUIS!$C$88=1,CROQUIS!$C$91=1,CROQUIS!$C$133&gt;0),((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4">
      <c r="A264" t="n">
        <v>257</v>
      </c>
      <c r="BN264">
        <f>IF(AND(CROQUIS!$C$88=1,CROQUIS!$C$129&gt;0),((CROQUIS!$C$160+(IF(CROQUIS!$C$92="X",CHOOSE(IF(INT(($A264-1)/5)&gt;MAX((MAX(1,INT(((CROQUIS!$C$98)-CROQUIS!$C$107)/MAX((CROQUIS!$C$129*MAX(1,CEILING((INT(((CROQUIS!$C$98)-CROQUIS!$C$107)/MAX(CROQUIS!$C$129,1))+1)/80,1))),1))+1))-1,0),0,MOD($A264-1,5))+1,0,2,CROQUIS!$C$97-2,2,0),((CROQUIS!$C$107/2+(((CROQUIS!$C$98)-CROQUIS!$C$107)-(MAX(1,INT(((CROQUIS!$C$98)-CROQUIS!$C$107)/MAX((CROQUIS!$C$129*MAX(1,CEILING((INT(((CROQUIS!$C$98)-CROQUIS!$C$107)/MAX(CROQUIS!$C$129,1))+1)/80,1))),1))+1)-1)*(CROQUIS!$C$129*MAX(1,CEILING((INT(((CROQUIS!$C$98)-CROQUIS!$C$107)/MAX(CROQUIS!$C$129,1))+1)/80,1))))/2)+MIN(INT(($A264-1)/5),MAX((MAX(1,INT(((CROQUIS!$C$98)-CROQUIS!$C$107)/MAX((CROQUIS!$C$129*MAX(1,CEILING((INT(((CROQUIS!$C$98)-CROQUIS!$C$107)/MAX(CROQUIS!$C$129,1))+1)/80,1))),1))+1))-1,0))*(CROQUIS!$C$129*MAX(1,CEILING((INT(((CROQUIS!$C$98)-CROQUIS!$C$107)/MAX(CROQUIS!$C$129,1))+1)/80,1))))))*CROQUIS!$C$159)+IF(CROQUIS!$C$92="X",0,0)),-1000)</f>
        <v>-1000</v>
      </c>
      <c r="BO264">
        <f>IF(AND(CROQUIS!$C$88=1,CROQUIS!$C$129&gt;0),((CROQUIS!$C$161+(IF(CROQUIS!$C$92="X",((CROQUIS!$C$107/2+(((CROQUIS!$C$98)-CROQUIS!$C$107)-(MAX(1,INT(((CROQUIS!$C$98)-CROQUIS!$C$107)/MAX((CROQUIS!$C$129*MAX(1,CEILING((INT(((CROQUIS!$C$98)-CROQUIS!$C$107)/MAX(CROQUIS!$C$129,1))+1)/80,1))),1))+1)-1)*(CROQUIS!$C$129*MAX(1,CEILING((INT(((CROQUIS!$C$98)-CROQUIS!$C$107)/MAX(CROQUIS!$C$129,1))+1)/80,1))))/2)+MIN(INT(($A264-1)/5),MAX((MAX(1,INT(((CROQUIS!$C$98)-CROQUIS!$C$107)/MAX((CROQUIS!$C$129*MAX(1,CEILING((INT(((CROQUIS!$C$98)-CROQUIS!$C$107)/MAX(CROQUIS!$C$129,1))+1)/80,1))),1))+1))-1,0))*(CROQUIS!$C$129*MAX(1,CEILING((INT(((CROQUIS!$C$98)-CROQUIS!$C$107)/MAX(CROQUIS!$C$129,1))+1)/80,1)))),CHOOSE(IF(INT(($A264-1)/5)&gt;MAX((MAX(1,INT(((CROQUIS!$C$98)-CROQUIS!$C$107)/MAX((CROQUIS!$C$129*MAX(1,CEILING((INT(((CROQUIS!$C$98)-CROQUIS!$C$107)/MAX(CROQUIS!$C$129,1))+1)/80,1))),1))+1))-1,0),0,MOD($A264-1,5))+1,0,2,CROQUIS!$C$97-2,2,0)))*CROQUIS!$C$159)+IF(CROQUIS!$C$92="X",0,0)),-1000)</f>
        <v>-1000</v>
      </c>
      <c r="BP264">
        <f>IF(AND(CROQUIS!$C$88=1,CROQUIS!$C$137&gt;0),((CROQUIS!$C$160+(IF(CROQUIS!$C$92="X",((CROQUIS!$C$107/2+(((CROQUIS!$C$97)-CROQUIS!$C$107)-(MAX(1,INT(((CROQUIS!$C$97)-CROQUIS!$C$107)/MAX((CROQUIS!$C$137*MAX(1,CEILING((INT(((CROQUIS!$C$97)-CROQUIS!$C$107)/MAX(CROQUIS!$C$137,1))+1)/80,1))),1))+1)-1)*(CROQUIS!$C$137*MAX(1,CEILING((INT(((CROQUIS!$C$97)-CROQUIS!$C$107)/MAX(CROQUIS!$C$137,1))+1)/80,1))))/2)+MIN(INT(($A264-1)/5),MAX((MAX(1,INT(((CROQUIS!$C$97)-CROQUIS!$C$107)/MAX((CROQUIS!$C$137*MAX(1,CEILING((INT(((CROQUIS!$C$97)-CROQUIS!$C$107)/MAX(CROQUIS!$C$137,1))+1)/80,1))),1))+1))-1,0))*(CROQUIS!$C$137*MAX(1,CEILING((INT(((CROQUIS!$C$97)-CROQUIS!$C$107)/MAX(CROQUIS!$C$137,1))+1)/80,1)))),CHOOSE(IF(INT(($A264-1)/5)&gt;MAX((MAX(1,INT(((CROQUIS!$C$97)-CROQUIS!$C$107)/MAX((CROQUIS!$C$137*MAX(1,CEILING((INT(((CROQUIS!$C$97)-CROQUIS!$C$107)/MAX(CROQUIS!$C$137,1))+1)/80,1))),1))+1))-1,0),0,MOD($A264-1,5))+1,0,2,CROQUIS!$C$98-2,2,0)))*CROQUIS!$C$159)+IF(CROQUIS!$C$92="X",0,0)),-1000)</f>
        <v>-1000</v>
      </c>
      <c r="BQ264">
        <f>IF(AND(CROQUIS!$C$88=1,CROQUIS!$C$137&gt;0),((CROQUIS!$C$161+(IF(CROQUIS!$C$92="X",CHOOSE(IF(INT(($A264-1)/5)&gt;MAX((MAX(1,INT(((CROQUIS!$C$97)-CROQUIS!$C$107)/MAX((CROQUIS!$C$137*MAX(1,CEILING((INT(((CROQUIS!$C$97)-CROQUIS!$C$107)/MAX(CROQUIS!$C$137,1))+1)/80,1))),1))+1))-1,0),0,MOD($A264-1,5))+1,0,2,CROQUIS!$C$98-2,2,0),((CROQUIS!$C$107/2+(((CROQUIS!$C$97)-CROQUIS!$C$107)-(MAX(1,INT(((CROQUIS!$C$97)-CROQUIS!$C$107)/MAX((CROQUIS!$C$137*MAX(1,CEILING((INT(((CROQUIS!$C$97)-CROQUIS!$C$107)/MAX(CROQUIS!$C$137,1))+1)/80,1))),1))+1)-1)*(CROQUIS!$C$137*MAX(1,CEILING((INT(((CROQUIS!$C$97)-CROQUIS!$C$107)/MAX(CROQUIS!$C$137,1))+1)/80,1))))/2)+MIN(INT(($A264-1)/5),MAX((MAX(1,INT(((CROQUIS!$C$97)-CROQUIS!$C$107)/MAX((CROQUIS!$C$137*MAX(1,CEILING((INT(((CROQUIS!$C$97)-CROQUIS!$C$107)/MAX(CROQUIS!$C$137,1))+1)/80,1))),1))+1))-1,0))*(CROQUIS!$C$137*MAX(1,CEILING((INT(((CROQUIS!$C$97)-CROQUIS!$C$107)/MAX(CROQUIS!$C$137,1))+1)/80,1))))))*CROQUIS!$C$159)+IF(CROQUIS!$C$92="X",0,0)),-1000)</f>
        <v>-1000</v>
      </c>
      <c r="BR264">
        <f>IF(AND(CROQUIS!$C$88=1,CROQUIS!$C$91=0,CROQUIS!$C$133&gt;0,OR(CROQUIS!$C$103=1,CROQUIS!$C$145=1)),((CROQUIS!$C$160+(IF(CROQUIS!$C$92="X",CHOOSE(IF(INT(($A264-1)/5)&gt;MAX((MAX(1,INT(((CROQUIS!$C$98)-CROQUIS!$C$107)/MAX((CROQUIS!$C$133*MAX(1,CEILING((INT(((CROQUIS!$C$98)-CROQUIS!$C$107)/MAX(CROQUIS!$C$133,1))+1)/80,1))),1))+1))-1,0),0,MOD($A264-1,5))+1,0,IF(CROQUIS!$C$103=1,-12,2),CROQUIS!$C$107/2+CROQUIS!$C$143,IF(CROQUIS!$C$103=1,-12,2),0),((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BS2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+1,0,IF(CROQUIS!$C$103=1,-12,2),CROQUIS!$C$107/2+CROQUIS!$C$143,IF(CROQUIS!$C$103=1,-12,2),0)))*CROQUIS!$C$159)+IF(CROQUIS!$C$92="X",0.8,0)),-1000)</f>
        <v>-1000</v>
      </c>
      <c r="BT264">
        <f>IF(AND(CROQUIS!$C$88=1,CROQUIS!$C$91=0,CROQUIS!$C$133&gt;0,OR(CROQUIS!$C$104=1,CROQUIS!$C$145=1)),((CROQUIS!$C$160+(IF(CROQUIS!$C$92="X",CHOOSE(IF(INT(($A264-1)/5)&gt;MAX((MAX(1,INT(((CROQUIS!$C$98)-CROQUIS!$C$107)/MAX((CROQUIS!$C$133*MAX(1,CEILING((INT(((CROQUIS!$C$98)-CROQUIS!$C$107)/MAX(CROQUIS!$C$133,1))+1)/80,1))),1))+1))-1,0),0,MOD($A264-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BU2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CROQUIS!$C$97,CROQUIS!$C$97-CROQUIS!$C$107/2-CROQUIS!$C$143,IF(CROQUIS!$C$104=1,CROQUIS!$C$97+12,CROQUIS!$C$97-2),CROQUIS!$C$97-CROQUIS!$C$107/2-CROQUIS!$C$143,CROQUIS!$C$97)))*CROQUIS!$C$159)+IF(CROQUIS!$C$92="X",0.8,0)),-1000)</f>
        <v>-1000</v>
      </c>
      <c r="BV2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HOOSE(IF(INT(($A264-1)/5)&gt;MAX((MAX(1,INT(((CROQUIS!$C$97)-CROQUIS!$C$107)/MAX((CROQUIS!$C$141*MAX(1,CEILING((INT(((CROQUIS!$C$97)-CROQUIS!$C$107)/MAX(CROQUIS!$C$141,1))+1)/80,1))),1))+1))-1,0),0,MOD($A264-1,5))+1,0,IF(CROQUIS!$C$105=1,-12,2),CROQUIS!$C$107/2+CROQUIS!$C$144,IF(CROQUIS!$C$105=1,-12,2),0)))*CROQUIS!$C$159)+IF(CROQUIS!$C$92="X",0.8,0)),-1000)</f>
        <v>-1000</v>
      </c>
      <c r="BW264">
        <f>IF(AND(CROQUIS!$C$88=1,CROQUIS!$C$91=0,CROQUIS!$C$141&gt;0,OR(CROQUIS!$C$105=1,CROQUIS!$C$146=1)),((CROQUIS!$C$161+(IF(CROQUIS!$C$92="X",CHOOSE(IF(INT(($A264-1)/5)&gt;MAX((MAX(1,INT(((CROQUIS!$C$97)-CROQUIS!$C$107)/MAX((CROQUIS!$C$141*MAX(1,CEILING((INT(((CROQUIS!$C$97)-CROQUIS!$C$107)/MAX(CROQUIS!$C$141,1))+1)/80,1))),1))+1))-1,0),0,MOD($A264-1,5))+1,0,IF(CROQUIS!$C$105=1,-12,2),CROQUIS!$C$107/2+CROQUIS!$C$144,IF(CROQUIS!$C$105=1,-12,2),0),((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ROQUIS!$C$159)+IF(CROQUIS!$C$92="X",0,0.8)),-1000)</f>
        <v>-1000</v>
      </c>
      <c r="BX2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HOOSE(IF(INT(($A264-1)/5)&gt;MAX((MAX(1,INT(((CROQUIS!$C$97)-CROQUIS!$C$107)/MAX((CROQUIS!$C$141*MAX(1,CEILING((INT(((CROQUIS!$C$97)-CROQUIS!$C$107)/MAX(CROQUIS!$C$141,1))+1)/80,1))),1))+1))-1,0),0,MOD($A264-1,5))+1,CROQUIS!$C$98,CROQUIS!$C$98-CROQUIS!$C$107/2-CROQUIS!$C$144,IF(CROQUIS!$C$106=1,CROQUIS!$C$98+12,CROQUIS!$C$98-2),CROQUIS!$C$98-CROQUIS!$C$107/2-CROQUIS!$C$144,CROQUIS!$C$98)))*CROQUIS!$C$159)+IF(CROQUIS!$C$92="X",0.8,0)),-1000)</f>
        <v>-1000</v>
      </c>
      <c r="BY264">
        <f>IF(AND(CROQUIS!$C$88=1,CROQUIS!$C$91=0,CROQUIS!$C$141&gt;0,OR(CROQUIS!$C$106=1,CROQUIS!$C$146=1)),((CROQUIS!$C$161+(IF(CROQUIS!$C$92="X",CHOOSE(IF(INT(($A264-1)/5)&gt;MAX((MAX(1,INT(((CROQUIS!$C$97)-CROQUIS!$C$107)/MAX((CROQUIS!$C$141*MAX(1,CEILING((INT(((CROQUIS!$C$97)-CROQUIS!$C$107)/MAX(CROQUIS!$C$141,1))+1)/80,1))),1))+1))-1,0),0,MOD($A264-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ROQUIS!$C$159)+IF(CROQUIS!$C$92="X",0,0.8)),-1000)</f>
        <v>-1000</v>
      </c>
      <c r="BZ264">
        <f>IF(AND(CROQUIS!$C$88=1,CROQUIS!$C$91=1,CROQUIS!$C$133&gt;0),((CROQUIS!$C$160+(IF(CROQUIS!$C$92="X",CHOOSE(IF(INT(($A264-1)/5)&gt;MAX((MAX(1,INT(((CROQUIS!$C$98)-CROQUIS!$C$107)/MAX((CROQUIS!$C$133*MAX(1,CEILING((INT(((CROQUIS!$C$98)-CROQUIS!$C$107)/MAX(CROQUIS!$C$133,1))+1)/80,1))),1))+1))-1,0),0,MOD($A264-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CA264">
        <f>IF(AND(CROQUIS!$C$88=1,CROQUIS!$C$91=1,CROQUIS!$C$133&gt;0),((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5">
      <c r="A265" t="n">
        <v>258</v>
      </c>
      <c r="BN265">
        <f>IF(AND(CROQUIS!$C$88=1,CROQUIS!$C$129&gt;0),((CROQUIS!$C$160+(IF(CROQUIS!$C$92="X",CHOOSE(IF(INT(($A265-1)/5)&gt;MAX((MAX(1,INT(((CROQUIS!$C$98)-CROQUIS!$C$107)/MAX((CROQUIS!$C$129*MAX(1,CEILING((INT(((CROQUIS!$C$98)-CROQUIS!$C$107)/MAX(CROQUIS!$C$129,1))+1)/80,1))),1))+1))-1,0),0,MOD($A265-1,5))+1,0,2,CROQUIS!$C$97-2,2,0),((CROQUIS!$C$107/2+(((CROQUIS!$C$98)-CROQUIS!$C$107)-(MAX(1,INT(((CROQUIS!$C$98)-CROQUIS!$C$107)/MAX((CROQUIS!$C$129*MAX(1,CEILING((INT(((CROQUIS!$C$98)-CROQUIS!$C$107)/MAX(CROQUIS!$C$129,1))+1)/80,1))),1))+1)-1)*(CROQUIS!$C$129*MAX(1,CEILING((INT(((CROQUIS!$C$98)-CROQUIS!$C$107)/MAX(CROQUIS!$C$129,1))+1)/80,1))))/2)+MIN(INT(($A265-1)/5),MAX((MAX(1,INT(((CROQUIS!$C$98)-CROQUIS!$C$107)/MAX((CROQUIS!$C$129*MAX(1,CEILING((INT(((CROQUIS!$C$98)-CROQUIS!$C$107)/MAX(CROQUIS!$C$129,1))+1)/80,1))),1))+1))-1,0))*(CROQUIS!$C$129*MAX(1,CEILING((INT(((CROQUIS!$C$98)-CROQUIS!$C$107)/MAX(CROQUIS!$C$129,1))+1)/80,1))))))*CROQUIS!$C$159)+IF(CROQUIS!$C$92="X",0,0)),-1000)</f>
        <v>-1000</v>
      </c>
      <c r="BO265">
        <f>IF(AND(CROQUIS!$C$88=1,CROQUIS!$C$129&gt;0),((CROQUIS!$C$161+(IF(CROQUIS!$C$92="X",((CROQUIS!$C$107/2+(((CROQUIS!$C$98)-CROQUIS!$C$107)-(MAX(1,INT(((CROQUIS!$C$98)-CROQUIS!$C$107)/MAX((CROQUIS!$C$129*MAX(1,CEILING((INT(((CROQUIS!$C$98)-CROQUIS!$C$107)/MAX(CROQUIS!$C$129,1))+1)/80,1))),1))+1)-1)*(CROQUIS!$C$129*MAX(1,CEILING((INT(((CROQUIS!$C$98)-CROQUIS!$C$107)/MAX(CROQUIS!$C$129,1))+1)/80,1))))/2)+MIN(INT(($A265-1)/5),MAX((MAX(1,INT(((CROQUIS!$C$98)-CROQUIS!$C$107)/MAX((CROQUIS!$C$129*MAX(1,CEILING((INT(((CROQUIS!$C$98)-CROQUIS!$C$107)/MAX(CROQUIS!$C$129,1))+1)/80,1))),1))+1))-1,0))*(CROQUIS!$C$129*MAX(1,CEILING((INT(((CROQUIS!$C$98)-CROQUIS!$C$107)/MAX(CROQUIS!$C$129,1))+1)/80,1)))),CHOOSE(IF(INT(($A265-1)/5)&gt;MAX((MAX(1,INT(((CROQUIS!$C$98)-CROQUIS!$C$107)/MAX((CROQUIS!$C$129*MAX(1,CEILING((INT(((CROQUIS!$C$98)-CROQUIS!$C$107)/MAX(CROQUIS!$C$129,1))+1)/80,1))),1))+1))-1,0),0,MOD($A265-1,5))+1,0,2,CROQUIS!$C$97-2,2,0)))*CROQUIS!$C$159)+IF(CROQUIS!$C$92="X",0,0)),-1000)</f>
        <v>-1000</v>
      </c>
      <c r="BP265">
        <f>IF(AND(CROQUIS!$C$88=1,CROQUIS!$C$137&gt;0),((CROQUIS!$C$160+(IF(CROQUIS!$C$92="X",((CROQUIS!$C$107/2+(((CROQUIS!$C$97)-CROQUIS!$C$107)-(MAX(1,INT(((CROQUIS!$C$97)-CROQUIS!$C$107)/MAX((CROQUIS!$C$137*MAX(1,CEILING((INT(((CROQUIS!$C$97)-CROQUIS!$C$107)/MAX(CROQUIS!$C$137,1))+1)/80,1))),1))+1)-1)*(CROQUIS!$C$137*MAX(1,CEILING((INT(((CROQUIS!$C$97)-CROQUIS!$C$107)/MAX(CROQUIS!$C$137,1))+1)/80,1))))/2)+MIN(INT(($A265-1)/5),MAX((MAX(1,INT(((CROQUIS!$C$97)-CROQUIS!$C$107)/MAX((CROQUIS!$C$137*MAX(1,CEILING((INT(((CROQUIS!$C$97)-CROQUIS!$C$107)/MAX(CROQUIS!$C$137,1))+1)/80,1))),1))+1))-1,0))*(CROQUIS!$C$137*MAX(1,CEILING((INT(((CROQUIS!$C$97)-CROQUIS!$C$107)/MAX(CROQUIS!$C$137,1))+1)/80,1)))),CHOOSE(IF(INT(($A265-1)/5)&gt;MAX((MAX(1,INT(((CROQUIS!$C$97)-CROQUIS!$C$107)/MAX((CROQUIS!$C$137*MAX(1,CEILING((INT(((CROQUIS!$C$97)-CROQUIS!$C$107)/MAX(CROQUIS!$C$137,1))+1)/80,1))),1))+1))-1,0),0,MOD($A265-1,5))+1,0,2,CROQUIS!$C$98-2,2,0)))*CROQUIS!$C$159)+IF(CROQUIS!$C$92="X",0,0)),-1000)</f>
        <v>-1000</v>
      </c>
      <c r="BQ265">
        <f>IF(AND(CROQUIS!$C$88=1,CROQUIS!$C$137&gt;0),((CROQUIS!$C$161+(IF(CROQUIS!$C$92="X",CHOOSE(IF(INT(($A265-1)/5)&gt;MAX((MAX(1,INT(((CROQUIS!$C$97)-CROQUIS!$C$107)/MAX((CROQUIS!$C$137*MAX(1,CEILING((INT(((CROQUIS!$C$97)-CROQUIS!$C$107)/MAX(CROQUIS!$C$137,1))+1)/80,1))),1))+1))-1,0),0,MOD($A265-1,5))+1,0,2,CROQUIS!$C$98-2,2,0),((CROQUIS!$C$107/2+(((CROQUIS!$C$97)-CROQUIS!$C$107)-(MAX(1,INT(((CROQUIS!$C$97)-CROQUIS!$C$107)/MAX((CROQUIS!$C$137*MAX(1,CEILING((INT(((CROQUIS!$C$97)-CROQUIS!$C$107)/MAX(CROQUIS!$C$137,1))+1)/80,1))),1))+1)-1)*(CROQUIS!$C$137*MAX(1,CEILING((INT(((CROQUIS!$C$97)-CROQUIS!$C$107)/MAX(CROQUIS!$C$137,1))+1)/80,1))))/2)+MIN(INT(($A265-1)/5),MAX((MAX(1,INT(((CROQUIS!$C$97)-CROQUIS!$C$107)/MAX((CROQUIS!$C$137*MAX(1,CEILING((INT(((CROQUIS!$C$97)-CROQUIS!$C$107)/MAX(CROQUIS!$C$137,1))+1)/80,1))),1))+1))-1,0))*(CROQUIS!$C$137*MAX(1,CEILING((INT(((CROQUIS!$C$97)-CROQUIS!$C$107)/MAX(CROQUIS!$C$137,1))+1)/80,1))))))*CROQUIS!$C$159)+IF(CROQUIS!$C$92="X",0,0)),-1000)</f>
        <v>-1000</v>
      </c>
      <c r="BR265">
        <f>IF(AND(CROQUIS!$C$88=1,CROQUIS!$C$91=0,CROQUIS!$C$133&gt;0,OR(CROQUIS!$C$103=1,CROQUIS!$C$145=1)),((CROQUIS!$C$160+(IF(CROQUIS!$C$92="X",CHOOSE(IF(INT(($A265-1)/5)&gt;MAX((MAX(1,INT(((CROQUIS!$C$98)-CROQUIS!$C$107)/MAX((CROQUIS!$C$133*MAX(1,CEILING((INT(((CROQUIS!$C$98)-CROQUIS!$C$107)/MAX(CROQUIS!$C$133,1))+1)/80,1))),1))+1))-1,0),0,MOD($A265-1,5))+1,0,IF(CROQUIS!$C$103=1,-12,2),CROQUIS!$C$107/2+CROQUIS!$C$143,IF(CROQUIS!$C$103=1,-12,2),0),((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BS2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+1,0,IF(CROQUIS!$C$103=1,-12,2),CROQUIS!$C$107/2+CROQUIS!$C$143,IF(CROQUIS!$C$103=1,-12,2),0)))*CROQUIS!$C$159)+IF(CROQUIS!$C$92="X",0.8,0)),-1000)</f>
        <v>-1000</v>
      </c>
      <c r="BT265">
        <f>IF(AND(CROQUIS!$C$88=1,CROQUIS!$C$91=0,CROQUIS!$C$133&gt;0,OR(CROQUIS!$C$104=1,CROQUIS!$C$145=1)),((CROQUIS!$C$160+(IF(CROQUIS!$C$92="X",CHOOSE(IF(INT(($A265-1)/5)&gt;MAX((MAX(1,INT(((CROQUIS!$C$98)-CROQUIS!$C$107)/MAX((CROQUIS!$C$133*MAX(1,CEILING((INT(((CROQUIS!$C$98)-CROQUIS!$C$107)/MAX(CROQUIS!$C$133,1))+1)/80,1))),1))+1))-1,0),0,MOD($A265-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BU2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CROQUIS!$C$97,CROQUIS!$C$97-CROQUIS!$C$107/2-CROQUIS!$C$143,IF(CROQUIS!$C$104=1,CROQUIS!$C$97+12,CROQUIS!$C$97-2),CROQUIS!$C$97-CROQUIS!$C$107/2-CROQUIS!$C$143,CROQUIS!$C$97)))*CROQUIS!$C$159)+IF(CROQUIS!$C$92="X",0.8,0)),-1000)</f>
        <v>-1000</v>
      </c>
      <c r="BV2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HOOSE(IF(INT(($A265-1)/5)&gt;MAX((MAX(1,INT(((CROQUIS!$C$97)-CROQUIS!$C$107)/MAX((CROQUIS!$C$141*MAX(1,CEILING((INT(((CROQUIS!$C$97)-CROQUIS!$C$107)/MAX(CROQUIS!$C$141,1))+1)/80,1))),1))+1))-1,0),0,MOD($A265-1,5))+1,0,IF(CROQUIS!$C$105=1,-12,2),CROQUIS!$C$107/2+CROQUIS!$C$144,IF(CROQUIS!$C$105=1,-12,2),0)))*CROQUIS!$C$159)+IF(CROQUIS!$C$92="X",0.8,0)),-1000)</f>
        <v>-1000</v>
      </c>
      <c r="BW265">
        <f>IF(AND(CROQUIS!$C$88=1,CROQUIS!$C$91=0,CROQUIS!$C$141&gt;0,OR(CROQUIS!$C$105=1,CROQUIS!$C$146=1)),((CROQUIS!$C$161+(IF(CROQUIS!$C$92="X",CHOOSE(IF(INT(($A265-1)/5)&gt;MAX((MAX(1,INT(((CROQUIS!$C$97)-CROQUIS!$C$107)/MAX((CROQUIS!$C$141*MAX(1,CEILING((INT(((CROQUIS!$C$97)-CROQUIS!$C$107)/MAX(CROQUIS!$C$141,1))+1)/80,1))),1))+1))-1,0),0,MOD($A265-1,5))+1,0,IF(CROQUIS!$C$105=1,-12,2),CROQUIS!$C$107/2+CROQUIS!$C$144,IF(CROQUIS!$C$105=1,-12,2),0),((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ROQUIS!$C$159)+IF(CROQUIS!$C$92="X",0,0.8)),-1000)</f>
        <v>-1000</v>
      </c>
      <c r="BX2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HOOSE(IF(INT(($A265-1)/5)&gt;MAX((MAX(1,INT(((CROQUIS!$C$97)-CROQUIS!$C$107)/MAX((CROQUIS!$C$141*MAX(1,CEILING((INT(((CROQUIS!$C$97)-CROQUIS!$C$107)/MAX(CROQUIS!$C$141,1))+1)/80,1))),1))+1))-1,0),0,MOD($A265-1,5))+1,CROQUIS!$C$98,CROQUIS!$C$98-CROQUIS!$C$107/2-CROQUIS!$C$144,IF(CROQUIS!$C$106=1,CROQUIS!$C$98+12,CROQUIS!$C$98-2),CROQUIS!$C$98-CROQUIS!$C$107/2-CROQUIS!$C$144,CROQUIS!$C$98)))*CROQUIS!$C$159)+IF(CROQUIS!$C$92="X",0.8,0)),-1000)</f>
        <v>-1000</v>
      </c>
      <c r="BY265">
        <f>IF(AND(CROQUIS!$C$88=1,CROQUIS!$C$91=0,CROQUIS!$C$141&gt;0,OR(CROQUIS!$C$106=1,CROQUIS!$C$146=1)),((CROQUIS!$C$161+(IF(CROQUIS!$C$92="X",CHOOSE(IF(INT(($A265-1)/5)&gt;MAX((MAX(1,INT(((CROQUIS!$C$97)-CROQUIS!$C$107)/MAX((CROQUIS!$C$141*MAX(1,CEILING((INT(((CROQUIS!$C$97)-CROQUIS!$C$107)/MAX(CROQUIS!$C$141,1))+1)/80,1))),1))+1))-1,0),0,MOD($A265-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ROQUIS!$C$159)+IF(CROQUIS!$C$92="X",0,0.8)),-1000)</f>
        <v>-1000</v>
      </c>
      <c r="BZ265">
        <f>IF(AND(CROQUIS!$C$88=1,CROQUIS!$C$91=1,CROQUIS!$C$133&gt;0),((CROQUIS!$C$160+(IF(CROQUIS!$C$92="X",CHOOSE(IF(INT(($A265-1)/5)&gt;MAX((MAX(1,INT(((CROQUIS!$C$98)-CROQUIS!$C$107)/MAX((CROQUIS!$C$133*MAX(1,CEILING((INT(((CROQUIS!$C$98)-CROQUIS!$C$107)/MAX(CROQUIS!$C$133,1))+1)/80,1))),1))+1))-1,0),0,MOD($A265-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CA265">
        <f>IF(AND(CROQUIS!$C$88=1,CROQUIS!$C$91=1,CROQUIS!$C$133&gt;0),((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6">
      <c r="A266" t="n">
        <v>259</v>
      </c>
      <c r="BN266">
        <f>IF(AND(CROQUIS!$C$88=1,CROQUIS!$C$129&gt;0),((CROQUIS!$C$160+(IF(CROQUIS!$C$92="X",CHOOSE(IF(INT(($A266-1)/5)&gt;MAX((MAX(1,INT(((CROQUIS!$C$98)-CROQUIS!$C$107)/MAX((CROQUIS!$C$129*MAX(1,CEILING((INT(((CROQUIS!$C$98)-CROQUIS!$C$107)/MAX(CROQUIS!$C$129,1))+1)/80,1))),1))+1))-1,0),0,MOD($A266-1,5))+1,0,2,CROQUIS!$C$97-2,2,0),((CROQUIS!$C$107/2+(((CROQUIS!$C$98)-CROQUIS!$C$107)-(MAX(1,INT(((CROQUIS!$C$98)-CROQUIS!$C$107)/MAX((CROQUIS!$C$129*MAX(1,CEILING((INT(((CROQUIS!$C$98)-CROQUIS!$C$107)/MAX(CROQUIS!$C$129,1))+1)/80,1))),1))+1)-1)*(CROQUIS!$C$129*MAX(1,CEILING((INT(((CROQUIS!$C$98)-CROQUIS!$C$107)/MAX(CROQUIS!$C$129,1))+1)/80,1))))/2)+MIN(INT(($A266-1)/5),MAX((MAX(1,INT(((CROQUIS!$C$98)-CROQUIS!$C$107)/MAX((CROQUIS!$C$129*MAX(1,CEILING((INT(((CROQUIS!$C$98)-CROQUIS!$C$107)/MAX(CROQUIS!$C$129,1))+1)/80,1))),1))+1))-1,0))*(CROQUIS!$C$129*MAX(1,CEILING((INT(((CROQUIS!$C$98)-CROQUIS!$C$107)/MAX(CROQUIS!$C$129,1))+1)/80,1))))))*CROQUIS!$C$159)+IF(CROQUIS!$C$92="X",0,0)),-1000)</f>
        <v>-1000</v>
      </c>
      <c r="BO266">
        <f>IF(AND(CROQUIS!$C$88=1,CROQUIS!$C$129&gt;0),((CROQUIS!$C$161+(IF(CROQUIS!$C$92="X",((CROQUIS!$C$107/2+(((CROQUIS!$C$98)-CROQUIS!$C$107)-(MAX(1,INT(((CROQUIS!$C$98)-CROQUIS!$C$107)/MAX((CROQUIS!$C$129*MAX(1,CEILING((INT(((CROQUIS!$C$98)-CROQUIS!$C$107)/MAX(CROQUIS!$C$129,1))+1)/80,1))),1))+1)-1)*(CROQUIS!$C$129*MAX(1,CEILING((INT(((CROQUIS!$C$98)-CROQUIS!$C$107)/MAX(CROQUIS!$C$129,1))+1)/80,1))))/2)+MIN(INT(($A266-1)/5),MAX((MAX(1,INT(((CROQUIS!$C$98)-CROQUIS!$C$107)/MAX((CROQUIS!$C$129*MAX(1,CEILING((INT(((CROQUIS!$C$98)-CROQUIS!$C$107)/MAX(CROQUIS!$C$129,1))+1)/80,1))),1))+1))-1,0))*(CROQUIS!$C$129*MAX(1,CEILING((INT(((CROQUIS!$C$98)-CROQUIS!$C$107)/MAX(CROQUIS!$C$129,1))+1)/80,1)))),CHOOSE(IF(INT(($A266-1)/5)&gt;MAX((MAX(1,INT(((CROQUIS!$C$98)-CROQUIS!$C$107)/MAX((CROQUIS!$C$129*MAX(1,CEILING((INT(((CROQUIS!$C$98)-CROQUIS!$C$107)/MAX(CROQUIS!$C$129,1))+1)/80,1))),1))+1))-1,0),0,MOD($A266-1,5))+1,0,2,CROQUIS!$C$97-2,2,0)))*CROQUIS!$C$159)+IF(CROQUIS!$C$92="X",0,0)),-1000)</f>
        <v>-1000</v>
      </c>
      <c r="BP266">
        <f>IF(AND(CROQUIS!$C$88=1,CROQUIS!$C$137&gt;0),((CROQUIS!$C$160+(IF(CROQUIS!$C$92="X",((CROQUIS!$C$107/2+(((CROQUIS!$C$97)-CROQUIS!$C$107)-(MAX(1,INT(((CROQUIS!$C$97)-CROQUIS!$C$107)/MAX((CROQUIS!$C$137*MAX(1,CEILING((INT(((CROQUIS!$C$97)-CROQUIS!$C$107)/MAX(CROQUIS!$C$137,1))+1)/80,1))),1))+1)-1)*(CROQUIS!$C$137*MAX(1,CEILING((INT(((CROQUIS!$C$97)-CROQUIS!$C$107)/MAX(CROQUIS!$C$137,1))+1)/80,1))))/2)+MIN(INT(($A266-1)/5),MAX((MAX(1,INT(((CROQUIS!$C$97)-CROQUIS!$C$107)/MAX((CROQUIS!$C$137*MAX(1,CEILING((INT(((CROQUIS!$C$97)-CROQUIS!$C$107)/MAX(CROQUIS!$C$137,1))+1)/80,1))),1))+1))-1,0))*(CROQUIS!$C$137*MAX(1,CEILING((INT(((CROQUIS!$C$97)-CROQUIS!$C$107)/MAX(CROQUIS!$C$137,1))+1)/80,1)))),CHOOSE(IF(INT(($A266-1)/5)&gt;MAX((MAX(1,INT(((CROQUIS!$C$97)-CROQUIS!$C$107)/MAX((CROQUIS!$C$137*MAX(1,CEILING((INT(((CROQUIS!$C$97)-CROQUIS!$C$107)/MAX(CROQUIS!$C$137,1))+1)/80,1))),1))+1))-1,0),0,MOD($A266-1,5))+1,0,2,CROQUIS!$C$98-2,2,0)))*CROQUIS!$C$159)+IF(CROQUIS!$C$92="X",0,0)),-1000)</f>
        <v>-1000</v>
      </c>
      <c r="BQ266">
        <f>IF(AND(CROQUIS!$C$88=1,CROQUIS!$C$137&gt;0),((CROQUIS!$C$161+(IF(CROQUIS!$C$92="X",CHOOSE(IF(INT(($A266-1)/5)&gt;MAX((MAX(1,INT(((CROQUIS!$C$97)-CROQUIS!$C$107)/MAX((CROQUIS!$C$137*MAX(1,CEILING((INT(((CROQUIS!$C$97)-CROQUIS!$C$107)/MAX(CROQUIS!$C$137,1))+1)/80,1))),1))+1))-1,0),0,MOD($A266-1,5))+1,0,2,CROQUIS!$C$98-2,2,0),((CROQUIS!$C$107/2+(((CROQUIS!$C$97)-CROQUIS!$C$107)-(MAX(1,INT(((CROQUIS!$C$97)-CROQUIS!$C$107)/MAX((CROQUIS!$C$137*MAX(1,CEILING((INT(((CROQUIS!$C$97)-CROQUIS!$C$107)/MAX(CROQUIS!$C$137,1))+1)/80,1))),1))+1)-1)*(CROQUIS!$C$137*MAX(1,CEILING((INT(((CROQUIS!$C$97)-CROQUIS!$C$107)/MAX(CROQUIS!$C$137,1))+1)/80,1))))/2)+MIN(INT(($A266-1)/5),MAX((MAX(1,INT(((CROQUIS!$C$97)-CROQUIS!$C$107)/MAX((CROQUIS!$C$137*MAX(1,CEILING((INT(((CROQUIS!$C$97)-CROQUIS!$C$107)/MAX(CROQUIS!$C$137,1))+1)/80,1))),1))+1))-1,0))*(CROQUIS!$C$137*MAX(1,CEILING((INT(((CROQUIS!$C$97)-CROQUIS!$C$107)/MAX(CROQUIS!$C$137,1))+1)/80,1))))))*CROQUIS!$C$159)+IF(CROQUIS!$C$92="X",0,0)),-1000)</f>
        <v>-1000</v>
      </c>
      <c r="BR266">
        <f>IF(AND(CROQUIS!$C$88=1,CROQUIS!$C$91=0,CROQUIS!$C$133&gt;0,OR(CROQUIS!$C$103=1,CROQUIS!$C$145=1)),((CROQUIS!$C$160+(IF(CROQUIS!$C$92="X",CHOOSE(IF(INT(($A266-1)/5)&gt;MAX((MAX(1,INT(((CROQUIS!$C$98)-CROQUIS!$C$107)/MAX((CROQUIS!$C$133*MAX(1,CEILING((INT(((CROQUIS!$C$98)-CROQUIS!$C$107)/MAX(CROQUIS!$C$133,1))+1)/80,1))),1))+1))-1,0),0,MOD($A266-1,5))+1,0,IF(CROQUIS!$C$103=1,-12,2),CROQUIS!$C$107/2+CROQUIS!$C$143,IF(CROQUIS!$C$103=1,-12,2),0),((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BS2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+1,0,IF(CROQUIS!$C$103=1,-12,2),CROQUIS!$C$107/2+CROQUIS!$C$143,IF(CROQUIS!$C$103=1,-12,2),0)))*CROQUIS!$C$159)+IF(CROQUIS!$C$92="X",0.8,0)),-1000)</f>
        <v>-1000</v>
      </c>
      <c r="BT266">
        <f>IF(AND(CROQUIS!$C$88=1,CROQUIS!$C$91=0,CROQUIS!$C$133&gt;0,OR(CROQUIS!$C$104=1,CROQUIS!$C$145=1)),((CROQUIS!$C$160+(IF(CROQUIS!$C$92="X",CHOOSE(IF(INT(($A266-1)/5)&gt;MAX((MAX(1,INT(((CROQUIS!$C$98)-CROQUIS!$C$107)/MAX((CROQUIS!$C$133*MAX(1,CEILING((INT(((CROQUIS!$C$98)-CROQUIS!$C$107)/MAX(CROQUIS!$C$133,1))+1)/80,1))),1))+1))-1,0),0,MOD($A266-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BU2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CROQUIS!$C$97,CROQUIS!$C$97-CROQUIS!$C$107/2-CROQUIS!$C$143,IF(CROQUIS!$C$104=1,CROQUIS!$C$97+12,CROQUIS!$C$97-2),CROQUIS!$C$97-CROQUIS!$C$107/2-CROQUIS!$C$143,CROQUIS!$C$97)))*CROQUIS!$C$159)+IF(CROQUIS!$C$92="X",0.8,0)),-1000)</f>
        <v>-1000</v>
      </c>
      <c r="BV2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HOOSE(IF(INT(($A266-1)/5)&gt;MAX((MAX(1,INT(((CROQUIS!$C$97)-CROQUIS!$C$107)/MAX((CROQUIS!$C$141*MAX(1,CEILING((INT(((CROQUIS!$C$97)-CROQUIS!$C$107)/MAX(CROQUIS!$C$141,1))+1)/80,1))),1))+1))-1,0),0,MOD($A266-1,5))+1,0,IF(CROQUIS!$C$105=1,-12,2),CROQUIS!$C$107/2+CROQUIS!$C$144,IF(CROQUIS!$C$105=1,-12,2),0)))*CROQUIS!$C$159)+IF(CROQUIS!$C$92="X",0.8,0)),-1000)</f>
        <v>-1000</v>
      </c>
      <c r="BW266">
        <f>IF(AND(CROQUIS!$C$88=1,CROQUIS!$C$91=0,CROQUIS!$C$141&gt;0,OR(CROQUIS!$C$105=1,CROQUIS!$C$146=1)),((CROQUIS!$C$161+(IF(CROQUIS!$C$92="X",CHOOSE(IF(INT(($A266-1)/5)&gt;MAX((MAX(1,INT(((CROQUIS!$C$97)-CROQUIS!$C$107)/MAX((CROQUIS!$C$141*MAX(1,CEILING((INT(((CROQUIS!$C$97)-CROQUIS!$C$107)/MAX(CROQUIS!$C$141,1))+1)/80,1))),1))+1))-1,0),0,MOD($A266-1,5))+1,0,IF(CROQUIS!$C$105=1,-12,2),CROQUIS!$C$107/2+CROQUIS!$C$144,IF(CROQUIS!$C$105=1,-12,2),0),((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ROQUIS!$C$159)+IF(CROQUIS!$C$92="X",0,0.8)),-1000)</f>
        <v>-1000</v>
      </c>
      <c r="BX2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HOOSE(IF(INT(($A266-1)/5)&gt;MAX((MAX(1,INT(((CROQUIS!$C$97)-CROQUIS!$C$107)/MAX((CROQUIS!$C$141*MAX(1,CEILING((INT(((CROQUIS!$C$97)-CROQUIS!$C$107)/MAX(CROQUIS!$C$141,1))+1)/80,1))),1))+1))-1,0),0,MOD($A266-1,5))+1,CROQUIS!$C$98,CROQUIS!$C$98-CROQUIS!$C$107/2-CROQUIS!$C$144,IF(CROQUIS!$C$106=1,CROQUIS!$C$98+12,CROQUIS!$C$98-2),CROQUIS!$C$98-CROQUIS!$C$107/2-CROQUIS!$C$144,CROQUIS!$C$98)))*CROQUIS!$C$159)+IF(CROQUIS!$C$92="X",0.8,0)),-1000)</f>
        <v>-1000</v>
      </c>
      <c r="BY266">
        <f>IF(AND(CROQUIS!$C$88=1,CROQUIS!$C$91=0,CROQUIS!$C$141&gt;0,OR(CROQUIS!$C$106=1,CROQUIS!$C$146=1)),((CROQUIS!$C$161+(IF(CROQUIS!$C$92="X",CHOOSE(IF(INT(($A266-1)/5)&gt;MAX((MAX(1,INT(((CROQUIS!$C$97)-CROQUIS!$C$107)/MAX((CROQUIS!$C$141*MAX(1,CEILING((INT(((CROQUIS!$C$97)-CROQUIS!$C$107)/MAX(CROQUIS!$C$141,1))+1)/80,1))),1))+1))-1,0),0,MOD($A266-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ROQUIS!$C$159)+IF(CROQUIS!$C$92="X",0,0.8)),-1000)</f>
        <v>-1000</v>
      </c>
      <c r="BZ266">
        <f>IF(AND(CROQUIS!$C$88=1,CROQUIS!$C$91=1,CROQUIS!$C$133&gt;0),((CROQUIS!$C$160+(IF(CROQUIS!$C$92="X",CHOOSE(IF(INT(($A266-1)/5)&gt;MAX((MAX(1,INT(((CROQUIS!$C$98)-CROQUIS!$C$107)/MAX((CROQUIS!$C$133*MAX(1,CEILING((INT(((CROQUIS!$C$98)-CROQUIS!$C$107)/MAX(CROQUIS!$C$133,1))+1)/80,1))),1))+1))-1,0),0,MOD($A266-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CA266">
        <f>IF(AND(CROQUIS!$C$88=1,CROQUIS!$C$91=1,CROQUIS!$C$133&gt;0),((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7">
      <c r="A267" t="n">
        <v>260</v>
      </c>
      <c r="BN267">
        <f>IF(AND(CROQUIS!$C$88=1,CROQUIS!$C$129&gt;0),((CROQUIS!$C$160+(IF(CROQUIS!$C$92="X",CHOOSE(IF(INT(($A267-1)/5)&gt;MAX((MAX(1,INT(((CROQUIS!$C$98)-CROQUIS!$C$107)/MAX((CROQUIS!$C$129*MAX(1,CEILING((INT(((CROQUIS!$C$98)-CROQUIS!$C$107)/MAX(CROQUIS!$C$129,1))+1)/80,1))),1))+1))-1,0),0,MOD($A267-1,5))+1,0,2,CROQUIS!$C$97-2,2,0),((CROQUIS!$C$107/2+(((CROQUIS!$C$98)-CROQUIS!$C$107)-(MAX(1,INT(((CROQUIS!$C$98)-CROQUIS!$C$107)/MAX((CROQUIS!$C$129*MAX(1,CEILING((INT(((CROQUIS!$C$98)-CROQUIS!$C$107)/MAX(CROQUIS!$C$129,1))+1)/80,1))),1))+1)-1)*(CROQUIS!$C$129*MAX(1,CEILING((INT(((CROQUIS!$C$98)-CROQUIS!$C$107)/MAX(CROQUIS!$C$129,1))+1)/80,1))))/2)+MIN(INT(($A267-1)/5),MAX((MAX(1,INT(((CROQUIS!$C$98)-CROQUIS!$C$107)/MAX((CROQUIS!$C$129*MAX(1,CEILING((INT(((CROQUIS!$C$98)-CROQUIS!$C$107)/MAX(CROQUIS!$C$129,1))+1)/80,1))),1))+1))-1,0))*(CROQUIS!$C$129*MAX(1,CEILING((INT(((CROQUIS!$C$98)-CROQUIS!$C$107)/MAX(CROQUIS!$C$129,1))+1)/80,1))))))*CROQUIS!$C$159)+IF(CROQUIS!$C$92="X",0,0)),-1000)</f>
        <v>-1000</v>
      </c>
      <c r="BO267">
        <f>IF(AND(CROQUIS!$C$88=1,CROQUIS!$C$129&gt;0),((CROQUIS!$C$161+(IF(CROQUIS!$C$92="X",((CROQUIS!$C$107/2+(((CROQUIS!$C$98)-CROQUIS!$C$107)-(MAX(1,INT(((CROQUIS!$C$98)-CROQUIS!$C$107)/MAX((CROQUIS!$C$129*MAX(1,CEILING((INT(((CROQUIS!$C$98)-CROQUIS!$C$107)/MAX(CROQUIS!$C$129,1))+1)/80,1))),1))+1)-1)*(CROQUIS!$C$129*MAX(1,CEILING((INT(((CROQUIS!$C$98)-CROQUIS!$C$107)/MAX(CROQUIS!$C$129,1))+1)/80,1))))/2)+MIN(INT(($A267-1)/5),MAX((MAX(1,INT(((CROQUIS!$C$98)-CROQUIS!$C$107)/MAX((CROQUIS!$C$129*MAX(1,CEILING((INT(((CROQUIS!$C$98)-CROQUIS!$C$107)/MAX(CROQUIS!$C$129,1))+1)/80,1))),1))+1))-1,0))*(CROQUIS!$C$129*MAX(1,CEILING((INT(((CROQUIS!$C$98)-CROQUIS!$C$107)/MAX(CROQUIS!$C$129,1))+1)/80,1)))),CHOOSE(IF(INT(($A267-1)/5)&gt;MAX((MAX(1,INT(((CROQUIS!$C$98)-CROQUIS!$C$107)/MAX((CROQUIS!$C$129*MAX(1,CEILING((INT(((CROQUIS!$C$98)-CROQUIS!$C$107)/MAX(CROQUIS!$C$129,1))+1)/80,1))),1))+1))-1,0),0,MOD($A267-1,5))+1,0,2,CROQUIS!$C$97-2,2,0)))*CROQUIS!$C$159)+IF(CROQUIS!$C$92="X",0,0)),-1000)</f>
        <v>-1000</v>
      </c>
      <c r="BP267">
        <f>IF(AND(CROQUIS!$C$88=1,CROQUIS!$C$137&gt;0),((CROQUIS!$C$160+(IF(CROQUIS!$C$92="X",((CROQUIS!$C$107/2+(((CROQUIS!$C$97)-CROQUIS!$C$107)-(MAX(1,INT(((CROQUIS!$C$97)-CROQUIS!$C$107)/MAX((CROQUIS!$C$137*MAX(1,CEILING((INT(((CROQUIS!$C$97)-CROQUIS!$C$107)/MAX(CROQUIS!$C$137,1))+1)/80,1))),1))+1)-1)*(CROQUIS!$C$137*MAX(1,CEILING((INT(((CROQUIS!$C$97)-CROQUIS!$C$107)/MAX(CROQUIS!$C$137,1))+1)/80,1))))/2)+MIN(INT(($A267-1)/5),MAX((MAX(1,INT(((CROQUIS!$C$97)-CROQUIS!$C$107)/MAX((CROQUIS!$C$137*MAX(1,CEILING((INT(((CROQUIS!$C$97)-CROQUIS!$C$107)/MAX(CROQUIS!$C$137,1))+1)/80,1))),1))+1))-1,0))*(CROQUIS!$C$137*MAX(1,CEILING((INT(((CROQUIS!$C$97)-CROQUIS!$C$107)/MAX(CROQUIS!$C$137,1))+1)/80,1)))),CHOOSE(IF(INT(($A267-1)/5)&gt;MAX((MAX(1,INT(((CROQUIS!$C$97)-CROQUIS!$C$107)/MAX((CROQUIS!$C$137*MAX(1,CEILING((INT(((CROQUIS!$C$97)-CROQUIS!$C$107)/MAX(CROQUIS!$C$137,1))+1)/80,1))),1))+1))-1,0),0,MOD($A267-1,5))+1,0,2,CROQUIS!$C$98-2,2,0)))*CROQUIS!$C$159)+IF(CROQUIS!$C$92="X",0,0)),-1000)</f>
        <v>-1000</v>
      </c>
      <c r="BQ267">
        <f>IF(AND(CROQUIS!$C$88=1,CROQUIS!$C$137&gt;0),((CROQUIS!$C$161+(IF(CROQUIS!$C$92="X",CHOOSE(IF(INT(($A267-1)/5)&gt;MAX((MAX(1,INT(((CROQUIS!$C$97)-CROQUIS!$C$107)/MAX((CROQUIS!$C$137*MAX(1,CEILING((INT(((CROQUIS!$C$97)-CROQUIS!$C$107)/MAX(CROQUIS!$C$137,1))+1)/80,1))),1))+1))-1,0),0,MOD($A267-1,5))+1,0,2,CROQUIS!$C$98-2,2,0),((CROQUIS!$C$107/2+(((CROQUIS!$C$97)-CROQUIS!$C$107)-(MAX(1,INT(((CROQUIS!$C$97)-CROQUIS!$C$107)/MAX((CROQUIS!$C$137*MAX(1,CEILING((INT(((CROQUIS!$C$97)-CROQUIS!$C$107)/MAX(CROQUIS!$C$137,1))+1)/80,1))),1))+1)-1)*(CROQUIS!$C$137*MAX(1,CEILING((INT(((CROQUIS!$C$97)-CROQUIS!$C$107)/MAX(CROQUIS!$C$137,1))+1)/80,1))))/2)+MIN(INT(($A267-1)/5),MAX((MAX(1,INT(((CROQUIS!$C$97)-CROQUIS!$C$107)/MAX((CROQUIS!$C$137*MAX(1,CEILING((INT(((CROQUIS!$C$97)-CROQUIS!$C$107)/MAX(CROQUIS!$C$137,1))+1)/80,1))),1))+1))-1,0))*(CROQUIS!$C$137*MAX(1,CEILING((INT(((CROQUIS!$C$97)-CROQUIS!$C$107)/MAX(CROQUIS!$C$137,1))+1)/80,1))))))*CROQUIS!$C$159)+IF(CROQUIS!$C$92="X",0,0)),-1000)</f>
        <v>-1000</v>
      </c>
      <c r="BR267">
        <f>IF(AND(CROQUIS!$C$88=1,CROQUIS!$C$91=0,CROQUIS!$C$133&gt;0,OR(CROQUIS!$C$103=1,CROQUIS!$C$145=1)),((CROQUIS!$C$160+(IF(CROQUIS!$C$92="X",CHOOSE(IF(INT(($A267-1)/5)&gt;MAX((MAX(1,INT(((CROQUIS!$C$98)-CROQUIS!$C$107)/MAX((CROQUIS!$C$133*MAX(1,CEILING((INT(((CROQUIS!$C$98)-CROQUIS!$C$107)/MAX(CROQUIS!$C$133,1))+1)/80,1))),1))+1))-1,0),0,MOD($A267-1,5))+1,0,IF(CROQUIS!$C$103=1,-12,2),CROQUIS!$C$107/2+CROQUIS!$C$143,IF(CROQUIS!$C$103=1,-12,2),0),((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BS2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+1,0,IF(CROQUIS!$C$103=1,-12,2),CROQUIS!$C$107/2+CROQUIS!$C$143,IF(CROQUIS!$C$103=1,-12,2),0)))*CROQUIS!$C$159)+IF(CROQUIS!$C$92="X",0.8,0)),-1000)</f>
        <v>-1000</v>
      </c>
      <c r="BT267">
        <f>IF(AND(CROQUIS!$C$88=1,CROQUIS!$C$91=0,CROQUIS!$C$133&gt;0,OR(CROQUIS!$C$104=1,CROQUIS!$C$145=1)),((CROQUIS!$C$160+(IF(CROQUIS!$C$92="X",CHOOSE(IF(INT(($A267-1)/5)&gt;MAX((MAX(1,INT(((CROQUIS!$C$98)-CROQUIS!$C$107)/MAX((CROQUIS!$C$133*MAX(1,CEILING((INT(((CROQUIS!$C$98)-CROQUIS!$C$107)/MAX(CROQUIS!$C$133,1))+1)/80,1))),1))+1))-1,0),0,MOD($A267-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BU2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CROQUIS!$C$97,CROQUIS!$C$97-CROQUIS!$C$107/2-CROQUIS!$C$143,IF(CROQUIS!$C$104=1,CROQUIS!$C$97+12,CROQUIS!$C$97-2),CROQUIS!$C$97-CROQUIS!$C$107/2-CROQUIS!$C$143,CROQUIS!$C$97)))*CROQUIS!$C$159)+IF(CROQUIS!$C$92="X",0.8,0)),-1000)</f>
        <v>-1000</v>
      </c>
      <c r="BV2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HOOSE(IF(INT(($A267-1)/5)&gt;MAX((MAX(1,INT(((CROQUIS!$C$97)-CROQUIS!$C$107)/MAX((CROQUIS!$C$141*MAX(1,CEILING((INT(((CROQUIS!$C$97)-CROQUIS!$C$107)/MAX(CROQUIS!$C$141,1))+1)/80,1))),1))+1))-1,0),0,MOD($A267-1,5))+1,0,IF(CROQUIS!$C$105=1,-12,2),CROQUIS!$C$107/2+CROQUIS!$C$144,IF(CROQUIS!$C$105=1,-12,2),0)))*CROQUIS!$C$159)+IF(CROQUIS!$C$92="X",0.8,0)),-1000)</f>
        <v>-1000</v>
      </c>
      <c r="BW267">
        <f>IF(AND(CROQUIS!$C$88=1,CROQUIS!$C$91=0,CROQUIS!$C$141&gt;0,OR(CROQUIS!$C$105=1,CROQUIS!$C$146=1)),((CROQUIS!$C$161+(IF(CROQUIS!$C$92="X",CHOOSE(IF(INT(($A267-1)/5)&gt;MAX((MAX(1,INT(((CROQUIS!$C$97)-CROQUIS!$C$107)/MAX((CROQUIS!$C$141*MAX(1,CEILING((INT(((CROQUIS!$C$97)-CROQUIS!$C$107)/MAX(CROQUIS!$C$141,1))+1)/80,1))),1))+1))-1,0),0,MOD($A267-1,5))+1,0,IF(CROQUIS!$C$105=1,-12,2),CROQUIS!$C$107/2+CROQUIS!$C$144,IF(CROQUIS!$C$105=1,-12,2),0),((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ROQUIS!$C$159)+IF(CROQUIS!$C$92="X",0,0.8)),-1000)</f>
        <v>-1000</v>
      </c>
      <c r="BX2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HOOSE(IF(INT(($A267-1)/5)&gt;MAX((MAX(1,INT(((CROQUIS!$C$97)-CROQUIS!$C$107)/MAX((CROQUIS!$C$141*MAX(1,CEILING((INT(((CROQUIS!$C$97)-CROQUIS!$C$107)/MAX(CROQUIS!$C$141,1))+1)/80,1))),1))+1))-1,0),0,MOD($A267-1,5))+1,CROQUIS!$C$98,CROQUIS!$C$98-CROQUIS!$C$107/2-CROQUIS!$C$144,IF(CROQUIS!$C$106=1,CROQUIS!$C$98+12,CROQUIS!$C$98-2),CROQUIS!$C$98-CROQUIS!$C$107/2-CROQUIS!$C$144,CROQUIS!$C$98)))*CROQUIS!$C$159)+IF(CROQUIS!$C$92="X",0.8,0)),-1000)</f>
        <v>-1000</v>
      </c>
      <c r="BY267">
        <f>IF(AND(CROQUIS!$C$88=1,CROQUIS!$C$91=0,CROQUIS!$C$141&gt;0,OR(CROQUIS!$C$106=1,CROQUIS!$C$146=1)),((CROQUIS!$C$161+(IF(CROQUIS!$C$92="X",CHOOSE(IF(INT(($A267-1)/5)&gt;MAX((MAX(1,INT(((CROQUIS!$C$97)-CROQUIS!$C$107)/MAX((CROQUIS!$C$141*MAX(1,CEILING((INT(((CROQUIS!$C$97)-CROQUIS!$C$107)/MAX(CROQUIS!$C$141,1))+1)/80,1))),1))+1))-1,0),0,MOD($A267-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ROQUIS!$C$159)+IF(CROQUIS!$C$92="X",0,0.8)),-1000)</f>
        <v>-1000</v>
      </c>
      <c r="BZ267">
        <f>IF(AND(CROQUIS!$C$88=1,CROQUIS!$C$91=1,CROQUIS!$C$133&gt;0),((CROQUIS!$C$160+(IF(CROQUIS!$C$92="X",CHOOSE(IF(INT(($A267-1)/5)&gt;MAX((MAX(1,INT(((CROQUIS!$C$98)-CROQUIS!$C$107)/MAX((CROQUIS!$C$133*MAX(1,CEILING((INT(((CROQUIS!$C$98)-CROQUIS!$C$107)/MAX(CROQUIS!$C$133,1))+1)/80,1))),1))+1))-1,0),0,MOD($A267-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CA267">
        <f>IF(AND(CROQUIS!$C$88=1,CROQUIS!$C$91=1,CROQUIS!$C$133&gt;0),((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8">
      <c r="A268" t="n">
        <v>261</v>
      </c>
      <c r="BN268">
        <f>IF(AND(CROQUIS!$C$88=1,CROQUIS!$C$129&gt;0),((CROQUIS!$C$160+(IF(CROQUIS!$C$92="X",CHOOSE(IF(INT(($A268-1)/5)&gt;MAX((MAX(1,INT(((CROQUIS!$C$98)-CROQUIS!$C$107)/MAX((CROQUIS!$C$129*MAX(1,CEILING((INT(((CROQUIS!$C$98)-CROQUIS!$C$107)/MAX(CROQUIS!$C$129,1))+1)/80,1))),1))+1))-1,0),0,MOD($A268-1,5))+1,0,2,CROQUIS!$C$97-2,2,0),((CROQUIS!$C$107/2+(((CROQUIS!$C$98)-CROQUIS!$C$107)-(MAX(1,INT(((CROQUIS!$C$98)-CROQUIS!$C$107)/MAX((CROQUIS!$C$129*MAX(1,CEILING((INT(((CROQUIS!$C$98)-CROQUIS!$C$107)/MAX(CROQUIS!$C$129,1))+1)/80,1))),1))+1)-1)*(CROQUIS!$C$129*MAX(1,CEILING((INT(((CROQUIS!$C$98)-CROQUIS!$C$107)/MAX(CROQUIS!$C$129,1))+1)/80,1))))/2)+MIN(INT(($A268-1)/5),MAX((MAX(1,INT(((CROQUIS!$C$98)-CROQUIS!$C$107)/MAX((CROQUIS!$C$129*MAX(1,CEILING((INT(((CROQUIS!$C$98)-CROQUIS!$C$107)/MAX(CROQUIS!$C$129,1))+1)/80,1))),1))+1))-1,0))*(CROQUIS!$C$129*MAX(1,CEILING((INT(((CROQUIS!$C$98)-CROQUIS!$C$107)/MAX(CROQUIS!$C$129,1))+1)/80,1))))))*CROQUIS!$C$159)+IF(CROQUIS!$C$92="X",0,0)),-1000)</f>
        <v>-1000</v>
      </c>
      <c r="BO268">
        <f>IF(AND(CROQUIS!$C$88=1,CROQUIS!$C$129&gt;0),((CROQUIS!$C$161+(IF(CROQUIS!$C$92="X",((CROQUIS!$C$107/2+(((CROQUIS!$C$98)-CROQUIS!$C$107)-(MAX(1,INT(((CROQUIS!$C$98)-CROQUIS!$C$107)/MAX((CROQUIS!$C$129*MAX(1,CEILING((INT(((CROQUIS!$C$98)-CROQUIS!$C$107)/MAX(CROQUIS!$C$129,1))+1)/80,1))),1))+1)-1)*(CROQUIS!$C$129*MAX(1,CEILING((INT(((CROQUIS!$C$98)-CROQUIS!$C$107)/MAX(CROQUIS!$C$129,1))+1)/80,1))))/2)+MIN(INT(($A268-1)/5),MAX((MAX(1,INT(((CROQUIS!$C$98)-CROQUIS!$C$107)/MAX((CROQUIS!$C$129*MAX(1,CEILING((INT(((CROQUIS!$C$98)-CROQUIS!$C$107)/MAX(CROQUIS!$C$129,1))+1)/80,1))),1))+1))-1,0))*(CROQUIS!$C$129*MAX(1,CEILING((INT(((CROQUIS!$C$98)-CROQUIS!$C$107)/MAX(CROQUIS!$C$129,1))+1)/80,1)))),CHOOSE(IF(INT(($A268-1)/5)&gt;MAX((MAX(1,INT(((CROQUIS!$C$98)-CROQUIS!$C$107)/MAX((CROQUIS!$C$129*MAX(1,CEILING((INT(((CROQUIS!$C$98)-CROQUIS!$C$107)/MAX(CROQUIS!$C$129,1))+1)/80,1))),1))+1))-1,0),0,MOD($A268-1,5))+1,0,2,CROQUIS!$C$97-2,2,0)))*CROQUIS!$C$159)+IF(CROQUIS!$C$92="X",0,0)),-1000)</f>
        <v>-1000</v>
      </c>
      <c r="BP268">
        <f>IF(AND(CROQUIS!$C$88=1,CROQUIS!$C$137&gt;0),((CROQUIS!$C$160+(IF(CROQUIS!$C$92="X",((CROQUIS!$C$107/2+(((CROQUIS!$C$97)-CROQUIS!$C$107)-(MAX(1,INT(((CROQUIS!$C$97)-CROQUIS!$C$107)/MAX((CROQUIS!$C$137*MAX(1,CEILING((INT(((CROQUIS!$C$97)-CROQUIS!$C$107)/MAX(CROQUIS!$C$137,1))+1)/80,1))),1))+1)-1)*(CROQUIS!$C$137*MAX(1,CEILING((INT(((CROQUIS!$C$97)-CROQUIS!$C$107)/MAX(CROQUIS!$C$137,1))+1)/80,1))))/2)+MIN(INT(($A268-1)/5),MAX((MAX(1,INT(((CROQUIS!$C$97)-CROQUIS!$C$107)/MAX((CROQUIS!$C$137*MAX(1,CEILING((INT(((CROQUIS!$C$97)-CROQUIS!$C$107)/MAX(CROQUIS!$C$137,1))+1)/80,1))),1))+1))-1,0))*(CROQUIS!$C$137*MAX(1,CEILING((INT(((CROQUIS!$C$97)-CROQUIS!$C$107)/MAX(CROQUIS!$C$137,1))+1)/80,1)))),CHOOSE(IF(INT(($A268-1)/5)&gt;MAX((MAX(1,INT(((CROQUIS!$C$97)-CROQUIS!$C$107)/MAX((CROQUIS!$C$137*MAX(1,CEILING((INT(((CROQUIS!$C$97)-CROQUIS!$C$107)/MAX(CROQUIS!$C$137,1))+1)/80,1))),1))+1))-1,0),0,MOD($A268-1,5))+1,0,2,CROQUIS!$C$98-2,2,0)))*CROQUIS!$C$159)+IF(CROQUIS!$C$92="X",0,0)),-1000)</f>
        <v>-1000</v>
      </c>
      <c r="BQ268">
        <f>IF(AND(CROQUIS!$C$88=1,CROQUIS!$C$137&gt;0),((CROQUIS!$C$161+(IF(CROQUIS!$C$92="X",CHOOSE(IF(INT(($A268-1)/5)&gt;MAX((MAX(1,INT(((CROQUIS!$C$97)-CROQUIS!$C$107)/MAX((CROQUIS!$C$137*MAX(1,CEILING((INT(((CROQUIS!$C$97)-CROQUIS!$C$107)/MAX(CROQUIS!$C$137,1))+1)/80,1))),1))+1))-1,0),0,MOD($A268-1,5))+1,0,2,CROQUIS!$C$98-2,2,0),((CROQUIS!$C$107/2+(((CROQUIS!$C$97)-CROQUIS!$C$107)-(MAX(1,INT(((CROQUIS!$C$97)-CROQUIS!$C$107)/MAX((CROQUIS!$C$137*MAX(1,CEILING((INT(((CROQUIS!$C$97)-CROQUIS!$C$107)/MAX(CROQUIS!$C$137,1))+1)/80,1))),1))+1)-1)*(CROQUIS!$C$137*MAX(1,CEILING((INT(((CROQUIS!$C$97)-CROQUIS!$C$107)/MAX(CROQUIS!$C$137,1))+1)/80,1))))/2)+MIN(INT(($A268-1)/5),MAX((MAX(1,INT(((CROQUIS!$C$97)-CROQUIS!$C$107)/MAX((CROQUIS!$C$137*MAX(1,CEILING((INT(((CROQUIS!$C$97)-CROQUIS!$C$107)/MAX(CROQUIS!$C$137,1))+1)/80,1))),1))+1))-1,0))*(CROQUIS!$C$137*MAX(1,CEILING((INT(((CROQUIS!$C$97)-CROQUIS!$C$107)/MAX(CROQUIS!$C$137,1))+1)/80,1))))))*CROQUIS!$C$159)+IF(CROQUIS!$C$92="X",0,0)),-1000)</f>
        <v>-1000</v>
      </c>
      <c r="BR268">
        <f>IF(AND(CROQUIS!$C$88=1,CROQUIS!$C$91=0,CROQUIS!$C$133&gt;0,OR(CROQUIS!$C$103=1,CROQUIS!$C$145=1)),((CROQUIS!$C$160+(IF(CROQUIS!$C$92="X",CHOOSE(IF(INT(($A268-1)/5)&gt;MAX((MAX(1,INT(((CROQUIS!$C$98)-CROQUIS!$C$107)/MAX((CROQUIS!$C$133*MAX(1,CEILING((INT(((CROQUIS!$C$98)-CROQUIS!$C$107)/MAX(CROQUIS!$C$133,1))+1)/80,1))),1))+1))-1,0),0,MOD($A268-1,5))+1,0,IF(CROQUIS!$C$103=1,-12,2),CROQUIS!$C$107/2+CROQUIS!$C$143,IF(CROQUIS!$C$103=1,-12,2),0),((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BS2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+1,0,IF(CROQUIS!$C$103=1,-12,2),CROQUIS!$C$107/2+CROQUIS!$C$143,IF(CROQUIS!$C$103=1,-12,2),0)))*CROQUIS!$C$159)+IF(CROQUIS!$C$92="X",0.8,0)),-1000)</f>
        <v>-1000</v>
      </c>
      <c r="BT268">
        <f>IF(AND(CROQUIS!$C$88=1,CROQUIS!$C$91=0,CROQUIS!$C$133&gt;0,OR(CROQUIS!$C$104=1,CROQUIS!$C$145=1)),((CROQUIS!$C$160+(IF(CROQUIS!$C$92="X",CHOOSE(IF(INT(($A268-1)/5)&gt;MAX((MAX(1,INT(((CROQUIS!$C$98)-CROQUIS!$C$107)/MAX((CROQUIS!$C$133*MAX(1,CEILING((INT(((CROQUIS!$C$98)-CROQUIS!$C$107)/MAX(CROQUIS!$C$133,1))+1)/80,1))),1))+1))-1,0),0,MOD($A268-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BU2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CROQUIS!$C$97,CROQUIS!$C$97-CROQUIS!$C$107/2-CROQUIS!$C$143,IF(CROQUIS!$C$104=1,CROQUIS!$C$97+12,CROQUIS!$C$97-2),CROQUIS!$C$97-CROQUIS!$C$107/2-CROQUIS!$C$143,CROQUIS!$C$97)))*CROQUIS!$C$159)+IF(CROQUIS!$C$92="X",0.8,0)),-1000)</f>
        <v>-1000</v>
      </c>
      <c r="BV2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HOOSE(IF(INT(($A268-1)/5)&gt;MAX((MAX(1,INT(((CROQUIS!$C$97)-CROQUIS!$C$107)/MAX((CROQUIS!$C$141*MAX(1,CEILING((INT(((CROQUIS!$C$97)-CROQUIS!$C$107)/MAX(CROQUIS!$C$141,1))+1)/80,1))),1))+1))-1,0),0,MOD($A268-1,5))+1,0,IF(CROQUIS!$C$105=1,-12,2),CROQUIS!$C$107/2+CROQUIS!$C$144,IF(CROQUIS!$C$105=1,-12,2),0)))*CROQUIS!$C$159)+IF(CROQUIS!$C$92="X",0.8,0)),-1000)</f>
        <v>-1000</v>
      </c>
      <c r="BW268">
        <f>IF(AND(CROQUIS!$C$88=1,CROQUIS!$C$91=0,CROQUIS!$C$141&gt;0,OR(CROQUIS!$C$105=1,CROQUIS!$C$146=1)),((CROQUIS!$C$161+(IF(CROQUIS!$C$92="X",CHOOSE(IF(INT(($A268-1)/5)&gt;MAX((MAX(1,INT(((CROQUIS!$C$97)-CROQUIS!$C$107)/MAX((CROQUIS!$C$141*MAX(1,CEILING((INT(((CROQUIS!$C$97)-CROQUIS!$C$107)/MAX(CROQUIS!$C$141,1))+1)/80,1))),1))+1))-1,0),0,MOD($A268-1,5))+1,0,IF(CROQUIS!$C$105=1,-12,2),CROQUIS!$C$107/2+CROQUIS!$C$144,IF(CROQUIS!$C$105=1,-12,2),0),((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ROQUIS!$C$159)+IF(CROQUIS!$C$92="X",0,0.8)),-1000)</f>
        <v>-1000</v>
      </c>
      <c r="BX2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HOOSE(IF(INT(($A268-1)/5)&gt;MAX((MAX(1,INT(((CROQUIS!$C$97)-CROQUIS!$C$107)/MAX((CROQUIS!$C$141*MAX(1,CEILING((INT(((CROQUIS!$C$97)-CROQUIS!$C$107)/MAX(CROQUIS!$C$141,1))+1)/80,1))),1))+1))-1,0),0,MOD($A268-1,5))+1,CROQUIS!$C$98,CROQUIS!$C$98-CROQUIS!$C$107/2-CROQUIS!$C$144,IF(CROQUIS!$C$106=1,CROQUIS!$C$98+12,CROQUIS!$C$98-2),CROQUIS!$C$98-CROQUIS!$C$107/2-CROQUIS!$C$144,CROQUIS!$C$98)))*CROQUIS!$C$159)+IF(CROQUIS!$C$92="X",0.8,0)),-1000)</f>
        <v>-1000</v>
      </c>
      <c r="BY268">
        <f>IF(AND(CROQUIS!$C$88=1,CROQUIS!$C$91=0,CROQUIS!$C$141&gt;0,OR(CROQUIS!$C$106=1,CROQUIS!$C$146=1)),((CROQUIS!$C$161+(IF(CROQUIS!$C$92="X",CHOOSE(IF(INT(($A268-1)/5)&gt;MAX((MAX(1,INT(((CROQUIS!$C$97)-CROQUIS!$C$107)/MAX((CROQUIS!$C$141*MAX(1,CEILING((INT(((CROQUIS!$C$97)-CROQUIS!$C$107)/MAX(CROQUIS!$C$141,1))+1)/80,1))),1))+1))-1,0),0,MOD($A268-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ROQUIS!$C$159)+IF(CROQUIS!$C$92="X",0,0.8)),-1000)</f>
        <v>-1000</v>
      </c>
      <c r="BZ268">
        <f>IF(AND(CROQUIS!$C$88=1,CROQUIS!$C$91=1,CROQUIS!$C$133&gt;0),((CROQUIS!$C$160+(IF(CROQUIS!$C$92="X",CHOOSE(IF(INT(($A268-1)/5)&gt;MAX((MAX(1,INT(((CROQUIS!$C$98)-CROQUIS!$C$107)/MAX((CROQUIS!$C$133*MAX(1,CEILING((INT(((CROQUIS!$C$98)-CROQUIS!$C$107)/MAX(CROQUIS!$C$133,1))+1)/80,1))),1))+1))-1,0),0,MOD($A268-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CA268">
        <f>IF(AND(CROQUIS!$C$88=1,CROQUIS!$C$91=1,CROQUIS!$C$133&gt;0),((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9">
      <c r="A269" t="n">
        <v>262</v>
      </c>
      <c r="BN269">
        <f>IF(AND(CROQUIS!$C$88=1,CROQUIS!$C$129&gt;0),((CROQUIS!$C$160+(IF(CROQUIS!$C$92="X",CHOOSE(IF(INT(($A269-1)/5)&gt;MAX((MAX(1,INT(((CROQUIS!$C$98)-CROQUIS!$C$107)/MAX((CROQUIS!$C$129*MAX(1,CEILING((INT(((CROQUIS!$C$98)-CROQUIS!$C$107)/MAX(CROQUIS!$C$129,1))+1)/80,1))),1))+1))-1,0),0,MOD($A269-1,5))+1,0,2,CROQUIS!$C$97-2,2,0),((CROQUIS!$C$107/2+(((CROQUIS!$C$98)-CROQUIS!$C$107)-(MAX(1,INT(((CROQUIS!$C$98)-CROQUIS!$C$107)/MAX((CROQUIS!$C$129*MAX(1,CEILING((INT(((CROQUIS!$C$98)-CROQUIS!$C$107)/MAX(CROQUIS!$C$129,1))+1)/80,1))),1))+1)-1)*(CROQUIS!$C$129*MAX(1,CEILING((INT(((CROQUIS!$C$98)-CROQUIS!$C$107)/MAX(CROQUIS!$C$129,1))+1)/80,1))))/2)+MIN(INT(($A269-1)/5),MAX((MAX(1,INT(((CROQUIS!$C$98)-CROQUIS!$C$107)/MAX((CROQUIS!$C$129*MAX(1,CEILING((INT(((CROQUIS!$C$98)-CROQUIS!$C$107)/MAX(CROQUIS!$C$129,1))+1)/80,1))),1))+1))-1,0))*(CROQUIS!$C$129*MAX(1,CEILING((INT(((CROQUIS!$C$98)-CROQUIS!$C$107)/MAX(CROQUIS!$C$129,1))+1)/80,1))))))*CROQUIS!$C$159)+IF(CROQUIS!$C$92="X",0,0)),-1000)</f>
        <v>-1000</v>
      </c>
      <c r="BO269">
        <f>IF(AND(CROQUIS!$C$88=1,CROQUIS!$C$129&gt;0),((CROQUIS!$C$161+(IF(CROQUIS!$C$92="X",((CROQUIS!$C$107/2+(((CROQUIS!$C$98)-CROQUIS!$C$107)-(MAX(1,INT(((CROQUIS!$C$98)-CROQUIS!$C$107)/MAX((CROQUIS!$C$129*MAX(1,CEILING((INT(((CROQUIS!$C$98)-CROQUIS!$C$107)/MAX(CROQUIS!$C$129,1))+1)/80,1))),1))+1)-1)*(CROQUIS!$C$129*MAX(1,CEILING((INT(((CROQUIS!$C$98)-CROQUIS!$C$107)/MAX(CROQUIS!$C$129,1))+1)/80,1))))/2)+MIN(INT(($A269-1)/5),MAX((MAX(1,INT(((CROQUIS!$C$98)-CROQUIS!$C$107)/MAX((CROQUIS!$C$129*MAX(1,CEILING((INT(((CROQUIS!$C$98)-CROQUIS!$C$107)/MAX(CROQUIS!$C$129,1))+1)/80,1))),1))+1))-1,0))*(CROQUIS!$C$129*MAX(1,CEILING((INT(((CROQUIS!$C$98)-CROQUIS!$C$107)/MAX(CROQUIS!$C$129,1))+1)/80,1)))),CHOOSE(IF(INT(($A269-1)/5)&gt;MAX((MAX(1,INT(((CROQUIS!$C$98)-CROQUIS!$C$107)/MAX((CROQUIS!$C$129*MAX(1,CEILING((INT(((CROQUIS!$C$98)-CROQUIS!$C$107)/MAX(CROQUIS!$C$129,1))+1)/80,1))),1))+1))-1,0),0,MOD($A269-1,5))+1,0,2,CROQUIS!$C$97-2,2,0)))*CROQUIS!$C$159)+IF(CROQUIS!$C$92="X",0,0)),-1000)</f>
        <v>-1000</v>
      </c>
      <c r="BP269">
        <f>IF(AND(CROQUIS!$C$88=1,CROQUIS!$C$137&gt;0),((CROQUIS!$C$160+(IF(CROQUIS!$C$92="X",((CROQUIS!$C$107/2+(((CROQUIS!$C$97)-CROQUIS!$C$107)-(MAX(1,INT(((CROQUIS!$C$97)-CROQUIS!$C$107)/MAX((CROQUIS!$C$137*MAX(1,CEILING((INT(((CROQUIS!$C$97)-CROQUIS!$C$107)/MAX(CROQUIS!$C$137,1))+1)/80,1))),1))+1)-1)*(CROQUIS!$C$137*MAX(1,CEILING((INT(((CROQUIS!$C$97)-CROQUIS!$C$107)/MAX(CROQUIS!$C$137,1))+1)/80,1))))/2)+MIN(INT(($A269-1)/5),MAX((MAX(1,INT(((CROQUIS!$C$97)-CROQUIS!$C$107)/MAX((CROQUIS!$C$137*MAX(1,CEILING((INT(((CROQUIS!$C$97)-CROQUIS!$C$107)/MAX(CROQUIS!$C$137,1))+1)/80,1))),1))+1))-1,0))*(CROQUIS!$C$137*MAX(1,CEILING((INT(((CROQUIS!$C$97)-CROQUIS!$C$107)/MAX(CROQUIS!$C$137,1))+1)/80,1)))),CHOOSE(IF(INT(($A269-1)/5)&gt;MAX((MAX(1,INT(((CROQUIS!$C$97)-CROQUIS!$C$107)/MAX((CROQUIS!$C$137*MAX(1,CEILING((INT(((CROQUIS!$C$97)-CROQUIS!$C$107)/MAX(CROQUIS!$C$137,1))+1)/80,1))),1))+1))-1,0),0,MOD($A269-1,5))+1,0,2,CROQUIS!$C$98-2,2,0)))*CROQUIS!$C$159)+IF(CROQUIS!$C$92="X",0,0)),-1000)</f>
        <v>-1000</v>
      </c>
      <c r="BQ269">
        <f>IF(AND(CROQUIS!$C$88=1,CROQUIS!$C$137&gt;0),((CROQUIS!$C$161+(IF(CROQUIS!$C$92="X",CHOOSE(IF(INT(($A269-1)/5)&gt;MAX((MAX(1,INT(((CROQUIS!$C$97)-CROQUIS!$C$107)/MAX((CROQUIS!$C$137*MAX(1,CEILING((INT(((CROQUIS!$C$97)-CROQUIS!$C$107)/MAX(CROQUIS!$C$137,1))+1)/80,1))),1))+1))-1,0),0,MOD($A269-1,5))+1,0,2,CROQUIS!$C$98-2,2,0),((CROQUIS!$C$107/2+(((CROQUIS!$C$97)-CROQUIS!$C$107)-(MAX(1,INT(((CROQUIS!$C$97)-CROQUIS!$C$107)/MAX((CROQUIS!$C$137*MAX(1,CEILING((INT(((CROQUIS!$C$97)-CROQUIS!$C$107)/MAX(CROQUIS!$C$137,1))+1)/80,1))),1))+1)-1)*(CROQUIS!$C$137*MAX(1,CEILING((INT(((CROQUIS!$C$97)-CROQUIS!$C$107)/MAX(CROQUIS!$C$137,1))+1)/80,1))))/2)+MIN(INT(($A269-1)/5),MAX((MAX(1,INT(((CROQUIS!$C$97)-CROQUIS!$C$107)/MAX((CROQUIS!$C$137*MAX(1,CEILING((INT(((CROQUIS!$C$97)-CROQUIS!$C$107)/MAX(CROQUIS!$C$137,1))+1)/80,1))),1))+1))-1,0))*(CROQUIS!$C$137*MAX(1,CEILING((INT(((CROQUIS!$C$97)-CROQUIS!$C$107)/MAX(CROQUIS!$C$137,1))+1)/80,1))))))*CROQUIS!$C$159)+IF(CROQUIS!$C$92="X",0,0)),-1000)</f>
        <v>-1000</v>
      </c>
      <c r="BR269">
        <f>IF(AND(CROQUIS!$C$88=1,CROQUIS!$C$91=0,CROQUIS!$C$133&gt;0,OR(CROQUIS!$C$103=1,CROQUIS!$C$145=1)),((CROQUIS!$C$160+(IF(CROQUIS!$C$92="X",CHOOSE(IF(INT(($A269-1)/5)&gt;MAX((MAX(1,INT(((CROQUIS!$C$98)-CROQUIS!$C$107)/MAX((CROQUIS!$C$133*MAX(1,CEILING((INT(((CROQUIS!$C$98)-CROQUIS!$C$107)/MAX(CROQUIS!$C$133,1))+1)/80,1))),1))+1))-1,0),0,MOD($A269-1,5))+1,0,IF(CROQUIS!$C$103=1,-12,2),CROQUIS!$C$107/2+CROQUIS!$C$143,IF(CROQUIS!$C$103=1,-12,2),0),((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BS2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+1,0,IF(CROQUIS!$C$103=1,-12,2),CROQUIS!$C$107/2+CROQUIS!$C$143,IF(CROQUIS!$C$103=1,-12,2),0)))*CROQUIS!$C$159)+IF(CROQUIS!$C$92="X",0.8,0)),-1000)</f>
        <v>-1000</v>
      </c>
      <c r="BT269">
        <f>IF(AND(CROQUIS!$C$88=1,CROQUIS!$C$91=0,CROQUIS!$C$133&gt;0,OR(CROQUIS!$C$104=1,CROQUIS!$C$145=1)),((CROQUIS!$C$160+(IF(CROQUIS!$C$92="X",CHOOSE(IF(INT(($A269-1)/5)&gt;MAX((MAX(1,INT(((CROQUIS!$C$98)-CROQUIS!$C$107)/MAX((CROQUIS!$C$133*MAX(1,CEILING((INT(((CROQUIS!$C$98)-CROQUIS!$C$107)/MAX(CROQUIS!$C$133,1))+1)/80,1))),1))+1))-1,0),0,MOD($A269-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BU2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CROQUIS!$C$97,CROQUIS!$C$97-CROQUIS!$C$107/2-CROQUIS!$C$143,IF(CROQUIS!$C$104=1,CROQUIS!$C$97+12,CROQUIS!$C$97-2),CROQUIS!$C$97-CROQUIS!$C$107/2-CROQUIS!$C$143,CROQUIS!$C$97)))*CROQUIS!$C$159)+IF(CROQUIS!$C$92="X",0.8,0)),-1000)</f>
        <v>-1000</v>
      </c>
      <c r="BV2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HOOSE(IF(INT(($A269-1)/5)&gt;MAX((MAX(1,INT(((CROQUIS!$C$97)-CROQUIS!$C$107)/MAX((CROQUIS!$C$141*MAX(1,CEILING((INT(((CROQUIS!$C$97)-CROQUIS!$C$107)/MAX(CROQUIS!$C$141,1))+1)/80,1))),1))+1))-1,0),0,MOD($A269-1,5))+1,0,IF(CROQUIS!$C$105=1,-12,2),CROQUIS!$C$107/2+CROQUIS!$C$144,IF(CROQUIS!$C$105=1,-12,2),0)))*CROQUIS!$C$159)+IF(CROQUIS!$C$92="X",0.8,0)),-1000)</f>
        <v>-1000</v>
      </c>
      <c r="BW269">
        <f>IF(AND(CROQUIS!$C$88=1,CROQUIS!$C$91=0,CROQUIS!$C$141&gt;0,OR(CROQUIS!$C$105=1,CROQUIS!$C$146=1)),((CROQUIS!$C$161+(IF(CROQUIS!$C$92="X",CHOOSE(IF(INT(($A269-1)/5)&gt;MAX((MAX(1,INT(((CROQUIS!$C$97)-CROQUIS!$C$107)/MAX((CROQUIS!$C$141*MAX(1,CEILING((INT(((CROQUIS!$C$97)-CROQUIS!$C$107)/MAX(CROQUIS!$C$141,1))+1)/80,1))),1))+1))-1,0),0,MOD($A269-1,5))+1,0,IF(CROQUIS!$C$105=1,-12,2),CROQUIS!$C$107/2+CROQUIS!$C$144,IF(CROQUIS!$C$105=1,-12,2),0),((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ROQUIS!$C$159)+IF(CROQUIS!$C$92="X",0,0.8)),-1000)</f>
        <v>-1000</v>
      </c>
      <c r="BX2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HOOSE(IF(INT(($A269-1)/5)&gt;MAX((MAX(1,INT(((CROQUIS!$C$97)-CROQUIS!$C$107)/MAX((CROQUIS!$C$141*MAX(1,CEILING((INT(((CROQUIS!$C$97)-CROQUIS!$C$107)/MAX(CROQUIS!$C$141,1))+1)/80,1))),1))+1))-1,0),0,MOD($A269-1,5))+1,CROQUIS!$C$98,CROQUIS!$C$98-CROQUIS!$C$107/2-CROQUIS!$C$144,IF(CROQUIS!$C$106=1,CROQUIS!$C$98+12,CROQUIS!$C$98-2),CROQUIS!$C$98-CROQUIS!$C$107/2-CROQUIS!$C$144,CROQUIS!$C$98)))*CROQUIS!$C$159)+IF(CROQUIS!$C$92="X",0.8,0)),-1000)</f>
        <v>-1000</v>
      </c>
      <c r="BY269">
        <f>IF(AND(CROQUIS!$C$88=1,CROQUIS!$C$91=0,CROQUIS!$C$141&gt;0,OR(CROQUIS!$C$106=1,CROQUIS!$C$146=1)),((CROQUIS!$C$161+(IF(CROQUIS!$C$92="X",CHOOSE(IF(INT(($A269-1)/5)&gt;MAX((MAX(1,INT(((CROQUIS!$C$97)-CROQUIS!$C$107)/MAX((CROQUIS!$C$141*MAX(1,CEILING((INT(((CROQUIS!$C$97)-CROQUIS!$C$107)/MAX(CROQUIS!$C$141,1))+1)/80,1))),1))+1))-1,0),0,MOD($A269-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ROQUIS!$C$159)+IF(CROQUIS!$C$92="X",0,0.8)),-1000)</f>
        <v>-1000</v>
      </c>
      <c r="BZ269">
        <f>IF(AND(CROQUIS!$C$88=1,CROQUIS!$C$91=1,CROQUIS!$C$133&gt;0),((CROQUIS!$C$160+(IF(CROQUIS!$C$92="X",CHOOSE(IF(INT(($A269-1)/5)&gt;MAX((MAX(1,INT(((CROQUIS!$C$98)-CROQUIS!$C$107)/MAX((CROQUIS!$C$133*MAX(1,CEILING((INT(((CROQUIS!$C$98)-CROQUIS!$C$107)/MAX(CROQUIS!$C$133,1))+1)/80,1))),1))+1))-1,0),0,MOD($A269-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CA269">
        <f>IF(AND(CROQUIS!$C$88=1,CROQUIS!$C$91=1,CROQUIS!$C$133&gt;0),((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0">
      <c r="A270" t="n">
        <v>263</v>
      </c>
      <c r="BN270">
        <f>IF(AND(CROQUIS!$C$88=1,CROQUIS!$C$129&gt;0),((CROQUIS!$C$160+(IF(CROQUIS!$C$92="X",CHOOSE(IF(INT(($A270-1)/5)&gt;MAX((MAX(1,INT(((CROQUIS!$C$98)-CROQUIS!$C$107)/MAX((CROQUIS!$C$129*MAX(1,CEILING((INT(((CROQUIS!$C$98)-CROQUIS!$C$107)/MAX(CROQUIS!$C$129,1))+1)/80,1))),1))+1))-1,0),0,MOD($A270-1,5))+1,0,2,CROQUIS!$C$97-2,2,0),((CROQUIS!$C$107/2+(((CROQUIS!$C$98)-CROQUIS!$C$107)-(MAX(1,INT(((CROQUIS!$C$98)-CROQUIS!$C$107)/MAX((CROQUIS!$C$129*MAX(1,CEILING((INT(((CROQUIS!$C$98)-CROQUIS!$C$107)/MAX(CROQUIS!$C$129,1))+1)/80,1))),1))+1)-1)*(CROQUIS!$C$129*MAX(1,CEILING((INT(((CROQUIS!$C$98)-CROQUIS!$C$107)/MAX(CROQUIS!$C$129,1))+1)/80,1))))/2)+MIN(INT(($A270-1)/5),MAX((MAX(1,INT(((CROQUIS!$C$98)-CROQUIS!$C$107)/MAX((CROQUIS!$C$129*MAX(1,CEILING((INT(((CROQUIS!$C$98)-CROQUIS!$C$107)/MAX(CROQUIS!$C$129,1))+1)/80,1))),1))+1))-1,0))*(CROQUIS!$C$129*MAX(1,CEILING((INT(((CROQUIS!$C$98)-CROQUIS!$C$107)/MAX(CROQUIS!$C$129,1))+1)/80,1))))))*CROQUIS!$C$159)+IF(CROQUIS!$C$92="X",0,0)),-1000)</f>
        <v>-1000</v>
      </c>
      <c r="BO270">
        <f>IF(AND(CROQUIS!$C$88=1,CROQUIS!$C$129&gt;0),((CROQUIS!$C$161+(IF(CROQUIS!$C$92="X",((CROQUIS!$C$107/2+(((CROQUIS!$C$98)-CROQUIS!$C$107)-(MAX(1,INT(((CROQUIS!$C$98)-CROQUIS!$C$107)/MAX((CROQUIS!$C$129*MAX(1,CEILING((INT(((CROQUIS!$C$98)-CROQUIS!$C$107)/MAX(CROQUIS!$C$129,1))+1)/80,1))),1))+1)-1)*(CROQUIS!$C$129*MAX(1,CEILING((INT(((CROQUIS!$C$98)-CROQUIS!$C$107)/MAX(CROQUIS!$C$129,1))+1)/80,1))))/2)+MIN(INT(($A270-1)/5),MAX((MAX(1,INT(((CROQUIS!$C$98)-CROQUIS!$C$107)/MAX((CROQUIS!$C$129*MAX(1,CEILING((INT(((CROQUIS!$C$98)-CROQUIS!$C$107)/MAX(CROQUIS!$C$129,1))+1)/80,1))),1))+1))-1,0))*(CROQUIS!$C$129*MAX(1,CEILING((INT(((CROQUIS!$C$98)-CROQUIS!$C$107)/MAX(CROQUIS!$C$129,1))+1)/80,1)))),CHOOSE(IF(INT(($A270-1)/5)&gt;MAX((MAX(1,INT(((CROQUIS!$C$98)-CROQUIS!$C$107)/MAX((CROQUIS!$C$129*MAX(1,CEILING((INT(((CROQUIS!$C$98)-CROQUIS!$C$107)/MAX(CROQUIS!$C$129,1))+1)/80,1))),1))+1))-1,0),0,MOD($A270-1,5))+1,0,2,CROQUIS!$C$97-2,2,0)))*CROQUIS!$C$159)+IF(CROQUIS!$C$92="X",0,0)),-1000)</f>
        <v>-1000</v>
      </c>
      <c r="BP270">
        <f>IF(AND(CROQUIS!$C$88=1,CROQUIS!$C$137&gt;0),((CROQUIS!$C$160+(IF(CROQUIS!$C$92="X",((CROQUIS!$C$107/2+(((CROQUIS!$C$97)-CROQUIS!$C$107)-(MAX(1,INT(((CROQUIS!$C$97)-CROQUIS!$C$107)/MAX((CROQUIS!$C$137*MAX(1,CEILING((INT(((CROQUIS!$C$97)-CROQUIS!$C$107)/MAX(CROQUIS!$C$137,1))+1)/80,1))),1))+1)-1)*(CROQUIS!$C$137*MAX(1,CEILING((INT(((CROQUIS!$C$97)-CROQUIS!$C$107)/MAX(CROQUIS!$C$137,1))+1)/80,1))))/2)+MIN(INT(($A270-1)/5),MAX((MAX(1,INT(((CROQUIS!$C$97)-CROQUIS!$C$107)/MAX((CROQUIS!$C$137*MAX(1,CEILING((INT(((CROQUIS!$C$97)-CROQUIS!$C$107)/MAX(CROQUIS!$C$137,1))+1)/80,1))),1))+1))-1,0))*(CROQUIS!$C$137*MAX(1,CEILING((INT(((CROQUIS!$C$97)-CROQUIS!$C$107)/MAX(CROQUIS!$C$137,1))+1)/80,1)))),CHOOSE(IF(INT(($A270-1)/5)&gt;MAX((MAX(1,INT(((CROQUIS!$C$97)-CROQUIS!$C$107)/MAX((CROQUIS!$C$137*MAX(1,CEILING((INT(((CROQUIS!$C$97)-CROQUIS!$C$107)/MAX(CROQUIS!$C$137,1))+1)/80,1))),1))+1))-1,0),0,MOD($A270-1,5))+1,0,2,CROQUIS!$C$98-2,2,0)))*CROQUIS!$C$159)+IF(CROQUIS!$C$92="X",0,0)),-1000)</f>
        <v>-1000</v>
      </c>
      <c r="BQ270">
        <f>IF(AND(CROQUIS!$C$88=1,CROQUIS!$C$137&gt;0),((CROQUIS!$C$161+(IF(CROQUIS!$C$92="X",CHOOSE(IF(INT(($A270-1)/5)&gt;MAX((MAX(1,INT(((CROQUIS!$C$97)-CROQUIS!$C$107)/MAX((CROQUIS!$C$137*MAX(1,CEILING((INT(((CROQUIS!$C$97)-CROQUIS!$C$107)/MAX(CROQUIS!$C$137,1))+1)/80,1))),1))+1))-1,0),0,MOD($A270-1,5))+1,0,2,CROQUIS!$C$98-2,2,0),((CROQUIS!$C$107/2+(((CROQUIS!$C$97)-CROQUIS!$C$107)-(MAX(1,INT(((CROQUIS!$C$97)-CROQUIS!$C$107)/MAX((CROQUIS!$C$137*MAX(1,CEILING((INT(((CROQUIS!$C$97)-CROQUIS!$C$107)/MAX(CROQUIS!$C$137,1))+1)/80,1))),1))+1)-1)*(CROQUIS!$C$137*MAX(1,CEILING((INT(((CROQUIS!$C$97)-CROQUIS!$C$107)/MAX(CROQUIS!$C$137,1))+1)/80,1))))/2)+MIN(INT(($A270-1)/5),MAX((MAX(1,INT(((CROQUIS!$C$97)-CROQUIS!$C$107)/MAX((CROQUIS!$C$137*MAX(1,CEILING((INT(((CROQUIS!$C$97)-CROQUIS!$C$107)/MAX(CROQUIS!$C$137,1))+1)/80,1))),1))+1))-1,0))*(CROQUIS!$C$137*MAX(1,CEILING((INT(((CROQUIS!$C$97)-CROQUIS!$C$107)/MAX(CROQUIS!$C$137,1))+1)/80,1))))))*CROQUIS!$C$159)+IF(CROQUIS!$C$92="X",0,0)),-1000)</f>
        <v>-1000</v>
      </c>
      <c r="BR270">
        <f>IF(AND(CROQUIS!$C$88=1,CROQUIS!$C$91=0,CROQUIS!$C$133&gt;0,OR(CROQUIS!$C$103=1,CROQUIS!$C$145=1)),((CROQUIS!$C$160+(IF(CROQUIS!$C$92="X",CHOOSE(IF(INT(($A270-1)/5)&gt;MAX((MAX(1,INT(((CROQUIS!$C$98)-CROQUIS!$C$107)/MAX((CROQUIS!$C$133*MAX(1,CEILING((INT(((CROQUIS!$C$98)-CROQUIS!$C$107)/MAX(CROQUIS!$C$133,1))+1)/80,1))),1))+1))-1,0),0,MOD($A270-1,5))+1,0,IF(CROQUIS!$C$103=1,-12,2),CROQUIS!$C$107/2+CROQUIS!$C$143,IF(CROQUIS!$C$103=1,-12,2),0),((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BS2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+1,0,IF(CROQUIS!$C$103=1,-12,2),CROQUIS!$C$107/2+CROQUIS!$C$143,IF(CROQUIS!$C$103=1,-12,2),0)))*CROQUIS!$C$159)+IF(CROQUIS!$C$92="X",0.8,0)),-1000)</f>
        <v>-1000</v>
      </c>
      <c r="BT270">
        <f>IF(AND(CROQUIS!$C$88=1,CROQUIS!$C$91=0,CROQUIS!$C$133&gt;0,OR(CROQUIS!$C$104=1,CROQUIS!$C$145=1)),((CROQUIS!$C$160+(IF(CROQUIS!$C$92="X",CHOOSE(IF(INT(($A270-1)/5)&gt;MAX((MAX(1,INT(((CROQUIS!$C$98)-CROQUIS!$C$107)/MAX((CROQUIS!$C$133*MAX(1,CEILING((INT(((CROQUIS!$C$98)-CROQUIS!$C$107)/MAX(CROQUIS!$C$133,1))+1)/80,1))),1))+1))-1,0),0,MOD($A270-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BU2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CROQUIS!$C$97,CROQUIS!$C$97-CROQUIS!$C$107/2-CROQUIS!$C$143,IF(CROQUIS!$C$104=1,CROQUIS!$C$97+12,CROQUIS!$C$97-2),CROQUIS!$C$97-CROQUIS!$C$107/2-CROQUIS!$C$143,CROQUIS!$C$97)))*CROQUIS!$C$159)+IF(CROQUIS!$C$92="X",0.8,0)),-1000)</f>
        <v>-1000</v>
      </c>
      <c r="BV2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HOOSE(IF(INT(($A270-1)/5)&gt;MAX((MAX(1,INT(((CROQUIS!$C$97)-CROQUIS!$C$107)/MAX((CROQUIS!$C$141*MAX(1,CEILING((INT(((CROQUIS!$C$97)-CROQUIS!$C$107)/MAX(CROQUIS!$C$141,1))+1)/80,1))),1))+1))-1,0),0,MOD($A270-1,5))+1,0,IF(CROQUIS!$C$105=1,-12,2),CROQUIS!$C$107/2+CROQUIS!$C$144,IF(CROQUIS!$C$105=1,-12,2),0)))*CROQUIS!$C$159)+IF(CROQUIS!$C$92="X",0.8,0)),-1000)</f>
        <v>-1000</v>
      </c>
      <c r="BW270">
        <f>IF(AND(CROQUIS!$C$88=1,CROQUIS!$C$91=0,CROQUIS!$C$141&gt;0,OR(CROQUIS!$C$105=1,CROQUIS!$C$146=1)),((CROQUIS!$C$161+(IF(CROQUIS!$C$92="X",CHOOSE(IF(INT(($A270-1)/5)&gt;MAX((MAX(1,INT(((CROQUIS!$C$97)-CROQUIS!$C$107)/MAX((CROQUIS!$C$141*MAX(1,CEILING((INT(((CROQUIS!$C$97)-CROQUIS!$C$107)/MAX(CROQUIS!$C$141,1))+1)/80,1))),1))+1))-1,0),0,MOD($A270-1,5))+1,0,IF(CROQUIS!$C$105=1,-12,2),CROQUIS!$C$107/2+CROQUIS!$C$144,IF(CROQUIS!$C$105=1,-12,2),0),((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ROQUIS!$C$159)+IF(CROQUIS!$C$92="X",0,0.8)),-1000)</f>
        <v>-1000</v>
      </c>
      <c r="BX2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HOOSE(IF(INT(($A270-1)/5)&gt;MAX((MAX(1,INT(((CROQUIS!$C$97)-CROQUIS!$C$107)/MAX((CROQUIS!$C$141*MAX(1,CEILING((INT(((CROQUIS!$C$97)-CROQUIS!$C$107)/MAX(CROQUIS!$C$141,1))+1)/80,1))),1))+1))-1,0),0,MOD($A270-1,5))+1,CROQUIS!$C$98,CROQUIS!$C$98-CROQUIS!$C$107/2-CROQUIS!$C$144,IF(CROQUIS!$C$106=1,CROQUIS!$C$98+12,CROQUIS!$C$98-2),CROQUIS!$C$98-CROQUIS!$C$107/2-CROQUIS!$C$144,CROQUIS!$C$98)))*CROQUIS!$C$159)+IF(CROQUIS!$C$92="X",0.8,0)),-1000)</f>
        <v>-1000</v>
      </c>
      <c r="BY270">
        <f>IF(AND(CROQUIS!$C$88=1,CROQUIS!$C$91=0,CROQUIS!$C$141&gt;0,OR(CROQUIS!$C$106=1,CROQUIS!$C$146=1)),((CROQUIS!$C$161+(IF(CROQUIS!$C$92="X",CHOOSE(IF(INT(($A270-1)/5)&gt;MAX((MAX(1,INT(((CROQUIS!$C$97)-CROQUIS!$C$107)/MAX((CROQUIS!$C$141*MAX(1,CEILING((INT(((CROQUIS!$C$97)-CROQUIS!$C$107)/MAX(CROQUIS!$C$141,1))+1)/80,1))),1))+1))-1,0),0,MOD($A270-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ROQUIS!$C$159)+IF(CROQUIS!$C$92="X",0,0.8)),-1000)</f>
        <v>-1000</v>
      </c>
      <c r="BZ270">
        <f>IF(AND(CROQUIS!$C$88=1,CROQUIS!$C$91=1,CROQUIS!$C$133&gt;0),((CROQUIS!$C$160+(IF(CROQUIS!$C$92="X",CHOOSE(IF(INT(($A270-1)/5)&gt;MAX((MAX(1,INT(((CROQUIS!$C$98)-CROQUIS!$C$107)/MAX((CROQUIS!$C$133*MAX(1,CEILING((INT(((CROQUIS!$C$98)-CROQUIS!$C$107)/MAX(CROQUIS!$C$133,1))+1)/80,1))),1))+1))-1,0),0,MOD($A270-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CA270">
        <f>IF(AND(CROQUIS!$C$88=1,CROQUIS!$C$91=1,CROQUIS!$C$133&gt;0),((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1">
      <c r="A271" t="n">
        <v>264</v>
      </c>
      <c r="BN271">
        <f>IF(AND(CROQUIS!$C$88=1,CROQUIS!$C$129&gt;0),((CROQUIS!$C$160+(IF(CROQUIS!$C$92="X",CHOOSE(IF(INT(($A271-1)/5)&gt;MAX((MAX(1,INT(((CROQUIS!$C$98)-CROQUIS!$C$107)/MAX((CROQUIS!$C$129*MAX(1,CEILING((INT(((CROQUIS!$C$98)-CROQUIS!$C$107)/MAX(CROQUIS!$C$129,1))+1)/80,1))),1))+1))-1,0),0,MOD($A271-1,5))+1,0,2,CROQUIS!$C$97-2,2,0),((CROQUIS!$C$107/2+(((CROQUIS!$C$98)-CROQUIS!$C$107)-(MAX(1,INT(((CROQUIS!$C$98)-CROQUIS!$C$107)/MAX((CROQUIS!$C$129*MAX(1,CEILING((INT(((CROQUIS!$C$98)-CROQUIS!$C$107)/MAX(CROQUIS!$C$129,1))+1)/80,1))),1))+1)-1)*(CROQUIS!$C$129*MAX(1,CEILING((INT(((CROQUIS!$C$98)-CROQUIS!$C$107)/MAX(CROQUIS!$C$129,1))+1)/80,1))))/2)+MIN(INT(($A271-1)/5),MAX((MAX(1,INT(((CROQUIS!$C$98)-CROQUIS!$C$107)/MAX((CROQUIS!$C$129*MAX(1,CEILING((INT(((CROQUIS!$C$98)-CROQUIS!$C$107)/MAX(CROQUIS!$C$129,1))+1)/80,1))),1))+1))-1,0))*(CROQUIS!$C$129*MAX(1,CEILING((INT(((CROQUIS!$C$98)-CROQUIS!$C$107)/MAX(CROQUIS!$C$129,1))+1)/80,1))))))*CROQUIS!$C$159)+IF(CROQUIS!$C$92="X",0,0)),-1000)</f>
        <v>-1000</v>
      </c>
      <c r="BO271">
        <f>IF(AND(CROQUIS!$C$88=1,CROQUIS!$C$129&gt;0),((CROQUIS!$C$161+(IF(CROQUIS!$C$92="X",((CROQUIS!$C$107/2+(((CROQUIS!$C$98)-CROQUIS!$C$107)-(MAX(1,INT(((CROQUIS!$C$98)-CROQUIS!$C$107)/MAX((CROQUIS!$C$129*MAX(1,CEILING((INT(((CROQUIS!$C$98)-CROQUIS!$C$107)/MAX(CROQUIS!$C$129,1))+1)/80,1))),1))+1)-1)*(CROQUIS!$C$129*MAX(1,CEILING((INT(((CROQUIS!$C$98)-CROQUIS!$C$107)/MAX(CROQUIS!$C$129,1))+1)/80,1))))/2)+MIN(INT(($A271-1)/5),MAX((MAX(1,INT(((CROQUIS!$C$98)-CROQUIS!$C$107)/MAX((CROQUIS!$C$129*MAX(1,CEILING((INT(((CROQUIS!$C$98)-CROQUIS!$C$107)/MAX(CROQUIS!$C$129,1))+1)/80,1))),1))+1))-1,0))*(CROQUIS!$C$129*MAX(1,CEILING((INT(((CROQUIS!$C$98)-CROQUIS!$C$107)/MAX(CROQUIS!$C$129,1))+1)/80,1)))),CHOOSE(IF(INT(($A271-1)/5)&gt;MAX((MAX(1,INT(((CROQUIS!$C$98)-CROQUIS!$C$107)/MAX((CROQUIS!$C$129*MAX(1,CEILING((INT(((CROQUIS!$C$98)-CROQUIS!$C$107)/MAX(CROQUIS!$C$129,1))+1)/80,1))),1))+1))-1,0),0,MOD($A271-1,5))+1,0,2,CROQUIS!$C$97-2,2,0)))*CROQUIS!$C$159)+IF(CROQUIS!$C$92="X",0,0)),-1000)</f>
        <v>-1000</v>
      </c>
      <c r="BP271">
        <f>IF(AND(CROQUIS!$C$88=1,CROQUIS!$C$137&gt;0),((CROQUIS!$C$160+(IF(CROQUIS!$C$92="X",((CROQUIS!$C$107/2+(((CROQUIS!$C$97)-CROQUIS!$C$107)-(MAX(1,INT(((CROQUIS!$C$97)-CROQUIS!$C$107)/MAX((CROQUIS!$C$137*MAX(1,CEILING((INT(((CROQUIS!$C$97)-CROQUIS!$C$107)/MAX(CROQUIS!$C$137,1))+1)/80,1))),1))+1)-1)*(CROQUIS!$C$137*MAX(1,CEILING((INT(((CROQUIS!$C$97)-CROQUIS!$C$107)/MAX(CROQUIS!$C$137,1))+1)/80,1))))/2)+MIN(INT(($A271-1)/5),MAX((MAX(1,INT(((CROQUIS!$C$97)-CROQUIS!$C$107)/MAX((CROQUIS!$C$137*MAX(1,CEILING((INT(((CROQUIS!$C$97)-CROQUIS!$C$107)/MAX(CROQUIS!$C$137,1))+1)/80,1))),1))+1))-1,0))*(CROQUIS!$C$137*MAX(1,CEILING((INT(((CROQUIS!$C$97)-CROQUIS!$C$107)/MAX(CROQUIS!$C$137,1))+1)/80,1)))),CHOOSE(IF(INT(($A271-1)/5)&gt;MAX((MAX(1,INT(((CROQUIS!$C$97)-CROQUIS!$C$107)/MAX((CROQUIS!$C$137*MAX(1,CEILING((INT(((CROQUIS!$C$97)-CROQUIS!$C$107)/MAX(CROQUIS!$C$137,1))+1)/80,1))),1))+1))-1,0),0,MOD($A271-1,5))+1,0,2,CROQUIS!$C$98-2,2,0)))*CROQUIS!$C$159)+IF(CROQUIS!$C$92="X",0,0)),-1000)</f>
        <v>-1000</v>
      </c>
      <c r="BQ271">
        <f>IF(AND(CROQUIS!$C$88=1,CROQUIS!$C$137&gt;0),((CROQUIS!$C$161+(IF(CROQUIS!$C$92="X",CHOOSE(IF(INT(($A271-1)/5)&gt;MAX((MAX(1,INT(((CROQUIS!$C$97)-CROQUIS!$C$107)/MAX((CROQUIS!$C$137*MAX(1,CEILING((INT(((CROQUIS!$C$97)-CROQUIS!$C$107)/MAX(CROQUIS!$C$137,1))+1)/80,1))),1))+1))-1,0),0,MOD($A271-1,5))+1,0,2,CROQUIS!$C$98-2,2,0),((CROQUIS!$C$107/2+(((CROQUIS!$C$97)-CROQUIS!$C$107)-(MAX(1,INT(((CROQUIS!$C$97)-CROQUIS!$C$107)/MAX((CROQUIS!$C$137*MAX(1,CEILING((INT(((CROQUIS!$C$97)-CROQUIS!$C$107)/MAX(CROQUIS!$C$137,1))+1)/80,1))),1))+1)-1)*(CROQUIS!$C$137*MAX(1,CEILING((INT(((CROQUIS!$C$97)-CROQUIS!$C$107)/MAX(CROQUIS!$C$137,1))+1)/80,1))))/2)+MIN(INT(($A271-1)/5),MAX((MAX(1,INT(((CROQUIS!$C$97)-CROQUIS!$C$107)/MAX((CROQUIS!$C$137*MAX(1,CEILING((INT(((CROQUIS!$C$97)-CROQUIS!$C$107)/MAX(CROQUIS!$C$137,1))+1)/80,1))),1))+1))-1,0))*(CROQUIS!$C$137*MAX(1,CEILING((INT(((CROQUIS!$C$97)-CROQUIS!$C$107)/MAX(CROQUIS!$C$137,1))+1)/80,1))))))*CROQUIS!$C$159)+IF(CROQUIS!$C$92="X",0,0)),-1000)</f>
        <v>-1000</v>
      </c>
      <c r="BR271">
        <f>IF(AND(CROQUIS!$C$88=1,CROQUIS!$C$91=0,CROQUIS!$C$133&gt;0,OR(CROQUIS!$C$103=1,CROQUIS!$C$145=1)),((CROQUIS!$C$160+(IF(CROQUIS!$C$92="X",CHOOSE(IF(INT(($A271-1)/5)&gt;MAX((MAX(1,INT(((CROQUIS!$C$98)-CROQUIS!$C$107)/MAX((CROQUIS!$C$133*MAX(1,CEILING((INT(((CROQUIS!$C$98)-CROQUIS!$C$107)/MAX(CROQUIS!$C$133,1))+1)/80,1))),1))+1))-1,0),0,MOD($A271-1,5))+1,0,IF(CROQUIS!$C$103=1,-12,2),CROQUIS!$C$107/2+CROQUIS!$C$143,IF(CROQUIS!$C$103=1,-12,2),0),((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BS2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+1,0,IF(CROQUIS!$C$103=1,-12,2),CROQUIS!$C$107/2+CROQUIS!$C$143,IF(CROQUIS!$C$103=1,-12,2),0)))*CROQUIS!$C$159)+IF(CROQUIS!$C$92="X",0.8,0)),-1000)</f>
        <v>-1000</v>
      </c>
      <c r="BT271">
        <f>IF(AND(CROQUIS!$C$88=1,CROQUIS!$C$91=0,CROQUIS!$C$133&gt;0,OR(CROQUIS!$C$104=1,CROQUIS!$C$145=1)),((CROQUIS!$C$160+(IF(CROQUIS!$C$92="X",CHOOSE(IF(INT(($A271-1)/5)&gt;MAX((MAX(1,INT(((CROQUIS!$C$98)-CROQUIS!$C$107)/MAX((CROQUIS!$C$133*MAX(1,CEILING((INT(((CROQUIS!$C$98)-CROQUIS!$C$107)/MAX(CROQUIS!$C$133,1))+1)/80,1))),1))+1))-1,0),0,MOD($A271-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BU2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CROQUIS!$C$97,CROQUIS!$C$97-CROQUIS!$C$107/2-CROQUIS!$C$143,IF(CROQUIS!$C$104=1,CROQUIS!$C$97+12,CROQUIS!$C$97-2),CROQUIS!$C$97-CROQUIS!$C$107/2-CROQUIS!$C$143,CROQUIS!$C$97)))*CROQUIS!$C$159)+IF(CROQUIS!$C$92="X",0.8,0)),-1000)</f>
        <v>-1000</v>
      </c>
      <c r="BV2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HOOSE(IF(INT(($A271-1)/5)&gt;MAX((MAX(1,INT(((CROQUIS!$C$97)-CROQUIS!$C$107)/MAX((CROQUIS!$C$141*MAX(1,CEILING((INT(((CROQUIS!$C$97)-CROQUIS!$C$107)/MAX(CROQUIS!$C$141,1))+1)/80,1))),1))+1))-1,0),0,MOD($A271-1,5))+1,0,IF(CROQUIS!$C$105=1,-12,2),CROQUIS!$C$107/2+CROQUIS!$C$144,IF(CROQUIS!$C$105=1,-12,2),0)))*CROQUIS!$C$159)+IF(CROQUIS!$C$92="X",0.8,0)),-1000)</f>
        <v>-1000</v>
      </c>
      <c r="BW271">
        <f>IF(AND(CROQUIS!$C$88=1,CROQUIS!$C$91=0,CROQUIS!$C$141&gt;0,OR(CROQUIS!$C$105=1,CROQUIS!$C$146=1)),((CROQUIS!$C$161+(IF(CROQUIS!$C$92="X",CHOOSE(IF(INT(($A271-1)/5)&gt;MAX((MAX(1,INT(((CROQUIS!$C$97)-CROQUIS!$C$107)/MAX((CROQUIS!$C$141*MAX(1,CEILING((INT(((CROQUIS!$C$97)-CROQUIS!$C$107)/MAX(CROQUIS!$C$141,1))+1)/80,1))),1))+1))-1,0),0,MOD($A271-1,5))+1,0,IF(CROQUIS!$C$105=1,-12,2),CROQUIS!$C$107/2+CROQUIS!$C$144,IF(CROQUIS!$C$105=1,-12,2),0),((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ROQUIS!$C$159)+IF(CROQUIS!$C$92="X",0,0.8)),-1000)</f>
        <v>-1000</v>
      </c>
      <c r="BX2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HOOSE(IF(INT(($A271-1)/5)&gt;MAX((MAX(1,INT(((CROQUIS!$C$97)-CROQUIS!$C$107)/MAX((CROQUIS!$C$141*MAX(1,CEILING((INT(((CROQUIS!$C$97)-CROQUIS!$C$107)/MAX(CROQUIS!$C$141,1))+1)/80,1))),1))+1))-1,0),0,MOD($A271-1,5))+1,CROQUIS!$C$98,CROQUIS!$C$98-CROQUIS!$C$107/2-CROQUIS!$C$144,IF(CROQUIS!$C$106=1,CROQUIS!$C$98+12,CROQUIS!$C$98-2),CROQUIS!$C$98-CROQUIS!$C$107/2-CROQUIS!$C$144,CROQUIS!$C$98)))*CROQUIS!$C$159)+IF(CROQUIS!$C$92="X",0.8,0)),-1000)</f>
        <v>-1000</v>
      </c>
      <c r="BY271">
        <f>IF(AND(CROQUIS!$C$88=1,CROQUIS!$C$91=0,CROQUIS!$C$141&gt;0,OR(CROQUIS!$C$106=1,CROQUIS!$C$146=1)),((CROQUIS!$C$161+(IF(CROQUIS!$C$92="X",CHOOSE(IF(INT(($A271-1)/5)&gt;MAX((MAX(1,INT(((CROQUIS!$C$97)-CROQUIS!$C$107)/MAX((CROQUIS!$C$141*MAX(1,CEILING((INT(((CROQUIS!$C$97)-CROQUIS!$C$107)/MAX(CROQUIS!$C$141,1))+1)/80,1))),1))+1))-1,0),0,MOD($A271-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ROQUIS!$C$159)+IF(CROQUIS!$C$92="X",0,0.8)),-1000)</f>
        <v>-1000</v>
      </c>
      <c r="BZ271">
        <f>IF(AND(CROQUIS!$C$88=1,CROQUIS!$C$91=1,CROQUIS!$C$133&gt;0),((CROQUIS!$C$160+(IF(CROQUIS!$C$92="X",CHOOSE(IF(INT(($A271-1)/5)&gt;MAX((MAX(1,INT(((CROQUIS!$C$98)-CROQUIS!$C$107)/MAX((CROQUIS!$C$133*MAX(1,CEILING((INT(((CROQUIS!$C$98)-CROQUIS!$C$107)/MAX(CROQUIS!$C$133,1))+1)/80,1))),1))+1))-1,0),0,MOD($A271-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CA271">
        <f>IF(AND(CROQUIS!$C$88=1,CROQUIS!$C$91=1,CROQUIS!$C$133&gt;0),((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2">
      <c r="A272" t="n">
        <v>265</v>
      </c>
      <c r="BN272">
        <f>IF(AND(CROQUIS!$C$88=1,CROQUIS!$C$129&gt;0),((CROQUIS!$C$160+(IF(CROQUIS!$C$92="X",CHOOSE(IF(INT(($A272-1)/5)&gt;MAX((MAX(1,INT(((CROQUIS!$C$98)-CROQUIS!$C$107)/MAX((CROQUIS!$C$129*MAX(1,CEILING((INT(((CROQUIS!$C$98)-CROQUIS!$C$107)/MAX(CROQUIS!$C$129,1))+1)/80,1))),1))+1))-1,0),0,MOD($A272-1,5))+1,0,2,CROQUIS!$C$97-2,2,0),((CROQUIS!$C$107/2+(((CROQUIS!$C$98)-CROQUIS!$C$107)-(MAX(1,INT(((CROQUIS!$C$98)-CROQUIS!$C$107)/MAX((CROQUIS!$C$129*MAX(1,CEILING((INT(((CROQUIS!$C$98)-CROQUIS!$C$107)/MAX(CROQUIS!$C$129,1))+1)/80,1))),1))+1)-1)*(CROQUIS!$C$129*MAX(1,CEILING((INT(((CROQUIS!$C$98)-CROQUIS!$C$107)/MAX(CROQUIS!$C$129,1))+1)/80,1))))/2)+MIN(INT(($A272-1)/5),MAX((MAX(1,INT(((CROQUIS!$C$98)-CROQUIS!$C$107)/MAX((CROQUIS!$C$129*MAX(1,CEILING((INT(((CROQUIS!$C$98)-CROQUIS!$C$107)/MAX(CROQUIS!$C$129,1))+1)/80,1))),1))+1))-1,0))*(CROQUIS!$C$129*MAX(1,CEILING((INT(((CROQUIS!$C$98)-CROQUIS!$C$107)/MAX(CROQUIS!$C$129,1))+1)/80,1))))))*CROQUIS!$C$159)+IF(CROQUIS!$C$92="X",0,0)),-1000)</f>
        <v>-1000</v>
      </c>
      <c r="BO272">
        <f>IF(AND(CROQUIS!$C$88=1,CROQUIS!$C$129&gt;0),((CROQUIS!$C$161+(IF(CROQUIS!$C$92="X",((CROQUIS!$C$107/2+(((CROQUIS!$C$98)-CROQUIS!$C$107)-(MAX(1,INT(((CROQUIS!$C$98)-CROQUIS!$C$107)/MAX((CROQUIS!$C$129*MAX(1,CEILING((INT(((CROQUIS!$C$98)-CROQUIS!$C$107)/MAX(CROQUIS!$C$129,1))+1)/80,1))),1))+1)-1)*(CROQUIS!$C$129*MAX(1,CEILING((INT(((CROQUIS!$C$98)-CROQUIS!$C$107)/MAX(CROQUIS!$C$129,1))+1)/80,1))))/2)+MIN(INT(($A272-1)/5),MAX((MAX(1,INT(((CROQUIS!$C$98)-CROQUIS!$C$107)/MAX((CROQUIS!$C$129*MAX(1,CEILING((INT(((CROQUIS!$C$98)-CROQUIS!$C$107)/MAX(CROQUIS!$C$129,1))+1)/80,1))),1))+1))-1,0))*(CROQUIS!$C$129*MAX(1,CEILING((INT(((CROQUIS!$C$98)-CROQUIS!$C$107)/MAX(CROQUIS!$C$129,1))+1)/80,1)))),CHOOSE(IF(INT(($A272-1)/5)&gt;MAX((MAX(1,INT(((CROQUIS!$C$98)-CROQUIS!$C$107)/MAX((CROQUIS!$C$129*MAX(1,CEILING((INT(((CROQUIS!$C$98)-CROQUIS!$C$107)/MAX(CROQUIS!$C$129,1))+1)/80,1))),1))+1))-1,0),0,MOD($A272-1,5))+1,0,2,CROQUIS!$C$97-2,2,0)))*CROQUIS!$C$159)+IF(CROQUIS!$C$92="X",0,0)),-1000)</f>
        <v>-1000</v>
      </c>
      <c r="BP272">
        <f>IF(AND(CROQUIS!$C$88=1,CROQUIS!$C$137&gt;0),((CROQUIS!$C$160+(IF(CROQUIS!$C$92="X",((CROQUIS!$C$107/2+(((CROQUIS!$C$97)-CROQUIS!$C$107)-(MAX(1,INT(((CROQUIS!$C$97)-CROQUIS!$C$107)/MAX((CROQUIS!$C$137*MAX(1,CEILING((INT(((CROQUIS!$C$97)-CROQUIS!$C$107)/MAX(CROQUIS!$C$137,1))+1)/80,1))),1))+1)-1)*(CROQUIS!$C$137*MAX(1,CEILING((INT(((CROQUIS!$C$97)-CROQUIS!$C$107)/MAX(CROQUIS!$C$137,1))+1)/80,1))))/2)+MIN(INT(($A272-1)/5),MAX((MAX(1,INT(((CROQUIS!$C$97)-CROQUIS!$C$107)/MAX((CROQUIS!$C$137*MAX(1,CEILING((INT(((CROQUIS!$C$97)-CROQUIS!$C$107)/MAX(CROQUIS!$C$137,1))+1)/80,1))),1))+1))-1,0))*(CROQUIS!$C$137*MAX(1,CEILING((INT(((CROQUIS!$C$97)-CROQUIS!$C$107)/MAX(CROQUIS!$C$137,1))+1)/80,1)))),CHOOSE(IF(INT(($A272-1)/5)&gt;MAX((MAX(1,INT(((CROQUIS!$C$97)-CROQUIS!$C$107)/MAX((CROQUIS!$C$137*MAX(1,CEILING((INT(((CROQUIS!$C$97)-CROQUIS!$C$107)/MAX(CROQUIS!$C$137,1))+1)/80,1))),1))+1))-1,0),0,MOD($A272-1,5))+1,0,2,CROQUIS!$C$98-2,2,0)))*CROQUIS!$C$159)+IF(CROQUIS!$C$92="X",0,0)),-1000)</f>
        <v>-1000</v>
      </c>
      <c r="BQ272">
        <f>IF(AND(CROQUIS!$C$88=1,CROQUIS!$C$137&gt;0),((CROQUIS!$C$161+(IF(CROQUIS!$C$92="X",CHOOSE(IF(INT(($A272-1)/5)&gt;MAX((MAX(1,INT(((CROQUIS!$C$97)-CROQUIS!$C$107)/MAX((CROQUIS!$C$137*MAX(1,CEILING((INT(((CROQUIS!$C$97)-CROQUIS!$C$107)/MAX(CROQUIS!$C$137,1))+1)/80,1))),1))+1))-1,0),0,MOD($A272-1,5))+1,0,2,CROQUIS!$C$98-2,2,0),((CROQUIS!$C$107/2+(((CROQUIS!$C$97)-CROQUIS!$C$107)-(MAX(1,INT(((CROQUIS!$C$97)-CROQUIS!$C$107)/MAX((CROQUIS!$C$137*MAX(1,CEILING((INT(((CROQUIS!$C$97)-CROQUIS!$C$107)/MAX(CROQUIS!$C$137,1))+1)/80,1))),1))+1)-1)*(CROQUIS!$C$137*MAX(1,CEILING((INT(((CROQUIS!$C$97)-CROQUIS!$C$107)/MAX(CROQUIS!$C$137,1))+1)/80,1))))/2)+MIN(INT(($A272-1)/5),MAX((MAX(1,INT(((CROQUIS!$C$97)-CROQUIS!$C$107)/MAX((CROQUIS!$C$137*MAX(1,CEILING((INT(((CROQUIS!$C$97)-CROQUIS!$C$107)/MAX(CROQUIS!$C$137,1))+1)/80,1))),1))+1))-1,0))*(CROQUIS!$C$137*MAX(1,CEILING((INT(((CROQUIS!$C$97)-CROQUIS!$C$107)/MAX(CROQUIS!$C$137,1))+1)/80,1))))))*CROQUIS!$C$159)+IF(CROQUIS!$C$92="X",0,0)),-1000)</f>
        <v>-1000</v>
      </c>
      <c r="BR272">
        <f>IF(AND(CROQUIS!$C$88=1,CROQUIS!$C$91=0,CROQUIS!$C$133&gt;0,OR(CROQUIS!$C$103=1,CROQUIS!$C$145=1)),((CROQUIS!$C$160+(IF(CROQUIS!$C$92="X",CHOOSE(IF(INT(($A272-1)/5)&gt;MAX((MAX(1,INT(((CROQUIS!$C$98)-CROQUIS!$C$107)/MAX((CROQUIS!$C$133*MAX(1,CEILING((INT(((CROQUIS!$C$98)-CROQUIS!$C$107)/MAX(CROQUIS!$C$133,1))+1)/80,1))),1))+1))-1,0),0,MOD($A272-1,5))+1,0,IF(CROQUIS!$C$103=1,-12,2),CROQUIS!$C$107/2+CROQUIS!$C$143,IF(CROQUIS!$C$103=1,-12,2),0),((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BS2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+1,0,IF(CROQUIS!$C$103=1,-12,2),CROQUIS!$C$107/2+CROQUIS!$C$143,IF(CROQUIS!$C$103=1,-12,2),0)))*CROQUIS!$C$159)+IF(CROQUIS!$C$92="X",0.8,0)),-1000)</f>
        <v>-1000</v>
      </c>
      <c r="BT272">
        <f>IF(AND(CROQUIS!$C$88=1,CROQUIS!$C$91=0,CROQUIS!$C$133&gt;0,OR(CROQUIS!$C$104=1,CROQUIS!$C$145=1)),((CROQUIS!$C$160+(IF(CROQUIS!$C$92="X",CHOOSE(IF(INT(($A272-1)/5)&gt;MAX((MAX(1,INT(((CROQUIS!$C$98)-CROQUIS!$C$107)/MAX((CROQUIS!$C$133*MAX(1,CEILING((INT(((CROQUIS!$C$98)-CROQUIS!$C$107)/MAX(CROQUIS!$C$133,1))+1)/80,1))),1))+1))-1,0),0,MOD($A272-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BU2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CROQUIS!$C$97,CROQUIS!$C$97-CROQUIS!$C$107/2-CROQUIS!$C$143,IF(CROQUIS!$C$104=1,CROQUIS!$C$97+12,CROQUIS!$C$97-2),CROQUIS!$C$97-CROQUIS!$C$107/2-CROQUIS!$C$143,CROQUIS!$C$97)))*CROQUIS!$C$159)+IF(CROQUIS!$C$92="X",0.8,0)),-1000)</f>
        <v>-1000</v>
      </c>
      <c r="BV2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HOOSE(IF(INT(($A272-1)/5)&gt;MAX((MAX(1,INT(((CROQUIS!$C$97)-CROQUIS!$C$107)/MAX((CROQUIS!$C$141*MAX(1,CEILING((INT(((CROQUIS!$C$97)-CROQUIS!$C$107)/MAX(CROQUIS!$C$141,1))+1)/80,1))),1))+1))-1,0),0,MOD($A272-1,5))+1,0,IF(CROQUIS!$C$105=1,-12,2),CROQUIS!$C$107/2+CROQUIS!$C$144,IF(CROQUIS!$C$105=1,-12,2),0)))*CROQUIS!$C$159)+IF(CROQUIS!$C$92="X",0.8,0)),-1000)</f>
        <v>-1000</v>
      </c>
      <c r="BW272">
        <f>IF(AND(CROQUIS!$C$88=1,CROQUIS!$C$91=0,CROQUIS!$C$141&gt;0,OR(CROQUIS!$C$105=1,CROQUIS!$C$146=1)),((CROQUIS!$C$161+(IF(CROQUIS!$C$92="X",CHOOSE(IF(INT(($A272-1)/5)&gt;MAX((MAX(1,INT(((CROQUIS!$C$97)-CROQUIS!$C$107)/MAX((CROQUIS!$C$141*MAX(1,CEILING((INT(((CROQUIS!$C$97)-CROQUIS!$C$107)/MAX(CROQUIS!$C$141,1))+1)/80,1))),1))+1))-1,0),0,MOD($A272-1,5))+1,0,IF(CROQUIS!$C$105=1,-12,2),CROQUIS!$C$107/2+CROQUIS!$C$144,IF(CROQUIS!$C$105=1,-12,2),0),((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ROQUIS!$C$159)+IF(CROQUIS!$C$92="X",0,0.8)),-1000)</f>
        <v>-1000</v>
      </c>
      <c r="BX2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HOOSE(IF(INT(($A272-1)/5)&gt;MAX((MAX(1,INT(((CROQUIS!$C$97)-CROQUIS!$C$107)/MAX((CROQUIS!$C$141*MAX(1,CEILING((INT(((CROQUIS!$C$97)-CROQUIS!$C$107)/MAX(CROQUIS!$C$141,1))+1)/80,1))),1))+1))-1,0),0,MOD($A272-1,5))+1,CROQUIS!$C$98,CROQUIS!$C$98-CROQUIS!$C$107/2-CROQUIS!$C$144,IF(CROQUIS!$C$106=1,CROQUIS!$C$98+12,CROQUIS!$C$98-2),CROQUIS!$C$98-CROQUIS!$C$107/2-CROQUIS!$C$144,CROQUIS!$C$98)))*CROQUIS!$C$159)+IF(CROQUIS!$C$92="X",0.8,0)),-1000)</f>
        <v>-1000</v>
      </c>
      <c r="BY272">
        <f>IF(AND(CROQUIS!$C$88=1,CROQUIS!$C$91=0,CROQUIS!$C$141&gt;0,OR(CROQUIS!$C$106=1,CROQUIS!$C$146=1)),((CROQUIS!$C$161+(IF(CROQUIS!$C$92="X",CHOOSE(IF(INT(($A272-1)/5)&gt;MAX((MAX(1,INT(((CROQUIS!$C$97)-CROQUIS!$C$107)/MAX((CROQUIS!$C$141*MAX(1,CEILING((INT(((CROQUIS!$C$97)-CROQUIS!$C$107)/MAX(CROQUIS!$C$141,1))+1)/80,1))),1))+1))-1,0),0,MOD($A272-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ROQUIS!$C$159)+IF(CROQUIS!$C$92="X",0,0.8)),-1000)</f>
        <v>-1000</v>
      </c>
      <c r="BZ272">
        <f>IF(AND(CROQUIS!$C$88=1,CROQUIS!$C$91=1,CROQUIS!$C$133&gt;0),((CROQUIS!$C$160+(IF(CROQUIS!$C$92="X",CHOOSE(IF(INT(($A272-1)/5)&gt;MAX((MAX(1,INT(((CROQUIS!$C$98)-CROQUIS!$C$107)/MAX((CROQUIS!$C$133*MAX(1,CEILING((INT(((CROQUIS!$C$98)-CROQUIS!$C$107)/MAX(CROQUIS!$C$133,1))+1)/80,1))),1))+1))-1,0),0,MOD($A272-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CA272">
        <f>IF(AND(CROQUIS!$C$88=1,CROQUIS!$C$91=1,CROQUIS!$C$133&gt;0),((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3">
      <c r="A273" t="n">
        <v>266</v>
      </c>
      <c r="BN273">
        <f>IF(AND(CROQUIS!$C$88=1,CROQUIS!$C$129&gt;0),((CROQUIS!$C$160+(IF(CROQUIS!$C$92="X",CHOOSE(IF(INT(($A273-1)/5)&gt;MAX((MAX(1,INT(((CROQUIS!$C$98)-CROQUIS!$C$107)/MAX((CROQUIS!$C$129*MAX(1,CEILING((INT(((CROQUIS!$C$98)-CROQUIS!$C$107)/MAX(CROQUIS!$C$129,1))+1)/80,1))),1))+1))-1,0),0,MOD($A273-1,5))+1,0,2,CROQUIS!$C$97-2,2,0),((CROQUIS!$C$107/2+(((CROQUIS!$C$98)-CROQUIS!$C$107)-(MAX(1,INT(((CROQUIS!$C$98)-CROQUIS!$C$107)/MAX((CROQUIS!$C$129*MAX(1,CEILING((INT(((CROQUIS!$C$98)-CROQUIS!$C$107)/MAX(CROQUIS!$C$129,1))+1)/80,1))),1))+1)-1)*(CROQUIS!$C$129*MAX(1,CEILING((INT(((CROQUIS!$C$98)-CROQUIS!$C$107)/MAX(CROQUIS!$C$129,1))+1)/80,1))))/2)+MIN(INT(($A273-1)/5),MAX((MAX(1,INT(((CROQUIS!$C$98)-CROQUIS!$C$107)/MAX((CROQUIS!$C$129*MAX(1,CEILING((INT(((CROQUIS!$C$98)-CROQUIS!$C$107)/MAX(CROQUIS!$C$129,1))+1)/80,1))),1))+1))-1,0))*(CROQUIS!$C$129*MAX(1,CEILING((INT(((CROQUIS!$C$98)-CROQUIS!$C$107)/MAX(CROQUIS!$C$129,1))+1)/80,1))))))*CROQUIS!$C$159)+IF(CROQUIS!$C$92="X",0,0)),-1000)</f>
        <v>-1000</v>
      </c>
      <c r="BO273">
        <f>IF(AND(CROQUIS!$C$88=1,CROQUIS!$C$129&gt;0),((CROQUIS!$C$161+(IF(CROQUIS!$C$92="X",((CROQUIS!$C$107/2+(((CROQUIS!$C$98)-CROQUIS!$C$107)-(MAX(1,INT(((CROQUIS!$C$98)-CROQUIS!$C$107)/MAX((CROQUIS!$C$129*MAX(1,CEILING((INT(((CROQUIS!$C$98)-CROQUIS!$C$107)/MAX(CROQUIS!$C$129,1))+1)/80,1))),1))+1)-1)*(CROQUIS!$C$129*MAX(1,CEILING((INT(((CROQUIS!$C$98)-CROQUIS!$C$107)/MAX(CROQUIS!$C$129,1))+1)/80,1))))/2)+MIN(INT(($A273-1)/5),MAX((MAX(1,INT(((CROQUIS!$C$98)-CROQUIS!$C$107)/MAX((CROQUIS!$C$129*MAX(1,CEILING((INT(((CROQUIS!$C$98)-CROQUIS!$C$107)/MAX(CROQUIS!$C$129,1))+1)/80,1))),1))+1))-1,0))*(CROQUIS!$C$129*MAX(1,CEILING((INT(((CROQUIS!$C$98)-CROQUIS!$C$107)/MAX(CROQUIS!$C$129,1))+1)/80,1)))),CHOOSE(IF(INT(($A273-1)/5)&gt;MAX((MAX(1,INT(((CROQUIS!$C$98)-CROQUIS!$C$107)/MAX((CROQUIS!$C$129*MAX(1,CEILING((INT(((CROQUIS!$C$98)-CROQUIS!$C$107)/MAX(CROQUIS!$C$129,1))+1)/80,1))),1))+1))-1,0),0,MOD($A273-1,5))+1,0,2,CROQUIS!$C$97-2,2,0)))*CROQUIS!$C$159)+IF(CROQUIS!$C$92="X",0,0)),-1000)</f>
        <v>-1000</v>
      </c>
      <c r="BP273">
        <f>IF(AND(CROQUIS!$C$88=1,CROQUIS!$C$137&gt;0),((CROQUIS!$C$160+(IF(CROQUIS!$C$92="X",((CROQUIS!$C$107/2+(((CROQUIS!$C$97)-CROQUIS!$C$107)-(MAX(1,INT(((CROQUIS!$C$97)-CROQUIS!$C$107)/MAX((CROQUIS!$C$137*MAX(1,CEILING((INT(((CROQUIS!$C$97)-CROQUIS!$C$107)/MAX(CROQUIS!$C$137,1))+1)/80,1))),1))+1)-1)*(CROQUIS!$C$137*MAX(1,CEILING((INT(((CROQUIS!$C$97)-CROQUIS!$C$107)/MAX(CROQUIS!$C$137,1))+1)/80,1))))/2)+MIN(INT(($A273-1)/5),MAX((MAX(1,INT(((CROQUIS!$C$97)-CROQUIS!$C$107)/MAX((CROQUIS!$C$137*MAX(1,CEILING((INT(((CROQUIS!$C$97)-CROQUIS!$C$107)/MAX(CROQUIS!$C$137,1))+1)/80,1))),1))+1))-1,0))*(CROQUIS!$C$137*MAX(1,CEILING((INT(((CROQUIS!$C$97)-CROQUIS!$C$107)/MAX(CROQUIS!$C$137,1))+1)/80,1)))),CHOOSE(IF(INT(($A273-1)/5)&gt;MAX((MAX(1,INT(((CROQUIS!$C$97)-CROQUIS!$C$107)/MAX((CROQUIS!$C$137*MAX(1,CEILING((INT(((CROQUIS!$C$97)-CROQUIS!$C$107)/MAX(CROQUIS!$C$137,1))+1)/80,1))),1))+1))-1,0),0,MOD($A273-1,5))+1,0,2,CROQUIS!$C$98-2,2,0)))*CROQUIS!$C$159)+IF(CROQUIS!$C$92="X",0,0)),-1000)</f>
        <v>-1000</v>
      </c>
      <c r="BQ273">
        <f>IF(AND(CROQUIS!$C$88=1,CROQUIS!$C$137&gt;0),((CROQUIS!$C$161+(IF(CROQUIS!$C$92="X",CHOOSE(IF(INT(($A273-1)/5)&gt;MAX((MAX(1,INT(((CROQUIS!$C$97)-CROQUIS!$C$107)/MAX((CROQUIS!$C$137*MAX(1,CEILING((INT(((CROQUIS!$C$97)-CROQUIS!$C$107)/MAX(CROQUIS!$C$137,1))+1)/80,1))),1))+1))-1,0),0,MOD($A273-1,5))+1,0,2,CROQUIS!$C$98-2,2,0),((CROQUIS!$C$107/2+(((CROQUIS!$C$97)-CROQUIS!$C$107)-(MAX(1,INT(((CROQUIS!$C$97)-CROQUIS!$C$107)/MAX((CROQUIS!$C$137*MAX(1,CEILING((INT(((CROQUIS!$C$97)-CROQUIS!$C$107)/MAX(CROQUIS!$C$137,1))+1)/80,1))),1))+1)-1)*(CROQUIS!$C$137*MAX(1,CEILING((INT(((CROQUIS!$C$97)-CROQUIS!$C$107)/MAX(CROQUIS!$C$137,1))+1)/80,1))))/2)+MIN(INT(($A273-1)/5),MAX((MAX(1,INT(((CROQUIS!$C$97)-CROQUIS!$C$107)/MAX((CROQUIS!$C$137*MAX(1,CEILING((INT(((CROQUIS!$C$97)-CROQUIS!$C$107)/MAX(CROQUIS!$C$137,1))+1)/80,1))),1))+1))-1,0))*(CROQUIS!$C$137*MAX(1,CEILING((INT(((CROQUIS!$C$97)-CROQUIS!$C$107)/MAX(CROQUIS!$C$137,1))+1)/80,1))))))*CROQUIS!$C$159)+IF(CROQUIS!$C$92="X",0,0)),-1000)</f>
        <v>-1000</v>
      </c>
      <c r="BR273">
        <f>IF(AND(CROQUIS!$C$88=1,CROQUIS!$C$91=0,CROQUIS!$C$133&gt;0,OR(CROQUIS!$C$103=1,CROQUIS!$C$145=1)),((CROQUIS!$C$160+(IF(CROQUIS!$C$92="X",CHOOSE(IF(INT(($A273-1)/5)&gt;MAX((MAX(1,INT(((CROQUIS!$C$98)-CROQUIS!$C$107)/MAX((CROQUIS!$C$133*MAX(1,CEILING((INT(((CROQUIS!$C$98)-CROQUIS!$C$107)/MAX(CROQUIS!$C$133,1))+1)/80,1))),1))+1))-1,0),0,MOD($A273-1,5))+1,0,IF(CROQUIS!$C$103=1,-12,2),CROQUIS!$C$107/2+CROQUIS!$C$143,IF(CROQUIS!$C$103=1,-12,2),0),((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BS2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+1,0,IF(CROQUIS!$C$103=1,-12,2),CROQUIS!$C$107/2+CROQUIS!$C$143,IF(CROQUIS!$C$103=1,-12,2),0)))*CROQUIS!$C$159)+IF(CROQUIS!$C$92="X",0.8,0)),-1000)</f>
        <v>-1000</v>
      </c>
      <c r="BT273">
        <f>IF(AND(CROQUIS!$C$88=1,CROQUIS!$C$91=0,CROQUIS!$C$133&gt;0,OR(CROQUIS!$C$104=1,CROQUIS!$C$145=1)),((CROQUIS!$C$160+(IF(CROQUIS!$C$92="X",CHOOSE(IF(INT(($A273-1)/5)&gt;MAX((MAX(1,INT(((CROQUIS!$C$98)-CROQUIS!$C$107)/MAX((CROQUIS!$C$133*MAX(1,CEILING((INT(((CROQUIS!$C$98)-CROQUIS!$C$107)/MAX(CROQUIS!$C$133,1))+1)/80,1))),1))+1))-1,0),0,MOD($A273-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BU2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CROQUIS!$C$97,CROQUIS!$C$97-CROQUIS!$C$107/2-CROQUIS!$C$143,IF(CROQUIS!$C$104=1,CROQUIS!$C$97+12,CROQUIS!$C$97-2),CROQUIS!$C$97-CROQUIS!$C$107/2-CROQUIS!$C$143,CROQUIS!$C$97)))*CROQUIS!$C$159)+IF(CROQUIS!$C$92="X",0.8,0)),-1000)</f>
        <v>-1000</v>
      </c>
      <c r="BV2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HOOSE(IF(INT(($A273-1)/5)&gt;MAX((MAX(1,INT(((CROQUIS!$C$97)-CROQUIS!$C$107)/MAX((CROQUIS!$C$141*MAX(1,CEILING((INT(((CROQUIS!$C$97)-CROQUIS!$C$107)/MAX(CROQUIS!$C$141,1))+1)/80,1))),1))+1))-1,0),0,MOD($A273-1,5))+1,0,IF(CROQUIS!$C$105=1,-12,2),CROQUIS!$C$107/2+CROQUIS!$C$144,IF(CROQUIS!$C$105=1,-12,2),0)))*CROQUIS!$C$159)+IF(CROQUIS!$C$92="X",0.8,0)),-1000)</f>
        <v>-1000</v>
      </c>
      <c r="BW273">
        <f>IF(AND(CROQUIS!$C$88=1,CROQUIS!$C$91=0,CROQUIS!$C$141&gt;0,OR(CROQUIS!$C$105=1,CROQUIS!$C$146=1)),((CROQUIS!$C$161+(IF(CROQUIS!$C$92="X",CHOOSE(IF(INT(($A273-1)/5)&gt;MAX((MAX(1,INT(((CROQUIS!$C$97)-CROQUIS!$C$107)/MAX((CROQUIS!$C$141*MAX(1,CEILING((INT(((CROQUIS!$C$97)-CROQUIS!$C$107)/MAX(CROQUIS!$C$141,1))+1)/80,1))),1))+1))-1,0),0,MOD($A273-1,5))+1,0,IF(CROQUIS!$C$105=1,-12,2),CROQUIS!$C$107/2+CROQUIS!$C$144,IF(CROQUIS!$C$105=1,-12,2),0),((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ROQUIS!$C$159)+IF(CROQUIS!$C$92="X",0,0.8)),-1000)</f>
        <v>-1000</v>
      </c>
      <c r="BX2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HOOSE(IF(INT(($A273-1)/5)&gt;MAX((MAX(1,INT(((CROQUIS!$C$97)-CROQUIS!$C$107)/MAX((CROQUIS!$C$141*MAX(1,CEILING((INT(((CROQUIS!$C$97)-CROQUIS!$C$107)/MAX(CROQUIS!$C$141,1))+1)/80,1))),1))+1))-1,0),0,MOD($A273-1,5))+1,CROQUIS!$C$98,CROQUIS!$C$98-CROQUIS!$C$107/2-CROQUIS!$C$144,IF(CROQUIS!$C$106=1,CROQUIS!$C$98+12,CROQUIS!$C$98-2),CROQUIS!$C$98-CROQUIS!$C$107/2-CROQUIS!$C$144,CROQUIS!$C$98)))*CROQUIS!$C$159)+IF(CROQUIS!$C$92="X",0.8,0)),-1000)</f>
        <v>-1000</v>
      </c>
      <c r="BY273">
        <f>IF(AND(CROQUIS!$C$88=1,CROQUIS!$C$91=0,CROQUIS!$C$141&gt;0,OR(CROQUIS!$C$106=1,CROQUIS!$C$146=1)),((CROQUIS!$C$161+(IF(CROQUIS!$C$92="X",CHOOSE(IF(INT(($A273-1)/5)&gt;MAX((MAX(1,INT(((CROQUIS!$C$97)-CROQUIS!$C$107)/MAX((CROQUIS!$C$141*MAX(1,CEILING((INT(((CROQUIS!$C$97)-CROQUIS!$C$107)/MAX(CROQUIS!$C$141,1))+1)/80,1))),1))+1))-1,0),0,MOD($A273-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ROQUIS!$C$159)+IF(CROQUIS!$C$92="X",0,0.8)),-1000)</f>
        <v>-1000</v>
      </c>
      <c r="BZ273">
        <f>IF(AND(CROQUIS!$C$88=1,CROQUIS!$C$91=1,CROQUIS!$C$133&gt;0),((CROQUIS!$C$160+(IF(CROQUIS!$C$92="X",CHOOSE(IF(INT(($A273-1)/5)&gt;MAX((MAX(1,INT(((CROQUIS!$C$98)-CROQUIS!$C$107)/MAX((CROQUIS!$C$133*MAX(1,CEILING((INT(((CROQUIS!$C$98)-CROQUIS!$C$107)/MAX(CROQUIS!$C$133,1))+1)/80,1))),1))+1))-1,0),0,MOD($A273-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CA273">
        <f>IF(AND(CROQUIS!$C$88=1,CROQUIS!$C$91=1,CROQUIS!$C$133&gt;0),((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4">
      <c r="A274" t="n">
        <v>267</v>
      </c>
      <c r="BN274">
        <f>IF(AND(CROQUIS!$C$88=1,CROQUIS!$C$129&gt;0),((CROQUIS!$C$160+(IF(CROQUIS!$C$92="X",CHOOSE(IF(INT(($A274-1)/5)&gt;MAX((MAX(1,INT(((CROQUIS!$C$98)-CROQUIS!$C$107)/MAX((CROQUIS!$C$129*MAX(1,CEILING((INT(((CROQUIS!$C$98)-CROQUIS!$C$107)/MAX(CROQUIS!$C$129,1))+1)/80,1))),1))+1))-1,0),0,MOD($A274-1,5))+1,0,2,CROQUIS!$C$97-2,2,0),((CROQUIS!$C$107/2+(((CROQUIS!$C$98)-CROQUIS!$C$107)-(MAX(1,INT(((CROQUIS!$C$98)-CROQUIS!$C$107)/MAX((CROQUIS!$C$129*MAX(1,CEILING((INT(((CROQUIS!$C$98)-CROQUIS!$C$107)/MAX(CROQUIS!$C$129,1))+1)/80,1))),1))+1)-1)*(CROQUIS!$C$129*MAX(1,CEILING((INT(((CROQUIS!$C$98)-CROQUIS!$C$107)/MAX(CROQUIS!$C$129,1))+1)/80,1))))/2)+MIN(INT(($A274-1)/5),MAX((MAX(1,INT(((CROQUIS!$C$98)-CROQUIS!$C$107)/MAX((CROQUIS!$C$129*MAX(1,CEILING((INT(((CROQUIS!$C$98)-CROQUIS!$C$107)/MAX(CROQUIS!$C$129,1))+1)/80,1))),1))+1))-1,0))*(CROQUIS!$C$129*MAX(1,CEILING((INT(((CROQUIS!$C$98)-CROQUIS!$C$107)/MAX(CROQUIS!$C$129,1))+1)/80,1))))))*CROQUIS!$C$159)+IF(CROQUIS!$C$92="X",0,0)),-1000)</f>
        <v>-1000</v>
      </c>
      <c r="BO274">
        <f>IF(AND(CROQUIS!$C$88=1,CROQUIS!$C$129&gt;0),((CROQUIS!$C$161+(IF(CROQUIS!$C$92="X",((CROQUIS!$C$107/2+(((CROQUIS!$C$98)-CROQUIS!$C$107)-(MAX(1,INT(((CROQUIS!$C$98)-CROQUIS!$C$107)/MAX((CROQUIS!$C$129*MAX(1,CEILING((INT(((CROQUIS!$C$98)-CROQUIS!$C$107)/MAX(CROQUIS!$C$129,1))+1)/80,1))),1))+1)-1)*(CROQUIS!$C$129*MAX(1,CEILING((INT(((CROQUIS!$C$98)-CROQUIS!$C$107)/MAX(CROQUIS!$C$129,1))+1)/80,1))))/2)+MIN(INT(($A274-1)/5),MAX((MAX(1,INT(((CROQUIS!$C$98)-CROQUIS!$C$107)/MAX((CROQUIS!$C$129*MAX(1,CEILING((INT(((CROQUIS!$C$98)-CROQUIS!$C$107)/MAX(CROQUIS!$C$129,1))+1)/80,1))),1))+1))-1,0))*(CROQUIS!$C$129*MAX(1,CEILING((INT(((CROQUIS!$C$98)-CROQUIS!$C$107)/MAX(CROQUIS!$C$129,1))+1)/80,1)))),CHOOSE(IF(INT(($A274-1)/5)&gt;MAX((MAX(1,INT(((CROQUIS!$C$98)-CROQUIS!$C$107)/MAX((CROQUIS!$C$129*MAX(1,CEILING((INT(((CROQUIS!$C$98)-CROQUIS!$C$107)/MAX(CROQUIS!$C$129,1))+1)/80,1))),1))+1))-1,0),0,MOD($A274-1,5))+1,0,2,CROQUIS!$C$97-2,2,0)))*CROQUIS!$C$159)+IF(CROQUIS!$C$92="X",0,0)),-1000)</f>
        <v>-1000</v>
      </c>
      <c r="BP274">
        <f>IF(AND(CROQUIS!$C$88=1,CROQUIS!$C$137&gt;0),((CROQUIS!$C$160+(IF(CROQUIS!$C$92="X",((CROQUIS!$C$107/2+(((CROQUIS!$C$97)-CROQUIS!$C$107)-(MAX(1,INT(((CROQUIS!$C$97)-CROQUIS!$C$107)/MAX((CROQUIS!$C$137*MAX(1,CEILING((INT(((CROQUIS!$C$97)-CROQUIS!$C$107)/MAX(CROQUIS!$C$137,1))+1)/80,1))),1))+1)-1)*(CROQUIS!$C$137*MAX(1,CEILING((INT(((CROQUIS!$C$97)-CROQUIS!$C$107)/MAX(CROQUIS!$C$137,1))+1)/80,1))))/2)+MIN(INT(($A274-1)/5),MAX((MAX(1,INT(((CROQUIS!$C$97)-CROQUIS!$C$107)/MAX((CROQUIS!$C$137*MAX(1,CEILING((INT(((CROQUIS!$C$97)-CROQUIS!$C$107)/MAX(CROQUIS!$C$137,1))+1)/80,1))),1))+1))-1,0))*(CROQUIS!$C$137*MAX(1,CEILING((INT(((CROQUIS!$C$97)-CROQUIS!$C$107)/MAX(CROQUIS!$C$137,1))+1)/80,1)))),CHOOSE(IF(INT(($A274-1)/5)&gt;MAX((MAX(1,INT(((CROQUIS!$C$97)-CROQUIS!$C$107)/MAX((CROQUIS!$C$137*MAX(1,CEILING((INT(((CROQUIS!$C$97)-CROQUIS!$C$107)/MAX(CROQUIS!$C$137,1))+1)/80,1))),1))+1))-1,0),0,MOD($A274-1,5))+1,0,2,CROQUIS!$C$98-2,2,0)))*CROQUIS!$C$159)+IF(CROQUIS!$C$92="X",0,0)),-1000)</f>
        <v>-1000</v>
      </c>
      <c r="BQ274">
        <f>IF(AND(CROQUIS!$C$88=1,CROQUIS!$C$137&gt;0),((CROQUIS!$C$161+(IF(CROQUIS!$C$92="X",CHOOSE(IF(INT(($A274-1)/5)&gt;MAX((MAX(1,INT(((CROQUIS!$C$97)-CROQUIS!$C$107)/MAX((CROQUIS!$C$137*MAX(1,CEILING((INT(((CROQUIS!$C$97)-CROQUIS!$C$107)/MAX(CROQUIS!$C$137,1))+1)/80,1))),1))+1))-1,0),0,MOD($A274-1,5))+1,0,2,CROQUIS!$C$98-2,2,0),((CROQUIS!$C$107/2+(((CROQUIS!$C$97)-CROQUIS!$C$107)-(MAX(1,INT(((CROQUIS!$C$97)-CROQUIS!$C$107)/MAX((CROQUIS!$C$137*MAX(1,CEILING((INT(((CROQUIS!$C$97)-CROQUIS!$C$107)/MAX(CROQUIS!$C$137,1))+1)/80,1))),1))+1)-1)*(CROQUIS!$C$137*MAX(1,CEILING((INT(((CROQUIS!$C$97)-CROQUIS!$C$107)/MAX(CROQUIS!$C$137,1))+1)/80,1))))/2)+MIN(INT(($A274-1)/5),MAX((MAX(1,INT(((CROQUIS!$C$97)-CROQUIS!$C$107)/MAX((CROQUIS!$C$137*MAX(1,CEILING((INT(((CROQUIS!$C$97)-CROQUIS!$C$107)/MAX(CROQUIS!$C$137,1))+1)/80,1))),1))+1))-1,0))*(CROQUIS!$C$137*MAX(1,CEILING((INT(((CROQUIS!$C$97)-CROQUIS!$C$107)/MAX(CROQUIS!$C$137,1))+1)/80,1))))))*CROQUIS!$C$159)+IF(CROQUIS!$C$92="X",0,0)),-1000)</f>
        <v>-1000</v>
      </c>
      <c r="BR274">
        <f>IF(AND(CROQUIS!$C$88=1,CROQUIS!$C$91=0,CROQUIS!$C$133&gt;0,OR(CROQUIS!$C$103=1,CROQUIS!$C$145=1)),((CROQUIS!$C$160+(IF(CROQUIS!$C$92="X",CHOOSE(IF(INT(($A274-1)/5)&gt;MAX((MAX(1,INT(((CROQUIS!$C$98)-CROQUIS!$C$107)/MAX((CROQUIS!$C$133*MAX(1,CEILING((INT(((CROQUIS!$C$98)-CROQUIS!$C$107)/MAX(CROQUIS!$C$133,1))+1)/80,1))),1))+1))-1,0),0,MOD($A274-1,5))+1,0,IF(CROQUIS!$C$103=1,-12,2),CROQUIS!$C$107/2+CROQUIS!$C$143,IF(CROQUIS!$C$103=1,-12,2),0),((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BS2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+1,0,IF(CROQUIS!$C$103=1,-12,2),CROQUIS!$C$107/2+CROQUIS!$C$143,IF(CROQUIS!$C$103=1,-12,2),0)))*CROQUIS!$C$159)+IF(CROQUIS!$C$92="X",0.8,0)),-1000)</f>
        <v>-1000</v>
      </c>
      <c r="BT274">
        <f>IF(AND(CROQUIS!$C$88=1,CROQUIS!$C$91=0,CROQUIS!$C$133&gt;0,OR(CROQUIS!$C$104=1,CROQUIS!$C$145=1)),((CROQUIS!$C$160+(IF(CROQUIS!$C$92="X",CHOOSE(IF(INT(($A274-1)/5)&gt;MAX((MAX(1,INT(((CROQUIS!$C$98)-CROQUIS!$C$107)/MAX((CROQUIS!$C$133*MAX(1,CEILING((INT(((CROQUIS!$C$98)-CROQUIS!$C$107)/MAX(CROQUIS!$C$133,1))+1)/80,1))),1))+1))-1,0),0,MOD($A274-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BU2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CROQUIS!$C$97,CROQUIS!$C$97-CROQUIS!$C$107/2-CROQUIS!$C$143,IF(CROQUIS!$C$104=1,CROQUIS!$C$97+12,CROQUIS!$C$97-2),CROQUIS!$C$97-CROQUIS!$C$107/2-CROQUIS!$C$143,CROQUIS!$C$97)))*CROQUIS!$C$159)+IF(CROQUIS!$C$92="X",0.8,0)),-1000)</f>
        <v>-1000</v>
      </c>
      <c r="BV2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HOOSE(IF(INT(($A274-1)/5)&gt;MAX((MAX(1,INT(((CROQUIS!$C$97)-CROQUIS!$C$107)/MAX((CROQUIS!$C$141*MAX(1,CEILING((INT(((CROQUIS!$C$97)-CROQUIS!$C$107)/MAX(CROQUIS!$C$141,1))+1)/80,1))),1))+1))-1,0),0,MOD($A274-1,5))+1,0,IF(CROQUIS!$C$105=1,-12,2),CROQUIS!$C$107/2+CROQUIS!$C$144,IF(CROQUIS!$C$105=1,-12,2),0)))*CROQUIS!$C$159)+IF(CROQUIS!$C$92="X",0.8,0)),-1000)</f>
        <v>-1000</v>
      </c>
      <c r="BW274">
        <f>IF(AND(CROQUIS!$C$88=1,CROQUIS!$C$91=0,CROQUIS!$C$141&gt;0,OR(CROQUIS!$C$105=1,CROQUIS!$C$146=1)),((CROQUIS!$C$161+(IF(CROQUIS!$C$92="X",CHOOSE(IF(INT(($A274-1)/5)&gt;MAX((MAX(1,INT(((CROQUIS!$C$97)-CROQUIS!$C$107)/MAX((CROQUIS!$C$141*MAX(1,CEILING((INT(((CROQUIS!$C$97)-CROQUIS!$C$107)/MAX(CROQUIS!$C$141,1))+1)/80,1))),1))+1))-1,0),0,MOD($A274-1,5))+1,0,IF(CROQUIS!$C$105=1,-12,2),CROQUIS!$C$107/2+CROQUIS!$C$144,IF(CROQUIS!$C$105=1,-12,2),0),((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ROQUIS!$C$159)+IF(CROQUIS!$C$92="X",0,0.8)),-1000)</f>
        <v>-1000</v>
      </c>
      <c r="BX2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HOOSE(IF(INT(($A274-1)/5)&gt;MAX((MAX(1,INT(((CROQUIS!$C$97)-CROQUIS!$C$107)/MAX((CROQUIS!$C$141*MAX(1,CEILING((INT(((CROQUIS!$C$97)-CROQUIS!$C$107)/MAX(CROQUIS!$C$141,1))+1)/80,1))),1))+1))-1,0),0,MOD($A274-1,5))+1,CROQUIS!$C$98,CROQUIS!$C$98-CROQUIS!$C$107/2-CROQUIS!$C$144,IF(CROQUIS!$C$106=1,CROQUIS!$C$98+12,CROQUIS!$C$98-2),CROQUIS!$C$98-CROQUIS!$C$107/2-CROQUIS!$C$144,CROQUIS!$C$98)))*CROQUIS!$C$159)+IF(CROQUIS!$C$92="X",0.8,0)),-1000)</f>
        <v>-1000</v>
      </c>
      <c r="BY274">
        <f>IF(AND(CROQUIS!$C$88=1,CROQUIS!$C$91=0,CROQUIS!$C$141&gt;0,OR(CROQUIS!$C$106=1,CROQUIS!$C$146=1)),((CROQUIS!$C$161+(IF(CROQUIS!$C$92="X",CHOOSE(IF(INT(($A274-1)/5)&gt;MAX((MAX(1,INT(((CROQUIS!$C$97)-CROQUIS!$C$107)/MAX((CROQUIS!$C$141*MAX(1,CEILING((INT(((CROQUIS!$C$97)-CROQUIS!$C$107)/MAX(CROQUIS!$C$141,1))+1)/80,1))),1))+1))-1,0),0,MOD($A274-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ROQUIS!$C$159)+IF(CROQUIS!$C$92="X",0,0.8)),-1000)</f>
        <v>-1000</v>
      </c>
      <c r="BZ274">
        <f>IF(AND(CROQUIS!$C$88=1,CROQUIS!$C$91=1,CROQUIS!$C$133&gt;0),((CROQUIS!$C$160+(IF(CROQUIS!$C$92="X",CHOOSE(IF(INT(($A274-1)/5)&gt;MAX((MAX(1,INT(((CROQUIS!$C$98)-CROQUIS!$C$107)/MAX((CROQUIS!$C$133*MAX(1,CEILING((INT(((CROQUIS!$C$98)-CROQUIS!$C$107)/MAX(CROQUIS!$C$133,1))+1)/80,1))),1))+1))-1,0),0,MOD($A274-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CA274">
        <f>IF(AND(CROQUIS!$C$88=1,CROQUIS!$C$91=1,CROQUIS!$C$133&gt;0),((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5">
      <c r="A275" t="n">
        <v>268</v>
      </c>
      <c r="BN275">
        <f>IF(AND(CROQUIS!$C$88=1,CROQUIS!$C$129&gt;0),((CROQUIS!$C$160+(IF(CROQUIS!$C$92="X",CHOOSE(IF(INT(($A275-1)/5)&gt;MAX((MAX(1,INT(((CROQUIS!$C$98)-CROQUIS!$C$107)/MAX((CROQUIS!$C$129*MAX(1,CEILING((INT(((CROQUIS!$C$98)-CROQUIS!$C$107)/MAX(CROQUIS!$C$129,1))+1)/80,1))),1))+1))-1,0),0,MOD($A275-1,5))+1,0,2,CROQUIS!$C$97-2,2,0),((CROQUIS!$C$107/2+(((CROQUIS!$C$98)-CROQUIS!$C$107)-(MAX(1,INT(((CROQUIS!$C$98)-CROQUIS!$C$107)/MAX((CROQUIS!$C$129*MAX(1,CEILING((INT(((CROQUIS!$C$98)-CROQUIS!$C$107)/MAX(CROQUIS!$C$129,1))+1)/80,1))),1))+1)-1)*(CROQUIS!$C$129*MAX(1,CEILING((INT(((CROQUIS!$C$98)-CROQUIS!$C$107)/MAX(CROQUIS!$C$129,1))+1)/80,1))))/2)+MIN(INT(($A275-1)/5),MAX((MAX(1,INT(((CROQUIS!$C$98)-CROQUIS!$C$107)/MAX((CROQUIS!$C$129*MAX(1,CEILING((INT(((CROQUIS!$C$98)-CROQUIS!$C$107)/MAX(CROQUIS!$C$129,1))+1)/80,1))),1))+1))-1,0))*(CROQUIS!$C$129*MAX(1,CEILING((INT(((CROQUIS!$C$98)-CROQUIS!$C$107)/MAX(CROQUIS!$C$129,1))+1)/80,1))))))*CROQUIS!$C$159)+IF(CROQUIS!$C$92="X",0,0)),-1000)</f>
        <v>-1000</v>
      </c>
      <c r="BO275">
        <f>IF(AND(CROQUIS!$C$88=1,CROQUIS!$C$129&gt;0),((CROQUIS!$C$161+(IF(CROQUIS!$C$92="X",((CROQUIS!$C$107/2+(((CROQUIS!$C$98)-CROQUIS!$C$107)-(MAX(1,INT(((CROQUIS!$C$98)-CROQUIS!$C$107)/MAX((CROQUIS!$C$129*MAX(1,CEILING((INT(((CROQUIS!$C$98)-CROQUIS!$C$107)/MAX(CROQUIS!$C$129,1))+1)/80,1))),1))+1)-1)*(CROQUIS!$C$129*MAX(1,CEILING((INT(((CROQUIS!$C$98)-CROQUIS!$C$107)/MAX(CROQUIS!$C$129,1))+1)/80,1))))/2)+MIN(INT(($A275-1)/5),MAX((MAX(1,INT(((CROQUIS!$C$98)-CROQUIS!$C$107)/MAX((CROQUIS!$C$129*MAX(1,CEILING((INT(((CROQUIS!$C$98)-CROQUIS!$C$107)/MAX(CROQUIS!$C$129,1))+1)/80,1))),1))+1))-1,0))*(CROQUIS!$C$129*MAX(1,CEILING((INT(((CROQUIS!$C$98)-CROQUIS!$C$107)/MAX(CROQUIS!$C$129,1))+1)/80,1)))),CHOOSE(IF(INT(($A275-1)/5)&gt;MAX((MAX(1,INT(((CROQUIS!$C$98)-CROQUIS!$C$107)/MAX((CROQUIS!$C$129*MAX(1,CEILING((INT(((CROQUIS!$C$98)-CROQUIS!$C$107)/MAX(CROQUIS!$C$129,1))+1)/80,1))),1))+1))-1,0),0,MOD($A275-1,5))+1,0,2,CROQUIS!$C$97-2,2,0)))*CROQUIS!$C$159)+IF(CROQUIS!$C$92="X",0,0)),-1000)</f>
        <v>-1000</v>
      </c>
      <c r="BP275">
        <f>IF(AND(CROQUIS!$C$88=1,CROQUIS!$C$137&gt;0),((CROQUIS!$C$160+(IF(CROQUIS!$C$92="X",((CROQUIS!$C$107/2+(((CROQUIS!$C$97)-CROQUIS!$C$107)-(MAX(1,INT(((CROQUIS!$C$97)-CROQUIS!$C$107)/MAX((CROQUIS!$C$137*MAX(1,CEILING((INT(((CROQUIS!$C$97)-CROQUIS!$C$107)/MAX(CROQUIS!$C$137,1))+1)/80,1))),1))+1)-1)*(CROQUIS!$C$137*MAX(1,CEILING((INT(((CROQUIS!$C$97)-CROQUIS!$C$107)/MAX(CROQUIS!$C$137,1))+1)/80,1))))/2)+MIN(INT(($A275-1)/5),MAX((MAX(1,INT(((CROQUIS!$C$97)-CROQUIS!$C$107)/MAX((CROQUIS!$C$137*MAX(1,CEILING((INT(((CROQUIS!$C$97)-CROQUIS!$C$107)/MAX(CROQUIS!$C$137,1))+1)/80,1))),1))+1))-1,0))*(CROQUIS!$C$137*MAX(1,CEILING((INT(((CROQUIS!$C$97)-CROQUIS!$C$107)/MAX(CROQUIS!$C$137,1))+1)/80,1)))),CHOOSE(IF(INT(($A275-1)/5)&gt;MAX((MAX(1,INT(((CROQUIS!$C$97)-CROQUIS!$C$107)/MAX((CROQUIS!$C$137*MAX(1,CEILING((INT(((CROQUIS!$C$97)-CROQUIS!$C$107)/MAX(CROQUIS!$C$137,1))+1)/80,1))),1))+1))-1,0),0,MOD($A275-1,5))+1,0,2,CROQUIS!$C$98-2,2,0)))*CROQUIS!$C$159)+IF(CROQUIS!$C$92="X",0,0)),-1000)</f>
        <v>-1000</v>
      </c>
      <c r="BQ275">
        <f>IF(AND(CROQUIS!$C$88=1,CROQUIS!$C$137&gt;0),((CROQUIS!$C$161+(IF(CROQUIS!$C$92="X",CHOOSE(IF(INT(($A275-1)/5)&gt;MAX((MAX(1,INT(((CROQUIS!$C$97)-CROQUIS!$C$107)/MAX((CROQUIS!$C$137*MAX(1,CEILING((INT(((CROQUIS!$C$97)-CROQUIS!$C$107)/MAX(CROQUIS!$C$137,1))+1)/80,1))),1))+1))-1,0),0,MOD($A275-1,5))+1,0,2,CROQUIS!$C$98-2,2,0),((CROQUIS!$C$107/2+(((CROQUIS!$C$97)-CROQUIS!$C$107)-(MAX(1,INT(((CROQUIS!$C$97)-CROQUIS!$C$107)/MAX((CROQUIS!$C$137*MAX(1,CEILING((INT(((CROQUIS!$C$97)-CROQUIS!$C$107)/MAX(CROQUIS!$C$137,1))+1)/80,1))),1))+1)-1)*(CROQUIS!$C$137*MAX(1,CEILING((INT(((CROQUIS!$C$97)-CROQUIS!$C$107)/MAX(CROQUIS!$C$137,1))+1)/80,1))))/2)+MIN(INT(($A275-1)/5),MAX((MAX(1,INT(((CROQUIS!$C$97)-CROQUIS!$C$107)/MAX((CROQUIS!$C$137*MAX(1,CEILING((INT(((CROQUIS!$C$97)-CROQUIS!$C$107)/MAX(CROQUIS!$C$137,1))+1)/80,1))),1))+1))-1,0))*(CROQUIS!$C$137*MAX(1,CEILING((INT(((CROQUIS!$C$97)-CROQUIS!$C$107)/MAX(CROQUIS!$C$137,1))+1)/80,1))))))*CROQUIS!$C$159)+IF(CROQUIS!$C$92="X",0,0)),-1000)</f>
        <v>-1000</v>
      </c>
      <c r="BR275">
        <f>IF(AND(CROQUIS!$C$88=1,CROQUIS!$C$91=0,CROQUIS!$C$133&gt;0,OR(CROQUIS!$C$103=1,CROQUIS!$C$145=1)),((CROQUIS!$C$160+(IF(CROQUIS!$C$92="X",CHOOSE(IF(INT(($A275-1)/5)&gt;MAX((MAX(1,INT(((CROQUIS!$C$98)-CROQUIS!$C$107)/MAX((CROQUIS!$C$133*MAX(1,CEILING((INT(((CROQUIS!$C$98)-CROQUIS!$C$107)/MAX(CROQUIS!$C$133,1))+1)/80,1))),1))+1))-1,0),0,MOD($A275-1,5))+1,0,IF(CROQUIS!$C$103=1,-12,2),CROQUIS!$C$107/2+CROQUIS!$C$143,IF(CROQUIS!$C$103=1,-12,2),0),((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BS2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+1,0,IF(CROQUIS!$C$103=1,-12,2),CROQUIS!$C$107/2+CROQUIS!$C$143,IF(CROQUIS!$C$103=1,-12,2),0)))*CROQUIS!$C$159)+IF(CROQUIS!$C$92="X",0.8,0)),-1000)</f>
        <v>-1000</v>
      </c>
      <c r="BT275">
        <f>IF(AND(CROQUIS!$C$88=1,CROQUIS!$C$91=0,CROQUIS!$C$133&gt;0,OR(CROQUIS!$C$104=1,CROQUIS!$C$145=1)),((CROQUIS!$C$160+(IF(CROQUIS!$C$92="X",CHOOSE(IF(INT(($A275-1)/5)&gt;MAX((MAX(1,INT(((CROQUIS!$C$98)-CROQUIS!$C$107)/MAX((CROQUIS!$C$133*MAX(1,CEILING((INT(((CROQUIS!$C$98)-CROQUIS!$C$107)/MAX(CROQUIS!$C$133,1))+1)/80,1))),1))+1))-1,0),0,MOD($A275-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BU2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CROQUIS!$C$97,CROQUIS!$C$97-CROQUIS!$C$107/2-CROQUIS!$C$143,IF(CROQUIS!$C$104=1,CROQUIS!$C$97+12,CROQUIS!$C$97-2),CROQUIS!$C$97-CROQUIS!$C$107/2-CROQUIS!$C$143,CROQUIS!$C$97)))*CROQUIS!$C$159)+IF(CROQUIS!$C$92="X",0.8,0)),-1000)</f>
        <v>-1000</v>
      </c>
      <c r="BV2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HOOSE(IF(INT(($A275-1)/5)&gt;MAX((MAX(1,INT(((CROQUIS!$C$97)-CROQUIS!$C$107)/MAX((CROQUIS!$C$141*MAX(1,CEILING((INT(((CROQUIS!$C$97)-CROQUIS!$C$107)/MAX(CROQUIS!$C$141,1))+1)/80,1))),1))+1))-1,0),0,MOD($A275-1,5))+1,0,IF(CROQUIS!$C$105=1,-12,2),CROQUIS!$C$107/2+CROQUIS!$C$144,IF(CROQUIS!$C$105=1,-12,2),0)))*CROQUIS!$C$159)+IF(CROQUIS!$C$92="X",0.8,0)),-1000)</f>
        <v>-1000</v>
      </c>
      <c r="BW275">
        <f>IF(AND(CROQUIS!$C$88=1,CROQUIS!$C$91=0,CROQUIS!$C$141&gt;0,OR(CROQUIS!$C$105=1,CROQUIS!$C$146=1)),((CROQUIS!$C$161+(IF(CROQUIS!$C$92="X",CHOOSE(IF(INT(($A275-1)/5)&gt;MAX((MAX(1,INT(((CROQUIS!$C$97)-CROQUIS!$C$107)/MAX((CROQUIS!$C$141*MAX(1,CEILING((INT(((CROQUIS!$C$97)-CROQUIS!$C$107)/MAX(CROQUIS!$C$141,1))+1)/80,1))),1))+1))-1,0),0,MOD($A275-1,5))+1,0,IF(CROQUIS!$C$105=1,-12,2),CROQUIS!$C$107/2+CROQUIS!$C$144,IF(CROQUIS!$C$105=1,-12,2),0),((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ROQUIS!$C$159)+IF(CROQUIS!$C$92="X",0,0.8)),-1000)</f>
        <v>-1000</v>
      </c>
      <c r="BX2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HOOSE(IF(INT(($A275-1)/5)&gt;MAX((MAX(1,INT(((CROQUIS!$C$97)-CROQUIS!$C$107)/MAX((CROQUIS!$C$141*MAX(1,CEILING((INT(((CROQUIS!$C$97)-CROQUIS!$C$107)/MAX(CROQUIS!$C$141,1))+1)/80,1))),1))+1))-1,0),0,MOD($A275-1,5))+1,CROQUIS!$C$98,CROQUIS!$C$98-CROQUIS!$C$107/2-CROQUIS!$C$144,IF(CROQUIS!$C$106=1,CROQUIS!$C$98+12,CROQUIS!$C$98-2),CROQUIS!$C$98-CROQUIS!$C$107/2-CROQUIS!$C$144,CROQUIS!$C$98)))*CROQUIS!$C$159)+IF(CROQUIS!$C$92="X",0.8,0)),-1000)</f>
        <v>-1000</v>
      </c>
      <c r="BY275">
        <f>IF(AND(CROQUIS!$C$88=1,CROQUIS!$C$91=0,CROQUIS!$C$141&gt;0,OR(CROQUIS!$C$106=1,CROQUIS!$C$146=1)),((CROQUIS!$C$161+(IF(CROQUIS!$C$92="X",CHOOSE(IF(INT(($A275-1)/5)&gt;MAX((MAX(1,INT(((CROQUIS!$C$97)-CROQUIS!$C$107)/MAX((CROQUIS!$C$141*MAX(1,CEILING((INT(((CROQUIS!$C$97)-CROQUIS!$C$107)/MAX(CROQUIS!$C$141,1))+1)/80,1))),1))+1))-1,0),0,MOD($A275-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ROQUIS!$C$159)+IF(CROQUIS!$C$92="X",0,0.8)),-1000)</f>
        <v>-1000</v>
      </c>
      <c r="BZ275">
        <f>IF(AND(CROQUIS!$C$88=1,CROQUIS!$C$91=1,CROQUIS!$C$133&gt;0),((CROQUIS!$C$160+(IF(CROQUIS!$C$92="X",CHOOSE(IF(INT(($A275-1)/5)&gt;MAX((MAX(1,INT(((CROQUIS!$C$98)-CROQUIS!$C$107)/MAX((CROQUIS!$C$133*MAX(1,CEILING((INT(((CROQUIS!$C$98)-CROQUIS!$C$107)/MAX(CROQUIS!$C$133,1))+1)/80,1))),1))+1))-1,0),0,MOD($A275-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CA275">
        <f>IF(AND(CROQUIS!$C$88=1,CROQUIS!$C$91=1,CROQUIS!$C$133&gt;0),((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6">
      <c r="A276" t="n">
        <v>269</v>
      </c>
      <c r="BN276">
        <f>IF(AND(CROQUIS!$C$88=1,CROQUIS!$C$129&gt;0),((CROQUIS!$C$160+(IF(CROQUIS!$C$92="X",CHOOSE(IF(INT(($A276-1)/5)&gt;MAX((MAX(1,INT(((CROQUIS!$C$98)-CROQUIS!$C$107)/MAX((CROQUIS!$C$129*MAX(1,CEILING((INT(((CROQUIS!$C$98)-CROQUIS!$C$107)/MAX(CROQUIS!$C$129,1))+1)/80,1))),1))+1))-1,0),0,MOD($A276-1,5))+1,0,2,CROQUIS!$C$97-2,2,0),((CROQUIS!$C$107/2+(((CROQUIS!$C$98)-CROQUIS!$C$107)-(MAX(1,INT(((CROQUIS!$C$98)-CROQUIS!$C$107)/MAX((CROQUIS!$C$129*MAX(1,CEILING((INT(((CROQUIS!$C$98)-CROQUIS!$C$107)/MAX(CROQUIS!$C$129,1))+1)/80,1))),1))+1)-1)*(CROQUIS!$C$129*MAX(1,CEILING((INT(((CROQUIS!$C$98)-CROQUIS!$C$107)/MAX(CROQUIS!$C$129,1))+1)/80,1))))/2)+MIN(INT(($A276-1)/5),MAX((MAX(1,INT(((CROQUIS!$C$98)-CROQUIS!$C$107)/MAX((CROQUIS!$C$129*MAX(1,CEILING((INT(((CROQUIS!$C$98)-CROQUIS!$C$107)/MAX(CROQUIS!$C$129,1))+1)/80,1))),1))+1))-1,0))*(CROQUIS!$C$129*MAX(1,CEILING((INT(((CROQUIS!$C$98)-CROQUIS!$C$107)/MAX(CROQUIS!$C$129,1))+1)/80,1))))))*CROQUIS!$C$159)+IF(CROQUIS!$C$92="X",0,0)),-1000)</f>
        <v>-1000</v>
      </c>
      <c r="BO276">
        <f>IF(AND(CROQUIS!$C$88=1,CROQUIS!$C$129&gt;0),((CROQUIS!$C$161+(IF(CROQUIS!$C$92="X",((CROQUIS!$C$107/2+(((CROQUIS!$C$98)-CROQUIS!$C$107)-(MAX(1,INT(((CROQUIS!$C$98)-CROQUIS!$C$107)/MAX((CROQUIS!$C$129*MAX(1,CEILING((INT(((CROQUIS!$C$98)-CROQUIS!$C$107)/MAX(CROQUIS!$C$129,1))+1)/80,1))),1))+1)-1)*(CROQUIS!$C$129*MAX(1,CEILING((INT(((CROQUIS!$C$98)-CROQUIS!$C$107)/MAX(CROQUIS!$C$129,1))+1)/80,1))))/2)+MIN(INT(($A276-1)/5),MAX((MAX(1,INT(((CROQUIS!$C$98)-CROQUIS!$C$107)/MAX((CROQUIS!$C$129*MAX(1,CEILING((INT(((CROQUIS!$C$98)-CROQUIS!$C$107)/MAX(CROQUIS!$C$129,1))+1)/80,1))),1))+1))-1,0))*(CROQUIS!$C$129*MAX(1,CEILING((INT(((CROQUIS!$C$98)-CROQUIS!$C$107)/MAX(CROQUIS!$C$129,1))+1)/80,1)))),CHOOSE(IF(INT(($A276-1)/5)&gt;MAX((MAX(1,INT(((CROQUIS!$C$98)-CROQUIS!$C$107)/MAX((CROQUIS!$C$129*MAX(1,CEILING((INT(((CROQUIS!$C$98)-CROQUIS!$C$107)/MAX(CROQUIS!$C$129,1))+1)/80,1))),1))+1))-1,0),0,MOD($A276-1,5))+1,0,2,CROQUIS!$C$97-2,2,0)))*CROQUIS!$C$159)+IF(CROQUIS!$C$92="X",0,0)),-1000)</f>
        <v>-1000</v>
      </c>
      <c r="BP276">
        <f>IF(AND(CROQUIS!$C$88=1,CROQUIS!$C$137&gt;0),((CROQUIS!$C$160+(IF(CROQUIS!$C$92="X",((CROQUIS!$C$107/2+(((CROQUIS!$C$97)-CROQUIS!$C$107)-(MAX(1,INT(((CROQUIS!$C$97)-CROQUIS!$C$107)/MAX((CROQUIS!$C$137*MAX(1,CEILING((INT(((CROQUIS!$C$97)-CROQUIS!$C$107)/MAX(CROQUIS!$C$137,1))+1)/80,1))),1))+1)-1)*(CROQUIS!$C$137*MAX(1,CEILING((INT(((CROQUIS!$C$97)-CROQUIS!$C$107)/MAX(CROQUIS!$C$137,1))+1)/80,1))))/2)+MIN(INT(($A276-1)/5),MAX((MAX(1,INT(((CROQUIS!$C$97)-CROQUIS!$C$107)/MAX((CROQUIS!$C$137*MAX(1,CEILING((INT(((CROQUIS!$C$97)-CROQUIS!$C$107)/MAX(CROQUIS!$C$137,1))+1)/80,1))),1))+1))-1,0))*(CROQUIS!$C$137*MAX(1,CEILING((INT(((CROQUIS!$C$97)-CROQUIS!$C$107)/MAX(CROQUIS!$C$137,1))+1)/80,1)))),CHOOSE(IF(INT(($A276-1)/5)&gt;MAX((MAX(1,INT(((CROQUIS!$C$97)-CROQUIS!$C$107)/MAX((CROQUIS!$C$137*MAX(1,CEILING((INT(((CROQUIS!$C$97)-CROQUIS!$C$107)/MAX(CROQUIS!$C$137,1))+1)/80,1))),1))+1))-1,0),0,MOD($A276-1,5))+1,0,2,CROQUIS!$C$98-2,2,0)))*CROQUIS!$C$159)+IF(CROQUIS!$C$92="X",0,0)),-1000)</f>
        <v>-1000</v>
      </c>
      <c r="BQ276">
        <f>IF(AND(CROQUIS!$C$88=1,CROQUIS!$C$137&gt;0),((CROQUIS!$C$161+(IF(CROQUIS!$C$92="X",CHOOSE(IF(INT(($A276-1)/5)&gt;MAX((MAX(1,INT(((CROQUIS!$C$97)-CROQUIS!$C$107)/MAX((CROQUIS!$C$137*MAX(1,CEILING((INT(((CROQUIS!$C$97)-CROQUIS!$C$107)/MAX(CROQUIS!$C$137,1))+1)/80,1))),1))+1))-1,0),0,MOD($A276-1,5))+1,0,2,CROQUIS!$C$98-2,2,0),((CROQUIS!$C$107/2+(((CROQUIS!$C$97)-CROQUIS!$C$107)-(MAX(1,INT(((CROQUIS!$C$97)-CROQUIS!$C$107)/MAX((CROQUIS!$C$137*MAX(1,CEILING((INT(((CROQUIS!$C$97)-CROQUIS!$C$107)/MAX(CROQUIS!$C$137,1))+1)/80,1))),1))+1)-1)*(CROQUIS!$C$137*MAX(1,CEILING((INT(((CROQUIS!$C$97)-CROQUIS!$C$107)/MAX(CROQUIS!$C$137,1))+1)/80,1))))/2)+MIN(INT(($A276-1)/5),MAX((MAX(1,INT(((CROQUIS!$C$97)-CROQUIS!$C$107)/MAX((CROQUIS!$C$137*MAX(1,CEILING((INT(((CROQUIS!$C$97)-CROQUIS!$C$107)/MAX(CROQUIS!$C$137,1))+1)/80,1))),1))+1))-1,0))*(CROQUIS!$C$137*MAX(1,CEILING((INT(((CROQUIS!$C$97)-CROQUIS!$C$107)/MAX(CROQUIS!$C$137,1))+1)/80,1))))))*CROQUIS!$C$159)+IF(CROQUIS!$C$92="X",0,0)),-1000)</f>
        <v>-1000</v>
      </c>
      <c r="BR276">
        <f>IF(AND(CROQUIS!$C$88=1,CROQUIS!$C$91=0,CROQUIS!$C$133&gt;0,OR(CROQUIS!$C$103=1,CROQUIS!$C$145=1)),((CROQUIS!$C$160+(IF(CROQUIS!$C$92="X",CHOOSE(IF(INT(($A276-1)/5)&gt;MAX((MAX(1,INT(((CROQUIS!$C$98)-CROQUIS!$C$107)/MAX((CROQUIS!$C$133*MAX(1,CEILING((INT(((CROQUIS!$C$98)-CROQUIS!$C$107)/MAX(CROQUIS!$C$133,1))+1)/80,1))),1))+1))-1,0),0,MOD($A276-1,5))+1,0,IF(CROQUIS!$C$103=1,-12,2),CROQUIS!$C$107/2+CROQUIS!$C$143,IF(CROQUIS!$C$103=1,-12,2),0),((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BS2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+1,0,IF(CROQUIS!$C$103=1,-12,2),CROQUIS!$C$107/2+CROQUIS!$C$143,IF(CROQUIS!$C$103=1,-12,2),0)))*CROQUIS!$C$159)+IF(CROQUIS!$C$92="X",0.8,0)),-1000)</f>
        <v>-1000</v>
      </c>
      <c r="BT276">
        <f>IF(AND(CROQUIS!$C$88=1,CROQUIS!$C$91=0,CROQUIS!$C$133&gt;0,OR(CROQUIS!$C$104=1,CROQUIS!$C$145=1)),((CROQUIS!$C$160+(IF(CROQUIS!$C$92="X",CHOOSE(IF(INT(($A276-1)/5)&gt;MAX((MAX(1,INT(((CROQUIS!$C$98)-CROQUIS!$C$107)/MAX((CROQUIS!$C$133*MAX(1,CEILING((INT(((CROQUIS!$C$98)-CROQUIS!$C$107)/MAX(CROQUIS!$C$133,1))+1)/80,1))),1))+1))-1,0),0,MOD($A276-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BU2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CROQUIS!$C$97,CROQUIS!$C$97-CROQUIS!$C$107/2-CROQUIS!$C$143,IF(CROQUIS!$C$104=1,CROQUIS!$C$97+12,CROQUIS!$C$97-2),CROQUIS!$C$97-CROQUIS!$C$107/2-CROQUIS!$C$143,CROQUIS!$C$97)))*CROQUIS!$C$159)+IF(CROQUIS!$C$92="X",0.8,0)),-1000)</f>
        <v>-1000</v>
      </c>
      <c r="BV2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HOOSE(IF(INT(($A276-1)/5)&gt;MAX((MAX(1,INT(((CROQUIS!$C$97)-CROQUIS!$C$107)/MAX((CROQUIS!$C$141*MAX(1,CEILING((INT(((CROQUIS!$C$97)-CROQUIS!$C$107)/MAX(CROQUIS!$C$141,1))+1)/80,1))),1))+1))-1,0),0,MOD($A276-1,5))+1,0,IF(CROQUIS!$C$105=1,-12,2),CROQUIS!$C$107/2+CROQUIS!$C$144,IF(CROQUIS!$C$105=1,-12,2),0)))*CROQUIS!$C$159)+IF(CROQUIS!$C$92="X",0.8,0)),-1000)</f>
        <v>-1000</v>
      </c>
      <c r="BW276">
        <f>IF(AND(CROQUIS!$C$88=1,CROQUIS!$C$91=0,CROQUIS!$C$141&gt;0,OR(CROQUIS!$C$105=1,CROQUIS!$C$146=1)),((CROQUIS!$C$161+(IF(CROQUIS!$C$92="X",CHOOSE(IF(INT(($A276-1)/5)&gt;MAX((MAX(1,INT(((CROQUIS!$C$97)-CROQUIS!$C$107)/MAX((CROQUIS!$C$141*MAX(1,CEILING((INT(((CROQUIS!$C$97)-CROQUIS!$C$107)/MAX(CROQUIS!$C$141,1))+1)/80,1))),1))+1))-1,0),0,MOD($A276-1,5))+1,0,IF(CROQUIS!$C$105=1,-12,2),CROQUIS!$C$107/2+CROQUIS!$C$144,IF(CROQUIS!$C$105=1,-12,2),0),((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ROQUIS!$C$159)+IF(CROQUIS!$C$92="X",0,0.8)),-1000)</f>
        <v>-1000</v>
      </c>
      <c r="BX2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HOOSE(IF(INT(($A276-1)/5)&gt;MAX((MAX(1,INT(((CROQUIS!$C$97)-CROQUIS!$C$107)/MAX((CROQUIS!$C$141*MAX(1,CEILING((INT(((CROQUIS!$C$97)-CROQUIS!$C$107)/MAX(CROQUIS!$C$141,1))+1)/80,1))),1))+1))-1,0),0,MOD($A276-1,5))+1,CROQUIS!$C$98,CROQUIS!$C$98-CROQUIS!$C$107/2-CROQUIS!$C$144,IF(CROQUIS!$C$106=1,CROQUIS!$C$98+12,CROQUIS!$C$98-2),CROQUIS!$C$98-CROQUIS!$C$107/2-CROQUIS!$C$144,CROQUIS!$C$98)))*CROQUIS!$C$159)+IF(CROQUIS!$C$92="X",0.8,0)),-1000)</f>
        <v>-1000</v>
      </c>
      <c r="BY276">
        <f>IF(AND(CROQUIS!$C$88=1,CROQUIS!$C$91=0,CROQUIS!$C$141&gt;0,OR(CROQUIS!$C$106=1,CROQUIS!$C$146=1)),((CROQUIS!$C$161+(IF(CROQUIS!$C$92="X",CHOOSE(IF(INT(($A276-1)/5)&gt;MAX((MAX(1,INT(((CROQUIS!$C$97)-CROQUIS!$C$107)/MAX((CROQUIS!$C$141*MAX(1,CEILING((INT(((CROQUIS!$C$97)-CROQUIS!$C$107)/MAX(CROQUIS!$C$141,1))+1)/80,1))),1))+1))-1,0),0,MOD($A276-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ROQUIS!$C$159)+IF(CROQUIS!$C$92="X",0,0.8)),-1000)</f>
        <v>-1000</v>
      </c>
      <c r="BZ276">
        <f>IF(AND(CROQUIS!$C$88=1,CROQUIS!$C$91=1,CROQUIS!$C$133&gt;0),((CROQUIS!$C$160+(IF(CROQUIS!$C$92="X",CHOOSE(IF(INT(($A276-1)/5)&gt;MAX((MAX(1,INT(((CROQUIS!$C$98)-CROQUIS!$C$107)/MAX((CROQUIS!$C$133*MAX(1,CEILING((INT(((CROQUIS!$C$98)-CROQUIS!$C$107)/MAX(CROQUIS!$C$133,1))+1)/80,1))),1))+1))-1,0),0,MOD($A276-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CA276">
        <f>IF(AND(CROQUIS!$C$88=1,CROQUIS!$C$91=1,CROQUIS!$C$133&gt;0),((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7">
      <c r="A277" t="n">
        <v>270</v>
      </c>
      <c r="BN277">
        <f>IF(AND(CROQUIS!$C$88=1,CROQUIS!$C$129&gt;0),((CROQUIS!$C$160+(IF(CROQUIS!$C$92="X",CHOOSE(IF(INT(($A277-1)/5)&gt;MAX((MAX(1,INT(((CROQUIS!$C$98)-CROQUIS!$C$107)/MAX((CROQUIS!$C$129*MAX(1,CEILING((INT(((CROQUIS!$C$98)-CROQUIS!$C$107)/MAX(CROQUIS!$C$129,1))+1)/80,1))),1))+1))-1,0),0,MOD($A277-1,5))+1,0,2,CROQUIS!$C$97-2,2,0),((CROQUIS!$C$107/2+(((CROQUIS!$C$98)-CROQUIS!$C$107)-(MAX(1,INT(((CROQUIS!$C$98)-CROQUIS!$C$107)/MAX((CROQUIS!$C$129*MAX(1,CEILING((INT(((CROQUIS!$C$98)-CROQUIS!$C$107)/MAX(CROQUIS!$C$129,1))+1)/80,1))),1))+1)-1)*(CROQUIS!$C$129*MAX(1,CEILING((INT(((CROQUIS!$C$98)-CROQUIS!$C$107)/MAX(CROQUIS!$C$129,1))+1)/80,1))))/2)+MIN(INT(($A277-1)/5),MAX((MAX(1,INT(((CROQUIS!$C$98)-CROQUIS!$C$107)/MAX((CROQUIS!$C$129*MAX(1,CEILING((INT(((CROQUIS!$C$98)-CROQUIS!$C$107)/MAX(CROQUIS!$C$129,1))+1)/80,1))),1))+1))-1,0))*(CROQUIS!$C$129*MAX(1,CEILING((INT(((CROQUIS!$C$98)-CROQUIS!$C$107)/MAX(CROQUIS!$C$129,1))+1)/80,1))))))*CROQUIS!$C$159)+IF(CROQUIS!$C$92="X",0,0)),-1000)</f>
        <v>-1000</v>
      </c>
      <c r="BO277">
        <f>IF(AND(CROQUIS!$C$88=1,CROQUIS!$C$129&gt;0),((CROQUIS!$C$161+(IF(CROQUIS!$C$92="X",((CROQUIS!$C$107/2+(((CROQUIS!$C$98)-CROQUIS!$C$107)-(MAX(1,INT(((CROQUIS!$C$98)-CROQUIS!$C$107)/MAX((CROQUIS!$C$129*MAX(1,CEILING((INT(((CROQUIS!$C$98)-CROQUIS!$C$107)/MAX(CROQUIS!$C$129,1))+1)/80,1))),1))+1)-1)*(CROQUIS!$C$129*MAX(1,CEILING((INT(((CROQUIS!$C$98)-CROQUIS!$C$107)/MAX(CROQUIS!$C$129,1))+1)/80,1))))/2)+MIN(INT(($A277-1)/5),MAX((MAX(1,INT(((CROQUIS!$C$98)-CROQUIS!$C$107)/MAX((CROQUIS!$C$129*MAX(1,CEILING((INT(((CROQUIS!$C$98)-CROQUIS!$C$107)/MAX(CROQUIS!$C$129,1))+1)/80,1))),1))+1))-1,0))*(CROQUIS!$C$129*MAX(1,CEILING((INT(((CROQUIS!$C$98)-CROQUIS!$C$107)/MAX(CROQUIS!$C$129,1))+1)/80,1)))),CHOOSE(IF(INT(($A277-1)/5)&gt;MAX((MAX(1,INT(((CROQUIS!$C$98)-CROQUIS!$C$107)/MAX((CROQUIS!$C$129*MAX(1,CEILING((INT(((CROQUIS!$C$98)-CROQUIS!$C$107)/MAX(CROQUIS!$C$129,1))+1)/80,1))),1))+1))-1,0),0,MOD($A277-1,5))+1,0,2,CROQUIS!$C$97-2,2,0)))*CROQUIS!$C$159)+IF(CROQUIS!$C$92="X",0,0)),-1000)</f>
        <v>-1000</v>
      </c>
      <c r="BP277">
        <f>IF(AND(CROQUIS!$C$88=1,CROQUIS!$C$137&gt;0),((CROQUIS!$C$160+(IF(CROQUIS!$C$92="X",((CROQUIS!$C$107/2+(((CROQUIS!$C$97)-CROQUIS!$C$107)-(MAX(1,INT(((CROQUIS!$C$97)-CROQUIS!$C$107)/MAX((CROQUIS!$C$137*MAX(1,CEILING((INT(((CROQUIS!$C$97)-CROQUIS!$C$107)/MAX(CROQUIS!$C$137,1))+1)/80,1))),1))+1)-1)*(CROQUIS!$C$137*MAX(1,CEILING((INT(((CROQUIS!$C$97)-CROQUIS!$C$107)/MAX(CROQUIS!$C$137,1))+1)/80,1))))/2)+MIN(INT(($A277-1)/5),MAX((MAX(1,INT(((CROQUIS!$C$97)-CROQUIS!$C$107)/MAX((CROQUIS!$C$137*MAX(1,CEILING((INT(((CROQUIS!$C$97)-CROQUIS!$C$107)/MAX(CROQUIS!$C$137,1))+1)/80,1))),1))+1))-1,0))*(CROQUIS!$C$137*MAX(1,CEILING((INT(((CROQUIS!$C$97)-CROQUIS!$C$107)/MAX(CROQUIS!$C$137,1))+1)/80,1)))),CHOOSE(IF(INT(($A277-1)/5)&gt;MAX((MAX(1,INT(((CROQUIS!$C$97)-CROQUIS!$C$107)/MAX((CROQUIS!$C$137*MAX(1,CEILING((INT(((CROQUIS!$C$97)-CROQUIS!$C$107)/MAX(CROQUIS!$C$137,1))+1)/80,1))),1))+1))-1,0),0,MOD($A277-1,5))+1,0,2,CROQUIS!$C$98-2,2,0)))*CROQUIS!$C$159)+IF(CROQUIS!$C$92="X",0,0)),-1000)</f>
        <v>-1000</v>
      </c>
      <c r="BQ277">
        <f>IF(AND(CROQUIS!$C$88=1,CROQUIS!$C$137&gt;0),((CROQUIS!$C$161+(IF(CROQUIS!$C$92="X",CHOOSE(IF(INT(($A277-1)/5)&gt;MAX((MAX(1,INT(((CROQUIS!$C$97)-CROQUIS!$C$107)/MAX((CROQUIS!$C$137*MAX(1,CEILING((INT(((CROQUIS!$C$97)-CROQUIS!$C$107)/MAX(CROQUIS!$C$137,1))+1)/80,1))),1))+1))-1,0),0,MOD($A277-1,5))+1,0,2,CROQUIS!$C$98-2,2,0),((CROQUIS!$C$107/2+(((CROQUIS!$C$97)-CROQUIS!$C$107)-(MAX(1,INT(((CROQUIS!$C$97)-CROQUIS!$C$107)/MAX((CROQUIS!$C$137*MAX(1,CEILING((INT(((CROQUIS!$C$97)-CROQUIS!$C$107)/MAX(CROQUIS!$C$137,1))+1)/80,1))),1))+1)-1)*(CROQUIS!$C$137*MAX(1,CEILING((INT(((CROQUIS!$C$97)-CROQUIS!$C$107)/MAX(CROQUIS!$C$137,1))+1)/80,1))))/2)+MIN(INT(($A277-1)/5),MAX((MAX(1,INT(((CROQUIS!$C$97)-CROQUIS!$C$107)/MAX((CROQUIS!$C$137*MAX(1,CEILING((INT(((CROQUIS!$C$97)-CROQUIS!$C$107)/MAX(CROQUIS!$C$137,1))+1)/80,1))),1))+1))-1,0))*(CROQUIS!$C$137*MAX(1,CEILING((INT(((CROQUIS!$C$97)-CROQUIS!$C$107)/MAX(CROQUIS!$C$137,1))+1)/80,1))))))*CROQUIS!$C$159)+IF(CROQUIS!$C$92="X",0,0)),-1000)</f>
        <v>-1000</v>
      </c>
      <c r="BR277">
        <f>IF(AND(CROQUIS!$C$88=1,CROQUIS!$C$91=0,CROQUIS!$C$133&gt;0,OR(CROQUIS!$C$103=1,CROQUIS!$C$145=1)),((CROQUIS!$C$160+(IF(CROQUIS!$C$92="X",CHOOSE(IF(INT(($A277-1)/5)&gt;MAX((MAX(1,INT(((CROQUIS!$C$98)-CROQUIS!$C$107)/MAX((CROQUIS!$C$133*MAX(1,CEILING((INT(((CROQUIS!$C$98)-CROQUIS!$C$107)/MAX(CROQUIS!$C$133,1))+1)/80,1))),1))+1))-1,0),0,MOD($A277-1,5))+1,0,IF(CROQUIS!$C$103=1,-12,2),CROQUIS!$C$107/2+CROQUIS!$C$143,IF(CROQUIS!$C$103=1,-12,2),0),((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BS2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+1,0,IF(CROQUIS!$C$103=1,-12,2),CROQUIS!$C$107/2+CROQUIS!$C$143,IF(CROQUIS!$C$103=1,-12,2),0)))*CROQUIS!$C$159)+IF(CROQUIS!$C$92="X",0.8,0)),-1000)</f>
        <v>-1000</v>
      </c>
      <c r="BT277">
        <f>IF(AND(CROQUIS!$C$88=1,CROQUIS!$C$91=0,CROQUIS!$C$133&gt;0,OR(CROQUIS!$C$104=1,CROQUIS!$C$145=1)),((CROQUIS!$C$160+(IF(CROQUIS!$C$92="X",CHOOSE(IF(INT(($A277-1)/5)&gt;MAX((MAX(1,INT(((CROQUIS!$C$98)-CROQUIS!$C$107)/MAX((CROQUIS!$C$133*MAX(1,CEILING((INT(((CROQUIS!$C$98)-CROQUIS!$C$107)/MAX(CROQUIS!$C$133,1))+1)/80,1))),1))+1))-1,0),0,MOD($A277-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BU2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CROQUIS!$C$97,CROQUIS!$C$97-CROQUIS!$C$107/2-CROQUIS!$C$143,IF(CROQUIS!$C$104=1,CROQUIS!$C$97+12,CROQUIS!$C$97-2),CROQUIS!$C$97-CROQUIS!$C$107/2-CROQUIS!$C$143,CROQUIS!$C$97)))*CROQUIS!$C$159)+IF(CROQUIS!$C$92="X",0.8,0)),-1000)</f>
        <v>-1000</v>
      </c>
      <c r="BV2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HOOSE(IF(INT(($A277-1)/5)&gt;MAX((MAX(1,INT(((CROQUIS!$C$97)-CROQUIS!$C$107)/MAX((CROQUIS!$C$141*MAX(1,CEILING((INT(((CROQUIS!$C$97)-CROQUIS!$C$107)/MAX(CROQUIS!$C$141,1))+1)/80,1))),1))+1))-1,0),0,MOD($A277-1,5))+1,0,IF(CROQUIS!$C$105=1,-12,2),CROQUIS!$C$107/2+CROQUIS!$C$144,IF(CROQUIS!$C$105=1,-12,2),0)))*CROQUIS!$C$159)+IF(CROQUIS!$C$92="X",0.8,0)),-1000)</f>
        <v>-1000</v>
      </c>
      <c r="BW277">
        <f>IF(AND(CROQUIS!$C$88=1,CROQUIS!$C$91=0,CROQUIS!$C$141&gt;0,OR(CROQUIS!$C$105=1,CROQUIS!$C$146=1)),((CROQUIS!$C$161+(IF(CROQUIS!$C$92="X",CHOOSE(IF(INT(($A277-1)/5)&gt;MAX((MAX(1,INT(((CROQUIS!$C$97)-CROQUIS!$C$107)/MAX((CROQUIS!$C$141*MAX(1,CEILING((INT(((CROQUIS!$C$97)-CROQUIS!$C$107)/MAX(CROQUIS!$C$141,1))+1)/80,1))),1))+1))-1,0),0,MOD($A277-1,5))+1,0,IF(CROQUIS!$C$105=1,-12,2),CROQUIS!$C$107/2+CROQUIS!$C$144,IF(CROQUIS!$C$105=1,-12,2),0),((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ROQUIS!$C$159)+IF(CROQUIS!$C$92="X",0,0.8)),-1000)</f>
        <v>-1000</v>
      </c>
      <c r="BX2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HOOSE(IF(INT(($A277-1)/5)&gt;MAX((MAX(1,INT(((CROQUIS!$C$97)-CROQUIS!$C$107)/MAX((CROQUIS!$C$141*MAX(1,CEILING((INT(((CROQUIS!$C$97)-CROQUIS!$C$107)/MAX(CROQUIS!$C$141,1))+1)/80,1))),1))+1))-1,0),0,MOD($A277-1,5))+1,CROQUIS!$C$98,CROQUIS!$C$98-CROQUIS!$C$107/2-CROQUIS!$C$144,IF(CROQUIS!$C$106=1,CROQUIS!$C$98+12,CROQUIS!$C$98-2),CROQUIS!$C$98-CROQUIS!$C$107/2-CROQUIS!$C$144,CROQUIS!$C$98)))*CROQUIS!$C$159)+IF(CROQUIS!$C$92="X",0.8,0)),-1000)</f>
        <v>-1000</v>
      </c>
      <c r="BY277">
        <f>IF(AND(CROQUIS!$C$88=1,CROQUIS!$C$91=0,CROQUIS!$C$141&gt;0,OR(CROQUIS!$C$106=1,CROQUIS!$C$146=1)),((CROQUIS!$C$161+(IF(CROQUIS!$C$92="X",CHOOSE(IF(INT(($A277-1)/5)&gt;MAX((MAX(1,INT(((CROQUIS!$C$97)-CROQUIS!$C$107)/MAX((CROQUIS!$C$141*MAX(1,CEILING((INT(((CROQUIS!$C$97)-CROQUIS!$C$107)/MAX(CROQUIS!$C$141,1))+1)/80,1))),1))+1))-1,0),0,MOD($A277-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ROQUIS!$C$159)+IF(CROQUIS!$C$92="X",0,0.8)),-1000)</f>
        <v>-1000</v>
      </c>
      <c r="BZ277">
        <f>IF(AND(CROQUIS!$C$88=1,CROQUIS!$C$91=1,CROQUIS!$C$133&gt;0),((CROQUIS!$C$160+(IF(CROQUIS!$C$92="X",CHOOSE(IF(INT(($A277-1)/5)&gt;MAX((MAX(1,INT(((CROQUIS!$C$98)-CROQUIS!$C$107)/MAX((CROQUIS!$C$133*MAX(1,CEILING((INT(((CROQUIS!$C$98)-CROQUIS!$C$107)/MAX(CROQUIS!$C$133,1))+1)/80,1))),1))+1))-1,0),0,MOD($A277-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CA277">
        <f>IF(AND(CROQUIS!$C$88=1,CROQUIS!$C$91=1,CROQUIS!$C$133&gt;0),((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8">
      <c r="A278" t="n">
        <v>271</v>
      </c>
      <c r="BN278">
        <f>IF(AND(CROQUIS!$C$88=1,CROQUIS!$C$129&gt;0),((CROQUIS!$C$160+(IF(CROQUIS!$C$92="X",CHOOSE(IF(INT(($A278-1)/5)&gt;MAX((MAX(1,INT(((CROQUIS!$C$98)-CROQUIS!$C$107)/MAX((CROQUIS!$C$129*MAX(1,CEILING((INT(((CROQUIS!$C$98)-CROQUIS!$C$107)/MAX(CROQUIS!$C$129,1))+1)/80,1))),1))+1))-1,0),0,MOD($A278-1,5))+1,0,2,CROQUIS!$C$97-2,2,0),((CROQUIS!$C$107/2+(((CROQUIS!$C$98)-CROQUIS!$C$107)-(MAX(1,INT(((CROQUIS!$C$98)-CROQUIS!$C$107)/MAX((CROQUIS!$C$129*MAX(1,CEILING((INT(((CROQUIS!$C$98)-CROQUIS!$C$107)/MAX(CROQUIS!$C$129,1))+1)/80,1))),1))+1)-1)*(CROQUIS!$C$129*MAX(1,CEILING((INT(((CROQUIS!$C$98)-CROQUIS!$C$107)/MAX(CROQUIS!$C$129,1))+1)/80,1))))/2)+MIN(INT(($A278-1)/5),MAX((MAX(1,INT(((CROQUIS!$C$98)-CROQUIS!$C$107)/MAX((CROQUIS!$C$129*MAX(1,CEILING((INT(((CROQUIS!$C$98)-CROQUIS!$C$107)/MAX(CROQUIS!$C$129,1))+1)/80,1))),1))+1))-1,0))*(CROQUIS!$C$129*MAX(1,CEILING((INT(((CROQUIS!$C$98)-CROQUIS!$C$107)/MAX(CROQUIS!$C$129,1))+1)/80,1))))))*CROQUIS!$C$159)+IF(CROQUIS!$C$92="X",0,0)),-1000)</f>
        <v>-1000</v>
      </c>
      <c r="BO278">
        <f>IF(AND(CROQUIS!$C$88=1,CROQUIS!$C$129&gt;0),((CROQUIS!$C$161+(IF(CROQUIS!$C$92="X",((CROQUIS!$C$107/2+(((CROQUIS!$C$98)-CROQUIS!$C$107)-(MAX(1,INT(((CROQUIS!$C$98)-CROQUIS!$C$107)/MAX((CROQUIS!$C$129*MAX(1,CEILING((INT(((CROQUIS!$C$98)-CROQUIS!$C$107)/MAX(CROQUIS!$C$129,1))+1)/80,1))),1))+1)-1)*(CROQUIS!$C$129*MAX(1,CEILING((INT(((CROQUIS!$C$98)-CROQUIS!$C$107)/MAX(CROQUIS!$C$129,1))+1)/80,1))))/2)+MIN(INT(($A278-1)/5),MAX((MAX(1,INT(((CROQUIS!$C$98)-CROQUIS!$C$107)/MAX((CROQUIS!$C$129*MAX(1,CEILING((INT(((CROQUIS!$C$98)-CROQUIS!$C$107)/MAX(CROQUIS!$C$129,1))+1)/80,1))),1))+1))-1,0))*(CROQUIS!$C$129*MAX(1,CEILING((INT(((CROQUIS!$C$98)-CROQUIS!$C$107)/MAX(CROQUIS!$C$129,1))+1)/80,1)))),CHOOSE(IF(INT(($A278-1)/5)&gt;MAX((MAX(1,INT(((CROQUIS!$C$98)-CROQUIS!$C$107)/MAX((CROQUIS!$C$129*MAX(1,CEILING((INT(((CROQUIS!$C$98)-CROQUIS!$C$107)/MAX(CROQUIS!$C$129,1))+1)/80,1))),1))+1))-1,0),0,MOD($A278-1,5))+1,0,2,CROQUIS!$C$97-2,2,0)))*CROQUIS!$C$159)+IF(CROQUIS!$C$92="X",0,0)),-1000)</f>
        <v>-1000</v>
      </c>
      <c r="BP278">
        <f>IF(AND(CROQUIS!$C$88=1,CROQUIS!$C$137&gt;0),((CROQUIS!$C$160+(IF(CROQUIS!$C$92="X",((CROQUIS!$C$107/2+(((CROQUIS!$C$97)-CROQUIS!$C$107)-(MAX(1,INT(((CROQUIS!$C$97)-CROQUIS!$C$107)/MAX((CROQUIS!$C$137*MAX(1,CEILING((INT(((CROQUIS!$C$97)-CROQUIS!$C$107)/MAX(CROQUIS!$C$137,1))+1)/80,1))),1))+1)-1)*(CROQUIS!$C$137*MAX(1,CEILING((INT(((CROQUIS!$C$97)-CROQUIS!$C$107)/MAX(CROQUIS!$C$137,1))+1)/80,1))))/2)+MIN(INT(($A278-1)/5),MAX((MAX(1,INT(((CROQUIS!$C$97)-CROQUIS!$C$107)/MAX((CROQUIS!$C$137*MAX(1,CEILING((INT(((CROQUIS!$C$97)-CROQUIS!$C$107)/MAX(CROQUIS!$C$137,1))+1)/80,1))),1))+1))-1,0))*(CROQUIS!$C$137*MAX(1,CEILING((INT(((CROQUIS!$C$97)-CROQUIS!$C$107)/MAX(CROQUIS!$C$137,1))+1)/80,1)))),CHOOSE(IF(INT(($A278-1)/5)&gt;MAX((MAX(1,INT(((CROQUIS!$C$97)-CROQUIS!$C$107)/MAX((CROQUIS!$C$137*MAX(1,CEILING((INT(((CROQUIS!$C$97)-CROQUIS!$C$107)/MAX(CROQUIS!$C$137,1))+1)/80,1))),1))+1))-1,0),0,MOD($A278-1,5))+1,0,2,CROQUIS!$C$98-2,2,0)))*CROQUIS!$C$159)+IF(CROQUIS!$C$92="X",0,0)),-1000)</f>
        <v>-1000</v>
      </c>
      <c r="BQ278">
        <f>IF(AND(CROQUIS!$C$88=1,CROQUIS!$C$137&gt;0),((CROQUIS!$C$161+(IF(CROQUIS!$C$92="X",CHOOSE(IF(INT(($A278-1)/5)&gt;MAX((MAX(1,INT(((CROQUIS!$C$97)-CROQUIS!$C$107)/MAX((CROQUIS!$C$137*MAX(1,CEILING((INT(((CROQUIS!$C$97)-CROQUIS!$C$107)/MAX(CROQUIS!$C$137,1))+1)/80,1))),1))+1))-1,0),0,MOD($A278-1,5))+1,0,2,CROQUIS!$C$98-2,2,0),((CROQUIS!$C$107/2+(((CROQUIS!$C$97)-CROQUIS!$C$107)-(MAX(1,INT(((CROQUIS!$C$97)-CROQUIS!$C$107)/MAX((CROQUIS!$C$137*MAX(1,CEILING((INT(((CROQUIS!$C$97)-CROQUIS!$C$107)/MAX(CROQUIS!$C$137,1))+1)/80,1))),1))+1)-1)*(CROQUIS!$C$137*MAX(1,CEILING((INT(((CROQUIS!$C$97)-CROQUIS!$C$107)/MAX(CROQUIS!$C$137,1))+1)/80,1))))/2)+MIN(INT(($A278-1)/5),MAX((MAX(1,INT(((CROQUIS!$C$97)-CROQUIS!$C$107)/MAX((CROQUIS!$C$137*MAX(1,CEILING((INT(((CROQUIS!$C$97)-CROQUIS!$C$107)/MAX(CROQUIS!$C$137,1))+1)/80,1))),1))+1))-1,0))*(CROQUIS!$C$137*MAX(1,CEILING((INT(((CROQUIS!$C$97)-CROQUIS!$C$107)/MAX(CROQUIS!$C$137,1))+1)/80,1))))))*CROQUIS!$C$159)+IF(CROQUIS!$C$92="X",0,0)),-1000)</f>
        <v>-1000</v>
      </c>
      <c r="BR278">
        <f>IF(AND(CROQUIS!$C$88=1,CROQUIS!$C$91=0,CROQUIS!$C$133&gt;0,OR(CROQUIS!$C$103=1,CROQUIS!$C$145=1)),((CROQUIS!$C$160+(IF(CROQUIS!$C$92="X",CHOOSE(IF(INT(($A278-1)/5)&gt;MAX((MAX(1,INT(((CROQUIS!$C$98)-CROQUIS!$C$107)/MAX((CROQUIS!$C$133*MAX(1,CEILING((INT(((CROQUIS!$C$98)-CROQUIS!$C$107)/MAX(CROQUIS!$C$133,1))+1)/80,1))),1))+1))-1,0),0,MOD($A278-1,5))+1,0,IF(CROQUIS!$C$103=1,-12,2),CROQUIS!$C$107/2+CROQUIS!$C$143,IF(CROQUIS!$C$103=1,-12,2),0),((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BS2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+1,0,IF(CROQUIS!$C$103=1,-12,2),CROQUIS!$C$107/2+CROQUIS!$C$143,IF(CROQUIS!$C$103=1,-12,2),0)))*CROQUIS!$C$159)+IF(CROQUIS!$C$92="X",0.8,0)),-1000)</f>
        <v>-1000</v>
      </c>
      <c r="BT278">
        <f>IF(AND(CROQUIS!$C$88=1,CROQUIS!$C$91=0,CROQUIS!$C$133&gt;0,OR(CROQUIS!$C$104=1,CROQUIS!$C$145=1)),((CROQUIS!$C$160+(IF(CROQUIS!$C$92="X",CHOOSE(IF(INT(($A278-1)/5)&gt;MAX((MAX(1,INT(((CROQUIS!$C$98)-CROQUIS!$C$107)/MAX((CROQUIS!$C$133*MAX(1,CEILING((INT(((CROQUIS!$C$98)-CROQUIS!$C$107)/MAX(CROQUIS!$C$133,1))+1)/80,1))),1))+1))-1,0),0,MOD($A278-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BU2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CROQUIS!$C$97,CROQUIS!$C$97-CROQUIS!$C$107/2-CROQUIS!$C$143,IF(CROQUIS!$C$104=1,CROQUIS!$C$97+12,CROQUIS!$C$97-2),CROQUIS!$C$97-CROQUIS!$C$107/2-CROQUIS!$C$143,CROQUIS!$C$97)))*CROQUIS!$C$159)+IF(CROQUIS!$C$92="X",0.8,0)),-1000)</f>
        <v>-1000</v>
      </c>
      <c r="BV2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HOOSE(IF(INT(($A278-1)/5)&gt;MAX((MAX(1,INT(((CROQUIS!$C$97)-CROQUIS!$C$107)/MAX((CROQUIS!$C$141*MAX(1,CEILING((INT(((CROQUIS!$C$97)-CROQUIS!$C$107)/MAX(CROQUIS!$C$141,1))+1)/80,1))),1))+1))-1,0),0,MOD($A278-1,5))+1,0,IF(CROQUIS!$C$105=1,-12,2),CROQUIS!$C$107/2+CROQUIS!$C$144,IF(CROQUIS!$C$105=1,-12,2),0)))*CROQUIS!$C$159)+IF(CROQUIS!$C$92="X",0.8,0)),-1000)</f>
        <v>-1000</v>
      </c>
      <c r="BW278">
        <f>IF(AND(CROQUIS!$C$88=1,CROQUIS!$C$91=0,CROQUIS!$C$141&gt;0,OR(CROQUIS!$C$105=1,CROQUIS!$C$146=1)),((CROQUIS!$C$161+(IF(CROQUIS!$C$92="X",CHOOSE(IF(INT(($A278-1)/5)&gt;MAX((MAX(1,INT(((CROQUIS!$C$97)-CROQUIS!$C$107)/MAX((CROQUIS!$C$141*MAX(1,CEILING((INT(((CROQUIS!$C$97)-CROQUIS!$C$107)/MAX(CROQUIS!$C$141,1))+1)/80,1))),1))+1))-1,0),0,MOD($A278-1,5))+1,0,IF(CROQUIS!$C$105=1,-12,2),CROQUIS!$C$107/2+CROQUIS!$C$144,IF(CROQUIS!$C$105=1,-12,2),0),((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ROQUIS!$C$159)+IF(CROQUIS!$C$92="X",0,0.8)),-1000)</f>
        <v>-1000</v>
      </c>
      <c r="BX2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HOOSE(IF(INT(($A278-1)/5)&gt;MAX((MAX(1,INT(((CROQUIS!$C$97)-CROQUIS!$C$107)/MAX((CROQUIS!$C$141*MAX(1,CEILING((INT(((CROQUIS!$C$97)-CROQUIS!$C$107)/MAX(CROQUIS!$C$141,1))+1)/80,1))),1))+1))-1,0),0,MOD($A278-1,5))+1,CROQUIS!$C$98,CROQUIS!$C$98-CROQUIS!$C$107/2-CROQUIS!$C$144,IF(CROQUIS!$C$106=1,CROQUIS!$C$98+12,CROQUIS!$C$98-2),CROQUIS!$C$98-CROQUIS!$C$107/2-CROQUIS!$C$144,CROQUIS!$C$98)))*CROQUIS!$C$159)+IF(CROQUIS!$C$92="X",0.8,0)),-1000)</f>
        <v>-1000</v>
      </c>
      <c r="BY278">
        <f>IF(AND(CROQUIS!$C$88=1,CROQUIS!$C$91=0,CROQUIS!$C$141&gt;0,OR(CROQUIS!$C$106=1,CROQUIS!$C$146=1)),((CROQUIS!$C$161+(IF(CROQUIS!$C$92="X",CHOOSE(IF(INT(($A278-1)/5)&gt;MAX((MAX(1,INT(((CROQUIS!$C$97)-CROQUIS!$C$107)/MAX((CROQUIS!$C$141*MAX(1,CEILING((INT(((CROQUIS!$C$97)-CROQUIS!$C$107)/MAX(CROQUIS!$C$141,1))+1)/80,1))),1))+1))-1,0),0,MOD($A278-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ROQUIS!$C$159)+IF(CROQUIS!$C$92="X",0,0.8)),-1000)</f>
        <v>-1000</v>
      </c>
      <c r="BZ278">
        <f>IF(AND(CROQUIS!$C$88=1,CROQUIS!$C$91=1,CROQUIS!$C$133&gt;0),((CROQUIS!$C$160+(IF(CROQUIS!$C$92="X",CHOOSE(IF(INT(($A278-1)/5)&gt;MAX((MAX(1,INT(((CROQUIS!$C$98)-CROQUIS!$C$107)/MAX((CROQUIS!$C$133*MAX(1,CEILING((INT(((CROQUIS!$C$98)-CROQUIS!$C$107)/MAX(CROQUIS!$C$133,1))+1)/80,1))),1))+1))-1,0),0,MOD($A278-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CA278">
        <f>IF(AND(CROQUIS!$C$88=1,CROQUIS!$C$91=1,CROQUIS!$C$133&gt;0),((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9">
      <c r="A279" t="n">
        <v>272</v>
      </c>
      <c r="BN279">
        <f>IF(AND(CROQUIS!$C$88=1,CROQUIS!$C$129&gt;0),((CROQUIS!$C$160+(IF(CROQUIS!$C$92="X",CHOOSE(IF(INT(($A279-1)/5)&gt;MAX((MAX(1,INT(((CROQUIS!$C$98)-CROQUIS!$C$107)/MAX((CROQUIS!$C$129*MAX(1,CEILING((INT(((CROQUIS!$C$98)-CROQUIS!$C$107)/MAX(CROQUIS!$C$129,1))+1)/80,1))),1))+1))-1,0),0,MOD($A279-1,5))+1,0,2,CROQUIS!$C$97-2,2,0),((CROQUIS!$C$107/2+(((CROQUIS!$C$98)-CROQUIS!$C$107)-(MAX(1,INT(((CROQUIS!$C$98)-CROQUIS!$C$107)/MAX((CROQUIS!$C$129*MAX(1,CEILING((INT(((CROQUIS!$C$98)-CROQUIS!$C$107)/MAX(CROQUIS!$C$129,1))+1)/80,1))),1))+1)-1)*(CROQUIS!$C$129*MAX(1,CEILING((INT(((CROQUIS!$C$98)-CROQUIS!$C$107)/MAX(CROQUIS!$C$129,1))+1)/80,1))))/2)+MIN(INT(($A279-1)/5),MAX((MAX(1,INT(((CROQUIS!$C$98)-CROQUIS!$C$107)/MAX((CROQUIS!$C$129*MAX(1,CEILING((INT(((CROQUIS!$C$98)-CROQUIS!$C$107)/MAX(CROQUIS!$C$129,1))+1)/80,1))),1))+1))-1,0))*(CROQUIS!$C$129*MAX(1,CEILING((INT(((CROQUIS!$C$98)-CROQUIS!$C$107)/MAX(CROQUIS!$C$129,1))+1)/80,1))))))*CROQUIS!$C$159)+IF(CROQUIS!$C$92="X",0,0)),-1000)</f>
        <v>-1000</v>
      </c>
      <c r="BO279">
        <f>IF(AND(CROQUIS!$C$88=1,CROQUIS!$C$129&gt;0),((CROQUIS!$C$161+(IF(CROQUIS!$C$92="X",((CROQUIS!$C$107/2+(((CROQUIS!$C$98)-CROQUIS!$C$107)-(MAX(1,INT(((CROQUIS!$C$98)-CROQUIS!$C$107)/MAX((CROQUIS!$C$129*MAX(1,CEILING((INT(((CROQUIS!$C$98)-CROQUIS!$C$107)/MAX(CROQUIS!$C$129,1))+1)/80,1))),1))+1)-1)*(CROQUIS!$C$129*MAX(1,CEILING((INT(((CROQUIS!$C$98)-CROQUIS!$C$107)/MAX(CROQUIS!$C$129,1))+1)/80,1))))/2)+MIN(INT(($A279-1)/5),MAX((MAX(1,INT(((CROQUIS!$C$98)-CROQUIS!$C$107)/MAX((CROQUIS!$C$129*MAX(1,CEILING((INT(((CROQUIS!$C$98)-CROQUIS!$C$107)/MAX(CROQUIS!$C$129,1))+1)/80,1))),1))+1))-1,0))*(CROQUIS!$C$129*MAX(1,CEILING((INT(((CROQUIS!$C$98)-CROQUIS!$C$107)/MAX(CROQUIS!$C$129,1))+1)/80,1)))),CHOOSE(IF(INT(($A279-1)/5)&gt;MAX((MAX(1,INT(((CROQUIS!$C$98)-CROQUIS!$C$107)/MAX((CROQUIS!$C$129*MAX(1,CEILING((INT(((CROQUIS!$C$98)-CROQUIS!$C$107)/MAX(CROQUIS!$C$129,1))+1)/80,1))),1))+1))-1,0),0,MOD($A279-1,5))+1,0,2,CROQUIS!$C$97-2,2,0)))*CROQUIS!$C$159)+IF(CROQUIS!$C$92="X",0,0)),-1000)</f>
        <v>-1000</v>
      </c>
      <c r="BP279">
        <f>IF(AND(CROQUIS!$C$88=1,CROQUIS!$C$137&gt;0),((CROQUIS!$C$160+(IF(CROQUIS!$C$92="X",((CROQUIS!$C$107/2+(((CROQUIS!$C$97)-CROQUIS!$C$107)-(MAX(1,INT(((CROQUIS!$C$97)-CROQUIS!$C$107)/MAX((CROQUIS!$C$137*MAX(1,CEILING((INT(((CROQUIS!$C$97)-CROQUIS!$C$107)/MAX(CROQUIS!$C$137,1))+1)/80,1))),1))+1)-1)*(CROQUIS!$C$137*MAX(1,CEILING((INT(((CROQUIS!$C$97)-CROQUIS!$C$107)/MAX(CROQUIS!$C$137,1))+1)/80,1))))/2)+MIN(INT(($A279-1)/5),MAX((MAX(1,INT(((CROQUIS!$C$97)-CROQUIS!$C$107)/MAX((CROQUIS!$C$137*MAX(1,CEILING((INT(((CROQUIS!$C$97)-CROQUIS!$C$107)/MAX(CROQUIS!$C$137,1))+1)/80,1))),1))+1))-1,0))*(CROQUIS!$C$137*MAX(1,CEILING((INT(((CROQUIS!$C$97)-CROQUIS!$C$107)/MAX(CROQUIS!$C$137,1))+1)/80,1)))),CHOOSE(IF(INT(($A279-1)/5)&gt;MAX((MAX(1,INT(((CROQUIS!$C$97)-CROQUIS!$C$107)/MAX((CROQUIS!$C$137*MAX(1,CEILING((INT(((CROQUIS!$C$97)-CROQUIS!$C$107)/MAX(CROQUIS!$C$137,1))+1)/80,1))),1))+1))-1,0),0,MOD($A279-1,5))+1,0,2,CROQUIS!$C$98-2,2,0)))*CROQUIS!$C$159)+IF(CROQUIS!$C$92="X",0,0)),-1000)</f>
        <v>-1000</v>
      </c>
      <c r="BQ279">
        <f>IF(AND(CROQUIS!$C$88=1,CROQUIS!$C$137&gt;0),((CROQUIS!$C$161+(IF(CROQUIS!$C$92="X",CHOOSE(IF(INT(($A279-1)/5)&gt;MAX((MAX(1,INT(((CROQUIS!$C$97)-CROQUIS!$C$107)/MAX((CROQUIS!$C$137*MAX(1,CEILING((INT(((CROQUIS!$C$97)-CROQUIS!$C$107)/MAX(CROQUIS!$C$137,1))+1)/80,1))),1))+1))-1,0),0,MOD($A279-1,5))+1,0,2,CROQUIS!$C$98-2,2,0),((CROQUIS!$C$107/2+(((CROQUIS!$C$97)-CROQUIS!$C$107)-(MAX(1,INT(((CROQUIS!$C$97)-CROQUIS!$C$107)/MAX((CROQUIS!$C$137*MAX(1,CEILING((INT(((CROQUIS!$C$97)-CROQUIS!$C$107)/MAX(CROQUIS!$C$137,1))+1)/80,1))),1))+1)-1)*(CROQUIS!$C$137*MAX(1,CEILING((INT(((CROQUIS!$C$97)-CROQUIS!$C$107)/MAX(CROQUIS!$C$137,1))+1)/80,1))))/2)+MIN(INT(($A279-1)/5),MAX((MAX(1,INT(((CROQUIS!$C$97)-CROQUIS!$C$107)/MAX((CROQUIS!$C$137*MAX(1,CEILING((INT(((CROQUIS!$C$97)-CROQUIS!$C$107)/MAX(CROQUIS!$C$137,1))+1)/80,1))),1))+1))-1,0))*(CROQUIS!$C$137*MAX(1,CEILING((INT(((CROQUIS!$C$97)-CROQUIS!$C$107)/MAX(CROQUIS!$C$137,1))+1)/80,1))))))*CROQUIS!$C$159)+IF(CROQUIS!$C$92="X",0,0)),-1000)</f>
        <v>-1000</v>
      </c>
      <c r="BR279">
        <f>IF(AND(CROQUIS!$C$88=1,CROQUIS!$C$91=0,CROQUIS!$C$133&gt;0,OR(CROQUIS!$C$103=1,CROQUIS!$C$145=1)),((CROQUIS!$C$160+(IF(CROQUIS!$C$92="X",CHOOSE(IF(INT(($A279-1)/5)&gt;MAX((MAX(1,INT(((CROQUIS!$C$98)-CROQUIS!$C$107)/MAX((CROQUIS!$C$133*MAX(1,CEILING((INT(((CROQUIS!$C$98)-CROQUIS!$C$107)/MAX(CROQUIS!$C$133,1))+1)/80,1))),1))+1))-1,0),0,MOD($A279-1,5))+1,0,IF(CROQUIS!$C$103=1,-12,2),CROQUIS!$C$107/2+CROQUIS!$C$143,IF(CROQUIS!$C$103=1,-12,2),0),((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BS2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+1,0,IF(CROQUIS!$C$103=1,-12,2),CROQUIS!$C$107/2+CROQUIS!$C$143,IF(CROQUIS!$C$103=1,-12,2),0)))*CROQUIS!$C$159)+IF(CROQUIS!$C$92="X",0.8,0)),-1000)</f>
        <v>-1000</v>
      </c>
      <c r="BT279">
        <f>IF(AND(CROQUIS!$C$88=1,CROQUIS!$C$91=0,CROQUIS!$C$133&gt;0,OR(CROQUIS!$C$104=1,CROQUIS!$C$145=1)),((CROQUIS!$C$160+(IF(CROQUIS!$C$92="X",CHOOSE(IF(INT(($A279-1)/5)&gt;MAX((MAX(1,INT(((CROQUIS!$C$98)-CROQUIS!$C$107)/MAX((CROQUIS!$C$133*MAX(1,CEILING((INT(((CROQUIS!$C$98)-CROQUIS!$C$107)/MAX(CROQUIS!$C$133,1))+1)/80,1))),1))+1))-1,0),0,MOD($A279-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BU2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CROQUIS!$C$97,CROQUIS!$C$97-CROQUIS!$C$107/2-CROQUIS!$C$143,IF(CROQUIS!$C$104=1,CROQUIS!$C$97+12,CROQUIS!$C$97-2),CROQUIS!$C$97-CROQUIS!$C$107/2-CROQUIS!$C$143,CROQUIS!$C$97)))*CROQUIS!$C$159)+IF(CROQUIS!$C$92="X",0.8,0)),-1000)</f>
        <v>-1000</v>
      </c>
      <c r="BV2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HOOSE(IF(INT(($A279-1)/5)&gt;MAX((MAX(1,INT(((CROQUIS!$C$97)-CROQUIS!$C$107)/MAX((CROQUIS!$C$141*MAX(1,CEILING((INT(((CROQUIS!$C$97)-CROQUIS!$C$107)/MAX(CROQUIS!$C$141,1))+1)/80,1))),1))+1))-1,0),0,MOD($A279-1,5))+1,0,IF(CROQUIS!$C$105=1,-12,2),CROQUIS!$C$107/2+CROQUIS!$C$144,IF(CROQUIS!$C$105=1,-12,2),0)))*CROQUIS!$C$159)+IF(CROQUIS!$C$92="X",0.8,0)),-1000)</f>
        <v>-1000</v>
      </c>
      <c r="BW279">
        <f>IF(AND(CROQUIS!$C$88=1,CROQUIS!$C$91=0,CROQUIS!$C$141&gt;0,OR(CROQUIS!$C$105=1,CROQUIS!$C$146=1)),((CROQUIS!$C$161+(IF(CROQUIS!$C$92="X",CHOOSE(IF(INT(($A279-1)/5)&gt;MAX((MAX(1,INT(((CROQUIS!$C$97)-CROQUIS!$C$107)/MAX((CROQUIS!$C$141*MAX(1,CEILING((INT(((CROQUIS!$C$97)-CROQUIS!$C$107)/MAX(CROQUIS!$C$141,1))+1)/80,1))),1))+1))-1,0),0,MOD($A279-1,5))+1,0,IF(CROQUIS!$C$105=1,-12,2),CROQUIS!$C$107/2+CROQUIS!$C$144,IF(CROQUIS!$C$105=1,-12,2),0),((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ROQUIS!$C$159)+IF(CROQUIS!$C$92="X",0,0.8)),-1000)</f>
        <v>-1000</v>
      </c>
      <c r="BX2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HOOSE(IF(INT(($A279-1)/5)&gt;MAX((MAX(1,INT(((CROQUIS!$C$97)-CROQUIS!$C$107)/MAX((CROQUIS!$C$141*MAX(1,CEILING((INT(((CROQUIS!$C$97)-CROQUIS!$C$107)/MAX(CROQUIS!$C$141,1))+1)/80,1))),1))+1))-1,0),0,MOD($A279-1,5))+1,CROQUIS!$C$98,CROQUIS!$C$98-CROQUIS!$C$107/2-CROQUIS!$C$144,IF(CROQUIS!$C$106=1,CROQUIS!$C$98+12,CROQUIS!$C$98-2),CROQUIS!$C$98-CROQUIS!$C$107/2-CROQUIS!$C$144,CROQUIS!$C$98)))*CROQUIS!$C$159)+IF(CROQUIS!$C$92="X",0.8,0)),-1000)</f>
        <v>-1000</v>
      </c>
      <c r="BY279">
        <f>IF(AND(CROQUIS!$C$88=1,CROQUIS!$C$91=0,CROQUIS!$C$141&gt;0,OR(CROQUIS!$C$106=1,CROQUIS!$C$146=1)),((CROQUIS!$C$161+(IF(CROQUIS!$C$92="X",CHOOSE(IF(INT(($A279-1)/5)&gt;MAX((MAX(1,INT(((CROQUIS!$C$97)-CROQUIS!$C$107)/MAX((CROQUIS!$C$141*MAX(1,CEILING((INT(((CROQUIS!$C$97)-CROQUIS!$C$107)/MAX(CROQUIS!$C$141,1))+1)/80,1))),1))+1))-1,0),0,MOD($A279-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ROQUIS!$C$159)+IF(CROQUIS!$C$92="X",0,0.8)),-1000)</f>
        <v>-1000</v>
      </c>
      <c r="BZ279">
        <f>IF(AND(CROQUIS!$C$88=1,CROQUIS!$C$91=1,CROQUIS!$C$133&gt;0),((CROQUIS!$C$160+(IF(CROQUIS!$C$92="X",CHOOSE(IF(INT(($A279-1)/5)&gt;MAX((MAX(1,INT(((CROQUIS!$C$98)-CROQUIS!$C$107)/MAX((CROQUIS!$C$133*MAX(1,CEILING((INT(((CROQUIS!$C$98)-CROQUIS!$C$107)/MAX(CROQUIS!$C$133,1))+1)/80,1))),1))+1))-1,0),0,MOD($A279-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CA279">
        <f>IF(AND(CROQUIS!$C$88=1,CROQUIS!$C$91=1,CROQUIS!$C$133&gt;0),((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0">
      <c r="A280" t="n">
        <v>273</v>
      </c>
      <c r="BN280">
        <f>IF(AND(CROQUIS!$C$88=1,CROQUIS!$C$129&gt;0),((CROQUIS!$C$160+(IF(CROQUIS!$C$92="X",CHOOSE(IF(INT(($A280-1)/5)&gt;MAX((MAX(1,INT(((CROQUIS!$C$98)-CROQUIS!$C$107)/MAX((CROQUIS!$C$129*MAX(1,CEILING((INT(((CROQUIS!$C$98)-CROQUIS!$C$107)/MAX(CROQUIS!$C$129,1))+1)/80,1))),1))+1))-1,0),0,MOD($A280-1,5))+1,0,2,CROQUIS!$C$97-2,2,0),((CROQUIS!$C$107/2+(((CROQUIS!$C$98)-CROQUIS!$C$107)-(MAX(1,INT(((CROQUIS!$C$98)-CROQUIS!$C$107)/MAX((CROQUIS!$C$129*MAX(1,CEILING((INT(((CROQUIS!$C$98)-CROQUIS!$C$107)/MAX(CROQUIS!$C$129,1))+1)/80,1))),1))+1)-1)*(CROQUIS!$C$129*MAX(1,CEILING((INT(((CROQUIS!$C$98)-CROQUIS!$C$107)/MAX(CROQUIS!$C$129,1))+1)/80,1))))/2)+MIN(INT(($A280-1)/5),MAX((MAX(1,INT(((CROQUIS!$C$98)-CROQUIS!$C$107)/MAX((CROQUIS!$C$129*MAX(1,CEILING((INT(((CROQUIS!$C$98)-CROQUIS!$C$107)/MAX(CROQUIS!$C$129,1))+1)/80,1))),1))+1))-1,0))*(CROQUIS!$C$129*MAX(1,CEILING((INT(((CROQUIS!$C$98)-CROQUIS!$C$107)/MAX(CROQUIS!$C$129,1))+1)/80,1))))))*CROQUIS!$C$159)+IF(CROQUIS!$C$92="X",0,0)),-1000)</f>
        <v>-1000</v>
      </c>
      <c r="BO280">
        <f>IF(AND(CROQUIS!$C$88=1,CROQUIS!$C$129&gt;0),((CROQUIS!$C$161+(IF(CROQUIS!$C$92="X",((CROQUIS!$C$107/2+(((CROQUIS!$C$98)-CROQUIS!$C$107)-(MAX(1,INT(((CROQUIS!$C$98)-CROQUIS!$C$107)/MAX((CROQUIS!$C$129*MAX(1,CEILING((INT(((CROQUIS!$C$98)-CROQUIS!$C$107)/MAX(CROQUIS!$C$129,1))+1)/80,1))),1))+1)-1)*(CROQUIS!$C$129*MAX(1,CEILING((INT(((CROQUIS!$C$98)-CROQUIS!$C$107)/MAX(CROQUIS!$C$129,1))+1)/80,1))))/2)+MIN(INT(($A280-1)/5),MAX((MAX(1,INT(((CROQUIS!$C$98)-CROQUIS!$C$107)/MAX((CROQUIS!$C$129*MAX(1,CEILING((INT(((CROQUIS!$C$98)-CROQUIS!$C$107)/MAX(CROQUIS!$C$129,1))+1)/80,1))),1))+1))-1,0))*(CROQUIS!$C$129*MAX(1,CEILING((INT(((CROQUIS!$C$98)-CROQUIS!$C$107)/MAX(CROQUIS!$C$129,1))+1)/80,1)))),CHOOSE(IF(INT(($A280-1)/5)&gt;MAX((MAX(1,INT(((CROQUIS!$C$98)-CROQUIS!$C$107)/MAX((CROQUIS!$C$129*MAX(1,CEILING((INT(((CROQUIS!$C$98)-CROQUIS!$C$107)/MAX(CROQUIS!$C$129,1))+1)/80,1))),1))+1))-1,0),0,MOD($A280-1,5))+1,0,2,CROQUIS!$C$97-2,2,0)))*CROQUIS!$C$159)+IF(CROQUIS!$C$92="X",0,0)),-1000)</f>
        <v>-1000</v>
      </c>
      <c r="BP280">
        <f>IF(AND(CROQUIS!$C$88=1,CROQUIS!$C$137&gt;0),((CROQUIS!$C$160+(IF(CROQUIS!$C$92="X",((CROQUIS!$C$107/2+(((CROQUIS!$C$97)-CROQUIS!$C$107)-(MAX(1,INT(((CROQUIS!$C$97)-CROQUIS!$C$107)/MAX((CROQUIS!$C$137*MAX(1,CEILING((INT(((CROQUIS!$C$97)-CROQUIS!$C$107)/MAX(CROQUIS!$C$137,1))+1)/80,1))),1))+1)-1)*(CROQUIS!$C$137*MAX(1,CEILING((INT(((CROQUIS!$C$97)-CROQUIS!$C$107)/MAX(CROQUIS!$C$137,1))+1)/80,1))))/2)+MIN(INT(($A280-1)/5),MAX((MAX(1,INT(((CROQUIS!$C$97)-CROQUIS!$C$107)/MAX((CROQUIS!$C$137*MAX(1,CEILING((INT(((CROQUIS!$C$97)-CROQUIS!$C$107)/MAX(CROQUIS!$C$137,1))+1)/80,1))),1))+1))-1,0))*(CROQUIS!$C$137*MAX(1,CEILING((INT(((CROQUIS!$C$97)-CROQUIS!$C$107)/MAX(CROQUIS!$C$137,1))+1)/80,1)))),CHOOSE(IF(INT(($A280-1)/5)&gt;MAX((MAX(1,INT(((CROQUIS!$C$97)-CROQUIS!$C$107)/MAX((CROQUIS!$C$137*MAX(1,CEILING((INT(((CROQUIS!$C$97)-CROQUIS!$C$107)/MAX(CROQUIS!$C$137,1))+1)/80,1))),1))+1))-1,0),0,MOD($A280-1,5))+1,0,2,CROQUIS!$C$98-2,2,0)))*CROQUIS!$C$159)+IF(CROQUIS!$C$92="X",0,0)),-1000)</f>
        <v>-1000</v>
      </c>
      <c r="BQ280">
        <f>IF(AND(CROQUIS!$C$88=1,CROQUIS!$C$137&gt;0),((CROQUIS!$C$161+(IF(CROQUIS!$C$92="X",CHOOSE(IF(INT(($A280-1)/5)&gt;MAX((MAX(1,INT(((CROQUIS!$C$97)-CROQUIS!$C$107)/MAX((CROQUIS!$C$137*MAX(1,CEILING((INT(((CROQUIS!$C$97)-CROQUIS!$C$107)/MAX(CROQUIS!$C$137,1))+1)/80,1))),1))+1))-1,0),0,MOD($A280-1,5))+1,0,2,CROQUIS!$C$98-2,2,0),((CROQUIS!$C$107/2+(((CROQUIS!$C$97)-CROQUIS!$C$107)-(MAX(1,INT(((CROQUIS!$C$97)-CROQUIS!$C$107)/MAX((CROQUIS!$C$137*MAX(1,CEILING((INT(((CROQUIS!$C$97)-CROQUIS!$C$107)/MAX(CROQUIS!$C$137,1))+1)/80,1))),1))+1)-1)*(CROQUIS!$C$137*MAX(1,CEILING((INT(((CROQUIS!$C$97)-CROQUIS!$C$107)/MAX(CROQUIS!$C$137,1))+1)/80,1))))/2)+MIN(INT(($A280-1)/5),MAX((MAX(1,INT(((CROQUIS!$C$97)-CROQUIS!$C$107)/MAX((CROQUIS!$C$137*MAX(1,CEILING((INT(((CROQUIS!$C$97)-CROQUIS!$C$107)/MAX(CROQUIS!$C$137,1))+1)/80,1))),1))+1))-1,0))*(CROQUIS!$C$137*MAX(1,CEILING((INT(((CROQUIS!$C$97)-CROQUIS!$C$107)/MAX(CROQUIS!$C$137,1))+1)/80,1))))))*CROQUIS!$C$159)+IF(CROQUIS!$C$92="X",0,0)),-1000)</f>
        <v>-1000</v>
      </c>
      <c r="BR280">
        <f>IF(AND(CROQUIS!$C$88=1,CROQUIS!$C$91=0,CROQUIS!$C$133&gt;0,OR(CROQUIS!$C$103=1,CROQUIS!$C$145=1)),((CROQUIS!$C$160+(IF(CROQUIS!$C$92="X",CHOOSE(IF(INT(($A280-1)/5)&gt;MAX((MAX(1,INT(((CROQUIS!$C$98)-CROQUIS!$C$107)/MAX((CROQUIS!$C$133*MAX(1,CEILING((INT(((CROQUIS!$C$98)-CROQUIS!$C$107)/MAX(CROQUIS!$C$133,1))+1)/80,1))),1))+1))-1,0),0,MOD($A280-1,5))+1,0,IF(CROQUIS!$C$103=1,-12,2),CROQUIS!$C$107/2+CROQUIS!$C$143,IF(CROQUIS!$C$103=1,-12,2),0),((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BS2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+1,0,IF(CROQUIS!$C$103=1,-12,2),CROQUIS!$C$107/2+CROQUIS!$C$143,IF(CROQUIS!$C$103=1,-12,2),0)))*CROQUIS!$C$159)+IF(CROQUIS!$C$92="X",0.8,0)),-1000)</f>
        <v>-1000</v>
      </c>
      <c r="BT280">
        <f>IF(AND(CROQUIS!$C$88=1,CROQUIS!$C$91=0,CROQUIS!$C$133&gt;0,OR(CROQUIS!$C$104=1,CROQUIS!$C$145=1)),((CROQUIS!$C$160+(IF(CROQUIS!$C$92="X",CHOOSE(IF(INT(($A280-1)/5)&gt;MAX((MAX(1,INT(((CROQUIS!$C$98)-CROQUIS!$C$107)/MAX((CROQUIS!$C$133*MAX(1,CEILING((INT(((CROQUIS!$C$98)-CROQUIS!$C$107)/MAX(CROQUIS!$C$133,1))+1)/80,1))),1))+1))-1,0),0,MOD($A280-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BU2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CROQUIS!$C$97,CROQUIS!$C$97-CROQUIS!$C$107/2-CROQUIS!$C$143,IF(CROQUIS!$C$104=1,CROQUIS!$C$97+12,CROQUIS!$C$97-2),CROQUIS!$C$97-CROQUIS!$C$107/2-CROQUIS!$C$143,CROQUIS!$C$97)))*CROQUIS!$C$159)+IF(CROQUIS!$C$92="X",0.8,0)),-1000)</f>
        <v>-1000</v>
      </c>
      <c r="BV2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HOOSE(IF(INT(($A280-1)/5)&gt;MAX((MAX(1,INT(((CROQUIS!$C$97)-CROQUIS!$C$107)/MAX((CROQUIS!$C$141*MAX(1,CEILING((INT(((CROQUIS!$C$97)-CROQUIS!$C$107)/MAX(CROQUIS!$C$141,1))+1)/80,1))),1))+1))-1,0),0,MOD($A280-1,5))+1,0,IF(CROQUIS!$C$105=1,-12,2),CROQUIS!$C$107/2+CROQUIS!$C$144,IF(CROQUIS!$C$105=1,-12,2),0)))*CROQUIS!$C$159)+IF(CROQUIS!$C$92="X",0.8,0)),-1000)</f>
        <v>-1000</v>
      </c>
      <c r="BW280">
        <f>IF(AND(CROQUIS!$C$88=1,CROQUIS!$C$91=0,CROQUIS!$C$141&gt;0,OR(CROQUIS!$C$105=1,CROQUIS!$C$146=1)),((CROQUIS!$C$161+(IF(CROQUIS!$C$92="X",CHOOSE(IF(INT(($A280-1)/5)&gt;MAX((MAX(1,INT(((CROQUIS!$C$97)-CROQUIS!$C$107)/MAX((CROQUIS!$C$141*MAX(1,CEILING((INT(((CROQUIS!$C$97)-CROQUIS!$C$107)/MAX(CROQUIS!$C$141,1))+1)/80,1))),1))+1))-1,0),0,MOD($A280-1,5))+1,0,IF(CROQUIS!$C$105=1,-12,2),CROQUIS!$C$107/2+CROQUIS!$C$144,IF(CROQUIS!$C$105=1,-12,2),0),((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ROQUIS!$C$159)+IF(CROQUIS!$C$92="X",0,0.8)),-1000)</f>
        <v>-1000</v>
      </c>
      <c r="BX2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HOOSE(IF(INT(($A280-1)/5)&gt;MAX((MAX(1,INT(((CROQUIS!$C$97)-CROQUIS!$C$107)/MAX((CROQUIS!$C$141*MAX(1,CEILING((INT(((CROQUIS!$C$97)-CROQUIS!$C$107)/MAX(CROQUIS!$C$141,1))+1)/80,1))),1))+1))-1,0),0,MOD($A280-1,5))+1,CROQUIS!$C$98,CROQUIS!$C$98-CROQUIS!$C$107/2-CROQUIS!$C$144,IF(CROQUIS!$C$106=1,CROQUIS!$C$98+12,CROQUIS!$C$98-2),CROQUIS!$C$98-CROQUIS!$C$107/2-CROQUIS!$C$144,CROQUIS!$C$98)))*CROQUIS!$C$159)+IF(CROQUIS!$C$92="X",0.8,0)),-1000)</f>
        <v>-1000</v>
      </c>
      <c r="BY280">
        <f>IF(AND(CROQUIS!$C$88=1,CROQUIS!$C$91=0,CROQUIS!$C$141&gt;0,OR(CROQUIS!$C$106=1,CROQUIS!$C$146=1)),((CROQUIS!$C$161+(IF(CROQUIS!$C$92="X",CHOOSE(IF(INT(($A280-1)/5)&gt;MAX((MAX(1,INT(((CROQUIS!$C$97)-CROQUIS!$C$107)/MAX((CROQUIS!$C$141*MAX(1,CEILING((INT(((CROQUIS!$C$97)-CROQUIS!$C$107)/MAX(CROQUIS!$C$141,1))+1)/80,1))),1))+1))-1,0),0,MOD($A280-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ROQUIS!$C$159)+IF(CROQUIS!$C$92="X",0,0.8)),-1000)</f>
        <v>-1000</v>
      </c>
      <c r="BZ280">
        <f>IF(AND(CROQUIS!$C$88=1,CROQUIS!$C$91=1,CROQUIS!$C$133&gt;0),((CROQUIS!$C$160+(IF(CROQUIS!$C$92="X",CHOOSE(IF(INT(($A280-1)/5)&gt;MAX((MAX(1,INT(((CROQUIS!$C$98)-CROQUIS!$C$107)/MAX((CROQUIS!$C$133*MAX(1,CEILING((INT(((CROQUIS!$C$98)-CROQUIS!$C$107)/MAX(CROQUIS!$C$133,1))+1)/80,1))),1))+1))-1,0),0,MOD($A280-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CA280">
        <f>IF(AND(CROQUIS!$C$88=1,CROQUIS!$C$91=1,CROQUIS!$C$133&gt;0),((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1">
      <c r="A281" t="n">
        <v>274</v>
      </c>
      <c r="BN281">
        <f>IF(AND(CROQUIS!$C$88=1,CROQUIS!$C$129&gt;0),((CROQUIS!$C$160+(IF(CROQUIS!$C$92="X",CHOOSE(IF(INT(($A281-1)/5)&gt;MAX((MAX(1,INT(((CROQUIS!$C$98)-CROQUIS!$C$107)/MAX((CROQUIS!$C$129*MAX(1,CEILING((INT(((CROQUIS!$C$98)-CROQUIS!$C$107)/MAX(CROQUIS!$C$129,1))+1)/80,1))),1))+1))-1,0),0,MOD($A281-1,5))+1,0,2,CROQUIS!$C$97-2,2,0),((CROQUIS!$C$107/2+(((CROQUIS!$C$98)-CROQUIS!$C$107)-(MAX(1,INT(((CROQUIS!$C$98)-CROQUIS!$C$107)/MAX((CROQUIS!$C$129*MAX(1,CEILING((INT(((CROQUIS!$C$98)-CROQUIS!$C$107)/MAX(CROQUIS!$C$129,1))+1)/80,1))),1))+1)-1)*(CROQUIS!$C$129*MAX(1,CEILING((INT(((CROQUIS!$C$98)-CROQUIS!$C$107)/MAX(CROQUIS!$C$129,1))+1)/80,1))))/2)+MIN(INT(($A281-1)/5),MAX((MAX(1,INT(((CROQUIS!$C$98)-CROQUIS!$C$107)/MAX((CROQUIS!$C$129*MAX(1,CEILING((INT(((CROQUIS!$C$98)-CROQUIS!$C$107)/MAX(CROQUIS!$C$129,1))+1)/80,1))),1))+1))-1,0))*(CROQUIS!$C$129*MAX(1,CEILING((INT(((CROQUIS!$C$98)-CROQUIS!$C$107)/MAX(CROQUIS!$C$129,1))+1)/80,1))))))*CROQUIS!$C$159)+IF(CROQUIS!$C$92="X",0,0)),-1000)</f>
        <v>-1000</v>
      </c>
      <c r="BO281">
        <f>IF(AND(CROQUIS!$C$88=1,CROQUIS!$C$129&gt;0),((CROQUIS!$C$161+(IF(CROQUIS!$C$92="X",((CROQUIS!$C$107/2+(((CROQUIS!$C$98)-CROQUIS!$C$107)-(MAX(1,INT(((CROQUIS!$C$98)-CROQUIS!$C$107)/MAX((CROQUIS!$C$129*MAX(1,CEILING((INT(((CROQUIS!$C$98)-CROQUIS!$C$107)/MAX(CROQUIS!$C$129,1))+1)/80,1))),1))+1)-1)*(CROQUIS!$C$129*MAX(1,CEILING((INT(((CROQUIS!$C$98)-CROQUIS!$C$107)/MAX(CROQUIS!$C$129,1))+1)/80,1))))/2)+MIN(INT(($A281-1)/5),MAX((MAX(1,INT(((CROQUIS!$C$98)-CROQUIS!$C$107)/MAX((CROQUIS!$C$129*MAX(1,CEILING((INT(((CROQUIS!$C$98)-CROQUIS!$C$107)/MAX(CROQUIS!$C$129,1))+1)/80,1))),1))+1))-1,0))*(CROQUIS!$C$129*MAX(1,CEILING((INT(((CROQUIS!$C$98)-CROQUIS!$C$107)/MAX(CROQUIS!$C$129,1))+1)/80,1)))),CHOOSE(IF(INT(($A281-1)/5)&gt;MAX((MAX(1,INT(((CROQUIS!$C$98)-CROQUIS!$C$107)/MAX((CROQUIS!$C$129*MAX(1,CEILING((INT(((CROQUIS!$C$98)-CROQUIS!$C$107)/MAX(CROQUIS!$C$129,1))+1)/80,1))),1))+1))-1,0),0,MOD($A281-1,5))+1,0,2,CROQUIS!$C$97-2,2,0)))*CROQUIS!$C$159)+IF(CROQUIS!$C$92="X",0,0)),-1000)</f>
        <v>-1000</v>
      </c>
      <c r="BP281">
        <f>IF(AND(CROQUIS!$C$88=1,CROQUIS!$C$137&gt;0),((CROQUIS!$C$160+(IF(CROQUIS!$C$92="X",((CROQUIS!$C$107/2+(((CROQUIS!$C$97)-CROQUIS!$C$107)-(MAX(1,INT(((CROQUIS!$C$97)-CROQUIS!$C$107)/MAX((CROQUIS!$C$137*MAX(1,CEILING((INT(((CROQUIS!$C$97)-CROQUIS!$C$107)/MAX(CROQUIS!$C$137,1))+1)/80,1))),1))+1)-1)*(CROQUIS!$C$137*MAX(1,CEILING((INT(((CROQUIS!$C$97)-CROQUIS!$C$107)/MAX(CROQUIS!$C$137,1))+1)/80,1))))/2)+MIN(INT(($A281-1)/5),MAX((MAX(1,INT(((CROQUIS!$C$97)-CROQUIS!$C$107)/MAX((CROQUIS!$C$137*MAX(1,CEILING((INT(((CROQUIS!$C$97)-CROQUIS!$C$107)/MAX(CROQUIS!$C$137,1))+1)/80,1))),1))+1))-1,0))*(CROQUIS!$C$137*MAX(1,CEILING((INT(((CROQUIS!$C$97)-CROQUIS!$C$107)/MAX(CROQUIS!$C$137,1))+1)/80,1)))),CHOOSE(IF(INT(($A281-1)/5)&gt;MAX((MAX(1,INT(((CROQUIS!$C$97)-CROQUIS!$C$107)/MAX((CROQUIS!$C$137*MAX(1,CEILING((INT(((CROQUIS!$C$97)-CROQUIS!$C$107)/MAX(CROQUIS!$C$137,1))+1)/80,1))),1))+1))-1,0),0,MOD($A281-1,5))+1,0,2,CROQUIS!$C$98-2,2,0)))*CROQUIS!$C$159)+IF(CROQUIS!$C$92="X",0,0)),-1000)</f>
        <v>-1000</v>
      </c>
      <c r="BQ281">
        <f>IF(AND(CROQUIS!$C$88=1,CROQUIS!$C$137&gt;0),((CROQUIS!$C$161+(IF(CROQUIS!$C$92="X",CHOOSE(IF(INT(($A281-1)/5)&gt;MAX((MAX(1,INT(((CROQUIS!$C$97)-CROQUIS!$C$107)/MAX((CROQUIS!$C$137*MAX(1,CEILING((INT(((CROQUIS!$C$97)-CROQUIS!$C$107)/MAX(CROQUIS!$C$137,1))+1)/80,1))),1))+1))-1,0),0,MOD($A281-1,5))+1,0,2,CROQUIS!$C$98-2,2,0),((CROQUIS!$C$107/2+(((CROQUIS!$C$97)-CROQUIS!$C$107)-(MAX(1,INT(((CROQUIS!$C$97)-CROQUIS!$C$107)/MAX((CROQUIS!$C$137*MAX(1,CEILING((INT(((CROQUIS!$C$97)-CROQUIS!$C$107)/MAX(CROQUIS!$C$137,1))+1)/80,1))),1))+1)-1)*(CROQUIS!$C$137*MAX(1,CEILING((INT(((CROQUIS!$C$97)-CROQUIS!$C$107)/MAX(CROQUIS!$C$137,1))+1)/80,1))))/2)+MIN(INT(($A281-1)/5),MAX((MAX(1,INT(((CROQUIS!$C$97)-CROQUIS!$C$107)/MAX((CROQUIS!$C$137*MAX(1,CEILING((INT(((CROQUIS!$C$97)-CROQUIS!$C$107)/MAX(CROQUIS!$C$137,1))+1)/80,1))),1))+1))-1,0))*(CROQUIS!$C$137*MAX(1,CEILING((INT(((CROQUIS!$C$97)-CROQUIS!$C$107)/MAX(CROQUIS!$C$137,1))+1)/80,1))))))*CROQUIS!$C$159)+IF(CROQUIS!$C$92="X",0,0)),-1000)</f>
        <v>-1000</v>
      </c>
      <c r="BR281">
        <f>IF(AND(CROQUIS!$C$88=1,CROQUIS!$C$91=0,CROQUIS!$C$133&gt;0,OR(CROQUIS!$C$103=1,CROQUIS!$C$145=1)),((CROQUIS!$C$160+(IF(CROQUIS!$C$92="X",CHOOSE(IF(INT(($A281-1)/5)&gt;MAX((MAX(1,INT(((CROQUIS!$C$98)-CROQUIS!$C$107)/MAX((CROQUIS!$C$133*MAX(1,CEILING((INT(((CROQUIS!$C$98)-CROQUIS!$C$107)/MAX(CROQUIS!$C$133,1))+1)/80,1))),1))+1))-1,0),0,MOD($A281-1,5))+1,0,IF(CROQUIS!$C$103=1,-12,2),CROQUIS!$C$107/2+CROQUIS!$C$143,IF(CROQUIS!$C$103=1,-12,2),0),((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BS2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+1,0,IF(CROQUIS!$C$103=1,-12,2),CROQUIS!$C$107/2+CROQUIS!$C$143,IF(CROQUIS!$C$103=1,-12,2),0)))*CROQUIS!$C$159)+IF(CROQUIS!$C$92="X",0.8,0)),-1000)</f>
        <v>-1000</v>
      </c>
      <c r="BT281">
        <f>IF(AND(CROQUIS!$C$88=1,CROQUIS!$C$91=0,CROQUIS!$C$133&gt;0,OR(CROQUIS!$C$104=1,CROQUIS!$C$145=1)),((CROQUIS!$C$160+(IF(CROQUIS!$C$92="X",CHOOSE(IF(INT(($A281-1)/5)&gt;MAX((MAX(1,INT(((CROQUIS!$C$98)-CROQUIS!$C$107)/MAX((CROQUIS!$C$133*MAX(1,CEILING((INT(((CROQUIS!$C$98)-CROQUIS!$C$107)/MAX(CROQUIS!$C$133,1))+1)/80,1))),1))+1))-1,0),0,MOD($A281-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BU2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CROQUIS!$C$97,CROQUIS!$C$97-CROQUIS!$C$107/2-CROQUIS!$C$143,IF(CROQUIS!$C$104=1,CROQUIS!$C$97+12,CROQUIS!$C$97-2),CROQUIS!$C$97-CROQUIS!$C$107/2-CROQUIS!$C$143,CROQUIS!$C$97)))*CROQUIS!$C$159)+IF(CROQUIS!$C$92="X",0.8,0)),-1000)</f>
        <v>-1000</v>
      </c>
      <c r="BV2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HOOSE(IF(INT(($A281-1)/5)&gt;MAX((MAX(1,INT(((CROQUIS!$C$97)-CROQUIS!$C$107)/MAX((CROQUIS!$C$141*MAX(1,CEILING((INT(((CROQUIS!$C$97)-CROQUIS!$C$107)/MAX(CROQUIS!$C$141,1))+1)/80,1))),1))+1))-1,0),0,MOD($A281-1,5))+1,0,IF(CROQUIS!$C$105=1,-12,2),CROQUIS!$C$107/2+CROQUIS!$C$144,IF(CROQUIS!$C$105=1,-12,2),0)))*CROQUIS!$C$159)+IF(CROQUIS!$C$92="X",0.8,0)),-1000)</f>
        <v>-1000</v>
      </c>
      <c r="BW281">
        <f>IF(AND(CROQUIS!$C$88=1,CROQUIS!$C$91=0,CROQUIS!$C$141&gt;0,OR(CROQUIS!$C$105=1,CROQUIS!$C$146=1)),((CROQUIS!$C$161+(IF(CROQUIS!$C$92="X",CHOOSE(IF(INT(($A281-1)/5)&gt;MAX((MAX(1,INT(((CROQUIS!$C$97)-CROQUIS!$C$107)/MAX((CROQUIS!$C$141*MAX(1,CEILING((INT(((CROQUIS!$C$97)-CROQUIS!$C$107)/MAX(CROQUIS!$C$141,1))+1)/80,1))),1))+1))-1,0),0,MOD($A281-1,5))+1,0,IF(CROQUIS!$C$105=1,-12,2),CROQUIS!$C$107/2+CROQUIS!$C$144,IF(CROQUIS!$C$105=1,-12,2),0),((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ROQUIS!$C$159)+IF(CROQUIS!$C$92="X",0,0.8)),-1000)</f>
        <v>-1000</v>
      </c>
      <c r="BX2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HOOSE(IF(INT(($A281-1)/5)&gt;MAX((MAX(1,INT(((CROQUIS!$C$97)-CROQUIS!$C$107)/MAX((CROQUIS!$C$141*MAX(1,CEILING((INT(((CROQUIS!$C$97)-CROQUIS!$C$107)/MAX(CROQUIS!$C$141,1))+1)/80,1))),1))+1))-1,0),0,MOD($A281-1,5))+1,CROQUIS!$C$98,CROQUIS!$C$98-CROQUIS!$C$107/2-CROQUIS!$C$144,IF(CROQUIS!$C$106=1,CROQUIS!$C$98+12,CROQUIS!$C$98-2),CROQUIS!$C$98-CROQUIS!$C$107/2-CROQUIS!$C$144,CROQUIS!$C$98)))*CROQUIS!$C$159)+IF(CROQUIS!$C$92="X",0.8,0)),-1000)</f>
        <v>-1000</v>
      </c>
      <c r="BY281">
        <f>IF(AND(CROQUIS!$C$88=1,CROQUIS!$C$91=0,CROQUIS!$C$141&gt;0,OR(CROQUIS!$C$106=1,CROQUIS!$C$146=1)),((CROQUIS!$C$161+(IF(CROQUIS!$C$92="X",CHOOSE(IF(INT(($A281-1)/5)&gt;MAX((MAX(1,INT(((CROQUIS!$C$97)-CROQUIS!$C$107)/MAX((CROQUIS!$C$141*MAX(1,CEILING((INT(((CROQUIS!$C$97)-CROQUIS!$C$107)/MAX(CROQUIS!$C$141,1))+1)/80,1))),1))+1))-1,0),0,MOD($A281-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ROQUIS!$C$159)+IF(CROQUIS!$C$92="X",0,0.8)),-1000)</f>
        <v>-1000</v>
      </c>
      <c r="BZ281">
        <f>IF(AND(CROQUIS!$C$88=1,CROQUIS!$C$91=1,CROQUIS!$C$133&gt;0),((CROQUIS!$C$160+(IF(CROQUIS!$C$92="X",CHOOSE(IF(INT(($A281-1)/5)&gt;MAX((MAX(1,INT(((CROQUIS!$C$98)-CROQUIS!$C$107)/MAX((CROQUIS!$C$133*MAX(1,CEILING((INT(((CROQUIS!$C$98)-CROQUIS!$C$107)/MAX(CROQUIS!$C$133,1))+1)/80,1))),1))+1))-1,0),0,MOD($A281-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CA281">
        <f>IF(AND(CROQUIS!$C$88=1,CROQUIS!$C$91=1,CROQUIS!$C$133&gt;0),((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2">
      <c r="A282" t="n">
        <v>275</v>
      </c>
      <c r="BN282">
        <f>IF(AND(CROQUIS!$C$88=1,CROQUIS!$C$129&gt;0),((CROQUIS!$C$160+(IF(CROQUIS!$C$92="X",CHOOSE(IF(INT(($A282-1)/5)&gt;MAX((MAX(1,INT(((CROQUIS!$C$98)-CROQUIS!$C$107)/MAX((CROQUIS!$C$129*MAX(1,CEILING((INT(((CROQUIS!$C$98)-CROQUIS!$C$107)/MAX(CROQUIS!$C$129,1))+1)/80,1))),1))+1))-1,0),0,MOD($A282-1,5))+1,0,2,CROQUIS!$C$97-2,2,0),((CROQUIS!$C$107/2+(((CROQUIS!$C$98)-CROQUIS!$C$107)-(MAX(1,INT(((CROQUIS!$C$98)-CROQUIS!$C$107)/MAX((CROQUIS!$C$129*MAX(1,CEILING((INT(((CROQUIS!$C$98)-CROQUIS!$C$107)/MAX(CROQUIS!$C$129,1))+1)/80,1))),1))+1)-1)*(CROQUIS!$C$129*MAX(1,CEILING((INT(((CROQUIS!$C$98)-CROQUIS!$C$107)/MAX(CROQUIS!$C$129,1))+1)/80,1))))/2)+MIN(INT(($A282-1)/5),MAX((MAX(1,INT(((CROQUIS!$C$98)-CROQUIS!$C$107)/MAX((CROQUIS!$C$129*MAX(1,CEILING((INT(((CROQUIS!$C$98)-CROQUIS!$C$107)/MAX(CROQUIS!$C$129,1))+1)/80,1))),1))+1))-1,0))*(CROQUIS!$C$129*MAX(1,CEILING((INT(((CROQUIS!$C$98)-CROQUIS!$C$107)/MAX(CROQUIS!$C$129,1))+1)/80,1))))))*CROQUIS!$C$159)+IF(CROQUIS!$C$92="X",0,0)),-1000)</f>
        <v>-1000</v>
      </c>
      <c r="BO282">
        <f>IF(AND(CROQUIS!$C$88=1,CROQUIS!$C$129&gt;0),((CROQUIS!$C$161+(IF(CROQUIS!$C$92="X",((CROQUIS!$C$107/2+(((CROQUIS!$C$98)-CROQUIS!$C$107)-(MAX(1,INT(((CROQUIS!$C$98)-CROQUIS!$C$107)/MAX((CROQUIS!$C$129*MAX(1,CEILING((INT(((CROQUIS!$C$98)-CROQUIS!$C$107)/MAX(CROQUIS!$C$129,1))+1)/80,1))),1))+1)-1)*(CROQUIS!$C$129*MAX(1,CEILING((INT(((CROQUIS!$C$98)-CROQUIS!$C$107)/MAX(CROQUIS!$C$129,1))+1)/80,1))))/2)+MIN(INT(($A282-1)/5),MAX((MAX(1,INT(((CROQUIS!$C$98)-CROQUIS!$C$107)/MAX((CROQUIS!$C$129*MAX(1,CEILING((INT(((CROQUIS!$C$98)-CROQUIS!$C$107)/MAX(CROQUIS!$C$129,1))+1)/80,1))),1))+1))-1,0))*(CROQUIS!$C$129*MAX(1,CEILING((INT(((CROQUIS!$C$98)-CROQUIS!$C$107)/MAX(CROQUIS!$C$129,1))+1)/80,1)))),CHOOSE(IF(INT(($A282-1)/5)&gt;MAX((MAX(1,INT(((CROQUIS!$C$98)-CROQUIS!$C$107)/MAX((CROQUIS!$C$129*MAX(1,CEILING((INT(((CROQUIS!$C$98)-CROQUIS!$C$107)/MAX(CROQUIS!$C$129,1))+1)/80,1))),1))+1))-1,0),0,MOD($A282-1,5))+1,0,2,CROQUIS!$C$97-2,2,0)))*CROQUIS!$C$159)+IF(CROQUIS!$C$92="X",0,0)),-1000)</f>
        <v>-1000</v>
      </c>
      <c r="BP282">
        <f>IF(AND(CROQUIS!$C$88=1,CROQUIS!$C$137&gt;0),((CROQUIS!$C$160+(IF(CROQUIS!$C$92="X",((CROQUIS!$C$107/2+(((CROQUIS!$C$97)-CROQUIS!$C$107)-(MAX(1,INT(((CROQUIS!$C$97)-CROQUIS!$C$107)/MAX((CROQUIS!$C$137*MAX(1,CEILING((INT(((CROQUIS!$C$97)-CROQUIS!$C$107)/MAX(CROQUIS!$C$137,1))+1)/80,1))),1))+1)-1)*(CROQUIS!$C$137*MAX(1,CEILING((INT(((CROQUIS!$C$97)-CROQUIS!$C$107)/MAX(CROQUIS!$C$137,1))+1)/80,1))))/2)+MIN(INT(($A282-1)/5),MAX((MAX(1,INT(((CROQUIS!$C$97)-CROQUIS!$C$107)/MAX((CROQUIS!$C$137*MAX(1,CEILING((INT(((CROQUIS!$C$97)-CROQUIS!$C$107)/MAX(CROQUIS!$C$137,1))+1)/80,1))),1))+1))-1,0))*(CROQUIS!$C$137*MAX(1,CEILING((INT(((CROQUIS!$C$97)-CROQUIS!$C$107)/MAX(CROQUIS!$C$137,1))+1)/80,1)))),CHOOSE(IF(INT(($A282-1)/5)&gt;MAX((MAX(1,INT(((CROQUIS!$C$97)-CROQUIS!$C$107)/MAX((CROQUIS!$C$137*MAX(1,CEILING((INT(((CROQUIS!$C$97)-CROQUIS!$C$107)/MAX(CROQUIS!$C$137,1))+1)/80,1))),1))+1))-1,0),0,MOD($A282-1,5))+1,0,2,CROQUIS!$C$98-2,2,0)))*CROQUIS!$C$159)+IF(CROQUIS!$C$92="X",0,0)),-1000)</f>
        <v>-1000</v>
      </c>
      <c r="BQ282">
        <f>IF(AND(CROQUIS!$C$88=1,CROQUIS!$C$137&gt;0),((CROQUIS!$C$161+(IF(CROQUIS!$C$92="X",CHOOSE(IF(INT(($A282-1)/5)&gt;MAX((MAX(1,INT(((CROQUIS!$C$97)-CROQUIS!$C$107)/MAX((CROQUIS!$C$137*MAX(1,CEILING((INT(((CROQUIS!$C$97)-CROQUIS!$C$107)/MAX(CROQUIS!$C$137,1))+1)/80,1))),1))+1))-1,0),0,MOD($A282-1,5))+1,0,2,CROQUIS!$C$98-2,2,0),((CROQUIS!$C$107/2+(((CROQUIS!$C$97)-CROQUIS!$C$107)-(MAX(1,INT(((CROQUIS!$C$97)-CROQUIS!$C$107)/MAX((CROQUIS!$C$137*MAX(1,CEILING((INT(((CROQUIS!$C$97)-CROQUIS!$C$107)/MAX(CROQUIS!$C$137,1))+1)/80,1))),1))+1)-1)*(CROQUIS!$C$137*MAX(1,CEILING((INT(((CROQUIS!$C$97)-CROQUIS!$C$107)/MAX(CROQUIS!$C$137,1))+1)/80,1))))/2)+MIN(INT(($A282-1)/5),MAX((MAX(1,INT(((CROQUIS!$C$97)-CROQUIS!$C$107)/MAX((CROQUIS!$C$137*MAX(1,CEILING((INT(((CROQUIS!$C$97)-CROQUIS!$C$107)/MAX(CROQUIS!$C$137,1))+1)/80,1))),1))+1))-1,0))*(CROQUIS!$C$137*MAX(1,CEILING((INT(((CROQUIS!$C$97)-CROQUIS!$C$107)/MAX(CROQUIS!$C$137,1))+1)/80,1))))))*CROQUIS!$C$159)+IF(CROQUIS!$C$92="X",0,0)),-1000)</f>
        <v>-1000</v>
      </c>
      <c r="BR282">
        <f>IF(AND(CROQUIS!$C$88=1,CROQUIS!$C$91=0,CROQUIS!$C$133&gt;0,OR(CROQUIS!$C$103=1,CROQUIS!$C$145=1)),((CROQUIS!$C$160+(IF(CROQUIS!$C$92="X",CHOOSE(IF(INT(($A282-1)/5)&gt;MAX((MAX(1,INT(((CROQUIS!$C$98)-CROQUIS!$C$107)/MAX((CROQUIS!$C$133*MAX(1,CEILING((INT(((CROQUIS!$C$98)-CROQUIS!$C$107)/MAX(CROQUIS!$C$133,1))+1)/80,1))),1))+1))-1,0),0,MOD($A282-1,5))+1,0,IF(CROQUIS!$C$103=1,-12,2),CROQUIS!$C$107/2+CROQUIS!$C$143,IF(CROQUIS!$C$103=1,-12,2),0),((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BS2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+1,0,IF(CROQUIS!$C$103=1,-12,2),CROQUIS!$C$107/2+CROQUIS!$C$143,IF(CROQUIS!$C$103=1,-12,2),0)))*CROQUIS!$C$159)+IF(CROQUIS!$C$92="X",0.8,0)),-1000)</f>
        <v>-1000</v>
      </c>
      <c r="BT282">
        <f>IF(AND(CROQUIS!$C$88=1,CROQUIS!$C$91=0,CROQUIS!$C$133&gt;0,OR(CROQUIS!$C$104=1,CROQUIS!$C$145=1)),((CROQUIS!$C$160+(IF(CROQUIS!$C$92="X",CHOOSE(IF(INT(($A282-1)/5)&gt;MAX((MAX(1,INT(((CROQUIS!$C$98)-CROQUIS!$C$107)/MAX((CROQUIS!$C$133*MAX(1,CEILING((INT(((CROQUIS!$C$98)-CROQUIS!$C$107)/MAX(CROQUIS!$C$133,1))+1)/80,1))),1))+1))-1,0),0,MOD($A282-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BU2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CROQUIS!$C$97,CROQUIS!$C$97-CROQUIS!$C$107/2-CROQUIS!$C$143,IF(CROQUIS!$C$104=1,CROQUIS!$C$97+12,CROQUIS!$C$97-2),CROQUIS!$C$97-CROQUIS!$C$107/2-CROQUIS!$C$143,CROQUIS!$C$97)))*CROQUIS!$C$159)+IF(CROQUIS!$C$92="X",0.8,0)),-1000)</f>
        <v>-1000</v>
      </c>
      <c r="BV2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HOOSE(IF(INT(($A282-1)/5)&gt;MAX((MAX(1,INT(((CROQUIS!$C$97)-CROQUIS!$C$107)/MAX((CROQUIS!$C$141*MAX(1,CEILING((INT(((CROQUIS!$C$97)-CROQUIS!$C$107)/MAX(CROQUIS!$C$141,1))+1)/80,1))),1))+1))-1,0),0,MOD($A282-1,5))+1,0,IF(CROQUIS!$C$105=1,-12,2),CROQUIS!$C$107/2+CROQUIS!$C$144,IF(CROQUIS!$C$105=1,-12,2),0)))*CROQUIS!$C$159)+IF(CROQUIS!$C$92="X",0.8,0)),-1000)</f>
        <v>-1000</v>
      </c>
      <c r="BW282">
        <f>IF(AND(CROQUIS!$C$88=1,CROQUIS!$C$91=0,CROQUIS!$C$141&gt;0,OR(CROQUIS!$C$105=1,CROQUIS!$C$146=1)),((CROQUIS!$C$161+(IF(CROQUIS!$C$92="X",CHOOSE(IF(INT(($A282-1)/5)&gt;MAX((MAX(1,INT(((CROQUIS!$C$97)-CROQUIS!$C$107)/MAX((CROQUIS!$C$141*MAX(1,CEILING((INT(((CROQUIS!$C$97)-CROQUIS!$C$107)/MAX(CROQUIS!$C$141,1))+1)/80,1))),1))+1))-1,0),0,MOD($A282-1,5))+1,0,IF(CROQUIS!$C$105=1,-12,2),CROQUIS!$C$107/2+CROQUIS!$C$144,IF(CROQUIS!$C$105=1,-12,2),0),((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ROQUIS!$C$159)+IF(CROQUIS!$C$92="X",0,0.8)),-1000)</f>
        <v>-1000</v>
      </c>
      <c r="BX2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HOOSE(IF(INT(($A282-1)/5)&gt;MAX((MAX(1,INT(((CROQUIS!$C$97)-CROQUIS!$C$107)/MAX((CROQUIS!$C$141*MAX(1,CEILING((INT(((CROQUIS!$C$97)-CROQUIS!$C$107)/MAX(CROQUIS!$C$141,1))+1)/80,1))),1))+1))-1,0),0,MOD($A282-1,5))+1,CROQUIS!$C$98,CROQUIS!$C$98-CROQUIS!$C$107/2-CROQUIS!$C$144,IF(CROQUIS!$C$106=1,CROQUIS!$C$98+12,CROQUIS!$C$98-2),CROQUIS!$C$98-CROQUIS!$C$107/2-CROQUIS!$C$144,CROQUIS!$C$98)))*CROQUIS!$C$159)+IF(CROQUIS!$C$92="X",0.8,0)),-1000)</f>
        <v>-1000</v>
      </c>
      <c r="BY282">
        <f>IF(AND(CROQUIS!$C$88=1,CROQUIS!$C$91=0,CROQUIS!$C$141&gt;0,OR(CROQUIS!$C$106=1,CROQUIS!$C$146=1)),((CROQUIS!$C$161+(IF(CROQUIS!$C$92="X",CHOOSE(IF(INT(($A282-1)/5)&gt;MAX((MAX(1,INT(((CROQUIS!$C$97)-CROQUIS!$C$107)/MAX((CROQUIS!$C$141*MAX(1,CEILING((INT(((CROQUIS!$C$97)-CROQUIS!$C$107)/MAX(CROQUIS!$C$141,1))+1)/80,1))),1))+1))-1,0),0,MOD($A282-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ROQUIS!$C$159)+IF(CROQUIS!$C$92="X",0,0.8)),-1000)</f>
        <v>-1000</v>
      </c>
      <c r="BZ282">
        <f>IF(AND(CROQUIS!$C$88=1,CROQUIS!$C$91=1,CROQUIS!$C$133&gt;0),((CROQUIS!$C$160+(IF(CROQUIS!$C$92="X",CHOOSE(IF(INT(($A282-1)/5)&gt;MAX((MAX(1,INT(((CROQUIS!$C$98)-CROQUIS!$C$107)/MAX((CROQUIS!$C$133*MAX(1,CEILING((INT(((CROQUIS!$C$98)-CROQUIS!$C$107)/MAX(CROQUIS!$C$133,1))+1)/80,1))),1))+1))-1,0),0,MOD($A282-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CA282">
        <f>IF(AND(CROQUIS!$C$88=1,CROQUIS!$C$91=1,CROQUIS!$C$133&gt;0),((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3">
      <c r="A283" t="n">
        <v>276</v>
      </c>
      <c r="BN283">
        <f>IF(AND(CROQUIS!$C$88=1,CROQUIS!$C$129&gt;0),((CROQUIS!$C$160+(IF(CROQUIS!$C$92="X",CHOOSE(IF(INT(($A283-1)/5)&gt;MAX((MAX(1,INT(((CROQUIS!$C$98)-CROQUIS!$C$107)/MAX((CROQUIS!$C$129*MAX(1,CEILING((INT(((CROQUIS!$C$98)-CROQUIS!$C$107)/MAX(CROQUIS!$C$129,1))+1)/80,1))),1))+1))-1,0),0,MOD($A283-1,5))+1,0,2,CROQUIS!$C$97-2,2,0),((CROQUIS!$C$107/2+(((CROQUIS!$C$98)-CROQUIS!$C$107)-(MAX(1,INT(((CROQUIS!$C$98)-CROQUIS!$C$107)/MAX((CROQUIS!$C$129*MAX(1,CEILING((INT(((CROQUIS!$C$98)-CROQUIS!$C$107)/MAX(CROQUIS!$C$129,1))+1)/80,1))),1))+1)-1)*(CROQUIS!$C$129*MAX(1,CEILING((INT(((CROQUIS!$C$98)-CROQUIS!$C$107)/MAX(CROQUIS!$C$129,1))+1)/80,1))))/2)+MIN(INT(($A283-1)/5),MAX((MAX(1,INT(((CROQUIS!$C$98)-CROQUIS!$C$107)/MAX((CROQUIS!$C$129*MAX(1,CEILING((INT(((CROQUIS!$C$98)-CROQUIS!$C$107)/MAX(CROQUIS!$C$129,1))+1)/80,1))),1))+1))-1,0))*(CROQUIS!$C$129*MAX(1,CEILING((INT(((CROQUIS!$C$98)-CROQUIS!$C$107)/MAX(CROQUIS!$C$129,1))+1)/80,1))))))*CROQUIS!$C$159)+IF(CROQUIS!$C$92="X",0,0)),-1000)</f>
        <v>-1000</v>
      </c>
      <c r="BO283">
        <f>IF(AND(CROQUIS!$C$88=1,CROQUIS!$C$129&gt;0),((CROQUIS!$C$161+(IF(CROQUIS!$C$92="X",((CROQUIS!$C$107/2+(((CROQUIS!$C$98)-CROQUIS!$C$107)-(MAX(1,INT(((CROQUIS!$C$98)-CROQUIS!$C$107)/MAX((CROQUIS!$C$129*MAX(1,CEILING((INT(((CROQUIS!$C$98)-CROQUIS!$C$107)/MAX(CROQUIS!$C$129,1))+1)/80,1))),1))+1)-1)*(CROQUIS!$C$129*MAX(1,CEILING((INT(((CROQUIS!$C$98)-CROQUIS!$C$107)/MAX(CROQUIS!$C$129,1))+1)/80,1))))/2)+MIN(INT(($A283-1)/5),MAX((MAX(1,INT(((CROQUIS!$C$98)-CROQUIS!$C$107)/MAX((CROQUIS!$C$129*MAX(1,CEILING((INT(((CROQUIS!$C$98)-CROQUIS!$C$107)/MAX(CROQUIS!$C$129,1))+1)/80,1))),1))+1))-1,0))*(CROQUIS!$C$129*MAX(1,CEILING((INT(((CROQUIS!$C$98)-CROQUIS!$C$107)/MAX(CROQUIS!$C$129,1))+1)/80,1)))),CHOOSE(IF(INT(($A283-1)/5)&gt;MAX((MAX(1,INT(((CROQUIS!$C$98)-CROQUIS!$C$107)/MAX((CROQUIS!$C$129*MAX(1,CEILING((INT(((CROQUIS!$C$98)-CROQUIS!$C$107)/MAX(CROQUIS!$C$129,1))+1)/80,1))),1))+1))-1,0),0,MOD($A283-1,5))+1,0,2,CROQUIS!$C$97-2,2,0)))*CROQUIS!$C$159)+IF(CROQUIS!$C$92="X",0,0)),-1000)</f>
        <v>-1000</v>
      </c>
      <c r="BP283">
        <f>IF(AND(CROQUIS!$C$88=1,CROQUIS!$C$137&gt;0),((CROQUIS!$C$160+(IF(CROQUIS!$C$92="X",((CROQUIS!$C$107/2+(((CROQUIS!$C$97)-CROQUIS!$C$107)-(MAX(1,INT(((CROQUIS!$C$97)-CROQUIS!$C$107)/MAX((CROQUIS!$C$137*MAX(1,CEILING((INT(((CROQUIS!$C$97)-CROQUIS!$C$107)/MAX(CROQUIS!$C$137,1))+1)/80,1))),1))+1)-1)*(CROQUIS!$C$137*MAX(1,CEILING((INT(((CROQUIS!$C$97)-CROQUIS!$C$107)/MAX(CROQUIS!$C$137,1))+1)/80,1))))/2)+MIN(INT(($A283-1)/5),MAX((MAX(1,INT(((CROQUIS!$C$97)-CROQUIS!$C$107)/MAX((CROQUIS!$C$137*MAX(1,CEILING((INT(((CROQUIS!$C$97)-CROQUIS!$C$107)/MAX(CROQUIS!$C$137,1))+1)/80,1))),1))+1))-1,0))*(CROQUIS!$C$137*MAX(1,CEILING((INT(((CROQUIS!$C$97)-CROQUIS!$C$107)/MAX(CROQUIS!$C$137,1))+1)/80,1)))),CHOOSE(IF(INT(($A283-1)/5)&gt;MAX((MAX(1,INT(((CROQUIS!$C$97)-CROQUIS!$C$107)/MAX((CROQUIS!$C$137*MAX(1,CEILING((INT(((CROQUIS!$C$97)-CROQUIS!$C$107)/MAX(CROQUIS!$C$137,1))+1)/80,1))),1))+1))-1,0),0,MOD($A283-1,5))+1,0,2,CROQUIS!$C$98-2,2,0)))*CROQUIS!$C$159)+IF(CROQUIS!$C$92="X",0,0)),-1000)</f>
        <v>-1000</v>
      </c>
      <c r="BQ283">
        <f>IF(AND(CROQUIS!$C$88=1,CROQUIS!$C$137&gt;0),((CROQUIS!$C$161+(IF(CROQUIS!$C$92="X",CHOOSE(IF(INT(($A283-1)/5)&gt;MAX((MAX(1,INT(((CROQUIS!$C$97)-CROQUIS!$C$107)/MAX((CROQUIS!$C$137*MAX(1,CEILING((INT(((CROQUIS!$C$97)-CROQUIS!$C$107)/MAX(CROQUIS!$C$137,1))+1)/80,1))),1))+1))-1,0),0,MOD($A283-1,5))+1,0,2,CROQUIS!$C$98-2,2,0),((CROQUIS!$C$107/2+(((CROQUIS!$C$97)-CROQUIS!$C$107)-(MAX(1,INT(((CROQUIS!$C$97)-CROQUIS!$C$107)/MAX((CROQUIS!$C$137*MAX(1,CEILING((INT(((CROQUIS!$C$97)-CROQUIS!$C$107)/MAX(CROQUIS!$C$137,1))+1)/80,1))),1))+1)-1)*(CROQUIS!$C$137*MAX(1,CEILING((INT(((CROQUIS!$C$97)-CROQUIS!$C$107)/MAX(CROQUIS!$C$137,1))+1)/80,1))))/2)+MIN(INT(($A283-1)/5),MAX((MAX(1,INT(((CROQUIS!$C$97)-CROQUIS!$C$107)/MAX((CROQUIS!$C$137*MAX(1,CEILING((INT(((CROQUIS!$C$97)-CROQUIS!$C$107)/MAX(CROQUIS!$C$137,1))+1)/80,1))),1))+1))-1,0))*(CROQUIS!$C$137*MAX(1,CEILING((INT(((CROQUIS!$C$97)-CROQUIS!$C$107)/MAX(CROQUIS!$C$137,1))+1)/80,1))))))*CROQUIS!$C$159)+IF(CROQUIS!$C$92="X",0,0)),-1000)</f>
        <v>-1000</v>
      </c>
      <c r="BR283">
        <f>IF(AND(CROQUIS!$C$88=1,CROQUIS!$C$91=0,CROQUIS!$C$133&gt;0,OR(CROQUIS!$C$103=1,CROQUIS!$C$145=1)),((CROQUIS!$C$160+(IF(CROQUIS!$C$92="X",CHOOSE(IF(INT(($A283-1)/5)&gt;MAX((MAX(1,INT(((CROQUIS!$C$98)-CROQUIS!$C$107)/MAX((CROQUIS!$C$133*MAX(1,CEILING((INT(((CROQUIS!$C$98)-CROQUIS!$C$107)/MAX(CROQUIS!$C$133,1))+1)/80,1))),1))+1))-1,0),0,MOD($A283-1,5))+1,0,IF(CROQUIS!$C$103=1,-12,2),CROQUIS!$C$107/2+CROQUIS!$C$143,IF(CROQUIS!$C$103=1,-12,2),0),((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BS2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+1,0,IF(CROQUIS!$C$103=1,-12,2),CROQUIS!$C$107/2+CROQUIS!$C$143,IF(CROQUIS!$C$103=1,-12,2),0)))*CROQUIS!$C$159)+IF(CROQUIS!$C$92="X",0.8,0)),-1000)</f>
        <v>-1000</v>
      </c>
      <c r="BT283">
        <f>IF(AND(CROQUIS!$C$88=1,CROQUIS!$C$91=0,CROQUIS!$C$133&gt;0,OR(CROQUIS!$C$104=1,CROQUIS!$C$145=1)),((CROQUIS!$C$160+(IF(CROQUIS!$C$92="X",CHOOSE(IF(INT(($A283-1)/5)&gt;MAX((MAX(1,INT(((CROQUIS!$C$98)-CROQUIS!$C$107)/MAX((CROQUIS!$C$133*MAX(1,CEILING((INT(((CROQUIS!$C$98)-CROQUIS!$C$107)/MAX(CROQUIS!$C$133,1))+1)/80,1))),1))+1))-1,0),0,MOD($A283-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BU2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CROQUIS!$C$97,CROQUIS!$C$97-CROQUIS!$C$107/2-CROQUIS!$C$143,IF(CROQUIS!$C$104=1,CROQUIS!$C$97+12,CROQUIS!$C$97-2),CROQUIS!$C$97-CROQUIS!$C$107/2-CROQUIS!$C$143,CROQUIS!$C$97)))*CROQUIS!$C$159)+IF(CROQUIS!$C$92="X",0.8,0)),-1000)</f>
        <v>-1000</v>
      </c>
      <c r="BV2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HOOSE(IF(INT(($A283-1)/5)&gt;MAX((MAX(1,INT(((CROQUIS!$C$97)-CROQUIS!$C$107)/MAX((CROQUIS!$C$141*MAX(1,CEILING((INT(((CROQUIS!$C$97)-CROQUIS!$C$107)/MAX(CROQUIS!$C$141,1))+1)/80,1))),1))+1))-1,0),0,MOD($A283-1,5))+1,0,IF(CROQUIS!$C$105=1,-12,2),CROQUIS!$C$107/2+CROQUIS!$C$144,IF(CROQUIS!$C$105=1,-12,2),0)))*CROQUIS!$C$159)+IF(CROQUIS!$C$92="X",0.8,0)),-1000)</f>
        <v>-1000</v>
      </c>
      <c r="BW283">
        <f>IF(AND(CROQUIS!$C$88=1,CROQUIS!$C$91=0,CROQUIS!$C$141&gt;0,OR(CROQUIS!$C$105=1,CROQUIS!$C$146=1)),((CROQUIS!$C$161+(IF(CROQUIS!$C$92="X",CHOOSE(IF(INT(($A283-1)/5)&gt;MAX((MAX(1,INT(((CROQUIS!$C$97)-CROQUIS!$C$107)/MAX((CROQUIS!$C$141*MAX(1,CEILING((INT(((CROQUIS!$C$97)-CROQUIS!$C$107)/MAX(CROQUIS!$C$141,1))+1)/80,1))),1))+1))-1,0),0,MOD($A283-1,5))+1,0,IF(CROQUIS!$C$105=1,-12,2),CROQUIS!$C$107/2+CROQUIS!$C$144,IF(CROQUIS!$C$105=1,-12,2),0),((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ROQUIS!$C$159)+IF(CROQUIS!$C$92="X",0,0.8)),-1000)</f>
        <v>-1000</v>
      </c>
      <c r="BX2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HOOSE(IF(INT(($A283-1)/5)&gt;MAX((MAX(1,INT(((CROQUIS!$C$97)-CROQUIS!$C$107)/MAX((CROQUIS!$C$141*MAX(1,CEILING((INT(((CROQUIS!$C$97)-CROQUIS!$C$107)/MAX(CROQUIS!$C$141,1))+1)/80,1))),1))+1))-1,0),0,MOD($A283-1,5))+1,CROQUIS!$C$98,CROQUIS!$C$98-CROQUIS!$C$107/2-CROQUIS!$C$144,IF(CROQUIS!$C$106=1,CROQUIS!$C$98+12,CROQUIS!$C$98-2),CROQUIS!$C$98-CROQUIS!$C$107/2-CROQUIS!$C$144,CROQUIS!$C$98)))*CROQUIS!$C$159)+IF(CROQUIS!$C$92="X",0.8,0)),-1000)</f>
        <v>-1000</v>
      </c>
      <c r="BY283">
        <f>IF(AND(CROQUIS!$C$88=1,CROQUIS!$C$91=0,CROQUIS!$C$141&gt;0,OR(CROQUIS!$C$106=1,CROQUIS!$C$146=1)),((CROQUIS!$C$161+(IF(CROQUIS!$C$92="X",CHOOSE(IF(INT(($A283-1)/5)&gt;MAX((MAX(1,INT(((CROQUIS!$C$97)-CROQUIS!$C$107)/MAX((CROQUIS!$C$141*MAX(1,CEILING((INT(((CROQUIS!$C$97)-CROQUIS!$C$107)/MAX(CROQUIS!$C$141,1))+1)/80,1))),1))+1))-1,0),0,MOD($A283-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ROQUIS!$C$159)+IF(CROQUIS!$C$92="X",0,0.8)),-1000)</f>
        <v>-1000</v>
      </c>
      <c r="BZ283">
        <f>IF(AND(CROQUIS!$C$88=1,CROQUIS!$C$91=1,CROQUIS!$C$133&gt;0),((CROQUIS!$C$160+(IF(CROQUIS!$C$92="X",CHOOSE(IF(INT(($A283-1)/5)&gt;MAX((MAX(1,INT(((CROQUIS!$C$98)-CROQUIS!$C$107)/MAX((CROQUIS!$C$133*MAX(1,CEILING((INT(((CROQUIS!$C$98)-CROQUIS!$C$107)/MAX(CROQUIS!$C$133,1))+1)/80,1))),1))+1))-1,0),0,MOD($A283-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CA283">
        <f>IF(AND(CROQUIS!$C$88=1,CROQUIS!$C$91=1,CROQUIS!$C$133&gt;0),((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4">
      <c r="A284" t="n">
        <v>277</v>
      </c>
      <c r="BN284">
        <f>IF(AND(CROQUIS!$C$88=1,CROQUIS!$C$129&gt;0),((CROQUIS!$C$160+(IF(CROQUIS!$C$92="X",CHOOSE(IF(INT(($A284-1)/5)&gt;MAX((MAX(1,INT(((CROQUIS!$C$98)-CROQUIS!$C$107)/MAX((CROQUIS!$C$129*MAX(1,CEILING((INT(((CROQUIS!$C$98)-CROQUIS!$C$107)/MAX(CROQUIS!$C$129,1))+1)/80,1))),1))+1))-1,0),0,MOD($A284-1,5))+1,0,2,CROQUIS!$C$97-2,2,0),((CROQUIS!$C$107/2+(((CROQUIS!$C$98)-CROQUIS!$C$107)-(MAX(1,INT(((CROQUIS!$C$98)-CROQUIS!$C$107)/MAX((CROQUIS!$C$129*MAX(1,CEILING((INT(((CROQUIS!$C$98)-CROQUIS!$C$107)/MAX(CROQUIS!$C$129,1))+1)/80,1))),1))+1)-1)*(CROQUIS!$C$129*MAX(1,CEILING((INT(((CROQUIS!$C$98)-CROQUIS!$C$107)/MAX(CROQUIS!$C$129,1))+1)/80,1))))/2)+MIN(INT(($A284-1)/5),MAX((MAX(1,INT(((CROQUIS!$C$98)-CROQUIS!$C$107)/MAX((CROQUIS!$C$129*MAX(1,CEILING((INT(((CROQUIS!$C$98)-CROQUIS!$C$107)/MAX(CROQUIS!$C$129,1))+1)/80,1))),1))+1))-1,0))*(CROQUIS!$C$129*MAX(1,CEILING((INT(((CROQUIS!$C$98)-CROQUIS!$C$107)/MAX(CROQUIS!$C$129,1))+1)/80,1))))))*CROQUIS!$C$159)+IF(CROQUIS!$C$92="X",0,0)),-1000)</f>
        <v>-1000</v>
      </c>
      <c r="BO284">
        <f>IF(AND(CROQUIS!$C$88=1,CROQUIS!$C$129&gt;0),((CROQUIS!$C$161+(IF(CROQUIS!$C$92="X",((CROQUIS!$C$107/2+(((CROQUIS!$C$98)-CROQUIS!$C$107)-(MAX(1,INT(((CROQUIS!$C$98)-CROQUIS!$C$107)/MAX((CROQUIS!$C$129*MAX(1,CEILING((INT(((CROQUIS!$C$98)-CROQUIS!$C$107)/MAX(CROQUIS!$C$129,1))+1)/80,1))),1))+1)-1)*(CROQUIS!$C$129*MAX(1,CEILING((INT(((CROQUIS!$C$98)-CROQUIS!$C$107)/MAX(CROQUIS!$C$129,1))+1)/80,1))))/2)+MIN(INT(($A284-1)/5),MAX((MAX(1,INT(((CROQUIS!$C$98)-CROQUIS!$C$107)/MAX((CROQUIS!$C$129*MAX(1,CEILING((INT(((CROQUIS!$C$98)-CROQUIS!$C$107)/MAX(CROQUIS!$C$129,1))+1)/80,1))),1))+1))-1,0))*(CROQUIS!$C$129*MAX(1,CEILING((INT(((CROQUIS!$C$98)-CROQUIS!$C$107)/MAX(CROQUIS!$C$129,1))+1)/80,1)))),CHOOSE(IF(INT(($A284-1)/5)&gt;MAX((MAX(1,INT(((CROQUIS!$C$98)-CROQUIS!$C$107)/MAX((CROQUIS!$C$129*MAX(1,CEILING((INT(((CROQUIS!$C$98)-CROQUIS!$C$107)/MAX(CROQUIS!$C$129,1))+1)/80,1))),1))+1))-1,0),0,MOD($A284-1,5))+1,0,2,CROQUIS!$C$97-2,2,0)))*CROQUIS!$C$159)+IF(CROQUIS!$C$92="X",0,0)),-1000)</f>
        <v>-1000</v>
      </c>
      <c r="BP284">
        <f>IF(AND(CROQUIS!$C$88=1,CROQUIS!$C$137&gt;0),((CROQUIS!$C$160+(IF(CROQUIS!$C$92="X",((CROQUIS!$C$107/2+(((CROQUIS!$C$97)-CROQUIS!$C$107)-(MAX(1,INT(((CROQUIS!$C$97)-CROQUIS!$C$107)/MAX((CROQUIS!$C$137*MAX(1,CEILING((INT(((CROQUIS!$C$97)-CROQUIS!$C$107)/MAX(CROQUIS!$C$137,1))+1)/80,1))),1))+1)-1)*(CROQUIS!$C$137*MAX(1,CEILING((INT(((CROQUIS!$C$97)-CROQUIS!$C$107)/MAX(CROQUIS!$C$137,1))+1)/80,1))))/2)+MIN(INT(($A284-1)/5),MAX((MAX(1,INT(((CROQUIS!$C$97)-CROQUIS!$C$107)/MAX((CROQUIS!$C$137*MAX(1,CEILING((INT(((CROQUIS!$C$97)-CROQUIS!$C$107)/MAX(CROQUIS!$C$137,1))+1)/80,1))),1))+1))-1,0))*(CROQUIS!$C$137*MAX(1,CEILING((INT(((CROQUIS!$C$97)-CROQUIS!$C$107)/MAX(CROQUIS!$C$137,1))+1)/80,1)))),CHOOSE(IF(INT(($A284-1)/5)&gt;MAX((MAX(1,INT(((CROQUIS!$C$97)-CROQUIS!$C$107)/MAX((CROQUIS!$C$137*MAX(1,CEILING((INT(((CROQUIS!$C$97)-CROQUIS!$C$107)/MAX(CROQUIS!$C$137,1))+1)/80,1))),1))+1))-1,0),0,MOD($A284-1,5))+1,0,2,CROQUIS!$C$98-2,2,0)))*CROQUIS!$C$159)+IF(CROQUIS!$C$92="X",0,0)),-1000)</f>
        <v>-1000</v>
      </c>
      <c r="BQ284">
        <f>IF(AND(CROQUIS!$C$88=1,CROQUIS!$C$137&gt;0),((CROQUIS!$C$161+(IF(CROQUIS!$C$92="X",CHOOSE(IF(INT(($A284-1)/5)&gt;MAX((MAX(1,INT(((CROQUIS!$C$97)-CROQUIS!$C$107)/MAX((CROQUIS!$C$137*MAX(1,CEILING((INT(((CROQUIS!$C$97)-CROQUIS!$C$107)/MAX(CROQUIS!$C$137,1))+1)/80,1))),1))+1))-1,0),0,MOD($A284-1,5))+1,0,2,CROQUIS!$C$98-2,2,0),((CROQUIS!$C$107/2+(((CROQUIS!$C$97)-CROQUIS!$C$107)-(MAX(1,INT(((CROQUIS!$C$97)-CROQUIS!$C$107)/MAX((CROQUIS!$C$137*MAX(1,CEILING((INT(((CROQUIS!$C$97)-CROQUIS!$C$107)/MAX(CROQUIS!$C$137,1))+1)/80,1))),1))+1)-1)*(CROQUIS!$C$137*MAX(1,CEILING((INT(((CROQUIS!$C$97)-CROQUIS!$C$107)/MAX(CROQUIS!$C$137,1))+1)/80,1))))/2)+MIN(INT(($A284-1)/5),MAX((MAX(1,INT(((CROQUIS!$C$97)-CROQUIS!$C$107)/MAX((CROQUIS!$C$137*MAX(1,CEILING((INT(((CROQUIS!$C$97)-CROQUIS!$C$107)/MAX(CROQUIS!$C$137,1))+1)/80,1))),1))+1))-1,0))*(CROQUIS!$C$137*MAX(1,CEILING((INT(((CROQUIS!$C$97)-CROQUIS!$C$107)/MAX(CROQUIS!$C$137,1))+1)/80,1))))))*CROQUIS!$C$159)+IF(CROQUIS!$C$92="X",0,0)),-1000)</f>
        <v>-1000</v>
      </c>
      <c r="BR284">
        <f>IF(AND(CROQUIS!$C$88=1,CROQUIS!$C$91=0,CROQUIS!$C$133&gt;0,OR(CROQUIS!$C$103=1,CROQUIS!$C$145=1)),((CROQUIS!$C$160+(IF(CROQUIS!$C$92="X",CHOOSE(IF(INT(($A284-1)/5)&gt;MAX((MAX(1,INT(((CROQUIS!$C$98)-CROQUIS!$C$107)/MAX((CROQUIS!$C$133*MAX(1,CEILING((INT(((CROQUIS!$C$98)-CROQUIS!$C$107)/MAX(CROQUIS!$C$133,1))+1)/80,1))),1))+1))-1,0),0,MOD($A284-1,5))+1,0,IF(CROQUIS!$C$103=1,-12,2),CROQUIS!$C$107/2+CROQUIS!$C$143,IF(CROQUIS!$C$103=1,-12,2),0),((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BS2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+1,0,IF(CROQUIS!$C$103=1,-12,2),CROQUIS!$C$107/2+CROQUIS!$C$143,IF(CROQUIS!$C$103=1,-12,2),0)))*CROQUIS!$C$159)+IF(CROQUIS!$C$92="X",0.8,0)),-1000)</f>
        <v>-1000</v>
      </c>
      <c r="BT284">
        <f>IF(AND(CROQUIS!$C$88=1,CROQUIS!$C$91=0,CROQUIS!$C$133&gt;0,OR(CROQUIS!$C$104=1,CROQUIS!$C$145=1)),((CROQUIS!$C$160+(IF(CROQUIS!$C$92="X",CHOOSE(IF(INT(($A284-1)/5)&gt;MAX((MAX(1,INT(((CROQUIS!$C$98)-CROQUIS!$C$107)/MAX((CROQUIS!$C$133*MAX(1,CEILING((INT(((CROQUIS!$C$98)-CROQUIS!$C$107)/MAX(CROQUIS!$C$133,1))+1)/80,1))),1))+1))-1,0),0,MOD($A284-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BU2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CROQUIS!$C$97,CROQUIS!$C$97-CROQUIS!$C$107/2-CROQUIS!$C$143,IF(CROQUIS!$C$104=1,CROQUIS!$C$97+12,CROQUIS!$C$97-2),CROQUIS!$C$97-CROQUIS!$C$107/2-CROQUIS!$C$143,CROQUIS!$C$97)))*CROQUIS!$C$159)+IF(CROQUIS!$C$92="X",0.8,0)),-1000)</f>
        <v>-1000</v>
      </c>
      <c r="BV2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HOOSE(IF(INT(($A284-1)/5)&gt;MAX((MAX(1,INT(((CROQUIS!$C$97)-CROQUIS!$C$107)/MAX((CROQUIS!$C$141*MAX(1,CEILING((INT(((CROQUIS!$C$97)-CROQUIS!$C$107)/MAX(CROQUIS!$C$141,1))+1)/80,1))),1))+1))-1,0),0,MOD($A284-1,5))+1,0,IF(CROQUIS!$C$105=1,-12,2),CROQUIS!$C$107/2+CROQUIS!$C$144,IF(CROQUIS!$C$105=1,-12,2),0)))*CROQUIS!$C$159)+IF(CROQUIS!$C$92="X",0.8,0)),-1000)</f>
        <v>-1000</v>
      </c>
      <c r="BW284">
        <f>IF(AND(CROQUIS!$C$88=1,CROQUIS!$C$91=0,CROQUIS!$C$141&gt;0,OR(CROQUIS!$C$105=1,CROQUIS!$C$146=1)),((CROQUIS!$C$161+(IF(CROQUIS!$C$92="X",CHOOSE(IF(INT(($A284-1)/5)&gt;MAX((MAX(1,INT(((CROQUIS!$C$97)-CROQUIS!$C$107)/MAX((CROQUIS!$C$141*MAX(1,CEILING((INT(((CROQUIS!$C$97)-CROQUIS!$C$107)/MAX(CROQUIS!$C$141,1))+1)/80,1))),1))+1))-1,0),0,MOD($A284-1,5))+1,0,IF(CROQUIS!$C$105=1,-12,2),CROQUIS!$C$107/2+CROQUIS!$C$144,IF(CROQUIS!$C$105=1,-12,2),0),((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ROQUIS!$C$159)+IF(CROQUIS!$C$92="X",0,0.8)),-1000)</f>
        <v>-1000</v>
      </c>
      <c r="BX2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HOOSE(IF(INT(($A284-1)/5)&gt;MAX((MAX(1,INT(((CROQUIS!$C$97)-CROQUIS!$C$107)/MAX((CROQUIS!$C$141*MAX(1,CEILING((INT(((CROQUIS!$C$97)-CROQUIS!$C$107)/MAX(CROQUIS!$C$141,1))+1)/80,1))),1))+1))-1,0),0,MOD($A284-1,5))+1,CROQUIS!$C$98,CROQUIS!$C$98-CROQUIS!$C$107/2-CROQUIS!$C$144,IF(CROQUIS!$C$106=1,CROQUIS!$C$98+12,CROQUIS!$C$98-2),CROQUIS!$C$98-CROQUIS!$C$107/2-CROQUIS!$C$144,CROQUIS!$C$98)))*CROQUIS!$C$159)+IF(CROQUIS!$C$92="X",0.8,0)),-1000)</f>
        <v>-1000</v>
      </c>
      <c r="BY284">
        <f>IF(AND(CROQUIS!$C$88=1,CROQUIS!$C$91=0,CROQUIS!$C$141&gt;0,OR(CROQUIS!$C$106=1,CROQUIS!$C$146=1)),((CROQUIS!$C$161+(IF(CROQUIS!$C$92="X",CHOOSE(IF(INT(($A284-1)/5)&gt;MAX((MAX(1,INT(((CROQUIS!$C$97)-CROQUIS!$C$107)/MAX((CROQUIS!$C$141*MAX(1,CEILING((INT(((CROQUIS!$C$97)-CROQUIS!$C$107)/MAX(CROQUIS!$C$141,1))+1)/80,1))),1))+1))-1,0),0,MOD($A284-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ROQUIS!$C$159)+IF(CROQUIS!$C$92="X",0,0.8)),-1000)</f>
        <v>-1000</v>
      </c>
      <c r="BZ284">
        <f>IF(AND(CROQUIS!$C$88=1,CROQUIS!$C$91=1,CROQUIS!$C$133&gt;0),((CROQUIS!$C$160+(IF(CROQUIS!$C$92="X",CHOOSE(IF(INT(($A284-1)/5)&gt;MAX((MAX(1,INT(((CROQUIS!$C$98)-CROQUIS!$C$107)/MAX((CROQUIS!$C$133*MAX(1,CEILING((INT(((CROQUIS!$C$98)-CROQUIS!$C$107)/MAX(CROQUIS!$C$133,1))+1)/80,1))),1))+1))-1,0),0,MOD($A284-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CA284">
        <f>IF(AND(CROQUIS!$C$88=1,CROQUIS!$C$91=1,CROQUIS!$C$133&gt;0),((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5">
      <c r="A285" t="n">
        <v>278</v>
      </c>
      <c r="BN285">
        <f>IF(AND(CROQUIS!$C$88=1,CROQUIS!$C$129&gt;0),((CROQUIS!$C$160+(IF(CROQUIS!$C$92="X",CHOOSE(IF(INT(($A285-1)/5)&gt;MAX((MAX(1,INT(((CROQUIS!$C$98)-CROQUIS!$C$107)/MAX((CROQUIS!$C$129*MAX(1,CEILING((INT(((CROQUIS!$C$98)-CROQUIS!$C$107)/MAX(CROQUIS!$C$129,1))+1)/80,1))),1))+1))-1,0),0,MOD($A285-1,5))+1,0,2,CROQUIS!$C$97-2,2,0),((CROQUIS!$C$107/2+(((CROQUIS!$C$98)-CROQUIS!$C$107)-(MAX(1,INT(((CROQUIS!$C$98)-CROQUIS!$C$107)/MAX((CROQUIS!$C$129*MAX(1,CEILING((INT(((CROQUIS!$C$98)-CROQUIS!$C$107)/MAX(CROQUIS!$C$129,1))+1)/80,1))),1))+1)-1)*(CROQUIS!$C$129*MAX(1,CEILING((INT(((CROQUIS!$C$98)-CROQUIS!$C$107)/MAX(CROQUIS!$C$129,1))+1)/80,1))))/2)+MIN(INT(($A285-1)/5),MAX((MAX(1,INT(((CROQUIS!$C$98)-CROQUIS!$C$107)/MAX((CROQUIS!$C$129*MAX(1,CEILING((INT(((CROQUIS!$C$98)-CROQUIS!$C$107)/MAX(CROQUIS!$C$129,1))+1)/80,1))),1))+1))-1,0))*(CROQUIS!$C$129*MAX(1,CEILING((INT(((CROQUIS!$C$98)-CROQUIS!$C$107)/MAX(CROQUIS!$C$129,1))+1)/80,1))))))*CROQUIS!$C$159)+IF(CROQUIS!$C$92="X",0,0)),-1000)</f>
        <v>-1000</v>
      </c>
      <c r="BO285">
        <f>IF(AND(CROQUIS!$C$88=1,CROQUIS!$C$129&gt;0),((CROQUIS!$C$161+(IF(CROQUIS!$C$92="X",((CROQUIS!$C$107/2+(((CROQUIS!$C$98)-CROQUIS!$C$107)-(MAX(1,INT(((CROQUIS!$C$98)-CROQUIS!$C$107)/MAX((CROQUIS!$C$129*MAX(1,CEILING((INT(((CROQUIS!$C$98)-CROQUIS!$C$107)/MAX(CROQUIS!$C$129,1))+1)/80,1))),1))+1)-1)*(CROQUIS!$C$129*MAX(1,CEILING((INT(((CROQUIS!$C$98)-CROQUIS!$C$107)/MAX(CROQUIS!$C$129,1))+1)/80,1))))/2)+MIN(INT(($A285-1)/5),MAX((MAX(1,INT(((CROQUIS!$C$98)-CROQUIS!$C$107)/MAX((CROQUIS!$C$129*MAX(1,CEILING((INT(((CROQUIS!$C$98)-CROQUIS!$C$107)/MAX(CROQUIS!$C$129,1))+1)/80,1))),1))+1))-1,0))*(CROQUIS!$C$129*MAX(1,CEILING((INT(((CROQUIS!$C$98)-CROQUIS!$C$107)/MAX(CROQUIS!$C$129,1))+1)/80,1)))),CHOOSE(IF(INT(($A285-1)/5)&gt;MAX((MAX(1,INT(((CROQUIS!$C$98)-CROQUIS!$C$107)/MAX((CROQUIS!$C$129*MAX(1,CEILING((INT(((CROQUIS!$C$98)-CROQUIS!$C$107)/MAX(CROQUIS!$C$129,1))+1)/80,1))),1))+1))-1,0),0,MOD($A285-1,5))+1,0,2,CROQUIS!$C$97-2,2,0)))*CROQUIS!$C$159)+IF(CROQUIS!$C$92="X",0,0)),-1000)</f>
        <v>-1000</v>
      </c>
      <c r="BP285">
        <f>IF(AND(CROQUIS!$C$88=1,CROQUIS!$C$137&gt;0),((CROQUIS!$C$160+(IF(CROQUIS!$C$92="X",((CROQUIS!$C$107/2+(((CROQUIS!$C$97)-CROQUIS!$C$107)-(MAX(1,INT(((CROQUIS!$C$97)-CROQUIS!$C$107)/MAX((CROQUIS!$C$137*MAX(1,CEILING((INT(((CROQUIS!$C$97)-CROQUIS!$C$107)/MAX(CROQUIS!$C$137,1))+1)/80,1))),1))+1)-1)*(CROQUIS!$C$137*MAX(1,CEILING((INT(((CROQUIS!$C$97)-CROQUIS!$C$107)/MAX(CROQUIS!$C$137,1))+1)/80,1))))/2)+MIN(INT(($A285-1)/5),MAX((MAX(1,INT(((CROQUIS!$C$97)-CROQUIS!$C$107)/MAX((CROQUIS!$C$137*MAX(1,CEILING((INT(((CROQUIS!$C$97)-CROQUIS!$C$107)/MAX(CROQUIS!$C$137,1))+1)/80,1))),1))+1))-1,0))*(CROQUIS!$C$137*MAX(1,CEILING((INT(((CROQUIS!$C$97)-CROQUIS!$C$107)/MAX(CROQUIS!$C$137,1))+1)/80,1)))),CHOOSE(IF(INT(($A285-1)/5)&gt;MAX((MAX(1,INT(((CROQUIS!$C$97)-CROQUIS!$C$107)/MAX((CROQUIS!$C$137*MAX(1,CEILING((INT(((CROQUIS!$C$97)-CROQUIS!$C$107)/MAX(CROQUIS!$C$137,1))+1)/80,1))),1))+1))-1,0),0,MOD($A285-1,5))+1,0,2,CROQUIS!$C$98-2,2,0)))*CROQUIS!$C$159)+IF(CROQUIS!$C$92="X",0,0)),-1000)</f>
        <v>-1000</v>
      </c>
      <c r="BQ285">
        <f>IF(AND(CROQUIS!$C$88=1,CROQUIS!$C$137&gt;0),((CROQUIS!$C$161+(IF(CROQUIS!$C$92="X",CHOOSE(IF(INT(($A285-1)/5)&gt;MAX((MAX(1,INT(((CROQUIS!$C$97)-CROQUIS!$C$107)/MAX((CROQUIS!$C$137*MAX(1,CEILING((INT(((CROQUIS!$C$97)-CROQUIS!$C$107)/MAX(CROQUIS!$C$137,1))+1)/80,1))),1))+1))-1,0),0,MOD($A285-1,5))+1,0,2,CROQUIS!$C$98-2,2,0),((CROQUIS!$C$107/2+(((CROQUIS!$C$97)-CROQUIS!$C$107)-(MAX(1,INT(((CROQUIS!$C$97)-CROQUIS!$C$107)/MAX((CROQUIS!$C$137*MAX(1,CEILING((INT(((CROQUIS!$C$97)-CROQUIS!$C$107)/MAX(CROQUIS!$C$137,1))+1)/80,1))),1))+1)-1)*(CROQUIS!$C$137*MAX(1,CEILING((INT(((CROQUIS!$C$97)-CROQUIS!$C$107)/MAX(CROQUIS!$C$137,1))+1)/80,1))))/2)+MIN(INT(($A285-1)/5),MAX((MAX(1,INT(((CROQUIS!$C$97)-CROQUIS!$C$107)/MAX((CROQUIS!$C$137*MAX(1,CEILING((INT(((CROQUIS!$C$97)-CROQUIS!$C$107)/MAX(CROQUIS!$C$137,1))+1)/80,1))),1))+1))-1,0))*(CROQUIS!$C$137*MAX(1,CEILING((INT(((CROQUIS!$C$97)-CROQUIS!$C$107)/MAX(CROQUIS!$C$137,1))+1)/80,1))))))*CROQUIS!$C$159)+IF(CROQUIS!$C$92="X",0,0)),-1000)</f>
        <v>-1000</v>
      </c>
      <c r="BR285">
        <f>IF(AND(CROQUIS!$C$88=1,CROQUIS!$C$91=0,CROQUIS!$C$133&gt;0,OR(CROQUIS!$C$103=1,CROQUIS!$C$145=1)),((CROQUIS!$C$160+(IF(CROQUIS!$C$92="X",CHOOSE(IF(INT(($A285-1)/5)&gt;MAX((MAX(1,INT(((CROQUIS!$C$98)-CROQUIS!$C$107)/MAX((CROQUIS!$C$133*MAX(1,CEILING((INT(((CROQUIS!$C$98)-CROQUIS!$C$107)/MAX(CROQUIS!$C$133,1))+1)/80,1))),1))+1))-1,0),0,MOD($A285-1,5))+1,0,IF(CROQUIS!$C$103=1,-12,2),CROQUIS!$C$107/2+CROQUIS!$C$143,IF(CROQUIS!$C$103=1,-12,2),0),((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BS2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+1,0,IF(CROQUIS!$C$103=1,-12,2),CROQUIS!$C$107/2+CROQUIS!$C$143,IF(CROQUIS!$C$103=1,-12,2),0)))*CROQUIS!$C$159)+IF(CROQUIS!$C$92="X",0.8,0)),-1000)</f>
        <v>-1000</v>
      </c>
      <c r="BT285">
        <f>IF(AND(CROQUIS!$C$88=1,CROQUIS!$C$91=0,CROQUIS!$C$133&gt;0,OR(CROQUIS!$C$104=1,CROQUIS!$C$145=1)),((CROQUIS!$C$160+(IF(CROQUIS!$C$92="X",CHOOSE(IF(INT(($A285-1)/5)&gt;MAX((MAX(1,INT(((CROQUIS!$C$98)-CROQUIS!$C$107)/MAX((CROQUIS!$C$133*MAX(1,CEILING((INT(((CROQUIS!$C$98)-CROQUIS!$C$107)/MAX(CROQUIS!$C$133,1))+1)/80,1))),1))+1))-1,0),0,MOD($A285-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BU2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CROQUIS!$C$97,CROQUIS!$C$97-CROQUIS!$C$107/2-CROQUIS!$C$143,IF(CROQUIS!$C$104=1,CROQUIS!$C$97+12,CROQUIS!$C$97-2),CROQUIS!$C$97-CROQUIS!$C$107/2-CROQUIS!$C$143,CROQUIS!$C$97)))*CROQUIS!$C$159)+IF(CROQUIS!$C$92="X",0.8,0)),-1000)</f>
        <v>-1000</v>
      </c>
      <c r="BV2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HOOSE(IF(INT(($A285-1)/5)&gt;MAX((MAX(1,INT(((CROQUIS!$C$97)-CROQUIS!$C$107)/MAX((CROQUIS!$C$141*MAX(1,CEILING((INT(((CROQUIS!$C$97)-CROQUIS!$C$107)/MAX(CROQUIS!$C$141,1))+1)/80,1))),1))+1))-1,0),0,MOD($A285-1,5))+1,0,IF(CROQUIS!$C$105=1,-12,2),CROQUIS!$C$107/2+CROQUIS!$C$144,IF(CROQUIS!$C$105=1,-12,2),0)))*CROQUIS!$C$159)+IF(CROQUIS!$C$92="X",0.8,0)),-1000)</f>
        <v>-1000</v>
      </c>
      <c r="BW285">
        <f>IF(AND(CROQUIS!$C$88=1,CROQUIS!$C$91=0,CROQUIS!$C$141&gt;0,OR(CROQUIS!$C$105=1,CROQUIS!$C$146=1)),((CROQUIS!$C$161+(IF(CROQUIS!$C$92="X",CHOOSE(IF(INT(($A285-1)/5)&gt;MAX((MAX(1,INT(((CROQUIS!$C$97)-CROQUIS!$C$107)/MAX((CROQUIS!$C$141*MAX(1,CEILING((INT(((CROQUIS!$C$97)-CROQUIS!$C$107)/MAX(CROQUIS!$C$141,1))+1)/80,1))),1))+1))-1,0),0,MOD($A285-1,5))+1,0,IF(CROQUIS!$C$105=1,-12,2),CROQUIS!$C$107/2+CROQUIS!$C$144,IF(CROQUIS!$C$105=1,-12,2),0),((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ROQUIS!$C$159)+IF(CROQUIS!$C$92="X",0,0.8)),-1000)</f>
        <v>-1000</v>
      </c>
      <c r="BX2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HOOSE(IF(INT(($A285-1)/5)&gt;MAX((MAX(1,INT(((CROQUIS!$C$97)-CROQUIS!$C$107)/MAX((CROQUIS!$C$141*MAX(1,CEILING((INT(((CROQUIS!$C$97)-CROQUIS!$C$107)/MAX(CROQUIS!$C$141,1))+1)/80,1))),1))+1))-1,0),0,MOD($A285-1,5))+1,CROQUIS!$C$98,CROQUIS!$C$98-CROQUIS!$C$107/2-CROQUIS!$C$144,IF(CROQUIS!$C$106=1,CROQUIS!$C$98+12,CROQUIS!$C$98-2),CROQUIS!$C$98-CROQUIS!$C$107/2-CROQUIS!$C$144,CROQUIS!$C$98)))*CROQUIS!$C$159)+IF(CROQUIS!$C$92="X",0.8,0)),-1000)</f>
        <v>-1000</v>
      </c>
      <c r="BY285">
        <f>IF(AND(CROQUIS!$C$88=1,CROQUIS!$C$91=0,CROQUIS!$C$141&gt;0,OR(CROQUIS!$C$106=1,CROQUIS!$C$146=1)),((CROQUIS!$C$161+(IF(CROQUIS!$C$92="X",CHOOSE(IF(INT(($A285-1)/5)&gt;MAX((MAX(1,INT(((CROQUIS!$C$97)-CROQUIS!$C$107)/MAX((CROQUIS!$C$141*MAX(1,CEILING((INT(((CROQUIS!$C$97)-CROQUIS!$C$107)/MAX(CROQUIS!$C$141,1))+1)/80,1))),1))+1))-1,0),0,MOD($A285-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ROQUIS!$C$159)+IF(CROQUIS!$C$92="X",0,0.8)),-1000)</f>
        <v>-1000</v>
      </c>
      <c r="BZ285">
        <f>IF(AND(CROQUIS!$C$88=1,CROQUIS!$C$91=1,CROQUIS!$C$133&gt;0),((CROQUIS!$C$160+(IF(CROQUIS!$C$92="X",CHOOSE(IF(INT(($A285-1)/5)&gt;MAX((MAX(1,INT(((CROQUIS!$C$98)-CROQUIS!$C$107)/MAX((CROQUIS!$C$133*MAX(1,CEILING((INT(((CROQUIS!$C$98)-CROQUIS!$C$107)/MAX(CROQUIS!$C$133,1))+1)/80,1))),1))+1))-1,0),0,MOD($A285-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CA285">
        <f>IF(AND(CROQUIS!$C$88=1,CROQUIS!$C$91=1,CROQUIS!$C$133&gt;0),((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6">
      <c r="A286" t="n">
        <v>279</v>
      </c>
      <c r="BN286">
        <f>IF(AND(CROQUIS!$C$88=1,CROQUIS!$C$129&gt;0),((CROQUIS!$C$160+(IF(CROQUIS!$C$92="X",CHOOSE(IF(INT(($A286-1)/5)&gt;MAX((MAX(1,INT(((CROQUIS!$C$98)-CROQUIS!$C$107)/MAX((CROQUIS!$C$129*MAX(1,CEILING((INT(((CROQUIS!$C$98)-CROQUIS!$C$107)/MAX(CROQUIS!$C$129,1))+1)/80,1))),1))+1))-1,0),0,MOD($A286-1,5))+1,0,2,CROQUIS!$C$97-2,2,0),((CROQUIS!$C$107/2+(((CROQUIS!$C$98)-CROQUIS!$C$107)-(MAX(1,INT(((CROQUIS!$C$98)-CROQUIS!$C$107)/MAX((CROQUIS!$C$129*MAX(1,CEILING((INT(((CROQUIS!$C$98)-CROQUIS!$C$107)/MAX(CROQUIS!$C$129,1))+1)/80,1))),1))+1)-1)*(CROQUIS!$C$129*MAX(1,CEILING((INT(((CROQUIS!$C$98)-CROQUIS!$C$107)/MAX(CROQUIS!$C$129,1))+1)/80,1))))/2)+MIN(INT(($A286-1)/5),MAX((MAX(1,INT(((CROQUIS!$C$98)-CROQUIS!$C$107)/MAX((CROQUIS!$C$129*MAX(1,CEILING((INT(((CROQUIS!$C$98)-CROQUIS!$C$107)/MAX(CROQUIS!$C$129,1))+1)/80,1))),1))+1))-1,0))*(CROQUIS!$C$129*MAX(1,CEILING((INT(((CROQUIS!$C$98)-CROQUIS!$C$107)/MAX(CROQUIS!$C$129,1))+1)/80,1))))))*CROQUIS!$C$159)+IF(CROQUIS!$C$92="X",0,0)),-1000)</f>
        <v>-1000</v>
      </c>
      <c r="BO286">
        <f>IF(AND(CROQUIS!$C$88=1,CROQUIS!$C$129&gt;0),((CROQUIS!$C$161+(IF(CROQUIS!$C$92="X",((CROQUIS!$C$107/2+(((CROQUIS!$C$98)-CROQUIS!$C$107)-(MAX(1,INT(((CROQUIS!$C$98)-CROQUIS!$C$107)/MAX((CROQUIS!$C$129*MAX(1,CEILING((INT(((CROQUIS!$C$98)-CROQUIS!$C$107)/MAX(CROQUIS!$C$129,1))+1)/80,1))),1))+1)-1)*(CROQUIS!$C$129*MAX(1,CEILING((INT(((CROQUIS!$C$98)-CROQUIS!$C$107)/MAX(CROQUIS!$C$129,1))+1)/80,1))))/2)+MIN(INT(($A286-1)/5),MAX((MAX(1,INT(((CROQUIS!$C$98)-CROQUIS!$C$107)/MAX((CROQUIS!$C$129*MAX(1,CEILING((INT(((CROQUIS!$C$98)-CROQUIS!$C$107)/MAX(CROQUIS!$C$129,1))+1)/80,1))),1))+1))-1,0))*(CROQUIS!$C$129*MAX(1,CEILING((INT(((CROQUIS!$C$98)-CROQUIS!$C$107)/MAX(CROQUIS!$C$129,1))+1)/80,1)))),CHOOSE(IF(INT(($A286-1)/5)&gt;MAX((MAX(1,INT(((CROQUIS!$C$98)-CROQUIS!$C$107)/MAX((CROQUIS!$C$129*MAX(1,CEILING((INT(((CROQUIS!$C$98)-CROQUIS!$C$107)/MAX(CROQUIS!$C$129,1))+1)/80,1))),1))+1))-1,0),0,MOD($A286-1,5))+1,0,2,CROQUIS!$C$97-2,2,0)))*CROQUIS!$C$159)+IF(CROQUIS!$C$92="X",0,0)),-1000)</f>
        <v>-1000</v>
      </c>
      <c r="BP286">
        <f>IF(AND(CROQUIS!$C$88=1,CROQUIS!$C$137&gt;0),((CROQUIS!$C$160+(IF(CROQUIS!$C$92="X",((CROQUIS!$C$107/2+(((CROQUIS!$C$97)-CROQUIS!$C$107)-(MAX(1,INT(((CROQUIS!$C$97)-CROQUIS!$C$107)/MAX((CROQUIS!$C$137*MAX(1,CEILING((INT(((CROQUIS!$C$97)-CROQUIS!$C$107)/MAX(CROQUIS!$C$137,1))+1)/80,1))),1))+1)-1)*(CROQUIS!$C$137*MAX(1,CEILING((INT(((CROQUIS!$C$97)-CROQUIS!$C$107)/MAX(CROQUIS!$C$137,1))+1)/80,1))))/2)+MIN(INT(($A286-1)/5),MAX((MAX(1,INT(((CROQUIS!$C$97)-CROQUIS!$C$107)/MAX((CROQUIS!$C$137*MAX(1,CEILING((INT(((CROQUIS!$C$97)-CROQUIS!$C$107)/MAX(CROQUIS!$C$137,1))+1)/80,1))),1))+1))-1,0))*(CROQUIS!$C$137*MAX(1,CEILING((INT(((CROQUIS!$C$97)-CROQUIS!$C$107)/MAX(CROQUIS!$C$137,1))+1)/80,1)))),CHOOSE(IF(INT(($A286-1)/5)&gt;MAX((MAX(1,INT(((CROQUIS!$C$97)-CROQUIS!$C$107)/MAX((CROQUIS!$C$137*MAX(1,CEILING((INT(((CROQUIS!$C$97)-CROQUIS!$C$107)/MAX(CROQUIS!$C$137,1))+1)/80,1))),1))+1))-1,0),0,MOD($A286-1,5))+1,0,2,CROQUIS!$C$98-2,2,0)))*CROQUIS!$C$159)+IF(CROQUIS!$C$92="X",0,0)),-1000)</f>
        <v>-1000</v>
      </c>
      <c r="BQ286">
        <f>IF(AND(CROQUIS!$C$88=1,CROQUIS!$C$137&gt;0),((CROQUIS!$C$161+(IF(CROQUIS!$C$92="X",CHOOSE(IF(INT(($A286-1)/5)&gt;MAX((MAX(1,INT(((CROQUIS!$C$97)-CROQUIS!$C$107)/MAX((CROQUIS!$C$137*MAX(1,CEILING((INT(((CROQUIS!$C$97)-CROQUIS!$C$107)/MAX(CROQUIS!$C$137,1))+1)/80,1))),1))+1))-1,0),0,MOD($A286-1,5))+1,0,2,CROQUIS!$C$98-2,2,0),((CROQUIS!$C$107/2+(((CROQUIS!$C$97)-CROQUIS!$C$107)-(MAX(1,INT(((CROQUIS!$C$97)-CROQUIS!$C$107)/MAX((CROQUIS!$C$137*MAX(1,CEILING((INT(((CROQUIS!$C$97)-CROQUIS!$C$107)/MAX(CROQUIS!$C$137,1))+1)/80,1))),1))+1)-1)*(CROQUIS!$C$137*MAX(1,CEILING((INT(((CROQUIS!$C$97)-CROQUIS!$C$107)/MAX(CROQUIS!$C$137,1))+1)/80,1))))/2)+MIN(INT(($A286-1)/5),MAX((MAX(1,INT(((CROQUIS!$C$97)-CROQUIS!$C$107)/MAX((CROQUIS!$C$137*MAX(1,CEILING((INT(((CROQUIS!$C$97)-CROQUIS!$C$107)/MAX(CROQUIS!$C$137,1))+1)/80,1))),1))+1))-1,0))*(CROQUIS!$C$137*MAX(1,CEILING((INT(((CROQUIS!$C$97)-CROQUIS!$C$107)/MAX(CROQUIS!$C$137,1))+1)/80,1))))))*CROQUIS!$C$159)+IF(CROQUIS!$C$92="X",0,0)),-1000)</f>
        <v>-1000</v>
      </c>
      <c r="BR286">
        <f>IF(AND(CROQUIS!$C$88=1,CROQUIS!$C$91=0,CROQUIS!$C$133&gt;0,OR(CROQUIS!$C$103=1,CROQUIS!$C$145=1)),((CROQUIS!$C$160+(IF(CROQUIS!$C$92="X",CHOOSE(IF(INT(($A286-1)/5)&gt;MAX((MAX(1,INT(((CROQUIS!$C$98)-CROQUIS!$C$107)/MAX((CROQUIS!$C$133*MAX(1,CEILING((INT(((CROQUIS!$C$98)-CROQUIS!$C$107)/MAX(CROQUIS!$C$133,1))+1)/80,1))),1))+1))-1,0),0,MOD($A286-1,5))+1,0,IF(CROQUIS!$C$103=1,-12,2),CROQUIS!$C$107/2+CROQUIS!$C$143,IF(CROQUIS!$C$103=1,-12,2),0),((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BS2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+1,0,IF(CROQUIS!$C$103=1,-12,2),CROQUIS!$C$107/2+CROQUIS!$C$143,IF(CROQUIS!$C$103=1,-12,2),0)))*CROQUIS!$C$159)+IF(CROQUIS!$C$92="X",0.8,0)),-1000)</f>
        <v>-1000</v>
      </c>
      <c r="BT286">
        <f>IF(AND(CROQUIS!$C$88=1,CROQUIS!$C$91=0,CROQUIS!$C$133&gt;0,OR(CROQUIS!$C$104=1,CROQUIS!$C$145=1)),((CROQUIS!$C$160+(IF(CROQUIS!$C$92="X",CHOOSE(IF(INT(($A286-1)/5)&gt;MAX((MAX(1,INT(((CROQUIS!$C$98)-CROQUIS!$C$107)/MAX((CROQUIS!$C$133*MAX(1,CEILING((INT(((CROQUIS!$C$98)-CROQUIS!$C$107)/MAX(CROQUIS!$C$133,1))+1)/80,1))),1))+1))-1,0),0,MOD($A286-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BU2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CROQUIS!$C$97,CROQUIS!$C$97-CROQUIS!$C$107/2-CROQUIS!$C$143,IF(CROQUIS!$C$104=1,CROQUIS!$C$97+12,CROQUIS!$C$97-2),CROQUIS!$C$97-CROQUIS!$C$107/2-CROQUIS!$C$143,CROQUIS!$C$97)))*CROQUIS!$C$159)+IF(CROQUIS!$C$92="X",0.8,0)),-1000)</f>
        <v>-1000</v>
      </c>
      <c r="BV2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HOOSE(IF(INT(($A286-1)/5)&gt;MAX((MAX(1,INT(((CROQUIS!$C$97)-CROQUIS!$C$107)/MAX((CROQUIS!$C$141*MAX(1,CEILING((INT(((CROQUIS!$C$97)-CROQUIS!$C$107)/MAX(CROQUIS!$C$141,1))+1)/80,1))),1))+1))-1,0),0,MOD($A286-1,5))+1,0,IF(CROQUIS!$C$105=1,-12,2),CROQUIS!$C$107/2+CROQUIS!$C$144,IF(CROQUIS!$C$105=1,-12,2),0)))*CROQUIS!$C$159)+IF(CROQUIS!$C$92="X",0.8,0)),-1000)</f>
        <v>-1000</v>
      </c>
      <c r="BW286">
        <f>IF(AND(CROQUIS!$C$88=1,CROQUIS!$C$91=0,CROQUIS!$C$141&gt;0,OR(CROQUIS!$C$105=1,CROQUIS!$C$146=1)),((CROQUIS!$C$161+(IF(CROQUIS!$C$92="X",CHOOSE(IF(INT(($A286-1)/5)&gt;MAX((MAX(1,INT(((CROQUIS!$C$97)-CROQUIS!$C$107)/MAX((CROQUIS!$C$141*MAX(1,CEILING((INT(((CROQUIS!$C$97)-CROQUIS!$C$107)/MAX(CROQUIS!$C$141,1))+1)/80,1))),1))+1))-1,0),0,MOD($A286-1,5))+1,0,IF(CROQUIS!$C$105=1,-12,2),CROQUIS!$C$107/2+CROQUIS!$C$144,IF(CROQUIS!$C$105=1,-12,2),0),((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ROQUIS!$C$159)+IF(CROQUIS!$C$92="X",0,0.8)),-1000)</f>
        <v>-1000</v>
      </c>
      <c r="BX2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HOOSE(IF(INT(($A286-1)/5)&gt;MAX((MAX(1,INT(((CROQUIS!$C$97)-CROQUIS!$C$107)/MAX((CROQUIS!$C$141*MAX(1,CEILING((INT(((CROQUIS!$C$97)-CROQUIS!$C$107)/MAX(CROQUIS!$C$141,1))+1)/80,1))),1))+1))-1,0),0,MOD($A286-1,5))+1,CROQUIS!$C$98,CROQUIS!$C$98-CROQUIS!$C$107/2-CROQUIS!$C$144,IF(CROQUIS!$C$106=1,CROQUIS!$C$98+12,CROQUIS!$C$98-2),CROQUIS!$C$98-CROQUIS!$C$107/2-CROQUIS!$C$144,CROQUIS!$C$98)))*CROQUIS!$C$159)+IF(CROQUIS!$C$92="X",0.8,0)),-1000)</f>
        <v>-1000</v>
      </c>
      <c r="BY286">
        <f>IF(AND(CROQUIS!$C$88=1,CROQUIS!$C$91=0,CROQUIS!$C$141&gt;0,OR(CROQUIS!$C$106=1,CROQUIS!$C$146=1)),((CROQUIS!$C$161+(IF(CROQUIS!$C$92="X",CHOOSE(IF(INT(($A286-1)/5)&gt;MAX((MAX(1,INT(((CROQUIS!$C$97)-CROQUIS!$C$107)/MAX((CROQUIS!$C$141*MAX(1,CEILING((INT(((CROQUIS!$C$97)-CROQUIS!$C$107)/MAX(CROQUIS!$C$141,1))+1)/80,1))),1))+1))-1,0),0,MOD($A286-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ROQUIS!$C$159)+IF(CROQUIS!$C$92="X",0,0.8)),-1000)</f>
        <v>-1000</v>
      </c>
      <c r="BZ286">
        <f>IF(AND(CROQUIS!$C$88=1,CROQUIS!$C$91=1,CROQUIS!$C$133&gt;0),((CROQUIS!$C$160+(IF(CROQUIS!$C$92="X",CHOOSE(IF(INT(($A286-1)/5)&gt;MAX((MAX(1,INT(((CROQUIS!$C$98)-CROQUIS!$C$107)/MAX((CROQUIS!$C$133*MAX(1,CEILING((INT(((CROQUIS!$C$98)-CROQUIS!$C$107)/MAX(CROQUIS!$C$133,1))+1)/80,1))),1))+1))-1,0),0,MOD($A286-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CA286">
        <f>IF(AND(CROQUIS!$C$88=1,CROQUIS!$C$91=1,CROQUIS!$C$133&gt;0),((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7">
      <c r="A287" t="n">
        <v>280</v>
      </c>
      <c r="BN287">
        <f>IF(AND(CROQUIS!$C$88=1,CROQUIS!$C$129&gt;0),((CROQUIS!$C$160+(IF(CROQUIS!$C$92="X",CHOOSE(IF(INT(($A287-1)/5)&gt;MAX((MAX(1,INT(((CROQUIS!$C$98)-CROQUIS!$C$107)/MAX((CROQUIS!$C$129*MAX(1,CEILING((INT(((CROQUIS!$C$98)-CROQUIS!$C$107)/MAX(CROQUIS!$C$129,1))+1)/80,1))),1))+1))-1,0),0,MOD($A287-1,5))+1,0,2,CROQUIS!$C$97-2,2,0),((CROQUIS!$C$107/2+(((CROQUIS!$C$98)-CROQUIS!$C$107)-(MAX(1,INT(((CROQUIS!$C$98)-CROQUIS!$C$107)/MAX((CROQUIS!$C$129*MAX(1,CEILING((INT(((CROQUIS!$C$98)-CROQUIS!$C$107)/MAX(CROQUIS!$C$129,1))+1)/80,1))),1))+1)-1)*(CROQUIS!$C$129*MAX(1,CEILING((INT(((CROQUIS!$C$98)-CROQUIS!$C$107)/MAX(CROQUIS!$C$129,1))+1)/80,1))))/2)+MIN(INT(($A287-1)/5),MAX((MAX(1,INT(((CROQUIS!$C$98)-CROQUIS!$C$107)/MAX((CROQUIS!$C$129*MAX(1,CEILING((INT(((CROQUIS!$C$98)-CROQUIS!$C$107)/MAX(CROQUIS!$C$129,1))+1)/80,1))),1))+1))-1,0))*(CROQUIS!$C$129*MAX(1,CEILING((INT(((CROQUIS!$C$98)-CROQUIS!$C$107)/MAX(CROQUIS!$C$129,1))+1)/80,1))))))*CROQUIS!$C$159)+IF(CROQUIS!$C$92="X",0,0)),-1000)</f>
        <v>-1000</v>
      </c>
      <c r="BO287">
        <f>IF(AND(CROQUIS!$C$88=1,CROQUIS!$C$129&gt;0),((CROQUIS!$C$161+(IF(CROQUIS!$C$92="X",((CROQUIS!$C$107/2+(((CROQUIS!$C$98)-CROQUIS!$C$107)-(MAX(1,INT(((CROQUIS!$C$98)-CROQUIS!$C$107)/MAX((CROQUIS!$C$129*MAX(1,CEILING((INT(((CROQUIS!$C$98)-CROQUIS!$C$107)/MAX(CROQUIS!$C$129,1))+1)/80,1))),1))+1)-1)*(CROQUIS!$C$129*MAX(1,CEILING((INT(((CROQUIS!$C$98)-CROQUIS!$C$107)/MAX(CROQUIS!$C$129,1))+1)/80,1))))/2)+MIN(INT(($A287-1)/5),MAX((MAX(1,INT(((CROQUIS!$C$98)-CROQUIS!$C$107)/MAX((CROQUIS!$C$129*MAX(1,CEILING((INT(((CROQUIS!$C$98)-CROQUIS!$C$107)/MAX(CROQUIS!$C$129,1))+1)/80,1))),1))+1))-1,0))*(CROQUIS!$C$129*MAX(1,CEILING((INT(((CROQUIS!$C$98)-CROQUIS!$C$107)/MAX(CROQUIS!$C$129,1))+1)/80,1)))),CHOOSE(IF(INT(($A287-1)/5)&gt;MAX((MAX(1,INT(((CROQUIS!$C$98)-CROQUIS!$C$107)/MAX((CROQUIS!$C$129*MAX(1,CEILING((INT(((CROQUIS!$C$98)-CROQUIS!$C$107)/MAX(CROQUIS!$C$129,1))+1)/80,1))),1))+1))-1,0),0,MOD($A287-1,5))+1,0,2,CROQUIS!$C$97-2,2,0)))*CROQUIS!$C$159)+IF(CROQUIS!$C$92="X",0,0)),-1000)</f>
        <v>-1000</v>
      </c>
      <c r="BP287">
        <f>IF(AND(CROQUIS!$C$88=1,CROQUIS!$C$137&gt;0),((CROQUIS!$C$160+(IF(CROQUIS!$C$92="X",((CROQUIS!$C$107/2+(((CROQUIS!$C$97)-CROQUIS!$C$107)-(MAX(1,INT(((CROQUIS!$C$97)-CROQUIS!$C$107)/MAX((CROQUIS!$C$137*MAX(1,CEILING((INT(((CROQUIS!$C$97)-CROQUIS!$C$107)/MAX(CROQUIS!$C$137,1))+1)/80,1))),1))+1)-1)*(CROQUIS!$C$137*MAX(1,CEILING((INT(((CROQUIS!$C$97)-CROQUIS!$C$107)/MAX(CROQUIS!$C$137,1))+1)/80,1))))/2)+MIN(INT(($A287-1)/5),MAX((MAX(1,INT(((CROQUIS!$C$97)-CROQUIS!$C$107)/MAX((CROQUIS!$C$137*MAX(1,CEILING((INT(((CROQUIS!$C$97)-CROQUIS!$C$107)/MAX(CROQUIS!$C$137,1))+1)/80,1))),1))+1))-1,0))*(CROQUIS!$C$137*MAX(1,CEILING((INT(((CROQUIS!$C$97)-CROQUIS!$C$107)/MAX(CROQUIS!$C$137,1))+1)/80,1)))),CHOOSE(IF(INT(($A287-1)/5)&gt;MAX((MAX(1,INT(((CROQUIS!$C$97)-CROQUIS!$C$107)/MAX((CROQUIS!$C$137*MAX(1,CEILING((INT(((CROQUIS!$C$97)-CROQUIS!$C$107)/MAX(CROQUIS!$C$137,1))+1)/80,1))),1))+1))-1,0),0,MOD($A287-1,5))+1,0,2,CROQUIS!$C$98-2,2,0)))*CROQUIS!$C$159)+IF(CROQUIS!$C$92="X",0,0)),-1000)</f>
        <v>-1000</v>
      </c>
      <c r="BQ287">
        <f>IF(AND(CROQUIS!$C$88=1,CROQUIS!$C$137&gt;0),((CROQUIS!$C$161+(IF(CROQUIS!$C$92="X",CHOOSE(IF(INT(($A287-1)/5)&gt;MAX((MAX(1,INT(((CROQUIS!$C$97)-CROQUIS!$C$107)/MAX((CROQUIS!$C$137*MAX(1,CEILING((INT(((CROQUIS!$C$97)-CROQUIS!$C$107)/MAX(CROQUIS!$C$137,1))+1)/80,1))),1))+1))-1,0),0,MOD($A287-1,5))+1,0,2,CROQUIS!$C$98-2,2,0),((CROQUIS!$C$107/2+(((CROQUIS!$C$97)-CROQUIS!$C$107)-(MAX(1,INT(((CROQUIS!$C$97)-CROQUIS!$C$107)/MAX((CROQUIS!$C$137*MAX(1,CEILING((INT(((CROQUIS!$C$97)-CROQUIS!$C$107)/MAX(CROQUIS!$C$137,1))+1)/80,1))),1))+1)-1)*(CROQUIS!$C$137*MAX(1,CEILING((INT(((CROQUIS!$C$97)-CROQUIS!$C$107)/MAX(CROQUIS!$C$137,1))+1)/80,1))))/2)+MIN(INT(($A287-1)/5),MAX((MAX(1,INT(((CROQUIS!$C$97)-CROQUIS!$C$107)/MAX((CROQUIS!$C$137*MAX(1,CEILING((INT(((CROQUIS!$C$97)-CROQUIS!$C$107)/MAX(CROQUIS!$C$137,1))+1)/80,1))),1))+1))-1,0))*(CROQUIS!$C$137*MAX(1,CEILING((INT(((CROQUIS!$C$97)-CROQUIS!$C$107)/MAX(CROQUIS!$C$137,1))+1)/80,1))))))*CROQUIS!$C$159)+IF(CROQUIS!$C$92="X",0,0)),-1000)</f>
        <v>-1000</v>
      </c>
      <c r="BR287">
        <f>IF(AND(CROQUIS!$C$88=1,CROQUIS!$C$91=0,CROQUIS!$C$133&gt;0,OR(CROQUIS!$C$103=1,CROQUIS!$C$145=1)),((CROQUIS!$C$160+(IF(CROQUIS!$C$92="X",CHOOSE(IF(INT(($A287-1)/5)&gt;MAX((MAX(1,INT(((CROQUIS!$C$98)-CROQUIS!$C$107)/MAX((CROQUIS!$C$133*MAX(1,CEILING((INT(((CROQUIS!$C$98)-CROQUIS!$C$107)/MAX(CROQUIS!$C$133,1))+1)/80,1))),1))+1))-1,0),0,MOD($A287-1,5))+1,0,IF(CROQUIS!$C$103=1,-12,2),CROQUIS!$C$107/2+CROQUIS!$C$143,IF(CROQUIS!$C$103=1,-12,2),0),((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BS2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+1,0,IF(CROQUIS!$C$103=1,-12,2),CROQUIS!$C$107/2+CROQUIS!$C$143,IF(CROQUIS!$C$103=1,-12,2),0)))*CROQUIS!$C$159)+IF(CROQUIS!$C$92="X",0.8,0)),-1000)</f>
        <v>-1000</v>
      </c>
      <c r="BT287">
        <f>IF(AND(CROQUIS!$C$88=1,CROQUIS!$C$91=0,CROQUIS!$C$133&gt;0,OR(CROQUIS!$C$104=1,CROQUIS!$C$145=1)),((CROQUIS!$C$160+(IF(CROQUIS!$C$92="X",CHOOSE(IF(INT(($A287-1)/5)&gt;MAX((MAX(1,INT(((CROQUIS!$C$98)-CROQUIS!$C$107)/MAX((CROQUIS!$C$133*MAX(1,CEILING((INT(((CROQUIS!$C$98)-CROQUIS!$C$107)/MAX(CROQUIS!$C$133,1))+1)/80,1))),1))+1))-1,0),0,MOD($A287-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BU2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CROQUIS!$C$97,CROQUIS!$C$97-CROQUIS!$C$107/2-CROQUIS!$C$143,IF(CROQUIS!$C$104=1,CROQUIS!$C$97+12,CROQUIS!$C$97-2),CROQUIS!$C$97-CROQUIS!$C$107/2-CROQUIS!$C$143,CROQUIS!$C$97)))*CROQUIS!$C$159)+IF(CROQUIS!$C$92="X",0.8,0)),-1000)</f>
        <v>-1000</v>
      </c>
      <c r="BV2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HOOSE(IF(INT(($A287-1)/5)&gt;MAX((MAX(1,INT(((CROQUIS!$C$97)-CROQUIS!$C$107)/MAX((CROQUIS!$C$141*MAX(1,CEILING((INT(((CROQUIS!$C$97)-CROQUIS!$C$107)/MAX(CROQUIS!$C$141,1))+1)/80,1))),1))+1))-1,0),0,MOD($A287-1,5))+1,0,IF(CROQUIS!$C$105=1,-12,2),CROQUIS!$C$107/2+CROQUIS!$C$144,IF(CROQUIS!$C$105=1,-12,2),0)))*CROQUIS!$C$159)+IF(CROQUIS!$C$92="X",0.8,0)),-1000)</f>
        <v>-1000</v>
      </c>
      <c r="BW287">
        <f>IF(AND(CROQUIS!$C$88=1,CROQUIS!$C$91=0,CROQUIS!$C$141&gt;0,OR(CROQUIS!$C$105=1,CROQUIS!$C$146=1)),((CROQUIS!$C$161+(IF(CROQUIS!$C$92="X",CHOOSE(IF(INT(($A287-1)/5)&gt;MAX((MAX(1,INT(((CROQUIS!$C$97)-CROQUIS!$C$107)/MAX((CROQUIS!$C$141*MAX(1,CEILING((INT(((CROQUIS!$C$97)-CROQUIS!$C$107)/MAX(CROQUIS!$C$141,1))+1)/80,1))),1))+1))-1,0),0,MOD($A287-1,5))+1,0,IF(CROQUIS!$C$105=1,-12,2),CROQUIS!$C$107/2+CROQUIS!$C$144,IF(CROQUIS!$C$105=1,-12,2),0),((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ROQUIS!$C$159)+IF(CROQUIS!$C$92="X",0,0.8)),-1000)</f>
        <v>-1000</v>
      </c>
      <c r="BX2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HOOSE(IF(INT(($A287-1)/5)&gt;MAX((MAX(1,INT(((CROQUIS!$C$97)-CROQUIS!$C$107)/MAX((CROQUIS!$C$141*MAX(1,CEILING((INT(((CROQUIS!$C$97)-CROQUIS!$C$107)/MAX(CROQUIS!$C$141,1))+1)/80,1))),1))+1))-1,0),0,MOD($A287-1,5))+1,CROQUIS!$C$98,CROQUIS!$C$98-CROQUIS!$C$107/2-CROQUIS!$C$144,IF(CROQUIS!$C$106=1,CROQUIS!$C$98+12,CROQUIS!$C$98-2),CROQUIS!$C$98-CROQUIS!$C$107/2-CROQUIS!$C$144,CROQUIS!$C$98)))*CROQUIS!$C$159)+IF(CROQUIS!$C$92="X",0.8,0)),-1000)</f>
        <v>-1000</v>
      </c>
      <c r="BY287">
        <f>IF(AND(CROQUIS!$C$88=1,CROQUIS!$C$91=0,CROQUIS!$C$141&gt;0,OR(CROQUIS!$C$106=1,CROQUIS!$C$146=1)),((CROQUIS!$C$161+(IF(CROQUIS!$C$92="X",CHOOSE(IF(INT(($A287-1)/5)&gt;MAX((MAX(1,INT(((CROQUIS!$C$97)-CROQUIS!$C$107)/MAX((CROQUIS!$C$141*MAX(1,CEILING((INT(((CROQUIS!$C$97)-CROQUIS!$C$107)/MAX(CROQUIS!$C$141,1))+1)/80,1))),1))+1))-1,0),0,MOD($A287-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ROQUIS!$C$159)+IF(CROQUIS!$C$92="X",0,0.8)),-1000)</f>
        <v>-1000</v>
      </c>
      <c r="BZ287">
        <f>IF(AND(CROQUIS!$C$88=1,CROQUIS!$C$91=1,CROQUIS!$C$133&gt;0),((CROQUIS!$C$160+(IF(CROQUIS!$C$92="X",CHOOSE(IF(INT(($A287-1)/5)&gt;MAX((MAX(1,INT(((CROQUIS!$C$98)-CROQUIS!$C$107)/MAX((CROQUIS!$C$133*MAX(1,CEILING((INT(((CROQUIS!$C$98)-CROQUIS!$C$107)/MAX(CROQUIS!$C$133,1))+1)/80,1))),1))+1))-1,0),0,MOD($A287-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CA287">
        <f>IF(AND(CROQUIS!$C$88=1,CROQUIS!$C$91=1,CROQUIS!$C$133&gt;0),((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8">
      <c r="A288" t="n">
        <v>281</v>
      </c>
      <c r="BN288">
        <f>IF(AND(CROQUIS!$C$88=1,CROQUIS!$C$129&gt;0),((CROQUIS!$C$160+(IF(CROQUIS!$C$92="X",CHOOSE(IF(INT(($A288-1)/5)&gt;MAX((MAX(1,INT(((CROQUIS!$C$98)-CROQUIS!$C$107)/MAX((CROQUIS!$C$129*MAX(1,CEILING((INT(((CROQUIS!$C$98)-CROQUIS!$C$107)/MAX(CROQUIS!$C$129,1))+1)/80,1))),1))+1))-1,0),0,MOD($A288-1,5))+1,0,2,CROQUIS!$C$97-2,2,0),((CROQUIS!$C$107/2+(((CROQUIS!$C$98)-CROQUIS!$C$107)-(MAX(1,INT(((CROQUIS!$C$98)-CROQUIS!$C$107)/MAX((CROQUIS!$C$129*MAX(1,CEILING((INT(((CROQUIS!$C$98)-CROQUIS!$C$107)/MAX(CROQUIS!$C$129,1))+1)/80,1))),1))+1)-1)*(CROQUIS!$C$129*MAX(1,CEILING((INT(((CROQUIS!$C$98)-CROQUIS!$C$107)/MAX(CROQUIS!$C$129,1))+1)/80,1))))/2)+MIN(INT(($A288-1)/5),MAX((MAX(1,INT(((CROQUIS!$C$98)-CROQUIS!$C$107)/MAX((CROQUIS!$C$129*MAX(1,CEILING((INT(((CROQUIS!$C$98)-CROQUIS!$C$107)/MAX(CROQUIS!$C$129,1))+1)/80,1))),1))+1))-1,0))*(CROQUIS!$C$129*MAX(1,CEILING((INT(((CROQUIS!$C$98)-CROQUIS!$C$107)/MAX(CROQUIS!$C$129,1))+1)/80,1))))))*CROQUIS!$C$159)+IF(CROQUIS!$C$92="X",0,0)),-1000)</f>
        <v>-1000</v>
      </c>
      <c r="BO288">
        <f>IF(AND(CROQUIS!$C$88=1,CROQUIS!$C$129&gt;0),((CROQUIS!$C$161+(IF(CROQUIS!$C$92="X",((CROQUIS!$C$107/2+(((CROQUIS!$C$98)-CROQUIS!$C$107)-(MAX(1,INT(((CROQUIS!$C$98)-CROQUIS!$C$107)/MAX((CROQUIS!$C$129*MAX(1,CEILING((INT(((CROQUIS!$C$98)-CROQUIS!$C$107)/MAX(CROQUIS!$C$129,1))+1)/80,1))),1))+1)-1)*(CROQUIS!$C$129*MAX(1,CEILING((INT(((CROQUIS!$C$98)-CROQUIS!$C$107)/MAX(CROQUIS!$C$129,1))+1)/80,1))))/2)+MIN(INT(($A288-1)/5),MAX((MAX(1,INT(((CROQUIS!$C$98)-CROQUIS!$C$107)/MAX((CROQUIS!$C$129*MAX(1,CEILING((INT(((CROQUIS!$C$98)-CROQUIS!$C$107)/MAX(CROQUIS!$C$129,1))+1)/80,1))),1))+1))-1,0))*(CROQUIS!$C$129*MAX(1,CEILING((INT(((CROQUIS!$C$98)-CROQUIS!$C$107)/MAX(CROQUIS!$C$129,1))+1)/80,1)))),CHOOSE(IF(INT(($A288-1)/5)&gt;MAX((MAX(1,INT(((CROQUIS!$C$98)-CROQUIS!$C$107)/MAX((CROQUIS!$C$129*MAX(1,CEILING((INT(((CROQUIS!$C$98)-CROQUIS!$C$107)/MAX(CROQUIS!$C$129,1))+1)/80,1))),1))+1))-1,0),0,MOD($A288-1,5))+1,0,2,CROQUIS!$C$97-2,2,0)))*CROQUIS!$C$159)+IF(CROQUIS!$C$92="X",0,0)),-1000)</f>
        <v>-1000</v>
      </c>
      <c r="BP288">
        <f>IF(AND(CROQUIS!$C$88=1,CROQUIS!$C$137&gt;0),((CROQUIS!$C$160+(IF(CROQUIS!$C$92="X",((CROQUIS!$C$107/2+(((CROQUIS!$C$97)-CROQUIS!$C$107)-(MAX(1,INT(((CROQUIS!$C$97)-CROQUIS!$C$107)/MAX((CROQUIS!$C$137*MAX(1,CEILING((INT(((CROQUIS!$C$97)-CROQUIS!$C$107)/MAX(CROQUIS!$C$137,1))+1)/80,1))),1))+1)-1)*(CROQUIS!$C$137*MAX(1,CEILING((INT(((CROQUIS!$C$97)-CROQUIS!$C$107)/MAX(CROQUIS!$C$137,1))+1)/80,1))))/2)+MIN(INT(($A288-1)/5),MAX((MAX(1,INT(((CROQUIS!$C$97)-CROQUIS!$C$107)/MAX((CROQUIS!$C$137*MAX(1,CEILING((INT(((CROQUIS!$C$97)-CROQUIS!$C$107)/MAX(CROQUIS!$C$137,1))+1)/80,1))),1))+1))-1,0))*(CROQUIS!$C$137*MAX(1,CEILING((INT(((CROQUIS!$C$97)-CROQUIS!$C$107)/MAX(CROQUIS!$C$137,1))+1)/80,1)))),CHOOSE(IF(INT(($A288-1)/5)&gt;MAX((MAX(1,INT(((CROQUIS!$C$97)-CROQUIS!$C$107)/MAX((CROQUIS!$C$137*MAX(1,CEILING((INT(((CROQUIS!$C$97)-CROQUIS!$C$107)/MAX(CROQUIS!$C$137,1))+1)/80,1))),1))+1))-1,0),0,MOD($A288-1,5))+1,0,2,CROQUIS!$C$98-2,2,0)))*CROQUIS!$C$159)+IF(CROQUIS!$C$92="X",0,0)),-1000)</f>
        <v>-1000</v>
      </c>
      <c r="BQ288">
        <f>IF(AND(CROQUIS!$C$88=1,CROQUIS!$C$137&gt;0),((CROQUIS!$C$161+(IF(CROQUIS!$C$92="X",CHOOSE(IF(INT(($A288-1)/5)&gt;MAX((MAX(1,INT(((CROQUIS!$C$97)-CROQUIS!$C$107)/MAX((CROQUIS!$C$137*MAX(1,CEILING((INT(((CROQUIS!$C$97)-CROQUIS!$C$107)/MAX(CROQUIS!$C$137,1))+1)/80,1))),1))+1))-1,0),0,MOD($A288-1,5))+1,0,2,CROQUIS!$C$98-2,2,0),((CROQUIS!$C$107/2+(((CROQUIS!$C$97)-CROQUIS!$C$107)-(MAX(1,INT(((CROQUIS!$C$97)-CROQUIS!$C$107)/MAX((CROQUIS!$C$137*MAX(1,CEILING((INT(((CROQUIS!$C$97)-CROQUIS!$C$107)/MAX(CROQUIS!$C$137,1))+1)/80,1))),1))+1)-1)*(CROQUIS!$C$137*MAX(1,CEILING((INT(((CROQUIS!$C$97)-CROQUIS!$C$107)/MAX(CROQUIS!$C$137,1))+1)/80,1))))/2)+MIN(INT(($A288-1)/5),MAX((MAX(1,INT(((CROQUIS!$C$97)-CROQUIS!$C$107)/MAX((CROQUIS!$C$137*MAX(1,CEILING((INT(((CROQUIS!$C$97)-CROQUIS!$C$107)/MAX(CROQUIS!$C$137,1))+1)/80,1))),1))+1))-1,0))*(CROQUIS!$C$137*MAX(1,CEILING((INT(((CROQUIS!$C$97)-CROQUIS!$C$107)/MAX(CROQUIS!$C$137,1))+1)/80,1))))))*CROQUIS!$C$159)+IF(CROQUIS!$C$92="X",0,0)),-1000)</f>
        <v>-1000</v>
      </c>
      <c r="BR288">
        <f>IF(AND(CROQUIS!$C$88=1,CROQUIS!$C$91=0,CROQUIS!$C$133&gt;0,OR(CROQUIS!$C$103=1,CROQUIS!$C$145=1)),((CROQUIS!$C$160+(IF(CROQUIS!$C$92="X",CHOOSE(IF(INT(($A288-1)/5)&gt;MAX((MAX(1,INT(((CROQUIS!$C$98)-CROQUIS!$C$107)/MAX((CROQUIS!$C$133*MAX(1,CEILING((INT(((CROQUIS!$C$98)-CROQUIS!$C$107)/MAX(CROQUIS!$C$133,1))+1)/80,1))),1))+1))-1,0),0,MOD($A288-1,5))+1,0,IF(CROQUIS!$C$103=1,-12,2),CROQUIS!$C$107/2+CROQUIS!$C$143,IF(CROQUIS!$C$103=1,-12,2),0),((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BS2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+1,0,IF(CROQUIS!$C$103=1,-12,2),CROQUIS!$C$107/2+CROQUIS!$C$143,IF(CROQUIS!$C$103=1,-12,2),0)))*CROQUIS!$C$159)+IF(CROQUIS!$C$92="X",0.8,0)),-1000)</f>
        <v>-1000</v>
      </c>
      <c r="BT288">
        <f>IF(AND(CROQUIS!$C$88=1,CROQUIS!$C$91=0,CROQUIS!$C$133&gt;0,OR(CROQUIS!$C$104=1,CROQUIS!$C$145=1)),((CROQUIS!$C$160+(IF(CROQUIS!$C$92="X",CHOOSE(IF(INT(($A288-1)/5)&gt;MAX((MAX(1,INT(((CROQUIS!$C$98)-CROQUIS!$C$107)/MAX((CROQUIS!$C$133*MAX(1,CEILING((INT(((CROQUIS!$C$98)-CROQUIS!$C$107)/MAX(CROQUIS!$C$133,1))+1)/80,1))),1))+1))-1,0),0,MOD($A288-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BU2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CROQUIS!$C$97,CROQUIS!$C$97-CROQUIS!$C$107/2-CROQUIS!$C$143,IF(CROQUIS!$C$104=1,CROQUIS!$C$97+12,CROQUIS!$C$97-2),CROQUIS!$C$97-CROQUIS!$C$107/2-CROQUIS!$C$143,CROQUIS!$C$97)))*CROQUIS!$C$159)+IF(CROQUIS!$C$92="X",0.8,0)),-1000)</f>
        <v>-1000</v>
      </c>
      <c r="BV2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HOOSE(IF(INT(($A288-1)/5)&gt;MAX((MAX(1,INT(((CROQUIS!$C$97)-CROQUIS!$C$107)/MAX((CROQUIS!$C$141*MAX(1,CEILING((INT(((CROQUIS!$C$97)-CROQUIS!$C$107)/MAX(CROQUIS!$C$141,1))+1)/80,1))),1))+1))-1,0),0,MOD($A288-1,5))+1,0,IF(CROQUIS!$C$105=1,-12,2),CROQUIS!$C$107/2+CROQUIS!$C$144,IF(CROQUIS!$C$105=1,-12,2),0)))*CROQUIS!$C$159)+IF(CROQUIS!$C$92="X",0.8,0)),-1000)</f>
        <v>-1000</v>
      </c>
      <c r="BW288">
        <f>IF(AND(CROQUIS!$C$88=1,CROQUIS!$C$91=0,CROQUIS!$C$141&gt;0,OR(CROQUIS!$C$105=1,CROQUIS!$C$146=1)),((CROQUIS!$C$161+(IF(CROQUIS!$C$92="X",CHOOSE(IF(INT(($A288-1)/5)&gt;MAX((MAX(1,INT(((CROQUIS!$C$97)-CROQUIS!$C$107)/MAX((CROQUIS!$C$141*MAX(1,CEILING((INT(((CROQUIS!$C$97)-CROQUIS!$C$107)/MAX(CROQUIS!$C$141,1))+1)/80,1))),1))+1))-1,0),0,MOD($A288-1,5))+1,0,IF(CROQUIS!$C$105=1,-12,2),CROQUIS!$C$107/2+CROQUIS!$C$144,IF(CROQUIS!$C$105=1,-12,2),0),((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ROQUIS!$C$159)+IF(CROQUIS!$C$92="X",0,0.8)),-1000)</f>
        <v>-1000</v>
      </c>
      <c r="BX2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HOOSE(IF(INT(($A288-1)/5)&gt;MAX((MAX(1,INT(((CROQUIS!$C$97)-CROQUIS!$C$107)/MAX((CROQUIS!$C$141*MAX(1,CEILING((INT(((CROQUIS!$C$97)-CROQUIS!$C$107)/MAX(CROQUIS!$C$141,1))+1)/80,1))),1))+1))-1,0),0,MOD($A288-1,5))+1,CROQUIS!$C$98,CROQUIS!$C$98-CROQUIS!$C$107/2-CROQUIS!$C$144,IF(CROQUIS!$C$106=1,CROQUIS!$C$98+12,CROQUIS!$C$98-2),CROQUIS!$C$98-CROQUIS!$C$107/2-CROQUIS!$C$144,CROQUIS!$C$98)))*CROQUIS!$C$159)+IF(CROQUIS!$C$92="X",0.8,0)),-1000)</f>
        <v>-1000</v>
      </c>
      <c r="BY288">
        <f>IF(AND(CROQUIS!$C$88=1,CROQUIS!$C$91=0,CROQUIS!$C$141&gt;0,OR(CROQUIS!$C$106=1,CROQUIS!$C$146=1)),((CROQUIS!$C$161+(IF(CROQUIS!$C$92="X",CHOOSE(IF(INT(($A288-1)/5)&gt;MAX((MAX(1,INT(((CROQUIS!$C$97)-CROQUIS!$C$107)/MAX((CROQUIS!$C$141*MAX(1,CEILING((INT(((CROQUIS!$C$97)-CROQUIS!$C$107)/MAX(CROQUIS!$C$141,1))+1)/80,1))),1))+1))-1,0),0,MOD($A288-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ROQUIS!$C$159)+IF(CROQUIS!$C$92="X",0,0.8)),-1000)</f>
        <v>-1000</v>
      </c>
      <c r="BZ288">
        <f>IF(AND(CROQUIS!$C$88=1,CROQUIS!$C$91=1,CROQUIS!$C$133&gt;0),((CROQUIS!$C$160+(IF(CROQUIS!$C$92="X",CHOOSE(IF(INT(($A288-1)/5)&gt;MAX((MAX(1,INT(((CROQUIS!$C$98)-CROQUIS!$C$107)/MAX((CROQUIS!$C$133*MAX(1,CEILING((INT(((CROQUIS!$C$98)-CROQUIS!$C$107)/MAX(CROQUIS!$C$133,1))+1)/80,1))),1))+1))-1,0),0,MOD($A288-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CA288">
        <f>IF(AND(CROQUIS!$C$88=1,CROQUIS!$C$91=1,CROQUIS!$C$133&gt;0),((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9">
      <c r="A289" t="n">
        <v>282</v>
      </c>
      <c r="BN289">
        <f>IF(AND(CROQUIS!$C$88=1,CROQUIS!$C$129&gt;0),((CROQUIS!$C$160+(IF(CROQUIS!$C$92="X",CHOOSE(IF(INT(($A289-1)/5)&gt;MAX((MAX(1,INT(((CROQUIS!$C$98)-CROQUIS!$C$107)/MAX((CROQUIS!$C$129*MAX(1,CEILING((INT(((CROQUIS!$C$98)-CROQUIS!$C$107)/MAX(CROQUIS!$C$129,1))+1)/80,1))),1))+1))-1,0),0,MOD($A289-1,5))+1,0,2,CROQUIS!$C$97-2,2,0),((CROQUIS!$C$107/2+(((CROQUIS!$C$98)-CROQUIS!$C$107)-(MAX(1,INT(((CROQUIS!$C$98)-CROQUIS!$C$107)/MAX((CROQUIS!$C$129*MAX(1,CEILING((INT(((CROQUIS!$C$98)-CROQUIS!$C$107)/MAX(CROQUIS!$C$129,1))+1)/80,1))),1))+1)-1)*(CROQUIS!$C$129*MAX(1,CEILING((INT(((CROQUIS!$C$98)-CROQUIS!$C$107)/MAX(CROQUIS!$C$129,1))+1)/80,1))))/2)+MIN(INT(($A289-1)/5),MAX((MAX(1,INT(((CROQUIS!$C$98)-CROQUIS!$C$107)/MAX((CROQUIS!$C$129*MAX(1,CEILING((INT(((CROQUIS!$C$98)-CROQUIS!$C$107)/MAX(CROQUIS!$C$129,1))+1)/80,1))),1))+1))-1,0))*(CROQUIS!$C$129*MAX(1,CEILING((INT(((CROQUIS!$C$98)-CROQUIS!$C$107)/MAX(CROQUIS!$C$129,1))+1)/80,1))))))*CROQUIS!$C$159)+IF(CROQUIS!$C$92="X",0,0)),-1000)</f>
        <v>-1000</v>
      </c>
      <c r="BO289">
        <f>IF(AND(CROQUIS!$C$88=1,CROQUIS!$C$129&gt;0),((CROQUIS!$C$161+(IF(CROQUIS!$C$92="X",((CROQUIS!$C$107/2+(((CROQUIS!$C$98)-CROQUIS!$C$107)-(MAX(1,INT(((CROQUIS!$C$98)-CROQUIS!$C$107)/MAX((CROQUIS!$C$129*MAX(1,CEILING((INT(((CROQUIS!$C$98)-CROQUIS!$C$107)/MAX(CROQUIS!$C$129,1))+1)/80,1))),1))+1)-1)*(CROQUIS!$C$129*MAX(1,CEILING((INT(((CROQUIS!$C$98)-CROQUIS!$C$107)/MAX(CROQUIS!$C$129,1))+1)/80,1))))/2)+MIN(INT(($A289-1)/5),MAX((MAX(1,INT(((CROQUIS!$C$98)-CROQUIS!$C$107)/MAX((CROQUIS!$C$129*MAX(1,CEILING((INT(((CROQUIS!$C$98)-CROQUIS!$C$107)/MAX(CROQUIS!$C$129,1))+1)/80,1))),1))+1))-1,0))*(CROQUIS!$C$129*MAX(1,CEILING((INT(((CROQUIS!$C$98)-CROQUIS!$C$107)/MAX(CROQUIS!$C$129,1))+1)/80,1)))),CHOOSE(IF(INT(($A289-1)/5)&gt;MAX((MAX(1,INT(((CROQUIS!$C$98)-CROQUIS!$C$107)/MAX((CROQUIS!$C$129*MAX(1,CEILING((INT(((CROQUIS!$C$98)-CROQUIS!$C$107)/MAX(CROQUIS!$C$129,1))+1)/80,1))),1))+1))-1,0),0,MOD($A289-1,5))+1,0,2,CROQUIS!$C$97-2,2,0)))*CROQUIS!$C$159)+IF(CROQUIS!$C$92="X",0,0)),-1000)</f>
        <v>-1000</v>
      </c>
      <c r="BP289">
        <f>IF(AND(CROQUIS!$C$88=1,CROQUIS!$C$137&gt;0),((CROQUIS!$C$160+(IF(CROQUIS!$C$92="X",((CROQUIS!$C$107/2+(((CROQUIS!$C$97)-CROQUIS!$C$107)-(MAX(1,INT(((CROQUIS!$C$97)-CROQUIS!$C$107)/MAX((CROQUIS!$C$137*MAX(1,CEILING((INT(((CROQUIS!$C$97)-CROQUIS!$C$107)/MAX(CROQUIS!$C$137,1))+1)/80,1))),1))+1)-1)*(CROQUIS!$C$137*MAX(1,CEILING((INT(((CROQUIS!$C$97)-CROQUIS!$C$107)/MAX(CROQUIS!$C$137,1))+1)/80,1))))/2)+MIN(INT(($A289-1)/5),MAX((MAX(1,INT(((CROQUIS!$C$97)-CROQUIS!$C$107)/MAX((CROQUIS!$C$137*MAX(1,CEILING((INT(((CROQUIS!$C$97)-CROQUIS!$C$107)/MAX(CROQUIS!$C$137,1))+1)/80,1))),1))+1))-1,0))*(CROQUIS!$C$137*MAX(1,CEILING((INT(((CROQUIS!$C$97)-CROQUIS!$C$107)/MAX(CROQUIS!$C$137,1))+1)/80,1)))),CHOOSE(IF(INT(($A289-1)/5)&gt;MAX((MAX(1,INT(((CROQUIS!$C$97)-CROQUIS!$C$107)/MAX((CROQUIS!$C$137*MAX(1,CEILING((INT(((CROQUIS!$C$97)-CROQUIS!$C$107)/MAX(CROQUIS!$C$137,1))+1)/80,1))),1))+1))-1,0),0,MOD($A289-1,5))+1,0,2,CROQUIS!$C$98-2,2,0)))*CROQUIS!$C$159)+IF(CROQUIS!$C$92="X",0,0)),-1000)</f>
        <v>-1000</v>
      </c>
      <c r="BQ289">
        <f>IF(AND(CROQUIS!$C$88=1,CROQUIS!$C$137&gt;0),((CROQUIS!$C$161+(IF(CROQUIS!$C$92="X",CHOOSE(IF(INT(($A289-1)/5)&gt;MAX((MAX(1,INT(((CROQUIS!$C$97)-CROQUIS!$C$107)/MAX((CROQUIS!$C$137*MAX(1,CEILING((INT(((CROQUIS!$C$97)-CROQUIS!$C$107)/MAX(CROQUIS!$C$137,1))+1)/80,1))),1))+1))-1,0),0,MOD($A289-1,5))+1,0,2,CROQUIS!$C$98-2,2,0),((CROQUIS!$C$107/2+(((CROQUIS!$C$97)-CROQUIS!$C$107)-(MAX(1,INT(((CROQUIS!$C$97)-CROQUIS!$C$107)/MAX((CROQUIS!$C$137*MAX(1,CEILING((INT(((CROQUIS!$C$97)-CROQUIS!$C$107)/MAX(CROQUIS!$C$137,1))+1)/80,1))),1))+1)-1)*(CROQUIS!$C$137*MAX(1,CEILING((INT(((CROQUIS!$C$97)-CROQUIS!$C$107)/MAX(CROQUIS!$C$137,1))+1)/80,1))))/2)+MIN(INT(($A289-1)/5),MAX((MAX(1,INT(((CROQUIS!$C$97)-CROQUIS!$C$107)/MAX((CROQUIS!$C$137*MAX(1,CEILING((INT(((CROQUIS!$C$97)-CROQUIS!$C$107)/MAX(CROQUIS!$C$137,1))+1)/80,1))),1))+1))-1,0))*(CROQUIS!$C$137*MAX(1,CEILING((INT(((CROQUIS!$C$97)-CROQUIS!$C$107)/MAX(CROQUIS!$C$137,1))+1)/80,1))))))*CROQUIS!$C$159)+IF(CROQUIS!$C$92="X",0,0)),-1000)</f>
        <v>-1000</v>
      </c>
      <c r="BR289">
        <f>IF(AND(CROQUIS!$C$88=1,CROQUIS!$C$91=0,CROQUIS!$C$133&gt;0,OR(CROQUIS!$C$103=1,CROQUIS!$C$145=1)),((CROQUIS!$C$160+(IF(CROQUIS!$C$92="X",CHOOSE(IF(INT(($A289-1)/5)&gt;MAX((MAX(1,INT(((CROQUIS!$C$98)-CROQUIS!$C$107)/MAX((CROQUIS!$C$133*MAX(1,CEILING((INT(((CROQUIS!$C$98)-CROQUIS!$C$107)/MAX(CROQUIS!$C$133,1))+1)/80,1))),1))+1))-1,0),0,MOD($A289-1,5))+1,0,IF(CROQUIS!$C$103=1,-12,2),CROQUIS!$C$107/2+CROQUIS!$C$143,IF(CROQUIS!$C$103=1,-12,2),0),((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BS2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+1,0,IF(CROQUIS!$C$103=1,-12,2),CROQUIS!$C$107/2+CROQUIS!$C$143,IF(CROQUIS!$C$103=1,-12,2),0)))*CROQUIS!$C$159)+IF(CROQUIS!$C$92="X",0.8,0)),-1000)</f>
        <v>-1000</v>
      </c>
      <c r="BT289">
        <f>IF(AND(CROQUIS!$C$88=1,CROQUIS!$C$91=0,CROQUIS!$C$133&gt;0,OR(CROQUIS!$C$104=1,CROQUIS!$C$145=1)),((CROQUIS!$C$160+(IF(CROQUIS!$C$92="X",CHOOSE(IF(INT(($A289-1)/5)&gt;MAX((MAX(1,INT(((CROQUIS!$C$98)-CROQUIS!$C$107)/MAX((CROQUIS!$C$133*MAX(1,CEILING((INT(((CROQUIS!$C$98)-CROQUIS!$C$107)/MAX(CROQUIS!$C$133,1))+1)/80,1))),1))+1))-1,0),0,MOD($A289-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BU2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CROQUIS!$C$97,CROQUIS!$C$97-CROQUIS!$C$107/2-CROQUIS!$C$143,IF(CROQUIS!$C$104=1,CROQUIS!$C$97+12,CROQUIS!$C$97-2),CROQUIS!$C$97-CROQUIS!$C$107/2-CROQUIS!$C$143,CROQUIS!$C$97)))*CROQUIS!$C$159)+IF(CROQUIS!$C$92="X",0.8,0)),-1000)</f>
        <v>-1000</v>
      </c>
      <c r="BV2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HOOSE(IF(INT(($A289-1)/5)&gt;MAX((MAX(1,INT(((CROQUIS!$C$97)-CROQUIS!$C$107)/MAX((CROQUIS!$C$141*MAX(1,CEILING((INT(((CROQUIS!$C$97)-CROQUIS!$C$107)/MAX(CROQUIS!$C$141,1))+1)/80,1))),1))+1))-1,0),0,MOD($A289-1,5))+1,0,IF(CROQUIS!$C$105=1,-12,2),CROQUIS!$C$107/2+CROQUIS!$C$144,IF(CROQUIS!$C$105=1,-12,2),0)))*CROQUIS!$C$159)+IF(CROQUIS!$C$92="X",0.8,0)),-1000)</f>
        <v>-1000</v>
      </c>
      <c r="BW289">
        <f>IF(AND(CROQUIS!$C$88=1,CROQUIS!$C$91=0,CROQUIS!$C$141&gt;0,OR(CROQUIS!$C$105=1,CROQUIS!$C$146=1)),((CROQUIS!$C$161+(IF(CROQUIS!$C$92="X",CHOOSE(IF(INT(($A289-1)/5)&gt;MAX((MAX(1,INT(((CROQUIS!$C$97)-CROQUIS!$C$107)/MAX((CROQUIS!$C$141*MAX(1,CEILING((INT(((CROQUIS!$C$97)-CROQUIS!$C$107)/MAX(CROQUIS!$C$141,1))+1)/80,1))),1))+1))-1,0),0,MOD($A289-1,5))+1,0,IF(CROQUIS!$C$105=1,-12,2),CROQUIS!$C$107/2+CROQUIS!$C$144,IF(CROQUIS!$C$105=1,-12,2),0),((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ROQUIS!$C$159)+IF(CROQUIS!$C$92="X",0,0.8)),-1000)</f>
        <v>-1000</v>
      </c>
      <c r="BX2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HOOSE(IF(INT(($A289-1)/5)&gt;MAX((MAX(1,INT(((CROQUIS!$C$97)-CROQUIS!$C$107)/MAX((CROQUIS!$C$141*MAX(1,CEILING((INT(((CROQUIS!$C$97)-CROQUIS!$C$107)/MAX(CROQUIS!$C$141,1))+1)/80,1))),1))+1))-1,0),0,MOD($A289-1,5))+1,CROQUIS!$C$98,CROQUIS!$C$98-CROQUIS!$C$107/2-CROQUIS!$C$144,IF(CROQUIS!$C$106=1,CROQUIS!$C$98+12,CROQUIS!$C$98-2),CROQUIS!$C$98-CROQUIS!$C$107/2-CROQUIS!$C$144,CROQUIS!$C$98)))*CROQUIS!$C$159)+IF(CROQUIS!$C$92="X",0.8,0)),-1000)</f>
        <v>-1000</v>
      </c>
      <c r="BY289">
        <f>IF(AND(CROQUIS!$C$88=1,CROQUIS!$C$91=0,CROQUIS!$C$141&gt;0,OR(CROQUIS!$C$106=1,CROQUIS!$C$146=1)),((CROQUIS!$C$161+(IF(CROQUIS!$C$92="X",CHOOSE(IF(INT(($A289-1)/5)&gt;MAX((MAX(1,INT(((CROQUIS!$C$97)-CROQUIS!$C$107)/MAX((CROQUIS!$C$141*MAX(1,CEILING((INT(((CROQUIS!$C$97)-CROQUIS!$C$107)/MAX(CROQUIS!$C$141,1))+1)/80,1))),1))+1))-1,0),0,MOD($A289-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ROQUIS!$C$159)+IF(CROQUIS!$C$92="X",0,0.8)),-1000)</f>
        <v>-1000</v>
      </c>
      <c r="BZ289">
        <f>IF(AND(CROQUIS!$C$88=1,CROQUIS!$C$91=1,CROQUIS!$C$133&gt;0),((CROQUIS!$C$160+(IF(CROQUIS!$C$92="X",CHOOSE(IF(INT(($A289-1)/5)&gt;MAX((MAX(1,INT(((CROQUIS!$C$98)-CROQUIS!$C$107)/MAX((CROQUIS!$C$133*MAX(1,CEILING((INT(((CROQUIS!$C$98)-CROQUIS!$C$107)/MAX(CROQUIS!$C$133,1))+1)/80,1))),1))+1))-1,0),0,MOD($A289-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CA289">
        <f>IF(AND(CROQUIS!$C$88=1,CROQUIS!$C$91=1,CROQUIS!$C$133&gt;0),((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0">
      <c r="A290" t="n">
        <v>283</v>
      </c>
      <c r="BN290">
        <f>IF(AND(CROQUIS!$C$88=1,CROQUIS!$C$129&gt;0),((CROQUIS!$C$160+(IF(CROQUIS!$C$92="X",CHOOSE(IF(INT(($A290-1)/5)&gt;MAX((MAX(1,INT(((CROQUIS!$C$98)-CROQUIS!$C$107)/MAX((CROQUIS!$C$129*MAX(1,CEILING((INT(((CROQUIS!$C$98)-CROQUIS!$C$107)/MAX(CROQUIS!$C$129,1))+1)/80,1))),1))+1))-1,0),0,MOD($A290-1,5))+1,0,2,CROQUIS!$C$97-2,2,0),((CROQUIS!$C$107/2+(((CROQUIS!$C$98)-CROQUIS!$C$107)-(MAX(1,INT(((CROQUIS!$C$98)-CROQUIS!$C$107)/MAX((CROQUIS!$C$129*MAX(1,CEILING((INT(((CROQUIS!$C$98)-CROQUIS!$C$107)/MAX(CROQUIS!$C$129,1))+1)/80,1))),1))+1)-1)*(CROQUIS!$C$129*MAX(1,CEILING((INT(((CROQUIS!$C$98)-CROQUIS!$C$107)/MAX(CROQUIS!$C$129,1))+1)/80,1))))/2)+MIN(INT(($A290-1)/5),MAX((MAX(1,INT(((CROQUIS!$C$98)-CROQUIS!$C$107)/MAX((CROQUIS!$C$129*MAX(1,CEILING((INT(((CROQUIS!$C$98)-CROQUIS!$C$107)/MAX(CROQUIS!$C$129,1))+1)/80,1))),1))+1))-1,0))*(CROQUIS!$C$129*MAX(1,CEILING((INT(((CROQUIS!$C$98)-CROQUIS!$C$107)/MAX(CROQUIS!$C$129,1))+1)/80,1))))))*CROQUIS!$C$159)+IF(CROQUIS!$C$92="X",0,0)),-1000)</f>
        <v>-1000</v>
      </c>
      <c r="BO290">
        <f>IF(AND(CROQUIS!$C$88=1,CROQUIS!$C$129&gt;0),((CROQUIS!$C$161+(IF(CROQUIS!$C$92="X",((CROQUIS!$C$107/2+(((CROQUIS!$C$98)-CROQUIS!$C$107)-(MAX(1,INT(((CROQUIS!$C$98)-CROQUIS!$C$107)/MAX((CROQUIS!$C$129*MAX(1,CEILING((INT(((CROQUIS!$C$98)-CROQUIS!$C$107)/MAX(CROQUIS!$C$129,1))+1)/80,1))),1))+1)-1)*(CROQUIS!$C$129*MAX(1,CEILING((INT(((CROQUIS!$C$98)-CROQUIS!$C$107)/MAX(CROQUIS!$C$129,1))+1)/80,1))))/2)+MIN(INT(($A290-1)/5),MAX((MAX(1,INT(((CROQUIS!$C$98)-CROQUIS!$C$107)/MAX((CROQUIS!$C$129*MAX(1,CEILING((INT(((CROQUIS!$C$98)-CROQUIS!$C$107)/MAX(CROQUIS!$C$129,1))+1)/80,1))),1))+1))-1,0))*(CROQUIS!$C$129*MAX(1,CEILING((INT(((CROQUIS!$C$98)-CROQUIS!$C$107)/MAX(CROQUIS!$C$129,1))+1)/80,1)))),CHOOSE(IF(INT(($A290-1)/5)&gt;MAX((MAX(1,INT(((CROQUIS!$C$98)-CROQUIS!$C$107)/MAX((CROQUIS!$C$129*MAX(1,CEILING((INT(((CROQUIS!$C$98)-CROQUIS!$C$107)/MAX(CROQUIS!$C$129,1))+1)/80,1))),1))+1))-1,0),0,MOD($A290-1,5))+1,0,2,CROQUIS!$C$97-2,2,0)))*CROQUIS!$C$159)+IF(CROQUIS!$C$92="X",0,0)),-1000)</f>
        <v>-1000</v>
      </c>
      <c r="BP290">
        <f>IF(AND(CROQUIS!$C$88=1,CROQUIS!$C$137&gt;0),((CROQUIS!$C$160+(IF(CROQUIS!$C$92="X",((CROQUIS!$C$107/2+(((CROQUIS!$C$97)-CROQUIS!$C$107)-(MAX(1,INT(((CROQUIS!$C$97)-CROQUIS!$C$107)/MAX((CROQUIS!$C$137*MAX(1,CEILING((INT(((CROQUIS!$C$97)-CROQUIS!$C$107)/MAX(CROQUIS!$C$137,1))+1)/80,1))),1))+1)-1)*(CROQUIS!$C$137*MAX(1,CEILING((INT(((CROQUIS!$C$97)-CROQUIS!$C$107)/MAX(CROQUIS!$C$137,1))+1)/80,1))))/2)+MIN(INT(($A290-1)/5),MAX((MAX(1,INT(((CROQUIS!$C$97)-CROQUIS!$C$107)/MAX((CROQUIS!$C$137*MAX(1,CEILING((INT(((CROQUIS!$C$97)-CROQUIS!$C$107)/MAX(CROQUIS!$C$137,1))+1)/80,1))),1))+1))-1,0))*(CROQUIS!$C$137*MAX(1,CEILING((INT(((CROQUIS!$C$97)-CROQUIS!$C$107)/MAX(CROQUIS!$C$137,1))+1)/80,1)))),CHOOSE(IF(INT(($A290-1)/5)&gt;MAX((MAX(1,INT(((CROQUIS!$C$97)-CROQUIS!$C$107)/MAX((CROQUIS!$C$137*MAX(1,CEILING((INT(((CROQUIS!$C$97)-CROQUIS!$C$107)/MAX(CROQUIS!$C$137,1))+1)/80,1))),1))+1))-1,0),0,MOD($A290-1,5))+1,0,2,CROQUIS!$C$98-2,2,0)))*CROQUIS!$C$159)+IF(CROQUIS!$C$92="X",0,0)),-1000)</f>
        <v>-1000</v>
      </c>
      <c r="BQ290">
        <f>IF(AND(CROQUIS!$C$88=1,CROQUIS!$C$137&gt;0),((CROQUIS!$C$161+(IF(CROQUIS!$C$92="X",CHOOSE(IF(INT(($A290-1)/5)&gt;MAX((MAX(1,INT(((CROQUIS!$C$97)-CROQUIS!$C$107)/MAX((CROQUIS!$C$137*MAX(1,CEILING((INT(((CROQUIS!$C$97)-CROQUIS!$C$107)/MAX(CROQUIS!$C$137,1))+1)/80,1))),1))+1))-1,0),0,MOD($A290-1,5))+1,0,2,CROQUIS!$C$98-2,2,0),((CROQUIS!$C$107/2+(((CROQUIS!$C$97)-CROQUIS!$C$107)-(MAX(1,INT(((CROQUIS!$C$97)-CROQUIS!$C$107)/MAX((CROQUIS!$C$137*MAX(1,CEILING((INT(((CROQUIS!$C$97)-CROQUIS!$C$107)/MAX(CROQUIS!$C$137,1))+1)/80,1))),1))+1)-1)*(CROQUIS!$C$137*MAX(1,CEILING((INT(((CROQUIS!$C$97)-CROQUIS!$C$107)/MAX(CROQUIS!$C$137,1))+1)/80,1))))/2)+MIN(INT(($A290-1)/5),MAX((MAX(1,INT(((CROQUIS!$C$97)-CROQUIS!$C$107)/MAX((CROQUIS!$C$137*MAX(1,CEILING((INT(((CROQUIS!$C$97)-CROQUIS!$C$107)/MAX(CROQUIS!$C$137,1))+1)/80,1))),1))+1))-1,0))*(CROQUIS!$C$137*MAX(1,CEILING((INT(((CROQUIS!$C$97)-CROQUIS!$C$107)/MAX(CROQUIS!$C$137,1))+1)/80,1))))))*CROQUIS!$C$159)+IF(CROQUIS!$C$92="X",0,0)),-1000)</f>
        <v>-1000</v>
      </c>
      <c r="BR290">
        <f>IF(AND(CROQUIS!$C$88=1,CROQUIS!$C$91=0,CROQUIS!$C$133&gt;0,OR(CROQUIS!$C$103=1,CROQUIS!$C$145=1)),((CROQUIS!$C$160+(IF(CROQUIS!$C$92="X",CHOOSE(IF(INT(($A290-1)/5)&gt;MAX((MAX(1,INT(((CROQUIS!$C$98)-CROQUIS!$C$107)/MAX((CROQUIS!$C$133*MAX(1,CEILING((INT(((CROQUIS!$C$98)-CROQUIS!$C$107)/MAX(CROQUIS!$C$133,1))+1)/80,1))),1))+1))-1,0),0,MOD($A290-1,5))+1,0,IF(CROQUIS!$C$103=1,-12,2),CROQUIS!$C$107/2+CROQUIS!$C$143,IF(CROQUIS!$C$103=1,-12,2),0),((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BS2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+1,0,IF(CROQUIS!$C$103=1,-12,2),CROQUIS!$C$107/2+CROQUIS!$C$143,IF(CROQUIS!$C$103=1,-12,2),0)))*CROQUIS!$C$159)+IF(CROQUIS!$C$92="X",0.8,0)),-1000)</f>
        <v>-1000</v>
      </c>
      <c r="BT290">
        <f>IF(AND(CROQUIS!$C$88=1,CROQUIS!$C$91=0,CROQUIS!$C$133&gt;0,OR(CROQUIS!$C$104=1,CROQUIS!$C$145=1)),((CROQUIS!$C$160+(IF(CROQUIS!$C$92="X",CHOOSE(IF(INT(($A290-1)/5)&gt;MAX((MAX(1,INT(((CROQUIS!$C$98)-CROQUIS!$C$107)/MAX((CROQUIS!$C$133*MAX(1,CEILING((INT(((CROQUIS!$C$98)-CROQUIS!$C$107)/MAX(CROQUIS!$C$133,1))+1)/80,1))),1))+1))-1,0),0,MOD($A290-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BU2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CROQUIS!$C$97,CROQUIS!$C$97-CROQUIS!$C$107/2-CROQUIS!$C$143,IF(CROQUIS!$C$104=1,CROQUIS!$C$97+12,CROQUIS!$C$97-2),CROQUIS!$C$97-CROQUIS!$C$107/2-CROQUIS!$C$143,CROQUIS!$C$97)))*CROQUIS!$C$159)+IF(CROQUIS!$C$92="X",0.8,0)),-1000)</f>
        <v>-1000</v>
      </c>
      <c r="BV2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HOOSE(IF(INT(($A290-1)/5)&gt;MAX((MAX(1,INT(((CROQUIS!$C$97)-CROQUIS!$C$107)/MAX((CROQUIS!$C$141*MAX(1,CEILING((INT(((CROQUIS!$C$97)-CROQUIS!$C$107)/MAX(CROQUIS!$C$141,1))+1)/80,1))),1))+1))-1,0),0,MOD($A290-1,5))+1,0,IF(CROQUIS!$C$105=1,-12,2),CROQUIS!$C$107/2+CROQUIS!$C$144,IF(CROQUIS!$C$105=1,-12,2),0)))*CROQUIS!$C$159)+IF(CROQUIS!$C$92="X",0.8,0)),-1000)</f>
        <v>-1000</v>
      </c>
      <c r="BW290">
        <f>IF(AND(CROQUIS!$C$88=1,CROQUIS!$C$91=0,CROQUIS!$C$141&gt;0,OR(CROQUIS!$C$105=1,CROQUIS!$C$146=1)),((CROQUIS!$C$161+(IF(CROQUIS!$C$92="X",CHOOSE(IF(INT(($A290-1)/5)&gt;MAX((MAX(1,INT(((CROQUIS!$C$97)-CROQUIS!$C$107)/MAX((CROQUIS!$C$141*MAX(1,CEILING((INT(((CROQUIS!$C$97)-CROQUIS!$C$107)/MAX(CROQUIS!$C$141,1))+1)/80,1))),1))+1))-1,0),0,MOD($A290-1,5))+1,0,IF(CROQUIS!$C$105=1,-12,2),CROQUIS!$C$107/2+CROQUIS!$C$144,IF(CROQUIS!$C$105=1,-12,2),0),((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ROQUIS!$C$159)+IF(CROQUIS!$C$92="X",0,0.8)),-1000)</f>
        <v>-1000</v>
      </c>
      <c r="BX2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HOOSE(IF(INT(($A290-1)/5)&gt;MAX((MAX(1,INT(((CROQUIS!$C$97)-CROQUIS!$C$107)/MAX((CROQUIS!$C$141*MAX(1,CEILING((INT(((CROQUIS!$C$97)-CROQUIS!$C$107)/MAX(CROQUIS!$C$141,1))+1)/80,1))),1))+1))-1,0),0,MOD($A290-1,5))+1,CROQUIS!$C$98,CROQUIS!$C$98-CROQUIS!$C$107/2-CROQUIS!$C$144,IF(CROQUIS!$C$106=1,CROQUIS!$C$98+12,CROQUIS!$C$98-2),CROQUIS!$C$98-CROQUIS!$C$107/2-CROQUIS!$C$144,CROQUIS!$C$98)))*CROQUIS!$C$159)+IF(CROQUIS!$C$92="X",0.8,0)),-1000)</f>
        <v>-1000</v>
      </c>
      <c r="BY290">
        <f>IF(AND(CROQUIS!$C$88=1,CROQUIS!$C$91=0,CROQUIS!$C$141&gt;0,OR(CROQUIS!$C$106=1,CROQUIS!$C$146=1)),((CROQUIS!$C$161+(IF(CROQUIS!$C$92="X",CHOOSE(IF(INT(($A290-1)/5)&gt;MAX((MAX(1,INT(((CROQUIS!$C$97)-CROQUIS!$C$107)/MAX((CROQUIS!$C$141*MAX(1,CEILING((INT(((CROQUIS!$C$97)-CROQUIS!$C$107)/MAX(CROQUIS!$C$141,1))+1)/80,1))),1))+1))-1,0),0,MOD($A290-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ROQUIS!$C$159)+IF(CROQUIS!$C$92="X",0,0.8)),-1000)</f>
        <v>-1000</v>
      </c>
      <c r="BZ290">
        <f>IF(AND(CROQUIS!$C$88=1,CROQUIS!$C$91=1,CROQUIS!$C$133&gt;0),((CROQUIS!$C$160+(IF(CROQUIS!$C$92="X",CHOOSE(IF(INT(($A290-1)/5)&gt;MAX((MAX(1,INT(((CROQUIS!$C$98)-CROQUIS!$C$107)/MAX((CROQUIS!$C$133*MAX(1,CEILING((INT(((CROQUIS!$C$98)-CROQUIS!$C$107)/MAX(CROQUIS!$C$133,1))+1)/80,1))),1))+1))-1,0),0,MOD($A290-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CA290">
        <f>IF(AND(CROQUIS!$C$88=1,CROQUIS!$C$91=1,CROQUIS!$C$133&gt;0),((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1">
      <c r="A291" t="n">
        <v>284</v>
      </c>
      <c r="BN291">
        <f>IF(AND(CROQUIS!$C$88=1,CROQUIS!$C$129&gt;0),((CROQUIS!$C$160+(IF(CROQUIS!$C$92="X",CHOOSE(IF(INT(($A291-1)/5)&gt;MAX((MAX(1,INT(((CROQUIS!$C$98)-CROQUIS!$C$107)/MAX((CROQUIS!$C$129*MAX(1,CEILING((INT(((CROQUIS!$C$98)-CROQUIS!$C$107)/MAX(CROQUIS!$C$129,1))+1)/80,1))),1))+1))-1,0),0,MOD($A291-1,5))+1,0,2,CROQUIS!$C$97-2,2,0),((CROQUIS!$C$107/2+(((CROQUIS!$C$98)-CROQUIS!$C$107)-(MAX(1,INT(((CROQUIS!$C$98)-CROQUIS!$C$107)/MAX((CROQUIS!$C$129*MAX(1,CEILING((INT(((CROQUIS!$C$98)-CROQUIS!$C$107)/MAX(CROQUIS!$C$129,1))+1)/80,1))),1))+1)-1)*(CROQUIS!$C$129*MAX(1,CEILING((INT(((CROQUIS!$C$98)-CROQUIS!$C$107)/MAX(CROQUIS!$C$129,1))+1)/80,1))))/2)+MIN(INT(($A291-1)/5),MAX((MAX(1,INT(((CROQUIS!$C$98)-CROQUIS!$C$107)/MAX((CROQUIS!$C$129*MAX(1,CEILING((INT(((CROQUIS!$C$98)-CROQUIS!$C$107)/MAX(CROQUIS!$C$129,1))+1)/80,1))),1))+1))-1,0))*(CROQUIS!$C$129*MAX(1,CEILING((INT(((CROQUIS!$C$98)-CROQUIS!$C$107)/MAX(CROQUIS!$C$129,1))+1)/80,1))))))*CROQUIS!$C$159)+IF(CROQUIS!$C$92="X",0,0)),-1000)</f>
        <v>-1000</v>
      </c>
      <c r="BO291">
        <f>IF(AND(CROQUIS!$C$88=1,CROQUIS!$C$129&gt;0),((CROQUIS!$C$161+(IF(CROQUIS!$C$92="X",((CROQUIS!$C$107/2+(((CROQUIS!$C$98)-CROQUIS!$C$107)-(MAX(1,INT(((CROQUIS!$C$98)-CROQUIS!$C$107)/MAX((CROQUIS!$C$129*MAX(1,CEILING((INT(((CROQUIS!$C$98)-CROQUIS!$C$107)/MAX(CROQUIS!$C$129,1))+1)/80,1))),1))+1)-1)*(CROQUIS!$C$129*MAX(1,CEILING((INT(((CROQUIS!$C$98)-CROQUIS!$C$107)/MAX(CROQUIS!$C$129,1))+1)/80,1))))/2)+MIN(INT(($A291-1)/5),MAX((MAX(1,INT(((CROQUIS!$C$98)-CROQUIS!$C$107)/MAX((CROQUIS!$C$129*MAX(1,CEILING((INT(((CROQUIS!$C$98)-CROQUIS!$C$107)/MAX(CROQUIS!$C$129,1))+1)/80,1))),1))+1))-1,0))*(CROQUIS!$C$129*MAX(1,CEILING((INT(((CROQUIS!$C$98)-CROQUIS!$C$107)/MAX(CROQUIS!$C$129,1))+1)/80,1)))),CHOOSE(IF(INT(($A291-1)/5)&gt;MAX((MAX(1,INT(((CROQUIS!$C$98)-CROQUIS!$C$107)/MAX((CROQUIS!$C$129*MAX(1,CEILING((INT(((CROQUIS!$C$98)-CROQUIS!$C$107)/MAX(CROQUIS!$C$129,1))+1)/80,1))),1))+1))-1,0),0,MOD($A291-1,5))+1,0,2,CROQUIS!$C$97-2,2,0)))*CROQUIS!$C$159)+IF(CROQUIS!$C$92="X",0,0)),-1000)</f>
        <v>-1000</v>
      </c>
      <c r="BP291">
        <f>IF(AND(CROQUIS!$C$88=1,CROQUIS!$C$137&gt;0),((CROQUIS!$C$160+(IF(CROQUIS!$C$92="X",((CROQUIS!$C$107/2+(((CROQUIS!$C$97)-CROQUIS!$C$107)-(MAX(1,INT(((CROQUIS!$C$97)-CROQUIS!$C$107)/MAX((CROQUIS!$C$137*MAX(1,CEILING((INT(((CROQUIS!$C$97)-CROQUIS!$C$107)/MAX(CROQUIS!$C$137,1))+1)/80,1))),1))+1)-1)*(CROQUIS!$C$137*MAX(1,CEILING((INT(((CROQUIS!$C$97)-CROQUIS!$C$107)/MAX(CROQUIS!$C$137,1))+1)/80,1))))/2)+MIN(INT(($A291-1)/5),MAX((MAX(1,INT(((CROQUIS!$C$97)-CROQUIS!$C$107)/MAX((CROQUIS!$C$137*MAX(1,CEILING((INT(((CROQUIS!$C$97)-CROQUIS!$C$107)/MAX(CROQUIS!$C$137,1))+1)/80,1))),1))+1))-1,0))*(CROQUIS!$C$137*MAX(1,CEILING((INT(((CROQUIS!$C$97)-CROQUIS!$C$107)/MAX(CROQUIS!$C$137,1))+1)/80,1)))),CHOOSE(IF(INT(($A291-1)/5)&gt;MAX((MAX(1,INT(((CROQUIS!$C$97)-CROQUIS!$C$107)/MAX((CROQUIS!$C$137*MAX(1,CEILING((INT(((CROQUIS!$C$97)-CROQUIS!$C$107)/MAX(CROQUIS!$C$137,1))+1)/80,1))),1))+1))-1,0),0,MOD($A291-1,5))+1,0,2,CROQUIS!$C$98-2,2,0)))*CROQUIS!$C$159)+IF(CROQUIS!$C$92="X",0,0)),-1000)</f>
        <v>-1000</v>
      </c>
      <c r="BQ291">
        <f>IF(AND(CROQUIS!$C$88=1,CROQUIS!$C$137&gt;0),((CROQUIS!$C$161+(IF(CROQUIS!$C$92="X",CHOOSE(IF(INT(($A291-1)/5)&gt;MAX((MAX(1,INT(((CROQUIS!$C$97)-CROQUIS!$C$107)/MAX((CROQUIS!$C$137*MAX(1,CEILING((INT(((CROQUIS!$C$97)-CROQUIS!$C$107)/MAX(CROQUIS!$C$137,1))+1)/80,1))),1))+1))-1,0),0,MOD($A291-1,5))+1,0,2,CROQUIS!$C$98-2,2,0),((CROQUIS!$C$107/2+(((CROQUIS!$C$97)-CROQUIS!$C$107)-(MAX(1,INT(((CROQUIS!$C$97)-CROQUIS!$C$107)/MAX((CROQUIS!$C$137*MAX(1,CEILING((INT(((CROQUIS!$C$97)-CROQUIS!$C$107)/MAX(CROQUIS!$C$137,1))+1)/80,1))),1))+1)-1)*(CROQUIS!$C$137*MAX(1,CEILING((INT(((CROQUIS!$C$97)-CROQUIS!$C$107)/MAX(CROQUIS!$C$137,1))+1)/80,1))))/2)+MIN(INT(($A291-1)/5),MAX((MAX(1,INT(((CROQUIS!$C$97)-CROQUIS!$C$107)/MAX((CROQUIS!$C$137*MAX(1,CEILING((INT(((CROQUIS!$C$97)-CROQUIS!$C$107)/MAX(CROQUIS!$C$137,1))+1)/80,1))),1))+1))-1,0))*(CROQUIS!$C$137*MAX(1,CEILING((INT(((CROQUIS!$C$97)-CROQUIS!$C$107)/MAX(CROQUIS!$C$137,1))+1)/80,1))))))*CROQUIS!$C$159)+IF(CROQUIS!$C$92="X",0,0)),-1000)</f>
        <v>-1000</v>
      </c>
      <c r="BR291">
        <f>IF(AND(CROQUIS!$C$88=1,CROQUIS!$C$91=0,CROQUIS!$C$133&gt;0,OR(CROQUIS!$C$103=1,CROQUIS!$C$145=1)),((CROQUIS!$C$160+(IF(CROQUIS!$C$92="X",CHOOSE(IF(INT(($A291-1)/5)&gt;MAX((MAX(1,INT(((CROQUIS!$C$98)-CROQUIS!$C$107)/MAX((CROQUIS!$C$133*MAX(1,CEILING((INT(((CROQUIS!$C$98)-CROQUIS!$C$107)/MAX(CROQUIS!$C$133,1))+1)/80,1))),1))+1))-1,0),0,MOD($A291-1,5))+1,0,IF(CROQUIS!$C$103=1,-12,2),CROQUIS!$C$107/2+CROQUIS!$C$143,IF(CROQUIS!$C$103=1,-12,2),0),((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BS2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+1,0,IF(CROQUIS!$C$103=1,-12,2),CROQUIS!$C$107/2+CROQUIS!$C$143,IF(CROQUIS!$C$103=1,-12,2),0)))*CROQUIS!$C$159)+IF(CROQUIS!$C$92="X",0.8,0)),-1000)</f>
        <v>-1000</v>
      </c>
      <c r="BT291">
        <f>IF(AND(CROQUIS!$C$88=1,CROQUIS!$C$91=0,CROQUIS!$C$133&gt;0,OR(CROQUIS!$C$104=1,CROQUIS!$C$145=1)),((CROQUIS!$C$160+(IF(CROQUIS!$C$92="X",CHOOSE(IF(INT(($A291-1)/5)&gt;MAX((MAX(1,INT(((CROQUIS!$C$98)-CROQUIS!$C$107)/MAX((CROQUIS!$C$133*MAX(1,CEILING((INT(((CROQUIS!$C$98)-CROQUIS!$C$107)/MAX(CROQUIS!$C$133,1))+1)/80,1))),1))+1))-1,0),0,MOD($A291-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BU2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CROQUIS!$C$97,CROQUIS!$C$97-CROQUIS!$C$107/2-CROQUIS!$C$143,IF(CROQUIS!$C$104=1,CROQUIS!$C$97+12,CROQUIS!$C$97-2),CROQUIS!$C$97-CROQUIS!$C$107/2-CROQUIS!$C$143,CROQUIS!$C$97)))*CROQUIS!$C$159)+IF(CROQUIS!$C$92="X",0.8,0)),-1000)</f>
        <v>-1000</v>
      </c>
      <c r="BV2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HOOSE(IF(INT(($A291-1)/5)&gt;MAX((MAX(1,INT(((CROQUIS!$C$97)-CROQUIS!$C$107)/MAX((CROQUIS!$C$141*MAX(1,CEILING((INT(((CROQUIS!$C$97)-CROQUIS!$C$107)/MAX(CROQUIS!$C$141,1))+1)/80,1))),1))+1))-1,0),0,MOD($A291-1,5))+1,0,IF(CROQUIS!$C$105=1,-12,2),CROQUIS!$C$107/2+CROQUIS!$C$144,IF(CROQUIS!$C$105=1,-12,2),0)))*CROQUIS!$C$159)+IF(CROQUIS!$C$92="X",0.8,0)),-1000)</f>
        <v>-1000</v>
      </c>
      <c r="BW291">
        <f>IF(AND(CROQUIS!$C$88=1,CROQUIS!$C$91=0,CROQUIS!$C$141&gt;0,OR(CROQUIS!$C$105=1,CROQUIS!$C$146=1)),((CROQUIS!$C$161+(IF(CROQUIS!$C$92="X",CHOOSE(IF(INT(($A291-1)/5)&gt;MAX((MAX(1,INT(((CROQUIS!$C$97)-CROQUIS!$C$107)/MAX((CROQUIS!$C$141*MAX(1,CEILING((INT(((CROQUIS!$C$97)-CROQUIS!$C$107)/MAX(CROQUIS!$C$141,1))+1)/80,1))),1))+1))-1,0),0,MOD($A291-1,5))+1,0,IF(CROQUIS!$C$105=1,-12,2),CROQUIS!$C$107/2+CROQUIS!$C$144,IF(CROQUIS!$C$105=1,-12,2),0),((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ROQUIS!$C$159)+IF(CROQUIS!$C$92="X",0,0.8)),-1000)</f>
        <v>-1000</v>
      </c>
      <c r="BX2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HOOSE(IF(INT(($A291-1)/5)&gt;MAX((MAX(1,INT(((CROQUIS!$C$97)-CROQUIS!$C$107)/MAX((CROQUIS!$C$141*MAX(1,CEILING((INT(((CROQUIS!$C$97)-CROQUIS!$C$107)/MAX(CROQUIS!$C$141,1))+1)/80,1))),1))+1))-1,0),0,MOD($A291-1,5))+1,CROQUIS!$C$98,CROQUIS!$C$98-CROQUIS!$C$107/2-CROQUIS!$C$144,IF(CROQUIS!$C$106=1,CROQUIS!$C$98+12,CROQUIS!$C$98-2),CROQUIS!$C$98-CROQUIS!$C$107/2-CROQUIS!$C$144,CROQUIS!$C$98)))*CROQUIS!$C$159)+IF(CROQUIS!$C$92="X",0.8,0)),-1000)</f>
        <v>-1000</v>
      </c>
      <c r="BY291">
        <f>IF(AND(CROQUIS!$C$88=1,CROQUIS!$C$91=0,CROQUIS!$C$141&gt;0,OR(CROQUIS!$C$106=1,CROQUIS!$C$146=1)),((CROQUIS!$C$161+(IF(CROQUIS!$C$92="X",CHOOSE(IF(INT(($A291-1)/5)&gt;MAX((MAX(1,INT(((CROQUIS!$C$97)-CROQUIS!$C$107)/MAX((CROQUIS!$C$141*MAX(1,CEILING((INT(((CROQUIS!$C$97)-CROQUIS!$C$107)/MAX(CROQUIS!$C$141,1))+1)/80,1))),1))+1))-1,0),0,MOD($A291-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ROQUIS!$C$159)+IF(CROQUIS!$C$92="X",0,0.8)),-1000)</f>
        <v>-1000</v>
      </c>
      <c r="BZ291">
        <f>IF(AND(CROQUIS!$C$88=1,CROQUIS!$C$91=1,CROQUIS!$C$133&gt;0),((CROQUIS!$C$160+(IF(CROQUIS!$C$92="X",CHOOSE(IF(INT(($A291-1)/5)&gt;MAX((MAX(1,INT(((CROQUIS!$C$98)-CROQUIS!$C$107)/MAX((CROQUIS!$C$133*MAX(1,CEILING((INT(((CROQUIS!$C$98)-CROQUIS!$C$107)/MAX(CROQUIS!$C$133,1))+1)/80,1))),1))+1))-1,0),0,MOD($A291-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CA291">
        <f>IF(AND(CROQUIS!$C$88=1,CROQUIS!$C$91=1,CROQUIS!$C$133&gt;0),((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2">
      <c r="A292" t="n">
        <v>285</v>
      </c>
      <c r="BN292">
        <f>IF(AND(CROQUIS!$C$88=1,CROQUIS!$C$129&gt;0),((CROQUIS!$C$160+(IF(CROQUIS!$C$92="X",CHOOSE(IF(INT(($A292-1)/5)&gt;MAX((MAX(1,INT(((CROQUIS!$C$98)-CROQUIS!$C$107)/MAX((CROQUIS!$C$129*MAX(1,CEILING((INT(((CROQUIS!$C$98)-CROQUIS!$C$107)/MAX(CROQUIS!$C$129,1))+1)/80,1))),1))+1))-1,0),0,MOD($A292-1,5))+1,0,2,CROQUIS!$C$97-2,2,0),((CROQUIS!$C$107/2+(((CROQUIS!$C$98)-CROQUIS!$C$107)-(MAX(1,INT(((CROQUIS!$C$98)-CROQUIS!$C$107)/MAX((CROQUIS!$C$129*MAX(1,CEILING((INT(((CROQUIS!$C$98)-CROQUIS!$C$107)/MAX(CROQUIS!$C$129,1))+1)/80,1))),1))+1)-1)*(CROQUIS!$C$129*MAX(1,CEILING((INT(((CROQUIS!$C$98)-CROQUIS!$C$107)/MAX(CROQUIS!$C$129,1))+1)/80,1))))/2)+MIN(INT(($A292-1)/5),MAX((MAX(1,INT(((CROQUIS!$C$98)-CROQUIS!$C$107)/MAX((CROQUIS!$C$129*MAX(1,CEILING((INT(((CROQUIS!$C$98)-CROQUIS!$C$107)/MAX(CROQUIS!$C$129,1))+1)/80,1))),1))+1))-1,0))*(CROQUIS!$C$129*MAX(1,CEILING((INT(((CROQUIS!$C$98)-CROQUIS!$C$107)/MAX(CROQUIS!$C$129,1))+1)/80,1))))))*CROQUIS!$C$159)+IF(CROQUIS!$C$92="X",0,0)),-1000)</f>
        <v>-1000</v>
      </c>
      <c r="BO292">
        <f>IF(AND(CROQUIS!$C$88=1,CROQUIS!$C$129&gt;0),((CROQUIS!$C$161+(IF(CROQUIS!$C$92="X",((CROQUIS!$C$107/2+(((CROQUIS!$C$98)-CROQUIS!$C$107)-(MAX(1,INT(((CROQUIS!$C$98)-CROQUIS!$C$107)/MAX((CROQUIS!$C$129*MAX(1,CEILING((INT(((CROQUIS!$C$98)-CROQUIS!$C$107)/MAX(CROQUIS!$C$129,1))+1)/80,1))),1))+1)-1)*(CROQUIS!$C$129*MAX(1,CEILING((INT(((CROQUIS!$C$98)-CROQUIS!$C$107)/MAX(CROQUIS!$C$129,1))+1)/80,1))))/2)+MIN(INT(($A292-1)/5),MAX((MAX(1,INT(((CROQUIS!$C$98)-CROQUIS!$C$107)/MAX((CROQUIS!$C$129*MAX(1,CEILING((INT(((CROQUIS!$C$98)-CROQUIS!$C$107)/MAX(CROQUIS!$C$129,1))+1)/80,1))),1))+1))-1,0))*(CROQUIS!$C$129*MAX(1,CEILING((INT(((CROQUIS!$C$98)-CROQUIS!$C$107)/MAX(CROQUIS!$C$129,1))+1)/80,1)))),CHOOSE(IF(INT(($A292-1)/5)&gt;MAX((MAX(1,INT(((CROQUIS!$C$98)-CROQUIS!$C$107)/MAX((CROQUIS!$C$129*MAX(1,CEILING((INT(((CROQUIS!$C$98)-CROQUIS!$C$107)/MAX(CROQUIS!$C$129,1))+1)/80,1))),1))+1))-1,0),0,MOD($A292-1,5))+1,0,2,CROQUIS!$C$97-2,2,0)))*CROQUIS!$C$159)+IF(CROQUIS!$C$92="X",0,0)),-1000)</f>
        <v>-1000</v>
      </c>
      <c r="BP292">
        <f>IF(AND(CROQUIS!$C$88=1,CROQUIS!$C$137&gt;0),((CROQUIS!$C$160+(IF(CROQUIS!$C$92="X",((CROQUIS!$C$107/2+(((CROQUIS!$C$97)-CROQUIS!$C$107)-(MAX(1,INT(((CROQUIS!$C$97)-CROQUIS!$C$107)/MAX((CROQUIS!$C$137*MAX(1,CEILING((INT(((CROQUIS!$C$97)-CROQUIS!$C$107)/MAX(CROQUIS!$C$137,1))+1)/80,1))),1))+1)-1)*(CROQUIS!$C$137*MAX(1,CEILING((INT(((CROQUIS!$C$97)-CROQUIS!$C$107)/MAX(CROQUIS!$C$137,1))+1)/80,1))))/2)+MIN(INT(($A292-1)/5),MAX((MAX(1,INT(((CROQUIS!$C$97)-CROQUIS!$C$107)/MAX((CROQUIS!$C$137*MAX(1,CEILING((INT(((CROQUIS!$C$97)-CROQUIS!$C$107)/MAX(CROQUIS!$C$137,1))+1)/80,1))),1))+1))-1,0))*(CROQUIS!$C$137*MAX(1,CEILING((INT(((CROQUIS!$C$97)-CROQUIS!$C$107)/MAX(CROQUIS!$C$137,1))+1)/80,1)))),CHOOSE(IF(INT(($A292-1)/5)&gt;MAX((MAX(1,INT(((CROQUIS!$C$97)-CROQUIS!$C$107)/MAX((CROQUIS!$C$137*MAX(1,CEILING((INT(((CROQUIS!$C$97)-CROQUIS!$C$107)/MAX(CROQUIS!$C$137,1))+1)/80,1))),1))+1))-1,0),0,MOD($A292-1,5))+1,0,2,CROQUIS!$C$98-2,2,0)))*CROQUIS!$C$159)+IF(CROQUIS!$C$92="X",0,0)),-1000)</f>
        <v>-1000</v>
      </c>
      <c r="BQ292">
        <f>IF(AND(CROQUIS!$C$88=1,CROQUIS!$C$137&gt;0),((CROQUIS!$C$161+(IF(CROQUIS!$C$92="X",CHOOSE(IF(INT(($A292-1)/5)&gt;MAX((MAX(1,INT(((CROQUIS!$C$97)-CROQUIS!$C$107)/MAX((CROQUIS!$C$137*MAX(1,CEILING((INT(((CROQUIS!$C$97)-CROQUIS!$C$107)/MAX(CROQUIS!$C$137,1))+1)/80,1))),1))+1))-1,0),0,MOD($A292-1,5))+1,0,2,CROQUIS!$C$98-2,2,0),((CROQUIS!$C$107/2+(((CROQUIS!$C$97)-CROQUIS!$C$107)-(MAX(1,INT(((CROQUIS!$C$97)-CROQUIS!$C$107)/MAX((CROQUIS!$C$137*MAX(1,CEILING((INT(((CROQUIS!$C$97)-CROQUIS!$C$107)/MAX(CROQUIS!$C$137,1))+1)/80,1))),1))+1)-1)*(CROQUIS!$C$137*MAX(1,CEILING((INT(((CROQUIS!$C$97)-CROQUIS!$C$107)/MAX(CROQUIS!$C$137,1))+1)/80,1))))/2)+MIN(INT(($A292-1)/5),MAX((MAX(1,INT(((CROQUIS!$C$97)-CROQUIS!$C$107)/MAX((CROQUIS!$C$137*MAX(1,CEILING((INT(((CROQUIS!$C$97)-CROQUIS!$C$107)/MAX(CROQUIS!$C$137,1))+1)/80,1))),1))+1))-1,0))*(CROQUIS!$C$137*MAX(1,CEILING((INT(((CROQUIS!$C$97)-CROQUIS!$C$107)/MAX(CROQUIS!$C$137,1))+1)/80,1))))))*CROQUIS!$C$159)+IF(CROQUIS!$C$92="X",0,0)),-1000)</f>
        <v>-1000</v>
      </c>
      <c r="BR292">
        <f>IF(AND(CROQUIS!$C$88=1,CROQUIS!$C$91=0,CROQUIS!$C$133&gt;0,OR(CROQUIS!$C$103=1,CROQUIS!$C$145=1)),((CROQUIS!$C$160+(IF(CROQUIS!$C$92="X",CHOOSE(IF(INT(($A292-1)/5)&gt;MAX((MAX(1,INT(((CROQUIS!$C$98)-CROQUIS!$C$107)/MAX((CROQUIS!$C$133*MAX(1,CEILING((INT(((CROQUIS!$C$98)-CROQUIS!$C$107)/MAX(CROQUIS!$C$133,1))+1)/80,1))),1))+1))-1,0),0,MOD($A292-1,5))+1,0,IF(CROQUIS!$C$103=1,-12,2),CROQUIS!$C$107/2+CROQUIS!$C$143,IF(CROQUIS!$C$103=1,-12,2),0),((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BS2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+1,0,IF(CROQUIS!$C$103=1,-12,2),CROQUIS!$C$107/2+CROQUIS!$C$143,IF(CROQUIS!$C$103=1,-12,2),0)))*CROQUIS!$C$159)+IF(CROQUIS!$C$92="X",0.8,0)),-1000)</f>
        <v>-1000</v>
      </c>
      <c r="BT292">
        <f>IF(AND(CROQUIS!$C$88=1,CROQUIS!$C$91=0,CROQUIS!$C$133&gt;0,OR(CROQUIS!$C$104=1,CROQUIS!$C$145=1)),((CROQUIS!$C$160+(IF(CROQUIS!$C$92="X",CHOOSE(IF(INT(($A292-1)/5)&gt;MAX((MAX(1,INT(((CROQUIS!$C$98)-CROQUIS!$C$107)/MAX((CROQUIS!$C$133*MAX(1,CEILING((INT(((CROQUIS!$C$98)-CROQUIS!$C$107)/MAX(CROQUIS!$C$133,1))+1)/80,1))),1))+1))-1,0),0,MOD($A292-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BU2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CROQUIS!$C$97,CROQUIS!$C$97-CROQUIS!$C$107/2-CROQUIS!$C$143,IF(CROQUIS!$C$104=1,CROQUIS!$C$97+12,CROQUIS!$C$97-2),CROQUIS!$C$97-CROQUIS!$C$107/2-CROQUIS!$C$143,CROQUIS!$C$97)))*CROQUIS!$C$159)+IF(CROQUIS!$C$92="X",0.8,0)),-1000)</f>
        <v>-1000</v>
      </c>
      <c r="BV2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HOOSE(IF(INT(($A292-1)/5)&gt;MAX((MAX(1,INT(((CROQUIS!$C$97)-CROQUIS!$C$107)/MAX((CROQUIS!$C$141*MAX(1,CEILING((INT(((CROQUIS!$C$97)-CROQUIS!$C$107)/MAX(CROQUIS!$C$141,1))+1)/80,1))),1))+1))-1,0),0,MOD($A292-1,5))+1,0,IF(CROQUIS!$C$105=1,-12,2),CROQUIS!$C$107/2+CROQUIS!$C$144,IF(CROQUIS!$C$105=1,-12,2),0)))*CROQUIS!$C$159)+IF(CROQUIS!$C$92="X",0.8,0)),-1000)</f>
        <v>-1000</v>
      </c>
      <c r="BW292">
        <f>IF(AND(CROQUIS!$C$88=1,CROQUIS!$C$91=0,CROQUIS!$C$141&gt;0,OR(CROQUIS!$C$105=1,CROQUIS!$C$146=1)),((CROQUIS!$C$161+(IF(CROQUIS!$C$92="X",CHOOSE(IF(INT(($A292-1)/5)&gt;MAX((MAX(1,INT(((CROQUIS!$C$97)-CROQUIS!$C$107)/MAX((CROQUIS!$C$141*MAX(1,CEILING((INT(((CROQUIS!$C$97)-CROQUIS!$C$107)/MAX(CROQUIS!$C$141,1))+1)/80,1))),1))+1))-1,0),0,MOD($A292-1,5))+1,0,IF(CROQUIS!$C$105=1,-12,2),CROQUIS!$C$107/2+CROQUIS!$C$144,IF(CROQUIS!$C$105=1,-12,2),0),((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ROQUIS!$C$159)+IF(CROQUIS!$C$92="X",0,0.8)),-1000)</f>
        <v>-1000</v>
      </c>
      <c r="BX2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HOOSE(IF(INT(($A292-1)/5)&gt;MAX((MAX(1,INT(((CROQUIS!$C$97)-CROQUIS!$C$107)/MAX((CROQUIS!$C$141*MAX(1,CEILING((INT(((CROQUIS!$C$97)-CROQUIS!$C$107)/MAX(CROQUIS!$C$141,1))+1)/80,1))),1))+1))-1,0),0,MOD($A292-1,5))+1,CROQUIS!$C$98,CROQUIS!$C$98-CROQUIS!$C$107/2-CROQUIS!$C$144,IF(CROQUIS!$C$106=1,CROQUIS!$C$98+12,CROQUIS!$C$98-2),CROQUIS!$C$98-CROQUIS!$C$107/2-CROQUIS!$C$144,CROQUIS!$C$98)))*CROQUIS!$C$159)+IF(CROQUIS!$C$92="X",0.8,0)),-1000)</f>
        <v>-1000</v>
      </c>
      <c r="BY292">
        <f>IF(AND(CROQUIS!$C$88=1,CROQUIS!$C$91=0,CROQUIS!$C$141&gt;0,OR(CROQUIS!$C$106=1,CROQUIS!$C$146=1)),((CROQUIS!$C$161+(IF(CROQUIS!$C$92="X",CHOOSE(IF(INT(($A292-1)/5)&gt;MAX((MAX(1,INT(((CROQUIS!$C$97)-CROQUIS!$C$107)/MAX((CROQUIS!$C$141*MAX(1,CEILING((INT(((CROQUIS!$C$97)-CROQUIS!$C$107)/MAX(CROQUIS!$C$141,1))+1)/80,1))),1))+1))-1,0),0,MOD($A292-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ROQUIS!$C$159)+IF(CROQUIS!$C$92="X",0,0.8)),-1000)</f>
        <v>-1000</v>
      </c>
      <c r="BZ292">
        <f>IF(AND(CROQUIS!$C$88=1,CROQUIS!$C$91=1,CROQUIS!$C$133&gt;0),((CROQUIS!$C$160+(IF(CROQUIS!$C$92="X",CHOOSE(IF(INT(($A292-1)/5)&gt;MAX((MAX(1,INT(((CROQUIS!$C$98)-CROQUIS!$C$107)/MAX((CROQUIS!$C$133*MAX(1,CEILING((INT(((CROQUIS!$C$98)-CROQUIS!$C$107)/MAX(CROQUIS!$C$133,1))+1)/80,1))),1))+1))-1,0),0,MOD($A292-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CA292">
        <f>IF(AND(CROQUIS!$C$88=1,CROQUIS!$C$91=1,CROQUIS!$C$133&gt;0),((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3">
      <c r="A293" t="n">
        <v>286</v>
      </c>
      <c r="BN293">
        <f>IF(AND(CROQUIS!$C$88=1,CROQUIS!$C$129&gt;0),((CROQUIS!$C$160+(IF(CROQUIS!$C$92="X",CHOOSE(IF(INT(($A293-1)/5)&gt;MAX((MAX(1,INT(((CROQUIS!$C$98)-CROQUIS!$C$107)/MAX((CROQUIS!$C$129*MAX(1,CEILING((INT(((CROQUIS!$C$98)-CROQUIS!$C$107)/MAX(CROQUIS!$C$129,1))+1)/80,1))),1))+1))-1,0),0,MOD($A293-1,5))+1,0,2,CROQUIS!$C$97-2,2,0),((CROQUIS!$C$107/2+(((CROQUIS!$C$98)-CROQUIS!$C$107)-(MAX(1,INT(((CROQUIS!$C$98)-CROQUIS!$C$107)/MAX((CROQUIS!$C$129*MAX(1,CEILING((INT(((CROQUIS!$C$98)-CROQUIS!$C$107)/MAX(CROQUIS!$C$129,1))+1)/80,1))),1))+1)-1)*(CROQUIS!$C$129*MAX(1,CEILING((INT(((CROQUIS!$C$98)-CROQUIS!$C$107)/MAX(CROQUIS!$C$129,1))+1)/80,1))))/2)+MIN(INT(($A293-1)/5),MAX((MAX(1,INT(((CROQUIS!$C$98)-CROQUIS!$C$107)/MAX((CROQUIS!$C$129*MAX(1,CEILING((INT(((CROQUIS!$C$98)-CROQUIS!$C$107)/MAX(CROQUIS!$C$129,1))+1)/80,1))),1))+1))-1,0))*(CROQUIS!$C$129*MAX(1,CEILING((INT(((CROQUIS!$C$98)-CROQUIS!$C$107)/MAX(CROQUIS!$C$129,1))+1)/80,1))))))*CROQUIS!$C$159)+IF(CROQUIS!$C$92="X",0,0)),-1000)</f>
        <v>-1000</v>
      </c>
      <c r="BO293">
        <f>IF(AND(CROQUIS!$C$88=1,CROQUIS!$C$129&gt;0),((CROQUIS!$C$161+(IF(CROQUIS!$C$92="X",((CROQUIS!$C$107/2+(((CROQUIS!$C$98)-CROQUIS!$C$107)-(MAX(1,INT(((CROQUIS!$C$98)-CROQUIS!$C$107)/MAX((CROQUIS!$C$129*MAX(1,CEILING((INT(((CROQUIS!$C$98)-CROQUIS!$C$107)/MAX(CROQUIS!$C$129,1))+1)/80,1))),1))+1)-1)*(CROQUIS!$C$129*MAX(1,CEILING((INT(((CROQUIS!$C$98)-CROQUIS!$C$107)/MAX(CROQUIS!$C$129,1))+1)/80,1))))/2)+MIN(INT(($A293-1)/5),MAX((MAX(1,INT(((CROQUIS!$C$98)-CROQUIS!$C$107)/MAX((CROQUIS!$C$129*MAX(1,CEILING((INT(((CROQUIS!$C$98)-CROQUIS!$C$107)/MAX(CROQUIS!$C$129,1))+1)/80,1))),1))+1))-1,0))*(CROQUIS!$C$129*MAX(1,CEILING((INT(((CROQUIS!$C$98)-CROQUIS!$C$107)/MAX(CROQUIS!$C$129,1))+1)/80,1)))),CHOOSE(IF(INT(($A293-1)/5)&gt;MAX((MAX(1,INT(((CROQUIS!$C$98)-CROQUIS!$C$107)/MAX((CROQUIS!$C$129*MAX(1,CEILING((INT(((CROQUIS!$C$98)-CROQUIS!$C$107)/MAX(CROQUIS!$C$129,1))+1)/80,1))),1))+1))-1,0),0,MOD($A293-1,5))+1,0,2,CROQUIS!$C$97-2,2,0)))*CROQUIS!$C$159)+IF(CROQUIS!$C$92="X",0,0)),-1000)</f>
        <v>-1000</v>
      </c>
      <c r="BP293">
        <f>IF(AND(CROQUIS!$C$88=1,CROQUIS!$C$137&gt;0),((CROQUIS!$C$160+(IF(CROQUIS!$C$92="X",((CROQUIS!$C$107/2+(((CROQUIS!$C$97)-CROQUIS!$C$107)-(MAX(1,INT(((CROQUIS!$C$97)-CROQUIS!$C$107)/MAX((CROQUIS!$C$137*MAX(1,CEILING((INT(((CROQUIS!$C$97)-CROQUIS!$C$107)/MAX(CROQUIS!$C$137,1))+1)/80,1))),1))+1)-1)*(CROQUIS!$C$137*MAX(1,CEILING((INT(((CROQUIS!$C$97)-CROQUIS!$C$107)/MAX(CROQUIS!$C$137,1))+1)/80,1))))/2)+MIN(INT(($A293-1)/5),MAX((MAX(1,INT(((CROQUIS!$C$97)-CROQUIS!$C$107)/MAX((CROQUIS!$C$137*MAX(1,CEILING((INT(((CROQUIS!$C$97)-CROQUIS!$C$107)/MAX(CROQUIS!$C$137,1))+1)/80,1))),1))+1))-1,0))*(CROQUIS!$C$137*MAX(1,CEILING((INT(((CROQUIS!$C$97)-CROQUIS!$C$107)/MAX(CROQUIS!$C$137,1))+1)/80,1)))),CHOOSE(IF(INT(($A293-1)/5)&gt;MAX((MAX(1,INT(((CROQUIS!$C$97)-CROQUIS!$C$107)/MAX((CROQUIS!$C$137*MAX(1,CEILING((INT(((CROQUIS!$C$97)-CROQUIS!$C$107)/MAX(CROQUIS!$C$137,1))+1)/80,1))),1))+1))-1,0),0,MOD($A293-1,5))+1,0,2,CROQUIS!$C$98-2,2,0)))*CROQUIS!$C$159)+IF(CROQUIS!$C$92="X",0,0)),-1000)</f>
        <v>-1000</v>
      </c>
      <c r="BQ293">
        <f>IF(AND(CROQUIS!$C$88=1,CROQUIS!$C$137&gt;0),((CROQUIS!$C$161+(IF(CROQUIS!$C$92="X",CHOOSE(IF(INT(($A293-1)/5)&gt;MAX((MAX(1,INT(((CROQUIS!$C$97)-CROQUIS!$C$107)/MAX((CROQUIS!$C$137*MAX(1,CEILING((INT(((CROQUIS!$C$97)-CROQUIS!$C$107)/MAX(CROQUIS!$C$137,1))+1)/80,1))),1))+1))-1,0),0,MOD($A293-1,5))+1,0,2,CROQUIS!$C$98-2,2,0),((CROQUIS!$C$107/2+(((CROQUIS!$C$97)-CROQUIS!$C$107)-(MAX(1,INT(((CROQUIS!$C$97)-CROQUIS!$C$107)/MAX((CROQUIS!$C$137*MAX(1,CEILING((INT(((CROQUIS!$C$97)-CROQUIS!$C$107)/MAX(CROQUIS!$C$137,1))+1)/80,1))),1))+1)-1)*(CROQUIS!$C$137*MAX(1,CEILING((INT(((CROQUIS!$C$97)-CROQUIS!$C$107)/MAX(CROQUIS!$C$137,1))+1)/80,1))))/2)+MIN(INT(($A293-1)/5),MAX((MAX(1,INT(((CROQUIS!$C$97)-CROQUIS!$C$107)/MAX((CROQUIS!$C$137*MAX(1,CEILING((INT(((CROQUIS!$C$97)-CROQUIS!$C$107)/MAX(CROQUIS!$C$137,1))+1)/80,1))),1))+1))-1,0))*(CROQUIS!$C$137*MAX(1,CEILING((INT(((CROQUIS!$C$97)-CROQUIS!$C$107)/MAX(CROQUIS!$C$137,1))+1)/80,1))))))*CROQUIS!$C$159)+IF(CROQUIS!$C$92="X",0,0)),-1000)</f>
        <v>-1000</v>
      </c>
      <c r="BR293">
        <f>IF(AND(CROQUIS!$C$88=1,CROQUIS!$C$91=0,CROQUIS!$C$133&gt;0,OR(CROQUIS!$C$103=1,CROQUIS!$C$145=1)),((CROQUIS!$C$160+(IF(CROQUIS!$C$92="X",CHOOSE(IF(INT(($A293-1)/5)&gt;MAX((MAX(1,INT(((CROQUIS!$C$98)-CROQUIS!$C$107)/MAX((CROQUIS!$C$133*MAX(1,CEILING((INT(((CROQUIS!$C$98)-CROQUIS!$C$107)/MAX(CROQUIS!$C$133,1))+1)/80,1))),1))+1))-1,0),0,MOD($A293-1,5))+1,0,IF(CROQUIS!$C$103=1,-12,2),CROQUIS!$C$107/2+CROQUIS!$C$143,IF(CROQUIS!$C$103=1,-12,2),0),((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BS2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+1,0,IF(CROQUIS!$C$103=1,-12,2),CROQUIS!$C$107/2+CROQUIS!$C$143,IF(CROQUIS!$C$103=1,-12,2),0)))*CROQUIS!$C$159)+IF(CROQUIS!$C$92="X",0.8,0)),-1000)</f>
        <v>-1000</v>
      </c>
      <c r="BT293">
        <f>IF(AND(CROQUIS!$C$88=1,CROQUIS!$C$91=0,CROQUIS!$C$133&gt;0,OR(CROQUIS!$C$104=1,CROQUIS!$C$145=1)),((CROQUIS!$C$160+(IF(CROQUIS!$C$92="X",CHOOSE(IF(INT(($A293-1)/5)&gt;MAX((MAX(1,INT(((CROQUIS!$C$98)-CROQUIS!$C$107)/MAX((CROQUIS!$C$133*MAX(1,CEILING((INT(((CROQUIS!$C$98)-CROQUIS!$C$107)/MAX(CROQUIS!$C$133,1))+1)/80,1))),1))+1))-1,0),0,MOD($A293-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BU2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CROQUIS!$C$97,CROQUIS!$C$97-CROQUIS!$C$107/2-CROQUIS!$C$143,IF(CROQUIS!$C$104=1,CROQUIS!$C$97+12,CROQUIS!$C$97-2),CROQUIS!$C$97-CROQUIS!$C$107/2-CROQUIS!$C$143,CROQUIS!$C$97)))*CROQUIS!$C$159)+IF(CROQUIS!$C$92="X",0.8,0)),-1000)</f>
        <v>-1000</v>
      </c>
      <c r="BV2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HOOSE(IF(INT(($A293-1)/5)&gt;MAX((MAX(1,INT(((CROQUIS!$C$97)-CROQUIS!$C$107)/MAX((CROQUIS!$C$141*MAX(1,CEILING((INT(((CROQUIS!$C$97)-CROQUIS!$C$107)/MAX(CROQUIS!$C$141,1))+1)/80,1))),1))+1))-1,0),0,MOD($A293-1,5))+1,0,IF(CROQUIS!$C$105=1,-12,2),CROQUIS!$C$107/2+CROQUIS!$C$144,IF(CROQUIS!$C$105=1,-12,2),0)))*CROQUIS!$C$159)+IF(CROQUIS!$C$92="X",0.8,0)),-1000)</f>
        <v>-1000</v>
      </c>
      <c r="BW293">
        <f>IF(AND(CROQUIS!$C$88=1,CROQUIS!$C$91=0,CROQUIS!$C$141&gt;0,OR(CROQUIS!$C$105=1,CROQUIS!$C$146=1)),((CROQUIS!$C$161+(IF(CROQUIS!$C$92="X",CHOOSE(IF(INT(($A293-1)/5)&gt;MAX((MAX(1,INT(((CROQUIS!$C$97)-CROQUIS!$C$107)/MAX((CROQUIS!$C$141*MAX(1,CEILING((INT(((CROQUIS!$C$97)-CROQUIS!$C$107)/MAX(CROQUIS!$C$141,1))+1)/80,1))),1))+1))-1,0),0,MOD($A293-1,5))+1,0,IF(CROQUIS!$C$105=1,-12,2),CROQUIS!$C$107/2+CROQUIS!$C$144,IF(CROQUIS!$C$105=1,-12,2),0),((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ROQUIS!$C$159)+IF(CROQUIS!$C$92="X",0,0.8)),-1000)</f>
        <v>-1000</v>
      </c>
      <c r="BX2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HOOSE(IF(INT(($A293-1)/5)&gt;MAX((MAX(1,INT(((CROQUIS!$C$97)-CROQUIS!$C$107)/MAX((CROQUIS!$C$141*MAX(1,CEILING((INT(((CROQUIS!$C$97)-CROQUIS!$C$107)/MAX(CROQUIS!$C$141,1))+1)/80,1))),1))+1))-1,0),0,MOD($A293-1,5))+1,CROQUIS!$C$98,CROQUIS!$C$98-CROQUIS!$C$107/2-CROQUIS!$C$144,IF(CROQUIS!$C$106=1,CROQUIS!$C$98+12,CROQUIS!$C$98-2),CROQUIS!$C$98-CROQUIS!$C$107/2-CROQUIS!$C$144,CROQUIS!$C$98)))*CROQUIS!$C$159)+IF(CROQUIS!$C$92="X",0.8,0)),-1000)</f>
        <v>-1000</v>
      </c>
      <c r="BY293">
        <f>IF(AND(CROQUIS!$C$88=1,CROQUIS!$C$91=0,CROQUIS!$C$141&gt;0,OR(CROQUIS!$C$106=1,CROQUIS!$C$146=1)),((CROQUIS!$C$161+(IF(CROQUIS!$C$92="X",CHOOSE(IF(INT(($A293-1)/5)&gt;MAX((MAX(1,INT(((CROQUIS!$C$97)-CROQUIS!$C$107)/MAX((CROQUIS!$C$141*MAX(1,CEILING((INT(((CROQUIS!$C$97)-CROQUIS!$C$107)/MAX(CROQUIS!$C$141,1))+1)/80,1))),1))+1))-1,0),0,MOD($A293-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ROQUIS!$C$159)+IF(CROQUIS!$C$92="X",0,0.8)),-1000)</f>
        <v>-1000</v>
      </c>
      <c r="BZ293">
        <f>IF(AND(CROQUIS!$C$88=1,CROQUIS!$C$91=1,CROQUIS!$C$133&gt;0),((CROQUIS!$C$160+(IF(CROQUIS!$C$92="X",CHOOSE(IF(INT(($A293-1)/5)&gt;MAX((MAX(1,INT(((CROQUIS!$C$98)-CROQUIS!$C$107)/MAX((CROQUIS!$C$133*MAX(1,CEILING((INT(((CROQUIS!$C$98)-CROQUIS!$C$107)/MAX(CROQUIS!$C$133,1))+1)/80,1))),1))+1))-1,0),0,MOD($A293-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CA293">
        <f>IF(AND(CROQUIS!$C$88=1,CROQUIS!$C$91=1,CROQUIS!$C$133&gt;0),((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4">
      <c r="A294" t="n">
        <v>287</v>
      </c>
      <c r="BN294">
        <f>IF(AND(CROQUIS!$C$88=1,CROQUIS!$C$129&gt;0),((CROQUIS!$C$160+(IF(CROQUIS!$C$92="X",CHOOSE(IF(INT(($A294-1)/5)&gt;MAX((MAX(1,INT(((CROQUIS!$C$98)-CROQUIS!$C$107)/MAX((CROQUIS!$C$129*MAX(1,CEILING((INT(((CROQUIS!$C$98)-CROQUIS!$C$107)/MAX(CROQUIS!$C$129,1))+1)/80,1))),1))+1))-1,0),0,MOD($A294-1,5))+1,0,2,CROQUIS!$C$97-2,2,0),((CROQUIS!$C$107/2+(((CROQUIS!$C$98)-CROQUIS!$C$107)-(MAX(1,INT(((CROQUIS!$C$98)-CROQUIS!$C$107)/MAX((CROQUIS!$C$129*MAX(1,CEILING((INT(((CROQUIS!$C$98)-CROQUIS!$C$107)/MAX(CROQUIS!$C$129,1))+1)/80,1))),1))+1)-1)*(CROQUIS!$C$129*MAX(1,CEILING((INT(((CROQUIS!$C$98)-CROQUIS!$C$107)/MAX(CROQUIS!$C$129,1))+1)/80,1))))/2)+MIN(INT(($A294-1)/5),MAX((MAX(1,INT(((CROQUIS!$C$98)-CROQUIS!$C$107)/MAX((CROQUIS!$C$129*MAX(1,CEILING((INT(((CROQUIS!$C$98)-CROQUIS!$C$107)/MAX(CROQUIS!$C$129,1))+1)/80,1))),1))+1))-1,0))*(CROQUIS!$C$129*MAX(1,CEILING((INT(((CROQUIS!$C$98)-CROQUIS!$C$107)/MAX(CROQUIS!$C$129,1))+1)/80,1))))))*CROQUIS!$C$159)+IF(CROQUIS!$C$92="X",0,0)),-1000)</f>
        <v>-1000</v>
      </c>
      <c r="BO294">
        <f>IF(AND(CROQUIS!$C$88=1,CROQUIS!$C$129&gt;0),((CROQUIS!$C$161+(IF(CROQUIS!$C$92="X",((CROQUIS!$C$107/2+(((CROQUIS!$C$98)-CROQUIS!$C$107)-(MAX(1,INT(((CROQUIS!$C$98)-CROQUIS!$C$107)/MAX((CROQUIS!$C$129*MAX(1,CEILING((INT(((CROQUIS!$C$98)-CROQUIS!$C$107)/MAX(CROQUIS!$C$129,1))+1)/80,1))),1))+1)-1)*(CROQUIS!$C$129*MAX(1,CEILING((INT(((CROQUIS!$C$98)-CROQUIS!$C$107)/MAX(CROQUIS!$C$129,1))+1)/80,1))))/2)+MIN(INT(($A294-1)/5),MAX((MAX(1,INT(((CROQUIS!$C$98)-CROQUIS!$C$107)/MAX((CROQUIS!$C$129*MAX(1,CEILING((INT(((CROQUIS!$C$98)-CROQUIS!$C$107)/MAX(CROQUIS!$C$129,1))+1)/80,1))),1))+1))-1,0))*(CROQUIS!$C$129*MAX(1,CEILING((INT(((CROQUIS!$C$98)-CROQUIS!$C$107)/MAX(CROQUIS!$C$129,1))+1)/80,1)))),CHOOSE(IF(INT(($A294-1)/5)&gt;MAX((MAX(1,INT(((CROQUIS!$C$98)-CROQUIS!$C$107)/MAX((CROQUIS!$C$129*MAX(1,CEILING((INT(((CROQUIS!$C$98)-CROQUIS!$C$107)/MAX(CROQUIS!$C$129,1))+1)/80,1))),1))+1))-1,0),0,MOD($A294-1,5))+1,0,2,CROQUIS!$C$97-2,2,0)))*CROQUIS!$C$159)+IF(CROQUIS!$C$92="X",0,0)),-1000)</f>
        <v>-1000</v>
      </c>
      <c r="BP294">
        <f>IF(AND(CROQUIS!$C$88=1,CROQUIS!$C$137&gt;0),((CROQUIS!$C$160+(IF(CROQUIS!$C$92="X",((CROQUIS!$C$107/2+(((CROQUIS!$C$97)-CROQUIS!$C$107)-(MAX(1,INT(((CROQUIS!$C$97)-CROQUIS!$C$107)/MAX((CROQUIS!$C$137*MAX(1,CEILING((INT(((CROQUIS!$C$97)-CROQUIS!$C$107)/MAX(CROQUIS!$C$137,1))+1)/80,1))),1))+1)-1)*(CROQUIS!$C$137*MAX(1,CEILING((INT(((CROQUIS!$C$97)-CROQUIS!$C$107)/MAX(CROQUIS!$C$137,1))+1)/80,1))))/2)+MIN(INT(($A294-1)/5),MAX((MAX(1,INT(((CROQUIS!$C$97)-CROQUIS!$C$107)/MAX((CROQUIS!$C$137*MAX(1,CEILING((INT(((CROQUIS!$C$97)-CROQUIS!$C$107)/MAX(CROQUIS!$C$137,1))+1)/80,1))),1))+1))-1,0))*(CROQUIS!$C$137*MAX(1,CEILING((INT(((CROQUIS!$C$97)-CROQUIS!$C$107)/MAX(CROQUIS!$C$137,1))+1)/80,1)))),CHOOSE(IF(INT(($A294-1)/5)&gt;MAX((MAX(1,INT(((CROQUIS!$C$97)-CROQUIS!$C$107)/MAX((CROQUIS!$C$137*MAX(1,CEILING((INT(((CROQUIS!$C$97)-CROQUIS!$C$107)/MAX(CROQUIS!$C$137,1))+1)/80,1))),1))+1))-1,0),0,MOD($A294-1,5))+1,0,2,CROQUIS!$C$98-2,2,0)))*CROQUIS!$C$159)+IF(CROQUIS!$C$92="X",0,0)),-1000)</f>
        <v>-1000</v>
      </c>
      <c r="BQ294">
        <f>IF(AND(CROQUIS!$C$88=1,CROQUIS!$C$137&gt;0),((CROQUIS!$C$161+(IF(CROQUIS!$C$92="X",CHOOSE(IF(INT(($A294-1)/5)&gt;MAX((MAX(1,INT(((CROQUIS!$C$97)-CROQUIS!$C$107)/MAX((CROQUIS!$C$137*MAX(1,CEILING((INT(((CROQUIS!$C$97)-CROQUIS!$C$107)/MAX(CROQUIS!$C$137,1))+1)/80,1))),1))+1))-1,0),0,MOD($A294-1,5))+1,0,2,CROQUIS!$C$98-2,2,0),((CROQUIS!$C$107/2+(((CROQUIS!$C$97)-CROQUIS!$C$107)-(MAX(1,INT(((CROQUIS!$C$97)-CROQUIS!$C$107)/MAX((CROQUIS!$C$137*MAX(1,CEILING((INT(((CROQUIS!$C$97)-CROQUIS!$C$107)/MAX(CROQUIS!$C$137,1))+1)/80,1))),1))+1)-1)*(CROQUIS!$C$137*MAX(1,CEILING((INT(((CROQUIS!$C$97)-CROQUIS!$C$107)/MAX(CROQUIS!$C$137,1))+1)/80,1))))/2)+MIN(INT(($A294-1)/5),MAX((MAX(1,INT(((CROQUIS!$C$97)-CROQUIS!$C$107)/MAX((CROQUIS!$C$137*MAX(1,CEILING((INT(((CROQUIS!$C$97)-CROQUIS!$C$107)/MAX(CROQUIS!$C$137,1))+1)/80,1))),1))+1))-1,0))*(CROQUIS!$C$137*MAX(1,CEILING((INT(((CROQUIS!$C$97)-CROQUIS!$C$107)/MAX(CROQUIS!$C$137,1))+1)/80,1))))))*CROQUIS!$C$159)+IF(CROQUIS!$C$92="X",0,0)),-1000)</f>
        <v>-1000</v>
      </c>
      <c r="BR294">
        <f>IF(AND(CROQUIS!$C$88=1,CROQUIS!$C$91=0,CROQUIS!$C$133&gt;0,OR(CROQUIS!$C$103=1,CROQUIS!$C$145=1)),((CROQUIS!$C$160+(IF(CROQUIS!$C$92="X",CHOOSE(IF(INT(($A294-1)/5)&gt;MAX((MAX(1,INT(((CROQUIS!$C$98)-CROQUIS!$C$107)/MAX((CROQUIS!$C$133*MAX(1,CEILING((INT(((CROQUIS!$C$98)-CROQUIS!$C$107)/MAX(CROQUIS!$C$133,1))+1)/80,1))),1))+1))-1,0),0,MOD($A294-1,5))+1,0,IF(CROQUIS!$C$103=1,-12,2),CROQUIS!$C$107/2+CROQUIS!$C$143,IF(CROQUIS!$C$103=1,-12,2),0),((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BS2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+1,0,IF(CROQUIS!$C$103=1,-12,2),CROQUIS!$C$107/2+CROQUIS!$C$143,IF(CROQUIS!$C$103=1,-12,2),0)))*CROQUIS!$C$159)+IF(CROQUIS!$C$92="X",0.8,0)),-1000)</f>
        <v>-1000</v>
      </c>
      <c r="BT294">
        <f>IF(AND(CROQUIS!$C$88=1,CROQUIS!$C$91=0,CROQUIS!$C$133&gt;0,OR(CROQUIS!$C$104=1,CROQUIS!$C$145=1)),((CROQUIS!$C$160+(IF(CROQUIS!$C$92="X",CHOOSE(IF(INT(($A294-1)/5)&gt;MAX((MAX(1,INT(((CROQUIS!$C$98)-CROQUIS!$C$107)/MAX((CROQUIS!$C$133*MAX(1,CEILING((INT(((CROQUIS!$C$98)-CROQUIS!$C$107)/MAX(CROQUIS!$C$133,1))+1)/80,1))),1))+1))-1,0),0,MOD($A294-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BU2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CROQUIS!$C$97,CROQUIS!$C$97-CROQUIS!$C$107/2-CROQUIS!$C$143,IF(CROQUIS!$C$104=1,CROQUIS!$C$97+12,CROQUIS!$C$97-2),CROQUIS!$C$97-CROQUIS!$C$107/2-CROQUIS!$C$143,CROQUIS!$C$97)))*CROQUIS!$C$159)+IF(CROQUIS!$C$92="X",0.8,0)),-1000)</f>
        <v>-1000</v>
      </c>
      <c r="BV2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HOOSE(IF(INT(($A294-1)/5)&gt;MAX((MAX(1,INT(((CROQUIS!$C$97)-CROQUIS!$C$107)/MAX((CROQUIS!$C$141*MAX(1,CEILING((INT(((CROQUIS!$C$97)-CROQUIS!$C$107)/MAX(CROQUIS!$C$141,1))+1)/80,1))),1))+1))-1,0),0,MOD($A294-1,5))+1,0,IF(CROQUIS!$C$105=1,-12,2),CROQUIS!$C$107/2+CROQUIS!$C$144,IF(CROQUIS!$C$105=1,-12,2),0)))*CROQUIS!$C$159)+IF(CROQUIS!$C$92="X",0.8,0)),-1000)</f>
        <v>-1000</v>
      </c>
      <c r="BW294">
        <f>IF(AND(CROQUIS!$C$88=1,CROQUIS!$C$91=0,CROQUIS!$C$141&gt;0,OR(CROQUIS!$C$105=1,CROQUIS!$C$146=1)),((CROQUIS!$C$161+(IF(CROQUIS!$C$92="X",CHOOSE(IF(INT(($A294-1)/5)&gt;MAX((MAX(1,INT(((CROQUIS!$C$97)-CROQUIS!$C$107)/MAX((CROQUIS!$C$141*MAX(1,CEILING((INT(((CROQUIS!$C$97)-CROQUIS!$C$107)/MAX(CROQUIS!$C$141,1))+1)/80,1))),1))+1))-1,0),0,MOD($A294-1,5))+1,0,IF(CROQUIS!$C$105=1,-12,2),CROQUIS!$C$107/2+CROQUIS!$C$144,IF(CROQUIS!$C$105=1,-12,2),0),((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ROQUIS!$C$159)+IF(CROQUIS!$C$92="X",0,0.8)),-1000)</f>
        <v>-1000</v>
      </c>
      <c r="BX2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HOOSE(IF(INT(($A294-1)/5)&gt;MAX((MAX(1,INT(((CROQUIS!$C$97)-CROQUIS!$C$107)/MAX((CROQUIS!$C$141*MAX(1,CEILING((INT(((CROQUIS!$C$97)-CROQUIS!$C$107)/MAX(CROQUIS!$C$141,1))+1)/80,1))),1))+1))-1,0),0,MOD($A294-1,5))+1,CROQUIS!$C$98,CROQUIS!$C$98-CROQUIS!$C$107/2-CROQUIS!$C$144,IF(CROQUIS!$C$106=1,CROQUIS!$C$98+12,CROQUIS!$C$98-2),CROQUIS!$C$98-CROQUIS!$C$107/2-CROQUIS!$C$144,CROQUIS!$C$98)))*CROQUIS!$C$159)+IF(CROQUIS!$C$92="X",0.8,0)),-1000)</f>
        <v>-1000</v>
      </c>
      <c r="BY294">
        <f>IF(AND(CROQUIS!$C$88=1,CROQUIS!$C$91=0,CROQUIS!$C$141&gt;0,OR(CROQUIS!$C$106=1,CROQUIS!$C$146=1)),((CROQUIS!$C$161+(IF(CROQUIS!$C$92="X",CHOOSE(IF(INT(($A294-1)/5)&gt;MAX((MAX(1,INT(((CROQUIS!$C$97)-CROQUIS!$C$107)/MAX((CROQUIS!$C$141*MAX(1,CEILING((INT(((CROQUIS!$C$97)-CROQUIS!$C$107)/MAX(CROQUIS!$C$141,1))+1)/80,1))),1))+1))-1,0),0,MOD($A294-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ROQUIS!$C$159)+IF(CROQUIS!$C$92="X",0,0.8)),-1000)</f>
        <v>-1000</v>
      </c>
      <c r="BZ294">
        <f>IF(AND(CROQUIS!$C$88=1,CROQUIS!$C$91=1,CROQUIS!$C$133&gt;0),((CROQUIS!$C$160+(IF(CROQUIS!$C$92="X",CHOOSE(IF(INT(($A294-1)/5)&gt;MAX((MAX(1,INT(((CROQUIS!$C$98)-CROQUIS!$C$107)/MAX((CROQUIS!$C$133*MAX(1,CEILING((INT(((CROQUIS!$C$98)-CROQUIS!$C$107)/MAX(CROQUIS!$C$133,1))+1)/80,1))),1))+1))-1,0),0,MOD($A294-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CA294">
        <f>IF(AND(CROQUIS!$C$88=1,CROQUIS!$C$91=1,CROQUIS!$C$133&gt;0),((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5">
      <c r="A295" t="n">
        <v>288</v>
      </c>
      <c r="BN295">
        <f>IF(AND(CROQUIS!$C$88=1,CROQUIS!$C$129&gt;0),((CROQUIS!$C$160+(IF(CROQUIS!$C$92="X",CHOOSE(IF(INT(($A295-1)/5)&gt;MAX((MAX(1,INT(((CROQUIS!$C$98)-CROQUIS!$C$107)/MAX((CROQUIS!$C$129*MAX(1,CEILING((INT(((CROQUIS!$C$98)-CROQUIS!$C$107)/MAX(CROQUIS!$C$129,1))+1)/80,1))),1))+1))-1,0),0,MOD($A295-1,5))+1,0,2,CROQUIS!$C$97-2,2,0),((CROQUIS!$C$107/2+(((CROQUIS!$C$98)-CROQUIS!$C$107)-(MAX(1,INT(((CROQUIS!$C$98)-CROQUIS!$C$107)/MAX((CROQUIS!$C$129*MAX(1,CEILING((INT(((CROQUIS!$C$98)-CROQUIS!$C$107)/MAX(CROQUIS!$C$129,1))+1)/80,1))),1))+1)-1)*(CROQUIS!$C$129*MAX(1,CEILING((INT(((CROQUIS!$C$98)-CROQUIS!$C$107)/MAX(CROQUIS!$C$129,1))+1)/80,1))))/2)+MIN(INT(($A295-1)/5),MAX((MAX(1,INT(((CROQUIS!$C$98)-CROQUIS!$C$107)/MAX((CROQUIS!$C$129*MAX(1,CEILING((INT(((CROQUIS!$C$98)-CROQUIS!$C$107)/MAX(CROQUIS!$C$129,1))+1)/80,1))),1))+1))-1,0))*(CROQUIS!$C$129*MAX(1,CEILING((INT(((CROQUIS!$C$98)-CROQUIS!$C$107)/MAX(CROQUIS!$C$129,1))+1)/80,1))))))*CROQUIS!$C$159)+IF(CROQUIS!$C$92="X",0,0)),-1000)</f>
        <v>-1000</v>
      </c>
      <c r="BO295">
        <f>IF(AND(CROQUIS!$C$88=1,CROQUIS!$C$129&gt;0),((CROQUIS!$C$161+(IF(CROQUIS!$C$92="X",((CROQUIS!$C$107/2+(((CROQUIS!$C$98)-CROQUIS!$C$107)-(MAX(1,INT(((CROQUIS!$C$98)-CROQUIS!$C$107)/MAX((CROQUIS!$C$129*MAX(1,CEILING((INT(((CROQUIS!$C$98)-CROQUIS!$C$107)/MAX(CROQUIS!$C$129,1))+1)/80,1))),1))+1)-1)*(CROQUIS!$C$129*MAX(1,CEILING((INT(((CROQUIS!$C$98)-CROQUIS!$C$107)/MAX(CROQUIS!$C$129,1))+1)/80,1))))/2)+MIN(INT(($A295-1)/5),MAX((MAX(1,INT(((CROQUIS!$C$98)-CROQUIS!$C$107)/MAX((CROQUIS!$C$129*MAX(1,CEILING((INT(((CROQUIS!$C$98)-CROQUIS!$C$107)/MAX(CROQUIS!$C$129,1))+1)/80,1))),1))+1))-1,0))*(CROQUIS!$C$129*MAX(1,CEILING((INT(((CROQUIS!$C$98)-CROQUIS!$C$107)/MAX(CROQUIS!$C$129,1))+1)/80,1)))),CHOOSE(IF(INT(($A295-1)/5)&gt;MAX((MAX(1,INT(((CROQUIS!$C$98)-CROQUIS!$C$107)/MAX((CROQUIS!$C$129*MAX(1,CEILING((INT(((CROQUIS!$C$98)-CROQUIS!$C$107)/MAX(CROQUIS!$C$129,1))+1)/80,1))),1))+1))-1,0),0,MOD($A295-1,5))+1,0,2,CROQUIS!$C$97-2,2,0)))*CROQUIS!$C$159)+IF(CROQUIS!$C$92="X",0,0)),-1000)</f>
        <v>-1000</v>
      </c>
      <c r="BP295">
        <f>IF(AND(CROQUIS!$C$88=1,CROQUIS!$C$137&gt;0),((CROQUIS!$C$160+(IF(CROQUIS!$C$92="X",((CROQUIS!$C$107/2+(((CROQUIS!$C$97)-CROQUIS!$C$107)-(MAX(1,INT(((CROQUIS!$C$97)-CROQUIS!$C$107)/MAX((CROQUIS!$C$137*MAX(1,CEILING((INT(((CROQUIS!$C$97)-CROQUIS!$C$107)/MAX(CROQUIS!$C$137,1))+1)/80,1))),1))+1)-1)*(CROQUIS!$C$137*MAX(1,CEILING((INT(((CROQUIS!$C$97)-CROQUIS!$C$107)/MAX(CROQUIS!$C$137,1))+1)/80,1))))/2)+MIN(INT(($A295-1)/5),MAX((MAX(1,INT(((CROQUIS!$C$97)-CROQUIS!$C$107)/MAX((CROQUIS!$C$137*MAX(1,CEILING((INT(((CROQUIS!$C$97)-CROQUIS!$C$107)/MAX(CROQUIS!$C$137,1))+1)/80,1))),1))+1))-1,0))*(CROQUIS!$C$137*MAX(1,CEILING((INT(((CROQUIS!$C$97)-CROQUIS!$C$107)/MAX(CROQUIS!$C$137,1))+1)/80,1)))),CHOOSE(IF(INT(($A295-1)/5)&gt;MAX((MAX(1,INT(((CROQUIS!$C$97)-CROQUIS!$C$107)/MAX((CROQUIS!$C$137*MAX(1,CEILING((INT(((CROQUIS!$C$97)-CROQUIS!$C$107)/MAX(CROQUIS!$C$137,1))+1)/80,1))),1))+1))-1,0),0,MOD($A295-1,5))+1,0,2,CROQUIS!$C$98-2,2,0)))*CROQUIS!$C$159)+IF(CROQUIS!$C$92="X",0,0)),-1000)</f>
        <v>-1000</v>
      </c>
      <c r="BQ295">
        <f>IF(AND(CROQUIS!$C$88=1,CROQUIS!$C$137&gt;0),((CROQUIS!$C$161+(IF(CROQUIS!$C$92="X",CHOOSE(IF(INT(($A295-1)/5)&gt;MAX((MAX(1,INT(((CROQUIS!$C$97)-CROQUIS!$C$107)/MAX((CROQUIS!$C$137*MAX(1,CEILING((INT(((CROQUIS!$C$97)-CROQUIS!$C$107)/MAX(CROQUIS!$C$137,1))+1)/80,1))),1))+1))-1,0),0,MOD($A295-1,5))+1,0,2,CROQUIS!$C$98-2,2,0),((CROQUIS!$C$107/2+(((CROQUIS!$C$97)-CROQUIS!$C$107)-(MAX(1,INT(((CROQUIS!$C$97)-CROQUIS!$C$107)/MAX((CROQUIS!$C$137*MAX(1,CEILING((INT(((CROQUIS!$C$97)-CROQUIS!$C$107)/MAX(CROQUIS!$C$137,1))+1)/80,1))),1))+1)-1)*(CROQUIS!$C$137*MAX(1,CEILING((INT(((CROQUIS!$C$97)-CROQUIS!$C$107)/MAX(CROQUIS!$C$137,1))+1)/80,1))))/2)+MIN(INT(($A295-1)/5),MAX((MAX(1,INT(((CROQUIS!$C$97)-CROQUIS!$C$107)/MAX((CROQUIS!$C$137*MAX(1,CEILING((INT(((CROQUIS!$C$97)-CROQUIS!$C$107)/MAX(CROQUIS!$C$137,1))+1)/80,1))),1))+1))-1,0))*(CROQUIS!$C$137*MAX(1,CEILING((INT(((CROQUIS!$C$97)-CROQUIS!$C$107)/MAX(CROQUIS!$C$137,1))+1)/80,1))))))*CROQUIS!$C$159)+IF(CROQUIS!$C$92="X",0,0)),-1000)</f>
        <v>-1000</v>
      </c>
      <c r="BR295">
        <f>IF(AND(CROQUIS!$C$88=1,CROQUIS!$C$91=0,CROQUIS!$C$133&gt;0,OR(CROQUIS!$C$103=1,CROQUIS!$C$145=1)),((CROQUIS!$C$160+(IF(CROQUIS!$C$92="X",CHOOSE(IF(INT(($A295-1)/5)&gt;MAX((MAX(1,INT(((CROQUIS!$C$98)-CROQUIS!$C$107)/MAX((CROQUIS!$C$133*MAX(1,CEILING((INT(((CROQUIS!$C$98)-CROQUIS!$C$107)/MAX(CROQUIS!$C$133,1))+1)/80,1))),1))+1))-1,0),0,MOD($A295-1,5))+1,0,IF(CROQUIS!$C$103=1,-12,2),CROQUIS!$C$107/2+CROQUIS!$C$143,IF(CROQUIS!$C$103=1,-12,2),0),((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BS2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+1,0,IF(CROQUIS!$C$103=1,-12,2),CROQUIS!$C$107/2+CROQUIS!$C$143,IF(CROQUIS!$C$103=1,-12,2),0)))*CROQUIS!$C$159)+IF(CROQUIS!$C$92="X",0.8,0)),-1000)</f>
        <v>-1000</v>
      </c>
      <c r="BT295">
        <f>IF(AND(CROQUIS!$C$88=1,CROQUIS!$C$91=0,CROQUIS!$C$133&gt;0,OR(CROQUIS!$C$104=1,CROQUIS!$C$145=1)),((CROQUIS!$C$160+(IF(CROQUIS!$C$92="X",CHOOSE(IF(INT(($A295-1)/5)&gt;MAX((MAX(1,INT(((CROQUIS!$C$98)-CROQUIS!$C$107)/MAX((CROQUIS!$C$133*MAX(1,CEILING((INT(((CROQUIS!$C$98)-CROQUIS!$C$107)/MAX(CROQUIS!$C$133,1))+1)/80,1))),1))+1))-1,0),0,MOD($A295-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BU2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CROQUIS!$C$97,CROQUIS!$C$97-CROQUIS!$C$107/2-CROQUIS!$C$143,IF(CROQUIS!$C$104=1,CROQUIS!$C$97+12,CROQUIS!$C$97-2),CROQUIS!$C$97-CROQUIS!$C$107/2-CROQUIS!$C$143,CROQUIS!$C$97)))*CROQUIS!$C$159)+IF(CROQUIS!$C$92="X",0.8,0)),-1000)</f>
        <v>-1000</v>
      </c>
      <c r="BV2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HOOSE(IF(INT(($A295-1)/5)&gt;MAX((MAX(1,INT(((CROQUIS!$C$97)-CROQUIS!$C$107)/MAX((CROQUIS!$C$141*MAX(1,CEILING((INT(((CROQUIS!$C$97)-CROQUIS!$C$107)/MAX(CROQUIS!$C$141,1))+1)/80,1))),1))+1))-1,0),0,MOD($A295-1,5))+1,0,IF(CROQUIS!$C$105=1,-12,2),CROQUIS!$C$107/2+CROQUIS!$C$144,IF(CROQUIS!$C$105=1,-12,2),0)))*CROQUIS!$C$159)+IF(CROQUIS!$C$92="X",0.8,0)),-1000)</f>
        <v>-1000</v>
      </c>
      <c r="BW295">
        <f>IF(AND(CROQUIS!$C$88=1,CROQUIS!$C$91=0,CROQUIS!$C$141&gt;0,OR(CROQUIS!$C$105=1,CROQUIS!$C$146=1)),((CROQUIS!$C$161+(IF(CROQUIS!$C$92="X",CHOOSE(IF(INT(($A295-1)/5)&gt;MAX((MAX(1,INT(((CROQUIS!$C$97)-CROQUIS!$C$107)/MAX((CROQUIS!$C$141*MAX(1,CEILING((INT(((CROQUIS!$C$97)-CROQUIS!$C$107)/MAX(CROQUIS!$C$141,1))+1)/80,1))),1))+1))-1,0),0,MOD($A295-1,5))+1,0,IF(CROQUIS!$C$105=1,-12,2),CROQUIS!$C$107/2+CROQUIS!$C$144,IF(CROQUIS!$C$105=1,-12,2),0),((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ROQUIS!$C$159)+IF(CROQUIS!$C$92="X",0,0.8)),-1000)</f>
        <v>-1000</v>
      </c>
      <c r="BX2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HOOSE(IF(INT(($A295-1)/5)&gt;MAX((MAX(1,INT(((CROQUIS!$C$97)-CROQUIS!$C$107)/MAX((CROQUIS!$C$141*MAX(1,CEILING((INT(((CROQUIS!$C$97)-CROQUIS!$C$107)/MAX(CROQUIS!$C$141,1))+1)/80,1))),1))+1))-1,0),0,MOD($A295-1,5))+1,CROQUIS!$C$98,CROQUIS!$C$98-CROQUIS!$C$107/2-CROQUIS!$C$144,IF(CROQUIS!$C$106=1,CROQUIS!$C$98+12,CROQUIS!$C$98-2),CROQUIS!$C$98-CROQUIS!$C$107/2-CROQUIS!$C$144,CROQUIS!$C$98)))*CROQUIS!$C$159)+IF(CROQUIS!$C$92="X",0.8,0)),-1000)</f>
        <v>-1000</v>
      </c>
      <c r="BY295">
        <f>IF(AND(CROQUIS!$C$88=1,CROQUIS!$C$91=0,CROQUIS!$C$141&gt;0,OR(CROQUIS!$C$106=1,CROQUIS!$C$146=1)),((CROQUIS!$C$161+(IF(CROQUIS!$C$92="X",CHOOSE(IF(INT(($A295-1)/5)&gt;MAX((MAX(1,INT(((CROQUIS!$C$97)-CROQUIS!$C$107)/MAX((CROQUIS!$C$141*MAX(1,CEILING((INT(((CROQUIS!$C$97)-CROQUIS!$C$107)/MAX(CROQUIS!$C$141,1))+1)/80,1))),1))+1))-1,0),0,MOD($A295-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ROQUIS!$C$159)+IF(CROQUIS!$C$92="X",0,0.8)),-1000)</f>
        <v>-1000</v>
      </c>
      <c r="BZ295">
        <f>IF(AND(CROQUIS!$C$88=1,CROQUIS!$C$91=1,CROQUIS!$C$133&gt;0),((CROQUIS!$C$160+(IF(CROQUIS!$C$92="X",CHOOSE(IF(INT(($A295-1)/5)&gt;MAX((MAX(1,INT(((CROQUIS!$C$98)-CROQUIS!$C$107)/MAX((CROQUIS!$C$133*MAX(1,CEILING((INT(((CROQUIS!$C$98)-CROQUIS!$C$107)/MAX(CROQUIS!$C$133,1))+1)/80,1))),1))+1))-1,0),0,MOD($A295-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CA295">
        <f>IF(AND(CROQUIS!$C$88=1,CROQUIS!$C$91=1,CROQUIS!$C$133&gt;0),((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6">
      <c r="A296" t="n">
        <v>289</v>
      </c>
      <c r="BN296">
        <f>IF(AND(CROQUIS!$C$88=1,CROQUIS!$C$129&gt;0),((CROQUIS!$C$160+(IF(CROQUIS!$C$92="X",CHOOSE(IF(INT(($A296-1)/5)&gt;MAX((MAX(1,INT(((CROQUIS!$C$98)-CROQUIS!$C$107)/MAX((CROQUIS!$C$129*MAX(1,CEILING((INT(((CROQUIS!$C$98)-CROQUIS!$C$107)/MAX(CROQUIS!$C$129,1))+1)/80,1))),1))+1))-1,0),0,MOD($A296-1,5))+1,0,2,CROQUIS!$C$97-2,2,0),((CROQUIS!$C$107/2+(((CROQUIS!$C$98)-CROQUIS!$C$107)-(MAX(1,INT(((CROQUIS!$C$98)-CROQUIS!$C$107)/MAX((CROQUIS!$C$129*MAX(1,CEILING((INT(((CROQUIS!$C$98)-CROQUIS!$C$107)/MAX(CROQUIS!$C$129,1))+1)/80,1))),1))+1)-1)*(CROQUIS!$C$129*MAX(1,CEILING((INT(((CROQUIS!$C$98)-CROQUIS!$C$107)/MAX(CROQUIS!$C$129,1))+1)/80,1))))/2)+MIN(INT(($A296-1)/5),MAX((MAX(1,INT(((CROQUIS!$C$98)-CROQUIS!$C$107)/MAX((CROQUIS!$C$129*MAX(1,CEILING((INT(((CROQUIS!$C$98)-CROQUIS!$C$107)/MAX(CROQUIS!$C$129,1))+1)/80,1))),1))+1))-1,0))*(CROQUIS!$C$129*MAX(1,CEILING((INT(((CROQUIS!$C$98)-CROQUIS!$C$107)/MAX(CROQUIS!$C$129,1))+1)/80,1))))))*CROQUIS!$C$159)+IF(CROQUIS!$C$92="X",0,0)),-1000)</f>
        <v>-1000</v>
      </c>
      <c r="BO296">
        <f>IF(AND(CROQUIS!$C$88=1,CROQUIS!$C$129&gt;0),((CROQUIS!$C$161+(IF(CROQUIS!$C$92="X",((CROQUIS!$C$107/2+(((CROQUIS!$C$98)-CROQUIS!$C$107)-(MAX(1,INT(((CROQUIS!$C$98)-CROQUIS!$C$107)/MAX((CROQUIS!$C$129*MAX(1,CEILING((INT(((CROQUIS!$C$98)-CROQUIS!$C$107)/MAX(CROQUIS!$C$129,1))+1)/80,1))),1))+1)-1)*(CROQUIS!$C$129*MAX(1,CEILING((INT(((CROQUIS!$C$98)-CROQUIS!$C$107)/MAX(CROQUIS!$C$129,1))+1)/80,1))))/2)+MIN(INT(($A296-1)/5),MAX((MAX(1,INT(((CROQUIS!$C$98)-CROQUIS!$C$107)/MAX((CROQUIS!$C$129*MAX(1,CEILING((INT(((CROQUIS!$C$98)-CROQUIS!$C$107)/MAX(CROQUIS!$C$129,1))+1)/80,1))),1))+1))-1,0))*(CROQUIS!$C$129*MAX(1,CEILING((INT(((CROQUIS!$C$98)-CROQUIS!$C$107)/MAX(CROQUIS!$C$129,1))+1)/80,1)))),CHOOSE(IF(INT(($A296-1)/5)&gt;MAX((MAX(1,INT(((CROQUIS!$C$98)-CROQUIS!$C$107)/MAX((CROQUIS!$C$129*MAX(1,CEILING((INT(((CROQUIS!$C$98)-CROQUIS!$C$107)/MAX(CROQUIS!$C$129,1))+1)/80,1))),1))+1))-1,0),0,MOD($A296-1,5))+1,0,2,CROQUIS!$C$97-2,2,0)))*CROQUIS!$C$159)+IF(CROQUIS!$C$92="X",0,0)),-1000)</f>
        <v>-1000</v>
      </c>
      <c r="BP296">
        <f>IF(AND(CROQUIS!$C$88=1,CROQUIS!$C$137&gt;0),((CROQUIS!$C$160+(IF(CROQUIS!$C$92="X",((CROQUIS!$C$107/2+(((CROQUIS!$C$97)-CROQUIS!$C$107)-(MAX(1,INT(((CROQUIS!$C$97)-CROQUIS!$C$107)/MAX((CROQUIS!$C$137*MAX(1,CEILING((INT(((CROQUIS!$C$97)-CROQUIS!$C$107)/MAX(CROQUIS!$C$137,1))+1)/80,1))),1))+1)-1)*(CROQUIS!$C$137*MAX(1,CEILING((INT(((CROQUIS!$C$97)-CROQUIS!$C$107)/MAX(CROQUIS!$C$137,1))+1)/80,1))))/2)+MIN(INT(($A296-1)/5),MAX((MAX(1,INT(((CROQUIS!$C$97)-CROQUIS!$C$107)/MAX((CROQUIS!$C$137*MAX(1,CEILING((INT(((CROQUIS!$C$97)-CROQUIS!$C$107)/MAX(CROQUIS!$C$137,1))+1)/80,1))),1))+1))-1,0))*(CROQUIS!$C$137*MAX(1,CEILING((INT(((CROQUIS!$C$97)-CROQUIS!$C$107)/MAX(CROQUIS!$C$137,1))+1)/80,1)))),CHOOSE(IF(INT(($A296-1)/5)&gt;MAX((MAX(1,INT(((CROQUIS!$C$97)-CROQUIS!$C$107)/MAX((CROQUIS!$C$137*MAX(1,CEILING((INT(((CROQUIS!$C$97)-CROQUIS!$C$107)/MAX(CROQUIS!$C$137,1))+1)/80,1))),1))+1))-1,0),0,MOD($A296-1,5))+1,0,2,CROQUIS!$C$98-2,2,0)))*CROQUIS!$C$159)+IF(CROQUIS!$C$92="X",0,0)),-1000)</f>
        <v>-1000</v>
      </c>
      <c r="BQ296">
        <f>IF(AND(CROQUIS!$C$88=1,CROQUIS!$C$137&gt;0),((CROQUIS!$C$161+(IF(CROQUIS!$C$92="X",CHOOSE(IF(INT(($A296-1)/5)&gt;MAX((MAX(1,INT(((CROQUIS!$C$97)-CROQUIS!$C$107)/MAX((CROQUIS!$C$137*MAX(1,CEILING((INT(((CROQUIS!$C$97)-CROQUIS!$C$107)/MAX(CROQUIS!$C$137,1))+1)/80,1))),1))+1))-1,0),0,MOD($A296-1,5))+1,0,2,CROQUIS!$C$98-2,2,0),((CROQUIS!$C$107/2+(((CROQUIS!$C$97)-CROQUIS!$C$107)-(MAX(1,INT(((CROQUIS!$C$97)-CROQUIS!$C$107)/MAX((CROQUIS!$C$137*MAX(1,CEILING((INT(((CROQUIS!$C$97)-CROQUIS!$C$107)/MAX(CROQUIS!$C$137,1))+1)/80,1))),1))+1)-1)*(CROQUIS!$C$137*MAX(1,CEILING((INT(((CROQUIS!$C$97)-CROQUIS!$C$107)/MAX(CROQUIS!$C$137,1))+1)/80,1))))/2)+MIN(INT(($A296-1)/5),MAX((MAX(1,INT(((CROQUIS!$C$97)-CROQUIS!$C$107)/MAX((CROQUIS!$C$137*MAX(1,CEILING((INT(((CROQUIS!$C$97)-CROQUIS!$C$107)/MAX(CROQUIS!$C$137,1))+1)/80,1))),1))+1))-1,0))*(CROQUIS!$C$137*MAX(1,CEILING((INT(((CROQUIS!$C$97)-CROQUIS!$C$107)/MAX(CROQUIS!$C$137,1))+1)/80,1))))))*CROQUIS!$C$159)+IF(CROQUIS!$C$92="X",0,0)),-1000)</f>
        <v>-1000</v>
      </c>
      <c r="BR296">
        <f>IF(AND(CROQUIS!$C$88=1,CROQUIS!$C$91=0,CROQUIS!$C$133&gt;0,OR(CROQUIS!$C$103=1,CROQUIS!$C$145=1)),((CROQUIS!$C$160+(IF(CROQUIS!$C$92="X",CHOOSE(IF(INT(($A296-1)/5)&gt;MAX((MAX(1,INT(((CROQUIS!$C$98)-CROQUIS!$C$107)/MAX((CROQUIS!$C$133*MAX(1,CEILING((INT(((CROQUIS!$C$98)-CROQUIS!$C$107)/MAX(CROQUIS!$C$133,1))+1)/80,1))),1))+1))-1,0),0,MOD($A296-1,5))+1,0,IF(CROQUIS!$C$103=1,-12,2),CROQUIS!$C$107/2+CROQUIS!$C$143,IF(CROQUIS!$C$103=1,-12,2),0),((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BS2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+1,0,IF(CROQUIS!$C$103=1,-12,2),CROQUIS!$C$107/2+CROQUIS!$C$143,IF(CROQUIS!$C$103=1,-12,2),0)))*CROQUIS!$C$159)+IF(CROQUIS!$C$92="X",0.8,0)),-1000)</f>
        <v>-1000</v>
      </c>
      <c r="BT296">
        <f>IF(AND(CROQUIS!$C$88=1,CROQUIS!$C$91=0,CROQUIS!$C$133&gt;0,OR(CROQUIS!$C$104=1,CROQUIS!$C$145=1)),((CROQUIS!$C$160+(IF(CROQUIS!$C$92="X",CHOOSE(IF(INT(($A296-1)/5)&gt;MAX((MAX(1,INT(((CROQUIS!$C$98)-CROQUIS!$C$107)/MAX((CROQUIS!$C$133*MAX(1,CEILING((INT(((CROQUIS!$C$98)-CROQUIS!$C$107)/MAX(CROQUIS!$C$133,1))+1)/80,1))),1))+1))-1,0),0,MOD($A296-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BU2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CROQUIS!$C$97,CROQUIS!$C$97-CROQUIS!$C$107/2-CROQUIS!$C$143,IF(CROQUIS!$C$104=1,CROQUIS!$C$97+12,CROQUIS!$C$97-2),CROQUIS!$C$97-CROQUIS!$C$107/2-CROQUIS!$C$143,CROQUIS!$C$97)))*CROQUIS!$C$159)+IF(CROQUIS!$C$92="X",0.8,0)),-1000)</f>
        <v>-1000</v>
      </c>
      <c r="BV2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HOOSE(IF(INT(($A296-1)/5)&gt;MAX((MAX(1,INT(((CROQUIS!$C$97)-CROQUIS!$C$107)/MAX((CROQUIS!$C$141*MAX(1,CEILING((INT(((CROQUIS!$C$97)-CROQUIS!$C$107)/MAX(CROQUIS!$C$141,1))+1)/80,1))),1))+1))-1,0),0,MOD($A296-1,5))+1,0,IF(CROQUIS!$C$105=1,-12,2),CROQUIS!$C$107/2+CROQUIS!$C$144,IF(CROQUIS!$C$105=1,-12,2),0)))*CROQUIS!$C$159)+IF(CROQUIS!$C$92="X",0.8,0)),-1000)</f>
        <v>-1000</v>
      </c>
      <c r="BW296">
        <f>IF(AND(CROQUIS!$C$88=1,CROQUIS!$C$91=0,CROQUIS!$C$141&gt;0,OR(CROQUIS!$C$105=1,CROQUIS!$C$146=1)),((CROQUIS!$C$161+(IF(CROQUIS!$C$92="X",CHOOSE(IF(INT(($A296-1)/5)&gt;MAX((MAX(1,INT(((CROQUIS!$C$97)-CROQUIS!$C$107)/MAX((CROQUIS!$C$141*MAX(1,CEILING((INT(((CROQUIS!$C$97)-CROQUIS!$C$107)/MAX(CROQUIS!$C$141,1))+1)/80,1))),1))+1))-1,0),0,MOD($A296-1,5))+1,0,IF(CROQUIS!$C$105=1,-12,2),CROQUIS!$C$107/2+CROQUIS!$C$144,IF(CROQUIS!$C$105=1,-12,2),0),((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ROQUIS!$C$159)+IF(CROQUIS!$C$92="X",0,0.8)),-1000)</f>
        <v>-1000</v>
      </c>
      <c r="BX2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HOOSE(IF(INT(($A296-1)/5)&gt;MAX((MAX(1,INT(((CROQUIS!$C$97)-CROQUIS!$C$107)/MAX((CROQUIS!$C$141*MAX(1,CEILING((INT(((CROQUIS!$C$97)-CROQUIS!$C$107)/MAX(CROQUIS!$C$141,1))+1)/80,1))),1))+1))-1,0),0,MOD($A296-1,5))+1,CROQUIS!$C$98,CROQUIS!$C$98-CROQUIS!$C$107/2-CROQUIS!$C$144,IF(CROQUIS!$C$106=1,CROQUIS!$C$98+12,CROQUIS!$C$98-2),CROQUIS!$C$98-CROQUIS!$C$107/2-CROQUIS!$C$144,CROQUIS!$C$98)))*CROQUIS!$C$159)+IF(CROQUIS!$C$92="X",0.8,0)),-1000)</f>
        <v>-1000</v>
      </c>
      <c r="BY296">
        <f>IF(AND(CROQUIS!$C$88=1,CROQUIS!$C$91=0,CROQUIS!$C$141&gt;0,OR(CROQUIS!$C$106=1,CROQUIS!$C$146=1)),((CROQUIS!$C$161+(IF(CROQUIS!$C$92="X",CHOOSE(IF(INT(($A296-1)/5)&gt;MAX((MAX(1,INT(((CROQUIS!$C$97)-CROQUIS!$C$107)/MAX((CROQUIS!$C$141*MAX(1,CEILING((INT(((CROQUIS!$C$97)-CROQUIS!$C$107)/MAX(CROQUIS!$C$141,1))+1)/80,1))),1))+1))-1,0),0,MOD($A296-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ROQUIS!$C$159)+IF(CROQUIS!$C$92="X",0,0.8)),-1000)</f>
        <v>-1000</v>
      </c>
      <c r="BZ296">
        <f>IF(AND(CROQUIS!$C$88=1,CROQUIS!$C$91=1,CROQUIS!$C$133&gt;0),((CROQUIS!$C$160+(IF(CROQUIS!$C$92="X",CHOOSE(IF(INT(($A296-1)/5)&gt;MAX((MAX(1,INT(((CROQUIS!$C$98)-CROQUIS!$C$107)/MAX((CROQUIS!$C$133*MAX(1,CEILING((INT(((CROQUIS!$C$98)-CROQUIS!$C$107)/MAX(CROQUIS!$C$133,1))+1)/80,1))),1))+1))-1,0),0,MOD($A296-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CA296">
        <f>IF(AND(CROQUIS!$C$88=1,CROQUIS!$C$91=1,CROQUIS!$C$133&gt;0),((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7">
      <c r="A297" t="n">
        <v>290</v>
      </c>
      <c r="BN297">
        <f>IF(AND(CROQUIS!$C$88=1,CROQUIS!$C$129&gt;0),((CROQUIS!$C$160+(IF(CROQUIS!$C$92="X",CHOOSE(IF(INT(($A297-1)/5)&gt;MAX((MAX(1,INT(((CROQUIS!$C$98)-CROQUIS!$C$107)/MAX((CROQUIS!$C$129*MAX(1,CEILING((INT(((CROQUIS!$C$98)-CROQUIS!$C$107)/MAX(CROQUIS!$C$129,1))+1)/80,1))),1))+1))-1,0),0,MOD($A297-1,5))+1,0,2,CROQUIS!$C$97-2,2,0),((CROQUIS!$C$107/2+(((CROQUIS!$C$98)-CROQUIS!$C$107)-(MAX(1,INT(((CROQUIS!$C$98)-CROQUIS!$C$107)/MAX((CROQUIS!$C$129*MAX(1,CEILING((INT(((CROQUIS!$C$98)-CROQUIS!$C$107)/MAX(CROQUIS!$C$129,1))+1)/80,1))),1))+1)-1)*(CROQUIS!$C$129*MAX(1,CEILING((INT(((CROQUIS!$C$98)-CROQUIS!$C$107)/MAX(CROQUIS!$C$129,1))+1)/80,1))))/2)+MIN(INT(($A297-1)/5),MAX((MAX(1,INT(((CROQUIS!$C$98)-CROQUIS!$C$107)/MAX((CROQUIS!$C$129*MAX(1,CEILING((INT(((CROQUIS!$C$98)-CROQUIS!$C$107)/MAX(CROQUIS!$C$129,1))+1)/80,1))),1))+1))-1,0))*(CROQUIS!$C$129*MAX(1,CEILING((INT(((CROQUIS!$C$98)-CROQUIS!$C$107)/MAX(CROQUIS!$C$129,1))+1)/80,1))))))*CROQUIS!$C$159)+IF(CROQUIS!$C$92="X",0,0)),-1000)</f>
        <v>-1000</v>
      </c>
      <c r="BO297">
        <f>IF(AND(CROQUIS!$C$88=1,CROQUIS!$C$129&gt;0),((CROQUIS!$C$161+(IF(CROQUIS!$C$92="X",((CROQUIS!$C$107/2+(((CROQUIS!$C$98)-CROQUIS!$C$107)-(MAX(1,INT(((CROQUIS!$C$98)-CROQUIS!$C$107)/MAX((CROQUIS!$C$129*MAX(1,CEILING((INT(((CROQUIS!$C$98)-CROQUIS!$C$107)/MAX(CROQUIS!$C$129,1))+1)/80,1))),1))+1)-1)*(CROQUIS!$C$129*MAX(1,CEILING((INT(((CROQUIS!$C$98)-CROQUIS!$C$107)/MAX(CROQUIS!$C$129,1))+1)/80,1))))/2)+MIN(INT(($A297-1)/5),MAX((MAX(1,INT(((CROQUIS!$C$98)-CROQUIS!$C$107)/MAX((CROQUIS!$C$129*MAX(1,CEILING((INT(((CROQUIS!$C$98)-CROQUIS!$C$107)/MAX(CROQUIS!$C$129,1))+1)/80,1))),1))+1))-1,0))*(CROQUIS!$C$129*MAX(1,CEILING((INT(((CROQUIS!$C$98)-CROQUIS!$C$107)/MAX(CROQUIS!$C$129,1))+1)/80,1)))),CHOOSE(IF(INT(($A297-1)/5)&gt;MAX((MAX(1,INT(((CROQUIS!$C$98)-CROQUIS!$C$107)/MAX((CROQUIS!$C$129*MAX(1,CEILING((INT(((CROQUIS!$C$98)-CROQUIS!$C$107)/MAX(CROQUIS!$C$129,1))+1)/80,1))),1))+1))-1,0),0,MOD($A297-1,5))+1,0,2,CROQUIS!$C$97-2,2,0)))*CROQUIS!$C$159)+IF(CROQUIS!$C$92="X",0,0)),-1000)</f>
        <v>-1000</v>
      </c>
      <c r="BP297">
        <f>IF(AND(CROQUIS!$C$88=1,CROQUIS!$C$137&gt;0),((CROQUIS!$C$160+(IF(CROQUIS!$C$92="X",((CROQUIS!$C$107/2+(((CROQUIS!$C$97)-CROQUIS!$C$107)-(MAX(1,INT(((CROQUIS!$C$97)-CROQUIS!$C$107)/MAX((CROQUIS!$C$137*MAX(1,CEILING((INT(((CROQUIS!$C$97)-CROQUIS!$C$107)/MAX(CROQUIS!$C$137,1))+1)/80,1))),1))+1)-1)*(CROQUIS!$C$137*MAX(1,CEILING((INT(((CROQUIS!$C$97)-CROQUIS!$C$107)/MAX(CROQUIS!$C$137,1))+1)/80,1))))/2)+MIN(INT(($A297-1)/5),MAX((MAX(1,INT(((CROQUIS!$C$97)-CROQUIS!$C$107)/MAX((CROQUIS!$C$137*MAX(1,CEILING((INT(((CROQUIS!$C$97)-CROQUIS!$C$107)/MAX(CROQUIS!$C$137,1))+1)/80,1))),1))+1))-1,0))*(CROQUIS!$C$137*MAX(1,CEILING((INT(((CROQUIS!$C$97)-CROQUIS!$C$107)/MAX(CROQUIS!$C$137,1))+1)/80,1)))),CHOOSE(IF(INT(($A297-1)/5)&gt;MAX((MAX(1,INT(((CROQUIS!$C$97)-CROQUIS!$C$107)/MAX((CROQUIS!$C$137*MAX(1,CEILING((INT(((CROQUIS!$C$97)-CROQUIS!$C$107)/MAX(CROQUIS!$C$137,1))+1)/80,1))),1))+1))-1,0),0,MOD($A297-1,5))+1,0,2,CROQUIS!$C$98-2,2,0)))*CROQUIS!$C$159)+IF(CROQUIS!$C$92="X",0,0)),-1000)</f>
        <v>-1000</v>
      </c>
      <c r="BQ297">
        <f>IF(AND(CROQUIS!$C$88=1,CROQUIS!$C$137&gt;0),((CROQUIS!$C$161+(IF(CROQUIS!$C$92="X",CHOOSE(IF(INT(($A297-1)/5)&gt;MAX((MAX(1,INT(((CROQUIS!$C$97)-CROQUIS!$C$107)/MAX((CROQUIS!$C$137*MAX(1,CEILING((INT(((CROQUIS!$C$97)-CROQUIS!$C$107)/MAX(CROQUIS!$C$137,1))+1)/80,1))),1))+1))-1,0),0,MOD($A297-1,5))+1,0,2,CROQUIS!$C$98-2,2,0),((CROQUIS!$C$107/2+(((CROQUIS!$C$97)-CROQUIS!$C$107)-(MAX(1,INT(((CROQUIS!$C$97)-CROQUIS!$C$107)/MAX((CROQUIS!$C$137*MAX(1,CEILING((INT(((CROQUIS!$C$97)-CROQUIS!$C$107)/MAX(CROQUIS!$C$137,1))+1)/80,1))),1))+1)-1)*(CROQUIS!$C$137*MAX(1,CEILING((INT(((CROQUIS!$C$97)-CROQUIS!$C$107)/MAX(CROQUIS!$C$137,1))+1)/80,1))))/2)+MIN(INT(($A297-1)/5),MAX((MAX(1,INT(((CROQUIS!$C$97)-CROQUIS!$C$107)/MAX((CROQUIS!$C$137*MAX(1,CEILING((INT(((CROQUIS!$C$97)-CROQUIS!$C$107)/MAX(CROQUIS!$C$137,1))+1)/80,1))),1))+1))-1,0))*(CROQUIS!$C$137*MAX(1,CEILING((INT(((CROQUIS!$C$97)-CROQUIS!$C$107)/MAX(CROQUIS!$C$137,1))+1)/80,1))))))*CROQUIS!$C$159)+IF(CROQUIS!$C$92="X",0,0)),-1000)</f>
        <v>-1000</v>
      </c>
      <c r="BR297">
        <f>IF(AND(CROQUIS!$C$88=1,CROQUIS!$C$91=0,CROQUIS!$C$133&gt;0,OR(CROQUIS!$C$103=1,CROQUIS!$C$145=1)),((CROQUIS!$C$160+(IF(CROQUIS!$C$92="X",CHOOSE(IF(INT(($A297-1)/5)&gt;MAX((MAX(1,INT(((CROQUIS!$C$98)-CROQUIS!$C$107)/MAX((CROQUIS!$C$133*MAX(1,CEILING((INT(((CROQUIS!$C$98)-CROQUIS!$C$107)/MAX(CROQUIS!$C$133,1))+1)/80,1))),1))+1))-1,0),0,MOD($A297-1,5))+1,0,IF(CROQUIS!$C$103=1,-12,2),CROQUIS!$C$107/2+CROQUIS!$C$143,IF(CROQUIS!$C$103=1,-12,2),0),((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BS2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+1,0,IF(CROQUIS!$C$103=1,-12,2),CROQUIS!$C$107/2+CROQUIS!$C$143,IF(CROQUIS!$C$103=1,-12,2),0)))*CROQUIS!$C$159)+IF(CROQUIS!$C$92="X",0.8,0)),-1000)</f>
        <v>-1000</v>
      </c>
      <c r="BT297">
        <f>IF(AND(CROQUIS!$C$88=1,CROQUIS!$C$91=0,CROQUIS!$C$133&gt;0,OR(CROQUIS!$C$104=1,CROQUIS!$C$145=1)),((CROQUIS!$C$160+(IF(CROQUIS!$C$92="X",CHOOSE(IF(INT(($A297-1)/5)&gt;MAX((MAX(1,INT(((CROQUIS!$C$98)-CROQUIS!$C$107)/MAX((CROQUIS!$C$133*MAX(1,CEILING((INT(((CROQUIS!$C$98)-CROQUIS!$C$107)/MAX(CROQUIS!$C$133,1))+1)/80,1))),1))+1))-1,0),0,MOD($A297-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BU2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CROQUIS!$C$97,CROQUIS!$C$97-CROQUIS!$C$107/2-CROQUIS!$C$143,IF(CROQUIS!$C$104=1,CROQUIS!$C$97+12,CROQUIS!$C$97-2),CROQUIS!$C$97-CROQUIS!$C$107/2-CROQUIS!$C$143,CROQUIS!$C$97)))*CROQUIS!$C$159)+IF(CROQUIS!$C$92="X",0.8,0)),-1000)</f>
        <v>-1000</v>
      </c>
      <c r="BV2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HOOSE(IF(INT(($A297-1)/5)&gt;MAX((MAX(1,INT(((CROQUIS!$C$97)-CROQUIS!$C$107)/MAX((CROQUIS!$C$141*MAX(1,CEILING((INT(((CROQUIS!$C$97)-CROQUIS!$C$107)/MAX(CROQUIS!$C$141,1))+1)/80,1))),1))+1))-1,0),0,MOD($A297-1,5))+1,0,IF(CROQUIS!$C$105=1,-12,2),CROQUIS!$C$107/2+CROQUIS!$C$144,IF(CROQUIS!$C$105=1,-12,2),0)))*CROQUIS!$C$159)+IF(CROQUIS!$C$92="X",0.8,0)),-1000)</f>
        <v>-1000</v>
      </c>
      <c r="BW297">
        <f>IF(AND(CROQUIS!$C$88=1,CROQUIS!$C$91=0,CROQUIS!$C$141&gt;0,OR(CROQUIS!$C$105=1,CROQUIS!$C$146=1)),((CROQUIS!$C$161+(IF(CROQUIS!$C$92="X",CHOOSE(IF(INT(($A297-1)/5)&gt;MAX((MAX(1,INT(((CROQUIS!$C$97)-CROQUIS!$C$107)/MAX((CROQUIS!$C$141*MAX(1,CEILING((INT(((CROQUIS!$C$97)-CROQUIS!$C$107)/MAX(CROQUIS!$C$141,1))+1)/80,1))),1))+1))-1,0),0,MOD($A297-1,5))+1,0,IF(CROQUIS!$C$105=1,-12,2),CROQUIS!$C$107/2+CROQUIS!$C$144,IF(CROQUIS!$C$105=1,-12,2),0),((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ROQUIS!$C$159)+IF(CROQUIS!$C$92="X",0,0.8)),-1000)</f>
        <v>-1000</v>
      </c>
      <c r="BX2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HOOSE(IF(INT(($A297-1)/5)&gt;MAX((MAX(1,INT(((CROQUIS!$C$97)-CROQUIS!$C$107)/MAX((CROQUIS!$C$141*MAX(1,CEILING((INT(((CROQUIS!$C$97)-CROQUIS!$C$107)/MAX(CROQUIS!$C$141,1))+1)/80,1))),1))+1))-1,0),0,MOD($A297-1,5))+1,CROQUIS!$C$98,CROQUIS!$C$98-CROQUIS!$C$107/2-CROQUIS!$C$144,IF(CROQUIS!$C$106=1,CROQUIS!$C$98+12,CROQUIS!$C$98-2),CROQUIS!$C$98-CROQUIS!$C$107/2-CROQUIS!$C$144,CROQUIS!$C$98)))*CROQUIS!$C$159)+IF(CROQUIS!$C$92="X",0.8,0)),-1000)</f>
        <v>-1000</v>
      </c>
      <c r="BY297">
        <f>IF(AND(CROQUIS!$C$88=1,CROQUIS!$C$91=0,CROQUIS!$C$141&gt;0,OR(CROQUIS!$C$106=1,CROQUIS!$C$146=1)),((CROQUIS!$C$161+(IF(CROQUIS!$C$92="X",CHOOSE(IF(INT(($A297-1)/5)&gt;MAX((MAX(1,INT(((CROQUIS!$C$97)-CROQUIS!$C$107)/MAX((CROQUIS!$C$141*MAX(1,CEILING((INT(((CROQUIS!$C$97)-CROQUIS!$C$107)/MAX(CROQUIS!$C$141,1))+1)/80,1))),1))+1))-1,0),0,MOD($A297-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ROQUIS!$C$159)+IF(CROQUIS!$C$92="X",0,0.8)),-1000)</f>
        <v>-1000</v>
      </c>
      <c r="BZ297">
        <f>IF(AND(CROQUIS!$C$88=1,CROQUIS!$C$91=1,CROQUIS!$C$133&gt;0),((CROQUIS!$C$160+(IF(CROQUIS!$C$92="X",CHOOSE(IF(INT(($A297-1)/5)&gt;MAX((MAX(1,INT(((CROQUIS!$C$98)-CROQUIS!$C$107)/MAX((CROQUIS!$C$133*MAX(1,CEILING((INT(((CROQUIS!$C$98)-CROQUIS!$C$107)/MAX(CROQUIS!$C$133,1))+1)/80,1))),1))+1))-1,0),0,MOD($A297-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CA297">
        <f>IF(AND(CROQUIS!$C$88=1,CROQUIS!$C$91=1,CROQUIS!$C$133&gt;0),((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8">
      <c r="A298" t="n">
        <v>291</v>
      </c>
      <c r="BN298">
        <f>IF(AND(CROQUIS!$C$88=1,CROQUIS!$C$129&gt;0),((CROQUIS!$C$160+(IF(CROQUIS!$C$92="X",CHOOSE(IF(INT(($A298-1)/5)&gt;MAX((MAX(1,INT(((CROQUIS!$C$98)-CROQUIS!$C$107)/MAX((CROQUIS!$C$129*MAX(1,CEILING((INT(((CROQUIS!$C$98)-CROQUIS!$C$107)/MAX(CROQUIS!$C$129,1))+1)/80,1))),1))+1))-1,0),0,MOD($A298-1,5))+1,0,2,CROQUIS!$C$97-2,2,0),((CROQUIS!$C$107/2+(((CROQUIS!$C$98)-CROQUIS!$C$107)-(MAX(1,INT(((CROQUIS!$C$98)-CROQUIS!$C$107)/MAX((CROQUIS!$C$129*MAX(1,CEILING((INT(((CROQUIS!$C$98)-CROQUIS!$C$107)/MAX(CROQUIS!$C$129,1))+1)/80,1))),1))+1)-1)*(CROQUIS!$C$129*MAX(1,CEILING((INT(((CROQUIS!$C$98)-CROQUIS!$C$107)/MAX(CROQUIS!$C$129,1))+1)/80,1))))/2)+MIN(INT(($A298-1)/5),MAX((MAX(1,INT(((CROQUIS!$C$98)-CROQUIS!$C$107)/MAX((CROQUIS!$C$129*MAX(1,CEILING((INT(((CROQUIS!$C$98)-CROQUIS!$C$107)/MAX(CROQUIS!$C$129,1))+1)/80,1))),1))+1))-1,0))*(CROQUIS!$C$129*MAX(1,CEILING((INT(((CROQUIS!$C$98)-CROQUIS!$C$107)/MAX(CROQUIS!$C$129,1))+1)/80,1))))))*CROQUIS!$C$159)+IF(CROQUIS!$C$92="X",0,0)),-1000)</f>
        <v>-1000</v>
      </c>
      <c r="BO298">
        <f>IF(AND(CROQUIS!$C$88=1,CROQUIS!$C$129&gt;0),((CROQUIS!$C$161+(IF(CROQUIS!$C$92="X",((CROQUIS!$C$107/2+(((CROQUIS!$C$98)-CROQUIS!$C$107)-(MAX(1,INT(((CROQUIS!$C$98)-CROQUIS!$C$107)/MAX((CROQUIS!$C$129*MAX(1,CEILING((INT(((CROQUIS!$C$98)-CROQUIS!$C$107)/MAX(CROQUIS!$C$129,1))+1)/80,1))),1))+1)-1)*(CROQUIS!$C$129*MAX(1,CEILING((INT(((CROQUIS!$C$98)-CROQUIS!$C$107)/MAX(CROQUIS!$C$129,1))+1)/80,1))))/2)+MIN(INT(($A298-1)/5),MAX((MAX(1,INT(((CROQUIS!$C$98)-CROQUIS!$C$107)/MAX((CROQUIS!$C$129*MAX(1,CEILING((INT(((CROQUIS!$C$98)-CROQUIS!$C$107)/MAX(CROQUIS!$C$129,1))+1)/80,1))),1))+1))-1,0))*(CROQUIS!$C$129*MAX(1,CEILING((INT(((CROQUIS!$C$98)-CROQUIS!$C$107)/MAX(CROQUIS!$C$129,1))+1)/80,1)))),CHOOSE(IF(INT(($A298-1)/5)&gt;MAX((MAX(1,INT(((CROQUIS!$C$98)-CROQUIS!$C$107)/MAX((CROQUIS!$C$129*MAX(1,CEILING((INT(((CROQUIS!$C$98)-CROQUIS!$C$107)/MAX(CROQUIS!$C$129,1))+1)/80,1))),1))+1))-1,0),0,MOD($A298-1,5))+1,0,2,CROQUIS!$C$97-2,2,0)))*CROQUIS!$C$159)+IF(CROQUIS!$C$92="X",0,0)),-1000)</f>
        <v>-1000</v>
      </c>
      <c r="BP298">
        <f>IF(AND(CROQUIS!$C$88=1,CROQUIS!$C$137&gt;0),((CROQUIS!$C$160+(IF(CROQUIS!$C$92="X",((CROQUIS!$C$107/2+(((CROQUIS!$C$97)-CROQUIS!$C$107)-(MAX(1,INT(((CROQUIS!$C$97)-CROQUIS!$C$107)/MAX((CROQUIS!$C$137*MAX(1,CEILING((INT(((CROQUIS!$C$97)-CROQUIS!$C$107)/MAX(CROQUIS!$C$137,1))+1)/80,1))),1))+1)-1)*(CROQUIS!$C$137*MAX(1,CEILING((INT(((CROQUIS!$C$97)-CROQUIS!$C$107)/MAX(CROQUIS!$C$137,1))+1)/80,1))))/2)+MIN(INT(($A298-1)/5),MAX((MAX(1,INT(((CROQUIS!$C$97)-CROQUIS!$C$107)/MAX((CROQUIS!$C$137*MAX(1,CEILING((INT(((CROQUIS!$C$97)-CROQUIS!$C$107)/MAX(CROQUIS!$C$137,1))+1)/80,1))),1))+1))-1,0))*(CROQUIS!$C$137*MAX(1,CEILING((INT(((CROQUIS!$C$97)-CROQUIS!$C$107)/MAX(CROQUIS!$C$137,1))+1)/80,1)))),CHOOSE(IF(INT(($A298-1)/5)&gt;MAX((MAX(1,INT(((CROQUIS!$C$97)-CROQUIS!$C$107)/MAX((CROQUIS!$C$137*MAX(1,CEILING((INT(((CROQUIS!$C$97)-CROQUIS!$C$107)/MAX(CROQUIS!$C$137,1))+1)/80,1))),1))+1))-1,0),0,MOD($A298-1,5))+1,0,2,CROQUIS!$C$98-2,2,0)))*CROQUIS!$C$159)+IF(CROQUIS!$C$92="X",0,0)),-1000)</f>
        <v>-1000</v>
      </c>
      <c r="BQ298">
        <f>IF(AND(CROQUIS!$C$88=1,CROQUIS!$C$137&gt;0),((CROQUIS!$C$161+(IF(CROQUIS!$C$92="X",CHOOSE(IF(INT(($A298-1)/5)&gt;MAX((MAX(1,INT(((CROQUIS!$C$97)-CROQUIS!$C$107)/MAX((CROQUIS!$C$137*MAX(1,CEILING((INT(((CROQUIS!$C$97)-CROQUIS!$C$107)/MAX(CROQUIS!$C$137,1))+1)/80,1))),1))+1))-1,0),0,MOD($A298-1,5))+1,0,2,CROQUIS!$C$98-2,2,0),((CROQUIS!$C$107/2+(((CROQUIS!$C$97)-CROQUIS!$C$107)-(MAX(1,INT(((CROQUIS!$C$97)-CROQUIS!$C$107)/MAX((CROQUIS!$C$137*MAX(1,CEILING((INT(((CROQUIS!$C$97)-CROQUIS!$C$107)/MAX(CROQUIS!$C$137,1))+1)/80,1))),1))+1)-1)*(CROQUIS!$C$137*MAX(1,CEILING((INT(((CROQUIS!$C$97)-CROQUIS!$C$107)/MAX(CROQUIS!$C$137,1))+1)/80,1))))/2)+MIN(INT(($A298-1)/5),MAX((MAX(1,INT(((CROQUIS!$C$97)-CROQUIS!$C$107)/MAX((CROQUIS!$C$137*MAX(1,CEILING((INT(((CROQUIS!$C$97)-CROQUIS!$C$107)/MAX(CROQUIS!$C$137,1))+1)/80,1))),1))+1))-1,0))*(CROQUIS!$C$137*MAX(1,CEILING((INT(((CROQUIS!$C$97)-CROQUIS!$C$107)/MAX(CROQUIS!$C$137,1))+1)/80,1))))))*CROQUIS!$C$159)+IF(CROQUIS!$C$92="X",0,0)),-1000)</f>
        <v>-1000</v>
      </c>
      <c r="BR298">
        <f>IF(AND(CROQUIS!$C$88=1,CROQUIS!$C$91=0,CROQUIS!$C$133&gt;0,OR(CROQUIS!$C$103=1,CROQUIS!$C$145=1)),((CROQUIS!$C$160+(IF(CROQUIS!$C$92="X",CHOOSE(IF(INT(($A298-1)/5)&gt;MAX((MAX(1,INT(((CROQUIS!$C$98)-CROQUIS!$C$107)/MAX((CROQUIS!$C$133*MAX(1,CEILING((INT(((CROQUIS!$C$98)-CROQUIS!$C$107)/MAX(CROQUIS!$C$133,1))+1)/80,1))),1))+1))-1,0),0,MOD($A298-1,5))+1,0,IF(CROQUIS!$C$103=1,-12,2),CROQUIS!$C$107/2+CROQUIS!$C$143,IF(CROQUIS!$C$103=1,-12,2),0),((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BS2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+1,0,IF(CROQUIS!$C$103=1,-12,2),CROQUIS!$C$107/2+CROQUIS!$C$143,IF(CROQUIS!$C$103=1,-12,2),0)))*CROQUIS!$C$159)+IF(CROQUIS!$C$92="X",0.8,0)),-1000)</f>
        <v>-1000</v>
      </c>
      <c r="BT298">
        <f>IF(AND(CROQUIS!$C$88=1,CROQUIS!$C$91=0,CROQUIS!$C$133&gt;0,OR(CROQUIS!$C$104=1,CROQUIS!$C$145=1)),((CROQUIS!$C$160+(IF(CROQUIS!$C$92="X",CHOOSE(IF(INT(($A298-1)/5)&gt;MAX((MAX(1,INT(((CROQUIS!$C$98)-CROQUIS!$C$107)/MAX((CROQUIS!$C$133*MAX(1,CEILING((INT(((CROQUIS!$C$98)-CROQUIS!$C$107)/MAX(CROQUIS!$C$133,1))+1)/80,1))),1))+1))-1,0),0,MOD($A298-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BU2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CROQUIS!$C$97,CROQUIS!$C$97-CROQUIS!$C$107/2-CROQUIS!$C$143,IF(CROQUIS!$C$104=1,CROQUIS!$C$97+12,CROQUIS!$C$97-2),CROQUIS!$C$97-CROQUIS!$C$107/2-CROQUIS!$C$143,CROQUIS!$C$97)))*CROQUIS!$C$159)+IF(CROQUIS!$C$92="X",0.8,0)),-1000)</f>
        <v>-1000</v>
      </c>
      <c r="BV2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HOOSE(IF(INT(($A298-1)/5)&gt;MAX((MAX(1,INT(((CROQUIS!$C$97)-CROQUIS!$C$107)/MAX((CROQUIS!$C$141*MAX(1,CEILING((INT(((CROQUIS!$C$97)-CROQUIS!$C$107)/MAX(CROQUIS!$C$141,1))+1)/80,1))),1))+1))-1,0),0,MOD($A298-1,5))+1,0,IF(CROQUIS!$C$105=1,-12,2),CROQUIS!$C$107/2+CROQUIS!$C$144,IF(CROQUIS!$C$105=1,-12,2),0)))*CROQUIS!$C$159)+IF(CROQUIS!$C$92="X",0.8,0)),-1000)</f>
        <v>-1000</v>
      </c>
      <c r="BW298">
        <f>IF(AND(CROQUIS!$C$88=1,CROQUIS!$C$91=0,CROQUIS!$C$141&gt;0,OR(CROQUIS!$C$105=1,CROQUIS!$C$146=1)),((CROQUIS!$C$161+(IF(CROQUIS!$C$92="X",CHOOSE(IF(INT(($A298-1)/5)&gt;MAX((MAX(1,INT(((CROQUIS!$C$97)-CROQUIS!$C$107)/MAX((CROQUIS!$C$141*MAX(1,CEILING((INT(((CROQUIS!$C$97)-CROQUIS!$C$107)/MAX(CROQUIS!$C$141,1))+1)/80,1))),1))+1))-1,0),0,MOD($A298-1,5))+1,0,IF(CROQUIS!$C$105=1,-12,2),CROQUIS!$C$107/2+CROQUIS!$C$144,IF(CROQUIS!$C$105=1,-12,2),0),((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ROQUIS!$C$159)+IF(CROQUIS!$C$92="X",0,0.8)),-1000)</f>
        <v>-1000</v>
      </c>
      <c r="BX2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HOOSE(IF(INT(($A298-1)/5)&gt;MAX((MAX(1,INT(((CROQUIS!$C$97)-CROQUIS!$C$107)/MAX((CROQUIS!$C$141*MAX(1,CEILING((INT(((CROQUIS!$C$97)-CROQUIS!$C$107)/MAX(CROQUIS!$C$141,1))+1)/80,1))),1))+1))-1,0),0,MOD($A298-1,5))+1,CROQUIS!$C$98,CROQUIS!$C$98-CROQUIS!$C$107/2-CROQUIS!$C$144,IF(CROQUIS!$C$106=1,CROQUIS!$C$98+12,CROQUIS!$C$98-2),CROQUIS!$C$98-CROQUIS!$C$107/2-CROQUIS!$C$144,CROQUIS!$C$98)))*CROQUIS!$C$159)+IF(CROQUIS!$C$92="X",0.8,0)),-1000)</f>
        <v>-1000</v>
      </c>
      <c r="BY298">
        <f>IF(AND(CROQUIS!$C$88=1,CROQUIS!$C$91=0,CROQUIS!$C$141&gt;0,OR(CROQUIS!$C$106=1,CROQUIS!$C$146=1)),((CROQUIS!$C$161+(IF(CROQUIS!$C$92="X",CHOOSE(IF(INT(($A298-1)/5)&gt;MAX((MAX(1,INT(((CROQUIS!$C$97)-CROQUIS!$C$107)/MAX((CROQUIS!$C$141*MAX(1,CEILING((INT(((CROQUIS!$C$97)-CROQUIS!$C$107)/MAX(CROQUIS!$C$141,1))+1)/80,1))),1))+1))-1,0),0,MOD($A298-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ROQUIS!$C$159)+IF(CROQUIS!$C$92="X",0,0.8)),-1000)</f>
        <v>-1000</v>
      </c>
      <c r="BZ298">
        <f>IF(AND(CROQUIS!$C$88=1,CROQUIS!$C$91=1,CROQUIS!$C$133&gt;0),((CROQUIS!$C$160+(IF(CROQUIS!$C$92="X",CHOOSE(IF(INT(($A298-1)/5)&gt;MAX((MAX(1,INT(((CROQUIS!$C$98)-CROQUIS!$C$107)/MAX((CROQUIS!$C$133*MAX(1,CEILING((INT(((CROQUIS!$C$98)-CROQUIS!$C$107)/MAX(CROQUIS!$C$133,1))+1)/80,1))),1))+1))-1,0),0,MOD($A298-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CA298">
        <f>IF(AND(CROQUIS!$C$88=1,CROQUIS!$C$91=1,CROQUIS!$C$133&gt;0),((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9">
      <c r="A299" t="n">
        <v>292</v>
      </c>
      <c r="BN299">
        <f>IF(AND(CROQUIS!$C$88=1,CROQUIS!$C$129&gt;0),((CROQUIS!$C$160+(IF(CROQUIS!$C$92="X",CHOOSE(IF(INT(($A299-1)/5)&gt;MAX((MAX(1,INT(((CROQUIS!$C$98)-CROQUIS!$C$107)/MAX((CROQUIS!$C$129*MAX(1,CEILING((INT(((CROQUIS!$C$98)-CROQUIS!$C$107)/MAX(CROQUIS!$C$129,1))+1)/80,1))),1))+1))-1,0),0,MOD($A299-1,5))+1,0,2,CROQUIS!$C$97-2,2,0),((CROQUIS!$C$107/2+(((CROQUIS!$C$98)-CROQUIS!$C$107)-(MAX(1,INT(((CROQUIS!$C$98)-CROQUIS!$C$107)/MAX((CROQUIS!$C$129*MAX(1,CEILING((INT(((CROQUIS!$C$98)-CROQUIS!$C$107)/MAX(CROQUIS!$C$129,1))+1)/80,1))),1))+1)-1)*(CROQUIS!$C$129*MAX(1,CEILING((INT(((CROQUIS!$C$98)-CROQUIS!$C$107)/MAX(CROQUIS!$C$129,1))+1)/80,1))))/2)+MIN(INT(($A299-1)/5),MAX((MAX(1,INT(((CROQUIS!$C$98)-CROQUIS!$C$107)/MAX((CROQUIS!$C$129*MAX(1,CEILING((INT(((CROQUIS!$C$98)-CROQUIS!$C$107)/MAX(CROQUIS!$C$129,1))+1)/80,1))),1))+1))-1,0))*(CROQUIS!$C$129*MAX(1,CEILING((INT(((CROQUIS!$C$98)-CROQUIS!$C$107)/MAX(CROQUIS!$C$129,1))+1)/80,1))))))*CROQUIS!$C$159)+IF(CROQUIS!$C$92="X",0,0)),-1000)</f>
        <v>-1000</v>
      </c>
      <c r="BO299">
        <f>IF(AND(CROQUIS!$C$88=1,CROQUIS!$C$129&gt;0),((CROQUIS!$C$161+(IF(CROQUIS!$C$92="X",((CROQUIS!$C$107/2+(((CROQUIS!$C$98)-CROQUIS!$C$107)-(MAX(1,INT(((CROQUIS!$C$98)-CROQUIS!$C$107)/MAX((CROQUIS!$C$129*MAX(1,CEILING((INT(((CROQUIS!$C$98)-CROQUIS!$C$107)/MAX(CROQUIS!$C$129,1))+1)/80,1))),1))+1)-1)*(CROQUIS!$C$129*MAX(1,CEILING((INT(((CROQUIS!$C$98)-CROQUIS!$C$107)/MAX(CROQUIS!$C$129,1))+1)/80,1))))/2)+MIN(INT(($A299-1)/5),MAX((MAX(1,INT(((CROQUIS!$C$98)-CROQUIS!$C$107)/MAX((CROQUIS!$C$129*MAX(1,CEILING((INT(((CROQUIS!$C$98)-CROQUIS!$C$107)/MAX(CROQUIS!$C$129,1))+1)/80,1))),1))+1))-1,0))*(CROQUIS!$C$129*MAX(1,CEILING((INT(((CROQUIS!$C$98)-CROQUIS!$C$107)/MAX(CROQUIS!$C$129,1))+1)/80,1)))),CHOOSE(IF(INT(($A299-1)/5)&gt;MAX((MAX(1,INT(((CROQUIS!$C$98)-CROQUIS!$C$107)/MAX((CROQUIS!$C$129*MAX(1,CEILING((INT(((CROQUIS!$C$98)-CROQUIS!$C$107)/MAX(CROQUIS!$C$129,1))+1)/80,1))),1))+1))-1,0),0,MOD($A299-1,5))+1,0,2,CROQUIS!$C$97-2,2,0)))*CROQUIS!$C$159)+IF(CROQUIS!$C$92="X",0,0)),-1000)</f>
        <v>-1000</v>
      </c>
      <c r="BP299">
        <f>IF(AND(CROQUIS!$C$88=1,CROQUIS!$C$137&gt;0),((CROQUIS!$C$160+(IF(CROQUIS!$C$92="X",((CROQUIS!$C$107/2+(((CROQUIS!$C$97)-CROQUIS!$C$107)-(MAX(1,INT(((CROQUIS!$C$97)-CROQUIS!$C$107)/MAX((CROQUIS!$C$137*MAX(1,CEILING((INT(((CROQUIS!$C$97)-CROQUIS!$C$107)/MAX(CROQUIS!$C$137,1))+1)/80,1))),1))+1)-1)*(CROQUIS!$C$137*MAX(1,CEILING((INT(((CROQUIS!$C$97)-CROQUIS!$C$107)/MAX(CROQUIS!$C$137,1))+1)/80,1))))/2)+MIN(INT(($A299-1)/5),MAX((MAX(1,INT(((CROQUIS!$C$97)-CROQUIS!$C$107)/MAX((CROQUIS!$C$137*MAX(1,CEILING((INT(((CROQUIS!$C$97)-CROQUIS!$C$107)/MAX(CROQUIS!$C$137,1))+1)/80,1))),1))+1))-1,0))*(CROQUIS!$C$137*MAX(1,CEILING((INT(((CROQUIS!$C$97)-CROQUIS!$C$107)/MAX(CROQUIS!$C$137,1))+1)/80,1)))),CHOOSE(IF(INT(($A299-1)/5)&gt;MAX((MAX(1,INT(((CROQUIS!$C$97)-CROQUIS!$C$107)/MAX((CROQUIS!$C$137*MAX(1,CEILING((INT(((CROQUIS!$C$97)-CROQUIS!$C$107)/MAX(CROQUIS!$C$137,1))+1)/80,1))),1))+1))-1,0),0,MOD($A299-1,5))+1,0,2,CROQUIS!$C$98-2,2,0)))*CROQUIS!$C$159)+IF(CROQUIS!$C$92="X",0,0)),-1000)</f>
        <v>-1000</v>
      </c>
      <c r="BQ299">
        <f>IF(AND(CROQUIS!$C$88=1,CROQUIS!$C$137&gt;0),((CROQUIS!$C$161+(IF(CROQUIS!$C$92="X",CHOOSE(IF(INT(($A299-1)/5)&gt;MAX((MAX(1,INT(((CROQUIS!$C$97)-CROQUIS!$C$107)/MAX((CROQUIS!$C$137*MAX(1,CEILING((INT(((CROQUIS!$C$97)-CROQUIS!$C$107)/MAX(CROQUIS!$C$137,1))+1)/80,1))),1))+1))-1,0),0,MOD($A299-1,5))+1,0,2,CROQUIS!$C$98-2,2,0),((CROQUIS!$C$107/2+(((CROQUIS!$C$97)-CROQUIS!$C$107)-(MAX(1,INT(((CROQUIS!$C$97)-CROQUIS!$C$107)/MAX((CROQUIS!$C$137*MAX(1,CEILING((INT(((CROQUIS!$C$97)-CROQUIS!$C$107)/MAX(CROQUIS!$C$137,1))+1)/80,1))),1))+1)-1)*(CROQUIS!$C$137*MAX(1,CEILING((INT(((CROQUIS!$C$97)-CROQUIS!$C$107)/MAX(CROQUIS!$C$137,1))+1)/80,1))))/2)+MIN(INT(($A299-1)/5),MAX((MAX(1,INT(((CROQUIS!$C$97)-CROQUIS!$C$107)/MAX((CROQUIS!$C$137*MAX(1,CEILING((INT(((CROQUIS!$C$97)-CROQUIS!$C$107)/MAX(CROQUIS!$C$137,1))+1)/80,1))),1))+1))-1,0))*(CROQUIS!$C$137*MAX(1,CEILING((INT(((CROQUIS!$C$97)-CROQUIS!$C$107)/MAX(CROQUIS!$C$137,1))+1)/80,1))))))*CROQUIS!$C$159)+IF(CROQUIS!$C$92="X",0,0)),-1000)</f>
        <v>-1000</v>
      </c>
      <c r="BR299">
        <f>IF(AND(CROQUIS!$C$88=1,CROQUIS!$C$91=0,CROQUIS!$C$133&gt;0,OR(CROQUIS!$C$103=1,CROQUIS!$C$145=1)),((CROQUIS!$C$160+(IF(CROQUIS!$C$92="X",CHOOSE(IF(INT(($A299-1)/5)&gt;MAX((MAX(1,INT(((CROQUIS!$C$98)-CROQUIS!$C$107)/MAX((CROQUIS!$C$133*MAX(1,CEILING((INT(((CROQUIS!$C$98)-CROQUIS!$C$107)/MAX(CROQUIS!$C$133,1))+1)/80,1))),1))+1))-1,0),0,MOD($A299-1,5))+1,0,IF(CROQUIS!$C$103=1,-12,2),CROQUIS!$C$107/2+CROQUIS!$C$143,IF(CROQUIS!$C$103=1,-12,2),0),((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BS2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+1,0,IF(CROQUIS!$C$103=1,-12,2),CROQUIS!$C$107/2+CROQUIS!$C$143,IF(CROQUIS!$C$103=1,-12,2),0)))*CROQUIS!$C$159)+IF(CROQUIS!$C$92="X",0.8,0)),-1000)</f>
        <v>-1000</v>
      </c>
      <c r="BT299">
        <f>IF(AND(CROQUIS!$C$88=1,CROQUIS!$C$91=0,CROQUIS!$C$133&gt;0,OR(CROQUIS!$C$104=1,CROQUIS!$C$145=1)),((CROQUIS!$C$160+(IF(CROQUIS!$C$92="X",CHOOSE(IF(INT(($A299-1)/5)&gt;MAX((MAX(1,INT(((CROQUIS!$C$98)-CROQUIS!$C$107)/MAX((CROQUIS!$C$133*MAX(1,CEILING((INT(((CROQUIS!$C$98)-CROQUIS!$C$107)/MAX(CROQUIS!$C$133,1))+1)/80,1))),1))+1))-1,0),0,MOD($A299-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BU2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CROQUIS!$C$97,CROQUIS!$C$97-CROQUIS!$C$107/2-CROQUIS!$C$143,IF(CROQUIS!$C$104=1,CROQUIS!$C$97+12,CROQUIS!$C$97-2),CROQUIS!$C$97-CROQUIS!$C$107/2-CROQUIS!$C$143,CROQUIS!$C$97)))*CROQUIS!$C$159)+IF(CROQUIS!$C$92="X",0.8,0)),-1000)</f>
        <v>-1000</v>
      </c>
      <c r="BV2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HOOSE(IF(INT(($A299-1)/5)&gt;MAX((MAX(1,INT(((CROQUIS!$C$97)-CROQUIS!$C$107)/MAX((CROQUIS!$C$141*MAX(1,CEILING((INT(((CROQUIS!$C$97)-CROQUIS!$C$107)/MAX(CROQUIS!$C$141,1))+1)/80,1))),1))+1))-1,0),0,MOD($A299-1,5))+1,0,IF(CROQUIS!$C$105=1,-12,2),CROQUIS!$C$107/2+CROQUIS!$C$144,IF(CROQUIS!$C$105=1,-12,2),0)))*CROQUIS!$C$159)+IF(CROQUIS!$C$92="X",0.8,0)),-1000)</f>
        <v>-1000</v>
      </c>
      <c r="BW299">
        <f>IF(AND(CROQUIS!$C$88=1,CROQUIS!$C$91=0,CROQUIS!$C$141&gt;0,OR(CROQUIS!$C$105=1,CROQUIS!$C$146=1)),((CROQUIS!$C$161+(IF(CROQUIS!$C$92="X",CHOOSE(IF(INT(($A299-1)/5)&gt;MAX((MAX(1,INT(((CROQUIS!$C$97)-CROQUIS!$C$107)/MAX((CROQUIS!$C$141*MAX(1,CEILING((INT(((CROQUIS!$C$97)-CROQUIS!$C$107)/MAX(CROQUIS!$C$141,1))+1)/80,1))),1))+1))-1,0),0,MOD($A299-1,5))+1,0,IF(CROQUIS!$C$105=1,-12,2),CROQUIS!$C$107/2+CROQUIS!$C$144,IF(CROQUIS!$C$105=1,-12,2),0),((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ROQUIS!$C$159)+IF(CROQUIS!$C$92="X",0,0.8)),-1000)</f>
        <v>-1000</v>
      </c>
      <c r="BX2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HOOSE(IF(INT(($A299-1)/5)&gt;MAX((MAX(1,INT(((CROQUIS!$C$97)-CROQUIS!$C$107)/MAX((CROQUIS!$C$141*MAX(1,CEILING((INT(((CROQUIS!$C$97)-CROQUIS!$C$107)/MAX(CROQUIS!$C$141,1))+1)/80,1))),1))+1))-1,0),0,MOD($A299-1,5))+1,CROQUIS!$C$98,CROQUIS!$C$98-CROQUIS!$C$107/2-CROQUIS!$C$144,IF(CROQUIS!$C$106=1,CROQUIS!$C$98+12,CROQUIS!$C$98-2),CROQUIS!$C$98-CROQUIS!$C$107/2-CROQUIS!$C$144,CROQUIS!$C$98)))*CROQUIS!$C$159)+IF(CROQUIS!$C$92="X",0.8,0)),-1000)</f>
        <v>-1000</v>
      </c>
      <c r="BY299">
        <f>IF(AND(CROQUIS!$C$88=1,CROQUIS!$C$91=0,CROQUIS!$C$141&gt;0,OR(CROQUIS!$C$106=1,CROQUIS!$C$146=1)),((CROQUIS!$C$161+(IF(CROQUIS!$C$92="X",CHOOSE(IF(INT(($A299-1)/5)&gt;MAX((MAX(1,INT(((CROQUIS!$C$97)-CROQUIS!$C$107)/MAX((CROQUIS!$C$141*MAX(1,CEILING((INT(((CROQUIS!$C$97)-CROQUIS!$C$107)/MAX(CROQUIS!$C$141,1))+1)/80,1))),1))+1))-1,0),0,MOD($A299-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ROQUIS!$C$159)+IF(CROQUIS!$C$92="X",0,0.8)),-1000)</f>
        <v>-1000</v>
      </c>
      <c r="BZ299">
        <f>IF(AND(CROQUIS!$C$88=1,CROQUIS!$C$91=1,CROQUIS!$C$133&gt;0),((CROQUIS!$C$160+(IF(CROQUIS!$C$92="X",CHOOSE(IF(INT(($A299-1)/5)&gt;MAX((MAX(1,INT(((CROQUIS!$C$98)-CROQUIS!$C$107)/MAX((CROQUIS!$C$133*MAX(1,CEILING((INT(((CROQUIS!$C$98)-CROQUIS!$C$107)/MAX(CROQUIS!$C$133,1))+1)/80,1))),1))+1))-1,0),0,MOD($A299-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CA299">
        <f>IF(AND(CROQUIS!$C$88=1,CROQUIS!$C$91=1,CROQUIS!$C$133&gt;0),((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0">
      <c r="A300" t="n">
        <v>293</v>
      </c>
      <c r="BN300">
        <f>IF(AND(CROQUIS!$C$88=1,CROQUIS!$C$129&gt;0),((CROQUIS!$C$160+(IF(CROQUIS!$C$92="X",CHOOSE(IF(INT(($A300-1)/5)&gt;MAX((MAX(1,INT(((CROQUIS!$C$98)-CROQUIS!$C$107)/MAX((CROQUIS!$C$129*MAX(1,CEILING((INT(((CROQUIS!$C$98)-CROQUIS!$C$107)/MAX(CROQUIS!$C$129,1))+1)/80,1))),1))+1))-1,0),0,MOD($A300-1,5))+1,0,2,CROQUIS!$C$97-2,2,0),((CROQUIS!$C$107/2+(((CROQUIS!$C$98)-CROQUIS!$C$107)-(MAX(1,INT(((CROQUIS!$C$98)-CROQUIS!$C$107)/MAX((CROQUIS!$C$129*MAX(1,CEILING((INT(((CROQUIS!$C$98)-CROQUIS!$C$107)/MAX(CROQUIS!$C$129,1))+1)/80,1))),1))+1)-1)*(CROQUIS!$C$129*MAX(1,CEILING((INT(((CROQUIS!$C$98)-CROQUIS!$C$107)/MAX(CROQUIS!$C$129,1))+1)/80,1))))/2)+MIN(INT(($A300-1)/5),MAX((MAX(1,INT(((CROQUIS!$C$98)-CROQUIS!$C$107)/MAX((CROQUIS!$C$129*MAX(1,CEILING((INT(((CROQUIS!$C$98)-CROQUIS!$C$107)/MAX(CROQUIS!$C$129,1))+1)/80,1))),1))+1))-1,0))*(CROQUIS!$C$129*MAX(1,CEILING((INT(((CROQUIS!$C$98)-CROQUIS!$C$107)/MAX(CROQUIS!$C$129,1))+1)/80,1))))))*CROQUIS!$C$159)+IF(CROQUIS!$C$92="X",0,0)),-1000)</f>
        <v>-1000</v>
      </c>
      <c r="BO300">
        <f>IF(AND(CROQUIS!$C$88=1,CROQUIS!$C$129&gt;0),((CROQUIS!$C$161+(IF(CROQUIS!$C$92="X",((CROQUIS!$C$107/2+(((CROQUIS!$C$98)-CROQUIS!$C$107)-(MAX(1,INT(((CROQUIS!$C$98)-CROQUIS!$C$107)/MAX((CROQUIS!$C$129*MAX(1,CEILING((INT(((CROQUIS!$C$98)-CROQUIS!$C$107)/MAX(CROQUIS!$C$129,1))+1)/80,1))),1))+1)-1)*(CROQUIS!$C$129*MAX(1,CEILING((INT(((CROQUIS!$C$98)-CROQUIS!$C$107)/MAX(CROQUIS!$C$129,1))+1)/80,1))))/2)+MIN(INT(($A300-1)/5),MAX((MAX(1,INT(((CROQUIS!$C$98)-CROQUIS!$C$107)/MAX((CROQUIS!$C$129*MAX(1,CEILING((INT(((CROQUIS!$C$98)-CROQUIS!$C$107)/MAX(CROQUIS!$C$129,1))+1)/80,1))),1))+1))-1,0))*(CROQUIS!$C$129*MAX(1,CEILING((INT(((CROQUIS!$C$98)-CROQUIS!$C$107)/MAX(CROQUIS!$C$129,1))+1)/80,1)))),CHOOSE(IF(INT(($A300-1)/5)&gt;MAX((MAX(1,INT(((CROQUIS!$C$98)-CROQUIS!$C$107)/MAX((CROQUIS!$C$129*MAX(1,CEILING((INT(((CROQUIS!$C$98)-CROQUIS!$C$107)/MAX(CROQUIS!$C$129,1))+1)/80,1))),1))+1))-1,0),0,MOD($A300-1,5))+1,0,2,CROQUIS!$C$97-2,2,0)))*CROQUIS!$C$159)+IF(CROQUIS!$C$92="X",0,0)),-1000)</f>
        <v>-1000</v>
      </c>
      <c r="BP300">
        <f>IF(AND(CROQUIS!$C$88=1,CROQUIS!$C$137&gt;0),((CROQUIS!$C$160+(IF(CROQUIS!$C$92="X",((CROQUIS!$C$107/2+(((CROQUIS!$C$97)-CROQUIS!$C$107)-(MAX(1,INT(((CROQUIS!$C$97)-CROQUIS!$C$107)/MAX((CROQUIS!$C$137*MAX(1,CEILING((INT(((CROQUIS!$C$97)-CROQUIS!$C$107)/MAX(CROQUIS!$C$137,1))+1)/80,1))),1))+1)-1)*(CROQUIS!$C$137*MAX(1,CEILING((INT(((CROQUIS!$C$97)-CROQUIS!$C$107)/MAX(CROQUIS!$C$137,1))+1)/80,1))))/2)+MIN(INT(($A300-1)/5),MAX((MAX(1,INT(((CROQUIS!$C$97)-CROQUIS!$C$107)/MAX((CROQUIS!$C$137*MAX(1,CEILING((INT(((CROQUIS!$C$97)-CROQUIS!$C$107)/MAX(CROQUIS!$C$137,1))+1)/80,1))),1))+1))-1,0))*(CROQUIS!$C$137*MAX(1,CEILING((INT(((CROQUIS!$C$97)-CROQUIS!$C$107)/MAX(CROQUIS!$C$137,1))+1)/80,1)))),CHOOSE(IF(INT(($A300-1)/5)&gt;MAX((MAX(1,INT(((CROQUIS!$C$97)-CROQUIS!$C$107)/MAX((CROQUIS!$C$137*MAX(1,CEILING((INT(((CROQUIS!$C$97)-CROQUIS!$C$107)/MAX(CROQUIS!$C$137,1))+1)/80,1))),1))+1))-1,0),0,MOD($A300-1,5))+1,0,2,CROQUIS!$C$98-2,2,0)))*CROQUIS!$C$159)+IF(CROQUIS!$C$92="X",0,0)),-1000)</f>
        <v>-1000</v>
      </c>
      <c r="BQ300">
        <f>IF(AND(CROQUIS!$C$88=1,CROQUIS!$C$137&gt;0),((CROQUIS!$C$161+(IF(CROQUIS!$C$92="X",CHOOSE(IF(INT(($A300-1)/5)&gt;MAX((MAX(1,INT(((CROQUIS!$C$97)-CROQUIS!$C$107)/MAX((CROQUIS!$C$137*MAX(1,CEILING((INT(((CROQUIS!$C$97)-CROQUIS!$C$107)/MAX(CROQUIS!$C$137,1))+1)/80,1))),1))+1))-1,0),0,MOD($A300-1,5))+1,0,2,CROQUIS!$C$98-2,2,0),((CROQUIS!$C$107/2+(((CROQUIS!$C$97)-CROQUIS!$C$107)-(MAX(1,INT(((CROQUIS!$C$97)-CROQUIS!$C$107)/MAX((CROQUIS!$C$137*MAX(1,CEILING((INT(((CROQUIS!$C$97)-CROQUIS!$C$107)/MAX(CROQUIS!$C$137,1))+1)/80,1))),1))+1)-1)*(CROQUIS!$C$137*MAX(1,CEILING((INT(((CROQUIS!$C$97)-CROQUIS!$C$107)/MAX(CROQUIS!$C$137,1))+1)/80,1))))/2)+MIN(INT(($A300-1)/5),MAX((MAX(1,INT(((CROQUIS!$C$97)-CROQUIS!$C$107)/MAX((CROQUIS!$C$137*MAX(1,CEILING((INT(((CROQUIS!$C$97)-CROQUIS!$C$107)/MAX(CROQUIS!$C$137,1))+1)/80,1))),1))+1))-1,0))*(CROQUIS!$C$137*MAX(1,CEILING((INT(((CROQUIS!$C$97)-CROQUIS!$C$107)/MAX(CROQUIS!$C$137,1))+1)/80,1))))))*CROQUIS!$C$159)+IF(CROQUIS!$C$92="X",0,0)),-1000)</f>
        <v>-1000</v>
      </c>
      <c r="BR300">
        <f>IF(AND(CROQUIS!$C$88=1,CROQUIS!$C$91=0,CROQUIS!$C$133&gt;0,OR(CROQUIS!$C$103=1,CROQUIS!$C$145=1)),((CROQUIS!$C$160+(IF(CROQUIS!$C$92="X",CHOOSE(IF(INT(($A300-1)/5)&gt;MAX((MAX(1,INT(((CROQUIS!$C$98)-CROQUIS!$C$107)/MAX((CROQUIS!$C$133*MAX(1,CEILING((INT(((CROQUIS!$C$98)-CROQUIS!$C$107)/MAX(CROQUIS!$C$133,1))+1)/80,1))),1))+1))-1,0),0,MOD($A300-1,5))+1,0,IF(CROQUIS!$C$103=1,-12,2),CROQUIS!$C$107/2+CROQUIS!$C$143,IF(CROQUIS!$C$103=1,-12,2),0),((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BS3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+1,0,IF(CROQUIS!$C$103=1,-12,2),CROQUIS!$C$107/2+CROQUIS!$C$143,IF(CROQUIS!$C$103=1,-12,2),0)))*CROQUIS!$C$159)+IF(CROQUIS!$C$92="X",0.8,0)),-1000)</f>
        <v>-1000</v>
      </c>
      <c r="BT300">
        <f>IF(AND(CROQUIS!$C$88=1,CROQUIS!$C$91=0,CROQUIS!$C$133&gt;0,OR(CROQUIS!$C$104=1,CROQUIS!$C$145=1)),((CROQUIS!$C$160+(IF(CROQUIS!$C$92="X",CHOOSE(IF(INT(($A300-1)/5)&gt;MAX((MAX(1,INT(((CROQUIS!$C$98)-CROQUIS!$C$107)/MAX((CROQUIS!$C$133*MAX(1,CEILING((INT(((CROQUIS!$C$98)-CROQUIS!$C$107)/MAX(CROQUIS!$C$133,1))+1)/80,1))),1))+1))-1,0),0,MOD($A300-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BU3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CROQUIS!$C$97,CROQUIS!$C$97-CROQUIS!$C$107/2-CROQUIS!$C$143,IF(CROQUIS!$C$104=1,CROQUIS!$C$97+12,CROQUIS!$C$97-2),CROQUIS!$C$97-CROQUIS!$C$107/2-CROQUIS!$C$143,CROQUIS!$C$97)))*CROQUIS!$C$159)+IF(CROQUIS!$C$92="X",0.8,0)),-1000)</f>
        <v>-1000</v>
      </c>
      <c r="BV3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HOOSE(IF(INT(($A300-1)/5)&gt;MAX((MAX(1,INT(((CROQUIS!$C$97)-CROQUIS!$C$107)/MAX((CROQUIS!$C$141*MAX(1,CEILING((INT(((CROQUIS!$C$97)-CROQUIS!$C$107)/MAX(CROQUIS!$C$141,1))+1)/80,1))),1))+1))-1,0),0,MOD($A300-1,5))+1,0,IF(CROQUIS!$C$105=1,-12,2),CROQUIS!$C$107/2+CROQUIS!$C$144,IF(CROQUIS!$C$105=1,-12,2),0)))*CROQUIS!$C$159)+IF(CROQUIS!$C$92="X",0.8,0)),-1000)</f>
        <v>-1000</v>
      </c>
      <c r="BW300">
        <f>IF(AND(CROQUIS!$C$88=1,CROQUIS!$C$91=0,CROQUIS!$C$141&gt;0,OR(CROQUIS!$C$105=1,CROQUIS!$C$146=1)),((CROQUIS!$C$161+(IF(CROQUIS!$C$92="X",CHOOSE(IF(INT(($A300-1)/5)&gt;MAX((MAX(1,INT(((CROQUIS!$C$97)-CROQUIS!$C$107)/MAX((CROQUIS!$C$141*MAX(1,CEILING((INT(((CROQUIS!$C$97)-CROQUIS!$C$107)/MAX(CROQUIS!$C$141,1))+1)/80,1))),1))+1))-1,0),0,MOD($A300-1,5))+1,0,IF(CROQUIS!$C$105=1,-12,2),CROQUIS!$C$107/2+CROQUIS!$C$144,IF(CROQUIS!$C$105=1,-12,2),0),((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ROQUIS!$C$159)+IF(CROQUIS!$C$92="X",0,0.8)),-1000)</f>
        <v>-1000</v>
      </c>
      <c r="BX3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HOOSE(IF(INT(($A300-1)/5)&gt;MAX((MAX(1,INT(((CROQUIS!$C$97)-CROQUIS!$C$107)/MAX((CROQUIS!$C$141*MAX(1,CEILING((INT(((CROQUIS!$C$97)-CROQUIS!$C$107)/MAX(CROQUIS!$C$141,1))+1)/80,1))),1))+1))-1,0),0,MOD($A300-1,5))+1,CROQUIS!$C$98,CROQUIS!$C$98-CROQUIS!$C$107/2-CROQUIS!$C$144,IF(CROQUIS!$C$106=1,CROQUIS!$C$98+12,CROQUIS!$C$98-2),CROQUIS!$C$98-CROQUIS!$C$107/2-CROQUIS!$C$144,CROQUIS!$C$98)))*CROQUIS!$C$159)+IF(CROQUIS!$C$92="X",0.8,0)),-1000)</f>
        <v>-1000</v>
      </c>
      <c r="BY300">
        <f>IF(AND(CROQUIS!$C$88=1,CROQUIS!$C$91=0,CROQUIS!$C$141&gt;0,OR(CROQUIS!$C$106=1,CROQUIS!$C$146=1)),((CROQUIS!$C$161+(IF(CROQUIS!$C$92="X",CHOOSE(IF(INT(($A300-1)/5)&gt;MAX((MAX(1,INT(((CROQUIS!$C$97)-CROQUIS!$C$107)/MAX((CROQUIS!$C$141*MAX(1,CEILING((INT(((CROQUIS!$C$97)-CROQUIS!$C$107)/MAX(CROQUIS!$C$141,1))+1)/80,1))),1))+1))-1,0),0,MOD($A300-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ROQUIS!$C$159)+IF(CROQUIS!$C$92="X",0,0.8)),-1000)</f>
        <v>-1000</v>
      </c>
      <c r="BZ300">
        <f>IF(AND(CROQUIS!$C$88=1,CROQUIS!$C$91=1,CROQUIS!$C$133&gt;0),((CROQUIS!$C$160+(IF(CROQUIS!$C$92="X",CHOOSE(IF(INT(($A300-1)/5)&gt;MAX((MAX(1,INT(((CROQUIS!$C$98)-CROQUIS!$C$107)/MAX((CROQUIS!$C$133*MAX(1,CEILING((INT(((CROQUIS!$C$98)-CROQUIS!$C$107)/MAX(CROQUIS!$C$133,1))+1)/80,1))),1))+1))-1,0),0,MOD($A300-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CA300">
        <f>IF(AND(CROQUIS!$C$88=1,CROQUIS!$C$91=1,CROQUIS!$C$133&gt;0),((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1">
      <c r="A301" t="n">
        <v>294</v>
      </c>
      <c r="BN301">
        <f>IF(AND(CROQUIS!$C$88=1,CROQUIS!$C$129&gt;0),((CROQUIS!$C$160+(IF(CROQUIS!$C$92="X",CHOOSE(IF(INT(($A301-1)/5)&gt;MAX((MAX(1,INT(((CROQUIS!$C$98)-CROQUIS!$C$107)/MAX((CROQUIS!$C$129*MAX(1,CEILING((INT(((CROQUIS!$C$98)-CROQUIS!$C$107)/MAX(CROQUIS!$C$129,1))+1)/80,1))),1))+1))-1,0),0,MOD($A301-1,5))+1,0,2,CROQUIS!$C$97-2,2,0),((CROQUIS!$C$107/2+(((CROQUIS!$C$98)-CROQUIS!$C$107)-(MAX(1,INT(((CROQUIS!$C$98)-CROQUIS!$C$107)/MAX((CROQUIS!$C$129*MAX(1,CEILING((INT(((CROQUIS!$C$98)-CROQUIS!$C$107)/MAX(CROQUIS!$C$129,1))+1)/80,1))),1))+1)-1)*(CROQUIS!$C$129*MAX(1,CEILING((INT(((CROQUIS!$C$98)-CROQUIS!$C$107)/MAX(CROQUIS!$C$129,1))+1)/80,1))))/2)+MIN(INT(($A301-1)/5),MAX((MAX(1,INT(((CROQUIS!$C$98)-CROQUIS!$C$107)/MAX((CROQUIS!$C$129*MAX(1,CEILING((INT(((CROQUIS!$C$98)-CROQUIS!$C$107)/MAX(CROQUIS!$C$129,1))+1)/80,1))),1))+1))-1,0))*(CROQUIS!$C$129*MAX(1,CEILING((INT(((CROQUIS!$C$98)-CROQUIS!$C$107)/MAX(CROQUIS!$C$129,1))+1)/80,1))))))*CROQUIS!$C$159)+IF(CROQUIS!$C$92="X",0,0)),-1000)</f>
        <v>-1000</v>
      </c>
      <c r="BO301">
        <f>IF(AND(CROQUIS!$C$88=1,CROQUIS!$C$129&gt;0),((CROQUIS!$C$161+(IF(CROQUIS!$C$92="X",((CROQUIS!$C$107/2+(((CROQUIS!$C$98)-CROQUIS!$C$107)-(MAX(1,INT(((CROQUIS!$C$98)-CROQUIS!$C$107)/MAX((CROQUIS!$C$129*MAX(1,CEILING((INT(((CROQUIS!$C$98)-CROQUIS!$C$107)/MAX(CROQUIS!$C$129,1))+1)/80,1))),1))+1)-1)*(CROQUIS!$C$129*MAX(1,CEILING((INT(((CROQUIS!$C$98)-CROQUIS!$C$107)/MAX(CROQUIS!$C$129,1))+1)/80,1))))/2)+MIN(INT(($A301-1)/5),MAX((MAX(1,INT(((CROQUIS!$C$98)-CROQUIS!$C$107)/MAX((CROQUIS!$C$129*MAX(1,CEILING((INT(((CROQUIS!$C$98)-CROQUIS!$C$107)/MAX(CROQUIS!$C$129,1))+1)/80,1))),1))+1))-1,0))*(CROQUIS!$C$129*MAX(1,CEILING((INT(((CROQUIS!$C$98)-CROQUIS!$C$107)/MAX(CROQUIS!$C$129,1))+1)/80,1)))),CHOOSE(IF(INT(($A301-1)/5)&gt;MAX((MAX(1,INT(((CROQUIS!$C$98)-CROQUIS!$C$107)/MAX((CROQUIS!$C$129*MAX(1,CEILING((INT(((CROQUIS!$C$98)-CROQUIS!$C$107)/MAX(CROQUIS!$C$129,1))+1)/80,1))),1))+1))-1,0),0,MOD($A301-1,5))+1,0,2,CROQUIS!$C$97-2,2,0)))*CROQUIS!$C$159)+IF(CROQUIS!$C$92="X",0,0)),-1000)</f>
        <v>-1000</v>
      </c>
      <c r="BP301">
        <f>IF(AND(CROQUIS!$C$88=1,CROQUIS!$C$137&gt;0),((CROQUIS!$C$160+(IF(CROQUIS!$C$92="X",((CROQUIS!$C$107/2+(((CROQUIS!$C$97)-CROQUIS!$C$107)-(MAX(1,INT(((CROQUIS!$C$97)-CROQUIS!$C$107)/MAX((CROQUIS!$C$137*MAX(1,CEILING((INT(((CROQUIS!$C$97)-CROQUIS!$C$107)/MAX(CROQUIS!$C$137,1))+1)/80,1))),1))+1)-1)*(CROQUIS!$C$137*MAX(1,CEILING((INT(((CROQUIS!$C$97)-CROQUIS!$C$107)/MAX(CROQUIS!$C$137,1))+1)/80,1))))/2)+MIN(INT(($A301-1)/5),MAX((MAX(1,INT(((CROQUIS!$C$97)-CROQUIS!$C$107)/MAX((CROQUIS!$C$137*MAX(1,CEILING((INT(((CROQUIS!$C$97)-CROQUIS!$C$107)/MAX(CROQUIS!$C$137,1))+1)/80,1))),1))+1))-1,0))*(CROQUIS!$C$137*MAX(1,CEILING((INT(((CROQUIS!$C$97)-CROQUIS!$C$107)/MAX(CROQUIS!$C$137,1))+1)/80,1)))),CHOOSE(IF(INT(($A301-1)/5)&gt;MAX((MAX(1,INT(((CROQUIS!$C$97)-CROQUIS!$C$107)/MAX((CROQUIS!$C$137*MAX(1,CEILING((INT(((CROQUIS!$C$97)-CROQUIS!$C$107)/MAX(CROQUIS!$C$137,1))+1)/80,1))),1))+1))-1,0),0,MOD($A301-1,5))+1,0,2,CROQUIS!$C$98-2,2,0)))*CROQUIS!$C$159)+IF(CROQUIS!$C$92="X",0,0)),-1000)</f>
        <v>-1000</v>
      </c>
      <c r="BQ301">
        <f>IF(AND(CROQUIS!$C$88=1,CROQUIS!$C$137&gt;0),((CROQUIS!$C$161+(IF(CROQUIS!$C$92="X",CHOOSE(IF(INT(($A301-1)/5)&gt;MAX((MAX(1,INT(((CROQUIS!$C$97)-CROQUIS!$C$107)/MAX((CROQUIS!$C$137*MAX(1,CEILING((INT(((CROQUIS!$C$97)-CROQUIS!$C$107)/MAX(CROQUIS!$C$137,1))+1)/80,1))),1))+1))-1,0),0,MOD($A301-1,5))+1,0,2,CROQUIS!$C$98-2,2,0),((CROQUIS!$C$107/2+(((CROQUIS!$C$97)-CROQUIS!$C$107)-(MAX(1,INT(((CROQUIS!$C$97)-CROQUIS!$C$107)/MAX((CROQUIS!$C$137*MAX(1,CEILING((INT(((CROQUIS!$C$97)-CROQUIS!$C$107)/MAX(CROQUIS!$C$137,1))+1)/80,1))),1))+1)-1)*(CROQUIS!$C$137*MAX(1,CEILING((INT(((CROQUIS!$C$97)-CROQUIS!$C$107)/MAX(CROQUIS!$C$137,1))+1)/80,1))))/2)+MIN(INT(($A301-1)/5),MAX((MAX(1,INT(((CROQUIS!$C$97)-CROQUIS!$C$107)/MAX((CROQUIS!$C$137*MAX(1,CEILING((INT(((CROQUIS!$C$97)-CROQUIS!$C$107)/MAX(CROQUIS!$C$137,1))+1)/80,1))),1))+1))-1,0))*(CROQUIS!$C$137*MAX(1,CEILING((INT(((CROQUIS!$C$97)-CROQUIS!$C$107)/MAX(CROQUIS!$C$137,1))+1)/80,1))))))*CROQUIS!$C$159)+IF(CROQUIS!$C$92="X",0,0)),-1000)</f>
        <v>-1000</v>
      </c>
      <c r="BR301">
        <f>IF(AND(CROQUIS!$C$88=1,CROQUIS!$C$91=0,CROQUIS!$C$133&gt;0,OR(CROQUIS!$C$103=1,CROQUIS!$C$145=1)),((CROQUIS!$C$160+(IF(CROQUIS!$C$92="X",CHOOSE(IF(INT(($A301-1)/5)&gt;MAX((MAX(1,INT(((CROQUIS!$C$98)-CROQUIS!$C$107)/MAX((CROQUIS!$C$133*MAX(1,CEILING((INT(((CROQUIS!$C$98)-CROQUIS!$C$107)/MAX(CROQUIS!$C$133,1))+1)/80,1))),1))+1))-1,0),0,MOD($A301-1,5))+1,0,IF(CROQUIS!$C$103=1,-12,2),CROQUIS!$C$107/2+CROQUIS!$C$143,IF(CROQUIS!$C$103=1,-12,2),0),((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BS3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+1,0,IF(CROQUIS!$C$103=1,-12,2),CROQUIS!$C$107/2+CROQUIS!$C$143,IF(CROQUIS!$C$103=1,-12,2),0)))*CROQUIS!$C$159)+IF(CROQUIS!$C$92="X",0.8,0)),-1000)</f>
        <v>-1000</v>
      </c>
      <c r="BT301">
        <f>IF(AND(CROQUIS!$C$88=1,CROQUIS!$C$91=0,CROQUIS!$C$133&gt;0,OR(CROQUIS!$C$104=1,CROQUIS!$C$145=1)),((CROQUIS!$C$160+(IF(CROQUIS!$C$92="X",CHOOSE(IF(INT(($A301-1)/5)&gt;MAX((MAX(1,INT(((CROQUIS!$C$98)-CROQUIS!$C$107)/MAX((CROQUIS!$C$133*MAX(1,CEILING((INT(((CROQUIS!$C$98)-CROQUIS!$C$107)/MAX(CROQUIS!$C$133,1))+1)/80,1))),1))+1))-1,0),0,MOD($A301-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BU3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CROQUIS!$C$97,CROQUIS!$C$97-CROQUIS!$C$107/2-CROQUIS!$C$143,IF(CROQUIS!$C$104=1,CROQUIS!$C$97+12,CROQUIS!$C$97-2),CROQUIS!$C$97-CROQUIS!$C$107/2-CROQUIS!$C$143,CROQUIS!$C$97)))*CROQUIS!$C$159)+IF(CROQUIS!$C$92="X",0.8,0)),-1000)</f>
        <v>-1000</v>
      </c>
      <c r="BV3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HOOSE(IF(INT(($A301-1)/5)&gt;MAX((MAX(1,INT(((CROQUIS!$C$97)-CROQUIS!$C$107)/MAX((CROQUIS!$C$141*MAX(1,CEILING((INT(((CROQUIS!$C$97)-CROQUIS!$C$107)/MAX(CROQUIS!$C$141,1))+1)/80,1))),1))+1))-1,0),0,MOD($A301-1,5))+1,0,IF(CROQUIS!$C$105=1,-12,2),CROQUIS!$C$107/2+CROQUIS!$C$144,IF(CROQUIS!$C$105=1,-12,2),0)))*CROQUIS!$C$159)+IF(CROQUIS!$C$92="X",0.8,0)),-1000)</f>
        <v>-1000</v>
      </c>
      <c r="BW301">
        <f>IF(AND(CROQUIS!$C$88=1,CROQUIS!$C$91=0,CROQUIS!$C$141&gt;0,OR(CROQUIS!$C$105=1,CROQUIS!$C$146=1)),((CROQUIS!$C$161+(IF(CROQUIS!$C$92="X",CHOOSE(IF(INT(($A301-1)/5)&gt;MAX((MAX(1,INT(((CROQUIS!$C$97)-CROQUIS!$C$107)/MAX((CROQUIS!$C$141*MAX(1,CEILING((INT(((CROQUIS!$C$97)-CROQUIS!$C$107)/MAX(CROQUIS!$C$141,1))+1)/80,1))),1))+1))-1,0),0,MOD($A301-1,5))+1,0,IF(CROQUIS!$C$105=1,-12,2),CROQUIS!$C$107/2+CROQUIS!$C$144,IF(CROQUIS!$C$105=1,-12,2),0),((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ROQUIS!$C$159)+IF(CROQUIS!$C$92="X",0,0.8)),-1000)</f>
        <v>-1000</v>
      </c>
      <c r="BX3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HOOSE(IF(INT(($A301-1)/5)&gt;MAX((MAX(1,INT(((CROQUIS!$C$97)-CROQUIS!$C$107)/MAX((CROQUIS!$C$141*MAX(1,CEILING((INT(((CROQUIS!$C$97)-CROQUIS!$C$107)/MAX(CROQUIS!$C$141,1))+1)/80,1))),1))+1))-1,0),0,MOD($A301-1,5))+1,CROQUIS!$C$98,CROQUIS!$C$98-CROQUIS!$C$107/2-CROQUIS!$C$144,IF(CROQUIS!$C$106=1,CROQUIS!$C$98+12,CROQUIS!$C$98-2),CROQUIS!$C$98-CROQUIS!$C$107/2-CROQUIS!$C$144,CROQUIS!$C$98)))*CROQUIS!$C$159)+IF(CROQUIS!$C$92="X",0.8,0)),-1000)</f>
        <v>-1000</v>
      </c>
      <c r="BY301">
        <f>IF(AND(CROQUIS!$C$88=1,CROQUIS!$C$91=0,CROQUIS!$C$141&gt;0,OR(CROQUIS!$C$106=1,CROQUIS!$C$146=1)),((CROQUIS!$C$161+(IF(CROQUIS!$C$92="X",CHOOSE(IF(INT(($A301-1)/5)&gt;MAX((MAX(1,INT(((CROQUIS!$C$97)-CROQUIS!$C$107)/MAX((CROQUIS!$C$141*MAX(1,CEILING((INT(((CROQUIS!$C$97)-CROQUIS!$C$107)/MAX(CROQUIS!$C$141,1))+1)/80,1))),1))+1))-1,0),0,MOD($A301-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ROQUIS!$C$159)+IF(CROQUIS!$C$92="X",0,0.8)),-1000)</f>
        <v>-1000</v>
      </c>
      <c r="BZ301">
        <f>IF(AND(CROQUIS!$C$88=1,CROQUIS!$C$91=1,CROQUIS!$C$133&gt;0),((CROQUIS!$C$160+(IF(CROQUIS!$C$92="X",CHOOSE(IF(INT(($A301-1)/5)&gt;MAX((MAX(1,INT(((CROQUIS!$C$98)-CROQUIS!$C$107)/MAX((CROQUIS!$C$133*MAX(1,CEILING((INT(((CROQUIS!$C$98)-CROQUIS!$C$107)/MAX(CROQUIS!$C$133,1))+1)/80,1))),1))+1))-1,0),0,MOD($A301-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CA301">
        <f>IF(AND(CROQUIS!$C$88=1,CROQUIS!$C$91=1,CROQUIS!$C$133&gt;0),((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2">
      <c r="A302" t="n">
        <v>295</v>
      </c>
      <c r="BN302">
        <f>IF(AND(CROQUIS!$C$88=1,CROQUIS!$C$129&gt;0),((CROQUIS!$C$160+(IF(CROQUIS!$C$92="X",CHOOSE(IF(INT(($A302-1)/5)&gt;MAX((MAX(1,INT(((CROQUIS!$C$98)-CROQUIS!$C$107)/MAX((CROQUIS!$C$129*MAX(1,CEILING((INT(((CROQUIS!$C$98)-CROQUIS!$C$107)/MAX(CROQUIS!$C$129,1))+1)/80,1))),1))+1))-1,0),0,MOD($A302-1,5))+1,0,2,CROQUIS!$C$97-2,2,0),((CROQUIS!$C$107/2+(((CROQUIS!$C$98)-CROQUIS!$C$107)-(MAX(1,INT(((CROQUIS!$C$98)-CROQUIS!$C$107)/MAX((CROQUIS!$C$129*MAX(1,CEILING((INT(((CROQUIS!$C$98)-CROQUIS!$C$107)/MAX(CROQUIS!$C$129,1))+1)/80,1))),1))+1)-1)*(CROQUIS!$C$129*MAX(1,CEILING((INT(((CROQUIS!$C$98)-CROQUIS!$C$107)/MAX(CROQUIS!$C$129,1))+1)/80,1))))/2)+MIN(INT(($A302-1)/5),MAX((MAX(1,INT(((CROQUIS!$C$98)-CROQUIS!$C$107)/MAX((CROQUIS!$C$129*MAX(1,CEILING((INT(((CROQUIS!$C$98)-CROQUIS!$C$107)/MAX(CROQUIS!$C$129,1))+1)/80,1))),1))+1))-1,0))*(CROQUIS!$C$129*MAX(1,CEILING((INT(((CROQUIS!$C$98)-CROQUIS!$C$107)/MAX(CROQUIS!$C$129,1))+1)/80,1))))))*CROQUIS!$C$159)+IF(CROQUIS!$C$92="X",0,0)),-1000)</f>
        <v>-1000</v>
      </c>
      <c r="BO302">
        <f>IF(AND(CROQUIS!$C$88=1,CROQUIS!$C$129&gt;0),((CROQUIS!$C$161+(IF(CROQUIS!$C$92="X",((CROQUIS!$C$107/2+(((CROQUIS!$C$98)-CROQUIS!$C$107)-(MAX(1,INT(((CROQUIS!$C$98)-CROQUIS!$C$107)/MAX((CROQUIS!$C$129*MAX(1,CEILING((INT(((CROQUIS!$C$98)-CROQUIS!$C$107)/MAX(CROQUIS!$C$129,1))+1)/80,1))),1))+1)-1)*(CROQUIS!$C$129*MAX(1,CEILING((INT(((CROQUIS!$C$98)-CROQUIS!$C$107)/MAX(CROQUIS!$C$129,1))+1)/80,1))))/2)+MIN(INT(($A302-1)/5),MAX((MAX(1,INT(((CROQUIS!$C$98)-CROQUIS!$C$107)/MAX((CROQUIS!$C$129*MAX(1,CEILING((INT(((CROQUIS!$C$98)-CROQUIS!$C$107)/MAX(CROQUIS!$C$129,1))+1)/80,1))),1))+1))-1,0))*(CROQUIS!$C$129*MAX(1,CEILING((INT(((CROQUIS!$C$98)-CROQUIS!$C$107)/MAX(CROQUIS!$C$129,1))+1)/80,1)))),CHOOSE(IF(INT(($A302-1)/5)&gt;MAX((MAX(1,INT(((CROQUIS!$C$98)-CROQUIS!$C$107)/MAX((CROQUIS!$C$129*MAX(1,CEILING((INT(((CROQUIS!$C$98)-CROQUIS!$C$107)/MAX(CROQUIS!$C$129,1))+1)/80,1))),1))+1))-1,0),0,MOD($A302-1,5))+1,0,2,CROQUIS!$C$97-2,2,0)))*CROQUIS!$C$159)+IF(CROQUIS!$C$92="X",0,0)),-1000)</f>
        <v>-1000</v>
      </c>
      <c r="BP302">
        <f>IF(AND(CROQUIS!$C$88=1,CROQUIS!$C$137&gt;0),((CROQUIS!$C$160+(IF(CROQUIS!$C$92="X",((CROQUIS!$C$107/2+(((CROQUIS!$C$97)-CROQUIS!$C$107)-(MAX(1,INT(((CROQUIS!$C$97)-CROQUIS!$C$107)/MAX((CROQUIS!$C$137*MAX(1,CEILING((INT(((CROQUIS!$C$97)-CROQUIS!$C$107)/MAX(CROQUIS!$C$137,1))+1)/80,1))),1))+1)-1)*(CROQUIS!$C$137*MAX(1,CEILING((INT(((CROQUIS!$C$97)-CROQUIS!$C$107)/MAX(CROQUIS!$C$137,1))+1)/80,1))))/2)+MIN(INT(($A302-1)/5),MAX((MAX(1,INT(((CROQUIS!$C$97)-CROQUIS!$C$107)/MAX((CROQUIS!$C$137*MAX(1,CEILING((INT(((CROQUIS!$C$97)-CROQUIS!$C$107)/MAX(CROQUIS!$C$137,1))+1)/80,1))),1))+1))-1,0))*(CROQUIS!$C$137*MAX(1,CEILING((INT(((CROQUIS!$C$97)-CROQUIS!$C$107)/MAX(CROQUIS!$C$137,1))+1)/80,1)))),CHOOSE(IF(INT(($A302-1)/5)&gt;MAX((MAX(1,INT(((CROQUIS!$C$97)-CROQUIS!$C$107)/MAX((CROQUIS!$C$137*MAX(1,CEILING((INT(((CROQUIS!$C$97)-CROQUIS!$C$107)/MAX(CROQUIS!$C$137,1))+1)/80,1))),1))+1))-1,0),0,MOD($A302-1,5))+1,0,2,CROQUIS!$C$98-2,2,0)))*CROQUIS!$C$159)+IF(CROQUIS!$C$92="X",0,0)),-1000)</f>
        <v>-1000</v>
      </c>
      <c r="BQ302">
        <f>IF(AND(CROQUIS!$C$88=1,CROQUIS!$C$137&gt;0),((CROQUIS!$C$161+(IF(CROQUIS!$C$92="X",CHOOSE(IF(INT(($A302-1)/5)&gt;MAX((MAX(1,INT(((CROQUIS!$C$97)-CROQUIS!$C$107)/MAX((CROQUIS!$C$137*MAX(1,CEILING((INT(((CROQUIS!$C$97)-CROQUIS!$C$107)/MAX(CROQUIS!$C$137,1))+1)/80,1))),1))+1))-1,0),0,MOD($A302-1,5))+1,0,2,CROQUIS!$C$98-2,2,0),((CROQUIS!$C$107/2+(((CROQUIS!$C$97)-CROQUIS!$C$107)-(MAX(1,INT(((CROQUIS!$C$97)-CROQUIS!$C$107)/MAX((CROQUIS!$C$137*MAX(1,CEILING((INT(((CROQUIS!$C$97)-CROQUIS!$C$107)/MAX(CROQUIS!$C$137,1))+1)/80,1))),1))+1)-1)*(CROQUIS!$C$137*MAX(1,CEILING((INT(((CROQUIS!$C$97)-CROQUIS!$C$107)/MAX(CROQUIS!$C$137,1))+1)/80,1))))/2)+MIN(INT(($A302-1)/5),MAX((MAX(1,INT(((CROQUIS!$C$97)-CROQUIS!$C$107)/MAX((CROQUIS!$C$137*MAX(1,CEILING((INT(((CROQUIS!$C$97)-CROQUIS!$C$107)/MAX(CROQUIS!$C$137,1))+1)/80,1))),1))+1))-1,0))*(CROQUIS!$C$137*MAX(1,CEILING((INT(((CROQUIS!$C$97)-CROQUIS!$C$107)/MAX(CROQUIS!$C$137,1))+1)/80,1))))))*CROQUIS!$C$159)+IF(CROQUIS!$C$92="X",0,0)),-1000)</f>
        <v>-1000</v>
      </c>
      <c r="BR302">
        <f>IF(AND(CROQUIS!$C$88=1,CROQUIS!$C$91=0,CROQUIS!$C$133&gt;0,OR(CROQUIS!$C$103=1,CROQUIS!$C$145=1)),((CROQUIS!$C$160+(IF(CROQUIS!$C$92="X",CHOOSE(IF(INT(($A302-1)/5)&gt;MAX((MAX(1,INT(((CROQUIS!$C$98)-CROQUIS!$C$107)/MAX((CROQUIS!$C$133*MAX(1,CEILING((INT(((CROQUIS!$C$98)-CROQUIS!$C$107)/MAX(CROQUIS!$C$133,1))+1)/80,1))),1))+1))-1,0),0,MOD($A302-1,5))+1,0,IF(CROQUIS!$C$103=1,-12,2),CROQUIS!$C$107/2+CROQUIS!$C$143,IF(CROQUIS!$C$103=1,-12,2),0),((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BS3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+1,0,IF(CROQUIS!$C$103=1,-12,2),CROQUIS!$C$107/2+CROQUIS!$C$143,IF(CROQUIS!$C$103=1,-12,2),0)))*CROQUIS!$C$159)+IF(CROQUIS!$C$92="X",0.8,0)),-1000)</f>
        <v>-1000</v>
      </c>
      <c r="BT302">
        <f>IF(AND(CROQUIS!$C$88=1,CROQUIS!$C$91=0,CROQUIS!$C$133&gt;0,OR(CROQUIS!$C$104=1,CROQUIS!$C$145=1)),((CROQUIS!$C$160+(IF(CROQUIS!$C$92="X",CHOOSE(IF(INT(($A302-1)/5)&gt;MAX((MAX(1,INT(((CROQUIS!$C$98)-CROQUIS!$C$107)/MAX((CROQUIS!$C$133*MAX(1,CEILING((INT(((CROQUIS!$C$98)-CROQUIS!$C$107)/MAX(CROQUIS!$C$133,1))+1)/80,1))),1))+1))-1,0),0,MOD($A302-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BU3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CROQUIS!$C$97,CROQUIS!$C$97-CROQUIS!$C$107/2-CROQUIS!$C$143,IF(CROQUIS!$C$104=1,CROQUIS!$C$97+12,CROQUIS!$C$97-2),CROQUIS!$C$97-CROQUIS!$C$107/2-CROQUIS!$C$143,CROQUIS!$C$97)))*CROQUIS!$C$159)+IF(CROQUIS!$C$92="X",0.8,0)),-1000)</f>
        <v>-1000</v>
      </c>
      <c r="BV3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HOOSE(IF(INT(($A302-1)/5)&gt;MAX((MAX(1,INT(((CROQUIS!$C$97)-CROQUIS!$C$107)/MAX((CROQUIS!$C$141*MAX(1,CEILING((INT(((CROQUIS!$C$97)-CROQUIS!$C$107)/MAX(CROQUIS!$C$141,1))+1)/80,1))),1))+1))-1,0),0,MOD($A302-1,5))+1,0,IF(CROQUIS!$C$105=1,-12,2),CROQUIS!$C$107/2+CROQUIS!$C$144,IF(CROQUIS!$C$105=1,-12,2),0)))*CROQUIS!$C$159)+IF(CROQUIS!$C$92="X",0.8,0)),-1000)</f>
        <v>-1000</v>
      </c>
      <c r="BW302">
        <f>IF(AND(CROQUIS!$C$88=1,CROQUIS!$C$91=0,CROQUIS!$C$141&gt;0,OR(CROQUIS!$C$105=1,CROQUIS!$C$146=1)),((CROQUIS!$C$161+(IF(CROQUIS!$C$92="X",CHOOSE(IF(INT(($A302-1)/5)&gt;MAX((MAX(1,INT(((CROQUIS!$C$97)-CROQUIS!$C$107)/MAX((CROQUIS!$C$141*MAX(1,CEILING((INT(((CROQUIS!$C$97)-CROQUIS!$C$107)/MAX(CROQUIS!$C$141,1))+1)/80,1))),1))+1))-1,0),0,MOD($A302-1,5))+1,0,IF(CROQUIS!$C$105=1,-12,2),CROQUIS!$C$107/2+CROQUIS!$C$144,IF(CROQUIS!$C$105=1,-12,2),0),((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ROQUIS!$C$159)+IF(CROQUIS!$C$92="X",0,0.8)),-1000)</f>
        <v>-1000</v>
      </c>
      <c r="BX3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HOOSE(IF(INT(($A302-1)/5)&gt;MAX((MAX(1,INT(((CROQUIS!$C$97)-CROQUIS!$C$107)/MAX((CROQUIS!$C$141*MAX(1,CEILING((INT(((CROQUIS!$C$97)-CROQUIS!$C$107)/MAX(CROQUIS!$C$141,1))+1)/80,1))),1))+1))-1,0),0,MOD($A302-1,5))+1,CROQUIS!$C$98,CROQUIS!$C$98-CROQUIS!$C$107/2-CROQUIS!$C$144,IF(CROQUIS!$C$106=1,CROQUIS!$C$98+12,CROQUIS!$C$98-2),CROQUIS!$C$98-CROQUIS!$C$107/2-CROQUIS!$C$144,CROQUIS!$C$98)))*CROQUIS!$C$159)+IF(CROQUIS!$C$92="X",0.8,0)),-1000)</f>
        <v>-1000</v>
      </c>
      <c r="BY302">
        <f>IF(AND(CROQUIS!$C$88=1,CROQUIS!$C$91=0,CROQUIS!$C$141&gt;0,OR(CROQUIS!$C$106=1,CROQUIS!$C$146=1)),((CROQUIS!$C$161+(IF(CROQUIS!$C$92="X",CHOOSE(IF(INT(($A302-1)/5)&gt;MAX((MAX(1,INT(((CROQUIS!$C$97)-CROQUIS!$C$107)/MAX((CROQUIS!$C$141*MAX(1,CEILING((INT(((CROQUIS!$C$97)-CROQUIS!$C$107)/MAX(CROQUIS!$C$141,1))+1)/80,1))),1))+1))-1,0),0,MOD($A302-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ROQUIS!$C$159)+IF(CROQUIS!$C$92="X",0,0.8)),-1000)</f>
        <v>-1000</v>
      </c>
      <c r="BZ302">
        <f>IF(AND(CROQUIS!$C$88=1,CROQUIS!$C$91=1,CROQUIS!$C$133&gt;0),((CROQUIS!$C$160+(IF(CROQUIS!$C$92="X",CHOOSE(IF(INT(($A302-1)/5)&gt;MAX((MAX(1,INT(((CROQUIS!$C$98)-CROQUIS!$C$107)/MAX((CROQUIS!$C$133*MAX(1,CEILING((INT(((CROQUIS!$C$98)-CROQUIS!$C$107)/MAX(CROQUIS!$C$133,1))+1)/80,1))),1))+1))-1,0),0,MOD($A302-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CA302">
        <f>IF(AND(CROQUIS!$C$88=1,CROQUIS!$C$91=1,CROQUIS!$C$133&gt;0),((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3">
      <c r="A303" t="n">
        <v>296</v>
      </c>
      <c r="BN303">
        <f>IF(AND(CROQUIS!$C$88=1,CROQUIS!$C$129&gt;0),((CROQUIS!$C$160+(IF(CROQUIS!$C$92="X",CHOOSE(IF(INT(($A303-1)/5)&gt;MAX((MAX(1,INT(((CROQUIS!$C$98)-CROQUIS!$C$107)/MAX((CROQUIS!$C$129*MAX(1,CEILING((INT(((CROQUIS!$C$98)-CROQUIS!$C$107)/MAX(CROQUIS!$C$129,1))+1)/80,1))),1))+1))-1,0),0,MOD($A303-1,5))+1,0,2,CROQUIS!$C$97-2,2,0),((CROQUIS!$C$107/2+(((CROQUIS!$C$98)-CROQUIS!$C$107)-(MAX(1,INT(((CROQUIS!$C$98)-CROQUIS!$C$107)/MAX((CROQUIS!$C$129*MAX(1,CEILING((INT(((CROQUIS!$C$98)-CROQUIS!$C$107)/MAX(CROQUIS!$C$129,1))+1)/80,1))),1))+1)-1)*(CROQUIS!$C$129*MAX(1,CEILING((INT(((CROQUIS!$C$98)-CROQUIS!$C$107)/MAX(CROQUIS!$C$129,1))+1)/80,1))))/2)+MIN(INT(($A303-1)/5),MAX((MAX(1,INT(((CROQUIS!$C$98)-CROQUIS!$C$107)/MAX((CROQUIS!$C$129*MAX(1,CEILING((INT(((CROQUIS!$C$98)-CROQUIS!$C$107)/MAX(CROQUIS!$C$129,1))+1)/80,1))),1))+1))-1,0))*(CROQUIS!$C$129*MAX(1,CEILING((INT(((CROQUIS!$C$98)-CROQUIS!$C$107)/MAX(CROQUIS!$C$129,1))+1)/80,1))))))*CROQUIS!$C$159)+IF(CROQUIS!$C$92="X",0,0)),-1000)</f>
        <v>-1000</v>
      </c>
      <c r="BO303">
        <f>IF(AND(CROQUIS!$C$88=1,CROQUIS!$C$129&gt;0),((CROQUIS!$C$161+(IF(CROQUIS!$C$92="X",((CROQUIS!$C$107/2+(((CROQUIS!$C$98)-CROQUIS!$C$107)-(MAX(1,INT(((CROQUIS!$C$98)-CROQUIS!$C$107)/MAX((CROQUIS!$C$129*MAX(1,CEILING((INT(((CROQUIS!$C$98)-CROQUIS!$C$107)/MAX(CROQUIS!$C$129,1))+1)/80,1))),1))+1)-1)*(CROQUIS!$C$129*MAX(1,CEILING((INT(((CROQUIS!$C$98)-CROQUIS!$C$107)/MAX(CROQUIS!$C$129,1))+1)/80,1))))/2)+MIN(INT(($A303-1)/5),MAX((MAX(1,INT(((CROQUIS!$C$98)-CROQUIS!$C$107)/MAX((CROQUIS!$C$129*MAX(1,CEILING((INT(((CROQUIS!$C$98)-CROQUIS!$C$107)/MAX(CROQUIS!$C$129,1))+1)/80,1))),1))+1))-1,0))*(CROQUIS!$C$129*MAX(1,CEILING((INT(((CROQUIS!$C$98)-CROQUIS!$C$107)/MAX(CROQUIS!$C$129,1))+1)/80,1)))),CHOOSE(IF(INT(($A303-1)/5)&gt;MAX((MAX(1,INT(((CROQUIS!$C$98)-CROQUIS!$C$107)/MAX((CROQUIS!$C$129*MAX(1,CEILING((INT(((CROQUIS!$C$98)-CROQUIS!$C$107)/MAX(CROQUIS!$C$129,1))+1)/80,1))),1))+1))-1,0),0,MOD($A303-1,5))+1,0,2,CROQUIS!$C$97-2,2,0)))*CROQUIS!$C$159)+IF(CROQUIS!$C$92="X",0,0)),-1000)</f>
        <v>-1000</v>
      </c>
      <c r="BP303">
        <f>IF(AND(CROQUIS!$C$88=1,CROQUIS!$C$137&gt;0),((CROQUIS!$C$160+(IF(CROQUIS!$C$92="X",((CROQUIS!$C$107/2+(((CROQUIS!$C$97)-CROQUIS!$C$107)-(MAX(1,INT(((CROQUIS!$C$97)-CROQUIS!$C$107)/MAX((CROQUIS!$C$137*MAX(1,CEILING((INT(((CROQUIS!$C$97)-CROQUIS!$C$107)/MAX(CROQUIS!$C$137,1))+1)/80,1))),1))+1)-1)*(CROQUIS!$C$137*MAX(1,CEILING((INT(((CROQUIS!$C$97)-CROQUIS!$C$107)/MAX(CROQUIS!$C$137,1))+1)/80,1))))/2)+MIN(INT(($A303-1)/5),MAX((MAX(1,INT(((CROQUIS!$C$97)-CROQUIS!$C$107)/MAX((CROQUIS!$C$137*MAX(1,CEILING((INT(((CROQUIS!$C$97)-CROQUIS!$C$107)/MAX(CROQUIS!$C$137,1))+1)/80,1))),1))+1))-1,0))*(CROQUIS!$C$137*MAX(1,CEILING((INT(((CROQUIS!$C$97)-CROQUIS!$C$107)/MAX(CROQUIS!$C$137,1))+1)/80,1)))),CHOOSE(IF(INT(($A303-1)/5)&gt;MAX((MAX(1,INT(((CROQUIS!$C$97)-CROQUIS!$C$107)/MAX((CROQUIS!$C$137*MAX(1,CEILING((INT(((CROQUIS!$C$97)-CROQUIS!$C$107)/MAX(CROQUIS!$C$137,1))+1)/80,1))),1))+1))-1,0),0,MOD($A303-1,5))+1,0,2,CROQUIS!$C$98-2,2,0)))*CROQUIS!$C$159)+IF(CROQUIS!$C$92="X",0,0)),-1000)</f>
        <v>-1000</v>
      </c>
      <c r="BQ303">
        <f>IF(AND(CROQUIS!$C$88=1,CROQUIS!$C$137&gt;0),((CROQUIS!$C$161+(IF(CROQUIS!$C$92="X",CHOOSE(IF(INT(($A303-1)/5)&gt;MAX((MAX(1,INT(((CROQUIS!$C$97)-CROQUIS!$C$107)/MAX((CROQUIS!$C$137*MAX(1,CEILING((INT(((CROQUIS!$C$97)-CROQUIS!$C$107)/MAX(CROQUIS!$C$137,1))+1)/80,1))),1))+1))-1,0),0,MOD($A303-1,5))+1,0,2,CROQUIS!$C$98-2,2,0),((CROQUIS!$C$107/2+(((CROQUIS!$C$97)-CROQUIS!$C$107)-(MAX(1,INT(((CROQUIS!$C$97)-CROQUIS!$C$107)/MAX((CROQUIS!$C$137*MAX(1,CEILING((INT(((CROQUIS!$C$97)-CROQUIS!$C$107)/MAX(CROQUIS!$C$137,1))+1)/80,1))),1))+1)-1)*(CROQUIS!$C$137*MAX(1,CEILING((INT(((CROQUIS!$C$97)-CROQUIS!$C$107)/MAX(CROQUIS!$C$137,1))+1)/80,1))))/2)+MIN(INT(($A303-1)/5),MAX((MAX(1,INT(((CROQUIS!$C$97)-CROQUIS!$C$107)/MAX((CROQUIS!$C$137*MAX(1,CEILING((INT(((CROQUIS!$C$97)-CROQUIS!$C$107)/MAX(CROQUIS!$C$137,1))+1)/80,1))),1))+1))-1,0))*(CROQUIS!$C$137*MAX(1,CEILING((INT(((CROQUIS!$C$97)-CROQUIS!$C$107)/MAX(CROQUIS!$C$137,1))+1)/80,1))))))*CROQUIS!$C$159)+IF(CROQUIS!$C$92="X",0,0)),-1000)</f>
        <v>-1000</v>
      </c>
      <c r="BR303">
        <f>IF(AND(CROQUIS!$C$88=1,CROQUIS!$C$91=0,CROQUIS!$C$133&gt;0,OR(CROQUIS!$C$103=1,CROQUIS!$C$145=1)),((CROQUIS!$C$160+(IF(CROQUIS!$C$92="X",CHOOSE(IF(INT(($A303-1)/5)&gt;MAX((MAX(1,INT(((CROQUIS!$C$98)-CROQUIS!$C$107)/MAX((CROQUIS!$C$133*MAX(1,CEILING((INT(((CROQUIS!$C$98)-CROQUIS!$C$107)/MAX(CROQUIS!$C$133,1))+1)/80,1))),1))+1))-1,0),0,MOD($A303-1,5))+1,0,IF(CROQUIS!$C$103=1,-12,2),CROQUIS!$C$107/2+CROQUIS!$C$143,IF(CROQUIS!$C$103=1,-12,2),0),((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BS3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+1,0,IF(CROQUIS!$C$103=1,-12,2),CROQUIS!$C$107/2+CROQUIS!$C$143,IF(CROQUIS!$C$103=1,-12,2),0)))*CROQUIS!$C$159)+IF(CROQUIS!$C$92="X",0.8,0)),-1000)</f>
        <v>-1000</v>
      </c>
      <c r="BT303">
        <f>IF(AND(CROQUIS!$C$88=1,CROQUIS!$C$91=0,CROQUIS!$C$133&gt;0,OR(CROQUIS!$C$104=1,CROQUIS!$C$145=1)),((CROQUIS!$C$160+(IF(CROQUIS!$C$92="X",CHOOSE(IF(INT(($A303-1)/5)&gt;MAX((MAX(1,INT(((CROQUIS!$C$98)-CROQUIS!$C$107)/MAX((CROQUIS!$C$133*MAX(1,CEILING((INT(((CROQUIS!$C$98)-CROQUIS!$C$107)/MAX(CROQUIS!$C$133,1))+1)/80,1))),1))+1))-1,0),0,MOD($A303-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BU3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CROQUIS!$C$97,CROQUIS!$C$97-CROQUIS!$C$107/2-CROQUIS!$C$143,IF(CROQUIS!$C$104=1,CROQUIS!$C$97+12,CROQUIS!$C$97-2),CROQUIS!$C$97-CROQUIS!$C$107/2-CROQUIS!$C$143,CROQUIS!$C$97)))*CROQUIS!$C$159)+IF(CROQUIS!$C$92="X",0.8,0)),-1000)</f>
        <v>-1000</v>
      </c>
      <c r="BV3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HOOSE(IF(INT(($A303-1)/5)&gt;MAX((MAX(1,INT(((CROQUIS!$C$97)-CROQUIS!$C$107)/MAX((CROQUIS!$C$141*MAX(1,CEILING((INT(((CROQUIS!$C$97)-CROQUIS!$C$107)/MAX(CROQUIS!$C$141,1))+1)/80,1))),1))+1))-1,0),0,MOD($A303-1,5))+1,0,IF(CROQUIS!$C$105=1,-12,2),CROQUIS!$C$107/2+CROQUIS!$C$144,IF(CROQUIS!$C$105=1,-12,2),0)))*CROQUIS!$C$159)+IF(CROQUIS!$C$92="X",0.8,0)),-1000)</f>
        <v>-1000</v>
      </c>
      <c r="BW303">
        <f>IF(AND(CROQUIS!$C$88=1,CROQUIS!$C$91=0,CROQUIS!$C$141&gt;0,OR(CROQUIS!$C$105=1,CROQUIS!$C$146=1)),((CROQUIS!$C$161+(IF(CROQUIS!$C$92="X",CHOOSE(IF(INT(($A303-1)/5)&gt;MAX((MAX(1,INT(((CROQUIS!$C$97)-CROQUIS!$C$107)/MAX((CROQUIS!$C$141*MAX(1,CEILING((INT(((CROQUIS!$C$97)-CROQUIS!$C$107)/MAX(CROQUIS!$C$141,1))+1)/80,1))),1))+1))-1,0),0,MOD($A303-1,5))+1,0,IF(CROQUIS!$C$105=1,-12,2),CROQUIS!$C$107/2+CROQUIS!$C$144,IF(CROQUIS!$C$105=1,-12,2),0),((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ROQUIS!$C$159)+IF(CROQUIS!$C$92="X",0,0.8)),-1000)</f>
        <v>-1000</v>
      </c>
      <c r="BX3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HOOSE(IF(INT(($A303-1)/5)&gt;MAX((MAX(1,INT(((CROQUIS!$C$97)-CROQUIS!$C$107)/MAX((CROQUIS!$C$141*MAX(1,CEILING((INT(((CROQUIS!$C$97)-CROQUIS!$C$107)/MAX(CROQUIS!$C$141,1))+1)/80,1))),1))+1))-1,0),0,MOD($A303-1,5))+1,CROQUIS!$C$98,CROQUIS!$C$98-CROQUIS!$C$107/2-CROQUIS!$C$144,IF(CROQUIS!$C$106=1,CROQUIS!$C$98+12,CROQUIS!$C$98-2),CROQUIS!$C$98-CROQUIS!$C$107/2-CROQUIS!$C$144,CROQUIS!$C$98)))*CROQUIS!$C$159)+IF(CROQUIS!$C$92="X",0.8,0)),-1000)</f>
        <v>-1000</v>
      </c>
      <c r="BY303">
        <f>IF(AND(CROQUIS!$C$88=1,CROQUIS!$C$91=0,CROQUIS!$C$141&gt;0,OR(CROQUIS!$C$106=1,CROQUIS!$C$146=1)),((CROQUIS!$C$161+(IF(CROQUIS!$C$92="X",CHOOSE(IF(INT(($A303-1)/5)&gt;MAX((MAX(1,INT(((CROQUIS!$C$97)-CROQUIS!$C$107)/MAX((CROQUIS!$C$141*MAX(1,CEILING((INT(((CROQUIS!$C$97)-CROQUIS!$C$107)/MAX(CROQUIS!$C$141,1))+1)/80,1))),1))+1))-1,0),0,MOD($A303-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ROQUIS!$C$159)+IF(CROQUIS!$C$92="X",0,0.8)),-1000)</f>
        <v>-1000</v>
      </c>
      <c r="BZ303">
        <f>IF(AND(CROQUIS!$C$88=1,CROQUIS!$C$91=1,CROQUIS!$C$133&gt;0),((CROQUIS!$C$160+(IF(CROQUIS!$C$92="X",CHOOSE(IF(INT(($A303-1)/5)&gt;MAX((MAX(1,INT(((CROQUIS!$C$98)-CROQUIS!$C$107)/MAX((CROQUIS!$C$133*MAX(1,CEILING((INT(((CROQUIS!$C$98)-CROQUIS!$C$107)/MAX(CROQUIS!$C$133,1))+1)/80,1))),1))+1))-1,0),0,MOD($A303-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CA303">
        <f>IF(AND(CROQUIS!$C$88=1,CROQUIS!$C$91=1,CROQUIS!$C$133&gt;0),((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4">
      <c r="A304" t="n">
        <v>297</v>
      </c>
      <c r="BN304">
        <f>IF(AND(CROQUIS!$C$88=1,CROQUIS!$C$129&gt;0),((CROQUIS!$C$160+(IF(CROQUIS!$C$92="X",CHOOSE(IF(INT(($A304-1)/5)&gt;MAX((MAX(1,INT(((CROQUIS!$C$98)-CROQUIS!$C$107)/MAX((CROQUIS!$C$129*MAX(1,CEILING((INT(((CROQUIS!$C$98)-CROQUIS!$C$107)/MAX(CROQUIS!$C$129,1))+1)/80,1))),1))+1))-1,0),0,MOD($A304-1,5))+1,0,2,CROQUIS!$C$97-2,2,0),((CROQUIS!$C$107/2+(((CROQUIS!$C$98)-CROQUIS!$C$107)-(MAX(1,INT(((CROQUIS!$C$98)-CROQUIS!$C$107)/MAX((CROQUIS!$C$129*MAX(1,CEILING((INT(((CROQUIS!$C$98)-CROQUIS!$C$107)/MAX(CROQUIS!$C$129,1))+1)/80,1))),1))+1)-1)*(CROQUIS!$C$129*MAX(1,CEILING((INT(((CROQUIS!$C$98)-CROQUIS!$C$107)/MAX(CROQUIS!$C$129,1))+1)/80,1))))/2)+MIN(INT(($A304-1)/5),MAX((MAX(1,INT(((CROQUIS!$C$98)-CROQUIS!$C$107)/MAX((CROQUIS!$C$129*MAX(1,CEILING((INT(((CROQUIS!$C$98)-CROQUIS!$C$107)/MAX(CROQUIS!$C$129,1))+1)/80,1))),1))+1))-1,0))*(CROQUIS!$C$129*MAX(1,CEILING((INT(((CROQUIS!$C$98)-CROQUIS!$C$107)/MAX(CROQUIS!$C$129,1))+1)/80,1))))))*CROQUIS!$C$159)+IF(CROQUIS!$C$92="X",0,0)),-1000)</f>
        <v>-1000</v>
      </c>
      <c r="BO304">
        <f>IF(AND(CROQUIS!$C$88=1,CROQUIS!$C$129&gt;0),((CROQUIS!$C$161+(IF(CROQUIS!$C$92="X",((CROQUIS!$C$107/2+(((CROQUIS!$C$98)-CROQUIS!$C$107)-(MAX(1,INT(((CROQUIS!$C$98)-CROQUIS!$C$107)/MAX((CROQUIS!$C$129*MAX(1,CEILING((INT(((CROQUIS!$C$98)-CROQUIS!$C$107)/MAX(CROQUIS!$C$129,1))+1)/80,1))),1))+1)-1)*(CROQUIS!$C$129*MAX(1,CEILING((INT(((CROQUIS!$C$98)-CROQUIS!$C$107)/MAX(CROQUIS!$C$129,1))+1)/80,1))))/2)+MIN(INT(($A304-1)/5),MAX((MAX(1,INT(((CROQUIS!$C$98)-CROQUIS!$C$107)/MAX((CROQUIS!$C$129*MAX(1,CEILING((INT(((CROQUIS!$C$98)-CROQUIS!$C$107)/MAX(CROQUIS!$C$129,1))+1)/80,1))),1))+1))-1,0))*(CROQUIS!$C$129*MAX(1,CEILING((INT(((CROQUIS!$C$98)-CROQUIS!$C$107)/MAX(CROQUIS!$C$129,1))+1)/80,1)))),CHOOSE(IF(INT(($A304-1)/5)&gt;MAX((MAX(1,INT(((CROQUIS!$C$98)-CROQUIS!$C$107)/MAX((CROQUIS!$C$129*MAX(1,CEILING((INT(((CROQUIS!$C$98)-CROQUIS!$C$107)/MAX(CROQUIS!$C$129,1))+1)/80,1))),1))+1))-1,0),0,MOD($A304-1,5))+1,0,2,CROQUIS!$C$97-2,2,0)))*CROQUIS!$C$159)+IF(CROQUIS!$C$92="X",0,0)),-1000)</f>
        <v>-1000</v>
      </c>
      <c r="BP304">
        <f>IF(AND(CROQUIS!$C$88=1,CROQUIS!$C$137&gt;0),((CROQUIS!$C$160+(IF(CROQUIS!$C$92="X",((CROQUIS!$C$107/2+(((CROQUIS!$C$97)-CROQUIS!$C$107)-(MAX(1,INT(((CROQUIS!$C$97)-CROQUIS!$C$107)/MAX((CROQUIS!$C$137*MAX(1,CEILING((INT(((CROQUIS!$C$97)-CROQUIS!$C$107)/MAX(CROQUIS!$C$137,1))+1)/80,1))),1))+1)-1)*(CROQUIS!$C$137*MAX(1,CEILING((INT(((CROQUIS!$C$97)-CROQUIS!$C$107)/MAX(CROQUIS!$C$137,1))+1)/80,1))))/2)+MIN(INT(($A304-1)/5),MAX((MAX(1,INT(((CROQUIS!$C$97)-CROQUIS!$C$107)/MAX((CROQUIS!$C$137*MAX(1,CEILING((INT(((CROQUIS!$C$97)-CROQUIS!$C$107)/MAX(CROQUIS!$C$137,1))+1)/80,1))),1))+1))-1,0))*(CROQUIS!$C$137*MAX(1,CEILING((INT(((CROQUIS!$C$97)-CROQUIS!$C$107)/MAX(CROQUIS!$C$137,1))+1)/80,1)))),CHOOSE(IF(INT(($A304-1)/5)&gt;MAX((MAX(1,INT(((CROQUIS!$C$97)-CROQUIS!$C$107)/MAX((CROQUIS!$C$137*MAX(1,CEILING((INT(((CROQUIS!$C$97)-CROQUIS!$C$107)/MAX(CROQUIS!$C$137,1))+1)/80,1))),1))+1))-1,0),0,MOD($A304-1,5))+1,0,2,CROQUIS!$C$98-2,2,0)))*CROQUIS!$C$159)+IF(CROQUIS!$C$92="X",0,0)),-1000)</f>
        <v>-1000</v>
      </c>
      <c r="BQ304">
        <f>IF(AND(CROQUIS!$C$88=1,CROQUIS!$C$137&gt;0),((CROQUIS!$C$161+(IF(CROQUIS!$C$92="X",CHOOSE(IF(INT(($A304-1)/5)&gt;MAX((MAX(1,INT(((CROQUIS!$C$97)-CROQUIS!$C$107)/MAX((CROQUIS!$C$137*MAX(1,CEILING((INT(((CROQUIS!$C$97)-CROQUIS!$C$107)/MAX(CROQUIS!$C$137,1))+1)/80,1))),1))+1))-1,0),0,MOD($A304-1,5))+1,0,2,CROQUIS!$C$98-2,2,0),((CROQUIS!$C$107/2+(((CROQUIS!$C$97)-CROQUIS!$C$107)-(MAX(1,INT(((CROQUIS!$C$97)-CROQUIS!$C$107)/MAX((CROQUIS!$C$137*MAX(1,CEILING((INT(((CROQUIS!$C$97)-CROQUIS!$C$107)/MAX(CROQUIS!$C$137,1))+1)/80,1))),1))+1)-1)*(CROQUIS!$C$137*MAX(1,CEILING((INT(((CROQUIS!$C$97)-CROQUIS!$C$107)/MAX(CROQUIS!$C$137,1))+1)/80,1))))/2)+MIN(INT(($A304-1)/5),MAX((MAX(1,INT(((CROQUIS!$C$97)-CROQUIS!$C$107)/MAX((CROQUIS!$C$137*MAX(1,CEILING((INT(((CROQUIS!$C$97)-CROQUIS!$C$107)/MAX(CROQUIS!$C$137,1))+1)/80,1))),1))+1))-1,0))*(CROQUIS!$C$137*MAX(1,CEILING((INT(((CROQUIS!$C$97)-CROQUIS!$C$107)/MAX(CROQUIS!$C$137,1))+1)/80,1))))))*CROQUIS!$C$159)+IF(CROQUIS!$C$92="X",0,0)),-1000)</f>
        <v>-1000</v>
      </c>
      <c r="BR304">
        <f>IF(AND(CROQUIS!$C$88=1,CROQUIS!$C$91=0,CROQUIS!$C$133&gt;0,OR(CROQUIS!$C$103=1,CROQUIS!$C$145=1)),((CROQUIS!$C$160+(IF(CROQUIS!$C$92="X",CHOOSE(IF(INT(($A304-1)/5)&gt;MAX((MAX(1,INT(((CROQUIS!$C$98)-CROQUIS!$C$107)/MAX((CROQUIS!$C$133*MAX(1,CEILING((INT(((CROQUIS!$C$98)-CROQUIS!$C$107)/MAX(CROQUIS!$C$133,1))+1)/80,1))),1))+1))-1,0),0,MOD($A304-1,5))+1,0,IF(CROQUIS!$C$103=1,-12,2),CROQUIS!$C$107/2+CROQUIS!$C$143,IF(CROQUIS!$C$103=1,-12,2),0),((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BS3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+1,0,IF(CROQUIS!$C$103=1,-12,2),CROQUIS!$C$107/2+CROQUIS!$C$143,IF(CROQUIS!$C$103=1,-12,2),0)))*CROQUIS!$C$159)+IF(CROQUIS!$C$92="X",0.8,0)),-1000)</f>
        <v>-1000</v>
      </c>
      <c r="BT304">
        <f>IF(AND(CROQUIS!$C$88=1,CROQUIS!$C$91=0,CROQUIS!$C$133&gt;0,OR(CROQUIS!$C$104=1,CROQUIS!$C$145=1)),((CROQUIS!$C$160+(IF(CROQUIS!$C$92="X",CHOOSE(IF(INT(($A304-1)/5)&gt;MAX((MAX(1,INT(((CROQUIS!$C$98)-CROQUIS!$C$107)/MAX((CROQUIS!$C$133*MAX(1,CEILING((INT(((CROQUIS!$C$98)-CROQUIS!$C$107)/MAX(CROQUIS!$C$133,1))+1)/80,1))),1))+1))-1,0),0,MOD($A304-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BU3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CROQUIS!$C$97,CROQUIS!$C$97-CROQUIS!$C$107/2-CROQUIS!$C$143,IF(CROQUIS!$C$104=1,CROQUIS!$C$97+12,CROQUIS!$C$97-2),CROQUIS!$C$97-CROQUIS!$C$107/2-CROQUIS!$C$143,CROQUIS!$C$97)))*CROQUIS!$C$159)+IF(CROQUIS!$C$92="X",0.8,0)),-1000)</f>
        <v>-1000</v>
      </c>
      <c r="BV3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HOOSE(IF(INT(($A304-1)/5)&gt;MAX((MAX(1,INT(((CROQUIS!$C$97)-CROQUIS!$C$107)/MAX((CROQUIS!$C$141*MAX(1,CEILING((INT(((CROQUIS!$C$97)-CROQUIS!$C$107)/MAX(CROQUIS!$C$141,1))+1)/80,1))),1))+1))-1,0),0,MOD($A304-1,5))+1,0,IF(CROQUIS!$C$105=1,-12,2),CROQUIS!$C$107/2+CROQUIS!$C$144,IF(CROQUIS!$C$105=1,-12,2),0)))*CROQUIS!$C$159)+IF(CROQUIS!$C$92="X",0.8,0)),-1000)</f>
        <v>-1000</v>
      </c>
      <c r="BW304">
        <f>IF(AND(CROQUIS!$C$88=1,CROQUIS!$C$91=0,CROQUIS!$C$141&gt;0,OR(CROQUIS!$C$105=1,CROQUIS!$C$146=1)),((CROQUIS!$C$161+(IF(CROQUIS!$C$92="X",CHOOSE(IF(INT(($A304-1)/5)&gt;MAX((MAX(1,INT(((CROQUIS!$C$97)-CROQUIS!$C$107)/MAX((CROQUIS!$C$141*MAX(1,CEILING((INT(((CROQUIS!$C$97)-CROQUIS!$C$107)/MAX(CROQUIS!$C$141,1))+1)/80,1))),1))+1))-1,0),0,MOD($A304-1,5))+1,0,IF(CROQUIS!$C$105=1,-12,2),CROQUIS!$C$107/2+CROQUIS!$C$144,IF(CROQUIS!$C$105=1,-12,2),0),((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ROQUIS!$C$159)+IF(CROQUIS!$C$92="X",0,0.8)),-1000)</f>
        <v>-1000</v>
      </c>
      <c r="BX3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HOOSE(IF(INT(($A304-1)/5)&gt;MAX((MAX(1,INT(((CROQUIS!$C$97)-CROQUIS!$C$107)/MAX((CROQUIS!$C$141*MAX(1,CEILING((INT(((CROQUIS!$C$97)-CROQUIS!$C$107)/MAX(CROQUIS!$C$141,1))+1)/80,1))),1))+1))-1,0),0,MOD($A304-1,5))+1,CROQUIS!$C$98,CROQUIS!$C$98-CROQUIS!$C$107/2-CROQUIS!$C$144,IF(CROQUIS!$C$106=1,CROQUIS!$C$98+12,CROQUIS!$C$98-2),CROQUIS!$C$98-CROQUIS!$C$107/2-CROQUIS!$C$144,CROQUIS!$C$98)))*CROQUIS!$C$159)+IF(CROQUIS!$C$92="X",0.8,0)),-1000)</f>
        <v>-1000</v>
      </c>
      <c r="BY304">
        <f>IF(AND(CROQUIS!$C$88=1,CROQUIS!$C$91=0,CROQUIS!$C$141&gt;0,OR(CROQUIS!$C$106=1,CROQUIS!$C$146=1)),((CROQUIS!$C$161+(IF(CROQUIS!$C$92="X",CHOOSE(IF(INT(($A304-1)/5)&gt;MAX((MAX(1,INT(((CROQUIS!$C$97)-CROQUIS!$C$107)/MAX((CROQUIS!$C$141*MAX(1,CEILING((INT(((CROQUIS!$C$97)-CROQUIS!$C$107)/MAX(CROQUIS!$C$141,1))+1)/80,1))),1))+1))-1,0),0,MOD($A304-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ROQUIS!$C$159)+IF(CROQUIS!$C$92="X",0,0.8)),-1000)</f>
        <v>-1000</v>
      </c>
      <c r="BZ304">
        <f>IF(AND(CROQUIS!$C$88=1,CROQUIS!$C$91=1,CROQUIS!$C$133&gt;0),((CROQUIS!$C$160+(IF(CROQUIS!$C$92="X",CHOOSE(IF(INT(($A304-1)/5)&gt;MAX((MAX(1,INT(((CROQUIS!$C$98)-CROQUIS!$C$107)/MAX((CROQUIS!$C$133*MAX(1,CEILING((INT(((CROQUIS!$C$98)-CROQUIS!$C$107)/MAX(CROQUIS!$C$133,1))+1)/80,1))),1))+1))-1,0),0,MOD($A304-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CA304">
        <f>IF(AND(CROQUIS!$C$88=1,CROQUIS!$C$91=1,CROQUIS!$C$133&gt;0),((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5">
      <c r="A305" t="n">
        <v>298</v>
      </c>
      <c r="BN305">
        <f>IF(AND(CROQUIS!$C$88=1,CROQUIS!$C$129&gt;0),((CROQUIS!$C$160+(IF(CROQUIS!$C$92="X",CHOOSE(IF(INT(($A305-1)/5)&gt;MAX((MAX(1,INT(((CROQUIS!$C$98)-CROQUIS!$C$107)/MAX((CROQUIS!$C$129*MAX(1,CEILING((INT(((CROQUIS!$C$98)-CROQUIS!$C$107)/MAX(CROQUIS!$C$129,1))+1)/80,1))),1))+1))-1,0),0,MOD($A305-1,5))+1,0,2,CROQUIS!$C$97-2,2,0),((CROQUIS!$C$107/2+(((CROQUIS!$C$98)-CROQUIS!$C$107)-(MAX(1,INT(((CROQUIS!$C$98)-CROQUIS!$C$107)/MAX((CROQUIS!$C$129*MAX(1,CEILING((INT(((CROQUIS!$C$98)-CROQUIS!$C$107)/MAX(CROQUIS!$C$129,1))+1)/80,1))),1))+1)-1)*(CROQUIS!$C$129*MAX(1,CEILING((INT(((CROQUIS!$C$98)-CROQUIS!$C$107)/MAX(CROQUIS!$C$129,1))+1)/80,1))))/2)+MIN(INT(($A305-1)/5),MAX((MAX(1,INT(((CROQUIS!$C$98)-CROQUIS!$C$107)/MAX((CROQUIS!$C$129*MAX(1,CEILING((INT(((CROQUIS!$C$98)-CROQUIS!$C$107)/MAX(CROQUIS!$C$129,1))+1)/80,1))),1))+1))-1,0))*(CROQUIS!$C$129*MAX(1,CEILING((INT(((CROQUIS!$C$98)-CROQUIS!$C$107)/MAX(CROQUIS!$C$129,1))+1)/80,1))))))*CROQUIS!$C$159)+IF(CROQUIS!$C$92="X",0,0)),-1000)</f>
        <v>-1000</v>
      </c>
      <c r="BO305">
        <f>IF(AND(CROQUIS!$C$88=1,CROQUIS!$C$129&gt;0),((CROQUIS!$C$161+(IF(CROQUIS!$C$92="X",((CROQUIS!$C$107/2+(((CROQUIS!$C$98)-CROQUIS!$C$107)-(MAX(1,INT(((CROQUIS!$C$98)-CROQUIS!$C$107)/MAX((CROQUIS!$C$129*MAX(1,CEILING((INT(((CROQUIS!$C$98)-CROQUIS!$C$107)/MAX(CROQUIS!$C$129,1))+1)/80,1))),1))+1)-1)*(CROQUIS!$C$129*MAX(1,CEILING((INT(((CROQUIS!$C$98)-CROQUIS!$C$107)/MAX(CROQUIS!$C$129,1))+1)/80,1))))/2)+MIN(INT(($A305-1)/5),MAX((MAX(1,INT(((CROQUIS!$C$98)-CROQUIS!$C$107)/MAX((CROQUIS!$C$129*MAX(1,CEILING((INT(((CROQUIS!$C$98)-CROQUIS!$C$107)/MAX(CROQUIS!$C$129,1))+1)/80,1))),1))+1))-1,0))*(CROQUIS!$C$129*MAX(1,CEILING((INT(((CROQUIS!$C$98)-CROQUIS!$C$107)/MAX(CROQUIS!$C$129,1))+1)/80,1)))),CHOOSE(IF(INT(($A305-1)/5)&gt;MAX((MAX(1,INT(((CROQUIS!$C$98)-CROQUIS!$C$107)/MAX((CROQUIS!$C$129*MAX(1,CEILING((INT(((CROQUIS!$C$98)-CROQUIS!$C$107)/MAX(CROQUIS!$C$129,1))+1)/80,1))),1))+1))-1,0),0,MOD($A305-1,5))+1,0,2,CROQUIS!$C$97-2,2,0)))*CROQUIS!$C$159)+IF(CROQUIS!$C$92="X",0,0)),-1000)</f>
        <v>-1000</v>
      </c>
      <c r="BP305">
        <f>IF(AND(CROQUIS!$C$88=1,CROQUIS!$C$137&gt;0),((CROQUIS!$C$160+(IF(CROQUIS!$C$92="X",((CROQUIS!$C$107/2+(((CROQUIS!$C$97)-CROQUIS!$C$107)-(MAX(1,INT(((CROQUIS!$C$97)-CROQUIS!$C$107)/MAX((CROQUIS!$C$137*MAX(1,CEILING((INT(((CROQUIS!$C$97)-CROQUIS!$C$107)/MAX(CROQUIS!$C$137,1))+1)/80,1))),1))+1)-1)*(CROQUIS!$C$137*MAX(1,CEILING((INT(((CROQUIS!$C$97)-CROQUIS!$C$107)/MAX(CROQUIS!$C$137,1))+1)/80,1))))/2)+MIN(INT(($A305-1)/5),MAX((MAX(1,INT(((CROQUIS!$C$97)-CROQUIS!$C$107)/MAX((CROQUIS!$C$137*MAX(1,CEILING((INT(((CROQUIS!$C$97)-CROQUIS!$C$107)/MAX(CROQUIS!$C$137,1))+1)/80,1))),1))+1))-1,0))*(CROQUIS!$C$137*MAX(1,CEILING((INT(((CROQUIS!$C$97)-CROQUIS!$C$107)/MAX(CROQUIS!$C$137,1))+1)/80,1)))),CHOOSE(IF(INT(($A305-1)/5)&gt;MAX((MAX(1,INT(((CROQUIS!$C$97)-CROQUIS!$C$107)/MAX((CROQUIS!$C$137*MAX(1,CEILING((INT(((CROQUIS!$C$97)-CROQUIS!$C$107)/MAX(CROQUIS!$C$137,1))+1)/80,1))),1))+1))-1,0),0,MOD($A305-1,5))+1,0,2,CROQUIS!$C$98-2,2,0)))*CROQUIS!$C$159)+IF(CROQUIS!$C$92="X",0,0)),-1000)</f>
        <v>-1000</v>
      </c>
      <c r="BQ305">
        <f>IF(AND(CROQUIS!$C$88=1,CROQUIS!$C$137&gt;0),((CROQUIS!$C$161+(IF(CROQUIS!$C$92="X",CHOOSE(IF(INT(($A305-1)/5)&gt;MAX((MAX(1,INT(((CROQUIS!$C$97)-CROQUIS!$C$107)/MAX((CROQUIS!$C$137*MAX(1,CEILING((INT(((CROQUIS!$C$97)-CROQUIS!$C$107)/MAX(CROQUIS!$C$137,1))+1)/80,1))),1))+1))-1,0),0,MOD($A305-1,5))+1,0,2,CROQUIS!$C$98-2,2,0),((CROQUIS!$C$107/2+(((CROQUIS!$C$97)-CROQUIS!$C$107)-(MAX(1,INT(((CROQUIS!$C$97)-CROQUIS!$C$107)/MAX((CROQUIS!$C$137*MAX(1,CEILING((INT(((CROQUIS!$C$97)-CROQUIS!$C$107)/MAX(CROQUIS!$C$137,1))+1)/80,1))),1))+1)-1)*(CROQUIS!$C$137*MAX(1,CEILING((INT(((CROQUIS!$C$97)-CROQUIS!$C$107)/MAX(CROQUIS!$C$137,1))+1)/80,1))))/2)+MIN(INT(($A305-1)/5),MAX((MAX(1,INT(((CROQUIS!$C$97)-CROQUIS!$C$107)/MAX((CROQUIS!$C$137*MAX(1,CEILING((INT(((CROQUIS!$C$97)-CROQUIS!$C$107)/MAX(CROQUIS!$C$137,1))+1)/80,1))),1))+1))-1,0))*(CROQUIS!$C$137*MAX(1,CEILING((INT(((CROQUIS!$C$97)-CROQUIS!$C$107)/MAX(CROQUIS!$C$137,1))+1)/80,1))))))*CROQUIS!$C$159)+IF(CROQUIS!$C$92="X",0,0)),-1000)</f>
        <v>-1000</v>
      </c>
      <c r="BR305">
        <f>IF(AND(CROQUIS!$C$88=1,CROQUIS!$C$91=0,CROQUIS!$C$133&gt;0,OR(CROQUIS!$C$103=1,CROQUIS!$C$145=1)),((CROQUIS!$C$160+(IF(CROQUIS!$C$92="X",CHOOSE(IF(INT(($A305-1)/5)&gt;MAX((MAX(1,INT(((CROQUIS!$C$98)-CROQUIS!$C$107)/MAX((CROQUIS!$C$133*MAX(1,CEILING((INT(((CROQUIS!$C$98)-CROQUIS!$C$107)/MAX(CROQUIS!$C$133,1))+1)/80,1))),1))+1))-1,0),0,MOD($A305-1,5))+1,0,IF(CROQUIS!$C$103=1,-12,2),CROQUIS!$C$107/2+CROQUIS!$C$143,IF(CROQUIS!$C$103=1,-12,2),0),((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BS3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+1,0,IF(CROQUIS!$C$103=1,-12,2),CROQUIS!$C$107/2+CROQUIS!$C$143,IF(CROQUIS!$C$103=1,-12,2),0)))*CROQUIS!$C$159)+IF(CROQUIS!$C$92="X",0.8,0)),-1000)</f>
        <v>-1000</v>
      </c>
      <c r="BT305">
        <f>IF(AND(CROQUIS!$C$88=1,CROQUIS!$C$91=0,CROQUIS!$C$133&gt;0,OR(CROQUIS!$C$104=1,CROQUIS!$C$145=1)),((CROQUIS!$C$160+(IF(CROQUIS!$C$92="X",CHOOSE(IF(INT(($A305-1)/5)&gt;MAX((MAX(1,INT(((CROQUIS!$C$98)-CROQUIS!$C$107)/MAX((CROQUIS!$C$133*MAX(1,CEILING((INT(((CROQUIS!$C$98)-CROQUIS!$C$107)/MAX(CROQUIS!$C$133,1))+1)/80,1))),1))+1))-1,0),0,MOD($A305-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BU3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CROQUIS!$C$97,CROQUIS!$C$97-CROQUIS!$C$107/2-CROQUIS!$C$143,IF(CROQUIS!$C$104=1,CROQUIS!$C$97+12,CROQUIS!$C$97-2),CROQUIS!$C$97-CROQUIS!$C$107/2-CROQUIS!$C$143,CROQUIS!$C$97)))*CROQUIS!$C$159)+IF(CROQUIS!$C$92="X",0.8,0)),-1000)</f>
        <v>-1000</v>
      </c>
      <c r="BV3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HOOSE(IF(INT(($A305-1)/5)&gt;MAX((MAX(1,INT(((CROQUIS!$C$97)-CROQUIS!$C$107)/MAX((CROQUIS!$C$141*MAX(1,CEILING((INT(((CROQUIS!$C$97)-CROQUIS!$C$107)/MAX(CROQUIS!$C$141,1))+1)/80,1))),1))+1))-1,0),0,MOD($A305-1,5))+1,0,IF(CROQUIS!$C$105=1,-12,2),CROQUIS!$C$107/2+CROQUIS!$C$144,IF(CROQUIS!$C$105=1,-12,2),0)))*CROQUIS!$C$159)+IF(CROQUIS!$C$92="X",0.8,0)),-1000)</f>
        <v>-1000</v>
      </c>
      <c r="BW305">
        <f>IF(AND(CROQUIS!$C$88=1,CROQUIS!$C$91=0,CROQUIS!$C$141&gt;0,OR(CROQUIS!$C$105=1,CROQUIS!$C$146=1)),((CROQUIS!$C$161+(IF(CROQUIS!$C$92="X",CHOOSE(IF(INT(($A305-1)/5)&gt;MAX((MAX(1,INT(((CROQUIS!$C$97)-CROQUIS!$C$107)/MAX((CROQUIS!$C$141*MAX(1,CEILING((INT(((CROQUIS!$C$97)-CROQUIS!$C$107)/MAX(CROQUIS!$C$141,1))+1)/80,1))),1))+1))-1,0),0,MOD($A305-1,5))+1,0,IF(CROQUIS!$C$105=1,-12,2),CROQUIS!$C$107/2+CROQUIS!$C$144,IF(CROQUIS!$C$105=1,-12,2),0),((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ROQUIS!$C$159)+IF(CROQUIS!$C$92="X",0,0.8)),-1000)</f>
        <v>-1000</v>
      </c>
      <c r="BX3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HOOSE(IF(INT(($A305-1)/5)&gt;MAX((MAX(1,INT(((CROQUIS!$C$97)-CROQUIS!$C$107)/MAX((CROQUIS!$C$141*MAX(1,CEILING((INT(((CROQUIS!$C$97)-CROQUIS!$C$107)/MAX(CROQUIS!$C$141,1))+1)/80,1))),1))+1))-1,0),0,MOD($A305-1,5))+1,CROQUIS!$C$98,CROQUIS!$C$98-CROQUIS!$C$107/2-CROQUIS!$C$144,IF(CROQUIS!$C$106=1,CROQUIS!$C$98+12,CROQUIS!$C$98-2),CROQUIS!$C$98-CROQUIS!$C$107/2-CROQUIS!$C$144,CROQUIS!$C$98)))*CROQUIS!$C$159)+IF(CROQUIS!$C$92="X",0.8,0)),-1000)</f>
        <v>-1000</v>
      </c>
      <c r="BY305">
        <f>IF(AND(CROQUIS!$C$88=1,CROQUIS!$C$91=0,CROQUIS!$C$141&gt;0,OR(CROQUIS!$C$106=1,CROQUIS!$C$146=1)),((CROQUIS!$C$161+(IF(CROQUIS!$C$92="X",CHOOSE(IF(INT(($A305-1)/5)&gt;MAX((MAX(1,INT(((CROQUIS!$C$97)-CROQUIS!$C$107)/MAX((CROQUIS!$C$141*MAX(1,CEILING((INT(((CROQUIS!$C$97)-CROQUIS!$C$107)/MAX(CROQUIS!$C$141,1))+1)/80,1))),1))+1))-1,0),0,MOD($A305-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ROQUIS!$C$159)+IF(CROQUIS!$C$92="X",0,0.8)),-1000)</f>
        <v>-1000</v>
      </c>
      <c r="BZ305">
        <f>IF(AND(CROQUIS!$C$88=1,CROQUIS!$C$91=1,CROQUIS!$C$133&gt;0),((CROQUIS!$C$160+(IF(CROQUIS!$C$92="X",CHOOSE(IF(INT(($A305-1)/5)&gt;MAX((MAX(1,INT(((CROQUIS!$C$98)-CROQUIS!$C$107)/MAX((CROQUIS!$C$133*MAX(1,CEILING((INT(((CROQUIS!$C$98)-CROQUIS!$C$107)/MAX(CROQUIS!$C$133,1))+1)/80,1))),1))+1))-1,0),0,MOD($A305-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CA305">
        <f>IF(AND(CROQUIS!$C$88=1,CROQUIS!$C$91=1,CROQUIS!$C$133&gt;0),((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6">
      <c r="A306" t="n">
        <v>299</v>
      </c>
      <c r="BN306">
        <f>IF(AND(CROQUIS!$C$88=1,CROQUIS!$C$129&gt;0),((CROQUIS!$C$160+(IF(CROQUIS!$C$92="X",CHOOSE(IF(INT(($A306-1)/5)&gt;MAX((MAX(1,INT(((CROQUIS!$C$98)-CROQUIS!$C$107)/MAX((CROQUIS!$C$129*MAX(1,CEILING((INT(((CROQUIS!$C$98)-CROQUIS!$C$107)/MAX(CROQUIS!$C$129,1))+1)/80,1))),1))+1))-1,0),0,MOD($A306-1,5))+1,0,2,CROQUIS!$C$97-2,2,0),((CROQUIS!$C$107/2+(((CROQUIS!$C$98)-CROQUIS!$C$107)-(MAX(1,INT(((CROQUIS!$C$98)-CROQUIS!$C$107)/MAX((CROQUIS!$C$129*MAX(1,CEILING((INT(((CROQUIS!$C$98)-CROQUIS!$C$107)/MAX(CROQUIS!$C$129,1))+1)/80,1))),1))+1)-1)*(CROQUIS!$C$129*MAX(1,CEILING((INT(((CROQUIS!$C$98)-CROQUIS!$C$107)/MAX(CROQUIS!$C$129,1))+1)/80,1))))/2)+MIN(INT(($A306-1)/5),MAX((MAX(1,INT(((CROQUIS!$C$98)-CROQUIS!$C$107)/MAX((CROQUIS!$C$129*MAX(1,CEILING((INT(((CROQUIS!$C$98)-CROQUIS!$C$107)/MAX(CROQUIS!$C$129,1))+1)/80,1))),1))+1))-1,0))*(CROQUIS!$C$129*MAX(1,CEILING((INT(((CROQUIS!$C$98)-CROQUIS!$C$107)/MAX(CROQUIS!$C$129,1))+1)/80,1))))))*CROQUIS!$C$159)+IF(CROQUIS!$C$92="X",0,0)),-1000)</f>
        <v>-1000</v>
      </c>
      <c r="BO306">
        <f>IF(AND(CROQUIS!$C$88=1,CROQUIS!$C$129&gt;0),((CROQUIS!$C$161+(IF(CROQUIS!$C$92="X",((CROQUIS!$C$107/2+(((CROQUIS!$C$98)-CROQUIS!$C$107)-(MAX(1,INT(((CROQUIS!$C$98)-CROQUIS!$C$107)/MAX((CROQUIS!$C$129*MAX(1,CEILING((INT(((CROQUIS!$C$98)-CROQUIS!$C$107)/MAX(CROQUIS!$C$129,1))+1)/80,1))),1))+1)-1)*(CROQUIS!$C$129*MAX(1,CEILING((INT(((CROQUIS!$C$98)-CROQUIS!$C$107)/MAX(CROQUIS!$C$129,1))+1)/80,1))))/2)+MIN(INT(($A306-1)/5),MAX((MAX(1,INT(((CROQUIS!$C$98)-CROQUIS!$C$107)/MAX((CROQUIS!$C$129*MAX(1,CEILING((INT(((CROQUIS!$C$98)-CROQUIS!$C$107)/MAX(CROQUIS!$C$129,1))+1)/80,1))),1))+1))-1,0))*(CROQUIS!$C$129*MAX(1,CEILING((INT(((CROQUIS!$C$98)-CROQUIS!$C$107)/MAX(CROQUIS!$C$129,1))+1)/80,1)))),CHOOSE(IF(INT(($A306-1)/5)&gt;MAX((MAX(1,INT(((CROQUIS!$C$98)-CROQUIS!$C$107)/MAX((CROQUIS!$C$129*MAX(1,CEILING((INT(((CROQUIS!$C$98)-CROQUIS!$C$107)/MAX(CROQUIS!$C$129,1))+1)/80,1))),1))+1))-1,0),0,MOD($A306-1,5))+1,0,2,CROQUIS!$C$97-2,2,0)))*CROQUIS!$C$159)+IF(CROQUIS!$C$92="X",0,0)),-1000)</f>
        <v>-1000</v>
      </c>
      <c r="BP306">
        <f>IF(AND(CROQUIS!$C$88=1,CROQUIS!$C$137&gt;0),((CROQUIS!$C$160+(IF(CROQUIS!$C$92="X",((CROQUIS!$C$107/2+(((CROQUIS!$C$97)-CROQUIS!$C$107)-(MAX(1,INT(((CROQUIS!$C$97)-CROQUIS!$C$107)/MAX((CROQUIS!$C$137*MAX(1,CEILING((INT(((CROQUIS!$C$97)-CROQUIS!$C$107)/MAX(CROQUIS!$C$137,1))+1)/80,1))),1))+1)-1)*(CROQUIS!$C$137*MAX(1,CEILING((INT(((CROQUIS!$C$97)-CROQUIS!$C$107)/MAX(CROQUIS!$C$137,1))+1)/80,1))))/2)+MIN(INT(($A306-1)/5),MAX((MAX(1,INT(((CROQUIS!$C$97)-CROQUIS!$C$107)/MAX((CROQUIS!$C$137*MAX(1,CEILING((INT(((CROQUIS!$C$97)-CROQUIS!$C$107)/MAX(CROQUIS!$C$137,1))+1)/80,1))),1))+1))-1,0))*(CROQUIS!$C$137*MAX(1,CEILING((INT(((CROQUIS!$C$97)-CROQUIS!$C$107)/MAX(CROQUIS!$C$137,1))+1)/80,1)))),CHOOSE(IF(INT(($A306-1)/5)&gt;MAX((MAX(1,INT(((CROQUIS!$C$97)-CROQUIS!$C$107)/MAX((CROQUIS!$C$137*MAX(1,CEILING((INT(((CROQUIS!$C$97)-CROQUIS!$C$107)/MAX(CROQUIS!$C$137,1))+1)/80,1))),1))+1))-1,0),0,MOD($A306-1,5))+1,0,2,CROQUIS!$C$98-2,2,0)))*CROQUIS!$C$159)+IF(CROQUIS!$C$92="X",0,0)),-1000)</f>
        <v>-1000</v>
      </c>
      <c r="BQ306">
        <f>IF(AND(CROQUIS!$C$88=1,CROQUIS!$C$137&gt;0),((CROQUIS!$C$161+(IF(CROQUIS!$C$92="X",CHOOSE(IF(INT(($A306-1)/5)&gt;MAX((MAX(1,INT(((CROQUIS!$C$97)-CROQUIS!$C$107)/MAX((CROQUIS!$C$137*MAX(1,CEILING((INT(((CROQUIS!$C$97)-CROQUIS!$C$107)/MAX(CROQUIS!$C$137,1))+1)/80,1))),1))+1))-1,0),0,MOD($A306-1,5))+1,0,2,CROQUIS!$C$98-2,2,0),((CROQUIS!$C$107/2+(((CROQUIS!$C$97)-CROQUIS!$C$107)-(MAX(1,INT(((CROQUIS!$C$97)-CROQUIS!$C$107)/MAX((CROQUIS!$C$137*MAX(1,CEILING((INT(((CROQUIS!$C$97)-CROQUIS!$C$107)/MAX(CROQUIS!$C$137,1))+1)/80,1))),1))+1)-1)*(CROQUIS!$C$137*MAX(1,CEILING((INT(((CROQUIS!$C$97)-CROQUIS!$C$107)/MAX(CROQUIS!$C$137,1))+1)/80,1))))/2)+MIN(INT(($A306-1)/5),MAX((MAX(1,INT(((CROQUIS!$C$97)-CROQUIS!$C$107)/MAX((CROQUIS!$C$137*MAX(1,CEILING((INT(((CROQUIS!$C$97)-CROQUIS!$C$107)/MAX(CROQUIS!$C$137,1))+1)/80,1))),1))+1))-1,0))*(CROQUIS!$C$137*MAX(1,CEILING((INT(((CROQUIS!$C$97)-CROQUIS!$C$107)/MAX(CROQUIS!$C$137,1))+1)/80,1))))))*CROQUIS!$C$159)+IF(CROQUIS!$C$92="X",0,0)),-1000)</f>
        <v>-1000</v>
      </c>
      <c r="BR306">
        <f>IF(AND(CROQUIS!$C$88=1,CROQUIS!$C$91=0,CROQUIS!$C$133&gt;0,OR(CROQUIS!$C$103=1,CROQUIS!$C$145=1)),((CROQUIS!$C$160+(IF(CROQUIS!$C$92="X",CHOOSE(IF(INT(($A306-1)/5)&gt;MAX((MAX(1,INT(((CROQUIS!$C$98)-CROQUIS!$C$107)/MAX((CROQUIS!$C$133*MAX(1,CEILING((INT(((CROQUIS!$C$98)-CROQUIS!$C$107)/MAX(CROQUIS!$C$133,1))+1)/80,1))),1))+1))-1,0),0,MOD($A306-1,5))+1,0,IF(CROQUIS!$C$103=1,-12,2),CROQUIS!$C$107/2+CROQUIS!$C$143,IF(CROQUIS!$C$103=1,-12,2),0),((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BS3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+1,0,IF(CROQUIS!$C$103=1,-12,2),CROQUIS!$C$107/2+CROQUIS!$C$143,IF(CROQUIS!$C$103=1,-12,2),0)))*CROQUIS!$C$159)+IF(CROQUIS!$C$92="X",0.8,0)),-1000)</f>
        <v>-1000</v>
      </c>
      <c r="BT306">
        <f>IF(AND(CROQUIS!$C$88=1,CROQUIS!$C$91=0,CROQUIS!$C$133&gt;0,OR(CROQUIS!$C$104=1,CROQUIS!$C$145=1)),((CROQUIS!$C$160+(IF(CROQUIS!$C$92="X",CHOOSE(IF(INT(($A306-1)/5)&gt;MAX((MAX(1,INT(((CROQUIS!$C$98)-CROQUIS!$C$107)/MAX((CROQUIS!$C$133*MAX(1,CEILING((INT(((CROQUIS!$C$98)-CROQUIS!$C$107)/MAX(CROQUIS!$C$133,1))+1)/80,1))),1))+1))-1,0),0,MOD($A306-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BU3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CROQUIS!$C$97,CROQUIS!$C$97-CROQUIS!$C$107/2-CROQUIS!$C$143,IF(CROQUIS!$C$104=1,CROQUIS!$C$97+12,CROQUIS!$C$97-2),CROQUIS!$C$97-CROQUIS!$C$107/2-CROQUIS!$C$143,CROQUIS!$C$97)))*CROQUIS!$C$159)+IF(CROQUIS!$C$92="X",0.8,0)),-1000)</f>
        <v>-1000</v>
      </c>
      <c r="BV3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HOOSE(IF(INT(($A306-1)/5)&gt;MAX((MAX(1,INT(((CROQUIS!$C$97)-CROQUIS!$C$107)/MAX((CROQUIS!$C$141*MAX(1,CEILING((INT(((CROQUIS!$C$97)-CROQUIS!$C$107)/MAX(CROQUIS!$C$141,1))+1)/80,1))),1))+1))-1,0),0,MOD($A306-1,5))+1,0,IF(CROQUIS!$C$105=1,-12,2),CROQUIS!$C$107/2+CROQUIS!$C$144,IF(CROQUIS!$C$105=1,-12,2),0)))*CROQUIS!$C$159)+IF(CROQUIS!$C$92="X",0.8,0)),-1000)</f>
        <v>-1000</v>
      </c>
      <c r="BW306">
        <f>IF(AND(CROQUIS!$C$88=1,CROQUIS!$C$91=0,CROQUIS!$C$141&gt;0,OR(CROQUIS!$C$105=1,CROQUIS!$C$146=1)),((CROQUIS!$C$161+(IF(CROQUIS!$C$92="X",CHOOSE(IF(INT(($A306-1)/5)&gt;MAX((MAX(1,INT(((CROQUIS!$C$97)-CROQUIS!$C$107)/MAX((CROQUIS!$C$141*MAX(1,CEILING((INT(((CROQUIS!$C$97)-CROQUIS!$C$107)/MAX(CROQUIS!$C$141,1))+1)/80,1))),1))+1))-1,0),0,MOD($A306-1,5))+1,0,IF(CROQUIS!$C$105=1,-12,2),CROQUIS!$C$107/2+CROQUIS!$C$144,IF(CROQUIS!$C$105=1,-12,2),0),((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ROQUIS!$C$159)+IF(CROQUIS!$C$92="X",0,0.8)),-1000)</f>
        <v>-1000</v>
      </c>
      <c r="BX3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HOOSE(IF(INT(($A306-1)/5)&gt;MAX((MAX(1,INT(((CROQUIS!$C$97)-CROQUIS!$C$107)/MAX((CROQUIS!$C$141*MAX(1,CEILING((INT(((CROQUIS!$C$97)-CROQUIS!$C$107)/MAX(CROQUIS!$C$141,1))+1)/80,1))),1))+1))-1,0),0,MOD($A306-1,5))+1,CROQUIS!$C$98,CROQUIS!$C$98-CROQUIS!$C$107/2-CROQUIS!$C$144,IF(CROQUIS!$C$106=1,CROQUIS!$C$98+12,CROQUIS!$C$98-2),CROQUIS!$C$98-CROQUIS!$C$107/2-CROQUIS!$C$144,CROQUIS!$C$98)))*CROQUIS!$C$159)+IF(CROQUIS!$C$92="X",0.8,0)),-1000)</f>
        <v>-1000</v>
      </c>
      <c r="BY306">
        <f>IF(AND(CROQUIS!$C$88=1,CROQUIS!$C$91=0,CROQUIS!$C$141&gt;0,OR(CROQUIS!$C$106=1,CROQUIS!$C$146=1)),((CROQUIS!$C$161+(IF(CROQUIS!$C$92="X",CHOOSE(IF(INT(($A306-1)/5)&gt;MAX((MAX(1,INT(((CROQUIS!$C$97)-CROQUIS!$C$107)/MAX((CROQUIS!$C$141*MAX(1,CEILING((INT(((CROQUIS!$C$97)-CROQUIS!$C$107)/MAX(CROQUIS!$C$141,1))+1)/80,1))),1))+1))-1,0),0,MOD($A306-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ROQUIS!$C$159)+IF(CROQUIS!$C$92="X",0,0.8)),-1000)</f>
        <v>-1000</v>
      </c>
      <c r="BZ306">
        <f>IF(AND(CROQUIS!$C$88=1,CROQUIS!$C$91=1,CROQUIS!$C$133&gt;0),((CROQUIS!$C$160+(IF(CROQUIS!$C$92="X",CHOOSE(IF(INT(($A306-1)/5)&gt;MAX((MAX(1,INT(((CROQUIS!$C$98)-CROQUIS!$C$107)/MAX((CROQUIS!$C$133*MAX(1,CEILING((INT(((CROQUIS!$C$98)-CROQUIS!$C$107)/MAX(CROQUIS!$C$133,1))+1)/80,1))),1))+1))-1,0),0,MOD($A306-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CA306">
        <f>IF(AND(CROQUIS!$C$88=1,CROQUIS!$C$91=1,CROQUIS!$C$133&gt;0),((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7">
      <c r="A307" t="n">
        <v>300</v>
      </c>
      <c r="BN307">
        <f>IF(AND(CROQUIS!$C$88=1,CROQUIS!$C$129&gt;0),((CROQUIS!$C$160+(IF(CROQUIS!$C$92="X",CHOOSE(IF(INT(($A307-1)/5)&gt;MAX((MAX(1,INT(((CROQUIS!$C$98)-CROQUIS!$C$107)/MAX((CROQUIS!$C$129*MAX(1,CEILING((INT(((CROQUIS!$C$98)-CROQUIS!$C$107)/MAX(CROQUIS!$C$129,1))+1)/80,1))),1))+1))-1,0),0,MOD($A307-1,5))+1,0,2,CROQUIS!$C$97-2,2,0),((CROQUIS!$C$107/2+(((CROQUIS!$C$98)-CROQUIS!$C$107)-(MAX(1,INT(((CROQUIS!$C$98)-CROQUIS!$C$107)/MAX((CROQUIS!$C$129*MAX(1,CEILING((INT(((CROQUIS!$C$98)-CROQUIS!$C$107)/MAX(CROQUIS!$C$129,1))+1)/80,1))),1))+1)-1)*(CROQUIS!$C$129*MAX(1,CEILING((INT(((CROQUIS!$C$98)-CROQUIS!$C$107)/MAX(CROQUIS!$C$129,1))+1)/80,1))))/2)+MIN(INT(($A307-1)/5),MAX((MAX(1,INT(((CROQUIS!$C$98)-CROQUIS!$C$107)/MAX((CROQUIS!$C$129*MAX(1,CEILING((INT(((CROQUIS!$C$98)-CROQUIS!$C$107)/MAX(CROQUIS!$C$129,1))+1)/80,1))),1))+1))-1,0))*(CROQUIS!$C$129*MAX(1,CEILING((INT(((CROQUIS!$C$98)-CROQUIS!$C$107)/MAX(CROQUIS!$C$129,1))+1)/80,1))))))*CROQUIS!$C$159)+IF(CROQUIS!$C$92="X",0,0)),-1000)</f>
        <v>-1000</v>
      </c>
      <c r="BO307">
        <f>IF(AND(CROQUIS!$C$88=1,CROQUIS!$C$129&gt;0),((CROQUIS!$C$161+(IF(CROQUIS!$C$92="X",((CROQUIS!$C$107/2+(((CROQUIS!$C$98)-CROQUIS!$C$107)-(MAX(1,INT(((CROQUIS!$C$98)-CROQUIS!$C$107)/MAX((CROQUIS!$C$129*MAX(1,CEILING((INT(((CROQUIS!$C$98)-CROQUIS!$C$107)/MAX(CROQUIS!$C$129,1))+1)/80,1))),1))+1)-1)*(CROQUIS!$C$129*MAX(1,CEILING((INT(((CROQUIS!$C$98)-CROQUIS!$C$107)/MAX(CROQUIS!$C$129,1))+1)/80,1))))/2)+MIN(INT(($A307-1)/5),MAX((MAX(1,INT(((CROQUIS!$C$98)-CROQUIS!$C$107)/MAX((CROQUIS!$C$129*MAX(1,CEILING((INT(((CROQUIS!$C$98)-CROQUIS!$C$107)/MAX(CROQUIS!$C$129,1))+1)/80,1))),1))+1))-1,0))*(CROQUIS!$C$129*MAX(1,CEILING((INT(((CROQUIS!$C$98)-CROQUIS!$C$107)/MAX(CROQUIS!$C$129,1))+1)/80,1)))),CHOOSE(IF(INT(($A307-1)/5)&gt;MAX((MAX(1,INT(((CROQUIS!$C$98)-CROQUIS!$C$107)/MAX((CROQUIS!$C$129*MAX(1,CEILING((INT(((CROQUIS!$C$98)-CROQUIS!$C$107)/MAX(CROQUIS!$C$129,1))+1)/80,1))),1))+1))-1,0),0,MOD($A307-1,5))+1,0,2,CROQUIS!$C$97-2,2,0)))*CROQUIS!$C$159)+IF(CROQUIS!$C$92="X",0,0)),-1000)</f>
        <v>-1000</v>
      </c>
      <c r="BP307">
        <f>IF(AND(CROQUIS!$C$88=1,CROQUIS!$C$137&gt;0),((CROQUIS!$C$160+(IF(CROQUIS!$C$92="X",((CROQUIS!$C$107/2+(((CROQUIS!$C$97)-CROQUIS!$C$107)-(MAX(1,INT(((CROQUIS!$C$97)-CROQUIS!$C$107)/MAX((CROQUIS!$C$137*MAX(1,CEILING((INT(((CROQUIS!$C$97)-CROQUIS!$C$107)/MAX(CROQUIS!$C$137,1))+1)/80,1))),1))+1)-1)*(CROQUIS!$C$137*MAX(1,CEILING((INT(((CROQUIS!$C$97)-CROQUIS!$C$107)/MAX(CROQUIS!$C$137,1))+1)/80,1))))/2)+MIN(INT(($A307-1)/5),MAX((MAX(1,INT(((CROQUIS!$C$97)-CROQUIS!$C$107)/MAX((CROQUIS!$C$137*MAX(1,CEILING((INT(((CROQUIS!$C$97)-CROQUIS!$C$107)/MAX(CROQUIS!$C$137,1))+1)/80,1))),1))+1))-1,0))*(CROQUIS!$C$137*MAX(1,CEILING((INT(((CROQUIS!$C$97)-CROQUIS!$C$107)/MAX(CROQUIS!$C$137,1))+1)/80,1)))),CHOOSE(IF(INT(($A307-1)/5)&gt;MAX((MAX(1,INT(((CROQUIS!$C$97)-CROQUIS!$C$107)/MAX((CROQUIS!$C$137*MAX(1,CEILING((INT(((CROQUIS!$C$97)-CROQUIS!$C$107)/MAX(CROQUIS!$C$137,1))+1)/80,1))),1))+1))-1,0),0,MOD($A307-1,5))+1,0,2,CROQUIS!$C$98-2,2,0)))*CROQUIS!$C$159)+IF(CROQUIS!$C$92="X",0,0)),-1000)</f>
        <v>-1000</v>
      </c>
      <c r="BQ307">
        <f>IF(AND(CROQUIS!$C$88=1,CROQUIS!$C$137&gt;0),((CROQUIS!$C$161+(IF(CROQUIS!$C$92="X",CHOOSE(IF(INT(($A307-1)/5)&gt;MAX((MAX(1,INT(((CROQUIS!$C$97)-CROQUIS!$C$107)/MAX((CROQUIS!$C$137*MAX(1,CEILING((INT(((CROQUIS!$C$97)-CROQUIS!$C$107)/MAX(CROQUIS!$C$137,1))+1)/80,1))),1))+1))-1,0),0,MOD($A307-1,5))+1,0,2,CROQUIS!$C$98-2,2,0),((CROQUIS!$C$107/2+(((CROQUIS!$C$97)-CROQUIS!$C$107)-(MAX(1,INT(((CROQUIS!$C$97)-CROQUIS!$C$107)/MAX((CROQUIS!$C$137*MAX(1,CEILING((INT(((CROQUIS!$C$97)-CROQUIS!$C$107)/MAX(CROQUIS!$C$137,1))+1)/80,1))),1))+1)-1)*(CROQUIS!$C$137*MAX(1,CEILING((INT(((CROQUIS!$C$97)-CROQUIS!$C$107)/MAX(CROQUIS!$C$137,1))+1)/80,1))))/2)+MIN(INT(($A307-1)/5),MAX((MAX(1,INT(((CROQUIS!$C$97)-CROQUIS!$C$107)/MAX((CROQUIS!$C$137*MAX(1,CEILING((INT(((CROQUIS!$C$97)-CROQUIS!$C$107)/MAX(CROQUIS!$C$137,1))+1)/80,1))),1))+1))-1,0))*(CROQUIS!$C$137*MAX(1,CEILING((INT(((CROQUIS!$C$97)-CROQUIS!$C$107)/MAX(CROQUIS!$C$137,1))+1)/80,1))))))*CROQUIS!$C$159)+IF(CROQUIS!$C$92="X",0,0)),-1000)</f>
        <v>-1000</v>
      </c>
      <c r="BR307">
        <f>IF(AND(CROQUIS!$C$88=1,CROQUIS!$C$91=0,CROQUIS!$C$133&gt;0,OR(CROQUIS!$C$103=1,CROQUIS!$C$145=1)),((CROQUIS!$C$160+(IF(CROQUIS!$C$92="X",CHOOSE(IF(INT(($A307-1)/5)&gt;MAX((MAX(1,INT(((CROQUIS!$C$98)-CROQUIS!$C$107)/MAX((CROQUIS!$C$133*MAX(1,CEILING((INT(((CROQUIS!$C$98)-CROQUIS!$C$107)/MAX(CROQUIS!$C$133,1))+1)/80,1))),1))+1))-1,0),0,MOD($A307-1,5))+1,0,IF(CROQUIS!$C$103=1,-12,2),CROQUIS!$C$107/2+CROQUIS!$C$143,IF(CROQUIS!$C$103=1,-12,2),0),((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BS3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+1,0,IF(CROQUIS!$C$103=1,-12,2),CROQUIS!$C$107/2+CROQUIS!$C$143,IF(CROQUIS!$C$103=1,-12,2),0)))*CROQUIS!$C$159)+IF(CROQUIS!$C$92="X",0.8,0)),-1000)</f>
        <v>-1000</v>
      </c>
      <c r="BT307">
        <f>IF(AND(CROQUIS!$C$88=1,CROQUIS!$C$91=0,CROQUIS!$C$133&gt;0,OR(CROQUIS!$C$104=1,CROQUIS!$C$145=1)),((CROQUIS!$C$160+(IF(CROQUIS!$C$92="X",CHOOSE(IF(INT(($A307-1)/5)&gt;MAX((MAX(1,INT(((CROQUIS!$C$98)-CROQUIS!$C$107)/MAX((CROQUIS!$C$133*MAX(1,CEILING((INT(((CROQUIS!$C$98)-CROQUIS!$C$107)/MAX(CROQUIS!$C$133,1))+1)/80,1))),1))+1))-1,0),0,MOD($A307-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BU3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CROQUIS!$C$97,CROQUIS!$C$97-CROQUIS!$C$107/2-CROQUIS!$C$143,IF(CROQUIS!$C$104=1,CROQUIS!$C$97+12,CROQUIS!$C$97-2),CROQUIS!$C$97-CROQUIS!$C$107/2-CROQUIS!$C$143,CROQUIS!$C$97)))*CROQUIS!$C$159)+IF(CROQUIS!$C$92="X",0.8,0)),-1000)</f>
        <v>-1000</v>
      </c>
      <c r="BV3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HOOSE(IF(INT(($A307-1)/5)&gt;MAX((MAX(1,INT(((CROQUIS!$C$97)-CROQUIS!$C$107)/MAX((CROQUIS!$C$141*MAX(1,CEILING((INT(((CROQUIS!$C$97)-CROQUIS!$C$107)/MAX(CROQUIS!$C$141,1))+1)/80,1))),1))+1))-1,0),0,MOD($A307-1,5))+1,0,IF(CROQUIS!$C$105=1,-12,2),CROQUIS!$C$107/2+CROQUIS!$C$144,IF(CROQUIS!$C$105=1,-12,2),0)))*CROQUIS!$C$159)+IF(CROQUIS!$C$92="X",0.8,0)),-1000)</f>
        <v>-1000</v>
      </c>
      <c r="BW307">
        <f>IF(AND(CROQUIS!$C$88=1,CROQUIS!$C$91=0,CROQUIS!$C$141&gt;0,OR(CROQUIS!$C$105=1,CROQUIS!$C$146=1)),((CROQUIS!$C$161+(IF(CROQUIS!$C$92="X",CHOOSE(IF(INT(($A307-1)/5)&gt;MAX((MAX(1,INT(((CROQUIS!$C$97)-CROQUIS!$C$107)/MAX((CROQUIS!$C$141*MAX(1,CEILING((INT(((CROQUIS!$C$97)-CROQUIS!$C$107)/MAX(CROQUIS!$C$141,1))+1)/80,1))),1))+1))-1,0),0,MOD($A307-1,5))+1,0,IF(CROQUIS!$C$105=1,-12,2),CROQUIS!$C$107/2+CROQUIS!$C$144,IF(CROQUIS!$C$105=1,-12,2),0),((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ROQUIS!$C$159)+IF(CROQUIS!$C$92="X",0,0.8)),-1000)</f>
        <v>-1000</v>
      </c>
      <c r="BX3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HOOSE(IF(INT(($A307-1)/5)&gt;MAX((MAX(1,INT(((CROQUIS!$C$97)-CROQUIS!$C$107)/MAX((CROQUIS!$C$141*MAX(1,CEILING((INT(((CROQUIS!$C$97)-CROQUIS!$C$107)/MAX(CROQUIS!$C$141,1))+1)/80,1))),1))+1))-1,0),0,MOD($A307-1,5))+1,CROQUIS!$C$98,CROQUIS!$C$98-CROQUIS!$C$107/2-CROQUIS!$C$144,IF(CROQUIS!$C$106=1,CROQUIS!$C$98+12,CROQUIS!$C$98-2),CROQUIS!$C$98-CROQUIS!$C$107/2-CROQUIS!$C$144,CROQUIS!$C$98)))*CROQUIS!$C$159)+IF(CROQUIS!$C$92="X",0.8,0)),-1000)</f>
        <v>-1000</v>
      </c>
      <c r="BY307">
        <f>IF(AND(CROQUIS!$C$88=1,CROQUIS!$C$91=0,CROQUIS!$C$141&gt;0,OR(CROQUIS!$C$106=1,CROQUIS!$C$146=1)),((CROQUIS!$C$161+(IF(CROQUIS!$C$92="X",CHOOSE(IF(INT(($A307-1)/5)&gt;MAX((MAX(1,INT(((CROQUIS!$C$97)-CROQUIS!$C$107)/MAX((CROQUIS!$C$141*MAX(1,CEILING((INT(((CROQUIS!$C$97)-CROQUIS!$C$107)/MAX(CROQUIS!$C$141,1))+1)/80,1))),1))+1))-1,0),0,MOD($A307-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ROQUIS!$C$159)+IF(CROQUIS!$C$92="X",0,0.8)),-1000)</f>
        <v>-1000</v>
      </c>
      <c r="BZ307">
        <f>IF(AND(CROQUIS!$C$88=1,CROQUIS!$C$91=1,CROQUIS!$C$133&gt;0),((CROQUIS!$C$160+(IF(CROQUIS!$C$92="X",CHOOSE(IF(INT(($A307-1)/5)&gt;MAX((MAX(1,INT(((CROQUIS!$C$98)-CROQUIS!$C$107)/MAX((CROQUIS!$C$133*MAX(1,CEILING((INT(((CROQUIS!$C$98)-CROQUIS!$C$107)/MAX(CROQUIS!$C$133,1))+1)/80,1))),1))+1))-1,0),0,MOD($A307-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CA307">
        <f>IF(AND(CROQUIS!$C$88=1,CROQUIS!$C$91=1,CROQUIS!$C$133&gt;0),((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8">
      <c r="A308" t="n">
        <v>301</v>
      </c>
      <c r="BN308">
        <f>IF(AND(CROQUIS!$C$88=1,CROQUIS!$C$129&gt;0),((CROQUIS!$C$160+(IF(CROQUIS!$C$92="X",CHOOSE(IF(INT(($A308-1)/5)&gt;MAX((MAX(1,INT(((CROQUIS!$C$98)-CROQUIS!$C$107)/MAX((CROQUIS!$C$129*MAX(1,CEILING((INT(((CROQUIS!$C$98)-CROQUIS!$C$107)/MAX(CROQUIS!$C$129,1))+1)/80,1))),1))+1))-1,0),0,MOD($A308-1,5))+1,0,2,CROQUIS!$C$97-2,2,0),((CROQUIS!$C$107/2+(((CROQUIS!$C$98)-CROQUIS!$C$107)-(MAX(1,INT(((CROQUIS!$C$98)-CROQUIS!$C$107)/MAX((CROQUIS!$C$129*MAX(1,CEILING((INT(((CROQUIS!$C$98)-CROQUIS!$C$107)/MAX(CROQUIS!$C$129,1))+1)/80,1))),1))+1)-1)*(CROQUIS!$C$129*MAX(1,CEILING((INT(((CROQUIS!$C$98)-CROQUIS!$C$107)/MAX(CROQUIS!$C$129,1))+1)/80,1))))/2)+MIN(INT(($A308-1)/5),MAX((MAX(1,INT(((CROQUIS!$C$98)-CROQUIS!$C$107)/MAX((CROQUIS!$C$129*MAX(1,CEILING((INT(((CROQUIS!$C$98)-CROQUIS!$C$107)/MAX(CROQUIS!$C$129,1))+1)/80,1))),1))+1))-1,0))*(CROQUIS!$C$129*MAX(1,CEILING((INT(((CROQUIS!$C$98)-CROQUIS!$C$107)/MAX(CROQUIS!$C$129,1))+1)/80,1))))))*CROQUIS!$C$159)+IF(CROQUIS!$C$92="X",0,0)),-1000)</f>
        <v>-1000</v>
      </c>
      <c r="BO308">
        <f>IF(AND(CROQUIS!$C$88=1,CROQUIS!$C$129&gt;0),((CROQUIS!$C$161+(IF(CROQUIS!$C$92="X",((CROQUIS!$C$107/2+(((CROQUIS!$C$98)-CROQUIS!$C$107)-(MAX(1,INT(((CROQUIS!$C$98)-CROQUIS!$C$107)/MAX((CROQUIS!$C$129*MAX(1,CEILING((INT(((CROQUIS!$C$98)-CROQUIS!$C$107)/MAX(CROQUIS!$C$129,1))+1)/80,1))),1))+1)-1)*(CROQUIS!$C$129*MAX(1,CEILING((INT(((CROQUIS!$C$98)-CROQUIS!$C$107)/MAX(CROQUIS!$C$129,1))+1)/80,1))))/2)+MIN(INT(($A308-1)/5),MAX((MAX(1,INT(((CROQUIS!$C$98)-CROQUIS!$C$107)/MAX((CROQUIS!$C$129*MAX(1,CEILING((INT(((CROQUIS!$C$98)-CROQUIS!$C$107)/MAX(CROQUIS!$C$129,1))+1)/80,1))),1))+1))-1,0))*(CROQUIS!$C$129*MAX(1,CEILING((INT(((CROQUIS!$C$98)-CROQUIS!$C$107)/MAX(CROQUIS!$C$129,1))+1)/80,1)))),CHOOSE(IF(INT(($A308-1)/5)&gt;MAX((MAX(1,INT(((CROQUIS!$C$98)-CROQUIS!$C$107)/MAX((CROQUIS!$C$129*MAX(1,CEILING((INT(((CROQUIS!$C$98)-CROQUIS!$C$107)/MAX(CROQUIS!$C$129,1))+1)/80,1))),1))+1))-1,0),0,MOD($A308-1,5))+1,0,2,CROQUIS!$C$97-2,2,0)))*CROQUIS!$C$159)+IF(CROQUIS!$C$92="X",0,0)),-1000)</f>
        <v>-1000</v>
      </c>
      <c r="BP308">
        <f>IF(AND(CROQUIS!$C$88=1,CROQUIS!$C$137&gt;0),((CROQUIS!$C$160+(IF(CROQUIS!$C$92="X",((CROQUIS!$C$107/2+(((CROQUIS!$C$97)-CROQUIS!$C$107)-(MAX(1,INT(((CROQUIS!$C$97)-CROQUIS!$C$107)/MAX((CROQUIS!$C$137*MAX(1,CEILING((INT(((CROQUIS!$C$97)-CROQUIS!$C$107)/MAX(CROQUIS!$C$137,1))+1)/80,1))),1))+1)-1)*(CROQUIS!$C$137*MAX(1,CEILING((INT(((CROQUIS!$C$97)-CROQUIS!$C$107)/MAX(CROQUIS!$C$137,1))+1)/80,1))))/2)+MIN(INT(($A308-1)/5),MAX((MAX(1,INT(((CROQUIS!$C$97)-CROQUIS!$C$107)/MAX((CROQUIS!$C$137*MAX(1,CEILING((INT(((CROQUIS!$C$97)-CROQUIS!$C$107)/MAX(CROQUIS!$C$137,1))+1)/80,1))),1))+1))-1,0))*(CROQUIS!$C$137*MAX(1,CEILING((INT(((CROQUIS!$C$97)-CROQUIS!$C$107)/MAX(CROQUIS!$C$137,1))+1)/80,1)))),CHOOSE(IF(INT(($A308-1)/5)&gt;MAX((MAX(1,INT(((CROQUIS!$C$97)-CROQUIS!$C$107)/MAX((CROQUIS!$C$137*MAX(1,CEILING((INT(((CROQUIS!$C$97)-CROQUIS!$C$107)/MAX(CROQUIS!$C$137,1))+1)/80,1))),1))+1))-1,0),0,MOD($A308-1,5))+1,0,2,CROQUIS!$C$98-2,2,0)))*CROQUIS!$C$159)+IF(CROQUIS!$C$92="X",0,0)),-1000)</f>
        <v>-1000</v>
      </c>
      <c r="BQ308">
        <f>IF(AND(CROQUIS!$C$88=1,CROQUIS!$C$137&gt;0),((CROQUIS!$C$161+(IF(CROQUIS!$C$92="X",CHOOSE(IF(INT(($A308-1)/5)&gt;MAX((MAX(1,INT(((CROQUIS!$C$97)-CROQUIS!$C$107)/MAX((CROQUIS!$C$137*MAX(1,CEILING((INT(((CROQUIS!$C$97)-CROQUIS!$C$107)/MAX(CROQUIS!$C$137,1))+1)/80,1))),1))+1))-1,0),0,MOD($A308-1,5))+1,0,2,CROQUIS!$C$98-2,2,0),((CROQUIS!$C$107/2+(((CROQUIS!$C$97)-CROQUIS!$C$107)-(MAX(1,INT(((CROQUIS!$C$97)-CROQUIS!$C$107)/MAX((CROQUIS!$C$137*MAX(1,CEILING((INT(((CROQUIS!$C$97)-CROQUIS!$C$107)/MAX(CROQUIS!$C$137,1))+1)/80,1))),1))+1)-1)*(CROQUIS!$C$137*MAX(1,CEILING((INT(((CROQUIS!$C$97)-CROQUIS!$C$107)/MAX(CROQUIS!$C$137,1))+1)/80,1))))/2)+MIN(INT(($A308-1)/5),MAX((MAX(1,INT(((CROQUIS!$C$97)-CROQUIS!$C$107)/MAX((CROQUIS!$C$137*MAX(1,CEILING((INT(((CROQUIS!$C$97)-CROQUIS!$C$107)/MAX(CROQUIS!$C$137,1))+1)/80,1))),1))+1))-1,0))*(CROQUIS!$C$137*MAX(1,CEILING((INT(((CROQUIS!$C$97)-CROQUIS!$C$107)/MAX(CROQUIS!$C$137,1))+1)/80,1))))))*CROQUIS!$C$159)+IF(CROQUIS!$C$92="X",0,0)),-1000)</f>
        <v>-1000</v>
      </c>
      <c r="BR308">
        <f>IF(AND(CROQUIS!$C$88=1,CROQUIS!$C$91=0,CROQUIS!$C$133&gt;0,OR(CROQUIS!$C$103=1,CROQUIS!$C$145=1)),((CROQUIS!$C$160+(IF(CROQUIS!$C$92="X",CHOOSE(IF(INT(($A308-1)/5)&gt;MAX((MAX(1,INT(((CROQUIS!$C$98)-CROQUIS!$C$107)/MAX((CROQUIS!$C$133*MAX(1,CEILING((INT(((CROQUIS!$C$98)-CROQUIS!$C$107)/MAX(CROQUIS!$C$133,1))+1)/80,1))),1))+1))-1,0),0,MOD($A308-1,5))+1,0,IF(CROQUIS!$C$103=1,-12,2),CROQUIS!$C$107/2+CROQUIS!$C$143,IF(CROQUIS!$C$103=1,-12,2),0),((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BS3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+1,0,IF(CROQUIS!$C$103=1,-12,2),CROQUIS!$C$107/2+CROQUIS!$C$143,IF(CROQUIS!$C$103=1,-12,2),0)))*CROQUIS!$C$159)+IF(CROQUIS!$C$92="X",0.8,0)),-1000)</f>
        <v>-1000</v>
      </c>
      <c r="BT308">
        <f>IF(AND(CROQUIS!$C$88=1,CROQUIS!$C$91=0,CROQUIS!$C$133&gt;0,OR(CROQUIS!$C$104=1,CROQUIS!$C$145=1)),((CROQUIS!$C$160+(IF(CROQUIS!$C$92="X",CHOOSE(IF(INT(($A308-1)/5)&gt;MAX((MAX(1,INT(((CROQUIS!$C$98)-CROQUIS!$C$107)/MAX((CROQUIS!$C$133*MAX(1,CEILING((INT(((CROQUIS!$C$98)-CROQUIS!$C$107)/MAX(CROQUIS!$C$133,1))+1)/80,1))),1))+1))-1,0),0,MOD($A308-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BU3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CROQUIS!$C$97,CROQUIS!$C$97-CROQUIS!$C$107/2-CROQUIS!$C$143,IF(CROQUIS!$C$104=1,CROQUIS!$C$97+12,CROQUIS!$C$97-2),CROQUIS!$C$97-CROQUIS!$C$107/2-CROQUIS!$C$143,CROQUIS!$C$97)))*CROQUIS!$C$159)+IF(CROQUIS!$C$92="X",0.8,0)),-1000)</f>
        <v>-1000</v>
      </c>
      <c r="BV3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HOOSE(IF(INT(($A308-1)/5)&gt;MAX((MAX(1,INT(((CROQUIS!$C$97)-CROQUIS!$C$107)/MAX((CROQUIS!$C$141*MAX(1,CEILING((INT(((CROQUIS!$C$97)-CROQUIS!$C$107)/MAX(CROQUIS!$C$141,1))+1)/80,1))),1))+1))-1,0),0,MOD($A308-1,5))+1,0,IF(CROQUIS!$C$105=1,-12,2),CROQUIS!$C$107/2+CROQUIS!$C$144,IF(CROQUIS!$C$105=1,-12,2),0)))*CROQUIS!$C$159)+IF(CROQUIS!$C$92="X",0.8,0)),-1000)</f>
        <v>-1000</v>
      </c>
      <c r="BW308">
        <f>IF(AND(CROQUIS!$C$88=1,CROQUIS!$C$91=0,CROQUIS!$C$141&gt;0,OR(CROQUIS!$C$105=1,CROQUIS!$C$146=1)),((CROQUIS!$C$161+(IF(CROQUIS!$C$92="X",CHOOSE(IF(INT(($A308-1)/5)&gt;MAX((MAX(1,INT(((CROQUIS!$C$97)-CROQUIS!$C$107)/MAX((CROQUIS!$C$141*MAX(1,CEILING((INT(((CROQUIS!$C$97)-CROQUIS!$C$107)/MAX(CROQUIS!$C$141,1))+1)/80,1))),1))+1))-1,0),0,MOD($A308-1,5))+1,0,IF(CROQUIS!$C$105=1,-12,2),CROQUIS!$C$107/2+CROQUIS!$C$144,IF(CROQUIS!$C$105=1,-12,2),0),((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ROQUIS!$C$159)+IF(CROQUIS!$C$92="X",0,0.8)),-1000)</f>
        <v>-1000</v>
      </c>
      <c r="BX3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HOOSE(IF(INT(($A308-1)/5)&gt;MAX((MAX(1,INT(((CROQUIS!$C$97)-CROQUIS!$C$107)/MAX((CROQUIS!$C$141*MAX(1,CEILING((INT(((CROQUIS!$C$97)-CROQUIS!$C$107)/MAX(CROQUIS!$C$141,1))+1)/80,1))),1))+1))-1,0),0,MOD($A308-1,5))+1,CROQUIS!$C$98,CROQUIS!$C$98-CROQUIS!$C$107/2-CROQUIS!$C$144,IF(CROQUIS!$C$106=1,CROQUIS!$C$98+12,CROQUIS!$C$98-2),CROQUIS!$C$98-CROQUIS!$C$107/2-CROQUIS!$C$144,CROQUIS!$C$98)))*CROQUIS!$C$159)+IF(CROQUIS!$C$92="X",0.8,0)),-1000)</f>
        <v>-1000</v>
      </c>
      <c r="BY308">
        <f>IF(AND(CROQUIS!$C$88=1,CROQUIS!$C$91=0,CROQUIS!$C$141&gt;0,OR(CROQUIS!$C$106=1,CROQUIS!$C$146=1)),((CROQUIS!$C$161+(IF(CROQUIS!$C$92="X",CHOOSE(IF(INT(($A308-1)/5)&gt;MAX((MAX(1,INT(((CROQUIS!$C$97)-CROQUIS!$C$107)/MAX((CROQUIS!$C$141*MAX(1,CEILING((INT(((CROQUIS!$C$97)-CROQUIS!$C$107)/MAX(CROQUIS!$C$141,1))+1)/80,1))),1))+1))-1,0),0,MOD($A308-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ROQUIS!$C$159)+IF(CROQUIS!$C$92="X",0,0.8)),-1000)</f>
        <v>-1000</v>
      </c>
      <c r="BZ308">
        <f>IF(AND(CROQUIS!$C$88=1,CROQUIS!$C$91=1,CROQUIS!$C$133&gt;0),((CROQUIS!$C$160+(IF(CROQUIS!$C$92="X",CHOOSE(IF(INT(($A308-1)/5)&gt;MAX((MAX(1,INT(((CROQUIS!$C$98)-CROQUIS!$C$107)/MAX((CROQUIS!$C$133*MAX(1,CEILING((INT(((CROQUIS!$C$98)-CROQUIS!$C$107)/MAX(CROQUIS!$C$133,1))+1)/80,1))),1))+1))-1,0),0,MOD($A308-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CA308">
        <f>IF(AND(CROQUIS!$C$88=1,CROQUIS!$C$91=1,CROQUIS!$C$133&gt;0),((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9">
      <c r="A309" t="n">
        <v>302</v>
      </c>
      <c r="BN309">
        <f>IF(AND(CROQUIS!$C$88=1,CROQUIS!$C$129&gt;0),((CROQUIS!$C$160+(IF(CROQUIS!$C$92="X",CHOOSE(IF(INT(($A309-1)/5)&gt;MAX((MAX(1,INT(((CROQUIS!$C$98)-CROQUIS!$C$107)/MAX((CROQUIS!$C$129*MAX(1,CEILING((INT(((CROQUIS!$C$98)-CROQUIS!$C$107)/MAX(CROQUIS!$C$129,1))+1)/80,1))),1))+1))-1,0),0,MOD($A309-1,5))+1,0,2,CROQUIS!$C$97-2,2,0),((CROQUIS!$C$107/2+(((CROQUIS!$C$98)-CROQUIS!$C$107)-(MAX(1,INT(((CROQUIS!$C$98)-CROQUIS!$C$107)/MAX((CROQUIS!$C$129*MAX(1,CEILING((INT(((CROQUIS!$C$98)-CROQUIS!$C$107)/MAX(CROQUIS!$C$129,1))+1)/80,1))),1))+1)-1)*(CROQUIS!$C$129*MAX(1,CEILING((INT(((CROQUIS!$C$98)-CROQUIS!$C$107)/MAX(CROQUIS!$C$129,1))+1)/80,1))))/2)+MIN(INT(($A309-1)/5),MAX((MAX(1,INT(((CROQUIS!$C$98)-CROQUIS!$C$107)/MAX((CROQUIS!$C$129*MAX(1,CEILING((INT(((CROQUIS!$C$98)-CROQUIS!$C$107)/MAX(CROQUIS!$C$129,1))+1)/80,1))),1))+1))-1,0))*(CROQUIS!$C$129*MAX(1,CEILING((INT(((CROQUIS!$C$98)-CROQUIS!$C$107)/MAX(CROQUIS!$C$129,1))+1)/80,1))))))*CROQUIS!$C$159)+IF(CROQUIS!$C$92="X",0,0)),-1000)</f>
        <v>-1000</v>
      </c>
      <c r="BO309">
        <f>IF(AND(CROQUIS!$C$88=1,CROQUIS!$C$129&gt;0),((CROQUIS!$C$161+(IF(CROQUIS!$C$92="X",((CROQUIS!$C$107/2+(((CROQUIS!$C$98)-CROQUIS!$C$107)-(MAX(1,INT(((CROQUIS!$C$98)-CROQUIS!$C$107)/MAX((CROQUIS!$C$129*MAX(1,CEILING((INT(((CROQUIS!$C$98)-CROQUIS!$C$107)/MAX(CROQUIS!$C$129,1))+1)/80,1))),1))+1)-1)*(CROQUIS!$C$129*MAX(1,CEILING((INT(((CROQUIS!$C$98)-CROQUIS!$C$107)/MAX(CROQUIS!$C$129,1))+1)/80,1))))/2)+MIN(INT(($A309-1)/5),MAX((MAX(1,INT(((CROQUIS!$C$98)-CROQUIS!$C$107)/MAX((CROQUIS!$C$129*MAX(1,CEILING((INT(((CROQUIS!$C$98)-CROQUIS!$C$107)/MAX(CROQUIS!$C$129,1))+1)/80,1))),1))+1))-1,0))*(CROQUIS!$C$129*MAX(1,CEILING((INT(((CROQUIS!$C$98)-CROQUIS!$C$107)/MAX(CROQUIS!$C$129,1))+1)/80,1)))),CHOOSE(IF(INT(($A309-1)/5)&gt;MAX((MAX(1,INT(((CROQUIS!$C$98)-CROQUIS!$C$107)/MAX((CROQUIS!$C$129*MAX(1,CEILING((INT(((CROQUIS!$C$98)-CROQUIS!$C$107)/MAX(CROQUIS!$C$129,1))+1)/80,1))),1))+1))-1,0),0,MOD($A309-1,5))+1,0,2,CROQUIS!$C$97-2,2,0)))*CROQUIS!$C$159)+IF(CROQUIS!$C$92="X",0,0)),-1000)</f>
        <v>-1000</v>
      </c>
      <c r="BP309">
        <f>IF(AND(CROQUIS!$C$88=1,CROQUIS!$C$137&gt;0),((CROQUIS!$C$160+(IF(CROQUIS!$C$92="X",((CROQUIS!$C$107/2+(((CROQUIS!$C$97)-CROQUIS!$C$107)-(MAX(1,INT(((CROQUIS!$C$97)-CROQUIS!$C$107)/MAX((CROQUIS!$C$137*MAX(1,CEILING((INT(((CROQUIS!$C$97)-CROQUIS!$C$107)/MAX(CROQUIS!$C$137,1))+1)/80,1))),1))+1)-1)*(CROQUIS!$C$137*MAX(1,CEILING((INT(((CROQUIS!$C$97)-CROQUIS!$C$107)/MAX(CROQUIS!$C$137,1))+1)/80,1))))/2)+MIN(INT(($A309-1)/5),MAX((MAX(1,INT(((CROQUIS!$C$97)-CROQUIS!$C$107)/MAX((CROQUIS!$C$137*MAX(1,CEILING((INT(((CROQUIS!$C$97)-CROQUIS!$C$107)/MAX(CROQUIS!$C$137,1))+1)/80,1))),1))+1))-1,0))*(CROQUIS!$C$137*MAX(1,CEILING((INT(((CROQUIS!$C$97)-CROQUIS!$C$107)/MAX(CROQUIS!$C$137,1))+1)/80,1)))),CHOOSE(IF(INT(($A309-1)/5)&gt;MAX((MAX(1,INT(((CROQUIS!$C$97)-CROQUIS!$C$107)/MAX((CROQUIS!$C$137*MAX(1,CEILING((INT(((CROQUIS!$C$97)-CROQUIS!$C$107)/MAX(CROQUIS!$C$137,1))+1)/80,1))),1))+1))-1,0),0,MOD($A309-1,5))+1,0,2,CROQUIS!$C$98-2,2,0)))*CROQUIS!$C$159)+IF(CROQUIS!$C$92="X",0,0)),-1000)</f>
        <v>-1000</v>
      </c>
      <c r="BQ309">
        <f>IF(AND(CROQUIS!$C$88=1,CROQUIS!$C$137&gt;0),((CROQUIS!$C$161+(IF(CROQUIS!$C$92="X",CHOOSE(IF(INT(($A309-1)/5)&gt;MAX((MAX(1,INT(((CROQUIS!$C$97)-CROQUIS!$C$107)/MAX((CROQUIS!$C$137*MAX(1,CEILING((INT(((CROQUIS!$C$97)-CROQUIS!$C$107)/MAX(CROQUIS!$C$137,1))+1)/80,1))),1))+1))-1,0),0,MOD($A309-1,5))+1,0,2,CROQUIS!$C$98-2,2,0),((CROQUIS!$C$107/2+(((CROQUIS!$C$97)-CROQUIS!$C$107)-(MAX(1,INT(((CROQUIS!$C$97)-CROQUIS!$C$107)/MAX((CROQUIS!$C$137*MAX(1,CEILING((INT(((CROQUIS!$C$97)-CROQUIS!$C$107)/MAX(CROQUIS!$C$137,1))+1)/80,1))),1))+1)-1)*(CROQUIS!$C$137*MAX(1,CEILING((INT(((CROQUIS!$C$97)-CROQUIS!$C$107)/MAX(CROQUIS!$C$137,1))+1)/80,1))))/2)+MIN(INT(($A309-1)/5),MAX((MAX(1,INT(((CROQUIS!$C$97)-CROQUIS!$C$107)/MAX((CROQUIS!$C$137*MAX(1,CEILING((INT(((CROQUIS!$C$97)-CROQUIS!$C$107)/MAX(CROQUIS!$C$137,1))+1)/80,1))),1))+1))-1,0))*(CROQUIS!$C$137*MAX(1,CEILING((INT(((CROQUIS!$C$97)-CROQUIS!$C$107)/MAX(CROQUIS!$C$137,1))+1)/80,1))))))*CROQUIS!$C$159)+IF(CROQUIS!$C$92="X",0,0)),-1000)</f>
        <v>-1000</v>
      </c>
      <c r="BR309">
        <f>IF(AND(CROQUIS!$C$88=1,CROQUIS!$C$91=0,CROQUIS!$C$133&gt;0,OR(CROQUIS!$C$103=1,CROQUIS!$C$145=1)),((CROQUIS!$C$160+(IF(CROQUIS!$C$92="X",CHOOSE(IF(INT(($A309-1)/5)&gt;MAX((MAX(1,INT(((CROQUIS!$C$98)-CROQUIS!$C$107)/MAX((CROQUIS!$C$133*MAX(1,CEILING((INT(((CROQUIS!$C$98)-CROQUIS!$C$107)/MAX(CROQUIS!$C$133,1))+1)/80,1))),1))+1))-1,0),0,MOD($A309-1,5))+1,0,IF(CROQUIS!$C$103=1,-12,2),CROQUIS!$C$107/2+CROQUIS!$C$143,IF(CROQUIS!$C$103=1,-12,2),0),((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BS3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+1,0,IF(CROQUIS!$C$103=1,-12,2),CROQUIS!$C$107/2+CROQUIS!$C$143,IF(CROQUIS!$C$103=1,-12,2),0)))*CROQUIS!$C$159)+IF(CROQUIS!$C$92="X",0.8,0)),-1000)</f>
        <v>-1000</v>
      </c>
      <c r="BT309">
        <f>IF(AND(CROQUIS!$C$88=1,CROQUIS!$C$91=0,CROQUIS!$C$133&gt;0,OR(CROQUIS!$C$104=1,CROQUIS!$C$145=1)),((CROQUIS!$C$160+(IF(CROQUIS!$C$92="X",CHOOSE(IF(INT(($A309-1)/5)&gt;MAX((MAX(1,INT(((CROQUIS!$C$98)-CROQUIS!$C$107)/MAX((CROQUIS!$C$133*MAX(1,CEILING((INT(((CROQUIS!$C$98)-CROQUIS!$C$107)/MAX(CROQUIS!$C$133,1))+1)/80,1))),1))+1))-1,0),0,MOD($A309-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BU3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CROQUIS!$C$97,CROQUIS!$C$97-CROQUIS!$C$107/2-CROQUIS!$C$143,IF(CROQUIS!$C$104=1,CROQUIS!$C$97+12,CROQUIS!$C$97-2),CROQUIS!$C$97-CROQUIS!$C$107/2-CROQUIS!$C$143,CROQUIS!$C$97)))*CROQUIS!$C$159)+IF(CROQUIS!$C$92="X",0.8,0)),-1000)</f>
        <v>-1000</v>
      </c>
      <c r="BV3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HOOSE(IF(INT(($A309-1)/5)&gt;MAX((MAX(1,INT(((CROQUIS!$C$97)-CROQUIS!$C$107)/MAX((CROQUIS!$C$141*MAX(1,CEILING((INT(((CROQUIS!$C$97)-CROQUIS!$C$107)/MAX(CROQUIS!$C$141,1))+1)/80,1))),1))+1))-1,0),0,MOD($A309-1,5))+1,0,IF(CROQUIS!$C$105=1,-12,2),CROQUIS!$C$107/2+CROQUIS!$C$144,IF(CROQUIS!$C$105=1,-12,2),0)))*CROQUIS!$C$159)+IF(CROQUIS!$C$92="X",0.8,0)),-1000)</f>
        <v>-1000</v>
      </c>
      <c r="BW309">
        <f>IF(AND(CROQUIS!$C$88=1,CROQUIS!$C$91=0,CROQUIS!$C$141&gt;0,OR(CROQUIS!$C$105=1,CROQUIS!$C$146=1)),((CROQUIS!$C$161+(IF(CROQUIS!$C$92="X",CHOOSE(IF(INT(($A309-1)/5)&gt;MAX((MAX(1,INT(((CROQUIS!$C$97)-CROQUIS!$C$107)/MAX((CROQUIS!$C$141*MAX(1,CEILING((INT(((CROQUIS!$C$97)-CROQUIS!$C$107)/MAX(CROQUIS!$C$141,1))+1)/80,1))),1))+1))-1,0),0,MOD($A309-1,5))+1,0,IF(CROQUIS!$C$105=1,-12,2),CROQUIS!$C$107/2+CROQUIS!$C$144,IF(CROQUIS!$C$105=1,-12,2),0),((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ROQUIS!$C$159)+IF(CROQUIS!$C$92="X",0,0.8)),-1000)</f>
        <v>-1000</v>
      </c>
      <c r="BX3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HOOSE(IF(INT(($A309-1)/5)&gt;MAX((MAX(1,INT(((CROQUIS!$C$97)-CROQUIS!$C$107)/MAX((CROQUIS!$C$141*MAX(1,CEILING((INT(((CROQUIS!$C$97)-CROQUIS!$C$107)/MAX(CROQUIS!$C$141,1))+1)/80,1))),1))+1))-1,0),0,MOD($A309-1,5))+1,CROQUIS!$C$98,CROQUIS!$C$98-CROQUIS!$C$107/2-CROQUIS!$C$144,IF(CROQUIS!$C$106=1,CROQUIS!$C$98+12,CROQUIS!$C$98-2),CROQUIS!$C$98-CROQUIS!$C$107/2-CROQUIS!$C$144,CROQUIS!$C$98)))*CROQUIS!$C$159)+IF(CROQUIS!$C$92="X",0.8,0)),-1000)</f>
        <v>-1000</v>
      </c>
      <c r="BY309">
        <f>IF(AND(CROQUIS!$C$88=1,CROQUIS!$C$91=0,CROQUIS!$C$141&gt;0,OR(CROQUIS!$C$106=1,CROQUIS!$C$146=1)),((CROQUIS!$C$161+(IF(CROQUIS!$C$92="X",CHOOSE(IF(INT(($A309-1)/5)&gt;MAX((MAX(1,INT(((CROQUIS!$C$97)-CROQUIS!$C$107)/MAX((CROQUIS!$C$141*MAX(1,CEILING((INT(((CROQUIS!$C$97)-CROQUIS!$C$107)/MAX(CROQUIS!$C$141,1))+1)/80,1))),1))+1))-1,0),0,MOD($A309-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ROQUIS!$C$159)+IF(CROQUIS!$C$92="X",0,0.8)),-1000)</f>
        <v>-1000</v>
      </c>
      <c r="BZ309">
        <f>IF(AND(CROQUIS!$C$88=1,CROQUIS!$C$91=1,CROQUIS!$C$133&gt;0),((CROQUIS!$C$160+(IF(CROQUIS!$C$92="X",CHOOSE(IF(INT(($A309-1)/5)&gt;MAX((MAX(1,INT(((CROQUIS!$C$98)-CROQUIS!$C$107)/MAX((CROQUIS!$C$133*MAX(1,CEILING((INT(((CROQUIS!$C$98)-CROQUIS!$C$107)/MAX(CROQUIS!$C$133,1))+1)/80,1))),1))+1))-1,0),0,MOD($A309-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CA309">
        <f>IF(AND(CROQUIS!$C$88=1,CROQUIS!$C$91=1,CROQUIS!$C$133&gt;0),((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0">
      <c r="A310" t="n">
        <v>303</v>
      </c>
      <c r="BN310">
        <f>IF(AND(CROQUIS!$C$88=1,CROQUIS!$C$129&gt;0),((CROQUIS!$C$160+(IF(CROQUIS!$C$92="X",CHOOSE(IF(INT(($A310-1)/5)&gt;MAX((MAX(1,INT(((CROQUIS!$C$98)-CROQUIS!$C$107)/MAX((CROQUIS!$C$129*MAX(1,CEILING((INT(((CROQUIS!$C$98)-CROQUIS!$C$107)/MAX(CROQUIS!$C$129,1))+1)/80,1))),1))+1))-1,0),0,MOD($A310-1,5))+1,0,2,CROQUIS!$C$97-2,2,0),((CROQUIS!$C$107/2+(((CROQUIS!$C$98)-CROQUIS!$C$107)-(MAX(1,INT(((CROQUIS!$C$98)-CROQUIS!$C$107)/MAX((CROQUIS!$C$129*MAX(1,CEILING((INT(((CROQUIS!$C$98)-CROQUIS!$C$107)/MAX(CROQUIS!$C$129,1))+1)/80,1))),1))+1)-1)*(CROQUIS!$C$129*MAX(1,CEILING((INT(((CROQUIS!$C$98)-CROQUIS!$C$107)/MAX(CROQUIS!$C$129,1))+1)/80,1))))/2)+MIN(INT(($A310-1)/5),MAX((MAX(1,INT(((CROQUIS!$C$98)-CROQUIS!$C$107)/MAX((CROQUIS!$C$129*MAX(1,CEILING((INT(((CROQUIS!$C$98)-CROQUIS!$C$107)/MAX(CROQUIS!$C$129,1))+1)/80,1))),1))+1))-1,0))*(CROQUIS!$C$129*MAX(1,CEILING((INT(((CROQUIS!$C$98)-CROQUIS!$C$107)/MAX(CROQUIS!$C$129,1))+1)/80,1))))))*CROQUIS!$C$159)+IF(CROQUIS!$C$92="X",0,0)),-1000)</f>
        <v>-1000</v>
      </c>
      <c r="BO310">
        <f>IF(AND(CROQUIS!$C$88=1,CROQUIS!$C$129&gt;0),((CROQUIS!$C$161+(IF(CROQUIS!$C$92="X",((CROQUIS!$C$107/2+(((CROQUIS!$C$98)-CROQUIS!$C$107)-(MAX(1,INT(((CROQUIS!$C$98)-CROQUIS!$C$107)/MAX((CROQUIS!$C$129*MAX(1,CEILING((INT(((CROQUIS!$C$98)-CROQUIS!$C$107)/MAX(CROQUIS!$C$129,1))+1)/80,1))),1))+1)-1)*(CROQUIS!$C$129*MAX(1,CEILING((INT(((CROQUIS!$C$98)-CROQUIS!$C$107)/MAX(CROQUIS!$C$129,1))+1)/80,1))))/2)+MIN(INT(($A310-1)/5),MAX((MAX(1,INT(((CROQUIS!$C$98)-CROQUIS!$C$107)/MAX((CROQUIS!$C$129*MAX(1,CEILING((INT(((CROQUIS!$C$98)-CROQUIS!$C$107)/MAX(CROQUIS!$C$129,1))+1)/80,1))),1))+1))-1,0))*(CROQUIS!$C$129*MAX(1,CEILING((INT(((CROQUIS!$C$98)-CROQUIS!$C$107)/MAX(CROQUIS!$C$129,1))+1)/80,1)))),CHOOSE(IF(INT(($A310-1)/5)&gt;MAX((MAX(1,INT(((CROQUIS!$C$98)-CROQUIS!$C$107)/MAX((CROQUIS!$C$129*MAX(1,CEILING((INT(((CROQUIS!$C$98)-CROQUIS!$C$107)/MAX(CROQUIS!$C$129,1))+1)/80,1))),1))+1))-1,0),0,MOD($A310-1,5))+1,0,2,CROQUIS!$C$97-2,2,0)))*CROQUIS!$C$159)+IF(CROQUIS!$C$92="X",0,0)),-1000)</f>
        <v>-1000</v>
      </c>
      <c r="BP310">
        <f>IF(AND(CROQUIS!$C$88=1,CROQUIS!$C$137&gt;0),((CROQUIS!$C$160+(IF(CROQUIS!$C$92="X",((CROQUIS!$C$107/2+(((CROQUIS!$C$97)-CROQUIS!$C$107)-(MAX(1,INT(((CROQUIS!$C$97)-CROQUIS!$C$107)/MAX((CROQUIS!$C$137*MAX(1,CEILING((INT(((CROQUIS!$C$97)-CROQUIS!$C$107)/MAX(CROQUIS!$C$137,1))+1)/80,1))),1))+1)-1)*(CROQUIS!$C$137*MAX(1,CEILING((INT(((CROQUIS!$C$97)-CROQUIS!$C$107)/MAX(CROQUIS!$C$137,1))+1)/80,1))))/2)+MIN(INT(($A310-1)/5),MAX((MAX(1,INT(((CROQUIS!$C$97)-CROQUIS!$C$107)/MAX((CROQUIS!$C$137*MAX(1,CEILING((INT(((CROQUIS!$C$97)-CROQUIS!$C$107)/MAX(CROQUIS!$C$137,1))+1)/80,1))),1))+1))-1,0))*(CROQUIS!$C$137*MAX(1,CEILING((INT(((CROQUIS!$C$97)-CROQUIS!$C$107)/MAX(CROQUIS!$C$137,1))+1)/80,1)))),CHOOSE(IF(INT(($A310-1)/5)&gt;MAX((MAX(1,INT(((CROQUIS!$C$97)-CROQUIS!$C$107)/MAX((CROQUIS!$C$137*MAX(1,CEILING((INT(((CROQUIS!$C$97)-CROQUIS!$C$107)/MAX(CROQUIS!$C$137,1))+1)/80,1))),1))+1))-1,0),0,MOD($A310-1,5))+1,0,2,CROQUIS!$C$98-2,2,0)))*CROQUIS!$C$159)+IF(CROQUIS!$C$92="X",0,0)),-1000)</f>
        <v>-1000</v>
      </c>
      <c r="BQ310">
        <f>IF(AND(CROQUIS!$C$88=1,CROQUIS!$C$137&gt;0),((CROQUIS!$C$161+(IF(CROQUIS!$C$92="X",CHOOSE(IF(INT(($A310-1)/5)&gt;MAX((MAX(1,INT(((CROQUIS!$C$97)-CROQUIS!$C$107)/MAX((CROQUIS!$C$137*MAX(1,CEILING((INT(((CROQUIS!$C$97)-CROQUIS!$C$107)/MAX(CROQUIS!$C$137,1))+1)/80,1))),1))+1))-1,0),0,MOD($A310-1,5))+1,0,2,CROQUIS!$C$98-2,2,0),((CROQUIS!$C$107/2+(((CROQUIS!$C$97)-CROQUIS!$C$107)-(MAX(1,INT(((CROQUIS!$C$97)-CROQUIS!$C$107)/MAX((CROQUIS!$C$137*MAX(1,CEILING((INT(((CROQUIS!$C$97)-CROQUIS!$C$107)/MAX(CROQUIS!$C$137,1))+1)/80,1))),1))+1)-1)*(CROQUIS!$C$137*MAX(1,CEILING((INT(((CROQUIS!$C$97)-CROQUIS!$C$107)/MAX(CROQUIS!$C$137,1))+1)/80,1))))/2)+MIN(INT(($A310-1)/5),MAX((MAX(1,INT(((CROQUIS!$C$97)-CROQUIS!$C$107)/MAX((CROQUIS!$C$137*MAX(1,CEILING((INT(((CROQUIS!$C$97)-CROQUIS!$C$107)/MAX(CROQUIS!$C$137,1))+1)/80,1))),1))+1))-1,0))*(CROQUIS!$C$137*MAX(1,CEILING((INT(((CROQUIS!$C$97)-CROQUIS!$C$107)/MAX(CROQUIS!$C$137,1))+1)/80,1))))))*CROQUIS!$C$159)+IF(CROQUIS!$C$92="X",0,0)),-1000)</f>
        <v>-1000</v>
      </c>
      <c r="BR310">
        <f>IF(AND(CROQUIS!$C$88=1,CROQUIS!$C$91=0,CROQUIS!$C$133&gt;0,OR(CROQUIS!$C$103=1,CROQUIS!$C$145=1)),((CROQUIS!$C$160+(IF(CROQUIS!$C$92="X",CHOOSE(IF(INT(($A310-1)/5)&gt;MAX((MAX(1,INT(((CROQUIS!$C$98)-CROQUIS!$C$107)/MAX((CROQUIS!$C$133*MAX(1,CEILING((INT(((CROQUIS!$C$98)-CROQUIS!$C$107)/MAX(CROQUIS!$C$133,1))+1)/80,1))),1))+1))-1,0),0,MOD($A310-1,5))+1,0,IF(CROQUIS!$C$103=1,-12,2),CROQUIS!$C$107/2+CROQUIS!$C$143,IF(CROQUIS!$C$103=1,-12,2),0),((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BS3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+1,0,IF(CROQUIS!$C$103=1,-12,2),CROQUIS!$C$107/2+CROQUIS!$C$143,IF(CROQUIS!$C$103=1,-12,2),0)))*CROQUIS!$C$159)+IF(CROQUIS!$C$92="X",0.8,0)),-1000)</f>
        <v>-1000</v>
      </c>
      <c r="BT310">
        <f>IF(AND(CROQUIS!$C$88=1,CROQUIS!$C$91=0,CROQUIS!$C$133&gt;0,OR(CROQUIS!$C$104=1,CROQUIS!$C$145=1)),((CROQUIS!$C$160+(IF(CROQUIS!$C$92="X",CHOOSE(IF(INT(($A310-1)/5)&gt;MAX((MAX(1,INT(((CROQUIS!$C$98)-CROQUIS!$C$107)/MAX((CROQUIS!$C$133*MAX(1,CEILING((INT(((CROQUIS!$C$98)-CROQUIS!$C$107)/MAX(CROQUIS!$C$133,1))+1)/80,1))),1))+1))-1,0),0,MOD($A310-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BU3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CROQUIS!$C$97,CROQUIS!$C$97-CROQUIS!$C$107/2-CROQUIS!$C$143,IF(CROQUIS!$C$104=1,CROQUIS!$C$97+12,CROQUIS!$C$97-2),CROQUIS!$C$97-CROQUIS!$C$107/2-CROQUIS!$C$143,CROQUIS!$C$97)))*CROQUIS!$C$159)+IF(CROQUIS!$C$92="X",0.8,0)),-1000)</f>
        <v>-1000</v>
      </c>
      <c r="BV3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HOOSE(IF(INT(($A310-1)/5)&gt;MAX((MAX(1,INT(((CROQUIS!$C$97)-CROQUIS!$C$107)/MAX((CROQUIS!$C$141*MAX(1,CEILING((INT(((CROQUIS!$C$97)-CROQUIS!$C$107)/MAX(CROQUIS!$C$141,1))+1)/80,1))),1))+1))-1,0),0,MOD($A310-1,5))+1,0,IF(CROQUIS!$C$105=1,-12,2),CROQUIS!$C$107/2+CROQUIS!$C$144,IF(CROQUIS!$C$105=1,-12,2),0)))*CROQUIS!$C$159)+IF(CROQUIS!$C$92="X",0.8,0)),-1000)</f>
        <v>-1000</v>
      </c>
      <c r="BW310">
        <f>IF(AND(CROQUIS!$C$88=1,CROQUIS!$C$91=0,CROQUIS!$C$141&gt;0,OR(CROQUIS!$C$105=1,CROQUIS!$C$146=1)),((CROQUIS!$C$161+(IF(CROQUIS!$C$92="X",CHOOSE(IF(INT(($A310-1)/5)&gt;MAX((MAX(1,INT(((CROQUIS!$C$97)-CROQUIS!$C$107)/MAX((CROQUIS!$C$141*MAX(1,CEILING((INT(((CROQUIS!$C$97)-CROQUIS!$C$107)/MAX(CROQUIS!$C$141,1))+1)/80,1))),1))+1))-1,0),0,MOD($A310-1,5))+1,0,IF(CROQUIS!$C$105=1,-12,2),CROQUIS!$C$107/2+CROQUIS!$C$144,IF(CROQUIS!$C$105=1,-12,2),0),((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ROQUIS!$C$159)+IF(CROQUIS!$C$92="X",0,0.8)),-1000)</f>
        <v>-1000</v>
      </c>
      <c r="BX3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HOOSE(IF(INT(($A310-1)/5)&gt;MAX((MAX(1,INT(((CROQUIS!$C$97)-CROQUIS!$C$107)/MAX((CROQUIS!$C$141*MAX(1,CEILING((INT(((CROQUIS!$C$97)-CROQUIS!$C$107)/MAX(CROQUIS!$C$141,1))+1)/80,1))),1))+1))-1,0),0,MOD($A310-1,5))+1,CROQUIS!$C$98,CROQUIS!$C$98-CROQUIS!$C$107/2-CROQUIS!$C$144,IF(CROQUIS!$C$106=1,CROQUIS!$C$98+12,CROQUIS!$C$98-2),CROQUIS!$C$98-CROQUIS!$C$107/2-CROQUIS!$C$144,CROQUIS!$C$98)))*CROQUIS!$C$159)+IF(CROQUIS!$C$92="X",0.8,0)),-1000)</f>
        <v>-1000</v>
      </c>
      <c r="BY310">
        <f>IF(AND(CROQUIS!$C$88=1,CROQUIS!$C$91=0,CROQUIS!$C$141&gt;0,OR(CROQUIS!$C$106=1,CROQUIS!$C$146=1)),((CROQUIS!$C$161+(IF(CROQUIS!$C$92="X",CHOOSE(IF(INT(($A310-1)/5)&gt;MAX((MAX(1,INT(((CROQUIS!$C$97)-CROQUIS!$C$107)/MAX((CROQUIS!$C$141*MAX(1,CEILING((INT(((CROQUIS!$C$97)-CROQUIS!$C$107)/MAX(CROQUIS!$C$141,1))+1)/80,1))),1))+1))-1,0),0,MOD($A310-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ROQUIS!$C$159)+IF(CROQUIS!$C$92="X",0,0.8)),-1000)</f>
        <v>-1000</v>
      </c>
      <c r="BZ310">
        <f>IF(AND(CROQUIS!$C$88=1,CROQUIS!$C$91=1,CROQUIS!$C$133&gt;0),((CROQUIS!$C$160+(IF(CROQUIS!$C$92="X",CHOOSE(IF(INT(($A310-1)/5)&gt;MAX((MAX(1,INT(((CROQUIS!$C$98)-CROQUIS!$C$107)/MAX((CROQUIS!$C$133*MAX(1,CEILING((INT(((CROQUIS!$C$98)-CROQUIS!$C$107)/MAX(CROQUIS!$C$133,1))+1)/80,1))),1))+1))-1,0),0,MOD($A310-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CA310">
        <f>IF(AND(CROQUIS!$C$88=1,CROQUIS!$C$91=1,CROQUIS!$C$133&gt;0),((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1">
      <c r="A311" t="n">
        <v>304</v>
      </c>
      <c r="BN311">
        <f>IF(AND(CROQUIS!$C$88=1,CROQUIS!$C$129&gt;0),((CROQUIS!$C$160+(IF(CROQUIS!$C$92="X",CHOOSE(IF(INT(($A311-1)/5)&gt;MAX((MAX(1,INT(((CROQUIS!$C$98)-CROQUIS!$C$107)/MAX((CROQUIS!$C$129*MAX(1,CEILING((INT(((CROQUIS!$C$98)-CROQUIS!$C$107)/MAX(CROQUIS!$C$129,1))+1)/80,1))),1))+1))-1,0),0,MOD($A311-1,5))+1,0,2,CROQUIS!$C$97-2,2,0),((CROQUIS!$C$107/2+(((CROQUIS!$C$98)-CROQUIS!$C$107)-(MAX(1,INT(((CROQUIS!$C$98)-CROQUIS!$C$107)/MAX((CROQUIS!$C$129*MAX(1,CEILING((INT(((CROQUIS!$C$98)-CROQUIS!$C$107)/MAX(CROQUIS!$C$129,1))+1)/80,1))),1))+1)-1)*(CROQUIS!$C$129*MAX(1,CEILING((INT(((CROQUIS!$C$98)-CROQUIS!$C$107)/MAX(CROQUIS!$C$129,1))+1)/80,1))))/2)+MIN(INT(($A311-1)/5),MAX((MAX(1,INT(((CROQUIS!$C$98)-CROQUIS!$C$107)/MAX((CROQUIS!$C$129*MAX(1,CEILING((INT(((CROQUIS!$C$98)-CROQUIS!$C$107)/MAX(CROQUIS!$C$129,1))+1)/80,1))),1))+1))-1,0))*(CROQUIS!$C$129*MAX(1,CEILING((INT(((CROQUIS!$C$98)-CROQUIS!$C$107)/MAX(CROQUIS!$C$129,1))+1)/80,1))))))*CROQUIS!$C$159)+IF(CROQUIS!$C$92="X",0,0)),-1000)</f>
        <v>-1000</v>
      </c>
      <c r="BO311">
        <f>IF(AND(CROQUIS!$C$88=1,CROQUIS!$C$129&gt;0),((CROQUIS!$C$161+(IF(CROQUIS!$C$92="X",((CROQUIS!$C$107/2+(((CROQUIS!$C$98)-CROQUIS!$C$107)-(MAX(1,INT(((CROQUIS!$C$98)-CROQUIS!$C$107)/MAX((CROQUIS!$C$129*MAX(1,CEILING((INT(((CROQUIS!$C$98)-CROQUIS!$C$107)/MAX(CROQUIS!$C$129,1))+1)/80,1))),1))+1)-1)*(CROQUIS!$C$129*MAX(1,CEILING((INT(((CROQUIS!$C$98)-CROQUIS!$C$107)/MAX(CROQUIS!$C$129,1))+1)/80,1))))/2)+MIN(INT(($A311-1)/5),MAX((MAX(1,INT(((CROQUIS!$C$98)-CROQUIS!$C$107)/MAX((CROQUIS!$C$129*MAX(1,CEILING((INT(((CROQUIS!$C$98)-CROQUIS!$C$107)/MAX(CROQUIS!$C$129,1))+1)/80,1))),1))+1))-1,0))*(CROQUIS!$C$129*MAX(1,CEILING((INT(((CROQUIS!$C$98)-CROQUIS!$C$107)/MAX(CROQUIS!$C$129,1))+1)/80,1)))),CHOOSE(IF(INT(($A311-1)/5)&gt;MAX((MAX(1,INT(((CROQUIS!$C$98)-CROQUIS!$C$107)/MAX((CROQUIS!$C$129*MAX(1,CEILING((INT(((CROQUIS!$C$98)-CROQUIS!$C$107)/MAX(CROQUIS!$C$129,1))+1)/80,1))),1))+1))-1,0),0,MOD($A311-1,5))+1,0,2,CROQUIS!$C$97-2,2,0)))*CROQUIS!$C$159)+IF(CROQUIS!$C$92="X",0,0)),-1000)</f>
        <v>-1000</v>
      </c>
      <c r="BP311">
        <f>IF(AND(CROQUIS!$C$88=1,CROQUIS!$C$137&gt;0),((CROQUIS!$C$160+(IF(CROQUIS!$C$92="X",((CROQUIS!$C$107/2+(((CROQUIS!$C$97)-CROQUIS!$C$107)-(MAX(1,INT(((CROQUIS!$C$97)-CROQUIS!$C$107)/MAX((CROQUIS!$C$137*MAX(1,CEILING((INT(((CROQUIS!$C$97)-CROQUIS!$C$107)/MAX(CROQUIS!$C$137,1))+1)/80,1))),1))+1)-1)*(CROQUIS!$C$137*MAX(1,CEILING((INT(((CROQUIS!$C$97)-CROQUIS!$C$107)/MAX(CROQUIS!$C$137,1))+1)/80,1))))/2)+MIN(INT(($A311-1)/5),MAX((MAX(1,INT(((CROQUIS!$C$97)-CROQUIS!$C$107)/MAX((CROQUIS!$C$137*MAX(1,CEILING((INT(((CROQUIS!$C$97)-CROQUIS!$C$107)/MAX(CROQUIS!$C$137,1))+1)/80,1))),1))+1))-1,0))*(CROQUIS!$C$137*MAX(1,CEILING((INT(((CROQUIS!$C$97)-CROQUIS!$C$107)/MAX(CROQUIS!$C$137,1))+1)/80,1)))),CHOOSE(IF(INT(($A311-1)/5)&gt;MAX((MAX(1,INT(((CROQUIS!$C$97)-CROQUIS!$C$107)/MAX((CROQUIS!$C$137*MAX(1,CEILING((INT(((CROQUIS!$C$97)-CROQUIS!$C$107)/MAX(CROQUIS!$C$137,1))+1)/80,1))),1))+1))-1,0),0,MOD($A311-1,5))+1,0,2,CROQUIS!$C$98-2,2,0)))*CROQUIS!$C$159)+IF(CROQUIS!$C$92="X",0,0)),-1000)</f>
        <v>-1000</v>
      </c>
      <c r="BQ311">
        <f>IF(AND(CROQUIS!$C$88=1,CROQUIS!$C$137&gt;0),((CROQUIS!$C$161+(IF(CROQUIS!$C$92="X",CHOOSE(IF(INT(($A311-1)/5)&gt;MAX((MAX(1,INT(((CROQUIS!$C$97)-CROQUIS!$C$107)/MAX((CROQUIS!$C$137*MAX(1,CEILING((INT(((CROQUIS!$C$97)-CROQUIS!$C$107)/MAX(CROQUIS!$C$137,1))+1)/80,1))),1))+1))-1,0),0,MOD($A311-1,5))+1,0,2,CROQUIS!$C$98-2,2,0),((CROQUIS!$C$107/2+(((CROQUIS!$C$97)-CROQUIS!$C$107)-(MAX(1,INT(((CROQUIS!$C$97)-CROQUIS!$C$107)/MAX((CROQUIS!$C$137*MAX(1,CEILING((INT(((CROQUIS!$C$97)-CROQUIS!$C$107)/MAX(CROQUIS!$C$137,1))+1)/80,1))),1))+1)-1)*(CROQUIS!$C$137*MAX(1,CEILING((INT(((CROQUIS!$C$97)-CROQUIS!$C$107)/MAX(CROQUIS!$C$137,1))+1)/80,1))))/2)+MIN(INT(($A311-1)/5),MAX((MAX(1,INT(((CROQUIS!$C$97)-CROQUIS!$C$107)/MAX((CROQUIS!$C$137*MAX(1,CEILING((INT(((CROQUIS!$C$97)-CROQUIS!$C$107)/MAX(CROQUIS!$C$137,1))+1)/80,1))),1))+1))-1,0))*(CROQUIS!$C$137*MAX(1,CEILING((INT(((CROQUIS!$C$97)-CROQUIS!$C$107)/MAX(CROQUIS!$C$137,1))+1)/80,1))))))*CROQUIS!$C$159)+IF(CROQUIS!$C$92="X",0,0)),-1000)</f>
        <v>-1000</v>
      </c>
      <c r="BR311">
        <f>IF(AND(CROQUIS!$C$88=1,CROQUIS!$C$91=0,CROQUIS!$C$133&gt;0,OR(CROQUIS!$C$103=1,CROQUIS!$C$145=1)),((CROQUIS!$C$160+(IF(CROQUIS!$C$92="X",CHOOSE(IF(INT(($A311-1)/5)&gt;MAX((MAX(1,INT(((CROQUIS!$C$98)-CROQUIS!$C$107)/MAX((CROQUIS!$C$133*MAX(1,CEILING((INT(((CROQUIS!$C$98)-CROQUIS!$C$107)/MAX(CROQUIS!$C$133,1))+1)/80,1))),1))+1))-1,0),0,MOD($A311-1,5))+1,0,IF(CROQUIS!$C$103=1,-12,2),CROQUIS!$C$107/2+CROQUIS!$C$143,IF(CROQUIS!$C$103=1,-12,2),0),((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BS3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+1,0,IF(CROQUIS!$C$103=1,-12,2),CROQUIS!$C$107/2+CROQUIS!$C$143,IF(CROQUIS!$C$103=1,-12,2),0)))*CROQUIS!$C$159)+IF(CROQUIS!$C$92="X",0.8,0)),-1000)</f>
        <v>-1000</v>
      </c>
      <c r="BT311">
        <f>IF(AND(CROQUIS!$C$88=1,CROQUIS!$C$91=0,CROQUIS!$C$133&gt;0,OR(CROQUIS!$C$104=1,CROQUIS!$C$145=1)),((CROQUIS!$C$160+(IF(CROQUIS!$C$92="X",CHOOSE(IF(INT(($A311-1)/5)&gt;MAX((MAX(1,INT(((CROQUIS!$C$98)-CROQUIS!$C$107)/MAX((CROQUIS!$C$133*MAX(1,CEILING((INT(((CROQUIS!$C$98)-CROQUIS!$C$107)/MAX(CROQUIS!$C$133,1))+1)/80,1))),1))+1))-1,0),0,MOD($A311-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BU3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CROQUIS!$C$97,CROQUIS!$C$97-CROQUIS!$C$107/2-CROQUIS!$C$143,IF(CROQUIS!$C$104=1,CROQUIS!$C$97+12,CROQUIS!$C$97-2),CROQUIS!$C$97-CROQUIS!$C$107/2-CROQUIS!$C$143,CROQUIS!$C$97)))*CROQUIS!$C$159)+IF(CROQUIS!$C$92="X",0.8,0)),-1000)</f>
        <v>-1000</v>
      </c>
      <c r="BV3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HOOSE(IF(INT(($A311-1)/5)&gt;MAX((MAX(1,INT(((CROQUIS!$C$97)-CROQUIS!$C$107)/MAX((CROQUIS!$C$141*MAX(1,CEILING((INT(((CROQUIS!$C$97)-CROQUIS!$C$107)/MAX(CROQUIS!$C$141,1))+1)/80,1))),1))+1))-1,0),0,MOD($A311-1,5))+1,0,IF(CROQUIS!$C$105=1,-12,2),CROQUIS!$C$107/2+CROQUIS!$C$144,IF(CROQUIS!$C$105=1,-12,2),0)))*CROQUIS!$C$159)+IF(CROQUIS!$C$92="X",0.8,0)),-1000)</f>
        <v>-1000</v>
      </c>
      <c r="BW311">
        <f>IF(AND(CROQUIS!$C$88=1,CROQUIS!$C$91=0,CROQUIS!$C$141&gt;0,OR(CROQUIS!$C$105=1,CROQUIS!$C$146=1)),((CROQUIS!$C$161+(IF(CROQUIS!$C$92="X",CHOOSE(IF(INT(($A311-1)/5)&gt;MAX((MAX(1,INT(((CROQUIS!$C$97)-CROQUIS!$C$107)/MAX((CROQUIS!$C$141*MAX(1,CEILING((INT(((CROQUIS!$C$97)-CROQUIS!$C$107)/MAX(CROQUIS!$C$141,1))+1)/80,1))),1))+1))-1,0),0,MOD($A311-1,5))+1,0,IF(CROQUIS!$C$105=1,-12,2),CROQUIS!$C$107/2+CROQUIS!$C$144,IF(CROQUIS!$C$105=1,-12,2),0),((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ROQUIS!$C$159)+IF(CROQUIS!$C$92="X",0,0.8)),-1000)</f>
        <v>-1000</v>
      </c>
      <c r="BX3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HOOSE(IF(INT(($A311-1)/5)&gt;MAX((MAX(1,INT(((CROQUIS!$C$97)-CROQUIS!$C$107)/MAX((CROQUIS!$C$141*MAX(1,CEILING((INT(((CROQUIS!$C$97)-CROQUIS!$C$107)/MAX(CROQUIS!$C$141,1))+1)/80,1))),1))+1))-1,0),0,MOD($A311-1,5))+1,CROQUIS!$C$98,CROQUIS!$C$98-CROQUIS!$C$107/2-CROQUIS!$C$144,IF(CROQUIS!$C$106=1,CROQUIS!$C$98+12,CROQUIS!$C$98-2),CROQUIS!$C$98-CROQUIS!$C$107/2-CROQUIS!$C$144,CROQUIS!$C$98)))*CROQUIS!$C$159)+IF(CROQUIS!$C$92="X",0.8,0)),-1000)</f>
        <v>-1000</v>
      </c>
      <c r="BY311">
        <f>IF(AND(CROQUIS!$C$88=1,CROQUIS!$C$91=0,CROQUIS!$C$141&gt;0,OR(CROQUIS!$C$106=1,CROQUIS!$C$146=1)),((CROQUIS!$C$161+(IF(CROQUIS!$C$92="X",CHOOSE(IF(INT(($A311-1)/5)&gt;MAX((MAX(1,INT(((CROQUIS!$C$97)-CROQUIS!$C$107)/MAX((CROQUIS!$C$141*MAX(1,CEILING((INT(((CROQUIS!$C$97)-CROQUIS!$C$107)/MAX(CROQUIS!$C$141,1))+1)/80,1))),1))+1))-1,0),0,MOD($A311-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ROQUIS!$C$159)+IF(CROQUIS!$C$92="X",0,0.8)),-1000)</f>
        <v>-1000</v>
      </c>
      <c r="BZ311">
        <f>IF(AND(CROQUIS!$C$88=1,CROQUIS!$C$91=1,CROQUIS!$C$133&gt;0),((CROQUIS!$C$160+(IF(CROQUIS!$C$92="X",CHOOSE(IF(INT(($A311-1)/5)&gt;MAX((MAX(1,INT(((CROQUIS!$C$98)-CROQUIS!$C$107)/MAX((CROQUIS!$C$133*MAX(1,CEILING((INT(((CROQUIS!$C$98)-CROQUIS!$C$107)/MAX(CROQUIS!$C$133,1))+1)/80,1))),1))+1))-1,0),0,MOD($A311-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CA311">
        <f>IF(AND(CROQUIS!$C$88=1,CROQUIS!$C$91=1,CROQUIS!$C$133&gt;0),((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2">
      <c r="A312" t="n">
        <v>305</v>
      </c>
      <c r="BN312">
        <f>IF(AND(CROQUIS!$C$88=1,CROQUIS!$C$129&gt;0),((CROQUIS!$C$160+(IF(CROQUIS!$C$92="X",CHOOSE(IF(INT(($A312-1)/5)&gt;MAX((MAX(1,INT(((CROQUIS!$C$98)-CROQUIS!$C$107)/MAX((CROQUIS!$C$129*MAX(1,CEILING((INT(((CROQUIS!$C$98)-CROQUIS!$C$107)/MAX(CROQUIS!$C$129,1))+1)/80,1))),1))+1))-1,0),0,MOD($A312-1,5))+1,0,2,CROQUIS!$C$97-2,2,0),((CROQUIS!$C$107/2+(((CROQUIS!$C$98)-CROQUIS!$C$107)-(MAX(1,INT(((CROQUIS!$C$98)-CROQUIS!$C$107)/MAX((CROQUIS!$C$129*MAX(1,CEILING((INT(((CROQUIS!$C$98)-CROQUIS!$C$107)/MAX(CROQUIS!$C$129,1))+1)/80,1))),1))+1)-1)*(CROQUIS!$C$129*MAX(1,CEILING((INT(((CROQUIS!$C$98)-CROQUIS!$C$107)/MAX(CROQUIS!$C$129,1))+1)/80,1))))/2)+MIN(INT(($A312-1)/5),MAX((MAX(1,INT(((CROQUIS!$C$98)-CROQUIS!$C$107)/MAX((CROQUIS!$C$129*MAX(1,CEILING((INT(((CROQUIS!$C$98)-CROQUIS!$C$107)/MAX(CROQUIS!$C$129,1))+1)/80,1))),1))+1))-1,0))*(CROQUIS!$C$129*MAX(1,CEILING((INT(((CROQUIS!$C$98)-CROQUIS!$C$107)/MAX(CROQUIS!$C$129,1))+1)/80,1))))))*CROQUIS!$C$159)+IF(CROQUIS!$C$92="X",0,0)),-1000)</f>
        <v>-1000</v>
      </c>
      <c r="BO312">
        <f>IF(AND(CROQUIS!$C$88=1,CROQUIS!$C$129&gt;0),((CROQUIS!$C$161+(IF(CROQUIS!$C$92="X",((CROQUIS!$C$107/2+(((CROQUIS!$C$98)-CROQUIS!$C$107)-(MAX(1,INT(((CROQUIS!$C$98)-CROQUIS!$C$107)/MAX((CROQUIS!$C$129*MAX(1,CEILING((INT(((CROQUIS!$C$98)-CROQUIS!$C$107)/MAX(CROQUIS!$C$129,1))+1)/80,1))),1))+1)-1)*(CROQUIS!$C$129*MAX(1,CEILING((INT(((CROQUIS!$C$98)-CROQUIS!$C$107)/MAX(CROQUIS!$C$129,1))+1)/80,1))))/2)+MIN(INT(($A312-1)/5),MAX((MAX(1,INT(((CROQUIS!$C$98)-CROQUIS!$C$107)/MAX((CROQUIS!$C$129*MAX(1,CEILING((INT(((CROQUIS!$C$98)-CROQUIS!$C$107)/MAX(CROQUIS!$C$129,1))+1)/80,1))),1))+1))-1,0))*(CROQUIS!$C$129*MAX(1,CEILING((INT(((CROQUIS!$C$98)-CROQUIS!$C$107)/MAX(CROQUIS!$C$129,1))+1)/80,1)))),CHOOSE(IF(INT(($A312-1)/5)&gt;MAX((MAX(1,INT(((CROQUIS!$C$98)-CROQUIS!$C$107)/MAX((CROQUIS!$C$129*MAX(1,CEILING((INT(((CROQUIS!$C$98)-CROQUIS!$C$107)/MAX(CROQUIS!$C$129,1))+1)/80,1))),1))+1))-1,0),0,MOD($A312-1,5))+1,0,2,CROQUIS!$C$97-2,2,0)))*CROQUIS!$C$159)+IF(CROQUIS!$C$92="X",0,0)),-1000)</f>
        <v>-1000</v>
      </c>
      <c r="BP312">
        <f>IF(AND(CROQUIS!$C$88=1,CROQUIS!$C$137&gt;0),((CROQUIS!$C$160+(IF(CROQUIS!$C$92="X",((CROQUIS!$C$107/2+(((CROQUIS!$C$97)-CROQUIS!$C$107)-(MAX(1,INT(((CROQUIS!$C$97)-CROQUIS!$C$107)/MAX((CROQUIS!$C$137*MAX(1,CEILING((INT(((CROQUIS!$C$97)-CROQUIS!$C$107)/MAX(CROQUIS!$C$137,1))+1)/80,1))),1))+1)-1)*(CROQUIS!$C$137*MAX(1,CEILING((INT(((CROQUIS!$C$97)-CROQUIS!$C$107)/MAX(CROQUIS!$C$137,1))+1)/80,1))))/2)+MIN(INT(($A312-1)/5),MAX((MAX(1,INT(((CROQUIS!$C$97)-CROQUIS!$C$107)/MAX((CROQUIS!$C$137*MAX(1,CEILING((INT(((CROQUIS!$C$97)-CROQUIS!$C$107)/MAX(CROQUIS!$C$137,1))+1)/80,1))),1))+1))-1,0))*(CROQUIS!$C$137*MAX(1,CEILING((INT(((CROQUIS!$C$97)-CROQUIS!$C$107)/MAX(CROQUIS!$C$137,1))+1)/80,1)))),CHOOSE(IF(INT(($A312-1)/5)&gt;MAX((MAX(1,INT(((CROQUIS!$C$97)-CROQUIS!$C$107)/MAX((CROQUIS!$C$137*MAX(1,CEILING((INT(((CROQUIS!$C$97)-CROQUIS!$C$107)/MAX(CROQUIS!$C$137,1))+1)/80,1))),1))+1))-1,0),0,MOD($A312-1,5))+1,0,2,CROQUIS!$C$98-2,2,0)))*CROQUIS!$C$159)+IF(CROQUIS!$C$92="X",0,0)),-1000)</f>
        <v>-1000</v>
      </c>
      <c r="BQ312">
        <f>IF(AND(CROQUIS!$C$88=1,CROQUIS!$C$137&gt;0),((CROQUIS!$C$161+(IF(CROQUIS!$C$92="X",CHOOSE(IF(INT(($A312-1)/5)&gt;MAX((MAX(1,INT(((CROQUIS!$C$97)-CROQUIS!$C$107)/MAX((CROQUIS!$C$137*MAX(1,CEILING((INT(((CROQUIS!$C$97)-CROQUIS!$C$107)/MAX(CROQUIS!$C$137,1))+1)/80,1))),1))+1))-1,0),0,MOD($A312-1,5))+1,0,2,CROQUIS!$C$98-2,2,0),((CROQUIS!$C$107/2+(((CROQUIS!$C$97)-CROQUIS!$C$107)-(MAX(1,INT(((CROQUIS!$C$97)-CROQUIS!$C$107)/MAX((CROQUIS!$C$137*MAX(1,CEILING((INT(((CROQUIS!$C$97)-CROQUIS!$C$107)/MAX(CROQUIS!$C$137,1))+1)/80,1))),1))+1)-1)*(CROQUIS!$C$137*MAX(1,CEILING((INT(((CROQUIS!$C$97)-CROQUIS!$C$107)/MAX(CROQUIS!$C$137,1))+1)/80,1))))/2)+MIN(INT(($A312-1)/5),MAX((MAX(1,INT(((CROQUIS!$C$97)-CROQUIS!$C$107)/MAX((CROQUIS!$C$137*MAX(1,CEILING((INT(((CROQUIS!$C$97)-CROQUIS!$C$107)/MAX(CROQUIS!$C$137,1))+1)/80,1))),1))+1))-1,0))*(CROQUIS!$C$137*MAX(1,CEILING((INT(((CROQUIS!$C$97)-CROQUIS!$C$107)/MAX(CROQUIS!$C$137,1))+1)/80,1))))))*CROQUIS!$C$159)+IF(CROQUIS!$C$92="X",0,0)),-1000)</f>
        <v>-1000</v>
      </c>
      <c r="BR312">
        <f>IF(AND(CROQUIS!$C$88=1,CROQUIS!$C$91=0,CROQUIS!$C$133&gt;0,OR(CROQUIS!$C$103=1,CROQUIS!$C$145=1)),((CROQUIS!$C$160+(IF(CROQUIS!$C$92="X",CHOOSE(IF(INT(($A312-1)/5)&gt;MAX((MAX(1,INT(((CROQUIS!$C$98)-CROQUIS!$C$107)/MAX((CROQUIS!$C$133*MAX(1,CEILING((INT(((CROQUIS!$C$98)-CROQUIS!$C$107)/MAX(CROQUIS!$C$133,1))+1)/80,1))),1))+1))-1,0),0,MOD($A312-1,5))+1,0,IF(CROQUIS!$C$103=1,-12,2),CROQUIS!$C$107/2+CROQUIS!$C$143,IF(CROQUIS!$C$103=1,-12,2),0),((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BS3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+1,0,IF(CROQUIS!$C$103=1,-12,2),CROQUIS!$C$107/2+CROQUIS!$C$143,IF(CROQUIS!$C$103=1,-12,2),0)))*CROQUIS!$C$159)+IF(CROQUIS!$C$92="X",0.8,0)),-1000)</f>
        <v>-1000</v>
      </c>
      <c r="BT312">
        <f>IF(AND(CROQUIS!$C$88=1,CROQUIS!$C$91=0,CROQUIS!$C$133&gt;0,OR(CROQUIS!$C$104=1,CROQUIS!$C$145=1)),((CROQUIS!$C$160+(IF(CROQUIS!$C$92="X",CHOOSE(IF(INT(($A312-1)/5)&gt;MAX((MAX(1,INT(((CROQUIS!$C$98)-CROQUIS!$C$107)/MAX((CROQUIS!$C$133*MAX(1,CEILING((INT(((CROQUIS!$C$98)-CROQUIS!$C$107)/MAX(CROQUIS!$C$133,1))+1)/80,1))),1))+1))-1,0),0,MOD($A312-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BU3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CROQUIS!$C$97,CROQUIS!$C$97-CROQUIS!$C$107/2-CROQUIS!$C$143,IF(CROQUIS!$C$104=1,CROQUIS!$C$97+12,CROQUIS!$C$97-2),CROQUIS!$C$97-CROQUIS!$C$107/2-CROQUIS!$C$143,CROQUIS!$C$97)))*CROQUIS!$C$159)+IF(CROQUIS!$C$92="X",0.8,0)),-1000)</f>
        <v>-1000</v>
      </c>
      <c r="BV3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HOOSE(IF(INT(($A312-1)/5)&gt;MAX((MAX(1,INT(((CROQUIS!$C$97)-CROQUIS!$C$107)/MAX((CROQUIS!$C$141*MAX(1,CEILING((INT(((CROQUIS!$C$97)-CROQUIS!$C$107)/MAX(CROQUIS!$C$141,1))+1)/80,1))),1))+1))-1,0),0,MOD($A312-1,5))+1,0,IF(CROQUIS!$C$105=1,-12,2),CROQUIS!$C$107/2+CROQUIS!$C$144,IF(CROQUIS!$C$105=1,-12,2),0)))*CROQUIS!$C$159)+IF(CROQUIS!$C$92="X",0.8,0)),-1000)</f>
        <v>-1000</v>
      </c>
      <c r="BW312">
        <f>IF(AND(CROQUIS!$C$88=1,CROQUIS!$C$91=0,CROQUIS!$C$141&gt;0,OR(CROQUIS!$C$105=1,CROQUIS!$C$146=1)),((CROQUIS!$C$161+(IF(CROQUIS!$C$92="X",CHOOSE(IF(INT(($A312-1)/5)&gt;MAX((MAX(1,INT(((CROQUIS!$C$97)-CROQUIS!$C$107)/MAX((CROQUIS!$C$141*MAX(1,CEILING((INT(((CROQUIS!$C$97)-CROQUIS!$C$107)/MAX(CROQUIS!$C$141,1))+1)/80,1))),1))+1))-1,0),0,MOD($A312-1,5))+1,0,IF(CROQUIS!$C$105=1,-12,2),CROQUIS!$C$107/2+CROQUIS!$C$144,IF(CROQUIS!$C$105=1,-12,2),0),((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ROQUIS!$C$159)+IF(CROQUIS!$C$92="X",0,0.8)),-1000)</f>
        <v>-1000</v>
      </c>
      <c r="BX3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HOOSE(IF(INT(($A312-1)/5)&gt;MAX((MAX(1,INT(((CROQUIS!$C$97)-CROQUIS!$C$107)/MAX((CROQUIS!$C$141*MAX(1,CEILING((INT(((CROQUIS!$C$97)-CROQUIS!$C$107)/MAX(CROQUIS!$C$141,1))+1)/80,1))),1))+1))-1,0),0,MOD($A312-1,5))+1,CROQUIS!$C$98,CROQUIS!$C$98-CROQUIS!$C$107/2-CROQUIS!$C$144,IF(CROQUIS!$C$106=1,CROQUIS!$C$98+12,CROQUIS!$C$98-2),CROQUIS!$C$98-CROQUIS!$C$107/2-CROQUIS!$C$144,CROQUIS!$C$98)))*CROQUIS!$C$159)+IF(CROQUIS!$C$92="X",0.8,0)),-1000)</f>
        <v>-1000</v>
      </c>
      <c r="BY312">
        <f>IF(AND(CROQUIS!$C$88=1,CROQUIS!$C$91=0,CROQUIS!$C$141&gt;0,OR(CROQUIS!$C$106=1,CROQUIS!$C$146=1)),((CROQUIS!$C$161+(IF(CROQUIS!$C$92="X",CHOOSE(IF(INT(($A312-1)/5)&gt;MAX((MAX(1,INT(((CROQUIS!$C$97)-CROQUIS!$C$107)/MAX((CROQUIS!$C$141*MAX(1,CEILING((INT(((CROQUIS!$C$97)-CROQUIS!$C$107)/MAX(CROQUIS!$C$141,1))+1)/80,1))),1))+1))-1,0),0,MOD($A312-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ROQUIS!$C$159)+IF(CROQUIS!$C$92="X",0,0.8)),-1000)</f>
        <v>-1000</v>
      </c>
      <c r="BZ312">
        <f>IF(AND(CROQUIS!$C$88=1,CROQUIS!$C$91=1,CROQUIS!$C$133&gt;0),((CROQUIS!$C$160+(IF(CROQUIS!$C$92="X",CHOOSE(IF(INT(($A312-1)/5)&gt;MAX((MAX(1,INT(((CROQUIS!$C$98)-CROQUIS!$C$107)/MAX((CROQUIS!$C$133*MAX(1,CEILING((INT(((CROQUIS!$C$98)-CROQUIS!$C$107)/MAX(CROQUIS!$C$133,1))+1)/80,1))),1))+1))-1,0),0,MOD($A312-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CA312">
        <f>IF(AND(CROQUIS!$C$88=1,CROQUIS!$C$91=1,CROQUIS!$C$133&gt;0),((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3">
      <c r="A313" t="n">
        <v>306</v>
      </c>
      <c r="BN313">
        <f>IF(AND(CROQUIS!$C$88=1,CROQUIS!$C$129&gt;0),((CROQUIS!$C$160+(IF(CROQUIS!$C$92="X",CHOOSE(IF(INT(($A313-1)/5)&gt;MAX((MAX(1,INT(((CROQUIS!$C$98)-CROQUIS!$C$107)/MAX((CROQUIS!$C$129*MAX(1,CEILING((INT(((CROQUIS!$C$98)-CROQUIS!$C$107)/MAX(CROQUIS!$C$129,1))+1)/80,1))),1))+1))-1,0),0,MOD($A313-1,5))+1,0,2,CROQUIS!$C$97-2,2,0),((CROQUIS!$C$107/2+(((CROQUIS!$C$98)-CROQUIS!$C$107)-(MAX(1,INT(((CROQUIS!$C$98)-CROQUIS!$C$107)/MAX((CROQUIS!$C$129*MAX(1,CEILING((INT(((CROQUIS!$C$98)-CROQUIS!$C$107)/MAX(CROQUIS!$C$129,1))+1)/80,1))),1))+1)-1)*(CROQUIS!$C$129*MAX(1,CEILING((INT(((CROQUIS!$C$98)-CROQUIS!$C$107)/MAX(CROQUIS!$C$129,1))+1)/80,1))))/2)+MIN(INT(($A313-1)/5),MAX((MAX(1,INT(((CROQUIS!$C$98)-CROQUIS!$C$107)/MAX((CROQUIS!$C$129*MAX(1,CEILING((INT(((CROQUIS!$C$98)-CROQUIS!$C$107)/MAX(CROQUIS!$C$129,1))+1)/80,1))),1))+1))-1,0))*(CROQUIS!$C$129*MAX(1,CEILING((INT(((CROQUIS!$C$98)-CROQUIS!$C$107)/MAX(CROQUIS!$C$129,1))+1)/80,1))))))*CROQUIS!$C$159)+IF(CROQUIS!$C$92="X",0,0)),-1000)</f>
        <v>-1000</v>
      </c>
      <c r="BO313">
        <f>IF(AND(CROQUIS!$C$88=1,CROQUIS!$C$129&gt;0),((CROQUIS!$C$161+(IF(CROQUIS!$C$92="X",((CROQUIS!$C$107/2+(((CROQUIS!$C$98)-CROQUIS!$C$107)-(MAX(1,INT(((CROQUIS!$C$98)-CROQUIS!$C$107)/MAX((CROQUIS!$C$129*MAX(1,CEILING((INT(((CROQUIS!$C$98)-CROQUIS!$C$107)/MAX(CROQUIS!$C$129,1))+1)/80,1))),1))+1)-1)*(CROQUIS!$C$129*MAX(1,CEILING((INT(((CROQUIS!$C$98)-CROQUIS!$C$107)/MAX(CROQUIS!$C$129,1))+1)/80,1))))/2)+MIN(INT(($A313-1)/5),MAX((MAX(1,INT(((CROQUIS!$C$98)-CROQUIS!$C$107)/MAX((CROQUIS!$C$129*MAX(1,CEILING((INT(((CROQUIS!$C$98)-CROQUIS!$C$107)/MAX(CROQUIS!$C$129,1))+1)/80,1))),1))+1))-1,0))*(CROQUIS!$C$129*MAX(1,CEILING((INT(((CROQUIS!$C$98)-CROQUIS!$C$107)/MAX(CROQUIS!$C$129,1))+1)/80,1)))),CHOOSE(IF(INT(($A313-1)/5)&gt;MAX((MAX(1,INT(((CROQUIS!$C$98)-CROQUIS!$C$107)/MAX((CROQUIS!$C$129*MAX(1,CEILING((INT(((CROQUIS!$C$98)-CROQUIS!$C$107)/MAX(CROQUIS!$C$129,1))+1)/80,1))),1))+1))-1,0),0,MOD($A313-1,5))+1,0,2,CROQUIS!$C$97-2,2,0)))*CROQUIS!$C$159)+IF(CROQUIS!$C$92="X",0,0)),-1000)</f>
        <v>-1000</v>
      </c>
      <c r="BP313">
        <f>IF(AND(CROQUIS!$C$88=1,CROQUIS!$C$137&gt;0),((CROQUIS!$C$160+(IF(CROQUIS!$C$92="X",((CROQUIS!$C$107/2+(((CROQUIS!$C$97)-CROQUIS!$C$107)-(MAX(1,INT(((CROQUIS!$C$97)-CROQUIS!$C$107)/MAX((CROQUIS!$C$137*MAX(1,CEILING((INT(((CROQUIS!$C$97)-CROQUIS!$C$107)/MAX(CROQUIS!$C$137,1))+1)/80,1))),1))+1)-1)*(CROQUIS!$C$137*MAX(1,CEILING((INT(((CROQUIS!$C$97)-CROQUIS!$C$107)/MAX(CROQUIS!$C$137,1))+1)/80,1))))/2)+MIN(INT(($A313-1)/5),MAX((MAX(1,INT(((CROQUIS!$C$97)-CROQUIS!$C$107)/MAX((CROQUIS!$C$137*MAX(1,CEILING((INT(((CROQUIS!$C$97)-CROQUIS!$C$107)/MAX(CROQUIS!$C$137,1))+1)/80,1))),1))+1))-1,0))*(CROQUIS!$C$137*MAX(1,CEILING((INT(((CROQUIS!$C$97)-CROQUIS!$C$107)/MAX(CROQUIS!$C$137,1))+1)/80,1)))),CHOOSE(IF(INT(($A313-1)/5)&gt;MAX((MAX(1,INT(((CROQUIS!$C$97)-CROQUIS!$C$107)/MAX((CROQUIS!$C$137*MAX(1,CEILING((INT(((CROQUIS!$C$97)-CROQUIS!$C$107)/MAX(CROQUIS!$C$137,1))+1)/80,1))),1))+1))-1,0),0,MOD($A313-1,5))+1,0,2,CROQUIS!$C$98-2,2,0)))*CROQUIS!$C$159)+IF(CROQUIS!$C$92="X",0,0)),-1000)</f>
        <v>-1000</v>
      </c>
      <c r="BQ313">
        <f>IF(AND(CROQUIS!$C$88=1,CROQUIS!$C$137&gt;0),((CROQUIS!$C$161+(IF(CROQUIS!$C$92="X",CHOOSE(IF(INT(($A313-1)/5)&gt;MAX((MAX(1,INT(((CROQUIS!$C$97)-CROQUIS!$C$107)/MAX((CROQUIS!$C$137*MAX(1,CEILING((INT(((CROQUIS!$C$97)-CROQUIS!$C$107)/MAX(CROQUIS!$C$137,1))+1)/80,1))),1))+1))-1,0),0,MOD($A313-1,5))+1,0,2,CROQUIS!$C$98-2,2,0),((CROQUIS!$C$107/2+(((CROQUIS!$C$97)-CROQUIS!$C$107)-(MAX(1,INT(((CROQUIS!$C$97)-CROQUIS!$C$107)/MAX((CROQUIS!$C$137*MAX(1,CEILING((INT(((CROQUIS!$C$97)-CROQUIS!$C$107)/MAX(CROQUIS!$C$137,1))+1)/80,1))),1))+1)-1)*(CROQUIS!$C$137*MAX(1,CEILING((INT(((CROQUIS!$C$97)-CROQUIS!$C$107)/MAX(CROQUIS!$C$137,1))+1)/80,1))))/2)+MIN(INT(($A313-1)/5),MAX((MAX(1,INT(((CROQUIS!$C$97)-CROQUIS!$C$107)/MAX((CROQUIS!$C$137*MAX(1,CEILING((INT(((CROQUIS!$C$97)-CROQUIS!$C$107)/MAX(CROQUIS!$C$137,1))+1)/80,1))),1))+1))-1,0))*(CROQUIS!$C$137*MAX(1,CEILING((INT(((CROQUIS!$C$97)-CROQUIS!$C$107)/MAX(CROQUIS!$C$137,1))+1)/80,1))))))*CROQUIS!$C$159)+IF(CROQUIS!$C$92="X",0,0)),-1000)</f>
        <v>-1000</v>
      </c>
      <c r="BR313">
        <f>IF(AND(CROQUIS!$C$88=1,CROQUIS!$C$91=0,CROQUIS!$C$133&gt;0,OR(CROQUIS!$C$103=1,CROQUIS!$C$145=1)),((CROQUIS!$C$160+(IF(CROQUIS!$C$92="X",CHOOSE(IF(INT(($A313-1)/5)&gt;MAX((MAX(1,INT(((CROQUIS!$C$98)-CROQUIS!$C$107)/MAX((CROQUIS!$C$133*MAX(1,CEILING((INT(((CROQUIS!$C$98)-CROQUIS!$C$107)/MAX(CROQUIS!$C$133,1))+1)/80,1))),1))+1))-1,0),0,MOD($A313-1,5))+1,0,IF(CROQUIS!$C$103=1,-12,2),CROQUIS!$C$107/2+CROQUIS!$C$143,IF(CROQUIS!$C$103=1,-12,2),0),((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BS3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+1,0,IF(CROQUIS!$C$103=1,-12,2),CROQUIS!$C$107/2+CROQUIS!$C$143,IF(CROQUIS!$C$103=1,-12,2),0)))*CROQUIS!$C$159)+IF(CROQUIS!$C$92="X",0.8,0)),-1000)</f>
        <v>-1000</v>
      </c>
      <c r="BT313">
        <f>IF(AND(CROQUIS!$C$88=1,CROQUIS!$C$91=0,CROQUIS!$C$133&gt;0,OR(CROQUIS!$C$104=1,CROQUIS!$C$145=1)),((CROQUIS!$C$160+(IF(CROQUIS!$C$92="X",CHOOSE(IF(INT(($A313-1)/5)&gt;MAX((MAX(1,INT(((CROQUIS!$C$98)-CROQUIS!$C$107)/MAX((CROQUIS!$C$133*MAX(1,CEILING((INT(((CROQUIS!$C$98)-CROQUIS!$C$107)/MAX(CROQUIS!$C$133,1))+1)/80,1))),1))+1))-1,0),0,MOD($A313-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BU3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CROQUIS!$C$97,CROQUIS!$C$97-CROQUIS!$C$107/2-CROQUIS!$C$143,IF(CROQUIS!$C$104=1,CROQUIS!$C$97+12,CROQUIS!$C$97-2),CROQUIS!$C$97-CROQUIS!$C$107/2-CROQUIS!$C$143,CROQUIS!$C$97)))*CROQUIS!$C$159)+IF(CROQUIS!$C$92="X",0.8,0)),-1000)</f>
        <v>-1000</v>
      </c>
      <c r="BV3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HOOSE(IF(INT(($A313-1)/5)&gt;MAX((MAX(1,INT(((CROQUIS!$C$97)-CROQUIS!$C$107)/MAX((CROQUIS!$C$141*MAX(1,CEILING((INT(((CROQUIS!$C$97)-CROQUIS!$C$107)/MAX(CROQUIS!$C$141,1))+1)/80,1))),1))+1))-1,0),0,MOD($A313-1,5))+1,0,IF(CROQUIS!$C$105=1,-12,2),CROQUIS!$C$107/2+CROQUIS!$C$144,IF(CROQUIS!$C$105=1,-12,2),0)))*CROQUIS!$C$159)+IF(CROQUIS!$C$92="X",0.8,0)),-1000)</f>
        <v>-1000</v>
      </c>
      <c r="BW313">
        <f>IF(AND(CROQUIS!$C$88=1,CROQUIS!$C$91=0,CROQUIS!$C$141&gt;0,OR(CROQUIS!$C$105=1,CROQUIS!$C$146=1)),((CROQUIS!$C$161+(IF(CROQUIS!$C$92="X",CHOOSE(IF(INT(($A313-1)/5)&gt;MAX((MAX(1,INT(((CROQUIS!$C$97)-CROQUIS!$C$107)/MAX((CROQUIS!$C$141*MAX(1,CEILING((INT(((CROQUIS!$C$97)-CROQUIS!$C$107)/MAX(CROQUIS!$C$141,1))+1)/80,1))),1))+1))-1,0),0,MOD($A313-1,5))+1,0,IF(CROQUIS!$C$105=1,-12,2),CROQUIS!$C$107/2+CROQUIS!$C$144,IF(CROQUIS!$C$105=1,-12,2),0),((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ROQUIS!$C$159)+IF(CROQUIS!$C$92="X",0,0.8)),-1000)</f>
        <v>-1000</v>
      </c>
      <c r="BX3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HOOSE(IF(INT(($A313-1)/5)&gt;MAX((MAX(1,INT(((CROQUIS!$C$97)-CROQUIS!$C$107)/MAX((CROQUIS!$C$141*MAX(1,CEILING((INT(((CROQUIS!$C$97)-CROQUIS!$C$107)/MAX(CROQUIS!$C$141,1))+1)/80,1))),1))+1))-1,0),0,MOD($A313-1,5))+1,CROQUIS!$C$98,CROQUIS!$C$98-CROQUIS!$C$107/2-CROQUIS!$C$144,IF(CROQUIS!$C$106=1,CROQUIS!$C$98+12,CROQUIS!$C$98-2),CROQUIS!$C$98-CROQUIS!$C$107/2-CROQUIS!$C$144,CROQUIS!$C$98)))*CROQUIS!$C$159)+IF(CROQUIS!$C$92="X",0.8,0)),-1000)</f>
        <v>-1000</v>
      </c>
      <c r="BY313">
        <f>IF(AND(CROQUIS!$C$88=1,CROQUIS!$C$91=0,CROQUIS!$C$141&gt;0,OR(CROQUIS!$C$106=1,CROQUIS!$C$146=1)),((CROQUIS!$C$161+(IF(CROQUIS!$C$92="X",CHOOSE(IF(INT(($A313-1)/5)&gt;MAX((MAX(1,INT(((CROQUIS!$C$97)-CROQUIS!$C$107)/MAX((CROQUIS!$C$141*MAX(1,CEILING((INT(((CROQUIS!$C$97)-CROQUIS!$C$107)/MAX(CROQUIS!$C$141,1))+1)/80,1))),1))+1))-1,0),0,MOD($A313-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ROQUIS!$C$159)+IF(CROQUIS!$C$92="X",0,0.8)),-1000)</f>
        <v>-1000</v>
      </c>
      <c r="BZ313">
        <f>IF(AND(CROQUIS!$C$88=1,CROQUIS!$C$91=1,CROQUIS!$C$133&gt;0),((CROQUIS!$C$160+(IF(CROQUIS!$C$92="X",CHOOSE(IF(INT(($A313-1)/5)&gt;MAX((MAX(1,INT(((CROQUIS!$C$98)-CROQUIS!$C$107)/MAX((CROQUIS!$C$133*MAX(1,CEILING((INT(((CROQUIS!$C$98)-CROQUIS!$C$107)/MAX(CROQUIS!$C$133,1))+1)/80,1))),1))+1))-1,0),0,MOD($A313-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CA313">
        <f>IF(AND(CROQUIS!$C$88=1,CROQUIS!$C$91=1,CROQUIS!$C$133&gt;0),((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4">
      <c r="A314" t="n">
        <v>307</v>
      </c>
      <c r="BN314">
        <f>IF(AND(CROQUIS!$C$88=1,CROQUIS!$C$129&gt;0),((CROQUIS!$C$160+(IF(CROQUIS!$C$92="X",CHOOSE(IF(INT(($A314-1)/5)&gt;MAX((MAX(1,INT(((CROQUIS!$C$98)-CROQUIS!$C$107)/MAX((CROQUIS!$C$129*MAX(1,CEILING((INT(((CROQUIS!$C$98)-CROQUIS!$C$107)/MAX(CROQUIS!$C$129,1))+1)/80,1))),1))+1))-1,0),0,MOD($A314-1,5))+1,0,2,CROQUIS!$C$97-2,2,0),((CROQUIS!$C$107/2+(((CROQUIS!$C$98)-CROQUIS!$C$107)-(MAX(1,INT(((CROQUIS!$C$98)-CROQUIS!$C$107)/MAX((CROQUIS!$C$129*MAX(1,CEILING((INT(((CROQUIS!$C$98)-CROQUIS!$C$107)/MAX(CROQUIS!$C$129,1))+1)/80,1))),1))+1)-1)*(CROQUIS!$C$129*MAX(1,CEILING((INT(((CROQUIS!$C$98)-CROQUIS!$C$107)/MAX(CROQUIS!$C$129,1))+1)/80,1))))/2)+MIN(INT(($A314-1)/5),MAX((MAX(1,INT(((CROQUIS!$C$98)-CROQUIS!$C$107)/MAX((CROQUIS!$C$129*MAX(1,CEILING((INT(((CROQUIS!$C$98)-CROQUIS!$C$107)/MAX(CROQUIS!$C$129,1))+1)/80,1))),1))+1))-1,0))*(CROQUIS!$C$129*MAX(1,CEILING((INT(((CROQUIS!$C$98)-CROQUIS!$C$107)/MAX(CROQUIS!$C$129,1))+1)/80,1))))))*CROQUIS!$C$159)+IF(CROQUIS!$C$92="X",0,0)),-1000)</f>
        <v>-1000</v>
      </c>
      <c r="BO314">
        <f>IF(AND(CROQUIS!$C$88=1,CROQUIS!$C$129&gt;0),((CROQUIS!$C$161+(IF(CROQUIS!$C$92="X",((CROQUIS!$C$107/2+(((CROQUIS!$C$98)-CROQUIS!$C$107)-(MAX(1,INT(((CROQUIS!$C$98)-CROQUIS!$C$107)/MAX((CROQUIS!$C$129*MAX(1,CEILING((INT(((CROQUIS!$C$98)-CROQUIS!$C$107)/MAX(CROQUIS!$C$129,1))+1)/80,1))),1))+1)-1)*(CROQUIS!$C$129*MAX(1,CEILING((INT(((CROQUIS!$C$98)-CROQUIS!$C$107)/MAX(CROQUIS!$C$129,1))+1)/80,1))))/2)+MIN(INT(($A314-1)/5),MAX((MAX(1,INT(((CROQUIS!$C$98)-CROQUIS!$C$107)/MAX((CROQUIS!$C$129*MAX(1,CEILING((INT(((CROQUIS!$C$98)-CROQUIS!$C$107)/MAX(CROQUIS!$C$129,1))+1)/80,1))),1))+1))-1,0))*(CROQUIS!$C$129*MAX(1,CEILING((INT(((CROQUIS!$C$98)-CROQUIS!$C$107)/MAX(CROQUIS!$C$129,1))+1)/80,1)))),CHOOSE(IF(INT(($A314-1)/5)&gt;MAX((MAX(1,INT(((CROQUIS!$C$98)-CROQUIS!$C$107)/MAX((CROQUIS!$C$129*MAX(1,CEILING((INT(((CROQUIS!$C$98)-CROQUIS!$C$107)/MAX(CROQUIS!$C$129,1))+1)/80,1))),1))+1))-1,0),0,MOD($A314-1,5))+1,0,2,CROQUIS!$C$97-2,2,0)))*CROQUIS!$C$159)+IF(CROQUIS!$C$92="X",0,0)),-1000)</f>
        <v>-1000</v>
      </c>
      <c r="BP314">
        <f>IF(AND(CROQUIS!$C$88=1,CROQUIS!$C$137&gt;0),((CROQUIS!$C$160+(IF(CROQUIS!$C$92="X",((CROQUIS!$C$107/2+(((CROQUIS!$C$97)-CROQUIS!$C$107)-(MAX(1,INT(((CROQUIS!$C$97)-CROQUIS!$C$107)/MAX((CROQUIS!$C$137*MAX(1,CEILING((INT(((CROQUIS!$C$97)-CROQUIS!$C$107)/MAX(CROQUIS!$C$137,1))+1)/80,1))),1))+1)-1)*(CROQUIS!$C$137*MAX(1,CEILING((INT(((CROQUIS!$C$97)-CROQUIS!$C$107)/MAX(CROQUIS!$C$137,1))+1)/80,1))))/2)+MIN(INT(($A314-1)/5),MAX((MAX(1,INT(((CROQUIS!$C$97)-CROQUIS!$C$107)/MAX((CROQUIS!$C$137*MAX(1,CEILING((INT(((CROQUIS!$C$97)-CROQUIS!$C$107)/MAX(CROQUIS!$C$137,1))+1)/80,1))),1))+1))-1,0))*(CROQUIS!$C$137*MAX(1,CEILING((INT(((CROQUIS!$C$97)-CROQUIS!$C$107)/MAX(CROQUIS!$C$137,1))+1)/80,1)))),CHOOSE(IF(INT(($A314-1)/5)&gt;MAX((MAX(1,INT(((CROQUIS!$C$97)-CROQUIS!$C$107)/MAX((CROQUIS!$C$137*MAX(1,CEILING((INT(((CROQUIS!$C$97)-CROQUIS!$C$107)/MAX(CROQUIS!$C$137,1))+1)/80,1))),1))+1))-1,0),0,MOD($A314-1,5))+1,0,2,CROQUIS!$C$98-2,2,0)))*CROQUIS!$C$159)+IF(CROQUIS!$C$92="X",0,0)),-1000)</f>
        <v>-1000</v>
      </c>
      <c r="BQ314">
        <f>IF(AND(CROQUIS!$C$88=1,CROQUIS!$C$137&gt;0),((CROQUIS!$C$161+(IF(CROQUIS!$C$92="X",CHOOSE(IF(INT(($A314-1)/5)&gt;MAX((MAX(1,INT(((CROQUIS!$C$97)-CROQUIS!$C$107)/MAX((CROQUIS!$C$137*MAX(1,CEILING((INT(((CROQUIS!$C$97)-CROQUIS!$C$107)/MAX(CROQUIS!$C$137,1))+1)/80,1))),1))+1))-1,0),0,MOD($A314-1,5))+1,0,2,CROQUIS!$C$98-2,2,0),((CROQUIS!$C$107/2+(((CROQUIS!$C$97)-CROQUIS!$C$107)-(MAX(1,INT(((CROQUIS!$C$97)-CROQUIS!$C$107)/MAX((CROQUIS!$C$137*MAX(1,CEILING((INT(((CROQUIS!$C$97)-CROQUIS!$C$107)/MAX(CROQUIS!$C$137,1))+1)/80,1))),1))+1)-1)*(CROQUIS!$C$137*MAX(1,CEILING((INT(((CROQUIS!$C$97)-CROQUIS!$C$107)/MAX(CROQUIS!$C$137,1))+1)/80,1))))/2)+MIN(INT(($A314-1)/5),MAX((MAX(1,INT(((CROQUIS!$C$97)-CROQUIS!$C$107)/MAX((CROQUIS!$C$137*MAX(1,CEILING((INT(((CROQUIS!$C$97)-CROQUIS!$C$107)/MAX(CROQUIS!$C$137,1))+1)/80,1))),1))+1))-1,0))*(CROQUIS!$C$137*MAX(1,CEILING((INT(((CROQUIS!$C$97)-CROQUIS!$C$107)/MAX(CROQUIS!$C$137,1))+1)/80,1))))))*CROQUIS!$C$159)+IF(CROQUIS!$C$92="X",0,0)),-1000)</f>
        <v>-1000</v>
      </c>
      <c r="BR314">
        <f>IF(AND(CROQUIS!$C$88=1,CROQUIS!$C$91=0,CROQUIS!$C$133&gt;0,OR(CROQUIS!$C$103=1,CROQUIS!$C$145=1)),((CROQUIS!$C$160+(IF(CROQUIS!$C$92="X",CHOOSE(IF(INT(($A314-1)/5)&gt;MAX((MAX(1,INT(((CROQUIS!$C$98)-CROQUIS!$C$107)/MAX((CROQUIS!$C$133*MAX(1,CEILING((INT(((CROQUIS!$C$98)-CROQUIS!$C$107)/MAX(CROQUIS!$C$133,1))+1)/80,1))),1))+1))-1,0),0,MOD($A314-1,5))+1,0,IF(CROQUIS!$C$103=1,-12,2),CROQUIS!$C$107/2+CROQUIS!$C$143,IF(CROQUIS!$C$103=1,-12,2),0),((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BS3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+1,0,IF(CROQUIS!$C$103=1,-12,2),CROQUIS!$C$107/2+CROQUIS!$C$143,IF(CROQUIS!$C$103=1,-12,2),0)))*CROQUIS!$C$159)+IF(CROQUIS!$C$92="X",0.8,0)),-1000)</f>
        <v>-1000</v>
      </c>
      <c r="BT314">
        <f>IF(AND(CROQUIS!$C$88=1,CROQUIS!$C$91=0,CROQUIS!$C$133&gt;0,OR(CROQUIS!$C$104=1,CROQUIS!$C$145=1)),((CROQUIS!$C$160+(IF(CROQUIS!$C$92="X",CHOOSE(IF(INT(($A314-1)/5)&gt;MAX((MAX(1,INT(((CROQUIS!$C$98)-CROQUIS!$C$107)/MAX((CROQUIS!$C$133*MAX(1,CEILING((INT(((CROQUIS!$C$98)-CROQUIS!$C$107)/MAX(CROQUIS!$C$133,1))+1)/80,1))),1))+1))-1,0),0,MOD($A314-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BU3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CROQUIS!$C$97,CROQUIS!$C$97-CROQUIS!$C$107/2-CROQUIS!$C$143,IF(CROQUIS!$C$104=1,CROQUIS!$C$97+12,CROQUIS!$C$97-2),CROQUIS!$C$97-CROQUIS!$C$107/2-CROQUIS!$C$143,CROQUIS!$C$97)))*CROQUIS!$C$159)+IF(CROQUIS!$C$92="X",0.8,0)),-1000)</f>
        <v>-1000</v>
      </c>
      <c r="BV3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HOOSE(IF(INT(($A314-1)/5)&gt;MAX((MAX(1,INT(((CROQUIS!$C$97)-CROQUIS!$C$107)/MAX((CROQUIS!$C$141*MAX(1,CEILING((INT(((CROQUIS!$C$97)-CROQUIS!$C$107)/MAX(CROQUIS!$C$141,1))+1)/80,1))),1))+1))-1,0),0,MOD($A314-1,5))+1,0,IF(CROQUIS!$C$105=1,-12,2),CROQUIS!$C$107/2+CROQUIS!$C$144,IF(CROQUIS!$C$105=1,-12,2),0)))*CROQUIS!$C$159)+IF(CROQUIS!$C$92="X",0.8,0)),-1000)</f>
        <v>-1000</v>
      </c>
      <c r="BW314">
        <f>IF(AND(CROQUIS!$C$88=1,CROQUIS!$C$91=0,CROQUIS!$C$141&gt;0,OR(CROQUIS!$C$105=1,CROQUIS!$C$146=1)),((CROQUIS!$C$161+(IF(CROQUIS!$C$92="X",CHOOSE(IF(INT(($A314-1)/5)&gt;MAX((MAX(1,INT(((CROQUIS!$C$97)-CROQUIS!$C$107)/MAX((CROQUIS!$C$141*MAX(1,CEILING((INT(((CROQUIS!$C$97)-CROQUIS!$C$107)/MAX(CROQUIS!$C$141,1))+1)/80,1))),1))+1))-1,0),0,MOD($A314-1,5))+1,0,IF(CROQUIS!$C$105=1,-12,2),CROQUIS!$C$107/2+CROQUIS!$C$144,IF(CROQUIS!$C$105=1,-12,2),0),((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ROQUIS!$C$159)+IF(CROQUIS!$C$92="X",0,0.8)),-1000)</f>
        <v>-1000</v>
      </c>
      <c r="BX3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HOOSE(IF(INT(($A314-1)/5)&gt;MAX((MAX(1,INT(((CROQUIS!$C$97)-CROQUIS!$C$107)/MAX((CROQUIS!$C$141*MAX(1,CEILING((INT(((CROQUIS!$C$97)-CROQUIS!$C$107)/MAX(CROQUIS!$C$141,1))+1)/80,1))),1))+1))-1,0),0,MOD($A314-1,5))+1,CROQUIS!$C$98,CROQUIS!$C$98-CROQUIS!$C$107/2-CROQUIS!$C$144,IF(CROQUIS!$C$106=1,CROQUIS!$C$98+12,CROQUIS!$C$98-2),CROQUIS!$C$98-CROQUIS!$C$107/2-CROQUIS!$C$144,CROQUIS!$C$98)))*CROQUIS!$C$159)+IF(CROQUIS!$C$92="X",0.8,0)),-1000)</f>
        <v>-1000</v>
      </c>
      <c r="BY314">
        <f>IF(AND(CROQUIS!$C$88=1,CROQUIS!$C$91=0,CROQUIS!$C$141&gt;0,OR(CROQUIS!$C$106=1,CROQUIS!$C$146=1)),((CROQUIS!$C$161+(IF(CROQUIS!$C$92="X",CHOOSE(IF(INT(($A314-1)/5)&gt;MAX((MAX(1,INT(((CROQUIS!$C$97)-CROQUIS!$C$107)/MAX((CROQUIS!$C$141*MAX(1,CEILING((INT(((CROQUIS!$C$97)-CROQUIS!$C$107)/MAX(CROQUIS!$C$141,1))+1)/80,1))),1))+1))-1,0),0,MOD($A314-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ROQUIS!$C$159)+IF(CROQUIS!$C$92="X",0,0.8)),-1000)</f>
        <v>-1000</v>
      </c>
      <c r="BZ314">
        <f>IF(AND(CROQUIS!$C$88=1,CROQUIS!$C$91=1,CROQUIS!$C$133&gt;0),((CROQUIS!$C$160+(IF(CROQUIS!$C$92="X",CHOOSE(IF(INT(($A314-1)/5)&gt;MAX((MAX(1,INT(((CROQUIS!$C$98)-CROQUIS!$C$107)/MAX((CROQUIS!$C$133*MAX(1,CEILING((INT(((CROQUIS!$C$98)-CROQUIS!$C$107)/MAX(CROQUIS!$C$133,1))+1)/80,1))),1))+1))-1,0),0,MOD($A314-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CA314">
        <f>IF(AND(CROQUIS!$C$88=1,CROQUIS!$C$91=1,CROQUIS!$C$133&gt;0),((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5">
      <c r="A315" t="n">
        <v>308</v>
      </c>
      <c r="BN315">
        <f>IF(AND(CROQUIS!$C$88=1,CROQUIS!$C$129&gt;0),((CROQUIS!$C$160+(IF(CROQUIS!$C$92="X",CHOOSE(IF(INT(($A315-1)/5)&gt;MAX((MAX(1,INT(((CROQUIS!$C$98)-CROQUIS!$C$107)/MAX((CROQUIS!$C$129*MAX(1,CEILING((INT(((CROQUIS!$C$98)-CROQUIS!$C$107)/MAX(CROQUIS!$C$129,1))+1)/80,1))),1))+1))-1,0),0,MOD($A315-1,5))+1,0,2,CROQUIS!$C$97-2,2,0),((CROQUIS!$C$107/2+(((CROQUIS!$C$98)-CROQUIS!$C$107)-(MAX(1,INT(((CROQUIS!$C$98)-CROQUIS!$C$107)/MAX((CROQUIS!$C$129*MAX(1,CEILING((INT(((CROQUIS!$C$98)-CROQUIS!$C$107)/MAX(CROQUIS!$C$129,1))+1)/80,1))),1))+1)-1)*(CROQUIS!$C$129*MAX(1,CEILING((INT(((CROQUIS!$C$98)-CROQUIS!$C$107)/MAX(CROQUIS!$C$129,1))+1)/80,1))))/2)+MIN(INT(($A315-1)/5),MAX((MAX(1,INT(((CROQUIS!$C$98)-CROQUIS!$C$107)/MAX((CROQUIS!$C$129*MAX(1,CEILING((INT(((CROQUIS!$C$98)-CROQUIS!$C$107)/MAX(CROQUIS!$C$129,1))+1)/80,1))),1))+1))-1,0))*(CROQUIS!$C$129*MAX(1,CEILING((INT(((CROQUIS!$C$98)-CROQUIS!$C$107)/MAX(CROQUIS!$C$129,1))+1)/80,1))))))*CROQUIS!$C$159)+IF(CROQUIS!$C$92="X",0,0)),-1000)</f>
        <v>-1000</v>
      </c>
      <c r="BO315">
        <f>IF(AND(CROQUIS!$C$88=1,CROQUIS!$C$129&gt;0),((CROQUIS!$C$161+(IF(CROQUIS!$C$92="X",((CROQUIS!$C$107/2+(((CROQUIS!$C$98)-CROQUIS!$C$107)-(MAX(1,INT(((CROQUIS!$C$98)-CROQUIS!$C$107)/MAX((CROQUIS!$C$129*MAX(1,CEILING((INT(((CROQUIS!$C$98)-CROQUIS!$C$107)/MAX(CROQUIS!$C$129,1))+1)/80,1))),1))+1)-1)*(CROQUIS!$C$129*MAX(1,CEILING((INT(((CROQUIS!$C$98)-CROQUIS!$C$107)/MAX(CROQUIS!$C$129,1))+1)/80,1))))/2)+MIN(INT(($A315-1)/5),MAX((MAX(1,INT(((CROQUIS!$C$98)-CROQUIS!$C$107)/MAX((CROQUIS!$C$129*MAX(1,CEILING((INT(((CROQUIS!$C$98)-CROQUIS!$C$107)/MAX(CROQUIS!$C$129,1))+1)/80,1))),1))+1))-1,0))*(CROQUIS!$C$129*MAX(1,CEILING((INT(((CROQUIS!$C$98)-CROQUIS!$C$107)/MAX(CROQUIS!$C$129,1))+1)/80,1)))),CHOOSE(IF(INT(($A315-1)/5)&gt;MAX((MAX(1,INT(((CROQUIS!$C$98)-CROQUIS!$C$107)/MAX((CROQUIS!$C$129*MAX(1,CEILING((INT(((CROQUIS!$C$98)-CROQUIS!$C$107)/MAX(CROQUIS!$C$129,1))+1)/80,1))),1))+1))-1,0),0,MOD($A315-1,5))+1,0,2,CROQUIS!$C$97-2,2,0)))*CROQUIS!$C$159)+IF(CROQUIS!$C$92="X",0,0)),-1000)</f>
        <v>-1000</v>
      </c>
      <c r="BP315">
        <f>IF(AND(CROQUIS!$C$88=1,CROQUIS!$C$137&gt;0),((CROQUIS!$C$160+(IF(CROQUIS!$C$92="X",((CROQUIS!$C$107/2+(((CROQUIS!$C$97)-CROQUIS!$C$107)-(MAX(1,INT(((CROQUIS!$C$97)-CROQUIS!$C$107)/MAX((CROQUIS!$C$137*MAX(1,CEILING((INT(((CROQUIS!$C$97)-CROQUIS!$C$107)/MAX(CROQUIS!$C$137,1))+1)/80,1))),1))+1)-1)*(CROQUIS!$C$137*MAX(1,CEILING((INT(((CROQUIS!$C$97)-CROQUIS!$C$107)/MAX(CROQUIS!$C$137,1))+1)/80,1))))/2)+MIN(INT(($A315-1)/5),MAX((MAX(1,INT(((CROQUIS!$C$97)-CROQUIS!$C$107)/MAX((CROQUIS!$C$137*MAX(1,CEILING((INT(((CROQUIS!$C$97)-CROQUIS!$C$107)/MAX(CROQUIS!$C$137,1))+1)/80,1))),1))+1))-1,0))*(CROQUIS!$C$137*MAX(1,CEILING((INT(((CROQUIS!$C$97)-CROQUIS!$C$107)/MAX(CROQUIS!$C$137,1))+1)/80,1)))),CHOOSE(IF(INT(($A315-1)/5)&gt;MAX((MAX(1,INT(((CROQUIS!$C$97)-CROQUIS!$C$107)/MAX((CROQUIS!$C$137*MAX(1,CEILING((INT(((CROQUIS!$C$97)-CROQUIS!$C$107)/MAX(CROQUIS!$C$137,1))+1)/80,1))),1))+1))-1,0),0,MOD($A315-1,5))+1,0,2,CROQUIS!$C$98-2,2,0)))*CROQUIS!$C$159)+IF(CROQUIS!$C$92="X",0,0)),-1000)</f>
        <v>-1000</v>
      </c>
      <c r="BQ315">
        <f>IF(AND(CROQUIS!$C$88=1,CROQUIS!$C$137&gt;0),((CROQUIS!$C$161+(IF(CROQUIS!$C$92="X",CHOOSE(IF(INT(($A315-1)/5)&gt;MAX((MAX(1,INT(((CROQUIS!$C$97)-CROQUIS!$C$107)/MAX((CROQUIS!$C$137*MAX(1,CEILING((INT(((CROQUIS!$C$97)-CROQUIS!$C$107)/MAX(CROQUIS!$C$137,1))+1)/80,1))),1))+1))-1,0),0,MOD($A315-1,5))+1,0,2,CROQUIS!$C$98-2,2,0),((CROQUIS!$C$107/2+(((CROQUIS!$C$97)-CROQUIS!$C$107)-(MAX(1,INT(((CROQUIS!$C$97)-CROQUIS!$C$107)/MAX((CROQUIS!$C$137*MAX(1,CEILING((INT(((CROQUIS!$C$97)-CROQUIS!$C$107)/MAX(CROQUIS!$C$137,1))+1)/80,1))),1))+1)-1)*(CROQUIS!$C$137*MAX(1,CEILING((INT(((CROQUIS!$C$97)-CROQUIS!$C$107)/MAX(CROQUIS!$C$137,1))+1)/80,1))))/2)+MIN(INT(($A315-1)/5),MAX((MAX(1,INT(((CROQUIS!$C$97)-CROQUIS!$C$107)/MAX((CROQUIS!$C$137*MAX(1,CEILING((INT(((CROQUIS!$C$97)-CROQUIS!$C$107)/MAX(CROQUIS!$C$137,1))+1)/80,1))),1))+1))-1,0))*(CROQUIS!$C$137*MAX(1,CEILING((INT(((CROQUIS!$C$97)-CROQUIS!$C$107)/MAX(CROQUIS!$C$137,1))+1)/80,1))))))*CROQUIS!$C$159)+IF(CROQUIS!$C$92="X",0,0)),-1000)</f>
        <v>-1000</v>
      </c>
      <c r="BR315">
        <f>IF(AND(CROQUIS!$C$88=1,CROQUIS!$C$91=0,CROQUIS!$C$133&gt;0,OR(CROQUIS!$C$103=1,CROQUIS!$C$145=1)),((CROQUIS!$C$160+(IF(CROQUIS!$C$92="X",CHOOSE(IF(INT(($A315-1)/5)&gt;MAX((MAX(1,INT(((CROQUIS!$C$98)-CROQUIS!$C$107)/MAX((CROQUIS!$C$133*MAX(1,CEILING((INT(((CROQUIS!$C$98)-CROQUIS!$C$107)/MAX(CROQUIS!$C$133,1))+1)/80,1))),1))+1))-1,0),0,MOD($A315-1,5))+1,0,IF(CROQUIS!$C$103=1,-12,2),CROQUIS!$C$107/2+CROQUIS!$C$143,IF(CROQUIS!$C$103=1,-12,2),0),((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BS3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+1,0,IF(CROQUIS!$C$103=1,-12,2),CROQUIS!$C$107/2+CROQUIS!$C$143,IF(CROQUIS!$C$103=1,-12,2),0)))*CROQUIS!$C$159)+IF(CROQUIS!$C$92="X",0.8,0)),-1000)</f>
        <v>-1000</v>
      </c>
      <c r="BT315">
        <f>IF(AND(CROQUIS!$C$88=1,CROQUIS!$C$91=0,CROQUIS!$C$133&gt;0,OR(CROQUIS!$C$104=1,CROQUIS!$C$145=1)),((CROQUIS!$C$160+(IF(CROQUIS!$C$92="X",CHOOSE(IF(INT(($A315-1)/5)&gt;MAX((MAX(1,INT(((CROQUIS!$C$98)-CROQUIS!$C$107)/MAX((CROQUIS!$C$133*MAX(1,CEILING((INT(((CROQUIS!$C$98)-CROQUIS!$C$107)/MAX(CROQUIS!$C$133,1))+1)/80,1))),1))+1))-1,0),0,MOD($A315-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BU3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CROQUIS!$C$97,CROQUIS!$C$97-CROQUIS!$C$107/2-CROQUIS!$C$143,IF(CROQUIS!$C$104=1,CROQUIS!$C$97+12,CROQUIS!$C$97-2),CROQUIS!$C$97-CROQUIS!$C$107/2-CROQUIS!$C$143,CROQUIS!$C$97)))*CROQUIS!$C$159)+IF(CROQUIS!$C$92="X",0.8,0)),-1000)</f>
        <v>-1000</v>
      </c>
      <c r="BV3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HOOSE(IF(INT(($A315-1)/5)&gt;MAX((MAX(1,INT(((CROQUIS!$C$97)-CROQUIS!$C$107)/MAX((CROQUIS!$C$141*MAX(1,CEILING((INT(((CROQUIS!$C$97)-CROQUIS!$C$107)/MAX(CROQUIS!$C$141,1))+1)/80,1))),1))+1))-1,0),0,MOD($A315-1,5))+1,0,IF(CROQUIS!$C$105=1,-12,2),CROQUIS!$C$107/2+CROQUIS!$C$144,IF(CROQUIS!$C$105=1,-12,2),0)))*CROQUIS!$C$159)+IF(CROQUIS!$C$92="X",0.8,0)),-1000)</f>
        <v>-1000</v>
      </c>
      <c r="BW315">
        <f>IF(AND(CROQUIS!$C$88=1,CROQUIS!$C$91=0,CROQUIS!$C$141&gt;0,OR(CROQUIS!$C$105=1,CROQUIS!$C$146=1)),((CROQUIS!$C$161+(IF(CROQUIS!$C$92="X",CHOOSE(IF(INT(($A315-1)/5)&gt;MAX((MAX(1,INT(((CROQUIS!$C$97)-CROQUIS!$C$107)/MAX((CROQUIS!$C$141*MAX(1,CEILING((INT(((CROQUIS!$C$97)-CROQUIS!$C$107)/MAX(CROQUIS!$C$141,1))+1)/80,1))),1))+1))-1,0),0,MOD($A315-1,5))+1,0,IF(CROQUIS!$C$105=1,-12,2),CROQUIS!$C$107/2+CROQUIS!$C$144,IF(CROQUIS!$C$105=1,-12,2),0),((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ROQUIS!$C$159)+IF(CROQUIS!$C$92="X",0,0.8)),-1000)</f>
        <v>-1000</v>
      </c>
      <c r="BX3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HOOSE(IF(INT(($A315-1)/5)&gt;MAX((MAX(1,INT(((CROQUIS!$C$97)-CROQUIS!$C$107)/MAX((CROQUIS!$C$141*MAX(1,CEILING((INT(((CROQUIS!$C$97)-CROQUIS!$C$107)/MAX(CROQUIS!$C$141,1))+1)/80,1))),1))+1))-1,0),0,MOD($A315-1,5))+1,CROQUIS!$C$98,CROQUIS!$C$98-CROQUIS!$C$107/2-CROQUIS!$C$144,IF(CROQUIS!$C$106=1,CROQUIS!$C$98+12,CROQUIS!$C$98-2),CROQUIS!$C$98-CROQUIS!$C$107/2-CROQUIS!$C$144,CROQUIS!$C$98)))*CROQUIS!$C$159)+IF(CROQUIS!$C$92="X",0.8,0)),-1000)</f>
        <v>-1000</v>
      </c>
      <c r="BY315">
        <f>IF(AND(CROQUIS!$C$88=1,CROQUIS!$C$91=0,CROQUIS!$C$141&gt;0,OR(CROQUIS!$C$106=1,CROQUIS!$C$146=1)),((CROQUIS!$C$161+(IF(CROQUIS!$C$92="X",CHOOSE(IF(INT(($A315-1)/5)&gt;MAX((MAX(1,INT(((CROQUIS!$C$97)-CROQUIS!$C$107)/MAX((CROQUIS!$C$141*MAX(1,CEILING((INT(((CROQUIS!$C$97)-CROQUIS!$C$107)/MAX(CROQUIS!$C$141,1))+1)/80,1))),1))+1))-1,0),0,MOD($A315-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ROQUIS!$C$159)+IF(CROQUIS!$C$92="X",0,0.8)),-1000)</f>
        <v>-1000</v>
      </c>
      <c r="BZ315">
        <f>IF(AND(CROQUIS!$C$88=1,CROQUIS!$C$91=1,CROQUIS!$C$133&gt;0),((CROQUIS!$C$160+(IF(CROQUIS!$C$92="X",CHOOSE(IF(INT(($A315-1)/5)&gt;MAX((MAX(1,INT(((CROQUIS!$C$98)-CROQUIS!$C$107)/MAX((CROQUIS!$C$133*MAX(1,CEILING((INT(((CROQUIS!$C$98)-CROQUIS!$C$107)/MAX(CROQUIS!$C$133,1))+1)/80,1))),1))+1))-1,0),0,MOD($A315-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CA315">
        <f>IF(AND(CROQUIS!$C$88=1,CROQUIS!$C$91=1,CROQUIS!$C$133&gt;0),((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6">
      <c r="A316" t="n">
        <v>309</v>
      </c>
      <c r="BN316">
        <f>IF(AND(CROQUIS!$C$88=1,CROQUIS!$C$129&gt;0),((CROQUIS!$C$160+(IF(CROQUIS!$C$92="X",CHOOSE(IF(INT(($A316-1)/5)&gt;MAX((MAX(1,INT(((CROQUIS!$C$98)-CROQUIS!$C$107)/MAX((CROQUIS!$C$129*MAX(1,CEILING((INT(((CROQUIS!$C$98)-CROQUIS!$C$107)/MAX(CROQUIS!$C$129,1))+1)/80,1))),1))+1))-1,0),0,MOD($A316-1,5))+1,0,2,CROQUIS!$C$97-2,2,0),((CROQUIS!$C$107/2+(((CROQUIS!$C$98)-CROQUIS!$C$107)-(MAX(1,INT(((CROQUIS!$C$98)-CROQUIS!$C$107)/MAX((CROQUIS!$C$129*MAX(1,CEILING((INT(((CROQUIS!$C$98)-CROQUIS!$C$107)/MAX(CROQUIS!$C$129,1))+1)/80,1))),1))+1)-1)*(CROQUIS!$C$129*MAX(1,CEILING((INT(((CROQUIS!$C$98)-CROQUIS!$C$107)/MAX(CROQUIS!$C$129,1))+1)/80,1))))/2)+MIN(INT(($A316-1)/5),MAX((MAX(1,INT(((CROQUIS!$C$98)-CROQUIS!$C$107)/MAX((CROQUIS!$C$129*MAX(1,CEILING((INT(((CROQUIS!$C$98)-CROQUIS!$C$107)/MAX(CROQUIS!$C$129,1))+1)/80,1))),1))+1))-1,0))*(CROQUIS!$C$129*MAX(1,CEILING((INT(((CROQUIS!$C$98)-CROQUIS!$C$107)/MAX(CROQUIS!$C$129,1))+1)/80,1))))))*CROQUIS!$C$159)+IF(CROQUIS!$C$92="X",0,0)),-1000)</f>
        <v>-1000</v>
      </c>
      <c r="BO316">
        <f>IF(AND(CROQUIS!$C$88=1,CROQUIS!$C$129&gt;0),((CROQUIS!$C$161+(IF(CROQUIS!$C$92="X",((CROQUIS!$C$107/2+(((CROQUIS!$C$98)-CROQUIS!$C$107)-(MAX(1,INT(((CROQUIS!$C$98)-CROQUIS!$C$107)/MAX((CROQUIS!$C$129*MAX(1,CEILING((INT(((CROQUIS!$C$98)-CROQUIS!$C$107)/MAX(CROQUIS!$C$129,1))+1)/80,1))),1))+1)-1)*(CROQUIS!$C$129*MAX(1,CEILING((INT(((CROQUIS!$C$98)-CROQUIS!$C$107)/MAX(CROQUIS!$C$129,1))+1)/80,1))))/2)+MIN(INT(($A316-1)/5),MAX((MAX(1,INT(((CROQUIS!$C$98)-CROQUIS!$C$107)/MAX((CROQUIS!$C$129*MAX(1,CEILING((INT(((CROQUIS!$C$98)-CROQUIS!$C$107)/MAX(CROQUIS!$C$129,1))+1)/80,1))),1))+1))-1,0))*(CROQUIS!$C$129*MAX(1,CEILING((INT(((CROQUIS!$C$98)-CROQUIS!$C$107)/MAX(CROQUIS!$C$129,1))+1)/80,1)))),CHOOSE(IF(INT(($A316-1)/5)&gt;MAX((MAX(1,INT(((CROQUIS!$C$98)-CROQUIS!$C$107)/MAX((CROQUIS!$C$129*MAX(1,CEILING((INT(((CROQUIS!$C$98)-CROQUIS!$C$107)/MAX(CROQUIS!$C$129,1))+1)/80,1))),1))+1))-1,0),0,MOD($A316-1,5))+1,0,2,CROQUIS!$C$97-2,2,0)))*CROQUIS!$C$159)+IF(CROQUIS!$C$92="X",0,0)),-1000)</f>
        <v>-1000</v>
      </c>
      <c r="BP316">
        <f>IF(AND(CROQUIS!$C$88=1,CROQUIS!$C$137&gt;0),((CROQUIS!$C$160+(IF(CROQUIS!$C$92="X",((CROQUIS!$C$107/2+(((CROQUIS!$C$97)-CROQUIS!$C$107)-(MAX(1,INT(((CROQUIS!$C$97)-CROQUIS!$C$107)/MAX((CROQUIS!$C$137*MAX(1,CEILING((INT(((CROQUIS!$C$97)-CROQUIS!$C$107)/MAX(CROQUIS!$C$137,1))+1)/80,1))),1))+1)-1)*(CROQUIS!$C$137*MAX(1,CEILING((INT(((CROQUIS!$C$97)-CROQUIS!$C$107)/MAX(CROQUIS!$C$137,1))+1)/80,1))))/2)+MIN(INT(($A316-1)/5),MAX((MAX(1,INT(((CROQUIS!$C$97)-CROQUIS!$C$107)/MAX((CROQUIS!$C$137*MAX(1,CEILING((INT(((CROQUIS!$C$97)-CROQUIS!$C$107)/MAX(CROQUIS!$C$137,1))+1)/80,1))),1))+1))-1,0))*(CROQUIS!$C$137*MAX(1,CEILING((INT(((CROQUIS!$C$97)-CROQUIS!$C$107)/MAX(CROQUIS!$C$137,1))+1)/80,1)))),CHOOSE(IF(INT(($A316-1)/5)&gt;MAX((MAX(1,INT(((CROQUIS!$C$97)-CROQUIS!$C$107)/MAX((CROQUIS!$C$137*MAX(1,CEILING((INT(((CROQUIS!$C$97)-CROQUIS!$C$107)/MAX(CROQUIS!$C$137,1))+1)/80,1))),1))+1))-1,0),0,MOD($A316-1,5))+1,0,2,CROQUIS!$C$98-2,2,0)))*CROQUIS!$C$159)+IF(CROQUIS!$C$92="X",0,0)),-1000)</f>
        <v>-1000</v>
      </c>
      <c r="BQ316">
        <f>IF(AND(CROQUIS!$C$88=1,CROQUIS!$C$137&gt;0),((CROQUIS!$C$161+(IF(CROQUIS!$C$92="X",CHOOSE(IF(INT(($A316-1)/5)&gt;MAX((MAX(1,INT(((CROQUIS!$C$97)-CROQUIS!$C$107)/MAX((CROQUIS!$C$137*MAX(1,CEILING((INT(((CROQUIS!$C$97)-CROQUIS!$C$107)/MAX(CROQUIS!$C$137,1))+1)/80,1))),1))+1))-1,0),0,MOD($A316-1,5))+1,0,2,CROQUIS!$C$98-2,2,0),((CROQUIS!$C$107/2+(((CROQUIS!$C$97)-CROQUIS!$C$107)-(MAX(1,INT(((CROQUIS!$C$97)-CROQUIS!$C$107)/MAX((CROQUIS!$C$137*MAX(1,CEILING((INT(((CROQUIS!$C$97)-CROQUIS!$C$107)/MAX(CROQUIS!$C$137,1))+1)/80,1))),1))+1)-1)*(CROQUIS!$C$137*MAX(1,CEILING((INT(((CROQUIS!$C$97)-CROQUIS!$C$107)/MAX(CROQUIS!$C$137,1))+1)/80,1))))/2)+MIN(INT(($A316-1)/5),MAX((MAX(1,INT(((CROQUIS!$C$97)-CROQUIS!$C$107)/MAX((CROQUIS!$C$137*MAX(1,CEILING((INT(((CROQUIS!$C$97)-CROQUIS!$C$107)/MAX(CROQUIS!$C$137,1))+1)/80,1))),1))+1))-1,0))*(CROQUIS!$C$137*MAX(1,CEILING((INT(((CROQUIS!$C$97)-CROQUIS!$C$107)/MAX(CROQUIS!$C$137,1))+1)/80,1))))))*CROQUIS!$C$159)+IF(CROQUIS!$C$92="X",0,0)),-1000)</f>
        <v>-1000</v>
      </c>
      <c r="BR316">
        <f>IF(AND(CROQUIS!$C$88=1,CROQUIS!$C$91=0,CROQUIS!$C$133&gt;0,OR(CROQUIS!$C$103=1,CROQUIS!$C$145=1)),((CROQUIS!$C$160+(IF(CROQUIS!$C$92="X",CHOOSE(IF(INT(($A316-1)/5)&gt;MAX((MAX(1,INT(((CROQUIS!$C$98)-CROQUIS!$C$107)/MAX((CROQUIS!$C$133*MAX(1,CEILING((INT(((CROQUIS!$C$98)-CROQUIS!$C$107)/MAX(CROQUIS!$C$133,1))+1)/80,1))),1))+1))-1,0),0,MOD($A316-1,5))+1,0,IF(CROQUIS!$C$103=1,-12,2),CROQUIS!$C$107/2+CROQUIS!$C$143,IF(CROQUIS!$C$103=1,-12,2),0),((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BS3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+1,0,IF(CROQUIS!$C$103=1,-12,2),CROQUIS!$C$107/2+CROQUIS!$C$143,IF(CROQUIS!$C$103=1,-12,2),0)))*CROQUIS!$C$159)+IF(CROQUIS!$C$92="X",0.8,0)),-1000)</f>
        <v>-1000</v>
      </c>
      <c r="BT316">
        <f>IF(AND(CROQUIS!$C$88=1,CROQUIS!$C$91=0,CROQUIS!$C$133&gt;0,OR(CROQUIS!$C$104=1,CROQUIS!$C$145=1)),((CROQUIS!$C$160+(IF(CROQUIS!$C$92="X",CHOOSE(IF(INT(($A316-1)/5)&gt;MAX((MAX(1,INT(((CROQUIS!$C$98)-CROQUIS!$C$107)/MAX((CROQUIS!$C$133*MAX(1,CEILING((INT(((CROQUIS!$C$98)-CROQUIS!$C$107)/MAX(CROQUIS!$C$133,1))+1)/80,1))),1))+1))-1,0),0,MOD($A316-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BU3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CROQUIS!$C$97,CROQUIS!$C$97-CROQUIS!$C$107/2-CROQUIS!$C$143,IF(CROQUIS!$C$104=1,CROQUIS!$C$97+12,CROQUIS!$C$97-2),CROQUIS!$C$97-CROQUIS!$C$107/2-CROQUIS!$C$143,CROQUIS!$C$97)))*CROQUIS!$C$159)+IF(CROQUIS!$C$92="X",0.8,0)),-1000)</f>
        <v>-1000</v>
      </c>
      <c r="BV3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HOOSE(IF(INT(($A316-1)/5)&gt;MAX((MAX(1,INT(((CROQUIS!$C$97)-CROQUIS!$C$107)/MAX((CROQUIS!$C$141*MAX(1,CEILING((INT(((CROQUIS!$C$97)-CROQUIS!$C$107)/MAX(CROQUIS!$C$141,1))+1)/80,1))),1))+1))-1,0),0,MOD($A316-1,5))+1,0,IF(CROQUIS!$C$105=1,-12,2),CROQUIS!$C$107/2+CROQUIS!$C$144,IF(CROQUIS!$C$105=1,-12,2),0)))*CROQUIS!$C$159)+IF(CROQUIS!$C$92="X",0.8,0)),-1000)</f>
        <v>-1000</v>
      </c>
      <c r="BW316">
        <f>IF(AND(CROQUIS!$C$88=1,CROQUIS!$C$91=0,CROQUIS!$C$141&gt;0,OR(CROQUIS!$C$105=1,CROQUIS!$C$146=1)),((CROQUIS!$C$161+(IF(CROQUIS!$C$92="X",CHOOSE(IF(INT(($A316-1)/5)&gt;MAX((MAX(1,INT(((CROQUIS!$C$97)-CROQUIS!$C$107)/MAX((CROQUIS!$C$141*MAX(1,CEILING((INT(((CROQUIS!$C$97)-CROQUIS!$C$107)/MAX(CROQUIS!$C$141,1))+1)/80,1))),1))+1))-1,0),0,MOD($A316-1,5))+1,0,IF(CROQUIS!$C$105=1,-12,2),CROQUIS!$C$107/2+CROQUIS!$C$144,IF(CROQUIS!$C$105=1,-12,2),0),((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ROQUIS!$C$159)+IF(CROQUIS!$C$92="X",0,0.8)),-1000)</f>
        <v>-1000</v>
      </c>
      <c r="BX3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HOOSE(IF(INT(($A316-1)/5)&gt;MAX((MAX(1,INT(((CROQUIS!$C$97)-CROQUIS!$C$107)/MAX((CROQUIS!$C$141*MAX(1,CEILING((INT(((CROQUIS!$C$97)-CROQUIS!$C$107)/MAX(CROQUIS!$C$141,1))+1)/80,1))),1))+1))-1,0),0,MOD($A316-1,5))+1,CROQUIS!$C$98,CROQUIS!$C$98-CROQUIS!$C$107/2-CROQUIS!$C$144,IF(CROQUIS!$C$106=1,CROQUIS!$C$98+12,CROQUIS!$C$98-2),CROQUIS!$C$98-CROQUIS!$C$107/2-CROQUIS!$C$144,CROQUIS!$C$98)))*CROQUIS!$C$159)+IF(CROQUIS!$C$92="X",0.8,0)),-1000)</f>
        <v>-1000</v>
      </c>
      <c r="BY316">
        <f>IF(AND(CROQUIS!$C$88=1,CROQUIS!$C$91=0,CROQUIS!$C$141&gt;0,OR(CROQUIS!$C$106=1,CROQUIS!$C$146=1)),((CROQUIS!$C$161+(IF(CROQUIS!$C$92="X",CHOOSE(IF(INT(($A316-1)/5)&gt;MAX((MAX(1,INT(((CROQUIS!$C$97)-CROQUIS!$C$107)/MAX((CROQUIS!$C$141*MAX(1,CEILING((INT(((CROQUIS!$C$97)-CROQUIS!$C$107)/MAX(CROQUIS!$C$141,1))+1)/80,1))),1))+1))-1,0),0,MOD($A316-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ROQUIS!$C$159)+IF(CROQUIS!$C$92="X",0,0.8)),-1000)</f>
        <v>-1000</v>
      </c>
      <c r="BZ316">
        <f>IF(AND(CROQUIS!$C$88=1,CROQUIS!$C$91=1,CROQUIS!$C$133&gt;0),((CROQUIS!$C$160+(IF(CROQUIS!$C$92="X",CHOOSE(IF(INT(($A316-1)/5)&gt;MAX((MAX(1,INT(((CROQUIS!$C$98)-CROQUIS!$C$107)/MAX((CROQUIS!$C$133*MAX(1,CEILING((INT(((CROQUIS!$C$98)-CROQUIS!$C$107)/MAX(CROQUIS!$C$133,1))+1)/80,1))),1))+1))-1,0),0,MOD($A316-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CA316">
        <f>IF(AND(CROQUIS!$C$88=1,CROQUIS!$C$91=1,CROQUIS!$C$133&gt;0),((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7">
      <c r="A317" t="n">
        <v>310</v>
      </c>
      <c r="BN317">
        <f>IF(AND(CROQUIS!$C$88=1,CROQUIS!$C$129&gt;0),((CROQUIS!$C$160+(IF(CROQUIS!$C$92="X",CHOOSE(IF(INT(($A317-1)/5)&gt;MAX((MAX(1,INT(((CROQUIS!$C$98)-CROQUIS!$C$107)/MAX((CROQUIS!$C$129*MAX(1,CEILING((INT(((CROQUIS!$C$98)-CROQUIS!$C$107)/MAX(CROQUIS!$C$129,1))+1)/80,1))),1))+1))-1,0),0,MOD($A317-1,5))+1,0,2,CROQUIS!$C$97-2,2,0),((CROQUIS!$C$107/2+(((CROQUIS!$C$98)-CROQUIS!$C$107)-(MAX(1,INT(((CROQUIS!$C$98)-CROQUIS!$C$107)/MAX((CROQUIS!$C$129*MAX(1,CEILING((INT(((CROQUIS!$C$98)-CROQUIS!$C$107)/MAX(CROQUIS!$C$129,1))+1)/80,1))),1))+1)-1)*(CROQUIS!$C$129*MAX(1,CEILING((INT(((CROQUIS!$C$98)-CROQUIS!$C$107)/MAX(CROQUIS!$C$129,1))+1)/80,1))))/2)+MIN(INT(($A317-1)/5),MAX((MAX(1,INT(((CROQUIS!$C$98)-CROQUIS!$C$107)/MAX((CROQUIS!$C$129*MAX(1,CEILING((INT(((CROQUIS!$C$98)-CROQUIS!$C$107)/MAX(CROQUIS!$C$129,1))+1)/80,1))),1))+1))-1,0))*(CROQUIS!$C$129*MAX(1,CEILING((INT(((CROQUIS!$C$98)-CROQUIS!$C$107)/MAX(CROQUIS!$C$129,1))+1)/80,1))))))*CROQUIS!$C$159)+IF(CROQUIS!$C$92="X",0,0)),-1000)</f>
        <v>-1000</v>
      </c>
      <c r="BO317">
        <f>IF(AND(CROQUIS!$C$88=1,CROQUIS!$C$129&gt;0),((CROQUIS!$C$161+(IF(CROQUIS!$C$92="X",((CROQUIS!$C$107/2+(((CROQUIS!$C$98)-CROQUIS!$C$107)-(MAX(1,INT(((CROQUIS!$C$98)-CROQUIS!$C$107)/MAX((CROQUIS!$C$129*MAX(1,CEILING((INT(((CROQUIS!$C$98)-CROQUIS!$C$107)/MAX(CROQUIS!$C$129,1))+1)/80,1))),1))+1)-1)*(CROQUIS!$C$129*MAX(1,CEILING((INT(((CROQUIS!$C$98)-CROQUIS!$C$107)/MAX(CROQUIS!$C$129,1))+1)/80,1))))/2)+MIN(INT(($A317-1)/5),MAX((MAX(1,INT(((CROQUIS!$C$98)-CROQUIS!$C$107)/MAX((CROQUIS!$C$129*MAX(1,CEILING((INT(((CROQUIS!$C$98)-CROQUIS!$C$107)/MAX(CROQUIS!$C$129,1))+1)/80,1))),1))+1))-1,0))*(CROQUIS!$C$129*MAX(1,CEILING((INT(((CROQUIS!$C$98)-CROQUIS!$C$107)/MAX(CROQUIS!$C$129,1))+1)/80,1)))),CHOOSE(IF(INT(($A317-1)/5)&gt;MAX((MAX(1,INT(((CROQUIS!$C$98)-CROQUIS!$C$107)/MAX((CROQUIS!$C$129*MAX(1,CEILING((INT(((CROQUIS!$C$98)-CROQUIS!$C$107)/MAX(CROQUIS!$C$129,1))+1)/80,1))),1))+1))-1,0),0,MOD($A317-1,5))+1,0,2,CROQUIS!$C$97-2,2,0)))*CROQUIS!$C$159)+IF(CROQUIS!$C$92="X",0,0)),-1000)</f>
        <v>-1000</v>
      </c>
      <c r="BP317">
        <f>IF(AND(CROQUIS!$C$88=1,CROQUIS!$C$137&gt;0),((CROQUIS!$C$160+(IF(CROQUIS!$C$92="X",((CROQUIS!$C$107/2+(((CROQUIS!$C$97)-CROQUIS!$C$107)-(MAX(1,INT(((CROQUIS!$C$97)-CROQUIS!$C$107)/MAX((CROQUIS!$C$137*MAX(1,CEILING((INT(((CROQUIS!$C$97)-CROQUIS!$C$107)/MAX(CROQUIS!$C$137,1))+1)/80,1))),1))+1)-1)*(CROQUIS!$C$137*MAX(1,CEILING((INT(((CROQUIS!$C$97)-CROQUIS!$C$107)/MAX(CROQUIS!$C$137,1))+1)/80,1))))/2)+MIN(INT(($A317-1)/5),MAX((MAX(1,INT(((CROQUIS!$C$97)-CROQUIS!$C$107)/MAX((CROQUIS!$C$137*MAX(1,CEILING((INT(((CROQUIS!$C$97)-CROQUIS!$C$107)/MAX(CROQUIS!$C$137,1))+1)/80,1))),1))+1))-1,0))*(CROQUIS!$C$137*MAX(1,CEILING((INT(((CROQUIS!$C$97)-CROQUIS!$C$107)/MAX(CROQUIS!$C$137,1))+1)/80,1)))),CHOOSE(IF(INT(($A317-1)/5)&gt;MAX((MAX(1,INT(((CROQUIS!$C$97)-CROQUIS!$C$107)/MAX((CROQUIS!$C$137*MAX(1,CEILING((INT(((CROQUIS!$C$97)-CROQUIS!$C$107)/MAX(CROQUIS!$C$137,1))+1)/80,1))),1))+1))-1,0),0,MOD($A317-1,5))+1,0,2,CROQUIS!$C$98-2,2,0)))*CROQUIS!$C$159)+IF(CROQUIS!$C$92="X",0,0)),-1000)</f>
        <v>-1000</v>
      </c>
      <c r="BQ317">
        <f>IF(AND(CROQUIS!$C$88=1,CROQUIS!$C$137&gt;0),((CROQUIS!$C$161+(IF(CROQUIS!$C$92="X",CHOOSE(IF(INT(($A317-1)/5)&gt;MAX((MAX(1,INT(((CROQUIS!$C$97)-CROQUIS!$C$107)/MAX((CROQUIS!$C$137*MAX(1,CEILING((INT(((CROQUIS!$C$97)-CROQUIS!$C$107)/MAX(CROQUIS!$C$137,1))+1)/80,1))),1))+1))-1,0),0,MOD($A317-1,5))+1,0,2,CROQUIS!$C$98-2,2,0),((CROQUIS!$C$107/2+(((CROQUIS!$C$97)-CROQUIS!$C$107)-(MAX(1,INT(((CROQUIS!$C$97)-CROQUIS!$C$107)/MAX((CROQUIS!$C$137*MAX(1,CEILING((INT(((CROQUIS!$C$97)-CROQUIS!$C$107)/MAX(CROQUIS!$C$137,1))+1)/80,1))),1))+1)-1)*(CROQUIS!$C$137*MAX(1,CEILING((INT(((CROQUIS!$C$97)-CROQUIS!$C$107)/MAX(CROQUIS!$C$137,1))+1)/80,1))))/2)+MIN(INT(($A317-1)/5),MAX((MAX(1,INT(((CROQUIS!$C$97)-CROQUIS!$C$107)/MAX((CROQUIS!$C$137*MAX(1,CEILING((INT(((CROQUIS!$C$97)-CROQUIS!$C$107)/MAX(CROQUIS!$C$137,1))+1)/80,1))),1))+1))-1,0))*(CROQUIS!$C$137*MAX(1,CEILING((INT(((CROQUIS!$C$97)-CROQUIS!$C$107)/MAX(CROQUIS!$C$137,1))+1)/80,1))))))*CROQUIS!$C$159)+IF(CROQUIS!$C$92="X",0,0)),-1000)</f>
        <v>-1000</v>
      </c>
      <c r="BR317">
        <f>IF(AND(CROQUIS!$C$88=1,CROQUIS!$C$91=0,CROQUIS!$C$133&gt;0,OR(CROQUIS!$C$103=1,CROQUIS!$C$145=1)),((CROQUIS!$C$160+(IF(CROQUIS!$C$92="X",CHOOSE(IF(INT(($A317-1)/5)&gt;MAX((MAX(1,INT(((CROQUIS!$C$98)-CROQUIS!$C$107)/MAX((CROQUIS!$C$133*MAX(1,CEILING((INT(((CROQUIS!$C$98)-CROQUIS!$C$107)/MAX(CROQUIS!$C$133,1))+1)/80,1))),1))+1))-1,0),0,MOD($A317-1,5))+1,0,IF(CROQUIS!$C$103=1,-12,2),CROQUIS!$C$107/2+CROQUIS!$C$143,IF(CROQUIS!$C$103=1,-12,2),0),((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BS3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+1,0,IF(CROQUIS!$C$103=1,-12,2),CROQUIS!$C$107/2+CROQUIS!$C$143,IF(CROQUIS!$C$103=1,-12,2),0)))*CROQUIS!$C$159)+IF(CROQUIS!$C$92="X",0.8,0)),-1000)</f>
        <v>-1000</v>
      </c>
      <c r="BT317">
        <f>IF(AND(CROQUIS!$C$88=1,CROQUIS!$C$91=0,CROQUIS!$C$133&gt;0,OR(CROQUIS!$C$104=1,CROQUIS!$C$145=1)),((CROQUIS!$C$160+(IF(CROQUIS!$C$92="X",CHOOSE(IF(INT(($A317-1)/5)&gt;MAX((MAX(1,INT(((CROQUIS!$C$98)-CROQUIS!$C$107)/MAX((CROQUIS!$C$133*MAX(1,CEILING((INT(((CROQUIS!$C$98)-CROQUIS!$C$107)/MAX(CROQUIS!$C$133,1))+1)/80,1))),1))+1))-1,0),0,MOD($A317-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BU3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CROQUIS!$C$97,CROQUIS!$C$97-CROQUIS!$C$107/2-CROQUIS!$C$143,IF(CROQUIS!$C$104=1,CROQUIS!$C$97+12,CROQUIS!$C$97-2),CROQUIS!$C$97-CROQUIS!$C$107/2-CROQUIS!$C$143,CROQUIS!$C$97)))*CROQUIS!$C$159)+IF(CROQUIS!$C$92="X",0.8,0)),-1000)</f>
        <v>-1000</v>
      </c>
      <c r="BV3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HOOSE(IF(INT(($A317-1)/5)&gt;MAX((MAX(1,INT(((CROQUIS!$C$97)-CROQUIS!$C$107)/MAX((CROQUIS!$C$141*MAX(1,CEILING((INT(((CROQUIS!$C$97)-CROQUIS!$C$107)/MAX(CROQUIS!$C$141,1))+1)/80,1))),1))+1))-1,0),0,MOD($A317-1,5))+1,0,IF(CROQUIS!$C$105=1,-12,2),CROQUIS!$C$107/2+CROQUIS!$C$144,IF(CROQUIS!$C$105=1,-12,2),0)))*CROQUIS!$C$159)+IF(CROQUIS!$C$92="X",0.8,0)),-1000)</f>
        <v>-1000</v>
      </c>
      <c r="BW317">
        <f>IF(AND(CROQUIS!$C$88=1,CROQUIS!$C$91=0,CROQUIS!$C$141&gt;0,OR(CROQUIS!$C$105=1,CROQUIS!$C$146=1)),((CROQUIS!$C$161+(IF(CROQUIS!$C$92="X",CHOOSE(IF(INT(($A317-1)/5)&gt;MAX((MAX(1,INT(((CROQUIS!$C$97)-CROQUIS!$C$107)/MAX((CROQUIS!$C$141*MAX(1,CEILING((INT(((CROQUIS!$C$97)-CROQUIS!$C$107)/MAX(CROQUIS!$C$141,1))+1)/80,1))),1))+1))-1,0),0,MOD($A317-1,5))+1,0,IF(CROQUIS!$C$105=1,-12,2),CROQUIS!$C$107/2+CROQUIS!$C$144,IF(CROQUIS!$C$105=1,-12,2),0),((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ROQUIS!$C$159)+IF(CROQUIS!$C$92="X",0,0.8)),-1000)</f>
        <v>-1000</v>
      </c>
      <c r="BX3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HOOSE(IF(INT(($A317-1)/5)&gt;MAX((MAX(1,INT(((CROQUIS!$C$97)-CROQUIS!$C$107)/MAX((CROQUIS!$C$141*MAX(1,CEILING((INT(((CROQUIS!$C$97)-CROQUIS!$C$107)/MAX(CROQUIS!$C$141,1))+1)/80,1))),1))+1))-1,0),0,MOD($A317-1,5))+1,CROQUIS!$C$98,CROQUIS!$C$98-CROQUIS!$C$107/2-CROQUIS!$C$144,IF(CROQUIS!$C$106=1,CROQUIS!$C$98+12,CROQUIS!$C$98-2),CROQUIS!$C$98-CROQUIS!$C$107/2-CROQUIS!$C$144,CROQUIS!$C$98)))*CROQUIS!$C$159)+IF(CROQUIS!$C$92="X",0.8,0)),-1000)</f>
        <v>-1000</v>
      </c>
      <c r="BY317">
        <f>IF(AND(CROQUIS!$C$88=1,CROQUIS!$C$91=0,CROQUIS!$C$141&gt;0,OR(CROQUIS!$C$106=1,CROQUIS!$C$146=1)),((CROQUIS!$C$161+(IF(CROQUIS!$C$92="X",CHOOSE(IF(INT(($A317-1)/5)&gt;MAX((MAX(1,INT(((CROQUIS!$C$97)-CROQUIS!$C$107)/MAX((CROQUIS!$C$141*MAX(1,CEILING((INT(((CROQUIS!$C$97)-CROQUIS!$C$107)/MAX(CROQUIS!$C$141,1))+1)/80,1))),1))+1))-1,0),0,MOD($A317-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ROQUIS!$C$159)+IF(CROQUIS!$C$92="X",0,0.8)),-1000)</f>
        <v>-1000</v>
      </c>
      <c r="BZ317">
        <f>IF(AND(CROQUIS!$C$88=1,CROQUIS!$C$91=1,CROQUIS!$C$133&gt;0),((CROQUIS!$C$160+(IF(CROQUIS!$C$92="X",CHOOSE(IF(INT(($A317-1)/5)&gt;MAX((MAX(1,INT(((CROQUIS!$C$98)-CROQUIS!$C$107)/MAX((CROQUIS!$C$133*MAX(1,CEILING((INT(((CROQUIS!$C$98)-CROQUIS!$C$107)/MAX(CROQUIS!$C$133,1))+1)/80,1))),1))+1))-1,0),0,MOD($A317-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CA317">
        <f>IF(AND(CROQUIS!$C$88=1,CROQUIS!$C$91=1,CROQUIS!$C$133&gt;0),((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8">
      <c r="A318" t="n">
        <v>311</v>
      </c>
      <c r="BN318">
        <f>IF(AND(CROQUIS!$C$88=1,CROQUIS!$C$129&gt;0),((CROQUIS!$C$160+(IF(CROQUIS!$C$92="X",CHOOSE(IF(INT(($A318-1)/5)&gt;MAX((MAX(1,INT(((CROQUIS!$C$98)-CROQUIS!$C$107)/MAX((CROQUIS!$C$129*MAX(1,CEILING((INT(((CROQUIS!$C$98)-CROQUIS!$C$107)/MAX(CROQUIS!$C$129,1))+1)/80,1))),1))+1))-1,0),0,MOD($A318-1,5))+1,0,2,CROQUIS!$C$97-2,2,0),((CROQUIS!$C$107/2+(((CROQUIS!$C$98)-CROQUIS!$C$107)-(MAX(1,INT(((CROQUIS!$C$98)-CROQUIS!$C$107)/MAX((CROQUIS!$C$129*MAX(1,CEILING((INT(((CROQUIS!$C$98)-CROQUIS!$C$107)/MAX(CROQUIS!$C$129,1))+1)/80,1))),1))+1)-1)*(CROQUIS!$C$129*MAX(1,CEILING((INT(((CROQUIS!$C$98)-CROQUIS!$C$107)/MAX(CROQUIS!$C$129,1))+1)/80,1))))/2)+MIN(INT(($A318-1)/5),MAX((MAX(1,INT(((CROQUIS!$C$98)-CROQUIS!$C$107)/MAX((CROQUIS!$C$129*MAX(1,CEILING((INT(((CROQUIS!$C$98)-CROQUIS!$C$107)/MAX(CROQUIS!$C$129,1))+1)/80,1))),1))+1))-1,0))*(CROQUIS!$C$129*MAX(1,CEILING((INT(((CROQUIS!$C$98)-CROQUIS!$C$107)/MAX(CROQUIS!$C$129,1))+1)/80,1))))))*CROQUIS!$C$159)+IF(CROQUIS!$C$92="X",0,0)),-1000)</f>
        <v>-1000</v>
      </c>
      <c r="BO318">
        <f>IF(AND(CROQUIS!$C$88=1,CROQUIS!$C$129&gt;0),((CROQUIS!$C$161+(IF(CROQUIS!$C$92="X",((CROQUIS!$C$107/2+(((CROQUIS!$C$98)-CROQUIS!$C$107)-(MAX(1,INT(((CROQUIS!$C$98)-CROQUIS!$C$107)/MAX((CROQUIS!$C$129*MAX(1,CEILING((INT(((CROQUIS!$C$98)-CROQUIS!$C$107)/MAX(CROQUIS!$C$129,1))+1)/80,1))),1))+1)-1)*(CROQUIS!$C$129*MAX(1,CEILING((INT(((CROQUIS!$C$98)-CROQUIS!$C$107)/MAX(CROQUIS!$C$129,1))+1)/80,1))))/2)+MIN(INT(($A318-1)/5),MAX((MAX(1,INT(((CROQUIS!$C$98)-CROQUIS!$C$107)/MAX((CROQUIS!$C$129*MAX(1,CEILING((INT(((CROQUIS!$C$98)-CROQUIS!$C$107)/MAX(CROQUIS!$C$129,1))+1)/80,1))),1))+1))-1,0))*(CROQUIS!$C$129*MAX(1,CEILING((INT(((CROQUIS!$C$98)-CROQUIS!$C$107)/MAX(CROQUIS!$C$129,1))+1)/80,1)))),CHOOSE(IF(INT(($A318-1)/5)&gt;MAX((MAX(1,INT(((CROQUIS!$C$98)-CROQUIS!$C$107)/MAX((CROQUIS!$C$129*MAX(1,CEILING((INT(((CROQUIS!$C$98)-CROQUIS!$C$107)/MAX(CROQUIS!$C$129,1))+1)/80,1))),1))+1))-1,0),0,MOD($A318-1,5))+1,0,2,CROQUIS!$C$97-2,2,0)))*CROQUIS!$C$159)+IF(CROQUIS!$C$92="X",0,0)),-1000)</f>
        <v>-1000</v>
      </c>
      <c r="BP318">
        <f>IF(AND(CROQUIS!$C$88=1,CROQUIS!$C$137&gt;0),((CROQUIS!$C$160+(IF(CROQUIS!$C$92="X",((CROQUIS!$C$107/2+(((CROQUIS!$C$97)-CROQUIS!$C$107)-(MAX(1,INT(((CROQUIS!$C$97)-CROQUIS!$C$107)/MAX((CROQUIS!$C$137*MAX(1,CEILING((INT(((CROQUIS!$C$97)-CROQUIS!$C$107)/MAX(CROQUIS!$C$137,1))+1)/80,1))),1))+1)-1)*(CROQUIS!$C$137*MAX(1,CEILING((INT(((CROQUIS!$C$97)-CROQUIS!$C$107)/MAX(CROQUIS!$C$137,1))+1)/80,1))))/2)+MIN(INT(($A318-1)/5),MAX((MAX(1,INT(((CROQUIS!$C$97)-CROQUIS!$C$107)/MAX((CROQUIS!$C$137*MAX(1,CEILING((INT(((CROQUIS!$C$97)-CROQUIS!$C$107)/MAX(CROQUIS!$C$137,1))+1)/80,1))),1))+1))-1,0))*(CROQUIS!$C$137*MAX(1,CEILING((INT(((CROQUIS!$C$97)-CROQUIS!$C$107)/MAX(CROQUIS!$C$137,1))+1)/80,1)))),CHOOSE(IF(INT(($A318-1)/5)&gt;MAX((MAX(1,INT(((CROQUIS!$C$97)-CROQUIS!$C$107)/MAX((CROQUIS!$C$137*MAX(1,CEILING((INT(((CROQUIS!$C$97)-CROQUIS!$C$107)/MAX(CROQUIS!$C$137,1))+1)/80,1))),1))+1))-1,0),0,MOD($A318-1,5))+1,0,2,CROQUIS!$C$98-2,2,0)))*CROQUIS!$C$159)+IF(CROQUIS!$C$92="X",0,0)),-1000)</f>
        <v>-1000</v>
      </c>
      <c r="BQ318">
        <f>IF(AND(CROQUIS!$C$88=1,CROQUIS!$C$137&gt;0),((CROQUIS!$C$161+(IF(CROQUIS!$C$92="X",CHOOSE(IF(INT(($A318-1)/5)&gt;MAX((MAX(1,INT(((CROQUIS!$C$97)-CROQUIS!$C$107)/MAX((CROQUIS!$C$137*MAX(1,CEILING((INT(((CROQUIS!$C$97)-CROQUIS!$C$107)/MAX(CROQUIS!$C$137,1))+1)/80,1))),1))+1))-1,0),0,MOD($A318-1,5))+1,0,2,CROQUIS!$C$98-2,2,0),((CROQUIS!$C$107/2+(((CROQUIS!$C$97)-CROQUIS!$C$107)-(MAX(1,INT(((CROQUIS!$C$97)-CROQUIS!$C$107)/MAX((CROQUIS!$C$137*MAX(1,CEILING((INT(((CROQUIS!$C$97)-CROQUIS!$C$107)/MAX(CROQUIS!$C$137,1))+1)/80,1))),1))+1)-1)*(CROQUIS!$C$137*MAX(1,CEILING((INT(((CROQUIS!$C$97)-CROQUIS!$C$107)/MAX(CROQUIS!$C$137,1))+1)/80,1))))/2)+MIN(INT(($A318-1)/5),MAX((MAX(1,INT(((CROQUIS!$C$97)-CROQUIS!$C$107)/MAX((CROQUIS!$C$137*MAX(1,CEILING((INT(((CROQUIS!$C$97)-CROQUIS!$C$107)/MAX(CROQUIS!$C$137,1))+1)/80,1))),1))+1))-1,0))*(CROQUIS!$C$137*MAX(1,CEILING((INT(((CROQUIS!$C$97)-CROQUIS!$C$107)/MAX(CROQUIS!$C$137,1))+1)/80,1))))))*CROQUIS!$C$159)+IF(CROQUIS!$C$92="X",0,0)),-1000)</f>
        <v>-1000</v>
      </c>
      <c r="BR318">
        <f>IF(AND(CROQUIS!$C$88=1,CROQUIS!$C$91=0,CROQUIS!$C$133&gt;0,OR(CROQUIS!$C$103=1,CROQUIS!$C$145=1)),((CROQUIS!$C$160+(IF(CROQUIS!$C$92="X",CHOOSE(IF(INT(($A318-1)/5)&gt;MAX((MAX(1,INT(((CROQUIS!$C$98)-CROQUIS!$C$107)/MAX((CROQUIS!$C$133*MAX(1,CEILING((INT(((CROQUIS!$C$98)-CROQUIS!$C$107)/MAX(CROQUIS!$C$133,1))+1)/80,1))),1))+1))-1,0),0,MOD($A318-1,5))+1,0,IF(CROQUIS!$C$103=1,-12,2),CROQUIS!$C$107/2+CROQUIS!$C$143,IF(CROQUIS!$C$103=1,-12,2),0),((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BS3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+1,0,IF(CROQUIS!$C$103=1,-12,2),CROQUIS!$C$107/2+CROQUIS!$C$143,IF(CROQUIS!$C$103=1,-12,2),0)))*CROQUIS!$C$159)+IF(CROQUIS!$C$92="X",0.8,0)),-1000)</f>
        <v>-1000</v>
      </c>
      <c r="BT318">
        <f>IF(AND(CROQUIS!$C$88=1,CROQUIS!$C$91=0,CROQUIS!$C$133&gt;0,OR(CROQUIS!$C$104=1,CROQUIS!$C$145=1)),((CROQUIS!$C$160+(IF(CROQUIS!$C$92="X",CHOOSE(IF(INT(($A318-1)/5)&gt;MAX((MAX(1,INT(((CROQUIS!$C$98)-CROQUIS!$C$107)/MAX((CROQUIS!$C$133*MAX(1,CEILING((INT(((CROQUIS!$C$98)-CROQUIS!$C$107)/MAX(CROQUIS!$C$133,1))+1)/80,1))),1))+1))-1,0),0,MOD($A318-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BU3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CROQUIS!$C$97,CROQUIS!$C$97-CROQUIS!$C$107/2-CROQUIS!$C$143,IF(CROQUIS!$C$104=1,CROQUIS!$C$97+12,CROQUIS!$C$97-2),CROQUIS!$C$97-CROQUIS!$C$107/2-CROQUIS!$C$143,CROQUIS!$C$97)))*CROQUIS!$C$159)+IF(CROQUIS!$C$92="X",0.8,0)),-1000)</f>
        <v>-1000</v>
      </c>
      <c r="BV3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HOOSE(IF(INT(($A318-1)/5)&gt;MAX((MAX(1,INT(((CROQUIS!$C$97)-CROQUIS!$C$107)/MAX((CROQUIS!$C$141*MAX(1,CEILING((INT(((CROQUIS!$C$97)-CROQUIS!$C$107)/MAX(CROQUIS!$C$141,1))+1)/80,1))),1))+1))-1,0),0,MOD($A318-1,5))+1,0,IF(CROQUIS!$C$105=1,-12,2),CROQUIS!$C$107/2+CROQUIS!$C$144,IF(CROQUIS!$C$105=1,-12,2),0)))*CROQUIS!$C$159)+IF(CROQUIS!$C$92="X",0.8,0)),-1000)</f>
        <v>-1000</v>
      </c>
      <c r="BW318">
        <f>IF(AND(CROQUIS!$C$88=1,CROQUIS!$C$91=0,CROQUIS!$C$141&gt;0,OR(CROQUIS!$C$105=1,CROQUIS!$C$146=1)),((CROQUIS!$C$161+(IF(CROQUIS!$C$92="X",CHOOSE(IF(INT(($A318-1)/5)&gt;MAX((MAX(1,INT(((CROQUIS!$C$97)-CROQUIS!$C$107)/MAX((CROQUIS!$C$141*MAX(1,CEILING((INT(((CROQUIS!$C$97)-CROQUIS!$C$107)/MAX(CROQUIS!$C$141,1))+1)/80,1))),1))+1))-1,0),0,MOD($A318-1,5))+1,0,IF(CROQUIS!$C$105=1,-12,2),CROQUIS!$C$107/2+CROQUIS!$C$144,IF(CROQUIS!$C$105=1,-12,2),0),((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ROQUIS!$C$159)+IF(CROQUIS!$C$92="X",0,0.8)),-1000)</f>
        <v>-1000</v>
      </c>
      <c r="BX3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HOOSE(IF(INT(($A318-1)/5)&gt;MAX((MAX(1,INT(((CROQUIS!$C$97)-CROQUIS!$C$107)/MAX((CROQUIS!$C$141*MAX(1,CEILING((INT(((CROQUIS!$C$97)-CROQUIS!$C$107)/MAX(CROQUIS!$C$141,1))+1)/80,1))),1))+1))-1,0),0,MOD($A318-1,5))+1,CROQUIS!$C$98,CROQUIS!$C$98-CROQUIS!$C$107/2-CROQUIS!$C$144,IF(CROQUIS!$C$106=1,CROQUIS!$C$98+12,CROQUIS!$C$98-2),CROQUIS!$C$98-CROQUIS!$C$107/2-CROQUIS!$C$144,CROQUIS!$C$98)))*CROQUIS!$C$159)+IF(CROQUIS!$C$92="X",0.8,0)),-1000)</f>
        <v>-1000</v>
      </c>
      <c r="BY318">
        <f>IF(AND(CROQUIS!$C$88=1,CROQUIS!$C$91=0,CROQUIS!$C$141&gt;0,OR(CROQUIS!$C$106=1,CROQUIS!$C$146=1)),((CROQUIS!$C$161+(IF(CROQUIS!$C$92="X",CHOOSE(IF(INT(($A318-1)/5)&gt;MAX((MAX(1,INT(((CROQUIS!$C$97)-CROQUIS!$C$107)/MAX((CROQUIS!$C$141*MAX(1,CEILING((INT(((CROQUIS!$C$97)-CROQUIS!$C$107)/MAX(CROQUIS!$C$141,1))+1)/80,1))),1))+1))-1,0),0,MOD($A318-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ROQUIS!$C$159)+IF(CROQUIS!$C$92="X",0,0.8)),-1000)</f>
        <v>-1000</v>
      </c>
      <c r="BZ318">
        <f>IF(AND(CROQUIS!$C$88=1,CROQUIS!$C$91=1,CROQUIS!$C$133&gt;0),((CROQUIS!$C$160+(IF(CROQUIS!$C$92="X",CHOOSE(IF(INT(($A318-1)/5)&gt;MAX((MAX(1,INT(((CROQUIS!$C$98)-CROQUIS!$C$107)/MAX((CROQUIS!$C$133*MAX(1,CEILING((INT(((CROQUIS!$C$98)-CROQUIS!$C$107)/MAX(CROQUIS!$C$133,1))+1)/80,1))),1))+1))-1,0),0,MOD($A318-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CA318">
        <f>IF(AND(CROQUIS!$C$88=1,CROQUIS!$C$91=1,CROQUIS!$C$133&gt;0),((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9">
      <c r="A319" t="n">
        <v>312</v>
      </c>
      <c r="BN319">
        <f>IF(AND(CROQUIS!$C$88=1,CROQUIS!$C$129&gt;0),((CROQUIS!$C$160+(IF(CROQUIS!$C$92="X",CHOOSE(IF(INT(($A319-1)/5)&gt;MAX((MAX(1,INT(((CROQUIS!$C$98)-CROQUIS!$C$107)/MAX((CROQUIS!$C$129*MAX(1,CEILING((INT(((CROQUIS!$C$98)-CROQUIS!$C$107)/MAX(CROQUIS!$C$129,1))+1)/80,1))),1))+1))-1,0),0,MOD($A319-1,5))+1,0,2,CROQUIS!$C$97-2,2,0),((CROQUIS!$C$107/2+(((CROQUIS!$C$98)-CROQUIS!$C$107)-(MAX(1,INT(((CROQUIS!$C$98)-CROQUIS!$C$107)/MAX((CROQUIS!$C$129*MAX(1,CEILING((INT(((CROQUIS!$C$98)-CROQUIS!$C$107)/MAX(CROQUIS!$C$129,1))+1)/80,1))),1))+1)-1)*(CROQUIS!$C$129*MAX(1,CEILING((INT(((CROQUIS!$C$98)-CROQUIS!$C$107)/MAX(CROQUIS!$C$129,1))+1)/80,1))))/2)+MIN(INT(($A319-1)/5),MAX((MAX(1,INT(((CROQUIS!$C$98)-CROQUIS!$C$107)/MAX((CROQUIS!$C$129*MAX(1,CEILING((INT(((CROQUIS!$C$98)-CROQUIS!$C$107)/MAX(CROQUIS!$C$129,1))+1)/80,1))),1))+1))-1,0))*(CROQUIS!$C$129*MAX(1,CEILING((INT(((CROQUIS!$C$98)-CROQUIS!$C$107)/MAX(CROQUIS!$C$129,1))+1)/80,1))))))*CROQUIS!$C$159)+IF(CROQUIS!$C$92="X",0,0)),-1000)</f>
        <v>-1000</v>
      </c>
      <c r="BO319">
        <f>IF(AND(CROQUIS!$C$88=1,CROQUIS!$C$129&gt;0),((CROQUIS!$C$161+(IF(CROQUIS!$C$92="X",((CROQUIS!$C$107/2+(((CROQUIS!$C$98)-CROQUIS!$C$107)-(MAX(1,INT(((CROQUIS!$C$98)-CROQUIS!$C$107)/MAX((CROQUIS!$C$129*MAX(1,CEILING((INT(((CROQUIS!$C$98)-CROQUIS!$C$107)/MAX(CROQUIS!$C$129,1))+1)/80,1))),1))+1)-1)*(CROQUIS!$C$129*MAX(1,CEILING((INT(((CROQUIS!$C$98)-CROQUIS!$C$107)/MAX(CROQUIS!$C$129,1))+1)/80,1))))/2)+MIN(INT(($A319-1)/5),MAX((MAX(1,INT(((CROQUIS!$C$98)-CROQUIS!$C$107)/MAX((CROQUIS!$C$129*MAX(1,CEILING((INT(((CROQUIS!$C$98)-CROQUIS!$C$107)/MAX(CROQUIS!$C$129,1))+1)/80,1))),1))+1))-1,0))*(CROQUIS!$C$129*MAX(1,CEILING((INT(((CROQUIS!$C$98)-CROQUIS!$C$107)/MAX(CROQUIS!$C$129,1))+1)/80,1)))),CHOOSE(IF(INT(($A319-1)/5)&gt;MAX((MAX(1,INT(((CROQUIS!$C$98)-CROQUIS!$C$107)/MAX((CROQUIS!$C$129*MAX(1,CEILING((INT(((CROQUIS!$C$98)-CROQUIS!$C$107)/MAX(CROQUIS!$C$129,1))+1)/80,1))),1))+1))-1,0),0,MOD($A319-1,5))+1,0,2,CROQUIS!$C$97-2,2,0)))*CROQUIS!$C$159)+IF(CROQUIS!$C$92="X",0,0)),-1000)</f>
        <v>-1000</v>
      </c>
      <c r="BP319">
        <f>IF(AND(CROQUIS!$C$88=1,CROQUIS!$C$137&gt;0),((CROQUIS!$C$160+(IF(CROQUIS!$C$92="X",((CROQUIS!$C$107/2+(((CROQUIS!$C$97)-CROQUIS!$C$107)-(MAX(1,INT(((CROQUIS!$C$97)-CROQUIS!$C$107)/MAX((CROQUIS!$C$137*MAX(1,CEILING((INT(((CROQUIS!$C$97)-CROQUIS!$C$107)/MAX(CROQUIS!$C$137,1))+1)/80,1))),1))+1)-1)*(CROQUIS!$C$137*MAX(1,CEILING((INT(((CROQUIS!$C$97)-CROQUIS!$C$107)/MAX(CROQUIS!$C$137,1))+1)/80,1))))/2)+MIN(INT(($A319-1)/5),MAX((MAX(1,INT(((CROQUIS!$C$97)-CROQUIS!$C$107)/MAX((CROQUIS!$C$137*MAX(1,CEILING((INT(((CROQUIS!$C$97)-CROQUIS!$C$107)/MAX(CROQUIS!$C$137,1))+1)/80,1))),1))+1))-1,0))*(CROQUIS!$C$137*MAX(1,CEILING((INT(((CROQUIS!$C$97)-CROQUIS!$C$107)/MAX(CROQUIS!$C$137,1))+1)/80,1)))),CHOOSE(IF(INT(($A319-1)/5)&gt;MAX((MAX(1,INT(((CROQUIS!$C$97)-CROQUIS!$C$107)/MAX((CROQUIS!$C$137*MAX(1,CEILING((INT(((CROQUIS!$C$97)-CROQUIS!$C$107)/MAX(CROQUIS!$C$137,1))+1)/80,1))),1))+1))-1,0),0,MOD($A319-1,5))+1,0,2,CROQUIS!$C$98-2,2,0)))*CROQUIS!$C$159)+IF(CROQUIS!$C$92="X",0,0)),-1000)</f>
        <v>-1000</v>
      </c>
      <c r="BQ319">
        <f>IF(AND(CROQUIS!$C$88=1,CROQUIS!$C$137&gt;0),((CROQUIS!$C$161+(IF(CROQUIS!$C$92="X",CHOOSE(IF(INT(($A319-1)/5)&gt;MAX((MAX(1,INT(((CROQUIS!$C$97)-CROQUIS!$C$107)/MAX((CROQUIS!$C$137*MAX(1,CEILING((INT(((CROQUIS!$C$97)-CROQUIS!$C$107)/MAX(CROQUIS!$C$137,1))+1)/80,1))),1))+1))-1,0),0,MOD($A319-1,5))+1,0,2,CROQUIS!$C$98-2,2,0),((CROQUIS!$C$107/2+(((CROQUIS!$C$97)-CROQUIS!$C$107)-(MAX(1,INT(((CROQUIS!$C$97)-CROQUIS!$C$107)/MAX((CROQUIS!$C$137*MAX(1,CEILING((INT(((CROQUIS!$C$97)-CROQUIS!$C$107)/MAX(CROQUIS!$C$137,1))+1)/80,1))),1))+1)-1)*(CROQUIS!$C$137*MAX(1,CEILING((INT(((CROQUIS!$C$97)-CROQUIS!$C$107)/MAX(CROQUIS!$C$137,1))+1)/80,1))))/2)+MIN(INT(($A319-1)/5),MAX((MAX(1,INT(((CROQUIS!$C$97)-CROQUIS!$C$107)/MAX((CROQUIS!$C$137*MAX(1,CEILING((INT(((CROQUIS!$C$97)-CROQUIS!$C$107)/MAX(CROQUIS!$C$137,1))+1)/80,1))),1))+1))-1,0))*(CROQUIS!$C$137*MAX(1,CEILING((INT(((CROQUIS!$C$97)-CROQUIS!$C$107)/MAX(CROQUIS!$C$137,1))+1)/80,1))))))*CROQUIS!$C$159)+IF(CROQUIS!$C$92="X",0,0)),-1000)</f>
        <v>-1000</v>
      </c>
      <c r="BR319">
        <f>IF(AND(CROQUIS!$C$88=1,CROQUIS!$C$91=0,CROQUIS!$C$133&gt;0,OR(CROQUIS!$C$103=1,CROQUIS!$C$145=1)),((CROQUIS!$C$160+(IF(CROQUIS!$C$92="X",CHOOSE(IF(INT(($A319-1)/5)&gt;MAX((MAX(1,INT(((CROQUIS!$C$98)-CROQUIS!$C$107)/MAX((CROQUIS!$C$133*MAX(1,CEILING((INT(((CROQUIS!$C$98)-CROQUIS!$C$107)/MAX(CROQUIS!$C$133,1))+1)/80,1))),1))+1))-1,0),0,MOD($A319-1,5))+1,0,IF(CROQUIS!$C$103=1,-12,2),CROQUIS!$C$107/2+CROQUIS!$C$143,IF(CROQUIS!$C$103=1,-12,2),0),((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BS3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+1,0,IF(CROQUIS!$C$103=1,-12,2),CROQUIS!$C$107/2+CROQUIS!$C$143,IF(CROQUIS!$C$103=1,-12,2),0)))*CROQUIS!$C$159)+IF(CROQUIS!$C$92="X",0.8,0)),-1000)</f>
        <v>-1000</v>
      </c>
      <c r="BT319">
        <f>IF(AND(CROQUIS!$C$88=1,CROQUIS!$C$91=0,CROQUIS!$C$133&gt;0,OR(CROQUIS!$C$104=1,CROQUIS!$C$145=1)),((CROQUIS!$C$160+(IF(CROQUIS!$C$92="X",CHOOSE(IF(INT(($A319-1)/5)&gt;MAX((MAX(1,INT(((CROQUIS!$C$98)-CROQUIS!$C$107)/MAX((CROQUIS!$C$133*MAX(1,CEILING((INT(((CROQUIS!$C$98)-CROQUIS!$C$107)/MAX(CROQUIS!$C$133,1))+1)/80,1))),1))+1))-1,0),0,MOD($A319-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BU3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CROQUIS!$C$97,CROQUIS!$C$97-CROQUIS!$C$107/2-CROQUIS!$C$143,IF(CROQUIS!$C$104=1,CROQUIS!$C$97+12,CROQUIS!$C$97-2),CROQUIS!$C$97-CROQUIS!$C$107/2-CROQUIS!$C$143,CROQUIS!$C$97)))*CROQUIS!$C$159)+IF(CROQUIS!$C$92="X",0.8,0)),-1000)</f>
        <v>-1000</v>
      </c>
      <c r="BV3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HOOSE(IF(INT(($A319-1)/5)&gt;MAX((MAX(1,INT(((CROQUIS!$C$97)-CROQUIS!$C$107)/MAX((CROQUIS!$C$141*MAX(1,CEILING((INT(((CROQUIS!$C$97)-CROQUIS!$C$107)/MAX(CROQUIS!$C$141,1))+1)/80,1))),1))+1))-1,0),0,MOD($A319-1,5))+1,0,IF(CROQUIS!$C$105=1,-12,2),CROQUIS!$C$107/2+CROQUIS!$C$144,IF(CROQUIS!$C$105=1,-12,2),0)))*CROQUIS!$C$159)+IF(CROQUIS!$C$92="X",0.8,0)),-1000)</f>
        <v>-1000</v>
      </c>
      <c r="BW319">
        <f>IF(AND(CROQUIS!$C$88=1,CROQUIS!$C$91=0,CROQUIS!$C$141&gt;0,OR(CROQUIS!$C$105=1,CROQUIS!$C$146=1)),((CROQUIS!$C$161+(IF(CROQUIS!$C$92="X",CHOOSE(IF(INT(($A319-1)/5)&gt;MAX((MAX(1,INT(((CROQUIS!$C$97)-CROQUIS!$C$107)/MAX((CROQUIS!$C$141*MAX(1,CEILING((INT(((CROQUIS!$C$97)-CROQUIS!$C$107)/MAX(CROQUIS!$C$141,1))+1)/80,1))),1))+1))-1,0),0,MOD($A319-1,5))+1,0,IF(CROQUIS!$C$105=1,-12,2),CROQUIS!$C$107/2+CROQUIS!$C$144,IF(CROQUIS!$C$105=1,-12,2),0),((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ROQUIS!$C$159)+IF(CROQUIS!$C$92="X",0,0.8)),-1000)</f>
        <v>-1000</v>
      </c>
      <c r="BX3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HOOSE(IF(INT(($A319-1)/5)&gt;MAX((MAX(1,INT(((CROQUIS!$C$97)-CROQUIS!$C$107)/MAX((CROQUIS!$C$141*MAX(1,CEILING((INT(((CROQUIS!$C$97)-CROQUIS!$C$107)/MAX(CROQUIS!$C$141,1))+1)/80,1))),1))+1))-1,0),0,MOD($A319-1,5))+1,CROQUIS!$C$98,CROQUIS!$C$98-CROQUIS!$C$107/2-CROQUIS!$C$144,IF(CROQUIS!$C$106=1,CROQUIS!$C$98+12,CROQUIS!$C$98-2),CROQUIS!$C$98-CROQUIS!$C$107/2-CROQUIS!$C$144,CROQUIS!$C$98)))*CROQUIS!$C$159)+IF(CROQUIS!$C$92="X",0.8,0)),-1000)</f>
        <v>-1000</v>
      </c>
      <c r="BY319">
        <f>IF(AND(CROQUIS!$C$88=1,CROQUIS!$C$91=0,CROQUIS!$C$141&gt;0,OR(CROQUIS!$C$106=1,CROQUIS!$C$146=1)),((CROQUIS!$C$161+(IF(CROQUIS!$C$92="X",CHOOSE(IF(INT(($A319-1)/5)&gt;MAX((MAX(1,INT(((CROQUIS!$C$97)-CROQUIS!$C$107)/MAX((CROQUIS!$C$141*MAX(1,CEILING((INT(((CROQUIS!$C$97)-CROQUIS!$C$107)/MAX(CROQUIS!$C$141,1))+1)/80,1))),1))+1))-1,0),0,MOD($A319-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ROQUIS!$C$159)+IF(CROQUIS!$C$92="X",0,0.8)),-1000)</f>
        <v>-1000</v>
      </c>
      <c r="BZ319">
        <f>IF(AND(CROQUIS!$C$88=1,CROQUIS!$C$91=1,CROQUIS!$C$133&gt;0),((CROQUIS!$C$160+(IF(CROQUIS!$C$92="X",CHOOSE(IF(INT(($A319-1)/5)&gt;MAX((MAX(1,INT(((CROQUIS!$C$98)-CROQUIS!$C$107)/MAX((CROQUIS!$C$133*MAX(1,CEILING((INT(((CROQUIS!$C$98)-CROQUIS!$C$107)/MAX(CROQUIS!$C$133,1))+1)/80,1))),1))+1))-1,0),0,MOD($A319-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CA319">
        <f>IF(AND(CROQUIS!$C$88=1,CROQUIS!$C$91=1,CROQUIS!$C$133&gt;0),((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0">
      <c r="A320" t="n">
        <v>313</v>
      </c>
      <c r="BN320">
        <f>IF(AND(CROQUIS!$C$88=1,CROQUIS!$C$129&gt;0),((CROQUIS!$C$160+(IF(CROQUIS!$C$92="X",CHOOSE(IF(INT(($A320-1)/5)&gt;MAX((MAX(1,INT(((CROQUIS!$C$98)-CROQUIS!$C$107)/MAX((CROQUIS!$C$129*MAX(1,CEILING((INT(((CROQUIS!$C$98)-CROQUIS!$C$107)/MAX(CROQUIS!$C$129,1))+1)/80,1))),1))+1))-1,0),0,MOD($A320-1,5))+1,0,2,CROQUIS!$C$97-2,2,0),((CROQUIS!$C$107/2+(((CROQUIS!$C$98)-CROQUIS!$C$107)-(MAX(1,INT(((CROQUIS!$C$98)-CROQUIS!$C$107)/MAX((CROQUIS!$C$129*MAX(1,CEILING((INT(((CROQUIS!$C$98)-CROQUIS!$C$107)/MAX(CROQUIS!$C$129,1))+1)/80,1))),1))+1)-1)*(CROQUIS!$C$129*MAX(1,CEILING((INT(((CROQUIS!$C$98)-CROQUIS!$C$107)/MAX(CROQUIS!$C$129,1))+1)/80,1))))/2)+MIN(INT(($A320-1)/5),MAX((MAX(1,INT(((CROQUIS!$C$98)-CROQUIS!$C$107)/MAX((CROQUIS!$C$129*MAX(1,CEILING((INT(((CROQUIS!$C$98)-CROQUIS!$C$107)/MAX(CROQUIS!$C$129,1))+1)/80,1))),1))+1))-1,0))*(CROQUIS!$C$129*MAX(1,CEILING((INT(((CROQUIS!$C$98)-CROQUIS!$C$107)/MAX(CROQUIS!$C$129,1))+1)/80,1))))))*CROQUIS!$C$159)+IF(CROQUIS!$C$92="X",0,0)),-1000)</f>
        <v>-1000</v>
      </c>
      <c r="BO320">
        <f>IF(AND(CROQUIS!$C$88=1,CROQUIS!$C$129&gt;0),((CROQUIS!$C$161+(IF(CROQUIS!$C$92="X",((CROQUIS!$C$107/2+(((CROQUIS!$C$98)-CROQUIS!$C$107)-(MAX(1,INT(((CROQUIS!$C$98)-CROQUIS!$C$107)/MAX((CROQUIS!$C$129*MAX(1,CEILING((INT(((CROQUIS!$C$98)-CROQUIS!$C$107)/MAX(CROQUIS!$C$129,1))+1)/80,1))),1))+1)-1)*(CROQUIS!$C$129*MAX(1,CEILING((INT(((CROQUIS!$C$98)-CROQUIS!$C$107)/MAX(CROQUIS!$C$129,1))+1)/80,1))))/2)+MIN(INT(($A320-1)/5),MAX((MAX(1,INT(((CROQUIS!$C$98)-CROQUIS!$C$107)/MAX((CROQUIS!$C$129*MAX(1,CEILING((INT(((CROQUIS!$C$98)-CROQUIS!$C$107)/MAX(CROQUIS!$C$129,1))+1)/80,1))),1))+1))-1,0))*(CROQUIS!$C$129*MAX(1,CEILING((INT(((CROQUIS!$C$98)-CROQUIS!$C$107)/MAX(CROQUIS!$C$129,1))+1)/80,1)))),CHOOSE(IF(INT(($A320-1)/5)&gt;MAX((MAX(1,INT(((CROQUIS!$C$98)-CROQUIS!$C$107)/MAX((CROQUIS!$C$129*MAX(1,CEILING((INT(((CROQUIS!$C$98)-CROQUIS!$C$107)/MAX(CROQUIS!$C$129,1))+1)/80,1))),1))+1))-1,0),0,MOD($A320-1,5))+1,0,2,CROQUIS!$C$97-2,2,0)))*CROQUIS!$C$159)+IF(CROQUIS!$C$92="X",0,0)),-1000)</f>
        <v>-1000</v>
      </c>
      <c r="BP320">
        <f>IF(AND(CROQUIS!$C$88=1,CROQUIS!$C$137&gt;0),((CROQUIS!$C$160+(IF(CROQUIS!$C$92="X",((CROQUIS!$C$107/2+(((CROQUIS!$C$97)-CROQUIS!$C$107)-(MAX(1,INT(((CROQUIS!$C$97)-CROQUIS!$C$107)/MAX((CROQUIS!$C$137*MAX(1,CEILING((INT(((CROQUIS!$C$97)-CROQUIS!$C$107)/MAX(CROQUIS!$C$137,1))+1)/80,1))),1))+1)-1)*(CROQUIS!$C$137*MAX(1,CEILING((INT(((CROQUIS!$C$97)-CROQUIS!$C$107)/MAX(CROQUIS!$C$137,1))+1)/80,1))))/2)+MIN(INT(($A320-1)/5),MAX((MAX(1,INT(((CROQUIS!$C$97)-CROQUIS!$C$107)/MAX((CROQUIS!$C$137*MAX(1,CEILING((INT(((CROQUIS!$C$97)-CROQUIS!$C$107)/MAX(CROQUIS!$C$137,1))+1)/80,1))),1))+1))-1,0))*(CROQUIS!$C$137*MAX(1,CEILING((INT(((CROQUIS!$C$97)-CROQUIS!$C$107)/MAX(CROQUIS!$C$137,1))+1)/80,1)))),CHOOSE(IF(INT(($A320-1)/5)&gt;MAX((MAX(1,INT(((CROQUIS!$C$97)-CROQUIS!$C$107)/MAX((CROQUIS!$C$137*MAX(1,CEILING((INT(((CROQUIS!$C$97)-CROQUIS!$C$107)/MAX(CROQUIS!$C$137,1))+1)/80,1))),1))+1))-1,0),0,MOD($A320-1,5))+1,0,2,CROQUIS!$C$98-2,2,0)))*CROQUIS!$C$159)+IF(CROQUIS!$C$92="X",0,0)),-1000)</f>
        <v>-1000</v>
      </c>
      <c r="BQ320">
        <f>IF(AND(CROQUIS!$C$88=1,CROQUIS!$C$137&gt;0),((CROQUIS!$C$161+(IF(CROQUIS!$C$92="X",CHOOSE(IF(INT(($A320-1)/5)&gt;MAX((MAX(1,INT(((CROQUIS!$C$97)-CROQUIS!$C$107)/MAX((CROQUIS!$C$137*MAX(1,CEILING((INT(((CROQUIS!$C$97)-CROQUIS!$C$107)/MAX(CROQUIS!$C$137,1))+1)/80,1))),1))+1))-1,0),0,MOD($A320-1,5))+1,0,2,CROQUIS!$C$98-2,2,0),((CROQUIS!$C$107/2+(((CROQUIS!$C$97)-CROQUIS!$C$107)-(MAX(1,INT(((CROQUIS!$C$97)-CROQUIS!$C$107)/MAX((CROQUIS!$C$137*MAX(1,CEILING((INT(((CROQUIS!$C$97)-CROQUIS!$C$107)/MAX(CROQUIS!$C$137,1))+1)/80,1))),1))+1)-1)*(CROQUIS!$C$137*MAX(1,CEILING((INT(((CROQUIS!$C$97)-CROQUIS!$C$107)/MAX(CROQUIS!$C$137,1))+1)/80,1))))/2)+MIN(INT(($A320-1)/5),MAX((MAX(1,INT(((CROQUIS!$C$97)-CROQUIS!$C$107)/MAX((CROQUIS!$C$137*MAX(1,CEILING((INT(((CROQUIS!$C$97)-CROQUIS!$C$107)/MAX(CROQUIS!$C$137,1))+1)/80,1))),1))+1))-1,0))*(CROQUIS!$C$137*MAX(1,CEILING((INT(((CROQUIS!$C$97)-CROQUIS!$C$107)/MAX(CROQUIS!$C$137,1))+1)/80,1))))))*CROQUIS!$C$159)+IF(CROQUIS!$C$92="X",0,0)),-1000)</f>
        <v>-1000</v>
      </c>
      <c r="BR320">
        <f>IF(AND(CROQUIS!$C$88=1,CROQUIS!$C$91=0,CROQUIS!$C$133&gt;0,OR(CROQUIS!$C$103=1,CROQUIS!$C$145=1)),((CROQUIS!$C$160+(IF(CROQUIS!$C$92="X",CHOOSE(IF(INT(($A320-1)/5)&gt;MAX((MAX(1,INT(((CROQUIS!$C$98)-CROQUIS!$C$107)/MAX((CROQUIS!$C$133*MAX(1,CEILING((INT(((CROQUIS!$C$98)-CROQUIS!$C$107)/MAX(CROQUIS!$C$133,1))+1)/80,1))),1))+1))-1,0),0,MOD($A320-1,5))+1,0,IF(CROQUIS!$C$103=1,-12,2),CROQUIS!$C$107/2+CROQUIS!$C$143,IF(CROQUIS!$C$103=1,-12,2),0),((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BS3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+1,0,IF(CROQUIS!$C$103=1,-12,2),CROQUIS!$C$107/2+CROQUIS!$C$143,IF(CROQUIS!$C$103=1,-12,2),0)))*CROQUIS!$C$159)+IF(CROQUIS!$C$92="X",0.8,0)),-1000)</f>
        <v>-1000</v>
      </c>
      <c r="BT320">
        <f>IF(AND(CROQUIS!$C$88=1,CROQUIS!$C$91=0,CROQUIS!$C$133&gt;0,OR(CROQUIS!$C$104=1,CROQUIS!$C$145=1)),((CROQUIS!$C$160+(IF(CROQUIS!$C$92="X",CHOOSE(IF(INT(($A320-1)/5)&gt;MAX((MAX(1,INT(((CROQUIS!$C$98)-CROQUIS!$C$107)/MAX((CROQUIS!$C$133*MAX(1,CEILING((INT(((CROQUIS!$C$98)-CROQUIS!$C$107)/MAX(CROQUIS!$C$133,1))+1)/80,1))),1))+1))-1,0),0,MOD($A320-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BU3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CROQUIS!$C$97,CROQUIS!$C$97-CROQUIS!$C$107/2-CROQUIS!$C$143,IF(CROQUIS!$C$104=1,CROQUIS!$C$97+12,CROQUIS!$C$97-2),CROQUIS!$C$97-CROQUIS!$C$107/2-CROQUIS!$C$143,CROQUIS!$C$97)))*CROQUIS!$C$159)+IF(CROQUIS!$C$92="X",0.8,0)),-1000)</f>
        <v>-1000</v>
      </c>
      <c r="BV3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HOOSE(IF(INT(($A320-1)/5)&gt;MAX((MAX(1,INT(((CROQUIS!$C$97)-CROQUIS!$C$107)/MAX((CROQUIS!$C$141*MAX(1,CEILING((INT(((CROQUIS!$C$97)-CROQUIS!$C$107)/MAX(CROQUIS!$C$141,1))+1)/80,1))),1))+1))-1,0),0,MOD($A320-1,5))+1,0,IF(CROQUIS!$C$105=1,-12,2),CROQUIS!$C$107/2+CROQUIS!$C$144,IF(CROQUIS!$C$105=1,-12,2),0)))*CROQUIS!$C$159)+IF(CROQUIS!$C$92="X",0.8,0)),-1000)</f>
        <v>-1000</v>
      </c>
      <c r="BW320">
        <f>IF(AND(CROQUIS!$C$88=1,CROQUIS!$C$91=0,CROQUIS!$C$141&gt;0,OR(CROQUIS!$C$105=1,CROQUIS!$C$146=1)),((CROQUIS!$C$161+(IF(CROQUIS!$C$92="X",CHOOSE(IF(INT(($A320-1)/5)&gt;MAX((MAX(1,INT(((CROQUIS!$C$97)-CROQUIS!$C$107)/MAX((CROQUIS!$C$141*MAX(1,CEILING((INT(((CROQUIS!$C$97)-CROQUIS!$C$107)/MAX(CROQUIS!$C$141,1))+1)/80,1))),1))+1))-1,0),0,MOD($A320-1,5))+1,0,IF(CROQUIS!$C$105=1,-12,2),CROQUIS!$C$107/2+CROQUIS!$C$144,IF(CROQUIS!$C$105=1,-12,2),0),((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ROQUIS!$C$159)+IF(CROQUIS!$C$92="X",0,0.8)),-1000)</f>
        <v>-1000</v>
      </c>
      <c r="BX3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HOOSE(IF(INT(($A320-1)/5)&gt;MAX((MAX(1,INT(((CROQUIS!$C$97)-CROQUIS!$C$107)/MAX((CROQUIS!$C$141*MAX(1,CEILING((INT(((CROQUIS!$C$97)-CROQUIS!$C$107)/MAX(CROQUIS!$C$141,1))+1)/80,1))),1))+1))-1,0),0,MOD($A320-1,5))+1,CROQUIS!$C$98,CROQUIS!$C$98-CROQUIS!$C$107/2-CROQUIS!$C$144,IF(CROQUIS!$C$106=1,CROQUIS!$C$98+12,CROQUIS!$C$98-2),CROQUIS!$C$98-CROQUIS!$C$107/2-CROQUIS!$C$144,CROQUIS!$C$98)))*CROQUIS!$C$159)+IF(CROQUIS!$C$92="X",0.8,0)),-1000)</f>
        <v>-1000</v>
      </c>
      <c r="BY320">
        <f>IF(AND(CROQUIS!$C$88=1,CROQUIS!$C$91=0,CROQUIS!$C$141&gt;0,OR(CROQUIS!$C$106=1,CROQUIS!$C$146=1)),((CROQUIS!$C$161+(IF(CROQUIS!$C$92="X",CHOOSE(IF(INT(($A320-1)/5)&gt;MAX((MAX(1,INT(((CROQUIS!$C$97)-CROQUIS!$C$107)/MAX((CROQUIS!$C$141*MAX(1,CEILING((INT(((CROQUIS!$C$97)-CROQUIS!$C$107)/MAX(CROQUIS!$C$141,1))+1)/80,1))),1))+1))-1,0),0,MOD($A320-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ROQUIS!$C$159)+IF(CROQUIS!$C$92="X",0,0.8)),-1000)</f>
        <v>-1000</v>
      </c>
      <c r="BZ320">
        <f>IF(AND(CROQUIS!$C$88=1,CROQUIS!$C$91=1,CROQUIS!$C$133&gt;0),((CROQUIS!$C$160+(IF(CROQUIS!$C$92="X",CHOOSE(IF(INT(($A320-1)/5)&gt;MAX((MAX(1,INT(((CROQUIS!$C$98)-CROQUIS!$C$107)/MAX((CROQUIS!$C$133*MAX(1,CEILING((INT(((CROQUIS!$C$98)-CROQUIS!$C$107)/MAX(CROQUIS!$C$133,1))+1)/80,1))),1))+1))-1,0),0,MOD($A320-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CA320">
        <f>IF(AND(CROQUIS!$C$88=1,CROQUIS!$C$91=1,CROQUIS!$C$133&gt;0),((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1">
      <c r="A321" t="n">
        <v>314</v>
      </c>
      <c r="BN321">
        <f>IF(AND(CROQUIS!$C$88=1,CROQUIS!$C$129&gt;0),((CROQUIS!$C$160+(IF(CROQUIS!$C$92="X",CHOOSE(IF(INT(($A321-1)/5)&gt;MAX((MAX(1,INT(((CROQUIS!$C$98)-CROQUIS!$C$107)/MAX((CROQUIS!$C$129*MAX(1,CEILING((INT(((CROQUIS!$C$98)-CROQUIS!$C$107)/MAX(CROQUIS!$C$129,1))+1)/80,1))),1))+1))-1,0),0,MOD($A321-1,5))+1,0,2,CROQUIS!$C$97-2,2,0),((CROQUIS!$C$107/2+(((CROQUIS!$C$98)-CROQUIS!$C$107)-(MAX(1,INT(((CROQUIS!$C$98)-CROQUIS!$C$107)/MAX((CROQUIS!$C$129*MAX(1,CEILING((INT(((CROQUIS!$C$98)-CROQUIS!$C$107)/MAX(CROQUIS!$C$129,1))+1)/80,1))),1))+1)-1)*(CROQUIS!$C$129*MAX(1,CEILING((INT(((CROQUIS!$C$98)-CROQUIS!$C$107)/MAX(CROQUIS!$C$129,1))+1)/80,1))))/2)+MIN(INT(($A321-1)/5),MAX((MAX(1,INT(((CROQUIS!$C$98)-CROQUIS!$C$107)/MAX((CROQUIS!$C$129*MAX(1,CEILING((INT(((CROQUIS!$C$98)-CROQUIS!$C$107)/MAX(CROQUIS!$C$129,1))+1)/80,1))),1))+1))-1,0))*(CROQUIS!$C$129*MAX(1,CEILING((INT(((CROQUIS!$C$98)-CROQUIS!$C$107)/MAX(CROQUIS!$C$129,1))+1)/80,1))))))*CROQUIS!$C$159)+IF(CROQUIS!$C$92="X",0,0)),-1000)</f>
        <v>-1000</v>
      </c>
      <c r="BO321">
        <f>IF(AND(CROQUIS!$C$88=1,CROQUIS!$C$129&gt;0),((CROQUIS!$C$161+(IF(CROQUIS!$C$92="X",((CROQUIS!$C$107/2+(((CROQUIS!$C$98)-CROQUIS!$C$107)-(MAX(1,INT(((CROQUIS!$C$98)-CROQUIS!$C$107)/MAX((CROQUIS!$C$129*MAX(1,CEILING((INT(((CROQUIS!$C$98)-CROQUIS!$C$107)/MAX(CROQUIS!$C$129,1))+1)/80,1))),1))+1)-1)*(CROQUIS!$C$129*MAX(1,CEILING((INT(((CROQUIS!$C$98)-CROQUIS!$C$107)/MAX(CROQUIS!$C$129,1))+1)/80,1))))/2)+MIN(INT(($A321-1)/5),MAX((MAX(1,INT(((CROQUIS!$C$98)-CROQUIS!$C$107)/MAX((CROQUIS!$C$129*MAX(1,CEILING((INT(((CROQUIS!$C$98)-CROQUIS!$C$107)/MAX(CROQUIS!$C$129,1))+1)/80,1))),1))+1))-1,0))*(CROQUIS!$C$129*MAX(1,CEILING((INT(((CROQUIS!$C$98)-CROQUIS!$C$107)/MAX(CROQUIS!$C$129,1))+1)/80,1)))),CHOOSE(IF(INT(($A321-1)/5)&gt;MAX((MAX(1,INT(((CROQUIS!$C$98)-CROQUIS!$C$107)/MAX((CROQUIS!$C$129*MAX(1,CEILING((INT(((CROQUIS!$C$98)-CROQUIS!$C$107)/MAX(CROQUIS!$C$129,1))+1)/80,1))),1))+1))-1,0),0,MOD($A321-1,5))+1,0,2,CROQUIS!$C$97-2,2,0)))*CROQUIS!$C$159)+IF(CROQUIS!$C$92="X",0,0)),-1000)</f>
        <v>-1000</v>
      </c>
      <c r="BP321">
        <f>IF(AND(CROQUIS!$C$88=1,CROQUIS!$C$137&gt;0),((CROQUIS!$C$160+(IF(CROQUIS!$C$92="X",((CROQUIS!$C$107/2+(((CROQUIS!$C$97)-CROQUIS!$C$107)-(MAX(1,INT(((CROQUIS!$C$97)-CROQUIS!$C$107)/MAX((CROQUIS!$C$137*MAX(1,CEILING((INT(((CROQUIS!$C$97)-CROQUIS!$C$107)/MAX(CROQUIS!$C$137,1))+1)/80,1))),1))+1)-1)*(CROQUIS!$C$137*MAX(1,CEILING((INT(((CROQUIS!$C$97)-CROQUIS!$C$107)/MAX(CROQUIS!$C$137,1))+1)/80,1))))/2)+MIN(INT(($A321-1)/5),MAX((MAX(1,INT(((CROQUIS!$C$97)-CROQUIS!$C$107)/MAX((CROQUIS!$C$137*MAX(1,CEILING((INT(((CROQUIS!$C$97)-CROQUIS!$C$107)/MAX(CROQUIS!$C$137,1))+1)/80,1))),1))+1))-1,0))*(CROQUIS!$C$137*MAX(1,CEILING((INT(((CROQUIS!$C$97)-CROQUIS!$C$107)/MAX(CROQUIS!$C$137,1))+1)/80,1)))),CHOOSE(IF(INT(($A321-1)/5)&gt;MAX((MAX(1,INT(((CROQUIS!$C$97)-CROQUIS!$C$107)/MAX((CROQUIS!$C$137*MAX(1,CEILING((INT(((CROQUIS!$C$97)-CROQUIS!$C$107)/MAX(CROQUIS!$C$137,1))+1)/80,1))),1))+1))-1,0),0,MOD($A321-1,5))+1,0,2,CROQUIS!$C$98-2,2,0)))*CROQUIS!$C$159)+IF(CROQUIS!$C$92="X",0,0)),-1000)</f>
        <v>-1000</v>
      </c>
      <c r="BQ321">
        <f>IF(AND(CROQUIS!$C$88=1,CROQUIS!$C$137&gt;0),((CROQUIS!$C$161+(IF(CROQUIS!$C$92="X",CHOOSE(IF(INT(($A321-1)/5)&gt;MAX((MAX(1,INT(((CROQUIS!$C$97)-CROQUIS!$C$107)/MAX((CROQUIS!$C$137*MAX(1,CEILING((INT(((CROQUIS!$C$97)-CROQUIS!$C$107)/MAX(CROQUIS!$C$137,1))+1)/80,1))),1))+1))-1,0),0,MOD($A321-1,5))+1,0,2,CROQUIS!$C$98-2,2,0),((CROQUIS!$C$107/2+(((CROQUIS!$C$97)-CROQUIS!$C$107)-(MAX(1,INT(((CROQUIS!$C$97)-CROQUIS!$C$107)/MAX((CROQUIS!$C$137*MAX(1,CEILING((INT(((CROQUIS!$C$97)-CROQUIS!$C$107)/MAX(CROQUIS!$C$137,1))+1)/80,1))),1))+1)-1)*(CROQUIS!$C$137*MAX(1,CEILING((INT(((CROQUIS!$C$97)-CROQUIS!$C$107)/MAX(CROQUIS!$C$137,1))+1)/80,1))))/2)+MIN(INT(($A321-1)/5),MAX((MAX(1,INT(((CROQUIS!$C$97)-CROQUIS!$C$107)/MAX((CROQUIS!$C$137*MAX(1,CEILING((INT(((CROQUIS!$C$97)-CROQUIS!$C$107)/MAX(CROQUIS!$C$137,1))+1)/80,1))),1))+1))-1,0))*(CROQUIS!$C$137*MAX(1,CEILING((INT(((CROQUIS!$C$97)-CROQUIS!$C$107)/MAX(CROQUIS!$C$137,1))+1)/80,1))))))*CROQUIS!$C$159)+IF(CROQUIS!$C$92="X",0,0)),-1000)</f>
        <v>-1000</v>
      </c>
      <c r="BR321">
        <f>IF(AND(CROQUIS!$C$88=1,CROQUIS!$C$91=0,CROQUIS!$C$133&gt;0,OR(CROQUIS!$C$103=1,CROQUIS!$C$145=1)),((CROQUIS!$C$160+(IF(CROQUIS!$C$92="X",CHOOSE(IF(INT(($A321-1)/5)&gt;MAX((MAX(1,INT(((CROQUIS!$C$98)-CROQUIS!$C$107)/MAX((CROQUIS!$C$133*MAX(1,CEILING((INT(((CROQUIS!$C$98)-CROQUIS!$C$107)/MAX(CROQUIS!$C$133,1))+1)/80,1))),1))+1))-1,0),0,MOD($A321-1,5))+1,0,IF(CROQUIS!$C$103=1,-12,2),CROQUIS!$C$107/2+CROQUIS!$C$143,IF(CROQUIS!$C$103=1,-12,2),0),((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BS3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+1,0,IF(CROQUIS!$C$103=1,-12,2),CROQUIS!$C$107/2+CROQUIS!$C$143,IF(CROQUIS!$C$103=1,-12,2),0)))*CROQUIS!$C$159)+IF(CROQUIS!$C$92="X",0.8,0)),-1000)</f>
        <v>-1000</v>
      </c>
      <c r="BT321">
        <f>IF(AND(CROQUIS!$C$88=1,CROQUIS!$C$91=0,CROQUIS!$C$133&gt;0,OR(CROQUIS!$C$104=1,CROQUIS!$C$145=1)),((CROQUIS!$C$160+(IF(CROQUIS!$C$92="X",CHOOSE(IF(INT(($A321-1)/5)&gt;MAX((MAX(1,INT(((CROQUIS!$C$98)-CROQUIS!$C$107)/MAX((CROQUIS!$C$133*MAX(1,CEILING((INT(((CROQUIS!$C$98)-CROQUIS!$C$107)/MAX(CROQUIS!$C$133,1))+1)/80,1))),1))+1))-1,0),0,MOD($A321-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BU3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CROQUIS!$C$97,CROQUIS!$C$97-CROQUIS!$C$107/2-CROQUIS!$C$143,IF(CROQUIS!$C$104=1,CROQUIS!$C$97+12,CROQUIS!$C$97-2),CROQUIS!$C$97-CROQUIS!$C$107/2-CROQUIS!$C$143,CROQUIS!$C$97)))*CROQUIS!$C$159)+IF(CROQUIS!$C$92="X",0.8,0)),-1000)</f>
        <v>-1000</v>
      </c>
      <c r="BV3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HOOSE(IF(INT(($A321-1)/5)&gt;MAX((MAX(1,INT(((CROQUIS!$C$97)-CROQUIS!$C$107)/MAX((CROQUIS!$C$141*MAX(1,CEILING((INT(((CROQUIS!$C$97)-CROQUIS!$C$107)/MAX(CROQUIS!$C$141,1))+1)/80,1))),1))+1))-1,0),0,MOD($A321-1,5))+1,0,IF(CROQUIS!$C$105=1,-12,2),CROQUIS!$C$107/2+CROQUIS!$C$144,IF(CROQUIS!$C$105=1,-12,2),0)))*CROQUIS!$C$159)+IF(CROQUIS!$C$92="X",0.8,0)),-1000)</f>
        <v>-1000</v>
      </c>
      <c r="BW321">
        <f>IF(AND(CROQUIS!$C$88=1,CROQUIS!$C$91=0,CROQUIS!$C$141&gt;0,OR(CROQUIS!$C$105=1,CROQUIS!$C$146=1)),((CROQUIS!$C$161+(IF(CROQUIS!$C$92="X",CHOOSE(IF(INT(($A321-1)/5)&gt;MAX((MAX(1,INT(((CROQUIS!$C$97)-CROQUIS!$C$107)/MAX((CROQUIS!$C$141*MAX(1,CEILING((INT(((CROQUIS!$C$97)-CROQUIS!$C$107)/MAX(CROQUIS!$C$141,1))+1)/80,1))),1))+1))-1,0),0,MOD($A321-1,5))+1,0,IF(CROQUIS!$C$105=1,-12,2),CROQUIS!$C$107/2+CROQUIS!$C$144,IF(CROQUIS!$C$105=1,-12,2),0),((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ROQUIS!$C$159)+IF(CROQUIS!$C$92="X",0,0.8)),-1000)</f>
        <v>-1000</v>
      </c>
      <c r="BX3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HOOSE(IF(INT(($A321-1)/5)&gt;MAX((MAX(1,INT(((CROQUIS!$C$97)-CROQUIS!$C$107)/MAX((CROQUIS!$C$141*MAX(1,CEILING((INT(((CROQUIS!$C$97)-CROQUIS!$C$107)/MAX(CROQUIS!$C$141,1))+1)/80,1))),1))+1))-1,0),0,MOD($A321-1,5))+1,CROQUIS!$C$98,CROQUIS!$C$98-CROQUIS!$C$107/2-CROQUIS!$C$144,IF(CROQUIS!$C$106=1,CROQUIS!$C$98+12,CROQUIS!$C$98-2),CROQUIS!$C$98-CROQUIS!$C$107/2-CROQUIS!$C$144,CROQUIS!$C$98)))*CROQUIS!$C$159)+IF(CROQUIS!$C$92="X",0.8,0)),-1000)</f>
        <v>-1000</v>
      </c>
      <c r="BY321">
        <f>IF(AND(CROQUIS!$C$88=1,CROQUIS!$C$91=0,CROQUIS!$C$141&gt;0,OR(CROQUIS!$C$106=1,CROQUIS!$C$146=1)),((CROQUIS!$C$161+(IF(CROQUIS!$C$92="X",CHOOSE(IF(INT(($A321-1)/5)&gt;MAX((MAX(1,INT(((CROQUIS!$C$97)-CROQUIS!$C$107)/MAX((CROQUIS!$C$141*MAX(1,CEILING((INT(((CROQUIS!$C$97)-CROQUIS!$C$107)/MAX(CROQUIS!$C$141,1))+1)/80,1))),1))+1))-1,0),0,MOD($A321-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ROQUIS!$C$159)+IF(CROQUIS!$C$92="X",0,0.8)),-1000)</f>
        <v>-1000</v>
      </c>
      <c r="BZ321">
        <f>IF(AND(CROQUIS!$C$88=1,CROQUIS!$C$91=1,CROQUIS!$C$133&gt;0),((CROQUIS!$C$160+(IF(CROQUIS!$C$92="X",CHOOSE(IF(INT(($A321-1)/5)&gt;MAX((MAX(1,INT(((CROQUIS!$C$98)-CROQUIS!$C$107)/MAX((CROQUIS!$C$133*MAX(1,CEILING((INT(((CROQUIS!$C$98)-CROQUIS!$C$107)/MAX(CROQUIS!$C$133,1))+1)/80,1))),1))+1))-1,0),0,MOD($A321-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CA321">
        <f>IF(AND(CROQUIS!$C$88=1,CROQUIS!$C$91=1,CROQUIS!$C$133&gt;0),((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2">
      <c r="A322" t="n">
        <v>315</v>
      </c>
      <c r="BN322">
        <f>IF(AND(CROQUIS!$C$88=1,CROQUIS!$C$129&gt;0),((CROQUIS!$C$160+(IF(CROQUIS!$C$92="X",CHOOSE(IF(INT(($A322-1)/5)&gt;MAX((MAX(1,INT(((CROQUIS!$C$98)-CROQUIS!$C$107)/MAX((CROQUIS!$C$129*MAX(1,CEILING((INT(((CROQUIS!$C$98)-CROQUIS!$C$107)/MAX(CROQUIS!$C$129,1))+1)/80,1))),1))+1))-1,0),0,MOD($A322-1,5))+1,0,2,CROQUIS!$C$97-2,2,0),((CROQUIS!$C$107/2+(((CROQUIS!$C$98)-CROQUIS!$C$107)-(MAX(1,INT(((CROQUIS!$C$98)-CROQUIS!$C$107)/MAX((CROQUIS!$C$129*MAX(1,CEILING((INT(((CROQUIS!$C$98)-CROQUIS!$C$107)/MAX(CROQUIS!$C$129,1))+1)/80,1))),1))+1)-1)*(CROQUIS!$C$129*MAX(1,CEILING((INT(((CROQUIS!$C$98)-CROQUIS!$C$107)/MAX(CROQUIS!$C$129,1))+1)/80,1))))/2)+MIN(INT(($A322-1)/5),MAX((MAX(1,INT(((CROQUIS!$C$98)-CROQUIS!$C$107)/MAX((CROQUIS!$C$129*MAX(1,CEILING((INT(((CROQUIS!$C$98)-CROQUIS!$C$107)/MAX(CROQUIS!$C$129,1))+1)/80,1))),1))+1))-1,0))*(CROQUIS!$C$129*MAX(1,CEILING((INT(((CROQUIS!$C$98)-CROQUIS!$C$107)/MAX(CROQUIS!$C$129,1))+1)/80,1))))))*CROQUIS!$C$159)+IF(CROQUIS!$C$92="X",0,0)),-1000)</f>
        <v>-1000</v>
      </c>
      <c r="BO322">
        <f>IF(AND(CROQUIS!$C$88=1,CROQUIS!$C$129&gt;0),((CROQUIS!$C$161+(IF(CROQUIS!$C$92="X",((CROQUIS!$C$107/2+(((CROQUIS!$C$98)-CROQUIS!$C$107)-(MAX(1,INT(((CROQUIS!$C$98)-CROQUIS!$C$107)/MAX((CROQUIS!$C$129*MAX(1,CEILING((INT(((CROQUIS!$C$98)-CROQUIS!$C$107)/MAX(CROQUIS!$C$129,1))+1)/80,1))),1))+1)-1)*(CROQUIS!$C$129*MAX(1,CEILING((INT(((CROQUIS!$C$98)-CROQUIS!$C$107)/MAX(CROQUIS!$C$129,1))+1)/80,1))))/2)+MIN(INT(($A322-1)/5),MAX((MAX(1,INT(((CROQUIS!$C$98)-CROQUIS!$C$107)/MAX((CROQUIS!$C$129*MAX(1,CEILING((INT(((CROQUIS!$C$98)-CROQUIS!$C$107)/MAX(CROQUIS!$C$129,1))+1)/80,1))),1))+1))-1,0))*(CROQUIS!$C$129*MAX(1,CEILING((INT(((CROQUIS!$C$98)-CROQUIS!$C$107)/MAX(CROQUIS!$C$129,1))+1)/80,1)))),CHOOSE(IF(INT(($A322-1)/5)&gt;MAX((MAX(1,INT(((CROQUIS!$C$98)-CROQUIS!$C$107)/MAX((CROQUIS!$C$129*MAX(1,CEILING((INT(((CROQUIS!$C$98)-CROQUIS!$C$107)/MAX(CROQUIS!$C$129,1))+1)/80,1))),1))+1))-1,0),0,MOD($A322-1,5))+1,0,2,CROQUIS!$C$97-2,2,0)))*CROQUIS!$C$159)+IF(CROQUIS!$C$92="X",0,0)),-1000)</f>
        <v>-1000</v>
      </c>
      <c r="BP322">
        <f>IF(AND(CROQUIS!$C$88=1,CROQUIS!$C$137&gt;0),((CROQUIS!$C$160+(IF(CROQUIS!$C$92="X",((CROQUIS!$C$107/2+(((CROQUIS!$C$97)-CROQUIS!$C$107)-(MAX(1,INT(((CROQUIS!$C$97)-CROQUIS!$C$107)/MAX((CROQUIS!$C$137*MAX(1,CEILING((INT(((CROQUIS!$C$97)-CROQUIS!$C$107)/MAX(CROQUIS!$C$137,1))+1)/80,1))),1))+1)-1)*(CROQUIS!$C$137*MAX(1,CEILING((INT(((CROQUIS!$C$97)-CROQUIS!$C$107)/MAX(CROQUIS!$C$137,1))+1)/80,1))))/2)+MIN(INT(($A322-1)/5),MAX((MAX(1,INT(((CROQUIS!$C$97)-CROQUIS!$C$107)/MAX((CROQUIS!$C$137*MAX(1,CEILING((INT(((CROQUIS!$C$97)-CROQUIS!$C$107)/MAX(CROQUIS!$C$137,1))+1)/80,1))),1))+1))-1,0))*(CROQUIS!$C$137*MAX(1,CEILING((INT(((CROQUIS!$C$97)-CROQUIS!$C$107)/MAX(CROQUIS!$C$137,1))+1)/80,1)))),CHOOSE(IF(INT(($A322-1)/5)&gt;MAX((MAX(1,INT(((CROQUIS!$C$97)-CROQUIS!$C$107)/MAX((CROQUIS!$C$137*MAX(1,CEILING((INT(((CROQUIS!$C$97)-CROQUIS!$C$107)/MAX(CROQUIS!$C$137,1))+1)/80,1))),1))+1))-1,0),0,MOD($A322-1,5))+1,0,2,CROQUIS!$C$98-2,2,0)))*CROQUIS!$C$159)+IF(CROQUIS!$C$92="X",0,0)),-1000)</f>
        <v>-1000</v>
      </c>
      <c r="BQ322">
        <f>IF(AND(CROQUIS!$C$88=1,CROQUIS!$C$137&gt;0),((CROQUIS!$C$161+(IF(CROQUIS!$C$92="X",CHOOSE(IF(INT(($A322-1)/5)&gt;MAX((MAX(1,INT(((CROQUIS!$C$97)-CROQUIS!$C$107)/MAX((CROQUIS!$C$137*MAX(1,CEILING((INT(((CROQUIS!$C$97)-CROQUIS!$C$107)/MAX(CROQUIS!$C$137,1))+1)/80,1))),1))+1))-1,0),0,MOD($A322-1,5))+1,0,2,CROQUIS!$C$98-2,2,0),((CROQUIS!$C$107/2+(((CROQUIS!$C$97)-CROQUIS!$C$107)-(MAX(1,INT(((CROQUIS!$C$97)-CROQUIS!$C$107)/MAX((CROQUIS!$C$137*MAX(1,CEILING((INT(((CROQUIS!$C$97)-CROQUIS!$C$107)/MAX(CROQUIS!$C$137,1))+1)/80,1))),1))+1)-1)*(CROQUIS!$C$137*MAX(1,CEILING((INT(((CROQUIS!$C$97)-CROQUIS!$C$107)/MAX(CROQUIS!$C$137,1))+1)/80,1))))/2)+MIN(INT(($A322-1)/5),MAX((MAX(1,INT(((CROQUIS!$C$97)-CROQUIS!$C$107)/MAX((CROQUIS!$C$137*MAX(1,CEILING((INT(((CROQUIS!$C$97)-CROQUIS!$C$107)/MAX(CROQUIS!$C$137,1))+1)/80,1))),1))+1))-1,0))*(CROQUIS!$C$137*MAX(1,CEILING((INT(((CROQUIS!$C$97)-CROQUIS!$C$107)/MAX(CROQUIS!$C$137,1))+1)/80,1))))))*CROQUIS!$C$159)+IF(CROQUIS!$C$92="X",0,0)),-1000)</f>
        <v>-1000</v>
      </c>
      <c r="BR322">
        <f>IF(AND(CROQUIS!$C$88=1,CROQUIS!$C$91=0,CROQUIS!$C$133&gt;0,OR(CROQUIS!$C$103=1,CROQUIS!$C$145=1)),((CROQUIS!$C$160+(IF(CROQUIS!$C$92="X",CHOOSE(IF(INT(($A322-1)/5)&gt;MAX((MAX(1,INT(((CROQUIS!$C$98)-CROQUIS!$C$107)/MAX((CROQUIS!$C$133*MAX(1,CEILING((INT(((CROQUIS!$C$98)-CROQUIS!$C$107)/MAX(CROQUIS!$C$133,1))+1)/80,1))),1))+1))-1,0),0,MOD($A322-1,5))+1,0,IF(CROQUIS!$C$103=1,-12,2),CROQUIS!$C$107/2+CROQUIS!$C$143,IF(CROQUIS!$C$103=1,-12,2),0),((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BS3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+1,0,IF(CROQUIS!$C$103=1,-12,2),CROQUIS!$C$107/2+CROQUIS!$C$143,IF(CROQUIS!$C$103=1,-12,2),0)))*CROQUIS!$C$159)+IF(CROQUIS!$C$92="X",0.8,0)),-1000)</f>
        <v>-1000</v>
      </c>
      <c r="BT322">
        <f>IF(AND(CROQUIS!$C$88=1,CROQUIS!$C$91=0,CROQUIS!$C$133&gt;0,OR(CROQUIS!$C$104=1,CROQUIS!$C$145=1)),((CROQUIS!$C$160+(IF(CROQUIS!$C$92="X",CHOOSE(IF(INT(($A322-1)/5)&gt;MAX((MAX(1,INT(((CROQUIS!$C$98)-CROQUIS!$C$107)/MAX((CROQUIS!$C$133*MAX(1,CEILING((INT(((CROQUIS!$C$98)-CROQUIS!$C$107)/MAX(CROQUIS!$C$133,1))+1)/80,1))),1))+1))-1,0),0,MOD($A322-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BU3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CROQUIS!$C$97,CROQUIS!$C$97-CROQUIS!$C$107/2-CROQUIS!$C$143,IF(CROQUIS!$C$104=1,CROQUIS!$C$97+12,CROQUIS!$C$97-2),CROQUIS!$C$97-CROQUIS!$C$107/2-CROQUIS!$C$143,CROQUIS!$C$97)))*CROQUIS!$C$159)+IF(CROQUIS!$C$92="X",0.8,0)),-1000)</f>
        <v>-1000</v>
      </c>
      <c r="BV3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HOOSE(IF(INT(($A322-1)/5)&gt;MAX((MAX(1,INT(((CROQUIS!$C$97)-CROQUIS!$C$107)/MAX((CROQUIS!$C$141*MAX(1,CEILING((INT(((CROQUIS!$C$97)-CROQUIS!$C$107)/MAX(CROQUIS!$C$141,1))+1)/80,1))),1))+1))-1,0),0,MOD($A322-1,5))+1,0,IF(CROQUIS!$C$105=1,-12,2),CROQUIS!$C$107/2+CROQUIS!$C$144,IF(CROQUIS!$C$105=1,-12,2),0)))*CROQUIS!$C$159)+IF(CROQUIS!$C$92="X",0.8,0)),-1000)</f>
        <v>-1000</v>
      </c>
      <c r="BW322">
        <f>IF(AND(CROQUIS!$C$88=1,CROQUIS!$C$91=0,CROQUIS!$C$141&gt;0,OR(CROQUIS!$C$105=1,CROQUIS!$C$146=1)),((CROQUIS!$C$161+(IF(CROQUIS!$C$92="X",CHOOSE(IF(INT(($A322-1)/5)&gt;MAX((MAX(1,INT(((CROQUIS!$C$97)-CROQUIS!$C$107)/MAX((CROQUIS!$C$141*MAX(1,CEILING((INT(((CROQUIS!$C$97)-CROQUIS!$C$107)/MAX(CROQUIS!$C$141,1))+1)/80,1))),1))+1))-1,0),0,MOD($A322-1,5))+1,0,IF(CROQUIS!$C$105=1,-12,2),CROQUIS!$C$107/2+CROQUIS!$C$144,IF(CROQUIS!$C$105=1,-12,2),0),((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ROQUIS!$C$159)+IF(CROQUIS!$C$92="X",0,0.8)),-1000)</f>
        <v>-1000</v>
      </c>
      <c r="BX3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HOOSE(IF(INT(($A322-1)/5)&gt;MAX((MAX(1,INT(((CROQUIS!$C$97)-CROQUIS!$C$107)/MAX((CROQUIS!$C$141*MAX(1,CEILING((INT(((CROQUIS!$C$97)-CROQUIS!$C$107)/MAX(CROQUIS!$C$141,1))+1)/80,1))),1))+1))-1,0),0,MOD($A322-1,5))+1,CROQUIS!$C$98,CROQUIS!$C$98-CROQUIS!$C$107/2-CROQUIS!$C$144,IF(CROQUIS!$C$106=1,CROQUIS!$C$98+12,CROQUIS!$C$98-2),CROQUIS!$C$98-CROQUIS!$C$107/2-CROQUIS!$C$144,CROQUIS!$C$98)))*CROQUIS!$C$159)+IF(CROQUIS!$C$92="X",0.8,0)),-1000)</f>
        <v>-1000</v>
      </c>
      <c r="BY322">
        <f>IF(AND(CROQUIS!$C$88=1,CROQUIS!$C$91=0,CROQUIS!$C$141&gt;0,OR(CROQUIS!$C$106=1,CROQUIS!$C$146=1)),((CROQUIS!$C$161+(IF(CROQUIS!$C$92="X",CHOOSE(IF(INT(($A322-1)/5)&gt;MAX((MAX(1,INT(((CROQUIS!$C$97)-CROQUIS!$C$107)/MAX((CROQUIS!$C$141*MAX(1,CEILING((INT(((CROQUIS!$C$97)-CROQUIS!$C$107)/MAX(CROQUIS!$C$141,1))+1)/80,1))),1))+1))-1,0),0,MOD($A322-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ROQUIS!$C$159)+IF(CROQUIS!$C$92="X",0,0.8)),-1000)</f>
        <v>-1000</v>
      </c>
      <c r="BZ322">
        <f>IF(AND(CROQUIS!$C$88=1,CROQUIS!$C$91=1,CROQUIS!$C$133&gt;0),((CROQUIS!$C$160+(IF(CROQUIS!$C$92="X",CHOOSE(IF(INT(($A322-1)/5)&gt;MAX((MAX(1,INT(((CROQUIS!$C$98)-CROQUIS!$C$107)/MAX((CROQUIS!$C$133*MAX(1,CEILING((INT(((CROQUIS!$C$98)-CROQUIS!$C$107)/MAX(CROQUIS!$C$133,1))+1)/80,1))),1))+1))-1,0),0,MOD($A322-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CA322">
        <f>IF(AND(CROQUIS!$C$88=1,CROQUIS!$C$91=1,CROQUIS!$C$133&gt;0),((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3">
      <c r="A323" t="n">
        <v>316</v>
      </c>
      <c r="BN323">
        <f>IF(AND(CROQUIS!$C$88=1,CROQUIS!$C$129&gt;0),((CROQUIS!$C$160+(IF(CROQUIS!$C$92="X",CHOOSE(IF(INT(($A323-1)/5)&gt;MAX((MAX(1,INT(((CROQUIS!$C$98)-CROQUIS!$C$107)/MAX((CROQUIS!$C$129*MAX(1,CEILING((INT(((CROQUIS!$C$98)-CROQUIS!$C$107)/MAX(CROQUIS!$C$129,1))+1)/80,1))),1))+1))-1,0),0,MOD($A323-1,5))+1,0,2,CROQUIS!$C$97-2,2,0),((CROQUIS!$C$107/2+(((CROQUIS!$C$98)-CROQUIS!$C$107)-(MAX(1,INT(((CROQUIS!$C$98)-CROQUIS!$C$107)/MAX((CROQUIS!$C$129*MAX(1,CEILING((INT(((CROQUIS!$C$98)-CROQUIS!$C$107)/MAX(CROQUIS!$C$129,1))+1)/80,1))),1))+1)-1)*(CROQUIS!$C$129*MAX(1,CEILING((INT(((CROQUIS!$C$98)-CROQUIS!$C$107)/MAX(CROQUIS!$C$129,1))+1)/80,1))))/2)+MIN(INT(($A323-1)/5),MAX((MAX(1,INT(((CROQUIS!$C$98)-CROQUIS!$C$107)/MAX((CROQUIS!$C$129*MAX(1,CEILING((INT(((CROQUIS!$C$98)-CROQUIS!$C$107)/MAX(CROQUIS!$C$129,1))+1)/80,1))),1))+1))-1,0))*(CROQUIS!$C$129*MAX(1,CEILING((INT(((CROQUIS!$C$98)-CROQUIS!$C$107)/MAX(CROQUIS!$C$129,1))+1)/80,1))))))*CROQUIS!$C$159)+IF(CROQUIS!$C$92="X",0,0)),-1000)</f>
        <v>-1000</v>
      </c>
      <c r="BO323">
        <f>IF(AND(CROQUIS!$C$88=1,CROQUIS!$C$129&gt;0),((CROQUIS!$C$161+(IF(CROQUIS!$C$92="X",((CROQUIS!$C$107/2+(((CROQUIS!$C$98)-CROQUIS!$C$107)-(MAX(1,INT(((CROQUIS!$C$98)-CROQUIS!$C$107)/MAX((CROQUIS!$C$129*MAX(1,CEILING((INT(((CROQUIS!$C$98)-CROQUIS!$C$107)/MAX(CROQUIS!$C$129,1))+1)/80,1))),1))+1)-1)*(CROQUIS!$C$129*MAX(1,CEILING((INT(((CROQUIS!$C$98)-CROQUIS!$C$107)/MAX(CROQUIS!$C$129,1))+1)/80,1))))/2)+MIN(INT(($A323-1)/5),MAX((MAX(1,INT(((CROQUIS!$C$98)-CROQUIS!$C$107)/MAX((CROQUIS!$C$129*MAX(1,CEILING((INT(((CROQUIS!$C$98)-CROQUIS!$C$107)/MAX(CROQUIS!$C$129,1))+1)/80,1))),1))+1))-1,0))*(CROQUIS!$C$129*MAX(1,CEILING((INT(((CROQUIS!$C$98)-CROQUIS!$C$107)/MAX(CROQUIS!$C$129,1))+1)/80,1)))),CHOOSE(IF(INT(($A323-1)/5)&gt;MAX((MAX(1,INT(((CROQUIS!$C$98)-CROQUIS!$C$107)/MAX((CROQUIS!$C$129*MAX(1,CEILING((INT(((CROQUIS!$C$98)-CROQUIS!$C$107)/MAX(CROQUIS!$C$129,1))+1)/80,1))),1))+1))-1,0),0,MOD($A323-1,5))+1,0,2,CROQUIS!$C$97-2,2,0)))*CROQUIS!$C$159)+IF(CROQUIS!$C$92="X",0,0)),-1000)</f>
        <v>-1000</v>
      </c>
      <c r="BP323">
        <f>IF(AND(CROQUIS!$C$88=1,CROQUIS!$C$137&gt;0),((CROQUIS!$C$160+(IF(CROQUIS!$C$92="X",((CROQUIS!$C$107/2+(((CROQUIS!$C$97)-CROQUIS!$C$107)-(MAX(1,INT(((CROQUIS!$C$97)-CROQUIS!$C$107)/MAX((CROQUIS!$C$137*MAX(1,CEILING((INT(((CROQUIS!$C$97)-CROQUIS!$C$107)/MAX(CROQUIS!$C$137,1))+1)/80,1))),1))+1)-1)*(CROQUIS!$C$137*MAX(1,CEILING((INT(((CROQUIS!$C$97)-CROQUIS!$C$107)/MAX(CROQUIS!$C$137,1))+1)/80,1))))/2)+MIN(INT(($A323-1)/5),MAX((MAX(1,INT(((CROQUIS!$C$97)-CROQUIS!$C$107)/MAX((CROQUIS!$C$137*MAX(1,CEILING((INT(((CROQUIS!$C$97)-CROQUIS!$C$107)/MAX(CROQUIS!$C$137,1))+1)/80,1))),1))+1))-1,0))*(CROQUIS!$C$137*MAX(1,CEILING((INT(((CROQUIS!$C$97)-CROQUIS!$C$107)/MAX(CROQUIS!$C$137,1))+1)/80,1)))),CHOOSE(IF(INT(($A323-1)/5)&gt;MAX((MAX(1,INT(((CROQUIS!$C$97)-CROQUIS!$C$107)/MAX((CROQUIS!$C$137*MAX(1,CEILING((INT(((CROQUIS!$C$97)-CROQUIS!$C$107)/MAX(CROQUIS!$C$137,1))+1)/80,1))),1))+1))-1,0),0,MOD($A323-1,5))+1,0,2,CROQUIS!$C$98-2,2,0)))*CROQUIS!$C$159)+IF(CROQUIS!$C$92="X",0,0)),-1000)</f>
        <v>-1000</v>
      </c>
      <c r="BQ323">
        <f>IF(AND(CROQUIS!$C$88=1,CROQUIS!$C$137&gt;0),((CROQUIS!$C$161+(IF(CROQUIS!$C$92="X",CHOOSE(IF(INT(($A323-1)/5)&gt;MAX((MAX(1,INT(((CROQUIS!$C$97)-CROQUIS!$C$107)/MAX((CROQUIS!$C$137*MAX(1,CEILING((INT(((CROQUIS!$C$97)-CROQUIS!$C$107)/MAX(CROQUIS!$C$137,1))+1)/80,1))),1))+1))-1,0),0,MOD($A323-1,5))+1,0,2,CROQUIS!$C$98-2,2,0),((CROQUIS!$C$107/2+(((CROQUIS!$C$97)-CROQUIS!$C$107)-(MAX(1,INT(((CROQUIS!$C$97)-CROQUIS!$C$107)/MAX((CROQUIS!$C$137*MAX(1,CEILING((INT(((CROQUIS!$C$97)-CROQUIS!$C$107)/MAX(CROQUIS!$C$137,1))+1)/80,1))),1))+1)-1)*(CROQUIS!$C$137*MAX(1,CEILING((INT(((CROQUIS!$C$97)-CROQUIS!$C$107)/MAX(CROQUIS!$C$137,1))+1)/80,1))))/2)+MIN(INT(($A323-1)/5),MAX((MAX(1,INT(((CROQUIS!$C$97)-CROQUIS!$C$107)/MAX((CROQUIS!$C$137*MAX(1,CEILING((INT(((CROQUIS!$C$97)-CROQUIS!$C$107)/MAX(CROQUIS!$C$137,1))+1)/80,1))),1))+1))-1,0))*(CROQUIS!$C$137*MAX(1,CEILING((INT(((CROQUIS!$C$97)-CROQUIS!$C$107)/MAX(CROQUIS!$C$137,1))+1)/80,1))))))*CROQUIS!$C$159)+IF(CROQUIS!$C$92="X",0,0)),-1000)</f>
        <v>-1000</v>
      </c>
      <c r="BR323">
        <f>IF(AND(CROQUIS!$C$88=1,CROQUIS!$C$91=0,CROQUIS!$C$133&gt;0,OR(CROQUIS!$C$103=1,CROQUIS!$C$145=1)),((CROQUIS!$C$160+(IF(CROQUIS!$C$92="X",CHOOSE(IF(INT(($A323-1)/5)&gt;MAX((MAX(1,INT(((CROQUIS!$C$98)-CROQUIS!$C$107)/MAX((CROQUIS!$C$133*MAX(1,CEILING((INT(((CROQUIS!$C$98)-CROQUIS!$C$107)/MAX(CROQUIS!$C$133,1))+1)/80,1))),1))+1))-1,0),0,MOD($A323-1,5))+1,0,IF(CROQUIS!$C$103=1,-12,2),CROQUIS!$C$107/2+CROQUIS!$C$143,IF(CROQUIS!$C$103=1,-12,2),0),((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BS3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+1,0,IF(CROQUIS!$C$103=1,-12,2),CROQUIS!$C$107/2+CROQUIS!$C$143,IF(CROQUIS!$C$103=1,-12,2),0)))*CROQUIS!$C$159)+IF(CROQUIS!$C$92="X",0.8,0)),-1000)</f>
        <v>-1000</v>
      </c>
      <c r="BT323">
        <f>IF(AND(CROQUIS!$C$88=1,CROQUIS!$C$91=0,CROQUIS!$C$133&gt;0,OR(CROQUIS!$C$104=1,CROQUIS!$C$145=1)),((CROQUIS!$C$160+(IF(CROQUIS!$C$92="X",CHOOSE(IF(INT(($A323-1)/5)&gt;MAX((MAX(1,INT(((CROQUIS!$C$98)-CROQUIS!$C$107)/MAX((CROQUIS!$C$133*MAX(1,CEILING((INT(((CROQUIS!$C$98)-CROQUIS!$C$107)/MAX(CROQUIS!$C$133,1))+1)/80,1))),1))+1))-1,0),0,MOD($A323-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BU3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CROQUIS!$C$97,CROQUIS!$C$97-CROQUIS!$C$107/2-CROQUIS!$C$143,IF(CROQUIS!$C$104=1,CROQUIS!$C$97+12,CROQUIS!$C$97-2),CROQUIS!$C$97-CROQUIS!$C$107/2-CROQUIS!$C$143,CROQUIS!$C$97)))*CROQUIS!$C$159)+IF(CROQUIS!$C$92="X",0.8,0)),-1000)</f>
        <v>-1000</v>
      </c>
      <c r="BV3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HOOSE(IF(INT(($A323-1)/5)&gt;MAX((MAX(1,INT(((CROQUIS!$C$97)-CROQUIS!$C$107)/MAX((CROQUIS!$C$141*MAX(1,CEILING((INT(((CROQUIS!$C$97)-CROQUIS!$C$107)/MAX(CROQUIS!$C$141,1))+1)/80,1))),1))+1))-1,0),0,MOD($A323-1,5))+1,0,IF(CROQUIS!$C$105=1,-12,2),CROQUIS!$C$107/2+CROQUIS!$C$144,IF(CROQUIS!$C$105=1,-12,2),0)))*CROQUIS!$C$159)+IF(CROQUIS!$C$92="X",0.8,0)),-1000)</f>
        <v>-1000</v>
      </c>
      <c r="BW323">
        <f>IF(AND(CROQUIS!$C$88=1,CROQUIS!$C$91=0,CROQUIS!$C$141&gt;0,OR(CROQUIS!$C$105=1,CROQUIS!$C$146=1)),((CROQUIS!$C$161+(IF(CROQUIS!$C$92="X",CHOOSE(IF(INT(($A323-1)/5)&gt;MAX((MAX(1,INT(((CROQUIS!$C$97)-CROQUIS!$C$107)/MAX((CROQUIS!$C$141*MAX(1,CEILING((INT(((CROQUIS!$C$97)-CROQUIS!$C$107)/MAX(CROQUIS!$C$141,1))+1)/80,1))),1))+1))-1,0),0,MOD($A323-1,5))+1,0,IF(CROQUIS!$C$105=1,-12,2),CROQUIS!$C$107/2+CROQUIS!$C$144,IF(CROQUIS!$C$105=1,-12,2),0),((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ROQUIS!$C$159)+IF(CROQUIS!$C$92="X",0,0.8)),-1000)</f>
        <v>-1000</v>
      </c>
      <c r="BX3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HOOSE(IF(INT(($A323-1)/5)&gt;MAX((MAX(1,INT(((CROQUIS!$C$97)-CROQUIS!$C$107)/MAX((CROQUIS!$C$141*MAX(1,CEILING((INT(((CROQUIS!$C$97)-CROQUIS!$C$107)/MAX(CROQUIS!$C$141,1))+1)/80,1))),1))+1))-1,0),0,MOD($A323-1,5))+1,CROQUIS!$C$98,CROQUIS!$C$98-CROQUIS!$C$107/2-CROQUIS!$C$144,IF(CROQUIS!$C$106=1,CROQUIS!$C$98+12,CROQUIS!$C$98-2),CROQUIS!$C$98-CROQUIS!$C$107/2-CROQUIS!$C$144,CROQUIS!$C$98)))*CROQUIS!$C$159)+IF(CROQUIS!$C$92="X",0.8,0)),-1000)</f>
        <v>-1000</v>
      </c>
      <c r="BY323">
        <f>IF(AND(CROQUIS!$C$88=1,CROQUIS!$C$91=0,CROQUIS!$C$141&gt;0,OR(CROQUIS!$C$106=1,CROQUIS!$C$146=1)),((CROQUIS!$C$161+(IF(CROQUIS!$C$92="X",CHOOSE(IF(INT(($A323-1)/5)&gt;MAX((MAX(1,INT(((CROQUIS!$C$97)-CROQUIS!$C$107)/MAX((CROQUIS!$C$141*MAX(1,CEILING((INT(((CROQUIS!$C$97)-CROQUIS!$C$107)/MAX(CROQUIS!$C$141,1))+1)/80,1))),1))+1))-1,0),0,MOD($A323-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ROQUIS!$C$159)+IF(CROQUIS!$C$92="X",0,0.8)),-1000)</f>
        <v>-1000</v>
      </c>
      <c r="BZ323">
        <f>IF(AND(CROQUIS!$C$88=1,CROQUIS!$C$91=1,CROQUIS!$C$133&gt;0),((CROQUIS!$C$160+(IF(CROQUIS!$C$92="X",CHOOSE(IF(INT(($A323-1)/5)&gt;MAX((MAX(1,INT(((CROQUIS!$C$98)-CROQUIS!$C$107)/MAX((CROQUIS!$C$133*MAX(1,CEILING((INT(((CROQUIS!$C$98)-CROQUIS!$C$107)/MAX(CROQUIS!$C$133,1))+1)/80,1))),1))+1))-1,0),0,MOD($A323-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CA323">
        <f>IF(AND(CROQUIS!$C$88=1,CROQUIS!$C$91=1,CROQUIS!$C$133&gt;0),((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4">
      <c r="A324" t="n">
        <v>317</v>
      </c>
      <c r="BN324">
        <f>IF(AND(CROQUIS!$C$88=1,CROQUIS!$C$129&gt;0),((CROQUIS!$C$160+(IF(CROQUIS!$C$92="X",CHOOSE(IF(INT(($A324-1)/5)&gt;MAX((MAX(1,INT(((CROQUIS!$C$98)-CROQUIS!$C$107)/MAX((CROQUIS!$C$129*MAX(1,CEILING((INT(((CROQUIS!$C$98)-CROQUIS!$C$107)/MAX(CROQUIS!$C$129,1))+1)/80,1))),1))+1))-1,0),0,MOD($A324-1,5))+1,0,2,CROQUIS!$C$97-2,2,0),((CROQUIS!$C$107/2+(((CROQUIS!$C$98)-CROQUIS!$C$107)-(MAX(1,INT(((CROQUIS!$C$98)-CROQUIS!$C$107)/MAX((CROQUIS!$C$129*MAX(1,CEILING((INT(((CROQUIS!$C$98)-CROQUIS!$C$107)/MAX(CROQUIS!$C$129,1))+1)/80,1))),1))+1)-1)*(CROQUIS!$C$129*MAX(1,CEILING((INT(((CROQUIS!$C$98)-CROQUIS!$C$107)/MAX(CROQUIS!$C$129,1))+1)/80,1))))/2)+MIN(INT(($A324-1)/5),MAX((MAX(1,INT(((CROQUIS!$C$98)-CROQUIS!$C$107)/MAX((CROQUIS!$C$129*MAX(1,CEILING((INT(((CROQUIS!$C$98)-CROQUIS!$C$107)/MAX(CROQUIS!$C$129,1))+1)/80,1))),1))+1))-1,0))*(CROQUIS!$C$129*MAX(1,CEILING((INT(((CROQUIS!$C$98)-CROQUIS!$C$107)/MAX(CROQUIS!$C$129,1))+1)/80,1))))))*CROQUIS!$C$159)+IF(CROQUIS!$C$92="X",0,0)),-1000)</f>
        <v>-1000</v>
      </c>
      <c r="BO324">
        <f>IF(AND(CROQUIS!$C$88=1,CROQUIS!$C$129&gt;0),((CROQUIS!$C$161+(IF(CROQUIS!$C$92="X",((CROQUIS!$C$107/2+(((CROQUIS!$C$98)-CROQUIS!$C$107)-(MAX(1,INT(((CROQUIS!$C$98)-CROQUIS!$C$107)/MAX((CROQUIS!$C$129*MAX(1,CEILING((INT(((CROQUIS!$C$98)-CROQUIS!$C$107)/MAX(CROQUIS!$C$129,1))+1)/80,1))),1))+1)-1)*(CROQUIS!$C$129*MAX(1,CEILING((INT(((CROQUIS!$C$98)-CROQUIS!$C$107)/MAX(CROQUIS!$C$129,1))+1)/80,1))))/2)+MIN(INT(($A324-1)/5),MAX((MAX(1,INT(((CROQUIS!$C$98)-CROQUIS!$C$107)/MAX((CROQUIS!$C$129*MAX(1,CEILING((INT(((CROQUIS!$C$98)-CROQUIS!$C$107)/MAX(CROQUIS!$C$129,1))+1)/80,1))),1))+1))-1,0))*(CROQUIS!$C$129*MAX(1,CEILING((INT(((CROQUIS!$C$98)-CROQUIS!$C$107)/MAX(CROQUIS!$C$129,1))+1)/80,1)))),CHOOSE(IF(INT(($A324-1)/5)&gt;MAX((MAX(1,INT(((CROQUIS!$C$98)-CROQUIS!$C$107)/MAX((CROQUIS!$C$129*MAX(1,CEILING((INT(((CROQUIS!$C$98)-CROQUIS!$C$107)/MAX(CROQUIS!$C$129,1))+1)/80,1))),1))+1))-1,0),0,MOD($A324-1,5))+1,0,2,CROQUIS!$C$97-2,2,0)))*CROQUIS!$C$159)+IF(CROQUIS!$C$92="X",0,0)),-1000)</f>
        <v>-1000</v>
      </c>
      <c r="BP324">
        <f>IF(AND(CROQUIS!$C$88=1,CROQUIS!$C$137&gt;0),((CROQUIS!$C$160+(IF(CROQUIS!$C$92="X",((CROQUIS!$C$107/2+(((CROQUIS!$C$97)-CROQUIS!$C$107)-(MAX(1,INT(((CROQUIS!$C$97)-CROQUIS!$C$107)/MAX((CROQUIS!$C$137*MAX(1,CEILING((INT(((CROQUIS!$C$97)-CROQUIS!$C$107)/MAX(CROQUIS!$C$137,1))+1)/80,1))),1))+1)-1)*(CROQUIS!$C$137*MAX(1,CEILING((INT(((CROQUIS!$C$97)-CROQUIS!$C$107)/MAX(CROQUIS!$C$137,1))+1)/80,1))))/2)+MIN(INT(($A324-1)/5),MAX((MAX(1,INT(((CROQUIS!$C$97)-CROQUIS!$C$107)/MAX((CROQUIS!$C$137*MAX(1,CEILING((INT(((CROQUIS!$C$97)-CROQUIS!$C$107)/MAX(CROQUIS!$C$137,1))+1)/80,1))),1))+1))-1,0))*(CROQUIS!$C$137*MAX(1,CEILING((INT(((CROQUIS!$C$97)-CROQUIS!$C$107)/MAX(CROQUIS!$C$137,1))+1)/80,1)))),CHOOSE(IF(INT(($A324-1)/5)&gt;MAX((MAX(1,INT(((CROQUIS!$C$97)-CROQUIS!$C$107)/MAX((CROQUIS!$C$137*MAX(1,CEILING((INT(((CROQUIS!$C$97)-CROQUIS!$C$107)/MAX(CROQUIS!$C$137,1))+1)/80,1))),1))+1))-1,0),0,MOD($A324-1,5))+1,0,2,CROQUIS!$C$98-2,2,0)))*CROQUIS!$C$159)+IF(CROQUIS!$C$92="X",0,0)),-1000)</f>
        <v>-1000</v>
      </c>
      <c r="BQ324">
        <f>IF(AND(CROQUIS!$C$88=1,CROQUIS!$C$137&gt;0),((CROQUIS!$C$161+(IF(CROQUIS!$C$92="X",CHOOSE(IF(INT(($A324-1)/5)&gt;MAX((MAX(1,INT(((CROQUIS!$C$97)-CROQUIS!$C$107)/MAX((CROQUIS!$C$137*MAX(1,CEILING((INT(((CROQUIS!$C$97)-CROQUIS!$C$107)/MAX(CROQUIS!$C$137,1))+1)/80,1))),1))+1))-1,0),0,MOD($A324-1,5))+1,0,2,CROQUIS!$C$98-2,2,0),((CROQUIS!$C$107/2+(((CROQUIS!$C$97)-CROQUIS!$C$107)-(MAX(1,INT(((CROQUIS!$C$97)-CROQUIS!$C$107)/MAX((CROQUIS!$C$137*MAX(1,CEILING((INT(((CROQUIS!$C$97)-CROQUIS!$C$107)/MAX(CROQUIS!$C$137,1))+1)/80,1))),1))+1)-1)*(CROQUIS!$C$137*MAX(1,CEILING((INT(((CROQUIS!$C$97)-CROQUIS!$C$107)/MAX(CROQUIS!$C$137,1))+1)/80,1))))/2)+MIN(INT(($A324-1)/5),MAX((MAX(1,INT(((CROQUIS!$C$97)-CROQUIS!$C$107)/MAX((CROQUIS!$C$137*MAX(1,CEILING((INT(((CROQUIS!$C$97)-CROQUIS!$C$107)/MAX(CROQUIS!$C$137,1))+1)/80,1))),1))+1))-1,0))*(CROQUIS!$C$137*MAX(1,CEILING((INT(((CROQUIS!$C$97)-CROQUIS!$C$107)/MAX(CROQUIS!$C$137,1))+1)/80,1))))))*CROQUIS!$C$159)+IF(CROQUIS!$C$92="X",0,0)),-1000)</f>
        <v>-1000</v>
      </c>
      <c r="BR324">
        <f>IF(AND(CROQUIS!$C$88=1,CROQUIS!$C$91=0,CROQUIS!$C$133&gt;0,OR(CROQUIS!$C$103=1,CROQUIS!$C$145=1)),((CROQUIS!$C$160+(IF(CROQUIS!$C$92="X",CHOOSE(IF(INT(($A324-1)/5)&gt;MAX((MAX(1,INT(((CROQUIS!$C$98)-CROQUIS!$C$107)/MAX((CROQUIS!$C$133*MAX(1,CEILING((INT(((CROQUIS!$C$98)-CROQUIS!$C$107)/MAX(CROQUIS!$C$133,1))+1)/80,1))),1))+1))-1,0),0,MOD($A324-1,5))+1,0,IF(CROQUIS!$C$103=1,-12,2),CROQUIS!$C$107/2+CROQUIS!$C$143,IF(CROQUIS!$C$103=1,-12,2),0),((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BS3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+1,0,IF(CROQUIS!$C$103=1,-12,2),CROQUIS!$C$107/2+CROQUIS!$C$143,IF(CROQUIS!$C$103=1,-12,2),0)))*CROQUIS!$C$159)+IF(CROQUIS!$C$92="X",0.8,0)),-1000)</f>
        <v>-1000</v>
      </c>
      <c r="BT324">
        <f>IF(AND(CROQUIS!$C$88=1,CROQUIS!$C$91=0,CROQUIS!$C$133&gt;0,OR(CROQUIS!$C$104=1,CROQUIS!$C$145=1)),((CROQUIS!$C$160+(IF(CROQUIS!$C$92="X",CHOOSE(IF(INT(($A324-1)/5)&gt;MAX((MAX(1,INT(((CROQUIS!$C$98)-CROQUIS!$C$107)/MAX((CROQUIS!$C$133*MAX(1,CEILING((INT(((CROQUIS!$C$98)-CROQUIS!$C$107)/MAX(CROQUIS!$C$133,1))+1)/80,1))),1))+1))-1,0),0,MOD($A324-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BU3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CROQUIS!$C$97,CROQUIS!$C$97-CROQUIS!$C$107/2-CROQUIS!$C$143,IF(CROQUIS!$C$104=1,CROQUIS!$C$97+12,CROQUIS!$C$97-2),CROQUIS!$C$97-CROQUIS!$C$107/2-CROQUIS!$C$143,CROQUIS!$C$97)))*CROQUIS!$C$159)+IF(CROQUIS!$C$92="X",0.8,0)),-1000)</f>
        <v>-1000</v>
      </c>
      <c r="BV3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HOOSE(IF(INT(($A324-1)/5)&gt;MAX((MAX(1,INT(((CROQUIS!$C$97)-CROQUIS!$C$107)/MAX((CROQUIS!$C$141*MAX(1,CEILING((INT(((CROQUIS!$C$97)-CROQUIS!$C$107)/MAX(CROQUIS!$C$141,1))+1)/80,1))),1))+1))-1,0),0,MOD($A324-1,5))+1,0,IF(CROQUIS!$C$105=1,-12,2),CROQUIS!$C$107/2+CROQUIS!$C$144,IF(CROQUIS!$C$105=1,-12,2),0)))*CROQUIS!$C$159)+IF(CROQUIS!$C$92="X",0.8,0)),-1000)</f>
        <v>-1000</v>
      </c>
      <c r="BW324">
        <f>IF(AND(CROQUIS!$C$88=1,CROQUIS!$C$91=0,CROQUIS!$C$141&gt;0,OR(CROQUIS!$C$105=1,CROQUIS!$C$146=1)),((CROQUIS!$C$161+(IF(CROQUIS!$C$92="X",CHOOSE(IF(INT(($A324-1)/5)&gt;MAX((MAX(1,INT(((CROQUIS!$C$97)-CROQUIS!$C$107)/MAX((CROQUIS!$C$141*MAX(1,CEILING((INT(((CROQUIS!$C$97)-CROQUIS!$C$107)/MAX(CROQUIS!$C$141,1))+1)/80,1))),1))+1))-1,0),0,MOD($A324-1,5))+1,0,IF(CROQUIS!$C$105=1,-12,2),CROQUIS!$C$107/2+CROQUIS!$C$144,IF(CROQUIS!$C$105=1,-12,2),0),((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ROQUIS!$C$159)+IF(CROQUIS!$C$92="X",0,0.8)),-1000)</f>
        <v>-1000</v>
      </c>
      <c r="BX3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HOOSE(IF(INT(($A324-1)/5)&gt;MAX((MAX(1,INT(((CROQUIS!$C$97)-CROQUIS!$C$107)/MAX((CROQUIS!$C$141*MAX(1,CEILING((INT(((CROQUIS!$C$97)-CROQUIS!$C$107)/MAX(CROQUIS!$C$141,1))+1)/80,1))),1))+1))-1,0),0,MOD($A324-1,5))+1,CROQUIS!$C$98,CROQUIS!$C$98-CROQUIS!$C$107/2-CROQUIS!$C$144,IF(CROQUIS!$C$106=1,CROQUIS!$C$98+12,CROQUIS!$C$98-2),CROQUIS!$C$98-CROQUIS!$C$107/2-CROQUIS!$C$144,CROQUIS!$C$98)))*CROQUIS!$C$159)+IF(CROQUIS!$C$92="X",0.8,0)),-1000)</f>
        <v>-1000</v>
      </c>
      <c r="BY324">
        <f>IF(AND(CROQUIS!$C$88=1,CROQUIS!$C$91=0,CROQUIS!$C$141&gt;0,OR(CROQUIS!$C$106=1,CROQUIS!$C$146=1)),((CROQUIS!$C$161+(IF(CROQUIS!$C$92="X",CHOOSE(IF(INT(($A324-1)/5)&gt;MAX((MAX(1,INT(((CROQUIS!$C$97)-CROQUIS!$C$107)/MAX((CROQUIS!$C$141*MAX(1,CEILING((INT(((CROQUIS!$C$97)-CROQUIS!$C$107)/MAX(CROQUIS!$C$141,1))+1)/80,1))),1))+1))-1,0),0,MOD($A324-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ROQUIS!$C$159)+IF(CROQUIS!$C$92="X",0,0.8)),-1000)</f>
        <v>-1000</v>
      </c>
      <c r="BZ324">
        <f>IF(AND(CROQUIS!$C$88=1,CROQUIS!$C$91=1,CROQUIS!$C$133&gt;0),((CROQUIS!$C$160+(IF(CROQUIS!$C$92="X",CHOOSE(IF(INT(($A324-1)/5)&gt;MAX((MAX(1,INT(((CROQUIS!$C$98)-CROQUIS!$C$107)/MAX((CROQUIS!$C$133*MAX(1,CEILING((INT(((CROQUIS!$C$98)-CROQUIS!$C$107)/MAX(CROQUIS!$C$133,1))+1)/80,1))),1))+1))-1,0),0,MOD($A324-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CA324">
        <f>IF(AND(CROQUIS!$C$88=1,CROQUIS!$C$91=1,CROQUIS!$C$133&gt;0),((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5">
      <c r="A325" t="n">
        <v>318</v>
      </c>
      <c r="BN325">
        <f>IF(AND(CROQUIS!$C$88=1,CROQUIS!$C$129&gt;0),((CROQUIS!$C$160+(IF(CROQUIS!$C$92="X",CHOOSE(IF(INT(($A325-1)/5)&gt;MAX((MAX(1,INT(((CROQUIS!$C$98)-CROQUIS!$C$107)/MAX((CROQUIS!$C$129*MAX(1,CEILING((INT(((CROQUIS!$C$98)-CROQUIS!$C$107)/MAX(CROQUIS!$C$129,1))+1)/80,1))),1))+1))-1,0),0,MOD($A325-1,5))+1,0,2,CROQUIS!$C$97-2,2,0),((CROQUIS!$C$107/2+(((CROQUIS!$C$98)-CROQUIS!$C$107)-(MAX(1,INT(((CROQUIS!$C$98)-CROQUIS!$C$107)/MAX((CROQUIS!$C$129*MAX(1,CEILING((INT(((CROQUIS!$C$98)-CROQUIS!$C$107)/MAX(CROQUIS!$C$129,1))+1)/80,1))),1))+1)-1)*(CROQUIS!$C$129*MAX(1,CEILING((INT(((CROQUIS!$C$98)-CROQUIS!$C$107)/MAX(CROQUIS!$C$129,1))+1)/80,1))))/2)+MIN(INT(($A325-1)/5),MAX((MAX(1,INT(((CROQUIS!$C$98)-CROQUIS!$C$107)/MAX((CROQUIS!$C$129*MAX(1,CEILING((INT(((CROQUIS!$C$98)-CROQUIS!$C$107)/MAX(CROQUIS!$C$129,1))+1)/80,1))),1))+1))-1,0))*(CROQUIS!$C$129*MAX(1,CEILING((INT(((CROQUIS!$C$98)-CROQUIS!$C$107)/MAX(CROQUIS!$C$129,1))+1)/80,1))))))*CROQUIS!$C$159)+IF(CROQUIS!$C$92="X",0,0)),-1000)</f>
        <v>-1000</v>
      </c>
      <c r="BO325">
        <f>IF(AND(CROQUIS!$C$88=1,CROQUIS!$C$129&gt;0),((CROQUIS!$C$161+(IF(CROQUIS!$C$92="X",((CROQUIS!$C$107/2+(((CROQUIS!$C$98)-CROQUIS!$C$107)-(MAX(1,INT(((CROQUIS!$C$98)-CROQUIS!$C$107)/MAX((CROQUIS!$C$129*MAX(1,CEILING((INT(((CROQUIS!$C$98)-CROQUIS!$C$107)/MAX(CROQUIS!$C$129,1))+1)/80,1))),1))+1)-1)*(CROQUIS!$C$129*MAX(1,CEILING((INT(((CROQUIS!$C$98)-CROQUIS!$C$107)/MAX(CROQUIS!$C$129,1))+1)/80,1))))/2)+MIN(INT(($A325-1)/5),MAX((MAX(1,INT(((CROQUIS!$C$98)-CROQUIS!$C$107)/MAX((CROQUIS!$C$129*MAX(1,CEILING((INT(((CROQUIS!$C$98)-CROQUIS!$C$107)/MAX(CROQUIS!$C$129,1))+1)/80,1))),1))+1))-1,0))*(CROQUIS!$C$129*MAX(1,CEILING((INT(((CROQUIS!$C$98)-CROQUIS!$C$107)/MAX(CROQUIS!$C$129,1))+1)/80,1)))),CHOOSE(IF(INT(($A325-1)/5)&gt;MAX((MAX(1,INT(((CROQUIS!$C$98)-CROQUIS!$C$107)/MAX((CROQUIS!$C$129*MAX(1,CEILING((INT(((CROQUIS!$C$98)-CROQUIS!$C$107)/MAX(CROQUIS!$C$129,1))+1)/80,1))),1))+1))-1,0),0,MOD($A325-1,5))+1,0,2,CROQUIS!$C$97-2,2,0)))*CROQUIS!$C$159)+IF(CROQUIS!$C$92="X",0,0)),-1000)</f>
        <v>-1000</v>
      </c>
      <c r="BP325">
        <f>IF(AND(CROQUIS!$C$88=1,CROQUIS!$C$137&gt;0),((CROQUIS!$C$160+(IF(CROQUIS!$C$92="X",((CROQUIS!$C$107/2+(((CROQUIS!$C$97)-CROQUIS!$C$107)-(MAX(1,INT(((CROQUIS!$C$97)-CROQUIS!$C$107)/MAX((CROQUIS!$C$137*MAX(1,CEILING((INT(((CROQUIS!$C$97)-CROQUIS!$C$107)/MAX(CROQUIS!$C$137,1))+1)/80,1))),1))+1)-1)*(CROQUIS!$C$137*MAX(1,CEILING((INT(((CROQUIS!$C$97)-CROQUIS!$C$107)/MAX(CROQUIS!$C$137,1))+1)/80,1))))/2)+MIN(INT(($A325-1)/5),MAX((MAX(1,INT(((CROQUIS!$C$97)-CROQUIS!$C$107)/MAX((CROQUIS!$C$137*MAX(1,CEILING((INT(((CROQUIS!$C$97)-CROQUIS!$C$107)/MAX(CROQUIS!$C$137,1))+1)/80,1))),1))+1))-1,0))*(CROQUIS!$C$137*MAX(1,CEILING((INT(((CROQUIS!$C$97)-CROQUIS!$C$107)/MAX(CROQUIS!$C$137,1))+1)/80,1)))),CHOOSE(IF(INT(($A325-1)/5)&gt;MAX((MAX(1,INT(((CROQUIS!$C$97)-CROQUIS!$C$107)/MAX((CROQUIS!$C$137*MAX(1,CEILING((INT(((CROQUIS!$C$97)-CROQUIS!$C$107)/MAX(CROQUIS!$C$137,1))+1)/80,1))),1))+1))-1,0),0,MOD($A325-1,5))+1,0,2,CROQUIS!$C$98-2,2,0)))*CROQUIS!$C$159)+IF(CROQUIS!$C$92="X",0,0)),-1000)</f>
        <v>-1000</v>
      </c>
      <c r="BQ325">
        <f>IF(AND(CROQUIS!$C$88=1,CROQUIS!$C$137&gt;0),((CROQUIS!$C$161+(IF(CROQUIS!$C$92="X",CHOOSE(IF(INT(($A325-1)/5)&gt;MAX((MAX(1,INT(((CROQUIS!$C$97)-CROQUIS!$C$107)/MAX((CROQUIS!$C$137*MAX(1,CEILING((INT(((CROQUIS!$C$97)-CROQUIS!$C$107)/MAX(CROQUIS!$C$137,1))+1)/80,1))),1))+1))-1,0),0,MOD($A325-1,5))+1,0,2,CROQUIS!$C$98-2,2,0),((CROQUIS!$C$107/2+(((CROQUIS!$C$97)-CROQUIS!$C$107)-(MAX(1,INT(((CROQUIS!$C$97)-CROQUIS!$C$107)/MAX((CROQUIS!$C$137*MAX(1,CEILING((INT(((CROQUIS!$C$97)-CROQUIS!$C$107)/MAX(CROQUIS!$C$137,1))+1)/80,1))),1))+1)-1)*(CROQUIS!$C$137*MAX(1,CEILING((INT(((CROQUIS!$C$97)-CROQUIS!$C$107)/MAX(CROQUIS!$C$137,1))+1)/80,1))))/2)+MIN(INT(($A325-1)/5),MAX((MAX(1,INT(((CROQUIS!$C$97)-CROQUIS!$C$107)/MAX((CROQUIS!$C$137*MAX(1,CEILING((INT(((CROQUIS!$C$97)-CROQUIS!$C$107)/MAX(CROQUIS!$C$137,1))+1)/80,1))),1))+1))-1,0))*(CROQUIS!$C$137*MAX(1,CEILING((INT(((CROQUIS!$C$97)-CROQUIS!$C$107)/MAX(CROQUIS!$C$137,1))+1)/80,1))))))*CROQUIS!$C$159)+IF(CROQUIS!$C$92="X",0,0)),-1000)</f>
        <v>-1000</v>
      </c>
      <c r="BR325">
        <f>IF(AND(CROQUIS!$C$88=1,CROQUIS!$C$91=0,CROQUIS!$C$133&gt;0,OR(CROQUIS!$C$103=1,CROQUIS!$C$145=1)),((CROQUIS!$C$160+(IF(CROQUIS!$C$92="X",CHOOSE(IF(INT(($A325-1)/5)&gt;MAX((MAX(1,INT(((CROQUIS!$C$98)-CROQUIS!$C$107)/MAX((CROQUIS!$C$133*MAX(1,CEILING((INT(((CROQUIS!$C$98)-CROQUIS!$C$107)/MAX(CROQUIS!$C$133,1))+1)/80,1))),1))+1))-1,0),0,MOD($A325-1,5))+1,0,IF(CROQUIS!$C$103=1,-12,2),CROQUIS!$C$107/2+CROQUIS!$C$143,IF(CROQUIS!$C$103=1,-12,2),0),((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BS3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+1,0,IF(CROQUIS!$C$103=1,-12,2),CROQUIS!$C$107/2+CROQUIS!$C$143,IF(CROQUIS!$C$103=1,-12,2),0)))*CROQUIS!$C$159)+IF(CROQUIS!$C$92="X",0.8,0)),-1000)</f>
        <v>-1000</v>
      </c>
      <c r="BT325">
        <f>IF(AND(CROQUIS!$C$88=1,CROQUIS!$C$91=0,CROQUIS!$C$133&gt;0,OR(CROQUIS!$C$104=1,CROQUIS!$C$145=1)),((CROQUIS!$C$160+(IF(CROQUIS!$C$92="X",CHOOSE(IF(INT(($A325-1)/5)&gt;MAX((MAX(1,INT(((CROQUIS!$C$98)-CROQUIS!$C$107)/MAX((CROQUIS!$C$133*MAX(1,CEILING((INT(((CROQUIS!$C$98)-CROQUIS!$C$107)/MAX(CROQUIS!$C$133,1))+1)/80,1))),1))+1))-1,0),0,MOD($A325-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BU3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CROQUIS!$C$97,CROQUIS!$C$97-CROQUIS!$C$107/2-CROQUIS!$C$143,IF(CROQUIS!$C$104=1,CROQUIS!$C$97+12,CROQUIS!$C$97-2),CROQUIS!$C$97-CROQUIS!$C$107/2-CROQUIS!$C$143,CROQUIS!$C$97)))*CROQUIS!$C$159)+IF(CROQUIS!$C$92="X",0.8,0)),-1000)</f>
        <v>-1000</v>
      </c>
      <c r="BV3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HOOSE(IF(INT(($A325-1)/5)&gt;MAX((MAX(1,INT(((CROQUIS!$C$97)-CROQUIS!$C$107)/MAX((CROQUIS!$C$141*MAX(1,CEILING((INT(((CROQUIS!$C$97)-CROQUIS!$C$107)/MAX(CROQUIS!$C$141,1))+1)/80,1))),1))+1))-1,0),0,MOD($A325-1,5))+1,0,IF(CROQUIS!$C$105=1,-12,2),CROQUIS!$C$107/2+CROQUIS!$C$144,IF(CROQUIS!$C$105=1,-12,2),0)))*CROQUIS!$C$159)+IF(CROQUIS!$C$92="X",0.8,0)),-1000)</f>
        <v>-1000</v>
      </c>
      <c r="BW325">
        <f>IF(AND(CROQUIS!$C$88=1,CROQUIS!$C$91=0,CROQUIS!$C$141&gt;0,OR(CROQUIS!$C$105=1,CROQUIS!$C$146=1)),((CROQUIS!$C$161+(IF(CROQUIS!$C$92="X",CHOOSE(IF(INT(($A325-1)/5)&gt;MAX((MAX(1,INT(((CROQUIS!$C$97)-CROQUIS!$C$107)/MAX((CROQUIS!$C$141*MAX(1,CEILING((INT(((CROQUIS!$C$97)-CROQUIS!$C$107)/MAX(CROQUIS!$C$141,1))+1)/80,1))),1))+1))-1,0),0,MOD($A325-1,5))+1,0,IF(CROQUIS!$C$105=1,-12,2),CROQUIS!$C$107/2+CROQUIS!$C$144,IF(CROQUIS!$C$105=1,-12,2),0),((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ROQUIS!$C$159)+IF(CROQUIS!$C$92="X",0,0.8)),-1000)</f>
        <v>-1000</v>
      </c>
      <c r="BX3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HOOSE(IF(INT(($A325-1)/5)&gt;MAX((MAX(1,INT(((CROQUIS!$C$97)-CROQUIS!$C$107)/MAX((CROQUIS!$C$141*MAX(1,CEILING((INT(((CROQUIS!$C$97)-CROQUIS!$C$107)/MAX(CROQUIS!$C$141,1))+1)/80,1))),1))+1))-1,0),0,MOD($A325-1,5))+1,CROQUIS!$C$98,CROQUIS!$C$98-CROQUIS!$C$107/2-CROQUIS!$C$144,IF(CROQUIS!$C$106=1,CROQUIS!$C$98+12,CROQUIS!$C$98-2),CROQUIS!$C$98-CROQUIS!$C$107/2-CROQUIS!$C$144,CROQUIS!$C$98)))*CROQUIS!$C$159)+IF(CROQUIS!$C$92="X",0.8,0)),-1000)</f>
        <v>-1000</v>
      </c>
      <c r="BY325">
        <f>IF(AND(CROQUIS!$C$88=1,CROQUIS!$C$91=0,CROQUIS!$C$141&gt;0,OR(CROQUIS!$C$106=1,CROQUIS!$C$146=1)),((CROQUIS!$C$161+(IF(CROQUIS!$C$92="X",CHOOSE(IF(INT(($A325-1)/5)&gt;MAX((MAX(1,INT(((CROQUIS!$C$97)-CROQUIS!$C$107)/MAX((CROQUIS!$C$141*MAX(1,CEILING((INT(((CROQUIS!$C$97)-CROQUIS!$C$107)/MAX(CROQUIS!$C$141,1))+1)/80,1))),1))+1))-1,0),0,MOD($A325-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ROQUIS!$C$159)+IF(CROQUIS!$C$92="X",0,0.8)),-1000)</f>
        <v>-1000</v>
      </c>
      <c r="BZ325">
        <f>IF(AND(CROQUIS!$C$88=1,CROQUIS!$C$91=1,CROQUIS!$C$133&gt;0),((CROQUIS!$C$160+(IF(CROQUIS!$C$92="X",CHOOSE(IF(INT(($A325-1)/5)&gt;MAX((MAX(1,INT(((CROQUIS!$C$98)-CROQUIS!$C$107)/MAX((CROQUIS!$C$133*MAX(1,CEILING((INT(((CROQUIS!$C$98)-CROQUIS!$C$107)/MAX(CROQUIS!$C$133,1))+1)/80,1))),1))+1))-1,0),0,MOD($A325-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CA325">
        <f>IF(AND(CROQUIS!$C$88=1,CROQUIS!$C$91=1,CROQUIS!$C$133&gt;0),((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6">
      <c r="A326" t="n">
        <v>319</v>
      </c>
      <c r="BN326">
        <f>IF(AND(CROQUIS!$C$88=1,CROQUIS!$C$129&gt;0),((CROQUIS!$C$160+(IF(CROQUIS!$C$92="X",CHOOSE(IF(INT(($A326-1)/5)&gt;MAX((MAX(1,INT(((CROQUIS!$C$98)-CROQUIS!$C$107)/MAX((CROQUIS!$C$129*MAX(1,CEILING((INT(((CROQUIS!$C$98)-CROQUIS!$C$107)/MAX(CROQUIS!$C$129,1))+1)/80,1))),1))+1))-1,0),0,MOD($A326-1,5))+1,0,2,CROQUIS!$C$97-2,2,0),((CROQUIS!$C$107/2+(((CROQUIS!$C$98)-CROQUIS!$C$107)-(MAX(1,INT(((CROQUIS!$C$98)-CROQUIS!$C$107)/MAX((CROQUIS!$C$129*MAX(1,CEILING((INT(((CROQUIS!$C$98)-CROQUIS!$C$107)/MAX(CROQUIS!$C$129,1))+1)/80,1))),1))+1)-1)*(CROQUIS!$C$129*MAX(1,CEILING((INT(((CROQUIS!$C$98)-CROQUIS!$C$107)/MAX(CROQUIS!$C$129,1))+1)/80,1))))/2)+MIN(INT(($A326-1)/5),MAX((MAX(1,INT(((CROQUIS!$C$98)-CROQUIS!$C$107)/MAX((CROQUIS!$C$129*MAX(1,CEILING((INT(((CROQUIS!$C$98)-CROQUIS!$C$107)/MAX(CROQUIS!$C$129,1))+1)/80,1))),1))+1))-1,0))*(CROQUIS!$C$129*MAX(1,CEILING((INT(((CROQUIS!$C$98)-CROQUIS!$C$107)/MAX(CROQUIS!$C$129,1))+1)/80,1))))))*CROQUIS!$C$159)+IF(CROQUIS!$C$92="X",0,0)),-1000)</f>
        <v>-1000</v>
      </c>
      <c r="BO326">
        <f>IF(AND(CROQUIS!$C$88=1,CROQUIS!$C$129&gt;0),((CROQUIS!$C$161+(IF(CROQUIS!$C$92="X",((CROQUIS!$C$107/2+(((CROQUIS!$C$98)-CROQUIS!$C$107)-(MAX(1,INT(((CROQUIS!$C$98)-CROQUIS!$C$107)/MAX((CROQUIS!$C$129*MAX(1,CEILING((INT(((CROQUIS!$C$98)-CROQUIS!$C$107)/MAX(CROQUIS!$C$129,1))+1)/80,1))),1))+1)-1)*(CROQUIS!$C$129*MAX(1,CEILING((INT(((CROQUIS!$C$98)-CROQUIS!$C$107)/MAX(CROQUIS!$C$129,1))+1)/80,1))))/2)+MIN(INT(($A326-1)/5),MAX((MAX(1,INT(((CROQUIS!$C$98)-CROQUIS!$C$107)/MAX((CROQUIS!$C$129*MAX(1,CEILING((INT(((CROQUIS!$C$98)-CROQUIS!$C$107)/MAX(CROQUIS!$C$129,1))+1)/80,1))),1))+1))-1,0))*(CROQUIS!$C$129*MAX(1,CEILING((INT(((CROQUIS!$C$98)-CROQUIS!$C$107)/MAX(CROQUIS!$C$129,1))+1)/80,1)))),CHOOSE(IF(INT(($A326-1)/5)&gt;MAX((MAX(1,INT(((CROQUIS!$C$98)-CROQUIS!$C$107)/MAX((CROQUIS!$C$129*MAX(1,CEILING((INT(((CROQUIS!$C$98)-CROQUIS!$C$107)/MAX(CROQUIS!$C$129,1))+1)/80,1))),1))+1))-1,0),0,MOD($A326-1,5))+1,0,2,CROQUIS!$C$97-2,2,0)))*CROQUIS!$C$159)+IF(CROQUIS!$C$92="X",0,0)),-1000)</f>
        <v>-1000</v>
      </c>
      <c r="BP326">
        <f>IF(AND(CROQUIS!$C$88=1,CROQUIS!$C$137&gt;0),((CROQUIS!$C$160+(IF(CROQUIS!$C$92="X",((CROQUIS!$C$107/2+(((CROQUIS!$C$97)-CROQUIS!$C$107)-(MAX(1,INT(((CROQUIS!$C$97)-CROQUIS!$C$107)/MAX((CROQUIS!$C$137*MAX(1,CEILING((INT(((CROQUIS!$C$97)-CROQUIS!$C$107)/MAX(CROQUIS!$C$137,1))+1)/80,1))),1))+1)-1)*(CROQUIS!$C$137*MAX(1,CEILING((INT(((CROQUIS!$C$97)-CROQUIS!$C$107)/MAX(CROQUIS!$C$137,1))+1)/80,1))))/2)+MIN(INT(($A326-1)/5),MAX((MAX(1,INT(((CROQUIS!$C$97)-CROQUIS!$C$107)/MAX((CROQUIS!$C$137*MAX(1,CEILING((INT(((CROQUIS!$C$97)-CROQUIS!$C$107)/MAX(CROQUIS!$C$137,1))+1)/80,1))),1))+1))-1,0))*(CROQUIS!$C$137*MAX(1,CEILING((INT(((CROQUIS!$C$97)-CROQUIS!$C$107)/MAX(CROQUIS!$C$137,1))+1)/80,1)))),CHOOSE(IF(INT(($A326-1)/5)&gt;MAX((MAX(1,INT(((CROQUIS!$C$97)-CROQUIS!$C$107)/MAX((CROQUIS!$C$137*MAX(1,CEILING((INT(((CROQUIS!$C$97)-CROQUIS!$C$107)/MAX(CROQUIS!$C$137,1))+1)/80,1))),1))+1))-1,0),0,MOD($A326-1,5))+1,0,2,CROQUIS!$C$98-2,2,0)))*CROQUIS!$C$159)+IF(CROQUIS!$C$92="X",0,0)),-1000)</f>
        <v>-1000</v>
      </c>
      <c r="BQ326">
        <f>IF(AND(CROQUIS!$C$88=1,CROQUIS!$C$137&gt;0),((CROQUIS!$C$161+(IF(CROQUIS!$C$92="X",CHOOSE(IF(INT(($A326-1)/5)&gt;MAX((MAX(1,INT(((CROQUIS!$C$97)-CROQUIS!$C$107)/MAX((CROQUIS!$C$137*MAX(1,CEILING((INT(((CROQUIS!$C$97)-CROQUIS!$C$107)/MAX(CROQUIS!$C$137,1))+1)/80,1))),1))+1))-1,0),0,MOD($A326-1,5))+1,0,2,CROQUIS!$C$98-2,2,0),((CROQUIS!$C$107/2+(((CROQUIS!$C$97)-CROQUIS!$C$107)-(MAX(1,INT(((CROQUIS!$C$97)-CROQUIS!$C$107)/MAX((CROQUIS!$C$137*MAX(1,CEILING((INT(((CROQUIS!$C$97)-CROQUIS!$C$107)/MAX(CROQUIS!$C$137,1))+1)/80,1))),1))+1)-1)*(CROQUIS!$C$137*MAX(1,CEILING((INT(((CROQUIS!$C$97)-CROQUIS!$C$107)/MAX(CROQUIS!$C$137,1))+1)/80,1))))/2)+MIN(INT(($A326-1)/5),MAX((MAX(1,INT(((CROQUIS!$C$97)-CROQUIS!$C$107)/MAX((CROQUIS!$C$137*MAX(1,CEILING((INT(((CROQUIS!$C$97)-CROQUIS!$C$107)/MAX(CROQUIS!$C$137,1))+1)/80,1))),1))+1))-1,0))*(CROQUIS!$C$137*MAX(1,CEILING((INT(((CROQUIS!$C$97)-CROQUIS!$C$107)/MAX(CROQUIS!$C$137,1))+1)/80,1))))))*CROQUIS!$C$159)+IF(CROQUIS!$C$92="X",0,0)),-1000)</f>
        <v>-1000</v>
      </c>
      <c r="BR326">
        <f>IF(AND(CROQUIS!$C$88=1,CROQUIS!$C$91=0,CROQUIS!$C$133&gt;0,OR(CROQUIS!$C$103=1,CROQUIS!$C$145=1)),((CROQUIS!$C$160+(IF(CROQUIS!$C$92="X",CHOOSE(IF(INT(($A326-1)/5)&gt;MAX((MAX(1,INT(((CROQUIS!$C$98)-CROQUIS!$C$107)/MAX((CROQUIS!$C$133*MAX(1,CEILING((INT(((CROQUIS!$C$98)-CROQUIS!$C$107)/MAX(CROQUIS!$C$133,1))+1)/80,1))),1))+1))-1,0),0,MOD($A326-1,5))+1,0,IF(CROQUIS!$C$103=1,-12,2),CROQUIS!$C$107/2+CROQUIS!$C$143,IF(CROQUIS!$C$103=1,-12,2),0),((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BS3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+1,0,IF(CROQUIS!$C$103=1,-12,2),CROQUIS!$C$107/2+CROQUIS!$C$143,IF(CROQUIS!$C$103=1,-12,2),0)))*CROQUIS!$C$159)+IF(CROQUIS!$C$92="X",0.8,0)),-1000)</f>
        <v>-1000</v>
      </c>
      <c r="BT326">
        <f>IF(AND(CROQUIS!$C$88=1,CROQUIS!$C$91=0,CROQUIS!$C$133&gt;0,OR(CROQUIS!$C$104=1,CROQUIS!$C$145=1)),((CROQUIS!$C$160+(IF(CROQUIS!$C$92="X",CHOOSE(IF(INT(($A326-1)/5)&gt;MAX((MAX(1,INT(((CROQUIS!$C$98)-CROQUIS!$C$107)/MAX((CROQUIS!$C$133*MAX(1,CEILING((INT(((CROQUIS!$C$98)-CROQUIS!$C$107)/MAX(CROQUIS!$C$133,1))+1)/80,1))),1))+1))-1,0),0,MOD($A326-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BU3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CROQUIS!$C$97,CROQUIS!$C$97-CROQUIS!$C$107/2-CROQUIS!$C$143,IF(CROQUIS!$C$104=1,CROQUIS!$C$97+12,CROQUIS!$C$97-2),CROQUIS!$C$97-CROQUIS!$C$107/2-CROQUIS!$C$143,CROQUIS!$C$97)))*CROQUIS!$C$159)+IF(CROQUIS!$C$92="X",0.8,0)),-1000)</f>
        <v>-1000</v>
      </c>
      <c r="BV3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HOOSE(IF(INT(($A326-1)/5)&gt;MAX((MAX(1,INT(((CROQUIS!$C$97)-CROQUIS!$C$107)/MAX((CROQUIS!$C$141*MAX(1,CEILING((INT(((CROQUIS!$C$97)-CROQUIS!$C$107)/MAX(CROQUIS!$C$141,1))+1)/80,1))),1))+1))-1,0),0,MOD($A326-1,5))+1,0,IF(CROQUIS!$C$105=1,-12,2),CROQUIS!$C$107/2+CROQUIS!$C$144,IF(CROQUIS!$C$105=1,-12,2),0)))*CROQUIS!$C$159)+IF(CROQUIS!$C$92="X",0.8,0)),-1000)</f>
        <v>-1000</v>
      </c>
      <c r="BW326">
        <f>IF(AND(CROQUIS!$C$88=1,CROQUIS!$C$91=0,CROQUIS!$C$141&gt;0,OR(CROQUIS!$C$105=1,CROQUIS!$C$146=1)),((CROQUIS!$C$161+(IF(CROQUIS!$C$92="X",CHOOSE(IF(INT(($A326-1)/5)&gt;MAX((MAX(1,INT(((CROQUIS!$C$97)-CROQUIS!$C$107)/MAX((CROQUIS!$C$141*MAX(1,CEILING((INT(((CROQUIS!$C$97)-CROQUIS!$C$107)/MAX(CROQUIS!$C$141,1))+1)/80,1))),1))+1))-1,0),0,MOD($A326-1,5))+1,0,IF(CROQUIS!$C$105=1,-12,2),CROQUIS!$C$107/2+CROQUIS!$C$144,IF(CROQUIS!$C$105=1,-12,2),0),((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ROQUIS!$C$159)+IF(CROQUIS!$C$92="X",0,0.8)),-1000)</f>
        <v>-1000</v>
      </c>
      <c r="BX3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HOOSE(IF(INT(($A326-1)/5)&gt;MAX((MAX(1,INT(((CROQUIS!$C$97)-CROQUIS!$C$107)/MAX((CROQUIS!$C$141*MAX(1,CEILING((INT(((CROQUIS!$C$97)-CROQUIS!$C$107)/MAX(CROQUIS!$C$141,1))+1)/80,1))),1))+1))-1,0),0,MOD($A326-1,5))+1,CROQUIS!$C$98,CROQUIS!$C$98-CROQUIS!$C$107/2-CROQUIS!$C$144,IF(CROQUIS!$C$106=1,CROQUIS!$C$98+12,CROQUIS!$C$98-2),CROQUIS!$C$98-CROQUIS!$C$107/2-CROQUIS!$C$144,CROQUIS!$C$98)))*CROQUIS!$C$159)+IF(CROQUIS!$C$92="X",0.8,0)),-1000)</f>
        <v>-1000</v>
      </c>
      <c r="BY326">
        <f>IF(AND(CROQUIS!$C$88=1,CROQUIS!$C$91=0,CROQUIS!$C$141&gt;0,OR(CROQUIS!$C$106=1,CROQUIS!$C$146=1)),((CROQUIS!$C$161+(IF(CROQUIS!$C$92="X",CHOOSE(IF(INT(($A326-1)/5)&gt;MAX((MAX(1,INT(((CROQUIS!$C$97)-CROQUIS!$C$107)/MAX((CROQUIS!$C$141*MAX(1,CEILING((INT(((CROQUIS!$C$97)-CROQUIS!$C$107)/MAX(CROQUIS!$C$141,1))+1)/80,1))),1))+1))-1,0),0,MOD($A326-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ROQUIS!$C$159)+IF(CROQUIS!$C$92="X",0,0.8)),-1000)</f>
        <v>-1000</v>
      </c>
      <c r="BZ326">
        <f>IF(AND(CROQUIS!$C$88=1,CROQUIS!$C$91=1,CROQUIS!$C$133&gt;0),((CROQUIS!$C$160+(IF(CROQUIS!$C$92="X",CHOOSE(IF(INT(($A326-1)/5)&gt;MAX((MAX(1,INT(((CROQUIS!$C$98)-CROQUIS!$C$107)/MAX((CROQUIS!$C$133*MAX(1,CEILING((INT(((CROQUIS!$C$98)-CROQUIS!$C$107)/MAX(CROQUIS!$C$133,1))+1)/80,1))),1))+1))-1,0),0,MOD($A326-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CA326">
        <f>IF(AND(CROQUIS!$C$88=1,CROQUIS!$C$91=1,CROQUIS!$C$133&gt;0),((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7">
      <c r="A327" t="n">
        <v>320</v>
      </c>
      <c r="BN327">
        <f>IF(AND(CROQUIS!$C$88=1,CROQUIS!$C$129&gt;0),((CROQUIS!$C$160+(IF(CROQUIS!$C$92="X",CHOOSE(IF(INT(($A327-1)/5)&gt;MAX((MAX(1,INT(((CROQUIS!$C$98)-CROQUIS!$C$107)/MAX((CROQUIS!$C$129*MAX(1,CEILING((INT(((CROQUIS!$C$98)-CROQUIS!$C$107)/MAX(CROQUIS!$C$129,1))+1)/80,1))),1))+1))-1,0),0,MOD($A327-1,5))+1,0,2,CROQUIS!$C$97-2,2,0),((CROQUIS!$C$107/2+(((CROQUIS!$C$98)-CROQUIS!$C$107)-(MAX(1,INT(((CROQUIS!$C$98)-CROQUIS!$C$107)/MAX((CROQUIS!$C$129*MAX(1,CEILING((INT(((CROQUIS!$C$98)-CROQUIS!$C$107)/MAX(CROQUIS!$C$129,1))+1)/80,1))),1))+1)-1)*(CROQUIS!$C$129*MAX(1,CEILING((INT(((CROQUIS!$C$98)-CROQUIS!$C$107)/MAX(CROQUIS!$C$129,1))+1)/80,1))))/2)+MIN(INT(($A327-1)/5),MAX((MAX(1,INT(((CROQUIS!$C$98)-CROQUIS!$C$107)/MAX((CROQUIS!$C$129*MAX(1,CEILING((INT(((CROQUIS!$C$98)-CROQUIS!$C$107)/MAX(CROQUIS!$C$129,1))+1)/80,1))),1))+1))-1,0))*(CROQUIS!$C$129*MAX(1,CEILING((INT(((CROQUIS!$C$98)-CROQUIS!$C$107)/MAX(CROQUIS!$C$129,1))+1)/80,1))))))*CROQUIS!$C$159)+IF(CROQUIS!$C$92="X",0,0)),-1000)</f>
        <v>-1000</v>
      </c>
      <c r="BO327">
        <f>IF(AND(CROQUIS!$C$88=1,CROQUIS!$C$129&gt;0),((CROQUIS!$C$161+(IF(CROQUIS!$C$92="X",((CROQUIS!$C$107/2+(((CROQUIS!$C$98)-CROQUIS!$C$107)-(MAX(1,INT(((CROQUIS!$C$98)-CROQUIS!$C$107)/MAX((CROQUIS!$C$129*MAX(1,CEILING((INT(((CROQUIS!$C$98)-CROQUIS!$C$107)/MAX(CROQUIS!$C$129,1))+1)/80,1))),1))+1)-1)*(CROQUIS!$C$129*MAX(1,CEILING((INT(((CROQUIS!$C$98)-CROQUIS!$C$107)/MAX(CROQUIS!$C$129,1))+1)/80,1))))/2)+MIN(INT(($A327-1)/5),MAX((MAX(1,INT(((CROQUIS!$C$98)-CROQUIS!$C$107)/MAX((CROQUIS!$C$129*MAX(1,CEILING((INT(((CROQUIS!$C$98)-CROQUIS!$C$107)/MAX(CROQUIS!$C$129,1))+1)/80,1))),1))+1))-1,0))*(CROQUIS!$C$129*MAX(1,CEILING((INT(((CROQUIS!$C$98)-CROQUIS!$C$107)/MAX(CROQUIS!$C$129,1))+1)/80,1)))),CHOOSE(IF(INT(($A327-1)/5)&gt;MAX((MAX(1,INT(((CROQUIS!$C$98)-CROQUIS!$C$107)/MAX((CROQUIS!$C$129*MAX(1,CEILING((INT(((CROQUIS!$C$98)-CROQUIS!$C$107)/MAX(CROQUIS!$C$129,1))+1)/80,1))),1))+1))-1,0),0,MOD($A327-1,5))+1,0,2,CROQUIS!$C$97-2,2,0)))*CROQUIS!$C$159)+IF(CROQUIS!$C$92="X",0,0)),-1000)</f>
        <v>-1000</v>
      </c>
      <c r="BP327">
        <f>IF(AND(CROQUIS!$C$88=1,CROQUIS!$C$137&gt;0),((CROQUIS!$C$160+(IF(CROQUIS!$C$92="X",((CROQUIS!$C$107/2+(((CROQUIS!$C$97)-CROQUIS!$C$107)-(MAX(1,INT(((CROQUIS!$C$97)-CROQUIS!$C$107)/MAX((CROQUIS!$C$137*MAX(1,CEILING((INT(((CROQUIS!$C$97)-CROQUIS!$C$107)/MAX(CROQUIS!$C$137,1))+1)/80,1))),1))+1)-1)*(CROQUIS!$C$137*MAX(1,CEILING((INT(((CROQUIS!$C$97)-CROQUIS!$C$107)/MAX(CROQUIS!$C$137,1))+1)/80,1))))/2)+MIN(INT(($A327-1)/5),MAX((MAX(1,INT(((CROQUIS!$C$97)-CROQUIS!$C$107)/MAX((CROQUIS!$C$137*MAX(1,CEILING((INT(((CROQUIS!$C$97)-CROQUIS!$C$107)/MAX(CROQUIS!$C$137,1))+1)/80,1))),1))+1))-1,0))*(CROQUIS!$C$137*MAX(1,CEILING((INT(((CROQUIS!$C$97)-CROQUIS!$C$107)/MAX(CROQUIS!$C$137,1))+1)/80,1)))),CHOOSE(IF(INT(($A327-1)/5)&gt;MAX((MAX(1,INT(((CROQUIS!$C$97)-CROQUIS!$C$107)/MAX((CROQUIS!$C$137*MAX(1,CEILING((INT(((CROQUIS!$C$97)-CROQUIS!$C$107)/MAX(CROQUIS!$C$137,1))+1)/80,1))),1))+1))-1,0),0,MOD($A327-1,5))+1,0,2,CROQUIS!$C$98-2,2,0)))*CROQUIS!$C$159)+IF(CROQUIS!$C$92="X",0,0)),-1000)</f>
        <v>-1000</v>
      </c>
      <c r="BQ327">
        <f>IF(AND(CROQUIS!$C$88=1,CROQUIS!$C$137&gt;0),((CROQUIS!$C$161+(IF(CROQUIS!$C$92="X",CHOOSE(IF(INT(($A327-1)/5)&gt;MAX((MAX(1,INT(((CROQUIS!$C$97)-CROQUIS!$C$107)/MAX((CROQUIS!$C$137*MAX(1,CEILING((INT(((CROQUIS!$C$97)-CROQUIS!$C$107)/MAX(CROQUIS!$C$137,1))+1)/80,1))),1))+1))-1,0),0,MOD($A327-1,5))+1,0,2,CROQUIS!$C$98-2,2,0),((CROQUIS!$C$107/2+(((CROQUIS!$C$97)-CROQUIS!$C$107)-(MAX(1,INT(((CROQUIS!$C$97)-CROQUIS!$C$107)/MAX((CROQUIS!$C$137*MAX(1,CEILING((INT(((CROQUIS!$C$97)-CROQUIS!$C$107)/MAX(CROQUIS!$C$137,1))+1)/80,1))),1))+1)-1)*(CROQUIS!$C$137*MAX(1,CEILING((INT(((CROQUIS!$C$97)-CROQUIS!$C$107)/MAX(CROQUIS!$C$137,1))+1)/80,1))))/2)+MIN(INT(($A327-1)/5),MAX((MAX(1,INT(((CROQUIS!$C$97)-CROQUIS!$C$107)/MAX((CROQUIS!$C$137*MAX(1,CEILING((INT(((CROQUIS!$C$97)-CROQUIS!$C$107)/MAX(CROQUIS!$C$137,1))+1)/80,1))),1))+1))-1,0))*(CROQUIS!$C$137*MAX(1,CEILING((INT(((CROQUIS!$C$97)-CROQUIS!$C$107)/MAX(CROQUIS!$C$137,1))+1)/80,1))))))*CROQUIS!$C$159)+IF(CROQUIS!$C$92="X",0,0)),-1000)</f>
        <v>-1000</v>
      </c>
      <c r="BR327">
        <f>IF(AND(CROQUIS!$C$88=1,CROQUIS!$C$91=0,CROQUIS!$C$133&gt;0,OR(CROQUIS!$C$103=1,CROQUIS!$C$145=1)),((CROQUIS!$C$160+(IF(CROQUIS!$C$92="X",CHOOSE(IF(INT(($A327-1)/5)&gt;MAX((MAX(1,INT(((CROQUIS!$C$98)-CROQUIS!$C$107)/MAX((CROQUIS!$C$133*MAX(1,CEILING((INT(((CROQUIS!$C$98)-CROQUIS!$C$107)/MAX(CROQUIS!$C$133,1))+1)/80,1))),1))+1))-1,0),0,MOD($A327-1,5))+1,0,IF(CROQUIS!$C$103=1,-12,2),CROQUIS!$C$107/2+CROQUIS!$C$143,IF(CROQUIS!$C$103=1,-12,2),0),((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BS3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+1,0,IF(CROQUIS!$C$103=1,-12,2),CROQUIS!$C$107/2+CROQUIS!$C$143,IF(CROQUIS!$C$103=1,-12,2),0)))*CROQUIS!$C$159)+IF(CROQUIS!$C$92="X",0.8,0)),-1000)</f>
        <v>-1000</v>
      </c>
      <c r="BT327">
        <f>IF(AND(CROQUIS!$C$88=1,CROQUIS!$C$91=0,CROQUIS!$C$133&gt;0,OR(CROQUIS!$C$104=1,CROQUIS!$C$145=1)),((CROQUIS!$C$160+(IF(CROQUIS!$C$92="X",CHOOSE(IF(INT(($A327-1)/5)&gt;MAX((MAX(1,INT(((CROQUIS!$C$98)-CROQUIS!$C$107)/MAX((CROQUIS!$C$133*MAX(1,CEILING((INT(((CROQUIS!$C$98)-CROQUIS!$C$107)/MAX(CROQUIS!$C$133,1))+1)/80,1))),1))+1))-1,0),0,MOD($A327-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BU3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CROQUIS!$C$97,CROQUIS!$C$97-CROQUIS!$C$107/2-CROQUIS!$C$143,IF(CROQUIS!$C$104=1,CROQUIS!$C$97+12,CROQUIS!$C$97-2),CROQUIS!$C$97-CROQUIS!$C$107/2-CROQUIS!$C$143,CROQUIS!$C$97)))*CROQUIS!$C$159)+IF(CROQUIS!$C$92="X",0.8,0)),-1000)</f>
        <v>-1000</v>
      </c>
      <c r="BV3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HOOSE(IF(INT(($A327-1)/5)&gt;MAX((MAX(1,INT(((CROQUIS!$C$97)-CROQUIS!$C$107)/MAX((CROQUIS!$C$141*MAX(1,CEILING((INT(((CROQUIS!$C$97)-CROQUIS!$C$107)/MAX(CROQUIS!$C$141,1))+1)/80,1))),1))+1))-1,0),0,MOD($A327-1,5))+1,0,IF(CROQUIS!$C$105=1,-12,2),CROQUIS!$C$107/2+CROQUIS!$C$144,IF(CROQUIS!$C$105=1,-12,2),0)))*CROQUIS!$C$159)+IF(CROQUIS!$C$92="X",0.8,0)),-1000)</f>
        <v>-1000</v>
      </c>
      <c r="BW327">
        <f>IF(AND(CROQUIS!$C$88=1,CROQUIS!$C$91=0,CROQUIS!$C$141&gt;0,OR(CROQUIS!$C$105=1,CROQUIS!$C$146=1)),((CROQUIS!$C$161+(IF(CROQUIS!$C$92="X",CHOOSE(IF(INT(($A327-1)/5)&gt;MAX((MAX(1,INT(((CROQUIS!$C$97)-CROQUIS!$C$107)/MAX((CROQUIS!$C$141*MAX(1,CEILING((INT(((CROQUIS!$C$97)-CROQUIS!$C$107)/MAX(CROQUIS!$C$141,1))+1)/80,1))),1))+1))-1,0),0,MOD($A327-1,5))+1,0,IF(CROQUIS!$C$105=1,-12,2),CROQUIS!$C$107/2+CROQUIS!$C$144,IF(CROQUIS!$C$105=1,-12,2),0),((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ROQUIS!$C$159)+IF(CROQUIS!$C$92="X",0,0.8)),-1000)</f>
        <v>-1000</v>
      </c>
      <c r="BX3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HOOSE(IF(INT(($A327-1)/5)&gt;MAX((MAX(1,INT(((CROQUIS!$C$97)-CROQUIS!$C$107)/MAX((CROQUIS!$C$141*MAX(1,CEILING((INT(((CROQUIS!$C$97)-CROQUIS!$C$107)/MAX(CROQUIS!$C$141,1))+1)/80,1))),1))+1))-1,0),0,MOD($A327-1,5))+1,CROQUIS!$C$98,CROQUIS!$C$98-CROQUIS!$C$107/2-CROQUIS!$C$144,IF(CROQUIS!$C$106=1,CROQUIS!$C$98+12,CROQUIS!$C$98-2),CROQUIS!$C$98-CROQUIS!$C$107/2-CROQUIS!$C$144,CROQUIS!$C$98)))*CROQUIS!$C$159)+IF(CROQUIS!$C$92="X",0.8,0)),-1000)</f>
        <v>-1000</v>
      </c>
      <c r="BY327">
        <f>IF(AND(CROQUIS!$C$88=1,CROQUIS!$C$91=0,CROQUIS!$C$141&gt;0,OR(CROQUIS!$C$106=1,CROQUIS!$C$146=1)),((CROQUIS!$C$161+(IF(CROQUIS!$C$92="X",CHOOSE(IF(INT(($A327-1)/5)&gt;MAX((MAX(1,INT(((CROQUIS!$C$97)-CROQUIS!$C$107)/MAX((CROQUIS!$C$141*MAX(1,CEILING((INT(((CROQUIS!$C$97)-CROQUIS!$C$107)/MAX(CROQUIS!$C$141,1))+1)/80,1))),1))+1))-1,0),0,MOD($A327-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ROQUIS!$C$159)+IF(CROQUIS!$C$92="X",0,0.8)),-1000)</f>
        <v>-1000</v>
      </c>
      <c r="BZ327">
        <f>IF(AND(CROQUIS!$C$88=1,CROQUIS!$C$91=1,CROQUIS!$C$133&gt;0),((CROQUIS!$C$160+(IF(CROQUIS!$C$92="X",CHOOSE(IF(INT(($A327-1)/5)&gt;MAX((MAX(1,INT(((CROQUIS!$C$98)-CROQUIS!$C$107)/MAX((CROQUIS!$C$133*MAX(1,CEILING((INT(((CROQUIS!$C$98)-CROQUIS!$C$107)/MAX(CROQUIS!$C$133,1))+1)/80,1))),1))+1))-1,0),0,MOD($A327-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CA327">
        <f>IF(AND(CROQUIS!$C$88=1,CROQUIS!$C$91=1,CROQUIS!$C$133&gt;0),((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8">
      <c r="A328" t="n">
        <v>321</v>
      </c>
      <c r="BN328">
        <f>IF(AND(CROQUIS!$C$88=1,CROQUIS!$C$129&gt;0),((CROQUIS!$C$160+(IF(CROQUIS!$C$92="X",CHOOSE(IF(INT(($A328-1)/5)&gt;MAX((MAX(1,INT(((CROQUIS!$C$98)-CROQUIS!$C$107)/MAX((CROQUIS!$C$129*MAX(1,CEILING((INT(((CROQUIS!$C$98)-CROQUIS!$C$107)/MAX(CROQUIS!$C$129,1))+1)/80,1))),1))+1))-1,0),0,MOD($A328-1,5))+1,0,2,CROQUIS!$C$97-2,2,0),((CROQUIS!$C$107/2+(((CROQUIS!$C$98)-CROQUIS!$C$107)-(MAX(1,INT(((CROQUIS!$C$98)-CROQUIS!$C$107)/MAX((CROQUIS!$C$129*MAX(1,CEILING((INT(((CROQUIS!$C$98)-CROQUIS!$C$107)/MAX(CROQUIS!$C$129,1))+1)/80,1))),1))+1)-1)*(CROQUIS!$C$129*MAX(1,CEILING((INT(((CROQUIS!$C$98)-CROQUIS!$C$107)/MAX(CROQUIS!$C$129,1))+1)/80,1))))/2)+MIN(INT(($A328-1)/5),MAX((MAX(1,INT(((CROQUIS!$C$98)-CROQUIS!$C$107)/MAX((CROQUIS!$C$129*MAX(1,CEILING((INT(((CROQUIS!$C$98)-CROQUIS!$C$107)/MAX(CROQUIS!$C$129,1))+1)/80,1))),1))+1))-1,0))*(CROQUIS!$C$129*MAX(1,CEILING((INT(((CROQUIS!$C$98)-CROQUIS!$C$107)/MAX(CROQUIS!$C$129,1))+1)/80,1))))))*CROQUIS!$C$159)+IF(CROQUIS!$C$92="X",0,0)),-1000)</f>
        <v>-1000</v>
      </c>
      <c r="BO328">
        <f>IF(AND(CROQUIS!$C$88=1,CROQUIS!$C$129&gt;0),((CROQUIS!$C$161+(IF(CROQUIS!$C$92="X",((CROQUIS!$C$107/2+(((CROQUIS!$C$98)-CROQUIS!$C$107)-(MAX(1,INT(((CROQUIS!$C$98)-CROQUIS!$C$107)/MAX((CROQUIS!$C$129*MAX(1,CEILING((INT(((CROQUIS!$C$98)-CROQUIS!$C$107)/MAX(CROQUIS!$C$129,1))+1)/80,1))),1))+1)-1)*(CROQUIS!$C$129*MAX(1,CEILING((INT(((CROQUIS!$C$98)-CROQUIS!$C$107)/MAX(CROQUIS!$C$129,1))+1)/80,1))))/2)+MIN(INT(($A328-1)/5),MAX((MAX(1,INT(((CROQUIS!$C$98)-CROQUIS!$C$107)/MAX((CROQUIS!$C$129*MAX(1,CEILING((INT(((CROQUIS!$C$98)-CROQUIS!$C$107)/MAX(CROQUIS!$C$129,1))+1)/80,1))),1))+1))-1,0))*(CROQUIS!$C$129*MAX(1,CEILING((INT(((CROQUIS!$C$98)-CROQUIS!$C$107)/MAX(CROQUIS!$C$129,1))+1)/80,1)))),CHOOSE(IF(INT(($A328-1)/5)&gt;MAX((MAX(1,INT(((CROQUIS!$C$98)-CROQUIS!$C$107)/MAX((CROQUIS!$C$129*MAX(1,CEILING((INT(((CROQUIS!$C$98)-CROQUIS!$C$107)/MAX(CROQUIS!$C$129,1))+1)/80,1))),1))+1))-1,0),0,MOD($A328-1,5))+1,0,2,CROQUIS!$C$97-2,2,0)))*CROQUIS!$C$159)+IF(CROQUIS!$C$92="X",0,0)),-1000)</f>
        <v>-1000</v>
      </c>
      <c r="BP328">
        <f>IF(AND(CROQUIS!$C$88=1,CROQUIS!$C$137&gt;0),((CROQUIS!$C$160+(IF(CROQUIS!$C$92="X",((CROQUIS!$C$107/2+(((CROQUIS!$C$97)-CROQUIS!$C$107)-(MAX(1,INT(((CROQUIS!$C$97)-CROQUIS!$C$107)/MAX((CROQUIS!$C$137*MAX(1,CEILING((INT(((CROQUIS!$C$97)-CROQUIS!$C$107)/MAX(CROQUIS!$C$137,1))+1)/80,1))),1))+1)-1)*(CROQUIS!$C$137*MAX(1,CEILING((INT(((CROQUIS!$C$97)-CROQUIS!$C$107)/MAX(CROQUIS!$C$137,1))+1)/80,1))))/2)+MIN(INT(($A328-1)/5),MAX((MAX(1,INT(((CROQUIS!$C$97)-CROQUIS!$C$107)/MAX((CROQUIS!$C$137*MAX(1,CEILING((INT(((CROQUIS!$C$97)-CROQUIS!$C$107)/MAX(CROQUIS!$C$137,1))+1)/80,1))),1))+1))-1,0))*(CROQUIS!$C$137*MAX(1,CEILING((INT(((CROQUIS!$C$97)-CROQUIS!$C$107)/MAX(CROQUIS!$C$137,1))+1)/80,1)))),CHOOSE(IF(INT(($A328-1)/5)&gt;MAX((MAX(1,INT(((CROQUIS!$C$97)-CROQUIS!$C$107)/MAX((CROQUIS!$C$137*MAX(1,CEILING((INT(((CROQUIS!$C$97)-CROQUIS!$C$107)/MAX(CROQUIS!$C$137,1))+1)/80,1))),1))+1))-1,0),0,MOD($A328-1,5))+1,0,2,CROQUIS!$C$98-2,2,0)))*CROQUIS!$C$159)+IF(CROQUIS!$C$92="X",0,0)),-1000)</f>
        <v>-1000</v>
      </c>
      <c r="BQ328">
        <f>IF(AND(CROQUIS!$C$88=1,CROQUIS!$C$137&gt;0),((CROQUIS!$C$161+(IF(CROQUIS!$C$92="X",CHOOSE(IF(INT(($A328-1)/5)&gt;MAX((MAX(1,INT(((CROQUIS!$C$97)-CROQUIS!$C$107)/MAX((CROQUIS!$C$137*MAX(1,CEILING((INT(((CROQUIS!$C$97)-CROQUIS!$C$107)/MAX(CROQUIS!$C$137,1))+1)/80,1))),1))+1))-1,0),0,MOD($A328-1,5))+1,0,2,CROQUIS!$C$98-2,2,0),((CROQUIS!$C$107/2+(((CROQUIS!$C$97)-CROQUIS!$C$107)-(MAX(1,INT(((CROQUIS!$C$97)-CROQUIS!$C$107)/MAX((CROQUIS!$C$137*MAX(1,CEILING((INT(((CROQUIS!$C$97)-CROQUIS!$C$107)/MAX(CROQUIS!$C$137,1))+1)/80,1))),1))+1)-1)*(CROQUIS!$C$137*MAX(1,CEILING((INT(((CROQUIS!$C$97)-CROQUIS!$C$107)/MAX(CROQUIS!$C$137,1))+1)/80,1))))/2)+MIN(INT(($A328-1)/5),MAX((MAX(1,INT(((CROQUIS!$C$97)-CROQUIS!$C$107)/MAX((CROQUIS!$C$137*MAX(1,CEILING((INT(((CROQUIS!$C$97)-CROQUIS!$C$107)/MAX(CROQUIS!$C$137,1))+1)/80,1))),1))+1))-1,0))*(CROQUIS!$C$137*MAX(1,CEILING((INT(((CROQUIS!$C$97)-CROQUIS!$C$107)/MAX(CROQUIS!$C$137,1))+1)/80,1))))))*CROQUIS!$C$159)+IF(CROQUIS!$C$92="X",0,0)),-1000)</f>
        <v>-1000</v>
      </c>
      <c r="BR328">
        <f>IF(AND(CROQUIS!$C$88=1,CROQUIS!$C$91=0,CROQUIS!$C$133&gt;0,OR(CROQUIS!$C$103=1,CROQUIS!$C$145=1)),((CROQUIS!$C$160+(IF(CROQUIS!$C$92="X",CHOOSE(IF(INT(($A328-1)/5)&gt;MAX((MAX(1,INT(((CROQUIS!$C$98)-CROQUIS!$C$107)/MAX((CROQUIS!$C$133*MAX(1,CEILING((INT(((CROQUIS!$C$98)-CROQUIS!$C$107)/MAX(CROQUIS!$C$133,1))+1)/80,1))),1))+1))-1,0),0,MOD($A328-1,5))+1,0,IF(CROQUIS!$C$103=1,-12,2),CROQUIS!$C$107/2+CROQUIS!$C$143,IF(CROQUIS!$C$103=1,-12,2),0),((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BS3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+1,0,IF(CROQUIS!$C$103=1,-12,2),CROQUIS!$C$107/2+CROQUIS!$C$143,IF(CROQUIS!$C$103=1,-12,2),0)))*CROQUIS!$C$159)+IF(CROQUIS!$C$92="X",0.8,0)),-1000)</f>
        <v>-1000</v>
      </c>
      <c r="BT328">
        <f>IF(AND(CROQUIS!$C$88=1,CROQUIS!$C$91=0,CROQUIS!$C$133&gt;0,OR(CROQUIS!$C$104=1,CROQUIS!$C$145=1)),((CROQUIS!$C$160+(IF(CROQUIS!$C$92="X",CHOOSE(IF(INT(($A328-1)/5)&gt;MAX((MAX(1,INT(((CROQUIS!$C$98)-CROQUIS!$C$107)/MAX((CROQUIS!$C$133*MAX(1,CEILING((INT(((CROQUIS!$C$98)-CROQUIS!$C$107)/MAX(CROQUIS!$C$133,1))+1)/80,1))),1))+1))-1,0),0,MOD($A328-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BU3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CROQUIS!$C$97,CROQUIS!$C$97-CROQUIS!$C$107/2-CROQUIS!$C$143,IF(CROQUIS!$C$104=1,CROQUIS!$C$97+12,CROQUIS!$C$97-2),CROQUIS!$C$97-CROQUIS!$C$107/2-CROQUIS!$C$143,CROQUIS!$C$97)))*CROQUIS!$C$159)+IF(CROQUIS!$C$92="X",0.8,0)),-1000)</f>
        <v>-1000</v>
      </c>
      <c r="BV3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HOOSE(IF(INT(($A328-1)/5)&gt;MAX((MAX(1,INT(((CROQUIS!$C$97)-CROQUIS!$C$107)/MAX((CROQUIS!$C$141*MAX(1,CEILING((INT(((CROQUIS!$C$97)-CROQUIS!$C$107)/MAX(CROQUIS!$C$141,1))+1)/80,1))),1))+1))-1,0),0,MOD($A328-1,5))+1,0,IF(CROQUIS!$C$105=1,-12,2),CROQUIS!$C$107/2+CROQUIS!$C$144,IF(CROQUIS!$C$105=1,-12,2),0)))*CROQUIS!$C$159)+IF(CROQUIS!$C$92="X",0.8,0)),-1000)</f>
        <v>-1000</v>
      </c>
      <c r="BW328">
        <f>IF(AND(CROQUIS!$C$88=1,CROQUIS!$C$91=0,CROQUIS!$C$141&gt;0,OR(CROQUIS!$C$105=1,CROQUIS!$C$146=1)),((CROQUIS!$C$161+(IF(CROQUIS!$C$92="X",CHOOSE(IF(INT(($A328-1)/5)&gt;MAX((MAX(1,INT(((CROQUIS!$C$97)-CROQUIS!$C$107)/MAX((CROQUIS!$C$141*MAX(1,CEILING((INT(((CROQUIS!$C$97)-CROQUIS!$C$107)/MAX(CROQUIS!$C$141,1))+1)/80,1))),1))+1))-1,0),0,MOD($A328-1,5))+1,0,IF(CROQUIS!$C$105=1,-12,2),CROQUIS!$C$107/2+CROQUIS!$C$144,IF(CROQUIS!$C$105=1,-12,2),0),((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ROQUIS!$C$159)+IF(CROQUIS!$C$92="X",0,0.8)),-1000)</f>
        <v>-1000</v>
      </c>
      <c r="BX3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HOOSE(IF(INT(($A328-1)/5)&gt;MAX((MAX(1,INT(((CROQUIS!$C$97)-CROQUIS!$C$107)/MAX((CROQUIS!$C$141*MAX(1,CEILING((INT(((CROQUIS!$C$97)-CROQUIS!$C$107)/MAX(CROQUIS!$C$141,1))+1)/80,1))),1))+1))-1,0),0,MOD($A328-1,5))+1,CROQUIS!$C$98,CROQUIS!$C$98-CROQUIS!$C$107/2-CROQUIS!$C$144,IF(CROQUIS!$C$106=1,CROQUIS!$C$98+12,CROQUIS!$C$98-2),CROQUIS!$C$98-CROQUIS!$C$107/2-CROQUIS!$C$144,CROQUIS!$C$98)))*CROQUIS!$C$159)+IF(CROQUIS!$C$92="X",0.8,0)),-1000)</f>
        <v>-1000</v>
      </c>
      <c r="BY328">
        <f>IF(AND(CROQUIS!$C$88=1,CROQUIS!$C$91=0,CROQUIS!$C$141&gt;0,OR(CROQUIS!$C$106=1,CROQUIS!$C$146=1)),((CROQUIS!$C$161+(IF(CROQUIS!$C$92="X",CHOOSE(IF(INT(($A328-1)/5)&gt;MAX((MAX(1,INT(((CROQUIS!$C$97)-CROQUIS!$C$107)/MAX((CROQUIS!$C$141*MAX(1,CEILING((INT(((CROQUIS!$C$97)-CROQUIS!$C$107)/MAX(CROQUIS!$C$141,1))+1)/80,1))),1))+1))-1,0),0,MOD($A328-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ROQUIS!$C$159)+IF(CROQUIS!$C$92="X",0,0.8)),-1000)</f>
        <v>-1000</v>
      </c>
      <c r="BZ328">
        <f>IF(AND(CROQUIS!$C$88=1,CROQUIS!$C$91=1,CROQUIS!$C$133&gt;0),((CROQUIS!$C$160+(IF(CROQUIS!$C$92="X",CHOOSE(IF(INT(($A328-1)/5)&gt;MAX((MAX(1,INT(((CROQUIS!$C$98)-CROQUIS!$C$107)/MAX((CROQUIS!$C$133*MAX(1,CEILING((INT(((CROQUIS!$C$98)-CROQUIS!$C$107)/MAX(CROQUIS!$C$133,1))+1)/80,1))),1))+1))-1,0),0,MOD($A328-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CA328">
        <f>IF(AND(CROQUIS!$C$88=1,CROQUIS!$C$91=1,CROQUIS!$C$133&gt;0),((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9">
      <c r="A329" t="n">
        <v>322</v>
      </c>
      <c r="BN329">
        <f>IF(AND(CROQUIS!$C$88=1,CROQUIS!$C$129&gt;0),((CROQUIS!$C$160+(IF(CROQUIS!$C$92="X",CHOOSE(IF(INT(($A329-1)/5)&gt;MAX((MAX(1,INT(((CROQUIS!$C$98)-CROQUIS!$C$107)/MAX((CROQUIS!$C$129*MAX(1,CEILING((INT(((CROQUIS!$C$98)-CROQUIS!$C$107)/MAX(CROQUIS!$C$129,1))+1)/80,1))),1))+1))-1,0),0,MOD($A329-1,5))+1,0,2,CROQUIS!$C$97-2,2,0),((CROQUIS!$C$107/2+(((CROQUIS!$C$98)-CROQUIS!$C$107)-(MAX(1,INT(((CROQUIS!$C$98)-CROQUIS!$C$107)/MAX((CROQUIS!$C$129*MAX(1,CEILING((INT(((CROQUIS!$C$98)-CROQUIS!$C$107)/MAX(CROQUIS!$C$129,1))+1)/80,1))),1))+1)-1)*(CROQUIS!$C$129*MAX(1,CEILING((INT(((CROQUIS!$C$98)-CROQUIS!$C$107)/MAX(CROQUIS!$C$129,1))+1)/80,1))))/2)+MIN(INT(($A329-1)/5),MAX((MAX(1,INT(((CROQUIS!$C$98)-CROQUIS!$C$107)/MAX((CROQUIS!$C$129*MAX(1,CEILING((INT(((CROQUIS!$C$98)-CROQUIS!$C$107)/MAX(CROQUIS!$C$129,1))+1)/80,1))),1))+1))-1,0))*(CROQUIS!$C$129*MAX(1,CEILING((INT(((CROQUIS!$C$98)-CROQUIS!$C$107)/MAX(CROQUIS!$C$129,1))+1)/80,1))))))*CROQUIS!$C$159)+IF(CROQUIS!$C$92="X",0,0)),-1000)</f>
        <v>-1000</v>
      </c>
      <c r="BO329">
        <f>IF(AND(CROQUIS!$C$88=1,CROQUIS!$C$129&gt;0),((CROQUIS!$C$161+(IF(CROQUIS!$C$92="X",((CROQUIS!$C$107/2+(((CROQUIS!$C$98)-CROQUIS!$C$107)-(MAX(1,INT(((CROQUIS!$C$98)-CROQUIS!$C$107)/MAX((CROQUIS!$C$129*MAX(1,CEILING((INT(((CROQUIS!$C$98)-CROQUIS!$C$107)/MAX(CROQUIS!$C$129,1))+1)/80,1))),1))+1)-1)*(CROQUIS!$C$129*MAX(1,CEILING((INT(((CROQUIS!$C$98)-CROQUIS!$C$107)/MAX(CROQUIS!$C$129,1))+1)/80,1))))/2)+MIN(INT(($A329-1)/5),MAX((MAX(1,INT(((CROQUIS!$C$98)-CROQUIS!$C$107)/MAX((CROQUIS!$C$129*MAX(1,CEILING((INT(((CROQUIS!$C$98)-CROQUIS!$C$107)/MAX(CROQUIS!$C$129,1))+1)/80,1))),1))+1))-1,0))*(CROQUIS!$C$129*MAX(1,CEILING((INT(((CROQUIS!$C$98)-CROQUIS!$C$107)/MAX(CROQUIS!$C$129,1))+1)/80,1)))),CHOOSE(IF(INT(($A329-1)/5)&gt;MAX((MAX(1,INT(((CROQUIS!$C$98)-CROQUIS!$C$107)/MAX((CROQUIS!$C$129*MAX(1,CEILING((INT(((CROQUIS!$C$98)-CROQUIS!$C$107)/MAX(CROQUIS!$C$129,1))+1)/80,1))),1))+1))-1,0),0,MOD($A329-1,5))+1,0,2,CROQUIS!$C$97-2,2,0)))*CROQUIS!$C$159)+IF(CROQUIS!$C$92="X",0,0)),-1000)</f>
        <v>-1000</v>
      </c>
      <c r="BP329">
        <f>IF(AND(CROQUIS!$C$88=1,CROQUIS!$C$137&gt;0),((CROQUIS!$C$160+(IF(CROQUIS!$C$92="X",((CROQUIS!$C$107/2+(((CROQUIS!$C$97)-CROQUIS!$C$107)-(MAX(1,INT(((CROQUIS!$C$97)-CROQUIS!$C$107)/MAX((CROQUIS!$C$137*MAX(1,CEILING((INT(((CROQUIS!$C$97)-CROQUIS!$C$107)/MAX(CROQUIS!$C$137,1))+1)/80,1))),1))+1)-1)*(CROQUIS!$C$137*MAX(1,CEILING((INT(((CROQUIS!$C$97)-CROQUIS!$C$107)/MAX(CROQUIS!$C$137,1))+1)/80,1))))/2)+MIN(INT(($A329-1)/5),MAX((MAX(1,INT(((CROQUIS!$C$97)-CROQUIS!$C$107)/MAX((CROQUIS!$C$137*MAX(1,CEILING((INT(((CROQUIS!$C$97)-CROQUIS!$C$107)/MAX(CROQUIS!$C$137,1))+1)/80,1))),1))+1))-1,0))*(CROQUIS!$C$137*MAX(1,CEILING((INT(((CROQUIS!$C$97)-CROQUIS!$C$107)/MAX(CROQUIS!$C$137,1))+1)/80,1)))),CHOOSE(IF(INT(($A329-1)/5)&gt;MAX((MAX(1,INT(((CROQUIS!$C$97)-CROQUIS!$C$107)/MAX((CROQUIS!$C$137*MAX(1,CEILING((INT(((CROQUIS!$C$97)-CROQUIS!$C$107)/MAX(CROQUIS!$C$137,1))+1)/80,1))),1))+1))-1,0),0,MOD($A329-1,5))+1,0,2,CROQUIS!$C$98-2,2,0)))*CROQUIS!$C$159)+IF(CROQUIS!$C$92="X",0,0)),-1000)</f>
        <v>-1000</v>
      </c>
      <c r="BQ329">
        <f>IF(AND(CROQUIS!$C$88=1,CROQUIS!$C$137&gt;0),((CROQUIS!$C$161+(IF(CROQUIS!$C$92="X",CHOOSE(IF(INT(($A329-1)/5)&gt;MAX((MAX(1,INT(((CROQUIS!$C$97)-CROQUIS!$C$107)/MAX((CROQUIS!$C$137*MAX(1,CEILING((INT(((CROQUIS!$C$97)-CROQUIS!$C$107)/MAX(CROQUIS!$C$137,1))+1)/80,1))),1))+1))-1,0),0,MOD($A329-1,5))+1,0,2,CROQUIS!$C$98-2,2,0),((CROQUIS!$C$107/2+(((CROQUIS!$C$97)-CROQUIS!$C$107)-(MAX(1,INT(((CROQUIS!$C$97)-CROQUIS!$C$107)/MAX((CROQUIS!$C$137*MAX(1,CEILING((INT(((CROQUIS!$C$97)-CROQUIS!$C$107)/MAX(CROQUIS!$C$137,1))+1)/80,1))),1))+1)-1)*(CROQUIS!$C$137*MAX(1,CEILING((INT(((CROQUIS!$C$97)-CROQUIS!$C$107)/MAX(CROQUIS!$C$137,1))+1)/80,1))))/2)+MIN(INT(($A329-1)/5),MAX((MAX(1,INT(((CROQUIS!$C$97)-CROQUIS!$C$107)/MAX((CROQUIS!$C$137*MAX(1,CEILING((INT(((CROQUIS!$C$97)-CROQUIS!$C$107)/MAX(CROQUIS!$C$137,1))+1)/80,1))),1))+1))-1,0))*(CROQUIS!$C$137*MAX(1,CEILING((INT(((CROQUIS!$C$97)-CROQUIS!$C$107)/MAX(CROQUIS!$C$137,1))+1)/80,1))))))*CROQUIS!$C$159)+IF(CROQUIS!$C$92="X",0,0)),-1000)</f>
        <v>-1000</v>
      </c>
      <c r="BR329">
        <f>IF(AND(CROQUIS!$C$88=1,CROQUIS!$C$91=0,CROQUIS!$C$133&gt;0,OR(CROQUIS!$C$103=1,CROQUIS!$C$145=1)),((CROQUIS!$C$160+(IF(CROQUIS!$C$92="X",CHOOSE(IF(INT(($A329-1)/5)&gt;MAX((MAX(1,INT(((CROQUIS!$C$98)-CROQUIS!$C$107)/MAX((CROQUIS!$C$133*MAX(1,CEILING((INT(((CROQUIS!$C$98)-CROQUIS!$C$107)/MAX(CROQUIS!$C$133,1))+1)/80,1))),1))+1))-1,0),0,MOD($A329-1,5))+1,0,IF(CROQUIS!$C$103=1,-12,2),CROQUIS!$C$107/2+CROQUIS!$C$143,IF(CROQUIS!$C$103=1,-12,2),0),((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BS3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+1,0,IF(CROQUIS!$C$103=1,-12,2),CROQUIS!$C$107/2+CROQUIS!$C$143,IF(CROQUIS!$C$103=1,-12,2),0)))*CROQUIS!$C$159)+IF(CROQUIS!$C$92="X",0.8,0)),-1000)</f>
        <v>-1000</v>
      </c>
      <c r="BT329">
        <f>IF(AND(CROQUIS!$C$88=1,CROQUIS!$C$91=0,CROQUIS!$C$133&gt;0,OR(CROQUIS!$C$104=1,CROQUIS!$C$145=1)),((CROQUIS!$C$160+(IF(CROQUIS!$C$92="X",CHOOSE(IF(INT(($A329-1)/5)&gt;MAX((MAX(1,INT(((CROQUIS!$C$98)-CROQUIS!$C$107)/MAX((CROQUIS!$C$133*MAX(1,CEILING((INT(((CROQUIS!$C$98)-CROQUIS!$C$107)/MAX(CROQUIS!$C$133,1))+1)/80,1))),1))+1))-1,0),0,MOD($A329-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BU3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CROQUIS!$C$97,CROQUIS!$C$97-CROQUIS!$C$107/2-CROQUIS!$C$143,IF(CROQUIS!$C$104=1,CROQUIS!$C$97+12,CROQUIS!$C$97-2),CROQUIS!$C$97-CROQUIS!$C$107/2-CROQUIS!$C$143,CROQUIS!$C$97)))*CROQUIS!$C$159)+IF(CROQUIS!$C$92="X",0.8,0)),-1000)</f>
        <v>-1000</v>
      </c>
      <c r="BV3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HOOSE(IF(INT(($A329-1)/5)&gt;MAX((MAX(1,INT(((CROQUIS!$C$97)-CROQUIS!$C$107)/MAX((CROQUIS!$C$141*MAX(1,CEILING((INT(((CROQUIS!$C$97)-CROQUIS!$C$107)/MAX(CROQUIS!$C$141,1))+1)/80,1))),1))+1))-1,0),0,MOD($A329-1,5))+1,0,IF(CROQUIS!$C$105=1,-12,2),CROQUIS!$C$107/2+CROQUIS!$C$144,IF(CROQUIS!$C$105=1,-12,2),0)))*CROQUIS!$C$159)+IF(CROQUIS!$C$92="X",0.8,0)),-1000)</f>
        <v>-1000</v>
      </c>
      <c r="BW329">
        <f>IF(AND(CROQUIS!$C$88=1,CROQUIS!$C$91=0,CROQUIS!$C$141&gt;0,OR(CROQUIS!$C$105=1,CROQUIS!$C$146=1)),((CROQUIS!$C$161+(IF(CROQUIS!$C$92="X",CHOOSE(IF(INT(($A329-1)/5)&gt;MAX((MAX(1,INT(((CROQUIS!$C$97)-CROQUIS!$C$107)/MAX((CROQUIS!$C$141*MAX(1,CEILING((INT(((CROQUIS!$C$97)-CROQUIS!$C$107)/MAX(CROQUIS!$C$141,1))+1)/80,1))),1))+1))-1,0),0,MOD($A329-1,5))+1,0,IF(CROQUIS!$C$105=1,-12,2),CROQUIS!$C$107/2+CROQUIS!$C$144,IF(CROQUIS!$C$105=1,-12,2),0),((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ROQUIS!$C$159)+IF(CROQUIS!$C$92="X",0,0.8)),-1000)</f>
        <v>-1000</v>
      </c>
      <c r="BX3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HOOSE(IF(INT(($A329-1)/5)&gt;MAX((MAX(1,INT(((CROQUIS!$C$97)-CROQUIS!$C$107)/MAX((CROQUIS!$C$141*MAX(1,CEILING((INT(((CROQUIS!$C$97)-CROQUIS!$C$107)/MAX(CROQUIS!$C$141,1))+1)/80,1))),1))+1))-1,0),0,MOD($A329-1,5))+1,CROQUIS!$C$98,CROQUIS!$C$98-CROQUIS!$C$107/2-CROQUIS!$C$144,IF(CROQUIS!$C$106=1,CROQUIS!$C$98+12,CROQUIS!$C$98-2),CROQUIS!$C$98-CROQUIS!$C$107/2-CROQUIS!$C$144,CROQUIS!$C$98)))*CROQUIS!$C$159)+IF(CROQUIS!$C$92="X",0.8,0)),-1000)</f>
        <v>-1000</v>
      </c>
      <c r="BY329">
        <f>IF(AND(CROQUIS!$C$88=1,CROQUIS!$C$91=0,CROQUIS!$C$141&gt;0,OR(CROQUIS!$C$106=1,CROQUIS!$C$146=1)),((CROQUIS!$C$161+(IF(CROQUIS!$C$92="X",CHOOSE(IF(INT(($A329-1)/5)&gt;MAX((MAX(1,INT(((CROQUIS!$C$97)-CROQUIS!$C$107)/MAX((CROQUIS!$C$141*MAX(1,CEILING((INT(((CROQUIS!$C$97)-CROQUIS!$C$107)/MAX(CROQUIS!$C$141,1))+1)/80,1))),1))+1))-1,0),0,MOD($A329-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ROQUIS!$C$159)+IF(CROQUIS!$C$92="X",0,0.8)),-1000)</f>
        <v>-1000</v>
      </c>
      <c r="BZ329">
        <f>IF(AND(CROQUIS!$C$88=1,CROQUIS!$C$91=1,CROQUIS!$C$133&gt;0),((CROQUIS!$C$160+(IF(CROQUIS!$C$92="X",CHOOSE(IF(INT(($A329-1)/5)&gt;MAX((MAX(1,INT(((CROQUIS!$C$98)-CROQUIS!$C$107)/MAX((CROQUIS!$C$133*MAX(1,CEILING((INT(((CROQUIS!$C$98)-CROQUIS!$C$107)/MAX(CROQUIS!$C$133,1))+1)/80,1))),1))+1))-1,0),0,MOD($A329-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CA329">
        <f>IF(AND(CROQUIS!$C$88=1,CROQUIS!$C$91=1,CROQUIS!$C$133&gt;0),((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0">
      <c r="A330" t="n">
        <v>323</v>
      </c>
      <c r="BN330">
        <f>IF(AND(CROQUIS!$C$88=1,CROQUIS!$C$129&gt;0),((CROQUIS!$C$160+(IF(CROQUIS!$C$92="X",CHOOSE(IF(INT(($A330-1)/5)&gt;MAX((MAX(1,INT(((CROQUIS!$C$98)-CROQUIS!$C$107)/MAX((CROQUIS!$C$129*MAX(1,CEILING((INT(((CROQUIS!$C$98)-CROQUIS!$C$107)/MAX(CROQUIS!$C$129,1))+1)/80,1))),1))+1))-1,0),0,MOD($A330-1,5))+1,0,2,CROQUIS!$C$97-2,2,0),((CROQUIS!$C$107/2+(((CROQUIS!$C$98)-CROQUIS!$C$107)-(MAX(1,INT(((CROQUIS!$C$98)-CROQUIS!$C$107)/MAX((CROQUIS!$C$129*MAX(1,CEILING((INT(((CROQUIS!$C$98)-CROQUIS!$C$107)/MAX(CROQUIS!$C$129,1))+1)/80,1))),1))+1)-1)*(CROQUIS!$C$129*MAX(1,CEILING((INT(((CROQUIS!$C$98)-CROQUIS!$C$107)/MAX(CROQUIS!$C$129,1))+1)/80,1))))/2)+MIN(INT(($A330-1)/5),MAX((MAX(1,INT(((CROQUIS!$C$98)-CROQUIS!$C$107)/MAX((CROQUIS!$C$129*MAX(1,CEILING((INT(((CROQUIS!$C$98)-CROQUIS!$C$107)/MAX(CROQUIS!$C$129,1))+1)/80,1))),1))+1))-1,0))*(CROQUIS!$C$129*MAX(1,CEILING((INT(((CROQUIS!$C$98)-CROQUIS!$C$107)/MAX(CROQUIS!$C$129,1))+1)/80,1))))))*CROQUIS!$C$159)+IF(CROQUIS!$C$92="X",0,0)),-1000)</f>
        <v>-1000</v>
      </c>
      <c r="BO330">
        <f>IF(AND(CROQUIS!$C$88=1,CROQUIS!$C$129&gt;0),((CROQUIS!$C$161+(IF(CROQUIS!$C$92="X",((CROQUIS!$C$107/2+(((CROQUIS!$C$98)-CROQUIS!$C$107)-(MAX(1,INT(((CROQUIS!$C$98)-CROQUIS!$C$107)/MAX((CROQUIS!$C$129*MAX(1,CEILING((INT(((CROQUIS!$C$98)-CROQUIS!$C$107)/MAX(CROQUIS!$C$129,1))+1)/80,1))),1))+1)-1)*(CROQUIS!$C$129*MAX(1,CEILING((INT(((CROQUIS!$C$98)-CROQUIS!$C$107)/MAX(CROQUIS!$C$129,1))+1)/80,1))))/2)+MIN(INT(($A330-1)/5),MAX((MAX(1,INT(((CROQUIS!$C$98)-CROQUIS!$C$107)/MAX((CROQUIS!$C$129*MAX(1,CEILING((INT(((CROQUIS!$C$98)-CROQUIS!$C$107)/MAX(CROQUIS!$C$129,1))+1)/80,1))),1))+1))-1,0))*(CROQUIS!$C$129*MAX(1,CEILING((INT(((CROQUIS!$C$98)-CROQUIS!$C$107)/MAX(CROQUIS!$C$129,1))+1)/80,1)))),CHOOSE(IF(INT(($A330-1)/5)&gt;MAX((MAX(1,INT(((CROQUIS!$C$98)-CROQUIS!$C$107)/MAX((CROQUIS!$C$129*MAX(1,CEILING((INT(((CROQUIS!$C$98)-CROQUIS!$C$107)/MAX(CROQUIS!$C$129,1))+1)/80,1))),1))+1))-1,0),0,MOD($A330-1,5))+1,0,2,CROQUIS!$C$97-2,2,0)))*CROQUIS!$C$159)+IF(CROQUIS!$C$92="X",0,0)),-1000)</f>
        <v>-1000</v>
      </c>
      <c r="BP330">
        <f>IF(AND(CROQUIS!$C$88=1,CROQUIS!$C$137&gt;0),((CROQUIS!$C$160+(IF(CROQUIS!$C$92="X",((CROQUIS!$C$107/2+(((CROQUIS!$C$97)-CROQUIS!$C$107)-(MAX(1,INT(((CROQUIS!$C$97)-CROQUIS!$C$107)/MAX((CROQUIS!$C$137*MAX(1,CEILING((INT(((CROQUIS!$C$97)-CROQUIS!$C$107)/MAX(CROQUIS!$C$137,1))+1)/80,1))),1))+1)-1)*(CROQUIS!$C$137*MAX(1,CEILING((INT(((CROQUIS!$C$97)-CROQUIS!$C$107)/MAX(CROQUIS!$C$137,1))+1)/80,1))))/2)+MIN(INT(($A330-1)/5),MAX((MAX(1,INT(((CROQUIS!$C$97)-CROQUIS!$C$107)/MAX((CROQUIS!$C$137*MAX(1,CEILING((INT(((CROQUIS!$C$97)-CROQUIS!$C$107)/MAX(CROQUIS!$C$137,1))+1)/80,1))),1))+1))-1,0))*(CROQUIS!$C$137*MAX(1,CEILING((INT(((CROQUIS!$C$97)-CROQUIS!$C$107)/MAX(CROQUIS!$C$137,1))+1)/80,1)))),CHOOSE(IF(INT(($A330-1)/5)&gt;MAX((MAX(1,INT(((CROQUIS!$C$97)-CROQUIS!$C$107)/MAX((CROQUIS!$C$137*MAX(1,CEILING((INT(((CROQUIS!$C$97)-CROQUIS!$C$107)/MAX(CROQUIS!$C$137,1))+1)/80,1))),1))+1))-1,0),0,MOD($A330-1,5))+1,0,2,CROQUIS!$C$98-2,2,0)))*CROQUIS!$C$159)+IF(CROQUIS!$C$92="X",0,0)),-1000)</f>
        <v>-1000</v>
      </c>
      <c r="BQ330">
        <f>IF(AND(CROQUIS!$C$88=1,CROQUIS!$C$137&gt;0),((CROQUIS!$C$161+(IF(CROQUIS!$C$92="X",CHOOSE(IF(INT(($A330-1)/5)&gt;MAX((MAX(1,INT(((CROQUIS!$C$97)-CROQUIS!$C$107)/MAX((CROQUIS!$C$137*MAX(1,CEILING((INT(((CROQUIS!$C$97)-CROQUIS!$C$107)/MAX(CROQUIS!$C$137,1))+1)/80,1))),1))+1))-1,0),0,MOD($A330-1,5))+1,0,2,CROQUIS!$C$98-2,2,0),((CROQUIS!$C$107/2+(((CROQUIS!$C$97)-CROQUIS!$C$107)-(MAX(1,INT(((CROQUIS!$C$97)-CROQUIS!$C$107)/MAX((CROQUIS!$C$137*MAX(1,CEILING((INT(((CROQUIS!$C$97)-CROQUIS!$C$107)/MAX(CROQUIS!$C$137,1))+1)/80,1))),1))+1)-1)*(CROQUIS!$C$137*MAX(1,CEILING((INT(((CROQUIS!$C$97)-CROQUIS!$C$107)/MAX(CROQUIS!$C$137,1))+1)/80,1))))/2)+MIN(INT(($A330-1)/5),MAX((MAX(1,INT(((CROQUIS!$C$97)-CROQUIS!$C$107)/MAX((CROQUIS!$C$137*MAX(1,CEILING((INT(((CROQUIS!$C$97)-CROQUIS!$C$107)/MAX(CROQUIS!$C$137,1))+1)/80,1))),1))+1))-1,0))*(CROQUIS!$C$137*MAX(1,CEILING((INT(((CROQUIS!$C$97)-CROQUIS!$C$107)/MAX(CROQUIS!$C$137,1))+1)/80,1))))))*CROQUIS!$C$159)+IF(CROQUIS!$C$92="X",0,0)),-1000)</f>
        <v>-1000</v>
      </c>
      <c r="BR330">
        <f>IF(AND(CROQUIS!$C$88=1,CROQUIS!$C$91=0,CROQUIS!$C$133&gt;0,OR(CROQUIS!$C$103=1,CROQUIS!$C$145=1)),((CROQUIS!$C$160+(IF(CROQUIS!$C$92="X",CHOOSE(IF(INT(($A330-1)/5)&gt;MAX((MAX(1,INT(((CROQUIS!$C$98)-CROQUIS!$C$107)/MAX((CROQUIS!$C$133*MAX(1,CEILING((INT(((CROQUIS!$C$98)-CROQUIS!$C$107)/MAX(CROQUIS!$C$133,1))+1)/80,1))),1))+1))-1,0),0,MOD($A330-1,5))+1,0,IF(CROQUIS!$C$103=1,-12,2),CROQUIS!$C$107/2+CROQUIS!$C$143,IF(CROQUIS!$C$103=1,-12,2),0),((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BS3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+1,0,IF(CROQUIS!$C$103=1,-12,2),CROQUIS!$C$107/2+CROQUIS!$C$143,IF(CROQUIS!$C$103=1,-12,2),0)))*CROQUIS!$C$159)+IF(CROQUIS!$C$92="X",0.8,0)),-1000)</f>
        <v>-1000</v>
      </c>
      <c r="BT330">
        <f>IF(AND(CROQUIS!$C$88=1,CROQUIS!$C$91=0,CROQUIS!$C$133&gt;0,OR(CROQUIS!$C$104=1,CROQUIS!$C$145=1)),((CROQUIS!$C$160+(IF(CROQUIS!$C$92="X",CHOOSE(IF(INT(($A330-1)/5)&gt;MAX((MAX(1,INT(((CROQUIS!$C$98)-CROQUIS!$C$107)/MAX((CROQUIS!$C$133*MAX(1,CEILING((INT(((CROQUIS!$C$98)-CROQUIS!$C$107)/MAX(CROQUIS!$C$133,1))+1)/80,1))),1))+1))-1,0),0,MOD($A330-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BU3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CROQUIS!$C$97,CROQUIS!$C$97-CROQUIS!$C$107/2-CROQUIS!$C$143,IF(CROQUIS!$C$104=1,CROQUIS!$C$97+12,CROQUIS!$C$97-2),CROQUIS!$C$97-CROQUIS!$C$107/2-CROQUIS!$C$143,CROQUIS!$C$97)))*CROQUIS!$C$159)+IF(CROQUIS!$C$92="X",0.8,0)),-1000)</f>
        <v>-1000</v>
      </c>
      <c r="BV3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HOOSE(IF(INT(($A330-1)/5)&gt;MAX((MAX(1,INT(((CROQUIS!$C$97)-CROQUIS!$C$107)/MAX((CROQUIS!$C$141*MAX(1,CEILING((INT(((CROQUIS!$C$97)-CROQUIS!$C$107)/MAX(CROQUIS!$C$141,1))+1)/80,1))),1))+1))-1,0),0,MOD($A330-1,5))+1,0,IF(CROQUIS!$C$105=1,-12,2),CROQUIS!$C$107/2+CROQUIS!$C$144,IF(CROQUIS!$C$105=1,-12,2),0)))*CROQUIS!$C$159)+IF(CROQUIS!$C$92="X",0.8,0)),-1000)</f>
        <v>-1000</v>
      </c>
      <c r="BW330">
        <f>IF(AND(CROQUIS!$C$88=1,CROQUIS!$C$91=0,CROQUIS!$C$141&gt;0,OR(CROQUIS!$C$105=1,CROQUIS!$C$146=1)),((CROQUIS!$C$161+(IF(CROQUIS!$C$92="X",CHOOSE(IF(INT(($A330-1)/5)&gt;MAX((MAX(1,INT(((CROQUIS!$C$97)-CROQUIS!$C$107)/MAX((CROQUIS!$C$141*MAX(1,CEILING((INT(((CROQUIS!$C$97)-CROQUIS!$C$107)/MAX(CROQUIS!$C$141,1))+1)/80,1))),1))+1))-1,0),0,MOD($A330-1,5))+1,0,IF(CROQUIS!$C$105=1,-12,2),CROQUIS!$C$107/2+CROQUIS!$C$144,IF(CROQUIS!$C$105=1,-12,2),0),((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ROQUIS!$C$159)+IF(CROQUIS!$C$92="X",0,0.8)),-1000)</f>
        <v>-1000</v>
      </c>
      <c r="BX3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HOOSE(IF(INT(($A330-1)/5)&gt;MAX((MAX(1,INT(((CROQUIS!$C$97)-CROQUIS!$C$107)/MAX((CROQUIS!$C$141*MAX(1,CEILING((INT(((CROQUIS!$C$97)-CROQUIS!$C$107)/MAX(CROQUIS!$C$141,1))+1)/80,1))),1))+1))-1,0),0,MOD($A330-1,5))+1,CROQUIS!$C$98,CROQUIS!$C$98-CROQUIS!$C$107/2-CROQUIS!$C$144,IF(CROQUIS!$C$106=1,CROQUIS!$C$98+12,CROQUIS!$C$98-2),CROQUIS!$C$98-CROQUIS!$C$107/2-CROQUIS!$C$144,CROQUIS!$C$98)))*CROQUIS!$C$159)+IF(CROQUIS!$C$92="X",0.8,0)),-1000)</f>
        <v>-1000</v>
      </c>
      <c r="BY330">
        <f>IF(AND(CROQUIS!$C$88=1,CROQUIS!$C$91=0,CROQUIS!$C$141&gt;0,OR(CROQUIS!$C$106=1,CROQUIS!$C$146=1)),((CROQUIS!$C$161+(IF(CROQUIS!$C$92="X",CHOOSE(IF(INT(($A330-1)/5)&gt;MAX((MAX(1,INT(((CROQUIS!$C$97)-CROQUIS!$C$107)/MAX((CROQUIS!$C$141*MAX(1,CEILING((INT(((CROQUIS!$C$97)-CROQUIS!$C$107)/MAX(CROQUIS!$C$141,1))+1)/80,1))),1))+1))-1,0),0,MOD($A330-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ROQUIS!$C$159)+IF(CROQUIS!$C$92="X",0,0.8)),-1000)</f>
        <v>-1000</v>
      </c>
      <c r="BZ330">
        <f>IF(AND(CROQUIS!$C$88=1,CROQUIS!$C$91=1,CROQUIS!$C$133&gt;0),((CROQUIS!$C$160+(IF(CROQUIS!$C$92="X",CHOOSE(IF(INT(($A330-1)/5)&gt;MAX((MAX(1,INT(((CROQUIS!$C$98)-CROQUIS!$C$107)/MAX((CROQUIS!$C$133*MAX(1,CEILING((INT(((CROQUIS!$C$98)-CROQUIS!$C$107)/MAX(CROQUIS!$C$133,1))+1)/80,1))),1))+1))-1,0),0,MOD($A330-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CA330">
        <f>IF(AND(CROQUIS!$C$88=1,CROQUIS!$C$91=1,CROQUIS!$C$133&gt;0),((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1">
      <c r="A331" t="n">
        <v>324</v>
      </c>
      <c r="BN331">
        <f>IF(AND(CROQUIS!$C$88=1,CROQUIS!$C$129&gt;0),((CROQUIS!$C$160+(IF(CROQUIS!$C$92="X",CHOOSE(IF(INT(($A331-1)/5)&gt;MAX((MAX(1,INT(((CROQUIS!$C$98)-CROQUIS!$C$107)/MAX((CROQUIS!$C$129*MAX(1,CEILING((INT(((CROQUIS!$C$98)-CROQUIS!$C$107)/MAX(CROQUIS!$C$129,1))+1)/80,1))),1))+1))-1,0),0,MOD($A331-1,5))+1,0,2,CROQUIS!$C$97-2,2,0),((CROQUIS!$C$107/2+(((CROQUIS!$C$98)-CROQUIS!$C$107)-(MAX(1,INT(((CROQUIS!$C$98)-CROQUIS!$C$107)/MAX((CROQUIS!$C$129*MAX(1,CEILING((INT(((CROQUIS!$C$98)-CROQUIS!$C$107)/MAX(CROQUIS!$C$129,1))+1)/80,1))),1))+1)-1)*(CROQUIS!$C$129*MAX(1,CEILING((INT(((CROQUIS!$C$98)-CROQUIS!$C$107)/MAX(CROQUIS!$C$129,1))+1)/80,1))))/2)+MIN(INT(($A331-1)/5),MAX((MAX(1,INT(((CROQUIS!$C$98)-CROQUIS!$C$107)/MAX((CROQUIS!$C$129*MAX(1,CEILING((INT(((CROQUIS!$C$98)-CROQUIS!$C$107)/MAX(CROQUIS!$C$129,1))+1)/80,1))),1))+1))-1,0))*(CROQUIS!$C$129*MAX(1,CEILING((INT(((CROQUIS!$C$98)-CROQUIS!$C$107)/MAX(CROQUIS!$C$129,1))+1)/80,1))))))*CROQUIS!$C$159)+IF(CROQUIS!$C$92="X",0,0)),-1000)</f>
        <v>-1000</v>
      </c>
      <c r="BO331">
        <f>IF(AND(CROQUIS!$C$88=1,CROQUIS!$C$129&gt;0),((CROQUIS!$C$161+(IF(CROQUIS!$C$92="X",((CROQUIS!$C$107/2+(((CROQUIS!$C$98)-CROQUIS!$C$107)-(MAX(1,INT(((CROQUIS!$C$98)-CROQUIS!$C$107)/MAX((CROQUIS!$C$129*MAX(1,CEILING((INT(((CROQUIS!$C$98)-CROQUIS!$C$107)/MAX(CROQUIS!$C$129,1))+1)/80,1))),1))+1)-1)*(CROQUIS!$C$129*MAX(1,CEILING((INT(((CROQUIS!$C$98)-CROQUIS!$C$107)/MAX(CROQUIS!$C$129,1))+1)/80,1))))/2)+MIN(INT(($A331-1)/5),MAX((MAX(1,INT(((CROQUIS!$C$98)-CROQUIS!$C$107)/MAX((CROQUIS!$C$129*MAX(1,CEILING((INT(((CROQUIS!$C$98)-CROQUIS!$C$107)/MAX(CROQUIS!$C$129,1))+1)/80,1))),1))+1))-1,0))*(CROQUIS!$C$129*MAX(1,CEILING((INT(((CROQUIS!$C$98)-CROQUIS!$C$107)/MAX(CROQUIS!$C$129,1))+1)/80,1)))),CHOOSE(IF(INT(($A331-1)/5)&gt;MAX((MAX(1,INT(((CROQUIS!$C$98)-CROQUIS!$C$107)/MAX((CROQUIS!$C$129*MAX(1,CEILING((INT(((CROQUIS!$C$98)-CROQUIS!$C$107)/MAX(CROQUIS!$C$129,1))+1)/80,1))),1))+1))-1,0),0,MOD($A331-1,5))+1,0,2,CROQUIS!$C$97-2,2,0)))*CROQUIS!$C$159)+IF(CROQUIS!$C$92="X",0,0)),-1000)</f>
        <v>-1000</v>
      </c>
      <c r="BP331">
        <f>IF(AND(CROQUIS!$C$88=1,CROQUIS!$C$137&gt;0),((CROQUIS!$C$160+(IF(CROQUIS!$C$92="X",((CROQUIS!$C$107/2+(((CROQUIS!$C$97)-CROQUIS!$C$107)-(MAX(1,INT(((CROQUIS!$C$97)-CROQUIS!$C$107)/MAX((CROQUIS!$C$137*MAX(1,CEILING((INT(((CROQUIS!$C$97)-CROQUIS!$C$107)/MAX(CROQUIS!$C$137,1))+1)/80,1))),1))+1)-1)*(CROQUIS!$C$137*MAX(1,CEILING((INT(((CROQUIS!$C$97)-CROQUIS!$C$107)/MAX(CROQUIS!$C$137,1))+1)/80,1))))/2)+MIN(INT(($A331-1)/5),MAX((MAX(1,INT(((CROQUIS!$C$97)-CROQUIS!$C$107)/MAX((CROQUIS!$C$137*MAX(1,CEILING((INT(((CROQUIS!$C$97)-CROQUIS!$C$107)/MAX(CROQUIS!$C$137,1))+1)/80,1))),1))+1))-1,0))*(CROQUIS!$C$137*MAX(1,CEILING((INT(((CROQUIS!$C$97)-CROQUIS!$C$107)/MAX(CROQUIS!$C$137,1))+1)/80,1)))),CHOOSE(IF(INT(($A331-1)/5)&gt;MAX((MAX(1,INT(((CROQUIS!$C$97)-CROQUIS!$C$107)/MAX((CROQUIS!$C$137*MAX(1,CEILING((INT(((CROQUIS!$C$97)-CROQUIS!$C$107)/MAX(CROQUIS!$C$137,1))+1)/80,1))),1))+1))-1,0),0,MOD($A331-1,5))+1,0,2,CROQUIS!$C$98-2,2,0)))*CROQUIS!$C$159)+IF(CROQUIS!$C$92="X",0,0)),-1000)</f>
        <v>-1000</v>
      </c>
      <c r="BQ331">
        <f>IF(AND(CROQUIS!$C$88=1,CROQUIS!$C$137&gt;0),((CROQUIS!$C$161+(IF(CROQUIS!$C$92="X",CHOOSE(IF(INT(($A331-1)/5)&gt;MAX((MAX(1,INT(((CROQUIS!$C$97)-CROQUIS!$C$107)/MAX((CROQUIS!$C$137*MAX(1,CEILING((INT(((CROQUIS!$C$97)-CROQUIS!$C$107)/MAX(CROQUIS!$C$137,1))+1)/80,1))),1))+1))-1,0),0,MOD($A331-1,5))+1,0,2,CROQUIS!$C$98-2,2,0),((CROQUIS!$C$107/2+(((CROQUIS!$C$97)-CROQUIS!$C$107)-(MAX(1,INT(((CROQUIS!$C$97)-CROQUIS!$C$107)/MAX((CROQUIS!$C$137*MAX(1,CEILING((INT(((CROQUIS!$C$97)-CROQUIS!$C$107)/MAX(CROQUIS!$C$137,1))+1)/80,1))),1))+1)-1)*(CROQUIS!$C$137*MAX(1,CEILING((INT(((CROQUIS!$C$97)-CROQUIS!$C$107)/MAX(CROQUIS!$C$137,1))+1)/80,1))))/2)+MIN(INT(($A331-1)/5),MAX((MAX(1,INT(((CROQUIS!$C$97)-CROQUIS!$C$107)/MAX((CROQUIS!$C$137*MAX(1,CEILING((INT(((CROQUIS!$C$97)-CROQUIS!$C$107)/MAX(CROQUIS!$C$137,1))+1)/80,1))),1))+1))-1,0))*(CROQUIS!$C$137*MAX(1,CEILING((INT(((CROQUIS!$C$97)-CROQUIS!$C$107)/MAX(CROQUIS!$C$137,1))+1)/80,1))))))*CROQUIS!$C$159)+IF(CROQUIS!$C$92="X",0,0)),-1000)</f>
        <v>-1000</v>
      </c>
      <c r="BR331">
        <f>IF(AND(CROQUIS!$C$88=1,CROQUIS!$C$91=0,CROQUIS!$C$133&gt;0,OR(CROQUIS!$C$103=1,CROQUIS!$C$145=1)),((CROQUIS!$C$160+(IF(CROQUIS!$C$92="X",CHOOSE(IF(INT(($A331-1)/5)&gt;MAX((MAX(1,INT(((CROQUIS!$C$98)-CROQUIS!$C$107)/MAX((CROQUIS!$C$133*MAX(1,CEILING((INT(((CROQUIS!$C$98)-CROQUIS!$C$107)/MAX(CROQUIS!$C$133,1))+1)/80,1))),1))+1))-1,0),0,MOD($A331-1,5))+1,0,IF(CROQUIS!$C$103=1,-12,2),CROQUIS!$C$107/2+CROQUIS!$C$143,IF(CROQUIS!$C$103=1,-12,2),0),((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BS3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+1,0,IF(CROQUIS!$C$103=1,-12,2),CROQUIS!$C$107/2+CROQUIS!$C$143,IF(CROQUIS!$C$103=1,-12,2),0)))*CROQUIS!$C$159)+IF(CROQUIS!$C$92="X",0.8,0)),-1000)</f>
        <v>-1000</v>
      </c>
      <c r="BT331">
        <f>IF(AND(CROQUIS!$C$88=1,CROQUIS!$C$91=0,CROQUIS!$C$133&gt;0,OR(CROQUIS!$C$104=1,CROQUIS!$C$145=1)),((CROQUIS!$C$160+(IF(CROQUIS!$C$92="X",CHOOSE(IF(INT(($A331-1)/5)&gt;MAX((MAX(1,INT(((CROQUIS!$C$98)-CROQUIS!$C$107)/MAX((CROQUIS!$C$133*MAX(1,CEILING((INT(((CROQUIS!$C$98)-CROQUIS!$C$107)/MAX(CROQUIS!$C$133,1))+1)/80,1))),1))+1))-1,0),0,MOD($A331-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BU3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CROQUIS!$C$97,CROQUIS!$C$97-CROQUIS!$C$107/2-CROQUIS!$C$143,IF(CROQUIS!$C$104=1,CROQUIS!$C$97+12,CROQUIS!$C$97-2),CROQUIS!$C$97-CROQUIS!$C$107/2-CROQUIS!$C$143,CROQUIS!$C$97)))*CROQUIS!$C$159)+IF(CROQUIS!$C$92="X",0.8,0)),-1000)</f>
        <v>-1000</v>
      </c>
      <c r="BV3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HOOSE(IF(INT(($A331-1)/5)&gt;MAX((MAX(1,INT(((CROQUIS!$C$97)-CROQUIS!$C$107)/MAX((CROQUIS!$C$141*MAX(1,CEILING((INT(((CROQUIS!$C$97)-CROQUIS!$C$107)/MAX(CROQUIS!$C$141,1))+1)/80,1))),1))+1))-1,0),0,MOD($A331-1,5))+1,0,IF(CROQUIS!$C$105=1,-12,2),CROQUIS!$C$107/2+CROQUIS!$C$144,IF(CROQUIS!$C$105=1,-12,2),0)))*CROQUIS!$C$159)+IF(CROQUIS!$C$92="X",0.8,0)),-1000)</f>
        <v>-1000</v>
      </c>
      <c r="BW331">
        <f>IF(AND(CROQUIS!$C$88=1,CROQUIS!$C$91=0,CROQUIS!$C$141&gt;0,OR(CROQUIS!$C$105=1,CROQUIS!$C$146=1)),((CROQUIS!$C$161+(IF(CROQUIS!$C$92="X",CHOOSE(IF(INT(($A331-1)/5)&gt;MAX((MAX(1,INT(((CROQUIS!$C$97)-CROQUIS!$C$107)/MAX((CROQUIS!$C$141*MAX(1,CEILING((INT(((CROQUIS!$C$97)-CROQUIS!$C$107)/MAX(CROQUIS!$C$141,1))+1)/80,1))),1))+1))-1,0),0,MOD($A331-1,5))+1,0,IF(CROQUIS!$C$105=1,-12,2),CROQUIS!$C$107/2+CROQUIS!$C$144,IF(CROQUIS!$C$105=1,-12,2),0),((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ROQUIS!$C$159)+IF(CROQUIS!$C$92="X",0,0.8)),-1000)</f>
        <v>-1000</v>
      </c>
      <c r="BX3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HOOSE(IF(INT(($A331-1)/5)&gt;MAX((MAX(1,INT(((CROQUIS!$C$97)-CROQUIS!$C$107)/MAX((CROQUIS!$C$141*MAX(1,CEILING((INT(((CROQUIS!$C$97)-CROQUIS!$C$107)/MAX(CROQUIS!$C$141,1))+1)/80,1))),1))+1))-1,0),0,MOD($A331-1,5))+1,CROQUIS!$C$98,CROQUIS!$C$98-CROQUIS!$C$107/2-CROQUIS!$C$144,IF(CROQUIS!$C$106=1,CROQUIS!$C$98+12,CROQUIS!$C$98-2),CROQUIS!$C$98-CROQUIS!$C$107/2-CROQUIS!$C$144,CROQUIS!$C$98)))*CROQUIS!$C$159)+IF(CROQUIS!$C$92="X",0.8,0)),-1000)</f>
        <v>-1000</v>
      </c>
      <c r="BY331">
        <f>IF(AND(CROQUIS!$C$88=1,CROQUIS!$C$91=0,CROQUIS!$C$141&gt;0,OR(CROQUIS!$C$106=1,CROQUIS!$C$146=1)),((CROQUIS!$C$161+(IF(CROQUIS!$C$92="X",CHOOSE(IF(INT(($A331-1)/5)&gt;MAX((MAX(1,INT(((CROQUIS!$C$97)-CROQUIS!$C$107)/MAX((CROQUIS!$C$141*MAX(1,CEILING((INT(((CROQUIS!$C$97)-CROQUIS!$C$107)/MAX(CROQUIS!$C$141,1))+1)/80,1))),1))+1))-1,0),0,MOD($A331-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ROQUIS!$C$159)+IF(CROQUIS!$C$92="X",0,0.8)),-1000)</f>
        <v>-1000</v>
      </c>
      <c r="BZ331">
        <f>IF(AND(CROQUIS!$C$88=1,CROQUIS!$C$91=1,CROQUIS!$C$133&gt;0),((CROQUIS!$C$160+(IF(CROQUIS!$C$92="X",CHOOSE(IF(INT(($A331-1)/5)&gt;MAX((MAX(1,INT(((CROQUIS!$C$98)-CROQUIS!$C$107)/MAX((CROQUIS!$C$133*MAX(1,CEILING((INT(((CROQUIS!$C$98)-CROQUIS!$C$107)/MAX(CROQUIS!$C$133,1))+1)/80,1))),1))+1))-1,0),0,MOD($A331-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CA331">
        <f>IF(AND(CROQUIS!$C$88=1,CROQUIS!$C$91=1,CROQUIS!$C$133&gt;0),((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2">
      <c r="A332" t="n">
        <v>325</v>
      </c>
      <c r="BN332">
        <f>IF(AND(CROQUIS!$C$88=1,CROQUIS!$C$129&gt;0),((CROQUIS!$C$160+(IF(CROQUIS!$C$92="X",CHOOSE(IF(INT(($A332-1)/5)&gt;MAX((MAX(1,INT(((CROQUIS!$C$98)-CROQUIS!$C$107)/MAX((CROQUIS!$C$129*MAX(1,CEILING((INT(((CROQUIS!$C$98)-CROQUIS!$C$107)/MAX(CROQUIS!$C$129,1))+1)/80,1))),1))+1))-1,0),0,MOD($A332-1,5))+1,0,2,CROQUIS!$C$97-2,2,0),((CROQUIS!$C$107/2+(((CROQUIS!$C$98)-CROQUIS!$C$107)-(MAX(1,INT(((CROQUIS!$C$98)-CROQUIS!$C$107)/MAX((CROQUIS!$C$129*MAX(1,CEILING((INT(((CROQUIS!$C$98)-CROQUIS!$C$107)/MAX(CROQUIS!$C$129,1))+1)/80,1))),1))+1)-1)*(CROQUIS!$C$129*MAX(1,CEILING((INT(((CROQUIS!$C$98)-CROQUIS!$C$107)/MAX(CROQUIS!$C$129,1))+1)/80,1))))/2)+MIN(INT(($A332-1)/5),MAX((MAX(1,INT(((CROQUIS!$C$98)-CROQUIS!$C$107)/MAX((CROQUIS!$C$129*MAX(1,CEILING((INT(((CROQUIS!$C$98)-CROQUIS!$C$107)/MAX(CROQUIS!$C$129,1))+1)/80,1))),1))+1))-1,0))*(CROQUIS!$C$129*MAX(1,CEILING((INT(((CROQUIS!$C$98)-CROQUIS!$C$107)/MAX(CROQUIS!$C$129,1))+1)/80,1))))))*CROQUIS!$C$159)+IF(CROQUIS!$C$92="X",0,0)),-1000)</f>
        <v>-1000</v>
      </c>
      <c r="BO332">
        <f>IF(AND(CROQUIS!$C$88=1,CROQUIS!$C$129&gt;0),((CROQUIS!$C$161+(IF(CROQUIS!$C$92="X",((CROQUIS!$C$107/2+(((CROQUIS!$C$98)-CROQUIS!$C$107)-(MAX(1,INT(((CROQUIS!$C$98)-CROQUIS!$C$107)/MAX((CROQUIS!$C$129*MAX(1,CEILING((INT(((CROQUIS!$C$98)-CROQUIS!$C$107)/MAX(CROQUIS!$C$129,1))+1)/80,1))),1))+1)-1)*(CROQUIS!$C$129*MAX(1,CEILING((INT(((CROQUIS!$C$98)-CROQUIS!$C$107)/MAX(CROQUIS!$C$129,1))+1)/80,1))))/2)+MIN(INT(($A332-1)/5),MAX((MAX(1,INT(((CROQUIS!$C$98)-CROQUIS!$C$107)/MAX((CROQUIS!$C$129*MAX(1,CEILING((INT(((CROQUIS!$C$98)-CROQUIS!$C$107)/MAX(CROQUIS!$C$129,1))+1)/80,1))),1))+1))-1,0))*(CROQUIS!$C$129*MAX(1,CEILING((INT(((CROQUIS!$C$98)-CROQUIS!$C$107)/MAX(CROQUIS!$C$129,1))+1)/80,1)))),CHOOSE(IF(INT(($A332-1)/5)&gt;MAX((MAX(1,INT(((CROQUIS!$C$98)-CROQUIS!$C$107)/MAX((CROQUIS!$C$129*MAX(1,CEILING((INT(((CROQUIS!$C$98)-CROQUIS!$C$107)/MAX(CROQUIS!$C$129,1))+1)/80,1))),1))+1))-1,0),0,MOD($A332-1,5))+1,0,2,CROQUIS!$C$97-2,2,0)))*CROQUIS!$C$159)+IF(CROQUIS!$C$92="X",0,0)),-1000)</f>
        <v>-1000</v>
      </c>
      <c r="BP332">
        <f>IF(AND(CROQUIS!$C$88=1,CROQUIS!$C$137&gt;0),((CROQUIS!$C$160+(IF(CROQUIS!$C$92="X",((CROQUIS!$C$107/2+(((CROQUIS!$C$97)-CROQUIS!$C$107)-(MAX(1,INT(((CROQUIS!$C$97)-CROQUIS!$C$107)/MAX((CROQUIS!$C$137*MAX(1,CEILING((INT(((CROQUIS!$C$97)-CROQUIS!$C$107)/MAX(CROQUIS!$C$137,1))+1)/80,1))),1))+1)-1)*(CROQUIS!$C$137*MAX(1,CEILING((INT(((CROQUIS!$C$97)-CROQUIS!$C$107)/MAX(CROQUIS!$C$137,1))+1)/80,1))))/2)+MIN(INT(($A332-1)/5),MAX((MAX(1,INT(((CROQUIS!$C$97)-CROQUIS!$C$107)/MAX((CROQUIS!$C$137*MAX(1,CEILING((INT(((CROQUIS!$C$97)-CROQUIS!$C$107)/MAX(CROQUIS!$C$137,1))+1)/80,1))),1))+1))-1,0))*(CROQUIS!$C$137*MAX(1,CEILING((INT(((CROQUIS!$C$97)-CROQUIS!$C$107)/MAX(CROQUIS!$C$137,1))+1)/80,1)))),CHOOSE(IF(INT(($A332-1)/5)&gt;MAX((MAX(1,INT(((CROQUIS!$C$97)-CROQUIS!$C$107)/MAX((CROQUIS!$C$137*MAX(1,CEILING((INT(((CROQUIS!$C$97)-CROQUIS!$C$107)/MAX(CROQUIS!$C$137,1))+1)/80,1))),1))+1))-1,0),0,MOD($A332-1,5))+1,0,2,CROQUIS!$C$98-2,2,0)))*CROQUIS!$C$159)+IF(CROQUIS!$C$92="X",0,0)),-1000)</f>
        <v>-1000</v>
      </c>
      <c r="BQ332">
        <f>IF(AND(CROQUIS!$C$88=1,CROQUIS!$C$137&gt;0),((CROQUIS!$C$161+(IF(CROQUIS!$C$92="X",CHOOSE(IF(INT(($A332-1)/5)&gt;MAX((MAX(1,INT(((CROQUIS!$C$97)-CROQUIS!$C$107)/MAX((CROQUIS!$C$137*MAX(1,CEILING((INT(((CROQUIS!$C$97)-CROQUIS!$C$107)/MAX(CROQUIS!$C$137,1))+1)/80,1))),1))+1))-1,0),0,MOD($A332-1,5))+1,0,2,CROQUIS!$C$98-2,2,0),((CROQUIS!$C$107/2+(((CROQUIS!$C$97)-CROQUIS!$C$107)-(MAX(1,INT(((CROQUIS!$C$97)-CROQUIS!$C$107)/MAX((CROQUIS!$C$137*MAX(1,CEILING((INT(((CROQUIS!$C$97)-CROQUIS!$C$107)/MAX(CROQUIS!$C$137,1))+1)/80,1))),1))+1)-1)*(CROQUIS!$C$137*MAX(1,CEILING((INT(((CROQUIS!$C$97)-CROQUIS!$C$107)/MAX(CROQUIS!$C$137,1))+1)/80,1))))/2)+MIN(INT(($A332-1)/5),MAX((MAX(1,INT(((CROQUIS!$C$97)-CROQUIS!$C$107)/MAX((CROQUIS!$C$137*MAX(1,CEILING((INT(((CROQUIS!$C$97)-CROQUIS!$C$107)/MAX(CROQUIS!$C$137,1))+1)/80,1))),1))+1))-1,0))*(CROQUIS!$C$137*MAX(1,CEILING((INT(((CROQUIS!$C$97)-CROQUIS!$C$107)/MAX(CROQUIS!$C$137,1))+1)/80,1))))))*CROQUIS!$C$159)+IF(CROQUIS!$C$92="X",0,0)),-1000)</f>
        <v>-1000</v>
      </c>
      <c r="BR332">
        <f>IF(AND(CROQUIS!$C$88=1,CROQUIS!$C$91=0,CROQUIS!$C$133&gt;0,OR(CROQUIS!$C$103=1,CROQUIS!$C$145=1)),((CROQUIS!$C$160+(IF(CROQUIS!$C$92="X",CHOOSE(IF(INT(($A332-1)/5)&gt;MAX((MAX(1,INT(((CROQUIS!$C$98)-CROQUIS!$C$107)/MAX((CROQUIS!$C$133*MAX(1,CEILING((INT(((CROQUIS!$C$98)-CROQUIS!$C$107)/MAX(CROQUIS!$C$133,1))+1)/80,1))),1))+1))-1,0),0,MOD($A332-1,5))+1,0,IF(CROQUIS!$C$103=1,-12,2),CROQUIS!$C$107/2+CROQUIS!$C$143,IF(CROQUIS!$C$103=1,-12,2),0),((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BS3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+1,0,IF(CROQUIS!$C$103=1,-12,2),CROQUIS!$C$107/2+CROQUIS!$C$143,IF(CROQUIS!$C$103=1,-12,2),0)))*CROQUIS!$C$159)+IF(CROQUIS!$C$92="X",0.8,0)),-1000)</f>
        <v>-1000</v>
      </c>
      <c r="BT332">
        <f>IF(AND(CROQUIS!$C$88=1,CROQUIS!$C$91=0,CROQUIS!$C$133&gt;0,OR(CROQUIS!$C$104=1,CROQUIS!$C$145=1)),((CROQUIS!$C$160+(IF(CROQUIS!$C$92="X",CHOOSE(IF(INT(($A332-1)/5)&gt;MAX((MAX(1,INT(((CROQUIS!$C$98)-CROQUIS!$C$107)/MAX((CROQUIS!$C$133*MAX(1,CEILING((INT(((CROQUIS!$C$98)-CROQUIS!$C$107)/MAX(CROQUIS!$C$133,1))+1)/80,1))),1))+1))-1,0),0,MOD($A332-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BU3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CROQUIS!$C$97,CROQUIS!$C$97-CROQUIS!$C$107/2-CROQUIS!$C$143,IF(CROQUIS!$C$104=1,CROQUIS!$C$97+12,CROQUIS!$C$97-2),CROQUIS!$C$97-CROQUIS!$C$107/2-CROQUIS!$C$143,CROQUIS!$C$97)))*CROQUIS!$C$159)+IF(CROQUIS!$C$92="X",0.8,0)),-1000)</f>
        <v>-1000</v>
      </c>
      <c r="BV3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HOOSE(IF(INT(($A332-1)/5)&gt;MAX((MAX(1,INT(((CROQUIS!$C$97)-CROQUIS!$C$107)/MAX((CROQUIS!$C$141*MAX(1,CEILING((INT(((CROQUIS!$C$97)-CROQUIS!$C$107)/MAX(CROQUIS!$C$141,1))+1)/80,1))),1))+1))-1,0),0,MOD($A332-1,5))+1,0,IF(CROQUIS!$C$105=1,-12,2),CROQUIS!$C$107/2+CROQUIS!$C$144,IF(CROQUIS!$C$105=1,-12,2),0)))*CROQUIS!$C$159)+IF(CROQUIS!$C$92="X",0.8,0)),-1000)</f>
        <v>-1000</v>
      </c>
      <c r="BW332">
        <f>IF(AND(CROQUIS!$C$88=1,CROQUIS!$C$91=0,CROQUIS!$C$141&gt;0,OR(CROQUIS!$C$105=1,CROQUIS!$C$146=1)),((CROQUIS!$C$161+(IF(CROQUIS!$C$92="X",CHOOSE(IF(INT(($A332-1)/5)&gt;MAX((MAX(1,INT(((CROQUIS!$C$97)-CROQUIS!$C$107)/MAX((CROQUIS!$C$141*MAX(1,CEILING((INT(((CROQUIS!$C$97)-CROQUIS!$C$107)/MAX(CROQUIS!$C$141,1))+1)/80,1))),1))+1))-1,0),0,MOD($A332-1,5))+1,0,IF(CROQUIS!$C$105=1,-12,2),CROQUIS!$C$107/2+CROQUIS!$C$144,IF(CROQUIS!$C$105=1,-12,2),0),((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ROQUIS!$C$159)+IF(CROQUIS!$C$92="X",0,0.8)),-1000)</f>
        <v>-1000</v>
      </c>
      <c r="BX3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HOOSE(IF(INT(($A332-1)/5)&gt;MAX((MAX(1,INT(((CROQUIS!$C$97)-CROQUIS!$C$107)/MAX((CROQUIS!$C$141*MAX(1,CEILING((INT(((CROQUIS!$C$97)-CROQUIS!$C$107)/MAX(CROQUIS!$C$141,1))+1)/80,1))),1))+1))-1,0),0,MOD($A332-1,5))+1,CROQUIS!$C$98,CROQUIS!$C$98-CROQUIS!$C$107/2-CROQUIS!$C$144,IF(CROQUIS!$C$106=1,CROQUIS!$C$98+12,CROQUIS!$C$98-2),CROQUIS!$C$98-CROQUIS!$C$107/2-CROQUIS!$C$144,CROQUIS!$C$98)))*CROQUIS!$C$159)+IF(CROQUIS!$C$92="X",0.8,0)),-1000)</f>
        <v>-1000</v>
      </c>
      <c r="BY332">
        <f>IF(AND(CROQUIS!$C$88=1,CROQUIS!$C$91=0,CROQUIS!$C$141&gt;0,OR(CROQUIS!$C$106=1,CROQUIS!$C$146=1)),((CROQUIS!$C$161+(IF(CROQUIS!$C$92="X",CHOOSE(IF(INT(($A332-1)/5)&gt;MAX((MAX(1,INT(((CROQUIS!$C$97)-CROQUIS!$C$107)/MAX((CROQUIS!$C$141*MAX(1,CEILING((INT(((CROQUIS!$C$97)-CROQUIS!$C$107)/MAX(CROQUIS!$C$141,1))+1)/80,1))),1))+1))-1,0),0,MOD($A332-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ROQUIS!$C$159)+IF(CROQUIS!$C$92="X",0,0.8)),-1000)</f>
        <v>-1000</v>
      </c>
      <c r="BZ332">
        <f>IF(AND(CROQUIS!$C$88=1,CROQUIS!$C$91=1,CROQUIS!$C$133&gt;0),((CROQUIS!$C$160+(IF(CROQUIS!$C$92="X",CHOOSE(IF(INT(($A332-1)/5)&gt;MAX((MAX(1,INT(((CROQUIS!$C$98)-CROQUIS!$C$107)/MAX((CROQUIS!$C$133*MAX(1,CEILING((INT(((CROQUIS!$C$98)-CROQUIS!$C$107)/MAX(CROQUIS!$C$133,1))+1)/80,1))),1))+1))-1,0),0,MOD($A332-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CA332">
        <f>IF(AND(CROQUIS!$C$88=1,CROQUIS!$C$91=1,CROQUIS!$C$133&gt;0),((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3">
      <c r="A333" t="n">
        <v>326</v>
      </c>
      <c r="BN333">
        <f>IF(AND(CROQUIS!$C$88=1,CROQUIS!$C$129&gt;0),((CROQUIS!$C$160+(IF(CROQUIS!$C$92="X",CHOOSE(IF(INT(($A333-1)/5)&gt;MAX((MAX(1,INT(((CROQUIS!$C$98)-CROQUIS!$C$107)/MAX((CROQUIS!$C$129*MAX(1,CEILING((INT(((CROQUIS!$C$98)-CROQUIS!$C$107)/MAX(CROQUIS!$C$129,1))+1)/80,1))),1))+1))-1,0),0,MOD($A333-1,5))+1,0,2,CROQUIS!$C$97-2,2,0),((CROQUIS!$C$107/2+(((CROQUIS!$C$98)-CROQUIS!$C$107)-(MAX(1,INT(((CROQUIS!$C$98)-CROQUIS!$C$107)/MAX((CROQUIS!$C$129*MAX(1,CEILING((INT(((CROQUIS!$C$98)-CROQUIS!$C$107)/MAX(CROQUIS!$C$129,1))+1)/80,1))),1))+1)-1)*(CROQUIS!$C$129*MAX(1,CEILING((INT(((CROQUIS!$C$98)-CROQUIS!$C$107)/MAX(CROQUIS!$C$129,1))+1)/80,1))))/2)+MIN(INT(($A333-1)/5),MAX((MAX(1,INT(((CROQUIS!$C$98)-CROQUIS!$C$107)/MAX((CROQUIS!$C$129*MAX(1,CEILING((INT(((CROQUIS!$C$98)-CROQUIS!$C$107)/MAX(CROQUIS!$C$129,1))+1)/80,1))),1))+1))-1,0))*(CROQUIS!$C$129*MAX(1,CEILING((INT(((CROQUIS!$C$98)-CROQUIS!$C$107)/MAX(CROQUIS!$C$129,1))+1)/80,1))))))*CROQUIS!$C$159)+IF(CROQUIS!$C$92="X",0,0)),-1000)</f>
        <v>-1000</v>
      </c>
      <c r="BO333">
        <f>IF(AND(CROQUIS!$C$88=1,CROQUIS!$C$129&gt;0),((CROQUIS!$C$161+(IF(CROQUIS!$C$92="X",((CROQUIS!$C$107/2+(((CROQUIS!$C$98)-CROQUIS!$C$107)-(MAX(1,INT(((CROQUIS!$C$98)-CROQUIS!$C$107)/MAX((CROQUIS!$C$129*MAX(1,CEILING((INT(((CROQUIS!$C$98)-CROQUIS!$C$107)/MAX(CROQUIS!$C$129,1))+1)/80,1))),1))+1)-1)*(CROQUIS!$C$129*MAX(1,CEILING((INT(((CROQUIS!$C$98)-CROQUIS!$C$107)/MAX(CROQUIS!$C$129,1))+1)/80,1))))/2)+MIN(INT(($A333-1)/5),MAX((MAX(1,INT(((CROQUIS!$C$98)-CROQUIS!$C$107)/MAX((CROQUIS!$C$129*MAX(1,CEILING((INT(((CROQUIS!$C$98)-CROQUIS!$C$107)/MAX(CROQUIS!$C$129,1))+1)/80,1))),1))+1))-1,0))*(CROQUIS!$C$129*MAX(1,CEILING((INT(((CROQUIS!$C$98)-CROQUIS!$C$107)/MAX(CROQUIS!$C$129,1))+1)/80,1)))),CHOOSE(IF(INT(($A333-1)/5)&gt;MAX((MAX(1,INT(((CROQUIS!$C$98)-CROQUIS!$C$107)/MAX((CROQUIS!$C$129*MAX(1,CEILING((INT(((CROQUIS!$C$98)-CROQUIS!$C$107)/MAX(CROQUIS!$C$129,1))+1)/80,1))),1))+1))-1,0),0,MOD($A333-1,5))+1,0,2,CROQUIS!$C$97-2,2,0)))*CROQUIS!$C$159)+IF(CROQUIS!$C$92="X",0,0)),-1000)</f>
        <v>-1000</v>
      </c>
      <c r="BP333">
        <f>IF(AND(CROQUIS!$C$88=1,CROQUIS!$C$137&gt;0),((CROQUIS!$C$160+(IF(CROQUIS!$C$92="X",((CROQUIS!$C$107/2+(((CROQUIS!$C$97)-CROQUIS!$C$107)-(MAX(1,INT(((CROQUIS!$C$97)-CROQUIS!$C$107)/MAX((CROQUIS!$C$137*MAX(1,CEILING((INT(((CROQUIS!$C$97)-CROQUIS!$C$107)/MAX(CROQUIS!$C$137,1))+1)/80,1))),1))+1)-1)*(CROQUIS!$C$137*MAX(1,CEILING((INT(((CROQUIS!$C$97)-CROQUIS!$C$107)/MAX(CROQUIS!$C$137,1))+1)/80,1))))/2)+MIN(INT(($A333-1)/5),MAX((MAX(1,INT(((CROQUIS!$C$97)-CROQUIS!$C$107)/MAX((CROQUIS!$C$137*MAX(1,CEILING((INT(((CROQUIS!$C$97)-CROQUIS!$C$107)/MAX(CROQUIS!$C$137,1))+1)/80,1))),1))+1))-1,0))*(CROQUIS!$C$137*MAX(1,CEILING((INT(((CROQUIS!$C$97)-CROQUIS!$C$107)/MAX(CROQUIS!$C$137,1))+1)/80,1)))),CHOOSE(IF(INT(($A333-1)/5)&gt;MAX((MAX(1,INT(((CROQUIS!$C$97)-CROQUIS!$C$107)/MAX((CROQUIS!$C$137*MAX(1,CEILING((INT(((CROQUIS!$C$97)-CROQUIS!$C$107)/MAX(CROQUIS!$C$137,1))+1)/80,1))),1))+1))-1,0),0,MOD($A333-1,5))+1,0,2,CROQUIS!$C$98-2,2,0)))*CROQUIS!$C$159)+IF(CROQUIS!$C$92="X",0,0)),-1000)</f>
        <v>-1000</v>
      </c>
      <c r="BQ333">
        <f>IF(AND(CROQUIS!$C$88=1,CROQUIS!$C$137&gt;0),((CROQUIS!$C$161+(IF(CROQUIS!$C$92="X",CHOOSE(IF(INT(($A333-1)/5)&gt;MAX((MAX(1,INT(((CROQUIS!$C$97)-CROQUIS!$C$107)/MAX((CROQUIS!$C$137*MAX(1,CEILING((INT(((CROQUIS!$C$97)-CROQUIS!$C$107)/MAX(CROQUIS!$C$137,1))+1)/80,1))),1))+1))-1,0),0,MOD($A333-1,5))+1,0,2,CROQUIS!$C$98-2,2,0),((CROQUIS!$C$107/2+(((CROQUIS!$C$97)-CROQUIS!$C$107)-(MAX(1,INT(((CROQUIS!$C$97)-CROQUIS!$C$107)/MAX((CROQUIS!$C$137*MAX(1,CEILING((INT(((CROQUIS!$C$97)-CROQUIS!$C$107)/MAX(CROQUIS!$C$137,1))+1)/80,1))),1))+1)-1)*(CROQUIS!$C$137*MAX(1,CEILING((INT(((CROQUIS!$C$97)-CROQUIS!$C$107)/MAX(CROQUIS!$C$137,1))+1)/80,1))))/2)+MIN(INT(($A333-1)/5),MAX((MAX(1,INT(((CROQUIS!$C$97)-CROQUIS!$C$107)/MAX((CROQUIS!$C$137*MAX(1,CEILING((INT(((CROQUIS!$C$97)-CROQUIS!$C$107)/MAX(CROQUIS!$C$137,1))+1)/80,1))),1))+1))-1,0))*(CROQUIS!$C$137*MAX(1,CEILING((INT(((CROQUIS!$C$97)-CROQUIS!$C$107)/MAX(CROQUIS!$C$137,1))+1)/80,1))))))*CROQUIS!$C$159)+IF(CROQUIS!$C$92="X",0,0)),-1000)</f>
        <v>-1000</v>
      </c>
      <c r="BR333">
        <f>IF(AND(CROQUIS!$C$88=1,CROQUIS!$C$91=0,CROQUIS!$C$133&gt;0,OR(CROQUIS!$C$103=1,CROQUIS!$C$145=1)),((CROQUIS!$C$160+(IF(CROQUIS!$C$92="X",CHOOSE(IF(INT(($A333-1)/5)&gt;MAX((MAX(1,INT(((CROQUIS!$C$98)-CROQUIS!$C$107)/MAX((CROQUIS!$C$133*MAX(1,CEILING((INT(((CROQUIS!$C$98)-CROQUIS!$C$107)/MAX(CROQUIS!$C$133,1))+1)/80,1))),1))+1))-1,0),0,MOD($A333-1,5))+1,0,IF(CROQUIS!$C$103=1,-12,2),CROQUIS!$C$107/2+CROQUIS!$C$143,IF(CROQUIS!$C$103=1,-12,2),0),((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BS3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+1,0,IF(CROQUIS!$C$103=1,-12,2),CROQUIS!$C$107/2+CROQUIS!$C$143,IF(CROQUIS!$C$103=1,-12,2),0)))*CROQUIS!$C$159)+IF(CROQUIS!$C$92="X",0.8,0)),-1000)</f>
        <v>-1000</v>
      </c>
      <c r="BT333">
        <f>IF(AND(CROQUIS!$C$88=1,CROQUIS!$C$91=0,CROQUIS!$C$133&gt;0,OR(CROQUIS!$C$104=1,CROQUIS!$C$145=1)),((CROQUIS!$C$160+(IF(CROQUIS!$C$92="X",CHOOSE(IF(INT(($A333-1)/5)&gt;MAX((MAX(1,INT(((CROQUIS!$C$98)-CROQUIS!$C$107)/MAX((CROQUIS!$C$133*MAX(1,CEILING((INT(((CROQUIS!$C$98)-CROQUIS!$C$107)/MAX(CROQUIS!$C$133,1))+1)/80,1))),1))+1))-1,0),0,MOD($A333-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BU3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CROQUIS!$C$97,CROQUIS!$C$97-CROQUIS!$C$107/2-CROQUIS!$C$143,IF(CROQUIS!$C$104=1,CROQUIS!$C$97+12,CROQUIS!$C$97-2),CROQUIS!$C$97-CROQUIS!$C$107/2-CROQUIS!$C$143,CROQUIS!$C$97)))*CROQUIS!$C$159)+IF(CROQUIS!$C$92="X",0.8,0)),-1000)</f>
        <v>-1000</v>
      </c>
      <c r="BV3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HOOSE(IF(INT(($A333-1)/5)&gt;MAX((MAX(1,INT(((CROQUIS!$C$97)-CROQUIS!$C$107)/MAX((CROQUIS!$C$141*MAX(1,CEILING((INT(((CROQUIS!$C$97)-CROQUIS!$C$107)/MAX(CROQUIS!$C$141,1))+1)/80,1))),1))+1))-1,0),0,MOD($A333-1,5))+1,0,IF(CROQUIS!$C$105=1,-12,2),CROQUIS!$C$107/2+CROQUIS!$C$144,IF(CROQUIS!$C$105=1,-12,2),0)))*CROQUIS!$C$159)+IF(CROQUIS!$C$92="X",0.8,0)),-1000)</f>
        <v>-1000</v>
      </c>
      <c r="BW333">
        <f>IF(AND(CROQUIS!$C$88=1,CROQUIS!$C$91=0,CROQUIS!$C$141&gt;0,OR(CROQUIS!$C$105=1,CROQUIS!$C$146=1)),((CROQUIS!$C$161+(IF(CROQUIS!$C$92="X",CHOOSE(IF(INT(($A333-1)/5)&gt;MAX((MAX(1,INT(((CROQUIS!$C$97)-CROQUIS!$C$107)/MAX((CROQUIS!$C$141*MAX(1,CEILING((INT(((CROQUIS!$C$97)-CROQUIS!$C$107)/MAX(CROQUIS!$C$141,1))+1)/80,1))),1))+1))-1,0),0,MOD($A333-1,5))+1,0,IF(CROQUIS!$C$105=1,-12,2),CROQUIS!$C$107/2+CROQUIS!$C$144,IF(CROQUIS!$C$105=1,-12,2),0),((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ROQUIS!$C$159)+IF(CROQUIS!$C$92="X",0,0.8)),-1000)</f>
        <v>-1000</v>
      </c>
      <c r="BX3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HOOSE(IF(INT(($A333-1)/5)&gt;MAX((MAX(1,INT(((CROQUIS!$C$97)-CROQUIS!$C$107)/MAX((CROQUIS!$C$141*MAX(1,CEILING((INT(((CROQUIS!$C$97)-CROQUIS!$C$107)/MAX(CROQUIS!$C$141,1))+1)/80,1))),1))+1))-1,0),0,MOD($A333-1,5))+1,CROQUIS!$C$98,CROQUIS!$C$98-CROQUIS!$C$107/2-CROQUIS!$C$144,IF(CROQUIS!$C$106=1,CROQUIS!$C$98+12,CROQUIS!$C$98-2),CROQUIS!$C$98-CROQUIS!$C$107/2-CROQUIS!$C$144,CROQUIS!$C$98)))*CROQUIS!$C$159)+IF(CROQUIS!$C$92="X",0.8,0)),-1000)</f>
        <v>-1000</v>
      </c>
      <c r="BY333">
        <f>IF(AND(CROQUIS!$C$88=1,CROQUIS!$C$91=0,CROQUIS!$C$141&gt;0,OR(CROQUIS!$C$106=1,CROQUIS!$C$146=1)),((CROQUIS!$C$161+(IF(CROQUIS!$C$92="X",CHOOSE(IF(INT(($A333-1)/5)&gt;MAX((MAX(1,INT(((CROQUIS!$C$97)-CROQUIS!$C$107)/MAX((CROQUIS!$C$141*MAX(1,CEILING((INT(((CROQUIS!$C$97)-CROQUIS!$C$107)/MAX(CROQUIS!$C$141,1))+1)/80,1))),1))+1))-1,0),0,MOD($A333-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ROQUIS!$C$159)+IF(CROQUIS!$C$92="X",0,0.8)),-1000)</f>
        <v>-1000</v>
      </c>
      <c r="BZ333">
        <f>IF(AND(CROQUIS!$C$88=1,CROQUIS!$C$91=1,CROQUIS!$C$133&gt;0),((CROQUIS!$C$160+(IF(CROQUIS!$C$92="X",CHOOSE(IF(INT(($A333-1)/5)&gt;MAX((MAX(1,INT(((CROQUIS!$C$98)-CROQUIS!$C$107)/MAX((CROQUIS!$C$133*MAX(1,CEILING((INT(((CROQUIS!$C$98)-CROQUIS!$C$107)/MAX(CROQUIS!$C$133,1))+1)/80,1))),1))+1))-1,0),0,MOD($A333-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CA333">
        <f>IF(AND(CROQUIS!$C$88=1,CROQUIS!$C$91=1,CROQUIS!$C$133&gt;0),((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4">
      <c r="A334" t="n">
        <v>327</v>
      </c>
      <c r="BN334">
        <f>IF(AND(CROQUIS!$C$88=1,CROQUIS!$C$129&gt;0),((CROQUIS!$C$160+(IF(CROQUIS!$C$92="X",CHOOSE(IF(INT(($A334-1)/5)&gt;MAX((MAX(1,INT(((CROQUIS!$C$98)-CROQUIS!$C$107)/MAX((CROQUIS!$C$129*MAX(1,CEILING((INT(((CROQUIS!$C$98)-CROQUIS!$C$107)/MAX(CROQUIS!$C$129,1))+1)/80,1))),1))+1))-1,0),0,MOD($A334-1,5))+1,0,2,CROQUIS!$C$97-2,2,0),((CROQUIS!$C$107/2+(((CROQUIS!$C$98)-CROQUIS!$C$107)-(MAX(1,INT(((CROQUIS!$C$98)-CROQUIS!$C$107)/MAX((CROQUIS!$C$129*MAX(1,CEILING((INT(((CROQUIS!$C$98)-CROQUIS!$C$107)/MAX(CROQUIS!$C$129,1))+1)/80,1))),1))+1)-1)*(CROQUIS!$C$129*MAX(1,CEILING((INT(((CROQUIS!$C$98)-CROQUIS!$C$107)/MAX(CROQUIS!$C$129,1))+1)/80,1))))/2)+MIN(INT(($A334-1)/5),MAX((MAX(1,INT(((CROQUIS!$C$98)-CROQUIS!$C$107)/MAX((CROQUIS!$C$129*MAX(1,CEILING((INT(((CROQUIS!$C$98)-CROQUIS!$C$107)/MAX(CROQUIS!$C$129,1))+1)/80,1))),1))+1))-1,0))*(CROQUIS!$C$129*MAX(1,CEILING((INT(((CROQUIS!$C$98)-CROQUIS!$C$107)/MAX(CROQUIS!$C$129,1))+1)/80,1))))))*CROQUIS!$C$159)+IF(CROQUIS!$C$92="X",0,0)),-1000)</f>
        <v>-1000</v>
      </c>
      <c r="BO334">
        <f>IF(AND(CROQUIS!$C$88=1,CROQUIS!$C$129&gt;0),((CROQUIS!$C$161+(IF(CROQUIS!$C$92="X",((CROQUIS!$C$107/2+(((CROQUIS!$C$98)-CROQUIS!$C$107)-(MAX(1,INT(((CROQUIS!$C$98)-CROQUIS!$C$107)/MAX((CROQUIS!$C$129*MAX(1,CEILING((INT(((CROQUIS!$C$98)-CROQUIS!$C$107)/MAX(CROQUIS!$C$129,1))+1)/80,1))),1))+1)-1)*(CROQUIS!$C$129*MAX(1,CEILING((INT(((CROQUIS!$C$98)-CROQUIS!$C$107)/MAX(CROQUIS!$C$129,1))+1)/80,1))))/2)+MIN(INT(($A334-1)/5),MAX((MAX(1,INT(((CROQUIS!$C$98)-CROQUIS!$C$107)/MAX((CROQUIS!$C$129*MAX(1,CEILING((INT(((CROQUIS!$C$98)-CROQUIS!$C$107)/MAX(CROQUIS!$C$129,1))+1)/80,1))),1))+1))-1,0))*(CROQUIS!$C$129*MAX(1,CEILING((INT(((CROQUIS!$C$98)-CROQUIS!$C$107)/MAX(CROQUIS!$C$129,1))+1)/80,1)))),CHOOSE(IF(INT(($A334-1)/5)&gt;MAX((MAX(1,INT(((CROQUIS!$C$98)-CROQUIS!$C$107)/MAX((CROQUIS!$C$129*MAX(1,CEILING((INT(((CROQUIS!$C$98)-CROQUIS!$C$107)/MAX(CROQUIS!$C$129,1))+1)/80,1))),1))+1))-1,0),0,MOD($A334-1,5))+1,0,2,CROQUIS!$C$97-2,2,0)))*CROQUIS!$C$159)+IF(CROQUIS!$C$92="X",0,0)),-1000)</f>
        <v>-1000</v>
      </c>
      <c r="BP334">
        <f>IF(AND(CROQUIS!$C$88=1,CROQUIS!$C$137&gt;0),((CROQUIS!$C$160+(IF(CROQUIS!$C$92="X",((CROQUIS!$C$107/2+(((CROQUIS!$C$97)-CROQUIS!$C$107)-(MAX(1,INT(((CROQUIS!$C$97)-CROQUIS!$C$107)/MAX((CROQUIS!$C$137*MAX(1,CEILING((INT(((CROQUIS!$C$97)-CROQUIS!$C$107)/MAX(CROQUIS!$C$137,1))+1)/80,1))),1))+1)-1)*(CROQUIS!$C$137*MAX(1,CEILING((INT(((CROQUIS!$C$97)-CROQUIS!$C$107)/MAX(CROQUIS!$C$137,1))+1)/80,1))))/2)+MIN(INT(($A334-1)/5),MAX((MAX(1,INT(((CROQUIS!$C$97)-CROQUIS!$C$107)/MAX((CROQUIS!$C$137*MAX(1,CEILING((INT(((CROQUIS!$C$97)-CROQUIS!$C$107)/MAX(CROQUIS!$C$137,1))+1)/80,1))),1))+1))-1,0))*(CROQUIS!$C$137*MAX(1,CEILING((INT(((CROQUIS!$C$97)-CROQUIS!$C$107)/MAX(CROQUIS!$C$137,1))+1)/80,1)))),CHOOSE(IF(INT(($A334-1)/5)&gt;MAX((MAX(1,INT(((CROQUIS!$C$97)-CROQUIS!$C$107)/MAX((CROQUIS!$C$137*MAX(1,CEILING((INT(((CROQUIS!$C$97)-CROQUIS!$C$107)/MAX(CROQUIS!$C$137,1))+1)/80,1))),1))+1))-1,0),0,MOD($A334-1,5))+1,0,2,CROQUIS!$C$98-2,2,0)))*CROQUIS!$C$159)+IF(CROQUIS!$C$92="X",0,0)),-1000)</f>
        <v>-1000</v>
      </c>
      <c r="BQ334">
        <f>IF(AND(CROQUIS!$C$88=1,CROQUIS!$C$137&gt;0),((CROQUIS!$C$161+(IF(CROQUIS!$C$92="X",CHOOSE(IF(INT(($A334-1)/5)&gt;MAX((MAX(1,INT(((CROQUIS!$C$97)-CROQUIS!$C$107)/MAX((CROQUIS!$C$137*MAX(1,CEILING((INT(((CROQUIS!$C$97)-CROQUIS!$C$107)/MAX(CROQUIS!$C$137,1))+1)/80,1))),1))+1))-1,0),0,MOD($A334-1,5))+1,0,2,CROQUIS!$C$98-2,2,0),((CROQUIS!$C$107/2+(((CROQUIS!$C$97)-CROQUIS!$C$107)-(MAX(1,INT(((CROQUIS!$C$97)-CROQUIS!$C$107)/MAX((CROQUIS!$C$137*MAX(1,CEILING((INT(((CROQUIS!$C$97)-CROQUIS!$C$107)/MAX(CROQUIS!$C$137,1))+1)/80,1))),1))+1)-1)*(CROQUIS!$C$137*MAX(1,CEILING((INT(((CROQUIS!$C$97)-CROQUIS!$C$107)/MAX(CROQUIS!$C$137,1))+1)/80,1))))/2)+MIN(INT(($A334-1)/5),MAX((MAX(1,INT(((CROQUIS!$C$97)-CROQUIS!$C$107)/MAX((CROQUIS!$C$137*MAX(1,CEILING((INT(((CROQUIS!$C$97)-CROQUIS!$C$107)/MAX(CROQUIS!$C$137,1))+1)/80,1))),1))+1))-1,0))*(CROQUIS!$C$137*MAX(1,CEILING((INT(((CROQUIS!$C$97)-CROQUIS!$C$107)/MAX(CROQUIS!$C$137,1))+1)/80,1))))))*CROQUIS!$C$159)+IF(CROQUIS!$C$92="X",0,0)),-1000)</f>
        <v>-1000</v>
      </c>
      <c r="BR334">
        <f>IF(AND(CROQUIS!$C$88=1,CROQUIS!$C$91=0,CROQUIS!$C$133&gt;0,OR(CROQUIS!$C$103=1,CROQUIS!$C$145=1)),((CROQUIS!$C$160+(IF(CROQUIS!$C$92="X",CHOOSE(IF(INT(($A334-1)/5)&gt;MAX((MAX(1,INT(((CROQUIS!$C$98)-CROQUIS!$C$107)/MAX((CROQUIS!$C$133*MAX(1,CEILING((INT(((CROQUIS!$C$98)-CROQUIS!$C$107)/MAX(CROQUIS!$C$133,1))+1)/80,1))),1))+1))-1,0),0,MOD($A334-1,5))+1,0,IF(CROQUIS!$C$103=1,-12,2),CROQUIS!$C$107/2+CROQUIS!$C$143,IF(CROQUIS!$C$103=1,-12,2),0),((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BS3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+1,0,IF(CROQUIS!$C$103=1,-12,2),CROQUIS!$C$107/2+CROQUIS!$C$143,IF(CROQUIS!$C$103=1,-12,2),0)))*CROQUIS!$C$159)+IF(CROQUIS!$C$92="X",0.8,0)),-1000)</f>
        <v>-1000</v>
      </c>
      <c r="BT334">
        <f>IF(AND(CROQUIS!$C$88=1,CROQUIS!$C$91=0,CROQUIS!$C$133&gt;0,OR(CROQUIS!$C$104=1,CROQUIS!$C$145=1)),((CROQUIS!$C$160+(IF(CROQUIS!$C$92="X",CHOOSE(IF(INT(($A334-1)/5)&gt;MAX((MAX(1,INT(((CROQUIS!$C$98)-CROQUIS!$C$107)/MAX((CROQUIS!$C$133*MAX(1,CEILING((INT(((CROQUIS!$C$98)-CROQUIS!$C$107)/MAX(CROQUIS!$C$133,1))+1)/80,1))),1))+1))-1,0),0,MOD($A334-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BU3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CROQUIS!$C$97,CROQUIS!$C$97-CROQUIS!$C$107/2-CROQUIS!$C$143,IF(CROQUIS!$C$104=1,CROQUIS!$C$97+12,CROQUIS!$C$97-2),CROQUIS!$C$97-CROQUIS!$C$107/2-CROQUIS!$C$143,CROQUIS!$C$97)))*CROQUIS!$C$159)+IF(CROQUIS!$C$92="X",0.8,0)),-1000)</f>
        <v>-1000</v>
      </c>
      <c r="BV3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HOOSE(IF(INT(($A334-1)/5)&gt;MAX((MAX(1,INT(((CROQUIS!$C$97)-CROQUIS!$C$107)/MAX((CROQUIS!$C$141*MAX(1,CEILING((INT(((CROQUIS!$C$97)-CROQUIS!$C$107)/MAX(CROQUIS!$C$141,1))+1)/80,1))),1))+1))-1,0),0,MOD($A334-1,5))+1,0,IF(CROQUIS!$C$105=1,-12,2),CROQUIS!$C$107/2+CROQUIS!$C$144,IF(CROQUIS!$C$105=1,-12,2),0)))*CROQUIS!$C$159)+IF(CROQUIS!$C$92="X",0.8,0)),-1000)</f>
        <v>-1000</v>
      </c>
      <c r="BW334">
        <f>IF(AND(CROQUIS!$C$88=1,CROQUIS!$C$91=0,CROQUIS!$C$141&gt;0,OR(CROQUIS!$C$105=1,CROQUIS!$C$146=1)),((CROQUIS!$C$161+(IF(CROQUIS!$C$92="X",CHOOSE(IF(INT(($A334-1)/5)&gt;MAX((MAX(1,INT(((CROQUIS!$C$97)-CROQUIS!$C$107)/MAX((CROQUIS!$C$141*MAX(1,CEILING((INT(((CROQUIS!$C$97)-CROQUIS!$C$107)/MAX(CROQUIS!$C$141,1))+1)/80,1))),1))+1))-1,0),0,MOD($A334-1,5))+1,0,IF(CROQUIS!$C$105=1,-12,2),CROQUIS!$C$107/2+CROQUIS!$C$144,IF(CROQUIS!$C$105=1,-12,2),0),((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ROQUIS!$C$159)+IF(CROQUIS!$C$92="X",0,0.8)),-1000)</f>
        <v>-1000</v>
      </c>
      <c r="BX3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HOOSE(IF(INT(($A334-1)/5)&gt;MAX((MAX(1,INT(((CROQUIS!$C$97)-CROQUIS!$C$107)/MAX((CROQUIS!$C$141*MAX(1,CEILING((INT(((CROQUIS!$C$97)-CROQUIS!$C$107)/MAX(CROQUIS!$C$141,1))+1)/80,1))),1))+1))-1,0),0,MOD($A334-1,5))+1,CROQUIS!$C$98,CROQUIS!$C$98-CROQUIS!$C$107/2-CROQUIS!$C$144,IF(CROQUIS!$C$106=1,CROQUIS!$C$98+12,CROQUIS!$C$98-2),CROQUIS!$C$98-CROQUIS!$C$107/2-CROQUIS!$C$144,CROQUIS!$C$98)))*CROQUIS!$C$159)+IF(CROQUIS!$C$92="X",0.8,0)),-1000)</f>
        <v>-1000</v>
      </c>
      <c r="BY334">
        <f>IF(AND(CROQUIS!$C$88=1,CROQUIS!$C$91=0,CROQUIS!$C$141&gt;0,OR(CROQUIS!$C$106=1,CROQUIS!$C$146=1)),((CROQUIS!$C$161+(IF(CROQUIS!$C$92="X",CHOOSE(IF(INT(($A334-1)/5)&gt;MAX((MAX(1,INT(((CROQUIS!$C$97)-CROQUIS!$C$107)/MAX((CROQUIS!$C$141*MAX(1,CEILING((INT(((CROQUIS!$C$97)-CROQUIS!$C$107)/MAX(CROQUIS!$C$141,1))+1)/80,1))),1))+1))-1,0),0,MOD($A334-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ROQUIS!$C$159)+IF(CROQUIS!$C$92="X",0,0.8)),-1000)</f>
        <v>-1000</v>
      </c>
      <c r="BZ334">
        <f>IF(AND(CROQUIS!$C$88=1,CROQUIS!$C$91=1,CROQUIS!$C$133&gt;0),((CROQUIS!$C$160+(IF(CROQUIS!$C$92="X",CHOOSE(IF(INT(($A334-1)/5)&gt;MAX((MAX(1,INT(((CROQUIS!$C$98)-CROQUIS!$C$107)/MAX((CROQUIS!$C$133*MAX(1,CEILING((INT(((CROQUIS!$C$98)-CROQUIS!$C$107)/MAX(CROQUIS!$C$133,1))+1)/80,1))),1))+1))-1,0),0,MOD($A334-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CA334">
        <f>IF(AND(CROQUIS!$C$88=1,CROQUIS!$C$91=1,CROQUIS!$C$133&gt;0),((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5">
      <c r="A335" t="n">
        <v>328</v>
      </c>
      <c r="BN335">
        <f>IF(AND(CROQUIS!$C$88=1,CROQUIS!$C$129&gt;0),((CROQUIS!$C$160+(IF(CROQUIS!$C$92="X",CHOOSE(IF(INT(($A335-1)/5)&gt;MAX((MAX(1,INT(((CROQUIS!$C$98)-CROQUIS!$C$107)/MAX((CROQUIS!$C$129*MAX(1,CEILING((INT(((CROQUIS!$C$98)-CROQUIS!$C$107)/MAX(CROQUIS!$C$129,1))+1)/80,1))),1))+1))-1,0),0,MOD($A335-1,5))+1,0,2,CROQUIS!$C$97-2,2,0),((CROQUIS!$C$107/2+(((CROQUIS!$C$98)-CROQUIS!$C$107)-(MAX(1,INT(((CROQUIS!$C$98)-CROQUIS!$C$107)/MAX((CROQUIS!$C$129*MAX(1,CEILING((INT(((CROQUIS!$C$98)-CROQUIS!$C$107)/MAX(CROQUIS!$C$129,1))+1)/80,1))),1))+1)-1)*(CROQUIS!$C$129*MAX(1,CEILING((INT(((CROQUIS!$C$98)-CROQUIS!$C$107)/MAX(CROQUIS!$C$129,1))+1)/80,1))))/2)+MIN(INT(($A335-1)/5),MAX((MAX(1,INT(((CROQUIS!$C$98)-CROQUIS!$C$107)/MAX((CROQUIS!$C$129*MAX(1,CEILING((INT(((CROQUIS!$C$98)-CROQUIS!$C$107)/MAX(CROQUIS!$C$129,1))+1)/80,1))),1))+1))-1,0))*(CROQUIS!$C$129*MAX(1,CEILING((INT(((CROQUIS!$C$98)-CROQUIS!$C$107)/MAX(CROQUIS!$C$129,1))+1)/80,1))))))*CROQUIS!$C$159)+IF(CROQUIS!$C$92="X",0,0)),-1000)</f>
        <v>-1000</v>
      </c>
      <c r="BO335">
        <f>IF(AND(CROQUIS!$C$88=1,CROQUIS!$C$129&gt;0),((CROQUIS!$C$161+(IF(CROQUIS!$C$92="X",((CROQUIS!$C$107/2+(((CROQUIS!$C$98)-CROQUIS!$C$107)-(MAX(1,INT(((CROQUIS!$C$98)-CROQUIS!$C$107)/MAX((CROQUIS!$C$129*MAX(1,CEILING((INT(((CROQUIS!$C$98)-CROQUIS!$C$107)/MAX(CROQUIS!$C$129,1))+1)/80,1))),1))+1)-1)*(CROQUIS!$C$129*MAX(1,CEILING((INT(((CROQUIS!$C$98)-CROQUIS!$C$107)/MAX(CROQUIS!$C$129,1))+1)/80,1))))/2)+MIN(INT(($A335-1)/5),MAX((MAX(1,INT(((CROQUIS!$C$98)-CROQUIS!$C$107)/MAX((CROQUIS!$C$129*MAX(1,CEILING((INT(((CROQUIS!$C$98)-CROQUIS!$C$107)/MAX(CROQUIS!$C$129,1))+1)/80,1))),1))+1))-1,0))*(CROQUIS!$C$129*MAX(1,CEILING((INT(((CROQUIS!$C$98)-CROQUIS!$C$107)/MAX(CROQUIS!$C$129,1))+1)/80,1)))),CHOOSE(IF(INT(($A335-1)/5)&gt;MAX((MAX(1,INT(((CROQUIS!$C$98)-CROQUIS!$C$107)/MAX((CROQUIS!$C$129*MAX(1,CEILING((INT(((CROQUIS!$C$98)-CROQUIS!$C$107)/MAX(CROQUIS!$C$129,1))+1)/80,1))),1))+1))-1,0),0,MOD($A335-1,5))+1,0,2,CROQUIS!$C$97-2,2,0)))*CROQUIS!$C$159)+IF(CROQUIS!$C$92="X",0,0)),-1000)</f>
        <v>-1000</v>
      </c>
      <c r="BP335">
        <f>IF(AND(CROQUIS!$C$88=1,CROQUIS!$C$137&gt;0),((CROQUIS!$C$160+(IF(CROQUIS!$C$92="X",((CROQUIS!$C$107/2+(((CROQUIS!$C$97)-CROQUIS!$C$107)-(MAX(1,INT(((CROQUIS!$C$97)-CROQUIS!$C$107)/MAX((CROQUIS!$C$137*MAX(1,CEILING((INT(((CROQUIS!$C$97)-CROQUIS!$C$107)/MAX(CROQUIS!$C$137,1))+1)/80,1))),1))+1)-1)*(CROQUIS!$C$137*MAX(1,CEILING((INT(((CROQUIS!$C$97)-CROQUIS!$C$107)/MAX(CROQUIS!$C$137,1))+1)/80,1))))/2)+MIN(INT(($A335-1)/5),MAX((MAX(1,INT(((CROQUIS!$C$97)-CROQUIS!$C$107)/MAX((CROQUIS!$C$137*MAX(1,CEILING((INT(((CROQUIS!$C$97)-CROQUIS!$C$107)/MAX(CROQUIS!$C$137,1))+1)/80,1))),1))+1))-1,0))*(CROQUIS!$C$137*MAX(1,CEILING((INT(((CROQUIS!$C$97)-CROQUIS!$C$107)/MAX(CROQUIS!$C$137,1))+1)/80,1)))),CHOOSE(IF(INT(($A335-1)/5)&gt;MAX((MAX(1,INT(((CROQUIS!$C$97)-CROQUIS!$C$107)/MAX((CROQUIS!$C$137*MAX(1,CEILING((INT(((CROQUIS!$C$97)-CROQUIS!$C$107)/MAX(CROQUIS!$C$137,1))+1)/80,1))),1))+1))-1,0),0,MOD($A335-1,5))+1,0,2,CROQUIS!$C$98-2,2,0)))*CROQUIS!$C$159)+IF(CROQUIS!$C$92="X",0,0)),-1000)</f>
        <v>-1000</v>
      </c>
      <c r="BQ335">
        <f>IF(AND(CROQUIS!$C$88=1,CROQUIS!$C$137&gt;0),((CROQUIS!$C$161+(IF(CROQUIS!$C$92="X",CHOOSE(IF(INT(($A335-1)/5)&gt;MAX((MAX(1,INT(((CROQUIS!$C$97)-CROQUIS!$C$107)/MAX((CROQUIS!$C$137*MAX(1,CEILING((INT(((CROQUIS!$C$97)-CROQUIS!$C$107)/MAX(CROQUIS!$C$137,1))+1)/80,1))),1))+1))-1,0),0,MOD($A335-1,5))+1,0,2,CROQUIS!$C$98-2,2,0),((CROQUIS!$C$107/2+(((CROQUIS!$C$97)-CROQUIS!$C$107)-(MAX(1,INT(((CROQUIS!$C$97)-CROQUIS!$C$107)/MAX((CROQUIS!$C$137*MAX(1,CEILING((INT(((CROQUIS!$C$97)-CROQUIS!$C$107)/MAX(CROQUIS!$C$137,1))+1)/80,1))),1))+1)-1)*(CROQUIS!$C$137*MAX(1,CEILING((INT(((CROQUIS!$C$97)-CROQUIS!$C$107)/MAX(CROQUIS!$C$137,1))+1)/80,1))))/2)+MIN(INT(($A335-1)/5),MAX((MAX(1,INT(((CROQUIS!$C$97)-CROQUIS!$C$107)/MAX((CROQUIS!$C$137*MAX(1,CEILING((INT(((CROQUIS!$C$97)-CROQUIS!$C$107)/MAX(CROQUIS!$C$137,1))+1)/80,1))),1))+1))-1,0))*(CROQUIS!$C$137*MAX(1,CEILING((INT(((CROQUIS!$C$97)-CROQUIS!$C$107)/MAX(CROQUIS!$C$137,1))+1)/80,1))))))*CROQUIS!$C$159)+IF(CROQUIS!$C$92="X",0,0)),-1000)</f>
        <v>-1000</v>
      </c>
      <c r="BR335">
        <f>IF(AND(CROQUIS!$C$88=1,CROQUIS!$C$91=0,CROQUIS!$C$133&gt;0,OR(CROQUIS!$C$103=1,CROQUIS!$C$145=1)),((CROQUIS!$C$160+(IF(CROQUIS!$C$92="X",CHOOSE(IF(INT(($A335-1)/5)&gt;MAX((MAX(1,INT(((CROQUIS!$C$98)-CROQUIS!$C$107)/MAX((CROQUIS!$C$133*MAX(1,CEILING((INT(((CROQUIS!$C$98)-CROQUIS!$C$107)/MAX(CROQUIS!$C$133,1))+1)/80,1))),1))+1))-1,0),0,MOD($A335-1,5))+1,0,IF(CROQUIS!$C$103=1,-12,2),CROQUIS!$C$107/2+CROQUIS!$C$143,IF(CROQUIS!$C$103=1,-12,2),0),((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BS3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+1,0,IF(CROQUIS!$C$103=1,-12,2),CROQUIS!$C$107/2+CROQUIS!$C$143,IF(CROQUIS!$C$103=1,-12,2),0)))*CROQUIS!$C$159)+IF(CROQUIS!$C$92="X",0.8,0)),-1000)</f>
        <v>-1000</v>
      </c>
      <c r="BT335">
        <f>IF(AND(CROQUIS!$C$88=1,CROQUIS!$C$91=0,CROQUIS!$C$133&gt;0,OR(CROQUIS!$C$104=1,CROQUIS!$C$145=1)),((CROQUIS!$C$160+(IF(CROQUIS!$C$92="X",CHOOSE(IF(INT(($A335-1)/5)&gt;MAX((MAX(1,INT(((CROQUIS!$C$98)-CROQUIS!$C$107)/MAX((CROQUIS!$C$133*MAX(1,CEILING((INT(((CROQUIS!$C$98)-CROQUIS!$C$107)/MAX(CROQUIS!$C$133,1))+1)/80,1))),1))+1))-1,0),0,MOD($A335-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BU3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CROQUIS!$C$97,CROQUIS!$C$97-CROQUIS!$C$107/2-CROQUIS!$C$143,IF(CROQUIS!$C$104=1,CROQUIS!$C$97+12,CROQUIS!$C$97-2),CROQUIS!$C$97-CROQUIS!$C$107/2-CROQUIS!$C$143,CROQUIS!$C$97)))*CROQUIS!$C$159)+IF(CROQUIS!$C$92="X",0.8,0)),-1000)</f>
        <v>-1000</v>
      </c>
      <c r="BV3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HOOSE(IF(INT(($A335-1)/5)&gt;MAX((MAX(1,INT(((CROQUIS!$C$97)-CROQUIS!$C$107)/MAX((CROQUIS!$C$141*MAX(1,CEILING((INT(((CROQUIS!$C$97)-CROQUIS!$C$107)/MAX(CROQUIS!$C$141,1))+1)/80,1))),1))+1))-1,0),0,MOD($A335-1,5))+1,0,IF(CROQUIS!$C$105=1,-12,2),CROQUIS!$C$107/2+CROQUIS!$C$144,IF(CROQUIS!$C$105=1,-12,2),0)))*CROQUIS!$C$159)+IF(CROQUIS!$C$92="X",0.8,0)),-1000)</f>
        <v>-1000</v>
      </c>
      <c r="BW335">
        <f>IF(AND(CROQUIS!$C$88=1,CROQUIS!$C$91=0,CROQUIS!$C$141&gt;0,OR(CROQUIS!$C$105=1,CROQUIS!$C$146=1)),((CROQUIS!$C$161+(IF(CROQUIS!$C$92="X",CHOOSE(IF(INT(($A335-1)/5)&gt;MAX((MAX(1,INT(((CROQUIS!$C$97)-CROQUIS!$C$107)/MAX((CROQUIS!$C$141*MAX(1,CEILING((INT(((CROQUIS!$C$97)-CROQUIS!$C$107)/MAX(CROQUIS!$C$141,1))+1)/80,1))),1))+1))-1,0),0,MOD($A335-1,5))+1,0,IF(CROQUIS!$C$105=1,-12,2),CROQUIS!$C$107/2+CROQUIS!$C$144,IF(CROQUIS!$C$105=1,-12,2),0),((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ROQUIS!$C$159)+IF(CROQUIS!$C$92="X",0,0.8)),-1000)</f>
        <v>-1000</v>
      </c>
      <c r="BX3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HOOSE(IF(INT(($A335-1)/5)&gt;MAX((MAX(1,INT(((CROQUIS!$C$97)-CROQUIS!$C$107)/MAX((CROQUIS!$C$141*MAX(1,CEILING((INT(((CROQUIS!$C$97)-CROQUIS!$C$107)/MAX(CROQUIS!$C$141,1))+1)/80,1))),1))+1))-1,0),0,MOD($A335-1,5))+1,CROQUIS!$C$98,CROQUIS!$C$98-CROQUIS!$C$107/2-CROQUIS!$C$144,IF(CROQUIS!$C$106=1,CROQUIS!$C$98+12,CROQUIS!$C$98-2),CROQUIS!$C$98-CROQUIS!$C$107/2-CROQUIS!$C$144,CROQUIS!$C$98)))*CROQUIS!$C$159)+IF(CROQUIS!$C$92="X",0.8,0)),-1000)</f>
        <v>-1000</v>
      </c>
      <c r="BY335">
        <f>IF(AND(CROQUIS!$C$88=1,CROQUIS!$C$91=0,CROQUIS!$C$141&gt;0,OR(CROQUIS!$C$106=1,CROQUIS!$C$146=1)),((CROQUIS!$C$161+(IF(CROQUIS!$C$92="X",CHOOSE(IF(INT(($A335-1)/5)&gt;MAX((MAX(1,INT(((CROQUIS!$C$97)-CROQUIS!$C$107)/MAX((CROQUIS!$C$141*MAX(1,CEILING((INT(((CROQUIS!$C$97)-CROQUIS!$C$107)/MAX(CROQUIS!$C$141,1))+1)/80,1))),1))+1))-1,0),0,MOD($A335-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ROQUIS!$C$159)+IF(CROQUIS!$C$92="X",0,0.8)),-1000)</f>
        <v>-1000</v>
      </c>
      <c r="BZ335">
        <f>IF(AND(CROQUIS!$C$88=1,CROQUIS!$C$91=1,CROQUIS!$C$133&gt;0),((CROQUIS!$C$160+(IF(CROQUIS!$C$92="X",CHOOSE(IF(INT(($A335-1)/5)&gt;MAX((MAX(1,INT(((CROQUIS!$C$98)-CROQUIS!$C$107)/MAX((CROQUIS!$C$133*MAX(1,CEILING((INT(((CROQUIS!$C$98)-CROQUIS!$C$107)/MAX(CROQUIS!$C$133,1))+1)/80,1))),1))+1))-1,0),0,MOD($A335-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CA335">
        <f>IF(AND(CROQUIS!$C$88=1,CROQUIS!$C$91=1,CROQUIS!$C$133&gt;0),((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6">
      <c r="A336" t="n">
        <v>329</v>
      </c>
      <c r="BN336">
        <f>IF(AND(CROQUIS!$C$88=1,CROQUIS!$C$129&gt;0),((CROQUIS!$C$160+(IF(CROQUIS!$C$92="X",CHOOSE(IF(INT(($A336-1)/5)&gt;MAX((MAX(1,INT(((CROQUIS!$C$98)-CROQUIS!$C$107)/MAX((CROQUIS!$C$129*MAX(1,CEILING((INT(((CROQUIS!$C$98)-CROQUIS!$C$107)/MAX(CROQUIS!$C$129,1))+1)/80,1))),1))+1))-1,0),0,MOD($A336-1,5))+1,0,2,CROQUIS!$C$97-2,2,0),((CROQUIS!$C$107/2+(((CROQUIS!$C$98)-CROQUIS!$C$107)-(MAX(1,INT(((CROQUIS!$C$98)-CROQUIS!$C$107)/MAX((CROQUIS!$C$129*MAX(1,CEILING((INT(((CROQUIS!$C$98)-CROQUIS!$C$107)/MAX(CROQUIS!$C$129,1))+1)/80,1))),1))+1)-1)*(CROQUIS!$C$129*MAX(1,CEILING((INT(((CROQUIS!$C$98)-CROQUIS!$C$107)/MAX(CROQUIS!$C$129,1))+1)/80,1))))/2)+MIN(INT(($A336-1)/5),MAX((MAX(1,INT(((CROQUIS!$C$98)-CROQUIS!$C$107)/MAX((CROQUIS!$C$129*MAX(1,CEILING((INT(((CROQUIS!$C$98)-CROQUIS!$C$107)/MAX(CROQUIS!$C$129,1))+1)/80,1))),1))+1))-1,0))*(CROQUIS!$C$129*MAX(1,CEILING((INT(((CROQUIS!$C$98)-CROQUIS!$C$107)/MAX(CROQUIS!$C$129,1))+1)/80,1))))))*CROQUIS!$C$159)+IF(CROQUIS!$C$92="X",0,0)),-1000)</f>
        <v>-1000</v>
      </c>
      <c r="BO336">
        <f>IF(AND(CROQUIS!$C$88=1,CROQUIS!$C$129&gt;0),((CROQUIS!$C$161+(IF(CROQUIS!$C$92="X",((CROQUIS!$C$107/2+(((CROQUIS!$C$98)-CROQUIS!$C$107)-(MAX(1,INT(((CROQUIS!$C$98)-CROQUIS!$C$107)/MAX((CROQUIS!$C$129*MAX(1,CEILING((INT(((CROQUIS!$C$98)-CROQUIS!$C$107)/MAX(CROQUIS!$C$129,1))+1)/80,1))),1))+1)-1)*(CROQUIS!$C$129*MAX(1,CEILING((INT(((CROQUIS!$C$98)-CROQUIS!$C$107)/MAX(CROQUIS!$C$129,1))+1)/80,1))))/2)+MIN(INT(($A336-1)/5),MAX((MAX(1,INT(((CROQUIS!$C$98)-CROQUIS!$C$107)/MAX((CROQUIS!$C$129*MAX(1,CEILING((INT(((CROQUIS!$C$98)-CROQUIS!$C$107)/MAX(CROQUIS!$C$129,1))+1)/80,1))),1))+1))-1,0))*(CROQUIS!$C$129*MAX(1,CEILING((INT(((CROQUIS!$C$98)-CROQUIS!$C$107)/MAX(CROQUIS!$C$129,1))+1)/80,1)))),CHOOSE(IF(INT(($A336-1)/5)&gt;MAX((MAX(1,INT(((CROQUIS!$C$98)-CROQUIS!$C$107)/MAX((CROQUIS!$C$129*MAX(1,CEILING((INT(((CROQUIS!$C$98)-CROQUIS!$C$107)/MAX(CROQUIS!$C$129,1))+1)/80,1))),1))+1))-1,0),0,MOD($A336-1,5))+1,0,2,CROQUIS!$C$97-2,2,0)))*CROQUIS!$C$159)+IF(CROQUIS!$C$92="X",0,0)),-1000)</f>
        <v>-1000</v>
      </c>
      <c r="BP336">
        <f>IF(AND(CROQUIS!$C$88=1,CROQUIS!$C$137&gt;0),((CROQUIS!$C$160+(IF(CROQUIS!$C$92="X",((CROQUIS!$C$107/2+(((CROQUIS!$C$97)-CROQUIS!$C$107)-(MAX(1,INT(((CROQUIS!$C$97)-CROQUIS!$C$107)/MAX((CROQUIS!$C$137*MAX(1,CEILING((INT(((CROQUIS!$C$97)-CROQUIS!$C$107)/MAX(CROQUIS!$C$137,1))+1)/80,1))),1))+1)-1)*(CROQUIS!$C$137*MAX(1,CEILING((INT(((CROQUIS!$C$97)-CROQUIS!$C$107)/MAX(CROQUIS!$C$137,1))+1)/80,1))))/2)+MIN(INT(($A336-1)/5),MAX((MAX(1,INT(((CROQUIS!$C$97)-CROQUIS!$C$107)/MAX((CROQUIS!$C$137*MAX(1,CEILING((INT(((CROQUIS!$C$97)-CROQUIS!$C$107)/MAX(CROQUIS!$C$137,1))+1)/80,1))),1))+1))-1,0))*(CROQUIS!$C$137*MAX(1,CEILING((INT(((CROQUIS!$C$97)-CROQUIS!$C$107)/MAX(CROQUIS!$C$137,1))+1)/80,1)))),CHOOSE(IF(INT(($A336-1)/5)&gt;MAX((MAX(1,INT(((CROQUIS!$C$97)-CROQUIS!$C$107)/MAX((CROQUIS!$C$137*MAX(1,CEILING((INT(((CROQUIS!$C$97)-CROQUIS!$C$107)/MAX(CROQUIS!$C$137,1))+1)/80,1))),1))+1))-1,0),0,MOD($A336-1,5))+1,0,2,CROQUIS!$C$98-2,2,0)))*CROQUIS!$C$159)+IF(CROQUIS!$C$92="X",0,0)),-1000)</f>
        <v>-1000</v>
      </c>
      <c r="BQ336">
        <f>IF(AND(CROQUIS!$C$88=1,CROQUIS!$C$137&gt;0),((CROQUIS!$C$161+(IF(CROQUIS!$C$92="X",CHOOSE(IF(INT(($A336-1)/5)&gt;MAX((MAX(1,INT(((CROQUIS!$C$97)-CROQUIS!$C$107)/MAX((CROQUIS!$C$137*MAX(1,CEILING((INT(((CROQUIS!$C$97)-CROQUIS!$C$107)/MAX(CROQUIS!$C$137,1))+1)/80,1))),1))+1))-1,0),0,MOD($A336-1,5))+1,0,2,CROQUIS!$C$98-2,2,0),((CROQUIS!$C$107/2+(((CROQUIS!$C$97)-CROQUIS!$C$107)-(MAX(1,INT(((CROQUIS!$C$97)-CROQUIS!$C$107)/MAX((CROQUIS!$C$137*MAX(1,CEILING((INT(((CROQUIS!$C$97)-CROQUIS!$C$107)/MAX(CROQUIS!$C$137,1))+1)/80,1))),1))+1)-1)*(CROQUIS!$C$137*MAX(1,CEILING((INT(((CROQUIS!$C$97)-CROQUIS!$C$107)/MAX(CROQUIS!$C$137,1))+1)/80,1))))/2)+MIN(INT(($A336-1)/5),MAX((MAX(1,INT(((CROQUIS!$C$97)-CROQUIS!$C$107)/MAX((CROQUIS!$C$137*MAX(1,CEILING((INT(((CROQUIS!$C$97)-CROQUIS!$C$107)/MAX(CROQUIS!$C$137,1))+1)/80,1))),1))+1))-1,0))*(CROQUIS!$C$137*MAX(1,CEILING((INT(((CROQUIS!$C$97)-CROQUIS!$C$107)/MAX(CROQUIS!$C$137,1))+1)/80,1))))))*CROQUIS!$C$159)+IF(CROQUIS!$C$92="X",0,0)),-1000)</f>
        <v>-1000</v>
      </c>
      <c r="BR336">
        <f>IF(AND(CROQUIS!$C$88=1,CROQUIS!$C$91=0,CROQUIS!$C$133&gt;0,OR(CROQUIS!$C$103=1,CROQUIS!$C$145=1)),((CROQUIS!$C$160+(IF(CROQUIS!$C$92="X",CHOOSE(IF(INT(($A336-1)/5)&gt;MAX((MAX(1,INT(((CROQUIS!$C$98)-CROQUIS!$C$107)/MAX((CROQUIS!$C$133*MAX(1,CEILING((INT(((CROQUIS!$C$98)-CROQUIS!$C$107)/MAX(CROQUIS!$C$133,1))+1)/80,1))),1))+1))-1,0),0,MOD($A336-1,5))+1,0,IF(CROQUIS!$C$103=1,-12,2),CROQUIS!$C$107/2+CROQUIS!$C$143,IF(CROQUIS!$C$103=1,-12,2),0),((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BS3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+1,0,IF(CROQUIS!$C$103=1,-12,2),CROQUIS!$C$107/2+CROQUIS!$C$143,IF(CROQUIS!$C$103=1,-12,2),0)))*CROQUIS!$C$159)+IF(CROQUIS!$C$92="X",0.8,0)),-1000)</f>
        <v>-1000</v>
      </c>
      <c r="BT336">
        <f>IF(AND(CROQUIS!$C$88=1,CROQUIS!$C$91=0,CROQUIS!$C$133&gt;0,OR(CROQUIS!$C$104=1,CROQUIS!$C$145=1)),((CROQUIS!$C$160+(IF(CROQUIS!$C$92="X",CHOOSE(IF(INT(($A336-1)/5)&gt;MAX((MAX(1,INT(((CROQUIS!$C$98)-CROQUIS!$C$107)/MAX((CROQUIS!$C$133*MAX(1,CEILING((INT(((CROQUIS!$C$98)-CROQUIS!$C$107)/MAX(CROQUIS!$C$133,1))+1)/80,1))),1))+1))-1,0),0,MOD($A336-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BU3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CROQUIS!$C$97,CROQUIS!$C$97-CROQUIS!$C$107/2-CROQUIS!$C$143,IF(CROQUIS!$C$104=1,CROQUIS!$C$97+12,CROQUIS!$C$97-2),CROQUIS!$C$97-CROQUIS!$C$107/2-CROQUIS!$C$143,CROQUIS!$C$97)))*CROQUIS!$C$159)+IF(CROQUIS!$C$92="X",0.8,0)),-1000)</f>
        <v>-1000</v>
      </c>
      <c r="BV3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HOOSE(IF(INT(($A336-1)/5)&gt;MAX((MAX(1,INT(((CROQUIS!$C$97)-CROQUIS!$C$107)/MAX((CROQUIS!$C$141*MAX(1,CEILING((INT(((CROQUIS!$C$97)-CROQUIS!$C$107)/MAX(CROQUIS!$C$141,1))+1)/80,1))),1))+1))-1,0),0,MOD($A336-1,5))+1,0,IF(CROQUIS!$C$105=1,-12,2),CROQUIS!$C$107/2+CROQUIS!$C$144,IF(CROQUIS!$C$105=1,-12,2),0)))*CROQUIS!$C$159)+IF(CROQUIS!$C$92="X",0.8,0)),-1000)</f>
        <v>-1000</v>
      </c>
      <c r="BW336">
        <f>IF(AND(CROQUIS!$C$88=1,CROQUIS!$C$91=0,CROQUIS!$C$141&gt;0,OR(CROQUIS!$C$105=1,CROQUIS!$C$146=1)),((CROQUIS!$C$161+(IF(CROQUIS!$C$92="X",CHOOSE(IF(INT(($A336-1)/5)&gt;MAX((MAX(1,INT(((CROQUIS!$C$97)-CROQUIS!$C$107)/MAX((CROQUIS!$C$141*MAX(1,CEILING((INT(((CROQUIS!$C$97)-CROQUIS!$C$107)/MAX(CROQUIS!$C$141,1))+1)/80,1))),1))+1))-1,0),0,MOD($A336-1,5))+1,0,IF(CROQUIS!$C$105=1,-12,2),CROQUIS!$C$107/2+CROQUIS!$C$144,IF(CROQUIS!$C$105=1,-12,2),0),((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ROQUIS!$C$159)+IF(CROQUIS!$C$92="X",0,0.8)),-1000)</f>
        <v>-1000</v>
      </c>
      <c r="BX3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HOOSE(IF(INT(($A336-1)/5)&gt;MAX((MAX(1,INT(((CROQUIS!$C$97)-CROQUIS!$C$107)/MAX((CROQUIS!$C$141*MAX(1,CEILING((INT(((CROQUIS!$C$97)-CROQUIS!$C$107)/MAX(CROQUIS!$C$141,1))+1)/80,1))),1))+1))-1,0),0,MOD($A336-1,5))+1,CROQUIS!$C$98,CROQUIS!$C$98-CROQUIS!$C$107/2-CROQUIS!$C$144,IF(CROQUIS!$C$106=1,CROQUIS!$C$98+12,CROQUIS!$C$98-2),CROQUIS!$C$98-CROQUIS!$C$107/2-CROQUIS!$C$144,CROQUIS!$C$98)))*CROQUIS!$C$159)+IF(CROQUIS!$C$92="X",0.8,0)),-1000)</f>
        <v>-1000</v>
      </c>
      <c r="BY336">
        <f>IF(AND(CROQUIS!$C$88=1,CROQUIS!$C$91=0,CROQUIS!$C$141&gt;0,OR(CROQUIS!$C$106=1,CROQUIS!$C$146=1)),((CROQUIS!$C$161+(IF(CROQUIS!$C$92="X",CHOOSE(IF(INT(($A336-1)/5)&gt;MAX((MAX(1,INT(((CROQUIS!$C$97)-CROQUIS!$C$107)/MAX((CROQUIS!$C$141*MAX(1,CEILING((INT(((CROQUIS!$C$97)-CROQUIS!$C$107)/MAX(CROQUIS!$C$141,1))+1)/80,1))),1))+1))-1,0),0,MOD($A336-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ROQUIS!$C$159)+IF(CROQUIS!$C$92="X",0,0.8)),-1000)</f>
        <v>-1000</v>
      </c>
      <c r="BZ336">
        <f>IF(AND(CROQUIS!$C$88=1,CROQUIS!$C$91=1,CROQUIS!$C$133&gt;0),((CROQUIS!$C$160+(IF(CROQUIS!$C$92="X",CHOOSE(IF(INT(($A336-1)/5)&gt;MAX((MAX(1,INT(((CROQUIS!$C$98)-CROQUIS!$C$107)/MAX((CROQUIS!$C$133*MAX(1,CEILING((INT(((CROQUIS!$C$98)-CROQUIS!$C$107)/MAX(CROQUIS!$C$133,1))+1)/80,1))),1))+1))-1,0),0,MOD($A336-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CA336">
        <f>IF(AND(CROQUIS!$C$88=1,CROQUIS!$C$91=1,CROQUIS!$C$133&gt;0),((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7">
      <c r="A337" t="n">
        <v>330</v>
      </c>
      <c r="BN337">
        <f>IF(AND(CROQUIS!$C$88=1,CROQUIS!$C$129&gt;0),((CROQUIS!$C$160+(IF(CROQUIS!$C$92="X",CHOOSE(IF(INT(($A337-1)/5)&gt;MAX((MAX(1,INT(((CROQUIS!$C$98)-CROQUIS!$C$107)/MAX((CROQUIS!$C$129*MAX(1,CEILING((INT(((CROQUIS!$C$98)-CROQUIS!$C$107)/MAX(CROQUIS!$C$129,1))+1)/80,1))),1))+1))-1,0),0,MOD($A337-1,5))+1,0,2,CROQUIS!$C$97-2,2,0),((CROQUIS!$C$107/2+(((CROQUIS!$C$98)-CROQUIS!$C$107)-(MAX(1,INT(((CROQUIS!$C$98)-CROQUIS!$C$107)/MAX((CROQUIS!$C$129*MAX(1,CEILING((INT(((CROQUIS!$C$98)-CROQUIS!$C$107)/MAX(CROQUIS!$C$129,1))+1)/80,1))),1))+1)-1)*(CROQUIS!$C$129*MAX(1,CEILING((INT(((CROQUIS!$C$98)-CROQUIS!$C$107)/MAX(CROQUIS!$C$129,1))+1)/80,1))))/2)+MIN(INT(($A337-1)/5),MAX((MAX(1,INT(((CROQUIS!$C$98)-CROQUIS!$C$107)/MAX((CROQUIS!$C$129*MAX(1,CEILING((INT(((CROQUIS!$C$98)-CROQUIS!$C$107)/MAX(CROQUIS!$C$129,1))+1)/80,1))),1))+1))-1,0))*(CROQUIS!$C$129*MAX(1,CEILING((INT(((CROQUIS!$C$98)-CROQUIS!$C$107)/MAX(CROQUIS!$C$129,1))+1)/80,1))))))*CROQUIS!$C$159)+IF(CROQUIS!$C$92="X",0,0)),-1000)</f>
        <v>-1000</v>
      </c>
      <c r="BO337">
        <f>IF(AND(CROQUIS!$C$88=1,CROQUIS!$C$129&gt;0),((CROQUIS!$C$161+(IF(CROQUIS!$C$92="X",((CROQUIS!$C$107/2+(((CROQUIS!$C$98)-CROQUIS!$C$107)-(MAX(1,INT(((CROQUIS!$C$98)-CROQUIS!$C$107)/MAX((CROQUIS!$C$129*MAX(1,CEILING((INT(((CROQUIS!$C$98)-CROQUIS!$C$107)/MAX(CROQUIS!$C$129,1))+1)/80,1))),1))+1)-1)*(CROQUIS!$C$129*MAX(1,CEILING((INT(((CROQUIS!$C$98)-CROQUIS!$C$107)/MAX(CROQUIS!$C$129,1))+1)/80,1))))/2)+MIN(INT(($A337-1)/5),MAX((MAX(1,INT(((CROQUIS!$C$98)-CROQUIS!$C$107)/MAX((CROQUIS!$C$129*MAX(1,CEILING((INT(((CROQUIS!$C$98)-CROQUIS!$C$107)/MAX(CROQUIS!$C$129,1))+1)/80,1))),1))+1))-1,0))*(CROQUIS!$C$129*MAX(1,CEILING((INT(((CROQUIS!$C$98)-CROQUIS!$C$107)/MAX(CROQUIS!$C$129,1))+1)/80,1)))),CHOOSE(IF(INT(($A337-1)/5)&gt;MAX((MAX(1,INT(((CROQUIS!$C$98)-CROQUIS!$C$107)/MAX((CROQUIS!$C$129*MAX(1,CEILING((INT(((CROQUIS!$C$98)-CROQUIS!$C$107)/MAX(CROQUIS!$C$129,1))+1)/80,1))),1))+1))-1,0),0,MOD($A337-1,5))+1,0,2,CROQUIS!$C$97-2,2,0)))*CROQUIS!$C$159)+IF(CROQUIS!$C$92="X",0,0)),-1000)</f>
        <v>-1000</v>
      </c>
      <c r="BP337">
        <f>IF(AND(CROQUIS!$C$88=1,CROQUIS!$C$137&gt;0),((CROQUIS!$C$160+(IF(CROQUIS!$C$92="X",((CROQUIS!$C$107/2+(((CROQUIS!$C$97)-CROQUIS!$C$107)-(MAX(1,INT(((CROQUIS!$C$97)-CROQUIS!$C$107)/MAX((CROQUIS!$C$137*MAX(1,CEILING((INT(((CROQUIS!$C$97)-CROQUIS!$C$107)/MAX(CROQUIS!$C$137,1))+1)/80,1))),1))+1)-1)*(CROQUIS!$C$137*MAX(1,CEILING((INT(((CROQUIS!$C$97)-CROQUIS!$C$107)/MAX(CROQUIS!$C$137,1))+1)/80,1))))/2)+MIN(INT(($A337-1)/5),MAX((MAX(1,INT(((CROQUIS!$C$97)-CROQUIS!$C$107)/MAX((CROQUIS!$C$137*MAX(1,CEILING((INT(((CROQUIS!$C$97)-CROQUIS!$C$107)/MAX(CROQUIS!$C$137,1))+1)/80,1))),1))+1))-1,0))*(CROQUIS!$C$137*MAX(1,CEILING((INT(((CROQUIS!$C$97)-CROQUIS!$C$107)/MAX(CROQUIS!$C$137,1))+1)/80,1)))),CHOOSE(IF(INT(($A337-1)/5)&gt;MAX((MAX(1,INT(((CROQUIS!$C$97)-CROQUIS!$C$107)/MAX((CROQUIS!$C$137*MAX(1,CEILING((INT(((CROQUIS!$C$97)-CROQUIS!$C$107)/MAX(CROQUIS!$C$137,1))+1)/80,1))),1))+1))-1,0),0,MOD($A337-1,5))+1,0,2,CROQUIS!$C$98-2,2,0)))*CROQUIS!$C$159)+IF(CROQUIS!$C$92="X",0,0)),-1000)</f>
        <v>-1000</v>
      </c>
      <c r="BQ337">
        <f>IF(AND(CROQUIS!$C$88=1,CROQUIS!$C$137&gt;0),((CROQUIS!$C$161+(IF(CROQUIS!$C$92="X",CHOOSE(IF(INT(($A337-1)/5)&gt;MAX((MAX(1,INT(((CROQUIS!$C$97)-CROQUIS!$C$107)/MAX((CROQUIS!$C$137*MAX(1,CEILING((INT(((CROQUIS!$C$97)-CROQUIS!$C$107)/MAX(CROQUIS!$C$137,1))+1)/80,1))),1))+1))-1,0),0,MOD($A337-1,5))+1,0,2,CROQUIS!$C$98-2,2,0),((CROQUIS!$C$107/2+(((CROQUIS!$C$97)-CROQUIS!$C$107)-(MAX(1,INT(((CROQUIS!$C$97)-CROQUIS!$C$107)/MAX((CROQUIS!$C$137*MAX(1,CEILING((INT(((CROQUIS!$C$97)-CROQUIS!$C$107)/MAX(CROQUIS!$C$137,1))+1)/80,1))),1))+1)-1)*(CROQUIS!$C$137*MAX(1,CEILING((INT(((CROQUIS!$C$97)-CROQUIS!$C$107)/MAX(CROQUIS!$C$137,1))+1)/80,1))))/2)+MIN(INT(($A337-1)/5),MAX((MAX(1,INT(((CROQUIS!$C$97)-CROQUIS!$C$107)/MAX((CROQUIS!$C$137*MAX(1,CEILING((INT(((CROQUIS!$C$97)-CROQUIS!$C$107)/MAX(CROQUIS!$C$137,1))+1)/80,1))),1))+1))-1,0))*(CROQUIS!$C$137*MAX(1,CEILING((INT(((CROQUIS!$C$97)-CROQUIS!$C$107)/MAX(CROQUIS!$C$137,1))+1)/80,1))))))*CROQUIS!$C$159)+IF(CROQUIS!$C$92="X",0,0)),-1000)</f>
        <v>-1000</v>
      </c>
      <c r="BR337">
        <f>IF(AND(CROQUIS!$C$88=1,CROQUIS!$C$91=0,CROQUIS!$C$133&gt;0,OR(CROQUIS!$C$103=1,CROQUIS!$C$145=1)),((CROQUIS!$C$160+(IF(CROQUIS!$C$92="X",CHOOSE(IF(INT(($A337-1)/5)&gt;MAX((MAX(1,INT(((CROQUIS!$C$98)-CROQUIS!$C$107)/MAX((CROQUIS!$C$133*MAX(1,CEILING((INT(((CROQUIS!$C$98)-CROQUIS!$C$107)/MAX(CROQUIS!$C$133,1))+1)/80,1))),1))+1))-1,0),0,MOD($A337-1,5))+1,0,IF(CROQUIS!$C$103=1,-12,2),CROQUIS!$C$107/2+CROQUIS!$C$143,IF(CROQUIS!$C$103=1,-12,2),0),((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BS3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+1,0,IF(CROQUIS!$C$103=1,-12,2),CROQUIS!$C$107/2+CROQUIS!$C$143,IF(CROQUIS!$C$103=1,-12,2),0)))*CROQUIS!$C$159)+IF(CROQUIS!$C$92="X",0.8,0)),-1000)</f>
        <v>-1000</v>
      </c>
      <c r="BT337">
        <f>IF(AND(CROQUIS!$C$88=1,CROQUIS!$C$91=0,CROQUIS!$C$133&gt;0,OR(CROQUIS!$C$104=1,CROQUIS!$C$145=1)),((CROQUIS!$C$160+(IF(CROQUIS!$C$92="X",CHOOSE(IF(INT(($A337-1)/5)&gt;MAX((MAX(1,INT(((CROQUIS!$C$98)-CROQUIS!$C$107)/MAX((CROQUIS!$C$133*MAX(1,CEILING((INT(((CROQUIS!$C$98)-CROQUIS!$C$107)/MAX(CROQUIS!$C$133,1))+1)/80,1))),1))+1))-1,0),0,MOD($A337-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BU3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CROQUIS!$C$97,CROQUIS!$C$97-CROQUIS!$C$107/2-CROQUIS!$C$143,IF(CROQUIS!$C$104=1,CROQUIS!$C$97+12,CROQUIS!$C$97-2),CROQUIS!$C$97-CROQUIS!$C$107/2-CROQUIS!$C$143,CROQUIS!$C$97)))*CROQUIS!$C$159)+IF(CROQUIS!$C$92="X",0.8,0)),-1000)</f>
        <v>-1000</v>
      </c>
      <c r="BV3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HOOSE(IF(INT(($A337-1)/5)&gt;MAX((MAX(1,INT(((CROQUIS!$C$97)-CROQUIS!$C$107)/MAX((CROQUIS!$C$141*MAX(1,CEILING((INT(((CROQUIS!$C$97)-CROQUIS!$C$107)/MAX(CROQUIS!$C$141,1))+1)/80,1))),1))+1))-1,0),0,MOD($A337-1,5))+1,0,IF(CROQUIS!$C$105=1,-12,2),CROQUIS!$C$107/2+CROQUIS!$C$144,IF(CROQUIS!$C$105=1,-12,2),0)))*CROQUIS!$C$159)+IF(CROQUIS!$C$92="X",0.8,0)),-1000)</f>
        <v>-1000</v>
      </c>
      <c r="BW337">
        <f>IF(AND(CROQUIS!$C$88=1,CROQUIS!$C$91=0,CROQUIS!$C$141&gt;0,OR(CROQUIS!$C$105=1,CROQUIS!$C$146=1)),((CROQUIS!$C$161+(IF(CROQUIS!$C$92="X",CHOOSE(IF(INT(($A337-1)/5)&gt;MAX((MAX(1,INT(((CROQUIS!$C$97)-CROQUIS!$C$107)/MAX((CROQUIS!$C$141*MAX(1,CEILING((INT(((CROQUIS!$C$97)-CROQUIS!$C$107)/MAX(CROQUIS!$C$141,1))+1)/80,1))),1))+1))-1,0),0,MOD($A337-1,5))+1,0,IF(CROQUIS!$C$105=1,-12,2),CROQUIS!$C$107/2+CROQUIS!$C$144,IF(CROQUIS!$C$105=1,-12,2),0),((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ROQUIS!$C$159)+IF(CROQUIS!$C$92="X",0,0.8)),-1000)</f>
        <v>-1000</v>
      </c>
      <c r="BX3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HOOSE(IF(INT(($A337-1)/5)&gt;MAX((MAX(1,INT(((CROQUIS!$C$97)-CROQUIS!$C$107)/MAX((CROQUIS!$C$141*MAX(1,CEILING((INT(((CROQUIS!$C$97)-CROQUIS!$C$107)/MAX(CROQUIS!$C$141,1))+1)/80,1))),1))+1))-1,0),0,MOD($A337-1,5))+1,CROQUIS!$C$98,CROQUIS!$C$98-CROQUIS!$C$107/2-CROQUIS!$C$144,IF(CROQUIS!$C$106=1,CROQUIS!$C$98+12,CROQUIS!$C$98-2),CROQUIS!$C$98-CROQUIS!$C$107/2-CROQUIS!$C$144,CROQUIS!$C$98)))*CROQUIS!$C$159)+IF(CROQUIS!$C$92="X",0.8,0)),-1000)</f>
        <v>-1000</v>
      </c>
      <c r="BY337">
        <f>IF(AND(CROQUIS!$C$88=1,CROQUIS!$C$91=0,CROQUIS!$C$141&gt;0,OR(CROQUIS!$C$106=1,CROQUIS!$C$146=1)),((CROQUIS!$C$161+(IF(CROQUIS!$C$92="X",CHOOSE(IF(INT(($A337-1)/5)&gt;MAX((MAX(1,INT(((CROQUIS!$C$97)-CROQUIS!$C$107)/MAX((CROQUIS!$C$141*MAX(1,CEILING((INT(((CROQUIS!$C$97)-CROQUIS!$C$107)/MAX(CROQUIS!$C$141,1))+1)/80,1))),1))+1))-1,0),0,MOD($A337-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ROQUIS!$C$159)+IF(CROQUIS!$C$92="X",0,0.8)),-1000)</f>
        <v>-1000</v>
      </c>
      <c r="BZ337">
        <f>IF(AND(CROQUIS!$C$88=1,CROQUIS!$C$91=1,CROQUIS!$C$133&gt;0),((CROQUIS!$C$160+(IF(CROQUIS!$C$92="X",CHOOSE(IF(INT(($A337-1)/5)&gt;MAX((MAX(1,INT(((CROQUIS!$C$98)-CROQUIS!$C$107)/MAX((CROQUIS!$C$133*MAX(1,CEILING((INT(((CROQUIS!$C$98)-CROQUIS!$C$107)/MAX(CROQUIS!$C$133,1))+1)/80,1))),1))+1))-1,0),0,MOD($A337-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CA337">
        <f>IF(AND(CROQUIS!$C$88=1,CROQUIS!$C$91=1,CROQUIS!$C$133&gt;0),((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8">
      <c r="A338" t="n">
        <v>331</v>
      </c>
      <c r="BN338">
        <f>IF(AND(CROQUIS!$C$88=1,CROQUIS!$C$129&gt;0),((CROQUIS!$C$160+(IF(CROQUIS!$C$92="X",CHOOSE(IF(INT(($A338-1)/5)&gt;MAX((MAX(1,INT(((CROQUIS!$C$98)-CROQUIS!$C$107)/MAX((CROQUIS!$C$129*MAX(1,CEILING((INT(((CROQUIS!$C$98)-CROQUIS!$C$107)/MAX(CROQUIS!$C$129,1))+1)/80,1))),1))+1))-1,0),0,MOD($A338-1,5))+1,0,2,CROQUIS!$C$97-2,2,0),((CROQUIS!$C$107/2+(((CROQUIS!$C$98)-CROQUIS!$C$107)-(MAX(1,INT(((CROQUIS!$C$98)-CROQUIS!$C$107)/MAX((CROQUIS!$C$129*MAX(1,CEILING((INT(((CROQUIS!$C$98)-CROQUIS!$C$107)/MAX(CROQUIS!$C$129,1))+1)/80,1))),1))+1)-1)*(CROQUIS!$C$129*MAX(1,CEILING((INT(((CROQUIS!$C$98)-CROQUIS!$C$107)/MAX(CROQUIS!$C$129,1))+1)/80,1))))/2)+MIN(INT(($A338-1)/5),MAX((MAX(1,INT(((CROQUIS!$C$98)-CROQUIS!$C$107)/MAX((CROQUIS!$C$129*MAX(1,CEILING((INT(((CROQUIS!$C$98)-CROQUIS!$C$107)/MAX(CROQUIS!$C$129,1))+1)/80,1))),1))+1))-1,0))*(CROQUIS!$C$129*MAX(1,CEILING((INT(((CROQUIS!$C$98)-CROQUIS!$C$107)/MAX(CROQUIS!$C$129,1))+1)/80,1))))))*CROQUIS!$C$159)+IF(CROQUIS!$C$92="X",0,0)),-1000)</f>
        <v>-1000</v>
      </c>
      <c r="BO338">
        <f>IF(AND(CROQUIS!$C$88=1,CROQUIS!$C$129&gt;0),((CROQUIS!$C$161+(IF(CROQUIS!$C$92="X",((CROQUIS!$C$107/2+(((CROQUIS!$C$98)-CROQUIS!$C$107)-(MAX(1,INT(((CROQUIS!$C$98)-CROQUIS!$C$107)/MAX((CROQUIS!$C$129*MAX(1,CEILING((INT(((CROQUIS!$C$98)-CROQUIS!$C$107)/MAX(CROQUIS!$C$129,1))+1)/80,1))),1))+1)-1)*(CROQUIS!$C$129*MAX(1,CEILING((INT(((CROQUIS!$C$98)-CROQUIS!$C$107)/MAX(CROQUIS!$C$129,1))+1)/80,1))))/2)+MIN(INT(($A338-1)/5),MAX((MAX(1,INT(((CROQUIS!$C$98)-CROQUIS!$C$107)/MAX((CROQUIS!$C$129*MAX(1,CEILING((INT(((CROQUIS!$C$98)-CROQUIS!$C$107)/MAX(CROQUIS!$C$129,1))+1)/80,1))),1))+1))-1,0))*(CROQUIS!$C$129*MAX(1,CEILING((INT(((CROQUIS!$C$98)-CROQUIS!$C$107)/MAX(CROQUIS!$C$129,1))+1)/80,1)))),CHOOSE(IF(INT(($A338-1)/5)&gt;MAX((MAX(1,INT(((CROQUIS!$C$98)-CROQUIS!$C$107)/MAX((CROQUIS!$C$129*MAX(1,CEILING((INT(((CROQUIS!$C$98)-CROQUIS!$C$107)/MAX(CROQUIS!$C$129,1))+1)/80,1))),1))+1))-1,0),0,MOD($A338-1,5))+1,0,2,CROQUIS!$C$97-2,2,0)))*CROQUIS!$C$159)+IF(CROQUIS!$C$92="X",0,0)),-1000)</f>
        <v>-1000</v>
      </c>
      <c r="BP338">
        <f>IF(AND(CROQUIS!$C$88=1,CROQUIS!$C$137&gt;0),((CROQUIS!$C$160+(IF(CROQUIS!$C$92="X",((CROQUIS!$C$107/2+(((CROQUIS!$C$97)-CROQUIS!$C$107)-(MAX(1,INT(((CROQUIS!$C$97)-CROQUIS!$C$107)/MAX((CROQUIS!$C$137*MAX(1,CEILING((INT(((CROQUIS!$C$97)-CROQUIS!$C$107)/MAX(CROQUIS!$C$137,1))+1)/80,1))),1))+1)-1)*(CROQUIS!$C$137*MAX(1,CEILING((INT(((CROQUIS!$C$97)-CROQUIS!$C$107)/MAX(CROQUIS!$C$137,1))+1)/80,1))))/2)+MIN(INT(($A338-1)/5),MAX((MAX(1,INT(((CROQUIS!$C$97)-CROQUIS!$C$107)/MAX((CROQUIS!$C$137*MAX(1,CEILING((INT(((CROQUIS!$C$97)-CROQUIS!$C$107)/MAX(CROQUIS!$C$137,1))+1)/80,1))),1))+1))-1,0))*(CROQUIS!$C$137*MAX(1,CEILING((INT(((CROQUIS!$C$97)-CROQUIS!$C$107)/MAX(CROQUIS!$C$137,1))+1)/80,1)))),CHOOSE(IF(INT(($A338-1)/5)&gt;MAX((MAX(1,INT(((CROQUIS!$C$97)-CROQUIS!$C$107)/MAX((CROQUIS!$C$137*MAX(1,CEILING((INT(((CROQUIS!$C$97)-CROQUIS!$C$107)/MAX(CROQUIS!$C$137,1))+1)/80,1))),1))+1))-1,0),0,MOD($A338-1,5))+1,0,2,CROQUIS!$C$98-2,2,0)))*CROQUIS!$C$159)+IF(CROQUIS!$C$92="X",0,0)),-1000)</f>
        <v>-1000</v>
      </c>
      <c r="BQ338">
        <f>IF(AND(CROQUIS!$C$88=1,CROQUIS!$C$137&gt;0),((CROQUIS!$C$161+(IF(CROQUIS!$C$92="X",CHOOSE(IF(INT(($A338-1)/5)&gt;MAX((MAX(1,INT(((CROQUIS!$C$97)-CROQUIS!$C$107)/MAX((CROQUIS!$C$137*MAX(1,CEILING((INT(((CROQUIS!$C$97)-CROQUIS!$C$107)/MAX(CROQUIS!$C$137,1))+1)/80,1))),1))+1))-1,0),0,MOD($A338-1,5))+1,0,2,CROQUIS!$C$98-2,2,0),((CROQUIS!$C$107/2+(((CROQUIS!$C$97)-CROQUIS!$C$107)-(MAX(1,INT(((CROQUIS!$C$97)-CROQUIS!$C$107)/MAX((CROQUIS!$C$137*MAX(1,CEILING((INT(((CROQUIS!$C$97)-CROQUIS!$C$107)/MAX(CROQUIS!$C$137,1))+1)/80,1))),1))+1)-1)*(CROQUIS!$C$137*MAX(1,CEILING((INT(((CROQUIS!$C$97)-CROQUIS!$C$107)/MAX(CROQUIS!$C$137,1))+1)/80,1))))/2)+MIN(INT(($A338-1)/5),MAX((MAX(1,INT(((CROQUIS!$C$97)-CROQUIS!$C$107)/MAX((CROQUIS!$C$137*MAX(1,CEILING((INT(((CROQUIS!$C$97)-CROQUIS!$C$107)/MAX(CROQUIS!$C$137,1))+1)/80,1))),1))+1))-1,0))*(CROQUIS!$C$137*MAX(1,CEILING((INT(((CROQUIS!$C$97)-CROQUIS!$C$107)/MAX(CROQUIS!$C$137,1))+1)/80,1))))))*CROQUIS!$C$159)+IF(CROQUIS!$C$92="X",0,0)),-1000)</f>
        <v>-1000</v>
      </c>
      <c r="BR338">
        <f>IF(AND(CROQUIS!$C$88=1,CROQUIS!$C$91=0,CROQUIS!$C$133&gt;0,OR(CROQUIS!$C$103=1,CROQUIS!$C$145=1)),((CROQUIS!$C$160+(IF(CROQUIS!$C$92="X",CHOOSE(IF(INT(($A338-1)/5)&gt;MAX((MAX(1,INT(((CROQUIS!$C$98)-CROQUIS!$C$107)/MAX((CROQUIS!$C$133*MAX(1,CEILING((INT(((CROQUIS!$C$98)-CROQUIS!$C$107)/MAX(CROQUIS!$C$133,1))+1)/80,1))),1))+1))-1,0),0,MOD($A338-1,5))+1,0,IF(CROQUIS!$C$103=1,-12,2),CROQUIS!$C$107/2+CROQUIS!$C$143,IF(CROQUIS!$C$103=1,-12,2),0),((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BS3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+1,0,IF(CROQUIS!$C$103=1,-12,2),CROQUIS!$C$107/2+CROQUIS!$C$143,IF(CROQUIS!$C$103=1,-12,2),0)))*CROQUIS!$C$159)+IF(CROQUIS!$C$92="X",0.8,0)),-1000)</f>
        <v>-1000</v>
      </c>
      <c r="BT338">
        <f>IF(AND(CROQUIS!$C$88=1,CROQUIS!$C$91=0,CROQUIS!$C$133&gt;0,OR(CROQUIS!$C$104=1,CROQUIS!$C$145=1)),((CROQUIS!$C$160+(IF(CROQUIS!$C$92="X",CHOOSE(IF(INT(($A338-1)/5)&gt;MAX((MAX(1,INT(((CROQUIS!$C$98)-CROQUIS!$C$107)/MAX((CROQUIS!$C$133*MAX(1,CEILING((INT(((CROQUIS!$C$98)-CROQUIS!$C$107)/MAX(CROQUIS!$C$133,1))+1)/80,1))),1))+1))-1,0),0,MOD($A338-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BU3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CROQUIS!$C$97,CROQUIS!$C$97-CROQUIS!$C$107/2-CROQUIS!$C$143,IF(CROQUIS!$C$104=1,CROQUIS!$C$97+12,CROQUIS!$C$97-2),CROQUIS!$C$97-CROQUIS!$C$107/2-CROQUIS!$C$143,CROQUIS!$C$97)))*CROQUIS!$C$159)+IF(CROQUIS!$C$92="X",0.8,0)),-1000)</f>
        <v>-1000</v>
      </c>
      <c r="BV3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HOOSE(IF(INT(($A338-1)/5)&gt;MAX((MAX(1,INT(((CROQUIS!$C$97)-CROQUIS!$C$107)/MAX((CROQUIS!$C$141*MAX(1,CEILING((INT(((CROQUIS!$C$97)-CROQUIS!$C$107)/MAX(CROQUIS!$C$141,1))+1)/80,1))),1))+1))-1,0),0,MOD($A338-1,5))+1,0,IF(CROQUIS!$C$105=1,-12,2),CROQUIS!$C$107/2+CROQUIS!$C$144,IF(CROQUIS!$C$105=1,-12,2),0)))*CROQUIS!$C$159)+IF(CROQUIS!$C$92="X",0.8,0)),-1000)</f>
        <v>-1000</v>
      </c>
      <c r="BW338">
        <f>IF(AND(CROQUIS!$C$88=1,CROQUIS!$C$91=0,CROQUIS!$C$141&gt;0,OR(CROQUIS!$C$105=1,CROQUIS!$C$146=1)),((CROQUIS!$C$161+(IF(CROQUIS!$C$92="X",CHOOSE(IF(INT(($A338-1)/5)&gt;MAX((MAX(1,INT(((CROQUIS!$C$97)-CROQUIS!$C$107)/MAX((CROQUIS!$C$141*MAX(1,CEILING((INT(((CROQUIS!$C$97)-CROQUIS!$C$107)/MAX(CROQUIS!$C$141,1))+1)/80,1))),1))+1))-1,0),0,MOD($A338-1,5))+1,0,IF(CROQUIS!$C$105=1,-12,2),CROQUIS!$C$107/2+CROQUIS!$C$144,IF(CROQUIS!$C$105=1,-12,2),0),((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ROQUIS!$C$159)+IF(CROQUIS!$C$92="X",0,0.8)),-1000)</f>
        <v>-1000</v>
      </c>
      <c r="BX3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HOOSE(IF(INT(($A338-1)/5)&gt;MAX((MAX(1,INT(((CROQUIS!$C$97)-CROQUIS!$C$107)/MAX((CROQUIS!$C$141*MAX(1,CEILING((INT(((CROQUIS!$C$97)-CROQUIS!$C$107)/MAX(CROQUIS!$C$141,1))+1)/80,1))),1))+1))-1,0),0,MOD($A338-1,5))+1,CROQUIS!$C$98,CROQUIS!$C$98-CROQUIS!$C$107/2-CROQUIS!$C$144,IF(CROQUIS!$C$106=1,CROQUIS!$C$98+12,CROQUIS!$C$98-2),CROQUIS!$C$98-CROQUIS!$C$107/2-CROQUIS!$C$144,CROQUIS!$C$98)))*CROQUIS!$C$159)+IF(CROQUIS!$C$92="X",0.8,0)),-1000)</f>
        <v>-1000</v>
      </c>
      <c r="BY338">
        <f>IF(AND(CROQUIS!$C$88=1,CROQUIS!$C$91=0,CROQUIS!$C$141&gt;0,OR(CROQUIS!$C$106=1,CROQUIS!$C$146=1)),((CROQUIS!$C$161+(IF(CROQUIS!$C$92="X",CHOOSE(IF(INT(($A338-1)/5)&gt;MAX((MAX(1,INT(((CROQUIS!$C$97)-CROQUIS!$C$107)/MAX((CROQUIS!$C$141*MAX(1,CEILING((INT(((CROQUIS!$C$97)-CROQUIS!$C$107)/MAX(CROQUIS!$C$141,1))+1)/80,1))),1))+1))-1,0),0,MOD($A338-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ROQUIS!$C$159)+IF(CROQUIS!$C$92="X",0,0.8)),-1000)</f>
        <v>-1000</v>
      </c>
      <c r="BZ338">
        <f>IF(AND(CROQUIS!$C$88=1,CROQUIS!$C$91=1,CROQUIS!$C$133&gt;0),((CROQUIS!$C$160+(IF(CROQUIS!$C$92="X",CHOOSE(IF(INT(($A338-1)/5)&gt;MAX((MAX(1,INT(((CROQUIS!$C$98)-CROQUIS!$C$107)/MAX((CROQUIS!$C$133*MAX(1,CEILING((INT(((CROQUIS!$C$98)-CROQUIS!$C$107)/MAX(CROQUIS!$C$133,1))+1)/80,1))),1))+1))-1,0),0,MOD($A338-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CA338">
        <f>IF(AND(CROQUIS!$C$88=1,CROQUIS!$C$91=1,CROQUIS!$C$133&gt;0),((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9">
      <c r="A339" t="n">
        <v>332</v>
      </c>
      <c r="BN339">
        <f>IF(AND(CROQUIS!$C$88=1,CROQUIS!$C$129&gt;0),((CROQUIS!$C$160+(IF(CROQUIS!$C$92="X",CHOOSE(IF(INT(($A339-1)/5)&gt;MAX((MAX(1,INT(((CROQUIS!$C$98)-CROQUIS!$C$107)/MAX((CROQUIS!$C$129*MAX(1,CEILING((INT(((CROQUIS!$C$98)-CROQUIS!$C$107)/MAX(CROQUIS!$C$129,1))+1)/80,1))),1))+1))-1,0),0,MOD($A339-1,5))+1,0,2,CROQUIS!$C$97-2,2,0),((CROQUIS!$C$107/2+(((CROQUIS!$C$98)-CROQUIS!$C$107)-(MAX(1,INT(((CROQUIS!$C$98)-CROQUIS!$C$107)/MAX((CROQUIS!$C$129*MAX(1,CEILING((INT(((CROQUIS!$C$98)-CROQUIS!$C$107)/MAX(CROQUIS!$C$129,1))+1)/80,1))),1))+1)-1)*(CROQUIS!$C$129*MAX(1,CEILING((INT(((CROQUIS!$C$98)-CROQUIS!$C$107)/MAX(CROQUIS!$C$129,1))+1)/80,1))))/2)+MIN(INT(($A339-1)/5),MAX((MAX(1,INT(((CROQUIS!$C$98)-CROQUIS!$C$107)/MAX((CROQUIS!$C$129*MAX(1,CEILING((INT(((CROQUIS!$C$98)-CROQUIS!$C$107)/MAX(CROQUIS!$C$129,1))+1)/80,1))),1))+1))-1,0))*(CROQUIS!$C$129*MAX(1,CEILING((INT(((CROQUIS!$C$98)-CROQUIS!$C$107)/MAX(CROQUIS!$C$129,1))+1)/80,1))))))*CROQUIS!$C$159)+IF(CROQUIS!$C$92="X",0,0)),-1000)</f>
        <v>-1000</v>
      </c>
      <c r="BO339">
        <f>IF(AND(CROQUIS!$C$88=1,CROQUIS!$C$129&gt;0),((CROQUIS!$C$161+(IF(CROQUIS!$C$92="X",((CROQUIS!$C$107/2+(((CROQUIS!$C$98)-CROQUIS!$C$107)-(MAX(1,INT(((CROQUIS!$C$98)-CROQUIS!$C$107)/MAX((CROQUIS!$C$129*MAX(1,CEILING((INT(((CROQUIS!$C$98)-CROQUIS!$C$107)/MAX(CROQUIS!$C$129,1))+1)/80,1))),1))+1)-1)*(CROQUIS!$C$129*MAX(1,CEILING((INT(((CROQUIS!$C$98)-CROQUIS!$C$107)/MAX(CROQUIS!$C$129,1))+1)/80,1))))/2)+MIN(INT(($A339-1)/5),MAX((MAX(1,INT(((CROQUIS!$C$98)-CROQUIS!$C$107)/MAX((CROQUIS!$C$129*MAX(1,CEILING((INT(((CROQUIS!$C$98)-CROQUIS!$C$107)/MAX(CROQUIS!$C$129,1))+1)/80,1))),1))+1))-1,0))*(CROQUIS!$C$129*MAX(1,CEILING((INT(((CROQUIS!$C$98)-CROQUIS!$C$107)/MAX(CROQUIS!$C$129,1))+1)/80,1)))),CHOOSE(IF(INT(($A339-1)/5)&gt;MAX((MAX(1,INT(((CROQUIS!$C$98)-CROQUIS!$C$107)/MAX((CROQUIS!$C$129*MAX(1,CEILING((INT(((CROQUIS!$C$98)-CROQUIS!$C$107)/MAX(CROQUIS!$C$129,1))+1)/80,1))),1))+1))-1,0),0,MOD($A339-1,5))+1,0,2,CROQUIS!$C$97-2,2,0)))*CROQUIS!$C$159)+IF(CROQUIS!$C$92="X",0,0)),-1000)</f>
        <v>-1000</v>
      </c>
      <c r="BP339">
        <f>IF(AND(CROQUIS!$C$88=1,CROQUIS!$C$137&gt;0),((CROQUIS!$C$160+(IF(CROQUIS!$C$92="X",((CROQUIS!$C$107/2+(((CROQUIS!$C$97)-CROQUIS!$C$107)-(MAX(1,INT(((CROQUIS!$C$97)-CROQUIS!$C$107)/MAX((CROQUIS!$C$137*MAX(1,CEILING((INT(((CROQUIS!$C$97)-CROQUIS!$C$107)/MAX(CROQUIS!$C$137,1))+1)/80,1))),1))+1)-1)*(CROQUIS!$C$137*MAX(1,CEILING((INT(((CROQUIS!$C$97)-CROQUIS!$C$107)/MAX(CROQUIS!$C$137,1))+1)/80,1))))/2)+MIN(INT(($A339-1)/5),MAX((MAX(1,INT(((CROQUIS!$C$97)-CROQUIS!$C$107)/MAX((CROQUIS!$C$137*MAX(1,CEILING((INT(((CROQUIS!$C$97)-CROQUIS!$C$107)/MAX(CROQUIS!$C$137,1))+1)/80,1))),1))+1))-1,0))*(CROQUIS!$C$137*MAX(1,CEILING((INT(((CROQUIS!$C$97)-CROQUIS!$C$107)/MAX(CROQUIS!$C$137,1))+1)/80,1)))),CHOOSE(IF(INT(($A339-1)/5)&gt;MAX((MAX(1,INT(((CROQUIS!$C$97)-CROQUIS!$C$107)/MAX((CROQUIS!$C$137*MAX(1,CEILING((INT(((CROQUIS!$C$97)-CROQUIS!$C$107)/MAX(CROQUIS!$C$137,1))+1)/80,1))),1))+1))-1,0),0,MOD($A339-1,5))+1,0,2,CROQUIS!$C$98-2,2,0)))*CROQUIS!$C$159)+IF(CROQUIS!$C$92="X",0,0)),-1000)</f>
        <v>-1000</v>
      </c>
      <c r="BQ339">
        <f>IF(AND(CROQUIS!$C$88=1,CROQUIS!$C$137&gt;0),((CROQUIS!$C$161+(IF(CROQUIS!$C$92="X",CHOOSE(IF(INT(($A339-1)/5)&gt;MAX((MAX(1,INT(((CROQUIS!$C$97)-CROQUIS!$C$107)/MAX((CROQUIS!$C$137*MAX(1,CEILING((INT(((CROQUIS!$C$97)-CROQUIS!$C$107)/MAX(CROQUIS!$C$137,1))+1)/80,1))),1))+1))-1,0),0,MOD($A339-1,5))+1,0,2,CROQUIS!$C$98-2,2,0),((CROQUIS!$C$107/2+(((CROQUIS!$C$97)-CROQUIS!$C$107)-(MAX(1,INT(((CROQUIS!$C$97)-CROQUIS!$C$107)/MAX((CROQUIS!$C$137*MAX(1,CEILING((INT(((CROQUIS!$C$97)-CROQUIS!$C$107)/MAX(CROQUIS!$C$137,1))+1)/80,1))),1))+1)-1)*(CROQUIS!$C$137*MAX(1,CEILING((INT(((CROQUIS!$C$97)-CROQUIS!$C$107)/MAX(CROQUIS!$C$137,1))+1)/80,1))))/2)+MIN(INT(($A339-1)/5),MAX((MAX(1,INT(((CROQUIS!$C$97)-CROQUIS!$C$107)/MAX((CROQUIS!$C$137*MAX(1,CEILING((INT(((CROQUIS!$C$97)-CROQUIS!$C$107)/MAX(CROQUIS!$C$137,1))+1)/80,1))),1))+1))-1,0))*(CROQUIS!$C$137*MAX(1,CEILING((INT(((CROQUIS!$C$97)-CROQUIS!$C$107)/MAX(CROQUIS!$C$137,1))+1)/80,1))))))*CROQUIS!$C$159)+IF(CROQUIS!$C$92="X",0,0)),-1000)</f>
        <v>-1000</v>
      </c>
      <c r="BR339">
        <f>IF(AND(CROQUIS!$C$88=1,CROQUIS!$C$91=0,CROQUIS!$C$133&gt;0,OR(CROQUIS!$C$103=1,CROQUIS!$C$145=1)),((CROQUIS!$C$160+(IF(CROQUIS!$C$92="X",CHOOSE(IF(INT(($A339-1)/5)&gt;MAX((MAX(1,INT(((CROQUIS!$C$98)-CROQUIS!$C$107)/MAX((CROQUIS!$C$133*MAX(1,CEILING((INT(((CROQUIS!$C$98)-CROQUIS!$C$107)/MAX(CROQUIS!$C$133,1))+1)/80,1))),1))+1))-1,0),0,MOD($A339-1,5))+1,0,IF(CROQUIS!$C$103=1,-12,2),CROQUIS!$C$107/2+CROQUIS!$C$143,IF(CROQUIS!$C$103=1,-12,2),0),((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BS3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+1,0,IF(CROQUIS!$C$103=1,-12,2),CROQUIS!$C$107/2+CROQUIS!$C$143,IF(CROQUIS!$C$103=1,-12,2),0)))*CROQUIS!$C$159)+IF(CROQUIS!$C$92="X",0.8,0)),-1000)</f>
        <v>-1000</v>
      </c>
      <c r="BT339">
        <f>IF(AND(CROQUIS!$C$88=1,CROQUIS!$C$91=0,CROQUIS!$C$133&gt;0,OR(CROQUIS!$C$104=1,CROQUIS!$C$145=1)),((CROQUIS!$C$160+(IF(CROQUIS!$C$92="X",CHOOSE(IF(INT(($A339-1)/5)&gt;MAX((MAX(1,INT(((CROQUIS!$C$98)-CROQUIS!$C$107)/MAX((CROQUIS!$C$133*MAX(1,CEILING((INT(((CROQUIS!$C$98)-CROQUIS!$C$107)/MAX(CROQUIS!$C$133,1))+1)/80,1))),1))+1))-1,0),0,MOD($A339-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BU3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CROQUIS!$C$97,CROQUIS!$C$97-CROQUIS!$C$107/2-CROQUIS!$C$143,IF(CROQUIS!$C$104=1,CROQUIS!$C$97+12,CROQUIS!$C$97-2),CROQUIS!$C$97-CROQUIS!$C$107/2-CROQUIS!$C$143,CROQUIS!$C$97)))*CROQUIS!$C$159)+IF(CROQUIS!$C$92="X",0.8,0)),-1000)</f>
        <v>-1000</v>
      </c>
      <c r="BV3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HOOSE(IF(INT(($A339-1)/5)&gt;MAX((MAX(1,INT(((CROQUIS!$C$97)-CROQUIS!$C$107)/MAX((CROQUIS!$C$141*MAX(1,CEILING((INT(((CROQUIS!$C$97)-CROQUIS!$C$107)/MAX(CROQUIS!$C$141,1))+1)/80,1))),1))+1))-1,0),0,MOD($A339-1,5))+1,0,IF(CROQUIS!$C$105=1,-12,2),CROQUIS!$C$107/2+CROQUIS!$C$144,IF(CROQUIS!$C$105=1,-12,2),0)))*CROQUIS!$C$159)+IF(CROQUIS!$C$92="X",0.8,0)),-1000)</f>
        <v>-1000</v>
      </c>
      <c r="BW339">
        <f>IF(AND(CROQUIS!$C$88=1,CROQUIS!$C$91=0,CROQUIS!$C$141&gt;0,OR(CROQUIS!$C$105=1,CROQUIS!$C$146=1)),((CROQUIS!$C$161+(IF(CROQUIS!$C$92="X",CHOOSE(IF(INT(($A339-1)/5)&gt;MAX((MAX(1,INT(((CROQUIS!$C$97)-CROQUIS!$C$107)/MAX((CROQUIS!$C$141*MAX(1,CEILING((INT(((CROQUIS!$C$97)-CROQUIS!$C$107)/MAX(CROQUIS!$C$141,1))+1)/80,1))),1))+1))-1,0),0,MOD($A339-1,5))+1,0,IF(CROQUIS!$C$105=1,-12,2),CROQUIS!$C$107/2+CROQUIS!$C$144,IF(CROQUIS!$C$105=1,-12,2),0),((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ROQUIS!$C$159)+IF(CROQUIS!$C$92="X",0,0.8)),-1000)</f>
        <v>-1000</v>
      </c>
      <c r="BX3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HOOSE(IF(INT(($A339-1)/5)&gt;MAX((MAX(1,INT(((CROQUIS!$C$97)-CROQUIS!$C$107)/MAX((CROQUIS!$C$141*MAX(1,CEILING((INT(((CROQUIS!$C$97)-CROQUIS!$C$107)/MAX(CROQUIS!$C$141,1))+1)/80,1))),1))+1))-1,0),0,MOD($A339-1,5))+1,CROQUIS!$C$98,CROQUIS!$C$98-CROQUIS!$C$107/2-CROQUIS!$C$144,IF(CROQUIS!$C$106=1,CROQUIS!$C$98+12,CROQUIS!$C$98-2),CROQUIS!$C$98-CROQUIS!$C$107/2-CROQUIS!$C$144,CROQUIS!$C$98)))*CROQUIS!$C$159)+IF(CROQUIS!$C$92="X",0.8,0)),-1000)</f>
        <v>-1000</v>
      </c>
      <c r="BY339">
        <f>IF(AND(CROQUIS!$C$88=1,CROQUIS!$C$91=0,CROQUIS!$C$141&gt;0,OR(CROQUIS!$C$106=1,CROQUIS!$C$146=1)),((CROQUIS!$C$161+(IF(CROQUIS!$C$92="X",CHOOSE(IF(INT(($A339-1)/5)&gt;MAX((MAX(1,INT(((CROQUIS!$C$97)-CROQUIS!$C$107)/MAX((CROQUIS!$C$141*MAX(1,CEILING((INT(((CROQUIS!$C$97)-CROQUIS!$C$107)/MAX(CROQUIS!$C$141,1))+1)/80,1))),1))+1))-1,0),0,MOD($A339-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ROQUIS!$C$159)+IF(CROQUIS!$C$92="X",0,0.8)),-1000)</f>
        <v>-1000</v>
      </c>
      <c r="BZ339">
        <f>IF(AND(CROQUIS!$C$88=1,CROQUIS!$C$91=1,CROQUIS!$C$133&gt;0),((CROQUIS!$C$160+(IF(CROQUIS!$C$92="X",CHOOSE(IF(INT(($A339-1)/5)&gt;MAX((MAX(1,INT(((CROQUIS!$C$98)-CROQUIS!$C$107)/MAX((CROQUIS!$C$133*MAX(1,CEILING((INT(((CROQUIS!$C$98)-CROQUIS!$C$107)/MAX(CROQUIS!$C$133,1))+1)/80,1))),1))+1))-1,0),0,MOD($A339-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CA339">
        <f>IF(AND(CROQUIS!$C$88=1,CROQUIS!$C$91=1,CROQUIS!$C$133&gt;0),((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0">
      <c r="A340" t="n">
        <v>333</v>
      </c>
      <c r="BN340">
        <f>IF(AND(CROQUIS!$C$88=1,CROQUIS!$C$129&gt;0),((CROQUIS!$C$160+(IF(CROQUIS!$C$92="X",CHOOSE(IF(INT(($A340-1)/5)&gt;MAX((MAX(1,INT(((CROQUIS!$C$98)-CROQUIS!$C$107)/MAX((CROQUIS!$C$129*MAX(1,CEILING((INT(((CROQUIS!$C$98)-CROQUIS!$C$107)/MAX(CROQUIS!$C$129,1))+1)/80,1))),1))+1))-1,0),0,MOD($A340-1,5))+1,0,2,CROQUIS!$C$97-2,2,0),((CROQUIS!$C$107/2+(((CROQUIS!$C$98)-CROQUIS!$C$107)-(MAX(1,INT(((CROQUIS!$C$98)-CROQUIS!$C$107)/MAX((CROQUIS!$C$129*MAX(1,CEILING((INT(((CROQUIS!$C$98)-CROQUIS!$C$107)/MAX(CROQUIS!$C$129,1))+1)/80,1))),1))+1)-1)*(CROQUIS!$C$129*MAX(1,CEILING((INT(((CROQUIS!$C$98)-CROQUIS!$C$107)/MAX(CROQUIS!$C$129,1))+1)/80,1))))/2)+MIN(INT(($A340-1)/5),MAX((MAX(1,INT(((CROQUIS!$C$98)-CROQUIS!$C$107)/MAX((CROQUIS!$C$129*MAX(1,CEILING((INT(((CROQUIS!$C$98)-CROQUIS!$C$107)/MAX(CROQUIS!$C$129,1))+1)/80,1))),1))+1))-1,0))*(CROQUIS!$C$129*MAX(1,CEILING((INT(((CROQUIS!$C$98)-CROQUIS!$C$107)/MAX(CROQUIS!$C$129,1))+1)/80,1))))))*CROQUIS!$C$159)+IF(CROQUIS!$C$92="X",0,0)),-1000)</f>
        <v>-1000</v>
      </c>
      <c r="BO340">
        <f>IF(AND(CROQUIS!$C$88=1,CROQUIS!$C$129&gt;0),((CROQUIS!$C$161+(IF(CROQUIS!$C$92="X",((CROQUIS!$C$107/2+(((CROQUIS!$C$98)-CROQUIS!$C$107)-(MAX(1,INT(((CROQUIS!$C$98)-CROQUIS!$C$107)/MAX((CROQUIS!$C$129*MAX(1,CEILING((INT(((CROQUIS!$C$98)-CROQUIS!$C$107)/MAX(CROQUIS!$C$129,1))+1)/80,1))),1))+1)-1)*(CROQUIS!$C$129*MAX(1,CEILING((INT(((CROQUIS!$C$98)-CROQUIS!$C$107)/MAX(CROQUIS!$C$129,1))+1)/80,1))))/2)+MIN(INT(($A340-1)/5),MAX((MAX(1,INT(((CROQUIS!$C$98)-CROQUIS!$C$107)/MAX((CROQUIS!$C$129*MAX(1,CEILING((INT(((CROQUIS!$C$98)-CROQUIS!$C$107)/MAX(CROQUIS!$C$129,1))+1)/80,1))),1))+1))-1,0))*(CROQUIS!$C$129*MAX(1,CEILING((INT(((CROQUIS!$C$98)-CROQUIS!$C$107)/MAX(CROQUIS!$C$129,1))+1)/80,1)))),CHOOSE(IF(INT(($A340-1)/5)&gt;MAX((MAX(1,INT(((CROQUIS!$C$98)-CROQUIS!$C$107)/MAX((CROQUIS!$C$129*MAX(1,CEILING((INT(((CROQUIS!$C$98)-CROQUIS!$C$107)/MAX(CROQUIS!$C$129,1))+1)/80,1))),1))+1))-1,0),0,MOD($A340-1,5))+1,0,2,CROQUIS!$C$97-2,2,0)))*CROQUIS!$C$159)+IF(CROQUIS!$C$92="X",0,0)),-1000)</f>
        <v>-1000</v>
      </c>
      <c r="BP340">
        <f>IF(AND(CROQUIS!$C$88=1,CROQUIS!$C$137&gt;0),((CROQUIS!$C$160+(IF(CROQUIS!$C$92="X",((CROQUIS!$C$107/2+(((CROQUIS!$C$97)-CROQUIS!$C$107)-(MAX(1,INT(((CROQUIS!$C$97)-CROQUIS!$C$107)/MAX((CROQUIS!$C$137*MAX(1,CEILING((INT(((CROQUIS!$C$97)-CROQUIS!$C$107)/MAX(CROQUIS!$C$137,1))+1)/80,1))),1))+1)-1)*(CROQUIS!$C$137*MAX(1,CEILING((INT(((CROQUIS!$C$97)-CROQUIS!$C$107)/MAX(CROQUIS!$C$137,1))+1)/80,1))))/2)+MIN(INT(($A340-1)/5),MAX((MAX(1,INT(((CROQUIS!$C$97)-CROQUIS!$C$107)/MAX((CROQUIS!$C$137*MAX(1,CEILING((INT(((CROQUIS!$C$97)-CROQUIS!$C$107)/MAX(CROQUIS!$C$137,1))+1)/80,1))),1))+1))-1,0))*(CROQUIS!$C$137*MAX(1,CEILING((INT(((CROQUIS!$C$97)-CROQUIS!$C$107)/MAX(CROQUIS!$C$137,1))+1)/80,1)))),CHOOSE(IF(INT(($A340-1)/5)&gt;MAX((MAX(1,INT(((CROQUIS!$C$97)-CROQUIS!$C$107)/MAX((CROQUIS!$C$137*MAX(1,CEILING((INT(((CROQUIS!$C$97)-CROQUIS!$C$107)/MAX(CROQUIS!$C$137,1))+1)/80,1))),1))+1))-1,0),0,MOD($A340-1,5))+1,0,2,CROQUIS!$C$98-2,2,0)))*CROQUIS!$C$159)+IF(CROQUIS!$C$92="X",0,0)),-1000)</f>
        <v>-1000</v>
      </c>
      <c r="BQ340">
        <f>IF(AND(CROQUIS!$C$88=1,CROQUIS!$C$137&gt;0),((CROQUIS!$C$161+(IF(CROQUIS!$C$92="X",CHOOSE(IF(INT(($A340-1)/5)&gt;MAX((MAX(1,INT(((CROQUIS!$C$97)-CROQUIS!$C$107)/MAX((CROQUIS!$C$137*MAX(1,CEILING((INT(((CROQUIS!$C$97)-CROQUIS!$C$107)/MAX(CROQUIS!$C$137,1))+1)/80,1))),1))+1))-1,0),0,MOD($A340-1,5))+1,0,2,CROQUIS!$C$98-2,2,0),((CROQUIS!$C$107/2+(((CROQUIS!$C$97)-CROQUIS!$C$107)-(MAX(1,INT(((CROQUIS!$C$97)-CROQUIS!$C$107)/MAX((CROQUIS!$C$137*MAX(1,CEILING((INT(((CROQUIS!$C$97)-CROQUIS!$C$107)/MAX(CROQUIS!$C$137,1))+1)/80,1))),1))+1)-1)*(CROQUIS!$C$137*MAX(1,CEILING((INT(((CROQUIS!$C$97)-CROQUIS!$C$107)/MAX(CROQUIS!$C$137,1))+1)/80,1))))/2)+MIN(INT(($A340-1)/5),MAX((MAX(1,INT(((CROQUIS!$C$97)-CROQUIS!$C$107)/MAX((CROQUIS!$C$137*MAX(1,CEILING((INT(((CROQUIS!$C$97)-CROQUIS!$C$107)/MAX(CROQUIS!$C$137,1))+1)/80,1))),1))+1))-1,0))*(CROQUIS!$C$137*MAX(1,CEILING((INT(((CROQUIS!$C$97)-CROQUIS!$C$107)/MAX(CROQUIS!$C$137,1))+1)/80,1))))))*CROQUIS!$C$159)+IF(CROQUIS!$C$92="X",0,0)),-1000)</f>
        <v>-1000</v>
      </c>
      <c r="BR340">
        <f>IF(AND(CROQUIS!$C$88=1,CROQUIS!$C$91=0,CROQUIS!$C$133&gt;0,OR(CROQUIS!$C$103=1,CROQUIS!$C$145=1)),((CROQUIS!$C$160+(IF(CROQUIS!$C$92="X",CHOOSE(IF(INT(($A340-1)/5)&gt;MAX((MAX(1,INT(((CROQUIS!$C$98)-CROQUIS!$C$107)/MAX((CROQUIS!$C$133*MAX(1,CEILING((INT(((CROQUIS!$C$98)-CROQUIS!$C$107)/MAX(CROQUIS!$C$133,1))+1)/80,1))),1))+1))-1,0),0,MOD($A340-1,5))+1,0,IF(CROQUIS!$C$103=1,-12,2),CROQUIS!$C$107/2+CROQUIS!$C$143,IF(CROQUIS!$C$103=1,-12,2),0),((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BS3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+1,0,IF(CROQUIS!$C$103=1,-12,2),CROQUIS!$C$107/2+CROQUIS!$C$143,IF(CROQUIS!$C$103=1,-12,2),0)))*CROQUIS!$C$159)+IF(CROQUIS!$C$92="X",0.8,0)),-1000)</f>
        <v>-1000</v>
      </c>
      <c r="BT340">
        <f>IF(AND(CROQUIS!$C$88=1,CROQUIS!$C$91=0,CROQUIS!$C$133&gt;0,OR(CROQUIS!$C$104=1,CROQUIS!$C$145=1)),((CROQUIS!$C$160+(IF(CROQUIS!$C$92="X",CHOOSE(IF(INT(($A340-1)/5)&gt;MAX((MAX(1,INT(((CROQUIS!$C$98)-CROQUIS!$C$107)/MAX((CROQUIS!$C$133*MAX(1,CEILING((INT(((CROQUIS!$C$98)-CROQUIS!$C$107)/MAX(CROQUIS!$C$133,1))+1)/80,1))),1))+1))-1,0),0,MOD($A340-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BU3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CROQUIS!$C$97,CROQUIS!$C$97-CROQUIS!$C$107/2-CROQUIS!$C$143,IF(CROQUIS!$C$104=1,CROQUIS!$C$97+12,CROQUIS!$C$97-2),CROQUIS!$C$97-CROQUIS!$C$107/2-CROQUIS!$C$143,CROQUIS!$C$97)))*CROQUIS!$C$159)+IF(CROQUIS!$C$92="X",0.8,0)),-1000)</f>
        <v>-1000</v>
      </c>
      <c r="BV3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HOOSE(IF(INT(($A340-1)/5)&gt;MAX((MAX(1,INT(((CROQUIS!$C$97)-CROQUIS!$C$107)/MAX((CROQUIS!$C$141*MAX(1,CEILING((INT(((CROQUIS!$C$97)-CROQUIS!$C$107)/MAX(CROQUIS!$C$141,1))+1)/80,1))),1))+1))-1,0),0,MOD($A340-1,5))+1,0,IF(CROQUIS!$C$105=1,-12,2),CROQUIS!$C$107/2+CROQUIS!$C$144,IF(CROQUIS!$C$105=1,-12,2),0)))*CROQUIS!$C$159)+IF(CROQUIS!$C$92="X",0.8,0)),-1000)</f>
        <v>-1000</v>
      </c>
      <c r="BW340">
        <f>IF(AND(CROQUIS!$C$88=1,CROQUIS!$C$91=0,CROQUIS!$C$141&gt;0,OR(CROQUIS!$C$105=1,CROQUIS!$C$146=1)),((CROQUIS!$C$161+(IF(CROQUIS!$C$92="X",CHOOSE(IF(INT(($A340-1)/5)&gt;MAX((MAX(1,INT(((CROQUIS!$C$97)-CROQUIS!$C$107)/MAX((CROQUIS!$C$141*MAX(1,CEILING((INT(((CROQUIS!$C$97)-CROQUIS!$C$107)/MAX(CROQUIS!$C$141,1))+1)/80,1))),1))+1))-1,0),0,MOD($A340-1,5))+1,0,IF(CROQUIS!$C$105=1,-12,2),CROQUIS!$C$107/2+CROQUIS!$C$144,IF(CROQUIS!$C$105=1,-12,2),0),((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ROQUIS!$C$159)+IF(CROQUIS!$C$92="X",0,0.8)),-1000)</f>
        <v>-1000</v>
      </c>
      <c r="BX3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HOOSE(IF(INT(($A340-1)/5)&gt;MAX((MAX(1,INT(((CROQUIS!$C$97)-CROQUIS!$C$107)/MAX((CROQUIS!$C$141*MAX(1,CEILING((INT(((CROQUIS!$C$97)-CROQUIS!$C$107)/MAX(CROQUIS!$C$141,1))+1)/80,1))),1))+1))-1,0),0,MOD($A340-1,5))+1,CROQUIS!$C$98,CROQUIS!$C$98-CROQUIS!$C$107/2-CROQUIS!$C$144,IF(CROQUIS!$C$106=1,CROQUIS!$C$98+12,CROQUIS!$C$98-2),CROQUIS!$C$98-CROQUIS!$C$107/2-CROQUIS!$C$144,CROQUIS!$C$98)))*CROQUIS!$C$159)+IF(CROQUIS!$C$92="X",0.8,0)),-1000)</f>
        <v>-1000</v>
      </c>
      <c r="BY340">
        <f>IF(AND(CROQUIS!$C$88=1,CROQUIS!$C$91=0,CROQUIS!$C$141&gt;0,OR(CROQUIS!$C$106=1,CROQUIS!$C$146=1)),((CROQUIS!$C$161+(IF(CROQUIS!$C$92="X",CHOOSE(IF(INT(($A340-1)/5)&gt;MAX((MAX(1,INT(((CROQUIS!$C$97)-CROQUIS!$C$107)/MAX((CROQUIS!$C$141*MAX(1,CEILING((INT(((CROQUIS!$C$97)-CROQUIS!$C$107)/MAX(CROQUIS!$C$141,1))+1)/80,1))),1))+1))-1,0),0,MOD($A340-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ROQUIS!$C$159)+IF(CROQUIS!$C$92="X",0,0.8)),-1000)</f>
        <v>-1000</v>
      </c>
      <c r="BZ340">
        <f>IF(AND(CROQUIS!$C$88=1,CROQUIS!$C$91=1,CROQUIS!$C$133&gt;0),((CROQUIS!$C$160+(IF(CROQUIS!$C$92="X",CHOOSE(IF(INT(($A340-1)/5)&gt;MAX((MAX(1,INT(((CROQUIS!$C$98)-CROQUIS!$C$107)/MAX((CROQUIS!$C$133*MAX(1,CEILING((INT(((CROQUIS!$C$98)-CROQUIS!$C$107)/MAX(CROQUIS!$C$133,1))+1)/80,1))),1))+1))-1,0),0,MOD($A340-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CA340">
        <f>IF(AND(CROQUIS!$C$88=1,CROQUIS!$C$91=1,CROQUIS!$C$133&gt;0),((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1">
      <c r="A341" t="n">
        <v>334</v>
      </c>
      <c r="BN341">
        <f>IF(AND(CROQUIS!$C$88=1,CROQUIS!$C$129&gt;0),((CROQUIS!$C$160+(IF(CROQUIS!$C$92="X",CHOOSE(IF(INT(($A341-1)/5)&gt;MAX((MAX(1,INT(((CROQUIS!$C$98)-CROQUIS!$C$107)/MAX((CROQUIS!$C$129*MAX(1,CEILING((INT(((CROQUIS!$C$98)-CROQUIS!$C$107)/MAX(CROQUIS!$C$129,1))+1)/80,1))),1))+1))-1,0),0,MOD($A341-1,5))+1,0,2,CROQUIS!$C$97-2,2,0),((CROQUIS!$C$107/2+(((CROQUIS!$C$98)-CROQUIS!$C$107)-(MAX(1,INT(((CROQUIS!$C$98)-CROQUIS!$C$107)/MAX((CROQUIS!$C$129*MAX(1,CEILING((INT(((CROQUIS!$C$98)-CROQUIS!$C$107)/MAX(CROQUIS!$C$129,1))+1)/80,1))),1))+1)-1)*(CROQUIS!$C$129*MAX(1,CEILING((INT(((CROQUIS!$C$98)-CROQUIS!$C$107)/MAX(CROQUIS!$C$129,1))+1)/80,1))))/2)+MIN(INT(($A341-1)/5),MAX((MAX(1,INT(((CROQUIS!$C$98)-CROQUIS!$C$107)/MAX((CROQUIS!$C$129*MAX(1,CEILING((INT(((CROQUIS!$C$98)-CROQUIS!$C$107)/MAX(CROQUIS!$C$129,1))+1)/80,1))),1))+1))-1,0))*(CROQUIS!$C$129*MAX(1,CEILING((INT(((CROQUIS!$C$98)-CROQUIS!$C$107)/MAX(CROQUIS!$C$129,1))+1)/80,1))))))*CROQUIS!$C$159)+IF(CROQUIS!$C$92="X",0,0)),-1000)</f>
        <v>-1000</v>
      </c>
      <c r="BO341">
        <f>IF(AND(CROQUIS!$C$88=1,CROQUIS!$C$129&gt;0),((CROQUIS!$C$161+(IF(CROQUIS!$C$92="X",((CROQUIS!$C$107/2+(((CROQUIS!$C$98)-CROQUIS!$C$107)-(MAX(1,INT(((CROQUIS!$C$98)-CROQUIS!$C$107)/MAX((CROQUIS!$C$129*MAX(1,CEILING((INT(((CROQUIS!$C$98)-CROQUIS!$C$107)/MAX(CROQUIS!$C$129,1))+1)/80,1))),1))+1)-1)*(CROQUIS!$C$129*MAX(1,CEILING((INT(((CROQUIS!$C$98)-CROQUIS!$C$107)/MAX(CROQUIS!$C$129,1))+1)/80,1))))/2)+MIN(INT(($A341-1)/5),MAX((MAX(1,INT(((CROQUIS!$C$98)-CROQUIS!$C$107)/MAX((CROQUIS!$C$129*MAX(1,CEILING((INT(((CROQUIS!$C$98)-CROQUIS!$C$107)/MAX(CROQUIS!$C$129,1))+1)/80,1))),1))+1))-1,0))*(CROQUIS!$C$129*MAX(1,CEILING((INT(((CROQUIS!$C$98)-CROQUIS!$C$107)/MAX(CROQUIS!$C$129,1))+1)/80,1)))),CHOOSE(IF(INT(($A341-1)/5)&gt;MAX((MAX(1,INT(((CROQUIS!$C$98)-CROQUIS!$C$107)/MAX((CROQUIS!$C$129*MAX(1,CEILING((INT(((CROQUIS!$C$98)-CROQUIS!$C$107)/MAX(CROQUIS!$C$129,1))+1)/80,1))),1))+1))-1,0),0,MOD($A341-1,5))+1,0,2,CROQUIS!$C$97-2,2,0)))*CROQUIS!$C$159)+IF(CROQUIS!$C$92="X",0,0)),-1000)</f>
        <v>-1000</v>
      </c>
      <c r="BP341">
        <f>IF(AND(CROQUIS!$C$88=1,CROQUIS!$C$137&gt;0),((CROQUIS!$C$160+(IF(CROQUIS!$C$92="X",((CROQUIS!$C$107/2+(((CROQUIS!$C$97)-CROQUIS!$C$107)-(MAX(1,INT(((CROQUIS!$C$97)-CROQUIS!$C$107)/MAX((CROQUIS!$C$137*MAX(1,CEILING((INT(((CROQUIS!$C$97)-CROQUIS!$C$107)/MAX(CROQUIS!$C$137,1))+1)/80,1))),1))+1)-1)*(CROQUIS!$C$137*MAX(1,CEILING((INT(((CROQUIS!$C$97)-CROQUIS!$C$107)/MAX(CROQUIS!$C$137,1))+1)/80,1))))/2)+MIN(INT(($A341-1)/5),MAX((MAX(1,INT(((CROQUIS!$C$97)-CROQUIS!$C$107)/MAX((CROQUIS!$C$137*MAX(1,CEILING((INT(((CROQUIS!$C$97)-CROQUIS!$C$107)/MAX(CROQUIS!$C$137,1))+1)/80,1))),1))+1))-1,0))*(CROQUIS!$C$137*MAX(1,CEILING((INT(((CROQUIS!$C$97)-CROQUIS!$C$107)/MAX(CROQUIS!$C$137,1))+1)/80,1)))),CHOOSE(IF(INT(($A341-1)/5)&gt;MAX((MAX(1,INT(((CROQUIS!$C$97)-CROQUIS!$C$107)/MAX((CROQUIS!$C$137*MAX(1,CEILING((INT(((CROQUIS!$C$97)-CROQUIS!$C$107)/MAX(CROQUIS!$C$137,1))+1)/80,1))),1))+1))-1,0),0,MOD($A341-1,5))+1,0,2,CROQUIS!$C$98-2,2,0)))*CROQUIS!$C$159)+IF(CROQUIS!$C$92="X",0,0)),-1000)</f>
        <v>-1000</v>
      </c>
      <c r="BQ341">
        <f>IF(AND(CROQUIS!$C$88=1,CROQUIS!$C$137&gt;0),((CROQUIS!$C$161+(IF(CROQUIS!$C$92="X",CHOOSE(IF(INT(($A341-1)/5)&gt;MAX((MAX(1,INT(((CROQUIS!$C$97)-CROQUIS!$C$107)/MAX((CROQUIS!$C$137*MAX(1,CEILING((INT(((CROQUIS!$C$97)-CROQUIS!$C$107)/MAX(CROQUIS!$C$137,1))+1)/80,1))),1))+1))-1,0),0,MOD($A341-1,5))+1,0,2,CROQUIS!$C$98-2,2,0),((CROQUIS!$C$107/2+(((CROQUIS!$C$97)-CROQUIS!$C$107)-(MAX(1,INT(((CROQUIS!$C$97)-CROQUIS!$C$107)/MAX((CROQUIS!$C$137*MAX(1,CEILING((INT(((CROQUIS!$C$97)-CROQUIS!$C$107)/MAX(CROQUIS!$C$137,1))+1)/80,1))),1))+1)-1)*(CROQUIS!$C$137*MAX(1,CEILING((INT(((CROQUIS!$C$97)-CROQUIS!$C$107)/MAX(CROQUIS!$C$137,1))+1)/80,1))))/2)+MIN(INT(($A341-1)/5),MAX((MAX(1,INT(((CROQUIS!$C$97)-CROQUIS!$C$107)/MAX((CROQUIS!$C$137*MAX(1,CEILING((INT(((CROQUIS!$C$97)-CROQUIS!$C$107)/MAX(CROQUIS!$C$137,1))+1)/80,1))),1))+1))-1,0))*(CROQUIS!$C$137*MAX(1,CEILING((INT(((CROQUIS!$C$97)-CROQUIS!$C$107)/MAX(CROQUIS!$C$137,1))+1)/80,1))))))*CROQUIS!$C$159)+IF(CROQUIS!$C$92="X",0,0)),-1000)</f>
        <v>-1000</v>
      </c>
      <c r="BR341">
        <f>IF(AND(CROQUIS!$C$88=1,CROQUIS!$C$91=0,CROQUIS!$C$133&gt;0,OR(CROQUIS!$C$103=1,CROQUIS!$C$145=1)),((CROQUIS!$C$160+(IF(CROQUIS!$C$92="X",CHOOSE(IF(INT(($A341-1)/5)&gt;MAX((MAX(1,INT(((CROQUIS!$C$98)-CROQUIS!$C$107)/MAX((CROQUIS!$C$133*MAX(1,CEILING((INT(((CROQUIS!$C$98)-CROQUIS!$C$107)/MAX(CROQUIS!$C$133,1))+1)/80,1))),1))+1))-1,0),0,MOD($A341-1,5))+1,0,IF(CROQUIS!$C$103=1,-12,2),CROQUIS!$C$107/2+CROQUIS!$C$143,IF(CROQUIS!$C$103=1,-12,2),0),((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BS3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+1,0,IF(CROQUIS!$C$103=1,-12,2),CROQUIS!$C$107/2+CROQUIS!$C$143,IF(CROQUIS!$C$103=1,-12,2),0)))*CROQUIS!$C$159)+IF(CROQUIS!$C$92="X",0.8,0)),-1000)</f>
        <v>-1000</v>
      </c>
      <c r="BT341">
        <f>IF(AND(CROQUIS!$C$88=1,CROQUIS!$C$91=0,CROQUIS!$C$133&gt;0,OR(CROQUIS!$C$104=1,CROQUIS!$C$145=1)),((CROQUIS!$C$160+(IF(CROQUIS!$C$92="X",CHOOSE(IF(INT(($A341-1)/5)&gt;MAX((MAX(1,INT(((CROQUIS!$C$98)-CROQUIS!$C$107)/MAX((CROQUIS!$C$133*MAX(1,CEILING((INT(((CROQUIS!$C$98)-CROQUIS!$C$107)/MAX(CROQUIS!$C$133,1))+1)/80,1))),1))+1))-1,0),0,MOD($A341-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BU3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CROQUIS!$C$97,CROQUIS!$C$97-CROQUIS!$C$107/2-CROQUIS!$C$143,IF(CROQUIS!$C$104=1,CROQUIS!$C$97+12,CROQUIS!$C$97-2),CROQUIS!$C$97-CROQUIS!$C$107/2-CROQUIS!$C$143,CROQUIS!$C$97)))*CROQUIS!$C$159)+IF(CROQUIS!$C$92="X",0.8,0)),-1000)</f>
        <v>-1000</v>
      </c>
      <c r="BV3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HOOSE(IF(INT(($A341-1)/5)&gt;MAX((MAX(1,INT(((CROQUIS!$C$97)-CROQUIS!$C$107)/MAX((CROQUIS!$C$141*MAX(1,CEILING((INT(((CROQUIS!$C$97)-CROQUIS!$C$107)/MAX(CROQUIS!$C$141,1))+1)/80,1))),1))+1))-1,0),0,MOD($A341-1,5))+1,0,IF(CROQUIS!$C$105=1,-12,2),CROQUIS!$C$107/2+CROQUIS!$C$144,IF(CROQUIS!$C$105=1,-12,2),0)))*CROQUIS!$C$159)+IF(CROQUIS!$C$92="X",0.8,0)),-1000)</f>
        <v>-1000</v>
      </c>
      <c r="BW341">
        <f>IF(AND(CROQUIS!$C$88=1,CROQUIS!$C$91=0,CROQUIS!$C$141&gt;0,OR(CROQUIS!$C$105=1,CROQUIS!$C$146=1)),((CROQUIS!$C$161+(IF(CROQUIS!$C$92="X",CHOOSE(IF(INT(($A341-1)/5)&gt;MAX((MAX(1,INT(((CROQUIS!$C$97)-CROQUIS!$C$107)/MAX((CROQUIS!$C$141*MAX(1,CEILING((INT(((CROQUIS!$C$97)-CROQUIS!$C$107)/MAX(CROQUIS!$C$141,1))+1)/80,1))),1))+1))-1,0),0,MOD($A341-1,5))+1,0,IF(CROQUIS!$C$105=1,-12,2),CROQUIS!$C$107/2+CROQUIS!$C$144,IF(CROQUIS!$C$105=1,-12,2),0),((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ROQUIS!$C$159)+IF(CROQUIS!$C$92="X",0,0.8)),-1000)</f>
        <v>-1000</v>
      </c>
      <c r="BX3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HOOSE(IF(INT(($A341-1)/5)&gt;MAX((MAX(1,INT(((CROQUIS!$C$97)-CROQUIS!$C$107)/MAX((CROQUIS!$C$141*MAX(1,CEILING((INT(((CROQUIS!$C$97)-CROQUIS!$C$107)/MAX(CROQUIS!$C$141,1))+1)/80,1))),1))+1))-1,0),0,MOD($A341-1,5))+1,CROQUIS!$C$98,CROQUIS!$C$98-CROQUIS!$C$107/2-CROQUIS!$C$144,IF(CROQUIS!$C$106=1,CROQUIS!$C$98+12,CROQUIS!$C$98-2),CROQUIS!$C$98-CROQUIS!$C$107/2-CROQUIS!$C$144,CROQUIS!$C$98)))*CROQUIS!$C$159)+IF(CROQUIS!$C$92="X",0.8,0)),-1000)</f>
        <v>-1000</v>
      </c>
      <c r="BY341">
        <f>IF(AND(CROQUIS!$C$88=1,CROQUIS!$C$91=0,CROQUIS!$C$141&gt;0,OR(CROQUIS!$C$106=1,CROQUIS!$C$146=1)),((CROQUIS!$C$161+(IF(CROQUIS!$C$92="X",CHOOSE(IF(INT(($A341-1)/5)&gt;MAX((MAX(1,INT(((CROQUIS!$C$97)-CROQUIS!$C$107)/MAX((CROQUIS!$C$141*MAX(1,CEILING((INT(((CROQUIS!$C$97)-CROQUIS!$C$107)/MAX(CROQUIS!$C$141,1))+1)/80,1))),1))+1))-1,0),0,MOD($A341-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ROQUIS!$C$159)+IF(CROQUIS!$C$92="X",0,0.8)),-1000)</f>
        <v>-1000</v>
      </c>
      <c r="BZ341">
        <f>IF(AND(CROQUIS!$C$88=1,CROQUIS!$C$91=1,CROQUIS!$C$133&gt;0),((CROQUIS!$C$160+(IF(CROQUIS!$C$92="X",CHOOSE(IF(INT(($A341-1)/5)&gt;MAX((MAX(1,INT(((CROQUIS!$C$98)-CROQUIS!$C$107)/MAX((CROQUIS!$C$133*MAX(1,CEILING((INT(((CROQUIS!$C$98)-CROQUIS!$C$107)/MAX(CROQUIS!$C$133,1))+1)/80,1))),1))+1))-1,0),0,MOD($A341-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CA341">
        <f>IF(AND(CROQUIS!$C$88=1,CROQUIS!$C$91=1,CROQUIS!$C$133&gt;0),((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2">
      <c r="A342" t="n">
        <v>335</v>
      </c>
      <c r="BN342">
        <f>IF(AND(CROQUIS!$C$88=1,CROQUIS!$C$129&gt;0),((CROQUIS!$C$160+(IF(CROQUIS!$C$92="X",CHOOSE(IF(INT(($A342-1)/5)&gt;MAX((MAX(1,INT(((CROQUIS!$C$98)-CROQUIS!$C$107)/MAX((CROQUIS!$C$129*MAX(1,CEILING((INT(((CROQUIS!$C$98)-CROQUIS!$C$107)/MAX(CROQUIS!$C$129,1))+1)/80,1))),1))+1))-1,0),0,MOD($A342-1,5))+1,0,2,CROQUIS!$C$97-2,2,0),((CROQUIS!$C$107/2+(((CROQUIS!$C$98)-CROQUIS!$C$107)-(MAX(1,INT(((CROQUIS!$C$98)-CROQUIS!$C$107)/MAX((CROQUIS!$C$129*MAX(1,CEILING((INT(((CROQUIS!$C$98)-CROQUIS!$C$107)/MAX(CROQUIS!$C$129,1))+1)/80,1))),1))+1)-1)*(CROQUIS!$C$129*MAX(1,CEILING((INT(((CROQUIS!$C$98)-CROQUIS!$C$107)/MAX(CROQUIS!$C$129,1))+1)/80,1))))/2)+MIN(INT(($A342-1)/5),MAX((MAX(1,INT(((CROQUIS!$C$98)-CROQUIS!$C$107)/MAX((CROQUIS!$C$129*MAX(1,CEILING((INT(((CROQUIS!$C$98)-CROQUIS!$C$107)/MAX(CROQUIS!$C$129,1))+1)/80,1))),1))+1))-1,0))*(CROQUIS!$C$129*MAX(1,CEILING((INT(((CROQUIS!$C$98)-CROQUIS!$C$107)/MAX(CROQUIS!$C$129,1))+1)/80,1))))))*CROQUIS!$C$159)+IF(CROQUIS!$C$92="X",0,0)),-1000)</f>
        <v>-1000</v>
      </c>
      <c r="BO342">
        <f>IF(AND(CROQUIS!$C$88=1,CROQUIS!$C$129&gt;0),((CROQUIS!$C$161+(IF(CROQUIS!$C$92="X",((CROQUIS!$C$107/2+(((CROQUIS!$C$98)-CROQUIS!$C$107)-(MAX(1,INT(((CROQUIS!$C$98)-CROQUIS!$C$107)/MAX((CROQUIS!$C$129*MAX(1,CEILING((INT(((CROQUIS!$C$98)-CROQUIS!$C$107)/MAX(CROQUIS!$C$129,1))+1)/80,1))),1))+1)-1)*(CROQUIS!$C$129*MAX(1,CEILING((INT(((CROQUIS!$C$98)-CROQUIS!$C$107)/MAX(CROQUIS!$C$129,1))+1)/80,1))))/2)+MIN(INT(($A342-1)/5),MAX((MAX(1,INT(((CROQUIS!$C$98)-CROQUIS!$C$107)/MAX((CROQUIS!$C$129*MAX(1,CEILING((INT(((CROQUIS!$C$98)-CROQUIS!$C$107)/MAX(CROQUIS!$C$129,1))+1)/80,1))),1))+1))-1,0))*(CROQUIS!$C$129*MAX(1,CEILING((INT(((CROQUIS!$C$98)-CROQUIS!$C$107)/MAX(CROQUIS!$C$129,1))+1)/80,1)))),CHOOSE(IF(INT(($A342-1)/5)&gt;MAX((MAX(1,INT(((CROQUIS!$C$98)-CROQUIS!$C$107)/MAX((CROQUIS!$C$129*MAX(1,CEILING((INT(((CROQUIS!$C$98)-CROQUIS!$C$107)/MAX(CROQUIS!$C$129,1))+1)/80,1))),1))+1))-1,0),0,MOD($A342-1,5))+1,0,2,CROQUIS!$C$97-2,2,0)))*CROQUIS!$C$159)+IF(CROQUIS!$C$92="X",0,0)),-1000)</f>
        <v>-1000</v>
      </c>
      <c r="BP342">
        <f>IF(AND(CROQUIS!$C$88=1,CROQUIS!$C$137&gt;0),((CROQUIS!$C$160+(IF(CROQUIS!$C$92="X",((CROQUIS!$C$107/2+(((CROQUIS!$C$97)-CROQUIS!$C$107)-(MAX(1,INT(((CROQUIS!$C$97)-CROQUIS!$C$107)/MAX((CROQUIS!$C$137*MAX(1,CEILING((INT(((CROQUIS!$C$97)-CROQUIS!$C$107)/MAX(CROQUIS!$C$137,1))+1)/80,1))),1))+1)-1)*(CROQUIS!$C$137*MAX(1,CEILING((INT(((CROQUIS!$C$97)-CROQUIS!$C$107)/MAX(CROQUIS!$C$137,1))+1)/80,1))))/2)+MIN(INT(($A342-1)/5),MAX((MAX(1,INT(((CROQUIS!$C$97)-CROQUIS!$C$107)/MAX((CROQUIS!$C$137*MAX(1,CEILING((INT(((CROQUIS!$C$97)-CROQUIS!$C$107)/MAX(CROQUIS!$C$137,1))+1)/80,1))),1))+1))-1,0))*(CROQUIS!$C$137*MAX(1,CEILING((INT(((CROQUIS!$C$97)-CROQUIS!$C$107)/MAX(CROQUIS!$C$137,1))+1)/80,1)))),CHOOSE(IF(INT(($A342-1)/5)&gt;MAX((MAX(1,INT(((CROQUIS!$C$97)-CROQUIS!$C$107)/MAX((CROQUIS!$C$137*MAX(1,CEILING((INT(((CROQUIS!$C$97)-CROQUIS!$C$107)/MAX(CROQUIS!$C$137,1))+1)/80,1))),1))+1))-1,0),0,MOD($A342-1,5))+1,0,2,CROQUIS!$C$98-2,2,0)))*CROQUIS!$C$159)+IF(CROQUIS!$C$92="X",0,0)),-1000)</f>
        <v>-1000</v>
      </c>
      <c r="BQ342">
        <f>IF(AND(CROQUIS!$C$88=1,CROQUIS!$C$137&gt;0),((CROQUIS!$C$161+(IF(CROQUIS!$C$92="X",CHOOSE(IF(INT(($A342-1)/5)&gt;MAX((MAX(1,INT(((CROQUIS!$C$97)-CROQUIS!$C$107)/MAX((CROQUIS!$C$137*MAX(1,CEILING((INT(((CROQUIS!$C$97)-CROQUIS!$C$107)/MAX(CROQUIS!$C$137,1))+1)/80,1))),1))+1))-1,0),0,MOD($A342-1,5))+1,0,2,CROQUIS!$C$98-2,2,0),((CROQUIS!$C$107/2+(((CROQUIS!$C$97)-CROQUIS!$C$107)-(MAX(1,INT(((CROQUIS!$C$97)-CROQUIS!$C$107)/MAX((CROQUIS!$C$137*MAX(1,CEILING((INT(((CROQUIS!$C$97)-CROQUIS!$C$107)/MAX(CROQUIS!$C$137,1))+1)/80,1))),1))+1)-1)*(CROQUIS!$C$137*MAX(1,CEILING((INT(((CROQUIS!$C$97)-CROQUIS!$C$107)/MAX(CROQUIS!$C$137,1))+1)/80,1))))/2)+MIN(INT(($A342-1)/5),MAX((MAX(1,INT(((CROQUIS!$C$97)-CROQUIS!$C$107)/MAX((CROQUIS!$C$137*MAX(1,CEILING((INT(((CROQUIS!$C$97)-CROQUIS!$C$107)/MAX(CROQUIS!$C$137,1))+1)/80,1))),1))+1))-1,0))*(CROQUIS!$C$137*MAX(1,CEILING((INT(((CROQUIS!$C$97)-CROQUIS!$C$107)/MAX(CROQUIS!$C$137,1))+1)/80,1))))))*CROQUIS!$C$159)+IF(CROQUIS!$C$92="X",0,0)),-1000)</f>
        <v>-1000</v>
      </c>
      <c r="BR342">
        <f>IF(AND(CROQUIS!$C$88=1,CROQUIS!$C$91=0,CROQUIS!$C$133&gt;0,OR(CROQUIS!$C$103=1,CROQUIS!$C$145=1)),((CROQUIS!$C$160+(IF(CROQUIS!$C$92="X",CHOOSE(IF(INT(($A342-1)/5)&gt;MAX((MAX(1,INT(((CROQUIS!$C$98)-CROQUIS!$C$107)/MAX((CROQUIS!$C$133*MAX(1,CEILING((INT(((CROQUIS!$C$98)-CROQUIS!$C$107)/MAX(CROQUIS!$C$133,1))+1)/80,1))),1))+1))-1,0),0,MOD($A342-1,5))+1,0,IF(CROQUIS!$C$103=1,-12,2),CROQUIS!$C$107/2+CROQUIS!$C$143,IF(CROQUIS!$C$103=1,-12,2),0),((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BS3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+1,0,IF(CROQUIS!$C$103=1,-12,2),CROQUIS!$C$107/2+CROQUIS!$C$143,IF(CROQUIS!$C$103=1,-12,2),0)))*CROQUIS!$C$159)+IF(CROQUIS!$C$92="X",0.8,0)),-1000)</f>
        <v>-1000</v>
      </c>
      <c r="BT342">
        <f>IF(AND(CROQUIS!$C$88=1,CROQUIS!$C$91=0,CROQUIS!$C$133&gt;0,OR(CROQUIS!$C$104=1,CROQUIS!$C$145=1)),((CROQUIS!$C$160+(IF(CROQUIS!$C$92="X",CHOOSE(IF(INT(($A342-1)/5)&gt;MAX((MAX(1,INT(((CROQUIS!$C$98)-CROQUIS!$C$107)/MAX((CROQUIS!$C$133*MAX(1,CEILING((INT(((CROQUIS!$C$98)-CROQUIS!$C$107)/MAX(CROQUIS!$C$133,1))+1)/80,1))),1))+1))-1,0),0,MOD($A342-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BU3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CROQUIS!$C$97,CROQUIS!$C$97-CROQUIS!$C$107/2-CROQUIS!$C$143,IF(CROQUIS!$C$104=1,CROQUIS!$C$97+12,CROQUIS!$C$97-2),CROQUIS!$C$97-CROQUIS!$C$107/2-CROQUIS!$C$143,CROQUIS!$C$97)))*CROQUIS!$C$159)+IF(CROQUIS!$C$92="X",0.8,0)),-1000)</f>
        <v>-1000</v>
      </c>
      <c r="BV3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HOOSE(IF(INT(($A342-1)/5)&gt;MAX((MAX(1,INT(((CROQUIS!$C$97)-CROQUIS!$C$107)/MAX((CROQUIS!$C$141*MAX(1,CEILING((INT(((CROQUIS!$C$97)-CROQUIS!$C$107)/MAX(CROQUIS!$C$141,1))+1)/80,1))),1))+1))-1,0),0,MOD($A342-1,5))+1,0,IF(CROQUIS!$C$105=1,-12,2),CROQUIS!$C$107/2+CROQUIS!$C$144,IF(CROQUIS!$C$105=1,-12,2),0)))*CROQUIS!$C$159)+IF(CROQUIS!$C$92="X",0.8,0)),-1000)</f>
        <v>-1000</v>
      </c>
      <c r="BW342">
        <f>IF(AND(CROQUIS!$C$88=1,CROQUIS!$C$91=0,CROQUIS!$C$141&gt;0,OR(CROQUIS!$C$105=1,CROQUIS!$C$146=1)),((CROQUIS!$C$161+(IF(CROQUIS!$C$92="X",CHOOSE(IF(INT(($A342-1)/5)&gt;MAX((MAX(1,INT(((CROQUIS!$C$97)-CROQUIS!$C$107)/MAX((CROQUIS!$C$141*MAX(1,CEILING((INT(((CROQUIS!$C$97)-CROQUIS!$C$107)/MAX(CROQUIS!$C$141,1))+1)/80,1))),1))+1))-1,0),0,MOD($A342-1,5))+1,0,IF(CROQUIS!$C$105=1,-12,2),CROQUIS!$C$107/2+CROQUIS!$C$144,IF(CROQUIS!$C$105=1,-12,2),0),((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ROQUIS!$C$159)+IF(CROQUIS!$C$92="X",0,0.8)),-1000)</f>
        <v>-1000</v>
      </c>
      <c r="BX3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HOOSE(IF(INT(($A342-1)/5)&gt;MAX((MAX(1,INT(((CROQUIS!$C$97)-CROQUIS!$C$107)/MAX((CROQUIS!$C$141*MAX(1,CEILING((INT(((CROQUIS!$C$97)-CROQUIS!$C$107)/MAX(CROQUIS!$C$141,1))+1)/80,1))),1))+1))-1,0),0,MOD($A342-1,5))+1,CROQUIS!$C$98,CROQUIS!$C$98-CROQUIS!$C$107/2-CROQUIS!$C$144,IF(CROQUIS!$C$106=1,CROQUIS!$C$98+12,CROQUIS!$C$98-2),CROQUIS!$C$98-CROQUIS!$C$107/2-CROQUIS!$C$144,CROQUIS!$C$98)))*CROQUIS!$C$159)+IF(CROQUIS!$C$92="X",0.8,0)),-1000)</f>
        <v>-1000</v>
      </c>
      <c r="BY342">
        <f>IF(AND(CROQUIS!$C$88=1,CROQUIS!$C$91=0,CROQUIS!$C$141&gt;0,OR(CROQUIS!$C$106=1,CROQUIS!$C$146=1)),((CROQUIS!$C$161+(IF(CROQUIS!$C$92="X",CHOOSE(IF(INT(($A342-1)/5)&gt;MAX((MAX(1,INT(((CROQUIS!$C$97)-CROQUIS!$C$107)/MAX((CROQUIS!$C$141*MAX(1,CEILING((INT(((CROQUIS!$C$97)-CROQUIS!$C$107)/MAX(CROQUIS!$C$141,1))+1)/80,1))),1))+1))-1,0),0,MOD($A342-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ROQUIS!$C$159)+IF(CROQUIS!$C$92="X",0,0.8)),-1000)</f>
        <v>-1000</v>
      </c>
      <c r="BZ342">
        <f>IF(AND(CROQUIS!$C$88=1,CROQUIS!$C$91=1,CROQUIS!$C$133&gt;0),((CROQUIS!$C$160+(IF(CROQUIS!$C$92="X",CHOOSE(IF(INT(($A342-1)/5)&gt;MAX((MAX(1,INT(((CROQUIS!$C$98)-CROQUIS!$C$107)/MAX((CROQUIS!$C$133*MAX(1,CEILING((INT(((CROQUIS!$C$98)-CROQUIS!$C$107)/MAX(CROQUIS!$C$133,1))+1)/80,1))),1))+1))-1,0),0,MOD($A342-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CA342">
        <f>IF(AND(CROQUIS!$C$88=1,CROQUIS!$C$91=1,CROQUIS!$C$133&gt;0),((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3">
      <c r="A343" t="n">
        <v>336</v>
      </c>
      <c r="BN343">
        <f>IF(AND(CROQUIS!$C$88=1,CROQUIS!$C$129&gt;0),((CROQUIS!$C$160+(IF(CROQUIS!$C$92="X",CHOOSE(IF(INT(($A343-1)/5)&gt;MAX((MAX(1,INT(((CROQUIS!$C$98)-CROQUIS!$C$107)/MAX((CROQUIS!$C$129*MAX(1,CEILING((INT(((CROQUIS!$C$98)-CROQUIS!$C$107)/MAX(CROQUIS!$C$129,1))+1)/80,1))),1))+1))-1,0),0,MOD($A343-1,5))+1,0,2,CROQUIS!$C$97-2,2,0),((CROQUIS!$C$107/2+(((CROQUIS!$C$98)-CROQUIS!$C$107)-(MAX(1,INT(((CROQUIS!$C$98)-CROQUIS!$C$107)/MAX((CROQUIS!$C$129*MAX(1,CEILING((INT(((CROQUIS!$C$98)-CROQUIS!$C$107)/MAX(CROQUIS!$C$129,1))+1)/80,1))),1))+1)-1)*(CROQUIS!$C$129*MAX(1,CEILING((INT(((CROQUIS!$C$98)-CROQUIS!$C$107)/MAX(CROQUIS!$C$129,1))+1)/80,1))))/2)+MIN(INT(($A343-1)/5),MAX((MAX(1,INT(((CROQUIS!$C$98)-CROQUIS!$C$107)/MAX((CROQUIS!$C$129*MAX(1,CEILING((INT(((CROQUIS!$C$98)-CROQUIS!$C$107)/MAX(CROQUIS!$C$129,1))+1)/80,1))),1))+1))-1,0))*(CROQUIS!$C$129*MAX(1,CEILING((INT(((CROQUIS!$C$98)-CROQUIS!$C$107)/MAX(CROQUIS!$C$129,1))+1)/80,1))))))*CROQUIS!$C$159)+IF(CROQUIS!$C$92="X",0,0)),-1000)</f>
        <v>-1000</v>
      </c>
      <c r="BO343">
        <f>IF(AND(CROQUIS!$C$88=1,CROQUIS!$C$129&gt;0),((CROQUIS!$C$161+(IF(CROQUIS!$C$92="X",((CROQUIS!$C$107/2+(((CROQUIS!$C$98)-CROQUIS!$C$107)-(MAX(1,INT(((CROQUIS!$C$98)-CROQUIS!$C$107)/MAX((CROQUIS!$C$129*MAX(1,CEILING((INT(((CROQUIS!$C$98)-CROQUIS!$C$107)/MAX(CROQUIS!$C$129,1))+1)/80,1))),1))+1)-1)*(CROQUIS!$C$129*MAX(1,CEILING((INT(((CROQUIS!$C$98)-CROQUIS!$C$107)/MAX(CROQUIS!$C$129,1))+1)/80,1))))/2)+MIN(INT(($A343-1)/5),MAX((MAX(1,INT(((CROQUIS!$C$98)-CROQUIS!$C$107)/MAX((CROQUIS!$C$129*MAX(1,CEILING((INT(((CROQUIS!$C$98)-CROQUIS!$C$107)/MAX(CROQUIS!$C$129,1))+1)/80,1))),1))+1))-1,0))*(CROQUIS!$C$129*MAX(1,CEILING((INT(((CROQUIS!$C$98)-CROQUIS!$C$107)/MAX(CROQUIS!$C$129,1))+1)/80,1)))),CHOOSE(IF(INT(($A343-1)/5)&gt;MAX((MAX(1,INT(((CROQUIS!$C$98)-CROQUIS!$C$107)/MAX((CROQUIS!$C$129*MAX(1,CEILING((INT(((CROQUIS!$C$98)-CROQUIS!$C$107)/MAX(CROQUIS!$C$129,1))+1)/80,1))),1))+1))-1,0),0,MOD($A343-1,5))+1,0,2,CROQUIS!$C$97-2,2,0)))*CROQUIS!$C$159)+IF(CROQUIS!$C$92="X",0,0)),-1000)</f>
        <v>-1000</v>
      </c>
      <c r="BP343">
        <f>IF(AND(CROQUIS!$C$88=1,CROQUIS!$C$137&gt;0),((CROQUIS!$C$160+(IF(CROQUIS!$C$92="X",((CROQUIS!$C$107/2+(((CROQUIS!$C$97)-CROQUIS!$C$107)-(MAX(1,INT(((CROQUIS!$C$97)-CROQUIS!$C$107)/MAX((CROQUIS!$C$137*MAX(1,CEILING((INT(((CROQUIS!$C$97)-CROQUIS!$C$107)/MAX(CROQUIS!$C$137,1))+1)/80,1))),1))+1)-1)*(CROQUIS!$C$137*MAX(1,CEILING((INT(((CROQUIS!$C$97)-CROQUIS!$C$107)/MAX(CROQUIS!$C$137,1))+1)/80,1))))/2)+MIN(INT(($A343-1)/5),MAX((MAX(1,INT(((CROQUIS!$C$97)-CROQUIS!$C$107)/MAX((CROQUIS!$C$137*MAX(1,CEILING((INT(((CROQUIS!$C$97)-CROQUIS!$C$107)/MAX(CROQUIS!$C$137,1))+1)/80,1))),1))+1))-1,0))*(CROQUIS!$C$137*MAX(1,CEILING((INT(((CROQUIS!$C$97)-CROQUIS!$C$107)/MAX(CROQUIS!$C$137,1))+1)/80,1)))),CHOOSE(IF(INT(($A343-1)/5)&gt;MAX((MAX(1,INT(((CROQUIS!$C$97)-CROQUIS!$C$107)/MAX((CROQUIS!$C$137*MAX(1,CEILING((INT(((CROQUIS!$C$97)-CROQUIS!$C$107)/MAX(CROQUIS!$C$137,1))+1)/80,1))),1))+1))-1,0),0,MOD($A343-1,5))+1,0,2,CROQUIS!$C$98-2,2,0)))*CROQUIS!$C$159)+IF(CROQUIS!$C$92="X",0,0)),-1000)</f>
        <v>-1000</v>
      </c>
      <c r="BQ343">
        <f>IF(AND(CROQUIS!$C$88=1,CROQUIS!$C$137&gt;0),((CROQUIS!$C$161+(IF(CROQUIS!$C$92="X",CHOOSE(IF(INT(($A343-1)/5)&gt;MAX((MAX(1,INT(((CROQUIS!$C$97)-CROQUIS!$C$107)/MAX((CROQUIS!$C$137*MAX(1,CEILING((INT(((CROQUIS!$C$97)-CROQUIS!$C$107)/MAX(CROQUIS!$C$137,1))+1)/80,1))),1))+1))-1,0),0,MOD($A343-1,5))+1,0,2,CROQUIS!$C$98-2,2,0),((CROQUIS!$C$107/2+(((CROQUIS!$C$97)-CROQUIS!$C$107)-(MAX(1,INT(((CROQUIS!$C$97)-CROQUIS!$C$107)/MAX((CROQUIS!$C$137*MAX(1,CEILING((INT(((CROQUIS!$C$97)-CROQUIS!$C$107)/MAX(CROQUIS!$C$137,1))+1)/80,1))),1))+1)-1)*(CROQUIS!$C$137*MAX(1,CEILING((INT(((CROQUIS!$C$97)-CROQUIS!$C$107)/MAX(CROQUIS!$C$137,1))+1)/80,1))))/2)+MIN(INT(($A343-1)/5),MAX((MAX(1,INT(((CROQUIS!$C$97)-CROQUIS!$C$107)/MAX((CROQUIS!$C$137*MAX(1,CEILING((INT(((CROQUIS!$C$97)-CROQUIS!$C$107)/MAX(CROQUIS!$C$137,1))+1)/80,1))),1))+1))-1,0))*(CROQUIS!$C$137*MAX(1,CEILING((INT(((CROQUIS!$C$97)-CROQUIS!$C$107)/MAX(CROQUIS!$C$137,1))+1)/80,1))))))*CROQUIS!$C$159)+IF(CROQUIS!$C$92="X",0,0)),-1000)</f>
        <v>-1000</v>
      </c>
      <c r="BR343">
        <f>IF(AND(CROQUIS!$C$88=1,CROQUIS!$C$91=0,CROQUIS!$C$133&gt;0,OR(CROQUIS!$C$103=1,CROQUIS!$C$145=1)),((CROQUIS!$C$160+(IF(CROQUIS!$C$92="X",CHOOSE(IF(INT(($A343-1)/5)&gt;MAX((MAX(1,INT(((CROQUIS!$C$98)-CROQUIS!$C$107)/MAX((CROQUIS!$C$133*MAX(1,CEILING((INT(((CROQUIS!$C$98)-CROQUIS!$C$107)/MAX(CROQUIS!$C$133,1))+1)/80,1))),1))+1))-1,0),0,MOD($A343-1,5))+1,0,IF(CROQUIS!$C$103=1,-12,2),CROQUIS!$C$107/2+CROQUIS!$C$143,IF(CROQUIS!$C$103=1,-12,2),0),((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BS3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+1,0,IF(CROQUIS!$C$103=1,-12,2),CROQUIS!$C$107/2+CROQUIS!$C$143,IF(CROQUIS!$C$103=1,-12,2),0)))*CROQUIS!$C$159)+IF(CROQUIS!$C$92="X",0.8,0)),-1000)</f>
        <v>-1000</v>
      </c>
      <c r="BT343">
        <f>IF(AND(CROQUIS!$C$88=1,CROQUIS!$C$91=0,CROQUIS!$C$133&gt;0,OR(CROQUIS!$C$104=1,CROQUIS!$C$145=1)),((CROQUIS!$C$160+(IF(CROQUIS!$C$92="X",CHOOSE(IF(INT(($A343-1)/5)&gt;MAX((MAX(1,INT(((CROQUIS!$C$98)-CROQUIS!$C$107)/MAX((CROQUIS!$C$133*MAX(1,CEILING((INT(((CROQUIS!$C$98)-CROQUIS!$C$107)/MAX(CROQUIS!$C$133,1))+1)/80,1))),1))+1))-1,0),0,MOD($A343-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BU3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CROQUIS!$C$97,CROQUIS!$C$97-CROQUIS!$C$107/2-CROQUIS!$C$143,IF(CROQUIS!$C$104=1,CROQUIS!$C$97+12,CROQUIS!$C$97-2),CROQUIS!$C$97-CROQUIS!$C$107/2-CROQUIS!$C$143,CROQUIS!$C$97)))*CROQUIS!$C$159)+IF(CROQUIS!$C$92="X",0.8,0)),-1000)</f>
        <v>-1000</v>
      </c>
      <c r="BV3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HOOSE(IF(INT(($A343-1)/5)&gt;MAX((MAX(1,INT(((CROQUIS!$C$97)-CROQUIS!$C$107)/MAX((CROQUIS!$C$141*MAX(1,CEILING((INT(((CROQUIS!$C$97)-CROQUIS!$C$107)/MAX(CROQUIS!$C$141,1))+1)/80,1))),1))+1))-1,0),0,MOD($A343-1,5))+1,0,IF(CROQUIS!$C$105=1,-12,2),CROQUIS!$C$107/2+CROQUIS!$C$144,IF(CROQUIS!$C$105=1,-12,2),0)))*CROQUIS!$C$159)+IF(CROQUIS!$C$92="X",0.8,0)),-1000)</f>
        <v>-1000</v>
      </c>
      <c r="BW343">
        <f>IF(AND(CROQUIS!$C$88=1,CROQUIS!$C$91=0,CROQUIS!$C$141&gt;0,OR(CROQUIS!$C$105=1,CROQUIS!$C$146=1)),((CROQUIS!$C$161+(IF(CROQUIS!$C$92="X",CHOOSE(IF(INT(($A343-1)/5)&gt;MAX((MAX(1,INT(((CROQUIS!$C$97)-CROQUIS!$C$107)/MAX((CROQUIS!$C$141*MAX(1,CEILING((INT(((CROQUIS!$C$97)-CROQUIS!$C$107)/MAX(CROQUIS!$C$141,1))+1)/80,1))),1))+1))-1,0),0,MOD($A343-1,5))+1,0,IF(CROQUIS!$C$105=1,-12,2),CROQUIS!$C$107/2+CROQUIS!$C$144,IF(CROQUIS!$C$105=1,-12,2),0),((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ROQUIS!$C$159)+IF(CROQUIS!$C$92="X",0,0.8)),-1000)</f>
        <v>-1000</v>
      </c>
      <c r="BX3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HOOSE(IF(INT(($A343-1)/5)&gt;MAX((MAX(1,INT(((CROQUIS!$C$97)-CROQUIS!$C$107)/MAX((CROQUIS!$C$141*MAX(1,CEILING((INT(((CROQUIS!$C$97)-CROQUIS!$C$107)/MAX(CROQUIS!$C$141,1))+1)/80,1))),1))+1))-1,0),0,MOD($A343-1,5))+1,CROQUIS!$C$98,CROQUIS!$C$98-CROQUIS!$C$107/2-CROQUIS!$C$144,IF(CROQUIS!$C$106=1,CROQUIS!$C$98+12,CROQUIS!$C$98-2),CROQUIS!$C$98-CROQUIS!$C$107/2-CROQUIS!$C$144,CROQUIS!$C$98)))*CROQUIS!$C$159)+IF(CROQUIS!$C$92="X",0.8,0)),-1000)</f>
        <v>-1000</v>
      </c>
      <c r="BY343">
        <f>IF(AND(CROQUIS!$C$88=1,CROQUIS!$C$91=0,CROQUIS!$C$141&gt;0,OR(CROQUIS!$C$106=1,CROQUIS!$C$146=1)),((CROQUIS!$C$161+(IF(CROQUIS!$C$92="X",CHOOSE(IF(INT(($A343-1)/5)&gt;MAX((MAX(1,INT(((CROQUIS!$C$97)-CROQUIS!$C$107)/MAX((CROQUIS!$C$141*MAX(1,CEILING((INT(((CROQUIS!$C$97)-CROQUIS!$C$107)/MAX(CROQUIS!$C$141,1))+1)/80,1))),1))+1))-1,0),0,MOD($A343-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ROQUIS!$C$159)+IF(CROQUIS!$C$92="X",0,0.8)),-1000)</f>
        <v>-1000</v>
      </c>
      <c r="BZ343">
        <f>IF(AND(CROQUIS!$C$88=1,CROQUIS!$C$91=1,CROQUIS!$C$133&gt;0),((CROQUIS!$C$160+(IF(CROQUIS!$C$92="X",CHOOSE(IF(INT(($A343-1)/5)&gt;MAX((MAX(1,INT(((CROQUIS!$C$98)-CROQUIS!$C$107)/MAX((CROQUIS!$C$133*MAX(1,CEILING((INT(((CROQUIS!$C$98)-CROQUIS!$C$107)/MAX(CROQUIS!$C$133,1))+1)/80,1))),1))+1))-1,0),0,MOD($A343-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CA343">
        <f>IF(AND(CROQUIS!$C$88=1,CROQUIS!$C$91=1,CROQUIS!$C$133&gt;0),((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4">
      <c r="A344" t="n">
        <v>337</v>
      </c>
      <c r="BN344">
        <f>IF(AND(CROQUIS!$C$88=1,CROQUIS!$C$129&gt;0),((CROQUIS!$C$160+(IF(CROQUIS!$C$92="X",CHOOSE(IF(INT(($A344-1)/5)&gt;MAX((MAX(1,INT(((CROQUIS!$C$98)-CROQUIS!$C$107)/MAX((CROQUIS!$C$129*MAX(1,CEILING((INT(((CROQUIS!$C$98)-CROQUIS!$C$107)/MAX(CROQUIS!$C$129,1))+1)/80,1))),1))+1))-1,0),0,MOD($A344-1,5))+1,0,2,CROQUIS!$C$97-2,2,0),((CROQUIS!$C$107/2+(((CROQUIS!$C$98)-CROQUIS!$C$107)-(MAX(1,INT(((CROQUIS!$C$98)-CROQUIS!$C$107)/MAX((CROQUIS!$C$129*MAX(1,CEILING((INT(((CROQUIS!$C$98)-CROQUIS!$C$107)/MAX(CROQUIS!$C$129,1))+1)/80,1))),1))+1)-1)*(CROQUIS!$C$129*MAX(1,CEILING((INT(((CROQUIS!$C$98)-CROQUIS!$C$107)/MAX(CROQUIS!$C$129,1))+1)/80,1))))/2)+MIN(INT(($A344-1)/5),MAX((MAX(1,INT(((CROQUIS!$C$98)-CROQUIS!$C$107)/MAX((CROQUIS!$C$129*MAX(1,CEILING((INT(((CROQUIS!$C$98)-CROQUIS!$C$107)/MAX(CROQUIS!$C$129,1))+1)/80,1))),1))+1))-1,0))*(CROQUIS!$C$129*MAX(1,CEILING((INT(((CROQUIS!$C$98)-CROQUIS!$C$107)/MAX(CROQUIS!$C$129,1))+1)/80,1))))))*CROQUIS!$C$159)+IF(CROQUIS!$C$92="X",0,0)),-1000)</f>
        <v>-1000</v>
      </c>
      <c r="BO344">
        <f>IF(AND(CROQUIS!$C$88=1,CROQUIS!$C$129&gt;0),((CROQUIS!$C$161+(IF(CROQUIS!$C$92="X",((CROQUIS!$C$107/2+(((CROQUIS!$C$98)-CROQUIS!$C$107)-(MAX(1,INT(((CROQUIS!$C$98)-CROQUIS!$C$107)/MAX((CROQUIS!$C$129*MAX(1,CEILING((INT(((CROQUIS!$C$98)-CROQUIS!$C$107)/MAX(CROQUIS!$C$129,1))+1)/80,1))),1))+1)-1)*(CROQUIS!$C$129*MAX(1,CEILING((INT(((CROQUIS!$C$98)-CROQUIS!$C$107)/MAX(CROQUIS!$C$129,1))+1)/80,1))))/2)+MIN(INT(($A344-1)/5),MAX((MAX(1,INT(((CROQUIS!$C$98)-CROQUIS!$C$107)/MAX((CROQUIS!$C$129*MAX(1,CEILING((INT(((CROQUIS!$C$98)-CROQUIS!$C$107)/MAX(CROQUIS!$C$129,1))+1)/80,1))),1))+1))-1,0))*(CROQUIS!$C$129*MAX(1,CEILING((INT(((CROQUIS!$C$98)-CROQUIS!$C$107)/MAX(CROQUIS!$C$129,1))+1)/80,1)))),CHOOSE(IF(INT(($A344-1)/5)&gt;MAX((MAX(1,INT(((CROQUIS!$C$98)-CROQUIS!$C$107)/MAX((CROQUIS!$C$129*MAX(1,CEILING((INT(((CROQUIS!$C$98)-CROQUIS!$C$107)/MAX(CROQUIS!$C$129,1))+1)/80,1))),1))+1))-1,0),0,MOD($A344-1,5))+1,0,2,CROQUIS!$C$97-2,2,0)))*CROQUIS!$C$159)+IF(CROQUIS!$C$92="X",0,0)),-1000)</f>
        <v>-1000</v>
      </c>
      <c r="BP344">
        <f>IF(AND(CROQUIS!$C$88=1,CROQUIS!$C$137&gt;0),((CROQUIS!$C$160+(IF(CROQUIS!$C$92="X",((CROQUIS!$C$107/2+(((CROQUIS!$C$97)-CROQUIS!$C$107)-(MAX(1,INT(((CROQUIS!$C$97)-CROQUIS!$C$107)/MAX((CROQUIS!$C$137*MAX(1,CEILING((INT(((CROQUIS!$C$97)-CROQUIS!$C$107)/MAX(CROQUIS!$C$137,1))+1)/80,1))),1))+1)-1)*(CROQUIS!$C$137*MAX(1,CEILING((INT(((CROQUIS!$C$97)-CROQUIS!$C$107)/MAX(CROQUIS!$C$137,1))+1)/80,1))))/2)+MIN(INT(($A344-1)/5),MAX((MAX(1,INT(((CROQUIS!$C$97)-CROQUIS!$C$107)/MAX((CROQUIS!$C$137*MAX(1,CEILING((INT(((CROQUIS!$C$97)-CROQUIS!$C$107)/MAX(CROQUIS!$C$137,1))+1)/80,1))),1))+1))-1,0))*(CROQUIS!$C$137*MAX(1,CEILING((INT(((CROQUIS!$C$97)-CROQUIS!$C$107)/MAX(CROQUIS!$C$137,1))+1)/80,1)))),CHOOSE(IF(INT(($A344-1)/5)&gt;MAX((MAX(1,INT(((CROQUIS!$C$97)-CROQUIS!$C$107)/MAX((CROQUIS!$C$137*MAX(1,CEILING((INT(((CROQUIS!$C$97)-CROQUIS!$C$107)/MAX(CROQUIS!$C$137,1))+1)/80,1))),1))+1))-1,0),0,MOD($A344-1,5))+1,0,2,CROQUIS!$C$98-2,2,0)))*CROQUIS!$C$159)+IF(CROQUIS!$C$92="X",0,0)),-1000)</f>
        <v>-1000</v>
      </c>
      <c r="BQ344">
        <f>IF(AND(CROQUIS!$C$88=1,CROQUIS!$C$137&gt;0),((CROQUIS!$C$161+(IF(CROQUIS!$C$92="X",CHOOSE(IF(INT(($A344-1)/5)&gt;MAX((MAX(1,INT(((CROQUIS!$C$97)-CROQUIS!$C$107)/MAX((CROQUIS!$C$137*MAX(1,CEILING((INT(((CROQUIS!$C$97)-CROQUIS!$C$107)/MAX(CROQUIS!$C$137,1))+1)/80,1))),1))+1))-1,0),0,MOD($A344-1,5))+1,0,2,CROQUIS!$C$98-2,2,0),((CROQUIS!$C$107/2+(((CROQUIS!$C$97)-CROQUIS!$C$107)-(MAX(1,INT(((CROQUIS!$C$97)-CROQUIS!$C$107)/MAX((CROQUIS!$C$137*MAX(1,CEILING((INT(((CROQUIS!$C$97)-CROQUIS!$C$107)/MAX(CROQUIS!$C$137,1))+1)/80,1))),1))+1)-1)*(CROQUIS!$C$137*MAX(1,CEILING((INT(((CROQUIS!$C$97)-CROQUIS!$C$107)/MAX(CROQUIS!$C$137,1))+1)/80,1))))/2)+MIN(INT(($A344-1)/5),MAX((MAX(1,INT(((CROQUIS!$C$97)-CROQUIS!$C$107)/MAX((CROQUIS!$C$137*MAX(1,CEILING((INT(((CROQUIS!$C$97)-CROQUIS!$C$107)/MAX(CROQUIS!$C$137,1))+1)/80,1))),1))+1))-1,0))*(CROQUIS!$C$137*MAX(1,CEILING((INT(((CROQUIS!$C$97)-CROQUIS!$C$107)/MAX(CROQUIS!$C$137,1))+1)/80,1))))))*CROQUIS!$C$159)+IF(CROQUIS!$C$92="X",0,0)),-1000)</f>
        <v>-1000</v>
      </c>
      <c r="BR344">
        <f>IF(AND(CROQUIS!$C$88=1,CROQUIS!$C$91=0,CROQUIS!$C$133&gt;0,OR(CROQUIS!$C$103=1,CROQUIS!$C$145=1)),((CROQUIS!$C$160+(IF(CROQUIS!$C$92="X",CHOOSE(IF(INT(($A344-1)/5)&gt;MAX((MAX(1,INT(((CROQUIS!$C$98)-CROQUIS!$C$107)/MAX((CROQUIS!$C$133*MAX(1,CEILING((INT(((CROQUIS!$C$98)-CROQUIS!$C$107)/MAX(CROQUIS!$C$133,1))+1)/80,1))),1))+1))-1,0),0,MOD($A344-1,5))+1,0,IF(CROQUIS!$C$103=1,-12,2),CROQUIS!$C$107/2+CROQUIS!$C$143,IF(CROQUIS!$C$103=1,-12,2),0),((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BS3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+1,0,IF(CROQUIS!$C$103=1,-12,2),CROQUIS!$C$107/2+CROQUIS!$C$143,IF(CROQUIS!$C$103=1,-12,2),0)))*CROQUIS!$C$159)+IF(CROQUIS!$C$92="X",0.8,0)),-1000)</f>
        <v>-1000</v>
      </c>
      <c r="BT344">
        <f>IF(AND(CROQUIS!$C$88=1,CROQUIS!$C$91=0,CROQUIS!$C$133&gt;0,OR(CROQUIS!$C$104=1,CROQUIS!$C$145=1)),((CROQUIS!$C$160+(IF(CROQUIS!$C$92="X",CHOOSE(IF(INT(($A344-1)/5)&gt;MAX((MAX(1,INT(((CROQUIS!$C$98)-CROQUIS!$C$107)/MAX((CROQUIS!$C$133*MAX(1,CEILING((INT(((CROQUIS!$C$98)-CROQUIS!$C$107)/MAX(CROQUIS!$C$133,1))+1)/80,1))),1))+1))-1,0),0,MOD($A344-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BU3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CROQUIS!$C$97,CROQUIS!$C$97-CROQUIS!$C$107/2-CROQUIS!$C$143,IF(CROQUIS!$C$104=1,CROQUIS!$C$97+12,CROQUIS!$C$97-2),CROQUIS!$C$97-CROQUIS!$C$107/2-CROQUIS!$C$143,CROQUIS!$C$97)))*CROQUIS!$C$159)+IF(CROQUIS!$C$92="X",0.8,0)),-1000)</f>
        <v>-1000</v>
      </c>
      <c r="BV3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HOOSE(IF(INT(($A344-1)/5)&gt;MAX((MAX(1,INT(((CROQUIS!$C$97)-CROQUIS!$C$107)/MAX((CROQUIS!$C$141*MAX(1,CEILING((INT(((CROQUIS!$C$97)-CROQUIS!$C$107)/MAX(CROQUIS!$C$141,1))+1)/80,1))),1))+1))-1,0),0,MOD($A344-1,5))+1,0,IF(CROQUIS!$C$105=1,-12,2),CROQUIS!$C$107/2+CROQUIS!$C$144,IF(CROQUIS!$C$105=1,-12,2),0)))*CROQUIS!$C$159)+IF(CROQUIS!$C$92="X",0.8,0)),-1000)</f>
        <v>-1000</v>
      </c>
      <c r="BW344">
        <f>IF(AND(CROQUIS!$C$88=1,CROQUIS!$C$91=0,CROQUIS!$C$141&gt;0,OR(CROQUIS!$C$105=1,CROQUIS!$C$146=1)),((CROQUIS!$C$161+(IF(CROQUIS!$C$92="X",CHOOSE(IF(INT(($A344-1)/5)&gt;MAX((MAX(1,INT(((CROQUIS!$C$97)-CROQUIS!$C$107)/MAX((CROQUIS!$C$141*MAX(1,CEILING((INT(((CROQUIS!$C$97)-CROQUIS!$C$107)/MAX(CROQUIS!$C$141,1))+1)/80,1))),1))+1))-1,0),0,MOD($A344-1,5))+1,0,IF(CROQUIS!$C$105=1,-12,2),CROQUIS!$C$107/2+CROQUIS!$C$144,IF(CROQUIS!$C$105=1,-12,2),0),((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ROQUIS!$C$159)+IF(CROQUIS!$C$92="X",0,0.8)),-1000)</f>
        <v>-1000</v>
      </c>
      <c r="BX3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HOOSE(IF(INT(($A344-1)/5)&gt;MAX((MAX(1,INT(((CROQUIS!$C$97)-CROQUIS!$C$107)/MAX((CROQUIS!$C$141*MAX(1,CEILING((INT(((CROQUIS!$C$97)-CROQUIS!$C$107)/MAX(CROQUIS!$C$141,1))+1)/80,1))),1))+1))-1,0),0,MOD($A344-1,5))+1,CROQUIS!$C$98,CROQUIS!$C$98-CROQUIS!$C$107/2-CROQUIS!$C$144,IF(CROQUIS!$C$106=1,CROQUIS!$C$98+12,CROQUIS!$C$98-2),CROQUIS!$C$98-CROQUIS!$C$107/2-CROQUIS!$C$144,CROQUIS!$C$98)))*CROQUIS!$C$159)+IF(CROQUIS!$C$92="X",0.8,0)),-1000)</f>
        <v>-1000</v>
      </c>
      <c r="BY344">
        <f>IF(AND(CROQUIS!$C$88=1,CROQUIS!$C$91=0,CROQUIS!$C$141&gt;0,OR(CROQUIS!$C$106=1,CROQUIS!$C$146=1)),((CROQUIS!$C$161+(IF(CROQUIS!$C$92="X",CHOOSE(IF(INT(($A344-1)/5)&gt;MAX((MAX(1,INT(((CROQUIS!$C$97)-CROQUIS!$C$107)/MAX((CROQUIS!$C$141*MAX(1,CEILING((INT(((CROQUIS!$C$97)-CROQUIS!$C$107)/MAX(CROQUIS!$C$141,1))+1)/80,1))),1))+1))-1,0),0,MOD($A344-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ROQUIS!$C$159)+IF(CROQUIS!$C$92="X",0,0.8)),-1000)</f>
        <v>-1000</v>
      </c>
      <c r="BZ344">
        <f>IF(AND(CROQUIS!$C$88=1,CROQUIS!$C$91=1,CROQUIS!$C$133&gt;0),((CROQUIS!$C$160+(IF(CROQUIS!$C$92="X",CHOOSE(IF(INT(($A344-1)/5)&gt;MAX((MAX(1,INT(((CROQUIS!$C$98)-CROQUIS!$C$107)/MAX((CROQUIS!$C$133*MAX(1,CEILING((INT(((CROQUIS!$C$98)-CROQUIS!$C$107)/MAX(CROQUIS!$C$133,1))+1)/80,1))),1))+1))-1,0),0,MOD($A344-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CA344">
        <f>IF(AND(CROQUIS!$C$88=1,CROQUIS!$C$91=1,CROQUIS!$C$133&gt;0),((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5">
      <c r="A345" t="n">
        <v>338</v>
      </c>
      <c r="BN345">
        <f>IF(AND(CROQUIS!$C$88=1,CROQUIS!$C$129&gt;0),((CROQUIS!$C$160+(IF(CROQUIS!$C$92="X",CHOOSE(IF(INT(($A345-1)/5)&gt;MAX((MAX(1,INT(((CROQUIS!$C$98)-CROQUIS!$C$107)/MAX((CROQUIS!$C$129*MAX(1,CEILING((INT(((CROQUIS!$C$98)-CROQUIS!$C$107)/MAX(CROQUIS!$C$129,1))+1)/80,1))),1))+1))-1,0),0,MOD($A345-1,5))+1,0,2,CROQUIS!$C$97-2,2,0),((CROQUIS!$C$107/2+(((CROQUIS!$C$98)-CROQUIS!$C$107)-(MAX(1,INT(((CROQUIS!$C$98)-CROQUIS!$C$107)/MAX((CROQUIS!$C$129*MAX(1,CEILING((INT(((CROQUIS!$C$98)-CROQUIS!$C$107)/MAX(CROQUIS!$C$129,1))+1)/80,1))),1))+1)-1)*(CROQUIS!$C$129*MAX(1,CEILING((INT(((CROQUIS!$C$98)-CROQUIS!$C$107)/MAX(CROQUIS!$C$129,1))+1)/80,1))))/2)+MIN(INT(($A345-1)/5),MAX((MAX(1,INT(((CROQUIS!$C$98)-CROQUIS!$C$107)/MAX((CROQUIS!$C$129*MAX(1,CEILING((INT(((CROQUIS!$C$98)-CROQUIS!$C$107)/MAX(CROQUIS!$C$129,1))+1)/80,1))),1))+1))-1,0))*(CROQUIS!$C$129*MAX(1,CEILING((INT(((CROQUIS!$C$98)-CROQUIS!$C$107)/MAX(CROQUIS!$C$129,1))+1)/80,1))))))*CROQUIS!$C$159)+IF(CROQUIS!$C$92="X",0,0)),-1000)</f>
        <v>-1000</v>
      </c>
      <c r="BO345">
        <f>IF(AND(CROQUIS!$C$88=1,CROQUIS!$C$129&gt;0),((CROQUIS!$C$161+(IF(CROQUIS!$C$92="X",((CROQUIS!$C$107/2+(((CROQUIS!$C$98)-CROQUIS!$C$107)-(MAX(1,INT(((CROQUIS!$C$98)-CROQUIS!$C$107)/MAX((CROQUIS!$C$129*MAX(1,CEILING((INT(((CROQUIS!$C$98)-CROQUIS!$C$107)/MAX(CROQUIS!$C$129,1))+1)/80,1))),1))+1)-1)*(CROQUIS!$C$129*MAX(1,CEILING((INT(((CROQUIS!$C$98)-CROQUIS!$C$107)/MAX(CROQUIS!$C$129,1))+1)/80,1))))/2)+MIN(INT(($A345-1)/5),MAX((MAX(1,INT(((CROQUIS!$C$98)-CROQUIS!$C$107)/MAX((CROQUIS!$C$129*MAX(1,CEILING((INT(((CROQUIS!$C$98)-CROQUIS!$C$107)/MAX(CROQUIS!$C$129,1))+1)/80,1))),1))+1))-1,0))*(CROQUIS!$C$129*MAX(1,CEILING((INT(((CROQUIS!$C$98)-CROQUIS!$C$107)/MAX(CROQUIS!$C$129,1))+1)/80,1)))),CHOOSE(IF(INT(($A345-1)/5)&gt;MAX((MAX(1,INT(((CROQUIS!$C$98)-CROQUIS!$C$107)/MAX((CROQUIS!$C$129*MAX(1,CEILING((INT(((CROQUIS!$C$98)-CROQUIS!$C$107)/MAX(CROQUIS!$C$129,1))+1)/80,1))),1))+1))-1,0),0,MOD($A345-1,5))+1,0,2,CROQUIS!$C$97-2,2,0)))*CROQUIS!$C$159)+IF(CROQUIS!$C$92="X",0,0)),-1000)</f>
        <v>-1000</v>
      </c>
      <c r="BP345">
        <f>IF(AND(CROQUIS!$C$88=1,CROQUIS!$C$137&gt;0),((CROQUIS!$C$160+(IF(CROQUIS!$C$92="X",((CROQUIS!$C$107/2+(((CROQUIS!$C$97)-CROQUIS!$C$107)-(MAX(1,INT(((CROQUIS!$C$97)-CROQUIS!$C$107)/MAX((CROQUIS!$C$137*MAX(1,CEILING((INT(((CROQUIS!$C$97)-CROQUIS!$C$107)/MAX(CROQUIS!$C$137,1))+1)/80,1))),1))+1)-1)*(CROQUIS!$C$137*MAX(1,CEILING((INT(((CROQUIS!$C$97)-CROQUIS!$C$107)/MAX(CROQUIS!$C$137,1))+1)/80,1))))/2)+MIN(INT(($A345-1)/5),MAX((MAX(1,INT(((CROQUIS!$C$97)-CROQUIS!$C$107)/MAX((CROQUIS!$C$137*MAX(1,CEILING((INT(((CROQUIS!$C$97)-CROQUIS!$C$107)/MAX(CROQUIS!$C$137,1))+1)/80,1))),1))+1))-1,0))*(CROQUIS!$C$137*MAX(1,CEILING((INT(((CROQUIS!$C$97)-CROQUIS!$C$107)/MAX(CROQUIS!$C$137,1))+1)/80,1)))),CHOOSE(IF(INT(($A345-1)/5)&gt;MAX((MAX(1,INT(((CROQUIS!$C$97)-CROQUIS!$C$107)/MAX((CROQUIS!$C$137*MAX(1,CEILING((INT(((CROQUIS!$C$97)-CROQUIS!$C$107)/MAX(CROQUIS!$C$137,1))+1)/80,1))),1))+1))-1,0),0,MOD($A345-1,5))+1,0,2,CROQUIS!$C$98-2,2,0)))*CROQUIS!$C$159)+IF(CROQUIS!$C$92="X",0,0)),-1000)</f>
        <v>-1000</v>
      </c>
      <c r="BQ345">
        <f>IF(AND(CROQUIS!$C$88=1,CROQUIS!$C$137&gt;0),((CROQUIS!$C$161+(IF(CROQUIS!$C$92="X",CHOOSE(IF(INT(($A345-1)/5)&gt;MAX((MAX(1,INT(((CROQUIS!$C$97)-CROQUIS!$C$107)/MAX((CROQUIS!$C$137*MAX(1,CEILING((INT(((CROQUIS!$C$97)-CROQUIS!$C$107)/MAX(CROQUIS!$C$137,1))+1)/80,1))),1))+1))-1,0),0,MOD($A345-1,5))+1,0,2,CROQUIS!$C$98-2,2,0),((CROQUIS!$C$107/2+(((CROQUIS!$C$97)-CROQUIS!$C$107)-(MAX(1,INT(((CROQUIS!$C$97)-CROQUIS!$C$107)/MAX((CROQUIS!$C$137*MAX(1,CEILING((INT(((CROQUIS!$C$97)-CROQUIS!$C$107)/MAX(CROQUIS!$C$137,1))+1)/80,1))),1))+1)-1)*(CROQUIS!$C$137*MAX(1,CEILING((INT(((CROQUIS!$C$97)-CROQUIS!$C$107)/MAX(CROQUIS!$C$137,1))+1)/80,1))))/2)+MIN(INT(($A345-1)/5),MAX((MAX(1,INT(((CROQUIS!$C$97)-CROQUIS!$C$107)/MAX((CROQUIS!$C$137*MAX(1,CEILING((INT(((CROQUIS!$C$97)-CROQUIS!$C$107)/MAX(CROQUIS!$C$137,1))+1)/80,1))),1))+1))-1,0))*(CROQUIS!$C$137*MAX(1,CEILING((INT(((CROQUIS!$C$97)-CROQUIS!$C$107)/MAX(CROQUIS!$C$137,1))+1)/80,1))))))*CROQUIS!$C$159)+IF(CROQUIS!$C$92="X",0,0)),-1000)</f>
        <v>-1000</v>
      </c>
      <c r="BR345">
        <f>IF(AND(CROQUIS!$C$88=1,CROQUIS!$C$91=0,CROQUIS!$C$133&gt;0,OR(CROQUIS!$C$103=1,CROQUIS!$C$145=1)),((CROQUIS!$C$160+(IF(CROQUIS!$C$92="X",CHOOSE(IF(INT(($A345-1)/5)&gt;MAX((MAX(1,INT(((CROQUIS!$C$98)-CROQUIS!$C$107)/MAX((CROQUIS!$C$133*MAX(1,CEILING((INT(((CROQUIS!$C$98)-CROQUIS!$C$107)/MAX(CROQUIS!$C$133,1))+1)/80,1))),1))+1))-1,0),0,MOD($A345-1,5))+1,0,IF(CROQUIS!$C$103=1,-12,2),CROQUIS!$C$107/2+CROQUIS!$C$143,IF(CROQUIS!$C$103=1,-12,2),0),((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BS3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+1,0,IF(CROQUIS!$C$103=1,-12,2),CROQUIS!$C$107/2+CROQUIS!$C$143,IF(CROQUIS!$C$103=1,-12,2),0)))*CROQUIS!$C$159)+IF(CROQUIS!$C$92="X",0.8,0)),-1000)</f>
        <v>-1000</v>
      </c>
      <c r="BT345">
        <f>IF(AND(CROQUIS!$C$88=1,CROQUIS!$C$91=0,CROQUIS!$C$133&gt;0,OR(CROQUIS!$C$104=1,CROQUIS!$C$145=1)),((CROQUIS!$C$160+(IF(CROQUIS!$C$92="X",CHOOSE(IF(INT(($A345-1)/5)&gt;MAX((MAX(1,INT(((CROQUIS!$C$98)-CROQUIS!$C$107)/MAX((CROQUIS!$C$133*MAX(1,CEILING((INT(((CROQUIS!$C$98)-CROQUIS!$C$107)/MAX(CROQUIS!$C$133,1))+1)/80,1))),1))+1))-1,0),0,MOD($A345-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BU3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CROQUIS!$C$97,CROQUIS!$C$97-CROQUIS!$C$107/2-CROQUIS!$C$143,IF(CROQUIS!$C$104=1,CROQUIS!$C$97+12,CROQUIS!$C$97-2),CROQUIS!$C$97-CROQUIS!$C$107/2-CROQUIS!$C$143,CROQUIS!$C$97)))*CROQUIS!$C$159)+IF(CROQUIS!$C$92="X",0.8,0)),-1000)</f>
        <v>-1000</v>
      </c>
      <c r="BV3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HOOSE(IF(INT(($A345-1)/5)&gt;MAX((MAX(1,INT(((CROQUIS!$C$97)-CROQUIS!$C$107)/MAX((CROQUIS!$C$141*MAX(1,CEILING((INT(((CROQUIS!$C$97)-CROQUIS!$C$107)/MAX(CROQUIS!$C$141,1))+1)/80,1))),1))+1))-1,0),0,MOD($A345-1,5))+1,0,IF(CROQUIS!$C$105=1,-12,2),CROQUIS!$C$107/2+CROQUIS!$C$144,IF(CROQUIS!$C$105=1,-12,2),0)))*CROQUIS!$C$159)+IF(CROQUIS!$C$92="X",0.8,0)),-1000)</f>
        <v>-1000</v>
      </c>
      <c r="BW345">
        <f>IF(AND(CROQUIS!$C$88=1,CROQUIS!$C$91=0,CROQUIS!$C$141&gt;0,OR(CROQUIS!$C$105=1,CROQUIS!$C$146=1)),((CROQUIS!$C$161+(IF(CROQUIS!$C$92="X",CHOOSE(IF(INT(($A345-1)/5)&gt;MAX((MAX(1,INT(((CROQUIS!$C$97)-CROQUIS!$C$107)/MAX((CROQUIS!$C$141*MAX(1,CEILING((INT(((CROQUIS!$C$97)-CROQUIS!$C$107)/MAX(CROQUIS!$C$141,1))+1)/80,1))),1))+1))-1,0),0,MOD($A345-1,5))+1,0,IF(CROQUIS!$C$105=1,-12,2),CROQUIS!$C$107/2+CROQUIS!$C$144,IF(CROQUIS!$C$105=1,-12,2),0),((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ROQUIS!$C$159)+IF(CROQUIS!$C$92="X",0,0.8)),-1000)</f>
        <v>-1000</v>
      </c>
      <c r="BX3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HOOSE(IF(INT(($A345-1)/5)&gt;MAX((MAX(1,INT(((CROQUIS!$C$97)-CROQUIS!$C$107)/MAX((CROQUIS!$C$141*MAX(1,CEILING((INT(((CROQUIS!$C$97)-CROQUIS!$C$107)/MAX(CROQUIS!$C$141,1))+1)/80,1))),1))+1))-1,0),0,MOD($A345-1,5))+1,CROQUIS!$C$98,CROQUIS!$C$98-CROQUIS!$C$107/2-CROQUIS!$C$144,IF(CROQUIS!$C$106=1,CROQUIS!$C$98+12,CROQUIS!$C$98-2),CROQUIS!$C$98-CROQUIS!$C$107/2-CROQUIS!$C$144,CROQUIS!$C$98)))*CROQUIS!$C$159)+IF(CROQUIS!$C$92="X",0.8,0)),-1000)</f>
        <v>-1000</v>
      </c>
      <c r="BY345">
        <f>IF(AND(CROQUIS!$C$88=1,CROQUIS!$C$91=0,CROQUIS!$C$141&gt;0,OR(CROQUIS!$C$106=1,CROQUIS!$C$146=1)),((CROQUIS!$C$161+(IF(CROQUIS!$C$92="X",CHOOSE(IF(INT(($A345-1)/5)&gt;MAX((MAX(1,INT(((CROQUIS!$C$97)-CROQUIS!$C$107)/MAX((CROQUIS!$C$141*MAX(1,CEILING((INT(((CROQUIS!$C$97)-CROQUIS!$C$107)/MAX(CROQUIS!$C$141,1))+1)/80,1))),1))+1))-1,0),0,MOD($A345-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ROQUIS!$C$159)+IF(CROQUIS!$C$92="X",0,0.8)),-1000)</f>
        <v>-1000</v>
      </c>
      <c r="BZ345">
        <f>IF(AND(CROQUIS!$C$88=1,CROQUIS!$C$91=1,CROQUIS!$C$133&gt;0),((CROQUIS!$C$160+(IF(CROQUIS!$C$92="X",CHOOSE(IF(INT(($A345-1)/5)&gt;MAX((MAX(1,INT(((CROQUIS!$C$98)-CROQUIS!$C$107)/MAX((CROQUIS!$C$133*MAX(1,CEILING((INT(((CROQUIS!$C$98)-CROQUIS!$C$107)/MAX(CROQUIS!$C$133,1))+1)/80,1))),1))+1))-1,0),0,MOD($A345-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CA345">
        <f>IF(AND(CROQUIS!$C$88=1,CROQUIS!$C$91=1,CROQUIS!$C$133&gt;0),((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6">
      <c r="A346" t="n">
        <v>339</v>
      </c>
      <c r="BN346">
        <f>IF(AND(CROQUIS!$C$88=1,CROQUIS!$C$129&gt;0),((CROQUIS!$C$160+(IF(CROQUIS!$C$92="X",CHOOSE(IF(INT(($A346-1)/5)&gt;MAX((MAX(1,INT(((CROQUIS!$C$98)-CROQUIS!$C$107)/MAX((CROQUIS!$C$129*MAX(1,CEILING((INT(((CROQUIS!$C$98)-CROQUIS!$C$107)/MAX(CROQUIS!$C$129,1))+1)/80,1))),1))+1))-1,0),0,MOD($A346-1,5))+1,0,2,CROQUIS!$C$97-2,2,0),((CROQUIS!$C$107/2+(((CROQUIS!$C$98)-CROQUIS!$C$107)-(MAX(1,INT(((CROQUIS!$C$98)-CROQUIS!$C$107)/MAX((CROQUIS!$C$129*MAX(1,CEILING((INT(((CROQUIS!$C$98)-CROQUIS!$C$107)/MAX(CROQUIS!$C$129,1))+1)/80,1))),1))+1)-1)*(CROQUIS!$C$129*MAX(1,CEILING((INT(((CROQUIS!$C$98)-CROQUIS!$C$107)/MAX(CROQUIS!$C$129,1))+1)/80,1))))/2)+MIN(INT(($A346-1)/5),MAX((MAX(1,INT(((CROQUIS!$C$98)-CROQUIS!$C$107)/MAX((CROQUIS!$C$129*MAX(1,CEILING((INT(((CROQUIS!$C$98)-CROQUIS!$C$107)/MAX(CROQUIS!$C$129,1))+1)/80,1))),1))+1))-1,0))*(CROQUIS!$C$129*MAX(1,CEILING((INT(((CROQUIS!$C$98)-CROQUIS!$C$107)/MAX(CROQUIS!$C$129,1))+1)/80,1))))))*CROQUIS!$C$159)+IF(CROQUIS!$C$92="X",0,0)),-1000)</f>
        <v>-1000</v>
      </c>
      <c r="BO346">
        <f>IF(AND(CROQUIS!$C$88=1,CROQUIS!$C$129&gt;0),((CROQUIS!$C$161+(IF(CROQUIS!$C$92="X",((CROQUIS!$C$107/2+(((CROQUIS!$C$98)-CROQUIS!$C$107)-(MAX(1,INT(((CROQUIS!$C$98)-CROQUIS!$C$107)/MAX((CROQUIS!$C$129*MAX(1,CEILING((INT(((CROQUIS!$C$98)-CROQUIS!$C$107)/MAX(CROQUIS!$C$129,1))+1)/80,1))),1))+1)-1)*(CROQUIS!$C$129*MAX(1,CEILING((INT(((CROQUIS!$C$98)-CROQUIS!$C$107)/MAX(CROQUIS!$C$129,1))+1)/80,1))))/2)+MIN(INT(($A346-1)/5),MAX((MAX(1,INT(((CROQUIS!$C$98)-CROQUIS!$C$107)/MAX((CROQUIS!$C$129*MAX(1,CEILING((INT(((CROQUIS!$C$98)-CROQUIS!$C$107)/MAX(CROQUIS!$C$129,1))+1)/80,1))),1))+1))-1,0))*(CROQUIS!$C$129*MAX(1,CEILING((INT(((CROQUIS!$C$98)-CROQUIS!$C$107)/MAX(CROQUIS!$C$129,1))+1)/80,1)))),CHOOSE(IF(INT(($A346-1)/5)&gt;MAX((MAX(1,INT(((CROQUIS!$C$98)-CROQUIS!$C$107)/MAX((CROQUIS!$C$129*MAX(1,CEILING((INT(((CROQUIS!$C$98)-CROQUIS!$C$107)/MAX(CROQUIS!$C$129,1))+1)/80,1))),1))+1))-1,0),0,MOD($A346-1,5))+1,0,2,CROQUIS!$C$97-2,2,0)))*CROQUIS!$C$159)+IF(CROQUIS!$C$92="X",0,0)),-1000)</f>
        <v>-1000</v>
      </c>
      <c r="BP346">
        <f>IF(AND(CROQUIS!$C$88=1,CROQUIS!$C$137&gt;0),((CROQUIS!$C$160+(IF(CROQUIS!$C$92="X",((CROQUIS!$C$107/2+(((CROQUIS!$C$97)-CROQUIS!$C$107)-(MAX(1,INT(((CROQUIS!$C$97)-CROQUIS!$C$107)/MAX((CROQUIS!$C$137*MAX(1,CEILING((INT(((CROQUIS!$C$97)-CROQUIS!$C$107)/MAX(CROQUIS!$C$137,1))+1)/80,1))),1))+1)-1)*(CROQUIS!$C$137*MAX(1,CEILING((INT(((CROQUIS!$C$97)-CROQUIS!$C$107)/MAX(CROQUIS!$C$137,1))+1)/80,1))))/2)+MIN(INT(($A346-1)/5),MAX((MAX(1,INT(((CROQUIS!$C$97)-CROQUIS!$C$107)/MAX((CROQUIS!$C$137*MAX(1,CEILING((INT(((CROQUIS!$C$97)-CROQUIS!$C$107)/MAX(CROQUIS!$C$137,1))+1)/80,1))),1))+1))-1,0))*(CROQUIS!$C$137*MAX(1,CEILING((INT(((CROQUIS!$C$97)-CROQUIS!$C$107)/MAX(CROQUIS!$C$137,1))+1)/80,1)))),CHOOSE(IF(INT(($A346-1)/5)&gt;MAX((MAX(1,INT(((CROQUIS!$C$97)-CROQUIS!$C$107)/MAX((CROQUIS!$C$137*MAX(1,CEILING((INT(((CROQUIS!$C$97)-CROQUIS!$C$107)/MAX(CROQUIS!$C$137,1))+1)/80,1))),1))+1))-1,0),0,MOD($A346-1,5))+1,0,2,CROQUIS!$C$98-2,2,0)))*CROQUIS!$C$159)+IF(CROQUIS!$C$92="X",0,0)),-1000)</f>
        <v>-1000</v>
      </c>
      <c r="BQ346">
        <f>IF(AND(CROQUIS!$C$88=1,CROQUIS!$C$137&gt;0),((CROQUIS!$C$161+(IF(CROQUIS!$C$92="X",CHOOSE(IF(INT(($A346-1)/5)&gt;MAX((MAX(1,INT(((CROQUIS!$C$97)-CROQUIS!$C$107)/MAX((CROQUIS!$C$137*MAX(1,CEILING((INT(((CROQUIS!$C$97)-CROQUIS!$C$107)/MAX(CROQUIS!$C$137,1))+1)/80,1))),1))+1))-1,0),0,MOD($A346-1,5))+1,0,2,CROQUIS!$C$98-2,2,0),((CROQUIS!$C$107/2+(((CROQUIS!$C$97)-CROQUIS!$C$107)-(MAX(1,INT(((CROQUIS!$C$97)-CROQUIS!$C$107)/MAX((CROQUIS!$C$137*MAX(1,CEILING((INT(((CROQUIS!$C$97)-CROQUIS!$C$107)/MAX(CROQUIS!$C$137,1))+1)/80,1))),1))+1)-1)*(CROQUIS!$C$137*MAX(1,CEILING((INT(((CROQUIS!$C$97)-CROQUIS!$C$107)/MAX(CROQUIS!$C$137,1))+1)/80,1))))/2)+MIN(INT(($A346-1)/5),MAX((MAX(1,INT(((CROQUIS!$C$97)-CROQUIS!$C$107)/MAX((CROQUIS!$C$137*MAX(1,CEILING((INT(((CROQUIS!$C$97)-CROQUIS!$C$107)/MAX(CROQUIS!$C$137,1))+1)/80,1))),1))+1))-1,0))*(CROQUIS!$C$137*MAX(1,CEILING((INT(((CROQUIS!$C$97)-CROQUIS!$C$107)/MAX(CROQUIS!$C$137,1))+1)/80,1))))))*CROQUIS!$C$159)+IF(CROQUIS!$C$92="X",0,0)),-1000)</f>
        <v>-1000</v>
      </c>
      <c r="BR346">
        <f>IF(AND(CROQUIS!$C$88=1,CROQUIS!$C$91=0,CROQUIS!$C$133&gt;0,OR(CROQUIS!$C$103=1,CROQUIS!$C$145=1)),((CROQUIS!$C$160+(IF(CROQUIS!$C$92="X",CHOOSE(IF(INT(($A346-1)/5)&gt;MAX((MAX(1,INT(((CROQUIS!$C$98)-CROQUIS!$C$107)/MAX((CROQUIS!$C$133*MAX(1,CEILING((INT(((CROQUIS!$C$98)-CROQUIS!$C$107)/MAX(CROQUIS!$C$133,1))+1)/80,1))),1))+1))-1,0),0,MOD($A346-1,5))+1,0,IF(CROQUIS!$C$103=1,-12,2),CROQUIS!$C$107/2+CROQUIS!$C$143,IF(CROQUIS!$C$103=1,-12,2),0),((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BS3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+1,0,IF(CROQUIS!$C$103=1,-12,2),CROQUIS!$C$107/2+CROQUIS!$C$143,IF(CROQUIS!$C$103=1,-12,2),0)))*CROQUIS!$C$159)+IF(CROQUIS!$C$92="X",0.8,0)),-1000)</f>
        <v>-1000</v>
      </c>
      <c r="BT346">
        <f>IF(AND(CROQUIS!$C$88=1,CROQUIS!$C$91=0,CROQUIS!$C$133&gt;0,OR(CROQUIS!$C$104=1,CROQUIS!$C$145=1)),((CROQUIS!$C$160+(IF(CROQUIS!$C$92="X",CHOOSE(IF(INT(($A346-1)/5)&gt;MAX((MAX(1,INT(((CROQUIS!$C$98)-CROQUIS!$C$107)/MAX((CROQUIS!$C$133*MAX(1,CEILING((INT(((CROQUIS!$C$98)-CROQUIS!$C$107)/MAX(CROQUIS!$C$133,1))+1)/80,1))),1))+1))-1,0),0,MOD($A346-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BU3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CROQUIS!$C$97,CROQUIS!$C$97-CROQUIS!$C$107/2-CROQUIS!$C$143,IF(CROQUIS!$C$104=1,CROQUIS!$C$97+12,CROQUIS!$C$97-2),CROQUIS!$C$97-CROQUIS!$C$107/2-CROQUIS!$C$143,CROQUIS!$C$97)))*CROQUIS!$C$159)+IF(CROQUIS!$C$92="X",0.8,0)),-1000)</f>
        <v>-1000</v>
      </c>
      <c r="BV3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HOOSE(IF(INT(($A346-1)/5)&gt;MAX((MAX(1,INT(((CROQUIS!$C$97)-CROQUIS!$C$107)/MAX((CROQUIS!$C$141*MAX(1,CEILING((INT(((CROQUIS!$C$97)-CROQUIS!$C$107)/MAX(CROQUIS!$C$141,1))+1)/80,1))),1))+1))-1,0),0,MOD($A346-1,5))+1,0,IF(CROQUIS!$C$105=1,-12,2),CROQUIS!$C$107/2+CROQUIS!$C$144,IF(CROQUIS!$C$105=1,-12,2),0)))*CROQUIS!$C$159)+IF(CROQUIS!$C$92="X",0.8,0)),-1000)</f>
        <v>-1000</v>
      </c>
      <c r="BW346">
        <f>IF(AND(CROQUIS!$C$88=1,CROQUIS!$C$91=0,CROQUIS!$C$141&gt;0,OR(CROQUIS!$C$105=1,CROQUIS!$C$146=1)),((CROQUIS!$C$161+(IF(CROQUIS!$C$92="X",CHOOSE(IF(INT(($A346-1)/5)&gt;MAX((MAX(1,INT(((CROQUIS!$C$97)-CROQUIS!$C$107)/MAX((CROQUIS!$C$141*MAX(1,CEILING((INT(((CROQUIS!$C$97)-CROQUIS!$C$107)/MAX(CROQUIS!$C$141,1))+1)/80,1))),1))+1))-1,0),0,MOD($A346-1,5))+1,0,IF(CROQUIS!$C$105=1,-12,2),CROQUIS!$C$107/2+CROQUIS!$C$144,IF(CROQUIS!$C$105=1,-12,2),0),((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ROQUIS!$C$159)+IF(CROQUIS!$C$92="X",0,0.8)),-1000)</f>
        <v>-1000</v>
      </c>
      <c r="BX3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HOOSE(IF(INT(($A346-1)/5)&gt;MAX((MAX(1,INT(((CROQUIS!$C$97)-CROQUIS!$C$107)/MAX((CROQUIS!$C$141*MAX(1,CEILING((INT(((CROQUIS!$C$97)-CROQUIS!$C$107)/MAX(CROQUIS!$C$141,1))+1)/80,1))),1))+1))-1,0),0,MOD($A346-1,5))+1,CROQUIS!$C$98,CROQUIS!$C$98-CROQUIS!$C$107/2-CROQUIS!$C$144,IF(CROQUIS!$C$106=1,CROQUIS!$C$98+12,CROQUIS!$C$98-2),CROQUIS!$C$98-CROQUIS!$C$107/2-CROQUIS!$C$144,CROQUIS!$C$98)))*CROQUIS!$C$159)+IF(CROQUIS!$C$92="X",0.8,0)),-1000)</f>
        <v>-1000</v>
      </c>
      <c r="BY346">
        <f>IF(AND(CROQUIS!$C$88=1,CROQUIS!$C$91=0,CROQUIS!$C$141&gt;0,OR(CROQUIS!$C$106=1,CROQUIS!$C$146=1)),((CROQUIS!$C$161+(IF(CROQUIS!$C$92="X",CHOOSE(IF(INT(($A346-1)/5)&gt;MAX((MAX(1,INT(((CROQUIS!$C$97)-CROQUIS!$C$107)/MAX((CROQUIS!$C$141*MAX(1,CEILING((INT(((CROQUIS!$C$97)-CROQUIS!$C$107)/MAX(CROQUIS!$C$141,1))+1)/80,1))),1))+1))-1,0),0,MOD($A346-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ROQUIS!$C$159)+IF(CROQUIS!$C$92="X",0,0.8)),-1000)</f>
        <v>-1000</v>
      </c>
      <c r="BZ346">
        <f>IF(AND(CROQUIS!$C$88=1,CROQUIS!$C$91=1,CROQUIS!$C$133&gt;0),((CROQUIS!$C$160+(IF(CROQUIS!$C$92="X",CHOOSE(IF(INT(($A346-1)/5)&gt;MAX((MAX(1,INT(((CROQUIS!$C$98)-CROQUIS!$C$107)/MAX((CROQUIS!$C$133*MAX(1,CEILING((INT(((CROQUIS!$C$98)-CROQUIS!$C$107)/MAX(CROQUIS!$C$133,1))+1)/80,1))),1))+1))-1,0),0,MOD($A346-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CA346">
        <f>IF(AND(CROQUIS!$C$88=1,CROQUIS!$C$91=1,CROQUIS!$C$133&gt;0),((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7">
      <c r="A347" t="n">
        <v>340</v>
      </c>
      <c r="BN347">
        <f>IF(AND(CROQUIS!$C$88=1,CROQUIS!$C$129&gt;0),((CROQUIS!$C$160+(IF(CROQUIS!$C$92="X",CHOOSE(IF(INT(($A347-1)/5)&gt;MAX((MAX(1,INT(((CROQUIS!$C$98)-CROQUIS!$C$107)/MAX((CROQUIS!$C$129*MAX(1,CEILING((INT(((CROQUIS!$C$98)-CROQUIS!$C$107)/MAX(CROQUIS!$C$129,1))+1)/80,1))),1))+1))-1,0),0,MOD($A347-1,5))+1,0,2,CROQUIS!$C$97-2,2,0),((CROQUIS!$C$107/2+(((CROQUIS!$C$98)-CROQUIS!$C$107)-(MAX(1,INT(((CROQUIS!$C$98)-CROQUIS!$C$107)/MAX((CROQUIS!$C$129*MAX(1,CEILING((INT(((CROQUIS!$C$98)-CROQUIS!$C$107)/MAX(CROQUIS!$C$129,1))+1)/80,1))),1))+1)-1)*(CROQUIS!$C$129*MAX(1,CEILING((INT(((CROQUIS!$C$98)-CROQUIS!$C$107)/MAX(CROQUIS!$C$129,1))+1)/80,1))))/2)+MIN(INT(($A347-1)/5),MAX((MAX(1,INT(((CROQUIS!$C$98)-CROQUIS!$C$107)/MAX((CROQUIS!$C$129*MAX(1,CEILING((INT(((CROQUIS!$C$98)-CROQUIS!$C$107)/MAX(CROQUIS!$C$129,1))+1)/80,1))),1))+1))-1,0))*(CROQUIS!$C$129*MAX(1,CEILING((INT(((CROQUIS!$C$98)-CROQUIS!$C$107)/MAX(CROQUIS!$C$129,1))+1)/80,1))))))*CROQUIS!$C$159)+IF(CROQUIS!$C$92="X",0,0)),-1000)</f>
        <v>-1000</v>
      </c>
      <c r="BO347">
        <f>IF(AND(CROQUIS!$C$88=1,CROQUIS!$C$129&gt;0),((CROQUIS!$C$161+(IF(CROQUIS!$C$92="X",((CROQUIS!$C$107/2+(((CROQUIS!$C$98)-CROQUIS!$C$107)-(MAX(1,INT(((CROQUIS!$C$98)-CROQUIS!$C$107)/MAX((CROQUIS!$C$129*MAX(1,CEILING((INT(((CROQUIS!$C$98)-CROQUIS!$C$107)/MAX(CROQUIS!$C$129,1))+1)/80,1))),1))+1)-1)*(CROQUIS!$C$129*MAX(1,CEILING((INT(((CROQUIS!$C$98)-CROQUIS!$C$107)/MAX(CROQUIS!$C$129,1))+1)/80,1))))/2)+MIN(INT(($A347-1)/5),MAX((MAX(1,INT(((CROQUIS!$C$98)-CROQUIS!$C$107)/MAX((CROQUIS!$C$129*MAX(1,CEILING((INT(((CROQUIS!$C$98)-CROQUIS!$C$107)/MAX(CROQUIS!$C$129,1))+1)/80,1))),1))+1))-1,0))*(CROQUIS!$C$129*MAX(1,CEILING((INT(((CROQUIS!$C$98)-CROQUIS!$C$107)/MAX(CROQUIS!$C$129,1))+1)/80,1)))),CHOOSE(IF(INT(($A347-1)/5)&gt;MAX((MAX(1,INT(((CROQUIS!$C$98)-CROQUIS!$C$107)/MAX((CROQUIS!$C$129*MAX(1,CEILING((INT(((CROQUIS!$C$98)-CROQUIS!$C$107)/MAX(CROQUIS!$C$129,1))+1)/80,1))),1))+1))-1,0),0,MOD($A347-1,5))+1,0,2,CROQUIS!$C$97-2,2,0)))*CROQUIS!$C$159)+IF(CROQUIS!$C$92="X",0,0)),-1000)</f>
        <v>-1000</v>
      </c>
      <c r="BP347">
        <f>IF(AND(CROQUIS!$C$88=1,CROQUIS!$C$137&gt;0),((CROQUIS!$C$160+(IF(CROQUIS!$C$92="X",((CROQUIS!$C$107/2+(((CROQUIS!$C$97)-CROQUIS!$C$107)-(MAX(1,INT(((CROQUIS!$C$97)-CROQUIS!$C$107)/MAX((CROQUIS!$C$137*MAX(1,CEILING((INT(((CROQUIS!$C$97)-CROQUIS!$C$107)/MAX(CROQUIS!$C$137,1))+1)/80,1))),1))+1)-1)*(CROQUIS!$C$137*MAX(1,CEILING((INT(((CROQUIS!$C$97)-CROQUIS!$C$107)/MAX(CROQUIS!$C$137,1))+1)/80,1))))/2)+MIN(INT(($A347-1)/5),MAX((MAX(1,INT(((CROQUIS!$C$97)-CROQUIS!$C$107)/MAX((CROQUIS!$C$137*MAX(1,CEILING((INT(((CROQUIS!$C$97)-CROQUIS!$C$107)/MAX(CROQUIS!$C$137,1))+1)/80,1))),1))+1))-1,0))*(CROQUIS!$C$137*MAX(1,CEILING((INT(((CROQUIS!$C$97)-CROQUIS!$C$107)/MAX(CROQUIS!$C$137,1))+1)/80,1)))),CHOOSE(IF(INT(($A347-1)/5)&gt;MAX((MAX(1,INT(((CROQUIS!$C$97)-CROQUIS!$C$107)/MAX((CROQUIS!$C$137*MAX(1,CEILING((INT(((CROQUIS!$C$97)-CROQUIS!$C$107)/MAX(CROQUIS!$C$137,1))+1)/80,1))),1))+1))-1,0),0,MOD($A347-1,5))+1,0,2,CROQUIS!$C$98-2,2,0)))*CROQUIS!$C$159)+IF(CROQUIS!$C$92="X",0,0)),-1000)</f>
        <v>-1000</v>
      </c>
      <c r="BQ347">
        <f>IF(AND(CROQUIS!$C$88=1,CROQUIS!$C$137&gt;0),((CROQUIS!$C$161+(IF(CROQUIS!$C$92="X",CHOOSE(IF(INT(($A347-1)/5)&gt;MAX((MAX(1,INT(((CROQUIS!$C$97)-CROQUIS!$C$107)/MAX((CROQUIS!$C$137*MAX(1,CEILING((INT(((CROQUIS!$C$97)-CROQUIS!$C$107)/MAX(CROQUIS!$C$137,1))+1)/80,1))),1))+1))-1,0),0,MOD($A347-1,5))+1,0,2,CROQUIS!$C$98-2,2,0),((CROQUIS!$C$107/2+(((CROQUIS!$C$97)-CROQUIS!$C$107)-(MAX(1,INT(((CROQUIS!$C$97)-CROQUIS!$C$107)/MAX((CROQUIS!$C$137*MAX(1,CEILING((INT(((CROQUIS!$C$97)-CROQUIS!$C$107)/MAX(CROQUIS!$C$137,1))+1)/80,1))),1))+1)-1)*(CROQUIS!$C$137*MAX(1,CEILING((INT(((CROQUIS!$C$97)-CROQUIS!$C$107)/MAX(CROQUIS!$C$137,1))+1)/80,1))))/2)+MIN(INT(($A347-1)/5),MAX((MAX(1,INT(((CROQUIS!$C$97)-CROQUIS!$C$107)/MAX((CROQUIS!$C$137*MAX(1,CEILING((INT(((CROQUIS!$C$97)-CROQUIS!$C$107)/MAX(CROQUIS!$C$137,1))+1)/80,1))),1))+1))-1,0))*(CROQUIS!$C$137*MAX(1,CEILING((INT(((CROQUIS!$C$97)-CROQUIS!$C$107)/MAX(CROQUIS!$C$137,1))+1)/80,1))))))*CROQUIS!$C$159)+IF(CROQUIS!$C$92="X",0,0)),-1000)</f>
        <v>-1000</v>
      </c>
      <c r="BR347">
        <f>IF(AND(CROQUIS!$C$88=1,CROQUIS!$C$91=0,CROQUIS!$C$133&gt;0,OR(CROQUIS!$C$103=1,CROQUIS!$C$145=1)),((CROQUIS!$C$160+(IF(CROQUIS!$C$92="X",CHOOSE(IF(INT(($A347-1)/5)&gt;MAX((MAX(1,INT(((CROQUIS!$C$98)-CROQUIS!$C$107)/MAX((CROQUIS!$C$133*MAX(1,CEILING((INT(((CROQUIS!$C$98)-CROQUIS!$C$107)/MAX(CROQUIS!$C$133,1))+1)/80,1))),1))+1))-1,0),0,MOD($A347-1,5))+1,0,IF(CROQUIS!$C$103=1,-12,2),CROQUIS!$C$107/2+CROQUIS!$C$143,IF(CROQUIS!$C$103=1,-12,2),0),((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BS3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+1,0,IF(CROQUIS!$C$103=1,-12,2),CROQUIS!$C$107/2+CROQUIS!$C$143,IF(CROQUIS!$C$103=1,-12,2),0)))*CROQUIS!$C$159)+IF(CROQUIS!$C$92="X",0.8,0)),-1000)</f>
        <v>-1000</v>
      </c>
      <c r="BT347">
        <f>IF(AND(CROQUIS!$C$88=1,CROQUIS!$C$91=0,CROQUIS!$C$133&gt;0,OR(CROQUIS!$C$104=1,CROQUIS!$C$145=1)),((CROQUIS!$C$160+(IF(CROQUIS!$C$92="X",CHOOSE(IF(INT(($A347-1)/5)&gt;MAX((MAX(1,INT(((CROQUIS!$C$98)-CROQUIS!$C$107)/MAX((CROQUIS!$C$133*MAX(1,CEILING((INT(((CROQUIS!$C$98)-CROQUIS!$C$107)/MAX(CROQUIS!$C$133,1))+1)/80,1))),1))+1))-1,0),0,MOD($A347-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BU3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CROQUIS!$C$97,CROQUIS!$C$97-CROQUIS!$C$107/2-CROQUIS!$C$143,IF(CROQUIS!$C$104=1,CROQUIS!$C$97+12,CROQUIS!$C$97-2),CROQUIS!$C$97-CROQUIS!$C$107/2-CROQUIS!$C$143,CROQUIS!$C$97)))*CROQUIS!$C$159)+IF(CROQUIS!$C$92="X",0.8,0)),-1000)</f>
        <v>-1000</v>
      </c>
      <c r="BV3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HOOSE(IF(INT(($A347-1)/5)&gt;MAX((MAX(1,INT(((CROQUIS!$C$97)-CROQUIS!$C$107)/MAX((CROQUIS!$C$141*MAX(1,CEILING((INT(((CROQUIS!$C$97)-CROQUIS!$C$107)/MAX(CROQUIS!$C$141,1))+1)/80,1))),1))+1))-1,0),0,MOD($A347-1,5))+1,0,IF(CROQUIS!$C$105=1,-12,2),CROQUIS!$C$107/2+CROQUIS!$C$144,IF(CROQUIS!$C$105=1,-12,2),0)))*CROQUIS!$C$159)+IF(CROQUIS!$C$92="X",0.8,0)),-1000)</f>
        <v>-1000</v>
      </c>
      <c r="BW347">
        <f>IF(AND(CROQUIS!$C$88=1,CROQUIS!$C$91=0,CROQUIS!$C$141&gt;0,OR(CROQUIS!$C$105=1,CROQUIS!$C$146=1)),((CROQUIS!$C$161+(IF(CROQUIS!$C$92="X",CHOOSE(IF(INT(($A347-1)/5)&gt;MAX((MAX(1,INT(((CROQUIS!$C$97)-CROQUIS!$C$107)/MAX((CROQUIS!$C$141*MAX(1,CEILING((INT(((CROQUIS!$C$97)-CROQUIS!$C$107)/MAX(CROQUIS!$C$141,1))+1)/80,1))),1))+1))-1,0),0,MOD($A347-1,5))+1,0,IF(CROQUIS!$C$105=1,-12,2),CROQUIS!$C$107/2+CROQUIS!$C$144,IF(CROQUIS!$C$105=1,-12,2),0),((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ROQUIS!$C$159)+IF(CROQUIS!$C$92="X",0,0.8)),-1000)</f>
        <v>-1000</v>
      </c>
      <c r="BX3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HOOSE(IF(INT(($A347-1)/5)&gt;MAX((MAX(1,INT(((CROQUIS!$C$97)-CROQUIS!$C$107)/MAX((CROQUIS!$C$141*MAX(1,CEILING((INT(((CROQUIS!$C$97)-CROQUIS!$C$107)/MAX(CROQUIS!$C$141,1))+1)/80,1))),1))+1))-1,0),0,MOD($A347-1,5))+1,CROQUIS!$C$98,CROQUIS!$C$98-CROQUIS!$C$107/2-CROQUIS!$C$144,IF(CROQUIS!$C$106=1,CROQUIS!$C$98+12,CROQUIS!$C$98-2),CROQUIS!$C$98-CROQUIS!$C$107/2-CROQUIS!$C$144,CROQUIS!$C$98)))*CROQUIS!$C$159)+IF(CROQUIS!$C$92="X",0.8,0)),-1000)</f>
        <v>-1000</v>
      </c>
      <c r="BY347">
        <f>IF(AND(CROQUIS!$C$88=1,CROQUIS!$C$91=0,CROQUIS!$C$141&gt;0,OR(CROQUIS!$C$106=1,CROQUIS!$C$146=1)),((CROQUIS!$C$161+(IF(CROQUIS!$C$92="X",CHOOSE(IF(INT(($A347-1)/5)&gt;MAX((MAX(1,INT(((CROQUIS!$C$97)-CROQUIS!$C$107)/MAX((CROQUIS!$C$141*MAX(1,CEILING((INT(((CROQUIS!$C$97)-CROQUIS!$C$107)/MAX(CROQUIS!$C$141,1))+1)/80,1))),1))+1))-1,0),0,MOD($A347-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ROQUIS!$C$159)+IF(CROQUIS!$C$92="X",0,0.8)),-1000)</f>
        <v>-1000</v>
      </c>
      <c r="BZ347">
        <f>IF(AND(CROQUIS!$C$88=1,CROQUIS!$C$91=1,CROQUIS!$C$133&gt;0),((CROQUIS!$C$160+(IF(CROQUIS!$C$92="X",CHOOSE(IF(INT(($A347-1)/5)&gt;MAX((MAX(1,INT(((CROQUIS!$C$98)-CROQUIS!$C$107)/MAX((CROQUIS!$C$133*MAX(1,CEILING((INT(((CROQUIS!$C$98)-CROQUIS!$C$107)/MAX(CROQUIS!$C$133,1))+1)/80,1))),1))+1))-1,0),0,MOD($A347-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CA347">
        <f>IF(AND(CROQUIS!$C$88=1,CROQUIS!$C$91=1,CROQUIS!$C$133&gt;0),((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8">
      <c r="A348" t="n">
        <v>341</v>
      </c>
      <c r="BN348">
        <f>IF(AND(CROQUIS!$C$88=1,CROQUIS!$C$129&gt;0),((CROQUIS!$C$160+(IF(CROQUIS!$C$92="X",CHOOSE(IF(INT(($A348-1)/5)&gt;MAX((MAX(1,INT(((CROQUIS!$C$98)-CROQUIS!$C$107)/MAX((CROQUIS!$C$129*MAX(1,CEILING((INT(((CROQUIS!$C$98)-CROQUIS!$C$107)/MAX(CROQUIS!$C$129,1))+1)/80,1))),1))+1))-1,0),0,MOD($A348-1,5))+1,0,2,CROQUIS!$C$97-2,2,0),((CROQUIS!$C$107/2+(((CROQUIS!$C$98)-CROQUIS!$C$107)-(MAX(1,INT(((CROQUIS!$C$98)-CROQUIS!$C$107)/MAX((CROQUIS!$C$129*MAX(1,CEILING((INT(((CROQUIS!$C$98)-CROQUIS!$C$107)/MAX(CROQUIS!$C$129,1))+1)/80,1))),1))+1)-1)*(CROQUIS!$C$129*MAX(1,CEILING((INT(((CROQUIS!$C$98)-CROQUIS!$C$107)/MAX(CROQUIS!$C$129,1))+1)/80,1))))/2)+MIN(INT(($A348-1)/5),MAX((MAX(1,INT(((CROQUIS!$C$98)-CROQUIS!$C$107)/MAX((CROQUIS!$C$129*MAX(1,CEILING((INT(((CROQUIS!$C$98)-CROQUIS!$C$107)/MAX(CROQUIS!$C$129,1))+1)/80,1))),1))+1))-1,0))*(CROQUIS!$C$129*MAX(1,CEILING((INT(((CROQUIS!$C$98)-CROQUIS!$C$107)/MAX(CROQUIS!$C$129,1))+1)/80,1))))))*CROQUIS!$C$159)+IF(CROQUIS!$C$92="X",0,0)),-1000)</f>
        <v>-1000</v>
      </c>
      <c r="BO348">
        <f>IF(AND(CROQUIS!$C$88=1,CROQUIS!$C$129&gt;0),((CROQUIS!$C$161+(IF(CROQUIS!$C$92="X",((CROQUIS!$C$107/2+(((CROQUIS!$C$98)-CROQUIS!$C$107)-(MAX(1,INT(((CROQUIS!$C$98)-CROQUIS!$C$107)/MAX((CROQUIS!$C$129*MAX(1,CEILING((INT(((CROQUIS!$C$98)-CROQUIS!$C$107)/MAX(CROQUIS!$C$129,1))+1)/80,1))),1))+1)-1)*(CROQUIS!$C$129*MAX(1,CEILING((INT(((CROQUIS!$C$98)-CROQUIS!$C$107)/MAX(CROQUIS!$C$129,1))+1)/80,1))))/2)+MIN(INT(($A348-1)/5),MAX((MAX(1,INT(((CROQUIS!$C$98)-CROQUIS!$C$107)/MAX((CROQUIS!$C$129*MAX(1,CEILING((INT(((CROQUIS!$C$98)-CROQUIS!$C$107)/MAX(CROQUIS!$C$129,1))+1)/80,1))),1))+1))-1,0))*(CROQUIS!$C$129*MAX(1,CEILING((INT(((CROQUIS!$C$98)-CROQUIS!$C$107)/MAX(CROQUIS!$C$129,1))+1)/80,1)))),CHOOSE(IF(INT(($A348-1)/5)&gt;MAX((MAX(1,INT(((CROQUIS!$C$98)-CROQUIS!$C$107)/MAX((CROQUIS!$C$129*MAX(1,CEILING((INT(((CROQUIS!$C$98)-CROQUIS!$C$107)/MAX(CROQUIS!$C$129,1))+1)/80,1))),1))+1))-1,0),0,MOD($A348-1,5))+1,0,2,CROQUIS!$C$97-2,2,0)))*CROQUIS!$C$159)+IF(CROQUIS!$C$92="X",0,0)),-1000)</f>
        <v>-1000</v>
      </c>
      <c r="BP348">
        <f>IF(AND(CROQUIS!$C$88=1,CROQUIS!$C$137&gt;0),((CROQUIS!$C$160+(IF(CROQUIS!$C$92="X",((CROQUIS!$C$107/2+(((CROQUIS!$C$97)-CROQUIS!$C$107)-(MAX(1,INT(((CROQUIS!$C$97)-CROQUIS!$C$107)/MAX((CROQUIS!$C$137*MAX(1,CEILING((INT(((CROQUIS!$C$97)-CROQUIS!$C$107)/MAX(CROQUIS!$C$137,1))+1)/80,1))),1))+1)-1)*(CROQUIS!$C$137*MAX(1,CEILING((INT(((CROQUIS!$C$97)-CROQUIS!$C$107)/MAX(CROQUIS!$C$137,1))+1)/80,1))))/2)+MIN(INT(($A348-1)/5),MAX((MAX(1,INT(((CROQUIS!$C$97)-CROQUIS!$C$107)/MAX((CROQUIS!$C$137*MAX(1,CEILING((INT(((CROQUIS!$C$97)-CROQUIS!$C$107)/MAX(CROQUIS!$C$137,1))+1)/80,1))),1))+1))-1,0))*(CROQUIS!$C$137*MAX(1,CEILING((INT(((CROQUIS!$C$97)-CROQUIS!$C$107)/MAX(CROQUIS!$C$137,1))+1)/80,1)))),CHOOSE(IF(INT(($A348-1)/5)&gt;MAX((MAX(1,INT(((CROQUIS!$C$97)-CROQUIS!$C$107)/MAX((CROQUIS!$C$137*MAX(1,CEILING((INT(((CROQUIS!$C$97)-CROQUIS!$C$107)/MAX(CROQUIS!$C$137,1))+1)/80,1))),1))+1))-1,0),0,MOD($A348-1,5))+1,0,2,CROQUIS!$C$98-2,2,0)))*CROQUIS!$C$159)+IF(CROQUIS!$C$92="X",0,0)),-1000)</f>
        <v>-1000</v>
      </c>
      <c r="BQ348">
        <f>IF(AND(CROQUIS!$C$88=1,CROQUIS!$C$137&gt;0),((CROQUIS!$C$161+(IF(CROQUIS!$C$92="X",CHOOSE(IF(INT(($A348-1)/5)&gt;MAX((MAX(1,INT(((CROQUIS!$C$97)-CROQUIS!$C$107)/MAX((CROQUIS!$C$137*MAX(1,CEILING((INT(((CROQUIS!$C$97)-CROQUIS!$C$107)/MAX(CROQUIS!$C$137,1))+1)/80,1))),1))+1))-1,0),0,MOD($A348-1,5))+1,0,2,CROQUIS!$C$98-2,2,0),((CROQUIS!$C$107/2+(((CROQUIS!$C$97)-CROQUIS!$C$107)-(MAX(1,INT(((CROQUIS!$C$97)-CROQUIS!$C$107)/MAX((CROQUIS!$C$137*MAX(1,CEILING((INT(((CROQUIS!$C$97)-CROQUIS!$C$107)/MAX(CROQUIS!$C$137,1))+1)/80,1))),1))+1)-1)*(CROQUIS!$C$137*MAX(1,CEILING((INT(((CROQUIS!$C$97)-CROQUIS!$C$107)/MAX(CROQUIS!$C$137,1))+1)/80,1))))/2)+MIN(INT(($A348-1)/5),MAX((MAX(1,INT(((CROQUIS!$C$97)-CROQUIS!$C$107)/MAX((CROQUIS!$C$137*MAX(1,CEILING((INT(((CROQUIS!$C$97)-CROQUIS!$C$107)/MAX(CROQUIS!$C$137,1))+1)/80,1))),1))+1))-1,0))*(CROQUIS!$C$137*MAX(1,CEILING((INT(((CROQUIS!$C$97)-CROQUIS!$C$107)/MAX(CROQUIS!$C$137,1))+1)/80,1))))))*CROQUIS!$C$159)+IF(CROQUIS!$C$92="X",0,0)),-1000)</f>
        <v>-1000</v>
      </c>
      <c r="BR348">
        <f>IF(AND(CROQUIS!$C$88=1,CROQUIS!$C$91=0,CROQUIS!$C$133&gt;0,OR(CROQUIS!$C$103=1,CROQUIS!$C$145=1)),((CROQUIS!$C$160+(IF(CROQUIS!$C$92="X",CHOOSE(IF(INT(($A348-1)/5)&gt;MAX((MAX(1,INT(((CROQUIS!$C$98)-CROQUIS!$C$107)/MAX((CROQUIS!$C$133*MAX(1,CEILING((INT(((CROQUIS!$C$98)-CROQUIS!$C$107)/MAX(CROQUIS!$C$133,1))+1)/80,1))),1))+1))-1,0),0,MOD($A348-1,5))+1,0,IF(CROQUIS!$C$103=1,-12,2),CROQUIS!$C$107/2+CROQUIS!$C$143,IF(CROQUIS!$C$103=1,-12,2),0),((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BS3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+1,0,IF(CROQUIS!$C$103=1,-12,2),CROQUIS!$C$107/2+CROQUIS!$C$143,IF(CROQUIS!$C$103=1,-12,2),0)))*CROQUIS!$C$159)+IF(CROQUIS!$C$92="X",0.8,0)),-1000)</f>
        <v>-1000</v>
      </c>
      <c r="BT348">
        <f>IF(AND(CROQUIS!$C$88=1,CROQUIS!$C$91=0,CROQUIS!$C$133&gt;0,OR(CROQUIS!$C$104=1,CROQUIS!$C$145=1)),((CROQUIS!$C$160+(IF(CROQUIS!$C$92="X",CHOOSE(IF(INT(($A348-1)/5)&gt;MAX((MAX(1,INT(((CROQUIS!$C$98)-CROQUIS!$C$107)/MAX((CROQUIS!$C$133*MAX(1,CEILING((INT(((CROQUIS!$C$98)-CROQUIS!$C$107)/MAX(CROQUIS!$C$133,1))+1)/80,1))),1))+1))-1,0),0,MOD($A348-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BU3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CROQUIS!$C$97,CROQUIS!$C$97-CROQUIS!$C$107/2-CROQUIS!$C$143,IF(CROQUIS!$C$104=1,CROQUIS!$C$97+12,CROQUIS!$C$97-2),CROQUIS!$C$97-CROQUIS!$C$107/2-CROQUIS!$C$143,CROQUIS!$C$97)))*CROQUIS!$C$159)+IF(CROQUIS!$C$92="X",0.8,0)),-1000)</f>
        <v>-1000</v>
      </c>
      <c r="BV3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HOOSE(IF(INT(($A348-1)/5)&gt;MAX((MAX(1,INT(((CROQUIS!$C$97)-CROQUIS!$C$107)/MAX((CROQUIS!$C$141*MAX(1,CEILING((INT(((CROQUIS!$C$97)-CROQUIS!$C$107)/MAX(CROQUIS!$C$141,1))+1)/80,1))),1))+1))-1,0),0,MOD($A348-1,5))+1,0,IF(CROQUIS!$C$105=1,-12,2),CROQUIS!$C$107/2+CROQUIS!$C$144,IF(CROQUIS!$C$105=1,-12,2),0)))*CROQUIS!$C$159)+IF(CROQUIS!$C$92="X",0.8,0)),-1000)</f>
        <v>-1000</v>
      </c>
      <c r="BW348">
        <f>IF(AND(CROQUIS!$C$88=1,CROQUIS!$C$91=0,CROQUIS!$C$141&gt;0,OR(CROQUIS!$C$105=1,CROQUIS!$C$146=1)),((CROQUIS!$C$161+(IF(CROQUIS!$C$92="X",CHOOSE(IF(INT(($A348-1)/5)&gt;MAX((MAX(1,INT(((CROQUIS!$C$97)-CROQUIS!$C$107)/MAX((CROQUIS!$C$141*MAX(1,CEILING((INT(((CROQUIS!$C$97)-CROQUIS!$C$107)/MAX(CROQUIS!$C$141,1))+1)/80,1))),1))+1))-1,0),0,MOD($A348-1,5))+1,0,IF(CROQUIS!$C$105=1,-12,2),CROQUIS!$C$107/2+CROQUIS!$C$144,IF(CROQUIS!$C$105=1,-12,2),0),((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ROQUIS!$C$159)+IF(CROQUIS!$C$92="X",0,0.8)),-1000)</f>
        <v>-1000</v>
      </c>
      <c r="BX3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HOOSE(IF(INT(($A348-1)/5)&gt;MAX((MAX(1,INT(((CROQUIS!$C$97)-CROQUIS!$C$107)/MAX((CROQUIS!$C$141*MAX(1,CEILING((INT(((CROQUIS!$C$97)-CROQUIS!$C$107)/MAX(CROQUIS!$C$141,1))+1)/80,1))),1))+1))-1,0),0,MOD($A348-1,5))+1,CROQUIS!$C$98,CROQUIS!$C$98-CROQUIS!$C$107/2-CROQUIS!$C$144,IF(CROQUIS!$C$106=1,CROQUIS!$C$98+12,CROQUIS!$C$98-2),CROQUIS!$C$98-CROQUIS!$C$107/2-CROQUIS!$C$144,CROQUIS!$C$98)))*CROQUIS!$C$159)+IF(CROQUIS!$C$92="X",0.8,0)),-1000)</f>
        <v>-1000</v>
      </c>
      <c r="BY348">
        <f>IF(AND(CROQUIS!$C$88=1,CROQUIS!$C$91=0,CROQUIS!$C$141&gt;0,OR(CROQUIS!$C$106=1,CROQUIS!$C$146=1)),((CROQUIS!$C$161+(IF(CROQUIS!$C$92="X",CHOOSE(IF(INT(($A348-1)/5)&gt;MAX((MAX(1,INT(((CROQUIS!$C$97)-CROQUIS!$C$107)/MAX((CROQUIS!$C$141*MAX(1,CEILING((INT(((CROQUIS!$C$97)-CROQUIS!$C$107)/MAX(CROQUIS!$C$141,1))+1)/80,1))),1))+1))-1,0),0,MOD($A348-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ROQUIS!$C$159)+IF(CROQUIS!$C$92="X",0,0.8)),-1000)</f>
        <v>-1000</v>
      </c>
      <c r="BZ348">
        <f>IF(AND(CROQUIS!$C$88=1,CROQUIS!$C$91=1,CROQUIS!$C$133&gt;0),((CROQUIS!$C$160+(IF(CROQUIS!$C$92="X",CHOOSE(IF(INT(($A348-1)/5)&gt;MAX((MAX(1,INT(((CROQUIS!$C$98)-CROQUIS!$C$107)/MAX((CROQUIS!$C$133*MAX(1,CEILING((INT(((CROQUIS!$C$98)-CROQUIS!$C$107)/MAX(CROQUIS!$C$133,1))+1)/80,1))),1))+1))-1,0),0,MOD($A348-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CA348">
        <f>IF(AND(CROQUIS!$C$88=1,CROQUIS!$C$91=1,CROQUIS!$C$133&gt;0),((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9">
      <c r="A349" t="n">
        <v>342</v>
      </c>
      <c r="BN349">
        <f>IF(AND(CROQUIS!$C$88=1,CROQUIS!$C$129&gt;0),((CROQUIS!$C$160+(IF(CROQUIS!$C$92="X",CHOOSE(IF(INT(($A349-1)/5)&gt;MAX((MAX(1,INT(((CROQUIS!$C$98)-CROQUIS!$C$107)/MAX((CROQUIS!$C$129*MAX(1,CEILING((INT(((CROQUIS!$C$98)-CROQUIS!$C$107)/MAX(CROQUIS!$C$129,1))+1)/80,1))),1))+1))-1,0),0,MOD($A349-1,5))+1,0,2,CROQUIS!$C$97-2,2,0),((CROQUIS!$C$107/2+(((CROQUIS!$C$98)-CROQUIS!$C$107)-(MAX(1,INT(((CROQUIS!$C$98)-CROQUIS!$C$107)/MAX((CROQUIS!$C$129*MAX(1,CEILING((INT(((CROQUIS!$C$98)-CROQUIS!$C$107)/MAX(CROQUIS!$C$129,1))+1)/80,1))),1))+1)-1)*(CROQUIS!$C$129*MAX(1,CEILING((INT(((CROQUIS!$C$98)-CROQUIS!$C$107)/MAX(CROQUIS!$C$129,1))+1)/80,1))))/2)+MIN(INT(($A349-1)/5),MAX((MAX(1,INT(((CROQUIS!$C$98)-CROQUIS!$C$107)/MAX((CROQUIS!$C$129*MAX(1,CEILING((INT(((CROQUIS!$C$98)-CROQUIS!$C$107)/MAX(CROQUIS!$C$129,1))+1)/80,1))),1))+1))-1,0))*(CROQUIS!$C$129*MAX(1,CEILING((INT(((CROQUIS!$C$98)-CROQUIS!$C$107)/MAX(CROQUIS!$C$129,1))+1)/80,1))))))*CROQUIS!$C$159)+IF(CROQUIS!$C$92="X",0,0)),-1000)</f>
        <v>-1000</v>
      </c>
      <c r="BO349">
        <f>IF(AND(CROQUIS!$C$88=1,CROQUIS!$C$129&gt;0),((CROQUIS!$C$161+(IF(CROQUIS!$C$92="X",((CROQUIS!$C$107/2+(((CROQUIS!$C$98)-CROQUIS!$C$107)-(MAX(1,INT(((CROQUIS!$C$98)-CROQUIS!$C$107)/MAX((CROQUIS!$C$129*MAX(1,CEILING((INT(((CROQUIS!$C$98)-CROQUIS!$C$107)/MAX(CROQUIS!$C$129,1))+1)/80,1))),1))+1)-1)*(CROQUIS!$C$129*MAX(1,CEILING((INT(((CROQUIS!$C$98)-CROQUIS!$C$107)/MAX(CROQUIS!$C$129,1))+1)/80,1))))/2)+MIN(INT(($A349-1)/5),MAX((MAX(1,INT(((CROQUIS!$C$98)-CROQUIS!$C$107)/MAX((CROQUIS!$C$129*MAX(1,CEILING((INT(((CROQUIS!$C$98)-CROQUIS!$C$107)/MAX(CROQUIS!$C$129,1))+1)/80,1))),1))+1))-1,0))*(CROQUIS!$C$129*MAX(1,CEILING((INT(((CROQUIS!$C$98)-CROQUIS!$C$107)/MAX(CROQUIS!$C$129,1))+1)/80,1)))),CHOOSE(IF(INT(($A349-1)/5)&gt;MAX((MAX(1,INT(((CROQUIS!$C$98)-CROQUIS!$C$107)/MAX((CROQUIS!$C$129*MAX(1,CEILING((INT(((CROQUIS!$C$98)-CROQUIS!$C$107)/MAX(CROQUIS!$C$129,1))+1)/80,1))),1))+1))-1,0),0,MOD($A349-1,5))+1,0,2,CROQUIS!$C$97-2,2,0)))*CROQUIS!$C$159)+IF(CROQUIS!$C$92="X",0,0)),-1000)</f>
        <v>-1000</v>
      </c>
      <c r="BP349">
        <f>IF(AND(CROQUIS!$C$88=1,CROQUIS!$C$137&gt;0),((CROQUIS!$C$160+(IF(CROQUIS!$C$92="X",((CROQUIS!$C$107/2+(((CROQUIS!$C$97)-CROQUIS!$C$107)-(MAX(1,INT(((CROQUIS!$C$97)-CROQUIS!$C$107)/MAX((CROQUIS!$C$137*MAX(1,CEILING((INT(((CROQUIS!$C$97)-CROQUIS!$C$107)/MAX(CROQUIS!$C$137,1))+1)/80,1))),1))+1)-1)*(CROQUIS!$C$137*MAX(1,CEILING((INT(((CROQUIS!$C$97)-CROQUIS!$C$107)/MAX(CROQUIS!$C$137,1))+1)/80,1))))/2)+MIN(INT(($A349-1)/5),MAX((MAX(1,INT(((CROQUIS!$C$97)-CROQUIS!$C$107)/MAX((CROQUIS!$C$137*MAX(1,CEILING((INT(((CROQUIS!$C$97)-CROQUIS!$C$107)/MAX(CROQUIS!$C$137,1))+1)/80,1))),1))+1))-1,0))*(CROQUIS!$C$137*MAX(1,CEILING((INT(((CROQUIS!$C$97)-CROQUIS!$C$107)/MAX(CROQUIS!$C$137,1))+1)/80,1)))),CHOOSE(IF(INT(($A349-1)/5)&gt;MAX((MAX(1,INT(((CROQUIS!$C$97)-CROQUIS!$C$107)/MAX((CROQUIS!$C$137*MAX(1,CEILING((INT(((CROQUIS!$C$97)-CROQUIS!$C$107)/MAX(CROQUIS!$C$137,1))+1)/80,1))),1))+1))-1,0),0,MOD($A349-1,5))+1,0,2,CROQUIS!$C$98-2,2,0)))*CROQUIS!$C$159)+IF(CROQUIS!$C$92="X",0,0)),-1000)</f>
        <v>-1000</v>
      </c>
      <c r="BQ349">
        <f>IF(AND(CROQUIS!$C$88=1,CROQUIS!$C$137&gt;0),((CROQUIS!$C$161+(IF(CROQUIS!$C$92="X",CHOOSE(IF(INT(($A349-1)/5)&gt;MAX((MAX(1,INT(((CROQUIS!$C$97)-CROQUIS!$C$107)/MAX((CROQUIS!$C$137*MAX(1,CEILING((INT(((CROQUIS!$C$97)-CROQUIS!$C$107)/MAX(CROQUIS!$C$137,1))+1)/80,1))),1))+1))-1,0),0,MOD($A349-1,5))+1,0,2,CROQUIS!$C$98-2,2,0),((CROQUIS!$C$107/2+(((CROQUIS!$C$97)-CROQUIS!$C$107)-(MAX(1,INT(((CROQUIS!$C$97)-CROQUIS!$C$107)/MAX((CROQUIS!$C$137*MAX(1,CEILING((INT(((CROQUIS!$C$97)-CROQUIS!$C$107)/MAX(CROQUIS!$C$137,1))+1)/80,1))),1))+1)-1)*(CROQUIS!$C$137*MAX(1,CEILING((INT(((CROQUIS!$C$97)-CROQUIS!$C$107)/MAX(CROQUIS!$C$137,1))+1)/80,1))))/2)+MIN(INT(($A349-1)/5),MAX((MAX(1,INT(((CROQUIS!$C$97)-CROQUIS!$C$107)/MAX((CROQUIS!$C$137*MAX(1,CEILING((INT(((CROQUIS!$C$97)-CROQUIS!$C$107)/MAX(CROQUIS!$C$137,1))+1)/80,1))),1))+1))-1,0))*(CROQUIS!$C$137*MAX(1,CEILING((INT(((CROQUIS!$C$97)-CROQUIS!$C$107)/MAX(CROQUIS!$C$137,1))+1)/80,1))))))*CROQUIS!$C$159)+IF(CROQUIS!$C$92="X",0,0)),-1000)</f>
        <v>-1000</v>
      </c>
      <c r="BR349">
        <f>IF(AND(CROQUIS!$C$88=1,CROQUIS!$C$91=0,CROQUIS!$C$133&gt;0,OR(CROQUIS!$C$103=1,CROQUIS!$C$145=1)),((CROQUIS!$C$160+(IF(CROQUIS!$C$92="X",CHOOSE(IF(INT(($A349-1)/5)&gt;MAX((MAX(1,INT(((CROQUIS!$C$98)-CROQUIS!$C$107)/MAX((CROQUIS!$C$133*MAX(1,CEILING((INT(((CROQUIS!$C$98)-CROQUIS!$C$107)/MAX(CROQUIS!$C$133,1))+1)/80,1))),1))+1))-1,0),0,MOD($A349-1,5))+1,0,IF(CROQUIS!$C$103=1,-12,2),CROQUIS!$C$107/2+CROQUIS!$C$143,IF(CROQUIS!$C$103=1,-12,2),0),((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BS3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+1,0,IF(CROQUIS!$C$103=1,-12,2),CROQUIS!$C$107/2+CROQUIS!$C$143,IF(CROQUIS!$C$103=1,-12,2),0)))*CROQUIS!$C$159)+IF(CROQUIS!$C$92="X",0.8,0)),-1000)</f>
        <v>-1000</v>
      </c>
      <c r="BT349">
        <f>IF(AND(CROQUIS!$C$88=1,CROQUIS!$C$91=0,CROQUIS!$C$133&gt;0,OR(CROQUIS!$C$104=1,CROQUIS!$C$145=1)),((CROQUIS!$C$160+(IF(CROQUIS!$C$92="X",CHOOSE(IF(INT(($A349-1)/5)&gt;MAX((MAX(1,INT(((CROQUIS!$C$98)-CROQUIS!$C$107)/MAX((CROQUIS!$C$133*MAX(1,CEILING((INT(((CROQUIS!$C$98)-CROQUIS!$C$107)/MAX(CROQUIS!$C$133,1))+1)/80,1))),1))+1))-1,0),0,MOD($A349-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BU3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CROQUIS!$C$97,CROQUIS!$C$97-CROQUIS!$C$107/2-CROQUIS!$C$143,IF(CROQUIS!$C$104=1,CROQUIS!$C$97+12,CROQUIS!$C$97-2),CROQUIS!$C$97-CROQUIS!$C$107/2-CROQUIS!$C$143,CROQUIS!$C$97)))*CROQUIS!$C$159)+IF(CROQUIS!$C$92="X",0.8,0)),-1000)</f>
        <v>-1000</v>
      </c>
      <c r="BV3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HOOSE(IF(INT(($A349-1)/5)&gt;MAX((MAX(1,INT(((CROQUIS!$C$97)-CROQUIS!$C$107)/MAX((CROQUIS!$C$141*MAX(1,CEILING((INT(((CROQUIS!$C$97)-CROQUIS!$C$107)/MAX(CROQUIS!$C$141,1))+1)/80,1))),1))+1))-1,0),0,MOD($A349-1,5))+1,0,IF(CROQUIS!$C$105=1,-12,2),CROQUIS!$C$107/2+CROQUIS!$C$144,IF(CROQUIS!$C$105=1,-12,2),0)))*CROQUIS!$C$159)+IF(CROQUIS!$C$92="X",0.8,0)),-1000)</f>
        <v>-1000</v>
      </c>
      <c r="BW349">
        <f>IF(AND(CROQUIS!$C$88=1,CROQUIS!$C$91=0,CROQUIS!$C$141&gt;0,OR(CROQUIS!$C$105=1,CROQUIS!$C$146=1)),((CROQUIS!$C$161+(IF(CROQUIS!$C$92="X",CHOOSE(IF(INT(($A349-1)/5)&gt;MAX((MAX(1,INT(((CROQUIS!$C$97)-CROQUIS!$C$107)/MAX((CROQUIS!$C$141*MAX(1,CEILING((INT(((CROQUIS!$C$97)-CROQUIS!$C$107)/MAX(CROQUIS!$C$141,1))+1)/80,1))),1))+1))-1,0),0,MOD($A349-1,5))+1,0,IF(CROQUIS!$C$105=1,-12,2),CROQUIS!$C$107/2+CROQUIS!$C$144,IF(CROQUIS!$C$105=1,-12,2),0),((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ROQUIS!$C$159)+IF(CROQUIS!$C$92="X",0,0.8)),-1000)</f>
        <v>-1000</v>
      </c>
      <c r="BX3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HOOSE(IF(INT(($A349-1)/5)&gt;MAX((MAX(1,INT(((CROQUIS!$C$97)-CROQUIS!$C$107)/MAX((CROQUIS!$C$141*MAX(1,CEILING((INT(((CROQUIS!$C$97)-CROQUIS!$C$107)/MAX(CROQUIS!$C$141,1))+1)/80,1))),1))+1))-1,0),0,MOD($A349-1,5))+1,CROQUIS!$C$98,CROQUIS!$C$98-CROQUIS!$C$107/2-CROQUIS!$C$144,IF(CROQUIS!$C$106=1,CROQUIS!$C$98+12,CROQUIS!$C$98-2),CROQUIS!$C$98-CROQUIS!$C$107/2-CROQUIS!$C$144,CROQUIS!$C$98)))*CROQUIS!$C$159)+IF(CROQUIS!$C$92="X",0.8,0)),-1000)</f>
        <v>-1000</v>
      </c>
      <c r="BY349">
        <f>IF(AND(CROQUIS!$C$88=1,CROQUIS!$C$91=0,CROQUIS!$C$141&gt;0,OR(CROQUIS!$C$106=1,CROQUIS!$C$146=1)),((CROQUIS!$C$161+(IF(CROQUIS!$C$92="X",CHOOSE(IF(INT(($A349-1)/5)&gt;MAX((MAX(1,INT(((CROQUIS!$C$97)-CROQUIS!$C$107)/MAX((CROQUIS!$C$141*MAX(1,CEILING((INT(((CROQUIS!$C$97)-CROQUIS!$C$107)/MAX(CROQUIS!$C$141,1))+1)/80,1))),1))+1))-1,0),0,MOD($A349-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ROQUIS!$C$159)+IF(CROQUIS!$C$92="X",0,0.8)),-1000)</f>
        <v>-1000</v>
      </c>
      <c r="BZ349">
        <f>IF(AND(CROQUIS!$C$88=1,CROQUIS!$C$91=1,CROQUIS!$C$133&gt;0),((CROQUIS!$C$160+(IF(CROQUIS!$C$92="X",CHOOSE(IF(INT(($A349-1)/5)&gt;MAX((MAX(1,INT(((CROQUIS!$C$98)-CROQUIS!$C$107)/MAX((CROQUIS!$C$133*MAX(1,CEILING((INT(((CROQUIS!$C$98)-CROQUIS!$C$107)/MAX(CROQUIS!$C$133,1))+1)/80,1))),1))+1))-1,0),0,MOD($A349-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CA349">
        <f>IF(AND(CROQUIS!$C$88=1,CROQUIS!$C$91=1,CROQUIS!$C$133&gt;0),((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0">
      <c r="A350" t="n">
        <v>343</v>
      </c>
      <c r="BN350">
        <f>IF(AND(CROQUIS!$C$88=1,CROQUIS!$C$129&gt;0),((CROQUIS!$C$160+(IF(CROQUIS!$C$92="X",CHOOSE(IF(INT(($A350-1)/5)&gt;MAX((MAX(1,INT(((CROQUIS!$C$98)-CROQUIS!$C$107)/MAX((CROQUIS!$C$129*MAX(1,CEILING((INT(((CROQUIS!$C$98)-CROQUIS!$C$107)/MAX(CROQUIS!$C$129,1))+1)/80,1))),1))+1))-1,0),0,MOD($A350-1,5))+1,0,2,CROQUIS!$C$97-2,2,0),((CROQUIS!$C$107/2+(((CROQUIS!$C$98)-CROQUIS!$C$107)-(MAX(1,INT(((CROQUIS!$C$98)-CROQUIS!$C$107)/MAX((CROQUIS!$C$129*MAX(1,CEILING((INT(((CROQUIS!$C$98)-CROQUIS!$C$107)/MAX(CROQUIS!$C$129,1))+1)/80,1))),1))+1)-1)*(CROQUIS!$C$129*MAX(1,CEILING((INT(((CROQUIS!$C$98)-CROQUIS!$C$107)/MAX(CROQUIS!$C$129,1))+1)/80,1))))/2)+MIN(INT(($A350-1)/5),MAX((MAX(1,INT(((CROQUIS!$C$98)-CROQUIS!$C$107)/MAX((CROQUIS!$C$129*MAX(1,CEILING((INT(((CROQUIS!$C$98)-CROQUIS!$C$107)/MAX(CROQUIS!$C$129,1))+1)/80,1))),1))+1))-1,0))*(CROQUIS!$C$129*MAX(1,CEILING((INT(((CROQUIS!$C$98)-CROQUIS!$C$107)/MAX(CROQUIS!$C$129,1))+1)/80,1))))))*CROQUIS!$C$159)+IF(CROQUIS!$C$92="X",0,0)),-1000)</f>
        <v>-1000</v>
      </c>
      <c r="BO350">
        <f>IF(AND(CROQUIS!$C$88=1,CROQUIS!$C$129&gt;0),((CROQUIS!$C$161+(IF(CROQUIS!$C$92="X",((CROQUIS!$C$107/2+(((CROQUIS!$C$98)-CROQUIS!$C$107)-(MAX(1,INT(((CROQUIS!$C$98)-CROQUIS!$C$107)/MAX((CROQUIS!$C$129*MAX(1,CEILING((INT(((CROQUIS!$C$98)-CROQUIS!$C$107)/MAX(CROQUIS!$C$129,1))+1)/80,1))),1))+1)-1)*(CROQUIS!$C$129*MAX(1,CEILING((INT(((CROQUIS!$C$98)-CROQUIS!$C$107)/MAX(CROQUIS!$C$129,1))+1)/80,1))))/2)+MIN(INT(($A350-1)/5),MAX((MAX(1,INT(((CROQUIS!$C$98)-CROQUIS!$C$107)/MAX((CROQUIS!$C$129*MAX(1,CEILING((INT(((CROQUIS!$C$98)-CROQUIS!$C$107)/MAX(CROQUIS!$C$129,1))+1)/80,1))),1))+1))-1,0))*(CROQUIS!$C$129*MAX(1,CEILING((INT(((CROQUIS!$C$98)-CROQUIS!$C$107)/MAX(CROQUIS!$C$129,1))+1)/80,1)))),CHOOSE(IF(INT(($A350-1)/5)&gt;MAX((MAX(1,INT(((CROQUIS!$C$98)-CROQUIS!$C$107)/MAX((CROQUIS!$C$129*MAX(1,CEILING((INT(((CROQUIS!$C$98)-CROQUIS!$C$107)/MAX(CROQUIS!$C$129,1))+1)/80,1))),1))+1))-1,0),0,MOD($A350-1,5))+1,0,2,CROQUIS!$C$97-2,2,0)))*CROQUIS!$C$159)+IF(CROQUIS!$C$92="X",0,0)),-1000)</f>
        <v>-1000</v>
      </c>
      <c r="BP350">
        <f>IF(AND(CROQUIS!$C$88=1,CROQUIS!$C$137&gt;0),((CROQUIS!$C$160+(IF(CROQUIS!$C$92="X",((CROQUIS!$C$107/2+(((CROQUIS!$C$97)-CROQUIS!$C$107)-(MAX(1,INT(((CROQUIS!$C$97)-CROQUIS!$C$107)/MAX((CROQUIS!$C$137*MAX(1,CEILING((INT(((CROQUIS!$C$97)-CROQUIS!$C$107)/MAX(CROQUIS!$C$137,1))+1)/80,1))),1))+1)-1)*(CROQUIS!$C$137*MAX(1,CEILING((INT(((CROQUIS!$C$97)-CROQUIS!$C$107)/MAX(CROQUIS!$C$137,1))+1)/80,1))))/2)+MIN(INT(($A350-1)/5),MAX((MAX(1,INT(((CROQUIS!$C$97)-CROQUIS!$C$107)/MAX((CROQUIS!$C$137*MAX(1,CEILING((INT(((CROQUIS!$C$97)-CROQUIS!$C$107)/MAX(CROQUIS!$C$137,1))+1)/80,1))),1))+1))-1,0))*(CROQUIS!$C$137*MAX(1,CEILING((INT(((CROQUIS!$C$97)-CROQUIS!$C$107)/MAX(CROQUIS!$C$137,1))+1)/80,1)))),CHOOSE(IF(INT(($A350-1)/5)&gt;MAX((MAX(1,INT(((CROQUIS!$C$97)-CROQUIS!$C$107)/MAX((CROQUIS!$C$137*MAX(1,CEILING((INT(((CROQUIS!$C$97)-CROQUIS!$C$107)/MAX(CROQUIS!$C$137,1))+1)/80,1))),1))+1))-1,0),0,MOD($A350-1,5))+1,0,2,CROQUIS!$C$98-2,2,0)))*CROQUIS!$C$159)+IF(CROQUIS!$C$92="X",0,0)),-1000)</f>
        <v>-1000</v>
      </c>
      <c r="BQ350">
        <f>IF(AND(CROQUIS!$C$88=1,CROQUIS!$C$137&gt;0),((CROQUIS!$C$161+(IF(CROQUIS!$C$92="X",CHOOSE(IF(INT(($A350-1)/5)&gt;MAX((MAX(1,INT(((CROQUIS!$C$97)-CROQUIS!$C$107)/MAX((CROQUIS!$C$137*MAX(1,CEILING((INT(((CROQUIS!$C$97)-CROQUIS!$C$107)/MAX(CROQUIS!$C$137,1))+1)/80,1))),1))+1))-1,0),0,MOD($A350-1,5))+1,0,2,CROQUIS!$C$98-2,2,0),((CROQUIS!$C$107/2+(((CROQUIS!$C$97)-CROQUIS!$C$107)-(MAX(1,INT(((CROQUIS!$C$97)-CROQUIS!$C$107)/MAX((CROQUIS!$C$137*MAX(1,CEILING((INT(((CROQUIS!$C$97)-CROQUIS!$C$107)/MAX(CROQUIS!$C$137,1))+1)/80,1))),1))+1)-1)*(CROQUIS!$C$137*MAX(1,CEILING((INT(((CROQUIS!$C$97)-CROQUIS!$C$107)/MAX(CROQUIS!$C$137,1))+1)/80,1))))/2)+MIN(INT(($A350-1)/5),MAX((MAX(1,INT(((CROQUIS!$C$97)-CROQUIS!$C$107)/MAX((CROQUIS!$C$137*MAX(1,CEILING((INT(((CROQUIS!$C$97)-CROQUIS!$C$107)/MAX(CROQUIS!$C$137,1))+1)/80,1))),1))+1))-1,0))*(CROQUIS!$C$137*MAX(1,CEILING((INT(((CROQUIS!$C$97)-CROQUIS!$C$107)/MAX(CROQUIS!$C$137,1))+1)/80,1))))))*CROQUIS!$C$159)+IF(CROQUIS!$C$92="X",0,0)),-1000)</f>
        <v>-1000</v>
      </c>
      <c r="BR350">
        <f>IF(AND(CROQUIS!$C$88=1,CROQUIS!$C$91=0,CROQUIS!$C$133&gt;0,OR(CROQUIS!$C$103=1,CROQUIS!$C$145=1)),((CROQUIS!$C$160+(IF(CROQUIS!$C$92="X",CHOOSE(IF(INT(($A350-1)/5)&gt;MAX((MAX(1,INT(((CROQUIS!$C$98)-CROQUIS!$C$107)/MAX((CROQUIS!$C$133*MAX(1,CEILING((INT(((CROQUIS!$C$98)-CROQUIS!$C$107)/MAX(CROQUIS!$C$133,1))+1)/80,1))),1))+1))-1,0),0,MOD($A350-1,5))+1,0,IF(CROQUIS!$C$103=1,-12,2),CROQUIS!$C$107/2+CROQUIS!$C$143,IF(CROQUIS!$C$103=1,-12,2),0),((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BS3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+1,0,IF(CROQUIS!$C$103=1,-12,2),CROQUIS!$C$107/2+CROQUIS!$C$143,IF(CROQUIS!$C$103=1,-12,2),0)))*CROQUIS!$C$159)+IF(CROQUIS!$C$92="X",0.8,0)),-1000)</f>
        <v>-1000</v>
      </c>
      <c r="BT350">
        <f>IF(AND(CROQUIS!$C$88=1,CROQUIS!$C$91=0,CROQUIS!$C$133&gt;0,OR(CROQUIS!$C$104=1,CROQUIS!$C$145=1)),((CROQUIS!$C$160+(IF(CROQUIS!$C$92="X",CHOOSE(IF(INT(($A350-1)/5)&gt;MAX((MAX(1,INT(((CROQUIS!$C$98)-CROQUIS!$C$107)/MAX((CROQUIS!$C$133*MAX(1,CEILING((INT(((CROQUIS!$C$98)-CROQUIS!$C$107)/MAX(CROQUIS!$C$133,1))+1)/80,1))),1))+1))-1,0),0,MOD($A350-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BU3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CROQUIS!$C$97,CROQUIS!$C$97-CROQUIS!$C$107/2-CROQUIS!$C$143,IF(CROQUIS!$C$104=1,CROQUIS!$C$97+12,CROQUIS!$C$97-2),CROQUIS!$C$97-CROQUIS!$C$107/2-CROQUIS!$C$143,CROQUIS!$C$97)))*CROQUIS!$C$159)+IF(CROQUIS!$C$92="X",0.8,0)),-1000)</f>
        <v>-1000</v>
      </c>
      <c r="BV3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HOOSE(IF(INT(($A350-1)/5)&gt;MAX((MAX(1,INT(((CROQUIS!$C$97)-CROQUIS!$C$107)/MAX((CROQUIS!$C$141*MAX(1,CEILING((INT(((CROQUIS!$C$97)-CROQUIS!$C$107)/MAX(CROQUIS!$C$141,1))+1)/80,1))),1))+1))-1,0),0,MOD($A350-1,5))+1,0,IF(CROQUIS!$C$105=1,-12,2),CROQUIS!$C$107/2+CROQUIS!$C$144,IF(CROQUIS!$C$105=1,-12,2),0)))*CROQUIS!$C$159)+IF(CROQUIS!$C$92="X",0.8,0)),-1000)</f>
        <v>-1000</v>
      </c>
      <c r="BW350">
        <f>IF(AND(CROQUIS!$C$88=1,CROQUIS!$C$91=0,CROQUIS!$C$141&gt;0,OR(CROQUIS!$C$105=1,CROQUIS!$C$146=1)),((CROQUIS!$C$161+(IF(CROQUIS!$C$92="X",CHOOSE(IF(INT(($A350-1)/5)&gt;MAX((MAX(1,INT(((CROQUIS!$C$97)-CROQUIS!$C$107)/MAX((CROQUIS!$C$141*MAX(1,CEILING((INT(((CROQUIS!$C$97)-CROQUIS!$C$107)/MAX(CROQUIS!$C$141,1))+1)/80,1))),1))+1))-1,0),0,MOD($A350-1,5))+1,0,IF(CROQUIS!$C$105=1,-12,2),CROQUIS!$C$107/2+CROQUIS!$C$144,IF(CROQUIS!$C$105=1,-12,2),0),((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ROQUIS!$C$159)+IF(CROQUIS!$C$92="X",0,0.8)),-1000)</f>
        <v>-1000</v>
      </c>
      <c r="BX3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HOOSE(IF(INT(($A350-1)/5)&gt;MAX((MAX(1,INT(((CROQUIS!$C$97)-CROQUIS!$C$107)/MAX((CROQUIS!$C$141*MAX(1,CEILING((INT(((CROQUIS!$C$97)-CROQUIS!$C$107)/MAX(CROQUIS!$C$141,1))+1)/80,1))),1))+1))-1,0),0,MOD($A350-1,5))+1,CROQUIS!$C$98,CROQUIS!$C$98-CROQUIS!$C$107/2-CROQUIS!$C$144,IF(CROQUIS!$C$106=1,CROQUIS!$C$98+12,CROQUIS!$C$98-2),CROQUIS!$C$98-CROQUIS!$C$107/2-CROQUIS!$C$144,CROQUIS!$C$98)))*CROQUIS!$C$159)+IF(CROQUIS!$C$92="X",0.8,0)),-1000)</f>
        <v>-1000</v>
      </c>
      <c r="BY350">
        <f>IF(AND(CROQUIS!$C$88=1,CROQUIS!$C$91=0,CROQUIS!$C$141&gt;0,OR(CROQUIS!$C$106=1,CROQUIS!$C$146=1)),((CROQUIS!$C$161+(IF(CROQUIS!$C$92="X",CHOOSE(IF(INT(($A350-1)/5)&gt;MAX((MAX(1,INT(((CROQUIS!$C$97)-CROQUIS!$C$107)/MAX((CROQUIS!$C$141*MAX(1,CEILING((INT(((CROQUIS!$C$97)-CROQUIS!$C$107)/MAX(CROQUIS!$C$141,1))+1)/80,1))),1))+1))-1,0),0,MOD($A350-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ROQUIS!$C$159)+IF(CROQUIS!$C$92="X",0,0.8)),-1000)</f>
        <v>-1000</v>
      </c>
      <c r="BZ350">
        <f>IF(AND(CROQUIS!$C$88=1,CROQUIS!$C$91=1,CROQUIS!$C$133&gt;0),((CROQUIS!$C$160+(IF(CROQUIS!$C$92="X",CHOOSE(IF(INT(($A350-1)/5)&gt;MAX((MAX(1,INT(((CROQUIS!$C$98)-CROQUIS!$C$107)/MAX((CROQUIS!$C$133*MAX(1,CEILING((INT(((CROQUIS!$C$98)-CROQUIS!$C$107)/MAX(CROQUIS!$C$133,1))+1)/80,1))),1))+1))-1,0),0,MOD($A350-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CA350">
        <f>IF(AND(CROQUIS!$C$88=1,CROQUIS!$C$91=1,CROQUIS!$C$133&gt;0),((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1">
      <c r="A351" t="n">
        <v>344</v>
      </c>
      <c r="BN351">
        <f>IF(AND(CROQUIS!$C$88=1,CROQUIS!$C$129&gt;0),((CROQUIS!$C$160+(IF(CROQUIS!$C$92="X",CHOOSE(IF(INT(($A351-1)/5)&gt;MAX((MAX(1,INT(((CROQUIS!$C$98)-CROQUIS!$C$107)/MAX((CROQUIS!$C$129*MAX(1,CEILING((INT(((CROQUIS!$C$98)-CROQUIS!$C$107)/MAX(CROQUIS!$C$129,1))+1)/80,1))),1))+1))-1,0),0,MOD($A351-1,5))+1,0,2,CROQUIS!$C$97-2,2,0),((CROQUIS!$C$107/2+(((CROQUIS!$C$98)-CROQUIS!$C$107)-(MAX(1,INT(((CROQUIS!$C$98)-CROQUIS!$C$107)/MAX((CROQUIS!$C$129*MAX(1,CEILING((INT(((CROQUIS!$C$98)-CROQUIS!$C$107)/MAX(CROQUIS!$C$129,1))+1)/80,1))),1))+1)-1)*(CROQUIS!$C$129*MAX(1,CEILING((INT(((CROQUIS!$C$98)-CROQUIS!$C$107)/MAX(CROQUIS!$C$129,1))+1)/80,1))))/2)+MIN(INT(($A351-1)/5),MAX((MAX(1,INT(((CROQUIS!$C$98)-CROQUIS!$C$107)/MAX((CROQUIS!$C$129*MAX(1,CEILING((INT(((CROQUIS!$C$98)-CROQUIS!$C$107)/MAX(CROQUIS!$C$129,1))+1)/80,1))),1))+1))-1,0))*(CROQUIS!$C$129*MAX(1,CEILING((INT(((CROQUIS!$C$98)-CROQUIS!$C$107)/MAX(CROQUIS!$C$129,1))+1)/80,1))))))*CROQUIS!$C$159)+IF(CROQUIS!$C$92="X",0,0)),-1000)</f>
        <v>-1000</v>
      </c>
      <c r="BO351">
        <f>IF(AND(CROQUIS!$C$88=1,CROQUIS!$C$129&gt;0),((CROQUIS!$C$161+(IF(CROQUIS!$C$92="X",((CROQUIS!$C$107/2+(((CROQUIS!$C$98)-CROQUIS!$C$107)-(MAX(1,INT(((CROQUIS!$C$98)-CROQUIS!$C$107)/MAX((CROQUIS!$C$129*MAX(1,CEILING((INT(((CROQUIS!$C$98)-CROQUIS!$C$107)/MAX(CROQUIS!$C$129,1))+1)/80,1))),1))+1)-1)*(CROQUIS!$C$129*MAX(1,CEILING((INT(((CROQUIS!$C$98)-CROQUIS!$C$107)/MAX(CROQUIS!$C$129,1))+1)/80,1))))/2)+MIN(INT(($A351-1)/5),MAX((MAX(1,INT(((CROQUIS!$C$98)-CROQUIS!$C$107)/MAX((CROQUIS!$C$129*MAX(1,CEILING((INT(((CROQUIS!$C$98)-CROQUIS!$C$107)/MAX(CROQUIS!$C$129,1))+1)/80,1))),1))+1))-1,0))*(CROQUIS!$C$129*MAX(1,CEILING((INT(((CROQUIS!$C$98)-CROQUIS!$C$107)/MAX(CROQUIS!$C$129,1))+1)/80,1)))),CHOOSE(IF(INT(($A351-1)/5)&gt;MAX((MAX(1,INT(((CROQUIS!$C$98)-CROQUIS!$C$107)/MAX((CROQUIS!$C$129*MAX(1,CEILING((INT(((CROQUIS!$C$98)-CROQUIS!$C$107)/MAX(CROQUIS!$C$129,1))+1)/80,1))),1))+1))-1,0),0,MOD($A351-1,5))+1,0,2,CROQUIS!$C$97-2,2,0)))*CROQUIS!$C$159)+IF(CROQUIS!$C$92="X",0,0)),-1000)</f>
        <v>-1000</v>
      </c>
      <c r="BP351">
        <f>IF(AND(CROQUIS!$C$88=1,CROQUIS!$C$137&gt;0),((CROQUIS!$C$160+(IF(CROQUIS!$C$92="X",((CROQUIS!$C$107/2+(((CROQUIS!$C$97)-CROQUIS!$C$107)-(MAX(1,INT(((CROQUIS!$C$97)-CROQUIS!$C$107)/MAX((CROQUIS!$C$137*MAX(1,CEILING((INT(((CROQUIS!$C$97)-CROQUIS!$C$107)/MAX(CROQUIS!$C$137,1))+1)/80,1))),1))+1)-1)*(CROQUIS!$C$137*MAX(1,CEILING((INT(((CROQUIS!$C$97)-CROQUIS!$C$107)/MAX(CROQUIS!$C$137,1))+1)/80,1))))/2)+MIN(INT(($A351-1)/5),MAX((MAX(1,INT(((CROQUIS!$C$97)-CROQUIS!$C$107)/MAX((CROQUIS!$C$137*MAX(1,CEILING((INT(((CROQUIS!$C$97)-CROQUIS!$C$107)/MAX(CROQUIS!$C$137,1))+1)/80,1))),1))+1))-1,0))*(CROQUIS!$C$137*MAX(1,CEILING((INT(((CROQUIS!$C$97)-CROQUIS!$C$107)/MAX(CROQUIS!$C$137,1))+1)/80,1)))),CHOOSE(IF(INT(($A351-1)/5)&gt;MAX((MAX(1,INT(((CROQUIS!$C$97)-CROQUIS!$C$107)/MAX((CROQUIS!$C$137*MAX(1,CEILING((INT(((CROQUIS!$C$97)-CROQUIS!$C$107)/MAX(CROQUIS!$C$137,1))+1)/80,1))),1))+1))-1,0),0,MOD($A351-1,5))+1,0,2,CROQUIS!$C$98-2,2,0)))*CROQUIS!$C$159)+IF(CROQUIS!$C$92="X",0,0)),-1000)</f>
        <v>-1000</v>
      </c>
      <c r="BQ351">
        <f>IF(AND(CROQUIS!$C$88=1,CROQUIS!$C$137&gt;0),((CROQUIS!$C$161+(IF(CROQUIS!$C$92="X",CHOOSE(IF(INT(($A351-1)/5)&gt;MAX((MAX(1,INT(((CROQUIS!$C$97)-CROQUIS!$C$107)/MAX((CROQUIS!$C$137*MAX(1,CEILING((INT(((CROQUIS!$C$97)-CROQUIS!$C$107)/MAX(CROQUIS!$C$137,1))+1)/80,1))),1))+1))-1,0),0,MOD($A351-1,5))+1,0,2,CROQUIS!$C$98-2,2,0),((CROQUIS!$C$107/2+(((CROQUIS!$C$97)-CROQUIS!$C$107)-(MAX(1,INT(((CROQUIS!$C$97)-CROQUIS!$C$107)/MAX((CROQUIS!$C$137*MAX(1,CEILING((INT(((CROQUIS!$C$97)-CROQUIS!$C$107)/MAX(CROQUIS!$C$137,1))+1)/80,1))),1))+1)-1)*(CROQUIS!$C$137*MAX(1,CEILING((INT(((CROQUIS!$C$97)-CROQUIS!$C$107)/MAX(CROQUIS!$C$137,1))+1)/80,1))))/2)+MIN(INT(($A351-1)/5),MAX((MAX(1,INT(((CROQUIS!$C$97)-CROQUIS!$C$107)/MAX((CROQUIS!$C$137*MAX(1,CEILING((INT(((CROQUIS!$C$97)-CROQUIS!$C$107)/MAX(CROQUIS!$C$137,1))+1)/80,1))),1))+1))-1,0))*(CROQUIS!$C$137*MAX(1,CEILING((INT(((CROQUIS!$C$97)-CROQUIS!$C$107)/MAX(CROQUIS!$C$137,1))+1)/80,1))))))*CROQUIS!$C$159)+IF(CROQUIS!$C$92="X",0,0)),-1000)</f>
        <v>-1000</v>
      </c>
      <c r="BR351">
        <f>IF(AND(CROQUIS!$C$88=1,CROQUIS!$C$91=0,CROQUIS!$C$133&gt;0,OR(CROQUIS!$C$103=1,CROQUIS!$C$145=1)),((CROQUIS!$C$160+(IF(CROQUIS!$C$92="X",CHOOSE(IF(INT(($A351-1)/5)&gt;MAX((MAX(1,INT(((CROQUIS!$C$98)-CROQUIS!$C$107)/MAX((CROQUIS!$C$133*MAX(1,CEILING((INT(((CROQUIS!$C$98)-CROQUIS!$C$107)/MAX(CROQUIS!$C$133,1))+1)/80,1))),1))+1))-1,0),0,MOD($A351-1,5))+1,0,IF(CROQUIS!$C$103=1,-12,2),CROQUIS!$C$107/2+CROQUIS!$C$143,IF(CROQUIS!$C$103=1,-12,2),0),((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BS3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+1,0,IF(CROQUIS!$C$103=1,-12,2),CROQUIS!$C$107/2+CROQUIS!$C$143,IF(CROQUIS!$C$103=1,-12,2),0)))*CROQUIS!$C$159)+IF(CROQUIS!$C$92="X",0.8,0)),-1000)</f>
        <v>-1000</v>
      </c>
      <c r="BT351">
        <f>IF(AND(CROQUIS!$C$88=1,CROQUIS!$C$91=0,CROQUIS!$C$133&gt;0,OR(CROQUIS!$C$104=1,CROQUIS!$C$145=1)),((CROQUIS!$C$160+(IF(CROQUIS!$C$92="X",CHOOSE(IF(INT(($A351-1)/5)&gt;MAX((MAX(1,INT(((CROQUIS!$C$98)-CROQUIS!$C$107)/MAX((CROQUIS!$C$133*MAX(1,CEILING((INT(((CROQUIS!$C$98)-CROQUIS!$C$107)/MAX(CROQUIS!$C$133,1))+1)/80,1))),1))+1))-1,0),0,MOD($A351-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BU3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CROQUIS!$C$97,CROQUIS!$C$97-CROQUIS!$C$107/2-CROQUIS!$C$143,IF(CROQUIS!$C$104=1,CROQUIS!$C$97+12,CROQUIS!$C$97-2),CROQUIS!$C$97-CROQUIS!$C$107/2-CROQUIS!$C$143,CROQUIS!$C$97)))*CROQUIS!$C$159)+IF(CROQUIS!$C$92="X",0.8,0)),-1000)</f>
        <v>-1000</v>
      </c>
      <c r="BV3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HOOSE(IF(INT(($A351-1)/5)&gt;MAX((MAX(1,INT(((CROQUIS!$C$97)-CROQUIS!$C$107)/MAX((CROQUIS!$C$141*MAX(1,CEILING((INT(((CROQUIS!$C$97)-CROQUIS!$C$107)/MAX(CROQUIS!$C$141,1))+1)/80,1))),1))+1))-1,0),0,MOD($A351-1,5))+1,0,IF(CROQUIS!$C$105=1,-12,2),CROQUIS!$C$107/2+CROQUIS!$C$144,IF(CROQUIS!$C$105=1,-12,2),0)))*CROQUIS!$C$159)+IF(CROQUIS!$C$92="X",0.8,0)),-1000)</f>
        <v>-1000</v>
      </c>
      <c r="BW351">
        <f>IF(AND(CROQUIS!$C$88=1,CROQUIS!$C$91=0,CROQUIS!$C$141&gt;0,OR(CROQUIS!$C$105=1,CROQUIS!$C$146=1)),((CROQUIS!$C$161+(IF(CROQUIS!$C$92="X",CHOOSE(IF(INT(($A351-1)/5)&gt;MAX((MAX(1,INT(((CROQUIS!$C$97)-CROQUIS!$C$107)/MAX((CROQUIS!$C$141*MAX(1,CEILING((INT(((CROQUIS!$C$97)-CROQUIS!$C$107)/MAX(CROQUIS!$C$141,1))+1)/80,1))),1))+1))-1,0),0,MOD($A351-1,5))+1,0,IF(CROQUIS!$C$105=1,-12,2),CROQUIS!$C$107/2+CROQUIS!$C$144,IF(CROQUIS!$C$105=1,-12,2),0),((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ROQUIS!$C$159)+IF(CROQUIS!$C$92="X",0,0.8)),-1000)</f>
        <v>-1000</v>
      </c>
      <c r="BX3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HOOSE(IF(INT(($A351-1)/5)&gt;MAX((MAX(1,INT(((CROQUIS!$C$97)-CROQUIS!$C$107)/MAX((CROQUIS!$C$141*MAX(1,CEILING((INT(((CROQUIS!$C$97)-CROQUIS!$C$107)/MAX(CROQUIS!$C$141,1))+1)/80,1))),1))+1))-1,0),0,MOD($A351-1,5))+1,CROQUIS!$C$98,CROQUIS!$C$98-CROQUIS!$C$107/2-CROQUIS!$C$144,IF(CROQUIS!$C$106=1,CROQUIS!$C$98+12,CROQUIS!$C$98-2),CROQUIS!$C$98-CROQUIS!$C$107/2-CROQUIS!$C$144,CROQUIS!$C$98)))*CROQUIS!$C$159)+IF(CROQUIS!$C$92="X",0.8,0)),-1000)</f>
        <v>-1000</v>
      </c>
      <c r="BY351">
        <f>IF(AND(CROQUIS!$C$88=1,CROQUIS!$C$91=0,CROQUIS!$C$141&gt;0,OR(CROQUIS!$C$106=1,CROQUIS!$C$146=1)),((CROQUIS!$C$161+(IF(CROQUIS!$C$92="X",CHOOSE(IF(INT(($A351-1)/5)&gt;MAX((MAX(1,INT(((CROQUIS!$C$97)-CROQUIS!$C$107)/MAX((CROQUIS!$C$141*MAX(1,CEILING((INT(((CROQUIS!$C$97)-CROQUIS!$C$107)/MAX(CROQUIS!$C$141,1))+1)/80,1))),1))+1))-1,0),0,MOD($A351-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ROQUIS!$C$159)+IF(CROQUIS!$C$92="X",0,0.8)),-1000)</f>
        <v>-1000</v>
      </c>
      <c r="BZ351">
        <f>IF(AND(CROQUIS!$C$88=1,CROQUIS!$C$91=1,CROQUIS!$C$133&gt;0),((CROQUIS!$C$160+(IF(CROQUIS!$C$92="X",CHOOSE(IF(INT(($A351-1)/5)&gt;MAX((MAX(1,INT(((CROQUIS!$C$98)-CROQUIS!$C$107)/MAX((CROQUIS!$C$133*MAX(1,CEILING((INT(((CROQUIS!$C$98)-CROQUIS!$C$107)/MAX(CROQUIS!$C$133,1))+1)/80,1))),1))+1))-1,0),0,MOD($A351-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CA351">
        <f>IF(AND(CROQUIS!$C$88=1,CROQUIS!$C$91=1,CROQUIS!$C$133&gt;0),((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2">
      <c r="A352" t="n">
        <v>345</v>
      </c>
      <c r="BN352">
        <f>IF(AND(CROQUIS!$C$88=1,CROQUIS!$C$129&gt;0),((CROQUIS!$C$160+(IF(CROQUIS!$C$92="X",CHOOSE(IF(INT(($A352-1)/5)&gt;MAX((MAX(1,INT(((CROQUIS!$C$98)-CROQUIS!$C$107)/MAX((CROQUIS!$C$129*MAX(1,CEILING((INT(((CROQUIS!$C$98)-CROQUIS!$C$107)/MAX(CROQUIS!$C$129,1))+1)/80,1))),1))+1))-1,0),0,MOD($A352-1,5))+1,0,2,CROQUIS!$C$97-2,2,0),((CROQUIS!$C$107/2+(((CROQUIS!$C$98)-CROQUIS!$C$107)-(MAX(1,INT(((CROQUIS!$C$98)-CROQUIS!$C$107)/MAX((CROQUIS!$C$129*MAX(1,CEILING((INT(((CROQUIS!$C$98)-CROQUIS!$C$107)/MAX(CROQUIS!$C$129,1))+1)/80,1))),1))+1)-1)*(CROQUIS!$C$129*MAX(1,CEILING((INT(((CROQUIS!$C$98)-CROQUIS!$C$107)/MAX(CROQUIS!$C$129,1))+1)/80,1))))/2)+MIN(INT(($A352-1)/5),MAX((MAX(1,INT(((CROQUIS!$C$98)-CROQUIS!$C$107)/MAX((CROQUIS!$C$129*MAX(1,CEILING((INT(((CROQUIS!$C$98)-CROQUIS!$C$107)/MAX(CROQUIS!$C$129,1))+1)/80,1))),1))+1))-1,0))*(CROQUIS!$C$129*MAX(1,CEILING((INT(((CROQUIS!$C$98)-CROQUIS!$C$107)/MAX(CROQUIS!$C$129,1))+1)/80,1))))))*CROQUIS!$C$159)+IF(CROQUIS!$C$92="X",0,0)),-1000)</f>
        <v>-1000</v>
      </c>
      <c r="BO352">
        <f>IF(AND(CROQUIS!$C$88=1,CROQUIS!$C$129&gt;0),((CROQUIS!$C$161+(IF(CROQUIS!$C$92="X",((CROQUIS!$C$107/2+(((CROQUIS!$C$98)-CROQUIS!$C$107)-(MAX(1,INT(((CROQUIS!$C$98)-CROQUIS!$C$107)/MAX((CROQUIS!$C$129*MAX(1,CEILING((INT(((CROQUIS!$C$98)-CROQUIS!$C$107)/MAX(CROQUIS!$C$129,1))+1)/80,1))),1))+1)-1)*(CROQUIS!$C$129*MAX(1,CEILING((INT(((CROQUIS!$C$98)-CROQUIS!$C$107)/MAX(CROQUIS!$C$129,1))+1)/80,1))))/2)+MIN(INT(($A352-1)/5),MAX((MAX(1,INT(((CROQUIS!$C$98)-CROQUIS!$C$107)/MAX((CROQUIS!$C$129*MAX(1,CEILING((INT(((CROQUIS!$C$98)-CROQUIS!$C$107)/MAX(CROQUIS!$C$129,1))+1)/80,1))),1))+1))-1,0))*(CROQUIS!$C$129*MAX(1,CEILING((INT(((CROQUIS!$C$98)-CROQUIS!$C$107)/MAX(CROQUIS!$C$129,1))+1)/80,1)))),CHOOSE(IF(INT(($A352-1)/5)&gt;MAX((MAX(1,INT(((CROQUIS!$C$98)-CROQUIS!$C$107)/MAX((CROQUIS!$C$129*MAX(1,CEILING((INT(((CROQUIS!$C$98)-CROQUIS!$C$107)/MAX(CROQUIS!$C$129,1))+1)/80,1))),1))+1))-1,0),0,MOD($A352-1,5))+1,0,2,CROQUIS!$C$97-2,2,0)))*CROQUIS!$C$159)+IF(CROQUIS!$C$92="X",0,0)),-1000)</f>
        <v>-1000</v>
      </c>
      <c r="BP352">
        <f>IF(AND(CROQUIS!$C$88=1,CROQUIS!$C$137&gt;0),((CROQUIS!$C$160+(IF(CROQUIS!$C$92="X",((CROQUIS!$C$107/2+(((CROQUIS!$C$97)-CROQUIS!$C$107)-(MAX(1,INT(((CROQUIS!$C$97)-CROQUIS!$C$107)/MAX((CROQUIS!$C$137*MAX(1,CEILING((INT(((CROQUIS!$C$97)-CROQUIS!$C$107)/MAX(CROQUIS!$C$137,1))+1)/80,1))),1))+1)-1)*(CROQUIS!$C$137*MAX(1,CEILING((INT(((CROQUIS!$C$97)-CROQUIS!$C$107)/MAX(CROQUIS!$C$137,1))+1)/80,1))))/2)+MIN(INT(($A352-1)/5),MAX((MAX(1,INT(((CROQUIS!$C$97)-CROQUIS!$C$107)/MAX((CROQUIS!$C$137*MAX(1,CEILING((INT(((CROQUIS!$C$97)-CROQUIS!$C$107)/MAX(CROQUIS!$C$137,1))+1)/80,1))),1))+1))-1,0))*(CROQUIS!$C$137*MAX(1,CEILING((INT(((CROQUIS!$C$97)-CROQUIS!$C$107)/MAX(CROQUIS!$C$137,1))+1)/80,1)))),CHOOSE(IF(INT(($A352-1)/5)&gt;MAX((MAX(1,INT(((CROQUIS!$C$97)-CROQUIS!$C$107)/MAX((CROQUIS!$C$137*MAX(1,CEILING((INT(((CROQUIS!$C$97)-CROQUIS!$C$107)/MAX(CROQUIS!$C$137,1))+1)/80,1))),1))+1))-1,0),0,MOD($A352-1,5))+1,0,2,CROQUIS!$C$98-2,2,0)))*CROQUIS!$C$159)+IF(CROQUIS!$C$92="X",0,0)),-1000)</f>
        <v>-1000</v>
      </c>
      <c r="BQ352">
        <f>IF(AND(CROQUIS!$C$88=1,CROQUIS!$C$137&gt;0),((CROQUIS!$C$161+(IF(CROQUIS!$C$92="X",CHOOSE(IF(INT(($A352-1)/5)&gt;MAX((MAX(1,INT(((CROQUIS!$C$97)-CROQUIS!$C$107)/MAX((CROQUIS!$C$137*MAX(1,CEILING((INT(((CROQUIS!$C$97)-CROQUIS!$C$107)/MAX(CROQUIS!$C$137,1))+1)/80,1))),1))+1))-1,0),0,MOD($A352-1,5))+1,0,2,CROQUIS!$C$98-2,2,0),((CROQUIS!$C$107/2+(((CROQUIS!$C$97)-CROQUIS!$C$107)-(MAX(1,INT(((CROQUIS!$C$97)-CROQUIS!$C$107)/MAX((CROQUIS!$C$137*MAX(1,CEILING((INT(((CROQUIS!$C$97)-CROQUIS!$C$107)/MAX(CROQUIS!$C$137,1))+1)/80,1))),1))+1)-1)*(CROQUIS!$C$137*MAX(1,CEILING((INT(((CROQUIS!$C$97)-CROQUIS!$C$107)/MAX(CROQUIS!$C$137,1))+1)/80,1))))/2)+MIN(INT(($A352-1)/5),MAX((MAX(1,INT(((CROQUIS!$C$97)-CROQUIS!$C$107)/MAX((CROQUIS!$C$137*MAX(1,CEILING((INT(((CROQUIS!$C$97)-CROQUIS!$C$107)/MAX(CROQUIS!$C$137,1))+1)/80,1))),1))+1))-1,0))*(CROQUIS!$C$137*MAX(1,CEILING((INT(((CROQUIS!$C$97)-CROQUIS!$C$107)/MAX(CROQUIS!$C$137,1))+1)/80,1))))))*CROQUIS!$C$159)+IF(CROQUIS!$C$92="X",0,0)),-1000)</f>
        <v>-1000</v>
      </c>
      <c r="BR352">
        <f>IF(AND(CROQUIS!$C$88=1,CROQUIS!$C$91=0,CROQUIS!$C$133&gt;0,OR(CROQUIS!$C$103=1,CROQUIS!$C$145=1)),((CROQUIS!$C$160+(IF(CROQUIS!$C$92="X",CHOOSE(IF(INT(($A352-1)/5)&gt;MAX((MAX(1,INT(((CROQUIS!$C$98)-CROQUIS!$C$107)/MAX((CROQUIS!$C$133*MAX(1,CEILING((INT(((CROQUIS!$C$98)-CROQUIS!$C$107)/MAX(CROQUIS!$C$133,1))+1)/80,1))),1))+1))-1,0),0,MOD($A352-1,5))+1,0,IF(CROQUIS!$C$103=1,-12,2),CROQUIS!$C$107/2+CROQUIS!$C$143,IF(CROQUIS!$C$103=1,-12,2),0),((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BS3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+1,0,IF(CROQUIS!$C$103=1,-12,2),CROQUIS!$C$107/2+CROQUIS!$C$143,IF(CROQUIS!$C$103=1,-12,2),0)))*CROQUIS!$C$159)+IF(CROQUIS!$C$92="X",0.8,0)),-1000)</f>
        <v>-1000</v>
      </c>
      <c r="BT352">
        <f>IF(AND(CROQUIS!$C$88=1,CROQUIS!$C$91=0,CROQUIS!$C$133&gt;0,OR(CROQUIS!$C$104=1,CROQUIS!$C$145=1)),((CROQUIS!$C$160+(IF(CROQUIS!$C$92="X",CHOOSE(IF(INT(($A352-1)/5)&gt;MAX((MAX(1,INT(((CROQUIS!$C$98)-CROQUIS!$C$107)/MAX((CROQUIS!$C$133*MAX(1,CEILING((INT(((CROQUIS!$C$98)-CROQUIS!$C$107)/MAX(CROQUIS!$C$133,1))+1)/80,1))),1))+1))-1,0),0,MOD($A352-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BU3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CROQUIS!$C$97,CROQUIS!$C$97-CROQUIS!$C$107/2-CROQUIS!$C$143,IF(CROQUIS!$C$104=1,CROQUIS!$C$97+12,CROQUIS!$C$97-2),CROQUIS!$C$97-CROQUIS!$C$107/2-CROQUIS!$C$143,CROQUIS!$C$97)))*CROQUIS!$C$159)+IF(CROQUIS!$C$92="X",0.8,0)),-1000)</f>
        <v>-1000</v>
      </c>
      <c r="BV3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HOOSE(IF(INT(($A352-1)/5)&gt;MAX((MAX(1,INT(((CROQUIS!$C$97)-CROQUIS!$C$107)/MAX((CROQUIS!$C$141*MAX(1,CEILING((INT(((CROQUIS!$C$97)-CROQUIS!$C$107)/MAX(CROQUIS!$C$141,1))+1)/80,1))),1))+1))-1,0),0,MOD($A352-1,5))+1,0,IF(CROQUIS!$C$105=1,-12,2),CROQUIS!$C$107/2+CROQUIS!$C$144,IF(CROQUIS!$C$105=1,-12,2),0)))*CROQUIS!$C$159)+IF(CROQUIS!$C$92="X",0.8,0)),-1000)</f>
        <v>-1000</v>
      </c>
      <c r="BW352">
        <f>IF(AND(CROQUIS!$C$88=1,CROQUIS!$C$91=0,CROQUIS!$C$141&gt;0,OR(CROQUIS!$C$105=1,CROQUIS!$C$146=1)),((CROQUIS!$C$161+(IF(CROQUIS!$C$92="X",CHOOSE(IF(INT(($A352-1)/5)&gt;MAX((MAX(1,INT(((CROQUIS!$C$97)-CROQUIS!$C$107)/MAX((CROQUIS!$C$141*MAX(1,CEILING((INT(((CROQUIS!$C$97)-CROQUIS!$C$107)/MAX(CROQUIS!$C$141,1))+1)/80,1))),1))+1))-1,0),0,MOD($A352-1,5))+1,0,IF(CROQUIS!$C$105=1,-12,2),CROQUIS!$C$107/2+CROQUIS!$C$144,IF(CROQUIS!$C$105=1,-12,2),0),((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ROQUIS!$C$159)+IF(CROQUIS!$C$92="X",0,0.8)),-1000)</f>
        <v>-1000</v>
      </c>
      <c r="BX3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HOOSE(IF(INT(($A352-1)/5)&gt;MAX((MAX(1,INT(((CROQUIS!$C$97)-CROQUIS!$C$107)/MAX((CROQUIS!$C$141*MAX(1,CEILING((INT(((CROQUIS!$C$97)-CROQUIS!$C$107)/MAX(CROQUIS!$C$141,1))+1)/80,1))),1))+1))-1,0),0,MOD($A352-1,5))+1,CROQUIS!$C$98,CROQUIS!$C$98-CROQUIS!$C$107/2-CROQUIS!$C$144,IF(CROQUIS!$C$106=1,CROQUIS!$C$98+12,CROQUIS!$C$98-2),CROQUIS!$C$98-CROQUIS!$C$107/2-CROQUIS!$C$144,CROQUIS!$C$98)))*CROQUIS!$C$159)+IF(CROQUIS!$C$92="X",0.8,0)),-1000)</f>
        <v>-1000</v>
      </c>
      <c r="BY352">
        <f>IF(AND(CROQUIS!$C$88=1,CROQUIS!$C$91=0,CROQUIS!$C$141&gt;0,OR(CROQUIS!$C$106=1,CROQUIS!$C$146=1)),((CROQUIS!$C$161+(IF(CROQUIS!$C$92="X",CHOOSE(IF(INT(($A352-1)/5)&gt;MAX((MAX(1,INT(((CROQUIS!$C$97)-CROQUIS!$C$107)/MAX((CROQUIS!$C$141*MAX(1,CEILING((INT(((CROQUIS!$C$97)-CROQUIS!$C$107)/MAX(CROQUIS!$C$141,1))+1)/80,1))),1))+1))-1,0),0,MOD($A352-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ROQUIS!$C$159)+IF(CROQUIS!$C$92="X",0,0.8)),-1000)</f>
        <v>-1000</v>
      </c>
      <c r="BZ352">
        <f>IF(AND(CROQUIS!$C$88=1,CROQUIS!$C$91=1,CROQUIS!$C$133&gt;0),((CROQUIS!$C$160+(IF(CROQUIS!$C$92="X",CHOOSE(IF(INT(($A352-1)/5)&gt;MAX((MAX(1,INT(((CROQUIS!$C$98)-CROQUIS!$C$107)/MAX((CROQUIS!$C$133*MAX(1,CEILING((INT(((CROQUIS!$C$98)-CROQUIS!$C$107)/MAX(CROQUIS!$C$133,1))+1)/80,1))),1))+1))-1,0),0,MOD($A352-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CA352">
        <f>IF(AND(CROQUIS!$C$88=1,CROQUIS!$C$91=1,CROQUIS!$C$133&gt;0),((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3">
      <c r="A353" t="n">
        <v>346</v>
      </c>
      <c r="BN353">
        <f>IF(AND(CROQUIS!$C$88=1,CROQUIS!$C$129&gt;0),((CROQUIS!$C$160+(IF(CROQUIS!$C$92="X",CHOOSE(IF(INT(($A353-1)/5)&gt;MAX((MAX(1,INT(((CROQUIS!$C$98)-CROQUIS!$C$107)/MAX((CROQUIS!$C$129*MAX(1,CEILING((INT(((CROQUIS!$C$98)-CROQUIS!$C$107)/MAX(CROQUIS!$C$129,1))+1)/80,1))),1))+1))-1,0),0,MOD($A353-1,5))+1,0,2,CROQUIS!$C$97-2,2,0),((CROQUIS!$C$107/2+(((CROQUIS!$C$98)-CROQUIS!$C$107)-(MAX(1,INT(((CROQUIS!$C$98)-CROQUIS!$C$107)/MAX((CROQUIS!$C$129*MAX(1,CEILING((INT(((CROQUIS!$C$98)-CROQUIS!$C$107)/MAX(CROQUIS!$C$129,1))+1)/80,1))),1))+1)-1)*(CROQUIS!$C$129*MAX(1,CEILING((INT(((CROQUIS!$C$98)-CROQUIS!$C$107)/MAX(CROQUIS!$C$129,1))+1)/80,1))))/2)+MIN(INT(($A353-1)/5),MAX((MAX(1,INT(((CROQUIS!$C$98)-CROQUIS!$C$107)/MAX((CROQUIS!$C$129*MAX(1,CEILING((INT(((CROQUIS!$C$98)-CROQUIS!$C$107)/MAX(CROQUIS!$C$129,1))+1)/80,1))),1))+1))-1,0))*(CROQUIS!$C$129*MAX(1,CEILING((INT(((CROQUIS!$C$98)-CROQUIS!$C$107)/MAX(CROQUIS!$C$129,1))+1)/80,1))))))*CROQUIS!$C$159)+IF(CROQUIS!$C$92="X",0,0)),-1000)</f>
        <v>-1000</v>
      </c>
      <c r="BO353">
        <f>IF(AND(CROQUIS!$C$88=1,CROQUIS!$C$129&gt;0),((CROQUIS!$C$161+(IF(CROQUIS!$C$92="X",((CROQUIS!$C$107/2+(((CROQUIS!$C$98)-CROQUIS!$C$107)-(MAX(1,INT(((CROQUIS!$C$98)-CROQUIS!$C$107)/MAX((CROQUIS!$C$129*MAX(1,CEILING((INT(((CROQUIS!$C$98)-CROQUIS!$C$107)/MAX(CROQUIS!$C$129,1))+1)/80,1))),1))+1)-1)*(CROQUIS!$C$129*MAX(1,CEILING((INT(((CROQUIS!$C$98)-CROQUIS!$C$107)/MAX(CROQUIS!$C$129,1))+1)/80,1))))/2)+MIN(INT(($A353-1)/5),MAX((MAX(1,INT(((CROQUIS!$C$98)-CROQUIS!$C$107)/MAX((CROQUIS!$C$129*MAX(1,CEILING((INT(((CROQUIS!$C$98)-CROQUIS!$C$107)/MAX(CROQUIS!$C$129,1))+1)/80,1))),1))+1))-1,0))*(CROQUIS!$C$129*MAX(1,CEILING((INT(((CROQUIS!$C$98)-CROQUIS!$C$107)/MAX(CROQUIS!$C$129,1))+1)/80,1)))),CHOOSE(IF(INT(($A353-1)/5)&gt;MAX((MAX(1,INT(((CROQUIS!$C$98)-CROQUIS!$C$107)/MAX((CROQUIS!$C$129*MAX(1,CEILING((INT(((CROQUIS!$C$98)-CROQUIS!$C$107)/MAX(CROQUIS!$C$129,1))+1)/80,1))),1))+1))-1,0),0,MOD($A353-1,5))+1,0,2,CROQUIS!$C$97-2,2,0)))*CROQUIS!$C$159)+IF(CROQUIS!$C$92="X",0,0)),-1000)</f>
        <v>-1000</v>
      </c>
      <c r="BP353">
        <f>IF(AND(CROQUIS!$C$88=1,CROQUIS!$C$137&gt;0),((CROQUIS!$C$160+(IF(CROQUIS!$C$92="X",((CROQUIS!$C$107/2+(((CROQUIS!$C$97)-CROQUIS!$C$107)-(MAX(1,INT(((CROQUIS!$C$97)-CROQUIS!$C$107)/MAX((CROQUIS!$C$137*MAX(1,CEILING((INT(((CROQUIS!$C$97)-CROQUIS!$C$107)/MAX(CROQUIS!$C$137,1))+1)/80,1))),1))+1)-1)*(CROQUIS!$C$137*MAX(1,CEILING((INT(((CROQUIS!$C$97)-CROQUIS!$C$107)/MAX(CROQUIS!$C$137,1))+1)/80,1))))/2)+MIN(INT(($A353-1)/5),MAX((MAX(1,INT(((CROQUIS!$C$97)-CROQUIS!$C$107)/MAX((CROQUIS!$C$137*MAX(1,CEILING((INT(((CROQUIS!$C$97)-CROQUIS!$C$107)/MAX(CROQUIS!$C$137,1))+1)/80,1))),1))+1))-1,0))*(CROQUIS!$C$137*MAX(1,CEILING((INT(((CROQUIS!$C$97)-CROQUIS!$C$107)/MAX(CROQUIS!$C$137,1))+1)/80,1)))),CHOOSE(IF(INT(($A353-1)/5)&gt;MAX((MAX(1,INT(((CROQUIS!$C$97)-CROQUIS!$C$107)/MAX((CROQUIS!$C$137*MAX(1,CEILING((INT(((CROQUIS!$C$97)-CROQUIS!$C$107)/MAX(CROQUIS!$C$137,1))+1)/80,1))),1))+1))-1,0),0,MOD($A353-1,5))+1,0,2,CROQUIS!$C$98-2,2,0)))*CROQUIS!$C$159)+IF(CROQUIS!$C$92="X",0,0)),-1000)</f>
        <v>-1000</v>
      </c>
      <c r="BQ353">
        <f>IF(AND(CROQUIS!$C$88=1,CROQUIS!$C$137&gt;0),((CROQUIS!$C$161+(IF(CROQUIS!$C$92="X",CHOOSE(IF(INT(($A353-1)/5)&gt;MAX((MAX(1,INT(((CROQUIS!$C$97)-CROQUIS!$C$107)/MAX((CROQUIS!$C$137*MAX(1,CEILING((INT(((CROQUIS!$C$97)-CROQUIS!$C$107)/MAX(CROQUIS!$C$137,1))+1)/80,1))),1))+1))-1,0),0,MOD($A353-1,5))+1,0,2,CROQUIS!$C$98-2,2,0),((CROQUIS!$C$107/2+(((CROQUIS!$C$97)-CROQUIS!$C$107)-(MAX(1,INT(((CROQUIS!$C$97)-CROQUIS!$C$107)/MAX((CROQUIS!$C$137*MAX(1,CEILING((INT(((CROQUIS!$C$97)-CROQUIS!$C$107)/MAX(CROQUIS!$C$137,1))+1)/80,1))),1))+1)-1)*(CROQUIS!$C$137*MAX(1,CEILING((INT(((CROQUIS!$C$97)-CROQUIS!$C$107)/MAX(CROQUIS!$C$137,1))+1)/80,1))))/2)+MIN(INT(($A353-1)/5),MAX((MAX(1,INT(((CROQUIS!$C$97)-CROQUIS!$C$107)/MAX((CROQUIS!$C$137*MAX(1,CEILING((INT(((CROQUIS!$C$97)-CROQUIS!$C$107)/MAX(CROQUIS!$C$137,1))+1)/80,1))),1))+1))-1,0))*(CROQUIS!$C$137*MAX(1,CEILING((INT(((CROQUIS!$C$97)-CROQUIS!$C$107)/MAX(CROQUIS!$C$137,1))+1)/80,1))))))*CROQUIS!$C$159)+IF(CROQUIS!$C$92="X",0,0)),-1000)</f>
        <v>-1000</v>
      </c>
      <c r="BR353">
        <f>IF(AND(CROQUIS!$C$88=1,CROQUIS!$C$91=0,CROQUIS!$C$133&gt;0,OR(CROQUIS!$C$103=1,CROQUIS!$C$145=1)),((CROQUIS!$C$160+(IF(CROQUIS!$C$92="X",CHOOSE(IF(INT(($A353-1)/5)&gt;MAX((MAX(1,INT(((CROQUIS!$C$98)-CROQUIS!$C$107)/MAX((CROQUIS!$C$133*MAX(1,CEILING((INT(((CROQUIS!$C$98)-CROQUIS!$C$107)/MAX(CROQUIS!$C$133,1))+1)/80,1))),1))+1))-1,0),0,MOD($A353-1,5))+1,0,IF(CROQUIS!$C$103=1,-12,2),CROQUIS!$C$107/2+CROQUIS!$C$143,IF(CROQUIS!$C$103=1,-12,2),0),((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BS3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+1,0,IF(CROQUIS!$C$103=1,-12,2),CROQUIS!$C$107/2+CROQUIS!$C$143,IF(CROQUIS!$C$103=1,-12,2),0)))*CROQUIS!$C$159)+IF(CROQUIS!$C$92="X",0.8,0)),-1000)</f>
        <v>-1000</v>
      </c>
      <c r="BT353">
        <f>IF(AND(CROQUIS!$C$88=1,CROQUIS!$C$91=0,CROQUIS!$C$133&gt;0,OR(CROQUIS!$C$104=1,CROQUIS!$C$145=1)),((CROQUIS!$C$160+(IF(CROQUIS!$C$92="X",CHOOSE(IF(INT(($A353-1)/5)&gt;MAX((MAX(1,INT(((CROQUIS!$C$98)-CROQUIS!$C$107)/MAX((CROQUIS!$C$133*MAX(1,CEILING((INT(((CROQUIS!$C$98)-CROQUIS!$C$107)/MAX(CROQUIS!$C$133,1))+1)/80,1))),1))+1))-1,0),0,MOD($A353-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BU3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CROQUIS!$C$97,CROQUIS!$C$97-CROQUIS!$C$107/2-CROQUIS!$C$143,IF(CROQUIS!$C$104=1,CROQUIS!$C$97+12,CROQUIS!$C$97-2),CROQUIS!$C$97-CROQUIS!$C$107/2-CROQUIS!$C$143,CROQUIS!$C$97)))*CROQUIS!$C$159)+IF(CROQUIS!$C$92="X",0.8,0)),-1000)</f>
        <v>-1000</v>
      </c>
      <c r="BV3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HOOSE(IF(INT(($A353-1)/5)&gt;MAX((MAX(1,INT(((CROQUIS!$C$97)-CROQUIS!$C$107)/MAX((CROQUIS!$C$141*MAX(1,CEILING((INT(((CROQUIS!$C$97)-CROQUIS!$C$107)/MAX(CROQUIS!$C$141,1))+1)/80,1))),1))+1))-1,0),0,MOD($A353-1,5))+1,0,IF(CROQUIS!$C$105=1,-12,2),CROQUIS!$C$107/2+CROQUIS!$C$144,IF(CROQUIS!$C$105=1,-12,2),0)))*CROQUIS!$C$159)+IF(CROQUIS!$C$92="X",0.8,0)),-1000)</f>
        <v>-1000</v>
      </c>
      <c r="BW353">
        <f>IF(AND(CROQUIS!$C$88=1,CROQUIS!$C$91=0,CROQUIS!$C$141&gt;0,OR(CROQUIS!$C$105=1,CROQUIS!$C$146=1)),((CROQUIS!$C$161+(IF(CROQUIS!$C$92="X",CHOOSE(IF(INT(($A353-1)/5)&gt;MAX((MAX(1,INT(((CROQUIS!$C$97)-CROQUIS!$C$107)/MAX((CROQUIS!$C$141*MAX(1,CEILING((INT(((CROQUIS!$C$97)-CROQUIS!$C$107)/MAX(CROQUIS!$C$141,1))+1)/80,1))),1))+1))-1,0),0,MOD($A353-1,5))+1,0,IF(CROQUIS!$C$105=1,-12,2),CROQUIS!$C$107/2+CROQUIS!$C$144,IF(CROQUIS!$C$105=1,-12,2),0),((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ROQUIS!$C$159)+IF(CROQUIS!$C$92="X",0,0.8)),-1000)</f>
        <v>-1000</v>
      </c>
      <c r="BX3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HOOSE(IF(INT(($A353-1)/5)&gt;MAX((MAX(1,INT(((CROQUIS!$C$97)-CROQUIS!$C$107)/MAX((CROQUIS!$C$141*MAX(1,CEILING((INT(((CROQUIS!$C$97)-CROQUIS!$C$107)/MAX(CROQUIS!$C$141,1))+1)/80,1))),1))+1))-1,0),0,MOD($A353-1,5))+1,CROQUIS!$C$98,CROQUIS!$C$98-CROQUIS!$C$107/2-CROQUIS!$C$144,IF(CROQUIS!$C$106=1,CROQUIS!$C$98+12,CROQUIS!$C$98-2),CROQUIS!$C$98-CROQUIS!$C$107/2-CROQUIS!$C$144,CROQUIS!$C$98)))*CROQUIS!$C$159)+IF(CROQUIS!$C$92="X",0.8,0)),-1000)</f>
        <v>-1000</v>
      </c>
      <c r="BY353">
        <f>IF(AND(CROQUIS!$C$88=1,CROQUIS!$C$91=0,CROQUIS!$C$141&gt;0,OR(CROQUIS!$C$106=1,CROQUIS!$C$146=1)),((CROQUIS!$C$161+(IF(CROQUIS!$C$92="X",CHOOSE(IF(INT(($A353-1)/5)&gt;MAX((MAX(1,INT(((CROQUIS!$C$97)-CROQUIS!$C$107)/MAX((CROQUIS!$C$141*MAX(1,CEILING((INT(((CROQUIS!$C$97)-CROQUIS!$C$107)/MAX(CROQUIS!$C$141,1))+1)/80,1))),1))+1))-1,0),0,MOD($A353-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ROQUIS!$C$159)+IF(CROQUIS!$C$92="X",0,0.8)),-1000)</f>
        <v>-1000</v>
      </c>
      <c r="BZ353">
        <f>IF(AND(CROQUIS!$C$88=1,CROQUIS!$C$91=1,CROQUIS!$C$133&gt;0),((CROQUIS!$C$160+(IF(CROQUIS!$C$92="X",CHOOSE(IF(INT(($A353-1)/5)&gt;MAX((MAX(1,INT(((CROQUIS!$C$98)-CROQUIS!$C$107)/MAX((CROQUIS!$C$133*MAX(1,CEILING((INT(((CROQUIS!$C$98)-CROQUIS!$C$107)/MAX(CROQUIS!$C$133,1))+1)/80,1))),1))+1))-1,0),0,MOD($A353-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CA353">
        <f>IF(AND(CROQUIS!$C$88=1,CROQUIS!$C$91=1,CROQUIS!$C$133&gt;0),((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4">
      <c r="A354" t="n">
        <v>347</v>
      </c>
      <c r="BN354">
        <f>IF(AND(CROQUIS!$C$88=1,CROQUIS!$C$129&gt;0),((CROQUIS!$C$160+(IF(CROQUIS!$C$92="X",CHOOSE(IF(INT(($A354-1)/5)&gt;MAX((MAX(1,INT(((CROQUIS!$C$98)-CROQUIS!$C$107)/MAX((CROQUIS!$C$129*MAX(1,CEILING((INT(((CROQUIS!$C$98)-CROQUIS!$C$107)/MAX(CROQUIS!$C$129,1))+1)/80,1))),1))+1))-1,0),0,MOD($A354-1,5))+1,0,2,CROQUIS!$C$97-2,2,0),((CROQUIS!$C$107/2+(((CROQUIS!$C$98)-CROQUIS!$C$107)-(MAX(1,INT(((CROQUIS!$C$98)-CROQUIS!$C$107)/MAX((CROQUIS!$C$129*MAX(1,CEILING((INT(((CROQUIS!$C$98)-CROQUIS!$C$107)/MAX(CROQUIS!$C$129,1))+1)/80,1))),1))+1)-1)*(CROQUIS!$C$129*MAX(1,CEILING((INT(((CROQUIS!$C$98)-CROQUIS!$C$107)/MAX(CROQUIS!$C$129,1))+1)/80,1))))/2)+MIN(INT(($A354-1)/5),MAX((MAX(1,INT(((CROQUIS!$C$98)-CROQUIS!$C$107)/MAX((CROQUIS!$C$129*MAX(1,CEILING((INT(((CROQUIS!$C$98)-CROQUIS!$C$107)/MAX(CROQUIS!$C$129,1))+1)/80,1))),1))+1))-1,0))*(CROQUIS!$C$129*MAX(1,CEILING((INT(((CROQUIS!$C$98)-CROQUIS!$C$107)/MAX(CROQUIS!$C$129,1))+1)/80,1))))))*CROQUIS!$C$159)+IF(CROQUIS!$C$92="X",0,0)),-1000)</f>
        <v>-1000</v>
      </c>
      <c r="BO354">
        <f>IF(AND(CROQUIS!$C$88=1,CROQUIS!$C$129&gt;0),((CROQUIS!$C$161+(IF(CROQUIS!$C$92="X",((CROQUIS!$C$107/2+(((CROQUIS!$C$98)-CROQUIS!$C$107)-(MAX(1,INT(((CROQUIS!$C$98)-CROQUIS!$C$107)/MAX((CROQUIS!$C$129*MAX(1,CEILING((INT(((CROQUIS!$C$98)-CROQUIS!$C$107)/MAX(CROQUIS!$C$129,1))+1)/80,1))),1))+1)-1)*(CROQUIS!$C$129*MAX(1,CEILING((INT(((CROQUIS!$C$98)-CROQUIS!$C$107)/MAX(CROQUIS!$C$129,1))+1)/80,1))))/2)+MIN(INT(($A354-1)/5),MAX((MAX(1,INT(((CROQUIS!$C$98)-CROQUIS!$C$107)/MAX((CROQUIS!$C$129*MAX(1,CEILING((INT(((CROQUIS!$C$98)-CROQUIS!$C$107)/MAX(CROQUIS!$C$129,1))+1)/80,1))),1))+1))-1,0))*(CROQUIS!$C$129*MAX(1,CEILING((INT(((CROQUIS!$C$98)-CROQUIS!$C$107)/MAX(CROQUIS!$C$129,1))+1)/80,1)))),CHOOSE(IF(INT(($A354-1)/5)&gt;MAX((MAX(1,INT(((CROQUIS!$C$98)-CROQUIS!$C$107)/MAX((CROQUIS!$C$129*MAX(1,CEILING((INT(((CROQUIS!$C$98)-CROQUIS!$C$107)/MAX(CROQUIS!$C$129,1))+1)/80,1))),1))+1))-1,0),0,MOD($A354-1,5))+1,0,2,CROQUIS!$C$97-2,2,0)))*CROQUIS!$C$159)+IF(CROQUIS!$C$92="X",0,0)),-1000)</f>
        <v>-1000</v>
      </c>
      <c r="BP354">
        <f>IF(AND(CROQUIS!$C$88=1,CROQUIS!$C$137&gt;0),((CROQUIS!$C$160+(IF(CROQUIS!$C$92="X",((CROQUIS!$C$107/2+(((CROQUIS!$C$97)-CROQUIS!$C$107)-(MAX(1,INT(((CROQUIS!$C$97)-CROQUIS!$C$107)/MAX((CROQUIS!$C$137*MAX(1,CEILING((INT(((CROQUIS!$C$97)-CROQUIS!$C$107)/MAX(CROQUIS!$C$137,1))+1)/80,1))),1))+1)-1)*(CROQUIS!$C$137*MAX(1,CEILING((INT(((CROQUIS!$C$97)-CROQUIS!$C$107)/MAX(CROQUIS!$C$137,1))+1)/80,1))))/2)+MIN(INT(($A354-1)/5),MAX((MAX(1,INT(((CROQUIS!$C$97)-CROQUIS!$C$107)/MAX((CROQUIS!$C$137*MAX(1,CEILING((INT(((CROQUIS!$C$97)-CROQUIS!$C$107)/MAX(CROQUIS!$C$137,1))+1)/80,1))),1))+1))-1,0))*(CROQUIS!$C$137*MAX(1,CEILING((INT(((CROQUIS!$C$97)-CROQUIS!$C$107)/MAX(CROQUIS!$C$137,1))+1)/80,1)))),CHOOSE(IF(INT(($A354-1)/5)&gt;MAX((MAX(1,INT(((CROQUIS!$C$97)-CROQUIS!$C$107)/MAX((CROQUIS!$C$137*MAX(1,CEILING((INT(((CROQUIS!$C$97)-CROQUIS!$C$107)/MAX(CROQUIS!$C$137,1))+1)/80,1))),1))+1))-1,0),0,MOD($A354-1,5))+1,0,2,CROQUIS!$C$98-2,2,0)))*CROQUIS!$C$159)+IF(CROQUIS!$C$92="X",0,0)),-1000)</f>
        <v>-1000</v>
      </c>
      <c r="BQ354">
        <f>IF(AND(CROQUIS!$C$88=1,CROQUIS!$C$137&gt;0),((CROQUIS!$C$161+(IF(CROQUIS!$C$92="X",CHOOSE(IF(INT(($A354-1)/5)&gt;MAX((MAX(1,INT(((CROQUIS!$C$97)-CROQUIS!$C$107)/MAX((CROQUIS!$C$137*MAX(1,CEILING((INT(((CROQUIS!$C$97)-CROQUIS!$C$107)/MAX(CROQUIS!$C$137,1))+1)/80,1))),1))+1))-1,0),0,MOD($A354-1,5))+1,0,2,CROQUIS!$C$98-2,2,0),((CROQUIS!$C$107/2+(((CROQUIS!$C$97)-CROQUIS!$C$107)-(MAX(1,INT(((CROQUIS!$C$97)-CROQUIS!$C$107)/MAX((CROQUIS!$C$137*MAX(1,CEILING((INT(((CROQUIS!$C$97)-CROQUIS!$C$107)/MAX(CROQUIS!$C$137,1))+1)/80,1))),1))+1)-1)*(CROQUIS!$C$137*MAX(1,CEILING((INT(((CROQUIS!$C$97)-CROQUIS!$C$107)/MAX(CROQUIS!$C$137,1))+1)/80,1))))/2)+MIN(INT(($A354-1)/5),MAX((MAX(1,INT(((CROQUIS!$C$97)-CROQUIS!$C$107)/MAX((CROQUIS!$C$137*MAX(1,CEILING((INT(((CROQUIS!$C$97)-CROQUIS!$C$107)/MAX(CROQUIS!$C$137,1))+1)/80,1))),1))+1))-1,0))*(CROQUIS!$C$137*MAX(1,CEILING((INT(((CROQUIS!$C$97)-CROQUIS!$C$107)/MAX(CROQUIS!$C$137,1))+1)/80,1))))))*CROQUIS!$C$159)+IF(CROQUIS!$C$92="X",0,0)),-1000)</f>
        <v>-1000</v>
      </c>
      <c r="BR354">
        <f>IF(AND(CROQUIS!$C$88=1,CROQUIS!$C$91=0,CROQUIS!$C$133&gt;0,OR(CROQUIS!$C$103=1,CROQUIS!$C$145=1)),((CROQUIS!$C$160+(IF(CROQUIS!$C$92="X",CHOOSE(IF(INT(($A354-1)/5)&gt;MAX((MAX(1,INT(((CROQUIS!$C$98)-CROQUIS!$C$107)/MAX((CROQUIS!$C$133*MAX(1,CEILING((INT(((CROQUIS!$C$98)-CROQUIS!$C$107)/MAX(CROQUIS!$C$133,1))+1)/80,1))),1))+1))-1,0),0,MOD($A354-1,5))+1,0,IF(CROQUIS!$C$103=1,-12,2),CROQUIS!$C$107/2+CROQUIS!$C$143,IF(CROQUIS!$C$103=1,-12,2),0),((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BS3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+1,0,IF(CROQUIS!$C$103=1,-12,2),CROQUIS!$C$107/2+CROQUIS!$C$143,IF(CROQUIS!$C$103=1,-12,2),0)))*CROQUIS!$C$159)+IF(CROQUIS!$C$92="X",0.8,0)),-1000)</f>
        <v>-1000</v>
      </c>
      <c r="BT354">
        <f>IF(AND(CROQUIS!$C$88=1,CROQUIS!$C$91=0,CROQUIS!$C$133&gt;0,OR(CROQUIS!$C$104=1,CROQUIS!$C$145=1)),((CROQUIS!$C$160+(IF(CROQUIS!$C$92="X",CHOOSE(IF(INT(($A354-1)/5)&gt;MAX((MAX(1,INT(((CROQUIS!$C$98)-CROQUIS!$C$107)/MAX((CROQUIS!$C$133*MAX(1,CEILING((INT(((CROQUIS!$C$98)-CROQUIS!$C$107)/MAX(CROQUIS!$C$133,1))+1)/80,1))),1))+1))-1,0),0,MOD($A354-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BU3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CROQUIS!$C$97,CROQUIS!$C$97-CROQUIS!$C$107/2-CROQUIS!$C$143,IF(CROQUIS!$C$104=1,CROQUIS!$C$97+12,CROQUIS!$C$97-2),CROQUIS!$C$97-CROQUIS!$C$107/2-CROQUIS!$C$143,CROQUIS!$C$97)))*CROQUIS!$C$159)+IF(CROQUIS!$C$92="X",0.8,0)),-1000)</f>
        <v>-1000</v>
      </c>
      <c r="BV3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HOOSE(IF(INT(($A354-1)/5)&gt;MAX((MAX(1,INT(((CROQUIS!$C$97)-CROQUIS!$C$107)/MAX((CROQUIS!$C$141*MAX(1,CEILING((INT(((CROQUIS!$C$97)-CROQUIS!$C$107)/MAX(CROQUIS!$C$141,1))+1)/80,1))),1))+1))-1,0),0,MOD($A354-1,5))+1,0,IF(CROQUIS!$C$105=1,-12,2),CROQUIS!$C$107/2+CROQUIS!$C$144,IF(CROQUIS!$C$105=1,-12,2),0)))*CROQUIS!$C$159)+IF(CROQUIS!$C$92="X",0.8,0)),-1000)</f>
        <v>-1000</v>
      </c>
      <c r="BW354">
        <f>IF(AND(CROQUIS!$C$88=1,CROQUIS!$C$91=0,CROQUIS!$C$141&gt;0,OR(CROQUIS!$C$105=1,CROQUIS!$C$146=1)),((CROQUIS!$C$161+(IF(CROQUIS!$C$92="X",CHOOSE(IF(INT(($A354-1)/5)&gt;MAX((MAX(1,INT(((CROQUIS!$C$97)-CROQUIS!$C$107)/MAX((CROQUIS!$C$141*MAX(1,CEILING((INT(((CROQUIS!$C$97)-CROQUIS!$C$107)/MAX(CROQUIS!$C$141,1))+1)/80,1))),1))+1))-1,0),0,MOD($A354-1,5))+1,0,IF(CROQUIS!$C$105=1,-12,2),CROQUIS!$C$107/2+CROQUIS!$C$144,IF(CROQUIS!$C$105=1,-12,2),0),((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ROQUIS!$C$159)+IF(CROQUIS!$C$92="X",0,0.8)),-1000)</f>
        <v>-1000</v>
      </c>
      <c r="BX3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HOOSE(IF(INT(($A354-1)/5)&gt;MAX((MAX(1,INT(((CROQUIS!$C$97)-CROQUIS!$C$107)/MAX((CROQUIS!$C$141*MAX(1,CEILING((INT(((CROQUIS!$C$97)-CROQUIS!$C$107)/MAX(CROQUIS!$C$141,1))+1)/80,1))),1))+1))-1,0),0,MOD($A354-1,5))+1,CROQUIS!$C$98,CROQUIS!$C$98-CROQUIS!$C$107/2-CROQUIS!$C$144,IF(CROQUIS!$C$106=1,CROQUIS!$C$98+12,CROQUIS!$C$98-2),CROQUIS!$C$98-CROQUIS!$C$107/2-CROQUIS!$C$144,CROQUIS!$C$98)))*CROQUIS!$C$159)+IF(CROQUIS!$C$92="X",0.8,0)),-1000)</f>
        <v>-1000</v>
      </c>
      <c r="BY354">
        <f>IF(AND(CROQUIS!$C$88=1,CROQUIS!$C$91=0,CROQUIS!$C$141&gt;0,OR(CROQUIS!$C$106=1,CROQUIS!$C$146=1)),((CROQUIS!$C$161+(IF(CROQUIS!$C$92="X",CHOOSE(IF(INT(($A354-1)/5)&gt;MAX((MAX(1,INT(((CROQUIS!$C$97)-CROQUIS!$C$107)/MAX((CROQUIS!$C$141*MAX(1,CEILING((INT(((CROQUIS!$C$97)-CROQUIS!$C$107)/MAX(CROQUIS!$C$141,1))+1)/80,1))),1))+1))-1,0),0,MOD($A354-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ROQUIS!$C$159)+IF(CROQUIS!$C$92="X",0,0.8)),-1000)</f>
        <v>-1000</v>
      </c>
      <c r="BZ354">
        <f>IF(AND(CROQUIS!$C$88=1,CROQUIS!$C$91=1,CROQUIS!$C$133&gt;0),((CROQUIS!$C$160+(IF(CROQUIS!$C$92="X",CHOOSE(IF(INT(($A354-1)/5)&gt;MAX((MAX(1,INT(((CROQUIS!$C$98)-CROQUIS!$C$107)/MAX((CROQUIS!$C$133*MAX(1,CEILING((INT(((CROQUIS!$C$98)-CROQUIS!$C$107)/MAX(CROQUIS!$C$133,1))+1)/80,1))),1))+1))-1,0),0,MOD($A354-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CA354">
        <f>IF(AND(CROQUIS!$C$88=1,CROQUIS!$C$91=1,CROQUIS!$C$133&gt;0),((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5">
      <c r="A355" t="n">
        <v>348</v>
      </c>
      <c r="BN355">
        <f>IF(AND(CROQUIS!$C$88=1,CROQUIS!$C$129&gt;0),((CROQUIS!$C$160+(IF(CROQUIS!$C$92="X",CHOOSE(IF(INT(($A355-1)/5)&gt;MAX((MAX(1,INT(((CROQUIS!$C$98)-CROQUIS!$C$107)/MAX((CROQUIS!$C$129*MAX(1,CEILING((INT(((CROQUIS!$C$98)-CROQUIS!$C$107)/MAX(CROQUIS!$C$129,1))+1)/80,1))),1))+1))-1,0),0,MOD($A355-1,5))+1,0,2,CROQUIS!$C$97-2,2,0),((CROQUIS!$C$107/2+(((CROQUIS!$C$98)-CROQUIS!$C$107)-(MAX(1,INT(((CROQUIS!$C$98)-CROQUIS!$C$107)/MAX((CROQUIS!$C$129*MAX(1,CEILING((INT(((CROQUIS!$C$98)-CROQUIS!$C$107)/MAX(CROQUIS!$C$129,1))+1)/80,1))),1))+1)-1)*(CROQUIS!$C$129*MAX(1,CEILING((INT(((CROQUIS!$C$98)-CROQUIS!$C$107)/MAX(CROQUIS!$C$129,1))+1)/80,1))))/2)+MIN(INT(($A355-1)/5),MAX((MAX(1,INT(((CROQUIS!$C$98)-CROQUIS!$C$107)/MAX((CROQUIS!$C$129*MAX(1,CEILING((INT(((CROQUIS!$C$98)-CROQUIS!$C$107)/MAX(CROQUIS!$C$129,1))+1)/80,1))),1))+1))-1,0))*(CROQUIS!$C$129*MAX(1,CEILING((INT(((CROQUIS!$C$98)-CROQUIS!$C$107)/MAX(CROQUIS!$C$129,1))+1)/80,1))))))*CROQUIS!$C$159)+IF(CROQUIS!$C$92="X",0,0)),-1000)</f>
        <v>-1000</v>
      </c>
      <c r="BO355">
        <f>IF(AND(CROQUIS!$C$88=1,CROQUIS!$C$129&gt;0),((CROQUIS!$C$161+(IF(CROQUIS!$C$92="X",((CROQUIS!$C$107/2+(((CROQUIS!$C$98)-CROQUIS!$C$107)-(MAX(1,INT(((CROQUIS!$C$98)-CROQUIS!$C$107)/MAX((CROQUIS!$C$129*MAX(1,CEILING((INT(((CROQUIS!$C$98)-CROQUIS!$C$107)/MAX(CROQUIS!$C$129,1))+1)/80,1))),1))+1)-1)*(CROQUIS!$C$129*MAX(1,CEILING((INT(((CROQUIS!$C$98)-CROQUIS!$C$107)/MAX(CROQUIS!$C$129,1))+1)/80,1))))/2)+MIN(INT(($A355-1)/5),MAX((MAX(1,INT(((CROQUIS!$C$98)-CROQUIS!$C$107)/MAX((CROQUIS!$C$129*MAX(1,CEILING((INT(((CROQUIS!$C$98)-CROQUIS!$C$107)/MAX(CROQUIS!$C$129,1))+1)/80,1))),1))+1))-1,0))*(CROQUIS!$C$129*MAX(1,CEILING((INT(((CROQUIS!$C$98)-CROQUIS!$C$107)/MAX(CROQUIS!$C$129,1))+1)/80,1)))),CHOOSE(IF(INT(($A355-1)/5)&gt;MAX((MAX(1,INT(((CROQUIS!$C$98)-CROQUIS!$C$107)/MAX((CROQUIS!$C$129*MAX(1,CEILING((INT(((CROQUIS!$C$98)-CROQUIS!$C$107)/MAX(CROQUIS!$C$129,1))+1)/80,1))),1))+1))-1,0),0,MOD($A355-1,5))+1,0,2,CROQUIS!$C$97-2,2,0)))*CROQUIS!$C$159)+IF(CROQUIS!$C$92="X",0,0)),-1000)</f>
        <v>-1000</v>
      </c>
      <c r="BP355">
        <f>IF(AND(CROQUIS!$C$88=1,CROQUIS!$C$137&gt;0),((CROQUIS!$C$160+(IF(CROQUIS!$C$92="X",((CROQUIS!$C$107/2+(((CROQUIS!$C$97)-CROQUIS!$C$107)-(MAX(1,INT(((CROQUIS!$C$97)-CROQUIS!$C$107)/MAX((CROQUIS!$C$137*MAX(1,CEILING((INT(((CROQUIS!$C$97)-CROQUIS!$C$107)/MAX(CROQUIS!$C$137,1))+1)/80,1))),1))+1)-1)*(CROQUIS!$C$137*MAX(1,CEILING((INT(((CROQUIS!$C$97)-CROQUIS!$C$107)/MAX(CROQUIS!$C$137,1))+1)/80,1))))/2)+MIN(INT(($A355-1)/5),MAX((MAX(1,INT(((CROQUIS!$C$97)-CROQUIS!$C$107)/MAX((CROQUIS!$C$137*MAX(1,CEILING((INT(((CROQUIS!$C$97)-CROQUIS!$C$107)/MAX(CROQUIS!$C$137,1))+1)/80,1))),1))+1))-1,0))*(CROQUIS!$C$137*MAX(1,CEILING((INT(((CROQUIS!$C$97)-CROQUIS!$C$107)/MAX(CROQUIS!$C$137,1))+1)/80,1)))),CHOOSE(IF(INT(($A355-1)/5)&gt;MAX((MAX(1,INT(((CROQUIS!$C$97)-CROQUIS!$C$107)/MAX((CROQUIS!$C$137*MAX(1,CEILING((INT(((CROQUIS!$C$97)-CROQUIS!$C$107)/MAX(CROQUIS!$C$137,1))+1)/80,1))),1))+1))-1,0),0,MOD($A355-1,5))+1,0,2,CROQUIS!$C$98-2,2,0)))*CROQUIS!$C$159)+IF(CROQUIS!$C$92="X",0,0)),-1000)</f>
        <v>-1000</v>
      </c>
      <c r="BQ355">
        <f>IF(AND(CROQUIS!$C$88=1,CROQUIS!$C$137&gt;0),((CROQUIS!$C$161+(IF(CROQUIS!$C$92="X",CHOOSE(IF(INT(($A355-1)/5)&gt;MAX((MAX(1,INT(((CROQUIS!$C$97)-CROQUIS!$C$107)/MAX((CROQUIS!$C$137*MAX(1,CEILING((INT(((CROQUIS!$C$97)-CROQUIS!$C$107)/MAX(CROQUIS!$C$137,1))+1)/80,1))),1))+1))-1,0),0,MOD($A355-1,5))+1,0,2,CROQUIS!$C$98-2,2,0),((CROQUIS!$C$107/2+(((CROQUIS!$C$97)-CROQUIS!$C$107)-(MAX(1,INT(((CROQUIS!$C$97)-CROQUIS!$C$107)/MAX((CROQUIS!$C$137*MAX(1,CEILING((INT(((CROQUIS!$C$97)-CROQUIS!$C$107)/MAX(CROQUIS!$C$137,1))+1)/80,1))),1))+1)-1)*(CROQUIS!$C$137*MAX(1,CEILING((INT(((CROQUIS!$C$97)-CROQUIS!$C$107)/MAX(CROQUIS!$C$137,1))+1)/80,1))))/2)+MIN(INT(($A355-1)/5),MAX((MAX(1,INT(((CROQUIS!$C$97)-CROQUIS!$C$107)/MAX((CROQUIS!$C$137*MAX(1,CEILING((INT(((CROQUIS!$C$97)-CROQUIS!$C$107)/MAX(CROQUIS!$C$137,1))+1)/80,1))),1))+1))-1,0))*(CROQUIS!$C$137*MAX(1,CEILING((INT(((CROQUIS!$C$97)-CROQUIS!$C$107)/MAX(CROQUIS!$C$137,1))+1)/80,1))))))*CROQUIS!$C$159)+IF(CROQUIS!$C$92="X",0,0)),-1000)</f>
        <v>-1000</v>
      </c>
      <c r="BR355">
        <f>IF(AND(CROQUIS!$C$88=1,CROQUIS!$C$91=0,CROQUIS!$C$133&gt;0,OR(CROQUIS!$C$103=1,CROQUIS!$C$145=1)),((CROQUIS!$C$160+(IF(CROQUIS!$C$92="X",CHOOSE(IF(INT(($A355-1)/5)&gt;MAX((MAX(1,INT(((CROQUIS!$C$98)-CROQUIS!$C$107)/MAX((CROQUIS!$C$133*MAX(1,CEILING((INT(((CROQUIS!$C$98)-CROQUIS!$C$107)/MAX(CROQUIS!$C$133,1))+1)/80,1))),1))+1))-1,0),0,MOD($A355-1,5))+1,0,IF(CROQUIS!$C$103=1,-12,2),CROQUIS!$C$107/2+CROQUIS!$C$143,IF(CROQUIS!$C$103=1,-12,2),0),((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BS3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+1,0,IF(CROQUIS!$C$103=1,-12,2),CROQUIS!$C$107/2+CROQUIS!$C$143,IF(CROQUIS!$C$103=1,-12,2),0)))*CROQUIS!$C$159)+IF(CROQUIS!$C$92="X",0.8,0)),-1000)</f>
        <v>-1000</v>
      </c>
      <c r="BT355">
        <f>IF(AND(CROQUIS!$C$88=1,CROQUIS!$C$91=0,CROQUIS!$C$133&gt;0,OR(CROQUIS!$C$104=1,CROQUIS!$C$145=1)),((CROQUIS!$C$160+(IF(CROQUIS!$C$92="X",CHOOSE(IF(INT(($A355-1)/5)&gt;MAX((MAX(1,INT(((CROQUIS!$C$98)-CROQUIS!$C$107)/MAX((CROQUIS!$C$133*MAX(1,CEILING((INT(((CROQUIS!$C$98)-CROQUIS!$C$107)/MAX(CROQUIS!$C$133,1))+1)/80,1))),1))+1))-1,0),0,MOD($A355-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BU3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CROQUIS!$C$97,CROQUIS!$C$97-CROQUIS!$C$107/2-CROQUIS!$C$143,IF(CROQUIS!$C$104=1,CROQUIS!$C$97+12,CROQUIS!$C$97-2),CROQUIS!$C$97-CROQUIS!$C$107/2-CROQUIS!$C$143,CROQUIS!$C$97)))*CROQUIS!$C$159)+IF(CROQUIS!$C$92="X",0.8,0)),-1000)</f>
        <v>-1000</v>
      </c>
      <c r="BV3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HOOSE(IF(INT(($A355-1)/5)&gt;MAX((MAX(1,INT(((CROQUIS!$C$97)-CROQUIS!$C$107)/MAX((CROQUIS!$C$141*MAX(1,CEILING((INT(((CROQUIS!$C$97)-CROQUIS!$C$107)/MAX(CROQUIS!$C$141,1))+1)/80,1))),1))+1))-1,0),0,MOD($A355-1,5))+1,0,IF(CROQUIS!$C$105=1,-12,2),CROQUIS!$C$107/2+CROQUIS!$C$144,IF(CROQUIS!$C$105=1,-12,2),0)))*CROQUIS!$C$159)+IF(CROQUIS!$C$92="X",0.8,0)),-1000)</f>
        <v>-1000</v>
      </c>
      <c r="BW355">
        <f>IF(AND(CROQUIS!$C$88=1,CROQUIS!$C$91=0,CROQUIS!$C$141&gt;0,OR(CROQUIS!$C$105=1,CROQUIS!$C$146=1)),((CROQUIS!$C$161+(IF(CROQUIS!$C$92="X",CHOOSE(IF(INT(($A355-1)/5)&gt;MAX((MAX(1,INT(((CROQUIS!$C$97)-CROQUIS!$C$107)/MAX((CROQUIS!$C$141*MAX(1,CEILING((INT(((CROQUIS!$C$97)-CROQUIS!$C$107)/MAX(CROQUIS!$C$141,1))+1)/80,1))),1))+1))-1,0),0,MOD($A355-1,5))+1,0,IF(CROQUIS!$C$105=1,-12,2),CROQUIS!$C$107/2+CROQUIS!$C$144,IF(CROQUIS!$C$105=1,-12,2),0),((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ROQUIS!$C$159)+IF(CROQUIS!$C$92="X",0,0.8)),-1000)</f>
        <v>-1000</v>
      </c>
      <c r="BX3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HOOSE(IF(INT(($A355-1)/5)&gt;MAX((MAX(1,INT(((CROQUIS!$C$97)-CROQUIS!$C$107)/MAX((CROQUIS!$C$141*MAX(1,CEILING((INT(((CROQUIS!$C$97)-CROQUIS!$C$107)/MAX(CROQUIS!$C$141,1))+1)/80,1))),1))+1))-1,0),0,MOD($A355-1,5))+1,CROQUIS!$C$98,CROQUIS!$C$98-CROQUIS!$C$107/2-CROQUIS!$C$144,IF(CROQUIS!$C$106=1,CROQUIS!$C$98+12,CROQUIS!$C$98-2),CROQUIS!$C$98-CROQUIS!$C$107/2-CROQUIS!$C$144,CROQUIS!$C$98)))*CROQUIS!$C$159)+IF(CROQUIS!$C$92="X",0.8,0)),-1000)</f>
        <v>-1000</v>
      </c>
      <c r="BY355">
        <f>IF(AND(CROQUIS!$C$88=1,CROQUIS!$C$91=0,CROQUIS!$C$141&gt;0,OR(CROQUIS!$C$106=1,CROQUIS!$C$146=1)),((CROQUIS!$C$161+(IF(CROQUIS!$C$92="X",CHOOSE(IF(INT(($A355-1)/5)&gt;MAX((MAX(1,INT(((CROQUIS!$C$97)-CROQUIS!$C$107)/MAX((CROQUIS!$C$141*MAX(1,CEILING((INT(((CROQUIS!$C$97)-CROQUIS!$C$107)/MAX(CROQUIS!$C$141,1))+1)/80,1))),1))+1))-1,0),0,MOD($A355-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ROQUIS!$C$159)+IF(CROQUIS!$C$92="X",0,0.8)),-1000)</f>
        <v>-1000</v>
      </c>
      <c r="BZ355">
        <f>IF(AND(CROQUIS!$C$88=1,CROQUIS!$C$91=1,CROQUIS!$C$133&gt;0),((CROQUIS!$C$160+(IF(CROQUIS!$C$92="X",CHOOSE(IF(INT(($A355-1)/5)&gt;MAX((MAX(1,INT(((CROQUIS!$C$98)-CROQUIS!$C$107)/MAX((CROQUIS!$C$133*MAX(1,CEILING((INT(((CROQUIS!$C$98)-CROQUIS!$C$107)/MAX(CROQUIS!$C$133,1))+1)/80,1))),1))+1))-1,0),0,MOD($A355-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CA355">
        <f>IF(AND(CROQUIS!$C$88=1,CROQUIS!$C$91=1,CROQUIS!$C$133&gt;0),((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6">
      <c r="A356" t="n">
        <v>349</v>
      </c>
      <c r="BN356">
        <f>IF(AND(CROQUIS!$C$88=1,CROQUIS!$C$129&gt;0),((CROQUIS!$C$160+(IF(CROQUIS!$C$92="X",CHOOSE(IF(INT(($A356-1)/5)&gt;MAX((MAX(1,INT(((CROQUIS!$C$98)-CROQUIS!$C$107)/MAX((CROQUIS!$C$129*MAX(1,CEILING((INT(((CROQUIS!$C$98)-CROQUIS!$C$107)/MAX(CROQUIS!$C$129,1))+1)/80,1))),1))+1))-1,0),0,MOD($A356-1,5))+1,0,2,CROQUIS!$C$97-2,2,0),((CROQUIS!$C$107/2+(((CROQUIS!$C$98)-CROQUIS!$C$107)-(MAX(1,INT(((CROQUIS!$C$98)-CROQUIS!$C$107)/MAX((CROQUIS!$C$129*MAX(1,CEILING((INT(((CROQUIS!$C$98)-CROQUIS!$C$107)/MAX(CROQUIS!$C$129,1))+1)/80,1))),1))+1)-1)*(CROQUIS!$C$129*MAX(1,CEILING((INT(((CROQUIS!$C$98)-CROQUIS!$C$107)/MAX(CROQUIS!$C$129,1))+1)/80,1))))/2)+MIN(INT(($A356-1)/5),MAX((MAX(1,INT(((CROQUIS!$C$98)-CROQUIS!$C$107)/MAX((CROQUIS!$C$129*MAX(1,CEILING((INT(((CROQUIS!$C$98)-CROQUIS!$C$107)/MAX(CROQUIS!$C$129,1))+1)/80,1))),1))+1))-1,0))*(CROQUIS!$C$129*MAX(1,CEILING((INT(((CROQUIS!$C$98)-CROQUIS!$C$107)/MAX(CROQUIS!$C$129,1))+1)/80,1))))))*CROQUIS!$C$159)+IF(CROQUIS!$C$92="X",0,0)),-1000)</f>
        <v>-1000</v>
      </c>
      <c r="BO356">
        <f>IF(AND(CROQUIS!$C$88=1,CROQUIS!$C$129&gt;0),((CROQUIS!$C$161+(IF(CROQUIS!$C$92="X",((CROQUIS!$C$107/2+(((CROQUIS!$C$98)-CROQUIS!$C$107)-(MAX(1,INT(((CROQUIS!$C$98)-CROQUIS!$C$107)/MAX((CROQUIS!$C$129*MAX(1,CEILING((INT(((CROQUIS!$C$98)-CROQUIS!$C$107)/MAX(CROQUIS!$C$129,1))+1)/80,1))),1))+1)-1)*(CROQUIS!$C$129*MAX(1,CEILING((INT(((CROQUIS!$C$98)-CROQUIS!$C$107)/MAX(CROQUIS!$C$129,1))+1)/80,1))))/2)+MIN(INT(($A356-1)/5),MAX((MAX(1,INT(((CROQUIS!$C$98)-CROQUIS!$C$107)/MAX((CROQUIS!$C$129*MAX(1,CEILING((INT(((CROQUIS!$C$98)-CROQUIS!$C$107)/MAX(CROQUIS!$C$129,1))+1)/80,1))),1))+1))-1,0))*(CROQUIS!$C$129*MAX(1,CEILING((INT(((CROQUIS!$C$98)-CROQUIS!$C$107)/MAX(CROQUIS!$C$129,1))+1)/80,1)))),CHOOSE(IF(INT(($A356-1)/5)&gt;MAX((MAX(1,INT(((CROQUIS!$C$98)-CROQUIS!$C$107)/MAX((CROQUIS!$C$129*MAX(1,CEILING((INT(((CROQUIS!$C$98)-CROQUIS!$C$107)/MAX(CROQUIS!$C$129,1))+1)/80,1))),1))+1))-1,0),0,MOD($A356-1,5))+1,0,2,CROQUIS!$C$97-2,2,0)))*CROQUIS!$C$159)+IF(CROQUIS!$C$92="X",0,0)),-1000)</f>
        <v>-1000</v>
      </c>
      <c r="BP356">
        <f>IF(AND(CROQUIS!$C$88=1,CROQUIS!$C$137&gt;0),((CROQUIS!$C$160+(IF(CROQUIS!$C$92="X",((CROQUIS!$C$107/2+(((CROQUIS!$C$97)-CROQUIS!$C$107)-(MAX(1,INT(((CROQUIS!$C$97)-CROQUIS!$C$107)/MAX((CROQUIS!$C$137*MAX(1,CEILING((INT(((CROQUIS!$C$97)-CROQUIS!$C$107)/MAX(CROQUIS!$C$137,1))+1)/80,1))),1))+1)-1)*(CROQUIS!$C$137*MAX(1,CEILING((INT(((CROQUIS!$C$97)-CROQUIS!$C$107)/MAX(CROQUIS!$C$137,1))+1)/80,1))))/2)+MIN(INT(($A356-1)/5),MAX((MAX(1,INT(((CROQUIS!$C$97)-CROQUIS!$C$107)/MAX((CROQUIS!$C$137*MAX(1,CEILING((INT(((CROQUIS!$C$97)-CROQUIS!$C$107)/MAX(CROQUIS!$C$137,1))+1)/80,1))),1))+1))-1,0))*(CROQUIS!$C$137*MAX(1,CEILING((INT(((CROQUIS!$C$97)-CROQUIS!$C$107)/MAX(CROQUIS!$C$137,1))+1)/80,1)))),CHOOSE(IF(INT(($A356-1)/5)&gt;MAX((MAX(1,INT(((CROQUIS!$C$97)-CROQUIS!$C$107)/MAX((CROQUIS!$C$137*MAX(1,CEILING((INT(((CROQUIS!$C$97)-CROQUIS!$C$107)/MAX(CROQUIS!$C$137,1))+1)/80,1))),1))+1))-1,0),0,MOD($A356-1,5))+1,0,2,CROQUIS!$C$98-2,2,0)))*CROQUIS!$C$159)+IF(CROQUIS!$C$92="X",0,0)),-1000)</f>
        <v>-1000</v>
      </c>
      <c r="BQ356">
        <f>IF(AND(CROQUIS!$C$88=1,CROQUIS!$C$137&gt;0),((CROQUIS!$C$161+(IF(CROQUIS!$C$92="X",CHOOSE(IF(INT(($A356-1)/5)&gt;MAX((MAX(1,INT(((CROQUIS!$C$97)-CROQUIS!$C$107)/MAX((CROQUIS!$C$137*MAX(1,CEILING((INT(((CROQUIS!$C$97)-CROQUIS!$C$107)/MAX(CROQUIS!$C$137,1))+1)/80,1))),1))+1))-1,0),0,MOD($A356-1,5))+1,0,2,CROQUIS!$C$98-2,2,0),((CROQUIS!$C$107/2+(((CROQUIS!$C$97)-CROQUIS!$C$107)-(MAX(1,INT(((CROQUIS!$C$97)-CROQUIS!$C$107)/MAX((CROQUIS!$C$137*MAX(1,CEILING((INT(((CROQUIS!$C$97)-CROQUIS!$C$107)/MAX(CROQUIS!$C$137,1))+1)/80,1))),1))+1)-1)*(CROQUIS!$C$137*MAX(1,CEILING((INT(((CROQUIS!$C$97)-CROQUIS!$C$107)/MAX(CROQUIS!$C$137,1))+1)/80,1))))/2)+MIN(INT(($A356-1)/5),MAX((MAX(1,INT(((CROQUIS!$C$97)-CROQUIS!$C$107)/MAX((CROQUIS!$C$137*MAX(1,CEILING((INT(((CROQUIS!$C$97)-CROQUIS!$C$107)/MAX(CROQUIS!$C$137,1))+1)/80,1))),1))+1))-1,0))*(CROQUIS!$C$137*MAX(1,CEILING((INT(((CROQUIS!$C$97)-CROQUIS!$C$107)/MAX(CROQUIS!$C$137,1))+1)/80,1))))))*CROQUIS!$C$159)+IF(CROQUIS!$C$92="X",0,0)),-1000)</f>
        <v>-1000</v>
      </c>
      <c r="BR356">
        <f>IF(AND(CROQUIS!$C$88=1,CROQUIS!$C$91=0,CROQUIS!$C$133&gt;0,OR(CROQUIS!$C$103=1,CROQUIS!$C$145=1)),((CROQUIS!$C$160+(IF(CROQUIS!$C$92="X",CHOOSE(IF(INT(($A356-1)/5)&gt;MAX((MAX(1,INT(((CROQUIS!$C$98)-CROQUIS!$C$107)/MAX((CROQUIS!$C$133*MAX(1,CEILING((INT(((CROQUIS!$C$98)-CROQUIS!$C$107)/MAX(CROQUIS!$C$133,1))+1)/80,1))),1))+1))-1,0),0,MOD($A356-1,5))+1,0,IF(CROQUIS!$C$103=1,-12,2),CROQUIS!$C$107/2+CROQUIS!$C$143,IF(CROQUIS!$C$103=1,-12,2),0),((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BS3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+1,0,IF(CROQUIS!$C$103=1,-12,2),CROQUIS!$C$107/2+CROQUIS!$C$143,IF(CROQUIS!$C$103=1,-12,2),0)))*CROQUIS!$C$159)+IF(CROQUIS!$C$92="X",0.8,0)),-1000)</f>
        <v>-1000</v>
      </c>
      <c r="BT356">
        <f>IF(AND(CROQUIS!$C$88=1,CROQUIS!$C$91=0,CROQUIS!$C$133&gt;0,OR(CROQUIS!$C$104=1,CROQUIS!$C$145=1)),((CROQUIS!$C$160+(IF(CROQUIS!$C$92="X",CHOOSE(IF(INT(($A356-1)/5)&gt;MAX((MAX(1,INT(((CROQUIS!$C$98)-CROQUIS!$C$107)/MAX((CROQUIS!$C$133*MAX(1,CEILING((INT(((CROQUIS!$C$98)-CROQUIS!$C$107)/MAX(CROQUIS!$C$133,1))+1)/80,1))),1))+1))-1,0),0,MOD($A356-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BU3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CROQUIS!$C$97,CROQUIS!$C$97-CROQUIS!$C$107/2-CROQUIS!$C$143,IF(CROQUIS!$C$104=1,CROQUIS!$C$97+12,CROQUIS!$C$97-2),CROQUIS!$C$97-CROQUIS!$C$107/2-CROQUIS!$C$143,CROQUIS!$C$97)))*CROQUIS!$C$159)+IF(CROQUIS!$C$92="X",0.8,0)),-1000)</f>
        <v>-1000</v>
      </c>
      <c r="BV3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HOOSE(IF(INT(($A356-1)/5)&gt;MAX((MAX(1,INT(((CROQUIS!$C$97)-CROQUIS!$C$107)/MAX((CROQUIS!$C$141*MAX(1,CEILING((INT(((CROQUIS!$C$97)-CROQUIS!$C$107)/MAX(CROQUIS!$C$141,1))+1)/80,1))),1))+1))-1,0),0,MOD($A356-1,5))+1,0,IF(CROQUIS!$C$105=1,-12,2),CROQUIS!$C$107/2+CROQUIS!$C$144,IF(CROQUIS!$C$105=1,-12,2),0)))*CROQUIS!$C$159)+IF(CROQUIS!$C$92="X",0.8,0)),-1000)</f>
        <v>-1000</v>
      </c>
      <c r="BW356">
        <f>IF(AND(CROQUIS!$C$88=1,CROQUIS!$C$91=0,CROQUIS!$C$141&gt;0,OR(CROQUIS!$C$105=1,CROQUIS!$C$146=1)),((CROQUIS!$C$161+(IF(CROQUIS!$C$92="X",CHOOSE(IF(INT(($A356-1)/5)&gt;MAX((MAX(1,INT(((CROQUIS!$C$97)-CROQUIS!$C$107)/MAX((CROQUIS!$C$141*MAX(1,CEILING((INT(((CROQUIS!$C$97)-CROQUIS!$C$107)/MAX(CROQUIS!$C$141,1))+1)/80,1))),1))+1))-1,0),0,MOD($A356-1,5))+1,0,IF(CROQUIS!$C$105=1,-12,2),CROQUIS!$C$107/2+CROQUIS!$C$144,IF(CROQUIS!$C$105=1,-12,2),0),((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ROQUIS!$C$159)+IF(CROQUIS!$C$92="X",0,0.8)),-1000)</f>
        <v>-1000</v>
      </c>
      <c r="BX3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HOOSE(IF(INT(($A356-1)/5)&gt;MAX((MAX(1,INT(((CROQUIS!$C$97)-CROQUIS!$C$107)/MAX((CROQUIS!$C$141*MAX(1,CEILING((INT(((CROQUIS!$C$97)-CROQUIS!$C$107)/MAX(CROQUIS!$C$141,1))+1)/80,1))),1))+1))-1,0),0,MOD($A356-1,5))+1,CROQUIS!$C$98,CROQUIS!$C$98-CROQUIS!$C$107/2-CROQUIS!$C$144,IF(CROQUIS!$C$106=1,CROQUIS!$C$98+12,CROQUIS!$C$98-2),CROQUIS!$C$98-CROQUIS!$C$107/2-CROQUIS!$C$144,CROQUIS!$C$98)))*CROQUIS!$C$159)+IF(CROQUIS!$C$92="X",0.8,0)),-1000)</f>
        <v>-1000</v>
      </c>
      <c r="BY356">
        <f>IF(AND(CROQUIS!$C$88=1,CROQUIS!$C$91=0,CROQUIS!$C$141&gt;0,OR(CROQUIS!$C$106=1,CROQUIS!$C$146=1)),((CROQUIS!$C$161+(IF(CROQUIS!$C$92="X",CHOOSE(IF(INT(($A356-1)/5)&gt;MAX((MAX(1,INT(((CROQUIS!$C$97)-CROQUIS!$C$107)/MAX((CROQUIS!$C$141*MAX(1,CEILING((INT(((CROQUIS!$C$97)-CROQUIS!$C$107)/MAX(CROQUIS!$C$141,1))+1)/80,1))),1))+1))-1,0),0,MOD($A356-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ROQUIS!$C$159)+IF(CROQUIS!$C$92="X",0,0.8)),-1000)</f>
        <v>-1000</v>
      </c>
      <c r="BZ356">
        <f>IF(AND(CROQUIS!$C$88=1,CROQUIS!$C$91=1,CROQUIS!$C$133&gt;0),((CROQUIS!$C$160+(IF(CROQUIS!$C$92="X",CHOOSE(IF(INT(($A356-1)/5)&gt;MAX((MAX(1,INT(((CROQUIS!$C$98)-CROQUIS!$C$107)/MAX((CROQUIS!$C$133*MAX(1,CEILING((INT(((CROQUIS!$C$98)-CROQUIS!$C$107)/MAX(CROQUIS!$C$133,1))+1)/80,1))),1))+1))-1,0),0,MOD($A356-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CA356">
        <f>IF(AND(CROQUIS!$C$88=1,CROQUIS!$C$91=1,CROQUIS!$C$133&gt;0),((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7">
      <c r="A357" t="n">
        <v>350</v>
      </c>
      <c r="BN357">
        <f>IF(AND(CROQUIS!$C$88=1,CROQUIS!$C$129&gt;0),((CROQUIS!$C$160+(IF(CROQUIS!$C$92="X",CHOOSE(IF(INT(($A357-1)/5)&gt;MAX((MAX(1,INT(((CROQUIS!$C$98)-CROQUIS!$C$107)/MAX((CROQUIS!$C$129*MAX(1,CEILING((INT(((CROQUIS!$C$98)-CROQUIS!$C$107)/MAX(CROQUIS!$C$129,1))+1)/80,1))),1))+1))-1,0),0,MOD($A357-1,5))+1,0,2,CROQUIS!$C$97-2,2,0),((CROQUIS!$C$107/2+(((CROQUIS!$C$98)-CROQUIS!$C$107)-(MAX(1,INT(((CROQUIS!$C$98)-CROQUIS!$C$107)/MAX((CROQUIS!$C$129*MAX(1,CEILING((INT(((CROQUIS!$C$98)-CROQUIS!$C$107)/MAX(CROQUIS!$C$129,1))+1)/80,1))),1))+1)-1)*(CROQUIS!$C$129*MAX(1,CEILING((INT(((CROQUIS!$C$98)-CROQUIS!$C$107)/MAX(CROQUIS!$C$129,1))+1)/80,1))))/2)+MIN(INT(($A357-1)/5),MAX((MAX(1,INT(((CROQUIS!$C$98)-CROQUIS!$C$107)/MAX((CROQUIS!$C$129*MAX(1,CEILING((INT(((CROQUIS!$C$98)-CROQUIS!$C$107)/MAX(CROQUIS!$C$129,1))+1)/80,1))),1))+1))-1,0))*(CROQUIS!$C$129*MAX(1,CEILING((INT(((CROQUIS!$C$98)-CROQUIS!$C$107)/MAX(CROQUIS!$C$129,1))+1)/80,1))))))*CROQUIS!$C$159)+IF(CROQUIS!$C$92="X",0,0)),-1000)</f>
        <v>-1000</v>
      </c>
      <c r="BO357">
        <f>IF(AND(CROQUIS!$C$88=1,CROQUIS!$C$129&gt;0),((CROQUIS!$C$161+(IF(CROQUIS!$C$92="X",((CROQUIS!$C$107/2+(((CROQUIS!$C$98)-CROQUIS!$C$107)-(MAX(1,INT(((CROQUIS!$C$98)-CROQUIS!$C$107)/MAX((CROQUIS!$C$129*MAX(1,CEILING((INT(((CROQUIS!$C$98)-CROQUIS!$C$107)/MAX(CROQUIS!$C$129,1))+1)/80,1))),1))+1)-1)*(CROQUIS!$C$129*MAX(1,CEILING((INT(((CROQUIS!$C$98)-CROQUIS!$C$107)/MAX(CROQUIS!$C$129,1))+1)/80,1))))/2)+MIN(INT(($A357-1)/5),MAX((MAX(1,INT(((CROQUIS!$C$98)-CROQUIS!$C$107)/MAX((CROQUIS!$C$129*MAX(1,CEILING((INT(((CROQUIS!$C$98)-CROQUIS!$C$107)/MAX(CROQUIS!$C$129,1))+1)/80,1))),1))+1))-1,0))*(CROQUIS!$C$129*MAX(1,CEILING((INT(((CROQUIS!$C$98)-CROQUIS!$C$107)/MAX(CROQUIS!$C$129,1))+1)/80,1)))),CHOOSE(IF(INT(($A357-1)/5)&gt;MAX((MAX(1,INT(((CROQUIS!$C$98)-CROQUIS!$C$107)/MAX((CROQUIS!$C$129*MAX(1,CEILING((INT(((CROQUIS!$C$98)-CROQUIS!$C$107)/MAX(CROQUIS!$C$129,1))+1)/80,1))),1))+1))-1,0),0,MOD($A357-1,5))+1,0,2,CROQUIS!$C$97-2,2,0)))*CROQUIS!$C$159)+IF(CROQUIS!$C$92="X",0,0)),-1000)</f>
        <v>-1000</v>
      </c>
      <c r="BP357">
        <f>IF(AND(CROQUIS!$C$88=1,CROQUIS!$C$137&gt;0),((CROQUIS!$C$160+(IF(CROQUIS!$C$92="X",((CROQUIS!$C$107/2+(((CROQUIS!$C$97)-CROQUIS!$C$107)-(MAX(1,INT(((CROQUIS!$C$97)-CROQUIS!$C$107)/MAX((CROQUIS!$C$137*MAX(1,CEILING((INT(((CROQUIS!$C$97)-CROQUIS!$C$107)/MAX(CROQUIS!$C$137,1))+1)/80,1))),1))+1)-1)*(CROQUIS!$C$137*MAX(1,CEILING((INT(((CROQUIS!$C$97)-CROQUIS!$C$107)/MAX(CROQUIS!$C$137,1))+1)/80,1))))/2)+MIN(INT(($A357-1)/5),MAX((MAX(1,INT(((CROQUIS!$C$97)-CROQUIS!$C$107)/MAX((CROQUIS!$C$137*MAX(1,CEILING((INT(((CROQUIS!$C$97)-CROQUIS!$C$107)/MAX(CROQUIS!$C$137,1))+1)/80,1))),1))+1))-1,0))*(CROQUIS!$C$137*MAX(1,CEILING((INT(((CROQUIS!$C$97)-CROQUIS!$C$107)/MAX(CROQUIS!$C$137,1))+1)/80,1)))),CHOOSE(IF(INT(($A357-1)/5)&gt;MAX((MAX(1,INT(((CROQUIS!$C$97)-CROQUIS!$C$107)/MAX((CROQUIS!$C$137*MAX(1,CEILING((INT(((CROQUIS!$C$97)-CROQUIS!$C$107)/MAX(CROQUIS!$C$137,1))+1)/80,1))),1))+1))-1,0),0,MOD($A357-1,5))+1,0,2,CROQUIS!$C$98-2,2,0)))*CROQUIS!$C$159)+IF(CROQUIS!$C$92="X",0,0)),-1000)</f>
        <v>-1000</v>
      </c>
      <c r="BQ357">
        <f>IF(AND(CROQUIS!$C$88=1,CROQUIS!$C$137&gt;0),((CROQUIS!$C$161+(IF(CROQUIS!$C$92="X",CHOOSE(IF(INT(($A357-1)/5)&gt;MAX((MAX(1,INT(((CROQUIS!$C$97)-CROQUIS!$C$107)/MAX((CROQUIS!$C$137*MAX(1,CEILING((INT(((CROQUIS!$C$97)-CROQUIS!$C$107)/MAX(CROQUIS!$C$137,1))+1)/80,1))),1))+1))-1,0),0,MOD($A357-1,5))+1,0,2,CROQUIS!$C$98-2,2,0),((CROQUIS!$C$107/2+(((CROQUIS!$C$97)-CROQUIS!$C$107)-(MAX(1,INT(((CROQUIS!$C$97)-CROQUIS!$C$107)/MAX((CROQUIS!$C$137*MAX(1,CEILING((INT(((CROQUIS!$C$97)-CROQUIS!$C$107)/MAX(CROQUIS!$C$137,1))+1)/80,1))),1))+1)-1)*(CROQUIS!$C$137*MAX(1,CEILING((INT(((CROQUIS!$C$97)-CROQUIS!$C$107)/MAX(CROQUIS!$C$137,1))+1)/80,1))))/2)+MIN(INT(($A357-1)/5),MAX((MAX(1,INT(((CROQUIS!$C$97)-CROQUIS!$C$107)/MAX((CROQUIS!$C$137*MAX(1,CEILING((INT(((CROQUIS!$C$97)-CROQUIS!$C$107)/MAX(CROQUIS!$C$137,1))+1)/80,1))),1))+1))-1,0))*(CROQUIS!$C$137*MAX(1,CEILING((INT(((CROQUIS!$C$97)-CROQUIS!$C$107)/MAX(CROQUIS!$C$137,1))+1)/80,1))))))*CROQUIS!$C$159)+IF(CROQUIS!$C$92="X",0,0)),-1000)</f>
        <v>-1000</v>
      </c>
      <c r="BR357">
        <f>IF(AND(CROQUIS!$C$88=1,CROQUIS!$C$91=0,CROQUIS!$C$133&gt;0,OR(CROQUIS!$C$103=1,CROQUIS!$C$145=1)),((CROQUIS!$C$160+(IF(CROQUIS!$C$92="X",CHOOSE(IF(INT(($A357-1)/5)&gt;MAX((MAX(1,INT(((CROQUIS!$C$98)-CROQUIS!$C$107)/MAX((CROQUIS!$C$133*MAX(1,CEILING((INT(((CROQUIS!$C$98)-CROQUIS!$C$107)/MAX(CROQUIS!$C$133,1))+1)/80,1))),1))+1))-1,0),0,MOD($A357-1,5))+1,0,IF(CROQUIS!$C$103=1,-12,2),CROQUIS!$C$107/2+CROQUIS!$C$143,IF(CROQUIS!$C$103=1,-12,2),0),((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BS3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+1,0,IF(CROQUIS!$C$103=1,-12,2),CROQUIS!$C$107/2+CROQUIS!$C$143,IF(CROQUIS!$C$103=1,-12,2),0)))*CROQUIS!$C$159)+IF(CROQUIS!$C$92="X",0.8,0)),-1000)</f>
        <v>-1000</v>
      </c>
      <c r="BT357">
        <f>IF(AND(CROQUIS!$C$88=1,CROQUIS!$C$91=0,CROQUIS!$C$133&gt;0,OR(CROQUIS!$C$104=1,CROQUIS!$C$145=1)),((CROQUIS!$C$160+(IF(CROQUIS!$C$92="X",CHOOSE(IF(INT(($A357-1)/5)&gt;MAX((MAX(1,INT(((CROQUIS!$C$98)-CROQUIS!$C$107)/MAX((CROQUIS!$C$133*MAX(1,CEILING((INT(((CROQUIS!$C$98)-CROQUIS!$C$107)/MAX(CROQUIS!$C$133,1))+1)/80,1))),1))+1))-1,0),0,MOD($A357-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BU3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CROQUIS!$C$97,CROQUIS!$C$97-CROQUIS!$C$107/2-CROQUIS!$C$143,IF(CROQUIS!$C$104=1,CROQUIS!$C$97+12,CROQUIS!$C$97-2),CROQUIS!$C$97-CROQUIS!$C$107/2-CROQUIS!$C$143,CROQUIS!$C$97)))*CROQUIS!$C$159)+IF(CROQUIS!$C$92="X",0.8,0)),-1000)</f>
        <v>-1000</v>
      </c>
      <c r="BV3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HOOSE(IF(INT(($A357-1)/5)&gt;MAX((MAX(1,INT(((CROQUIS!$C$97)-CROQUIS!$C$107)/MAX((CROQUIS!$C$141*MAX(1,CEILING((INT(((CROQUIS!$C$97)-CROQUIS!$C$107)/MAX(CROQUIS!$C$141,1))+1)/80,1))),1))+1))-1,0),0,MOD($A357-1,5))+1,0,IF(CROQUIS!$C$105=1,-12,2),CROQUIS!$C$107/2+CROQUIS!$C$144,IF(CROQUIS!$C$105=1,-12,2),0)))*CROQUIS!$C$159)+IF(CROQUIS!$C$92="X",0.8,0)),-1000)</f>
        <v>-1000</v>
      </c>
      <c r="BW357">
        <f>IF(AND(CROQUIS!$C$88=1,CROQUIS!$C$91=0,CROQUIS!$C$141&gt;0,OR(CROQUIS!$C$105=1,CROQUIS!$C$146=1)),((CROQUIS!$C$161+(IF(CROQUIS!$C$92="X",CHOOSE(IF(INT(($A357-1)/5)&gt;MAX((MAX(1,INT(((CROQUIS!$C$97)-CROQUIS!$C$107)/MAX((CROQUIS!$C$141*MAX(1,CEILING((INT(((CROQUIS!$C$97)-CROQUIS!$C$107)/MAX(CROQUIS!$C$141,1))+1)/80,1))),1))+1))-1,0),0,MOD($A357-1,5))+1,0,IF(CROQUIS!$C$105=1,-12,2),CROQUIS!$C$107/2+CROQUIS!$C$144,IF(CROQUIS!$C$105=1,-12,2),0),((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ROQUIS!$C$159)+IF(CROQUIS!$C$92="X",0,0.8)),-1000)</f>
        <v>-1000</v>
      </c>
      <c r="BX3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HOOSE(IF(INT(($A357-1)/5)&gt;MAX((MAX(1,INT(((CROQUIS!$C$97)-CROQUIS!$C$107)/MAX((CROQUIS!$C$141*MAX(1,CEILING((INT(((CROQUIS!$C$97)-CROQUIS!$C$107)/MAX(CROQUIS!$C$141,1))+1)/80,1))),1))+1))-1,0),0,MOD($A357-1,5))+1,CROQUIS!$C$98,CROQUIS!$C$98-CROQUIS!$C$107/2-CROQUIS!$C$144,IF(CROQUIS!$C$106=1,CROQUIS!$C$98+12,CROQUIS!$C$98-2),CROQUIS!$C$98-CROQUIS!$C$107/2-CROQUIS!$C$144,CROQUIS!$C$98)))*CROQUIS!$C$159)+IF(CROQUIS!$C$92="X",0.8,0)),-1000)</f>
        <v>-1000</v>
      </c>
      <c r="BY357">
        <f>IF(AND(CROQUIS!$C$88=1,CROQUIS!$C$91=0,CROQUIS!$C$141&gt;0,OR(CROQUIS!$C$106=1,CROQUIS!$C$146=1)),((CROQUIS!$C$161+(IF(CROQUIS!$C$92="X",CHOOSE(IF(INT(($A357-1)/5)&gt;MAX((MAX(1,INT(((CROQUIS!$C$97)-CROQUIS!$C$107)/MAX((CROQUIS!$C$141*MAX(1,CEILING((INT(((CROQUIS!$C$97)-CROQUIS!$C$107)/MAX(CROQUIS!$C$141,1))+1)/80,1))),1))+1))-1,0),0,MOD($A357-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ROQUIS!$C$159)+IF(CROQUIS!$C$92="X",0,0.8)),-1000)</f>
        <v>-1000</v>
      </c>
      <c r="BZ357">
        <f>IF(AND(CROQUIS!$C$88=1,CROQUIS!$C$91=1,CROQUIS!$C$133&gt;0),((CROQUIS!$C$160+(IF(CROQUIS!$C$92="X",CHOOSE(IF(INT(($A357-1)/5)&gt;MAX((MAX(1,INT(((CROQUIS!$C$98)-CROQUIS!$C$107)/MAX((CROQUIS!$C$133*MAX(1,CEILING((INT(((CROQUIS!$C$98)-CROQUIS!$C$107)/MAX(CROQUIS!$C$133,1))+1)/80,1))),1))+1))-1,0),0,MOD($A357-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CA357">
        <f>IF(AND(CROQUIS!$C$88=1,CROQUIS!$C$91=1,CROQUIS!$C$133&gt;0),((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8">
      <c r="A358" t="n">
        <v>351</v>
      </c>
      <c r="BN358">
        <f>IF(AND(CROQUIS!$C$88=1,CROQUIS!$C$129&gt;0),((CROQUIS!$C$160+(IF(CROQUIS!$C$92="X",CHOOSE(IF(INT(($A358-1)/5)&gt;MAX((MAX(1,INT(((CROQUIS!$C$98)-CROQUIS!$C$107)/MAX((CROQUIS!$C$129*MAX(1,CEILING((INT(((CROQUIS!$C$98)-CROQUIS!$C$107)/MAX(CROQUIS!$C$129,1))+1)/80,1))),1))+1))-1,0),0,MOD($A358-1,5))+1,0,2,CROQUIS!$C$97-2,2,0),((CROQUIS!$C$107/2+(((CROQUIS!$C$98)-CROQUIS!$C$107)-(MAX(1,INT(((CROQUIS!$C$98)-CROQUIS!$C$107)/MAX((CROQUIS!$C$129*MAX(1,CEILING((INT(((CROQUIS!$C$98)-CROQUIS!$C$107)/MAX(CROQUIS!$C$129,1))+1)/80,1))),1))+1)-1)*(CROQUIS!$C$129*MAX(1,CEILING((INT(((CROQUIS!$C$98)-CROQUIS!$C$107)/MAX(CROQUIS!$C$129,1))+1)/80,1))))/2)+MIN(INT(($A358-1)/5),MAX((MAX(1,INT(((CROQUIS!$C$98)-CROQUIS!$C$107)/MAX((CROQUIS!$C$129*MAX(1,CEILING((INT(((CROQUIS!$C$98)-CROQUIS!$C$107)/MAX(CROQUIS!$C$129,1))+1)/80,1))),1))+1))-1,0))*(CROQUIS!$C$129*MAX(1,CEILING((INT(((CROQUIS!$C$98)-CROQUIS!$C$107)/MAX(CROQUIS!$C$129,1))+1)/80,1))))))*CROQUIS!$C$159)+IF(CROQUIS!$C$92="X",0,0)),-1000)</f>
        <v>-1000</v>
      </c>
      <c r="BO358">
        <f>IF(AND(CROQUIS!$C$88=1,CROQUIS!$C$129&gt;0),((CROQUIS!$C$161+(IF(CROQUIS!$C$92="X",((CROQUIS!$C$107/2+(((CROQUIS!$C$98)-CROQUIS!$C$107)-(MAX(1,INT(((CROQUIS!$C$98)-CROQUIS!$C$107)/MAX((CROQUIS!$C$129*MAX(1,CEILING((INT(((CROQUIS!$C$98)-CROQUIS!$C$107)/MAX(CROQUIS!$C$129,1))+1)/80,1))),1))+1)-1)*(CROQUIS!$C$129*MAX(1,CEILING((INT(((CROQUIS!$C$98)-CROQUIS!$C$107)/MAX(CROQUIS!$C$129,1))+1)/80,1))))/2)+MIN(INT(($A358-1)/5),MAX((MAX(1,INT(((CROQUIS!$C$98)-CROQUIS!$C$107)/MAX((CROQUIS!$C$129*MAX(1,CEILING((INT(((CROQUIS!$C$98)-CROQUIS!$C$107)/MAX(CROQUIS!$C$129,1))+1)/80,1))),1))+1))-1,0))*(CROQUIS!$C$129*MAX(1,CEILING((INT(((CROQUIS!$C$98)-CROQUIS!$C$107)/MAX(CROQUIS!$C$129,1))+1)/80,1)))),CHOOSE(IF(INT(($A358-1)/5)&gt;MAX((MAX(1,INT(((CROQUIS!$C$98)-CROQUIS!$C$107)/MAX((CROQUIS!$C$129*MAX(1,CEILING((INT(((CROQUIS!$C$98)-CROQUIS!$C$107)/MAX(CROQUIS!$C$129,1))+1)/80,1))),1))+1))-1,0),0,MOD($A358-1,5))+1,0,2,CROQUIS!$C$97-2,2,0)))*CROQUIS!$C$159)+IF(CROQUIS!$C$92="X",0,0)),-1000)</f>
        <v>-1000</v>
      </c>
      <c r="BP358">
        <f>IF(AND(CROQUIS!$C$88=1,CROQUIS!$C$137&gt;0),((CROQUIS!$C$160+(IF(CROQUIS!$C$92="X",((CROQUIS!$C$107/2+(((CROQUIS!$C$97)-CROQUIS!$C$107)-(MAX(1,INT(((CROQUIS!$C$97)-CROQUIS!$C$107)/MAX((CROQUIS!$C$137*MAX(1,CEILING((INT(((CROQUIS!$C$97)-CROQUIS!$C$107)/MAX(CROQUIS!$C$137,1))+1)/80,1))),1))+1)-1)*(CROQUIS!$C$137*MAX(1,CEILING((INT(((CROQUIS!$C$97)-CROQUIS!$C$107)/MAX(CROQUIS!$C$137,1))+1)/80,1))))/2)+MIN(INT(($A358-1)/5),MAX((MAX(1,INT(((CROQUIS!$C$97)-CROQUIS!$C$107)/MAX((CROQUIS!$C$137*MAX(1,CEILING((INT(((CROQUIS!$C$97)-CROQUIS!$C$107)/MAX(CROQUIS!$C$137,1))+1)/80,1))),1))+1))-1,0))*(CROQUIS!$C$137*MAX(1,CEILING((INT(((CROQUIS!$C$97)-CROQUIS!$C$107)/MAX(CROQUIS!$C$137,1))+1)/80,1)))),CHOOSE(IF(INT(($A358-1)/5)&gt;MAX((MAX(1,INT(((CROQUIS!$C$97)-CROQUIS!$C$107)/MAX((CROQUIS!$C$137*MAX(1,CEILING((INT(((CROQUIS!$C$97)-CROQUIS!$C$107)/MAX(CROQUIS!$C$137,1))+1)/80,1))),1))+1))-1,0),0,MOD($A358-1,5))+1,0,2,CROQUIS!$C$98-2,2,0)))*CROQUIS!$C$159)+IF(CROQUIS!$C$92="X",0,0)),-1000)</f>
        <v>-1000</v>
      </c>
      <c r="BQ358">
        <f>IF(AND(CROQUIS!$C$88=1,CROQUIS!$C$137&gt;0),((CROQUIS!$C$161+(IF(CROQUIS!$C$92="X",CHOOSE(IF(INT(($A358-1)/5)&gt;MAX((MAX(1,INT(((CROQUIS!$C$97)-CROQUIS!$C$107)/MAX((CROQUIS!$C$137*MAX(1,CEILING((INT(((CROQUIS!$C$97)-CROQUIS!$C$107)/MAX(CROQUIS!$C$137,1))+1)/80,1))),1))+1))-1,0),0,MOD($A358-1,5))+1,0,2,CROQUIS!$C$98-2,2,0),((CROQUIS!$C$107/2+(((CROQUIS!$C$97)-CROQUIS!$C$107)-(MAX(1,INT(((CROQUIS!$C$97)-CROQUIS!$C$107)/MAX((CROQUIS!$C$137*MAX(1,CEILING((INT(((CROQUIS!$C$97)-CROQUIS!$C$107)/MAX(CROQUIS!$C$137,1))+1)/80,1))),1))+1)-1)*(CROQUIS!$C$137*MAX(1,CEILING((INT(((CROQUIS!$C$97)-CROQUIS!$C$107)/MAX(CROQUIS!$C$137,1))+1)/80,1))))/2)+MIN(INT(($A358-1)/5),MAX((MAX(1,INT(((CROQUIS!$C$97)-CROQUIS!$C$107)/MAX((CROQUIS!$C$137*MAX(1,CEILING((INT(((CROQUIS!$C$97)-CROQUIS!$C$107)/MAX(CROQUIS!$C$137,1))+1)/80,1))),1))+1))-1,0))*(CROQUIS!$C$137*MAX(1,CEILING((INT(((CROQUIS!$C$97)-CROQUIS!$C$107)/MAX(CROQUIS!$C$137,1))+1)/80,1))))))*CROQUIS!$C$159)+IF(CROQUIS!$C$92="X",0,0)),-1000)</f>
        <v>-1000</v>
      </c>
      <c r="BR358">
        <f>IF(AND(CROQUIS!$C$88=1,CROQUIS!$C$91=0,CROQUIS!$C$133&gt;0,OR(CROQUIS!$C$103=1,CROQUIS!$C$145=1)),((CROQUIS!$C$160+(IF(CROQUIS!$C$92="X",CHOOSE(IF(INT(($A358-1)/5)&gt;MAX((MAX(1,INT(((CROQUIS!$C$98)-CROQUIS!$C$107)/MAX((CROQUIS!$C$133*MAX(1,CEILING((INT(((CROQUIS!$C$98)-CROQUIS!$C$107)/MAX(CROQUIS!$C$133,1))+1)/80,1))),1))+1))-1,0),0,MOD($A358-1,5))+1,0,IF(CROQUIS!$C$103=1,-12,2),CROQUIS!$C$107/2+CROQUIS!$C$143,IF(CROQUIS!$C$103=1,-12,2),0),((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BS3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+1,0,IF(CROQUIS!$C$103=1,-12,2),CROQUIS!$C$107/2+CROQUIS!$C$143,IF(CROQUIS!$C$103=1,-12,2),0)))*CROQUIS!$C$159)+IF(CROQUIS!$C$92="X",0.8,0)),-1000)</f>
        <v>-1000</v>
      </c>
      <c r="BT358">
        <f>IF(AND(CROQUIS!$C$88=1,CROQUIS!$C$91=0,CROQUIS!$C$133&gt;0,OR(CROQUIS!$C$104=1,CROQUIS!$C$145=1)),((CROQUIS!$C$160+(IF(CROQUIS!$C$92="X",CHOOSE(IF(INT(($A358-1)/5)&gt;MAX((MAX(1,INT(((CROQUIS!$C$98)-CROQUIS!$C$107)/MAX((CROQUIS!$C$133*MAX(1,CEILING((INT(((CROQUIS!$C$98)-CROQUIS!$C$107)/MAX(CROQUIS!$C$133,1))+1)/80,1))),1))+1))-1,0),0,MOD($A358-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BU3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CROQUIS!$C$97,CROQUIS!$C$97-CROQUIS!$C$107/2-CROQUIS!$C$143,IF(CROQUIS!$C$104=1,CROQUIS!$C$97+12,CROQUIS!$C$97-2),CROQUIS!$C$97-CROQUIS!$C$107/2-CROQUIS!$C$143,CROQUIS!$C$97)))*CROQUIS!$C$159)+IF(CROQUIS!$C$92="X",0.8,0)),-1000)</f>
        <v>-1000</v>
      </c>
      <c r="BV3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HOOSE(IF(INT(($A358-1)/5)&gt;MAX((MAX(1,INT(((CROQUIS!$C$97)-CROQUIS!$C$107)/MAX((CROQUIS!$C$141*MAX(1,CEILING((INT(((CROQUIS!$C$97)-CROQUIS!$C$107)/MAX(CROQUIS!$C$141,1))+1)/80,1))),1))+1))-1,0),0,MOD($A358-1,5))+1,0,IF(CROQUIS!$C$105=1,-12,2),CROQUIS!$C$107/2+CROQUIS!$C$144,IF(CROQUIS!$C$105=1,-12,2),0)))*CROQUIS!$C$159)+IF(CROQUIS!$C$92="X",0.8,0)),-1000)</f>
        <v>-1000</v>
      </c>
      <c r="BW358">
        <f>IF(AND(CROQUIS!$C$88=1,CROQUIS!$C$91=0,CROQUIS!$C$141&gt;0,OR(CROQUIS!$C$105=1,CROQUIS!$C$146=1)),((CROQUIS!$C$161+(IF(CROQUIS!$C$92="X",CHOOSE(IF(INT(($A358-1)/5)&gt;MAX((MAX(1,INT(((CROQUIS!$C$97)-CROQUIS!$C$107)/MAX((CROQUIS!$C$141*MAX(1,CEILING((INT(((CROQUIS!$C$97)-CROQUIS!$C$107)/MAX(CROQUIS!$C$141,1))+1)/80,1))),1))+1))-1,0),0,MOD($A358-1,5))+1,0,IF(CROQUIS!$C$105=1,-12,2),CROQUIS!$C$107/2+CROQUIS!$C$144,IF(CROQUIS!$C$105=1,-12,2),0),((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ROQUIS!$C$159)+IF(CROQUIS!$C$92="X",0,0.8)),-1000)</f>
        <v>-1000</v>
      </c>
      <c r="BX3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HOOSE(IF(INT(($A358-1)/5)&gt;MAX((MAX(1,INT(((CROQUIS!$C$97)-CROQUIS!$C$107)/MAX((CROQUIS!$C$141*MAX(1,CEILING((INT(((CROQUIS!$C$97)-CROQUIS!$C$107)/MAX(CROQUIS!$C$141,1))+1)/80,1))),1))+1))-1,0),0,MOD($A358-1,5))+1,CROQUIS!$C$98,CROQUIS!$C$98-CROQUIS!$C$107/2-CROQUIS!$C$144,IF(CROQUIS!$C$106=1,CROQUIS!$C$98+12,CROQUIS!$C$98-2),CROQUIS!$C$98-CROQUIS!$C$107/2-CROQUIS!$C$144,CROQUIS!$C$98)))*CROQUIS!$C$159)+IF(CROQUIS!$C$92="X",0.8,0)),-1000)</f>
        <v>-1000</v>
      </c>
      <c r="BY358">
        <f>IF(AND(CROQUIS!$C$88=1,CROQUIS!$C$91=0,CROQUIS!$C$141&gt;0,OR(CROQUIS!$C$106=1,CROQUIS!$C$146=1)),((CROQUIS!$C$161+(IF(CROQUIS!$C$92="X",CHOOSE(IF(INT(($A358-1)/5)&gt;MAX((MAX(1,INT(((CROQUIS!$C$97)-CROQUIS!$C$107)/MAX((CROQUIS!$C$141*MAX(1,CEILING((INT(((CROQUIS!$C$97)-CROQUIS!$C$107)/MAX(CROQUIS!$C$141,1))+1)/80,1))),1))+1))-1,0),0,MOD($A358-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ROQUIS!$C$159)+IF(CROQUIS!$C$92="X",0,0.8)),-1000)</f>
        <v>-1000</v>
      </c>
      <c r="BZ358">
        <f>IF(AND(CROQUIS!$C$88=1,CROQUIS!$C$91=1,CROQUIS!$C$133&gt;0),((CROQUIS!$C$160+(IF(CROQUIS!$C$92="X",CHOOSE(IF(INT(($A358-1)/5)&gt;MAX((MAX(1,INT(((CROQUIS!$C$98)-CROQUIS!$C$107)/MAX((CROQUIS!$C$133*MAX(1,CEILING((INT(((CROQUIS!$C$98)-CROQUIS!$C$107)/MAX(CROQUIS!$C$133,1))+1)/80,1))),1))+1))-1,0),0,MOD($A358-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CA358">
        <f>IF(AND(CROQUIS!$C$88=1,CROQUIS!$C$91=1,CROQUIS!$C$133&gt;0),((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9">
      <c r="A359" t="n">
        <v>352</v>
      </c>
      <c r="BN359">
        <f>IF(AND(CROQUIS!$C$88=1,CROQUIS!$C$129&gt;0),((CROQUIS!$C$160+(IF(CROQUIS!$C$92="X",CHOOSE(IF(INT(($A359-1)/5)&gt;MAX((MAX(1,INT(((CROQUIS!$C$98)-CROQUIS!$C$107)/MAX((CROQUIS!$C$129*MAX(1,CEILING((INT(((CROQUIS!$C$98)-CROQUIS!$C$107)/MAX(CROQUIS!$C$129,1))+1)/80,1))),1))+1))-1,0),0,MOD($A359-1,5))+1,0,2,CROQUIS!$C$97-2,2,0),((CROQUIS!$C$107/2+(((CROQUIS!$C$98)-CROQUIS!$C$107)-(MAX(1,INT(((CROQUIS!$C$98)-CROQUIS!$C$107)/MAX((CROQUIS!$C$129*MAX(1,CEILING((INT(((CROQUIS!$C$98)-CROQUIS!$C$107)/MAX(CROQUIS!$C$129,1))+1)/80,1))),1))+1)-1)*(CROQUIS!$C$129*MAX(1,CEILING((INT(((CROQUIS!$C$98)-CROQUIS!$C$107)/MAX(CROQUIS!$C$129,1))+1)/80,1))))/2)+MIN(INT(($A359-1)/5),MAX((MAX(1,INT(((CROQUIS!$C$98)-CROQUIS!$C$107)/MAX((CROQUIS!$C$129*MAX(1,CEILING((INT(((CROQUIS!$C$98)-CROQUIS!$C$107)/MAX(CROQUIS!$C$129,1))+1)/80,1))),1))+1))-1,0))*(CROQUIS!$C$129*MAX(1,CEILING((INT(((CROQUIS!$C$98)-CROQUIS!$C$107)/MAX(CROQUIS!$C$129,1))+1)/80,1))))))*CROQUIS!$C$159)+IF(CROQUIS!$C$92="X",0,0)),-1000)</f>
        <v>-1000</v>
      </c>
      <c r="BO359">
        <f>IF(AND(CROQUIS!$C$88=1,CROQUIS!$C$129&gt;0),((CROQUIS!$C$161+(IF(CROQUIS!$C$92="X",((CROQUIS!$C$107/2+(((CROQUIS!$C$98)-CROQUIS!$C$107)-(MAX(1,INT(((CROQUIS!$C$98)-CROQUIS!$C$107)/MAX((CROQUIS!$C$129*MAX(1,CEILING((INT(((CROQUIS!$C$98)-CROQUIS!$C$107)/MAX(CROQUIS!$C$129,1))+1)/80,1))),1))+1)-1)*(CROQUIS!$C$129*MAX(1,CEILING((INT(((CROQUIS!$C$98)-CROQUIS!$C$107)/MAX(CROQUIS!$C$129,1))+1)/80,1))))/2)+MIN(INT(($A359-1)/5),MAX((MAX(1,INT(((CROQUIS!$C$98)-CROQUIS!$C$107)/MAX((CROQUIS!$C$129*MAX(1,CEILING((INT(((CROQUIS!$C$98)-CROQUIS!$C$107)/MAX(CROQUIS!$C$129,1))+1)/80,1))),1))+1))-1,0))*(CROQUIS!$C$129*MAX(1,CEILING((INT(((CROQUIS!$C$98)-CROQUIS!$C$107)/MAX(CROQUIS!$C$129,1))+1)/80,1)))),CHOOSE(IF(INT(($A359-1)/5)&gt;MAX((MAX(1,INT(((CROQUIS!$C$98)-CROQUIS!$C$107)/MAX((CROQUIS!$C$129*MAX(1,CEILING((INT(((CROQUIS!$C$98)-CROQUIS!$C$107)/MAX(CROQUIS!$C$129,1))+1)/80,1))),1))+1))-1,0),0,MOD($A359-1,5))+1,0,2,CROQUIS!$C$97-2,2,0)))*CROQUIS!$C$159)+IF(CROQUIS!$C$92="X",0,0)),-1000)</f>
        <v>-1000</v>
      </c>
      <c r="BP359">
        <f>IF(AND(CROQUIS!$C$88=1,CROQUIS!$C$137&gt;0),((CROQUIS!$C$160+(IF(CROQUIS!$C$92="X",((CROQUIS!$C$107/2+(((CROQUIS!$C$97)-CROQUIS!$C$107)-(MAX(1,INT(((CROQUIS!$C$97)-CROQUIS!$C$107)/MAX((CROQUIS!$C$137*MAX(1,CEILING((INT(((CROQUIS!$C$97)-CROQUIS!$C$107)/MAX(CROQUIS!$C$137,1))+1)/80,1))),1))+1)-1)*(CROQUIS!$C$137*MAX(1,CEILING((INT(((CROQUIS!$C$97)-CROQUIS!$C$107)/MAX(CROQUIS!$C$137,1))+1)/80,1))))/2)+MIN(INT(($A359-1)/5),MAX((MAX(1,INT(((CROQUIS!$C$97)-CROQUIS!$C$107)/MAX((CROQUIS!$C$137*MAX(1,CEILING((INT(((CROQUIS!$C$97)-CROQUIS!$C$107)/MAX(CROQUIS!$C$137,1))+1)/80,1))),1))+1))-1,0))*(CROQUIS!$C$137*MAX(1,CEILING((INT(((CROQUIS!$C$97)-CROQUIS!$C$107)/MAX(CROQUIS!$C$137,1))+1)/80,1)))),CHOOSE(IF(INT(($A359-1)/5)&gt;MAX((MAX(1,INT(((CROQUIS!$C$97)-CROQUIS!$C$107)/MAX((CROQUIS!$C$137*MAX(1,CEILING((INT(((CROQUIS!$C$97)-CROQUIS!$C$107)/MAX(CROQUIS!$C$137,1))+1)/80,1))),1))+1))-1,0),0,MOD($A359-1,5))+1,0,2,CROQUIS!$C$98-2,2,0)))*CROQUIS!$C$159)+IF(CROQUIS!$C$92="X",0,0)),-1000)</f>
        <v>-1000</v>
      </c>
      <c r="BQ359">
        <f>IF(AND(CROQUIS!$C$88=1,CROQUIS!$C$137&gt;0),((CROQUIS!$C$161+(IF(CROQUIS!$C$92="X",CHOOSE(IF(INT(($A359-1)/5)&gt;MAX((MAX(1,INT(((CROQUIS!$C$97)-CROQUIS!$C$107)/MAX((CROQUIS!$C$137*MAX(1,CEILING((INT(((CROQUIS!$C$97)-CROQUIS!$C$107)/MAX(CROQUIS!$C$137,1))+1)/80,1))),1))+1))-1,0),0,MOD($A359-1,5))+1,0,2,CROQUIS!$C$98-2,2,0),((CROQUIS!$C$107/2+(((CROQUIS!$C$97)-CROQUIS!$C$107)-(MAX(1,INT(((CROQUIS!$C$97)-CROQUIS!$C$107)/MAX((CROQUIS!$C$137*MAX(1,CEILING((INT(((CROQUIS!$C$97)-CROQUIS!$C$107)/MAX(CROQUIS!$C$137,1))+1)/80,1))),1))+1)-1)*(CROQUIS!$C$137*MAX(1,CEILING((INT(((CROQUIS!$C$97)-CROQUIS!$C$107)/MAX(CROQUIS!$C$137,1))+1)/80,1))))/2)+MIN(INT(($A359-1)/5),MAX((MAX(1,INT(((CROQUIS!$C$97)-CROQUIS!$C$107)/MAX((CROQUIS!$C$137*MAX(1,CEILING((INT(((CROQUIS!$C$97)-CROQUIS!$C$107)/MAX(CROQUIS!$C$137,1))+1)/80,1))),1))+1))-1,0))*(CROQUIS!$C$137*MAX(1,CEILING((INT(((CROQUIS!$C$97)-CROQUIS!$C$107)/MAX(CROQUIS!$C$137,1))+1)/80,1))))))*CROQUIS!$C$159)+IF(CROQUIS!$C$92="X",0,0)),-1000)</f>
        <v>-1000</v>
      </c>
      <c r="BR359">
        <f>IF(AND(CROQUIS!$C$88=1,CROQUIS!$C$91=0,CROQUIS!$C$133&gt;0,OR(CROQUIS!$C$103=1,CROQUIS!$C$145=1)),((CROQUIS!$C$160+(IF(CROQUIS!$C$92="X",CHOOSE(IF(INT(($A359-1)/5)&gt;MAX((MAX(1,INT(((CROQUIS!$C$98)-CROQUIS!$C$107)/MAX((CROQUIS!$C$133*MAX(1,CEILING((INT(((CROQUIS!$C$98)-CROQUIS!$C$107)/MAX(CROQUIS!$C$133,1))+1)/80,1))),1))+1))-1,0),0,MOD($A359-1,5))+1,0,IF(CROQUIS!$C$103=1,-12,2),CROQUIS!$C$107/2+CROQUIS!$C$143,IF(CROQUIS!$C$103=1,-12,2),0),((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BS3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+1,0,IF(CROQUIS!$C$103=1,-12,2),CROQUIS!$C$107/2+CROQUIS!$C$143,IF(CROQUIS!$C$103=1,-12,2),0)))*CROQUIS!$C$159)+IF(CROQUIS!$C$92="X",0.8,0)),-1000)</f>
        <v>-1000</v>
      </c>
      <c r="BT359">
        <f>IF(AND(CROQUIS!$C$88=1,CROQUIS!$C$91=0,CROQUIS!$C$133&gt;0,OR(CROQUIS!$C$104=1,CROQUIS!$C$145=1)),((CROQUIS!$C$160+(IF(CROQUIS!$C$92="X",CHOOSE(IF(INT(($A359-1)/5)&gt;MAX((MAX(1,INT(((CROQUIS!$C$98)-CROQUIS!$C$107)/MAX((CROQUIS!$C$133*MAX(1,CEILING((INT(((CROQUIS!$C$98)-CROQUIS!$C$107)/MAX(CROQUIS!$C$133,1))+1)/80,1))),1))+1))-1,0),0,MOD($A359-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BU3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CROQUIS!$C$97,CROQUIS!$C$97-CROQUIS!$C$107/2-CROQUIS!$C$143,IF(CROQUIS!$C$104=1,CROQUIS!$C$97+12,CROQUIS!$C$97-2),CROQUIS!$C$97-CROQUIS!$C$107/2-CROQUIS!$C$143,CROQUIS!$C$97)))*CROQUIS!$C$159)+IF(CROQUIS!$C$92="X",0.8,0)),-1000)</f>
        <v>-1000</v>
      </c>
      <c r="BV3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HOOSE(IF(INT(($A359-1)/5)&gt;MAX((MAX(1,INT(((CROQUIS!$C$97)-CROQUIS!$C$107)/MAX((CROQUIS!$C$141*MAX(1,CEILING((INT(((CROQUIS!$C$97)-CROQUIS!$C$107)/MAX(CROQUIS!$C$141,1))+1)/80,1))),1))+1))-1,0),0,MOD($A359-1,5))+1,0,IF(CROQUIS!$C$105=1,-12,2),CROQUIS!$C$107/2+CROQUIS!$C$144,IF(CROQUIS!$C$105=1,-12,2),0)))*CROQUIS!$C$159)+IF(CROQUIS!$C$92="X",0.8,0)),-1000)</f>
        <v>-1000</v>
      </c>
      <c r="BW359">
        <f>IF(AND(CROQUIS!$C$88=1,CROQUIS!$C$91=0,CROQUIS!$C$141&gt;0,OR(CROQUIS!$C$105=1,CROQUIS!$C$146=1)),((CROQUIS!$C$161+(IF(CROQUIS!$C$92="X",CHOOSE(IF(INT(($A359-1)/5)&gt;MAX((MAX(1,INT(((CROQUIS!$C$97)-CROQUIS!$C$107)/MAX((CROQUIS!$C$141*MAX(1,CEILING((INT(((CROQUIS!$C$97)-CROQUIS!$C$107)/MAX(CROQUIS!$C$141,1))+1)/80,1))),1))+1))-1,0),0,MOD($A359-1,5))+1,0,IF(CROQUIS!$C$105=1,-12,2),CROQUIS!$C$107/2+CROQUIS!$C$144,IF(CROQUIS!$C$105=1,-12,2),0),((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ROQUIS!$C$159)+IF(CROQUIS!$C$92="X",0,0.8)),-1000)</f>
        <v>-1000</v>
      </c>
      <c r="BX3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HOOSE(IF(INT(($A359-1)/5)&gt;MAX((MAX(1,INT(((CROQUIS!$C$97)-CROQUIS!$C$107)/MAX((CROQUIS!$C$141*MAX(1,CEILING((INT(((CROQUIS!$C$97)-CROQUIS!$C$107)/MAX(CROQUIS!$C$141,1))+1)/80,1))),1))+1))-1,0),0,MOD($A359-1,5))+1,CROQUIS!$C$98,CROQUIS!$C$98-CROQUIS!$C$107/2-CROQUIS!$C$144,IF(CROQUIS!$C$106=1,CROQUIS!$C$98+12,CROQUIS!$C$98-2),CROQUIS!$C$98-CROQUIS!$C$107/2-CROQUIS!$C$144,CROQUIS!$C$98)))*CROQUIS!$C$159)+IF(CROQUIS!$C$92="X",0.8,0)),-1000)</f>
        <v>-1000</v>
      </c>
      <c r="BY359">
        <f>IF(AND(CROQUIS!$C$88=1,CROQUIS!$C$91=0,CROQUIS!$C$141&gt;0,OR(CROQUIS!$C$106=1,CROQUIS!$C$146=1)),((CROQUIS!$C$161+(IF(CROQUIS!$C$92="X",CHOOSE(IF(INT(($A359-1)/5)&gt;MAX((MAX(1,INT(((CROQUIS!$C$97)-CROQUIS!$C$107)/MAX((CROQUIS!$C$141*MAX(1,CEILING((INT(((CROQUIS!$C$97)-CROQUIS!$C$107)/MAX(CROQUIS!$C$141,1))+1)/80,1))),1))+1))-1,0),0,MOD($A359-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ROQUIS!$C$159)+IF(CROQUIS!$C$92="X",0,0.8)),-1000)</f>
        <v>-1000</v>
      </c>
      <c r="BZ359">
        <f>IF(AND(CROQUIS!$C$88=1,CROQUIS!$C$91=1,CROQUIS!$C$133&gt;0),((CROQUIS!$C$160+(IF(CROQUIS!$C$92="X",CHOOSE(IF(INT(($A359-1)/5)&gt;MAX((MAX(1,INT(((CROQUIS!$C$98)-CROQUIS!$C$107)/MAX((CROQUIS!$C$133*MAX(1,CEILING((INT(((CROQUIS!$C$98)-CROQUIS!$C$107)/MAX(CROQUIS!$C$133,1))+1)/80,1))),1))+1))-1,0),0,MOD($A359-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CA359">
        <f>IF(AND(CROQUIS!$C$88=1,CROQUIS!$C$91=1,CROQUIS!$C$133&gt;0),((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0">
      <c r="A360" t="n">
        <v>353</v>
      </c>
      <c r="BN360">
        <f>IF(AND(CROQUIS!$C$88=1,CROQUIS!$C$129&gt;0),((CROQUIS!$C$160+(IF(CROQUIS!$C$92="X",CHOOSE(IF(INT(($A360-1)/5)&gt;MAX((MAX(1,INT(((CROQUIS!$C$98)-CROQUIS!$C$107)/MAX((CROQUIS!$C$129*MAX(1,CEILING((INT(((CROQUIS!$C$98)-CROQUIS!$C$107)/MAX(CROQUIS!$C$129,1))+1)/80,1))),1))+1))-1,0),0,MOD($A360-1,5))+1,0,2,CROQUIS!$C$97-2,2,0),((CROQUIS!$C$107/2+(((CROQUIS!$C$98)-CROQUIS!$C$107)-(MAX(1,INT(((CROQUIS!$C$98)-CROQUIS!$C$107)/MAX((CROQUIS!$C$129*MAX(1,CEILING((INT(((CROQUIS!$C$98)-CROQUIS!$C$107)/MAX(CROQUIS!$C$129,1))+1)/80,1))),1))+1)-1)*(CROQUIS!$C$129*MAX(1,CEILING((INT(((CROQUIS!$C$98)-CROQUIS!$C$107)/MAX(CROQUIS!$C$129,1))+1)/80,1))))/2)+MIN(INT(($A360-1)/5),MAX((MAX(1,INT(((CROQUIS!$C$98)-CROQUIS!$C$107)/MAX((CROQUIS!$C$129*MAX(1,CEILING((INT(((CROQUIS!$C$98)-CROQUIS!$C$107)/MAX(CROQUIS!$C$129,1))+1)/80,1))),1))+1))-1,0))*(CROQUIS!$C$129*MAX(1,CEILING((INT(((CROQUIS!$C$98)-CROQUIS!$C$107)/MAX(CROQUIS!$C$129,1))+1)/80,1))))))*CROQUIS!$C$159)+IF(CROQUIS!$C$92="X",0,0)),-1000)</f>
        <v>-1000</v>
      </c>
      <c r="BO360">
        <f>IF(AND(CROQUIS!$C$88=1,CROQUIS!$C$129&gt;0),((CROQUIS!$C$161+(IF(CROQUIS!$C$92="X",((CROQUIS!$C$107/2+(((CROQUIS!$C$98)-CROQUIS!$C$107)-(MAX(1,INT(((CROQUIS!$C$98)-CROQUIS!$C$107)/MAX((CROQUIS!$C$129*MAX(1,CEILING((INT(((CROQUIS!$C$98)-CROQUIS!$C$107)/MAX(CROQUIS!$C$129,1))+1)/80,1))),1))+1)-1)*(CROQUIS!$C$129*MAX(1,CEILING((INT(((CROQUIS!$C$98)-CROQUIS!$C$107)/MAX(CROQUIS!$C$129,1))+1)/80,1))))/2)+MIN(INT(($A360-1)/5),MAX((MAX(1,INT(((CROQUIS!$C$98)-CROQUIS!$C$107)/MAX((CROQUIS!$C$129*MAX(1,CEILING((INT(((CROQUIS!$C$98)-CROQUIS!$C$107)/MAX(CROQUIS!$C$129,1))+1)/80,1))),1))+1))-1,0))*(CROQUIS!$C$129*MAX(1,CEILING((INT(((CROQUIS!$C$98)-CROQUIS!$C$107)/MAX(CROQUIS!$C$129,1))+1)/80,1)))),CHOOSE(IF(INT(($A360-1)/5)&gt;MAX((MAX(1,INT(((CROQUIS!$C$98)-CROQUIS!$C$107)/MAX((CROQUIS!$C$129*MAX(1,CEILING((INT(((CROQUIS!$C$98)-CROQUIS!$C$107)/MAX(CROQUIS!$C$129,1))+1)/80,1))),1))+1))-1,0),0,MOD($A360-1,5))+1,0,2,CROQUIS!$C$97-2,2,0)))*CROQUIS!$C$159)+IF(CROQUIS!$C$92="X",0,0)),-1000)</f>
        <v>-1000</v>
      </c>
      <c r="BP360">
        <f>IF(AND(CROQUIS!$C$88=1,CROQUIS!$C$137&gt;0),((CROQUIS!$C$160+(IF(CROQUIS!$C$92="X",((CROQUIS!$C$107/2+(((CROQUIS!$C$97)-CROQUIS!$C$107)-(MAX(1,INT(((CROQUIS!$C$97)-CROQUIS!$C$107)/MAX((CROQUIS!$C$137*MAX(1,CEILING((INT(((CROQUIS!$C$97)-CROQUIS!$C$107)/MAX(CROQUIS!$C$137,1))+1)/80,1))),1))+1)-1)*(CROQUIS!$C$137*MAX(1,CEILING((INT(((CROQUIS!$C$97)-CROQUIS!$C$107)/MAX(CROQUIS!$C$137,1))+1)/80,1))))/2)+MIN(INT(($A360-1)/5),MAX((MAX(1,INT(((CROQUIS!$C$97)-CROQUIS!$C$107)/MAX((CROQUIS!$C$137*MAX(1,CEILING((INT(((CROQUIS!$C$97)-CROQUIS!$C$107)/MAX(CROQUIS!$C$137,1))+1)/80,1))),1))+1))-1,0))*(CROQUIS!$C$137*MAX(1,CEILING((INT(((CROQUIS!$C$97)-CROQUIS!$C$107)/MAX(CROQUIS!$C$137,1))+1)/80,1)))),CHOOSE(IF(INT(($A360-1)/5)&gt;MAX((MAX(1,INT(((CROQUIS!$C$97)-CROQUIS!$C$107)/MAX((CROQUIS!$C$137*MAX(1,CEILING((INT(((CROQUIS!$C$97)-CROQUIS!$C$107)/MAX(CROQUIS!$C$137,1))+1)/80,1))),1))+1))-1,0),0,MOD($A360-1,5))+1,0,2,CROQUIS!$C$98-2,2,0)))*CROQUIS!$C$159)+IF(CROQUIS!$C$92="X",0,0)),-1000)</f>
        <v>-1000</v>
      </c>
      <c r="BQ360">
        <f>IF(AND(CROQUIS!$C$88=1,CROQUIS!$C$137&gt;0),((CROQUIS!$C$161+(IF(CROQUIS!$C$92="X",CHOOSE(IF(INT(($A360-1)/5)&gt;MAX((MAX(1,INT(((CROQUIS!$C$97)-CROQUIS!$C$107)/MAX((CROQUIS!$C$137*MAX(1,CEILING((INT(((CROQUIS!$C$97)-CROQUIS!$C$107)/MAX(CROQUIS!$C$137,1))+1)/80,1))),1))+1))-1,0),0,MOD($A360-1,5))+1,0,2,CROQUIS!$C$98-2,2,0),((CROQUIS!$C$107/2+(((CROQUIS!$C$97)-CROQUIS!$C$107)-(MAX(1,INT(((CROQUIS!$C$97)-CROQUIS!$C$107)/MAX((CROQUIS!$C$137*MAX(1,CEILING((INT(((CROQUIS!$C$97)-CROQUIS!$C$107)/MAX(CROQUIS!$C$137,1))+1)/80,1))),1))+1)-1)*(CROQUIS!$C$137*MAX(1,CEILING((INT(((CROQUIS!$C$97)-CROQUIS!$C$107)/MAX(CROQUIS!$C$137,1))+1)/80,1))))/2)+MIN(INT(($A360-1)/5),MAX((MAX(1,INT(((CROQUIS!$C$97)-CROQUIS!$C$107)/MAX((CROQUIS!$C$137*MAX(1,CEILING((INT(((CROQUIS!$C$97)-CROQUIS!$C$107)/MAX(CROQUIS!$C$137,1))+1)/80,1))),1))+1))-1,0))*(CROQUIS!$C$137*MAX(1,CEILING((INT(((CROQUIS!$C$97)-CROQUIS!$C$107)/MAX(CROQUIS!$C$137,1))+1)/80,1))))))*CROQUIS!$C$159)+IF(CROQUIS!$C$92="X",0,0)),-1000)</f>
        <v>-1000</v>
      </c>
      <c r="BR360">
        <f>IF(AND(CROQUIS!$C$88=1,CROQUIS!$C$91=0,CROQUIS!$C$133&gt;0,OR(CROQUIS!$C$103=1,CROQUIS!$C$145=1)),((CROQUIS!$C$160+(IF(CROQUIS!$C$92="X",CHOOSE(IF(INT(($A360-1)/5)&gt;MAX((MAX(1,INT(((CROQUIS!$C$98)-CROQUIS!$C$107)/MAX((CROQUIS!$C$133*MAX(1,CEILING((INT(((CROQUIS!$C$98)-CROQUIS!$C$107)/MAX(CROQUIS!$C$133,1))+1)/80,1))),1))+1))-1,0),0,MOD($A360-1,5))+1,0,IF(CROQUIS!$C$103=1,-12,2),CROQUIS!$C$107/2+CROQUIS!$C$143,IF(CROQUIS!$C$103=1,-12,2),0),((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BS3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+1,0,IF(CROQUIS!$C$103=1,-12,2),CROQUIS!$C$107/2+CROQUIS!$C$143,IF(CROQUIS!$C$103=1,-12,2),0)))*CROQUIS!$C$159)+IF(CROQUIS!$C$92="X",0.8,0)),-1000)</f>
        <v>-1000</v>
      </c>
      <c r="BT360">
        <f>IF(AND(CROQUIS!$C$88=1,CROQUIS!$C$91=0,CROQUIS!$C$133&gt;0,OR(CROQUIS!$C$104=1,CROQUIS!$C$145=1)),((CROQUIS!$C$160+(IF(CROQUIS!$C$92="X",CHOOSE(IF(INT(($A360-1)/5)&gt;MAX((MAX(1,INT(((CROQUIS!$C$98)-CROQUIS!$C$107)/MAX((CROQUIS!$C$133*MAX(1,CEILING((INT(((CROQUIS!$C$98)-CROQUIS!$C$107)/MAX(CROQUIS!$C$133,1))+1)/80,1))),1))+1))-1,0),0,MOD($A360-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BU3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CROQUIS!$C$97,CROQUIS!$C$97-CROQUIS!$C$107/2-CROQUIS!$C$143,IF(CROQUIS!$C$104=1,CROQUIS!$C$97+12,CROQUIS!$C$97-2),CROQUIS!$C$97-CROQUIS!$C$107/2-CROQUIS!$C$143,CROQUIS!$C$97)))*CROQUIS!$C$159)+IF(CROQUIS!$C$92="X",0.8,0)),-1000)</f>
        <v>-1000</v>
      </c>
      <c r="BV3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HOOSE(IF(INT(($A360-1)/5)&gt;MAX((MAX(1,INT(((CROQUIS!$C$97)-CROQUIS!$C$107)/MAX((CROQUIS!$C$141*MAX(1,CEILING((INT(((CROQUIS!$C$97)-CROQUIS!$C$107)/MAX(CROQUIS!$C$141,1))+1)/80,1))),1))+1))-1,0),0,MOD($A360-1,5))+1,0,IF(CROQUIS!$C$105=1,-12,2),CROQUIS!$C$107/2+CROQUIS!$C$144,IF(CROQUIS!$C$105=1,-12,2),0)))*CROQUIS!$C$159)+IF(CROQUIS!$C$92="X",0.8,0)),-1000)</f>
        <v>-1000</v>
      </c>
      <c r="BW360">
        <f>IF(AND(CROQUIS!$C$88=1,CROQUIS!$C$91=0,CROQUIS!$C$141&gt;0,OR(CROQUIS!$C$105=1,CROQUIS!$C$146=1)),((CROQUIS!$C$161+(IF(CROQUIS!$C$92="X",CHOOSE(IF(INT(($A360-1)/5)&gt;MAX((MAX(1,INT(((CROQUIS!$C$97)-CROQUIS!$C$107)/MAX((CROQUIS!$C$141*MAX(1,CEILING((INT(((CROQUIS!$C$97)-CROQUIS!$C$107)/MAX(CROQUIS!$C$141,1))+1)/80,1))),1))+1))-1,0),0,MOD($A360-1,5))+1,0,IF(CROQUIS!$C$105=1,-12,2),CROQUIS!$C$107/2+CROQUIS!$C$144,IF(CROQUIS!$C$105=1,-12,2),0),((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ROQUIS!$C$159)+IF(CROQUIS!$C$92="X",0,0.8)),-1000)</f>
        <v>-1000</v>
      </c>
      <c r="BX3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HOOSE(IF(INT(($A360-1)/5)&gt;MAX((MAX(1,INT(((CROQUIS!$C$97)-CROQUIS!$C$107)/MAX((CROQUIS!$C$141*MAX(1,CEILING((INT(((CROQUIS!$C$97)-CROQUIS!$C$107)/MAX(CROQUIS!$C$141,1))+1)/80,1))),1))+1))-1,0),0,MOD($A360-1,5))+1,CROQUIS!$C$98,CROQUIS!$C$98-CROQUIS!$C$107/2-CROQUIS!$C$144,IF(CROQUIS!$C$106=1,CROQUIS!$C$98+12,CROQUIS!$C$98-2),CROQUIS!$C$98-CROQUIS!$C$107/2-CROQUIS!$C$144,CROQUIS!$C$98)))*CROQUIS!$C$159)+IF(CROQUIS!$C$92="X",0.8,0)),-1000)</f>
        <v>-1000</v>
      </c>
      <c r="BY360">
        <f>IF(AND(CROQUIS!$C$88=1,CROQUIS!$C$91=0,CROQUIS!$C$141&gt;0,OR(CROQUIS!$C$106=1,CROQUIS!$C$146=1)),((CROQUIS!$C$161+(IF(CROQUIS!$C$92="X",CHOOSE(IF(INT(($A360-1)/5)&gt;MAX((MAX(1,INT(((CROQUIS!$C$97)-CROQUIS!$C$107)/MAX((CROQUIS!$C$141*MAX(1,CEILING((INT(((CROQUIS!$C$97)-CROQUIS!$C$107)/MAX(CROQUIS!$C$141,1))+1)/80,1))),1))+1))-1,0),0,MOD($A360-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ROQUIS!$C$159)+IF(CROQUIS!$C$92="X",0,0.8)),-1000)</f>
        <v>-1000</v>
      </c>
      <c r="BZ360">
        <f>IF(AND(CROQUIS!$C$88=1,CROQUIS!$C$91=1,CROQUIS!$C$133&gt;0),((CROQUIS!$C$160+(IF(CROQUIS!$C$92="X",CHOOSE(IF(INT(($A360-1)/5)&gt;MAX((MAX(1,INT(((CROQUIS!$C$98)-CROQUIS!$C$107)/MAX((CROQUIS!$C$133*MAX(1,CEILING((INT(((CROQUIS!$C$98)-CROQUIS!$C$107)/MAX(CROQUIS!$C$133,1))+1)/80,1))),1))+1))-1,0),0,MOD($A360-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CA360">
        <f>IF(AND(CROQUIS!$C$88=1,CROQUIS!$C$91=1,CROQUIS!$C$133&gt;0),((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1">
      <c r="A361" t="n">
        <v>354</v>
      </c>
      <c r="BN361">
        <f>IF(AND(CROQUIS!$C$88=1,CROQUIS!$C$129&gt;0),((CROQUIS!$C$160+(IF(CROQUIS!$C$92="X",CHOOSE(IF(INT(($A361-1)/5)&gt;MAX((MAX(1,INT(((CROQUIS!$C$98)-CROQUIS!$C$107)/MAX((CROQUIS!$C$129*MAX(1,CEILING((INT(((CROQUIS!$C$98)-CROQUIS!$C$107)/MAX(CROQUIS!$C$129,1))+1)/80,1))),1))+1))-1,0),0,MOD($A361-1,5))+1,0,2,CROQUIS!$C$97-2,2,0),((CROQUIS!$C$107/2+(((CROQUIS!$C$98)-CROQUIS!$C$107)-(MAX(1,INT(((CROQUIS!$C$98)-CROQUIS!$C$107)/MAX((CROQUIS!$C$129*MAX(1,CEILING((INT(((CROQUIS!$C$98)-CROQUIS!$C$107)/MAX(CROQUIS!$C$129,1))+1)/80,1))),1))+1)-1)*(CROQUIS!$C$129*MAX(1,CEILING((INT(((CROQUIS!$C$98)-CROQUIS!$C$107)/MAX(CROQUIS!$C$129,1))+1)/80,1))))/2)+MIN(INT(($A361-1)/5),MAX((MAX(1,INT(((CROQUIS!$C$98)-CROQUIS!$C$107)/MAX((CROQUIS!$C$129*MAX(1,CEILING((INT(((CROQUIS!$C$98)-CROQUIS!$C$107)/MAX(CROQUIS!$C$129,1))+1)/80,1))),1))+1))-1,0))*(CROQUIS!$C$129*MAX(1,CEILING((INT(((CROQUIS!$C$98)-CROQUIS!$C$107)/MAX(CROQUIS!$C$129,1))+1)/80,1))))))*CROQUIS!$C$159)+IF(CROQUIS!$C$92="X",0,0)),-1000)</f>
        <v>-1000</v>
      </c>
      <c r="BO361">
        <f>IF(AND(CROQUIS!$C$88=1,CROQUIS!$C$129&gt;0),((CROQUIS!$C$161+(IF(CROQUIS!$C$92="X",((CROQUIS!$C$107/2+(((CROQUIS!$C$98)-CROQUIS!$C$107)-(MAX(1,INT(((CROQUIS!$C$98)-CROQUIS!$C$107)/MAX((CROQUIS!$C$129*MAX(1,CEILING((INT(((CROQUIS!$C$98)-CROQUIS!$C$107)/MAX(CROQUIS!$C$129,1))+1)/80,1))),1))+1)-1)*(CROQUIS!$C$129*MAX(1,CEILING((INT(((CROQUIS!$C$98)-CROQUIS!$C$107)/MAX(CROQUIS!$C$129,1))+1)/80,1))))/2)+MIN(INT(($A361-1)/5),MAX((MAX(1,INT(((CROQUIS!$C$98)-CROQUIS!$C$107)/MAX((CROQUIS!$C$129*MAX(1,CEILING((INT(((CROQUIS!$C$98)-CROQUIS!$C$107)/MAX(CROQUIS!$C$129,1))+1)/80,1))),1))+1))-1,0))*(CROQUIS!$C$129*MAX(1,CEILING((INT(((CROQUIS!$C$98)-CROQUIS!$C$107)/MAX(CROQUIS!$C$129,1))+1)/80,1)))),CHOOSE(IF(INT(($A361-1)/5)&gt;MAX((MAX(1,INT(((CROQUIS!$C$98)-CROQUIS!$C$107)/MAX((CROQUIS!$C$129*MAX(1,CEILING((INT(((CROQUIS!$C$98)-CROQUIS!$C$107)/MAX(CROQUIS!$C$129,1))+1)/80,1))),1))+1))-1,0),0,MOD($A361-1,5))+1,0,2,CROQUIS!$C$97-2,2,0)))*CROQUIS!$C$159)+IF(CROQUIS!$C$92="X",0,0)),-1000)</f>
        <v>-1000</v>
      </c>
      <c r="BP361">
        <f>IF(AND(CROQUIS!$C$88=1,CROQUIS!$C$137&gt;0),((CROQUIS!$C$160+(IF(CROQUIS!$C$92="X",((CROQUIS!$C$107/2+(((CROQUIS!$C$97)-CROQUIS!$C$107)-(MAX(1,INT(((CROQUIS!$C$97)-CROQUIS!$C$107)/MAX((CROQUIS!$C$137*MAX(1,CEILING((INT(((CROQUIS!$C$97)-CROQUIS!$C$107)/MAX(CROQUIS!$C$137,1))+1)/80,1))),1))+1)-1)*(CROQUIS!$C$137*MAX(1,CEILING((INT(((CROQUIS!$C$97)-CROQUIS!$C$107)/MAX(CROQUIS!$C$137,1))+1)/80,1))))/2)+MIN(INT(($A361-1)/5),MAX((MAX(1,INT(((CROQUIS!$C$97)-CROQUIS!$C$107)/MAX((CROQUIS!$C$137*MAX(1,CEILING((INT(((CROQUIS!$C$97)-CROQUIS!$C$107)/MAX(CROQUIS!$C$137,1))+1)/80,1))),1))+1))-1,0))*(CROQUIS!$C$137*MAX(1,CEILING((INT(((CROQUIS!$C$97)-CROQUIS!$C$107)/MAX(CROQUIS!$C$137,1))+1)/80,1)))),CHOOSE(IF(INT(($A361-1)/5)&gt;MAX((MAX(1,INT(((CROQUIS!$C$97)-CROQUIS!$C$107)/MAX((CROQUIS!$C$137*MAX(1,CEILING((INT(((CROQUIS!$C$97)-CROQUIS!$C$107)/MAX(CROQUIS!$C$137,1))+1)/80,1))),1))+1))-1,0),0,MOD($A361-1,5))+1,0,2,CROQUIS!$C$98-2,2,0)))*CROQUIS!$C$159)+IF(CROQUIS!$C$92="X",0,0)),-1000)</f>
        <v>-1000</v>
      </c>
      <c r="BQ361">
        <f>IF(AND(CROQUIS!$C$88=1,CROQUIS!$C$137&gt;0),((CROQUIS!$C$161+(IF(CROQUIS!$C$92="X",CHOOSE(IF(INT(($A361-1)/5)&gt;MAX((MAX(1,INT(((CROQUIS!$C$97)-CROQUIS!$C$107)/MAX((CROQUIS!$C$137*MAX(1,CEILING((INT(((CROQUIS!$C$97)-CROQUIS!$C$107)/MAX(CROQUIS!$C$137,1))+1)/80,1))),1))+1))-1,0),0,MOD($A361-1,5))+1,0,2,CROQUIS!$C$98-2,2,0),((CROQUIS!$C$107/2+(((CROQUIS!$C$97)-CROQUIS!$C$107)-(MAX(1,INT(((CROQUIS!$C$97)-CROQUIS!$C$107)/MAX((CROQUIS!$C$137*MAX(1,CEILING((INT(((CROQUIS!$C$97)-CROQUIS!$C$107)/MAX(CROQUIS!$C$137,1))+1)/80,1))),1))+1)-1)*(CROQUIS!$C$137*MAX(1,CEILING((INT(((CROQUIS!$C$97)-CROQUIS!$C$107)/MAX(CROQUIS!$C$137,1))+1)/80,1))))/2)+MIN(INT(($A361-1)/5),MAX((MAX(1,INT(((CROQUIS!$C$97)-CROQUIS!$C$107)/MAX((CROQUIS!$C$137*MAX(1,CEILING((INT(((CROQUIS!$C$97)-CROQUIS!$C$107)/MAX(CROQUIS!$C$137,1))+1)/80,1))),1))+1))-1,0))*(CROQUIS!$C$137*MAX(1,CEILING((INT(((CROQUIS!$C$97)-CROQUIS!$C$107)/MAX(CROQUIS!$C$137,1))+1)/80,1))))))*CROQUIS!$C$159)+IF(CROQUIS!$C$92="X",0,0)),-1000)</f>
        <v>-1000</v>
      </c>
      <c r="BR361">
        <f>IF(AND(CROQUIS!$C$88=1,CROQUIS!$C$91=0,CROQUIS!$C$133&gt;0,OR(CROQUIS!$C$103=1,CROQUIS!$C$145=1)),((CROQUIS!$C$160+(IF(CROQUIS!$C$92="X",CHOOSE(IF(INT(($A361-1)/5)&gt;MAX((MAX(1,INT(((CROQUIS!$C$98)-CROQUIS!$C$107)/MAX((CROQUIS!$C$133*MAX(1,CEILING((INT(((CROQUIS!$C$98)-CROQUIS!$C$107)/MAX(CROQUIS!$C$133,1))+1)/80,1))),1))+1))-1,0),0,MOD($A361-1,5))+1,0,IF(CROQUIS!$C$103=1,-12,2),CROQUIS!$C$107/2+CROQUIS!$C$143,IF(CROQUIS!$C$103=1,-12,2),0),((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BS3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+1,0,IF(CROQUIS!$C$103=1,-12,2),CROQUIS!$C$107/2+CROQUIS!$C$143,IF(CROQUIS!$C$103=1,-12,2),0)))*CROQUIS!$C$159)+IF(CROQUIS!$C$92="X",0.8,0)),-1000)</f>
        <v>-1000</v>
      </c>
      <c r="BT361">
        <f>IF(AND(CROQUIS!$C$88=1,CROQUIS!$C$91=0,CROQUIS!$C$133&gt;0,OR(CROQUIS!$C$104=1,CROQUIS!$C$145=1)),((CROQUIS!$C$160+(IF(CROQUIS!$C$92="X",CHOOSE(IF(INT(($A361-1)/5)&gt;MAX((MAX(1,INT(((CROQUIS!$C$98)-CROQUIS!$C$107)/MAX((CROQUIS!$C$133*MAX(1,CEILING((INT(((CROQUIS!$C$98)-CROQUIS!$C$107)/MAX(CROQUIS!$C$133,1))+1)/80,1))),1))+1))-1,0),0,MOD($A361-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BU3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CROQUIS!$C$97,CROQUIS!$C$97-CROQUIS!$C$107/2-CROQUIS!$C$143,IF(CROQUIS!$C$104=1,CROQUIS!$C$97+12,CROQUIS!$C$97-2),CROQUIS!$C$97-CROQUIS!$C$107/2-CROQUIS!$C$143,CROQUIS!$C$97)))*CROQUIS!$C$159)+IF(CROQUIS!$C$92="X",0.8,0)),-1000)</f>
        <v>-1000</v>
      </c>
      <c r="BV3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HOOSE(IF(INT(($A361-1)/5)&gt;MAX((MAX(1,INT(((CROQUIS!$C$97)-CROQUIS!$C$107)/MAX((CROQUIS!$C$141*MAX(1,CEILING((INT(((CROQUIS!$C$97)-CROQUIS!$C$107)/MAX(CROQUIS!$C$141,1))+1)/80,1))),1))+1))-1,0),0,MOD($A361-1,5))+1,0,IF(CROQUIS!$C$105=1,-12,2),CROQUIS!$C$107/2+CROQUIS!$C$144,IF(CROQUIS!$C$105=1,-12,2),0)))*CROQUIS!$C$159)+IF(CROQUIS!$C$92="X",0.8,0)),-1000)</f>
        <v>-1000</v>
      </c>
      <c r="BW361">
        <f>IF(AND(CROQUIS!$C$88=1,CROQUIS!$C$91=0,CROQUIS!$C$141&gt;0,OR(CROQUIS!$C$105=1,CROQUIS!$C$146=1)),((CROQUIS!$C$161+(IF(CROQUIS!$C$92="X",CHOOSE(IF(INT(($A361-1)/5)&gt;MAX((MAX(1,INT(((CROQUIS!$C$97)-CROQUIS!$C$107)/MAX((CROQUIS!$C$141*MAX(1,CEILING((INT(((CROQUIS!$C$97)-CROQUIS!$C$107)/MAX(CROQUIS!$C$141,1))+1)/80,1))),1))+1))-1,0),0,MOD($A361-1,5))+1,0,IF(CROQUIS!$C$105=1,-12,2),CROQUIS!$C$107/2+CROQUIS!$C$144,IF(CROQUIS!$C$105=1,-12,2),0),((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ROQUIS!$C$159)+IF(CROQUIS!$C$92="X",0,0.8)),-1000)</f>
        <v>-1000</v>
      </c>
      <c r="BX3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HOOSE(IF(INT(($A361-1)/5)&gt;MAX((MAX(1,INT(((CROQUIS!$C$97)-CROQUIS!$C$107)/MAX((CROQUIS!$C$141*MAX(1,CEILING((INT(((CROQUIS!$C$97)-CROQUIS!$C$107)/MAX(CROQUIS!$C$141,1))+1)/80,1))),1))+1))-1,0),0,MOD($A361-1,5))+1,CROQUIS!$C$98,CROQUIS!$C$98-CROQUIS!$C$107/2-CROQUIS!$C$144,IF(CROQUIS!$C$106=1,CROQUIS!$C$98+12,CROQUIS!$C$98-2),CROQUIS!$C$98-CROQUIS!$C$107/2-CROQUIS!$C$144,CROQUIS!$C$98)))*CROQUIS!$C$159)+IF(CROQUIS!$C$92="X",0.8,0)),-1000)</f>
        <v>-1000</v>
      </c>
      <c r="BY361">
        <f>IF(AND(CROQUIS!$C$88=1,CROQUIS!$C$91=0,CROQUIS!$C$141&gt;0,OR(CROQUIS!$C$106=1,CROQUIS!$C$146=1)),((CROQUIS!$C$161+(IF(CROQUIS!$C$92="X",CHOOSE(IF(INT(($A361-1)/5)&gt;MAX((MAX(1,INT(((CROQUIS!$C$97)-CROQUIS!$C$107)/MAX((CROQUIS!$C$141*MAX(1,CEILING((INT(((CROQUIS!$C$97)-CROQUIS!$C$107)/MAX(CROQUIS!$C$141,1))+1)/80,1))),1))+1))-1,0),0,MOD($A361-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ROQUIS!$C$159)+IF(CROQUIS!$C$92="X",0,0.8)),-1000)</f>
        <v>-1000</v>
      </c>
      <c r="BZ361">
        <f>IF(AND(CROQUIS!$C$88=1,CROQUIS!$C$91=1,CROQUIS!$C$133&gt;0),((CROQUIS!$C$160+(IF(CROQUIS!$C$92="X",CHOOSE(IF(INT(($A361-1)/5)&gt;MAX((MAX(1,INT(((CROQUIS!$C$98)-CROQUIS!$C$107)/MAX((CROQUIS!$C$133*MAX(1,CEILING((INT(((CROQUIS!$C$98)-CROQUIS!$C$107)/MAX(CROQUIS!$C$133,1))+1)/80,1))),1))+1))-1,0),0,MOD($A361-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CA361">
        <f>IF(AND(CROQUIS!$C$88=1,CROQUIS!$C$91=1,CROQUIS!$C$133&gt;0),((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2">
      <c r="A362" t="n">
        <v>355</v>
      </c>
      <c r="BN362">
        <f>IF(AND(CROQUIS!$C$88=1,CROQUIS!$C$129&gt;0),((CROQUIS!$C$160+(IF(CROQUIS!$C$92="X",CHOOSE(IF(INT(($A362-1)/5)&gt;MAX((MAX(1,INT(((CROQUIS!$C$98)-CROQUIS!$C$107)/MAX((CROQUIS!$C$129*MAX(1,CEILING((INT(((CROQUIS!$C$98)-CROQUIS!$C$107)/MAX(CROQUIS!$C$129,1))+1)/80,1))),1))+1))-1,0),0,MOD($A362-1,5))+1,0,2,CROQUIS!$C$97-2,2,0),((CROQUIS!$C$107/2+(((CROQUIS!$C$98)-CROQUIS!$C$107)-(MAX(1,INT(((CROQUIS!$C$98)-CROQUIS!$C$107)/MAX((CROQUIS!$C$129*MAX(1,CEILING((INT(((CROQUIS!$C$98)-CROQUIS!$C$107)/MAX(CROQUIS!$C$129,1))+1)/80,1))),1))+1)-1)*(CROQUIS!$C$129*MAX(1,CEILING((INT(((CROQUIS!$C$98)-CROQUIS!$C$107)/MAX(CROQUIS!$C$129,1))+1)/80,1))))/2)+MIN(INT(($A362-1)/5),MAX((MAX(1,INT(((CROQUIS!$C$98)-CROQUIS!$C$107)/MAX((CROQUIS!$C$129*MAX(1,CEILING((INT(((CROQUIS!$C$98)-CROQUIS!$C$107)/MAX(CROQUIS!$C$129,1))+1)/80,1))),1))+1))-1,0))*(CROQUIS!$C$129*MAX(1,CEILING((INT(((CROQUIS!$C$98)-CROQUIS!$C$107)/MAX(CROQUIS!$C$129,1))+1)/80,1))))))*CROQUIS!$C$159)+IF(CROQUIS!$C$92="X",0,0)),-1000)</f>
        <v>-1000</v>
      </c>
      <c r="BO362">
        <f>IF(AND(CROQUIS!$C$88=1,CROQUIS!$C$129&gt;0),((CROQUIS!$C$161+(IF(CROQUIS!$C$92="X",((CROQUIS!$C$107/2+(((CROQUIS!$C$98)-CROQUIS!$C$107)-(MAX(1,INT(((CROQUIS!$C$98)-CROQUIS!$C$107)/MAX((CROQUIS!$C$129*MAX(1,CEILING((INT(((CROQUIS!$C$98)-CROQUIS!$C$107)/MAX(CROQUIS!$C$129,1))+1)/80,1))),1))+1)-1)*(CROQUIS!$C$129*MAX(1,CEILING((INT(((CROQUIS!$C$98)-CROQUIS!$C$107)/MAX(CROQUIS!$C$129,1))+1)/80,1))))/2)+MIN(INT(($A362-1)/5),MAX((MAX(1,INT(((CROQUIS!$C$98)-CROQUIS!$C$107)/MAX((CROQUIS!$C$129*MAX(1,CEILING((INT(((CROQUIS!$C$98)-CROQUIS!$C$107)/MAX(CROQUIS!$C$129,1))+1)/80,1))),1))+1))-1,0))*(CROQUIS!$C$129*MAX(1,CEILING((INT(((CROQUIS!$C$98)-CROQUIS!$C$107)/MAX(CROQUIS!$C$129,1))+1)/80,1)))),CHOOSE(IF(INT(($A362-1)/5)&gt;MAX((MAX(1,INT(((CROQUIS!$C$98)-CROQUIS!$C$107)/MAX((CROQUIS!$C$129*MAX(1,CEILING((INT(((CROQUIS!$C$98)-CROQUIS!$C$107)/MAX(CROQUIS!$C$129,1))+1)/80,1))),1))+1))-1,0),0,MOD($A362-1,5))+1,0,2,CROQUIS!$C$97-2,2,0)))*CROQUIS!$C$159)+IF(CROQUIS!$C$92="X",0,0)),-1000)</f>
        <v>-1000</v>
      </c>
      <c r="BP362">
        <f>IF(AND(CROQUIS!$C$88=1,CROQUIS!$C$137&gt;0),((CROQUIS!$C$160+(IF(CROQUIS!$C$92="X",((CROQUIS!$C$107/2+(((CROQUIS!$C$97)-CROQUIS!$C$107)-(MAX(1,INT(((CROQUIS!$C$97)-CROQUIS!$C$107)/MAX((CROQUIS!$C$137*MAX(1,CEILING((INT(((CROQUIS!$C$97)-CROQUIS!$C$107)/MAX(CROQUIS!$C$137,1))+1)/80,1))),1))+1)-1)*(CROQUIS!$C$137*MAX(1,CEILING((INT(((CROQUIS!$C$97)-CROQUIS!$C$107)/MAX(CROQUIS!$C$137,1))+1)/80,1))))/2)+MIN(INT(($A362-1)/5),MAX((MAX(1,INT(((CROQUIS!$C$97)-CROQUIS!$C$107)/MAX((CROQUIS!$C$137*MAX(1,CEILING((INT(((CROQUIS!$C$97)-CROQUIS!$C$107)/MAX(CROQUIS!$C$137,1))+1)/80,1))),1))+1))-1,0))*(CROQUIS!$C$137*MAX(1,CEILING((INT(((CROQUIS!$C$97)-CROQUIS!$C$107)/MAX(CROQUIS!$C$137,1))+1)/80,1)))),CHOOSE(IF(INT(($A362-1)/5)&gt;MAX((MAX(1,INT(((CROQUIS!$C$97)-CROQUIS!$C$107)/MAX((CROQUIS!$C$137*MAX(1,CEILING((INT(((CROQUIS!$C$97)-CROQUIS!$C$107)/MAX(CROQUIS!$C$137,1))+1)/80,1))),1))+1))-1,0),0,MOD($A362-1,5))+1,0,2,CROQUIS!$C$98-2,2,0)))*CROQUIS!$C$159)+IF(CROQUIS!$C$92="X",0,0)),-1000)</f>
        <v>-1000</v>
      </c>
      <c r="BQ362">
        <f>IF(AND(CROQUIS!$C$88=1,CROQUIS!$C$137&gt;0),((CROQUIS!$C$161+(IF(CROQUIS!$C$92="X",CHOOSE(IF(INT(($A362-1)/5)&gt;MAX((MAX(1,INT(((CROQUIS!$C$97)-CROQUIS!$C$107)/MAX((CROQUIS!$C$137*MAX(1,CEILING((INT(((CROQUIS!$C$97)-CROQUIS!$C$107)/MAX(CROQUIS!$C$137,1))+1)/80,1))),1))+1))-1,0),0,MOD($A362-1,5))+1,0,2,CROQUIS!$C$98-2,2,0),((CROQUIS!$C$107/2+(((CROQUIS!$C$97)-CROQUIS!$C$107)-(MAX(1,INT(((CROQUIS!$C$97)-CROQUIS!$C$107)/MAX((CROQUIS!$C$137*MAX(1,CEILING((INT(((CROQUIS!$C$97)-CROQUIS!$C$107)/MAX(CROQUIS!$C$137,1))+1)/80,1))),1))+1)-1)*(CROQUIS!$C$137*MAX(1,CEILING((INT(((CROQUIS!$C$97)-CROQUIS!$C$107)/MAX(CROQUIS!$C$137,1))+1)/80,1))))/2)+MIN(INT(($A362-1)/5),MAX((MAX(1,INT(((CROQUIS!$C$97)-CROQUIS!$C$107)/MAX((CROQUIS!$C$137*MAX(1,CEILING((INT(((CROQUIS!$C$97)-CROQUIS!$C$107)/MAX(CROQUIS!$C$137,1))+1)/80,1))),1))+1))-1,0))*(CROQUIS!$C$137*MAX(1,CEILING((INT(((CROQUIS!$C$97)-CROQUIS!$C$107)/MAX(CROQUIS!$C$137,1))+1)/80,1))))))*CROQUIS!$C$159)+IF(CROQUIS!$C$92="X",0,0)),-1000)</f>
        <v>-1000</v>
      </c>
      <c r="BR362">
        <f>IF(AND(CROQUIS!$C$88=1,CROQUIS!$C$91=0,CROQUIS!$C$133&gt;0,OR(CROQUIS!$C$103=1,CROQUIS!$C$145=1)),((CROQUIS!$C$160+(IF(CROQUIS!$C$92="X",CHOOSE(IF(INT(($A362-1)/5)&gt;MAX((MAX(1,INT(((CROQUIS!$C$98)-CROQUIS!$C$107)/MAX((CROQUIS!$C$133*MAX(1,CEILING((INT(((CROQUIS!$C$98)-CROQUIS!$C$107)/MAX(CROQUIS!$C$133,1))+1)/80,1))),1))+1))-1,0),0,MOD($A362-1,5))+1,0,IF(CROQUIS!$C$103=1,-12,2),CROQUIS!$C$107/2+CROQUIS!$C$143,IF(CROQUIS!$C$103=1,-12,2),0),((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BS3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+1,0,IF(CROQUIS!$C$103=1,-12,2),CROQUIS!$C$107/2+CROQUIS!$C$143,IF(CROQUIS!$C$103=1,-12,2),0)))*CROQUIS!$C$159)+IF(CROQUIS!$C$92="X",0.8,0)),-1000)</f>
        <v>-1000</v>
      </c>
      <c r="BT362">
        <f>IF(AND(CROQUIS!$C$88=1,CROQUIS!$C$91=0,CROQUIS!$C$133&gt;0,OR(CROQUIS!$C$104=1,CROQUIS!$C$145=1)),((CROQUIS!$C$160+(IF(CROQUIS!$C$92="X",CHOOSE(IF(INT(($A362-1)/5)&gt;MAX((MAX(1,INT(((CROQUIS!$C$98)-CROQUIS!$C$107)/MAX((CROQUIS!$C$133*MAX(1,CEILING((INT(((CROQUIS!$C$98)-CROQUIS!$C$107)/MAX(CROQUIS!$C$133,1))+1)/80,1))),1))+1))-1,0),0,MOD($A362-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BU3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CROQUIS!$C$97,CROQUIS!$C$97-CROQUIS!$C$107/2-CROQUIS!$C$143,IF(CROQUIS!$C$104=1,CROQUIS!$C$97+12,CROQUIS!$C$97-2),CROQUIS!$C$97-CROQUIS!$C$107/2-CROQUIS!$C$143,CROQUIS!$C$97)))*CROQUIS!$C$159)+IF(CROQUIS!$C$92="X",0.8,0)),-1000)</f>
        <v>-1000</v>
      </c>
      <c r="BV3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HOOSE(IF(INT(($A362-1)/5)&gt;MAX((MAX(1,INT(((CROQUIS!$C$97)-CROQUIS!$C$107)/MAX((CROQUIS!$C$141*MAX(1,CEILING((INT(((CROQUIS!$C$97)-CROQUIS!$C$107)/MAX(CROQUIS!$C$141,1))+1)/80,1))),1))+1))-1,0),0,MOD($A362-1,5))+1,0,IF(CROQUIS!$C$105=1,-12,2),CROQUIS!$C$107/2+CROQUIS!$C$144,IF(CROQUIS!$C$105=1,-12,2),0)))*CROQUIS!$C$159)+IF(CROQUIS!$C$92="X",0.8,0)),-1000)</f>
        <v>-1000</v>
      </c>
      <c r="BW362">
        <f>IF(AND(CROQUIS!$C$88=1,CROQUIS!$C$91=0,CROQUIS!$C$141&gt;0,OR(CROQUIS!$C$105=1,CROQUIS!$C$146=1)),((CROQUIS!$C$161+(IF(CROQUIS!$C$92="X",CHOOSE(IF(INT(($A362-1)/5)&gt;MAX((MAX(1,INT(((CROQUIS!$C$97)-CROQUIS!$C$107)/MAX((CROQUIS!$C$141*MAX(1,CEILING((INT(((CROQUIS!$C$97)-CROQUIS!$C$107)/MAX(CROQUIS!$C$141,1))+1)/80,1))),1))+1))-1,0),0,MOD($A362-1,5))+1,0,IF(CROQUIS!$C$105=1,-12,2),CROQUIS!$C$107/2+CROQUIS!$C$144,IF(CROQUIS!$C$105=1,-12,2),0),((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ROQUIS!$C$159)+IF(CROQUIS!$C$92="X",0,0.8)),-1000)</f>
        <v>-1000</v>
      </c>
      <c r="BX3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HOOSE(IF(INT(($A362-1)/5)&gt;MAX((MAX(1,INT(((CROQUIS!$C$97)-CROQUIS!$C$107)/MAX((CROQUIS!$C$141*MAX(1,CEILING((INT(((CROQUIS!$C$97)-CROQUIS!$C$107)/MAX(CROQUIS!$C$141,1))+1)/80,1))),1))+1))-1,0),0,MOD($A362-1,5))+1,CROQUIS!$C$98,CROQUIS!$C$98-CROQUIS!$C$107/2-CROQUIS!$C$144,IF(CROQUIS!$C$106=1,CROQUIS!$C$98+12,CROQUIS!$C$98-2),CROQUIS!$C$98-CROQUIS!$C$107/2-CROQUIS!$C$144,CROQUIS!$C$98)))*CROQUIS!$C$159)+IF(CROQUIS!$C$92="X",0.8,0)),-1000)</f>
        <v>-1000</v>
      </c>
      <c r="BY362">
        <f>IF(AND(CROQUIS!$C$88=1,CROQUIS!$C$91=0,CROQUIS!$C$141&gt;0,OR(CROQUIS!$C$106=1,CROQUIS!$C$146=1)),((CROQUIS!$C$161+(IF(CROQUIS!$C$92="X",CHOOSE(IF(INT(($A362-1)/5)&gt;MAX((MAX(1,INT(((CROQUIS!$C$97)-CROQUIS!$C$107)/MAX((CROQUIS!$C$141*MAX(1,CEILING((INT(((CROQUIS!$C$97)-CROQUIS!$C$107)/MAX(CROQUIS!$C$141,1))+1)/80,1))),1))+1))-1,0),0,MOD($A362-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ROQUIS!$C$159)+IF(CROQUIS!$C$92="X",0,0.8)),-1000)</f>
        <v>-1000</v>
      </c>
      <c r="BZ362">
        <f>IF(AND(CROQUIS!$C$88=1,CROQUIS!$C$91=1,CROQUIS!$C$133&gt;0),((CROQUIS!$C$160+(IF(CROQUIS!$C$92="X",CHOOSE(IF(INT(($A362-1)/5)&gt;MAX((MAX(1,INT(((CROQUIS!$C$98)-CROQUIS!$C$107)/MAX((CROQUIS!$C$133*MAX(1,CEILING((INT(((CROQUIS!$C$98)-CROQUIS!$C$107)/MAX(CROQUIS!$C$133,1))+1)/80,1))),1))+1))-1,0),0,MOD($A362-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CA362">
        <f>IF(AND(CROQUIS!$C$88=1,CROQUIS!$C$91=1,CROQUIS!$C$133&gt;0),((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3">
      <c r="A363" t="n">
        <v>356</v>
      </c>
      <c r="BN363">
        <f>IF(AND(CROQUIS!$C$88=1,CROQUIS!$C$129&gt;0),((CROQUIS!$C$160+(IF(CROQUIS!$C$92="X",CHOOSE(IF(INT(($A363-1)/5)&gt;MAX((MAX(1,INT(((CROQUIS!$C$98)-CROQUIS!$C$107)/MAX((CROQUIS!$C$129*MAX(1,CEILING((INT(((CROQUIS!$C$98)-CROQUIS!$C$107)/MAX(CROQUIS!$C$129,1))+1)/80,1))),1))+1))-1,0),0,MOD($A363-1,5))+1,0,2,CROQUIS!$C$97-2,2,0),((CROQUIS!$C$107/2+(((CROQUIS!$C$98)-CROQUIS!$C$107)-(MAX(1,INT(((CROQUIS!$C$98)-CROQUIS!$C$107)/MAX((CROQUIS!$C$129*MAX(1,CEILING((INT(((CROQUIS!$C$98)-CROQUIS!$C$107)/MAX(CROQUIS!$C$129,1))+1)/80,1))),1))+1)-1)*(CROQUIS!$C$129*MAX(1,CEILING((INT(((CROQUIS!$C$98)-CROQUIS!$C$107)/MAX(CROQUIS!$C$129,1))+1)/80,1))))/2)+MIN(INT(($A363-1)/5),MAX((MAX(1,INT(((CROQUIS!$C$98)-CROQUIS!$C$107)/MAX((CROQUIS!$C$129*MAX(1,CEILING((INT(((CROQUIS!$C$98)-CROQUIS!$C$107)/MAX(CROQUIS!$C$129,1))+1)/80,1))),1))+1))-1,0))*(CROQUIS!$C$129*MAX(1,CEILING((INT(((CROQUIS!$C$98)-CROQUIS!$C$107)/MAX(CROQUIS!$C$129,1))+1)/80,1))))))*CROQUIS!$C$159)+IF(CROQUIS!$C$92="X",0,0)),-1000)</f>
        <v>-1000</v>
      </c>
      <c r="BO363">
        <f>IF(AND(CROQUIS!$C$88=1,CROQUIS!$C$129&gt;0),((CROQUIS!$C$161+(IF(CROQUIS!$C$92="X",((CROQUIS!$C$107/2+(((CROQUIS!$C$98)-CROQUIS!$C$107)-(MAX(1,INT(((CROQUIS!$C$98)-CROQUIS!$C$107)/MAX((CROQUIS!$C$129*MAX(1,CEILING((INT(((CROQUIS!$C$98)-CROQUIS!$C$107)/MAX(CROQUIS!$C$129,1))+1)/80,1))),1))+1)-1)*(CROQUIS!$C$129*MAX(1,CEILING((INT(((CROQUIS!$C$98)-CROQUIS!$C$107)/MAX(CROQUIS!$C$129,1))+1)/80,1))))/2)+MIN(INT(($A363-1)/5),MAX((MAX(1,INT(((CROQUIS!$C$98)-CROQUIS!$C$107)/MAX((CROQUIS!$C$129*MAX(1,CEILING((INT(((CROQUIS!$C$98)-CROQUIS!$C$107)/MAX(CROQUIS!$C$129,1))+1)/80,1))),1))+1))-1,0))*(CROQUIS!$C$129*MAX(1,CEILING((INT(((CROQUIS!$C$98)-CROQUIS!$C$107)/MAX(CROQUIS!$C$129,1))+1)/80,1)))),CHOOSE(IF(INT(($A363-1)/5)&gt;MAX((MAX(1,INT(((CROQUIS!$C$98)-CROQUIS!$C$107)/MAX((CROQUIS!$C$129*MAX(1,CEILING((INT(((CROQUIS!$C$98)-CROQUIS!$C$107)/MAX(CROQUIS!$C$129,1))+1)/80,1))),1))+1))-1,0),0,MOD($A363-1,5))+1,0,2,CROQUIS!$C$97-2,2,0)))*CROQUIS!$C$159)+IF(CROQUIS!$C$92="X",0,0)),-1000)</f>
        <v>-1000</v>
      </c>
      <c r="BP363">
        <f>IF(AND(CROQUIS!$C$88=1,CROQUIS!$C$137&gt;0),((CROQUIS!$C$160+(IF(CROQUIS!$C$92="X",((CROQUIS!$C$107/2+(((CROQUIS!$C$97)-CROQUIS!$C$107)-(MAX(1,INT(((CROQUIS!$C$97)-CROQUIS!$C$107)/MAX((CROQUIS!$C$137*MAX(1,CEILING((INT(((CROQUIS!$C$97)-CROQUIS!$C$107)/MAX(CROQUIS!$C$137,1))+1)/80,1))),1))+1)-1)*(CROQUIS!$C$137*MAX(1,CEILING((INT(((CROQUIS!$C$97)-CROQUIS!$C$107)/MAX(CROQUIS!$C$137,1))+1)/80,1))))/2)+MIN(INT(($A363-1)/5),MAX((MAX(1,INT(((CROQUIS!$C$97)-CROQUIS!$C$107)/MAX((CROQUIS!$C$137*MAX(1,CEILING((INT(((CROQUIS!$C$97)-CROQUIS!$C$107)/MAX(CROQUIS!$C$137,1))+1)/80,1))),1))+1))-1,0))*(CROQUIS!$C$137*MAX(1,CEILING((INT(((CROQUIS!$C$97)-CROQUIS!$C$107)/MAX(CROQUIS!$C$137,1))+1)/80,1)))),CHOOSE(IF(INT(($A363-1)/5)&gt;MAX((MAX(1,INT(((CROQUIS!$C$97)-CROQUIS!$C$107)/MAX((CROQUIS!$C$137*MAX(1,CEILING((INT(((CROQUIS!$C$97)-CROQUIS!$C$107)/MAX(CROQUIS!$C$137,1))+1)/80,1))),1))+1))-1,0),0,MOD($A363-1,5))+1,0,2,CROQUIS!$C$98-2,2,0)))*CROQUIS!$C$159)+IF(CROQUIS!$C$92="X",0,0)),-1000)</f>
        <v>-1000</v>
      </c>
      <c r="BQ363">
        <f>IF(AND(CROQUIS!$C$88=1,CROQUIS!$C$137&gt;0),((CROQUIS!$C$161+(IF(CROQUIS!$C$92="X",CHOOSE(IF(INT(($A363-1)/5)&gt;MAX((MAX(1,INT(((CROQUIS!$C$97)-CROQUIS!$C$107)/MAX((CROQUIS!$C$137*MAX(1,CEILING((INT(((CROQUIS!$C$97)-CROQUIS!$C$107)/MAX(CROQUIS!$C$137,1))+1)/80,1))),1))+1))-1,0),0,MOD($A363-1,5))+1,0,2,CROQUIS!$C$98-2,2,0),((CROQUIS!$C$107/2+(((CROQUIS!$C$97)-CROQUIS!$C$107)-(MAX(1,INT(((CROQUIS!$C$97)-CROQUIS!$C$107)/MAX((CROQUIS!$C$137*MAX(1,CEILING((INT(((CROQUIS!$C$97)-CROQUIS!$C$107)/MAX(CROQUIS!$C$137,1))+1)/80,1))),1))+1)-1)*(CROQUIS!$C$137*MAX(1,CEILING((INT(((CROQUIS!$C$97)-CROQUIS!$C$107)/MAX(CROQUIS!$C$137,1))+1)/80,1))))/2)+MIN(INT(($A363-1)/5),MAX((MAX(1,INT(((CROQUIS!$C$97)-CROQUIS!$C$107)/MAX((CROQUIS!$C$137*MAX(1,CEILING((INT(((CROQUIS!$C$97)-CROQUIS!$C$107)/MAX(CROQUIS!$C$137,1))+1)/80,1))),1))+1))-1,0))*(CROQUIS!$C$137*MAX(1,CEILING((INT(((CROQUIS!$C$97)-CROQUIS!$C$107)/MAX(CROQUIS!$C$137,1))+1)/80,1))))))*CROQUIS!$C$159)+IF(CROQUIS!$C$92="X",0,0)),-1000)</f>
        <v>-1000</v>
      </c>
      <c r="BR363">
        <f>IF(AND(CROQUIS!$C$88=1,CROQUIS!$C$91=0,CROQUIS!$C$133&gt;0,OR(CROQUIS!$C$103=1,CROQUIS!$C$145=1)),((CROQUIS!$C$160+(IF(CROQUIS!$C$92="X",CHOOSE(IF(INT(($A363-1)/5)&gt;MAX((MAX(1,INT(((CROQUIS!$C$98)-CROQUIS!$C$107)/MAX((CROQUIS!$C$133*MAX(1,CEILING((INT(((CROQUIS!$C$98)-CROQUIS!$C$107)/MAX(CROQUIS!$C$133,1))+1)/80,1))),1))+1))-1,0),0,MOD($A363-1,5))+1,0,IF(CROQUIS!$C$103=1,-12,2),CROQUIS!$C$107/2+CROQUIS!$C$143,IF(CROQUIS!$C$103=1,-12,2),0),((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BS3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+1,0,IF(CROQUIS!$C$103=1,-12,2),CROQUIS!$C$107/2+CROQUIS!$C$143,IF(CROQUIS!$C$103=1,-12,2),0)))*CROQUIS!$C$159)+IF(CROQUIS!$C$92="X",0.8,0)),-1000)</f>
        <v>-1000</v>
      </c>
      <c r="BT363">
        <f>IF(AND(CROQUIS!$C$88=1,CROQUIS!$C$91=0,CROQUIS!$C$133&gt;0,OR(CROQUIS!$C$104=1,CROQUIS!$C$145=1)),((CROQUIS!$C$160+(IF(CROQUIS!$C$92="X",CHOOSE(IF(INT(($A363-1)/5)&gt;MAX((MAX(1,INT(((CROQUIS!$C$98)-CROQUIS!$C$107)/MAX((CROQUIS!$C$133*MAX(1,CEILING((INT(((CROQUIS!$C$98)-CROQUIS!$C$107)/MAX(CROQUIS!$C$133,1))+1)/80,1))),1))+1))-1,0),0,MOD($A363-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BU3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CROQUIS!$C$97,CROQUIS!$C$97-CROQUIS!$C$107/2-CROQUIS!$C$143,IF(CROQUIS!$C$104=1,CROQUIS!$C$97+12,CROQUIS!$C$97-2),CROQUIS!$C$97-CROQUIS!$C$107/2-CROQUIS!$C$143,CROQUIS!$C$97)))*CROQUIS!$C$159)+IF(CROQUIS!$C$92="X",0.8,0)),-1000)</f>
        <v>-1000</v>
      </c>
      <c r="BV3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HOOSE(IF(INT(($A363-1)/5)&gt;MAX((MAX(1,INT(((CROQUIS!$C$97)-CROQUIS!$C$107)/MAX((CROQUIS!$C$141*MAX(1,CEILING((INT(((CROQUIS!$C$97)-CROQUIS!$C$107)/MAX(CROQUIS!$C$141,1))+1)/80,1))),1))+1))-1,0),0,MOD($A363-1,5))+1,0,IF(CROQUIS!$C$105=1,-12,2),CROQUIS!$C$107/2+CROQUIS!$C$144,IF(CROQUIS!$C$105=1,-12,2),0)))*CROQUIS!$C$159)+IF(CROQUIS!$C$92="X",0.8,0)),-1000)</f>
        <v>-1000</v>
      </c>
      <c r="BW363">
        <f>IF(AND(CROQUIS!$C$88=1,CROQUIS!$C$91=0,CROQUIS!$C$141&gt;0,OR(CROQUIS!$C$105=1,CROQUIS!$C$146=1)),((CROQUIS!$C$161+(IF(CROQUIS!$C$92="X",CHOOSE(IF(INT(($A363-1)/5)&gt;MAX((MAX(1,INT(((CROQUIS!$C$97)-CROQUIS!$C$107)/MAX((CROQUIS!$C$141*MAX(1,CEILING((INT(((CROQUIS!$C$97)-CROQUIS!$C$107)/MAX(CROQUIS!$C$141,1))+1)/80,1))),1))+1))-1,0),0,MOD($A363-1,5))+1,0,IF(CROQUIS!$C$105=1,-12,2),CROQUIS!$C$107/2+CROQUIS!$C$144,IF(CROQUIS!$C$105=1,-12,2),0),((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ROQUIS!$C$159)+IF(CROQUIS!$C$92="X",0,0.8)),-1000)</f>
        <v>-1000</v>
      </c>
      <c r="BX3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HOOSE(IF(INT(($A363-1)/5)&gt;MAX((MAX(1,INT(((CROQUIS!$C$97)-CROQUIS!$C$107)/MAX((CROQUIS!$C$141*MAX(1,CEILING((INT(((CROQUIS!$C$97)-CROQUIS!$C$107)/MAX(CROQUIS!$C$141,1))+1)/80,1))),1))+1))-1,0),0,MOD($A363-1,5))+1,CROQUIS!$C$98,CROQUIS!$C$98-CROQUIS!$C$107/2-CROQUIS!$C$144,IF(CROQUIS!$C$106=1,CROQUIS!$C$98+12,CROQUIS!$C$98-2),CROQUIS!$C$98-CROQUIS!$C$107/2-CROQUIS!$C$144,CROQUIS!$C$98)))*CROQUIS!$C$159)+IF(CROQUIS!$C$92="X",0.8,0)),-1000)</f>
        <v>-1000</v>
      </c>
      <c r="BY363">
        <f>IF(AND(CROQUIS!$C$88=1,CROQUIS!$C$91=0,CROQUIS!$C$141&gt;0,OR(CROQUIS!$C$106=1,CROQUIS!$C$146=1)),((CROQUIS!$C$161+(IF(CROQUIS!$C$92="X",CHOOSE(IF(INT(($A363-1)/5)&gt;MAX((MAX(1,INT(((CROQUIS!$C$97)-CROQUIS!$C$107)/MAX((CROQUIS!$C$141*MAX(1,CEILING((INT(((CROQUIS!$C$97)-CROQUIS!$C$107)/MAX(CROQUIS!$C$141,1))+1)/80,1))),1))+1))-1,0),0,MOD($A363-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ROQUIS!$C$159)+IF(CROQUIS!$C$92="X",0,0.8)),-1000)</f>
        <v>-1000</v>
      </c>
      <c r="BZ363">
        <f>IF(AND(CROQUIS!$C$88=1,CROQUIS!$C$91=1,CROQUIS!$C$133&gt;0),((CROQUIS!$C$160+(IF(CROQUIS!$C$92="X",CHOOSE(IF(INT(($A363-1)/5)&gt;MAX((MAX(1,INT(((CROQUIS!$C$98)-CROQUIS!$C$107)/MAX((CROQUIS!$C$133*MAX(1,CEILING((INT(((CROQUIS!$C$98)-CROQUIS!$C$107)/MAX(CROQUIS!$C$133,1))+1)/80,1))),1))+1))-1,0),0,MOD($A363-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CA363">
        <f>IF(AND(CROQUIS!$C$88=1,CROQUIS!$C$91=1,CROQUIS!$C$133&gt;0),((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4">
      <c r="A364" t="n">
        <v>357</v>
      </c>
      <c r="BN364">
        <f>IF(AND(CROQUIS!$C$88=1,CROQUIS!$C$129&gt;0),((CROQUIS!$C$160+(IF(CROQUIS!$C$92="X",CHOOSE(IF(INT(($A364-1)/5)&gt;MAX((MAX(1,INT(((CROQUIS!$C$98)-CROQUIS!$C$107)/MAX((CROQUIS!$C$129*MAX(1,CEILING((INT(((CROQUIS!$C$98)-CROQUIS!$C$107)/MAX(CROQUIS!$C$129,1))+1)/80,1))),1))+1))-1,0),0,MOD($A364-1,5))+1,0,2,CROQUIS!$C$97-2,2,0),((CROQUIS!$C$107/2+(((CROQUIS!$C$98)-CROQUIS!$C$107)-(MAX(1,INT(((CROQUIS!$C$98)-CROQUIS!$C$107)/MAX((CROQUIS!$C$129*MAX(1,CEILING((INT(((CROQUIS!$C$98)-CROQUIS!$C$107)/MAX(CROQUIS!$C$129,1))+1)/80,1))),1))+1)-1)*(CROQUIS!$C$129*MAX(1,CEILING((INT(((CROQUIS!$C$98)-CROQUIS!$C$107)/MAX(CROQUIS!$C$129,1))+1)/80,1))))/2)+MIN(INT(($A364-1)/5),MAX((MAX(1,INT(((CROQUIS!$C$98)-CROQUIS!$C$107)/MAX((CROQUIS!$C$129*MAX(1,CEILING((INT(((CROQUIS!$C$98)-CROQUIS!$C$107)/MAX(CROQUIS!$C$129,1))+1)/80,1))),1))+1))-1,0))*(CROQUIS!$C$129*MAX(1,CEILING((INT(((CROQUIS!$C$98)-CROQUIS!$C$107)/MAX(CROQUIS!$C$129,1))+1)/80,1))))))*CROQUIS!$C$159)+IF(CROQUIS!$C$92="X",0,0)),-1000)</f>
        <v>-1000</v>
      </c>
      <c r="BO364">
        <f>IF(AND(CROQUIS!$C$88=1,CROQUIS!$C$129&gt;0),((CROQUIS!$C$161+(IF(CROQUIS!$C$92="X",((CROQUIS!$C$107/2+(((CROQUIS!$C$98)-CROQUIS!$C$107)-(MAX(1,INT(((CROQUIS!$C$98)-CROQUIS!$C$107)/MAX((CROQUIS!$C$129*MAX(1,CEILING((INT(((CROQUIS!$C$98)-CROQUIS!$C$107)/MAX(CROQUIS!$C$129,1))+1)/80,1))),1))+1)-1)*(CROQUIS!$C$129*MAX(1,CEILING((INT(((CROQUIS!$C$98)-CROQUIS!$C$107)/MAX(CROQUIS!$C$129,1))+1)/80,1))))/2)+MIN(INT(($A364-1)/5),MAX((MAX(1,INT(((CROQUIS!$C$98)-CROQUIS!$C$107)/MAX((CROQUIS!$C$129*MAX(1,CEILING((INT(((CROQUIS!$C$98)-CROQUIS!$C$107)/MAX(CROQUIS!$C$129,1))+1)/80,1))),1))+1))-1,0))*(CROQUIS!$C$129*MAX(1,CEILING((INT(((CROQUIS!$C$98)-CROQUIS!$C$107)/MAX(CROQUIS!$C$129,1))+1)/80,1)))),CHOOSE(IF(INT(($A364-1)/5)&gt;MAX((MAX(1,INT(((CROQUIS!$C$98)-CROQUIS!$C$107)/MAX((CROQUIS!$C$129*MAX(1,CEILING((INT(((CROQUIS!$C$98)-CROQUIS!$C$107)/MAX(CROQUIS!$C$129,1))+1)/80,1))),1))+1))-1,0),0,MOD($A364-1,5))+1,0,2,CROQUIS!$C$97-2,2,0)))*CROQUIS!$C$159)+IF(CROQUIS!$C$92="X",0,0)),-1000)</f>
        <v>-1000</v>
      </c>
      <c r="BP364">
        <f>IF(AND(CROQUIS!$C$88=1,CROQUIS!$C$137&gt;0),((CROQUIS!$C$160+(IF(CROQUIS!$C$92="X",((CROQUIS!$C$107/2+(((CROQUIS!$C$97)-CROQUIS!$C$107)-(MAX(1,INT(((CROQUIS!$C$97)-CROQUIS!$C$107)/MAX((CROQUIS!$C$137*MAX(1,CEILING((INT(((CROQUIS!$C$97)-CROQUIS!$C$107)/MAX(CROQUIS!$C$137,1))+1)/80,1))),1))+1)-1)*(CROQUIS!$C$137*MAX(1,CEILING((INT(((CROQUIS!$C$97)-CROQUIS!$C$107)/MAX(CROQUIS!$C$137,1))+1)/80,1))))/2)+MIN(INT(($A364-1)/5),MAX((MAX(1,INT(((CROQUIS!$C$97)-CROQUIS!$C$107)/MAX((CROQUIS!$C$137*MAX(1,CEILING((INT(((CROQUIS!$C$97)-CROQUIS!$C$107)/MAX(CROQUIS!$C$137,1))+1)/80,1))),1))+1))-1,0))*(CROQUIS!$C$137*MAX(1,CEILING((INT(((CROQUIS!$C$97)-CROQUIS!$C$107)/MAX(CROQUIS!$C$137,1))+1)/80,1)))),CHOOSE(IF(INT(($A364-1)/5)&gt;MAX((MAX(1,INT(((CROQUIS!$C$97)-CROQUIS!$C$107)/MAX((CROQUIS!$C$137*MAX(1,CEILING((INT(((CROQUIS!$C$97)-CROQUIS!$C$107)/MAX(CROQUIS!$C$137,1))+1)/80,1))),1))+1))-1,0),0,MOD($A364-1,5))+1,0,2,CROQUIS!$C$98-2,2,0)))*CROQUIS!$C$159)+IF(CROQUIS!$C$92="X",0,0)),-1000)</f>
        <v>-1000</v>
      </c>
      <c r="BQ364">
        <f>IF(AND(CROQUIS!$C$88=1,CROQUIS!$C$137&gt;0),((CROQUIS!$C$161+(IF(CROQUIS!$C$92="X",CHOOSE(IF(INT(($A364-1)/5)&gt;MAX((MAX(1,INT(((CROQUIS!$C$97)-CROQUIS!$C$107)/MAX((CROQUIS!$C$137*MAX(1,CEILING((INT(((CROQUIS!$C$97)-CROQUIS!$C$107)/MAX(CROQUIS!$C$137,1))+1)/80,1))),1))+1))-1,0),0,MOD($A364-1,5))+1,0,2,CROQUIS!$C$98-2,2,0),((CROQUIS!$C$107/2+(((CROQUIS!$C$97)-CROQUIS!$C$107)-(MAX(1,INT(((CROQUIS!$C$97)-CROQUIS!$C$107)/MAX((CROQUIS!$C$137*MAX(1,CEILING((INT(((CROQUIS!$C$97)-CROQUIS!$C$107)/MAX(CROQUIS!$C$137,1))+1)/80,1))),1))+1)-1)*(CROQUIS!$C$137*MAX(1,CEILING((INT(((CROQUIS!$C$97)-CROQUIS!$C$107)/MAX(CROQUIS!$C$137,1))+1)/80,1))))/2)+MIN(INT(($A364-1)/5),MAX((MAX(1,INT(((CROQUIS!$C$97)-CROQUIS!$C$107)/MAX((CROQUIS!$C$137*MAX(1,CEILING((INT(((CROQUIS!$C$97)-CROQUIS!$C$107)/MAX(CROQUIS!$C$137,1))+1)/80,1))),1))+1))-1,0))*(CROQUIS!$C$137*MAX(1,CEILING((INT(((CROQUIS!$C$97)-CROQUIS!$C$107)/MAX(CROQUIS!$C$137,1))+1)/80,1))))))*CROQUIS!$C$159)+IF(CROQUIS!$C$92="X",0,0)),-1000)</f>
        <v>-1000</v>
      </c>
      <c r="BR364">
        <f>IF(AND(CROQUIS!$C$88=1,CROQUIS!$C$91=0,CROQUIS!$C$133&gt;0,OR(CROQUIS!$C$103=1,CROQUIS!$C$145=1)),((CROQUIS!$C$160+(IF(CROQUIS!$C$92="X",CHOOSE(IF(INT(($A364-1)/5)&gt;MAX((MAX(1,INT(((CROQUIS!$C$98)-CROQUIS!$C$107)/MAX((CROQUIS!$C$133*MAX(1,CEILING((INT(((CROQUIS!$C$98)-CROQUIS!$C$107)/MAX(CROQUIS!$C$133,1))+1)/80,1))),1))+1))-1,0),0,MOD($A364-1,5))+1,0,IF(CROQUIS!$C$103=1,-12,2),CROQUIS!$C$107/2+CROQUIS!$C$143,IF(CROQUIS!$C$103=1,-12,2),0),((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BS3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+1,0,IF(CROQUIS!$C$103=1,-12,2),CROQUIS!$C$107/2+CROQUIS!$C$143,IF(CROQUIS!$C$103=1,-12,2),0)))*CROQUIS!$C$159)+IF(CROQUIS!$C$92="X",0.8,0)),-1000)</f>
        <v>-1000</v>
      </c>
      <c r="BT364">
        <f>IF(AND(CROQUIS!$C$88=1,CROQUIS!$C$91=0,CROQUIS!$C$133&gt;0,OR(CROQUIS!$C$104=1,CROQUIS!$C$145=1)),((CROQUIS!$C$160+(IF(CROQUIS!$C$92="X",CHOOSE(IF(INT(($A364-1)/5)&gt;MAX((MAX(1,INT(((CROQUIS!$C$98)-CROQUIS!$C$107)/MAX((CROQUIS!$C$133*MAX(1,CEILING((INT(((CROQUIS!$C$98)-CROQUIS!$C$107)/MAX(CROQUIS!$C$133,1))+1)/80,1))),1))+1))-1,0),0,MOD($A364-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BU3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CROQUIS!$C$97,CROQUIS!$C$97-CROQUIS!$C$107/2-CROQUIS!$C$143,IF(CROQUIS!$C$104=1,CROQUIS!$C$97+12,CROQUIS!$C$97-2),CROQUIS!$C$97-CROQUIS!$C$107/2-CROQUIS!$C$143,CROQUIS!$C$97)))*CROQUIS!$C$159)+IF(CROQUIS!$C$92="X",0.8,0)),-1000)</f>
        <v>-1000</v>
      </c>
      <c r="BV3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HOOSE(IF(INT(($A364-1)/5)&gt;MAX((MAX(1,INT(((CROQUIS!$C$97)-CROQUIS!$C$107)/MAX((CROQUIS!$C$141*MAX(1,CEILING((INT(((CROQUIS!$C$97)-CROQUIS!$C$107)/MAX(CROQUIS!$C$141,1))+1)/80,1))),1))+1))-1,0),0,MOD($A364-1,5))+1,0,IF(CROQUIS!$C$105=1,-12,2),CROQUIS!$C$107/2+CROQUIS!$C$144,IF(CROQUIS!$C$105=1,-12,2),0)))*CROQUIS!$C$159)+IF(CROQUIS!$C$92="X",0.8,0)),-1000)</f>
        <v>-1000</v>
      </c>
      <c r="BW364">
        <f>IF(AND(CROQUIS!$C$88=1,CROQUIS!$C$91=0,CROQUIS!$C$141&gt;0,OR(CROQUIS!$C$105=1,CROQUIS!$C$146=1)),((CROQUIS!$C$161+(IF(CROQUIS!$C$92="X",CHOOSE(IF(INT(($A364-1)/5)&gt;MAX((MAX(1,INT(((CROQUIS!$C$97)-CROQUIS!$C$107)/MAX((CROQUIS!$C$141*MAX(1,CEILING((INT(((CROQUIS!$C$97)-CROQUIS!$C$107)/MAX(CROQUIS!$C$141,1))+1)/80,1))),1))+1))-1,0),0,MOD($A364-1,5))+1,0,IF(CROQUIS!$C$105=1,-12,2),CROQUIS!$C$107/2+CROQUIS!$C$144,IF(CROQUIS!$C$105=1,-12,2),0),((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ROQUIS!$C$159)+IF(CROQUIS!$C$92="X",0,0.8)),-1000)</f>
        <v>-1000</v>
      </c>
      <c r="BX3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HOOSE(IF(INT(($A364-1)/5)&gt;MAX((MAX(1,INT(((CROQUIS!$C$97)-CROQUIS!$C$107)/MAX((CROQUIS!$C$141*MAX(1,CEILING((INT(((CROQUIS!$C$97)-CROQUIS!$C$107)/MAX(CROQUIS!$C$141,1))+1)/80,1))),1))+1))-1,0),0,MOD($A364-1,5))+1,CROQUIS!$C$98,CROQUIS!$C$98-CROQUIS!$C$107/2-CROQUIS!$C$144,IF(CROQUIS!$C$106=1,CROQUIS!$C$98+12,CROQUIS!$C$98-2),CROQUIS!$C$98-CROQUIS!$C$107/2-CROQUIS!$C$144,CROQUIS!$C$98)))*CROQUIS!$C$159)+IF(CROQUIS!$C$92="X",0.8,0)),-1000)</f>
        <v>-1000</v>
      </c>
      <c r="BY364">
        <f>IF(AND(CROQUIS!$C$88=1,CROQUIS!$C$91=0,CROQUIS!$C$141&gt;0,OR(CROQUIS!$C$106=1,CROQUIS!$C$146=1)),((CROQUIS!$C$161+(IF(CROQUIS!$C$92="X",CHOOSE(IF(INT(($A364-1)/5)&gt;MAX((MAX(1,INT(((CROQUIS!$C$97)-CROQUIS!$C$107)/MAX((CROQUIS!$C$141*MAX(1,CEILING((INT(((CROQUIS!$C$97)-CROQUIS!$C$107)/MAX(CROQUIS!$C$141,1))+1)/80,1))),1))+1))-1,0),0,MOD($A364-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ROQUIS!$C$159)+IF(CROQUIS!$C$92="X",0,0.8)),-1000)</f>
        <v>-1000</v>
      </c>
      <c r="BZ364">
        <f>IF(AND(CROQUIS!$C$88=1,CROQUIS!$C$91=1,CROQUIS!$C$133&gt;0),((CROQUIS!$C$160+(IF(CROQUIS!$C$92="X",CHOOSE(IF(INT(($A364-1)/5)&gt;MAX((MAX(1,INT(((CROQUIS!$C$98)-CROQUIS!$C$107)/MAX((CROQUIS!$C$133*MAX(1,CEILING((INT(((CROQUIS!$C$98)-CROQUIS!$C$107)/MAX(CROQUIS!$C$133,1))+1)/80,1))),1))+1))-1,0),0,MOD($A364-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CA364">
        <f>IF(AND(CROQUIS!$C$88=1,CROQUIS!$C$91=1,CROQUIS!$C$133&gt;0),((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5">
      <c r="A365" t="n">
        <v>358</v>
      </c>
      <c r="BN365">
        <f>IF(AND(CROQUIS!$C$88=1,CROQUIS!$C$129&gt;0),((CROQUIS!$C$160+(IF(CROQUIS!$C$92="X",CHOOSE(IF(INT(($A365-1)/5)&gt;MAX((MAX(1,INT(((CROQUIS!$C$98)-CROQUIS!$C$107)/MAX((CROQUIS!$C$129*MAX(1,CEILING((INT(((CROQUIS!$C$98)-CROQUIS!$C$107)/MAX(CROQUIS!$C$129,1))+1)/80,1))),1))+1))-1,0),0,MOD($A365-1,5))+1,0,2,CROQUIS!$C$97-2,2,0),((CROQUIS!$C$107/2+(((CROQUIS!$C$98)-CROQUIS!$C$107)-(MAX(1,INT(((CROQUIS!$C$98)-CROQUIS!$C$107)/MAX((CROQUIS!$C$129*MAX(1,CEILING((INT(((CROQUIS!$C$98)-CROQUIS!$C$107)/MAX(CROQUIS!$C$129,1))+1)/80,1))),1))+1)-1)*(CROQUIS!$C$129*MAX(1,CEILING((INT(((CROQUIS!$C$98)-CROQUIS!$C$107)/MAX(CROQUIS!$C$129,1))+1)/80,1))))/2)+MIN(INT(($A365-1)/5),MAX((MAX(1,INT(((CROQUIS!$C$98)-CROQUIS!$C$107)/MAX((CROQUIS!$C$129*MAX(1,CEILING((INT(((CROQUIS!$C$98)-CROQUIS!$C$107)/MAX(CROQUIS!$C$129,1))+1)/80,1))),1))+1))-1,0))*(CROQUIS!$C$129*MAX(1,CEILING((INT(((CROQUIS!$C$98)-CROQUIS!$C$107)/MAX(CROQUIS!$C$129,1))+1)/80,1))))))*CROQUIS!$C$159)+IF(CROQUIS!$C$92="X",0,0)),-1000)</f>
        <v>-1000</v>
      </c>
      <c r="BO365">
        <f>IF(AND(CROQUIS!$C$88=1,CROQUIS!$C$129&gt;0),((CROQUIS!$C$161+(IF(CROQUIS!$C$92="X",((CROQUIS!$C$107/2+(((CROQUIS!$C$98)-CROQUIS!$C$107)-(MAX(1,INT(((CROQUIS!$C$98)-CROQUIS!$C$107)/MAX((CROQUIS!$C$129*MAX(1,CEILING((INT(((CROQUIS!$C$98)-CROQUIS!$C$107)/MAX(CROQUIS!$C$129,1))+1)/80,1))),1))+1)-1)*(CROQUIS!$C$129*MAX(1,CEILING((INT(((CROQUIS!$C$98)-CROQUIS!$C$107)/MAX(CROQUIS!$C$129,1))+1)/80,1))))/2)+MIN(INT(($A365-1)/5),MAX((MAX(1,INT(((CROQUIS!$C$98)-CROQUIS!$C$107)/MAX((CROQUIS!$C$129*MAX(1,CEILING((INT(((CROQUIS!$C$98)-CROQUIS!$C$107)/MAX(CROQUIS!$C$129,1))+1)/80,1))),1))+1))-1,0))*(CROQUIS!$C$129*MAX(1,CEILING((INT(((CROQUIS!$C$98)-CROQUIS!$C$107)/MAX(CROQUIS!$C$129,1))+1)/80,1)))),CHOOSE(IF(INT(($A365-1)/5)&gt;MAX((MAX(1,INT(((CROQUIS!$C$98)-CROQUIS!$C$107)/MAX((CROQUIS!$C$129*MAX(1,CEILING((INT(((CROQUIS!$C$98)-CROQUIS!$C$107)/MAX(CROQUIS!$C$129,1))+1)/80,1))),1))+1))-1,0),0,MOD($A365-1,5))+1,0,2,CROQUIS!$C$97-2,2,0)))*CROQUIS!$C$159)+IF(CROQUIS!$C$92="X",0,0)),-1000)</f>
        <v>-1000</v>
      </c>
      <c r="BP365">
        <f>IF(AND(CROQUIS!$C$88=1,CROQUIS!$C$137&gt;0),((CROQUIS!$C$160+(IF(CROQUIS!$C$92="X",((CROQUIS!$C$107/2+(((CROQUIS!$C$97)-CROQUIS!$C$107)-(MAX(1,INT(((CROQUIS!$C$97)-CROQUIS!$C$107)/MAX((CROQUIS!$C$137*MAX(1,CEILING((INT(((CROQUIS!$C$97)-CROQUIS!$C$107)/MAX(CROQUIS!$C$137,1))+1)/80,1))),1))+1)-1)*(CROQUIS!$C$137*MAX(1,CEILING((INT(((CROQUIS!$C$97)-CROQUIS!$C$107)/MAX(CROQUIS!$C$137,1))+1)/80,1))))/2)+MIN(INT(($A365-1)/5),MAX((MAX(1,INT(((CROQUIS!$C$97)-CROQUIS!$C$107)/MAX((CROQUIS!$C$137*MAX(1,CEILING((INT(((CROQUIS!$C$97)-CROQUIS!$C$107)/MAX(CROQUIS!$C$137,1))+1)/80,1))),1))+1))-1,0))*(CROQUIS!$C$137*MAX(1,CEILING((INT(((CROQUIS!$C$97)-CROQUIS!$C$107)/MAX(CROQUIS!$C$137,1))+1)/80,1)))),CHOOSE(IF(INT(($A365-1)/5)&gt;MAX((MAX(1,INT(((CROQUIS!$C$97)-CROQUIS!$C$107)/MAX((CROQUIS!$C$137*MAX(1,CEILING((INT(((CROQUIS!$C$97)-CROQUIS!$C$107)/MAX(CROQUIS!$C$137,1))+1)/80,1))),1))+1))-1,0),0,MOD($A365-1,5))+1,0,2,CROQUIS!$C$98-2,2,0)))*CROQUIS!$C$159)+IF(CROQUIS!$C$92="X",0,0)),-1000)</f>
        <v>-1000</v>
      </c>
      <c r="BQ365">
        <f>IF(AND(CROQUIS!$C$88=1,CROQUIS!$C$137&gt;0),((CROQUIS!$C$161+(IF(CROQUIS!$C$92="X",CHOOSE(IF(INT(($A365-1)/5)&gt;MAX((MAX(1,INT(((CROQUIS!$C$97)-CROQUIS!$C$107)/MAX((CROQUIS!$C$137*MAX(1,CEILING((INT(((CROQUIS!$C$97)-CROQUIS!$C$107)/MAX(CROQUIS!$C$137,1))+1)/80,1))),1))+1))-1,0),0,MOD($A365-1,5))+1,0,2,CROQUIS!$C$98-2,2,0),((CROQUIS!$C$107/2+(((CROQUIS!$C$97)-CROQUIS!$C$107)-(MAX(1,INT(((CROQUIS!$C$97)-CROQUIS!$C$107)/MAX((CROQUIS!$C$137*MAX(1,CEILING((INT(((CROQUIS!$C$97)-CROQUIS!$C$107)/MAX(CROQUIS!$C$137,1))+1)/80,1))),1))+1)-1)*(CROQUIS!$C$137*MAX(1,CEILING((INT(((CROQUIS!$C$97)-CROQUIS!$C$107)/MAX(CROQUIS!$C$137,1))+1)/80,1))))/2)+MIN(INT(($A365-1)/5),MAX((MAX(1,INT(((CROQUIS!$C$97)-CROQUIS!$C$107)/MAX((CROQUIS!$C$137*MAX(1,CEILING((INT(((CROQUIS!$C$97)-CROQUIS!$C$107)/MAX(CROQUIS!$C$137,1))+1)/80,1))),1))+1))-1,0))*(CROQUIS!$C$137*MAX(1,CEILING((INT(((CROQUIS!$C$97)-CROQUIS!$C$107)/MAX(CROQUIS!$C$137,1))+1)/80,1))))))*CROQUIS!$C$159)+IF(CROQUIS!$C$92="X",0,0)),-1000)</f>
        <v>-1000</v>
      </c>
      <c r="BR365">
        <f>IF(AND(CROQUIS!$C$88=1,CROQUIS!$C$91=0,CROQUIS!$C$133&gt;0,OR(CROQUIS!$C$103=1,CROQUIS!$C$145=1)),((CROQUIS!$C$160+(IF(CROQUIS!$C$92="X",CHOOSE(IF(INT(($A365-1)/5)&gt;MAX((MAX(1,INT(((CROQUIS!$C$98)-CROQUIS!$C$107)/MAX((CROQUIS!$C$133*MAX(1,CEILING((INT(((CROQUIS!$C$98)-CROQUIS!$C$107)/MAX(CROQUIS!$C$133,1))+1)/80,1))),1))+1))-1,0),0,MOD($A365-1,5))+1,0,IF(CROQUIS!$C$103=1,-12,2),CROQUIS!$C$107/2+CROQUIS!$C$143,IF(CROQUIS!$C$103=1,-12,2),0),((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BS3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+1,0,IF(CROQUIS!$C$103=1,-12,2),CROQUIS!$C$107/2+CROQUIS!$C$143,IF(CROQUIS!$C$103=1,-12,2),0)))*CROQUIS!$C$159)+IF(CROQUIS!$C$92="X",0.8,0)),-1000)</f>
        <v>-1000</v>
      </c>
      <c r="BT365">
        <f>IF(AND(CROQUIS!$C$88=1,CROQUIS!$C$91=0,CROQUIS!$C$133&gt;0,OR(CROQUIS!$C$104=1,CROQUIS!$C$145=1)),((CROQUIS!$C$160+(IF(CROQUIS!$C$92="X",CHOOSE(IF(INT(($A365-1)/5)&gt;MAX((MAX(1,INT(((CROQUIS!$C$98)-CROQUIS!$C$107)/MAX((CROQUIS!$C$133*MAX(1,CEILING((INT(((CROQUIS!$C$98)-CROQUIS!$C$107)/MAX(CROQUIS!$C$133,1))+1)/80,1))),1))+1))-1,0),0,MOD($A365-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BU3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CROQUIS!$C$97,CROQUIS!$C$97-CROQUIS!$C$107/2-CROQUIS!$C$143,IF(CROQUIS!$C$104=1,CROQUIS!$C$97+12,CROQUIS!$C$97-2),CROQUIS!$C$97-CROQUIS!$C$107/2-CROQUIS!$C$143,CROQUIS!$C$97)))*CROQUIS!$C$159)+IF(CROQUIS!$C$92="X",0.8,0)),-1000)</f>
        <v>-1000</v>
      </c>
      <c r="BV3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HOOSE(IF(INT(($A365-1)/5)&gt;MAX((MAX(1,INT(((CROQUIS!$C$97)-CROQUIS!$C$107)/MAX((CROQUIS!$C$141*MAX(1,CEILING((INT(((CROQUIS!$C$97)-CROQUIS!$C$107)/MAX(CROQUIS!$C$141,1))+1)/80,1))),1))+1))-1,0),0,MOD($A365-1,5))+1,0,IF(CROQUIS!$C$105=1,-12,2),CROQUIS!$C$107/2+CROQUIS!$C$144,IF(CROQUIS!$C$105=1,-12,2),0)))*CROQUIS!$C$159)+IF(CROQUIS!$C$92="X",0.8,0)),-1000)</f>
        <v>-1000</v>
      </c>
      <c r="BW365">
        <f>IF(AND(CROQUIS!$C$88=1,CROQUIS!$C$91=0,CROQUIS!$C$141&gt;0,OR(CROQUIS!$C$105=1,CROQUIS!$C$146=1)),((CROQUIS!$C$161+(IF(CROQUIS!$C$92="X",CHOOSE(IF(INT(($A365-1)/5)&gt;MAX((MAX(1,INT(((CROQUIS!$C$97)-CROQUIS!$C$107)/MAX((CROQUIS!$C$141*MAX(1,CEILING((INT(((CROQUIS!$C$97)-CROQUIS!$C$107)/MAX(CROQUIS!$C$141,1))+1)/80,1))),1))+1))-1,0),0,MOD($A365-1,5))+1,0,IF(CROQUIS!$C$105=1,-12,2),CROQUIS!$C$107/2+CROQUIS!$C$144,IF(CROQUIS!$C$105=1,-12,2),0),((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ROQUIS!$C$159)+IF(CROQUIS!$C$92="X",0,0.8)),-1000)</f>
        <v>-1000</v>
      </c>
      <c r="BX3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HOOSE(IF(INT(($A365-1)/5)&gt;MAX((MAX(1,INT(((CROQUIS!$C$97)-CROQUIS!$C$107)/MAX((CROQUIS!$C$141*MAX(1,CEILING((INT(((CROQUIS!$C$97)-CROQUIS!$C$107)/MAX(CROQUIS!$C$141,1))+1)/80,1))),1))+1))-1,0),0,MOD($A365-1,5))+1,CROQUIS!$C$98,CROQUIS!$C$98-CROQUIS!$C$107/2-CROQUIS!$C$144,IF(CROQUIS!$C$106=1,CROQUIS!$C$98+12,CROQUIS!$C$98-2),CROQUIS!$C$98-CROQUIS!$C$107/2-CROQUIS!$C$144,CROQUIS!$C$98)))*CROQUIS!$C$159)+IF(CROQUIS!$C$92="X",0.8,0)),-1000)</f>
        <v>-1000</v>
      </c>
      <c r="BY365">
        <f>IF(AND(CROQUIS!$C$88=1,CROQUIS!$C$91=0,CROQUIS!$C$141&gt;0,OR(CROQUIS!$C$106=1,CROQUIS!$C$146=1)),((CROQUIS!$C$161+(IF(CROQUIS!$C$92="X",CHOOSE(IF(INT(($A365-1)/5)&gt;MAX((MAX(1,INT(((CROQUIS!$C$97)-CROQUIS!$C$107)/MAX((CROQUIS!$C$141*MAX(1,CEILING((INT(((CROQUIS!$C$97)-CROQUIS!$C$107)/MAX(CROQUIS!$C$141,1))+1)/80,1))),1))+1))-1,0),0,MOD($A365-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ROQUIS!$C$159)+IF(CROQUIS!$C$92="X",0,0.8)),-1000)</f>
        <v>-1000</v>
      </c>
      <c r="BZ365">
        <f>IF(AND(CROQUIS!$C$88=1,CROQUIS!$C$91=1,CROQUIS!$C$133&gt;0),((CROQUIS!$C$160+(IF(CROQUIS!$C$92="X",CHOOSE(IF(INT(($A365-1)/5)&gt;MAX((MAX(1,INT(((CROQUIS!$C$98)-CROQUIS!$C$107)/MAX((CROQUIS!$C$133*MAX(1,CEILING((INT(((CROQUIS!$C$98)-CROQUIS!$C$107)/MAX(CROQUIS!$C$133,1))+1)/80,1))),1))+1))-1,0),0,MOD($A365-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CA365">
        <f>IF(AND(CROQUIS!$C$88=1,CROQUIS!$C$91=1,CROQUIS!$C$133&gt;0),((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6">
      <c r="A366" t="n">
        <v>359</v>
      </c>
      <c r="BN366">
        <f>IF(AND(CROQUIS!$C$88=1,CROQUIS!$C$129&gt;0),((CROQUIS!$C$160+(IF(CROQUIS!$C$92="X",CHOOSE(IF(INT(($A366-1)/5)&gt;MAX((MAX(1,INT(((CROQUIS!$C$98)-CROQUIS!$C$107)/MAX((CROQUIS!$C$129*MAX(1,CEILING((INT(((CROQUIS!$C$98)-CROQUIS!$C$107)/MAX(CROQUIS!$C$129,1))+1)/80,1))),1))+1))-1,0),0,MOD($A366-1,5))+1,0,2,CROQUIS!$C$97-2,2,0),((CROQUIS!$C$107/2+(((CROQUIS!$C$98)-CROQUIS!$C$107)-(MAX(1,INT(((CROQUIS!$C$98)-CROQUIS!$C$107)/MAX((CROQUIS!$C$129*MAX(1,CEILING((INT(((CROQUIS!$C$98)-CROQUIS!$C$107)/MAX(CROQUIS!$C$129,1))+1)/80,1))),1))+1)-1)*(CROQUIS!$C$129*MAX(1,CEILING((INT(((CROQUIS!$C$98)-CROQUIS!$C$107)/MAX(CROQUIS!$C$129,1))+1)/80,1))))/2)+MIN(INT(($A366-1)/5),MAX((MAX(1,INT(((CROQUIS!$C$98)-CROQUIS!$C$107)/MAX((CROQUIS!$C$129*MAX(1,CEILING((INT(((CROQUIS!$C$98)-CROQUIS!$C$107)/MAX(CROQUIS!$C$129,1))+1)/80,1))),1))+1))-1,0))*(CROQUIS!$C$129*MAX(1,CEILING((INT(((CROQUIS!$C$98)-CROQUIS!$C$107)/MAX(CROQUIS!$C$129,1))+1)/80,1))))))*CROQUIS!$C$159)+IF(CROQUIS!$C$92="X",0,0)),-1000)</f>
        <v>-1000</v>
      </c>
      <c r="BO366">
        <f>IF(AND(CROQUIS!$C$88=1,CROQUIS!$C$129&gt;0),((CROQUIS!$C$161+(IF(CROQUIS!$C$92="X",((CROQUIS!$C$107/2+(((CROQUIS!$C$98)-CROQUIS!$C$107)-(MAX(1,INT(((CROQUIS!$C$98)-CROQUIS!$C$107)/MAX((CROQUIS!$C$129*MAX(1,CEILING((INT(((CROQUIS!$C$98)-CROQUIS!$C$107)/MAX(CROQUIS!$C$129,1))+1)/80,1))),1))+1)-1)*(CROQUIS!$C$129*MAX(1,CEILING((INT(((CROQUIS!$C$98)-CROQUIS!$C$107)/MAX(CROQUIS!$C$129,1))+1)/80,1))))/2)+MIN(INT(($A366-1)/5),MAX((MAX(1,INT(((CROQUIS!$C$98)-CROQUIS!$C$107)/MAX((CROQUIS!$C$129*MAX(1,CEILING((INT(((CROQUIS!$C$98)-CROQUIS!$C$107)/MAX(CROQUIS!$C$129,1))+1)/80,1))),1))+1))-1,0))*(CROQUIS!$C$129*MAX(1,CEILING((INT(((CROQUIS!$C$98)-CROQUIS!$C$107)/MAX(CROQUIS!$C$129,1))+1)/80,1)))),CHOOSE(IF(INT(($A366-1)/5)&gt;MAX((MAX(1,INT(((CROQUIS!$C$98)-CROQUIS!$C$107)/MAX((CROQUIS!$C$129*MAX(1,CEILING((INT(((CROQUIS!$C$98)-CROQUIS!$C$107)/MAX(CROQUIS!$C$129,1))+1)/80,1))),1))+1))-1,0),0,MOD($A366-1,5))+1,0,2,CROQUIS!$C$97-2,2,0)))*CROQUIS!$C$159)+IF(CROQUIS!$C$92="X",0,0)),-1000)</f>
        <v>-1000</v>
      </c>
      <c r="BP366">
        <f>IF(AND(CROQUIS!$C$88=1,CROQUIS!$C$137&gt;0),((CROQUIS!$C$160+(IF(CROQUIS!$C$92="X",((CROQUIS!$C$107/2+(((CROQUIS!$C$97)-CROQUIS!$C$107)-(MAX(1,INT(((CROQUIS!$C$97)-CROQUIS!$C$107)/MAX((CROQUIS!$C$137*MAX(1,CEILING((INT(((CROQUIS!$C$97)-CROQUIS!$C$107)/MAX(CROQUIS!$C$137,1))+1)/80,1))),1))+1)-1)*(CROQUIS!$C$137*MAX(1,CEILING((INT(((CROQUIS!$C$97)-CROQUIS!$C$107)/MAX(CROQUIS!$C$137,1))+1)/80,1))))/2)+MIN(INT(($A366-1)/5),MAX((MAX(1,INT(((CROQUIS!$C$97)-CROQUIS!$C$107)/MAX((CROQUIS!$C$137*MAX(1,CEILING((INT(((CROQUIS!$C$97)-CROQUIS!$C$107)/MAX(CROQUIS!$C$137,1))+1)/80,1))),1))+1))-1,0))*(CROQUIS!$C$137*MAX(1,CEILING((INT(((CROQUIS!$C$97)-CROQUIS!$C$107)/MAX(CROQUIS!$C$137,1))+1)/80,1)))),CHOOSE(IF(INT(($A366-1)/5)&gt;MAX((MAX(1,INT(((CROQUIS!$C$97)-CROQUIS!$C$107)/MAX((CROQUIS!$C$137*MAX(1,CEILING((INT(((CROQUIS!$C$97)-CROQUIS!$C$107)/MAX(CROQUIS!$C$137,1))+1)/80,1))),1))+1))-1,0),0,MOD($A366-1,5))+1,0,2,CROQUIS!$C$98-2,2,0)))*CROQUIS!$C$159)+IF(CROQUIS!$C$92="X",0,0)),-1000)</f>
        <v>-1000</v>
      </c>
      <c r="BQ366">
        <f>IF(AND(CROQUIS!$C$88=1,CROQUIS!$C$137&gt;0),((CROQUIS!$C$161+(IF(CROQUIS!$C$92="X",CHOOSE(IF(INT(($A366-1)/5)&gt;MAX((MAX(1,INT(((CROQUIS!$C$97)-CROQUIS!$C$107)/MAX((CROQUIS!$C$137*MAX(1,CEILING((INT(((CROQUIS!$C$97)-CROQUIS!$C$107)/MAX(CROQUIS!$C$137,1))+1)/80,1))),1))+1))-1,0),0,MOD($A366-1,5))+1,0,2,CROQUIS!$C$98-2,2,0),((CROQUIS!$C$107/2+(((CROQUIS!$C$97)-CROQUIS!$C$107)-(MAX(1,INT(((CROQUIS!$C$97)-CROQUIS!$C$107)/MAX((CROQUIS!$C$137*MAX(1,CEILING((INT(((CROQUIS!$C$97)-CROQUIS!$C$107)/MAX(CROQUIS!$C$137,1))+1)/80,1))),1))+1)-1)*(CROQUIS!$C$137*MAX(1,CEILING((INT(((CROQUIS!$C$97)-CROQUIS!$C$107)/MAX(CROQUIS!$C$137,1))+1)/80,1))))/2)+MIN(INT(($A366-1)/5),MAX((MAX(1,INT(((CROQUIS!$C$97)-CROQUIS!$C$107)/MAX((CROQUIS!$C$137*MAX(1,CEILING((INT(((CROQUIS!$C$97)-CROQUIS!$C$107)/MAX(CROQUIS!$C$137,1))+1)/80,1))),1))+1))-1,0))*(CROQUIS!$C$137*MAX(1,CEILING((INT(((CROQUIS!$C$97)-CROQUIS!$C$107)/MAX(CROQUIS!$C$137,1))+1)/80,1))))))*CROQUIS!$C$159)+IF(CROQUIS!$C$92="X",0,0)),-1000)</f>
        <v>-1000</v>
      </c>
      <c r="BR366">
        <f>IF(AND(CROQUIS!$C$88=1,CROQUIS!$C$91=0,CROQUIS!$C$133&gt;0,OR(CROQUIS!$C$103=1,CROQUIS!$C$145=1)),((CROQUIS!$C$160+(IF(CROQUIS!$C$92="X",CHOOSE(IF(INT(($A366-1)/5)&gt;MAX((MAX(1,INT(((CROQUIS!$C$98)-CROQUIS!$C$107)/MAX((CROQUIS!$C$133*MAX(1,CEILING((INT(((CROQUIS!$C$98)-CROQUIS!$C$107)/MAX(CROQUIS!$C$133,1))+1)/80,1))),1))+1))-1,0),0,MOD($A366-1,5))+1,0,IF(CROQUIS!$C$103=1,-12,2),CROQUIS!$C$107/2+CROQUIS!$C$143,IF(CROQUIS!$C$103=1,-12,2),0),((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BS3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+1,0,IF(CROQUIS!$C$103=1,-12,2),CROQUIS!$C$107/2+CROQUIS!$C$143,IF(CROQUIS!$C$103=1,-12,2),0)))*CROQUIS!$C$159)+IF(CROQUIS!$C$92="X",0.8,0)),-1000)</f>
        <v>-1000</v>
      </c>
      <c r="BT366">
        <f>IF(AND(CROQUIS!$C$88=1,CROQUIS!$C$91=0,CROQUIS!$C$133&gt;0,OR(CROQUIS!$C$104=1,CROQUIS!$C$145=1)),((CROQUIS!$C$160+(IF(CROQUIS!$C$92="X",CHOOSE(IF(INT(($A366-1)/5)&gt;MAX((MAX(1,INT(((CROQUIS!$C$98)-CROQUIS!$C$107)/MAX((CROQUIS!$C$133*MAX(1,CEILING((INT(((CROQUIS!$C$98)-CROQUIS!$C$107)/MAX(CROQUIS!$C$133,1))+1)/80,1))),1))+1))-1,0),0,MOD($A366-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BU3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CROQUIS!$C$97,CROQUIS!$C$97-CROQUIS!$C$107/2-CROQUIS!$C$143,IF(CROQUIS!$C$104=1,CROQUIS!$C$97+12,CROQUIS!$C$97-2),CROQUIS!$C$97-CROQUIS!$C$107/2-CROQUIS!$C$143,CROQUIS!$C$97)))*CROQUIS!$C$159)+IF(CROQUIS!$C$92="X",0.8,0)),-1000)</f>
        <v>-1000</v>
      </c>
      <c r="BV3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HOOSE(IF(INT(($A366-1)/5)&gt;MAX((MAX(1,INT(((CROQUIS!$C$97)-CROQUIS!$C$107)/MAX((CROQUIS!$C$141*MAX(1,CEILING((INT(((CROQUIS!$C$97)-CROQUIS!$C$107)/MAX(CROQUIS!$C$141,1))+1)/80,1))),1))+1))-1,0),0,MOD($A366-1,5))+1,0,IF(CROQUIS!$C$105=1,-12,2),CROQUIS!$C$107/2+CROQUIS!$C$144,IF(CROQUIS!$C$105=1,-12,2),0)))*CROQUIS!$C$159)+IF(CROQUIS!$C$92="X",0.8,0)),-1000)</f>
        <v>-1000</v>
      </c>
      <c r="BW366">
        <f>IF(AND(CROQUIS!$C$88=1,CROQUIS!$C$91=0,CROQUIS!$C$141&gt;0,OR(CROQUIS!$C$105=1,CROQUIS!$C$146=1)),((CROQUIS!$C$161+(IF(CROQUIS!$C$92="X",CHOOSE(IF(INT(($A366-1)/5)&gt;MAX((MAX(1,INT(((CROQUIS!$C$97)-CROQUIS!$C$107)/MAX((CROQUIS!$C$141*MAX(1,CEILING((INT(((CROQUIS!$C$97)-CROQUIS!$C$107)/MAX(CROQUIS!$C$141,1))+1)/80,1))),1))+1))-1,0),0,MOD($A366-1,5))+1,0,IF(CROQUIS!$C$105=1,-12,2),CROQUIS!$C$107/2+CROQUIS!$C$144,IF(CROQUIS!$C$105=1,-12,2),0),((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ROQUIS!$C$159)+IF(CROQUIS!$C$92="X",0,0.8)),-1000)</f>
        <v>-1000</v>
      </c>
      <c r="BX3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HOOSE(IF(INT(($A366-1)/5)&gt;MAX((MAX(1,INT(((CROQUIS!$C$97)-CROQUIS!$C$107)/MAX((CROQUIS!$C$141*MAX(1,CEILING((INT(((CROQUIS!$C$97)-CROQUIS!$C$107)/MAX(CROQUIS!$C$141,1))+1)/80,1))),1))+1))-1,0),0,MOD($A366-1,5))+1,CROQUIS!$C$98,CROQUIS!$C$98-CROQUIS!$C$107/2-CROQUIS!$C$144,IF(CROQUIS!$C$106=1,CROQUIS!$C$98+12,CROQUIS!$C$98-2),CROQUIS!$C$98-CROQUIS!$C$107/2-CROQUIS!$C$144,CROQUIS!$C$98)))*CROQUIS!$C$159)+IF(CROQUIS!$C$92="X",0.8,0)),-1000)</f>
        <v>-1000</v>
      </c>
      <c r="BY366">
        <f>IF(AND(CROQUIS!$C$88=1,CROQUIS!$C$91=0,CROQUIS!$C$141&gt;0,OR(CROQUIS!$C$106=1,CROQUIS!$C$146=1)),((CROQUIS!$C$161+(IF(CROQUIS!$C$92="X",CHOOSE(IF(INT(($A366-1)/5)&gt;MAX((MAX(1,INT(((CROQUIS!$C$97)-CROQUIS!$C$107)/MAX((CROQUIS!$C$141*MAX(1,CEILING((INT(((CROQUIS!$C$97)-CROQUIS!$C$107)/MAX(CROQUIS!$C$141,1))+1)/80,1))),1))+1))-1,0),0,MOD($A366-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ROQUIS!$C$159)+IF(CROQUIS!$C$92="X",0,0.8)),-1000)</f>
        <v>-1000</v>
      </c>
      <c r="BZ366">
        <f>IF(AND(CROQUIS!$C$88=1,CROQUIS!$C$91=1,CROQUIS!$C$133&gt;0),((CROQUIS!$C$160+(IF(CROQUIS!$C$92="X",CHOOSE(IF(INT(($A366-1)/5)&gt;MAX((MAX(1,INT(((CROQUIS!$C$98)-CROQUIS!$C$107)/MAX((CROQUIS!$C$133*MAX(1,CEILING((INT(((CROQUIS!$C$98)-CROQUIS!$C$107)/MAX(CROQUIS!$C$133,1))+1)/80,1))),1))+1))-1,0),0,MOD($A366-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CA366">
        <f>IF(AND(CROQUIS!$C$88=1,CROQUIS!$C$91=1,CROQUIS!$C$133&gt;0),((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7">
      <c r="A367" t="n">
        <v>360</v>
      </c>
      <c r="BN367">
        <f>IF(AND(CROQUIS!$C$88=1,CROQUIS!$C$129&gt;0),((CROQUIS!$C$160+(IF(CROQUIS!$C$92="X",CHOOSE(IF(INT(($A367-1)/5)&gt;MAX((MAX(1,INT(((CROQUIS!$C$98)-CROQUIS!$C$107)/MAX((CROQUIS!$C$129*MAX(1,CEILING((INT(((CROQUIS!$C$98)-CROQUIS!$C$107)/MAX(CROQUIS!$C$129,1))+1)/80,1))),1))+1))-1,0),0,MOD($A367-1,5))+1,0,2,CROQUIS!$C$97-2,2,0),((CROQUIS!$C$107/2+(((CROQUIS!$C$98)-CROQUIS!$C$107)-(MAX(1,INT(((CROQUIS!$C$98)-CROQUIS!$C$107)/MAX((CROQUIS!$C$129*MAX(1,CEILING((INT(((CROQUIS!$C$98)-CROQUIS!$C$107)/MAX(CROQUIS!$C$129,1))+1)/80,1))),1))+1)-1)*(CROQUIS!$C$129*MAX(1,CEILING((INT(((CROQUIS!$C$98)-CROQUIS!$C$107)/MAX(CROQUIS!$C$129,1))+1)/80,1))))/2)+MIN(INT(($A367-1)/5),MAX((MAX(1,INT(((CROQUIS!$C$98)-CROQUIS!$C$107)/MAX((CROQUIS!$C$129*MAX(1,CEILING((INT(((CROQUIS!$C$98)-CROQUIS!$C$107)/MAX(CROQUIS!$C$129,1))+1)/80,1))),1))+1))-1,0))*(CROQUIS!$C$129*MAX(1,CEILING((INT(((CROQUIS!$C$98)-CROQUIS!$C$107)/MAX(CROQUIS!$C$129,1))+1)/80,1))))))*CROQUIS!$C$159)+IF(CROQUIS!$C$92="X",0,0)),-1000)</f>
        <v>-1000</v>
      </c>
      <c r="BO367">
        <f>IF(AND(CROQUIS!$C$88=1,CROQUIS!$C$129&gt;0),((CROQUIS!$C$161+(IF(CROQUIS!$C$92="X",((CROQUIS!$C$107/2+(((CROQUIS!$C$98)-CROQUIS!$C$107)-(MAX(1,INT(((CROQUIS!$C$98)-CROQUIS!$C$107)/MAX((CROQUIS!$C$129*MAX(1,CEILING((INT(((CROQUIS!$C$98)-CROQUIS!$C$107)/MAX(CROQUIS!$C$129,1))+1)/80,1))),1))+1)-1)*(CROQUIS!$C$129*MAX(1,CEILING((INT(((CROQUIS!$C$98)-CROQUIS!$C$107)/MAX(CROQUIS!$C$129,1))+1)/80,1))))/2)+MIN(INT(($A367-1)/5),MAX((MAX(1,INT(((CROQUIS!$C$98)-CROQUIS!$C$107)/MAX((CROQUIS!$C$129*MAX(1,CEILING((INT(((CROQUIS!$C$98)-CROQUIS!$C$107)/MAX(CROQUIS!$C$129,1))+1)/80,1))),1))+1))-1,0))*(CROQUIS!$C$129*MAX(1,CEILING((INT(((CROQUIS!$C$98)-CROQUIS!$C$107)/MAX(CROQUIS!$C$129,1))+1)/80,1)))),CHOOSE(IF(INT(($A367-1)/5)&gt;MAX((MAX(1,INT(((CROQUIS!$C$98)-CROQUIS!$C$107)/MAX((CROQUIS!$C$129*MAX(1,CEILING((INT(((CROQUIS!$C$98)-CROQUIS!$C$107)/MAX(CROQUIS!$C$129,1))+1)/80,1))),1))+1))-1,0),0,MOD($A367-1,5))+1,0,2,CROQUIS!$C$97-2,2,0)))*CROQUIS!$C$159)+IF(CROQUIS!$C$92="X",0,0)),-1000)</f>
        <v>-1000</v>
      </c>
      <c r="BP367">
        <f>IF(AND(CROQUIS!$C$88=1,CROQUIS!$C$137&gt;0),((CROQUIS!$C$160+(IF(CROQUIS!$C$92="X",((CROQUIS!$C$107/2+(((CROQUIS!$C$97)-CROQUIS!$C$107)-(MAX(1,INT(((CROQUIS!$C$97)-CROQUIS!$C$107)/MAX((CROQUIS!$C$137*MAX(1,CEILING((INT(((CROQUIS!$C$97)-CROQUIS!$C$107)/MAX(CROQUIS!$C$137,1))+1)/80,1))),1))+1)-1)*(CROQUIS!$C$137*MAX(1,CEILING((INT(((CROQUIS!$C$97)-CROQUIS!$C$107)/MAX(CROQUIS!$C$137,1))+1)/80,1))))/2)+MIN(INT(($A367-1)/5),MAX((MAX(1,INT(((CROQUIS!$C$97)-CROQUIS!$C$107)/MAX((CROQUIS!$C$137*MAX(1,CEILING((INT(((CROQUIS!$C$97)-CROQUIS!$C$107)/MAX(CROQUIS!$C$137,1))+1)/80,1))),1))+1))-1,0))*(CROQUIS!$C$137*MAX(1,CEILING((INT(((CROQUIS!$C$97)-CROQUIS!$C$107)/MAX(CROQUIS!$C$137,1))+1)/80,1)))),CHOOSE(IF(INT(($A367-1)/5)&gt;MAX((MAX(1,INT(((CROQUIS!$C$97)-CROQUIS!$C$107)/MAX((CROQUIS!$C$137*MAX(1,CEILING((INT(((CROQUIS!$C$97)-CROQUIS!$C$107)/MAX(CROQUIS!$C$137,1))+1)/80,1))),1))+1))-1,0),0,MOD($A367-1,5))+1,0,2,CROQUIS!$C$98-2,2,0)))*CROQUIS!$C$159)+IF(CROQUIS!$C$92="X",0,0)),-1000)</f>
        <v>-1000</v>
      </c>
      <c r="BQ367">
        <f>IF(AND(CROQUIS!$C$88=1,CROQUIS!$C$137&gt;0),((CROQUIS!$C$161+(IF(CROQUIS!$C$92="X",CHOOSE(IF(INT(($A367-1)/5)&gt;MAX((MAX(1,INT(((CROQUIS!$C$97)-CROQUIS!$C$107)/MAX((CROQUIS!$C$137*MAX(1,CEILING((INT(((CROQUIS!$C$97)-CROQUIS!$C$107)/MAX(CROQUIS!$C$137,1))+1)/80,1))),1))+1))-1,0),0,MOD($A367-1,5))+1,0,2,CROQUIS!$C$98-2,2,0),((CROQUIS!$C$107/2+(((CROQUIS!$C$97)-CROQUIS!$C$107)-(MAX(1,INT(((CROQUIS!$C$97)-CROQUIS!$C$107)/MAX((CROQUIS!$C$137*MAX(1,CEILING((INT(((CROQUIS!$C$97)-CROQUIS!$C$107)/MAX(CROQUIS!$C$137,1))+1)/80,1))),1))+1)-1)*(CROQUIS!$C$137*MAX(1,CEILING((INT(((CROQUIS!$C$97)-CROQUIS!$C$107)/MAX(CROQUIS!$C$137,1))+1)/80,1))))/2)+MIN(INT(($A367-1)/5),MAX((MAX(1,INT(((CROQUIS!$C$97)-CROQUIS!$C$107)/MAX((CROQUIS!$C$137*MAX(1,CEILING((INT(((CROQUIS!$C$97)-CROQUIS!$C$107)/MAX(CROQUIS!$C$137,1))+1)/80,1))),1))+1))-1,0))*(CROQUIS!$C$137*MAX(1,CEILING((INT(((CROQUIS!$C$97)-CROQUIS!$C$107)/MAX(CROQUIS!$C$137,1))+1)/80,1))))))*CROQUIS!$C$159)+IF(CROQUIS!$C$92="X",0,0)),-1000)</f>
        <v>-1000</v>
      </c>
      <c r="BR367">
        <f>IF(AND(CROQUIS!$C$88=1,CROQUIS!$C$91=0,CROQUIS!$C$133&gt;0,OR(CROQUIS!$C$103=1,CROQUIS!$C$145=1)),((CROQUIS!$C$160+(IF(CROQUIS!$C$92="X",CHOOSE(IF(INT(($A367-1)/5)&gt;MAX((MAX(1,INT(((CROQUIS!$C$98)-CROQUIS!$C$107)/MAX((CROQUIS!$C$133*MAX(1,CEILING((INT(((CROQUIS!$C$98)-CROQUIS!$C$107)/MAX(CROQUIS!$C$133,1))+1)/80,1))),1))+1))-1,0),0,MOD($A367-1,5))+1,0,IF(CROQUIS!$C$103=1,-12,2),CROQUIS!$C$107/2+CROQUIS!$C$143,IF(CROQUIS!$C$103=1,-12,2),0),((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BS3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+1,0,IF(CROQUIS!$C$103=1,-12,2),CROQUIS!$C$107/2+CROQUIS!$C$143,IF(CROQUIS!$C$103=1,-12,2),0)))*CROQUIS!$C$159)+IF(CROQUIS!$C$92="X",0.8,0)),-1000)</f>
        <v>-1000</v>
      </c>
      <c r="BT367">
        <f>IF(AND(CROQUIS!$C$88=1,CROQUIS!$C$91=0,CROQUIS!$C$133&gt;0,OR(CROQUIS!$C$104=1,CROQUIS!$C$145=1)),((CROQUIS!$C$160+(IF(CROQUIS!$C$92="X",CHOOSE(IF(INT(($A367-1)/5)&gt;MAX((MAX(1,INT(((CROQUIS!$C$98)-CROQUIS!$C$107)/MAX((CROQUIS!$C$133*MAX(1,CEILING((INT(((CROQUIS!$C$98)-CROQUIS!$C$107)/MAX(CROQUIS!$C$133,1))+1)/80,1))),1))+1))-1,0),0,MOD($A367-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BU3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CROQUIS!$C$97,CROQUIS!$C$97-CROQUIS!$C$107/2-CROQUIS!$C$143,IF(CROQUIS!$C$104=1,CROQUIS!$C$97+12,CROQUIS!$C$97-2),CROQUIS!$C$97-CROQUIS!$C$107/2-CROQUIS!$C$143,CROQUIS!$C$97)))*CROQUIS!$C$159)+IF(CROQUIS!$C$92="X",0.8,0)),-1000)</f>
        <v>-1000</v>
      </c>
      <c r="BV3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HOOSE(IF(INT(($A367-1)/5)&gt;MAX((MAX(1,INT(((CROQUIS!$C$97)-CROQUIS!$C$107)/MAX((CROQUIS!$C$141*MAX(1,CEILING((INT(((CROQUIS!$C$97)-CROQUIS!$C$107)/MAX(CROQUIS!$C$141,1))+1)/80,1))),1))+1))-1,0),0,MOD($A367-1,5))+1,0,IF(CROQUIS!$C$105=1,-12,2),CROQUIS!$C$107/2+CROQUIS!$C$144,IF(CROQUIS!$C$105=1,-12,2),0)))*CROQUIS!$C$159)+IF(CROQUIS!$C$92="X",0.8,0)),-1000)</f>
        <v>-1000</v>
      </c>
      <c r="BW367">
        <f>IF(AND(CROQUIS!$C$88=1,CROQUIS!$C$91=0,CROQUIS!$C$141&gt;0,OR(CROQUIS!$C$105=1,CROQUIS!$C$146=1)),((CROQUIS!$C$161+(IF(CROQUIS!$C$92="X",CHOOSE(IF(INT(($A367-1)/5)&gt;MAX((MAX(1,INT(((CROQUIS!$C$97)-CROQUIS!$C$107)/MAX((CROQUIS!$C$141*MAX(1,CEILING((INT(((CROQUIS!$C$97)-CROQUIS!$C$107)/MAX(CROQUIS!$C$141,1))+1)/80,1))),1))+1))-1,0),0,MOD($A367-1,5))+1,0,IF(CROQUIS!$C$105=1,-12,2),CROQUIS!$C$107/2+CROQUIS!$C$144,IF(CROQUIS!$C$105=1,-12,2),0),((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ROQUIS!$C$159)+IF(CROQUIS!$C$92="X",0,0.8)),-1000)</f>
        <v>-1000</v>
      </c>
      <c r="BX3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HOOSE(IF(INT(($A367-1)/5)&gt;MAX((MAX(1,INT(((CROQUIS!$C$97)-CROQUIS!$C$107)/MAX((CROQUIS!$C$141*MAX(1,CEILING((INT(((CROQUIS!$C$97)-CROQUIS!$C$107)/MAX(CROQUIS!$C$141,1))+1)/80,1))),1))+1))-1,0),0,MOD($A367-1,5))+1,CROQUIS!$C$98,CROQUIS!$C$98-CROQUIS!$C$107/2-CROQUIS!$C$144,IF(CROQUIS!$C$106=1,CROQUIS!$C$98+12,CROQUIS!$C$98-2),CROQUIS!$C$98-CROQUIS!$C$107/2-CROQUIS!$C$144,CROQUIS!$C$98)))*CROQUIS!$C$159)+IF(CROQUIS!$C$92="X",0.8,0)),-1000)</f>
        <v>-1000</v>
      </c>
      <c r="BY367">
        <f>IF(AND(CROQUIS!$C$88=1,CROQUIS!$C$91=0,CROQUIS!$C$141&gt;0,OR(CROQUIS!$C$106=1,CROQUIS!$C$146=1)),((CROQUIS!$C$161+(IF(CROQUIS!$C$92="X",CHOOSE(IF(INT(($A367-1)/5)&gt;MAX((MAX(1,INT(((CROQUIS!$C$97)-CROQUIS!$C$107)/MAX((CROQUIS!$C$141*MAX(1,CEILING((INT(((CROQUIS!$C$97)-CROQUIS!$C$107)/MAX(CROQUIS!$C$141,1))+1)/80,1))),1))+1))-1,0),0,MOD($A367-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ROQUIS!$C$159)+IF(CROQUIS!$C$92="X",0,0.8)),-1000)</f>
        <v>-1000</v>
      </c>
      <c r="BZ367">
        <f>IF(AND(CROQUIS!$C$88=1,CROQUIS!$C$91=1,CROQUIS!$C$133&gt;0),((CROQUIS!$C$160+(IF(CROQUIS!$C$92="X",CHOOSE(IF(INT(($A367-1)/5)&gt;MAX((MAX(1,INT(((CROQUIS!$C$98)-CROQUIS!$C$107)/MAX((CROQUIS!$C$133*MAX(1,CEILING((INT(((CROQUIS!$C$98)-CROQUIS!$C$107)/MAX(CROQUIS!$C$133,1))+1)/80,1))),1))+1))-1,0),0,MOD($A367-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CA367">
        <f>IF(AND(CROQUIS!$C$88=1,CROQUIS!$C$91=1,CROQUIS!$C$133&gt;0),((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8">
      <c r="A368" t="n">
        <v>361</v>
      </c>
      <c r="BN368">
        <f>IF(AND(CROQUIS!$C$88=1,CROQUIS!$C$129&gt;0),((CROQUIS!$C$160+(IF(CROQUIS!$C$92="X",CHOOSE(IF(INT(($A368-1)/5)&gt;MAX((MAX(1,INT(((CROQUIS!$C$98)-CROQUIS!$C$107)/MAX((CROQUIS!$C$129*MAX(1,CEILING((INT(((CROQUIS!$C$98)-CROQUIS!$C$107)/MAX(CROQUIS!$C$129,1))+1)/80,1))),1))+1))-1,0),0,MOD($A368-1,5))+1,0,2,CROQUIS!$C$97-2,2,0),((CROQUIS!$C$107/2+(((CROQUIS!$C$98)-CROQUIS!$C$107)-(MAX(1,INT(((CROQUIS!$C$98)-CROQUIS!$C$107)/MAX((CROQUIS!$C$129*MAX(1,CEILING((INT(((CROQUIS!$C$98)-CROQUIS!$C$107)/MAX(CROQUIS!$C$129,1))+1)/80,1))),1))+1)-1)*(CROQUIS!$C$129*MAX(1,CEILING((INT(((CROQUIS!$C$98)-CROQUIS!$C$107)/MAX(CROQUIS!$C$129,1))+1)/80,1))))/2)+MIN(INT(($A368-1)/5),MAX((MAX(1,INT(((CROQUIS!$C$98)-CROQUIS!$C$107)/MAX((CROQUIS!$C$129*MAX(1,CEILING((INT(((CROQUIS!$C$98)-CROQUIS!$C$107)/MAX(CROQUIS!$C$129,1))+1)/80,1))),1))+1))-1,0))*(CROQUIS!$C$129*MAX(1,CEILING((INT(((CROQUIS!$C$98)-CROQUIS!$C$107)/MAX(CROQUIS!$C$129,1))+1)/80,1))))))*CROQUIS!$C$159)+IF(CROQUIS!$C$92="X",0,0)),-1000)</f>
        <v>-1000</v>
      </c>
      <c r="BO368">
        <f>IF(AND(CROQUIS!$C$88=1,CROQUIS!$C$129&gt;0),((CROQUIS!$C$161+(IF(CROQUIS!$C$92="X",((CROQUIS!$C$107/2+(((CROQUIS!$C$98)-CROQUIS!$C$107)-(MAX(1,INT(((CROQUIS!$C$98)-CROQUIS!$C$107)/MAX((CROQUIS!$C$129*MAX(1,CEILING((INT(((CROQUIS!$C$98)-CROQUIS!$C$107)/MAX(CROQUIS!$C$129,1))+1)/80,1))),1))+1)-1)*(CROQUIS!$C$129*MAX(1,CEILING((INT(((CROQUIS!$C$98)-CROQUIS!$C$107)/MAX(CROQUIS!$C$129,1))+1)/80,1))))/2)+MIN(INT(($A368-1)/5),MAX((MAX(1,INT(((CROQUIS!$C$98)-CROQUIS!$C$107)/MAX((CROQUIS!$C$129*MAX(1,CEILING((INT(((CROQUIS!$C$98)-CROQUIS!$C$107)/MAX(CROQUIS!$C$129,1))+1)/80,1))),1))+1))-1,0))*(CROQUIS!$C$129*MAX(1,CEILING((INT(((CROQUIS!$C$98)-CROQUIS!$C$107)/MAX(CROQUIS!$C$129,1))+1)/80,1)))),CHOOSE(IF(INT(($A368-1)/5)&gt;MAX((MAX(1,INT(((CROQUIS!$C$98)-CROQUIS!$C$107)/MAX((CROQUIS!$C$129*MAX(1,CEILING((INT(((CROQUIS!$C$98)-CROQUIS!$C$107)/MAX(CROQUIS!$C$129,1))+1)/80,1))),1))+1))-1,0),0,MOD($A368-1,5))+1,0,2,CROQUIS!$C$97-2,2,0)))*CROQUIS!$C$159)+IF(CROQUIS!$C$92="X",0,0)),-1000)</f>
        <v>-1000</v>
      </c>
      <c r="BP368">
        <f>IF(AND(CROQUIS!$C$88=1,CROQUIS!$C$137&gt;0),((CROQUIS!$C$160+(IF(CROQUIS!$C$92="X",((CROQUIS!$C$107/2+(((CROQUIS!$C$97)-CROQUIS!$C$107)-(MAX(1,INT(((CROQUIS!$C$97)-CROQUIS!$C$107)/MAX((CROQUIS!$C$137*MAX(1,CEILING((INT(((CROQUIS!$C$97)-CROQUIS!$C$107)/MAX(CROQUIS!$C$137,1))+1)/80,1))),1))+1)-1)*(CROQUIS!$C$137*MAX(1,CEILING((INT(((CROQUIS!$C$97)-CROQUIS!$C$107)/MAX(CROQUIS!$C$137,1))+1)/80,1))))/2)+MIN(INT(($A368-1)/5),MAX((MAX(1,INT(((CROQUIS!$C$97)-CROQUIS!$C$107)/MAX((CROQUIS!$C$137*MAX(1,CEILING((INT(((CROQUIS!$C$97)-CROQUIS!$C$107)/MAX(CROQUIS!$C$137,1))+1)/80,1))),1))+1))-1,0))*(CROQUIS!$C$137*MAX(1,CEILING((INT(((CROQUIS!$C$97)-CROQUIS!$C$107)/MAX(CROQUIS!$C$137,1))+1)/80,1)))),CHOOSE(IF(INT(($A368-1)/5)&gt;MAX((MAX(1,INT(((CROQUIS!$C$97)-CROQUIS!$C$107)/MAX((CROQUIS!$C$137*MAX(1,CEILING((INT(((CROQUIS!$C$97)-CROQUIS!$C$107)/MAX(CROQUIS!$C$137,1))+1)/80,1))),1))+1))-1,0),0,MOD($A368-1,5))+1,0,2,CROQUIS!$C$98-2,2,0)))*CROQUIS!$C$159)+IF(CROQUIS!$C$92="X",0,0)),-1000)</f>
        <v>-1000</v>
      </c>
      <c r="BQ368">
        <f>IF(AND(CROQUIS!$C$88=1,CROQUIS!$C$137&gt;0),((CROQUIS!$C$161+(IF(CROQUIS!$C$92="X",CHOOSE(IF(INT(($A368-1)/5)&gt;MAX((MAX(1,INT(((CROQUIS!$C$97)-CROQUIS!$C$107)/MAX((CROQUIS!$C$137*MAX(1,CEILING((INT(((CROQUIS!$C$97)-CROQUIS!$C$107)/MAX(CROQUIS!$C$137,1))+1)/80,1))),1))+1))-1,0),0,MOD($A368-1,5))+1,0,2,CROQUIS!$C$98-2,2,0),((CROQUIS!$C$107/2+(((CROQUIS!$C$97)-CROQUIS!$C$107)-(MAX(1,INT(((CROQUIS!$C$97)-CROQUIS!$C$107)/MAX((CROQUIS!$C$137*MAX(1,CEILING((INT(((CROQUIS!$C$97)-CROQUIS!$C$107)/MAX(CROQUIS!$C$137,1))+1)/80,1))),1))+1)-1)*(CROQUIS!$C$137*MAX(1,CEILING((INT(((CROQUIS!$C$97)-CROQUIS!$C$107)/MAX(CROQUIS!$C$137,1))+1)/80,1))))/2)+MIN(INT(($A368-1)/5),MAX((MAX(1,INT(((CROQUIS!$C$97)-CROQUIS!$C$107)/MAX((CROQUIS!$C$137*MAX(1,CEILING((INT(((CROQUIS!$C$97)-CROQUIS!$C$107)/MAX(CROQUIS!$C$137,1))+1)/80,1))),1))+1))-1,0))*(CROQUIS!$C$137*MAX(1,CEILING((INT(((CROQUIS!$C$97)-CROQUIS!$C$107)/MAX(CROQUIS!$C$137,1))+1)/80,1))))))*CROQUIS!$C$159)+IF(CROQUIS!$C$92="X",0,0)),-1000)</f>
        <v>-1000</v>
      </c>
      <c r="BR368">
        <f>IF(AND(CROQUIS!$C$88=1,CROQUIS!$C$91=0,CROQUIS!$C$133&gt;0,OR(CROQUIS!$C$103=1,CROQUIS!$C$145=1)),((CROQUIS!$C$160+(IF(CROQUIS!$C$92="X",CHOOSE(IF(INT(($A368-1)/5)&gt;MAX((MAX(1,INT(((CROQUIS!$C$98)-CROQUIS!$C$107)/MAX((CROQUIS!$C$133*MAX(1,CEILING((INT(((CROQUIS!$C$98)-CROQUIS!$C$107)/MAX(CROQUIS!$C$133,1))+1)/80,1))),1))+1))-1,0),0,MOD($A368-1,5))+1,0,IF(CROQUIS!$C$103=1,-12,2),CROQUIS!$C$107/2+CROQUIS!$C$143,IF(CROQUIS!$C$103=1,-12,2),0),((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BS3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+1,0,IF(CROQUIS!$C$103=1,-12,2),CROQUIS!$C$107/2+CROQUIS!$C$143,IF(CROQUIS!$C$103=1,-12,2),0)))*CROQUIS!$C$159)+IF(CROQUIS!$C$92="X",0.8,0)),-1000)</f>
        <v>-1000</v>
      </c>
      <c r="BT368">
        <f>IF(AND(CROQUIS!$C$88=1,CROQUIS!$C$91=0,CROQUIS!$C$133&gt;0,OR(CROQUIS!$C$104=1,CROQUIS!$C$145=1)),((CROQUIS!$C$160+(IF(CROQUIS!$C$92="X",CHOOSE(IF(INT(($A368-1)/5)&gt;MAX((MAX(1,INT(((CROQUIS!$C$98)-CROQUIS!$C$107)/MAX((CROQUIS!$C$133*MAX(1,CEILING((INT(((CROQUIS!$C$98)-CROQUIS!$C$107)/MAX(CROQUIS!$C$133,1))+1)/80,1))),1))+1))-1,0),0,MOD($A368-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BU3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CROQUIS!$C$97,CROQUIS!$C$97-CROQUIS!$C$107/2-CROQUIS!$C$143,IF(CROQUIS!$C$104=1,CROQUIS!$C$97+12,CROQUIS!$C$97-2),CROQUIS!$C$97-CROQUIS!$C$107/2-CROQUIS!$C$143,CROQUIS!$C$97)))*CROQUIS!$C$159)+IF(CROQUIS!$C$92="X",0.8,0)),-1000)</f>
        <v>-1000</v>
      </c>
      <c r="BV3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HOOSE(IF(INT(($A368-1)/5)&gt;MAX((MAX(1,INT(((CROQUIS!$C$97)-CROQUIS!$C$107)/MAX((CROQUIS!$C$141*MAX(1,CEILING((INT(((CROQUIS!$C$97)-CROQUIS!$C$107)/MAX(CROQUIS!$C$141,1))+1)/80,1))),1))+1))-1,0),0,MOD($A368-1,5))+1,0,IF(CROQUIS!$C$105=1,-12,2),CROQUIS!$C$107/2+CROQUIS!$C$144,IF(CROQUIS!$C$105=1,-12,2),0)))*CROQUIS!$C$159)+IF(CROQUIS!$C$92="X",0.8,0)),-1000)</f>
        <v>-1000</v>
      </c>
      <c r="BW368">
        <f>IF(AND(CROQUIS!$C$88=1,CROQUIS!$C$91=0,CROQUIS!$C$141&gt;0,OR(CROQUIS!$C$105=1,CROQUIS!$C$146=1)),((CROQUIS!$C$161+(IF(CROQUIS!$C$92="X",CHOOSE(IF(INT(($A368-1)/5)&gt;MAX((MAX(1,INT(((CROQUIS!$C$97)-CROQUIS!$C$107)/MAX((CROQUIS!$C$141*MAX(1,CEILING((INT(((CROQUIS!$C$97)-CROQUIS!$C$107)/MAX(CROQUIS!$C$141,1))+1)/80,1))),1))+1))-1,0),0,MOD($A368-1,5))+1,0,IF(CROQUIS!$C$105=1,-12,2),CROQUIS!$C$107/2+CROQUIS!$C$144,IF(CROQUIS!$C$105=1,-12,2),0),((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ROQUIS!$C$159)+IF(CROQUIS!$C$92="X",0,0.8)),-1000)</f>
        <v>-1000</v>
      </c>
      <c r="BX3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HOOSE(IF(INT(($A368-1)/5)&gt;MAX((MAX(1,INT(((CROQUIS!$C$97)-CROQUIS!$C$107)/MAX((CROQUIS!$C$141*MAX(1,CEILING((INT(((CROQUIS!$C$97)-CROQUIS!$C$107)/MAX(CROQUIS!$C$141,1))+1)/80,1))),1))+1))-1,0),0,MOD($A368-1,5))+1,CROQUIS!$C$98,CROQUIS!$C$98-CROQUIS!$C$107/2-CROQUIS!$C$144,IF(CROQUIS!$C$106=1,CROQUIS!$C$98+12,CROQUIS!$C$98-2),CROQUIS!$C$98-CROQUIS!$C$107/2-CROQUIS!$C$144,CROQUIS!$C$98)))*CROQUIS!$C$159)+IF(CROQUIS!$C$92="X",0.8,0)),-1000)</f>
        <v>-1000</v>
      </c>
      <c r="BY368">
        <f>IF(AND(CROQUIS!$C$88=1,CROQUIS!$C$91=0,CROQUIS!$C$141&gt;0,OR(CROQUIS!$C$106=1,CROQUIS!$C$146=1)),((CROQUIS!$C$161+(IF(CROQUIS!$C$92="X",CHOOSE(IF(INT(($A368-1)/5)&gt;MAX((MAX(1,INT(((CROQUIS!$C$97)-CROQUIS!$C$107)/MAX((CROQUIS!$C$141*MAX(1,CEILING((INT(((CROQUIS!$C$97)-CROQUIS!$C$107)/MAX(CROQUIS!$C$141,1))+1)/80,1))),1))+1))-1,0),0,MOD($A368-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ROQUIS!$C$159)+IF(CROQUIS!$C$92="X",0,0.8)),-1000)</f>
        <v>-1000</v>
      </c>
      <c r="BZ368">
        <f>IF(AND(CROQUIS!$C$88=1,CROQUIS!$C$91=1,CROQUIS!$C$133&gt;0),((CROQUIS!$C$160+(IF(CROQUIS!$C$92="X",CHOOSE(IF(INT(($A368-1)/5)&gt;MAX((MAX(1,INT(((CROQUIS!$C$98)-CROQUIS!$C$107)/MAX((CROQUIS!$C$133*MAX(1,CEILING((INT(((CROQUIS!$C$98)-CROQUIS!$C$107)/MAX(CROQUIS!$C$133,1))+1)/80,1))),1))+1))-1,0),0,MOD($A368-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CA368">
        <f>IF(AND(CROQUIS!$C$88=1,CROQUIS!$C$91=1,CROQUIS!$C$133&gt;0),((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9">
      <c r="A369" t="n">
        <v>362</v>
      </c>
      <c r="BN369">
        <f>IF(AND(CROQUIS!$C$88=1,CROQUIS!$C$129&gt;0),((CROQUIS!$C$160+(IF(CROQUIS!$C$92="X",CHOOSE(IF(INT(($A369-1)/5)&gt;MAX((MAX(1,INT(((CROQUIS!$C$98)-CROQUIS!$C$107)/MAX((CROQUIS!$C$129*MAX(1,CEILING((INT(((CROQUIS!$C$98)-CROQUIS!$C$107)/MAX(CROQUIS!$C$129,1))+1)/80,1))),1))+1))-1,0),0,MOD($A369-1,5))+1,0,2,CROQUIS!$C$97-2,2,0),((CROQUIS!$C$107/2+(((CROQUIS!$C$98)-CROQUIS!$C$107)-(MAX(1,INT(((CROQUIS!$C$98)-CROQUIS!$C$107)/MAX((CROQUIS!$C$129*MAX(1,CEILING((INT(((CROQUIS!$C$98)-CROQUIS!$C$107)/MAX(CROQUIS!$C$129,1))+1)/80,1))),1))+1)-1)*(CROQUIS!$C$129*MAX(1,CEILING((INT(((CROQUIS!$C$98)-CROQUIS!$C$107)/MAX(CROQUIS!$C$129,1))+1)/80,1))))/2)+MIN(INT(($A369-1)/5),MAX((MAX(1,INT(((CROQUIS!$C$98)-CROQUIS!$C$107)/MAX((CROQUIS!$C$129*MAX(1,CEILING((INT(((CROQUIS!$C$98)-CROQUIS!$C$107)/MAX(CROQUIS!$C$129,1))+1)/80,1))),1))+1))-1,0))*(CROQUIS!$C$129*MAX(1,CEILING((INT(((CROQUIS!$C$98)-CROQUIS!$C$107)/MAX(CROQUIS!$C$129,1))+1)/80,1))))))*CROQUIS!$C$159)+IF(CROQUIS!$C$92="X",0,0)),-1000)</f>
        <v>-1000</v>
      </c>
      <c r="BO369">
        <f>IF(AND(CROQUIS!$C$88=1,CROQUIS!$C$129&gt;0),((CROQUIS!$C$161+(IF(CROQUIS!$C$92="X",((CROQUIS!$C$107/2+(((CROQUIS!$C$98)-CROQUIS!$C$107)-(MAX(1,INT(((CROQUIS!$C$98)-CROQUIS!$C$107)/MAX((CROQUIS!$C$129*MAX(1,CEILING((INT(((CROQUIS!$C$98)-CROQUIS!$C$107)/MAX(CROQUIS!$C$129,1))+1)/80,1))),1))+1)-1)*(CROQUIS!$C$129*MAX(1,CEILING((INT(((CROQUIS!$C$98)-CROQUIS!$C$107)/MAX(CROQUIS!$C$129,1))+1)/80,1))))/2)+MIN(INT(($A369-1)/5),MAX((MAX(1,INT(((CROQUIS!$C$98)-CROQUIS!$C$107)/MAX((CROQUIS!$C$129*MAX(1,CEILING((INT(((CROQUIS!$C$98)-CROQUIS!$C$107)/MAX(CROQUIS!$C$129,1))+1)/80,1))),1))+1))-1,0))*(CROQUIS!$C$129*MAX(1,CEILING((INT(((CROQUIS!$C$98)-CROQUIS!$C$107)/MAX(CROQUIS!$C$129,1))+1)/80,1)))),CHOOSE(IF(INT(($A369-1)/5)&gt;MAX((MAX(1,INT(((CROQUIS!$C$98)-CROQUIS!$C$107)/MAX((CROQUIS!$C$129*MAX(1,CEILING((INT(((CROQUIS!$C$98)-CROQUIS!$C$107)/MAX(CROQUIS!$C$129,1))+1)/80,1))),1))+1))-1,0),0,MOD($A369-1,5))+1,0,2,CROQUIS!$C$97-2,2,0)))*CROQUIS!$C$159)+IF(CROQUIS!$C$92="X",0,0)),-1000)</f>
        <v>-1000</v>
      </c>
      <c r="BP369">
        <f>IF(AND(CROQUIS!$C$88=1,CROQUIS!$C$137&gt;0),((CROQUIS!$C$160+(IF(CROQUIS!$C$92="X",((CROQUIS!$C$107/2+(((CROQUIS!$C$97)-CROQUIS!$C$107)-(MAX(1,INT(((CROQUIS!$C$97)-CROQUIS!$C$107)/MAX((CROQUIS!$C$137*MAX(1,CEILING((INT(((CROQUIS!$C$97)-CROQUIS!$C$107)/MAX(CROQUIS!$C$137,1))+1)/80,1))),1))+1)-1)*(CROQUIS!$C$137*MAX(1,CEILING((INT(((CROQUIS!$C$97)-CROQUIS!$C$107)/MAX(CROQUIS!$C$137,1))+1)/80,1))))/2)+MIN(INT(($A369-1)/5),MAX((MAX(1,INT(((CROQUIS!$C$97)-CROQUIS!$C$107)/MAX((CROQUIS!$C$137*MAX(1,CEILING((INT(((CROQUIS!$C$97)-CROQUIS!$C$107)/MAX(CROQUIS!$C$137,1))+1)/80,1))),1))+1))-1,0))*(CROQUIS!$C$137*MAX(1,CEILING((INT(((CROQUIS!$C$97)-CROQUIS!$C$107)/MAX(CROQUIS!$C$137,1))+1)/80,1)))),CHOOSE(IF(INT(($A369-1)/5)&gt;MAX((MAX(1,INT(((CROQUIS!$C$97)-CROQUIS!$C$107)/MAX((CROQUIS!$C$137*MAX(1,CEILING((INT(((CROQUIS!$C$97)-CROQUIS!$C$107)/MAX(CROQUIS!$C$137,1))+1)/80,1))),1))+1))-1,0),0,MOD($A369-1,5))+1,0,2,CROQUIS!$C$98-2,2,0)))*CROQUIS!$C$159)+IF(CROQUIS!$C$92="X",0,0)),-1000)</f>
        <v>-1000</v>
      </c>
      <c r="BQ369">
        <f>IF(AND(CROQUIS!$C$88=1,CROQUIS!$C$137&gt;0),((CROQUIS!$C$161+(IF(CROQUIS!$C$92="X",CHOOSE(IF(INT(($A369-1)/5)&gt;MAX((MAX(1,INT(((CROQUIS!$C$97)-CROQUIS!$C$107)/MAX((CROQUIS!$C$137*MAX(1,CEILING((INT(((CROQUIS!$C$97)-CROQUIS!$C$107)/MAX(CROQUIS!$C$137,1))+1)/80,1))),1))+1))-1,0),0,MOD($A369-1,5))+1,0,2,CROQUIS!$C$98-2,2,0),((CROQUIS!$C$107/2+(((CROQUIS!$C$97)-CROQUIS!$C$107)-(MAX(1,INT(((CROQUIS!$C$97)-CROQUIS!$C$107)/MAX((CROQUIS!$C$137*MAX(1,CEILING((INT(((CROQUIS!$C$97)-CROQUIS!$C$107)/MAX(CROQUIS!$C$137,1))+1)/80,1))),1))+1)-1)*(CROQUIS!$C$137*MAX(1,CEILING((INT(((CROQUIS!$C$97)-CROQUIS!$C$107)/MAX(CROQUIS!$C$137,1))+1)/80,1))))/2)+MIN(INT(($A369-1)/5),MAX((MAX(1,INT(((CROQUIS!$C$97)-CROQUIS!$C$107)/MAX((CROQUIS!$C$137*MAX(1,CEILING((INT(((CROQUIS!$C$97)-CROQUIS!$C$107)/MAX(CROQUIS!$C$137,1))+1)/80,1))),1))+1))-1,0))*(CROQUIS!$C$137*MAX(1,CEILING((INT(((CROQUIS!$C$97)-CROQUIS!$C$107)/MAX(CROQUIS!$C$137,1))+1)/80,1))))))*CROQUIS!$C$159)+IF(CROQUIS!$C$92="X",0,0)),-1000)</f>
        <v>-1000</v>
      </c>
      <c r="BR369">
        <f>IF(AND(CROQUIS!$C$88=1,CROQUIS!$C$91=0,CROQUIS!$C$133&gt;0,OR(CROQUIS!$C$103=1,CROQUIS!$C$145=1)),((CROQUIS!$C$160+(IF(CROQUIS!$C$92="X",CHOOSE(IF(INT(($A369-1)/5)&gt;MAX((MAX(1,INT(((CROQUIS!$C$98)-CROQUIS!$C$107)/MAX((CROQUIS!$C$133*MAX(1,CEILING((INT(((CROQUIS!$C$98)-CROQUIS!$C$107)/MAX(CROQUIS!$C$133,1))+1)/80,1))),1))+1))-1,0),0,MOD($A369-1,5))+1,0,IF(CROQUIS!$C$103=1,-12,2),CROQUIS!$C$107/2+CROQUIS!$C$143,IF(CROQUIS!$C$103=1,-12,2),0),((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BS3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+1,0,IF(CROQUIS!$C$103=1,-12,2),CROQUIS!$C$107/2+CROQUIS!$C$143,IF(CROQUIS!$C$103=1,-12,2),0)))*CROQUIS!$C$159)+IF(CROQUIS!$C$92="X",0.8,0)),-1000)</f>
        <v>-1000</v>
      </c>
      <c r="BT369">
        <f>IF(AND(CROQUIS!$C$88=1,CROQUIS!$C$91=0,CROQUIS!$C$133&gt;0,OR(CROQUIS!$C$104=1,CROQUIS!$C$145=1)),((CROQUIS!$C$160+(IF(CROQUIS!$C$92="X",CHOOSE(IF(INT(($A369-1)/5)&gt;MAX((MAX(1,INT(((CROQUIS!$C$98)-CROQUIS!$C$107)/MAX((CROQUIS!$C$133*MAX(1,CEILING((INT(((CROQUIS!$C$98)-CROQUIS!$C$107)/MAX(CROQUIS!$C$133,1))+1)/80,1))),1))+1))-1,0),0,MOD($A369-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BU3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CROQUIS!$C$97,CROQUIS!$C$97-CROQUIS!$C$107/2-CROQUIS!$C$143,IF(CROQUIS!$C$104=1,CROQUIS!$C$97+12,CROQUIS!$C$97-2),CROQUIS!$C$97-CROQUIS!$C$107/2-CROQUIS!$C$143,CROQUIS!$C$97)))*CROQUIS!$C$159)+IF(CROQUIS!$C$92="X",0.8,0)),-1000)</f>
        <v>-1000</v>
      </c>
      <c r="BV3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HOOSE(IF(INT(($A369-1)/5)&gt;MAX((MAX(1,INT(((CROQUIS!$C$97)-CROQUIS!$C$107)/MAX((CROQUIS!$C$141*MAX(1,CEILING((INT(((CROQUIS!$C$97)-CROQUIS!$C$107)/MAX(CROQUIS!$C$141,1))+1)/80,1))),1))+1))-1,0),0,MOD($A369-1,5))+1,0,IF(CROQUIS!$C$105=1,-12,2),CROQUIS!$C$107/2+CROQUIS!$C$144,IF(CROQUIS!$C$105=1,-12,2),0)))*CROQUIS!$C$159)+IF(CROQUIS!$C$92="X",0.8,0)),-1000)</f>
        <v>-1000</v>
      </c>
      <c r="BW369">
        <f>IF(AND(CROQUIS!$C$88=1,CROQUIS!$C$91=0,CROQUIS!$C$141&gt;0,OR(CROQUIS!$C$105=1,CROQUIS!$C$146=1)),((CROQUIS!$C$161+(IF(CROQUIS!$C$92="X",CHOOSE(IF(INT(($A369-1)/5)&gt;MAX((MAX(1,INT(((CROQUIS!$C$97)-CROQUIS!$C$107)/MAX((CROQUIS!$C$141*MAX(1,CEILING((INT(((CROQUIS!$C$97)-CROQUIS!$C$107)/MAX(CROQUIS!$C$141,1))+1)/80,1))),1))+1))-1,0),0,MOD($A369-1,5))+1,0,IF(CROQUIS!$C$105=1,-12,2),CROQUIS!$C$107/2+CROQUIS!$C$144,IF(CROQUIS!$C$105=1,-12,2),0),((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ROQUIS!$C$159)+IF(CROQUIS!$C$92="X",0,0.8)),-1000)</f>
        <v>-1000</v>
      </c>
      <c r="BX3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HOOSE(IF(INT(($A369-1)/5)&gt;MAX((MAX(1,INT(((CROQUIS!$C$97)-CROQUIS!$C$107)/MAX((CROQUIS!$C$141*MAX(1,CEILING((INT(((CROQUIS!$C$97)-CROQUIS!$C$107)/MAX(CROQUIS!$C$141,1))+1)/80,1))),1))+1))-1,0),0,MOD($A369-1,5))+1,CROQUIS!$C$98,CROQUIS!$C$98-CROQUIS!$C$107/2-CROQUIS!$C$144,IF(CROQUIS!$C$106=1,CROQUIS!$C$98+12,CROQUIS!$C$98-2),CROQUIS!$C$98-CROQUIS!$C$107/2-CROQUIS!$C$144,CROQUIS!$C$98)))*CROQUIS!$C$159)+IF(CROQUIS!$C$92="X",0.8,0)),-1000)</f>
        <v>-1000</v>
      </c>
      <c r="BY369">
        <f>IF(AND(CROQUIS!$C$88=1,CROQUIS!$C$91=0,CROQUIS!$C$141&gt;0,OR(CROQUIS!$C$106=1,CROQUIS!$C$146=1)),((CROQUIS!$C$161+(IF(CROQUIS!$C$92="X",CHOOSE(IF(INT(($A369-1)/5)&gt;MAX((MAX(1,INT(((CROQUIS!$C$97)-CROQUIS!$C$107)/MAX((CROQUIS!$C$141*MAX(1,CEILING((INT(((CROQUIS!$C$97)-CROQUIS!$C$107)/MAX(CROQUIS!$C$141,1))+1)/80,1))),1))+1))-1,0),0,MOD($A369-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ROQUIS!$C$159)+IF(CROQUIS!$C$92="X",0,0.8)),-1000)</f>
        <v>-1000</v>
      </c>
      <c r="BZ369">
        <f>IF(AND(CROQUIS!$C$88=1,CROQUIS!$C$91=1,CROQUIS!$C$133&gt;0),((CROQUIS!$C$160+(IF(CROQUIS!$C$92="X",CHOOSE(IF(INT(($A369-1)/5)&gt;MAX((MAX(1,INT(((CROQUIS!$C$98)-CROQUIS!$C$107)/MAX((CROQUIS!$C$133*MAX(1,CEILING((INT(((CROQUIS!$C$98)-CROQUIS!$C$107)/MAX(CROQUIS!$C$133,1))+1)/80,1))),1))+1))-1,0),0,MOD($A369-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CA369">
        <f>IF(AND(CROQUIS!$C$88=1,CROQUIS!$C$91=1,CROQUIS!$C$133&gt;0),((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0">
      <c r="A370" t="n">
        <v>363</v>
      </c>
      <c r="BN370">
        <f>IF(AND(CROQUIS!$C$88=1,CROQUIS!$C$129&gt;0),((CROQUIS!$C$160+(IF(CROQUIS!$C$92="X",CHOOSE(IF(INT(($A370-1)/5)&gt;MAX((MAX(1,INT(((CROQUIS!$C$98)-CROQUIS!$C$107)/MAX((CROQUIS!$C$129*MAX(1,CEILING((INT(((CROQUIS!$C$98)-CROQUIS!$C$107)/MAX(CROQUIS!$C$129,1))+1)/80,1))),1))+1))-1,0),0,MOD($A370-1,5))+1,0,2,CROQUIS!$C$97-2,2,0),((CROQUIS!$C$107/2+(((CROQUIS!$C$98)-CROQUIS!$C$107)-(MAX(1,INT(((CROQUIS!$C$98)-CROQUIS!$C$107)/MAX((CROQUIS!$C$129*MAX(1,CEILING((INT(((CROQUIS!$C$98)-CROQUIS!$C$107)/MAX(CROQUIS!$C$129,1))+1)/80,1))),1))+1)-1)*(CROQUIS!$C$129*MAX(1,CEILING((INT(((CROQUIS!$C$98)-CROQUIS!$C$107)/MAX(CROQUIS!$C$129,1))+1)/80,1))))/2)+MIN(INT(($A370-1)/5),MAX((MAX(1,INT(((CROQUIS!$C$98)-CROQUIS!$C$107)/MAX((CROQUIS!$C$129*MAX(1,CEILING((INT(((CROQUIS!$C$98)-CROQUIS!$C$107)/MAX(CROQUIS!$C$129,1))+1)/80,1))),1))+1))-1,0))*(CROQUIS!$C$129*MAX(1,CEILING((INT(((CROQUIS!$C$98)-CROQUIS!$C$107)/MAX(CROQUIS!$C$129,1))+1)/80,1))))))*CROQUIS!$C$159)+IF(CROQUIS!$C$92="X",0,0)),-1000)</f>
        <v>-1000</v>
      </c>
      <c r="BO370">
        <f>IF(AND(CROQUIS!$C$88=1,CROQUIS!$C$129&gt;0),((CROQUIS!$C$161+(IF(CROQUIS!$C$92="X",((CROQUIS!$C$107/2+(((CROQUIS!$C$98)-CROQUIS!$C$107)-(MAX(1,INT(((CROQUIS!$C$98)-CROQUIS!$C$107)/MAX((CROQUIS!$C$129*MAX(1,CEILING((INT(((CROQUIS!$C$98)-CROQUIS!$C$107)/MAX(CROQUIS!$C$129,1))+1)/80,1))),1))+1)-1)*(CROQUIS!$C$129*MAX(1,CEILING((INT(((CROQUIS!$C$98)-CROQUIS!$C$107)/MAX(CROQUIS!$C$129,1))+1)/80,1))))/2)+MIN(INT(($A370-1)/5),MAX((MAX(1,INT(((CROQUIS!$C$98)-CROQUIS!$C$107)/MAX((CROQUIS!$C$129*MAX(1,CEILING((INT(((CROQUIS!$C$98)-CROQUIS!$C$107)/MAX(CROQUIS!$C$129,1))+1)/80,1))),1))+1))-1,0))*(CROQUIS!$C$129*MAX(1,CEILING((INT(((CROQUIS!$C$98)-CROQUIS!$C$107)/MAX(CROQUIS!$C$129,1))+1)/80,1)))),CHOOSE(IF(INT(($A370-1)/5)&gt;MAX((MAX(1,INT(((CROQUIS!$C$98)-CROQUIS!$C$107)/MAX((CROQUIS!$C$129*MAX(1,CEILING((INT(((CROQUIS!$C$98)-CROQUIS!$C$107)/MAX(CROQUIS!$C$129,1))+1)/80,1))),1))+1))-1,0),0,MOD($A370-1,5))+1,0,2,CROQUIS!$C$97-2,2,0)))*CROQUIS!$C$159)+IF(CROQUIS!$C$92="X",0,0)),-1000)</f>
        <v>-1000</v>
      </c>
      <c r="BP370">
        <f>IF(AND(CROQUIS!$C$88=1,CROQUIS!$C$137&gt;0),((CROQUIS!$C$160+(IF(CROQUIS!$C$92="X",((CROQUIS!$C$107/2+(((CROQUIS!$C$97)-CROQUIS!$C$107)-(MAX(1,INT(((CROQUIS!$C$97)-CROQUIS!$C$107)/MAX((CROQUIS!$C$137*MAX(1,CEILING((INT(((CROQUIS!$C$97)-CROQUIS!$C$107)/MAX(CROQUIS!$C$137,1))+1)/80,1))),1))+1)-1)*(CROQUIS!$C$137*MAX(1,CEILING((INT(((CROQUIS!$C$97)-CROQUIS!$C$107)/MAX(CROQUIS!$C$137,1))+1)/80,1))))/2)+MIN(INT(($A370-1)/5),MAX((MAX(1,INT(((CROQUIS!$C$97)-CROQUIS!$C$107)/MAX((CROQUIS!$C$137*MAX(1,CEILING((INT(((CROQUIS!$C$97)-CROQUIS!$C$107)/MAX(CROQUIS!$C$137,1))+1)/80,1))),1))+1))-1,0))*(CROQUIS!$C$137*MAX(1,CEILING((INT(((CROQUIS!$C$97)-CROQUIS!$C$107)/MAX(CROQUIS!$C$137,1))+1)/80,1)))),CHOOSE(IF(INT(($A370-1)/5)&gt;MAX((MAX(1,INT(((CROQUIS!$C$97)-CROQUIS!$C$107)/MAX((CROQUIS!$C$137*MAX(1,CEILING((INT(((CROQUIS!$C$97)-CROQUIS!$C$107)/MAX(CROQUIS!$C$137,1))+1)/80,1))),1))+1))-1,0),0,MOD($A370-1,5))+1,0,2,CROQUIS!$C$98-2,2,0)))*CROQUIS!$C$159)+IF(CROQUIS!$C$92="X",0,0)),-1000)</f>
        <v>-1000</v>
      </c>
      <c r="BQ370">
        <f>IF(AND(CROQUIS!$C$88=1,CROQUIS!$C$137&gt;0),((CROQUIS!$C$161+(IF(CROQUIS!$C$92="X",CHOOSE(IF(INT(($A370-1)/5)&gt;MAX((MAX(1,INT(((CROQUIS!$C$97)-CROQUIS!$C$107)/MAX((CROQUIS!$C$137*MAX(1,CEILING((INT(((CROQUIS!$C$97)-CROQUIS!$C$107)/MAX(CROQUIS!$C$137,1))+1)/80,1))),1))+1))-1,0),0,MOD($A370-1,5))+1,0,2,CROQUIS!$C$98-2,2,0),((CROQUIS!$C$107/2+(((CROQUIS!$C$97)-CROQUIS!$C$107)-(MAX(1,INT(((CROQUIS!$C$97)-CROQUIS!$C$107)/MAX((CROQUIS!$C$137*MAX(1,CEILING((INT(((CROQUIS!$C$97)-CROQUIS!$C$107)/MAX(CROQUIS!$C$137,1))+1)/80,1))),1))+1)-1)*(CROQUIS!$C$137*MAX(1,CEILING((INT(((CROQUIS!$C$97)-CROQUIS!$C$107)/MAX(CROQUIS!$C$137,1))+1)/80,1))))/2)+MIN(INT(($A370-1)/5),MAX((MAX(1,INT(((CROQUIS!$C$97)-CROQUIS!$C$107)/MAX((CROQUIS!$C$137*MAX(1,CEILING((INT(((CROQUIS!$C$97)-CROQUIS!$C$107)/MAX(CROQUIS!$C$137,1))+1)/80,1))),1))+1))-1,0))*(CROQUIS!$C$137*MAX(1,CEILING((INT(((CROQUIS!$C$97)-CROQUIS!$C$107)/MAX(CROQUIS!$C$137,1))+1)/80,1))))))*CROQUIS!$C$159)+IF(CROQUIS!$C$92="X",0,0)),-1000)</f>
        <v>-1000</v>
      </c>
      <c r="BR370">
        <f>IF(AND(CROQUIS!$C$88=1,CROQUIS!$C$91=0,CROQUIS!$C$133&gt;0,OR(CROQUIS!$C$103=1,CROQUIS!$C$145=1)),((CROQUIS!$C$160+(IF(CROQUIS!$C$92="X",CHOOSE(IF(INT(($A370-1)/5)&gt;MAX((MAX(1,INT(((CROQUIS!$C$98)-CROQUIS!$C$107)/MAX((CROQUIS!$C$133*MAX(1,CEILING((INT(((CROQUIS!$C$98)-CROQUIS!$C$107)/MAX(CROQUIS!$C$133,1))+1)/80,1))),1))+1))-1,0),0,MOD($A370-1,5))+1,0,IF(CROQUIS!$C$103=1,-12,2),CROQUIS!$C$107/2+CROQUIS!$C$143,IF(CROQUIS!$C$103=1,-12,2),0),((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BS3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+1,0,IF(CROQUIS!$C$103=1,-12,2),CROQUIS!$C$107/2+CROQUIS!$C$143,IF(CROQUIS!$C$103=1,-12,2),0)))*CROQUIS!$C$159)+IF(CROQUIS!$C$92="X",0.8,0)),-1000)</f>
        <v>-1000</v>
      </c>
      <c r="BT370">
        <f>IF(AND(CROQUIS!$C$88=1,CROQUIS!$C$91=0,CROQUIS!$C$133&gt;0,OR(CROQUIS!$C$104=1,CROQUIS!$C$145=1)),((CROQUIS!$C$160+(IF(CROQUIS!$C$92="X",CHOOSE(IF(INT(($A370-1)/5)&gt;MAX((MAX(1,INT(((CROQUIS!$C$98)-CROQUIS!$C$107)/MAX((CROQUIS!$C$133*MAX(1,CEILING((INT(((CROQUIS!$C$98)-CROQUIS!$C$107)/MAX(CROQUIS!$C$133,1))+1)/80,1))),1))+1))-1,0),0,MOD($A370-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BU3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CROQUIS!$C$97,CROQUIS!$C$97-CROQUIS!$C$107/2-CROQUIS!$C$143,IF(CROQUIS!$C$104=1,CROQUIS!$C$97+12,CROQUIS!$C$97-2),CROQUIS!$C$97-CROQUIS!$C$107/2-CROQUIS!$C$143,CROQUIS!$C$97)))*CROQUIS!$C$159)+IF(CROQUIS!$C$92="X",0.8,0)),-1000)</f>
        <v>-1000</v>
      </c>
      <c r="BV3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HOOSE(IF(INT(($A370-1)/5)&gt;MAX((MAX(1,INT(((CROQUIS!$C$97)-CROQUIS!$C$107)/MAX((CROQUIS!$C$141*MAX(1,CEILING((INT(((CROQUIS!$C$97)-CROQUIS!$C$107)/MAX(CROQUIS!$C$141,1))+1)/80,1))),1))+1))-1,0),0,MOD($A370-1,5))+1,0,IF(CROQUIS!$C$105=1,-12,2),CROQUIS!$C$107/2+CROQUIS!$C$144,IF(CROQUIS!$C$105=1,-12,2),0)))*CROQUIS!$C$159)+IF(CROQUIS!$C$92="X",0.8,0)),-1000)</f>
        <v>-1000</v>
      </c>
      <c r="BW370">
        <f>IF(AND(CROQUIS!$C$88=1,CROQUIS!$C$91=0,CROQUIS!$C$141&gt;0,OR(CROQUIS!$C$105=1,CROQUIS!$C$146=1)),((CROQUIS!$C$161+(IF(CROQUIS!$C$92="X",CHOOSE(IF(INT(($A370-1)/5)&gt;MAX((MAX(1,INT(((CROQUIS!$C$97)-CROQUIS!$C$107)/MAX((CROQUIS!$C$141*MAX(1,CEILING((INT(((CROQUIS!$C$97)-CROQUIS!$C$107)/MAX(CROQUIS!$C$141,1))+1)/80,1))),1))+1))-1,0),0,MOD($A370-1,5))+1,0,IF(CROQUIS!$C$105=1,-12,2),CROQUIS!$C$107/2+CROQUIS!$C$144,IF(CROQUIS!$C$105=1,-12,2),0),((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ROQUIS!$C$159)+IF(CROQUIS!$C$92="X",0,0.8)),-1000)</f>
        <v>-1000</v>
      </c>
      <c r="BX3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HOOSE(IF(INT(($A370-1)/5)&gt;MAX((MAX(1,INT(((CROQUIS!$C$97)-CROQUIS!$C$107)/MAX((CROQUIS!$C$141*MAX(1,CEILING((INT(((CROQUIS!$C$97)-CROQUIS!$C$107)/MAX(CROQUIS!$C$141,1))+1)/80,1))),1))+1))-1,0),0,MOD($A370-1,5))+1,CROQUIS!$C$98,CROQUIS!$C$98-CROQUIS!$C$107/2-CROQUIS!$C$144,IF(CROQUIS!$C$106=1,CROQUIS!$C$98+12,CROQUIS!$C$98-2),CROQUIS!$C$98-CROQUIS!$C$107/2-CROQUIS!$C$144,CROQUIS!$C$98)))*CROQUIS!$C$159)+IF(CROQUIS!$C$92="X",0.8,0)),-1000)</f>
        <v>-1000</v>
      </c>
      <c r="BY370">
        <f>IF(AND(CROQUIS!$C$88=1,CROQUIS!$C$91=0,CROQUIS!$C$141&gt;0,OR(CROQUIS!$C$106=1,CROQUIS!$C$146=1)),((CROQUIS!$C$161+(IF(CROQUIS!$C$92="X",CHOOSE(IF(INT(($A370-1)/5)&gt;MAX((MAX(1,INT(((CROQUIS!$C$97)-CROQUIS!$C$107)/MAX((CROQUIS!$C$141*MAX(1,CEILING((INT(((CROQUIS!$C$97)-CROQUIS!$C$107)/MAX(CROQUIS!$C$141,1))+1)/80,1))),1))+1))-1,0),0,MOD($A370-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ROQUIS!$C$159)+IF(CROQUIS!$C$92="X",0,0.8)),-1000)</f>
        <v>-1000</v>
      </c>
      <c r="BZ370">
        <f>IF(AND(CROQUIS!$C$88=1,CROQUIS!$C$91=1,CROQUIS!$C$133&gt;0),((CROQUIS!$C$160+(IF(CROQUIS!$C$92="X",CHOOSE(IF(INT(($A370-1)/5)&gt;MAX((MAX(1,INT(((CROQUIS!$C$98)-CROQUIS!$C$107)/MAX((CROQUIS!$C$133*MAX(1,CEILING((INT(((CROQUIS!$C$98)-CROQUIS!$C$107)/MAX(CROQUIS!$C$133,1))+1)/80,1))),1))+1))-1,0),0,MOD($A370-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CA370">
        <f>IF(AND(CROQUIS!$C$88=1,CROQUIS!$C$91=1,CROQUIS!$C$133&gt;0),((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1">
      <c r="A371" t="n">
        <v>364</v>
      </c>
      <c r="BN371">
        <f>IF(AND(CROQUIS!$C$88=1,CROQUIS!$C$129&gt;0),((CROQUIS!$C$160+(IF(CROQUIS!$C$92="X",CHOOSE(IF(INT(($A371-1)/5)&gt;MAX((MAX(1,INT(((CROQUIS!$C$98)-CROQUIS!$C$107)/MAX((CROQUIS!$C$129*MAX(1,CEILING((INT(((CROQUIS!$C$98)-CROQUIS!$C$107)/MAX(CROQUIS!$C$129,1))+1)/80,1))),1))+1))-1,0),0,MOD($A371-1,5))+1,0,2,CROQUIS!$C$97-2,2,0),((CROQUIS!$C$107/2+(((CROQUIS!$C$98)-CROQUIS!$C$107)-(MAX(1,INT(((CROQUIS!$C$98)-CROQUIS!$C$107)/MAX((CROQUIS!$C$129*MAX(1,CEILING((INT(((CROQUIS!$C$98)-CROQUIS!$C$107)/MAX(CROQUIS!$C$129,1))+1)/80,1))),1))+1)-1)*(CROQUIS!$C$129*MAX(1,CEILING((INT(((CROQUIS!$C$98)-CROQUIS!$C$107)/MAX(CROQUIS!$C$129,1))+1)/80,1))))/2)+MIN(INT(($A371-1)/5),MAX((MAX(1,INT(((CROQUIS!$C$98)-CROQUIS!$C$107)/MAX((CROQUIS!$C$129*MAX(1,CEILING((INT(((CROQUIS!$C$98)-CROQUIS!$C$107)/MAX(CROQUIS!$C$129,1))+1)/80,1))),1))+1))-1,0))*(CROQUIS!$C$129*MAX(1,CEILING((INT(((CROQUIS!$C$98)-CROQUIS!$C$107)/MAX(CROQUIS!$C$129,1))+1)/80,1))))))*CROQUIS!$C$159)+IF(CROQUIS!$C$92="X",0,0)),-1000)</f>
        <v>-1000</v>
      </c>
      <c r="BO371">
        <f>IF(AND(CROQUIS!$C$88=1,CROQUIS!$C$129&gt;0),((CROQUIS!$C$161+(IF(CROQUIS!$C$92="X",((CROQUIS!$C$107/2+(((CROQUIS!$C$98)-CROQUIS!$C$107)-(MAX(1,INT(((CROQUIS!$C$98)-CROQUIS!$C$107)/MAX((CROQUIS!$C$129*MAX(1,CEILING((INT(((CROQUIS!$C$98)-CROQUIS!$C$107)/MAX(CROQUIS!$C$129,1))+1)/80,1))),1))+1)-1)*(CROQUIS!$C$129*MAX(1,CEILING((INT(((CROQUIS!$C$98)-CROQUIS!$C$107)/MAX(CROQUIS!$C$129,1))+1)/80,1))))/2)+MIN(INT(($A371-1)/5),MAX((MAX(1,INT(((CROQUIS!$C$98)-CROQUIS!$C$107)/MAX((CROQUIS!$C$129*MAX(1,CEILING((INT(((CROQUIS!$C$98)-CROQUIS!$C$107)/MAX(CROQUIS!$C$129,1))+1)/80,1))),1))+1))-1,0))*(CROQUIS!$C$129*MAX(1,CEILING((INT(((CROQUIS!$C$98)-CROQUIS!$C$107)/MAX(CROQUIS!$C$129,1))+1)/80,1)))),CHOOSE(IF(INT(($A371-1)/5)&gt;MAX((MAX(1,INT(((CROQUIS!$C$98)-CROQUIS!$C$107)/MAX((CROQUIS!$C$129*MAX(1,CEILING((INT(((CROQUIS!$C$98)-CROQUIS!$C$107)/MAX(CROQUIS!$C$129,1))+1)/80,1))),1))+1))-1,0),0,MOD($A371-1,5))+1,0,2,CROQUIS!$C$97-2,2,0)))*CROQUIS!$C$159)+IF(CROQUIS!$C$92="X",0,0)),-1000)</f>
        <v>-1000</v>
      </c>
      <c r="BP371">
        <f>IF(AND(CROQUIS!$C$88=1,CROQUIS!$C$137&gt;0),((CROQUIS!$C$160+(IF(CROQUIS!$C$92="X",((CROQUIS!$C$107/2+(((CROQUIS!$C$97)-CROQUIS!$C$107)-(MAX(1,INT(((CROQUIS!$C$97)-CROQUIS!$C$107)/MAX((CROQUIS!$C$137*MAX(1,CEILING((INT(((CROQUIS!$C$97)-CROQUIS!$C$107)/MAX(CROQUIS!$C$137,1))+1)/80,1))),1))+1)-1)*(CROQUIS!$C$137*MAX(1,CEILING((INT(((CROQUIS!$C$97)-CROQUIS!$C$107)/MAX(CROQUIS!$C$137,1))+1)/80,1))))/2)+MIN(INT(($A371-1)/5),MAX((MAX(1,INT(((CROQUIS!$C$97)-CROQUIS!$C$107)/MAX((CROQUIS!$C$137*MAX(1,CEILING((INT(((CROQUIS!$C$97)-CROQUIS!$C$107)/MAX(CROQUIS!$C$137,1))+1)/80,1))),1))+1))-1,0))*(CROQUIS!$C$137*MAX(1,CEILING((INT(((CROQUIS!$C$97)-CROQUIS!$C$107)/MAX(CROQUIS!$C$137,1))+1)/80,1)))),CHOOSE(IF(INT(($A371-1)/5)&gt;MAX((MAX(1,INT(((CROQUIS!$C$97)-CROQUIS!$C$107)/MAX((CROQUIS!$C$137*MAX(1,CEILING((INT(((CROQUIS!$C$97)-CROQUIS!$C$107)/MAX(CROQUIS!$C$137,1))+1)/80,1))),1))+1))-1,0),0,MOD($A371-1,5))+1,0,2,CROQUIS!$C$98-2,2,0)))*CROQUIS!$C$159)+IF(CROQUIS!$C$92="X",0,0)),-1000)</f>
        <v>-1000</v>
      </c>
      <c r="BQ371">
        <f>IF(AND(CROQUIS!$C$88=1,CROQUIS!$C$137&gt;0),((CROQUIS!$C$161+(IF(CROQUIS!$C$92="X",CHOOSE(IF(INT(($A371-1)/5)&gt;MAX((MAX(1,INT(((CROQUIS!$C$97)-CROQUIS!$C$107)/MAX((CROQUIS!$C$137*MAX(1,CEILING((INT(((CROQUIS!$C$97)-CROQUIS!$C$107)/MAX(CROQUIS!$C$137,1))+1)/80,1))),1))+1))-1,0),0,MOD($A371-1,5))+1,0,2,CROQUIS!$C$98-2,2,0),((CROQUIS!$C$107/2+(((CROQUIS!$C$97)-CROQUIS!$C$107)-(MAX(1,INT(((CROQUIS!$C$97)-CROQUIS!$C$107)/MAX((CROQUIS!$C$137*MAX(1,CEILING((INT(((CROQUIS!$C$97)-CROQUIS!$C$107)/MAX(CROQUIS!$C$137,1))+1)/80,1))),1))+1)-1)*(CROQUIS!$C$137*MAX(1,CEILING((INT(((CROQUIS!$C$97)-CROQUIS!$C$107)/MAX(CROQUIS!$C$137,1))+1)/80,1))))/2)+MIN(INT(($A371-1)/5),MAX((MAX(1,INT(((CROQUIS!$C$97)-CROQUIS!$C$107)/MAX((CROQUIS!$C$137*MAX(1,CEILING((INT(((CROQUIS!$C$97)-CROQUIS!$C$107)/MAX(CROQUIS!$C$137,1))+1)/80,1))),1))+1))-1,0))*(CROQUIS!$C$137*MAX(1,CEILING((INT(((CROQUIS!$C$97)-CROQUIS!$C$107)/MAX(CROQUIS!$C$137,1))+1)/80,1))))))*CROQUIS!$C$159)+IF(CROQUIS!$C$92="X",0,0)),-1000)</f>
        <v>-1000</v>
      </c>
      <c r="BR371">
        <f>IF(AND(CROQUIS!$C$88=1,CROQUIS!$C$91=0,CROQUIS!$C$133&gt;0,OR(CROQUIS!$C$103=1,CROQUIS!$C$145=1)),((CROQUIS!$C$160+(IF(CROQUIS!$C$92="X",CHOOSE(IF(INT(($A371-1)/5)&gt;MAX((MAX(1,INT(((CROQUIS!$C$98)-CROQUIS!$C$107)/MAX((CROQUIS!$C$133*MAX(1,CEILING((INT(((CROQUIS!$C$98)-CROQUIS!$C$107)/MAX(CROQUIS!$C$133,1))+1)/80,1))),1))+1))-1,0),0,MOD($A371-1,5))+1,0,IF(CROQUIS!$C$103=1,-12,2),CROQUIS!$C$107/2+CROQUIS!$C$143,IF(CROQUIS!$C$103=1,-12,2),0),((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BS3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+1,0,IF(CROQUIS!$C$103=1,-12,2),CROQUIS!$C$107/2+CROQUIS!$C$143,IF(CROQUIS!$C$103=1,-12,2),0)))*CROQUIS!$C$159)+IF(CROQUIS!$C$92="X",0.8,0)),-1000)</f>
        <v>-1000</v>
      </c>
      <c r="BT371">
        <f>IF(AND(CROQUIS!$C$88=1,CROQUIS!$C$91=0,CROQUIS!$C$133&gt;0,OR(CROQUIS!$C$104=1,CROQUIS!$C$145=1)),((CROQUIS!$C$160+(IF(CROQUIS!$C$92="X",CHOOSE(IF(INT(($A371-1)/5)&gt;MAX((MAX(1,INT(((CROQUIS!$C$98)-CROQUIS!$C$107)/MAX((CROQUIS!$C$133*MAX(1,CEILING((INT(((CROQUIS!$C$98)-CROQUIS!$C$107)/MAX(CROQUIS!$C$133,1))+1)/80,1))),1))+1))-1,0),0,MOD($A371-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BU3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CROQUIS!$C$97,CROQUIS!$C$97-CROQUIS!$C$107/2-CROQUIS!$C$143,IF(CROQUIS!$C$104=1,CROQUIS!$C$97+12,CROQUIS!$C$97-2),CROQUIS!$C$97-CROQUIS!$C$107/2-CROQUIS!$C$143,CROQUIS!$C$97)))*CROQUIS!$C$159)+IF(CROQUIS!$C$92="X",0.8,0)),-1000)</f>
        <v>-1000</v>
      </c>
      <c r="BV3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HOOSE(IF(INT(($A371-1)/5)&gt;MAX((MAX(1,INT(((CROQUIS!$C$97)-CROQUIS!$C$107)/MAX((CROQUIS!$C$141*MAX(1,CEILING((INT(((CROQUIS!$C$97)-CROQUIS!$C$107)/MAX(CROQUIS!$C$141,1))+1)/80,1))),1))+1))-1,0),0,MOD($A371-1,5))+1,0,IF(CROQUIS!$C$105=1,-12,2),CROQUIS!$C$107/2+CROQUIS!$C$144,IF(CROQUIS!$C$105=1,-12,2),0)))*CROQUIS!$C$159)+IF(CROQUIS!$C$92="X",0.8,0)),-1000)</f>
        <v>-1000</v>
      </c>
      <c r="BW371">
        <f>IF(AND(CROQUIS!$C$88=1,CROQUIS!$C$91=0,CROQUIS!$C$141&gt;0,OR(CROQUIS!$C$105=1,CROQUIS!$C$146=1)),((CROQUIS!$C$161+(IF(CROQUIS!$C$92="X",CHOOSE(IF(INT(($A371-1)/5)&gt;MAX((MAX(1,INT(((CROQUIS!$C$97)-CROQUIS!$C$107)/MAX((CROQUIS!$C$141*MAX(1,CEILING((INT(((CROQUIS!$C$97)-CROQUIS!$C$107)/MAX(CROQUIS!$C$141,1))+1)/80,1))),1))+1))-1,0),0,MOD($A371-1,5))+1,0,IF(CROQUIS!$C$105=1,-12,2),CROQUIS!$C$107/2+CROQUIS!$C$144,IF(CROQUIS!$C$105=1,-12,2),0),((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ROQUIS!$C$159)+IF(CROQUIS!$C$92="X",0,0.8)),-1000)</f>
        <v>-1000</v>
      </c>
      <c r="BX3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HOOSE(IF(INT(($A371-1)/5)&gt;MAX((MAX(1,INT(((CROQUIS!$C$97)-CROQUIS!$C$107)/MAX((CROQUIS!$C$141*MAX(1,CEILING((INT(((CROQUIS!$C$97)-CROQUIS!$C$107)/MAX(CROQUIS!$C$141,1))+1)/80,1))),1))+1))-1,0),0,MOD($A371-1,5))+1,CROQUIS!$C$98,CROQUIS!$C$98-CROQUIS!$C$107/2-CROQUIS!$C$144,IF(CROQUIS!$C$106=1,CROQUIS!$C$98+12,CROQUIS!$C$98-2),CROQUIS!$C$98-CROQUIS!$C$107/2-CROQUIS!$C$144,CROQUIS!$C$98)))*CROQUIS!$C$159)+IF(CROQUIS!$C$92="X",0.8,0)),-1000)</f>
        <v>-1000</v>
      </c>
      <c r="BY371">
        <f>IF(AND(CROQUIS!$C$88=1,CROQUIS!$C$91=0,CROQUIS!$C$141&gt;0,OR(CROQUIS!$C$106=1,CROQUIS!$C$146=1)),((CROQUIS!$C$161+(IF(CROQUIS!$C$92="X",CHOOSE(IF(INT(($A371-1)/5)&gt;MAX((MAX(1,INT(((CROQUIS!$C$97)-CROQUIS!$C$107)/MAX((CROQUIS!$C$141*MAX(1,CEILING((INT(((CROQUIS!$C$97)-CROQUIS!$C$107)/MAX(CROQUIS!$C$141,1))+1)/80,1))),1))+1))-1,0),0,MOD($A371-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ROQUIS!$C$159)+IF(CROQUIS!$C$92="X",0,0.8)),-1000)</f>
        <v>-1000</v>
      </c>
      <c r="BZ371">
        <f>IF(AND(CROQUIS!$C$88=1,CROQUIS!$C$91=1,CROQUIS!$C$133&gt;0),((CROQUIS!$C$160+(IF(CROQUIS!$C$92="X",CHOOSE(IF(INT(($A371-1)/5)&gt;MAX((MAX(1,INT(((CROQUIS!$C$98)-CROQUIS!$C$107)/MAX((CROQUIS!$C$133*MAX(1,CEILING((INT(((CROQUIS!$C$98)-CROQUIS!$C$107)/MAX(CROQUIS!$C$133,1))+1)/80,1))),1))+1))-1,0),0,MOD($A371-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CA371">
        <f>IF(AND(CROQUIS!$C$88=1,CROQUIS!$C$91=1,CROQUIS!$C$133&gt;0),((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2">
      <c r="A372" t="n">
        <v>365</v>
      </c>
      <c r="BN372">
        <f>IF(AND(CROQUIS!$C$88=1,CROQUIS!$C$129&gt;0),((CROQUIS!$C$160+(IF(CROQUIS!$C$92="X",CHOOSE(IF(INT(($A372-1)/5)&gt;MAX((MAX(1,INT(((CROQUIS!$C$98)-CROQUIS!$C$107)/MAX((CROQUIS!$C$129*MAX(1,CEILING((INT(((CROQUIS!$C$98)-CROQUIS!$C$107)/MAX(CROQUIS!$C$129,1))+1)/80,1))),1))+1))-1,0),0,MOD($A372-1,5))+1,0,2,CROQUIS!$C$97-2,2,0),((CROQUIS!$C$107/2+(((CROQUIS!$C$98)-CROQUIS!$C$107)-(MAX(1,INT(((CROQUIS!$C$98)-CROQUIS!$C$107)/MAX((CROQUIS!$C$129*MAX(1,CEILING((INT(((CROQUIS!$C$98)-CROQUIS!$C$107)/MAX(CROQUIS!$C$129,1))+1)/80,1))),1))+1)-1)*(CROQUIS!$C$129*MAX(1,CEILING((INT(((CROQUIS!$C$98)-CROQUIS!$C$107)/MAX(CROQUIS!$C$129,1))+1)/80,1))))/2)+MIN(INT(($A372-1)/5),MAX((MAX(1,INT(((CROQUIS!$C$98)-CROQUIS!$C$107)/MAX((CROQUIS!$C$129*MAX(1,CEILING((INT(((CROQUIS!$C$98)-CROQUIS!$C$107)/MAX(CROQUIS!$C$129,1))+1)/80,1))),1))+1))-1,0))*(CROQUIS!$C$129*MAX(1,CEILING((INT(((CROQUIS!$C$98)-CROQUIS!$C$107)/MAX(CROQUIS!$C$129,1))+1)/80,1))))))*CROQUIS!$C$159)+IF(CROQUIS!$C$92="X",0,0)),-1000)</f>
        <v>-1000</v>
      </c>
      <c r="BO372">
        <f>IF(AND(CROQUIS!$C$88=1,CROQUIS!$C$129&gt;0),((CROQUIS!$C$161+(IF(CROQUIS!$C$92="X",((CROQUIS!$C$107/2+(((CROQUIS!$C$98)-CROQUIS!$C$107)-(MAX(1,INT(((CROQUIS!$C$98)-CROQUIS!$C$107)/MAX((CROQUIS!$C$129*MAX(1,CEILING((INT(((CROQUIS!$C$98)-CROQUIS!$C$107)/MAX(CROQUIS!$C$129,1))+1)/80,1))),1))+1)-1)*(CROQUIS!$C$129*MAX(1,CEILING((INT(((CROQUIS!$C$98)-CROQUIS!$C$107)/MAX(CROQUIS!$C$129,1))+1)/80,1))))/2)+MIN(INT(($A372-1)/5),MAX((MAX(1,INT(((CROQUIS!$C$98)-CROQUIS!$C$107)/MAX((CROQUIS!$C$129*MAX(1,CEILING((INT(((CROQUIS!$C$98)-CROQUIS!$C$107)/MAX(CROQUIS!$C$129,1))+1)/80,1))),1))+1))-1,0))*(CROQUIS!$C$129*MAX(1,CEILING((INT(((CROQUIS!$C$98)-CROQUIS!$C$107)/MAX(CROQUIS!$C$129,1))+1)/80,1)))),CHOOSE(IF(INT(($A372-1)/5)&gt;MAX((MAX(1,INT(((CROQUIS!$C$98)-CROQUIS!$C$107)/MAX((CROQUIS!$C$129*MAX(1,CEILING((INT(((CROQUIS!$C$98)-CROQUIS!$C$107)/MAX(CROQUIS!$C$129,1))+1)/80,1))),1))+1))-1,0),0,MOD($A372-1,5))+1,0,2,CROQUIS!$C$97-2,2,0)))*CROQUIS!$C$159)+IF(CROQUIS!$C$92="X",0,0)),-1000)</f>
        <v>-1000</v>
      </c>
      <c r="BP372">
        <f>IF(AND(CROQUIS!$C$88=1,CROQUIS!$C$137&gt;0),((CROQUIS!$C$160+(IF(CROQUIS!$C$92="X",((CROQUIS!$C$107/2+(((CROQUIS!$C$97)-CROQUIS!$C$107)-(MAX(1,INT(((CROQUIS!$C$97)-CROQUIS!$C$107)/MAX((CROQUIS!$C$137*MAX(1,CEILING((INT(((CROQUIS!$C$97)-CROQUIS!$C$107)/MAX(CROQUIS!$C$137,1))+1)/80,1))),1))+1)-1)*(CROQUIS!$C$137*MAX(1,CEILING((INT(((CROQUIS!$C$97)-CROQUIS!$C$107)/MAX(CROQUIS!$C$137,1))+1)/80,1))))/2)+MIN(INT(($A372-1)/5),MAX((MAX(1,INT(((CROQUIS!$C$97)-CROQUIS!$C$107)/MAX((CROQUIS!$C$137*MAX(1,CEILING((INT(((CROQUIS!$C$97)-CROQUIS!$C$107)/MAX(CROQUIS!$C$137,1))+1)/80,1))),1))+1))-1,0))*(CROQUIS!$C$137*MAX(1,CEILING((INT(((CROQUIS!$C$97)-CROQUIS!$C$107)/MAX(CROQUIS!$C$137,1))+1)/80,1)))),CHOOSE(IF(INT(($A372-1)/5)&gt;MAX((MAX(1,INT(((CROQUIS!$C$97)-CROQUIS!$C$107)/MAX((CROQUIS!$C$137*MAX(1,CEILING((INT(((CROQUIS!$C$97)-CROQUIS!$C$107)/MAX(CROQUIS!$C$137,1))+1)/80,1))),1))+1))-1,0),0,MOD($A372-1,5))+1,0,2,CROQUIS!$C$98-2,2,0)))*CROQUIS!$C$159)+IF(CROQUIS!$C$92="X",0,0)),-1000)</f>
        <v>-1000</v>
      </c>
      <c r="BQ372">
        <f>IF(AND(CROQUIS!$C$88=1,CROQUIS!$C$137&gt;0),((CROQUIS!$C$161+(IF(CROQUIS!$C$92="X",CHOOSE(IF(INT(($A372-1)/5)&gt;MAX((MAX(1,INT(((CROQUIS!$C$97)-CROQUIS!$C$107)/MAX((CROQUIS!$C$137*MAX(1,CEILING((INT(((CROQUIS!$C$97)-CROQUIS!$C$107)/MAX(CROQUIS!$C$137,1))+1)/80,1))),1))+1))-1,0),0,MOD($A372-1,5))+1,0,2,CROQUIS!$C$98-2,2,0),((CROQUIS!$C$107/2+(((CROQUIS!$C$97)-CROQUIS!$C$107)-(MAX(1,INT(((CROQUIS!$C$97)-CROQUIS!$C$107)/MAX((CROQUIS!$C$137*MAX(1,CEILING((INT(((CROQUIS!$C$97)-CROQUIS!$C$107)/MAX(CROQUIS!$C$137,1))+1)/80,1))),1))+1)-1)*(CROQUIS!$C$137*MAX(1,CEILING((INT(((CROQUIS!$C$97)-CROQUIS!$C$107)/MAX(CROQUIS!$C$137,1))+1)/80,1))))/2)+MIN(INT(($A372-1)/5),MAX((MAX(1,INT(((CROQUIS!$C$97)-CROQUIS!$C$107)/MAX((CROQUIS!$C$137*MAX(1,CEILING((INT(((CROQUIS!$C$97)-CROQUIS!$C$107)/MAX(CROQUIS!$C$137,1))+1)/80,1))),1))+1))-1,0))*(CROQUIS!$C$137*MAX(1,CEILING((INT(((CROQUIS!$C$97)-CROQUIS!$C$107)/MAX(CROQUIS!$C$137,1))+1)/80,1))))))*CROQUIS!$C$159)+IF(CROQUIS!$C$92="X",0,0)),-1000)</f>
        <v>-1000</v>
      </c>
      <c r="BR372">
        <f>IF(AND(CROQUIS!$C$88=1,CROQUIS!$C$91=0,CROQUIS!$C$133&gt;0,OR(CROQUIS!$C$103=1,CROQUIS!$C$145=1)),((CROQUIS!$C$160+(IF(CROQUIS!$C$92="X",CHOOSE(IF(INT(($A372-1)/5)&gt;MAX((MAX(1,INT(((CROQUIS!$C$98)-CROQUIS!$C$107)/MAX((CROQUIS!$C$133*MAX(1,CEILING((INT(((CROQUIS!$C$98)-CROQUIS!$C$107)/MAX(CROQUIS!$C$133,1))+1)/80,1))),1))+1))-1,0),0,MOD($A372-1,5))+1,0,IF(CROQUIS!$C$103=1,-12,2),CROQUIS!$C$107/2+CROQUIS!$C$143,IF(CROQUIS!$C$103=1,-12,2),0),((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BS3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+1,0,IF(CROQUIS!$C$103=1,-12,2),CROQUIS!$C$107/2+CROQUIS!$C$143,IF(CROQUIS!$C$103=1,-12,2),0)))*CROQUIS!$C$159)+IF(CROQUIS!$C$92="X",0.8,0)),-1000)</f>
        <v>-1000</v>
      </c>
      <c r="BT372">
        <f>IF(AND(CROQUIS!$C$88=1,CROQUIS!$C$91=0,CROQUIS!$C$133&gt;0,OR(CROQUIS!$C$104=1,CROQUIS!$C$145=1)),((CROQUIS!$C$160+(IF(CROQUIS!$C$92="X",CHOOSE(IF(INT(($A372-1)/5)&gt;MAX((MAX(1,INT(((CROQUIS!$C$98)-CROQUIS!$C$107)/MAX((CROQUIS!$C$133*MAX(1,CEILING((INT(((CROQUIS!$C$98)-CROQUIS!$C$107)/MAX(CROQUIS!$C$133,1))+1)/80,1))),1))+1))-1,0),0,MOD($A372-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BU3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CROQUIS!$C$97,CROQUIS!$C$97-CROQUIS!$C$107/2-CROQUIS!$C$143,IF(CROQUIS!$C$104=1,CROQUIS!$C$97+12,CROQUIS!$C$97-2),CROQUIS!$C$97-CROQUIS!$C$107/2-CROQUIS!$C$143,CROQUIS!$C$97)))*CROQUIS!$C$159)+IF(CROQUIS!$C$92="X",0.8,0)),-1000)</f>
        <v>-1000</v>
      </c>
      <c r="BV3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HOOSE(IF(INT(($A372-1)/5)&gt;MAX((MAX(1,INT(((CROQUIS!$C$97)-CROQUIS!$C$107)/MAX((CROQUIS!$C$141*MAX(1,CEILING((INT(((CROQUIS!$C$97)-CROQUIS!$C$107)/MAX(CROQUIS!$C$141,1))+1)/80,1))),1))+1))-1,0),0,MOD($A372-1,5))+1,0,IF(CROQUIS!$C$105=1,-12,2),CROQUIS!$C$107/2+CROQUIS!$C$144,IF(CROQUIS!$C$105=1,-12,2),0)))*CROQUIS!$C$159)+IF(CROQUIS!$C$92="X",0.8,0)),-1000)</f>
        <v>-1000</v>
      </c>
      <c r="BW372">
        <f>IF(AND(CROQUIS!$C$88=1,CROQUIS!$C$91=0,CROQUIS!$C$141&gt;0,OR(CROQUIS!$C$105=1,CROQUIS!$C$146=1)),((CROQUIS!$C$161+(IF(CROQUIS!$C$92="X",CHOOSE(IF(INT(($A372-1)/5)&gt;MAX((MAX(1,INT(((CROQUIS!$C$97)-CROQUIS!$C$107)/MAX((CROQUIS!$C$141*MAX(1,CEILING((INT(((CROQUIS!$C$97)-CROQUIS!$C$107)/MAX(CROQUIS!$C$141,1))+1)/80,1))),1))+1))-1,0),0,MOD($A372-1,5))+1,0,IF(CROQUIS!$C$105=1,-12,2),CROQUIS!$C$107/2+CROQUIS!$C$144,IF(CROQUIS!$C$105=1,-12,2),0),((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ROQUIS!$C$159)+IF(CROQUIS!$C$92="X",0,0.8)),-1000)</f>
        <v>-1000</v>
      </c>
      <c r="BX3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HOOSE(IF(INT(($A372-1)/5)&gt;MAX((MAX(1,INT(((CROQUIS!$C$97)-CROQUIS!$C$107)/MAX((CROQUIS!$C$141*MAX(1,CEILING((INT(((CROQUIS!$C$97)-CROQUIS!$C$107)/MAX(CROQUIS!$C$141,1))+1)/80,1))),1))+1))-1,0),0,MOD($A372-1,5))+1,CROQUIS!$C$98,CROQUIS!$C$98-CROQUIS!$C$107/2-CROQUIS!$C$144,IF(CROQUIS!$C$106=1,CROQUIS!$C$98+12,CROQUIS!$C$98-2),CROQUIS!$C$98-CROQUIS!$C$107/2-CROQUIS!$C$144,CROQUIS!$C$98)))*CROQUIS!$C$159)+IF(CROQUIS!$C$92="X",0.8,0)),-1000)</f>
        <v>-1000</v>
      </c>
      <c r="BY372">
        <f>IF(AND(CROQUIS!$C$88=1,CROQUIS!$C$91=0,CROQUIS!$C$141&gt;0,OR(CROQUIS!$C$106=1,CROQUIS!$C$146=1)),((CROQUIS!$C$161+(IF(CROQUIS!$C$92="X",CHOOSE(IF(INT(($A372-1)/5)&gt;MAX((MAX(1,INT(((CROQUIS!$C$97)-CROQUIS!$C$107)/MAX((CROQUIS!$C$141*MAX(1,CEILING((INT(((CROQUIS!$C$97)-CROQUIS!$C$107)/MAX(CROQUIS!$C$141,1))+1)/80,1))),1))+1))-1,0),0,MOD($A372-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ROQUIS!$C$159)+IF(CROQUIS!$C$92="X",0,0.8)),-1000)</f>
        <v>-1000</v>
      </c>
      <c r="BZ372">
        <f>IF(AND(CROQUIS!$C$88=1,CROQUIS!$C$91=1,CROQUIS!$C$133&gt;0),((CROQUIS!$C$160+(IF(CROQUIS!$C$92="X",CHOOSE(IF(INT(($A372-1)/5)&gt;MAX((MAX(1,INT(((CROQUIS!$C$98)-CROQUIS!$C$107)/MAX((CROQUIS!$C$133*MAX(1,CEILING((INT(((CROQUIS!$C$98)-CROQUIS!$C$107)/MAX(CROQUIS!$C$133,1))+1)/80,1))),1))+1))-1,0),0,MOD($A372-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CA372">
        <f>IF(AND(CROQUIS!$C$88=1,CROQUIS!$C$91=1,CROQUIS!$C$133&gt;0),((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3">
      <c r="A373" t="n">
        <v>366</v>
      </c>
      <c r="BN373">
        <f>IF(AND(CROQUIS!$C$88=1,CROQUIS!$C$129&gt;0),((CROQUIS!$C$160+(IF(CROQUIS!$C$92="X",CHOOSE(IF(INT(($A373-1)/5)&gt;MAX((MAX(1,INT(((CROQUIS!$C$98)-CROQUIS!$C$107)/MAX((CROQUIS!$C$129*MAX(1,CEILING((INT(((CROQUIS!$C$98)-CROQUIS!$C$107)/MAX(CROQUIS!$C$129,1))+1)/80,1))),1))+1))-1,0),0,MOD($A373-1,5))+1,0,2,CROQUIS!$C$97-2,2,0),((CROQUIS!$C$107/2+(((CROQUIS!$C$98)-CROQUIS!$C$107)-(MAX(1,INT(((CROQUIS!$C$98)-CROQUIS!$C$107)/MAX((CROQUIS!$C$129*MAX(1,CEILING((INT(((CROQUIS!$C$98)-CROQUIS!$C$107)/MAX(CROQUIS!$C$129,1))+1)/80,1))),1))+1)-1)*(CROQUIS!$C$129*MAX(1,CEILING((INT(((CROQUIS!$C$98)-CROQUIS!$C$107)/MAX(CROQUIS!$C$129,1))+1)/80,1))))/2)+MIN(INT(($A373-1)/5),MAX((MAX(1,INT(((CROQUIS!$C$98)-CROQUIS!$C$107)/MAX((CROQUIS!$C$129*MAX(1,CEILING((INT(((CROQUIS!$C$98)-CROQUIS!$C$107)/MAX(CROQUIS!$C$129,1))+1)/80,1))),1))+1))-1,0))*(CROQUIS!$C$129*MAX(1,CEILING((INT(((CROQUIS!$C$98)-CROQUIS!$C$107)/MAX(CROQUIS!$C$129,1))+1)/80,1))))))*CROQUIS!$C$159)+IF(CROQUIS!$C$92="X",0,0)),-1000)</f>
        <v>-1000</v>
      </c>
      <c r="BO373">
        <f>IF(AND(CROQUIS!$C$88=1,CROQUIS!$C$129&gt;0),((CROQUIS!$C$161+(IF(CROQUIS!$C$92="X",((CROQUIS!$C$107/2+(((CROQUIS!$C$98)-CROQUIS!$C$107)-(MAX(1,INT(((CROQUIS!$C$98)-CROQUIS!$C$107)/MAX((CROQUIS!$C$129*MAX(1,CEILING((INT(((CROQUIS!$C$98)-CROQUIS!$C$107)/MAX(CROQUIS!$C$129,1))+1)/80,1))),1))+1)-1)*(CROQUIS!$C$129*MAX(1,CEILING((INT(((CROQUIS!$C$98)-CROQUIS!$C$107)/MAX(CROQUIS!$C$129,1))+1)/80,1))))/2)+MIN(INT(($A373-1)/5),MAX((MAX(1,INT(((CROQUIS!$C$98)-CROQUIS!$C$107)/MAX((CROQUIS!$C$129*MAX(1,CEILING((INT(((CROQUIS!$C$98)-CROQUIS!$C$107)/MAX(CROQUIS!$C$129,1))+1)/80,1))),1))+1))-1,0))*(CROQUIS!$C$129*MAX(1,CEILING((INT(((CROQUIS!$C$98)-CROQUIS!$C$107)/MAX(CROQUIS!$C$129,1))+1)/80,1)))),CHOOSE(IF(INT(($A373-1)/5)&gt;MAX((MAX(1,INT(((CROQUIS!$C$98)-CROQUIS!$C$107)/MAX((CROQUIS!$C$129*MAX(1,CEILING((INT(((CROQUIS!$C$98)-CROQUIS!$C$107)/MAX(CROQUIS!$C$129,1))+1)/80,1))),1))+1))-1,0),0,MOD($A373-1,5))+1,0,2,CROQUIS!$C$97-2,2,0)))*CROQUIS!$C$159)+IF(CROQUIS!$C$92="X",0,0)),-1000)</f>
        <v>-1000</v>
      </c>
      <c r="BP373">
        <f>IF(AND(CROQUIS!$C$88=1,CROQUIS!$C$137&gt;0),((CROQUIS!$C$160+(IF(CROQUIS!$C$92="X",((CROQUIS!$C$107/2+(((CROQUIS!$C$97)-CROQUIS!$C$107)-(MAX(1,INT(((CROQUIS!$C$97)-CROQUIS!$C$107)/MAX((CROQUIS!$C$137*MAX(1,CEILING((INT(((CROQUIS!$C$97)-CROQUIS!$C$107)/MAX(CROQUIS!$C$137,1))+1)/80,1))),1))+1)-1)*(CROQUIS!$C$137*MAX(1,CEILING((INT(((CROQUIS!$C$97)-CROQUIS!$C$107)/MAX(CROQUIS!$C$137,1))+1)/80,1))))/2)+MIN(INT(($A373-1)/5),MAX((MAX(1,INT(((CROQUIS!$C$97)-CROQUIS!$C$107)/MAX((CROQUIS!$C$137*MAX(1,CEILING((INT(((CROQUIS!$C$97)-CROQUIS!$C$107)/MAX(CROQUIS!$C$137,1))+1)/80,1))),1))+1))-1,0))*(CROQUIS!$C$137*MAX(1,CEILING((INT(((CROQUIS!$C$97)-CROQUIS!$C$107)/MAX(CROQUIS!$C$137,1))+1)/80,1)))),CHOOSE(IF(INT(($A373-1)/5)&gt;MAX((MAX(1,INT(((CROQUIS!$C$97)-CROQUIS!$C$107)/MAX((CROQUIS!$C$137*MAX(1,CEILING((INT(((CROQUIS!$C$97)-CROQUIS!$C$107)/MAX(CROQUIS!$C$137,1))+1)/80,1))),1))+1))-1,0),0,MOD($A373-1,5))+1,0,2,CROQUIS!$C$98-2,2,0)))*CROQUIS!$C$159)+IF(CROQUIS!$C$92="X",0,0)),-1000)</f>
        <v>-1000</v>
      </c>
      <c r="BQ373">
        <f>IF(AND(CROQUIS!$C$88=1,CROQUIS!$C$137&gt;0),((CROQUIS!$C$161+(IF(CROQUIS!$C$92="X",CHOOSE(IF(INT(($A373-1)/5)&gt;MAX((MAX(1,INT(((CROQUIS!$C$97)-CROQUIS!$C$107)/MAX((CROQUIS!$C$137*MAX(1,CEILING((INT(((CROQUIS!$C$97)-CROQUIS!$C$107)/MAX(CROQUIS!$C$137,1))+1)/80,1))),1))+1))-1,0),0,MOD($A373-1,5))+1,0,2,CROQUIS!$C$98-2,2,0),((CROQUIS!$C$107/2+(((CROQUIS!$C$97)-CROQUIS!$C$107)-(MAX(1,INT(((CROQUIS!$C$97)-CROQUIS!$C$107)/MAX((CROQUIS!$C$137*MAX(1,CEILING((INT(((CROQUIS!$C$97)-CROQUIS!$C$107)/MAX(CROQUIS!$C$137,1))+1)/80,1))),1))+1)-1)*(CROQUIS!$C$137*MAX(1,CEILING((INT(((CROQUIS!$C$97)-CROQUIS!$C$107)/MAX(CROQUIS!$C$137,1))+1)/80,1))))/2)+MIN(INT(($A373-1)/5),MAX((MAX(1,INT(((CROQUIS!$C$97)-CROQUIS!$C$107)/MAX((CROQUIS!$C$137*MAX(1,CEILING((INT(((CROQUIS!$C$97)-CROQUIS!$C$107)/MAX(CROQUIS!$C$137,1))+1)/80,1))),1))+1))-1,0))*(CROQUIS!$C$137*MAX(1,CEILING((INT(((CROQUIS!$C$97)-CROQUIS!$C$107)/MAX(CROQUIS!$C$137,1))+1)/80,1))))))*CROQUIS!$C$159)+IF(CROQUIS!$C$92="X",0,0)),-1000)</f>
        <v>-1000</v>
      </c>
      <c r="BR373">
        <f>IF(AND(CROQUIS!$C$88=1,CROQUIS!$C$91=0,CROQUIS!$C$133&gt;0,OR(CROQUIS!$C$103=1,CROQUIS!$C$145=1)),((CROQUIS!$C$160+(IF(CROQUIS!$C$92="X",CHOOSE(IF(INT(($A373-1)/5)&gt;MAX((MAX(1,INT(((CROQUIS!$C$98)-CROQUIS!$C$107)/MAX((CROQUIS!$C$133*MAX(1,CEILING((INT(((CROQUIS!$C$98)-CROQUIS!$C$107)/MAX(CROQUIS!$C$133,1))+1)/80,1))),1))+1))-1,0),0,MOD($A373-1,5))+1,0,IF(CROQUIS!$C$103=1,-12,2),CROQUIS!$C$107/2+CROQUIS!$C$143,IF(CROQUIS!$C$103=1,-12,2),0),((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BS3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+1,0,IF(CROQUIS!$C$103=1,-12,2),CROQUIS!$C$107/2+CROQUIS!$C$143,IF(CROQUIS!$C$103=1,-12,2),0)))*CROQUIS!$C$159)+IF(CROQUIS!$C$92="X",0.8,0)),-1000)</f>
        <v>-1000</v>
      </c>
      <c r="BT373">
        <f>IF(AND(CROQUIS!$C$88=1,CROQUIS!$C$91=0,CROQUIS!$C$133&gt;0,OR(CROQUIS!$C$104=1,CROQUIS!$C$145=1)),((CROQUIS!$C$160+(IF(CROQUIS!$C$92="X",CHOOSE(IF(INT(($A373-1)/5)&gt;MAX((MAX(1,INT(((CROQUIS!$C$98)-CROQUIS!$C$107)/MAX((CROQUIS!$C$133*MAX(1,CEILING((INT(((CROQUIS!$C$98)-CROQUIS!$C$107)/MAX(CROQUIS!$C$133,1))+1)/80,1))),1))+1))-1,0),0,MOD($A373-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BU3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CROQUIS!$C$97,CROQUIS!$C$97-CROQUIS!$C$107/2-CROQUIS!$C$143,IF(CROQUIS!$C$104=1,CROQUIS!$C$97+12,CROQUIS!$C$97-2),CROQUIS!$C$97-CROQUIS!$C$107/2-CROQUIS!$C$143,CROQUIS!$C$97)))*CROQUIS!$C$159)+IF(CROQUIS!$C$92="X",0.8,0)),-1000)</f>
        <v>-1000</v>
      </c>
      <c r="BV3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HOOSE(IF(INT(($A373-1)/5)&gt;MAX((MAX(1,INT(((CROQUIS!$C$97)-CROQUIS!$C$107)/MAX((CROQUIS!$C$141*MAX(1,CEILING((INT(((CROQUIS!$C$97)-CROQUIS!$C$107)/MAX(CROQUIS!$C$141,1))+1)/80,1))),1))+1))-1,0),0,MOD($A373-1,5))+1,0,IF(CROQUIS!$C$105=1,-12,2),CROQUIS!$C$107/2+CROQUIS!$C$144,IF(CROQUIS!$C$105=1,-12,2),0)))*CROQUIS!$C$159)+IF(CROQUIS!$C$92="X",0.8,0)),-1000)</f>
        <v>-1000</v>
      </c>
      <c r="BW373">
        <f>IF(AND(CROQUIS!$C$88=1,CROQUIS!$C$91=0,CROQUIS!$C$141&gt;0,OR(CROQUIS!$C$105=1,CROQUIS!$C$146=1)),((CROQUIS!$C$161+(IF(CROQUIS!$C$92="X",CHOOSE(IF(INT(($A373-1)/5)&gt;MAX((MAX(1,INT(((CROQUIS!$C$97)-CROQUIS!$C$107)/MAX((CROQUIS!$C$141*MAX(1,CEILING((INT(((CROQUIS!$C$97)-CROQUIS!$C$107)/MAX(CROQUIS!$C$141,1))+1)/80,1))),1))+1))-1,0),0,MOD($A373-1,5))+1,0,IF(CROQUIS!$C$105=1,-12,2),CROQUIS!$C$107/2+CROQUIS!$C$144,IF(CROQUIS!$C$105=1,-12,2),0),((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ROQUIS!$C$159)+IF(CROQUIS!$C$92="X",0,0.8)),-1000)</f>
        <v>-1000</v>
      </c>
      <c r="BX3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HOOSE(IF(INT(($A373-1)/5)&gt;MAX((MAX(1,INT(((CROQUIS!$C$97)-CROQUIS!$C$107)/MAX((CROQUIS!$C$141*MAX(1,CEILING((INT(((CROQUIS!$C$97)-CROQUIS!$C$107)/MAX(CROQUIS!$C$141,1))+1)/80,1))),1))+1))-1,0),0,MOD($A373-1,5))+1,CROQUIS!$C$98,CROQUIS!$C$98-CROQUIS!$C$107/2-CROQUIS!$C$144,IF(CROQUIS!$C$106=1,CROQUIS!$C$98+12,CROQUIS!$C$98-2),CROQUIS!$C$98-CROQUIS!$C$107/2-CROQUIS!$C$144,CROQUIS!$C$98)))*CROQUIS!$C$159)+IF(CROQUIS!$C$92="X",0.8,0)),-1000)</f>
        <v>-1000</v>
      </c>
      <c r="BY373">
        <f>IF(AND(CROQUIS!$C$88=1,CROQUIS!$C$91=0,CROQUIS!$C$141&gt;0,OR(CROQUIS!$C$106=1,CROQUIS!$C$146=1)),((CROQUIS!$C$161+(IF(CROQUIS!$C$92="X",CHOOSE(IF(INT(($A373-1)/5)&gt;MAX((MAX(1,INT(((CROQUIS!$C$97)-CROQUIS!$C$107)/MAX((CROQUIS!$C$141*MAX(1,CEILING((INT(((CROQUIS!$C$97)-CROQUIS!$C$107)/MAX(CROQUIS!$C$141,1))+1)/80,1))),1))+1))-1,0),0,MOD($A373-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ROQUIS!$C$159)+IF(CROQUIS!$C$92="X",0,0.8)),-1000)</f>
        <v>-1000</v>
      </c>
      <c r="BZ373">
        <f>IF(AND(CROQUIS!$C$88=1,CROQUIS!$C$91=1,CROQUIS!$C$133&gt;0),((CROQUIS!$C$160+(IF(CROQUIS!$C$92="X",CHOOSE(IF(INT(($A373-1)/5)&gt;MAX((MAX(1,INT(((CROQUIS!$C$98)-CROQUIS!$C$107)/MAX((CROQUIS!$C$133*MAX(1,CEILING((INT(((CROQUIS!$C$98)-CROQUIS!$C$107)/MAX(CROQUIS!$C$133,1))+1)/80,1))),1))+1))-1,0),0,MOD($A373-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CA373">
        <f>IF(AND(CROQUIS!$C$88=1,CROQUIS!$C$91=1,CROQUIS!$C$133&gt;0),((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4">
      <c r="A374" t="n">
        <v>367</v>
      </c>
      <c r="BN374">
        <f>IF(AND(CROQUIS!$C$88=1,CROQUIS!$C$129&gt;0),((CROQUIS!$C$160+(IF(CROQUIS!$C$92="X",CHOOSE(IF(INT(($A374-1)/5)&gt;MAX((MAX(1,INT(((CROQUIS!$C$98)-CROQUIS!$C$107)/MAX((CROQUIS!$C$129*MAX(1,CEILING((INT(((CROQUIS!$C$98)-CROQUIS!$C$107)/MAX(CROQUIS!$C$129,1))+1)/80,1))),1))+1))-1,0),0,MOD($A374-1,5))+1,0,2,CROQUIS!$C$97-2,2,0),((CROQUIS!$C$107/2+(((CROQUIS!$C$98)-CROQUIS!$C$107)-(MAX(1,INT(((CROQUIS!$C$98)-CROQUIS!$C$107)/MAX((CROQUIS!$C$129*MAX(1,CEILING((INT(((CROQUIS!$C$98)-CROQUIS!$C$107)/MAX(CROQUIS!$C$129,1))+1)/80,1))),1))+1)-1)*(CROQUIS!$C$129*MAX(1,CEILING((INT(((CROQUIS!$C$98)-CROQUIS!$C$107)/MAX(CROQUIS!$C$129,1))+1)/80,1))))/2)+MIN(INT(($A374-1)/5),MAX((MAX(1,INT(((CROQUIS!$C$98)-CROQUIS!$C$107)/MAX((CROQUIS!$C$129*MAX(1,CEILING((INT(((CROQUIS!$C$98)-CROQUIS!$C$107)/MAX(CROQUIS!$C$129,1))+1)/80,1))),1))+1))-1,0))*(CROQUIS!$C$129*MAX(1,CEILING((INT(((CROQUIS!$C$98)-CROQUIS!$C$107)/MAX(CROQUIS!$C$129,1))+1)/80,1))))))*CROQUIS!$C$159)+IF(CROQUIS!$C$92="X",0,0)),-1000)</f>
        <v>-1000</v>
      </c>
      <c r="BO374">
        <f>IF(AND(CROQUIS!$C$88=1,CROQUIS!$C$129&gt;0),((CROQUIS!$C$161+(IF(CROQUIS!$C$92="X",((CROQUIS!$C$107/2+(((CROQUIS!$C$98)-CROQUIS!$C$107)-(MAX(1,INT(((CROQUIS!$C$98)-CROQUIS!$C$107)/MAX((CROQUIS!$C$129*MAX(1,CEILING((INT(((CROQUIS!$C$98)-CROQUIS!$C$107)/MAX(CROQUIS!$C$129,1))+1)/80,1))),1))+1)-1)*(CROQUIS!$C$129*MAX(1,CEILING((INT(((CROQUIS!$C$98)-CROQUIS!$C$107)/MAX(CROQUIS!$C$129,1))+1)/80,1))))/2)+MIN(INT(($A374-1)/5),MAX((MAX(1,INT(((CROQUIS!$C$98)-CROQUIS!$C$107)/MAX((CROQUIS!$C$129*MAX(1,CEILING((INT(((CROQUIS!$C$98)-CROQUIS!$C$107)/MAX(CROQUIS!$C$129,1))+1)/80,1))),1))+1))-1,0))*(CROQUIS!$C$129*MAX(1,CEILING((INT(((CROQUIS!$C$98)-CROQUIS!$C$107)/MAX(CROQUIS!$C$129,1))+1)/80,1)))),CHOOSE(IF(INT(($A374-1)/5)&gt;MAX((MAX(1,INT(((CROQUIS!$C$98)-CROQUIS!$C$107)/MAX((CROQUIS!$C$129*MAX(1,CEILING((INT(((CROQUIS!$C$98)-CROQUIS!$C$107)/MAX(CROQUIS!$C$129,1))+1)/80,1))),1))+1))-1,0),0,MOD($A374-1,5))+1,0,2,CROQUIS!$C$97-2,2,0)))*CROQUIS!$C$159)+IF(CROQUIS!$C$92="X",0,0)),-1000)</f>
        <v>-1000</v>
      </c>
      <c r="BP374">
        <f>IF(AND(CROQUIS!$C$88=1,CROQUIS!$C$137&gt;0),((CROQUIS!$C$160+(IF(CROQUIS!$C$92="X",((CROQUIS!$C$107/2+(((CROQUIS!$C$97)-CROQUIS!$C$107)-(MAX(1,INT(((CROQUIS!$C$97)-CROQUIS!$C$107)/MAX((CROQUIS!$C$137*MAX(1,CEILING((INT(((CROQUIS!$C$97)-CROQUIS!$C$107)/MAX(CROQUIS!$C$137,1))+1)/80,1))),1))+1)-1)*(CROQUIS!$C$137*MAX(1,CEILING((INT(((CROQUIS!$C$97)-CROQUIS!$C$107)/MAX(CROQUIS!$C$137,1))+1)/80,1))))/2)+MIN(INT(($A374-1)/5),MAX((MAX(1,INT(((CROQUIS!$C$97)-CROQUIS!$C$107)/MAX((CROQUIS!$C$137*MAX(1,CEILING((INT(((CROQUIS!$C$97)-CROQUIS!$C$107)/MAX(CROQUIS!$C$137,1))+1)/80,1))),1))+1))-1,0))*(CROQUIS!$C$137*MAX(1,CEILING((INT(((CROQUIS!$C$97)-CROQUIS!$C$107)/MAX(CROQUIS!$C$137,1))+1)/80,1)))),CHOOSE(IF(INT(($A374-1)/5)&gt;MAX((MAX(1,INT(((CROQUIS!$C$97)-CROQUIS!$C$107)/MAX((CROQUIS!$C$137*MAX(1,CEILING((INT(((CROQUIS!$C$97)-CROQUIS!$C$107)/MAX(CROQUIS!$C$137,1))+1)/80,1))),1))+1))-1,0),0,MOD($A374-1,5))+1,0,2,CROQUIS!$C$98-2,2,0)))*CROQUIS!$C$159)+IF(CROQUIS!$C$92="X",0,0)),-1000)</f>
        <v>-1000</v>
      </c>
      <c r="BQ374">
        <f>IF(AND(CROQUIS!$C$88=1,CROQUIS!$C$137&gt;0),((CROQUIS!$C$161+(IF(CROQUIS!$C$92="X",CHOOSE(IF(INT(($A374-1)/5)&gt;MAX((MAX(1,INT(((CROQUIS!$C$97)-CROQUIS!$C$107)/MAX((CROQUIS!$C$137*MAX(1,CEILING((INT(((CROQUIS!$C$97)-CROQUIS!$C$107)/MAX(CROQUIS!$C$137,1))+1)/80,1))),1))+1))-1,0),0,MOD($A374-1,5))+1,0,2,CROQUIS!$C$98-2,2,0),((CROQUIS!$C$107/2+(((CROQUIS!$C$97)-CROQUIS!$C$107)-(MAX(1,INT(((CROQUIS!$C$97)-CROQUIS!$C$107)/MAX((CROQUIS!$C$137*MAX(1,CEILING((INT(((CROQUIS!$C$97)-CROQUIS!$C$107)/MAX(CROQUIS!$C$137,1))+1)/80,1))),1))+1)-1)*(CROQUIS!$C$137*MAX(1,CEILING((INT(((CROQUIS!$C$97)-CROQUIS!$C$107)/MAX(CROQUIS!$C$137,1))+1)/80,1))))/2)+MIN(INT(($A374-1)/5),MAX((MAX(1,INT(((CROQUIS!$C$97)-CROQUIS!$C$107)/MAX((CROQUIS!$C$137*MAX(1,CEILING((INT(((CROQUIS!$C$97)-CROQUIS!$C$107)/MAX(CROQUIS!$C$137,1))+1)/80,1))),1))+1))-1,0))*(CROQUIS!$C$137*MAX(1,CEILING((INT(((CROQUIS!$C$97)-CROQUIS!$C$107)/MAX(CROQUIS!$C$137,1))+1)/80,1))))))*CROQUIS!$C$159)+IF(CROQUIS!$C$92="X",0,0)),-1000)</f>
        <v>-1000</v>
      </c>
      <c r="BR374">
        <f>IF(AND(CROQUIS!$C$88=1,CROQUIS!$C$91=0,CROQUIS!$C$133&gt;0,OR(CROQUIS!$C$103=1,CROQUIS!$C$145=1)),((CROQUIS!$C$160+(IF(CROQUIS!$C$92="X",CHOOSE(IF(INT(($A374-1)/5)&gt;MAX((MAX(1,INT(((CROQUIS!$C$98)-CROQUIS!$C$107)/MAX((CROQUIS!$C$133*MAX(1,CEILING((INT(((CROQUIS!$C$98)-CROQUIS!$C$107)/MAX(CROQUIS!$C$133,1))+1)/80,1))),1))+1))-1,0),0,MOD($A374-1,5))+1,0,IF(CROQUIS!$C$103=1,-12,2),CROQUIS!$C$107/2+CROQUIS!$C$143,IF(CROQUIS!$C$103=1,-12,2),0),((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BS3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+1,0,IF(CROQUIS!$C$103=1,-12,2),CROQUIS!$C$107/2+CROQUIS!$C$143,IF(CROQUIS!$C$103=1,-12,2),0)))*CROQUIS!$C$159)+IF(CROQUIS!$C$92="X",0.8,0)),-1000)</f>
        <v>-1000</v>
      </c>
      <c r="BT374">
        <f>IF(AND(CROQUIS!$C$88=1,CROQUIS!$C$91=0,CROQUIS!$C$133&gt;0,OR(CROQUIS!$C$104=1,CROQUIS!$C$145=1)),((CROQUIS!$C$160+(IF(CROQUIS!$C$92="X",CHOOSE(IF(INT(($A374-1)/5)&gt;MAX((MAX(1,INT(((CROQUIS!$C$98)-CROQUIS!$C$107)/MAX((CROQUIS!$C$133*MAX(1,CEILING((INT(((CROQUIS!$C$98)-CROQUIS!$C$107)/MAX(CROQUIS!$C$133,1))+1)/80,1))),1))+1))-1,0),0,MOD($A374-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BU3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CROQUIS!$C$97,CROQUIS!$C$97-CROQUIS!$C$107/2-CROQUIS!$C$143,IF(CROQUIS!$C$104=1,CROQUIS!$C$97+12,CROQUIS!$C$97-2),CROQUIS!$C$97-CROQUIS!$C$107/2-CROQUIS!$C$143,CROQUIS!$C$97)))*CROQUIS!$C$159)+IF(CROQUIS!$C$92="X",0.8,0)),-1000)</f>
        <v>-1000</v>
      </c>
      <c r="BV3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HOOSE(IF(INT(($A374-1)/5)&gt;MAX((MAX(1,INT(((CROQUIS!$C$97)-CROQUIS!$C$107)/MAX((CROQUIS!$C$141*MAX(1,CEILING((INT(((CROQUIS!$C$97)-CROQUIS!$C$107)/MAX(CROQUIS!$C$141,1))+1)/80,1))),1))+1))-1,0),0,MOD($A374-1,5))+1,0,IF(CROQUIS!$C$105=1,-12,2),CROQUIS!$C$107/2+CROQUIS!$C$144,IF(CROQUIS!$C$105=1,-12,2),0)))*CROQUIS!$C$159)+IF(CROQUIS!$C$92="X",0.8,0)),-1000)</f>
        <v>-1000</v>
      </c>
      <c r="BW374">
        <f>IF(AND(CROQUIS!$C$88=1,CROQUIS!$C$91=0,CROQUIS!$C$141&gt;0,OR(CROQUIS!$C$105=1,CROQUIS!$C$146=1)),((CROQUIS!$C$161+(IF(CROQUIS!$C$92="X",CHOOSE(IF(INT(($A374-1)/5)&gt;MAX((MAX(1,INT(((CROQUIS!$C$97)-CROQUIS!$C$107)/MAX((CROQUIS!$C$141*MAX(1,CEILING((INT(((CROQUIS!$C$97)-CROQUIS!$C$107)/MAX(CROQUIS!$C$141,1))+1)/80,1))),1))+1))-1,0),0,MOD($A374-1,5))+1,0,IF(CROQUIS!$C$105=1,-12,2),CROQUIS!$C$107/2+CROQUIS!$C$144,IF(CROQUIS!$C$105=1,-12,2),0),((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ROQUIS!$C$159)+IF(CROQUIS!$C$92="X",0,0.8)),-1000)</f>
        <v>-1000</v>
      </c>
      <c r="BX3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HOOSE(IF(INT(($A374-1)/5)&gt;MAX((MAX(1,INT(((CROQUIS!$C$97)-CROQUIS!$C$107)/MAX((CROQUIS!$C$141*MAX(1,CEILING((INT(((CROQUIS!$C$97)-CROQUIS!$C$107)/MAX(CROQUIS!$C$141,1))+1)/80,1))),1))+1))-1,0),0,MOD($A374-1,5))+1,CROQUIS!$C$98,CROQUIS!$C$98-CROQUIS!$C$107/2-CROQUIS!$C$144,IF(CROQUIS!$C$106=1,CROQUIS!$C$98+12,CROQUIS!$C$98-2),CROQUIS!$C$98-CROQUIS!$C$107/2-CROQUIS!$C$144,CROQUIS!$C$98)))*CROQUIS!$C$159)+IF(CROQUIS!$C$92="X",0.8,0)),-1000)</f>
        <v>-1000</v>
      </c>
      <c r="BY374">
        <f>IF(AND(CROQUIS!$C$88=1,CROQUIS!$C$91=0,CROQUIS!$C$141&gt;0,OR(CROQUIS!$C$106=1,CROQUIS!$C$146=1)),((CROQUIS!$C$161+(IF(CROQUIS!$C$92="X",CHOOSE(IF(INT(($A374-1)/5)&gt;MAX((MAX(1,INT(((CROQUIS!$C$97)-CROQUIS!$C$107)/MAX((CROQUIS!$C$141*MAX(1,CEILING((INT(((CROQUIS!$C$97)-CROQUIS!$C$107)/MAX(CROQUIS!$C$141,1))+1)/80,1))),1))+1))-1,0),0,MOD($A374-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ROQUIS!$C$159)+IF(CROQUIS!$C$92="X",0,0.8)),-1000)</f>
        <v>-1000</v>
      </c>
      <c r="BZ374">
        <f>IF(AND(CROQUIS!$C$88=1,CROQUIS!$C$91=1,CROQUIS!$C$133&gt;0),((CROQUIS!$C$160+(IF(CROQUIS!$C$92="X",CHOOSE(IF(INT(($A374-1)/5)&gt;MAX((MAX(1,INT(((CROQUIS!$C$98)-CROQUIS!$C$107)/MAX((CROQUIS!$C$133*MAX(1,CEILING((INT(((CROQUIS!$C$98)-CROQUIS!$C$107)/MAX(CROQUIS!$C$133,1))+1)/80,1))),1))+1))-1,0),0,MOD($A374-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CA374">
        <f>IF(AND(CROQUIS!$C$88=1,CROQUIS!$C$91=1,CROQUIS!$C$133&gt;0),((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5">
      <c r="A375" t="n">
        <v>368</v>
      </c>
      <c r="BN375">
        <f>IF(AND(CROQUIS!$C$88=1,CROQUIS!$C$129&gt;0),((CROQUIS!$C$160+(IF(CROQUIS!$C$92="X",CHOOSE(IF(INT(($A375-1)/5)&gt;MAX((MAX(1,INT(((CROQUIS!$C$98)-CROQUIS!$C$107)/MAX((CROQUIS!$C$129*MAX(1,CEILING((INT(((CROQUIS!$C$98)-CROQUIS!$C$107)/MAX(CROQUIS!$C$129,1))+1)/80,1))),1))+1))-1,0),0,MOD($A375-1,5))+1,0,2,CROQUIS!$C$97-2,2,0),((CROQUIS!$C$107/2+(((CROQUIS!$C$98)-CROQUIS!$C$107)-(MAX(1,INT(((CROQUIS!$C$98)-CROQUIS!$C$107)/MAX((CROQUIS!$C$129*MAX(1,CEILING((INT(((CROQUIS!$C$98)-CROQUIS!$C$107)/MAX(CROQUIS!$C$129,1))+1)/80,1))),1))+1)-1)*(CROQUIS!$C$129*MAX(1,CEILING((INT(((CROQUIS!$C$98)-CROQUIS!$C$107)/MAX(CROQUIS!$C$129,1))+1)/80,1))))/2)+MIN(INT(($A375-1)/5),MAX((MAX(1,INT(((CROQUIS!$C$98)-CROQUIS!$C$107)/MAX((CROQUIS!$C$129*MAX(1,CEILING((INT(((CROQUIS!$C$98)-CROQUIS!$C$107)/MAX(CROQUIS!$C$129,1))+1)/80,1))),1))+1))-1,0))*(CROQUIS!$C$129*MAX(1,CEILING((INT(((CROQUIS!$C$98)-CROQUIS!$C$107)/MAX(CROQUIS!$C$129,1))+1)/80,1))))))*CROQUIS!$C$159)+IF(CROQUIS!$C$92="X",0,0)),-1000)</f>
        <v>-1000</v>
      </c>
      <c r="BO375">
        <f>IF(AND(CROQUIS!$C$88=1,CROQUIS!$C$129&gt;0),((CROQUIS!$C$161+(IF(CROQUIS!$C$92="X",((CROQUIS!$C$107/2+(((CROQUIS!$C$98)-CROQUIS!$C$107)-(MAX(1,INT(((CROQUIS!$C$98)-CROQUIS!$C$107)/MAX((CROQUIS!$C$129*MAX(1,CEILING((INT(((CROQUIS!$C$98)-CROQUIS!$C$107)/MAX(CROQUIS!$C$129,1))+1)/80,1))),1))+1)-1)*(CROQUIS!$C$129*MAX(1,CEILING((INT(((CROQUIS!$C$98)-CROQUIS!$C$107)/MAX(CROQUIS!$C$129,1))+1)/80,1))))/2)+MIN(INT(($A375-1)/5),MAX((MAX(1,INT(((CROQUIS!$C$98)-CROQUIS!$C$107)/MAX((CROQUIS!$C$129*MAX(1,CEILING((INT(((CROQUIS!$C$98)-CROQUIS!$C$107)/MAX(CROQUIS!$C$129,1))+1)/80,1))),1))+1))-1,0))*(CROQUIS!$C$129*MAX(1,CEILING((INT(((CROQUIS!$C$98)-CROQUIS!$C$107)/MAX(CROQUIS!$C$129,1))+1)/80,1)))),CHOOSE(IF(INT(($A375-1)/5)&gt;MAX((MAX(1,INT(((CROQUIS!$C$98)-CROQUIS!$C$107)/MAX((CROQUIS!$C$129*MAX(1,CEILING((INT(((CROQUIS!$C$98)-CROQUIS!$C$107)/MAX(CROQUIS!$C$129,1))+1)/80,1))),1))+1))-1,0),0,MOD($A375-1,5))+1,0,2,CROQUIS!$C$97-2,2,0)))*CROQUIS!$C$159)+IF(CROQUIS!$C$92="X",0,0)),-1000)</f>
        <v>-1000</v>
      </c>
      <c r="BP375">
        <f>IF(AND(CROQUIS!$C$88=1,CROQUIS!$C$137&gt;0),((CROQUIS!$C$160+(IF(CROQUIS!$C$92="X",((CROQUIS!$C$107/2+(((CROQUIS!$C$97)-CROQUIS!$C$107)-(MAX(1,INT(((CROQUIS!$C$97)-CROQUIS!$C$107)/MAX((CROQUIS!$C$137*MAX(1,CEILING((INT(((CROQUIS!$C$97)-CROQUIS!$C$107)/MAX(CROQUIS!$C$137,1))+1)/80,1))),1))+1)-1)*(CROQUIS!$C$137*MAX(1,CEILING((INT(((CROQUIS!$C$97)-CROQUIS!$C$107)/MAX(CROQUIS!$C$137,1))+1)/80,1))))/2)+MIN(INT(($A375-1)/5),MAX((MAX(1,INT(((CROQUIS!$C$97)-CROQUIS!$C$107)/MAX((CROQUIS!$C$137*MAX(1,CEILING((INT(((CROQUIS!$C$97)-CROQUIS!$C$107)/MAX(CROQUIS!$C$137,1))+1)/80,1))),1))+1))-1,0))*(CROQUIS!$C$137*MAX(1,CEILING((INT(((CROQUIS!$C$97)-CROQUIS!$C$107)/MAX(CROQUIS!$C$137,1))+1)/80,1)))),CHOOSE(IF(INT(($A375-1)/5)&gt;MAX((MAX(1,INT(((CROQUIS!$C$97)-CROQUIS!$C$107)/MAX((CROQUIS!$C$137*MAX(1,CEILING((INT(((CROQUIS!$C$97)-CROQUIS!$C$107)/MAX(CROQUIS!$C$137,1))+1)/80,1))),1))+1))-1,0),0,MOD($A375-1,5))+1,0,2,CROQUIS!$C$98-2,2,0)))*CROQUIS!$C$159)+IF(CROQUIS!$C$92="X",0,0)),-1000)</f>
        <v>-1000</v>
      </c>
      <c r="BQ375">
        <f>IF(AND(CROQUIS!$C$88=1,CROQUIS!$C$137&gt;0),((CROQUIS!$C$161+(IF(CROQUIS!$C$92="X",CHOOSE(IF(INT(($A375-1)/5)&gt;MAX((MAX(1,INT(((CROQUIS!$C$97)-CROQUIS!$C$107)/MAX((CROQUIS!$C$137*MAX(1,CEILING((INT(((CROQUIS!$C$97)-CROQUIS!$C$107)/MAX(CROQUIS!$C$137,1))+1)/80,1))),1))+1))-1,0),0,MOD($A375-1,5))+1,0,2,CROQUIS!$C$98-2,2,0),((CROQUIS!$C$107/2+(((CROQUIS!$C$97)-CROQUIS!$C$107)-(MAX(1,INT(((CROQUIS!$C$97)-CROQUIS!$C$107)/MAX((CROQUIS!$C$137*MAX(1,CEILING((INT(((CROQUIS!$C$97)-CROQUIS!$C$107)/MAX(CROQUIS!$C$137,1))+1)/80,1))),1))+1)-1)*(CROQUIS!$C$137*MAX(1,CEILING((INT(((CROQUIS!$C$97)-CROQUIS!$C$107)/MAX(CROQUIS!$C$137,1))+1)/80,1))))/2)+MIN(INT(($A375-1)/5),MAX((MAX(1,INT(((CROQUIS!$C$97)-CROQUIS!$C$107)/MAX((CROQUIS!$C$137*MAX(1,CEILING((INT(((CROQUIS!$C$97)-CROQUIS!$C$107)/MAX(CROQUIS!$C$137,1))+1)/80,1))),1))+1))-1,0))*(CROQUIS!$C$137*MAX(1,CEILING((INT(((CROQUIS!$C$97)-CROQUIS!$C$107)/MAX(CROQUIS!$C$137,1))+1)/80,1))))))*CROQUIS!$C$159)+IF(CROQUIS!$C$92="X",0,0)),-1000)</f>
        <v>-1000</v>
      </c>
      <c r="BR375">
        <f>IF(AND(CROQUIS!$C$88=1,CROQUIS!$C$91=0,CROQUIS!$C$133&gt;0,OR(CROQUIS!$C$103=1,CROQUIS!$C$145=1)),((CROQUIS!$C$160+(IF(CROQUIS!$C$92="X",CHOOSE(IF(INT(($A375-1)/5)&gt;MAX((MAX(1,INT(((CROQUIS!$C$98)-CROQUIS!$C$107)/MAX((CROQUIS!$C$133*MAX(1,CEILING((INT(((CROQUIS!$C$98)-CROQUIS!$C$107)/MAX(CROQUIS!$C$133,1))+1)/80,1))),1))+1))-1,0),0,MOD($A375-1,5))+1,0,IF(CROQUIS!$C$103=1,-12,2),CROQUIS!$C$107/2+CROQUIS!$C$143,IF(CROQUIS!$C$103=1,-12,2),0),((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BS3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+1,0,IF(CROQUIS!$C$103=1,-12,2),CROQUIS!$C$107/2+CROQUIS!$C$143,IF(CROQUIS!$C$103=1,-12,2),0)))*CROQUIS!$C$159)+IF(CROQUIS!$C$92="X",0.8,0)),-1000)</f>
        <v>-1000</v>
      </c>
      <c r="BT375">
        <f>IF(AND(CROQUIS!$C$88=1,CROQUIS!$C$91=0,CROQUIS!$C$133&gt;0,OR(CROQUIS!$C$104=1,CROQUIS!$C$145=1)),((CROQUIS!$C$160+(IF(CROQUIS!$C$92="X",CHOOSE(IF(INT(($A375-1)/5)&gt;MAX((MAX(1,INT(((CROQUIS!$C$98)-CROQUIS!$C$107)/MAX((CROQUIS!$C$133*MAX(1,CEILING((INT(((CROQUIS!$C$98)-CROQUIS!$C$107)/MAX(CROQUIS!$C$133,1))+1)/80,1))),1))+1))-1,0),0,MOD($A375-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BU3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CROQUIS!$C$97,CROQUIS!$C$97-CROQUIS!$C$107/2-CROQUIS!$C$143,IF(CROQUIS!$C$104=1,CROQUIS!$C$97+12,CROQUIS!$C$97-2),CROQUIS!$C$97-CROQUIS!$C$107/2-CROQUIS!$C$143,CROQUIS!$C$97)))*CROQUIS!$C$159)+IF(CROQUIS!$C$92="X",0.8,0)),-1000)</f>
        <v>-1000</v>
      </c>
      <c r="BV3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HOOSE(IF(INT(($A375-1)/5)&gt;MAX((MAX(1,INT(((CROQUIS!$C$97)-CROQUIS!$C$107)/MAX((CROQUIS!$C$141*MAX(1,CEILING((INT(((CROQUIS!$C$97)-CROQUIS!$C$107)/MAX(CROQUIS!$C$141,1))+1)/80,1))),1))+1))-1,0),0,MOD($A375-1,5))+1,0,IF(CROQUIS!$C$105=1,-12,2),CROQUIS!$C$107/2+CROQUIS!$C$144,IF(CROQUIS!$C$105=1,-12,2),0)))*CROQUIS!$C$159)+IF(CROQUIS!$C$92="X",0.8,0)),-1000)</f>
        <v>-1000</v>
      </c>
      <c r="BW375">
        <f>IF(AND(CROQUIS!$C$88=1,CROQUIS!$C$91=0,CROQUIS!$C$141&gt;0,OR(CROQUIS!$C$105=1,CROQUIS!$C$146=1)),((CROQUIS!$C$161+(IF(CROQUIS!$C$92="X",CHOOSE(IF(INT(($A375-1)/5)&gt;MAX((MAX(1,INT(((CROQUIS!$C$97)-CROQUIS!$C$107)/MAX((CROQUIS!$C$141*MAX(1,CEILING((INT(((CROQUIS!$C$97)-CROQUIS!$C$107)/MAX(CROQUIS!$C$141,1))+1)/80,1))),1))+1))-1,0),0,MOD($A375-1,5))+1,0,IF(CROQUIS!$C$105=1,-12,2),CROQUIS!$C$107/2+CROQUIS!$C$144,IF(CROQUIS!$C$105=1,-12,2),0),((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ROQUIS!$C$159)+IF(CROQUIS!$C$92="X",0,0.8)),-1000)</f>
        <v>-1000</v>
      </c>
      <c r="BX3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HOOSE(IF(INT(($A375-1)/5)&gt;MAX((MAX(1,INT(((CROQUIS!$C$97)-CROQUIS!$C$107)/MAX((CROQUIS!$C$141*MAX(1,CEILING((INT(((CROQUIS!$C$97)-CROQUIS!$C$107)/MAX(CROQUIS!$C$141,1))+1)/80,1))),1))+1))-1,0),0,MOD($A375-1,5))+1,CROQUIS!$C$98,CROQUIS!$C$98-CROQUIS!$C$107/2-CROQUIS!$C$144,IF(CROQUIS!$C$106=1,CROQUIS!$C$98+12,CROQUIS!$C$98-2),CROQUIS!$C$98-CROQUIS!$C$107/2-CROQUIS!$C$144,CROQUIS!$C$98)))*CROQUIS!$C$159)+IF(CROQUIS!$C$92="X",0.8,0)),-1000)</f>
        <v>-1000</v>
      </c>
      <c r="BY375">
        <f>IF(AND(CROQUIS!$C$88=1,CROQUIS!$C$91=0,CROQUIS!$C$141&gt;0,OR(CROQUIS!$C$106=1,CROQUIS!$C$146=1)),((CROQUIS!$C$161+(IF(CROQUIS!$C$92="X",CHOOSE(IF(INT(($A375-1)/5)&gt;MAX((MAX(1,INT(((CROQUIS!$C$97)-CROQUIS!$C$107)/MAX((CROQUIS!$C$141*MAX(1,CEILING((INT(((CROQUIS!$C$97)-CROQUIS!$C$107)/MAX(CROQUIS!$C$141,1))+1)/80,1))),1))+1))-1,0),0,MOD($A375-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ROQUIS!$C$159)+IF(CROQUIS!$C$92="X",0,0.8)),-1000)</f>
        <v>-1000</v>
      </c>
      <c r="BZ375">
        <f>IF(AND(CROQUIS!$C$88=1,CROQUIS!$C$91=1,CROQUIS!$C$133&gt;0),((CROQUIS!$C$160+(IF(CROQUIS!$C$92="X",CHOOSE(IF(INT(($A375-1)/5)&gt;MAX((MAX(1,INT(((CROQUIS!$C$98)-CROQUIS!$C$107)/MAX((CROQUIS!$C$133*MAX(1,CEILING((INT(((CROQUIS!$C$98)-CROQUIS!$C$107)/MAX(CROQUIS!$C$133,1))+1)/80,1))),1))+1))-1,0),0,MOD($A375-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CA375">
        <f>IF(AND(CROQUIS!$C$88=1,CROQUIS!$C$91=1,CROQUIS!$C$133&gt;0),((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6">
      <c r="A376" t="n">
        <v>369</v>
      </c>
      <c r="BN376">
        <f>IF(AND(CROQUIS!$C$88=1,CROQUIS!$C$129&gt;0),((CROQUIS!$C$160+(IF(CROQUIS!$C$92="X",CHOOSE(IF(INT(($A376-1)/5)&gt;MAX((MAX(1,INT(((CROQUIS!$C$98)-CROQUIS!$C$107)/MAX((CROQUIS!$C$129*MAX(1,CEILING((INT(((CROQUIS!$C$98)-CROQUIS!$C$107)/MAX(CROQUIS!$C$129,1))+1)/80,1))),1))+1))-1,0),0,MOD($A376-1,5))+1,0,2,CROQUIS!$C$97-2,2,0),((CROQUIS!$C$107/2+(((CROQUIS!$C$98)-CROQUIS!$C$107)-(MAX(1,INT(((CROQUIS!$C$98)-CROQUIS!$C$107)/MAX((CROQUIS!$C$129*MAX(1,CEILING((INT(((CROQUIS!$C$98)-CROQUIS!$C$107)/MAX(CROQUIS!$C$129,1))+1)/80,1))),1))+1)-1)*(CROQUIS!$C$129*MAX(1,CEILING((INT(((CROQUIS!$C$98)-CROQUIS!$C$107)/MAX(CROQUIS!$C$129,1))+1)/80,1))))/2)+MIN(INT(($A376-1)/5),MAX((MAX(1,INT(((CROQUIS!$C$98)-CROQUIS!$C$107)/MAX((CROQUIS!$C$129*MAX(1,CEILING((INT(((CROQUIS!$C$98)-CROQUIS!$C$107)/MAX(CROQUIS!$C$129,1))+1)/80,1))),1))+1))-1,0))*(CROQUIS!$C$129*MAX(1,CEILING((INT(((CROQUIS!$C$98)-CROQUIS!$C$107)/MAX(CROQUIS!$C$129,1))+1)/80,1))))))*CROQUIS!$C$159)+IF(CROQUIS!$C$92="X",0,0)),-1000)</f>
        <v>-1000</v>
      </c>
      <c r="BO376">
        <f>IF(AND(CROQUIS!$C$88=1,CROQUIS!$C$129&gt;0),((CROQUIS!$C$161+(IF(CROQUIS!$C$92="X",((CROQUIS!$C$107/2+(((CROQUIS!$C$98)-CROQUIS!$C$107)-(MAX(1,INT(((CROQUIS!$C$98)-CROQUIS!$C$107)/MAX((CROQUIS!$C$129*MAX(1,CEILING((INT(((CROQUIS!$C$98)-CROQUIS!$C$107)/MAX(CROQUIS!$C$129,1))+1)/80,1))),1))+1)-1)*(CROQUIS!$C$129*MAX(1,CEILING((INT(((CROQUIS!$C$98)-CROQUIS!$C$107)/MAX(CROQUIS!$C$129,1))+1)/80,1))))/2)+MIN(INT(($A376-1)/5),MAX((MAX(1,INT(((CROQUIS!$C$98)-CROQUIS!$C$107)/MAX((CROQUIS!$C$129*MAX(1,CEILING((INT(((CROQUIS!$C$98)-CROQUIS!$C$107)/MAX(CROQUIS!$C$129,1))+1)/80,1))),1))+1))-1,0))*(CROQUIS!$C$129*MAX(1,CEILING((INT(((CROQUIS!$C$98)-CROQUIS!$C$107)/MAX(CROQUIS!$C$129,1))+1)/80,1)))),CHOOSE(IF(INT(($A376-1)/5)&gt;MAX((MAX(1,INT(((CROQUIS!$C$98)-CROQUIS!$C$107)/MAX((CROQUIS!$C$129*MAX(1,CEILING((INT(((CROQUIS!$C$98)-CROQUIS!$C$107)/MAX(CROQUIS!$C$129,1))+1)/80,1))),1))+1))-1,0),0,MOD($A376-1,5))+1,0,2,CROQUIS!$C$97-2,2,0)))*CROQUIS!$C$159)+IF(CROQUIS!$C$92="X",0,0)),-1000)</f>
        <v>-1000</v>
      </c>
      <c r="BP376">
        <f>IF(AND(CROQUIS!$C$88=1,CROQUIS!$C$137&gt;0),((CROQUIS!$C$160+(IF(CROQUIS!$C$92="X",((CROQUIS!$C$107/2+(((CROQUIS!$C$97)-CROQUIS!$C$107)-(MAX(1,INT(((CROQUIS!$C$97)-CROQUIS!$C$107)/MAX((CROQUIS!$C$137*MAX(1,CEILING((INT(((CROQUIS!$C$97)-CROQUIS!$C$107)/MAX(CROQUIS!$C$137,1))+1)/80,1))),1))+1)-1)*(CROQUIS!$C$137*MAX(1,CEILING((INT(((CROQUIS!$C$97)-CROQUIS!$C$107)/MAX(CROQUIS!$C$137,1))+1)/80,1))))/2)+MIN(INT(($A376-1)/5),MAX((MAX(1,INT(((CROQUIS!$C$97)-CROQUIS!$C$107)/MAX((CROQUIS!$C$137*MAX(1,CEILING((INT(((CROQUIS!$C$97)-CROQUIS!$C$107)/MAX(CROQUIS!$C$137,1))+1)/80,1))),1))+1))-1,0))*(CROQUIS!$C$137*MAX(1,CEILING((INT(((CROQUIS!$C$97)-CROQUIS!$C$107)/MAX(CROQUIS!$C$137,1))+1)/80,1)))),CHOOSE(IF(INT(($A376-1)/5)&gt;MAX((MAX(1,INT(((CROQUIS!$C$97)-CROQUIS!$C$107)/MAX((CROQUIS!$C$137*MAX(1,CEILING((INT(((CROQUIS!$C$97)-CROQUIS!$C$107)/MAX(CROQUIS!$C$137,1))+1)/80,1))),1))+1))-1,0),0,MOD($A376-1,5))+1,0,2,CROQUIS!$C$98-2,2,0)))*CROQUIS!$C$159)+IF(CROQUIS!$C$92="X",0,0)),-1000)</f>
        <v>-1000</v>
      </c>
      <c r="BQ376">
        <f>IF(AND(CROQUIS!$C$88=1,CROQUIS!$C$137&gt;0),((CROQUIS!$C$161+(IF(CROQUIS!$C$92="X",CHOOSE(IF(INT(($A376-1)/5)&gt;MAX((MAX(1,INT(((CROQUIS!$C$97)-CROQUIS!$C$107)/MAX((CROQUIS!$C$137*MAX(1,CEILING((INT(((CROQUIS!$C$97)-CROQUIS!$C$107)/MAX(CROQUIS!$C$137,1))+1)/80,1))),1))+1))-1,0),0,MOD($A376-1,5))+1,0,2,CROQUIS!$C$98-2,2,0),((CROQUIS!$C$107/2+(((CROQUIS!$C$97)-CROQUIS!$C$107)-(MAX(1,INT(((CROQUIS!$C$97)-CROQUIS!$C$107)/MAX((CROQUIS!$C$137*MAX(1,CEILING((INT(((CROQUIS!$C$97)-CROQUIS!$C$107)/MAX(CROQUIS!$C$137,1))+1)/80,1))),1))+1)-1)*(CROQUIS!$C$137*MAX(1,CEILING((INT(((CROQUIS!$C$97)-CROQUIS!$C$107)/MAX(CROQUIS!$C$137,1))+1)/80,1))))/2)+MIN(INT(($A376-1)/5),MAX((MAX(1,INT(((CROQUIS!$C$97)-CROQUIS!$C$107)/MAX((CROQUIS!$C$137*MAX(1,CEILING((INT(((CROQUIS!$C$97)-CROQUIS!$C$107)/MAX(CROQUIS!$C$137,1))+1)/80,1))),1))+1))-1,0))*(CROQUIS!$C$137*MAX(1,CEILING((INT(((CROQUIS!$C$97)-CROQUIS!$C$107)/MAX(CROQUIS!$C$137,1))+1)/80,1))))))*CROQUIS!$C$159)+IF(CROQUIS!$C$92="X",0,0)),-1000)</f>
        <v>-1000</v>
      </c>
      <c r="BR376">
        <f>IF(AND(CROQUIS!$C$88=1,CROQUIS!$C$91=0,CROQUIS!$C$133&gt;0,OR(CROQUIS!$C$103=1,CROQUIS!$C$145=1)),((CROQUIS!$C$160+(IF(CROQUIS!$C$92="X",CHOOSE(IF(INT(($A376-1)/5)&gt;MAX((MAX(1,INT(((CROQUIS!$C$98)-CROQUIS!$C$107)/MAX((CROQUIS!$C$133*MAX(1,CEILING((INT(((CROQUIS!$C$98)-CROQUIS!$C$107)/MAX(CROQUIS!$C$133,1))+1)/80,1))),1))+1))-1,0),0,MOD($A376-1,5))+1,0,IF(CROQUIS!$C$103=1,-12,2),CROQUIS!$C$107/2+CROQUIS!$C$143,IF(CROQUIS!$C$103=1,-12,2),0),((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BS3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+1,0,IF(CROQUIS!$C$103=1,-12,2),CROQUIS!$C$107/2+CROQUIS!$C$143,IF(CROQUIS!$C$103=1,-12,2),0)))*CROQUIS!$C$159)+IF(CROQUIS!$C$92="X",0.8,0)),-1000)</f>
        <v>-1000</v>
      </c>
      <c r="BT376">
        <f>IF(AND(CROQUIS!$C$88=1,CROQUIS!$C$91=0,CROQUIS!$C$133&gt;0,OR(CROQUIS!$C$104=1,CROQUIS!$C$145=1)),((CROQUIS!$C$160+(IF(CROQUIS!$C$92="X",CHOOSE(IF(INT(($A376-1)/5)&gt;MAX((MAX(1,INT(((CROQUIS!$C$98)-CROQUIS!$C$107)/MAX((CROQUIS!$C$133*MAX(1,CEILING((INT(((CROQUIS!$C$98)-CROQUIS!$C$107)/MAX(CROQUIS!$C$133,1))+1)/80,1))),1))+1))-1,0),0,MOD($A376-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BU3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CROQUIS!$C$97,CROQUIS!$C$97-CROQUIS!$C$107/2-CROQUIS!$C$143,IF(CROQUIS!$C$104=1,CROQUIS!$C$97+12,CROQUIS!$C$97-2),CROQUIS!$C$97-CROQUIS!$C$107/2-CROQUIS!$C$143,CROQUIS!$C$97)))*CROQUIS!$C$159)+IF(CROQUIS!$C$92="X",0.8,0)),-1000)</f>
        <v>-1000</v>
      </c>
      <c r="BV3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HOOSE(IF(INT(($A376-1)/5)&gt;MAX((MAX(1,INT(((CROQUIS!$C$97)-CROQUIS!$C$107)/MAX((CROQUIS!$C$141*MAX(1,CEILING((INT(((CROQUIS!$C$97)-CROQUIS!$C$107)/MAX(CROQUIS!$C$141,1))+1)/80,1))),1))+1))-1,0),0,MOD($A376-1,5))+1,0,IF(CROQUIS!$C$105=1,-12,2),CROQUIS!$C$107/2+CROQUIS!$C$144,IF(CROQUIS!$C$105=1,-12,2),0)))*CROQUIS!$C$159)+IF(CROQUIS!$C$92="X",0.8,0)),-1000)</f>
        <v>-1000</v>
      </c>
      <c r="BW376">
        <f>IF(AND(CROQUIS!$C$88=1,CROQUIS!$C$91=0,CROQUIS!$C$141&gt;0,OR(CROQUIS!$C$105=1,CROQUIS!$C$146=1)),((CROQUIS!$C$161+(IF(CROQUIS!$C$92="X",CHOOSE(IF(INT(($A376-1)/5)&gt;MAX((MAX(1,INT(((CROQUIS!$C$97)-CROQUIS!$C$107)/MAX((CROQUIS!$C$141*MAX(1,CEILING((INT(((CROQUIS!$C$97)-CROQUIS!$C$107)/MAX(CROQUIS!$C$141,1))+1)/80,1))),1))+1))-1,0),0,MOD($A376-1,5))+1,0,IF(CROQUIS!$C$105=1,-12,2),CROQUIS!$C$107/2+CROQUIS!$C$144,IF(CROQUIS!$C$105=1,-12,2),0),((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ROQUIS!$C$159)+IF(CROQUIS!$C$92="X",0,0.8)),-1000)</f>
        <v>-1000</v>
      </c>
      <c r="BX3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HOOSE(IF(INT(($A376-1)/5)&gt;MAX((MAX(1,INT(((CROQUIS!$C$97)-CROQUIS!$C$107)/MAX((CROQUIS!$C$141*MAX(1,CEILING((INT(((CROQUIS!$C$97)-CROQUIS!$C$107)/MAX(CROQUIS!$C$141,1))+1)/80,1))),1))+1))-1,0),0,MOD($A376-1,5))+1,CROQUIS!$C$98,CROQUIS!$C$98-CROQUIS!$C$107/2-CROQUIS!$C$144,IF(CROQUIS!$C$106=1,CROQUIS!$C$98+12,CROQUIS!$C$98-2),CROQUIS!$C$98-CROQUIS!$C$107/2-CROQUIS!$C$144,CROQUIS!$C$98)))*CROQUIS!$C$159)+IF(CROQUIS!$C$92="X",0.8,0)),-1000)</f>
        <v>-1000</v>
      </c>
      <c r="BY376">
        <f>IF(AND(CROQUIS!$C$88=1,CROQUIS!$C$91=0,CROQUIS!$C$141&gt;0,OR(CROQUIS!$C$106=1,CROQUIS!$C$146=1)),((CROQUIS!$C$161+(IF(CROQUIS!$C$92="X",CHOOSE(IF(INT(($A376-1)/5)&gt;MAX((MAX(1,INT(((CROQUIS!$C$97)-CROQUIS!$C$107)/MAX((CROQUIS!$C$141*MAX(1,CEILING((INT(((CROQUIS!$C$97)-CROQUIS!$C$107)/MAX(CROQUIS!$C$141,1))+1)/80,1))),1))+1))-1,0),0,MOD($A376-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ROQUIS!$C$159)+IF(CROQUIS!$C$92="X",0,0.8)),-1000)</f>
        <v>-1000</v>
      </c>
      <c r="BZ376">
        <f>IF(AND(CROQUIS!$C$88=1,CROQUIS!$C$91=1,CROQUIS!$C$133&gt;0),((CROQUIS!$C$160+(IF(CROQUIS!$C$92="X",CHOOSE(IF(INT(($A376-1)/5)&gt;MAX((MAX(1,INT(((CROQUIS!$C$98)-CROQUIS!$C$107)/MAX((CROQUIS!$C$133*MAX(1,CEILING((INT(((CROQUIS!$C$98)-CROQUIS!$C$107)/MAX(CROQUIS!$C$133,1))+1)/80,1))),1))+1))-1,0),0,MOD($A376-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CA376">
        <f>IF(AND(CROQUIS!$C$88=1,CROQUIS!$C$91=1,CROQUIS!$C$133&gt;0),((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7">
      <c r="A377" t="n">
        <v>370</v>
      </c>
      <c r="BN377">
        <f>IF(AND(CROQUIS!$C$88=1,CROQUIS!$C$129&gt;0),((CROQUIS!$C$160+(IF(CROQUIS!$C$92="X",CHOOSE(IF(INT(($A377-1)/5)&gt;MAX((MAX(1,INT(((CROQUIS!$C$98)-CROQUIS!$C$107)/MAX((CROQUIS!$C$129*MAX(1,CEILING((INT(((CROQUIS!$C$98)-CROQUIS!$C$107)/MAX(CROQUIS!$C$129,1))+1)/80,1))),1))+1))-1,0),0,MOD($A377-1,5))+1,0,2,CROQUIS!$C$97-2,2,0),((CROQUIS!$C$107/2+(((CROQUIS!$C$98)-CROQUIS!$C$107)-(MAX(1,INT(((CROQUIS!$C$98)-CROQUIS!$C$107)/MAX((CROQUIS!$C$129*MAX(1,CEILING((INT(((CROQUIS!$C$98)-CROQUIS!$C$107)/MAX(CROQUIS!$C$129,1))+1)/80,1))),1))+1)-1)*(CROQUIS!$C$129*MAX(1,CEILING((INT(((CROQUIS!$C$98)-CROQUIS!$C$107)/MAX(CROQUIS!$C$129,1))+1)/80,1))))/2)+MIN(INT(($A377-1)/5),MAX((MAX(1,INT(((CROQUIS!$C$98)-CROQUIS!$C$107)/MAX((CROQUIS!$C$129*MAX(1,CEILING((INT(((CROQUIS!$C$98)-CROQUIS!$C$107)/MAX(CROQUIS!$C$129,1))+1)/80,1))),1))+1))-1,0))*(CROQUIS!$C$129*MAX(1,CEILING((INT(((CROQUIS!$C$98)-CROQUIS!$C$107)/MAX(CROQUIS!$C$129,1))+1)/80,1))))))*CROQUIS!$C$159)+IF(CROQUIS!$C$92="X",0,0)),-1000)</f>
        <v>-1000</v>
      </c>
      <c r="BO377">
        <f>IF(AND(CROQUIS!$C$88=1,CROQUIS!$C$129&gt;0),((CROQUIS!$C$161+(IF(CROQUIS!$C$92="X",((CROQUIS!$C$107/2+(((CROQUIS!$C$98)-CROQUIS!$C$107)-(MAX(1,INT(((CROQUIS!$C$98)-CROQUIS!$C$107)/MAX((CROQUIS!$C$129*MAX(1,CEILING((INT(((CROQUIS!$C$98)-CROQUIS!$C$107)/MAX(CROQUIS!$C$129,1))+1)/80,1))),1))+1)-1)*(CROQUIS!$C$129*MAX(1,CEILING((INT(((CROQUIS!$C$98)-CROQUIS!$C$107)/MAX(CROQUIS!$C$129,1))+1)/80,1))))/2)+MIN(INT(($A377-1)/5),MAX((MAX(1,INT(((CROQUIS!$C$98)-CROQUIS!$C$107)/MAX((CROQUIS!$C$129*MAX(1,CEILING((INT(((CROQUIS!$C$98)-CROQUIS!$C$107)/MAX(CROQUIS!$C$129,1))+1)/80,1))),1))+1))-1,0))*(CROQUIS!$C$129*MAX(1,CEILING((INT(((CROQUIS!$C$98)-CROQUIS!$C$107)/MAX(CROQUIS!$C$129,1))+1)/80,1)))),CHOOSE(IF(INT(($A377-1)/5)&gt;MAX((MAX(1,INT(((CROQUIS!$C$98)-CROQUIS!$C$107)/MAX((CROQUIS!$C$129*MAX(1,CEILING((INT(((CROQUIS!$C$98)-CROQUIS!$C$107)/MAX(CROQUIS!$C$129,1))+1)/80,1))),1))+1))-1,0),0,MOD($A377-1,5))+1,0,2,CROQUIS!$C$97-2,2,0)))*CROQUIS!$C$159)+IF(CROQUIS!$C$92="X",0,0)),-1000)</f>
        <v>-1000</v>
      </c>
      <c r="BP377">
        <f>IF(AND(CROQUIS!$C$88=1,CROQUIS!$C$137&gt;0),((CROQUIS!$C$160+(IF(CROQUIS!$C$92="X",((CROQUIS!$C$107/2+(((CROQUIS!$C$97)-CROQUIS!$C$107)-(MAX(1,INT(((CROQUIS!$C$97)-CROQUIS!$C$107)/MAX((CROQUIS!$C$137*MAX(1,CEILING((INT(((CROQUIS!$C$97)-CROQUIS!$C$107)/MAX(CROQUIS!$C$137,1))+1)/80,1))),1))+1)-1)*(CROQUIS!$C$137*MAX(1,CEILING((INT(((CROQUIS!$C$97)-CROQUIS!$C$107)/MAX(CROQUIS!$C$137,1))+1)/80,1))))/2)+MIN(INT(($A377-1)/5),MAX((MAX(1,INT(((CROQUIS!$C$97)-CROQUIS!$C$107)/MAX((CROQUIS!$C$137*MAX(1,CEILING((INT(((CROQUIS!$C$97)-CROQUIS!$C$107)/MAX(CROQUIS!$C$137,1))+1)/80,1))),1))+1))-1,0))*(CROQUIS!$C$137*MAX(1,CEILING((INT(((CROQUIS!$C$97)-CROQUIS!$C$107)/MAX(CROQUIS!$C$137,1))+1)/80,1)))),CHOOSE(IF(INT(($A377-1)/5)&gt;MAX((MAX(1,INT(((CROQUIS!$C$97)-CROQUIS!$C$107)/MAX((CROQUIS!$C$137*MAX(1,CEILING((INT(((CROQUIS!$C$97)-CROQUIS!$C$107)/MAX(CROQUIS!$C$137,1))+1)/80,1))),1))+1))-1,0),0,MOD($A377-1,5))+1,0,2,CROQUIS!$C$98-2,2,0)))*CROQUIS!$C$159)+IF(CROQUIS!$C$92="X",0,0)),-1000)</f>
        <v>-1000</v>
      </c>
      <c r="BQ377">
        <f>IF(AND(CROQUIS!$C$88=1,CROQUIS!$C$137&gt;0),((CROQUIS!$C$161+(IF(CROQUIS!$C$92="X",CHOOSE(IF(INT(($A377-1)/5)&gt;MAX((MAX(1,INT(((CROQUIS!$C$97)-CROQUIS!$C$107)/MAX((CROQUIS!$C$137*MAX(1,CEILING((INT(((CROQUIS!$C$97)-CROQUIS!$C$107)/MAX(CROQUIS!$C$137,1))+1)/80,1))),1))+1))-1,0),0,MOD($A377-1,5))+1,0,2,CROQUIS!$C$98-2,2,0),((CROQUIS!$C$107/2+(((CROQUIS!$C$97)-CROQUIS!$C$107)-(MAX(1,INT(((CROQUIS!$C$97)-CROQUIS!$C$107)/MAX((CROQUIS!$C$137*MAX(1,CEILING((INT(((CROQUIS!$C$97)-CROQUIS!$C$107)/MAX(CROQUIS!$C$137,1))+1)/80,1))),1))+1)-1)*(CROQUIS!$C$137*MAX(1,CEILING((INT(((CROQUIS!$C$97)-CROQUIS!$C$107)/MAX(CROQUIS!$C$137,1))+1)/80,1))))/2)+MIN(INT(($A377-1)/5),MAX((MAX(1,INT(((CROQUIS!$C$97)-CROQUIS!$C$107)/MAX((CROQUIS!$C$137*MAX(1,CEILING((INT(((CROQUIS!$C$97)-CROQUIS!$C$107)/MAX(CROQUIS!$C$137,1))+1)/80,1))),1))+1))-1,0))*(CROQUIS!$C$137*MAX(1,CEILING((INT(((CROQUIS!$C$97)-CROQUIS!$C$107)/MAX(CROQUIS!$C$137,1))+1)/80,1))))))*CROQUIS!$C$159)+IF(CROQUIS!$C$92="X",0,0)),-1000)</f>
        <v>-1000</v>
      </c>
      <c r="BR377">
        <f>IF(AND(CROQUIS!$C$88=1,CROQUIS!$C$91=0,CROQUIS!$C$133&gt;0,OR(CROQUIS!$C$103=1,CROQUIS!$C$145=1)),((CROQUIS!$C$160+(IF(CROQUIS!$C$92="X",CHOOSE(IF(INT(($A377-1)/5)&gt;MAX((MAX(1,INT(((CROQUIS!$C$98)-CROQUIS!$C$107)/MAX((CROQUIS!$C$133*MAX(1,CEILING((INT(((CROQUIS!$C$98)-CROQUIS!$C$107)/MAX(CROQUIS!$C$133,1))+1)/80,1))),1))+1))-1,0),0,MOD($A377-1,5))+1,0,IF(CROQUIS!$C$103=1,-12,2),CROQUIS!$C$107/2+CROQUIS!$C$143,IF(CROQUIS!$C$103=1,-12,2),0),((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BS3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+1,0,IF(CROQUIS!$C$103=1,-12,2),CROQUIS!$C$107/2+CROQUIS!$C$143,IF(CROQUIS!$C$103=1,-12,2),0)))*CROQUIS!$C$159)+IF(CROQUIS!$C$92="X",0.8,0)),-1000)</f>
        <v>-1000</v>
      </c>
      <c r="BT377">
        <f>IF(AND(CROQUIS!$C$88=1,CROQUIS!$C$91=0,CROQUIS!$C$133&gt;0,OR(CROQUIS!$C$104=1,CROQUIS!$C$145=1)),((CROQUIS!$C$160+(IF(CROQUIS!$C$92="X",CHOOSE(IF(INT(($A377-1)/5)&gt;MAX((MAX(1,INT(((CROQUIS!$C$98)-CROQUIS!$C$107)/MAX((CROQUIS!$C$133*MAX(1,CEILING((INT(((CROQUIS!$C$98)-CROQUIS!$C$107)/MAX(CROQUIS!$C$133,1))+1)/80,1))),1))+1))-1,0),0,MOD($A377-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BU3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CROQUIS!$C$97,CROQUIS!$C$97-CROQUIS!$C$107/2-CROQUIS!$C$143,IF(CROQUIS!$C$104=1,CROQUIS!$C$97+12,CROQUIS!$C$97-2),CROQUIS!$C$97-CROQUIS!$C$107/2-CROQUIS!$C$143,CROQUIS!$C$97)))*CROQUIS!$C$159)+IF(CROQUIS!$C$92="X",0.8,0)),-1000)</f>
        <v>-1000</v>
      </c>
      <c r="BV3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HOOSE(IF(INT(($A377-1)/5)&gt;MAX((MAX(1,INT(((CROQUIS!$C$97)-CROQUIS!$C$107)/MAX((CROQUIS!$C$141*MAX(1,CEILING((INT(((CROQUIS!$C$97)-CROQUIS!$C$107)/MAX(CROQUIS!$C$141,1))+1)/80,1))),1))+1))-1,0),0,MOD($A377-1,5))+1,0,IF(CROQUIS!$C$105=1,-12,2),CROQUIS!$C$107/2+CROQUIS!$C$144,IF(CROQUIS!$C$105=1,-12,2),0)))*CROQUIS!$C$159)+IF(CROQUIS!$C$92="X",0.8,0)),-1000)</f>
        <v>-1000</v>
      </c>
      <c r="BW377">
        <f>IF(AND(CROQUIS!$C$88=1,CROQUIS!$C$91=0,CROQUIS!$C$141&gt;0,OR(CROQUIS!$C$105=1,CROQUIS!$C$146=1)),((CROQUIS!$C$161+(IF(CROQUIS!$C$92="X",CHOOSE(IF(INT(($A377-1)/5)&gt;MAX((MAX(1,INT(((CROQUIS!$C$97)-CROQUIS!$C$107)/MAX((CROQUIS!$C$141*MAX(1,CEILING((INT(((CROQUIS!$C$97)-CROQUIS!$C$107)/MAX(CROQUIS!$C$141,1))+1)/80,1))),1))+1))-1,0),0,MOD($A377-1,5))+1,0,IF(CROQUIS!$C$105=1,-12,2),CROQUIS!$C$107/2+CROQUIS!$C$144,IF(CROQUIS!$C$105=1,-12,2),0),((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ROQUIS!$C$159)+IF(CROQUIS!$C$92="X",0,0.8)),-1000)</f>
        <v>-1000</v>
      </c>
      <c r="BX3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HOOSE(IF(INT(($A377-1)/5)&gt;MAX((MAX(1,INT(((CROQUIS!$C$97)-CROQUIS!$C$107)/MAX((CROQUIS!$C$141*MAX(1,CEILING((INT(((CROQUIS!$C$97)-CROQUIS!$C$107)/MAX(CROQUIS!$C$141,1))+1)/80,1))),1))+1))-1,0),0,MOD($A377-1,5))+1,CROQUIS!$C$98,CROQUIS!$C$98-CROQUIS!$C$107/2-CROQUIS!$C$144,IF(CROQUIS!$C$106=1,CROQUIS!$C$98+12,CROQUIS!$C$98-2),CROQUIS!$C$98-CROQUIS!$C$107/2-CROQUIS!$C$144,CROQUIS!$C$98)))*CROQUIS!$C$159)+IF(CROQUIS!$C$92="X",0.8,0)),-1000)</f>
        <v>-1000</v>
      </c>
      <c r="BY377">
        <f>IF(AND(CROQUIS!$C$88=1,CROQUIS!$C$91=0,CROQUIS!$C$141&gt;0,OR(CROQUIS!$C$106=1,CROQUIS!$C$146=1)),((CROQUIS!$C$161+(IF(CROQUIS!$C$92="X",CHOOSE(IF(INT(($A377-1)/5)&gt;MAX((MAX(1,INT(((CROQUIS!$C$97)-CROQUIS!$C$107)/MAX((CROQUIS!$C$141*MAX(1,CEILING((INT(((CROQUIS!$C$97)-CROQUIS!$C$107)/MAX(CROQUIS!$C$141,1))+1)/80,1))),1))+1))-1,0),0,MOD($A377-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ROQUIS!$C$159)+IF(CROQUIS!$C$92="X",0,0.8)),-1000)</f>
        <v>-1000</v>
      </c>
      <c r="BZ377">
        <f>IF(AND(CROQUIS!$C$88=1,CROQUIS!$C$91=1,CROQUIS!$C$133&gt;0),((CROQUIS!$C$160+(IF(CROQUIS!$C$92="X",CHOOSE(IF(INT(($A377-1)/5)&gt;MAX((MAX(1,INT(((CROQUIS!$C$98)-CROQUIS!$C$107)/MAX((CROQUIS!$C$133*MAX(1,CEILING((INT(((CROQUIS!$C$98)-CROQUIS!$C$107)/MAX(CROQUIS!$C$133,1))+1)/80,1))),1))+1))-1,0),0,MOD($A377-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CA377">
        <f>IF(AND(CROQUIS!$C$88=1,CROQUIS!$C$91=1,CROQUIS!$C$133&gt;0),((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8">
      <c r="A378" t="n">
        <v>371</v>
      </c>
      <c r="BN378">
        <f>IF(AND(CROQUIS!$C$88=1,CROQUIS!$C$129&gt;0),((CROQUIS!$C$160+(IF(CROQUIS!$C$92="X",CHOOSE(IF(INT(($A378-1)/5)&gt;MAX((MAX(1,INT(((CROQUIS!$C$98)-CROQUIS!$C$107)/MAX((CROQUIS!$C$129*MAX(1,CEILING((INT(((CROQUIS!$C$98)-CROQUIS!$C$107)/MAX(CROQUIS!$C$129,1))+1)/80,1))),1))+1))-1,0),0,MOD($A378-1,5))+1,0,2,CROQUIS!$C$97-2,2,0),((CROQUIS!$C$107/2+(((CROQUIS!$C$98)-CROQUIS!$C$107)-(MAX(1,INT(((CROQUIS!$C$98)-CROQUIS!$C$107)/MAX((CROQUIS!$C$129*MAX(1,CEILING((INT(((CROQUIS!$C$98)-CROQUIS!$C$107)/MAX(CROQUIS!$C$129,1))+1)/80,1))),1))+1)-1)*(CROQUIS!$C$129*MAX(1,CEILING((INT(((CROQUIS!$C$98)-CROQUIS!$C$107)/MAX(CROQUIS!$C$129,1))+1)/80,1))))/2)+MIN(INT(($A378-1)/5),MAX((MAX(1,INT(((CROQUIS!$C$98)-CROQUIS!$C$107)/MAX((CROQUIS!$C$129*MAX(1,CEILING((INT(((CROQUIS!$C$98)-CROQUIS!$C$107)/MAX(CROQUIS!$C$129,1))+1)/80,1))),1))+1))-1,0))*(CROQUIS!$C$129*MAX(1,CEILING((INT(((CROQUIS!$C$98)-CROQUIS!$C$107)/MAX(CROQUIS!$C$129,1))+1)/80,1))))))*CROQUIS!$C$159)+IF(CROQUIS!$C$92="X",0,0)),-1000)</f>
        <v>-1000</v>
      </c>
      <c r="BO378">
        <f>IF(AND(CROQUIS!$C$88=1,CROQUIS!$C$129&gt;0),((CROQUIS!$C$161+(IF(CROQUIS!$C$92="X",((CROQUIS!$C$107/2+(((CROQUIS!$C$98)-CROQUIS!$C$107)-(MAX(1,INT(((CROQUIS!$C$98)-CROQUIS!$C$107)/MAX((CROQUIS!$C$129*MAX(1,CEILING((INT(((CROQUIS!$C$98)-CROQUIS!$C$107)/MAX(CROQUIS!$C$129,1))+1)/80,1))),1))+1)-1)*(CROQUIS!$C$129*MAX(1,CEILING((INT(((CROQUIS!$C$98)-CROQUIS!$C$107)/MAX(CROQUIS!$C$129,1))+1)/80,1))))/2)+MIN(INT(($A378-1)/5),MAX((MAX(1,INT(((CROQUIS!$C$98)-CROQUIS!$C$107)/MAX((CROQUIS!$C$129*MAX(1,CEILING((INT(((CROQUIS!$C$98)-CROQUIS!$C$107)/MAX(CROQUIS!$C$129,1))+1)/80,1))),1))+1))-1,0))*(CROQUIS!$C$129*MAX(1,CEILING((INT(((CROQUIS!$C$98)-CROQUIS!$C$107)/MAX(CROQUIS!$C$129,1))+1)/80,1)))),CHOOSE(IF(INT(($A378-1)/5)&gt;MAX((MAX(1,INT(((CROQUIS!$C$98)-CROQUIS!$C$107)/MAX((CROQUIS!$C$129*MAX(1,CEILING((INT(((CROQUIS!$C$98)-CROQUIS!$C$107)/MAX(CROQUIS!$C$129,1))+1)/80,1))),1))+1))-1,0),0,MOD($A378-1,5))+1,0,2,CROQUIS!$C$97-2,2,0)))*CROQUIS!$C$159)+IF(CROQUIS!$C$92="X",0,0)),-1000)</f>
        <v>-1000</v>
      </c>
      <c r="BP378">
        <f>IF(AND(CROQUIS!$C$88=1,CROQUIS!$C$137&gt;0),((CROQUIS!$C$160+(IF(CROQUIS!$C$92="X",((CROQUIS!$C$107/2+(((CROQUIS!$C$97)-CROQUIS!$C$107)-(MAX(1,INT(((CROQUIS!$C$97)-CROQUIS!$C$107)/MAX((CROQUIS!$C$137*MAX(1,CEILING((INT(((CROQUIS!$C$97)-CROQUIS!$C$107)/MAX(CROQUIS!$C$137,1))+1)/80,1))),1))+1)-1)*(CROQUIS!$C$137*MAX(1,CEILING((INT(((CROQUIS!$C$97)-CROQUIS!$C$107)/MAX(CROQUIS!$C$137,1))+1)/80,1))))/2)+MIN(INT(($A378-1)/5),MAX((MAX(1,INT(((CROQUIS!$C$97)-CROQUIS!$C$107)/MAX((CROQUIS!$C$137*MAX(1,CEILING((INT(((CROQUIS!$C$97)-CROQUIS!$C$107)/MAX(CROQUIS!$C$137,1))+1)/80,1))),1))+1))-1,0))*(CROQUIS!$C$137*MAX(1,CEILING((INT(((CROQUIS!$C$97)-CROQUIS!$C$107)/MAX(CROQUIS!$C$137,1))+1)/80,1)))),CHOOSE(IF(INT(($A378-1)/5)&gt;MAX((MAX(1,INT(((CROQUIS!$C$97)-CROQUIS!$C$107)/MAX((CROQUIS!$C$137*MAX(1,CEILING((INT(((CROQUIS!$C$97)-CROQUIS!$C$107)/MAX(CROQUIS!$C$137,1))+1)/80,1))),1))+1))-1,0),0,MOD($A378-1,5))+1,0,2,CROQUIS!$C$98-2,2,0)))*CROQUIS!$C$159)+IF(CROQUIS!$C$92="X",0,0)),-1000)</f>
        <v>-1000</v>
      </c>
      <c r="BQ378">
        <f>IF(AND(CROQUIS!$C$88=1,CROQUIS!$C$137&gt;0),((CROQUIS!$C$161+(IF(CROQUIS!$C$92="X",CHOOSE(IF(INT(($A378-1)/5)&gt;MAX((MAX(1,INT(((CROQUIS!$C$97)-CROQUIS!$C$107)/MAX((CROQUIS!$C$137*MAX(1,CEILING((INT(((CROQUIS!$C$97)-CROQUIS!$C$107)/MAX(CROQUIS!$C$137,1))+1)/80,1))),1))+1))-1,0),0,MOD($A378-1,5))+1,0,2,CROQUIS!$C$98-2,2,0),((CROQUIS!$C$107/2+(((CROQUIS!$C$97)-CROQUIS!$C$107)-(MAX(1,INT(((CROQUIS!$C$97)-CROQUIS!$C$107)/MAX((CROQUIS!$C$137*MAX(1,CEILING((INT(((CROQUIS!$C$97)-CROQUIS!$C$107)/MAX(CROQUIS!$C$137,1))+1)/80,1))),1))+1)-1)*(CROQUIS!$C$137*MAX(1,CEILING((INT(((CROQUIS!$C$97)-CROQUIS!$C$107)/MAX(CROQUIS!$C$137,1))+1)/80,1))))/2)+MIN(INT(($A378-1)/5),MAX((MAX(1,INT(((CROQUIS!$C$97)-CROQUIS!$C$107)/MAX((CROQUIS!$C$137*MAX(1,CEILING((INT(((CROQUIS!$C$97)-CROQUIS!$C$107)/MAX(CROQUIS!$C$137,1))+1)/80,1))),1))+1))-1,0))*(CROQUIS!$C$137*MAX(1,CEILING((INT(((CROQUIS!$C$97)-CROQUIS!$C$107)/MAX(CROQUIS!$C$137,1))+1)/80,1))))))*CROQUIS!$C$159)+IF(CROQUIS!$C$92="X",0,0)),-1000)</f>
        <v>-1000</v>
      </c>
      <c r="BR378">
        <f>IF(AND(CROQUIS!$C$88=1,CROQUIS!$C$91=0,CROQUIS!$C$133&gt;0,OR(CROQUIS!$C$103=1,CROQUIS!$C$145=1)),((CROQUIS!$C$160+(IF(CROQUIS!$C$92="X",CHOOSE(IF(INT(($A378-1)/5)&gt;MAX((MAX(1,INT(((CROQUIS!$C$98)-CROQUIS!$C$107)/MAX((CROQUIS!$C$133*MAX(1,CEILING((INT(((CROQUIS!$C$98)-CROQUIS!$C$107)/MAX(CROQUIS!$C$133,1))+1)/80,1))),1))+1))-1,0),0,MOD($A378-1,5))+1,0,IF(CROQUIS!$C$103=1,-12,2),CROQUIS!$C$107/2+CROQUIS!$C$143,IF(CROQUIS!$C$103=1,-12,2),0),((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BS3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+1,0,IF(CROQUIS!$C$103=1,-12,2),CROQUIS!$C$107/2+CROQUIS!$C$143,IF(CROQUIS!$C$103=1,-12,2),0)))*CROQUIS!$C$159)+IF(CROQUIS!$C$92="X",0.8,0)),-1000)</f>
        <v>-1000</v>
      </c>
      <c r="BT378">
        <f>IF(AND(CROQUIS!$C$88=1,CROQUIS!$C$91=0,CROQUIS!$C$133&gt;0,OR(CROQUIS!$C$104=1,CROQUIS!$C$145=1)),((CROQUIS!$C$160+(IF(CROQUIS!$C$92="X",CHOOSE(IF(INT(($A378-1)/5)&gt;MAX((MAX(1,INT(((CROQUIS!$C$98)-CROQUIS!$C$107)/MAX((CROQUIS!$C$133*MAX(1,CEILING((INT(((CROQUIS!$C$98)-CROQUIS!$C$107)/MAX(CROQUIS!$C$133,1))+1)/80,1))),1))+1))-1,0),0,MOD($A378-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BU3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CROQUIS!$C$97,CROQUIS!$C$97-CROQUIS!$C$107/2-CROQUIS!$C$143,IF(CROQUIS!$C$104=1,CROQUIS!$C$97+12,CROQUIS!$C$97-2),CROQUIS!$C$97-CROQUIS!$C$107/2-CROQUIS!$C$143,CROQUIS!$C$97)))*CROQUIS!$C$159)+IF(CROQUIS!$C$92="X",0.8,0)),-1000)</f>
        <v>-1000</v>
      </c>
      <c r="BV3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HOOSE(IF(INT(($A378-1)/5)&gt;MAX((MAX(1,INT(((CROQUIS!$C$97)-CROQUIS!$C$107)/MAX((CROQUIS!$C$141*MAX(1,CEILING((INT(((CROQUIS!$C$97)-CROQUIS!$C$107)/MAX(CROQUIS!$C$141,1))+1)/80,1))),1))+1))-1,0),0,MOD($A378-1,5))+1,0,IF(CROQUIS!$C$105=1,-12,2),CROQUIS!$C$107/2+CROQUIS!$C$144,IF(CROQUIS!$C$105=1,-12,2),0)))*CROQUIS!$C$159)+IF(CROQUIS!$C$92="X",0.8,0)),-1000)</f>
        <v>-1000</v>
      </c>
      <c r="BW378">
        <f>IF(AND(CROQUIS!$C$88=1,CROQUIS!$C$91=0,CROQUIS!$C$141&gt;0,OR(CROQUIS!$C$105=1,CROQUIS!$C$146=1)),((CROQUIS!$C$161+(IF(CROQUIS!$C$92="X",CHOOSE(IF(INT(($A378-1)/5)&gt;MAX((MAX(1,INT(((CROQUIS!$C$97)-CROQUIS!$C$107)/MAX((CROQUIS!$C$141*MAX(1,CEILING((INT(((CROQUIS!$C$97)-CROQUIS!$C$107)/MAX(CROQUIS!$C$141,1))+1)/80,1))),1))+1))-1,0),0,MOD($A378-1,5))+1,0,IF(CROQUIS!$C$105=1,-12,2),CROQUIS!$C$107/2+CROQUIS!$C$144,IF(CROQUIS!$C$105=1,-12,2),0),((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ROQUIS!$C$159)+IF(CROQUIS!$C$92="X",0,0.8)),-1000)</f>
        <v>-1000</v>
      </c>
      <c r="BX3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HOOSE(IF(INT(($A378-1)/5)&gt;MAX((MAX(1,INT(((CROQUIS!$C$97)-CROQUIS!$C$107)/MAX((CROQUIS!$C$141*MAX(1,CEILING((INT(((CROQUIS!$C$97)-CROQUIS!$C$107)/MAX(CROQUIS!$C$141,1))+1)/80,1))),1))+1))-1,0),0,MOD($A378-1,5))+1,CROQUIS!$C$98,CROQUIS!$C$98-CROQUIS!$C$107/2-CROQUIS!$C$144,IF(CROQUIS!$C$106=1,CROQUIS!$C$98+12,CROQUIS!$C$98-2),CROQUIS!$C$98-CROQUIS!$C$107/2-CROQUIS!$C$144,CROQUIS!$C$98)))*CROQUIS!$C$159)+IF(CROQUIS!$C$92="X",0.8,0)),-1000)</f>
        <v>-1000</v>
      </c>
      <c r="BY378">
        <f>IF(AND(CROQUIS!$C$88=1,CROQUIS!$C$91=0,CROQUIS!$C$141&gt;0,OR(CROQUIS!$C$106=1,CROQUIS!$C$146=1)),((CROQUIS!$C$161+(IF(CROQUIS!$C$92="X",CHOOSE(IF(INT(($A378-1)/5)&gt;MAX((MAX(1,INT(((CROQUIS!$C$97)-CROQUIS!$C$107)/MAX((CROQUIS!$C$141*MAX(1,CEILING((INT(((CROQUIS!$C$97)-CROQUIS!$C$107)/MAX(CROQUIS!$C$141,1))+1)/80,1))),1))+1))-1,0),0,MOD($A378-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ROQUIS!$C$159)+IF(CROQUIS!$C$92="X",0,0.8)),-1000)</f>
        <v>-1000</v>
      </c>
      <c r="BZ378">
        <f>IF(AND(CROQUIS!$C$88=1,CROQUIS!$C$91=1,CROQUIS!$C$133&gt;0),((CROQUIS!$C$160+(IF(CROQUIS!$C$92="X",CHOOSE(IF(INT(($A378-1)/5)&gt;MAX((MAX(1,INT(((CROQUIS!$C$98)-CROQUIS!$C$107)/MAX((CROQUIS!$C$133*MAX(1,CEILING((INT(((CROQUIS!$C$98)-CROQUIS!$C$107)/MAX(CROQUIS!$C$133,1))+1)/80,1))),1))+1))-1,0),0,MOD($A378-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CA378">
        <f>IF(AND(CROQUIS!$C$88=1,CROQUIS!$C$91=1,CROQUIS!$C$133&gt;0),((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9">
      <c r="A379" t="n">
        <v>372</v>
      </c>
      <c r="BN379">
        <f>IF(AND(CROQUIS!$C$88=1,CROQUIS!$C$129&gt;0),((CROQUIS!$C$160+(IF(CROQUIS!$C$92="X",CHOOSE(IF(INT(($A379-1)/5)&gt;MAX((MAX(1,INT(((CROQUIS!$C$98)-CROQUIS!$C$107)/MAX((CROQUIS!$C$129*MAX(1,CEILING((INT(((CROQUIS!$C$98)-CROQUIS!$C$107)/MAX(CROQUIS!$C$129,1))+1)/80,1))),1))+1))-1,0),0,MOD($A379-1,5))+1,0,2,CROQUIS!$C$97-2,2,0),((CROQUIS!$C$107/2+(((CROQUIS!$C$98)-CROQUIS!$C$107)-(MAX(1,INT(((CROQUIS!$C$98)-CROQUIS!$C$107)/MAX((CROQUIS!$C$129*MAX(1,CEILING((INT(((CROQUIS!$C$98)-CROQUIS!$C$107)/MAX(CROQUIS!$C$129,1))+1)/80,1))),1))+1)-1)*(CROQUIS!$C$129*MAX(1,CEILING((INT(((CROQUIS!$C$98)-CROQUIS!$C$107)/MAX(CROQUIS!$C$129,1))+1)/80,1))))/2)+MIN(INT(($A379-1)/5),MAX((MAX(1,INT(((CROQUIS!$C$98)-CROQUIS!$C$107)/MAX((CROQUIS!$C$129*MAX(1,CEILING((INT(((CROQUIS!$C$98)-CROQUIS!$C$107)/MAX(CROQUIS!$C$129,1))+1)/80,1))),1))+1))-1,0))*(CROQUIS!$C$129*MAX(1,CEILING((INT(((CROQUIS!$C$98)-CROQUIS!$C$107)/MAX(CROQUIS!$C$129,1))+1)/80,1))))))*CROQUIS!$C$159)+IF(CROQUIS!$C$92="X",0,0)),-1000)</f>
        <v>-1000</v>
      </c>
      <c r="BO379">
        <f>IF(AND(CROQUIS!$C$88=1,CROQUIS!$C$129&gt;0),((CROQUIS!$C$161+(IF(CROQUIS!$C$92="X",((CROQUIS!$C$107/2+(((CROQUIS!$C$98)-CROQUIS!$C$107)-(MAX(1,INT(((CROQUIS!$C$98)-CROQUIS!$C$107)/MAX((CROQUIS!$C$129*MAX(1,CEILING((INT(((CROQUIS!$C$98)-CROQUIS!$C$107)/MAX(CROQUIS!$C$129,1))+1)/80,1))),1))+1)-1)*(CROQUIS!$C$129*MAX(1,CEILING((INT(((CROQUIS!$C$98)-CROQUIS!$C$107)/MAX(CROQUIS!$C$129,1))+1)/80,1))))/2)+MIN(INT(($A379-1)/5),MAX((MAX(1,INT(((CROQUIS!$C$98)-CROQUIS!$C$107)/MAX((CROQUIS!$C$129*MAX(1,CEILING((INT(((CROQUIS!$C$98)-CROQUIS!$C$107)/MAX(CROQUIS!$C$129,1))+1)/80,1))),1))+1))-1,0))*(CROQUIS!$C$129*MAX(1,CEILING((INT(((CROQUIS!$C$98)-CROQUIS!$C$107)/MAX(CROQUIS!$C$129,1))+1)/80,1)))),CHOOSE(IF(INT(($A379-1)/5)&gt;MAX((MAX(1,INT(((CROQUIS!$C$98)-CROQUIS!$C$107)/MAX((CROQUIS!$C$129*MAX(1,CEILING((INT(((CROQUIS!$C$98)-CROQUIS!$C$107)/MAX(CROQUIS!$C$129,1))+1)/80,1))),1))+1))-1,0),0,MOD($A379-1,5))+1,0,2,CROQUIS!$C$97-2,2,0)))*CROQUIS!$C$159)+IF(CROQUIS!$C$92="X",0,0)),-1000)</f>
        <v>-1000</v>
      </c>
      <c r="BP379">
        <f>IF(AND(CROQUIS!$C$88=1,CROQUIS!$C$137&gt;0),((CROQUIS!$C$160+(IF(CROQUIS!$C$92="X",((CROQUIS!$C$107/2+(((CROQUIS!$C$97)-CROQUIS!$C$107)-(MAX(1,INT(((CROQUIS!$C$97)-CROQUIS!$C$107)/MAX((CROQUIS!$C$137*MAX(1,CEILING((INT(((CROQUIS!$C$97)-CROQUIS!$C$107)/MAX(CROQUIS!$C$137,1))+1)/80,1))),1))+1)-1)*(CROQUIS!$C$137*MAX(1,CEILING((INT(((CROQUIS!$C$97)-CROQUIS!$C$107)/MAX(CROQUIS!$C$137,1))+1)/80,1))))/2)+MIN(INT(($A379-1)/5),MAX((MAX(1,INT(((CROQUIS!$C$97)-CROQUIS!$C$107)/MAX((CROQUIS!$C$137*MAX(1,CEILING((INT(((CROQUIS!$C$97)-CROQUIS!$C$107)/MAX(CROQUIS!$C$137,1))+1)/80,1))),1))+1))-1,0))*(CROQUIS!$C$137*MAX(1,CEILING((INT(((CROQUIS!$C$97)-CROQUIS!$C$107)/MAX(CROQUIS!$C$137,1))+1)/80,1)))),CHOOSE(IF(INT(($A379-1)/5)&gt;MAX((MAX(1,INT(((CROQUIS!$C$97)-CROQUIS!$C$107)/MAX((CROQUIS!$C$137*MAX(1,CEILING((INT(((CROQUIS!$C$97)-CROQUIS!$C$107)/MAX(CROQUIS!$C$137,1))+1)/80,1))),1))+1))-1,0),0,MOD($A379-1,5))+1,0,2,CROQUIS!$C$98-2,2,0)))*CROQUIS!$C$159)+IF(CROQUIS!$C$92="X",0,0)),-1000)</f>
        <v>-1000</v>
      </c>
      <c r="BQ379">
        <f>IF(AND(CROQUIS!$C$88=1,CROQUIS!$C$137&gt;0),((CROQUIS!$C$161+(IF(CROQUIS!$C$92="X",CHOOSE(IF(INT(($A379-1)/5)&gt;MAX((MAX(1,INT(((CROQUIS!$C$97)-CROQUIS!$C$107)/MAX((CROQUIS!$C$137*MAX(1,CEILING((INT(((CROQUIS!$C$97)-CROQUIS!$C$107)/MAX(CROQUIS!$C$137,1))+1)/80,1))),1))+1))-1,0),0,MOD($A379-1,5))+1,0,2,CROQUIS!$C$98-2,2,0),((CROQUIS!$C$107/2+(((CROQUIS!$C$97)-CROQUIS!$C$107)-(MAX(1,INT(((CROQUIS!$C$97)-CROQUIS!$C$107)/MAX((CROQUIS!$C$137*MAX(1,CEILING((INT(((CROQUIS!$C$97)-CROQUIS!$C$107)/MAX(CROQUIS!$C$137,1))+1)/80,1))),1))+1)-1)*(CROQUIS!$C$137*MAX(1,CEILING((INT(((CROQUIS!$C$97)-CROQUIS!$C$107)/MAX(CROQUIS!$C$137,1))+1)/80,1))))/2)+MIN(INT(($A379-1)/5),MAX((MAX(1,INT(((CROQUIS!$C$97)-CROQUIS!$C$107)/MAX((CROQUIS!$C$137*MAX(1,CEILING((INT(((CROQUIS!$C$97)-CROQUIS!$C$107)/MAX(CROQUIS!$C$137,1))+1)/80,1))),1))+1))-1,0))*(CROQUIS!$C$137*MAX(1,CEILING((INT(((CROQUIS!$C$97)-CROQUIS!$C$107)/MAX(CROQUIS!$C$137,1))+1)/80,1))))))*CROQUIS!$C$159)+IF(CROQUIS!$C$92="X",0,0)),-1000)</f>
        <v>-1000</v>
      </c>
      <c r="BR379">
        <f>IF(AND(CROQUIS!$C$88=1,CROQUIS!$C$91=0,CROQUIS!$C$133&gt;0,OR(CROQUIS!$C$103=1,CROQUIS!$C$145=1)),((CROQUIS!$C$160+(IF(CROQUIS!$C$92="X",CHOOSE(IF(INT(($A379-1)/5)&gt;MAX((MAX(1,INT(((CROQUIS!$C$98)-CROQUIS!$C$107)/MAX((CROQUIS!$C$133*MAX(1,CEILING((INT(((CROQUIS!$C$98)-CROQUIS!$C$107)/MAX(CROQUIS!$C$133,1))+1)/80,1))),1))+1))-1,0),0,MOD($A379-1,5))+1,0,IF(CROQUIS!$C$103=1,-12,2),CROQUIS!$C$107/2+CROQUIS!$C$143,IF(CROQUIS!$C$103=1,-12,2),0),((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BS3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+1,0,IF(CROQUIS!$C$103=1,-12,2),CROQUIS!$C$107/2+CROQUIS!$C$143,IF(CROQUIS!$C$103=1,-12,2),0)))*CROQUIS!$C$159)+IF(CROQUIS!$C$92="X",0.8,0)),-1000)</f>
        <v>-1000</v>
      </c>
      <c r="BT379">
        <f>IF(AND(CROQUIS!$C$88=1,CROQUIS!$C$91=0,CROQUIS!$C$133&gt;0,OR(CROQUIS!$C$104=1,CROQUIS!$C$145=1)),((CROQUIS!$C$160+(IF(CROQUIS!$C$92="X",CHOOSE(IF(INT(($A379-1)/5)&gt;MAX((MAX(1,INT(((CROQUIS!$C$98)-CROQUIS!$C$107)/MAX((CROQUIS!$C$133*MAX(1,CEILING((INT(((CROQUIS!$C$98)-CROQUIS!$C$107)/MAX(CROQUIS!$C$133,1))+1)/80,1))),1))+1))-1,0),0,MOD($A379-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BU3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CROQUIS!$C$97,CROQUIS!$C$97-CROQUIS!$C$107/2-CROQUIS!$C$143,IF(CROQUIS!$C$104=1,CROQUIS!$C$97+12,CROQUIS!$C$97-2),CROQUIS!$C$97-CROQUIS!$C$107/2-CROQUIS!$C$143,CROQUIS!$C$97)))*CROQUIS!$C$159)+IF(CROQUIS!$C$92="X",0.8,0)),-1000)</f>
        <v>-1000</v>
      </c>
      <c r="BV3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HOOSE(IF(INT(($A379-1)/5)&gt;MAX((MAX(1,INT(((CROQUIS!$C$97)-CROQUIS!$C$107)/MAX((CROQUIS!$C$141*MAX(1,CEILING((INT(((CROQUIS!$C$97)-CROQUIS!$C$107)/MAX(CROQUIS!$C$141,1))+1)/80,1))),1))+1))-1,0),0,MOD($A379-1,5))+1,0,IF(CROQUIS!$C$105=1,-12,2),CROQUIS!$C$107/2+CROQUIS!$C$144,IF(CROQUIS!$C$105=1,-12,2),0)))*CROQUIS!$C$159)+IF(CROQUIS!$C$92="X",0.8,0)),-1000)</f>
        <v>-1000</v>
      </c>
      <c r="BW379">
        <f>IF(AND(CROQUIS!$C$88=1,CROQUIS!$C$91=0,CROQUIS!$C$141&gt;0,OR(CROQUIS!$C$105=1,CROQUIS!$C$146=1)),((CROQUIS!$C$161+(IF(CROQUIS!$C$92="X",CHOOSE(IF(INT(($A379-1)/5)&gt;MAX((MAX(1,INT(((CROQUIS!$C$97)-CROQUIS!$C$107)/MAX((CROQUIS!$C$141*MAX(1,CEILING((INT(((CROQUIS!$C$97)-CROQUIS!$C$107)/MAX(CROQUIS!$C$141,1))+1)/80,1))),1))+1))-1,0),0,MOD($A379-1,5))+1,0,IF(CROQUIS!$C$105=1,-12,2),CROQUIS!$C$107/2+CROQUIS!$C$144,IF(CROQUIS!$C$105=1,-12,2),0),((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ROQUIS!$C$159)+IF(CROQUIS!$C$92="X",0,0.8)),-1000)</f>
        <v>-1000</v>
      </c>
      <c r="BX3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HOOSE(IF(INT(($A379-1)/5)&gt;MAX((MAX(1,INT(((CROQUIS!$C$97)-CROQUIS!$C$107)/MAX((CROQUIS!$C$141*MAX(1,CEILING((INT(((CROQUIS!$C$97)-CROQUIS!$C$107)/MAX(CROQUIS!$C$141,1))+1)/80,1))),1))+1))-1,0),0,MOD($A379-1,5))+1,CROQUIS!$C$98,CROQUIS!$C$98-CROQUIS!$C$107/2-CROQUIS!$C$144,IF(CROQUIS!$C$106=1,CROQUIS!$C$98+12,CROQUIS!$C$98-2),CROQUIS!$C$98-CROQUIS!$C$107/2-CROQUIS!$C$144,CROQUIS!$C$98)))*CROQUIS!$C$159)+IF(CROQUIS!$C$92="X",0.8,0)),-1000)</f>
        <v>-1000</v>
      </c>
      <c r="BY379">
        <f>IF(AND(CROQUIS!$C$88=1,CROQUIS!$C$91=0,CROQUIS!$C$141&gt;0,OR(CROQUIS!$C$106=1,CROQUIS!$C$146=1)),((CROQUIS!$C$161+(IF(CROQUIS!$C$92="X",CHOOSE(IF(INT(($A379-1)/5)&gt;MAX((MAX(1,INT(((CROQUIS!$C$97)-CROQUIS!$C$107)/MAX((CROQUIS!$C$141*MAX(1,CEILING((INT(((CROQUIS!$C$97)-CROQUIS!$C$107)/MAX(CROQUIS!$C$141,1))+1)/80,1))),1))+1))-1,0),0,MOD($A379-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ROQUIS!$C$159)+IF(CROQUIS!$C$92="X",0,0.8)),-1000)</f>
        <v>-1000</v>
      </c>
      <c r="BZ379">
        <f>IF(AND(CROQUIS!$C$88=1,CROQUIS!$C$91=1,CROQUIS!$C$133&gt;0),((CROQUIS!$C$160+(IF(CROQUIS!$C$92="X",CHOOSE(IF(INT(($A379-1)/5)&gt;MAX((MAX(1,INT(((CROQUIS!$C$98)-CROQUIS!$C$107)/MAX((CROQUIS!$C$133*MAX(1,CEILING((INT(((CROQUIS!$C$98)-CROQUIS!$C$107)/MAX(CROQUIS!$C$133,1))+1)/80,1))),1))+1))-1,0),0,MOD($A379-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CA379">
        <f>IF(AND(CROQUIS!$C$88=1,CROQUIS!$C$91=1,CROQUIS!$C$133&gt;0),((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0">
      <c r="A380" t="n">
        <v>373</v>
      </c>
      <c r="BN380">
        <f>IF(AND(CROQUIS!$C$88=1,CROQUIS!$C$129&gt;0),((CROQUIS!$C$160+(IF(CROQUIS!$C$92="X",CHOOSE(IF(INT(($A380-1)/5)&gt;MAX((MAX(1,INT(((CROQUIS!$C$98)-CROQUIS!$C$107)/MAX((CROQUIS!$C$129*MAX(1,CEILING((INT(((CROQUIS!$C$98)-CROQUIS!$C$107)/MAX(CROQUIS!$C$129,1))+1)/80,1))),1))+1))-1,0),0,MOD($A380-1,5))+1,0,2,CROQUIS!$C$97-2,2,0),((CROQUIS!$C$107/2+(((CROQUIS!$C$98)-CROQUIS!$C$107)-(MAX(1,INT(((CROQUIS!$C$98)-CROQUIS!$C$107)/MAX((CROQUIS!$C$129*MAX(1,CEILING((INT(((CROQUIS!$C$98)-CROQUIS!$C$107)/MAX(CROQUIS!$C$129,1))+1)/80,1))),1))+1)-1)*(CROQUIS!$C$129*MAX(1,CEILING((INT(((CROQUIS!$C$98)-CROQUIS!$C$107)/MAX(CROQUIS!$C$129,1))+1)/80,1))))/2)+MIN(INT(($A380-1)/5),MAX((MAX(1,INT(((CROQUIS!$C$98)-CROQUIS!$C$107)/MAX((CROQUIS!$C$129*MAX(1,CEILING((INT(((CROQUIS!$C$98)-CROQUIS!$C$107)/MAX(CROQUIS!$C$129,1))+1)/80,1))),1))+1))-1,0))*(CROQUIS!$C$129*MAX(1,CEILING((INT(((CROQUIS!$C$98)-CROQUIS!$C$107)/MAX(CROQUIS!$C$129,1))+1)/80,1))))))*CROQUIS!$C$159)+IF(CROQUIS!$C$92="X",0,0)),-1000)</f>
        <v>-1000</v>
      </c>
      <c r="BO380">
        <f>IF(AND(CROQUIS!$C$88=1,CROQUIS!$C$129&gt;0),((CROQUIS!$C$161+(IF(CROQUIS!$C$92="X",((CROQUIS!$C$107/2+(((CROQUIS!$C$98)-CROQUIS!$C$107)-(MAX(1,INT(((CROQUIS!$C$98)-CROQUIS!$C$107)/MAX((CROQUIS!$C$129*MAX(1,CEILING((INT(((CROQUIS!$C$98)-CROQUIS!$C$107)/MAX(CROQUIS!$C$129,1))+1)/80,1))),1))+1)-1)*(CROQUIS!$C$129*MAX(1,CEILING((INT(((CROQUIS!$C$98)-CROQUIS!$C$107)/MAX(CROQUIS!$C$129,1))+1)/80,1))))/2)+MIN(INT(($A380-1)/5),MAX((MAX(1,INT(((CROQUIS!$C$98)-CROQUIS!$C$107)/MAX((CROQUIS!$C$129*MAX(1,CEILING((INT(((CROQUIS!$C$98)-CROQUIS!$C$107)/MAX(CROQUIS!$C$129,1))+1)/80,1))),1))+1))-1,0))*(CROQUIS!$C$129*MAX(1,CEILING((INT(((CROQUIS!$C$98)-CROQUIS!$C$107)/MAX(CROQUIS!$C$129,1))+1)/80,1)))),CHOOSE(IF(INT(($A380-1)/5)&gt;MAX((MAX(1,INT(((CROQUIS!$C$98)-CROQUIS!$C$107)/MAX((CROQUIS!$C$129*MAX(1,CEILING((INT(((CROQUIS!$C$98)-CROQUIS!$C$107)/MAX(CROQUIS!$C$129,1))+1)/80,1))),1))+1))-1,0),0,MOD($A380-1,5))+1,0,2,CROQUIS!$C$97-2,2,0)))*CROQUIS!$C$159)+IF(CROQUIS!$C$92="X",0,0)),-1000)</f>
        <v>-1000</v>
      </c>
      <c r="BP380">
        <f>IF(AND(CROQUIS!$C$88=1,CROQUIS!$C$137&gt;0),((CROQUIS!$C$160+(IF(CROQUIS!$C$92="X",((CROQUIS!$C$107/2+(((CROQUIS!$C$97)-CROQUIS!$C$107)-(MAX(1,INT(((CROQUIS!$C$97)-CROQUIS!$C$107)/MAX((CROQUIS!$C$137*MAX(1,CEILING((INT(((CROQUIS!$C$97)-CROQUIS!$C$107)/MAX(CROQUIS!$C$137,1))+1)/80,1))),1))+1)-1)*(CROQUIS!$C$137*MAX(1,CEILING((INT(((CROQUIS!$C$97)-CROQUIS!$C$107)/MAX(CROQUIS!$C$137,1))+1)/80,1))))/2)+MIN(INT(($A380-1)/5),MAX((MAX(1,INT(((CROQUIS!$C$97)-CROQUIS!$C$107)/MAX((CROQUIS!$C$137*MAX(1,CEILING((INT(((CROQUIS!$C$97)-CROQUIS!$C$107)/MAX(CROQUIS!$C$137,1))+1)/80,1))),1))+1))-1,0))*(CROQUIS!$C$137*MAX(1,CEILING((INT(((CROQUIS!$C$97)-CROQUIS!$C$107)/MAX(CROQUIS!$C$137,1))+1)/80,1)))),CHOOSE(IF(INT(($A380-1)/5)&gt;MAX((MAX(1,INT(((CROQUIS!$C$97)-CROQUIS!$C$107)/MAX((CROQUIS!$C$137*MAX(1,CEILING((INT(((CROQUIS!$C$97)-CROQUIS!$C$107)/MAX(CROQUIS!$C$137,1))+1)/80,1))),1))+1))-1,0),0,MOD($A380-1,5))+1,0,2,CROQUIS!$C$98-2,2,0)))*CROQUIS!$C$159)+IF(CROQUIS!$C$92="X",0,0)),-1000)</f>
        <v>-1000</v>
      </c>
      <c r="BQ380">
        <f>IF(AND(CROQUIS!$C$88=1,CROQUIS!$C$137&gt;0),((CROQUIS!$C$161+(IF(CROQUIS!$C$92="X",CHOOSE(IF(INT(($A380-1)/5)&gt;MAX((MAX(1,INT(((CROQUIS!$C$97)-CROQUIS!$C$107)/MAX((CROQUIS!$C$137*MAX(1,CEILING((INT(((CROQUIS!$C$97)-CROQUIS!$C$107)/MAX(CROQUIS!$C$137,1))+1)/80,1))),1))+1))-1,0),0,MOD($A380-1,5))+1,0,2,CROQUIS!$C$98-2,2,0),((CROQUIS!$C$107/2+(((CROQUIS!$C$97)-CROQUIS!$C$107)-(MAX(1,INT(((CROQUIS!$C$97)-CROQUIS!$C$107)/MAX((CROQUIS!$C$137*MAX(1,CEILING((INT(((CROQUIS!$C$97)-CROQUIS!$C$107)/MAX(CROQUIS!$C$137,1))+1)/80,1))),1))+1)-1)*(CROQUIS!$C$137*MAX(1,CEILING((INT(((CROQUIS!$C$97)-CROQUIS!$C$107)/MAX(CROQUIS!$C$137,1))+1)/80,1))))/2)+MIN(INT(($A380-1)/5),MAX((MAX(1,INT(((CROQUIS!$C$97)-CROQUIS!$C$107)/MAX((CROQUIS!$C$137*MAX(1,CEILING((INT(((CROQUIS!$C$97)-CROQUIS!$C$107)/MAX(CROQUIS!$C$137,1))+1)/80,1))),1))+1))-1,0))*(CROQUIS!$C$137*MAX(1,CEILING((INT(((CROQUIS!$C$97)-CROQUIS!$C$107)/MAX(CROQUIS!$C$137,1))+1)/80,1))))))*CROQUIS!$C$159)+IF(CROQUIS!$C$92="X",0,0)),-1000)</f>
        <v>-1000</v>
      </c>
      <c r="BR380">
        <f>IF(AND(CROQUIS!$C$88=1,CROQUIS!$C$91=0,CROQUIS!$C$133&gt;0,OR(CROQUIS!$C$103=1,CROQUIS!$C$145=1)),((CROQUIS!$C$160+(IF(CROQUIS!$C$92="X",CHOOSE(IF(INT(($A380-1)/5)&gt;MAX((MAX(1,INT(((CROQUIS!$C$98)-CROQUIS!$C$107)/MAX((CROQUIS!$C$133*MAX(1,CEILING((INT(((CROQUIS!$C$98)-CROQUIS!$C$107)/MAX(CROQUIS!$C$133,1))+1)/80,1))),1))+1))-1,0),0,MOD($A380-1,5))+1,0,IF(CROQUIS!$C$103=1,-12,2),CROQUIS!$C$107/2+CROQUIS!$C$143,IF(CROQUIS!$C$103=1,-12,2),0),((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BS3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+1,0,IF(CROQUIS!$C$103=1,-12,2),CROQUIS!$C$107/2+CROQUIS!$C$143,IF(CROQUIS!$C$103=1,-12,2),0)))*CROQUIS!$C$159)+IF(CROQUIS!$C$92="X",0.8,0)),-1000)</f>
        <v>-1000</v>
      </c>
      <c r="BT380">
        <f>IF(AND(CROQUIS!$C$88=1,CROQUIS!$C$91=0,CROQUIS!$C$133&gt;0,OR(CROQUIS!$C$104=1,CROQUIS!$C$145=1)),((CROQUIS!$C$160+(IF(CROQUIS!$C$92="X",CHOOSE(IF(INT(($A380-1)/5)&gt;MAX((MAX(1,INT(((CROQUIS!$C$98)-CROQUIS!$C$107)/MAX((CROQUIS!$C$133*MAX(1,CEILING((INT(((CROQUIS!$C$98)-CROQUIS!$C$107)/MAX(CROQUIS!$C$133,1))+1)/80,1))),1))+1))-1,0),0,MOD($A380-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BU3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CROQUIS!$C$97,CROQUIS!$C$97-CROQUIS!$C$107/2-CROQUIS!$C$143,IF(CROQUIS!$C$104=1,CROQUIS!$C$97+12,CROQUIS!$C$97-2),CROQUIS!$C$97-CROQUIS!$C$107/2-CROQUIS!$C$143,CROQUIS!$C$97)))*CROQUIS!$C$159)+IF(CROQUIS!$C$92="X",0.8,0)),-1000)</f>
        <v>-1000</v>
      </c>
      <c r="BV3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HOOSE(IF(INT(($A380-1)/5)&gt;MAX((MAX(1,INT(((CROQUIS!$C$97)-CROQUIS!$C$107)/MAX((CROQUIS!$C$141*MAX(1,CEILING((INT(((CROQUIS!$C$97)-CROQUIS!$C$107)/MAX(CROQUIS!$C$141,1))+1)/80,1))),1))+1))-1,0),0,MOD($A380-1,5))+1,0,IF(CROQUIS!$C$105=1,-12,2),CROQUIS!$C$107/2+CROQUIS!$C$144,IF(CROQUIS!$C$105=1,-12,2),0)))*CROQUIS!$C$159)+IF(CROQUIS!$C$92="X",0.8,0)),-1000)</f>
        <v>-1000</v>
      </c>
      <c r="BW380">
        <f>IF(AND(CROQUIS!$C$88=1,CROQUIS!$C$91=0,CROQUIS!$C$141&gt;0,OR(CROQUIS!$C$105=1,CROQUIS!$C$146=1)),((CROQUIS!$C$161+(IF(CROQUIS!$C$92="X",CHOOSE(IF(INT(($A380-1)/5)&gt;MAX((MAX(1,INT(((CROQUIS!$C$97)-CROQUIS!$C$107)/MAX((CROQUIS!$C$141*MAX(1,CEILING((INT(((CROQUIS!$C$97)-CROQUIS!$C$107)/MAX(CROQUIS!$C$141,1))+1)/80,1))),1))+1))-1,0),0,MOD($A380-1,5))+1,0,IF(CROQUIS!$C$105=1,-12,2),CROQUIS!$C$107/2+CROQUIS!$C$144,IF(CROQUIS!$C$105=1,-12,2),0),((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ROQUIS!$C$159)+IF(CROQUIS!$C$92="X",0,0.8)),-1000)</f>
        <v>-1000</v>
      </c>
      <c r="BX3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HOOSE(IF(INT(($A380-1)/5)&gt;MAX((MAX(1,INT(((CROQUIS!$C$97)-CROQUIS!$C$107)/MAX((CROQUIS!$C$141*MAX(1,CEILING((INT(((CROQUIS!$C$97)-CROQUIS!$C$107)/MAX(CROQUIS!$C$141,1))+1)/80,1))),1))+1))-1,0),0,MOD($A380-1,5))+1,CROQUIS!$C$98,CROQUIS!$C$98-CROQUIS!$C$107/2-CROQUIS!$C$144,IF(CROQUIS!$C$106=1,CROQUIS!$C$98+12,CROQUIS!$C$98-2),CROQUIS!$C$98-CROQUIS!$C$107/2-CROQUIS!$C$144,CROQUIS!$C$98)))*CROQUIS!$C$159)+IF(CROQUIS!$C$92="X",0.8,0)),-1000)</f>
        <v>-1000</v>
      </c>
      <c r="BY380">
        <f>IF(AND(CROQUIS!$C$88=1,CROQUIS!$C$91=0,CROQUIS!$C$141&gt;0,OR(CROQUIS!$C$106=1,CROQUIS!$C$146=1)),((CROQUIS!$C$161+(IF(CROQUIS!$C$92="X",CHOOSE(IF(INT(($A380-1)/5)&gt;MAX((MAX(1,INT(((CROQUIS!$C$97)-CROQUIS!$C$107)/MAX((CROQUIS!$C$141*MAX(1,CEILING((INT(((CROQUIS!$C$97)-CROQUIS!$C$107)/MAX(CROQUIS!$C$141,1))+1)/80,1))),1))+1))-1,0),0,MOD($A380-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ROQUIS!$C$159)+IF(CROQUIS!$C$92="X",0,0.8)),-1000)</f>
        <v>-1000</v>
      </c>
      <c r="BZ380">
        <f>IF(AND(CROQUIS!$C$88=1,CROQUIS!$C$91=1,CROQUIS!$C$133&gt;0),((CROQUIS!$C$160+(IF(CROQUIS!$C$92="X",CHOOSE(IF(INT(($A380-1)/5)&gt;MAX((MAX(1,INT(((CROQUIS!$C$98)-CROQUIS!$C$107)/MAX((CROQUIS!$C$133*MAX(1,CEILING((INT(((CROQUIS!$C$98)-CROQUIS!$C$107)/MAX(CROQUIS!$C$133,1))+1)/80,1))),1))+1))-1,0),0,MOD($A380-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CA380">
        <f>IF(AND(CROQUIS!$C$88=1,CROQUIS!$C$91=1,CROQUIS!$C$133&gt;0),((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1">
      <c r="A381" t="n">
        <v>374</v>
      </c>
      <c r="BN381">
        <f>IF(AND(CROQUIS!$C$88=1,CROQUIS!$C$129&gt;0),((CROQUIS!$C$160+(IF(CROQUIS!$C$92="X",CHOOSE(IF(INT(($A381-1)/5)&gt;MAX((MAX(1,INT(((CROQUIS!$C$98)-CROQUIS!$C$107)/MAX((CROQUIS!$C$129*MAX(1,CEILING((INT(((CROQUIS!$C$98)-CROQUIS!$C$107)/MAX(CROQUIS!$C$129,1))+1)/80,1))),1))+1))-1,0),0,MOD($A381-1,5))+1,0,2,CROQUIS!$C$97-2,2,0),((CROQUIS!$C$107/2+(((CROQUIS!$C$98)-CROQUIS!$C$107)-(MAX(1,INT(((CROQUIS!$C$98)-CROQUIS!$C$107)/MAX((CROQUIS!$C$129*MAX(1,CEILING((INT(((CROQUIS!$C$98)-CROQUIS!$C$107)/MAX(CROQUIS!$C$129,1))+1)/80,1))),1))+1)-1)*(CROQUIS!$C$129*MAX(1,CEILING((INT(((CROQUIS!$C$98)-CROQUIS!$C$107)/MAX(CROQUIS!$C$129,1))+1)/80,1))))/2)+MIN(INT(($A381-1)/5),MAX((MAX(1,INT(((CROQUIS!$C$98)-CROQUIS!$C$107)/MAX((CROQUIS!$C$129*MAX(1,CEILING((INT(((CROQUIS!$C$98)-CROQUIS!$C$107)/MAX(CROQUIS!$C$129,1))+1)/80,1))),1))+1))-1,0))*(CROQUIS!$C$129*MAX(1,CEILING((INT(((CROQUIS!$C$98)-CROQUIS!$C$107)/MAX(CROQUIS!$C$129,1))+1)/80,1))))))*CROQUIS!$C$159)+IF(CROQUIS!$C$92="X",0,0)),-1000)</f>
        <v>-1000</v>
      </c>
      <c r="BO381">
        <f>IF(AND(CROQUIS!$C$88=1,CROQUIS!$C$129&gt;0),((CROQUIS!$C$161+(IF(CROQUIS!$C$92="X",((CROQUIS!$C$107/2+(((CROQUIS!$C$98)-CROQUIS!$C$107)-(MAX(1,INT(((CROQUIS!$C$98)-CROQUIS!$C$107)/MAX((CROQUIS!$C$129*MAX(1,CEILING((INT(((CROQUIS!$C$98)-CROQUIS!$C$107)/MAX(CROQUIS!$C$129,1))+1)/80,1))),1))+1)-1)*(CROQUIS!$C$129*MAX(1,CEILING((INT(((CROQUIS!$C$98)-CROQUIS!$C$107)/MAX(CROQUIS!$C$129,1))+1)/80,1))))/2)+MIN(INT(($A381-1)/5),MAX((MAX(1,INT(((CROQUIS!$C$98)-CROQUIS!$C$107)/MAX((CROQUIS!$C$129*MAX(1,CEILING((INT(((CROQUIS!$C$98)-CROQUIS!$C$107)/MAX(CROQUIS!$C$129,1))+1)/80,1))),1))+1))-1,0))*(CROQUIS!$C$129*MAX(1,CEILING((INT(((CROQUIS!$C$98)-CROQUIS!$C$107)/MAX(CROQUIS!$C$129,1))+1)/80,1)))),CHOOSE(IF(INT(($A381-1)/5)&gt;MAX((MAX(1,INT(((CROQUIS!$C$98)-CROQUIS!$C$107)/MAX((CROQUIS!$C$129*MAX(1,CEILING((INT(((CROQUIS!$C$98)-CROQUIS!$C$107)/MAX(CROQUIS!$C$129,1))+1)/80,1))),1))+1))-1,0),0,MOD($A381-1,5))+1,0,2,CROQUIS!$C$97-2,2,0)))*CROQUIS!$C$159)+IF(CROQUIS!$C$92="X",0,0)),-1000)</f>
        <v>-1000</v>
      </c>
      <c r="BP381">
        <f>IF(AND(CROQUIS!$C$88=1,CROQUIS!$C$137&gt;0),((CROQUIS!$C$160+(IF(CROQUIS!$C$92="X",((CROQUIS!$C$107/2+(((CROQUIS!$C$97)-CROQUIS!$C$107)-(MAX(1,INT(((CROQUIS!$C$97)-CROQUIS!$C$107)/MAX((CROQUIS!$C$137*MAX(1,CEILING((INT(((CROQUIS!$C$97)-CROQUIS!$C$107)/MAX(CROQUIS!$C$137,1))+1)/80,1))),1))+1)-1)*(CROQUIS!$C$137*MAX(1,CEILING((INT(((CROQUIS!$C$97)-CROQUIS!$C$107)/MAX(CROQUIS!$C$137,1))+1)/80,1))))/2)+MIN(INT(($A381-1)/5),MAX((MAX(1,INT(((CROQUIS!$C$97)-CROQUIS!$C$107)/MAX((CROQUIS!$C$137*MAX(1,CEILING((INT(((CROQUIS!$C$97)-CROQUIS!$C$107)/MAX(CROQUIS!$C$137,1))+1)/80,1))),1))+1))-1,0))*(CROQUIS!$C$137*MAX(1,CEILING((INT(((CROQUIS!$C$97)-CROQUIS!$C$107)/MAX(CROQUIS!$C$137,1))+1)/80,1)))),CHOOSE(IF(INT(($A381-1)/5)&gt;MAX((MAX(1,INT(((CROQUIS!$C$97)-CROQUIS!$C$107)/MAX((CROQUIS!$C$137*MAX(1,CEILING((INT(((CROQUIS!$C$97)-CROQUIS!$C$107)/MAX(CROQUIS!$C$137,1))+1)/80,1))),1))+1))-1,0),0,MOD($A381-1,5))+1,0,2,CROQUIS!$C$98-2,2,0)))*CROQUIS!$C$159)+IF(CROQUIS!$C$92="X",0,0)),-1000)</f>
        <v>-1000</v>
      </c>
      <c r="BQ381">
        <f>IF(AND(CROQUIS!$C$88=1,CROQUIS!$C$137&gt;0),((CROQUIS!$C$161+(IF(CROQUIS!$C$92="X",CHOOSE(IF(INT(($A381-1)/5)&gt;MAX((MAX(1,INT(((CROQUIS!$C$97)-CROQUIS!$C$107)/MAX((CROQUIS!$C$137*MAX(1,CEILING((INT(((CROQUIS!$C$97)-CROQUIS!$C$107)/MAX(CROQUIS!$C$137,1))+1)/80,1))),1))+1))-1,0),0,MOD($A381-1,5))+1,0,2,CROQUIS!$C$98-2,2,0),((CROQUIS!$C$107/2+(((CROQUIS!$C$97)-CROQUIS!$C$107)-(MAX(1,INT(((CROQUIS!$C$97)-CROQUIS!$C$107)/MAX((CROQUIS!$C$137*MAX(1,CEILING((INT(((CROQUIS!$C$97)-CROQUIS!$C$107)/MAX(CROQUIS!$C$137,1))+1)/80,1))),1))+1)-1)*(CROQUIS!$C$137*MAX(1,CEILING((INT(((CROQUIS!$C$97)-CROQUIS!$C$107)/MAX(CROQUIS!$C$137,1))+1)/80,1))))/2)+MIN(INT(($A381-1)/5),MAX((MAX(1,INT(((CROQUIS!$C$97)-CROQUIS!$C$107)/MAX((CROQUIS!$C$137*MAX(1,CEILING((INT(((CROQUIS!$C$97)-CROQUIS!$C$107)/MAX(CROQUIS!$C$137,1))+1)/80,1))),1))+1))-1,0))*(CROQUIS!$C$137*MAX(1,CEILING((INT(((CROQUIS!$C$97)-CROQUIS!$C$107)/MAX(CROQUIS!$C$137,1))+1)/80,1))))))*CROQUIS!$C$159)+IF(CROQUIS!$C$92="X",0,0)),-1000)</f>
        <v>-1000</v>
      </c>
      <c r="BR381">
        <f>IF(AND(CROQUIS!$C$88=1,CROQUIS!$C$91=0,CROQUIS!$C$133&gt;0,OR(CROQUIS!$C$103=1,CROQUIS!$C$145=1)),((CROQUIS!$C$160+(IF(CROQUIS!$C$92="X",CHOOSE(IF(INT(($A381-1)/5)&gt;MAX((MAX(1,INT(((CROQUIS!$C$98)-CROQUIS!$C$107)/MAX((CROQUIS!$C$133*MAX(1,CEILING((INT(((CROQUIS!$C$98)-CROQUIS!$C$107)/MAX(CROQUIS!$C$133,1))+1)/80,1))),1))+1))-1,0),0,MOD($A381-1,5))+1,0,IF(CROQUIS!$C$103=1,-12,2),CROQUIS!$C$107/2+CROQUIS!$C$143,IF(CROQUIS!$C$103=1,-12,2),0),((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BS3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+1,0,IF(CROQUIS!$C$103=1,-12,2),CROQUIS!$C$107/2+CROQUIS!$C$143,IF(CROQUIS!$C$103=1,-12,2),0)))*CROQUIS!$C$159)+IF(CROQUIS!$C$92="X",0.8,0)),-1000)</f>
        <v>-1000</v>
      </c>
      <c r="BT381">
        <f>IF(AND(CROQUIS!$C$88=1,CROQUIS!$C$91=0,CROQUIS!$C$133&gt;0,OR(CROQUIS!$C$104=1,CROQUIS!$C$145=1)),((CROQUIS!$C$160+(IF(CROQUIS!$C$92="X",CHOOSE(IF(INT(($A381-1)/5)&gt;MAX((MAX(1,INT(((CROQUIS!$C$98)-CROQUIS!$C$107)/MAX((CROQUIS!$C$133*MAX(1,CEILING((INT(((CROQUIS!$C$98)-CROQUIS!$C$107)/MAX(CROQUIS!$C$133,1))+1)/80,1))),1))+1))-1,0),0,MOD($A381-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BU3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CROQUIS!$C$97,CROQUIS!$C$97-CROQUIS!$C$107/2-CROQUIS!$C$143,IF(CROQUIS!$C$104=1,CROQUIS!$C$97+12,CROQUIS!$C$97-2),CROQUIS!$C$97-CROQUIS!$C$107/2-CROQUIS!$C$143,CROQUIS!$C$97)))*CROQUIS!$C$159)+IF(CROQUIS!$C$92="X",0.8,0)),-1000)</f>
        <v>-1000</v>
      </c>
      <c r="BV3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HOOSE(IF(INT(($A381-1)/5)&gt;MAX((MAX(1,INT(((CROQUIS!$C$97)-CROQUIS!$C$107)/MAX((CROQUIS!$C$141*MAX(1,CEILING((INT(((CROQUIS!$C$97)-CROQUIS!$C$107)/MAX(CROQUIS!$C$141,1))+1)/80,1))),1))+1))-1,0),0,MOD($A381-1,5))+1,0,IF(CROQUIS!$C$105=1,-12,2),CROQUIS!$C$107/2+CROQUIS!$C$144,IF(CROQUIS!$C$105=1,-12,2),0)))*CROQUIS!$C$159)+IF(CROQUIS!$C$92="X",0.8,0)),-1000)</f>
        <v>-1000</v>
      </c>
      <c r="BW381">
        <f>IF(AND(CROQUIS!$C$88=1,CROQUIS!$C$91=0,CROQUIS!$C$141&gt;0,OR(CROQUIS!$C$105=1,CROQUIS!$C$146=1)),((CROQUIS!$C$161+(IF(CROQUIS!$C$92="X",CHOOSE(IF(INT(($A381-1)/5)&gt;MAX((MAX(1,INT(((CROQUIS!$C$97)-CROQUIS!$C$107)/MAX((CROQUIS!$C$141*MAX(1,CEILING((INT(((CROQUIS!$C$97)-CROQUIS!$C$107)/MAX(CROQUIS!$C$141,1))+1)/80,1))),1))+1))-1,0),0,MOD($A381-1,5))+1,0,IF(CROQUIS!$C$105=1,-12,2),CROQUIS!$C$107/2+CROQUIS!$C$144,IF(CROQUIS!$C$105=1,-12,2),0),((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ROQUIS!$C$159)+IF(CROQUIS!$C$92="X",0,0.8)),-1000)</f>
        <v>-1000</v>
      </c>
      <c r="BX3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HOOSE(IF(INT(($A381-1)/5)&gt;MAX((MAX(1,INT(((CROQUIS!$C$97)-CROQUIS!$C$107)/MAX((CROQUIS!$C$141*MAX(1,CEILING((INT(((CROQUIS!$C$97)-CROQUIS!$C$107)/MAX(CROQUIS!$C$141,1))+1)/80,1))),1))+1))-1,0),0,MOD($A381-1,5))+1,CROQUIS!$C$98,CROQUIS!$C$98-CROQUIS!$C$107/2-CROQUIS!$C$144,IF(CROQUIS!$C$106=1,CROQUIS!$C$98+12,CROQUIS!$C$98-2),CROQUIS!$C$98-CROQUIS!$C$107/2-CROQUIS!$C$144,CROQUIS!$C$98)))*CROQUIS!$C$159)+IF(CROQUIS!$C$92="X",0.8,0)),-1000)</f>
        <v>-1000</v>
      </c>
      <c r="BY381">
        <f>IF(AND(CROQUIS!$C$88=1,CROQUIS!$C$91=0,CROQUIS!$C$141&gt;0,OR(CROQUIS!$C$106=1,CROQUIS!$C$146=1)),((CROQUIS!$C$161+(IF(CROQUIS!$C$92="X",CHOOSE(IF(INT(($A381-1)/5)&gt;MAX((MAX(1,INT(((CROQUIS!$C$97)-CROQUIS!$C$107)/MAX((CROQUIS!$C$141*MAX(1,CEILING((INT(((CROQUIS!$C$97)-CROQUIS!$C$107)/MAX(CROQUIS!$C$141,1))+1)/80,1))),1))+1))-1,0),0,MOD($A381-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ROQUIS!$C$159)+IF(CROQUIS!$C$92="X",0,0.8)),-1000)</f>
        <v>-1000</v>
      </c>
      <c r="BZ381">
        <f>IF(AND(CROQUIS!$C$88=1,CROQUIS!$C$91=1,CROQUIS!$C$133&gt;0),((CROQUIS!$C$160+(IF(CROQUIS!$C$92="X",CHOOSE(IF(INT(($A381-1)/5)&gt;MAX((MAX(1,INT(((CROQUIS!$C$98)-CROQUIS!$C$107)/MAX((CROQUIS!$C$133*MAX(1,CEILING((INT(((CROQUIS!$C$98)-CROQUIS!$C$107)/MAX(CROQUIS!$C$133,1))+1)/80,1))),1))+1))-1,0),0,MOD($A381-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CA381">
        <f>IF(AND(CROQUIS!$C$88=1,CROQUIS!$C$91=1,CROQUIS!$C$133&gt;0),((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2">
      <c r="A382" t="n">
        <v>375</v>
      </c>
      <c r="BN382">
        <f>IF(AND(CROQUIS!$C$88=1,CROQUIS!$C$129&gt;0),((CROQUIS!$C$160+(IF(CROQUIS!$C$92="X",CHOOSE(IF(INT(($A382-1)/5)&gt;MAX((MAX(1,INT(((CROQUIS!$C$98)-CROQUIS!$C$107)/MAX((CROQUIS!$C$129*MAX(1,CEILING((INT(((CROQUIS!$C$98)-CROQUIS!$C$107)/MAX(CROQUIS!$C$129,1))+1)/80,1))),1))+1))-1,0),0,MOD($A382-1,5))+1,0,2,CROQUIS!$C$97-2,2,0),((CROQUIS!$C$107/2+(((CROQUIS!$C$98)-CROQUIS!$C$107)-(MAX(1,INT(((CROQUIS!$C$98)-CROQUIS!$C$107)/MAX((CROQUIS!$C$129*MAX(1,CEILING((INT(((CROQUIS!$C$98)-CROQUIS!$C$107)/MAX(CROQUIS!$C$129,1))+1)/80,1))),1))+1)-1)*(CROQUIS!$C$129*MAX(1,CEILING((INT(((CROQUIS!$C$98)-CROQUIS!$C$107)/MAX(CROQUIS!$C$129,1))+1)/80,1))))/2)+MIN(INT(($A382-1)/5),MAX((MAX(1,INT(((CROQUIS!$C$98)-CROQUIS!$C$107)/MAX((CROQUIS!$C$129*MAX(1,CEILING((INT(((CROQUIS!$C$98)-CROQUIS!$C$107)/MAX(CROQUIS!$C$129,1))+1)/80,1))),1))+1))-1,0))*(CROQUIS!$C$129*MAX(1,CEILING((INT(((CROQUIS!$C$98)-CROQUIS!$C$107)/MAX(CROQUIS!$C$129,1))+1)/80,1))))))*CROQUIS!$C$159)+IF(CROQUIS!$C$92="X",0,0)),-1000)</f>
        <v>-1000</v>
      </c>
      <c r="BO382">
        <f>IF(AND(CROQUIS!$C$88=1,CROQUIS!$C$129&gt;0),((CROQUIS!$C$161+(IF(CROQUIS!$C$92="X",((CROQUIS!$C$107/2+(((CROQUIS!$C$98)-CROQUIS!$C$107)-(MAX(1,INT(((CROQUIS!$C$98)-CROQUIS!$C$107)/MAX((CROQUIS!$C$129*MAX(1,CEILING((INT(((CROQUIS!$C$98)-CROQUIS!$C$107)/MAX(CROQUIS!$C$129,1))+1)/80,1))),1))+1)-1)*(CROQUIS!$C$129*MAX(1,CEILING((INT(((CROQUIS!$C$98)-CROQUIS!$C$107)/MAX(CROQUIS!$C$129,1))+1)/80,1))))/2)+MIN(INT(($A382-1)/5),MAX((MAX(1,INT(((CROQUIS!$C$98)-CROQUIS!$C$107)/MAX((CROQUIS!$C$129*MAX(1,CEILING((INT(((CROQUIS!$C$98)-CROQUIS!$C$107)/MAX(CROQUIS!$C$129,1))+1)/80,1))),1))+1))-1,0))*(CROQUIS!$C$129*MAX(1,CEILING((INT(((CROQUIS!$C$98)-CROQUIS!$C$107)/MAX(CROQUIS!$C$129,1))+1)/80,1)))),CHOOSE(IF(INT(($A382-1)/5)&gt;MAX((MAX(1,INT(((CROQUIS!$C$98)-CROQUIS!$C$107)/MAX((CROQUIS!$C$129*MAX(1,CEILING((INT(((CROQUIS!$C$98)-CROQUIS!$C$107)/MAX(CROQUIS!$C$129,1))+1)/80,1))),1))+1))-1,0),0,MOD($A382-1,5))+1,0,2,CROQUIS!$C$97-2,2,0)))*CROQUIS!$C$159)+IF(CROQUIS!$C$92="X",0,0)),-1000)</f>
        <v>-1000</v>
      </c>
      <c r="BP382">
        <f>IF(AND(CROQUIS!$C$88=1,CROQUIS!$C$137&gt;0),((CROQUIS!$C$160+(IF(CROQUIS!$C$92="X",((CROQUIS!$C$107/2+(((CROQUIS!$C$97)-CROQUIS!$C$107)-(MAX(1,INT(((CROQUIS!$C$97)-CROQUIS!$C$107)/MAX((CROQUIS!$C$137*MAX(1,CEILING((INT(((CROQUIS!$C$97)-CROQUIS!$C$107)/MAX(CROQUIS!$C$137,1))+1)/80,1))),1))+1)-1)*(CROQUIS!$C$137*MAX(1,CEILING((INT(((CROQUIS!$C$97)-CROQUIS!$C$107)/MAX(CROQUIS!$C$137,1))+1)/80,1))))/2)+MIN(INT(($A382-1)/5),MAX((MAX(1,INT(((CROQUIS!$C$97)-CROQUIS!$C$107)/MAX((CROQUIS!$C$137*MAX(1,CEILING((INT(((CROQUIS!$C$97)-CROQUIS!$C$107)/MAX(CROQUIS!$C$137,1))+1)/80,1))),1))+1))-1,0))*(CROQUIS!$C$137*MAX(1,CEILING((INT(((CROQUIS!$C$97)-CROQUIS!$C$107)/MAX(CROQUIS!$C$137,1))+1)/80,1)))),CHOOSE(IF(INT(($A382-1)/5)&gt;MAX((MAX(1,INT(((CROQUIS!$C$97)-CROQUIS!$C$107)/MAX((CROQUIS!$C$137*MAX(1,CEILING((INT(((CROQUIS!$C$97)-CROQUIS!$C$107)/MAX(CROQUIS!$C$137,1))+1)/80,1))),1))+1))-1,0),0,MOD($A382-1,5))+1,0,2,CROQUIS!$C$98-2,2,0)))*CROQUIS!$C$159)+IF(CROQUIS!$C$92="X",0,0)),-1000)</f>
        <v>-1000</v>
      </c>
      <c r="BQ382">
        <f>IF(AND(CROQUIS!$C$88=1,CROQUIS!$C$137&gt;0),((CROQUIS!$C$161+(IF(CROQUIS!$C$92="X",CHOOSE(IF(INT(($A382-1)/5)&gt;MAX((MAX(1,INT(((CROQUIS!$C$97)-CROQUIS!$C$107)/MAX((CROQUIS!$C$137*MAX(1,CEILING((INT(((CROQUIS!$C$97)-CROQUIS!$C$107)/MAX(CROQUIS!$C$137,1))+1)/80,1))),1))+1))-1,0),0,MOD($A382-1,5))+1,0,2,CROQUIS!$C$98-2,2,0),((CROQUIS!$C$107/2+(((CROQUIS!$C$97)-CROQUIS!$C$107)-(MAX(1,INT(((CROQUIS!$C$97)-CROQUIS!$C$107)/MAX((CROQUIS!$C$137*MAX(1,CEILING((INT(((CROQUIS!$C$97)-CROQUIS!$C$107)/MAX(CROQUIS!$C$137,1))+1)/80,1))),1))+1)-1)*(CROQUIS!$C$137*MAX(1,CEILING((INT(((CROQUIS!$C$97)-CROQUIS!$C$107)/MAX(CROQUIS!$C$137,1))+1)/80,1))))/2)+MIN(INT(($A382-1)/5),MAX((MAX(1,INT(((CROQUIS!$C$97)-CROQUIS!$C$107)/MAX((CROQUIS!$C$137*MAX(1,CEILING((INT(((CROQUIS!$C$97)-CROQUIS!$C$107)/MAX(CROQUIS!$C$137,1))+1)/80,1))),1))+1))-1,0))*(CROQUIS!$C$137*MAX(1,CEILING((INT(((CROQUIS!$C$97)-CROQUIS!$C$107)/MAX(CROQUIS!$C$137,1))+1)/80,1))))))*CROQUIS!$C$159)+IF(CROQUIS!$C$92="X",0,0)),-1000)</f>
        <v>-1000</v>
      </c>
      <c r="BR382">
        <f>IF(AND(CROQUIS!$C$88=1,CROQUIS!$C$91=0,CROQUIS!$C$133&gt;0,OR(CROQUIS!$C$103=1,CROQUIS!$C$145=1)),((CROQUIS!$C$160+(IF(CROQUIS!$C$92="X",CHOOSE(IF(INT(($A382-1)/5)&gt;MAX((MAX(1,INT(((CROQUIS!$C$98)-CROQUIS!$C$107)/MAX((CROQUIS!$C$133*MAX(1,CEILING((INT(((CROQUIS!$C$98)-CROQUIS!$C$107)/MAX(CROQUIS!$C$133,1))+1)/80,1))),1))+1))-1,0),0,MOD($A382-1,5))+1,0,IF(CROQUIS!$C$103=1,-12,2),CROQUIS!$C$107/2+CROQUIS!$C$143,IF(CROQUIS!$C$103=1,-12,2),0),((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BS3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+1,0,IF(CROQUIS!$C$103=1,-12,2),CROQUIS!$C$107/2+CROQUIS!$C$143,IF(CROQUIS!$C$103=1,-12,2),0)))*CROQUIS!$C$159)+IF(CROQUIS!$C$92="X",0.8,0)),-1000)</f>
        <v>-1000</v>
      </c>
      <c r="BT382">
        <f>IF(AND(CROQUIS!$C$88=1,CROQUIS!$C$91=0,CROQUIS!$C$133&gt;0,OR(CROQUIS!$C$104=1,CROQUIS!$C$145=1)),((CROQUIS!$C$160+(IF(CROQUIS!$C$92="X",CHOOSE(IF(INT(($A382-1)/5)&gt;MAX((MAX(1,INT(((CROQUIS!$C$98)-CROQUIS!$C$107)/MAX((CROQUIS!$C$133*MAX(1,CEILING((INT(((CROQUIS!$C$98)-CROQUIS!$C$107)/MAX(CROQUIS!$C$133,1))+1)/80,1))),1))+1))-1,0),0,MOD($A382-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BU3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CROQUIS!$C$97,CROQUIS!$C$97-CROQUIS!$C$107/2-CROQUIS!$C$143,IF(CROQUIS!$C$104=1,CROQUIS!$C$97+12,CROQUIS!$C$97-2),CROQUIS!$C$97-CROQUIS!$C$107/2-CROQUIS!$C$143,CROQUIS!$C$97)))*CROQUIS!$C$159)+IF(CROQUIS!$C$92="X",0.8,0)),-1000)</f>
        <v>-1000</v>
      </c>
      <c r="BV3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HOOSE(IF(INT(($A382-1)/5)&gt;MAX((MAX(1,INT(((CROQUIS!$C$97)-CROQUIS!$C$107)/MAX((CROQUIS!$C$141*MAX(1,CEILING((INT(((CROQUIS!$C$97)-CROQUIS!$C$107)/MAX(CROQUIS!$C$141,1))+1)/80,1))),1))+1))-1,0),0,MOD($A382-1,5))+1,0,IF(CROQUIS!$C$105=1,-12,2),CROQUIS!$C$107/2+CROQUIS!$C$144,IF(CROQUIS!$C$105=1,-12,2),0)))*CROQUIS!$C$159)+IF(CROQUIS!$C$92="X",0.8,0)),-1000)</f>
        <v>-1000</v>
      </c>
      <c r="BW382">
        <f>IF(AND(CROQUIS!$C$88=1,CROQUIS!$C$91=0,CROQUIS!$C$141&gt;0,OR(CROQUIS!$C$105=1,CROQUIS!$C$146=1)),((CROQUIS!$C$161+(IF(CROQUIS!$C$92="X",CHOOSE(IF(INT(($A382-1)/5)&gt;MAX((MAX(1,INT(((CROQUIS!$C$97)-CROQUIS!$C$107)/MAX((CROQUIS!$C$141*MAX(1,CEILING((INT(((CROQUIS!$C$97)-CROQUIS!$C$107)/MAX(CROQUIS!$C$141,1))+1)/80,1))),1))+1))-1,0),0,MOD($A382-1,5))+1,0,IF(CROQUIS!$C$105=1,-12,2),CROQUIS!$C$107/2+CROQUIS!$C$144,IF(CROQUIS!$C$105=1,-12,2),0),((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ROQUIS!$C$159)+IF(CROQUIS!$C$92="X",0,0.8)),-1000)</f>
        <v>-1000</v>
      </c>
      <c r="BX3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HOOSE(IF(INT(($A382-1)/5)&gt;MAX((MAX(1,INT(((CROQUIS!$C$97)-CROQUIS!$C$107)/MAX((CROQUIS!$C$141*MAX(1,CEILING((INT(((CROQUIS!$C$97)-CROQUIS!$C$107)/MAX(CROQUIS!$C$141,1))+1)/80,1))),1))+1))-1,0),0,MOD($A382-1,5))+1,CROQUIS!$C$98,CROQUIS!$C$98-CROQUIS!$C$107/2-CROQUIS!$C$144,IF(CROQUIS!$C$106=1,CROQUIS!$C$98+12,CROQUIS!$C$98-2),CROQUIS!$C$98-CROQUIS!$C$107/2-CROQUIS!$C$144,CROQUIS!$C$98)))*CROQUIS!$C$159)+IF(CROQUIS!$C$92="X",0.8,0)),-1000)</f>
        <v>-1000</v>
      </c>
      <c r="BY382">
        <f>IF(AND(CROQUIS!$C$88=1,CROQUIS!$C$91=0,CROQUIS!$C$141&gt;0,OR(CROQUIS!$C$106=1,CROQUIS!$C$146=1)),((CROQUIS!$C$161+(IF(CROQUIS!$C$92="X",CHOOSE(IF(INT(($A382-1)/5)&gt;MAX((MAX(1,INT(((CROQUIS!$C$97)-CROQUIS!$C$107)/MAX((CROQUIS!$C$141*MAX(1,CEILING((INT(((CROQUIS!$C$97)-CROQUIS!$C$107)/MAX(CROQUIS!$C$141,1))+1)/80,1))),1))+1))-1,0),0,MOD($A382-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ROQUIS!$C$159)+IF(CROQUIS!$C$92="X",0,0.8)),-1000)</f>
        <v>-1000</v>
      </c>
      <c r="BZ382">
        <f>IF(AND(CROQUIS!$C$88=1,CROQUIS!$C$91=1,CROQUIS!$C$133&gt;0),((CROQUIS!$C$160+(IF(CROQUIS!$C$92="X",CHOOSE(IF(INT(($A382-1)/5)&gt;MAX((MAX(1,INT(((CROQUIS!$C$98)-CROQUIS!$C$107)/MAX((CROQUIS!$C$133*MAX(1,CEILING((INT(((CROQUIS!$C$98)-CROQUIS!$C$107)/MAX(CROQUIS!$C$133,1))+1)/80,1))),1))+1))-1,0),0,MOD($A382-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CA382">
        <f>IF(AND(CROQUIS!$C$88=1,CROQUIS!$C$91=1,CROQUIS!$C$133&gt;0),((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3">
      <c r="A383" t="n">
        <v>376</v>
      </c>
      <c r="BN383">
        <f>IF(AND(CROQUIS!$C$88=1,CROQUIS!$C$129&gt;0),((CROQUIS!$C$160+(IF(CROQUIS!$C$92="X",CHOOSE(IF(INT(($A383-1)/5)&gt;MAX((MAX(1,INT(((CROQUIS!$C$98)-CROQUIS!$C$107)/MAX((CROQUIS!$C$129*MAX(1,CEILING((INT(((CROQUIS!$C$98)-CROQUIS!$C$107)/MAX(CROQUIS!$C$129,1))+1)/80,1))),1))+1))-1,0),0,MOD($A383-1,5))+1,0,2,CROQUIS!$C$97-2,2,0),((CROQUIS!$C$107/2+(((CROQUIS!$C$98)-CROQUIS!$C$107)-(MAX(1,INT(((CROQUIS!$C$98)-CROQUIS!$C$107)/MAX((CROQUIS!$C$129*MAX(1,CEILING((INT(((CROQUIS!$C$98)-CROQUIS!$C$107)/MAX(CROQUIS!$C$129,1))+1)/80,1))),1))+1)-1)*(CROQUIS!$C$129*MAX(1,CEILING((INT(((CROQUIS!$C$98)-CROQUIS!$C$107)/MAX(CROQUIS!$C$129,1))+1)/80,1))))/2)+MIN(INT(($A383-1)/5),MAX((MAX(1,INT(((CROQUIS!$C$98)-CROQUIS!$C$107)/MAX((CROQUIS!$C$129*MAX(1,CEILING((INT(((CROQUIS!$C$98)-CROQUIS!$C$107)/MAX(CROQUIS!$C$129,1))+1)/80,1))),1))+1))-1,0))*(CROQUIS!$C$129*MAX(1,CEILING((INT(((CROQUIS!$C$98)-CROQUIS!$C$107)/MAX(CROQUIS!$C$129,1))+1)/80,1))))))*CROQUIS!$C$159)+IF(CROQUIS!$C$92="X",0,0)),-1000)</f>
        <v>-1000</v>
      </c>
      <c r="BO383">
        <f>IF(AND(CROQUIS!$C$88=1,CROQUIS!$C$129&gt;0),((CROQUIS!$C$161+(IF(CROQUIS!$C$92="X",((CROQUIS!$C$107/2+(((CROQUIS!$C$98)-CROQUIS!$C$107)-(MAX(1,INT(((CROQUIS!$C$98)-CROQUIS!$C$107)/MAX((CROQUIS!$C$129*MAX(1,CEILING((INT(((CROQUIS!$C$98)-CROQUIS!$C$107)/MAX(CROQUIS!$C$129,1))+1)/80,1))),1))+1)-1)*(CROQUIS!$C$129*MAX(1,CEILING((INT(((CROQUIS!$C$98)-CROQUIS!$C$107)/MAX(CROQUIS!$C$129,1))+1)/80,1))))/2)+MIN(INT(($A383-1)/5),MAX((MAX(1,INT(((CROQUIS!$C$98)-CROQUIS!$C$107)/MAX((CROQUIS!$C$129*MAX(1,CEILING((INT(((CROQUIS!$C$98)-CROQUIS!$C$107)/MAX(CROQUIS!$C$129,1))+1)/80,1))),1))+1))-1,0))*(CROQUIS!$C$129*MAX(1,CEILING((INT(((CROQUIS!$C$98)-CROQUIS!$C$107)/MAX(CROQUIS!$C$129,1))+1)/80,1)))),CHOOSE(IF(INT(($A383-1)/5)&gt;MAX((MAX(1,INT(((CROQUIS!$C$98)-CROQUIS!$C$107)/MAX((CROQUIS!$C$129*MAX(1,CEILING((INT(((CROQUIS!$C$98)-CROQUIS!$C$107)/MAX(CROQUIS!$C$129,1))+1)/80,1))),1))+1))-1,0),0,MOD($A383-1,5))+1,0,2,CROQUIS!$C$97-2,2,0)))*CROQUIS!$C$159)+IF(CROQUIS!$C$92="X",0,0)),-1000)</f>
        <v>-1000</v>
      </c>
      <c r="BP383">
        <f>IF(AND(CROQUIS!$C$88=1,CROQUIS!$C$137&gt;0),((CROQUIS!$C$160+(IF(CROQUIS!$C$92="X",((CROQUIS!$C$107/2+(((CROQUIS!$C$97)-CROQUIS!$C$107)-(MAX(1,INT(((CROQUIS!$C$97)-CROQUIS!$C$107)/MAX((CROQUIS!$C$137*MAX(1,CEILING((INT(((CROQUIS!$C$97)-CROQUIS!$C$107)/MAX(CROQUIS!$C$137,1))+1)/80,1))),1))+1)-1)*(CROQUIS!$C$137*MAX(1,CEILING((INT(((CROQUIS!$C$97)-CROQUIS!$C$107)/MAX(CROQUIS!$C$137,1))+1)/80,1))))/2)+MIN(INT(($A383-1)/5),MAX((MAX(1,INT(((CROQUIS!$C$97)-CROQUIS!$C$107)/MAX((CROQUIS!$C$137*MAX(1,CEILING((INT(((CROQUIS!$C$97)-CROQUIS!$C$107)/MAX(CROQUIS!$C$137,1))+1)/80,1))),1))+1))-1,0))*(CROQUIS!$C$137*MAX(1,CEILING((INT(((CROQUIS!$C$97)-CROQUIS!$C$107)/MAX(CROQUIS!$C$137,1))+1)/80,1)))),CHOOSE(IF(INT(($A383-1)/5)&gt;MAX((MAX(1,INT(((CROQUIS!$C$97)-CROQUIS!$C$107)/MAX((CROQUIS!$C$137*MAX(1,CEILING((INT(((CROQUIS!$C$97)-CROQUIS!$C$107)/MAX(CROQUIS!$C$137,1))+1)/80,1))),1))+1))-1,0),0,MOD($A383-1,5))+1,0,2,CROQUIS!$C$98-2,2,0)))*CROQUIS!$C$159)+IF(CROQUIS!$C$92="X",0,0)),-1000)</f>
        <v>-1000</v>
      </c>
      <c r="BQ383">
        <f>IF(AND(CROQUIS!$C$88=1,CROQUIS!$C$137&gt;0),((CROQUIS!$C$161+(IF(CROQUIS!$C$92="X",CHOOSE(IF(INT(($A383-1)/5)&gt;MAX((MAX(1,INT(((CROQUIS!$C$97)-CROQUIS!$C$107)/MAX((CROQUIS!$C$137*MAX(1,CEILING((INT(((CROQUIS!$C$97)-CROQUIS!$C$107)/MAX(CROQUIS!$C$137,1))+1)/80,1))),1))+1))-1,0),0,MOD($A383-1,5))+1,0,2,CROQUIS!$C$98-2,2,0),((CROQUIS!$C$107/2+(((CROQUIS!$C$97)-CROQUIS!$C$107)-(MAX(1,INT(((CROQUIS!$C$97)-CROQUIS!$C$107)/MAX((CROQUIS!$C$137*MAX(1,CEILING((INT(((CROQUIS!$C$97)-CROQUIS!$C$107)/MAX(CROQUIS!$C$137,1))+1)/80,1))),1))+1)-1)*(CROQUIS!$C$137*MAX(1,CEILING((INT(((CROQUIS!$C$97)-CROQUIS!$C$107)/MAX(CROQUIS!$C$137,1))+1)/80,1))))/2)+MIN(INT(($A383-1)/5),MAX((MAX(1,INT(((CROQUIS!$C$97)-CROQUIS!$C$107)/MAX((CROQUIS!$C$137*MAX(1,CEILING((INT(((CROQUIS!$C$97)-CROQUIS!$C$107)/MAX(CROQUIS!$C$137,1))+1)/80,1))),1))+1))-1,0))*(CROQUIS!$C$137*MAX(1,CEILING((INT(((CROQUIS!$C$97)-CROQUIS!$C$107)/MAX(CROQUIS!$C$137,1))+1)/80,1))))))*CROQUIS!$C$159)+IF(CROQUIS!$C$92="X",0,0)),-1000)</f>
        <v>-1000</v>
      </c>
      <c r="BR383">
        <f>IF(AND(CROQUIS!$C$88=1,CROQUIS!$C$91=0,CROQUIS!$C$133&gt;0,OR(CROQUIS!$C$103=1,CROQUIS!$C$145=1)),((CROQUIS!$C$160+(IF(CROQUIS!$C$92="X",CHOOSE(IF(INT(($A383-1)/5)&gt;MAX((MAX(1,INT(((CROQUIS!$C$98)-CROQUIS!$C$107)/MAX((CROQUIS!$C$133*MAX(1,CEILING((INT(((CROQUIS!$C$98)-CROQUIS!$C$107)/MAX(CROQUIS!$C$133,1))+1)/80,1))),1))+1))-1,0),0,MOD($A383-1,5))+1,0,IF(CROQUIS!$C$103=1,-12,2),CROQUIS!$C$107/2+CROQUIS!$C$143,IF(CROQUIS!$C$103=1,-12,2),0),((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BS3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+1,0,IF(CROQUIS!$C$103=1,-12,2),CROQUIS!$C$107/2+CROQUIS!$C$143,IF(CROQUIS!$C$103=1,-12,2),0)))*CROQUIS!$C$159)+IF(CROQUIS!$C$92="X",0.8,0)),-1000)</f>
        <v>-1000</v>
      </c>
      <c r="BT383">
        <f>IF(AND(CROQUIS!$C$88=1,CROQUIS!$C$91=0,CROQUIS!$C$133&gt;0,OR(CROQUIS!$C$104=1,CROQUIS!$C$145=1)),((CROQUIS!$C$160+(IF(CROQUIS!$C$92="X",CHOOSE(IF(INT(($A383-1)/5)&gt;MAX((MAX(1,INT(((CROQUIS!$C$98)-CROQUIS!$C$107)/MAX((CROQUIS!$C$133*MAX(1,CEILING((INT(((CROQUIS!$C$98)-CROQUIS!$C$107)/MAX(CROQUIS!$C$133,1))+1)/80,1))),1))+1))-1,0),0,MOD($A383-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BU3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CROQUIS!$C$97,CROQUIS!$C$97-CROQUIS!$C$107/2-CROQUIS!$C$143,IF(CROQUIS!$C$104=1,CROQUIS!$C$97+12,CROQUIS!$C$97-2),CROQUIS!$C$97-CROQUIS!$C$107/2-CROQUIS!$C$143,CROQUIS!$C$97)))*CROQUIS!$C$159)+IF(CROQUIS!$C$92="X",0.8,0)),-1000)</f>
        <v>-1000</v>
      </c>
      <c r="BV3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HOOSE(IF(INT(($A383-1)/5)&gt;MAX((MAX(1,INT(((CROQUIS!$C$97)-CROQUIS!$C$107)/MAX((CROQUIS!$C$141*MAX(1,CEILING((INT(((CROQUIS!$C$97)-CROQUIS!$C$107)/MAX(CROQUIS!$C$141,1))+1)/80,1))),1))+1))-1,0),0,MOD($A383-1,5))+1,0,IF(CROQUIS!$C$105=1,-12,2),CROQUIS!$C$107/2+CROQUIS!$C$144,IF(CROQUIS!$C$105=1,-12,2),0)))*CROQUIS!$C$159)+IF(CROQUIS!$C$92="X",0.8,0)),-1000)</f>
        <v>-1000</v>
      </c>
      <c r="BW383">
        <f>IF(AND(CROQUIS!$C$88=1,CROQUIS!$C$91=0,CROQUIS!$C$141&gt;0,OR(CROQUIS!$C$105=1,CROQUIS!$C$146=1)),((CROQUIS!$C$161+(IF(CROQUIS!$C$92="X",CHOOSE(IF(INT(($A383-1)/5)&gt;MAX((MAX(1,INT(((CROQUIS!$C$97)-CROQUIS!$C$107)/MAX((CROQUIS!$C$141*MAX(1,CEILING((INT(((CROQUIS!$C$97)-CROQUIS!$C$107)/MAX(CROQUIS!$C$141,1))+1)/80,1))),1))+1))-1,0),0,MOD($A383-1,5))+1,0,IF(CROQUIS!$C$105=1,-12,2),CROQUIS!$C$107/2+CROQUIS!$C$144,IF(CROQUIS!$C$105=1,-12,2),0),((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ROQUIS!$C$159)+IF(CROQUIS!$C$92="X",0,0.8)),-1000)</f>
        <v>-1000</v>
      </c>
      <c r="BX3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HOOSE(IF(INT(($A383-1)/5)&gt;MAX((MAX(1,INT(((CROQUIS!$C$97)-CROQUIS!$C$107)/MAX((CROQUIS!$C$141*MAX(1,CEILING((INT(((CROQUIS!$C$97)-CROQUIS!$C$107)/MAX(CROQUIS!$C$141,1))+1)/80,1))),1))+1))-1,0),0,MOD($A383-1,5))+1,CROQUIS!$C$98,CROQUIS!$C$98-CROQUIS!$C$107/2-CROQUIS!$C$144,IF(CROQUIS!$C$106=1,CROQUIS!$C$98+12,CROQUIS!$C$98-2),CROQUIS!$C$98-CROQUIS!$C$107/2-CROQUIS!$C$144,CROQUIS!$C$98)))*CROQUIS!$C$159)+IF(CROQUIS!$C$92="X",0.8,0)),-1000)</f>
        <v>-1000</v>
      </c>
      <c r="BY383">
        <f>IF(AND(CROQUIS!$C$88=1,CROQUIS!$C$91=0,CROQUIS!$C$141&gt;0,OR(CROQUIS!$C$106=1,CROQUIS!$C$146=1)),((CROQUIS!$C$161+(IF(CROQUIS!$C$92="X",CHOOSE(IF(INT(($A383-1)/5)&gt;MAX((MAX(1,INT(((CROQUIS!$C$97)-CROQUIS!$C$107)/MAX((CROQUIS!$C$141*MAX(1,CEILING((INT(((CROQUIS!$C$97)-CROQUIS!$C$107)/MAX(CROQUIS!$C$141,1))+1)/80,1))),1))+1))-1,0),0,MOD($A383-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ROQUIS!$C$159)+IF(CROQUIS!$C$92="X",0,0.8)),-1000)</f>
        <v>-1000</v>
      </c>
      <c r="BZ383">
        <f>IF(AND(CROQUIS!$C$88=1,CROQUIS!$C$91=1,CROQUIS!$C$133&gt;0),((CROQUIS!$C$160+(IF(CROQUIS!$C$92="X",CHOOSE(IF(INT(($A383-1)/5)&gt;MAX((MAX(1,INT(((CROQUIS!$C$98)-CROQUIS!$C$107)/MAX((CROQUIS!$C$133*MAX(1,CEILING((INT(((CROQUIS!$C$98)-CROQUIS!$C$107)/MAX(CROQUIS!$C$133,1))+1)/80,1))),1))+1))-1,0),0,MOD($A383-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CA383">
        <f>IF(AND(CROQUIS!$C$88=1,CROQUIS!$C$91=1,CROQUIS!$C$133&gt;0),((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4">
      <c r="A384" t="n">
        <v>377</v>
      </c>
      <c r="BN384">
        <f>IF(AND(CROQUIS!$C$88=1,CROQUIS!$C$129&gt;0),((CROQUIS!$C$160+(IF(CROQUIS!$C$92="X",CHOOSE(IF(INT(($A384-1)/5)&gt;MAX((MAX(1,INT(((CROQUIS!$C$98)-CROQUIS!$C$107)/MAX((CROQUIS!$C$129*MAX(1,CEILING((INT(((CROQUIS!$C$98)-CROQUIS!$C$107)/MAX(CROQUIS!$C$129,1))+1)/80,1))),1))+1))-1,0),0,MOD($A384-1,5))+1,0,2,CROQUIS!$C$97-2,2,0),((CROQUIS!$C$107/2+(((CROQUIS!$C$98)-CROQUIS!$C$107)-(MAX(1,INT(((CROQUIS!$C$98)-CROQUIS!$C$107)/MAX((CROQUIS!$C$129*MAX(1,CEILING((INT(((CROQUIS!$C$98)-CROQUIS!$C$107)/MAX(CROQUIS!$C$129,1))+1)/80,1))),1))+1)-1)*(CROQUIS!$C$129*MAX(1,CEILING((INT(((CROQUIS!$C$98)-CROQUIS!$C$107)/MAX(CROQUIS!$C$129,1))+1)/80,1))))/2)+MIN(INT(($A384-1)/5),MAX((MAX(1,INT(((CROQUIS!$C$98)-CROQUIS!$C$107)/MAX((CROQUIS!$C$129*MAX(1,CEILING((INT(((CROQUIS!$C$98)-CROQUIS!$C$107)/MAX(CROQUIS!$C$129,1))+1)/80,1))),1))+1))-1,0))*(CROQUIS!$C$129*MAX(1,CEILING((INT(((CROQUIS!$C$98)-CROQUIS!$C$107)/MAX(CROQUIS!$C$129,1))+1)/80,1))))))*CROQUIS!$C$159)+IF(CROQUIS!$C$92="X",0,0)),-1000)</f>
        <v>-1000</v>
      </c>
      <c r="BO384">
        <f>IF(AND(CROQUIS!$C$88=1,CROQUIS!$C$129&gt;0),((CROQUIS!$C$161+(IF(CROQUIS!$C$92="X",((CROQUIS!$C$107/2+(((CROQUIS!$C$98)-CROQUIS!$C$107)-(MAX(1,INT(((CROQUIS!$C$98)-CROQUIS!$C$107)/MAX((CROQUIS!$C$129*MAX(1,CEILING((INT(((CROQUIS!$C$98)-CROQUIS!$C$107)/MAX(CROQUIS!$C$129,1))+1)/80,1))),1))+1)-1)*(CROQUIS!$C$129*MAX(1,CEILING((INT(((CROQUIS!$C$98)-CROQUIS!$C$107)/MAX(CROQUIS!$C$129,1))+1)/80,1))))/2)+MIN(INT(($A384-1)/5),MAX((MAX(1,INT(((CROQUIS!$C$98)-CROQUIS!$C$107)/MAX((CROQUIS!$C$129*MAX(1,CEILING((INT(((CROQUIS!$C$98)-CROQUIS!$C$107)/MAX(CROQUIS!$C$129,1))+1)/80,1))),1))+1))-1,0))*(CROQUIS!$C$129*MAX(1,CEILING((INT(((CROQUIS!$C$98)-CROQUIS!$C$107)/MAX(CROQUIS!$C$129,1))+1)/80,1)))),CHOOSE(IF(INT(($A384-1)/5)&gt;MAX((MAX(1,INT(((CROQUIS!$C$98)-CROQUIS!$C$107)/MAX((CROQUIS!$C$129*MAX(1,CEILING((INT(((CROQUIS!$C$98)-CROQUIS!$C$107)/MAX(CROQUIS!$C$129,1))+1)/80,1))),1))+1))-1,0),0,MOD($A384-1,5))+1,0,2,CROQUIS!$C$97-2,2,0)))*CROQUIS!$C$159)+IF(CROQUIS!$C$92="X",0,0)),-1000)</f>
        <v>-1000</v>
      </c>
      <c r="BP384">
        <f>IF(AND(CROQUIS!$C$88=1,CROQUIS!$C$137&gt;0),((CROQUIS!$C$160+(IF(CROQUIS!$C$92="X",((CROQUIS!$C$107/2+(((CROQUIS!$C$97)-CROQUIS!$C$107)-(MAX(1,INT(((CROQUIS!$C$97)-CROQUIS!$C$107)/MAX((CROQUIS!$C$137*MAX(1,CEILING((INT(((CROQUIS!$C$97)-CROQUIS!$C$107)/MAX(CROQUIS!$C$137,1))+1)/80,1))),1))+1)-1)*(CROQUIS!$C$137*MAX(1,CEILING((INT(((CROQUIS!$C$97)-CROQUIS!$C$107)/MAX(CROQUIS!$C$137,1))+1)/80,1))))/2)+MIN(INT(($A384-1)/5),MAX((MAX(1,INT(((CROQUIS!$C$97)-CROQUIS!$C$107)/MAX((CROQUIS!$C$137*MAX(1,CEILING((INT(((CROQUIS!$C$97)-CROQUIS!$C$107)/MAX(CROQUIS!$C$137,1))+1)/80,1))),1))+1))-1,0))*(CROQUIS!$C$137*MAX(1,CEILING((INT(((CROQUIS!$C$97)-CROQUIS!$C$107)/MAX(CROQUIS!$C$137,1))+1)/80,1)))),CHOOSE(IF(INT(($A384-1)/5)&gt;MAX((MAX(1,INT(((CROQUIS!$C$97)-CROQUIS!$C$107)/MAX((CROQUIS!$C$137*MAX(1,CEILING((INT(((CROQUIS!$C$97)-CROQUIS!$C$107)/MAX(CROQUIS!$C$137,1))+1)/80,1))),1))+1))-1,0),0,MOD($A384-1,5))+1,0,2,CROQUIS!$C$98-2,2,0)))*CROQUIS!$C$159)+IF(CROQUIS!$C$92="X",0,0)),-1000)</f>
        <v>-1000</v>
      </c>
      <c r="BQ384">
        <f>IF(AND(CROQUIS!$C$88=1,CROQUIS!$C$137&gt;0),((CROQUIS!$C$161+(IF(CROQUIS!$C$92="X",CHOOSE(IF(INT(($A384-1)/5)&gt;MAX((MAX(1,INT(((CROQUIS!$C$97)-CROQUIS!$C$107)/MAX((CROQUIS!$C$137*MAX(1,CEILING((INT(((CROQUIS!$C$97)-CROQUIS!$C$107)/MAX(CROQUIS!$C$137,1))+1)/80,1))),1))+1))-1,0),0,MOD($A384-1,5))+1,0,2,CROQUIS!$C$98-2,2,0),((CROQUIS!$C$107/2+(((CROQUIS!$C$97)-CROQUIS!$C$107)-(MAX(1,INT(((CROQUIS!$C$97)-CROQUIS!$C$107)/MAX((CROQUIS!$C$137*MAX(1,CEILING((INT(((CROQUIS!$C$97)-CROQUIS!$C$107)/MAX(CROQUIS!$C$137,1))+1)/80,1))),1))+1)-1)*(CROQUIS!$C$137*MAX(1,CEILING((INT(((CROQUIS!$C$97)-CROQUIS!$C$107)/MAX(CROQUIS!$C$137,1))+1)/80,1))))/2)+MIN(INT(($A384-1)/5),MAX((MAX(1,INT(((CROQUIS!$C$97)-CROQUIS!$C$107)/MAX((CROQUIS!$C$137*MAX(1,CEILING((INT(((CROQUIS!$C$97)-CROQUIS!$C$107)/MAX(CROQUIS!$C$137,1))+1)/80,1))),1))+1))-1,0))*(CROQUIS!$C$137*MAX(1,CEILING((INT(((CROQUIS!$C$97)-CROQUIS!$C$107)/MAX(CROQUIS!$C$137,1))+1)/80,1))))))*CROQUIS!$C$159)+IF(CROQUIS!$C$92="X",0,0)),-1000)</f>
        <v>-1000</v>
      </c>
      <c r="BR384">
        <f>IF(AND(CROQUIS!$C$88=1,CROQUIS!$C$91=0,CROQUIS!$C$133&gt;0,OR(CROQUIS!$C$103=1,CROQUIS!$C$145=1)),((CROQUIS!$C$160+(IF(CROQUIS!$C$92="X",CHOOSE(IF(INT(($A384-1)/5)&gt;MAX((MAX(1,INT(((CROQUIS!$C$98)-CROQUIS!$C$107)/MAX((CROQUIS!$C$133*MAX(1,CEILING((INT(((CROQUIS!$C$98)-CROQUIS!$C$107)/MAX(CROQUIS!$C$133,1))+1)/80,1))),1))+1))-1,0),0,MOD($A384-1,5))+1,0,IF(CROQUIS!$C$103=1,-12,2),CROQUIS!$C$107/2+CROQUIS!$C$143,IF(CROQUIS!$C$103=1,-12,2),0),((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BS3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+1,0,IF(CROQUIS!$C$103=1,-12,2),CROQUIS!$C$107/2+CROQUIS!$C$143,IF(CROQUIS!$C$103=1,-12,2),0)))*CROQUIS!$C$159)+IF(CROQUIS!$C$92="X",0.8,0)),-1000)</f>
        <v>-1000</v>
      </c>
      <c r="BT384">
        <f>IF(AND(CROQUIS!$C$88=1,CROQUIS!$C$91=0,CROQUIS!$C$133&gt;0,OR(CROQUIS!$C$104=1,CROQUIS!$C$145=1)),((CROQUIS!$C$160+(IF(CROQUIS!$C$92="X",CHOOSE(IF(INT(($A384-1)/5)&gt;MAX((MAX(1,INT(((CROQUIS!$C$98)-CROQUIS!$C$107)/MAX((CROQUIS!$C$133*MAX(1,CEILING((INT(((CROQUIS!$C$98)-CROQUIS!$C$107)/MAX(CROQUIS!$C$133,1))+1)/80,1))),1))+1))-1,0),0,MOD($A384-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BU3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CROQUIS!$C$97,CROQUIS!$C$97-CROQUIS!$C$107/2-CROQUIS!$C$143,IF(CROQUIS!$C$104=1,CROQUIS!$C$97+12,CROQUIS!$C$97-2),CROQUIS!$C$97-CROQUIS!$C$107/2-CROQUIS!$C$143,CROQUIS!$C$97)))*CROQUIS!$C$159)+IF(CROQUIS!$C$92="X",0.8,0)),-1000)</f>
        <v>-1000</v>
      </c>
      <c r="BV3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HOOSE(IF(INT(($A384-1)/5)&gt;MAX((MAX(1,INT(((CROQUIS!$C$97)-CROQUIS!$C$107)/MAX((CROQUIS!$C$141*MAX(1,CEILING((INT(((CROQUIS!$C$97)-CROQUIS!$C$107)/MAX(CROQUIS!$C$141,1))+1)/80,1))),1))+1))-1,0),0,MOD($A384-1,5))+1,0,IF(CROQUIS!$C$105=1,-12,2),CROQUIS!$C$107/2+CROQUIS!$C$144,IF(CROQUIS!$C$105=1,-12,2),0)))*CROQUIS!$C$159)+IF(CROQUIS!$C$92="X",0.8,0)),-1000)</f>
        <v>-1000</v>
      </c>
      <c r="BW384">
        <f>IF(AND(CROQUIS!$C$88=1,CROQUIS!$C$91=0,CROQUIS!$C$141&gt;0,OR(CROQUIS!$C$105=1,CROQUIS!$C$146=1)),((CROQUIS!$C$161+(IF(CROQUIS!$C$92="X",CHOOSE(IF(INT(($A384-1)/5)&gt;MAX((MAX(1,INT(((CROQUIS!$C$97)-CROQUIS!$C$107)/MAX((CROQUIS!$C$141*MAX(1,CEILING((INT(((CROQUIS!$C$97)-CROQUIS!$C$107)/MAX(CROQUIS!$C$141,1))+1)/80,1))),1))+1))-1,0),0,MOD($A384-1,5))+1,0,IF(CROQUIS!$C$105=1,-12,2),CROQUIS!$C$107/2+CROQUIS!$C$144,IF(CROQUIS!$C$105=1,-12,2),0),((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ROQUIS!$C$159)+IF(CROQUIS!$C$92="X",0,0.8)),-1000)</f>
        <v>-1000</v>
      </c>
      <c r="BX3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HOOSE(IF(INT(($A384-1)/5)&gt;MAX((MAX(1,INT(((CROQUIS!$C$97)-CROQUIS!$C$107)/MAX((CROQUIS!$C$141*MAX(1,CEILING((INT(((CROQUIS!$C$97)-CROQUIS!$C$107)/MAX(CROQUIS!$C$141,1))+1)/80,1))),1))+1))-1,0),0,MOD($A384-1,5))+1,CROQUIS!$C$98,CROQUIS!$C$98-CROQUIS!$C$107/2-CROQUIS!$C$144,IF(CROQUIS!$C$106=1,CROQUIS!$C$98+12,CROQUIS!$C$98-2),CROQUIS!$C$98-CROQUIS!$C$107/2-CROQUIS!$C$144,CROQUIS!$C$98)))*CROQUIS!$C$159)+IF(CROQUIS!$C$92="X",0.8,0)),-1000)</f>
        <v>-1000</v>
      </c>
      <c r="BY384">
        <f>IF(AND(CROQUIS!$C$88=1,CROQUIS!$C$91=0,CROQUIS!$C$141&gt;0,OR(CROQUIS!$C$106=1,CROQUIS!$C$146=1)),((CROQUIS!$C$161+(IF(CROQUIS!$C$92="X",CHOOSE(IF(INT(($A384-1)/5)&gt;MAX((MAX(1,INT(((CROQUIS!$C$97)-CROQUIS!$C$107)/MAX((CROQUIS!$C$141*MAX(1,CEILING((INT(((CROQUIS!$C$97)-CROQUIS!$C$107)/MAX(CROQUIS!$C$141,1))+1)/80,1))),1))+1))-1,0),0,MOD($A384-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ROQUIS!$C$159)+IF(CROQUIS!$C$92="X",0,0.8)),-1000)</f>
        <v>-1000</v>
      </c>
      <c r="BZ384">
        <f>IF(AND(CROQUIS!$C$88=1,CROQUIS!$C$91=1,CROQUIS!$C$133&gt;0),((CROQUIS!$C$160+(IF(CROQUIS!$C$92="X",CHOOSE(IF(INT(($A384-1)/5)&gt;MAX((MAX(1,INT(((CROQUIS!$C$98)-CROQUIS!$C$107)/MAX((CROQUIS!$C$133*MAX(1,CEILING((INT(((CROQUIS!$C$98)-CROQUIS!$C$107)/MAX(CROQUIS!$C$133,1))+1)/80,1))),1))+1))-1,0),0,MOD($A384-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CA384">
        <f>IF(AND(CROQUIS!$C$88=1,CROQUIS!$C$91=1,CROQUIS!$C$133&gt;0),((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5">
      <c r="A385" t="n">
        <v>378</v>
      </c>
      <c r="BN385">
        <f>IF(AND(CROQUIS!$C$88=1,CROQUIS!$C$129&gt;0),((CROQUIS!$C$160+(IF(CROQUIS!$C$92="X",CHOOSE(IF(INT(($A385-1)/5)&gt;MAX((MAX(1,INT(((CROQUIS!$C$98)-CROQUIS!$C$107)/MAX((CROQUIS!$C$129*MAX(1,CEILING((INT(((CROQUIS!$C$98)-CROQUIS!$C$107)/MAX(CROQUIS!$C$129,1))+1)/80,1))),1))+1))-1,0),0,MOD($A385-1,5))+1,0,2,CROQUIS!$C$97-2,2,0),((CROQUIS!$C$107/2+(((CROQUIS!$C$98)-CROQUIS!$C$107)-(MAX(1,INT(((CROQUIS!$C$98)-CROQUIS!$C$107)/MAX((CROQUIS!$C$129*MAX(1,CEILING((INT(((CROQUIS!$C$98)-CROQUIS!$C$107)/MAX(CROQUIS!$C$129,1))+1)/80,1))),1))+1)-1)*(CROQUIS!$C$129*MAX(1,CEILING((INT(((CROQUIS!$C$98)-CROQUIS!$C$107)/MAX(CROQUIS!$C$129,1))+1)/80,1))))/2)+MIN(INT(($A385-1)/5),MAX((MAX(1,INT(((CROQUIS!$C$98)-CROQUIS!$C$107)/MAX((CROQUIS!$C$129*MAX(1,CEILING((INT(((CROQUIS!$C$98)-CROQUIS!$C$107)/MAX(CROQUIS!$C$129,1))+1)/80,1))),1))+1))-1,0))*(CROQUIS!$C$129*MAX(1,CEILING((INT(((CROQUIS!$C$98)-CROQUIS!$C$107)/MAX(CROQUIS!$C$129,1))+1)/80,1))))))*CROQUIS!$C$159)+IF(CROQUIS!$C$92="X",0,0)),-1000)</f>
        <v>-1000</v>
      </c>
      <c r="BO385">
        <f>IF(AND(CROQUIS!$C$88=1,CROQUIS!$C$129&gt;0),((CROQUIS!$C$161+(IF(CROQUIS!$C$92="X",((CROQUIS!$C$107/2+(((CROQUIS!$C$98)-CROQUIS!$C$107)-(MAX(1,INT(((CROQUIS!$C$98)-CROQUIS!$C$107)/MAX((CROQUIS!$C$129*MAX(1,CEILING((INT(((CROQUIS!$C$98)-CROQUIS!$C$107)/MAX(CROQUIS!$C$129,1))+1)/80,1))),1))+1)-1)*(CROQUIS!$C$129*MAX(1,CEILING((INT(((CROQUIS!$C$98)-CROQUIS!$C$107)/MAX(CROQUIS!$C$129,1))+1)/80,1))))/2)+MIN(INT(($A385-1)/5),MAX((MAX(1,INT(((CROQUIS!$C$98)-CROQUIS!$C$107)/MAX((CROQUIS!$C$129*MAX(1,CEILING((INT(((CROQUIS!$C$98)-CROQUIS!$C$107)/MAX(CROQUIS!$C$129,1))+1)/80,1))),1))+1))-1,0))*(CROQUIS!$C$129*MAX(1,CEILING((INT(((CROQUIS!$C$98)-CROQUIS!$C$107)/MAX(CROQUIS!$C$129,1))+1)/80,1)))),CHOOSE(IF(INT(($A385-1)/5)&gt;MAX((MAX(1,INT(((CROQUIS!$C$98)-CROQUIS!$C$107)/MAX((CROQUIS!$C$129*MAX(1,CEILING((INT(((CROQUIS!$C$98)-CROQUIS!$C$107)/MAX(CROQUIS!$C$129,1))+1)/80,1))),1))+1))-1,0),0,MOD($A385-1,5))+1,0,2,CROQUIS!$C$97-2,2,0)))*CROQUIS!$C$159)+IF(CROQUIS!$C$92="X",0,0)),-1000)</f>
        <v>-1000</v>
      </c>
      <c r="BP385">
        <f>IF(AND(CROQUIS!$C$88=1,CROQUIS!$C$137&gt;0),((CROQUIS!$C$160+(IF(CROQUIS!$C$92="X",((CROQUIS!$C$107/2+(((CROQUIS!$C$97)-CROQUIS!$C$107)-(MAX(1,INT(((CROQUIS!$C$97)-CROQUIS!$C$107)/MAX((CROQUIS!$C$137*MAX(1,CEILING((INT(((CROQUIS!$C$97)-CROQUIS!$C$107)/MAX(CROQUIS!$C$137,1))+1)/80,1))),1))+1)-1)*(CROQUIS!$C$137*MAX(1,CEILING((INT(((CROQUIS!$C$97)-CROQUIS!$C$107)/MAX(CROQUIS!$C$137,1))+1)/80,1))))/2)+MIN(INT(($A385-1)/5),MAX((MAX(1,INT(((CROQUIS!$C$97)-CROQUIS!$C$107)/MAX((CROQUIS!$C$137*MAX(1,CEILING((INT(((CROQUIS!$C$97)-CROQUIS!$C$107)/MAX(CROQUIS!$C$137,1))+1)/80,1))),1))+1))-1,0))*(CROQUIS!$C$137*MAX(1,CEILING((INT(((CROQUIS!$C$97)-CROQUIS!$C$107)/MAX(CROQUIS!$C$137,1))+1)/80,1)))),CHOOSE(IF(INT(($A385-1)/5)&gt;MAX((MAX(1,INT(((CROQUIS!$C$97)-CROQUIS!$C$107)/MAX((CROQUIS!$C$137*MAX(1,CEILING((INT(((CROQUIS!$C$97)-CROQUIS!$C$107)/MAX(CROQUIS!$C$137,1))+1)/80,1))),1))+1))-1,0),0,MOD($A385-1,5))+1,0,2,CROQUIS!$C$98-2,2,0)))*CROQUIS!$C$159)+IF(CROQUIS!$C$92="X",0,0)),-1000)</f>
        <v>-1000</v>
      </c>
      <c r="BQ385">
        <f>IF(AND(CROQUIS!$C$88=1,CROQUIS!$C$137&gt;0),((CROQUIS!$C$161+(IF(CROQUIS!$C$92="X",CHOOSE(IF(INT(($A385-1)/5)&gt;MAX((MAX(1,INT(((CROQUIS!$C$97)-CROQUIS!$C$107)/MAX((CROQUIS!$C$137*MAX(1,CEILING((INT(((CROQUIS!$C$97)-CROQUIS!$C$107)/MAX(CROQUIS!$C$137,1))+1)/80,1))),1))+1))-1,0),0,MOD($A385-1,5))+1,0,2,CROQUIS!$C$98-2,2,0),((CROQUIS!$C$107/2+(((CROQUIS!$C$97)-CROQUIS!$C$107)-(MAX(1,INT(((CROQUIS!$C$97)-CROQUIS!$C$107)/MAX((CROQUIS!$C$137*MAX(1,CEILING((INT(((CROQUIS!$C$97)-CROQUIS!$C$107)/MAX(CROQUIS!$C$137,1))+1)/80,1))),1))+1)-1)*(CROQUIS!$C$137*MAX(1,CEILING((INT(((CROQUIS!$C$97)-CROQUIS!$C$107)/MAX(CROQUIS!$C$137,1))+1)/80,1))))/2)+MIN(INT(($A385-1)/5),MAX((MAX(1,INT(((CROQUIS!$C$97)-CROQUIS!$C$107)/MAX((CROQUIS!$C$137*MAX(1,CEILING((INT(((CROQUIS!$C$97)-CROQUIS!$C$107)/MAX(CROQUIS!$C$137,1))+1)/80,1))),1))+1))-1,0))*(CROQUIS!$C$137*MAX(1,CEILING((INT(((CROQUIS!$C$97)-CROQUIS!$C$107)/MAX(CROQUIS!$C$137,1))+1)/80,1))))))*CROQUIS!$C$159)+IF(CROQUIS!$C$92="X",0,0)),-1000)</f>
        <v>-1000</v>
      </c>
      <c r="BR385">
        <f>IF(AND(CROQUIS!$C$88=1,CROQUIS!$C$91=0,CROQUIS!$C$133&gt;0,OR(CROQUIS!$C$103=1,CROQUIS!$C$145=1)),((CROQUIS!$C$160+(IF(CROQUIS!$C$92="X",CHOOSE(IF(INT(($A385-1)/5)&gt;MAX((MAX(1,INT(((CROQUIS!$C$98)-CROQUIS!$C$107)/MAX((CROQUIS!$C$133*MAX(1,CEILING((INT(((CROQUIS!$C$98)-CROQUIS!$C$107)/MAX(CROQUIS!$C$133,1))+1)/80,1))),1))+1))-1,0),0,MOD($A385-1,5))+1,0,IF(CROQUIS!$C$103=1,-12,2),CROQUIS!$C$107/2+CROQUIS!$C$143,IF(CROQUIS!$C$103=1,-12,2),0),((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BS3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+1,0,IF(CROQUIS!$C$103=1,-12,2),CROQUIS!$C$107/2+CROQUIS!$C$143,IF(CROQUIS!$C$103=1,-12,2),0)))*CROQUIS!$C$159)+IF(CROQUIS!$C$92="X",0.8,0)),-1000)</f>
        <v>-1000</v>
      </c>
      <c r="BT385">
        <f>IF(AND(CROQUIS!$C$88=1,CROQUIS!$C$91=0,CROQUIS!$C$133&gt;0,OR(CROQUIS!$C$104=1,CROQUIS!$C$145=1)),((CROQUIS!$C$160+(IF(CROQUIS!$C$92="X",CHOOSE(IF(INT(($A385-1)/5)&gt;MAX((MAX(1,INT(((CROQUIS!$C$98)-CROQUIS!$C$107)/MAX((CROQUIS!$C$133*MAX(1,CEILING((INT(((CROQUIS!$C$98)-CROQUIS!$C$107)/MAX(CROQUIS!$C$133,1))+1)/80,1))),1))+1))-1,0),0,MOD($A385-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BU3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CROQUIS!$C$97,CROQUIS!$C$97-CROQUIS!$C$107/2-CROQUIS!$C$143,IF(CROQUIS!$C$104=1,CROQUIS!$C$97+12,CROQUIS!$C$97-2),CROQUIS!$C$97-CROQUIS!$C$107/2-CROQUIS!$C$143,CROQUIS!$C$97)))*CROQUIS!$C$159)+IF(CROQUIS!$C$92="X",0.8,0)),-1000)</f>
        <v>-1000</v>
      </c>
      <c r="BV3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HOOSE(IF(INT(($A385-1)/5)&gt;MAX((MAX(1,INT(((CROQUIS!$C$97)-CROQUIS!$C$107)/MAX((CROQUIS!$C$141*MAX(1,CEILING((INT(((CROQUIS!$C$97)-CROQUIS!$C$107)/MAX(CROQUIS!$C$141,1))+1)/80,1))),1))+1))-1,0),0,MOD($A385-1,5))+1,0,IF(CROQUIS!$C$105=1,-12,2),CROQUIS!$C$107/2+CROQUIS!$C$144,IF(CROQUIS!$C$105=1,-12,2),0)))*CROQUIS!$C$159)+IF(CROQUIS!$C$92="X",0.8,0)),-1000)</f>
        <v>-1000</v>
      </c>
      <c r="BW385">
        <f>IF(AND(CROQUIS!$C$88=1,CROQUIS!$C$91=0,CROQUIS!$C$141&gt;0,OR(CROQUIS!$C$105=1,CROQUIS!$C$146=1)),((CROQUIS!$C$161+(IF(CROQUIS!$C$92="X",CHOOSE(IF(INT(($A385-1)/5)&gt;MAX((MAX(1,INT(((CROQUIS!$C$97)-CROQUIS!$C$107)/MAX((CROQUIS!$C$141*MAX(1,CEILING((INT(((CROQUIS!$C$97)-CROQUIS!$C$107)/MAX(CROQUIS!$C$141,1))+1)/80,1))),1))+1))-1,0),0,MOD($A385-1,5))+1,0,IF(CROQUIS!$C$105=1,-12,2),CROQUIS!$C$107/2+CROQUIS!$C$144,IF(CROQUIS!$C$105=1,-12,2),0),((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ROQUIS!$C$159)+IF(CROQUIS!$C$92="X",0,0.8)),-1000)</f>
        <v>-1000</v>
      </c>
      <c r="BX3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HOOSE(IF(INT(($A385-1)/5)&gt;MAX((MAX(1,INT(((CROQUIS!$C$97)-CROQUIS!$C$107)/MAX((CROQUIS!$C$141*MAX(1,CEILING((INT(((CROQUIS!$C$97)-CROQUIS!$C$107)/MAX(CROQUIS!$C$141,1))+1)/80,1))),1))+1))-1,0),0,MOD($A385-1,5))+1,CROQUIS!$C$98,CROQUIS!$C$98-CROQUIS!$C$107/2-CROQUIS!$C$144,IF(CROQUIS!$C$106=1,CROQUIS!$C$98+12,CROQUIS!$C$98-2),CROQUIS!$C$98-CROQUIS!$C$107/2-CROQUIS!$C$144,CROQUIS!$C$98)))*CROQUIS!$C$159)+IF(CROQUIS!$C$92="X",0.8,0)),-1000)</f>
        <v>-1000</v>
      </c>
      <c r="BY385">
        <f>IF(AND(CROQUIS!$C$88=1,CROQUIS!$C$91=0,CROQUIS!$C$141&gt;0,OR(CROQUIS!$C$106=1,CROQUIS!$C$146=1)),((CROQUIS!$C$161+(IF(CROQUIS!$C$92="X",CHOOSE(IF(INT(($A385-1)/5)&gt;MAX((MAX(1,INT(((CROQUIS!$C$97)-CROQUIS!$C$107)/MAX((CROQUIS!$C$141*MAX(1,CEILING((INT(((CROQUIS!$C$97)-CROQUIS!$C$107)/MAX(CROQUIS!$C$141,1))+1)/80,1))),1))+1))-1,0),0,MOD($A385-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ROQUIS!$C$159)+IF(CROQUIS!$C$92="X",0,0.8)),-1000)</f>
        <v>-1000</v>
      </c>
      <c r="BZ385">
        <f>IF(AND(CROQUIS!$C$88=1,CROQUIS!$C$91=1,CROQUIS!$C$133&gt;0),((CROQUIS!$C$160+(IF(CROQUIS!$C$92="X",CHOOSE(IF(INT(($A385-1)/5)&gt;MAX((MAX(1,INT(((CROQUIS!$C$98)-CROQUIS!$C$107)/MAX((CROQUIS!$C$133*MAX(1,CEILING((INT(((CROQUIS!$C$98)-CROQUIS!$C$107)/MAX(CROQUIS!$C$133,1))+1)/80,1))),1))+1))-1,0),0,MOD($A385-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CA385">
        <f>IF(AND(CROQUIS!$C$88=1,CROQUIS!$C$91=1,CROQUIS!$C$133&gt;0),((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6">
      <c r="A386" t="n">
        <v>379</v>
      </c>
      <c r="BN386">
        <f>IF(AND(CROQUIS!$C$88=1,CROQUIS!$C$129&gt;0),((CROQUIS!$C$160+(IF(CROQUIS!$C$92="X",CHOOSE(IF(INT(($A386-1)/5)&gt;MAX((MAX(1,INT(((CROQUIS!$C$98)-CROQUIS!$C$107)/MAX((CROQUIS!$C$129*MAX(1,CEILING((INT(((CROQUIS!$C$98)-CROQUIS!$C$107)/MAX(CROQUIS!$C$129,1))+1)/80,1))),1))+1))-1,0),0,MOD($A386-1,5))+1,0,2,CROQUIS!$C$97-2,2,0),((CROQUIS!$C$107/2+(((CROQUIS!$C$98)-CROQUIS!$C$107)-(MAX(1,INT(((CROQUIS!$C$98)-CROQUIS!$C$107)/MAX((CROQUIS!$C$129*MAX(1,CEILING((INT(((CROQUIS!$C$98)-CROQUIS!$C$107)/MAX(CROQUIS!$C$129,1))+1)/80,1))),1))+1)-1)*(CROQUIS!$C$129*MAX(1,CEILING((INT(((CROQUIS!$C$98)-CROQUIS!$C$107)/MAX(CROQUIS!$C$129,1))+1)/80,1))))/2)+MIN(INT(($A386-1)/5),MAX((MAX(1,INT(((CROQUIS!$C$98)-CROQUIS!$C$107)/MAX((CROQUIS!$C$129*MAX(1,CEILING((INT(((CROQUIS!$C$98)-CROQUIS!$C$107)/MAX(CROQUIS!$C$129,1))+1)/80,1))),1))+1))-1,0))*(CROQUIS!$C$129*MAX(1,CEILING((INT(((CROQUIS!$C$98)-CROQUIS!$C$107)/MAX(CROQUIS!$C$129,1))+1)/80,1))))))*CROQUIS!$C$159)+IF(CROQUIS!$C$92="X",0,0)),-1000)</f>
        <v>-1000</v>
      </c>
      <c r="BO386">
        <f>IF(AND(CROQUIS!$C$88=1,CROQUIS!$C$129&gt;0),((CROQUIS!$C$161+(IF(CROQUIS!$C$92="X",((CROQUIS!$C$107/2+(((CROQUIS!$C$98)-CROQUIS!$C$107)-(MAX(1,INT(((CROQUIS!$C$98)-CROQUIS!$C$107)/MAX((CROQUIS!$C$129*MAX(1,CEILING((INT(((CROQUIS!$C$98)-CROQUIS!$C$107)/MAX(CROQUIS!$C$129,1))+1)/80,1))),1))+1)-1)*(CROQUIS!$C$129*MAX(1,CEILING((INT(((CROQUIS!$C$98)-CROQUIS!$C$107)/MAX(CROQUIS!$C$129,1))+1)/80,1))))/2)+MIN(INT(($A386-1)/5),MAX((MAX(1,INT(((CROQUIS!$C$98)-CROQUIS!$C$107)/MAX((CROQUIS!$C$129*MAX(1,CEILING((INT(((CROQUIS!$C$98)-CROQUIS!$C$107)/MAX(CROQUIS!$C$129,1))+1)/80,1))),1))+1))-1,0))*(CROQUIS!$C$129*MAX(1,CEILING((INT(((CROQUIS!$C$98)-CROQUIS!$C$107)/MAX(CROQUIS!$C$129,1))+1)/80,1)))),CHOOSE(IF(INT(($A386-1)/5)&gt;MAX((MAX(1,INT(((CROQUIS!$C$98)-CROQUIS!$C$107)/MAX((CROQUIS!$C$129*MAX(1,CEILING((INT(((CROQUIS!$C$98)-CROQUIS!$C$107)/MAX(CROQUIS!$C$129,1))+1)/80,1))),1))+1))-1,0),0,MOD($A386-1,5))+1,0,2,CROQUIS!$C$97-2,2,0)))*CROQUIS!$C$159)+IF(CROQUIS!$C$92="X",0,0)),-1000)</f>
        <v>-1000</v>
      </c>
      <c r="BP386">
        <f>IF(AND(CROQUIS!$C$88=1,CROQUIS!$C$137&gt;0),((CROQUIS!$C$160+(IF(CROQUIS!$C$92="X",((CROQUIS!$C$107/2+(((CROQUIS!$C$97)-CROQUIS!$C$107)-(MAX(1,INT(((CROQUIS!$C$97)-CROQUIS!$C$107)/MAX((CROQUIS!$C$137*MAX(1,CEILING((INT(((CROQUIS!$C$97)-CROQUIS!$C$107)/MAX(CROQUIS!$C$137,1))+1)/80,1))),1))+1)-1)*(CROQUIS!$C$137*MAX(1,CEILING((INT(((CROQUIS!$C$97)-CROQUIS!$C$107)/MAX(CROQUIS!$C$137,1))+1)/80,1))))/2)+MIN(INT(($A386-1)/5),MAX((MAX(1,INT(((CROQUIS!$C$97)-CROQUIS!$C$107)/MAX((CROQUIS!$C$137*MAX(1,CEILING((INT(((CROQUIS!$C$97)-CROQUIS!$C$107)/MAX(CROQUIS!$C$137,1))+1)/80,1))),1))+1))-1,0))*(CROQUIS!$C$137*MAX(1,CEILING((INT(((CROQUIS!$C$97)-CROQUIS!$C$107)/MAX(CROQUIS!$C$137,1))+1)/80,1)))),CHOOSE(IF(INT(($A386-1)/5)&gt;MAX((MAX(1,INT(((CROQUIS!$C$97)-CROQUIS!$C$107)/MAX((CROQUIS!$C$137*MAX(1,CEILING((INT(((CROQUIS!$C$97)-CROQUIS!$C$107)/MAX(CROQUIS!$C$137,1))+1)/80,1))),1))+1))-1,0),0,MOD($A386-1,5))+1,0,2,CROQUIS!$C$98-2,2,0)))*CROQUIS!$C$159)+IF(CROQUIS!$C$92="X",0,0)),-1000)</f>
        <v>-1000</v>
      </c>
      <c r="BQ386">
        <f>IF(AND(CROQUIS!$C$88=1,CROQUIS!$C$137&gt;0),((CROQUIS!$C$161+(IF(CROQUIS!$C$92="X",CHOOSE(IF(INT(($A386-1)/5)&gt;MAX((MAX(1,INT(((CROQUIS!$C$97)-CROQUIS!$C$107)/MAX((CROQUIS!$C$137*MAX(1,CEILING((INT(((CROQUIS!$C$97)-CROQUIS!$C$107)/MAX(CROQUIS!$C$137,1))+1)/80,1))),1))+1))-1,0),0,MOD($A386-1,5))+1,0,2,CROQUIS!$C$98-2,2,0),((CROQUIS!$C$107/2+(((CROQUIS!$C$97)-CROQUIS!$C$107)-(MAX(1,INT(((CROQUIS!$C$97)-CROQUIS!$C$107)/MAX((CROQUIS!$C$137*MAX(1,CEILING((INT(((CROQUIS!$C$97)-CROQUIS!$C$107)/MAX(CROQUIS!$C$137,1))+1)/80,1))),1))+1)-1)*(CROQUIS!$C$137*MAX(1,CEILING((INT(((CROQUIS!$C$97)-CROQUIS!$C$107)/MAX(CROQUIS!$C$137,1))+1)/80,1))))/2)+MIN(INT(($A386-1)/5),MAX((MAX(1,INT(((CROQUIS!$C$97)-CROQUIS!$C$107)/MAX((CROQUIS!$C$137*MAX(1,CEILING((INT(((CROQUIS!$C$97)-CROQUIS!$C$107)/MAX(CROQUIS!$C$137,1))+1)/80,1))),1))+1))-1,0))*(CROQUIS!$C$137*MAX(1,CEILING((INT(((CROQUIS!$C$97)-CROQUIS!$C$107)/MAX(CROQUIS!$C$137,1))+1)/80,1))))))*CROQUIS!$C$159)+IF(CROQUIS!$C$92="X",0,0)),-1000)</f>
        <v>-1000</v>
      </c>
      <c r="BR386">
        <f>IF(AND(CROQUIS!$C$88=1,CROQUIS!$C$91=0,CROQUIS!$C$133&gt;0,OR(CROQUIS!$C$103=1,CROQUIS!$C$145=1)),((CROQUIS!$C$160+(IF(CROQUIS!$C$92="X",CHOOSE(IF(INT(($A386-1)/5)&gt;MAX((MAX(1,INT(((CROQUIS!$C$98)-CROQUIS!$C$107)/MAX((CROQUIS!$C$133*MAX(1,CEILING((INT(((CROQUIS!$C$98)-CROQUIS!$C$107)/MAX(CROQUIS!$C$133,1))+1)/80,1))),1))+1))-1,0),0,MOD($A386-1,5))+1,0,IF(CROQUIS!$C$103=1,-12,2),CROQUIS!$C$107/2+CROQUIS!$C$143,IF(CROQUIS!$C$103=1,-12,2),0),((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BS3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+1,0,IF(CROQUIS!$C$103=1,-12,2),CROQUIS!$C$107/2+CROQUIS!$C$143,IF(CROQUIS!$C$103=1,-12,2),0)))*CROQUIS!$C$159)+IF(CROQUIS!$C$92="X",0.8,0)),-1000)</f>
        <v>-1000</v>
      </c>
      <c r="BT386">
        <f>IF(AND(CROQUIS!$C$88=1,CROQUIS!$C$91=0,CROQUIS!$C$133&gt;0,OR(CROQUIS!$C$104=1,CROQUIS!$C$145=1)),((CROQUIS!$C$160+(IF(CROQUIS!$C$92="X",CHOOSE(IF(INT(($A386-1)/5)&gt;MAX((MAX(1,INT(((CROQUIS!$C$98)-CROQUIS!$C$107)/MAX((CROQUIS!$C$133*MAX(1,CEILING((INT(((CROQUIS!$C$98)-CROQUIS!$C$107)/MAX(CROQUIS!$C$133,1))+1)/80,1))),1))+1))-1,0),0,MOD($A386-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BU3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CROQUIS!$C$97,CROQUIS!$C$97-CROQUIS!$C$107/2-CROQUIS!$C$143,IF(CROQUIS!$C$104=1,CROQUIS!$C$97+12,CROQUIS!$C$97-2),CROQUIS!$C$97-CROQUIS!$C$107/2-CROQUIS!$C$143,CROQUIS!$C$97)))*CROQUIS!$C$159)+IF(CROQUIS!$C$92="X",0.8,0)),-1000)</f>
        <v>-1000</v>
      </c>
      <c r="BV3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HOOSE(IF(INT(($A386-1)/5)&gt;MAX((MAX(1,INT(((CROQUIS!$C$97)-CROQUIS!$C$107)/MAX((CROQUIS!$C$141*MAX(1,CEILING((INT(((CROQUIS!$C$97)-CROQUIS!$C$107)/MAX(CROQUIS!$C$141,1))+1)/80,1))),1))+1))-1,0),0,MOD($A386-1,5))+1,0,IF(CROQUIS!$C$105=1,-12,2),CROQUIS!$C$107/2+CROQUIS!$C$144,IF(CROQUIS!$C$105=1,-12,2),0)))*CROQUIS!$C$159)+IF(CROQUIS!$C$92="X",0.8,0)),-1000)</f>
        <v>-1000</v>
      </c>
      <c r="BW386">
        <f>IF(AND(CROQUIS!$C$88=1,CROQUIS!$C$91=0,CROQUIS!$C$141&gt;0,OR(CROQUIS!$C$105=1,CROQUIS!$C$146=1)),((CROQUIS!$C$161+(IF(CROQUIS!$C$92="X",CHOOSE(IF(INT(($A386-1)/5)&gt;MAX((MAX(1,INT(((CROQUIS!$C$97)-CROQUIS!$C$107)/MAX((CROQUIS!$C$141*MAX(1,CEILING((INT(((CROQUIS!$C$97)-CROQUIS!$C$107)/MAX(CROQUIS!$C$141,1))+1)/80,1))),1))+1))-1,0),0,MOD($A386-1,5))+1,0,IF(CROQUIS!$C$105=1,-12,2),CROQUIS!$C$107/2+CROQUIS!$C$144,IF(CROQUIS!$C$105=1,-12,2),0),((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ROQUIS!$C$159)+IF(CROQUIS!$C$92="X",0,0.8)),-1000)</f>
        <v>-1000</v>
      </c>
      <c r="BX3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HOOSE(IF(INT(($A386-1)/5)&gt;MAX((MAX(1,INT(((CROQUIS!$C$97)-CROQUIS!$C$107)/MAX((CROQUIS!$C$141*MAX(1,CEILING((INT(((CROQUIS!$C$97)-CROQUIS!$C$107)/MAX(CROQUIS!$C$141,1))+1)/80,1))),1))+1))-1,0),0,MOD($A386-1,5))+1,CROQUIS!$C$98,CROQUIS!$C$98-CROQUIS!$C$107/2-CROQUIS!$C$144,IF(CROQUIS!$C$106=1,CROQUIS!$C$98+12,CROQUIS!$C$98-2),CROQUIS!$C$98-CROQUIS!$C$107/2-CROQUIS!$C$144,CROQUIS!$C$98)))*CROQUIS!$C$159)+IF(CROQUIS!$C$92="X",0.8,0)),-1000)</f>
        <v>-1000</v>
      </c>
      <c r="BY386">
        <f>IF(AND(CROQUIS!$C$88=1,CROQUIS!$C$91=0,CROQUIS!$C$141&gt;0,OR(CROQUIS!$C$106=1,CROQUIS!$C$146=1)),((CROQUIS!$C$161+(IF(CROQUIS!$C$92="X",CHOOSE(IF(INT(($A386-1)/5)&gt;MAX((MAX(1,INT(((CROQUIS!$C$97)-CROQUIS!$C$107)/MAX((CROQUIS!$C$141*MAX(1,CEILING((INT(((CROQUIS!$C$97)-CROQUIS!$C$107)/MAX(CROQUIS!$C$141,1))+1)/80,1))),1))+1))-1,0),0,MOD($A386-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ROQUIS!$C$159)+IF(CROQUIS!$C$92="X",0,0.8)),-1000)</f>
        <v>-1000</v>
      </c>
      <c r="BZ386">
        <f>IF(AND(CROQUIS!$C$88=1,CROQUIS!$C$91=1,CROQUIS!$C$133&gt;0),((CROQUIS!$C$160+(IF(CROQUIS!$C$92="X",CHOOSE(IF(INT(($A386-1)/5)&gt;MAX((MAX(1,INT(((CROQUIS!$C$98)-CROQUIS!$C$107)/MAX((CROQUIS!$C$133*MAX(1,CEILING((INT(((CROQUIS!$C$98)-CROQUIS!$C$107)/MAX(CROQUIS!$C$133,1))+1)/80,1))),1))+1))-1,0),0,MOD($A386-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CA386">
        <f>IF(AND(CROQUIS!$C$88=1,CROQUIS!$C$91=1,CROQUIS!$C$133&gt;0),((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7">
      <c r="A387" t="n">
        <v>380</v>
      </c>
      <c r="BN387">
        <f>IF(AND(CROQUIS!$C$88=1,CROQUIS!$C$129&gt;0),((CROQUIS!$C$160+(IF(CROQUIS!$C$92="X",CHOOSE(IF(INT(($A387-1)/5)&gt;MAX((MAX(1,INT(((CROQUIS!$C$98)-CROQUIS!$C$107)/MAX((CROQUIS!$C$129*MAX(1,CEILING((INT(((CROQUIS!$C$98)-CROQUIS!$C$107)/MAX(CROQUIS!$C$129,1))+1)/80,1))),1))+1))-1,0),0,MOD($A387-1,5))+1,0,2,CROQUIS!$C$97-2,2,0),((CROQUIS!$C$107/2+(((CROQUIS!$C$98)-CROQUIS!$C$107)-(MAX(1,INT(((CROQUIS!$C$98)-CROQUIS!$C$107)/MAX((CROQUIS!$C$129*MAX(1,CEILING((INT(((CROQUIS!$C$98)-CROQUIS!$C$107)/MAX(CROQUIS!$C$129,1))+1)/80,1))),1))+1)-1)*(CROQUIS!$C$129*MAX(1,CEILING((INT(((CROQUIS!$C$98)-CROQUIS!$C$107)/MAX(CROQUIS!$C$129,1))+1)/80,1))))/2)+MIN(INT(($A387-1)/5),MAX((MAX(1,INT(((CROQUIS!$C$98)-CROQUIS!$C$107)/MAX((CROQUIS!$C$129*MAX(1,CEILING((INT(((CROQUIS!$C$98)-CROQUIS!$C$107)/MAX(CROQUIS!$C$129,1))+1)/80,1))),1))+1))-1,0))*(CROQUIS!$C$129*MAX(1,CEILING((INT(((CROQUIS!$C$98)-CROQUIS!$C$107)/MAX(CROQUIS!$C$129,1))+1)/80,1))))))*CROQUIS!$C$159)+IF(CROQUIS!$C$92="X",0,0)),-1000)</f>
        <v>-1000</v>
      </c>
      <c r="BO387">
        <f>IF(AND(CROQUIS!$C$88=1,CROQUIS!$C$129&gt;0),((CROQUIS!$C$161+(IF(CROQUIS!$C$92="X",((CROQUIS!$C$107/2+(((CROQUIS!$C$98)-CROQUIS!$C$107)-(MAX(1,INT(((CROQUIS!$C$98)-CROQUIS!$C$107)/MAX((CROQUIS!$C$129*MAX(1,CEILING((INT(((CROQUIS!$C$98)-CROQUIS!$C$107)/MAX(CROQUIS!$C$129,1))+1)/80,1))),1))+1)-1)*(CROQUIS!$C$129*MAX(1,CEILING((INT(((CROQUIS!$C$98)-CROQUIS!$C$107)/MAX(CROQUIS!$C$129,1))+1)/80,1))))/2)+MIN(INT(($A387-1)/5),MAX((MAX(1,INT(((CROQUIS!$C$98)-CROQUIS!$C$107)/MAX((CROQUIS!$C$129*MAX(1,CEILING((INT(((CROQUIS!$C$98)-CROQUIS!$C$107)/MAX(CROQUIS!$C$129,1))+1)/80,1))),1))+1))-1,0))*(CROQUIS!$C$129*MAX(1,CEILING((INT(((CROQUIS!$C$98)-CROQUIS!$C$107)/MAX(CROQUIS!$C$129,1))+1)/80,1)))),CHOOSE(IF(INT(($A387-1)/5)&gt;MAX((MAX(1,INT(((CROQUIS!$C$98)-CROQUIS!$C$107)/MAX((CROQUIS!$C$129*MAX(1,CEILING((INT(((CROQUIS!$C$98)-CROQUIS!$C$107)/MAX(CROQUIS!$C$129,1))+1)/80,1))),1))+1))-1,0),0,MOD($A387-1,5))+1,0,2,CROQUIS!$C$97-2,2,0)))*CROQUIS!$C$159)+IF(CROQUIS!$C$92="X",0,0)),-1000)</f>
        <v>-1000</v>
      </c>
      <c r="BP387">
        <f>IF(AND(CROQUIS!$C$88=1,CROQUIS!$C$137&gt;0),((CROQUIS!$C$160+(IF(CROQUIS!$C$92="X",((CROQUIS!$C$107/2+(((CROQUIS!$C$97)-CROQUIS!$C$107)-(MAX(1,INT(((CROQUIS!$C$97)-CROQUIS!$C$107)/MAX((CROQUIS!$C$137*MAX(1,CEILING((INT(((CROQUIS!$C$97)-CROQUIS!$C$107)/MAX(CROQUIS!$C$137,1))+1)/80,1))),1))+1)-1)*(CROQUIS!$C$137*MAX(1,CEILING((INT(((CROQUIS!$C$97)-CROQUIS!$C$107)/MAX(CROQUIS!$C$137,1))+1)/80,1))))/2)+MIN(INT(($A387-1)/5),MAX((MAX(1,INT(((CROQUIS!$C$97)-CROQUIS!$C$107)/MAX((CROQUIS!$C$137*MAX(1,CEILING((INT(((CROQUIS!$C$97)-CROQUIS!$C$107)/MAX(CROQUIS!$C$137,1))+1)/80,1))),1))+1))-1,0))*(CROQUIS!$C$137*MAX(1,CEILING((INT(((CROQUIS!$C$97)-CROQUIS!$C$107)/MAX(CROQUIS!$C$137,1))+1)/80,1)))),CHOOSE(IF(INT(($A387-1)/5)&gt;MAX((MAX(1,INT(((CROQUIS!$C$97)-CROQUIS!$C$107)/MAX((CROQUIS!$C$137*MAX(1,CEILING((INT(((CROQUIS!$C$97)-CROQUIS!$C$107)/MAX(CROQUIS!$C$137,1))+1)/80,1))),1))+1))-1,0),0,MOD($A387-1,5))+1,0,2,CROQUIS!$C$98-2,2,0)))*CROQUIS!$C$159)+IF(CROQUIS!$C$92="X",0,0)),-1000)</f>
        <v>-1000</v>
      </c>
      <c r="BQ387">
        <f>IF(AND(CROQUIS!$C$88=1,CROQUIS!$C$137&gt;0),((CROQUIS!$C$161+(IF(CROQUIS!$C$92="X",CHOOSE(IF(INT(($A387-1)/5)&gt;MAX((MAX(1,INT(((CROQUIS!$C$97)-CROQUIS!$C$107)/MAX((CROQUIS!$C$137*MAX(1,CEILING((INT(((CROQUIS!$C$97)-CROQUIS!$C$107)/MAX(CROQUIS!$C$137,1))+1)/80,1))),1))+1))-1,0),0,MOD($A387-1,5))+1,0,2,CROQUIS!$C$98-2,2,0),((CROQUIS!$C$107/2+(((CROQUIS!$C$97)-CROQUIS!$C$107)-(MAX(1,INT(((CROQUIS!$C$97)-CROQUIS!$C$107)/MAX((CROQUIS!$C$137*MAX(1,CEILING((INT(((CROQUIS!$C$97)-CROQUIS!$C$107)/MAX(CROQUIS!$C$137,1))+1)/80,1))),1))+1)-1)*(CROQUIS!$C$137*MAX(1,CEILING((INT(((CROQUIS!$C$97)-CROQUIS!$C$107)/MAX(CROQUIS!$C$137,1))+1)/80,1))))/2)+MIN(INT(($A387-1)/5),MAX((MAX(1,INT(((CROQUIS!$C$97)-CROQUIS!$C$107)/MAX((CROQUIS!$C$137*MAX(1,CEILING((INT(((CROQUIS!$C$97)-CROQUIS!$C$107)/MAX(CROQUIS!$C$137,1))+1)/80,1))),1))+1))-1,0))*(CROQUIS!$C$137*MAX(1,CEILING((INT(((CROQUIS!$C$97)-CROQUIS!$C$107)/MAX(CROQUIS!$C$137,1))+1)/80,1))))))*CROQUIS!$C$159)+IF(CROQUIS!$C$92="X",0,0)),-1000)</f>
        <v>-1000</v>
      </c>
      <c r="BR387">
        <f>IF(AND(CROQUIS!$C$88=1,CROQUIS!$C$91=0,CROQUIS!$C$133&gt;0,OR(CROQUIS!$C$103=1,CROQUIS!$C$145=1)),((CROQUIS!$C$160+(IF(CROQUIS!$C$92="X",CHOOSE(IF(INT(($A387-1)/5)&gt;MAX((MAX(1,INT(((CROQUIS!$C$98)-CROQUIS!$C$107)/MAX((CROQUIS!$C$133*MAX(1,CEILING((INT(((CROQUIS!$C$98)-CROQUIS!$C$107)/MAX(CROQUIS!$C$133,1))+1)/80,1))),1))+1))-1,0),0,MOD($A387-1,5))+1,0,IF(CROQUIS!$C$103=1,-12,2),CROQUIS!$C$107/2+CROQUIS!$C$143,IF(CROQUIS!$C$103=1,-12,2),0),((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BS3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+1,0,IF(CROQUIS!$C$103=1,-12,2),CROQUIS!$C$107/2+CROQUIS!$C$143,IF(CROQUIS!$C$103=1,-12,2),0)))*CROQUIS!$C$159)+IF(CROQUIS!$C$92="X",0.8,0)),-1000)</f>
        <v>-1000</v>
      </c>
      <c r="BT387">
        <f>IF(AND(CROQUIS!$C$88=1,CROQUIS!$C$91=0,CROQUIS!$C$133&gt;0,OR(CROQUIS!$C$104=1,CROQUIS!$C$145=1)),((CROQUIS!$C$160+(IF(CROQUIS!$C$92="X",CHOOSE(IF(INT(($A387-1)/5)&gt;MAX((MAX(1,INT(((CROQUIS!$C$98)-CROQUIS!$C$107)/MAX((CROQUIS!$C$133*MAX(1,CEILING((INT(((CROQUIS!$C$98)-CROQUIS!$C$107)/MAX(CROQUIS!$C$133,1))+1)/80,1))),1))+1))-1,0),0,MOD($A387-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BU3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CROQUIS!$C$97,CROQUIS!$C$97-CROQUIS!$C$107/2-CROQUIS!$C$143,IF(CROQUIS!$C$104=1,CROQUIS!$C$97+12,CROQUIS!$C$97-2),CROQUIS!$C$97-CROQUIS!$C$107/2-CROQUIS!$C$143,CROQUIS!$C$97)))*CROQUIS!$C$159)+IF(CROQUIS!$C$92="X",0.8,0)),-1000)</f>
        <v>-1000</v>
      </c>
      <c r="BV3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HOOSE(IF(INT(($A387-1)/5)&gt;MAX((MAX(1,INT(((CROQUIS!$C$97)-CROQUIS!$C$107)/MAX((CROQUIS!$C$141*MAX(1,CEILING((INT(((CROQUIS!$C$97)-CROQUIS!$C$107)/MAX(CROQUIS!$C$141,1))+1)/80,1))),1))+1))-1,0),0,MOD($A387-1,5))+1,0,IF(CROQUIS!$C$105=1,-12,2),CROQUIS!$C$107/2+CROQUIS!$C$144,IF(CROQUIS!$C$105=1,-12,2),0)))*CROQUIS!$C$159)+IF(CROQUIS!$C$92="X",0.8,0)),-1000)</f>
        <v>-1000</v>
      </c>
      <c r="BW387">
        <f>IF(AND(CROQUIS!$C$88=1,CROQUIS!$C$91=0,CROQUIS!$C$141&gt;0,OR(CROQUIS!$C$105=1,CROQUIS!$C$146=1)),((CROQUIS!$C$161+(IF(CROQUIS!$C$92="X",CHOOSE(IF(INT(($A387-1)/5)&gt;MAX((MAX(1,INT(((CROQUIS!$C$97)-CROQUIS!$C$107)/MAX((CROQUIS!$C$141*MAX(1,CEILING((INT(((CROQUIS!$C$97)-CROQUIS!$C$107)/MAX(CROQUIS!$C$141,1))+1)/80,1))),1))+1))-1,0),0,MOD($A387-1,5))+1,0,IF(CROQUIS!$C$105=1,-12,2),CROQUIS!$C$107/2+CROQUIS!$C$144,IF(CROQUIS!$C$105=1,-12,2),0),((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ROQUIS!$C$159)+IF(CROQUIS!$C$92="X",0,0.8)),-1000)</f>
        <v>-1000</v>
      </c>
      <c r="BX3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HOOSE(IF(INT(($A387-1)/5)&gt;MAX((MAX(1,INT(((CROQUIS!$C$97)-CROQUIS!$C$107)/MAX((CROQUIS!$C$141*MAX(1,CEILING((INT(((CROQUIS!$C$97)-CROQUIS!$C$107)/MAX(CROQUIS!$C$141,1))+1)/80,1))),1))+1))-1,0),0,MOD($A387-1,5))+1,CROQUIS!$C$98,CROQUIS!$C$98-CROQUIS!$C$107/2-CROQUIS!$C$144,IF(CROQUIS!$C$106=1,CROQUIS!$C$98+12,CROQUIS!$C$98-2),CROQUIS!$C$98-CROQUIS!$C$107/2-CROQUIS!$C$144,CROQUIS!$C$98)))*CROQUIS!$C$159)+IF(CROQUIS!$C$92="X",0.8,0)),-1000)</f>
        <v>-1000</v>
      </c>
      <c r="BY387">
        <f>IF(AND(CROQUIS!$C$88=1,CROQUIS!$C$91=0,CROQUIS!$C$141&gt;0,OR(CROQUIS!$C$106=1,CROQUIS!$C$146=1)),((CROQUIS!$C$161+(IF(CROQUIS!$C$92="X",CHOOSE(IF(INT(($A387-1)/5)&gt;MAX((MAX(1,INT(((CROQUIS!$C$97)-CROQUIS!$C$107)/MAX((CROQUIS!$C$141*MAX(1,CEILING((INT(((CROQUIS!$C$97)-CROQUIS!$C$107)/MAX(CROQUIS!$C$141,1))+1)/80,1))),1))+1))-1,0),0,MOD($A387-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ROQUIS!$C$159)+IF(CROQUIS!$C$92="X",0,0.8)),-1000)</f>
        <v>-1000</v>
      </c>
      <c r="BZ387">
        <f>IF(AND(CROQUIS!$C$88=1,CROQUIS!$C$91=1,CROQUIS!$C$133&gt;0),((CROQUIS!$C$160+(IF(CROQUIS!$C$92="X",CHOOSE(IF(INT(($A387-1)/5)&gt;MAX((MAX(1,INT(((CROQUIS!$C$98)-CROQUIS!$C$107)/MAX((CROQUIS!$C$133*MAX(1,CEILING((INT(((CROQUIS!$C$98)-CROQUIS!$C$107)/MAX(CROQUIS!$C$133,1))+1)/80,1))),1))+1))-1,0),0,MOD($A387-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CA387">
        <f>IF(AND(CROQUIS!$C$88=1,CROQUIS!$C$91=1,CROQUIS!$C$133&gt;0),((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8">
      <c r="A388" t="n">
        <v>381</v>
      </c>
      <c r="BN388">
        <f>IF(AND(CROQUIS!$C$88=1,CROQUIS!$C$129&gt;0),((CROQUIS!$C$160+(IF(CROQUIS!$C$92="X",CHOOSE(IF(INT(($A388-1)/5)&gt;MAX((MAX(1,INT(((CROQUIS!$C$98)-CROQUIS!$C$107)/MAX((CROQUIS!$C$129*MAX(1,CEILING((INT(((CROQUIS!$C$98)-CROQUIS!$C$107)/MAX(CROQUIS!$C$129,1))+1)/80,1))),1))+1))-1,0),0,MOD($A388-1,5))+1,0,2,CROQUIS!$C$97-2,2,0),((CROQUIS!$C$107/2+(((CROQUIS!$C$98)-CROQUIS!$C$107)-(MAX(1,INT(((CROQUIS!$C$98)-CROQUIS!$C$107)/MAX((CROQUIS!$C$129*MAX(1,CEILING((INT(((CROQUIS!$C$98)-CROQUIS!$C$107)/MAX(CROQUIS!$C$129,1))+1)/80,1))),1))+1)-1)*(CROQUIS!$C$129*MAX(1,CEILING((INT(((CROQUIS!$C$98)-CROQUIS!$C$107)/MAX(CROQUIS!$C$129,1))+1)/80,1))))/2)+MIN(INT(($A388-1)/5),MAX((MAX(1,INT(((CROQUIS!$C$98)-CROQUIS!$C$107)/MAX((CROQUIS!$C$129*MAX(1,CEILING((INT(((CROQUIS!$C$98)-CROQUIS!$C$107)/MAX(CROQUIS!$C$129,1))+1)/80,1))),1))+1))-1,0))*(CROQUIS!$C$129*MAX(1,CEILING((INT(((CROQUIS!$C$98)-CROQUIS!$C$107)/MAX(CROQUIS!$C$129,1))+1)/80,1))))))*CROQUIS!$C$159)+IF(CROQUIS!$C$92="X",0,0)),-1000)</f>
        <v>-1000</v>
      </c>
      <c r="BO388">
        <f>IF(AND(CROQUIS!$C$88=1,CROQUIS!$C$129&gt;0),((CROQUIS!$C$161+(IF(CROQUIS!$C$92="X",((CROQUIS!$C$107/2+(((CROQUIS!$C$98)-CROQUIS!$C$107)-(MAX(1,INT(((CROQUIS!$C$98)-CROQUIS!$C$107)/MAX((CROQUIS!$C$129*MAX(1,CEILING((INT(((CROQUIS!$C$98)-CROQUIS!$C$107)/MAX(CROQUIS!$C$129,1))+1)/80,1))),1))+1)-1)*(CROQUIS!$C$129*MAX(1,CEILING((INT(((CROQUIS!$C$98)-CROQUIS!$C$107)/MAX(CROQUIS!$C$129,1))+1)/80,1))))/2)+MIN(INT(($A388-1)/5),MAX((MAX(1,INT(((CROQUIS!$C$98)-CROQUIS!$C$107)/MAX((CROQUIS!$C$129*MAX(1,CEILING((INT(((CROQUIS!$C$98)-CROQUIS!$C$107)/MAX(CROQUIS!$C$129,1))+1)/80,1))),1))+1))-1,0))*(CROQUIS!$C$129*MAX(1,CEILING((INT(((CROQUIS!$C$98)-CROQUIS!$C$107)/MAX(CROQUIS!$C$129,1))+1)/80,1)))),CHOOSE(IF(INT(($A388-1)/5)&gt;MAX((MAX(1,INT(((CROQUIS!$C$98)-CROQUIS!$C$107)/MAX((CROQUIS!$C$129*MAX(1,CEILING((INT(((CROQUIS!$C$98)-CROQUIS!$C$107)/MAX(CROQUIS!$C$129,1))+1)/80,1))),1))+1))-1,0),0,MOD($A388-1,5))+1,0,2,CROQUIS!$C$97-2,2,0)))*CROQUIS!$C$159)+IF(CROQUIS!$C$92="X",0,0)),-1000)</f>
        <v>-1000</v>
      </c>
      <c r="BP388">
        <f>IF(AND(CROQUIS!$C$88=1,CROQUIS!$C$137&gt;0),((CROQUIS!$C$160+(IF(CROQUIS!$C$92="X",((CROQUIS!$C$107/2+(((CROQUIS!$C$97)-CROQUIS!$C$107)-(MAX(1,INT(((CROQUIS!$C$97)-CROQUIS!$C$107)/MAX((CROQUIS!$C$137*MAX(1,CEILING((INT(((CROQUIS!$C$97)-CROQUIS!$C$107)/MAX(CROQUIS!$C$137,1))+1)/80,1))),1))+1)-1)*(CROQUIS!$C$137*MAX(1,CEILING((INT(((CROQUIS!$C$97)-CROQUIS!$C$107)/MAX(CROQUIS!$C$137,1))+1)/80,1))))/2)+MIN(INT(($A388-1)/5),MAX((MAX(1,INT(((CROQUIS!$C$97)-CROQUIS!$C$107)/MAX((CROQUIS!$C$137*MAX(1,CEILING((INT(((CROQUIS!$C$97)-CROQUIS!$C$107)/MAX(CROQUIS!$C$137,1))+1)/80,1))),1))+1))-1,0))*(CROQUIS!$C$137*MAX(1,CEILING((INT(((CROQUIS!$C$97)-CROQUIS!$C$107)/MAX(CROQUIS!$C$137,1))+1)/80,1)))),CHOOSE(IF(INT(($A388-1)/5)&gt;MAX((MAX(1,INT(((CROQUIS!$C$97)-CROQUIS!$C$107)/MAX((CROQUIS!$C$137*MAX(1,CEILING((INT(((CROQUIS!$C$97)-CROQUIS!$C$107)/MAX(CROQUIS!$C$137,1))+1)/80,1))),1))+1))-1,0),0,MOD($A388-1,5))+1,0,2,CROQUIS!$C$98-2,2,0)))*CROQUIS!$C$159)+IF(CROQUIS!$C$92="X",0,0)),-1000)</f>
        <v>-1000</v>
      </c>
      <c r="BQ388">
        <f>IF(AND(CROQUIS!$C$88=1,CROQUIS!$C$137&gt;0),((CROQUIS!$C$161+(IF(CROQUIS!$C$92="X",CHOOSE(IF(INT(($A388-1)/5)&gt;MAX((MAX(1,INT(((CROQUIS!$C$97)-CROQUIS!$C$107)/MAX((CROQUIS!$C$137*MAX(1,CEILING((INT(((CROQUIS!$C$97)-CROQUIS!$C$107)/MAX(CROQUIS!$C$137,1))+1)/80,1))),1))+1))-1,0),0,MOD($A388-1,5))+1,0,2,CROQUIS!$C$98-2,2,0),((CROQUIS!$C$107/2+(((CROQUIS!$C$97)-CROQUIS!$C$107)-(MAX(1,INT(((CROQUIS!$C$97)-CROQUIS!$C$107)/MAX((CROQUIS!$C$137*MAX(1,CEILING((INT(((CROQUIS!$C$97)-CROQUIS!$C$107)/MAX(CROQUIS!$C$137,1))+1)/80,1))),1))+1)-1)*(CROQUIS!$C$137*MAX(1,CEILING((INT(((CROQUIS!$C$97)-CROQUIS!$C$107)/MAX(CROQUIS!$C$137,1))+1)/80,1))))/2)+MIN(INT(($A388-1)/5),MAX((MAX(1,INT(((CROQUIS!$C$97)-CROQUIS!$C$107)/MAX((CROQUIS!$C$137*MAX(1,CEILING((INT(((CROQUIS!$C$97)-CROQUIS!$C$107)/MAX(CROQUIS!$C$137,1))+1)/80,1))),1))+1))-1,0))*(CROQUIS!$C$137*MAX(1,CEILING((INT(((CROQUIS!$C$97)-CROQUIS!$C$107)/MAX(CROQUIS!$C$137,1))+1)/80,1))))))*CROQUIS!$C$159)+IF(CROQUIS!$C$92="X",0,0)),-1000)</f>
        <v>-1000</v>
      </c>
      <c r="BR388">
        <f>IF(AND(CROQUIS!$C$88=1,CROQUIS!$C$91=0,CROQUIS!$C$133&gt;0,OR(CROQUIS!$C$103=1,CROQUIS!$C$145=1)),((CROQUIS!$C$160+(IF(CROQUIS!$C$92="X",CHOOSE(IF(INT(($A388-1)/5)&gt;MAX((MAX(1,INT(((CROQUIS!$C$98)-CROQUIS!$C$107)/MAX((CROQUIS!$C$133*MAX(1,CEILING((INT(((CROQUIS!$C$98)-CROQUIS!$C$107)/MAX(CROQUIS!$C$133,1))+1)/80,1))),1))+1))-1,0),0,MOD($A388-1,5))+1,0,IF(CROQUIS!$C$103=1,-12,2),CROQUIS!$C$107/2+CROQUIS!$C$143,IF(CROQUIS!$C$103=1,-12,2),0),((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BS3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+1,0,IF(CROQUIS!$C$103=1,-12,2),CROQUIS!$C$107/2+CROQUIS!$C$143,IF(CROQUIS!$C$103=1,-12,2),0)))*CROQUIS!$C$159)+IF(CROQUIS!$C$92="X",0.8,0)),-1000)</f>
        <v>-1000</v>
      </c>
      <c r="BT388">
        <f>IF(AND(CROQUIS!$C$88=1,CROQUIS!$C$91=0,CROQUIS!$C$133&gt;0,OR(CROQUIS!$C$104=1,CROQUIS!$C$145=1)),((CROQUIS!$C$160+(IF(CROQUIS!$C$92="X",CHOOSE(IF(INT(($A388-1)/5)&gt;MAX((MAX(1,INT(((CROQUIS!$C$98)-CROQUIS!$C$107)/MAX((CROQUIS!$C$133*MAX(1,CEILING((INT(((CROQUIS!$C$98)-CROQUIS!$C$107)/MAX(CROQUIS!$C$133,1))+1)/80,1))),1))+1))-1,0),0,MOD($A388-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BU3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CROQUIS!$C$97,CROQUIS!$C$97-CROQUIS!$C$107/2-CROQUIS!$C$143,IF(CROQUIS!$C$104=1,CROQUIS!$C$97+12,CROQUIS!$C$97-2),CROQUIS!$C$97-CROQUIS!$C$107/2-CROQUIS!$C$143,CROQUIS!$C$97)))*CROQUIS!$C$159)+IF(CROQUIS!$C$92="X",0.8,0)),-1000)</f>
        <v>-1000</v>
      </c>
      <c r="BV3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HOOSE(IF(INT(($A388-1)/5)&gt;MAX((MAX(1,INT(((CROQUIS!$C$97)-CROQUIS!$C$107)/MAX((CROQUIS!$C$141*MAX(1,CEILING((INT(((CROQUIS!$C$97)-CROQUIS!$C$107)/MAX(CROQUIS!$C$141,1))+1)/80,1))),1))+1))-1,0),0,MOD($A388-1,5))+1,0,IF(CROQUIS!$C$105=1,-12,2),CROQUIS!$C$107/2+CROQUIS!$C$144,IF(CROQUIS!$C$105=1,-12,2),0)))*CROQUIS!$C$159)+IF(CROQUIS!$C$92="X",0.8,0)),-1000)</f>
        <v>-1000</v>
      </c>
      <c r="BW388">
        <f>IF(AND(CROQUIS!$C$88=1,CROQUIS!$C$91=0,CROQUIS!$C$141&gt;0,OR(CROQUIS!$C$105=1,CROQUIS!$C$146=1)),((CROQUIS!$C$161+(IF(CROQUIS!$C$92="X",CHOOSE(IF(INT(($A388-1)/5)&gt;MAX((MAX(1,INT(((CROQUIS!$C$97)-CROQUIS!$C$107)/MAX((CROQUIS!$C$141*MAX(1,CEILING((INT(((CROQUIS!$C$97)-CROQUIS!$C$107)/MAX(CROQUIS!$C$141,1))+1)/80,1))),1))+1))-1,0),0,MOD($A388-1,5))+1,0,IF(CROQUIS!$C$105=1,-12,2),CROQUIS!$C$107/2+CROQUIS!$C$144,IF(CROQUIS!$C$105=1,-12,2),0),((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ROQUIS!$C$159)+IF(CROQUIS!$C$92="X",0,0.8)),-1000)</f>
        <v>-1000</v>
      </c>
      <c r="BX3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HOOSE(IF(INT(($A388-1)/5)&gt;MAX((MAX(1,INT(((CROQUIS!$C$97)-CROQUIS!$C$107)/MAX((CROQUIS!$C$141*MAX(1,CEILING((INT(((CROQUIS!$C$97)-CROQUIS!$C$107)/MAX(CROQUIS!$C$141,1))+1)/80,1))),1))+1))-1,0),0,MOD($A388-1,5))+1,CROQUIS!$C$98,CROQUIS!$C$98-CROQUIS!$C$107/2-CROQUIS!$C$144,IF(CROQUIS!$C$106=1,CROQUIS!$C$98+12,CROQUIS!$C$98-2),CROQUIS!$C$98-CROQUIS!$C$107/2-CROQUIS!$C$144,CROQUIS!$C$98)))*CROQUIS!$C$159)+IF(CROQUIS!$C$92="X",0.8,0)),-1000)</f>
        <v>-1000</v>
      </c>
      <c r="BY388">
        <f>IF(AND(CROQUIS!$C$88=1,CROQUIS!$C$91=0,CROQUIS!$C$141&gt;0,OR(CROQUIS!$C$106=1,CROQUIS!$C$146=1)),((CROQUIS!$C$161+(IF(CROQUIS!$C$92="X",CHOOSE(IF(INT(($A388-1)/5)&gt;MAX((MAX(1,INT(((CROQUIS!$C$97)-CROQUIS!$C$107)/MAX((CROQUIS!$C$141*MAX(1,CEILING((INT(((CROQUIS!$C$97)-CROQUIS!$C$107)/MAX(CROQUIS!$C$141,1))+1)/80,1))),1))+1))-1,0),0,MOD($A388-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ROQUIS!$C$159)+IF(CROQUIS!$C$92="X",0,0.8)),-1000)</f>
        <v>-1000</v>
      </c>
      <c r="BZ388">
        <f>IF(AND(CROQUIS!$C$88=1,CROQUIS!$C$91=1,CROQUIS!$C$133&gt;0),((CROQUIS!$C$160+(IF(CROQUIS!$C$92="X",CHOOSE(IF(INT(($A388-1)/5)&gt;MAX((MAX(1,INT(((CROQUIS!$C$98)-CROQUIS!$C$107)/MAX((CROQUIS!$C$133*MAX(1,CEILING((INT(((CROQUIS!$C$98)-CROQUIS!$C$107)/MAX(CROQUIS!$C$133,1))+1)/80,1))),1))+1))-1,0),0,MOD($A388-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CA388">
        <f>IF(AND(CROQUIS!$C$88=1,CROQUIS!$C$91=1,CROQUIS!$C$133&gt;0),((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9">
      <c r="A389" t="n">
        <v>382</v>
      </c>
      <c r="BN389">
        <f>IF(AND(CROQUIS!$C$88=1,CROQUIS!$C$129&gt;0),((CROQUIS!$C$160+(IF(CROQUIS!$C$92="X",CHOOSE(IF(INT(($A389-1)/5)&gt;MAX((MAX(1,INT(((CROQUIS!$C$98)-CROQUIS!$C$107)/MAX((CROQUIS!$C$129*MAX(1,CEILING((INT(((CROQUIS!$C$98)-CROQUIS!$C$107)/MAX(CROQUIS!$C$129,1))+1)/80,1))),1))+1))-1,0),0,MOD($A389-1,5))+1,0,2,CROQUIS!$C$97-2,2,0),((CROQUIS!$C$107/2+(((CROQUIS!$C$98)-CROQUIS!$C$107)-(MAX(1,INT(((CROQUIS!$C$98)-CROQUIS!$C$107)/MAX((CROQUIS!$C$129*MAX(1,CEILING((INT(((CROQUIS!$C$98)-CROQUIS!$C$107)/MAX(CROQUIS!$C$129,1))+1)/80,1))),1))+1)-1)*(CROQUIS!$C$129*MAX(1,CEILING((INT(((CROQUIS!$C$98)-CROQUIS!$C$107)/MAX(CROQUIS!$C$129,1))+1)/80,1))))/2)+MIN(INT(($A389-1)/5),MAX((MAX(1,INT(((CROQUIS!$C$98)-CROQUIS!$C$107)/MAX((CROQUIS!$C$129*MAX(1,CEILING((INT(((CROQUIS!$C$98)-CROQUIS!$C$107)/MAX(CROQUIS!$C$129,1))+1)/80,1))),1))+1))-1,0))*(CROQUIS!$C$129*MAX(1,CEILING((INT(((CROQUIS!$C$98)-CROQUIS!$C$107)/MAX(CROQUIS!$C$129,1))+1)/80,1))))))*CROQUIS!$C$159)+IF(CROQUIS!$C$92="X",0,0)),-1000)</f>
        <v>-1000</v>
      </c>
      <c r="BO389">
        <f>IF(AND(CROQUIS!$C$88=1,CROQUIS!$C$129&gt;0),((CROQUIS!$C$161+(IF(CROQUIS!$C$92="X",((CROQUIS!$C$107/2+(((CROQUIS!$C$98)-CROQUIS!$C$107)-(MAX(1,INT(((CROQUIS!$C$98)-CROQUIS!$C$107)/MAX((CROQUIS!$C$129*MAX(1,CEILING((INT(((CROQUIS!$C$98)-CROQUIS!$C$107)/MAX(CROQUIS!$C$129,1))+1)/80,1))),1))+1)-1)*(CROQUIS!$C$129*MAX(1,CEILING((INT(((CROQUIS!$C$98)-CROQUIS!$C$107)/MAX(CROQUIS!$C$129,1))+1)/80,1))))/2)+MIN(INT(($A389-1)/5),MAX((MAX(1,INT(((CROQUIS!$C$98)-CROQUIS!$C$107)/MAX((CROQUIS!$C$129*MAX(1,CEILING((INT(((CROQUIS!$C$98)-CROQUIS!$C$107)/MAX(CROQUIS!$C$129,1))+1)/80,1))),1))+1))-1,0))*(CROQUIS!$C$129*MAX(1,CEILING((INT(((CROQUIS!$C$98)-CROQUIS!$C$107)/MAX(CROQUIS!$C$129,1))+1)/80,1)))),CHOOSE(IF(INT(($A389-1)/5)&gt;MAX((MAX(1,INT(((CROQUIS!$C$98)-CROQUIS!$C$107)/MAX((CROQUIS!$C$129*MAX(1,CEILING((INT(((CROQUIS!$C$98)-CROQUIS!$C$107)/MAX(CROQUIS!$C$129,1))+1)/80,1))),1))+1))-1,0),0,MOD($A389-1,5))+1,0,2,CROQUIS!$C$97-2,2,0)))*CROQUIS!$C$159)+IF(CROQUIS!$C$92="X",0,0)),-1000)</f>
        <v>-1000</v>
      </c>
      <c r="BP389">
        <f>IF(AND(CROQUIS!$C$88=1,CROQUIS!$C$137&gt;0),((CROQUIS!$C$160+(IF(CROQUIS!$C$92="X",((CROQUIS!$C$107/2+(((CROQUIS!$C$97)-CROQUIS!$C$107)-(MAX(1,INT(((CROQUIS!$C$97)-CROQUIS!$C$107)/MAX((CROQUIS!$C$137*MAX(1,CEILING((INT(((CROQUIS!$C$97)-CROQUIS!$C$107)/MAX(CROQUIS!$C$137,1))+1)/80,1))),1))+1)-1)*(CROQUIS!$C$137*MAX(1,CEILING((INT(((CROQUIS!$C$97)-CROQUIS!$C$107)/MAX(CROQUIS!$C$137,1))+1)/80,1))))/2)+MIN(INT(($A389-1)/5),MAX((MAX(1,INT(((CROQUIS!$C$97)-CROQUIS!$C$107)/MAX((CROQUIS!$C$137*MAX(1,CEILING((INT(((CROQUIS!$C$97)-CROQUIS!$C$107)/MAX(CROQUIS!$C$137,1))+1)/80,1))),1))+1))-1,0))*(CROQUIS!$C$137*MAX(1,CEILING((INT(((CROQUIS!$C$97)-CROQUIS!$C$107)/MAX(CROQUIS!$C$137,1))+1)/80,1)))),CHOOSE(IF(INT(($A389-1)/5)&gt;MAX((MAX(1,INT(((CROQUIS!$C$97)-CROQUIS!$C$107)/MAX((CROQUIS!$C$137*MAX(1,CEILING((INT(((CROQUIS!$C$97)-CROQUIS!$C$107)/MAX(CROQUIS!$C$137,1))+1)/80,1))),1))+1))-1,0),0,MOD($A389-1,5))+1,0,2,CROQUIS!$C$98-2,2,0)))*CROQUIS!$C$159)+IF(CROQUIS!$C$92="X",0,0)),-1000)</f>
        <v>-1000</v>
      </c>
      <c r="BQ389">
        <f>IF(AND(CROQUIS!$C$88=1,CROQUIS!$C$137&gt;0),((CROQUIS!$C$161+(IF(CROQUIS!$C$92="X",CHOOSE(IF(INT(($A389-1)/5)&gt;MAX((MAX(1,INT(((CROQUIS!$C$97)-CROQUIS!$C$107)/MAX((CROQUIS!$C$137*MAX(1,CEILING((INT(((CROQUIS!$C$97)-CROQUIS!$C$107)/MAX(CROQUIS!$C$137,1))+1)/80,1))),1))+1))-1,0),0,MOD($A389-1,5))+1,0,2,CROQUIS!$C$98-2,2,0),((CROQUIS!$C$107/2+(((CROQUIS!$C$97)-CROQUIS!$C$107)-(MAX(1,INT(((CROQUIS!$C$97)-CROQUIS!$C$107)/MAX((CROQUIS!$C$137*MAX(1,CEILING((INT(((CROQUIS!$C$97)-CROQUIS!$C$107)/MAX(CROQUIS!$C$137,1))+1)/80,1))),1))+1)-1)*(CROQUIS!$C$137*MAX(1,CEILING((INT(((CROQUIS!$C$97)-CROQUIS!$C$107)/MAX(CROQUIS!$C$137,1))+1)/80,1))))/2)+MIN(INT(($A389-1)/5),MAX((MAX(1,INT(((CROQUIS!$C$97)-CROQUIS!$C$107)/MAX((CROQUIS!$C$137*MAX(1,CEILING((INT(((CROQUIS!$C$97)-CROQUIS!$C$107)/MAX(CROQUIS!$C$137,1))+1)/80,1))),1))+1))-1,0))*(CROQUIS!$C$137*MAX(1,CEILING((INT(((CROQUIS!$C$97)-CROQUIS!$C$107)/MAX(CROQUIS!$C$137,1))+1)/80,1))))))*CROQUIS!$C$159)+IF(CROQUIS!$C$92="X",0,0)),-1000)</f>
        <v>-1000</v>
      </c>
      <c r="BR389">
        <f>IF(AND(CROQUIS!$C$88=1,CROQUIS!$C$91=0,CROQUIS!$C$133&gt;0,OR(CROQUIS!$C$103=1,CROQUIS!$C$145=1)),((CROQUIS!$C$160+(IF(CROQUIS!$C$92="X",CHOOSE(IF(INT(($A389-1)/5)&gt;MAX((MAX(1,INT(((CROQUIS!$C$98)-CROQUIS!$C$107)/MAX((CROQUIS!$C$133*MAX(1,CEILING((INT(((CROQUIS!$C$98)-CROQUIS!$C$107)/MAX(CROQUIS!$C$133,1))+1)/80,1))),1))+1))-1,0),0,MOD($A389-1,5))+1,0,IF(CROQUIS!$C$103=1,-12,2),CROQUIS!$C$107/2+CROQUIS!$C$143,IF(CROQUIS!$C$103=1,-12,2),0),((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BS3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+1,0,IF(CROQUIS!$C$103=1,-12,2),CROQUIS!$C$107/2+CROQUIS!$C$143,IF(CROQUIS!$C$103=1,-12,2),0)))*CROQUIS!$C$159)+IF(CROQUIS!$C$92="X",0.8,0)),-1000)</f>
        <v>-1000</v>
      </c>
      <c r="BT389">
        <f>IF(AND(CROQUIS!$C$88=1,CROQUIS!$C$91=0,CROQUIS!$C$133&gt;0,OR(CROQUIS!$C$104=1,CROQUIS!$C$145=1)),((CROQUIS!$C$160+(IF(CROQUIS!$C$92="X",CHOOSE(IF(INT(($A389-1)/5)&gt;MAX((MAX(1,INT(((CROQUIS!$C$98)-CROQUIS!$C$107)/MAX((CROQUIS!$C$133*MAX(1,CEILING((INT(((CROQUIS!$C$98)-CROQUIS!$C$107)/MAX(CROQUIS!$C$133,1))+1)/80,1))),1))+1))-1,0),0,MOD($A389-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BU3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CROQUIS!$C$97,CROQUIS!$C$97-CROQUIS!$C$107/2-CROQUIS!$C$143,IF(CROQUIS!$C$104=1,CROQUIS!$C$97+12,CROQUIS!$C$97-2),CROQUIS!$C$97-CROQUIS!$C$107/2-CROQUIS!$C$143,CROQUIS!$C$97)))*CROQUIS!$C$159)+IF(CROQUIS!$C$92="X",0.8,0)),-1000)</f>
        <v>-1000</v>
      </c>
      <c r="BV3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HOOSE(IF(INT(($A389-1)/5)&gt;MAX((MAX(1,INT(((CROQUIS!$C$97)-CROQUIS!$C$107)/MAX((CROQUIS!$C$141*MAX(1,CEILING((INT(((CROQUIS!$C$97)-CROQUIS!$C$107)/MAX(CROQUIS!$C$141,1))+1)/80,1))),1))+1))-1,0),0,MOD($A389-1,5))+1,0,IF(CROQUIS!$C$105=1,-12,2),CROQUIS!$C$107/2+CROQUIS!$C$144,IF(CROQUIS!$C$105=1,-12,2),0)))*CROQUIS!$C$159)+IF(CROQUIS!$C$92="X",0.8,0)),-1000)</f>
        <v>-1000</v>
      </c>
      <c r="BW389">
        <f>IF(AND(CROQUIS!$C$88=1,CROQUIS!$C$91=0,CROQUIS!$C$141&gt;0,OR(CROQUIS!$C$105=1,CROQUIS!$C$146=1)),((CROQUIS!$C$161+(IF(CROQUIS!$C$92="X",CHOOSE(IF(INT(($A389-1)/5)&gt;MAX((MAX(1,INT(((CROQUIS!$C$97)-CROQUIS!$C$107)/MAX((CROQUIS!$C$141*MAX(1,CEILING((INT(((CROQUIS!$C$97)-CROQUIS!$C$107)/MAX(CROQUIS!$C$141,1))+1)/80,1))),1))+1))-1,0),0,MOD($A389-1,5))+1,0,IF(CROQUIS!$C$105=1,-12,2),CROQUIS!$C$107/2+CROQUIS!$C$144,IF(CROQUIS!$C$105=1,-12,2),0),((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ROQUIS!$C$159)+IF(CROQUIS!$C$92="X",0,0.8)),-1000)</f>
        <v>-1000</v>
      </c>
      <c r="BX3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HOOSE(IF(INT(($A389-1)/5)&gt;MAX((MAX(1,INT(((CROQUIS!$C$97)-CROQUIS!$C$107)/MAX((CROQUIS!$C$141*MAX(1,CEILING((INT(((CROQUIS!$C$97)-CROQUIS!$C$107)/MAX(CROQUIS!$C$141,1))+1)/80,1))),1))+1))-1,0),0,MOD($A389-1,5))+1,CROQUIS!$C$98,CROQUIS!$C$98-CROQUIS!$C$107/2-CROQUIS!$C$144,IF(CROQUIS!$C$106=1,CROQUIS!$C$98+12,CROQUIS!$C$98-2),CROQUIS!$C$98-CROQUIS!$C$107/2-CROQUIS!$C$144,CROQUIS!$C$98)))*CROQUIS!$C$159)+IF(CROQUIS!$C$92="X",0.8,0)),-1000)</f>
        <v>-1000</v>
      </c>
      <c r="BY389">
        <f>IF(AND(CROQUIS!$C$88=1,CROQUIS!$C$91=0,CROQUIS!$C$141&gt;0,OR(CROQUIS!$C$106=1,CROQUIS!$C$146=1)),((CROQUIS!$C$161+(IF(CROQUIS!$C$92="X",CHOOSE(IF(INT(($A389-1)/5)&gt;MAX((MAX(1,INT(((CROQUIS!$C$97)-CROQUIS!$C$107)/MAX((CROQUIS!$C$141*MAX(1,CEILING((INT(((CROQUIS!$C$97)-CROQUIS!$C$107)/MAX(CROQUIS!$C$141,1))+1)/80,1))),1))+1))-1,0),0,MOD($A389-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ROQUIS!$C$159)+IF(CROQUIS!$C$92="X",0,0.8)),-1000)</f>
        <v>-1000</v>
      </c>
      <c r="BZ389">
        <f>IF(AND(CROQUIS!$C$88=1,CROQUIS!$C$91=1,CROQUIS!$C$133&gt;0),((CROQUIS!$C$160+(IF(CROQUIS!$C$92="X",CHOOSE(IF(INT(($A389-1)/5)&gt;MAX((MAX(1,INT(((CROQUIS!$C$98)-CROQUIS!$C$107)/MAX((CROQUIS!$C$133*MAX(1,CEILING((INT(((CROQUIS!$C$98)-CROQUIS!$C$107)/MAX(CROQUIS!$C$133,1))+1)/80,1))),1))+1))-1,0),0,MOD($A389-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CA389">
        <f>IF(AND(CROQUIS!$C$88=1,CROQUIS!$C$91=1,CROQUIS!$C$133&gt;0),((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0">
      <c r="A390" t="n">
        <v>383</v>
      </c>
      <c r="BN390">
        <f>IF(AND(CROQUIS!$C$88=1,CROQUIS!$C$129&gt;0),((CROQUIS!$C$160+(IF(CROQUIS!$C$92="X",CHOOSE(IF(INT(($A390-1)/5)&gt;MAX((MAX(1,INT(((CROQUIS!$C$98)-CROQUIS!$C$107)/MAX((CROQUIS!$C$129*MAX(1,CEILING((INT(((CROQUIS!$C$98)-CROQUIS!$C$107)/MAX(CROQUIS!$C$129,1))+1)/80,1))),1))+1))-1,0),0,MOD($A390-1,5))+1,0,2,CROQUIS!$C$97-2,2,0),((CROQUIS!$C$107/2+(((CROQUIS!$C$98)-CROQUIS!$C$107)-(MAX(1,INT(((CROQUIS!$C$98)-CROQUIS!$C$107)/MAX((CROQUIS!$C$129*MAX(1,CEILING((INT(((CROQUIS!$C$98)-CROQUIS!$C$107)/MAX(CROQUIS!$C$129,1))+1)/80,1))),1))+1)-1)*(CROQUIS!$C$129*MAX(1,CEILING((INT(((CROQUIS!$C$98)-CROQUIS!$C$107)/MAX(CROQUIS!$C$129,1))+1)/80,1))))/2)+MIN(INT(($A390-1)/5),MAX((MAX(1,INT(((CROQUIS!$C$98)-CROQUIS!$C$107)/MAX((CROQUIS!$C$129*MAX(1,CEILING((INT(((CROQUIS!$C$98)-CROQUIS!$C$107)/MAX(CROQUIS!$C$129,1))+1)/80,1))),1))+1))-1,0))*(CROQUIS!$C$129*MAX(1,CEILING((INT(((CROQUIS!$C$98)-CROQUIS!$C$107)/MAX(CROQUIS!$C$129,1))+1)/80,1))))))*CROQUIS!$C$159)+IF(CROQUIS!$C$92="X",0,0)),-1000)</f>
        <v>-1000</v>
      </c>
      <c r="BO390">
        <f>IF(AND(CROQUIS!$C$88=1,CROQUIS!$C$129&gt;0),((CROQUIS!$C$161+(IF(CROQUIS!$C$92="X",((CROQUIS!$C$107/2+(((CROQUIS!$C$98)-CROQUIS!$C$107)-(MAX(1,INT(((CROQUIS!$C$98)-CROQUIS!$C$107)/MAX((CROQUIS!$C$129*MAX(1,CEILING((INT(((CROQUIS!$C$98)-CROQUIS!$C$107)/MAX(CROQUIS!$C$129,1))+1)/80,1))),1))+1)-1)*(CROQUIS!$C$129*MAX(1,CEILING((INT(((CROQUIS!$C$98)-CROQUIS!$C$107)/MAX(CROQUIS!$C$129,1))+1)/80,1))))/2)+MIN(INT(($A390-1)/5),MAX((MAX(1,INT(((CROQUIS!$C$98)-CROQUIS!$C$107)/MAX((CROQUIS!$C$129*MAX(1,CEILING((INT(((CROQUIS!$C$98)-CROQUIS!$C$107)/MAX(CROQUIS!$C$129,1))+1)/80,1))),1))+1))-1,0))*(CROQUIS!$C$129*MAX(1,CEILING((INT(((CROQUIS!$C$98)-CROQUIS!$C$107)/MAX(CROQUIS!$C$129,1))+1)/80,1)))),CHOOSE(IF(INT(($A390-1)/5)&gt;MAX((MAX(1,INT(((CROQUIS!$C$98)-CROQUIS!$C$107)/MAX((CROQUIS!$C$129*MAX(1,CEILING((INT(((CROQUIS!$C$98)-CROQUIS!$C$107)/MAX(CROQUIS!$C$129,1))+1)/80,1))),1))+1))-1,0),0,MOD($A390-1,5))+1,0,2,CROQUIS!$C$97-2,2,0)))*CROQUIS!$C$159)+IF(CROQUIS!$C$92="X",0,0)),-1000)</f>
        <v>-1000</v>
      </c>
      <c r="BP390">
        <f>IF(AND(CROQUIS!$C$88=1,CROQUIS!$C$137&gt;0),((CROQUIS!$C$160+(IF(CROQUIS!$C$92="X",((CROQUIS!$C$107/2+(((CROQUIS!$C$97)-CROQUIS!$C$107)-(MAX(1,INT(((CROQUIS!$C$97)-CROQUIS!$C$107)/MAX((CROQUIS!$C$137*MAX(1,CEILING((INT(((CROQUIS!$C$97)-CROQUIS!$C$107)/MAX(CROQUIS!$C$137,1))+1)/80,1))),1))+1)-1)*(CROQUIS!$C$137*MAX(1,CEILING((INT(((CROQUIS!$C$97)-CROQUIS!$C$107)/MAX(CROQUIS!$C$137,1))+1)/80,1))))/2)+MIN(INT(($A390-1)/5),MAX((MAX(1,INT(((CROQUIS!$C$97)-CROQUIS!$C$107)/MAX((CROQUIS!$C$137*MAX(1,CEILING((INT(((CROQUIS!$C$97)-CROQUIS!$C$107)/MAX(CROQUIS!$C$137,1))+1)/80,1))),1))+1))-1,0))*(CROQUIS!$C$137*MAX(1,CEILING((INT(((CROQUIS!$C$97)-CROQUIS!$C$107)/MAX(CROQUIS!$C$137,1))+1)/80,1)))),CHOOSE(IF(INT(($A390-1)/5)&gt;MAX((MAX(1,INT(((CROQUIS!$C$97)-CROQUIS!$C$107)/MAX((CROQUIS!$C$137*MAX(1,CEILING((INT(((CROQUIS!$C$97)-CROQUIS!$C$107)/MAX(CROQUIS!$C$137,1))+1)/80,1))),1))+1))-1,0),0,MOD($A390-1,5))+1,0,2,CROQUIS!$C$98-2,2,0)))*CROQUIS!$C$159)+IF(CROQUIS!$C$92="X",0,0)),-1000)</f>
        <v>-1000</v>
      </c>
      <c r="BQ390">
        <f>IF(AND(CROQUIS!$C$88=1,CROQUIS!$C$137&gt;0),((CROQUIS!$C$161+(IF(CROQUIS!$C$92="X",CHOOSE(IF(INT(($A390-1)/5)&gt;MAX((MAX(1,INT(((CROQUIS!$C$97)-CROQUIS!$C$107)/MAX((CROQUIS!$C$137*MAX(1,CEILING((INT(((CROQUIS!$C$97)-CROQUIS!$C$107)/MAX(CROQUIS!$C$137,1))+1)/80,1))),1))+1))-1,0),0,MOD($A390-1,5))+1,0,2,CROQUIS!$C$98-2,2,0),((CROQUIS!$C$107/2+(((CROQUIS!$C$97)-CROQUIS!$C$107)-(MAX(1,INT(((CROQUIS!$C$97)-CROQUIS!$C$107)/MAX((CROQUIS!$C$137*MAX(1,CEILING((INT(((CROQUIS!$C$97)-CROQUIS!$C$107)/MAX(CROQUIS!$C$137,1))+1)/80,1))),1))+1)-1)*(CROQUIS!$C$137*MAX(1,CEILING((INT(((CROQUIS!$C$97)-CROQUIS!$C$107)/MAX(CROQUIS!$C$137,1))+1)/80,1))))/2)+MIN(INT(($A390-1)/5),MAX((MAX(1,INT(((CROQUIS!$C$97)-CROQUIS!$C$107)/MAX((CROQUIS!$C$137*MAX(1,CEILING((INT(((CROQUIS!$C$97)-CROQUIS!$C$107)/MAX(CROQUIS!$C$137,1))+1)/80,1))),1))+1))-1,0))*(CROQUIS!$C$137*MAX(1,CEILING((INT(((CROQUIS!$C$97)-CROQUIS!$C$107)/MAX(CROQUIS!$C$137,1))+1)/80,1))))))*CROQUIS!$C$159)+IF(CROQUIS!$C$92="X",0,0)),-1000)</f>
        <v>-1000</v>
      </c>
      <c r="BR390">
        <f>IF(AND(CROQUIS!$C$88=1,CROQUIS!$C$91=0,CROQUIS!$C$133&gt;0,OR(CROQUIS!$C$103=1,CROQUIS!$C$145=1)),((CROQUIS!$C$160+(IF(CROQUIS!$C$92="X",CHOOSE(IF(INT(($A390-1)/5)&gt;MAX((MAX(1,INT(((CROQUIS!$C$98)-CROQUIS!$C$107)/MAX((CROQUIS!$C$133*MAX(1,CEILING((INT(((CROQUIS!$C$98)-CROQUIS!$C$107)/MAX(CROQUIS!$C$133,1))+1)/80,1))),1))+1))-1,0),0,MOD($A390-1,5))+1,0,IF(CROQUIS!$C$103=1,-12,2),CROQUIS!$C$107/2+CROQUIS!$C$143,IF(CROQUIS!$C$103=1,-12,2),0),((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BS3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+1,0,IF(CROQUIS!$C$103=1,-12,2),CROQUIS!$C$107/2+CROQUIS!$C$143,IF(CROQUIS!$C$103=1,-12,2),0)))*CROQUIS!$C$159)+IF(CROQUIS!$C$92="X",0.8,0)),-1000)</f>
        <v>-1000</v>
      </c>
      <c r="BT390">
        <f>IF(AND(CROQUIS!$C$88=1,CROQUIS!$C$91=0,CROQUIS!$C$133&gt;0,OR(CROQUIS!$C$104=1,CROQUIS!$C$145=1)),((CROQUIS!$C$160+(IF(CROQUIS!$C$92="X",CHOOSE(IF(INT(($A390-1)/5)&gt;MAX((MAX(1,INT(((CROQUIS!$C$98)-CROQUIS!$C$107)/MAX((CROQUIS!$C$133*MAX(1,CEILING((INT(((CROQUIS!$C$98)-CROQUIS!$C$107)/MAX(CROQUIS!$C$133,1))+1)/80,1))),1))+1))-1,0),0,MOD($A390-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BU3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CROQUIS!$C$97,CROQUIS!$C$97-CROQUIS!$C$107/2-CROQUIS!$C$143,IF(CROQUIS!$C$104=1,CROQUIS!$C$97+12,CROQUIS!$C$97-2),CROQUIS!$C$97-CROQUIS!$C$107/2-CROQUIS!$C$143,CROQUIS!$C$97)))*CROQUIS!$C$159)+IF(CROQUIS!$C$92="X",0.8,0)),-1000)</f>
        <v>-1000</v>
      </c>
      <c r="BV3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HOOSE(IF(INT(($A390-1)/5)&gt;MAX((MAX(1,INT(((CROQUIS!$C$97)-CROQUIS!$C$107)/MAX((CROQUIS!$C$141*MAX(1,CEILING((INT(((CROQUIS!$C$97)-CROQUIS!$C$107)/MAX(CROQUIS!$C$141,1))+1)/80,1))),1))+1))-1,0),0,MOD($A390-1,5))+1,0,IF(CROQUIS!$C$105=1,-12,2),CROQUIS!$C$107/2+CROQUIS!$C$144,IF(CROQUIS!$C$105=1,-12,2),0)))*CROQUIS!$C$159)+IF(CROQUIS!$C$92="X",0.8,0)),-1000)</f>
        <v>-1000</v>
      </c>
      <c r="BW390">
        <f>IF(AND(CROQUIS!$C$88=1,CROQUIS!$C$91=0,CROQUIS!$C$141&gt;0,OR(CROQUIS!$C$105=1,CROQUIS!$C$146=1)),((CROQUIS!$C$161+(IF(CROQUIS!$C$92="X",CHOOSE(IF(INT(($A390-1)/5)&gt;MAX((MAX(1,INT(((CROQUIS!$C$97)-CROQUIS!$C$107)/MAX((CROQUIS!$C$141*MAX(1,CEILING((INT(((CROQUIS!$C$97)-CROQUIS!$C$107)/MAX(CROQUIS!$C$141,1))+1)/80,1))),1))+1))-1,0),0,MOD($A390-1,5))+1,0,IF(CROQUIS!$C$105=1,-12,2),CROQUIS!$C$107/2+CROQUIS!$C$144,IF(CROQUIS!$C$105=1,-12,2),0),((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ROQUIS!$C$159)+IF(CROQUIS!$C$92="X",0,0.8)),-1000)</f>
        <v>-1000</v>
      </c>
      <c r="BX3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HOOSE(IF(INT(($A390-1)/5)&gt;MAX((MAX(1,INT(((CROQUIS!$C$97)-CROQUIS!$C$107)/MAX((CROQUIS!$C$141*MAX(1,CEILING((INT(((CROQUIS!$C$97)-CROQUIS!$C$107)/MAX(CROQUIS!$C$141,1))+1)/80,1))),1))+1))-1,0),0,MOD($A390-1,5))+1,CROQUIS!$C$98,CROQUIS!$C$98-CROQUIS!$C$107/2-CROQUIS!$C$144,IF(CROQUIS!$C$106=1,CROQUIS!$C$98+12,CROQUIS!$C$98-2),CROQUIS!$C$98-CROQUIS!$C$107/2-CROQUIS!$C$144,CROQUIS!$C$98)))*CROQUIS!$C$159)+IF(CROQUIS!$C$92="X",0.8,0)),-1000)</f>
        <v>-1000</v>
      </c>
      <c r="BY390">
        <f>IF(AND(CROQUIS!$C$88=1,CROQUIS!$C$91=0,CROQUIS!$C$141&gt;0,OR(CROQUIS!$C$106=1,CROQUIS!$C$146=1)),((CROQUIS!$C$161+(IF(CROQUIS!$C$92="X",CHOOSE(IF(INT(($A390-1)/5)&gt;MAX((MAX(1,INT(((CROQUIS!$C$97)-CROQUIS!$C$107)/MAX((CROQUIS!$C$141*MAX(1,CEILING((INT(((CROQUIS!$C$97)-CROQUIS!$C$107)/MAX(CROQUIS!$C$141,1))+1)/80,1))),1))+1))-1,0),0,MOD($A390-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ROQUIS!$C$159)+IF(CROQUIS!$C$92="X",0,0.8)),-1000)</f>
        <v>-1000</v>
      </c>
      <c r="BZ390">
        <f>IF(AND(CROQUIS!$C$88=1,CROQUIS!$C$91=1,CROQUIS!$C$133&gt;0),((CROQUIS!$C$160+(IF(CROQUIS!$C$92="X",CHOOSE(IF(INT(($A390-1)/5)&gt;MAX((MAX(1,INT(((CROQUIS!$C$98)-CROQUIS!$C$107)/MAX((CROQUIS!$C$133*MAX(1,CEILING((INT(((CROQUIS!$C$98)-CROQUIS!$C$107)/MAX(CROQUIS!$C$133,1))+1)/80,1))),1))+1))-1,0),0,MOD($A390-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CA390">
        <f>IF(AND(CROQUIS!$C$88=1,CROQUIS!$C$91=1,CROQUIS!$C$133&gt;0),((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1">
      <c r="A391" t="n">
        <v>384</v>
      </c>
      <c r="BN391">
        <f>IF(AND(CROQUIS!$C$88=1,CROQUIS!$C$129&gt;0),((CROQUIS!$C$160+(IF(CROQUIS!$C$92="X",CHOOSE(IF(INT(($A391-1)/5)&gt;MAX((MAX(1,INT(((CROQUIS!$C$98)-CROQUIS!$C$107)/MAX((CROQUIS!$C$129*MAX(1,CEILING((INT(((CROQUIS!$C$98)-CROQUIS!$C$107)/MAX(CROQUIS!$C$129,1))+1)/80,1))),1))+1))-1,0),0,MOD($A391-1,5))+1,0,2,CROQUIS!$C$97-2,2,0),((CROQUIS!$C$107/2+(((CROQUIS!$C$98)-CROQUIS!$C$107)-(MAX(1,INT(((CROQUIS!$C$98)-CROQUIS!$C$107)/MAX((CROQUIS!$C$129*MAX(1,CEILING((INT(((CROQUIS!$C$98)-CROQUIS!$C$107)/MAX(CROQUIS!$C$129,1))+1)/80,1))),1))+1)-1)*(CROQUIS!$C$129*MAX(1,CEILING((INT(((CROQUIS!$C$98)-CROQUIS!$C$107)/MAX(CROQUIS!$C$129,1))+1)/80,1))))/2)+MIN(INT(($A391-1)/5),MAX((MAX(1,INT(((CROQUIS!$C$98)-CROQUIS!$C$107)/MAX((CROQUIS!$C$129*MAX(1,CEILING((INT(((CROQUIS!$C$98)-CROQUIS!$C$107)/MAX(CROQUIS!$C$129,1))+1)/80,1))),1))+1))-1,0))*(CROQUIS!$C$129*MAX(1,CEILING((INT(((CROQUIS!$C$98)-CROQUIS!$C$107)/MAX(CROQUIS!$C$129,1))+1)/80,1))))))*CROQUIS!$C$159)+IF(CROQUIS!$C$92="X",0,0)),-1000)</f>
        <v>-1000</v>
      </c>
      <c r="BO391">
        <f>IF(AND(CROQUIS!$C$88=1,CROQUIS!$C$129&gt;0),((CROQUIS!$C$161+(IF(CROQUIS!$C$92="X",((CROQUIS!$C$107/2+(((CROQUIS!$C$98)-CROQUIS!$C$107)-(MAX(1,INT(((CROQUIS!$C$98)-CROQUIS!$C$107)/MAX((CROQUIS!$C$129*MAX(1,CEILING((INT(((CROQUIS!$C$98)-CROQUIS!$C$107)/MAX(CROQUIS!$C$129,1))+1)/80,1))),1))+1)-1)*(CROQUIS!$C$129*MAX(1,CEILING((INT(((CROQUIS!$C$98)-CROQUIS!$C$107)/MAX(CROQUIS!$C$129,1))+1)/80,1))))/2)+MIN(INT(($A391-1)/5),MAX((MAX(1,INT(((CROQUIS!$C$98)-CROQUIS!$C$107)/MAX((CROQUIS!$C$129*MAX(1,CEILING((INT(((CROQUIS!$C$98)-CROQUIS!$C$107)/MAX(CROQUIS!$C$129,1))+1)/80,1))),1))+1))-1,0))*(CROQUIS!$C$129*MAX(1,CEILING((INT(((CROQUIS!$C$98)-CROQUIS!$C$107)/MAX(CROQUIS!$C$129,1))+1)/80,1)))),CHOOSE(IF(INT(($A391-1)/5)&gt;MAX((MAX(1,INT(((CROQUIS!$C$98)-CROQUIS!$C$107)/MAX((CROQUIS!$C$129*MAX(1,CEILING((INT(((CROQUIS!$C$98)-CROQUIS!$C$107)/MAX(CROQUIS!$C$129,1))+1)/80,1))),1))+1))-1,0),0,MOD($A391-1,5))+1,0,2,CROQUIS!$C$97-2,2,0)))*CROQUIS!$C$159)+IF(CROQUIS!$C$92="X",0,0)),-1000)</f>
        <v>-1000</v>
      </c>
      <c r="BP391">
        <f>IF(AND(CROQUIS!$C$88=1,CROQUIS!$C$137&gt;0),((CROQUIS!$C$160+(IF(CROQUIS!$C$92="X",((CROQUIS!$C$107/2+(((CROQUIS!$C$97)-CROQUIS!$C$107)-(MAX(1,INT(((CROQUIS!$C$97)-CROQUIS!$C$107)/MAX((CROQUIS!$C$137*MAX(1,CEILING((INT(((CROQUIS!$C$97)-CROQUIS!$C$107)/MAX(CROQUIS!$C$137,1))+1)/80,1))),1))+1)-1)*(CROQUIS!$C$137*MAX(1,CEILING((INT(((CROQUIS!$C$97)-CROQUIS!$C$107)/MAX(CROQUIS!$C$137,1))+1)/80,1))))/2)+MIN(INT(($A391-1)/5),MAX((MAX(1,INT(((CROQUIS!$C$97)-CROQUIS!$C$107)/MAX((CROQUIS!$C$137*MAX(1,CEILING((INT(((CROQUIS!$C$97)-CROQUIS!$C$107)/MAX(CROQUIS!$C$137,1))+1)/80,1))),1))+1))-1,0))*(CROQUIS!$C$137*MAX(1,CEILING((INT(((CROQUIS!$C$97)-CROQUIS!$C$107)/MAX(CROQUIS!$C$137,1))+1)/80,1)))),CHOOSE(IF(INT(($A391-1)/5)&gt;MAX((MAX(1,INT(((CROQUIS!$C$97)-CROQUIS!$C$107)/MAX((CROQUIS!$C$137*MAX(1,CEILING((INT(((CROQUIS!$C$97)-CROQUIS!$C$107)/MAX(CROQUIS!$C$137,1))+1)/80,1))),1))+1))-1,0),0,MOD($A391-1,5))+1,0,2,CROQUIS!$C$98-2,2,0)))*CROQUIS!$C$159)+IF(CROQUIS!$C$92="X",0,0)),-1000)</f>
        <v>-1000</v>
      </c>
      <c r="BQ391">
        <f>IF(AND(CROQUIS!$C$88=1,CROQUIS!$C$137&gt;0),((CROQUIS!$C$161+(IF(CROQUIS!$C$92="X",CHOOSE(IF(INT(($A391-1)/5)&gt;MAX((MAX(1,INT(((CROQUIS!$C$97)-CROQUIS!$C$107)/MAX((CROQUIS!$C$137*MAX(1,CEILING((INT(((CROQUIS!$C$97)-CROQUIS!$C$107)/MAX(CROQUIS!$C$137,1))+1)/80,1))),1))+1))-1,0),0,MOD($A391-1,5))+1,0,2,CROQUIS!$C$98-2,2,0),((CROQUIS!$C$107/2+(((CROQUIS!$C$97)-CROQUIS!$C$107)-(MAX(1,INT(((CROQUIS!$C$97)-CROQUIS!$C$107)/MAX((CROQUIS!$C$137*MAX(1,CEILING((INT(((CROQUIS!$C$97)-CROQUIS!$C$107)/MAX(CROQUIS!$C$137,1))+1)/80,1))),1))+1)-1)*(CROQUIS!$C$137*MAX(1,CEILING((INT(((CROQUIS!$C$97)-CROQUIS!$C$107)/MAX(CROQUIS!$C$137,1))+1)/80,1))))/2)+MIN(INT(($A391-1)/5),MAX((MAX(1,INT(((CROQUIS!$C$97)-CROQUIS!$C$107)/MAX((CROQUIS!$C$137*MAX(1,CEILING((INT(((CROQUIS!$C$97)-CROQUIS!$C$107)/MAX(CROQUIS!$C$137,1))+1)/80,1))),1))+1))-1,0))*(CROQUIS!$C$137*MAX(1,CEILING((INT(((CROQUIS!$C$97)-CROQUIS!$C$107)/MAX(CROQUIS!$C$137,1))+1)/80,1))))))*CROQUIS!$C$159)+IF(CROQUIS!$C$92="X",0,0)),-1000)</f>
        <v>-1000</v>
      </c>
      <c r="BR391">
        <f>IF(AND(CROQUIS!$C$88=1,CROQUIS!$C$91=0,CROQUIS!$C$133&gt;0,OR(CROQUIS!$C$103=1,CROQUIS!$C$145=1)),((CROQUIS!$C$160+(IF(CROQUIS!$C$92="X",CHOOSE(IF(INT(($A391-1)/5)&gt;MAX((MAX(1,INT(((CROQUIS!$C$98)-CROQUIS!$C$107)/MAX((CROQUIS!$C$133*MAX(1,CEILING((INT(((CROQUIS!$C$98)-CROQUIS!$C$107)/MAX(CROQUIS!$C$133,1))+1)/80,1))),1))+1))-1,0),0,MOD($A391-1,5))+1,0,IF(CROQUIS!$C$103=1,-12,2),CROQUIS!$C$107/2+CROQUIS!$C$143,IF(CROQUIS!$C$103=1,-12,2),0),((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BS3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+1,0,IF(CROQUIS!$C$103=1,-12,2),CROQUIS!$C$107/2+CROQUIS!$C$143,IF(CROQUIS!$C$103=1,-12,2),0)))*CROQUIS!$C$159)+IF(CROQUIS!$C$92="X",0.8,0)),-1000)</f>
        <v>-1000</v>
      </c>
      <c r="BT391">
        <f>IF(AND(CROQUIS!$C$88=1,CROQUIS!$C$91=0,CROQUIS!$C$133&gt;0,OR(CROQUIS!$C$104=1,CROQUIS!$C$145=1)),((CROQUIS!$C$160+(IF(CROQUIS!$C$92="X",CHOOSE(IF(INT(($A391-1)/5)&gt;MAX((MAX(1,INT(((CROQUIS!$C$98)-CROQUIS!$C$107)/MAX((CROQUIS!$C$133*MAX(1,CEILING((INT(((CROQUIS!$C$98)-CROQUIS!$C$107)/MAX(CROQUIS!$C$133,1))+1)/80,1))),1))+1))-1,0),0,MOD($A391-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BU3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CROQUIS!$C$97,CROQUIS!$C$97-CROQUIS!$C$107/2-CROQUIS!$C$143,IF(CROQUIS!$C$104=1,CROQUIS!$C$97+12,CROQUIS!$C$97-2),CROQUIS!$C$97-CROQUIS!$C$107/2-CROQUIS!$C$143,CROQUIS!$C$97)))*CROQUIS!$C$159)+IF(CROQUIS!$C$92="X",0.8,0)),-1000)</f>
        <v>-1000</v>
      </c>
      <c r="BV3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HOOSE(IF(INT(($A391-1)/5)&gt;MAX((MAX(1,INT(((CROQUIS!$C$97)-CROQUIS!$C$107)/MAX((CROQUIS!$C$141*MAX(1,CEILING((INT(((CROQUIS!$C$97)-CROQUIS!$C$107)/MAX(CROQUIS!$C$141,1))+1)/80,1))),1))+1))-1,0),0,MOD($A391-1,5))+1,0,IF(CROQUIS!$C$105=1,-12,2),CROQUIS!$C$107/2+CROQUIS!$C$144,IF(CROQUIS!$C$105=1,-12,2),0)))*CROQUIS!$C$159)+IF(CROQUIS!$C$92="X",0.8,0)),-1000)</f>
        <v>-1000</v>
      </c>
      <c r="BW391">
        <f>IF(AND(CROQUIS!$C$88=1,CROQUIS!$C$91=0,CROQUIS!$C$141&gt;0,OR(CROQUIS!$C$105=1,CROQUIS!$C$146=1)),((CROQUIS!$C$161+(IF(CROQUIS!$C$92="X",CHOOSE(IF(INT(($A391-1)/5)&gt;MAX((MAX(1,INT(((CROQUIS!$C$97)-CROQUIS!$C$107)/MAX((CROQUIS!$C$141*MAX(1,CEILING((INT(((CROQUIS!$C$97)-CROQUIS!$C$107)/MAX(CROQUIS!$C$141,1))+1)/80,1))),1))+1))-1,0),0,MOD($A391-1,5))+1,0,IF(CROQUIS!$C$105=1,-12,2),CROQUIS!$C$107/2+CROQUIS!$C$144,IF(CROQUIS!$C$105=1,-12,2),0),((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ROQUIS!$C$159)+IF(CROQUIS!$C$92="X",0,0.8)),-1000)</f>
        <v>-1000</v>
      </c>
      <c r="BX3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HOOSE(IF(INT(($A391-1)/5)&gt;MAX((MAX(1,INT(((CROQUIS!$C$97)-CROQUIS!$C$107)/MAX((CROQUIS!$C$141*MAX(1,CEILING((INT(((CROQUIS!$C$97)-CROQUIS!$C$107)/MAX(CROQUIS!$C$141,1))+1)/80,1))),1))+1))-1,0),0,MOD($A391-1,5))+1,CROQUIS!$C$98,CROQUIS!$C$98-CROQUIS!$C$107/2-CROQUIS!$C$144,IF(CROQUIS!$C$106=1,CROQUIS!$C$98+12,CROQUIS!$C$98-2),CROQUIS!$C$98-CROQUIS!$C$107/2-CROQUIS!$C$144,CROQUIS!$C$98)))*CROQUIS!$C$159)+IF(CROQUIS!$C$92="X",0.8,0)),-1000)</f>
        <v>-1000</v>
      </c>
      <c r="BY391">
        <f>IF(AND(CROQUIS!$C$88=1,CROQUIS!$C$91=0,CROQUIS!$C$141&gt;0,OR(CROQUIS!$C$106=1,CROQUIS!$C$146=1)),((CROQUIS!$C$161+(IF(CROQUIS!$C$92="X",CHOOSE(IF(INT(($A391-1)/5)&gt;MAX((MAX(1,INT(((CROQUIS!$C$97)-CROQUIS!$C$107)/MAX((CROQUIS!$C$141*MAX(1,CEILING((INT(((CROQUIS!$C$97)-CROQUIS!$C$107)/MAX(CROQUIS!$C$141,1))+1)/80,1))),1))+1))-1,0),0,MOD($A391-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ROQUIS!$C$159)+IF(CROQUIS!$C$92="X",0,0.8)),-1000)</f>
        <v>-1000</v>
      </c>
      <c r="BZ391">
        <f>IF(AND(CROQUIS!$C$88=1,CROQUIS!$C$91=1,CROQUIS!$C$133&gt;0),((CROQUIS!$C$160+(IF(CROQUIS!$C$92="X",CHOOSE(IF(INT(($A391-1)/5)&gt;MAX((MAX(1,INT(((CROQUIS!$C$98)-CROQUIS!$C$107)/MAX((CROQUIS!$C$133*MAX(1,CEILING((INT(((CROQUIS!$C$98)-CROQUIS!$C$107)/MAX(CROQUIS!$C$133,1))+1)/80,1))),1))+1))-1,0),0,MOD($A391-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CA391">
        <f>IF(AND(CROQUIS!$C$88=1,CROQUIS!$C$91=1,CROQUIS!$C$133&gt;0),((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2">
      <c r="A392" t="n">
        <v>385</v>
      </c>
      <c r="BN392">
        <f>IF(AND(CROQUIS!$C$88=1,CROQUIS!$C$129&gt;0),((CROQUIS!$C$160+(IF(CROQUIS!$C$92="X",CHOOSE(IF(INT(($A392-1)/5)&gt;MAX((MAX(1,INT(((CROQUIS!$C$98)-CROQUIS!$C$107)/MAX((CROQUIS!$C$129*MAX(1,CEILING((INT(((CROQUIS!$C$98)-CROQUIS!$C$107)/MAX(CROQUIS!$C$129,1))+1)/80,1))),1))+1))-1,0),0,MOD($A392-1,5))+1,0,2,CROQUIS!$C$97-2,2,0),((CROQUIS!$C$107/2+(((CROQUIS!$C$98)-CROQUIS!$C$107)-(MAX(1,INT(((CROQUIS!$C$98)-CROQUIS!$C$107)/MAX((CROQUIS!$C$129*MAX(1,CEILING((INT(((CROQUIS!$C$98)-CROQUIS!$C$107)/MAX(CROQUIS!$C$129,1))+1)/80,1))),1))+1)-1)*(CROQUIS!$C$129*MAX(1,CEILING((INT(((CROQUIS!$C$98)-CROQUIS!$C$107)/MAX(CROQUIS!$C$129,1))+1)/80,1))))/2)+MIN(INT(($A392-1)/5),MAX((MAX(1,INT(((CROQUIS!$C$98)-CROQUIS!$C$107)/MAX((CROQUIS!$C$129*MAX(1,CEILING((INT(((CROQUIS!$C$98)-CROQUIS!$C$107)/MAX(CROQUIS!$C$129,1))+1)/80,1))),1))+1))-1,0))*(CROQUIS!$C$129*MAX(1,CEILING((INT(((CROQUIS!$C$98)-CROQUIS!$C$107)/MAX(CROQUIS!$C$129,1))+1)/80,1))))))*CROQUIS!$C$159)+IF(CROQUIS!$C$92="X",0,0)),-1000)</f>
        <v>-1000</v>
      </c>
      <c r="BO392">
        <f>IF(AND(CROQUIS!$C$88=1,CROQUIS!$C$129&gt;0),((CROQUIS!$C$161+(IF(CROQUIS!$C$92="X",((CROQUIS!$C$107/2+(((CROQUIS!$C$98)-CROQUIS!$C$107)-(MAX(1,INT(((CROQUIS!$C$98)-CROQUIS!$C$107)/MAX((CROQUIS!$C$129*MAX(1,CEILING((INT(((CROQUIS!$C$98)-CROQUIS!$C$107)/MAX(CROQUIS!$C$129,1))+1)/80,1))),1))+1)-1)*(CROQUIS!$C$129*MAX(1,CEILING((INT(((CROQUIS!$C$98)-CROQUIS!$C$107)/MAX(CROQUIS!$C$129,1))+1)/80,1))))/2)+MIN(INT(($A392-1)/5),MAX((MAX(1,INT(((CROQUIS!$C$98)-CROQUIS!$C$107)/MAX((CROQUIS!$C$129*MAX(1,CEILING((INT(((CROQUIS!$C$98)-CROQUIS!$C$107)/MAX(CROQUIS!$C$129,1))+1)/80,1))),1))+1))-1,0))*(CROQUIS!$C$129*MAX(1,CEILING((INT(((CROQUIS!$C$98)-CROQUIS!$C$107)/MAX(CROQUIS!$C$129,1))+1)/80,1)))),CHOOSE(IF(INT(($A392-1)/5)&gt;MAX((MAX(1,INT(((CROQUIS!$C$98)-CROQUIS!$C$107)/MAX((CROQUIS!$C$129*MAX(1,CEILING((INT(((CROQUIS!$C$98)-CROQUIS!$C$107)/MAX(CROQUIS!$C$129,1))+1)/80,1))),1))+1))-1,0),0,MOD($A392-1,5))+1,0,2,CROQUIS!$C$97-2,2,0)))*CROQUIS!$C$159)+IF(CROQUIS!$C$92="X",0,0)),-1000)</f>
        <v>-1000</v>
      </c>
      <c r="BP392">
        <f>IF(AND(CROQUIS!$C$88=1,CROQUIS!$C$137&gt;0),((CROQUIS!$C$160+(IF(CROQUIS!$C$92="X",((CROQUIS!$C$107/2+(((CROQUIS!$C$97)-CROQUIS!$C$107)-(MAX(1,INT(((CROQUIS!$C$97)-CROQUIS!$C$107)/MAX((CROQUIS!$C$137*MAX(1,CEILING((INT(((CROQUIS!$C$97)-CROQUIS!$C$107)/MAX(CROQUIS!$C$137,1))+1)/80,1))),1))+1)-1)*(CROQUIS!$C$137*MAX(1,CEILING((INT(((CROQUIS!$C$97)-CROQUIS!$C$107)/MAX(CROQUIS!$C$137,1))+1)/80,1))))/2)+MIN(INT(($A392-1)/5),MAX((MAX(1,INT(((CROQUIS!$C$97)-CROQUIS!$C$107)/MAX((CROQUIS!$C$137*MAX(1,CEILING((INT(((CROQUIS!$C$97)-CROQUIS!$C$107)/MAX(CROQUIS!$C$137,1))+1)/80,1))),1))+1))-1,0))*(CROQUIS!$C$137*MAX(1,CEILING((INT(((CROQUIS!$C$97)-CROQUIS!$C$107)/MAX(CROQUIS!$C$137,1))+1)/80,1)))),CHOOSE(IF(INT(($A392-1)/5)&gt;MAX((MAX(1,INT(((CROQUIS!$C$97)-CROQUIS!$C$107)/MAX((CROQUIS!$C$137*MAX(1,CEILING((INT(((CROQUIS!$C$97)-CROQUIS!$C$107)/MAX(CROQUIS!$C$137,1))+1)/80,1))),1))+1))-1,0),0,MOD($A392-1,5))+1,0,2,CROQUIS!$C$98-2,2,0)))*CROQUIS!$C$159)+IF(CROQUIS!$C$92="X",0,0)),-1000)</f>
        <v>-1000</v>
      </c>
      <c r="BQ392">
        <f>IF(AND(CROQUIS!$C$88=1,CROQUIS!$C$137&gt;0),((CROQUIS!$C$161+(IF(CROQUIS!$C$92="X",CHOOSE(IF(INT(($A392-1)/5)&gt;MAX((MAX(1,INT(((CROQUIS!$C$97)-CROQUIS!$C$107)/MAX((CROQUIS!$C$137*MAX(1,CEILING((INT(((CROQUIS!$C$97)-CROQUIS!$C$107)/MAX(CROQUIS!$C$137,1))+1)/80,1))),1))+1))-1,0),0,MOD($A392-1,5))+1,0,2,CROQUIS!$C$98-2,2,0),((CROQUIS!$C$107/2+(((CROQUIS!$C$97)-CROQUIS!$C$107)-(MAX(1,INT(((CROQUIS!$C$97)-CROQUIS!$C$107)/MAX((CROQUIS!$C$137*MAX(1,CEILING((INT(((CROQUIS!$C$97)-CROQUIS!$C$107)/MAX(CROQUIS!$C$137,1))+1)/80,1))),1))+1)-1)*(CROQUIS!$C$137*MAX(1,CEILING((INT(((CROQUIS!$C$97)-CROQUIS!$C$107)/MAX(CROQUIS!$C$137,1))+1)/80,1))))/2)+MIN(INT(($A392-1)/5),MAX((MAX(1,INT(((CROQUIS!$C$97)-CROQUIS!$C$107)/MAX((CROQUIS!$C$137*MAX(1,CEILING((INT(((CROQUIS!$C$97)-CROQUIS!$C$107)/MAX(CROQUIS!$C$137,1))+1)/80,1))),1))+1))-1,0))*(CROQUIS!$C$137*MAX(1,CEILING((INT(((CROQUIS!$C$97)-CROQUIS!$C$107)/MAX(CROQUIS!$C$137,1))+1)/80,1))))))*CROQUIS!$C$159)+IF(CROQUIS!$C$92="X",0,0)),-1000)</f>
        <v>-1000</v>
      </c>
      <c r="BR392">
        <f>IF(AND(CROQUIS!$C$88=1,CROQUIS!$C$91=0,CROQUIS!$C$133&gt;0,OR(CROQUIS!$C$103=1,CROQUIS!$C$145=1)),((CROQUIS!$C$160+(IF(CROQUIS!$C$92="X",CHOOSE(IF(INT(($A392-1)/5)&gt;MAX((MAX(1,INT(((CROQUIS!$C$98)-CROQUIS!$C$107)/MAX((CROQUIS!$C$133*MAX(1,CEILING((INT(((CROQUIS!$C$98)-CROQUIS!$C$107)/MAX(CROQUIS!$C$133,1))+1)/80,1))),1))+1))-1,0),0,MOD($A392-1,5))+1,0,IF(CROQUIS!$C$103=1,-12,2),CROQUIS!$C$107/2+CROQUIS!$C$143,IF(CROQUIS!$C$103=1,-12,2),0),((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BS3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+1,0,IF(CROQUIS!$C$103=1,-12,2),CROQUIS!$C$107/2+CROQUIS!$C$143,IF(CROQUIS!$C$103=1,-12,2),0)))*CROQUIS!$C$159)+IF(CROQUIS!$C$92="X",0.8,0)),-1000)</f>
        <v>-1000</v>
      </c>
      <c r="BT392">
        <f>IF(AND(CROQUIS!$C$88=1,CROQUIS!$C$91=0,CROQUIS!$C$133&gt;0,OR(CROQUIS!$C$104=1,CROQUIS!$C$145=1)),((CROQUIS!$C$160+(IF(CROQUIS!$C$92="X",CHOOSE(IF(INT(($A392-1)/5)&gt;MAX((MAX(1,INT(((CROQUIS!$C$98)-CROQUIS!$C$107)/MAX((CROQUIS!$C$133*MAX(1,CEILING((INT(((CROQUIS!$C$98)-CROQUIS!$C$107)/MAX(CROQUIS!$C$133,1))+1)/80,1))),1))+1))-1,0),0,MOD($A392-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BU3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CROQUIS!$C$97,CROQUIS!$C$97-CROQUIS!$C$107/2-CROQUIS!$C$143,IF(CROQUIS!$C$104=1,CROQUIS!$C$97+12,CROQUIS!$C$97-2),CROQUIS!$C$97-CROQUIS!$C$107/2-CROQUIS!$C$143,CROQUIS!$C$97)))*CROQUIS!$C$159)+IF(CROQUIS!$C$92="X",0.8,0)),-1000)</f>
        <v>-1000</v>
      </c>
      <c r="BV3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HOOSE(IF(INT(($A392-1)/5)&gt;MAX((MAX(1,INT(((CROQUIS!$C$97)-CROQUIS!$C$107)/MAX((CROQUIS!$C$141*MAX(1,CEILING((INT(((CROQUIS!$C$97)-CROQUIS!$C$107)/MAX(CROQUIS!$C$141,1))+1)/80,1))),1))+1))-1,0),0,MOD($A392-1,5))+1,0,IF(CROQUIS!$C$105=1,-12,2),CROQUIS!$C$107/2+CROQUIS!$C$144,IF(CROQUIS!$C$105=1,-12,2),0)))*CROQUIS!$C$159)+IF(CROQUIS!$C$92="X",0.8,0)),-1000)</f>
        <v>-1000</v>
      </c>
      <c r="BW392">
        <f>IF(AND(CROQUIS!$C$88=1,CROQUIS!$C$91=0,CROQUIS!$C$141&gt;0,OR(CROQUIS!$C$105=1,CROQUIS!$C$146=1)),((CROQUIS!$C$161+(IF(CROQUIS!$C$92="X",CHOOSE(IF(INT(($A392-1)/5)&gt;MAX((MAX(1,INT(((CROQUIS!$C$97)-CROQUIS!$C$107)/MAX((CROQUIS!$C$141*MAX(1,CEILING((INT(((CROQUIS!$C$97)-CROQUIS!$C$107)/MAX(CROQUIS!$C$141,1))+1)/80,1))),1))+1))-1,0),0,MOD($A392-1,5))+1,0,IF(CROQUIS!$C$105=1,-12,2),CROQUIS!$C$107/2+CROQUIS!$C$144,IF(CROQUIS!$C$105=1,-12,2),0),((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ROQUIS!$C$159)+IF(CROQUIS!$C$92="X",0,0.8)),-1000)</f>
        <v>-1000</v>
      </c>
      <c r="BX3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HOOSE(IF(INT(($A392-1)/5)&gt;MAX((MAX(1,INT(((CROQUIS!$C$97)-CROQUIS!$C$107)/MAX((CROQUIS!$C$141*MAX(1,CEILING((INT(((CROQUIS!$C$97)-CROQUIS!$C$107)/MAX(CROQUIS!$C$141,1))+1)/80,1))),1))+1))-1,0),0,MOD($A392-1,5))+1,CROQUIS!$C$98,CROQUIS!$C$98-CROQUIS!$C$107/2-CROQUIS!$C$144,IF(CROQUIS!$C$106=1,CROQUIS!$C$98+12,CROQUIS!$C$98-2),CROQUIS!$C$98-CROQUIS!$C$107/2-CROQUIS!$C$144,CROQUIS!$C$98)))*CROQUIS!$C$159)+IF(CROQUIS!$C$92="X",0.8,0)),-1000)</f>
        <v>-1000</v>
      </c>
      <c r="BY392">
        <f>IF(AND(CROQUIS!$C$88=1,CROQUIS!$C$91=0,CROQUIS!$C$141&gt;0,OR(CROQUIS!$C$106=1,CROQUIS!$C$146=1)),((CROQUIS!$C$161+(IF(CROQUIS!$C$92="X",CHOOSE(IF(INT(($A392-1)/5)&gt;MAX((MAX(1,INT(((CROQUIS!$C$97)-CROQUIS!$C$107)/MAX((CROQUIS!$C$141*MAX(1,CEILING((INT(((CROQUIS!$C$97)-CROQUIS!$C$107)/MAX(CROQUIS!$C$141,1))+1)/80,1))),1))+1))-1,0),0,MOD($A392-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ROQUIS!$C$159)+IF(CROQUIS!$C$92="X",0,0.8)),-1000)</f>
        <v>-1000</v>
      </c>
      <c r="BZ392">
        <f>IF(AND(CROQUIS!$C$88=1,CROQUIS!$C$91=1,CROQUIS!$C$133&gt;0),((CROQUIS!$C$160+(IF(CROQUIS!$C$92="X",CHOOSE(IF(INT(($A392-1)/5)&gt;MAX((MAX(1,INT(((CROQUIS!$C$98)-CROQUIS!$C$107)/MAX((CROQUIS!$C$133*MAX(1,CEILING((INT(((CROQUIS!$C$98)-CROQUIS!$C$107)/MAX(CROQUIS!$C$133,1))+1)/80,1))),1))+1))-1,0),0,MOD($A392-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CA392">
        <f>IF(AND(CROQUIS!$C$88=1,CROQUIS!$C$91=1,CROQUIS!$C$133&gt;0),((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3">
      <c r="A393" t="n">
        <v>386</v>
      </c>
      <c r="BN393">
        <f>IF(AND(CROQUIS!$C$88=1,CROQUIS!$C$129&gt;0),((CROQUIS!$C$160+(IF(CROQUIS!$C$92="X",CHOOSE(IF(INT(($A393-1)/5)&gt;MAX((MAX(1,INT(((CROQUIS!$C$98)-CROQUIS!$C$107)/MAX((CROQUIS!$C$129*MAX(1,CEILING((INT(((CROQUIS!$C$98)-CROQUIS!$C$107)/MAX(CROQUIS!$C$129,1))+1)/80,1))),1))+1))-1,0),0,MOD($A393-1,5))+1,0,2,CROQUIS!$C$97-2,2,0),((CROQUIS!$C$107/2+(((CROQUIS!$C$98)-CROQUIS!$C$107)-(MAX(1,INT(((CROQUIS!$C$98)-CROQUIS!$C$107)/MAX((CROQUIS!$C$129*MAX(1,CEILING((INT(((CROQUIS!$C$98)-CROQUIS!$C$107)/MAX(CROQUIS!$C$129,1))+1)/80,1))),1))+1)-1)*(CROQUIS!$C$129*MAX(1,CEILING((INT(((CROQUIS!$C$98)-CROQUIS!$C$107)/MAX(CROQUIS!$C$129,1))+1)/80,1))))/2)+MIN(INT(($A393-1)/5),MAX((MAX(1,INT(((CROQUIS!$C$98)-CROQUIS!$C$107)/MAX((CROQUIS!$C$129*MAX(1,CEILING((INT(((CROQUIS!$C$98)-CROQUIS!$C$107)/MAX(CROQUIS!$C$129,1))+1)/80,1))),1))+1))-1,0))*(CROQUIS!$C$129*MAX(1,CEILING((INT(((CROQUIS!$C$98)-CROQUIS!$C$107)/MAX(CROQUIS!$C$129,1))+1)/80,1))))))*CROQUIS!$C$159)+IF(CROQUIS!$C$92="X",0,0)),-1000)</f>
        <v>-1000</v>
      </c>
      <c r="BO393">
        <f>IF(AND(CROQUIS!$C$88=1,CROQUIS!$C$129&gt;0),((CROQUIS!$C$161+(IF(CROQUIS!$C$92="X",((CROQUIS!$C$107/2+(((CROQUIS!$C$98)-CROQUIS!$C$107)-(MAX(1,INT(((CROQUIS!$C$98)-CROQUIS!$C$107)/MAX((CROQUIS!$C$129*MAX(1,CEILING((INT(((CROQUIS!$C$98)-CROQUIS!$C$107)/MAX(CROQUIS!$C$129,1))+1)/80,1))),1))+1)-1)*(CROQUIS!$C$129*MAX(1,CEILING((INT(((CROQUIS!$C$98)-CROQUIS!$C$107)/MAX(CROQUIS!$C$129,1))+1)/80,1))))/2)+MIN(INT(($A393-1)/5),MAX((MAX(1,INT(((CROQUIS!$C$98)-CROQUIS!$C$107)/MAX((CROQUIS!$C$129*MAX(1,CEILING((INT(((CROQUIS!$C$98)-CROQUIS!$C$107)/MAX(CROQUIS!$C$129,1))+1)/80,1))),1))+1))-1,0))*(CROQUIS!$C$129*MAX(1,CEILING((INT(((CROQUIS!$C$98)-CROQUIS!$C$107)/MAX(CROQUIS!$C$129,1))+1)/80,1)))),CHOOSE(IF(INT(($A393-1)/5)&gt;MAX((MAX(1,INT(((CROQUIS!$C$98)-CROQUIS!$C$107)/MAX((CROQUIS!$C$129*MAX(1,CEILING((INT(((CROQUIS!$C$98)-CROQUIS!$C$107)/MAX(CROQUIS!$C$129,1))+1)/80,1))),1))+1))-1,0),0,MOD($A393-1,5))+1,0,2,CROQUIS!$C$97-2,2,0)))*CROQUIS!$C$159)+IF(CROQUIS!$C$92="X",0,0)),-1000)</f>
        <v>-1000</v>
      </c>
      <c r="BP393">
        <f>IF(AND(CROQUIS!$C$88=1,CROQUIS!$C$137&gt;0),((CROQUIS!$C$160+(IF(CROQUIS!$C$92="X",((CROQUIS!$C$107/2+(((CROQUIS!$C$97)-CROQUIS!$C$107)-(MAX(1,INT(((CROQUIS!$C$97)-CROQUIS!$C$107)/MAX((CROQUIS!$C$137*MAX(1,CEILING((INT(((CROQUIS!$C$97)-CROQUIS!$C$107)/MAX(CROQUIS!$C$137,1))+1)/80,1))),1))+1)-1)*(CROQUIS!$C$137*MAX(1,CEILING((INT(((CROQUIS!$C$97)-CROQUIS!$C$107)/MAX(CROQUIS!$C$137,1))+1)/80,1))))/2)+MIN(INT(($A393-1)/5),MAX((MAX(1,INT(((CROQUIS!$C$97)-CROQUIS!$C$107)/MAX((CROQUIS!$C$137*MAX(1,CEILING((INT(((CROQUIS!$C$97)-CROQUIS!$C$107)/MAX(CROQUIS!$C$137,1))+1)/80,1))),1))+1))-1,0))*(CROQUIS!$C$137*MAX(1,CEILING((INT(((CROQUIS!$C$97)-CROQUIS!$C$107)/MAX(CROQUIS!$C$137,1))+1)/80,1)))),CHOOSE(IF(INT(($A393-1)/5)&gt;MAX((MAX(1,INT(((CROQUIS!$C$97)-CROQUIS!$C$107)/MAX((CROQUIS!$C$137*MAX(1,CEILING((INT(((CROQUIS!$C$97)-CROQUIS!$C$107)/MAX(CROQUIS!$C$137,1))+1)/80,1))),1))+1))-1,0),0,MOD($A393-1,5))+1,0,2,CROQUIS!$C$98-2,2,0)))*CROQUIS!$C$159)+IF(CROQUIS!$C$92="X",0,0)),-1000)</f>
        <v>-1000</v>
      </c>
      <c r="BQ393">
        <f>IF(AND(CROQUIS!$C$88=1,CROQUIS!$C$137&gt;0),((CROQUIS!$C$161+(IF(CROQUIS!$C$92="X",CHOOSE(IF(INT(($A393-1)/5)&gt;MAX((MAX(1,INT(((CROQUIS!$C$97)-CROQUIS!$C$107)/MAX((CROQUIS!$C$137*MAX(1,CEILING((INT(((CROQUIS!$C$97)-CROQUIS!$C$107)/MAX(CROQUIS!$C$137,1))+1)/80,1))),1))+1))-1,0),0,MOD($A393-1,5))+1,0,2,CROQUIS!$C$98-2,2,0),((CROQUIS!$C$107/2+(((CROQUIS!$C$97)-CROQUIS!$C$107)-(MAX(1,INT(((CROQUIS!$C$97)-CROQUIS!$C$107)/MAX((CROQUIS!$C$137*MAX(1,CEILING((INT(((CROQUIS!$C$97)-CROQUIS!$C$107)/MAX(CROQUIS!$C$137,1))+1)/80,1))),1))+1)-1)*(CROQUIS!$C$137*MAX(1,CEILING((INT(((CROQUIS!$C$97)-CROQUIS!$C$107)/MAX(CROQUIS!$C$137,1))+1)/80,1))))/2)+MIN(INT(($A393-1)/5),MAX((MAX(1,INT(((CROQUIS!$C$97)-CROQUIS!$C$107)/MAX((CROQUIS!$C$137*MAX(1,CEILING((INT(((CROQUIS!$C$97)-CROQUIS!$C$107)/MAX(CROQUIS!$C$137,1))+1)/80,1))),1))+1))-1,0))*(CROQUIS!$C$137*MAX(1,CEILING((INT(((CROQUIS!$C$97)-CROQUIS!$C$107)/MAX(CROQUIS!$C$137,1))+1)/80,1))))))*CROQUIS!$C$159)+IF(CROQUIS!$C$92="X",0,0)),-1000)</f>
        <v>-1000</v>
      </c>
      <c r="BR393">
        <f>IF(AND(CROQUIS!$C$88=1,CROQUIS!$C$91=0,CROQUIS!$C$133&gt;0,OR(CROQUIS!$C$103=1,CROQUIS!$C$145=1)),((CROQUIS!$C$160+(IF(CROQUIS!$C$92="X",CHOOSE(IF(INT(($A393-1)/5)&gt;MAX((MAX(1,INT(((CROQUIS!$C$98)-CROQUIS!$C$107)/MAX((CROQUIS!$C$133*MAX(1,CEILING((INT(((CROQUIS!$C$98)-CROQUIS!$C$107)/MAX(CROQUIS!$C$133,1))+1)/80,1))),1))+1))-1,0),0,MOD($A393-1,5))+1,0,IF(CROQUIS!$C$103=1,-12,2),CROQUIS!$C$107/2+CROQUIS!$C$143,IF(CROQUIS!$C$103=1,-12,2),0),((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BS3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+1,0,IF(CROQUIS!$C$103=1,-12,2),CROQUIS!$C$107/2+CROQUIS!$C$143,IF(CROQUIS!$C$103=1,-12,2),0)))*CROQUIS!$C$159)+IF(CROQUIS!$C$92="X",0.8,0)),-1000)</f>
        <v>-1000</v>
      </c>
      <c r="BT393">
        <f>IF(AND(CROQUIS!$C$88=1,CROQUIS!$C$91=0,CROQUIS!$C$133&gt;0,OR(CROQUIS!$C$104=1,CROQUIS!$C$145=1)),((CROQUIS!$C$160+(IF(CROQUIS!$C$92="X",CHOOSE(IF(INT(($A393-1)/5)&gt;MAX((MAX(1,INT(((CROQUIS!$C$98)-CROQUIS!$C$107)/MAX((CROQUIS!$C$133*MAX(1,CEILING((INT(((CROQUIS!$C$98)-CROQUIS!$C$107)/MAX(CROQUIS!$C$133,1))+1)/80,1))),1))+1))-1,0),0,MOD($A393-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BU3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CROQUIS!$C$97,CROQUIS!$C$97-CROQUIS!$C$107/2-CROQUIS!$C$143,IF(CROQUIS!$C$104=1,CROQUIS!$C$97+12,CROQUIS!$C$97-2),CROQUIS!$C$97-CROQUIS!$C$107/2-CROQUIS!$C$143,CROQUIS!$C$97)))*CROQUIS!$C$159)+IF(CROQUIS!$C$92="X",0.8,0)),-1000)</f>
        <v>-1000</v>
      </c>
      <c r="BV3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HOOSE(IF(INT(($A393-1)/5)&gt;MAX((MAX(1,INT(((CROQUIS!$C$97)-CROQUIS!$C$107)/MAX((CROQUIS!$C$141*MAX(1,CEILING((INT(((CROQUIS!$C$97)-CROQUIS!$C$107)/MAX(CROQUIS!$C$141,1))+1)/80,1))),1))+1))-1,0),0,MOD($A393-1,5))+1,0,IF(CROQUIS!$C$105=1,-12,2),CROQUIS!$C$107/2+CROQUIS!$C$144,IF(CROQUIS!$C$105=1,-12,2),0)))*CROQUIS!$C$159)+IF(CROQUIS!$C$92="X",0.8,0)),-1000)</f>
        <v>-1000</v>
      </c>
      <c r="BW393">
        <f>IF(AND(CROQUIS!$C$88=1,CROQUIS!$C$91=0,CROQUIS!$C$141&gt;0,OR(CROQUIS!$C$105=1,CROQUIS!$C$146=1)),((CROQUIS!$C$161+(IF(CROQUIS!$C$92="X",CHOOSE(IF(INT(($A393-1)/5)&gt;MAX((MAX(1,INT(((CROQUIS!$C$97)-CROQUIS!$C$107)/MAX((CROQUIS!$C$141*MAX(1,CEILING((INT(((CROQUIS!$C$97)-CROQUIS!$C$107)/MAX(CROQUIS!$C$141,1))+1)/80,1))),1))+1))-1,0),0,MOD($A393-1,5))+1,0,IF(CROQUIS!$C$105=1,-12,2),CROQUIS!$C$107/2+CROQUIS!$C$144,IF(CROQUIS!$C$105=1,-12,2),0),((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ROQUIS!$C$159)+IF(CROQUIS!$C$92="X",0,0.8)),-1000)</f>
        <v>-1000</v>
      </c>
      <c r="BX3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HOOSE(IF(INT(($A393-1)/5)&gt;MAX((MAX(1,INT(((CROQUIS!$C$97)-CROQUIS!$C$107)/MAX((CROQUIS!$C$141*MAX(1,CEILING((INT(((CROQUIS!$C$97)-CROQUIS!$C$107)/MAX(CROQUIS!$C$141,1))+1)/80,1))),1))+1))-1,0),0,MOD($A393-1,5))+1,CROQUIS!$C$98,CROQUIS!$C$98-CROQUIS!$C$107/2-CROQUIS!$C$144,IF(CROQUIS!$C$106=1,CROQUIS!$C$98+12,CROQUIS!$C$98-2),CROQUIS!$C$98-CROQUIS!$C$107/2-CROQUIS!$C$144,CROQUIS!$C$98)))*CROQUIS!$C$159)+IF(CROQUIS!$C$92="X",0.8,0)),-1000)</f>
        <v>-1000</v>
      </c>
      <c r="BY393">
        <f>IF(AND(CROQUIS!$C$88=1,CROQUIS!$C$91=0,CROQUIS!$C$141&gt;0,OR(CROQUIS!$C$106=1,CROQUIS!$C$146=1)),((CROQUIS!$C$161+(IF(CROQUIS!$C$92="X",CHOOSE(IF(INT(($A393-1)/5)&gt;MAX((MAX(1,INT(((CROQUIS!$C$97)-CROQUIS!$C$107)/MAX((CROQUIS!$C$141*MAX(1,CEILING((INT(((CROQUIS!$C$97)-CROQUIS!$C$107)/MAX(CROQUIS!$C$141,1))+1)/80,1))),1))+1))-1,0),0,MOD($A393-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ROQUIS!$C$159)+IF(CROQUIS!$C$92="X",0,0.8)),-1000)</f>
        <v>-1000</v>
      </c>
      <c r="BZ393">
        <f>IF(AND(CROQUIS!$C$88=1,CROQUIS!$C$91=1,CROQUIS!$C$133&gt;0),((CROQUIS!$C$160+(IF(CROQUIS!$C$92="X",CHOOSE(IF(INT(($A393-1)/5)&gt;MAX((MAX(1,INT(((CROQUIS!$C$98)-CROQUIS!$C$107)/MAX((CROQUIS!$C$133*MAX(1,CEILING((INT(((CROQUIS!$C$98)-CROQUIS!$C$107)/MAX(CROQUIS!$C$133,1))+1)/80,1))),1))+1))-1,0),0,MOD($A393-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CA393">
        <f>IF(AND(CROQUIS!$C$88=1,CROQUIS!$C$91=1,CROQUIS!$C$133&gt;0),((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4">
      <c r="A394" t="n">
        <v>387</v>
      </c>
      <c r="BN394">
        <f>IF(AND(CROQUIS!$C$88=1,CROQUIS!$C$129&gt;0),((CROQUIS!$C$160+(IF(CROQUIS!$C$92="X",CHOOSE(IF(INT(($A394-1)/5)&gt;MAX((MAX(1,INT(((CROQUIS!$C$98)-CROQUIS!$C$107)/MAX((CROQUIS!$C$129*MAX(1,CEILING((INT(((CROQUIS!$C$98)-CROQUIS!$C$107)/MAX(CROQUIS!$C$129,1))+1)/80,1))),1))+1))-1,0),0,MOD($A394-1,5))+1,0,2,CROQUIS!$C$97-2,2,0),((CROQUIS!$C$107/2+(((CROQUIS!$C$98)-CROQUIS!$C$107)-(MAX(1,INT(((CROQUIS!$C$98)-CROQUIS!$C$107)/MAX((CROQUIS!$C$129*MAX(1,CEILING((INT(((CROQUIS!$C$98)-CROQUIS!$C$107)/MAX(CROQUIS!$C$129,1))+1)/80,1))),1))+1)-1)*(CROQUIS!$C$129*MAX(1,CEILING((INT(((CROQUIS!$C$98)-CROQUIS!$C$107)/MAX(CROQUIS!$C$129,1))+1)/80,1))))/2)+MIN(INT(($A394-1)/5),MAX((MAX(1,INT(((CROQUIS!$C$98)-CROQUIS!$C$107)/MAX((CROQUIS!$C$129*MAX(1,CEILING((INT(((CROQUIS!$C$98)-CROQUIS!$C$107)/MAX(CROQUIS!$C$129,1))+1)/80,1))),1))+1))-1,0))*(CROQUIS!$C$129*MAX(1,CEILING((INT(((CROQUIS!$C$98)-CROQUIS!$C$107)/MAX(CROQUIS!$C$129,1))+1)/80,1))))))*CROQUIS!$C$159)+IF(CROQUIS!$C$92="X",0,0)),-1000)</f>
        <v>-1000</v>
      </c>
      <c r="BO394">
        <f>IF(AND(CROQUIS!$C$88=1,CROQUIS!$C$129&gt;0),((CROQUIS!$C$161+(IF(CROQUIS!$C$92="X",((CROQUIS!$C$107/2+(((CROQUIS!$C$98)-CROQUIS!$C$107)-(MAX(1,INT(((CROQUIS!$C$98)-CROQUIS!$C$107)/MAX((CROQUIS!$C$129*MAX(1,CEILING((INT(((CROQUIS!$C$98)-CROQUIS!$C$107)/MAX(CROQUIS!$C$129,1))+1)/80,1))),1))+1)-1)*(CROQUIS!$C$129*MAX(1,CEILING((INT(((CROQUIS!$C$98)-CROQUIS!$C$107)/MAX(CROQUIS!$C$129,1))+1)/80,1))))/2)+MIN(INT(($A394-1)/5),MAX((MAX(1,INT(((CROQUIS!$C$98)-CROQUIS!$C$107)/MAX((CROQUIS!$C$129*MAX(1,CEILING((INT(((CROQUIS!$C$98)-CROQUIS!$C$107)/MAX(CROQUIS!$C$129,1))+1)/80,1))),1))+1))-1,0))*(CROQUIS!$C$129*MAX(1,CEILING((INT(((CROQUIS!$C$98)-CROQUIS!$C$107)/MAX(CROQUIS!$C$129,1))+1)/80,1)))),CHOOSE(IF(INT(($A394-1)/5)&gt;MAX((MAX(1,INT(((CROQUIS!$C$98)-CROQUIS!$C$107)/MAX((CROQUIS!$C$129*MAX(1,CEILING((INT(((CROQUIS!$C$98)-CROQUIS!$C$107)/MAX(CROQUIS!$C$129,1))+1)/80,1))),1))+1))-1,0),0,MOD($A394-1,5))+1,0,2,CROQUIS!$C$97-2,2,0)))*CROQUIS!$C$159)+IF(CROQUIS!$C$92="X",0,0)),-1000)</f>
        <v>-1000</v>
      </c>
      <c r="BP394">
        <f>IF(AND(CROQUIS!$C$88=1,CROQUIS!$C$137&gt;0),((CROQUIS!$C$160+(IF(CROQUIS!$C$92="X",((CROQUIS!$C$107/2+(((CROQUIS!$C$97)-CROQUIS!$C$107)-(MAX(1,INT(((CROQUIS!$C$97)-CROQUIS!$C$107)/MAX((CROQUIS!$C$137*MAX(1,CEILING((INT(((CROQUIS!$C$97)-CROQUIS!$C$107)/MAX(CROQUIS!$C$137,1))+1)/80,1))),1))+1)-1)*(CROQUIS!$C$137*MAX(1,CEILING((INT(((CROQUIS!$C$97)-CROQUIS!$C$107)/MAX(CROQUIS!$C$137,1))+1)/80,1))))/2)+MIN(INT(($A394-1)/5),MAX((MAX(1,INT(((CROQUIS!$C$97)-CROQUIS!$C$107)/MAX((CROQUIS!$C$137*MAX(1,CEILING((INT(((CROQUIS!$C$97)-CROQUIS!$C$107)/MAX(CROQUIS!$C$137,1))+1)/80,1))),1))+1))-1,0))*(CROQUIS!$C$137*MAX(1,CEILING((INT(((CROQUIS!$C$97)-CROQUIS!$C$107)/MAX(CROQUIS!$C$137,1))+1)/80,1)))),CHOOSE(IF(INT(($A394-1)/5)&gt;MAX((MAX(1,INT(((CROQUIS!$C$97)-CROQUIS!$C$107)/MAX((CROQUIS!$C$137*MAX(1,CEILING((INT(((CROQUIS!$C$97)-CROQUIS!$C$107)/MAX(CROQUIS!$C$137,1))+1)/80,1))),1))+1))-1,0),0,MOD($A394-1,5))+1,0,2,CROQUIS!$C$98-2,2,0)))*CROQUIS!$C$159)+IF(CROQUIS!$C$92="X",0,0)),-1000)</f>
        <v>-1000</v>
      </c>
      <c r="BQ394">
        <f>IF(AND(CROQUIS!$C$88=1,CROQUIS!$C$137&gt;0),((CROQUIS!$C$161+(IF(CROQUIS!$C$92="X",CHOOSE(IF(INT(($A394-1)/5)&gt;MAX((MAX(1,INT(((CROQUIS!$C$97)-CROQUIS!$C$107)/MAX((CROQUIS!$C$137*MAX(1,CEILING((INT(((CROQUIS!$C$97)-CROQUIS!$C$107)/MAX(CROQUIS!$C$137,1))+1)/80,1))),1))+1))-1,0),0,MOD($A394-1,5))+1,0,2,CROQUIS!$C$98-2,2,0),((CROQUIS!$C$107/2+(((CROQUIS!$C$97)-CROQUIS!$C$107)-(MAX(1,INT(((CROQUIS!$C$97)-CROQUIS!$C$107)/MAX((CROQUIS!$C$137*MAX(1,CEILING((INT(((CROQUIS!$C$97)-CROQUIS!$C$107)/MAX(CROQUIS!$C$137,1))+1)/80,1))),1))+1)-1)*(CROQUIS!$C$137*MAX(1,CEILING((INT(((CROQUIS!$C$97)-CROQUIS!$C$107)/MAX(CROQUIS!$C$137,1))+1)/80,1))))/2)+MIN(INT(($A394-1)/5),MAX((MAX(1,INT(((CROQUIS!$C$97)-CROQUIS!$C$107)/MAX((CROQUIS!$C$137*MAX(1,CEILING((INT(((CROQUIS!$C$97)-CROQUIS!$C$107)/MAX(CROQUIS!$C$137,1))+1)/80,1))),1))+1))-1,0))*(CROQUIS!$C$137*MAX(1,CEILING((INT(((CROQUIS!$C$97)-CROQUIS!$C$107)/MAX(CROQUIS!$C$137,1))+1)/80,1))))))*CROQUIS!$C$159)+IF(CROQUIS!$C$92="X",0,0)),-1000)</f>
        <v>-1000</v>
      </c>
      <c r="BR394">
        <f>IF(AND(CROQUIS!$C$88=1,CROQUIS!$C$91=0,CROQUIS!$C$133&gt;0,OR(CROQUIS!$C$103=1,CROQUIS!$C$145=1)),((CROQUIS!$C$160+(IF(CROQUIS!$C$92="X",CHOOSE(IF(INT(($A394-1)/5)&gt;MAX((MAX(1,INT(((CROQUIS!$C$98)-CROQUIS!$C$107)/MAX((CROQUIS!$C$133*MAX(1,CEILING((INT(((CROQUIS!$C$98)-CROQUIS!$C$107)/MAX(CROQUIS!$C$133,1))+1)/80,1))),1))+1))-1,0),0,MOD($A394-1,5))+1,0,IF(CROQUIS!$C$103=1,-12,2),CROQUIS!$C$107/2+CROQUIS!$C$143,IF(CROQUIS!$C$103=1,-12,2),0),((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BS3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+1,0,IF(CROQUIS!$C$103=1,-12,2),CROQUIS!$C$107/2+CROQUIS!$C$143,IF(CROQUIS!$C$103=1,-12,2),0)))*CROQUIS!$C$159)+IF(CROQUIS!$C$92="X",0.8,0)),-1000)</f>
        <v>-1000</v>
      </c>
      <c r="BT394">
        <f>IF(AND(CROQUIS!$C$88=1,CROQUIS!$C$91=0,CROQUIS!$C$133&gt;0,OR(CROQUIS!$C$104=1,CROQUIS!$C$145=1)),((CROQUIS!$C$160+(IF(CROQUIS!$C$92="X",CHOOSE(IF(INT(($A394-1)/5)&gt;MAX((MAX(1,INT(((CROQUIS!$C$98)-CROQUIS!$C$107)/MAX((CROQUIS!$C$133*MAX(1,CEILING((INT(((CROQUIS!$C$98)-CROQUIS!$C$107)/MAX(CROQUIS!$C$133,1))+1)/80,1))),1))+1))-1,0),0,MOD($A394-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BU3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CROQUIS!$C$97,CROQUIS!$C$97-CROQUIS!$C$107/2-CROQUIS!$C$143,IF(CROQUIS!$C$104=1,CROQUIS!$C$97+12,CROQUIS!$C$97-2),CROQUIS!$C$97-CROQUIS!$C$107/2-CROQUIS!$C$143,CROQUIS!$C$97)))*CROQUIS!$C$159)+IF(CROQUIS!$C$92="X",0.8,0)),-1000)</f>
        <v>-1000</v>
      </c>
      <c r="BV3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HOOSE(IF(INT(($A394-1)/5)&gt;MAX((MAX(1,INT(((CROQUIS!$C$97)-CROQUIS!$C$107)/MAX((CROQUIS!$C$141*MAX(1,CEILING((INT(((CROQUIS!$C$97)-CROQUIS!$C$107)/MAX(CROQUIS!$C$141,1))+1)/80,1))),1))+1))-1,0),0,MOD($A394-1,5))+1,0,IF(CROQUIS!$C$105=1,-12,2),CROQUIS!$C$107/2+CROQUIS!$C$144,IF(CROQUIS!$C$105=1,-12,2),0)))*CROQUIS!$C$159)+IF(CROQUIS!$C$92="X",0.8,0)),-1000)</f>
        <v>-1000</v>
      </c>
      <c r="BW394">
        <f>IF(AND(CROQUIS!$C$88=1,CROQUIS!$C$91=0,CROQUIS!$C$141&gt;0,OR(CROQUIS!$C$105=1,CROQUIS!$C$146=1)),((CROQUIS!$C$161+(IF(CROQUIS!$C$92="X",CHOOSE(IF(INT(($A394-1)/5)&gt;MAX((MAX(1,INT(((CROQUIS!$C$97)-CROQUIS!$C$107)/MAX((CROQUIS!$C$141*MAX(1,CEILING((INT(((CROQUIS!$C$97)-CROQUIS!$C$107)/MAX(CROQUIS!$C$141,1))+1)/80,1))),1))+1))-1,0),0,MOD($A394-1,5))+1,0,IF(CROQUIS!$C$105=1,-12,2),CROQUIS!$C$107/2+CROQUIS!$C$144,IF(CROQUIS!$C$105=1,-12,2),0),((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ROQUIS!$C$159)+IF(CROQUIS!$C$92="X",0,0.8)),-1000)</f>
        <v>-1000</v>
      </c>
      <c r="BX3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HOOSE(IF(INT(($A394-1)/5)&gt;MAX((MAX(1,INT(((CROQUIS!$C$97)-CROQUIS!$C$107)/MAX((CROQUIS!$C$141*MAX(1,CEILING((INT(((CROQUIS!$C$97)-CROQUIS!$C$107)/MAX(CROQUIS!$C$141,1))+1)/80,1))),1))+1))-1,0),0,MOD($A394-1,5))+1,CROQUIS!$C$98,CROQUIS!$C$98-CROQUIS!$C$107/2-CROQUIS!$C$144,IF(CROQUIS!$C$106=1,CROQUIS!$C$98+12,CROQUIS!$C$98-2),CROQUIS!$C$98-CROQUIS!$C$107/2-CROQUIS!$C$144,CROQUIS!$C$98)))*CROQUIS!$C$159)+IF(CROQUIS!$C$92="X",0.8,0)),-1000)</f>
        <v>-1000</v>
      </c>
      <c r="BY394">
        <f>IF(AND(CROQUIS!$C$88=1,CROQUIS!$C$91=0,CROQUIS!$C$141&gt;0,OR(CROQUIS!$C$106=1,CROQUIS!$C$146=1)),((CROQUIS!$C$161+(IF(CROQUIS!$C$92="X",CHOOSE(IF(INT(($A394-1)/5)&gt;MAX((MAX(1,INT(((CROQUIS!$C$97)-CROQUIS!$C$107)/MAX((CROQUIS!$C$141*MAX(1,CEILING((INT(((CROQUIS!$C$97)-CROQUIS!$C$107)/MAX(CROQUIS!$C$141,1))+1)/80,1))),1))+1))-1,0),0,MOD($A394-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ROQUIS!$C$159)+IF(CROQUIS!$C$92="X",0,0.8)),-1000)</f>
        <v>-1000</v>
      </c>
      <c r="BZ394">
        <f>IF(AND(CROQUIS!$C$88=1,CROQUIS!$C$91=1,CROQUIS!$C$133&gt;0),((CROQUIS!$C$160+(IF(CROQUIS!$C$92="X",CHOOSE(IF(INT(($A394-1)/5)&gt;MAX((MAX(1,INT(((CROQUIS!$C$98)-CROQUIS!$C$107)/MAX((CROQUIS!$C$133*MAX(1,CEILING((INT(((CROQUIS!$C$98)-CROQUIS!$C$107)/MAX(CROQUIS!$C$133,1))+1)/80,1))),1))+1))-1,0),0,MOD($A394-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CA394">
        <f>IF(AND(CROQUIS!$C$88=1,CROQUIS!$C$91=1,CROQUIS!$C$133&gt;0),((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5">
      <c r="A395" t="n">
        <v>388</v>
      </c>
      <c r="BN395">
        <f>IF(AND(CROQUIS!$C$88=1,CROQUIS!$C$129&gt;0),((CROQUIS!$C$160+(IF(CROQUIS!$C$92="X",CHOOSE(IF(INT(($A395-1)/5)&gt;MAX((MAX(1,INT(((CROQUIS!$C$98)-CROQUIS!$C$107)/MAX((CROQUIS!$C$129*MAX(1,CEILING((INT(((CROQUIS!$C$98)-CROQUIS!$C$107)/MAX(CROQUIS!$C$129,1))+1)/80,1))),1))+1))-1,0),0,MOD($A395-1,5))+1,0,2,CROQUIS!$C$97-2,2,0),((CROQUIS!$C$107/2+(((CROQUIS!$C$98)-CROQUIS!$C$107)-(MAX(1,INT(((CROQUIS!$C$98)-CROQUIS!$C$107)/MAX((CROQUIS!$C$129*MAX(1,CEILING((INT(((CROQUIS!$C$98)-CROQUIS!$C$107)/MAX(CROQUIS!$C$129,1))+1)/80,1))),1))+1)-1)*(CROQUIS!$C$129*MAX(1,CEILING((INT(((CROQUIS!$C$98)-CROQUIS!$C$107)/MAX(CROQUIS!$C$129,1))+1)/80,1))))/2)+MIN(INT(($A395-1)/5),MAX((MAX(1,INT(((CROQUIS!$C$98)-CROQUIS!$C$107)/MAX((CROQUIS!$C$129*MAX(1,CEILING((INT(((CROQUIS!$C$98)-CROQUIS!$C$107)/MAX(CROQUIS!$C$129,1))+1)/80,1))),1))+1))-1,0))*(CROQUIS!$C$129*MAX(1,CEILING((INT(((CROQUIS!$C$98)-CROQUIS!$C$107)/MAX(CROQUIS!$C$129,1))+1)/80,1))))))*CROQUIS!$C$159)+IF(CROQUIS!$C$92="X",0,0)),-1000)</f>
        <v>-1000</v>
      </c>
      <c r="BO395">
        <f>IF(AND(CROQUIS!$C$88=1,CROQUIS!$C$129&gt;0),((CROQUIS!$C$161+(IF(CROQUIS!$C$92="X",((CROQUIS!$C$107/2+(((CROQUIS!$C$98)-CROQUIS!$C$107)-(MAX(1,INT(((CROQUIS!$C$98)-CROQUIS!$C$107)/MAX((CROQUIS!$C$129*MAX(1,CEILING((INT(((CROQUIS!$C$98)-CROQUIS!$C$107)/MAX(CROQUIS!$C$129,1))+1)/80,1))),1))+1)-1)*(CROQUIS!$C$129*MAX(1,CEILING((INT(((CROQUIS!$C$98)-CROQUIS!$C$107)/MAX(CROQUIS!$C$129,1))+1)/80,1))))/2)+MIN(INT(($A395-1)/5),MAX((MAX(1,INT(((CROQUIS!$C$98)-CROQUIS!$C$107)/MAX((CROQUIS!$C$129*MAX(1,CEILING((INT(((CROQUIS!$C$98)-CROQUIS!$C$107)/MAX(CROQUIS!$C$129,1))+1)/80,1))),1))+1))-1,0))*(CROQUIS!$C$129*MAX(1,CEILING((INT(((CROQUIS!$C$98)-CROQUIS!$C$107)/MAX(CROQUIS!$C$129,1))+1)/80,1)))),CHOOSE(IF(INT(($A395-1)/5)&gt;MAX((MAX(1,INT(((CROQUIS!$C$98)-CROQUIS!$C$107)/MAX((CROQUIS!$C$129*MAX(1,CEILING((INT(((CROQUIS!$C$98)-CROQUIS!$C$107)/MAX(CROQUIS!$C$129,1))+1)/80,1))),1))+1))-1,0),0,MOD($A395-1,5))+1,0,2,CROQUIS!$C$97-2,2,0)))*CROQUIS!$C$159)+IF(CROQUIS!$C$92="X",0,0)),-1000)</f>
        <v>-1000</v>
      </c>
      <c r="BP395">
        <f>IF(AND(CROQUIS!$C$88=1,CROQUIS!$C$137&gt;0),((CROQUIS!$C$160+(IF(CROQUIS!$C$92="X",((CROQUIS!$C$107/2+(((CROQUIS!$C$97)-CROQUIS!$C$107)-(MAX(1,INT(((CROQUIS!$C$97)-CROQUIS!$C$107)/MAX((CROQUIS!$C$137*MAX(1,CEILING((INT(((CROQUIS!$C$97)-CROQUIS!$C$107)/MAX(CROQUIS!$C$137,1))+1)/80,1))),1))+1)-1)*(CROQUIS!$C$137*MAX(1,CEILING((INT(((CROQUIS!$C$97)-CROQUIS!$C$107)/MAX(CROQUIS!$C$137,1))+1)/80,1))))/2)+MIN(INT(($A395-1)/5),MAX((MAX(1,INT(((CROQUIS!$C$97)-CROQUIS!$C$107)/MAX((CROQUIS!$C$137*MAX(1,CEILING((INT(((CROQUIS!$C$97)-CROQUIS!$C$107)/MAX(CROQUIS!$C$137,1))+1)/80,1))),1))+1))-1,0))*(CROQUIS!$C$137*MAX(1,CEILING((INT(((CROQUIS!$C$97)-CROQUIS!$C$107)/MAX(CROQUIS!$C$137,1))+1)/80,1)))),CHOOSE(IF(INT(($A395-1)/5)&gt;MAX((MAX(1,INT(((CROQUIS!$C$97)-CROQUIS!$C$107)/MAX((CROQUIS!$C$137*MAX(1,CEILING((INT(((CROQUIS!$C$97)-CROQUIS!$C$107)/MAX(CROQUIS!$C$137,1))+1)/80,1))),1))+1))-1,0),0,MOD($A395-1,5))+1,0,2,CROQUIS!$C$98-2,2,0)))*CROQUIS!$C$159)+IF(CROQUIS!$C$92="X",0,0)),-1000)</f>
        <v>-1000</v>
      </c>
      <c r="BQ395">
        <f>IF(AND(CROQUIS!$C$88=1,CROQUIS!$C$137&gt;0),((CROQUIS!$C$161+(IF(CROQUIS!$C$92="X",CHOOSE(IF(INT(($A395-1)/5)&gt;MAX((MAX(1,INT(((CROQUIS!$C$97)-CROQUIS!$C$107)/MAX((CROQUIS!$C$137*MAX(1,CEILING((INT(((CROQUIS!$C$97)-CROQUIS!$C$107)/MAX(CROQUIS!$C$137,1))+1)/80,1))),1))+1))-1,0),0,MOD($A395-1,5))+1,0,2,CROQUIS!$C$98-2,2,0),((CROQUIS!$C$107/2+(((CROQUIS!$C$97)-CROQUIS!$C$107)-(MAX(1,INT(((CROQUIS!$C$97)-CROQUIS!$C$107)/MAX((CROQUIS!$C$137*MAX(1,CEILING((INT(((CROQUIS!$C$97)-CROQUIS!$C$107)/MAX(CROQUIS!$C$137,1))+1)/80,1))),1))+1)-1)*(CROQUIS!$C$137*MAX(1,CEILING((INT(((CROQUIS!$C$97)-CROQUIS!$C$107)/MAX(CROQUIS!$C$137,1))+1)/80,1))))/2)+MIN(INT(($A395-1)/5),MAX((MAX(1,INT(((CROQUIS!$C$97)-CROQUIS!$C$107)/MAX((CROQUIS!$C$137*MAX(1,CEILING((INT(((CROQUIS!$C$97)-CROQUIS!$C$107)/MAX(CROQUIS!$C$137,1))+1)/80,1))),1))+1))-1,0))*(CROQUIS!$C$137*MAX(1,CEILING((INT(((CROQUIS!$C$97)-CROQUIS!$C$107)/MAX(CROQUIS!$C$137,1))+1)/80,1))))))*CROQUIS!$C$159)+IF(CROQUIS!$C$92="X",0,0)),-1000)</f>
        <v>-1000</v>
      </c>
      <c r="BR395">
        <f>IF(AND(CROQUIS!$C$88=1,CROQUIS!$C$91=0,CROQUIS!$C$133&gt;0,OR(CROQUIS!$C$103=1,CROQUIS!$C$145=1)),((CROQUIS!$C$160+(IF(CROQUIS!$C$92="X",CHOOSE(IF(INT(($A395-1)/5)&gt;MAX((MAX(1,INT(((CROQUIS!$C$98)-CROQUIS!$C$107)/MAX((CROQUIS!$C$133*MAX(1,CEILING((INT(((CROQUIS!$C$98)-CROQUIS!$C$107)/MAX(CROQUIS!$C$133,1))+1)/80,1))),1))+1))-1,0),0,MOD($A395-1,5))+1,0,IF(CROQUIS!$C$103=1,-12,2),CROQUIS!$C$107/2+CROQUIS!$C$143,IF(CROQUIS!$C$103=1,-12,2),0),((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BS3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+1,0,IF(CROQUIS!$C$103=1,-12,2),CROQUIS!$C$107/2+CROQUIS!$C$143,IF(CROQUIS!$C$103=1,-12,2),0)))*CROQUIS!$C$159)+IF(CROQUIS!$C$92="X",0.8,0)),-1000)</f>
        <v>-1000</v>
      </c>
      <c r="BT395">
        <f>IF(AND(CROQUIS!$C$88=1,CROQUIS!$C$91=0,CROQUIS!$C$133&gt;0,OR(CROQUIS!$C$104=1,CROQUIS!$C$145=1)),((CROQUIS!$C$160+(IF(CROQUIS!$C$92="X",CHOOSE(IF(INT(($A395-1)/5)&gt;MAX((MAX(1,INT(((CROQUIS!$C$98)-CROQUIS!$C$107)/MAX((CROQUIS!$C$133*MAX(1,CEILING((INT(((CROQUIS!$C$98)-CROQUIS!$C$107)/MAX(CROQUIS!$C$133,1))+1)/80,1))),1))+1))-1,0),0,MOD($A395-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BU3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CROQUIS!$C$97,CROQUIS!$C$97-CROQUIS!$C$107/2-CROQUIS!$C$143,IF(CROQUIS!$C$104=1,CROQUIS!$C$97+12,CROQUIS!$C$97-2),CROQUIS!$C$97-CROQUIS!$C$107/2-CROQUIS!$C$143,CROQUIS!$C$97)))*CROQUIS!$C$159)+IF(CROQUIS!$C$92="X",0.8,0)),-1000)</f>
        <v>-1000</v>
      </c>
      <c r="BV3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HOOSE(IF(INT(($A395-1)/5)&gt;MAX((MAX(1,INT(((CROQUIS!$C$97)-CROQUIS!$C$107)/MAX((CROQUIS!$C$141*MAX(1,CEILING((INT(((CROQUIS!$C$97)-CROQUIS!$C$107)/MAX(CROQUIS!$C$141,1))+1)/80,1))),1))+1))-1,0),0,MOD($A395-1,5))+1,0,IF(CROQUIS!$C$105=1,-12,2),CROQUIS!$C$107/2+CROQUIS!$C$144,IF(CROQUIS!$C$105=1,-12,2),0)))*CROQUIS!$C$159)+IF(CROQUIS!$C$92="X",0.8,0)),-1000)</f>
        <v>-1000</v>
      </c>
      <c r="BW395">
        <f>IF(AND(CROQUIS!$C$88=1,CROQUIS!$C$91=0,CROQUIS!$C$141&gt;0,OR(CROQUIS!$C$105=1,CROQUIS!$C$146=1)),((CROQUIS!$C$161+(IF(CROQUIS!$C$92="X",CHOOSE(IF(INT(($A395-1)/5)&gt;MAX((MAX(1,INT(((CROQUIS!$C$97)-CROQUIS!$C$107)/MAX((CROQUIS!$C$141*MAX(1,CEILING((INT(((CROQUIS!$C$97)-CROQUIS!$C$107)/MAX(CROQUIS!$C$141,1))+1)/80,1))),1))+1))-1,0),0,MOD($A395-1,5))+1,0,IF(CROQUIS!$C$105=1,-12,2),CROQUIS!$C$107/2+CROQUIS!$C$144,IF(CROQUIS!$C$105=1,-12,2),0),((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ROQUIS!$C$159)+IF(CROQUIS!$C$92="X",0,0.8)),-1000)</f>
        <v>-1000</v>
      </c>
      <c r="BX3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HOOSE(IF(INT(($A395-1)/5)&gt;MAX((MAX(1,INT(((CROQUIS!$C$97)-CROQUIS!$C$107)/MAX((CROQUIS!$C$141*MAX(1,CEILING((INT(((CROQUIS!$C$97)-CROQUIS!$C$107)/MAX(CROQUIS!$C$141,1))+1)/80,1))),1))+1))-1,0),0,MOD($A395-1,5))+1,CROQUIS!$C$98,CROQUIS!$C$98-CROQUIS!$C$107/2-CROQUIS!$C$144,IF(CROQUIS!$C$106=1,CROQUIS!$C$98+12,CROQUIS!$C$98-2),CROQUIS!$C$98-CROQUIS!$C$107/2-CROQUIS!$C$144,CROQUIS!$C$98)))*CROQUIS!$C$159)+IF(CROQUIS!$C$92="X",0.8,0)),-1000)</f>
        <v>-1000</v>
      </c>
      <c r="BY395">
        <f>IF(AND(CROQUIS!$C$88=1,CROQUIS!$C$91=0,CROQUIS!$C$141&gt;0,OR(CROQUIS!$C$106=1,CROQUIS!$C$146=1)),((CROQUIS!$C$161+(IF(CROQUIS!$C$92="X",CHOOSE(IF(INT(($A395-1)/5)&gt;MAX((MAX(1,INT(((CROQUIS!$C$97)-CROQUIS!$C$107)/MAX((CROQUIS!$C$141*MAX(1,CEILING((INT(((CROQUIS!$C$97)-CROQUIS!$C$107)/MAX(CROQUIS!$C$141,1))+1)/80,1))),1))+1))-1,0),0,MOD($A395-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ROQUIS!$C$159)+IF(CROQUIS!$C$92="X",0,0.8)),-1000)</f>
        <v>-1000</v>
      </c>
      <c r="BZ395">
        <f>IF(AND(CROQUIS!$C$88=1,CROQUIS!$C$91=1,CROQUIS!$C$133&gt;0),((CROQUIS!$C$160+(IF(CROQUIS!$C$92="X",CHOOSE(IF(INT(($A395-1)/5)&gt;MAX((MAX(1,INT(((CROQUIS!$C$98)-CROQUIS!$C$107)/MAX((CROQUIS!$C$133*MAX(1,CEILING((INT(((CROQUIS!$C$98)-CROQUIS!$C$107)/MAX(CROQUIS!$C$133,1))+1)/80,1))),1))+1))-1,0),0,MOD($A395-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CA395">
        <f>IF(AND(CROQUIS!$C$88=1,CROQUIS!$C$91=1,CROQUIS!$C$133&gt;0),((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6">
      <c r="A396" t="n">
        <v>389</v>
      </c>
      <c r="BN396">
        <f>IF(AND(CROQUIS!$C$88=1,CROQUIS!$C$129&gt;0),((CROQUIS!$C$160+(IF(CROQUIS!$C$92="X",CHOOSE(IF(INT(($A396-1)/5)&gt;MAX((MAX(1,INT(((CROQUIS!$C$98)-CROQUIS!$C$107)/MAX((CROQUIS!$C$129*MAX(1,CEILING((INT(((CROQUIS!$C$98)-CROQUIS!$C$107)/MAX(CROQUIS!$C$129,1))+1)/80,1))),1))+1))-1,0),0,MOD($A396-1,5))+1,0,2,CROQUIS!$C$97-2,2,0),((CROQUIS!$C$107/2+(((CROQUIS!$C$98)-CROQUIS!$C$107)-(MAX(1,INT(((CROQUIS!$C$98)-CROQUIS!$C$107)/MAX((CROQUIS!$C$129*MAX(1,CEILING((INT(((CROQUIS!$C$98)-CROQUIS!$C$107)/MAX(CROQUIS!$C$129,1))+1)/80,1))),1))+1)-1)*(CROQUIS!$C$129*MAX(1,CEILING((INT(((CROQUIS!$C$98)-CROQUIS!$C$107)/MAX(CROQUIS!$C$129,1))+1)/80,1))))/2)+MIN(INT(($A396-1)/5),MAX((MAX(1,INT(((CROQUIS!$C$98)-CROQUIS!$C$107)/MAX((CROQUIS!$C$129*MAX(1,CEILING((INT(((CROQUIS!$C$98)-CROQUIS!$C$107)/MAX(CROQUIS!$C$129,1))+1)/80,1))),1))+1))-1,0))*(CROQUIS!$C$129*MAX(1,CEILING((INT(((CROQUIS!$C$98)-CROQUIS!$C$107)/MAX(CROQUIS!$C$129,1))+1)/80,1))))))*CROQUIS!$C$159)+IF(CROQUIS!$C$92="X",0,0)),-1000)</f>
        <v>-1000</v>
      </c>
      <c r="BO396">
        <f>IF(AND(CROQUIS!$C$88=1,CROQUIS!$C$129&gt;0),((CROQUIS!$C$161+(IF(CROQUIS!$C$92="X",((CROQUIS!$C$107/2+(((CROQUIS!$C$98)-CROQUIS!$C$107)-(MAX(1,INT(((CROQUIS!$C$98)-CROQUIS!$C$107)/MAX((CROQUIS!$C$129*MAX(1,CEILING((INT(((CROQUIS!$C$98)-CROQUIS!$C$107)/MAX(CROQUIS!$C$129,1))+1)/80,1))),1))+1)-1)*(CROQUIS!$C$129*MAX(1,CEILING((INT(((CROQUIS!$C$98)-CROQUIS!$C$107)/MAX(CROQUIS!$C$129,1))+1)/80,1))))/2)+MIN(INT(($A396-1)/5),MAX((MAX(1,INT(((CROQUIS!$C$98)-CROQUIS!$C$107)/MAX((CROQUIS!$C$129*MAX(1,CEILING((INT(((CROQUIS!$C$98)-CROQUIS!$C$107)/MAX(CROQUIS!$C$129,1))+1)/80,1))),1))+1))-1,0))*(CROQUIS!$C$129*MAX(1,CEILING((INT(((CROQUIS!$C$98)-CROQUIS!$C$107)/MAX(CROQUIS!$C$129,1))+1)/80,1)))),CHOOSE(IF(INT(($A396-1)/5)&gt;MAX((MAX(1,INT(((CROQUIS!$C$98)-CROQUIS!$C$107)/MAX((CROQUIS!$C$129*MAX(1,CEILING((INT(((CROQUIS!$C$98)-CROQUIS!$C$107)/MAX(CROQUIS!$C$129,1))+1)/80,1))),1))+1))-1,0),0,MOD($A396-1,5))+1,0,2,CROQUIS!$C$97-2,2,0)))*CROQUIS!$C$159)+IF(CROQUIS!$C$92="X",0,0)),-1000)</f>
        <v>-1000</v>
      </c>
      <c r="BP396">
        <f>IF(AND(CROQUIS!$C$88=1,CROQUIS!$C$137&gt;0),((CROQUIS!$C$160+(IF(CROQUIS!$C$92="X",((CROQUIS!$C$107/2+(((CROQUIS!$C$97)-CROQUIS!$C$107)-(MAX(1,INT(((CROQUIS!$C$97)-CROQUIS!$C$107)/MAX((CROQUIS!$C$137*MAX(1,CEILING((INT(((CROQUIS!$C$97)-CROQUIS!$C$107)/MAX(CROQUIS!$C$137,1))+1)/80,1))),1))+1)-1)*(CROQUIS!$C$137*MAX(1,CEILING((INT(((CROQUIS!$C$97)-CROQUIS!$C$107)/MAX(CROQUIS!$C$137,1))+1)/80,1))))/2)+MIN(INT(($A396-1)/5),MAX((MAX(1,INT(((CROQUIS!$C$97)-CROQUIS!$C$107)/MAX((CROQUIS!$C$137*MAX(1,CEILING((INT(((CROQUIS!$C$97)-CROQUIS!$C$107)/MAX(CROQUIS!$C$137,1))+1)/80,1))),1))+1))-1,0))*(CROQUIS!$C$137*MAX(1,CEILING((INT(((CROQUIS!$C$97)-CROQUIS!$C$107)/MAX(CROQUIS!$C$137,1))+1)/80,1)))),CHOOSE(IF(INT(($A396-1)/5)&gt;MAX((MAX(1,INT(((CROQUIS!$C$97)-CROQUIS!$C$107)/MAX((CROQUIS!$C$137*MAX(1,CEILING((INT(((CROQUIS!$C$97)-CROQUIS!$C$107)/MAX(CROQUIS!$C$137,1))+1)/80,1))),1))+1))-1,0),0,MOD($A396-1,5))+1,0,2,CROQUIS!$C$98-2,2,0)))*CROQUIS!$C$159)+IF(CROQUIS!$C$92="X",0,0)),-1000)</f>
        <v>-1000</v>
      </c>
      <c r="BQ396">
        <f>IF(AND(CROQUIS!$C$88=1,CROQUIS!$C$137&gt;0),((CROQUIS!$C$161+(IF(CROQUIS!$C$92="X",CHOOSE(IF(INT(($A396-1)/5)&gt;MAX((MAX(1,INT(((CROQUIS!$C$97)-CROQUIS!$C$107)/MAX((CROQUIS!$C$137*MAX(1,CEILING((INT(((CROQUIS!$C$97)-CROQUIS!$C$107)/MAX(CROQUIS!$C$137,1))+1)/80,1))),1))+1))-1,0),0,MOD($A396-1,5))+1,0,2,CROQUIS!$C$98-2,2,0),((CROQUIS!$C$107/2+(((CROQUIS!$C$97)-CROQUIS!$C$107)-(MAX(1,INT(((CROQUIS!$C$97)-CROQUIS!$C$107)/MAX((CROQUIS!$C$137*MAX(1,CEILING((INT(((CROQUIS!$C$97)-CROQUIS!$C$107)/MAX(CROQUIS!$C$137,1))+1)/80,1))),1))+1)-1)*(CROQUIS!$C$137*MAX(1,CEILING((INT(((CROQUIS!$C$97)-CROQUIS!$C$107)/MAX(CROQUIS!$C$137,1))+1)/80,1))))/2)+MIN(INT(($A396-1)/5),MAX((MAX(1,INT(((CROQUIS!$C$97)-CROQUIS!$C$107)/MAX((CROQUIS!$C$137*MAX(1,CEILING((INT(((CROQUIS!$C$97)-CROQUIS!$C$107)/MAX(CROQUIS!$C$137,1))+1)/80,1))),1))+1))-1,0))*(CROQUIS!$C$137*MAX(1,CEILING((INT(((CROQUIS!$C$97)-CROQUIS!$C$107)/MAX(CROQUIS!$C$137,1))+1)/80,1))))))*CROQUIS!$C$159)+IF(CROQUIS!$C$92="X",0,0)),-1000)</f>
        <v>-1000</v>
      </c>
      <c r="BR396">
        <f>IF(AND(CROQUIS!$C$88=1,CROQUIS!$C$91=0,CROQUIS!$C$133&gt;0,OR(CROQUIS!$C$103=1,CROQUIS!$C$145=1)),((CROQUIS!$C$160+(IF(CROQUIS!$C$92="X",CHOOSE(IF(INT(($A396-1)/5)&gt;MAX((MAX(1,INT(((CROQUIS!$C$98)-CROQUIS!$C$107)/MAX((CROQUIS!$C$133*MAX(1,CEILING((INT(((CROQUIS!$C$98)-CROQUIS!$C$107)/MAX(CROQUIS!$C$133,1))+1)/80,1))),1))+1))-1,0),0,MOD($A396-1,5))+1,0,IF(CROQUIS!$C$103=1,-12,2),CROQUIS!$C$107/2+CROQUIS!$C$143,IF(CROQUIS!$C$103=1,-12,2),0),((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BS3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+1,0,IF(CROQUIS!$C$103=1,-12,2),CROQUIS!$C$107/2+CROQUIS!$C$143,IF(CROQUIS!$C$103=1,-12,2),0)))*CROQUIS!$C$159)+IF(CROQUIS!$C$92="X",0.8,0)),-1000)</f>
        <v>-1000</v>
      </c>
      <c r="BT396">
        <f>IF(AND(CROQUIS!$C$88=1,CROQUIS!$C$91=0,CROQUIS!$C$133&gt;0,OR(CROQUIS!$C$104=1,CROQUIS!$C$145=1)),((CROQUIS!$C$160+(IF(CROQUIS!$C$92="X",CHOOSE(IF(INT(($A396-1)/5)&gt;MAX((MAX(1,INT(((CROQUIS!$C$98)-CROQUIS!$C$107)/MAX((CROQUIS!$C$133*MAX(1,CEILING((INT(((CROQUIS!$C$98)-CROQUIS!$C$107)/MAX(CROQUIS!$C$133,1))+1)/80,1))),1))+1))-1,0),0,MOD($A396-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BU3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CROQUIS!$C$97,CROQUIS!$C$97-CROQUIS!$C$107/2-CROQUIS!$C$143,IF(CROQUIS!$C$104=1,CROQUIS!$C$97+12,CROQUIS!$C$97-2),CROQUIS!$C$97-CROQUIS!$C$107/2-CROQUIS!$C$143,CROQUIS!$C$97)))*CROQUIS!$C$159)+IF(CROQUIS!$C$92="X",0.8,0)),-1000)</f>
        <v>-1000</v>
      </c>
      <c r="BV3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HOOSE(IF(INT(($A396-1)/5)&gt;MAX((MAX(1,INT(((CROQUIS!$C$97)-CROQUIS!$C$107)/MAX((CROQUIS!$C$141*MAX(1,CEILING((INT(((CROQUIS!$C$97)-CROQUIS!$C$107)/MAX(CROQUIS!$C$141,1))+1)/80,1))),1))+1))-1,0),0,MOD($A396-1,5))+1,0,IF(CROQUIS!$C$105=1,-12,2),CROQUIS!$C$107/2+CROQUIS!$C$144,IF(CROQUIS!$C$105=1,-12,2),0)))*CROQUIS!$C$159)+IF(CROQUIS!$C$92="X",0.8,0)),-1000)</f>
        <v>-1000</v>
      </c>
      <c r="BW396">
        <f>IF(AND(CROQUIS!$C$88=1,CROQUIS!$C$91=0,CROQUIS!$C$141&gt;0,OR(CROQUIS!$C$105=1,CROQUIS!$C$146=1)),((CROQUIS!$C$161+(IF(CROQUIS!$C$92="X",CHOOSE(IF(INT(($A396-1)/5)&gt;MAX((MAX(1,INT(((CROQUIS!$C$97)-CROQUIS!$C$107)/MAX((CROQUIS!$C$141*MAX(1,CEILING((INT(((CROQUIS!$C$97)-CROQUIS!$C$107)/MAX(CROQUIS!$C$141,1))+1)/80,1))),1))+1))-1,0),0,MOD($A396-1,5))+1,0,IF(CROQUIS!$C$105=1,-12,2),CROQUIS!$C$107/2+CROQUIS!$C$144,IF(CROQUIS!$C$105=1,-12,2),0),((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ROQUIS!$C$159)+IF(CROQUIS!$C$92="X",0,0.8)),-1000)</f>
        <v>-1000</v>
      </c>
      <c r="BX3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HOOSE(IF(INT(($A396-1)/5)&gt;MAX((MAX(1,INT(((CROQUIS!$C$97)-CROQUIS!$C$107)/MAX((CROQUIS!$C$141*MAX(1,CEILING((INT(((CROQUIS!$C$97)-CROQUIS!$C$107)/MAX(CROQUIS!$C$141,1))+1)/80,1))),1))+1))-1,0),0,MOD($A396-1,5))+1,CROQUIS!$C$98,CROQUIS!$C$98-CROQUIS!$C$107/2-CROQUIS!$C$144,IF(CROQUIS!$C$106=1,CROQUIS!$C$98+12,CROQUIS!$C$98-2),CROQUIS!$C$98-CROQUIS!$C$107/2-CROQUIS!$C$144,CROQUIS!$C$98)))*CROQUIS!$C$159)+IF(CROQUIS!$C$92="X",0.8,0)),-1000)</f>
        <v>-1000</v>
      </c>
      <c r="BY396">
        <f>IF(AND(CROQUIS!$C$88=1,CROQUIS!$C$91=0,CROQUIS!$C$141&gt;0,OR(CROQUIS!$C$106=1,CROQUIS!$C$146=1)),((CROQUIS!$C$161+(IF(CROQUIS!$C$92="X",CHOOSE(IF(INT(($A396-1)/5)&gt;MAX((MAX(1,INT(((CROQUIS!$C$97)-CROQUIS!$C$107)/MAX((CROQUIS!$C$141*MAX(1,CEILING((INT(((CROQUIS!$C$97)-CROQUIS!$C$107)/MAX(CROQUIS!$C$141,1))+1)/80,1))),1))+1))-1,0),0,MOD($A396-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ROQUIS!$C$159)+IF(CROQUIS!$C$92="X",0,0.8)),-1000)</f>
        <v>-1000</v>
      </c>
      <c r="BZ396">
        <f>IF(AND(CROQUIS!$C$88=1,CROQUIS!$C$91=1,CROQUIS!$C$133&gt;0),((CROQUIS!$C$160+(IF(CROQUIS!$C$92="X",CHOOSE(IF(INT(($A396-1)/5)&gt;MAX((MAX(1,INT(((CROQUIS!$C$98)-CROQUIS!$C$107)/MAX((CROQUIS!$C$133*MAX(1,CEILING((INT(((CROQUIS!$C$98)-CROQUIS!$C$107)/MAX(CROQUIS!$C$133,1))+1)/80,1))),1))+1))-1,0),0,MOD($A396-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CA396">
        <f>IF(AND(CROQUIS!$C$88=1,CROQUIS!$C$91=1,CROQUIS!$C$133&gt;0),((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7">
      <c r="A397" t="n">
        <v>390</v>
      </c>
      <c r="BN397">
        <f>IF(AND(CROQUIS!$C$88=1,CROQUIS!$C$129&gt;0),((CROQUIS!$C$160+(IF(CROQUIS!$C$92="X",CHOOSE(IF(INT(($A397-1)/5)&gt;MAX((MAX(1,INT(((CROQUIS!$C$98)-CROQUIS!$C$107)/MAX((CROQUIS!$C$129*MAX(1,CEILING((INT(((CROQUIS!$C$98)-CROQUIS!$C$107)/MAX(CROQUIS!$C$129,1))+1)/80,1))),1))+1))-1,0),0,MOD($A397-1,5))+1,0,2,CROQUIS!$C$97-2,2,0),((CROQUIS!$C$107/2+(((CROQUIS!$C$98)-CROQUIS!$C$107)-(MAX(1,INT(((CROQUIS!$C$98)-CROQUIS!$C$107)/MAX((CROQUIS!$C$129*MAX(1,CEILING((INT(((CROQUIS!$C$98)-CROQUIS!$C$107)/MAX(CROQUIS!$C$129,1))+1)/80,1))),1))+1)-1)*(CROQUIS!$C$129*MAX(1,CEILING((INT(((CROQUIS!$C$98)-CROQUIS!$C$107)/MAX(CROQUIS!$C$129,1))+1)/80,1))))/2)+MIN(INT(($A397-1)/5),MAX((MAX(1,INT(((CROQUIS!$C$98)-CROQUIS!$C$107)/MAX((CROQUIS!$C$129*MAX(1,CEILING((INT(((CROQUIS!$C$98)-CROQUIS!$C$107)/MAX(CROQUIS!$C$129,1))+1)/80,1))),1))+1))-1,0))*(CROQUIS!$C$129*MAX(1,CEILING((INT(((CROQUIS!$C$98)-CROQUIS!$C$107)/MAX(CROQUIS!$C$129,1))+1)/80,1))))))*CROQUIS!$C$159)+IF(CROQUIS!$C$92="X",0,0)),-1000)</f>
        <v>-1000</v>
      </c>
      <c r="BO397">
        <f>IF(AND(CROQUIS!$C$88=1,CROQUIS!$C$129&gt;0),((CROQUIS!$C$161+(IF(CROQUIS!$C$92="X",((CROQUIS!$C$107/2+(((CROQUIS!$C$98)-CROQUIS!$C$107)-(MAX(1,INT(((CROQUIS!$C$98)-CROQUIS!$C$107)/MAX((CROQUIS!$C$129*MAX(1,CEILING((INT(((CROQUIS!$C$98)-CROQUIS!$C$107)/MAX(CROQUIS!$C$129,1))+1)/80,1))),1))+1)-1)*(CROQUIS!$C$129*MAX(1,CEILING((INT(((CROQUIS!$C$98)-CROQUIS!$C$107)/MAX(CROQUIS!$C$129,1))+1)/80,1))))/2)+MIN(INT(($A397-1)/5),MAX((MAX(1,INT(((CROQUIS!$C$98)-CROQUIS!$C$107)/MAX((CROQUIS!$C$129*MAX(1,CEILING((INT(((CROQUIS!$C$98)-CROQUIS!$C$107)/MAX(CROQUIS!$C$129,1))+1)/80,1))),1))+1))-1,0))*(CROQUIS!$C$129*MAX(1,CEILING((INT(((CROQUIS!$C$98)-CROQUIS!$C$107)/MAX(CROQUIS!$C$129,1))+1)/80,1)))),CHOOSE(IF(INT(($A397-1)/5)&gt;MAX((MAX(1,INT(((CROQUIS!$C$98)-CROQUIS!$C$107)/MAX((CROQUIS!$C$129*MAX(1,CEILING((INT(((CROQUIS!$C$98)-CROQUIS!$C$107)/MAX(CROQUIS!$C$129,1))+1)/80,1))),1))+1))-1,0),0,MOD($A397-1,5))+1,0,2,CROQUIS!$C$97-2,2,0)))*CROQUIS!$C$159)+IF(CROQUIS!$C$92="X",0,0)),-1000)</f>
        <v>-1000</v>
      </c>
      <c r="BP397">
        <f>IF(AND(CROQUIS!$C$88=1,CROQUIS!$C$137&gt;0),((CROQUIS!$C$160+(IF(CROQUIS!$C$92="X",((CROQUIS!$C$107/2+(((CROQUIS!$C$97)-CROQUIS!$C$107)-(MAX(1,INT(((CROQUIS!$C$97)-CROQUIS!$C$107)/MAX((CROQUIS!$C$137*MAX(1,CEILING((INT(((CROQUIS!$C$97)-CROQUIS!$C$107)/MAX(CROQUIS!$C$137,1))+1)/80,1))),1))+1)-1)*(CROQUIS!$C$137*MAX(1,CEILING((INT(((CROQUIS!$C$97)-CROQUIS!$C$107)/MAX(CROQUIS!$C$137,1))+1)/80,1))))/2)+MIN(INT(($A397-1)/5),MAX((MAX(1,INT(((CROQUIS!$C$97)-CROQUIS!$C$107)/MAX((CROQUIS!$C$137*MAX(1,CEILING((INT(((CROQUIS!$C$97)-CROQUIS!$C$107)/MAX(CROQUIS!$C$137,1))+1)/80,1))),1))+1))-1,0))*(CROQUIS!$C$137*MAX(1,CEILING((INT(((CROQUIS!$C$97)-CROQUIS!$C$107)/MAX(CROQUIS!$C$137,1))+1)/80,1)))),CHOOSE(IF(INT(($A397-1)/5)&gt;MAX((MAX(1,INT(((CROQUIS!$C$97)-CROQUIS!$C$107)/MAX((CROQUIS!$C$137*MAX(1,CEILING((INT(((CROQUIS!$C$97)-CROQUIS!$C$107)/MAX(CROQUIS!$C$137,1))+1)/80,1))),1))+1))-1,0),0,MOD($A397-1,5))+1,0,2,CROQUIS!$C$98-2,2,0)))*CROQUIS!$C$159)+IF(CROQUIS!$C$92="X",0,0)),-1000)</f>
        <v>-1000</v>
      </c>
      <c r="BQ397">
        <f>IF(AND(CROQUIS!$C$88=1,CROQUIS!$C$137&gt;0),((CROQUIS!$C$161+(IF(CROQUIS!$C$92="X",CHOOSE(IF(INT(($A397-1)/5)&gt;MAX((MAX(1,INT(((CROQUIS!$C$97)-CROQUIS!$C$107)/MAX((CROQUIS!$C$137*MAX(1,CEILING((INT(((CROQUIS!$C$97)-CROQUIS!$C$107)/MAX(CROQUIS!$C$137,1))+1)/80,1))),1))+1))-1,0),0,MOD($A397-1,5))+1,0,2,CROQUIS!$C$98-2,2,0),((CROQUIS!$C$107/2+(((CROQUIS!$C$97)-CROQUIS!$C$107)-(MAX(1,INT(((CROQUIS!$C$97)-CROQUIS!$C$107)/MAX((CROQUIS!$C$137*MAX(1,CEILING((INT(((CROQUIS!$C$97)-CROQUIS!$C$107)/MAX(CROQUIS!$C$137,1))+1)/80,1))),1))+1)-1)*(CROQUIS!$C$137*MAX(1,CEILING((INT(((CROQUIS!$C$97)-CROQUIS!$C$107)/MAX(CROQUIS!$C$137,1))+1)/80,1))))/2)+MIN(INT(($A397-1)/5),MAX((MAX(1,INT(((CROQUIS!$C$97)-CROQUIS!$C$107)/MAX((CROQUIS!$C$137*MAX(1,CEILING((INT(((CROQUIS!$C$97)-CROQUIS!$C$107)/MAX(CROQUIS!$C$137,1))+1)/80,1))),1))+1))-1,0))*(CROQUIS!$C$137*MAX(1,CEILING((INT(((CROQUIS!$C$97)-CROQUIS!$C$107)/MAX(CROQUIS!$C$137,1))+1)/80,1))))))*CROQUIS!$C$159)+IF(CROQUIS!$C$92="X",0,0)),-1000)</f>
        <v>-1000</v>
      </c>
      <c r="BR397">
        <f>IF(AND(CROQUIS!$C$88=1,CROQUIS!$C$91=0,CROQUIS!$C$133&gt;0,OR(CROQUIS!$C$103=1,CROQUIS!$C$145=1)),((CROQUIS!$C$160+(IF(CROQUIS!$C$92="X",CHOOSE(IF(INT(($A397-1)/5)&gt;MAX((MAX(1,INT(((CROQUIS!$C$98)-CROQUIS!$C$107)/MAX((CROQUIS!$C$133*MAX(1,CEILING((INT(((CROQUIS!$C$98)-CROQUIS!$C$107)/MAX(CROQUIS!$C$133,1))+1)/80,1))),1))+1))-1,0),0,MOD($A397-1,5))+1,0,IF(CROQUIS!$C$103=1,-12,2),CROQUIS!$C$107/2+CROQUIS!$C$143,IF(CROQUIS!$C$103=1,-12,2),0),((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BS3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+1,0,IF(CROQUIS!$C$103=1,-12,2),CROQUIS!$C$107/2+CROQUIS!$C$143,IF(CROQUIS!$C$103=1,-12,2),0)))*CROQUIS!$C$159)+IF(CROQUIS!$C$92="X",0.8,0)),-1000)</f>
        <v>-1000</v>
      </c>
      <c r="BT397">
        <f>IF(AND(CROQUIS!$C$88=1,CROQUIS!$C$91=0,CROQUIS!$C$133&gt;0,OR(CROQUIS!$C$104=1,CROQUIS!$C$145=1)),((CROQUIS!$C$160+(IF(CROQUIS!$C$92="X",CHOOSE(IF(INT(($A397-1)/5)&gt;MAX((MAX(1,INT(((CROQUIS!$C$98)-CROQUIS!$C$107)/MAX((CROQUIS!$C$133*MAX(1,CEILING((INT(((CROQUIS!$C$98)-CROQUIS!$C$107)/MAX(CROQUIS!$C$133,1))+1)/80,1))),1))+1))-1,0),0,MOD($A397-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BU3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CROQUIS!$C$97,CROQUIS!$C$97-CROQUIS!$C$107/2-CROQUIS!$C$143,IF(CROQUIS!$C$104=1,CROQUIS!$C$97+12,CROQUIS!$C$97-2),CROQUIS!$C$97-CROQUIS!$C$107/2-CROQUIS!$C$143,CROQUIS!$C$97)))*CROQUIS!$C$159)+IF(CROQUIS!$C$92="X",0.8,0)),-1000)</f>
        <v>-1000</v>
      </c>
      <c r="BV3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HOOSE(IF(INT(($A397-1)/5)&gt;MAX((MAX(1,INT(((CROQUIS!$C$97)-CROQUIS!$C$107)/MAX((CROQUIS!$C$141*MAX(1,CEILING((INT(((CROQUIS!$C$97)-CROQUIS!$C$107)/MAX(CROQUIS!$C$141,1))+1)/80,1))),1))+1))-1,0),0,MOD($A397-1,5))+1,0,IF(CROQUIS!$C$105=1,-12,2),CROQUIS!$C$107/2+CROQUIS!$C$144,IF(CROQUIS!$C$105=1,-12,2),0)))*CROQUIS!$C$159)+IF(CROQUIS!$C$92="X",0.8,0)),-1000)</f>
        <v>-1000</v>
      </c>
      <c r="BW397">
        <f>IF(AND(CROQUIS!$C$88=1,CROQUIS!$C$91=0,CROQUIS!$C$141&gt;0,OR(CROQUIS!$C$105=1,CROQUIS!$C$146=1)),((CROQUIS!$C$161+(IF(CROQUIS!$C$92="X",CHOOSE(IF(INT(($A397-1)/5)&gt;MAX((MAX(1,INT(((CROQUIS!$C$97)-CROQUIS!$C$107)/MAX((CROQUIS!$C$141*MAX(1,CEILING((INT(((CROQUIS!$C$97)-CROQUIS!$C$107)/MAX(CROQUIS!$C$141,1))+1)/80,1))),1))+1))-1,0),0,MOD($A397-1,5))+1,0,IF(CROQUIS!$C$105=1,-12,2),CROQUIS!$C$107/2+CROQUIS!$C$144,IF(CROQUIS!$C$105=1,-12,2),0),((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ROQUIS!$C$159)+IF(CROQUIS!$C$92="X",0,0.8)),-1000)</f>
        <v>-1000</v>
      </c>
      <c r="BX3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HOOSE(IF(INT(($A397-1)/5)&gt;MAX((MAX(1,INT(((CROQUIS!$C$97)-CROQUIS!$C$107)/MAX((CROQUIS!$C$141*MAX(1,CEILING((INT(((CROQUIS!$C$97)-CROQUIS!$C$107)/MAX(CROQUIS!$C$141,1))+1)/80,1))),1))+1))-1,0),0,MOD($A397-1,5))+1,CROQUIS!$C$98,CROQUIS!$C$98-CROQUIS!$C$107/2-CROQUIS!$C$144,IF(CROQUIS!$C$106=1,CROQUIS!$C$98+12,CROQUIS!$C$98-2),CROQUIS!$C$98-CROQUIS!$C$107/2-CROQUIS!$C$144,CROQUIS!$C$98)))*CROQUIS!$C$159)+IF(CROQUIS!$C$92="X",0.8,0)),-1000)</f>
        <v>-1000</v>
      </c>
      <c r="BY397">
        <f>IF(AND(CROQUIS!$C$88=1,CROQUIS!$C$91=0,CROQUIS!$C$141&gt;0,OR(CROQUIS!$C$106=1,CROQUIS!$C$146=1)),((CROQUIS!$C$161+(IF(CROQUIS!$C$92="X",CHOOSE(IF(INT(($A397-1)/5)&gt;MAX((MAX(1,INT(((CROQUIS!$C$97)-CROQUIS!$C$107)/MAX((CROQUIS!$C$141*MAX(1,CEILING((INT(((CROQUIS!$C$97)-CROQUIS!$C$107)/MAX(CROQUIS!$C$141,1))+1)/80,1))),1))+1))-1,0),0,MOD($A397-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ROQUIS!$C$159)+IF(CROQUIS!$C$92="X",0,0.8)),-1000)</f>
        <v>-1000</v>
      </c>
      <c r="BZ397">
        <f>IF(AND(CROQUIS!$C$88=1,CROQUIS!$C$91=1,CROQUIS!$C$133&gt;0),((CROQUIS!$C$160+(IF(CROQUIS!$C$92="X",CHOOSE(IF(INT(($A397-1)/5)&gt;MAX((MAX(1,INT(((CROQUIS!$C$98)-CROQUIS!$C$107)/MAX((CROQUIS!$C$133*MAX(1,CEILING((INT(((CROQUIS!$C$98)-CROQUIS!$C$107)/MAX(CROQUIS!$C$133,1))+1)/80,1))),1))+1))-1,0),0,MOD($A397-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CA397">
        <f>IF(AND(CROQUIS!$C$88=1,CROQUIS!$C$91=1,CROQUIS!$C$133&gt;0),((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8">
      <c r="A398" t="n">
        <v>391</v>
      </c>
      <c r="BN398">
        <f>IF(AND(CROQUIS!$C$88=1,CROQUIS!$C$129&gt;0),((CROQUIS!$C$160+(IF(CROQUIS!$C$92="X",CHOOSE(IF(INT(($A398-1)/5)&gt;MAX((MAX(1,INT(((CROQUIS!$C$98)-CROQUIS!$C$107)/MAX((CROQUIS!$C$129*MAX(1,CEILING((INT(((CROQUIS!$C$98)-CROQUIS!$C$107)/MAX(CROQUIS!$C$129,1))+1)/80,1))),1))+1))-1,0),0,MOD($A398-1,5))+1,0,2,CROQUIS!$C$97-2,2,0),((CROQUIS!$C$107/2+(((CROQUIS!$C$98)-CROQUIS!$C$107)-(MAX(1,INT(((CROQUIS!$C$98)-CROQUIS!$C$107)/MAX((CROQUIS!$C$129*MAX(1,CEILING((INT(((CROQUIS!$C$98)-CROQUIS!$C$107)/MAX(CROQUIS!$C$129,1))+1)/80,1))),1))+1)-1)*(CROQUIS!$C$129*MAX(1,CEILING((INT(((CROQUIS!$C$98)-CROQUIS!$C$107)/MAX(CROQUIS!$C$129,1))+1)/80,1))))/2)+MIN(INT(($A398-1)/5),MAX((MAX(1,INT(((CROQUIS!$C$98)-CROQUIS!$C$107)/MAX((CROQUIS!$C$129*MAX(1,CEILING((INT(((CROQUIS!$C$98)-CROQUIS!$C$107)/MAX(CROQUIS!$C$129,1))+1)/80,1))),1))+1))-1,0))*(CROQUIS!$C$129*MAX(1,CEILING((INT(((CROQUIS!$C$98)-CROQUIS!$C$107)/MAX(CROQUIS!$C$129,1))+1)/80,1))))))*CROQUIS!$C$159)+IF(CROQUIS!$C$92="X",0,0)),-1000)</f>
        <v>-1000</v>
      </c>
      <c r="BO398">
        <f>IF(AND(CROQUIS!$C$88=1,CROQUIS!$C$129&gt;0),((CROQUIS!$C$161+(IF(CROQUIS!$C$92="X",((CROQUIS!$C$107/2+(((CROQUIS!$C$98)-CROQUIS!$C$107)-(MAX(1,INT(((CROQUIS!$C$98)-CROQUIS!$C$107)/MAX((CROQUIS!$C$129*MAX(1,CEILING((INT(((CROQUIS!$C$98)-CROQUIS!$C$107)/MAX(CROQUIS!$C$129,1))+1)/80,1))),1))+1)-1)*(CROQUIS!$C$129*MAX(1,CEILING((INT(((CROQUIS!$C$98)-CROQUIS!$C$107)/MAX(CROQUIS!$C$129,1))+1)/80,1))))/2)+MIN(INT(($A398-1)/5),MAX((MAX(1,INT(((CROQUIS!$C$98)-CROQUIS!$C$107)/MAX((CROQUIS!$C$129*MAX(1,CEILING((INT(((CROQUIS!$C$98)-CROQUIS!$C$107)/MAX(CROQUIS!$C$129,1))+1)/80,1))),1))+1))-1,0))*(CROQUIS!$C$129*MAX(1,CEILING((INT(((CROQUIS!$C$98)-CROQUIS!$C$107)/MAX(CROQUIS!$C$129,1))+1)/80,1)))),CHOOSE(IF(INT(($A398-1)/5)&gt;MAX((MAX(1,INT(((CROQUIS!$C$98)-CROQUIS!$C$107)/MAX((CROQUIS!$C$129*MAX(1,CEILING((INT(((CROQUIS!$C$98)-CROQUIS!$C$107)/MAX(CROQUIS!$C$129,1))+1)/80,1))),1))+1))-1,0),0,MOD($A398-1,5))+1,0,2,CROQUIS!$C$97-2,2,0)))*CROQUIS!$C$159)+IF(CROQUIS!$C$92="X",0,0)),-1000)</f>
        <v>-1000</v>
      </c>
      <c r="BP398">
        <f>IF(AND(CROQUIS!$C$88=1,CROQUIS!$C$137&gt;0),((CROQUIS!$C$160+(IF(CROQUIS!$C$92="X",((CROQUIS!$C$107/2+(((CROQUIS!$C$97)-CROQUIS!$C$107)-(MAX(1,INT(((CROQUIS!$C$97)-CROQUIS!$C$107)/MAX((CROQUIS!$C$137*MAX(1,CEILING((INT(((CROQUIS!$C$97)-CROQUIS!$C$107)/MAX(CROQUIS!$C$137,1))+1)/80,1))),1))+1)-1)*(CROQUIS!$C$137*MAX(1,CEILING((INT(((CROQUIS!$C$97)-CROQUIS!$C$107)/MAX(CROQUIS!$C$137,1))+1)/80,1))))/2)+MIN(INT(($A398-1)/5),MAX((MAX(1,INT(((CROQUIS!$C$97)-CROQUIS!$C$107)/MAX((CROQUIS!$C$137*MAX(1,CEILING((INT(((CROQUIS!$C$97)-CROQUIS!$C$107)/MAX(CROQUIS!$C$137,1))+1)/80,1))),1))+1))-1,0))*(CROQUIS!$C$137*MAX(1,CEILING((INT(((CROQUIS!$C$97)-CROQUIS!$C$107)/MAX(CROQUIS!$C$137,1))+1)/80,1)))),CHOOSE(IF(INT(($A398-1)/5)&gt;MAX((MAX(1,INT(((CROQUIS!$C$97)-CROQUIS!$C$107)/MAX((CROQUIS!$C$137*MAX(1,CEILING((INT(((CROQUIS!$C$97)-CROQUIS!$C$107)/MAX(CROQUIS!$C$137,1))+1)/80,1))),1))+1))-1,0),0,MOD($A398-1,5))+1,0,2,CROQUIS!$C$98-2,2,0)))*CROQUIS!$C$159)+IF(CROQUIS!$C$92="X",0,0)),-1000)</f>
        <v>-1000</v>
      </c>
      <c r="BQ398">
        <f>IF(AND(CROQUIS!$C$88=1,CROQUIS!$C$137&gt;0),((CROQUIS!$C$161+(IF(CROQUIS!$C$92="X",CHOOSE(IF(INT(($A398-1)/5)&gt;MAX((MAX(1,INT(((CROQUIS!$C$97)-CROQUIS!$C$107)/MAX((CROQUIS!$C$137*MAX(1,CEILING((INT(((CROQUIS!$C$97)-CROQUIS!$C$107)/MAX(CROQUIS!$C$137,1))+1)/80,1))),1))+1))-1,0),0,MOD($A398-1,5))+1,0,2,CROQUIS!$C$98-2,2,0),((CROQUIS!$C$107/2+(((CROQUIS!$C$97)-CROQUIS!$C$107)-(MAX(1,INT(((CROQUIS!$C$97)-CROQUIS!$C$107)/MAX((CROQUIS!$C$137*MAX(1,CEILING((INT(((CROQUIS!$C$97)-CROQUIS!$C$107)/MAX(CROQUIS!$C$137,1))+1)/80,1))),1))+1)-1)*(CROQUIS!$C$137*MAX(1,CEILING((INT(((CROQUIS!$C$97)-CROQUIS!$C$107)/MAX(CROQUIS!$C$137,1))+1)/80,1))))/2)+MIN(INT(($A398-1)/5),MAX((MAX(1,INT(((CROQUIS!$C$97)-CROQUIS!$C$107)/MAX((CROQUIS!$C$137*MAX(1,CEILING((INT(((CROQUIS!$C$97)-CROQUIS!$C$107)/MAX(CROQUIS!$C$137,1))+1)/80,1))),1))+1))-1,0))*(CROQUIS!$C$137*MAX(1,CEILING((INT(((CROQUIS!$C$97)-CROQUIS!$C$107)/MAX(CROQUIS!$C$137,1))+1)/80,1))))))*CROQUIS!$C$159)+IF(CROQUIS!$C$92="X",0,0)),-1000)</f>
        <v>-1000</v>
      </c>
      <c r="BR398">
        <f>IF(AND(CROQUIS!$C$88=1,CROQUIS!$C$91=0,CROQUIS!$C$133&gt;0,OR(CROQUIS!$C$103=1,CROQUIS!$C$145=1)),((CROQUIS!$C$160+(IF(CROQUIS!$C$92="X",CHOOSE(IF(INT(($A398-1)/5)&gt;MAX((MAX(1,INT(((CROQUIS!$C$98)-CROQUIS!$C$107)/MAX((CROQUIS!$C$133*MAX(1,CEILING((INT(((CROQUIS!$C$98)-CROQUIS!$C$107)/MAX(CROQUIS!$C$133,1))+1)/80,1))),1))+1))-1,0),0,MOD($A398-1,5))+1,0,IF(CROQUIS!$C$103=1,-12,2),CROQUIS!$C$107/2+CROQUIS!$C$143,IF(CROQUIS!$C$103=1,-12,2),0),((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BS3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+1,0,IF(CROQUIS!$C$103=1,-12,2),CROQUIS!$C$107/2+CROQUIS!$C$143,IF(CROQUIS!$C$103=1,-12,2),0)))*CROQUIS!$C$159)+IF(CROQUIS!$C$92="X",0.8,0)),-1000)</f>
        <v>-1000</v>
      </c>
      <c r="BT398">
        <f>IF(AND(CROQUIS!$C$88=1,CROQUIS!$C$91=0,CROQUIS!$C$133&gt;0,OR(CROQUIS!$C$104=1,CROQUIS!$C$145=1)),((CROQUIS!$C$160+(IF(CROQUIS!$C$92="X",CHOOSE(IF(INT(($A398-1)/5)&gt;MAX((MAX(1,INT(((CROQUIS!$C$98)-CROQUIS!$C$107)/MAX((CROQUIS!$C$133*MAX(1,CEILING((INT(((CROQUIS!$C$98)-CROQUIS!$C$107)/MAX(CROQUIS!$C$133,1))+1)/80,1))),1))+1))-1,0),0,MOD($A398-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BU3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CROQUIS!$C$97,CROQUIS!$C$97-CROQUIS!$C$107/2-CROQUIS!$C$143,IF(CROQUIS!$C$104=1,CROQUIS!$C$97+12,CROQUIS!$C$97-2),CROQUIS!$C$97-CROQUIS!$C$107/2-CROQUIS!$C$143,CROQUIS!$C$97)))*CROQUIS!$C$159)+IF(CROQUIS!$C$92="X",0.8,0)),-1000)</f>
        <v>-1000</v>
      </c>
      <c r="BV3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HOOSE(IF(INT(($A398-1)/5)&gt;MAX((MAX(1,INT(((CROQUIS!$C$97)-CROQUIS!$C$107)/MAX((CROQUIS!$C$141*MAX(1,CEILING((INT(((CROQUIS!$C$97)-CROQUIS!$C$107)/MAX(CROQUIS!$C$141,1))+1)/80,1))),1))+1))-1,0),0,MOD($A398-1,5))+1,0,IF(CROQUIS!$C$105=1,-12,2),CROQUIS!$C$107/2+CROQUIS!$C$144,IF(CROQUIS!$C$105=1,-12,2),0)))*CROQUIS!$C$159)+IF(CROQUIS!$C$92="X",0.8,0)),-1000)</f>
        <v>-1000</v>
      </c>
      <c r="BW398">
        <f>IF(AND(CROQUIS!$C$88=1,CROQUIS!$C$91=0,CROQUIS!$C$141&gt;0,OR(CROQUIS!$C$105=1,CROQUIS!$C$146=1)),((CROQUIS!$C$161+(IF(CROQUIS!$C$92="X",CHOOSE(IF(INT(($A398-1)/5)&gt;MAX((MAX(1,INT(((CROQUIS!$C$97)-CROQUIS!$C$107)/MAX((CROQUIS!$C$141*MAX(1,CEILING((INT(((CROQUIS!$C$97)-CROQUIS!$C$107)/MAX(CROQUIS!$C$141,1))+1)/80,1))),1))+1))-1,0),0,MOD($A398-1,5))+1,0,IF(CROQUIS!$C$105=1,-12,2),CROQUIS!$C$107/2+CROQUIS!$C$144,IF(CROQUIS!$C$105=1,-12,2),0),((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ROQUIS!$C$159)+IF(CROQUIS!$C$92="X",0,0.8)),-1000)</f>
        <v>-1000</v>
      </c>
      <c r="BX3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HOOSE(IF(INT(($A398-1)/5)&gt;MAX((MAX(1,INT(((CROQUIS!$C$97)-CROQUIS!$C$107)/MAX((CROQUIS!$C$141*MAX(1,CEILING((INT(((CROQUIS!$C$97)-CROQUIS!$C$107)/MAX(CROQUIS!$C$141,1))+1)/80,1))),1))+1))-1,0),0,MOD($A398-1,5))+1,CROQUIS!$C$98,CROQUIS!$C$98-CROQUIS!$C$107/2-CROQUIS!$C$144,IF(CROQUIS!$C$106=1,CROQUIS!$C$98+12,CROQUIS!$C$98-2),CROQUIS!$C$98-CROQUIS!$C$107/2-CROQUIS!$C$144,CROQUIS!$C$98)))*CROQUIS!$C$159)+IF(CROQUIS!$C$92="X",0.8,0)),-1000)</f>
        <v>-1000</v>
      </c>
      <c r="BY398">
        <f>IF(AND(CROQUIS!$C$88=1,CROQUIS!$C$91=0,CROQUIS!$C$141&gt;0,OR(CROQUIS!$C$106=1,CROQUIS!$C$146=1)),((CROQUIS!$C$161+(IF(CROQUIS!$C$92="X",CHOOSE(IF(INT(($A398-1)/5)&gt;MAX((MAX(1,INT(((CROQUIS!$C$97)-CROQUIS!$C$107)/MAX((CROQUIS!$C$141*MAX(1,CEILING((INT(((CROQUIS!$C$97)-CROQUIS!$C$107)/MAX(CROQUIS!$C$141,1))+1)/80,1))),1))+1))-1,0),0,MOD($A398-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ROQUIS!$C$159)+IF(CROQUIS!$C$92="X",0,0.8)),-1000)</f>
        <v>-1000</v>
      </c>
      <c r="BZ398">
        <f>IF(AND(CROQUIS!$C$88=1,CROQUIS!$C$91=1,CROQUIS!$C$133&gt;0),((CROQUIS!$C$160+(IF(CROQUIS!$C$92="X",CHOOSE(IF(INT(($A398-1)/5)&gt;MAX((MAX(1,INT(((CROQUIS!$C$98)-CROQUIS!$C$107)/MAX((CROQUIS!$C$133*MAX(1,CEILING((INT(((CROQUIS!$C$98)-CROQUIS!$C$107)/MAX(CROQUIS!$C$133,1))+1)/80,1))),1))+1))-1,0),0,MOD($A398-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CA398">
        <f>IF(AND(CROQUIS!$C$88=1,CROQUIS!$C$91=1,CROQUIS!$C$133&gt;0),((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9">
      <c r="A399" t="n">
        <v>392</v>
      </c>
      <c r="BN399">
        <f>IF(AND(CROQUIS!$C$88=1,CROQUIS!$C$129&gt;0),((CROQUIS!$C$160+(IF(CROQUIS!$C$92="X",CHOOSE(IF(INT(($A399-1)/5)&gt;MAX((MAX(1,INT(((CROQUIS!$C$98)-CROQUIS!$C$107)/MAX((CROQUIS!$C$129*MAX(1,CEILING((INT(((CROQUIS!$C$98)-CROQUIS!$C$107)/MAX(CROQUIS!$C$129,1))+1)/80,1))),1))+1))-1,0),0,MOD($A399-1,5))+1,0,2,CROQUIS!$C$97-2,2,0),((CROQUIS!$C$107/2+(((CROQUIS!$C$98)-CROQUIS!$C$107)-(MAX(1,INT(((CROQUIS!$C$98)-CROQUIS!$C$107)/MAX((CROQUIS!$C$129*MAX(1,CEILING((INT(((CROQUIS!$C$98)-CROQUIS!$C$107)/MAX(CROQUIS!$C$129,1))+1)/80,1))),1))+1)-1)*(CROQUIS!$C$129*MAX(1,CEILING((INT(((CROQUIS!$C$98)-CROQUIS!$C$107)/MAX(CROQUIS!$C$129,1))+1)/80,1))))/2)+MIN(INT(($A399-1)/5),MAX((MAX(1,INT(((CROQUIS!$C$98)-CROQUIS!$C$107)/MAX((CROQUIS!$C$129*MAX(1,CEILING((INT(((CROQUIS!$C$98)-CROQUIS!$C$107)/MAX(CROQUIS!$C$129,1))+1)/80,1))),1))+1))-1,0))*(CROQUIS!$C$129*MAX(1,CEILING((INT(((CROQUIS!$C$98)-CROQUIS!$C$107)/MAX(CROQUIS!$C$129,1))+1)/80,1))))))*CROQUIS!$C$159)+IF(CROQUIS!$C$92="X",0,0)),-1000)</f>
        <v>-1000</v>
      </c>
      <c r="BO399">
        <f>IF(AND(CROQUIS!$C$88=1,CROQUIS!$C$129&gt;0),((CROQUIS!$C$161+(IF(CROQUIS!$C$92="X",((CROQUIS!$C$107/2+(((CROQUIS!$C$98)-CROQUIS!$C$107)-(MAX(1,INT(((CROQUIS!$C$98)-CROQUIS!$C$107)/MAX((CROQUIS!$C$129*MAX(1,CEILING((INT(((CROQUIS!$C$98)-CROQUIS!$C$107)/MAX(CROQUIS!$C$129,1))+1)/80,1))),1))+1)-1)*(CROQUIS!$C$129*MAX(1,CEILING((INT(((CROQUIS!$C$98)-CROQUIS!$C$107)/MAX(CROQUIS!$C$129,1))+1)/80,1))))/2)+MIN(INT(($A399-1)/5),MAX((MAX(1,INT(((CROQUIS!$C$98)-CROQUIS!$C$107)/MAX((CROQUIS!$C$129*MAX(1,CEILING((INT(((CROQUIS!$C$98)-CROQUIS!$C$107)/MAX(CROQUIS!$C$129,1))+1)/80,1))),1))+1))-1,0))*(CROQUIS!$C$129*MAX(1,CEILING((INT(((CROQUIS!$C$98)-CROQUIS!$C$107)/MAX(CROQUIS!$C$129,1))+1)/80,1)))),CHOOSE(IF(INT(($A399-1)/5)&gt;MAX((MAX(1,INT(((CROQUIS!$C$98)-CROQUIS!$C$107)/MAX((CROQUIS!$C$129*MAX(1,CEILING((INT(((CROQUIS!$C$98)-CROQUIS!$C$107)/MAX(CROQUIS!$C$129,1))+1)/80,1))),1))+1))-1,0),0,MOD($A399-1,5))+1,0,2,CROQUIS!$C$97-2,2,0)))*CROQUIS!$C$159)+IF(CROQUIS!$C$92="X",0,0)),-1000)</f>
        <v>-1000</v>
      </c>
      <c r="BP399">
        <f>IF(AND(CROQUIS!$C$88=1,CROQUIS!$C$137&gt;0),((CROQUIS!$C$160+(IF(CROQUIS!$C$92="X",((CROQUIS!$C$107/2+(((CROQUIS!$C$97)-CROQUIS!$C$107)-(MAX(1,INT(((CROQUIS!$C$97)-CROQUIS!$C$107)/MAX((CROQUIS!$C$137*MAX(1,CEILING((INT(((CROQUIS!$C$97)-CROQUIS!$C$107)/MAX(CROQUIS!$C$137,1))+1)/80,1))),1))+1)-1)*(CROQUIS!$C$137*MAX(1,CEILING((INT(((CROQUIS!$C$97)-CROQUIS!$C$107)/MAX(CROQUIS!$C$137,1))+1)/80,1))))/2)+MIN(INT(($A399-1)/5),MAX((MAX(1,INT(((CROQUIS!$C$97)-CROQUIS!$C$107)/MAX((CROQUIS!$C$137*MAX(1,CEILING((INT(((CROQUIS!$C$97)-CROQUIS!$C$107)/MAX(CROQUIS!$C$137,1))+1)/80,1))),1))+1))-1,0))*(CROQUIS!$C$137*MAX(1,CEILING((INT(((CROQUIS!$C$97)-CROQUIS!$C$107)/MAX(CROQUIS!$C$137,1))+1)/80,1)))),CHOOSE(IF(INT(($A399-1)/5)&gt;MAX((MAX(1,INT(((CROQUIS!$C$97)-CROQUIS!$C$107)/MAX((CROQUIS!$C$137*MAX(1,CEILING((INT(((CROQUIS!$C$97)-CROQUIS!$C$107)/MAX(CROQUIS!$C$137,1))+1)/80,1))),1))+1))-1,0),0,MOD($A399-1,5))+1,0,2,CROQUIS!$C$98-2,2,0)))*CROQUIS!$C$159)+IF(CROQUIS!$C$92="X",0,0)),-1000)</f>
        <v>-1000</v>
      </c>
      <c r="BQ399">
        <f>IF(AND(CROQUIS!$C$88=1,CROQUIS!$C$137&gt;0),((CROQUIS!$C$161+(IF(CROQUIS!$C$92="X",CHOOSE(IF(INT(($A399-1)/5)&gt;MAX((MAX(1,INT(((CROQUIS!$C$97)-CROQUIS!$C$107)/MAX((CROQUIS!$C$137*MAX(1,CEILING((INT(((CROQUIS!$C$97)-CROQUIS!$C$107)/MAX(CROQUIS!$C$137,1))+1)/80,1))),1))+1))-1,0),0,MOD($A399-1,5))+1,0,2,CROQUIS!$C$98-2,2,0),((CROQUIS!$C$107/2+(((CROQUIS!$C$97)-CROQUIS!$C$107)-(MAX(1,INT(((CROQUIS!$C$97)-CROQUIS!$C$107)/MAX((CROQUIS!$C$137*MAX(1,CEILING((INT(((CROQUIS!$C$97)-CROQUIS!$C$107)/MAX(CROQUIS!$C$137,1))+1)/80,1))),1))+1)-1)*(CROQUIS!$C$137*MAX(1,CEILING((INT(((CROQUIS!$C$97)-CROQUIS!$C$107)/MAX(CROQUIS!$C$137,1))+1)/80,1))))/2)+MIN(INT(($A399-1)/5),MAX((MAX(1,INT(((CROQUIS!$C$97)-CROQUIS!$C$107)/MAX((CROQUIS!$C$137*MAX(1,CEILING((INT(((CROQUIS!$C$97)-CROQUIS!$C$107)/MAX(CROQUIS!$C$137,1))+1)/80,1))),1))+1))-1,0))*(CROQUIS!$C$137*MAX(1,CEILING((INT(((CROQUIS!$C$97)-CROQUIS!$C$107)/MAX(CROQUIS!$C$137,1))+1)/80,1))))))*CROQUIS!$C$159)+IF(CROQUIS!$C$92="X",0,0)),-1000)</f>
        <v>-1000</v>
      </c>
      <c r="BR399">
        <f>IF(AND(CROQUIS!$C$88=1,CROQUIS!$C$91=0,CROQUIS!$C$133&gt;0,OR(CROQUIS!$C$103=1,CROQUIS!$C$145=1)),((CROQUIS!$C$160+(IF(CROQUIS!$C$92="X",CHOOSE(IF(INT(($A399-1)/5)&gt;MAX((MAX(1,INT(((CROQUIS!$C$98)-CROQUIS!$C$107)/MAX((CROQUIS!$C$133*MAX(1,CEILING((INT(((CROQUIS!$C$98)-CROQUIS!$C$107)/MAX(CROQUIS!$C$133,1))+1)/80,1))),1))+1))-1,0),0,MOD($A399-1,5))+1,0,IF(CROQUIS!$C$103=1,-12,2),CROQUIS!$C$107/2+CROQUIS!$C$143,IF(CROQUIS!$C$103=1,-12,2),0),((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BS3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+1,0,IF(CROQUIS!$C$103=1,-12,2),CROQUIS!$C$107/2+CROQUIS!$C$143,IF(CROQUIS!$C$103=1,-12,2),0)))*CROQUIS!$C$159)+IF(CROQUIS!$C$92="X",0.8,0)),-1000)</f>
        <v>-1000</v>
      </c>
      <c r="BT399">
        <f>IF(AND(CROQUIS!$C$88=1,CROQUIS!$C$91=0,CROQUIS!$C$133&gt;0,OR(CROQUIS!$C$104=1,CROQUIS!$C$145=1)),((CROQUIS!$C$160+(IF(CROQUIS!$C$92="X",CHOOSE(IF(INT(($A399-1)/5)&gt;MAX((MAX(1,INT(((CROQUIS!$C$98)-CROQUIS!$C$107)/MAX((CROQUIS!$C$133*MAX(1,CEILING((INT(((CROQUIS!$C$98)-CROQUIS!$C$107)/MAX(CROQUIS!$C$133,1))+1)/80,1))),1))+1))-1,0),0,MOD($A399-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BU3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CROQUIS!$C$97,CROQUIS!$C$97-CROQUIS!$C$107/2-CROQUIS!$C$143,IF(CROQUIS!$C$104=1,CROQUIS!$C$97+12,CROQUIS!$C$97-2),CROQUIS!$C$97-CROQUIS!$C$107/2-CROQUIS!$C$143,CROQUIS!$C$97)))*CROQUIS!$C$159)+IF(CROQUIS!$C$92="X",0.8,0)),-1000)</f>
        <v>-1000</v>
      </c>
      <c r="BV3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HOOSE(IF(INT(($A399-1)/5)&gt;MAX((MAX(1,INT(((CROQUIS!$C$97)-CROQUIS!$C$107)/MAX((CROQUIS!$C$141*MAX(1,CEILING((INT(((CROQUIS!$C$97)-CROQUIS!$C$107)/MAX(CROQUIS!$C$141,1))+1)/80,1))),1))+1))-1,0),0,MOD($A399-1,5))+1,0,IF(CROQUIS!$C$105=1,-12,2),CROQUIS!$C$107/2+CROQUIS!$C$144,IF(CROQUIS!$C$105=1,-12,2),0)))*CROQUIS!$C$159)+IF(CROQUIS!$C$92="X",0.8,0)),-1000)</f>
        <v>-1000</v>
      </c>
      <c r="BW399">
        <f>IF(AND(CROQUIS!$C$88=1,CROQUIS!$C$91=0,CROQUIS!$C$141&gt;0,OR(CROQUIS!$C$105=1,CROQUIS!$C$146=1)),((CROQUIS!$C$161+(IF(CROQUIS!$C$92="X",CHOOSE(IF(INT(($A399-1)/5)&gt;MAX((MAX(1,INT(((CROQUIS!$C$97)-CROQUIS!$C$107)/MAX((CROQUIS!$C$141*MAX(1,CEILING((INT(((CROQUIS!$C$97)-CROQUIS!$C$107)/MAX(CROQUIS!$C$141,1))+1)/80,1))),1))+1))-1,0),0,MOD($A399-1,5))+1,0,IF(CROQUIS!$C$105=1,-12,2),CROQUIS!$C$107/2+CROQUIS!$C$144,IF(CROQUIS!$C$105=1,-12,2),0),((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ROQUIS!$C$159)+IF(CROQUIS!$C$92="X",0,0.8)),-1000)</f>
        <v>-1000</v>
      </c>
      <c r="BX3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HOOSE(IF(INT(($A399-1)/5)&gt;MAX((MAX(1,INT(((CROQUIS!$C$97)-CROQUIS!$C$107)/MAX((CROQUIS!$C$141*MAX(1,CEILING((INT(((CROQUIS!$C$97)-CROQUIS!$C$107)/MAX(CROQUIS!$C$141,1))+1)/80,1))),1))+1))-1,0),0,MOD($A399-1,5))+1,CROQUIS!$C$98,CROQUIS!$C$98-CROQUIS!$C$107/2-CROQUIS!$C$144,IF(CROQUIS!$C$106=1,CROQUIS!$C$98+12,CROQUIS!$C$98-2),CROQUIS!$C$98-CROQUIS!$C$107/2-CROQUIS!$C$144,CROQUIS!$C$98)))*CROQUIS!$C$159)+IF(CROQUIS!$C$92="X",0.8,0)),-1000)</f>
        <v>-1000</v>
      </c>
      <c r="BY399">
        <f>IF(AND(CROQUIS!$C$88=1,CROQUIS!$C$91=0,CROQUIS!$C$141&gt;0,OR(CROQUIS!$C$106=1,CROQUIS!$C$146=1)),((CROQUIS!$C$161+(IF(CROQUIS!$C$92="X",CHOOSE(IF(INT(($A399-1)/5)&gt;MAX((MAX(1,INT(((CROQUIS!$C$97)-CROQUIS!$C$107)/MAX((CROQUIS!$C$141*MAX(1,CEILING((INT(((CROQUIS!$C$97)-CROQUIS!$C$107)/MAX(CROQUIS!$C$141,1))+1)/80,1))),1))+1))-1,0),0,MOD($A399-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ROQUIS!$C$159)+IF(CROQUIS!$C$92="X",0,0.8)),-1000)</f>
        <v>-1000</v>
      </c>
      <c r="BZ399">
        <f>IF(AND(CROQUIS!$C$88=1,CROQUIS!$C$91=1,CROQUIS!$C$133&gt;0),((CROQUIS!$C$160+(IF(CROQUIS!$C$92="X",CHOOSE(IF(INT(($A399-1)/5)&gt;MAX((MAX(1,INT(((CROQUIS!$C$98)-CROQUIS!$C$107)/MAX((CROQUIS!$C$133*MAX(1,CEILING((INT(((CROQUIS!$C$98)-CROQUIS!$C$107)/MAX(CROQUIS!$C$133,1))+1)/80,1))),1))+1))-1,0),0,MOD($A399-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CA399">
        <f>IF(AND(CROQUIS!$C$88=1,CROQUIS!$C$91=1,CROQUIS!$C$133&gt;0),((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0">
      <c r="A400" t="n">
        <v>393</v>
      </c>
      <c r="BN400">
        <f>IF(AND(CROQUIS!$C$88=1,CROQUIS!$C$129&gt;0),((CROQUIS!$C$160+(IF(CROQUIS!$C$92="X",CHOOSE(IF(INT(($A400-1)/5)&gt;MAX((MAX(1,INT(((CROQUIS!$C$98)-CROQUIS!$C$107)/MAX((CROQUIS!$C$129*MAX(1,CEILING((INT(((CROQUIS!$C$98)-CROQUIS!$C$107)/MAX(CROQUIS!$C$129,1))+1)/80,1))),1))+1))-1,0),0,MOD($A400-1,5))+1,0,2,CROQUIS!$C$97-2,2,0),((CROQUIS!$C$107/2+(((CROQUIS!$C$98)-CROQUIS!$C$107)-(MAX(1,INT(((CROQUIS!$C$98)-CROQUIS!$C$107)/MAX((CROQUIS!$C$129*MAX(1,CEILING((INT(((CROQUIS!$C$98)-CROQUIS!$C$107)/MAX(CROQUIS!$C$129,1))+1)/80,1))),1))+1)-1)*(CROQUIS!$C$129*MAX(1,CEILING((INT(((CROQUIS!$C$98)-CROQUIS!$C$107)/MAX(CROQUIS!$C$129,1))+1)/80,1))))/2)+MIN(INT(($A400-1)/5),MAX((MAX(1,INT(((CROQUIS!$C$98)-CROQUIS!$C$107)/MAX((CROQUIS!$C$129*MAX(1,CEILING((INT(((CROQUIS!$C$98)-CROQUIS!$C$107)/MAX(CROQUIS!$C$129,1))+1)/80,1))),1))+1))-1,0))*(CROQUIS!$C$129*MAX(1,CEILING((INT(((CROQUIS!$C$98)-CROQUIS!$C$107)/MAX(CROQUIS!$C$129,1))+1)/80,1))))))*CROQUIS!$C$159)+IF(CROQUIS!$C$92="X",0,0)),-1000)</f>
        <v>-1000</v>
      </c>
      <c r="BO400">
        <f>IF(AND(CROQUIS!$C$88=1,CROQUIS!$C$129&gt;0),((CROQUIS!$C$161+(IF(CROQUIS!$C$92="X",((CROQUIS!$C$107/2+(((CROQUIS!$C$98)-CROQUIS!$C$107)-(MAX(1,INT(((CROQUIS!$C$98)-CROQUIS!$C$107)/MAX((CROQUIS!$C$129*MAX(1,CEILING((INT(((CROQUIS!$C$98)-CROQUIS!$C$107)/MAX(CROQUIS!$C$129,1))+1)/80,1))),1))+1)-1)*(CROQUIS!$C$129*MAX(1,CEILING((INT(((CROQUIS!$C$98)-CROQUIS!$C$107)/MAX(CROQUIS!$C$129,1))+1)/80,1))))/2)+MIN(INT(($A400-1)/5),MAX((MAX(1,INT(((CROQUIS!$C$98)-CROQUIS!$C$107)/MAX((CROQUIS!$C$129*MAX(1,CEILING((INT(((CROQUIS!$C$98)-CROQUIS!$C$107)/MAX(CROQUIS!$C$129,1))+1)/80,1))),1))+1))-1,0))*(CROQUIS!$C$129*MAX(1,CEILING((INT(((CROQUIS!$C$98)-CROQUIS!$C$107)/MAX(CROQUIS!$C$129,1))+1)/80,1)))),CHOOSE(IF(INT(($A400-1)/5)&gt;MAX((MAX(1,INT(((CROQUIS!$C$98)-CROQUIS!$C$107)/MAX((CROQUIS!$C$129*MAX(1,CEILING((INT(((CROQUIS!$C$98)-CROQUIS!$C$107)/MAX(CROQUIS!$C$129,1))+1)/80,1))),1))+1))-1,0),0,MOD($A400-1,5))+1,0,2,CROQUIS!$C$97-2,2,0)))*CROQUIS!$C$159)+IF(CROQUIS!$C$92="X",0,0)),-1000)</f>
        <v>-1000</v>
      </c>
      <c r="BP400">
        <f>IF(AND(CROQUIS!$C$88=1,CROQUIS!$C$137&gt;0),((CROQUIS!$C$160+(IF(CROQUIS!$C$92="X",((CROQUIS!$C$107/2+(((CROQUIS!$C$97)-CROQUIS!$C$107)-(MAX(1,INT(((CROQUIS!$C$97)-CROQUIS!$C$107)/MAX((CROQUIS!$C$137*MAX(1,CEILING((INT(((CROQUIS!$C$97)-CROQUIS!$C$107)/MAX(CROQUIS!$C$137,1))+1)/80,1))),1))+1)-1)*(CROQUIS!$C$137*MAX(1,CEILING((INT(((CROQUIS!$C$97)-CROQUIS!$C$107)/MAX(CROQUIS!$C$137,1))+1)/80,1))))/2)+MIN(INT(($A400-1)/5),MAX((MAX(1,INT(((CROQUIS!$C$97)-CROQUIS!$C$107)/MAX((CROQUIS!$C$137*MAX(1,CEILING((INT(((CROQUIS!$C$97)-CROQUIS!$C$107)/MAX(CROQUIS!$C$137,1))+1)/80,1))),1))+1))-1,0))*(CROQUIS!$C$137*MAX(1,CEILING((INT(((CROQUIS!$C$97)-CROQUIS!$C$107)/MAX(CROQUIS!$C$137,1))+1)/80,1)))),CHOOSE(IF(INT(($A400-1)/5)&gt;MAX((MAX(1,INT(((CROQUIS!$C$97)-CROQUIS!$C$107)/MAX((CROQUIS!$C$137*MAX(1,CEILING((INT(((CROQUIS!$C$97)-CROQUIS!$C$107)/MAX(CROQUIS!$C$137,1))+1)/80,1))),1))+1))-1,0),0,MOD($A400-1,5))+1,0,2,CROQUIS!$C$98-2,2,0)))*CROQUIS!$C$159)+IF(CROQUIS!$C$92="X",0,0)),-1000)</f>
        <v>-1000</v>
      </c>
      <c r="BQ400">
        <f>IF(AND(CROQUIS!$C$88=1,CROQUIS!$C$137&gt;0),((CROQUIS!$C$161+(IF(CROQUIS!$C$92="X",CHOOSE(IF(INT(($A400-1)/5)&gt;MAX((MAX(1,INT(((CROQUIS!$C$97)-CROQUIS!$C$107)/MAX((CROQUIS!$C$137*MAX(1,CEILING((INT(((CROQUIS!$C$97)-CROQUIS!$C$107)/MAX(CROQUIS!$C$137,1))+1)/80,1))),1))+1))-1,0),0,MOD($A400-1,5))+1,0,2,CROQUIS!$C$98-2,2,0),((CROQUIS!$C$107/2+(((CROQUIS!$C$97)-CROQUIS!$C$107)-(MAX(1,INT(((CROQUIS!$C$97)-CROQUIS!$C$107)/MAX((CROQUIS!$C$137*MAX(1,CEILING((INT(((CROQUIS!$C$97)-CROQUIS!$C$107)/MAX(CROQUIS!$C$137,1))+1)/80,1))),1))+1)-1)*(CROQUIS!$C$137*MAX(1,CEILING((INT(((CROQUIS!$C$97)-CROQUIS!$C$107)/MAX(CROQUIS!$C$137,1))+1)/80,1))))/2)+MIN(INT(($A400-1)/5),MAX((MAX(1,INT(((CROQUIS!$C$97)-CROQUIS!$C$107)/MAX((CROQUIS!$C$137*MAX(1,CEILING((INT(((CROQUIS!$C$97)-CROQUIS!$C$107)/MAX(CROQUIS!$C$137,1))+1)/80,1))),1))+1))-1,0))*(CROQUIS!$C$137*MAX(1,CEILING((INT(((CROQUIS!$C$97)-CROQUIS!$C$107)/MAX(CROQUIS!$C$137,1))+1)/80,1))))))*CROQUIS!$C$159)+IF(CROQUIS!$C$92="X",0,0)),-1000)</f>
        <v>-1000</v>
      </c>
      <c r="BR400">
        <f>IF(AND(CROQUIS!$C$88=1,CROQUIS!$C$91=0,CROQUIS!$C$133&gt;0,OR(CROQUIS!$C$103=1,CROQUIS!$C$145=1)),((CROQUIS!$C$160+(IF(CROQUIS!$C$92="X",CHOOSE(IF(INT(($A400-1)/5)&gt;MAX((MAX(1,INT(((CROQUIS!$C$98)-CROQUIS!$C$107)/MAX((CROQUIS!$C$133*MAX(1,CEILING((INT(((CROQUIS!$C$98)-CROQUIS!$C$107)/MAX(CROQUIS!$C$133,1))+1)/80,1))),1))+1))-1,0),0,MOD($A400-1,5))+1,0,IF(CROQUIS!$C$103=1,-12,2),CROQUIS!$C$107/2+CROQUIS!$C$143,IF(CROQUIS!$C$103=1,-12,2),0),((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BS4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+1,0,IF(CROQUIS!$C$103=1,-12,2),CROQUIS!$C$107/2+CROQUIS!$C$143,IF(CROQUIS!$C$103=1,-12,2),0)))*CROQUIS!$C$159)+IF(CROQUIS!$C$92="X",0.8,0)),-1000)</f>
        <v>-1000</v>
      </c>
      <c r="BT400">
        <f>IF(AND(CROQUIS!$C$88=1,CROQUIS!$C$91=0,CROQUIS!$C$133&gt;0,OR(CROQUIS!$C$104=1,CROQUIS!$C$145=1)),((CROQUIS!$C$160+(IF(CROQUIS!$C$92="X",CHOOSE(IF(INT(($A400-1)/5)&gt;MAX((MAX(1,INT(((CROQUIS!$C$98)-CROQUIS!$C$107)/MAX((CROQUIS!$C$133*MAX(1,CEILING((INT(((CROQUIS!$C$98)-CROQUIS!$C$107)/MAX(CROQUIS!$C$133,1))+1)/80,1))),1))+1))-1,0),0,MOD($A400-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BU4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CROQUIS!$C$97,CROQUIS!$C$97-CROQUIS!$C$107/2-CROQUIS!$C$143,IF(CROQUIS!$C$104=1,CROQUIS!$C$97+12,CROQUIS!$C$97-2),CROQUIS!$C$97-CROQUIS!$C$107/2-CROQUIS!$C$143,CROQUIS!$C$97)))*CROQUIS!$C$159)+IF(CROQUIS!$C$92="X",0.8,0)),-1000)</f>
        <v>-1000</v>
      </c>
      <c r="BV4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HOOSE(IF(INT(($A400-1)/5)&gt;MAX((MAX(1,INT(((CROQUIS!$C$97)-CROQUIS!$C$107)/MAX((CROQUIS!$C$141*MAX(1,CEILING((INT(((CROQUIS!$C$97)-CROQUIS!$C$107)/MAX(CROQUIS!$C$141,1))+1)/80,1))),1))+1))-1,0),0,MOD($A400-1,5))+1,0,IF(CROQUIS!$C$105=1,-12,2),CROQUIS!$C$107/2+CROQUIS!$C$144,IF(CROQUIS!$C$105=1,-12,2),0)))*CROQUIS!$C$159)+IF(CROQUIS!$C$92="X",0.8,0)),-1000)</f>
        <v>-1000</v>
      </c>
      <c r="BW400">
        <f>IF(AND(CROQUIS!$C$88=1,CROQUIS!$C$91=0,CROQUIS!$C$141&gt;0,OR(CROQUIS!$C$105=1,CROQUIS!$C$146=1)),((CROQUIS!$C$161+(IF(CROQUIS!$C$92="X",CHOOSE(IF(INT(($A400-1)/5)&gt;MAX((MAX(1,INT(((CROQUIS!$C$97)-CROQUIS!$C$107)/MAX((CROQUIS!$C$141*MAX(1,CEILING((INT(((CROQUIS!$C$97)-CROQUIS!$C$107)/MAX(CROQUIS!$C$141,1))+1)/80,1))),1))+1))-1,0),0,MOD($A400-1,5))+1,0,IF(CROQUIS!$C$105=1,-12,2),CROQUIS!$C$107/2+CROQUIS!$C$144,IF(CROQUIS!$C$105=1,-12,2),0),((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ROQUIS!$C$159)+IF(CROQUIS!$C$92="X",0,0.8)),-1000)</f>
        <v>-1000</v>
      </c>
      <c r="BX4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HOOSE(IF(INT(($A400-1)/5)&gt;MAX((MAX(1,INT(((CROQUIS!$C$97)-CROQUIS!$C$107)/MAX((CROQUIS!$C$141*MAX(1,CEILING((INT(((CROQUIS!$C$97)-CROQUIS!$C$107)/MAX(CROQUIS!$C$141,1))+1)/80,1))),1))+1))-1,0),0,MOD($A400-1,5))+1,CROQUIS!$C$98,CROQUIS!$C$98-CROQUIS!$C$107/2-CROQUIS!$C$144,IF(CROQUIS!$C$106=1,CROQUIS!$C$98+12,CROQUIS!$C$98-2),CROQUIS!$C$98-CROQUIS!$C$107/2-CROQUIS!$C$144,CROQUIS!$C$98)))*CROQUIS!$C$159)+IF(CROQUIS!$C$92="X",0.8,0)),-1000)</f>
        <v>-1000</v>
      </c>
      <c r="BY400">
        <f>IF(AND(CROQUIS!$C$88=1,CROQUIS!$C$91=0,CROQUIS!$C$141&gt;0,OR(CROQUIS!$C$106=1,CROQUIS!$C$146=1)),((CROQUIS!$C$161+(IF(CROQUIS!$C$92="X",CHOOSE(IF(INT(($A400-1)/5)&gt;MAX((MAX(1,INT(((CROQUIS!$C$97)-CROQUIS!$C$107)/MAX((CROQUIS!$C$141*MAX(1,CEILING((INT(((CROQUIS!$C$97)-CROQUIS!$C$107)/MAX(CROQUIS!$C$141,1))+1)/80,1))),1))+1))-1,0),0,MOD($A400-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ROQUIS!$C$159)+IF(CROQUIS!$C$92="X",0,0.8)),-1000)</f>
        <v>-1000</v>
      </c>
      <c r="BZ400">
        <f>IF(AND(CROQUIS!$C$88=1,CROQUIS!$C$91=1,CROQUIS!$C$133&gt;0),((CROQUIS!$C$160+(IF(CROQUIS!$C$92="X",CHOOSE(IF(INT(($A400-1)/5)&gt;MAX((MAX(1,INT(((CROQUIS!$C$98)-CROQUIS!$C$107)/MAX((CROQUIS!$C$133*MAX(1,CEILING((INT(((CROQUIS!$C$98)-CROQUIS!$C$107)/MAX(CROQUIS!$C$133,1))+1)/80,1))),1))+1))-1,0),0,MOD($A400-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CA400">
        <f>IF(AND(CROQUIS!$C$88=1,CROQUIS!$C$91=1,CROQUIS!$C$133&gt;0),((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1">
      <c r="A401" t="n">
        <v>394</v>
      </c>
      <c r="BN401">
        <f>IF(AND(CROQUIS!$C$88=1,CROQUIS!$C$129&gt;0),((CROQUIS!$C$160+(IF(CROQUIS!$C$92="X",CHOOSE(IF(INT(($A401-1)/5)&gt;MAX((MAX(1,INT(((CROQUIS!$C$98)-CROQUIS!$C$107)/MAX((CROQUIS!$C$129*MAX(1,CEILING((INT(((CROQUIS!$C$98)-CROQUIS!$C$107)/MAX(CROQUIS!$C$129,1))+1)/80,1))),1))+1))-1,0),0,MOD($A401-1,5))+1,0,2,CROQUIS!$C$97-2,2,0),((CROQUIS!$C$107/2+(((CROQUIS!$C$98)-CROQUIS!$C$107)-(MAX(1,INT(((CROQUIS!$C$98)-CROQUIS!$C$107)/MAX((CROQUIS!$C$129*MAX(1,CEILING((INT(((CROQUIS!$C$98)-CROQUIS!$C$107)/MAX(CROQUIS!$C$129,1))+1)/80,1))),1))+1)-1)*(CROQUIS!$C$129*MAX(1,CEILING((INT(((CROQUIS!$C$98)-CROQUIS!$C$107)/MAX(CROQUIS!$C$129,1))+1)/80,1))))/2)+MIN(INT(($A401-1)/5),MAX((MAX(1,INT(((CROQUIS!$C$98)-CROQUIS!$C$107)/MAX((CROQUIS!$C$129*MAX(1,CEILING((INT(((CROQUIS!$C$98)-CROQUIS!$C$107)/MAX(CROQUIS!$C$129,1))+1)/80,1))),1))+1))-1,0))*(CROQUIS!$C$129*MAX(1,CEILING((INT(((CROQUIS!$C$98)-CROQUIS!$C$107)/MAX(CROQUIS!$C$129,1))+1)/80,1))))))*CROQUIS!$C$159)+IF(CROQUIS!$C$92="X",0,0)),-1000)</f>
        <v>-1000</v>
      </c>
      <c r="BO401">
        <f>IF(AND(CROQUIS!$C$88=1,CROQUIS!$C$129&gt;0),((CROQUIS!$C$161+(IF(CROQUIS!$C$92="X",((CROQUIS!$C$107/2+(((CROQUIS!$C$98)-CROQUIS!$C$107)-(MAX(1,INT(((CROQUIS!$C$98)-CROQUIS!$C$107)/MAX((CROQUIS!$C$129*MAX(1,CEILING((INT(((CROQUIS!$C$98)-CROQUIS!$C$107)/MAX(CROQUIS!$C$129,1))+1)/80,1))),1))+1)-1)*(CROQUIS!$C$129*MAX(1,CEILING((INT(((CROQUIS!$C$98)-CROQUIS!$C$107)/MAX(CROQUIS!$C$129,1))+1)/80,1))))/2)+MIN(INT(($A401-1)/5),MAX((MAX(1,INT(((CROQUIS!$C$98)-CROQUIS!$C$107)/MAX((CROQUIS!$C$129*MAX(1,CEILING((INT(((CROQUIS!$C$98)-CROQUIS!$C$107)/MAX(CROQUIS!$C$129,1))+1)/80,1))),1))+1))-1,0))*(CROQUIS!$C$129*MAX(1,CEILING((INT(((CROQUIS!$C$98)-CROQUIS!$C$107)/MAX(CROQUIS!$C$129,1))+1)/80,1)))),CHOOSE(IF(INT(($A401-1)/5)&gt;MAX((MAX(1,INT(((CROQUIS!$C$98)-CROQUIS!$C$107)/MAX((CROQUIS!$C$129*MAX(1,CEILING((INT(((CROQUIS!$C$98)-CROQUIS!$C$107)/MAX(CROQUIS!$C$129,1))+1)/80,1))),1))+1))-1,0),0,MOD($A401-1,5))+1,0,2,CROQUIS!$C$97-2,2,0)))*CROQUIS!$C$159)+IF(CROQUIS!$C$92="X",0,0)),-1000)</f>
        <v>-1000</v>
      </c>
      <c r="BP401">
        <f>IF(AND(CROQUIS!$C$88=1,CROQUIS!$C$137&gt;0),((CROQUIS!$C$160+(IF(CROQUIS!$C$92="X",((CROQUIS!$C$107/2+(((CROQUIS!$C$97)-CROQUIS!$C$107)-(MAX(1,INT(((CROQUIS!$C$97)-CROQUIS!$C$107)/MAX((CROQUIS!$C$137*MAX(1,CEILING((INT(((CROQUIS!$C$97)-CROQUIS!$C$107)/MAX(CROQUIS!$C$137,1))+1)/80,1))),1))+1)-1)*(CROQUIS!$C$137*MAX(1,CEILING((INT(((CROQUIS!$C$97)-CROQUIS!$C$107)/MAX(CROQUIS!$C$137,1))+1)/80,1))))/2)+MIN(INT(($A401-1)/5),MAX((MAX(1,INT(((CROQUIS!$C$97)-CROQUIS!$C$107)/MAX((CROQUIS!$C$137*MAX(1,CEILING((INT(((CROQUIS!$C$97)-CROQUIS!$C$107)/MAX(CROQUIS!$C$137,1))+1)/80,1))),1))+1))-1,0))*(CROQUIS!$C$137*MAX(1,CEILING((INT(((CROQUIS!$C$97)-CROQUIS!$C$107)/MAX(CROQUIS!$C$137,1))+1)/80,1)))),CHOOSE(IF(INT(($A401-1)/5)&gt;MAX((MAX(1,INT(((CROQUIS!$C$97)-CROQUIS!$C$107)/MAX((CROQUIS!$C$137*MAX(1,CEILING((INT(((CROQUIS!$C$97)-CROQUIS!$C$107)/MAX(CROQUIS!$C$137,1))+1)/80,1))),1))+1))-1,0),0,MOD($A401-1,5))+1,0,2,CROQUIS!$C$98-2,2,0)))*CROQUIS!$C$159)+IF(CROQUIS!$C$92="X",0,0)),-1000)</f>
        <v>-1000</v>
      </c>
      <c r="BQ401">
        <f>IF(AND(CROQUIS!$C$88=1,CROQUIS!$C$137&gt;0),((CROQUIS!$C$161+(IF(CROQUIS!$C$92="X",CHOOSE(IF(INT(($A401-1)/5)&gt;MAX((MAX(1,INT(((CROQUIS!$C$97)-CROQUIS!$C$107)/MAX((CROQUIS!$C$137*MAX(1,CEILING((INT(((CROQUIS!$C$97)-CROQUIS!$C$107)/MAX(CROQUIS!$C$137,1))+1)/80,1))),1))+1))-1,0),0,MOD($A401-1,5))+1,0,2,CROQUIS!$C$98-2,2,0),((CROQUIS!$C$107/2+(((CROQUIS!$C$97)-CROQUIS!$C$107)-(MAX(1,INT(((CROQUIS!$C$97)-CROQUIS!$C$107)/MAX((CROQUIS!$C$137*MAX(1,CEILING((INT(((CROQUIS!$C$97)-CROQUIS!$C$107)/MAX(CROQUIS!$C$137,1))+1)/80,1))),1))+1)-1)*(CROQUIS!$C$137*MAX(1,CEILING((INT(((CROQUIS!$C$97)-CROQUIS!$C$107)/MAX(CROQUIS!$C$137,1))+1)/80,1))))/2)+MIN(INT(($A401-1)/5),MAX((MAX(1,INT(((CROQUIS!$C$97)-CROQUIS!$C$107)/MAX((CROQUIS!$C$137*MAX(1,CEILING((INT(((CROQUIS!$C$97)-CROQUIS!$C$107)/MAX(CROQUIS!$C$137,1))+1)/80,1))),1))+1))-1,0))*(CROQUIS!$C$137*MAX(1,CEILING((INT(((CROQUIS!$C$97)-CROQUIS!$C$107)/MAX(CROQUIS!$C$137,1))+1)/80,1))))))*CROQUIS!$C$159)+IF(CROQUIS!$C$92="X",0,0)),-1000)</f>
        <v>-1000</v>
      </c>
      <c r="BR401">
        <f>IF(AND(CROQUIS!$C$88=1,CROQUIS!$C$91=0,CROQUIS!$C$133&gt;0,OR(CROQUIS!$C$103=1,CROQUIS!$C$145=1)),((CROQUIS!$C$160+(IF(CROQUIS!$C$92="X",CHOOSE(IF(INT(($A401-1)/5)&gt;MAX((MAX(1,INT(((CROQUIS!$C$98)-CROQUIS!$C$107)/MAX((CROQUIS!$C$133*MAX(1,CEILING((INT(((CROQUIS!$C$98)-CROQUIS!$C$107)/MAX(CROQUIS!$C$133,1))+1)/80,1))),1))+1))-1,0),0,MOD($A401-1,5))+1,0,IF(CROQUIS!$C$103=1,-12,2),CROQUIS!$C$107/2+CROQUIS!$C$143,IF(CROQUIS!$C$103=1,-12,2),0),((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BS4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+1,0,IF(CROQUIS!$C$103=1,-12,2),CROQUIS!$C$107/2+CROQUIS!$C$143,IF(CROQUIS!$C$103=1,-12,2),0)))*CROQUIS!$C$159)+IF(CROQUIS!$C$92="X",0.8,0)),-1000)</f>
        <v>-1000</v>
      </c>
      <c r="BT401">
        <f>IF(AND(CROQUIS!$C$88=1,CROQUIS!$C$91=0,CROQUIS!$C$133&gt;0,OR(CROQUIS!$C$104=1,CROQUIS!$C$145=1)),((CROQUIS!$C$160+(IF(CROQUIS!$C$92="X",CHOOSE(IF(INT(($A401-1)/5)&gt;MAX((MAX(1,INT(((CROQUIS!$C$98)-CROQUIS!$C$107)/MAX((CROQUIS!$C$133*MAX(1,CEILING((INT(((CROQUIS!$C$98)-CROQUIS!$C$107)/MAX(CROQUIS!$C$133,1))+1)/80,1))),1))+1))-1,0),0,MOD($A401-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BU4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CROQUIS!$C$97,CROQUIS!$C$97-CROQUIS!$C$107/2-CROQUIS!$C$143,IF(CROQUIS!$C$104=1,CROQUIS!$C$97+12,CROQUIS!$C$97-2),CROQUIS!$C$97-CROQUIS!$C$107/2-CROQUIS!$C$143,CROQUIS!$C$97)))*CROQUIS!$C$159)+IF(CROQUIS!$C$92="X",0.8,0)),-1000)</f>
        <v>-1000</v>
      </c>
      <c r="BV4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HOOSE(IF(INT(($A401-1)/5)&gt;MAX((MAX(1,INT(((CROQUIS!$C$97)-CROQUIS!$C$107)/MAX((CROQUIS!$C$141*MAX(1,CEILING((INT(((CROQUIS!$C$97)-CROQUIS!$C$107)/MAX(CROQUIS!$C$141,1))+1)/80,1))),1))+1))-1,0),0,MOD($A401-1,5))+1,0,IF(CROQUIS!$C$105=1,-12,2),CROQUIS!$C$107/2+CROQUIS!$C$144,IF(CROQUIS!$C$105=1,-12,2),0)))*CROQUIS!$C$159)+IF(CROQUIS!$C$92="X",0.8,0)),-1000)</f>
        <v>-1000</v>
      </c>
      <c r="BW401">
        <f>IF(AND(CROQUIS!$C$88=1,CROQUIS!$C$91=0,CROQUIS!$C$141&gt;0,OR(CROQUIS!$C$105=1,CROQUIS!$C$146=1)),((CROQUIS!$C$161+(IF(CROQUIS!$C$92="X",CHOOSE(IF(INT(($A401-1)/5)&gt;MAX((MAX(1,INT(((CROQUIS!$C$97)-CROQUIS!$C$107)/MAX((CROQUIS!$C$141*MAX(1,CEILING((INT(((CROQUIS!$C$97)-CROQUIS!$C$107)/MAX(CROQUIS!$C$141,1))+1)/80,1))),1))+1))-1,0),0,MOD($A401-1,5))+1,0,IF(CROQUIS!$C$105=1,-12,2),CROQUIS!$C$107/2+CROQUIS!$C$144,IF(CROQUIS!$C$105=1,-12,2),0),((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ROQUIS!$C$159)+IF(CROQUIS!$C$92="X",0,0.8)),-1000)</f>
        <v>-1000</v>
      </c>
      <c r="BX4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HOOSE(IF(INT(($A401-1)/5)&gt;MAX((MAX(1,INT(((CROQUIS!$C$97)-CROQUIS!$C$107)/MAX((CROQUIS!$C$141*MAX(1,CEILING((INT(((CROQUIS!$C$97)-CROQUIS!$C$107)/MAX(CROQUIS!$C$141,1))+1)/80,1))),1))+1))-1,0),0,MOD($A401-1,5))+1,CROQUIS!$C$98,CROQUIS!$C$98-CROQUIS!$C$107/2-CROQUIS!$C$144,IF(CROQUIS!$C$106=1,CROQUIS!$C$98+12,CROQUIS!$C$98-2),CROQUIS!$C$98-CROQUIS!$C$107/2-CROQUIS!$C$144,CROQUIS!$C$98)))*CROQUIS!$C$159)+IF(CROQUIS!$C$92="X",0.8,0)),-1000)</f>
        <v>-1000</v>
      </c>
      <c r="BY401">
        <f>IF(AND(CROQUIS!$C$88=1,CROQUIS!$C$91=0,CROQUIS!$C$141&gt;0,OR(CROQUIS!$C$106=1,CROQUIS!$C$146=1)),((CROQUIS!$C$161+(IF(CROQUIS!$C$92="X",CHOOSE(IF(INT(($A401-1)/5)&gt;MAX((MAX(1,INT(((CROQUIS!$C$97)-CROQUIS!$C$107)/MAX((CROQUIS!$C$141*MAX(1,CEILING((INT(((CROQUIS!$C$97)-CROQUIS!$C$107)/MAX(CROQUIS!$C$141,1))+1)/80,1))),1))+1))-1,0),0,MOD($A401-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ROQUIS!$C$159)+IF(CROQUIS!$C$92="X",0,0.8)),-1000)</f>
        <v>-1000</v>
      </c>
      <c r="BZ401">
        <f>IF(AND(CROQUIS!$C$88=1,CROQUIS!$C$91=1,CROQUIS!$C$133&gt;0),((CROQUIS!$C$160+(IF(CROQUIS!$C$92="X",CHOOSE(IF(INT(($A401-1)/5)&gt;MAX((MAX(1,INT(((CROQUIS!$C$98)-CROQUIS!$C$107)/MAX((CROQUIS!$C$133*MAX(1,CEILING((INT(((CROQUIS!$C$98)-CROQUIS!$C$107)/MAX(CROQUIS!$C$133,1))+1)/80,1))),1))+1))-1,0),0,MOD($A401-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CA401">
        <f>IF(AND(CROQUIS!$C$88=1,CROQUIS!$C$91=1,CROQUIS!$C$133&gt;0),((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2">
      <c r="A402" t="n">
        <v>395</v>
      </c>
      <c r="BN402">
        <f>IF(AND(CROQUIS!$C$88=1,CROQUIS!$C$129&gt;0),((CROQUIS!$C$160+(IF(CROQUIS!$C$92="X",CHOOSE(IF(INT(($A402-1)/5)&gt;MAX((MAX(1,INT(((CROQUIS!$C$98)-CROQUIS!$C$107)/MAX((CROQUIS!$C$129*MAX(1,CEILING((INT(((CROQUIS!$C$98)-CROQUIS!$C$107)/MAX(CROQUIS!$C$129,1))+1)/80,1))),1))+1))-1,0),0,MOD($A402-1,5))+1,0,2,CROQUIS!$C$97-2,2,0),((CROQUIS!$C$107/2+(((CROQUIS!$C$98)-CROQUIS!$C$107)-(MAX(1,INT(((CROQUIS!$C$98)-CROQUIS!$C$107)/MAX((CROQUIS!$C$129*MAX(1,CEILING((INT(((CROQUIS!$C$98)-CROQUIS!$C$107)/MAX(CROQUIS!$C$129,1))+1)/80,1))),1))+1)-1)*(CROQUIS!$C$129*MAX(1,CEILING((INT(((CROQUIS!$C$98)-CROQUIS!$C$107)/MAX(CROQUIS!$C$129,1))+1)/80,1))))/2)+MIN(INT(($A402-1)/5),MAX((MAX(1,INT(((CROQUIS!$C$98)-CROQUIS!$C$107)/MAX((CROQUIS!$C$129*MAX(1,CEILING((INT(((CROQUIS!$C$98)-CROQUIS!$C$107)/MAX(CROQUIS!$C$129,1))+1)/80,1))),1))+1))-1,0))*(CROQUIS!$C$129*MAX(1,CEILING((INT(((CROQUIS!$C$98)-CROQUIS!$C$107)/MAX(CROQUIS!$C$129,1))+1)/80,1))))))*CROQUIS!$C$159)+IF(CROQUIS!$C$92="X",0,0)),-1000)</f>
        <v>-1000</v>
      </c>
      <c r="BO402">
        <f>IF(AND(CROQUIS!$C$88=1,CROQUIS!$C$129&gt;0),((CROQUIS!$C$161+(IF(CROQUIS!$C$92="X",((CROQUIS!$C$107/2+(((CROQUIS!$C$98)-CROQUIS!$C$107)-(MAX(1,INT(((CROQUIS!$C$98)-CROQUIS!$C$107)/MAX((CROQUIS!$C$129*MAX(1,CEILING((INT(((CROQUIS!$C$98)-CROQUIS!$C$107)/MAX(CROQUIS!$C$129,1))+1)/80,1))),1))+1)-1)*(CROQUIS!$C$129*MAX(1,CEILING((INT(((CROQUIS!$C$98)-CROQUIS!$C$107)/MAX(CROQUIS!$C$129,1))+1)/80,1))))/2)+MIN(INT(($A402-1)/5),MAX((MAX(1,INT(((CROQUIS!$C$98)-CROQUIS!$C$107)/MAX((CROQUIS!$C$129*MAX(1,CEILING((INT(((CROQUIS!$C$98)-CROQUIS!$C$107)/MAX(CROQUIS!$C$129,1))+1)/80,1))),1))+1))-1,0))*(CROQUIS!$C$129*MAX(1,CEILING((INT(((CROQUIS!$C$98)-CROQUIS!$C$107)/MAX(CROQUIS!$C$129,1))+1)/80,1)))),CHOOSE(IF(INT(($A402-1)/5)&gt;MAX((MAX(1,INT(((CROQUIS!$C$98)-CROQUIS!$C$107)/MAX((CROQUIS!$C$129*MAX(1,CEILING((INT(((CROQUIS!$C$98)-CROQUIS!$C$107)/MAX(CROQUIS!$C$129,1))+1)/80,1))),1))+1))-1,0),0,MOD($A402-1,5))+1,0,2,CROQUIS!$C$97-2,2,0)))*CROQUIS!$C$159)+IF(CROQUIS!$C$92="X",0,0)),-1000)</f>
        <v>-1000</v>
      </c>
      <c r="BP402">
        <f>IF(AND(CROQUIS!$C$88=1,CROQUIS!$C$137&gt;0),((CROQUIS!$C$160+(IF(CROQUIS!$C$92="X",((CROQUIS!$C$107/2+(((CROQUIS!$C$97)-CROQUIS!$C$107)-(MAX(1,INT(((CROQUIS!$C$97)-CROQUIS!$C$107)/MAX((CROQUIS!$C$137*MAX(1,CEILING((INT(((CROQUIS!$C$97)-CROQUIS!$C$107)/MAX(CROQUIS!$C$137,1))+1)/80,1))),1))+1)-1)*(CROQUIS!$C$137*MAX(1,CEILING((INT(((CROQUIS!$C$97)-CROQUIS!$C$107)/MAX(CROQUIS!$C$137,1))+1)/80,1))))/2)+MIN(INT(($A402-1)/5),MAX((MAX(1,INT(((CROQUIS!$C$97)-CROQUIS!$C$107)/MAX((CROQUIS!$C$137*MAX(1,CEILING((INT(((CROQUIS!$C$97)-CROQUIS!$C$107)/MAX(CROQUIS!$C$137,1))+1)/80,1))),1))+1))-1,0))*(CROQUIS!$C$137*MAX(1,CEILING((INT(((CROQUIS!$C$97)-CROQUIS!$C$107)/MAX(CROQUIS!$C$137,1))+1)/80,1)))),CHOOSE(IF(INT(($A402-1)/5)&gt;MAX((MAX(1,INT(((CROQUIS!$C$97)-CROQUIS!$C$107)/MAX((CROQUIS!$C$137*MAX(1,CEILING((INT(((CROQUIS!$C$97)-CROQUIS!$C$107)/MAX(CROQUIS!$C$137,1))+1)/80,1))),1))+1))-1,0),0,MOD($A402-1,5))+1,0,2,CROQUIS!$C$98-2,2,0)))*CROQUIS!$C$159)+IF(CROQUIS!$C$92="X",0,0)),-1000)</f>
        <v>-1000</v>
      </c>
      <c r="BQ402">
        <f>IF(AND(CROQUIS!$C$88=1,CROQUIS!$C$137&gt;0),((CROQUIS!$C$161+(IF(CROQUIS!$C$92="X",CHOOSE(IF(INT(($A402-1)/5)&gt;MAX((MAX(1,INT(((CROQUIS!$C$97)-CROQUIS!$C$107)/MAX((CROQUIS!$C$137*MAX(1,CEILING((INT(((CROQUIS!$C$97)-CROQUIS!$C$107)/MAX(CROQUIS!$C$137,1))+1)/80,1))),1))+1))-1,0),0,MOD($A402-1,5))+1,0,2,CROQUIS!$C$98-2,2,0),((CROQUIS!$C$107/2+(((CROQUIS!$C$97)-CROQUIS!$C$107)-(MAX(1,INT(((CROQUIS!$C$97)-CROQUIS!$C$107)/MAX((CROQUIS!$C$137*MAX(1,CEILING((INT(((CROQUIS!$C$97)-CROQUIS!$C$107)/MAX(CROQUIS!$C$137,1))+1)/80,1))),1))+1)-1)*(CROQUIS!$C$137*MAX(1,CEILING((INT(((CROQUIS!$C$97)-CROQUIS!$C$107)/MAX(CROQUIS!$C$137,1))+1)/80,1))))/2)+MIN(INT(($A402-1)/5),MAX((MAX(1,INT(((CROQUIS!$C$97)-CROQUIS!$C$107)/MAX((CROQUIS!$C$137*MAX(1,CEILING((INT(((CROQUIS!$C$97)-CROQUIS!$C$107)/MAX(CROQUIS!$C$137,1))+1)/80,1))),1))+1))-1,0))*(CROQUIS!$C$137*MAX(1,CEILING((INT(((CROQUIS!$C$97)-CROQUIS!$C$107)/MAX(CROQUIS!$C$137,1))+1)/80,1))))))*CROQUIS!$C$159)+IF(CROQUIS!$C$92="X",0,0)),-1000)</f>
        <v>-1000</v>
      </c>
      <c r="BR402">
        <f>IF(AND(CROQUIS!$C$88=1,CROQUIS!$C$91=0,CROQUIS!$C$133&gt;0,OR(CROQUIS!$C$103=1,CROQUIS!$C$145=1)),((CROQUIS!$C$160+(IF(CROQUIS!$C$92="X",CHOOSE(IF(INT(($A402-1)/5)&gt;MAX((MAX(1,INT(((CROQUIS!$C$98)-CROQUIS!$C$107)/MAX((CROQUIS!$C$133*MAX(1,CEILING((INT(((CROQUIS!$C$98)-CROQUIS!$C$107)/MAX(CROQUIS!$C$133,1))+1)/80,1))),1))+1))-1,0),0,MOD($A402-1,5))+1,0,IF(CROQUIS!$C$103=1,-12,2),CROQUIS!$C$107/2+CROQUIS!$C$143,IF(CROQUIS!$C$103=1,-12,2),0),((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BS4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+1,0,IF(CROQUIS!$C$103=1,-12,2),CROQUIS!$C$107/2+CROQUIS!$C$143,IF(CROQUIS!$C$103=1,-12,2),0)))*CROQUIS!$C$159)+IF(CROQUIS!$C$92="X",0.8,0)),-1000)</f>
        <v>-1000</v>
      </c>
      <c r="BT402">
        <f>IF(AND(CROQUIS!$C$88=1,CROQUIS!$C$91=0,CROQUIS!$C$133&gt;0,OR(CROQUIS!$C$104=1,CROQUIS!$C$145=1)),((CROQUIS!$C$160+(IF(CROQUIS!$C$92="X",CHOOSE(IF(INT(($A402-1)/5)&gt;MAX((MAX(1,INT(((CROQUIS!$C$98)-CROQUIS!$C$107)/MAX((CROQUIS!$C$133*MAX(1,CEILING((INT(((CROQUIS!$C$98)-CROQUIS!$C$107)/MAX(CROQUIS!$C$133,1))+1)/80,1))),1))+1))-1,0),0,MOD($A402-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BU4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CROQUIS!$C$97,CROQUIS!$C$97-CROQUIS!$C$107/2-CROQUIS!$C$143,IF(CROQUIS!$C$104=1,CROQUIS!$C$97+12,CROQUIS!$C$97-2),CROQUIS!$C$97-CROQUIS!$C$107/2-CROQUIS!$C$143,CROQUIS!$C$97)))*CROQUIS!$C$159)+IF(CROQUIS!$C$92="X",0.8,0)),-1000)</f>
        <v>-1000</v>
      </c>
      <c r="BV4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HOOSE(IF(INT(($A402-1)/5)&gt;MAX((MAX(1,INT(((CROQUIS!$C$97)-CROQUIS!$C$107)/MAX((CROQUIS!$C$141*MAX(1,CEILING((INT(((CROQUIS!$C$97)-CROQUIS!$C$107)/MAX(CROQUIS!$C$141,1))+1)/80,1))),1))+1))-1,0),0,MOD($A402-1,5))+1,0,IF(CROQUIS!$C$105=1,-12,2),CROQUIS!$C$107/2+CROQUIS!$C$144,IF(CROQUIS!$C$105=1,-12,2),0)))*CROQUIS!$C$159)+IF(CROQUIS!$C$92="X",0.8,0)),-1000)</f>
        <v>-1000</v>
      </c>
      <c r="BW402">
        <f>IF(AND(CROQUIS!$C$88=1,CROQUIS!$C$91=0,CROQUIS!$C$141&gt;0,OR(CROQUIS!$C$105=1,CROQUIS!$C$146=1)),((CROQUIS!$C$161+(IF(CROQUIS!$C$92="X",CHOOSE(IF(INT(($A402-1)/5)&gt;MAX((MAX(1,INT(((CROQUIS!$C$97)-CROQUIS!$C$107)/MAX((CROQUIS!$C$141*MAX(1,CEILING((INT(((CROQUIS!$C$97)-CROQUIS!$C$107)/MAX(CROQUIS!$C$141,1))+1)/80,1))),1))+1))-1,0),0,MOD($A402-1,5))+1,0,IF(CROQUIS!$C$105=1,-12,2),CROQUIS!$C$107/2+CROQUIS!$C$144,IF(CROQUIS!$C$105=1,-12,2),0),((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ROQUIS!$C$159)+IF(CROQUIS!$C$92="X",0,0.8)),-1000)</f>
        <v>-1000</v>
      </c>
      <c r="BX4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HOOSE(IF(INT(($A402-1)/5)&gt;MAX((MAX(1,INT(((CROQUIS!$C$97)-CROQUIS!$C$107)/MAX((CROQUIS!$C$141*MAX(1,CEILING((INT(((CROQUIS!$C$97)-CROQUIS!$C$107)/MAX(CROQUIS!$C$141,1))+1)/80,1))),1))+1))-1,0),0,MOD($A402-1,5))+1,CROQUIS!$C$98,CROQUIS!$C$98-CROQUIS!$C$107/2-CROQUIS!$C$144,IF(CROQUIS!$C$106=1,CROQUIS!$C$98+12,CROQUIS!$C$98-2),CROQUIS!$C$98-CROQUIS!$C$107/2-CROQUIS!$C$144,CROQUIS!$C$98)))*CROQUIS!$C$159)+IF(CROQUIS!$C$92="X",0.8,0)),-1000)</f>
        <v>-1000</v>
      </c>
      <c r="BY402">
        <f>IF(AND(CROQUIS!$C$88=1,CROQUIS!$C$91=0,CROQUIS!$C$141&gt;0,OR(CROQUIS!$C$106=1,CROQUIS!$C$146=1)),((CROQUIS!$C$161+(IF(CROQUIS!$C$92="X",CHOOSE(IF(INT(($A402-1)/5)&gt;MAX((MAX(1,INT(((CROQUIS!$C$97)-CROQUIS!$C$107)/MAX((CROQUIS!$C$141*MAX(1,CEILING((INT(((CROQUIS!$C$97)-CROQUIS!$C$107)/MAX(CROQUIS!$C$141,1))+1)/80,1))),1))+1))-1,0),0,MOD($A402-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ROQUIS!$C$159)+IF(CROQUIS!$C$92="X",0,0.8)),-1000)</f>
        <v>-1000</v>
      </c>
      <c r="BZ402">
        <f>IF(AND(CROQUIS!$C$88=1,CROQUIS!$C$91=1,CROQUIS!$C$133&gt;0),((CROQUIS!$C$160+(IF(CROQUIS!$C$92="X",CHOOSE(IF(INT(($A402-1)/5)&gt;MAX((MAX(1,INT(((CROQUIS!$C$98)-CROQUIS!$C$107)/MAX((CROQUIS!$C$133*MAX(1,CEILING((INT(((CROQUIS!$C$98)-CROQUIS!$C$107)/MAX(CROQUIS!$C$133,1))+1)/80,1))),1))+1))-1,0),0,MOD($A402-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CA402">
        <f>IF(AND(CROQUIS!$C$88=1,CROQUIS!$C$91=1,CROQUIS!$C$133&gt;0),((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3">
      <c r="A403" t="n">
        <v>396</v>
      </c>
      <c r="BN403">
        <f>IF(AND(CROQUIS!$C$88=1,CROQUIS!$C$129&gt;0),((CROQUIS!$C$160+(IF(CROQUIS!$C$92="X",CHOOSE(IF(INT(($A403-1)/5)&gt;MAX((MAX(1,INT(((CROQUIS!$C$98)-CROQUIS!$C$107)/MAX((CROQUIS!$C$129*MAX(1,CEILING((INT(((CROQUIS!$C$98)-CROQUIS!$C$107)/MAX(CROQUIS!$C$129,1))+1)/80,1))),1))+1))-1,0),0,MOD($A403-1,5))+1,0,2,CROQUIS!$C$97-2,2,0),((CROQUIS!$C$107/2+(((CROQUIS!$C$98)-CROQUIS!$C$107)-(MAX(1,INT(((CROQUIS!$C$98)-CROQUIS!$C$107)/MAX((CROQUIS!$C$129*MAX(1,CEILING((INT(((CROQUIS!$C$98)-CROQUIS!$C$107)/MAX(CROQUIS!$C$129,1))+1)/80,1))),1))+1)-1)*(CROQUIS!$C$129*MAX(1,CEILING((INT(((CROQUIS!$C$98)-CROQUIS!$C$107)/MAX(CROQUIS!$C$129,1))+1)/80,1))))/2)+MIN(INT(($A403-1)/5),MAX((MAX(1,INT(((CROQUIS!$C$98)-CROQUIS!$C$107)/MAX((CROQUIS!$C$129*MAX(1,CEILING((INT(((CROQUIS!$C$98)-CROQUIS!$C$107)/MAX(CROQUIS!$C$129,1))+1)/80,1))),1))+1))-1,0))*(CROQUIS!$C$129*MAX(1,CEILING((INT(((CROQUIS!$C$98)-CROQUIS!$C$107)/MAX(CROQUIS!$C$129,1))+1)/80,1))))))*CROQUIS!$C$159)+IF(CROQUIS!$C$92="X",0,0)),-1000)</f>
        <v>-1000</v>
      </c>
      <c r="BO403">
        <f>IF(AND(CROQUIS!$C$88=1,CROQUIS!$C$129&gt;0),((CROQUIS!$C$161+(IF(CROQUIS!$C$92="X",((CROQUIS!$C$107/2+(((CROQUIS!$C$98)-CROQUIS!$C$107)-(MAX(1,INT(((CROQUIS!$C$98)-CROQUIS!$C$107)/MAX((CROQUIS!$C$129*MAX(1,CEILING((INT(((CROQUIS!$C$98)-CROQUIS!$C$107)/MAX(CROQUIS!$C$129,1))+1)/80,1))),1))+1)-1)*(CROQUIS!$C$129*MAX(1,CEILING((INT(((CROQUIS!$C$98)-CROQUIS!$C$107)/MAX(CROQUIS!$C$129,1))+1)/80,1))))/2)+MIN(INT(($A403-1)/5),MAX((MAX(1,INT(((CROQUIS!$C$98)-CROQUIS!$C$107)/MAX((CROQUIS!$C$129*MAX(1,CEILING((INT(((CROQUIS!$C$98)-CROQUIS!$C$107)/MAX(CROQUIS!$C$129,1))+1)/80,1))),1))+1))-1,0))*(CROQUIS!$C$129*MAX(1,CEILING((INT(((CROQUIS!$C$98)-CROQUIS!$C$107)/MAX(CROQUIS!$C$129,1))+1)/80,1)))),CHOOSE(IF(INT(($A403-1)/5)&gt;MAX((MAX(1,INT(((CROQUIS!$C$98)-CROQUIS!$C$107)/MAX((CROQUIS!$C$129*MAX(1,CEILING((INT(((CROQUIS!$C$98)-CROQUIS!$C$107)/MAX(CROQUIS!$C$129,1))+1)/80,1))),1))+1))-1,0),0,MOD($A403-1,5))+1,0,2,CROQUIS!$C$97-2,2,0)))*CROQUIS!$C$159)+IF(CROQUIS!$C$92="X",0,0)),-1000)</f>
        <v>-1000</v>
      </c>
      <c r="BP403">
        <f>IF(AND(CROQUIS!$C$88=1,CROQUIS!$C$137&gt;0),((CROQUIS!$C$160+(IF(CROQUIS!$C$92="X",((CROQUIS!$C$107/2+(((CROQUIS!$C$97)-CROQUIS!$C$107)-(MAX(1,INT(((CROQUIS!$C$97)-CROQUIS!$C$107)/MAX((CROQUIS!$C$137*MAX(1,CEILING((INT(((CROQUIS!$C$97)-CROQUIS!$C$107)/MAX(CROQUIS!$C$137,1))+1)/80,1))),1))+1)-1)*(CROQUIS!$C$137*MAX(1,CEILING((INT(((CROQUIS!$C$97)-CROQUIS!$C$107)/MAX(CROQUIS!$C$137,1))+1)/80,1))))/2)+MIN(INT(($A403-1)/5),MAX((MAX(1,INT(((CROQUIS!$C$97)-CROQUIS!$C$107)/MAX((CROQUIS!$C$137*MAX(1,CEILING((INT(((CROQUIS!$C$97)-CROQUIS!$C$107)/MAX(CROQUIS!$C$137,1))+1)/80,1))),1))+1))-1,0))*(CROQUIS!$C$137*MAX(1,CEILING((INT(((CROQUIS!$C$97)-CROQUIS!$C$107)/MAX(CROQUIS!$C$137,1))+1)/80,1)))),CHOOSE(IF(INT(($A403-1)/5)&gt;MAX((MAX(1,INT(((CROQUIS!$C$97)-CROQUIS!$C$107)/MAX((CROQUIS!$C$137*MAX(1,CEILING((INT(((CROQUIS!$C$97)-CROQUIS!$C$107)/MAX(CROQUIS!$C$137,1))+1)/80,1))),1))+1))-1,0),0,MOD($A403-1,5))+1,0,2,CROQUIS!$C$98-2,2,0)))*CROQUIS!$C$159)+IF(CROQUIS!$C$92="X",0,0)),-1000)</f>
        <v>-1000</v>
      </c>
      <c r="BQ403">
        <f>IF(AND(CROQUIS!$C$88=1,CROQUIS!$C$137&gt;0),((CROQUIS!$C$161+(IF(CROQUIS!$C$92="X",CHOOSE(IF(INT(($A403-1)/5)&gt;MAX((MAX(1,INT(((CROQUIS!$C$97)-CROQUIS!$C$107)/MAX((CROQUIS!$C$137*MAX(1,CEILING((INT(((CROQUIS!$C$97)-CROQUIS!$C$107)/MAX(CROQUIS!$C$137,1))+1)/80,1))),1))+1))-1,0),0,MOD($A403-1,5))+1,0,2,CROQUIS!$C$98-2,2,0),((CROQUIS!$C$107/2+(((CROQUIS!$C$97)-CROQUIS!$C$107)-(MAX(1,INT(((CROQUIS!$C$97)-CROQUIS!$C$107)/MAX((CROQUIS!$C$137*MAX(1,CEILING((INT(((CROQUIS!$C$97)-CROQUIS!$C$107)/MAX(CROQUIS!$C$137,1))+1)/80,1))),1))+1)-1)*(CROQUIS!$C$137*MAX(1,CEILING((INT(((CROQUIS!$C$97)-CROQUIS!$C$107)/MAX(CROQUIS!$C$137,1))+1)/80,1))))/2)+MIN(INT(($A403-1)/5),MAX((MAX(1,INT(((CROQUIS!$C$97)-CROQUIS!$C$107)/MAX((CROQUIS!$C$137*MAX(1,CEILING((INT(((CROQUIS!$C$97)-CROQUIS!$C$107)/MAX(CROQUIS!$C$137,1))+1)/80,1))),1))+1))-1,0))*(CROQUIS!$C$137*MAX(1,CEILING((INT(((CROQUIS!$C$97)-CROQUIS!$C$107)/MAX(CROQUIS!$C$137,1))+1)/80,1))))))*CROQUIS!$C$159)+IF(CROQUIS!$C$92="X",0,0)),-1000)</f>
        <v>-1000</v>
      </c>
      <c r="BR403">
        <f>IF(AND(CROQUIS!$C$88=1,CROQUIS!$C$91=0,CROQUIS!$C$133&gt;0,OR(CROQUIS!$C$103=1,CROQUIS!$C$145=1)),((CROQUIS!$C$160+(IF(CROQUIS!$C$92="X",CHOOSE(IF(INT(($A403-1)/5)&gt;MAX((MAX(1,INT(((CROQUIS!$C$98)-CROQUIS!$C$107)/MAX((CROQUIS!$C$133*MAX(1,CEILING((INT(((CROQUIS!$C$98)-CROQUIS!$C$107)/MAX(CROQUIS!$C$133,1))+1)/80,1))),1))+1))-1,0),0,MOD($A403-1,5))+1,0,IF(CROQUIS!$C$103=1,-12,2),CROQUIS!$C$107/2+CROQUIS!$C$143,IF(CROQUIS!$C$103=1,-12,2),0),((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BS4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+1,0,IF(CROQUIS!$C$103=1,-12,2),CROQUIS!$C$107/2+CROQUIS!$C$143,IF(CROQUIS!$C$103=1,-12,2),0)))*CROQUIS!$C$159)+IF(CROQUIS!$C$92="X",0.8,0)),-1000)</f>
        <v>-1000</v>
      </c>
      <c r="BT403">
        <f>IF(AND(CROQUIS!$C$88=1,CROQUIS!$C$91=0,CROQUIS!$C$133&gt;0,OR(CROQUIS!$C$104=1,CROQUIS!$C$145=1)),((CROQUIS!$C$160+(IF(CROQUIS!$C$92="X",CHOOSE(IF(INT(($A403-1)/5)&gt;MAX((MAX(1,INT(((CROQUIS!$C$98)-CROQUIS!$C$107)/MAX((CROQUIS!$C$133*MAX(1,CEILING((INT(((CROQUIS!$C$98)-CROQUIS!$C$107)/MAX(CROQUIS!$C$133,1))+1)/80,1))),1))+1))-1,0),0,MOD($A403-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BU4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CROQUIS!$C$97,CROQUIS!$C$97-CROQUIS!$C$107/2-CROQUIS!$C$143,IF(CROQUIS!$C$104=1,CROQUIS!$C$97+12,CROQUIS!$C$97-2),CROQUIS!$C$97-CROQUIS!$C$107/2-CROQUIS!$C$143,CROQUIS!$C$97)))*CROQUIS!$C$159)+IF(CROQUIS!$C$92="X",0.8,0)),-1000)</f>
        <v>-1000</v>
      </c>
      <c r="BV4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HOOSE(IF(INT(($A403-1)/5)&gt;MAX((MAX(1,INT(((CROQUIS!$C$97)-CROQUIS!$C$107)/MAX((CROQUIS!$C$141*MAX(1,CEILING((INT(((CROQUIS!$C$97)-CROQUIS!$C$107)/MAX(CROQUIS!$C$141,1))+1)/80,1))),1))+1))-1,0),0,MOD($A403-1,5))+1,0,IF(CROQUIS!$C$105=1,-12,2),CROQUIS!$C$107/2+CROQUIS!$C$144,IF(CROQUIS!$C$105=1,-12,2),0)))*CROQUIS!$C$159)+IF(CROQUIS!$C$92="X",0.8,0)),-1000)</f>
        <v>-1000</v>
      </c>
      <c r="BW403">
        <f>IF(AND(CROQUIS!$C$88=1,CROQUIS!$C$91=0,CROQUIS!$C$141&gt;0,OR(CROQUIS!$C$105=1,CROQUIS!$C$146=1)),((CROQUIS!$C$161+(IF(CROQUIS!$C$92="X",CHOOSE(IF(INT(($A403-1)/5)&gt;MAX((MAX(1,INT(((CROQUIS!$C$97)-CROQUIS!$C$107)/MAX((CROQUIS!$C$141*MAX(1,CEILING((INT(((CROQUIS!$C$97)-CROQUIS!$C$107)/MAX(CROQUIS!$C$141,1))+1)/80,1))),1))+1))-1,0),0,MOD($A403-1,5))+1,0,IF(CROQUIS!$C$105=1,-12,2),CROQUIS!$C$107/2+CROQUIS!$C$144,IF(CROQUIS!$C$105=1,-12,2),0),((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ROQUIS!$C$159)+IF(CROQUIS!$C$92="X",0,0.8)),-1000)</f>
        <v>-1000</v>
      </c>
      <c r="BX4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HOOSE(IF(INT(($A403-1)/5)&gt;MAX((MAX(1,INT(((CROQUIS!$C$97)-CROQUIS!$C$107)/MAX((CROQUIS!$C$141*MAX(1,CEILING((INT(((CROQUIS!$C$97)-CROQUIS!$C$107)/MAX(CROQUIS!$C$141,1))+1)/80,1))),1))+1))-1,0),0,MOD($A403-1,5))+1,CROQUIS!$C$98,CROQUIS!$C$98-CROQUIS!$C$107/2-CROQUIS!$C$144,IF(CROQUIS!$C$106=1,CROQUIS!$C$98+12,CROQUIS!$C$98-2),CROQUIS!$C$98-CROQUIS!$C$107/2-CROQUIS!$C$144,CROQUIS!$C$98)))*CROQUIS!$C$159)+IF(CROQUIS!$C$92="X",0.8,0)),-1000)</f>
        <v>-1000</v>
      </c>
      <c r="BY403">
        <f>IF(AND(CROQUIS!$C$88=1,CROQUIS!$C$91=0,CROQUIS!$C$141&gt;0,OR(CROQUIS!$C$106=1,CROQUIS!$C$146=1)),((CROQUIS!$C$161+(IF(CROQUIS!$C$92="X",CHOOSE(IF(INT(($A403-1)/5)&gt;MAX((MAX(1,INT(((CROQUIS!$C$97)-CROQUIS!$C$107)/MAX((CROQUIS!$C$141*MAX(1,CEILING((INT(((CROQUIS!$C$97)-CROQUIS!$C$107)/MAX(CROQUIS!$C$141,1))+1)/80,1))),1))+1))-1,0),0,MOD($A403-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ROQUIS!$C$159)+IF(CROQUIS!$C$92="X",0,0.8)),-1000)</f>
        <v>-1000</v>
      </c>
      <c r="BZ403">
        <f>IF(AND(CROQUIS!$C$88=1,CROQUIS!$C$91=1,CROQUIS!$C$133&gt;0),((CROQUIS!$C$160+(IF(CROQUIS!$C$92="X",CHOOSE(IF(INT(($A403-1)/5)&gt;MAX((MAX(1,INT(((CROQUIS!$C$98)-CROQUIS!$C$107)/MAX((CROQUIS!$C$133*MAX(1,CEILING((INT(((CROQUIS!$C$98)-CROQUIS!$C$107)/MAX(CROQUIS!$C$133,1))+1)/80,1))),1))+1))-1,0),0,MOD($A403-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CA403">
        <f>IF(AND(CROQUIS!$C$88=1,CROQUIS!$C$91=1,CROQUIS!$C$133&gt;0),((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4">
      <c r="A404" t="n">
        <v>397</v>
      </c>
      <c r="BN404">
        <f>IF(AND(CROQUIS!$C$88=1,CROQUIS!$C$129&gt;0),((CROQUIS!$C$160+(IF(CROQUIS!$C$92="X",CHOOSE(IF(INT(($A404-1)/5)&gt;MAX((MAX(1,INT(((CROQUIS!$C$98)-CROQUIS!$C$107)/MAX((CROQUIS!$C$129*MAX(1,CEILING((INT(((CROQUIS!$C$98)-CROQUIS!$C$107)/MAX(CROQUIS!$C$129,1))+1)/80,1))),1))+1))-1,0),0,MOD($A404-1,5))+1,0,2,CROQUIS!$C$97-2,2,0),((CROQUIS!$C$107/2+(((CROQUIS!$C$98)-CROQUIS!$C$107)-(MAX(1,INT(((CROQUIS!$C$98)-CROQUIS!$C$107)/MAX((CROQUIS!$C$129*MAX(1,CEILING((INT(((CROQUIS!$C$98)-CROQUIS!$C$107)/MAX(CROQUIS!$C$129,1))+1)/80,1))),1))+1)-1)*(CROQUIS!$C$129*MAX(1,CEILING((INT(((CROQUIS!$C$98)-CROQUIS!$C$107)/MAX(CROQUIS!$C$129,1))+1)/80,1))))/2)+MIN(INT(($A404-1)/5),MAX((MAX(1,INT(((CROQUIS!$C$98)-CROQUIS!$C$107)/MAX((CROQUIS!$C$129*MAX(1,CEILING((INT(((CROQUIS!$C$98)-CROQUIS!$C$107)/MAX(CROQUIS!$C$129,1))+1)/80,1))),1))+1))-1,0))*(CROQUIS!$C$129*MAX(1,CEILING((INT(((CROQUIS!$C$98)-CROQUIS!$C$107)/MAX(CROQUIS!$C$129,1))+1)/80,1))))))*CROQUIS!$C$159)+IF(CROQUIS!$C$92="X",0,0)),-1000)</f>
        <v>-1000</v>
      </c>
      <c r="BO404">
        <f>IF(AND(CROQUIS!$C$88=1,CROQUIS!$C$129&gt;0),((CROQUIS!$C$161+(IF(CROQUIS!$C$92="X",((CROQUIS!$C$107/2+(((CROQUIS!$C$98)-CROQUIS!$C$107)-(MAX(1,INT(((CROQUIS!$C$98)-CROQUIS!$C$107)/MAX((CROQUIS!$C$129*MAX(1,CEILING((INT(((CROQUIS!$C$98)-CROQUIS!$C$107)/MAX(CROQUIS!$C$129,1))+1)/80,1))),1))+1)-1)*(CROQUIS!$C$129*MAX(1,CEILING((INT(((CROQUIS!$C$98)-CROQUIS!$C$107)/MAX(CROQUIS!$C$129,1))+1)/80,1))))/2)+MIN(INT(($A404-1)/5),MAX((MAX(1,INT(((CROQUIS!$C$98)-CROQUIS!$C$107)/MAX((CROQUIS!$C$129*MAX(1,CEILING((INT(((CROQUIS!$C$98)-CROQUIS!$C$107)/MAX(CROQUIS!$C$129,1))+1)/80,1))),1))+1))-1,0))*(CROQUIS!$C$129*MAX(1,CEILING((INT(((CROQUIS!$C$98)-CROQUIS!$C$107)/MAX(CROQUIS!$C$129,1))+1)/80,1)))),CHOOSE(IF(INT(($A404-1)/5)&gt;MAX((MAX(1,INT(((CROQUIS!$C$98)-CROQUIS!$C$107)/MAX((CROQUIS!$C$129*MAX(1,CEILING((INT(((CROQUIS!$C$98)-CROQUIS!$C$107)/MAX(CROQUIS!$C$129,1))+1)/80,1))),1))+1))-1,0),0,MOD($A404-1,5))+1,0,2,CROQUIS!$C$97-2,2,0)))*CROQUIS!$C$159)+IF(CROQUIS!$C$92="X",0,0)),-1000)</f>
        <v>-1000</v>
      </c>
      <c r="BP404">
        <f>IF(AND(CROQUIS!$C$88=1,CROQUIS!$C$137&gt;0),((CROQUIS!$C$160+(IF(CROQUIS!$C$92="X",((CROQUIS!$C$107/2+(((CROQUIS!$C$97)-CROQUIS!$C$107)-(MAX(1,INT(((CROQUIS!$C$97)-CROQUIS!$C$107)/MAX((CROQUIS!$C$137*MAX(1,CEILING((INT(((CROQUIS!$C$97)-CROQUIS!$C$107)/MAX(CROQUIS!$C$137,1))+1)/80,1))),1))+1)-1)*(CROQUIS!$C$137*MAX(1,CEILING((INT(((CROQUIS!$C$97)-CROQUIS!$C$107)/MAX(CROQUIS!$C$137,1))+1)/80,1))))/2)+MIN(INT(($A404-1)/5),MAX((MAX(1,INT(((CROQUIS!$C$97)-CROQUIS!$C$107)/MAX((CROQUIS!$C$137*MAX(1,CEILING((INT(((CROQUIS!$C$97)-CROQUIS!$C$107)/MAX(CROQUIS!$C$137,1))+1)/80,1))),1))+1))-1,0))*(CROQUIS!$C$137*MAX(1,CEILING((INT(((CROQUIS!$C$97)-CROQUIS!$C$107)/MAX(CROQUIS!$C$137,1))+1)/80,1)))),CHOOSE(IF(INT(($A404-1)/5)&gt;MAX((MAX(1,INT(((CROQUIS!$C$97)-CROQUIS!$C$107)/MAX((CROQUIS!$C$137*MAX(1,CEILING((INT(((CROQUIS!$C$97)-CROQUIS!$C$107)/MAX(CROQUIS!$C$137,1))+1)/80,1))),1))+1))-1,0),0,MOD($A404-1,5))+1,0,2,CROQUIS!$C$98-2,2,0)))*CROQUIS!$C$159)+IF(CROQUIS!$C$92="X",0,0)),-1000)</f>
        <v>-1000</v>
      </c>
      <c r="BQ404">
        <f>IF(AND(CROQUIS!$C$88=1,CROQUIS!$C$137&gt;0),((CROQUIS!$C$161+(IF(CROQUIS!$C$92="X",CHOOSE(IF(INT(($A404-1)/5)&gt;MAX((MAX(1,INT(((CROQUIS!$C$97)-CROQUIS!$C$107)/MAX((CROQUIS!$C$137*MAX(1,CEILING((INT(((CROQUIS!$C$97)-CROQUIS!$C$107)/MAX(CROQUIS!$C$137,1))+1)/80,1))),1))+1))-1,0),0,MOD($A404-1,5))+1,0,2,CROQUIS!$C$98-2,2,0),((CROQUIS!$C$107/2+(((CROQUIS!$C$97)-CROQUIS!$C$107)-(MAX(1,INT(((CROQUIS!$C$97)-CROQUIS!$C$107)/MAX((CROQUIS!$C$137*MAX(1,CEILING((INT(((CROQUIS!$C$97)-CROQUIS!$C$107)/MAX(CROQUIS!$C$137,1))+1)/80,1))),1))+1)-1)*(CROQUIS!$C$137*MAX(1,CEILING((INT(((CROQUIS!$C$97)-CROQUIS!$C$107)/MAX(CROQUIS!$C$137,1))+1)/80,1))))/2)+MIN(INT(($A404-1)/5),MAX((MAX(1,INT(((CROQUIS!$C$97)-CROQUIS!$C$107)/MAX((CROQUIS!$C$137*MAX(1,CEILING((INT(((CROQUIS!$C$97)-CROQUIS!$C$107)/MAX(CROQUIS!$C$137,1))+1)/80,1))),1))+1))-1,0))*(CROQUIS!$C$137*MAX(1,CEILING((INT(((CROQUIS!$C$97)-CROQUIS!$C$107)/MAX(CROQUIS!$C$137,1))+1)/80,1))))))*CROQUIS!$C$159)+IF(CROQUIS!$C$92="X",0,0)),-1000)</f>
        <v>-1000</v>
      </c>
      <c r="BR404">
        <f>IF(AND(CROQUIS!$C$88=1,CROQUIS!$C$91=0,CROQUIS!$C$133&gt;0,OR(CROQUIS!$C$103=1,CROQUIS!$C$145=1)),((CROQUIS!$C$160+(IF(CROQUIS!$C$92="X",CHOOSE(IF(INT(($A404-1)/5)&gt;MAX((MAX(1,INT(((CROQUIS!$C$98)-CROQUIS!$C$107)/MAX((CROQUIS!$C$133*MAX(1,CEILING((INT(((CROQUIS!$C$98)-CROQUIS!$C$107)/MAX(CROQUIS!$C$133,1))+1)/80,1))),1))+1))-1,0),0,MOD($A404-1,5))+1,0,IF(CROQUIS!$C$103=1,-12,2),CROQUIS!$C$107/2+CROQUIS!$C$143,IF(CROQUIS!$C$103=1,-12,2),0),((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BS4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+1,0,IF(CROQUIS!$C$103=1,-12,2),CROQUIS!$C$107/2+CROQUIS!$C$143,IF(CROQUIS!$C$103=1,-12,2),0)))*CROQUIS!$C$159)+IF(CROQUIS!$C$92="X",0.8,0)),-1000)</f>
        <v>-1000</v>
      </c>
      <c r="BT404">
        <f>IF(AND(CROQUIS!$C$88=1,CROQUIS!$C$91=0,CROQUIS!$C$133&gt;0,OR(CROQUIS!$C$104=1,CROQUIS!$C$145=1)),((CROQUIS!$C$160+(IF(CROQUIS!$C$92="X",CHOOSE(IF(INT(($A404-1)/5)&gt;MAX((MAX(1,INT(((CROQUIS!$C$98)-CROQUIS!$C$107)/MAX((CROQUIS!$C$133*MAX(1,CEILING((INT(((CROQUIS!$C$98)-CROQUIS!$C$107)/MAX(CROQUIS!$C$133,1))+1)/80,1))),1))+1))-1,0),0,MOD($A404-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BU4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CROQUIS!$C$97,CROQUIS!$C$97-CROQUIS!$C$107/2-CROQUIS!$C$143,IF(CROQUIS!$C$104=1,CROQUIS!$C$97+12,CROQUIS!$C$97-2),CROQUIS!$C$97-CROQUIS!$C$107/2-CROQUIS!$C$143,CROQUIS!$C$97)))*CROQUIS!$C$159)+IF(CROQUIS!$C$92="X",0.8,0)),-1000)</f>
        <v>-1000</v>
      </c>
      <c r="BV4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HOOSE(IF(INT(($A404-1)/5)&gt;MAX((MAX(1,INT(((CROQUIS!$C$97)-CROQUIS!$C$107)/MAX((CROQUIS!$C$141*MAX(1,CEILING((INT(((CROQUIS!$C$97)-CROQUIS!$C$107)/MAX(CROQUIS!$C$141,1))+1)/80,1))),1))+1))-1,0),0,MOD($A404-1,5))+1,0,IF(CROQUIS!$C$105=1,-12,2),CROQUIS!$C$107/2+CROQUIS!$C$144,IF(CROQUIS!$C$105=1,-12,2),0)))*CROQUIS!$C$159)+IF(CROQUIS!$C$92="X",0.8,0)),-1000)</f>
        <v>-1000</v>
      </c>
      <c r="BW404">
        <f>IF(AND(CROQUIS!$C$88=1,CROQUIS!$C$91=0,CROQUIS!$C$141&gt;0,OR(CROQUIS!$C$105=1,CROQUIS!$C$146=1)),((CROQUIS!$C$161+(IF(CROQUIS!$C$92="X",CHOOSE(IF(INT(($A404-1)/5)&gt;MAX((MAX(1,INT(((CROQUIS!$C$97)-CROQUIS!$C$107)/MAX((CROQUIS!$C$141*MAX(1,CEILING((INT(((CROQUIS!$C$97)-CROQUIS!$C$107)/MAX(CROQUIS!$C$141,1))+1)/80,1))),1))+1))-1,0),0,MOD($A404-1,5))+1,0,IF(CROQUIS!$C$105=1,-12,2),CROQUIS!$C$107/2+CROQUIS!$C$144,IF(CROQUIS!$C$105=1,-12,2),0),((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ROQUIS!$C$159)+IF(CROQUIS!$C$92="X",0,0.8)),-1000)</f>
        <v>-1000</v>
      </c>
      <c r="BX4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HOOSE(IF(INT(($A404-1)/5)&gt;MAX((MAX(1,INT(((CROQUIS!$C$97)-CROQUIS!$C$107)/MAX((CROQUIS!$C$141*MAX(1,CEILING((INT(((CROQUIS!$C$97)-CROQUIS!$C$107)/MAX(CROQUIS!$C$141,1))+1)/80,1))),1))+1))-1,0),0,MOD($A404-1,5))+1,CROQUIS!$C$98,CROQUIS!$C$98-CROQUIS!$C$107/2-CROQUIS!$C$144,IF(CROQUIS!$C$106=1,CROQUIS!$C$98+12,CROQUIS!$C$98-2),CROQUIS!$C$98-CROQUIS!$C$107/2-CROQUIS!$C$144,CROQUIS!$C$98)))*CROQUIS!$C$159)+IF(CROQUIS!$C$92="X",0.8,0)),-1000)</f>
        <v>-1000</v>
      </c>
      <c r="BY404">
        <f>IF(AND(CROQUIS!$C$88=1,CROQUIS!$C$91=0,CROQUIS!$C$141&gt;0,OR(CROQUIS!$C$106=1,CROQUIS!$C$146=1)),((CROQUIS!$C$161+(IF(CROQUIS!$C$92="X",CHOOSE(IF(INT(($A404-1)/5)&gt;MAX((MAX(1,INT(((CROQUIS!$C$97)-CROQUIS!$C$107)/MAX((CROQUIS!$C$141*MAX(1,CEILING((INT(((CROQUIS!$C$97)-CROQUIS!$C$107)/MAX(CROQUIS!$C$141,1))+1)/80,1))),1))+1))-1,0),0,MOD($A404-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ROQUIS!$C$159)+IF(CROQUIS!$C$92="X",0,0.8)),-1000)</f>
        <v>-1000</v>
      </c>
      <c r="BZ404">
        <f>IF(AND(CROQUIS!$C$88=1,CROQUIS!$C$91=1,CROQUIS!$C$133&gt;0),((CROQUIS!$C$160+(IF(CROQUIS!$C$92="X",CHOOSE(IF(INT(($A404-1)/5)&gt;MAX((MAX(1,INT(((CROQUIS!$C$98)-CROQUIS!$C$107)/MAX((CROQUIS!$C$133*MAX(1,CEILING((INT(((CROQUIS!$C$98)-CROQUIS!$C$107)/MAX(CROQUIS!$C$133,1))+1)/80,1))),1))+1))-1,0),0,MOD($A404-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CA404">
        <f>IF(AND(CROQUIS!$C$88=1,CROQUIS!$C$91=1,CROQUIS!$C$133&gt;0),((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5">
      <c r="A405" t="n">
        <v>398</v>
      </c>
      <c r="BN405">
        <f>IF(AND(CROQUIS!$C$88=1,CROQUIS!$C$129&gt;0),((CROQUIS!$C$160+(IF(CROQUIS!$C$92="X",CHOOSE(IF(INT(($A405-1)/5)&gt;MAX((MAX(1,INT(((CROQUIS!$C$98)-CROQUIS!$C$107)/MAX((CROQUIS!$C$129*MAX(1,CEILING((INT(((CROQUIS!$C$98)-CROQUIS!$C$107)/MAX(CROQUIS!$C$129,1))+1)/80,1))),1))+1))-1,0),0,MOD($A405-1,5))+1,0,2,CROQUIS!$C$97-2,2,0),((CROQUIS!$C$107/2+(((CROQUIS!$C$98)-CROQUIS!$C$107)-(MAX(1,INT(((CROQUIS!$C$98)-CROQUIS!$C$107)/MAX((CROQUIS!$C$129*MAX(1,CEILING((INT(((CROQUIS!$C$98)-CROQUIS!$C$107)/MAX(CROQUIS!$C$129,1))+1)/80,1))),1))+1)-1)*(CROQUIS!$C$129*MAX(1,CEILING((INT(((CROQUIS!$C$98)-CROQUIS!$C$107)/MAX(CROQUIS!$C$129,1))+1)/80,1))))/2)+MIN(INT(($A405-1)/5),MAX((MAX(1,INT(((CROQUIS!$C$98)-CROQUIS!$C$107)/MAX((CROQUIS!$C$129*MAX(1,CEILING((INT(((CROQUIS!$C$98)-CROQUIS!$C$107)/MAX(CROQUIS!$C$129,1))+1)/80,1))),1))+1))-1,0))*(CROQUIS!$C$129*MAX(1,CEILING((INT(((CROQUIS!$C$98)-CROQUIS!$C$107)/MAX(CROQUIS!$C$129,1))+1)/80,1))))))*CROQUIS!$C$159)+IF(CROQUIS!$C$92="X",0,0)),-1000)</f>
        <v>-1000</v>
      </c>
      <c r="BO405">
        <f>IF(AND(CROQUIS!$C$88=1,CROQUIS!$C$129&gt;0),((CROQUIS!$C$161+(IF(CROQUIS!$C$92="X",((CROQUIS!$C$107/2+(((CROQUIS!$C$98)-CROQUIS!$C$107)-(MAX(1,INT(((CROQUIS!$C$98)-CROQUIS!$C$107)/MAX((CROQUIS!$C$129*MAX(1,CEILING((INT(((CROQUIS!$C$98)-CROQUIS!$C$107)/MAX(CROQUIS!$C$129,1))+1)/80,1))),1))+1)-1)*(CROQUIS!$C$129*MAX(1,CEILING((INT(((CROQUIS!$C$98)-CROQUIS!$C$107)/MAX(CROQUIS!$C$129,1))+1)/80,1))))/2)+MIN(INT(($A405-1)/5),MAX((MAX(1,INT(((CROQUIS!$C$98)-CROQUIS!$C$107)/MAX((CROQUIS!$C$129*MAX(1,CEILING((INT(((CROQUIS!$C$98)-CROQUIS!$C$107)/MAX(CROQUIS!$C$129,1))+1)/80,1))),1))+1))-1,0))*(CROQUIS!$C$129*MAX(1,CEILING((INT(((CROQUIS!$C$98)-CROQUIS!$C$107)/MAX(CROQUIS!$C$129,1))+1)/80,1)))),CHOOSE(IF(INT(($A405-1)/5)&gt;MAX((MAX(1,INT(((CROQUIS!$C$98)-CROQUIS!$C$107)/MAX((CROQUIS!$C$129*MAX(1,CEILING((INT(((CROQUIS!$C$98)-CROQUIS!$C$107)/MAX(CROQUIS!$C$129,1))+1)/80,1))),1))+1))-1,0),0,MOD($A405-1,5))+1,0,2,CROQUIS!$C$97-2,2,0)))*CROQUIS!$C$159)+IF(CROQUIS!$C$92="X",0,0)),-1000)</f>
        <v>-1000</v>
      </c>
      <c r="BP405">
        <f>IF(AND(CROQUIS!$C$88=1,CROQUIS!$C$137&gt;0),((CROQUIS!$C$160+(IF(CROQUIS!$C$92="X",((CROQUIS!$C$107/2+(((CROQUIS!$C$97)-CROQUIS!$C$107)-(MAX(1,INT(((CROQUIS!$C$97)-CROQUIS!$C$107)/MAX((CROQUIS!$C$137*MAX(1,CEILING((INT(((CROQUIS!$C$97)-CROQUIS!$C$107)/MAX(CROQUIS!$C$137,1))+1)/80,1))),1))+1)-1)*(CROQUIS!$C$137*MAX(1,CEILING((INT(((CROQUIS!$C$97)-CROQUIS!$C$107)/MAX(CROQUIS!$C$137,1))+1)/80,1))))/2)+MIN(INT(($A405-1)/5),MAX((MAX(1,INT(((CROQUIS!$C$97)-CROQUIS!$C$107)/MAX((CROQUIS!$C$137*MAX(1,CEILING((INT(((CROQUIS!$C$97)-CROQUIS!$C$107)/MAX(CROQUIS!$C$137,1))+1)/80,1))),1))+1))-1,0))*(CROQUIS!$C$137*MAX(1,CEILING((INT(((CROQUIS!$C$97)-CROQUIS!$C$107)/MAX(CROQUIS!$C$137,1))+1)/80,1)))),CHOOSE(IF(INT(($A405-1)/5)&gt;MAX((MAX(1,INT(((CROQUIS!$C$97)-CROQUIS!$C$107)/MAX((CROQUIS!$C$137*MAX(1,CEILING((INT(((CROQUIS!$C$97)-CROQUIS!$C$107)/MAX(CROQUIS!$C$137,1))+1)/80,1))),1))+1))-1,0),0,MOD($A405-1,5))+1,0,2,CROQUIS!$C$98-2,2,0)))*CROQUIS!$C$159)+IF(CROQUIS!$C$92="X",0,0)),-1000)</f>
        <v>-1000</v>
      </c>
      <c r="BQ405">
        <f>IF(AND(CROQUIS!$C$88=1,CROQUIS!$C$137&gt;0),((CROQUIS!$C$161+(IF(CROQUIS!$C$92="X",CHOOSE(IF(INT(($A405-1)/5)&gt;MAX((MAX(1,INT(((CROQUIS!$C$97)-CROQUIS!$C$107)/MAX((CROQUIS!$C$137*MAX(1,CEILING((INT(((CROQUIS!$C$97)-CROQUIS!$C$107)/MAX(CROQUIS!$C$137,1))+1)/80,1))),1))+1))-1,0),0,MOD($A405-1,5))+1,0,2,CROQUIS!$C$98-2,2,0),((CROQUIS!$C$107/2+(((CROQUIS!$C$97)-CROQUIS!$C$107)-(MAX(1,INT(((CROQUIS!$C$97)-CROQUIS!$C$107)/MAX((CROQUIS!$C$137*MAX(1,CEILING((INT(((CROQUIS!$C$97)-CROQUIS!$C$107)/MAX(CROQUIS!$C$137,1))+1)/80,1))),1))+1)-1)*(CROQUIS!$C$137*MAX(1,CEILING((INT(((CROQUIS!$C$97)-CROQUIS!$C$107)/MAX(CROQUIS!$C$137,1))+1)/80,1))))/2)+MIN(INT(($A405-1)/5),MAX((MAX(1,INT(((CROQUIS!$C$97)-CROQUIS!$C$107)/MAX((CROQUIS!$C$137*MAX(1,CEILING((INT(((CROQUIS!$C$97)-CROQUIS!$C$107)/MAX(CROQUIS!$C$137,1))+1)/80,1))),1))+1))-1,0))*(CROQUIS!$C$137*MAX(1,CEILING((INT(((CROQUIS!$C$97)-CROQUIS!$C$107)/MAX(CROQUIS!$C$137,1))+1)/80,1))))))*CROQUIS!$C$159)+IF(CROQUIS!$C$92="X",0,0)),-1000)</f>
        <v>-1000</v>
      </c>
      <c r="BR405">
        <f>IF(AND(CROQUIS!$C$88=1,CROQUIS!$C$91=0,CROQUIS!$C$133&gt;0,OR(CROQUIS!$C$103=1,CROQUIS!$C$145=1)),((CROQUIS!$C$160+(IF(CROQUIS!$C$92="X",CHOOSE(IF(INT(($A405-1)/5)&gt;MAX((MAX(1,INT(((CROQUIS!$C$98)-CROQUIS!$C$107)/MAX((CROQUIS!$C$133*MAX(1,CEILING((INT(((CROQUIS!$C$98)-CROQUIS!$C$107)/MAX(CROQUIS!$C$133,1))+1)/80,1))),1))+1))-1,0),0,MOD($A405-1,5))+1,0,IF(CROQUIS!$C$103=1,-12,2),CROQUIS!$C$107/2+CROQUIS!$C$143,IF(CROQUIS!$C$103=1,-12,2),0),((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BS4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+1,0,IF(CROQUIS!$C$103=1,-12,2),CROQUIS!$C$107/2+CROQUIS!$C$143,IF(CROQUIS!$C$103=1,-12,2),0)))*CROQUIS!$C$159)+IF(CROQUIS!$C$92="X",0.8,0)),-1000)</f>
        <v>-1000</v>
      </c>
      <c r="BT405">
        <f>IF(AND(CROQUIS!$C$88=1,CROQUIS!$C$91=0,CROQUIS!$C$133&gt;0,OR(CROQUIS!$C$104=1,CROQUIS!$C$145=1)),((CROQUIS!$C$160+(IF(CROQUIS!$C$92="X",CHOOSE(IF(INT(($A405-1)/5)&gt;MAX((MAX(1,INT(((CROQUIS!$C$98)-CROQUIS!$C$107)/MAX((CROQUIS!$C$133*MAX(1,CEILING((INT(((CROQUIS!$C$98)-CROQUIS!$C$107)/MAX(CROQUIS!$C$133,1))+1)/80,1))),1))+1))-1,0),0,MOD($A405-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BU4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CROQUIS!$C$97,CROQUIS!$C$97-CROQUIS!$C$107/2-CROQUIS!$C$143,IF(CROQUIS!$C$104=1,CROQUIS!$C$97+12,CROQUIS!$C$97-2),CROQUIS!$C$97-CROQUIS!$C$107/2-CROQUIS!$C$143,CROQUIS!$C$97)))*CROQUIS!$C$159)+IF(CROQUIS!$C$92="X",0.8,0)),-1000)</f>
        <v>-1000</v>
      </c>
      <c r="BV4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HOOSE(IF(INT(($A405-1)/5)&gt;MAX((MAX(1,INT(((CROQUIS!$C$97)-CROQUIS!$C$107)/MAX((CROQUIS!$C$141*MAX(1,CEILING((INT(((CROQUIS!$C$97)-CROQUIS!$C$107)/MAX(CROQUIS!$C$141,1))+1)/80,1))),1))+1))-1,0),0,MOD($A405-1,5))+1,0,IF(CROQUIS!$C$105=1,-12,2),CROQUIS!$C$107/2+CROQUIS!$C$144,IF(CROQUIS!$C$105=1,-12,2),0)))*CROQUIS!$C$159)+IF(CROQUIS!$C$92="X",0.8,0)),-1000)</f>
        <v>-1000</v>
      </c>
      <c r="BW405">
        <f>IF(AND(CROQUIS!$C$88=1,CROQUIS!$C$91=0,CROQUIS!$C$141&gt;0,OR(CROQUIS!$C$105=1,CROQUIS!$C$146=1)),((CROQUIS!$C$161+(IF(CROQUIS!$C$92="X",CHOOSE(IF(INT(($A405-1)/5)&gt;MAX((MAX(1,INT(((CROQUIS!$C$97)-CROQUIS!$C$107)/MAX((CROQUIS!$C$141*MAX(1,CEILING((INT(((CROQUIS!$C$97)-CROQUIS!$C$107)/MAX(CROQUIS!$C$141,1))+1)/80,1))),1))+1))-1,0),0,MOD($A405-1,5))+1,0,IF(CROQUIS!$C$105=1,-12,2),CROQUIS!$C$107/2+CROQUIS!$C$144,IF(CROQUIS!$C$105=1,-12,2),0),((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ROQUIS!$C$159)+IF(CROQUIS!$C$92="X",0,0.8)),-1000)</f>
        <v>-1000</v>
      </c>
      <c r="BX4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HOOSE(IF(INT(($A405-1)/5)&gt;MAX((MAX(1,INT(((CROQUIS!$C$97)-CROQUIS!$C$107)/MAX((CROQUIS!$C$141*MAX(1,CEILING((INT(((CROQUIS!$C$97)-CROQUIS!$C$107)/MAX(CROQUIS!$C$141,1))+1)/80,1))),1))+1))-1,0),0,MOD($A405-1,5))+1,CROQUIS!$C$98,CROQUIS!$C$98-CROQUIS!$C$107/2-CROQUIS!$C$144,IF(CROQUIS!$C$106=1,CROQUIS!$C$98+12,CROQUIS!$C$98-2),CROQUIS!$C$98-CROQUIS!$C$107/2-CROQUIS!$C$144,CROQUIS!$C$98)))*CROQUIS!$C$159)+IF(CROQUIS!$C$92="X",0.8,0)),-1000)</f>
        <v>-1000</v>
      </c>
      <c r="BY405">
        <f>IF(AND(CROQUIS!$C$88=1,CROQUIS!$C$91=0,CROQUIS!$C$141&gt;0,OR(CROQUIS!$C$106=1,CROQUIS!$C$146=1)),((CROQUIS!$C$161+(IF(CROQUIS!$C$92="X",CHOOSE(IF(INT(($A405-1)/5)&gt;MAX((MAX(1,INT(((CROQUIS!$C$97)-CROQUIS!$C$107)/MAX((CROQUIS!$C$141*MAX(1,CEILING((INT(((CROQUIS!$C$97)-CROQUIS!$C$107)/MAX(CROQUIS!$C$141,1))+1)/80,1))),1))+1))-1,0),0,MOD($A405-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ROQUIS!$C$159)+IF(CROQUIS!$C$92="X",0,0.8)),-1000)</f>
        <v>-1000</v>
      </c>
      <c r="BZ405">
        <f>IF(AND(CROQUIS!$C$88=1,CROQUIS!$C$91=1,CROQUIS!$C$133&gt;0),((CROQUIS!$C$160+(IF(CROQUIS!$C$92="X",CHOOSE(IF(INT(($A405-1)/5)&gt;MAX((MAX(1,INT(((CROQUIS!$C$98)-CROQUIS!$C$107)/MAX((CROQUIS!$C$133*MAX(1,CEILING((INT(((CROQUIS!$C$98)-CROQUIS!$C$107)/MAX(CROQUIS!$C$133,1))+1)/80,1))),1))+1))-1,0),0,MOD($A405-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CA405">
        <f>IF(AND(CROQUIS!$C$88=1,CROQUIS!$C$91=1,CROQUIS!$C$133&gt;0),((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6">
      <c r="A406" t="n">
        <v>399</v>
      </c>
      <c r="BN406">
        <f>IF(AND(CROQUIS!$C$88=1,CROQUIS!$C$129&gt;0),((CROQUIS!$C$160+(IF(CROQUIS!$C$92="X",CHOOSE(IF(INT(($A406-1)/5)&gt;MAX((MAX(1,INT(((CROQUIS!$C$98)-CROQUIS!$C$107)/MAX((CROQUIS!$C$129*MAX(1,CEILING((INT(((CROQUIS!$C$98)-CROQUIS!$C$107)/MAX(CROQUIS!$C$129,1))+1)/80,1))),1))+1))-1,0),0,MOD($A406-1,5))+1,0,2,CROQUIS!$C$97-2,2,0),((CROQUIS!$C$107/2+(((CROQUIS!$C$98)-CROQUIS!$C$107)-(MAX(1,INT(((CROQUIS!$C$98)-CROQUIS!$C$107)/MAX((CROQUIS!$C$129*MAX(1,CEILING((INT(((CROQUIS!$C$98)-CROQUIS!$C$107)/MAX(CROQUIS!$C$129,1))+1)/80,1))),1))+1)-1)*(CROQUIS!$C$129*MAX(1,CEILING((INT(((CROQUIS!$C$98)-CROQUIS!$C$107)/MAX(CROQUIS!$C$129,1))+1)/80,1))))/2)+MIN(INT(($A406-1)/5),MAX((MAX(1,INT(((CROQUIS!$C$98)-CROQUIS!$C$107)/MAX((CROQUIS!$C$129*MAX(1,CEILING((INT(((CROQUIS!$C$98)-CROQUIS!$C$107)/MAX(CROQUIS!$C$129,1))+1)/80,1))),1))+1))-1,0))*(CROQUIS!$C$129*MAX(1,CEILING((INT(((CROQUIS!$C$98)-CROQUIS!$C$107)/MAX(CROQUIS!$C$129,1))+1)/80,1))))))*CROQUIS!$C$159)+IF(CROQUIS!$C$92="X",0,0)),-1000)</f>
        <v>-1000</v>
      </c>
      <c r="BO406">
        <f>IF(AND(CROQUIS!$C$88=1,CROQUIS!$C$129&gt;0),((CROQUIS!$C$161+(IF(CROQUIS!$C$92="X",((CROQUIS!$C$107/2+(((CROQUIS!$C$98)-CROQUIS!$C$107)-(MAX(1,INT(((CROQUIS!$C$98)-CROQUIS!$C$107)/MAX((CROQUIS!$C$129*MAX(1,CEILING((INT(((CROQUIS!$C$98)-CROQUIS!$C$107)/MAX(CROQUIS!$C$129,1))+1)/80,1))),1))+1)-1)*(CROQUIS!$C$129*MAX(1,CEILING((INT(((CROQUIS!$C$98)-CROQUIS!$C$107)/MAX(CROQUIS!$C$129,1))+1)/80,1))))/2)+MIN(INT(($A406-1)/5),MAX((MAX(1,INT(((CROQUIS!$C$98)-CROQUIS!$C$107)/MAX((CROQUIS!$C$129*MAX(1,CEILING((INT(((CROQUIS!$C$98)-CROQUIS!$C$107)/MAX(CROQUIS!$C$129,1))+1)/80,1))),1))+1))-1,0))*(CROQUIS!$C$129*MAX(1,CEILING((INT(((CROQUIS!$C$98)-CROQUIS!$C$107)/MAX(CROQUIS!$C$129,1))+1)/80,1)))),CHOOSE(IF(INT(($A406-1)/5)&gt;MAX((MAX(1,INT(((CROQUIS!$C$98)-CROQUIS!$C$107)/MAX((CROQUIS!$C$129*MAX(1,CEILING((INT(((CROQUIS!$C$98)-CROQUIS!$C$107)/MAX(CROQUIS!$C$129,1))+1)/80,1))),1))+1))-1,0),0,MOD($A406-1,5))+1,0,2,CROQUIS!$C$97-2,2,0)))*CROQUIS!$C$159)+IF(CROQUIS!$C$92="X",0,0)),-1000)</f>
        <v>-1000</v>
      </c>
      <c r="BP406">
        <f>IF(AND(CROQUIS!$C$88=1,CROQUIS!$C$137&gt;0),((CROQUIS!$C$160+(IF(CROQUIS!$C$92="X",((CROQUIS!$C$107/2+(((CROQUIS!$C$97)-CROQUIS!$C$107)-(MAX(1,INT(((CROQUIS!$C$97)-CROQUIS!$C$107)/MAX((CROQUIS!$C$137*MAX(1,CEILING((INT(((CROQUIS!$C$97)-CROQUIS!$C$107)/MAX(CROQUIS!$C$137,1))+1)/80,1))),1))+1)-1)*(CROQUIS!$C$137*MAX(1,CEILING((INT(((CROQUIS!$C$97)-CROQUIS!$C$107)/MAX(CROQUIS!$C$137,1))+1)/80,1))))/2)+MIN(INT(($A406-1)/5),MAX((MAX(1,INT(((CROQUIS!$C$97)-CROQUIS!$C$107)/MAX((CROQUIS!$C$137*MAX(1,CEILING((INT(((CROQUIS!$C$97)-CROQUIS!$C$107)/MAX(CROQUIS!$C$137,1))+1)/80,1))),1))+1))-1,0))*(CROQUIS!$C$137*MAX(1,CEILING((INT(((CROQUIS!$C$97)-CROQUIS!$C$107)/MAX(CROQUIS!$C$137,1))+1)/80,1)))),CHOOSE(IF(INT(($A406-1)/5)&gt;MAX((MAX(1,INT(((CROQUIS!$C$97)-CROQUIS!$C$107)/MAX((CROQUIS!$C$137*MAX(1,CEILING((INT(((CROQUIS!$C$97)-CROQUIS!$C$107)/MAX(CROQUIS!$C$137,1))+1)/80,1))),1))+1))-1,0),0,MOD($A406-1,5))+1,0,2,CROQUIS!$C$98-2,2,0)))*CROQUIS!$C$159)+IF(CROQUIS!$C$92="X",0,0)),-1000)</f>
        <v>-1000</v>
      </c>
      <c r="BQ406">
        <f>IF(AND(CROQUIS!$C$88=1,CROQUIS!$C$137&gt;0),((CROQUIS!$C$161+(IF(CROQUIS!$C$92="X",CHOOSE(IF(INT(($A406-1)/5)&gt;MAX((MAX(1,INT(((CROQUIS!$C$97)-CROQUIS!$C$107)/MAX((CROQUIS!$C$137*MAX(1,CEILING((INT(((CROQUIS!$C$97)-CROQUIS!$C$107)/MAX(CROQUIS!$C$137,1))+1)/80,1))),1))+1))-1,0),0,MOD($A406-1,5))+1,0,2,CROQUIS!$C$98-2,2,0),((CROQUIS!$C$107/2+(((CROQUIS!$C$97)-CROQUIS!$C$107)-(MAX(1,INT(((CROQUIS!$C$97)-CROQUIS!$C$107)/MAX((CROQUIS!$C$137*MAX(1,CEILING((INT(((CROQUIS!$C$97)-CROQUIS!$C$107)/MAX(CROQUIS!$C$137,1))+1)/80,1))),1))+1)-1)*(CROQUIS!$C$137*MAX(1,CEILING((INT(((CROQUIS!$C$97)-CROQUIS!$C$107)/MAX(CROQUIS!$C$137,1))+1)/80,1))))/2)+MIN(INT(($A406-1)/5),MAX((MAX(1,INT(((CROQUIS!$C$97)-CROQUIS!$C$107)/MAX((CROQUIS!$C$137*MAX(1,CEILING((INT(((CROQUIS!$C$97)-CROQUIS!$C$107)/MAX(CROQUIS!$C$137,1))+1)/80,1))),1))+1))-1,0))*(CROQUIS!$C$137*MAX(1,CEILING((INT(((CROQUIS!$C$97)-CROQUIS!$C$107)/MAX(CROQUIS!$C$137,1))+1)/80,1))))))*CROQUIS!$C$159)+IF(CROQUIS!$C$92="X",0,0)),-1000)</f>
        <v>-1000</v>
      </c>
      <c r="BR406">
        <f>IF(AND(CROQUIS!$C$88=1,CROQUIS!$C$91=0,CROQUIS!$C$133&gt;0,OR(CROQUIS!$C$103=1,CROQUIS!$C$145=1)),((CROQUIS!$C$160+(IF(CROQUIS!$C$92="X",CHOOSE(IF(INT(($A406-1)/5)&gt;MAX((MAX(1,INT(((CROQUIS!$C$98)-CROQUIS!$C$107)/MAX((CROQUIS!$C$133*MAX(1,CEILING((INT(((CROQUIS!$C$98)-CROQUIS!$C$107)/MAX(CROQUIS!$C$133,1))+1)/80,1))),1))+1))-1,0),0,MOD($A406-1,5))+1,0,IF(CROQUIS!$C$103=1,-12,2),CROQUIS!$C$107/2+CROQUIS!$C$143,IF(CROQUIS!$C$103=1,-12,2),0),((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BS4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+1,0,IF(CROQUIS!$C$103=1,-12,2),CROQUIS!$C$107/2+CROQUIS!$C$143,IF(CROQUIS!$C$103=1,-12,2),0)))*CROQUIS!$C$159)+IF(CROQUIS!$C$92="X",0.8,0)),-1000)</f>
        <v>-1000</v>
      </c>
      <c r="BT406">
        <f>IF(AND(CROQUIS!$C$88=1,CROQUIS!$C$91=0,CROQUIS!$C$133&gt;0,OR(CROQUIS!$C$104=1,CROQUIS!$C$145=1)),((CROQUIS!$C$160+(IF(CROQUIS!$C$92="X",CHOOSE(IF(INT(($A406-1)/5)&gt;MAX((MAX(1,INT(((CROQUIS!$C$98)-CROQUIS!$C$107)/MAX((CROQUIS!$C$133*MAX(1,CEILING((INT(((CROQUIS!$C$98)-CROQUIS!$C$107)/MAX(CROQUIS!$C$133,1))+1)/80,1))),1))+1))-1,0),0,MOD($A406-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BU4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CROQUIS!$C$97,CROQUIS!$C$97-CROQUIS!$C$107/2-CROQUIS!$C$143,IF(CROQUIS!$C$104=1,CROQUIS!$C$97+12,CROQUIS!$C$97-2),CROQUIS!$C$97-CROQUIS!$C$107/2-CROQUIS!$C$143,CROQUIS!$C$97)))*CROQUIS!$C$159)+IF(CROQUIS!$C$92="X",0.8,0)),-1000)</f>
        <v>-1000</v>
      </c>
      <c r="BV4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HOOSE(IF(INT(($A406-1)/5)&gt;MAX((MAX(1,INT(((CROQUIS!$C$97)-CROQUIS!$C$107)/MAX((CROQUIS!$C$141*MAX(1,CEILING((INT(((CROQUIS!$C$97)-CROQUIS!$C$107)/MAX(CROQUIS!$C$141,1))+1)/80,1))),1))+1))-1,0),0,MOD($A406-1,5))+1,0,IF(CROQUIS!$C$105=1,-12,2),CROQUIS!$C$107/2+CROQUIS!$C$144,IF(CROQUIS!$C$105=1,-12,2),0)))*CROQUIS!$C$159)+IF(CROQUIS!$C$92="X",0.8,0)),-1000)</f>
        <v>-1000</v>
      </c>
      <c r="BW406">
        <f>IF(AND(CROQUIS!$C$88=1,CROQUIS!$C$91=0,CROQUIS!$C$141&gt;0,OR(CROQUIS!$C$105=1,CROQUIS!$C$146=1)),((CROQUIS!$C$161+(IF(CROQUIS!$C$92="X",CHOOSE(IF(INT(($A406-1)/5)&gt;MAX((MAX(1,INT(((CROQUIS!$C$97)-CROQUIS!$C$107)/MAX((CROQUIS!$C$141*MAX(1,CEILING((INT(((CROQUIS!$C$97)-CROQUIS!$C$107)/MAX(CROQUIS!$C$141,1))+1)/80,1))),1))+1))-1,0),0,MOD($A406-1,5))+1,0,IF(CROQUIS!$C$105=1,-12,2),CROQUIS!$C$107/2+CROQUIS!$C$144,IF(CROQUIS!$C$105=1,-12,2),0),((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ROQUIS!$C$159)+IF(CROQUIS!$C$92="X",0,0.8)),-1000)</f>
        <v>-1000</v>
      </c>
      <c r="BX4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HOOSE(IF(INT(($A406-1)/5)&gt;MAX((MAX(1,INT(((CROQUIS!$C$97)-CROQUIS!$C$107)/MAX((CROQUIS!$C$141*MAX(1,CEILING((INT(((CROQUIS!$C$97)-CROQUIS!$C$107)/MAX(CROQUIS!$C$141,1))+1)/80,1))),1))+1))-1,0),0,MOD($A406-1,5))+1,CROQUIS!$C$98,CROQUIS!$C$98-CROQUIS!$C$107/2-CROQUIS!$C$144,IF(CROQUIS!$C$106=1,CROQUIS!$C$98+12,CROQUIS!$C$98-2),CROQUIS!$C$98-CROQUIS!$C$107/2-CROQUIS!$C$144,CROQUIS!$C$98)))*CROQUIS!$C$159)+IF(CROQUIS!$C$92="X",0.8,0)),-1000)</f>
        <v>-1000</v>
      </c>
      <c r="BY406">
        <f>IF(AND(CROQUIS!$C$88=1,CROQUIS!$C$91=0,CROQUIS!$C$141&gt;0,OR(CROQUIS!$C$106=1,CROQUIS!$C$146=1)),((CROQUIS!$C$161+(IF(CROQUIS!$C$92="X",CHOOSE(IF(INT(($A406-1)/5)&gt;MAX((MAX(1,INT(((CROQUIS!$C$97)-CROQUIS!$C$107)/MAX((CROQUIS!$C$141*MAX(1,CEILING((INT(((CROQUIS!$C$97)-CROQUIS!$C$107)/MAX(CROQUIS!$C$141,1))+1)/80,1))),1))+1))-1,0),0,MOD($A406-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ROQUIS!$C$159)+IF(CROQUIS!$C$92="X",0,0.8)),-1000)</f>
        <v>-1000</v>
      </c>
      <c r="BZ406">
        <f>IF(AND(CROQUIS!$C$88=1,CROQUIS!$C$91=1,CROQUIS!$C$133&gt;0),((CROQUIS!$C$160+(IF(CROQUIS!$C$92="X",CHOOSE(IF(INT(($A406-1)/5)&gt;MAX((MAX(1,INT(((CROQUIS!$C$98)-CROQUIS!$C$107)/MAX((CROQUIS!$C$133*MAX(1,CEILING((INT(((CROQUIS!$C$98)-CROQUIS!$C$107)/MAX(CROQUIS!$C$133,1))+1)/80,1))),1))+1))-1,0),0,MOD($A406-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CA406">
        <f>IF(AND(CROQUIS!$C$88=1,CROQUIS!$C$91=1,CROQUIS!$C$133&gt;0),((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7">
      <c r="A407" t="n">
        <v>400</v>
      </c>
      <c r="BN407">
        <f>IF(AND(CROQUIS!$C$88=1,CROQUIS!$C$129&gt;0),((CROQUIS!$C$160+(IF(CROQUIS!$C$92="X",CHOOSE(IF(INT(($A407-1)/5)&gt;MAX((MAX(1,INT(((CROQUIS!$C$98)-CROQUIS!$C$107)/MAX((CROQUIS!$C$129*MAX(1,CEILING((INT(((CROQUIS!$C$98)-CROQUIS!$C$107)/MAX(CROQUIS!$C$129,1))+1)/80,1))),1))+1))-1,0),0,MOD($A407-1,5))+1,0,2,CROQUIS!$C$97-2,2,0),((CROQUIS!$C$107/2+(((CROQUIS!$C$98)-CROQUIS!$C$107)-(MAX(1,INT(((CROQUIS!$C$98)-CROQUIS!$C$107)/MAX((CROQUIS!$C$129*MAX(1,CEILING((INT(((CROQUIS!$C$98)-CROQUIS!$C$107)/MAX(CROQUIS!$C$129,1))+1)/80,1))),1))+1)-1)*(CROQUIS!$C$129*MAX(1,CEILING((INT(((CROQUIS!$C$98)-CROQUIS!$C$107)/MAX(CROQUIS!$C$129,1))+1)/80,1))))/2)+MIN(INT(($A407-1)/5),MAX((MAX(1,INT(((CROQUIS!$C$98)-CROQUIS!$C$107)/MAX((CROQUIS!$C$129*MAX(1,CEILING((INT(((CROQUIS!$C$98)-CROQUIS!$C$107)/MAX(CROQUIS!$C$129,1))+1)/80,1))),1))+1))-1,0))*(CROQUIS!$C$129*MAX(1,CEILING((INT(((CROQUIS!$C$98)-CROQUIS!$C$107)/MAX(CROQUIS!$C$129,1))+1)/80,1))))))*CROQUIS!$C$159)+IF(CROQUIS!$C$92="X",0,0)),-1000)</f>
        <v>-1000</v>
      </c>
      <c r="BO407">
        <f>IF(AND(CROQUIS!$C$88=1,CROQUIS!$C$129&gt;0),((CROQUIS!$C$161+(IF(CROQUIS!$C$92="X",((CROQUIS!$C$107/2+(((CROQUIS!$C$98)-CROQUIS!$C$107)-(MAX(1,INT(((CROQUIS!$C$98)-CROQUIS!$C$107)/MAX((CROQUIS!$C$129*MAX(1,CEILING((INT(((CROQUIS!$C$98)-CROQUIS!$C$107)/MAX(CROQUIS!$C$129,1))+1)/80,1))),1))+1)-1)*(CROQUIS!$C$129*MAX(1,CEILING((INT(((CROQUIS!$C$98)-CROQUIS!$C$107)/MAX(CROQUIS!$C$129,1))+1)/80,1))))/2)+MIN(INT(($A407-1)/5),MAX((MAX(1,INT(((CROQUIS!$C$98)-CROQUIS!$C$107)/MAX((CROQUIS!$C$129*MAX(1,CEILING((INT(((CROQUIS!$C$98)-CROQUIS!$C$107)/MAX(CROQUIS!$C$129,1))+1)/80,1))),1))+1))-1,0))*(CROQUIS!$C$129*MAX(1,CEILING((INT(((CROQUIS!$C$98)-CROQUIS!$C$107)/MAX(CROQUIS!$C$129,1))+1)/80,1)))),CHOOSE(IF(INT(($A407-1)/5)&gt;MAX((MAX(1,INT(((CROQUIS!$C$98)-CROQUIS!$C$107)/MAX((CROQUIS!$C$129*MAX(1,CEILING((INT(((CROQUIS!$C$98)-CROQUIS!$C$107)/MAX(CROQUIS!$C$129,1))+1)/80,1))),1))+1))-1,0),0,MOD($A407-1,5))+1,0,2,CROQUIS!$C$97-2,2,0)))*CROQUIS!$C$159)+IF(CROQUIS!$C$92="X",0,0)),-1000)</f>
        <v>-1000</v>
      </c>
      <c r="BP407">
        <f>IF(AND(CROQUIS!$C$88=1,CROQUIS!$C$137&gt;0),((CROQUIS!$C$160+(IF(CROQUIS!$C$92="X",((CROQUIS!$C$107/2+(((CROQUIS!$C$97)-CROQUIS!$C$107)-(MAX(1,INT(((CROQUIS!$C$97)-CROQUIS!$C$107)/MAX((CROQUIS!$C$137*MAX(1,CEILING((INT(((CROQUIS!$C$97)-CROQUIS!$C$107)/MAX(CROQUIS!$C$137,1))+1)/80,1))),1))+1)-1)*(CROQUIS!$C$137*MAX(1,CEILING((INT(((CROQUIS!$C$97)-CROQUIS!$C$107)/MAX(CROQUIS!$C$137,1))+1)/80,1))))/2)+MIN(INT(($A407-1)/5),MAX((MAX(1,INT(((CROQUIS!$C$97)-CROQUIS!$C$107)/MAX((CROQUIS!$C$137*MAX(1,CEILING((INT(((CROQUIS!$C$97)-CROQUIS!$C$107)/MAX(CROQUIS!$C$137,1))+1)/80,1))),1))+1))-1,0))*(CROQUIS!$C$137*MAX(1,CEILING((INT(((CROQUIS!$C$97)-CROQUIS!$C$107)/MAX(CROQUIS!$C$137,1))+1)/80,1)))),CHOOSE(IF(INT(($A407-1)/5)&gt;MAX((MAX(1,INT(((CROQUIS!$C$97)-CROQUIS!$C$107)/MAX((CROQUIS!$C$137*MAX(1,CEILING((INT(((CROQUIS!$C$97)-CROQUIS!$C$107)/MAX(CROQUIS!$C$137,1))+1)/80,1))),1))+1))-1,0),0,MOD($A407-1,5))+1,0,2,CROQUIS!$C$98-2,2,0)))*CROQUIS!$C$159)+IF(CROQUIS!$C$92="X",0,0)),-1000)</f>
        <v>-1000</v>
      </c>
      <c r="BQ407">
        <f>IF(AND(CROQUIS!$C$88=1,CROQUIS!$C$137&gt;0),((CROQUIS!$C$161+(IF(CROQUIS!$C$92="X",CHOOSE(IF(INT(($A407-1)/5)&gt;MAX((MAX(1,INT(((CROQUIS!$C$97)-CROQUIS!$C$107)/MAX((CROQUIS!$C$137*MAX(1,CEILING((INT(((CROQUIS!$C$97)-CROQUIS!$C$107)/MAX(CROQUIS!$C$137,1))+1)/80,1))),1))+1))-1,0),0,MOD($A407-1,5))+1,0,2,CROQUIS!$C$98-2,2,0),((CROQUIS!$C$107/2+(((CROQUIS!$C$97)-CROQUIS!$C$107)-(MAX(1,INT(((CROQUIS!$C$97)-CROQUIS!$C$107)/MAX((CROQUIS!$C$137*MAX(1,CEILING((INT(((CROQUIS!$C$97)-CROQUIS!$C$107)/MAX(CROQUIS!$C$137,1))+1)/80,1))),1))+1)-1)*(CROQUIS!$C$137*MAX(1,CEILING((INT(((CROQUIS!$C$97)-CROQUIS!$C$107)/MAX(CROQUIS!$C$137,1))+1)/80,1))))/2)+MIN(INT(($A407-1)/5),MAX((MAX(1,INT(((CROQUIS!$C$97)-CROQUIS!$C$107)/MAX((CROQUIS!$C$137*MAX(1,CEILING((INT(((CROQUIS!$C$97)-CROQUIS!$C$107)/MAX(CROQUIS!$C$137,1))+1)/80,1))),1))+1))-1,0))*(CROQUIS!$C$137*MAX(1,CEILING((INT(((CROQUIS!$C$97)-CROQUIS!$C$107)/MAX(CROQUIS!$C$137,1))+1)/80,1))))))*CROQUIS!$C$159)+IF(CROQUIS!$C$92="X",0,0)),-1000)</f>
        <v>-1000</v>
      </c>
      <c r="BR407">
        <f>IF(AND(CROQUIS!$C$88=1,CROQUIS!$C$91=0,CROQUIS!$C$133&gt;0,OR(CROQUIS!$C$103=1,CROQUIS!$C$145=1)),((CROQUIS!$C$160+(IF(CROQUIS!$C$92="X",CHOOSE(IF(INT(($A407-1)/5)&gt;MAX((MAX(1,INT(((CROQUIS!$C$98)-CROQUIS!$C$107)/MAX((CROQUIS!$C$133*MAX(1,CEILING((INT(((CROQUIS!$C$98)-CROQUIS!$C$107)/MAX(CROQUIS!$C$133,1))+1)/80,1))),1))+1))-1,0),0,MOD($A407-1,5))+1,0,IF(CROQUIS!$C$103=1,-12,2),CROQUIS!$C$107/2+CROQUIS!$C$143,IF(CROQUIS!$C$103=1,-12,2),0),((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BS4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+1,0,IF(CROQUIS!$C$103=1,-12,2),CROQUIS!$C$107/2+CROQUIS!$C$143,IF(CROQUIS!$C$103=1,-12,2),0)))*CROQUIS!$C$159)+IF(CROQUIS!$C$92="X",0.8,0)),-1000)</f>
        <v>-1000</v>
      </c>
      <c r="BT407">
        <f>IF(AND(CROQUIS!$C$88=1,CROQUIS!$C$91=0,CROQUIS!$C$133&gt;0,OR(CROQUIS!$C$104=1,CROQUIS!$C$145=1)),((CROQUIS!$C$160+(IF(CROQUIS!$C$92="X",CHOOSE(IF(INT(($A407-1)/5)&gt;MAX((MAX(1,INT(((CROQUIS!$C$98)-CROQUIS!$C$107)/MAX((CROQUIS!$C$133*MAX(1,CEILING((INT(((CROQUIS!$C$98)-CROQUIS!$C$107)/MAX(CROQUIS!$C$133,1))+1)/80,1))),1))+1))-1,0),0,MOD($A407-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BU4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CROQUIS!$C$97,CROQUIS!$C$97-CROQUIS!$C$107/2-CROQUIS!$C$143,IF(CROQUIS!$C$104=1,CROQUIS!$C$97+12,CROQUIS!$C$97-2),CROQUIS!$C$97-CROQUIS!$C$107/2-CROQUIS!$C$143,CROQUIS!$C$97)))*CROQUIS!$C$159)+IF(CROQUIS!$C$92="X",0.8,0)),-1000)</f>
        <v>-1000</v>
      </c>
      <c r="BV4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HOOSE(IF(INT(($A407-1)/5)&gt;MAX((MAX(1,INT(((CROQUIS!$C$97)-CROQUIS!$C$107)/MAX((CROQUIS!$C$141*MAX(1,CEILING((INT(((CROQUIS!$C$97)-CROQUIS!$C$107)/MAX(CROQUIS!$C$141,1))+1)/80,1))),1))+1))-1,0),0,MOD($A407-1,5))+1,0,IF(CROQUIS!$C$105=1,-12,2),CROQUIS!$C$107/2+CROQUIS!$C$144,IF(CROQUIS!$C$105=1,-12,2),0)))*CROQUIS!$C$159)+IF(CROQUIS!$C$92="X",0.8,0)),-1000)</f>
        <v>-1000</v>
      </c>
      <c r="BW407">
        <f>IF(AND(CROQUIS!$C$88=1,CROQUIS!$C$91=0,CROQUIS!$C$141&gt;0,OR(CROQUIS!$C$105=1,CROQUIS!$C$146=1)),((CROQUIS!$C$161+(IF(CROQUIS!$C$92="X",CHOOSE(IF(INT(($A407-1)/5)&gt;MAX((MAX(1,INT(((CROQUIS!$C$97)-CROQUIS!$C$107)/MAX((CROQUIS!$C$141*MAX(1,CEILING((INT(((CROQUIS!$C$97)-CROQUIS!$C$107)/MAX(CROQUIS!$C$141,1))+1)/80,1))),1))+1))-1,0),0,MOD($A407-1,5))+1,0,IF(CROQUIS!$C$105=1,-12,2),CROQUIS!$C$107/2+CROQUIS!$C$144,IF(CROQUIS!$C$105=1,-12,2),0),((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ROQUIS!$C$159)+IF(CROQUIS!$C$92="X",0,0.8)),-1000)</f>
        <v>-1000</v>
      </c>
      <c r="BX4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HOOSE(IF(INT(($A407-1)/5)&gt;MAX((MAX(1,INT(((CROQUIS!$C$97)-CROQUIS!$C$107)/MAX((CROQUIS!$C$141*MAX(1,CEILING((INT(((CROQUIS!$C$97)-CROQUIS!$C$107)/MAX(CROQUIS!$C$141,1))+1)/80,1))),1))+1))-1,0),0,MOD($A407-1,5))+1,CROQUIS!$C$98,CROQUIS!$C$98-CROQUIS!$C$107/2-CROQUIS!$C$144,IF(CROQUIS!$C$106=1,CROQUIS!$C$98+12,CROQUIS!$C$98-2),CROQUIS!$C$98-CROQUIS!$C$107/2-CROQUIS!$C$144,CROQUIS!$C$98)))*CROQUIS!$C$159)+IF(CROQUIS!$C$92="X",0.8,0)),-1000)</f>
        <v>-1000</v>
      </c>
      <c r="BY407">
        <f>IF(AND(CROQUIS!$C$88=1,CROQUIS!$C$91=0,CROQUIS!$C$141&gt;0,OR(CROQUIS!$C$106=1,CROQUIS!$C$146=1)),((CROQUIS!$C$161+(IF(CROQUIS!$C$92="X",CHOOSE(IF(INT(($A407-1)/5)&gt;MAX((MAX(1,INT(((CROQUIS!$C$97)-CROQUIS!$C$107)/MAX((CROQUIS!$C$141*MAX(1,CEILING((INT(((CROQUIS!$C$97)-CROQUIS!$C$107)/MAX(CROQUIS!$C$141,1))+1)/80,1))),1))+1))-1,0),0,MOD($A407-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ROQUIS!$C$159)+IF(CROQUIS!$C$92="X",0,0.8)),-1000)</f>
        <v>-1000</v>
      </c>
      <c r="BZ407">
        <f>IF(AND(CROQUIS!$C$88=1,CROQUIS!$C$91=1,CROQUIS!$C$133&gt;0),((CROQUIS!$C$160+(IF(CROQUIS!$C$92="X",CHOOSE(IF(INT(($A407-1)/5)&gt;MAX((MAX(1,INT(((CROQUIS!$C$98)-CROQUIS!$C$107)/MAX((CROQUIS!$C$133*MAX(1,CEILING((INT(((CROQUIS!$C$98)-CROQUIS!$C$107)/MAX(CROQUIS!$C$133,1))+1)/80,1))),1))+1))-1,0),0,MOD($A407-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CA407">
        <f>IF(AND(CROQUIS!$C$88=1,CROQUIS!$C$91=1,CROQUIS!$C$133&gt;0),((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99">
      <c r="A599" s="86" t="inlineStr">
        <is>
          <t>TEXTOS DE LEYENDAS Y COTAS</t>
        </is>
      </c>
    </row>
    <row r="600">
      <c r="A600" t="str">
        <f>IF(AND(CROQUIS!$C$87=1),"Tablero "&amp;CROQUIS!$C$89&amp;": a_x = "&amp;TEXT(CROQUIS!$C$95/100,"0.00")&amp;" m × a_y = "&amp;TEXT(CROQUIS!$C$96/100,"0.00")&amp;" m (a ejes)","—")</f>
        <v>Tablero EJEMPLO F80016 (de borde): a_x = 4.43 m × a_y = 4.00 m (a ejes)</v>
      </c>
    </row>
    <row r="601">
      <c r="A601" t="str">
        <f>IF(AND(CROQUIS!$C$87=1),IF(CROQUIS!$C$91=1,"Apoyo del volado (muro, dala o trabe de b_p = "&amp;DATOS!$C$87&amp;" cm)","Paño de los apoyos (b_p = "&amp;DATOS!$C$87&amp;" cm)"),"—")</f>
        <v>Paño de los apoyos (b_p = 15 cm)</v>
      </c>
    </row>
    <row r="602">
      <c r="A602" t="str">
        <f>IF(AND(CROQUIS!$C$87=1,CROQUIS!$C$91=1),"Empotramiento","—")</f>
        <v>—</v>
      </c>
    </row>
    <row r="603">
      <c r="A603" t="str">
        <f>IF(AND(CROQUIS!$C$87=1,CROQUIS!$C$91=1),"Tablero de respaldo (L_b = "&amp;TEXT(CROQUIS!$C$149/100,"0.00")&amp;" m"&amp;IF(CROQUIS!$C$153=1,")","; se dibuja una parte)"),"—")</f>
        <v>—</v>
      </c>
    </row>
    <row r="604">
      <c r="A604" t="str">
        <f>IF(AND(CROQUIS!$C$87=1,CROQUIS!$C$153=1),"Apoyo lejano del respaldo: ahí llega el acero superior del volado y se ancla con gancho","—")</f>
        <v>—</v>
      </c>
    </row>
    <row r="605">
      <c r="A605" t="str">
        <f>IF(AND(CROQUIS!$C$87=1,CROQUIS!$C$91=1,CROQUIS!$C$151&gt;0),"Carga en la orilla P = "&amp;TEXT(CROQUIS!$C$151,"0.0")&amp;" kg/m (servicio)","—")</f>
        <v>—</v>
      </c>
    </row>
    <row r="606">
      <c r="A606" t="str">
        <f>IF(AND(CROQUIS!$C$87=1),"a_x = "&amp;TEXT(CROQUIS!$C$95/100,"0.00")&amp;" m","—")</f>
        <v>a_x = 4.43 m</v>
      </c>
    </row>
    <row r="607">
      <c r="A607" t="str">
        <f>IF(AND(CROQUIS!$C$87=1),"a_y = "&amp;TEXT(CROQUIS!$C$96/100,"0.00")&amp;" m","—")</f>
        <v>a_y = 4.00 m</v>
      </c>
    </row>
    <row r="608">
      <c r="A608" t="str">
        <f>IF(AND(CROQUIS!$C$88=1),"Tablero "&amp;CROQUIS!$C$89&amp;": a_x = "&amp;TEXT(CROQUIS!$C$95/100,"0.00")&amp;" m × a_y = "&amp;TEXT(CROQUIS!$C$96/100,"0.00")&amp;" m (a ejes)","—")</f>
        <v>—</v>
      </c>
    </row>
    <row r="609">
      <c r="A609" t="str">
        <f>IF(AND(CROQUIS!$C$88=1),IF(CROQUIS!$C$91=1,"Apoyo del volado (muro, dala o trabe de b_p = "&amp;DATOS!$C$87&amp;" cm)","Paño de los apoyos (b_p = "&amp;DATOS!$C$87&amp;" cm)"),"—")</f>
        <v>—</v>
      </c>
    </row>
    <row r="610">
      <c r="A610" t="str">
        <f>IF(AND(CROQUIS!$C$88=1,CROQUIS!$C$91=1),"Empotramiento","—")</f>
        <v>—</v>
      </c>
    </row>
    <row r="611">
      <c r="A611" t="str">
        <f>IF(AND(CROQUIS!$C$88=1,CROQUIS!$C$91=1),"Tablero de respaldo (L_b = "&amp;TEXT(CROQUIS!$C$149/100,"0.00")&amp;" m"&amp;IF(CROQUIS!$C$153=1,")","; se dibuja una parte)"),"—")</f>
        <v>—</v>
      </c>
    </row>
    <row r="612">
      <c r="A612" t="str">
        <f>IF(AND(CROQUIS!$C$88=1,CROQUIS!$C$153=1),"Apoyo lejano del respaldo: ahí llega el acero superior del volado y se ancla con gancho","—")</f>
        <v>—</v>
      </c>
    </row>
    <row r="613">
      <c r="A613" t="str">
        <f>IF(AND(CROQUIS!$C$88=1,CROQUIS!$C$91=1,CROQUIS!$C$151&gt;0),"Carga en la orilla P = "&amp;TEXT(CROQUIS!$C$151,"0.0")&amp;" kg/m (servicio)","—")</f>
        <v>—</v>
      </c>
    </row>
    <row r="614">
      <c r="A614" t="str">
        <f>IF(AND(CROQUIS!$C$88=1),"a_x = "&amp;TEXT(CROQUIS!$C$95/100,"0.00")&amp;" m","—")</f>
        <v>—</v>
      </c>
    </row>
    <row r="615">
      <c r="A615" t="str">
        <f>IF(AND(CROQUIS!$C$88=1),"a_y = "&amp;TEXT(CROQUIS!$C$96/100,"0.00")&amp;" m","—")</f>
        <v>—</v>
      </c>
    </row>
    <row r="616">
      <c r="A616" t="str">
        <f>IF(AND(CROQUIS!$C$87=1,CROQUIS!$C$91=1,CROQUIS!$C$147&gt;0),"Respaldo: "&amp;CROQUIS!$C$148&amp;" hilera(s) con nervaduras de "&amp;CROQUIS!$C$111&amp;" cm (hasta "&amp;TEXT(CROQUIS!$C$147/100,"0.00")&amp;" m del paño)","—")</f>
        <v>—</v>
      </c>
    </row>
    <row r="617">
      <c r="A617" t="str">
        <f>IF(AND(CROQUIS!$C$87=1,CROQUIS!$C$162&gt;0,CROQUIS!$C$164&gt;0),"Casetones "&amp;TEXT(CROQUIS!$C$114,"0")&amp;" × "&amp;TEXT(CROQUIS!$C$115,"0")&amp;" × "&amp;DATOS!$C$82&amp;" cm (‖ X × ‖ Y): "&amp;CROQUIS!$C$162&amp;" × "&amp;CROQUIS!$C$164&amp;IF(CROQUIS!$C$111&lt;&gt;DATOS!$C$83,", nervaduras ‖ corto de "&amp;CROQUIS!$C$111&amp;" cm y ‖ largo de "&amp;DATOS!$C$83&amp;" cm",", nervaduras de "&amp;DATOS!$C$83&amp;" cm a cada "&amp;DATOS!$C$86&amp;" cm"),"—")</f>
        <v>Casetones 60 × 60 × 19 cm (‖ X × ‖ Y): 5 × 5, nervaduras de 10 cm a cada 70 cm</v>
      </c>
    </row>
    <row r="618">
      <c r="A618" t="str">
        <f>IF(AND(CROQUIS!$C$87=1,OR(CROQUIS!$C$162&gt;=2,CROQUIS!$C$164&gt;=2)),"Ejes de nervaduras (‖ X y ‖ Y)","—")</f>
        <v>Ejes de nervaduras (‖ X y ‖ Y)</v>
      </c>
    </row>
    <row r="619">
      <c r="A619" t="str">
        <f>IF(AND(CROQUIS!$C$87=1,CROQUIS!$C$126&gt;0,CROQUIS!$C$166&gt;0),"Zona maciza junto al apoyo: macizo de orilla + "&amp;CROQUIS!$C$126&amp;" hilera(s) de casetones quitadas por cortante","—")</f>
        <v>—</v>
      </c>
    </row>
    <row r="620">
      <c r="A620" t="str">
        <f>IF(AND(CROQUIS!$C$87=1),"‖ corto · inferior: "&amp;CROQUIS!$C$130,"—")</f>
        <v>‖ corto · inferior: 1 No. 4 corrida</v>
      </c>
    </row>
    <row r="621">
      <c r="A621" t="str">
        <f>IF(AND(CROQUIS!$C$87=1,CROQUIS!$C$133&gt;0),IF(CROQUIS!$C$91=1,"‖ corto · superior del volado: "&amp;CROQUIS!$C$133&amp;" No. "&amp;CROQUIS!$C$131&amp;" (corrida y bastones: ver ARMADO en NERVADAS)","‖ corto · superior: "&amp;CROQUIS!$C$134),"—")</f>
        <v>‖ corto · superior: 1 No. 4 corrida</v>
      </c>
    </row>
    <row r="622">
      <c r="A622" t="str">
        <f>IF(AND(CROQUIS!$C$87=1,CROQUIS!$C$91=0,CROQUIS!$C$133&gt;=2,OR(CROQUIS!$C$103=1,CROQUIS!$C$104=1,CROQUIS!$C$145=1)),"‖ corto · bastones (borde continuo"&amp;IF(CROQUIS!$C$145=1," y discontinuo","")&amp;"), L = "&amp;TEXT(CROQUIS!$C$143/100,"0.00")&amp;" m desde el paño","—")</f>
        <v>—</v>
      </c>
    </row>
    <row r="623">
      <c r="A623" t="str">
        <f>IF(AND(CROQUIS!$C$87=1,CROQUIS!$C$91=1,CROQUIS!$C$147&gt;0,CROQUIS!$C$133&gt;=2),"‖ corto · bastón del volado: "&amp;(CROQUIS!$C$133-1)&amp;" No. "&amp;CROQUIS!$C$131&amp;" hasta "&amp;TEXT(CROQUIS!$C$147/100,"0.00")&amp;" m del paño (fin de la nervadura ancha)","—")</f>
        <v>—</v>
      </c>
    </row>
    <row r="624">
      <c r="A624" t="str">
        <f>IF(AND(CROQUIS!$C$87=1),"‖ largo · inferior: "&amp;CROQUIS!$C$138,"—")</f>
        <v>‖ largo · inferior: 1 No. 4 corrida</v>
      </c>
    </row>
    <row r="625">
      <c r="A625" t="str">
        <f>IF(AND(CROQUIS!$C$87=1),"‖ largo · superior: "&amp;CROQUIS!$C$142,"—")</f>
        <v>‖ largo · superior: 1 No. 4 corrida</v>
      </c>
    </row>
    <row r="626">
      <c r="A626" t="str">
        <f>IF(AND(CROQUIS!$C$87=1,CROQUIS!$C$91=0,CROQUIS!$C$141&gt;=2,OR(CROQUIS!$C$105=1,CROQUIS!$C$106=1,CROQUIS!$C$146=1)),"‖ largo · bastones, L = "&amp;TEXT(CROQUIS!$C$144/100,"0.00")&amp;" m desde el paño","—")</f>
        <v>—</v>
      </c>
    </row>
    <row r="627">
      <c r="A627" t="str">
        <f>IF(AND(CROQUIS!$C$87=1,CROQUIS!$C$162&gt;=2),"s = "&amp;DATOS!$C$86&amp;" cm","—")</f>
        <v>s = 70 cm</v>
      </c>
    </row>
    <row r="628">
      <c r="A628" t="str">
        <f>IF(AND(CROQUIS!$C$88=1,CROQUIS!$C$129&gt;0),"‖ corto · inferior: "&amp;CROQUIS!$C$130&amp;IF(MAX(1,CEILING((INT(((CROQUIS!$C$98)-CROQUIS!$C$107)/MAX(CROQUIS!$C$129,1))+1)/80,1))&gt;1," (se dibuja 1 de cada "&amp;MAX(1,CEILING((INT(((CROQUIS!$C$98)-CROQUIS!$C$107)/MAX(CROQUIS!$C$129,1))+1)/80,1))&amp;")",""),"—")</f>
        <v>—</v>
      </c>
    </row>
    <row r="629">
      <c r="A629" t="str">
        <f>IF(AND(CROQUIS!$C$88=1,CROQUIS!$C$137&gt;0),"‖ largo · inferior: "&amp;CROQUIS!$C$138&amp;IF(MAX(1,CEILING((INT(((CROQUIS!$C$97)-CROQUIS!$C$107)/MAX(CROQUIS!$C$137,1))+1)/80,1))&gt;1," (se dibuja 1 de cada "&amp;MAX(1,CEILING((INT(((CROQUIS!$C$97)-CROQUIS!$C$107)/MAX(CROQUIS!$C$137,1))+1)/80,1))&amp;")",""),"—")</f>
        <v>—</v>
      </c>
    </row>
    <row r="630">
      <c r="A630" t="str">
        <f>IF(AND(CROQUIS!$C$88=1,CROQUIS!$C$91=0,CROQUIS!$C$133&gt;0,OR(CROQUIS!$C$103=1,CROQUIS!$C$104=1,CROQUIS!$C$145=1)),"‖ corto · bastones superiores: "&amp;CROQUIS!$C$134&amp;IF(MAX(1,CEILING((INT(((CROQUIS!$C$98)-CROQUIS!$C$107)/MAX(CROQUIS!$C$133,1))+1)/80,1))&gt;1," (se dibuja 1 de cada "&amp;MAX(1,CEILING((INT(((CROQUIS!$C$98)-CROQUIS!$C$107)/MAX(CROQUIS!$C$133,1))+1)/80,1))&amp;")",""),"—")</f>
        <v>—</v>
      </c>
    </row>
    <row r="631">
      <c r="A631" t="str">
        <f>IF(AND(CROQUIS!$C$88=1,CROQUIS!$C$91=0,CROQUIS!$C$141&gt;0,OR(CROQUIS!$C$105=1,CROQUIS!$C$106=1,CROQUIS!$C$146=1)),"‖ largo · bastones superiores: "&amp;CROQUIS!$C$142&amp;IF(MAX(1,CEILING((INT(((CROQUIS!$C$97)-CROQUIS!$C$107)/MAX(CROQUIS!$C$141,1))+1)/80,1))&gt;1," (se dibuja 1 de cada "&amp;MAX(1,CEILING((INT(((CROQUIS!$C$97)-CROQUIS!$C$107)/MAX(CROQUIS!$C$141,1))+1)/80,1))&amp;")",""),"—")</f>
        <v>—</v>
      </c>
    </row>
    <row r="632">
      <c r="A632" t="str">
        <f>IF(AND(CROQUIS!$C$88=1,CROQUIS!$C$91=1,CROQUIS!$C$133&gt;0),"Superior del volado: "&amp;CROQUIS!$C$134&amp;IF(MAX(1,CEILING((INT(((CROQUIS!$C$98)-CROQUIS!$C$107)/MAX(CROQUIS!$C$133,1))+1)/80,1))&gt;1," (se dibuja 1 de cada "&amp;MAX(1,CEILING((INT(((CROQUIS!$C$98)-CROQUIS!$C$107)/MAX(CROQUIS!$C$133,1))+1)/80,1))&amp;")",""),"—")</f>
        <v>—</v>
      </c>
    </row>
    <row r="633">
      <c r="A633" t="str">
        <f>IF(AND(CROQUIS!$C$87=1),"Nervadura b_w = "&amp;CROQUIS!$C$111&amp;" cm + capa t = "&amp;DATOS!$C$84&amp;" cm (h = "&amp;DATOS!$C$85&amp;" cm)","—")</f>
        <v>Nervadura b_w = 10 cm + capa t = 6 cm (h = 25 cm)</v>
      </c>
    </row>
    <row r="634">
      <c r="A634" t="str">
        <f>IF(AND(CROQUIS!$C$87=1),"Casetón "&amp;TEXT(CROQUIS!$C$112,"0")&amp;" × "&amp;DATOS!$C$82&amp;" cm","—")</f>
        <v>Casetón 60 × 19 cm</v>
      </c>
    </row>
    <row r="635">
      <c r="A635" t="str">
        <f>IF(AND(CROQUIS!$C$87=1),"Malla "&amp;DATOS!$C$96&amp;IF(CROQUIS!$C$120&gt;(DATOS!$C$84-2*DATOS!$C$97)/2+0.01," con "&amp;TEXT(CROQUIS!$C$120,"0.0")&amp;" cm a la cara superior (manda el recubrimiento)"," al centro de la capa ("&amp;TEXT(CROQUIS!$C$120,"0.0")&amp;" cm a la cara superior)"),"—")</f>
        <v>Malla 6x6-4/4 al centro de la capa (2.4 cm a la cara superior)</v>
      </c>
    </row>
    <row r="636">
      <c r="A636" t="str">
        <f>IF(AND(CROQUIS!$C$87=1,CROQUIS!$C$129&gt;=1),"Inferior ‖ corto: "&amp;CROQUIS!$C$129&amp;" No. "&amp;CROQUIS!$C$127&amp;" (r = "&amp;CROQUIS!$C$109&amp;" cm)","—")</f>
        <v>Inferior ‖ corto: 1 No. 4 (r = 2 cm)</v>
      </c>
    </row>
    <row r="637">
      <c r="A637" t="str">
        <f>IF(AND(CROQUIS!$C$87=1,CROQUIS!$C$133&gt;=1),"Superior ‖ corto: "&amp;CROQUIS!$C$133&amp;" No. "&amp;CROQUIS!$C$131&amp;" junto al apoyo (armado completo en la planta)","—")</f>
        <v>Superior ‖ corto: 1 No. 4 junto al apoyo (armado completo en la planta)</v>
      </c>
    </row>
    <row r="638">
      <c r="A638" t="str">
        <f>IF(AND(CROQUIS!$C$87=1),"b_w = "&amp;CROQUIS!$C$111&amp;" cm","—")</f>
        <v>b_w = 10 cm</v>
      </c>
    </row>
    <row r="639">
      <c r="A639" t="str">
        <f>IF(AND(CROQUIS!$C$87=1),"s = "&amp;DATOS!$C$86&amp;" cm","—")</f>
        <v>s = 70 cm</v>
      </c>
    </row>
    <row r="640">
      <c r="A640" t="str">
        <f>IF(AND(CROQUIS!$C$87=1),"h = "&amp;DATOS!$C$85&amp;" cm","—")</f>
        <v>h = 25 cm</v>
      </c>
    </row>
    <row r="641">
      <c r="A641" t="str">
        <f>IF(AND(CROQUIS!$C$87=1),"d = "&amp;TEXT(CROQUIS!$C$150,"0.0")&amp;" cm (inf. ‖ corto)","—")</f>
        <v>d = 22.4 cm (inf. ‖ corto)</v>
      </c>
    </row>
    <row r="642">
      <c r="A642" t="str">
        <f>IF(AND(CROQUIS!$C$88=1),"Losa maciza h = "&amp;CROQUIS!$C$108&amp;" cm (franja de 60 cm)","—")</f>
        <v>—</v>
      </c>
    </row>
    <row r="643">
      <c r="A643" t="str">
        <f>IF(AND(CROQUIS!$C$88=1),"Inferior ‖ corto: "&amp;CROQUIS!$C$130&amp;" (r = "&amp;CROQUIS!$C$109&amp;" cm)","—")</f>
        <v>—</v>
      </c>
    </row>
    <row r="644">
      <c r="A644" t="str">
        <f>IF(AND(CROQUIS!$C$88=1,CROQUIS!$C$137&gt;0),"Inferior ‖ largo: No. "&amp;CROQUIS!$C$135&amp;" @ "&amp;CROQUIS!$C$137&amp;" cm","—")</f>
        <v>—</v>
      </c>
    </row>
    <row r="645">
      <c r="A645" t="str">
        <f>IF(AND(CROQUIS!$C$88=1,CROQUIS!$C$141&gt;0),"Superior ‖ largo: No. "&amp;CROQUIS!$C$139&amp;" @ "&amp;CROQUIS!$C$141&amp;" cm","—")</f>
        <v>—</v>
      </c>
    </row>
    <row r="646">
      <c r="A646" t="str">
        <f>IF(AND(CROQUIS!$C$88=1,CROQUIS!$C$133&gt;0),"Superior ‖ corto: No. "&amp;CROQUIS!$C$131&amp;" @ "&amp;CROQUIS!$C$133&amp;" cm (r = "&amp;CROQUIS!$C$110&amp;" cm)","—")</f>
        <v>—</v>
      </c>
    </row>
    <row r="647">
      <c r="A647" t="str">
        <f>IF(AND(CROQUIS!$C$88=1),"h = "&amp;CROQUIS!$C$108&amp;" cm","—")</f>
        <v>—</v>
      </c>
    </row>
    <row r="648">
      <c r="A648" t="str">
        <f>IF(AND(CROQUIS!$C$88=1),"r = "&amp;CROQUIS!$C$109&amp;" cm","—")</f>
        <v>—</v>
      </c>
    </row>
    <row r="649">
      <c r="A649" t="str">
        <f>IF(AND(CROQUIS!$C$88=1),"r = "&amp;CROQUIS!$C$110&amp;" cm","—")</f>
        <v>—</v>
      </c>
    </row>
    <row r="650">
      <c r="A650" t="str">
        <f>IF(AND(CROQUIS!$C$88=1,MIN(12,INT(58/MAX(CROQUIS!$C$137,1))+1)&gt;=2),"s = "&amp;CROQUIS!$C$137&amp;" cm","—")</f>
        <v>—</v>
      </c>
    </row>
    <row r="651">
      <c r="A651" t="str">
        <f>IF(AND(CROQUIS!$C$87=1),IF(CROQUIS!$C$91=1,"Volado y parte del tablero de respaldo","Losa ‖ corto (corte continuo donde el borde es continuo)")&amp;" — escala vertical ×"&amp;CROQUIS!$C$176,"—")</f>
        <v>Losa ‖ corto (corte continuo donde el borde es continuo) — escala vertical ×3</v>
      </c>
    </row>
    <row r="652">
      <c r="A652" t="str">
        <f>IF(AND(CROQUIS!$C$87=1),"Apoyos (b_p = "&amp;DATOS!$C$87&amp;" cm)","—")</f>
        <v>Apoyos (b_p = 15 cm)</v>
      </c>
    </row>
    <row r="653">
      <c r="A653" t="str">
        <f>IF(AND(CROQUIS!$C$87=1,CROQUIS!$C$153=1),"Apoyo lejano del respaldo","—")</f>
        <v>—</v>
      </c>
    </row>
    <row r="654">
      <c r="A654" t="str">
        <f>IF(AND(CROQUIS!$C$87=1),"Inferior ‖ corto: "&amp;CROQUIS!$C$130&amp;IF(OR(IF(AND(CROQUIS!$C$91=0,CROQUIS!$C$103=0),MIN(7*CROQUIS!$C$128,CROQUIS!$C$108-CROQUIS!$C$109-CROQUIS!$C$110-CROQUIS!$C$128-CROQUIS!$C$132),0)&gt;0,IF(AND(CROQUIS!$C$91=0,CROQUIS!$C$104=0),MIN(7*CROQUIS!$C$128,CROQUIS!$C$108-CROQUIS!$C$109-CROQUIS!$C$110-CROQUIS!$C$128-CROQUIS!$C$132),0)&gt;0)," (gancho de 180° en el borde discontinuo)",""),"—")</f>
        <v>Inferior ‖ corto: 1 No. 4 corrida</v>
      </c>
    </row>
    <row r="655">
      <c r="A655" t="str">
        <f>IF(AND(CROQUIS!$C$87=1,CROQUIS!$C$133&gt;0),IF(CROQUIS!$C$91=1,"Superior del volado: "&amp;CROQUIS!$C$133&amp;" No. "&amp;CROQUIS!$C$131&amp;" (armado completo en la planta)","Superior corrido: 1 No. "&amp;CROQUIS!$C$131&amp;" (6.7.6.1.3)"),"—")</f>
        <v>Superior corrido: 1 No. 4 (6.7.6.1.3)</v>
      </c>
    </row>
    <row r="656">
      <c r="A656" t="str">
        <f>IF(AND(CROQUIS!$C$87=1,CROQUIS!$C$91=0,CROQUIS!$C$133&gt;=2,OR(CROQUIS!$C$103=1,CROQUIS!$C$104=1,CROQUIS!$C$145=1)),"Bastones ‖ corto: "&amp;(CROQUIS!$C$133-1)&amp;" No. "&amp;CROQUIS!$C$131&amp;", L = "&amp;TEXT(CROQUIS!$C$143/100,"0.00")&amp;" m desde el paño","—")</f>
        <v>—</v>
      </c>
    </row>
    <row r="657">
      <c r="A657" t="str">
        <f>IF(AND(CROQUIS!$C$87=1,CROQUIS!$C$91=1,CROQUIS!$C$147&gt;0,CROQUIS!$C$133&gt;=2),"Bastón del volado: "&amp;(CROQUIS!$C$133-1)&amp;" No. "&amp;CROQUIS!$C$131&amp;" hasta "&amp;TEXT(CROQUIS!$C$147/100,"0.00")&amp;" m del paño (fin de la nervadura ancha)","—")</f>
        <v>—</v>
      </c>
    </row>
    <row r="658">
      <c r="A658" t="str">
        <f>IF(AND(CROQUIS!$C$87=1,CROQUIS!$C$166&gt;0),"Casetones (detrás de la nervadura)","—")</f>
        <v>Casetones (detrás de la nervadura)</v>
      </c>
    </row>
    <row r="659">
      <c r="A659" t="str">
        <f>IF(AND(CROQUIS!$C$87=1,CROQUIS!$C$166&gt;0),"Fin de la zona maciza (macizo de orilla"&amp;IF(CROQUIS!$C$126&gt;0," + "&amp;CROQUIS!$C$126&amp;" hilera(s) por cortante","")&amp;")","—")</f>
        <v>Fin de la zona maciza (macizo de orilla)</v>
      </c>
    </row>
    <row r="660">
      <c r="A660" t="str">
        <f>IF(AND(CROQUIS!$C$87=1),IF(CROQUIS!$C$91=1,"Volado: "&amp;TEXT(CROQUIS!$C$97/100,"0.00")&amp;" m","a1 = "&amp;TEXT(CROQUIS!$C$97/100,"0.00")&amp;" m (a ejes)"),"—")</f>
        <v>a1 = 4.00 m (a ejes)</v>
      </c>
    </row>
    <row r="661">
      <c r="A661" t="str">
        <f>IF(AND(CROQUIS!$C$87=1,OR(CROQUIS!$C$91=1,AND(CROQUIS!$C$133&gt;=2,OR(CROQUIS!$C$103=1,CROQUIS!$C$145=1)))),"L = "&amp;TEXT(CROQUIS!$C$143/100,"0.00")&amp;" m desde el paño","—")</f>
        <v>—</v>
      </c>
    </row>
    <row r="662">
      <c r="A662" t="str">
        <f>IF(AND(CROQUIS!$C$87=1,CROQUIS!$C$91=1,CROQUIS!$C$151&gt;0),"P = "&amp;TEXT(CROQUIS!$C$151,"0.0")&amp;" kg/m","—")</f>
        <v>—</v>
      </c>
    </row>
    <row r="663">
      <c r="A663" t="str">
        <f>IF(AND(CROQUIS!$C$88=1),IF(CROQUIS!$C$91=1,"Volado y parte del tablero de respaldo","Losa ‖ corto (corte continuo donde el borde es continuo)")&amp;" — escala vertical ×"&amp;CROQUIS!$C$176,"—")</f>
        <v>—</v>
      </c>
    </row>
    <row r="664">
      <c r="A664" t="str">
        <f>IF(AND(CROQUIS!$C$88=1),"Apoyos (b_p = "&amp;DATOS!$C$87&amp;" cm)","—")</f>
        <v>—</v>
      </c>
    </row>
    <row r="665">
      <c r="A665" t="str">
        <f>IF(AND(CROQUIS!$C$88=1,CROQUIS!$C$153=1),"Apoyo lejano del respaldo","—")</f>
        <v>—</v>
      </c>
    </row>
    <row r="666">
      <c r="A666" t="str">
        <f>IF(AND(CROQUIS!$C$88=1),"Inferior ‖ corto: "&amp;CROQUIS!$C$130&amp;IF(OR(IF(AND(CROQUIS!$C$91=0,CROQUIS!$C$103=0),MIN(7*CROQUIS!$C$128,CROQUIS!$C$108-CROQUIS!$C$109-CROQUIS!$C$110-CROQUIS!$C$128-CROQUIS!$C$132),0)&gt;0,IF(AND(CROQUIS!$C$91=0,CROQUIS!$C$104=0),MIN(7*CROQUIS!$C$128,CROQUIS!$C$108-CROQUIS!$C$109-CROQUIS!$C$110-CROQUIS!$C$128-CROQUIS!$C$132),0)&gt;0)," (gancho de 180° en el borde discontinuo)",""),"—")</f>
        <v>—</v>
      </c>
    </row>
    <row r="667">
      <c r="A667" t="str">
        <f>IF(AND(CROQUIS!$C$88=1,CROQUIS!$C$91=1,CROQUIS!$C$133&gt;0),"Superior del volado: No. "&amp;CROQUIS!$C$131&amp;" @ "&amp;CROQUIS!$C$133&amp;" cm","—")</f>
        <v>—</v>
      </c>
    </row>
    <row r="668">
      <c r="A668" t="str">
        <f>IF(AND(CROQUIS!$C$88=1,CROQUIS!$C$91=0,CROQUIS!$C$133&gt;0,OR(CROQUIS!$C$103=1,CROQUIS!$C$104=1,CROQUIS!$C$145=1)),"Bastones ‖ corto: No. "&amp;CROQUIS!$C$131&amp;" @ "&amp;CROQUIS!$C$133&amp;" cm, L = "&amp;TEXT(CROQUIS!$C$143/100,"0.00")&amp;" m desde el paño","—")</f>
        <v>—</v>
      </c>
    </row>
    <row r="669">
      <c r="A669" t="str">
        <f>IF(AND(CROQUIS!$C$88=1),IF(CROQUIS!$C$91=1,"Volado: "&amp;TEXT(CROQUIS!$C$97/100,"0.00")&amp;" m","a1 = "&amp;TEXT(CROQUIS!$C$97/100,"0.00")&amp;" m (a ejes)"),"—")</f>
        <v>—</v>
      </c>
    </row>
    <row r="670">
      <c r="A670" t="str">
        <f>IF(AND(CROQUIS!$C$88=1,OR(CROQUIS!$C$91=1,AND(CROQUIS!$C$133&gt;0,OR(CROQUIS!$C$103=1,CROQUIS!$C$145=1)))),"L = "&amp;TEXT(CROQUIS!$C$143/100,"0.00")&amp;" m desde el paño","—")</f>
        <v>—</v>
      </c>
    </row>
    <row r="671">
      <c r="A671" t="str">
        <f>IF(AND(CROQUIS!$C$88=1,CROQUIS!$C$91=1,CROQUIS!$C$151&gt;0),"P = "&amp;TEXT(CROQUIS!$C$151,"0.0")&amp;" kg/m","—")</f>
        <v>—</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2026-10-23T07:46:21Z</dcterms:created>
  <dcterms:modified xmlns:dcterms="http://purl.org/dc/terms/" xmlns:xsi="http://www.w3.org/2001/XMLSchema-instance" xsi:type="dcterms:W3CDTF">2026-10-23T07:46:22Z</dcterms:modified>
</cp:coreProperties>
</file>